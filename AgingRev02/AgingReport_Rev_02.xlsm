
<file path=[Content_Types].xml><?xml version="1.0" encoding="utf-8"?>
<Types xmlns="http://schemas.openxmlformats.org/package/2006/content-types"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Default Extension="bin" ContentType="application/vnd.openxmlformats-officedocument.spreadsheetml.printerSettings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onnections.xml" ContentType="application/vnd.openxmlformats-officedocument.spreadsheetml.connections+xml"/>
  <Override PartName="/xl/worksheets/sheet1.xml" ContentType="application/vnd.openxmlformats-officedocument.spreadsheetml.worksheet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 defaultThemeVersion="124226"/>
  <bookViews>
    <workbookView xWindow="240" yWindow="60" windowWidth="20055" windowHeight="7950" tabRatio="930" firstSheet="2" activeTab="2"/>
  </bookViews>
  <sheets>
    <sheet name="AgingMetaDataDYLPP" sheetId="1" state="hidden" r:id="rId1"/>
    <sheet name="AgingMetaDataDYLGS" sheetId="4" state="hidden" r:id="rId2"/>
    <sheet name="Index" sheetId="10" r:id="rId3"/>
    <sheet name="AgingSummaryReport_DYL_PP" sheetId="2" r:id="rId4"/>
    <sheet name="AgingSummaryReport_DYL_GS" sheetId="5" r:id="rId5"/>
    <sheet name="AgingMetaDataBEWLGS" sheetId="6" state="hidden" r:id="rId6"/>
    <sheet name="AgingSummaryReport_BEWL_GS" sheetId="7" r:id="rId7"/>
    <sheet name="AgingMetaDataBEWLPP" sheetId="8" state="hidden" r:id="rId8"/>
    <sheet name="AgingSummaryReport_BEWL_PP" sheetId="9" r:id="rId9"/>
  </sheets>
  <functionGroups/>
  <definedNames>
    <definedName name="_192.168.3.138AgingReportBEWLGS" localSheetId="5" hidden="1">AgingMetaDataBEWLGS!$A$1:$AH$1122</definedName>
    <definedName name="_192.168.3.138AgingReportDYLGS" localSheetId="4" hidden="1">AgingSummaryReport_DYL_GS!$A$2:$B$49</definedName>
    <definedName name="_192.168.3.138BEWLPPMetaData" localSheetId="7" hidden="1">AgingMetaDataBEWLPP!$A$1:$AH$1239</definedName>
    <definedName name="_192.168.3.138DYLAgingReport" localSheetId="0" hidden="1">AgingMetaDataDYLPP!$A$1:$AH$2735</definedName>
    <definedName name="_192.168.3.138DYLGSMetaData" localSheetId="1" hidden="1">AgingMetaDataDYLGS!$A$1:$AH$289</definedName>
    <definedName name="_192.168.3.138SupList" localSheetId="3" hidden="1">AgingSummaryReport_DYL_PP!$A$2:$B$140</definedName>
    <definedName name="_xlnm._FilterDatabase" localSheetId="0" hidden="1">AgingMetaDataDYLPP!$D$2:$D$2735</definedName>
    <definedName name="AgingReportBEWLPP" localSheetId="8" hidden="1">AgingSummaryReport_BEWL_PP!$A$2:$B$74</definedName>
    <definedName name="BEWLGS">AgingSummaryReport_BEWL_GS!$B$1</definedName>
    <definedName name="BEWLGSMETAINDEX">AgingMetaDataBEWLGS!$AL$1</definedName>
    <definedName name="BEWLPP">AgingSummaryReport_BEWL_PP!$B$1</definedName>
    <definedName name="DayList">AgingMetaDataDYLPP!$AH:$AH</definedName>
    <definedName name="DL">Table__192.168.3.138DYLAgingReport[Days]</definedName>
    <definedName name="DLBEWLGS">Table__192.168.3.138AgingReportBEWLGS[Days]</definedName>
    <definedName name="DLBEWLPP">Table__192.168.3.138BEWLPPMetaData[Days]</definedName>
    <definedName name="DLDYLGS">Table__192.168.3.138DYLGSMetaData[Days]</definedName>
    <definedName name="DYLGS">AgingSummaryReport_DYL_GS!$B$1</definedName>
    <definedName name="DYLGSMETAINDEX">AgingMetaDataDYLGS!$AL$2</definedName>
    <definedName name="DYLPP">AgingSummaryReport_DYL_PP!$B$1</definedName>
    <definedName name="DYLPPMETAINDEX">AgingMetaDataDYLPP!$AL$1</definedName>
    <definedName name="ExternalData_1" localSheetId="6" hidden="1">AgingSummaryReport_BEWL_GS!$A$2:$B$160</definedName>
    <definedName name="Index">Index!$A$1</definedName>
    <definedName name="INDEXP">Index!$A$1</definedName>
    <definedName name="List">#REF!</definedName>
    <definedName name="NetAmount">Table__192.168.3.138DYLAgingReport[NetAmount]</definedName>
    <definedName name="NetAmountBEWLGS">Table__192.168.3.138AgingReportBEWLGS[NetAmount]</definedName>
    <definedName name="NetAmountBEWLPP">Table__192.168.3.138BEWLPPMetaData[NetAmount]</definedName>
    <definedName name="NetAmountDYLGS">Table__192.168.3.138DYLGSMetaData[NetAmount]</definedName>
    <definedName name="NetB">AgingMetaDataDYLPP!$AI:$AI</definedName>
    <definedName name="NetB3">Table__192.168.3.138DYLAgingReport[NetBAmount]</definedName>
    <definedName name="NetB3BEWLGS">Table__192.168.3.138AgingReportBEWLGS[NetBAmount]</definedName>
    <definedName name="NetB3BEWLPP">Table__192.168.3.138BEWLPPMetaData[NetBAmount]</definedName>
    <definedName name="NetB3DYLGS">Table__192.168.3.138DYLGSMetaData[NetBAmount]</definedName>
    <definedName name="Paid">Table__192.168.3.138DYLAgingReport[Paid]</definedName>
    <definedName name="PaidBEWLGS">Table__192.168.3.138AgingReportBEWLGS[Paid]</definedName>
    <definedName name="PaidBEWLPP">Table__192.168.3.138BEWLPPMetaData[Paid]</definedName>
    <definedName name="PaidDYLGS">Table__192.168.3.138DYLGSMetaData[Paid]</definedName>
    <definedName name="Start1">AgingMetaDataDYLPP!$C$1</definedName>
    <definedName name="Start2">AgingMetaDataDYLGS!$C$1</definedName>
    <definedName name="Start4">AgingSummaryReport_DYL_PP!$C$1</definedName>
    <definedName name="Start5">AgingSummaryReport_DYL_GS!$C$1</definedName>
    <definedName name="Start6">AgingMetaDataBEWLGS!$C$1</definedName>
    <definedName name="Start7">AgingSummaryReport_BEWL_GS!$C$1</definedName>
    <definedName name="Start8">AgingMetaDataBEWLPP!$C$1</definedName>
    <definedName name="Start9">AgingSummaryReport_BEWL_PP!$C$1</definedName>
    <definedName name="SupList">Table__192.168.3.138DYLAgingReport[SupplierID]</definedName>
    <definedName name="SUPListBEWLGS">Table__192.168.3.138AgingReportBEWLGS[SupplierID]</definedName>
    <definedName name="SupListBEWLPP">Table__192.168.3.138BEWLPPMetaData[SupplierID]</definedName>
    <definedName name="SUPListDYLGS">Table__192.168.3.138DYLGSMetaData[SupplierID]</definedName>
  </definedNames>
  <calcPr calcId="125725"/>
</workbook>
</file>

<file path=xl/calcChain.xml><?xml version="1.0" encoding="utf-8"?>
<calcChain xmlns="http://schemas.openxmlformats.org/spreadsheetml/2006/main">
  <c r="AI2" i="1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I1238"/>
  <c r="AI1239"/>
  <c r="AI1240"/>
  <c r="AI1241"/>
  <c r="AI1242"/>
  <c r="AI1243"/>
  <c r="AI1244"/>
  <c r="AI1245"/>
  <c r="AI1246"/>
  <c r="AI1247"/>
  <c r="AI1248"/>
  <c r="AI1249"/>
  <c r="AI1250"/>
  <c r="AI1251"/>
  <c r="AI1252"/>
  <c r="AI1253"/>
  <c r="AI1254"/>
  <c r="AI1255"/>
  <c r="AI1256"/>
  <c r="AI1257"/>
  <c r="AI1258"/>
  <c r="AI1259"/>
  <c r="AI1260"/>
  <c r="AI1261"/>
  <c r="AI1262"/>
  <c r="AI1263"/>
  <c r="AI1264"/>
  <c r="AI1265"/>
  <c r="AI1266"/>
  <c r="AI1267"/>
  <c r="AI1268"/>
  <c r="AI1269"/>
  <c r="AI1270"/>
  <c r="AI1271"/>
  <c r="AI1272"/>
  <c r="AI1273"/>
  <c r="AI1274"/>
  <c r="AI1275"/>
  <c r="AI1276"/>
  <c r="AI1277"/>
  <c r="AI1278"/>
  <c r="AI1279"/>
  <c r="AI1280"/>
  <c r="AI1281"/>
  <c r="AI1282"/>
  <c r="AI1283"/>
  <c r="AI1284"/>
  <c r="AI1285"/>
  <c r="AI1286"/>
  <c r="AI1287"/>
  <c r="AI1288"/>
  <c r="AI1289"/>
  <c r="AI1290"/>
  <c r="AI1291"/>
  <c r="AI1292"/>
  <c r="AI1293"/>
  <c r="AI1294"/>
  <c r="AI1295"/>
  <c r="AI1296"/>
  <c r="AI1297"/>
  <c r="AI1298"/>
  <c r="AI1299"/>
  <c r="AI1300"/>
  <c r="AI1301"/>
  <c r="AI1302"/>
  <c r="AI1303"/>
  <c r="AI1304"/>
  <c r="AI1305"/>
  <c r="AI1306"/>
  <c r="AI1307"/>
  <c r="AI1308"/>
  <c r="AI1309"/>
  <c r="AI1310"/>
  <c r="AI1311"/>
  <c r="AI1312"/>
  <c r="AI1313"/>
  <c r="AI1314"/>
  <c r="AI1315"/>
  <c r="AI1316"/>
  <c r="AI1317"/>
  <c r="AI1318"/>
  <c r="AI1319"/>
  <c r="AI1320"/>
  <c r="AI1321"/>
  <c r="AI1322"/>
  <c r="AI1323"/>
  <c r="AI1324"/>
  <c r="AI1325"/>
  <c r="AI1326"/>
  <c r="AI1327"/>
  <c r="AI1328"/>
  <c r="AI1329"/>
  <c r="AI1330"/>
  <c r="AI1331"/>
  <c r="AI1332"/>
  <c r="AI1333"/>
  <c r="AI1334"/>
  <c r="AI1335"/>
  <c r="AI1336"/>
  <c r="AI1337"/>
  <c r="AI1338"/>
  <c r="AI1339"/>
  <c r="AI1340"/>
  <c r="AI1341"/>
  <c r="AI1342"/>
  <c r="AI1343"/>
  <c r="AI1344"/>
  <c r="AI1345"/>
  <c r="AI1346"/>
  <c r="AI1347"/>
  <c r="AI1348"/>
  <c r="AI1349"/>
  <c r="AI1350"/>
  <c r="AI1351"/>
  <c r="AI1352"/>
  <c r="AI1353"/>
  <c r="AI1354"/>
  <c r="AI1355"/>
  <c r="AI1356"/>
  <c r="AI1357"/>
  <c r="AI1358"/>
  <c r="AI1359"/>
  <c r="AI1360"/>
  <c r="AI1361"/>
  <c r="AI1362"/>
  <c r="AI1363"/>
  <c r="AI1364"/>
  <c r="AI1365"/>
  <c r="AI1366"/>
  <c r="AI1367"/>
  <c r="AI1368"/>
  <c r="AI1369"/>
  <c r="AI1370"/>
  <c r="AI1371"/>
  <c r="AI1372"/>
  <c r="AI1373"/>
  <c r="AI1374"/>
  <c r="AI1375"/>
  <c r="AI1376"/>
  <c r="AI1377"/>
  <c r="AI1378"/>
  <c r="AI1379"/>
  <c r="AI1380"/>
  <c r="AI1381"/>
  <c r="AI1382"/>
  <c r="AI1383"/>
  <c r="AI1384"/>
  <c r="AI1385"/>
  <c r="AI1386"/>
  <c r="AI1387"/>
  <c r="AI1388"/>
  <c r="AI1389"/>
  <c r="AI1390"/>
  <c r="AI1391"/>
  <c r="AI1392"/>
  <c r="AI1393"/>
  <c r="AI1394"/>
  <c r="AI1395"/>
  <c r="AI1396"/>
  <c r="AI1397"/>
  <c r="AI1398"/>
  <c r="AI1399"/>
  <c r="AI1400"/>
  <c r="AI1401"/>
  <c r="AI1402"/>
  <c r="AI1403"/>
  <c r="AI1404"/>
  <c r="AI1405"/>
  <c r="AI1406"/>
  <c r="AI1407"/>
  <c r="AI1408"/>
  <c r="AI1409"/>
  <c r="AI1410"/>
  <c r="AI1411"/>
  <c r="AI1412"/>
  <c r="AI1413"/>
  <c r="AI1414"/>
  <c r="AI1415"/>
  <c r="AI1416"/>
  <c r="AI1417"/>
  <c r="AI1418"/>
  <c r="AI1419"/>
  <c r="AI1420"/>
  <c r="AI1421"/>
  <c r="AI1422"/>
  <c r="AI1423"/>
  <c r="AI1424"/>
  <c r="AI1425"/>
  <c r="AI1426"/>
  <c r="AI1427"/>
  <c r="AI1428"/>
  <c r="AI1429"/>
  <c r="AI1430"/>
  <c r="AI1431"/>
  <c r="AI1432"/>
  <c r="AI1433"/>
  <c r="AI1434"/>
  <c r="AI1435"/>
  <c r="AI1436"/>
  <c r="AI1437"/>
  <c r="AI1438"/>
  <c r="AI1439"/>
  <c r="AI1440"/>
  <c r="AI1441"/>
  <c r="AI1442"/>
  <c r="AI1443"/>
  <c r="AI1444"/>
  <c r="AI1445"/>
  <c r="AI1446"/>
  <c r="AI1447"/>
  <c r="AI1448"/>
  <c r="AI1449"/>
  <c r="AI1450"/>
  <c r="AI1451"/>
  <c r="AI1452"/>
  <c r="AI1453"/>
  <c r="AI1454"/>
  <c r="AI1455"/>
  <c r="AI1456"/>
  <c r="AI1457"/>
  <c r="AI1458"/>
  <c r="AI1459"/>
  <c r="AI1460"/>
  <c r="AI1461"/>
  <c r="AI1462"/>
  <c r="AI1463"/>
  <c r="AI1464"/>
  <c r="AI1465"/>
  <c r="AI1466"/>
  <c r="AI1467"/>
  <c r="AI1468"/>
  <c r="AI1469"/>
  <c r="AI1470"/>
  <c r="AI1471"/>
  <c r="AI1472"/>
  <c r="AI1473"/>
  <c r="AI1474"/>
  <c r="AI1475"/>
  <c r="AI1476"/>
  <c r="AI1477"/>
  <c r="AI1478"/>
  <c r="AI1479"/>
  <c r="AI1480"/>
  <c r="AI1481"/>
  <c r="AI1482"/>
  <c r="AI1483"/>
  <c r="AI1484"/>
  <c r="AI1485"/>
  <c r="AI1486"/>
  <c r="AI1487"/>
  <c r="AI1488"/>
  <c r="AI1489"/>
  <c r="AI1490"/>
  <c r="AI1491"/>
  <c r="AI1492"/>
  <c r="AI1493"/>
  <c r="AI1494"/>
  <c r="AI1495"/>
  <c r="AI1496"/>
  <c r="AI1497"/>
  <c r="AI1498"/>
  <c r="AI1499"/>
  <c r="AI1500"/>
  <c r="AI1501"/>
  <c r="AI1502"/>
  <c r="AI1503"/>
  <c r="AI1504"/>
  <c r="AI1505"/>
  <c r="AI1506"/>
  <c r="AI1507"/>
  <c r="AI1508"/>
  <c r="AI1509"/>
  <c r="AI1510"/>
  <c r="AI1511"/>
  <c r="AI1512"/>
  <c r="AI1513"/>
  <c r="AI1514"/>
  <c r="AI1515"/>
  <c r="AI1516"/>
  <c r="AI1517"/>
  <c r="AI1518"/>
  <c r="AI1519"/>
  <c r="AI1520"/>
  <c r="AI1521"/>
  <c r="AI1522"/>
  <c r="AI1523"/>
  <c r="AI1524"/>
  <c r="AI1525"/>
  <c r="AI1526"/>
  <c r="AI1527"/>
  <c r="AI1528"/>
  <c r="AI1529"/>
  <c r="AI1530"/>
  <c r="AI1531"/>
  <c r="AI1532"/>
  <c r="AI1533"/>
  <c r="AI1534"/>
  <c r="AI1535"/>
  <c r="AI1536"/>
  <c r="AI1537"/>
  <c r="AI1538"/>
  <c r="AI1539"/>
  <c r="AI1540"/>
  <c r="AI1541"/>
  <c r="AI1542"/>
  <c r="AI1543"/>
  <c r="AI1544"/>
  <c r="AI1545"/>
  <c r="AI1546"/>
  <c r="AI1547"/>
  <c r="AI1548"/>
  <c r="AI1549"/>
  <c r="AI1550"/>
  <c r="AI1551"/>
  <c r="AI1552"/>
  <c r="AI1553"/>
  <c r="AI1554"/>
  <c r="AI1555"/>
  <c r="AI1556"/>
  <c r="AI1557"/>
  <c r="AI1558"/>
  <c r="AI1559"/>
  <c r="AI1560"/>
  <c r="AI1561"/>
  <c r="AI1562"/>
  <c r="AI1563"/>
  <c r="AI1564"/>
  <c r="AI1565"/>
  <c r="AI1566"/>
  <c r="AI1567"/>
  <c r="AI1568"/>
  <c r="AI1569"/>
  <c r="AI1570"/>
  <c r="AI1571"/>
  <c r="AI1572"/>
  <c r="AI1573"/>
  <c r="AI1574"/>
  <c r="AI1575"/>
  <c r="AI1576"/>
  <c r="AI1577"/>
  <c r="AI1578"/>
  <c r="AI1579"/>
  <c r="AI1580"/>
  <c r="AI1581"/>
  <c r="AI1582"/>
  <c r="AI1583"/>
  <c r="AI1584"/>
  <c r="AI1585"/>
  <c r="AI1586"/>
  <c r="AI1587"/>
  <c r="AI1588"/>
  <c r="AI1589"/>
  <c r="AI1590"/>
  <c r="AI1591"/>
  <c r="AI1592"/>
  <c r="AI1593"/>
  <c r="AI1594"/>
  <c r="AI1595"/>
  <c r="AI1596"/>
  <c r="AI1597"/>
  <c r="AI1598"/>
  <c r="AI1599"/>
  <c r="AI1600"/>
  <c r="AI1601"/>
  <c r="AI1602"/>
  <c r="AI1603"/>
  <c r="AI1604"/>
  <c r="AI1605"/>
  <c r="AI1606"/>
  <c r="AI1607"/>
  <c r="AI1608"/>
  <c r="AI1609"/>
  <c r="AI1610"/>
  <c r="AI1611"/>
  <c r="AI1612"/>
  <c r="AI1613"/>
  <c r="AI1614"/>
  <c r="AI1615"/>
  <c r="AI1616"/>
  <c r="AI1617"/>
  <c r="AI1618"/>
  <c r="AI1619"/>
  <c r="AI1620"/>
  <c r="AI1621"/>
  <c r="AI1622"/>
  <c r="AI1623"/>
  <c r="AI1624"/>
  <c r="AI1625"/>
  <c r="AI1626"/>
  <c r="AI1627"/>
  <c r="AI1628"/>
  <c r="AI1629"/>
  <c r="AI1630"/>
  <c r="AI1631"/>
  <c r="AI1632"/>
  <c r="AI1633"/>
  <c r="AI1634"/>
  <c r="AI1635"/>
  <c r="AI1636"/>
  <c r="AI1637"/>
  <c r="AI1638"/>
  <c r="AI1639"/>
  <c r="AI1640"/>
  <c r="AI1641"/>
  <c r="AI1642"/>
  <c r="AI1643"/>
  <c r="AI1644"/>
  <c r="AI1645"/>
  <c r="AI1646"/>
  <c r="AI1647"/>
  <c r="AI1648"/>
  <c r="AI1649"/>
  <c r="AI1650"/>
  <c r="AI1651"/>
  <c r="AI1652"/>
  <c r="AI1653"/>
  <c r="AI1654"/>
  <c r="AI1655"/>
  <c r="AI1656"/>
  <c r="AI1657"/>
  <c r="AI1658"/>
  <c r="AI1659"/>
  <c r="AI1660"/>
  <c r="AI1661"/>
  <c r="AI1662"/>
  <c r="AI1663"/>
  <c r="AI1664"/>
  <c r="AI1665"/>
  <c r="AI1666"/>
  <c r="AI1667"/>
  <c r="AI1668"/>
  <c r="AI1669"/>
  <c r="AI1670"/>
  <c r="AI1671"/>
  <c r="AI1672"/>
  <c r="AI1673"/>
  <c r="AI1674"/>
  <c r="AI1675"/>
  <c r="AI1676"/>
  <c r="AI1677"/>
  <c r="AI1678"/>
  <c r="AI1679"/>
  <c r="AI1680"/>
  <c r="AI1681"/>
  <c r="AI1682"/>
  <c r="AI1683"/>
  <c r="AI1684"/>
  <c r="AI1685"/>
  <c r="AI1686"/>
  <c r="AI1687"/>
  <c r="AI1688"/>
  <c r="AI1689"/>
  <c r="AI1690"/>
  <c r="AI1691"/>
  <c r="AI1692"/>
  <c r="AI1693"/>
  <c r="AI1694"/>
  <c r="AI1695"/>
  <c r="AI1696"/>
  <c r="AI1697"/>
  <c r="AI1698"/>
  <c r="AI1699"/>
  <c r="AI1700"/>
  <c r="AI1701"/>
  <c r="AI1702"/>
  <c r="AI1703"/>
  <c r="AI1704"/>
  <c r="AI1705"/>
  <c r="AI1706"/>
  <c r="AI1707"/>
  <c r="AI1708"/>
  <c r="AI1709"/>
  <c r="AI1710"/>
  <c r="AI1711"/>
  <c r="AI1712"/>
  <c r="AI1713"/>
  <c r="AI1714"/>
  <c r="AI1715"/>
  <c r="AI1716"/>
  <c r="AI1717"/>
  <c r="AI1718"/>
  <c r="AI1719"/>
  <c r="AI1720"/>
  <c r="AI1721"/>
  <c r="AI1722"/>
  <c r="AI1723"/>
  <c r="AI1724"/>
  <c r="AI1725"/>
  <c r="AI1726"/>
  <c r="AI1727"/>
  <c r="AI1728"/>
  <c r="AI1729"/>
  <c r="AI1730"/>
  <c r="AI1731"/>
  <c r="AI1732"/>
  <c r="AI1733"/>
  <c r="AI1734"/>
  <c r="AI1735"/>
  <c r="AI1736"/>
  <c r="AI1737"/>
  <c r="AI1738"/>
  <c r="AI1739"/>
  <c r="AI1740"/>
  <c r="AI1741"/>
  <c r="AI1742"/>
  <c r="AI1743"/>
  <c r="AI1744"/>
  <c r="AI1745"/>
  <c r="AI1746"/>
  <c r="AI1747"/>
  <c r="AI1748"/>
  <c r="AI1749"/>
  <c r="AI1750"/>
  <c r="AI1751"/>
  <c r="AI1752"/>
  <c r="AI1753"/>
  <c r="AI1754"/>
  <c r="AI1755"/>
  <c r="AI1756"/>
  <c r="AI1757"/>
  <c r="AI1758"/>
  <c r="AI1759"/>
  <c r="AI1760"/>
  <c r="AI1761"/>
  <c r="AI1762"/>
  <c r="AI1763"/>
  <c r="AI1764"/>
  <c r="AI1765"/>
  <c r="AI1766"/>
  <c r="AI1767"/>
  <c r="AI1768"/>
  <c r="AI1769"/>
  <c r="AI1770"/>
  <c r="AI1771"/>
  <c r="AI1772"/>
  <c r="AI1773"/>
  <c r="AI1774"/>
  <c r="AI1775"/>
  <c r="AI1776"/>
  <c r="AI1777"/>
  <c r="AI1778"/>
  <c r="AI1779"/>
  <c r="AI1780"/>
  <c r="AI1781"/>
  <c r="AI1782"/>
  <c r="AI1783"/>
  <c r="AI1784"/>
  <c r="AI1785"/>
  <c r="AI1786"/>
  <c r="AI1787"/>
  <c r="AI1788"/>
  <c r="AI1789"/>
  <c r="AI1790"/>
  <c r="AI1791"/>
  <c r="AI1792"/>
  <c r="AI1793"/>
  <c r="AI1794"/>
  <c r="AI1795"/>
  <c r="AI1796"/>
  <c r="AI1797"/>
  <c r="AI1798"/>
  <c r="AI1799"/>
  <c r="AI1800"/>
  <c r="AI1801"/>
  <c r="AI1802"/>
  <c r="AI1803"/>
  <c r="AI1804"/>
  <c r="AI1805"/>
  <c r="AI1806"/>
  <c r="AI1807"/>
  <c r="AI1808"/>
  <c r="AI1809"/>
  <c r="AI1810"/>
  <c r="AI1811"/>
  <c r="AI1812"/>
  <c r="AI1813"/>
  <c r="AI1814"/>
  <c r="AI1815"/>
  <c r="AI1816"/>
  <c r="AI1817"/>
  <c r="AI1818"/>
  <c r="AI1819"/>
  <c r="AI1820"/>
  <c r="AI1821"/>
  <c r="AI1822"/>
  <c r="AI1823"/>
  <c r="AI1824"/>
  <c r="AI1825"/>
  <c r="AI1826"/>
  <c r="AI1827"/>
  <c r="AI1828"/>
  <c r="AI1829"/>
  <c r="AI1830"/>
  <c r="AI1831"/>
  <c r="AI1832"/>
  <c r="AI1833"/>
  <c r="AI1834"/>
  <c r="AI1835"/>
  <c r="AI1836"/>
  <c r="AI1837"/>
  <c r="AI1838"/>
  <c r="AI1839"/>
  <c r="AI1840"/>
  <c r="AI1841"/>
  <c r="AI1842"/>
  <c r="AI1843"/>
  <c r="AI1844"/>
  <c r="AI1845"/>
  <c r="AI1846"/>
  <c r="AI1847"/>
  <c r="AI1848"/>
  <c r="AI1849"/>
  <c r="AI1850"/>
  <c r="AI1851"/>
  <c r="AI1852"/>
  <c r="AI1853"/>
  <c r="AI1854"/>
  <c r="AI1855"/>
  <c r="AI1856"/>
  <c r="AI1857"/>
  <c r="AI1858"/>
  <c r="AI1859"/>
  <c r="AI1860"/>
  <c r="AI1861"/>
  <c r="AI1862"/>
  <c r="AI1863"/>
  <c r="AI1864"/>
  <c r="AI1865"/>
  <c r="AI1866"/>
  <c r="AI1867"/>
  <c r="AI1868"/>
  <c r="AI1869"/>
  <c r="AI1870"/>
  <c r="AI1871"/>
  <c r="AI1872"/>
  <c r="AI1873"/>
  <c r="AI1874"/>
  <c r="AI1875"/>
  <c r="AI1876"/>
  <c r="AI1877"/>
  <c r="AI1878"/>
  <c r="AI1879"/>
  <c r="AI1880"/>
  <c r="AI1881"/>
  <c r="AI1882"/>
  <c r="AI1883"/>
  <c r="AI1884"/>
  <c r="AI1885"/>
  <c r="AI1886"/>
  <c r="AI1887"/>
  <c r="AI1888"/>
  <c r="AI1889"/>
  <c r="AI1890"/>
  <c r="AI1891"/>
  <c r="AI1892"/>
  <c r="AI1893"/>
  <c r="AI1894"/>
  <c r="AI1895"/>
  <c r="AI1896"/>
  <c r="AI1897"/>
  <c r="AI1898"/>
  <c r="AI1899"/>
  <c r="AI1900"/>
  <c r="AI1901"/>
  <c r="AI1902"/>
  <c r="AI1903"/>
  <c r="AI1904"/>
  <c r="AI1905"/>
  <c r="AI1906"/>
  <c r="AI1907"/>
  <c r="AI1908"/>
  <c r="AI1909"/>
  <c r="AI1910"/>
  <c r="AI1911"/>
  <c r="AI1912"/>
  <c r="AI1913"/>
  <c r="AI1914"/>
  <c r="AI1915"/>
  <c r="AI1916"/>
  <c r="AI1917"/>
  <c r="AI1918"/>
  <c r="AI1919"/>
  <c r="AI1920"/>
  <c r="AI1921"/>
  <c r="AI1922"/>
  <c r="AI1923"/>
  <c r="AI1924"/>
  <c r="AI1925"/>
  <c r="AI1926"/>
  <c r="AI1927"/>
  <c r="AI1928"/>
  <c r="AI1929"/>
  <c r="AI1930"/>
  <c r="AI1931"/>
  <c r="AI1932"/>
  <c r="AI1933"/>
  <c r="AI1934"/>
  <c r="AI1935"/>
  <c r="AI1936"/>
  <c r="AI1937"/>
  <c r="AI1938"/>
  <c r="AI1939"/>
  <c r="AI1940"/>
  <c r="AI1941"/>
  <c r="AI1942"/>
  <c r="AI1943"/>
  <c r="AI1944"/>
  <c r="AI1945"/>
  <c r="AI1946"/>
  <c r="AI1947"/>
  <c r="AI1948"/>
  <c r="AI1949"/>
  <c r="AI1950"/>
  <c r="AI1951"/>
  <c r="AI1952"/>
  <c r="AI1953"/>
  <c r="AI1954"/>
  <c r="AI1955"/>
  <c r="AI1956"/>
  <c r="AI1957"/>
  <c r="AI1958"/>
  <c r="AI1959"/>
  <c r="AI1960"/>
  <c r="AI1961"/>
  <c r="AI1962"/>
  <c r="AI1963"/>
  <c r="AI1964"/>
  <c r="AI1965"/>
  <c r="AI1966"/>
  <c r="AI1967"/>
  <c r="AI1968"/>
  <c r="AI1969"/>
  <c r="AI1970"/>
  <c r="AI1971"/>
  <c r="AI1972"/>
  <c r="AI1973"/>
  <c r="AI1974"/>
  <c r="AI1975"/>
  <c r="AI1976"/>
  <c r="AI1977"/>
  <c r="AI1978"/>
  <c r="AI1979"/>
  <c r="AI1980"/>
  <c r="AI1981"/>
  <c r="AI1982"/>
  <c r="AI1983"/>
  <c r="AI1984"/>
  <c r="AI1985"/>
  <c r="AI1986"/>
  <c r="AI1987"/>
  <c r="AI1988"/>
  <c r="AI1989"/>
  <c r="AI1990"/>
  <c r="AI1991"/>
  <c r="AI1992"/>
  <c r="AI1993"/>
  <c r="AI1994"/>
  <c r="AI1995"/>
  <c r="AI1996"/>
  <c r="AI1997"/>
  <c r="AI1998"/>
  <c r="AI1999"/>
  <c r="AI2000"/>
  <c r="AI2001"/>
  <c r="AI2002"/>
  <c r="AI2003"/>
  <c r="AI2004"/>
  <c r="AI2005"/>
  <c r="AI2006"/>
  <c r="AI2007"/>
  <c r="AI2008"/>
  <c r="AI2009"/>
  <c r="AI2010"/>
  <c r="AI2011"/>
  <c r="AI2012"/>
  <c r="AI2013"/>
  <c r="AI2014"/>
  <c r="AI2015"/>
  <c r="AI2016"/>
  <c r="AI2017"/>
  <c r="AI2018"/>
  <c r="AI2019"/>
  <c r="AI2020"/>
  <c r="AI2021"/>
  <c r="AI2022"/>
  <c r="AI2023"/>
  <c r="AI2024"/>
  <c r="AI2025"/>
  <c r="AI2026"/>
  <c r="AI2027"/>
  <c r="AI2028"/>
  <c r="AI2029"/>
  <c r="AI2030"/>
  <c r="AI2031"/>
  <c r="AI2032"/>
  <c r="AI2033"/>
  <c r="AI2034"/>
  <c r="AI2035"/>
  <c r="AI2036"/>
  <c r="AI2037"/>
  <c r="AI2038"/>
  <c r="AI2039"/>
  <c r="AI2040"/>
  <c r="AI2041"/>
  <c r="AI2042"/>
  <c r="AI2043"/>
  <c r="AI2044"/>
  <c r="AI2045"/>
  <c r="AI2046"/>
  <c r="AI2047"/>
  <c r="AI2048"/>
  <c r="AI2049"/>
  <c r="AI2050"/>
  <c r="AI2051"/>
  <c r="AI2052"/>
  <c r="AI2053"/>
  <c r="AI2054"/>
  <c r="AI2055"/>
  <c r="AI2056"/>
  <c r="AI2057"/>
  <c r="AI2058"/>
  <c r="AI2059"/>
  <c r="AI2060"/>
  <c r="AI2061"/>
  <c r="AI2062"/>
  <c r="AI2063"/>
  <c r="AI2064"/>
  <c r="AI2065"/>
  <c r="AI2066"/>
  <c r="AI2067"/>
  <c r="AI2068"/>
  <c r="AI2069"/>
  <c r="AI2070"/>
  <c r="AI2071"/>
  <c r="AI2072"/>
  <c r="AI2073"/>
  <c r="AI2074"/>
  <c r="AI2075"/>
  <c r="AI2076"/>
  <c r="AI2077"/>
  <c r="AI2078"/>
  <c r="AI2079"/>
  <c r="AI2080"/>
  <c r="AI2081"/>
  <c r="AI2082"/>
  <c r="AI2083"/>
  <c r="AI2084"/>
  <c r="AI2085"/>
  <c r="AI2086"/>
  <c r="AI2087"/>
  <c r="AI2088"/>
  <c r="AI2089"/>
  <c r="AI2090"/>
  <c r="AI2091"/>
  <c r="AI2092"/>
  <c r="AI2093"/>
  <c r="AI2094"/>
  <c r="AI2095"/>
  <c r="AI2096"/>
  <c r="AI2097"/>
  <c r="AI2098"/>
  <c r="AI2099"/>
  <c r="AI2100"/>
  <c r="AI2101"/>
  <c r="AI2102"/>
  <c r="AI2103"/>
  <c r="AI2104"/>
  <c r="AI2105"/>
  <c r="AI2106"/>
  <c r="AI2107"/>
  <c r="AI2108"/>
  <c r="AI2109"/>
  <c r="AI2110"/>
  <c r="AI2111"/>
  <c r="AI2112"/>
  <c r="AI2113"/>
  <c r="AI2114"/>
  <c r="AI2115"/>
  <c r="AI2116"/>
  <c r="AI2117"/>
  <c r="AI2118"/>
  <c r="AI2119"/>
  <c r="AI2120"/>
  <c r="AI2121"/>
  <c r="AI2122"/>
  <c r="AI2123"/>
  <c r="AI2124"/>
  <c r="AI2125"/>
  <c r="AI2126"/>
  <c r="AI2127"/>
  <c r="AI2128"/>
  <c r="AI2129"/>
  <c r="AI2130"/>
  <c r="AI2131"/>
  <c r="AI2132"/>
  <c r="AI2133"/>
  <c r="AI2134"/>
  <c r="AI2135"/>
  <c r="AI2136"/>
  <c r="AI2137"/>
  <c r="AI2138"/>
  <c r="AI2139"/>
  <c r="AI2140"/>
  <c r="AI2141"/>
  <c r="AI2142"/>
  <c r="AI2143"/>
  <c r="AI2144"/>
  <c r="AI2145"/>
  <c r="AI2146"/>
  <c r="AI2147"/>
  <c r="AI2148"/>
  <c r="AI2149"/>
  <c r="AI2150"/>
  <c r="AI2151"/>
  <c r="AI2152"/>
  <c r="AI2153"/>
  <c r="AI2154"/>
  <c r="AI2155"/>
  <c r="AI2156"/>
  <c r="AI2157"/>
  <c r="AI2158"/>
  <c r="AI2159"/>
  <c r="AI2160"/>
  <c r="AI2161"/>
  <c r="AI2162"/>
  <c r="AI2163"/>
  <c r="AI2164"/>
  <c r="AI2165"/>
  <c r="AI2166"/>
  <c r="AI2167"/>
  <c r="AI2168"/>
  <c r="AI2169"/>
  <c r="AI2170"/>
  <c r="AI2171"/>
  <c r="AI2172"/>
  <c r="AI2173"/>
  <c r="AI2174"/>
  <c r="AI2175"/>
  <c r="AI2176"/>
  <c r="AI2177"/>
  <c r="AI2178"/>
  <c r="AI2179"/>
  <c r="AI2180"/>
  <c r="AI2181"/>
  <c r="AI2182"/>
  <c r="AI2183"/>
  <c r="AI2184"/>
  <c r="AI2185"/>
  <c r="AI2186"/>
  <c r="AI2187"/>
  <c r="AI2188"/>
  <c r="AI2189"/>
  <c r="AI2190"/>
  <c r="AI2191"/>
  <c r="AI2192"/>
  <c r="AI2193"/>
  <c r="AI2194"/>
  <c r="AI2195"/>
  <c r="AI2196"/>
  <c r="AI2197"/>
  <c r="AI2198"/>
  <c r="AI2199"/>
  <c r="AI2200"/>
  <c r="AI2201"/>
  <c r="AI2202"/>
  <c r="AI2203"/>
  <c r="AI2204"/>
  <c r="AI2205"/>
  <c r="AI2206"/>
  <c r="AI2207"/>
  <c r="AI2208"/>
  <c r="AI2209"/>
  <c r="AI2210"/>
  <c r="AI2211"/>
  <c r="AI2212"/>
  <c r="AI2213"/>
  <c r="AI2214"/>
  <c r="AI2215"/>
  <c r="AI2216"/>
  <c r="AI2217"/>
  <c r="AI2218"/>
  <c r="AI2219"/>
  <c r="AI2220"/>
  <c r="AI2221"/>
  <c r="AI2222"/>
  <c r="AI2223"/>
  <c r="AI2224"/>
  <c r="AI2225"/>
  <c r="AI2226"/>
  <c r="AI2227"/>
  <c r="AI2228"/>
  <c r="AI2229"/>
  <c r="AI2230"/>
  <c r="AI2231"/>
  <c r="AI2232"/>
  <c r="AI2233"/>
  <c r="AI2234"/>
  <c r="AI2235"/>
  <c r="AI2236"/>
  <c r="AI2237"/>
  <c r="AI2238"/>
  <c r="AI2239"/>
  <c r="AI2240"/>
  <c r="AI2241"/>
  <c r="AI2242"/>
  <c r="AI2243"/>
  <c r="AI2244"/>
  <c r="AI2245"/>
  <c r="AI2246"/>
  <c r="AI2247"/>
  <c r="AI2248"/>
  <c r="AI2249"/>
  <c r="AI2250"/>
  <c r="AI2251"/>
  <c r="AI2252"/>
  <c r="AI2253"/>
  <c r="AI2254"/>
  <c r="AI2255"/>
  <c r="AI2256"/>
  <c r="AI2257"/>
  <c r="AI2258"/>
  <c r="AI2259"/>
  <c r="AI2260"/>
  <c r="AI2261"/>
  <c r="AI2262"/>
  <c r="AI2263"/>
  <c r="AI2264"/>
  <c r="AI2265"/>
  <c r="AI2266"/>
  <c r="AI2267"/>
  <c r="AI2268"/>
  <c r="AI2269"/>
  <c r="AI2270"/>
  <c r="AI2271"/>
  <c r="AI2272"/>
  <c r="AI2273"/>
  <c r="AI2274"/>
  <c r="AI2275"/>
  <c r="AI2276"/>
  <c r="AI2277"/>
  <c r="AI2278"/>
  <c r="AI2279"/>
  <c r="AI2280"/>
  <c r="AI2281"/>
  <c r="AI2282"/>
  <c r="AI2283"/>
  <c r="AI2284"/>
  <c r="AI2285"/>
  <c r="AI2286"/>
  <c r="AI2287"/>
  <c r="AI2288"/>
  <c r="AI2289"/>
  <c r="AI2290"/>
  <c r="AI2291"/>
  <c r="AI2292"/>
  <c r="AI2293"/>
  <c r="AI2294"/>
  <c r="AI2295"/>
  <c r="AI2296"/>
  <c r="AI2297"/>
  <c r="AI2298"/>
  <c r="AI2299"/>
  <c r="AI2300"/>
  <c r="AI2301"/>
  <c r="AI2302"/>
  <c r="AI2303"/>
  <c r="AI2304"/>
  <c r="AI2305"/>
  <c r="AI2306"/>
  <c r="AI2307"/>
  <c r="AI2308"/>
  <c r="AI2309"/>
  <c r="AI2310"/>
  <c r="AI2311"/>
  <c r="AI2312"/>
  <c r="AI2313"/>
  <c r="AI2314"/>
  <c r="AI2315"/>
  <c r="AI2316"/>
  <c r="AI2317"/>
  <c r="AI2318"/>
  <c r="AI2319"/>
  <c r="AI2320"/>
  <c r="AI2321"/>
  <c r="AI2322"/>
  <c r="AI2323"/>
  <c r="AI2324"/>
  <c r="AI2325"/>
  <c r="AI2326"/>
  <c r="AI2327"/>
  <c r="AI2328"/>
  <c r="AI2329"/>
  <c r="AI2330"/>
  <c r="AI2331"/>
  <c r="AI2332"/>
  <c r="AI2333"/>
  <c r="AI2334"/>
  <c r="AI2335"/>
  <c r="AI2336"/>
  <c r="AI2337"/>
  <c r="AI2338"/>
  <c r="AI2339"/>
  <c r="AI2340"/>
  <c r="AI2341"/>
  <c r="AI2342"/>
  <c r="AI2343"/>
  <c r="AI2344"/>
  <c r="AI2345"/>
  <c r="AI2346"/>
  <c r="AI2347"/>
  <c r="AI2348"/>
  <c r="AI2349"/>
  <c r="AI2350"/>
  <c r="AI2351"/>
  <c r="AI2352"/>
  <c r="AI2353"/>
  <c r="AI2354"/>
  <c r="AI2355"/>
  <c r="AI2356"/>
  <c r="AI2357"/>
  <c r="AI2358"/>
  <c r="AI2359"/>
  <c r="AI2360"/>
  <c r="AI2361"/>
  <c r="AI2362"/>
  <c r="AI2363"/>
  <c r="AI2364"/>
  <c r="AI2365"/>
  <c r="AI2366"/>
  <c r="AI2367"/>
  <c r="AI2368"/>
  <c r="AI2369"/>
  <c r="AI2370"/>
  <c r="AI2371"/>
  <c r="AI2372"/>
  <c r="AI2373"/>
  <c r="AI2374"/>
  <c r="AI2375"/>
  <c r="AI2376"/>
  <c r="AI2377"/>
  <c r="AI2378"/>
  <c r="AI2379"/>
  <c r="AI2380"/>
  <c r="AI2381"/>
  <c r="AI2382"/>
  <c r="AI2383"/>
  <c r="AI2384"/>
  <c r="AI2385"/>
  <c r="AI2386"/>
  <c r="AI2387"/>
  <c r="AI2388"/>
  <c r="AI2389"/>
  <c r="AI2390"/>
  <c r="AI2391"/>
  <c r="AI2392"/>
  <c r="AI2393"/>
  <c r="AI2394"/>
  <c r="AI2395"/>
  <c r="AI2396"/>
  <c r="AI2397"/>
  <c r="AI2398"/>
  <c r="AI2399"/>
  <c r="AI2400"/>
  <c r="AI2401"/>
  <c r="AI2402"/>
  <c r="AI2403"/>
  <c r="AI2404"/>
  <c r="AI2405"/>
  <c r="AI2406"/>
  <c r="AI2407"/>
  <c r="AI2408"/>
  <c r="AI2409"/>
  <c r="AI2410"/>
  <c r="AI2411"/>
  <c r="AI2412"/>
  <c r="AI2413"/>
  <c r="AI2414"/>
  <c r="AI2415"/>
  <c r="AI2416"/>
  <c r="AI2417"/>
  <c r="AI2418"/>
  <c r="AI2419"/>
  <c r="AI2420"/>
  <c r="AI2421"/>
  <c r="AI2422"/>
  <c r="AI2423"/>
  <c r="AI2424"/>
  <c r="AI2425"/>
  <c r="AI2426"/>
  <c r="AI2427"/>
  <c r="AI2428"/>
  <c r="AI2429"/>
  <c r="AI2430"/>
  <c r="AI2431"/>
  <c r="AI2432"/>
  <c r="AI2433"/>
  <c r="AI2434"/>
  <c r="AI2435"/>
  <c r="AI2436"/>
  <c r="AI2437"/>
  <c r="AI2438"/>
  <c r="AI2439"/>
  <c r="AI2440"/>
  <c r="AI2441"/>
  <c r="AI2442"/>
  <c r="AI2443"/>
  <c r="AI2444"/>
  <c r="AI2445"/>
  <c r="AI2446"/>
  <c r="AI2447"/>
  <c r="AI2448"/>
  <c r="AI2449"/>
  <c r="AI2450"/>
  <c r="AI2451"/>
  <c r="AI2452"/>
  <c r="AI2453"/>
  <c r="AI2454"/>
  <c r="AI2455"/>
  <c r="AI2456"/>
  <c r="AI2457"/>
  <c r="AI2458"/>
  <c r="AI2459"/>
  <c r="AI2460"/>
  <c r="AI2461"/>
  <c r="AI2462"/>
  <c r="AI2463"/>
  <c r="AI2464"/>
  <c r="AI2465"/>
  <c r="AI2466"/>
  <c r="AI2467"/>
  <c r="AI2468"/>
  <c r="AI2469"/>
  <c r="AI2470"/>
  <c r="AI2471"/>
  <c r="AI2472"/>
  <c r="AI2473"/>
  <c r="AI2474"/>
  <c r="AI2475"/>
  <c r="AI2476"/>
  <c r="AI2477"/>
  <c r="AI2478"/>
  <c r="AI2479"/>
  <c r="AI2480"/>
  <c r="AI2481"/>
  <c r="AI2482"/>
  <c r="AI2483"/>
  <c r="AI2484"/>
  <c r="AI2485"/>
  <c r="AI2486"/>
  <c r="AI2487"/>
  <c r="AI2488"/>
  <c r="AI2489"/>
  <c r="AI2490"/>
  <c r="AI2491"/>
  <c r="AI2492"/>
  <c r="AI2493"/>
  <c r="AI2494"/>
  <c r="AI2495"/>
  <c r="AI2496"/>
  <c r="AI2497"/>
  <c r="AI2498"/>
  <c r="AI2499"/>
  <c r="AI2500"/>
  <c r="AI2501"/>
  <c r="AI2502"/>
  <c r="AI2503"/>
  <c r="AI2504"/>
  <c r="AI2505"/>
  <c r="AI2506"/>
  <c r="AI2507"/>
  <c r="AI2508"/>
  <c r="AI2509"/>
  <c r="AI2510"/>
  <c r="AI2511"/>
  <c r="AI2512"/>
  <c r="AI2513"/>
  <c r="AI2514"/>
  <c r="AI2515"/>
  <c r="AI2516"/>
  <c r="AI2517"/>
  <c r="AI2518"/>
  <c r="AI2519"/>
  <c r="AI2520"/>
  <c r="AI2521"/>
  <c r="AI2522"/>
  <c r="AI2523"/>
  <c r="AI2524"/>
  <c r="AI2525"/>
  <c r="AI2526"/>
  <c r="AI2527"/>
  <c r="AI2528"/>
  <c r="AI2529"/>
  <c r="AI2530"/>
  <c r="AI2531"/>
  <c r="AI2532"/>
  <c r="AI2533"/>
  <c r="AI2534"/>
  <c r="AI2535"/>
  <c r="AI2536"/>
  <c r="AI2537"/>
  <c r="AI2538"/>
  <c r="AI2539"/>
  <c r="AI2540"/>
  <c r="AI2541"/>
  <c r="AI2542"/>
  <c r="AI2543"/>
  <c r="AI2544"/>
  <c r="AI2545"/>
  <c r="AI2546"/>
  <c r="AI2547"/>
  <c r="AI2548"/>
  <c r="AI2549"/>
  <c r="AI2550"/>
  <c r="AI2551"/>
  <c r="AI2552"/>
  <c r="AI2553"/>
  <c r="AI2554"/>
  <c r="AI2555"/>
  <c r="AI2556"/>
  <c r="AI2557"/>
  <c r="AI2558"/>
  <c r="AI2559"/>
  <c r="AI2560"/>
  <c r="AI2561"/>
  <c r="AI2562"/>
  <c r="AI2563"/>
  <c r="AI2564"/>
  <c r="AI2565"/>
  <c r="AI2566"/>
  <c r="AI2567"/>
  <c r="AI2568"/>
  <c r="AI2569"/>
  <c r="AI2570"/>
  <c r="AI2571"/>
  <c r="AI2572"/>
  <c r="AI2573"/>
  <c r="AI2574"/>
  <c r="AI2575"/>
  <c r="AI2576"/>
  <c r="AI2577"/>
  <c r="AI2578"/>
  <c r="AI2579"/>
  <c r="AI2580"/>
  <c r="AI2581"/>
  <c r="AI2582"/>
  <c r="AI2583"/>
  <c r="AI2584"/>
  <c r="AI2585"/>
  <c r="AI2586"/>
  <c r="AI2587"/>
  <c r="AI2588"/>
  <c r="AI2589"/>
  <c r="AI2590"/>
  <c r="AI2591"/>
  <c r="AI2592"/>
  <c r="AI2593"/>
  <c r="AI2594"/>
  <c r="AI2595"/>
  <c r="AI2596"/>
  <c r="AI2597"/>
  <c r="AI2598"/>
  <c r="AI2599"/>
  <c r="AI2600"/>
  <c r="AI2601"/>
  <c r="AI2602"/>
  <c r="AI2603"/>
  <c r="AI2604"/>
  <c r="AI2605"/>
  <c r="AI2606"/>
  <c r="AI2607"/>
  <c r="AI2608"/>
  <c r="AI2609"/>
  <c r="AI2610"/>
  <c r="AI2611"/>
  <c r="AI2612"/>
  <c r="AI2613"/>
  <c r="AI2614"/>
  <c r="AI2615"/>
  <c r="AI2616"/>
  <c r="AI2617"/>
  <c r="AI2618"/>
  <c r="AI2619"/>
  <c r="AI2620"/>
  <c r="AI2621"/>
  <c r="AI2622"/>
  <c r="AI2623"/>
  <c r="AI2624"/>
  <c r="AI2625"/>
  <c r="AI2626"/>
  <c r="AI2627"/>
  <c r="AI2628"/>
  <c r="AI2629"/>
  <c r="AI2630"/>
  <c r="AI2631"/>
  <c r="AI2632"/>
  <c r="AI2633"/>
  <c r="AI2634"/>
  <c r="AI2635"/>
  <c r="AI2636"/>
  <c r="AI2637"/>
  <c r="AI2638"/>
  <c r="AI2639"/>
  <c r="AI2640"/>
  <c r="AI2641"/>
  <c r="AI2642"/>
  <c r="AI2643"/>
  <c r="AI2644"/>
  <c r="AI2645"/>
  <c r="AI2646"/>
  <c r="AI2647"/>
  <c r="AI2648"/>
  <c r="AI2649"/>
  <c r="AI2650"/>
  <c r="AI2651"/>
  <c r="AI2652"/>
  <c r="AI2653"/>
  <c r="AI2654"/>
  <c r="AI2655"/>
  <c r="AI2656"/>
  <c r="AI2657"/>
  <c r="AI2658"/>
  <c r="AI2659"/>
  <c r="AI2660"/>
  <c r="AI2661"/>
  <c r="AI2662"/>
  <c r="AI2663"/>
  <c r="AI2664"/>
  <c r="AI2665"/>
  <c r="AI2666"/>
  <c r="AI2667"/>
  <c r="AI2668"/>
  <c r="AI2669"/>
  <c r="AI2670"/>
  <c r="AI2671"/>
  <c r="AI2672"/>
  <c r="AI2673"/>
  <c r="AI2674"/>
  <c r="AI2675"/>
  <c r="AI2676"/>
  <c r="AI2677"/>
  <c r="AI2678"/>
  <c r="AI2679"/>
  <c r="AI2680"/>
  <c r="AI2681"/>
  <c r="AI2682"/>
  <c r="AI2683"/>
  <c r="AI2684"/>
  <c r="AI2685"/>
  <c r="AI2686"/>
  <c r="AI2687"/>
  <c r="AI2688"/>
  <c r="AI2689"/>
  <c r="AI2690"/>
  <c r="AI2691"/>
  <c r="AI2692"/>
  <c r="AI2693"/>
  <c r="AI2694"/>
  <c r="AI2695"/>
  <c r="AI2696"/>
  <c r="AI2697"/>
  <c r="AI2698"/>
  <c r="AI2699"/>
  <c r="AI2700"/>
  <c r="AI2701"/>
  <c r="AI2702"/>
  <c r="AI2703"/>
  <c r="AI2704"/>
  <c r="AI2705"/>
  <c r="AI2706"/>
  <c r="AI2707"/>
  <c r="AI2708"/>
  <c r="AI2709"/>
  <c r="AI2710"/>
  <c r="AI2711"/>
  <c r="AI2712"/>
  <c r="AI2713"/>
  <c r="AI2714"/>
  <c r="AI2715"/>
  <c r="AI2716"/>
  <c r="AI2717"/>
  <c r="AI2718"/>
  <c r="AI2719"/>
  <c r="AI2720"/>
  <c r="AI2721"/>
  <c r="AI2722"/>
  <c r="AI2723"/>
  <c r="AI2724"/>
  <c r="AI2725"/>
  <c r="AI2726"/>
  <c r="AI2727"/>
  <c r="AI2728"/>
  <c r="AI2729"/>
  <c r="AI2730"/>
  <c r="AI2731"/>
  <c r="AI2732"/>
  <c r="AI2733"/>
  <c r="AI2734"/>
  <c r="AI2735"/>
  <c r="K3" i="9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AI2" i="8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AI1123"/>
  <c r="AI1124"/>
  <c r="AI1125"/>
  <c r="AI1126"/>
  <c r="AI1127"/>
  <c r="AI1128"/>
  <c r="AI1129"/>
  <c r="AI1130"/>
  <c r="AI1131"/>
  <c r="AI1132"/>
  <c r="AI1133"/>
  <c r="AI1134"/>
  <c r="AI1135"/>
  <c r="AI1136"/>
  <c r="AI1137"/>
  <c r="AI1138"/>
  <c r="AI1139"/>
  <c r="AI1140"/>
  <c r="AI1141"/>
  <c r="AI1142"/>
  <c r="AI1143"/>
  <c r="AI1144"/>
  <c r="AI1145"/>
  <c r="AI1146"/>
  <c r="AI1147"/>
  <c r="AI1148"/>
  <c r="AI1149"/>
  <c r="AI1150"/>
  <c r="AI1151"/>
  <c r="AI1152"/>
  <c r="AI1153"/>
  <c r="AI1154"/>
  <c r="AI1155"/>
  <c r="AI1156"/>
  <c r="AI1157"/>
  <c r="AI1158"/>
  <c r="AI1159"/>
  <c r="AI1160"/>
  <c r="AI1161"/>
  <c r="AI1162"/>
  <c r="AI1163"/>
  <c r="AI1164"/>
  <c r="AI1165"/>
  <c r="AI1166"/>
  <c r="AI1167"/>
  <c r="AI1168"/>
  <c r="AI1169"/>
  <c r="AI1170"/>
  <c r="AI1171"/>
  <c r="AI1172"/>
  <c r="AI1173"/>
  <c r="AI1174"/>
  <c r="AI1175"/>
  <c r="AI1176"/>
  <c r="AI1177"/>
  <c r="AI1178"/>
  <c r="AI1179"/>
  <c r="AI1180"/>
  <c r="AI1181"/>
  <c r="AI1182"/>
  <c r="AI1183"/>
  <c r="AI1184"/>
  <c r="AI1185"/>
  <c r="AI1186"/>
  <c r="AI1187"/>
  <c r="AI1188"/>
  <c r="AI1189"/>
  <c r="AI1190"/>
  <c r="AI1191"/>
  <c r="AI1192"/>
  <c r="AI1193"/>
  <c r="AI1194"/>
  <c r="AI1195"/>
  <c r="AI1196"/>
  <c r="AI1197"/>
  <c r="AI1198"/>
  <c r="AI1199"/>
  <c r="AI1200"/>
  <c r="AI1201"/>
  <c r="AI1202"/>
  <c r="AI1203"/>
  <c r="AI1204"/>
  <c r="AI1205"/>
  <c r="AI1206"/>
  <c r="AI1207"/>
  <c r="AI1208"/>
  <c r="AI1209"/>
  <c r="AI1210"/>
  <c r="AI1211"/>
  <c r="AI1212"/>
  <c r="AI1213"/>
  <c r="AI1214"/>
  <c r="AI1215"/>
  <c r="AI1216"/>
  <c r="AI1217"/>
  <c r="AI1218"/>
  <c r="AI1219"/>
  <c r="AI1220"/>
  <c r="AI1221"/>
  <c r="AI1222"/>
  <c r="AI1223"/>
  <c r="AI1224"/>
  <c r="AI1225"/>
  <c r="AI1226"/>
  <c r="AI1227"/>
  <c r="AI1228"/>
  <c r="AI1229"/>
  <c r="AI1230"/>
  <c r="AI1231"/>
  <c r="AI1232"/>
  <c r="AI1233"/>
  <c r="AI1234"/>
  <c r="AI1235"/>
  <c r="AI1236"/>
  <c r="AI1237"/>
  <c r="AI1238"/>
  <c r="AI1239"/>
  <c r="K3" i="5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3" i="7"/>
  <c r="K4"/>
  <c r="K5"/>
  <c r="K6"/>
  <c r="K7"/>
  <c r="K8"/>
  <c r="K9"/>
  <c r="K10"/>
  <c r="K11"/>
  <c r="K12"/>
  <c r="K13"/>
  <c r="K14"/>
  <c r="K15"/>
  <c r="K16"/>
  <c r="K17"/>
  <c r="K18"/>
  <c r="K19"/>
  <c r="K20"/>
  <c r="K21"/>
  <c r="K22"/>
  <c r="K23"/>
  <c r="K24"/>
  <c r="K25"/>
  <c r="K26"/>
  <c r="K27"/>
  <c r="K28"/>
  <c r="K29"/>
  <c r="K30"/>
  <c r="K31"/>
  <c r="K32"/>
  <c r="K33"/>
  <c r="K34"/>
  <c r="K35"/>
  <c r="K36"/>
  <c r="K37"/>
  <c r="K38"/>
  <c r="K39"/>
  <c r="K40"/>
  <c r="K41"/>
  <c r="K42"/>
  <c r="K43"/>
  <c r="K44"/>
  <c r="K45"/>
  <c r="K46"/>
  <c r="K47"/>
  <c r="K48"/>
  <c r="K49"/>
  <c r="K50"/>
  <c r="K51"/>
  <c r="K52"/>
  <c r="K53"/>
  <c r="K54"/>
  <c r="K55"/>
  <c r="K56"/>
  <c r="K57"/>
  <c r="K58"/>
  <c r="K59"/>
  <c r="K60"/>
  <c r="K61"/>
  <c r="K62"/>
  <c r="K63"/>
  <c r="K64"/>
  <c r="K65"/>
  <c r="K66"/>
  <c r="K67"/>
  <c r="K68"/>
  <c r="K69"/>
  <c r="K70"/>
  <c r="K71"/>
  <c r="K72"/>
  <c r="K73"/>
  <c r="K74"/>
  <c r="K75"/>
  <c r="K76"/>
  <c r="K77"/>
  <c r="K78"/>
  <c r="K79"/>
  <c r="K80"/>
  <c r="K81"/>
  <c r="K82"/>
  <c r="K83"/>
  <c r="K84"/>
  <c r="K85"/>
  <c r="K86"/>
  <c r="K87"/>
  <c r="K88"/>
  <c r="K89"/>
  <c r="K90"/>
  <c r="K91"/>
  <c r="K92"/>
  <c r="K93"/>
  <c r="K94"/>
  <c r="K95"/>
  <c r="K96"/>
  <c r="K97"/>
  <c r="K98"/>
  <c r="K99"/>
  <c r="K100"/>
  <c r="K101"/>
  <c r="K102"/>
  <c r="K103"/>
  <c r="K104"/>
  <c r="K105"/>
  <c r="K106"/>
  <c r="K107"/>
  <c r="K108"/>
  <c r="K109"/>
  <c r="K110"/>
  <c r="K111"/>
  <c r="K112"/>
  <c r="K113"/>
  <c r="K114"/>
  <c r="K115"/>
  <c r="K116"/>
  <c r="K117"/>
  <c r="K118"/>
  <c r="K119"/>
  <c r="K120"/>
  <c r="K121"/>
  <c r="K122"/>
  <c r="K123"/>
  <c r="K124"/>
  <c r="K125"/>
  <c r="K126"/>
  <c r="K127"/>
  <c r="K128"/>
  <c r="K129"/>
  <c r="K130"/>
  <c r="K131"/>
  <c r="K132"/>
  <c r="K133"/>
  <c r="K134"/>
  <c r="K135"/>
  <c r="K136"/>
  <c r="K137"/>
  <c r="K138"/>
  <c r="K139"/>
  <c r="K140"/>
  <c r="K141"/>
  <c r="K142"/>
  <c r="K143"/>
  <c r="K144"/>
  <c r="K145"/>
  <c r="K146"/>
  <c r="K147"/>
  <c r="K148"/>
  <c r="K149"/>
  <c r="K150"/>
  <c r="K151"/>
  <c r="K152"/>
  <c r="K153"/>
  <c r="K154"/>
  <c r="K155"/>
  <c r="K156"/>
  <c r="K157"/>
  <c r="K158"/>
  <c r="K159"/>
  <c r="K160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J50"/>
  <c r="J51"/>
  <c r="J52"/>
  <c r="J53"/>
  <c r="J54"/>
  <c r="J55"/>
  <c r="J56"/>
  <c r="J57"/>
  <c r="J58"/>
  <c r="J59"/>
  <c r="J60"/>
  <c r="J61"/>
  <c r="J62"/>
  <c r="J63"/>
  <c r="J64"/>
  <c r="J65"/>
  <c r="J66"/>
  <c r="J67"/>
  <c r="J68"/>
  <c r="J69"/>
  <c r="J70"/>
  <c r="J71"/>
  <c r="J72"/>
  <c r="J73"/>
  <c r="J74"/>
  <c r="J75"/>
  <c r="J76"/>
  <c r="J77"/>
  <c r="J78"/>
  <c r="J79"/>
  <c r="J80"/>
  <c r="J81"/>
  <c r="J82"/>
  <c r="J83"/>
  <c r="J84"/>
  <c r="J85"/>
  <c r="J86"/>
  <c r="J87"/>
  <c r="J88"/>
  <c r="J89"/>
  <c r="J90"/>
  <c r="J91"/>
  <c r="J92"/>
  <c r="J93"/>
  <c r="J94"/>
  <c r="J95"/>
  <c r="J96"/>
  <c r="J97"/>
  <c r="J98"/>
  <c r="J99"/>
  <c r="J100"/>
  <c r="J101"/>
  <c r="J102"/>
  <c r="J103"/>
  <c r="J104"/>
  <c r="J105"/>
  <c r="J106"/>
  <c r="J107"/>
  <c r="J108"/>
  <c r="J109"/>
  <c r="J110"/>
  <c r="J111"/>
  <c r="J112"/>
  <c r="J113"/>
  <c r="J114"/>
  <c r="J115"/>
  <c r="J116"/>
  <c r="J117"/>
  <c r="J118"/>
  <c r="J119"/>
  <c r="J120"/>
  <c r="J121"/>
  <c r="J122"/>
  <c r="J123"/>
  <c r="J124"/>
  <c r="J125"/>
  <c r="J126"/>
  <c r="J127"/>
  <c r="J128"/>
  <c r="J129"/>
  <c r="J130"/>
  <c r="J131"/>
  <c r="J132"/>
  <c r="J133"/>
  <c r="J134"/>
  <c r="J135"/>
  <c r="J136"/>
  <c r="J137"/>
  <c r="J138"/>
  <c r="J139"/>
  <c r="J140"/>
  <c r="J141"/>
  <c r="J142"/>
  <c r="J143"/>
  <c r="J144"/>
  <c r="J145"/>
  <c r="J146"/>
  <c r="J147"/>
  <c r="J148"/>
  <c r="J149"/>
  <c r="J150"/>
  <c r="J151"/>
  <c r="J152"/>
  <c r="J153"/>
  <c r="J154"/>
  <c r="J155"/>
  <c r="J156"/>
  <c r="J157"/>
  <c r="J158"/>
  <c r="J159"/>
  <c r="J160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I50"/>
  <c r="I51"/>
  <c r="I52"/>
  <c r="I53"/>
  <c r="I54"/>
  <c r="I55"/>
  <c r="I56"/>
  <c r="I57"/>
  <c r="I58"/>
  <c r="I59"/>
  <c r="I60"/>
  <c r="I61"/>
  <c r="I62"/>
  <c r="I63"/>
  <c r="I64"/>
  <c r="I65"/>
  <c r="I66"/>
  <c r="I67"/>
  <c r="I68"/>
  <c r="I69"/>
  <c r="I70"/>
  <c r="I71"/>
  <c r="I72"/>
  <c r="I73"/>
  <c r="I74"/>
  <c r="I75"/>
  <c r="I76"/>
  <c r="I77"/>
  <c r="I78"/>
  <c r="I79"/>
  <c r="I80"/>
  <c r="I81"/>
  <c r="I82"/>
  <c r="I83"/>
  <c r="I84"/>
  <c r="I85"/>
  <c r="I86"/>
  <c r="I87"/>
  <c r="I88"/>
  <c r="I89"/>
  <c r="I90"/>
  <c r="I91"/>
  <c r="I92"/>
  <c r="I93"/>
  <c r="I94"/>
  <c r="I95"/>
  <c r="I96"/>
  <c r="I97"/>
  <c r="I98"/>
  <c r="I99"/>
  <c r="I100"/>
  <c r="I101"/>
  <c r="I102"/>
  <c r="I103"/>
  <c r="I104"/>
  <c r="I105"/>
  <c r="I106"/>
  <c r="I107"/>
  <c r="I108"/>
  <c r="I109"/>
  <c r="I110"/>
  <c r="I111"/>
  <c r="I112"/>
  <c r="I113"/>
  <c r="I114"/>
  <c r="I115"/>
  <c r="I116"/>
  <c r="I117"/>
  <c r="I118"/>
  <c r="I119"/>
  <c r="I120"/>
  <c r="I121"/>
  <c r="I122"/>
  <c r="I123"/>
  <c r="I124"/>
  <c r="I125"/>
  <c r="I126"/>
  <c r="I127"/>
  <c r="I128"/>
  <c r="I129"/>
  <c r="I130"/>
  <c r="I131"/>
  <c r="I132"/>
  <c r="I133"/>
  <c r="I134"/>
  <c r="I135"/>
  <c r="I136"/>
  <c r="I137"/>
  <c r="I138"/>
  <c r="I139"/>
  <c r="I140"/>
  <c r="I141"/>
  <c r="I142"/>
  <c r="I143"/>
  <c r="I144"/>
  <c r="I145"/>
  <c r="I146"/>
  <c r="I147"/>
  <c r="I148"/>
  <c r="I149"/>
  <c r="I150"/>
  <c r="I151"/>
  <c r="I152"/>
  <c r="I153"/>
  <c r="I154"/>
  <c r="I155"/>
  <c r="I156"/>
  <c r="I157"/>
  <c r="I158"/>
  <c r="I159"/>
  <c r="I160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H50"/>
  <c r="H51"/>
  <c r="H52"/>
  <c r="H53"/>
  <c r="H54"/>
  <c r="H55"/>
  <c r="H56"/>
  <c r="H57"/>
  <c r="H58"/>
  <c r="H59"/>
  <c r="H60"/>
  <c r="H61"/>
  <c r="H62"/>
  <c r="H63"/>
  <c r="H64"/>
  <c r="H65"/>
  <c r="H66"/>
  <c r="H67"/>
  <c r="H68"/>
  <c r="H69"/>
  <c r="H70"/>
  <c r="H71"/>
  <c r="H72"/>
  <c r="H73"/>
  <c r="H74"/>
  <c r="H75"/>
  <c r="H76"/>
  <c r="H77"/>
  <c r="H78"/>
  <c r="H79"/>
  <c r="H80"/>
  <c r="H81"/>
  <c r="H82"/>
  <c r="H83"/>
  <c r="H84"/>
  <c r="H85"/>
  <c r="H86"/>
  <c r="H87"/>
  <c r="H88"/>
  <c r="H89"/>
  <c r="H90"/>
  <c r="H91"/>
  <c r="H92"/>
  <c r="H93"/>
  <c r="H94"/>
  <c r="H95"/>
  <c r="H96"/>
  <c r="H97"/>
  <c r="H98"/>
  <c r="H99"/>
  <c r="H100"/>
  <c r="H101"/>
  <c r="H102"/>
  <c r="H103"/>
  <c r="H104"/>
  <c r="H105"/>
  <c r="H106"/>
  <c r="H107"/>
  <c r="H108"/>
  <c r="H109"/>
  <c r="H110"/>
  <c r="H111"/>
  <c r="H112"/>
  <c r="H113"/>
  <c r="H114"/>
  <c r="H115"/>
  <c r="H116"/>
  <c r="H117"/>
  <c r="H118"/>
  <c r="H119"/>
  <c r="H120"/>
  <c r="H121"/>
  <c r="H122"/>
  <c r="H123"/>
  <c r="H124"/>
  <c r="H125"/>
  <c r="H126"/>
  <c r="H127"/>
  <c r="H128"/>
  <c r="H129"/>
  <c r="H130"/>
  <c r="H131"/>
  <c r="H132"/>
  <c r="H133"/>
  <c r="H134"/>
  <c r="H135"/>
  <c r="H136"/>
  <c r="H137"/>
  <c r="H138"/>
  <c r="H139"/>
  <c r="H140"/>
  <c r="H141"/>
  <c r="H142"/>
  <c r="H143"/>
  <c r="H144"/>
  <c r="H145"/>
  <c r="H146"/>
  <c r="H147"/>
  <c r="H148"/>
  <c r="H149"/>
  <c r="H150"/>
  <c r="H151"/>
  <c r="H152"/>
  <c r="H153"/>
  <c r="H154"/>
  <c r="H155"/>
  <c r="H156"/>
  <c r="H157"/>
  <c r="H158"/>
  <c r="H159"/>
  <c r="H160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G50"/>
  <c r="G51"/>
  <c r="G52"/>
  <c r="G53"/>
  <c r="G54"/>
  <c r="G55"/>
  <c r="G56"/>
  <c r="G57"/>
  <c r="G58"/>
  <c r="G59"/>
  <c r="G60"/>
  <c r="G61"/>
  <c r="G62"/>
  <c r="G63"/>
  <c r="G64"/>
  <c r="G65"/>
  <c r="G66"/>
  <c r="G67"/>
  <c r="G68"/>
  <c r="G69"/>
  <c r="G70"/>
  <c r="G71"/>
  <c r="G72"/>
  <c r="G73"/>
  <c r="G74"/>
  <c r="G75"/>
  <c r="G76"/>
  <c r="G77"/>
  <c r="G78"/>
  <c r="G79"/>
  <c r="G80"/>
  <c r="G81"/>
  <c r="G82"/>
  <c r="G83"/>
  <c r="G84"/>
  <c r="G85"/>
  <c r="G86"/>
  <c r="G87"/>
  <c r="G88"/>
  <c r="G89"/>
  <c r="G90"/>
  <c r="G91"/>
  <c r="G92"/>
  <c r="G93"/>
  <c r="G94"/>
  <c r="G95"/>
  <c r="G96"/>
  <c r="G97"/>
  <c r="G98"/>
  <c r="G99"/>
  <c r="G100"/>
  <c r="G101"/>
  <c r="G102"/>
  <c r="G103"/>
  <c r="G104"/>
  <c r="G105"/>
  <c r="G106"/>
  <c r="G107"/>
  <c r="G108"/>
  <c r="G109"/>
  <c r="G110"/>
  <c r="G111"/>
  <c r="G112"/>
  <c r="G113"/>
  <c r="G114"/>
  <c r="G115"/>
  <c r="G116"/>
  <c r="G117"/>
  <c r="G118"/>
  <c r="G119"/>
  <c r="G120"/>
  <c r="G121"/>
  <c r="G122"/>
  <c r="G123"/>
  <c r="G124"/>
  <c r="G125"/>
  <c r="G126"/>
  <c r="G127"/>
  <c r="G128"/>
  <c r="G129"/>
  <c r="G130"/>
  <c r="G131"/>
  <c r="G132"/>
  <c r="G133"/>
  <c r="G134"/>
  <c r="G135"/>
  <c r="G136"/>
  <c r="G137"/>
  <c r="G138"/>
  <c r="G139"/>
  <c r="G140"/>
  <c r="G141"/>
  <c r="G142"/>
  <c r="G143"/>
  <c r="G144"/>
  <c r="G145"/>
  <c r="G146"/>
  <c r="G147"/>
  <c r="G148"/>
  <c r="G149"/>
  <c r="G150"/>
  <c r="G151"/>
  <c r="G152"/>
  <c r="G153"/>
  <c r="G154"/>
  <c r="G155"/>
  <c r="G156"/>
  <c r="G157"/>
  <c r="G158"/>
  <c r="G159"/>
  <c r="G160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F50"/>
  <c r="F51"/>
  <c r="F52"/>
  <c r="F53"/>
  <c r="F54"/>
  <c r="F55"/>
  <c r="F56"/>
  <c r="F57"/>
  <c r="F58"/>
  <c r="F59"/>
  <c r="F60"/>
  <c r="F61"/>
  <c r="F62"/>
  <c r="F63"/>
  <c r="F64"/>
  <c r="F65"/>
  <c r="F66"/>
  <c r="F67"/>
  <c r="F68"/>
  <c r="F69"/>
  <c r="F70"/>
  <c r="F71"/>
  <c r="F72"/>
  <c r="F73"/>
  <c r="F74"/>
  <c r="F75"/>
  <c r="F76"/>
  <c r="F77"/>
  <c r="F78"/>
  <c r="F79"/>
  <c r="F80"/>
  <c r="F81"/>
  <c r="F82"/>
  <c r="F83"/>
  <c r="F84"/>
  <c r="F85"/>
  <c r="F86"/>
  <c r="F87"/>
  <c r="F88"/>
  <c r="F89"/>
  <c r="F90"/>
  <c r="F91"/>
  <c r="F92"/>
  <c r="F93"/>
  <c r="F94"/>
  <c r="F95"/>
  <c r="F96"/>
  <c r="F97"/>
  <c r="F98"/>
  <c r="F99"/>
  <c r="F100"/>
  <c r="F101"/>
  <c r="F102"/>
  <c r="F103"/>
  <c r="F104"/>
  <c r="F105"/>
  <c r="F106"/>
  <c r="F107"/>
  <c r="F108"/>
  <c r="F109"/>
  <c r="F110"/>
  <c r="F111"/>
  <c r="F112"/>
  <c r="F113"/>
  <c r="F114"/>
  <c r="F115"/>
  <c r="F116"/>
  <c r="F117"/>
  <c r="F118"/>
  <c r="F119"/>
  <c r="F120"/>
  <c r="F121"/>
  <c r="F122"/>
  <c r="F123"/>
  <c r="F124"/>
  <c r="F125"/>
  <c r="F126"/>
  <c r="F127"/>
  <c r="F128"/>
  <c r="F129"/>
  <c r="F130"/>
  <c r="F131"/>
  <c r="F132"/>
  <c r="F133"/>
  <c r="F134"/>
  <c r="F135"/>
  <c r="F136"/>
  <c r="F137"/>
  <c r="F138"/>
  <c r="F139"/>
  <c r="F140"/>
  <c r="F141"/>
  <c r="F142"/>
  <c r="F143"/>
  <c r="F144"/>
  <c r="F145"/>
  <c r="F146"/>
  <c r="F147"/>
  <c r="F148"/>
  <c r="F149"/>
  <c r="F150"/>
  <c r="F151"/>
  <c r="F152"/>
  <c r="F153"/>
  <c r="F154"/>
  <c r="F155"/>
  <c r="F156"/>
  <c r="F157"/>
  <c r="F158"/>
  <c r="F159"/>
  <c r="F160"/>
  <c r="E3"/>
  <c r="E4"/>
  <c r="E5"/>
  <c r="E6"/>
  <c r="E7"/>
  <c r="E8"/>
  <c r="E9"/>
  <c r="E10"/>
  <c r="E11"/>
  <c r="E12"/>
  <c r="E13"/>
  <c r="E14"/>
  <c r="E15"/>
  <c r="E16"/>
  <c r="E17"/>
  <c r="E18"/>
  <c r="E19"/>
  <c r="E20"/>
  <c r="E21"/>
  <c r="E22"/>
  <c r="E23"/>
  <c r="E24"/>
  <c r="E25"/>
  <c r="E26"/>
  <c r="E27"/>
  <c r="E28"/>
  <c r="E29"/>
  <c r="E30"/>
  <c r="E31"/>
  <c r="E32"/>
  <c r="E33"/>
  <c r="E34"/>
  <c r="E35"/>
  <c r="E36"/>
  <c r="E37"/>
  <c r="E38"/>
  <c r="E39"/>
  <c r="E40"/>
  <c r="E41"/>
  <c r="E42"/>
  <c r="E43"/>
  <c r="E44"/>
  <c r="E45"/>
  <c r="E46"/>
  <c r="E47"/>
  <c r="E48"/>
  <c r="E49"/>
  <c r="E50"/>
  <c r="E51"/>
  <c r="E52"/>
  <c r="E53"/>
  <c r="E54"/>
  <c r="E55"/>
  <c r="E56"/>
  <c r="E57"/>
  <c r="E58"/>
  <c r="E59"/>
  <c r="E60"/>
  <c r="E61"/>
  <c r="E62"/>
  <c r="E63"/>
  <c r="E64"/>
  <c r="E65"/>
  <c r="E66"/>
  <c r="E67"/>
  <c r="E68"/>
  <c r="E69"/>
  <c r="E70"/>
  <c r="E71"/>
  <c r="E72"/>
  <c r="E73"/>
  <c r="E74"/>
  <c r="E75"/>
  <c r="E76"/>
  <c r="E77"/>
  <c r="E78"/>
  <c r="E79"/>
  <c r="E80"/>
  <c r="E81"/>
  <c r="E82"/>
  <c r="E83"/>
  <c r="E84"/>
  <c r="E85"/>
  <c r="E86"/>
  <c r="E87"/>
  <c r="E88"/>
  <c r="E89"/>
  <c r="E90"/>
  <c r="E91"/>
  <c r="E92"/>
  <c r="E93"/>
  <c r="E94"/>
  <c r="E95"/>
  <c r="E96"/>
  <c r="E97"/>
  <c r="E98"/>
  <c r="E99"/>
  <c r="E100"/>
  <c r="E101"/>
  <c r="E102"/>
  <c r="E103"/>
  <c r="E104"/>
  <c r="E105"/>
  <c r="E106"/>
  <c r="E107"/>
  <c r="E108"/>
  <c r="E109"/>
  <c r="E110"/>
  <c r="E111"/>
  <c r="E112"/>
  <c r="E113"/>
  <c r="E114"/>
  <c r="E115"/>
  <c r="E116"/>
  <c r="E117"/>
  <c r="E118"/>
  <c r="E119"/>
  <c r="E120"/>
  <c r="E121"/>
  <c r="E122"/>
  <c r="E123"/>
  <c r="E124"/>
  <c r="E125"/>
  <c r="E126"/>
  <c r="E127"/>
  <c r="E128"/>
  <c r="E129"/>
  <c r="E130"/>
  <c r="E131"/>
  <c r="E132"/>
  <c r="E133"/>
  <c r="E134"/>
  <c r="E135"/>
  <c r="E136"/>
  <c r="E137"/>
  <c r="E138"/>
  <c r="E139"/>
  <c r="E140"/>
  <c r="E141"/>
  <c r="E142"/>
  <c r="E143"/>
  <c r="E144"/>
  <c r="E145"/>
  <c r="E146"/>
  <c r="E147"/>
  <c r="E148"/>
  <c r="E149"/>
  <c r="E150"/>
  <c r="E151"/>
  <c r="E152"/>
  <c r="E153"/>
  <c r="E154"/>
  <c r="E155"/>
  <c r="E156"/>
  <c r="E157"/>
  <c r="E158"/>
  <c r="E159"/>
  <c r="E160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D50"/>
  <c r="D51"/>
  <c r="D52"/>
  <c r="D53"/>
  <c r="D54"/>
  <c r="D55"/>
  <c r="D56"/>
  <c r="D57"/>
  <c r="D58"/>
  <c r="D59"/>
  <c r="D60"/>
  <c r="D61"/>
  <c r="D62"/>
  <c r="D63"/>
  <c r="D64"/>
  <c r="D65"/>
  <c r="D66"/>
  <c r="D67"/>
  <c r="D68"/>
  <c r="D69"/>
  <c r="D70"/>
  <c r="D71"/>
  <c r="D72"/>
  <c r="D73"/>
  <c r="D74"/>
  <c r="D75"/>
  <c r="D76"/>
  <c r="D77"/>
  <c r="D78"/>
  <c r="D79"/>
  <c r="D80"/>
  <c r="D81"/>
  <c r="D82"/>
  <c r="D83"/>
  <c r="D84"/>
  <c r="D85"/>
  <c r="D86"/>
  <c r="D87"/>
  <c r="D88"/>
  <c r="D89"/>
  <c r="D90"/>
  <c r="D91"/>
  <c r="D92"/>
  <c r="D93"/>
  <c r="D94"/>
  <c r="D95"/>
  <c r="D96"/>
  <c r="D97"/>
  <c r="D98"/>
  <c r="D99"/>
  <c r="D100"/>
  <c r="D101"/>
  <c r="D102"/>
  <c r="D103"/>
  <c r="D104"/>
  <c r="D105"/>
  <c r="D106"/>
  <c r="D107"/>
  <c r="D108"/>
  <c r="D109"/>
  <c r="D110"/>
  <c r="D111"/>
  <c r="D112"/>
  <c r="D113"/>
  <c r="D114"/>
  <c r="D115"/>
  <c r="D116"/>
  <c r="D117"/>
  <c r="D118"/>
  <c r="D119"/>
  <c r="D120"/>
  <c r="D121"/>
  <c r="D122"/>
  <c r="D123"/>
  <c r="D124"/>
  <c r="D125"/>
  <c r="D126"/>
  <c r="D127"/>
  <c r="D128"/>
  <c r="D129"/>
  <c r="D130"/>
  <c r="D131"/>
  <c r="D132"/>
  <c r="D133"/>
  <c r="D134"/>
  <c r="D135"/>
  <c r="D136"/>
  <c r="D137"/>
  <c r="D138"/>
  <c r="D139"/>
  <c r="D140"/>
  <c r="D141"/>
  <c r="D142"/>
  <c r="D143"/>
  <c r="D144"/>
  <c r="D145"/>
  <c r="D146"/>
  <c r="D147"/>
  <c r="D148"/>
  <c r="D149"/>
  <c r="D150"/>
  <c r="D151"/>
  <c r="D152"/>
  <c r="D153"/>
  <c r="D154"/>
  <c r="D155"/>
  <c r="D156"/>
  <c r="D157"/>
  <c r="D158"/>
  <c r="D159"/>
  <c r="D160"/>
  <c r="C3"/>
  <c r="C4"/>
  <c r="C5"/>
  <c r="C6"/>
  <c r="C7"/>
  <c r="C8"/>
  <c r="C9"/>
  <c r="C10"/>
  <c r="C11"/>
  <c r="C12"/>
  <c r="C13"/>
  <c r="C14"/>
  <c r="C15"/>
  <c r="C16"/>
  <c r="C17"/>
  <c r="C18"/>
  <c r="C19"/>
  <c r="C20"/>
  <c r="C21"/>
  <c r="C22"/>
  <c r="C23"/>
  <c r="C24"/>
  <c r="C25"/>
  <c r="C26"/>
  <c r="C27"/>
  <c r="C28"/>
  <c r="C29"/>
  <c r="C30"/>
  <c r="C31"/>
  <c r="C32"/>
  <c r="C33"/>
  <c r="C34"/>
  <c r="C35"/>
  <c r="C36"/>
  <c r="C37"/>
  <c r="C38"/>
  <c r="C39"/>
  <c r="C40"/>
  <c r="C41"/>
  <c r="C42"/>
  <c r="C43"/>
  <c r="C44"/>
  <c r="C45"/>
  <c r="C46"/>
  <c r="C47"/>
  <c r="C48"/>
  <c r="C49"/>
  <c r="C50"/>
  <c r="C51"/>
  <c r="C52"/>
  <c r="C53"/>
  <c r="C54"/>
  <c r="C55"/>
  <c r="C56"/>
  <c r="C57"/>
  <c r="C58"/>
  <c r="C59"/>
  <c r="C60"/>
  <c r="C61"/>
  <c r="C62"/>
  <c r="C63"/>
  <c r="C64"/>
  <c r="C65"/>
  <c r="C66"/>
  <c r="C67"/>
  <c r="C68"/>
  <c r="C69"/>
  <c r="C70"/>
  <c r="C71"/>
  <c r="C72"/>
  <c r="C73"/>
  <c r="C74"/>
  <c r="C75"/>
  <c r="C76"/>
  <c r="C77"/>
  <c r="C78"/>
  <c r="C79"/>
  <c r="C80"/>
  <c r="C81"/>
  <c r="C82"/>
  <c r="C83"/>
  <c r="C84"/>
  <c r="C85"/>
  <c r="C86"/>
  <c r="C87"/>
  <c r="C88"/>
  <c r="C89"/>
  <c r="C90"/>
  <c r="C91"/>
  <c r="C92"/>
  <c r="C93"/>
  <c r="C94"/>
  <c r="C95"/>
  <c r="C96"/>
  <c r="C97"/>
  <c r="C98"/>
  <c r="C99"/>
  <c r="C100"/>
  <c r="C101"/>
  <c r="C102"/>
  <c r="C103"/>
  <c r="C104"/>
  <c r="C105"/>
  <c r="C106"/>
  <c r="C107"/>
  <c r="C108"/>
  <c r="C109"/>
  <c r="C110"/>
  <c r="C111"/>
  <c r="C112"/>
  <c r="C113"/>
  <c r="C114"/>
  <c r="C115"/>
  <c r="C116"/>
  <c r="C117"/>
  <c r="C118"/>
  <c r="C119"/>
  <c r="C120"/>
  <c r="C121"/>
  <c r="C122"/>
  <c r="C123"/>
  <c r="C124"/>
  <c r="C125"/>
  <c r="C126"/>
  <c r="C127"/>
  <c r="C128"/>
  <c r="C129"/>
  <c r="C130"/>
  <c r="C131"/>
  <c r="C132"/>
  <c r="C133"/>
  <c r="C134"/>
  <c r="C135"/>
  <c r="C136"/>
  <c r="C137"/>
  <c r="C138"/>
  <c r="C139"/>
  <c r="C140"/>
  <c r="C141"/>
  <c r="C142"/>
  <c r="C143"/>
  <c r="C144"/>
  <c r="C145"/>
  <c r="C146"/>
  <c r="C147"/>
  <c r="C148"/>
  <c r="C149"/>
  <c r="C150"/>
  <c r="C151"/>
  <c r="C152"/>
  <c r="C153"/>
  <c r="C154"/>
  <c r="C155"/>
  <c r="C156"/>
  <c r="C157"/>
  <c r="C158"/>
  <c r="C159"/>
  <c r="C160"/>
  <c r="AI2" i="6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AI290"/>
  <c r="AI291"/>
  <c r="AI292"/>
  <c r="AI293"/>
  <c r="AI294"/>
  <c r="AI295"/>
  <c r="AI296"/>
  <c r="AI297"/>
  <c r="AI298"/>
  <c r="AI299"/>
  <c r="AI300"/>
  <c r="AI301"/>
  <c r="AI302"/>
  <c r="AI303"/>
  <c r="AI304"/>
  <c r="AI305"/>
  <c r="AI306"/>
  <c r="AI307"/>
  <c r="AI308"/>
  <c r="AI309"/>
  <c r="AI310"/>
  <c r="AI311"/>
  <c r="AI312"/>
  <c r="AI313"/>
  <c r="AI314"/>
  <c r="AI315"/>
  <c r="AI316"/>
  <c r="AI317"/>
  <c r="AI318"/>
  <c r="AI319"/>
  <c r="AI320"/>
  <c r="AI321"/>
  <c r="AI322"/>
  <c r="AI323"/>
  <c r="AI324"/>
  <c r="AI325"/>
  <c r="AI326"/>
  <c r="AI327"/>
  <c r="AI328"/>
  <c r="AI329"/>
  <c r="AI330"/>
  <c r="AI331"/>
  <c r="AI332"/>
  <c r="AI333"/>
  <c r="AI334"/>
  <c r="AI335"/>
  <c r="AI336"/>
  <c r="AI337"/>
  <c r="AI338"/>
  <c r="AI339"/>
  <c r="AI340"/>
  <c r="AI341"/>
  <c r="AI342"/>
  <c r="AI343"/>
  <c r="AI344"/>
  <c r="AI345"/>
  <c r="AI346"/>
  <c r="AI347"/>
  <c r="AI348"/>
  <c r="AI349"/>
  <c r="AI350"/>
  <c r="AI351"/>
  <c r="AI352"/>
  <c r="AI353"/>
  <c r="AI354"/>
  <c r="AI355"/>
  <c r="AI356"/>
  <c r="AI357"/>
  <c r="AI358"/>
  <c r="AI359"/>
  <c r="AI360"/>
  <c r="AI361"/>
  <c r="AI362"/>
  <c r="AI363"/>
  <c r="AI364"/>
  <c r="AI365"/>
  <c r="AI366"/>
  <c r="AI367"/>
  <c r="AI368"/>
  <c r="AI369"/>
  <c r="AI370"/>
  <c r="AI371"/>
  <c r="AI372"/>
  <c r="AI373"/>
  <c r="AI374"/>
  <c r="AI375"/>
  <c r="AI376"/>
  <c r="AI377"/>
  <c r="AI378"/>
  <c r="AI379"/>
  <c r="AI380"/>
  <c r="AI381"/>
  <c r="AI382"/>
  <c r="AI383"/>
  <c r="AI384"/>
  <c r="AI385"/>
  <c r="AI386"/>
  <c r="AI387"/>
  <c r="AI388"/>
  <c r="AI389"/>
  <c r="AI390"/>
  <c r="AI391"/>
  <c r="AI392"/>
  <c r="AI393"/>
  <c r="AI394"/>
  <c r="AI395"/>
  <c r="AI396"/>
  <c r="AI397"/>
  <c r="AI398"/>
  <c r="AI399"/>
  <c r="AI400"/>
  <c r="AI401"/>
  <c r="AI402"/>
  <c r="AI403"/>
  <c r="AI404"/>
  <c r="AI405"/>
  <c r="AI406"/>
  <c r="AI407"/>
  <c r="AI408"/>
  <c r="AI409"/>
  <c r="AI410"/>
  <c r="AI411"/>
  <c r="AI412"/>
  <c r="AI413"/>
  <c r="AI414"/>
  <c r="AI415"/>
  <c r="AI416"/>
  <c r="AI417"/>
  <c r="AI418"/>
  <c r="AI419"/>
  <c r="AI420"/>
  <c r="AI421"/>
  <c r="AI422"/>
  <c r="AI423"/>
  <c r="AI424"/>
  <c r="AI425"/>
  <c r="AI426"/>
  <c r="AI427"/>
  <c r="AI428"/>
  <c r="AI429"/>
  <c r="AI430"/>
  <c r="AI431"/>
  <c r="AI432"/>
  <c r="AI433"/>
  <c r="AI434"/>
  <c r="AI435"/>
  <c r="AI436"/>
  <c r="AI437"/>
  <c r="AI438"/>
  <c r="AI439"/>
  <c r="AI440"/>
  <c r="AI441"/>
  <c r="AI442"/>
  <c r="AI443"/>
  <c r="AI444"/>
  <c r="AI445"/>
  <c r="AI446"/>
  <c r="AI447"/>
  <c r="AI448"/>
  <c r="AI449"/>
  <c r="AI450"/>
  <c r="AI451"/>
  <c r="AI452"/>
  <c r="AI453"/>
  <c r="AI454"/>
  <c r="AI455"/>
  <c r="AI456"/>
  <c r="AI457"/>
  <c r="AI458"/>
  <c r="AI459"/>
  <c r="AI460"/>
  <c r="AI461"/>
  <c r="AI462"/>
  <c r="AI463"/>
  <c r="AI464"/>
  <c r="AI465"/>
  <c r="AI466"/>
  <c r="AI467"/>
  <c r="AI468"/>
  <c r="AI469"/>
  <c r="AI470"/>
  <c r="AI471"/>
  <c r="AI472"/>
  <c r="AI473"/>
  <c r="AI474"/>
  <c r="AI475"/>
  <c r="AI476"/>
  <c r="AI477"/>
  <c r="AI478"/>
  <c r="AI479"/>
  <c r="AI480"/>
  <c r="AI481"/>
  <c r="AI482"/>
  <c r="AI483"/>
  <c r="AI484"/>
  <c r="AI485"/>
  <c r="AI486"/>
  <c r="AI487"/>
  <c r="AI488"/>
  <c r="AI489"/>
  <c r="AI490"/>
  <c r="AI491"/>
  <c r="AI492"/>
  <c r="AI493"/>
  <c r="AI494"/>
  <c r="AI495"/>
  <c r="AI496"/>
  <c r="AI497"/>
  <c r="AI498"/>
  <c r="AI499"/>
  <c r="AI500"/>
  <c r="AI501"/>
  <c r="AI502"/>
  <c r="AI503"/>
  <c r="AI504"/>
  <c r="AI505"/>
  <c r="AI506"/>
  <c r="AI507"/>
  <c r="AI508"/>
  <c r="AI509"/>
  <c r="AI510"/>
  <c r="AI511"/>
  <c r="AI512"/>
  <c r="AI513"/>
  <c r="AI514"/>
  <c r="AI515"/>
  <c r="AI516"/>
  <c r="AI517"/>
  <c r="AI518"/>
  <c r="AI519"/>
  <c r="AI520"/>
  <c r="AI521"/>
  <c r="AI522"/>
  <c r="AI523"/>
  <c r="AI524"/>
  <c r="AI525"/>
  <c r="AI526"/>
  <c r="AI527"/>
  <c r="AI528"/>
  <c r="AI529"/>
  <c r="AI530"/>
  <c r="AI531"/>
  <c r="AI532"/>
  <c r="AI533"/>
  <c r="AI534"/>
  <c r="AI535"/>
  <c r="AI536"/>
  <c r="AI537"/>
  <c r="AI538"/>
  <c r="AI539"/>
  <c r="AI540"/>
  <c r="AI541"/>
  <c r="AI542"/>
  <c r="AI543"/>
  <c r="AI544"/>
  <c r="AI545"/>
  <c r="AI546"/>
  <c r="AI547"/>
  <c r="AI548"/>
  <c r="AI549"/>
  <c r="AI550"/>
  <c r="AI551"/>
  <c r="AI552"/>
  <c r="AI553"/>
  <c r="AI554"/>
  <c r="AI555"/>
  <c r="AI556"/>
  <c r="AI557"/>
  <c r="AI558"/>
  <c r="AI559"/>
  <c r="AI560"/>
  <c r="AI561"/>
  <c r="AI562"/>
  <c r="AI563"/>
  <c r="AI564"/>
  <c r="AI565"/>
  <c r="AI566"/>
  <c r="AI567"/>
  <c r="AI568"/>
  <c r="AI569"/>
  <c r="AI570"/>
  <c r="AI571"/>
  <c r="AI572"/>
  <c r="AI573"/>
  <c r="AI574"/>
  <c r="AI575"/>
  <c r="AI576"/>
  <c r="AI577"/>
  <c r="AI578"/>
  <c r="AI579"/>
  <c r="AI580"/>
  <c r="AI581"/>
  <c r="AI582"/>
  <c r="AI583"/>
  <c r="AI584"/>
  <c r="AI585"/>
  <c r="AI586"/>
  <c r="AI587"/>
  <c r="AI588"/>
  <c r="AI589"/>
  <c r="AI590"/>
  <c r="AI591"/>
  <c r="AI592"/>
  <c r="AI593"/>
  <c r="AI594"/>
  <c r="AI595"/>
  <c r="AI596"/>
  <c r="AI597"/>
  <c r="AI598"/>
  <c r="AI599"/>
  <c r="AI600"/>
  <c r="AI601"/>
  <c r="AI602"/>
  <c r="AI603"/>
  <c r="AI604"/>
  <c r="AI605"/>
  <c r="AI606"/>
  <c r="AI607"/>
  <c r="AI608"/>
  <c r="AI609"/>
  <c r="AI610"/>
  <c r="AI611"/>
  <c r="AI612"/>
  <c r="AI613"/>
  <c r="AI614"/>
  <c r="AI615"/>
  <c r="AI616"/>
  <c r="AI617"/>
  <c r="AI618"/>
  <c r="AI619"/>
  <c r="AI620"/>
  <c r="AI621"/>
  <c r="AI622"/>
  <c r="AI623"/>
  <c r="AI624"/>
  <c r="AI625"/>
  <c r="AI626"/>
  <c r="AI627"/>
  <c r="AI628"/>
  <c r="AI629"/>
  <c r="AI630"/>
  <c r="AI631"/>
  <c r="AI632"/>
  <c r="AI633"/>
  <c r="AI634"/>
  <c r="AI635"/>
  <c r="AI636"/>
  <c r="AI637"/>
  <c r="AI638"/>
  <c r="AI639"/>
  <c r="AI640"/>
  <c r="AI641"/>
  <c r="AI642"/>
  <c r="AI643"/>
  <c r="AI644"/>
  <c r="AI645"/>
  <c r="AI646"/>
  <c r="AI647"/>
  <c r="AI648"/>
  <c r="AI649"/>
  <c r="AI650"/>
  <c r="AI651"/>
  <c r="AI652"/>
  <c r="AI653"/>
  <c r="AI654"/>
  <c r="AI655"/>
  <c r="AI656"/>
  <c r="AI657"/>
  <c r="AI658"/>
  <c r="AI659"/>
  <c r="AI660"/>
  <c r="AI661"/>
  <c r="AI662"/>
  <c r="AI663"/>
  <c r="AI664"/>
  <c r="AI665"/>
  <c r="AI666"/>
  <c r="AI667"/>
  <c r="AI668"/>
  <c r="AI669"/>
  <c r="AI670"/>
  <c r="AI671"/>
  <c r="AI672"/>
  <c r="AI673"/>
  <c r="AI674"/>
  <c r="AI675"/>
  <c r="AI676"/>
  <c r="AI677"/>
  <c r="AI678"/>
  <c r="AI679"/>
  <c r="AI680"/>
  <c r="AI681"/>
  <c r="AI682"/>
  <c r="AI683"/>
  <c r="AI684"/>
  <c r="AI685"/>
  <c r="AI686"/>
  <c r="AI687"/>
  <c r="AI688"/>
  <c r="AI689"/>
  <c r="AI690"/>
  <c r="AI691"/>
  <c r="AI692"/>
  <c r="AI693"/>
  <c r="AI694"/>
  <c r="AI695"/>
  <c r="AI696"/>
  <c r="AI697"/>
  <c r="AI698"/>
  <c r="AI699"/>
  <c r="AI700"/>
  <c r="AI701"/>
  <c r="AI702"/>
  <c r="AI703"/>
  <c r="AI704"/>
  <c r="AI705"/>
  <c r="AI706"/>
  <c r="AI707"/>
  <c r="AI708"/>
  <c r="AI709"/>
  <c r="AI710"/>
  <c r="AI711"/>
  <c r="AI712"/>
  <c r="AI713"/>
  <c r="AI714"/>
  <c r="AI715"/>
  <c r="AI716"/>
  <c r="AI717"/>
  <c r="AI718"/>
  <c r="AI719"/>
  <c r="AI720"/>
  <c r="AI721"/>
  <c r="AI722"/>
  <c r="AI723"/>
  <c r="AI724"/>
  <c r="AI725"/>
  <c r="AI726"/>
  <c r="AI727"/>
  <c r="AI728"/>
  <c r="AI729"/>
  <c r="AI730"/>
  <c r="AI731"/>
  <c r="AI732"/>
  <c r="AI733"/>
  <c r="AI734"/>
  <c r="AI735"/>
  <c r="AI736"/>
  <c r="AI737"/>
  <c r="AI738"/>
  <c r="AI739"/>
  <c r="AI740"/>
  <c r="AI741"/>
  <c r="AI742"/>
  <c r="AI743"/>
  <c r="AI744"/>
  <c r="AI745"/>
  <c r="AI746"/>
  <c r="AI747"/>
  <c r="AI748"/>
  <c r="AI749"/>
  <c r="AI750"/>
  <c r="AI751"/>
  <c r="AI752"/>
  <c r="AI753"/>
  <c r="AI754"/>
  <c r="AI755"/>
  <c r="AI756"/>
  <c r="AI757"/>
  <c r="AI758"/>
  <c r="AI759"/>
  <c r="AI760"/>
  <c r="AI761"/>
  <c r="AI762"/>
  <c r="AI763"/>
  <c r="AI764"/>
  <c r="AI765"/>
  <c r="AI766"/>
  <c r="AI767"/>
  <c r="AI768"/>
  <c r="AI769"/>
  <c r="AI770"/>
  <c r="AI771"/>
  <c r="AI772"/>
  <c r="AI773"/>
  <c r="AI774"/>
  <c r="AI775"/>
  <c r="AI776"/>
  <c r="AI777"/>
  <c r="AI778"/>
  <c r="AI779"/>
  <c r="AI780"/>
  <c r="AI781"/>
  <c r="AI782"/>
  <c r="AI783"/>
  <c r="AI784"/>
  <c r="AI785"/>
  <c r="AI786"/>
  <c r="AI787"/>
  <c r="AI788"/>
  <c r="AI789"/>
  <c r="AI790"/>
  <c r="AI791"/>
  <c r="AI792"/>
  <c r="AI793"/>
  <c r="AI794"/>
  <c r="AI795"/>
  <c r="AI796"/>
  <c r="AI797"/>
  <c r="AI798"/>
  <c r="AI799"/>
  <c r="AI800"/>
  <c r="AI801"/>
  <c r="AI802"/>
  <c r="AI803"/>
  <c r="AI804"/>
  <c r="AI805"/>
  <c r="AI806"/>
  <c r="AI807"/>
  <c r="AI808"/>
  <c r="AI809"/>
  <c r="AI810"/>
  <c r="AI811"/>
  <c r="AI812"/>
  <c r="AI813"/>
  <c r="AI814"/>
  <c r="AI815"/>
  <c r="AI816"/>
  <c r="AI817"/>
  <c r="AI818"/>
  <c r="AI819"/>
  <c r="AI820"/>
  <c r="AI821"/>
  <c r="AI822"/>
  <c r="AI823"/>
  <c r="AI824"/>
  <c r="AI825"/>
  <c r="AI826"/>
  <c r="AI827"/>
  <c r="AI828"/>
  <c r="AI829"/>
  <c r="AI830"/>
  <c r="AI831"/>
  <c r="AI832"/>
  <c r="AI833"/>
  <c r="AI834"/>
  <c r="AI835"/>
  <c r="AI836"/>
  <c r="AI837"/>
  <c r="AI838"/>
  <c r="AI839"/>
  <c r="AI840"/>
  <c r="AI841"/>
  <c r="AI842"/>
  <c r="AI843"/>
  <c r="AI844"/>
  <c r="AI845"/>
  <c r="AI846"/>
  <c r="AI847"/>
  <c r="AI848"/>
  <c r="AI849"/>
  <c r="AI850"/>
  <c r="AI851"/>
  <c r="AI852"/>
  <c r="AI853"/>
  <c r="AI854"/>
  <c r="AI855"/>
  <c r="AI856"/>
  <c r="AI857"/>
  <c r="AI858"/>
  <c r="AI859"/>
  <c r="AI860"/>
  <c r="AI861"/>
  <c r="AI862"/>
  <c r="AI863"/>
  <c r="AI864"/>
  <c r="AI865"/>
  <c r="AI866"/>
  <c r="AI867"/>
  <c r="AI868"/>
  <c r="AI869"/>
  <c r="AI870"/>
  <c r="AI871"/>
  <c r="AI872"/>
  <c r="AI873"/>
  <c r="AI874"/>
  <c r="AI875"/>
  <c r="AI876"/>
  <c r="AI877"/>
  <c r="AI878"/>
  <c r="AI879"/>
  <c r="AI880"/>
  <c r="AI881"/>
  <c r="AI882"/>
  <c r="AI883"/>
  <c r="AI884"/>
  <c r="AI885"/>
  <c r="AI886"/>
  <c r="AI887"/>
  <c r="AI888"/>
  <c r="AI889"/>
  <c r="AI890"/>
  <c r="AI891"/>
  <c r="AI892"/>
  <c r="AI893"/>
  <c r="AI894"/>
  <c r="AI895"/>
  <c r="AI896"/>
  <c r="AI897"/>
  <c r="AI898"/>
  <c r="AI899"/>
  <c r="AI900"/>
  <c r="AI901"/>
  <c r="AI902"/>
  <c r="AI903"/>
  <c r="AI904"/>
  <c r="AI905"/>
  <c r="AI906"/>
  <c r="AI907"/>
  <c r="AI908"/>
  <c r="AI909"/>
  <c r="AI910"/>
  <c r="AI911"/>
  <c r="AI912"/>
  <c r="AI913"/>
  <c r="AI914"/>
  <c r="AI915"/>
  <c r="AI916"/>
  <c r="AI917"/>
  <c r="AI918"/>
  <c r="AI919"/>
  <c r="AI920"/>
  <c r="AI921"/>
  <c r="AI922"/>
  <c r="AI923"/>
  <c r="AI924"/>
  <c r="AI925"/>
  <c r="AI926"/>
  <c r="AI927"/>
  <c r="AI928"/>
  <c r="AI929"/>
  <c r="AI930"/>
  <c r="AI931"/>
  <c r="AI932"/>
  <c r="AI933"/>
  <c r="AI934"/>
  <c r="AI935"/>
  <c r="AI936"/>
  <c r="AI937"/>
  <c r="AI938"/>
  <c r="AI939"/>
  <c r="AI940"/>
  <c r="AI941"/>
  <c r="AI942"/>
  <c r="AI943"/>
  <c r="AI944"/>
  <c r="AI945"/>
  <c r="AI946"/>
  <c r="AI947"/>
  <c r="AI948"/>
  <c r="AI949"/>
  <c r="AI950"/>
  <c r="AI951"/>
  <c r="AI952"/>
  <c r="AI953"/>
  <c r="AI954"/>
  <c r="AI955"/>
  <c r="AI956"/>
  <c r="AI957"/>
  <c r="AI958"/>
  <c r="AI959"/>
  <c r="AI960"/>
  <c r="AI961"/>
  <c r="AI962"/>
  <c r="AI963"/>
  <c r="AI964"/>
  <c r="AI965"/>
  <c r="AI966"/>
  <c r="AI967"/>
  <c r="AI968"/>
  <c r="AI969"/>
  <c r="AI970"/>
  <c r="AI971"/>
  <c r="AI972"/>
  <c r="AI973"/>
  <c r="AI974"/>
  <c r="AI975"/>
  <c r="AI976"/>
  <c r="AI977"/>
  <c r="AI978"/>
  <c r="AI979"/>
  <c r="AI980"/>
  <c r="AI981"/>
  <c r="AI982"/>
  <c r="AI983"/>
  <c r="AI984"/>
  <c r="AI985"/>
  <c r="AI986"/>
  <c r="AI987"/>
  <c r="AI988"/>
  <c r="AI989"/>
  <c r="AI990"/>
  <c r="AI991"/>
  <c r="AI992"/>
  <c r="AI993"/>
  <c r="AI994"/>
  <c r="AI995"/>
  <c r="AI996"/>
  <c r="AI997"/>
  <c r="AI998"/>
  <c r="AI999"/>
  <c r="AI1000"/>
  <c r="AI1001"/>
  <c r="AI1002"/>
  <c r="AI1003"/>
  <c r="AI1004"/>
  <c r="AI1005"/>
  <c r="AI1006"/>
  <c r="AI1007"/>
  <c r="AI1008"/>
  <c r="AI1009"/>
  <c r="AI1010"/>
  <c r="AI1011"/>
  <c r="AI1012"/>
  <c r="AI1013"/>
  <c r="AI1014"/>
  <c r="AI1015"/>
  <c r="AI1016"/>
  <c r="AI1017"/>
  <c r="AI1018"/>
  <c r="AI1019"/>
  <c r="AI1020"/>
  <c r="AI1021"/>
  <c r="AI1022"/>
  <c r="AI1023"/>
  <c r="AI1024"/>
  <c r="AI1025"/>
  <c r="AI1026"/>
  <c r="AI1027"/>
  <c r="AI1028"/>
  <c r="AI1029"/>
  <c r="AI1030"/>
  <c r="AI1031"/>
  <c r="AI1032"/>
  <c r="AI1033"/>
  <c r="AI1034"/>
  <c r="AI1035"/>
  <c r="AI1036"/>
  <c r="AI1037"/>
  <c r="AI1038"/>
  <c r="AI1039"/>
  <c r="AI1040"/>
  <c r="AI1041"/>
  <c r="AI1042"/>
  <c r="AI1043"/>
  <c r="AI1044"/>
  <c r="AI1045"/>
  <c r="AI1046"/>
  <c r="AI1047"/>
  <c r="AI1048"/>
  <c r="AI1049"/>
  <c r="AI1050"/>
  <c r="AI1051"/>
  <c r="AI1052"/>
  <c r="AI1053"/>
  <c r="AI1054"/>
  <c r="AI1055"/>
  <c r="AI1056"/>
  <c r="AI1057"/>
  <c r="AI1058"/>
  <c r="AI1059"/>
  <c r="AI1060"/>
  <c r="AI1061"/>
  <c r="AI1062"/>
  <c r="AI1063"/>
  <c r="AI1064"/>
  <c r="AI1065"/>
  <c r="AI1066"/>
  <c r="AI1067"/>
  <c r="AI1068"/>
  <c r="AI1069"/>
  <c r="AI1070"/>
  <c r="AI1071"/>
  <c r="AI1072"/>
  <c r="AI1073"/>
  <c r="AI1074"/>
  <c r="AI1075"/>
  <c r="AI1076"/>
  <c r="AI1077"/>
  <c r="AI1078"/>
  <c r="AI1079"/>
  <c r="AI1080"/>
  <c r="AI1081"/>
  <c r="AI1082"/>
  <c r="AI1083"/>
  <c r="AI1084"/>
  <c r="AI1085"/>
  <c r="AI1086"/>
  <c r="AI1087"/>
  <c r="AI1088"/>
  <c r="AI1089"/>
  <c r="AI1090"/>
  <c r="AI1091"/>
  <c r="AI1092"/>
  <c r="AI1093"/>
  <c r="AI1094"/>
  <c r="AI1095"/>
  <c r="AI1096"/>
  <c r="AI1097"/>
  <c r="AI1098"/>
  <c r="AI1099"/>
  <c r="AI1100"/>
  <c r="AI1101"/>
  <c r="AI1102"/>
  <c r="AI1103"/>
  <c r="AI1104"/>
  <c r="AI1105"/>
  <c r="AI1106"/>
  <c r="AI1107"/>
  <c r="AI1108"/>
  <c r="AI1109"/>
  <c r="AI1110"/>
  <c r="AI1111"/>
  <c r="AI1112"/>
  <c r="AI1113"/>
  <c r="AI1114"/>
  <c r="AI1115"/>
  <c r="AI1116"/>
  <c r="AI1117"/>
  <c r="AI1118"/>
  <c r="AI1119"/>
  <c r="AI1120"/>
  <c r="AI1121"/>
  <c r="AI1122"/>
  <c r="D50" i="5"/>
  <c r="E50"/>
  <c r="F50"/>
  <c r="G50"/>
  <c r="H50"/>
  <c r="I50"/>
  <c r="J50"/>
  <c r="K50"/>
  <c r="J3"/>
  <c r="J4"/>
  <c r="J5"/>
  <c r="J6"/>
  <c r="J7"/>
  <c r="J8"/>
  <c r="J9"/>
  <c r="J10"/>
  <c r="J11"/>
  <c r="J12"/>
  <c r="J13"/>
  <c r="J14"/>
  <c r="J15"/>
  <c r="J16"/>
  <c r="J17"/>
  <c r="J18"/>
  <c r="J19"/>
  <c r="J20"/>
  <c r="J21"/>
  <c r="J22"/>
  <c r="J23"/>
  <c r="J24"/>
  <c r="J25"/>
  <c r="J26"/>
  <c r="J27"/>
  <c r="J28"/>
  <c r="J29"/>
  <c r="J30"/>
  <c r="J31"/>
  <c r="J32"/>
  <c r="J33"/>
  <c r="J34"/>
  <c r="J35"/>
  <c r="J36"/>
  <c r="J37"/>
  <c r="J38"/>
  <c r="J39"/>
  <c r="J40"/>
  <c r="J41"/>
  <c r="J42"/>
  <c r="J43"/>
  <c r="J44"/>
  <c r="J45"/>
  <c r="J46"/>
  <c r="J47"/>
  <c r="J48"/>
  <c r="J49"/>
  <c r="I3"/>
  <c r="I4"/>
  <c r="I5"/>
  <c r="I6"/>
  <c r="I7"/>
  <c r="I8"/>
  <c r="I9"/>
  <c r="I10"/>
  <c r="I11"/>
  <c r="I12"/>
  <c r="I13"/>
  <c r="I14"/>
  <c r="I15"/>
  <c r="I16"/>
  <c r="I17"/>
  <c r="I18"/>
  <c r="I19"/>
  <c r="I20"/>
  <c r="I21"/>
  <c r="I22"/>
  <c r="I23"/>
  <c r="I24"/>
  <c r="I25"/>
  <c r="I26"/>
  <c r="I27"/>
  <c r="I28"/>
  <c r="I29"/>
  <c r="I30"/>
  <c r="I31"/>
  <c r="I32"/>
  <c r="I33"/>
  <c r="I34"/>
  <c r="I35"/>
  <c r="I36"/>
  <c r="I37"/>
  <c r="I38"/>
  <c r="I39"/>
  <c r="I40"/>
  <c r="I41"/>
  <c r="I42"/>
  <c r="I43"/>
  <c r="I44"/>
  <c r="I45"/>
  <c r="I46"/>
  <c r="I47"/>
  <c r="I48"/>
  <c r="I49"/>
  <c r="H3"/>
  <c r="H4"/>
  <c r="H5"/>
  <c r="H6"/>
  <c r="H7"/>
  <c r="H8"/>
  <c r="H9"/>
  <c r="H10"/>
  <c r="H11"/>
  <c r="H12"/>
  <c r="H13"/>
  <c r="H14"/>
  <c r="H15"/>
  <c r="H16"/>
  <c r="H17"/>
  <c r="H18"/>
  <c r="H19"/>
  <c r="H20"/>
  <c r="H21"/>
  <c r="H22"/>
  <c r="H23"/>
  <c r="H24"/>
  <c r="H25"/>
  <c r="H26"/>
  <c r="H27"/>
  <c r="H28"/>
  <c r="H29"/>
  <c r="H30"/>
  <c r="H31"/>
  <c r="H32"/>
  <c r="H33"/>
  <c r="H34"/>
  <c r="H35"/>
  <c r="H36"/>
  <c r="H37"/>
  <c r="H38"/>
  <c r="H39"/>
  <c r="H40"/>
  <c r="H41"/>
  <c r="H42"/>
  <c r="H43"/>
  <c r="H44"/>
  <c r="H45"/>
  <c r="H46"/>
  <c r="H47"/>
  <c r="H48"/>
  <c r="H49"/>
  <c r="G3"/>
  <c r="G4"/>
  <c r="G5"/>
  <c r="G6"/>
  <c r="G7"/>
  <c r="G8"/>
  <c r="G9"/>
  <c r="G10"/>
  <c r="G11"/>
  <c r="G12"/>
  <c r="G13"/>
  <c r="G14"/>
  <c r="G15"/>
  <c r="G16"/>
  <c r="G17"/>
  <c r="G18"/>
  <c r="G19"/>
  <c r="G20"/>
  <c r="G21"/>
  <c r="G22"/>
  <c r="G23"/>
  <c r="G24"/>
  <c r="G25"/>
  <c r="G26"/>
  <c r="G27"/>
  <c r="G28"/>
  <c r="G29"/>
  <c r="G30"/>
  <c r="G31"/>
  <c r="G32"/>
  <c r="G33"/>
  <c r="G34"/>
  <c r="G35"/>
  <c r="G36"/>
  <c r="G37"/>
  <c r="G38"/>
  <c r="G39"/>
  <c r="G40"/>
  <c r="G41"/>
  <c r="G42"/>
  <c r="G43"/>
  <c r="G44"/>
  <c r="G45"/>
  <c r="G46"/>
  <c r="G47"/>
  <c r="G48"/>
  <c r="G49"/>
  <c r="F3"/>
  <c r="F4"/>
  <c r="F5"/>
  <c r="F6"/>
  <c r="F7"/>
  <c r="F8"/>
  <c r="F9"/>
  <c r="F10"/>
  <c r="F11"/>
  <c r="F12"/>
  <c r="F13"/>
  <c r="F14"/>
  <c r="F15"/>
  <c r="F16"/>
  <c r="F17"/>
  <c r="F18"/>
  <c r="F19"/>
  <c r="F20"/>
  <c r="F21"/>
  <c r="F22"/>
  <c r="F23"/>
  <c r="F24"/>
  <c r="F25"/>
  <c r="F26"/>
  <c r="F27"/>
  <c r="F28"/>
  <c r="F29"/>
  <c r="F30"/>
  <c r="F31"/>
  <c r="F32"/>
  <c r="F33"/>
  <c r="F34"/>
  <c r="F35"/>
  <c r="F36"/>
  <c r="F37"/>
  <c r="F38"/>
  <c r="F39"/>
  <c r="F40"/>
  <c r="F41"/>
  <c r="F42"/>
  <c r="F43"/>
  <c r="F44"/>
  <c r="F45"/>
  <c r="F46"/>
  <c r="F47"/>
  <c r="F48"/>
  <c r="F49"/>
  <c r="D3"/>
  <c r="D4"/>
  <c r="D5"/>
  <c r="D6"/>
  <c r="D7"/>
  <c r="D8"/>
  <c r="D9"/>
  <c r="D10"/>
  <c r="D11"/>
  <c r="D12"/>
  <c r="D13"/>
  <c r="D14"/>
  <c r="D15"/>
  <c r="D16"/>
  <c r="D17"/>
  <c r="D18"/>
  <c r="D19"/>
  <c r="D20"/>
  <c r="D21"/>
  <c r="D22"/>
  <c r="D23"/>
  <c r="D24"/>
  <c r="D25"/>
  <c r="D26"/>
  <c r="D27"/>
  <c r="D28"/>
  <c r="D29"/>
  <c r="D30"/>
  <c r="D31"/>
  <c r="D32"/>
  <c r="D33"/>
  <c r="D34"/>
  <c r="D35"/>
  <c r="D36"/>
  <c r="D37"/>
  <c r="D38"/>
  <c r="D39"/>
  <c r="D40"/>
  <c r="D41"/>
  <c r="D42"/>
  <c r="D43"/>
  <c r="D44"/>
  <c r="D45"/>
  <c r="D46"/>
  <c r="D47"/>
  <c r="D48"/>
  <c r="D49"/>
  <c r="C3"/>
  <c r="E3" s="1"/>
  <c r="C4"/>
  <c r="E4" s="1"/>
  <c r="C5"/>
  <c r="E5" s="1"/>
  <c r="C6"/>
  <c r="E6" s="1"/>
  <c r="C7"/>
  <c r="E7" s="1"/>
  <c r="C8"/>
  <c r="E8" s="1"/>
  <c r="C9"/>
  <c r="E9" s="1"/>
  <c r="C10"/>
  <c r="E10" s="1"/>
  <c r="C11"/>
  <c r="E11" s="1"/>
  <c r="C12"/>
  <c r="E12" s="1"/>
  <c r="C13"/>
  <c r="E13" s="1"/>
  <c r="C14"/>
  <c r="E14" s="1"/>
  <c r="C15"/>
  <c r="E15" s="1"/>
  <c r="C16"/>
  <c r="E16" s="1"/>
  <c r="C17"/>
  <c r="E17" s="1"/>
  <c r="C18"/>
  <c r="E18" s="1"/>
  <c r="C19"/>
  <c r="E19" s="1"/>
  <c r="C20"/>
  <c r="E20" s="1"/>
  <c r="C21"/>
  <c r="E21" s="1"/>
  <c r="C22"/>
  <c r="E22" s="1"/>
  <c r="C23"/>
  <c r="E23" s="1"/>
  <c r="C24"/>
  <c r="E24" s="1"/>
  <c r="C25"/>
  <c r="E25" s="1"/>
  <c r="C26"/>
  <c r="E26" s="1"/>
  <c r="C27"/>
  <c r="E27" s="1"/>
  <c r="C28"/>
  <c r="E28" s="1"/>
  <c r="C29"/>
  <c r="E29" s="1"/>
  <c r="C30"/>
  <c r="E30" s="1"/>
  <c r="C31"/>
  <c r="E31" s="1"/>
  <c r="C32"/>
  <c r="E32" s="1"/>
  <c r="C33"/>
  <c r="E33" s="1"/>
  <c r="C34"/>
  <c r="E34" s="1"/>
  <c r="C35"/>
  <c r="E35" s="1"/>
  <c r="C36"/>
  <c r="E36" s="1"/>
  <c r="C37"/>
  <c r="E37" s="1"/>
  <c r="C38"/>
  <c r="E38" s="1"/>
  <c r="C39"/>
  <c r="E39" s="1"/>
  <c r="C40"/>
  <c r="E40" s="1"/>
  <c r="C41"/>
  <c r="E41" s="1"/>
  <c r="C42"/>
  <c r="E42" s="1"/>
  <c r="C43"/>
  <c r="E43" s="1"/>
  <c r="C44"/>
  <c r="E44" s="1"/>
  <c r="C45"/>
  <c r="E45" s="1"/>
  <c r="C46"/>
  <c r="E46" s="1"/>
  <c r="C47"/>
  <c r="E47" s="1"/>
  <c r="C48"/>
  <c r="E48" s="1"/>
  <c r="C49"/>
  <c r="E49" s="1"/>
  <c r="AI2" i="4"/>
  <c r="AI3"/>
  <c r="AI4"/>
  <c r="AI5"/>
  <c r="AI6"/>
  <c r="AI7"/>
  <c r="AI8"/>
  <c r="AI9"/>
  <c r="AI10"/>
  <c r="AI11"/>
  <c r="AI12"/>
  <c r="AI13"/>
  <c r="AI14"/>
  <c r="AI15"/>
  <c r="AI16"/>
  <c r="AI17"/>
  <c r="AI18"/>
  <c r="AI19"/>
  <c r="AI20"/>
  <c r="AI21"/>
  <c r="AI22"/>
  <c r="AI23"/>
  <c r="AI24"/>
  <c r="AI25"/>
  <c r="AI26"/>
  <c r="AI27"/>
  <c r="AI28"/>
  <c r="AI29"/>
  <c r="AI30"/>
  <c r="AI31"/>
  <c r="AI32"/>
  <c r="AI33"/>
  <c r="AI34"/>
  <c r="AI35"/>
  <c r="AI36"/>
  <c r="AI37"/>
  <c r="AI38"/>
  <c r="AI39"/>
  <c r="AI40"/>
  <c r="AI41"/>
  <c r="AI42"/>
  <c r="AI43"/>
  <c r="AI44"/>
  <c r="AI45"/>
  <c r="AI46"/>
  <c r="AI47"/>
  <c r="AI48"/>
  <c r="AI49"/>
  <c r="AI50"/>
  <c r="AI51"/>
  <c r="AI52"/>
  <c r="AI53"/>
  <c r="AI54"/>
  <c r="AI55"/>
  <c r="AI56"/>
  <c r="AI57"/>
  <c r="AI58"/>
  <c r="AI59"/>
  <c r="AI60"/>
  <c r="AI61"/>
  <c r="AI62"/>
  <c r="AI63"/>
  <c r="AI64"/>
  <c r="AI65"/>
  <c r="AI66"/>
  <c r="AI67"/>
  <c r="AI68"/>
  <c r="AI69"/>
  <c r="AI70"/>
  <c r="AI71"/>
  <c r="AI72"/>
  <c r="AI73"/>
  <c r="AI74"/>
  <c r="AI75"/>
  <c r="AI76"/>
  <c r="AI77"/>
  <c r="AI78"/>
  <c r="AI79"/>
  <c r="AI80"/>
  <c r="AI81"/>
  <c r="AI82"/>
  <c r="AI83"/>
  <c r="AI84"/>
  <c r="AI85"/>
  <c r="AI86"/>
  <c r="AI87"/>
  <c r="AI88"/>
  <c r="AI89"/>
  <c r="AI90"/>
  <c r="AI91"/>
  <c r="AI92"/>
  <c r="AI93"/>
  <c r="AI94"/>
  <c r="AI95"/>
  <c r="AI96"/>
  <c r="AI97"/>
  <c r="AI98"/>
  <c r="AI99"/>
  <c r="AI100"/>
  <c r="AI101"/>
  <c r="AI102"/>
  <c r="AI103"/>
  <c r="AI104"/>
  <c r="AI105"/>
  <c r="AI106"/>
  <c r="AI107"/>
  <c r="AI108"/>
  <c r="AI109"/>
  <c r="AI110"/>
  <c r="AI111"/>
  <c r="AI112"/>
  <c r="AI113"/>
  <c r="AI114"/>
  <c r="AI115"/>
  <c r="AI116"/>
  <c r="AI117"/>
  <c r="AI118"/>
  <c r="AI119"/>
  <c r="AI120"/>
  <c r="AI121"/>
  <c r="AI122"/>
  <c r="AI123"/>
  <c r="AI124"/>
  <c r="AI125"/>
  <c r="AI126"/>
  <c r="AI127"/>
  <c r="AI128"/>
  <c r="AI129"/>
  <c r="AI130"/>
  <c r="AI131"/>
  <c r="AI132"/>
  <c r="AI133"/>
  <c r="AI134"/>
  <c r="AI135"/>
  <c r="AI136"/>
  <c r="AI137"/>
  <c r="AI138"/>
  <c r="AI139"/>
  <c r="AI140"/>
  <c r="AI141"/>
  <c r="AI142"/>
  <c r="AI143"/>
  <c r="AI144"/>
  <c r="AI145"/>
  <c r="AI146"/>
  <c r="AI147"/>
  <c r="AI148"/>
  <c r="AI149"/>
  <c r="AI150"/>
  <c r="AI151"/>
  <c r="AI152"/>
  <c r="AI153"/>
  <c r="AI154"/>
  <c r="AI155"/>
  <c r="AI156"/>
  <c r="AI157"/>
  <c r="AI158"/>
  <c r="AI159"/>
  <c r="AI160"/>
  <c r="AI161"/>
  <c r="AI162"/>
  <c r="AI163"/>
  <c r="AI164"/>
  <c r="AI165"/>
  <c r="AI166"/>
  <c r="AI167"/>
  <c r="AI168"/>
  <c r="AI169"/>
  <c r="AI170"/>
  <c r="AI171"/>
  <c r="AI172"/>
  <c r="AI173"/>
  <c r="AI174"/>
  <c r="AI175"/>
  <c r="AI176"/>
  <c r="AI177"/>
  <c r="AI178"/>
  <c r="AI179"/>
  <c r="AI180"/>
  <c r="AI181"/>
  <c r="AI182"/>
  <c r="AI183"/>
  <c r="AI184"/>
  <c r="AI185"/>
  <c r="AI186"/>
  <c r="AI187"/>
  <c r="AI188"/>
  <c r="AI189"/>
  <c r="AI190"/>
  <c r="AI191"/>
  <c r="AI192"/>
  <c r="AI193"/>
  <c r="AI194"/>
  <c r="AI195"/>
  <c r="AI196"/>
  <c r="AI197"/>
  <c r="AI198"/>
  <c r="AI199"/>
  <c r="AI200"/>
  <c r="AI201"/>
  <c r="AI202"/>
  <c r="AI203"/>
  <c r="AI204"/>
  <c r="AI205"/>
  <c r="AI206"/>
  <c r="AI207"/>
  <c r="AI208"/>
  <c r="AI209"/>
  <c r="AI210"/>
  <c r="AI211"/>
  <c r="AI212"/>
  <c r="AI213"/>
  <c r="AI214"/>
  <c r="AI215"/>
  <c r="AI216"/>
  <c r="AI217"/>
  <c r="AI218"/>
  <c r="AI219"/>
  <c r="AI220"/>
  <c r="AI221"/>
  <c r="AI222"/>
  <c r="AI223"/>
  <c r="AI224"/>
  <c r="AI225"/>
  <c r="AI226"/>
  <c r="AI227"/>
  <c r="AI228"/>
  <c r="AI229"/>
  <c r="AI230"/>
  <c r="AI231"/>
  <c r="AI232"/>
  <c r="AI233"/>
  <c r="AI234"/>
  <c r="AI235"/>
  <c r="AI236"/>
  <c r="AI237"/>
  <c r="AI238"/>
  <c r="AI239"/>
  <c r="AI240"/>
  <c r="AI241"/>
  <c r="AI242"/>
  <c r="AI243"/>
  <c r="AI244"/>
  <c r="AI245"/>
  <c r="AI246"/>
  <c r="AI247"/>
  <c r="AI248"/>
  <c r="AI249"/>
  <c r="AI250"/>
  <c r="AI251"/>
  <c r="AI252"/>
  <c r="AI253"/>
  <c r="AI254"/>
  <c r="AI255"/>
  <c r="AI256"/>
  <c r="AI257"/>
  <c r="AI258"/>
  <c r="AI259"/>
  <c r="AI260"/>
  <c r="AI261"/>
  <c r="AI262"/>
  <c r="AI263"/>
  <c r="AI264"/>
  <c r="AI265"/>
  <c r="AI266"/>
  <c r="AI267"/>
  <c r="AI268"/>
  <c r="AI269"/>
  <c r="AI270"/>
  <c r="AI271"/>
  <c r="AI272"/>
  <c r="AI273"/>
  <c r="AI274"/>
  <c r="AI275"/>
  <c r="AI276"/>
  <c r="AI277"/>
  <c r="AI278"/>
  <c r="AI279"/>
  <c r="AI280"/>
  <c r="AI281"/>
  <c r="AI282"/>
  <c r="AI283"/>
  <c r="AI284"/>
  <c r="AI285"/>
  <c r="AI286"/>
  <c r="AI287"/>
  <c r="AI288"/>
  <c r="AI289"/>
  <c r="C75" i="2"/>
  <c r="C50"/>
  <c r="C85"/>
  <c r="C13"/>
  <c r="C39"/>
  <c r="C23"/>
  <c r="C3"/>
  <c r="C98"/>
  <c r="C68"/>
  <c r="C65"/>
  <c r="C58"/>
  <c r="C116"/>
  <c r="C107"/>
  <c r="C95"/>
  <c r="C70"/>
  <c r="C87"/>
  <c r="C129"/>
  <c r="C86"/>
  <c r="C69"/>
  <c r="C90"/>
  <c r="C43"/>
  <c r="C35"/>
  <c r="C93"/>
  <c r="C78"/>
  <c r="C74"/>
  <c r="C128"/>
  <c r="C19"/>
  <c r="C133"/>
  <c r="C18"/>
  <c r="C7"/>
  <c r="C15"/>
  <c r="C136"/>
  <c r="C109"/>
  <c r="C11"/>
  <c r="C106"/>
  <c r="C63"/>
  <c r="C21"/>
  <c r="C73"/>
  <c r="C89"/>
  <c r="C134"/>
  <c r="C64"/>
  <c r="C36"/>
  <c r="C37"/>
  <c r="C6"/>
  <c r="C81"/>
  <c r="C124"/>
  <c r="C4"/>
  <c r="C135"/>
  <c r="C41"/>
  <c r="C137"/>
  <c r="C118"/>
  <c r="C80"/>
  <c r="C34"/>
  <c r="C96"/>
  <c r="C91"/>
  <c r="C10"/>
  <c r="C51"/>
  <c r="C54"/>
  <c r="C55"/>
  <c r="C97"/>
  <c r="C26"/>
  <c r="C127"/>
  <c r="C5"/>
  <c r="C117"/>
  <c r="C101"/>
  <c r="C62"/>
  <c r="C30"/>
  <c r="C9"/>
  <c r="C46"/>
  <c r="C103"/>
  <c r="C120"/>
  <c r="C8"/>
  <c r="C82"/>
  <c r="C138"/>
  <c r="C77"/>
  <c r="C121"/>
  <c r="C31"/>
  <c r="C20"/>
  <c r="C44"/>
  <c r="C102"/>
  <c r="C49"/>
  <c r="C130"/>
  <c r="C22"/>
  <c r="C99"/>
  <c r="C119"/>
  <c r="C33"/>
  <c r="C76"/>
  <c r="C114"/>
  <c r="C38"/>
  <c r="C115"/>
  <c r="C60"/>
  <c r="C140"/>
  <c r="C29"/>
  <c r="C40"/>
  <c r="C83"/>
  <c r="C17"/>
  <c r="C72"/>
  <c r="C32"/>
  <c r="C12"/>
  <c r="C14"/>
  <c r="C122"/>
  <c r="C108"/>
  <c r="C61"/>
  <c r="C48"/>
  <c r="C112"/>
  <c r="C24"/>
  <c r="C59"/>
  <c r="C53"/>
  <c r="C110"/>
  <c r="C52"/>
  <c r="C16"/>
  <c r="C84"/>
  <c r="C67"/>
  <c r="C56"/>
  <c r="C71"/>
  <c r="C42"/>
  <c r="C125"/>
  <c r="C104"/>
  <c r="C139"/>
  <c r="C88"/>
  <c r="C126"/>
  <c r="C92"/>
  <c r="C132"/>
  <c r="C123"/>
  <c r="C111"/>
  <c r="C94"/>
  <c r="C47"/>
  <c r="C105"/>
  <c r="C25"/>
  <c r="C28"/>
  <c r="C57"/>
  <c r="C66"/>
  <c r="C27"/>
  <c r="C100"/>
  <c r="C113"/>
  <c r="C45"/>
  <c r="C131"/>
  <c r="C79"/>
  <c r="D75"/>
  <c r="D50"/>
  <c r="D85"/>
  <c r="D13"/>
  <c r="D39"/>
  <c r="D23"/>
  <c r="D3"/>
  <c r="D98"/>
  <c r="D68"/>
  <c r="D65"/>
  <c r="D58"/>
  <c r="D116"/>
  <c r="D107"/>
  <c r="D95"/>
  <c r="D70"/>
  <c r="D87"/>
  <c r="D129"/>
  <c r="D86"/>
  <c r="D69"/>
  <c r="D90"/>
  <c r="D43"/>
  <c r="D35"/>
  <c r="D93"/>
  <c r="D78"/>
  <c r="D74"/>
  <c r="D128"/>
  <c r="D19"/>
  <c r="D133"/>
  <c r="D18"/>
  <c r="D7"/>
  <c r="D15"/>
  <c r="D136"/>
  <c r="D109"/>
  <c r="D11"/>
  <c r="D106"/>
  <c r="D63"/>
  <c r="D21"/>
  <c r="D73"/>
  <c r="D89"/>
  <c r="D134"/>
  <c r="D64"/>
  <c r="D36"/>
  <c r="D37"/>
  <c r="D6"/>
  <c r="D81"/>
  <c r="D124"/>
  <c r="D4"/>
  <c r="D135"/>
  <c r="D41"/>
  <c r="D137"/>
  <c r="D118"/>
  <c r="D80"/>
  <c r="D34"/>
  <c r="D96"/>
  <c r="D91"/>
  <c r="D10"/>
  <c r="D51"/>
  <c r="D54"/>
  <c r="D55"/>
  <c r="D97"/>
  <c r="D26"/>
  <c r="D127"/>
  <c r="D5"/>
  <c r="D117"/>
  <c r="D101"/>
  <c r="D62"/>
  <c r="D30"/>
  <c r="D9"/>
  <c r="D46"/>
  <c r="D103"/>
  <c r="D120"/>
  <c r="D8"/>
  <c r="D82"/>
  <c r="D138"/>
  <c r="D77"/>
  <c r="D121"/>
  <c r="D31"/>
  <c r="D20"/>
  <c r="D44"/>
  <c r="D102"/>
  <c r="D49"/>
  <c r="D130"/>
  <c r="D22"/>
  <c r="D99"/>
  <c r="D119"/>
  <c r="D33"/>
  <c r="D76"/>
  <c r="D114"/>
  <c r="D38"/>
  <c r="D115"/>
  <c r="D60"/>
  <c r="D140"/>
  <c r="D29"/>
  <c r="D40"/>
  <c r="D83"/>
  <c r="D17"/>
  <c r="D72"/>
  <c r="D32"/>
  <c r="D12"/>
  <c r="D14"/>
  <c r="D122"/>
  <c r="D108"/>
  <c r="D61"/>
  <c r="D48"/>
  <c r="D112"/>
  <c r="D24"/>
  <c r="D59"/>
  <c r="D53"/>
  <c r="D110"/>
  <c r="D52"/>
  <c r="D16"/>
  <c r="D84"/>
  <c r="D67"/>
  <c r="D56"/>
  <c r="D71"/>
  <c r="D42"/>
  <c r="D125"/>
  <c r="D104"/>
  <c r="D139"/>
  <c r="D88"/>
  <c r="D126"/>
  <c r="D92"/>
  <c r="D132"/>
  <c r="D123"/>
  <c r="D111"/>
  <c r="D94"/>
  <c r="D47"/>
  <c r="D105"/>
  <c r="D25"/>
  <c r="D28"/>
  <c r="D57"/>
  <c r="D66"/>
  <c r="D27"/>
  <c r="D100"/>
  <c r="D113"/>
  <c r="D45"/>
  <c r="D131"/>
  <c r="D79"/>
  <c r="E75"/>
  <c r="E50"/>
  <c r="E85"/>
  <c r="E13"/>
  <c r="E39"/>
  <c r="E23"/>
  <c r="E3"/>
  <c r="E98"/>
  <c r="E68"/>
  <c r="E65"/>
  <c r="E58"/>
  <c r="E116"/>
  <c r="E107"/>
  <c r="E95"/>
  <c r="E70"/>
  <c r="E87"/>
  <c r="E129"/>
  <c r="E86"/>
  <c r="E69"/>
  <c r="E90"/>
  <c r="E43"/>
  <c r="E35"/>
  <c r="E93"/>
  <c r="E78"/>
  <c r="E74"/>
  <c r="E128"/>
  <c r="E19"/>
  <c r="E133"/>
  <c r="E18"/>
  <c r="E7"/>
  <c r="E15"/>
  <c r="E136"/>
  <c r="E109"/>
  <c r="E11"/>
  <c r="E106"/>
  <c r="E63"/>
  <c r="E21"/>
  <c r="E73"/>
  <c r="E89"/>
  <c r="E134"/>
  <c r="E64"/>
  <c r="E36"/>
  <c r="E37"/>
  <c r="E6"/>
  <c r="E81"/>
  <c r="E124"/>
  <c r="E4"/>
  <c r="E135"/>
  <c r="E41"/>
  <c r="E137"/>
  <c r="E118"/>
  <c r="E80"/>
  <c r="E34"/>
  <c r="E96"/>
  <c r="E91"/>
  <c r="E10"/>
  <c r="E51"/>
  <c r="E54"/>
  <c r="E55"/>
  <c r="E97"/>
  <c r="E26"/>
  <c r="E127"/>
  <c r="E5"/>
  <c r="E117"/>
  <c r="E101"/>
  <c r="E62"/>
  <c r="E30"/>
  <c r="E9"/>
  <c r="E46"/>
  <c r="E103"/>
  <c r="E120"/>
  <c r="E8"/>
  <c r="E82"/>
  <c r="E138"/>
  <c r="E77"/>
  <c r="E121"/>
  <c r="E31"/>
  <c r="E20"/>
  <c r="E44"/>
  <c r="E102"/>
  <c r="E49"/>
  <c r="E130"/>
  <c r="E22"/>
  <c r="E99"/>
  <c r="E119"/>
  <c r="E33"/>
  <c r="E76"/>
  <c r="E114"/>
  <c r="E38"/>
  <c r="E115"/>
  <c r="E60"/>
  <c r="E140"/>
  <c r="E29"/>
  <c r="E40"/>
  <c r="E83"/>
  <c r="E17"/>
  <c r="E72"/>
  <c r="E32"/>
  <c r="E12"/>
  <c r="E14"/>
  <c r="E122"/>
  <c r="E108"/>
  <c r="E61"/>
  <c r="E48"/>
  <c r="E112"/>
  <c r="E24"/>
  <c r="E59"/>
  <c r="E53"/>
  <c r="E110"/>
  <c r="E52"/>
  <c r="E16"/>
  <c r="E84"/>
  <c r="E67"/>
  <c r="E56"/>
  <c r="E71"/>
  <c r="E42"/>
  <c r="E125"/>
  <c r="E104"/>
  <c r="E139"/>
  <c r="E88"/>
  <c r="E126"/>
  <c r="E92"/>
  <c r="E132"/>
  <c r="E123"/>
  <c r="E111"/>
  <c r="E94"/>
  <c r="E47"/>
  <c r="E105"/>
  <c r="E25"/>
  <c r="E28"/>
  <c r="E57"/>
  <c r="E66"/>
  <c r="E27"/>
  <c r="E100"/>
  <c r="E113"/>
  <c r="E45"/>
  <c r="E131"/>
  <c r="E79"/>
  <c r="F75"/>
  <c r="F50"/>
  <c r="F85"/>
  <c r="F98"/>
  <c r="F116"/>
  <c r="F107"/>
  <c r="F95"/>
  <c r="F86"/>
  <c r="F90"/>
  <c r="F43"/>
  <c r="F35"/>
  <c r="F93"/>
  <c r="F78"/>
  <c r="F74"/>
  <c r="F128"/>
  <c r="F19"/>
  <c r="F18"/>
  <c r="F7"/>
  <c r="F136"/>
  <c r="F106"/>
  <c r="F63"/>
  <c r="F21"/>
  <c r="F73"/>
  <c r="F89"/>
  <c r="F64"/>
  <c r="F36"/>
  <c r="F6"/>
  <c r="F4"/>
  <c r="F41"/>
  <c r="F137"/>
  <c r="F80"/>
  <c r="F34"/>
  <c r="F96"/>
  <c r="F91"/>
  <c r="F10"/>
  <c r="F55"/>
  <c r="F97"/>
  <c r="F30"/>
  <c r="F103"/>
  <c r="F8"/>
  <c r="F82"/>
  <c r="F138"/>
  <c r="F77"/>
  <c r="F31"/>
  <c r="F20"/>
  <c r="F102"/>
  <c r="F49"/>
  <c r="F130"/>
  <c r="F22"/>
  <c r="F99"/>
  <c r="F33"/>
  <c r="F38"/>
  <c r="F60"/>
  <c r="F140"/>
  <c r="F29"/>
  <c r="F72"/>
  <c r="F32"/>
  <c r="F122"/>
  <c r="F108"/>
  <c r="F48"/>
  <c r="F112"/>
  <c r="F24"/>
  <c r="F59"/>
  <c r="F53"/>
  <c r="F16"/>
  <c r="F84"/>
  <c r="F67"/>
  <c r="F56"/>
  <c r="F71"/>
  <c r="F125"/>
  <c r="F104"/>
  <c r="F132"/>
  <c r="F111"/>
  <c r="F105"/>
  <c r="F57"/>
  <c r="F66"/>
  <c r="F27"/>
  <c r="F100"/>
  <c r="F113"/>
  <c r="G75"/>
  <c r="G50"/>
  <c r="G23"/>
  <c r="G3"/>
  <c r="G98"/>
  <c r="G116"/>
  <c r="G95"/>
  <c r="G86"/>
  <c r="G90"/>
  <c r="G35"/>
  <c r="G93"/>
  <c r="G74"/>
  <c r="G128"/>
  <c r="G133"/>
  <c r="G18"/>
  <c r="G7"/>
  <c r="G136"/>
  <c r="G106"/>
  <c r="G63"/>
  <c r="G21"/>
  <c r="G73"/>
  <c r="G89"/>
  <c r="G64"/>
  <c r="G36"/>
  <c r="G6"/>
  <c r="G124"/>
  <c r="G4"/>
  <c r="G41"/>
  <c r="G137"/>
  <c r="G80"/>
  <c r="G34"/>
  <c r="G91"/>
  <c r="G10"/>
  <c r="G54"/>
  <c r="G55"/>
  <c r="G97"/>
  <c r="G5"/>
  <c r="G101"/>
  <c r="G30"/>
  <c r="G46"/>
  <c r="G103"/>
  <c r="G8"/>
  <c r="G82"/>
  <c r="G138"/>
  <c r="G77"/>
  <c r="G121"/>
  <c r="G31"/>
  <c r="G20"/>
  <c r="G49"/>
  <c r="G130"/>
  <c r="G22"/>
  <c r="G99"/>
  <c r="G119"/>
  <c r="G33"/>
  <c r="G76"/>
  <c r="G38"/>
  <c r="G140"/>
  <c r="G29"/>
  <c r="G17"/>
  <c r="G72"/>
  <c r="G32"/>
  <c r="G12"/>
  <c r="G14"/>
  <c r="G108"/>
  <c r="G48"/>
  <c r="G112"/>
  <c r="G24"/>
  <c r="G59"/>
  <c r="G110"/>
  <c r="G52"/>
  <c r="G16"/>
  <c r="G67"/>
  <c r="G56"/>
  <c r="G104"/>
  <c r="G88"/>
  <c r="G126"/>
  <c r="G111"/>
  <c r="G105"/>
  <c r="G57"/>
  <c r="G66"/>
  <c r="G27"/>
  <c r="G100"/>
  <c r="G45"/>
  <c r="H75"/>
  <c r="H50"/>
  <c r="H85"/>
  <c r="H13"/>
  <c r="H98"/>
  <c r="H116"/>
  <c r="H95"/>
  <c r="H70"/>
  <c r="H86"/>
  <c r="H90"/>
  <c r="H35"/>
  <c r="H93"/>
  <c r="H74"/>
  <c r="H128"/>
  <c r="H18"/>
  <c r="H7"/>
  <c r="H136"/>
  <c r="H106"/>
  <c r="H63"/>
  <c r="H73"/>
  <c r="H89"/>
  <c r="H36"/>
  <c r="H37"/>
  <c r="H6"/>
  <c r="H4"/>
  <c r="H135"/>
  <c r="H41"/>
  <c r="H137"/>
  <c r="H80"/>
  <c r="H34"/>
  <c r="H91"/>
  <c r="H10"/>
  <c r="H55"/>
  <c r="H97"/>
  <c r="H127"/>
  <c r="H62"/>
  <c r="H30"/>
  <c r="H103"/>
  <c r="H82"/>
  <c r="H138"/>
  <c r="H77"/>
  <c r="H31"/>
  <c r="H20"/>
  <c r="H44"/>
  <c r="H102"/>
  <c r="H49"/>
  <c r="H130"/>
  <c r="H22"/>
  <c r="H99"/>
  <c r="H119"/>
  <c r="H38"/>
  <c r="H140"/>
  <c r="H29"/>
  <c r="H17"/>
  <c r="H72"/>
  <c r="H32"/>
  <c r="H12"/>
  <c r="H108"/>
  <c r="H61"/>
  <c r="H48"/>
  <c r="H24"/>
  <c r="H52"/>
  <c r="H16"/>
  <c r="H67"/>
  <c r="H71"/>
  <c r="H42"/>
  <c r="H104"/>
  <c r="H132"/>
  <c r="H111"/>
  <c r="H94"/>
  <c r="H105"/>
  <c r="H25"/>
  <c r="H66"/>
  <c r="H27"/>
  <c r="H100"/>
  <c r="H113"/>
  <c r="H45"/>
  <c r="H131"/>
  <c r="H79"/>
  <c r="I75"/>
  <c r="I50"/>
  <c r="I85"/>
  <c r="I13"/>
  <c r="I39"/>
  <c r="I23"/>
  <c r="I98"/>
  <c r="I116"/>
  <c r="I95"/>
  <c r="I70"/>
  <c r="I86"/>
  <c r="I90"/>
  <c r="I35"/>
  <c r="I93"/>
  <c r="I74"/>
  <c r="I128"/>
  <c r="I19"/>
  <c r="I18"/>
  <c r="I7"/>
  <c r="I136"/>
  <c r="I106"/>
  <c r="I63"/>
  <c r="I21"/>
  <c r="I73"/>
  <c r="I89"/>
  <c r="I134"/>
  <c r="I64"/>
  <c r="I36"/>
  <c r="I124"/>
  <c r="I4"/>
  <c r="I41"/>
  <c r="I137"/>
  <c r="I118"/>
  <c r="I80"/>
  <c r="I34"/>
  <c r="I91"/>
  <c r="I10"/>
  <c r="I55"/>
  <c r="I97"/>
  <c r="I62"/>
  <c r="I30"/>
  <c r="I103"/>
  <c r="I138"/>
  <c r="I31"/>
  <c r="I20"/>
  <c r="I49"/>
  <c r="I99"/>
  <c r="I119"/>
  <c r="I76"/>
  <c r="I38"/>
  <c r="I140"/>
  <c r="I29"/>
  <c r="I72"/>
  <c r="I32"/>
  <c r="I108"/>
  <c r="I48"/>
  <c r="I24"/>
  <c r="I52"/>
  <c r="I16"/>
  <c r="I71"/>
  <c r="I111"/>
  <c r="I25"/>
  <c r="I57"/>
  <c r="I66"/>
  <c r="I45"/>
  <c r="I131"/>
  <c r="I79"/>
  <c r="J75"/>
  <c r="J50"/>
  <c r="J39"/>
  <c r="J23"/>
  <c r="J3"/>
  <c r="J68"/>
  <c r="J116"/>
  <c r="J95"/>
  <c r="J70"/>
  <c r="J86"/>
  <c r="J90"/>
  <c r="J35"/>
  <c r="J74"/>
  <c r="J128"/>
  <c r="J18"/>
  <c r="J7"/>
  <c r="J136"/>
  <c r="J109"/>
  <c r="J106"/>
  <c r="J63"/>
  <c r="J21"/>
  <c r="J73"/>
  <c r="J134"/>
  <c r="J64"/>
  <c r="J36"/>
  <c r="J6"/>
  <c r="J124"/>
  <c r="J4"/>
  <c r="J135"/>
  <c r="J41"/>
  <c r="J137"/>
  <c r="J80"/>
  <c r="J91"/>
  <c r="J10"/>
  <c r="J55"/>
  <c r="J97"/>
  <c r="J5"/>
  <c r="J101"/>
  <c r="J62"/>
  <c r="J30"/>
  <c r="J103"/>
  <c r="J120"/>
  <c r="J8"/>
  <c r="J82"/>
  <c r="J138"/>
  <c r="J77"/>
  <c r="J121"/>
  <c r="J31"/>
  <c r="J20"/>
  <c r="J49"/>
  <c r="J130"/>
  <c r="J99"/>
  <c r="J119"/>
  <c r="J76"/>
  <c r="J38"/>
  <c r="J140"/>
  <c r="J29"/>
  <c r="J17"/>
  <c r="J72"/>
  <c r="J32"/>
  <c r="J122"/>
  <c r="J108"/>
  <c r="J61"/>
  <c r="J48"/>
  <c r="J24"/>
  <c r="J110"/>
  <c r="J52"/>
  <c r="J16"/>
  <c r="J56"/>
  <c r="J71"/>
  <c r="J125"/>
  <c r="J88"/>
  <c r="J126"/>
  <c r="J123"/>
  <c r="J111"/>
  <c r="J25"/>
  <c r="J66"/>
  <c r="J113"/>
  <c r="J45"/>
  <c r="J131"/>
  <c r="J79"/>
  <c r="K39"/>
  <c r="K3"/>
  <c r="K70"/>
  <c r="K134"/>
  <c r="K64"/>
  <c r="K124"/>
  <c r="K137"/>
  <c r="K54"/>
  <c r="K62"/>
  <c r="K9"/>
  <c r="K8"/>
  <c r="K20"/>
  <c r="K115"/>
  <c r="K14"/>
  <c r="K108"/>
  <c r="K61"/>
  <c r="K48"/>
  <c r="K84"/>
  <c r="K56"/>
  <c r="K71"/>
  <c r="K125"/>
  <c r="K88"/>
  <c r="K126"/>
  <c r="K123"/>
  <c r="K94"/>
  <c r="K25"/>
  <c r="K113"/>
  <c r="K45"/>
  <c r="K131"/>
  <c r="K79"/>
  <c r="K119"/>
  <c r="K38"/>
  <c r="K128"/>
  <c r="K51"/>
  <c r="K58"/>
  <c r="K76"/>
  <c r="K4"/>
  <c r="K81"/>
  <c r="K10"/>
  <c r="K43"/>
  <c r="K41"/>
  <c r="K91"/>
  <c r="K32"/>
  <c r="K118"/>
  <c r="K99"/>
  <c r="K78"/>
  <c r="K73"/>
  <c r="K80"/>
  <c r="K116"/>
  <c r="K107"/>
  <c r="K89"/>
  <c r="K55"/>
  <c r="K117"/>
  <c r="K82"/>
  <c r="K121"/>
  <c r="K49"/>
  <c r="K22"/>
  <c r="K122"/>
  <c r="K132"/>
  <c r="K114"/>
  <c r="K83"/>
  <c r="K112"/>
  <c r="K96"/>
  <c r="K103"/>
  <c r="K17"/>
  <c r="K75"/>
  <c r="K27"/>
  <c r="K98"/>
  <c r="K86"/>
  <c r="K19"/>
  <c r="K6"/>
  <c r="K74"/>
  <c r="K13"/>
  <c r="K111"/>
  <c r="K50"/>
  <c r="K65"/>
  <c r="K37"/>
  <c r="K44"/>
  <c r="K52"/>
  <c r="K85"/>
  <c r="K95"/>
  <c r="K69"/>
  <c r="K106"/>
  <c r="K136"/>
  <c r="K92"/>
  <c r="K31"/>
  <c r="K29"/>
  <c r="K30"/>
  <c r="K138"/>
  <c r="K77"/>
  <c r="K7"/>
  <c r="K59"/>
  <c r="K87"/>
  <c r="K34"/>
  <c r="K46"/>
  <c r="K133"/>
  <c r="K26"/>
  <c r="K102"/>
  <c r="K60"/>
  <c r="K63"/>
  <c r="K105"/>
  <c r="K129"/>
  <c r="K109"/>
  <c r="K12"/>
  <c r="K53"/>
  <c r="K67"/>
  <c r="K42"/>
  <c r="K139"/>
  <c r="K100"/>
  <c r="J81"/>
  <c r="K23"/>
  <c r="K130"/>
  <c r="K140"/>
  <c r="J27"/>
  <c r="K90"/>
  <c r="K93"/>
  <c r="K135"/>
  <c r="J65"/>
  <c r="J69"/>
  <c r="J26"/>
  <c r="J83"/>
  <c r="J14"/>
  <c r="I59"/>
  <c r="K110"/>
  <c r="J67"/>
  <c r="J104"/>
  <c r="J51"/>
  <c r="I14"/>
  <c r="J53"/>
  <c r="K104"/>
  <c r="J13"/>
  <c r="K68"/>
  <c r="I87"/>
  <c r="I43"/>
  <c r="K35"/>
  <c r="I133"/>
  <c r="H134"/>
  <c r="K36"/>
  <c r="I81"/>
  <c r="J34"/>
  <c r="J96"/>
  <c r="I26"/>
  <c r="K127"/>
  <c r="J9"/>
  <c r="I77"/>
  <c r="I130"/>
  <c r="I114"/>
  <c r="I60"/>
  <c r="I83"/>
  <c r="I61"/>
  <c r="I112"/>
  <c r="J59"/>
  <c r="H110"/>
  <c r="I139"/>
  <c r="H126"/>
  <c r="H123"/>
  <c r="K57"/>
  <c r="I27"/>
  <c r="I100"/>
  <c r="I113"/>
  <c r="K120"/>
  <c r="K24"/>
  <c r="K40"/>
  <c r="K15"/>
  <c r="K18"/>
  <c r="K21"/>
  <c r="K5"/>
  <c r="K72"/>
  <c r="K16"/>
  <c r="K11"/>
  <c r="K66"/>
  <c r="J117"/>
  <c r="J11"/>
  <c r="J114"/>
  <c r="J87"/>
  <c r="J40"/>
  <c r="J139"/>
  <c r="J60"/>
  <c r="J28"/>
  <c r="J46"/>
  <c r="J92"/>
  <c r="J37"/>
  <c r="J44"/>
  <c r="J19"/>
  <c r="J133"/>
  <c r="J107"/>
  <c r="J85"/>
  <c r="J89"/>
  <c r="J127"/>
  <c r="J22"/>
  <c r="J102"/>
  <c r="J54"/>
  <c r="J43"/>
  <c r="J118"/>
  <c r="J42"/>
  <c r="J94"/>
  <c r="J58"/>
  <c r="J15"/>
  <c r="J132"/>
  <c r="J115"/>
  <c r="J93"/>
  <c r="J100"/>
  <c r="J33"/>
  <c r="K33"/>
  <c r="J105"/>
  <c r="J98"/>
  <c r="I15"/>
  <c r="J57"/>
  <c r="I11"/>
  <c r="I117"/>
  <c r="J129"/>
  <c r="I51"/>
  <c r="I46"/>
  <c r="I40"/>
  <c r="J47"/>
  <c r="I47"/>
  <c r="I9"/>
  <c r="J84"/>
  <c r="J112"/>
  <c r="I3"/>
  <c r="I33"/>
  <c r="I121"/>
  <c r="I122"/>
  <c r="I17"/>
  <c r="I105"/>
  <c r="I28"/>
  <c r="I53"/>
  <c r="I94"/>
  <c r="I6"/>
  <c r="I101"/>
  <c r="I56"/>
  <c r="I54"/>
  <c r="I92"/>
  <c r="I135"/>
  <c r="I69"/>
  <c r="I44"/>
  <c r="I5"/>
  <c r="I58"/>
  <c r="I22"/>
  <c r="I65"/>
  <c r="I88"/>
  <c r="I42"/>
  <c r="I115"/>
  <c r="I84"/>
  <c r="I123"/>
  <c r="I12"/>
  <c r="I67"/>
  <c r="I82"/>
  <c r="I37"/>
  <c r="I107"/>
  <c r="I8"/>
  <c r="J12"/>
  <c r="I102"/>
  <c r="I96"/>
  <c r="I110"/>
  <c r="I129"/>
  <c r="I132"/>
  <c r="I127"/>
  <c r="H53"/>
  <c r="J78"/>
  <c r="I78"/>
  <c r="H8"/>
  <c r="H117"/>
  <c r="I126"/>
  <c r="H83"/>
  <c r="H14"/>
  <c r="H115"/>
  <c r="H51"/>
  <c r="H59"/>
  <c r="H78"/>
  <c r="H69"/>
  <c r="H28"/>
  <c r="H15"/>
  <c r="I125"/>
  <c r="H114"/>
  <c r="H54"/>
  <c r="H92"/>
  <c r="H9"/>
  <c r="H118"/>
  <c r="H81"/>
  <c r="H129"/>
  <c r="H121"/>
  <c r="H139"/>
  <c r="H68"/>
  <c r="K97"/>
  <c r="I109"/>
  <c r="H19"/>
  <c r="H133"/>
  <c r="H109"/>
  <c r="I104"/>
  <c r="H46"/>
  <c r="H57"/>
  <c r="K101"/>
  <c r="G51"/>
  <c r="H26"/>
  <c r="G85"/>
  <c r="H65"/>
  <c r="G65"/>
  <c r="H21"/>
  <c r="H11"/>
  <c r="G11"/>
  <c r="H5"/>
  <c r="G68"/>
  <c r="H124"/>
  <c r="G87"/>
  <c r="H87"/>
  <c r="H56"/>
  <c r="H112"/>
  <c r="G94"/>
  <c r="G127"/>
  <c r="G102"/>
  <c r="H40"/>
  <c r="H76"/>
  <c r="G117"/>
  <c r="K28"/>
  <c r="G118"/>
  <c r="H125"/>
  <c r="G125"/>
  <c r="H88"/>
  <c r="H64"/>
  <c r="H47"/>
  <c r="H101"/>
  <c r="G134"/>
  <c r="H122"/>
  <c r="G122"/>
  <c r="H3"/>
  <c r="H23"/>
  <c r="H39"/>
  <c r="G53"/>
  <c r="G92"/>
  <c r="G28"/>
  <c r="G60"/>
  <c r="H60"/>
  <c r="G114"/>
  <c r="G9"/>
  <c r="I120"/>
  <c r="H120"/>
  <c r="H58"/>
  <c r="G13"/>
  <c r="G39"/>
  <c r="G107"/>
  <c r="H107"/>
  <c r="G71"/>
  <c r="G37"/>
  <c r="G26"/>
  <c r="G69"/>
  <c r="G70"/>
  <c r="G15"/>
  <c r="G84"/>
  <c r="H84"/>
  <c r="G135"/>
  <c r="I68"/>
  <c r="G81"/>
  <c r="G115"/>
  <c r="G113"/>
  <c r="G129"/>
  <c r="G58"/>
  <c r="G139"/>
  <c r="G132"/>
  <c r="G96"/>
  <c r="H96"/>
  <c r="G40"/>
  <c r="H43"/>
  <c r="G43"/>
  <c r="H33"/>
  <c r="G47"/>
  <c r="G62"/>
  <c r="G120"/>
  <c r="G42"/>
  <c r="G78"/>
  <c r="F117"/>
  <c r="G25"/>
  <c r="F87"/>
  <c r="F121"/>
  <c r="G79"/>
  <c r="F70"/>
  <c r="G131"/>
  <c r="F131"/>
  <c r="F79"/>
  <c r="F14"/>
  <c r="F51"/>
  <c r="F40"/>
  <c r="G44"/>
  <c r="F25"/>
  <c r="F101"/>
  <c r="F11"/>
  <c r="F92"/>
  <c r="F44"/>
  <c r="F129"/>
  <c r="F12"/>
  <c r="F65"/>
  <c r="F115"/>
  <c r="K47"/>
  <c r="F47"/>
  <c r="F119"/>
  <c r="F13"/>
  <c r="F109"/>
  <c r="F3"/>
  <c r="F28"/>
  <c r="F45"/>
  <c r="F26"/>
  <c r="F68"/>
  <c r="F139"/>
  <c r="F126"/>
  <c r="F123"/>
  <c r="F81"/>
  <c r="F9"/>
  <c r="F124"/>
  <c r="F69"/>
  <c r="F110"/>
  <c r="G19"/>
  <c r="F133"/>
  <c r="F88"/>
  <c r="G109"/>
  <c r="F62"/>
  <c r="G61"/>
  <c r="F61"/>
  <c r="F58"/>
  <c r="F39"/>
  <c r="F76"/>
  <c r="F42"/>
  <c r="F46"/>
  <c r="F15"/>
  <c r="F134"/>
  <c r="F5"/>
  <c r="F52"/>
  <c r="F54"/>
  <c r="F118"/>
  <c r="G123"/>
  <c r="F114"/>
  <c r="F37"/>
  <c r="G83"/>
  <c r="F83"/>
  <c r="F135"/>
  <c r="F94"/>
  <c r="F127"/>
  <c r="F23"/>
  <c r="F17"/>
  <c r="F120"/>
  <c r="C50" i="5" l="1"/>
  <c r="E141" i="2"/>
  <c r="D141"/>
  <c r="C141"/>
  <c r="F141"/>
  <c r="J141"/>
  <c r="H141"/>
  <c r="G141" l="1"/>
  <c r="K141"/>
  <c r="I141"/>
</calcChain>
</file>

<file path=xl/connections.xml><?xml version="1.0" encoding="utf-8"?>
<connections xmlns="http://schemas.openxmlformats.org/spreadsheetml/2006/main">
  <connection id="1" keepAlive="1" name="192.168.3.1388BEWLGSMetaData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inv_PBV_Aging '','','GS','01-Jul-2011','30-Jun-2013','0','Sup-0001','Sup-9999','0'"/>
  </connection>
  <connection id="2" keepAlive="1" name="192.168.3.138AgingReportBEWLGSV2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exec rpt_prc_inv_PBV_Aging_UniqueSupCode '','','GS','01-Jul-2011','30-Jun-2013','0','Sup-0001','Sup-9999','0'"/>
  </connection>
  <connection id="3" keepAlive="1" name="192.168.3.138AgingReportDYLGS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exec rpt_prc_inv_PBV_Aging_UniqueSupCode '01','11','GS','01-Jul-2011','30-Jun-2013','0','Sup-0001','Sup-9999','0'"/>
  </connection>
  <connection id="4" keepAlive="1" name="192.168.3.138BEWLPPMetaData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rpt_prc_inv_PBV_Aging '','','PP','01-Jul-2011','30-Jun-2013','0','Sup-0001','Sup-9999','0'"/>
  </connection>
  <connection id="5" keepAlive="1" name="192.168.3.138DYLGSMetaData" type="5" refreshedVersion="3" background="1" saveData="1">
    <dbPr connection="Provider=SQLOLEDB.1;Persist Security Info=True;User ID=sa;Initial Catalog=DYL;Data Source=192.168.3.138;Use Procedure for Prepare=1;Auto Translate=True;Packet Size=4096;Workstation ID=IT-ASGHAR;Use Encryption for Data=False;Tag with column collation when possible=False" command="rpt_prc_inv_PBV_Aging '01','11','GS','01-Jul-2011','30-Jun-2013','0','Sup-0001','Sup-9999','0'"/>
  </connection>
  <connection id="6" keepAlive="1" name="192.168.3.138DYLPPMetaData" type="5" refreshedVersion="3" background="1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exec rpt_prc_inv_PBV_Aging_UniqueSupCode '01','11','PP','01-Jul-2011','30-Jun-2013','0','Sup-0001','Sup-9999','0'"/>
  </connection>
  <connection id="7" keepAlive="1" name="AgingReportBEWLPP" type="5" refreshedVersion="3" background="1" saveData="1">
    <dbPr connection="Provider=SQLOLEDB.1;Integrated Security=SSPI;Persist Security Info=True;User ID=sa;Initial Catalog=BEWL;Data Source=192.168.3.138;Use Procedure for Prepare=1;Auto Translate=True;Packet Size=4096;Workstation ID=IT-ASGHAR;Use Encryption for Data=False;Tag with column collation when possible=False" command="exec rpt_prc_inv_PBV_Aging_UniqueSupCode '','','PP','01-Jul-2011','30-Jun-2013','0','Sup-0001','Sup-9999','0'"/>
  </connection>
  <connection id="8" keepAlive="1" name="AgingReportDYLPP" description="SupplierAgingSummary" type="5" refreshedVersion="3" background="1" saveData="1">
    <dbPr connection="Provider=SQLOLEDB.1;Integrated Security=SSPI;Persist Security Info=True;User ID=sa;Initial Catalog=DYL;Data Source=192.168.3.138;Use Procedure for Prepare=1;Auto Translate=True;Packet Size=4096;Workstation ID=IT-ASGHAR;Use Encryption for Data=False;Tag with column collation when possible=False" command="rpt_prc_inv_PBV_Aging '01','11','PP','01-Jul-2011','30-Jun-2013','0','Sup-0001','Sup-9999','0'"/>
  </connection>
</connections>
</file>

<file path=xl/sharedStrings.xml><?xml version="1.0" encoding="utf-8"?>
<sst xmlns="http://schemas.openxmlformats.org/spreadsheetml/2006/main" count="62046" uniqueCount="10786">
  <si>
    <t>PBVNo</t>
  </si>
  <si>
    <t>pbvDate</t>
  </si>
  <si>
    <t>DueDate</t>
  </si>
  <si>
    <t>SupplierID</t>
  </si>
  <si>
    <t>amount</t>
  </si>
  <si>
    <t>saleTax</t>
  </si>
  <si>
    <t>Discount</t>
  </si>
  <si>
    <t>advance</t>
  </si>
  <si>
    <t>NoOfDays</t>
  </si>
  <si>
    <t>NetAmount</t>
  </si>
  <si>
    <t>InvoiceNo</t>
  </si>
  <si>
    <t>InvoiceDate</t>
  </si>
  <si>
    <t>TaxNumber</t>
  </si>
  <si>
    <t>ucode</t>
  </si>
  <si>
    <t>lcode</t>
  </si>
  <si>
    <t>CompName</t>
  </si>
  <si>
    <t>status</t>
  </si>
  <si>
    <t>LevelName</t>
  </si>
  <si>
    <t>OtherAmt</t>
  </si>
  <si>
    <t>POKey</t>
  </si>
  <si>
    <t>InvType</t>
  </si>
  <si>
    <t>depCode</t>
  </si>
  <si>
    <t>VTN</t>
  </si>
  <si>
    <t>pbv_type</t>
  </si>
  <si>
    <t>SisterConcern</t>
  </si>
  <si>
    <t>inactive</t>
  </si>
  <si>
    <t>inactive_Tax</t>
  </si>
  <si>
    <t>LCKey</t>
  </si>
  <si>
    <t>LCDate</t>
  </si>
  <si>
    <t>LcInitialJvNumber</t>
  </si>
  <si>
    <t>BnkLCNumber</t>
  </si>
  <si>
    <t>Paid</t>
  </si>
  <si>
    <t>Ldays</t>
  </si>
  <si>
    <t>Days</t>
  </si>
  <si>
    <t>DBN-PP12-01-11-18-00404</t>
  </si>
  <si>
    <t>Sup-0049</t>
  </si>
  <si>
    <t>01</t>
  </si>
  <si>
    <t>11</t>
  </si>
  <si>
    <t>GBN CORPORATION</t>
  </si>
  <si>
    <t>L100</t>
  </si>
  <si>
    <t>Processed</t>
  </si>
  <si>
    <t>PP</t>
  </si>
  <si>
    <t>18</t>
  </si>
  <si>
    <t>DBN</t>
  </si>
  <si>
    <t>DBN-PP12-01-11-18-00448</t>
  </si>
  <si>
    <t>DBN-PP12-01-11-18-00799</t>
  </si>
  <si>
    <t>LLC-PP13-01-01-18-00064</t>
  </si>
  <si>
    <t>JV-13-01-01-18-00503</t>
  </si>
  <si>
    <t>61722 (GBN CORP)</t>
  </si>
  <si>
    <t>DBN-PP12-01-11-18-00851</t>
  </si>
  <si>
    <t>DBN-PP12-01-11-18-00909</t>
  </si>
  <si>
    <t>DBN-PP12-01-11-18-00961</t>
  </si>
  <si>
    <t>DBN-PP12-01-11-18-01005</t>
  </si>
  <si>
    <t>DBN-PP12-01-11-18-01060</t>
  </si>
  <si>
    <t>DBN-PP12-01-11-18-01108</t>
  </si>
  <si>
    <t>DBN-PP12-01-11-18-01131</t>
  </si>
  <si>
    <t>DBN-PP12-01-11-18-01176</t>
  </si>
  <si>
    <t>DBN-PP12-01-11-18-01188</t>
  </si>
  <si>
    <t>DBN-PP13-01-11-18-00004</t>
  </si>
  <si>
    <t>DBN-PP13-01-11-18-00081</t>
  </si>
  <si>
    <t>DBN-PP13-01-11-18-00121</t>
  </si>
  <si>
    <t>DBN-PP13-01-11-18-00162</t>
  </si>
  <si>
    <t>65</t>
  </si>
  <si>
    <t>DBN-PP13-01-11-18-00238</t>
  </si>
  <si>
    <t>67</t>
  </si>
  <si>
    <t>DBN-PP13-01-11-18-00298</t>
  </si>
  <si>
    <t>DBN-PP13-01-11-18-00354</t>
  </si>
  <si>
    <t>69</t>
  </si>
  <si>
    <t>DBN-PP13-01-11-18-00407</t>
  </si>
  <si>
    <t>57</t>
  </si>
  <si>
    <t>DBN-PP13-01-11-18-00452</t>
  </si>
  <si>
    <t>81</t>
  </si>
  <si>
    <t>PBV-PP12-01-11-18-00397</t>
  </si>
  <si>
    <t>107</t>
  </si>
  <si>
    <t>PBV</t>
  </si>
  <si>
    <t>LLC-PP12-01-01-18-00025</t>
  </si>
  <si>
    <t>JV-12-01-01-18-00829</t>
  </si>
  <si>
    <t>58978 (GBN CORP)</t>
  </si>
  <si>
    <t>PBV-PP12-01-11-18-02729</t>
  </si>
  <si>
    <t>154</t>
  </si>
  <si>
    <t>LLC-PP12-01-01-18-00124</t>
  </si>
  <si>
    <t>JV-12-01-01-18-01435</t>
  </si>
  <si>
    <t>PBV-PP12-01-11-18-05494</t>
  </si>
  <si>
    <t>23</t>
  </si>
  <si>
    <t>JV-13-01-01-18-00463</t>
  </si>
  <si>
    <t>PBV-PP12-01-11-18-05647</t>
  </si>
  <si>
    <t>27</t>
  </si>
  <si>
    <t>JV-13-01-01-18-00555</t>
  </si>
  <si>
    <t>47</t>
  </si>
  <si>
    <t>LLC-PP13-01-01-18-00121</t>
  </si>
  <si>
    <t>61722 (GBN CORPORATION)</t>
  </si>
  <si>
    <t>49</t>
  </si>
  <si>
    <t>PBV-PP12-01-11-18-06754</t>
  </si>
  <si>
    <t>50</t>
  </si>
  <si>
    <t>PBV-PP12-01-11-18-06791</t>
  </si>
  <si>
    <t>48</t>
  </si>
  <si>
    <t>PBV-PP12-01-11-18-07059</t>
  </si>
  <si>
    <t>51</t>
  </si>
  <si>
    <t>PBV-PP12-01-11-18-07159</t>
  </si>
  <si>
    <t>52</t>
  </si>
  <si>
    <t>PBV-PP12-01-11-18-07262</t>
  </si>
  <si>
    <t>53</t>
  </si>
  <si>
    <t>PBV-PP13-01-11-18-00261</t>
  </si>
  <si>
    <t>54</t>
  </si>
  <si>
    <t>PBV-PP13-01-11-18-00262</t>
  </si>
  <si>
    <t>55</t>
  </si>
  <si>
    <t>PBV-PP13-01-11-18-00263</t>
  </si>
  <si>
    <t>56</t>
  </si>
  <si>
    <t>PBV-PP13-01-11-18-00264</t>
  </si>
  <si>
    <t>PBV-PP13-01-11-18-00308</t>
  </si>
  <si>
    <t>58</t>
  </si>
  <si>
    <t>PBV-PP13-01-11-18-00592</t>
  </si>
  <si>
    <t>59</t>
  </si>
  <si>
    <t>PBV-PP13-01-11-18-00593</t>
  </si>
  <si>
    <t>60</t>
  </si>
  <si>
    <t>PBV-PP13-01-11-18-00594</t>
  </si>
  <si>
    <t>61</t>
  </si>
  <si>
    <t>PBV-PP13-01-11-18-00595</t>
  </si>
  <si>
    <t>62</t>
  </si>
  <si>
    <t>PBV-PP13-01-11-18-00596</t>
  </si>
  <si>
    <t>63</t>
  </si>
  <si>
    <t>PBV-PP13-01-11-18-00675</t>
  </si>
  <si>
    <t>64</t>
  </si>
  <si>
    <t>PBV-PP13-01-11-18-00676</t>
  </si>
  <si>
    <t>PBV-PP13-01-11-18-00986</t>
  </si>
  <si>
    <t>66</t>
  </si>
  <si>
    <t>PBV-PP13-01-11-18-00987</t>
  </si>
  <si>
    <t>PBV-PP13-01-11-18-00988</t>
  </si>
  <si>
    <t>PBV-PP13-01-11-18-00989</t>
  </si>
  <si>
    <t>68</t>
  </si>
  <si>
    <t>PBV-PP13-01-11-18-01313</t>
  </si>
  <si>
    <t>72</t>
  </si>
  <si>
    <t>PBV-PP13-01-11-18-01314</t>
  </si>
  <si>
    <t>71</t>
  </si>
  <si>
    <t>PBV-PP13-01-11-18-01315</t>
  </si>
  <si>
    <t>73</t>
  </si>
  <si>
    <t>PBV-PP13-01-11-18-01685</t>
  </si>
  <si>
    <t>75</t>
  </si>
  <si>
    <t>PBV-PP13-01-11-18-01686</t>
  </si>
  <si>
    <t>77</t>
  </si>
  <si>
    <t>PBV-PP13-01-11-18-01687</t>
  </si>
  <si>
    <t>78</t>
  </si>
  <si>
    <t>PBV-PP13-01-11-18-01688</t>
  </si>
  <si>
    <t>79</t>
  </si>
  <si>
    <t>PBV-PP13-01-11-18-01689</t>
  </si>
  <si>
    <t>80</t>
  </si>
  <si>
    <t>PBV-PP13-01-11-18-01690</t>
  </si>
  <si>
    <t>PBV-PP13-01-11-18-01767</t>
  </si>
  <si>
    <t>76</t>
  </si>
  <si>
    <t>PBV-PP13-01-11-18-02213</t>
  </si>
  <si>
    <t>83</t>
  </si>
  <si>
    <t>PBV-PP13-01-11-18-02214</t>
  </si>
  <si>
    <t>84</t>
  </si>
  <si>
    <t>PBV-PP13-01-11-18-02215</t>
  </si>
  <si>
    <t>86</t>
  </si>
  <si>
    <t>PBV-PP13-01-11-18-02216</t>
  </si>
  <si>
    <t>85</t>
  </si>
  <si>
    <t>PBV-PP13-01-11-18-02217</t>
  </si>
  <si>
    <t>90</t>
  </si>
  <si>
    <t>PBV-PP13-01-11-18-02218</t>
  </si>
  <si>
    <t>89</t>
  </si>
  <si>
    <t>PBV-PP13-01-11-18-02219</t>
  </si>
  <si>
    <t>87</t>
  </si>
  <si>
    <t>Net Amount</t>
  </si>
  <si>
    <t>&gt;120</t>
  </si>
  <si>
    <t>Sup-0005</t>
  </si>
  <si>
    <t>Sup-0006</t>
  </si>
  <si>
    <t>Sup-0007</t>
  </si>
  <si>
    <t>Sup-0010</t>
  </si>
  <si>
    <t>Sup-0015</t>
  </si>
  <si>
    <t>Sup-0016</t>
  </si>
  <si>
    <t>Sup-0017</t>
  </si>
  <si>
    <t>Sup-0020</t>
  </si>
  <si>
    <t>Sup-0024</t>
  </si>
  <si>
    <t>Sup-0027</t>
  </si>
  <si>
    <t>Sup-0030</t>
  </si>
  <si>
    <t>Sup-0031</t>
  </si>
  <si>
    <t>Sup-0034</t>
  </si>
  <si>
    <t>Sup-0035</t>
  </si>
  <si>
    <t>Sup-0036</t>
  </si>
  <si>
    <t>Sup-0037</t>
  </si>
  <si>
    <t>Sup-0038</t>
  </si>
  <si>
    <t>Sup-0042</t>
  </si>
  <si>
    <t>Sup-0043</t>
  </si>
  <si>
    <t>Sup-0047</t>
  </si>
  <si>
    <t>Sup-0053</t>
  </si>
  <si>
    <t>Sup-0054</t>
  </si>
  <si>
    <t>Sup-0055</t>
  </si>
  <si>
    <t>Sup-0063</t>
  </si>
  <si>
    <t>Sup-0066</t>
  </si>
  <si>
    <t>Sup-0069</t>
  </si>
  <si>
    <t>Sup-0071</t>
  </si>
  <si>
    <t>SUP-0131</t>
  </si>
  <si>
    <t>SUP-0206</t>
  </si>
  <si>
    <t>SUP-0209</t>
  </si>
  <si>
    <t>SUP-0227</t>
  </si>
  <si>
    <t>SUP-0346</t>
  </si>
  <si>
    <t>SUP-0353</t>
  </si>
  <si>
    <t>SUP-0361</t>
  </si>
  <si>
    <t>SUP-0373</t>
  </si>
  <si>
    <t>SUP-0378</t>
  </si>
  <si>
    <t>SUP-0388</t>
  </si>
  <si>
    <t>SUP-0393</t>
  </si>
  <si>
    <t>SUP-0423</t>
  </si>
  <si>
    <t>SUP-0453</t>
  </si>
  <si>
    <t>SUP-0457</t>
  </si>
  <si>
    <t>SUP-0565</t>
  </si>
  <si>
    <t>SUP-0617</t>
  </si>
  <si>
    <t>SUP-0636</t>
  </si>
  <si>
    <t>SUP-0665</t>
  </si>
  <si>
    <t>SUP-0739</t>
  </si>
  <si>
    <t>SUP-0765</t>
  </si>
  <si>
    <t>SUP-0769</t>
  </si>
  <si>
    <t>SUP-0909</t>
  </si>
  <si>
    <t>SUP-1102</t>
  </si>
  <si>
    <t>SUP-1103</t>
  </si>
  <si>
    <t>SUP-1128</t>
  </si>
  <si>
    <t>SUP-1148</t>
  </si>
  <si>
    <t>SUP-1153</t>
  </si>
  <si>
    <t>SUP-1161</t>
  </si>
  <si>
    <t>SUP-1183</t>
  </si>
  <si>
    <t>SUP-1186</t>
  </si>
  <si>
    <t>SUP-1188</t>
  </si>
  <si>
    <t>SUP-1189</t>
  </si>
  <si>
    <t>SUP-1190</t>
  </si>
  <si>
    <t>SUP-1216</t>
  </si>
  <si>
    <t>SUP-1225</t>
  </si>
  <si>
    <t>SUP-1227</t>
  </si>
  <si>
    <t>SUP-1233</t>
  </si>
  <si>
    <t>SUP-1275</t>
  </si>
  <si>
    <t>SUP-1293</t>
  </si>
  <si>
    <t>SUP-1321</t>
  </si>
  <si>
    <t>SUP-1333</t>
  </si>
  <si>
    <t>SUP-1337</t>
  </si>
  <si>
    <t>SUP-1341</t>
  </si>
  <si>
    <t>SUP-1353</t>
  </si>
  <si>
    <t>SUP-1358</t>
  </si>
  <si>
    <t>SUP-1362</t>
  </si>
  <si>
    <t>SUP-1366</t>
  </si>
  <si>
    <t>SUP-1370</t>
  </si>
  <si>
    <t>SUP-1380</t>
  </si>
  <si>
    <t>SUP-1381</t>
  </si>
  <si>
    <t>SUP-1394</t>
  </si>
  <si>
    <t>SUP-1397</t>
  </si>
  <si>
    <t>SUP-1401</t>
  </si>
  <si>
    <t>SUP-1402</t>
  </si>
  <si>
    <t>SUP-1404</t>
  </si>
  <si>
    <t>SUP-1405</t>
  </si>
  <si>
    <t>SUP-1428</t>
  </si>
  <si>
    <t>SUP-1432</t>
  </si>
  <si>
    <t>SUP-1454</t>
  </si>
  <si>
    <t>SUP-1456</t>
  </si>
  <si>
    <t>SUP-1460</t>
  </si>
  <si>
    <t>SUP-1461</t>
  </si>
  <si>
    <t>SUP-1466</t>
  </si>
  <si>
    <t>SUP-1468</t>
  </si>
  <si>
    <t>SUP-1485</t>
  </si>
  <si>
    <t>SUP-1495</t>
  </si>
  <si>
    <t>SUP-1498</t>
  </si>
  <si>
    <t>SUP-1530</t>
  </si>
  <si>
    <t>SUP-1593</t>
  </si>
  <si>
    <t>SUP-1663</t>
  </si>
  <si>
    <t>SUP-1679</t>
  </si>
  <si>
    <t>SUP-1726</t>
  </si>
  <si>
    <t>SUP-1728</t>
  </si>
  <si>
    <t>SUP-1732</t>
  </si>
  <si>
    <t>SUP-1741</t>
  </si>
  <si>
    <t>SUP-1769</t>
  </si>
  <si>
    <t>SUP-1776</t>
  </si>
  <si>
    <t>SUP-1779</t>
  </si>
  <si>
    <t>SUP-1786</t>
  </si>
  <si>
    <t>SUP-1807</t>
  </si>
  <si>
    <t>SUP-1890</t>
  </si>
  <si>
    <t>SUP-1891</t>
  </si>
  <si>
    <t>SUP-1892</t>
  </si>
  <si>
    <t>SUP-1909</t>
  </si>
  <si>
    <t>SUP-1914</t>
  </si>
  <si>
    <t>SUP-1915</t>
  </si>
  <si>
    <t>SUP-1922</t>
  </si>
  <si>
    <t>SUP-1925</t>
  </si>
  <si>
    <t>SUP-1926</t>
  </si>
  <si>
    <t>SUP-1932</t>
  </si>
  <si>
    <t>SUP-1934</t>
  </si>
  <si>
    <t>SUP-1939</t>
  </si>
  <si>
    <t>SUP-1940</t>
  </si>
  <si>
    <t>SUP-1956</t>
  </si>
  <si>
    <t>SUP-1959</t>
  </si>
  <si>
    <t>SUP-1961</t>
  </si>
  <si>
    <t>SUP-1962</t>
  </si>
  <si>
    <t>SUP-1965</t>
  </si>
  <si>
    <t>SUP-1967</t>
  </si>
  <si>
    <t>SUP-1969</t>
  </si>
  <si>
    <t>SUP-1979</t>
  </si>
  <si>
    <t>SUP-1981</t>
  </si>
  <si>
    <t>SUP-1982</t>
  </si>
  <si>
    <t>SUP-1983</t>
  </si>
  <si>
    <t>SUP-1993</t>
  </si>
  <si>
    <t>SUP-2022</t>
  </si>
  <si>
    <t>SUP-2028</t>
  </si>
  <si>
    <t>SUP-2031</t>
  </si>
  <si>
    <t>SUP-2035</t>
  </si>
  <si>
    <t>SUP-2036</t>
  </si>
  <si>
    <t>MIAN TYRE &amp; RUBBER COMPANY LTD.</t>
  </si>
  <si>
    <t>HYBRID TECHNICS ( PVT) LTD</t>
  </si>
  <si>
    <t>ORIENT ENGINEERS</t>
  </si>
  <si>
    <t>ALSONS AUTO PARTS (PVT) LTD</t>
  </si>
  <si>
    <t>G.I. ENTERPRISES</t>
  </si>
  <si>
    <t>AUTOMOTIVE PLASTICS</t>
  </si>
  <si>
    <t>A.I. ENTERPRISES</t>
  </si>
  <si>
    <t>PROCON ENGINEERING (PVT) LIMITED</t>
  </si>
  <si>
    <t>MAISUR SPRING WORKS</t>
  </si>
  <si>
    <t>M.S. ENGINEERING COMPANY</t>
  </si>
  <si>
    <t>KAYA INDUSTRIES</t>
  </si>
  <si>
    <t>SKYWAYS MANUFACTURE (PVT)  LIMITED</t>
  </si>
  <si>
    <t>SALEEM ENGINEERING  WORKS</t>
  </si>
  <si>
    <t>PERVEZ MECHANICAL ENGINEERING WORKS</t>
  </si>
  <si>
    <t>MECHANO ENGINEERING</t>
  </si>
  <si>
    <t>PAK  POLYMER (PVT) LIMITED</t>
  </si>
  <si>
    <t>TELETRONIX INDUSTRIES</t>
  </si>
  <si>
    <t>OZONE ENGINEERING WORKS</t>
  </si>
  <si>
    <t>MAP INTERNATIONAL</t>
  </si>
  <si>
    <t>PANJA ENGINEERING</t>
  </si>
  <si>
    <t>EXCEL ENGINEERING WORKS</t>
  </si>
  <si>
    <t>PARAGON ENTERPRISES</t>
  </si>
  <si>
    <t>MUKHTAR ENGINEERING WORKS</t>
  </si>
  <si>
    <t>METALLINE ENGINEERING INDUSTRIES</t>
  </si>
  <si>
    <t>TECNO PACK INDUSTRIES (PVT) LTD</t>
  </si>
  <si>
    <t>ASLAM ENTERPRISES</t>
  </si>
  <si>
    <t>WINSOME ENGINEERING IND.</t>
  </si>
  <si>
    <t>ASIA MIRROR INDUSTRY</t>
  </si>
  <si>
    <t>ALBA-RON (PK)</t>
  </si>
  <si>
    <t>AMER ENTERPRISES</t>
  </si>
  <si>
    <t>Y.G INTERNATIONAL (PVT)LTD.</t>
  </si>
  <si>
    <t>SERVICE INDUSTRIES LTD</t>
  </si>
  <si>
    <t>ALLCO TRANSFER PRINTERS(PVT)LTD.</t>
  </si>
  <si>
    <t>S.M INDUSTRIES.</t>
  </si>
  <si>
    <t>M.I. ENGINEERING WORKS</t>
  </si>
  <si>
    <t>ATLAS BATTERY LIMITED.</t>
  </si>
  <si>
    <t>METAL ART.</t>
  </si>
  <si>
    <t>PAKISTAN SPRING &amp; ENGINEERING COMPANY</t>
  </si>
  <si>
    <t>WINSPOT ENGINEERING</t>
  </si>
  <si>
    <t>M.I.R CORPORATION.</t>
  </si>
  <si>
    <t>EXIDE PAKISTAN LIMITED</t>
  </si>
  <si>
    <t>FRICTION MATERIALS COMPONENTS (PVT.) LTD</t>
  </si>
  <si>
    <t>AJR METAL FABRICATORS (PVT) LTD</t>
  </si>
  <si>
    <t>NASIR ENGINEERING WORKS</t>
  </si>
  <si>
    <t>TAJI &amp; CO.</t>
  </si>
  <si>
    <t>ADAMJEE ENGINEERING (PVT) LTD.</t>
  </si>
  <si>
    <t>WITTY SERVICES</t>
  </si>
  <si>
    <t>G.S.FOUNDRIES &amp; ENGG, SERVICES.</t>
  </si>
  <si>
    <t>YAMAHA MOTOR CO. LTD.   JAPAN</t>
  </si>
  <si>
    <t>SUNDRY CREDITORS</t>
  </si>
  <si>
    <t>N.K ENGINEERING WORKS</t>
  </si>
  <si>
    <t>ELECTROPOLYMERS (PVT) LTD</t>
  </si>
  <si>
    <t>PIONEER ENGINEERING WORKS</t>
  </si>
  <si>
    <t>PANTHER HOLDING (PVT) LIMITED</t>
  </si>
  <si>
    <t>ALICO INDUSTRY</t>
  </si>
  <si>
    <t>IMZA ENGINEERING COMPANY</t>
  </si>
  <si>
    <t>IZLAL RASOOL ENGINEERING WORKS</t>
  </si>
  <si>
    <t>JAVAID &amp; SONS</t>
  </si>
  <si>
    <t>PRECISION ZONE</t>
  </si>
  <si>
    <t>BELA AUTOMOTIVE LIMITED</t>
  </si>
  <si>
    <t>TECHNOCIRCLE MANUFACTURING WORKS</t>
  </si>
  <si>
    <t>AIREJ ENTERPRISES</t>
  </si>
  <si>
    <t>STEEL CRAFT (PVT) LTD.</t>
  </si>
  <si>
    <t>QUENCH AGE</t>
  </si>
  <si>
    <t>M.HANIF M.MUNAF M.ZAHEER</t>
  </si>
  <si>
    <t>CHONGQING NORTH JIANSHE</t>
  </si>
  <si>
    <t>ALI INDUSTRIAL &amp; ENGG. WORKS.</t>
  </si>
  <si>
    <t>HASAN ENGINEERING</t>
  </si>
  <si>
    <t>RASHID ENGINEERING</t>
  </si>
  <si>
    <t>SUPER STAR METAL FINISHING (PVT) LIMITED</t>
  </si>
  <si>
    <t>AL-HUTAIB TRADERS</t>
  </si>
  <si>
    <t>NEW ENDEAVOUR ENGINEERING</t>
  </si>
  <si>
    <t>YUAN CHERNG INDUSTRY CO., LTD.</t>
  </si>
  <si>
    <t>MUGHAL ENGINEERING WORKS (PVT) LTD</t>
  </si>
  <si>
    <t>SUPER TECH AUTOPARTS (PVT) LTD</t>
  </si>
  <si>
    <t>CHONGQING ZONGSHEN GROUP I/E CORP.</t>
  </si>
  <si>
    <t>ATIF ENGINEERING WORKS (PVT) LIMITED.</t>
  </si>
  <si>
    <t>GLOBE ENG. WORKS</t>
  </si>
  <si>
    <t>RAHEEL ENTERPRISES</t>
  </si>
  <si>
    <t>HUZAIFA ENGINEERING WORKS</t>
  </si>
  <si>
    <t>TRANSFIGURE ENGINEERING</t>
  </si>
  <si>
    <t>AUTOMOTIVE COMPONENT LTD</t>
  </si>
  <si>
    <t>QADIR ENGG.</t>
  </si>
  <si>
    <t>SUPER ENGINEERING COMPANY (PVT) LIMITED</t>
  </si>
  <si>
    <t>DYL MOTORCYLES SPD</t>
  </si>
  <si>
    <t>MILLENIUM ENGINEERING (PVT) LIMITED</t>
  </si>
  <si>
    <t>SHAYAN AUTO ENGINEERING WORKS</t>
  </si>
  <si>
    <t>G.F. INDUSTRIES</t>
  </si>
  <si>
    <t>SKYHIGH INDUSTRIES</t>
  </si>
  <si>
    <t>LAL DIN ENGINEERING (PVT) LIMITED</t>
  </si>
  <si>
    <t>ZUBAIR ENGINEERING COMPANY</t>
  </si>
  <si>
    <t>CHONGQING KINGSUN TRADING CO.,LTD.</t>
  </si>
  <si>
    <t>G.M. SONS (PVT) LIMITED</t>
  </si>
  <si>
    <t>NOVAPLAST CUSTOM MOLDERS</t>
  </si>
  <si>
    <t>A-ONE TECHNIQUES (PVT) LIMITED</t>
  </si>
  <si>
    <t>MEHRAN ENGINEERING ASSOCIATES</t>
  </si>
  <si>
    <t>DIAMOND TYRES LIMITED</t>
  </si>
  <si>
    <t>ALLIED ENGINEERS SYNDICATE</t>
  </si>
  <si>
    <t>AL-UMAIR ENGINEERS</t>
  </si>
  <si>
    <t>SYMBOL INDUSTRIES (PVT) LTD.</t>
  </si>
  <si>
    <t>SEDO INDUSTRY INTERNATIONAL LIMITED</t>
  </si>
  <si>
    <t>M.B ENGINEERING</t>
  </si>
  <si>
    <t>HI-TECH ENGINEERING WORKS</t>
  </si>
  <si>
    <t>SHAH ZUBAIR ENGINEERING</t>
  </si>
  <si>
    <t>AUTOMOTIVE TRADERS</t>
  </si>
  <si>
    <t>KOHINOOR METAL MANUFACTURERS</t>
  </si>
  <si>
    <t>ISSACSONS LIGHT METAL COMPANY</t>
  </si>
  <si>
    <t>SHABIR BROTHERS</t>
  </si>
  <si>
    <t>ISLAM ENGINEERING (PVT) LTD</t>
  </si>
  <si>
    <t>ANAS TRADING COMPANY</t>
  </si>
  <si>
    <t>OMER AUTOS</t>
  </si>
  <si>
    <t>MAISUM CORPORATION</t>
  </si>
  <si>
    <t>K.K BROTHERS</t>
  </si>
  <si>
    <t>MEHRAN CYCLE INDUSTRIES (PVT.) LTD.</t>
  </si>
  <si>
    <t>GAZFA ELECTRONICS</t>
  </si>
  <si>
    <t>TECHNO ENGINEERING WORKS</t>
  </si>
  <si>
    <t>S &amp; S ENTERPRISES</t>
  </si>
  <si>
    <t>Z.A ENGINEERING (PVT.) LTD.</t>
  </si>
  <si>
    <t>PAKISTAN ACCUMULATORS (PVT) LTD. (MCB DIV)</t>
  </si>
  <si>
    <t>TECHNO HARNESS &amp; ELECTRICAL PARTS</t>
  </si>
  <si>
    <t>PANTHER TYRES LIMITED</t>
  </si>
  <si>
    <t>UNIVERSAL ENGINEERING WORKS</t>
  </si>
  <si>
    <t>T.M RUBBER (PVT.) LTD.</t>
  </si>
  <si>
    <t>SHAH RUBBER PRODUCTS</t>
  </si>
  <si>
    <t>PERFECT MECHANICAL WORKS</t>
  </si>
  <si>
    <t>HELICAL SPRING WORKS</t>
  </si>
  <si>
    <t>S.M ENGINEERING &amp; METAL WORKS</t>
  </si>
  <si>
    <t>BABAR METAL INDUSTRIES</t>
  </si>
  <si>
    <t>BRITER ENGINEERING COMPANY (PVT) LIMITED</t>
  </si>
  <si>
    <t>KAY KAY ENGINEERING</t>
  </si>
  <si>
    <t>M.S. INDUSTRIES</t>
  </si>
  <si>
    <t>BRIGHT STAR ELECTROPLATING &amp; ENGINEERING (PVT) LTD</t>
  </si>
  <si>
    <t>QOSAIN ENTERPRISES</t>
  </si>
  <si>
    <t>SHAHAB ENGINEERING INDUSTRIES (PVT) LIMITED</t>
  </si>
  <si>
    <t>GRANDTEC</t>
  </si>
  <si>
    <t>UNIQUE ENGINEERING</t>
  </si>
  <si>
    <t>N.J.P ENGINEERING</t>
  </si>
  <si>
    <t>NetBAmount</t>
  </si>
  <si>
    <t>Net Balance</t>
  </si>
  <si>
    <t>DBN-PP12-01-11-04-00002</t>
  </si>
  <si>
    <t>04</t>
  </si>
  <si>
    <t>DBN-PP12-01-11-18-00052</t>
  </si>
  <si>
    <t>LLC-PP13-01-01-18-00021</t>
  </si>
  <si>
    <t>59972 (SUPER ENGG)</t>
  </si>
  <si>
    <t>DBN-PP12-01-11-18-00089</t>
  </si>
  <si>
    <t>DBN-PP12-01-11-18-00161</t>
  </si>
  <si>
    <t>DBN-PP12-01-11-18-00175</t>
  </si>
  <si>
    <t>LLC-PP12-01-01-18-00166</t>
  </si>
  <si>
    <t>58982 (IMZA ENGINEERING)</t>
  </si>
  <si>
    <t>DBN-PP12-01-11-18-00188</t>
  </si>
  <si>
    <t>DBN-PP12-01-11-18-00210</t>
  </si>
  <si>
    <t>LLC-PP12-01-01-18-00130</t>
  </si>
  <si>
    <t>62915 (KAYA INDUSTRIES)</t>
  </si>
  <si>
    <t>DBN-PP12-01-11-18-00258</t>
  </si>
  <si>
    <t>DBN-PP12-01-11-18-00269</t>
  </si>
  <si>
    <t>DBN-PP12-01-11-18-00283</t>
  </si>
  <si>
    <t>LLC-PP12-01-01-18-00007</t>
  </si>
  <si>
    <t>DBN-PP12-01-11-18-00298</t>
  </si>
  <si>
    <t>DBN-PP12-01-11-18-00322</t>
  </si>
  <si>
    <t>DBN-PP12-01-11-18-00330</t>
  </si>
  <si>
    <t>LLC-PP13-01-01-18-00008</t>
  </si>
  <si>
    <t>DBN-PP12-01-11-18-00350</t>
  </si>
  <si>
    <t>DBN-PP12-01-11-18-00356</t>
  </si>
  <si>
    <t>LLC-PP12-01-01-18-00080</t>
  </si>
  <si>
    <t>61724 (NASIR ENGINEERING)</t>
  </si>
  <si>
    <t>DBN-PP12-01-11-18-00364</t>
  </si>
  <si>
    <t>DBN-PP12-01-11-18-00416</t>
  </si>
  <si>
    <t>DBN-PP12-01-11-18-00417</t>
  </si>
  <si>
    <t>DBN-PP12-01-11-18-00424</t>
  </si>
  <si>
    <t>DBN-PP12-01-11-18-00426</t>
  </si>
  <si>
    <t>LLC-PP12-01-01-18-00161</t>
  </si>
  <si>
    <t>DBN-PP12-01-11-18-00440</t>
  </si>
  <si>
    <t>DBN-PP12-01-11-18-00450</t>
  </si>
  <si>
    <t>DBN-PP12-01-11-18-00457</t>
  </si>
  <si>
    <t>LLC-PP12-01-01-18-00106</t>
  </si>
  <si>
    <t>61724 (NASIR ENGINEERING WORKS)</t>
  </si>
  <si>
    <t>DBN-PP12-01-11-18-00462</t>
  </si>
  <si>
    <t>DBN-PP12-01-11-18-00466</t>
  </si>
  <si>
    <t>DBN-PP12-01-11-18-00474</t>
  </si>
  <si>
    <t>LLC-PP12-01-01-18-00177</t>
  </si>
  <si>
    <t>63693 (QADIR ENGINEERING)</t>
  </si>
  <si>
    <t>DBN-PP12-01-11-18-00514</t>
  </si>
  <si>
    <t>DBN-PP12-01-11-18-00519</t>
  </si>
  <si>
    <t>LLC-PP13-01-01-18-00105</t>
  </si>
  <si>
    <t>DBN-PP12-01-11-18-00525</t>
  </si>
  <si>
    <t>DBN-PP12-01-11-18-00543</t>
  </si>
  <si>
    <t>DBN-PP12-01-11-18-00544</t>
  </si>
  <si>
    <t>DBN-PP12-01-11-18-00550</t>
  </si>
  <si>
    <t>DBN-PP12-01-11-18-00552</t>
  </si>
  <si>
    <t>DBN-PP12-01-11-18-00561</t>
  </si>
  <si>
    <t>DBN-PP12-01-11-18-00589</t>
  </si>
  <si>
    <t>T-PP13-01-11-18-01188</t>
  </si>
  <si>
    <t>IDHO-17255</t>
  </si>
  <si>
    <t>DBN-PP12-01-11-18-00590</t>
  </si>
  <si>
    <t>DBN-PP12-01-11-18-00599</t>
  </si>
  <si>
    <t>DBN-PP12-01-11-18-00600</t>
  </si>
  <si>
    <t>DBN-PP12-01-11-18-00609</t>
  </si>
  <si>
    <t>DBN-PP12-01-11-18-00610</t>
  </si>
  <si>
    <t>DBN-PP12-01-11-18-00619</t>
  </si>
  <si>
    <t>DBN-PP12-01-11-18-00624</t>
  </si>
  <si>
    <t>DBN-PP12-01-11-18-00626</t>
  </si>
  <si>
    <t>DBN-PP12-01-11-18-00630</t>
  </si>
  <si>
    <t>LLC-PP12-01-01-18-00162</t>
  </si>
  <si>
    <t>JV-13-01-01-18-00427</t>
  </si>
  <si>
    <t>64245 (STEEL CRAFT)</t>
  </si>
  <si>
    <t>DBN-PP12-01-11-18-00635</t>
  </si>
  <si>
    <t>T-PP13-01-11-18-01129</t>
  </si>
  <si>
    <t>IDHO-17208</t>
  </si>
  <si>
    <t>DBN-PP12-01-11-18-00636</t>
  </si>
  <si>
    <t>MF-PP12-01-01-18-00123</t>
  </si>
  <si>
    <t>DBN-PP12-01-11-18-00641</t>
  </si>
  <si>
    <t>DBN-PP12-01-11-18-00642</t>
  </si>
  <si>
    <t>LLC-PP12-01-01-18-00110</t>
  </si>
  <si>
    <t>JV-12-01-01-18-01971</t>
  </si>
  <si>
    <t>62956 (AUTOMOTIVE COMP)</t>
  </si>
  <si>
    <t>DBN-PP12-01-11-18-00643</t>
  </si>
  <si>
    <t>DBN-PP12-01-11-18-00648</t>
  </si>
  <si>
    <t>DBN-PP12-01-11-18-00657</t>
  </si>
  <si>
    <t>LLC-PP12-01-01-18-00005</t>
  </si>
  <si>
    <t>DBN-PP12-01-11-18-00662</t>
  </si>
  <si>
    <t>DBN-PP12-01-11-18-00679</t>
  </si>
  <si>
    <t>DBN-PP12-01-11-18-00685</t>
  </si>
  <si>
    <t>DBN-PP12-01-11-18-00689</t>
  </si>
  <si>
    <t>DBN-PP12-01-11-18-00694</t>
  </si>
  <si>
    <t>DBN-PP12-01-11-18-00697</t>
  </si>
  <si>
    <t>DBN-PP12-01-11-18-00698</t>
  </si>
  <si>
    <t>LLC-PP13-01-01-18-00097</t>
  </si>
  <si>
    <t>64271 (IMZA ENGG CO)</t>
  </si>
  <si>
    <t>DBN-PP12-01-11-18-00703</t>
  </si>
  <si>
    <t>T-PP13-01-11-18-01132</t>
  </si>
  <si>
    <t>DBN-PP12-01-11-18-00704</t>
  </si>
  <si>
    <t>LLC-PP12-01-01-18-00129</t>
  </si>
  <si>
    <t>JV-13-01-01-18-00255</t>
  </si>
  <si>
    <t>63532 (SUPER TECH AUTOPARTS)</t>
  </si>
  <si>
    <t>DBN-PP12-01-11-18-00705</t>
  </si>
  <si>
    <t>DBN-PP12-01-11-18-00706</t>
  </si>
  <si>
    <t>LLC-PP13-01-01-18-00011</t>
  </si>
  <si>
    <t>57587 (SHAYAN AUTO ENG WORKS)</t>
  </si>
  <si>
    <t>DBN-PP12-01-11-18-00710</t>
  </si>
  <si>
    <t>DBN-PP12-01-11-18-00715</t>
  </si>
  <si>
    <t>LLC-PP13-01-01-18-00056</t>
  </si>
  <si>
    <t>DBN-PP12-01-11-18-00752</t>
  </si>
  <si>
    <t>DBN-PP12-01-11-18-00758</t>
  </si>
  <si>
    <t>DBN-PP12-01-11-18-00762</t>
  </si>
  <si>
    <t>DBN-PP12-01-11-18-00765</t>
  </si>
  <si>
    <t>LLC-PP12-01-01-18-00151</t>
  </si>
  <si>
    <t>61794 (PIONEER ENGINEERING)</t>
  </si>
  <si>
    <t>DBN-PP12-01-11-18-00767</t>
  </si>
  <si>
    <t>DBN-PP12-01-11-18-00768</t>
  </si>
  <si>
    <t>DBN-PP12-01-11-18-00770</t>
  </si>
  <si>
    <t>DBN-PP12-01-11-18-00775</t>
  </si>
  <si>
    <t>DBN-PP12-01-11-18-00777</t>
  </si>
  <si>
    <t>T-PP13-01-11-18-01133</t>
  </si>
  <si>
    <t>DBN-PP12-01-11-18-00779</t>
  </si>
  <si>
    <t>DBN-PP12-01-11-18-00780</t>
  </si>
  <si>
    <t>POL-PP12-01-11-18-1841</t>
  </si>
  <si>
    <t>DBN-PP12-01-11-18-00785</t>
  </si>
  <si>
    <t>DBN-PP12-01-11-18-00787</t>
  </si>
  <si>
    <t>DBN-PP12-01-11-18-00790</t>
  </si>
  <si>
    <t>DBN-PP12-01-11-18-00792</t>
  </si>
  <si>
    <t>DBN-PP12-01-11-18-00793</t>
  </si>
  <si>
    <t>DBN-PP12-01-11-18-00800</t>
  </si>
  <si>
    <t>DBN-PP12-01-11-18-00804</t>
  </si>
  <si>
    <t>DBN-PP12-01-11-18-00807</t>
  </si>
  <si>
    <t>LLC-PP13-01-01-18-00057</t>
  </si>
  <si>
    <t>65258 (NASIR ENGG)</t>
  </si>
  <si>
    <t>DBN-PP12-01-11-18-00812</t>
  </si>
  <si>
    <t>Sup-1993</t>
  </si>
  <si>
    <t>LLC-PP13-01-01-18-00055</t>
  </si>
  <si>
    <t>65259 (BRIGHTSTAR)</t>
  </si>
  <si>
    <t>DBN-PP12-01-11-18-00815</t>
  </si>
  <si>
    <t>DBN-PP12-01-11-18-00819</t>
  </si>
  <si>
    <t>T-PP13-01-11-18-01134</t>
  </si>
  <si>
    <t>DBN-PP12-01-11-18-00823</t>
  </si>
  <si>
    <t>LLC-PP12-01-01-18-00020</t>
  </si>
  <si>
    <t>DBN-PP12-01-11-18-00825</t>
  </si>
  <si>
    <t>DBN-PP12-01-11-18-00829</t>
  </si>
  <si>
    <t>DBN-PP12-01-11-18-00830</t>
  </si>
  <si>
    <t>DBN-PP12-01-11-18-00833</t>
  </si>
  <si>
    <t>DBN-PP12-01-11-18-00844</t>
  </si>
  <si>
    <t>LLC-PP13-01-01-18-00140</t>
  </si>
  <si>
    <t>DBN-PP12-01-11-18-00849</t>
  </si>
  <si>
    <t>T-PP13-01-11-18-00968</t>
  </si>
  <si>
    <t>IDHO-17116</t>
  </si>
  <si>
    <t>DBN-PP12-01-11-18-00853</t>
  </si>
  <si>
    <t>DBN-PP12-01-11-18-00854</t>
  </si>
  <si>
    <t>DBN-PP12-01-11-18-00856</t>
  </si>
  <si>
    <t>DBN-PP12-01-11-18-00857</t>
  </si>
  <si>
    <t>DBN-PP12-01-11-18-00861</t>
  </si>
  <si>
    <t>DBN-PP12-01-11-18-00865</t>
  </si>
  <si>
    <t>DBN-PP12-01-11-18-00867</t>
  </si>
  <si>
    <t>DBN-PP12-01-11-18-00869</t>
  </si>
  <si>
    <t>DBN-PP12-01-11-18-00881</t>
  </si>
  <si>
    <t>DBN-PP12-01-11-18-00882</t>
  </si>
  <si>
    <t>DBN-PP12-01-11-18-00885</t>
  </si>
  <si>
    <t>DBN-PP12-01-11-18-00889</t>
  </si>
  <si>
    <t>DBN-PP12-01-11-18-00903</t>
  </si>
  <si>
    <t>LLC-PP12-01-01-18-00125</t>
  </si>
  <si>
    <t>51691 (ALSONS AUTOPARTS)</t>
  </si>
  <si>
    <t>DBN-PP12-01-11-18-00910</t>
  </si>
  <si>
    <t>DBN-PP12-01-11-18-00915</t>
  </si>
  <si>
    <t>DBN-PP12-01-11-18-00916</t>
  </si>
  <si>
    <t>LLC-PP13-01-01-18-00150</t>
  </si>
  <si>
    <t>DBN-PP12-01-11-18-00920</t>
  </si>
  <si>
    <t>DBN-PP12-01-11-18-00921</t>
  </si>
  <si>
    <t>LLC-PP13-01-01-18-00079</t>
  </si>
  <si>
    <t>66417 (BRIGHT STAR )</t>
  </si>
  <si>
    <t>DBN-PP12-01-11-18-00927</t>
  </si>
  <si>
    <t>T-PP13-01-11-18-01138</t>
  </si>
  <si>
    <t>DBN-PP12-01-11-18-00930</t>
  </si>
  <si>
    <t>DBN-PP12-01-11-18-00931</t>
  </si>
  <si>
    <t>LLC-PP12-01-01-18-00169</t>
  </si>
  <si>
    <t>DBN-PP12-01-11-18-00932</t>
  </si>
  <si>
    <t>LLC-PP13-01-01-18-00062</t>
  </si>
  <si>
    <t>61723 (SHAYAN AUTO ENGG WORKS)</t>
  </si>
  <si>
    <t>DBN-PP12-01-11-18-00934</t>
  </si>
  <si>
    <t>DBN-PP12-01-11-18-00936</t>
  </si>
  <si>
    <t>DBN-PP12-01-11-18-00941</t>
  </si>
  <si>
    <t>LLC-PP13-01-01-18-00016</t>
  </si>
  <si>
    <t>64301 (ISLAM ENGINEERING)</t>
  </si>
  <si>
    <t>DBN-PP12-01-11-18-00945</t>
  </si>
  <si>
    <t>DBN-PP12-01-11-18-00947</t>
  </si>
  <si>
    <t>DBN-PP12-01-11-18-00948</t>
  </si>
  <si>
    <t>DBN-PP12-01-11-18-00954</t>
  </si>
  <si>
    <t>DBN-PP12-01-11-18-00964</t>
  </si>
  <si>
    <t>DBN-PP12-01-11-18-00965</t>
  </si>
  <si>
    <t>DBN-PP12-01-11-18-00969</t>
  </si>
  <si>
    <t>DBN-PP12-01-11-18-00972</t>
  </si>
  <si>
    <t>DBN-PP12-01-11-18-00973</t>
  </si>
  <si>
    <t>DBN-PP12-01-11-18-00977</t>
  </si>
  <si>
    <t>DBN-PP12-01-11-18-00978</t>
  </si>
  <si>
    <t>DBN-PP12-01-11-18-00979</t>
  </si>
  <si>
    <t>DBN-PP12-01-11-18-00981</t>
  </si>
  <si>
    <t>DBN-PP12-01-11-18-00987</t>
  </si>
  <si>
    <t>DBN-PP12-01-11-18-00992</t>
  </si>
  <si>
    <t>DBN-PP12-01-11-18-00994</t>
  </si>
  <si>
    <t>LLC-PP13-01-01-18-00091</t>
  </si>
  <si>
    <t>DBN-PP12-01-11-18-00998</t>
  </si>
  <si>
    <t>DBN-PP12-01-11-18-01000</t>
  </si>
  <si>
    <t>DBN-PP12-01-11-18-01006</t>
  </si>
  <si>
    <t>DBN-PP12-01-11-18-01011</t>
  </si>
  <si>
    <t>DBN-PP12-01-11-18-01012</t>
  </si>
  <si>
    <t>LLC-PP13-01-01-18-00101</t>
  </si>
  <si>
    <t>66867 (AJR METAL)</t>
  </si>
  <si>
    <t>DBN-PP12-01-11-18-01013</t>
  </si>
  <si>
    <t>DBN-PP12-01-11-18-01017</t>
  </si>
  <si>
    <t>DBN-PP12-01-11-18-01024</t>
  </si>
  <si>
    <t>T-PP13-01-11-18-01140</t>
  </si>
  <si>
    <t>DBN-PP12-01-11-18-01026</t>
  </si>
  <si>
    <t>MF-PP12-01-01-18-00125</t>
  </si>
  <si>
    <t>DBN-PP12-01-11-18-01028</t>
  </si>
  <si>
    <t>DBN-PP12-01-11-18-01031</t>
  </si>
  <si>
    <t>DBN-PP12-01-11-18-01033</t>
  </si>
  <si>
    <t>DBN-PP12-01-11-18-01039</t>
  </si>
  <si>
    <t>DBN-PP12-01-11-18-01043</t>
  </si>
  <si>
    <t>DBN-PP12-01-11-18-01045</t>
  </si>
  <si>
    <t>DBN-PP12-01-11-18-01046</t>
  </si>
  <si>
    <t>DBN-PP12-01-11-18-01050</t>
  </si>
  <si>
    <t>DBN-PP12-01-11-18-01051</t>
  </si>
  <si>
    <t>DBN-PP12-01-11-18-01054</t>
  </si>
  <si>
    <t>DBN-PP12-01-11-18-01062</t>
  </si>
  <si>
    <t>DBN-PP12-01-11-18-01063</t>
  </si>
  <si>
    <t>DBN-PP12-01-11-18-01066</t>
  </si>
  <si>
    <t>DBN-PP12-01-11-18-01067</t>
  </si>
  <si>
    <t>DBN-PP12-01-11-18-01070</t>
  </si>
  <si>
    <t>DBN-PP12-01-11-18-01071</t>
  </si>
  <si>
    <t>DBN-PP12-01-11-18-01075</t>
  </si>
  <si>
    <t>DBN-PP12-01-11-18-01077</t>
  </si>
  <si>
    <t>DBN-PP12-01-11-18-01080</t>
  </si>
  <si>
    <t>DBN-PP12-01-11-18-01083</t>
  </si>
  <si>
    <t>DBN-PP12-01-11-18-01091</t>
  </si>
  <si>
    <t>DBN-PP12-01-11-18-01094</t>
  </si>
  <si>
    <t>DBN-PP12-01-11-18-01095</t>
  </si>
  <si>
    <t>DBN-PP12-01-11-18-01099</t>
  </si>
  <si>
    <t>DBN-PP12-01-11-18-01102</t>
  </si>
  <si>
    <t>T-PP13-01-11-18-01192</t>
  </si>
  <si>
    <t>DBN-PP12-01-11-18-01103</t>
  </si>
  <si>
    <t>DBN-PP12-01-11-18-01106</t>
  </si>
  <si>
    <t>DBN-PP12-01-11-18-01109</t>
  </si>
  <si>
    <t>DBN-PP12-01-11-18-01110</t>
  </si>
  <si>
    <t>DBN-PP12-01-11-18-01112</t>
  </si>
  <si>
    <t>DBN-PP12-01-11-18-01113</t>
  </si>
  <si>
    <t>DBN-PP12-01-11-18-01117</t>
  </si>
  <si>
    <t>DBN-PP12-01-11-18-01123</t>
  </si>
  <si>
    <t>DBN-PP12-01-11-18-01126</t>
  </si>
  <si>
    <t>DBN-PP12-01-11-18-01128</t>
  </si>
  <si>
    <t>DBN-PP12-01-11-18-01132</t>
  </si>
  <si>
    <t>DBN-PP12-01-11-18-01133</t>
  </si>
  <si>
    <t>DBN-PP12-01-11-18-01134</t>
  </si>
  <si>
    <t>DBN-PP12-01-11-18-01135</t>
  </si>
  <si>
    <t>DBN-PP12-01-11-18-01136</t>
  </si>
  <si>
    <t>DBN-PP12-01-11-18-01139</t>
  </si>
  <si>
    <t>DBN-PP12-01-11-18-01140</t>
  </si>
  <si>
    <t>DBN-PP12-01-11-18-01147</t>
  </si>
  <si>
    <t>T-PP13-01-11-18-01141</t>
  </si>
  <si>
    <t>DBN-PP12-01-11-18-01149</t>
  </si>
  <si>
    <t>DBN-PP12-01-11-18-01151</t>
  </si>
  <si>
    <t>LLC-PP13-01-01-18-00085</t>
  </si>
  <si>
    <t>DBN-PP12-01-11-18-01152</t>
  </si>
  <si>
    <t>LLC-PP12-01-01-18-00159</t>
  </si>
  <si>
    <t>DBN-PP12-01-11-18-01153</t>
  </si>
  <si>
    <t>DBN-PP12-01-11-18-01156</t>
  </si>
  <si>
    <t>DBN-PP12-01-11-18-01166</t>
  </si>
  <si>
    <t>LLC-PP13-01-01-18-00037</t>
  </si>
  <si>
    <t>63752 (PANTHER TYRES)</t>
  </si>
  <si>
    <t>DBN-PP12-01-11-18-01167</t>
  </si>
  <si>
    <t>LLC-PP13-01-01-18-00144</t>
  </si>
  <si>
    <t>DBN-PP12-01-11-18-01171</t>
  </si>
  <si>
    <t>LLC-PP12-01-01-18-00118</t>
  </si>
  <si>
    <t>DBN-PP12-01-11-18-01177</t>
  </si>
  <si>
    <t>DBN-PP12-01-11-18-01178</t>
  </si>
  <si>
    <t>DBN-PP12-01-11-18-01179</t>
  </si>
  <si>
    <t>DBN-PP12-01-11-18-01180</t>
  </si>
  <si>
    <t>DBN-PP12-01-11-18-01181</t>
  </si>
  <si>
    <t>DBN-PP12-01-11-18-01185</t>
  </si>
  <si>
    <t>DBN-PP12-01-11-18-01187</t>
  </si>
  <si>
    <t>DBN-PP12-01-11-18-01190</t>
  </si>
  <si>
    <t>DBN-PP12-01-11-18-01191</t>
  </si>
  <si>
    <t>DBN-PP12-01-11-18-01198</t>
  </si>
  <si>
    <t>LLC-PP13-01-01-18-00072</t>
  </si>
  <si>
    <t>66217 (MUGHAL ENGG WORKS)</t>
  </si>
  <si>
    <t>DBN-PP12-01-11-18-01200</t>
  </si>
  <si>
    <t>DBN-PP12-01-11-18-01201</t>
  </si>
  <si>
    <t>DBN-PP12-01-11-18-01204</t>
  </si>
  <si>
    <t>DBN-PP12-01-11-18-01205</t>
  </si>
  <si>
    <t>DBN-PP12-01-11-18-01209</t>
  </si>
  <si>
    <t>DBN-PP12-01-11-18-01211</t>
  </si>
  <si>
    <t>DBN-PP12-01-11-18-01213</t>
  </si>
  <si>
    <t>DBN-PP12-01-11-18-01214</t>
  </si>
  <si>
    <t>DBN-PP13-01-11-18-00005</t>
  </si>
  <si>
    <t>DBN-PP13-01-11-18-00007</t>
  </si>
  <si>
    <t>DBN-PP13-01-11-18-00008</t>
  </si>
  <si>
    <t>DBN-PP13-01-11-18-00009</t>
  </si>
  <si>
    <t>MF-PP13-01-01-18-00111</t>
  </si>
  <si>
    <t>DBN-PP13-01-11-18-00010</t>
  </si>
  <si>
    <t>DBN-PP13-01-11-18-00013</t>
  </si>
  <si>
    <t>DBN-PP13-01-11-18-00014</t>
  </si>
  <si>
    <t>DBN-PP13-01-11-18-00015</t>
  </si>
  <si>
    <t>DBN-PP13-01-11-18-00018</t>
  </si>
  <si>
    <t>DBN-PP13-01-11-18-00020</t>
  </si>
  <si>
    <t>DBN-PP13-01-11-18-00023</t>
  </si>
  <si>
    <t>DBN-PP13-01-11-18-00024</t>
  </si>
  <si>
    <t>DBN-PP13-01-11-18-00031</t>
  </si>
  <si>
    <t>DBN-PP13-01-11-18-00032</t>
  </si>
  <si>
    <t>DBN-PP13-01-11-18-00033</t>
  </si>
  <si>
    <t>DBN-PP13-01-11-18-00035</t>
  </si>
  <si>
    <t>DBN-PP13-01-11-18-00042</t>
  </si>
  <si>
    <t>DBN-PP13-01-11-18-00043</t>
  </si>
  <si>
    <t>DBN-PP13-01-11-18-00044</t>
  </si>
  <si>
    <t>DBN-PP13-01-11-18-00046</t>
  </si>
  <si>
    <t>DBN-PP13-01-11-18-00049</t>
  </si>
  <si>
    <t>DBN-PP13-01-11-18-00050</t>
  </si>
  <si>
    <t>DBN-PP13-01-11-18-00053</t>
  </si>
  <si>
    <t>DBN-PP13-01-11-18-00056</t>
  </si>
  <si>
    <t>DBN-PP13-01-11-18-00057</t>
  </si>
  <si>
    <t>DBN-PP13-01-11-18-00059</t>
  </si>
  <si>
    <t>LLC-PP13-01-01-18-00078</t>
  </si>
  <si>
    <t>66218 (PAK POLYMER)</t>
  </si>
  <si>
    <t>DBN-PP13-01-11-18-00060</t>
  </si>
  <si>
    <t>DBN-PP13-01-11-18-00061</t>
  </si>
  <si>
    <t>DBN-PP13-01-11-18-00062</t>
  </si>
  <si>
    <t>DBN-PP13-01-11-18-00063</t>
  </si>
  <si>
    <t>DBN-PP13-01-11-18-00067</t>
  </si>
  <si>
    <t>T-PP13-01-11-18-01641</t>
  </si>
  <si>
    <t>IDHO-17470</t>
  </si>
  <si>
    <t>DBN-PP13-01-11-18-00068</t>
  </si>
  <si>
    <t>DBN-PP13-01-11-18-00069</t>
  </si>
  <si>
    <t>DBN-PP13-01-11-18-00074</t>
  </si>
  <si>
    <t>DBN-PP13-01-11-18-00075</t>
  </si>
  <si>
    <t>DBN-PP13-01-11-18-00076</t>
  </si>
  <si>
    <t>DBN-PP13-01-11-18-00078</t>
  </si>
  <si>
    <t>DBN-PP13-01-11-18-00079</t>
  </si>
  <si>
    <t>DBN-PP13-01-11-18-00080</t>
  </si>
  <si>
    <t>DBN-PP13-01-11-18-00082</t>
  </si>
  <si>
    <t>DBN-PP13-01-11-18-00084</t>
  </si>
  <si>
    <t>DBN-PP13-01-11-18-00085</t>
  </si>
  <si>
    <t>DBN-PP13-01-11-18-00089</t>
  </si>
  <si>
    <t>DBN-PP13-01-11-18-00090</t>
  </si>
  <si>
    <t>DBN-PP13-01-11-18-00091</t>
  </si>
  <si>
    <t>DBN-PP13-01-11-18-00095</t>
  </si>
  <si>
    <t>DBN-PP13-01-11-18-00096</t>
  </si>
  <si>
    <t>DBN-PP13-01-11-18-00097</t>
  </si>
  <si>
    <t>LLC-PP13-01-01-18-00034</t>
  </si>
  <si>
    <t>DBN-PP13-01-11-18-00098</t>
  </si>
  <si>
    <t>LLC-PP13-01-01-18-00125</t>
  </si>
  <si>
    <t>DBN-PP13-01-11-18-00102</t>
  </si>
  <si>
    <t>DBN-PP13-01-11-18-00103</t>
  </si>
  <si>
    <t>DBN-PP13-01-11-18-00110</t>
  </si>
  <si>
    <t>DBN-PP13-01-11-18-00111</t>
  </si>
  <si>
    <t>T-PP13-01-11-18-01077</t>
  </si>
  <si>
    <t>IDHO-17381</t>
  </si>
  <si>
    <t>DBN-PP13-01-11-18-00113</t>
  </si>
  <si>
    <t>DBN-PP13-01-11-18-00116</t>
  </si>
  <si>
    <t>2033</t>
  </si>
  <si>
    <t>DBN-PP13-01-11-18-00118</t>
  </si>
  <si>
    <t>LLC-PP13-01-01-18-00151</t>
  </si>
  <si>
    <t>61134 (PAK POLYMER PVT LTD)</t>
  </si>
  <si>
    <t>DBN-PP13-01-11-18-00120</t>
  </si>
  <si>
    <t>DBN-PP13-01-11-18-00122</t>
  </si>
  <si>
    <t>DBN-PP13-01-11-18-00123</t>
  </si>
  <si>
    <t>348</t>
  </si>
  <si>
    <t>DBN-PP13-01-11-18-00125</t>
  </si>
  <si>
    <t>00002</t>
  </si>
  <si>
    <t>DBN-PP13-01-11-18-00126</t>
  </si>
  <si>
    <t>2615</t>
  </si>
  <si>
    <t>DBN-PP13-01-11-18-00127</t>
  </si>
  <si>
    <t>DBN-PP13-01-11-18-00128</t>
  </si>
  <si>
    <t>DBN-PP13-01-11-18-00129</t>
  </si>
  <si>
    <t>DBN-PP13-01-11-18-00130</t>
  </si>
  <si>
    <t>12078</t>
  </si>
  <si>
    <t>DBN-PP13-01-11-18-00132</t>
  </si>
  <si>
    <t>01-00487</t>
  </si>
  <si>
    <t>DBN-PP13-01-11-18-00135</t>
  </si>
  <si>
    <t>DBN-PP13-01-11-18-00137</t>
  </si>
  <si>
    <t>6584</t>
  </si>
  <si>
    <t>DBN-PP13-01-11-18-00138</t>
  </si>
  <si>
    <t>T-PP13-01-11-18-01605</t>
  </si>
  <si>
    <t>IDHO-17455</t>
  </si>
  <si>
    <t>DBN-PP13-01-11-18-00139</t>
  </si>
  <si>
    <t>DBN-PP13-01-11-18-00143</t>
  </si>
  <si>
    <t>LLC-PP13-01-01-18-00109</t>
  </si>
  <si>
    <t>65260 (LAL DIN ENGG)</t>
  </si>
  <si>
    <t>DBN-PP13-01-11-18-00144</t>
  </si>
  <si>
    <t>DBN-PP13-01-11-18-00145</t>
  </si>
  <si>
    <t>LLC-PP13-01-01-18-00058</t>
  </si>
  <si>
    <t>DBN-PP13-01-11-18-00146</t>
  </si>
  <si>
    <t>DBN-PP13-01-11-18-00151</t>
  </si>
  <si>
    <t>DBN-PP13-01-11-18-00152</t>
  </si>
  <si>
    <t>125</t>
  </si>
  <si>
    <t>DBN-PP13-01-11-18-00155</t>
  </si>
  <si>
    <t>DBN-PP13-01-11-18-00156</t>
  </si>
  <si>
    <t>401</t>
  </si>
  <si>
    <t>DBN-PP13-01-11-18-00157</t>
  </si>
  <si>
    <t>2044</t>
  </si>
  <si>
    <t>DBN-PP13-01-11-18-00159</t>
  </si>
  <si>
    <t>DBN-PP13-01-11-18-00160</t>
  </si>
  <si>
    <t>T-PP13-01-11-18-00973</t>
  </si>
  <si>
    <t>DBN-PP13-01-11-18-00161</t>
  </si>
  <si>
    <t>DBN-PP13-01-11-18-00164</t>
  </si>
  <si>
    <t>DBN-PP13-01-11-18-00165</t>
  </si>
  <si>
    <t>1096</t>
  </si>
  <si>
    <t>DBN-PP13-01-11-18-00167</t>
  </si>
  <si>
    <t>1430</t>
  </si>
  <si>
    <t>DBN-PP13-01-11-18-00168</t>
  </si>
  <si>
    <t>1890</t>
  </si>
  <si>
    <t>DBN-PP13-01-11-18-00169</t>
  </si>
  <si>
    <t>749</t>
  </si>
  <si>
    <t>T-PP13-01-11-18-01639</t>
  </si>
  <si>
    <t>DBN-PP13-01-11-18-00170</t>
  </si>
  <si>
    <t>DBN-PP13-01-11-18-00171</t>
  </si>
  <si>
    <t>DBN-PP13-01-11-18-00172</t>
  </si>
  <si>
    <t>13-0036</t>
  </si>
  <si>
    <t>DBN-PP13-01-11-18-00176</t>
  </si>
  <si>
    <t>DBN-PP13-01-11-18-00178</t>
  </si>
  <si>
    <t>1002</t>
  </si>
  <si>
    <t>DBN-PP13-01-11-18-00179</t>
  </si>
  <si>
    <t>DBN-PP13-01-11-18-00181</t>
  </si>
  <si>
    <t>00156</t>
  </si>
  <si>
    <t>DBN-PP13-01-11-18-00182</t>
  </si>
  <si>
    <t>207</t>
  </si>
  <si>
    <t>DBN-PP13-01-11-18-00183</t>
  </si>
  <si>
    <t>734</t>
  </si>
  <si>
    <t>DBN-PP13-01-11-18-00185</t>
  </si>
  <si>
    <t>726</t>
  </si>
  <si>
    <t>DBN-PP13-01-11-18-00186</t>
  </si>
  <si>
    <t>T-PP13-01-11-18-01075</t>
  </si>
  <si>
    <t>DBN-PP13-01-11-18-00187</t>
  </si>
  <si>
    <t>DBN-PP13-01-11-18-00233</t>
  </si>
  <si>
    <t>2068</t>
  </si>
  <si>
    <t>DBN-PP13-01-11-18-00235</t>
  </si>
  <si>
    <t>653</t>
  </si>
  <si>
    <t>DBN-PP13-01-11-18-00236</t>
  </si>
  <si>
    <t>540</t>
  </si>
  <si>
    <t>T-PP13-01-11-18-01609</t>
  </si>
  <si>
    <t>IDHO-17452</t>
  </si>
  <si>
    <t>DBN-PP13-01-11-18-00237</t>
  </si>
  <si>
    <t>3023</t>
  </si>
  <si>
    <t>DBN-PP13-01-11-18-00239</t>
  </si>
  <si>
    <t>DBN-PP13-01-11-18-00240</t>
  </si>
  <si>
    <t>328</t>
  </si>
  <si>
    <t>DBN-PP13-01-11-18-00241</t>
  </si>
  <si>
    <t>238</t>
  </si>
  <si>
    <t>LLC-PP13-01-01-18-00133</t>
  </si>
  <si>
    <t>67104 (SERVICE IND LTD)</t>
  </si>
  <si>
    <t>DBN-PP13-01-11-18-00242</t>
  </si>
  <si>
    <t>7506</t>
  </si>
  <si>
    <t>DBN-PP13-01-11-18-00243</t>
  </si>
  <si>
    <t>74</t>
  </si>
  <si>
    <t>DBN-PP13-01-11-18-00244</t>
  </si>
  <si>
    <t>206</t>
  </si>
  <si>
    <t>DBN-PP13-01-11-18-00249</t>
  </si>
  <si>
    <t>507</t>
  </si>
  <si>
    <t>DBN-PP13-01-11-18-00251</t>
  </si>
  <si>
    <t>01-00120</t>
  </si>
  <si>
    <t>DBN-PP13-01-11-18-00254</t>
  </si>
  <si>
    <t>1071</t>
  </si>
  <si>
    <t>DBN-PP13-01-11-18-00256</t>
  </si>
  <si>
    <t>621</t>
  </si>
  <si>
    <t>POL-PP12-01-11-18-1428</t>
  </si>
  <si>
    <t>LLC-PP13-01-01-18-00115</t>
  </si>
  <si>
    <t>DBN-PP13-01-11-18-00257</t>
  </si>
  <si>
    <t>6516</t>
  </si>
  <si>
    <t>DBN-PP13-01-11-18-00258</t>
  </si>
  <si>
    <t>34</t>
  </si>
  <si>
    <t>LLC-PP13-01-01-18-00120</t>
  </si>
  <si>
    <t>66414 (AUTOMOTIVE COMP LTD)</t>
  </si>
  <si>
    <t>DBN-PP13-01-11-18-00259</t>
  </si>
  <si>
    <t>6035</t>
  </si>
  <si>
    <t>DBN-PP13-01-11-18-00260</t>
  </si>
  <si>
    <t>172</t>
  </si>
  <si>
    <t>LLC-PP12-01-01-18-00004</t>
  </si>
  <si>
    <t>DBN-PP13-01-11-18-00261</t>
  </si>
  <si>
    <t>3685</t>
  </si>
  <si>
    <t>LLC-PP13-01-01-18-00149</t>
  </si>
  <si>
    <t>DBN-PP13-01-11-18-00263</t>
  </si>
  <si>
    <t>1209021</t>
  </si>
  <si>
    <t>LLC-PP13-01-01-18-00148</t>
  </si>
  <si>
    <t>DBN-PP13-01-11-18-00265</t>
  </si>
  <si>
    <t>337</t>
  </si>
  <si>
    <t>DBN-PP13-01-11-18-00267</t>
  </si>
  <si>
    <t>493</t>
  </si>
  <si>
    <t>LLC-PP12-01-01-18-00010</t>
  </si>
  <si>
    <t>DBN-PP13-01-11-18-00268</t>
  </si>
  <si>
    <t>2035</t>
  </si>
  <si>
    <t>DBN-PP13-01-11-18-00270</t>
  </si>
  <si>
    <t>120</t>
  </si>
  <si>
    <t>T-PP13-01-11-18-01542</t>
  </si>
  <si>
    <t>IDHO-17426</t>
  </si>
  <si>
    <t>DBN-PP13-01-11-18-00273</t>
  </si>
  <si>
    <t>811025</t>
  </si>
  <si>
    <t>LLC-PP13-01-01-18-00146</t>
  </si>
  <si>
    <t>DBN-PP13-01-11-18-00274</t>
  </si>
  <si>
    <t>148</t>
  </si>
  <si>
    <t>DBN-PP13-01-11-18-00276</t>
  </si>
  <si>
    <t>LLC-PP13-01-01-18-00143</t>
  </si>
  <si>
    <t>DBN-PP13-01-11-18-00279</t>
  </si>
  <si>
    <t>24</t>
  </si>
  <si>
    <t>DBN-PP13-01-11-18-00280</t>
  </si>
  <si>
    <t>00924</t>
  </si>
  <si>
    <t>DBN-PP13-01-11-18-00282</t>
  </si>
  <si>
    <t>T-PP13-01-11-18-01368</t>
  </si>
  <si>
    <t>DBN-PP13-01-11-18-00283</t>
  </si>
  <si>
    <t>253</t>
  </si>
  <si>
    <t>DBN-PP13-01-11-18-00285</t>
  </si>
  <si>
    <t>32</t>
  </si>
  <si>
    <t>MF-PP13-01-01-18-00229</t>
  </si>
  <si>
    <t>DBN-PP13-01-11-18-00286</t>
  </si>
  <si>
    <t>4098</t>
  </si>
  <si>
    <t>DBN-PP13-01-11-18-00287</t>
  </si>
  <si>
    <t>2916</t>
  </si>
  <si>
    <t>DBN-PP13-01-11-18-00288</t>
  </si>
  <si>
    <t>13016</t>
  </si>
  <si>
    <t>LLC-PP13-01-01-18-00131</t>
  </si>
  <si>
    <t>66415 (PANTHER TYRES LTD)</t>
  </si>
  <si>
    <t>DBN-PP13-01-11-18-00290</t>
  </si>
  <si>
    <t>151</t>
  </si>
  <si>
    <t>DBN-PP13-01-11-18-00291</t>
  </si>
  <si>
    <t>DBN-PP13-01-11-18-00292</t>
  </si>
  <si>
    <t>24448</t>
  </si>
  <si>
    <t>LLC-PP13-01-01-18-00134</t>
  </si>
  <si>
    <t>51691 (ALSONS AUTOPARTS PVT LTD)</t>
  </si>
  <si>
    <t>DBN-PP13-01-11-18-00293</t>
  </si>
  <si>
    <t>43</t>
  </si>
  <si>
    <t>T-PP13-01-11-18-01633</t>
  </si>
  <si>
    <t>IDHO-17467</t>
  </si>
  <si>
    <t>DBN-PP13-01-11-18-00295</t>
  </si>
  <si>
    <t>2065</t>
  </si>
  <si>
    <t>DBN-PP13-01-11-18-00297</t>
  </si>
  <si>
    <t>535</t>
  </si>
  <si>
    <t>T-PP13-01-11-18-01608</t>
  </si>
  <si>
    <t>DBN-PP13-01-11-18-00299</t>
  </si>
  <si>
    <t>gp 776</t>
  </si>
  <si>
    <t>DBN-PP13-01-11-18-00300</t>
  </si>
  <si>
    <t>DBN-PP13-01-11-18-00301</t>
  </si>
  <si>
    <t>1296</t>
  </si>
  <si>
    <t>T-PP13-01-11-18-01643</t>
  </si>
  <si>
    <t>DBN-PP13-01-11-18-00302</t>
  </si>
  <si>
    <t>477</t>
  </si>
  <si>
    <t>DBN-PP13-01-11-18-00303</t>
  </si>
  <si>
    <t>1685</t>
  </si>
  <si>
    <t>DBN-PP13-01-11-18-00307</t>
  </si>
  <si>
    <t>DBN-PP13-01-11-18-00308</t>
  </si>
  <si>
    <t>POL-PP12-01-11-18-3039</t>
  </si>
  <si>
    <t>DBN-PP13-01-11-18-00309</t>
  </si>
  <si>
    <t>1168</t>
  </si>
  <si>
    <t>DBN-PP13-01-11-18-00310</t>
  </si>
  <si>
    <t>31841</t>
  </si>
  <si>
    <t>DBN-PP13-01-11-18-00312</t>
  </si>
  <si>
    <t>DBN-PP13-01-11-18-00316</t>
  </si>
  <si>
    <t>451</t>
  </si>
  <si>
    <t>DBN-PP13-01-11-18-00317</t>
  </si>
  <si>
    <t>1080</t>
  </si>
  <si>
    <t>DBN-PP13-01-11-18-00318</t>
  </si>
  <si>
    <t>308</t>
  </si>
  <si>
    <t>DBN-PP13-01-11-18-00319</t>
  </si>
  <si>
    <t>5353</t>
  </si>
  <si>
    <t>DBN-PP13-01-11-18-00321</t>
  </si>
  <si>
    <t>1074</t>
  </si>
  <si>
    <t>DBN-PP13-01-11-18-00322</t>
  </si>
  <si>
    <t>622</t>
  </si>
  <si>
    <t>T-PP13-01-11-18-01074</t>
  </si>
  <si>
    <t>DBN-PP13-01-11-18-00323</t>
  </si>
  <si>
    <t>DBN-PP13-01-11-18-00325</t>
  </si>
  <si>
    <t>428</t>
  </si>
  <si>
    <t>DBN-PP13-01-11-18-00327</t>
  </si>
  <si>
    <t>362</t>
  </si>
  <si>
    <t>DBN-PP13-01-11-18-00328</t>
  </si>
  <si>
    <t>24362</t>
  </si>
  <si>
    <t>DBN-PP13-01-11-18-00330</t>
  </si>
  <si>
    <t>2256</t>
  </si>
  <si>
    <t>T-PP13-01-11-18-01580</t>
  </si>
  <si>
    <t>IDHO-17436</t>
  </si>
  <si>
    <t>DBN-PP13-01-11-18-00331</t>
  </si>
  <si>
    <t>1886</t>
  </si>
  <si>
    <t>DBN-PP13-01-11-18-00332</t>
  </si>
  <si>
    <t>342</t>
  </si>
  <si>
    <t>DBN-PP13-01-11-18-00333</t>
  </si>
  <si>
    <t>7595</t>
  </si>
  <si>
    <t>DBN-PP13-01-11-18-00334</t>
  </si>
  <si>
    <t>3638</t>
  </si>
  <si>
    <t>DBN-PP13-01-11-18-00335</t>
  </si>
  <si>
    <t>712</t>
  </si>
  <si>
    <t>DBN-PP13-01-11-18-00337</t>
  </si>
  <si>
    <t>0</t>
  </si>
  <si>
    <t>DBN-PP13-01-11-18-00339</t>
  </si>
  <si>
    <t>DBN-PP13-01-11-18-00341</t>
  </si>
  <si>
    <t>940</t>
  </si>
  <si>
    <t>DBN-PP13-01-11-18-00343</t>
  </si>
  <si>
    <t>DBN-PP13-01-11-18-00344</t>
  </si>
  <si>
    <t>2778</t>
  </si>
  <si>
    <t>DBN-PP13-01-11-18-00345</t>
  </si>
  <si>
    <t>DBN-PP13-01-11-18-00346</t>
  </si>
  <si>
    <t>26</t>
  </si>
  <si>
    <t>DBN-PP13-01-11-18-00347</t>
  </si>
  <si>
    <t>DBN-PP13-01-11-18-00349</t>
  </si>
  <si>
    <t>2107</t>
  </si>
  <si>
    <t>DBN-PP13-01-11-18-00351</t>
  </si>
  <si>
    <t>00658</t>
  </si>
  <si>
    <t>DBN-PP13-01-11-18-00352</t>
  </si>
  <si>
    <t>0549</t>
  </si>
  <si>
    <t>T-PP13-01-11-18-01612</t>
  </si>
  <si>
    <t>DBN-PP13-01-11-18-00353</t>
  </si>
  <si>
    <t>3027</t>
  </si>
  <si>
    <t>DBN-PP13-01-11-18-00355</t>
  </si>
  <si>
    <t>DBN-PP13-01-11-18-00356</t>
  </si>
  <si>
    <t>354</t>
  </si>
  <si>
    <t>DBN-PP13-01-11-18-00357</t>
  </si>
  <si>
    <t>311</t>
  </si>
  <si>
    <t>DBN-PP13-01-11-18-00358</t>
  </si>
  <si>
    <t>DBN-PP13-01-11-18-00360</t>
  </si>
  <si>
    <t>4072</t>
  </si>
  <si>
    <t>DBN-PP13-01-11-18-00361</t>
  </si>
  <si>
    <t>POL-PP13-01-11-18-1150</t>
  </si>
  <si>
    <t>DBN-PP13-01-11-18-00365</t>
  </si>
  <si>
    <t>GP.# 733</t>
  </si>
  <si>
    <t>DBN-PP13-01-11-18-00366</t>
  </si>
  <si>
    <t>DC#2755</t>
  </si>
  <si>
    <t>DBN-PP13-01-11-18-00367</t>
  </si>
  <si>
    <t>12139</t>
  </si>
  <si>
    <t>DBN-PP13-01-11-18-00369</t>
  </si>
  <si>
    <t>01-00202</t>
  </si>
  <si>
    <t>DBN-PP13-01-11-18-00371</t>
  </si>
  <si>
    <t>009</t>
  </si>
  <si>
    <t>DBN-PP13-01-11-18-00373</t>
  </si>
  <si>
    <t>0006</t>
  </si>
  <si>
    <t>DBN-PP13-01-11-18-00375</t>
  </si>
  <si>
    <t>DC#4344</t>
  </si>
  <si>
    <t>DBN-PP13-01-11-18-00376</t>
  </si>
  <si>
    <t>T-PP13-01-11-18-01607</t>
  </si>
  <si>
    <t>DBN-PP13-01-11-18-00377</t>
  </si>
  <si>
    <t>18821</t>
  </si>
  <si>
    <t>DBN-PP13-01-11-18-00379</t>
  </si>
  <si>
    <t>3757</t>
  </si>
  <si>
    <t>DBN-PP13-01-11-18-00381</t>
  </si>
  <si>
    <t>1208001</t>
  </si>
  <si>
    <t>DBN-PP13-01-11-18-00382</t>
  </si>
  <si>
    <t>2986</t>
  </si>
  <si>
    <t>DBN-PP13-01-11-18-00383</t>
  </si>
  <si>
    <t>SF GP # 964</t>
  </si>
  <si>
    <t>DBN-PP13-01-11-18-00384</t>
  </si>
  <si>
    <t>00881</t>
  </si>
  <si>
    <t>DBN-PP13-01-11-18-00385</t>
  </si>
  <si>
    <t>682</t>
  </si>
  <si>
    <t>DBN-PP13-01-11-18-00386</t>
  </si>
  <si>
    <t>3006</t>
  </si>
  <si>
    <t>DBN-PP13-01-11-18-00388</t>
  </si>
  <si>
    <t>167</t>
  </si>
  <si>
    <t>DBN-PP13-01-11-18-00389</t>
  </si>
  <si>
    <t>174</t>
  </si>
  <si>
    <t>DBN-PP13-01-11-18-00390</t>
  </si>
  <si>
    <t>31</t>
  </si>
  <si>
    <t>DBN-PP13-01-11-18-00391</t>
  </si>
  <si>
    <t>0811027/27</t>
  </si>
  <si>
    <t>DBN-PP13-01-11-18-00392</t>
  </si>
  <si>
    <t>DBN-PP13-01-11-18-00393</t>
  </si>
  <si>
    <t>GP # 1011</t>
  </si>
  <si>
    <t>DBN-PP13-01-11-18-00395</t>
  </si>
  <si>
    <t>LLC-PP13-01-01-18-00142</t>
  </si>
  <si>
    <t>DBN-PP13-01-11-18-00397</t>
  </si>
  <si>
    <t>710</t>
  </si>
  <si>
    <t>T-PP13-01-11-18-01369</t>
  </si>
  <si>
    <t>DBN-PP13-01-11-18-00399</t>
  </si>
  <si>
    <t>33</t>
  </si>
  <si>
    <t>DBN-PP13-01-11-18-00401</t>
  </si>
  <si>
    <t>b-024448</t>
  </si>
  <si>
    <t>DBN-PP13-01-11-18-00402</t>
  </si>
  <si>
    <t>T-PP13-01-11-18-01634</t>
  </si>
  <si>
    <t>DBN-PP13-01-11-18-00403</t>
  </si>
  <si>
    <t>12080480</t>
  </si>
  <si>
    <t>DBN-PP13-01-11-18-00405</t>
  </si>
  <si>
    <t>104</t>
  </si>
  <si>
    <t>DBN-PP13-01-11-18-00406</t>
  </si>
  <si>
    <t>DBN-PP13-01-11-18-00408</t>
  </si>
  <si>
    <t>DBN-PP13-01-11-18-00409</t>
  </si>
  <si>
    <t>1105</t>
  </si>
  <si>
    <t>DBN-PP13-01-11-18-00410</t>
  </si>
  <si>
    <t>DBN-PP13-01-11-18-00411</t>
  </si>
  <si>
    <t>5394</t>
  </si>
  <si>
    <t>DBN-PP13-01-11-18-00413</t>
  </si>
  <si>
    <t>3706</t>
  </si>
  <si>
    <t>DBN-PP13-01-11-18-00417</t>
  </si>
  <si>
    <t>1317</t>
  </si>
  <si>
    <t>T-PP13-01-11-18-01642</t>
  </si>
  <si>
    <t>DBN-PP13-01-11-18-00419</t>
  </si>
  <si>
    <t>517</t>
  </si>
  <si>
    <t>DBN-PP13-01-11-18-00420</t>
  </si>
  <si>
    <t>11939</t>
  </si>
  <si>
    <t>DBN-PP13-01-11-18-00421</t>
  </si>
  <si>
    <t>SCT#0258</t>
  </si>
  <si>
    <t>DBN-PP13-01-11-18-00423</t>
  </si>
  <si>
    <t>DBN-PP13-01-11-18-00425</t>
  </si>
  <si>
    <t>886</t>
  </si>
  <si>
    <t>DBN-PP13-01-11-18-00426</t>
  </si>
  <si>
    <t>133</t>
  </si>
  <si>
    <t>DBN-PP13-01-11-18-00427</t>
  </si>
  <si>
    <t>2066</t>
  </si>
  <si>
    <t>DBN-PP13-01-11-18-00428</t>
  </si>
  <si>
    <t>GP # 992</t>
  </si>
  <si>
    <t>DBN-PP13-01-11-18-00429</t>
  </si>
  <si>
    <t>106</t>
  </si>
  <si>
    <t>DBN-PP13-01-11-18-00430</t>
  </si>
  <si>
    <t>DBN-PP13-01-11-18-00431</t>
  </si>
  <si>
    <t>DBN-PP13-01-11-18-00434</t>
  </si>
  <si>
    <t>496</t>
  </si>
  <si>
    <t>DBN-PP13-01-11-18-00437</t>
  </si>
  <si>
    <t>DBN-PP13-01-11-18-00438</t>
  </si>
  <si>
    <t>018</t>
  </si>
  <si>
    <t>DBN-PP13-01-11-18-00439</t>
  </si>
  <si>
    <t>T-PP13-01-11-18-01370</t>
  </si>
  <si>
    <t>DBN-PP13-01-11-18-00441</t>
  </si>
  <si>
    <t>DBN-PP13-01-11-18-00442</t>
  </si>
  <si>
    <t>402</t>
  </si>
  <si>
    <t>DBN-PP13-01-11-18-00443</t>
  </si>
  <si>
    <t>b-24997</t>
  </si>
  <si>
    <t>DBN-PP13-01-11-18-00444</t>
  </si>
  <si>
    <t>1520</t>
  </si>
  <si>
    <t>DBN-PP13-01-11-18-00445</t>
  </si>
  <si>
    <t>DBN-PP13-01-11-18-00448</t>
  </si>
  <si>
    <t>00171</t>
  </si>
  <si>
    <t>DBN-PP13-01-11-18-00449</t>
  </si>
  <si>
    <t>0545</t>
  </si>
  <si>
    <t>T-PP13-01-11-18-01613</t>
  </si>
  <si>
    <t>DBN-PP13-01-11-18-00450</t>
  </si>
  <si>
    <t>3022</t>
  </si>
  <si>
    <t>DBN-PP13-01-11-18-00451</t>
  </si>
  <si>
    <t>2272</t>
  </si>
  <si>
    <t>T-PP13-01-11-18-01584</t>
  </si>
  <si>
    <t>DBN-PP13-01-11-18-00453</t>
  </si>
  <si>
    <t>5829</t>
  </si>
  <si>
    <t>DBN-PP13-01-11-18-00454</t>
  </si>
  <si>
    <t>DBN-PP13-01-11-18-00455</t>
  </si>
  <si>
    <t>365</t>
  </si>
  <si>
    <t>DBN-PP13-01-11-18-00456</t>
  </si>
  <si>
    <t>1489</t>
  </si>
  <si>
    <t>DBN-PP13-01-11-18-00457</t>
  </si>
  <si>
    <t>7635</t>
  </si>
  <si>
    <t>DBN-PP13-01-11-18-00458</t>
  </si>
  <si>
    <t>1196</t>
  </si>
  <si>
    <t>DBN-PP13-01-11-18-00460</t>
  </si>
  <si>
    <t>54105</t>
  </si>
  <si>
    <t>DBN-PP13-01-11-18-00461</t>
  </si>
  <si>
    <t>DBN-PP13-01-11-18-00462</t>
  </si>
  <si>
    <t>DBN-PP13-01-11-18-00463</t>
  </si>
  <si>
    <t>04233</t>
  </si>
  <si>
    <t>MF-PP13-01-01-18-00241</t>
  </si>
  <si>
    <t>DBN-PP13-01-11-18-00467</t>
  </si>
  <si>
    <t>01639</t>
  </si>
  <si>
    <t>T-PP13-01-11-18-01640</t>
  </si>
  <si>
    <t>DBN-PP13-01-11-18-00468</t>
  </si>
  <si>
    <t>DC#3652</t>
  </si>
  <si>
    <t>DBN-PP13-01-11-18-00469</t>
  </si>
  <si>
    <t>516</t>
  </si>
  <si>
    <t>DBN-PP13-01-11-18-00470</t>
  </si>
  <si>
    <t>12159</t>
  </si>
  <si>
    <t>DBN-PP13-01-11-18-00471</t>
  </si>
  <si>
    <t>DBN-PP13-01-11-18-00472</t>
  </si>
  <si>
    <t>01-00622</t>
  </si>
  <si>
    <t>DBN-PP13-01-11-18-00473</t>
  </si>
  <si>
    <t>361</t>
  </si>
  <si>
    <t>DBN-PP13-01-11-18-00474</t>
  </si>
  <si>
    <t>DBN-PP13-01-11-18-00476</t>
  </si>
  <si>
    <t>DBN-PP13-01-11-18-00477</t>
  </si>
  <si>
    <t>0587</t>
  </si>
  <si>
    <t>DBN-PP13-01-11-18-00478</t>
  </si>
  <si>
    <t>00485</t>
  </si>
  <si>
    <t>DBN-PP13-01-11-18-00479</t>
  </si>
  <si>
    <t>DC#2182</t>
  </si>
  <si>
    <t>DBN-PP13-01-11-18-00480</t>
  </si>
  <si>
    <t>6676</t>
  </si>
  <si>
    <t>DBN-PP13-01-11-18-00481</t>
  </si>
  <si>
    <t>T-PP13-01-11-18-01606</t>
  </si>
  <si>
    <t>DBN-PP13-01-11-18-00482</t>
  </si>
  <si>
    <t>285</t>
  </si>
  <si>
    <t>DBN-PP13-01-11-18-00483</t>
  </si>
  <si>
    <t>18807</t>
  </si>
  <si>
    <t>DBN-PP13-01-11-18-00484</t>
  </si>
  <si>
    <t>02</t>
  </si>
  <si>
    <t>DBN-PP13-01-11-18-00485</t>
  </si>
  <si>
    <t>440</t>
  </si>
  <si>
    <t>DBN-PP13-01-11-18-00486</t>
  </si>
  <si>
    <t>1211097</t>
  </si>
  <si>
    <t>DBN-PP13-01-11-18-00487</t>
  </si>
  <si>
    <t>3049</t>
  </si>
  <si>
    <t>DBN-PP13-01-11-18-00488</t>
  </si>
  <si>
    <t>325</t>
  </si>
  <si>
    <t>DBN-PP13-01-11-18-00489</t>
  </si>
  <si>
    <t>DBN-PP13-01-11-18-00490</t>
  </si>
  <si>
    <t>88</t>
  </si>
  <si>
    <t>LLC-PP13-01-01-18-00080</t>
  </si>
  <si>
    <t>DBN-PP13-01-11-18-00491</t>
  </si>
  <si>
    <t>215</t>
  </si>
  <si>
    <t>DBN-PP13-01-11-18-00492</t>
  </si>
  <si>
    <t>3069</t>
  </si>
  <si>
    <t>DBN-PP13-01-11-18-00493</t>
  </si>
  <si>
    <t>220</t>
  </si>
  <si>
    <t>DBN-PP13-01-11-18-00494</t>
  </si>
  <si>
    <t>127</t>
  </si>
  <si>
    <t>T-PP13-01-11-18-01544</t>
  </si>
  <si>
    <t>DBN-PP13-01-11-18-00495</t>
  </si>
  <si>
    <t>187</t>
  </si>
  <si>
    <t>DBN-PP13-01-11-18-00496</t>
  </si>
  <si>
    <t>DBN-PP13-01-11-18-00497</t>
  </si>
  <si>
    <t>DBN-PP13-01-11-18-00498</t>
  </si>
  <si>
    <t>DBN-PP13-01-11-18-00499</t>
  </si>
  <si>
    <t>1090</t>
  </si>
  <si>
    <t>DBN-PP13-01-11-18-00500</t>
  </si>
  <si>
    <t>0947</t>
  </si>
  <si>
    <t>DBN-PP13-01-11-18-00501</t>
  </si>
  <si>
    <t>529</t>
  </si>
  <si>
    <t>DBN-PP13-01-11-18-00502</t>
  </si>
  <si>
    <t>00111</t>
  </si>
  <si>
    <t>DBN-PP13-01-11-18-00503</t>
  </si>
  <si>
    <t>072</t>
  </si>
  <si>
    <t>T-PP13-01-11-18-01653</t>
  </si>
  <si>
    <t>IDHO-17491</t>
  </si>
  <si>
    <t>DBN-PP13-01-11-18-00504</t>
  </si>
  <si>
    <t>719</t>
  </si>
  <si>
    <t>DBN-PP13-01-11-18-00505</t>
  </si>
  <si>
    <t>395</t>
  </si>
  <si>
    <t>DBN-PP13-01-11-18-00506</t>
  </si>
  <si>
    <t>DC#095</t>
  </si>
  <si>
    <t>DBN-PP13-01-11-18-00507</t>
  </si>
  <si>
    <t>530</t>
  </si>
  <si>
    <t>DBN-PP13-01-11-18-00508</t>
  </si>
  <si>
    <t>DBN-PP13-01-11-18-00509</t>
  </si>
  <si>
    <t>40</t>
  </si>
  <si>
    <t>PBV-PP12-01-11-18-00378</t>
  </si>
  <si>
    <t>002204</t>
  </si>
  <si>
    <t>LLC-PP12-01-01-18-00015</t>
  </si>
  <si>
    <t>JV-12-01-01-18-00525</t>
  </si>
  <si>
    <t>53477 (NASIR ENGG)</t>
  </si>
  <si>
    <t>PBV-PP12-01-11-18-00484</t>
  </si>
  <si>
    <t>021</t>
  </si>
  <si>
    <t>LLC-PP12-01-01-18-00026</t>
  </si>
  <si>
    <t>JV-12-01-01-18-00821</t>
  </si>
  <si>
    <t>58982 (IMZA ENGG)</t>
  </si>
  <si>
    <t>PBV-PP12-01-11-18-00510</t>
  </si>
  <si>
    <t>0028</t>
  </si>
  <si>
    <t>LLC-PP12-01-01-18-00024</t>
  </si>
  <si>
    <t>JV-12-01-01-18-00475</t>
  </si>
  <si>
    <t>53666 (PAK POLYMER)</t>
  </si>
  <si>
    <t>PBV-PP12-01-11-18-00511</t>
  </si>
  <si>
    <t>0036</t>
  </si>
  <si>
    <t>JV-12-01-01-18-00477</t>
  </si>
  <si>
    <t>PBV-PP12-01-11-18-00512</t>
  </si>
  <si>
    <t>00037</t>
  </si>
  <si>
    <t>PBV-PP12-01-11-18-00513</t>
  </si>
  <si>
    <t>0043</t>
  </si>
  <si>
    <t>PBV-PP12-01-11-18-00560</t>
  </si>
  <si>
    <t>0044</t>
  </si>
  <si>
    <t>PBV-PP12-01-11-18-00594</t>
  </si>
  <si>
    <t>2232</t>
  </si>
  <si>
    <t>JV-12-01-01-18-00831</t>
  </si>
  <si>
    <t>PBV-PP12-01-11-18-00640</t>
  </si>
  <si>
    <t>15038</t>
  </si>
  <si>
    <t>LLC-PP12-01-01-18-00028</t>
  </si>
  <si>
    <t>JV-12-01-01-18-00553</t>
  </si>
  <si>
    <t>58984 (ALICO IND)</t>
  </si>
  <si>
    <t>PBV-PP12-01-11-18-00641</t>
  </si>
  <si>
    <t>15037</t>
  </si>
  <si>
    <t>PBV-PP12-01-11-18-00642</t>
  </si>
  <si>
    <t>15036</t>
  </si>
  <si>
    <t>PBV-PP12-01-11-18-00643</t>
  </si>
  <si>
    <t>15035</t>
  </si>
  <si>
    <t>PBV-PP12-01-11-18-00650</t>
  </si>
  <si>
    <t>2251</t>
  </si>
  <si>
    <t>PBV-PP12-01-11-18-00664</t>
  </si>
  <si>
    <t>38</t>
  </si>
  <si>
    <t>LLC-PP12-01-01-18-00033</t>
  </si>
  <si>
    <t>JV-12-01-01-18-02017</t>
  </si>
  <si>
    <t>57994 (SUPER ENGG)</t>
  </si>
  <si>
    <t>PBV-PP12-01-11-18-00705</t>
  </si>
  <si>
    <t>2252</t>
  </si>
  <si>
    <t>JV-12-01-01-18-00833</t>
  </si>
  <si>
    <t>PBV-PP12-01-11-18-01052</t>
  </si>
  <si>
    <t>1671/08/11</t>
  </si>
  <si>
    <t>LLC-PP12-01-01-18-00008</t>
  </si>
  <si>
    <t>JV-12-01-01-18-01581</t>
  </si>
  <si>
    <t>59094 (MIAN TYRE)</t>
  </si>
  <si>
    <t>PBV-PP12-01-11-18-01076</t>
  </si>
  <si>
    <t>068</t>
  </si>
  <si>
    <t>LLC-PP12-01-01-18-00135</t>
  </si>
  <si>
    <t>JV-12-01-01-18-01457</t>
  </si>
  <si>
    <t>57994 (SUPER ENGG CO (PVT) LTD</t>
  </si>
  <si>
    <t>PBV-PP12-01-11-18-01162</t>
  </si>
  <si>
    <t>10715</t>
  </si>
  <si>
    <t>LLC-PP12-01-01-18-00082</t>
  </si>
  <si>
    <t>JV-12-01-01-18-01123</t>
  </si>
  <si>
    <t>61720 (SUPER STAR METAL)</t>
  </si>
  <si>
    <t>PBV-PP12-01-11-18-01191</t>
  </si>
  <si>
    <t>182</t>
  </si>
  <si>
    <t>JV-12-01-01-18-00817</t>
  </si>
  <si>
    <t>PBV-PP12-01-11-18-01366</t>
  </si>
  <si>
    <t>01-00408</t>
  </si>
  <si>
    <t>LLC-PP12-01-01-18-00084</t>
  </si>
  <si>
    <t>JV-12-01-01-18-00875</t>
  </si>
  <si>
    <t>55773 (STEEL CRAFT)</t>
  </si>
  <si>
    <t>PBV-PP12-01-11-18-01379</t>
  </si>
  <si>
    <t>LDY-52</t>
  </si>
  <si>
    <t>PBV-PP12-01-11-18-01380</t>
  </si>
  <si>
    <t>LDY-53</t>
  </si>
  <si>
    <t>PBV-PP12-01-11-18-01412</t>
  </si>
  <si>
    <t>LDY-35</t>
  </si>
  <si>
    <t>PBV-PP12-01-11-18-01434</t>
  </si>
  <si>
    <t>558</t>
  </si>
  <si>
    <t>LLC-PP12-01-01-18-00085</t>
  </si>
  <si>
    <t>JV-12-01-01-18-00837</t>
  </si>
  <si>
    <t>57352 (Automotive traders)</t>
  </si>
  <si>
    <t>PBV-PP12-01-11-18-01463</t>
  </si>
  <si>
    <t>LDY-40</t>
  </si>
  <si>
    <t>PBV-PP12-01-11-18-01464</t>
  </si>
  <si>
    <t>LDY-065</t>
  </si>
  <si>
    <t>PBV-PP12-01-11-18-01465</t>
  </si>
  <si>
    <t>LDY-64</t>
  </si>
  <si>
    <t>PBV-PP12-01-11-18-01466</t>
  </si>
  <si>
    <t>LDY-39</t>
  </si>
  <si>
    <t>PBV-PP12-01-11-18-01467</t>
  </si>
  <si>
    <t>LDY-37</t>
  </si>
  <si>
    <t>PBV-PP12-01-11-18-01468</t>
  </si>
  <si>
    <t>LDY-50</t>
  </si>
  <si>
    <t>PBV-PP12-01-11-18-01469</t>
  </si>
  <si>
    <t>LDY-60</t>
  </si>
  <si>
    <t>PBV-PP12-01-11-18-01470</t>
  </si>
  <si>
    <t>LDY-61</t>
  </si>
  <si>
    <t>PBV-PP12-01-11-18-01471</t>
  </si>
  <si>
    <t>LDY-59</t>
  </si>
  <si>
    <t>PBV-PP12-01-11-18-01472</t>
  </si>
  <si>
    <t>LDY-66</t>
  </si>
  <si>
    <t>PBV-PP12-01-11-18-01473</t>
  </si>
  <si>
    <t>LDY-72</t>
  </si>
  <si>
    <t>PBV-PP12-01-11-18-01572</t>
  </si>
  <si>
    <t>01-00480</t>
  </si>
  <si>
    <t>LLC-PP12-01-01-18-00083</t>
  </si>
  <si>
    <t>JV-12-01-01-18-01087</t>
  </si>
  <si>
    <t>PBV-PP12-01-11-18-01659</t>
  </si>
  <si>
    <t>483</t>
  </si>
  <si>
    <t>JV-13-01-01-18-01037</t>
  </si>
  <si>
    <t>PBV-PP12-01-11-18-01800</t>
  </si>
  <si>
    <t>LDY-77</t>
  </si>
  <si>
    <t>PBV-PP12-01-11-18-01832</t>
  </si>
  <si>
    <t>LDY-78</t>
  </si>
  <si>
    <t>PBV-PP12-01-11-18-01833</t>
  </si>
  <si>
    <t>LDY-79</t>
  </si>
  <si>
    <t>PBV-PP12-01-11-18-01834</t>
  </si>
  <si>
    <t>LDY-82</t>
  </si>
  <si>
    <t>PBV-PP12-01-11-18-01835</t>
  </si>
  <si>
    <t>LDY-83</t>
  </si>
  <si>
    <t>PBV-PP12-01-11-18-01836</t>
  </si>
  <si>
    <t>LDY-89</t>
  </si>
  <si>
    <t>PBV-PP12-01-11-18-01837</t>
  </si>
  <si>
    <t>LDY-98</t>
  </si>
  <si>
    <t>PBV-PP12-01-11-18-01838</t>
  </si>
  <si>
    <t>LDY-99</t>
  </si>
  <si>
    <t>PBV-PP12-01-11-18-01908</t>
  </si>
  <si>
    <t>002486</t>
  </si>
  <si>
    <t>LLC-PP12-01-01-18-00043</t>
  </si>
  <si>
    <t>JV-13-01-01-18-00245</t>
  </si>
  <si>
    <t>61724 (NASIR ENGG)</t>
  </si>
  <si>
    <t>PBV-PP12-01-11-18-01922</t>
  </si>
  <si>
    <t>240</t>
  </si>
  <si>
    <t>JV-12-01-01-18-00835</t>
  </si>
  <si>
    <t>PBV-PP12-01-11-18-01983</t>
  </si>
  <si>
    <t>aug-11</t>
  </si>
  <si>
    <t>PBV-PP12-01-11-18-02025</t>
  </si>
  <si>
    <t>571</t>
  </si>
  <si>
    <t>JV-12-01-01-18-01541</t>
  </si>
  <si>
    <t>PBV-PP12-01-11-18-02203</t>
  </si>
  <si>
    <t>15437</t>
  </si>
  <si>
    <t>LLC-PP12-01-01-18-00092</t>
  </si>
  <si>
    <t>JV-12-01-01-18-01689</t>
  </si>
  <si>
    <t>61774 (ALICO IND)</t>
  </si>
  <si>
    <t>PBV-PP12-01-11-18-02239</t>
  </si>
  <si>
    <t>6726</t>
  </si>
  <si>
    <t>PBV-PP12-01-11-18-02240</t>
  </si>
  <si>
    <t>6727</t>
  </si>
  <si>
    <t>PBV-PP12-01-11-18-02241</t>
  </si>
  <si>
    <t>6721</t>
  </si>
  <si>
    <t>PBV-PP12-01-11-18-02243</t>
  </si>
  <si>
    <t>6723</t>
  </si>
  <si>
    <t>PBV-PP12-01-11-18-02285</t>
  </si>
  <si>
    <t>01-00842</t>
  </si>
  <si>
    <t>LLC-PP12-01-01-18-00132</t>
  </si>
  <si>
    <t>JV-12-01-01-18-01459</t>
  </si>
  <si>
    <t>55773 (STEEL CRAFT )</t>
  </si>
  <si>
    <t>PBV-PP12-01-11-18-02368</t>
  </si>
  <si>
    <t>0197</t>
  </si>
  <si>
    <t>LLC-PP12-01-01-18-00034</t>
  </si>
  <si>
    <t>JV-12-01-01-18-00615</t>
  </si>
  <si>
    <t>PBV-PP12-01-11-18-02482</t>
  </si>
  <si>
    <t>309</t>
  </si>
  <si>
    <t>LLC-PP12-01-01-18-00009</t>
  </si>
  <si>
    <t>JV-12-01-01-18-01549</t>
  </si>
  <si>
    <t>PBV-PP12-01-11-18-02624</t>
  </si>
  <si>
    <t>119</t>
  </si>
  <si>
    <t>PBV-PP12-01-11-18-02637</t>
  </si>
  <si>
    <t>1305</t>
  </si>
  <si>
    <t>LLC-PP13-01-01-18-00013</t>
  </si>
  <si>
    <t>PBV-PP12-01-11-18-02640</t>
  </si>
  <si>
    <t>1299</t>
  </si>
  <si>
    <t>PBV-PP12-01-11-18-02642</t>
  </si>
  <si>
    <t>1259</t>
  </si>
  <si>
    <t>PBV-PP12-01-11-18-02655</t>
  </si>
  <si>
    <t>865</t>
  </si>
  <si>
    <t>LLC-PP12-01-01-18-00013</t>
  </si>
  <si>
    <t>JV-12-01-01-18-01589</t>
  </si>
  <si>
    <t>PBV-PP12-01-11-18-02690</t>
  </si>
  <si>
    <t>01281</t>
  </si>
  <si>
    <t>PBV-PP12-01-11-18-02691</t>
  </si>
  <si>
    <t>1282</t>
  </si>
  <si>
    <t>PBV-PP12-01-11-18-02751</t>
  </si>
  <si>
    <t>352</t>
  </si>
  <si>
    <t>LLC-PP12-01-01-18-00056</t>
  </si>
  <si>
    <t>JV-12-01-01-18-00805</t>
  </si>
  <si>
    <t>60651(MILL ENG)</t>
  </si>
  <si>
    <t>PBV-PP12-01-11-18-02799</t>
  </si>
  <si>
    <t>01338</t>
  </si>
  <si>
    <t>PBV-PP12-01-11-18-02812</t>
  </si>
  <si>
    <t>15561</t>
  </si>
  <si>
    <t>PBV-PP12-01-11-18-02814</t>
  </si>
  <si>
    <t>PBV-PP12-01-11-18-02815</t>
  </si>
  <si>
    <t>PBV-PP12-01-11-18-02816</t>
  </si>
  <si>
    <t>PBV-PP12-01-11-18-02902</t>
  </si>
  <si>
    <t>2769</t>
  </si>
  <si>
    <t>PBV-PP12-01-11-18-02919</t>
  </si>
  <si>
    <t>15648</t>
  </si>
  <si>
    <t>PBV-PP12-01-11-18-02921</t>
  </si>
  <si>
    <t>15650</t>
  </si>
  <si>
    <t>PBV-PP12-01-11-18-02922</t>
  </si>
  <si>
    <t>15649</t>
  </si>
  <si>
    <t>PBV-PP12-01-11-18-02924</t>
  </si>
  <si>
    <t>957</t>
  </si>
  <si>
    <t>PBV-PP12-01-11-18-02927</t>
  </si>
  <si>
    <t>1053</t>
  </si>
  <si>
    <t>PBV-PP12-01-11-18-02993</t>
  </si>
  <si>
    <t>15646</t>
  </si>
  <si>
    <t>PBV-PP12-01-11-18-02998</t>
  </si>
  <si>
    <t>1038</t>
  </si>
  <si>
    <t>PBV-PP12-01-11-18-02999</t>
  </si>
  <si>
    <t>15680</t>
  </si>
  <si>
    <t>PBV-PP12-01-11-18-03000</t>
  </si>
  <si>
    <t>15679</t>
  </si>
  <si>
    <t>PBV-PP12-01-11-18-03001</t>
  </si>
  <si>
    <t>15670</t>
  </si>
  <si>
    <t>PBV-PP12-01-11-18-03002</t>
  </si>
  <si>
    <t>15669</t>
  </si>
  <si>
    <t>PBV-PP12-01-11-18-03035</t>
  </si>
  <si>
    <t>01463</t>
  </si>
  <si>
    <t>POL-PP12-01-11-18-1170</t>
  </si>
  <si>
    <t>PBV-PP12-01-11-18-03089</t>
  </si>
  <si>
    <t>02770</t>
  </si>
  <si>
    <t>JV-12-01-01-18-01291</t>
  </si>
  <si>
    <t>PBV-PP12-01-11-18-03091</t>
  </si>
  <si>
    <t>203</t>
  </si>
  <si>
    <t>LLC-PP13-01-01-18-00025</t>
  </si>
  <si>
    <t>62599</t>
  </si>
  <si>
    <t>PBV-PP12-01-11-18-03103</t>
  </si>
  <si>
    <t>15551</t>
  </si>
  <si>
    <t>PBV-PP12-01-11-18-03165</t>
  </si>
  <si>
    <t>166</t>
  </si>
  <si>
    <t>PBV-PP12-01-11-18-03166</t>
  </si>
  <si>
    <t>168</t>
  </si>
  <si>
    <t>PBV-PP12-01-11-18-03215</t>
  </si>
  <si>
    <t>01556</t>
  </si>
  <si>
    <t>POL-PP12-01-11-18-1248</t>
  </si>
  <si>
    <t>PBV-PP12-01-11-18-03245</t>
  </si>
  <si>
    <t>1101</t>
  </si>
  <si>
    <t>LLC-PP12-01-01-18-00071</t>
  </si>
  <si>
    <t>JV-12-01-01-18-01305</t>
  </si>
  <si>
    <t>62149 (PAKISTAN SPRING)</t>
  </si>
  <si>
    <t>PBV-PP12-01-11-18-03282</t>
  </si>
  <si>
    <t>PBV-PP12-01-11-18-03283</t>
  </si>
  <si>
    <t>169</t>
  </si>
  <si>
    <t>PBV-PP12-01-11-18-03284</t>
  </si>
  <si>
    <t>170</t>
  </si>
  <si>
    <t>PBV-PP12-01-11-18-03285</t>
  </si>
  <si>
    <t>175</t>
  </si>
  <si>
    <t>PBV-PP12-01-11-18-03286</t>
  </si>
  <si>
    <t>176</t>
  </si>
  <si>
    <t>PBV-PP12-01-11-18-03287</t>
  </si>
  <si>
    <t>171</t>
  </si>
  <si>
    <t>PBV-PP12-01-11-18-03288</t>
  </si>
  <si>
    <t>173</t>
  </si>
  <si>
    <t>PBV-PP12-01-11-18-03289</t>
  </si>
  <si>
    <t>PBV-PP12-01-11-18-03333</t>
  </si>
  <si>
    <t>102830</t>
  </si>
  <si>
    <t>LLC-PP12-01-01-18-00139</t>
  </si>
  <si>
    <t>JV-13-01-01-18-01268</t>
  </si>
  <si>
    <t>63754 (SERVICE INDUSTIRES)</t>
  </si>
  <si>
    <t>PBV-PP12-01-11-18-03353</t>
  </si>
  <si>
    <t>7212</t>
  </si>
  <si>
    <t>PBV-PP12-01-11-18-03354</t>
  </si>
  <si>
    <t>7211</t>
  </si>
  <si>
    <t>PBV-PP12-01-11-18-03360</t>
  </si>
  <si>
    <t>PBV-PP12-01-11-18-03361</t>
  </si>
  <si>
    <t>177</t>
  </si>
  <si>
    <t>PBV-PP12-01-11-18-03362</t>
  </si>
  <si>
    <t>178</t>
  </si>
  <si>
    <t>PBV-PP12-01-11-18-03392</t>
  </si>
  <si>
    <t>181</t>
  </si>
  <si>
    <t>PBV-PP12-01-11-18-03393</t>
  </si>
  <si>
    <t>184</t>
  </si>
  <si>
    <t>PBV-PP12-01-11-18-03394</t>
  </si>
  <si>
    <t>188</t>
  </si>
  <si>
    <t>PBV-PP12-01-11-18-03395</t>
  </si>
  <si>
    <t>186</t>
  </si>
  <si>
    <t>PBV-PP12-01-11-18-03396</t>
  </si>
  <si>
    <t>185</t>
  </si>
  <si>
    <t>PBV-PP12-01-11-18-03397</t>
  </si>
  <si>
    <t>183</t>
  </si>
  <si>
    <t>PBV-PP12-01-11-18-03398</t>
  </si>
  <si>
    <t>PBV-PP12-01-11-18-03409</t>
  </si>
  <si>
    <t>PBV-PP12-01-11-18-03432</t>
  </si>
  <si>
    <t>01656</t>
  </si>
  <si>
    <t>PBV-PP12-01-11-18-03455</t>
  </si>
  <si>
    <t>10729</t>
  </si>
  <si>
    <t>JV-12-01-01-18-02001</t>
  </si>
  <si>
    <t>PBV-PP12-01-11-18-03497</t>
  </si>
  <si>
    <t>189</t>
  </si>
  <si>
    <t>PBV-PP12-01-11-18-03533</t>
  </si>
  <si>
    <t>443</t>
  </si>
  <si>
    <t>LLC-PP12-01-01-18-00155</t>
  </si>
  <si>
    <t>JV-13-01-01-18-01009</t>
  </si>
  <si>
    <t>PBV-PP12-01-11-18-03570</t>
  </si>
  <si>
    <t>288</t>
  </si>
  <si>
    <t>LLC-PP12-01-01-18-00154</t>
  </si>
  <si>
    <t>JV-13-01-01-18-00485</t>
  </si>
  <si>
    <t>64270 (KOHINOOR METAL MANUFACTURERS)</t>
  </si>
  <si>
    <t>PBV-PP12-01-11-18-03582</t>
  </si>
  <si>
    <t>191</t>
  </si>
  <si>
    <t>PBV-PP12-01-11-18-03583</t>
  </si>
  <si>
    <t>192</t>
  </si>
  <si>
    <t>PBV-PP12-01-11-18-03599</t>
  </si>
  <si>
    <t>5393</t>
  </si>
  <si>
    <t>LLC-PP13-01-01-18-00010</t>
  </si>
  <si>
    <t>JV-13-01-01-18-00453</t>
  </si>
  <si>
    <t>64918 (QADIR ENGG)</t>
  </si>
  <si>
    <t>PBV-PP12-01-11-18-03622</t>
  </si>
  <si>
    <t>1751</t>
  </si>
  <si>
    <t>POL-PP12-01-11-18-1559</t>
  </si>
  <si>
    <t>PBV-PP12-01-11-18-03623</t>
  </si>
  <si>
    <t>1748</t>
  </si>
  <si>
    <t>PBV-PP12-01-11-18-03624</t>
  </si>
  <si>
    <t>01749</t>
  </si>
  <si>
    <t>PBV-PP12-01-11-18-03625</t>
  </si>
  <si>
    <t>01750</t>
  </si>
  <si>
    <t>PBV-PP12-01-11-18-03653</t>
  </si>
  <si>
    <t>1609</t>
  </si>
  <si>
    <t>PBV-PP12-01-11-18-03688</t>
  </si>
  <si>
    <t>15841</t>
  </si>
  <si>
    <t>PBV-PP12-01-11-18-03689</t>
  </si>
  <si>
    <t>15851</t>
  </si>
  <si>
    <t>PBV-PP12-01-11-18-03690</t>
  </si>
  <si>
    <t>15850</t>
  </si>
  <si>
    <t>PBV-PP12-01-11-18-03691</t>
  </si>
  <si>
    <t>15849</t>
  </si>
  <si>
    <t>PBV-PP12-01-11-18-03692</t>
  </si>
  <si>
    <t>15840</t>
  </si>
  <si>
    <t>PBV-PP12-01-11-18-03693</t>
  </si>
  <si>
    <t>15832</t>
  </si>
  <si>
    <t>PBV-PP12-01-11-18-03694</t>
  </si>
  <si>
    <t>193</t>
  </si>
  <si>
    <t>PBV-PP12-01-11-18-03715</t>
  </si>
  <si>
    <t>196</t>
  </si>
  <si>
    <t>PBV-PP12-01-11-18-03874</t>
  </si>
  <si>
    <t>331</t>
  </si>
  <si>
    <t>T-PP13-01-11-18-01128</t>
  </si>
  <si>
    <t>PBV-PP12-01-11-18-03897</t>
  </si>
  <si>
    <t>01856</t>
  </si>
  <si>
    <t>PBV-PP12-01-11-18-03959</t>
  </si>
  <si>
    <t>7248</t>
  </si>
  <si>
    <t>PBV-PP12-01-11-18-03960</t>
  </si>
  <si>
    <t>7255</t>
  </si>
  <si>
    <t>PBV-PP12-01-11-18-03961</t>
  </si>
  <si>
    <t>7277</t>
  </si>
  <si>
    <t>PBV-PP12-01-11-18-03962</t>
  </si>
  <si>
    <t>7264</t>
  </si>
  <si>
    <t>PBV-PP12-01-11-18-03963</t>
  </si>
  <si>
    <t>7263</t>
  </si>
  <si>
    <t>PBV-PP12-01-11-18-04023</t>
  </si>
  <si>
    <t>015864</t>
  </si>
  <si>
    <t>PBV-PP12-01-11-18-04024</t>
  </si>
  <si>
    <t>015861</t>
  </si>
  <si>
    <t>PBV-PP12-01-11-18-04025</t>
  </si>
  <si>
    <t>015862</t>
  </si>
  <si>
    <t>PBV-PP12-01-11-18-04026</t>
  </si>
  <si>
    <t>015863</t>
  </si>
  <si>
    <t>PBV-PP12-01-11-18-04027</t>
  </si>
  <si>
    <t>015869</t>
  </si>
  <si>
    <t>PBV-PP12-01-11-18-04028</t>
  </si>
  <si>
    <t>015884</t>
  </si>
  <si>
    <t>PBV-PP12-01-11-18-04029</t>
  </si>
  <si>
    <t>015885</t>
  </si>
  <si>
    <t>PBV-PP12-01-11-18-04030</t>
  </si>
  <si>
    <t>015891</t>
  </si>
  <si>
    <t>PBV-PP12-01-11-18-04031</t>
  </si>
  <si>
    <t>015887</t>
  </si>
  <si>
    <t>PBV-PP12-01-11-18-04032</t>
  </si>
  <si>
    <t>015886</t>
  </si>
  <si>
    <t>PBV-PP12-01-11-18-04074</t>
  </si>
  <si>
    <t>01-01395</t>
  </si>
  <si>
    <t>JV-13-01-01-18-00759</t>
  </si>
  <si>
    <t>PBV-PP12-01-11-18-04075</t>
  </si>
  <si>
    <t>01-01394</t>
  </si>
  <si>
    <t>JV-13-01-01-18-01157</t>
  </si>
  <si>
    <t>PBV-PP12-01-11-18-04082</t>
  </si>
  <si>
    <t>7259</t>
  </si>
  <si>
    <t>PBV-PP12-01-11-18-04091</t>
  </si>
  <si>
    <t>01945</t>
  </si>
  <si>
    <t>PBV-PP12-01-11-18-04092</t>
  </si>
  <si>
    <t>01944</t>
  </si>
  <si>
    <t>PBV-PP12-01-11-18-04093</t>
  </si>
  <si>
    <t>01919</t>
  </si>
  <si>
    <t>PBV-PP12-01-11-18-04150</t>
  </si>
  <si>
    <t>01-01410</t>
  </si>
  <si>
    <t>PBV-PP12-01-11-18-04151</t>
  </si>
  <si>
    <t>01-01411</t>
  </si>
  <si>
    <t>PBV-PP12-01-11-18-04152</t>
  </si>
  <si>
    <t>01-01413</t>
  </si>
  <si>
    <t>PBV-PP12-01-11-18-04174</t>
  </si>
  <si>
    <t>332</t>
  </si>
  <si>
    <t>T-PP13-01-11-18-01130</t>
  </si>
  <si>
    <t>PBV-PP12-01-11-18-04182</t>
  </si>
  <si>
    <t>15907</t>
  </si>
  <si>
    <t>PBV-PP12-01-11-18-04183</t>
  </si>
  <si>
    <t>15909</t>
  </si>
  <si>
    <t>PBV-PP12-01-11-18-04184</t>
  </si>
  <si>
    <t>15910</t>
  </si>
  <si>
    <t>PBV-PP12-01-11-18-04185</t>
  </si>
  <si>
    <t>15911</t>
  </si>
  <si>
    <t>PBV-PP12-01-11-18-04186</t>
  </si>
  <si>
    <t>15912</t>
  </si>
  <si>
    <t>PBV-PP12-01-11-18-04187</t>
  </si>
  <si>
    <t>015913</t>
  </si>
  <si>
    <t>PBV-PP12-01-11-18-04188</t>
  </si>
  <si>
    <t>15921</t>
  </si>
  <si>
    <t>PBV-PP12-01-11-18-04189</t>
  </si>
  <si>
    <t>15928</t>
  </si>
  <si>
    <t>PBV-PP12-01-11-18-04212</t>
  </si>
  <si>
    <t>02011</t>
  </si>
  <si>
    <t>PBV-PP12-01-11-18-04244</t>
  </si>
  <si>
    <t>732</t>
  </si>
  <si>
    <t>LLC-PP13-01-01-18-00066</t>
  </si>
  <si>
    <t>JV-13-01-01-18-00883</t>
  </si>
  <si>
    <t>61796 (G.M. SONS)</t>
  </si>
  <si>
    <t>PBV-PP12-01-11-18-04246</t>
  </si>
  <si>
    <t>741</t>
  </si>
  <si>
    <t>PBV-PP12-01-11-18-04274</t>
  </si>
  <si>
    <t>015956</t>
  </si>
  <si>
    <t>PBV-PP12-01-11-18-04275</t>
  </si>
  <si>
    <t>015958</t>
  </si>
  <si>
    <t>PBV-PP12-01-11-18-04276</t>
  </si>
  <si>
    <t>15975</t>
  </si>
  <si>
    <t>PBV-PP12-01-11-18-04277</t>
  </si>
  <si>
    <t>015985</t>
  </si>
  <si>
    <t>PBV-PP12-01-11-18-04278</t>
  </si>
  <si>
    <t>15971</t>
  </si>
  <si>
    <t>PBV-PP12-01-11-18-04331</t>
  </si>
  <si>
    <t>11-01466</t>
  </si>
  <si>
    <t>PBV-PP12-01-11-18-04334</t>
  </si>
  <si>
    <t>015892</t>
  </si>
  <si>
    <t>PBV-PP12-01-11-18-04335</t>
  </si>
  <si>
    <t>15976</t>
  </si>
  <si>
    <t>PBV-PP12-01-11-18-04340</t>
  </si>
  <si>
    <t>7286</t>
  </si>
  <si>
    <t>PBV-PP12-01-11-18-04341</t>
  </si>
  <si>
    <t>7293</t>
  </si>
  <si>
    <t>PBV-PP12-01-11-18-04342</t>
  </si>
  <si>
    <t>7294</t>
  </si>
  <si>
    <t>PBV-PP12-01-11-18-04346</t>
  </si>
  <si>
    <t>12010762</t>
  </si>
  <si>
    <t>LLC-PP13-01-01-18-00049</t>
  </si>
  <si>
    <t>JV-13-01-01-18-00367</t>
  </si>
  <si>
    <t>63751 (PROCON ENGG)</t>
  </si>
  <si>
    <t>PBV-PP12-01-11-18-04363</t>
  </si>
  <si>
    <t>972</t>
  </si>
  <si>
    <t>LLC-PP13-01-01-18-00052</t>
  </si>
  <si>
    <t>JV-13-01-01-18-00761</t>
  </si>
  <si>
    <t>65126 (SHAH ZUBAIR ENGG)</t>
  </si>
  <si>
    <t>PBV-PP12-01-11-18-04364</t>
  </si>
  <si>
    <t>7298</t>
  </si>
  <si>
    <t>PBV-PP12-01-11-18-04389</t>
  </si>
  <si>
    <t>02057</t>
  </si>
  <si>
    <t>PBV-PP12-01-11-18-04439</t>
  </si>
  <si>
    <t>03064</t>
  </si>
  <si>
    <t>LLC-PP12-01-01-18-00141</t>
  </si>
  <si>
    <t>JV-12-01-01-18-01915</t>
  </si>
  <si>
    <t>PBV-PP12-01-11-18-04545</t>
  </si>
  <si>
    <t>452</t>
  </si>
  <si>
    <t>LLC-PP13-01-01-18-00061</t>
  </si>
  <si>
    <t>JV-13-01-01-18-01011</t>
  </si>
  <si>
    <t>64271 (IMZA ENGG)</t>
  </si>
  <si>
    <t>PBV-PP12-01-11-18-04547</t>
  </si>
  <si>
    <t>02295</t>
  </si>
  <si>
    <t>LLC-PP13-01-01-18-00007</t>
  </si>
  <si>
    <t>63755 (NASIR ENGG WORKS)</t>
  </si>
  <si>
    <t>PBV-PP12-01-11-18-04548</t>
  </si>
  <si>
    <t>GP.# 499</t>
  </si>
  <si>
    <t>PBV-PP12-01-11-18-04549</t>
  </si>
  <si>
    <t>PBV-PP12-01-11-18-04553</t>
  </si>
  <si>
    <t>16328</t>
  </si>
  <si>
    <t>T-PP13-01-11-18-01189</t>
  </si>
  <si>
    <t>PBV-PP12-01-11-18-04583</t>
  </si>
  <si>
    <t>00416</t>
  </si>
  <si>
    <t>LLC-PP12-01-01-18-00133</t>
  </si>
  <si>
    <t>JV-12-01-01-18-01441</t>
  </si>
  <si>
    <t>53666 (PAK POLYMER (PVT) LTD</t>
  </si>
  <si>
    <t>PBV-PP12-01-11-18-04635</t>
  </si>
  <si>
    <t>16036</t>
  </si>
  <si>
    <t>PBV-PP12-01-11-18-04701</t>
  </si>
  <si>
    <t>7305</t>
  </si>
  <si>
    <t>PBV-PP12-01-11-18-04702</t>
  </si>
  <si>
    <t>7314</t>
  </si>
  <si>
    <t>PBV-PP12-01-11-18-04703</t>
  </si>
  <si>
    <t>7313</t>
  </si>
  <si>
    <t>PBV-PP12-01-11-18-04704</t>
  </si>
  <si>
    <t>7322</t>
  </si>
  <si>
    <t>PBV-PP12-01-11-18-04705</t>
  </si>
  <si>
    <t>7323</t>
  </si>
  <si>
    <t>PBV-PP12-01-11-18-04706</t>
  </si>
  <si>
    <t>7332</t>
  </si>
  <si>
    <t>PBV-PP12-01-11-18-04707</t>
  </si>
  <si>
    <t>7331</t>
  </si>
  <si>
    <t>PBV-PP12-01-11-18-04708</t>
  </si>
  <si>
    <t>7334</t>
  </si>
  <si>
    <t>PBV-PP12-01-11-18-04709</t>
  </si>
  <si>
    <t>7337</t>
  </si>
  <si>
    <t>PBV-PP12-01-11-18-04710</t>
  </si>
  <si>
    <t>7340</t>
  </si>
  <si>
    <t>PBV-PP12-01-11-18-04719</t>
  </si>
  <si>
    <t>786</t>
  </si>
  <si>
    <t>PBV-PP12-01-11-18-04739</t>
  </si>
  <si>
    <t>016047</t>
  </si>
  <si>
    <t>PBV-PP12-01-11-18-04740</t>
  </si>
  <si>
    <t>016046</t>
  </si>
  <si>
    <t>PBV-PP12-01-11-18-04764</t>
  </si>
  <si>
    <t>12020505</t>
  </si>
  <si>
    <t>PBV-PP12-01-11-18-04772</t>
  </si>
  <si>
    <t>2184</t>
  </si>
  <si>
    <t>POL-PP12-01-11-18-1988</t>
  </si>
  <si>
    <t>JV-13-01-01-18-00969</t>
  </si>
  <si>
    <t>PBV-PP12-01-11-18-04825</t>
  </si>
  <si>
    <t>1012</t>
  </si>
  <si>
    <t>PBV-PP12-01-11-18-04853</t>
  </si>
  <si>
    <t>016055</t>
  </si>
  <si>
    <t>PBV-PP12-01-11-18-04858</t>
  </si>
  <si>
    <t>16443</t>
  </si>
  <si>
    <t>T-PP13-01-11-18-01190</t>
  </si>
  <si>
    <t>PBV-PP12-01-11-18-04872</t>
  </si>
  <si>
    <t>3395</t>
  </si>
  <si>
    <t>JV-13-01-01-18-00243</t>
  </si>
  <si>
    <t>PBV-PP12-01-11-18-04891</t>
  </si>
  <si>
    <t>016091</t>
  </si>
  <si>
    <t>PBV-PP12-01-11-18-04892</t>
  </si>
  <si>
    <t>016092</t>
  </si>
  <si>
    <t>PBV-PP12-01-11-18-04897</t>
  </si>
  <si>
    <t>19</t>
  </si>
  <si>
    <t>PBV-PP12-01-11-18-04927</t>
  </si>
  <si>
    <t>3187</t>
  </si>
  <si>
    <t>PBV-PP12-01-11-18-04932</t>
  </si>
  <si>
    <t>7344</t>
  </si>
  <si>
    <t>PBV-PP12-01-11-18-04933</t>
  </si>
  <si>
    <t>7348</t>
  </si>
  <si>
    <t>PBV-PP12-01-11-18-04934</t>
  </si>
  <si>
    <t>7354</t>
  </si>
  <si>
    <t>PBV-PP12-01-11-18-04935</t>
  </si>
  <si>
    <t>7359</t>
  </si>
  <si>
    <t>PBV-PP12-01-11-18-04936</t>
  </si>
  <si>
    <t>7360</t>
  </si>
  <si>
    <t>PBV-PP12-01-11-18-04946</t>
  </si>
  <si>
    <t>845</t>
  </si>
  <si>
    <t>PBV-PP12-01-11-18-04947</t>
  </si>
  <si>
    <t>839</t>
  </si>
  <si>
    <t>PBV-PP12-01-11-18-04957</t>
  </si>
  <si>
    <t>458</t>
  </si>
  <si>
    <t>PBV-PP12-01-11-18-04965</t>
  </si>
  <si>
    <t>806</t>
  </si>
  <si>
    <t>PBV-PP12-01-11-18-04970</t>
  </si>
  <si>
    <t>259/2012</t>
  </si>
  <si>
    <t>T-PP13-01-11-18-00262</t>
  </si>
  <si>
    <t>IDHO-16633</t>
  </si>
  <si>
    <t>PBV-PP12-01-11-18-04981</t>
  </si>
  <si>
    <t>03188</t>
  </si>
  <si>
    <t>LLC-PP13-01-01-18-00022</t>
  </si>
  <si>
    <t>PBV-PP12-01-11-18-05033</t>
  </si>
  <si>
    <t>016120</t>
  </si>
  <si>
    <t>PBV-PP12-01-11-18-05038</t>
  </si>
  <si>
    <t>1848</t>
  </si>
  <si>
    <t>PBV-PP12-01-11-18-05067</t>
  </si>
  <si>
    <t>18120,18157,18188</t>
  </si>
  <si>
    <t>JV-12-01-01-18-02009</t>
  </si>
  <si>
    <t>PBV-PP12-01-11-18-05093</t>
  </si>
  <si>
    <t>991</t>
  </si>
  <si>
    <t>PBV-PP12-01-11-18-05095</t>
  </si>
  <si>
    <t>993</t>
  </si>
  <si>
    <t>PBV-PP12-01-11-18-05119</t>
  </si>
  <si>
    <t>b-22379</t>
  </si>
  <si>
    <t>LLC-PP12-01-01-18-00114</t>
  </si>
  <si>
    <t>JV-12-01-01-18-01847</t>
  </si>
  <si>
    <t>54553 (ALSONS AUTOPARTS)</t>
  </si>
  <si>
    <t>PBV-PP12-01-11-18-05120</t>
  </si>
  <si>
    <t>9392</t>
  </si>
  <si>
    <t>PBV-PP12-01-11-18-05138</t>
  </si>
  <si>
    <t>0025</t>
  </si>
  <si>
    <t>T-PP12-01-11-18-02562</t>
  </si>
  <si>
    <t>IDHO-15808</t>
  </si>
  <si>
    <t>PBV-PP12-01-11-18-05156</t>
  </si>
  <si>
    <t>9384</t>
  </si>
  <si>
    <t>PBV-PP12-01-11-18-05157</t>
  </si>
  <si>
    <t>9383</t>
  </si>
  <si>
    <t>PBV-PP12-01-11-18-05162</t>
  </si>
  <si>
    <t>30522</t>
  </si>
  <si>
    <t>PBV-PP12-01-11-18-05169</t>
  </si>
  <si>
    <t>0112</t>
  </si>
  <si>
    <t>PBV-PP12-01-11-18-05170</t>
  </si>
  <si>
    <t>0113</t>
  </si>
  <si>
    <t>PBV-PP12-01-11-18-05171</t>
  </si>
  <si>
    <t>0114</t>
  </si>
  <si>
    <t>PBV-PP12-01-11-18-05172</t>
  </si>
  <si>
    <t>3407</t>
  </si>
  <si>
    <t>LLC-PP13-01-01-18-00063</t>
  </si>
  <si>
    <t>JV-13-01-01-18-00733</t>
  </si>
  <si>
    <t>62248 (AJR METAL FABRICATORS)</t>
  </si>
  <si>
    <t>PBV-PP12-01-11-18-05194</t>
  </si>
  <si>
    <t>1832</t>
  </si>
  <si>
    <t>PBV-PP12-01-11-18-05195</t>
  </si>
  <si>
    <t>1833</t>
  </si>
  <si>
    <t>PBV-PP12-01-11-18-05227</t>
  </si>
  <si>
    <t>9405</t>
  </si>
  <si>
    <t>PBV-PP12-01-11-18-05228</t>
  </si>
  <si>
    <t>9406</t>
  </si>
  <si>
    <t>PBV-PP12-01-11-18-05255</t>
  </si>
  <si>
    <t>016151</t>
  </si>
  <si>
    <t>PBV-PP12-01-11-18-05281</t>
  </si>
  <si>
    <t>1023</t>
  </si>
  <si>
    <t>PBV-PP12-01-11-18-05283</t>
  </si>
  <si>
    <t>30721</t>
  </si>
  <si>
    <t>PBV-PP12-01-11-18-05286</t>
  </si>
  <si>
    <t>861</t>
  </si>
  <si>
    <t>PBV-PP12-01-11-18-05287</t>
  </si>
  <si>
    <t>863</t>
  </si>
  <si>
    <t>PBV-PP12-01-11-18-05288</t>
  </si>
  <si>
    <t>860</t>
  </si>
  <si>
    <t>PBV-PP12-01-11-18-05289</t>
  </si>
  <si>
    <t>875</t>
  </si>
  <si>
    <t>PBV-PP12-01-11-18-05290</t>
  </si>
  <si>
    <t>878</t>
  </si>
  <si>
    <t>PBV-PP12-01-11-18-05291</t>
  </si>
  <si>
    <t>884</t>
  </si>
  <si>
    <t>PBV-PP12-01-11-18-05292</t>
  </si>
  <si>
    <t>891</t>
  </si>
  <si>
    <t>PBV-PP12-01-11-18-05293</t>
  </si>
  <si>
    <t>900</t>
  </si>
  <si>
    <t>PBV-PP12-01-11-18-05294</t>
  </si>
  <si>
    <t>901</t>
  </si>
  <si>
    <t>PBV-PP12-01-11-18-05295</t>
  </si>
  <si>
    <t>9408</t>
  </si>
  <si>
    <t>PBV-PP12-01-11-18-05330</t>
  </si>
  <si>
    <t>03-0312</t>
  </si>
  <si>
    <t>PBV-PP12-01-11-18-05331</t>
  </si>
  <si>
    <t>04-0312</t>
  </si>
  <si>
    <t>PBV-PP12-01-11-18-05359</t>
  </si>
  <si>
    <t>1033</t>
  </si>
  <si>
    <t>PBV-PP12-01-11-18-05386</t>
  </si>
  <si>
    <t>16207</t>
  </si>
  <si>
    <t>PBV-PP12-01-11-18-05390</t>
  </si>
  <si>
    <t>T-PP13-01-11-18-01135</t>
  </si>
  <si>
    <t>PBV-PP12-01-11-18-05392</t>
  </si>
  <si>
    <t>925</t>
  </si>
  <si>
    <t>PBV-PP12-01-11-18-05393</t>
  </si>
  <si>
    <t>924</t>
  </si>
  <si>
    <t>PBV-PP12-01-11-18-05399</t>
  </si>
  <si>
    <t>022650</t>
  </si>
  <si>
    <t>JV-12-01-01-18-01845</t>
  </si>
  <si>
    <t>PBV-PP12-01-11-18-05428</t>
  </si>
  <si>
    <t>1842</t>
  </si>
  <si>
    <t>PBV-PP12-01-11-18-05433</t>
  </si>
  <si>
    <t>016193</t>
  </si>
  <si>
    <t>PBV-PP12-01-11-18-05434</t>
  </si>
  <si>
    <t>016192</t>
  </si>
  <si>
    <t>PBV-PP12-01-11-18-05435</t>
  </si>
  <si>
    <t>016204</t>
  </si>
  <si>
    <t>PBV-PP12-01-11-18-05447</t>
  </si>
  <si>
    <t>1997</t>
  </si>
  <si>
    <t>PBV-PP12-01-11-18-05462</t>
  </si>
  <si>
    <t>892</t>
  </si>
  <si>
    <t>PBV-PP12-01-11-18-05463</t>
  </si>
  <si>
    <t>942</t>
  </si>
  <si>
    <t>PBV-PP12-01-11-18-05464</t>
  </si>
  <si>
    <t>941</t>
  </si>
  <si>
    <t>PBV-PP12-01-11-18-05472</t>
  </si>
  <si>
    <t>10010</t>
  </si>
  <si>
    <t>JV-12-01-01-18-01837</t>
  </si>
  <si>
    <t>PBV-PP12-01-11-18-05473</t>
  </si>
  <si>
    <t>1835</t>
  </si>
  <si>
    <t>PBV-PP12-01-11-18-05488</t>
  </si>
  <si>
    <t>9417</t>
  </si>
  <si>
    <t>PBV-PP12-01-11-18-05491</t>
  </si>
  <si>
    <t>9436</t>
  </si>
  <si>
    <t>PBV-PP12-01-11-18-05495</t>
  </si>
  <si>
    <t>0119</t>
  </si>
  <si>
    <t>PBV-PP12-01-11-18-05496</t>
  </si>
  <si>
    <t>0118</t>
  </si>
  <si>
    <t>PBV-PP12-01-11-18-05519</t>
  </si>
  <si>
    <t>1032</t>
  </si>
  <si>
    <t>PBV-PP12-01-11-18-05521</t>
  </si>
  <si>
    <t>30858</t>
  </si>
  <si>
    <t>PBV-PP12-01-11-18-05529</t>
  </si>
  <si>
    <t>2173</t>
  </si>
  <si>
    <t>PBV-PP12-01-11-18-05530</t>
  </si>
  <si>
    <t>2179</t>
  </si>
  <si>
    <t>PBV-PP12-01-11-18-05531</t>
  </si>
  <si>
    <t>2132</t>
  </si>
  <si>
    <t>PBV-PP12-01-11-18-05532</t>
  </si>
  <si>
    <t>2116</t>
  </si>
  <si>
    <t>PBV-PP12-01-11-18-05533</t>
  </si>
  <si>
    <t>2157</t>
  </si>
  <si>
    <t>PBV-PP12-01-11-18-05536</t>
  </si>
  <si>
    <t>12030634</t>
  </si>
  <si>
    <t>PBV-PP12-01-11-18-05543</t>
  </si>
  <si>
    <t>12030246</t>
  </si>
  <si>
    <t>PBV-PP12-01-11-18-05564</t>
  </si>
  <si>
    <t>9440</t>
  </si>
  <si>
    <t>PBV-PP12-01-11-18-05565</t>
  </si>
  <si>
    <t>9441</t>
  </si>
  <si>
    <t>PBV-PP12-01-11-18-05567</t>
  </si>
  <si>
    <t>0811017/17</t>
  </si>
  <si>
    <t>MF-PP13-01-01-18-00042</t>
  </si>
  <si>
    <t>JV-13-01-01-18-01005</t>
  </si>
  <si>
    <t>MF (MAISUM CORPORATION)</t>
  </si>
  <si>
    <t>PBV-PP12-01-11-18-05575</t>
  </si>
  <si>
    <t>16217</t>
  </si>
  <si>
    <t>PBV-PP12-01-11-18-05576</t>
  </si>
  <si>
    <t>16216</t>
  </si>
  <si>
    <t>PBV-PP12-01-11-18-05577</t>
  </si>
  <si>
    <t>16203</t>
  </si>
  <si>
    <t>PBV-PP12-01-11-18-05578</t>
  </si>
  <si>
    <t>12030412</t>
  </si>
  <si>
    <t>PBV-PP12-01-11-18-05579</t>
  </si>
  <si>
    <t>12030805</t>
  </si>
  <si>
    <t>PBV-PP12-01-11-18-05580</t>
  </si>
  <si>
    <t>1040</t>
  </si>
  <si>
    <t>PBV-PP12-01-11-18-05581</t>
  </si>
  <si>
    <t>1041</t>
  </si>
  <si>
    <t>PBV-PP12-01-11-18-05619</t>
  </si>
  <si>
    <t>18301</t>
  </si>
  <si>
    <t>PBV-PP12-01-11-18-05651</t>
  </si>
  <si>
    <t>2105</t>
  </si>
  <si>
    <t>JV-13-01-01-18-00823</t>
  </si>
  <si>
    <t>PBV-PP12-01-11-18-05655</t>
  </si>
  <si>
    <t>2178</t>
  </si>
  <si>
    <t>JV-13-01-01-18-01057</t>
  </si>
  <si>
    <t>PBV-PP12-01-11-18-05656</t>
  </si>
  <si>
    <t>9500</t>
  </si>
  <si>
    <t>LLC-PP12-01-01-18-00137</t>
  </si>
  <si>
    <t>JV-12-01-01-18-01933</t>
  </si>
  <si>
    <t>61729 (PANTHER TYRES LTD)</t>
  </si>
  <si>
    <t>PBV-PP12-01-11-18-05664</t>
  </si>
  <si>
    <t>2115</t>
  </si>
  <si>
    <t>PBV-PP12-01-11-18-05665</t>
  </si>
  <si>
    <t>2176</t>
  </si>
  <si>
    <t>PBV-PP12-01-11-18-05666</t>
  </si>
  <si>
    <t>2156</t>
  </si>
  <si>
    <t>JV-13-01-01-18-01061</t>
  </si>
  <si>
    <t>PBV-PP12-01-11-18-05667</t>
  </si>
  <si>
    <t>2067</t>
  </si>
  <si>
    <t>PBV-PP12-01-11-18-05672</t>
  </si>
  <si>
    <t>30695</t>
  </si>
  <si>
    <t>PBV-PP12-01-11-18-05693</t>
  </si>
  <si>
    <t>00517</t>
  </si>
  <si>
    <t>LLC-PP12-01-01-18-00185</t>
  </si>
  <si>
    <t>JV-13-01-01-18-00419</t>
  </si>
  <si>
    <t>PBV-PP12-01-11-18-05695</t>
  </si>
  <si>
    <t>3472</t>
  </si>
  <si>
    <t>JV-13-01-01-18-00499</t>
  </si>
  <si>
    <t>PBV-PP12-01-11-18-05701</t>
  </si>
  <si>
    <t>02617</t>
  </si>
  <si>
    <t>JV-13-01-01-18-01256</t>
  </si>
  <si>
    <t>PBV-PP12-01-11-18-05707</t>
  </si>
  <si>
    <t>12040152</t>
  </si>
  <si>
    <t>PBV-PP12-01-11-18-05714</t>
  </si>
  <si>
    <t>30894</t>
  </si>
  <si>
    <t>PBV-PP12-01-11-18-05715</t>
  </si>
  <si>
    <t>30918</t>
  </si>
  <si>
    <t>PBV-PP12-01-11-18-05716</t>
  </si>
  <si>
    <t>438</t>
  </si>
  <si>
    <t>LLC-PP13-01-01-18-00093</t>
  </si>
  <si>
    <t>PBV-PP12-01-11-18-05717</t>
  </si>
  <si>
    <t>441</t>
  </si>
  <si>
    <t>PBV-PP12-01-11-18-05718</t>
  </si>
  <si>
    <t>444</t>
  </si>
  <si>
    <t>PBV-PP12-01-11-18-05719</t>
  </si>
  <si>
    <t>445</t>
  </si>
  <si>
    <t>PBV-PP12-01-11-18-05721</t>
  </si>
  <si>
    <t>51409</t>
  </si>
  <si>
    <t>PBV-PP12-01-11-18-05744</t>
  </si>
  <si>
    <t>PBV-PP12-01-11-18-05764</t>
  </si>
  <si>
    <t>297</t>
  </si>
  <si>
    <t>MF-PP13-01-01-18-00237</t>
  </si>
  <si>
    <t>PBV-PP12-01-11-18-05774</t>
  </si>
  <si>
    <t>1049</t>
  </si>
  <si>
    <t>PBV-PP12-01-11-18-05786</t>
  </si>
  <si>
    <t>5673</t>
  </si>
  <si>
    <t>PBV-PP12-01-11-18-05787</t>
  </si>
  <si>
    <t>453</t>
  </si>
  <si>
    <t>PBV-PP12-01-11-18-05788</t>
  </si>
  <si>
    <t>455</t>
  </si>
  <si>
    <t>PBV-PP12-01-11-18-05789</t>
  </si>
  <si>
    <t>454</t>
  </si>
  <si>
    <t>PBV-PP12-01-11-18-05790</t>
  </si>
  <si>
    <t>PBV-PP12-01-11-18-05791</t>
  </si>
  <si>
    <t>460</t>
  </si>
  <si>
    <t>PBV-PP12-01-11-18-05795</t>
  </si>
  <si>
    <t>1056</t>
  </si>
  <si>
    <t>PBV-PP12-01-11-18-05804</t>
  </si>
  <si>
    <t>03354</t>
  </si>
  <si>
    <t>PBV-PP12-01-11-18-05813</t>
  </si>
  <si>
    <t>2197</t>
  </si>
  <si>
    <t>PBV-PP12-01-11-18-05814</t>
  </si>
  <si>
    <t>2196</t>
  </si>
  <si>
    <t>PBV-PP12-01-11-18-05834</t>
  </si>
  <si>
    <t>970</t>
  </si>
  <si>
    <t>PBV-PP12-01-11-18-05835</t>
  </si>
  <si>
    <t>976</t>
  </si>
  <si>
    <t>PBV-PP12-01-11-18-05836</t>
  </si>
  <si>
    <t>984</t>
  </si>
  <si>
    <t>PBV-PP12-01-11-18-05837</t>
  </si>
  <si>
    <t>969,975</t>
  </si>
  <si>
    <t>PBV-PP12-01-11-18-05838</t>
  </si>
  <si>
    <t>PBV-PP12-01-11-18-05839</t>
  </si>
  <si>
    <t>1003</t>
  </si>
  <si>
    <t>PBV-PP12-01-11-18-05857</t>
  </si>
  <si>
    <t>300</t>
  </si>
  <si>
    <t>PBV-PP12-01-11-18-05859</t>
  </si>
  <si>
    <t>7424</t>
  </si>
  <si>
    <t>PBV-PP12-01-11-18-05878</t>
  </si>
  <si>
    <t>00849</t>
  </si>
  <si>
    <t>PBV-PP12-01-11-18-05879</t>
  </si>
  <si>
    <t>00780</t>
  </si>
  <si>
    <t>PBV-PP12-01-11-18-05880</t>
  </si>
  <si>
    <t>00816</t>
  </si>
  <si>
    <t>PBV-PP12-01-11-18-05897</t>
  </si>
  <si>
    <t>7434</t>
  </si>
  <si>
    <t>PBV-PP12-01-11-18-05898</t>
  </si>
  <si>
    <t>7437</t>
  </si>
  <si>
    <t>PBV-PP12-01-11-18-05899</t>
  </si>
  <si>
    <t>7429</t>
  </si>
  <si>
    <t>PBV-PP12-01-11-18-05900</t>
  </si>
  <si>
    <t>2213</t>
  </si>
  <si>
    <t>PBV-PP12-01-11-18-05901</t>
  </si>
  <si>
    <t>2224</t>
  </si>
  <si>
    <t>PBV-PP12-01-11-18-05902</t>
  </si>
  <si>
    <t>2227</t>
  </si>
  <si>
    <t>PBV-PP12-01-11-18-05903</t>
  </si>
  <si>
    <t>2240</t>
  </si>
  <si>
    <t>PBV-PP12-01-11-18-05904</t>
  </si>
  <si>
    <t>2231</t>
  </si>
  <si>
    <t>PBV-PP12-01-11-18-05905</t>
  </si>
  <si>
    <t>2233</t>
  </si>
  <si>
    <t>PBV-PP12-01-11-18-05933</t>
  </si>
  <si>
    <t>12040359</t>
  </si>
  <si>
    <t>PBV-PP12-01-11-18-05956</t>
  </si>
  <si>
    <t>585</t>
  </si>
  <si>
    <t>LLC-PP12-01-01-18-00095</t>
  </si>
  <si>
    <t>JV-12-01-01-18-01937</t>
  </si>
  <si>
    <t>PBV-PP12-01-11-18-05959</t>
  </si>
  <si>
    <t>1067</t>
  </si>
  <si>
    <t>PBV-PP12-01-11-18-05961</t>
  </si>
  <si>
    <t>25/2012</t>
  </si>
  <si>
    <t>PBV-PP12-01-11-18-05983</t>
  </si>
  <si>
    <t>01-0412</t>
  </si>
  <si>
    <t>PBV-PP12-01-11-18-05984</t>
  </si>
  <si>
    <t>03-0412</t>
  </si>
  <si>
    <t>PBV-PP12-01-11-18-05998</t>
  </si>
  <si>
    <t>7447</t>
  </si>
  <si>
    <t>PBV-PP12-01-11-18-05999</t>
  </si>
  <si>
    <t>7454</t>
  </si>
  <si>
    <t>PBV-PP12-01-11-18-06007</t>
  </si>
  <si>
    <t>00884</t>
  </si>
  <si>
    <t>PBV-PP12-01-11-18-06008</t>
  </si>
  <si>
    <t>00814</t>
  </si>
  <si>
    <t>PBV-PP12-01-11-18-06027</t>
  </si>
  <si>
    <t>1030</t>
  </si>
  <si>
    <t>PBV-PP12-01-11-18-06035</t>
  </si>
  <si>
    <t>2208</t>
  </si>
  <si>
    <t>PBV-PP12-01-11-18-06036</t>
  </si>
  <si>
    <t>2226</t>
  </si>
  <si>
    <t>PBV-PP12-01-11-18-06037</t>
  </si>
  <si>
    <t>PBV-PP12-01-11-18-06038</t>
  </si>
  <si>
    <t>2239</t>
  </si>
  <si>
    <t>PBV-PP12-01-11-18-06039</t>
  </si>
  <si>
    <t>2246</t>
  </si>
  <si>
    <t>PBV-PP12-01-11-18-06040</t>
  </si>
  <si>
    <t>PBV-PP12-01-11-18-06049</t>
  </si>
  <si>
    <t>5009</t>
  </si>
  <si>
    <t>PBV-PP12-01-11-18-06050</t>
  </si>
  <si>
    <t>2219</t>
  </si>
  <si>
    <t>PBV-PP12-01-11-18-06051</t>
  </si>
  <si>
    <t>31075</t>
  </si>
  <si>
    <t>PBV-PP12-01-11-18-06058</t>
  </si>
  <si>
    <t>5692</t>
  </si>
  <si>
    <t>PBV-PP12-01-11-18-06062</t>
  </si>
  <si>
    <t>2047</t>
  </si>
  <si>
    <t>PBV-PP12-01-11-18-06063</t>
  </si>
  <si>
    <t>4827</t>
  </si>
  <si>
    <t>JV-13-01-01-18-00601</t>
  </si>
  <si>
    <t>PBV-PP12-01-11-18-06067</t>
  </si>
  <si>
    <t>7460</t>
  </si>
  <si>
    <t>PBV-PP12-01-11-18-06068</t>
  </si>
  <si>
    <t>12040846</t>
  </si>
  <si>
    <t>PBV-PP12-01-11-18-06069</t>
  </si>
  <si>
    <t>2286</t>
  </si>
  <si>
    <t>PBV-PP12-01-11-18-06071</t>
  </si>
  <si>
    <t>2268</t>
  </si>
  <si>
    <t>PBV-PP12-01-11-18-06072</t>
  </si>
  <si>
    <t>2263</t>
  </si>
  <si>
    <t>PBV-PP12-01-11-18-06075</t>
  </si>
  <si>
    <t>1073</t>
  </si>
  <si>
    <t>PBV-PP12-01-11-18-06120</t>
  </si>
  <si>
    <t>00862</t>
  </si>
  <si>
    <t>PBV-PP12-01-11-18-06124</t>
  </si>
  <si>
    <t>0811019/19</t>
  </si>
  <si>
    <t>LLC-PP13-01-01-18-00053</t>
  </si>
  <si>
    <t>65995 (MAISUM CORP)</t>
  </si>
  <si>
    <t>PBV-PP12-01-11-18-06136</t>
  </si>
  <si>
    <t>2264</t>
  </si>
  <si>
    <t>PBV-PP12-01-11-18-06137</t>
  </si>
  <si>
    <t>PBV-PP12-01-11-18-06138</t>
  </si>
  <si>
    <t>2280</t>
  </si>
  <si>
    <t>PBV-PP12-01-11-18-06139</t>
  </si>
  <si>
    <t>2287</t>
  </si>
  <si>
    <t>PBV-PP12-01-11-18-06140</t>
  </si>
  <si>
    <t>2203</t>
  </si>
  <si>
    <t>PBV-PP12-01-11-18-06152</t>
  </si>
  <si>
    <t>12040851</t>
  </si>
  <si>
    <t>PBV-PP12-01-11-18-06163</t>
  </si>
  <si>
    <t>PBV-PP12-01-11-18-06176</t>
  </si>
  <si>
    <t>03415</t>
  </si>
  <si>
    <t>PBV-PP12-01-11-18-06177</t>
  </si>
  <si>
    <t>03374</t>
  </si>
  <si>
    <t>PBV-PP12-01-11-18-06178</t>
  </si>
  <si>
    <t>03430</t>
  </si>
  <si>
    <t>PBV-PP12-01-11-18-06179</t>
  </si>
  <si>
    <t>3430</t>
  </si>
  <si>
    <t>PBV-PP12-01-11-18-06182</t>
  </si>
  <si>
    <t>00781</t>
  </si>
  <si>
    <t>PBV-PP12-01-11-18-06183</t>
  </si>
  <si>
    <t>00833</t>
  </si>
  <si>
    <t>PBV-PP12-01-11-18-06184</t>
  </si>
  <si>
    <t>00838</t>
  </si>
  <si>
    <t>PBV-PP12-01-11-18-06185</t>
  </si>
  <si>
    <t>00886</t>
  </si>
  <si>
    <t>PBV-PP12-01-11-18-06194</t>
  </si>
  <si>
    <t>PBV-PP12-01-11-18-06195</t>
  </si>
  <si>
    <t>2247</t>
  </si>
  <si>
    <t>PBV-PP12-01-11-18-06199</t>
  </si>
  <si>
    <t>02-0412</t>
  </si>
  <si>
    <t>PBV-PP12-01-11-18-06200</t>
  </si>
  <si>
    <t>1016</t>
  </si>
  <si>
    <t>PBV-PP12-01-11-18-06201</t>
  </si>
  <si>
    <t>5811,5812</t>
  </si>
  <si>
    <t>JV-13-01-01-18-00543</t>
  </si>
  <si>
    <t>PBV-PP12-01-11-18-06207</t>
  </si>
  <si>
    <t>0811020/20</t>
  </si>
  <si>
    <t>JV-13-01-01-18-01043</t>
  </si>
  <si>
    <t>PBV-PP12-01-11-18-06210</t>
  </si>
  <si>
    <t>2270</t>
  </si>
  <si>
    <t>PBV-PP12-01-11-18-06211</t>
  </si>
  <si>
    <t>1017</t>
  </si>
  <si>
    <t>PBV-PP12-01-11-18-06212</t>
  </si>
  <si>
    <t>03373</t>
  </si>
  <si>
    <t>PBV-PP12-01-11-18-06223</t>
  </si>
  <si>
    <t>PBV-PP12-01-11-18-06269</t>
  </si>
  <si>
    <t>1377</t>
  </si>
  <si>
    <t>PBV-PP12-01-11-18-06279</t>
  </si>
  <si>
    <t>31235</t>
  </si>
  <si>
    <t>PBV-PP12-01-11-18-06280</t>
  </si>
  <si>
    <t>31277</t>
  </si>
  <si>
    <t>PBV-PP12-01-11-18-06286</t>
  </si>
  <si>
    <t>51961</t>
  </si>
  <si>
    <t>PBV-PP12-01-11-18-06287</t>
  </si>
  <si>
    <t>52098</t>
  </si>
  <si>
    <t>PBV-PP12-01-11-18-06294</t>
  </si>
  <si>
    <t>3465</t>
  </si>
  <si>
    <t>PBV-PP12-01-11-18-06295</t>
  </si>
  <si>
    <t>3471</t>
  </si>
  <si>
    <t>PBV-PP12-01-11-18-06298</t>
  </si>
  <si>
    <t>1871</t>
  </si>
  <si>
    <t>PBV-PP12-01-11-18-06299</t>
  </si>
  <si>
    <t>1874</t>
  </si>
  <si>
    <t>PBV-PP12-01-11-18-06305</t>
  </si>
  <si>
    <t>3509</t>
  </si>
  <si>
    <t>JV-13-01-01-18-01081</t>
  </si>
  <si>
    <t>PBV-PP12-01-11-18-06306</t>
  </si>
  <si>
    <t>3512</t>
  </si>
  <si>
    <t>JV-13-01-01-18-01017</t>
  </si>
  <si>
    <t>PBV-PP12-01-11-18-06313</t>
  </si>
  <si>
    <t>00905</t>
  </si>
  <si>
    <t>PBV-PP12-01-11-18-06314</t>
  </si>
  <si>
    <t>00911</t>
  </si>
  <si>
    <t>PBV-PP12-01-11-18-06315</t>
  </si>
  <si>
    <t>PBV-PP12-01-11-18-06316</t>
  </si>
  <si>
    <t>1075</t>
  </si>
  <si>
    <t>PBV-PP12-01-11-18-06317</t>
  </si>
  <si>
    <t>1079</t>
  </si>
  <si>
    <t>PBV-PP12-01-11-18-06318</t>
  </si>
  <si>
    <t>1085</t>
  </si>
  <si>
    <t>PBV-PP12-01-11-18-06319</t>
  </si>
  <si>
    <t>1082</t>
  </si>
  <si>
    <t>PBV-PP12-01-11-18-06325</t>
  </si>
  <si>
    <t>12050182</t>
  </si>
  <si>
    <t>PBV-PP12-01-11-18-06337</t>
  </si>
  <si>
    <t>7465</t>
  </si>
  <si>
    <t>PBV-PP12-01-11-18-06338</t>
  </si>
  <si>
    <t>7471</t>
  </si>
  <si>
    <t>PBV-PP12-01-11-18-06339</t>
  </si>
  <si>
    <t>7478</t>
  </si>
  <si>
    <t>PBV-PP12-01-11-18-06340</t>
  </si>
  <si>
    <t>7477</t>
  </si>
  <si>
    <t>PBV-PP12-01-11-18-06341</t>
  </si>
  <si>
    <t>7490</t>
  </si>
  <si>
    <t>PBV-PP12-01-11-18-06342</t>
  </si>
  <si>
    <t>490</t>
  </si>
  <si>
    <t>PBV-PP12-01-11-18-06360</t>
  </si>
  <si>
    <t>12050312</t>
  </si>
  <si>
    <t>PBV-PP12-01-11-18-06377</t>
  </si>
  <si>
    <t>1875</t>
  </si>
  <si>
    <t>PBV-PP12-01-11-18-06384</t>
  </si>
  <si>
    <t>11814</t>
  </si>
  <si>
    <t>PBV-PP12-01-11-18-06385</t>
  </si>
  <si>
    <t>DC#255</t>
  </si>
  <si>
    <t>PBV-PP12-01-11-18-06389</t>
  </si>
  <si>
    <t>7496</t>
  </si>
  <si>
    <t>PBV-PP12-01-11-18-06402</t>
  </si>
  <si>
    <t>PBV-PP12-01-11-18-06414</t>
  </si>
  <si>
    <t>11816</t>
  </si>
  <si>
    <t>PBV-PP12-01-11-18-06417</t>
  </si>
  <si>
    <t>0128</t>
  </si>
  <si>
    <t>PBV-PP12-01-11-18-06418</t>
  </si>
  <si>
    <t>1205090</t>
  </si>
  <si>
    <t>LLC-PP13-01-01-18-00033</t>
  </si>
  <si>
    <t>JV-13-01-01-18-01063</t>
  </si>
  <si>
    <t>61704 (LAL DIN ENGG PVT LTD)</t>
  </si>
  <si>
    <t>PBV-PP12-01-11-18-06419</t>
  </si>
  <si>
    <t>1878</t>
  </si>
  <si>
    <t>PBV-PP12-01-11-18-06420</t>
  </si>
  <si>
    <t>1881</t>
  </si>
  <si>
    <t>PBV-PP12-01-11-18-06422</t>
  </si>
  <si>
    <t>01-0512</t>
  </si>
  <si>
    <t>PBV-PP12-01-11-18-06435</t>
  </si>
  <si>
    <t>1880</t>
  </si>
  <si>
    <t>PBV-PP12-01-11-18-06436</t>
  </si>
  <si>
    <t>16934</t>
  </si>
  <si>
    <t>T-PP13-01-11-18-01191</t>
  </si>
  <si>
    <t>PBV-PP12-01-11-18-06442</t>
  </si>
  <si>
    <t>T-PP13-01-11-18-01655</t>
  </si>
  <si>
    <t>IDHO-17500</t>
  </si>
  <si>
    <t>PBV-PP12-01-11-18-06450</t>
  </si>
  <si>
    <t>3476</t>
  </si>
  <si>
    <t>PBV-PP12-01-11-18-06466</t>
  </si>
  <si>
    <t>3489</t>
  </si>
  <si>
    <t>PBV-PP12-01-11-18-06467</t>
  </si>
  <si>
    <t>PBV-PP12-01-11-18-06468</t>
  </si>
  <si>
    <t>3524</t>
  </si>
  <si>
    <t>PBV-PP12-01-11-18-06477</t>
  </si>
  <si>
    <t>1097</t>
  </si>
  <si>
    <t>PBV-PP12-01-11-18-06478</t>
  </si>
  <si>
    <t>1106</t>
  </si>
  <si>
    <t>PBV-PP12-01-11-18-06479</t>
  </si>
  <si>
    <t>1118</t>
  </si>
  <si>
    <t>PBV-PP12-01-11-18-06480</t>
  </si>
  <si>
    <t>PBV-PP12-01-11-18-06494</t>
  </si>
  <si>
    <t>3539</t>
  </si>
  <si>
    <t>PBV-PP12-01-11-18-06506</t>
  </si>
  <si>
    <t>512</t>
  </si>
  <si>
    <t>PBV-PP12-01-11-18-06518</t>
  </si>
  <si>
    <t>2307</t>
  </si>
  <si>
    <t>PBV-PP12-01-11-18-06519</t>
  </si>
  <si>
    <t>2335</t>
  </si>
  <si>
    <t>PBV-PP12-01-11-18-06520</t>
  </si>
  <si>
    <t>2334</t>
  </si>
  <si>
    <t>PBV-PP12-01-11-18-06521</t>
  </si>
  <si>
    <t>2324</t>
  </si>
  <si>
    <t>PBV-PP12-01-11-18-06522</t>
  </si>
  <si>
    <t>2318</t>
  </si>
  <si>
    <t>PBV-PP12-01-11-18-06539</t>
  </si>
  <si>
    <t>1061</t>
  </si>
  <si>
    <t>PBV-PP12-01-11-18-06540</t>
  </si>
  <si>
    <t>1158</t>
  </si>
  <si>
    <t>PBV-PP12-01-11-18-06541</t>
  </si>
  <si>
    <t>1140</t>
  </si>
  <si>
    <t>PBV-PP12-01-11-18-06544</t>
  </si>
  <si>
    <t>330</t>
  </si>
  <si>
    <t>PBV-PP12-01-11-18-06552</t>
  </si>
  <si>
    <t>209</t>
  </si>
  <si>
    <t>T-PP13-01-11-18-01656</t>
  </si>
  <si>
    <t>PBV-PP12-01-11-18-06553</t>
  </si>
  <si>
    <t>208</t>
  </si>
  <si>
    <t>T-PP13-01-11-18-01657</t>
  </si>
  <si>
    <t>PBV-PP12-01-11-18-06560</t>
  </si>
  <si>
    <t>12050493</t>
  </si>
  <si>
    <t>PBV-PP12-01-11-18-06566</t>
  </si>
  <si>
    <t>03515</t>
  </si>
  <si>
    <t>PBV-PP12-01-11-18-06567</t>
  </si>
  <si>
    <t>03540</t>
  </si>
  <si>
    <t>PBV-PP12-01-11-18-06570</t>
  </si>
  <si>
    <t>01006</t>
  </si>
  <si>
    <t>PBV-PP12-01-11-18-06571</t>
  </si>
  <si>
    <t>00929</t>
  </si>
  <si>
    <t>PBV-PP12-01-11-18-06577</t>
  </si>
  <si>
    <t>0133</t>
  </si>
  <si>
    <t>PBV-PP12-01-11-18-06578</t>
  </si>
  <si>
    <t>2408</t>
  </si>
  <si>
    <t>PBV-PP12-01-11-18-06584</t>
  </si>
  <si>
    <t>PBV-PP12-01-11-18-06585</t>
  </si>
  <si>
    <t>12050705</t>
  </si>
  <si>
    <t>PBV-PP12-01-11-18-06588</t>
  </si>
  <si>
    <t>1099</t>
  </si>
  <si>
    <t>PBV-PP12-01-11-18-06589</t>
  </si>
  <si>
    <t>1882</t>
  </si>
  <si>
    <t>PBV-PP12-01-11-18-06592</t>
  </si>
  <si>
    <t>03561</t>
  </si>
  <si>
    <t>PBV-PP12-01-11-18-06593</t>
  </si>
  <si>
    <t>003547</t>
  </si>
  <si>
    <t>PBV-PP12-01-11-18-06594</t>
  </si>
  <si>
    <t>3574</t>
  </si>
  <si>
    <t>PBV-PP12-01-11-18-06631</t>
  </si>
  <si>
    <t>2343</t>
  </si>
  <si>
    <t>PBV-PP12-01-11-18-06632</t>
  </si>
  <si>
    <t>2344</t>
  </si>
  <si>
    <t>PBV-PP12-01-11-18-06633</t>
  </si>
  <si>
    <t>2391</t>
  </si>
  <si>
    <t>PBV-PP12-01-11-18-06634</t>
  </si>
  <si>
    <t>2406</t>
  </si>
  <si>
    <t>PBV-PP12-01-11-18-06635</t>
  </si>
  <si>
    <t>2399</t>
  </si>
  <si>
    <t>PBV-PP12-01-11-18-06636</t>
  </si>
  <si>
    <t>2386</t>
  </si>
  <si>
    <t>PBV-PP12-01-11-18-06637</t>
  </si>
  <si>
    <t>2382</t>
  </si>
  <si>
    <t>PBV-PP12-01-11-18-06639</t>
  </si>
  <si>
    <t>2363</t>
  </si>
  <si>
    <t>PBV-PP12-01-11-18-06640</t>
  </si>
  <si>
    <t>2361</t>
  </si>
  <si>
    <t>PBV-PP12-01-11-18-06641</t>
  </si>
  <si>
    <t>2354</t>
  </si>
  <si>
    <t>PBV-PP12-01-11-18-06642</t>
  </si>
  <si>
    <t>2353</t>
  </si>
  <si>
    <t>PBV-PP12-01-11-18-06643</t>
  </si>
  <si>
    <t>PBV-PP12-01-11-18-06644</t>
  </si>
  <si>
    <t>2400</t>
  </si>
  <si>
    <t>PBV-PP12-01-11-18-06645</t>
  </si>
  <si>
    <t>2387</t>
  </si>
  <si>
    <t>PBV-PP12-01-11-18-06646</t>
  </si>
  <si>
    <t>2373</t>
  </si>
  <si>
    <t>PBV-PP12-01-11-18-06647</t>
  </si>
  <si>
    <t>2370</t>
  </si>
  <si>
    <t>PBV-PP12-01-11-18-06648</t>
  </si>
  <si>
    <t>2362</t>
  </si>
  <si>
    <t>PBV-PP12-01-11-18-06649</t>
  </si>
  <si>
    <t>2323</t>
  </si>
  <si>
    <t>PBV-PP12-01-11-18-06651</t>
  </si>
  <si>
    <t>PBV-PP12-01-11-18-06664</t>
  </si>
  <si>
    <t>PBV-PP12-01-11-18-06669</t>
  </si>
  <si>
    <t>PBV-PP12-01-11-18-06677</t>
  </si>
  <si>
    <t>PBV-PP12-01-11-18-06682</t>
  </si>
  <si>
    <t>210</t>
  </si>
  <si>
    <t>T-PP13-01-11-18-01658</t>
  </si>
  <si>
    <t>PBV-PP12-01-11-18-06685</t>
  </si>
  <si>
    <t>03568</t>
  </si>
  <si>
    <t>PBV-PP12-01-11-18-06686</t>
  </si>
  <si>
    <t>03567</t>
  </si>
  <si>
    <t>PBV-PP12-01-11-18-06687</t>
  </si>
  <si>
    <t>03529</t>
  </si>
  <si>
    <t>PBV-PP12-01-11-18-06710</t>
  </si>
  <si>
    <t>023562</t>
  </si>
  <si>
    <t>JV-13-01-01-18-01231</t>
  </si>
  <si>
    <t>PBV-PP12-01-11-18-06717</t>
  </si>
  <si>
    <t>7492</t>
  </si>
  <si>
    <t>PBV-PP12-01-11-18-06718</t>
  </si>
  <si>
    <t>7519</t>
  </si>
  <si>
    <t>PBV-PP12-01-11-18-06719</t>
  </si>
  <si>
    <t>7501</t>
  </si>
  <si>
    <t>PBV-PP12-01-11-18-06724</t>
  </si>
  <si>
    <t>03490</t>
  </si>
  <si>
    <t>PBV-PP12-01-11-18-06725</t>
  </si>
  <si>
    <t>3538</t>
  </si>
  <si>
    <t>PBV-PP12-01-11-18-06728</t>
  </si>
  <si>
    <t>PBV-PP12-01-11-18-06730</t>
  </si>
  <si>
    <t>PBV-PP12-01-11-18-06731</t>
  </si>
  <si>
    <t>2000</t>
  </si>
  <si>
    <t>PBV-PP12-01-11-18-06735</t>
  </si>
  <si>
    <t>00995</t>
  </si>
  <si>
    <t>PBV-PP12-01-11-18-06736</t>
  </si>
  <si>
    <t>1015</t>
  </si>
  <si>
    <t>PBV-PP12-01-11-18-06737</t>
  </si>
  <si>
    <t>01002</t>
  </si>
  <si>
    <t>PBV-PP12-01-11-18-06742</t>
  </si>
  <si>
    <t>1141</t>
  </si>
  <si>
    <t>PBV-PP12-01-11-18-06744</t>
  </si>
  <si>
    <t>T-PP13-01-11-18-01578</t>
  </si>
  <si>
    <t>PBV-PP12-01-11-18-06747</t>
  </si>
  <si>
    <t>2392</t>
  </si>
  <si>
    <t>PBV-PP12-01-11-18-06748</t>
  </si>
  <si>
    <t>2381</t>
  </si>
  <si>
    <t>PBV-PP12-01-11-18-06749</t>
  </si>
  <si>
    <t>2429</t>
  </si>
  <si>
    <t>PBV-PP12-01-11-18-06751</t>
  </si>
  <si>
    <t>1144</t>
  </si>
  <si>
    <t>JV-13-01-01-18-01258</t>
  </si>
  <si>
    <t>PBV-PP12-01-11-18-06752</t>
  </si>
  <si>
    <t>1128</t>
  </si>
  <si>
    <t>PBV-PP12-01-11-18-06757</t>
  </si>
  <si>
    <t>02-0512</t>
  </si>
  <si>
    <t>PBV-PP12-01-11-18-06761</t>
  </si>
  <si>
    <t>2325</t>
  </si>
  <si>
    <t>PBV-PP12-01-11-18-06764</t>
  </si>
  <si>
    <t>25</t>
  </si>
  <si>
    <t>T-PP13-01-11-18-01662</t>
  </si>
  <si>
    <t>IDHO-17518</t>
  </si>
  <si>
    <t>PBV-PP12-01-11-18-06765</t>
  </si>
  <si>
    <t>5899,5900</t>
  </si>
  <si>
    <t>LLC-PP13-01-01-18-00042</t>
  </si>
  <si>
    <t>PBV-PP12-01-11-18-06766</t>
  </si>
  <si>
    <t>2415</t>
  </si>
  <si>
    <t>PBV-PP12-01-11-18-06767</t>
  </si>
  <si>
    <t>2430</t>
  </si>
  <si>
    <t>PBV-PP12-01-11-18-06777</t>
  </si>
  <si>
    <t>2444</t>
  </si>
  <si>
    <t>PBV-PP12-01-11-18-06778</t>
  </si>
  <si>
    <t>2439</t>
  </si>
  <si>
    <t>PBV-PP12-01-11-18-06779</t>
  </si>
  <si>
    <t>2438</t>
  </si>
  <si>
    <t>PBV-PP12-01-11-18-06780</t>
  </si>
  <si>
    <t>2421</t>
  </si>
  <si>
    <t>PBV-PP12-01-11-18-06781</t>
  </si>
  <si>
    <t>PBV-PP12-01-11-18-06782</t>
  </si>
  <si>
    <t>2407</t>
  </si>
  <si>
    <t>PBV-PP12-01-11-18-06783</t>
  </si>
  <si>
    <t>2414</t>
  </si>
  <si>
    <t>PBV-PP12-01-11-18-06786</t>
  </si>
  <si>
    <t>05-082</t>
  </si>
  <si>
    <t>LLC-PP13-01-01-18-00135</t>
  </si>
  <si>
    <t>JV-13-01-01-18-01195</t>
  </si>
  <si>
    <t>66868 (ISLAM ENGG)</t>
  </si>
  <si>
    <t>PBV-PP12-01-11-18-06793</t>
  </si>
  <si>
    <t>1205153</t>
  </si>
  <si>
    <t>LLC-PP13-01-01-18-00087</t>
  </si>
  <si>
    <t>JV-13-01-01-18-01247</t>
  </si>
  <si>
    <t>PBV-PP12-01-11-18-06804</t>
  </si>
  <si>
    <t>2322</t>
  </si>
  <si>
    <t>PBV-PP12-01-11-18-06806</t>
  </si>
  <si>
    <t>2321</t>
  </si>
  <si>
    <t>PBV-PP12-01-11-18-06807</t>
  </si>
  <si>
    <t>2422</t>
  </si>
  <si>
    <t>PBV-PP12-01-11-18-06808</t>
  </si>
  <si>
    <t>2436</t>
  </si>
  <si>
    <t>PBV-PP12-01-11-18-06809</t>
  </si>
  <si>
    <t>2435</t>
  </si>
  <si>
    <t>PBV-PP12-01-11-18-06817</t>
  </si>
  <si>
    <t>0811021/21</t>
  </si>
  <si>
    <t>PBV-PP12-01-11-18-06818</t>
  </si>
  <si>
    <t>PBV-PP12-01-11-18-06828</t>
  </si>
  <si>
    <t>12050146</t>
  </si>
  <si>
    <t>PBV-PP12-01-11-18-06829</t>
  </si>
  <si>
    <t>12050147</t>
  </si>
  <si>
    <t>PBV-PP12-01-11-18-06837</t>
  </si>
  <si>
    <t>1468</t>
  </si>
  <si>
    <t>POP-PP12-01-11-18-0214</t>
  </si>
  <si>
    <t>PBV-PP12-01-11-18-06846</t>
  </si>
  <si>
    <t>1889</t>
  </si>
  <si>
    <t>PBV-PP12-01-11-18-06857</t>
  </si>
  <si>
    <t>5067</t>
  </si>
  <si>
    <t>PBV-PP12-01-11-18-06858</t>
  </si>
  <si>
    <t>12060250</t>
  </si>
  <si>
    <t>PBV-PP12-01-11-18-06865</t>
  </si>
  <si>
    <t>01-02292</t>
  </si>
  <si>
    <t>PBV-PP12-01-11-18-06866</t>
  </si>
  <si>
    <t>01-02296</t>
  </si>
  <si>
    <t>PBV-PP12-01-11-18-06867</t>
  </si>
  <si>
    <t>01-02301</t>
  </si>
  <si>
    <t>PBV-PP12-01-11-18-06868</t>
  </si>
  <si>
    <t>52730</t>
  </si>
  <si>
    <t>PBV-PP12-01-11-18-06895</t>
  </si>
  <si>
    <t>1235</t>
  </si>
  <si>
    <t>PBV-PP12-01-11-18-06896</t>
  </si>
  <si>
    <t>1234</t>
  </si>
  <si>
    <t>PBV-PP12-01-11-18-06897</t>
  </si>
  <si>
    <t>12060261</t>
  </si>
  <si>
    <t>PBV-PP12-01-11-18-06898</t>
  </si>
  <si>
    <t>1896</t>
  </si>
  <si>
    <t>PBV-PP12-01-11-18-06899</t>
  </si>
  <si>
    <t>01-02348</t>
  </si>
  <si>
    <t>PBV-PP12-01-11-18-06900</t>
  </si>
  <si>
    <t>01075</t>
  </si>
  <si>
    <t>PBV-PP12-01-11-18-06906</t>
  </si>
  <si>
    <t>03658</t>
  </si>
  <si>
    <t>PBV-PP12-01-11-18-06914</t>
  </si>
  <si>
    <t>7548</t>
  </si>
  <si>
    <t>PBV-PP12-01-11-18-06924</t>
  </si>
  <si>
    <t>1250</t>
  </si>
  <si>
    <t>PBV-PP12-01-11-18-06925</t>
  </si>
  <si>
    <t>12060262</t>
  </si>
  <si>
    <t>PBV-PP12-01-11-18-06928</t>
  </si>
  <si>
    <t>PBV-PP12-01-11-18-06929</t>
  </si>
  <si>
    <t>01-02390</t>
  </si>
  <si>
    <t>PBV-PP12-01-11-18-06930</t>
  </si>
  <si>
    <t>01084</t>
  </si>
  <si>
    <t>PBV-PP12-01-11-18-06931</t>
  </si>
  <si>
    <t>3570</t>
  </si>
  <si>
    <t>JV-13-01-01-18-01191</t>
  </si>
  <si>
    <t>PBV-PP12-01-11-18-06932</t>
  </si>
  <si>
    <t>3577</t>
  </si>
  <si>
    <t>PBV-PP12-01-11-18-06938</t>
  </si>
  <si>
    <t>2020</t>
  </si>
  <si>
    <t>PBV-PP12-01-11-18-06941</t>
  </si>
  <si>
    <t>350</t>
  </si>
  <si>
    <t>PBV-PP12-01-11-18-06942</t>
  </si>
  <si>
    <t>351</t>
  </si>
  <si>
    <t>PBV-PP12-01-11-18-06943</t>
  </si>
  <si>
    <t>353</t>
  </si>
  <si>
    <t>PBV-PP12-01-11-18-06944</t>
  </si>
  <si>
    <t>PBV-PP12-01-11-18-06945</t>
  </si>
  <si>
    <t>PBV-PP12-01-11-18-06947</t>
  </si>
  <si>
    <t>1885</t>
  </si>
  <si>
    <t>PBV-PP12-01-11-18-06951</t>
  </si>
  <si>
    <t>01-02401</t>
  </si>
  <si>
    <t>PBV-PP12-01-11-18-06972</t>
  </si>
  <si>
    <t>7518</t>
  </si>
  <si>
    <t>PBV-PP12-01-11-18-06976</t>
  </si>
  <si>
    <t>250</t>
  </si>
  <si>
    <t>PBV-PP12-01-11-18-06978</t>
  </si>
  <si>
    <t>247</t>
  </si>
  <si>
    <t>PBV-PP12-01-11-18-06987</t>
  </si>
  <si>
    <t>360</t>
  </si>
  <si>
    <t>PBV-PP12-01-11-18-06992</t>
  </si>
  <si>
    <t>2434</t>
  </si>
  <si>
    <t>PBV-PP12-01-11-18-07006</t>
  </si>
  <si>
    <t>11817</t>
  </si>
  <si>
    <t>PBV-PP12-01-11-18-07013</t>
  </si>
  <si>
    <t>PBV-PP12-01-11-18-07014</t>
  </si>
  <si>
    <t>1068</t>
  </si>
  <si>
    <t>PBV-PP12-01-11-18-07015</t>
  </si>
  <si>
    <t>PBV-PP12-01-11-18-07016</t>
  </si>
  <si>
    <t>1066</t>
  </si>
  <si>
    <t>PBV-PP12-01-11-18-07017</t>
  </si>
  <si>
    <t>31607</t>
  </si>
  <si>
    <t>PBV-PP12-01-11-18-07020</t>
  </si>
  <si>
    <t>256</t>
  </si>
  <si>
    <t>PBV-PP12-01-11-18-07022</t>
  </si>
  <si>
    <t>PBV-PP12-01-11-18-07027</t>
  </si>
  <si>
    <t>12</t>
  </si>
  <si>
    <t>MF-PP13-01-01-18-00245</t>
  </si>
  <si>
    <t>PBV-PP12-01-11-18-07028</t>
  </si>
  <si>
    <t>14</t>
  </si>
  <si>
    <t>PBV-PP12-01-11-18-07029</t>
  </si>
  <si>
    <t>213</t>
  </si>
  <si>
    <t>PBV-PP12-01-11-18-07030</t>
  </si>
  <si>
    <t>212</t>
  </si>
  <si>
    <t>PBV-PP12-01-11-18-07031</t>
  </si>
  <si>
    <t>1243</t>
  </si>
  <si>
    <t>PBV-PP12-01-11-18-07032</t>
  </si>
  <si>
    <t>1240</t>
  </si>
  <si>
    <t>PBV-PP12-01-11-18-07033</t>
  </si>
  <si>
    <t>1242</t>
  </si>
  <si>
    <t>PBV-PP12-01-11-18-07034</t>
  </si>
  <si>
    <t>1239</t>
  </si>
  <si>
    <t>PBV-PP12-01-11-18-07035</t>
  </si>
  <si>
    <t>1241</t>
  </si>
  <si>
    <t>PBV-PP12-01-11-18-07043</t>
  </si>
  <si>
    <t>1014</t>
  </si>
  <si>
    <t>PBV-PP12-01-11-18-07044</t>
  </si>
  <si>
    <t>PBV-PP12-01-11-18-07074</t>
  </si>
  <si>
    <t>01-02473</t>
  </si>
  <si>
    <t>PBV-PP12-01-11-18-07075</t>
  </si>
  <si>
    <t>01-02441</t>
  </si>
  <si>
    <t>PBV-PP12-01-11-18-07076</t>
  </si>
  <si>
    <t>01-02381</t>
  </si>
  <si>
    <t>PBV-PP12-01-11-18-07077</t>
  </si>
  <si>
    <t>01-02319</t>
  </si>
  <si>
    <t>PBV-PP12-01-11-18-07087</t>
  </si>
  <si>
    <t>01097</t>
  </si>
  <si>
    <t>PBV-PP12-01-11-18-07090</t>
  </si>
  <si>
    <t>355</t>
  </si>
  <si>
    <t>PBV-PP12-01-11-18-07094</t>
  </si>
  <si>
    <t>1236</t>
  </si>
  <si>
    <t>PBV-PP12-01-11-18-07095</t>
  </si>
  <si>
    <t>3579</t>
  </si>
  <si>
    <t>PBV-PP12-01-11-18-07096</t>
  </si>
  <si>
    <t>40,41,43,44</t>
  </si>
  <si>
    <t>PBV-PP12-01-11-18-07097</t>
  </si>
  <si>
    <t>PBV-PP12-01-11-18-07099</t>
  </si>
  <si>
    <t>001</t>
  </si>
  <si>
    <t>PBV-PP12-01-11-18-07100</t>
  </si>
  <si>
    <t>002</t>
  </si>
  <si>
    <t>PBV-PP12-01-11-18-07101</t>
  </si>
  <si>
    <t>2369</t>
  </si>
  <si>
    <t>PBV-PP12-01-11-18-07102</t>
  </si>
  <si>
    <t>PBV-PP12-01-11-18-07115</t>
  </si>
  <si>
    <t>2453</t>
  </si>
  <si>
    <t>PBV-PP12-01-11-18-07116</t>
  </si>
  <si>
    <t>2454</t>
  </si>
  <si>
    <t>PBV-PP12-01-11-18-07117</t>
  </si>
  <si>
    <t>2459</t>
  </si>
  <si>
    <t>PBV-PP12-01-11-18-07118</t>
  </si>
  <si>
    <t>2466</t>
  </si>
  <si>
    <t>PBV-PP12-01-11-18-07119</t>
  </si>
  <si>
    <t>2472</t>
  </si>
  <si>
    <t>PBV-PP12-01-11-18-07120</t>
  </si>
  <si>
    <t>2478</t>
  </si>
  <si>
    <t>PBV-PP12-01-11-18-07121</t>
  </si>
  <si>
    <t>2479</t>
  </si>
  <si>
    <t>PBV-PP12-01-11-18-07122</t>
  </si>
  <si>
    <t>2488</t>
  </si>
  <si>
    <t>PBV-PP12-01-11-18-07123</t>
  </si>
  <si>
    <t>2514</t>
  </si>
  <si>
    <t>PBV-PP12-01-11-18-07124</t>
  </si>
  <si>
    <t>2508</t>
  </si>
  <si>
    <t>PBV-PP12-01-11-18-07125</t>
  </si>
  <si>
    <t>2509</t>
  </si>
  <si>
    <t>PBV-PP12-01-11-18-07126</t>
  </si>
  <si>
    <t>2495</t>
  </si>
  <si>
    <t>PBV-PP12-01-11-18-07127</t>
  </si>
  <si>
    <t>2494</t>
  </si>
  <si>
    <t>PBV-PP12-01-11-18-07128</t>
  </si>
  <si>
    <t>2489</t>
  </si>
  <si>
    <t>PBV-PP12-01-11-18-07129</t>
  </si>
  <si>
    <t>2471</t>
  </si>
  <si>
    <t>PBV-PP12-01-11-18-07130</t>
  </si>
  <si>
    <t>2465</t>
  </si>
  <si>
    <t>PBV-PP12-01-11-18-07132</t>
  </si>
  <si>
    <t>2027</t>
  </si>
  <si>
    <t>PBV-PP12-01-11-18-07133</t>
  </si>
  <si>
    <t>2028</t>
  </si>
  <si>
    <t>PBV-PP12-01-11-18-07134</t>
  </si>
  <si>
    <t>484</t>
  </si>
  <si>
    <t>LLC-PP13-01-01-18-00137</t>
  </si>
  <si>
    <t>JV-13-01-01-18-01225</t>
  </si>
  <si>
    <t>PBV-PP12-01-11-18-07135</t>
  </si>
  <si>
    <t>485</t>
  </si>
  <si>
    <t>PBV-PP12-01-11-18-07136</t>
  </si>
  <si>
    <t>486</t>
  </si>
  <si>
    <t>PBV-PP12-01-11-18-07137</t>
  </si>
  <si>
    <t>PBV-PP12-01-11-18-07139</t>
  </si>
  <si>
    <t>03360</t>
  </si>
  <si>
    <t>LLC-PP13-01-01-18-00067</t>
  </si>
  <si>
    <t>JV-13-01-01-18-00493</t>
  </si>
  <si>
    <t>PBV-PP12-01-11-18-07142</t>
  </si>
  <si>
    <t>17168</t>
  </si>
  <si>
    <t>T-PP13-01-11-18-01193</t>
  </si>
  <si>
    <t>PBV-PP12-01-11-18-07156</t>
  </si>
  <si>
    <t>0487</t>
  </si>
  <si>
    <t>PBV-PP12-01-11-18-07157</t>
  </si>
  <si>
    <t>01-02498</t>
  </si>
  <si>
    <t>PBV-PP12-01-11-18-07161</t>
  </si>
  <si>
    <t>060</t>
  </si>
  <si>
    <t>PBV-PP12-01-11-18-07166</t>
  </si>
  <si>
    <t>0343</t>
  </si>
  <si>
    <t>PBV-PP12-01-11-18-07167</t>
  </si>
  <si>
    <t>1891</t>
  </si>
  <si>
    <t>PBV-PP12-01-11-18-07174</t>
  </si>
  <si>
    <t>2524</t>
  </si>
  <si>
    <t>PBV-PP12-01-11-18-07175</t>
  </si>
  <si>
    <t>2557</t>
  </si>
  <si>
    <t>PBV-PP12-01-11-18-07176</t>
  </si>
  <si>
    <t>2537</t>
  </si>
  <si>
    <t>PBV-PP12-01-11-18-07177</t>
  </si>
  <si>
    <t>2543</t>
  </si>
  <si>
    <t>PBV-PP12-01-11-18-07178</t>
  </si>
  <si>
    <t>2558</t>
  </si>
  <si>
    <t>PBV-PP12-01-11-18-07190</t>
  </si>
  <si>
    <t>6011</t>
  </si>
  <si>
    <t>PBV-PP12-01-11-18-07197</t>
  </si>
  <si>
    <t>1104</t>
  </si>
  <si>
    <t>PBV-PP12-01-11-18-07198</t>
  </si>
  <si>
    <t>2538</t>
  </si>
  <si>
    <t>PBV-PP12-01-11-18-07199</t>
  </si>
  <si>
    <t>31734</t>
  </si>
  <si>
    <t>PBV-PP12-01-11-18-07200</t>
  </si>
  <si>
    <t>PBV-PP12-01-11-18-07201</t>
  </si>
  <si>
    <t>PBV-PP12-01-11-18-07202</t>
  </si>
  <si>
    <t>1132</t>
  </si>
  <si>
    <t>PBV-PP12-01-11-18-07215</t>
  </si>
  <si>
    <t>02535</t>
  </si>
  <si>
    <t>PBV-PP12-01-11-18-07229</t>
  </si>
  <si>
    <t xml:space="preserve"> 01-02380</t>
  </si>
  <si>
    <t>PBV-PP12-01-11-18-07230</t>
  </si>
  <si>
    <t>3603</t>
  </si>
  <si>
    <t>PBV-PP12-01-11-18-07232</t>
  </si>
  <si>
    <t>417</t>
  </si>
  <si>
    <t>LLC-PP13-01-01-18-00075</t>
  </si>
  <si>
    <t>JV-13-01-01-18-01193</t>
  </si>
  <si>
    <t>65601 (Z.A. ENGG)</t>
  </si>
  <si>
    <t>PBV-PP12-01-11-18-07233</t>
  </si>
  <si>
    <t>425</t>
  </si>
  <si>
    <t>PBV-PP12-01-11-18-07234</t>
  </si>
  <si>
    <t>426</t>
  </si>
  <si>
    <t>PBV-PP12-01-11-18-07259</t>
  </si>
  <si>
    <t>2542</t>
  </si>
  <si>
    <t>PBV-PP12-01-11-18-07260</t>
  </si>
  <si>
    <t>1078</t>
  </si>
  <si>
    <t>PBV-PP12-01-11-18-07268</t>
  </si>
  <si>
    <t>2578</t>
  </si>
  <si>
    <t>PBV-PP12-01-11-18-07269</t>
  </si>
  <si>
    <t>2428</t>
  </si>
  <si>
    <t>PBV-PP12-01-11-18-07271</t>
  </si>
  <si>
    <t>01-02477</t>
  </si>
  <si>
    <t>PBV-PP12-01-11-18-07292</t>
  </si>
  <si>
    <t>2032</t>
  </si>
  <si>
    <t>PBV-PP12-01-11-18-07294</t>
  </si>
  <si>
    <t>01-0612</t>
  </si>
  <si>
    <t>PBV-PP12-01-11-18-07295</t>
  </si>
  <si>
    <t>03-0612</t>
  </si>
  <si>
    <t>PBV-PP12-01-11-18-07296</t>
  </si>
  <si>
    <t>05-0612</t>
  </si>
  <si>
    <t>PBV-PP12-01-11-18-07297</t>
  </si>
  <si>
    <t>02-0612</t>
  </si>
  <si>
    <t>PBV-PP12-01-11-18-07313</t>
  </si>
  <si>
    <t>0463</t>
  </si>
  <si>
    <t>PBV-PP12-01-11-18-07314</t>
  </si>
  <si>
    <t>03686</t>
  </si>
  <si>
    <t>PBV-PP12-01-11-18-07327</t>
  </si>
  <si>
    <t>6034,6035</t>
  </si>
  <si>
    <t>PBV-PP12-01-11-18-07328</t>
  </si>
  <si>
    <t>2513</t>
  </si>
  <si>
    <t>PBV-PP12-01-11-18-07329</t>
  </si>
  <si>
    <t>2530</t>
  </si>
  <si>
    <t>PBV-PP12-01-11-18-07330</t>
  </si>
  <si>
    <t>2572</t>
  </si>
  <si>
    <t>PBV-PP12-01-11-18-07331</t>
  </si>
  <si>
    <t>2523</t>
  </si>
  <si>
    <t>PBV-PP12-01-11-18-07332</t>
  </si>
  <si>
    <t>2531</t>
  </si>
  <si>
    <t>PBV-PP12-01-11-18-07333</t>
  </si>
  <si>
    <t>0134</t>
  </si>
  <si>
    <t>PBV-PP12-01-11-18-07334</t>
  </si>
  <si>
    <t>0139</t>
  </si>
  <si>
    <t>PBV-PP12-01-11-18-07339</t>
  </si>
  <si>
    <t>6002</t>
  </si>
  <si>
    <t>PBV-PP12-01-11-18-07340</t>
  </si>
  <si>
    <t>5979</t>
  </si>
  <si>
    <t>PBV-PP12-01-11-18-07347</t>
  </si>
  <si>
    <t>1146</t>
  </si>
  <si>
    <t>PBV-PP12-01-11-18-07348</t>
  </si>
  <si>
    <t>1147</t>
  </si>
  <si>
    <t>PBV-PP12-01-11-18-07349</t>
  </si>
  <si>
    <t>1047</t>
  </si>
  <si>
    <t>PBV-PP12-01-11-18-07351</t>
  </si>
  <si>
    <t>03705</t>
  </si>
  <si>
    <t>PBV-PP12-01-11-18-07352</t>
  </si>
  <si>
    <t>03704</t>
  </si>
  <si>
    <t>PBV-PP12-01-11-18-07365</t>
  </si>
  <si>
    <t>1261</t>
  </si>
  <si>
    <t>PBV-PP12-01-11-18-07367</t>
  </si>
  <si>
    <t>3626</t>
  </si>
  <si>
    <t>PBV-PP12-01-11-18-07373</t>
  </si>
  <si>
    <t>PBV-PP12-01-11-18-07374</t>
  </si>
  <si>
    <t>2614</t>
  </si>
  <si>
    <t>PBV-PP12-01-11-18-07379</t>
  </si>
  <si>
    <t>2571</t>
  </si>
  <si>
    <t>PBV-PP12-01-11-18-07391</t>
  </si>
  <si>
    <t>2616</t>
  </si>
  <si>
    <t>PBV-PP12-01-11-18-07393</t>
  </si>
  <si>
    <t>5155</t>
  </si>
  <si>
    <t>PBV-PP12-01-11-18-07397</t>
  </si>
  <si>
    <t>2577</t>
  </si>
  <si>
    <t>PBV-PP12-01-11-18-07398</t>
  </si>
  <si>
    <t>2576</t>
  </si>
  <si>
    <t>PBV-PP12-01-11-18-07399</t>
  </si>
  <si>
    <t>2610</t>
  </si>
  <si>
    <t>PBV-PP12-01-11-18-07400</t>
  </si>
  <si>
    <t>2611</t>
  </si>
  <si>
    <t>PBV-PP12-01-11-18-07401</t>
  </si>
  <si>
    <t>2458</t>
  </si>
  <si>
    <t>PBV-PP12-01-11-18-07402</t>
  </si>
  <si>
    <t>2496</t>
  </si>
  <si>
    <t>PBV-PP12-01-11-18-07404</t>
  </si>
  <si>
    <t>3565</t>
  </si>
  <si>
    <t>PBV-PP12-01-11-18-07417</t>
  </si>
  <si>
    <t>01148</t>
  </si>
  <si>
    <t>PBV-PP12-01-11-18-07418</t>
  </si>
  <si>
    <t>PBV-PP12-01-11-18-07425</t>
  </si>
  <si>
    <t>0340</t>
  </si>
  <si>
    <t>PBV-PP12-01-11-18-07428</t>
  </si>
  <si>
    <t>47,52,48,49</t>
  </si>
  <si>
    <t>PBV-PP12-01-11-18-07429</t>
  </si>
  <si>
    <t>1900</t>
  </si>
  <si>
    <t>PBV-PP12-01-11-18-07430</t>
  </si>
  <si>
    <t>1903</t>
  </si>
  <si>
    <t>PBV-PP12-01-11-18-07431</t>
  </si>
  <si>
    <t>1892</t>
  </si>
  <si>
    <t>PBV-PP12-01-11-18-07432</t>
  </si>
  <si>
    <t>1899,1901</t>
  </si>
  <si>
    <t>PBV-PP12-01-11-18-07434</t>
  </si>
  <si>
    <t>1902</t>
  </si>
  <si>
    <t>PBV-PP12-01-11-18-07435</t>
  </si>
  <si>
    <t>1895</t>
  </si>
  <si>
    <t>PBV-PP12-01-11-18-07436</t>
  </si>
  <si>
    <t>0949</t>
  </si>
  <si>
    <t>PBV-PP12-01-11-18-07437</t>
  </si>
  <si>
    <t>0950</t>
  </si>
  <si>
    <t>PBV-PP13-01-11-18-00006</t>
  </si>
  <si>
    <t>11819</t>
  </si>
  <si>
    <t>PBV-PP13-01-11-18-00008</t>
  </si>
  <si>
    <t>01-0019</t>
  </si>
  <si>
    <t>PBV-PP13-01-11-18-00009</t>
  </si>
  <si>
    <t>053333</t>
  </si>
  <si>
    <t>PBV-PP13-01-11-18-00012</t>
  </si>
  <si>
    <t>20030</t>
  </si>
  <si>
    <t>T-PP13-01-11-18-01194</t>
  </si>
  <si>
    <t>PBV-PP13-01-11-18-00013</t>
  </si>
  <si>
    <t>PBV-PP13-01-11-18-00015</t>
  </si>
  <si>
    <t>31964</t>
  </si>
  <si>
    <t>PBV-PP13-01-11-18-00024</t>
  </si>
  <si>
    <t>20497</t>
  </si>
  <si>
    <t>LLC-PP13-01-01-18-00103</t>
  </si>
  <si>
    <t>JV-13-01-01-18-00951</t>
  </si>
  <si>
    <t>65602 (ALLCO TRSR)</t>
  </si>
  <si>
    <t>PBV-PP13-01-11-18-00030</t>
  </si>
  <si>
    <t>01-00059</t>
  </si>
  <si>
    <t>PBV-PP13-01-11-18-00037</t>
  </si>
  <si>
    <t>489</t>
  </si>
  <si>
    <t>PBV-PP13-01-11-18-00038</t>
  </si>
  <si>
    <t>488</t>
  </si>
  <si>
    <t>PBV-PP13-01-11-18-00043</t>
  </si>
  <si>
    <t>PBV-PP13-01-11-18-00044</t>
  </si>
  <si>
    <t>219</t>
  </si>
  <si>
    <t>PBV-PP13-01-11-18-00045</t>
  </si>
  <si>
    <t>PBV-PP13-01-11-18-00046</t>
  </si>
  <si>
    <t>PBV-PP13-01-11-18-00047</t>
  </si>
  <si>
    <t>01-0083</t>
  </si>
  <si>
    <t>PBV-PP13-01-11-18-00048</t>
  </si>
  <si>
    <t>01-0094</t>
  </si>
  <si>
    <t>PBV-PP13-01-11-18-00051</t>
  </si>
  <si>
    <t>PBV-PP13-01-11-18-00053</t>
  </si>
  <si>
    <t>LLC-PP13-01-01-18-00074</t>
  </si>
  <si>
    <t>JV-13-01-01-18-00885</t>
  </si>
  <si>
    <t>65238 (AUTOMOTIVE COMPONENT)</t>
  </si>
  <si>
    <t>PBV-PP13-01-11-18-00059</t>
  </si>
  <si>
    <t>PBV-PP13-01-11-18-00061</t>
  </si>
  <si>
    <t>2058</t>
  </si>
  <si>
    <t>PBV-PP13-01-11-18-00062</t>
  </si>
  <si>
    <t>2062</t>
  </si>
  <si>
    <t>PBV-PP13-01-11-18-00063</t>
  </si>
  <si>
    <t>2061</t>
  </si>
  <si>
    <t>PBV-PP13-01-11-18-00064</t>
  </si>
  <si>
    <t>2064</t>
  </si>
  <si>
    <t>PBV-PP13-01-11-18-00065</t>
  </si>
  <si>
    <t>2063</t>
  </si>
  <si>
    <t>PBV-PP13-01-11-18-00067</t>
  </si>
  <si>
    <t>01-00130</t>
  </si>
  <si>
    <t>PBV-PP13-01-11-18-00071</t>
  </si>
  <si>
    <t>2036</t>
  </si>
  <si>
    <t>PBV-PP13-01-11-18-00074</t>
  </si>
  <si>
    <t>01-0005</t>
  </si>
  <si>
    <t>PBV-PP13-01-11-18-00081</t>
  </si>
  <si>
    <t>11821</t>
  </si>
  <si>
    <t>PBV-PP13-01-11-18-00083</t>
  </si>
  <si>
    <t>01-00139</t>
  </si>
  <si>
    <t>PBV-PP13-01-11-18-00084</t>
  </si>
  <si>
    <t>JV-13-01-01-18-00567</t>
  </si>
  <si>
    <t>PBV-PP13-01-11-18-00087</t>
  </si>
  <si>
    <t>PBV-PP13-01-11-18-00088</t>
  </si>
  <si>
    <t>PBV-PP13-01-11-18-00089</t>
  </si>
  <si>
    <t>PBV-PP13-01-11-18-00092</t>
  </si>
  <si>
    <t>01-00155</t>
  </si>
  <si>
    <t>PBV-PP13-01-11-18-00093</t>
  </si>
  <si>
    <t>01-00148</t>
  </si>
  <si>
    <t>PBV-PP13-01-11-18-00095</t>
  </si>
  <si>
    <t>32102</t>
  </si>
  <si>
    <t>PBV-PP13-01-11-18-00110</t>
  </si>
  <si>
    <t>70</t>
  </si>
  <si>
    <t>PBV-PP13-01-11-18-00112</t>
  </si>
  <si>
    <t>2042</t>
  </si>
  <si>
    <t>PBV-PP13-01-11-18-00113</t>
  </si>
  <si>
    <t>PBV-PP13-01-11-18-00123</t>
  </si>
  <si>
    <t>T-PP13-01-11-18-01629</t>
  </si>
  <si>
    <t>PBV-PP13-01-11-18-00126</t>
  </si>
  <si>
    <t>01-00191</t>
  </si>
  <si>
    <t>PBV-PP13-01-11-18-00127</t>
  </si>
  <si>
    <t>01-00190</t>
  </si>
  <si>
    <t>PBV-PP13-01-11-18-00128</t>
  </si>
  <si>
    <t>01-00181</t>
  </si>
  <si>
    <t>PBV-PP13-01-11-18-00129</t>
  </si>
  <si>
    <t>01-00173</t>
  </si>
  <si>
    <t>PBV-PP13-01-11-18-00130</t>
  </si>
  <si>
    <t>01-00165</t>
  </si>
  <si>
    <t>PBV-PP13-01-11-18-00143</t>
  </si>
  <si>
    <t>PBV-PP13-01-11-18-00144</t>
  </si>
  <si>
    <t>PBV-PP13-01-11-18-00145</t>
  </si>
  <si>
    <t>2069</t>
  </si>
  <si>
    <t>PBV-PP13-01-11-18-00146</t>
  </si>
  <si>
    <t>2070</t>
  </si>
  <si>
    <t>PBV-PP13-01-11-18-00147</t>
  </si>
  <si>
    <t>PBV-PP13-01-11-18-00149</t>
  </si>
  <si>
    <t>0007</t>
  </si>
  <si>
    <t>PBV-PP13-01-11-18-00152</t>
  </si>
  <si>
    <t>00087</t>
  </si>
  <si>
    <t>PBV-PP13-01-11-18-00153</t>
  </si>
  <si>
    <t>0017</t>
  </si>
  <si>
    <t>PBV-PP13-01-11-18-00156</t>
  </si>
  <si>
    <t>0140</t>
  </si>
  <si>
    <t>PBV-PP13-01-11-18-00160</t>
  </si>
  <si>
    <t>3668</t>
  </si>
  <si>
    <t>PBV-PP13-01-11-18-00162</t>
  </si>
  <si>
    <t>11822</t>
  </si>
  <si>
    <t>PBV-PP13-01-11-18-00165</t>
  </si>
  <si>
    <t>01-00201</t>
  </si>
  <si>
    <t>PBV-PP13-01-11-18-00166</t>
  </si>
  <si>
    <t>PBV-PP13-01-11-18-00172</t>
  </si>
  <si>
    <t>3687</t>
  </si>
  <si>
    <t>PBV-PP13-01-11-18-00173</t>
  </si>
  <si>
    <t>062</t>
  </si>
  <si>
    <t>PBV-PP13-01-11-18-00176</t>
  </si>
  <si>
    <t>2053</t>
  </si>
  <si>
    <t>PBV-PP13-01-11-18-00177</t>
  </si>
  <si>
    <t>2055</t>
  </si>
  <si>
    <t>PBV-PP13-01-11-18-00178</t>
  </si>
  <si>
    <t>PBV-PP13-01-11-18-00179</t>
  </si>
  <si>
    <t>PBV-PP13-01-11-18-00184</t>
  </si>
  <si>
    <t>468</t>
  </si>
  <si>
    <t>PBV-PP13-01-11-18-00191</t>
  </si>
  <si>
    <t>PBV-PP13-01-11-18-00192</t>
  </si>
  <si>
    <t>PBV-PP13-01-11-18-00204</t>
  </si>
  <si>
    <t>03-0712</t>
  </si>
  <si>
    <t>PBV-PP13-01-11-18-00205</t>
  </si>
  <si>
    <t>04-0712</t>
  </si>
  <si>
    <t>PBV-PP13-01-11-18-00206</t>
  </si>
  <si>
    <t>01-00221</t>
  </si>
  <si>
    <t>PBV-PP13-01-11-18-00207</t>
  </si>
  <si>
    <t>01-00210</t>
  </si>
  <si>
    <t>PBV-PP13-01-11-18-00209</t>
  </si>
  <si>
    <t>LLC-PP13-01-01-18-00003</t>
  </si>
  <si>
    <t>JV-13-01-01-18-01075</t>
  </si>
  <si>
    <t>PBV-PP13-01-11-18-00223</t>
  </si>
  <si>
    <t>06</t>
  </si>
  <si>
    <t>PBV-PP13-01-11-18-00224</t>
  </si>
  <si>
    <t>95</t>
  </si>
  <si>
    <t>PBV-PP13-01-11-18-00225</t>
  </si>
  <si>
    <t>PBV-PP13-01-11-18-00247</t>
  </si>
  <si>
    <t>PBV-PP13-01-11-18-00258</t>
  </si>
  <si>
    <t>01-00018</t>
  </si>
  <si>
    <t>PBV-PP13-01-11-18-00259</t>
  </si>
  <si>
    <t>LLC-PP13-01-01-18-00123</t>
  </si>
  <si>
    <t>JV-13-01-01-18-00935</t>
  </si>
  <si>
    <t>66414 (AUTOMOTIVE COMP)</t>
  </si>
  <si>
    <t>PBV-PP13-01-11-18-00260</t>
  </si>
  <si>
    <t>12070647</t>
  </si>
  <si>
    <t>PBV-PP13-01-11-18-00282</t>
  </si>
  <si>
    <t>006</t>
  </si>
  <si>
    <t>PBV-PP13-01-11-18-00284</t>
  </si>
  <si>
    <t>46</t>
  </si>
  <si>
    <t>MF-PP13-01-01-18-00272</t>
  </si>
  <si>
    <t>PBV-PP13-01-11-18-00286</t>
  </si>
  <si>
    <t>PBV-PP13-01-11-18-00289</t>
  </si>
  <si>
    <t>0092</t>
  </si>
  <si>
    <t>PBV-PP13-01-11-18-00292</t>
  </si>
  <si>
    <t>02-0712</t>
  </si>
  <si>
    <t>PBV-PP13-01-11-18-00293</t>
  </si>
  <si>
    <t>01-00236</t>
  </si>
  <si>
    <t>PBV-PP13-01-11-18-00299</t>
  </si>
  <si>
    <t>20510</t>
  </si>
  <si>
    <t>PBV-PP13-01-11-18-00302</t>
  </si>
  <si>
    <t>1207125</t>
  </si>
  <si>
    <t>MF-PP13-01-01-18-00210</t>
  </si>
  <si>
    <t>JV-13-01-01-18-00979</t>
  </si>
  <si>
    <t>MF (LAL DIN ENGG)</t>
  </si>
  <si>
    <t>PBV-PP13-01-11-18-00303</t>
  </si>
  <si>
    <t>PBV-PP13-01-11-18-00304</t>
  </si>
  <si>
    <t>161</t>
  </si>
  <si>
    <t>PBV-PP13-01-11-18-00306</t>
  </si>
  <si>
    <t>052</t>
  </si>
  <si>
    <t>PBV-PP13-01-11-18-00312</t>
  </si>
  <si>
    <t>PBV-PP13-01-11-18-00314</t>
  </si>
  <si>
    <t>1907</t>
  </si>
  <si>
    <t>PBV-PP13-01-11-18-00322</t>
  </si>
  <si>
    <t>218</t>
  </si>
  <si>
    <t>PBV-PP13-01-11-18-00323</t>
  </si>
  <si>
    <t>PBV-PP13-01-11-18-00324</t>
  </si>
  <si>
    <t>PBV-PP13-01-11-18-00325</t>
  </si>
  <si>
    <t>115</t>
  </si>
  <si>
    <t>PBV-PP13-01-11-18-00326</t>
  </si>
  <si>
    <t>PBV-PP13-01-11-18-00331</t>
  </si>
  <si>
    <t>01-00138</t>
  </si>
  <si>
    <t>PBV-PP13-01-11-18-00333</t>
  </si>
  <si>
    <t>1447</t>
  </si>
  <si>
    <t>PBV-PP13-01-11-18-00334</t>
  </si>
  <si>
    <t>1917</t>
  </si>
  <si>
    <t>PBV-PP13-01-11-18-00340</t>
  </si>
  <si>
    <t>PBV-PP13-01-11-18-00341</t>
  </si>
  <si>
    <t>116</t>
  </si>
  <si>
    <t>PBV-PP13-01-11-18-00342</t>
  </si>
  <si>
    <t>PBV-PP13-01-11-18-00344</t>
  </si>
  <si>
    <t xml:space="preserve">96 </t>
  </si>
  <si>
    <t>PBV-PP13-01-11-18-00345</t>
  </si>
  <si>
    <t>1915</t>
  </si>
  <si>
    <t>PBV-PP13-01-11-18-00346</t>
  </si>
  <si>
    <t>PBV-PP13-01-11-18-00347</t>
  </si>
  <si>
    <t>464</t>
  </si>
  <si>
    <t>PBV-PP13-01-11-18-00348</t>
  </si>
  <si>
    <t>01-00235</t>
  </si>
  <si>
    <t>PBV-PP13-01-11-18-00351</t>
  </si>
  <si>
    <t>3688</t>
  </si>
  <si>
    <t>PBV-PP13-01-11-18-00355</t>
  </si>
  <si>
    <t>0811022/22</t>
  </si>
  <si>
    <t>PBV-PP13-01-11-18-00357</t>
  </si>
  <si>
    <t>29</t>
  </si>
  <si>
    <t>PBV-PP13-01-11-18-00358</t>
  </si>
  <si>
    <t>271</t>
  </si>
  <si>
    <t>PBV-PP13-01-11-18-00366</t>
  </si>
  <si>
    <t>35</t>
  </si>
  <si>
    <t>PBV-PP13-01-11-18-00373</t>
  </si>
  <si>
    <t>491</t>
  </si>
  <si>
    <t>PBV-PP13-01-11-18-00374</t>
  </si>
  <si>
    <t>492</t>
  </si>
  <si>
    <t>PBV-PP13-01-11-18-00375</t>
  </si>
  <si>
    <t>494</t>
  </si>
  <si>
    <t>PBV-PP13-01-11-18-00376</t>
  </si>
  <si>
    <t>PBV-PP13-01-11-18-00377</t>
  </si>
  <si>
    <t>499</t>
  </si>
  <si>
    <t>PBV-PP13-01-11-18-00378</t>
  </si>
  <si>
    <t>498</t>
  </si>
  <si>
    <t>PBV-PP13-01-11-18-00379</t>
  </si>
  <si>
    <t>495</t>
  </si>
  <si>
    <t>PBV-PP13-01-11-18-00380</t>
  </si>
  <si>
    <t>0327</t>
  </si>
  <si>
    <t>LLC-PP13-01-01-18-00084</t>
  </si>
  <si>
    <t>JV-13-01-01-18-00647</t>
  </si>
  <si>
    <t>PBV-PP13-01-11-18-00381</t>
  </si>
  <si>
    <t>00395</t>
  </si>
  <si>
    <t>JV-13-01-01-18-00739</t>
  </si>
  <si>
    <t>PBV-PP13-01-11-18-00382</t>
  </si>
  <si>
    <t>01-00262</t>
  </si>
  <si>
    <t>PBV-PP13-01-11-18-00383</t>
  </si>
  <si>
    <t>01-00280</t>
  </si>
  <si>
    <t>PBV-PP13-01-11-18-00392</t>
  </si>
  <si>
    <t>1919</t>
  </si>
  <si>
    <t>PBV-PP13-01-11-18-00393</t>
  </si>
  <si>
    <t>1924</t>
  </si>
  <si>
    <t>PBV-PP13-01-11-18-00394</t>
  </si>
  <si>
    <t>36</t>
  </si>
  <si>
    <t>PBV-PP13-01-11-18-00395</t>
  </si>
  <si>
    <t>039</t>
  </si>
  <si>
    <t>PBV-PP13-01-11-18-00396</t>
  </si>
  <si>
    <t>41</t>
  </si>
  <si>
    <t>PBV-PP13-01-11-18-00397</t>
  </si>
  <si>
    <t>12080011</t>
  </si>
  <si>
    <t>PBV-PP13-01-11-18-00400</t>
  </si>
  <si>
    <t>PBV-PP13-01-11-18-00401</t>
  </si>
  <si>
    <t>54104</t>
  </si>
  <si>
    <t>PBV-PP13-01-11-18-00403</t>
  </si>
  <si>
    <t>20614</t>
  </si>
  <si>
    <t>PBV-PP13-01-11-18-00404</t>
  </si>
  <si>
    <t>20613</t>
  </si>
  <si>
    <t>PBV-PP13-01-11-18-00405</t>
  </si>
  <si>
    <t>20643</t>
  </si>
  <si>
    <t>PBV-PP13-01-11-18-00406</t>
  </si>
  <si>
    <t>20642</t>
  </si>
  <si>
    <t>PBV-PP13-01-11-18-00418</t>
  </si>
  <si>
    <t>PBV-PP13-01-11-18-00421</t>
  </si>
  <si>
    <t>PBV-PP13-01-11-18-00422</t>
  </si>
  <si>
    <t>2072</t>
  </si>
  <si>
    <t>PBV-PP13-01-11-18-00423</t>
  </si>
  <si>
    <t>01-00290</t>
  </si>
  <si>
    <t>PBV-PP13-01-11-18-00424</t>
  </si>
  <si>
    <t>01-00309</t>
  </si>
  <si>
    <t>PBV-PP13-01-11-18-00425</t>
  </si>
  <si>
    <t>01-00250</t>
  </si>
  <si>
    <t>PBV-PP13-01-11-18-00426</t>
  </si>
  <si>
    <t>PBV-PP13-01-11-18-00427</t>
  </si>
  <si>
    <t>PBV-PP13-01-11-18-00429</t>
  </si>
  <si>
    <t>3700</t>
  </si>
  <si>
    <t>JV-13-01-01-18-01235</t>
  </si>
  <si>
    <t>PBV-PP13-01-11-18-00430</t>
  </si>
  <si>
    <t>3710</t>
  </si>
  <si>
    <t>JV-13-01-01-18-01143</t>
  </si>
  <si>
    <t>PBV-PP13-01-11-18-00433</t>
  </si>
  <si>
    <t>PBV-PP13-01-11-18-00434</t>
  </si>
  <si>
    <t>b24421</t>
  </si>
  <si>
    <t>JV-13-01-01-18-01205</t>
  </si>
  <si>
    <t>PBV-PP13-01-11-18-00446</t>
  </si>
  <si>
    <t>PBV-PP13-01-11-18-00448</t>
  </si>
  <si>
    <t>0946</t>
  </si>
  <si>
    <t>PBV-PP13-01-11-18-00449</t>
  </si>
  <si>
    <t>3711</t>
  </si>
  <si>
    <t>PBV-PP13-01-11-18-00450</t>
  </si>
  <si>
    <t>01-00319</t>
  </si>
  <si>
    <t>PBV-PP13-01-11-18-00451</t>
  </si>
  <si>
    <t>01-00321</t>
  </si>
  <si>
    <t>PBV-PP13-01-11-18-00452</t>
  </si>
  <si>
    <t>01-00331</t>
  </si>
  <si>
    <t>PBV-PP13-01-11-18-00453</t>
  </si>
  <si>
    <t>01-00363</t>
  </si>
  <si>
    <t>PBV-PP13-01-11-18-00454</t>
  </si>
  <si>
    <t>01-00364</t>
  </si>
  <si>
    <t>PBV-PP13-01-11-18-00455</t>
  </si>
  <si>
    <t>01-00365</t>
  </si>
  <si>
    <t>PBV-PP13-01-11-18-00456</t>
  </si>
  <si>
    <t>PBV-PP13-01-11-18-00457</t>
  </si>
  <si>
    <t>PBV-PP13-01-11-18-00465</t>
  </si>
  <si>
    <t>6563</t>
  </si>
  <si>
    <t>PBV-PP13-01-11-18-00466</t>
  </si>
  <si>
    <t>0253</t>
  </si>
  <si>
    <t>LLC-PP13-01-01-18-00073</t>
  </si>
  <si>
    <t>JV-13-01-01-18-01097</t>
  </si>
  <si>
    <t>65125 (BRITTER ENGG CO)</t>
  </si>
  <si>
    <t>PBV-PP13-01-11-18-00471</t>
  </si>
  <si>
    <t>2077</t>
  </si>
  <si>
    <t>PBV-PP13-01-11-18-00472</t>
  </si>
  <si>
    <t>PBV-PP13-01-11-18-00473</t>
  </si>
  <si>
    <t>497</t>
  </si>
  <si>
    <t>PBV-PP13-01-11-18-00475</t>
  </si>
  <si>
    <t>076</t>
  </si>
  <si>
    <t>PBV-PP13-01-11-18-00477</t>
  </si>
  <si>
    <t>PBV-PP13-01-11-18-00478</t>
  </si>
  <si>
    <t>312</t>
  </si>
  <si>
    <t>PBV-PP13-01-11-18-00481</t>
  </si>
  <si>
    <t>2081</t>
  </si>
  <si>
    <t>PBV-PP13-01-11-18-00486</t>
  </si>
  <si>
    <t>11823</t>
  </si>
  <si>
    <t>PBV-PP13-01-11-18-00495</t>
  </si>
  <si>
    <t>PBV-PP13-01-11-18-00496</t>
  </si>
  <si>
    <t>2073</t>
  </si>
  <si>
    <t>PBV-PP13-01-11-18-00497</t>
  </si>
  <si>
    <t>12080255</t>
  </si>
  <si>
    <t>PBV-PP13-01-11-18-00500</t>
  </si>
  <si>
    <t>PBV-PP13-01-11-18-00503</t>
  </si>
  <si>
    <t>b-024535</t>
  </si>
  <si>
    <t>PBV-PP13-01-11-18-00504</t>
  </si>
  <si>
    <t>PBV-PP13-01-11-18-00505</t>
  </si>
  <si>
    <t>01-00337</t>
  </si>
  <si>
    <t>PBV-PP13-01-11-18-00512</t>
  </si>
  <si>
    <t>500</t>
  </si>
  <si>
    <t>PBV-PP13-01-11-18-00513</t>
  </si>
  <si>
    <t>501</t>
  </si>
  <si>
    <t>PBV-PP13-01-11-18-00516</t>
  </si>
  <si>
    <t>20617</t>
  </si>
  <si>
    <t>PBV-PP13-01-11-18-00517</t>
  </si>
  <si>
    <t>20615</t>
  </si>
  <si>
    <t>PBV-PP13-01-11-18-00518</t>
  </si>
  <si>
    <t>PBV-PP13-01-11-18-00520</t>
  </si>
  <si>
    <t>T-PP13-01-11-18-01582</t>
  </si>
  <si>
    <t>PBV-PP13-01-11-18-00534</t>
  </si>
  <si>
    <t>254</t>
  </si>
  <si>
    <t>T-PP13-01-11-18-01604</t>
  </si>
  <si>
    <t>PBV-PP13-01-11-18-00535</t>
  </si>
  <si>
    <t>2078</t>
  </si>
  <si>
    <t>PBV-PP13-01-11-18-00551</t>
  </si>
  <si>
    <t>PBV-PP13-01-11-18-00553</t>
  </si>
  <si>
    <t>054</t>
  </si>
  <si>
    <t>PBV-PP13-01-11-18-00554</t>
  </si>
  <si>
    <t>PBV-PP13-01-11-18-00555</t>
  </si>
  <si>
    <t>PBV-PP13-01-11-18-00556</t>
  </si>
  <si>
    <t>44</t>
  </si>
  <si>
    <t>PBV-PP13-01-11-18-00560</t>
  </si>
  <si>
    <t>01-00398</t>
  </si>
  <si>
    <t>PBV-PP13-01-11-18-00561</t>
  </si>
  <si>
    <t>01-00429</t>
  </si>
  <si>
    <t>PBV-PP13-01-11-18-00562</t>
  </si>
  <si>
    <t>01-00430</t>
  </si>
  <si>
    <t>PBV-PP13-01-11-18-00565</t>
  </si>
  <si>
    <t>475</t>
  </si>
  <si>
    <t>PBV-PP13-01-11-18-00566</t>
  </si>
  <si>
    <t>474</t>
  </si>
  <si>
    <t>PBV-PP13-01-11-18-00567</t>
  </si>
  <si>
    <t>472</t>
  </si>
  <si>
    <t>PBV-PP13-01-11-18-00569</t>
  </si>
  <si>
    <t>PBV-PP13-01-11-18-00570</t>
  </si>
  <si>
    <t>100</t>
  </si>
  <si>
    <t>PBV-PP13-01-11-18-00571</t>
  </si>
  <si>
    <t>PBV-PP13-01-11-18-00572</t>
  </si>
  <si>
    <t>PBV-PP13-01-11-18-00573</t>
  </si>
  <si>
    <t>0093</t>
  </si>
  <si>
    <t>PBV-PP13-01-11-18-00574</t>
  </si>
  <si>
    <t>0085</t>
  </si>
  <si>
    <t>PBV-PP13-01-11-18-00575</t>
  </si>
  <si>
    <t>PBV-PP13-01-11-18-00576</t>
  </si>
  <si>
    <t>PBV-PP13-01-11-18-00577</t>
  </si>
  <si>
    <t>MF-PP13-01-01-18-00262</t>
  </si>
  <si>
    <t>PBV-PP13-01-11-18-00578</t>
  </si>
  <si>
    <t>6570</t>
  </si>
  <si>
    <t>PBV-PP13-01-11-18-00597</t>
  </si>
  <si>
    <t>PBV-PP13-01-11-18-00598</t>
  </si>
  <si>
    <t>PBV-PP13-01-11-18-00599</t>
  </si>
  <si>
    <t>PBV-PP13-01-11-18-00605</t>
  </si>
  <si>
    <t>PBV-PP13-01-11-18-00607</t>
  </si>
  <si>
    <t>PBV-PP13-01-11-18-00608</t>
  </si>
  <si>
    <t>01-00320</t>
  </si>
  <si>
    <t>PBV-PP13-01-11-18-00609</t>
  </si>
  <si>
    <t>01-00409</t>
  </si>
  <si>
    <t>PBV-PP13-01-11-18-00610</t>
  </si>
  <si>
    <t>2076</t>
  </si>
  <si>
    <t>PBV-PP13-01-11-18-00611</t>
  </si>
  <si>
    <t>91</t>
  </si>
  <si>
    <t>PBV-PP13-01-11-18-00614</t>
  </si>
  <si>
    <t>228</t>
  </si>
  <si>
    <t>PBV-PP13-01-11-18-00615</t>
  </si>
  <si>
    <t>229</t>
  </si>
  <si>
    <t>PBV-PP13-01-11-18-00617</t>
  </si>
  <si>
    <t>1923</t>
  </si>
  <si>
    <t>PBV-PP13-01-11-18-00618</t>
  </si>
  <si>
    <t>PBV-PP13-01-11-18-00619</t>
  </si>
  <si>
    <t>PBV-PP13-01-11-18-00623</t>
  </si>
  <si>
    <t>6562</t>
  </si>
  <si>
    <t>PBV-PP13-01-11-18-00624</t>
  </si>
  <si>
    <t>103</t>
  </si>
  <si>
    <t>PBV-PP13-01-11-18-00625</t>
  </si>
  <si>
    <t>PBV-PP13-01-11-18-00629</t>
  </si>
  <si>
    <t>6571</t>
  </si>
  <si>
    <t>PBV-PP13-01-11-18-00636</t>
  </si>
  <si>
    <t>141</t>
  </si>
  <si>
    <t>PBV-PP13-01-11-18-00637</t>
  </si>
  <si>
    <t>150</t>
  </si>
  <si>
    <t>PBV-PP13-01-11-18-00638</t>
  </si>
  <si>
    <t>PBV-PP13-01-11-18-00639</t>
  </si>
  <si>
    <t>PBV-PP13-01-11-18-00640</t>
  </si>
  <si>
    <t>PBV-PP13-01-11-18-00641</t>
  </si>
  <si>
    <t>142</t>
  </si>
  <si>
    <t>PBV-PP13-01-11-18-00642</t>
  </si>
  <si>
    <t>PBV-PP13-01-11-18-00643</t>
  </si>
  <si>
    <t>0176</t>
  </si>
  <si>
    <t>PBV-PP13-01-11-18-00644</t>
  </si>
  <si>
    <t>132</t>
  </si>
  <si>
    <t>PBV-PP13-01-11-18-00651</t>
  </si>
  <si>
    <t xml:space="preserve">128 </t>
  </si>
  <si>
    <t>PBV-PP13-01-11-18-00656</t>
  </si>
  <si>
    <t>24569</t>
  </si>
  <si>
    <t>PBV-PP13-01-11-18-00657</t>
  </si>
  <si>
    <t>24581</t>
  </si>
  <si>
    <t>PBV-PP13-01-11-18-00663</t>
  </si>
  <si>
    <t>1094</t>
  </si>
  <si>
    <t>PBV-PP13-01-11-18-00664</t>
  </si>
  <si>
    <t>1092</t>
  </si>
  <si>
    <t>PBV-PP13-01-11-18-00665</t>
  </si>
  <si>
    <t>1098</t>
  </si>
  <si>
    <t>PBV-PP13-01-11-18-00669</t>
  </si>
  <si>
    <t>PBV-PP13-01-11-18-00672</t>
  </si>
  <si>
    <t>1925</t>
  </si>
  <si>
    <t>PBV-PP13-01-11-18-00673</t>
  </si>
  <si>
    <t>1927</t>
  </si>
  <si>
    <t>PBV-PP13-01-11-18-00674</t>
  </si>
  <si>
    <t>1926</t>
  </si>
  <si>
    <t>PBV-PP13-01-11-18-00679</t>
  </si>
  <si>
    <t>502</t>
  </si>
  <si>
    <t>PBV-PP13-01-11-18-00683</t>
  </si>
  <si>
    <t>0202</t>
  </si>
  <si>
    <t>PBV-PP13-01-11-18-00688</t>
  </si>
  <si>
    <t>18951</t>
  </si>
  <si>
    <t>JV-13-01-01-18-01103</t>
  </si>
  <si>
    <t>PBV-PP13-01-11-18-00697</t>
  </si>
  <si>
    <t>1370</t>
  </si>
  <si>
    <t>T-PP13-01-11-18-01638</t>
  </si>
  <si>
    <t>PBV-PP13-01-11-18-00702</t>
  </si>
  <si>
    <t>55/12</t>
  </si>
  <si>
    <t>PBV-PP13-01-11-18-00704</t>
  </si>
  <si>
    <t>PBV-PP13-01-11-18-00705</t>
  </si>
  <si>
    <t>PBV-PP13-01-11-18-00706</t>
  </si>
  <si>
    <t>PBV-PP13-01-11-18-00707</t>
  </si>
  <si>
    <t>023</t>
  </si>
  <si>
    <t>MF-PP13-01-01-18-00260</t>
  </si>
  <si>
    <t>PBV-PP13-01-11-18-00709</t>
  </si>
  <si>
    <t>6161</t>
  </si>
  <si>
    <t>PBV-PP13-01-11-18-00710</t>
  </si>
  <si>
    <t>01-00281</t>
  </si>
  <si>
    <t>PBV-PP13-01-11-18-00711</t>
  </si>
  <si>
    <t>01-00340</t>
  </si>
  <si>
    <t>PBV-PP13-01-11-18-00717</t>
  </si>
  <si>
    <t>01-000338</t>
  </si>
  <si>
    <t>PBV-PP13-01-11-18-00720</t>
  </si>
  <si>
    <t>066</t>
  </si>
  <si>
    <t>PBV-PP13-01-11-18-00721</t>
  </si>
  <si>
    <t>PBV-PP13-01-11-18-00722</t>
  </si>
  <si>
    <t>PBV-PP13-01-11-18-00725</t>
  </si>
  <si>
    <t>2082</t>
  </si>
  <si>
    <t>PBV-PP13-01-11-18-00731</t>
  </si>
  <si>
    <t>020</t>
  </si>
  <si>
    <t>PBV-PP13-01-11-18-00742</t>
  </si>
  <si>
    <t>2468</t>
  </si>
  <si>
    <t>PBV-PP13-01-11-18-00745</t>
  </si>
  <si>
    <t>DC#196</t>
  </si>
  <si>
    <t>PBV-PP13-01-11-18-00747</t>
  </si>
  <si>
    <t>DC#207</t>
  </si>
  <si>
    <t>PBV-PP13-01-11-18-00750</t>
  </si>
  <si>
    <t>PBV-PP13-01-11-18-00751</t>
  </si>
  <si>
    <t>01-00470</t>
  </si>
  <si>
    <t>PBV-PP13-01-11-18-00759</t>
  </si>
  <si>
    <t>12066</t>
  </si>
  <si>
    <t>PBV-PP13-01-11-18-00760</t>
  </si>
  <si>
    <t>PBV-PP13-01-11-18-00761</t>
  </si>
  <si>
    <t>PBV-PP13-01-11-18-00769</t>
  </si>
  <si>
    <t>PBV-PP13-01-11-18-00770</t>
  </si>
  <si>
    <t>2085</t>
  </si>
  <si>
    <t>PBV-PP13-01-11-18-00772</t>
  </si>
  <si>
    <t>00104</t>
  </si>
  <si>
    <t>PBV-PP13-01-11-18-00773</t>
  </si>
  <si>
    <t>00105</t>
  </si>
  <si>
    <t>PBV-PP13-01-11-18-00777</t>
  </si>
  <si>
    <t>024670</t>
  </si>
  <si>
    <t>PBV-PP13-01-11-18-00781</t>
  </si>
  <si>
    <t>0811023/23</t>
  </si>
  <si>
    <t>PBV-PP13-01-11-18-00782</t>
  </si>
  <si>
    <t>0811024</t>
  </si>
  <si>
    <t>PBV-PP13-01-11-18-00797</t>
  </si>
  <si>
    <t>01-00502</t>
  </si>
  <si>
    <t>PBV-PP13-01-11-18-00808</t>
  </si>
  <si>
    <t>PBV-PP13-01-11-18-00809</t>
  </si>
  <si>
    <t>PBV-PP13-01-11-18-00810</t>
  </si>
  <si>
    <t>PBV-PP13-01-11-18-00812</t>
  </si>
  <si>
    <t>01-0812</t>
  </si>
  <si>
    <t>PBV-PP13-01-11-18-00813</t>
  </si>
  <si>
    <t>5316</t>
  </si>
  <si>
    <t>PBV-PP13-01-11-18-00814</t>
  </si>
  <si>
    <t>PBV-PP13-01-11-18-00815</t>
  </si>
  <si>
    <t>1492</t>
  </si>
  <si>
    <t>PBV-PP13-01-11-18-00816</t>
  </si>
  <si>
    <t>1491</t>
  </si>
  <si>
    <t>PBV-PP13-01-11-18-00820</t>
  </si>
  <si>
    <t>503</t>
  </si>
  <si>
    <t>PBV-PP13-01-11-18-00821</t>
  </si>
  <si>
    <t>504</t>
  </si>
  <si>
    <t>PBV-PP13-01-11-18-00822</t>
  </si>
  <si>
    <t>505</t>
  </si>
  <si>
    <t>PBV-PP13-01-11-18-00825</t>
  </si>
  <si>
    <t>12075</t>
  </si>
  <si>
    <t>PBV-PP13-01-11-18-00826</t>
  </si>
  <si>
    <t>PBV-PP13-01-11-18-00827</t>
  </si>
  <si>
    <t>01-00531</t>
  </si>
  <si>
    <t>PBV-PP13-01-11-18-00828</t>
  </si>
  <si>
    <t>01-00539</t>
  </si>
  <si>
    <t>PBV-PP13-01-11-18-00833</t>
  </si>
  <si>
    <t>0098</t>
  </si>
  <si>
    <t>PBV-PP13-01-11-18-00834</t>
  </si>
  <si>
    <t>0097</t>
  </si>
  <si>
    <t>PBV-PP13-01-11-18-00838</t>
  </si>
  <si>
    <t>6612</t>
  </si>
  <si>
    <t>PBV-PP13-01-11-18-00839</t>
  </si>
  <si>
    <t>6611</t>
  </si>
  <si>
    <t>PBV-PP13-01-11-18-00840</t>
  </si>
  <si>
    <t>6609</t>
  </si>
  <si>
    <t>PBV-PP13-01-11-18-00841</t>
  </si>
  <si>
    <t>6613</t>
  </si>
  <si>
    <t>PBV-PP13-01-11-18-00842</t>
  </si>
  <si>
    <t>6631</t>
  </si>
  <si>
    <t>PBV-PP13-01-11-18-00843</t>
  </si>
  <si>
    <t>6635</t>
  </si>
  <si>
    <t>PBV-PP13-01-11-18-00844</t>
  </si>
  <si>
    <t>6641</t>
  </si>
  <si>
    <t>PBV-PP13-01-11-18-00845</t>
  </si>
  <si>
    <t>12071</t>
  </si>
  <si>
    <t>PBV-PP13-01-11-18-00848</t>
  </si>
  <si>
    <t>PBV-PP13-01-11-18-00849</t>
  </si>
  <si>
    <t>231</t>
  </si>
  <si>
    <t>PBV-PP13-01-11-18-00850</t>
  </si>
  <si>
    <t>PBV-PP13-01-11-18-00851</t>
  </si>
  <si>
    <t>237</t>
  </si>
  <si>
    <t>PBV-PP13-01-11-18-00852</t>
  </si>
  <si>
    <t>248</t>
  </si>
  <si>
    <t>PBV-PP13-01-11-18-00853</t>
  </si>
  <si>
    <t>3000</t>
  </si>
  <si>
    <t>PBV-PP13-01-11-18-00857</t>
  </si>
  <si>
    <t>264</t>
  </si>
  <si>
    <t>PBV-PP13-01-11-18-00858</t>
  </si>
  <si>
    <t>PBV-PP13-01-11-18-00862</t>
  </si>
  <si>
    <t>0058</t>
  </si>
  <si>
    <t>PBV-PP13-01-11-18-00863</t>
  </si>
  <si>
    <t>1932</t>
  </si>
  <si>
    <t>PBV-PP13-01-11-18-00864</t>
  </si>
  <si>
    <t>1928</t>
  </si>
  <si>
    <t>PBV-PP13-01-11-18-00865</t>
  </si>
  <si>
    <t>1931</t>
  </si>
  <si>
    <t>PBV-PP13-01-11-18-00866</t>
  </si>
  <si>
    <t>1929</t>
  </si>
  <si>
    <t>PBV-PP13-01-11-18-00867</t>
  </si>
  <si>
    <t>LLC-PP13-01-01-18-00138</t>
  </si>
  <si>
    <t>JV-13-01-01-18-01249</t>
  </si>
  <si>
    <t>PBV-PP13-01-11-18-00868</t>
  </si>
  <si>
    <t>287</t>
  </si>
  <si>
    <t>PBV-PP13-01-11-18-00872</t>
  </si>
  <si>
    <t>01-00544</t>
  </si>
  <si>
    <t>PBV-PP13-01-11-18-00873</t>
  </si>
  <si>
    <t>01-00562</t>
  </si>
  <si>
    <t>PBV-PP13-01-11-18-00874</t>
  </si>
  <si>
    <t>PBV-PP13-01-11-18-00877</t>
  </si>
  <si>
    <t>PBV-PP13-01-11-18-00878</t>
  </si>
  <si>
    <t>6668</t>
  </si>
  <si>
    <t>PBV-PP13-01-11-18-00879</t>
  </si>
  <si>
    <t>6628</t>
  </si>
  <si>
    <t>PBV-PP13-01-11-18-00880</t>
  </si>
  <si>
    <t>6636</t>
  </si>
  <si>
    <t>PBV-PP13-01-11-18-00881</t>
  </si>
  <si>
    <t>6646</t>
  </si>
  <si>
    <t>PBV-PP13-01-11-18-00885</t>
  </si>
  <si>
    <t>28</t>
  </si>
  <si>
    <t>PBV-PP13-01-11-18-00886</t>
  </si>
  <si>
    <t>PBV-PP13-01-11-18-00889</t>
  </si>
  <si>
    <t>b-024718</t>
  </si>
  <si>
    <t>PBV-PP13-01-11-18-00890</t>
  </si>
  <si>
    <t>01-00518</t>
  </si>
  <si>
    <t>PBV-PP13-01-11-18-00891</t>
  </si>
  <si>
    <t>01-00583</t>
  </si>
  <si>
    <t>PBV-PP13-01-11-18-00894</t>
  </si>
  <si>
    <t>PBV-PP13-01-11-18-00898</t>
  </si>
  <si>
    <t>01-00591</t>
  </si>
  <si>
    <t>PBV-PP13-01-11-18-00903</t>
  </si>
  <si>
    <t>01-00614</t>
  </si>
  <si>
    <t>PBV-PP13-01-11-18-00907</t>
  </si>
  <si>
    <t>265</t>
  </si>
  <si>
    <t>PBV-PP13-01-11-18-00908</t>
  </si>
  <si>
    <t>PBV-PP13-01-11-18-00909</t>
  </si>
  <si>
    <t>222</t>
  </si>
  <si>
    <t>PBV-PP13-01-11-18-00910</t>
  </si>
  <si>
    <t>PBV-PP13-01-11-18-00916</t>
  </si>
  <si>
    <t>96</t>
  </si>
  <si>
    <t>PBV-PP13-01-11-18-00918</t>
  </si>
  <si>
    <t>506</t>
  </si>
  <si>
    <t>PBV-PP13-01-11-18-00919</t>
  </si>
  <si>
    <t>PBV-PP13-01-11-18-00920</t>
  </si>
  <si>
    <t>508</t>
  </si>
  <si>
    <t>PBV-PP13-01-11-18-00921</t>
  </si>
  <si>
    <t>509</t>
  </si>
  <si>
    <t>PBV-PP13-01-11-18-00922</t>
  </si>
  <si>
    <t>303</t>
  </si>
  <si>
    <t>PBV-PP13-01-11-18-00923</t>
  </si>
  <si>
    <t>314</t>
  </si>
  <si>
    <t>PBV-PP13-01-11-18-00924</t>
  </si>
  <si>
    <t>PBV-PP13-01-11-18-00925</t>
  </si>
  <si>
    <t>01-00642</t>
  </si>
  <si>
    <t>PBV-PP13-01-11-18-00926</t>
  </si>
  <si>
    <t>01-00641</t>
  </si>
  <si>
    <t>PBV-PP13-01-11-18-00927</t>
  </si>
  <si>
    <t>01-00644</t>
  </si>
  <si>
    <t>PBV-PP13-01-11-18-00928</t>
  </si>
  <si>
    <t>00130</t>
  </si>
  <si>
    <t>PBV-PP13-01-11-18-00929</t>
  </si>
  <si>
    <t>00126</t>
  </si>
  <si>
    <t>PBV-PP13-01-11-18-00950</t>
  </si>
  <si>
    <t>12097</t>
  </si>
  <si>
    <t>PBV-PP13-01-11-18-00951</t>
  </si>
  <si>
    <t>98</t>
  </si>
  <si>
    <t>PBV-PP13-01-11-18-00952</t>
  </si>
  <si>
    <t>728</t>
  </si>
  <si>
    <t>PBV-PP13-01-11-18-00953</t>
  </si>
  <si>
    <t>PBV-PP13-01-11-18-00954</t>
  </si>
  <si>
    <t>PBV-PP13-01-11-18-00961</t>
  </si>
  <si>
    <t>5410</t>
  </si>
  <si>
    <t>PBV-PP13-01-11-18-00963</t>
  </si>
  <si>
    <t>481</t>
  </si>
  <si>
    <t>PBV-PP13-01-11-18-00964</t>
  </si>
  <si>
    <t>PBV-PP13-01-11-18-00965</t>
  </si>
  <si>
    <t>111</t>
  </si>
  <si>
    <t>PBV-PP13-01-11-18-00966</t>
  </si>
  <si>
    <t>114</t>
  </si>
  <si>
    <t>PBV-PP13-01-11-18-00967</t>
  </si>
  <si>
    <t>122</t>
  </si>
  <si>
    <t>PBV-PP13-01-11-18-00968</t>
  </si>
  <si>
    <t>PBV-PP13-01-11-18-00969</t>
  </si>
  <si>
    <t>123</t>
  </si>
  <si>
    <t>PBV-PP13-01-11-18-00970</t>
  </si>
  <si>
    <t>038</t>
  </si>
  <si>
    <t>PBV-PP13-01-11-18-00979</t>
  </si>
  <si>
    <t>2924</t>
  </si>
  <si>
    <t>PBV-PP13-01-11-18-00981</t>
  </si>
  <si>
    <t>PBV-PP13-01-11-18-00983</t>
  </si>
  <si>
    <t>19080</t>
  </si>
  <si>
    <t>LLC-PP13-01-01-18-00147</t>
  </si>
  <si>
    <t>PBV-PP13-01-11-18-00996</t>
  </si>
  <si>
    <t>30</t>
  </si>
  <si>
    <t>PBV-PP13-01-11-18-00997</t>
  </si>
  <si>
    <t>PBV-PP13-01-11-18-00998</t>
  </si>
  <si>
    <t>20805</t>
  </si>
  <si>
    <t>PBV-PP13-01-11-18-00999</t>
  </si>
  <si>
    <t>PBV-PP13-01-11-18-01000</t>
  </si>
  <si>
    <t>PBV-PP13-01-11-18-01001</t>
  </si>
  <si>
    <t>PBV-PP13-01-11-18-01003</t>
  </si>
  <si>
    <t>2091</t>
  </si>
  <si>
    <t>PBV-PP13-01-11-18-01017</t>
  </si>
  <si>
    <t>24,26</t>
  </si>
  <si>
    <t>PBV-PP13-01-11-18-01018</t>
  </si>
  <si>
    <t>12098</t>
  </si>
  <si>
    <t>PBV-PP13-01-11-18-01019</t>
  </si>
  <si>
    <t>226</t>
  </si>
  <si>
    <t>PBV-PP13-01-11-18-01022</t>
  </si>
  <si>
    <t>145</t>
  </si>
  <si>
    <t>PBV-PP13-01-11-18-01023</t>
  </si>
  <si>
    <t>139</t>
  </si>
  <si>
    <t>PBV-PP13-01-11-18-01024</t>
  </si>
  <si>
    <t>129</t>
  </si>
  <si>
    <t>PBV-PP13-01-11-18-01025</t>
  </si>
  <si>
    <t>PBV-PP13-01-11-18-01026</t>
  </si>
  <si>
    <t>6683</t>
  </si>
  <si>
    <t>PBV-PP13-01-11-18-01027</t>
  </si>
  <si>
    <t>6667</t>
  </si>
  <si>
    <t>PBV-PP13-01-11-18-01028</t>
  </si>
  <si>
    <t>PBV-PP13-01-11-18-01029</t>
  </si>
  <si>
    <t>272</t>
  </si>
  <si>
    <t>PBV-PP13-01-11-18-01037</t>
  </si>
  <si>
    <t>1493</t>
  </si>
  <si>
    <t>PBV-PP13-01-11-18-01038</t>
  </si>
  <si>
    <t>1494</t>
  </si>
  <si>
    <t>PBV-PP13-01-11-18-01040</t>
  </si>
  <si>
    <t>PBV-PP13-01-11-18-01042</t>
  </si>
  <si>
    <t>PBV-PP13-01-11-18-01049</t>
  </si>
  <si>
    <t>20806</t>
  </si>
  <si>
    <t>PBV-PP13-01-11-18-01059</t>
  </si>
  <si>
    <t>2376</t>
  </si>
  <si>
    <t>PBV-PP13-01-11-18-01060</t>
  </si>
  <si>
    <t/>
  </si>
  <si>
    <t>PBV-PP13-01-11-18-01062</t>
  </si>
  <si>
    <t>0054</t>
  </si>
  <si>
    <t>PBV-PP13-01-11-18-01063</t>
  </si>
  <si>
    <t>PBV-PP13-01-11-18-01064</t>
  </si>
  <si>
    <t>01-00706</t>
  </si>
  <si>
    <t>PBV-PP13-01-11-18-01067</t>
  </si>
  <si>
    <t>00948</t>
  </si>
  <si>
    <t>JV-13-01-01-18-00879</t>
  </si>
  <si>
    <t>PBV-PP13-01-11-18-01069</t>
  </si>
  <si>
    <t>01-00652</t>
  </si>
  <si>
    <t>PBV-PP13-01-11-18-01070</t>
  </si>
  <si>
    <t>01-00674</t>
  </si>
  <si>
    <t>PBV-PP13-01-11-18-01071</t>
  </si>
  <si>
    <t>20866</t>
  </si>
  <si>
    <t>PBV-PP13-01-11-18-01072</t>
  </si>
  <si>
    <t>510</t>
  </si>
  <si>
    <t>PBV-PP13-01-11-18-01073</t>
  </si>
  <si>
    <t>511</t>
  </si>
  <si>
    <t>PBV-PP13-01-11-18-01074</t>
  </si>
  <si>
    <t>PBV-PP13-01-11-18-01075</t>
  </si>
  <si>
    <t>513</t>
  </si>
  <si>
    <t>PBV-PP13-01-11-18-01076</t>
  </si>
  <si>
    <t>514</t>
  </si>
  <si>
    <t>PBV-PP13-01-11-18-01077</t>
  </si>
  <si>
    <t>515</t>
  </si>
  <si>
    <t>PBV-PP13-01-11-18-01080</t>
  </si>
  <si>
    <t>3783</t>
  </si>
  <si>
    <t>LLC-PP13-01-01-18-00136</t>
  </si>
  <si>
    <t>JV-13-01-01-18-01233</t>
  </si>
  <si>
    <t>PBV-PP13-01-11-18-01084</t>
  </si>
  <si>
    <t>698</t>
  </si>
  <si>
    <t>LLC-PP13-01-01-18-00113</t>
  </si>
  <si>
    <t>65603 (SYMBOL INDUSTRIES)</t>
  </si>
  <si>
    <t>PBV-PP13-01-11-18-01085</t>
  </si>
  <si>
    <t>PBV-PP13-01-11-18-01086</t>
  </si>
  <si>
    <t>105</t>
  </si>
  <si>
    <t>PBV-PP13-01-11-18-01087</t>
  </si>
  <si>
    <t>0144</t>
  </si>
  <si>
    <t>PBV-PP13-01-11-18-01089</t>
  </si>
  <si>
    <t>241</t>
  </si>
  <si>
    <t>LLC-PP13-01-01-18-00114</t>
  </si>
  <si>
    <t>JV-13-01-01-18-01073</t>
  </si>
  <si>
    <t>65384 (MILLENIUM ENGG)</t>
  </si>
  <si>
    <t>PBV-PP13-01-11-18-01090</t>
  </si>
  <si>
    <t>6690</t>
  </si>
  <si>
    <t>PBV-PP13-01-11-18-01091</t>
  </si>
  <si>
    <t>6691</t>
  </si>
  <si>
    <t>PBV-PP13-01-11-18-01092</t>
  </si>
  <si>
    <t>6696</t>
  </si>
  <si>
    <t>PBV-PP13-01-11-18-01093</t>
  </si>
  <si>
    <t>1937</t>
  </si>
  <si>
    <t>PBV-PP13-01-11-18-01095</t>
  </si>
  <si>
    <t>313</t>
  </si>
  <si>
    <t>PBV-PP13-01-11-18-01096</t>
  </si>
  <si>
    <t>PBV-PP13-01-11-18-01097</t>
  </si>
  <si>
    <t>302</t>
  </si>
  <si>
    <t>PBV-PP13-01-11-18-01098</t>
  </si>
  <si>
    <t>252</t>
  </si>
  <si>
    <t>PBV-PP13-01-11-18-01101</t>
  </si>
  <si>
    <t>1210025</t>
  </si>
  <si>
    <t>PBV-PP13-01-11-18-01102</t>
  </si>
  <si>
    <t>882</t>
  </si>
  <si>
    <t>PBV-PP13-01-11-18-01103</t>
  </si>
  <si>
    <t>1938</t>
  </si>
  <si>
    <t>PBV-PP13-01-11-18-01104</t>
  </si>
  <si>
    <t>2094</t>
  </si>
  <si>
    <t>PBV-PP13-01-11-18-01105</t>
  </si>
  <si>
    <t>2093</t>
  </si>
  <si>
    <t>PBV-PP13-01-11-18-01106</t>
  </si>
  <si>
    <t>2096</t>
  </si>
  <si>
    <t>PBV-PP13-01-11-18-01107</t>
  </si>
  <si>
    <t>3794</t>
  </si>
  <si>
    <t>PBV-PP13-01-11-18-01120</t>
  </si>
  <si>
    <t>PBV-PP13-01-11-18-01121</t>
  </si>
  <si>
    <t>01-00736</t>
  </si>
  <si>
    <t>PBV-PP13-01-11-18-01122</t>
  </si>
  <si>
    <t>PBV-PP13-01-11-18-01123</t>
  </si>
  <si>
    <t>PBV-PP13-01-11-18-01124</t>
  </si>
  <si>
    <t>118</t>
  </si>
  <si>
    <t>PBV-PP13-01-11-18-01125</t>
  </si>
  <si>
    <t>PBV-PP13-01-11-18-01126</t>
  </si>
  <si>
    <t>PBV-PP13-01-11-18-01127</t>
  </si>
  <si>
    <t>3026</t>
  </si>
  <si>
    <t>PBV-PP13-01-11-18-01128</t>
  </si>
  <si>
    <t>2926</t>
  </si>
  <si>
    <t>PBV-PP13-01-11-18-01129</t>
  </si>
  <si>
    <t>2942</t>
  </si>
  <si>
    <t>PBV-PP13-01-11-18-01130</t>
  </si>
  <si>
    <t>2954</t>
  </si>
  <si>
    <t>PBV-PP13-01-11-18-01131</t>
  </si>
  <si>
    <t>00149</t>
  </si>
  <si>
    <t>PBV-PP13-01-11-18-01132</t>
  </si>
  <si>
    <t>00157</t>
  </si>
  <si>
    <t>LLC-PP13-01-01-18-00112</t>
  </si>
  <si>
    <t>JV-13-01-01-18-01069</t>
  </si>
  <si>
    <t>PBV-PP13-01-11-18-01133</t>
  </si>
  <si>
    <t>00154</t>
  </si>
  <si>
    <t>PBV-PP13-01-11-18-01134</t>
  </si>
  <si>
    <t>00143</t>
  </si>
  <si>
    <t>PBV-PP13-01-11-18-01135</t>
  </si>
  <si>
    <t>261</t>
  </si>
  <si>
    <t>PBV-PP13-01-11-18-01136</t>
  </si>
  <si>
    <t>292</t>
  </si>
  <si>
    <t>PBV-PP13-01-11-18-01137</t>
  </si>
  <si>
    <t>291</t>
  </si>
  <si>
    <t>PBV-PP13-01-11-18-01140</t>
  </si>
  <si>
    <t>3787</t>
  </si>
  <si>
    <t>PBV-PP13-01-11-18-01142</t>
  </si>
  <si>
    <t>126</t>
  </si>
  <si>
    <t>PBV-PP13-01-11-18-01149</t>
  </si>
  <si>
    <t>3797</t>
  </si>
  <si>
    <t>PBV-PP13-01-11-18-01153</t>
  </si>
  <si>
    <t>93</t>
  </si>
  <si>
    <t>PBV-PP13-01-11-18-01154</t>
  </si>
  <si>
    <t>97</t>
  </si>
  <si>
    <t>PBV-PP13-01-11-18-01155</t>
  </si>
  <si>
    <t>PBV-PP13-01-11-18-01156</t>
  </si>
  <si>
    <t>PBV-PP13-01-11-18-01157</t>
  </si>
  <si>
    <t>20900</t>
  </si>
  <si>
    <t>PBV-PP13-01-11-18-01158</t>
  </si>
  <si>
    <t>PBV-PP13-01-11-18-01160</t>
  </si>
  <si>
    <t>PBV-PP13-01-11-18-01169</t>
  </si>
  <si>
    <t>1210073</t>
  </si>
  <si>
    <t>PBV-PP13-01-11-18-01171</t>
  </si>
  <si>
    <t>01-00748</t>
  </si>
  <si>
    <t>PBV-PP13-01-11-18-01172</t>
  </si>
  <si>
    <t>01-00747</t>
  </si>
  <si>
    <t>PBV-PP13-01-11-18-01173</t>
  </si>
  <si>
    <t>01-00755</t>
  </si>
  <si>
    <t>PBV-PP13-01-11-18-01174</t>
  </si>
  <si>
    <t>01-00762</t>
  </si>
  <si>
    <t>PBV-PP13-01-11-18-01175</t>
  </si>
  <si>
    <t>01-00774</t>
  </si>
  <si>
    <t>PBV-PP13-01-11-18-01176</t>
  </si>
  <si>
    <t>01-00775</t>
  </si>
  <si>
    <t>PBV-PP13-01-11-18-01177</t>
  </si>
  <si>
    <t>01-00783</t>
  </si>
  <si>
    <t>PBV-PP13-01-11-18-01178</t>
  </si>
  <si>
    <t>01-00792</t>
  </si>
  <si>
    <t>PBV-PP13-01-11-18-01184</t>
  </si>
  <si>
    <t>735</t>
  </si>
  <si>
    <t>LLC-PP13-01-01-18-00132</t>
  </si>
  <si>
    <t>JV-13-01-01-18-01151</t>
  </si>
  <si>
    <t>PBV-PP13-01-11-18-01185</t>
  </si>
  <si>
    <t>12108</t>
  </si>
  <si>
    <t>PBV-PP13-01-11-18-01196</t>
  </si>
  <si>
    <t>026</t>
  </si>
  <si>
    <t>PBV-PP13-01-11-18-01199</t>
  </si>
  <si>
    <t>3029</t>
  </si>
  <si>
    <t>PBV-PP13-01-11-18-01204</t>
  </si>
  <si>
    <t>PBV-PP13-01-11-18-01205</t>
  </si>
  <si>
    <t>518</t>
  </si>
  <si>
    <t>PBV-PP13-01-11-18-01206</t>
  </si>
  <si>
    <t>519</t>
  </si>
  <si>
    <t>PBV-PP13-01-11-18-01207</t>
  </si>
  <si>
    <t>PBV-PP13-01-11-18-01208</t>
  </si>
  <si>
    <t xml:space="preserve">00157 </t>
  </si>
  <si>
    <t>PBV-PP13-01-11-18-01212</t>
  </si>
  <si>
    <t>3738</t>
  </si>
  <si>
    <t>PBV-PP13-01-11-18-01214</t>
  </si>
  <si>
    <t>293</t>
  </si>
  <si>
    <t>MF-PP13-01-01-18-00274</t>
  </si>
  <si>
    <t>PBV-PP13-01-11-18-01215</t>
  </si>
  <si>
    <t>134</t>
  </si>
  <si>
    <t>PBV-PP13-01-11-18-01216</t>
  </si>
  <si>
    <t>131</t>
  </si>
  <si>
    <t>PBV-PP13-01-11-18-01217</t>
  </si>
  <si>
    <t>130</t>
  </si>
  <si>
    <t>PBV-PP13-01-11-18-01219</t>
  </si>
  <si>
    <t>6716</t>
  </si>
  <si>
    <t>PBV-PP13-01-11-18-01220</t>
  </si>
  <si>
    <t>6717</t>
  </si>
  <si>
    <t>PBV-PP13-01-11-18-01221</t>
  </si>
  <si>
    <t>6692</t>
  </si>
  <si>
    <t>1594</t>
  </si>
  <si>
    <t>PBV-PP13-01-11-18-01235</t>
  </si>
  <si>
    <t>1120</t>
  </si>
  <si>
    <t>PBV-PP13-01-11-18-01236</t>
  </si>
  <si>
    <t>357</t>
  </si>
  <si>
    <t>PBV-PP13-01-11-18-01237</t>
  </si>
  <si>
    <t>359</t>
  </si>
  <si>
    <t>PBV-PP13-01-11-18-01238</t>
  </si>
  <si>
    <t>487</t>
  </si>
  <si>
    <t>PBV-PP13-01-11-18-01249</t>
  </si>
  <si>
    <t>180</t>
  </si>
  <si>
    <t>MF-PP13-01-01-18-00256</t>
  </si>
  <si>
    <t>JV-13-01-01-18-01207</t>
  </si>
  <si>
    <t>MF (ISSACSONS LIGHT METAL)</t>
  </si>
  <si>
    <t>PBV-PP13-01-11-18-01250</t>
  </si>
  <si>
    <t>MF-PP13-01-01-18-00280</t>
  </si>
  <si>
    <t>PBV-PP13-01-11-18-01251</t>
  </si>
  <si>
    <t>PBV-PP13-01-11-18-01252</t>
  </si>
  <si>
    <t>PBV-PP13-01-11-18-01253</t>
  </si>
  <si>
    <t>PBV-PP13-01-11-18-01254</t>
  </si>
  <si>
    <t>PBV-PP13-01-11-18-01255</t>
  </si>
  <si>
    <t>PBV-PP13-01-11-18-01256</t>
  </si>
  <si>
    <t>PBV-PP13-01-11-18-01257</t>
  </si>
  <si>
    <t>6694</t>
  </si>
  <si>
    <t>PBV-PP13-01-11-18-01258</t>
  </si>
  <si>
    <t>6695</t>
  </si>
  <si>
    <t>PBV-PP13-01-11-18-01259</t>
  </si>
  <si>
    <t>6736</t>
  </si>
  <si>
    <t>PBV-PP13-01-11-18-01260</t>
  </si>
  <si>
    <t>6739</t>
  </si>
  <si>
    <t>PBV-PP13-01-11-18-01261</t>
  </si>
  <si>
    <t>6745</t>
  </si>
  <si>
    <t>PBV-PP13-01-11-18-01262</t>
  </si>
  <si>
    <t>6747</t>
  </si>
  <si>
    <t>PBV-PP13-01-11-18-01263</t>
  </si>
  <si>
    <t>6749</t>
  </si>
  <si>
    <t>PBV-PP13-01-11-18-01264</t>
  </si>
  <si>
    <t>6754</t>
  </si>
  <si>
    <t>PBV-PP13-01-11-18-01265</t>
  </si>
  <si>
    <t>6767</t>
  </si>
  <si>
    <t>PBV-PP13-01-11-18-01266</t>
  </si>
  <si>
    <t>6768</t>
  </si>
  <si>
    <t>PBV-PP13-01-11-18-01267</t>
  </si>
  <si>
    <t>6686</t>
  </si>
  <si>
    <t>PBV-PP13-01-11-18-01268</t>
  </si>
  <si>
    <t>03812</t>
  </si>
  <si>
    <t>PBV-PP13-01-11-18-01270</t>
  </si>
  <si>
    <t>11829</t>
  </si>
  <si>
    <t>PBV-PP13-01-11-18-01271</t>
  </si>
  <si>
    <t>317</t>
  </si>
  <si>
    <t>PBV-PP13-01-11-18-01272</t>
  </si>
  <si>
    <t>520</t>
  </si>
  <si>
    <t>PBV-PP13-01-11-18-01273</t>
  </si>
  <si>
    <t>521</t>
  </si>
  <si>
    <t>PBV-PP13-01-11-18-01274</t>
  </si>
  <si>
    <t>3800</t>
  </si>
  <si>
    <t>PBV-PP13-01-11-18-01275</t>
  </si>
  <si>
    <t>3813</t>
  </si>
  <si>
    <t>PBV-PP13-01-11-18-01276</t>
  </si>
  <si>
    <t>3816</t>
  </si>
  <si>
    <t>PBV-PP13-01-11-18-01277</t>
  </si>
  <si>
    <t>140</t>
  </si>
  <si>
    <t>PBV-PP13-01-11-18-01278</t>
  </si>
  <si>
    <t>136</t>
  </si>
  <si>
    <t>PBV-PP13-01-11-18-01279</t>
  </si>
  <si>
    <t>PBV-PP13-01-11-18-01280</t>
  </si>
  <si>
    <t>01-00800</t>
  </si>
  <si>
    <t>PBV-PP13-01-11-18-01281</t>
  </si>
  <si>
    <t>01-00811</t>
  </si>
  <si>
    <t>PBV-PP13-01-11-18-01282</t>
  </si>
  <si>
    <t>01-00814</t>
  </si>
  <si>
    <t>PBV-PP13-01-11-18-01283</t>
  </si>
  <si>
    <t>01-00821</t>
  </si>
  <si>
    <t>PBV-PP13-01-11-18-01284</t>
  </si>
  <si>
    <t>01-00830</t>
  </si>
  <si>
    <t>PBV-PP13-01-11-18-01285</t>
  </si>
  <si>
    <t>2973</t>
  </si>
  <si>
    <t>PBV-PP13-01-11-18-01286</t>
  </si>
  <si>
    <t>2984</t>
  </si>
  <si>
    <t>PBV-PP13-01-11-18-01287</t>
  </si>
  <si>
    <t>2969</t>
  </si>
  <si>
    <t>PBV-PP13-01-11-18-01288</t>
  </si>
  <si>
    <t>2957</t>
  </si>
  <si>
    <t>PBV-PP13-01-11-18-01289</t>
  </si>
  <si>
    <t>1093</t>
  </si>
  <si>
    <t>PBV-PP13-01-11-18-01296</t>
  </si>
  <si>
    <t>0811028/28</t>
  </si>
  <si>
    <t>PBV-PP13-01-11-18-01297</t>
  </si>
  <si>
    <t>0811029</t>
  </si>
  <si>
    <t>PBV-PP13-01-11-18-01298</t>
  </si>
  <si>
    <t>3028</t>
  </si>
  <si>
    <t>PBV-PP13-01-11-18-01299</t>
  </si>
  <si>
    <t>3032</t>
  </si>
  <si>
    <t>PBV-PP13-01-11-18-01300</t>
  </si>
  <si>
    <t>PBV-PP13-01-11-18-01301</t>
  </si>
  <si>
    <t>3030</t>
  </si>
  <si>
    <t>PBV-PP13-01-11-18-01302</t>
  </si>
  <si>
    <t>737</t>
  </si>
  <si>
    <t>PBV-PP13-01-11-18-01303</t>
  </si>
  <si>
    <t>19208</t>
  </si>
  <si>
    <t>PBV-PP13-01-11-18-01305</t>
  </si>
  <si>
    <t>040</t>
  </si>
  <si>
    <t>PBV-PP13-01-11-18-01306</t>
  </si>
  <si>
    <t>262</t>
  </si>
  <si>
    <t>T-PP13-01-11-18-01601</t>
  </si>
  <si>
    <t>IDHO-17453</t>
  </si>
  <si>
    <t>PBV-PP13-01-11-18-01310</t>
  </si>
  <si>
    <t>364</t>
  </si>
  <si>
    <t>MF-PP13-01-01-18-00270</t>
  </si>
  <si>
    <t>PBV-PP13-01-11-18-01311</t>
  </si>
  <si>
    <t>363</t>
  </si>
  <si>
    <t>PBV-PP13-01-11-18-01316</t>
  </si>
  <si>
    <t>PBV-PP13-01-11-18-01323</t>
  </si>
  <si>
    <t>318</t>
  </si>
  <si>
    <t>PBV-PP13-01-11-18-01325</t>
  </si>
  <si>
    <t>PBV-PP13-01-11-18-01326</t>
  </si>
  <si>
    <t>PBV-PP13-01-11-18-01327</t>
  </si>
  <si>
    <t>T-PP13-01-11-18-01540</t>
  </si>
  <si>
    <t>PBV-PP13-01-11-18-01328</t>
  </si>
  <si>
    <t>6709</t>
  </si>
  <si>
    <t>PBV-PP13-01-11-18-01329</t>
  </si>
  <si>
    <t>20907</t>
  </si>
  <si>
    <t>PBV-PP13-01-11-18-01330</t>
  </si>
  <si>
    <t>12117</t>
  </si>
  <si>
    <t>PBV-PP13-01-11-18-01331</t>
  </si>
  <si>
    <t>149</t>
  </si>
  <si>
    <t>MF-PP13-01-01-18-00246</t>
  </si>
  <si>
    <t>PBV-PP13-01-11-18-01333</t>
  </si>
  <si>
    <t>2092</t>
  </si>
  <si>
    <t>PBV-PP13-01-11-18-01334</t>
  </si>
  <si>
    <t>2106</t>
  </si>
  <si>
    <t>PBV-PP13-01-11-18-01335</t>
  </si>
  <si>
    <t>2101</t>
  </si>
  <si>
    <t>PBV-PP13-01-11-18-01336</t>
  </si>
  <si>
    <t>2104</t>
  </si>
  <si>
    <t>PBV-PP13-01-11-18-01338</t>
  </si>
  <si>
    <t>752</t>
  </si>
  <si>
    <t>MF-PP13-01-01-18-00128</t>
  </si>
  <si>
    <t>JV-13-01-01-18-00793</t>
  </si>
  <si>
    <t>MF (S.M. ENGG &amp; METAL WORKS)</t>
  </si>
  <si>
    <t>PBV-PP13-01-11-18-01352</t>
  </si>
  <si>
    <t>077</t>
  </si>
  <si>
    <t>T-PP13-01-11-18-01652</t>
  </si>
  <si>
    <t>PBV-PP13-01-11-18-01370</t>
  </si>
  <si>
    <t>366</t>
  </si>
  <si>
    <t>PBV-PP13-01-11-18-01371</t>
  </si>
  <si>
    <t>PBV-PP13-01-11-18-01372</t>
  </si>
  <si>
    <t>157</t>
  </si>
  <si>
    <t>PBV-PP13-01-11-18-01373</t>
  </si>
  <si>
    <t>PBV-PP13-01-11-18-01374</t>
  </si>
  <si>
    <t>PBV-PP13-01-11-18-01375</t>
  </si>
  <si>
    <t>PBV-PP13-01-11-18-01381</t>
  </si>
  <si>
    <t>4138</t>
  </si>
  <si>
    <t>POL-PP13-01-11-18-0956</t>
  </si>
  <si>
    <t>PBV-PP13-01-11-18-01382</t>
  </si>
  <si>
    <t>246</t>
  </si>
  <si>
    <t>PBV-PP13-01-11-18-01383</t>
  </si>
  <si>
    <t>243</t>
  </si>
  <si>
    <t>PBV-PP13-01-11-18-01386</t>
  </si>
  <si>
    <t>PBV-PP13-01-11-18-01387</t>
  </si>
  <si>
    <t>PBV-PP13-01-11-18-01390</t>
  </si>
  <si>
    <t>01-00737</t>
  </si>
  <si>
    <t>PBV-PP13-01-11-18-01392</t>
  </si>
  <si>
    <t>PBV-PP13-01-11-18-01393</t>
  </si>
  <si>
    <t>275</t>
  </si>
  <si>
    <t>PBV-PP13-01-11-18-01395</t>
  </si>
  <si>
    <t>T-PP13-01-11-18-01541</t>
  </si>
  <si>
    <t>PBV-PP13-01-11-18-01396</t>
  </si>
  <si>
    <t>PBV-PP13-01-11-18-01398</t>
  </si>
  <si>
    <t>6707</t>
  </si>
  <si>
    <t>PBV-PP13-01-11-18-01399</t>
  </si>
  <si>
    <t>12109</t>
  </si>
  <si>
    <t>PBV-PP13-01-11-18-01402</t>
  </si>
  <si>
    <t>3807</t>
  </si>
  <si>
    <t>PBV-PP13-01-11-18-01404</t>
  </si>
  <si>
    <t>PBV-PP13-01-11-18-01409</t>
  </si>
  <si>
    <t>456</t>
  </si>
  <si>
    <t>MF-PP13-01-01-18-00259</t>
  </si>
  <si>
    <t>PBV-PP13-01-11-18-01410</t>
  </si>
  <si>
    <t>PBV-PP13-01-11-18-01412</t>
  </si>
  <si>
    <t>PBV-PP13-01-11-18-01413</t>
  </si>
  <si>
    <t>2102</t>
  </si>
  <si>
    <t>PBV-PP13-01-11-18-01414</t>
  </si>
  <si>
    <t>2098</t>
  </si>
  <si>
    <t>PBV-PP13-01-11-18-01415</t>
  </si>
  <si>
    <t>2099</t>
  </si>
  <si>
    <t>PBV-PP13-01-11-18-01416</t>
  </si>
  <si>
    <t>PBV-PP13-01-11-18-01417</t>
  </si>
  <si>
    <t>PBV-PP13-01-11-18-01418</t>
  </si>
  <si>
    <t>03422</t>
  </si>
  <si>
    <t>PBV-PP13-01-11-18-01420</t>
  </si>
  <si>
    <t>NIL</t>
  </si>
  <si>
    <t>PBV-PP13-01-11-18-01427</t>
  </si>
  <si>
    <t>033</t>
  </si>
  <si>
    <t>PBV-PP13-01-11-18-01428</t>
  </si>
  <si>
    <t>12138</t>
  </si>
  <si>
    <t>PBV-PP13-01-11-18-01429</t>
  </si>
  <si>
    <t>027</t>
  </si>
  <si>
    <t>PBV-PP13-01-11-18-01430</t>
  </si>
  <si>
    <t>13-0020</t>
  </si>
  <si>
    <t>T-PP13-01-11-18-01126</t>
  </si>
  <si>
    <t>IDHO-17205</t>
  </si>
  <si>
    <t>PBV-PP13-01-11-18-01431</t>
  </si>
  <si>
    <t>0020</t>
  </si>
  <si>
    <t>T-PP13-01-11-18-01127</t>
  </si>
  <si>
    <t>PBV-PP13-01-11-18-01433</t>
  </si>
  <si>
    <t>13-0010</t>
  </si>
  <si>
    <t>T-PP13-01-11-18-01125</t>
  </si>
  <si>
    <t>PBV-PP13-01-11-18-01445</t>
  </si>
  <si>
    <t>748</t>
  </si>
  <si>
    <t>T-PP13-01-11-18-01072</t>
  </si>
  <si>
    <t>PBV-PP13-01-11-18-01446</t>
  </si>
  <si>
    <t>746</t>
  </si>
  <si>
    <t>T-PP13-01-11-18-01073</t>
  </si>
  <si>
    <t>PBV-PP13-01-11-18-01447</t>
  </si>
  <si>
    <t>1148</t>
  </si>
  <si>
    <t>PBV-PP13-01-11-18-01448</t>
  </si>
  <si>
    <t>01-00862</t>
  </si>
  <si>
    <t>PBV-PP13-01-11-18-01450</t>
  </si>
  <si>
    <t>471</t>
  </si>
  <si>
    <t>PBV-PP13-01-11-18-01451</t>
  </si>
  <si>
    <t>783</t>
  </si>
  <si>
    <t>PBV-PP13-01-11-18-01452</t>
  </si>
  <si>
    <t>b-025156</t>
  </si>
  <si>
    <t>PBV-PP13-01-11-18-01457</t>
  </si>
  <si>
    <t>843</t>
  </si>
  <si>
    <t>PBV-PP13-01-11-18-01458</t>
  </si>
  <si>
    <t>13-0025</t>
  </si>
  <si>
    <t>PBV-PP13-01-11-18-01460</t>
  </si>
  <si>
    <t>12110007</t>
  </si>
  <si>
    <t>PBV-PP13-01-11-18-01461</t>
  </si>
  <si>
    <t>11830</t>
  </si>
  <si>
    <t>PBV-PP13-01-11-18-01462</t>
  </si>
  <si>
    <t>PBV-PP13-01-11-18-01463</t>
  </si>
  <si>
    <t>07-11-2012</t>
  </si>
  <si>
    <t>MF-PP13-01-01-18-00243</t>
  </si>
  <si>
    <t>PBV-PP13-01-11-18-01464</t>
  </si>
  <si>
    <t>20942</t>
  </si>
  <si>
    <t>PBV-PP13-01-11-18-01465</t>
  </si>
  <si>
    <t>04064</t>
  </si>
  <si>
    <t>JV-13-01-01-18-01201</t>
  </si>
  <si>
    <t>PBV-PP13-01-11-18-01466</t>
  </si>
  <si>
    <t>04063</t>
  </si>
  <si>
    <t>PBV-PP13-01-11-18-01469</t>
  </si>
  <si>
    <t>3826</t>
  </si>
  <si>
    <t>PBV-PP13-01-11-18-01470</t>
  </si>
  <si>
    <t>PBV-PP13-01-11-18-01474</t>
  </si>
  <si>
    <t>PBV-PP13-01-11-18-01475</t>
  </si>
  <si>
    <t>20973</t>
  </si>
  <si>
    <t>PBV-PP13-01-11-18-01476</t>
  </si>
  <si>
    <t>01-00905</t>
  </si>
  <si>
    <t>PBV-PP13-01-11-18-01477</t>
  </si>
  <si>
    <t>00179</t>
  </si>
  <si>
    <t>PBV-PP13-01-11-18-01478</t>
  </si>
  <si>
    <t>00178</t>
  </si>
  <si>
    <t>PBV-PP13-01-11-18-01479</t>
  </si>
  <si>
    <t>PBV-PP13-01-11-18-01480</t>
  </si>
  <si>
    <t>00170</t>
  </si>
  <si>
    <t>PBV-PP13-01-11-18-01481</t>
  </si>
  <si>
    <t>2108</t>
  </si>
  <si>
    <t>PBV-PP13-01-11-18-01482</t>
  </si>
  <si>
    <t>552</t>
  </si>
  <si>
    <t>T-PP13-01-11-18-01610</t>
  </si>
  <si>
    <t>PBV-PP13-01-11-18-01483</t>
  </si>
  <si>
    <t>522</t>
  </si>
  <si>
    <t>PBV-PP13-01-11-18-01484</t>
  </si>
  <si>
    <t>523</t>
  </si>
  <si>
    <t>PBV-PP13-01-11-18-01485</t>
  </si>
  <si>
    <t>525</t>
  </si>
  <si>
    <t>PBV-PP13-01-11-18-01486</t>
  </si>
  <si>
    <t>526</t>
  </si>
  <si>
    <t>PBV-PP13-01-11-18-01487</t>
  </si>
  <si>
    <t>3833</t>
  </si>
  <si>
    <t>PBV-PP13-01-11-18-01491</t>
  </si>
  <si>
    <t>034</t>
  </si>
  <si>
    <t>PBV-PP13-01-11-18-01492</t>
  </si>
  <si>
    <t>PBV-PP13-01-11-18-01493</t>
  </si>
  <si>
    <t>032</t>
  </si>
  <si>
    <t>PBV-PP13-01-11-18-01494</t>
  </si>
  <si>
    <t>358</t>
  </si>
  <si>
    <t>PBV-PP13-01-11-18-01495</t>
  </si>
  <si>
    <t>PBV-PP13-01-11-18-01497</t>
  </si>
  <si>
    <t>368</t>
  </si>
  <si>
    <t>PBV-PP13-01-11-18-01498</t>
  </si>
  <si>
    <t>369</t>
  </si>
  <si>
    <t>PBV-PP13-01-11-18-01499</t>
  </si>
  <si>
    <t>270</t>
  </si>
  <si>
    <t>PBV-PP13-01-11-18-01500</t>
  </si>
  <si>
    <t>269</t>
  </si>
  <si>
    <t>PBV-PP13-01-11-18-01501</t>
  </si>
  <si>
    <t>273</t>
  </si>
  <si>
    <t>PBV-PP13-01-11-18-01502</t>
  </si>
  <si>
    <t>274</t>
  </si>
  <si>
    <t>PBV-PP13-01-11-18-01503</t>
  </si>
  <si>
    <t>375</t>
  </si>
  <si>
    <t>PBV-PP13-01-11-18-01504</t>
  </si>
  <si>
    <t>PBV-PP13-01-11-18-01508</t>
  </si>
  <si>
    <t>3055</t>
  </si>
  <si>
    <t>PBV-PP13-01-11-18-01509</t>
  </si>
  <si>
    <t>0100</t>
  </si>
  <si>
    <t>T-PP13-01-11-18-01654</t>
  </si>
  <si>
    <t>IDHO-17499</t>
  </si>
  <si>
    <t>PBV-PP13-01-11-18-01513</t>
  </si>
  <si>
    <t>524</t>
  </si>
  <si>
    <t>PBV-PP13-01-11-18-01514</t>
  </si>
  <si>
    <t>13-0026</t>
  </si>
  <si>
    <t>PBV-PP13-01-11-18-01516</t>
  </si>
  <si>
    <t>1410</t>
  </si>
  <si>
    <t>LLC-PP13-01-01-18-00152</t>
  </si>
  <si>
    <t>JV-13-01-01-18-01254</t>
  </si>
  <si>
    <t>PBV-PP13-01-11-18-01517</t>
  </si>
  <si>
    <t>21000</t>
  </si>
  <si>
    <t>PBV-PP13-01-11-18-01518</t>
  </si>
  <si>
    <t>21001</t>
  </si>
  <si>
    <t>PBV-PP13-01-11-18-01523</t>
  </si>
  <si>
    <t>978</t>
  </si>
  <si>
    <t>PBV-PP13-01-11-18-01524</t>
  </si>
  <si>
    <t>32826</t>
  </si>
  <si>
    <t>PBV-PP13-01-11-18-01525</t>
  </si>
  <si>
    <t>21005</t>
  </si>
  <si>
    <t>PBV-PP13-01-11-18-01526</t>
  </si>
  <si>
    <t>21006</t>
  </si>
  <si>
    <t>PBV-PP13-01-11-18-01528</t>
  </si>
  <si>
    <t>781</t>
  </si>
  <si>
    <t>PBV-PP13-01-11-18-01529</t>
  </si>
  <si>
    <t>780</t>
  </si>
  <si>
    <t>PBV-PP13-01-11-18-01530</t>
  </si>
  <si>
    <t>777</t>
  </si>
  <si>
    <t>PBV-PP13-01-11-18-01531</t>
  </si>
  <si>
    <t>791</t>
  </si>
  <si>
    <t>PBV-PP13-01-11-18-01532</t>
  </si>
  <si>
    <t>793</t>
  </si>
  <si>
    <t>PBV-PP13-01-11-18-01533</t>
  </si>
  <si>
    <t>787</t>
  </si>
  <si>
    <t>PBV-PP13-01-11-18-01534</t>
  </si>
  <si>
    <t>1457</t>
  </si>
  <si>
    <t>PBV-PP13-01-11-18-01535</t>
  </si>
  <si>
    <t>371</t>
  </si>
  <si>
    <t>PBV-PP13-01-11-18-01536</t>
  </si>
  <si>
    <t>377</t>
  </si>
  <si>
    <t>PBV-PP13-01-11-18-01537</t>
  </si>
  <si>
    <t>PBV-PP13-01-11-18-01539</t>
  </si>
  <si>
    <t>916</t>
  </si>
  <si>
    <t>PBV-PP13-01-11-18-01540</t>
  </si>
  <si>
    <t>PBV-PP13-01-11-18-01542</t>
  </si>
  <si>
    <t>PBV-PP13-01-11-18-01543</t>
  </si>
  <si>
    <t>01-00925</t>
  </si>
  <si>
    <t>PBV-PP13-01-11-18-01544</t>
  </si>
  <si>
    <t>01-00936</t>
  </si>
  <si>
    <t>PBV-PP13-01-11-18-01546</t>
  </si>
  <si>
    <t>PBV-PP13-01-11-18-01547</t>
  </si>
  <si>
    <t>PBV-PP13-01-11-18-01548</t>
  </si>
  <si>
    <t>PBV-PP13-01-11-18-01549</t>
  </si>
  <si>
    <t>195</t>
  </si>
  <si>
    <t>PBV-PP13-01-11-18-01550</t>
  </si>
  <si>
    <t>199</t>
  </si>
  <si>
    <t>PBV-PP13-01-11-18-01551</t>
  </si>
  <si>
    <t>PBV-PP13-01-11-18-01552</t>
  </si>
  <si>
    <t>PBV-PP13-01-11-18-01556</t>
  </si>
  <si>
    <t>080</t>
  </si>
  <si>
    <t>PBV-PP13-01-11-18-01557</t>
  </si>
  <si>
    <t>PBV-PP13-01-11-18-01558</t>
  </si>
  <si>
    <t>372</t>
  </si>
  <si>
    <t>PBV-PP13-01-11-18-01560</t>
  </si>
  <si>
    <t>PBV-PP13-01-11-18-01561</t>
  </si>
  <si>
    <t>PBV-PP13-01-11-18-01562</t>
  </si>
  <si>
    <t>PBV-PP13-01-11-18-01563</t>
  </si>
  <si>
    <t>137</t>
  </si>
  <si>
    <t>PBV-PP13-01-11-18-01564</t>
  </si>
  <si>
    <t>PBV-PP13-01-11-18-01565</t>
  </si>
  <si>
    <t>PBV-PP13-01-11-18-01566</t>
  </si>
  <si>
    <t>3853</t>
  </si>
  <si>
    <t>PBV-PP13-01-11-18-01567</t>
  </si>
  <si>
    <t>LLC-PP13-01-01-18-00110</t>
  </si>
  <si>
    <t>JV-13-01-01-18-00875</t>
  </si>
  <si>
    <t>62147 (QUENCHAGE)</t>
  </si>
  <si>
    <t>PBV-PP13-01-11-18-01568</t>
  </si>
  <si>
    <t>PBV-PP13-01-11-18-01569</t>
  </si>
  <si>
    <t>PBV-PP13-01-11-18-01570</t>
  </si>
  <si>
    <t>2023</t>
  </si>
  <si>
    <t>T-PP13-01-11-18-01646</t>
  </si>
  <si>
    <t>IDHO-17473</t>
  </si>
  <si>
    <t>PBV-PP13-01-11-18-01571</t>
  </si>
  <si>
    <t>263</t>
  </si>
  <si>
    <t>T-PP13-01-11-18-01602</t>
  </si>
  <si>
    <t>PBV-PP13-01-11-18-01572</t>
  </si>
  <si>
    <t>378</t>
  </si>
  <si>
    <t>PBV-PP13-01-11-18-01573</t>
  </si>
  <si>
    <t>388</t>
  </si>
  <si>
    <t>PBV-PP13-01-11-18-01574</t>
  </si>
  <si>
    <t>392</t>
  </si>
  <si>
    <t>PBV-PP13-01-11-18-01575</t>
  </si>
  <si>
    <t>PBV-PP13-01-11-18-01576</t>
  </si>
  <si>
    <t>01-00951</t>
  </si>
  <si>
    <t>PBV-PP13-01-11-18-01577</t>
  </si>
  <si>
    <t>01-00956</t>
  </si>
  <si>
    <t>PBV-PP13-01-11-18-01578</t>
  </si>
  <si>
    <t>01-00976</t>
  </si>
  <si>
    <t>PBV-PP13-01-11-18-01579</t>
  </si>
  <si>
    <t>01-00996</t>
  </si>
  <si>
    <t>PBV-PP13-01-11-18-01580</t>
  </si>
  <si>
    <t>04644</t>
  </si>
  <si>
    <t>PBV-PP13-01-11-18-01581</t>
  </si>
  <si>
    <t>04645</t>
  </si>
  <si>
    <t>PBV-PP13-01-11-18-01583</t>
  </si>
  <si>
    <t>277</t>
  </si>
  <si>
    <t>PBV-PP13-01-11-18-01584</t>
  </si>
  <si>
    <t>02-1112</t>
  </si>
  <si>
    <t>PBV-PP13-01-11-18-01585</t>
  </si>
  <si>
    <t>3037</t>
  </si>
  <si>
    <t>PBV-PP13-01-11-18-01586</t>
  </si>
  <si>
    <t>6851</t>
  </si>
  <si>
    <t>PBV-PP13-01-11-18-01588</t>
  </si>
  <si>
    <t>528</t>
  </si>
  <si>
    <t>PBV-PP13-01-11-18-01590</t>
  </si>
  <si>
    <t>527</t>
  </si>
  <si>
    <t>PBV-PP13-01-11-18-01591</t>
  </si>
  <si>
    <t>PBV-PP13-01-11-18-01592</t>
  </si>
  <si>
    <t>PBV-PP13-01-11-18-01593</t>
  </si>
  <si>
    <t>PBV-PP13-01-11-18-01596</t>
  </si>
  <si>
    <t>071</t>
  </si>
  <si>
    <t>PBV-PP13-01-11-18-01597</t>
  </si>
  <si>
    <t>1043</t>
  </si>
  <si>
    <t>PBV-PP13-01-11-18-01600</t>
  </si>
  <si>
    <t>12155</t>
  </si>
  <si>
    <t>PBV-PP13-01-11-18-01601</t>
  </si>
  <si>
    <t>12154</t>
  </si>
  <si>
    <t>PBV-PP13-01-11-18-01602</t>
  </si>
  <si>
    <t>12153</t>
  </si>
  <si>
    <t>PBV-PP13-01-11-18-01603</t>
  </si>
  <si>
    <t>380</t>
  </si>
  <si>
    <t>PBV-PP13-01-11-18-01604</t>
  </si>
  <si>
    <t>224</t>
  </si>
  <si>
    <t>PBV-PP13-01-11-18-01605</t>
  </si>
  <si>
    <t>PBV-PP13-01-11-18-01606</t>
  </si>
  <si>
    <t>197</t>
  </si>
  <si>
    <t>PBV-PP13-01-11-18-01607</t>
  </si>
  <si>
    <t>PBV-PP13-01-11-18-01612</t>
  </si>
  <si>
    <t>3024</t>
  </si>
  <si>
    <t>PBV-PP13-01-11-18-01613</t>
  </si>
  <si>
    <t>PBV-PP13-01-11-18-01614</t>
  </si>
  <si>
    <t>0885</t>
  </si>
  <si>
    <t>PBV-PP13-01-11-18-01615</t>
  </si>
  <si>
    <t>00887</t>
  </si>
  <si>
    <t>PBV-PP13-01-11-18-01616</t>
  </si>
  <si>
    <t>939</t>
  </si>
  <si>
    <t>PBV-PP13-01-11-18-01617</t>
  </si>
  <si>
    <t>PBV-PP13-01-11-18-01618</t>
  </si>
  <si>
    <t>399</t>
  </si>
  <si>
    <t>PBV-PP13-01-11-18-01619</t>
  </si>
  <si>
    <t>21040</t>
  </si>
  <si>
    <t>PBV-PP13-01-11-18-01620</t>
  </si>
  <si>
    <t>21039</t>
  </si>
  <si>
    <t>PBV-PP13-01-11-18-01621</t>
  </si>
  <si>
    <t>21036</t>
  </si>
  <si>
    <t>PBV-PP13-01-11-18-01622</t>
  </si>
  <si>
    <t>21026</t>
  </si>
  <si>
    <t>PBV-PP13-01-11-18-01623</t>
  </si>
  <si>
    <t>532</t>
  </si>
  <si>
    <t>PBV-PP13-01-11-18-01624</t>
  </si>
  <si>
    <t>3042</t>
  </si>
  <si>
    <t>PBV-PP13-01-11-18-01627</t>
  </si>
  <si>
    <t>PBV-PP13-01-11-18-01629</t>
  </si>
  <si>
    <t>PBV-PP13-01-11-18-01630</t>
  </si>
  <si>
    <t>19315</t>
  </si>
  <si>
    <t>PBV-PP13-01-11-18-01631</t>
  </si>
  <si>
    <t>2113</t>
  </si>
  <si>
    <t>PBV-PP13-01-11-18-01632</t>
  </si>
  <si>
    <t>2114</t>
  </si>
  <si>
    <t>PBV-PP13-01-11-18-01633</t>
  </si>
  <si>
    <t>T-PP13-01-11-18-01648</t>
  </si>
  <si>
    <t>IDHO-17475</t>
  </si>
  <si>
    <t>PBV-PP13-01-11-18-01634</t>
  </si>
  <si>
    <t>T-PP13-01-11-18-01647</t>
  </si>
  <si>
    <t>IDHO-17474</t>
  </si>
  <si>
    <t>PBV-PP13-01-11-18-01635</t>
  </si>
  <si>
    <t>01-01011</t>
  </si>
  <si>
    <t>PBV-PP13-01-11-18-01636</t>
  </si>
  <si>
    <t>01-01023</t>
  </si>
  <si>
    <t>PBV-PP13-01-11-18-01637</t>
  </si>
  <si>
    <t>01-00997</t>
  </si>
  <si>
    <t>PBV-PP13-01-11-18-01638</t>
  </si>
  <si>
    <t>PBV-PP13-01-11-18-01641</t>
  </si>
  <si>
    <t>4809</t>
  </si>
  <si>
    <t>PBV-PP13-01-11-18-01642</t>
  </si>
  <si>
    <t>216</t>
  </si>
  <si>
    <t>MF-PP13-01-01-18-00264</t>
  </si>
  <si>
    <t>PBV-PP13-01-11-18-01643</t>
  </si>
  <si>
    <t>797</t>
  </si>
  <si>
    <t>PBV-PP13-01-11-18-01644</t>
  </si>
  <si>
    <t>01597</t>
  </si>
  <si>
    <t>PBV-PP13-01-11-18-01645</t>
  </si>
  <si>
    <t>1568</t>
  </si>
  <si>
    <t>PBV-PP13-01-11-18-01646</t>
  </si>
  <si>
    <t>1461</t>
  </si>
  <si>
    <t>PBV-PP13-01-11-18-01647</t>
  </si>
  <si>
    <t>382</t>
  </si>
  <si>
    <t>PBV-PP13-01-11-18-01648</t>
  </si>
  <si>
    <t>385</t>
  </si>
  <si>
    <t>PBV-PP13-01-11-18-01649</t>
  </si>
  <si>
    <t>PBV-PP13-01-11-18-01650</t>
  </si>
  <si>
    <t>PBV-PP13-01-11-18-01661</t>
  </si>
  <si>
    <t>1127</t>
  </si>
  <si>
    <t>PBV-PP13-01-11-18-01662</t>
  </si>
  <si>
    <t>PBV-PP13-01-11-18-01663</t>
  </si>
  <si>
    <t>PBV-PP13-01-11-18-01664</t>
  </si>
  <si>
    <t>PBV-PP13-01-11-18-01665</t>
  </si>
  <si>
    <t>PBV-PP13-01-11-18-01668</t>
  </si>
  <si>
    <t>289</t>
  </si>
  <si>
    <t>PBV-PP13-01-11-18-01669</t>
  </si>
  <si>
    <t>290</t>
  </si>
  <si>
    <t>PBV-PP13-01-11-18-01670</t>
  </si>
  <si>
    <t>PBV-PP13-01-11-18-01671</t>
  </si>
  <si>
    <t>459</t>
  </si>
  <si>
    <t>PBV-PP13-01-11-18-01672</t>
  </si>
  <si>
    <t>463</t>
  </si>
  <si>
    <t>PBV-PP13-01-11-18-01673</t>
  </si>
  <si>
    <t>327</t>
  </si>
  <si>
    <t>PBV-PP13-01-11-18-01674</t>
  </si>
  <si>
    <t>PBV-PP13-01-11-18-01675</t>
  </si>
  <si>
    <t>531</t>
  </si>
  <si>
    <t>PBV-PP13-01-11-18-01676</t>
  </si>
  <si>
    <t>PBV-PP13-01-11-18-01677</t>
  </si>
  <si>
    <t>12161</t>
  </si>
  <si>
    <t>PBV-PP13-01-11-18-01678</t>
  </si>
  <si>
    <t>12164</t>
  </si>
  <si>
    <t>PBV-PP13-01-11-18-01679</t>
  </si>
  <si>
    <t>580</t>
  </si>
  <si>
    <t>PBV-PP13-01-11-18-01680</t>
  </si>
  <si>
    <t>PBV-PP13-01-11-18-01681</t>
  </si>
  <si>
    <t>PBV-PP13-01-11-18-01682</t>
  </si>
  <si>
    <t>PBV-PP13-01-11-18-01683</t>
  </si>
  <si>
    <t>PBV-PP13-01-11-18-01684</t>
  </si>
  <si>
    <t>PBV-PP13-01-11-18-01691</t>
  </si>
  <si>
    <t>PBV-PP13-01-11-18-01692</t>
  </si>
  <si>
    <t>448</t>
  </si>
  <si>
    <t>PBV-PP13-01-11-18-01693</t>
  </si>
  <si>
    <t>439</t>
  </si>
  <si>
    <t>PBV-PP13-01-11-18-01694</t>
  </si>
  <si>
    <t>PBV-PP13-01-11-18-01695</t>
  </si>
  <si>
    <t>T-PP13-01-11-18-01603</t>
  </si>
  <si>
    <t>PBV-PP13-01-11-18-01696</t>
  </si>
  <si>
    <t>3031</t>
  </si>
  <si>
    <t>PBV-PP13-01-11-18-01697</t>
  </si>
  <si>
    <t>404</t>
  </si>
  <si>
    <t>PBV-PP13-01-11-18-01698</t>
  </si>
  <si>
    <t>249</t>
  </si>
  <si>
    <t>PBV-PP13-01-11-18-01699</t>
  </si>
  <si>
    <t>3836</t>
  </si>
  <si>
    <t>PBV-PP13-01-11-18-01700</t>
  </si>
  <si>
    <t>3839</t>
  </si>
  <si>
    <t>PBV-PP13-01-11-18-01701</t>
  </si>
  <si>
    <t>01-01037</t>
  </si>
  <si>
    <t>PBV-PP13-01-11-18-01702</t>
  </si>
  <si>
    <t>01-01033</t>
  </si>
  <si>
    <t>PBV-PP13-01-11-18-01703</t>
  </si>
  <si>
    <t>01-01034</t>
  </si>
  <si>
    <t>PBV-PP13-01-11-18-01704</t>
  </si>
  <si>
    <t>081131/31</t>
  </si>
  <si>
    <t>PBV-PP13-01-11-18-01705</t>
  </si>
  <si>
    <t>PBV-PP13-01-11-18-01706</t>
  </si>
  <si>
    <t>811</t>
  </si>
  <si>
    <t>PBV-PP13-01-11-18-01707</t>
  </si>
  <si>
    <t>790</t>
  </si>
  <si>
    <t>PBV-PP13-01-11-18-01708</t>
  </si>
  <si>
    <t>785</t>
  </si>
  <si>
    <t>PBV-PP13-01-11-18-01709</t>
  </si>
  <si>
    <t>344</t>
  </si>
  <si>
    <t>PBV-PP13-01-11-18-01710</t>
  </si>
  <si>
    <t>PBV-PP13-01-11-18-01717</t>
  </si>
  <si>
    <t>PBV-PP13-01-11-18-01718</t>
  </si>
  <si>
    <t>PBV-PP13-01-11-18-01719</t>
  </si>
  <si>
    <t>PBV-PP13-01-11-18-01720</t>
  </si>
  <si>
    <t>6826</t>
  </si>
  <si>
    <t>PBV-PP13-01-11-18-01721</t>
  </si>
  <si>
    <t>6828</t>
  </si>
  <si>
    <t>PBV-PP13-01-11-18-01722</t>
  </si>
  <si>
    <t>3038</t>
  </si>
  <si>
    <t>PBV-PP13-01-11-18-01723</t>
  </si>
  <si>
    <t>3044</t>
  </si>
  <si>
    <t>PBV-PP13-01-11-18-01726</t>
  </si>
  <si>
    <t>PBV-PP13-01-11-18-01727</t>
  </si>
  <si>
    <t>3070</t>
  </si>
  <si>
    <t>PBV-PP13-01-11-18-01729</t>
  </si>
  <si>
    <t>6852</t>
  </si>
  <si>
    <t>PBV-PP13-01-11-18-01730</t>
  </si>
  <si>
    <t>6853</t>
  </si>
  <si>
    <t>PBV-PP13-01-11-18-01731</t>
  </si>
  <si>
    <t>6854</t>
  </si>
  <si>
    <t>PBV-PP13-01-11-18-01734</t>
  </si>
  <si>
    <t>3017</t>
  </si>
  <si>
    <t>PBV-PP13-01-11-18-01735</t>
  </si>
  <si>
    <t xml:space="preserve">530 </t>
  </si>
  <si>
    <t>PBV-PP13-01-11-18-01737</t>
  </si>
  <si>
    <t>PBV-PP13-01-11-18-01738</t>
  </si>
  <si>
    <t>PBV-PP13-01-11-18-01739</t>
  </si>
  <si>
    <t>PBV-PP13-01-11-18-01742</t>
  </si>
  <si>
    <t>PBV-PP13-01-11-18-01743</t>
  </si>
  <si>
    <t>T-PP13-01-11-18-01546</t>
  </si>
  <si>
    <t>PBV-PP13-01-11-18-01744</t>
  </si>
  <si>
    <t>1994</t>
  </si>
  <si>
    <t>PBV-PP13-01-11-18-01747</t>
  </si>
  <si>
    <t>PBV-PP13-01-11-18-01748</t>
  </si>
  <si>
    <t>PBV-PP13-01-11-18-01749</t>
  </si>
  <si>
    <t>PBV-PP13-01-11-18-01750</t>
  </si>
  <si>
    <t>3867</t>
  </si>
  <si>
    <t>PBV-PP13-01-11-18-01751</t>
  </si>
  <si>
    <t>PBV-PP13-01-11-18-01752</t>
  </si>
  <si>
    <t>3848</t>
  </si>
  <si>
    <t>PBV-PP13-01-11-18-01753</t>
  </si>
  <si>
    <t>3855</t>
  </si>
  <si>
    <t>PBV-PP13-01-11-18-01754</t>
  </si>
  <si>
    <t>804</t>
  </si>
  <si>
    <t>PBV-PP13-01-11-18-01755</t>
  </si>
  <si>
    <t>PBV-PP13-01-11-18-01756</t>
  </si>
  <si>
    <t>796</t>
  </si>
  <si>
    <t>PBV-PP13-01-11-18-01757</t>
  </si>
  <si>
    <t>00192</t>
  </si>
  <si>
    <t>PBV-PP13-01-11-18-01758</t>
  </si>
  <si>
    <t>045</t>
  </si>
  <si>
    <t>PBV-PP13-01-11-18-01759</t>
  </si>
  <si>
    <t>044</t>
  </si>
  <si>
    <t>PBV-PP13-01-11-18-01763</t>
  </si>
  <si>
    <t>PBV-PP13-01-11-18-01764</t>
  </si>
  <si>
    <t>561</t>
  </si>
  <si>
    <t>PBV-PP13-01-11-18-01765</t>
  </si>
  <si>
    <t>204</t>
  </si>
  <si>
    <t>PBV-PP13-01-11-18-01766</t>
  </si>
  <si>
    <t>PBV-PP13-01-11-18-01770</t>
  </si>
  <si>
    <t>32841</t>
  </si>
  <si>
    <t>PBV-PP13-01-11-18-01771</t>
  </si>
  <si>
    <t>0811030/30</t>
  </si>
  <si>
    <t>PBV-PP13-01-11-18-01774</t>
  </si>
  <si>
    <t>11055</t>
  </si>
  <si>
    <t>LLC-PP13-01-01-18-00127</t>
  </si>
  <si>
    <t>JV-13-01-01-18-01031</t>
  </si>
  <si>
    <t>61794 (PIONEER ENGG WORKS)</t>
  </si>
  <si>
    <t>PBV-PP13-01-11-18-01775</t>
  </si>
  <si>
    <t>6858</t>
  </si>
  <si>
    <t>PBV-PP13-01-11-18-01776</t>
  </si>
  <si>
    <t>6857</t>
  </si>
  <si>
    <t>PBV-PP13-01-11-18-01779</t>
  </si>
  <si>
    <t>809</t>
  </si>
  <si>
    <t>PBV-PP13-01-11-18-01780</t>
  </si>
  <si>
    <t>802</t>
  </si>
  <si>
    <t>PBV-PP13-01-11-18-01781</t>
  </si>
  <si>
    <t>370</t>
  </si>
  <si>
    <t>PBV-PP13-01-11-18-01782</t>
  </si>
  <si>
    <t>12166</t>
  </si>
  <si>
    <t>PBV-PP13-01-11-18-01783</t>
  </si>
  <si>
    <t>11064</t>
  </si>
  <si>
    <t>PBV-PP13-01-11-18-01784</t>
  </si>
  <si>
    <t>PBV-PP13-01-11-18-01785</t>
  </si>
  <si>
    <t>566</t>
  </si>
  <si>
    <t>PBV-PP13-01-11-18-01788</t>
  </si>
  <si>
    <t>PBV-PP13-01-11-18-01789</t>
  </si>
  <si>
    <t>01590</t>
  </si>
  <si>
    <t>PBV-PP13-01-11-18-01790</t>
  </si>
  <si>
    <t>1476</t>
  </si>
  <si>
    <t>PBV-PP13-01-11-18-01791</t>
  </si>
  <si>
    <t>1462</t>
  </si>
  <si>
    <t>PBV-PP13-01-11-18-01792</t>
  </si>
  <si>
    <t>138</t>
  </si>
  <si>
    <t>PBV-PP13-01-11-18-01793</t>
  </si>
  <si>
    <t>PBV-PP13-01-11-18-01794</t>
  </si>
  <si>
    <t>152</t>
  </si>
  <si>
    <t>PBV-PP13-01-11-18-01795</t>
  </si>
  <si>
    <t>159</t>
  </si>
  <si>
    <t>PBV-PP13-01-11-18-01796</t>
  </si>
  <si>
    <t>0553</t>
  </si>
  <si>
    <t>PBV-PP13-01-11-18-01797</t>
  </si>
  <si>
    <t>05112</t>
  </si>
  <si>
    <t>PBV-PP13-01-11-18-01798</t>
  </si>
  <si>
    <t>3861</t>
  </si>
  <si>
    <t>PBV-PP13-01-11-18-01799</t>
  </si>
  <si>
    <t>PBV-PP13-01-11-18-01800</t>
  </si>
  <si>
    <t>PBV-PP13-01-11-18-01801</t>
  </si>
  <si>
    <t>PBV-PP13-01-11-18-01804</t>
  </si>
  <si>
    <t>451,474</t>
  </si>
  <si>
    <t>PBV-PP13-01-11-18-01805</t>
  </si>
  <si>
    <t>PBV-PP13-01-11-18-01806</t>
  </si>
  <si>
    <t>6842</t>
  </si>
  <si>
    <t>PBV-PP13-01-11-18-01807</t>
  </si>
  <si>
    <t>043</t>
  </si>
  <si>
    <t>PBV-PP13-01-11-18-01808</t>
  </si>
  <si>
    <t>PBV-PP13-01-11-18-01809</t>
  </si>
  <si>
    <t>PBV-PP13-01-11-18-01810</t>
  </si>
  <si>
    <t>PBV-PP13-01-11-18-01811</t>
  </si>
  <si>
    <t>200</t>
  </si>
  <si>
    <t>PBV-PP13-01-11-18-01812</t>
  </si>
  <si>
    <t>221</t>
  </si>
  <si>
    <t>PBV-PP13-01-11-18-01813</t>
  </si>
  <si>
    <t>738</t>
  </si>
  <si>
    <t>PBV-PP13-01-11-18-01814</t>
  </si>
  <si>
    <t>0611</t>
  </si>
  <si>
    <t>PBV-PP13-01-11-18-01815</t>
  </si>
  <si>
    <t>617</t>
  </si>
  <si>
    <t>PBV-PP13-01-11-18-01816</t>
  </si>
  <si>
    <t>0564</t>
  </si>
  <si>
    <t>PBV-PP13-01-11-18-01820</t>
  </si>
  <si>
    <t>803</t>
  </si>
  <si>
    <t>PBV-PP13-01-11-18-01825</t>
  </si>
  <si>
    <t>4199</t>
  </si>
  <si>
    <t>POL-PP13-01-11-18-1015</t>
  </si>
  <si>
    <t>PBV-PP13-01-11-18-01834</t>
  </si>
  <si>
    <t>1211063</t>
  </si>
  <si>
    <t>PBV-PP13-01-11-18-01835</t>
  </si>
  <si>
    <t>1211082</t>
  </si>
  <si>
    <t>PBV-PP13-01-11-18-01836</t>
  </si>
  <si>
    <t>PBV-PP13-01-11-18-01838</t>
  </si>
  <si>
    <t>PBV-PP13-01-11-18-01839</t>
  </si>
  <si>
    <t>194,520</t>
  </si>
  <si>
    <t>PBV-PP13-01-11-18-01842</t>
  </si>
  <si>
    <t>01-1112</t>
  </si>
  <si>
    <t>PBV-PP13-01-11-18-01843</t>
  </si>
  <si>
    <t>01-01112</t>
  </si>
  <si>
    <t>PBV-PP13-01-11-18-01844</t>
  </si>
  <si>
    <t>PBV-PP13-01-11-18-01845</t>
  </si>
  <si>
    <t>683(DC-663)</t>
  </si>
  <si>
    <t>T-PP13-01-11-18-01367</t>
  </si>
  <si>
    <t>PBV-PP13-01-11-18-01850</t>
  </si>
  <si>
    <t>1944</t>
  </si>
  <si>
    <t>PBV-PP13-01-11-18-01851</t>
  </si>
  <si>
    <t>1941</t>
  </si>
  <si>
    <t>PBV-PP13-01-11-18-01852</t>
  </si>
  <si>
    <t>1945</t>
  </si>
  <si>
    <t>PBV-PP13-01-11-18-01853</t>
  </si>
  <si>
    <t>1943</t>
  </si>
  <si>
    <t>PBV-PP13-01-11-18-01854</t>
  </si>
  <si>
    <t>1947</t>
  </si>
  <si>
    <t>PBV-PP13-01-11-18-01855</t>
  </si>
  <si>
    <t>1946</t>
  </si>
  <si>
    <t>PBV-PP13-01-11-18-01856</t>
  </si>
  <si>
    <t>1950</t>
  </si>
  <si>
    <t>PBV-PP13-01-11-18-01857</t>
  </si>
  <si>
    <t>1952</t>
  </si>
  <si>
    <t>PBV-PP13-01-11-18-01858</t>
  </si>
  <si>
    <t>1954</t>
  </si>
  <si>
    <t>PBV-PP13-01-11-18-01859</t>
  </si>
  <si>
    <t>1953</t>
  </si>
  <si>
    <t>PBV-PP13-01-11-18-01860</t>
  </si>
  <si>
    <t>1955</t>
  </si>
  <si>
    <t>PBV-PP13-01-11-18-01861</t>
  </si>
  <si>
    <t>1956</t>
  </si>
  <si>
    <t>PBV-PP13-01-11-18-01862</t>
  </si>
  <si>
    <t>1960</t>
  </si>
  <si>
    <t>PBV-PP13-01-11-18-01871</t>
  </si>
  <si>
    <t>2014</t>
  </si>
  <si>
    <t>PBV-PP13-01-11-18-01883</t>
  </si>
  <si>
    <t>1959</t>
  </si>
  <si>
    <t>PBV-PP13-01-11-18-01884</t>
  </si>
  <si>
    <t>1961</t>
  </si>
  <si>
    <t>PBV-PP13-01-11-18-01885</t>
  </si>
  <si>
    <t>01-01057</t>
  </si>
  <si>
    <t>PBV-PP13-01-11-18-01886</t>
  </si>
  <si>
    <t>01-01074</t>
  </si>
  <si>
    <t>PBV-PP13-01-11-18-01887</t>
  </si>
  <si>
    <t>01-01083</t>
  </si>
  <si>
    <t>PBV-PP13-01-11-18-01888</t>
  </si>
  <si>
    <t>01-01102</t>
  </si>
  <si>
    <t>PBV-PP13-01-11-18-01890</t>
  </si>
  <si>
    <t>1089</t>
  </si>
  <si>
    <t>PBV-PP13-01-11-18-01891</t>
  </si>
  <si>
    <t>PBV-PP13-01-11-18-01892</t>
  </si>
  <si>
    <t>PBV-PP13-01-11-18-01893</t>
  </si>
  <si>
    <t>3043</t>
  </si>
  <si>
    <t>PBV-PP13-01-11-18-01894</t>
  </si>
  <si>
    <t>PBV-PP13-01-11-18-01895</t>
  </si>
  <si>
    <t>3053</t>
  </si>
  <si>
    <t>PBV-PP13-01-11-18-01896</t>
  </si>
  <si>
    <t>00889</t>
  </si>
  <si>
    <t>PBV-PP13-01-11-18-01897</t>
  </si>
  <si>
    <t>PBV-PP13-01-11-18-01898</t>
  </si>
  <si>
    <t>533</t>
  </si>
  <si>
    <t>PBV-PP13-01-11-18-01899</t>
  </si>
  <si>
    <t>PBV-PP13-01-11-18-01900</t>
  </si>
  <si>
    <t>PBV-PP13-01-11-18-01901</t>
  </si>
  <si>
    <t>PBV-PP13-01-11-18-01902</t>
  </si>
  <si>
    <t>1143</t>
  </si>
  <si>
    <t>LLC-PP13-01-01-18-00106</t>
  </si>
  <si>
    <t>PBV-PP13-01-11-18-01903</t>
  </si>
  <si>
    <t>1962</t>
  </si>
  <si>
    <t>PBV-PP13-01-11-18-01904</t>
  </si>
  <si>
    <t>1967</t>
  </si>
  <si>
    <t>PBV-PP13-01-11-18-01905</t>
  </si>
  <si>
    <t>3047</t>
  </si>
  <si>
    <t>PBV-PP13-01-11-18-01906</t>
  </si>
  <si>
    <t>PBV-PP13-01-11-18-01907</t>
  </si>
  <si>
    <t>1007</t>
  </si>
  <si>
    <t>PBV-PP13-01-11-18-01908</t>
  </si>
  <si>
    <t>251</t>
  </si>
  <si>
    <t>PBV-PP13-01-11-18-01910</t>
  </si>
  <si>
    <t>036</t>
  </si>
  <si>
    <t>PBV-PP13-01-11-18-01911</t>
  </si>
  <si>
    <t>037</t>
  </si>
  <si>
    <t>PBV-PP13-01-11-18-01912</t>
  </si>
  <si>
    <t>PBV-PP13-01-11-18-01913</t>
  </si>
  <si>
    <t>429</t>
  </si>
  <si>
    <t>PBV-PP13-01-11-18-01914</t>
  </si>
  <si>
    <t>430</t>
  </si>
  <si>
    <t>PBV-PP13-01-11-18-01915</t>
  </si>
  <si>
    <t>PBV-PP13-01-11-18-01916</t>
  </si>
  <si>
    <t>PBV-PP13-01-11-18-01917</t>
  </si>
  <si>
    <t>10</t>
  </si>
  <si>
    <t>PBV-PP13-01-11-18-01918</t>
  </si>
  <si>
    <t>PBV-PP13-01-11-18-01919</t>
  </si>
  <si>
    <t>PBV-PP13-01-11-18-01922</t>
  </si>
  <si>
    <t>816</t>
  </si>
  <si>
    <t>PBV-PP13-01-11-18-01923</t>
  </si>
  <si>
    <t>PBV-PP13-01-11-18-01924</t>
  </si>
  <si>
    <t>PBV-PP13-01-11-18-01925</t>
  </si>
  <si>
    <t>0554</t>
  </si>
  <si>
    <t>PBV-PP13-01-11-18-01926</t>
  </si>
  <si>
    <t>PBV-PP13-01-11-18-01927</t>
  </si>
  <si>
    <t>298</t>
  </si>
  <si>
    <t>PBV-PP13-01-11-18-01928</t>
  </si>
  <si>
    <t>05595</t>
  </si>
  <si>
    <t>PBV-PP13-01-11-18-01929</t>
  </si>
  <si>
    <t>394</t>
  </si>
  <si>
    <t>PBV-PP13-01-11-18-01930</t>
  </si>
  <si>
    <t>397</t>
  </si>
  <si>
    <t>PBV-PP13-01-11-18-01931</t>
  </si>
  <si>
    <t>398</t>
  </si>
  <si>
    <t>PBV-PP13-01-11-18-01932</t>
  </si>
  <si>
    <t>400</t>
  </si>
  <si>
    <t>PBV-PP13-01-11-18-01933</t>
  </si>
  <si>
    <t>PBV-PP13-01-11-18-01934</t>
  </si>
  <si>
    <t>0653</t>
  </si>
  <si>
    <t>PBV-PP13-01-11-18-01935</t>
  </si>
  <si>
    <t>T-PP13-01-11-18-01335</t>
  </si>
  <si>
    <t>IDHO-17333</t>
  </si>
  <si>
    <t>PBV-PP13-01-11-18-01936</t>
  </si>
  <si>
    <t>4295</t>
  </si>
  <si>
    <t>MF-PP13-01-01-18-00221</t>
  </si>
  <si>
    <t>PBV-PP13-01-11-18-01937</t>
  </si>
  <si>
    <t>4298</t>
  </si>
  <si>
    <t>PBV-PP13-01-11-18-01938</t>
  </si>
  <si>
    <t>4308</t>
  </si>
  <si>
    <t>PBV-PP13-01-11-18-01939</t>
  </si>
  <si>
    <t>04317</t>
  </si>
  <si>
    <t>PBV-PP13-01-11-18-01940</t>
  </si>
  <si>
    <t>04318</t>
  </si>
  <si>
    <t>PBV-PP13-01-11-18-01941</t>
  </si>
  <si>
    <t>04330</t>
  </si>
  <si>
    <t>PBV-PP13-01-11-18-01942</t>
  </si>
  <si>
    <t>4319</t>
  </si>
  <si>
    <t>PBV-PP13-01-11-18-01943</t>
  </si>
  <si>
    <t>04350</t>
  </si>
  <si>
    <t>PBV-PP13-01-11-18-01946</t>
  </si>
  <si>
    <t>1957</t>
  </si>
  <si>
    <t>PBV-PP13-01-11-18-01947</t>
  </si>
  <si>
    <t>534</t>
  </si>
  <si>
    <t>PBV-PP13-01-11-18-01948</t>
  </si>
  <si>
    <t>PBV-PP13-01-11-18-01949</t>
  </si>
  <si>
    <t>PBV-PP13-01-11-18-01950</t>
  </si>
  <si>
    <t>403</t>
  </si>
  <si>
    <t>PBV-PP13-01-11-18-01951</t>
  </si>
  <si>
    <t>346</t>
  </si>
  <si>
    <t>PBV-PP13-01-11-18-01952</t>
  </si>
  <si>
    <t>0555</t>
  </si>
  <si>
    <t>PBV-PP13-01-11-18-01953</t>
  </si>
  <si>
    <t>1757</t>
  </si>
  <si>
    <t>PBV-PP13-01-11-18-01954</t>
  </si>
  <si>
    <t>1775</t>
  </si>
  <si>
    <t>PBV-PP13-01-11-18-01955</t>
  </si>
  <si>
    <t>1771</t>
  </si>
  <si>
    <t>PBV-PP13-01-11-18-01956</t>
  </si>
  <si>
    <t>162</t>
  </si>
  <si>
    <t>PBV-PP13-01-11-18-01957</t>
  </si>
  <si>
    <t>198</t>
  </si>
  <si>
    <t>PBV-PP13-01-11-18-01967</t>
  </si>
  <si>
    <t>1600</t>
  </si>
  <si>
    <t>PBV-PP13-01-11-18-01968</t>
  </si>
  <si>
    <t>1601</t>
  </si>
  <si>
    <t>PBV-PP13-01-11-18-01969</t>
  </si>
  <si>
    <t>PBV-PP13-01-11-18-01970</t>
  </si>
  <si>
    <t>PBV-PP13-01-11-18-01971</t>
  </si>
  <si>
    <t>8673</t>
  </si>
  <si>
    <t>PBV-PP13-01-11-18-01972</t>
  </si>
  <si>
    <t>1138</t>
  </si>
  <si>
    <t>PBV-PP13-01-11-18-01973</t>
  </si>
  <si>
    <t>1137</t>
  </si>
  <si>
    <t>PBV-PP13-01-11-18-01974</t>
  </si>
  <si>
    <t>367</t>
  </si>
  <si>
    <t>PBV-PP13-01-11-18-01975</t>
  </si>
  <si>
    <t>10248</t>
  </si>
  <si>
    <t>PBV-PP13-01-11-18-01976</t>
  </si>
  <si>
    <t>9576</t>
  </si>
  <si>
    <t>PBV-PP13-01-11-18-01977</t>
  </si>
  <si>
    <t>PBV-PP13-01-11-18-01978</t>
  </si>
  <si>
    <t>217</t>
  </si>
  <si>
    <t>PBV-PP13-01-11-18-01979</t>
  </si>
  <si>
    <t>PBV-PP13-01-11-18-01980</t>
  </si>
  <si>
    <t>059</t>
  </si>
  <si>
    <t>PBV-PP13-01-11-18-01981</t>
  </si>
  <si>
    <t>3076</t>
  </si>
  <si>
    <t>PBV-PP13-01-11-18-01982</t>
  </si>
  <si>
    <t>3079</t>
  </si>
  <si>
    <t>PBV-PP13-01-11-18-01983</t>
  </si>
  <si>
    <t>046</t>
  </si>
  <si>
    <t>PBV-PP13-01-11-18-01984</t>
  </si>
  <si>
    <t>2901</t>
  </si>
  <si>
    <t>PBV-PP13-01-11-18-01985</t>
  </si>
  <si>
    <t>001(12-12-2012)</t>
  </si>
  <si>
    <t>PBV-PP13-01-11-18-01986</t>
  </si>
  <si>
    <t>PBV-PP13-01-11-18-01987</t>
  </si>
  <si>
    <t>536</t>
  </si>
  <si>
    <t>PBV-PP13-01-11-18-01988</t>
  </si>
  <si>
    <t>537</t>
  </si>
  <si>
    <t>PBV-PP13-01-11-18-01989</t>
  </si>
  <si>
    <t>PBV-PP13-01-11-18-01990</t>
  </si>
  <si>
    <t>12180</t>
  </si>
  <si>
    <t>PBV-PP13-01-11-18-01991</t>
  </si>
  <si>
    <t>12170</t>
  </si>
  <si>
    <t>PBV-PP13-01-11-18-01992</t>
  </si>
  <si>
    <t>12176</t>
  </si>
  <si>
    <t>PBV-PP13-01-11-18-01993</t>
  </si>
  <si>
    <t>12196</t>
  </si>
  <si>
    <t>PBV-PP13-01-11-18-01994</t>
  </si>
  <si>
    <t>12202</t>
  </si>
  <si>
    <t>PBV-PP13-01-11-18-01997</t>
  </si>
  <si>
    <t>11838</t>
  </si>
  <si>
    <t>PBV-PP13-01-11-18-01999</t>
  </si>
  <si>
    <t>1212038</t>
  </si>
  <si>
    <t>PBV-PP13-01-11-18-02000</t>
  </si>
  <si>
    <t>2119</t>
  </si>
  <si>
    <t>PBV-PP13-01-11-18-02001</t>
  </si>
  <si>
    <t>2121</t>
  </si>
  <si>
    <t>PBV-PP13-01-11-18-02002</t>
  </si>
  <si>
    <t>5663</t>
  </si>
  <si>
    <t>PBV-PP13-01-11-18-02003</t>
  </si>
  <si>
    <t>21099</t>
  </si>
  <si>
    <t>PBV-PP13-01-11-18-02004</t>
  </si>
  <si>
    <t>21098</t>
  </si>
  <si>
    <t>PBV-PP13-01-11-18-02005</t>
  </si>
  <si>
    <t>21111</t>
  </si>
  <si>
    <t>PBV-PP13-01-11-18-02006</t>
  </si>
  <si>
    <t>21120</t>
  </si>
  <si>
    <t>PBV-PP13-01-11-18-02007</t>
  </si>
  <si>
    <t>21119</t>
  </si>
  <si>
    <t>PBV-PP13-01-11-18-02008</t>
  </si>
  <si>
    <t>21142</t>
  </si>
  <si>
    <t>PBV-PP13-01-11-18-02009</t>
  </si>
  <si>
    <t>21141</t>
  </si>
  <si>
    <t>PBV-PP13-01-11-18-02010</t>
  </si>
  <si>
    <t>21139</t>
  </si>
  <si>
    <t>PBV-PP13-01-11-18-02011</t>
  </si>
  <si>
    <t>21140</t>
  </si>
  <si>
    <t>PBV-PP13-01-11-18-02012</t>
  </si>
  <si>
    <t>05873</t>
  </si>
  <si>
    <t>PBV-PP13-01-11-18-02013</t>
  </si>
  <si>
    <t>05872</t>
  </si>
  <si>
    <t>PBV-PP13-01-11-18-02014</t>
  </si>
  <si>
    <t>PBV-PP13-01-11-18-02015</t>
  </si>
  <si>
    <t>073</t>
  </si>
  <si>
    <t>PBV-PP13-01-11-18-02016</t>
  </si>
  <si>
    <t>1617</t>
  </si>
  <si>
    <t>PBV-PP13-01-11-18-02017</t>
  </si>
  <si>
    <t>1615</t>
  </si>
  <si>
    <t>PBV-PP13-01-11-18-02018</t>
  </si>
  <si>
    <t>1610</t>
  </si>
  <si>
    <t>PBV-PP13-01-11-18-02019</t>
  </si>
  <si>
    <t>1602</t>
  </si>
  <si>
    <t>PBV-PP13-01-11-18-02022</t>
  </si>
  <si>
    <t>386</t>
  </si>
  <si>
    <t>PBV-PP13-01-11-18-02023</t>
  </si>
  <si>
    <t>00231</t>
  </si>
  <si>
    <t>PBV-PP13-01-11-18-02024</t>
  </si>
  <si>
    <t>00220</t>
  </si>
  <si>
    <t>PBV-PP13-01-11-18-02025</t>
  </si>
  <si>
    <t>049</t>
  </si>
  <si>
    <t>PBV-PP13-01-11-18-02027</t>
  </si>
  <si>
    <t>PBV-PP13-01-11-18-02028</t>
  </si>
  <si>
    <t>3110</t>
  </si>
  <si>
    <t>PBV-PP13-01-11-18-02029</t>
  </si>
  <si>
    <t>PBV-PP13-01-11-18-02030</t>
  </si>
  <si>
    <t>PBV-PP13-01-11-18-02031</t>
  </si>
  <si>
    <t>087</t>
  </si>
  <si>
    <t>PBV-PP13-01-11-18-02032</t>
  </si>
  <si>
    <t>743</t>
  </si>
  <si>
    <t>PBV-PP13-01-11-18-02033</t>
  </si>
  <si>
    <t>PBV-PP13-01-11-18-02034</t>
  </si>
  <si>
    <t>PBV-PP13-01-11-18-02035</t>
  </si>
  <si>
    <t>PBV-PP13-01-11-18-02036</t>
  </si>
  <si>
    <t>PBV-PP13-01-11-18-02037</t>
  </si>
  <si>
    <t>LLC-PP13-01-01-18-00107</t>
  </si>
  <si>
    <t>PBV-PP13-01-11-18-02038</t>
  </si>
  <si>
    <t>PBV-PP13-01-11-18-02039</t>
  </si>
  <si>
    <t>PBV-PP13-01-11-18-02040</t>
  </si>
  <si>
    <t>PBV-PP13-01-11-18-02041</t>
  </si>
  <si>
    <t>01-01120</t>
  </si>
  <si>
    <t>PBV-PP13-01-11-18-02042</t>
  </si>
  <si>
    <t>01-01179</t>
  </si>
  <si>
    <t>PBV-PP13-01-11-18-02043</t>
  </si>
  <si>
    <t>3067</t>
  </si>
  <si>
    <t>PBV-PP13-01-11-18-02044</t>
  </si>
  <si>
    <t>PBV-PP13-01-11-18-02045</t>
  </si>
  <si>
    <t>0556</t>
  </si>
  <si>
    <t>PBV-PP13-01-11-18-02046</t>
  </si>
  <si>
    <t>0558</t>
  </si>
  <si>
    <t>PBV-PP13-01-11-18-02047</t>
  </si>
  <si>
    <t>PBV-PP13-01-11-18-02048</t>
  </si>
  <si>
    <t>799</t>
  </si>
  <si>
    <t>PBV-PP13-01-11-18-02049</t>
  </si>
  <si>
    <t>PBV-PP13-01-11-18-02050</t>
  </si>
  <si>
    <t>779</t>
  </si>
  <si>
    <t>PBV-PP13-01-11-18-02051</t>
  </si>
  <si>
    <t>PBV-PP13-01-11-18-02052</t>
  </si>
  <si>
    <t>12185</t>
  </si>
  <si>
    <t>PBV-PP13-01-11-18-02053</t>
  </si>
  <si>
    <t>PBV-PP13-01-11-18-02054</t>
  </si>
  <si>
    <t>PBV-PP13-01-11-18-02057</t>
  </si>
  <si>
    <t>PBV-PP13-01-11-18-02058</t>
  </si>
  <si>
    <t>00891</t>
  </si>
  <si>
    <t>PBV-PP13-01-11-18-02059</t>
  </si>
  <si>
    <t>99</t>
  </si>
  <si>
    <t>PBV-PP13-01-11-18-02060</t>
  </si>
  <si>
    <t>PBV-PP13-01-11-18-02061</t>
  </si>
  <si>
    <t>PBV-PP13-01-11-18-02062</t>
  </si>
  <si>
    <t>6172,6209,6210</t>
  </si>
  <si>
    <t>PBV-PP13-01-11-18-02063</t>
  </si>
  <si>
    <t>PBV-PP13-01-11-18-02064</t>
  </si>
  <si>
    <t>301</t>
  </si>
  <si>
    <t>PBV-PP13-01-11-18-02065</t>
  </si>
  <si>
    <t>PBV-PP13-01-11-18-02066</t>
  </si>
  <si>
    <t>PBV-PP13-01-11-18-02067</t>
  </si>
  <si>
    <t>PBV-PP13-01-11-18-02068</t>
  </si>
  <si>
    <t>PBV-PP13-01-11-18-02069</t>
  </si>
  <si>
    <t>PBV-PP13-01-11-18-02070</t>
  </si>
  <si>
    <t>PBV-PP13-01-11-18-02071</t>
  </si>
  <si>
    <t>1180</t>
  </si>
  <si>
    <t>PBV-PP13-01-11-18-02072</t>
  </si>
  <si>
    <t>1225</t>
  </si>
  <si>
    <t>PBV-PP13-01-11-18-02073</t>
  </si>
  <si>
    <t>1273</t>
  </si>
  <si>
    <t>PBV-PP13-01-11-18-02074</t>
  </si>
  <si>
    <t>1319</t>
  </si>
  <si>
    <t>PBV-PP13-01-11-18-02075</t>
  </si>
  <si>
    <t>1343</t>
  </si>
  <si>
    <t>PBV-PP13-01-11-18-02076</t>
  </si>
  <si>
    <t>PBV-PP13-01-11-18-02077</t>
  </si>
  <si>
    <t>405</t>
  </si>
  <si>
    <t>PBV-PP13-01-11-18-02078</t>
  </si>
  <si>
    <t>0135</t>
  </si>
  <si>
    <t>PBV-PP13-01-11-18-02079</t>
  </si>
  <si>
    <t>0376</t>
  </si>
  <si>
    <t>PBV-PP13-01-11-18-02080</t>
  </si>
  <si>
    <t>0891</t>
  </si>
  <si>
    <t>PBV-PP13-01-11-18-02081</t>
  </si>
  <si>
    <t>PBV-PP13-01-11-18-02082</t>
  </si>
  <si>
    <t>PBV-PP13-01-11-18-02083</t>
  </si>
  <si>
    <t>PBV-PP13-01-11-18-02084</t>
  </si>
  <si>
    <t>PBV-PP13-01-11-18-02085</t>
  </si>
  <si>
    <t>PBV-PP13-01-11-18-02086</t>
  </si>
  <si>
    <t>PBV-PP13-01-11-18-02087</t>
  </si>
  <si>
    <t>PBV-PP13-01-11-18-02088</t>
  </si>
  <si>
    <t>PBV-PP13-01-11-18-02089</t>
  </si>
  <si>
    <t>PBV-PP13-01-11-18-02090</t>
  </si>
  <si>
    <t>PBV-PP13-01-11-18-02091</t>
  </si>
  <si>
    <t>PBV-PP13-01-11-18-02092</t>
  </si>
  <si>
    <t>PBV-PP13-01-11-18-02093</t>
  </si>
  <si>
    <t>PBV-PP13-01-11-18-02094</t>
  </si>
  <si>
    <t>PBV-PP13-01-11-18-02095</t>
  </si>
  <si>
    <t>06018</t>
  </si>
  <si>
    <t>PBV-PP13-01-11-18-02096</t>
  </si>
  <si>
    <t>1201</t>
  </si>
  <si>
    <t>PBV-PP13-01-11-18-02097</t>
  </si>
  <si>
    <t>1135</t>
  </si>
  <si>
    <t>PBV-PP13-01-11-18-02099</t>
  </si>
  <si>
    <t>1212118</t>
  </si>
  <si>
    <t>PBV-PP13-01-11-18-02100</t>
  </si>
  <si>
    <t>1212081</t>
  </si>
  <si>
    <t>PBV-PP13-01-11-18-02101</t>
  </si>
  <si>
    <t>PBV-PP13-01-11-18-02102</t>
  </si>
  <si>
    <t>PBV-PP13-01-11-18-02103</t>
  </si>
  <si>
    <t>PBV-PP13-01-11-18-02104</t>
  </si>
  <si>
    <t>407</t>
  </si>
  <si>
    <t>PBV-PP13-01-11-18-02105</t>
  </si>
  <si>
    <t>04362</t>
  </si>
  <si>
    <t>PBV-PP13-01-11-18-02106</t>
  </si>
  <si>
    <t>04360</t>
  </si>
  <si>
    <t>PBV-PP13-01-11-18-02107</t>
  </si>
  <si>
    <t>04373</t>
  </si>
  <si>
    <t>PBV-PP13-01-11-18-02108</t>
  </si>
  <si>
    <t>004393</t>
  </si>
  <si>
    <t>MF-PP13-01-01-18-00251</t>
  </si>
  <si>
    <t>PBV-PP13-01-11-18-02109</t>
  </si>
  <si>
    <t>004390</t>
  </si>
  <si>
    <t>PBV-PP13-01-11-18-02110</t>
  </si>
  <si>
    <t>434</t>
  </si>
  <si>
    <t>MF-PP13-01-01-18-00278</t>
  </si>
  <si>
    <t>PBV-PP13-01-11-18-02111</t>
  </si>
  <si>
    <t>435</t>
  </si>
  <si>
    <t>PBV-PP13-01-11-18-02112</t>
  </si>
  <si>
    <t>437</t>
  </si>
  <si>
    <t>PBV-PP13-01-11-18-02113</t>
  </si>
  <si>
    <t>PBV-PP13-01-11-18-02114</t>
  </si>
  <si>
    <t>PBV-PP13-01-11-18-02115</t>
  </si>
  <si>
    <t>PBV-PP13-01-11-18-02116</t>
  </si>
  <si>
    <t>PBV-PP13-01-11-18-02117</t>
  </si>
  <si>
    <t>PBV-PP13-01-11-18-02118</t>
  </si>
  <si>
    <t>PBV-PP13-01-11-18-02119</t>
  </si>
  <si>
    <t>PBV-PP13-01-11-18-02120</t>
  </si>
  <si>
    <t>B-025539</t>
  </si>
  <si>
    <t>PBV-PP13-01-11-18-02121</t>
  </si>
  <si>
    <t>0904</t>
  </si>
  <si>
    <t>PBV-PP13-01-11-18-02122</t>
  </si>
  <si>
    <t>0905</t>
  </si>
  <si>
    <t>PBV-PP13-01-11-18-02123</t>
  </si>
  <si>
    <t>0906</t>
  </si>
  <si>
    <t>PBV-PP13-01-11-18-02124</t>
  </si>
  <si>
    <t>PBV-PP13-01-11-18-02125</t>
  </si>
  <si>
    <t>PBV-PP13-01-11-18-02126</t>
  </si>
  <si>
    <t>PBV-PP13-01-11-18-02127</t>
  </si>
  <si>
    <t>004</t>
  </si>
  <si>
    <t>PBV-PP13-01-11-18-02128</t>
  </si>
  <si>
    <t>02766</t>
  </si>
  <si>
    <t>PBV-PP13-01-11-18-02129</t>
  </si>
  <si>
    <t>b-025565</t>
  </si>
  <si>
    <t>PBV-PP13-01-11-18-02130</t>
  </si>
  <si>
    <t>b-25557</t>
  </si>
  <si>
    <t>PBV-PP13-01-11-18-02131</t>
  </si>
  <si>
    <t>538</t>
  </si>
  <si>
    <t>PBV-PP13-01-11-18-02132</t>
  </si>
  <si>
    <t>PBV-PP13-01-11-18-02133</t>
  </si>
  <si>
    <t>12210</t>
  </si>
  <si>
    <t>PBV-PP13-01-11-18-02134</t>
  </si>
  <si>
    <t>12181</t>
  </si>
  <si>
    <t>PBV-PP13-01-11-18-02135</t>
  </si>
  <si>
    <t>2122</t>
  </si>
  <si>
    <t>PBV-PP13-01-11-18-02136</t>
  </si>
  <si>
    <t>PBV-PP13-01-11-18-02138</t>
  </si>
  <si>
    <t>PBV-PP13-01-11-18-02139</t>
  </si>
  <si>
    <t>560</t>
  </si>
  <si>
    <t>PBV-PP13-01-11-18-02140</t>
  </si>
  <si>
    <t>890</t>
  </si>
  <si>
    <t>PBV-PP13-01-11-18-02141</t>
  </si>
  <si>
    <t>PBV-PP13-01-11-18-02142</t>
  </si>
  <si>
    <t>PBV-PP13-01-11-18-02147</t>
  </si>
  <si>
    <t>334</t>
  </si>
  <si>
    <t>PBV-PP13-01-11-18-02148</t>
  </si>
  <si>
    <t>PBV-PP13-01-11-18-02149</t>
  </si>
  <si>
    <t>PBV-PP13-01-11-18-02150</t>
  </si>
  <si>
    <t>2112</t>
  </si>
  <si>
    <t>PBV-PP13-01-11-18-02151</t>
  </si>
  <si>
    <t>PBV-PP13-01-11-18-02152</t>
  </si>
  <si>
    <t>02-0121</t>
  </si>
  <si>
    <t>PBV-PP13-01-11-18-02153</t>
  </si>
  <si>
    <t>01-01212</t>
  </si>
  <si>
    <t>PBV-PP13-01-11-18-02154</t>
  </si>
  <si>
    <t>266</t>
  </si>
  <si>
    <t>PBV-PP13-01-11-18-02155</t>
  </si>
  <si>
    <t>PBV-PP13-01-11-18-02156</t>
  </si>
  <si>
    <t>1344</t>
  </si>
  <si>
    <t>PBV-PP13-01-11-18-02157</t>
  </si>
  <si>
    <t>PBV-PP13-01-11-18-02158</t>
  </si>
  <si>
    <t>01-01199</t>
  </si>
  <si>
    <t>PBV-PP13-01-11-18-02159</t>
  </si>
  <si>
    <t>01-01198</t>
  </si>
  <si>
    <t>PBV-PP13-01-11-18-02160</t>
  </si>
  <si>
    <t>01-01168</t>
  </si>
  <si>
    <t>PBV-PP13-01-11-18-02161</t>
  </si>
  <si>
    <t>1591</t>
  </si>
  <si>
    <t>PBV-PP13-01-11-18-02162</t>
  </si>
  <si>
    <t>PBV-PP13-01-11-18-02163</t>
  </si>
  <si>
    <t>1619</t>
  </si>
  <si>
    <t>PBV-PP13-01-11-18-02164</t>
  </si>
  <si>
    <t>04420</t>
  </si>
  <si>
    <t>PBV-PP13-01-11-18-02165</t>
  </si>
  <si>
    <t>004303</t>
  </si>
  <si>
    <t>PBV-PP13-01-11-18-02166</t>
  </si>
  <si>
    <t>4396</t>
  </si>
  <si>
    <t>PBV-PP13-01-11-18-02167</t>
  </si>
  <si>
    <t>04380</t>
  </si>
  <si>
    <t>PBV-PP13-01-11-18-02168</t>
  </si>
  <si>
    <t>04416</t>
  </si>
  <si>
    <t>PBV-PP13-01-11-18-02169</t>
  </si>
  <si>
    <t>04403</t>
  </si>
  <si>
    <t>PBV-PP13-01-11-18-02170</t>
  </si>
  <si>
    <t>04411</t>
  </si>
  <si>
    <t>PBV-PP13-01-11-18-02171</t>
  </si>
  <si>
    <t>4365</t>
  </si>
  <si>
    <t>PBV-PP13-01-11-18-02172</t>
  </si>
  <si>
    <t>PBV-PP13-01-11-18-02173</t>
  </si>
  <si>
    <t>1968</t>
  </si>
  <si>
    <t>PBV-PP13-01-11-18-02174</t>
  </si>
  <si>
    <t>1965</t>
  </si>
  <si>
    <t>PBV-PP13-01-11-18-02175</t>
  </si>
  <si>
    <t>PBV-PP13-01-11-18-02176</t>
  </si>
  <si>
    <t>PBV-PP13-01-11-18-02177</t>
  </si>
  <si>
    <t>12203</t>
  </si>
  <si>
    <t>PBV-PP13-01-11-18-02178</t>
  </si>
  <si>
    <t>12182</t>
  </si>
  <si>
    <t>PBV-PP13-01-11-18-02179</t>
  </si>
  <si>
    <t>0811032/32</t>
  </si>
  <si>
    <t>PBV-PP13-01-11-18-02180</t>
  </si>
  <si>
    <t>PBV-PP13-01-11-18-02181</t>
  </si>
  <si>
    <t>PBV-PP13-01-11-18-02182</t>
  </si>
  <si>
    <t>PBV-PP13-01-11-18-02183</t>
  </si>
  <si>
    <t>PBV-PP13-01-11-18-02184</t>
  </si>
  <si>
    <t>PBV-PP13-01-11-18-02185</t>
  </si>
  <si>
    <t>PBV-PP13-01-11-18-02186</t>
  </si>
  <si>
    <t>PBV-PP13-01-11-18-02187</t>
  </si>
  <si>
    <t>06019</t>
  </si>
  <si>
    <t>PBV-PP13-01-11-18-02188</t>
  </si>
  <si>
    <t>06094</t>
  </si>
  <si>
    <t>PBV-PP13-01-11-18-02189</t>
  </si>
  <si>
    <t>12209</t>
  </si>
  <si>
    <t>PBV-PP13-01-11-18-02191</t>
  </si>
  <si>
    <t>PBV-PP13-01-11-18-02192</t>
  </si>
  <si>
    <t>0559</t>
  </si>
  <si>
    <t>PBV-PP13-01-11-18-02193</t>
  </si>
  <si>
    <t>PBV-PP13-01-11-18-02194</t>
  </si>
  <si>
    <t>PBV-PP13-01-11-18-02195</t>
  </si>
  <si>
    <t>00892</t>
  </si>
  <si>
    <t>PBV-PP13-01-11-18-02196</t>
  </si>
  <si>
    <t>PBV-PP13-01-11-18-02197</t>
  </si>
  <si>
    <t>PBV-PP13-01-11-18-02198</t>
  </si>
  <si>
    <t>PBV-PP13-01-11-18-02199</t>
  </si>
  <si>
    <t>PBV-PP13-01-11-18-02200</t>
  </si>
  <si>
    <t>11088</t>
  </si>
  <si>
    <t>PBV-PP13-01-11-18-02201</t>
  </si>
  <si>
    <t>11083</t>
  </si>
  <si>
    <t>PBV-PP13-01-11-18-02202</t>
  </si>
  <si>
    <t>PBV-PP13-01-11-18-02211</t>
  </si>
  <si>
    <t>PBV-PP13-01-11-18-02212</t>
  </si>
  <si>
    <t>PBV-PP13-01-11-18-02220</t>
  </si>
  <si>
    <t>13-0029</t>
  </si>
  <si>
    <t>PBV-PP13-01-11-18-02221</t>
  </si>
  <si>
    <t>13-0028</t>
  </si>
  <si>
    <t>PBV-PP13-01-11-18-02222</t>
  </si>
  <si>
    <t>611</t>
  </si>
  <si>
    <t>PBV-PP13-01-11-18-02230</t>
  </si>
  <si>
    <t>PBV-PP13-01-11-18-02231</t>
  </si>
  <si>
    <t>310</t>
  </si>
  <si>
    <t>PBV-PP13-01-11-18-02232</t>
  </si>
  <si>
    <t>PBV-PP13-01-11-18-02233</t>
  </si>
  <si>
    <t>T-PP13-01-11-18-01618</t>
  </si>
  <si>
    <t>IDHO-17458</t>
  </si>
  <si>
    <t>PBV-PP13-01-11-18-02235</t>
  </si>
  <si>
    <t>04399</t>
  </si>
  <si>
    <t>PBV-PP13-01-11-18-02236</t>
  </si>
  <si>
    <t>03-01212</t>
  </si>
  <si>
    <t>PBV-PP13-01-11-18-02237</t>
  </si>
  <si>
    <t>12175</t>
  </si>
  <si>
    <t>PBV-PP13-01-11-18-02238</t>
  </si>
  <si>
    <t>PBV-PP13-01-11-18-02242</t>
  </si>
  <si>
    <t>PBV-PP13-01-11-18-02244</t>
  </si>
  <si>
    <t>PBV-PP13-01-11-18-02245</t>
  </si>
  <si>
    <t>1970</t>
  </si>
  <si>
    <t>PBV-PP13-01-11-18-02246</t>
  </si>
  <si>
    <t>1971</t>
  </si>
  <si>
    <t>PBV-PP13-01-11-18-02247</t>
  </si>
  <si>
    <t>01972</t>
  </si>
  <si>
    <t>PBV-PP13-01-11-18-02248</t>
  </si>
  <si>
    <t>1975</t>
  </si>
  <si>
    <t>PBV-PP13-01-11-18-02249</t>
  </si>
  <si>
    <t>1976</t>
  </si>
  <si>
    <t>PBV-PP13-01-11-18-02250</t>
  </si>
  <si>
    <t>PBV-PP13-01-11-18-02252</t>
  </si>
  <si>
    <t>PBV-PP13-01-11-18-02253</t>
  </si>
  <si>
    <t>T-PP13-01-11-18-01463</t>
  </si>
  <si>
    <t>IDHO-17416</t>
  </si>
  <si>
    <t>PBV-PP13-01-11-18-02254</t>
  </si>
  <si>
    <t>1958</t>
  </si>
  <si>
    <t>PBV-PP13-01-11-18-02256</t>
  </si>
  <si>
    <t>13-0027</t>
  </si>
  <si>
    <t>PBV-PP13-01-11-18-02258</t>
  </si>
  <si>
    <t>0075</t>
  </si>
  <si>
    <t>T-PP13-01-11-18-01637</t>
  </si>
  <si>
    <t>IDHO-17469</t>
  </si>
  <si>
    <t>PBV-PP13-01-11-18-02259</t>
  </si>
  <si>
    <t>3074</t>
  </si>
  <si>
    <t>PBV-PP13-01-11-18-02260</t>
  </si>
  <si>
    <t>01-01220</t>
  </si>
  <si>
    <t>PBV-PP13-01-11-18-02261</t>
  </si>
  <si>
    <t>415</t>
  </si>
  <si>
    <t>PBV-PP13-01-11-18-02262</t>
  </si>
  <si>
    <t>01-01238</t>
  </si>
  <si>
    <t>PBV-PP13-01-11-18-02263</t>
  </si>
  <si>
    <t>01-01260</t>
  </si>
  <si>
    <t>PBV-PP13-01-11-18-02268</t>
  </si>
  <si>
    <t>1623</t>
  </si>
  <si>
    <t>PBV-PP13-01-11-18-02269</t>
  </si>
  <si>
    <t>PBV-PP13-01-11-18-02270</t>
  </si>
  <si>
    <t>PBV-PP13-01-11-18-02271</t>
  </si>
  <si>
    <t>0560</t>
  </si>
  <si>
    <t>PBV-PP13-01-11-18-02272</t>
  </si>
  <si>
    <t>00235</t>
  </si>
  <si>
    <t>PBV-PP13-01-11-18-02273</t>
  </si>
  <si>
    <t>00237</t>
  </si>
  <si>
    <t>PBV-PP13-01-11-18-02274</t>
  </si>
  <si>
    <t>00248</t>
  </si>
  <si>
    <t>PBV-PP13-01-11-18-02275</t>
  </si>
  <si>
    <t>00244</t>
  </si>
  <si>
    <t>PBV-PP13-01-11-18-02276</t>
  </si>
  <si>
    <t>00245</t>
  </si>
  <si>
    <t>PBV-PP13-01-11-18-02277</t>
  </si>
  <si>
    <t>01989</t>
  </si>
  <si>
    <t>PBV-PP13-01-11-18-02278</t>
  </si>
  <si>
    <t>01988</t>
  </si>
  <si>
    <t>PBV-PP13-01-11-18-02279</t>
  </si>
  <si>
    <t>01995</t>
  </si>
  <si>
    <t>PBV-PP13-01-11-18-02280</t>
  </si>
  <si>
    <t>0496</t>
  </si>
  <si>
    <t>MF-PP13-01-01-18-00276</t>
  </si>
  <si>
    <t>PBV-PP13-01-11-18-02281</t>
  </si>
  <si>
    <t>898</t>
  </si>
  <si>
    <t>PBV-PP13-01-11-18-02282</t>
  </si>
  <si>
    <t>PBV-PP13-01-11-18-02283</t>
  </si>
  <si>
    <t>PBV-PP13-01-11-18-02284</t>
  </si>
  <si>
    <t>5</t>
  </si>
  <si>
    <t>PBV-PP13-01-11-18-02285</t>
  </si>
  <si>
    <t>PBV-PP13-01-11-18-02286</t>
  </si>
  <si>
    <t>9</t>
  </si>
  <si>
    <t>PBV-PP13-01-11-18-02287</t>
  </si>
  <si>
    <t>PBV-PP13-01-11-18-02288</t>
  </si>
  <si>
    <t>PBV-PP13-01-11-18-02289</t>
  </si>
  <si>
    <t>PBV-PP13-01-11-18-02290</t>
  </si>
  <si>
    <t>00238</t>
  </si>
  <si>
    <t>PBV-PP13-01-11-18-02293</t>
  </si>
  <si>
    <t>PBV-PP13-01-11-18-02294</t>
  </si>
  <si>
    <t>00894</t>
  </si>
  <si>
    <t>PBV-PP13-01-11-18-02295</t>
  </si>
  <si>
    <t>00893</t>
  </si>
  <si>
    <t>PBV-PP13-01-11-18-02296</t>
  </si>
  <si>
    <t>542</t>
  </si>
  <si>
    <t>PBV-PP13-01-11-18-02297</t>
  </si>
  <si>
    <t>PBV-PP13-01-11-18-02298</t>
  </si>
  <si>
    <t>PBV-PP13-01-11-18-02299</t>
  </si>
  <si>
    <t>02024</t>
  </si>
  <si>
    <t>PBV-PP13-01-11-18-02300</t>
  </si>
  <si>
    <t>02022</t>
  </si>
  <si>
    <t>PBV-PP13-01-11-18-02301</t>
  </si>
  <si>
    <t>539</t>
  </si>
  <si>
    <t>PBV-PP13-01-11-18-02302</t>
  </si>
  <si>
    <t>541</t>
  </si>
  <si>
    <t>PBV-PP13-01-11-18-02303</t>
  </si>
  <si>
    <t>6935</t>
  </si>
  <si>
    <t>PBV-PP13-01-11-18-02304</t>
  </si>
  <si>
    <t>6934</t>
  </si>
  <si>
    <t>PBV-PP13-01-11-18-02305</t>
  </si>
  <si>
    <t>280</t>
  </si>
  <si>
    <t>T-PP13-01-11-18-01659</t>
  </si>
  <si>
    <t>IDHO-17508</t>
  </si>
  <si>
    <t>PBV-PP13-01-11-18-02306</t>
  </si>
  <si>
    <t>PBV-PP13-01-11-18-02307</t>
  </si>
  <si>
    <t>21200</t>
  </si>
  <si>
    <t>PBV-PP13-01-11-18-02308</t>
  </si>
  <si>
    <t>06399</t>
  </si>
  <si>
    <t>PBV-PP13-01-11-18-02309</t>
  </si>
  <si>
    <t>6944</t>
  </si>
  <si>
    <t>PBV-PP13-01-11-18-02310</t>
  </si>
  <si>
    <t>0561</t>
  </si>
  <si>
    <t>PBV-PP13-01-11-18-02311</t>
  </si>
  <si>
    <t>01-01293</t>
  </si>
  <si>
    <t>PBV-PP13-01-11-18-02312</t>
  </si>
  <si>
    <t>PBV-PP13-01-11-18-02313</t>
  </si>
  <si>
    <t>PBV-PP13-01-11-18-02314</t>
  </si>
  <si>
    <t>2123</t>
  </si>
  <si>
    <t>PBV-PP13-01-11-18-02315</t>
  </si>
  <si>
    <t>2126</t>
  </si>
  <si>
    <t>PBV-PP13-01-11-18-02316</t>
  </si>
  <si>
    <t>02073</t>
  </si>
  <si>
    <t>PBV-PP13-01-11-18-02317</t>
  </si>
  <si>
    <t>T-PP13-01-11-18-01649</t>
  </si>
  <si>
    <t>IDHO-17487</t>
  </si>
  <si>
    <t>PBV-PP13-01-11-18-02320</t>
  </si>
  <si>
    <t>6936</t>
  </si>
  <si>
    <t>PBV-PP13-01-11-18-02321</t>
  </si>
  <si>
    <t>PBV-PP13-01-11-18-02322</t>
  </si>
  <si>
    <t>6943</t>
  </si>
  <si>
    <t>PBV-PP13-01-11-18-02328</t>
  </si>
  <si>
    <t>480</t>
  </si>
  <si>
    <t>PBV-PP13-01-11-18-02329</t>
  </si>
  <si>
    <t>02093</t>
  </si>
  <si>
    <t>PBV-PP13-01-11-18-02330</t>
  </si>
  <si>
    <t>PBV-PP13-01-11-18-02331</t>
  </si>
  <si>
    <t>PBV-PP13-01-11-18-02332</t>
  </si>
  <si>
    <t>319</t>
  </si>
  <si>
    <t>PBV-PP13-01-11-18-02333</t>
  </si>
  <si>
    <t>322</t>
  </si>
  <si>
    <t>PBV-PP13-01-11-18-02334</t>
  </si>
  <si>
    <t>323</t>
  </si>
  <si>
    <t>PBV-PP13-01-11-18-02335</t>
  </si>
  <si>
    <t>PBV-PP13-01-11-18-02336</t>
  </si>
  <si>
    <t>PBV-PP13-01-11-18-02337</t>
  </si>
  <si>
    <t>06494</t>
  </si>
  <si>
    <t>PBV-PP13-01-11-18-02338</t>
  </si>
  <si>
    <t>PBV-PP13-01-11-18-02339</t>
  </si>
  <si>
    <t>b-025659</t>
  </si>
  <si>
    <t>PBV-PP13-01-11-18-02340</t>
  </si>
  <si>
    <t>b-025711</t>
  </si>
  <si>
    <t>PBV-PP13-01-11-18-02341</t>
  </si>
  <si>
    <t>00263</t>
  </si>
  <si>
    <t>PBV-PP13-01-11-18-02342</t>
  </si>
  <si>
    <t>PBV-PP13-01-11-18-02343</t>
  </si>
  <si>
    <t>6941</t>
  </si>
  <si>
    <t>PBV-PP13-01-11-18-02344</t>
  </si>
  <si>
    <t>6948</t>
  </si>
  <si>
    <t>PBV-PP13-01-11-18-02345</t>
  </si>
  <si>
    <t>15</t>
  </si>
  <si>
    <t>PBV-PP13-01-11-18-02346</t>
  </si>
  <si>
    <t>11862</t>
  </si>
  <si>
    <t>PBV-PP13-01-11-18-02347</t>
  </si>
  <si>
    <t>05</t>
  </si>
  <si>
    <t>PBV-PP13-01-11-18-02348</t>
  </si>
  <si>
    <t>0159</t>
  </si>
  <si>
    <t>PBV-PP13-01-11-18-02349</t>
  </si>
  <si>
    <t>01-01313</t>
  </si>
  <si>
    <t>PBV-PP13-01-11-18-02350</t>
  </si>
  <si>
    <t>PBV-PP13-01-11-18-02351</t>
  </si>
  <si>
    <t>1306</t>
  </si>
  <si>
    <t>PBV-PP13-01-11-18-02352</t>
  </si>
  <si>
    <t>1335</t>
  </si>
  <si>
    <t>PBV-PP13-01-11-18-02353</t>
  </si>
  <si>
    <t>4489</t>
  </si>
  <si>
    <t>PBV-PP13-01-11-18-02354</t>
  </si>
  <si>
    <t>4501</t>
  </si>
  <si>
    <t>PBV-PP13-01-11-18-02355</t>
  </si>
  <si>
    <t>4500</t>
  </si>
  <si>
    <t>PBV-PP13-01-11-18-02356</t>
  </si>
  <si>
    <t>4509</t>
  </si>
  <si>
    <t>PBV-PP13-01-11-18-02357</t>
  </si>
  <si>
    <t>12223</t>
  </si>
  <si>
    <t>PBV-PP13-01-11-18-02361</t>
  </si>
  <si>
    <t>1627</t>
  </si>
  <si>
    <t>PBV-PP13-01-11-18-02362</t>
  </si>
  <si>
    <t>1633</t>
  </si>
  <si>
    <t>PBV-PP13-01-11-18-02363</t>
  </si>
  <si>
    <t>PBV-PP13-01-11-18-02364</t>
  </si>
  <si>
    <t>PBV-PP13-01-11-18-02365</t>
  </si>
  <si>
    <t>PBV-PP13-01-11-18-02366</t>
  </si>
  <si>
    <t>194</t>
  </si>
  <si>
    <t>PBV-PP13-01-11-18-02367</t>
  </si>
  <si>
    <t>01-01342</t>
  </si>
  <si>
    <t>PBV-PP13-01-11-18-02368</t>
  </si>
  <si>
    <t>PBV-PP13-01-11-18-02369</t>
  </si>
  <si>
    <t>PBV-PP13-01-11-18-02370</t>
  </si>
  <si>
    <t>631</t>
  </si>
  <si>
    <t>PBV-PP13-01-11-18-02371</t>
  </si>
  <si>
    <t>04507</t>
  </si>
  <si>
    <t>MF-PP13-01-01-18-00279</t>
  </si>
  <si>
    <t>PBV-PP13-01-11-18-02372</t>
  </si>
  <si>
    <t>00895</t>
  </si>
  <si>
    <t>PBV-PP13-01-11-18-02373</t>
  </si>
  <si>
    <t>421</t>
  </si>
  <si>
    <t>PBV-PP13-01-11-18-02374</t>
  </si>
  <si>
    <t>422</t>
  </si>
  <si>
    <t>PBV-PP13-01-11-18-02375</t>
  </si>
  <si>
    <t>423</t>
  </si>
  <si>
    <t>PBV-PP13-01-11-18-02376</t>
  </si>
  <si>
    <t>419</t>
  </si>
  <si>
    <t>PBV-PP13-01-11-18-02377</t>
  </si>
  <si>
    <t>PBV-PP13-01-11-18-02378</t>
  </si>
  <si>
    <t>00897</t>
  </si>
  <si>
    <t>PBV-PP13-01-11-18-02379</t>
  </si>
  <si>
    <t>PBV-PP13-01-11-18-02380</t>
  </si>
  <si>
    <t>406</t>
  </si>
  <si>
    <t>PBV-PP13-01-11-18-02381</t>
  </si>
  <si>
    <t>3060</t>
  </si>
  <si>
    <t>PBV-PP13-01-11-18-02382</t>
  </si>
  <si>
    <t>3062</t>
  </si>
  <si>
    <t>PBV-PP13-01-11-18-02383</t>
  </si>
  <si>
    <t>PBV-PP13-01-11-18-02384</t>
  </si>
  <si>
    <t>214</t>
  </si>
  <si>
    <t>PBV-PP13-01-11-18-02385</t>
  </si>
  <si>
    <t>01-01335</t>
  </si>
  <si>
    <t>PBV-PP13-01-11-18-02386</t>
  </si>
  <si>
    <t>01-01356</t>
  </si>
  <si>
    <t>PBV-PP13-01-11-18-02387</t>
  </si>
  <si>
    <t>01-01353</t>
  </si>
  <si>
    <t>PBV-PP13-01-11-18-02388</t>
  </si>
  <si>
    <t>01-01361</t>
  </si>
  <si>
    <t>PBV-PP13-01-11-18-02389</t>
  </si>
  <si>
    <t>PBV-PP13-01-11-18-02390</t>
  </si>
  <si>
    <t>1643</t>
  </si>
  <si>
    <t>PBV-PP13-01-11-18-02391</t>
  </si>
  <si>
    <t>1095</t>
  </si>
  <si>
    <t>PBV-PP13-01-11-18-02392</t>
  </si>
  <si>
    <t>1142</t>
  </si>
  <si>
    <t>PBV-PP13-01-11-18-02393</t>
  </si>
  <si>
    <t>373</t>
  </si>
  <si>
    <t>PBV-PP13-01-11-18-02394</t>
  </si>
  <si>
    <t>7779</t>
  </si>
  <si>
    <t>PBV-PP13-01-11-18-02395</t>
  </si>
  <si>
    <t>7776</t>
  </si>
  <si>
    <t>PBV-PP13-01-11-18-02396</t>
  </si>
  <si>
    <t>7777</t>
  </si>
  <si>
    <t>PBV-PP13-01-11-18-02397</t>
  </si>
  <si>
    <t>7778</t>
  </si>
  <si>
    <t>PBV-PP13-01-11-18-02398</t>
  </si>
  <si>
    <t>04513</t>
  </si>
  <si>
    <t>PBV-PP13-01-11-18-02399</t>
  </si>
  <si>
    <t>548</t>
  </si>
  <si>
    <t>PBV-PP13-01-11-18-02401</t>
  </si>
  <si>
    <t>00264</t>
  </si>
  <si>
    <t>PBV-PP13-01-11-18-02402</t>
  </si>
  <si>
    <t>4521</t>
  </si>
  <si>
    <t>PBV-PP13-01-11-18-02403</t>
  </si>
  <si>
    <t>4513</t>
  </si>
  <si>
    <t>PBV-PP13-01-11-18-02404</t>
  </si>
  <si>
    <t>12222</t>
  </si>
  <si>
    <t>PBV-PP13-01-11-18-02405</t>
  </si>
  <si>
    <t>12221</t>
  </si>
  <si>
    <t>PBV-PP13-01-11-18-02406</t>
  </si>
  <si>
    <t>PBV-PP13-01-11-18-02407</t>
  </si>
  <si>
    <t>11084</t>
  </si>
  <si>
    <t>PBV-PP13-01-11-18-02408</t>
  </si>
  <si>
    <t>PBV-PP13-01-11-18-02409</t>
  </si>
  <si>
    <t>PBV-PP13-01-11-18-02410</t>
  </si>
  <si>
    <t>T-PP13-01-11-18-01660</t>
  </si>
  <si>
    <t>IDHO-17510</t>
  </si>
  <si>
    <t>PBV-PP13-01-11-18-02411</t>
  </si>
  <si>
    <t>PBV-PP13-01-11-18-02412</t>
  </si>
  <si>
    <t>PBV-PP13-01-11-18-02417</t>
  </si>
  <si>
    <t>267</t>
  </si>
  <si>
    <t>PBV-PP13-01-11-18-02418</t>
  </si>
  <si>
    <t>PBV-PP13-01-11-18-02419</t>
  </si>
  <si>
    <t>281</t>
  </si>
  <si>
    <t>PBV-PP13-01-11-18-02420</t>
  </si>
  <si>
    <t>PBV-PP13-01-11-18-02421</t>
  </si>
  <si>
    <t>282</t>
  </si>
  <si>
    <t>PBV-PP13-01-11-18-02422</t>
  </si>
  <si>
    <t>PBV-PP13-01-11-18-02423</t>
  </si>
  <si>
    <t>1044</t>
  </si>
  <si>
    <t>PBV-PP13-01-11-18-02424</t>
  </si>
  <si>
    <t>LLC-PP13-01-01-18-00141</t>
  </si>
  <si>
    <t>PBV-PP13-01-11-18-02425</t>
  </si>
  <si>
    <t>01-01377</t>
  </si>
  <si>
    <t>PBV-PP13-01-11-18-02426</t>
  </si>
  <si>
    <t>01-01371</t>
  </si>
  <si>
    <t>PBV-PP13-01-11-18-02427</t>
  </si>
  <si>
    <t>153</t>
  </si>
  <si>
    <t>PBV-PP13-01-11-18-02429</t>
  </si>
  <si>
    <t>T-PP13-01-11-18-01661</t>
  </si>
  <si>
    <t>IDHO-17511</t>
  </si>
  <si>
    <t>PBV-PP13-01-11-18-02430</t>
  </si>
  <si>
    <t>PBV-PP13-01-11-18-02431</t>
  </si>
  <si>
    <t>333</t>
  </si>
  <si>
    <t>PBV-PP13-01-11-18-02432</t>
  </si>
  <si>
    <t>PBV-PP13-01-11-18-02433</t>
  </si>
  <si>
    <t>PBV-PP13-01-11-18-02434</t>
  </si>
  <si>
    <t>20</t>
  </si>
  <si>
    <t>PBV-PP13-01-11-18-02435</t>
  </si>
  <si>
    <t>13</t>
  </si>
  <si>
    <t>PBV-PP13-01-11-18-02436</t>
  </si>
  <si>
    <t>PBV-PP13-01-11-18-02437</t>
  </si>
  <si>
    <t>PBV-PP13-01-11-18-02438</t>
  </si>
  <si>
    <t>420</t>
  </si>
  <si>
    <t>PBV-PP13-01-11-18-02439</t>
  </si>
  <si>
    <t>255</t>
  </si>
  <si>
    <t>PBV-PP13-01-11-18-02440</t>
  </si>
  <si>
    <t>PBV-PP13-01-11-18-02441</t>
  </si>
  <si>
    <t>00898</t>
  </si>
  <si>
    <t>PBV-PP13-01-11-18-02442</t>
  </si>
  <si>
    <t>00899</t>
  </si>
  <si>
    <t>PBV-PP13-01-11-18-02443</t>
  </si>
  <si>
    <t>048</t>
  </si>
  <si>
    <t>PBV-PP13-01-11-18-02444</t>
  </si>
  <si>
    <t>3063</t>
  </si>
  <si>
    <t>PBV-PP13-01-11-18-02445</t>
  </si>
  <si>
    <t>4526</t>
  </si>
  <si>
    <t>L1</t>
  </si>
  <si>
    <t>Manager In. Process</t>
  </si>
  <si>
    <t>PBV-PP13-01-11-18-02446</t>
  </si>
  <si>
    <t>4524</t>
  </si>
  <si>
    <t>PBV-PP13-01-11-18-02447</t>
  </si>
  <si>
    <t>909</t>
  </si>
  <si>
    <t>PBV-PP13-01-11-18-02448</t>
  </si>
  <si>
    <t>543</t>
  </si>
  <si>
    <t>PBV-PP13-01-11-18-02449</t>
  </si>
  <si>
    <t>544</t>
  </si>
  <si>
    <t>PBV-PP13-01-11-18-02450</t>
  </si>
  <si>
    <t>545</t>
  </si>
  <si>
    <t>PBV-PP13-01-11-18-02451</t>
  </si>
  <si>
    <t>546</t>
  </si>
  <si>
    <t>PBV-PP13-01-11-18-02452</t>
  </si>
  <si>
    <t>1635</t>
  </si>
  <si>
    <t>PBV-PP13-01-11-18-02453</t>
  </si>
  <si>
    <t>014</t>
  </si>
  <si>
    <t>PBV-PP13-01-11-18-02454</t>
  </si>
  <si>
    <t>1350</t>
  </si>
  <si>
    <t>PBV-PP13-01-11-18-02455</t>
  </si>
  <si>
    <t>04501</t>
  </si>
  <si>
    <t>PBV-PP13-01-11-18-02456</t>
  </si>
  <si>
    <t>12230</t>
  </si>
  <si>
    <t>PBV-PP13-01-11-18-02457</t>
  </si>
  <si>
    <t>12228</t>
  </si>
  <si>
    <t>PBV-PP13-01-11-18-02458</t>
  </si>
  <si>
    <t>PBV-PP13-01-11-18-02459</t>
  </si>
  <si>
    <t>5722</t>
  </si>
  <si>
    <t>PBV-PP13-01-11-18-02460</t>
  </si>
  <si>
    <t>268</t>
  </si>
  <si>
    <t>PBV-PP13-01-11-18-02461</t>
  </si>
  <si>
    <t>PBV-PP13-01-11-18-02462</t>
  </si>
  <si>
    <t>583</t>
  </si>
  <si>
    <t>PBV-PP13-01-11-18-02471</t>
  </si>
  <si>
    <t>01-01325</t>
  </si>
  <si>
    <t>PBV-PP13-01-11-18-02472</t>
  </si>
  <si>
    <t>01-01385</t>
  </si>
  <si>
    <t>PBV-PP13-01-11-18-02473</t>
  </si>
  <si>
    <t>PBV-PP13-01-11-18-02474</t>
  </si>
  <si>
    <t>PBV-PP13-01-11-18-02475</t>
  </si>
  <si>
    <t>&gt;=46 and &lt;=60</t>
  </si>
  <si>
    <t>&gt;=31 and &lt;=45</t>
  </si>
  <si>
    <t>&gt;=1 and &lt;=30</t>
  </si>
  <si>
    <t>&gt;=91 and &lt;=120</t>
  </si>
  <si>
    <t>&gt;=61 and &lt;=90</t>
  </si>
  <si>
    <t>PBV-PP13-01-11-18-02476</t>
  </si>
  <si>
    <t>PBV-PP13-01-11-18-02477</t>
  </si>
  <si>
    <t>PBV-PP13-01-11-18-02478</t>
  </si>
  <si>
    <t>PBV-PP13-01-11-18-02479</t>
  </si>
  <si>
    <t>DYL Motorcycles Pvt Ltd</t>
  </si>
  <si>
    <t>T-PP13-01-11-18-01665</t>
  </si>
  <si>
    <t>IDHO-17527</t>
  </si>
  <si>
    <t>65258 (NASIR ENGG WORKS)</t>
  </si>
  <si>
    <t>T-PP13-01-11-18-01669</t>
  </si>
  <si>
    <t>T-PP13-01-11-18-01672</t>
  </si>
  <si>
    <t>T-PP13-01-11-18-01685</t>
  </si>
  <si>
    <t>T-PP13-01-11-18-01712</t>
  </si>
  <si>
    <t>IDHO-17528</t>
  </si>
  <si>
    <t>T-PP13-01-11-18-01689</t>
  </si>
  <si>
    <t>T-PP13-01-11-18-01716</t>
  </si>
  <si>
    <t>T-PP13-01-11-18-01694</t>
  </si>
  <si>
    <t>T-PP13-01-11-18-01722</t>
  </si>
  <si>
    <t>T-PP13-01-11-18-01700</t>
  </si>
  <si>
    <t>T-PP13-01-11-18-01729</t>
  </si>
  <si>
    <t>T-PP13-01-11-18-01701</t>
  </si>
  <si>
    <t>T-PP13-01-11-18-01730</t>
  </si>
  <si>
    <t>T-PP13-01-11-18-01732</t>
  </si>
  <si>
    <t>JV-13-01-01-18-01296</t>
  </si>
  <si>
    <t>T-PP13-01-11-18-01668</t>
  </si>
  <si>
    <t>T-PP13-01-11-18-01673</t>
  </si>
  <si>
    <t>JV-13-01-01-18-01298</t>
  </si>
  <si>
    <t>JV-13-01-01-18-01290</t>
  </si>
  <si>
    <t>JV-13-01-01-18-01288</t>
  </si>
  <si>
    <t>65634 (STEEL CRAFT PVT LTD)</t>
  </si>
  <si>
    <t>T-PP13-01-11-18-01709</t>
  </si>
  <si>
    <t>T-PP13-01-11-18-01677</t>
  </si>
  <si>
    <t>T-PP13-01-11-18-01678</t>
  </si>
  <si>
    <t>T-PP13-01-11-18-01679</t>
  </si>
  <si>
    <t>JV-13-01-01-18-01294</t>
  </si>
  <si>
    <t>JV-13-01-01-18-01284</t>
  </si>
  <si>
    <t>T-PP13-01-11-18-01733</t>
  </si>
  <si>
    <t>IDHO-17531</t>
  </si>
  <si>
    <t>T-PP13-01-11-18-01734</t>
  </si>
  <si>
    <t>T-PP13-01-11-18-01735</t>
  </si>
  <si>
    <t>T-PP13-01-11-18-01736</t>
  </si>
  <si>
    <t>T-PP13-01-11-18-01737</t>
  </si>
  <si>
    <t>PBV-PP13-01-11-18-02480</t>
  </si>
  <si>
    <t>PBV-PP13-01-11-18-02481</t>
  </si>
  <si>
    <t>PBV-PP13-01-11-18-02482</t>
  </si>
  <si>
    <t>6983</t>
  </si>
  <si>
    <t>PBV-PP13-01-11-18-02483</t>
  </si>
  <si>
    <t>6976</t>
  </si>
  <si>
    <t>PBV-PP13-01-11-18-02484</t>
  </si>
  <si>
    <t>424</t>
  </si>
  <si>
    <t>PBV-PP13-01-11-18-02485</t>
  </si>
  <si>
    <t>418</t>
  </si>
  <si>
    <t>PBV-PP13-01-11-18-02486</t>
  </si>
  <si>
    <t>025855</t>
  </si>
  <si>
    <t>PBV-PP13-01-11-18-02487</t>
  </si>
  <si>
    <t>025830</t>
  </si>
  <si>
    <t>PBV-PP13-01-11-18-02488</t>
  </si>
  <si>
    <t>PBV-PP13-01-11-18-02489</t>
  </si>
  <si>
    <t>1616</t>
  </si>
  <si>
    <t>PBV-PP13-01-11-18-02490</t>
  </si>
  <si>
    <t>PBV-PP13-01-11-18-02491</t>
  </si>
  <si>
    <t>PBV-PP13-01-11-18-02492</t>
  </si>
  <si>
    <t>3082</t>
  </si>
  <si>
    <t>PBV-PP13-01-11-18-02493</t>
  </si>
  <si>
    <t>3088</t>
  </si>
  <si>
    <t>PBV-PP13-01-11-18-02494</t>
  </si>
  <si>
    <t>3096</t>
  </si>
  <si>
    <t>PBV-PP13-01-11-18-02495</t>
  </si>
  <si>
    <t>3101</t>
  </si>
  <si>
    <t>PBV-PP13-01-11-18-02496</t>
  </si>
  <si>
    <t>3104</t>
  </si>
  <si>
    <t>PBV-PP13-01-11-18-02497</t>
  </si>
  <si>
    <t>01-01397</t>
  </si>
  <si>
    <t>PBV-PP13-01-11-18-02498</t>
  </si>
  <si>
    <t>12247</t>
  </si>
  <si>
    <t>PBV-PP13-01-11-18-02499</t>
  </si>
  <si>
    <t>12253</t>
  </si>
  <si>
    <t>PBV-PP13-01-11-18-02500</t>
  </si>
  <si>
    <t>12252</t>
  </si>
  <si>
    <t>PBV-PP13-01-11-18-02501</t>
  </si>
  <si>
    <t>12249</t>
  </si>
  <si>
    <t>PBV-PP13-01-11-18-02502</t>
  </si>
  <si>
    <t>01-0113</t>
  </si>
  <si>
    <t>PBV-PP13-01-11-18-02503</t>
  </si>
  <si>
    <t>02-0113</t>
  </si>
  <si>
    <t>PBV-PP13-01-11-18-02504</t>
  </si>
  <si>
    <t>296</t>
  </si>
  <si>
    <t>PBV-PP13-01-11-18-02505</t>
  </si>
  <si>
    <t>092</t>
  </si>
  <si>
    <t>PBV-PP13-01-11-18-02506</t>
  </si>
  <si>
    <t>1386</t>
  </si>
  <si>
    <t>PBV-PP13-01-11-18-02507</t>
  </si>
  <si>
    <t>750</t>
  </si>
  <si>
    <t>PBV-PP13-01-11-18-02508</t>
  </si>
  <si>
    <t>PBV-PP13-01-11-18-02509</t>
  </si>
  <si>
    <t>21209</t>
  </si>
  <si>
    <t>PBV-PP13-01-11-18-02510</t>
  </si>
  <si>
    <t>21210</t>
  </si>
  <si>
    <t>PBV-PP13-01-11-18-02511</t>
  </si>
  <si>
    <t>21235</t>
  </si>
  <si>
    <t>PBV-PP13-01-11-18-02512</t>
  </si>
  <si>
    <t>21236</t>
  </si>
  <si>
    <t>PBV-PP13-01-11-18-02513</t>
  </si>
  <si>
    <t>21238</t>
  </si>
  <si>
    <t>PBV-PP13-01-11-18-02514</t>
  </si>
  <si>
    <t>21234</t>
  </si>
  <si>
    <t>PBV-PP13-01-11-18-02515</t>
  </si>
  <si>
    <t>21237</t>
  </si>
  <si>
    <t>PBV-PP13-01-11-18-02516</t>
  </si>
  <si>
    <t>0900</t>
  </si>
  <si>
    <t>PBV-PP13-01-11-18-02517</t>
  </si>
  <si>
    <t>0447</t>
  </si>
  <si>
    <t>PBV-PP13-01-11-18-02518</t>
  </si>
  <si>
    <t>057</t>
  </si>
  <si>
    <t>PBV-PP13-01-11-18-02519</t>
  </si>
  <si>
    <t>00265</t>
  </si>
  <si>
    <t>PBV-PP13-01-11-18-02520</t>
  </si>
  <si>
    <t>PBV-PP13-01-11-18-02521</t>
  </si>
  <si>
    <t>33291</t>
  </si>
  <si>
    <t>PBV-PP13-01-11-18-02522</t>
  </si>
  <si>
    <t>PBV-PP13-01-11-18-02523</t>
  </si>
  <si>
    <t>547</t>
  </si>
  <si>
    <t>PBV-PP13-01-11-18-02524</t>
  </si>
  <si>
    <t>0562</t>
  </si>
  <si>
    <t>PBV-PP13-01-11-18-02525</t>
  </si>
  <si>
    <t>PBV-PP13-01-11-18-02526</t>
  </si>
  <si>
    <t>PBV-PP13-01-11-18-02527</t>
  </si>
  <si>
    <t>Sup-0008</t>
  </si>
  <si>
    <t>YAWAR ENGINEERING COMPANY</t>
  </si>
  <si>
    <t>SUP-0086</t>
  </si>
  <si>
    <t>HUSAINI STATIONERY MART.</t>
  </si>
  <si>
    <t>SUP-0088</t>
  </si>
  <si>
    <t>BERGER PAINTS PAKISTAN LIMITED</t>
  </si>
  <si>
    <t>SUP-0102</t>
  </si>
  <si>
    <t>N. HASSANALI IMPEX</t>
  </si>
  <si>
    <t>SUP-0103</t>
  </si>
  <si>
    <t>DADA PRINTERS.</t>
  </si>
  <si>
    <t>SUP-0108</t>
  </si>
  <si>
    <t>AL-MUSTAFA PACKAGES</t>
  </si>
  <si>
    <t>SUP-0109</t>
  </si>
  <si>
    <t>METAPREP (PVT)LIMITED.,</t>
  </si>
  <si>
    <t>SUP-0133</t>
  </si>
  <si>
    <t>SHELL PAKISTAN LIMITED</t>
  </si>
  <si>
    <t>SUP-0138</t>
  </si>
  <si>
    <t>OMEGA ENTERPRISES</t>
  </si>
  <si>
    <t>SUP-0139</t>
  </si>
  <si>
    <t>FATEMI PAINT &amp; HARDWARE STORE.</t>
  </si>
  <si>
    <t>SUP-0167</t>
  </si>
  <si>
    <t>M.SHARIF &amp; COMPANY</t>
  </si>
  <si>
    <t>SUP-0216</t>
  </si>
  <si>
    <t>FACET FABRICATORS</t>
  </si>
  <si>
    <t>SUP-0250</t>
  </si>
  <si>
    <t>ATTOCK   ASSOCIATES.</t>
  </si>
  <si>
    <t>SUP-0253</t>
  </si>
  <si>
    <t>ABDULLAH GOODS TRANSPORT SERVICE</t>
  </si>
  <si>
    <t>SUP-0300</t>
  </si>
  <si>
    <t>JAWAID &amp; BROTHERS GOODS TRANSPORT CO.</t>
  </si>
  <si>
    <t>SUP-0439</t>
  </si>
  <si>
    <t>SAQIB TRADERS</t>
  </si>
  <si>
    <t>SUP-0481</t>
  </si>
  <si>
    <t>PRIME PACKAGING</t>
  </si>
  <si>
    <t>SUP-0611</t>
  </si>
  <si>
    <t>INDUSTRIAL SUPPLIES</t>
  </si>
  <si>
    <t>SUP-0631</t>
  </si>
  <si>
    <t>GHULAM HUSSAIN NOOR BAHI FUS &amp; SONS</t>
  </si>
  <si>
    <t>SUP-0798</t>
  </si>
  <si>
    <t>MERIN (PVT)LTD.,</t>
  </si>
  <si>
    <t>SUP-0942</t>
  </si>
  <si>
    <t>PAKISTAN TELECOMMUNICATION COMPANY LTD.</t>
  </si>
  <si>
    <t>SUP-0991</t>
  </si>
  <si>
    <t>TIMES BUSINESS AIDS</t>
  </si>
  <si>
    <t>SUP-1063</t>
  </si>
  <si>
    <t>DADEX ETERNIT LTD,.</t>
  </si>
  <si>
    <t>SUP-1212</t>
  </si>
  <si>
    <t>SHAHID GOODS TRANSPORT SERVICES</t>
  </si>
  <si>
    <t>SUP-1224</t>
  </si>
  <si>
    <t>AL-AMMAR TRADING COMPANY</t>
  </si>
  <si>
    <t>SUP-1235</t>
  </si>
  <si>
    <t>CHEVRON PAKISTAN LIMITED</t>
  </si>
  <si>
    <t>SUP-1302</t>
  </si>
  <si>
    <t>INTERTRADE DISTRIBUTORS (PRIVATE) LIMITED</t>
  </si>
  <si>
    <t>SUP-1307</t>
  </si>
  <si>
    <t>M.TAUFIQ ENTERPRISES</t>
  </si>
  <si>
    <t>SUP-1423</t>
  </si>
  <si>
    <t>FATIMA COMPUTERS</t>
  </si>
  <si>
    <t>SUP-1437</t>
  </si>
  <si>
    <t>MOOSA TRADING CO.</t>
  </si>
  <si>
    <t>SUP-1480</t>
  </si>
  <si>
    <t>MAQBOOL GOODS TRANSPORT SERVICES.</t>
  </si>
  <si>
    <t>SUP-1501</t>
  </si>
  <si>
    <t>JOTUN POWDER COATINGS PAKISTAN (PVT) LIMITED</t>
  </si>
  <si>
    <t>SUP-1510</t>
  </si>
  <si>
    <t>KANSAI PAINT ( PVT ) LIMITED</t>
  </si>
  <si>
    <t>SUP-1552</t>
  </si>
  <si>
    <t>FAIR PACK INTERNATIONAL</t>
  </si>
  <si>
    <t>SUP-1557</t>
  </si>
  <si>
    <t>GLOBLE MARKETING</t>
  </si>
  <si>
    <t>SUP-1578</t>
  </si>
  <si>
    <t>AL-YOUSUF PAPER PRODUCTS</t>
  </si>
  <si>
    <t>SUP-1599</t>
  </si>
  <si>
    <t>RAMEEZ RIND GOODS TRANSPORT</t>
  </si>
  <si>
    <t>SUP-1616</t>
  </si>
  <si>
    <t>AS ENTERPRISES</t>
  </si>
  <si>
    <t>SUP-1727</t>
  </si>
  <si>
    <t>DECENT ENTERPRISES</t>
  </si>
  <si>
    <t>SUP-1753</t>
  </si>
  <si>
    <t>BALOCHISTAN ENGINEERING WORKS LIMITED - CWH</t>
  </si>
  <si>
    <t>SUP-1801</t>
  </si>
  <si>
    <t>WELL LUBRICANT MARKETING</t>
  </si>
  <si>
    <t>SUP-1919</t>
  </si>
  <si>
    <t>ADNAN BEARING STORE</t>
  </si>
  <si>
    <t>SUP-1927</t>
  </si>
  <si>
    <t>NIPPON PAINT PAKISTAN (PVT) LTD</t>
  </si>
  <si>
    <t>SUP-1949</t>
  </si>
  <si>
    <t>NEXUS INTERNATIONAL COMPANY</t>
  </si>
  <si>
    <t>SUP-2027</t>
  </si>
  <si>
    <t>INDUSTRIAL LUBRICANTS</t>
  </si>
  <si>
    <t>SUP-2030</t>
  </si>
  <si>
    <t>AKZO NOBLE PAKISTAN LIMITED</t>
  </si>
  <si>
    <t>DBN-GS12-01-11-19-00021</t>
  </si>
  <si>
    <t>GS</t>
  </si>
  <si>
    <t>LLC-GS12-01-01-19-00003</t>
  </si>
  <si>
    <t>60268 (JAWAID &amp; BROS)</t>
  </si>
  <si>
    <t>DBN-GS12-01-11-19-00022</t>
  </si>
  <si>
    <t>DBN-GS12-01-11-19-00045</t>
  </si>
  <si>
    <t>DBN-GS12-01-11-19-00048</t>
  </si>
  <si>
    <t>DBN-GS13-01-11-19-00022</t>
  </si>
  <si>
    <t>LLC-GS13-01-01-19-00021</t>
  </si>
  <si>
    <t>67509 (JAWAID &amp; BROTHERS)</t>
  </si>
  <si>
    <t>DBN-GS13-01-11-19-00023</t>
  </si>
  <si>
    <t>LLC-GS13-01-01-19-00024</t>
  </si>
  <si>
    <t>DBN-GS13-01-11-19-00024</t>
  </si>
  <si>
    <t>PBV-GS12-01-11-19-00027</t>
  </si>
  <si>
    <t>jul-11</t>
  </si>
  <si>
    <t>PBV-GS12-01-11-19-00063</t>
  </si>
  <si>
    <t>584</t>
  </si>
  <si>
    <t>LLC-GS12-01-01-19-00005</t>
  </si>
  <si>
    <t>JV-12-01-01-19-00153</t>
  </si>
  <si>
    <t>59259</t>
  </si>
  <si>
    <t>PBV-GS12-01-11-19-00112</t>
  </si>
  <si>
    <t>Sup-1753</t>
  </si>
  <si>
    <t>00001</t>
  </si>
  <si>
    <t>PBV-GS12-01-11-19-00126</t>
  </si>
  <si>
    <t>1</t>
  </si>
  <si>
    <t>LLC-GS12-01-01-19-00007</t>
  </si>
  <si>
    <t>JV-12-01-01-19-00067</t>
  </si>
  <si>
    <t>59259 (JAWAID BROTHERS)</t>
  </si>
  <si>
    <t>PBV-GS12-01-11-19-00129</t>
  </si>
  <si>
    <t>PBV-GS12-01-11-19-00198</t>
  </si>
  <si>
    <t>SEP-11</t>
  </si>
  <si>
    <t>PBV-GS12-01-11-19-00260</t>
  </si>
  <si>
    <t>8</t>
  </si>
  <si>
    <t>LLC-GS12-01-01-19-00001</t>
  </si>
  <si>
    <t>JV-12-01-01-19-00125</t>
  </si>
  <si>
    <t>60268 (JAWED &amp; BROS)</t>
  </si>
  <si>
    <t>PBV-GS12-01-11-19-00293</t>
  </si>
  <si>
    <t>oct-11</t>
  </si>
  <si>
    <t>PBV-GS12-01-11-19-00386</t>
  </si>
  <si>
    <t>nov-11</t>
  </si>
  <si>
    <t>PBV-GS12-01-11-19-00396</t>
  </si>
  <si>
    <t>PBV-GS12-01-11-19-00408</t>
  </si>
  <si>
    <t>JV-12-01-01-19-00053</t>
  </si>
  <si>
    <t>PBV-GS12-01-11-19-00419</t>
  </si>
  <si>
    <t>dec-11</t>
  </si>
  <si>
    <t>PBV-GS12-01-11-19-00449</t>
  </si>
  <si>
    <t>90073491</t>
  </si>
  <si>
    <t>POL-GS12-01-11-19-0144</t>
  </si>
  <si>
    <t>PBV-GS12-01-11-19-00503</t>
  </si>
  <si>
    <t>JAN-12</t>
  </si>
  <si>
    <t>PBV-GS12-01-11-19-00505</t>
  </si>
  <si>
    <t>45</t>
  </si>
  <si>
    <t>LLC-GS12-01-01-19-00018</t>
  </si>
  <si>
    <t>PBV-GS12-01-11-19-00508</t>
  </si>
  <si>
    <t>42</t>
  </si>
  <si>
    <t>JV-12-01-01-19-00167</t>
  </si>
  <si>
    <t>PBV-GS12-01-11-19-00571</t>
  </si>
  <si>
    <t>LLC-GS12-01-01-19-00014</t>
  </si>
  <si>
    <t>JV-12-01-01-19-00157</t>
  </si>
  <si>
    <t>60268 (JAWAID &amp; BROTHERS)</t>
  </si>
  <si>
    <t>PBV-GS12-01-11-19-00572</t>
  </si>
  <si>
    <t>JV-12-01-01-19-00161</t>
  </si>
  <si>
    <t>PBV-GS12-01-11-19-00599</t>
  </si>
  <si>
    <t>feb-12</t>
  </si>
  <si>
    <t>PBV-GS12-01-11-19-00604</t>
  </si>
  <si>
    <t>0003134</t>
  </si>
  <si>
    <t>LLC-GS13-01-01-19-00018</t>
  </si>
  <si>
    <t>PBV-GS12-01-11-19-00617</t>
  </si>
  <si>
    <t>8192103461</t>
  </si>
  <si>
    <t>LLC-GS13-01-01-19-00006</t>
  </si>
  <si>
    <t>PBV-GS12-01-11-19-00618</t>
  </si>
  <si>
    <t>8192103685</t>
  </si>
  <si>
    <t>PBV-GS12-01-11-19-00626</t>
  </si>
  <si>
    <t>914697642</t>
  </si>
  <si>
    <t>MF-GS12-01-01-19-00017</t>
  </si>
  <si>
    <t>JV-12-01-01-19-00093</t>
  </si>
  <si>
    <t>PBV-GS12-01-11-19-00629</t>
  </si>
  <si>
    <t>8192104033</t>
  </si>
  <si>
    <t>PBV-GS12-01-11-19-00678</t>
  </si>
  <si>
    <t>MAR-12</t>
  </si>
  <si>
    <t>PBV-GS12-01-11-19-00693</t>
  </si>
  <si>
    <t>8192105622</t>
  </si>
  <si>
    <t>LLC-GS13-01-01-19-00017</t>
  </si>
  <si>
    <t>JV-13-01-01-19-00043</t>
  </si>
  <si>
    <t>65607 (NIPPON PAINTS)</t>
  </si>
  <si>
    <t>PBV-GS12-01-11-19-00694</t>
  </si>
  <si>
    <t>SIL-00001</t>
  </si>
  <si>
    <t>PBV-GS12-01-11-19-00712</t>
  </si>
  <si>
    <t>LLC-GS12-01-01-19-00026</t>
  </si>
  <si>
    <t>JV-12-01-01-19-00191</t>
  </si>
  <si>
    <t>62913 (JAWAID &amp; BROTHERS)</t>
  </si>
  <si>
    <t>PBV-GS12-01-11-19-00731</t>
  </si>
  <si>
    <t>apr-12</t>
  </si>
  <si>
    <t>PBV-GS12-01-11-19-00753</t>
  </si>
  <si>
    <t xml:space="preserve">8192709019 </t>
  </si>
  <si>
    <t>PBV-GS12-01-11-19-00754</t>
  </si>
  <si>
    <t>8192109018</t>
  </si>
  <si>
    <t>PBV-GS12-01-11-19-00755</t>
  </si>
  <si>
    <t>8192109158</t>
  </si>
  <si>
    <t>PBV-GS12-01-11-19-00757</t>
  </si>
  <si>
    <t>SI/2012-00008556</t>
  </si>
  <si>
    <t>PBV-GS12-01-11-19-00772</t>
  </si>
  <si>
    <t>LLC-GS12-01-01-19-00025</t>
  </si>
  <si>
    <t>JV-12-01-01-19-00185</t>
  </si>
  <si>
    <t>PBV-GS12-01-11-19-00801</t>
  </si>
  <si>
    <t>APR-12</t>
  </si>
  <si>
    <t>PBV-GS12-01-11-19-00802</t>
  </si>
  <si>
    <t>MAY-12</t>
  </si>
  <si>
    <t>PBV-GS12-01-11-19-00805</t>
  </si>
  <si>
    <t>T-GS13-01-11-19-01090</t>
  </si>
  <si>
    <t>IDHO-17399</t>
  </si>
  <si>
    <t>PBV-GS12-01-11-19-00822</t>
  </si>
  <si>
    <t>00089901</t>
  </si>
  <si>
    <t>PBV-GS12-01-11-19-00851</t>
  </si>
  <si>
    <t>8192110691</t>
  </si>
  <si>
    <t>PBV-GS12-01-11-19-00852</t>
  </si>
  <si>
    <t>8192113336</t>
  </si>
  <si>
    <t>PBV-GS12-01-11-19-00853</t>
  </si>
  <si>
    <t>8192113598</t>
  </si>
  <si>
    <t>PBV-GS12-01-11-19-00855</t>
  </si>
  <si>
    <t xml:space="preserve">8192112504   </t>
  </si>
  <si>
    <t>PBV-GS12-01-11-19-00856</t>
  </si>
  <si>
    <t>819211320</t>
  </si>
  <si>
    <t>PBV-GS12-01-11-19-00857</t>
  </si>
  <si>
    <t>8192112505</t>
  </si>
  <si>
    <t>PBV-GS12-01-11-19-00883</t>
  </si>
  <si>
    <t>914728564</t>
  </si>
  <si>
    <t>POL-GS12-01-11-19-0472</t>
  </si>
  <si>
    <t>PBV-GS12-01-11-19-00892</t>
  </si>
  <si>
    <t xml:space="preserve">7167 </t>
  </si>
  <si>
    <t>PBV-GS12-01-11-19-00899</t>
  </si>
  <si>
    <t>june-12</t>
  </si>
  <si>
    <t>PBV-GS12-01-11-19-00909</t>
  </si>
  <si>
    <t>9180425696</t>
  </si>
  <si>
    <t>POL-GS12-01-11-19-0474</t>
  </si>
  <si>
    <t>PBV-GS12-01-11-19-00920</t>
  </si>
  <si>
    <t>may-12</t>
  </si>
  <si>
    <t>PBV-GS12-01-11-19-00925</t>
  </si>
  <si>
    <t xml:space="preserve">00015280 </t>
  </si>
  <si>
    <t>PBV-GS12-01-11-19-00948</t>
  </si>
  <si>
    <t>jun-12</t>
  </si>
  <si>
    <t>T-GS13-01-11-19-01081</t>
  </si>
  <si>
    <t>IDHO-17391</t>
  </si>
  <si>
    <t>PBV-GS12-01-11-19-00954</t>
  </si>
  <si>
    <t>PBV-GS12-01-11-19-00955</t>
  </si>
  <si>
    <t>PBV-GS13-01-11-19-00002</t>
  </si>
  <si>
    <t>JULY-12</t>
  </si>
  <si>
    <t>PBV-GS13-01-11-19-00021</t>
  </si>
  <si>
    <t>T-GS13-01-11-19-01101</t>
  </si>
  <si>
    <t>IDHO-17395</t>
  </si>
  <si>
    <t>PBV-GS13-01-11-19-00025</t>
  </si>
  <si>
    <t>00016846</t>
  </si>
  <si>
    <t>PBV-GS13-01-11-19-00026</t>
  </si>
  <si>
    <t>00018103</t>
  </si>
  <si>
    <t>PBV-GS13-01-11-19-00027</t>
  </si>
  <si>
    <t>00017978</t>
  </si>
  <si>
    <t>PBV-GS13-01-11-19-00032</t>
  </si>
  <si>
    <t>8192118326</t>
  </si>
  <si>
    <t>PBV-GS13-01-11-19-00033</t>
  </si>
  <si>
    <t>8192119054</t>
  </si>
  <si>
    <t>PBV-GS13-01-11-19-00036</t>
  </si>
  <si>
    <t>00017895</t>
  </si>
  <si>
    <t>PBV-GS13-01-11-19-00039</t>
  </si>
  <si>
    <t>8192121074</t>
  </si>
  <si>
    <t>PBV-GS13-01-11-19-00040</t>
  </si>
  <si>
    <t>8192120037</t>
  </si>
  <si>
    <t>PBV-GS13-01-11-19-00045</t>
  </si>
  <si>
    <t>JUN-12</t>
  </si>
  <si>
    <t>PBV-GS13-01-11-19-00059</t>
  </si>
  <si>
    <t>T-GS13-01-11-19-01082</t>
  </si>
  <si>
    <t>PBV-GS13-01-11-19-00063</t>
  </si>
  <si>
    <t>PBV-GS13-01-11-19-00068</t>
  </si>
  <si>
    <t>7195</t>
  </si>
  <si>
    <t>PBV-GS13-01-11-19-00074</t>
  </si>
  <si>
    <t>PBV-GS13-01-11-19-00085</t>
  </si>
  <si>
    <t>PBV-GS13-01-11-19-00094</t>
  </si>
  <si>
    <t>00018436</t>
  </si>
  <si>
    <t>PBV-GS13-01-11-19-00095</t>
  </si>
  <si>
    <t>18955</t>
  </si>
  <si>
    <t>PBV-GS13-01-11-19-00096</t>
  </si>
  <si>
    <t>00018764</t>
  </si>
  <si>
    <t>PBV-GS13-01-11-19-00097</t>
  </si>
  <si>
    <t>00019254</t>
  </si>
  <si>
    <t>PBV-GS13-01-11-19-00100</t>
  </si>
  <si>
    <t>T-GS13-01-11-19-01102</t>
  </si>
  <si>
    <t>PBV-GS13-01-11-19-00102</t>
  </si>
  <si>
    <t>1161</t>
  </si>
  <si>
    <t>T-GS13-01-11-19-01091</t>
  </si>
  <si>
    <t>PBV-GS13-01-11-19-00103</t>
  </si>
  <si>
    <t>PBV-GS13-01-11-19-00111</t>
  </si>
  <si>
    <t>8192122821</t>
  </si>
  <si>
    <t>PBV-GS13-01-11-19-00116</t>
  </si>
  <si>
    <t>T-GS13-01-11-19-01076</t>
  </si>
  <si>
    <t>IDHO-17386</t>
  </si>
  <si>
    <t>PBV-GS13-01-11-19-00118</t>
  </si>
  <si>
    <t>8192121657</t>
  </si>
  <si>
    <t>PBV-GS13-01-11-19-00123</t>
  </si>
  <si>
    <t>PBV-GS13-01-11-19-00125</t>
  </si>
  <si>
    <t>795</t>
  </si>
  <si>
    <t>PBV-GS13-01-11-19-00129</t>
  </si>
  <si>
    <t>PBV-GS13-01-11-19-00130</t>
  </si>
  <si>
    <t>PBV-GS13-01-11-19-00131</t>
  </si>
  <si>
    <t>135</t>
  </si>
  <si>
    <t>PBV-GS13-01-11-19-00134</t>
  </si>
  <si>
    <t>T-GS13-01-11-19-01083</t>
  </si>
  <si>
    <t>PBV-GS13-01-11-19-00136</t>
  </si>
  <si>
    <t>PBV-GS13-01-11-19-00137</t>
  </si>
  <si>
    <t>PBV-GS13-01-11-19-00142</t>
  </si>
  <si>
    <t>O-22</t>
  </si>
  <si>
    <t>T-GS13-01-11-19-01227</t>
  </si>
  <si>
    <t>IDHO-17509</t>
  </si>
  <si>
    <t>PBV-GS13-01-11-19-00144</t>
  </si>
  <si>
    <t>92</t>
  </si>
  <si>
    <t>PBV-GS13-01-11-19-00145</t>
  </si>
  <si>
    <t>13834</t>
  </si>
  <si>
    <t>T-GS13-01-11-19-01104</t>
  </si>
  <si>
    <t>IDHO-17400</t>
  </si>
  <si>
    <t>PBV-GS13-01-11-19-00149</t>
  </si>
  <si>
    <t>1557</t>
  </si>
  <si>
    <t>T-GS13-01-11-19-01228</t>
  </si>
  <si>
    <t>PBV-GS13-01-11-19-00150</t>
  </si>
  <si>
    <t>PBV-GS13-01-11-19-00151</t>
  </si>
  <si>
    <t>PBV-GS13-01-11-19-00152</t>
  </si>
  <si>
    <t>00022527</t>
  </si>
  <si>
    <t>PBV-GS13-01-11-19-00159</t>
  </si>
  <si>
    <t>3905</t>
  </si>
  <si>
    <t>T-GS13-01-11-19-01107</t>
  </si>
  <si>
    <t>IDHO-17397</t>
  </si>
  <si>
    <t>PBV-GS13-01-11-19-00163</t>
  </si>
  <si>
    <t>T-GS13-01-11-19-01079</t>
  </si>
  <si>
    <t>PBV-GS13-01-11-19-00164</t>
  </si>
  <si>
    <t>393</t>
  </si>
  <si>
    <t>PBV-GS13-01-11-19-00165</t>
  </si>
  <si>
    <t>PBV-GS13-01-11-19-00166</t>
  </si>
  <si>
    <t>7232</t>
  </si>
  <si>
    <t>PBV-GS13-01-11-19-00167</t>
  </si>
  <si>
    <t>17363</t>
  </si>
  <si>
    <t>PBV-GS13-01-11-19-00171</t>
  </si>
  <si>
    <t>14202</t>
  </si>
  <si>
    <t>T-GS13-01-11-19-01105</t>
  </si>
  <si>
    <t>PBV-GS13-01-11-19-00172</t>
  </si>
  <si>
    <t>8192126207</t>
  </si>
  <si>
    <t>PBV-GS13-01-11-19-00174</t>
  </si>
  <si>
    <t>17344</t>
  </si>
  <si>
    <t>PBV-GS13-01-11-19-00175</t>
  </si>
  <si>
    <t>381</t>
  </si>
  <si>
    <t>PBV-GS13-01-11-19-00185</t>
  </si>
  <si>
    <t>820</t>
  </si>
  <si>
    <t>PBV-GS13-01-11-19-00189</t>
  </si>
  <si>
    <t>482</t>
  </si>
  <si>
    <t>PBV-GS13-01-11-19-00190</t>
  </si>
  <si>
    <t>PBV-GS13-01-11-19-00191</t>
  </si>
  <si>
    <t>PBV-GS13-01-11-19-00196</t>
  </si>
  <si>
    <t>PBV-GS13-01-11-19-00199</t>
  </si>
  <si>
    <t>T-GS13-01-11-19-01084</t>
  </si>
  <si>
    <t>PBV-GS13-01-11-19-00200</t>
  </si>
  <si>
    <t>T-GS13-01-11-19-01085</t>
  </si>
  <si>
    <t>PBV-GS13-01-11-19-00201</t>
  </si>
  <si>
    <t>SEP-12</t>
  </si>
  <si>
    <t>PBV-GS13-01-11-19-00202</t>
  </si>
  <si>
    <t>PBV-GS13-01-11-19-00211</t>
  </si>
  <si>
    <t>2649</t>
  </si>
  <si>
    <t>PBV-GS13-01-11-19-00212</t>
  </si>
  <si>
    <t>1229</t>
  </si>
  <si>
    <t>PBV-GS13-01-11-19-00213</t>
  </si>
  <si>
    <t>3964</t>
  </si>
  <si>
    <t>PBV-GS13-01-11-19-00214</t>
  </si>
  <si>
    <t>324</t>
  </si>
  <si>
    <t>PBV-GS13-01-11-19-00221</t>
  </si>
  <si>
    <t>025551</t>
  </si>
  <si>
    <t>PBV-GS13-01-11-19-00222</t>
  </si>
  <si>
    <t>023836</t>
  </si>
  <si>
    <t>PBV-GS13-01-11-19-00223</t>
  </si>
  <si>
    <t>026410</t>
  </si>
  <si>
    <t>PBV-GS13-01-11-19-00224</t>
  </si>
  <si>
    <t>026408</t>
  </si>
  <si>
    <t>PBV-GS13-01-11-19-00226</t>
  </si>
  <si>
    <t>7256</t>
  </si>
  <si>
    <t>PBV-GS13-01-11-19-00227</t>
  </si>
  <si>
    <t>PBV-GS13-01-11-19-00228</t>
  </si>
  <si>
    <t>232</t>
  </si>
  <si>
    <t>PBV-GS13-01-11-19-00231</t>
  </si>
  <si>
    <t>PBV-GS13-01-11-19-00232</t>
  </si>
  <si>
    <t>LSL-21978</t>
  </si>
  <si>
    <t>T-GS13-01-11-19-01243</t>
  </si>
  <si>
    <t>IDHO-17526</t>
  </si>
  <si>
    <t>PBV-GS13-01-11-19-00233</t>
  </si>
  <si>
    <t>7257</t>
  </si>
  <si>
    <t>PBV-GS13-01-11-19-00234</t>
  </si>
  <si>
    <t>000186</t>
  </si>
  <si>
    <t>PBV-GS13-01-11-19-00235</t>
  </si>
  <si>
    <t>000187</t>
  </si>
  <si>
    <t>PBV-GS13-01-11-19-00238</t>
  </si>
  <si>
    <t>10408</t>
  </si>
  <si>
    <t>PBV-GS13-01-11-19-00239</t>
  </si>
  <si>
    <t xml:space="preserve">250 </t>
  </si>
  <si>
    <t>PBV-GS13-01-11-19-00240</t>
  </si>
  <si>
    <t>00024889</t>
  </si>
  <si>
    <t>PBV-GS13-01-11-19-00241</t>
  </si>
  <si>
    <t>00026314</t>
  </si>
  <si>
    <t>PBV-GS13-01-11-19-00243</t>
  </si>
  <si>
    <t>24410</t>
  </si>
  <si>
    <t>PBV-GS13-01-11-19-00244</t>
  </si>
  <si>
    <t>PBV-GS13-01-11-19-00245</t>
  </si>
  <si>
    <t>PBV-GS13-01-11-19-00246</t>
  </si>
  <si>
    <t>T-GS13-01-11-19-01086</t>
  </si>
  <si>
    <t>PBV-GS13-01-11-19-00247</t>
  </si>
  <si>
    <t>T-GS13-01-11-19-01087</t>
  </si>
  <si>
    <t>PBV-GS13-01-11-19-00248</t>
  </si>
  <si>
    <t>1019</t>
  </si>
  <si>
    <t>PBV-GS13-01-11-19-00249</t>
  </si>
  <si>
    <t>PBV-GS13-01-11-19-00251</t>
  </si>
  <si>
    <t>144</t>
  </si>
  <si>
    <t>PBV-GS13-01-11-19-00252</t>
  </si>
  <si>
    <t>146</t>
  </si>
  <si>
    <t>PBV-GS13-01-11-19-00253</t>
  </si>
  <si>
    <t>PBV-GS13-01-11-19-00259</t>
  </si>
  <si>
    <t>947</t>
  </si>
  <si>
    <t>T-GS13-01-11-19-01192</t>
  </si>
  <si>
    <t>IDHO-17498</t>
  </si>
  <si>
    <t>PBV-GS13-01-11-19-00260</t>
  </si>
  <si>
    <t>PBV-GS13-01-11-19-00261</t>
  </si>
  <si>
    <t>PBV-GS13-01-11-19-00263</t>
  </si>
  <si>
    <t>T-GS13-01-11-19-01088</t>
  </si>
  <si>
    <t>PBV-GS13-01-11-19-00264</t>
  </si>
  <si>
    <t>T-GS13-01-11-19-01089</t>
  </si>
  <si>
    <t>PBV-GS13-01-11-19-00266</t>
  </si>
  <si>
    <t>121108900820</t>
  </si>
  <si>
    <t>PBV-GS13-01-11-19-00267</t>
  </si>
  <si>
    <t>121108900649</t>
  </si>
  <si>
    <t>PBV-GS13-01-11-19-00268</t>
  </si>
  <si>
    <t>121108900648</t>
  </si>
  <si>
    <t>PBV-GS13-01-11-19-00269</t>
  </si>
  <si>
    <t>842</t>
  </si>
  <si>
    <t>PBV-GS13-01-11-19-00271</t>
  </si>
  <si>
    <t>1275</t>
  </si>
  <si>
    <t>PBV-GS13-01-11-19-00273</t>
  </si>
  <si>
    <t>P-39</t>
  </si>
  <si>
    <t>PBV-GS13-01-11-19-00274</t>
  </si>
  <si>
    <t>00028062</t>
  </si>
  <si>
    <t>PBV-GS13-01-11-19-00275</t>
  </si>
  <si>
    <t>00028405</t>
  </si>
  <si>
    <t>PBV-GS13-01-11-19-00276</t>
  </si>
  <si>
    <t>00028415</t>
  </si>
  <si>
    <t>PBV-GS13-01-11-19-00277</t>
  </si>
  <si>
    <t>00027821</t>
  </si>
  <si>
    <t>PBV-GS13-01-11-19-00280</t>
  </si>
  <si>
    <t>00028779</t>
  </si>
  <si>
    <t>PBV-GS13-01-11-19-00283</t>
  </si>
  <si>
    <t>654</t>
  </si>
  <si>
    <t>PBV-GS13-01-11-19-00284</t>
  </si>
  <si>
    <t>121108900392</t>
  </si>
  <si>
    <t>PBV-GS13-01-11-19-00285</t>
  </si>
  <si>
    <t>121108900393</t>
  </si>
  <si>
    <t>PBV-GS13-01-11-19-00286</t>
  </si>
  <si>
    <t>PBV-GS13-01-11-19-00287</t>
  </si>
  <si>
    <t>PBV-GS13-01-11-19-00288</t>
  </si>
  <si>
    <t>121108900564</t>
  </si>
  <si>
    <t>PBV-GS13-01-11-19-00289</t>
  </si>
  <si>
    <t>121108900394</t>
  </si>
  <si>
    <t>PBV-GS13-01-11-19-00290</t>
  </si>
  <si>
    <t>121108900395</t>
  </si>
  <si>
    <t>PBV-GS13-01-11-19-00292</t>
  </si>
  <si>
    <t>2129</t>
  </si>
  <si>
    <t>PBV-GS13-01-11-19-00294</t>
  </si>
  <si>
    <t>sep-12</t>
  </si>
  <si>
    <t>PBV-GS13-01-11-19-00297</t>
  </si>
  <si>
    <t>121108901653</t>
  </si>
  <si>
    <t>PBV-GS13-01-11-19-00298</t>
  </si>
  <si>
    <t>12110891654</t>
  </si>
  <si>
    <t>PBV-GS13-01-11-19-00299</t>
  </si>
  <si>
    <t>121108901656</t>
  </si>
  <si>
    <t>PBV-GS13-01-11-19-00300</t>
  </si>
  <si>
    <t>121108901699</t>
  </si>
  <si>
    <t>PBV-GS13-01-11-19-00303</t>
  </si>
  <si>
    <t>2229</t>
  </si>
  <si>
    <t>PBV-GS13-01-11-19-00304</t>
  </si>
  <si>
    <t>Month of oct-12</t>
  </si>
  <si>
    <t>PBV-GS13-01-11-19-00305</t>
  </si>
  <si>
    <t>1629-50</t>
  </si>
  <si>
    <t>T-GS13-01-11-19-01238</t>
  </si>
  <si>
    <t>IDHO-17522</t>
  </si>
  <si>
    <t>PBV-GS13-01-11-19-00306</t>
  </si>
  <si>
    <t>24447</t>
  </si>
  <si>
    <t>PBV-GS13-01-11-19-00307</t>
  </si>
  <si>
    <t>00028738</t>
  </si>
  <si>
    <t>PBV-GS13-01-11-19-00311</t>
  </si>
  <si>
    <t>nov-12</t>
  </si>
  <si>
    <t>PBV-GS13-01-11-19-00312</t>
  </si>
  <si>
    <t>PBV-GS13-01-11-19-00313</t>
  </si>
  <si>
    <t>PBV-GS13-01-11-19-00314</t>
  </si>
  <si>
    <t>PBV-GS13-01-11-19-00315</t>
  </si>
  <si>
    <t>PBV-GS13-01-11-19-00316</t>
  </si>
  <si>
    <t>PBV-GS13-01-11-19-00317</t>
  </si>
  <si>
    <t>LSL-22098</t>
  </si>
  <si>
    <t>PBV-GS13-01-11-19-00321</t>
  </si>
  <si>
    <t>121208900033</t>
  </si>
  <si>
    <t>PBV-GS13-01-11-19-00322</t>
  </si>
  <si>
    <t>121208900371</t>
  </si>
  <si>
    <t>PBV-GS13-01-11-19-00323</t>
  </si>
  <si>
    <t>121208900708</t>
  </si>
  <si>
    <t>PBV-GS13-01-11-19-00324</t>
  </si>
  <si>
    <t>121208900830</t>
  </si>
  <si>
    <t>PBV-GS13-01-11-19-00325</t>
  </si>
  <si>
    <t>121208900829</t>
  </si>
  <si>
    <t>PBV-GS13-01-11-19-00326</t>
  </si>
  <si>
    <t>PBV-GS13-01-11-19-00327</t>
  </si>
  <si>
    <t>S5-000250</t>
  </si>
  <si>
    <t>PBV-GS13-01-11-19-00328</t>
  </si>
  <si>
    <t>S-000222</t>
  </si>
  <si>
    <t>PBV-GS13-01-11-19-00330</t>
  </si>
  <si>
    <t>121208900373</t>
  </si>
  <si>
    <t>PBV-GS13-01-11-19-00331</t>
  </si>
  <si>
    <t xml:space="preserve">00029810 </t>
  </si>
  <si>
    <t>PBV-GS13-01-11-19-00332</t>
  </si>
  <si>
    <t>00029874</t>
  </si>
  <si>
    <t>PBV-GS13-01-11-19-00333</t>
  </si>
  <si>
    <t xml:space="preserve">00029980 </t>
  </si>
  <si>
    <t>PBV-GS13-01-11-19-00334</t>
  </si>
  <si>
    <t>3305</t>
  </si>
  <si>
    <t>PBV-GS13-01-11-19-00335</t>
  </si>
  <si>
    <t xml:space="preserve">374  </t>
  </si>
  <si>
    <t>PBV-GS13-01-11-19-00336</t>
  </si>
  <si>
    <t>469</t>
  </si>
  <si>
    <t>PBV-GS13-01-11-19-00340</t>
  </si>
  <si>
    <t>083</t>
  </si>
  <si>
    <t>PBV-GS13-01-11-19-00341</t>
  </si>
  <si>
    <t>NOV-12</t>
  </si>
  <si>
    <t>PBV-GS13-01-11-19-00342</t>
  </si>
  <si>
    <t>PBV-GS13-01-11-19-00343</t>
  </si>
  <si>
    <t>AUG-12</t>
  </si>
  <si>
    <t>PBV-GS13-01-11-19-00344</t>
  </si>
  <si>
    <t>OCT-12</t>
  </si>
  <si>
    <t>PBV-GS13-01-11-19-00345</t>
  </si>
  <si>
    <t>PBV-GS13-01-11-19-00346</t>
  </si>
  <si>
    <t>PBV-GS13-01-11-19-00347</t>
  </si>
  <si>
    <t>17</t>
  </si>
  <si>
    <t>JV-13-01-01-19-00067</t>
  </si>
  <si>
    <t>PBV-GS13-01-11-19-00348</t>
  </si>
  <si>
    <t>3599</t>
  </si>
  <si>
    <t>PBV-GS13-01-11-19-00349</t>
  </si>
  <si>
    <t>3650</t>
  </si>
  <si>
    <t>PBV-GS13-01-11-19-00350</t>
  </si>
  <si>
    <t>PBV-GS13-01-11-19-00351</t>
  </si>
  <si>
    <t>2700</t>
  </si>
  <si>
    <t>PBV-GS13-01-11-19-00352</t>
  </si>
  <si>
    <t>000271</t>
  </si>
  <si>
    <t>PBV-GS13-01-11-19-00353</t>
  </si>
  <si>
    <t>Q-21</t>
  </si>
  <si>
    <t>PBV-GS13-01-11-19-00354</t>
  </si>
  <si>
    <t>17545</t>
  </si>
  <si>
    <t>PBV-GS13-01-11-19-00356</t>
  </si>
  <si>
    <t>121208901745</t>
  </si>
  <si>
    <t>PBV-GS13-01-11-19-00357</t>
  </si>
  <si>
    <t>121208901743</t>
  </si>
  <si>
    <t>PBV-GS13-01-11-19-00358</t>
  </si>
  <si>
    <t>PBV-GS13-01-11-19-00359</t>
  </si>
  <si>
    <t>121208900372</t>
  </si>
  <si>
    <t>PBV-GS13-01-11-19-00360</t>
  </si>
  <si>
    <t>121208901744</t>
  </si>
  <si>
    <t>PBV-GS13-01-11-19-00361</t>
  </si>
  <si>
    <t>121208901312</t>
  </si>
  <si>
    <t>PBV-GS13-01-11-19-00362</t>
  </si>
  <si>
    <t>121208901742</t>
  </si>
  <si>
    <t>PBV-GS13-01-11-19-00363</t>
  </si>
  <si>
    <t>121208901311</t>
  </si>
  <si>
    <t>PBV-GS13-01-11-19-00364</t>
  </si>
  <si>
    <t>PBV-GS13-01-11-19-00365</t>
  </si>
  <si>
    <t>00031271</t>
  </si>
  <si>
    <t>PBV-GS13-01-11-19-00366</t>
  </si>
  <si>
    <t>00030694</t>
  </si>
  <si>
    <t>PBV-GS13-01-11-19-00367</t>
  </si>
  <si>
    <t>00030663</t>
  </si>
  <si>
    <t>PBV-GS13-01-11-19-00368</t>
  </si>
  <si>
    <t>00030903</t>
  </si>
  <si>
    <t>PBV-GS13-01-11-19-00369</t>
  </si>
  <si>
    <t>00031114</t>
  </si>
  <si>
    <t>PBV-GS13-01-11-19-00370</t>
  </si>
  <si>
    <t>15710</t>
  </si>
  <si>
    <t>PBV-GS13-01-11-19-00371</t>
  </si>
  <si>
    <t>121208901309</t>
  </si>
  <si>
    <t>PBV-GS13-01-11-19-00372</t>
  </si>
  <si>
    <t>121208900828</t>
  </si>
  <si>
    <t>PBV-GS13-01-11-19-00373</t>
  </si>
  <si>
    <t>003</t>
  </si>
  <si>
    <t>PBV-GS13-01-11-19-00374</t>
  </si>
  <si>
    <t>DEC-12</t>
  </si>
  <si>
    <t>PBV-GS13-01-11-19-00375</t>
  </si>
  <si>
    <t>dec-12</t>
  </si>
  <si>
    <t>PBV-GS13-01-11-19-00376</t>
  </si>
  <si>
    <t>3176</t>
  </si>
  <si>
    <t>PBV-GS13-01-11-19-00377</t>
  </si>
  <si>
    <t>306</t>
  </si>
  <si>
    <t>PBV-GS13-01-11-19-00378</t>
  </si>
  <si>
    <t>304</t>
  </si>
  <si>
    <t>PBV-GS13-01-11-19-00380</t>
  </si>
  <si>
    <t>22</t>
  </si>
  <si>
    <t>PBV-GS13-01-11-19-00381</t>
  </si>
  <si>
    <t>21</t>
  </si>
  <si>
    <t>PBV-GS13-01-11-19-00382</t>
  </si>
  <si>
    <t>PBV-GS13-01-11-19-00383</t>
  </si>
  <si>
    <t>7</t>
  </si>
  <si>
    <t>PBV-GS13-01-11-19-00385</t>
  </si>
  <si>
    <t>147</t>
  </si>
  <si>
    <t>PBV-GS13-01-11-19-00386</t>
  </si>
  <si>
    <t>PBV-GS13-01-11-19-00387</t>
  </si>
  <si>
    <t>PBV-GS13-01-11-19-00388</t>
  </si>
  <si>
    <t>PBV-GS13-01-11-19-00389</t>
  </si>
  <si>
    <t>M/o Dec-12</t>
  </si>
  <si>
    <t>PBV-GS13-01-11-19-00390</t>
  </si>
  <si>
    <t>PBV-GS13-01-11-19-00391</t>
  </si>
  <si>
    <t>00032334</t>
  </si>
  <si>
    <t>PBV-GS13-01-11-19-00392</t>
  </si>
  <si>
    <t>00031562</t>
  </si>
  <si>
    <t>PBV-GS13-01-11-19-00393</t>
  </si>
  <si>
    <t>00031622</t>
  </si>
  <si>
    <t>PBV-GS13-01-11-19-00394</t>
  </si>
  <si>
    <t>00031766</t>
  </si>
  <si>
    <t>PBV-GS13-01-11-19-00395</t>
  </si>
  <si>
    <t>130108900266</t>
  </si>
  <si>
    <t>PBV-GS13-01-11-19-00396</t>
  </si>
  <si>
    <t>130108900264</t>
  </si>
  <si>
    <t>PBV-GS13-01-11-19-00397</t>
  </si>
  <si>
    <t>130108900263</t>
  </si>
  <si>
    <t>PBV-GS13-01-11-19-00398</t>
  </si>
  <si>
    <t>130108900265</t>
  </si>
  <si>
    <t>PBV-GS13-01-11-19-00399</t>
  </si>
  <si>
    <t>130108900274</t>
  </si>
  <si>
    <t>PBV-GS13-01-11-19-00401</t>
  </si>
  <si>
    <t>130108900006-0180</t>
  </si>
  <si>
    <t>PBV-GS13-01-11-19-00402</t>
  </si>
  <si>
    <t>000313</t>
  </si>
  <si>
    <t>PBV-GS13-01-11-19-00403</t>
  </si>
  <si>
    <t>276</t>
  </si>
  <si>
    <t>PBV-GS13-01-11-19-00404</t>
  </si>
  <si>
    <t>130108901006</t>
  </si>
  <si>
    <t>PBV-GS13-01-11-19-00405</t>
  </si>
  <si>
    <t>130108900852</t>
  </si>
  <si>
    <t>PBV-GS13-01-11-19-00406</t>
  </si>
  <si>
    <t>7291</t>
  </si>
  <si>
    <t>PBV-GS13-01-11-19-00407</t>
  </si>
  <si>
    <t>Q-87</t>
  </si>
  <si>
    <t>PBV-GS13-01-11-19-00408</t>
  </si>
  <si>
    <t>1365</t>
  </si>
  <si>
    <t>PBV-GS13-01-11-19-00409</t>
  </si>
  <si>
    <t>130108901243</t>
  </si>
  <si>
    <t>PBV-GS13-01-11-19-00410</t>
  </si>
  <si>
    <t>130108901244</t>
  </si>
  <si>
    <t>PBV-GS13-01-11-19-00411</t>
  </si>
  <si>
    <t>130108901245</t>
  </si>
  <si>
    <t>PBV-GS13-01-11-19-00412</t>
  </si>
  <si>
    <t>4335</t>
  </si>
  <si>
    <t>PBV-GS13-01-11-19-00413</t>
  </si>
  <si>
    <t>PBV-GS13-01-11-19-00415</t>
  </si>
  <si>
    <t>840369695</t>
  </si>
  <si>
    <t>PBV-GS13-01-11-19-00416</t>
  </si>
  <si>
    <t>840369694</t>
  </si>
  <si>
    <t>PBV-GS13-01-11-19-00417</t>
  </si>
  <si>
    <t>00033065</t>
  </si>
  <si>
    <t>PBV-GS13-01-11-19-00418</t>
  </si>
  <si>
    <t>260</t>
  </si>
  <si>
    <t>PBV-GS13-01-11-19-00419</t>
  </si>
  <si>
    <t>PBV-GS13-01-11-19-00420</t>
  </si>
  <si>
    <t>16277</t>
  </si>
  <si>
    <t>PBV-GS13-01-11-19-00421</t>
  </si>
  <si>
    <t>953</t>
  </si>
  <si>
    <t>PBV-GS13-01-11-19-00422</t>
  </si>
  <si>
    <t>jan-13</t>
  </si>
  <si>
    <t>PBV-GS13-01-11-19-00424</t>
  </si>
  <si>
    <t>00032419</t>
  </si>
  <si>
    <t>PBV-GS13-01-11-19-00425</t>
  </si>
  <si>
    <t>PBV-GS13-01-11-19-00426</t>
  </si>
  <si>
    <t>Balance Aging (PP)</t>
  </si>
  <si>
    <t>Balance Aging (GS)</t>
  </si>
  <si>
    <t>DBN-GS12-02-22-19-00024</t>
  </si>
  <si>
    <t>SUP-0343</t>
  </si>
  <si>
    <t>GOLD STAR ENTERPRISES</t>
  </si>
  <si>
    <t>DBN-GS12-02-22-19-00025</t>
  </si>
  <si>
    <t>DBN-GS12-02-22-19-00026</t>
  </si>
  <si>
    <t>DBN-GS12-02-22-19-00027</t>
  </si>
  <si>
    <t>SUP-1029</t>
  </si>
  <si>
    <t>WELCOME INDUSTRIAL SERVICES</t>
  </si>
  <si>
    <t>DBN-GS12-02-22-19-00028</t>
  </si>
  <si>
    <t>DBN-GS12-02-22-19-00029</t>
  </si>
  <si>
    <t>DBN-GS12-03-23-19-00005</t>
  </si>
  <si>
    <t>SUP-1493</t>
  </si>
  <si>
    <t>03</t>
  </si>
  <si>
    <t>DBN-GS12-03-23-19-00006</t>
  </si>
  <si>
    <t>DBN-GS12-03-23-19-00007</t>
  </si>
  <si>
    <t>DBN-GS12-03-23-19-00010</t>
  </si>
  <si>
    <t>DBN-GS12-03-23-19-00020</t>
  </si>
  <si>
    <t>DBN-GS12-04-24-19-00017</t>
  </si>
  <si>
    <t>SUP-0603</t>
  </si>
  <si>
    <t>MOHAMMAD HYAT LABOUR CONTRACTOR.</t>
  </si>
  <si>
    <t>DBN-GS12-04-24-19-00018</t>
  </si>
  <si>
    <t>DBN-GS13-01-21-19-00038</t>
  </si>
  <si>
    <t>T-GS13-01-21-19-01754</t>
  </si>
  <si>
    <t>IDHO-16865</t>
  </si>
  <si>
    <t>DBN-GS13-01-21-19-00054</t>
  </si>
  <si>
    <t>T-GS13-01-21-19-01755</t>
  </si>
  <si>
    <t>DBN-GS13-01-21-19-00071</t>
  </si>
  <si>
    <t>SUP-0049</t>
  </si>
  <si>
    <t>ABDULLAH GOODS TRANSPORT SERVICES</t>
  </si>
  <si>
    <t>DBN-GS13-01-21-19-00072</t>
  </si>
  <si>
    <t>T-GS13-01-21-19-01758</t>
  </si>
  <si>
    <t>DBN-GS13-01-21-19-00086</t>
  </si>
  <si>
    <t>SUP-0160</t>
  </si>
  <si>
    <t>ATTOCK ASSOCIATES</t>
  </si>
  <si>
    <t>DBN-GS13-01-21-19-00087</t>
  </si>
  <si>
    <t>DBN-GS13-01-21-19-00088</t>
  </si>
  <si>
    <t>SUP-0092</t>
  </si>
  <si>
    <t>T-GS13-01-21-19-01826</t>
  </si>
  <si>
    <t>AL-RAFIQ BROTHERS BUS SERVICE.</t>
  </si>
  <si>
    <t>IDHO-16908</t>
  </si>
  <si>
    <t>DBN-GS13-01-21-19-00089</t>
  </si>
  <si>
    <t>SUP-0883</t>
  </si>
  <si>
    <t>T-GS13-01-21-19-01847</t>
  </si>
  <si>
    <t>SASOLI BUS SERVICES</t>
  </si>
  <si>
    <t>IDHO-16913</t>
  </si>
  <si>
    <t>DBN-GS13-01-21-19-00090</t>
  </si>
  <si>
    <t>SUP-0110</t>
  </si>
  <si>
    <t>T-GS13-01-21-19-01842</t>
  </si>
  <si>
    <t>ALI MOHAMMED BALUCH .</t>
  </si>
  <si>
    <t>IDHO-16909</t>
  </si>
  <si>
    <t>DBN-GS13-01-21-19-00091</t>
  </si>
  <si>
    <t>T-GS13-01-21-19-01843</t>
  </si>
  <si>
    <t>DBN-GS13-01-21-19-00092</t>
  </si>
  <si>
    <t>T-GS13-01-21-19-01844</t>
  </si>
  <si>
    <t>DBN-GS13-01-21-19-00093</t>
  </si>
  <si>
    <t>SUP-0618</t>
  </si>
  <si>
    <t>T-GS13-01-21-19-01840</t>
  </si>
  <si>
    <t>MUHAMMAD MATEEN BUS SERVICES</t>
  </si>
  <si>
    <t>IDHO-16912</t>
  </si>
  <si>
    <t>DBN-GS13-01-21-19-00095</t>
  </si>
  <si>
    <t>SUP-1095</t>
  </si>
  <si>
    <t>T-GS13-01-21-19-01985</t>
  </si>
  <si>
    <t>MOHAMMAD UMER LABOUR CONTRACTOR</t>
  </si>
  <si>
    <t>IDHO-16956</t>
  </si>
  <si>
    <t>DBN-GS13-01-21-19-00096</t>
  </si>
  <si>
    <t>SUP-1587</t>
  </si>
  <si>
    <t>T-GS13-01-21-19-01995</t>
  </si>
  <si>
    <t>M.H ENTERPRISES</t>
  </si>
  <si>
    <t>IDHO-16959</t>
  </si>
  <si>
    <t>DBN-GS13-01-21-19-00097</t>
  </si>
  <si>
    <t>SUP-1586</t>
  </si>
  <si>
    <t>T-GS13-01-21-19-02025</t>
  </si>
  <si>
    <t>A.H.R ENTERPRISES</t>
  </si>
  <si>
    <t>IDHO-16961</t>
  </si>
  <si>
    <t>DBN-GS13-01-21-19-00098</t>
  </si>
  <si>
    <t>SUP-1361</t>
  </si>
  <si>
    <t>T-GS13-01-21-19-01998</t>
  </si>
  <si>
    <t>RHM ENTERPRISE</t>
  </si>
  <si>
    <t>IDHO-16957</t>
  </si>
  <si>
    <t>DBN-GS13-01-21-19-00099</t>
  </si>
  <si>
    <t>SUP-1718</t>
  </si>
  <si>
    <t>T-GS13-01-21-19-02019</t>
  </si>
  <si>
    <t>M.RAMEEZ ENTERPRISES</t>
  </si>
  <si>
    <t>IDHO-16962</t>
  </si>
  <si>
    <t>DBN-GS13-01-21-19-00100</t>
  </si>
  <si>
    <t>T-GS13-01-21-19-02020</t>
  </si>
  <si>
    <t>DBN-GS13-01-21-19-00101</t>
  </si>
  <si>
    <t>T-GS13-01-21-19-01986</t>
  </si>
  <si>
    <t>DBN-GS13-01-21-19-00102</t>
  </si>
  <si>
    <t>T-GS13-01-21-19-01987</t>
  </si>
  <si>
    <t>DBN-GS13-02-22-19-00075</t>
  </si>
  <si>
    <t>SUP-0342</t>
  </si>
  <si>
    <t>T-GS13-02-22-19-02004</t>
  </si>
  <si>
    <t>GOLD STAR ENTERPRISE</t>
  </si>
  <si>
    <t>IDHO-16952</t>
  </si>
  <si>
    <t>DBN-GS13-02-22-19-00076</t>
  </si>
  <si>
    <t>T-GS13-02-22-19-02005</t>
  </si>
  <si>
    <t>DBN-GS13-02-22-19-00077</t>
  </si>
  <si>
    <t>T-GS13-02-22-19-02006</t>
  </si>
  <si>
    <t>DBN-GS13-02-22-19-00078</t>
  </si>
  <si>
    <t>SUP-1028</t>
  </si>
  <si>
    <t>T-GS13-02-22-19-02008</t>
  </si>
  <si>
    <t>WELCOME INDUSTRIAL SERVICE</t>
  </si>
  <si>
    <t>IDHO-16954</t>
  </si>
  <si>
    <t>DBN-GS13-02-22-19-00079</t>
  </si>
  <si>
    <t>T-GS13-02-22-19-02009</t>
  </si>
  <si>
    <t>DBN-GS13-02-22-19-00080</t>
  </si>
  <si>
    <t>T-GS13-02-22-19-02010</t>
  </si>
  <si>
    <t>DBN-GS13-02-22-19-00081</t>
  </si>
  <si>
    <t>SUP-0298</t>
  </si>
  <si>
    <t>T-GS13-02-22-19-02012</t>
  </si>
  <si>
    <t>IDHO-16951</t>
  </si>
  <si>
    <t>DBN-GS13-02-22-19-00082</t>
  </si>
  <si>
    <t>T-GS13-02-22-19-02021</t>
  </si>
  <si>
    <t>DBN-GS13-02-22-19-00083</t>
  </si>
  <si>
    <t>T-GS13-02-22-19-01988</t>
  </si>
  <si>
    <t>DBN-GS13-03-23-19-00005</t>
  </si>
  <si>
    <t>DBN-GS13-03-23-19-00015</t>
  </si>
  <si>
    <t>DBN-GS13-03-23-19-00028</t>
  </si>
  <si>
    <t>T-GS13-03-23-19-01845</t>
  </si>
  <si>
    <t>DBN-GS13-03-23-19-00030</t>
  </si>
  <si>
    <t>T-GS13-03-23-19-02027</t>
  </si>
  <si>
    <t>DBN-GS13-03-23-19-00031</t>
  </si>
  <si>
    <t>T-GS13-03-23-19-01989</t>
  </si>
  <si>
    <t>DBN-GS13-04-24-19-00044</t>
  </si>
  <si>
    <t>SUP-0602</t>
  </si>
  <si>
    <t>T-GS13-04-24-19-02000</t>
  </si>
  <si>
    <t>MOHAMMAD HAYAT LABOUR CONTRACTOR</t>
  </si>
  <si>
    <t>IDHO-16953</t>
  </si>
  <si>
    <t>DBN-GS13-04-24-19-00045</t>
  </si>
  <si>
    <t>T-GS13-04-24-19-02001</t>
  </si>
  <si>
    <t>DBN-GS13-04-24-19-00046</t>
  </si>
  <si>
    <t>T-GS13-04-24-19-02002</t>
  </si>
  <si>
    <t>DBN-GS13-04-24-19-00047</t>
  </si>
  <si>
    <t>T-GS13-04-24-19-01990</t>
  </si>
  <si>
    <t>DBN-GS13-04-24-19-00048</t>
  </si>
  <si>
    <t>T-GS13-04-24-19-02023</t>
  </si>
  <si>
    <t>DBN-GS13-05-25-19-00015</t>
  </si>
  <si>
    <t>T-GS13-05-25-19-01991</t>
  </si>
  <si>
    <t>DBN-GS13-05-25-19-00016</t>
  </si>
  <si>
    <t>T-GS13-05-25-19-01992</t>
  </si>
  <si>
    <t>DBN-GS13-07-32-19-00010</t>
  </si>
  <si>
    <t>T-GS13-07-32-19-01993</t>
  </si>
  <si>
    <t>07</t>
  </si>
  <si>
    <t>PBV-GS12-01-01-21-00039</t>
  </si>
  <si>
    <t>SUP-0274</t>
  </si>
  <si>
    <t>692044/05/2012</t>
  </si>
  <si>
    <t>EFU GENERAL INSURANCE LTD.</t>
  </si>
  <si>
    <t>PBV-GS12-01-01-21-00041</t>
  </si>
  <si>
    <t>69319898/05/2012</t>
  </si>
  <si>
    <t>PBV-GS12-01-01-21-00042</t>
  </si>
  <si>
    <t>692105/06/2012</t>
  </si>
  <si>
    <t>PBV-GS12-01-01-21-00043</t>
  </si>
  <si>
    <t>6944942/06/2012</t>
  </si>
  <si>
    <t>PBV-GS12-01-21-05-00003</t>
  </si>
  <si>
    <t>SUP-0720</t>
  </si>
  <si>
    <t>JULY. 2011</t>
  </si>
  <si>
    <t>PAKISTAN TELECOMMUNICATION LTD.</t>
  </si>
  <si>
    <t>PBV-GS12-01-21-05-00043</t>
  </si>
  <si>
    <t>AUG-2011</t>
  </si>
  <si>
    <t>PBV-GS12-01-21-19-00060</t>
  </si>
  <si>
    <t>PBV-GS12-01-21-19-00088</t>
  </si>
  <si>
    <t>PBV-GS12-01-21-19-00121</t>
  </si>
  <si>
    <t>PBV-GS12-01-21-19-00151</t>
  </si>
  <si>
    <t>JUNE-12</t>
  </si>
  <si>
    <t>T-GS13-01-21-19-01750</t>
  </si>
  <si>
    <t>PBV-GS12-01-21-19-00153</t>
  </si>
  <si>
    <t>SUP-0893</t>
  </si>
  <si>
    <t>SHAHID GOODS TRANSPORT SERVICE</t>
  </si>
  <si>
    <t>PBV-GS12-02-22-05-00005</t>
  </si>
  <si>
    <t>PBV-GS12-02-22-05-00048</t>
  </si>
  <si>
    <t>PBV-GS12-02-22-19-00051</t>
  </si>
  <si>
    <t>PBV-GS12-02-22-19-00076</t>
  </si>
  <si>
    <t>SUP-0482</t>
  </si>
  <si>
    <t>L.I.E.D.A</t>
  </si>
  <si>
    <t>PBV-GS12-02-22-19-00077</t>
  </si>
  <si>
    <t>PBV-GS12-02-22-19-00099</t>
  </si>
  <si>
    <t>PBV-GS12-03-23-05-00004</t>
  </si>
  <si>
    <t>PBV-GS12-03-23-05-00034</t>
  </si>
  <si>
    <t>PBV-GS12-03-23-19-00047</t>
  </si>
  <si>
    <t>PBV-GS12-03-23-19-00060</t>
  </si>
  <si>
    <t>PBV-GS12-03-23-19-00062</t>
  </si>
  <si>
    <t>PBV-GS12-03-23-19-00080</t>
  </si>
  <si>
    <t>PBV-GS12-03-23-19-00095</t>
  </si>
  <si>
    <t>SUP-1391</t>
  </si>
  <si>
    <t>MAQBOOL GOODS TRANSPORT SERVICES</t>
  </si>
  <si>
    <t>PBV-GS12-04-24-05-00003</t>
  </si>
  <si>
    <t>PBV-GS12-04-24-05-00027</t>
  </si>
  <si>
    <t>PBV-GS12-04-24-19-00040</t>
  </si>
  <si>
    <t>PBV-GS12-04-24-19-00053</t>
  </si>
  <si>
    <t>PBV-GS12-04-24-19-00054</t>
  </si>
  <si>
    <t>PBV-GS12-04-24-19-00073</t>
  </si>
  <si>
    <t>PBV-GS12-05-25-05-00005</t>
  </si>
  <si>
    <t>JULY, 2011</t>
  </si>
  <si>
    <t>PBV-GS12-05-25-05-00015</t>
  </si>
  <si>
    <t>SUP-1241</t>
  </si>
  <si>
    <t>09</t>
  </si>
  <si>
    <t>KARACHI STEEL TRADERS</t>
  </si>
  <si>
    <t>LLC-GS12-01-01-19-00050</t>
  </si>
  <si>
    <t>LC# 66418/2011-12</t>
  </si>
  <si>
    <t>PBV-GS12-05-25-05-00036</t>
  </si>
  <si>
    <t>1112000049</t>
  </si>
  <si>
    <t>STEELEX (PVT) LTD</t>
  </si>
  <si>
    <t>PBV-GS12-05-25-05-00095</t>
  </si>
  <si>
    <t>PBV-GS12-05-25-05-00272</t>
  </si>
  <si>
    <t>SUP-0364</t>
  </si>
  <si>
    <t>067</t>
  </si>
  <si>
    <t>HAJI ABDUL SATTAR &amp; CO</t>
  </si>
  <si>
    <t>LLC-GS12-01-01-19-00006</t>
  </si>
  <si>
    <t>59661/2011-12</t>
  </si>
  <si>
    <t>PBV-GS12-05-25-05-00332</t>
  </si>
  <si>
    <t>PBV-GS12-05-25-05-00705</t>
  </si>
  <si>
    <t>SUP-0905</t>
  </si>
  <si>
    <t>9180299969</t>
  </si>
  <si>
    <t>SHELL PAKISTAN LIMITED.</t>
  </si>
  <si>
    <t>POL-GS12-05-25-05-0426</t>
  </si>
  <si>
    <t>PBV-GS12-05-25-05-00720</t>
  </si>
  <si>
    <t>POL-GS12-05-25-05-0503</t>
  </si>
  <si>
    <t>PBV-GS12-05-25-05-00741</t>
  </si>
  <si>
    <t>POL-GS12-05-25-05-0604</t>
  </si>
  <si>
    <t>PBV-GS12-05-25-05-00766</t>
  </si>
  <si>
    <t>SUP-1453</t>
  </si>
  <si>
    <t>PRECISION ENGINEERING COMPLEX</t>
  </si>
  <si>
    <t>PBV-GS12-05-25-05-00783</t>
  </si>
  <si>
    <t>SUP-0737</t>
  </si>
  <si>
    <t>26900</t>
  </si>
  <si>
    <t>PEOPLES STEEL MILLS LIMITED.</t>
  </si>
  <si>
    <t>POL-GS12-05-25-05-0212</t>
  </si>
  <si>
    <t>PBV-GS12-05-25-05-00841</t>
  </si>
  <si>
    <t>POL-GS12-05-25-05-0709</t>
  </si>
  <si>
    <t>PBV-GS12-05-25-05-00906</t>
  </si>
  <si>
    <t>1112001154</t>
  </si>
  <si>
    <t>POL-GS12-05-25-05-0606</t>
  </si>
  <si>
    <t>PBV-GS12-05-25-05-00907</t>
  </si>
  <si>
    <t>PBV-GS12-05-25-05-00908</t>
  </si>
  <si>
    <t>1112001169</t>
  </si>
  <si>
    <t>POL-GS12-05-25-05-0708</t>
  </si>
  <si>
    <t>PBV-GS12-05-25-05-00909</t>
  </si>
  <si>
    <t>PBV-GS12-05-25-05-00945</t>
  </si>
  <si>
    <t>39613</t>
  </si>
  <si>
    <t>PBV-GS12-05-25-05-00953</t>
  </si>
  <si>
    <t>POL-GS12-05-25-05-0787</t>
  </si>
  <si>
    <t>PBV-GS12-05-25-05-01062</t>
  </si>
  <si>
    <t>9180348171</t>
  </si>
  <si>
    <t>POL-GS12-05-25-05-0866</t>
  </si>
  <si>
    <t>PBV-GS12-05-25-05-01066</t>
  </si>
  <si>
    <t>SUP-1088</t>
  </si>
  <si>
    <t>914678498</t>
  </si>
  <si>
    <t>POL-GS12-05-25-05-0920</t>
  </si>
  <si>
    <t>PBV-GS12-05-25-05-01071</t>
  </si>
  <si>
    <t>SUP-0243</t>
  </si>
  <si>
    <t>593</t>
  </si>
  <si>
    <t>CREST ENGINEERING &amp; FABRICATORS</t>
  </si>
  <si>
    <t>PBV-GS12-05-25-05-01084</t>
  </si>
  <si>
    <t>914683062</t>
  </si>
  <si>
    <t>POL-GS12-05-25-05-0962</t>
  </si>
  <si>
    <t>PBV-GS12-05-25-05-01087</t>
  </si>
  <si>
    <t>33176</t>
  </si>
  <si>
    <t>POL-GS12-05-25-05-0921</t>
  </si>
  <si>
    <t>PBV-GS12-05-25-05-01092</t>
  </si>
  <si>
    <t>SUP-1648</t>
  </si>
  <si>
    <t>STEEL CENTRE</t>
  </si>
  <si>
    <t>MF-GS12-01-01-19-00066</t>
  </si>
  <si>
    <t>JV-12-01-01-19-00325</t>
  </si>
  <si>
    <t>MF (STEEL CENTRE)</t>
  </si>
  <si>
    <t>PBV-GS12-05-25-05-01116</t>
  </si>
  <si>
    <t>1112001697</t>
  </si>
  <si>
    <t>PBV-GS12-05-25-05-01132</t>
  </si>
  <si>
    <t>9180360484</t>
  </si>
  <si>
    <t>POL-GS12-05-25-05-0948</t>
  </si>
  <si>
    <t>PBV-GS12-05-25-05-01158</t>
  </si>
  <si>
    <t>33257</t>
  </si>
  <si>
    <t>PBV-GS12-05-25-05-01259</t>
  </si>
  <si>
    <t>27861</t>
  </si>
  <si>
    <t>PBV-GS12-05-25-05-01260</t>
  </si>
  <si>
    <t>27860</t>
  </si>
  <si>
    <t>PBV-GS12-05-25-19-00018</t>
  </si>
  <si>
    <t>SUP-0731</t>
  </si>
  <si>
    <t>110394</t>
  </si>
  <si>
    <t>T-GS13-05-25-19-01907</t>
  </si>
  <si>
    <t>PANWELD ENTERPRISES</t>
  </si>
  <si>
    <t>IDHO-16922</t>
  </si>
  <si>
    <t>PBV-GS12-05-25-19-00028</t>
  </si>
  <si>
    <t>SUP-1686</t>
  </si>
  <si>
    <t>IDREES STEEL CO.</t>
  </si>
  <si>
    <t>MF-GS12-01-01-19-00064</t>
  </si>
  <si>
    <t>JV-12-01-01-19-00249</t>
  </si>
  <si>
    <t>MF (IDREES STEEL CO.)</t>
  </si>
  <si>
    <t>PBV-GS12-05-25-19-00054</t>
  </si>
  <si>
    <t>SUP-1107</t>
  </si>
  <si>
    <t>3844</t>
  </si>
  <si>
    <t>SUN METAL INDUSTRIES</t>
  </si>
  <si>
    <t>LLC-GS12-01-01-19-00034</t>
  </si>
  <si>
    <t>JV-13-01-01-19-00171</t>
  </si>
  <si>
    <t>PBV-GS12-05-25-19-00063</t>
  </si>
  <si>
    <t>LLC-GS12-01-01-19-00022</t>
  </si>
  <si>
    <t>PBV-GS12-05-25-19-00089</t>
  </si>
  <si>
    <t>4554</t>
  </si>
  <si>
    <t>T-GS13-05-25-19-01712</t>
  </si>
  <si>
    <t>SAIFY TRADERS</t>
  </si>
  <si>
    <t>IDHO-16836</t>
  </si>
  <si>
    <t>PBV-GS12-05-25-19-00110</t>
  </si>
  <si>
    <t>SUP-0539</t>
  </si>
  <si>
    <t>1351</t>
  </si>
  <si>
    <t>MF-GS13-01-01-19-00041</t>
  </si>
  <si>
    <t>PBV-GS12-05-25-19-00118</t>
  </si>
  <si>
    <t>1387</t>
  </si>
  <si>
    <t>PBV-GS12-05-25-19-00120</t>
  </si>
  <si>
    <t>28276</t>
  </si>
  <si>
    <t>PBV-GS12-05-25-19-00125</t>
  </si>
  <si>
    <t>110464</t>
  </si>
  <si>
    <t>T-GS13-05-25-19-01908</t>
  </si>
  <si>
    <t>PBV-GS12-05-25-19-00129</t>
  </si>
  <si>
    <t>808</t>
  </si>
  <si>
    <t>PBV-GS12-05-25-19-00138</t>
  </si>
  <si>
    <t>SUP-1367</t>
  </si>
  <si>
    <t>T-GS13-05-25-19-00916</t>
  </si>
  <si>
    <t>HIJAZ CERAMICS</t>
  </si>
  <si>
    <t>IDHO-16861</t>
  </si>
  <si>
    <t>PBV-GS12-05-25-19-00139</t>
  </si>
  <si>
    <t>T-GS13-05-25-19-00917</t>
  </si>
  <si>
    <t>PBV-GS12-05-25-19-00149</t>
  </si>
  <si>
    <t>1401</t>
  </si>
  <si>
    <t>PBV-GS12-05-25-19-00154</t>
  </si>
  <si>
    <t>PBV-GS12-05-25-19-00169</t>
  </si>
  <si>
    <t>SUP-1452</t>
  </si>
  <si>
    <t>242</t>
  </si>
  <si>
    <t>T-GS13-05-25-19-01967</t>
  </si>
  <si>
    <t>METRO TRADERS</t>
  </si>
  <si>
    <t>IDHO-16944</t>
  </si>
  <si>
    <t>PBV-GS12-05-25-19-00170</t>
  </si>
  <si>
    <t>244</t>
  </si>
  <si>
    <t>T-GS13-05-25-19-01968</t>
  </si>
  <si>
    <t>PBV-GS12-05-25-19-00171</t>
  </si>
  <si>
    <t>T-GS13-05-25-19-01969</t>
  </si>
  <si>
    <t>PBV-GS12-05-25-19-00172</t>
  </si>
  <si>
    <t>T-GS13-05-25-19-01970</t>
  </si>
  <si>
    <t>PBV-GS12-05-25-19-00173</t>
  </si>
  <si>
    <t>T-GS13-05-25-19-01971</t>
  </si>
  <si>
    <t>PBV-GS12-05-25-19-00174</t>
  </si>
  <si>
    <t>T-GS13-05-25-19-01972</t>
  </si>
  <si>
    <t>PBV-GS12-05-25-19-00175</t>
  </si>
  <si>
    <t>T-GS13-05-25-19-01973</t>
  </si>
  <si>
    <t>PBV-GS12-05-25-19-00185</t>
  </si>
  <si>
    <t>T-GS13-05-25-19-01975</t>
  </si>
  <si>
    <t>PBV-GS12-05-25-19-00186</t>
  </si>
  <si>
    <t>T-GS13-05-25-19-01974</t>
  </si>
  <si>
    <t>PBV-GS12-05-25-19-00195</t>
  </si>
  <si>
    <t>POL-GS12-05-25-19-0051</t>
  </si>
  <si>
    <t>PBV-GS12-05-25-19-00198</t>
  </si>
  <si>
    <t>PBV-GS12-05-25-19-00199</t>
  </si>
  <si>
    <t>SUP-0996</t>
  </si>
  <si>
    <t>TUBE TRADERS.</t>
  </si>
  <si>
    <t>MF-GS13-01-01-19-00030</t>
  </si>
  <si>
    <t>JV-13-01-01-19-00101</t>
  </si>
  <si>
    <t>MF (TUBE TRADERS)</t>
  </si>
  <si>
    <t>PBV-GS12-05-25-19-00235</t>
  </si>
  <si>
    <t>PBV-GS12-05-25-19-00251</t>
  </si>
  <si>
    <t>11961</t>
  </si>
  <si>
    <t>T-GS13-05-25-19-01732</t>
  </si>
  <si>
    <t>IDHO-16855</t>
  </si>
  <si>
    <t>PBV-GS12-05-25-19-00257</t>
  </si>
  <si>
    <t>PBV-GS12-05-25-19-00274</t>
  </si>
  <si>
    <t>SUP-0632</t>
  </si>
  <si>
    <t>10051</t>
  </si>
  <si>
    <t>PBV-GS12-05-25-19-00275</t>
  </si>
  <si>
    <t>10052</t>
  </si>
  <si>
    <t>PBV-GS12-05-25-19-00276</t>
  </si>
  <si>
    <t>10050</t>
  </si>
  <si>
    <t>PBV-GS12-05-25-19-00289</t>
  </si>
  <si>
    <t>T-GS13-05-25-19-01733</t>
  </si>
  <si>
    <t>PBV-GS12-05-25-19-00293</t>
  </si>
  <si>
    <t>SUP-1750</t>
  </si>
  <si>
    <t>M/S AHMED ASSOCIATES</t>
  </si>
  <si>
    <t>MF-GS13-01-01-19-00001</t>
  </si>
  <si>
    <t>JV-13-01-01-19-00001</t>
  </si>
  <si>
    <t>PBV-GS12-05-25-19-00294</t>
  </si>
  <si>
    <t>PBV-GS12-05-25-19-00303</t>
  </si>
  <si>
    <t>JV-13-01-01-19-00109</t>
  </si>
  <si>
    <t>LC# 60267/2011-12</t>
  </si>
  <si>
    <t>PBV-GS12-05-25-19-00304</t>
  </si>
  <si>
    <t>5941</t>
  </si>
  <si>
    <t>LLC-GS13-01-01-19-00019</t>
  </si>
  <si>
    <t>JV-13-01-01-19-00113</t>
  </si>
  <si>
    <t>LC# 60267</t>
  </si>
  <si>
    <t>PBV-GS12-05-25-19-00310</t>
  </si>
  <si>
    <t>4635</t>
  </si>
  <si>
    <t>PBV-GS12-05-25-19-00314</t>
  </si>
  <si>
    <t>9180418042</t>
  </si>
  <si>
    <t>POL-GS12-05-25-19-0233</t>
  </si>
  <si>
    <t>PBV-GS12-05-25-19-00315</t>
  </si>
  <si>
    <t>914714836</t>
  </si>
  <si>
    <t>POL-GS12-05-25-19-0137</t>
  </si>
  <si>
    <t>PBV-GS12-05-25-19-00316</t>
  </si>
  <si>
    <t>914719880</t>
  </si>
  <si>
    <t>POL-GS12-05-25-19-0223</t>
  </si>
  <si>
    <t>PBV-GS12-05-25-19-00323</t>
  </si>
  <si>
    <t>9180417857</t>
  </si>
  <si>
    <t>PBV-GS12-05-25-19-00328</t>
  </si>
  <si>
    <t>PBV-GS12-05-25-19-00329</t>
  </si>
  <si>
    <t>PBV-GS12-05-25-19-00330</t>
  </si>
  <si>
    <t>286</t>
  </si>
  <si>
    <t>PBV-GS12-05-25-19-00331</t>
  </si>
  <si>
    <t>294</t>
  </si>
  <si>
    <t>PBV-GS12-05-25-19-00332</t>
  </si>
  <si>
    <t>PBV-GS12-05-25-19-00333</t>
  </si>
  <si>
    <t>SUP-1745</t>
  </si>
  <si>
    <t>ABCO INTERNATIONAL CORPORATION</t>
  </si>
  <si>
    <t>MF-GS13-01-01-19-00005</t>
  </si>
  <si>
    <t>MF (ABCO INTERNATIONAL CORPORATION)</t>
  </si>
  <si>
    <t>PBV-GS12-05-25-19-00334</t>
  </si>
  <si>
    <t>B-1152</t>
  </si>
  <si>
    <t>PBV-GS12-05-25-19-00340</t>
  </si>
  <si>
    <t>SUP-1721</t>
  </si>
  <si>
    <t>SS12-0104546</t>
  </si>
  <si>
    <t>INTERNATIONAL STEELS LIMITED</t>
  </si>
  <si>
    <t>LLC-GS12-01-01-19-00044</t>
  </si>
  <si>
    <t>JV-13-01-01-19-00185</t>
  </si>
  <si>
    <t>PBV-GS12-05-25-19-00342</t>
  </si>
  <si>
    <t>SUP-1733</t>
  </si>
  <si>
    <t>T-GS13-05-25-19-01961</t>
  </si>
  <si>
    <t>SN-BROTHERS</t>
  </si>
  <si>
    <t>IDHO-16943</t>
  </si>
  <si>
    <t>PBV-GS12-05-25-19-00343</t>
  </si>
  <si>
    <t>019</t>
  </si>
  <si>
    <t>T-GS13-05-25-19-01960</t>
  </si>
  <si>
    <t>PBV-GS12-05-25-19-00344</t>
  </si>
  <si>
    <t>017</t>
  </si>
  <si>
    <t>T-GS13-05-25-19-01959</t>
  </si>
  <si>
    <t>PBV-GS12-05-25-19-00345</t>
  </si>
  <si>
    <t>T-GS13-05-25-19-01962</t>
  </si>
  <si>
    <t>PBV-GS12-05-25-19-00346</t>
  </si>
  <si>
    <t>T-GS13-05-25-19-01963</t>
  </si>
  <si>
    <t>PBV-GS12-05-25-19-00347</t>
  </si>
  <si>
    <t>T-GS13-05-25-19-01965</t>
  </si>
  <si>
    <t>PBV-GS12-05-25-19-00348</t>
  </si>
  <si>
    <t>T-GS13-05-25-19-01966</t>
  </si>
  <si>
    <t>PBV-GS12-05-25-19-00353</t>
  </si>
  <si>
    <t>B-1183</t>
  </si>
  <si>
    <t>PBV-GS12-05-25-19-00354</t>
  </si>
  <si>
    <t>T-GS13-05-25-19-01964</t>
  </si>
  <si>
    <t>PBV-GS12-05-25-19-00358</t>
  </si>
  <si>
    <t>0453</t>
  </si>
  <si>
    <t>LAKHANI TRADERS</t>
  </si>
  <si>
    <t>PBV-GS12-05-25-19-00359</t>
  </si>
  <si>
    <t>0435 &amp; 0442</t>
  </si>
  <si>
    <t>PBV-GS12-05-25-19-00360</t>
  </si>
  <si>
    <t>0430</t>
  </si>
  <si>
    <t>PBV-GS12-05-25-19-00361</t>
  </si>
  <si>
    <t>0441</t>
  </si>
  <si>
    <t>PBV-GS12-05-25-19-00364</t>
  </si>
  <si>
    <t>PBV-GS12-05-25-19-00371</t>
  </si>
  <si>
    <t>1562</t>
  </si>
  <si>
    <t>PBV-GS12-05-25-19-00376</t>
  </si>
  <si>
    <t>SUP-0986</t>
  </si>
  <si>
    <t>2534</t>
  </si>
  <si>
    <t>TMD INTERNATIONAL INC.</t>
  </si>
  <si>
    <t>MF-GS13-01-01-19-00029</t>
  </si>
  <si>
    <t>PBV-GS12-05-25-19-00378</t>
  </si>
  <si>
    <t>34286</t>
  </si>
  <si>
    <t>T-GS13-05-25-19-00421</t>
  </si>
  <si>
    <t>IDHO-16191</t>
  </si>
  <si>
    <t>PBV-GS12-05-25-19-00385</t>
  </si>
  <si>
    <t>10114</t>
  </si>
  <si>
    <t>PBV-GS12-05-25-19-00386</t>
  </si>
  <si>
    <t>10115</t>
  </si>
  <si>
    <t>PBV-GS12-05-25-19-00387</t>
  </si>
  <si>
    <t>10116</t>
  </si>
  <si>
    <t>PBV-GS12-05-25-19-00388</t>
  </si>
  <si>
    <t>10117</t>
  </si>
  <si>
    <t>PBV-GS12-05-25-19-00390</t>
  </si>
  <si>
    <t>28817</t>
  </si>
  <si>
    <t>T-GS13-05-25-19-00422</t>
  </si>
  <si>
    <t>PBV-GS12-05-25-19-00391</t>
  </si>
  <si>
    <t>SS12-0104620</t>
  </si>
  <si>
    <t>LLC-GS13-01-01-19-00026</t>
  </si>
  <si>
    <t>JV-13-01-01-19-00187</t>
  </si>
  <si>
    <t>LC# 64276</t>
  </si>
  <si>
    <t>PBV-GS12-05-25-19-00399</t>
  </si>
  <si>
    <t>914725560</t>
  </si>
  <si>
    <t>PBV-GS12-05-25-19-00400</t>
  </si>
  <si>
    <t>1549</t>
  </si>
  <si>
    <t>PBV-GS12-05-25-19-00401</t>
  </si>
  <si>
    <t>1538</t>
  </si>
  <si>
    <t>PBV-GS12-05-25-19-00403</t>
  </si>
  <si>
    <t>N / A</t>
  </si>
  <si>
    <t>PBV-GS12-05-25-19-00412</t>
  </si>
  <si>
    <t>SUP-0203</t>
  </si>
  <si>
    <t>061</t>
  </si>
  <si>
    <t>BUSHRA ENTERPRISES</t>
  </si>
  <si>
    <t>PBV-GS12-05-25-19-00413</t>
  </si>
  <si>
    <t>1838</t>
  </si>
  <si>
    <t>T-GS13-05-25-19-02029</t>
  </si>
  <si>
    <t>MUHAMMAD HUSSAIN &amp; BROTHERS</t>
  </si>
  <si>
    <t>IDHO-16970</t>
  </si>
  <si>
    <t>PBV-GS12-05-25-19-00417</t>
  </si>
  <si>
    <t>110530</t>
  </si>
  <si>
    <t>PBV-GS12-05-25-19-00419</t>
  </si>
  <si>
    <t>SS12-0104842</t>
  </si>
  <si>
    <t>PBV-GS12-05-25-19-00420</t>
  </si>
  <si>
    <t>SS12-0104737</t>
  </si>
  <si>
    <t>PBV-GS12-05-25-19-00452</t>
  </si>
  <si>
    <t>SUP-1375</t>
  </si>
  <si>
    <t>SICO-00002</t>
  </si>
  <si>
    <t>BALOCHISTAN ENG. WORKS LTD (UNIT TEL)</t>
  </si>
  <si>
    <t>PBV-GS12-05-25-19-00454</t>
  </si>
  <si>
    <t>SUP-1084</t>
  </si>
  <si>
    <t>8003</t>
  </si>
  <si>
    <t>MUSTANSIR TRADING COMPANY</t>
  </si>
  <si>
    <t>PBV-GS12-05-25-19-00455</t>
  </si>
  <si>
    <t>8004</t>
  </si>
  <si>
    <t>PBV-GS12-05-25-19-00456</t>
  </si>
  <si>
    <t>SICO-00001</t>
  </si>
  <si>
    <t>PBV-GS12-05-25-19-00457</t>
  </si>
  <si>
    <t>PBV-GS12-05-25-19-00458</t>
  </si>
  <si>
    <t>8002</t>
  </si>
  <si>
    <t>PBV-GS12-05-25-19-00459</t>
  </si>
  <si>
    <t>2745</t>
  </si>
  <si>
    <t>LLC-GS13-01-01-19-00030</t>
  </si>
  <si>
    <t>PBV-GS12-05-25-19-00463</t>
  </si>
  <si>
    <t>12729</t>
  </si>
  <si>
    <t>PBV-GS12-05-25-19-00465</t>
  </si>
  <si>
    <t>1587</t>
  </si>
  <si>
    <t>PBV-GS12-05-25-19-00468</t>
  </si>
  <si>
    <t>SS12-0104841</t>
  </si>
  <si>
    <t>PBV-GS12-05-25-19-00469</t>
  </si>
  <si>
    <t>1514</t>
  </si>
  <si>
    <t>LLC-GS13-01-01-19-00003</t>
  </si>
  <si>
    <t>PBV-GS12-05-25-19-00470</t>
  </si>
  <si>
    <t>1527</t>
  </si>
  <si>
    <t>PBV-GS12-05-25-19-00476</t>
  </si>
  <si>
    <t>SUP-0420</t>
  </si>
  <si>
    <t>339</t>
  </si>
  <si>
    <t>INDUSTRIAL SUPPLIES.</t>
  </si>
  <si>
    <t>MF-GS13-01-01-19-00050</t>
  </si>
  <si>
    <t>PBV-GS12-05-25-19-00485</t>
  </si>
  <si>
    <t>299</t>
  </si>
  <si>
    <t>PBV-GS12-05-25-19-00486</t>
  </si>
  <si>
    <t>305</t>
  </si>
  <si>
    <t>PBV-GS12-05-25-19-00487</t>
  </si>
  <si>
    <t>PBV-GS12-05-25-19-00488</t>
  </si>
  <si>
    <t>SUP-0094</t>
  </si>
  <si>
    <t>671</t>
  </si>
  <si>
    <t>T-GS13-05-25-19-01718</t>
  </si>
  <si>
    <t>IDHO-16847</t>
  </si>
  <si>
    <t>PBV-GS12-05-25-19-00489</t>
  </si>
  <si>
    <t>705</t>
  </si>
  <si>
    <t>T-GS13-05-25-19-01719</t>
  </si>
  <si>
    <t>PBV-GS12-05-25-19-00498</t>
  </si>
  <si>
    <t>PBV-GS12-05-25-19-00503</t>
  </si>
  <si>
    <t>B-1325</t>
  </si>
  <si>
    <t>T-GS13-05-25-19-01713</t>
  </si>
  <si>
    <t>IDHO-16839</t>
  </si>
  <si>
    <t>PBV-GS12-05-25-19-00504</t>
  </si>
  <si>
    <t>B-1419</t>
  </si>
  <si>
    <t>T-GS13-05-25-19-01714</t>
  </si>
  <si>
    <t>PBV-GS12-05-25-19-00505</t>
  </si>
  <si>
    <t>050</t>
  </si>
  <si>
    <t>PBV-GS12-05-25-19-00506</t>
  </si>
  <si>
    <t>053</t>
  </si>
  <si>
    <t>PBV-GS12-05-25-19-00507</t>
  </si>
  <si>
    <t>PBV-GS12-05-25-19-00508</t>
  </si>
  <si>
    <t>047</t>
  </si>
  <si>
    <t>PBV-GS12-05-25-19-00520</t>
  </si>
  <si>
    <t>SUP-1280</t>
  </si>
  <si>
    <t>Gp # 531</t>
  </si>
  <si>
    <t>HPH ENGINEERING</t>
  </si>
  <si>
    <t>MF-GS12-01-01-19-00047</t>
  </si>
  <si>
    <t>PBV-GS12-08-30-19-00060</t>
  </si>
  <si>
    <t>11635</t>
  </si>
  <si>
    <t>T-GS13-08-30-19-01730</t>
  </si>
  <si>
    <t>08</t>
  </si>
  <si>
    <t>PBV-GS12-08-30-19-00066</t>
  </si>
  <si>
    <t>11934</t>
  </si>
  <si>
    <t>T-GS13-08-30-19-01731</t>
  </si>
  <si>
    <t>PBV-GS12-08-30-19-00069</t>
  </si>
  <si>
    <t>9180405656</t>
  </si>
  <si>
    <t>PBV-GS12-08-30-19-00070</t>
  </si>
  <si>
    <t>PBV-GS13-01-01-19-00030</t>
  </si>
  <si>
    <t>PBV-GS13-01-01-19-00036</t>
  </si>
  <si>
    <t>SUP-0836</t>
  </si>
  <si>
    <t>10676</t>
  </si>
  <si>
    <t>S. P. STEEL CO.,</t>
  </si>
  <si>
    <t>LLC-GS13-01-01-19-00023</t>
  </si>
  <si>
    <t>LC# 67276/2011-12</t>
  </si>
  <si>
    <t>PBV-GS13-01-01-19-00053</t>
  </si>
  <si>
    <t>SUP-1610</t>
  </si>
  <si>
    <t>031819</t>
  </si>
  <si>
    <t>MANDVIWALLA TRAVELS</t>
  </si>
  <si>
    <t>PBV-GS13-01-01-19-00057</t>
  </si>
  <si>
    <t>3158</t>
  </si>
  <si>
    <t>T-GS13-01-01-19-01780</t>
  </si>
  <si>
    <t>IDHO-16875</t>
  </si>
  <si>
    <t>PBV-GS13-01-01-19-00080</t>
  </si>
  <si>
    <t>PBV-GS13-01-01-19-00093</t>
  </si>
  <si>
    <t>944</t>
  </si>
  <si>
    <t>PBV-GS13-01-01-19-00094</t>
  </si>
  <si>
    <t>SUP-1477</t>
  </si>
  <si>
    <t>BAALAY CARGO SERVICES</t>
  </si>
  <si>
    <t>PBV-GS13-01-01-19-00096</t>
  </si>
  <si>
    <t>SUP-0224</t>
  </si>
  <si>
    <t>00043</t>
  </si>
  <si>
    <t>T-GS13-01-01-19-01866</t>
  </si>
  <si>
    <t>CNPS ASSOCIATES (PVT) LIMITED</t>
  </si>
  <si>
    <t>IDHO-16919</t>
  </si>
  <si>
    <t>PBV-GS13-01-01-19-00097</t>
  </si>
  <si>
    <t>00044</t>
  </si>
  <si>
    <t>T-GS13-01-01-19-01867</t>
  </si>
  <si>
    <t>PBV-GS13-01-01-19-00098</t>
  </si>
  <si>
    <t>00049</t>
  </si>
  <si>
    <t>T-GS13-01-01-19-01868</t>
  </si>
  <si>
    <t>PBV-GS13-01-01-19-00099</t>
  </si>
  <si>
    <t>00050</t>
  </si>
  <si>
    <t>T-GS13-01-01-19-01869</t>
  </si>
  <si>
    <t>PBV-GS13-01-01-19-00100</t>
  </si>
  <si>
    <t>00051</t>
  </si>
  <si>
    <t>T-GS13-01-01-19-01870</t>
  </si>
  <si>
    <t>PBV-GS13-01-01-19-00101</t>
  </si>
  <si>
    <t>00052</t>
  </si>
  <si>
    <t>T-GS13-01-01-19-01871</t>
  </si>
  <si>
    <t>PBV-GS13-01-01-19-00102</t>
  </si>
  <si>
    <t>00046</t>
  </si>
  <si>
    <t>T-GS13-01-01-19-01872</t>
  </si>
  <si>
    <t>PBV-GS13-01-01-19-00103</t>
  </si>
  <si>
    <t>00047</t>
  </si>
  <si>
    <t>T-GS13-01-01-19-01873</t>
  </si>
  <si>
    <t>PBV-GS13-01-01-19-00104</t>
  </si>
  <si>
    <t>00048</t>
  </si>
  <si>
    <t>T-GS13-01-01-19-01874</t>
  </si>
  <si>
    <t>PBV-GS13-01-01-19-00105</t>
  </si>
  <si>
    <t>00045</t>
  </si>
  <si>
    <t>T-GS13-01-01-19-01875</t>
  </si>
  <si>
    <t>PBV-GS13-01-01-19-00106</t>
  </si>
  <si>
    <t>00053</t>
  </si>
  <si>
    <t>T-GS13-01-01-19-01876</t>
  </si>
  <si>
    <t>PBV-GS13-01-01-19-00111</t>
  </si>
  <si>
    <t>3164</t>
  </si>
  <si>
    <t>PBV-GS13-01-01-19-00113</t>
  </si>
  <si>
    <t>SUP-1314</t>
  </si>
  <si>
    <t>OOK1520282</t>
  </si>
  <si>
    <t>AGILITY LOGISTICS (PVT)  LTD</t>
  </si>
  <si>
    <t>PBV-GS13-01-01-19-00119</t>
  </si>
  <si>
    <t>PBV-GS13-01-01-19-00123</t>
  </si>
  <si>
    <t>00064</t>
  </si>
  <si>
    <t>T-GS13-01-01-19-01877</t>
  </si>
  <si>
    <t>PBV-GS13-01-01-19-00124</t>
  </si>
  <si>
    <t>00060</t>
  </si>
  <si>
    <t>T-GS13-01-01-19-01878</t>
  </si>
  <si>
    <t>PBV-GS13-01-01-19-00125</t>
  </si>
  <si>
    <t>00068</t>
  </si>
  <si>
    <t>T-GS13-01-01-19-01879</t>
  </si>
  <si>
    <t>PBV-GS13-01-01-19-00126</t>
  </si>
  <si>
    <t>00065</t>
  </si>
  <si>
    <t>T-GS13-01-01-19-01880</t>
  </si>
  <si>
    <t>PBV-GS13-01-01-19-00127</t>
  </si>
  <si>
    <t>00066</t>
  </si>
  <si>
    <t>T-GS13-01-01-19-01881</t>
  </si>
  <si>
    <t>PBV-GS13-01-01-19-00128</t>
  </si>
  <si>
    <t>00069</t>
  </si>
  <si>
    <t>T-GS13-01-01-19-01882</t>
  </si>
  <si>
    <t>PBV-GS13-01-01-19-00129</t>
  </si>
  <si>
    <t>00061</t>
  </si>
  <si>
    <t>T-GS13-01-01-19-01883</t>
  </si>
  <si>
    <t>PBV-GS13-01-01-19-00130</t>
  </si>
  <si>
    <t>00062</t>
  </si>
  <si>
    <t>T-GS13-01-01-19-01884</t>
  </si>
  <si>
    <t>PBV-GS13-01-01-19-00131</t>
  </si>
  <si>
    <t>00063</t>
  </si>
  <si>
    <t>T-GS13-01-01-19-01885</t>
  </si>
  <si>
    <t>PBV-GS13-01-01-19-00132</t>
  </si>
  <si>
    <t>00072</t>
  </si>
  <si>
    <t>T-GS13-01-01-19-01886</t>
  </si>
  <si>
    <t>PBV-GS13-01-01-19-00133</t>
  </si>
  <si>
    <t>00067</t>
  </si>
  <si>
    <t>T-GS13-01-01-19-01887</t>
  </si>
  <si>
    <t>PBV-GS13-01-01-19-00134</t>
  </si>
  <si>
    <t>00071</t>
  </si>
  <si>
    <t>T-GS13-01-01-19-01888</t>
  </si>
  <si>
    <t>PBV-GS13-01-01-19-00135</t>
  </si>
  <si>
    <t>00070</t>
  </si>
  <si>
    <t>T-GS13-01-01-19-01889</t>
  </si>
  <si>
    <t>PBV-GS13-01-01-19-00136</t>
  </si>
  <si>
    <t>PBV-GS13-01-01-19-00137</t>
  </si>
  <si>
    <t>3169</t>
  </si>
  <si>
    <t>PBV-GS13-01-01-19-00138</t>
  </si>
  <si>
    <t>3171</t>
  </si>
  <si>
    <t>PBV-GS13-01-01-19-00139</t>
  </si>
  <si>
    <t>3170</t>
  </si>
  <si>
    <t>PBV-GS13-01-01-19-00145</t>
  </si>
  <si>
    <t>SUP-1660</t>
  </si>
  <si>
    <t>HYPER ENGINEERING SERVICES</t>
  </si>
  <si>
    <t>PBV-GS13-01-01-19-00146</t>
  </si>
  <si>
    <t>SUP-0263</t>
  </si>
  <si>
    <t>KHII76296</t>
  </si>
  <si>
    <t>T-GS13-01-01-19-01977</t>
  </si>
  <si>
    <t>DHL PAKISTAN (PVT) LTD.</t>
  </si>
  <si>
    <t>IDHO-16949</t>
  </si>
  <si>
    <t>PBV-GS13-01-01-19-00147</t>
  </si>
  <si>
    <t>SUP-0934</t>
  </si>
  <si>
    <t>DEC-2012</t>
  </si>
  <si>
    <t>T-GS13-01-01-19-01927</t>
  </si>
  <si>
    <t>SUNDRY PAYABLE</t>
  </si>
  <si>
    <t>IDHO-16936</t>
  </si>
  <si>
    <t>PBV-GS13-01-01-19-00150</t>
  </si>
  <si>
    <t>JAN-2013</t>
  </si>
  <si>
    <t>T-GS13-01-01-19-01928</t>
  </si>
  <si>
    <t>PBV-GS13-01-01-19-00152</t>
  </si>
  <si>
    <t>00094</t>
  </si>
  <si>
    <t>T-GS13-01-01-19-01890</t>
  </si>
  <si>
    <t>PBV-GS13-01-01-19-00153</t>
  </si>
  <si>
    <t>SIL-00088</t>
  </si>
  <si>
    <t>T-GS13-01-01-19-01891</t>
  </si>
  <si>
    <t>PBV-GS13-01-01-19-00154</t>
  </si>
  <si>
    <t>SIL-00089</t>
  </si>
  <si>
    <t>T-GS13-01-01-19-01892</t>
  </si>
  <si>
    <t>PBV-GS13-01-01-19-00155</t>
  </si>
  <si>
    <t>SIL-00091</t>
  </si>
  <si>
    <t>T-GS13-01-01-19-01893</t>
  </si>
  <si>
    <t>PBV-GS13-01-01-19-00156</t>
  </si>
  <si>
    <t>SIL-00092</t>
  </si>
  <si>
    <t>T-GS13-01-01-19-01894</t>
  </si>
  <si>
    <t>PBV-GS13-01-01-19-00157</t>
  </si>
  <si>
    <t>SIL-00093</t>
  </si>
  <si>
    <t>T-GS13-01-01-19-01895</t>
  </si>
  <si>
    <t>PBV-GS13-01-01-19-00158</t>
  </si>
  <si>
    <t>SIL-00087</t>
  </si>
  <si>
    <t>T-GS13-01-01-19-01896</t>
  </si>
  <si>
    <t>PBV-GS13-01-01-19-00159</t>
  </si>
  <si>
    <t>SIL-00090</t>
  </si>
  <si>
    <t>T-GS13-01-01-19-01897</t>
  </si>
  <si>
    <t>PBV-GS13-01-01-19-00160</t>
  </si>
  <si>
    <t>3175</t>
  </si>
  <si>
    <t>PBV-GS13-01-01-19-00161</t>
  </si>
  <si>
    <t>JAN-13</t>
  </si>
  <si>
    <t>T-GS13-01-01-19-01919</t>
  </si>
  <si>
    <t>HAJI MEHERBAN SHAH &amp; ASSOCIATES</t>
  </si>
  <si>
    <t>IDHO-16929</t>
  </si>
  <si>
    <t>PBV-GS13-01-01-19-00163</t>
  </si>
  <si>
    <t>SUP-1744</t>
  </si>
  <si>
    <t>T-GS13-01-01-19-01920</t>
  </si>
  <si>
    <t>GHANI LAW ASSOCIATES</t>
  </si>
  <si>
    <t>IDHO-16930</t>
  </si>
  <si>
    <t>PBV-GS13-01-01-19-00164</t>
  </si>
  <si>
    <t>SUP-0072</t>
  </si>
  <si>
    <t>B-18/211</t>
  </si>
  <si>
    <t>AKBER G. MERCHANT &amp; CO.</t>
  </si>
  <si>
    <t>PBV-GS13-01-01-19-00166</t>
  </si>
  <si>
    <t>SUP-1711</t>
  </si>
  <si>
    <t>PBV-GS13-01-01-19-00167</t>
  </si>
  <si>
    <t>SUP-1687</t>
  </si>
  <si>
    <t>637</t>
  </si>
  <si>
    <t>MASTER PUBLICITY</t>
  </si>
  <si>
    <t>PBV-GS13-01-01-19-00168</t>
  </si>
  <si>
    <t>0050-54</t>
  </si>
  <si>
    <t>PBV-GS13-01-01-19-00169</t>
  </si>
  <si>
    <t>KHII77071</t>
  </si>
  <si>
    <t>PBV-GS13-01-01-19-00170</t>
  </si>
  <si>
    <t>HAROON ZAKARIA &amp; COMPANY</t>
  </si>
  <si>
    <t>PBV-GS13-01-01-19-00171</t>
  </si>
  <si>
    <t>KHII77431</t>
  </si>
  <si>
    <t>PBV-GS13-01-01-21-00001</t>
  </si>
  <si>
    <t>692149/07/2012</t>
  </si>
  <si>
    <t>PBV-GS13-01-01-21-00004</t>
  </si>
  <si>
    <t>69320231/08/2012</t>
  </si>
  <si>
    <t>PBV-GS13-01-01-21-00005</t>
  </si>
  <si>
    <t>69320232/08/2012</t>
  </si>
  <si>
    <t>PBV-GS13-01-01-21-00006</t>
  </si>
  <si>
    <t>69320233/08/2012</t>
  </si>
  <si>
    <t>PBV-GS13-01-01-21-00007</t>
  </si>
  <si>
    <t>69320234/08/2012</t>
  </si>
  <si>
    <t>PBV-GS13-01-01-21-00008</t>
  </si>
  <si>
    <t>69320235/08/2012</t>
  </si>
  <si>
    <t>PBV-GS13-01-01-21-00009</t>
  </si>
  <si>
    <t>69320236/08/2012</t>
  </si>
  <si>
    <t>PBV-GS13-01-01-21-00010</t>
  </si>
  <si>
    <t>69320237/08/2012</t>
  </si>
  <si>
    <t>PBV-GS13-01-01-21-00011</t>
  </si>
  <si>
    <t>69320239/08/2012</t>
  </si>
  <si>
    <t>PBV-GS13-01-01-21-00012</t>
  </si>
  <si>
    <t>69320240/08/2012</t>
  </si>
  <si>
    <t>PBV-GS13-01-01-21-00013</t>
  </si>
  <si>
    <t>69320241/08/2012</t>
  </si>
  <si>
    <t>PBV-GS13-01-01-21-00014</t>
  </si>
  <si>
    <t>69320242/08/2012</t>
  </si>
  <si>
    <t>PBV-GS13-01-01-21-00015</t>
  </si>
  <si>
    <t>PBV-GS13-01-01-21-00016</t>
  </si>
  <si>
    <t>692190/08/2012</t>
  </si>
  <si>
    <t>PBV-GS13-01-01-21-00017</t>
  </si>
  <si>
    <t>692191/08/2012</t>
  </si>
  <si>
    <t>PBV-GS13-01-01-21-00018</t>
  </si>
  <si>
    <t>69439408/08/2012</t>
  </si>
  <si>
    <t>PBV-GS13-01-01-21-00019</t>
  </si>
  <si>
    <t>69439409/08/2012</t>
  </si>
  <si>
    <t>PBV-GS13-01-01-21-00020</t>
  </si>
  <si>
    <t>692203/09/2012</t>
  </si>
  <si>
    <t>PBV-GS13-01-01-21-00021</t>
  </si>
  <si>
    <t>6946237/09/2012</t>
  </si>
  <si>
    <t>PBV-GS13-01-01-21-00022</t>
  </si>
  <si>
    <t>269102237/10/2012</t>
  </si>
  <si>
    <t>PBV-GS13-01-01-21-00023</t>
  </si>
  <si>
    <t>6935721/09/2012</t>
  </si>
  <si>
    <t>PBV-GS13-01-01-21-00024</t>
  </si>
  <si>
    <t>6935722/09/2012</t>
  </si>
  <si>
    <t>PBV-GS13-01-01-21-00026</t>
  </si>
  <si>
    <t>26912249/11/2012</t>
  </si>
  <si>
    <t>PBV-GS13-01-01-21-00027</t>
  </si>
  <si>
    <t>269406744/11/2012</t>
  </si>
  <si>
    <t>PBV-GS13-01-01-21-00028</t>
  </si>
  <si>
    <t>2693006075/11/2012</t>
  </si>
  <si>
    <t>PBV-GS13-01-01-21-00029</t>
  </si>
  <si>
    <t>2691002277/12/2012</t>
  </si>
  <si>
    <t>PBV-GS13-01-01-21-00030</t>
  </si>
  <si>
    <t>2691002280/12/2012</t>
  </si>
  <si>
    <t>PBV-GS13-01-01-21-00031</t>
  </si>
  <si>
    <t>269406880/12/2012</t>
  </si>
  <si>
    <t>PBV-GS13-01-01-21-00032</t>
  </si>
  <si>
    <t>SUP-0275</t>
  </si>
  <si>
    <t>3rd Quarter</t>
  </si>
  <si>
    <t>T-GS13-01-01-21-01930</t>
  </si>
  <si>
    <t>EFU LIFE ASSURANCE LIMITED.</t>
  </si>
  <si>
    <t>IDHO-16935</t>
  </si>
  <si>
    <t>PBV-GS13-01-01-21-00033</t>
  </si>
  <si>
    <t>DN69521</t>
  </si>
  <si>
    <t>PAK-QATAR GENERAL TAKAFUL LIMITED</t>
  </si>
  <si>
    <t>PBV-GS13-01-01-21-00034</t>
  </si>
  <si>
    <t>2691002309/12/2012</t>
  </si>
  <si>
    <t>PBV-GS13-01-01-21-00035</t>
  </si>
  <si>
    <t>2691002402/01/2013</t>
  </si>
  <si>
    <t>PBV-GS13-01-21-19-00008</t>
  </si>
  <si>
    <t>PBV-GS13-01-21-19-00031</t>
  </si>
  <si>
    <t>PBV-GS13-01-21-19-00033</t>
  </si>
  <si>
    <t>T-GS13-01-21-19-01751</t>
  </si>
  <si>
    <t>PBV-GS13-01-21-19-00050</t>
  </si>
  <si>
    <t>PBV-GS13-01-21-19-00058</t>
  </si>
  <si>
    <t>SUP-0047</t>
  </si>
  <si>
    <t>T-GS13-01-21-19-00739</t>
  </si>
  <si>
    <t>ABDULLAH ASKANI BALOUCH.</t>
  </si>
  <si>
    <t>IDHO-16356</t>
  </si>
  <si>
    <t>PBV-GS13-01-21-19-00063</t>
  </si>
  <si>
    <t>T-GS13-01-21-19-01752</t>
  </si>
  <si>
    <t>PBV-GS13-01-21-19-00065</t>
  </si>
  <si>
    <t>PBV-GS13-01-21-19-00066</t>
  </si>
  <si>
    <t>PBV-GS13-01-21-19-00068</t>
  </si>
  <si>
    <t>PBV-GS13-01-21-19-00092</t>
  </si>
  <si>
    <t>T-GS13-01-21-19-00941</t>
  </si>
  <si>
    <t>IDHO-16451</t>
  </si>
  <si>
    <t>PBV-GS13-01-21-19-00095</t>
  </si>
  <si>
    <t>PBV-GS13-01-21-19-00096</t>
  </si>
  <si>
    <t>PBV-GS13-01-21-19-00097</t>
  </si>
  <si>
    <t>T-GS13-01-21-19-01753</t>
  </si>
  <si>
    <t>PBV-GS13-01-21-19-00112</t>
  </si>
  <si>
    <t>SUP-1695</t>
  </si>
  <si>
    <t>100899855</t>
  </si>
  <si>
    <t>LINDE PAKISTAN LIMITED</t>
  </si>
  <si>
    <t>PBV-GS13-01-21-19-00113</t>
  </si>
  <si>
    <t>PBV-GS13-01-21-19-00126</t>
  </si>
  <si>
    <t>T-GS13-01-21-19-01756</t>
  </si>
  <si>
    <t>PBV-GS13-01-21-19-00128</t>
  </si>
  <si>
    <t>PBV-GS13-01-21-19-00129</t>
  </si>
  <si>
    <t>PBV-GS13-01-21-19-00153</t>
  </si>
  <si>
    <t>PBV-GS13-01-21-19-00154</t>
  </si>
  <si>
    <t>PBV-GS13-01-21-19-00155</t>
  </si>
  <si>
    <t>T-GS13-01-21-19-01757</t>
  </si>
  <si>
    <t>PBV-GS13-01-21-19-00170</t>
  </si>
  <si>
    <t>PBV-GS13-01-21-19-00171</t>
  </si>
  <si>
    <t>PBV-GS13-01-21-19-00172</t>
  </si>
  <si>
    <t>PBV-GS13-01-21-19-00174</t>
  </si>
  <si>
    <t>T-GS13-01-21-19-01831</t>
  </si>
  <si>
    <t>PBV-GS13-01-21-19-00175</t>
  </si>
  <si>
    <t>T-GS13-01-21-19-01832</t>
  </si>
  <si>
    <t>PBV-GS13-01-21-19-00176</t>
  </si>
  <si>
    <t>T-GS13-01-21-19-01833</t>
  </si>
  <si>
    <t>PBV-GS13-01-21-19-00177</t>
  </si>
  <si>
    <t>T-GS13-01-21-19-01841</t>
  </si>
  <si>
    <t>PBV-GS13-01-21-19-00178</t>
  </si>
  <si>
    <t>T-GS13-01-21-19-01825</t>
  </si>
  <si>
    <t>PBV-GS13-01-21-19-00179</t>
  </si>
  <si>
    <t>T-GS13-01-21-19-01824</t>
  </si>
  <si>
    <t>IDHO-16907</t>
  </si>
  <si>
    <t>PBV-GS13-01-21-19-00180</t>
  </si>
  <si>
    <t>SUP-1710</t>
  </si>
  <si>
    <t>T-GS13-01-21-19-01863</t>
  </si>
  <si>
    <t>MOHAMMAD ALI TRANSPORT SERVICE</t>
  </si>
  <si>
    <t>IDHO-16918</t>
  </si>
  <si>
    <t>PBV-GS13-01-21-19-00182</t>
  </si>
  <si>
    <t>T-GS13-01-21-19-01846</t>
  </si>
  <si>
    <t>PBV-GS13-01-21-19-00187</t>
  </si>
  <si>
    <t>SUP-0494</t>
  </si>
  <si>
    <t>KL12121736</t>
  </si>
  <si>
    <t>LEOPARDS COURIER &amp; CARGO SERVICE</t>
  </si>
  <si>
    <t>PBV-GS13-01-21-19-00188</t>
  </si>
  <si>
    <t>KL12100758</t>
  </si>
  <si>
    <t>PBV-GS13-01-21-19-00189</t>
  </si>
  <si>
    <t>KL12110772</t>
  </si>
  <si>
    <t>PBV-GS13-01-21-19-00190</t>
  </si>
  <si>
    <t>HUB-06-01/2013</t>
  </si>
  <si>
    <t>T-GS13-01-21-19-01978</t>
  </si>
  <si>
    <t>PBV-GS13-01-21-19-00191</t>
  </si>
  <si>
    <t>HUB-4-01/2013</t>
  </si>
  <si>
    <t>T-GS13-01-21-19-02015</t>
  </si>
  <si>
    <t>PBV-GS13-01-21-19-00192</t>
  </si>
  <si>
    <t>12/2013</t>
  </si>
  <si>
    <t>T-GS13-01-21-19-01996</t>
  </si>
  <si>
    <t>PBV-GS13-01-21-19-00193</t>
  </si>
  <si>
    <t>BEWL-01-2013</t>
  </si>
  <si>
    <t>T-GS13-01-21-19-02026</t>
  </si>
  <si>
    <t>PBV-GS13-01-21-19-00194</t>
  </si>
  <si>
    <t>T-GS13-01-21-19-01994</t>
  </si>
  <si>
    <t>PBV-GS13-01-21-19-00195</t>
  </si>
  <si>
    <t>BE/01/2013</t>
  </si>
  <si>
    <t>T-GS13-01-21-19-01979</t>
  </si>
  <si>
    <t>PBV-GS13-01-21-19-00196</t>
  </si>
  <si>
    <t>T-GS13-01-21-19-01997</t>
  </si>
  <si>
    <t>PBV-GS13-01-21-19-00197</t>
  </si>
  <si>
    <t>PBV-GS13-01-21-19-00198</t>
  </si>
  <si>
    <t>PBV-GS13-01-21-19-00199</t>
  </si>
  <si>
    <t>PBV-GS13-02-01-21-00004</t>
  </si>
  <si>
    <t>T-GS13-02-01-21-01931</t>
  </si>
  <si>
    <t>PBV-GS13-02-22-19-00051</t>
  </si>
  <si>
    <t>PBV-GS13-02-22-19-00054</t>
  </si>
  <si>
    <t>PBV-GS13-02-22-19-00056</t>
  </si>
  <si>
    <t>PBV-GS13-02-22-19-00057</t>
  </si>
  <si>
    <t>PBV-GS13-02-22-19-00070</t>
  </si>
  <si>
    <t>PBV-GS13-02-22-19-00082</t>
  </si>
  <si>
    <t>PBV-GS13-02-22-19-00095</t>
  </si>
  <si>
    <t>PBV-GS13-02-22-19-00105</t>
  </si>
  <si>
    <t>PBV-GS13-02-22-19-00106</t>
  </si>
  <si>
    <t>PBV-GS13-02-22-19-00107</t>
  </si>
  <si>
    <t>KI12101729</t>
  </si>
  <si>
    <t>PBV-GS13-02-22-19-00128</t>
  </si>
  <si>
    <t>PBV-GS13-02-22-19-00129</t>
  </si>
  <si>
    <t>KI12111730</t>
  </si>
  <si>
    <t>PBV-GS13-02-22-19-00134</t>
  </si>
  <si>
    <t>SUP-0170</t>
  </si>
  <si>
    <t>1738</t>
  </si>
  <si>
    <t>T-GS13-02-22-19-02034</t>
  </si>
  <si>
    <t>BALOCHISTAN ELECTRIC WORKS</t>
  </si>
  <si>
    <t>IDHO-17003</t>
  </si>
  <si>
    <t>PBV-GS13-02-22-19-00145</t>
  </si>
  <si>
    <t>SUP-1142</t>
  </si>
  <si>
    <t>T-GS13-02-22-19-01848</t>
  </si>
  <si>
    <t>SAEED AHMED KHAN</t>
  </si>
  <si>
    <t>IDHO-16914</t>
  </si>
  <si>
    <t>PBV-GS13-02-22-19-00146</t>
  </si>
  <si>
    <t>T-GS13-02-22-19-01834</t>
  </si>
  <si>
    <t>PBV-GS13-02-22-19-00147</t>
  </si>
  <si>
    <t>SUP-1504</t>
  </si>
  <si>
    <t>T-GS13-02-22-19-01861</t>
  </si>
  <si>
    <t>LAREB TRANSPORT SERVICE</t>
  </si>
  <si>
    <t>IDHO-16916</t>
  </si>
  <si>
    <t>PBV-GS13-02-22-19-00148</t>
  </si>
  <si>
    <t>SUP-0431</t>
  </si>
  <si>
    <t>T-GS13-02-22-19-01838</t>
  </si>
  <si>
    <t>IQBAL HUSSAIN TRANSPORT SERVICES</t>
  </si>
  <si>
    <t>IDHO-16911</t>
  </si>
  <si>
    <t>PBV-GS13-02-22-19-00149</t>
  </si>
  <si>
    <t>SUP-0132</t>
  </si>
  <si>
    <t>T-GS13-02-22-19-01865</t>
  </si>
  <si>
    <t>AMJAD ALI CANTEEN CONTRACTOR</t>
  </si>
  <si>
    <t>IDHO-16910</t>
  </si>
  <si>
    <t>PBV-GS13-02-22-19-00150</t>
  </si>
  <si>
    <t>PBV-GS13-02-22-19-00156</t>
  </si>
  <si>
    <t>KL12121735</t>
  </si>
  <si>
    <t>PBV-GS13-02-22-19-00157</t>
  </si>
  <si>
    <t>PBV-GS13-02-22-19-00158</t>
  </si>
  <si>
    <t>PBV-GS13-02-22-19-00159</t>
  </si>
  <si>
    <t>T-GS13-02-22-19-01980</t>
  </si>
  <si>
    <t>PBV-GS13-02-22-19-00160</t>
  </si>
  <si>
    <t>T-GS13-02-22-19-02016</t>
  </si>
  <si>
    <t>PBV-GS13-02-22-19-00161</t>
  </si>
  <si>
    <t>SUP-1056</t>
  </si>
  <si>
    <t>T-GS13-02-22-19-02011</t>
  </si>
  <si>
    <t>ZAHID ENTERPRISES</t>
  </si>
  <si>
    <t>IDHO-16955</t>
  </si>
  <si>
    <t>PBV-GS13-02-22-19-00162</t>
  </si>
  <si>
    <t>SUP-0117</t>
  </si>
  <si>
    <t>T-GS13-02-22-19-02014</t>
  </si>
  <si>
    <t>ALLIED INDUSTRIAL SERVICES</t>
  </si>
  <si>
    <t>IDHO-16950</t>
  </si>
  <si>
    <t>PBV-GS13-02-22-19-00163</t>
  </si>
  <si>
    <t>DCL-01/2013</t>
  </si>
  <si>
    <t>T-GS13-02-22-19-02013</t>
  </si>
  <si>
    <t>PBV-GS13-02-22-19-00164</t>
  </si>
  <si>
    <t>T-GS13-02-22-19-02007</t>
  </si>
  <si>
    <t>PBV-GS13-02-22-19-00165</t>
  </si>
  <si>
    <t>T-GS13-02-22-19-02003</t>
  </si>
  <si>
    <t>PBV-GS13-03-01-21-00004</t>
  </si>
  <si>
    <t>T-GS13-03-01-21-01933</t>
  </si>
  <si>
    <t>PBV-GS13-03-23-19-00020</t>
  </si>
  <si>
    <t>PBV-GS13-03-23-19-00023</t>
  </si>
  <si>
    <t>PBV-GS13-03-23-19-00036</t>
  </si>
  <si>
    <t>PBV-GS13-03-23-19-00037</t>
  </si>
  <si>
    <t>PBV-GS13-03-23-19-00043</t>
  </si>
  <si>
    <t>PBV-GS13-03-23-19-00045</t>
  </si>
  <si>
    <t>PBV-GS13-03-23-19-00046</t>
  </si>
  <si>
    <t>PBV-GS13-03-23-19-00047</t>
  </si>
  <si>
    <t>PBV-GS13-03-23-19-00059</t>
  </si>
  <si>
    <t>PBV-GS13-03-23-19-00060</t>
  </si>
  <si>
    <t>PBV-GS13-03-23-19-00062</t>
  </si>
  <si>
    <t>PBV-GS13-03-23-19-00068</t>
  </si>
  <si>
    <t>PBV-GS13-03-23-19-00069</t>
  </si>
  <si>
    <t>PBV-GS13-03-23-19-00070</t>
  </si>
  <si>
    <t>PBV-GS13-03-23-19-00079</t>
  </si>
  <si>
    <t>PBV-GS13-03-23-19-00080</t>
  </si>
  <si>
    <t>KI12101728</t>
  </si>
  <si>
    <t>PBV-GS13-03-23-19-00081</t>
  </si>
  <si>
    <t>KI2100757</t>
  </si>
  <si>
    <t>PBV-GS13-03-23-19-00093</t>
  </si>
  <si>
    <t>PBV-GS13-03-23-19-00094</t>
  </si>
  <si>
    <t>PBV-GS13-03-23-19-00095</t>
  </si>
  <si>
    <t>KI12111728</t>
  </si>
  <si>
    <t>PBV-GS13-03-23-19-00097</t>
  </si>
  <si>
    <t>PBV-GS13-03-23-19-00103</t>
  </si>
  <si>
    <t>PBV-GS13-03-23-19-00104</t>
  </si>
  <si>
    <t>PBV-GS13-03-23-19-00105</t>
  </si>
  <si>
    <t>PBV-GS13-03-23-19-00106</t>
  </si>
  <si>
    <t>T-GS13-03-23-19-01849</t>
  </si>
  <si>
    <t>PBV-GS13-03-23-19-00107</t>
  </si>
  <si>
    <t>T-GS13-03-23-19-01850</t>
  </si>
  <si>
    <t>PBV-GS13-03-23-19-00108</t>
  </si>
  <si>
    <t>T-GS13-03-23-19-01835</t>
  </si>
  <si>
    <t>PBV-GS13-03-23-19-00109</t>
  </si>
  <si>
    <t>SUP-1669</t>
  </si>
  <si>
    <t>T-GS13-03-23-19-01862</t>
  </si>
  <si>
    <t>BAKHTI HUSSAIN</t>
  </si>
  <si>
    <t>IDHO-16917</t>
  </si>
  <si>
    <t>PBV-GS13-03-23-19-00114</t>
  </si>
  <si>
    <t>KL12121733</t>
  </si>
  <si>
    <t>PBV-GS13-03-23-19-00115</t>
  </si>
  <si>
    <t>PBV-GS13-03-23-19-00116</t>
  </si>
  <si>
    <t>PBV-GS13-03-23-19-00117</t>
  </si>
  <si>
    <t>T-GS13-03-23-19-01981</t>
  </si>
  <si>
    <t>PBV-GS13-03-23-19-00118</t>
  </si>
  <si>
    <t>T-GS13-03-23-19-02018</t>
  </si>
  <si>
    <t>PBV-GS13-03-23-19-00119</t>
  </si>
  <si>
    <t>PBV-GS13-04-01-21-00004</t>
  </si>
  <si>
    <t>T-GS13-04-01-21-01929</t>
  </si>
  <si>
    <t>PBV-GS13-04-24-19-00013</t>
  </si>
  <si>
    <t>PBV-GS13-04-24-19-00014</t>
  </si>
  <si>
    <t>PBV-GS13-04-24-19-00033</t>
  </si>
  <si>
    <t>PBV-GS13-04-24-19-00039</t>
  </si>
  <si>
    <t>PBV-GS13-04-24-19-00041</t>
  </si>
  <si>
    <t>PBV-GS13-04-24-19-00044</t>
  </si>
  <si>
    <t>PBV-GS13-04-24-19-00050</t>
  </si>
  <si>
    <t>PBV-GS13-04-24-19-00057</t>
  </si>
  <si>
    <t>PBV-GS13-04-24-19-00059</t>
  </si>
  <si>
    <t>PBV-GS13-04-24-19-00065</t>
  </si>
  <si>
    <t>PBV-GS13-04-24-19-00067</t>
  </si>
  <si>
    <t>PBV-GS13-04-24-19-00074</t>
  </si>
  <si>
    <t>PBV-GS13-04-24-19-00075</t>
  </si>
  <si>
    <t>KI12100757</t>
  </si>
  <si>
    <t>PBV-GS13-04-24-19-00076</t>
  </si>
  <si>
    <t>PBV-GS13-04-24-19-00089</t>
  </si>
  <si>
    <t>KI12111729</t>
  </si>
  <si>
    <t>PBV-GS13-04-24-19-00090</t>
  </si>
  <si>
    <t>PBV-GS13-04-24-19-00097</t>
  </si>
  <si>
    <t>155</t>
  </si>
  <si>
    <t>PBV-GS13-04-24-19-00098</t>
  </si>
  <si>
    <t>PBV-GS13-04-24-19-00099</t>
  </si>
  <si>
    <t>PBV-GS13-04-24-19-00101</t>
  </si>
  <si>
    <t>T-GS13-04-24-19-01851</t>
  </si>
  <si>
    <t>PBV-GS13-04-24-19-00102</t>
  </si>
  <si>
    <t>T-GS13-04-24-19-01836</t>
  </si>
  <si>
    <t>PBV-GS13-04-24-19-00103</t>
  </si>
  <si>
    <t>T-GS13-04-24-19-01837</t>
  </si>
  <si>
    <t>PBV-GS13-04-24-19-00104</t>
  </si>
  <si>
    <t>T-GS13-04-24-19-01852</t>
  </si>
  <si>
    <t>PBV-GS13-04-24-19-00108</t>
  </si>
  <si>
    <t>KL12121734</t>
  </si>
  <si>
    <t>PBV-GS13-04-24-19-00109</t>
  </si>
  <si>
    <t>PBV-GS13-04-24-19-00110</t>
  </si>
  <si>
    <t>PBV-GS13-04-24-19-00111</t>
  </si>
  <si>
    <t>T-GS13-04-24-19-01982</t>
  </si>
  <si>
    <t>PBV-GS13-04-24-19-00112</t>
  </si>
  <si>
    <t>HUB-04-01/2013</t>
  </si>
  <si>
    <t>T-GS13-04-24-19-02017</t>
  </si>
  <si>
    <t>PBV-GS13-04-24-19-00113</t>
  </si>
  <si>
    <t>MHL-01/2013</t>
  </si>
  <si>
    <t>T-GS13-04-24-19-01999</t>
  </si>
  <si>
    <t>PBV-GS13-04-24-19-00114</t>
  </si>
  <si>
    <t>156</t>
  </si>
  <si>
    <t>PBV-GS13-04-24-19-00115</t>
  </si>
  <si>
    <t>PBV-GS13-05-01-21-00004</t>
  </si>
  <si>
    <t>T-GS13-05-01-21-01935</t>
  </si>
  <si>
    <t>PBV-GS13-05-25-19-00008</t>
  </si>
  <si>
    <t>2555</t>
  </si>
  <si>
    <t>PBV-GS13-05-25-19-00011</t>
  </si>
  <si>
    <t>1653</t>
  </si>
  <si>
    <t>PBV-GS13-05-25-19-00013</t>
  </si>
  <si>
    <t>SUP-0548</t>
  </si>
  <si>
    <t>413</t>
  </si>
  <si>
    <t>MACO INTERNATIONAL</t>
  </si>
  <si>
    <t>PBV-GS13-05-25-19-00021</t>
  </si>
  <si>
    <t>9180442559</t>
  </si>
  <si>
    <t>POL-GS13-05-25-19-0004</t>
  </si>
  <si>
    <t>PBV-GS13-05-25-19-00023</t>
  </si>
  <si>
    <t>17187</t>
  </si>
  <si>
    <t>PBV-GS13-05-25-19-00026</t>
  </si>
  <si>
    <t>T00022-13</t>
  </si>
  <si>
    <t>MF-GS13-01-01-19-00055</t>
  </si>
  <si>
    <t>PBV-GS13-05-25-19-00027</t>
  </si>
  <si>
    <t>914738809</t>
  </si>
  <si>
    <t>POL-GS13-05-25-19-0002</t>
  </si>
  <si>
    <t>PBV-GS13-05-25-19-00036</t>
  </si>
  <si>
    <t>T00076-13</t>
  </si>
  <si>
    <t>PBV-GS13-05-25-19-00037</t>
  </si>
  <si>
    <t>T00075-13</t>
  </si>
  <si>
    <t>PBV-GS13-05-25-19-00039</t>
  </si>
  <si>
    <t>16</t>
  </si>
  <si>
    <t>PBV-GS13-05-25-19-00040</t>
  </si>
  <si>
    <t>4695</t>
  </si>
  <si>
    <t>PBV-GS13-05-25-19-00045</t>
  </si>
  <si>
    <t>063</t>
  </si>
  <si>
    <t>PBV-GS13-05-25-19-00049</t>
  </si>
  <si>
    <t>2567</t>
  </si>
  <si>
    <t>PBV-GS13-05-25-19-00064</t>
  </si>
  <si>
    <t>PBV-GS13-05-25-19-00069</t>
  </si>
  <si>
    <t>1672</t>
  </si>
  <si>
    <t>PBV-GS13-05-25-19-00071</t>
  </si>
  <si>
    <t>4696</t>
  </si>
  <si>
    <t>PBV-GS13-05-25-19-00073</t>
  </si>
  <si>
    <t>6</t>
  </si>
  <si>
    <t>PBV-GS13-05-25-19-00074</t>
  </si>
  <si>
    <t>PBV-GS13-05-25-19-00075</t>
  </si>
  <si>
    <t>PBV-GS13-05-25-19-00076</t>
  </si>
  <si>
    <t>PBV-GS13-05-25-19-00077</t>
  </si>
  <si>
    <t>PBV-GS13-05-25-19-00078</t>
  </si>
  <si>
    <t>SUP-1383</t>
  </si>
  <si>
    <t>1154/BEWL</t>
  </si>
  <si>
    <t>PBV-GS13-05-25-19-00080</t>
  </si>
  <si>
    <t>SUP-1539</t>
  </si>
  <si>
    <t>NATIONAL TRADERS</t>
  </si>
  <si>
    <t>PBV-GS13-05-25-19-00082</t>
  </si>
  <si>
    <t>PBV-GS13-05-25-19-00096</t>
  </si>
  <si>
    <t>10670</t>
  </si>
  <si>
    <t>LLC-GS13-01-01-19-00010</t>
  </si>
  <si>
    <t>JV-13-01-01-19-00119</t>
  </si>
  <si>
    <t>LC# 65261/2011-12</t>
  </si>
  <si>
    <t>PBV-GS13-05-25-19-00099</t>
  </si>
  <si>
    <t>T00077-13</t>
  </si>
  <si>
    <t>PBV-GS13-05-25-19-00101</t>
  </si>
  <si>
    <t>SUP-0427</t>
  </si>
  <si>
    <t>SS13-0100420</t>
  </si>
  <si>
    <t>INTERNATIONAL INDUSTRIES LTD.</t>
  </si>
  <si>
    <t>MF-GS12-01-01-19-00080</t>
  </si>
  <si>
    <t>JV-12-01-01-19-00335</t>
  </si>
  <si>
    <t>PBV-GS13-05-25-19-00104</t>
  </si>
  <si>
    <t>SUP-1214</t>
  </si>
  <si>
    <t>G.M STEEL WORKS</t>
  </si>
  <si>
    <t>POL-GS13-05-25-19-0068</t>
  </si>
  <si>
    <t>PBV-GS13-05-25-19-00106</t>
  </si>
  <si>
    <t>055</t>
  </si>
  <si>
    <t>PBV-GS13-05-25-19-00107</t>
  </si>
  <si>
    <t>PBV-GS13-05-25-19-00108</t>
  </si>
  <si>
    <t>058</t>
  </si>
  <si>
    <t>PBV-GS13-05-25-19-00109</t>
  </si>
  <si>
    <t>PBV-GS13-05-25-19-00110</t>
  </si>
  <si>
    <t>PBV-GS13-05-25-19-00111</t>
  </si>
  <si>
    <t>PBV-GS13-05-25-19-00112</t>
  </si>
  <si>
    <t>PBV-GS13-05-25-19-00113</t>
  </si>
  <si>
    <t>PBV-GS13-05-25-19-00114</t>
  </si>
  <si>
    <t>064</t>
  </si>
  <si>
    <t>PBV-GS13-05-25-19-00115</t>
  </si>
  <si>
    <t>065</t>
  </si>
  <si>
    <t>PBV-GS13-05-25-19-00116</t>
  </si>
  <si>
    <t>PBV-GS13-05-25-19-00124</t>
  </si>
  <si>
    <t>JV-13-01-01-19-00215</t>
  </si>
  <si>
    <t>PBV-GS13-05-25-19-00125</t>
  </si>
  <si>
    <t>17205</t>
  </si>
  <si>
    <t>PBV-GS13-05-25-19-00128</t>
  </si>
  <si>
    <t>10689</t>
  </si>
  <si>
    <t>JV-13-01-01-19-00217</t>
  </si>
  <si>
    <t>PBV-GS13-05-25-19-00130</t>
  </si>
  <si>
    <t>8128</t>
  </si>
  <si>
    <t>PBV-GS13-05-25-19-00131</t>
  </si>
  <si>
    <t>PBV-GS13-05-25-19-00133</t>
  </si>
  <si>
    <t>10702</t>
  </si>
  <si>
    <t>PBV-GS13-05-25-19-00134</t>
  </si>
  <si>
    <t>SS13-0100620</t>
  </si>
  <si>
    <t>MF-GS13-01-01-19-00004</t>
  </si>
  <si>
    <t>PBV-GS13-05-25-19-00135</t>
  </si>
  <si>
    <t>SUP-1524</t>
  </si>
  <si>
    <t>1323</t>
  </si>
  <si>
    <t>Z.A. ENGINEERS WORKS</t>
  </si>
  <si>
    <t>PBV-GS13-05-25-19-00138</t>
  </si>
  <si>
    <t>SUP-0759</t>
  </si>
  <si>
    <t>101</t>
  </si>
  <si>
    <t>T-GS13-05-25-19-01939</t>
  </si>
  <si>
    <t>IDHO-16940</t>
  </si>
  <si>
    <t>PBV-GS13-05-25-19-00143</t>
  </si>
  <si>
    <t>PBV-GS13-05-25-19-00144</t>
  </si>
  <si>
    <t>PBV-GS13-05-25-19-00145</t>
  </si>
  <si>
    <t>PBV-GS13-05-25-19-00146</t>
  </si>
  <si>
    <t>PBV-GS13-05-25-19-00147</t>
  </si>
  <si>
    <t>PBV-GS13-05-25-19-00148</t>
  </si>
  <si>
    <t>739</t>
  </si>
  <si>
    <t>PBV-GS13-05-25-19-00149</t>
  </si>
  <si>
    <t>3102</t>
  </si>
  <si>
    <t>LLC-GS13-01-01-19-00031</t>
  </si>
  <si>
    <t>PBV-GS13-05-25-19-00150</t>
  </si>
  <si>
    <t>1787</t>
  </si>
  <si>
    <t>PBV-GS13-05-25-19-00151</t>
  </si>
  <si>
    <t>14445</t>
  </si>
  <si>
    <t>PBV-GS13-05-25-19-00157</t>
  </si>
  <si>
    <t>MF-GS13-01-01-19-00038</t>
  </si>
  <si>
    <t>JV-13-01-01-19-00141</t>
  </si>
  <si>
    <t>MF(S.P.STEEL CO)</t>
  </si>
  <si>
    <t>PBV-GS13-05-25-19-00166</t>
  </si>
  <si>
    <t>PBV-GS13-05-25-19-00169</t>
  </si>
  <si>
    <t>T00137-13</t>
  </si>
  <si>
    <t>PBV-GS13-05-25-19-00170</t>
  </si>
  <si>
    <t>1573</t>
  </si>
  <si>
    <t>PBV-GS13-05-25-19-00171</t>
  </si>
  <si>
    <t>PBV-GS13-05-25-19-00174</t>
  </si>
  <si>
    <t>PBV-GS13-05-25-19-00183</t>
  </si>
  <si>
    <t>PBV-GS13-05-25-19-00184</t>
  </si>
  <si>
    <t>PBV-GS13-05-25-19-00185</t>
  </si>
  <si>
    <t>PBV-GS13-05-25-19-00186</t>
  </si>
  <si>
    <t>PBV-GS13-05-25-19-00187</t>
  </si>
  <si>
    <t>PBV-GS13-05-25-19-00189</t>
  </si>
  <si>
    <t>T00131-13</t>
  </si>
  <si>
    <t>PBV-GS13-05-25-19-00196</t>
  </si>
  <si>
    <t>T00172-13</t>
  </si>
  <si>
    <t>PBV-GS13-05-25-19-00198</t>
  </si>
  <si>
    <t>4699</t>
  </si>
  <si>
    <t>PBV-GS13-05-25-19-00199</t>
  </si>
  <si>
    <t>SS13-0100759</t>
  </si>
  <si>
    <t>PBV-GS13-05-25-19-00206</t>
  </si>
  <si>
    <t>PBV-GS13-05-25-19-00208</t>
  </si>
  <si>
    <t>SUP-1768</t>
  </si>
  <si>
    <t>813</t>
  </si>
  <si>
    <t>T-GS13-05-25-19-01715</t>
  </si>
  <si>
    <t>ROMANA TRADERS</t>
  </si>
  <si>
    <t>IDHO-16840</t>
  </si>
  <si>
    <t>PBV-GS13-05-25-19-00209</t>
  </si>
  <si>
    <t>10721</t>
  </si>
  <si>
    <t>PBV-GS13-05-25-19-00218</t>
  </si>
  <si>
    <t>35212</t>
  </si>
  <si>
    <t>MF-GS13-01-01-19-00003</t>
  </si>
  <si>
    <t>PBV-GS13-05-25-19-00219</t>
  </si>
  <si>
    <t>10724</t>
  </si>
  <si>
    <t>LLC-GS13-01-01-19-00028</t>
  </si>
  <si>
    <t>PBV-GS13-05-25-19-00223</t>
  </si>
  <si>
    <t>8172</t>
  </si>
  <si>
    <t>PBV-GS13-05-25-19-00225</t>
  </si>
  <si>
    <t>8173</t>
  </si>
  <si>
    <t>PBV-GS13-05-25-19-00226</t>
  </si>
  <si>
    <t>8171</t>
  </si>
  <si>
    <t>PBV-GS13-05-25-19-00227</t>
  </si>
  <si>
    <t>PBV-GS13-05-25-19-00229</t>
  </si>
  <si>
    <t>1847</t>
  </si>
  <si>
    <t>PBV-GS13-05-25-19-00230</t>
  </si>
  <si>
    <t>SUP-0802</t>
  </si>
  <si>
    <t>10904</t>
  </si>
  <si>
    <t>QUTBI TRADERS</t>
  </si>
  <si>
    <t>MF-GS13-01-01-19-00061</t>
  </si>
  <si>
    <t>PBV-GS13-05-25-19-00231</t>
  </si>
  <si>
    <t>10903</t>
  </si>
  <si>
    <t>PBV-GS13-05-25-19-00232</t>
  </si>
  <si>
    <t>10902</t>
  </si>
  <si>
    <t>PBV-GS13-05-25-19-00233</t>
  </si>
  <si>
    <t>10901</t>
  </si>
  <si>
    <t>PBV-GS13-05-25-19-00237</t>
  </si>
  <si>
    <t>120067</t>
  </si>
  <si>
    <t>PBV-GS13-05-25-19-00238</t>
  </si>
  <si>
    <t>8174</t>
  </si>
  <si>
    <t>PBV-GS13-05-25-19-00240</t>
  </si>
  <si>
    <t>T-GS13-05-25-19-01940</t>
  </si>
  <si>
    <t>PBV-GS13-05-25-19-00241</t>
  </si>
  <si>
    <t>17315</t>
  </si>
  <si>
    <t>PBV-GS13-05-25-19-00242</t>
  </si>
  <si>
    <t>17316</t>
  </si>
  <si>
    <t>PBV-GS13-05-25-19-00243</t>
  </si>
  <si>
    <t>17314</t>
  </si>
  <si>
    <t>PBV-GS13-05-25-19-00244</t>
  </si>
  <si>
    <t>17317</t>
  </si>
  <si>
    <t>PBV-GS13-05-25-19-00246</t>
  </si>
  <si>
    <t>PBV-GS13-05-25-19-00247</t>
  </si>
  <si>
    <t>SUP-1490</t>
  </si>
  <si>
    <t>PBV-GS13-05-25-19-00249</t>
  </si>
  <si>
    <t>PBV-GS13-05-25-19-00250</t>
  </si>
  <si>
    <t>PBV-GS13-05-25-19-00254</t>
  </si>
  <si>
    <t>PBV-GS13-05-25-19-00255</t>
  </si>
  <si>
    <t>PBV-GS13-05-25-19-00263</t>
  </si>
  <si>
    <t>4176</t>
  </si>
  <si>
    <t>LLC-GS13-01-01-19-00016</t>
  </si>
  <si>
    <t>PBV-GS13-05-25-19-00268</t>
  </si>
  <si>
    <t>1812</t>
  </si>
  <si>
    <t>PBV-GS13-05-25-19-00273</t>
  </si>
  <si>
    <t>SUP-1123</t>
  </si>
  <si>
    <t>PBV-GS13-05-25-19-00275</t>
  </si>
  <si>
    <t>45/12</t>
  </si>
  <si>
    <t>T-GS13-05-25-19-01610</t>
  </si>
  <si>
    <t>FINE CHEMICALS</t>
  </si>
  <si>
    <t>IDHO-16798</t>
  </si>
  <si>
    <t>PBV-GS13-05-25-19-00278</t>
  </si>
  <si>
    <t>13853</t>
  </si>
  <si>
    <t>PBV-GS13-05-25-19-00279</t>
  </si>
  <si>
    <t>13854</t>
  </si>
  <si>
    <t>PBV-GS13-05-25-19-00280</t>
  </si>
  <si>
    <t>13899</t>
  </si>
  <si>
    <t>PBV-GS13-05-25-19-00281</t>
  </si>
  <si>
    <t>13900</t>
  </si>
  <si>
    <t>PBV-GS13-05-25-19-00282</t>
  </si>
  <si>
    <t>13922</t>
  </si>
  <si>
    <t>PBV-GS13-05-25-19-00284</t>
  </si>
  <si>
    <t>1180/BEWL</t>
  </si>
  <si>
    <t>PBV-GS13-05-25-19-00285</t>
  </si>
  <si>
    <t>PBV-GS13-05-25-19-00286</t>
  </si>
  <si>
    <t>PBV-GS13-05-25-19-00287</t>
  </si>
  <si>
    <t>PBV-GS13-05-25-19-00288</t>
  </si>
  <si>
    <t>PBV-GS13-05-25-19-00289</t>
  </si>
  <si>
    <t>PBV-GS13-05-25-19-00290</t>
  </si>
  <si>
    <t>10342</t>
  </si>
  <si>
    <t>PBV-GS13-05-25-19-00291</t>
  </si>
  <si>
    <t>17343</t>
  </si>
  <si>
    <t>PBV-GS13-05-25-19-00292</t>
  </si>
  <si>
    <t>17346</t>
  </si>
  <si>
    <t>PBV-GS13-05-25-19-00293</t>
  </si>
  <si>
    <t>17345</t>
  </si>
  <si>
    <t>PBV-GS13-05-25-19-00294</t>
  </si>
  <si>
    <t>PBV-GS13-05-25-19-00296</t>
  </si>
  <si>
    <t>PBV-GS13-05-25-19-00298</t>
  </si>
  <si>
    <t>PBV-GS13-05-25-19-00299</t>
  </si>
  <si>
    <t>PBV-GS13-05-25-19-00300</t>
  </si>
  <si>
    <t>3150</t>
  </si>
  <si>
    <t>PBV-GS13-05-25-19-00301</t>
  </si>
  <si>
    <t>1813</t>
  </si>
  <si>
    <t>PBV-GS13-05-25-19-00303</t>
  </si>
  <si>
    <t>PBV-GS13-05-25-19-00304</t>
  </si>
  <si>
    <t>PBV-GS13-05-25-19-00313</t>
  </si>
  <si>
    <t>B-1956</t>
  </si>
  <si>
    <t>PBV-GS13-05-25-19-00314</t>
  </si>
  <si>
    <t>PBV-GS13-05-25-19-00315</t>
  </si>
  <si>
    <t>SUP-1451</t>
  </si>
  <si>
    <t>819</t>
  </si>
  <si>
    <t>AL - YOSUF ENTERPRISES</t>
  </si>
  <si>
    <t>PBV-GS13-05-25-19-00316</t>
  </si>
  <si>
    <t>PBV-GS13-05-25-19-00319</t>
  </si>
  <si>
    <t>1208/BEWL</t>
  </si>
  <si>
    <t>PBV-GS13-05-25-19-00323</t>
  </si>
  <si>
    <t>PBV-GS13-05-25-19-00324</t>
  </si>
  <si>
    <t>PBV-GS13-05-25-19-00325</t>
  </si>
  <si>
    <t>PBV-GS13-05-25-19-00326</t>
  </si>
  <si>
    <t>205</t>
  </si>
  <si>
    <t>PBV-GS13-05-25-19-00331</t>
  </si>
  <si>
    <t>PBV-GS13-05-25-19-00332</t>
  </si>
  <si>
    <t>PBV-GS13-05-25-19-00333</t>
  </si>
  <si>
    <t>PBV-GS13-05-25-19-00334</t>
  </si>
  <si>
    <t>PBV-GS13-05-25-19-00335</t>
  </si>
  <si>
    <t>840</t>
  </si>
  <si>
    <t>PBV-GS13-05-25-19-00344</t>
  </si>
  <si>
    <t>4734</t>
  </si>
  <si>
    <t>PBV-GS13-05-25-19-00347</t>
  </si>
  <si>
    <t>4157</t>
  </si>
  <si>
    <t>PBV-GS13-05-25-19-00348</t>
  </si>
  <si>
    <t>LLC-GS13-01-01-19-00022</t>
  </si>
  <si>
    <t>JV-13-01-01-19-00207</t>
  </si>
  <si>
    <t>LC# 65382</t>
  </si>
  <si>
    <t>PBV-GS13-05-25-19-00349</t>
  </si>
  <si>
    <t>JV-13-01-01-19-00193</t>
  </si>
  <si>
    <t>PBV-GS13-05-25-19-00350</t>
  </si>
  <si>
    <t>PBV-GS13-05-25-19-00351</t>
  </si>
  <si>
    <t>PBV-GS13-05-25-19-00352</t>
  </si>
  <si>
    <t>307</t>
  </si>
  <si>
    <t>PBV-GS13-05-25-19-00353</t>
  </si>
  <si>
    <t>89/102</t>
  </si>
  <si>
    <t>PBV-GS13-05-25-19-00360</t>
  </si>
  <si>
    <t>8403</t>
  </si>
  <si>
    <t>PBV-GS13-05-25-19-00363</t>
  </si>
  <si>
    <t>079</t>
  </si>
  <si>
    <t>PBV-GS13-05-25-19-00364</t>
  </si>
  <si>
    <t>PBV-GS13-05-25-19-00365</t>
  </si>
  <si>
    <t>085</t>
  </si>
  <si>
    <t>PBV-GS13-05-25-19-00366</t>
  </si>
  <si>
    <t>086</t>
  </si>
  <si>
    <t>PBV-GS13-05-25-19-00368</t>
  </si>
  <si>
    <t>082</t>
  </si>
  <si>
    <t>PBV-GS13-05-25-19-00375</t>
  </si>
  <si>
    <t>088</t>
  </si>
  <si>
    <t>PBV-GS13-05-25-19-00376</t>
  </si>
  <si>
    <t>17364</t>
  </si>
  <si>
    <t>PBV-GS13-05-25-19-00379</t>
  </si>
  <si>
    <t>8230</t>
  </si>
  <si>
    <t>PBV-GS13-05-25-19-00381</t>
  </si>
  <si>
    <t>PBV-GS13-05-25-19-00382</t>
  </si>
  <si>
    <t>BEWL/CI/DC/039/12</t>
  </si>
  <si>
    <t>JV-13-01-01-19-00181</t>
  </si>
  <si>
    <t>PBV-GS13-05-25-19-00383</t>
  </si>
  <si>
    <t>BEWL/CI/041/12</t>
  </si>
  <si>
    <t>LLC-GS13-01-01-19-00025</t>
  </si>
  <si>
    <t>JV-13-01-01-19-00209</t>
  </si>
  <si>
    <t>MF(HAJI ABDUL SATTAR &amp; CO)</t>
  </si>
  <si>
    <t>PBV-GS13-05-25-19-00384</t>
  </si>
  <si>
    <t>BEWL/CI/043/12</t>
  </si>
  <si>
    <t>LLC-GS13-01-01-19-00029</t>
  </si>
  <si>
    <t>JV-13-01-01-19-00213</t>
  </si>
  <si>
    <t>PBV-GS13-05-25-19-00386</t>
  </si>
  <si>
    <t>BEWL/CI/044/12</t>
  </si>
  <si>
    <t>PBV-GS13-05-25-19-00388</t>
  </si>
  <si>
    <t>BEWL/CI/040/12</t>
  </si>
  <si>
    <t>PBV-GS13-05-25-19-00389</t>
  </si>
  <si>
    <t>10910</t>
  </si>
  <si>
    <t>PBV-GS13-05-25-19-00390</t>
  </si>
  <si>
    <t>PBV-GS13-05-25-19-00391</t>
  </si>
  <si>
    <t>10735</t>
  </si>
  <si>
    <t>PBV-GS13-05-25-19-00392</t>
  </si>
  <si>
    <t>T00259-13</t>
  </si>
  <si>
    <t>PBV-GS13-05-25-19-00394</t>
  </si>
  <si>
    <t>T00312-13</t>
  </si>
  <si>
    <t>MF-GS13-01-01-19-00062</t>
  </si>
  <si>
    <t>PBV-GS13-05-25-19-00395</t>
  </si>
  <si>
    <t>10737</t>
  </si>
  <si>
    <t>PBV-GS13-05-25-19-00396</t>
  </si>
  <si>
    <t>10745</t>
  </si>
  <si>
    <t>PBV-GS13-05-25-19-00397</t>
  </si>
  <si>
    <t>10743</t>
  </si>
  <si>
    <t>PBV-GS13-05-25-19-00403</t>
  </si>
  <si>
    <t>10740 &amp; 10744</t>
  </si>
  <si>
    <t>PBV-GS13-05-25-19-00404</t>
  </si>
  <si>
    <t>10744 &amp; 10740</t>
  </si>
  <si>
    <t>PBV-GS13-05-25-19-00408</t>
  </si>
  <si>
    <t>SUP-0372</t>
  </si>
  <si>
    <t>117</t>
  </si>
  <si>
    <t>HARD CASTLE WAUD (PVT)LTD.</t>
  </si>
  <si>
    <t>PBV-GS13-05-25-19-00412</t>
  </si>
  <si>
    <t>17387</t>
  </si>
  <si>
    <t>PBV-GS13-05-25-19-00419</t>
  </si>
  <si>
    <t>SUP-1503</t>
  </si>
  <si>
    <t>T-GS13-05-25-19-01717</t>
  </si>
  <si>
    <t>KHUSHALS</t>
  </si>
  <si>
    <t>IDHO-16838</t>
  </si>
  <si>
    <t>PBV-GS13-05-25-19-00421</t>
  </si>
  <si>
    <t>SUP-0553</t>
  </si>
  <si>
    <t>096</t>
  </si>
  <si>
    <t>T-GS13-05-25-19-02031</t>
  </si>
  <si>
    <t>MAINTALLOYS (PVT( LTD.</t>
  </si>
  <si>
    <t>IDHO-16969</t>
  </si>
  <si>
    <t>PBV-GS13-05-25-19-00424</t>
  </si>
  <si>
    <t>11038</t>
  </si>
  <si>
    <t>PBV-GS13-05-25-19-00425</t>
  </si>
  <si>
    <t>11040</t>
  </si>
  <si>
    <t>PBV-GS13-05-25-19-00426</t>
  </si>
  <si>
    <t>11043</t>
  </si>
  <si>
    <t>PBV-GS13-05-25-19-00427</t>
  </si>
  <si>
    <t>11039</t>
  </si>
  <si>
    <t>PBV-GS13-05-25-19-00429</t>
  </si>
  <si>
    <t>PBV-GS13-05-25-19-00430</t>
  </si>
  <si>
    <t>4230</t>
  </si>
  <si>
    <t>PBV-GS13-05-25-19-00431</t>
  </si>
  <si>
    <t>1230/BEWL</t>
  </si>
  <si>
    <t>PBV-GS13-05-25-19-00432</t>
  </si>
  <si>
    <t>1228/BEWL</t>
  </si>
  <si>
    <t>PBV-GS13-05-25-19-00433</t>
  </si>
  <si>
    <t>1231/BEWL</t>
  </si>
  <si>
    <t>PBV-GS13-05-25-19-00434</t>
  </si>
  <si>
    <t>1225/BEWL</t>
  </si>
  <si>
    <t>PBV-GS13-05-25-19-00435</t>
  </si>
  <si>
    <t>1226/BEWL</t>
  </si>
  <si>
    <t>PBV-GS13-05-25-19-00436</t>
  </si>
  <si>
    <t>1227/BEWL</t>
  </si>
  <si>
    <t>PBV-GS13-05-25-19-00438</t>
  </si>
  <si>
    <t>PBV-GS13-05-25-19-00439</t>
  </si>
  <si>
    <t>11073</t>
  </si>
  <si>
    <t>PBV-GS13-05-25-19-00440</t>
  </si>
  <si>
    <t>11071</t>
  </si>
  <si>
    <t>PBV-GS13-05-25-19-00441</t>
  </si>
  <si>
    <t>11072</t>
  </si>
  <si>
    <t>PBV-GS13-05-25-19-00444</t>
  </si>
  <si>
    <t>2629</t>
  </si>
  <si>
    <t>PBV-GS13-05-25-19-00445</t>
  </si>
  <si>
    <t>387</t>
  </si>
  <si>
    <t>PBV-GS13-05-25-19-00446</t>
  </si>
  <si>
    <t>PBV-GS13-05-25-19-00447</t>
  </si>
  <si>
    <t>391</t>
  </si>
  <si>
    <t>PBV-GS13-05-25-19-00449</t>
  </si>
  <si>
    <t>389</t>
  </si>
  <si>
    <t>PBV-GS13-05-25-19-00450</t>
  </si>
  <si>
    <t>SUP-0390</t>
  </si>
  <si>
    <t>16204</t>
  </si>
  <si>
    <t>T-GS13-05-25-19-02033</t>
  </si>
  <si>
    <t>HUSSAINI STATIONERY MART.</t>
  </si>
  <si>
    <t>IDHO-16968</t>
  </si>
  <si>
    <t>PBV-GS13-05-25-19-00455</t>
  </si>
  <si>
    <t>PBV-GS13-05-25-19-00456</t>
  </si>
  <si>
    <t>PBV-GS13-05-25-19-00457</t>
  </si>
  <si>
    <t>PBV-GS13-05-25-19-00465</t>
  </si>
  <si>
    <t>17406</t>
  </si>
  <si>
    <t>PBV-GS13-05-25-19-00468</t>
  </si>
  <si>
    <t>SUP-0585</t>
  </si>
  <si>
    <t>326</t>
  </si>
  <si>
    <t>T-GS13-05-25-19-01793</t>
  </si>
  <si>
    <t>METAPREP (PVT) LTD.</t>
  </si>
  <si>
    <t>IDHO-16885</t>
  </si>
  <si>
    <t>PBV-GS13-05-25-19-00469</t>
  </si>
  <si>
    <t>17407</t>
  </si>
  <si>
    <t>PBV-GS13-05-25-19-00470</t>
  </si>
  <si>
    <t>17388</t>
  </si>
  <si>
    <t>PBV-GS13-05-25-19-00474</t>
  </si>
  <si>
    <t>SUP-1756</t>
  </si>
  <si>
    <t>056</t>
  </si>
  <si>
    <t>IMROZ STEEL</t>
  </si>
  <si>
    <t>PBV-GS13-05-25-19-00477</t>
  </si>
  <si>
    <t>T00381-13</t>
  </si>
  <si>
    <t>PBV-GS13-05-25-19-00479</t>
  </si>
  <si>
    <t>PBV-GS13-05-25-19-00480</t>
  </si>
  <si>
    <t>436</t>
  </si>
  <si>
    <t>PBV-GS13-05-25-19-00481</t>
  </si>
  <si>
    <t>859</t>
  </si>
  <si>
    <t>PBV-GS13-05-25-19-00482</t>
  </si>
  <si>
    <t>SUP-1644</t>
  </si>
  <si>
    <t>PBV-GS13-05-25-19-00483</t>
  </si>
  <si>
    <t>416</t>
  </si>
  <si>
    <t>PBV-GS13-05-25-19-00484</t>
  </si>
  <si>
    <t>PBV-GS13-05-25-19-00485</t>
  </si>
  <si>
    <t>853</t>
  </si>
  <si>
    <t>PBV-GS13-05-25-19-00488</t>
  </si>
  <si>
    <t>PBV-GS13-05-25-19-00489</t>
  </si>
  <si>
    <t>14685</t>
  </si>
  <si>
    <t>PBV-GS13-05-25-19-00490</t>
  </si>
  <si>
    <t>14687</t>
  </si>
  <si>
    <t>PBV-GS13-05-25-19-00491</t>
  </si>
  <si>
    <t>PBV-GS13-05-25-19-00492</t>
  </si>
  <si>
    <t>PBV-GS13-05-25-19-00495</t>
  </si>
  <si>
    <t>SUP-0186</t>
  </si>
  <si>
    <t>0009694</t>
  </si>
  <si>
    <t>BILAL TRADING COMPANY</t>
  </si>
  <si>
    <t>PBV-GS13-05-25-19-00497</t>
  </si>
  <si>
    <t>00009707</t>
  </si>
  <si>
    <t>PBV-GS13-05-25-19-00498</t>
  </si>
  <si>
    <t>00009682</t>
  </si>
  <si>
    <t>T-GS13-05-25-19-02032</t>
  </si>
  <si>
    <t>IDHO-16967</t>
  </si>
  <si>
    <t>PBV-GS13-05-25-19-00499</t>
  </si>
  <si>
    <t>PBV-GS13-05-25-19-00501</t>
  </si>
  <si>
    <t>PBV-GS13-05-25-19-00502</t>
  </si>
  <si>
    <t>14686</t>
  </si>
  <si>
    <t>PBV-GS13-05-25-19-00504</t>
  </si>
  <si>
    <t>PBV-GS13-05-25-19-00505</t>
  </si>
  <si>
    <t>4743</t>
  </si>
  <si>
    <t>PBV-GS13-05-25-19-00506</t>
  </si>
  <si>
    <t>SUP-0952</t>
  </si>
  <si>
    <t>7666</t>
  </si>
  <si>
    <t>T.N.M.N CORPORATION</t>
  </si>
  <si>
    <t>PBV-GS13-05-25-19-00507</t>
  </si>
  <si>
    <t>0107</t>
  </si>
  <si>
    <t>PBV-GS13-05-25-19-00509</t>
  </si>
  <si>
    <t>0105</t>
  </si>
  <si>
    <t>PBV-GS13-05-25-19-00510</t>
  </si>
  <si>
    <t>0104</t>
  </si>
  <si>
    <t>PBV-GS13-05-25-19-00511</t>
  </si>
  <si>
    <t>0103</t>
  </si>
  <si>
    <t>PBV-GS13-05-25-19-00513</t>
  </si>
  <si>
    <t>0101</t>
  </si>
  <si>
    <t>PBV-GS13-05-25-19-00514</t>
  </si>
  <si>
    <t>PBV-GS13-05-25-19-00515</t>
  </si>
  <si>
    <t>099</t>
  </si>
  <si>
    <t>PBV-GS13-05-25-19-00516</t>
  </si>
  <si>
    <t>097</t>
  </si>
  <si>
    <t>PBV-GS13-05-25-19-00517</t>
  </si>
  <si>
    <t>PBV-GS13-05-25-19-00518</t>
  </si>
  <si>
    <t>095</t>
  </si>
  <si>
    <t>PBV-GS13-05-25-19-00519</t>
  </si>
  <si>
    <t>094</t>
  </si>
  <si>
    <t>PBV-GS13-05-25-19-00520</t>
  </si>
  <si>
    <t>093</t>
  </si>
  <si>
    <t>PBV-GS13-05-25-19-00521</t>
  </si>
  <si>
    <t>PBV-GS13-05-25-19-00522</t>
  </si>
  <si>
    <t>091</t>
  </si>
  <si>
    <t>PBV-GS13-05-25-19-00523</t>
  </si>
  <si>
    <t>089</t>
  </si>
  <si>
    <t>PBV-GS13-05-25-19-00524</t>
  </si>
  <si>
    <t>090</t>
  </si>
  <si>
    <t>PBV-GS13-05-25-19-00525</t>
  </si>
  <si>
    <t>00009716</t>
  </si>
  <si>
    <t>PBV-GS13-05-25-19-00529</t>
  </si>
  <si>
    <t>9180485674</t>
  </si>
  <si>
    <t>MF-GS13-01-01-19-00031</t>
  </si>
  <si>
    <t>PBV-GS13-05-25-19-00531</t>
  </si>
  <si>
    <t>SUP-0249</t>
  </si>
  <si>
    <t>DADA PRINTERS</t>
  </si>
  <si>
    <t>PBV-GS13-05-25-19-00532</t>
  </si>
  <si>
    <t>0106</t>
  </si>
  <si>
    <t>PBV-GS13-05-25-19-00533</t>
  </si>
  <si>
    <t>0102</t>
  </si>
  <si>
    <t>PBV-GS13-05-25-19-00534</t>
  </si>
  <si>
    <t>SUP-0580</t>
  </si>
  <si>
    <t>31162</t>
  </si>
  <si>
    <t>T-GS13-05-25-19-01912</t>
  </si>
  <si>
    <t>MEHTA BROTHERS PVT LTD.</t>
  </si>
  <si>
    <t>IDHO-16926</t>
  </si>
  <si>
    <t>PBV-GS13-05-25-19-00535</t>
  </si>
  <si>
    <t>SUP-0078</t>
  </si>
  <si>
    <t>AL MUSTAFA PACKAGES</t>
  </si>
  <si>
    <t>PBV-GS13-05-25-19-00536</t>
  </si>
  <si>
    <t>SUP-1154</t>
  </si>
  <si>
    <t>635</t>
  </si>
  <si>
    <t>ECHO PACK</t>
  </si>
  <si>
    <t>PBV-GS13-05-25-19-00537</t>
  </si>
  <si>
    <t>SUP-1008</t>
  </si>
  <si>
    <t>3752</t>
  </si>
  <si>
    <t>UNITED ENTERPRISES</t>
  </si>
  <si>
    <t>PBV-GS13-05-25-19-00538</t>
  </si>
  <si>
    <t>BEWL/CI/045/12</t>
  </si>
  <si>
    <t>PBV-GS13-05-25-19-00539</t>
  </si>
  <si>
    <t>BEWL/CI/046/12</t>
  </si>
  <si>
    <t>PBV-GS13-05-25-19-00540</t>
  </si>
  <si>
    <t>BEWL/CI/047/12</t>
  </si>
  <si>
    <t>PBV-GS13-05-25-19-00541</t>
  </si>
  <si>
    <t>BEWL/CI/048/12</t>
  </si>
  <si>
    <t>PBV-GS13-05-25-19-00542</t>
  </si>
  <si>
    <t>T00380-13</t>
  </si>
  <si>
    <t>PBV-GS13-05-25-19-00543</t>
  </si>
  <si>
    <t>T00397-13</t>
  </si>
  <si>
    <t>PBV-GS13-05-25-19-00545</t>
  </si>
  <si>
    <t>3233</t>
  </si>
  <si>
    <t>PBV-GS13-05-25-19-00548</t>
  </si>
  <si>
    <t>31196</t>
  </si>
  <si>
    <t>T-GS13-05-25-19-01913</t>
  </si>
  <si>
    <t>PBV-GS13-05-25-19-00554</t>
  </si>
  <si>
    <t>PBV-GS13-05-25-19-00557</t>
  </si>
  <si>
    <t>10755</t>
  </si>
  <si>
    <t>PBV-GS13-05-25-19-00558</t>
  </si>
  <si>
    <t>10757</t>
  </si>
  <si>
    <t>PBV-GS13-05-25-19-00559</t>
  </si>
  <si>
    <t>SUP-1755</t>
  </si>
  <si>
    <t>TAILI STEELS</t>
  </si>
  <si>
    <t>PBV-GS13-05-25-19-00560</t>
  </si>
  <si>
    <t>PBV-GS13-05-25-19-00561</t>
  </si>
  <si>
    <t>PBV-GS13-05-25-19-00563</t>
  </si>
  <si>
    <t>10756</t>
  </si>
  <si>
    <t>PBV-GS13-05-25-19-00571</t>
  </si>
  <si>
    <t>SUP-0099</t>
  </si>
  <si>
    <t>ALAM TRADERS</t>
  </si>
  <si>
    <t>PBV-GS13-05-25-19-00573</t>
  </si>
  <si>
    <t>1974</t>
  </si>
  <si>
    <t>AL-HUTAIB TRADERS.</t>
  </si>
  <si>
    <t>PBV-GS13-05-25-19-00574</t>
  </si>
  <si>
    <t>PBV-GS13-05-25-19-00575</t>
  </si>
  <si>
    <t>PBV-GS13-05-25-19-00576</t>
  </si>
  <si>
    <t>PBV-GS13-05-25-19-00577</t>
  </si>
  <si>
    <t>2022</t>
  </si>
  <si>
    <t>PBV-GS13-05-25-19-00578</t>
  </si>
  <si>
    <t>PBV-GS13-05-25-19-00579</t>
  </si>
  <si>
    <t>SUP-0159</t>
  </si>
  <si>
    <t>0395</t>
  </si>
  <si>
    <t>T-GS13-05-25-19-02030</t>
  </si>
  <si>
    <t>ATLAS STEEL &amp; ENGINEERING COMPANY</t>
  </si>
  <si>
    <t>IDHO-16966</t>
  </si>
  <si>
    <t>PBV-GS13-05-25-19-00580</t>
  </si>
  <si>
    <t>SUP-1639</t>
  </si>
  <si>
    <t>00001003</t>
  </si>
  <si>
    <t>T-GS13-05-25-19-01936</t>
  </si>
  <si>
    <t>ELEGANT TRADERS</t>
  </si>
  <si>
    <t>IDHO-16939</t>
  </si>
  <si>
    <t>PBV-GS13-05-25-19-00583</t>
  </si>
  <si>
    <t>9180492278</t>
  </si>
  <si>
    <t>MF-GS13-01-01-19-00033</t>
  </si>
  <si>
    <t>PBV-GS13-05-25-19-00584</t>
  </si>
  <si>
    <t>9180492277</t>
  </si>
  <si>
    <t>PBV-GS13-05-25-19-00586</t>
  </si>
  <si>
    <t>4272</t>
  </si>
  <si>
    <t>PBV-GS13-05-25-19-00587</t>
  </si>
  <si>
    <t>SUP-0437</t>
  </si>
  <si>
    <t>1784</t>
  </si>
  <si>
    <t>ISMAIL &amp; COMPANY</t>
  </si>
  <si>
    <t>PBV-GS13-05-25-19-00589</t>
  </si>
  <si>
    <t>00001020</t>
  </si>
  <si>
    <t>PBV-GS13-05-25-19-00590</t>
  </si>
  <si>
    <t>00001002</t>
  </si>
  <si>
    <t>T-GS13-05-25-19-01937</t>
  </si>
  <si>
    <t>PBV-GS13-05-25-19-00591</t>
  </si>
  <si>
    <t>00001001</t>
  </si>
  <si>
    <t>T-GS13-05-25-19-01938</t>
  </si>
  <si>
    <t>PBV-GS13-05-25-19-00592</t>
  </si>
  <si>
    <t>00001019</t>
  </si>
  <si>
    <t>PBV-GS13-05-25-19-00595</t>
  </si>
  <si>
    <t>450</t>
  </si>
  <si>
    <t>PBV-GS13-05-25-19-00596</t>
  </si>
  <si>
    <t>T00423-13</t>
  </si>
  <si>
    <t>PBV-GS13-05-25-19-00597</t>
  </si>
  <si>
    <t>PBV-GS13-05-25-19-00601</t>
  </si>
  <si>
    <t>PBV-GS13-05-25-19-00605</t>
  </si>
  <si>
    <t>00001018</t>
  </si>
  <si>
    <t>PBV-GS13-05-25-19-00606</t>
  </si>
  <si>
    <t>T00422-13</t>
  </si>
  <si>
    <t>PBV-GS13-05-25-19-00607</t>
  </si>
  <si>
    <t>T00424-13</t>
  </si>
  <si>
    <t>PBV-GS13-05-25-19-00608</t>
  </si>
  <si>
    <t>3248</t>
  </si>
  <si>
    <t>PBV-GS13-05-25-19-00611</t>
  </si>
  <si>
    <t>PBV-GS13-05-25-19-00617</t>
  </si>
  <si>
    <t>PBV-GS13-05-25-19-00621</t>
  </si>
  <si>
    <t>PBV-GS13-05-25-19-00622</t>
  </si>
  <si>
    <t>T00457-13</t>
  </si>
  <si>
    <t>PBV-GS13-05-25-19-00623</t>
  </si>
  <si>
    <t>T00421-13</t>
  </si>
  <si>
    <t>PBV-GS13-05-25-19-00624</t>
  </si>
  <si>
    <t>T00456-13</t>
  </si>
  <si>
    <t>PBV-GS13-05-25-19-00631</t>
  </si>
  <si>
    <t>SUP-0191</t>
  </si>
  <si>
    <t>BLUE CHIP ENTERPRISES</t>
  </si>
  <si>
    <t>PBV-GS13-05-25-19-00633</t>
  </si>
  <si>
    <t>SUP-1473</t>
  </si>
  <si>
    <t>P-40</t>
  </si>
  <si>
    <t>PBV-GS13-05-25-19-00635</t>
  </si>
  <si>
    <t>SUP-1781</t>
  </si>
  <si>
    <t>PBV-GS13-05-25-19-00636</t>
  </si>
  <si>
    <t>PBV-GS13-05-25-19-00637</t>
  </si>
  <si>
    <t>1272/BEWL</t>
  </si>
  <si>
    <t>PBV-GS13-05-25-19-00638</t>
  </si>
  <si>
    <t>1273/BEWL</t>
  </si>
  <si>
    <t>PBV-GS13-05-25-19-00640</t>
  </si>
  <si>
    <t>PBV-GS13-05-25-19-00642</t>
  </si>
  <si>
    <t>069</t>
  </si>
  <si>
    <t>PBV-GS13-05-25-19-00643</t>
  </si>
  <si>
    <t>17449</t>
  </si>
  <si>
    <t>PBV-GS13-05-25-19-00644</t>
  </si>
  <si>
    <t>17447</t>
  </si>
  <si>
    <t>PBV-GS13-05-25-19-00645</t>
  </si>
  <si>
    <t>17448</t>
  </si>
  <si>
    <t>PBV-GS13-05-25-19-00646</t>
  </si>
  <si>
    <t>17446</t>
  </si>
  <si>
    <t>PBV-GS13-05-25-19-00647</t>
  </si>
  <si>
    <t>14834</t>
  </si>
  <si>
    <t>PBV-GS13-05-25-19-00648</t>
  </si>
  <si>
    <t>SUP-0635</t>
  </si>
  <si>
    <t>NABEEL RUBBER PRODUCTS</t>
  </si>
  <si>
    <t>PBV-GS13-05-25-19-00649</t>
  </si>
  <si>
    <t>PBV-GS13-05-25-19-00650</t>
  </si>
  <si>
    <t>7695</t>
  </si>
  <si>
    <t>PBV-GS13-05-25-19-00651</t>
  </si>
  <si>
    <t>7698</t>
  </si>
  <si>
    <t>PBV-GS13-05-25-19-00652</t>
  </si>
  <si>
    <t>3792</t>
  </si>
  <si>
    <t>PBV-GS13-05-25-19-00653</t>
  </si>
  <si>
    <t>PBV-GS13-05-25-19-00654</t>
  </si>
  <si>
    <t>PBV-GS13-05-25-19-00655</t>
  </si>
  <si>
    <t>PBV-GS13-05-25-19-00656</t>
  </si>
  <si>
    <t>PBV-GS13-05-25-19-00657</t>
  </si>
  <si>
    <t>11195</t>
  </si>
  <si>
    <t>PBV-GS13-05-25-19-00659</t>
  </si>
  <si>
    <t>PBV-GS13-05-25-19-00660</t>
  </si>
  <si>
    <t>SUP-1118</t>
  </si>
  <si>
    <t>RIAZ TRADERS</t>
  </si>
  <si>
    <t>PBV-GS13-05-25-19-00665</t>
  </si>
  <si>
    <t>904</t>
  </si>
  <si>
    <t>PBV-GS13-05-25-19-00666</t>
  </si>
  <si>
    <t>31330</t>
  </si>
  <si>
    <t>PBV-GS13-05-25-19-00667</t>
  </si>
  <si>
    <t>PBV-GS13-05-25-19-00668</t>
  </si>
  <si>
    <t>3278</t>
  </si>
  <si>
    <t>PBV-GS13-05-25-19-00669</t>
  </si>
  <si>
    <t>3279</t>
  </si>
  <si>
    <t>PBV-GS13-05-25-19-00670</t>
  </si>
  <si>
    <t>PBV-GS13-05-25-19-00671</t>
  </si>
  <si>
    <t>00001048</t>
  </si>
  <si>
    <t>PBV-GS13-05-25-19-00672</t>
  </si>
  <si>
    <t>4320</t>
  </si>
  <si>
    <t>LLC-GS13-01-01-19-00027</t>
  </si>
  <si>
    <t>PBV-GS13-05-25-19-00674</t>
  </si>
  <si>
    <t>3277</t>
  </si>
  <si>
    <t>PBV-GS13-05-25-19-00675</t>
  </si>
  <si>
    <t>3282</t>
  </si>
  <si>
    <t>PBV-GS13-05-25-19-00676</t>
  </si>
  <si>
    <t>PBV-GS13-05-25-19-00677</t>
  </si>
  <si>
    <t>PBV-GS13-05-25-19-00678</t>
  </si>
  <si>
    <t>PBV-GS13-05-25-19-00679</t>
  </si>
  <si>
    <t>SUP-0083</t>
  </si>
  <si>
    <t>AL-AZIZ PRINTING PRESS</t>
  </si>
  <si>
    <t>PBV-GS13-05-25-19-00680</t>
  </si>
  <si>
    <t>3281</t>
  </si>
  <si>
    <t>PBV-GS13-05-25-19-00682</t>
  </si>
  <si>
    <t>PBV-GS13-05-25-19-00683</t>
  </si>
  <si>
    <t>PBV-GS13-05-25-19-00684</t>
  </si>
  <si>
    <t>PBV-GS13-05-25-19-00685</t>
  </si>
  <si>
    <t>0109</t>
  </si>
  <si>
    <t>PBV-GS13-05-25-19-00686</t>
  </si>
  <si>
    <t>0110</t>
  </si>
  <si>
    <t>PBV-GS13-05-25-19-00687</t>
  </si>
  <si>
    <t>0111</t>
  </si>
  <si>
    <t>PBV-GS13-05-25-19-00688</t>
  </si>
  <si>
    <t>PBV-GS13-05-25-19-00689</t>
  </si>
  <si>
    <t>PBV-GS13-05-25-19-00691</t>
  </si>
  <si>
    <t>0125</t>
  </si>
  <si>
    <t>PBV-GS13-05-25-19-00693</t>
  </si>
  <si>
    <t>0127</t>
  </si>
  <si>
    <t>PBV-GS13-05-25-19-00694</t>
  </si>
  <si>
    <t>0130</t>
  </si>
  <si>
    <t>PBV-GS13-05-25-19-00697</t>
  </si>
  <si>
    <t>0122</t>
  </si>
  <si>
    <t>PBV-GS13-05-25-19-00701</t>
  </si>
  <si>
    <t>SUP-0751</t>
  </si>
  <si>
    <t>PA-163</t>
  </si>
  <si>
    <t>PREMIER ASSOCIATES.</t>
  </si>
  <si>
    <t>PBV-GS13-05-25-19-00702</t>
  </si>
  <si>
    <t>PA-145</t>
  </si>
  <si>
    <t>PBV-GS13-05-25-19-00703</t>
  </si>
  <si>
    <t>11216</t>
  </si>
  <si>
    <t>PBV-GS13-05-25-19-00704</t>
  </si>
  <si>
    <t>11213</t>
  </si>
  <si>
    <t>PBV-GS13-05-25-19-00705</t>
  </si>
  <si>
    <t>11215</t>
  </si>
  <si>
    <t>PBV-GS13-05-25-19-00706</t>
  </si>
  <si>
    <t>PBV-GS13-05-25-19-00707</t>
  </si>
  <si>
    <t>11219</t>
  </si>
  <si>
    <t>PBV-GS13-05-25-19-00710</t>
  </si>
  <si>
    <t>563</t>
  </si>
  <si>
    <t>PBV-GS13-05-25-19-00711</t>
  </si>
  <si>
    <t>SUP-1172</t>
  </si>
  <si>
    <t>3177</t>
  </si>
  <si>
    <t>UNIVERSAL TRADERS</t>
  </si>
  <si>
    <t>PBV-GS13-05-25-19-00712</t>
  </si>
  <si>
    <t>3178</t>
  </si>
  <si>
    <t>PBV-GS13-05-25-19-00713</t>
  </si>
  <si>
    <t>9180501195</t>
  </si>
  <si>
    <t>MF-GS13-01-01-19-00039</t>
  </si>
  <si>
    <t>PBV-GS13-05-25-19-00714</t>
  </si>
  <si>
    <t>3280</t>
  </si>
  <si>
    <t>PBV-GS13-05-25-19-00715</t>
  </si>
  <si>
    <t>PBV-GS13-05-25-19-00716</t>
  </si>
  <si>
    <t>0115</t>
  </si>
  <si>
    <t>PBV-GS13-05-25-19-00717</t>
  </si>
  <si>
    <t>PBV-GS13-05-25-19-00718</t>
  </si>
  <si>
    <t>PBV-GS13-05-25-19-00719</t>
  </si>
  <si>
    <t>4766</t>
  </si>
  <si>
    <t>PBV-GS13-05-25-19-00720</t>
  </si>
  <si>
    <t>00001043 &amp;00001062</t>
  </si>
  <si>
    <t>PBV-GS13-05-25-19-00721</t>
  </si>
  <si>
    <t>10754</t>
  </si>
  <si>
    <t>PBV-GS13-05-25-19-00722</t>
  </si>
  <si>
    <t>PBV-GS13-05-25-19-00724</t>
  </si>
  <si>
    <t>SUP-1618</t>
  </si>
  <si>
    <t>CROWN TYRE</t>
  </si>
  <si>
    <t>PBV-GS13-05-25-19-00725</t>
  </si>
  <si>
    <t>11217</t>
  </si>
  <si>
    <t>PBV-GS13-05-25-19-00742</t>
  </si>
  <si>
    <t>0116</t>
  </si>
  <si>
    <t>PBV-GS13-05-25-19-00743</t>
  </si>
  <si>
    <t>0117</t>
  </si>
  <si>
    <t>PBV-GS13-05-25-19-00744</t>
  </si>
  <si>
    <t>PBV-GS13-05-25-19-00745</t>
  </si>
  <si>
    <t>PBV-GS13-05-25-19-00746</t>
  </si>
  <si>
    <t>0120</t>
  </si>
  <si>
    <t>PBV-GS13-05-25-19-00748</t>
  </si>
  <si>
    <t>0121</t>
  </si>
  <si>
    <t>PBV-GS13-05-25-19-00749</t>
  </si>
  <si>
    <t>0123</t>
  </si>
  <si>
    <t>PBV-GS13-05-25-19-00750</t>
  </si>
  <si>
    <t>0124</t>
  </si>
  <si>
    <t>PBV-GS13-05-25-19-00751</t>
  </si>
  <si>
    <t>0126</t>
  </si>
  <si>
    <t>PBV-GS13-05-25-19-00752</t>
  </si>
  <si>
    <t>PBV-GS13-05-25-19-00753</t>
  </si>
  <si>
    <t>0129</t>
  </si>
  <si>
    <t>PBV-GS13-05-25-19-00754</t>
  </si>
  <si>
    <t>0131</t>
  </si>
  <si>
    <t>PBV-GS13-05-25-19-00755</t>
  </si>
  <si>
    <t>31460</t>
  </si>
  <si>
    <t>PBV-GS13-05-25-19-00758</t>
  </si>
  <si>
    <t>447</t>
  </si>
  <si>
    <t>PBV-GS13-05-25-19-00759</t>
  </si>
  <si>
    <t>BEWL/CI/049/12</t>
  </si>
  <si>
    <t>PBV-GS13-05-25-19-00760</t>
  </si>
  <si>
    <t>BEWL/CI/050/12</t>
  </si>
  <si>
    <t>PBV-GS13-05-25-19-00761</t>
  </si>
  <si>
    <t>PBV-GS13-05-25-19-00763</t>
  </si>
  <si>
    <t>569</t>
  </si>
  <si>
    <t>T-GS13-05-25-19-01710</t>
  </si>
  <si>
    <t>MUHAMMAD PERVEZ</t>
  </si>
  <si>
    <t>IDHO-16835</t>
  </si>
  <si>
    <t>PBV-GS13-05-25-19-00764</t>
  </si>
  <si>
    <t>PBV-GS13-05-25-19-00765</t>
  </si>
  <si>
    <t>00009746</t>
  </si>
  <si>
    <t>PBV-GS13-05-25-19-00766</t>
  </si>
  <si>
    <t>PBV-GS13-05-25-19-00767</t>
  </si>
  <si>
    <t>596</t>
  </si>
  <si>
    <t>PBV-GS13-05-25-19-00768</t>
  </si>
  <si>
    <t>592</t>
  </si>
  <si>
    <t>PBV-GS13-05-25-19-00770</t>
  </si>
  <si>
    <t>201</t>
  </si>
  <si>
    <t>PBV-GS13-05-25-19-00771</t>
  </si>
  <si>
    <t>1998</t>
  </si>
  <si>
    <t>PBV-GS13-05-25-19-00774</t>
  </si>
  <si>
    <t>4343</t>
  </si>
  <si>
    <t>PBV-GS13-05-25-19-00775</t>
  </si>
  <si>
    <t>4334</t>
  </si>
  <si>
    <t>PBV-GS13-05-25-19-00777</t>
  </si>
  <si>
    <t>11967</t>
  </si>
  <si>
    <t>PBV-GS13-05-25-19-00778</t>
  </si>
  <si>
    <t>SUP-0984</t>
  </si>
  <si>
    <t>4172</t>
  </si>
  <si>
    <t>PBV-GS13-05-25-19-00780</t>
  </si>
  <si>
    <t>PBV-GS13-05-25-19-00781</t>
  </si>
  <si>
    <t>31545</t>
  </si>
  <si>
    <t>PBV-GS13-05-25-19-00782</t>
  </si>
  <si>
    <t>SUP-0124</t>
  </si>
  <si>
    <t>KHI/ATS/26878/12-13</t>
  </si>
  <si>
    <t>AMEEJEE VALLEJEE &amp; SONS (PVT) LTD.</t>
  </si>
  <si>
    <t>PBV-GS13-05-25-19-00783</t>
  </si>
  <si>
    <t>SUP-0793</t>
  </si>
  <si>
    <t>10306</t>
  </si>
  <si>
    <t>QADRI FOUNDRY PVT LTD.</t>
  </si>
  <si>
    <t>PBV-GS13-05-25-19-00784</t>
  </si>
  <si>
    <t>POL-GS13-05-25-19-0433</t>
  </si>
  <si>
    <t>PBV-GS13-05-25-19-00787</t>
  </si>
  <si>
    <t>0141</t>
  </si>
  <si>
    <t>PBV-GS13-05-25-19-00788</t>
  </si>
  <si>
    <t>PBV-GS13-05-25-19-00789</t>
  </si>
  <si>
    <t>PBV-GS13-05-25-19-00790</t>
  </si>
  <si>
    <t>0137</t>
  </si>
  <si>
    <t>PBV-GS13-05-25-19-00791</t>
  </si>
  <si>
    <t>0136</t>
  </si>
  <si>
    <t>PBV-GS13-05-25-19-00792</t>
  </si>
  <si>
    <t>PBV-GS13-05-25-19-00793</t>
  </si>
  <si>
    <t>PBV-GS13-05-25-19-00794</t>
  </si>
  <si>
    <t>0132</t>
  </si>
  <si>
    <t>PBV-GS13-05-25-19-00795</t>
  </si>
  <si>
    <t>PBV-GS13-05-25-19-00796</t>
  </si>
  <si>
    <t>PBV-GS13-05-25-19-00797</t>
  </si>
  <si>
    <t>PBV-GS13-05-25-19-00798</t>
  </si>
  <si>
    <t>PBV-GS13-05-25-19-00800</t>
  </si>
  <si>
    <t>11293</t>
  </si>
  <si>
    <t>PBV-GS13-05-25-19-00801</t>
  </si>
  <si>
    <t>PBV-GS13-05-25-19-00804</t>
  </si>
  <si>
    <t>SUP-1784</t>
  </si>
  <si>
    <t>008</t>
  </si>
  <si>
    <t>CURRENT MAX</t>
  </si>
  <si>
    <t>PBV-GS13-05-25-19-00805</t>
  </si>
  <si>
    <t>PBV-GS13-05-25-19-00806</t>
  </si>
  <si>
    <t>PBV-GS13-05-25-19-00807</t>
  </si>
  <si>
    <t>9180508623</t>
  </si>
  <si>
    <t>MF-GS13-01-01-19-00044</t>
  </si>
  <si>
    <t>PBV-GS13-05-25-19-00808</t>
  </si>
  <si>
    <t>11407</t>
  </si>
  <si>
    <t>PBV-GS13-05-25-19-00809</t>
  </si>
  <si>
    <t>SUP-0964</t>
  </si>
  <si>
    <t>4091</t>
  </si>
  <si>
    <t>TASNIM &amp; SONS.</t>
  </si>
  <si>
    <t>PBV-GS13-05-25-19-00810</t>
  </si>
  <si>
    <t>4349</t>
  </si>
  <si>
    <t>PBV-GS13-05-25-19-00811</t>
  </si>
  <si>
    <t>4359</t>
  </si>
  <si>
    <t>PBV-GS13-05-25-19-00812</t>
  </si>
  <si>
    <t>00009757</t>
  </si>
  <si>
    <t>PBV-GS13-05-25-19-00813</t>
  </si>
  <si>
    <t>00001104</t>
  </si>
  <si>
    <t>PBV-GS13-05-25-19-00814</t>
  </si>
  <si>
    <t>SUP-0537</t>
  </si>
  <si>
    <t>1009</t>
  </si>
  <si>
    <t>M.S.TRADERS</t>
  </si>
  <si>
    <t>PBV-GS13-05-25-19-00819</t>
  </si>
  <si>
    <t>0143</t>
  </si>
  <si>
    <t>PBV-GS13-05-25-19-00820</t>
  </si>
  <si>
    <t>PBV-GS13-05-25-19-00821</t>
  </si>
  <si>
    <t>0145</t>
  </si>
  <si>
    <t>PBV-GS13-05-25-19-00822</t>
  </si>
  <si>
    <t>0147</t>
  </si>
  <si>
    <t>PBV-GS13-05-25-19-00823</t>
  </si>
  <si>
    <t>SUP-1242</t>
  </si>
  <si>
    <t>PBV-GS13-05-25-19-00825</t>
  </si>
  <si>
    <t>00001106</t>
  </si>
  <si>
    <t>PBV-GS13-05-25-19-00826</t>
  </si>
  <si>
    <t>00001105</t>
  </si>
  <si>
    <t>PBV-GS13-05-25-19-00828</t>
  </si>
  <si>
    <t>9180512821</t>
  </si>
  <si>
    <t>MF-GS13-01-01-19-00052</t>
  </si>
  <si>
    <t>PBV-GS13-05-25-19-00829</t>
  </si>
  <si>
    <t>PBV-GS13-05-25-19-00830</t>
  </si>
  <si>
    <t>11292</t>
  </si>
  <si>
    <t>PBV-GS13-05-25-19-00831</t>
  </si>
  <si>
    <t>PBV-GS13-05-25-19-00832</t>
  </si>
  <si>
    <t>10319</t>
  </si>
  <si>
    <t>PBV-GS13-05-25-19-00833</t>
  </si>
  <si>
    <t>1309/BEWL</t>
  </si>
  <si>
    <t>PBV-GS13-05-25-19-00838</t>
  </si>
  <si>
    <t>PBV-GS13-05-25-19-00839</t>
  </si>
  <si>
    <t>SUP-0538</t>
  </si>
  <si>
    <t>4571</t>
  </si>
  <si>
    <t>M.SHABBIR &amp; CO.</t>
  </si>
  <si>
    <t>PBV-GS13-05-25-19-00840</t>
  </si>
  <si>
    <t>4572</t>
  </si>
  <si>
    <t>PBV-GS13-05-25-19-00841</t>
  </si>
  <si>
    <t>120202</t>
  </si>
  <si>
    <t>PBV-GS13-05-25-19-00842</t>
  </si>
  <si>
    <t>3894</t>
  </si>
  <si>
    <t>PBV-GS13-05-25-19-00843</t>
  </si>
  <si>
    <t>3889</t>
  </si>
  <si>
    <t>PBV-GS13-05-25-19-00844</t>
  </si>
  <si>
    <t>470</t>
  </si>
  <si>
    <t>PBV-GS13-05-25-19-00845</t>
  </si>
  <si>
    <t>PBV-GS13-05-25-19-00846</t>
  </si>
  <si>
    <t>SUP-0082</t>
  </si>
  <si>
    <t>4015</t>
  </si>
  <si>
    <t>AL-AZHAR HARDWARE AND TOOLS</t>
  </si>
  <si>
    <t>PBV-GS13-05-25-19-00847</t>
  </si>
  <si>
    <t>704</t>
  </si>
  <si>
    <t>PBV-GS13-05-25-19-00848</t>
  </si>
  <si>
    <t>0146</t>
  </si>
  <si>
    <t>PBV-GS13-05-25-19-00849</t>
  </si>
  <si>
    <t>0148</t>
  </si>
  <si>
    <t>PBV-GS13-05-25-19-00850</t>
  </si>
  <si>
    <t>0149</t>
  </si>
  <si>
    <t>PBV-GS13-05-25-19-00852</t>
  </si>
  <si>
    <t>PBV-GS13-05-25-19-00853</t>
  </si>
  <si>
    <t>163</t>
  </si>
  <si>
    <t>PBV-GS13-05-25-19-00854</t>
  </si>
  <si>
    <t>PBV-GS13-05-25-19-00855</t>
  </si>
  <si>
    <t>PBV-GS13-05-25-19-00856</t>
  </si>
  <si>
    <t>31544</t>
  </si>
  <si>
    <t>PBV-GS13-05-25-19-00857</t>
  </si>
  <si>
    <t>PBV-GS13-05-25-19-00858</t>
  </si>
  <si>
    <t>257</t>
  </si>
  <si>
    <t>PBV-GS13-05-25-19-00859</t>
  </si>
  <si>
    <t>3359</t>
  </si>
  <si>
    <t>PBV-GS13-05-25-19-00861</t>
  </si>
  <si>
    <t>0151</t>
  </si>
  <si>
    <t>PBV-GS13-05-25-19-00862</t>
  </si>
  <si>
    <t>0150</t>
  </si>
  <si>
    <t>PBV-GS13-05-25-19-00863</t>
  </si>
  <si>
    <t>012</t>
  </si>
  <si>
    <t>PBV-GS13-05-25-19-00864</t>
  </si>
  <si>
    <t>PBV-GS13-05-25-19-00865</t>
  </si>
  <si>
    <t>PBV-GS13-05-25-19-00866</t>
  </si>
  <si>
    <t>10776</t>
  </si>
  <si>
    <t>PBV-GS13-05-25-19-00867</t>
  </si>
  <si>
    <t>10777</t>
  </si>
  <si>
    <t>PBV-GS13-05-25-19-00868</t>
  </si>
  <si>
    <t>10778</t>
  </si>
  <si>
    <t>PBV-GS13-05-25-19-00869</t>
  </si>
  <si>
    <t>10779</t>
  </si>
  <si>
    <t>PBV-GS13-05-25-19-00870</t>
  </si>
  <si>
    <t>PBV-GS13-05-25-19-00871</t>
  </si>
  <si>
    <t>PBV-GS13-05-25-19-00872</t>
  </si>
  <si>
    <t>0157</t>
  </si>
  <si>
    <t>PBV-GS13-05-25-19-00873</t>
  </si>
  <si>
    <t>SUP-1532</t>
  </si>
  <si>
    <t>9120</t>
  </si>
  <si>
    <t>PBV-GS13-05-25-19-00874</t>
  </si>
  <si>
    <t>24456</t>
  </si>
  <si>
    <t>MERIN ENGINEERING SERVICE</t>
  </si>
  <si>
    <t>PBV-GS13-05-25-19-00875</t>
  </si>
  <si>
    <t>SUP-1377</t>
  </si>
  <si>
    <t>AIM TECH ENGINEERING</t>
  </si>
  <si>
    <t>PBV-GS13-05-25-19-00876</t>
  </si>
  <si>
    <t>SUP-0400</t>
  </si>
  <si>
    <t>IFTEKHAR BROTHERS.</t>
  </si>
  <si>
    <t>PBV-GS13-05-25-19-00877</t>
  </si>
  <si>
    <t>SUP-1024</t>
  </si>
  <si>
    <t>121084</t>
  </si>
  <si>
    <t>WAH NOBEL CHEMICAL LTD.</t>
  </si>
  <si>
    <t>PBV-GS13-05-25-19-00878</t>
  </si>
  <si>
    <t>PBV-GS13-05-25-19-00879</t>
  </si>
  <si>
    <t>0155</t>
  </si>
  <si>
    <t>PBV-GS13-05-25-19-00880</t>
  </si>
  <si>
    <t>0154</t>
  </si>
  <si>
    <t>PBV-GS13-05-25-19-00881</t>
  </si>
  <si>
    <t>0153</t>
  </si>
  <si>
    <t>PBV-GS13-05-25-19-00882</t>
  </si>
  <si>
    <t>3369</t>
  </si>
  <si>
    <t>PBV-GS13-05-25-19-00885</t>
  </si>
  <si>
    <t>31697</t>
  </si>
  <si>
    <t>PBV-GS13-05-25-19-00886</t>
  </si>
  <si>
    <t>9180520159</t>
  </si>
  <si>
    <t>MF-GS13-01-01-19-00056</t>
  </si>
  <si>
    <t>PBV-GS13-05-25-19-00887</t>
  </si>
  <si>
    <t>0156</t>
  </si>
  <si>
    <t>PBV-GS13-05-25-19-00888</t>
  </si>
  <si>
    <t>PBV-GS13-05-25-19-00889</t>
  </si>
  <si>
    <t>0152</t>
  </si>
  <si>
    <t>PBV-GS13-05-25-19-00890</t>
  </si>
  <si>
    <t>0158</t>
  </si>
  <si>
    <t>PBV-GS13-05-25-19-00891</t>
  </si>
  <si>
    <t>3348</t>
  </si>
  <si>
    <t>PBV-GS13-05-25-19-00892</t>
  </si>
  <si>
    <t>PBV-GS13-05-25-19-00893</t>
  </si>
  <si>
    <t>BEWL/CI/051/12</t>
  </si>
  <si>
    <t>PBV-GS13-05-25-19-00894</t>
  </si>
  <si>
    <t>BEWL/CI/052/12</t>
  </si>
  <si>
    <t>PBV-GS13-05-25-19-00895</t>
  </si>
  <si>
    <t>BEWL/CI/053/12</t>
  </si>
  <si>
    <t>PBV-GS13-05-25-19-00896</t>
  </si>
  <si>
    <t>1324/BEWL</t>
  </si>
  <si>
    <t>PBV-GS13-05-25-19-00897</t>
  </si>
  <si>
    <t>BEWL/CI/055/12</t>
  </si>
  <si>
    <t>PBV-GS13-05-25-19-00898</t>
  </si>
  <si>
    <t>10785</t>
  </si>
  <si>
    <t>PBV-GS13-05-25-19-00899</t>
  </si>
  <si>
    <t>T00606-13</t>
  </si>
  <si>
    <t>PBV-GS13-05-25-19-00900</t>
  </si>
  <si>
    <t>BEWL/CI/054/12</t>
  </si>
  <si>
    <t>PBV-GS13-05-25-19-00901</t>
  </si>
  <si>
    <t>T00607-13</t>
  </si>
  <si>
    <t>PBV-GS13-05-25-19-00903</t>
  </si>
  <si>
    <t>PBV-GS13-05-25-19-00904</t>
  </si>
  <si>
    <t>SS13-0103233</t>
  </si>
  <si>
    <t>MF-GS13-01-01-19-00053</t>
  </si>
  <si>
    <t>PBV-GS13-05-25-19-00909</t>
  </si>
  <si>
    <t>T-GS13-05-25-19-01839</t>
  </si>
  <si>
    <t>PBV-GS13-05-25-19-00910</t>
  </si>
  <si>
    <t>SS13-0103014</t>
  </si>
  <si>
    <t>PBV-GS13-05-25-19-00914</t>
  </si>
  <si>
    <t>4398</t>
  </si>
  <si>
    <t>PBV-GS13-05-25-19-00916</t>
  </si>
  <si>
    <t>PBV-GS13-05-25-19-00917</t>
  </si>
  <si>
    <t>SUP-0599</t>
  </si>
  <si>
    <t>M-001412</t>
  </si>
  <si>
    <t>MODERN CHEMICALS COMPANY</t>
  </si>
  <si>
    <t>PBV-GS13-05-25-19-00918</t>
  </si>
  <si>
    <t>SUP-0550</t>
  </si>
  <si>
    <t>MADINA MILL STORE</t>
  </si>
  <si>
    <t>PBV-GS13-05-25-19-00919</t>
  </si>
  <si>
    <t>9098</t>
  </si>
  <si>
    <t>PBV-GS13-05-25-19-00920</t>
  </si>
  <si>
    <t>PBV-GS13-05-25-19-00921</t>
  </si>
  <si>
    <t>376</t>
  </si>
  <si>
    <t>PBV-GS13-05-25-19-00922</t>
  </si>
  <si>
    <t>SUP-1778</t>
  </si>
  <si>
    <t>SULTAN NOOR MUHAMMAD</t>
  </si>
  <si>
    <t>PBV-GS13-05-25-19-00923</t>
  </si>
  <si>
    <t>PBV-GS13-05-25-19-00924</t>
  </si>
  <si>
    <t>PBV-GS13-05-25-19-00925</t>
  </si>
  <si>
    <t>015</t>
  </si>
  <si>
    <t>PBV-GS13-05-25-19-00926</t>
  </si>
  <si>
    <t>016</t>
  </si>
  <si>
    <t>PBV-GS13-05-25-19-00927</t>
  </si>
  <si>
    <t>PBV-GS13-05-25-19-00928</t>
  </si>
  <si>
    <t>SUP-1749</t>
  </si>
  <si>
    <t>T-GS13-05-25-19-01976</t>
  </si>
  <si>
    <t>A. RAHIM</t>
  </si>
  <si>
    <t>IDHO-16945</t>
  </si>
  <si>
    <t>PBV-GS13-05-25-19-00929</t>
  </si>
  <si>
    <t>SUP-0307</t>
  </si>
  <si>
    <t>1640</t>
  </si>
  <si>
    <t>PBV-GS13-05-25-19-00932</t>
  </si>
  <si>
    <t>1641</t>
  </si>
  <si>
    <t>PBV-GS13-05-25-19-00933</t>
  </si>
  <si>
    <t>1642</t>
  </si>
  <si>
    <t>PBV-GS13-05-25-19-00934</t>
  </si>
  <si>
    <t>16271</t>
  </si>
  <si>
    <t>PBV-GS13-05-25-19-00935</t>
  </si>
  <si>
    <t>16270</t>
  </si>
  <si>
    <t>PBV-GS13-05-25-19-00936</t>
  </si>
  <si>
    <t>SUP-0177</t>
  </si>
  <si>
    <t>130108900406</t>
  </si>
  <si>
    <t>BERGER PAINT PAKISTAN LTD.</t>
  </si>
  <si>
    <t>PBV-GS13-05-25-19-00937</t>
  </si>
  <si>
    <t>40207000</t>
  </si>
  <si>
    <t>PBV-GS13-05-25-19-00938</t>
  </si>
  <si>
    <t>PBV-GS13-05-25-19-00939</t>
  </si>
  <si>
    <t>40188735</t>
  </si>
  <si>
    <t>PBV-GS13-05-25-19-00940</t>
  </si>
  <si>
    <t>PBV-GS13-05-25-19-00941</t>
  </si>
  <si>
    <t>0595</t>
  </si>
  <si>
    <t>PBV-GS13-05-25-19-00942</t>
  </si>
  <si>
    <t>914788267</t>
  </si>
  <si>
    <t>POL-GS13-05-25-19-0682</t>
  </si>
  <si>
    <t>PBV-GS13-05-25-19-00943</t>
  </si>
  <si>
    <t>4409</t>
  </si>
  <si>
    <t>PBV-GS13-05-25-19-00944</t>
  </si>
  <si>
    <t>4423</t>
  </si>
  <si>
    <t>PBV-GS13-05-25-19-00946</t>
  </si>
  <si>
    <t>PBV-GS13-05-25-19-00947</t>
  </si>
  <si>
    <t>17577</t>
  </si>
  <si>
    <t>PBV-GS13-05-25-19-00948</t>
  </si>
  <si>
    <t>17576</t>
  </si>
  <si>
    <t>PBV-GS13-05-25-19-00949</t>
  </si>
  <si>
    <t>2030</t>
  </si>
  <si>
    <t>PBV-GS13-05-25-19-00950</t>
  </si>
  <si>
    <t>1083</t>
  </si>
  <si>
    <t>PBV-GS13-05-25-19-00951</t>
  </si>
  <si>
    <t>PBV-GS13-05-25-19-00952</t>
  </si>
  <si>
    <t>000</t>
  </si>
  <si>
    <t>T-GS13-05-25-19-01909</t>
  </si>
  <si>
    <t>LIFE ENGINEERING</t>
  </si>
  <si>
    <t>POL-GS13-05-25-19-0441</t>
  </si>
  <si>
    <t>IDHO-16923</t>
  </si>
  <si>
    <t>PBV-GS13-05-25-19-00953</t>
  </si>
  <si>
    <t>SUP-1693</t>
  </si>
  <si>
    <t>BAIG ENGINEERING WORKS</t>
  </si>
  <si>
    <t>POL-GS12-05-25-19-0388</t>
  </si>
  <si>
    <t>PBV-GS13-05-25-19-00954</t>
  </si>
  <si>
    <t>00001175</t>
  </si>
  <si>
    <t>PBV-GS13-05-25-19-00955</t>
  </si>
  <si>
    <t>11453</t>
  </si>
  <si>
    <t>PBV-GS13-05-25-19-00956</t>
  </si>
  <si>
    <t>2301</t>
  </si>
  <si>
    <t>PBV-GS13-05-25-19-00957</t>
  </si>
  <si>
    <t>PBV-GS13-05-25-19-00958</t>
  </si>
  <si>
    <t>PBV-GS13-05-25-19-00959</t>
  </si>
  <si>
    <t>PBV-GS13-05-25-19-00960</t>
  </si>
  <si>
    <t>PBV-GS13-05-25-19-00961</t>
  </si>
  <si>
    <t>PBV-GS13-05-25-19-00962</t>
  </si>
  <si>
    <t>259</t>
  </si>
  <si>
    <t>PBV-GS13-05-25-19-00963</t>
  </si>
  <si>
    <t>258</t>
  </si>
  <si>
    <t>PBV-GS13-05-25-19-00964</t>
  </si>
  <si>
    <t>PBV-GS13-05-25-19-00965</t>
  </si>
  <si>
    <t>PBV-GS13-05-25-19-00966</t>
  </si>
  <si>
    <t>PBV-GS13-05-25-19-00968</t>
  </si>
  <si>
    <t>00001165</t>
  </si>
  <si>
    <t>PBV-GS13-05-25-19-00969</t>
  </si>
  <si>
    <t>0171</t>
  </si>
  <si>
    <t>PBV-GS13-05-25-19-00970</t>
  </si>
  <si>
    <t>0170</t>
  </si>
  <si>
    <t>PBV-GS13-05-25-19-00971</t>
  </si>
  <si>
    <t>0169</t>
  </si>
  <si>
    <t>PBV-GS13-05-25-19-00973</t>
  </si>
  <si>
    <t>0168</t>
  </si>
  <si>
    <t>PBV-GS13-05-25-19-00974</t>
  </si>
  <si>
    <t>0166</t>
  </si>
  <si>
    <t>PBV-GS13-05-25-19-00975</t>
  </si>
  <si>
    <t>0165</t>
  </si>
  <si>
    <t>PBV-GS13-05-25-19-00976</t>
  </si>
  <si>
    <t>0164</t>
  </si>
  <si>
    <t>PBV-GS13-05-25-19-00977</t>
  </si>
  <si>
    <t>0163</t>
  </si>
  <si>
    <t>PBV-GS13-05-25-19-00978</t>
  </si>
  <si>
    <t>0162</t>
  </si>
  <si>
    <t>PBV-GS13-05-25-19-00979</t>
  </si>
  <si>
    <t>0161</t>
  </si>
  <si>
    <t>PBV-GS13-05-25-19-00980</t>
  </si>
  <si>
    <t>0160</t>
  </si>
  <si>
    <t>PBV-GS13-05-25-19-00981</t>
  </si>
  <si>
    <t>10330</t>
  </si>
  <si>
    <t>PBV-GS13-05-25-19-00982</t>
  </si>
  <si>
    <t>PBV-GS13-05-25-19-00983</t>
  </si>
  <si>
    <t>3236</t>
  </si>
  <si>
    <t>PBV-GS13-05-25-19-00984</t>
  </si>
  <si>
    <t>11450</t>
  </si>
  <si>
    <t>PBV-GS13-05-25-19-00985</t>
  </si>
  <si>
    <t>40221975</t>
  </si>
  <si>
    <t>PBV-GS13-05-25-19-00986</t>
  </si>
  <si>
    <t>PBV-GS13-05-25-19-00987</t>
  </si>
  <si>
    <t>914793855</t>
  </si>
  <si>
    <t>POL-GS13-05-25-19-0789</t>
  </si>
  <si>
    <t>PBV-GS13-05-25-19-00990</t>
  </si>
  <si>
    <t>11452</t>
  </si>
  <si>
    <t>PBV-GS13-05-25-19-00991</t>
  </si>
  <si>
    <t>31816</t>
  </si>
  <si>
    <t>PBV-GS13-05-25-19-00992</t>
  </si>
  <si>
    <t>8427</t>
  </si>
  <si>
    <t>PBV-GS13-05-25-19-00993</t>
  </si>
  <si>
    <t>PBV-GS13-05-25-19-00995</t>
  </si>
  <si>
    <t>17616</t>
  </si>
  <si>
    <t>PBV-GS13-05-25-19-00996</t>
  </si>
  <si>
    <t>17615</t>
  </si>
  <si>
    <t>PBV-GS13-05-25-19-00998</t>
  </si>
  <si>
    <t>15858</t>
  </si>
  <si>
    <t>PBV-GS13-05-25-19-00999</t>
  </si>
  <si>
    <t>15857</t>
  </si>
  <si>
    <t>PBV-GS13-05-25-19-01000</t>
  </si>
  <si>
    <t>15856</t>
  </si>
  <si>
    <t>PBV-GS13-05-25-19-01001</t>
  </si>
  <si>
    <t>PBV-GS13-05-25-19-01002</t>
  </si>
  <si>
    <t>40235784</t>
  </si>
  <si>
    <t>PBV-GS13-05-25-19-01003</t>
  </si>
  <si>
    <t>PBV-GS13-05-25-19-01004</t>
  </si>
  <si>
    <t>070</t>
  </si>
  <si>
    <t>PBV-GS13-05-25-19-01005</t>
  </si>
  <si>
    <t>PBV-GS13-05-25-19-01006</t>
  </si>
  <si>
    <t>PBV-GS13-05-25-19-01007</t>
  </si>
  <si>
    <t>PBV-GS13-05-25-19-01008</t>
  </si>
  <si>
    <t>PBV-GS13-05-25-19-01009</t>
  </si>
  <si>
    <t>PBV-GS13-05-25-19-01010</t>
  </si>
  <si>
    <t>PBV-GS13-05-25-19-01011</t>
  </si>
  <si>
    <t>PBV-GS13-05-25-19-01012</t>
  </si>
  <si>
    <t>SUP-0981</t>
  </si>
  <si>
    <t>000113</t>
  </si>
  <si>
    <t>THERMCRAFT</t>
  </si>
  <si>
    <t>PBV-GS13-05-25-19-01013</t>
  </si>
  <si>
    <t>4348</t>
  </si>
  <si>
    <t>PBV-GS13-05-25-19-01014</t>
  </si>
  <si>
    <t>PBV-GS13-05-25-19-01015</t>
  </si>
  <si>
    <t>PBV-GS13-05-25-19-01016</t>
  </si>
  <si>
    <t>PBV-GS13-05-25-19-01018</t>
  </si>
  <si>
    <t>0172</t>
  </si>
  <si>
    <t>PBV-GS13-05-25-19-01019</t>
  </si>
  <si>
    <t>0173</t>
  </si>
  <si>
    <t>PBV-GS13-05-25-19-01020</t>
  </si>
  <si>
    <t>0174</t>
  </si>
  <si>
    <t>PBV-GS13-05-25-19-01021</t>
  </si>
  <si>
    <t>0175</t>
  </si>
  <si>
    <t>PBV-GS13-05-25-19-01022</t>
  </si>
  <si>
    <t>449</t>
  </si>
  <si>
    <t>PBV-GS13-05-25-19-01023</t>
  </si>
  <si>
    <t>A-248</t>
  </si>
  <si>
    <t>PBV-GS13-05-25-19-01024</t>
  </si>
  <si>
    <t>A-249</t>
  </si>
  <si>
    <t>PBV-GS13-05-25-19-01025</t>
  </si>
  <si>
    <t>A-252</t>
  </si>
  <si>
    <t>PBV-GS13-05-25-19-01026</t>
  </si>
  <si>
    <t>A-287</t>
  </si>
  <si>
    <t>PBV-GS13-05-25-19-01027</t>
  </si>
  <si>
    <t>SUP-1754</t>
  </si>
  <si>
    <t>SAIFY ENTERPRISES</t>
  </si>
  <si>
    <t>PBV-GS13-05-25-19-01028</t>
  </si>
  <si>
    <t>234</t>
  </si>
  <si>
    <t>PBV-GS13-05-25-19-01029</t>
  </si>
  <si>
    <t>227</t>
  </si>
  <si>
    <t>PBV-GS13-05-25-19-01030</t>
  </si>
  <si>
    <t>PBV-GS13-05-25-19-01031</t>
  </si>
  <si>
    <t>16063</t>
  </si>
  <si>
    <t>PBV-GS13-05-25-19-01032</t>
  </si>
  <si>
    <t>PBV-GS13-05-25-19-01033</t>
  </si>
  <si>
    <t>PBV-GS13-05-25-19-01034</t>
  </si>
  <si>
    <t>T-GS13-05-25-19-01983</t>
  </si>
  <si>
    <t>PBV-GS13-05-25-19-01036</t>
  </si>
  <si>
    <t>SUP-1787</t>
  </si>
  <si>
    <t>WAQAR BROTHERS ENGINEERING WORKS</t>
  </si>
  <si>
    <t>PBV-GS13-05-25-19-01037</t>
  </si>
  <si>
    <t>PBV-GS13-05-25-19-01038</t>
  </si>
  <si>
    <t>PBV-GS13-05-25-19-01039</t>
  </si>
  <si>
    <t>PBV-GS13-05-25-19-01040</t>
  </si>
  <si>
    <t>T00708-13</t>
  </si>
  <si>
    <t>PBV-GS13-05-25-19-01041</t>
  </si>
  <si>
    <t>T00732-13</t>
  </si>
  <si>
    <t>PBV-GS13-05-25-19-01042</t>
  </si>
  <si>
    <t>PBV-GS13-05-25-19-01043</t>
  </si>
  <si>
    <t>3424</t>
  </si>
  <si>
    <t>PBV-GS13-05-25-19-01044</t>
  </si>
  <si>
    <t>0179</t>
  </si>
  <si>
    <t>PBV-GS13-05-25-19-01045</t>
  </si>
  <si>
    <t>0178</t>
  </si>
  <si>
    <t>PBV-GS13-05-25-19-01046</t>
  </si>
  <si>
    <t>0177</t>
  </si>
  <si>
    <t>PBV-GS13-05-25-19-01047</t>
  </si>
  <si>
    <t>4317</t>
  </si>
  <si>
    <t>PBV-GS13-05-25-19-01049</t>
  </si>
  <si>
    <t>3961</t>
  </si>
  <si>
    <t>PBV-GS13-05-25-19-01050</t>
  </si>
  <si>
    <t>PBV-GS13-05-25-19-01051</t>
  </si>
  <si>
    <t>11454</t>
  </si>
  <si>
    <t>PBV-GS13-05-25-19-01052</t>
  </si>
  <si>
    <t>SUP-0875</t>
  </si>
  <si>
    <t>786/bewl/007</t>
  </si>
  <si>
    <t>SAMAD ENTERPRISES.</t>
  </si>
  <si>
    <t>POL-GS13-05-25-19-0069</t>
  </si>
  <si>
    <t>PBV-GS13-05-25-19-01053</t>
  </si>
  <si>
    <t>3980</t>
  </si>
  <si>
    <t>PBV-GS13-05-25-19-01054</t>
  </si>
  <si>
    <t>SUP-1129</t>
  </si>
  <si>
    <t>nil</t>
  </si>
  <si>
    <t>M.HANIF, M.MUNAF, M.ZAHEER</t>
  </si>
  <si>
    <t>PBV-GS13-05-25-19-01055</t>
  </si>
  <si>
    <t>CWH-01-2013</t>
  </si>
  <si>
    <t>PBV-GS13-06-01-19-00001</t>
  </si>
  <si>
    <t>SUP-1546</t>
  </si>
  <si>
    <t>023091</t>
  </si>
  <si>
    <t>T-GS13-06-01-19-01634</t>
  </si>
  <si>
    <t>KPMG TASEER HADI &amp; CO.</t>
  </si>
  <si>
    <t>IDHO-16810</t>
  </si>
  <si>
    <t>PBV-GS13-06-01-21-00003</t>
  </si>
  <si>
    <t>T-GS13-06-01-21-01932</t>
  </si>
  <si>
    <t>PBV-GS13-07-01-21-00003</t>
  </si>
  <si>
    <t>T-GS13-07-01-21-01934</t>
  </si>
  <si>
    <t>PBV-GS13-07-32-19-00014</t>
  </si>
  <si>
    <t>T-GS13-07-32-19-01984</t>
  </si>
  <si>
    <t>PBV-GS13-07-32-19-00015</t>
  </si>
  <si>
    <t>POSL-GS13-07-32-19-0014</t>
  </si>
  <si>
    <t>PBV-GS13-08-01-19-00006</t>
  </si>
  <si>
    <t>023090</t>
  </si>
  <si>
    <t>T-GS13-08-01-19-01635</t>
  </si>
  <si>
    <t>PBV-GS13-08-01-19-00008</t>
  </si>
  <si>
    <t>E-4/212</t>
  </si>
  <si>
    <t>PBV-GS13-08-30-19-00001</t>
  </si>
  <si>
    <t>670</t>
  </si>
  <si>
    <t>PBV-GS13-08-30-19-00003</t>
  </si>
  <si>
    <t>1150</t>
  </si>
  <si>
    <t>PBV-GS13-08-30-19-00004</t>
  </si>
  <si>
    <t>17155</t>
  </si>
  <si>
    <t>PBV-GS13-08-30-19-00009</t>
  </si>
  <si>
    <t>17277</t>
  </si>
  <si>
    <t>PBV-GS13-08-30-19-00011</t>
  </si>
  <si>
    <t>9180482712</t>
  </si>
  <si>
    <t>POL-GS13-08-30-19-0011</t>
  </si>
  <si>
    <t>PBV-GS13-08-30-19-00012</t>
  </si>
  <si>
    <t>PBV-GS13-08-30-19-00013</t>
  </si>
  <si>
    <t>17420</t>
  </si>
  <si>
    <t>PBV-GS13-08-30-19-00014</t>
  </si>
  <si>
    <t>SUP-0340</t>
  </si>
  <si>
    <t>5584</t>
  </si>
  <si>
    <t>GHULAM HUSSAIN NOORBHOY FUS &amp; SONS</t>
  </si>
  <si>
    <t>PBV-GS13-08-30-19-00015</t>
  </si>
  <si>
    <t>1274</t>
  </si>
  <si>
    <t>PBV-GS13-08-30-19-00017</t>
  </si>
  <si>
    <t>9180503327</t>
  </si>
  <si>
    <t>MF-GS13-01-01-19-00040</t>
  </si>
  <si>
    <t>PBV-GS13-08-30-19-00018</t>
  </si>
  <si>
    <t>SUP-1617</t>
  </si>
  <si>
    <t>0535</t>
  </si>
  <si>
    <t>POLYMER MARKETING (PVT) LIMITED</t>
  </si>
  <si>
    <t>PBV-GS13-08-30-19-00020</t>
  </si>
  <si>
    <t>1310/BEWL</t>
  </si>
  <si>
    <t>PBV-GS13-08-30-19-00021</t>
  </si>
  <si>
    <t>PBV-GS13-08-30-19-00022</t>
  </si>
  <si>
    <t>4171</t>
  </si>
  <si>
    <t>Baluchistan Engineering Works Limited.</t>
  </si>
  <si>
    <t>DBN-PP12-05-25-18-00012</t>
  </si>
  <si>
    <t>SUP-1044</t>
  </si>
  <si>
    <t>DBN-PP12-05-25-18-00014</t>
  </si>
  <si>
    <t>SUP-1356</t>
  </si>
  <si>
    <t>PAKISTAN SPRING &amp; ENGINEEIRNG COMPANY</t>
  </si>
  <si>
    <t>DBN-PP12-05-25-18-00020</t>
  </si>
  <si>
    <t>SUP-0151</t>
  </si>
  <si>
    <t>ASLAM ENTERPRISE</t>
  </si>
  <si>
    <t>DBN-PP12-05-25-18-00022</t>
  </si>
  <si>
    <t>SUP-0411</t>
  </si>
  <si>
    <t>DBN-PP12-08-30-18-00052</t>
  </si>
  <si>
    <t>SUP-1615</t>
  </si>
  <si>
    <t>DBN-PP12-08-30-18-00065</t>
  </si>
  <si>
    <t>SUP-0972</t>
  </si>
  <si>
    <t>TECNO PAK INDUSTRIES (PVT) LTD</t>
  </si>
  <si>
    <t>DBN-PP12-08-30-18-00071</t>
  </si>
  <si>
    <t>DBN-PP12-08-30-18-00074</t>
  </si>
  <si>
    <t>SUP-0003</t>
  </si>
  <si>
    <t>DBN-PP12-08-30-18-00089</t>
  </si>
  <si>
    <t>DBN-PP12-08-30-18-00092</t>
  </si>
  <si>
    <t>LLC-PP12-01-01-18-00032</t>
  </si>
  <si>
    <t>LC 57714/2011-12</t>
  </si>
  <si>
    <t>DBN-PP12-08-30-18-00106</t>
  </si>
  <si>
    <t>SUP-1354</t>
  </si>
  <si>
    <t>Alico Industry</t>
  </si>
  <si>
    <t>DBN-PP12-08-30-18-00117</t>
  </si>
  <si>
    <t>SUP-1450</t>
  </si>
  <si>
    <t>NASIR ENGINEERING</t>
  </si>
  <si>
    <t>DBN-PP12-08-30-18-00130</t>
  </si>
  <si>
    <t>DBN-PP12-08-30-18-00136</t>
  </si>
  <si>
    <t>DBN-PP12-08-30-18-00137</t>
  </si>
  <si>
    <t>DBN-PP12-08-30-18-00152</t>
  </si>
  <si>
    <t>DBN-PP12-08-30-18-00162</t>
  </si>
  <si>
    <t>DBN-PP12-08-30-18-00163</t>
  </si>
  <si>
    <t>DBN-PP12-08-30-18-00167</t>
  </si>
  <si>
    <t>DBN-PP12-08-30-18-00171</t>
  </si>
  <si>
    <t>DBN-PP12-08-30-18-00182</t>
  </si>
  <si>
    <t>SUP-1603</t>
  </si>
  <si>
    <t>BROTHERS FORGING INDUSTRIES.</t>
  </si>
  <si>
    <t>DBN-PP12-08-30-18-00189</t>
  </si>
  <si>
    <t>DBN-PP12-08-30-18-00190</t>
  </si>
  <si>
    <t>DBN-PP12-08-30-18-00193</t>
  </si>
  <si>
    <t>SUP-1690</t>
  </si>
  <si>
    <t>LLC-PP13-01-01-18-00001</t>
  </si>
  <si>
    <t>LC# 64278/2011-12</t>
  </si>
  <si>
    <t>DBN-PP12-08-30-18-00195</t>
  </si>
  <si>
    <t>DBN-PP12-08-30-18-00212</t>
  </si>
  <si>
    <t>DBN-PP12-08-30-18-00219</t>
  </si>
  <si>
    <t>DBN-PP12-08-30-18-00220</t>
  </si>
  <si>
    <t>SUP-1604</t>
  </si>
  <si>
    <t>HAPPY MANUFACTURING COMPANY (PVT) LTD</t>
  </si>
  <si>
    <t>DBN-PP12-08-30-18-00223</t>
  </si>
  <si>
    <t>DBN-PP12-08-30-18-00224</t>
  </si>
  <si>
    <t>SUP-0071</t>
  </si>
  <si>
    <t>DBN-PP12-08-30-18-00225</t>
  </si>
  <si>
    <t>DBN-PP12-08-30-18-00228</t>
  </si>
  <si>
    <t>SUP-0958</t>
  </si>
  <si>
    <t>T-PP13-08-30-18-00461</t>
  </si>
  <si>
    <t>TAJI &amp; COMPANY</t>
  </si>
  <si>
    <t>IDHO-16903</t>
  </si>
  <si>
    <t>DBN-PP12-08-30-18-00229</t>
  </si>
  <si>
    <t>SUP-0963</t>
  </si>
  <si>
    <t>TASLEEM ENGINEERING WORKS</t>
  </si>
  <si>
    <t>DBN-PP12-08-30-18-00231</t>
  </si>
  <si>
    <t>DBN-PP12-08-30-18-00233</t>
  </si>
  <si>
    <t>DBN-PP12-08-30-18-00234</t>
  </si>
  <si>
    <t>DBN-PP12-08-30-18-00235</t>
  </si>
  <si>
    <t>SUP-1605</t>
  </si>
  <si>
    <t>METAL ART</t>
  </si>
  <si>
    <t>DBN-PP12-08-30-18-00243</t>
  </si>
  <si>
    <t>SUP-1740</t>
  </si>
  <si>
    <t>DBN-PP13-05-25-18-00001</t>
  </si>
  <si>
    <t>4104</t>
  </si>
  <si>
    <t>DBN-PP13-05-25-18-00002</t>
  </si>
  <si>
    <t>DBN-PP13-05-25-18-00003</t>
  </si>
  <si>
    <t>1125</t>
  </si>
  <si>
    <t>DBN-PP13-05-25-18-00004</t>
  </si>
  <si>
    <t>SUP-1426</t>
  </si>
  <si>
    <t>3</t>
  </si>
  <si>
    <t>T-PP13-05-25-18-00434</t>
  </si>
  <si>
    <t>IDHO-16876</t>
  </si>
  <si>
    <t>DBN-PP13-05-25-18-00005</t>
  </si>
  <si>
    <t>SUP-0691</t>
  </si>
  <si>
    <t>11833</t>
  </si>
  <si>
    <t>DBN-PP13-05-25-18-00006</t>
  </si>
  <si>
    <t>T-PP13-05-25-18-00504</t>
  </si>
  <si>
    <t>IDHO-16996</t>
  </si>
  <si>
    <t>DBN-PP13-05-25-18-00007</t>
  </si>
  <si>
    <t>SUP-1547</t>
  </si>
  <si>
    <t>DBN-PP13-08-30-18-00001</t>
  </si>
  <si>
    <t>SUP-0291</t>
  </si>
  <si>
    <t>EXCEL ENGINEERING WORKS.</t>
  </si>
  <si>
    <t>DBN-PP13-08-30-18-00002</t>
  </si>
  <si>
    <t>AL-BADAR ENGINEERING CO (PVT) LTD</t>
  </si>
  <si>
    <t>DBN-PP13-08-30-18-00003</t>
  </si>
  <si>
    <t>SUP-1628</t>
  </si>
  <si>
    <t>LLC-PP13-01-01-18-00015</t>
  </si>
  <si>
    <t>DBN-PP13-08-30-18-00004</t>
  </si>
  <si>
    <t>DBN-PP13-08-30-18-00006</t>
  </si>
  <si>
    <t>DBN-PP13-08-30-18-00007</t>
  </si>
  <si>
    <t>DBN-PP13-08-30-18-00008</t>
  </si>
  <si>
    <t>DBN-PP13-08-30-18-00009</t>
  </si>
  <si>
    <t>LC# 58887/2011-12</t>
  </si>
  <si>
    <t>DBN-PP13-08-30-18-00010</t>
  </si>
  <si>
    <t>DBN-PP13-08-30-18-00011</t>
  </si>
  <si>
    <t>DBN-PP13-08-30-18-00012</t>
  </si>
  <si>
    <t>DBN-PP13-08-30-18-00013</t>
  </si>
  <si>
    <t>DBN-PP13-08-30-18-00014</t>
  </si>
  <si>
    <t>DBN-PP13-08-30-18-00015</t>
  </si>
  <si>
    <t>SUP-1069</t>
  </si>
  <si>
    <t>DBN-PP13-08-30-18-00016</t>
  </si>
  <si>
    <t>DBN-PP13-08-30-18-00017</t>
  </si>
  <si>
    <t>DBN-PP13-08-30-18-00018</t>
  </si>
  <si>
    <t>DBN-PP13-08-30-18-00019</t>
  </si>
  <si>
    <t>DBN-PP13-08-30-18-00021</t>
  </si>
  <si>
    <t>DBN-PP13-08-30-18-00022</t>
  </si>
  <si>
    <t>DBN-PP13-08-30-18-00023</t>
  </si>
  <si>
    <t>DBN-PP13-08-30-18-00024</t>
  </si>
  <si>
    <t>DBN-PP13-08-30-18-00025</t>
  </si>
  <si>
    <t>SUP-0001</t>
  </si>
  <si>
    <t>DBN-PP13-08-30-18-00026</t>
  </si>
  <si>
    <t>DBN-PP13-08-30-18-00027</t>
  </si>
  <si>
    <t>DBN-PP13-08-30-18-00028</t>
  </si>
  <si>
    <t>DBN-PP13-08-30-18-00029</t>
  </si>
  <si>
    <t>DBN-PP13-08-30-18-00030</t>
  </si>
  <si>
    <t>DBN-PP13-08-30-18-00031</t>
  </si>
  <si>
    <t>DBN-PP13-08-30-18-00032</t>
  </si>
  <si>
    <t>DBN-PP13-08-30-18-00045</t>
  </si>
  <si>
    <t>1509</t>
  </si>
  <si>
    <t>DBN-PP13-08-30-18-00047</t>
  </si>
  <si>
    <t>5852</t>
  </si>
  <si>
    <t>DBN-PP13-08-30-18-00048</t>
  </si>
  <si>
    <t>10074</t>
  </si>
  <si>
    <t>LLC-PP13-01-01-18-00030</t>
  </si>
  <si>
    <t>DBN-PP13-08-30-18-00049</t>
  </si>
  <si>
    <t>DBN-PP13-08-30-18-00050</t>
  </si>
  <si>
    <t>SUP-1422</t>
  </si>
  <si>
    <t>15745</t>
  </si>
  <si>
    <t>ATLAS ENGINEERING LIMITED</t>
  </si>
  <si>
    <t>DBN-PP13-08-30-18-00051</t>
  </si>
  <si>
    <t>591</t>
  </si>
  <si>
    <t>DBN-PP13-08-30-18-00052</t>
  </si>
  <si>
    <t>DBN-PP13-08-30-18-00053</t>
  </si>
  <si>
    <t>LLC-PP13-01-01-18-00029</t>
  </si>
  <si>
    <t>DBN-PP13-08-30-18-00054</t>
  </si>
  <si>
    <t>SUP-1743</t>
  </si>
  <si>
    <t>dc 173</t>
  </si>
  <si>
    <t>ISSACSON LIGHT METAL COMPANY</t>
  </si>
  <si>
    <t>DBN-PP13-08-30-18-00056</t>
  </si>
  <si>
    <t>1087</t>
  </si>
  <si>
    <t>DBN-PP13-08-30-18-00057</t>
  </si>
  <si>
    <t>SUP-1747</t>
  </si>
  <si>
    <t>DBN-PP13-08-30-18-00058</t>
  </si>
  <si>
    <t>DBN-PP13-08-30-18-00059</t>
  </si>
  <si>
    <t>5841</t>
  </si>
  <si>
    <t>DBN-PP13-08-30-18-00060</t>
  </si>
  <si>
    <t>SUP-1252</t>
  </si>
  <si>
    <t>T-PP13-08-30-18-00511</t>
  </si>
  <si>
    <t>ADAMJEE ENGINEERING (PVT) LTD</t>
  </si>
  <si>
    <t>IDHO-17001</t>
  </si>
  <si>
    <t>DBN-PP13-08-30-18-00061</t>
  </si>
  <si>
    <t>11060</t>
  </si>
  <si>
    <t>DBN-PP13-08-30-18-00062</t>
  </si>
  <si>
    <t>6016</t>
  </si>
  <si>
    <t>DBN-PP13-08-30-18-00063</t>
  </si>
  <si>
    <t>DBN-PP13-08-30-18-00064</t>
  </si>
  <si>
    <t>DBN-PP13-08-30-18-00065</t>
  </si>
  <si>
    <t>DBN-PP13-08-30-18-00066</t>
  </si>
  <si>
    <t>1884</t>
  </si>
  <si>
    <t>T-PP13-08-30-18-00442</t>
  </si>
  <si>
    <t>IDHO-16886</t>
  </si>
  <si>
    <t>DBN-PP13-08-30-18-00067</t>
  </si>
  <si>
    <t>DBN-PP13-08-30-18-00068</t>
  </si>
  <si>
    <t>1107</t>
  </si>
  <si>
    <t>DBN-PP13-08-30-18-00069</t>
  </si>
  <si>
    <t>5853</t>
  </si>
  <si>
    <t>DBN-PP13-08-30-18-00070</t>
  </si>
  <si>
    <t>11018</t>
  </si>
  <si>
    <t>DBN-PP13-08-30-18-00071</t>
  </si>
  <si>
    <t>004243</t>
  </si>
  <si>
    <t>T-PP13-08-30-18-00473</t>
  </si>
  <si>
    <t>IDHO-16937</t>
  </si>
  <si>
    <t>DBN-PP13-08-30-18-00072</t>
  </si>
  <si>
    <t>DBN-PP13-08-30-18-00073</t>
  </si>
  <si>
    <t>614</t>
  </si>
  <si>
    <t>DBN-PP13-08-30-18-00074</t>
  </si>
  <si>
    <t>7653</t>
  </si>
  <si>
    <t>DBN-PP13-08-30-18-00075</t>
  </si>
  <si>
    <t>0167</t>
  </si>
  <si>
    <t>DBN-PP13-08-30-18-00076</t>
  </si>
  <si>
    <t>DBN-PP13-08-30-18-00077</t>
  </si>
  <si>
    <t>031</t>
  </si>
  <si>
    <t>PBV-PP12-01-21-18-00226</t>
  </si>
  <si>
    <t>SUP-0761</t>
  </si>
  <si>
    <t>PROCON ENGINEERING (PVT) LTD</t>
  </si>
  <si>
    <t>PBV-PP12-01-21-18-00230</t>
  </si>
  <si>
    <t>SUP-0114</t>
  </si>
  <si>
    <t>19500</t>
  </si>
  <si>
    <t>ALLCO TRANSFER PRINTERS PVT LTD</t>
  </si>
  <si>
    <t>PBV-PP12-01-21-18-00250</t>
  </si>
  <si>
    <t>SUP-1518</t>
  </si>
  <si>
    <t xml:space="preserve">1992 &amp; 2063 </t>
  </si>
  <si>
    <t>BRIGHT STAR ELECTROPLATING &amp; ENGG. WORKS</t>
  </si>
  <si>
    <t>PBV-PP12-01-21-18-00253</t>
  </si>
  <si>
    <t>SUP-0858</t>
  </si>
  <si>
    <t>969</t>
  </si>
  <si>
    <t>SAIF ENGINEERING</t>
  </si>
  <si>
    <t>PBV-PP12-01-21-18-00254</t>
  </si>
  <si>
    <t>965</t>
  </si>
  <si>
    <t>PBV-PP12-01-21-18-00255</t>
  </si>
  <si>
    <t>PBV-PP12-01-21-18-00259</t>
  </si>
  <si>
    <t>967</t>
  </si>
  <si>
    <t>PBV-PP12-01-21-18-00272</t>
  </si>
  <si>
    <t>2426</t>
  </si>
  <si>
    <t>PBV-PP12-01-21-18-00273</t>
  </si>
  <si>
    <t>2332</t>
  </si>
  <si>
    <t>PBV-PP12-01-21-18-00274</t>
  </si>
  <si>
    <t>2411</t>
  </si>
  <si>
    <t>PBV-PP12-01-21-18-00275</t>
  </si>
  <si>
    <t>2404</t>
  </si>
  <si>
    <t>PBV-PP12-01-21-18-00280</t>
  </si>
  <si>
    <t>975</t>
  </si>
  <si>
    <t>PBV-PP12-01-21-18-00281</t>
  </si>
  <si>
    <t>977</t>
  </si>
  <si>
    <t>PBV-PP12-01-21-18-00283</t>
  </si>
  <si>
    <t>4051</t>
  </si>
  <si>
    <t>PBV-PP12-01-21-18-00284</t>
  </si>
  <si>
    <t>PBV-PP12-01-21-18-00285</t>
  </si>
  <si>
    <t>2519</t>
  </si>
  <si>
    <t>PBV-PP12-01-21-18-00286</t>
  </si>
  <si>
    <t>2502</t>
  </si>
  <si>
    <t>PBV-PP12-01-21-18-00287</t>
  </si>
  <si>
    <t>2474</t>
  </si>
  <si>
    <t>PBV-PP12-01-21-18-00289</t>
  </si>
  <si>
    <t>2536</t>
  </si>
  <si>
    <t>PBV-PP12-01-21-18-00290</t>
  </si>
  <si>
    <t>4053</t>
  </si>
  <si>
    <t>PBV-PP12-01-21-18-00291</t>
  </si>
  <si>
    <t>4055</t>
  </si>
  <si>
    <t>PBV-PP12-01-21-18-00292</t>
  </si>
  <si>
    <t>4057</t>
  </si>
  <si>
    <t>PBV-PP12-01-21-18-00293</t>
  </si>
  <si>
    <t>4060</t>
  </si>
  <si>
    <t>PBV-PP12-01-21-18-00294</t>
  </si>
  <si>
    <t>4066</t>
  </si>
  <si>
    <t>PBV-PP12-01-21-18-00295</t>
  </si>
  <si>
    <t>PBV-PP12-01-21-18-00296</t>
  </si>
  <si>
    <t>4041</t>
  </si>
  <si>
    <t>PBV-PP12-01-21-18-00297</t>
  </si>
  <si>
    <t>4047</t>
  </si>
  <si>
    <t>PBV-PP12-01-21-18-00298</t>
  </si>
  <si>
    <t>PBV-PP12-01-21-18-00301</t>
  </si>
  <si>
    <t>2462</t>
  </si>
  <si>
    <t>PBV-PP12-01-21-18-00303</t>
  </si>
  <si>
    <t>2562</t>
  </si>
  <si>
    <t>PBV-PP12-01-21-18-00304</t>
  </si>
  <si>
    <t>2575</t>
  </si>
  <si>
    <t>PBV-PP12-01-21-18-00305</t>
  </si>
  <si>
    <t>2583</t>
  </si>
  <si>
    <t>PBV-PP12-01-21-18-00306</t>
  </si>
  <si>
    <t>979</t>
  </si>
  <si>
    <t>PBV-PP12-05-25-18-00040</t>
  </si>
  <si>
    <t>2326</t>
  </si>
  <si>
    <t>JV-12-01-01-18-00197</t>
  </si>
  <si>
    <t>LC 58276/2011-12</t>
  </si>
  <si>
    <t>PBV-PP12-05-25-18-00101</t>
  </si>
  <si>
    <t>1253</t>
  </si>
  <si>
    <t>PBV-PP12-05-25-18-00247</t>
  </si>
  <si>
    <t>SUP-1303</t>
  </si>
  <si>
    <t>1811</t>
  </si>
  <si>
    <t>T-PP12-05-25-18-00565</t>
  </si>
  <si>
    <t>ATIF ENGINEERING WORKS PVT LIMITED</t>
  </si>
  <si>
    <t>PBV-PP12-05-25-18-00336</t>
  </si>
  <si>
    <t>SUP-0350</t>
  </si>
  <si>
    <t>GS FOUNDRIES &amp; ENGINEERING SERVICES</t>
  </si>
  <si>
    <t>LLC-PP12-01-01-18-00047</t>
  </si>
  <si>
    <t>JV-13-01-01-18-00053</t>
  </si>
  <si>
    <t>LC 64277/2011-12</t>
  </si>
  <si>
    <t>PBV-PP12-05-25-18-00395</t>
  </si>
  <si>
    <t>LLC-PP12-01-01-18-00017</t>
  </si>
  <si>
    <t>JV-13-01-01-18-00207</t>
  </si>
  <si>
    <t>LC 61952/2011-12</t>
  </si>
  <si>
    <t>PBV-PP12-05-25-18-00423</t>
  </si>
  <si>
    <t>PBV-PP12-05-25-18-00424</t>
  </si>
  <si>
    <t>143</t>
  </si>
  <si>
    <t>PBV-PP12-05-25-18-00425</t>
  </si>
  <si>
    <t>PBV-PP12-05-25-18-00426</t>
  </si>
  <si>
    <t>PBV-PP12-05-25-18-00427</t>
  </si>
  <si>
    <t>PBV-PP12-05-25-18-00435</t>
  </si>
  <si>
    <t>165</t>
  </si>
  <si>
    <t>PBV-PP12-05-25-18-00436</t>
  </si>
  <si>
    <t>PBV-PP12-05-25-18-00460</t>
  </si>
  <si>
    <t>PBV-PP12-05-25-18-00461</t>
  </si>
  <si>
    <t>PBV-PP12-05-25-18-00462</t>
  </si>
  <si>
    <t>PBV-PP12-05-25-18-00463</t>
  </si>
  <si>
    <t>PBV-PP12-05-25-18-00466</t>
  </si>
  <si>
    <t>SUP-1470</t>
  </si>
  <si>
    <t>HARIS ENGINEERING WORKS</t>
  </si>
  <si>
    <t>PBV-PP12-05-25-18-00467</t>
  </si>
  <si>
    <t>SUP-0002</t>
  </si>
  <si>
    <t>3693</t>
  </si>
  <si>
    <t>S.M. INDUSTRIES</t>
  </si>
  <si>
    <t>PBV-PP12-05-25-18-00506</t>
  </si>
  <si>
    <t>1307</t>
  </si>
  <si>
    <t>PBV-PP12-05-25-18-00512</t>
  </si>
  <si>
    <t>SUP-0522</t>
  </si>
  <si>
    <t>1415</t>
  </si>
  <si>
    <t>PBV-PP12-05-25-18-00513</t>
  </si>
  <si>
    <t>1418</t>
  </si>
  <si>
    <t>PBV-PP12-05-25-18-00522</t>
  </si>
  <si>
    <t>PBV-PP12-05-25-18-00605</t>
  </si>
  <si>
    <t>893</t>
  </si>
  <si>
    <t>PBV-PP12-05-25-18-00636</t>
  </si>
  <si>
    <t>0000000229</t>
  </si>
  <si>
    <t>PBV-PP12-05-25-18-00637</t>
  </si>
  <si>
    <t>0000000236</t>
  </si>
  <si>
    <t>PBV-PP12-05-25-18-00641</t>
  </si>
  <si>
    <t>1172</t>
  </si>
  <si>
    <t>PBV-PP12-05-25-18-00655</t>
  </si>
  <si>
    <t>000000257</t>
  </si>
  <si>
    <t>PBV-PP12-05-25-18-00656</t>
  </si>
  <si>
    <t>000000252</t>
  </si>
  <si>
    <t>PBV-PP12-05-25-18-00657</t>
  </si>
  <si>
    <t>0000000258</t>
  </si>
  <si>
    <t>PBV-PP12-05-25-18-00658</t>
  </si>
  <si>
    <t>0000000262</t>
  </si>
  <si>
    <t>PBV-PP12-05-25-18-00659</t>
  </si>
  <si>
    <t>0000000265</t>
  </si>
  <si>
    <t>PBV-PP12-05-25-18-00660</t>
  </si>
  <si>
    <t>000000261</t>
  </si>
  <si>
    <t>PBV-PP12-05-25-18-00661</t>
  </si>
  <si>
    <t>000000248</t>
  </si>
  <si>
    <t>PBV-PP12-05-25-18-00662</t>
  </si>
  <si>
    <t>0000000246</t>
  </si>
  <si>
    <t>PBV-PP12-05-25-18-00665</t>
  </si>
  <si>
    <t>00000253</t>
  </si>
  <si>
    <t>PBV-PP12-05-25-18-00694</t>
  </si>
  <si>
    <t>PBV-PP12-05-25-18-00711</t>
  </si>
  <si>
    <t>PBV-PP12-05-25-18-00713</t>
  </si>
  <si>
    <t>PBV-PP12-05-25-18-00716</t>
  </si>
  <si>
    <t>PBV-PP12-05-25-18-00717</t>
  </si>
  <si>
    <t>278</t>
  </si>
  <si>
    <t>PBV-PP12-05-25-18-00731</t>
  </si>
  <si>
    <t>1909</t>
  </si>
  <si>
    <t>PBV-PP12-05-25-18-00732</t>
  </si>
  <si>
    <t>1940</t>
  </si>
  <si>
    <t>PBV-PP12-05-25-18-00757</t>
  </si>
  <si>
    <t>PBV-PP12-05-25-18-00773</t>
  </si>
  <si>
    <t>SUP-1591</t>
  </si>
  <si>
    <t>HATMI CORPORATION</t>
  </si>
  <si>
    <t>MF-PP13-01-01-18-00034</t>
  </si>
  <si>
    <t>JV-13-01-01-18-00177</t>
  </si>
  <si>
    <t>MF(HATMI CORPORATION)</t>
  </si>
  <si>
    <t>PBV-PP12-05-25-18-00775</t>
  </si>
  <si>
    <t>1422</t>
  </si>
  <si>
    <t>PBV-PP12-05-25-18-00776</t>
  </si>
  <si>
    <t>PBV-PP12-05-25-18-00777</t>
  </si>
  <si>
    <t>295</t>
  </si>
  <si>
    <t>PBV-PP12-05-25-18-00778</t>
  </si>
  <si>
    <t>PBV-PP12-05-25-18-00785</t>
  </si>
  <si>
    <t>1423</t>
  </si>
  <si>
    <t>PBV-PP12-05-25-18-00821</t>
  </si>
  <si>
    <t>1424</t>
  </si>
  <si>
    <t>PBV-PP12-05-25-18-00829</t>
  </si>
  <si>
    <t>1426</t>
  </si>
  <si>
    <t>PBV-PP12-05-25-18-00830</t>
  </si>
  <si>
    <t>1425</t>
  </si>
  <si>
    <t>PBV-PP12-05-25-18-00838</t>
  </si>
  <si>
    <t>PBV-PP12-05-25-18-00844</t>
  </si>
  <si>
    <t>1996</t>
  </si>
  <si>
    <t>PBV-PP12-05-25-18-00851</t>
  </si>
  <si>
    <t>2052</t>
  </si>
  <si>
    <t>PBV-PP12-05-25-18-00853</t>
  </si>
  <si>
    <t>PBV-PP12-05-25-18-00854</t>
  </si>
  <si>
    <t>PBV-PP12-05-25-18-00855</t>
  </si>
  <si>
    <t>PBV-PP12-05-25-18-00856</t>
  </si>
  <si>
    <t>PBV-PP12-05-25-18-00857</t>
  </si>
  <si>
    <t>PBV-PP12-05-25-18-00858</t>
  </si>
  <si>
    <t>PBV-PP12-05-25-18-00859</t>
  </si>
  <si>
    <t>321</t>
  </si>
  <si>
    <t>PBV-PP12-05-25-18-00868</t>
  </si>
  <si>
    <t>SUP-1697</t>
  </si>
  <si>
    <t>DC:2563</t>
  </si>
  <si>
    <t>K.K. BROTHERS</t>
  </si>
  <si>
    <t>PBV-PP12-05-25-18-00876</t>
  </si>
  <si>
    <t>1427</t>
  </si>
  <si>
    <t>PBV-PP12-05-25-18-00878</t>
  </si>
  <si>
    <t>1428</t>
  </si>
  <si>
    <t>PBV-PP12-05-25-18-00880</t>
  </si>
  <si>
    <t>SUP-1531</t>
  </si>
  <si>
    <t>980</t>
  </si>
  <si>
    <t>MF-PP13-01-01-18-00035</t>
  </si>
  <si>
    <t>PBV-PP12-05-25-18-00882</t>
  </si>
  <si>
    <t>1431</t>
  </si>
  <si>
    <t>PBV-PP12-05-25-18-00883</t>
  </si>
  <si>
    <t>1429</t>
  </si>
  <si>
    <t>PBV-PP12-05-25-18-00901</t>
  </si>
  <si>
    <t>1432</t>
  </si>
  <si>
    <t>PBV-PP12-05-25-18-00910</t>
  </si>
  <si>
    <t>PBV-PP12-05-25-18-00911</t>
  </si>
  <si>
    <t>994</t>
  </si>
  <si>
    <t>PBV-PP12-05-25-18-00919</t>
  </si>
  <si>
    <t>PBV-PP12-05-25-18-00922</t>
  </si>
  <si>
    <t>PBV-PP12-05-25-18-00923</t>
  </si>
  <si>
    <t>2153</t>
  </si>
  <si>
    <t>PBV-PP12-05-25-18-00924</t>
  </si>
  <si>
    <t>PBV-PP12-05-25-18-00925</t>
  </si>
  <si>
    <t>PBV-PP12-05-25-18-00929</t>
  </si>
  <si>
    <t>2087</t>
  </si>
  <si>
    <t>PBV-PP12-05-25-18-00930</t>
  </si>
  <si>
    <t>2177</t>
  </si>
  <si>
    <t>PBV-PP12-05-25-18-00931</t>
  </si>
  <si>
    <t>PBV-PP12-05-25-18-00955</t>
  </si>
  <si>
    <t>000000367</t>
  </si>
  <si>
    <t>PBV-PP12-05-25-18-00956</t>
  </si>
  <si>
    <t>000000364</t>
  </si>
  <si>
    <t>PBV-PP12-05-25-18-00957</t>
  </si>
  <si>
    <t>000000336</t>
  </si>
  <si>
    <t>PBV-PP12-05-25-18-00958</t>
  </si>
  <si>
    <t>000000358</t>
  </si>
  <si>
    <t>PBV-PP12-05-25-18-00977</t>
  </si>
  <si>
    <t>PBV-PP12-05-25-18-01004</t>
  </si>
  <si>
    <t>3968</t>
  </si>
  <si>
    <t>LC# 58276/2011-12</t>
  </si>
  <si>
    <t>PBV-PP12-05-25-18-01005</t>
  </si>
  <si>
    <t>3967</t>
  </si>
  <si>
    <t>PBV-PP12-05-25-18-01008</t>
  </si>
  <si>
    <t>821</t>
  </si>
  <si>
    <t>PBV-PP12-05-25-18-01009</t>
  </si>
  <si>
    <t>T-PP13-05-25-18-00464</t>
  </si>
  <si>
    <t>IDHO-16904</t>
  </si>
  <si>
    <t>PBV-PP12-05-25-18-01016</t>
  </si>
  <si>
    <t>1433</t>
  </si>
  <si>
    <t>LLC-PP13-01-01-18-00004</t>
  </si>
  <si>
    <t>JV-13-01-01-18-00027</t>
  </si>
  <si>
    <t>LC (57714)</t>
  </si>
  <si>
    <t>PBV-PP12-05-25-18-01022</t>
  </si>
  <si>
    <t>PBV-PP12-05-25-18-01023</t>
  </si>
  <si>
    <t>T-PP13-05-25-18-00465</t>
  </si>
  <si>
    <t>PBV-PP12-05-25-18-01028</t>
  </si>
  <si>
    <t>814</t>
  </si>
  <si>
    <t>T-PP13-05-25-18-00466</t>
  </si>
  <si>
    <t>PBV-PP12-05-25-18-01036</t>
  </si>
  <si>
    <t>823</t>
  </si>
  <si>
    <t>PBV-PP12-05-25-18-01037</t>
  </si>
  <si>
    <t>822</t>
  </si>
  <si>
    <t>PBV-PP12-05-25-18-01038</t>
  </si>
  <si>
    <t>2241</t>
  </si>
  <si>
    <t>PBV-PP12-05-25-18-01042</t>
  </si>
  <si>
    <t>SUP-1624</t>
  </si>
  <si>
    <t>METALLINE ENGINEERING</t>
  </si>
  <si>
    <t>PBV-PP12-05-25-18-01043</t>
  </si>
  <si>
    <t>2204</t>
  </si>
  <si>
    <t>PBV-PP12-05-25-18-01044</t>
  </si>
  <si>
    <t>2195</t>
  </si>
  <si>
    <t>PBV-PP12-05-25-18-01050</t>
  </si>
  <si>
    <t>108</t>
  </si>
  <si>
    <t>PBV-PP12-05-25-18-01051</t>
  </si>
  <si>
    <t>1029</t>
  </si>
  <si>
    <t>PBV-PP12-05-25-18-01075</t>
  </si>
  <si>
    <t>PBV-PP12-05-25-18-01076</t>
  </si>
  <si>
    <t>PBV-PP12-05-25-18-01077</t>
  </si>
  <si>
    <t>PBV-PP12-05-25-18-01078</t>
  </si>
  <si>
    <t>PBV-PP12-05-25-18-01079</t>
  </si>
  <si>
    <t>PBV-PP12-05-25-18-01080</t>
  </si>
  <si>
    <t>PBV-PP12-05-25-18-01081</t>
  </si>
  <si>
    <t>PBV-PP12-05-25-18-01082</t>
  </si>
  <si>
    <t>0000000370</t>
  </si>
  <si>
    <t>PBV-PP12-05-25-18-01087</t>
  </si>
  <si>
    <t>PBV-PP12-05-25-18-01093</t>
  </si>
  <si>
    <t>1445</t>
  </si>
  <si>
    <t>PBV-PP12-05-25-18-01094</t>
  </si>
  <si>
    <t>SUP-1572</t>
  </si>
  <si>
    <t>LLC-PP13-01-01-18-00018</t>
  </si>
  <si>
    <t>JV-13-01-01-18-00129</t>
  </si>
  <si>
    <t>LC# 61798/2011-12</t>
  </si>
  <si>
    <t>PBV-PP12-05-25-18-01098</t>
  </si>
  <si>
    <t>PBV-PP12-05-25-18-01103</t>
  </si>
  <si>
    <t>3521</t>
  </si>
  <si>
    <t>PBV-PP12-05-25-18-01106</t>
  </si>
  <si>
    <t>113</t>
  </si>
  <si>
    <t>PBV-PP12-05-25-18-01107</t>
  </si>
  <si>
    <t>SUP-0284</t>
  </si>
  <si>
    <t>T-PP13-05-25-18-00450</t>
  </si>
  <si>
    <t>EPSILON ENGINEERING WORKS</t>
  </si>
  <si>
    <t>IDHO-16902</t>
  </si>
  <si>
    <t>PBV-PP12-05-25-18-01108</t>
  </si>
  <si>
    <t>379</t>
  </si>
  <si>
    <t>T-PP13-05-25-18-00449</t>
  </si>
  <si>
    <t>PBV-PP12-05-25-18-01109</t>
  </si>
  <si>
    <t>827</t>
  </si>
  <si>
    <t>PBV-PP12-05-25-18-01113</t>
  </si>
  <si>
    <t>828</t>
  </si>
  <si>
    <t>PBV-PP12-05-25-18-01114</t>
  </si>
  <si>
    <t>PBV-PP12-05-25-18-01115</t>
  </si>
  <si>
    <t>SUP-0584</t>
  </si>
  <si>
    <t>PBV-PP12-05-25-18-01117</t>
  </si>
  <si>
    <t>964</t>
  </si>
  <si>
    <t>T-PP13-05-25-18-00483</t>
  </si>
  <si>
    <t>IDHO-16992</t>
  </si>
  <si>
    <t>PBV-PP12-05-25-18-01118</t>
  </si>
  <si>
    <t>966</t>
  </si>
  <si>
    <t>T-PP13-05-25-18-00484</t>
  </si>
  <si>
    <t>PBV-PP12-05-25-18-01125</t>
  </si>
  <si>
    <t>PBV-PP12-05-25-18-01126</t>
  </si>
  <si>
    <t>PBV-PP12-05-25-18-01127</t>
  </si>
  <si>
    <t>PBV-PP12-05-25-18-01129</t>
  </si>
  <si>
    <t>PBV-PP12-05-25-18-01139</t>
  </si>
  <si>
    <t>1051</t>
  </si>
  <si>
    <t>PBV-PP12-05-25-18-01140</t>
  </si>
  <si>
    <t>1059</t>
  </si>
  <si>
    <t>PBV-PP12-05-25-18-01141</t>
  </si>
  <si>
    <t>1057</t>
  </si>
  <si>
    <t>PBV-PP12-05-25-18-01144</t>
  </si>
  <si>
    <t>968</t>
  </si>
  <si>
    <t>T-PP13-05-25-18-00485</t>
  </si>
  <si>
    <t>PBV-PP12-05-25-18-01151</t>
  </si>
  <si>
    <t>00000000424</t>
  </si>
  <si>
    <t>PBV-PP12-05-25-18-01152</t>
  </si>
  <si>
    <t>000000430</t>
  </si>
  <si>
    <t>PBV-PP12-05-25-18-01153</t>
  </si>
  <si>
    <t>000000432</t>
  </si>
  <si>
    <t>PBV-PP12-05-25-18-01154</t>
  </si>
  <si>
    <t>000000437</t>
  </si>
  <si>
    <t>PBV-PP12-05-25-18-01155</t>
  </si>
  <si>
    <t>000000441</t>
  </si>
  <si>
    <t>PBV-PP12-05-25-18-01156</t>
  </si>
  <si>
    <t>0000000449</t>
  </si>
  <si>
    <t>PBV-PP12-05-25-18-01157</t>
  </si>
  <si>
    <t>000000451</t>
  </si>
  <si>
    <t>PBV-PP12-05-25-18-01158</t>
  </si>
  <si>
    <t>0000000454</t>
  </si>
  <si>
    <t>PBV-PP12-05-25-18-01165</t>
  </si>
  <si>
    <t>T-PP13-05-25-18-00453</t>
  </si>
  <si>
    <t>PBV-PP12-05-25-18-01166</t>
  </si>
  <si>
    <t>315</t>
  </si>
  <si>
    <t>T-PP13-05-25-18-00459</t>
  </si>
  <si>
    <t>PBV-PP12-05-25-18-01167</t>
  </si>
  <si>
    <t>T-PP13-05-25-18-00460</t>
  </si>
  <si>
    <t>PBV-PP12-05-25-18-01168</t>
  </si>
  <si>
    <t>T-PP13-05-25-18-00456</t>
  </si>
  <si>
    <t>PBV-PP12-05-25-18-01169</t>
  </si>
  <si>
    <t>PBV-PP12-05-25-18-01172</t>
  </si>
  <si>
    <t>2160</t>
  </si>
  <si>
    <t>PBV-PP12-05-25-18-01173</t>
  </si>
  <si>
    <t>2310</t>
  </si>
  <si>
    <t>PBV-PP12-05-25-18-01176</t>
  </si>
  <si>
    <t>PBV-PP12-05-25-18-01177</t>
  </si>
  <si>
    <t>PBV-PP12-05-25-18-01178</t>
  </si>
  <si>
    <t>PBV-PP12-05-25-18-01182</t>
  </si>
  <si>
    <t>383</t>
  </si>
  <si>
    <t>T-PP13-05-25-18-00451</t>
  </si>
  <si>
    <t>PBV-PP12-05-25-18-01183</t>
  </si>
  <si>
    <t>042</t>
  </si>
  <si>
    <t>PBV-PP12-05-25-18-01187</t>
  </si>
  <si>
    <t>4020</t>
  </si>
  <si>
    <t>LLC-PP13-01-01-18-00023</t>
  </si>
  <si>
    <t>JV-13-01-01-18-00167</t>
  </si>
  <si>
    <t>LC# 58276</t>
  </si>
  <si>
    <t>PBV-PP12-05-25-18-01188</t>
  </si>
  <si>
    <t>4032</t>
  </si>
  <si>
    <t>PBV-PP12-05-25-18-01189</t>
  </si>
  <si>
    <t>2333</t>
  </si>
  <si>
    <t>PBV-PP12-05-25-18-01191</t>
  </si>
  <si>
    <t>T-PP13-05-25-18-00457</t>
  </si>
  <si>
    <t>PBV-PP12-05-25-18-01192</t>
  </si>
  <si>
    <t>T-PP13-05-25-18-00458</t>
  </si>
  <si>
    <t>PBV-PP12-05-25-18-01195</t>
  </si>
  <si>
    <t>4014</t>
  </si>
  <si>
    <t>PBV-PP12-05-25-18-01198</t>
  </si>
  <si>
    <t>PBV-PP12-05-25-18-01200</t>
  </si>
  <si>
    <t>829</t>
  </si>
  <si>
    <t>PBV-PP12-05-25-18-01201</t>
  </si>
  <si>
    <t>PBV-PP12-05-25-18-01208</t>
  </si>
  <si>
    <t>PBV-PP12-05-25-18-01209</t>
  </si>
  <si>
    <t>PBV-PP12-05-25-18-01210</t>
  </si>
  <si>
    <t>4012</t>
  </si>
  <si>
    <t>PBV-PP12-05-25-18-01211</t>
  </si>
  <si>
    <t>973</t>
  </si>
  <si>
    <t>T-PP13-05-25-18-00495</t>
  </si>
  <si>
    <t>IDHO-16994</t>
  </si>
  <si>
    <t>PBV-PP12-05-25-18-01212</t>
  </si>
  <si>
    <t>971</t>
  </si>
  <si>
    <t>T-PP13-05-25-18-00494</t>
  </si>
  <si>
    <t>IDHO-16993</t>
  </si>
  <si>
    <t>PBV-PP12-05-25-18-01213</t>
  </si>
  <si>
    <t>PBV-PP12-05-25-18-01219</t>
  </si>
  <si>
    <t>11818</t>
  </si>
  <si>
    <t>PBV-PP12-05-25-18-01221</t>
  </si>
  <si>
    <t>PBV-PP12-05-25-18-01224</t>
  </si>
  <si>
    <t>T-PP13-05-25-18-00452</t>
  </si>
  <si>
    <t>PBV-PP12-05-25-18-01225</t>
  </si>
  <si>
    <t>PBV-PP12-05-25-18-01226</t>
  </si>
  <si>
    <t>1069</t>
  </si>
  <si>
    <t>PBV-PP12-05-25-18-01230</t>
  </si>
  <si>
    <t>1063</t>
  </si>
  <si>
    <t>PBV-PP12-05-25-18-01231</t>
  </si>
  <si>
    <t>T-PP13-05-25-18-00487</t>
  </si>
  <si>
    <t>PBV-PP12-05-25-18-01232</t>
  </si>
  <si>
    <t>T-PP13-05-25-18-00488</t>
  </si>
  <si>
    <t>PBV-PP12-05-25-18-01233</t>
  </si>
  <si>
    <t>974</t>
  </si>
  <si>
    <t>T-PP13-05-25-18-00496</t>
  </si>
  <si>
    <t>PBV-PP12-05-25-18-01234</t>
  </si>
  <si>
    <t>PBV-PP12-05-25-18-01237</t>
  </si>
  <si>
    <t>3604</t>
  </si>
  <si>
    <t>PBV-PP12-05-25-18-01239</t>
  </si>
  <si>
    <t>2520</t>
  </si>
  <si>
    <t>PBV-PP12-05-25-18-01240</t>
  </si>
  <si>
    <t>329</t>
  </si>
  <si>
    <t>PBV-PP12-05-25-18-01241</t>
  </si>
  <si>
    <t>PBV-PP12-05-25-18-01242</t>
  </si>
  <si>
    <t>PBV-PP12-05-25-18-01243</t>
  </si>
  <si>
    <t>PBV-PP12-05-25-18-01247</t>
  </si>
  <si>
    <t>2548</t>
  </si>
  <si>
    <t>PBV-PP12-05-25-18-01248</t>
  </si>
  <si>
    <t>4056</t>
  </si>
  <si>
    <t>PBV-PP12-05-25-18-01249</t>
  </si>
  <si>
    <t>4059</t>
  </si>
  <si>
    <t>PBV-PP12-05-25-18-01250</t>
  </si>
  <si>
    <t>4039</t>
  </si>
  <si>
    <t>PBV-PP12-05-25-18-01251</t>
  </si>
  <si>
    <t>4042</t>
  </si>
  <si>
    <t>PBV-PP12-05-25-18-01252</t>
  </si>
  <si>
    <t>SUP-0971</t>
  </si>
  <si>
    <t>723</t>
  </si>
  <si>
    <t>PBV-PP12-05-25-18-01253</t>
  </si>
  <si>
    <t>4052</t>
  </si>
  <si>
    <t>PBV-PP12-05-25-18-01255</t>
  </si>
  <si>
    <t>SUP-1672</t>
  </si>
  <si>
    <t>PBV-PP12-05-25-18-01256</t>
  </si>
  <si>
    <t>4040</t>
  </si>
  <si>
    <t>PBV-PP12-05-25-18-01257</t>
  </si>
  <si>
    <t>4046</t>
  </si>
  <si>
    <t>PBV-PP12-05-25-18-01258</t>
  </si>
  <si>
    <t>4048</t>
  </si>
  <si>
    <t>PBV-PP12-05-25-18-01259</t>
  </si>
  <si>
    <t>4050</t>
  </si>
  <si>
    <t>PBV-PP12-05-25-18-01260</t>
  </si>
  <si>
    <t>4058</t>
  </si>
  <si>
    <t>PBV-PP12-05-25-18-01261</t>
  </si>
  <si>
    <t>4065</t>
  </si>
  <si>
    <t>PBV-PP12-05-25-18-01262</t>
  </si>
  <si>
    <t>4067</t>
  </si>
  <si>
    <t>PBV-PP12-05-25-18-01264</t>
  </si>
  <si>
    <t>PBV-PP12-05-25-18-01265</t>
  </si>
  <si>
    <t>PBV-PP12-05-25-18-01266</t>
  </si>
  <si>
    <t>0138</t>
  </si>
  <si>
    <t>PBV-PP12-05-25-18-01267</t>
  </si>
  <si>
    <t>2563</t>
  </si>
  <si>
    <t>PBV-PP12-05-25-18-01268</t>
  </si>
  <si>
    <t>2535</t>
  </si>
  <si>
    <t>PBV-PP12-05-25-18-01269</t>
  </si>
  <si>
    <t>PBV-PP12-05-25-18-01271</t>
  </si>
  <si>
    <t>PBV-PP12-08-30-18-00121</t>
  </si>
  <si>
    <t>1254</t>
  </si>
  <si>
    <t>PBV-PP12-08-30-18-00123</t>
  </si>
  <si>
    <t>5927</t>
  </si>
  <si>
    <t>POL-PP12-08-30-18-0001</t>
  </si>
  <si>
    <t>MF-PP12-01-01-18-00030</t>
  </si>
  <si>
    <t>JV-11-01-01-04-99999</t>
  </si>
  <si>
    <t>MF (EXCEL ENG. WORKS)</t>
  </si>
  <si>
    <t>PBV-PP12-08-30-18-00158</t>
  </si>
  <si>
    <t>01-00322</t>
  </si>
  <si>
    <t>PBV-PP12-08-30-18-00159</t>
  </si>
  <si>
    <t>PBV-PP12-08-30-18-00160</t>
  </si>
  <si>
    <t>01-00254</t>
  </si>
  <si>
    <t>PBV-PP12-08-30-18-00161</t>
  </si>
  <si>
    <t>01-00384</t>
  </si>
  <si>
    <t>PBV-PP12-08-30-18-00198</t>
  </si>
  <si>
    <t>01-00313</t>
  </si>
  <si>
    <t>PBV-PP12-08-30-18-00221</t>
  </si>
  <si>
    <t>01-00350</t>
  </si>
  <si>
    <t>PBV-PP12-08-30-18-00276</t>
  </si>
  <si>
    <t>01-00300</t>
  </si>
  <si>
    <t>PBV-PP12-08-30-18-00277</t>
  </si>
  <si>
    <t>01-00256</t>
  </si>
  <si>
    <t>PBV-PP12-08-30-18-00303</t>
  </si>
  <si>
    <t>01-00410</t>
  </si>
  <si>
    <t>PBV-PP12-08-30-18-00304</t>
  </si>
  <si>
    <t>01-00379</t>
  </si>
  <si>
    <t>PBV-PP12-08-30-18-00375</t>
  </si>
  <si>
    <t>01-00515</t>
  </si>
  <si>
    <t>PBV-PP12-08-30-18-00377</t>
  </si>
  <si>
    <t>01-00450</t>
  </si>
  <si>
    <t>PBV-PP12-08-30-18-00403</t>
  </si>
  <si>
    <t>01-00481</t>
  </si>
  <si>
    <t>PBV-PP12-08-30-18-00445</t>
  </si>
  <si>
    <t>01-00610</t>
  </si>
  <si>
    <t>PBV-PP12-08-30-18-00496</t>
  </si>
  <si>
    <t>01-0066</t>
  </si>
  <si>
    <t>PBV-PP12-08-30-18-00554</t>
  </si>
  <si>
    <t>SUP-0634</t>
  </si>
  <si>
    <t>T-PP13-08-30-18-00343</t>
  </si>
  <si>
    <t>IDHO-16615</t>
  </si>
  <si>
    <t>PBV-PP12-08-30-18-00557</t>
  </si>
  <si>
    <t>LBEWL-111</t>
  </si>
  <si>
    <t>PBV-PP12-08-30-18-00558</t>
  </si>
  <si>
    <t>LBEWL-122</t>
  </si>
  <si>
    <t>PBV-PP12-08-30-18-00559</t>
  </si>
  <si>
    <t>LBEWL-121</t>
  </si>
  <si>
    <t>PBV-PP12-08-30-18-00578</t>
  </si>
  <si>
    <t>1295</t>
  </si>
  <si>
    <t>PBV-PP12-08-30-18-00582</t>
  </si>
  <si>
    <t>5588</t>
  </si>
  <si>
    <t>POL-PP12-08-30-18-0190</t>
  </si>
  <si>
    <t>PBV-PP12-08-30-18-00584</t>
  </si>
  <si>
    <t>5593</t>
  </si>
  <si>
    <t>JV-12-01-01-18-00231</t>
  </si>
  <si>
    <t>LC 62013/2011-12</t>
  </si>
  <si>
    <t>PBV-PP12-08-30-18-00627</t>
  </si>
  <si>
    <t>877</t>
  </si>
  <si>
    <t>PBV-PP12-08-30-18-00685</t>
  </si>
  <si>
    <t>15585</t>
  </si>
  <si>
    <t>PBV-PP12-08-30-18-00686</t>
  </si>
  <si>
    <t>15595</t>
  </si>
  <si>
    <t>PBV-PP12-08-30-18-00687</t>
  </si>
  <si>
    <t>15577</t>
  </si>
  <si>
    <t>PBV-PP12-08-30-18-00688</t>
  </si>
  <si>
    <t>15544</t>
  </si>
  <si>
    <t>PBV-PP12-08-30-18-00689</t>
  </si>
  <si>
    <t>15563</t>
  </si>
  <si>
    <t>PBV-PP12-08-30-18-00693</t>
  </si>
  <si>
    <t>5616</t>
  </si>
  <si>
    <t>JV-12-01-01-18-00253</t>
  </si>
  <si>
    <t>PBV-PP12-08-30-18-00696</t>
  </si>
  <si>
    <t>PBV-PP12-08-30-18-00698</t>
  </si>
  <si>
    <t>1024</t>
  </si>
  <si>
    <t>PBV-PP12-08-30-18-00699</t>
  </si>
  <si>
    <t>PBV-PP12-08-30-18-00704</t>
  </si>
  <si>
    <t>1313</t>
  </si>
  <si>
    <t>MF-PP12-01-01-18-00055</t>
  </si>
  <si>
    <t>JV-12-01-01-18-00219</t>
  </si>
  <si>
    <t>MF (MAISUR SPRING WORKS)</t>
  </si>
  <si>
    <t>PBV-PP12-08-30-18-00708</t>
  </si>
  <si>
    <t>15641</t>
  </si>
  <si>
    <t>PBV-PP12-08-30-18-00723</t>
  </si>
  <si>
    <t>15676</t>
  </si>
  <si>
    <t>PBV-PP12-08-30-18-00724</t>
  </si>
  <si>
    <t>15678</t>
  </si>
  <si>
    <t>PBV-PP12-08-30-18-00728</t>
  </si>
  <si>
    <t>15668</t>
  </si>
  <si>
    <t>PBV-PP12-08-30-18-00739</t>
  </si>
  <si>
    <t>LBY-149</t>
  </si>
  <si>
    <t>PBV-PP12-08-30-18-00750</t>
  </si>
  <si>
    <t>PBV-PP12-08-30-18-00768</t>
  </si>
  <si>
    <t>PBV-PP12-08-30-18-00769</t>
  </si>
  <si>
    <t>PBV-PP12-08-30-18-00778</t>
  </si>
  <si>
    <t>PBV-PP12-08-30-18-00779</t>
  </si>
  <si>
    <t>15761</t>
  </si>
  <si>
    <t>PBV-PP12-08-30-18-00780</t>
  </si>
  <si>
    <t>15754</t>
  </si>
  <si>
    <t>PBV-PP12-08-30-18-00787</t>
  </si>
  <si>
    <t>1171</t>
  </si>
  <si>
    <t>PBV-PP12-08-30-18-00811</t>
  </si>
  <si>
    <t>15760</t>
  </si>
  <si>
    <t>PBV-PP12-08-30-18-00815</t>
  </si>
  <si>
    <t>PBV-PP12-08-30-18-00820</t>
  </si>
  <si>
    <t>15839</t>
  </si>
  <si>
    <t>PBV-PP12-08-30-18-00825</t>
  </si>
  <si>
    <t>PBV-PP12-08-30-18-00850</t>
  </si>
  <si>
    <t>015874</t>
  </si>
  <si>
    <t>PBV-PP12-08-30-18-00851</t>
  </si>
  <si>
    <t>015865</t>
  </si>
  <si>
    <t>PBV-PP12-08-30-18-00852</t>
  </si>
  <si>
    <t>015883</t>
  </si>
  <si>
    <t>PBV-PP12-08-30-18-00873</t>
  </si>
  <si>
    <t>015908</t>
  </si>
  <si>
    <t>PBV-PP12-08-30-18-00874</t>
  </si>
  <si>
    <t>015929</t>
  </si>
  <si>
    <t>PBV-PP12-08-30-18-00875</t>
  </si>
  <si>
    <t>015922</t>
  </si>
  <si>
    <t>PBV-PP12-08-30-18-00880</t>
  </si>
  <si>
    <t>015959</t>
  </si>
  <si>
    <t>PBV-PP12-08-30-18-00881</t>
  </si>
  <si>
    <t>015986</t>
  </si>
  <si>
    <t>PBV-PP12-08-30-18-00882</t>
  </si>
  <si>
    <t>015895</t>
  </si>
  <si>
    <t>PBV-PP12-08-30-18-00891</t>
  </si>
  <si>
    <t>015977</t>
  </si>
  <si>
    <t>PBV-PP12-08-30-18-00925</t>
  </si>
  <si>
    <t>016037</t>
  </si>
  <si>
    <t>PBV-PP12-08-30-18-00938</t>
  </si>
  <si>
    <t>016048</t>
  </si>
  <si>
    <t>PBV-PP12-08-30-18-00982</t>
  </si>
  <si>
    <t>016087</t>
  </si>
  <si>
    <t>PBV-PP12-08-30-18-00985</t>
  </si>
  <si>
    <t>016116</t>
  </si>
  <si>
    <t>PBV-PP12-08-30-18-01020</t>
  </si>
  <si>
    <t>016137</t>
  </si>
  <si>
    <t>PBV-PP12-08-30-18-01024</t>
  </si>
  <si>
    <t>3419</t>
  </si>
  <si>
    <t>PBV-PP12-08-30-18-01025</t>
  </si>
  <si>
    <t>016152</t>
  </si>
  <si>
    <t>PBV-PP12-08-30-18-01031</t>
  </si>
  <si>
    <t>1747</t>
  </si>
  <si>
    <t>PBV-PP12-08-30-18-01032</t>
  </si>
  <si>
    <t>1746</t>
  </si>
  <si>
    <t>PBV-PP12-08-30-18-01051</t>
  </si>
  <si>
    <t>016208</t>
  </si>
  <si>
    <t>PBV-PP12-08-30-18-01052</t>
  </si>
  <si>
    <t>016205</t>
  </si>
  <si>
    <t>PBV-PP12-08-30-18-01053</t>
  </si>
  <si>
    <t>1781</t>
  </si>
  <si>
    <t>PBV-PP12-08-30-18-01054</t>
  </si>
  <si>
    <t>016191</t>
  </si>
  <si>
    <t>PBV-PP12-08-30-18-01057</t>
  </si>
  <si>
    <t>1112125</t>
  </si>
  <si>
    <t>PBV-PP12-08-30-18-01075</t>
  </si>
  <si>
    <t>PBV-PP12-08-30-18-01096</t>
  </si>
  <si>
    <t>003375</t>
  </si>
  <si>
    <t>PBV-PP12-08-30-18-01110</t>
  </si>
  <si>
    <t>1868</t>
  </si>
  <si>
    <t>PBV-PP12-08-30-18-01111</t>
  </si>
  <si>
    <t>1867</t>
  </si>
  <si>
    <t>PBV-PP12-08-30-18-01112</t>
  </si>
  <si>
    <t>1798</t>
  </si>
  <si>
    <t>PBV-PP12-08-30-18-01113</t>
  </si>
  <si>
    <t>1850</t>
  </si>
  <si>
    <t>PBV-PP12-08-30-18-01121</t>
  </si>
  <si>
    <t>1028</t>
  </si>
  <si>
    <t>PBV-PP12-08-30-18-01123</t>
  </si>
  <si>
    <t>5718</t>
  </si>
  <si>
    <t>LLC-PP12-01-01-18-00050</t>
  </si>
  <si>
    <t>JV-12-01-01-18-00453</t>
  </si>
  <si>
    <t>LC 57104</t>
  </si>
  <si>
    <t>PBV-PP12-08-30-18-01152</t>
  </si>
  <si>
    <t>PBV-PP12-08-30-18-01153</t>
  </si>
  <si>
    <t>PBV-PP12-08-30-18-01169</t>
  </si>
  <si>
    <t>2043</t>
  </si>
  <si>
    <t>PBV-PP12-08-30-18-01219</t>
  </si>
  <si>
    <t>2162</t>
  </si>
  <si>
    <t>PBV-PP12-08-30-18-01220</t>
  </si>
  <si>
    <t>2161</t>
  </si>
  <si>
    <t>PBV-PP12-08-30-18-01223</t>
  </si>
  <si>
    <t>3525</t>
  </si>
  <si>
    <t>PBV-PP12-08-30-18-01239</t>
  </si>
  <si>
    <t>00906</t>
  </si>
  <si>
    <t>PBV-PP12-08-30-18-01240</t>
  </si>
  <si>
    <t>00912</t>
  </si>
  <si>
    <t>PBV-PP12-08-30-18-01241</t>
  </si>
  <si>
    <t>00927</t>
  </si>
  <si>
    <t>PBV-PP12-08-30-18-01242</t>
  </si>
  <si>
    <t>0962</t>
  </si>
  <si>
    <t>PBV-PP12-08-30-18-01243</t>
  </si>
  <si>
    <t>0996</t>
  </si>
  <si>
    <t>PBV-PP12-08-30-18-01244</t>
  </si>
  <si>
    <t>01007</t>
  </si>
  <si>
    <t>PBV-PP12-08-30-18-01245</t>
  </si>
  <si>
    <t>3520</t>
  </si>
  <si>
    <t>PBV-PP12-08-30-18-01249</t>
  </si>
  <si>
    <t>316</t>
  </si>
  <si>
    <t>T-PP13-08-30-18-00454</t>
  </si>
  <si>
    <t>PBV-PP12-08-30-18-01256</t>
  </si>
  <si>
    <t>00938</t>
  </si>
  <si>
    <t>PBV-PP12-08-30-18-01268</t>
  </si>
  <si>
    <t>1112140</t>
  </si>
  <si>
    <t>PBV-PP12-08-30-18-01269</t>
  </si>
  <si>
    <t>7507</t>
  </si>
  <si>
    <t>LLC-PP13-01-01-18-00024</t>
  </si>
  <si>
    <t>JV-13-01-01-18-00191</t>
  </si>
  <si>
    <t>LC# 65128/2011-12</t>
  </si>
  <si>
    <t>PBV-PP12-08-30-18-01270</t>
  </si>
  <si>
    <t>7504</t>
  </si>
  <si>
    <t>PBV-PP12-08-30-18-01271</t>
  </si>
  <si>
    <t>7508</t>
  </si>
  <si>
    <t>PBV-PP12-08-30-18-01272</t>
  </si>
  <si>
    <t>7517</t>
  </si>
  <si>
    <t>PBV-PP12-08-30-18-01273</t>
  </si>
  <si>
    <t>713</t>
  </si>
  <si>
    <t>PBV-PP12-08-30-18-01274</t>
  </si>
  <si>
    <t>714</t>
  </si>
  <si>
    <t>PBV-PP12-08-30-18-01275</t>
  </si>
  <si>
    <t>717</t>
  </si>
  <si>
    <t>PBV-PP12-08-30-18-01277</t>
  </si>
  <si>
    <t>PBV-PP12-08-30-18-01291</t>
  </si>
  <si>
    <t>T-PP13-08-30-18-00462</t>
  </si>
  <si>
    <t>IDHO-16905</t>
  </si>
  <si>
    <t>PBV-PP12-08-30-18-01292</t>
  </si>
  <si>
    <t>2320</t>
  </si>
  <si>
    <t>PBV-PP12-08-30-18-01293</t>
  </si>
  <si>
    <t>3548</t>
  </si>
  <si>
    <t>PBV-PP12-08-30-18-01301</t>
  </si>
  <si>
    <t>320</t>
  </si>
  <si>
    <t>T-PP13-08-30-18-00455</t>
  </si>
  <si>
    <t>PBV-PP12-08-30-18-01303</t>
  </si>
  <si>
    <t>PBV-PP12-08-30-18-01313</t>
  </si>
  <si>
    <t>1112148</t>
  </si>
  <si>
    <t>PBV-PP12-08-30-18-01320</t>
  </si>
  <si>
    <t>5599</t>
  </si>
  <si>
    <t>LLC-PP13-01-01-18-00032</t>
  </si>
  <si>
    <t>JV-13-01-01-18-00257</t>
  </si>
  <si>
    <t>LC# 61799/2011-12</t>
  </si>
  <si>
    <t>PBV-PP12-08-30-18-01321</t>
  </si>
  <si>
    <t>2345</t>
  </si>
  <si>
    <t>PBV-PP12-08-30-18-01325</t>
  </si>
  <si>
    <t>1112149</t>
  </si>
  <si>
    <t>PBV-PP12-08-30-18-01326</t>
  </si>
  <si>
    <t>6237</t>
  </si>
  <si>
    <t>PBV-PP12-08-30-18-01327</t>
  </si>
  <si>
    <t>6240</t>
  </si>
  <si>
    <t>PBV-PP12-08-30-18-01332</t>
  </si>
  <si>
    <t>9565</t>
  </si>
  <si>
    <t>PBV-PP12-08-30-18-01333</t>
  </si>
  <si>
    <t>6256</t>
  </si>
  <si>
    <t>PBV-PP12-08-30-18-01334</t>
  </si>
  <si>
    <t>6264</t>
  </si>
  <si>
    <t>PBV-PP12-08-30-18-01335</t>
  </si>
  <si>
    <t>6272</t>
  </si>
  <si>
    <t>PBV-PP12-08-30-18-01336</t>
  </si>
  <si>
    <t>3580</t>
  </si>
  <si>
    <t>PBV-PP12-08-30-18-01338</t>
  </si>
  <si>
    <t>2437</t>
  </si>
  <si>
    <t>PBV-PP12-08-30-18-01339</t>
  </si>
  <si>
    <t>PBV-PP12-08-30-18-01340</t>
  </si>
  <si>
    <t>PBV-PP12-08-30-18-01341</t>
  </si>
  <si>
    <t>01068</t>
  </si>
  <si>
    <t>PBV-PP12-08-30-18-01342</t>
  </si>
  <si>
    <t>01076</t>
  </si>
  <si>
    <t>PBV-PP12-08-30-18-01349</t>
  </si>
  <si>
    <t>7524</t>
  </si>
  <si>
    <t>PBV-PP12-08-30-18-01350</t>
  </si>
  <si>
    <t>7537</t>
  </si>
  <si>
    <t>PBV-PP12-08-30-18-01351</t>
  </si>
  <si>
    <t>7547</t>
  </si>
  <si>
    <t>PBV-PP12-08-30-18-01352</t>
  </si>
  <si>
    <t>03659</t>
  </si>
  <si>
    <t>PBV-PP12-08-30-18-01353</t>
  </si>
  <si>
    <t>03660</t>
  </si>
  <si>
    <t>PBV-PP12-08-30-18-01359</t>
  </si>
  <si>
    <t>PBV-PP12-08-30-18-01362</t>
  </si>
  <si>
    <t>LLC-PP13-01-01-18-00027</t>
  </si>
  <si>
    <t>JV-13-01-01-18-00215</t>
  </si>
  <si>
    <t>LC# 65383/2011-12</t>
  </si>
  <si>
    <t>PBV-PP12-08-30-18-01363</t>
  </si>
  <si>
    <t>T-PP13-08-30-18-00463</t>
  </si>
  <si>
    <t>PBV-PP12-08-30-18-01365</t>
  </si>
  <si>
    <t>PBV-PP12-08-30-18-01366</t>
  </si>
  <si>
    <t>5878</t>
  </si>
  <si>
    <t>LLC-PP13-01-01-18-00028</t>
  </si>
  <si>
    <t>JV-13-01-01-18-00229</t>
  </si>
  <si>
    <t>PBV-PP12-08-30-18-01367</t>
  </si>
  <si>
    <t>335</t>
  </si>
  <si>
    <t>PBV-PP12-08-30-18-01368</t>
  </si>
  <si>
    <t>336</t>
  </si>
  <si>
    <t>PBV-PP12-08-30-18-01369</t>
  </si>
  <si>
    <t>PBV-PP12-08-30-18-01370</t>
  </si>
  <si>
    <t>PBV-PP12-08-30-18-01371</t>
  </si>
  <si>
    <t>PBV-PP12-08-30-18-01383</t>
  </si>
  <si>
    <t>3595</t>
  </si>
  <si>
    <t>PBV-PP12-08-30-18-01386</t>
  </si>
  <si>
    <t>720</t>
  </si>
  <si>
    <t>PBV-PP12-08-30-18-01387</t>
  </si>
  <si>
    <t>722</t>
  </si>
  <si>
    <t>PBV-PP12-08-30-18-01388</t>
  </si>
  <si>
    <t>6288</t>
  </si>
  <si>
    <t>PBV-PP12-08-30-18-01389</t>
  </si>
  <si>
    <t>9588</t>
  </si>
  <si>
    <t>PBV-PP12-08-30-18-01392</t>
  </si>
  <si>
    <t>PBV-PP12-08-30-18-01393</t>
  </si>
  <si>
    <t>1077</t>
  </si>
  <si>
    <t>PBV-PP12-08-30-18-01394</t>
  </si>
  <si>
    <t>1070</t>
  </si>
  <si>
    <t>PBV-PP12-08-30-18-01396</t>
  </si>
  <si>
    <t>PBV-PP12-08-30-18-01399</t>
  </si>
  <si>
    <t>5794</t>
  </si>
  <si>
    <t>LC# 65926/2012-13</t>
  </si>
  <si>
    <t>PBV-PP12-08-30-18-01400</t>
  </si>
  <si>
    <t>7572</t>
  </si>
  <si>
    <t>PBV-PP12-08-30-18-01401</t>
  </si>
  <si>
    <t>7576</t>
  </si>
  <si>
    <t>PBV-PP12-08-30-18-01405</t>
  </si>
  <si>
    <t>5954</t>
  </si>
  <si>
    <t>PBV-PP12-08-30-18-01409</t>
  </si>
  <si>
    <t>01149</t>
  </si>
  <si>
    <t>PBV-PP12-08-30-18-01410</t>
  </si>
  <si>
    <t>6303</t>
  </si>
  <si>
    <t>PBV-PP12-08-30-18-01411</t>
  </si>
  <si>
    <t>6313</t>
  </si>
  <si>
    <t>PBV-PP13-01-21-18-00002</t>
  </si>
  <si>
    <t>4078</t>
  </si>
  <si>
    <t>PBV-PP13-01-21-18-00003</t>
  </si>
  <si>
    <t>4083</t>
  </si>
  <si>
    <t>PBV-PP13-01-21-18-00004</t>
  </si>
  <si>
    <t>4087</t>
  </si>
  <si>
    <t>PBV-PP13-01-21-18-00006</t>
  </si>
  <si>
    <t>PBV-PP13-01-21-18-00007</t>
  </si>
  <si>
    <t>983</t>
  </si>
  <si>
    <t>PBV-PP13-01-21-18-00008</t>
  </si>
  <si>
    <t>4093</t>
  </si>
  <si>
    <t>PBV-PP13-01-21-18-00009</t>
  </si>
  <si>
    <t>4095</t>
  </si>
  <si>
    <t>PBV-PP13-01-21-18-00017</t>
  </si>
  <si>
    <t>4099</t>
  </si>
  <si>
    <t>PBV-PP13-01-21-18-00018</t>
  </si>
  <si>
    <t>PBV-PP13-01-21-18-00019</t>
  </si>
  <si>
    <t>986</t>
  </si>
  <si>
    <t>PBV-PP13-01-21-18-00026</t>
  </si>
  <si>
    <t>SUP-1767</t>
  </si>
  <si>
    <t>PBV-PP13-01-21-18-00027</t>
  </si>
  <si>
    <t>PBV-PP13-01-21-18-00029</t>
  </si>
  <si>
    <t>4130</t>
  </si>
  <si>
    <t>PBV-PP13-01-21-18-00030</t>
  </si>
  <si>
    <t>989</t>
  </si>
  <si>
    <t>PBV-PP13-01-21-18-00031</t>
  </si>
  <si>
    <t>11027</t>
  </si>
  <si>
    <t>PBV-PP13-01-21-18-00035</t>
  </si>
  <si>
    <t>11015</t>
  </si>
  <si>
    <t>PBV-PP13-01-21-18-00036</t>
  </si>
  <si>
    <t>SUP-0519</t>
  </si>
  <si>
    <t>7310</t>
  </si>
  <si>
    <t>M.E.M.INDUSTRIES</t>
  </si>
  <si>
    <t>PBV-PP13-01-21-18-00038</t>
  </si>
  <si>
    <t>11035</t>
  </si>
  <si>
    <t>PBV-PP13-01-21-18-00039</t>
  </si>
  <si>
    <t>11050</t>
  </si>
  <si>
    <t>PBV-PP13-01-21-18-00040</t>
  </si>
  <si>
    <t>7324</t>
  </si>
  <si>
    <t>PBV-PP13-01-21-18-00041</t>
  </si>
  <si>
    <t>PBV-PP13-01-21-18-00042</t>
  </si>
  <si>
    <t>4186</t>
  </si>
  <si>
    <t>PBV-PP13-01-21-18-00043</t>
  </si>
  <si>
    <t>4182</t>
  </si>
  <si>
    <t>PBV-PP13-01-21-18-00047</t>
  </si>
  <si>
    <t>11059</t>
  </si>
  <si>
    <t>PBV-PP13-01-21-18-00048</t>
  </si>
  <si>
    <t>990</t>
  </si>
  <si>
    <t>PBV-PP13-01-21-18-00049</t>
  </si>
  <si>
    <t>PBV-PP13-01-21-18-00050</t>
  </si>
  <si>
    <t>996</t>
  </si>
  <si>
    <t>PBV-PP13-01-21-18-00051</t>
  </si>
  <si>
    <t>PBV-PP13-01-21-18-00052</t>
  </si>
  <si>
    <t>992 &amp; 991</t>
  </si>
  <si>
    <t>PBV-PP13-01-21-18-00053</t>
  </si>
  <si>
    <t>995</t>
  </si>
  <si>
    <t>PBV-PP13-01-21-18-00054</t>
  </si>
  <si>
    <t>4198</t>
  </si>
  <si>
    <t>PBV-PP13-01-21-18-00055</t>
  </si>
  <si>
    <t>4204</t>
  </si>
  <si>
    <t>PBV-PP13-01-21-18-00056</t>
  </si>
  <si>
    <t>7338</t>
  </si>
  <si>
    <t>PBV-PP13-01-21-18-00057</t>
  </si>
  <si>
    <t>11080</t>
  </si>
  <si>
    <t>PBV-PP13-01-21-18-00060</t>
  </si>
  <si>
    <t>11085</t>
  </si>
  <si>
    <t>PBV-PP13-01-21-18-00061</t>
  </si>
  <si>
    <t>4237</t>
  </si>
  <si>
    <t>PBV-PP13-01-21-18-00062</t>
  </si>
  <si>
    <t>997</t>
  </si>
  <si>
    <t>PBV-PP13-01-21-18-00063</t>
  </si>
  <si>
    <t>998</t>
  </si>
  <si>
    <t>PBV-PP13-01-21-18-00064</t>
  </si>
  <si>
    <t>999</t>
  </si>
  <si>
    <t>PBV-PP13-01-21-18-00066</t>
  </si>
  <si>
    <t>4255</t>
  </si>
  <si>
    <t>PBV-PP13-01-21-18-00067</t>
  </si>
  <si>
    <t>4248</t>
  </si>
  <si>
    <t>PBV-PP13-01-21-18-00072</t>
  </si>
  <si>
    <t>4268</t>
  </si>
  <si>
    <t>PBV-PP13-01-21-18-00073</t>
  </si>
  <si>
    <t>4269</t>
  </si>
  <si>
    <t>PBV-PP13-01-21-18-00074</t>
  </si>
  <si>
    <t>4274</t>
  </si>
  <si>
    <t>PBV-PP13-01-21-18-00075</t>
  </si>
  <si>
    <t>11091</t>
  </si>
  <si>
    <t>PBV-PP13-01-21-18-00076</t>
  </si>
  <si>
    <t>11094</t>
  </si>
  <si>
    <t>PBV-PP13-01-21-18-00077</t>
  </si>
  <si>
    <t>SUP-0728</t>
  </si>
  <si>
    <t>2293</t>
  </si>
  <si>
    <t>PBV-PP13-02-22-18-00005</t>
  </si>
  <si>
    <t>SUP-1170</t>
  </si>
  <si>
    <t>473</t>
  </si>
  <si>
    <t>GSS ENGINEERING</t>
  </si>
  <si>
    <t>PBV-PP13-02-22-18-00007</t>
  </si>
  <si>
    <t>PBV-PP13-02-22-18-00008</t>
  </si>
  <si>
    <t>478</t>
  </si>
  <si>
    <t>PBV-PP13-02-22-18-00009</t>
  </si>
  <si>
    <t>PBV-PP13-02-22-18-00010</t>
  </si>
  <si>
    <t>PBV-PP13-02-22-18-00011</t>
  </si>
  <si>
    <t>SUP-1792</t>
  </si>
  <si>
    <t>T-PP13-02-22-18-00477</t>
  </si>
  <si>
    <t>MADINA AUTO INDUSTRIES</t>
  </si>
  <si>
    <t>IDHO-16946</t>
  </si>
  <si>
    <t>PBV-PP13-02-22-18-00012</t>
  </si>
  <si>
    <t>PBV-PP13-05-25-18-00001</t>
  </si>
  <si>
    <t>11820</t>
  </si>
  <si>
    <t>PBV-PP13-05-25-18-00003</t>
  </si>
  <si>
    <t>4077</t>
  </si>
  <si>
    <t>PBV-PP13-05-25-18-00004</t>
  </si>
  <si>
    <t>4079</t>
  </si>
  <si>
    <t>PBV-PP13-05-25-18-00005</t>
  </si>
  <si>
    <t>834</t>
  </si>
  <si>
    <t>PBV-PP13-05-25-18-00006</t>
  </si>
  <si>
    <t>PBV-PP13-05-25-18-00007</t>
  </si>
  <si>
    <t>PBV-PP13-05-25-18-00010</t>
  </si>
  <si>
    <t>4084</t>
  </si>
  <si>
    <t>PBV-PP13-05-25-18-00011</t>
  </si>
  <si>
    <t>2303</t>
  </si>
  <si>
    <t>T-PP13-05-25-18-00513</t>
  </si>
  <si>
    <t>IDHO-17002</t>
  </si>
  <si>
    <t>PBV-PP13-05-25-18-00014</t>
  </si>
  <si>
    <t>982</t>
  </si>
  <si>
    <t>T-PP13-05-25-18-00499</t>
  </si>
  <si>
    <t>IDHO-16995</t>
  </si>
  <si>
    <t>PBV-PP13-05-25-18-00015</t>
  </si>
  <si>
    <t>SUP-1751</t>
  </si>
  <si>
    <t>6451</t>
  </si>
  <si>
    <t>T-PP13-05-25-18-00348</t>
  </si>
  <si>
    <t>GLOBE ENGINEERING WORKS</t>
  </si>
  <si>
    <t>IDHO-16619</t>
  </si>
  <si>
    <t>PBV-PP13-05-25-18-00016</t>
  </si>
  <si>
    <t>4086</t>
  </si>
  <si>
    <t>PBV-PP13-05-25-18-00017</t>
  </si>
  <si>
    <t>PBV-PP13-05-25-18-00018</t>
  </si>
  <si>
    <t>PBV-PP13-05-25-18-00019</t>
  </si>
  <si>
    <t>T-PP13-05-25-18-00433</t>
  </si>
  <si>
    <t>PBV-PP13-05-25-18-00021</t>
  </si>
  <si>
    <t>PBV-PP13-05-25-18-00022</t>
  </si>
  <si>
    <t>PBV-PP13-05-25-18-00023</t>
  </si>
  <si>
    <t>T-PP13-05-25-18-00500</t>
  </si>
  <si>
    <t>PBV-PP13-05-25-18-00024</t>
  </si>
  <si>
    <t>4094</t>
  </si>
  <si>
    <t>PBV-PP13-05-25-18-00025</t>
  </si>
  <si>
    <t>PBV-PP13-05-25-18-00026</t>
  </si>
  <si>
    <t>4090</t>
  </si>
  <si>
    <t>PBV-PP13-05-25-18-00027</t>
  </si>
  <si>
    <t>4088</t>
  </si>
  <si>
    <t>PBV-PP13-05-25-18-00028</t>
  </si>
  <si>
    <t>PBV-PP13-05-25-18-00029</t>
  </si>
  <si>
    <t>PBV-PP13-05-25-18-00030</t>
  </si>
  <si>
    <t>PBV-PP13-05-25-18-00031</t>
  </si>
  <si>
    <t>PBV-PP13-05-25-18-00032</t>
  </si>
  <si>
    <t>347</t>
  </si>
  <si>
    <t>PBV-PP13-05-25-18-00034</t>
  </si>
  <si>
    <t>PBV-PP13-05-25-18-00035</t>
  </si>
  <si>
    <t>PBV-PP13-05-25-18-00036</t>
  </si>
  <si>
    <t>1081</t>
  </si>
  <si>
    <t>PBV-PP13-05-25-18-00037</t>
  </si>
  <si>
    <t>T-PP13-05-25-18-00440</t>
  </si>
  <si>
    <t>PBV-PP13-05-25-18-00038</t>
  </si>
  <si>
    <t>1883</t>
  </si>
  <si>
    <t>T-PP13-05-25-18-00441</t>
  </si>
  <si>
    <t>PBV-PP13-05-25-18-00039</t>
  </si>
  <si>
    <t>1887</t>
  </si>
  <si>
    <t>T-PP13-05-25-18-00438</t>
  </si>
  <si>
    <t>PBV-PP13-05-25-18-00046</t>
  </si>
  <si>
    <t>4075</t>
  </si>
  <si>
    <t>PBV-PP13-05-25-18-00047</t>
  </si>
  <si>
    <t>4105</t>
  </si>
  <si>
    <t>PBV-PP13-05-25-18-00048</t>
  </si>
  <si>
    <t>4106</t>
  </si>
  <si>
    <t>PBV-PP13-05-25-18-00049</t>
  </si>
  <si>
    <t>4109</t>
  </si>
  <si>
    <t>PBV-PP13-05-25-18-00050</t>
  </si>
  <si>
    <t>985</t>
  </si>
  <si>
    <t>PBV-PP13-05-25-18-00053</t>
  </si>
  <si>
    <t>3689</t>
  </si>
  <si>
    <t>PBV-PP13-05-25-18-00054</t>
  </si>
  <si>
    <t>PBV-PP13-05-25-18-00055</t>
  </si>
  <si>
    <t>4110</t>
  </si>
  <si>
    <t>PBV-PP13-05-25-18-00056</t>
  </si>
  <si>
    <t>4100</t>
  </si>
  <si>
    <t>PBV-PP13-05-25-18-00058</t>
  </si>
  <si>
    <t>PBV-PP13-05-25-18-00060</t>
  </si>
  <si>
    <t>1230</t>
  </si>
  <si>
    <t>PBV-PP13-05-25-18-00061</t>
  </si>
  <si>
    <t>1256</t>
  </si>
  <si>
    <t>PBV-PP13-05-25-18-00062</t>
  </si>
  <si>
    <t>PBV-PP13-05-25-18-00068</t>
  </si>
  <si>
    <t>987</t>
  </si>
  <si>
    <t>PBV-PP13-05-25-18-00069</t>
  </si>
  <si>
    <t>4114</t>
  </si>
  <si>
    <t>PBV-PP13-05-25-18-00070</t>
  </si>
  <si>
    <t>PBV-PP13-05-25-18-00071</t>
  </si>
  <si>
    <t>11824</t>
  </si>
  <si>
    <t>PBV-PP13-05-25-18-00072</t>
  </si>
  <si>
    <t>838</t>
  </si>
  <si>
    <t>PBV-PP13-05-25-18-00073</t>
  </si>
  <si>
    <t>837</t>
  </si>
  <si>
    <t>PBV-PP13-05-25-18-00075</t>
  </si>
  <si>
    <t>PBV-PP13-05-25-18-00077</t>
  </si>
  <si>
    <t>PBV-PP13-05-25-18-00078</t>
  </si>
  <si>
    <t>PBV-PP13-05-25-18-00079</t>
  </si>
  <si>
    <t>4121</t>
  </si>
  <si>
    <t>PBV-PP13-05-25-18-00080</t>
  </si>
  <si>
    <t>4122</t>
  </si>
  <si>
    <t>PBV-PP13-05-25-18-00081</t>
  </si>
  <si>
    <t>1434</t>
  </si>
  <si>
    <t>PBV-PP13-05-25-18-00082</t>
  </si>
  <si>
    <t>1435</t>
  </si>
  <si>
    <t>PBV-PP13-05-25-18-00083</t>
  </si>
  <si>
    <t>SUP-0544</t>
  </si>
  <si>
    <t>230</t>
  </si>
  <si>
    <t>T-PP13-05-25-18-00352</t>
  </si>
  <si>
    <t>GREEN STAR ENGINEERIN</t>
  </si>
  <si>
    <t>IDHO-16572</t>
  </si>
  <si>
    <t>PBV-PP13-05-25-18-00084</t>
  </si>
  <si>
    <t>0142</t>
  </si>
  <si>
    <t>PBV-PP13-05-25-18-00085</t>
  </si>
  <si>
    <t>PBV-PP13-05-25-18-00089</t>
  </si>
  <si>
    <t>4125</t>
  </si>
  <si>
    <t>PBV-PP13-05-25-18-00091</t>
  </si>
  <si>
    <t>PBV-PP13-05-25-18-00092</t>
  </si>
  <si>
    <t>074</t>
  </si>
  <si>
    <t>PBV-PP13-05-25-18-00093</t>
  </si>
  <si>
    <t>PBV-PP13-05-25-18-00094</t>
  </si>
  <si>
    <t>1894</t>
  </si>
  <si>
    <t>PBV-PP13-05-25-18-00096</t>
  </si>
  <si>
    <t>PBV-PP13-05-25-18-00097</t>
  </si>
  <si>
    <t>PBV-PP13-05-25-18-00103</t>
  </si>
  <si>
    <t>4442</t>
  </si>
  <si>
    <t>PBV-PP13-05-25-18-00104</t>
  </si>
  <si>
    <t>4649</t>
  </si>
  <si>
    <t>PBV-PP13-05-25-18-00105</t>
  </si>
  <si>
    <t>PBV-PP13-05-25-18-00106</t>
  </si>
  <si>
    <t>PBV-PP13-05-25-18-00107</t>
  </si>
  <si>
    <t>PBV-PP13-05-25-18-00108</t>
  </si>
  <si>
    <t>11825</t>
  </si>
  <si>
    <t>PBV-PP13-05-25-18-00109</t>
  </si>
  <si>
    <t>4126</t>
  </si>
  <si>
    <t>PBV-PP13-05-25-18-00110</t>
  </si>
  <si>
    <t>4127</t>
  </si>
  <si>
    <t>PBV-PP13-05-25-18-00112</t>
  </si>
  <si>
    <t>PBV-PP13-05-25-18-00113</t>
  </si>
  <si>
    <t>PBV-PP13-05-25-18-00114</t>
  </si>
  <si>
    <t>PBV-PP13-05-25-18-00115</t>
  </si>
  <si>
    <t>11826</t>
  </si>
  <si>
    <t>PBV-PP13-05-25-18-00118</t>
  </si>
  <si>
    <t>PBV-PP13-05-25-18-00119</t>
  </si>
  <si>
    <t>1898</t>
  </si>
  <si>
    <t>PBV-PP13-05-25-18-00120</t>
  </si>
  <si>
    <t>4134</t>
  </si>
  <si>
    <t>PBV-PP13-05-25-18-00121</t>
  </si>
  <si>
    <t>4137</t>
  </si>
  <si>
    <t>PBV-PP13-05-25-18-00122</t>
  </si>
  <si>
    <t>PBV-PP13-05-25-18-00123</t>
  </si>
  <si>
    <t>4139</t>
  </si>
  <si>
    <t>PBV-PP13-05-25-18-00124</t>
  </si>
  <si>
    <t>4136</t>
  </si>
  <si>
    <t>PBV-PP13-05-25-18-00125</t>
  </si>
  <si>
    <t>4135</t>
  </si>
  <si>
    <t>PBV-PP13-05-25-18-00126</t>
  </si>
  <si>
    <t>4145</t>
  </si>
  <si>
    <t>PBV-PP13-05-25-18-00127</t>
  </si>
  <si>
    <t>4142</t>
  </si>
  <si>
    <t>PBV-PP13-05-25-18-00128</t>
  </si>
  <si>
    <t>PBV-PP13-05-25-18-00129</t>
  </si>
  <si>
    <t>PBV-PP13-05-25-18-00130</t>
  </si>
  <si>
    <t>PBV-PP13-05-25-18-00131</t>
  </si>
  <si>
    <t>PBV-PP13-05-25-18-00132</t>
  </si>
  <si>
    <t>T-PP13-05-25-18-00353</t>
  </si>
  <si>
    <t>PBV-PP13-05-25-18-00133</t>
  </si>
  <si>
    <t>988</t>
  </si>
  <si>
    <t>PBV-PP13-05-25-18-00134</t>
  </si>
  <si>
    <t>4148</t>
  </si>
  <si>
    <t>PBV-PP13-05-25-18-00144</t>
  </si>
  <si>
    <t>1110</t>
  </si>
  <si>
    <t>PBV-PP13-05-25-18-00145</t>
  </si>
  <si>
    <t>1109</t>
  </si>
  <si>
    <t>PBV-PP13-05-25-18-00146</t>
  </si>
  <si>
    <t>1112</t>
  </si>
  <si>
    <t>PBV-PP13-05-25-18-00148</t>
  </si>
  <si>
    <t>PBV-PP13-05-25-18-00149</t>
  </si>
  <si>
    <t>PBV-PP13-05-25-18-00150</t>
  </si>
  <si>
    <t>PBV-PP13-05-25-18-00151</t>
  </si>
  <si>
    <t>PBV-PP13-05-25-18-00152</t>
  </si>
  <si>
    <t>PBV-PP13-05-25-18-00153</t>
  </si>
  <si>
    <t>PBV-PP13-05-25-18-00154</t>
  </si>
  <si>
    <t>4156</t>
  </si>
  <si>
    <t>PBV-PP13-05-25-18-00155</t>
  </si>
  <si>
    <t>4153</t>
  </si>
  <si>
    <t>PBV-PP13-05-25-18-00156</t>
  </si>
  <si>
    <t>4152</t>
  </si>
  <si>
    <t>PBV-PP13-05-25-18-00157</t>
  </si>
  <si>
    <t>4165</t>
  </si>
  <si>
    <t>PBV-PP13-05-25-18-00158</t>
  </si>
  <si>
    <t>PBV-PP13-05-25-18-00159</t>
  </si>
  <si>
    <t>4158</t>
  </si>
  <si>
    <t>PBV-PP13-05-25-18-00160</t>
  </si>
  <si>
    <t>PBV-PP13-05-25-18-00161</t>
  </si>
  <si>
    <t>4161</t>
  </si>
  <si>
    <t>PBV-PP13-05-25-18-00163</t>
  </si>
  <si>
    <t>950</t>
  </si>
  <si>
    <t>PBV-PP13-05-25-18-00164</t>
  </si>
  <si>
    <t>5845</t>
  </si>
  <si>
    <t>PBV-PP13-05-25-18-00165</t>
  </si>
  <si>
    <t>1345</t>
  </si>
  <si>
    <t>PBV-PP13-05-25-18-00166</t>
  </si>
  <si>
    <t>PBV-PP13-05-25-18-00167</t>
  </si>
  <si>
    <t>11828</t>
  </si>
  <si>
    <t>PBV-PP13-05-25-18-00168</t>
  </si>
  <si>
    <t>11827</t>
  </si>
  <si>
    <t>PBV-PP13-05-25-18-00169</t>
  </si>
  <si>
    <t>4179</t>
  </si>
  <si>
    <t>PBV-PP13-05-25-18-00170</t>
  </si>
  <si>
    <t>4178</t>
  </si>
  <si>
    <t>PBV-PP13-05-25-18-00171</t>
  </si>
  <si>
    <t>PBV-PP13-05-25-18-00172</t>
  </si>
  <si>
    <t>4174</t>
  </si>
  <si>
    <t>PBV-PP13-05-25-18-00173</t>
  </si>
  <si>
    <t>4173</t>
  </si>
  <si>
    <t>PBV-PP13-05-25-18-00174</t>
  </si>
  <si>
    <t>PBV-PP13-05-25-18-00175</t>
  </si>
  <si>
    <t>4168</t>
  </si>
  <si>
    <t>PBV-PP13-05-25-18-00176</t>
  </si>
  <si>
    <t>T-PP13-05-25-18-00505</t>
  </si>
  <si>
    <t>IDHO-16997</t>
  </si>
  <si>
    <t>PBV-PP13-05-25-18-00179</t>
  </si>
  <si>
    <t>11042</t>
  </si>
  <si>
    <t>PBV-PP13-05-25-18-00180</t>
  </si>
  <si>
    <t>152, 153 &amp; 154</t>
  </si>
  <si>
    <t>PBV-PP13-05-25-18-00181</t>
  </si>
  <si>
    <t>158</t>
  </si>
  <si>
    <t>PBV-PP13-05-25-18-00182</t>
  </si>
  <si>
    <t>164</t>
  </si>
  <si>
    <t>PBV-PP13-05-25-18-00183</t>
  </si>
  <si>
    <t>179</t>
  </si>
  <si>
    <t>PBV-PP13-05-25-18-00184</t>
  </si>
  <si>
    <t>PBV-PP13-05-25-18-00185</t>
  </si>
  <si>
    <t>PBV-PP13-05-25-18-00186</t>
  </si>
  <si>
    <t>PBV-PP13-05-25-18-00189</t>
  </si>
  <si>
    <t>903</t>
  </si>
  <si>
    <t>PBV-PP13-05-25-18-00190</t>
  </si>
  <si>
    <t>345</t>
  </si>
  <si>
    <t>PBV-PP13-05-25-18-00191</t>
  </si>
  <si>
    <t>PBV-PP13-05-25-18-00192</t>
  </si>
  <si>
    <t>1116</t>
  </si>
  <si>
    <t>PBV-PP13-05-25-18-00193</t>
  </si>
  <si>
    <t>PBV-PP13-05-25-18-00194</t>
  </si>
  <si>
    <t>1119</t>
  </si>
  <si>
    <t>PBV-PP13-05-25-18-00195</t>
  </si>
  <si>
    <t>1122</t>
  </si>
  <si>
    <t>PBV-PP13-05-25-18-00196</t>
  </si>
  <si>
    <t>PBV-PP13-05-25-18-00197</t>
  </si>
  <si>
    <t>919</t>
  </si>
  <si>
    <t>PBV-PP13-05-25-18-00198</t>
  </si>
  <si>
    <t>1316</t>
  </si>
  <si>
    <t>PBV-PP13-05-25-18-00199</t>
  </si>
  <si>
    <t>PBV-PP13-05-25-18-00200</t>
  </si>
  <si>
    <t>PBV-PP13-05-25-18-00201</t>
  </si>
  <si>
    <t>PBV-PP13-05-25-18-00202</t>
  </si>
  <si>
    <t>PBV-PP13-05-25-18-00203</t>
  </si>
  <si>
    <t>PBV-PP13-05-25-18-00204</t>
  </si>
  <si>
    <t>PBV-PP13-05-25-18-00205</t>
  </si>
  <si>
    <t>PBV-PP13-05-25-18-00206</t>
  </si>
  <si>
    <t>PBV-PP13-05-25-18-00207</t>
  </si>
  <si>
    <t>PBV-PP13-05-25-18-00208</t>
  </si>
  <si>
    <t>PBV-PP13-05-25-18-00209</t>
  </si>
  <si>
    <t>PBV-PP13-05-25-18-00210</t>
  </si>
  <si>
    <t>PBV-PP13-05-25-18-00211</t>
  </si>
  <si>
    <t>PBV-PP13-05-25-18-00212</t>
  </si>
  <si>
    <t>PBV-PP13-05-25-18-00213</t>
  </si>
  <si>
    <t>PBV-PP13-05-25-18-00214</t>
  </si>
  <si>
    <t>1569</t>
  </si>
  <si>
    <t>PBV-PP13-05-25-18-00218</t>
  </si>
  <si>
    <t>PBV-PP13-05-25-18-00219</t>
  </si>
  <si>
    <t>4183</t>
  </si>
  <si>
    <t>PBV-PP13-05-25-18-00220</t>
  </si>
  <si>
    <t>SUP-0534</t>
  </si>
  <si>
    <t>2109</t>
  </si>
  <si>
    <t>M.S. ENGINEERING COMPANY.</t>
  </si>
  <si>
    <t>PBV-PP13-05-25-18-00221</t>
  </si>
  <si>
    <t>4196</t>
  </si>
  <si>
    <t>PBV-PP13-05-25-18-00222</t>
  </si>
  <si>
    <t>4188</t>
  </si>
  <si>
    <t>PBV-PP13-05-25-18-00223</t>
  </si>
  <si>
    <t>4187</t>
  </si>
  <si>
    <t>PBV-PP13-05-25-18-00224</t>
  </si>
  <si>
    <t>4185</t>
  </si>
  <si>
    <t>PBV-PP13-05-25-18-00225</t>
  </si>
  <si>
    <t>035</t>
  </si>
  <si>
    <t>T-PP13-05-25-18-00506</t>
  </si>
  <si>
    <t>IDHO-16998</t>
  </si>
  <si>
    <t>PBV-PP13-05-25-18-00226</t>
  </si>
  <si>
    <t>AP102</t>
  </si>
  <si>
    <t>T-PP13-05-25-18-00512</t>
  </si>
  <si>
    <t>IDHO-17000</t>
  </si>
  <si>
    <t>PBV-PP13-05-25-18-00229</t>
  </si>
  <si>
    <t>PBV-PP13-05-25-18-00230</t>
  </si>
  <si>
    <t>11054</t>
  </si>
  <si>
    <t>PBV-PP13-05-25-18-00231</t>
  </si>
  <si>
    <t>1575</t>
  </si>
  <si>
    <t>PBV-PP13-05-25-18-00232</t>
  </si>
  <si>
    <t>1580</t>
  </si>
  <si>
    <t>MF-PP13-01-01-18-00066</t>
  </si>
  <si>
    <t>PBV-PP13-05-25-18-00233</t>
  </si>
  <si>
    <t>SUP-1723</t>
  </si>
  <si>
    <t>PBV-PP13-05-25-18-00234</t>
  </si>
  <si>
    <t>PBV-PP13-05-25-18-00235</t>
  </si>
  <si>
    <t>5861</t>
  </si>
  <si>
    <t>PBV-PP13-05-25-18-00236</t>
  </si>
  <si>
    <t>2409</t>
  </si>
  <si>
    <t>PBV-PP13-05-25-18-00237</t>
  </si>
  <si>
    <t>4208</t>
  </si>
  <si>
    <t>PBV-PP13-05-25-18-00238</t>
  </si>
  <si>
    <t>4201</t>
  </si>
  <si>
    <t>PBV-PP13-05-25-18-00239</t>
  </si>
  <si>
    <t>4197</t>
  </si>
  <si>
    <t>PBV-PP13-05-25-18-00240</t>
  </si>
  <si>
    <t>11832</t>
  </si>
  <si>
    <t>PBV-PP13-05-25-18-00241</t>
  </si>
  <si>
    <t>PBV-PP13-05-25-18-00242</t>
  </si>
  <si>
    <t>PBV-PP13-05-25-18-00243</t>
  </si>
  <si>
    <t>211</t>
  </si>
  <si>
    <t>PBV-PP13-05-25-18-00244</t>
  </si>
  <si>
    <t>MF-PP13-01-01-18-00058</t>
  </si>
  <si>
    <t>PBV-PP13-05-25-18-00245</t>
  </si>
  <si>
    <t>PBV-PP13-05-25-18-00246</t>
  </si>
  <si>
    <t>5862</t>
  </si>
  <si>
    <t>PBV-PP13-05-25-18-00247</t>
  </si>
  <si>
    <t>1129</t>
  </si>
  <si>
    <t>PBV-PP13-05-25-18-00248</t>
  </si>
  <si>
    <t>1131</t>
  </si>
  <si>
    <t>PBV-PP13-05-25-18-00249</t>
  </si>
  <si>
    <t>1133</t>
  </si>
  <si>
    <t>PBV-PP13-05-25-18-00250</t>
  </si>
  <si>
    <t>PBV-PP13-05-25-18-00251</t>
  </si>
  <si>
    <t>PBV-PP13-05-25-18-00252</t>
  </si>
  <si>
    <t>1416</t>
  </si>
  <si>
    <t>PBV-PP13-05-25-18-00253</t>
  </si>
  <si>
    <t>4205</t>
  </si>
  <si>
    <t>PBV-PP13-05-25-18-00254</t>
  </si>
  <si>
    <t>4206</t>
  </si>
  <si>
    <t>PBV-PP13-05-25-18-00255</t>
  </si>
  <si>
    <t>4209</t>
  </si>
  <si>
    <t>PBV-PP13-05-25-18-00256</t>
  </si>
  <si>
    <t>4213</t>
  </si>
  <si>
    <t>PBV-PP13-05-25-18-00257</t>
  </si>
  <si>
    <t>PBV-PP13-05-25-18-00258</t>
  </si>
  <si>
    <t>PBV-PP13-05-25-18-00259</t>
  </si>
  <si>
    <t>PBV-PP13-05-25-18-00260</t>
  </si>
  <si>
    <t>PBV-PP13-05-25-18-00261</t>
  </si>
  <si>
    <t>PBV-PP13-05-25-18-00262</t>
  </si>
  <si>
    <t>PBV-PP13-05-25-18-00264</t>
  </si>
  <si>
    <t>11835</t>
  </si>
  <si>
    <t>PBV-PP13-05-25-18-00265</t>
  </si>
  <si>
    <t>11834</t>
  </si>
  <si>
    <t>PBV-PP13-05-25-18-00266</t>
  </si>
  <si>
    <t>PBV-PP13-05-25-18-00267</t>
  </si>
  <si>
    <t>155/2012</t>
  </si>
  <si>
    <t>PBV-PP13-05-25-18-00268</t>
  </si>
  <si>
    <t>5863</t>
  </si>
  <si>
    <t>PBV-PP13-05-25-18-00269</t>
  </si>
  <si>
    <t>5865</t>
  </si>
  <si>
    <t>PBV-PP13-05-25-18-00270</t>
  </si>
  <si>
    <t>PBV-PP13-05-25-18-00271</t>
  </si>
  <si>
    <t>PBV-PP13-05-25-18-00272</t>
  </si>
  <si>
    <t>1589</t>
  </si>
  <si>
    <t>PBV-PP13-05-25-18-00273</t>
  </si>
  <si>
    <t>SUP-0570</t>
  </si>
  <si>
    <t>624</t>
  </si>
  <si>
    <t>MATEEN CORPORATION.</t>
  </si>
  <si>
    <t>PBV-PP13-05-25-18-00275</t>
  </si>
  <si>
    <t>11836</t>
  </si>
  <si>
    <t>PBV-PP13-05-25-18-00276</t>
  </si>
  <si>
    <t>4220</t>
  </si>
  <si>
    <t>PBV-PP13-05-25-18-00277</t>
  </si>
  <si>
    <t>4219</t>
  </si>
  <si>
    <t>PBV-PP13-05-25-18-00278</t>
  </si>
  <si>
    <t>4218</t>
  </si>
  <si>
    <t>PBV-PP13-05-25-18-00279</t>
  </si>
  <si>
    <t>4215</t>
  </si>
  <si>
    <t>PBV-PP13-05-25-18-00280</t>
  </si>
  <si>
    <t>4216</t>
  </si>
  <si>
    <t>PBV-PP13-05-25-18-00281</t>
  </si>
  <si>
    <t>384</t>
  </si>
  <si>
    <t>PBV-PP13-05-25-18-00282</t>
  </si>
  <si>
    <t>PBV-PP13-05-25-18-00283</t>
  </si>
  <si>
    <t>4223</t>
  </si>
  <si>
    <t>PBV-PP13-05-25-18-00284</t>
  </si>
  <si>
    <t>4226</t>
  </si>
  <si>
    <t>PBV-PP13-05-25-18-00285</t>
  </si>
  <si>
    <t>4222</t>
  </si>
  <si>
    <t>PBV-PP13-05-25-18-00286</t>
  </si>
  <si>
    <t>4224</t>
  </si>
  <si>
    <t>PBV-PP13-05-25-18-00287</t>
  </si>
  <si>
    <t>PBV-PP13-05-25-18-00288</t>
  </si>
  <si>
    <t>PBV-PP13-05-25-18-00289</t>
  </si>
  <si>
    <t>PBV-PP13-05-25-18-00290</t>
  </si>
  <si>
    <t>PBV-PP13-05-25-18-00291</t>
  </si>
  <si>
    <t>4229</t>
  </si>
  <si>
    <t>PBV-PP13-05-25-18-00292</t>
  </si>
  <si>
    <t>1459</t>
  </si>
  <si>
    <t>PBV-PP13-05-25-18-00293</t>
  </si>
  <si>
    <t>4217</t>
  </si>
  <si>
    <t>PBV-PP13-05-25-18-00299</t>
  </si>
  <si>
    <t>1139</t>
  </si>
  <si>
    <t>PBV-PP13-05-25-18-00300</t>
  </si>
  <si>
    <t>390</t>
  </si>
  <si>
    <t>PBV-PP13-05-25-18-00301</t>
  </si>
  <si>
    <t>PBV-PP13-05-25-18-00302</t>
  </si>
  <si>
    <t>1606</t>
  </si>
  <si>
    <t>PBV-PP13-05-25-18-00303</t>
  </si>
  <si>
    <t>1604</t>
  </si>
  <si>
    <t>PBV-PP13-05-25-18-00304</t>
  </si>
  <si>
    <t>1597</t>
  </si>
  <si>
    <t>PBV-PP13-05-25-18-00305</t>
  </si>
  <si>
    <t>PBV-PP13-05-25-18-00307</t>
  </si>
  <si>
    <t>PBV-PP13-05-25-18-00308</t>
  </si>
  <si>
    <t>11839</t>
  </si>
  <si>
    <t>PBV-PP13-05-25-18-00309</t>
  </si>
  <si>
    <t>118387</t>
  </si>
  <si>
    <t>PBV-PP13-05-25-18-00310</t>
  </si>
  <si>
    <t>5879</t>
  </si>
  <si>
    <t>PBV-PP13-05-25-18-00311</t>
  </si>
  <si>
    <t>11074</t>
  </si>
  <si>
    <t>PBV-PP13-05-25-18-00312</t>
  </si>
  <si>
    <t>11082</t>
  </si>
  <si>
    <t>PBV-PP13-05-25-18-00313</t>
  </si>
  <si>
    <t>T-PP13-05-25-18-00508</t>
  </si>
  <si>
    <t>IDHO-16999</t>
  </si>
  <si>
    <t>PBV-PP13-05-25-18-00314</t>
  </si>
  <si>
    <t>4242</t>
  </si>
  <si>
    <t>PBV-PP13-05-25-18-00315</t>
  </si>
  <si>
    <t>PBV-PP13-05-25-18-00316</t>
  </si>
  <si>
    <t>4231</t>
  </si>
  <si>
    <t>PBV-PP13-05-25-18-00317</t>
  </si>
  <si>
    <t>4234</t>
  </si>
  <si>
    <t>PBV-PP13-05-25-18-00318</t>
  </si>
  <si>
    <t>4236</t>
  </si>
  <si>
    <t>PBV-PP13-05-25-18-00319</t>
  </si>
  <si>
    <t>4240</t>
  </si>
  <si>
    <t>PBV-PP13-05-25-18-00320</t>
  </si>
  <si>
    <t>4238</t>
  </si>
  <si>
    <t>PBV-PP13-05-25-18-00322</t>
  </si>
  <si>
    <t>5877</t>
  </si>
  <si>
    <t>PBV-PP13-05-25-18-00323</t>
  </si>
  <si>
    <t>T-PP13-05-25-18-00509</t>
  </si>
  <si>
    <t>PBV-PP13-05-25-18-00324</t>
  </si>
  <si>
    <t>PBV-PP13-05-25-18-00328</t>
  </si>
  <si>
    <t>SUP-1684</t>
  </si>
  <si>
    <t>1031</t>
  </si>
  <si>
    <t>GHULAM MUHAMMAD &amp; SONS</t>
  </si>
  <si>
    <t>PBV-PP13-05-25-18-00329</t>
  </si>
  <si>
    <t>SUP-1789</t>
  </si>
  <si>
    <t>PBV-PP13-05-25-18-00330</t>
  </si>
  <si>
    <t>PBV-PP13-05-25-18-00331</t>
  </si>
  <si>
    <t>PBV-PP13-05-25-18-00332</t>
  </si>
  <si>
    <t>4256</t>
  </si>
  <si>
    <t>PBV-PP13-05-25-18-00333</t>
  </si>
  <si>
    <t>4251</t>
  </si>
  <si>
    <t>PBV-PP13-05-25-18-00334</t>
  </si>
  <si>
    <t>4250</t>
  </si>
  <si>
    <t>POL-PP13-05-25-18-0234</t>
  </si>
  <si>
    <t>PBV-PP13-05-25-18-00335</t>
  </si>
  <si>
    <t>4249</t>
  </si>
  <si>
    <t>PBV-PP13-05-25-18-00336</t>
  </si>
  <si>
    <t>4247</t>
  </si>
  <si>
    <t>PBV-PP13-05-25-18-00337</t>
  </si>
  <si>
    <t>4246</t>
  </si>
  <si>
    <t>PBV-PP13-05-25-18-00338</t>
  </si>
  <si>
    <t>4245</t>
  </si>
  <si>
    <t>PBV-PP13-05-25-18-00339</t>
  </si>
  <si>
    <t>4258</t>
  </si>
  <si>
    <t>PBV-PP13-05-25-18-00340</t>
  </si>
  <si>
    <t>1622</t>
  </si>
  <si>
    <t>PBV-PP13-05-25-18-00341</t>
  </si>
  <si>
    <t>11840</t>
  </si>
  <si>
    <t>PBV-PP13-05-25-18-00342</t>
  </si>
  <si>
    <t>169/2013</t>
  </si>
  <si>
    <t>PBV-PP13-05-25-18-00343</t>
  </si>
  <si>
    <t>PBV-PP13-05-25-18-00344</t>
  </si>
  <si>
    <t>PBV-PP13-05-25-18-00345</t>
  </si>
  <si>
    <t>PBV-PP13-05-25-18-00347</t>
  </si>
  <si>
    <t>PBV-PP13-05-25-18-00348</t>
  </si>
  <si>
    <t>PBV-PP13-05-25-18-00349</t>
  </si>
  <si>
    <t>2124</t>
  </si>
  <si>
    <t>PBV-PP13-05-25-18-00350</t>
  </si>
  <si>
    <t>PBV-PP13-05-25-18-00351</t>
  </si>
  <si>
    <t>4244</t>
  </si>
  <si>
    <t>PBV-PP13-05-25-18-00352</t>
  </si>
  <si>
    <t>1035</t>
  </si>
  <si>
    <t>PBV-PP13-05-25-18-00353</t>
  </si>
  <si>
    <t>4260</t>
  </si>
  <si>
    <t>PBV-PP13-05-25-18-00354</t>
  </si>
  <si>
    <t>1630</t>
  </si>
  <si>
    <t>PBV-PP13-05-25-18-00355</t>
  </si>
  <si>
    <t>1631</t>
  </si>
  <si>
    <t>PBV-PP13-05-25-18-00356</t>
  </si>
  <si>
    <t>1638</t>
  </si>
  <si>
    <t>PBV-PP13-05-25-18-00357</t>
  </si>
  <si>
    <t>PBV-PP13-05-25-18-00358</t>
  </si>
  <si>
    <t>PBV-PP13-05-25-18-00359</t>
  </si>
  <si>
    <t>408</t>
  </si>
  <si>
    <t>PBV-PP13-05-25-18-00360</t>
  </si>
  <si>
    <t>PBV-PP13-05-25-18-00362</t>
  </si>
  <si>
    <t>T-PP13-05-25-18-00478</t>
  </si>
  <si>
    <t>PBV-PP13-05-25-18-00364</t>
  </si>
  <si>
    <t>PBV-PP13-05-25-18-00365</t>
  </si>
  <si>
    <t>PBV-PP13-05-25-18-00366</t>
  </si>
  <si>
    <t>PBV-PP13-05-25-18-00367</t>
  </si>
  <si>
    <t>PBV-PP13-05-25-18-00368</t>
  </si>
  <si>
    <t>PBV-PP13-05-25-18-00369</t>
  </si>
  <si>
    <t>PBV-PP13-05-25-18-00370</t>
  </si>
  <si>
    <t>PBV-PP13-05-25-18-00371</t>
  </si>
  <si>
    <t>PBV-PP13-05-25-18-00372</t>
  </si>
  <si>
    <t>4261</t>
  </si>
  <si>
    <t>PBV-PP13-05-25-18-00373</t>
  </si>
  <si>
    <t>4262</t>
  </si>
  <si>
    <t>PBV-PP13-05-25-18-00374</t>
  </si>
  <si>
    <t>4267</t>
  </si>
  <si>
    <t>PBV-PP13-05-25-18-00375</t>
  </si>
  <si>
    <t>4270</t>
  </si>
  <si>
    <t>PBV-PP13-05-25-18-00376</t>
  </si>
  <si>
    <t>4271</t>
  </si>
  <si>
    <t>PBV-PP13-05-25-18-00377</t>
  </si>
  <si>
    <t>PBV-PP13-05-25-18-00378</t>
  </si>
  <si>
    <t>4273</t>
  </si>
  <si>
    <t>PBV-PP13-05-25-18-00379</t>
  </si>
  <si>
    <t>4278</t>
  </si>
  <si>
    <t>PBV-PP13-05-25-18-00380</t>
  </si>
  <si>
    <t>4279</t>
  </si>
  <si>
    <t>PBV-PP13-05-25-18-00381</t>
  </si>
  <si>
    <t>4282</t>
  </si>
  <si>
    <t>PBV-PP13-05-25-18-00382</t>
  </si>
  <si>
    <t>4277</t>
  </si>
  <si>
    <t>PBV-PP13-05-25-18-00383</t>
  </si>
  <si>
    <t>SUP-1794</t>
  </si>
  <si>
    <t>0002</t>
  </si>
  <si>
    <t>A.R ENTERPRISES</t>
  </si>
  <si>
    <t>PBV-PP13-05-25-18-00384</t>
  </si>
  <si>
    <t>0001</t>
  </si>
  <si>
    <t>PBV-PP13-05-25-18-00389</t>
  </si>
  <si>
    <t>1649</t>
  </si>
  <si>
    <t>PBV-PP13-05-25-18-00390</t>
  </si>
  <si>
    <t>1645</t>
  </si>
  <si>
    <t>PBV-PP13-05-25-18-00392</t>
  </si>
  <si>
    <t>11841</t>
  </si>
  <si>
    <t>PBV-PP13-08-01-18-00002</t>
  </si>
  <si>
    <t>SUP-1785</t>
  </si>
  <si>
    <t>SM.ENGINEERING &amp; METAL WORKS</t>
  </si>
  <si>
    <t>PBV-PP13-08-01-18-00003</t>
  </si>
  <si>
    <t>PBV-PP13-08-30-18-00001</t>
  </si>
  <si>
    <t>PBV-PP13-08-30-18-00002</t>
  </si>
  <si>
    <t>PBV-PP13-08-30-18-00003</t>
  </si>
  <si>
    <t>2624</t>
  </si>
  <si>
    <t>PBV-PP13-08-30-18-00004</t>
  </si>
  <si>
    <t>1292</t>
  </si>
  <si>
    <t>PBV-PP13-08-30-18-00005</t>
  </si>
  <si>
    <t>5989</t>
  </si>
  <si>
    <t>PBV-PP13-08-30-18-00006</t>
  </si>
  <si>
    <t>465</t>
  </si>
  <si>
    <t>PBV-PP13-08-30-18-00007</t>
  </si>
  <si>
    <t>2</t>
  </si>
  <si>
    <t>PBV-PP13-08-30-18-00009</t>
  </si>
  <si>
    <t>PBV-PP13-08-30-18-00010</t>
  </si>
  <si>
    <t>7003</t>
  </si>
  <si>
    <t>PBV-PP13-08-30-18-00011</t>
  </si>
  <si>
    <t>7594</t>
  </si>
  <si>
    <t>PBV-PP13-08-30-18-00012</t>
  </si>
  <si>
    <t>7585</t>
  </si>
  <si>
    <t>PBV-PP13-08-30-18-00013</t>
  </si>
  <si>
    <t>00018</t>
  </si>
  <si>
    <t>PBV-PP13-08-30-18-00014</t>
  </si>
  <si>
    <t>PBV-PP13-08-30-18-00015</t>
  </si>
  <si>
    <t>PBV-PP13-08-30-18-00016</t>
  </si>
  <si>
    <t>T-PP13-08-30-18-00323</t>
  </si>
  <si>
    <t>IDHO-16618</t>
  </si>
  <si>
    <t>PBV-PP13-08-30-18-00018</t>
  </si>
  <si>
    <t>338</t>
  </si>
  <si>
    <t>PBV-PP13-08-30-18-00022</t>
  </si>
  <si>
    <t>PBV-PP13-08-30-18-00023</t>
  </si>
  <si>
    <t>PBV-PP13-08-30-18-00024</t>
  </si>
  <si>
    <t>PBV-PP13-08-30-18-00025</t>
  </si>
  <si>
    <t>PBV-PP13-08-30-18-00026</t>
  </si>
  <si>
    <t>PBV-PP13-08-30-18-00027</t>
  </si>
  <si>
    <t>5997</t>
  </si>
  <si>
    <t>PBV-PP13-08-30-18-00028</t>
  </si>
  <si>
    <t>5975</t>
  </si>
  <si>
    <t>PBV-PP13-08-30-18-00029</t>
  </si>
  <si>
    <t>PBV-PP13-08-30-18-00030</t>
  </si>
  <si>
    <t>PBV-PP13-08-30-18-00031</t>
  </si>
  <si>
    <t>PBV-PP13-08-30-18-00032</t>
  </si>
  <si>
    <t>PBV-PP13-08-30-18-00033</t>
  </si>
  <si>
    <t>3639</t>
  </si>
  <si>
    <t>PBV-PP13-08-30-18-00036</t>
  </si>
  <si>
    <t>000070</t>
  </si>
  <si>
    <t>PBV-PP13-08-30-18-00038</t>
  </si>
  <si>
    <t>PBV-PP13-08-30-18-00039</t>
  </si>
  <si>
    <t>PBV-PP13-08-30-18-00040</t>
  </si>
  <si>
    <t>PBV-PP13-08-30-18-00041</t>
  </si>
  <si>
    <t>349</t>
  </si>
  <si>
    <t>PBV-PP13-08-30-18-00042</t>
  </si>
  <si>
    <t>PBV-PP13-08-30-18-00043</t>
  </si>
  <si>
    <t>343</t>
  </si>
  <si>
    <t>PBV-PP13-08-30-18-00044</t>
  </si>
  <si>
    <t>000091</t>
  </si>
  <si>
    <t>PBV-PP13-08-30-18-00045</t>
  </si>
  <si>
    <t>PBV-PP13-08-30-18-00047</t>
  </si>
  <si>
    <t>T-PP13-08-30-18-00432</t>
  </si>
  <si>
    <t>PBV-PP13-08-30-18-00051</t>
  </si>
  <si>
    <t>341</t>
  </si>
  <si>
    <t>PBV-PP13-08-30-18-00056</t>
  </si>
  <si>
    <t>1888</t>
  </si>
  <si>
    <t>T-PP13-08-30-18-00439</t>
  </si>
  <si>
    <t>PBV-PP13-08-30-18-00057</t>
  </si>
  <si>
    <t>T-PP13-08-30-18-00437</t>
  </si>
  <si>
    <t>PBV-PP13-08-30-18-00059</t>
  </si>
  <si>
    <t>PBV-PP13-08-30-18-00060</t>
  </si>
  <si>
    <t>PBV-PP13-08-30-18-00061</t>
  </si>
  <si>
    <t>5820</t>
  </si>
  <si>
    <t>MF-PP13-01-01-18-00068</t>
  </si>
  <si>
    <t>PBV-PP13-08-30-18-00071</t>
  </si>
  <si>
    <t>5816</t>
  </si>
  <si>
    <t>PBV-PP13-08-30-18-00072</t>
  </si>
  <si>
    <t>5817</t>
  </si>
  <si>
    <t>PBV-PP13-08-30-18-00073</t>
  </si>
  <si>
    <t>5818</t>
  </si>
  <si>
    <t>PBV-PP13-08-30-18-00074</t>
  </si>
  <si>
    <t>0060</t>
  </si>
  <si>
    <t>PBV-PP13-08-30-18-00075</t>
  </si>
  <si>
    <t>0062</t>
  </si>
  <si>
    <t>PBV-PP13-08-30-18-00076</t>
  </si>
  <si>
    <t>0012</t>
  </si>
  <si>
    <t>PBV-PP13-08-30-18-00077</t>
  </si>
  <si>
    <t>0004</t>
  </si>
  <si>
    <t>PBV-PP13-08-30-18-00078</t>
  </si>
  <si>
    <t>0027</t>
  </si>
  <si>
    <t>PBV-PP13-08-30-18-00079</t>
  </si>
  <si>
    <t>0014</t>
  </si>
  <si>
    <t>PBV-PP13-08-30-18-00080</t>
  </si>
  <si>
    <t>T-PP13-08-30-18-00322</t>
  </si>
  <si>
    <t>PBV-PP13-08-30-18-00081</t>
  </si>
  <si>
    <t>7596</t>
  </si>
  <si>
    <t>PBV-PP13-08-30-18-00084</t>
  </si>
  <si>
    <t>000110</t>
  </si>
  <si>
    <t>PBV-PP13-08-30-18-00085</t>
  </si>
  <si>
    <t>000114</t>
  </si>
  <si>
    <t>PBV-PP13-08-30-18-00087</t>
  </si>
  <si>
    <t>1084</t>
  </si>
  <si>
    <t>PBV-PP13-08-30-18-00088</t>
  </si>
  <si>
    <t>7615</t>
  </si>
  <si>
    <t>PBV-PP13-08-30-18-00090</t>
  </si>
  <si>
    <t>6564</t>
  </si>
  <si>
    <t>T-PP13-08-30-18-00349</t>
  </si>
  <si>
    <t>PBV-PP13-08-30-18-00091</t>
  </si>
  <si>
    <t>0209</t>
  </si>
  <si>
    <t>PBV-PP13-08-30-18-00092</t>
  </si>
  <si>
    <t>PBV-PP13-08-30-18-00093</t>
  </si>
  <si>
    <t>PBV-PP13-08-30-18-00094</t>
  </si>
  <si>
    <t>0191</t>
  </si>
  <si>
    <t>PBV-PP13-08-30-18-00095</t>
  </si>
  <si>
    <t>0190</t>
  </si>
  <si>
    <t>PBV-PP13-08-30-18-00098</t>
  </si>
  <si>
    <t>000157</t>
  </si>
  <si>
    <t>PBV-PP13-08-30-18-00099</t>
  </si>
  <si>
    <t>PBV-PP13-08-30-18-00101</t>
  </si>
  <si>
    <t>PBV-PP13-08-30-18-00102</t>
  </si>
  <si>
    <t>PBV-PP13-08-30-18-00103</t>
  </si>
  <si>
    <t>PBV-PP13-08-30-18-00104</t>
  </si>
  <si>
    <t>PBV-PP13-08-30-18-00105</t>
  </si>
  <si>
    <t>3708</t>
  </si>
  <si>
    <t>PBV-PP13-08-30-18-00106</t>
  </si>
  <si>
    <t>PBV-PP13-08-30-18-00107</t>
  </si>
  <si>
    <t>PBV-PP13-08-30-18-00108</t>
  </si>
  <si>
    <t>90825999</t>
  </si>
  <si>
    <t>PBV-PP13-08-30-18-00110</t>
  </si>
  <si>
    <t>T-PP13-08-30-18-00502</t>
  </si>
  <si>
    <t>PBV-PP13-08-30-18-00111</t>
  </si>
  <si>
    <t>PBV-PP13-08-30-18-00112</t>
  </si>
  <si>
    <t>PBV-PP13-08-30-18-00113</t>
  </si>
  <si>
    <t>PBV-PP13-08-30-18-00115</t>
  </si>
  <si>
    <t>5836</t>
  </si>
  <si>
    <t>PBV-PP13-08-30-18-00116</t>
  </si>
  <si>
    <t>000198</t>
  </si>
  <si>
    <t>PBV-PP13-08-30-18-00117</t>
  </si>
  <si>
    <t>5835</t>
  </si>
  <si>
    <t>PBV-PP13-08-30-18-00118</t>
  </si>
  <si>
    <t>5834</t>
  </si>
  <si>
    <t>PBV-PP13-08-30-18-00119</t>
  </si>
  <si>
    <t>5832</t>
  </si>
  <si>
    <t>PBV-PP13-08-30-18-00120</t>
  </si>
  <si>
    <t>5830</t>
  </si>
  <si>
    <t>PBV-PP13-08-30-18-00121</t>
  </si>
  <si>
    <t>5828</t>
  </si>
  <si>
    <t>PBV-PP13-08-30-18-00122</t>
  </si>
  <si>
    <t>5825</t>
  </si>
  <si>
    <t>PBV-PP13-08-30-18-00123</t>
  </si>
  <si>
    <t>5824</t>
  </si>
  <si>
    <t>PBV-PP13-08-30-18-00124</t>
  </si>
  <si>
    <t>7634</t>
  </si>
  <si>
    <t>PBV-PP13-08-30-18-00125</t>
  </si>
  <si>
    <t>PBV-PP13-08-30-18-00126</t>
  </si>
  <si>
    <t>7654</t>
  </si>
  <si>
    <t>PBV-PP13-08-30-18-00127</t>
  </si>
  <si>
    <t>7651</t>
  </si>
  <si>
    <t>PBV-PP13-08-30-18-00128</t>
  </si>
  <si>
    <t>T-PP13-08-30-18-00324</t>
  </si>
  <si>
    <t>PBV-PP13-08-30-18-00129</t>
  </si>
  <si>
    <t>T-PP13-08-30-18-00325</t>
  </si>
  <si>
    <t>PBV-PP13-08-30-18-00131</t>
  </si>
  <si>
    <t>6572</t>
  </si>
  <si>
    <t>T-PP13-08-30-18-00350</t>
  </si>
  <si>
    <t>PBV-PP13-08-30-18-00132</t>
  </si>
  <si>
    <t>PBV-PP13-08-30-18-00136</t>
  </si>
  <si>
    <t>PBV-PP13-08-30-18-00137</t>
  </si>
  <si>
    <t>PBV-PP13-08-30-18-00138</t>
  </si>
  <si>
    <t>PBV-PP13-08-30-18-00139</t>
  </si>
  <si>
    <t>PBV-PP13-08-30-18-00140</t>
  </si>
  <si>
    <t>PBV-PP13-08-30-18-00142</t>
  </si>
  <si>
    <t>PBV-PP13-08-30-18-00143</t>
  </si>
  <si>
    <t>T-PP13-08-30-18-00326</t>
  </si>
  <si>
    <t>PBV-PP13-08-30-18-00145</t>
  </si>
  <si>
    <t>PBV-PP13-08-30-18-00146</t>
  </si>
  <si>
    <t>PBV-PP13-08-30-18-00155</t>
  </si>
  <si>
    <t>00332</t>
  </si>
  <si>
    <t>PBV-PP13-08-30-18-00156</t>
  </si>
  <si>
    <t>479</t>
  </si>
  <si>
    <t>PBV-PP13-08-30-18-00157</t>
  </si>
  <si>
    <t>T-PP13-08-30-18-00510</t>
  </si>
  <si>
    <t>PBV-PP13-08-30-18-00158</t>
  </si>
  <si>
    <t>594</t>
  </si>
  <si>
    <t>PBV-PP13-08-30-18-00159</t>
  </si>
  <si>
    <t>PBV-PP13-08-30-18-00160</t>
  </si>
  <si>
    <t>589</t>
  </si>
  <si>
    <t>PBV-PP13-08-30-18-00161</t>
  </si>
  <si>
    <t>725</t>
  </si>
  <si>
    <t>PBV-PP13-08-30-18-00162</t>
  </si>
  <si>
    <t>PBV-PP13-08-30-18-00163</t>
  </si>
  <si>
    <t>T-PP13-08-30-18-00327</t>
  </si>
  <si>
    <t>PBV-PP13-08-30-18-00164</t>
  </si>
  <si>
    <t>9084276</t>
  </si>
  <si>
    <t>PBV-PP13-08-30-18-00165</t>
  </si>
  <si>
    <t>PBV-PP13-08-30-18-00167</t>
  </si>
  <si>
    <t>PBV-PP13-08-30-18-00168</t>
  </si>
  <si>
    <t>PBV-PP13-08-30-18-00173</t>
  </si>
  <si>
    <t>PBV-PP13-08-30-18-00176</t>
  </si>
  <si>
    <t>7688</t>
  </si>
  <si>
    <t>PBV-PP13-08-30-18-00177</t>
  </si>
  <si>
    <t>7676</t>
  </si>
  <si>
    <t>PBV-PP13-08-30-18-00179</t>
  </si>
  <si>
    <t>PBV-PP13-08-30-18-00180</t>
  </si>
  <si>
    <t>599</t>
  </si>
  <si>
    <t>PBV-PP13-08-30-18-00181</t>
  </si>
  <si>
    <t>604</t>
  </si>
  <si>
    <t>PBV-PP13-08-30-18-00185</t>
  </si>
  <si>
    <t>PBV-PP13-08-30-18-00186</t>
  </si>
  <si>
    <t>610</t>
  </si>
  <si>
    <t>PBV-PP13-08-30-18-00187</t>
  </si>
  <si>
    <t>T-PP13-08-30-18-00328</t>
  </si>
  <si>
    <t>PBV-PP13-08-30-18-00189</t>
  </si>
  <si>
    <t>5838</t>
  </si>
  <si>
    <t>PBV-PP13-08-30-18-00190</t>
  </si>
  <si>
    <t>5839</t>
  </si>
  <si>
    <t>PBV-PP13-08-30-18-00191</t>
  </si>
  <si>
    <t>5840</t>
  </si>
  <si>
    <t>PBV-PP13-08-30-18-00192</t>
  </si>
  <si>
    <t>629</t>
  </si>
  <si>
    <t>PBV-PP13-08-30-18-00193</t>
  </si>
  <si>
    <t>1727</t>
  </si>
  <si>
    <t>PBV-PP13-08-30-18-00194</t>
  </si>
  <si>
    <t>1729</t>
  </si>
  <si>
    <t>PBV-PP13-08-30-18-00195</t>
  </si>
  <si>
    <t>1728</t>
  </si>
  <si>
    <t>PBV-PP13-08-30-18-00196</t>
  </si>
  <si>
    <t>5846</t>
  </si>
  <si>
    <t>PBV-PP13-08-30-18-00197</t>
  </si>
  <si>
    <t>1679</t>
  </si>
  <si>
    <t>PBV-PP13-08-30-18-00198</t>
  </si>
  <si>
    <t>1680</t>
  </si>
  <si>
    <t>PBV-PP13-08-30-18-00199</t>
  </si>
  <si>
    <t>5843</t>
  </si>
  <si>
    <t>PBV-PP13-08-30-18-00200</t>
  </si>
  <si>
    <t>5842</t>
  </si>
  <si>
    <t>PBV-PP13-08-30-18-00201</t>
  </si>
  <si>
    <t>PBV-PP13-08-30-18-00202</t>
  </si>
  <si>
    <t>PBV-PP13-08-30-18-00203</t>
  </si>
  <si>
    <t>948</t>
  </si>
  <si>
    <t>PBV-PP13-08-30-18-00204</t>
  </si>
  <si>
    <t>609</t>
  </si>
  <si>
    <t>PBV-PP13-08-30-18-00205</t>
  </si>
  <si>
    <t>PBV-PP13-08-30-18-00206</t>
  </si>
  <si>
    <t>SUP-0013</t>
  </si>
  <si>
    <t>12118</t>
  </si>
  <si>
    <t>PBV-PP13-08-30-18-00207</t>
  </si>
  <si>
    <t>PBV-PP13-08-30-18-00208</t>
  </si>
  <si>
    <t>PBV-PP13-08-30-18-00209</t>
  </si>
  <si>
    <t>PBV-PP13-08-30-18-00210</t>
  </si>
  <si>
    <t>SUP-1706</t>
  </si>
  <si>
    <t>RAHEEL ENTERPRIESES</t>
  </si>
  <si>
    <t>PBV-PP13-08-30-18-00211</t>
  </si>
  <si>
    <t>5849</t>
  </si>
  <si>
    <t>PBV-PP13-08-30-18-00212</t>
  </si>
  <si>
    <t>5848</t>
  </si>
  <si>
    <t>PBV-PP13-08-30-18-00213</t>
  </si>
  <si>
    <t>5847</t>
  </si>
  <si>
    <t>PBV-PP13-08-30-18-00214</t>
  </si>
  <si>
    <t>025</t>
  </si>
  <si>
    <t>T-PP13-08-30-18-00503</t>
  </si>
  <si>
    <t>PBV-PP13-08-30-18-00216</t>
  </si>
  <si>
    <t>PBV-PP13-08-30-18-00217</t>
  </si>
  <si>
    <t>00579</t>
  </si>
  <si>
    <t>PBV-PP13-08-30-18-00218</t>
  </si>
  <si>
    <t>1117</t>
  </si>
  <si>
    <t>PBV-PP13-08-30-18-00219</t>
  </si>
  <si>
    <t>PBV-PP13-08-30-18-00220</t>
  </si>
  <si>
    <t>1036</t>
  </si>
  <si>
    <t>PBV-PP13-08-30-18-00221</t>
  </si>
  <si>
    <t>645</t>
  </si>
  <si>
    <t>PBV-PP13-08-30-18-00222</t>
  </si>
  <si>
    <t>PBV-PP13-08-30-18-00223</t>
  </si>
  <si>
    <t>PBV-PP13-08-30-18-00224</t>
  </si>
  <si>
    <t>T-PP13-08-30-18-00476</t>
  </si>
  <si>
    <t>IDHO-16938</t>
  </si>
  <si>
    <t>PBV-PP13-08-30-18-00225</t>
  </si>
  <si>
    <t>6708</t>
  </si>
  <si>
    <t>PBV-PP13-08-30-18-00226</t>
  </si>
  <si>
    <t>5850</t>
  </si>
  <si>
    <t>PBV-PP13-08-30-18-00227</t>
  </si>
  <si>
    <t>PBV-PP13-08-30-18-00228</t>
  </si>
  <si>
    <t>PBV-PP13-08-30-18-00229</t>
  </si>
  <si>
    <t>PBV-PP13-08-30-18-00230</t>
  </si>
  <si>
    <t>880</t>
  </si>
  <si>
    <t>PBV-PP13-08-30-18-00231</t>
  </si>
  <si>
    <t>852</t>
  </si>
  <si>
    <t>PBV-PP13-08-30-18-00232</t>
  </si>
  <si>
    <t>935</t>
  </si>
  <si>
    <t>PBV-PP13-08-30-18-00233</t>
  </si>
  <si>
    <t>915</t>
  </si>
  <si>
    <t>PBV-PP13-08-30-18-00234</t>
  </si>
  <si>
    <t>1121</t>
  </si>
  <si>
    <t>PBV-PP13-08-30-18-00235</t>
  </si>
  <si>
    <t>11033</t>
  </si>
  <si>
    <t>PBV-PP13-08-30-18-00236</t>
  </si>
  <si>
    <t>11028</t>
  </si>
  <si>
    <t>PBV-PP13-08-30-18-00237</t>
  </si>
  <si>
    <t>PBV-PP13-08-30-18-00238</t>
  </si>
  <si>
    <t>PBV-PP13-08-30-18-00239</t>
  </si>
  <si>
    <t>PBV-PP13-08-30-18-00240</t>
  </si>
  <si>
    <t>PBV-PP13-08-30-18-00243</t>
  </si>
  <si>
    <t>PBV-PP13-08-30-18-00244</t>
  </si>
  <si>
    <t>PBV-PP13-08-30-18-00245</t>
  </si>
  <si>
    <t>190</t>
  </si>
  <si>
    <t>PBV-PP13-08-30-18-00246</t>
  </si>
  <si>
    <t>1572</t>
  </si>
  <si>
    <t>PBV-PP13-08-30-18-00247</t>
  </si>
  <si>
    <t>PBV-PP13-08-30-18-00248</t>
  </si>
  <si>
    <t>PBV-PP13-08-30-18-00249</t>
  </si>
  <si>
    <t>672</t>
  </si>
  <si>
    <t>PBV-PP13-08-30-18-00250</t>
  </si>
  <si>
    <t>668</t>
  </si>
  <si>
    <t>PBV-PP13-08-30-18-00251</t>
  </si>
  <si>
    <t>1914</t>
  </si>
  <si>
    <t>PBV-PP13-08-30-18-00252</t>
  </si>
  <si>
    <t>1076</t>
  </si>
  <si>
    <t>PBV-PP13-08-30-18-00253</t>
  </si>
  <si>
    <t>PBV-PP13-08-30-18-00259</t>
  </si>
  <si>
    <t>11052</t>
  </si>
  <si>
    <t>PBV-PP13-08-30-18-00260</t>
  </si>
  <si>
    <t>675</t>
  </si>
  <si>
    <t>PBV-PP13-08-30-18-00261</t>
  </si>
  <si>
    <t>T-PP13-08-30-18-00507</t>
  </si>
  <si>
    <t>PBV-PP13-08-30-18-00262</t>
  </si>
  <si>
    <t>PBV-PP13-08-30-18-00264</t>
  </si>
  <si>
    <t>PBV-PP13-08-30-18-00265</t>
  </si>
  <si>
    <t>PBV-PP13-08-30-18-00266</t>
  </si>
  <si>
    <t>1576</t>
  </si>
  <si>
    <t>PBV-PP13-08-30-18-00267</t>
  </si>
  <si>
    <t>1977</t>
  </si>
  <si>
    <t>PBV-PP13-08-30-18-00268</t>
  </si>
  <si>
    <t>SUP-0024</t>
  </si>
  <si>
    <t>0099</t>
  </si>
  <si>
    <t>A.I. ENTERPRISE</t>
  </si>
  <si>
    <t>MF-PP13-01-01-18-00069</t>
  </si>
  <si>
    <t>PBV-PP13-08-30-18-00269</t>
  </si>
  <si>
    <t>677</t>
  </si>
  <si>
    <t>PBV-PP13-08-30-18-00270</t>
  </si>
  <si>
    <t>PBV-PP13-08-30-18-00271</t>
  </si>
  <si>
    <t>90866150</t>
  </si>
  <si>
    <t>PBV-PP13-08-30-18-00272</t>
  </si>
  <si>
    <t>90867915</t>
  </si>
  <si>
    <t>PBV-PP13-08-30-18-00273</t>
  </si>
  <si>
    <t>90884137</t>
  </si>
  <si>
    <t>PBV-PP13-08-30-18-00274</t>
  </si>
  <si>
    <t>90842726</t>
  </si>
  <si>
    <t>PBV-PP13-08-30-18-00275</t>
  </si>
  <si>
    <t>PBV-PP13-08-30-18-00276</t>
  </si>
  <si>
    <t>PBV-PP13-08-30-18-00277</t>
  </si>
  <si>
    <t>90858986</t>
  </si>
  <si>
    <t>PBV-PP13-08-30-18-00278</t>
  </si>
  <si>
    <t>90870435</t>
  </si>
  <si>
    <t>PBV-PP13-08-30-18-00279</t>
  </si>
  <si>
    <t>PBV-PP13-08-30-18-00280</t>
  </si>
  <si>
    <t>PBV-PP13-08-30-18-00281</t>
  </si>
  <si>
    <t>2553</t>
  </si>
  <si>
    <t>PBV-PP13-08-30-18-00282</t>
  </si>
  <si>
    <t>PBV-PP13-08-30-18-00283</t>
  </si>
  <si>
    <t>740</t>
  </si>
  <si>
    <t>PBV-PP13-08-30-18-00284</t>
  </si>
  <si>
    <t>5855</t>
  </si>
  <si>
    <t>PBV-PP13-08-30-18-00285</t>
  </si>
  <si>
    <t>5856</t>
  </si>
  <si>
    <t>PBV-PP13-08-30-18-00286</t>
  </si>
  <si>
    <t>5857</t>
  </si>
  <si>
    <t>PBV-PP13-08-30-18-00287</t>
  </si>
  <si>
    <t>5860</t>
  </si>
  <si>
    <t>PBV-PP13-08-30-18-00288</t>
  </si>
  <si>
    <t>5859</t>
  </si>
  <si>
    <t>PBV-PP13-08-30-18-00289</t>
  </si>
  <si>
    <t>5858</t>
  </si>
  <si>
    <t>PBV-PP13-08-30-18-00290</t>
  </si>
  <si>
    <t>081</t>
  </si>
  <si>
    <t>PBV-PP13-08-30-18-00291</t>
  </si>
  <si>
    <t>11066</t>
  </si>
  <si>
    <t>PBV-PP13-08-30-18-00292</t>
  </si>
  <si>
    <t>PBV-PP13-08-30-18-00293</t>
  </si>
  <si>
    <t>041</t>
  </si>
  <si>
    <t>PBV-PP13-08-30-18-00294</t>
  </si>
  <si>
    <t>PBV-PP13-08-30-18-00295</t>
  </si>
  <si>
    <t>1126</t>
  </si>
  <si>
    <t>PBV-PP13-08-30-18-00296</t>
  </si>
  <si>
    <t>1130</t>
  </si>
  <si>
    <t>PBV-PP13-08-30-18-00297</t>
  </si>
  <si>
    <t>PBV-PP13-08-30-18-00298</t>
  </si>
  <si>
    <t>PBV-PP13-08-30-18-00299</t>
  </si>
  <si>
    <t>PBV-PP13-08-30-18-00300</t>
  </si>
  <si>
    <t>681</t>
  </si>
  <si>
    <t>PBV-PP13-08-30-18-00301</t>
  </si>
  <si>
    <t>691</t>
  </si>
  <si>
    <t>PBV-PP13-08-30-18-00302</t>
  </si>
  <si>
    <t>651</t>
  </si>
  <si>
    <t>PBV-PP13-08-30-18-00303</t>
  </si>
  <si>
    <t>004176</t>
  </si>
  <si>
    <t>T-PP13-08-30-18-00472</t>
  </si>
  <si>
    <t>PBV-PP13-08-30-18-00304</t>
  </si>
  <si>
    <t>PBV-PP13-08-30-18-00305</t>
  </si>
  <si>
    <t>PBV-PP13-08-30-18-00306</t>
  </si>
  <si>
    <t>2556</t>
  </si>
  <si>
    <t>PBV-PP13-08-30-18-00307</t>
  </si>
  <si>
    <t>2554</t>
  </si>
  <si>
    <t>PBV-PP13-08-30-18-00308</t>
  </si>
  <si>
    <t>2552</t>
  </si>
  <si>
    <t>PBV-PP13-08-30-18-00314</t>
  </si>
  <si>
    <t>667</t>
  </si>
  <si>
    <t>PBV-PP13-08-30-18-00315</t>
  </si>
  <si>
    <t>374</t>
  </si>
  <si>
    <t>PBV-PP13-08-30-18-00316</t>
  </si>
  <si>
    <t>PBV-PP13-08-30-18-00317</t>
  </si>
  <si>
    <t>PBV-PP13-08-30-18-00318</t>
  </si>
  <si>
    <t>PBV-PP13-08-30-18-00319</t>
  </si>
  <si>
    <t>PBV-PP13-08-30-18-00320</t>
  </si>
  <si>
    <t>789</t>
  </si>
  <si>
    <t>PBV-PP13-08-30-18-00321</t>
  </si>
  <si>
    <t>776-795</t>
  </si>
  <si>
    <t>PBV-PP13-08-30-18-00322</t>
  </si>
  <si>
    <t>PBV-PP13-08-30-18-00323</t>
  </si>
  <si>
    <t>PBV-PP13-08-30-18-00324</t>
  </si>
  <si>
    <t>PBV-PP13-08-30-18-00325</t>
  </si>
  <si>
    <t>SUP-1782</t>
  </si>
  <si>
    <t>PBV-PP13-08-30-18-00328</t>
  </si>
  <si>
    <t>PBV-PP13-08-30-18-00332</t>
  </si>
  <si>
    <t>1590</t>
  </si>
  <si>
    <t>PBV-PP13-08-30-18-00333</t>
  </si>
  <si>
    <t>2873</t>
  </si>
  <si>
    <t>PBV-PP13-08-30-18-00334</t>
  </si>
  <si>
    <t>2713</t>
  </si>
  <si>
    <t>PBV-PP13-08-30-18-00335</t>
  </si>
  <si>
    <t>PBV-PP13-08-30-18-00336</t>
  </si>
  <si>
    <t>396</t>
  </si>
  <si>
    <t>PBV-PP13-08-30-18-00337</t>
  </si>
  <si>
    <t>PBV-PP13-08-30-18-00338</t>
  </si>
  <si>
    <t>004361</t>
  </si>
  <si>
    <t>PBV-PP13-08-30-18-00339</t>
  </si>
  <si>
    <t>PBV-PP13-08-30-18-00340</t>
  </si>
  <si>
    <t>5871</t>
  </si>
  <si>
    <t>PBV-PP13-08-30-18-00341</t>
  </si>
  <si>
    <t>5864</t>
  </si>
  <si>
    <t>PBV-PP13-08-30-18-00342</t>
  </si>
  <si>
    <t>708</t>
  </si>
  <si>
    <t>PBV-PP13-08-30-18-00343</t>
  </si>
  <si>
    <t>5866</t>
  </si>
  <si>
    <t>PBV-PP13-08-30-18-00344</t>
  </si>
  <si>
    <t>5868</t>
  </si>
  <si>
    <t>PBV-PP13-08-30-18-00345</t>
  </si>
  <si>
    <t>5867</t>
  </si>
  <si>
    <t>PBV-PP13-08-30-18-00346</t>
  </si>
  <si>
    <t>625</t>
  </si>
  <si>
    <t>PBV-PP13-08-30-18-00347</t>
  </si>
  <si>
    <t>626</t>
  </si>
  <si>
    <t>PBV-PP13-08-30-18-00348</t>
  </si>
  <si>
    <t>PBV-PP13-08-30-18-00349</t>
  </si>
  <si>
    <t>744</t>
  </si>
  <si>
    <t>PBV-PP13-08-30-18-00350</t>
  </si>
  <si>
    <t>PBV-PP13-08-30-18-00351</t>
  </si>
  <si>
    <t>PBV-PP13-08-30-18-00352</t>
  </si>
  <si>
    <t>PBV-PP13-08-30-18-00353</t>
  </si>
  <si>
    <t>PBV-PP13-08-30-18-00354</t>
  </si>
  <si>
    <t>PBV-PP13-08-30-18-00355</t>
  </si>
  <si>
    <t>PBV-PP13-08-30-18-00356</t>
  </si>
  <si>
    <t>627</t>
  </si>
  <si>
    <t>PBV-PP13-08-30-18-00357</t>
  </si>
  <si>
    <t>1596</t>
  </si>
  <si>
    <t>PBV-PP13-08-30-18-00358</t>
  </si>
  <si>
    <t>1605</t>
  </si>
  <si>
    <t>PBV-PP13-08-30-18-00359</t>
  </si>
  <si>
    <t>1607</t>
  </si>
  <si>
    <t>PBV-PP13-08-30-18-00360</t>
  </si>
  <si>
    <t>1608</t>
  </si>
  <si>
    <t>PBV-PP13-08-30-18-00361</t>
  </si>
  <si>
    <t>1614</t>
  </si>
  <si>
    <t>PBV-PP13-08-30-18-00362</t>
  </si>
  <si>
    <t>PBV-PP13-08-30-18-00364</t>
  </si>
  <si>
    <t>7804</t>
  </si>
  <si>
    <t>PBV-PP13-08-30-18-00365</t>
  </si>
  <si>
    <t>7796</t>
  </si>
  <si>
    <t>PBV-PP13-08-30-18-00366</t>
  </si>
  <si>
    <t>7800</t>
  </si>
  <si>
    <t>PBV-PP13-08-30-18-00367</t>
  </si>
  <si>
    <t>004382</t>
  </si>
  <si>
    <t>PBV-PP13-08-30-18-00368</t>
  </si>
  <si>
    <t>004391</t>
  </si>
  <si>
    <t>T-PP13-08-30-18-00474</t>
  </si>
  <si>
    <t>PBV-PP13-08-30-18-00369</t>
  </si>
  <si>
    <t>PBV-PP13-08-30-18-00370</t>
  </si>
  <si>
    <t>PBV-PP13-08-30-18-00371</t>
  </si>
  <si>
    <t>PBV-PP13-08-30-18-00372</t>
  </si>
  <si>
    <t>PBV-PP13-08-30-18-00373</t>
  </si>
  <si>
    <t>11086</t>
  </si>
  <si>
    <t>PBV-PP13-08-30-18-00374</t>
  </si>
  <si>
    <t>004419</t>
  </si>
  <si>
    <t>T-PP13-08-30-18-00475</t>
  </si>
  <si>
    <t>PBV-PP13-08-30-18-00375</t>
  </si>
  <si>
    <t>12211</t>
  </si>
  <si>
    <t>PBV-PP13-08-30-18-00376</t>
  </si>
  <si>
    <t>12171</t>
  </si>
  <si>
    <t>PBV-PP13-08-30-18-00377</t>
  </si>
  <si>
    <t>2891</t>
  </si>
  <si>
    <t>PBV-PP13-08-30-18-00378</t>
  </si>
  <si>
    <t>PBV-PP13-08-30-18-00379</t>
  </si>
  <si>
    <t>731</t>
  </si>
  <si>
    <t>PBV-PP13-08-30-18-00380</t>
  </si>
  <si>
    <t>5874</t>
  </si>
  <si>
    <t>PBV-PP13-08-30-18-00381</t>
  </si>
  <si>
    <t>5873</t>
  </si>
  <si>
    <t>PBV-PP13-08-30-18-00382</t>
  </si>
  <si>
    <t>5872</t>
  </si>
  <si>
    <t>PBV-PP13-08-30-18-00383</t>
  </si>
  <si>
    <t>5880</t>
  </si>
  <si>
    <t>PBV-PP13-08-30-18-00385</t>
  </si>
  <si>
    <t>PBV-PP13-08-30-18-00386</t>
  </si>
  <si>
    <t>PBV-PP13-08-30-18-00387</t>
  </si>
  <si>
    <t>PBV-PP13-08-30-18-00388</t>
  </si>
  <si>
    <t>11078</t>
  </si>
  <si>
    <t>PBV-PP13-08-30-18-00389</t>
  </si>
  <si>
    <t>12183</t>
  </si>
  <si>
    <t>PBV-PP13-08-30-18-00391</t>
  </si>
  <si>
    <t>SUP-1246</t>
  </si>
  <si>
    <t>442</t>
  </si>
  <si>
    <t>SUPER STAR METAL FINISHING (PVT) LTD</t>
  </si>
  <si>
    <t>PBV-PP13-08-30-18-00392</t>
  </si>
  <si>
    <t>PBV-PP13-08-30-18-00393</t>
  </si>
  <si>
    <t>5876</t>
  </si>
  <si>
    <t>PBV-PP13-08-30-18-00394</t>
  </si>
  <si>
    <t>SUP-1780</t>
  </si>
  <si>
    <t>PBV-PP13-08-30-18-00396</t>
  </si>
  <si>
    <t>PBV-PP13-08-30-18-00397</t>
  </si>
  <si>
    <t>763</t>
  </si>
  <si>
    <t>PBV-PP13-08-30-18-00398</t>
  </si>
  <si>
    <t>PBV-PP13-08-30-18-00399</t>
  </si>
  <si>
    <t>4</t>
  </si>
  <si>
    <t>PBV-PP13-08-30-18-00400</t>
  </si>
  <si>
    <t>PBV-PP13-08-30-18-00401</t>
  </si>
  <si>
    <t>PBV-PP13-08-30-18-00402</t>
  </si>
  <si>
    <t>PBV-PP13-08-30-18-00403</t>
  </si>
  <si>
    <t>PBV-PP13-08-30-18-00404</t>
  </si>
  <si>
    <t>PBV-PP13-08-30-18-00405</t>
  </si>
  <si>
    <t>PBV-PP13-08-30-18-00406</t>
  </si>
  <si>
    <t>1632</t>
  </si>
  <si>
    <t>PBV-PP13-08-30-18-00407</t>
  </si>
  <si>
    <t>1626</t>
  </si>
  <si>
    <t>PBV-PP13-08-30-18-00408</t>
  </si>
  <si>
    <t>1625</t>
  </si>
  <si>
    <t>PBV-PP13-08-30-18-00409</t>
  </si>
  <si>
    <t>628</t>
  </si>
  <si>
    <t>PBV-PP13-08-30-18-00410</t>
  </si>
  <si>
    <t>PBV-PP13-08-30-18-00411</t>
  </si>
  <si>
    <t>PBV-PP13-08-30-18-00412</t>
  </si>
  <si>
    <t>PBV-PP13-08-30-18-00413</t>
  </si>
  <si>
    <t>PBV-PP13-08-30-18-00414</t>
  </si>
  <si>
    <t>PBV-PP13-08-30-18-00415</t>
  </si>
  <si>
    <t>PBV-PP13-08-30-18-00416</t>
  </si>
  <si>
    <t>410</t>
  </si>
  <si>
    <t>PBV-PP13-08-30-18-00417</t>
  </si>
  <si>
    <t>409</t>
  </si>
  <si>
    <t>PBV-PP13-08-30-18-00418</t>
  </si>
  <si>
    <t>PBV-PP13-08-30-18-00419</t>
  </si>
  <si>
    <t>PBV-PP13-08-30-18-00420</t>
  </si>
  <si>
    <t>PBV-PP13-08-30-18-00421</t>
  </si>
  <si>
    <t>PBV-PP13-08-30-18-00422</t>
  </si>
  <si>
    <t>PBV-PP13-08-30-18-00423</t>
  </si>
  <si>
    <t>PBV-PP13-08-30-18-00424</t>
  </si>
  <si>
    <t>PBV-PP13-08-30-18-00425</t>
  </si>
  <si>
    <t>PBV-PP13-08-30-18-00426</t>
  </si>
  <si>
    <t>SUP-1793</t>
  </si>
  <si>
    <t>EXCEL INDUSTRIES</t>
  </si>
  <si>
    <t>PBV-PP13-08-30-18-00427</t>
  </si>
  <si>
    <t>PBV-PP13-08-30-18-00428</t>
  </si>
  <si>
    <t>PBV-PP13-08-30-18-00429</t>
  </si>
  <si>
    <t>PBV-PP13-08-30-18-00430</t>
  </si>
  <si>
    <t>007</t>
  </si>
  <si>
    <t>PBV-PP13-08-30-18-00432</t>
  </si>
  <si>
    <t>SUP-1775</t>
  </si>
  <si>
    <t>T-PP13-08-30-18-00482</t>
  </si>
  <si>
    <t>LIBERTY AUTOS</t>
  </si>
  <si>
    <t>IDHO-16965</t>
  </si>
  <si>
    <t>PBV-PP13-08-30-18-00433</t>
  </si>
  <si>
    <t>PBV-PP13-08-30-18-00434</t>
  </si>
  <si>
    <t>PBV-PP13-08-30-18-00435</t>
  </si>
  <si>
    <t>PBV-PP13-08-30-18-00436</t>
  </si>
  <si>
    <t>411</t>
  </si>
  <si>
    <t>PBV-PP13-08-30-18-00437</t>
  </si>
  <si>
    <t>412</t>
  </si>
  <si>
    <t>PBV-PP13-08-30-18-00438</t>
  </si>
  <si>
    <t>2314</t>
  </si>
  <si>
    <t>T-PP13-08-30-18-00481</t>
  </si>
  <si>
    <t>IDHO-16964</t>
  </si>
  <si>
    <t>PBV-PP13-08-30-18-00439</t>
  </si>
  <si>
    <t>1637</t>
  </si>
  <si>
    <t>PBV-PP13-08-30-18-00440</t>
  </si>
  <si>
    <t>1636</t>
  </si>
  <si>
    <t>PBV-PP13-08-30-18-00441</t>
  </si>
  <si>
    <t>PBV-PP13-08-30-18-00442</t>
  </si>
  <si>
    <t>PBV-PP13-08-30-18-00443</t>
  </si>
  <si>
    <t>PBV-PP13-08-30-18-00444</t>
  </si>
  <si>
    <t>PBV-PP13-08-30-18-00445</t>
  </si>
  <si>
    <t>005</t>
  </si>
  <si>
    <t>PBV-PP13-08-30-18-00446</t>
  </si>
  <si>
    <t>PBV-PP13-08-30-18-00447</t>
  </si>
  <si>
    <t>PBV-PP13-08-30-18-00448</t>
  </si>
  <si>
    <t>PBV-PP13-08-30-18-00449</t>
  </si>
  <si>
    <t>1646</t>
  </si>
  <si>
    <t>PBV-PP13-08-30-18-00450</t>
  </si>
  <si>
    <t>1647</t>
  </si>
  <si>
    <t>PBV-PP13-08-30-18-00451</t>
  </si>
  <si>
    <t>12240</t>
  </si>
  <si>
    <t>DYL-PP</t>
  </si>
  <si>
    <t>DYL-GS</t>
  </si>
  <si>
    <t>BEWL-PP</t>
  </si>
  <si>
    <t>BEWL-GS</t>
  </si>
  <si>
    <t>Back</t>
  </si>
  <si>
    <t>DYLPPMETAINDEX</t>
  </si>
  <si>
    <t>DYLGSMETAINDEX</t>
  </si>
  <si>
    <t>BEWLGSMETAINDEX</t>
  </si>
  <si>
    <t>BEWLPPMETAINDEX</t>
  </si>
  <si>
    <t>Met Data (Referesh)</t>
  </si>
  <si>
    <t>T-PP13-01-11-18-01759</t>
  </si>
  <si>
    <t>IDHO-17532</t>
  </si>
  <si>
    <t>T-PP13-01-11-18-01760</t>
  </si>
  <si>
    <t>T-PP13-01-11-18-01761</t>
  </si>
  <si>
    <t>T-PP13-01-11-18-01762</t>
  </si>
  <si>
    <t>T-PP13-01-11-18-01763</t>
  </si>
  <si>
    <t>T-PP13-01-11-18-01764</t>
  </si>
  <si>
    <t>T-PP13-01-11-18-01766</t>
  </si>
  <si>
    <t>T-PP13-01-11-18-01773</t>
  </si>
  <si>
    <t>T-PP13-01-11-18-01765</t>
  </si>
  <si>
    <t>T-PP13-01-11-18-01781</t>
  </si>
  <si>
    <t>T-PP13-01-11-18-01785</t>
  </si>
  <si>
    <t>T-PP13-01-11-18-01767</t>
  </si>
  <si>
    <t>INDEX</t>
  </si>
  <si>
    <t>Back to Index</t>
  </si>
  <si>
    <t>AgingSummaryReport_DYL_PP</t>
  </si>
  <si>
    <t>AgingSummaryReport_DYL_GS</t>
  </si>
  <si>
    <t>AgingSummaryReport_BEWL_GS</t>
  </si>
  <si>
    <t>AgingSummaryReport_BEWL_PP</t>
  </si>
</sst>
</file>

<file path=xl/styles.xml><?xml version="1.0" encoding="utf-8"?>
<styleSheet xmlns="http://schemas.openxmlformats.org/spreadsheetml/2006/main">
  <fonts count="12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6"/>
      <color theme="0"/>
      <name val="Calibri"/>
      <family val="2"/>
      <scheme val="minor"/>
    </font>
    <font>
      <sz val="16"/>
      <color theme="1"/>
      <name val="Calibri"/>
      <family val="2"/>
      <scheme val="minor"/>
    </font>
    <font>
      <sz val="9"/>
      <color theme="1"/>
      <name val="Calibri"/>
      <scheme val="minor"/>
    </font>
    <font>
      <sz val="11"/>
      <color theme="0"/>
      <name val="Calibri"/>
      <scheme val="minor"/>
    </font>
    <font>
      <u/>
      <sz val="11"/>
      <color theme="10"/>
      <name val="Calibri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u/>
      <sz val="22"/>
      <color theme="1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5"/>
        <bgColor indexed="64"/>
      </patternFill>
    </fill>
    <fill>
      <patternFill patternType="solid">
        <fgColor rgb="FFFFC7CE"/>
      </patternFill>
    </fill>
  </fills>
  <borders count="4">
    <border>
      <left/>
      <right/>
      <top/>
      <bottom/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/>
      <bottom style="thick">
        <color theme="4"/>
      </bottom>
      <diagonal/>
    </border>
  </borders>
  <cellStyleXfs count="6">
    <xf numFmtId="0" fontId="0" fillId="0" borderId="0"/>
    <xf numFmtId="0" fontId="1" fillId="2" borderId="0" applyNumberFormat="0" applyBorder="0" applyAlignment="0" applyProtection="0"/>
    <xf numFmtId="0" fontId="3" fillId="3" borderId="0" applyNumberFormat="0" applyBorder="0" applyAlignment="0" applyProtection="0"/>
    <xf numFmtId="0" fontId="8" fillId="0" borderId="0" applyNumberFormat="0" applyFill="0" applyBorder="0" applyAlignment="0" applyProtection="0">
      <alignment vertical="top"/>
      <protection locked="0"/>
    </xf>
    <xf numFmtId="0" fontId="9" fillId="0" borderId="0" applyNumberFormat="0" applyFill="0" applyBorder="0" applyAlignment="0" applyProtection="0"/>
    <xf numFmtId="0" fontId="10" fillId="0" borderId="3" applyNumberFormat="0" applyFill="0" applyAlignment="0" applyProtection="0"/>
  </cellStyleXfs>
  <cellXfs count="21">
    <xf numFmtId="0" fontId="0" fillId="0" borderId="0" xfId="0"/>
    <xf numFmtId="22" fontId="0" fillId="0" borderId="0" xfId="0" applyNumberFormat="1"/>
    <xf numFmtId="0" fontId="0" fillId="0" borderId="0" xfId="0" applyNumberFormat="1"/>
    <xf numFmtId="0" fontId="2" fillId="0" borderId="0" xfId="0" applyFont="1" applyAlignment="1"/>
    <xf numFmtId="0" fontId="2" fillId="0" borderId="0" xfId="0" applyFont="1"/>
    <xf numFmtId="0" fontId="2" fillId="0" borderId="0" xfId="0" applyFont="1" applyAlignment="1">
      <alignment wrapText="1"/>
    </xf>
    <xf numFmtId="0" fontId="2" fillId="0" borderId="0" xfId="0" applyNumberFormat="1" applyFont="1"/>
    <xf numFmtId="0" fontId="6" fillId="0" borderId="0" xfId="0" applyFont="1" applyBorder="1"/>
    <xf numFmtId="0" fontId="6" fillId="0" borderId="0" xfId="0" applyFont="1" applyBorder="1" applyAlignment="1">
      <alignment wrapText="1"/>
    </xf>
    <xf numFmtId="0" fontId="7" fillId="4" borderId="0" xfId="0" applyNumberFormat="1" applyFont="1" applyFill="1" applyBorder="1"/>
    <xf numFmtId="0" fontId="2" fillId="0" borderId="0" xfId="0" applyFont="1" applyBorder="1"/>
    <xf numFmtId="0" fontId="2" fillId="0" borderId="0" xfId="0" applyNumberFormat="1" applyFont="1" applyBorder="1"/>
    <xf numFmtId="0" fontId="8" fillId="0" borderId="0" xfId="3" applyAlignment="1" applyProtection="1"/>
    <xf numFmtId="0" fontId="9" fillId="0" borderId="0" xfId="4" applyAlignment="1" applyProtection="1">
      <alignment horizontal="center"/>
    </xf>
    <xf numFmtId="0" fontId="9" fillId="5" borderId="2" xfId="4" applyFill="1" applyBorder="1" applyAlignment="1">
      <alignment horizontal="center" vertical="center"/>
    </xf>
    <xf numFmtId="0" fontId="10" fillId="0" borderId="0" xfId="5" applyBorder="1" applyAlignment="1" applyProtection="1">
      <alignment horizontal="center"/>
    </xf>
    <xf numFmtId="0" fontId="11" fillId="0" borderId="0" xfId="3" applyFont="1" applyBorder="1" applyAlignment="1" applyProtection="1">
      <alignment horizontal="left"/>
    </xf>
    <xf numFmtId="0" fontId="4" fillId="2" borderId="1" xfId="1" applyFont="1" applyBorder="1" applyAlignment="1">
      <alignment horizontal="center"/>
    </xf>
    <xf numFmtId="0" fontId="5" fillId="3" borderId="0" xfId="2" applyFont="1" applyAlignment="1">
      <alignment horizontal="center"/>
    </xf>
    <xf numFmtId="0" fontId="8" fillId="0" borderId="2" xfId="3" applyBorder="1" applyAlignment="1" applyProtection="1"/>
    <xf numFmtId="0" fontId="8" fillId="3" borderId="0" xfId="3" applyFill="1" applyAlignment="1" applyProtection="1">
      <alignment horizontal="center"/>
    </xf>
  </cellXfs>
  <cellStyles count="6">
    <cellStyle name="40% - Accent3" xfId="2" builtinId="39"/>
    <cellStyle name="Accent2" xfId="1" builtinId="33"/>
    <cellStyle name="Heading 1" xfId="5" builtinId="16"/>
    <cellStyle name="Hyperlink" xfId="3" builtinId="8"/>
    <cellStyle name="Normal" xfId="0" builtinId="0"/>
    <cellStyle name="Title" xfId="4" builtinId="15"/>
  </cellStyles>
  <dxfs count="94"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27" formatCode="dd/mm/yyyy\ h:mm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27" formatCode="dd/mm/yyyy\ h:mm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  <numFmt numFmtId="0" formatCode="General"/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scheme val="minor"/>
      </font>
      <numFmt numFmtId="0" formatCode="General"/>
      <fill>
        <patternFill patternType="solid">
          <fgColor indexed="64"/>
          <bgColor theme="5"/>
        </patternFill>
      </fill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1" indent="0" relativeIndent="0" justifyLastLine="0" shrinkToFit="0" mergeCell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9"/>
        <color theme="1"/>
        <name val="Calibri"/>
        <scheme val="minor"/>
      </font>
      <alignment horizontal="general" vertical="bottom" textRotation="0" wrapText="0" indent="0" relativeIndent="255" justifyLastLine="0" shrinkToFit="0" mergeCell="0" readingOrder="0"/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0" formatCode="General"/>
    </dxf>
    <dxf>
      <numFmt numFmtId="27" formatCode="dd/mm/yyyy\ h:mm"/>
    </dxf>
    <dxf>
      <numFmt numFmtId="27" formatCode="dd/mm/yyyy\ h:mm"/>
    </dxf>
    <dxf>
      <numFmt numFmtId="27" formatCode="dd/mm/yyyy\ h:mm"/>
    </dxf>
    <dxf>
      <numFmt numFmtId="27" formatCode="dd/mm/yyyy\ h:mm"/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queryTables/queryTable1.xml><?xml version="1.0" encoding="utf-8"?>
<queryTable xmlns="http://schemas.openxmlformats.org/spreadsheetml/2006/main" name="192.168.3.138DYLAgingReport" connectionId="8" autoFormatId="16" applyNumberFormats="0" applyBorderFormats="0" applyFontFormats="0" applyPatternFormats="0" applyAlignmentFormats="0" applyWidthHeightFormats="0">
  <queryTableRefresh nextId="36" unboundColumnsRight="1">
    <queryTableFields count="35">
      <queryTableField id="1" name="PBVNo" tableColumnId="1"/>
      <queryTableField id="2" name="pbvDate" tableColumnId="2"/>
      <queryTableField id="3" name="DueDate" tableColumnId="3"/>
      <queryTableField id="4" name="SupplierID" tableColumnId="4"/>
      <queryTableField id="5" name="amount" tableColumnId="5"/>
      <queryTableField id="6" name="saleTax" tableColumnId="6"/>
      <queryTableField id="7" name="Discount" tableColumnId="7"/>
      <queryTableField id="8" name="advance" tableColumnId="8"/>
      <queryTableField id="9" name="NoOfDays" tableColumnId="9"/>
      <queryTableField id="10" name="NetAmount" tableColumnId="10"/>
      <queryTableField id="11" name="InvoiceNo" tableColumnId="11"/>
      <queryTableField id="12" name="InvoiceDate" tableColumnId="12"/>
      <queryTableField id="13" name="TaxNumber" tableColumnId="13"/>
      <queryTableField id="14" name="ucode" tableColumnId="14"/>
      <queryTableField id="15" name="lcode" tableColumnId="15"/>
      <queryTableField id="16" name="CompName" tableColumnId="16"/>
      <queryTableField id="17" name="status" tableColumnId="17"/>
      <queryTableField id="18" name="LevelName" tableColumnId="18"/>
      <queryTableField id="19" name="OtherAmt" tableColumnId="19"/>
      <queryTableField id="20" name="POKey" tableColumnId="20"/>
      <queryTableField id="21" name="InvType" tableColumnId="21"/>
      <queryTableField id="22" name="depCode" tableColumnId="22"/>
      <queryTableField id="23" name="VTN" tableColumnId="23"/>
      <queryTableField id="24" name="pbv_type" tableColumnId="24"/>
      <queryTableField id="25" name="SisterConcern" tableColumnId="25"/>
      <queryTableField id="26" name="inactive" tableColumnId="26"/>
      <queryTableField id="27" name="inactive_Tax" tableColumnId="27"/>
      <queryTableField id="28" name="LCKey" tableColumnId="28"/>
      <queryTableField id="29" name="LCDate" tableColumnId="29"/>
      <queryTableField id="30" name="LcInitialJvNumber" tableColumnId="30"/>
      <queryTableField id="31" name="BnkLCNumber" tableColumnId="31"/>
      <queryTableField id="32" name="Paid" tableColumnId="32"/>
      <queryTableField id="33" name="Ldays" tableColumnId="33"/>
      <queryTableField id="34" name="Days" tableColumnId="34"/>
      <queryTableField id="35" dataBound="0" tableColumnId="35"/>
    </queryTableFields>
  </queryTableRefresh>
</queryTable>
</file>

<file path=xl/queryTables/queryTable2.xml><?xml version="1.0" encoding="utf-8"?>
<queryTable xmlns="http://schemas.openxmlformats.org/spreadsheetml/2006/main" name="192.168.3.138DYLGSMetaData" connectionId="5" autoFormatId="16" applyNumberFormats="0" applyBorderFormats="0" applyFontFormats="0" applyPatternFormats="0" applyAlignmentFormats="0" applyWidthHeightFormats="0">
  <queryTableRefresh nextId="36" unboundColumnsRight="1">
    <queryTableFields count="35">
      <queryTableField id="1" name="SupplierID" tableColumnId="1"/>
      <queryTableField id="2" name="CompName" tableColumnId="2"/>
      <queryTableField id="3" name="PBVNo" tableColumnId="3"/>
      <queryTableField id="4" name="pbvDate" tableColumnId="4"/>
      <queryTableField id="5" name="DueDate" tableColumnId="5"/>
      <queryTableField id="6" name="amount" tableColumnId="6"/>
      <queryTableField id="7" name="saleTax" tableColumnId="7"/>
      <queryTableField id="8" name="Discount" tableColumnId="8"/>
      <queryTableField id="9" name="advance" tableColumnId="9"/>
      <queryTableField id="10" name="NoOfDays" tableColumnId="10"/>
      <queryTableField id="11" name="NetAmount" tableColumnId="11"/>
      <queryTableField id="12" name="InvoiceNo" tableColumnId="12"/>
      <queryTableField id="13" name="InvoiceDate" tableColumnId="13"/>
      <queryTableField id="14" name="TaxNumber" tableColumnId="14"/>
      <queryTableField id="15" name="ucode" tableColumnId="15"/>
      <queryTableField id="16" name="lcode" tableColumnId="16"/>
      <queryTableField id="17" name="status" tableColumnId="17"/>
      <queryTableField id="18" name="LevelName" tableColumnId="18"/>
      <queryTableField id="19" name="OtherAmt" tableColumnId="19"/>
      <queryTableField id="20" name="POKey" tableColumnId="20"/>
      <queryTableField id="21" name="InvType" tableColumnId="21"/>
      <queryTableField id="22" name="depCode" tableColumnId="22"/>
      <queryTableField id="23" name="VTN" tableColumnId="23"/>
      <queryTableField id="24" name="pbv_type" tableColumnId="24"/>
      <queryTableField id="25" name="SisterConcern" tableColumnId="25"/>
      <queryTableField id="26" name="inactive" tableColumnId="26"/>
      <queryTableField id="27" name="inactive_Tax" tableColumnId="27"/>
      <queryTableField id="28" name="LCKey" tableColumnId="28"/>
      <queryTableField id="29" name="LCDate" tableColumnId="29"/>
      <queryTableField id="30" name="LcInitialJvNumber" tableColumnId="30"/>
      <queryTableField id="31" name="BnkLCNumber" tableColumnId="31"/>
      <queryTableField id="32" name="Paid" tableColumnId="32"/>
      <queryTableField id="33" name="Ldays" tableColumnId="33"/>
      <queryTableField id="34" name="Days" tableColumnId="34"/>
      <queryTableField id="35" dataBound="0" tableColumnId="35"/>
    </queryTableFields>
  </queryTableRefresh>
</queryTable>
</file>

<file path=xl/queryTables/queryTable3.xml><?xml version="1.0" encoding="utf-8"?>
<queryTable xmlns="http://schemas.openxmlformats.org/spreadsheetml/2006/main" name="192.168.3.138SupList" connectionId="6" autoFormatId="16" applyNumberFormats="0" applyBorderFormats="0" applyFontFormats="0" applyPatternFormats="0" applyAlignmentFormats="0" applyWidthHeightFormats="0">
  <queryTableRefresh nextId="14" unboundColumnsRight="9">
    <queryTableFields count="11">
      <queryTableField id="1" name="SupplierID" tableColumnId="1"/>
      <queryTableField id="10" name="CompName" tableColumnId="10"/>
      <queryTableField id="3" dataBound="0" tableColumnId="3"/>
      <queryTableField id="4" dataBound="0" tableColumnId="4"/>
      <queryTableField id="12" dataBound="0" tableColumnId="12"/>
      <queryTableField id="5" dataBound="0" tableColumnId="5"/>
      <queryTableField id="6" dataBound="0" tableColumnId="6"/>
      <queryTableField id="7" dataBound="0" tableColumnId="7"/>
      <queryTableField id="8" dataBound="0" tableColumnId="8"/>
      <queryTableField id="13" dataBound="0" tableColumnId="13"/>
      <queryTableField id="9" dataBound="0" tableColumnId="9"/>
    </queryTableFields>
  </queryTableRefresh>
</queryTable>
</file>

<file path=xl/queryTables/queryTable4.xml><?xml version="1.0" encoding="utf-8"?>
<queryTable xmlns="http://schemas.openxmlformats.org/spreadsheetml/2006/main" name="192.168.3.138AgingReportDYLGS" connectionId="3" autoFormatId="16" applyNumberFormats="0" applyBorderFormats="0" applyFontFormats="0" applyPatternFormats="0" applyAlignmentFormats="0" applyWidthHeightFormats="0">
  <queryTableRefresh nextId="12" unboundColumnsRight="9">
    <queryTableFields count="11">
      <queryTableField id="1" name="SupplierID" tableColumnId="1"/>
      <queryTableField id="2" name="CompName" tableColumnId="2"/>
      <queryTableField id="11" dataBound="0" tableColumnId="3"/>
      <queryTableField id="10" dataBound="0" tableColumnId="4"/>
      <queryTableField id="9" dataBound="0" tableColumnId="5"/>
      <queryTableField id="8" dataBound="0" tableColumnId="6"/>
      <queryTableField id="7" dataBound="0" tableColumnId="7"/>
      <queryTableField id="6" dataBound="0" tableColumnId="8"/>
      <queryTableField id="5" dataBound="0" tableColumnId="9"/>
      <queryTableField id="4" dataBound="0" tableColumnId="10"/>
      <queryTableField id="3" dataBound="0" tableColumnId="11"/>
    </queryTableFields>
  </queryTableRefresh>
</queryTable>
</file>

<file path=xl/queryTables/queryTable5.xml><?xml version="1.0" encoding="utf-8"?>
<queryTable xmlns="http://schemas.openxmlformats.org/spreadsheetml/2006/main" name="192.168.3.138AgingReportBEWLGS" connectionId="1" autoFormatId="16" applyNumberFormats="0" applyBorderFormats="0" applyFontFormats="0" applyPatternFormats="0" applyAlignmentFormats="0" applyWidthHeightFormats="0">
  <queryTableRefresh nextId="36" unboundColumnsRight="1">
    <queryTableFields count="35">
      <queryTableField id="1" name="PBVNo" tableColumnId="1"/>
      <queryTableField id="2" name="pbvDate" tableColumnId="2"/>
      <queryTableField id="3" name="DueDate" tableColumnId="3"/>
      <queryTableField id="4" name="SupplierID" tableColumnId="4"/>
      <queryTableField id="5" name="amount" tableColumnId="5"/>
      <queryTableField id="6" name="saleTax" tableColumnId="6"/>
      <queryTableField id="7" name="Discount" tableColumnId="7"/>
      <queryTableField id="8" name="advance" tableColumnId="8"/>
      <queryTableField id="9" name="NoOfDays" tableColumnId="9"/>
      <queryTableField id="10" name="NetAmount" tableColumnId="10"/>
      <queryTableField id="11" name="InvoiceNo" tableColumnId="11"/>
      <queryTableField id="12" name="InvoiceDate" tableColumnId="12"/>
      <queryTableField id="13" name="TaxNumber" tableColumnId="13"/>
      <queryTableField id="14" name="ucode" tableColumnId="14"/>
      <queryTableField id="15" name="lcode" tableColumnId="15"/>
      <queryTableField id="16" name="CompName" tableColumnId="16"/>
      <queryTableField id="17" name="status" tableColumnId="17"/>
      <queryTableField id="18" name="LevelName" tableColumnId="18"/>
      <queryTableField id="19" name="OtherAmt" tableColumnId="19"/>
      <queryTableField id="20" name="POKey" tableColumnId="20"/>
      <queryTableField id="21" name="InvType" tableColumnId="21"/>
      <queryTableField id="22" name="depCode" tableColumnId="22"/>
      <queryTableField id="23" name="VTN" tableColumnId="23"/>
      <queryTableField id="24" name="pbv_type" tableColumnId="24"/>
      <queryTableField id="25" name="SisterConcern" tableColumnId="25"/>
      <queryTableField id="26" name="inactive" tableColumnId="26"/>
      <queryTableField id="27" name="inactive_Tax" tableColumnId="27"/>
      <queryTableField id="28" name="LCKey" tableColumnId="28"/>
      <queryTableField id="29" name="LCDate" tableColumnId="29"/>
      <queryTableField id="30" name="LcInitialJvNumber" tableColumnId="30"/>
      <queryTableField id="31" name="BnkLCNumber" tableColumnId="31"/>
      <queryTableField id="32" name="Paid" tableColumnId="32"/>
      <queryTableField id="33" name="Ldays" tableColumnId="33"/>
      <queryTableField id="34" name="Days" tableColumnId="34"/>
      <queryTableField id="35" dataBound="0" tableColumnId="35"/>
    </queryTableFields>
  </queryTableRefresh>
</queryTable>
</file>

<file path=xl/queryTables/queryTable6.xml><?xml version="1.0" encoding="utf-8"?>
<queryTable xmlns="http://schemas.openxmlformats.org/spreadsheetml/2006/main" name="ExternalData_1" connectionId="2" autoFormatId="16" applyNumberFormats="0" applyBorderFormats="0" applyFontFormats="0" applyPatternFormats="0" applyAlignmentFormats="0" applyWidthHeightFormats="0">
  <queryTableRefresh nextId="12" unboundColumnsRight="9">
    <queryTableFields count="11">
      <queryTableField id="1" name="SupplierID" tableColumnId="1"/>
      <queryTableField id="2" name="CompName" tableColumnId="2"/>
      <queryTableField id="11" dataBound="0" tableColumnId="3"/>
      <queryTableField id="10" dataBound="0" tableColumnId="4"/>
      <queryTableField id="9" dataBound="0" tableColumnId="5"/>
      <queryTableField id="8" dataBound="0" tableColumnId="6"/>
      <queryTableField id="7" dataBound="0" tableColumnId="7"/>
      <queryTableField id="6" dataBound="0" tableColumnId="8"/>
      <queryTableField id="5" dataBound="0" tableColumnId="9"/>
      <queryTableField id="4" dataBound="0" tableColumnId="10"/>
      <queryTableField id="3" dataBound="0" tableColumnId="11"/>
    </queryTableFields>
  </queryTableRefresh>
</queryTable>
</file>

<file path=xl/queryTables/queryTable7.xml><?xml version="1.0" encoding="utf-8"?>
<queryTable xmlns="http://schemas.openxmlformats.org/spreadsheetml/2006/main" name="192.168.3.138BEWLPPMetaData" connectionId="4" autoFormatId="16" applyNumberFormats="0" applyBorderFormats="0" applyFontFormats="0" applyPatternFormats="0" applyAlignmentFormats="0" applyWidthHeightFormats="0">
  <queryTableRefresh nextId="36" unboundColumnsRight="1">
    <queryTableFields count="35">
      <queryTableField id="1" name="PBVNo" tableColumnId="1"/>
      <queryTableField id="2" name="pbvDate" tableColumnId="2"/>
      <queryTableField id="3" name="DueDate" tableColumnId="3"/>
      <queryTableField id="4" name="SupplierID" tableColumnId="4"/>
      <queryTableField id="5" name="amount" tableColumnId="5"/>
      <queryTableField id="6" name="saleTax" tableColumnId="6"/>
      <queryTableField id="7" name="Discount" tableColumnId="7"/>
      <queryTableField id="8" name="advance" tableColumnId="8"/>
      <queryTableField id="9" name="NoOfDays" tableColumnId="9"/>
      <queryTableField id="10" name="NetAmount" tableColumnId="10"/>
      <queryTableField id="11" name="InvoiceNo" tableColumnId="11"/>
      <queryTableField id="12" name="InvoiceDate" tableColumnId="12"/>
      <queryTableField id="13" name="TaxNumber" tableColumnId="13"/>
      <queryTableField id="14" name="ucode" tableColumnId="14"/>
      <queryTableField id="15" name="lcode" tableColumnId="15"/>
      <queryTableField id="16" name="CompName" tableColumnId="16"/>
      <queryTableField id="17" name="status" tableColumnId="17"/>
      <queryTableField id="18" name="LevelName" tableColumnId="18"/>
      <queryTableField id="19" name="OtherAmt" tableColumnId="19"/>
      <queryTableField id="20" name="POKey" tableColumnId="20"/>
      <queryTableField id="21" name="InvType" tableColumnId="21"/>
      <queryTableField id="22" name="depCode" tableColumnId="22"/>
      <queryTableField id="23" name="VTN" tableColumnId="23"/>
      <queryTableField id="24" name="pbv_type" tableColumnId="24"/>
      <queryTableField id="25" name="SisterConcern" tableColumnId="25"/>
      <queryTableField id="26" name="inactive" tableColumnId="26"/>
      <queryTableField id="27" name="inactive_Tax" tableColumnId="27"/>
      <queryTableField id="28" name="LCKey" tableColumnId="28"/>
      <queryTableField id="29" name="LCDate" tableColumnId="29"/>
      <queryTableField id="30" name="LcInitialJvNumber" tableColumnId="30"/>
      <queryTableField id="31" name="BnkLCNumber" tableColumnId="31"/>
      <queryTableField id="32" name="Paid" tableColumnId="32"/>
      <queryTableField id="33" name="Ldays" tableColumnId="33"/>
      <queryTableField id="34" name="Days" tableColumnId="34"/>
      <queryTableField id="35" dataBound="0" tableColumnId="35"/>
    </queryTableFields>
  </queryTableRefresh>
</queryTable>
</file>

<file path=xl/queryTables/queryTable8.xml><?xml version="1.0" encoding="utf-8"?>
<queryTable xmlns="http://schemas.openxmlformats.org/spreadsheetml/2006/main" name="AgingReportBEWLPP" connectionId="7" autoFormatId="16" applyNumberFormats="0" applyBorderFormats="0" applyFontFormats="0" applyPatternFormats="0" applyAlignmentFormats="0" applyWidthHeightFormats="0">
  <queryTableRefresh nextId="12" unboundColumnsRight="9">
    <queryTableFields count="11">
      <queryTableField id="1" name="SupplierID" tableColumnId="1"/>
      <queryTableField id="2" name="CompName" tableColumnId="2"/>
      <queryTableField id="11" dataBound="0" tableColumnId="3"/>
      <queryTableField id="10" dataBound="0" tableColumnId="4"/>
      <queryTableField id="9" dataBound="0" tableColumnId="5"/>
      <queryTableField id="8" dataBound="0" tableColumnId="6"/>
      <queryTableField id="7" dataBound="0" tableColumnId="7"/>
      <queryTableField id="6" dataBound="0" tableColumnId="8"/>
      <queryTableField id="5" dataBound="0" tableColumnId="9"/>
      <queryTableField id="4" dataBound="0" tableColumnId="10"/>
      <queryTableField id="3" dataBound="0" tableColumnId="1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_rels/table6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6.xml"/></Relationships>
</file>

<file path=xl/tables/_rels/table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7.xml"/></Relationships>
</file>

<file path=xl/tables/_rels/table8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8.xml"/></Relationships>
</file>

<file path=xl/tables/table1.xml><?xml version="1.0" encoding="utf-8"?>
<table xmlns="http://schemas.openxmlformats.org/spreadsheetml/2006/main" id="1" name="Table__192.168.3.138DYLAgingReport" displayName="Table__192.168.3.138DYLAgingReport" ref="A1:AI2735" tableType="queryTable" totalsRowShown="0">
  <autoFilter ref="A1:AI2735"/>
  <tableColumns count="35">
    <tableColumn id="1" uniqueName="1" name="PBVNo" queryTableFieldId="1"/>
    <tableColumn id="2" uniqueName="2" name="pbvDate" queryTableFieldId="2" dataDxfId="93"/>
    <tableColumn id="3" uniqueName="3" name="Back to Index" queryTableFieldId="3" dataDxfId="92"/>
    <tableColumn id="4" uniqueName="4" name="SupplierID" queryTableFieldId="4"/>
    <tableColumn id="5" uniqueName="5" name="amount" queryTableFieldId="5"/>
    <tableColumn id="6" uniqueName="6" name="saleTax" queryTableFieldId="6"/>
    <tableColumn id="7" uniqueName="7" name="Discount" queryTableFieldId="7"/>
    <tableColumn id="8" uniqueName="8" name="advance" queryTableFieldId="8"/>
    <tableColumn id="9" uniqueName="9" name="NoOfDays" queryTableFieldId="9"/>
    <tableColumn id="10" uniqueName="10" name="NetAmount" queryTableFieldId="10"/>
    <tableColumn id="11" uniqueName="11" name="InvoiceNo" queryTableFieldId="11"/>
    <tableColumn id="12" uniqueName="12" name="InvoiceDate" queryTableFieldId="12" dataDxfId="91"/>
    <tableColumn id="13" uniqueName="13" name="TaxNumber" queryTableFieldId="13"/>
    <tableColumn id="14" uniqueName="14" name="ucode" queryTableFieldId="14"/>
    <tableColumn id="15" uniqueName="15" name="lcode" queryTableFieldId="15"/>
    <tableColumn id="16" uniqueName="16" name="CompName" queryTableFieldId="16"/>
    <tableColumn id="17" uniqueName="17" name="status" queryTableFieldId="17"/>
    <tableColumn id="18" uniqueName="18" name="LevelName" queryTableFieldId="18"/>
    <tableColumn id="19" uniqueName="19" name="OtherAmt" queryTableFieldId="19"/>
    <tableColumn id="20" uniqueName="20" name="POKey" queryTableFieldId="20"/>
    <tableColumn id="21" uniqueName="21" name="InvType" queryTableFieldId="21"/>
    <tableColumn id="22" uniqueName="22" name="depCode" queryTableFieldId="22"/>
    <tableColumn id="23" uniqueName="23" name="VTN" queryTableFieldId="23"/>
    <tableColumn id="24" uniqueName="24" name="pbv_type" queryTableFieldId="24"/>
    <tableColumn id="25" uniqueName="25" name="SisterConcern" queryTableFieldId="25"/>
    <tableColumn id="26" uniqueName="26" name="inactive" queryTableFieldId="26"/>
    <tableColumn id="27" uniqueName="27" name="inactive_Tax" queryTableFieldId="27"/>
    <tableColumn id="28" uniqueName="28" name="LCKey" queryTableFieldId="28"/>
    <tableColumn id="29" uniqueName="29" name="LCDate" queryTableFieldId="29" dataDxfId="90"/>
    <tableColumn id="30" uniqueName="30" name="LcInitialJvNumber" queryTableFieldId="30"/>
    <tableColumn id="31" uniqueName="31" name="BnkLCNumber" queryTableFieldId="31"/>
    <tableColumn id="32" uniqueName="32" name="Paid" queryTableFieldId="32"/>
    <tableColumn id="33" uniqueName="33" name="Ldays" queryTableFieldId="33"/>
    <tableColumn id="34" uniqueName="34" name="Days" queryTableFieldId="34"/>
    <tableColumn id="35" uniqueName="35" name="NetBAmount" queryTableFieldId="35" dataDxfId="89">
      <calculatedColumnFormula>Table__192.168.3.138DYLAgingReport[[#This Row],[NetAmount]]-Table__192.168.3.138DYLAgingReport[[#This Row],[Paid]]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id="4" name="Table__192.168.3.138DYLGSMetaData" displayName="Table__192.168.3.138DYLGSMetaData" ref="A1:AI289" tableType="queryTable" totalsRowShown="0">
  <autoFilter ref="A1:AI289">
    <filterColumn colId="34"/>
  </autoFilter>
  <tableColumns count="35">
    <tableColumn id="1" uniqueName="1" name="SupplierID" queryTableFieldId="1"/>
    <tableColumn id="2" uniqueName="2" name="CompName" queryTableFieldId="2"/>
    <tableColumn id="3" uniqueName="3" name="Back to Index" queryTableFieldId="3"/>
    <tableColumn id="4" uniqueName="4" name="pbvDate" queryTableFieldId="4" dataDxfId="88"/>
    <tableColumn id="5" uniqueName="5" name="DueDate" queryTableFieldId="5" dataDxfId="87"/>
    <tableColumn id="6" uniqueName="6" name="amount" queryTableFieldId="6"/>
    <tableColumn id="7" uniqueName="7" name="saleTax" queryTableFieldId="7"/>
    <tableColumn id="8" uniqueName="8" name="Discount" queryTableFieldId="8"/>
    <tableColumn id="9" uniqueName="9" name="advance" queryTableFieldId="9"/>
    <tableColumn id="10" uniqueName="10" name="NoOfDays" queryTableFieldId="10"/>
    <tableColumn id="11" uniqueName="11" name="NetAmount" queryTableFieldId="11"/>
    <tableColumn id="12" uniqueName="12" name="InvoiceNo" queryTableFieldId="12"/>
    <tableColumn id="13" uniqueName="13" name="InvoiceDate" queryTableFieldId="13" dataDxfId="86"/>
    <tableColumn id="14" uniqueName="14" name="TaxNumber" queryTableFieldId="14"/>
    <tableColumn id="15" uniqueName="15" name="ucode" queryTableFieldId="15"/>
    <tableColumn id="16" uniqueName="16" name="lcode" queryTableFieldId="16"/>
    <tableColumn id="17" uniqueName="17" name="status" queryTableFieldId="17"/>
    <tableColumn id="18" uniqueName="18" name="LevelName" queryTableFieldId="18"/>
    <tableColumn id="19" uniqueName="19" name="OtherAmt" queryTableFieldId="19"/>
    <tableColumn id="20" uniqueName="20" name="POKey" queryTableFieldId="20"/>
    <tableColumn id="21" uniqueName="21" name="InvType" queryTableFieldId="21"/>
    <tableColumn id="22" uniqueName="22" name="depCode" queryTableFieldId="22"/>
    <tableColumn id="23" uniqueName="23" name="VTN" queryTableFieldId="23"/>
    <tableColumn id="24" uniqueName="24" name="pbv_type" queryTableFieldId="24"/>
    <tableColumn id="25" uniqueName="25" name="SisterConcern" queryTableFieldId="25"/>
    <tableColumn id="26" uniqueName="26" name="inactive" queryTableFieldId="26"/>
    <tableColumn id="27" uniqueName="27" name="inactive_Tax" queryTableFieldId="27"/>
    <tableColumn id="28" uniqueName="28" name="LCKey" queryTableFieldId="28"/>
    <tableColumn id="29" uniqueName="29" name="LCDate" queryTableFieldId="29" dataDxfId="85"/>
    <tableColumn id="30" uniqueName="30" name="LcInitialJvNumber" queryTableFieldId="30"/>
    <tableColumn id="31" uniqueName="31" name="BnkLCNumber" queryTableFieldId="31"/>
    <tableColumn id="32" uniqueName="32" name="Paid" queryTableFieldId="32"/>
    <tableColumn id="33" uniqueName="33" name="Ldays" queryTableFieldId="33"/>
    <tableColumn id="34" uniqueName="34" name="Days" queryTableFieldId="34"/>
    <tableColumn id="35" uniqueName="35" name="NetBAmount" queryTableFieldId="35" dataDxfId="84">
      <calculatedColumnFormula>Table__192.168.3.138DYLGSMetaData[[#This Row],[NetAmount]]-Table__192.168.3.138DYLGSMetaData[[#This Row],[Paid]]</calculatedColumnFormula>
    </tableColumn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id="3" name="Table__192.168.3.138SupList" displayName="Table__192.168.3.138SupList" ref="A2:K141" tableType="queryTable" totalsRowCount="1" headerRowDxfId="83">
  <autoFilter ref="A2:K140"/>
  <sortState ref="A3:K140">
    <sortCondition ref="B1:B139"/>
  </sortState>
  <tableColumns count="11">
    <tableColumn id="1" uniqueName="1" name="SupplierID" queryTableFieldId="1" dataDxfId="82" totalsRowDxfId="81"/>
    <tableColumn id="10" uniqueName="10" name="CompName" queryTableFieldId="10" dataDxfId="80" totalsRowDxfId="79"/>
    <tableColumn id="3" uniqueName="3" name="Net Amount" totalsRowFunction="sum" queryTableFieldId="3" dataDxfId="78" totalsRowDxfId="77" dataCellStyle="Accent2">
      <calculatedColumnFormula>SUMIF(SupList,Table__192.168.3.138SupList[[#This Row],[SupplierID]],NetAmount)</calculatedColumnFormula>
    </tableColumn>
    <tableColumn id="4" uniqueName="4" name="Paid" totalsRowFunction="sum" queryTableFieldId="4" dataDxfId="76" totalsRowDxfId="75" dataCellStyle="Accent2">
      <calculatedColumnFormula>SUMIF(SupList,Table__192.168.3.138SupList[[#This Row],[SupplierID]],Paid)</calculatedColumnFormula>
    </tableColumn>
    <tableColumn id="12" uniqueName="12" name="Net Balance" totalsRowFunction="sum" queryTableFieldId="12" dataDxfId="74" totalsRowDxfId="73" dataCellStyle="Accent2">
      <calculatedColumnFormula>Table__192.168.3.138SupList[[#This Row],[Net Amount]]-Table__192.168.3.138SupList[[#This Row],[Paid]]</calculatedColumnFormula>
    </tableColumn>
    <tableColumn id="5" uniqueName="5" name="&gt;=1 and &lt;=30" totalsRowFunction="sum" queryTableFieldId="5" dataDxfId="72" totalsRowDxfId="71" dataCellStyle="Accent2">
      <calculatedColumnFormula>SUMIFS(NetB3,SupList,Table__192.168.3.138SupList[[#This Row],[SupplierID]],DL,"&gt;=1",DL,"&lt;=30")</calculatedColumnFormula>
    </tableColumn>
    <tableColumn id="6" uniqueName="6" name="&gt;=31 and &lt;=45" totalsRowFunction="sum" queryTableFieldId="6" dataDxfId="70" totalsRowDxfId="69" dataCellStyle="Accent2">
      <calculatedColumnFormula>SUMIFS(NetB3,SupList,Table__192.168.3.138SupList[[#This Row],[SupplierID]],DL,"&gt;=31",DL,"&lt;=45")</calculatedColumnFormula>
    </tableColumn>
    <tableColumn id="7" uniqueName="7" name="&gt;=46 and &lt;=60" totalsRowFunction="sum" queryTableFieldId="7" dataDxfId="68" totalsRowDxfId="67" dataCellStyle="Accent2">
      <calculatedColumnFormula>SUMIFS(NetB3,SupList,Table__192.168.3.138SupList[[#This Row],[SupplierID]],DL,"&gt;=46",DL,"&lt;=60")</calculatedColumnFormula>
    </tableColumn>
    <tableColumn id="8" uniqueName="8" name="&gt;=61 and &lt;=90" totalsRowFunction="sum" queryTableFieldId="8" dataDxfId="66" totalsRowDxfId="65" dataCellStyle="Accent2">
      <calculatedColumnFormula>SUMIFS(NetB3,SupList,Table__192.168.3.138SupList[[#This Row],[SupplierID]],DL,"&gt;=61",DL,"&lt;=90")</calculatedColumnFormula>
    </tableColumn>
    <tableColumn id="13" uniqueName="13" name="&gt;=91 and &lt;=120" totalsRowFunction="custom" queryTableFieldId="13" dataDxfId="64" totalsRowDxfId="63" dataCellStyle="Accent2">
      <calculatedColumnFormula>SUMIFS(NetB3,SupList,Table__192.168.3.138SupList[[#This Row],[SupplierID]],DL,"&gt;=91",DL,"&lt;=120")</calculatedColumnFormula>
      <totalsRowFormula>SUBTOTAL(9,J3:J140)</totalsRowFormula>
    </tableColumn>
    <tableColumn id="9" uniqueName="9" name="&gt;120" totalsRowFunction="custom" queryTableFieldId="9" dataDxfId="62" totalsRowDxfId="61" dataCellStyle="Accent2">
      <calculatedColumnFormula>SUMIFS(NetB3,SupList,Table__192.168.3.138SupList[[#This Row],[SupplierID]],DL,"&gt;120")</calculatedColumnFormula>
      <totalsRowFormula>SUBTOTAL(9,K3:K140)</totalsRowFormula>
    </tableColumn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id="5" name="Table__192.168.3.138AgingReportDYLGS" displayName="Table__192.168.3.138AgingReportDYLGS" ref="A2:K50" tableType="queryTable" totalsRowCount="1" headerRowDxfId="60" dataDxfId="59" totalsRowDxfId="58">
  <autoFilter ref="A2:K49">
    <filterColumn colId="2"/>
    <filterColumn colId="3"/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uniqueName="1" name="SupplierID" queryTableFieldId="1" dataDxfId="57" totalsRowDxfId="56"/>
    <tableColumn id="2" uniqueName="2" name="CompName" queryTableFieldId="2" dataDxfId="55" totalsRowDxfId="54"/>
    <tableColumn id="3" uniqueName="3" name="Net Amount" totalsRowFunction="sum" queryTableFieldId="11" dataDxfId="53" totalsRowDxfId="52">
      <calculatedColumnFormula>SUMIF(SUPListDYLGS,Table__192.168.3.138AgingReportDYLGS[[#This Row],[SupplierID]],NetAmountDYLGS)</calculatedColumnFormula>
    </tableColumn>
    <tableColumn id="4" uniqueName="4" name="Paid" totalsRowFunction="sum" queryTableFieldId="10" dataDxfId="51" totalsRowDxfId="50">
      <calculatedColumnFormula>SUMIF(SUPListDYLGS,Table__192.168.3.138AgingReportDYLGS[[#This Row],[SupplierID]],PaidDYLGS)</calculatedColumnFormula>
    </tableColumn>
    <tableColumn id="5" uniqueName="5" name="Net Balance" totalsRowFunction="sum" queryTableFieldId="9" dataDxfId="49" totalsRowDxfId="48">
      <calculatedColumnFormula>Table__192.168.3.138AgingReportDYLGS[[#This Row],[Net Amount]]-Table__192.168.3.138AgingReportDYLGS[[#This Row],[Paid]]</calculatedColumnFormula>
    </tableColumn>
    <tableColumn id="6" uniqueName="6" name="&gt;=1 and &lt;=30" totalsRowFunction="sum" queryTableFieldId="8" dataDxfId="47" totalsRowDxfId="46">
      <calculatedColumnFormula>SUMIFS(NetB3DYLGS,SUPListDYLGS,Table__192.168.3.138AgingReportDYLGS[[#This Row],[SupplierID]],DLDYLGS,"&gt;=1",DLDYLGS,"&lt;=30")</calculatedColumnFormula>
    </tableColumn>
    <tableColumn id="7" uniqueName="7" name="&gt;=31 and &lt;=45" totalsRowFunction="sum" queryTableFieldId="7" dataDxfId="45" totalsRowDxfId="44">
      <calculatedColumnFormula>SUMIFS(NetB3DYLGS,SUPListDYLGS,Table__192.168.3.138AgingReportDYLGS[[#This Row],[SupplierID]],DLDYLGS,"&gt;=31",DLDYLGS,"&lt;=45")</calculatedColumnFormula>
    </tableColumn>
    <tableColumn id="8" uniqueName="8" name="&gt;=46 and &lt;=60" totalsRowFunction="sum" queryTableFieldId="6" dataDxfId="43" totalsRowDxfId="42">
      <calculatedColumnFormula>SUMIFS(NetB3DYLGS,SUPListDYLGS,Table__192.168.3.138AgingReportDYLGS[[#This Row],[SupplierID]],DLDYLGS,"&gt;=46",DLDYLGS,"&lt;=60")</calculatedColumnFormula>
    </tableColumn>
    <tableColumn id="9" uniqueName="9" name="&gt;=61 and &lt;=90" totalsRowFunction="sum" queryTableFieldId="5" dataDxfId="41" totalsRowDxfId="40">
      <calculatedColumnFormula>SUMIFS(NetB3DYLGS,SUPListDYLGS,Table__192.168.3.138AgingReportDYLGS[[#This Row],[SupplierID]],DLDYLGS,"&gt;=61",DLDYLGS,"&lt;=90")</calculatedColumnFormula>
    </tableColumn>
    <tableColumn id="10" uniqueName="10" name="&gt;=91 and &lt;=120" totalsRowFunction="sum" queryTableFieldId="4" dataDxfId="39" totalsRowDxfId="38">
      <calculatedColumnFormula>SUMIFS(NetB3DYLGS,SUPListDYLGS,Table__192.168.3.138AgingReportDYLGS[[#This Row],[SupplierID]],DLDYLGS,"&gt;=91",DLDYLGS,"&lt;=120")</calculatedColumnFormula>
    </tableColumn>
    <tableColumn id="11" uniqueName="11" name="&gt;120" totalsRowFunction="sum" queryTableFieldId="3" dataDxfId="37" totalsRowDxfId="36">
      <calculatedColumnFormula>SUMIFS(NetB3DYLGS,SUPListDYLGS,Table__192.168.3.138AgingReportDYLGS[[#This Row],[SupplierID]],DLDYLGS,"&gt;120")</calculatedColumnFormula>
    </tableColumn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6" name="Table__192.168.3.138AgingReportBEWLGS" displayName="Table__192.168.3.138AgingReportBEWLGS" ref="A1:AI1122" tableType="queryTable" totalsRowShown="0">
  <autoFilter ref="A1:AI1122"/>
  <tableColumns count="35">
    <tableColumn id="1" uniqueName="1" name="PBVNo" queryTableFieldId="1"/>
    <tableColumn id="2" uniqueName="2" name="pbvDate" queryTableFieldId="2" dataDxfId="35"/>
    <tableColumn id="3" uniqueName="3" name="Back to Index" queryTableFieldId="3" dataDxfId="34"/>
    <tableColumn id="4" uniqueName="4" name="SupplierID" queryTableFieldId="4"/>
    <tableColumn id="5" uniqueName="5" name="amount" queryTableFieldId="5"/>
    <tableColumn id="6" uniqueName="6" name="saleTax" queryTableFieldId="6"/>
    <tableColumn id="7" uniqueName="7" name="Discount" queryTableFieldId="7"/>
    <tableColumn id="8" uniqueName="8" name="advance" queryTableFieldId="8"/>
    <tableColumn id="9" uniqueName="9" name="NoOfDays" queryTableFieldId="9"/>
    <tableColumn id="10" uniqueName="10" name="NetAmount" queryTableFieldId="10"/>
    <tableColumn id="11" uniqueName="11" name="InvoiceNo" queryTableFieldId="11"/>
    <tableColumn id="12" uniqueName="12" name="InvoiceDate" queryTableFieldId="12" dataDxfId="33"/>
    <tableColumn id="13" uniqueName="13" name="TaxNumber" queryTableFieldId="13"/>
    <tableColumn id="14" uniqueName="14" name="ucode" queryTableFieldId="14"/>
    <tableColumn id="15" uniqueName="15" name="lcode" queryTableFieldId="15"/>
    <tableColumn id="16" uniqueName="16" name="CompName" queryTableFieldId="16"/>
    <tableColumn id="17" uniqueName="17" name="status" queryTableFieldId="17"/>
    <tableColumn id="18" uniqueName="18" name="LevelName" queryTableFieldId="18"/>
    <tableColumn id="19" uniqueName="19" name="OtherAmt" queryTableFieldId="19"/>
    <tableColumn id="20" uniqueName="20" name="POKey" queryTableFieldId="20"/>
    <tableColumn id="21" uniqueName="21" name="InvType" queryTableFieldId="21"/>
    <tableColumn id="22" uniqueName="22" name="depCode" queryTableFieldId="22"/>
    <tableColumn id="23" uniqueName="23" name="VTN" queryTableFieldId="23"/>
    <tableColumn id="24" uniqueName="24" name="pbv_type" queryTableFieldId="24"/>
    <tableColumn id="25" uniqueName="25" name="SisterConcern" queryTableFieldId="25"/>
    <tableColumn id="26" uniqueName="26" name="inactive" queryTableFieldId="26"/>
    <tableColumn id="27" uniqueName="27" name="inactive_Tax" queryTableFieldId="27"/>
    <tableColumn id="28" uniqueName="28" name="LCKey" queryTableFieldId="28"/>
    <tableColumn id="29" uniqueName="29" name="LCDate" queryTableFieldId="29" dataDxfId="32"/>
    <tableColumn id="30" uniqueName="30" name="LcInitialJvNumber" queryTableFieldId="30"/>
    <tableColumn id="31" uniqueName="31" name="BnkLCNumber" queryTableFieldId="31"/>
    <tableColumn id="32" uniqueName="32" name="Paid" queryTableFieldId="32"/>
    <tableColumn id="33" uniqueName="33" name="Ldays" queryTableFieldId="33"/>
    <tableColumn id="34" uniqueName="34" name="Days" queryTableFieldId="34"/>
    <tableColumn id="35" uniqueName="35" name="NetBAmount" queryTableFieldId="35" dataDxfId="31">
      <calculatedColumnFormula>Table__192.168.3.138AgingReportBEWLGS[[#This Row],[NetAmount]]-Table__192.168.3.138AgingReportBEWLGS[[#This Row],[Paid]]</calculatedColumnFormula>
    </tableColumn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id="7" name="Table_ExternalData_1" displayName="Table_ExternalData_1" ref="A2:K160" tableType="queryTable" totalsRowShown="0" headerRowDxfId="30" dataDxfId="29">
  <autoFilter ref="A2:K160">
    <filterColumn colId="2"/>
    <filterColumn colId="3"/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uniqueName="1" name="SupplierID" queryTableFieldId="1" dataDxfId="28"/>
    <tableColumn id="2" uniqueName="2" name="CompName" queryTableFieldId="2" dataDxfId="27"/>
    <tableColumn id="3" uniqueName="3" name="Net Amount" queryTableFieldId="11" dataDxfId="26">
      <calculatedColumnFormula>SUMIF(SUPListBEWLGS,Table_ExternalData_1[[#This Row],[SupplierID]],NetAmountBEWLGS)</calculatedColumnFormula>
    </tableColumn>
    <tableColumn id="4" uniqueName="4" name="Paid" queryTableFieldId="10" dataDxfId="25">
      <calculatedColumnFormula>SUMIF(SUPListBEWLGS,Table_ExternalData_1[[#This Row],[SupplierID]],PaidBEWLGS)</calculatedColumnFormula>
    </tableColumn>
    <tableColumn id="5" uniqueName="5" name="Net Balance" queryTableFieldId="9" dataDxfId="24">
      <calculatedColumnFormula>Table_ExternalData_1[[#This Row],[Net Amount]]-Table_ExternalData_1[[#This Row],[Paid]]</calculatedColumnFormula>
    </tableColumn>
    <tableColumn id="6" uniqueName="6" name="&gt;=1 and &lt;=30" queryTableFieldId="8" dataDxfId="23">
      <calculatedColumnFormula>SUMIFS(NetB3BEWLGS,SUPListBEWLGS,Table_ExternalData_1[[#This Row],[SupplierID]],DLBEWLGS,"&gt;=1",DLBEWLGS,"&lt;=30")</calculatedColumnFormula>
    </tableColumn>
    <tableColumn id="7" uniqueName="7" name="&gt;=31 and &lt;=45" queryTableFieldId="7" dataDxfId="22">
      <calculatedColumnFormula>SUMIFS(NetB3BEWLGS,SUPListBEWLGS,Table_ExternalData_1[[#This Row],[SupplierID]],DLBEWLGS,"&gt;=31",DLBEWLGS,"&lt;=45")</calculatedColumnFormula>
    </tableColumn>
    <tableColumn id="8" uniqueName="8" name="&gt;=46 and &lt;=60" queryTableFieldId="6" dataDxfId="21">
      <calculatedColumnFormula>SUMIFS(NetB3BEWLGS,SUPListBEWLGS,Table_ExternalData_1[[#This Row],[SupplierID]],DLBEWLGS,"&gt;=46",DLBEWLGS,"&lt;=60")</calculatedColumnFormula>
    </tableColumn>
    <tableColumn id="9" uniqueName="9" name="&gt;=61 and &lt;=90" queryTableFieldId="5" dataDxfId="20">
      <calculatedColumnFormula>SUMIFS(NetB3BEWLGS,SUPListBEWLGS,Table_ExternalData_1[[#This Row],[SupplierID]],DLBEWLGS,"&gt;=61",DLBEWLGS,"&lt;=90")</calculatedColumnFormula>
    </tableColumn>
    <tableColumn id="10" uniqueName="10" name="&gt;=91 and &lt;=120" queryTableFieldId="4" dataDxfId="19">
      <calculatedColumnFormula>SUMIFS(NetB3BEWLGS,SUPListBEWLGS,Table_ExternalData_1[[#This Row],[SupplierID]],DLBEWLGS,"&gt;=91",DLBEWLGS,"&lt;=120")</calculatedColumnFormula>
    </tableColumn>
    <tableColumn id="11" uniqueName="11" name="&gt;120" queryTableFieldId="3" dataDxfId="18">
      <calculatedColumnFormula>SUMIFS(NetB3BEWLGS,SUPListBEWLGS,Table_ExternalData_1[[#This Row],[SupplierID]],DLBEWLGS,"&gt;120")</calculatedColumnFormula>
    </tableColumn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id="8" name="Table__192.168.3.138BEWLPPMetaData" displayName="Table__192.168.3.138BEWLPPMetaData" ref="A1:AI1239" tableType="queryTable" totalsRowShown="0">
  <autoFilter ref="A1:AI1239">
    <filterColumn colId="34"/>
  </autoFilter>
  <tableColumns count="35">
    <tableColumn id="1" uniqueName="1" name="PBVNo" queryTableFieldId="1"/>
    <tableColumn id="2" uniqueName="2" name="pbvDate" queryTableFieldId="2" dataDxfId="17"/>
    <tableColumn id="3" uniqueName="3" name="Back to Index" queryTableFieldId="3" dataDxfId="16"/>
    <tableColumn id="4" uniqueName="4" name="SupplierID" queryTableFieldId="4"/>
    <tableColumn id="5" uniqueName="5" name="amount" queryTableFieldId="5"/>
    <tableColumn id="6" uniqueName="6" name="saleTax" queryTableFieldId="6"/>
    <tableColumn id="7" uniqueName="7" name="Discount" queryTableFieldId="7"/>
    <tableColumn id="8" uniqueName="8" name="advance" queryTableFieldId="8"/>
    <tableColumn id="9" uniqueName="9" name="NoOfDays" queryTableFieldId="9"/>
    <tableColumn id="10" uniqueName="10" name="NetAmount" queryTableFieldId="10"/>
    <tableColumn id="11" uniqueName="11" name="InvoiceNo" queryTableFieldId="11"/>
    <tableColumn id="12" uniqueName="12" name="InvoiceDate" queryTableFieldId="12" dataDxfId="15"/>
    <tableColumn id="13" uniqueName="13" name="TaxNumber" queryTableFieldId="13"/>
    <tableColumn id="14" uniqueName="14" name="ucode" queryTableFieldId="14"/>
    <tableColumn id="15" uniqueName="15" name="lcode" queryTableFieldId="15"/>
    <tableColumn id="16" uniqueName="16" name="CompName" queryTableFieldId="16"/>
    <tableColumn id="17" uniqueName="17" name="status" queryTableFieldId="17"/>
    <tableColumn id="18" uniqueName="18" name="LevelName" queryTableFieldId="18"/>
    <tableColumn id="19" uniqueName="19" name="OtherAmt" queryTableFieldId="19"/>
    <tableColumn id="20" uniqueName="20" name="POKey" queryTableFieldId="20"/>
    <tableColumn id="21" uniqueName="21" name="InvType" queryTableFieldId="21"/>
    <tableColumn id="22" uniqueName="22" name="depCode" queryTableFieldId="22"/>
    <tableColumn id="23" uniqueName="23" name="VTN" queryTableFieldId="23"/>
    <tableColumn id="24" uniqueName="24" name="pbv_type" queryTableFieldId="24"/>
    <tableColumn id="25" uniqueName="25" name="SisterConcern" queryTableFieldId="25"/>
    <tableColumn id="26" uniqueName="26" name="inactive" queryTableFieldId="26"/>
    <tableColumn id="27" uniqueName="27" name="inactive_Tax" queryTableFieldId="27"/>
    <tableColumn id="28" uniqueName="28" name="LCKey" queryTableFieldId="28"/>
    <tableColumn id="29" uniqueName="29" name="LCDate" queryTableFieldId="29" dataDxfId="14"/>
    <tableColumn id="30" uniqueName="30" name="LcInitialJvNumber" queryTableFieldId="30"/>
    <tableColumn id="31" uniqueName="31" name="BnkLCNumber" queryTableFieldId="31"/>
    <tableColumn id="32" uniqueName="32" name="Paid" queryTableFieldId="32"/>
    <tableColumn id="33" uniqueName="33" name="Ldays" queryTableFieldId="33"/>
    <tableColumn id="34" uniqueName="34" name="Days" queryTableFieldId="34"/>
    <tableColumn id="35" uniqueName="35" name="NetBAmount" queryTableFieldId="35" dataDxfId="13">
      <calculatedColumnFormula>Table__192.168.3.138BEWLPPMetaData[[#This Row],[NetAmount]]-Table__192.168.3.138BEWLPPMetaData[[#This Row],[Paid]]</calculatedColumnFormula>
    </tableColumn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id="9" name="Table_AgingReportBEWLPP" displayName="Table_AgingReportBEWLPP" ref="A2:K74" tableType="queryTable" totalsRowShown="0" headerRowDxfId="12" dataDxfId="11">
  <autoFilter ref="A2:K74">
    <filterColumn colId="2"/>
    <filterColumn colId="3"/>
    <filterColumn colId="4"/>
    <filterColumn colId="5"/>
    <filterColumn colId="6"/>
    <filterColumn colId="7"/>
    <filterColumn colId="8"/>
    <filterColumn colId="9"/>
    <filterColumn colId="10"/>
  </autoFilter>
  <tableColumns count="11">
    <tableColumn id="1" uniqueName="1" name="SupplierID" queryTableFieldId="1" dataDxfId="10"/>
    <tableColumn id="2" uniqueName="2" name="CompName" queryTableFieldId="2" dataDxfId="9"/>
    <tableColumn id="3" uniqueName="3" name="Net Amount" queryTableFieldId="11" dataDxfId="8">
      <calculatedColumnFormula>SUMIF(SupListBEWLPP,Table_AgingReportBEWLPP[[#This Row],[SupplierID]],NetAmountBEWLPP)</calculatedColumnFormula>
    </tableColumn>
    <tableColumn id="4" uniqueName="4" name="Paid" queryTableFieldId="10" dataDxfId="7">
      <calculatedColumnFormula>SUMIF(SupListBEWLPP,Table_AgingReportBEWLPP[[#This Row],[SupplierID]],PaidBEWLPP)</calculatedColumnFormula>
    </tableColumn>
    <tableColumn id="5" uniqueName="5" name="Net Balance" queryTableFieldId="9" dataDxfId="6">
      <calculatedColumnFormula>Table_AgingReportBEWLPP[[#This Row],[Net Amount]]-Table_AgingReportBEWLPP[[#This Row],[Paid]]</calculatedColumnFormula>
    </tableColumn>
    <tableColumn id="6" uniqueName="6" name="&gt;=1 and &lt;=30" queryTableFieldId="8" dataDxfId="5">
      <calculatedColumnFormula>SUMIFS(NetB3BEWLPP,SupListBEWLPP,Table_AgingReportBEWLPP[[#This Row],[SupplierID]],DLBEWLPP,"&gt;=1",DLBEWLPP,"&lt;=30")</calculatedColumnFormula>
    </tableColumn>
    <tableColumn id="7" uniqueName="7" name="&gt;=31 and &lt;=45" queryTableFieldId="7" dataDxfId="4">
      <calculatedColumnFormula>SUMIFS(NetB3BEWLPP,SupListBEWLPP,Table_AgingReportBEWLPP[[#This Row],[SupplierID]],DLBEWLPP,"&gt;=31",DLBEWLPP,"&lt;=45")</calculatedColumnFormula>
    </tableColumn>
    <tableColumn id="8" uniqueName="8" name="&gt;=46 and &lt;=60" queryTableFieldId="6" dataDxfId="3">
      <calculatedColumnFormula>SUMIFS(NetB3BEWLPP,SupListBEWLPP,Table_AgingReportBEWLPP[[#This Row],[SupplierID]],DLBEWLPP,"&gt;=46",DLBEWLPP,"&lt;=60")</calculatedColumnFormula>
    </tableColumn>
    <tableColumn id="9" uniqueName="9" name="&gt;=61 and &lt;=90" queryTableFieldId="5" dataDxfId="2">
      <calculatedColumnFormula>SUMIFS(NetB3BEWLPP,SupListBEWLPP,Table_AgingReportBEWLPP[[#This Row],[SupplierID]],DLBEWLPP,"&gt;=61",DLBEWLPP,"&lt;=90")</calculatedColumnFormula>
    </tableColumn>
    <tableColumn id="10" uniqueName="10" name="&gt;=91 and &lt;=120" queryTableFieldId="4" dataDxfId="1">
      <calculatedColumnFormula>SUMIFS(NetB3BEWLPP,SupListBEWLPP,Table_AgingReportBEWLPP[[#This Row],[SupplierID]],DLBEWLPP,"&gt;=91",DLBEWLPP,"&lt;=120")</calculatedColumnFormula>
    </tableColumn>
    <tableColumn id="11" uniqueName="11" name="&gt;120" queryTableFieldId="3" dataDxfId="0">
      <calculatedColumnFormula>SUMIFS(NetB3BEWLPP,SupListBEWLPP,Table_AgingReportBEWLPP[[#This Row],[SupplierID]],DLBEWLPP,"&gt;120")</calculatedColumnFormula>
    </tableColumn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2735"/>
  <sheetViews>
    <sheetView topLeftCell="D1" workbookViewId="0">
      <selection activeCell="AH8" sqref="AH8"/>
    </sheetView>
  </sheetViews>
  <sheetFormatPr defaultRowHeight="15"/>
  <cols>
    <col min="1" max="1" width="24.140625" hidden="1" customWidth="1"/>
    <col min="2" max="3" width="15.5703125" hidden="1" customWidth="1"/>
    <col min="4" max="4" width="12.5703125" bestFit="1" customWidth="1"/>
    <col min="5" max="5" width="10.140625" hidden="1" customWidth="1"/>
    <col min="6" max="6" width="9.85546875" hidden="1" customWidth="1"/>
    <col min="7" max="7" width="11" hidden="1" customWidth="1"/>
    <col min="8" max="8" width="10.5703125" hidden="1" customWidth="1"/>
    <col min="9" max="9" width="12.140625" hidden="1" customWidth="1"/>
    <col min="10" max="10" width="13.7109375" bestFit="1" customWidth="1"/>
    <col min="11" max="11" width="12.28515625" hidden="1" customWidth="1"/>
    <col min="12" max="12" width="14.5703125" hidden="1" customWidth="1"/>
    <col min="13" max="13" width="13.5703125" hidden="1" customWidth="1"/>
    <col min="14" max="14" width="8.7109375" hidden="1" customWidth="1"/>
    <col min="15" max="15" width="8.140625" hidden="1" customWidth="1"/>
    <col min="16" max="16" width="52.5703125" hidden="1" customWidth="1"/>
    <col min="17" max="17" width="8.5703125" hidden="1" customWidth="1"/>
    <col min="18" max="18" width="13.28515625" hidden="1" customWidth="1"/>
    <col min="19" max="19" width="12.140625" hidden="1" customWidth="1"/>
    <col min="20" max="20" width="0" hidden="1" customWidth="1"/>
    <col min="21" max="21" width="10.28515625" hidden="1" customWidth="1"/>
    <col min="22" max="22" width="11.28515625" hidden="1" customWidth="1"/>
    <col min="23" max="23" width="7" hidden="1" customWidth="1"/>
    <col min="24" max="24" width="11.5703125" hidden="1" customWidth="1"/>
    <col min="25" max="25" width="15.7109375" hidden="1" customWidth="1"/>
    <col min="26" max="26" width="10.28515625" hidden="1" customWidth="1"/>
    <col min="27" max="27" width="14.28515625" hidden="1" customWidth="1"/>
    <col min="28" max="28" width="23.140625" hidden="1" customWidth="1"/>
    <col min="29" max="29" width="14.5703125" hidden="1" customWidth="1"/>
    <col min="30" max="30" width="19.85546875" hidden="1" customWidth="1"/>
    <col min="31" max="31" width="25.85546875" hidden="1" customWidth="1"/>
    <col min="32" max="32" width="8" bestFit="1" customWidth="1"/>
    <col min="33" max="33" width="8.140625" hidden="1" customWidth="1"/>
    <col min="34" max="34" width="7.42578125" bestFit="1" customWidth="1"/>
    <col min="35" max="35" width="14.85546875" bestFit="1" customWidth="1"/>
    <col min="37" max="37" width="13.7109375" customWidth="1"/>
    <col min="38" max="38" width="17" bestFit="1" customWidth="1"/>
  </cols>
  <sheetData>
    <row r="1" spans="1:38" ht="22.5">
      <c r="A1" t="s">
        <v>0</v>
      </c>
      <c r="B1" t="s">
        <v>1</v>
      </c>
      <c r="C1" s="12" t="s">
        <v>10781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439</v>
      </c>
      <c r="AK1" s="13" t="s">
        <v>10761</v>
      </c>
      <c r="AL1" t="s">
        <v>10762</v>
      </c>
    </row>
    <row r="2" spans="1:38">
      <c r="A2" t="s">
        <v>441</v>
      </c>
      <c r="B2" s="1">
        <v>41052</v>
      </c>
      <c r="C2" s="1">
        <v>41097</v>
      </c>
      <c r="D2" t="s">
        <v>265</v>
      </c>
      <c r="E2">
        <v>-15</v>
      </c>
      <c r="F2">
        <v>0</v>
      </c>
      <c r="G2">
        <v>0</v>
      </c>
      <c r="H2">
        <v>0</v>
      </c>
      <c r="I2">
        <v>223</v>
      </c>
      <c r="J2">
        <v>-15</v>
      </c>
      <c r="L2" s="1">
        <v>41045</v>
      </c>
      <c r="N2" t="s">
        <v>36</v>
      </c>
      <c r="O2" t="s">
        <v>37</v>
      </c>
      <c r="P2" t="s">
        <v>402</v>
      </c>
      <c r="Q2" t="s">
        <v>39</v>
      </c>
      <c r="R2" t="s">
        <v>40</v>
      </c>
      <c r="S2">
        <v>0</v>
      </c>
      <c r="U2" t="s">
        <v>41</v>
      </c>
      <c r="V2" t="s">
        <v>442</v>
      </c>
      <c r="X2" t="s">
        <v>43</v>
      </c>
      <c r="Y2" t="b">
        <v>0</v>
      </c>
      <c r="Z2" t="b">
        <v>0</v>
      </c>
      <c r="AC2" s="1"/>
      <c r="AF2">
        <v>0</v>
      </c>
      <c r="AG2">
        <v>45</v>
      </c>
      <c r="AH2">
        <v>268</v>
      </c>
      <c r="AI2" s="2">
        <f>Table__192.168.3.138DYLAgingReport[[#This Row],[NetAmount]]-Table__192.168.3.138DYLAgingReport[[#This Row],[Paid]]</f>
        <v>-15</v>
      </c>
    </row>
    <row r="3" spans="1:38">
      <c r="A3" t="s">
        <v>443</v>
      </c>
      <c r="B3" s="1">
        <v>40738</v>
      </c>
      <c r="C3" s="1">
        <v>40783</v>
      </c>
      <c r="D3" t="s">
        <v>248</v>
      </c>
      <c r="E3">
        <v>-3798</v>
      </c>
      <c r="F3">
        <v>-608</v>
      </c>
      <c r="G3">
        <v>0</v>
      </c>
      <c r="H3">
        <v>0</v>
      </c>
      <c r="I3">
        <v>540</v>
      </c>
      <c r="J3">
        <v>-4406</v>
      </c>
      <c r="L3" s="1">
        <v>40728</v>
      </c>
      <c r="N3" t="s">
        <v>36</v>
      </c>
      <c r="O3" t="s">
        <v>37</v>
      </c>
      <c r="P3" t="s">
        <v>385</v>
      </c>
      <c r="Q3" t="s">
        <v>39</v>
      </c>
      <c r="R3" t="s">
        <v>40</v>
      </c>
      <c r="S3">
        <v>0</v>
      </c>
      <c r="U3" t="s">
        <v>41</v>
      </c>
      <c r="V3" t="s">
        <v>42</v>
      </c>
      <c r="X3" t="s">
        <v>43</v>
      </c>
      <c r="Y3" t="b">
        <v>0</v>
      </c>
      <c r="Z3" t="b">
        <v>0</v>
      </c>
      <c r="AB3" t="s">
        <v>444</v>
      </c>
      <c r="AC3" s="1">
        <v>41100</v>
      </c>
      <c r="AE3" t="s">
        <v>445</v>
      </c>
      <c r="AF3">
        <v>0</v>
      </c>
      <c r="AG3">
        <v>45</v>
      </c>
      <c r="AH3">
        <v>585</v>
      </c>
      <c r="AI3" s="2">
        <f>Table__192.168.3.138DYLAgingReport[[#This Row],[NetAmount]]-Table__192.168.3.138DYLAgingReport[[#This Row],[Paid]]</f>
        <v>-4406</v>
      </c>
    </row>
    <row r="4" spans="1:38">
      <c r="A4" t="s">
        <v>446</v>
      </c>
      <c r="B4" s="1">
        <v>40738</v>
      </c>
      <c r="C4" s="1">
        <v>40783</v>
      </c>
      <c r="D4" t="s">
        <v>252</v>
      </c>
      <c r="E4">
        <v>-2475</v>
      </c>
      <c r="F4">
        <v>-396</v>
      </c>
      <c r="G4">
        <v>0</v>
      </c>
      <c r="H4">
        <v>0</v>
      </c>
      <c r="I4">
        <v>530</v>
      </c>
      <c r="J4">
        <v>-2871</v>
      </c>
      <c r="L4" s="1">
        <v>40738</v>
      </c>
      <c r="N4" t="s">
        <v>36</v>
      </c>
      <c r="O4" t="s">
        <v>37</v>
      </c>
      <c r="P4" t="s">
        <v>389</v>
      </c>
      <c r="Q4" t="s">
        <v>39</v>
      </c>
      <c r="R4" t="s">
        <v>40</v>
      </c>
      <c r="S4">
        <v>0</v>
      </c>
      <c r="U4" t="s">
        <v>41</v>
      </c>
      <c r="V4" t="s">
        <v>42</v>
      </c>
      <c r="X4" t="s">
        <v>43</v>
      </c>
      <c r="Y4" t="b">
        <v>0</v>
      </c>
      <c r="Z4" t="b">
        <v>0</v>
      </c>
      <c r="AC4" s="1"/>
      <c r="AF4">
        <v>0</v>
      </c>
      <c r="AG4">
        <v>45</v>
      </c>
      <c r="AH4">
        <v>575</v>
      </c>
      <c r="AI4" s="2">
        <f>Table__192.168.3.138DYLAgingReport[[#This Row],[NetAmount]]-Table__192.168.3.138DYLAgingReport[[#This Row],[Paid]]</f>
        <v>-2871</v>
      </c>
    </row>
    <row r="5" spans="1:38">
      <c r="A5" t="s">
        <v>447</v>
      </c>
      <c r="B5" s="1">
        <v>40759</v>
      </c>
      <c r="C5" s="1">
        <v>40804</v>
      </c>
      <c r="D5" t="s">
        <v>189</v>
      </c>
      <c r="E5">
        <v>-5530</v>
      </c>
      <c r="F5">
        <v>-885</v>
      </c>
      <c r="G5">
        <v>0</v>
      </c>
      <c r="H5">
        <v>0</v>
      </c>
      <c r="I5">
        <v>512</v>
      </c>
      <c r="J5">
        <v>-6415</v>
      </c>
      <c r="L5" s="1">
        <v>40756</v>
      </c>
      <c r="N5" t="s">
        <v>36</v>
      </c>
      <c r="O5" t="s">
        <v>37</v>
      </c>
      <c r="P5" t="s">
        <v>326</v>
      </c>
      <c r="Q5" t="s">
        <v>39</v>
      </c>
      <c r="R5" t="s">
        <v>40</v>
      </c>
      <c r="S5">
        <v>0</v>
      </c>
      <c r="U5" t="s">
        <v>41</v>
      </c>
      <c r="V5" t="s">
        <v>42</v>
      </c>
      <c r="X5" t="s">
        <v>43</v>
      </c>
      <c r="Y5" t="b">
        <v>0</v>
      </c>
      <c r="Z5" t="b">
        <v>0</v>
      </c>
      <c r="AC5" s="1"/>
      <c r="AF5">
        <v>0</v>
      </c>
      <c r="AG5">
        <v>45</v>
      </c>
      <c r="AH5">
        <v>557</v>
      </c>
      <c r="AI5" s="2">
        <f>Table__192.168.3.138DYLAgingReport[[#This Row],[NetAmount]]-Table__192.168.3.138DYLAgingReport[[#This Row],[Paid]]</f>
        <v>-6415</v>
      </c>
    </row>
    <row r="6" spans="1:38">
      <c r="A6" t="s">
        <v>448</v>
      </c>
      <c r="B6" s="1">
        <v>40766</v>
      </c>
      <c r="C6" s="1">
        <v>40811</v>
      </c>
      <c r="D6" t="s">
        <v>220</v>
      </c>
      <c r="E6">
        <v>-4136</v>
      </c>
      <c r="F6">
        <v>-662</v>
      </c>
      <c r="G6">
        <v>0</v>
      </c>
      <c r="H6">
        <v>0</v>
      </c>
      <c r="I6">
        <v>512</v>
      </c>
      <c r="J6">
        <v>-4798</v>
      </c>
      <c r="L6" s="1">
        <v>40756</v>
      </c>
      <c r="N6" t="s">
        <v>36</v>
      </c>
      <c r="O6" t="s">
        <v>37</v>
      </c>
      <c r="P6" t="s">
        <v>357</v>
      </c>
      <c r="Q6" t="s">
        <v>39</v>
      </c>
      <c r="R6" t="s">
        <v>40</v>
      </c>
      <c r="S6">
        <v>0</v>
      </c>
      <c r="U6" t="s">
        <v>41</v>
      </c>
      <c r="V6" t="s">
        <v>42</v>
      </c>
      <c r="X6" t="s">
        <v>43</v>
      </c>
      <c r="Y6" t="b">
        <v>0</v>
      </c>
      <c r="Z6" t="b">
        <v>0</v>
      </c>
      <c r="AB6" t="s">
        <v>449</v>
      </c>
      <c r="AC6" s="1">
        <v>41080</v>
      </c>
      <c r="AE6" t="s">
        <v>450</v>
      </c>
      <c r="AF6">
        <v>0</v>
      </c>
      <c r="AG6">
        <v>45</v>
      </c>
      <c r="AH6">
        <v>557</v>
      </c>
      <c r="AI6" s="2">
        <f>Table__192.168.3.138DYLAgingReport[[#This Row],[NetAmount]]-Table__192.168.3.138DYLAgingReport[[#This Row],[Paid]]</f>
        <v>-4798</v>
      </c>
    </row>
    <row r="7" spans="1:38">
      <c r="A7" t="s">
        <v>451</v>
      </c>
      <c r="B7" s="1">
        <v>40766</v>
      </c>
      <c r="C7" s="1">
        <v>40811</v>
      </c>
      <c r="D7" t="s">
        <v>252</v>
      </c>
      <c r="E7">
        <v>-1350</v>
      </c>
      <c r="F7">
        <v>-216</v>
      </c>
      <c r="G7">
        <v>0</v>
      </c>
      <c r="H7">
        <v>0</v>
      </c>
      <c r="I7">
        <v>512</v>
      </c>
      <c r="J7">
        <v>-1566</v>
      </c>
      <c r="L7" s="1">
        <v>40756</v>
      </c>
      <c r="N7" t="s">
        <v>36</v>
      </c>
      <c r="O7" t="s">
        <v>37</v>
      </c>
      <c r="P7" t="s">
        <v>389</v>
      </c>
      <c r="Q7" t="s">
        <v>39</v>
      </c>
      <c r="R7" t="s">
        <v>40</v>
      </c>
      <c r="S7">
        <v>0</v>
      </c>
      <c r="U7" t="s">
        <v>41</v>
      </c>
      <c r="V7" t="s">
        <v>42</v>
      </c>
      <c r="X7" t="s">
        <v>43</v>
      </c>
      <c r="Y7" t="b">
        <v>0</v>
      </c>
      <c r="Z7" t="b">
        <v>0</v>
      </c>
      <c r="AC7" s="1"/>
      <c r="AF7">
        <v>0</v>
      </c>
      <c r="AG7">
        <v>45</v>
      </c>
      <c r="AH7">
        <v>557</v>
      </c>
      <c r="AI7" s="2">
        <f>Table__192.168.3.138DYLAgingReport[[#This Row],[NetAmount]]-Table__192.168.3.138DYLAgingReport[[#This Row],[Paid]]</f>
        <v>-1566</v>
      </c>
    </row>
    <row r="8" spans="1:38">
      <c r="A8" t="s">
        <v>452</v>
      </c>
      <c r="B8" s="1">
        <v>40801</v>
      </c>
      <c r="C8" s="1">
        <v>40846</v>
      </c>
      <c r="D8" t="s">
        <v>175</v>
      </c>
      <c r="E8">
        <v>-13123</v>
      </c>
      <c r="F8">
        <v>-2100</v>
      </c>
      <c r="G8">
        <v>0</v>
      </c>
      <c r="H8">
        <v>0</v>
      </c>
      <c r="I8">
        <v>476</v>
      </c>
      <c r="J8">
        <v>-15223</v>
      </c>
      <c r="L8" s="1">
        <v>40792</v>
      </c>
      <c r="N8" t="s">
        <v>36</v>
      </c>
      <c r="O8" t="s">
        <v>37</v>
      </c>
      <c r="P8" t="s">
        <v>312</v>
      </c>
      <c r="Q8" t="s">
        <v>39</v>
      </c>
      <c r="R8" t="s">
        <v>40</v>
      </c>
      <c r="S8">
        <v>0</v>
      </c>
      <c r="U8" t="s">
        <v>41</v>
      </c>
      <c r="V8" t="s">
        <v>42</v>
      </c>
      <c r="X8" t="s">
        <v>43</v>
      </c>
      <c r="Y8" t="b">
        <v>0</v>
      </c>
      <c r="Z8" t="b">
        <v>0</v>
      </c>
      <c r="AB8" t="s">
        <v>453</v>
      </c>
      <c r="AC8" s="1">
        <v>41004</v>
      </c>
      <c r="AE8" t="s">
        <v>454</v>
      </c>
      <c r="AF8">
        <v>0</v>
      </c>
      <c r="AG8">
        <v>45</v>
      </c>
      <c r="AH8">
        <v>521</v>
      </c>
      <c r="AI8" s="2">
        <f>Table__192.168.3.138DYLAgingReport[[#This Row],[NetAmount]]-Table__192.168.3.138DYLAgingReport[[#This Row],[Paid]]</f>
        <v>-15223</v>
      </c>
    </row>
    <row r="9" spans="1:38">
      <c r="A9" t="s">
        <v>455</v>
      </c>
      <c r="B9" s="1">
        <v>40795</v>
      </c>
      <c r="C9" s="1">
        <v>40840</v>
      </c>
      <c r="D9" t="s">
        <v>189</v>
      </c>
      <c r="E9">
        <v>-4935</v>
      </c>
      <c r="F9">
        <v>-790</v>
      </c>
      <c r="G9">
        <v>0</v>
      </c>
      <c r="H9">
        <v>0</v>
      </c>
      <c r="I9">
        <v>476</v>
      </c>
      <c r="J9">
        <v>-5725</v>
      </c>
      <c r="L9" s="1">
        <v>40792</v>
      </c>
      <c r="N9" t="s">
        <v>36</v>
      </c>
      <c r="O9" t="s">
        <v>37</v>
      </c>
      <c r="P9" t="s">
        <v>326</v>
      </c>
      <c r="Q9" t="s">
        <v>39</v>
      </c>
      <c r="R9" t="s">
        <v>40</v>
      </c>
      <c r="S9">
        <v>0</v>
      </c>
      <c r="U9" t="s">
        <v>41</v>
      </c>
      <c r="V9" t="s">
        <v>42</v>
      </c>
      <c r="X9" t="s">
        <v>43</v>
      </c>
      <c r="Y9" t="b">
        <v>0</v>
      </c>
      <c r="Z9" t="b">
        <v>0</v>
      </c>
      <c r="AC9" s="1"/>
      <c r="AF9">
        <v>0</v>
      </c>
      <c r="AG9">
        <v>45</v>
      </c>
      <c r="AH9">
        <v>521</v>
      </c>
      <c r="AI9" s="2">
        <f>Table__192.168.3.138DYLAgingReport[[#This Row],[NetAmount]]-Table__192.168.3.138DYLAgingReport[[#This Row],[Paid]]</f>
        <v>-5725</v>
      </c>
    </row>
    <row r="10" spans="1:38">
      <c r="A10" t="s">
        <v>456</v>
      </c>
      <c r="B10" s="1">
        <v>40806</v>
      </c>
      <c r="C10" s="1">
        <v>40851</v>
      </c>
      <c r="D10" t="s">
        <v>215</v>
      </c>
      <c r="E10">
        <v>-1472</v>
      </c>
      <c r="F10">
        <v>-236</v>
      </c>
      <c r="G10">
        <v>0</v>
      </c>
      <c r="H10">
        <v>0</v>
      </c>
      <c r="I10">
        <v>476</v>
      </c>
      <c r="J10">
        <v>-1708</v>
      </c>
      <c r="L10" s="1">
        <v>40792</v>
      </c>
      <c r="N10" t="s">
        <v>36</v>
      </c>
      <c r="O10" t="s">
        <v>37</v>
      </c>
      <c r="P10" t="s">
        <v>352</v>
      </c>
      <c r="Q10" t="s">
        <v>39</v>
      </c>
      <c r="R10" t="s">
        <v>40</v>
      </c>
      <c r="S10">
        <v>0</v>
      </c>
      <c r="U10" t="s">
        <v>41</v>
      </c>
      <c r="V10" t="s">
        <v>42</v>
      </c>
      <c r="X10" t="s">
        <v>43</v>
      </c>
      <c r="Y10" t="b">
        <v>0</v>
      </c>
      <c r="Z10" t="b">
        <v>0</v>
      </c>
      <c r="AC10" s="1"/>
      <c r="AF10">
        <v>0</v>
      </c>
      <c r="AG10">
        <v>45</v>
      </c>
      <c r="AH10">
        <v>521</v>
      </c>
      <c r="AI10" s="2">
        <f>Table__192.168.3.138DYLAgingReport[[#This Row],[NetAmount]]-Table__192.168.3.138DYLAgingReport[[#This Row],[Paid]]</f>
        <v>-1708</v>
      </c>
    </row>
    <row r="11" spans="1:38">
      <c r="A11" t="s">
        <v>457</v>
      </c>
      <c r="B11" s="1">
        <v>40801</v>
      </c>
      <c r="C11" s="1">
        <v>40831</v>
      </c>
      <c r="D11" t="s">
        <v>250</v>
      </c>
      <c r="E11">
        <v>-1062</v>
      </c>
      <c r="F11">
        <v>-170</v>
      </c>
      <c r="G11">
        <v>0</v>
      </c>
      <c r="H11">
        <v>0</v>
      </c>
      <c r="I11">
        <v>476</v>
      </c>
      <c r="J11">
        <v>-1232</v>
      </c>
      <c r="L11" s="1">
        <v>40792</v>
      </c>
      <c r="N11" t="s">
        <v>36</v>
      </c>
      <c r="O11" t="s">
        <v>37</v>
      </c>
      <c r="P11" t="s">
        <v>387</v>
      </c>
      <c r="Q11" t="s">
        <v>39</v>
      </c>
      <c r="R11" t="s">
        <v>40</v>
      </c>
      <c r="S11">
        <v>0</v>
      </c>
      <c r="U11" t="s">
        <v>41</v>
      </c>
      <c r="V11" t="s">
        <v>42</v>
      </c>
      <c r="X11" t="s">
        <v>43</v>
      </c>
      <c r="Y11" t="b">
        <v>0</v>
      </c>
      <c r="Z11" t="b">
        <v>0</v>
      </c>
      <c r="AB11" t="s">
        <v>458</v>
      </c>
      <c r="AC11" s="1"/>
      <c r="AF11">
        <v>0</v>
      </c>
      <c r="AG11">
        <v>45</v>
      </c>
      <c r="AH11">
        <v>521</v>
      </c>
      <c r="AI11" s="2">
        <f>Table__192.168.3.138DYLAgingReport[[#This Row],[NetAmount]]-Table__192.168.3.138DYLAgingReport[[#This Row],[Paid]]</f>
        <v>-1232</v>
      </c>
    </row>
    <row r="12" spans="1:38">
      <c r="A12" t="s">
        <v>459</v>
      </c>
      <c r="B12" s="1">
        <v>40807</v>
      </c>
      <c r="C12" s="1">
        <v>40807</v>
      </c>
      <c r="D12" t="s">
        <v>267</v>
      </c>
      <c r="E12">
        <v>-35122</v>
      </c>
      <c r="F12">
        <v>0</v>
      </c>
      <c r="G12">
        <v>0</v>
      </c>
      <c r="H12">
        <v>0</v>
      </c>
      <c r="I12">
        <v>461</v>
      </c>
      <c r="J12">
        <v>-35122</v>
      </c>
      <c r="L12" s="1">
        <v>40807</v>
      </c>
      <c r="N12" t="s">
        <v>36</v>
      </c>
      <c r="O12" t="s">
        <v>37</v>
      </c>
      <c r="P12" t="s">
        <v>404</v>
      </c>
      <c r="Q12" t="s">
        <v>39</v>
      </c>
      <c r="R12" t="s">
        <v>40</v>
      </c>
      <c r="S12">
        <v>0</v>
      </c>
      <c r="U12" t="s">
        <v>41</v>
      </c>
      <c r="V12" t="s">
        <v>42</v>
      </c>
      <c r="X12" t="s">
        <v>43</v>
      </c>
      <c r="Y12" t="b">
        <v>0</v>
      </c>
      <c r="Z12" t="b">
        <v>0</v>
      </c>
      <c r="AC12" s="1"/>
      <c r="AF12">
        <v>0</v>
      </c>
      <c r="AG12">
        <v>45</v>
      </c>
      <c r="AH12">
        <v>506</v>
      </c>
      <c r="AI12" s="2">
        <f>Table__192.168.3.138DYLAgingReport[[#This Row],[NetAmount]]-Table__192.168.3.138DYLAgingReport[[#This Row],[Paid]]</f>
        <v>-35122</v>
      </c>
    </row>
    <row r="13" spans="1:38">
      <c r="A13" t="s">
        <v>460</v>
      </c>
      <c r="B13" s="1">
        <v>40841</v>
      </c>
      <c r="C13" s="1">
        <v>40886</v>
      </c>
      <c r="D13" t="s">
        <v>210</v>
      </c>
      <c r="E13">
        <v>-42</v>
      </c>
      <c r="F13">
        <v>-7</v>
      </c>
      <c r="G13">
        <v>0</v>
      </c>
      <c r="H13">
        <v>0</v>
      </c>
      <c r="I13">
        <v>427</v>
      </c>
      <c r="J13">
        <v>-49</v>
      </c>
      <c r="L13" s="1">
        <v>40841</v>
      </c>
      <c r="N13" t="s">
        <v>36</v>
      </c>
      <c r="O13" t="s">
        <v>37</v>
      </c>
      <c r="P13" t="s">
        <v>347</v>
      </c>
      <c r="Q13" t="s">
        <v>39</v>
      </c>
      <c r="R13" t="s">
        <v>40</v>
      </c>
      <c r="S13">
        <v>0</v>
      </c>
      <c r="U13" t="s">
        <v>41</v>
      </c>
      <c r="V13" t="s">
        <v>42</v>
      </c>
      <c r="X13" t="s">
        <v>43</v>
      </c>
      <c r="Y13" t="b">
        <v>0</v>
      </c>
      <c r="Z13" t="b">
        <v>0</v>
      </c>
      <c r="AC13" s="1"/>
      <c r="AF13">
        <v>0</v>
      </c>
      <c r="AG13">
        <v>45</v>
      </c>
      <c r="AH13">
        <v>472</v>
      </c>
      <c r="AI13" s="2">
        <f>Table__192.168.3.138DYLAgingReport[[#This Row],[NetAmount]]-Table__192.168.3.138DYLAgingReport[[#This Row],[Paid]]</f>
        <v>-49</v>
      </c>
    </row>
    <row r="14" spans="1:38">
      <c r="A14" t="s">
        <v>461</v>
      </c>
      <c r="B14" s="1">
        <v>40841</v>
      </c>
      <c r="C14" s="1">
        <v>40886</v>
      </c>
      <c r="D14" t="s">
        <v>219</v>
      </c>
      <c r="E14">
        <v>-9234</v>
      </c>
      <c r="F14">
        <v>-1477</v>
      </c>
      <c r="G14">
        <v>0</v>
      </c>
      <c r="H14">
        <v>0</v>
      </c>
      <c r="I14">
        <v>449</v>
      </c>
      <c r="J14">
        <v>-10711</v>
      </c>
      <c r="L14" s="1">
        <v>40819</v>
      </c>
      <c r="N14" t="s">
        <v>36</v>
      </c>
      <c r="O14" t="s">
        <v>37</v>
      </c>
      <c r="P14" t="s">
        <v>356</v>
      </c>
      <c r="Q14" t="s">
        <v>39</v>
      </c>
      <c r="R14" t="s">
        <v>40</v>
      </c>
      <c r="S14">
        <v>0</v>
      </c>
      <c r="U14" t="s">
        <v>41</v>
      </c>
      <c r="V14" t="s">
        <v>42</v>
      </c>
      <c r="X14" t="s">
        <v>43</v>
      </c>
      <c r="Y14" t="b">
        <v>0</v>
      </c>
      <c r="Z14" t="b">
        <v>0</v>
      </c>
      <c r="AB14" t="s">
        <v>462</v>
      </c>
      <c r="AC14" s="1">
        <v>41115</v>
      </c>
      <c r="AF14">
        <v>0</v>
      </c>
      <c r="AG14">
        <v>45</v>
      </c>
      <c r="AH14">
        <v>494</v>
      </c>
      <c r="AI14" s="2">
        <f>Table__192.168.3.138DYLAgingReport[[#This Row],[NetAmount]]-Table__192.168.3.138DYLAgingReport[[#This Row],[Paid]]</f>
        <v>-10711</v>
      </c>
    </row>
    <row r="15" spans="1:38">
      <c r="A15" t="s">
        <v>463</v>
      </c>
      <c r="B15" s="1">
        <v>40822</v>
      </c>
      <c r="C15" s="1">
        <v>40867</v>
      </c>
      <c r="D15" t="s">
        <v>189</v>
      </c>
      <c r="E15">
        <v>-3150</v>
      </c>
      <c r="F15">
        <v>-504</v>
      </c>
      <c r="G15">
        <v>0</v>
      </c>
      <c r="H15">
        <v>0</v>
      </c>
      <c r="I15">
        <v>449</v>
      </c>
      <c r="J15">
        <v>-3654</v>
      </c>
      <c r="L15" s="1">
        <v>40819</v>
      </c>
      <c r="N15" t="s">
        <v>36</v>
      </c>
      <c r="O15" t="s">
        <v>37</v>
      </c>
      <c r="P15" t="s">
        <v>326</v>
      </c>
      <c r="Q15" t="s">
        <v>39</v>
      </c>
      <c r="R15" t="s">
        <v>40</v>
      </c>
      <c r="S15">
        <v>0</v>
      </c>
      <c r="U15" t="s">
        <v>41</v>
      </c>
      <c r="V15" t="s">
        <v>42</v>
      </c>
      <c r="X15" t="s">
        <v>43</v>
      </c>
      <c r="Y15" t="b">
        <v>0</v>
      </c>
      <c r="Z15" t="b">
        <v>0</v>
      </c>
      <c r="AC15" s="1"/>
      <c r="AF15">
        <v>0</v>
      </c>
      <c r="AG15">
        <v>45</v>
      </c>
      <c r="AH15">
        <v>494</v>
      </c>
      <c r="AI15" s="2">
        <f>Table__192.168.3.138DYLAgingReport[[#This Row],[NetAmount]]-Table__192.168.3.138DYLAgingReport[[#This Row],[Paid]]</f>
        <v>-3654</v>
      </c>
    </row>
    <row r="16" spans="1:38">
      <c r="A16" t="s">
        <v>464</v>
      </c>
      <c r="B16" s="1">
        <v>40829</v>
      </c>
      <c r="C16" s="1">
        <v>40874</v>
      </c>
      <c r="D16" t="s">
        <v>208</v>
      </c>
      <c r="E16">
        <v>-4245</v>
      </c>
      <c r="F16">
        <v>-679</v>
      </c>
      <c r="G16">
        <v>0</v>
      </c>
      <c r="H16">
        <v>0</v>
      </c>
      <c r="I16">
        <v>449</v>
      </c>
      <c r="J16">
        <v>-4924</v>
      </c>
      <c r="L16" s="1">
        <v>40819</v>
      </c>
      <c r="N16" t="s">
        <v>36</v>
      </c>
      <c r="O16" t="s">
        <v>37</v>
      </c>
      <c r="P16" t="s">
        <v>345</v>
      </c>
      <c r="Q16" t="s">
        <v>39</v>
      </c>
      <c r="R16" t="s">
        <v>40</v>
      </c>
      <c r="S16">
        <v>0</v>
      </c>
      <c r="U16" t="s">
        <v>41</v>
      </c>
      <c r="V16" t="s">
        <v>42</v>
      </c>
      <c r="X16" t="s">
        <v>43</v>
      </c>
      <c r="Y16" t="b">
        <v>0</v>
      </c>
      <c r="Z16" t="b">
        <v>0</v>
      </c>
      <c r="AB16" t="s">
        <v>465</v>
      </c>
      <c r="AC16" s="1">
        <v>40949</v>
      </c>
      <c r="AE16" t="s">
        <v>466</v>
      </c>
      <c r="AF16">
        <v>0</v>
      </c>
      <c r="AG16">
        <v>45</v>
      </c>
      <c r="AH16">
        <v>494</v>
      </c>
      <c r="AI16" s="2">
        <f>Table__192.168.3.138DYLAgingReport[[#This Row],[NetAmount]]-Table__192.168.3.138DYLAgingReport[[#This Row],[Paid]]</f>
        <v>-4924</v>
      </c>
    </row>
    <row r="17" spans="1:35">
      <c r="A17" t="s">
        <v>467</v>
      </c>
      <c r="B17" s="1">
        <v>40841</v>
      </c>
      <c r="C17" s="1">
        <v>40886</v>
      </c>
      <c r="D17" t="s">
        <v>219</v>
      </c>
      <c r="E17">
        <v>-23728</v>
      </c>
      <c r="F17">
        <v>-3796</v>
      </c>
      <c r="G17">
        <v>0</v>
      </c>
      <c r="H17">
        <v>0</v>
      </c>
      <c r="I17">
        <v>449</v>
      </c>
      <c r="J17">
        <v>-27524</v>
      </c>
      <c r="L17" s="1">
        <v>40819</v>
      </c>
      <c r="N17" t="s">
        <v>36</v>
      </c>
      <c r="O17" t="s">
        <v>37</v>
      </c>
      <c r="P17" t="s">
        <v>356</v>
      </c>
      <c r="Q17" t="s">
        <v>39</v>
      </c>
      <c r="R17" t="s">
        <v>40</v>
      </c>
      <c r="S17">
        <v>0</v>
      </c>
      <c r="U17" t="s">
        <v>41</v>
      </c>
      <c r="V17" t="s">
        <v>42</v>
      </c>
      <c r="X17" t="s">
        <v>43</v>
      </c>
      <c r="Y17" t="b">
        <v>0</v>
      </c>
      <c r="Z17" t="b">
        <v>0</v>
      </c>
      <c r="AB17" t="s">
        <v>462</v>
      </c>
      <c r="AC17" s="1">
        <v>41115</v>
      </c>
      <c r="AF17">
        <v>0</v>
      </c>
      <c r="AG17">
        <v>45</v>
      </c>
      <c r="AH17">
        <v>494</v>
      </c>
      <c r="AI17" s="2">
        <f>Table__192.168.3.138DYLAgingReport[[#This Row],[NetAmount]]-Table__192.168.3.138DYLAgingReport[[#This Row],[Paid]]</f>
        <v>-27524</v>
      </c>
    </row>
    <row r="18" spans="1:35">
      <c r="A18" t="s">
        <v>34</v>
      </c>
      <c r="B18" s="1">
        <v>40864</v>
      </c>
      <c r="C18" s="1">
        <v>40909</v>
      </c>
      <c r="D18" t="s">
        <v>35</v>
      </c>
      <c r="E18">
        <v>-2415</v>
      </c>
      <c r="F18">
        <v>-386</v>
      </c>
      <c r="G18">
        <v>0</v>
      </c>
      <c r="H18">
        <v>0</v>
      </c>
      <c r="I18">
        <v>420</v>
      </c>
      <c r="J18">
        <v>-2801</v>
      </c>
      <c r="L18" s="1">
        <v>40848</v>
      </c>
      <c r="N18" t="s">
        <v>36</v>
      </c>
      <c r="O18" t="s">
        <v>37</v>
      </c>
      <c r="P18" t="s">
        <v>38</v>
      </c>
      <c r="Q18" t="s">
        <v>39</v>
      </c>
      <c r="R18" t="s">
        <v>40</v>
      </c>
      <c r="S18">
        <v>0</v>
      </c>
      <c r="U18" t="s">
        <v>41</v>
      </c>
      <c r="V18" t="s">
        <v>42</v>
      </c>
      <c r="X18" t="s">
        <v>43</v>
      </c>
      <c r="Y18" t="b">
        <v>0</v>
      </c>
      <c r="Z18" t="b">
        <v>0</v>
      </c>
      <c r="AC18" s="1"/>
      <c r="AF18">
        <v>0</v>
      </c>
      <c r="AG18">
        <v>45</v>
      </c>
      <c r="AH18">
        <v>465</v>
      </c>
      <c r="AI18" s="2">
        <f>Table__192.168.3.138DYLAgingReport[[#This Row],[NetAmount]]-Table__192.168.3.138DYLAgingReport[[#This Row],[Paid]]</f>
        <v>-2801</v>
      </c>
    </row>
    <row r="19" spans="1:35">
      <c r="A19" t="s">
        <v>468</v>
      </c>
      <c r="B19" s="1">
        <v>40862</v>
      </c>
      <c r="C19" s="1">
        <v>40907</v>
      </c>
      <c r="D19" t="s">
        <v>210</v>
      </c>
      <c r="E19">
        <v>-47</v>
      </c>
      <c r="F19">
        <v>-8</v>
      </c>
      <c r="G19">
        <v>0</v>
      </c>
      <c r="H19">
        <v>0</v>
      </c>
      <c r="I19">
        <v>406</v>
      </c>
      <c r="J19">
        <v>-55</v>
      </c>
      <c r="L19" s="1">
        <v>40862</v>
      </c>
      <c r="N19" t="s">
        <v>36</v>
      </c>
      <c r="O19" t="s">
        <v>37</v>
      </c>
      <c r="P19" t="s">
        <v>347</v>
      </c>
      <c r="Q19" t="s">
        <v>39</v>
      </c>
      <c r="R19" t="s">
        <v>40</v>
      </c>
      <c r="S19">
        <v>0</v>
      </c>
      <c r="U19" t="s">
        <v>41</v>
      </c>
      <c r="V19" t="s">
        <v>42</v>
      </c>
      <c r="X19" t="s">
        <v>43</v>
      </c>
      <c r="Y19" t="b">
        <v>0</v>
      </c>
      <c r="Z19" t="b">
        <v>0</v>
      </c>
      <c r="AC19" s="1"/>
      <c r="AF19">
        <v>0</v>
      </c>
      <c r="AG19">
        <v>45</v>
      </c>
      <c r="AH19">
        <v>451</v>
      </c>
      <c r="AI19" s="2">
        <f>Table__192.168.3.138DYLAgingReport[[#This Row],[NetAmount]]-Table__192.168.3.138DYLAgingReport[[#This Row],[Paid]]</f>
        <v>-55</v>
      </c>
    </row>
    <row r="20" spans="1:35">
      <c r="A20" t="s">
        <v>469</v>
      </c>
      <c r="B20" s="1">
        <v>40865</v>
      </c>
      <c r="C20" s="1">
        <v>40910</v>
      </c>
      <c r="D20" t="s">
        <v>212</v>
      </c>
      <c r="E20">
        <v>-250</v>
      </c>
      <c r="F20">
        <v>-40</v>
      </c>
      <c r="G20">
        <v>0</v>
      </c>
      <c r="H20">
        <v>0</v>
      </c>
      <c r="I20">
        <v>403</v>
      </c>
      <c r="J20">
        <v>-290</v>
      </c>
      <c r="L20" s="1">
        <v>40865</v>
      </c>
      <c r="N20" t="s">
        <v>36</v>
      </c>
      <c r="O20" t="s">
        <v>37</v>
      </c>
      <c r="P20" t="s">
        <v>349</v>
      </c>
      <c r="Q20" t="s">
        <v>39</v>
      </c>
      <c r="R20" t="s">
        <v>40</v>
      </c>
      <c r="S20">
        <v>0</v>
      </c>
      <c r="U20" t="s">
        <v>41</v>
      </c>
      <c r="V20" t="s">
        <v>42</v>
      </c>
      <c r="X20" t="s">
        <v>43</v>
      </c>
      <c r="Y20" t="b">
        <v>0</v>
      </c>
      <c r="Z20" t="b">
        <v>0</v>
      </c>
      <c r="AC20" s="1"/>
      <c r="AF20">
        <v>0</v>
      </c>
      <c r="AG20">
        <v>45</v>
      </c>
      <c r="AH20">
        <v>448</v>
      </c>
      <c r="AI20" s="2">
        <f>Table__192.168.3.138DYLAgingReport[[#This Row],[NetAmount]]-Table__192.168.3.138DYLAgingReport[[#This Row],[Paid]]</f>
        <v>-290</v>
      </c>
    </row>
    <row r="21" spans="1:35">
      <c r="A21" t="s">
        <v>470</v>
      </c>
      <c r="B21" s="1">
        <v>40848</v>
      </c>
      <c r="C21" s="1">
        <v>40893</v>
      </c>
      <c r="D21" t="s">
        <v>218</v>
      </c>
      <c r="E21">
        <v>-54</v>
      </c>
      <c r="F21">
        <v>-9</v>
      </c>
      <c r="G21">
        <v>0</v>
      </c>
      <c r="H21">
        <v>0</v>
      </c>
      <c r="I21">
        <v>420</v>
      </c>
      <c r="J21">
        <v>-63</v>
      </c>
      <c r="L21" s="1">
        <v>40848</v>
      </c>
      <c r="N21" t="s">
        <v>36</v>
      </c>
      <c r="O21" t="s">
        <v>37</v>
      </c>
      <c r="P21" t="s">
        <v>355</v>
      </c>
      <c r="Q21" t="s">
        <v>39</v>
      </c>
      <c r="R21" t="s">
        <v>40</v>
      </c>
      <c r="S21">
        <v>0</v>
      </c>
      <c r="U21" t="s">
        <v>41</v>
      </c>
      <c r="V21" t="s">
        <v>42</v>
      </c>
      <c r="X21" t="s">
        <v>43</v>
      </c>
      <c r="Y21" t="b">
        <v>0</v>
      </c>
      <c r="Z21" t="b">
        <v>0</v>
      </c>
      <c r="AC21" s="1"/>
      <c r="AF21">
        <v>0</v>
      </c>
      <c r="AG21">
        <v>45</v>
      </c>
      <c r="AH21">
        <v>465</v>
      </c>
      <c r="AI21" s="2">
        <f>Table__192.168.3.138DYLAgingReport[[#This Row],[NetAmount]]-Table__192.168.3.138DYLAgingReport[[#This Row],[Paid]]</f>
        <v>-63</v>
      </c>
    </row>
    <row r="22" spans="1:35">
      <c r="A22" t="s">
        <v>471</v>
      </c>
      <c r="B22" s="1">
        <v>40864</v>
      </c>
      <c r="C22" s="1">
        <v>40909</v>
      </c>
      <c r="D22" t="s">
        <v>219</v>
      </c>
      <c r="E22">
        <v>-13</v>
      </c>
      <c r="F22">
        <v>-2</v>
      </c>
      <c r="G22">
        <v>0</v>
      </c>
      <c r="H22">
        <v>0</v>
      </c>
      <c r="I22">
        <v>404</v>
      </c>
      <c r="J22">
        <v>-15</v>
      </c>
      <c r="L22" s="1">
        <v>40864</v>
      </c>
      <c r="N22" t="s">
        <v>36</v>
      </c>
      <c r="O22" t="s">
        <v>37</v>
      </c>
      <c r="P22" t="s">
        <v>356</v>
      </c>
      <c r="Q22" t="s">
        <v>39</v>
      </c>
      <c r="R22" t="s">
        <v>40</v>
      </c>
      <c r="S22">
        <v>0</v>
      </c>
      <c r="U22" t="s">
        <v>41</v>
      </c>
      <c r="V22" t="s">
        <v>42</v>
      </c>
      <c r="X22" t="s">
        <v>43</v>
      </c>
      <c r="Y22" t="b">
        <v>0</v>
      </c>
      <c r="Z22" t="b">
        <v>0</v>
      </c>
      <c r="AB22" t="s">
        <v>472</v>
      </c>
      <c r="AC22" s="1">
        <v>41227</v>
      </c>
      <c r="AF22">
        <v>0</v>
      </c>
      <c r="AG22">
        <v>45</v>
      </c>
      <c r="AH22">
        <v>449</v>
      </c>
      <c r="AI22" s="2">
        <f>Table__192.168.3.138DYLAgingReport[[#This Row],[NetAmount]]-Table__192.168.3.138DYLAgingReport[[#This Row],[Paid]]</f>
        <v>-15</v>
      </c>
    </row>
    <row r="23" spans="1:35">
      <c r="A23" t="s">
        <v>473</v>
      </c>
      <c r="B23" s="1">
        <v>40848</v>
      </c>
      <c r="C23" s="1">
        <v>40848</v>
      </c>
      <c r="D23" t="s">
        <v>261</v>
      </c>
      <c r="E23">
        <v>-432</v>
      </c>
      <c r="F23">
        <v>-69</v>
      </c>
      <c r="G23">
        <v>0</v>
      </c>
      <c r="H23">
        <v>0</v>
      </c>
      <c r="I23">
        <v>420</v>
      </c>
      <c r="J23">
        <v>-501</v>
      </c>
      <c r="L23" s="1">
        <v>40848</v>
      </c>
      <c r="N23" t="s">
        <v>36</v>
      </c>
      <c r="O23" t="s">
        <v>37</v>
      </c>
      <c r="P23" t="s">
        <v>398</v>
      </c>
      <c r="Q23" t="s">
        <v>39</v>
      </c>
      <c r="R23" t="s">
        <v>40</v>
      </c>
      <c r="S23">
        <v>0</v>
      </c>
      <c r="U23" t="s">
        <v>41</v>
      </c>
      <c r="V23" t="s">
        <v>42</v>
      </c>
      <c r="X23" t="s">
        <v>43</v>
      </c>
      <c r="Y23" t="b">
        <v>0</v>
      </c>
      <c r="Z23" t="b">
        <v>0</v>
      </c>
      <c r="AC23" s="1"/>
      <c r="AF23">
        <v>0</v>
      </c>
      <c r="AG23">
        <v>45</v>
      </c>
      <c r="AH23">
        <v>465</v>
      </c>
      <c r="AI23" s="2">
        <f>Table__192.168.3.138DYLAgingReport[[#This Row],[NetAmount]]-Table__192.168.3.138DYLAgingReport[[#This Row],[Paid]]</f>
        <v>-501</v>
      </c>
    </row>
    <row r="24" spans="1:35">
      <c r="A24" t="s">
        <v>44</v>
      </c>
      <c r="B24" s="1">
        <v>40864</v>
      </c>
      <c r="C24" s="1">
        <v>40909</v>
      </c>
      <c r="D24" t="s">
        <v>35</v>
      </c>
      <c r="E24">
        <v>-9700</v>
      </c>
      <c r="F24">
        <v>-1552</v>
      </c>
      <c r="G24">
        <v>0</v>
      </c>
      <c r="H24">
        <v>0</v>
      </c>
      <c r="I24">
        <v>420</v>
      </c>
      <c r="J24">
        <v>-11252</v>
      </c>
      <c r="L24" s="1">
        <v>40848</v>
      </c>
      <c r="N24" t="s">
        <v>36</v>
      </c>
      <c r="O24" t="s">
        <v>37</v>
      </c>
      <c r="P24" t="s">
        <v>38</v>
      </c>
      <c r="Q24" t="s">
        <v>39</v>
      </c>
      <c r="R24" t="s">
        <v>40</v>
      </c>
      <c r="S24">
        <v>0</v>
      </c>
      <c r="U24" t="s">
        <v>41</v>
      </c>
      <c r="V24" t="s">
        <v>42</v>
      </c>
      <c r="X24" t="s">
        <v>43</v>
      </c>
      <c r="Y24" t="b">
        <v>0</v>
      </c>
      <c r="Z24" t="b">
        <v>0</v>
      </c>
      <c r="AC24" s="1"/>
      <c r="AF24">
        <v>0</v>
      </c>
      <c r="AG24">
        <v>45</v>
      </c>
      <c r="AH24">
        <v>465</v>
      </c>
      <c r="AI24" s="2">
        <f>Table__192.168.3.138DYLAgingReport[[#This Row],[NetAmount]]-Table__192.168.3.138DYLAgingReport[[#This Row],[Paid]]</f>
        <v>-11252</v>
      </c>
    </row>
    <row r="25" spans="1:35">
      <c r="A25" t="s">
        <v>474</v>
      </c>
      <c r="B25" s="1">
        <v>40871</v>
      </c>
      <c r="C25" s="1">
        <v>40916</v>
      </c>
      <c r="D25" t="s">
        <v>189</v>
      </c>
      <c r="E25">
        <v>-1960</v>
      </c>
      <c r="F25">
        <v>-314</v>
      </c>
      <c r="G25">
        <v>0</v>
      </c>
      <c r="H25">
        <v>0</v>
      </c>
      <c r="I25">
        <v>420</v>
      </c>
      <c r="J25">
        <v>-2274</v>
      </c>
      <c r="L25" s="1">
        <v>40848</v>
      </c>
      <c r="N25" t="s">
        <v>36</v>
      </c>
      <c r="O25" t="s">
        <v>37</v>
      </c>
      <c r="P25" t="s">
        <v>326</v>
      </c>
      <c r="Q25" t="s">
        <v>39</v>
      </c>
      <c r="R25" t="s">
        <v>40</v>
      </c>
      <c r="S25">
        <v>0</v>
      </c>
      <c r="U25" t="s">
        <v>41</v>
      </c>
      <c r="V25" t="s">
        <v>42</v>
      </c>
      <c r="X25" t="s">
        <v>43</v>
      </c>
      <c r="Y25" t="b">
        <v>0</v>
      </c>
      <c r="Z25" t="b">
        <v>0</v>
      </c>
      <c r="AC25" s="1"/>
      <c r="AF25">
        <v>0</v>
      </c>
      <c r="AG25">
        <v>45</v>
      </c>
      <c r="AH25">
        <v>465</v>
      </c>
      <c r="AI25" s="2">
        <f>Table__192.168.3.138DYLAgingReport[[#This Row],[NetAmount]]-Table__192.168.3.138DYLAgingReport[[#This Row],[Paid]]</f>
        <v>-2274</v>
      </c>
    </row>
    <row r="26" spans="1:35">
      <c r="A26" t="s">
        <v>475</v>
      </c>
      <c r="B26" s="1">
        <v>40871</v>
      </c>
      <c r="C26" s="1">
        <v>40916</v>
      </c>
      <c r="D26" t="s">
        <v>208</v>
      </c>
      <c r="E26">
        <v>-10046</v>
      </c>
      <c r="F26">
        <v>-1607</v>
      </c>
      <c r="G26">
        <v>0</v>
      </c>
      <c r="H26">
        <v>0</v>
      </c>
      <c r="I26">
        <v>420</v>
      </c>
      <c r="J26">
        <v>-11653</v>
      </c>
      <c r="L26" s="1">
        <v>40848</v>
      </c>
      <c r="N26" t="s">
        <v>36</v>
      </c>
      <c r="O26" t="s">
        <v>37</v>
      </c>
      <c r="P26" t="s">
        <v>345</v>
      </c>
      <c r="Q26" t="s">
        <v>39</v>
      </c>
      <c r="R26" t="s">
        <v>40</v>
      </c>
      <c r="S26">
        <v>0</v>
      </c>
      <c r="U26" t="s">
        <v>41</v>
      </c>
      <c r="V26" t="s">
        <v>42</v>
      </c>
      <c r="X26" t="s">
        <v>43</v>
      </c>
      <c r="Y26" t="b">
        <v>0</v>
      </c>
      <c r="Z26" t="b">
        <v>0</v>
      </c>
      <c r="AB26" t="s">
        <v>476</v>
      </c>
      <c r="AC26" s="1">
        <v>40980</v>
      </c>
      <c r="AE26" t="s">
        <v>477</v>
      </c>
      <c r="AF26">
        <v>0</v>
      </c>
      <c r="AG26">
        <v>45</v>
      </c>
      <c r="AH26">
        <v>465</v>
      </c>
      <c r="AI26" s="2">
        <f>Table__192.168.3.138DYLAgingReport[[#This Row],[NetAmount]]-Table__192.168.3.138DYLAgingReport[[#This Row],[Paid]]</f>
        <v>-11653</v>
      </c>
    </row>
    <row r="27" spans="1:35">
      <c r="A27" t="s">
        <v>478</v>
      </c>
      <c r="B27" s="1">
        <v>40862</v>
      </c>
      <c r="C27" s="1">
        <v>40862</v>
      </c>
      <c r="D27" t="s">
        <v>214</v>
      </c>
      <c r="E27">
        <v>-2856</v>
      </c>
      <c r="F27">
        <v>0</v>
      </c>
      <c r="G27">
        <v>0</v>
      </c>
      <c r="H27">
        <v>0</v>
      </c>
      <c r="I27">
        <v>406</v>
      </c>
      <c r="J27">
        <v>-2856</v>
      </c>
      <c r="L27" s="1">
        <v>40862</v>
      </c>
      <c r="N27" t="s">
        <v>36</v>
      </c>
      <c r="O27" t="s">
        <v>37</v>
      </c>
      <c r="P27" t="s">
        <v>351</v>
      </c>
      <c r="Q27" t="s">
        <v>39</v>
      </c>
      <c r="R27" t="s">
        <v>40</v>
      </c>
      <c r="S27">
        <v>0</v>
      </c>
      <c r="U27" t="s">
        <v>41</v>
      </c>
      <c r="V27" t="s">
        <v>42</v>
      </c>
      <c r="X27" t="s">
        <v>43</v>
      </c>
      <c r="Y27" t="b">
        <v>0</v>
      </c>
      <c r="Z27" t="b">
        <v>0</v>
      </c>
      <c r="AC27" s="1"/>
      <c r="AF27">
        <v>0</v>
      </c>
      <c r="AG27">
        <v>45</v>
      </c>
      <c r="AH27">
        <v>451</v>
      </c>
      <c r="AI27" s="2">
        <f>Table__192.168.3.138DYLAgingReport[[#This Row],[NetAmount]]-Table__192.168.3.138DYLAgingReport[[#This Row],[Paid]]</f>
        <v>-2856</v>
      </c>
    </row>
    <row r="28" spans="1:35">
      <c r="A28" t="s">
        <v>479</v>
      </c>
      <c r="B28" s="1">
        <v>40871</v>
      </c>
      <c r="C28" s="1">
        <v>40916</v>
      </c>
      <c r="D28" t="s">
        <v>219</v>
      </c>
      <c r="E28">
        <v>-9694</v>
      </c>
      <c r="F28">
        <v>-1551</v>
      </c>
      <c r="G28">
        <v>0</v>
      </c>
      <c r="H28">
        <v>0</v>
      </c>
      <c r="I28">
        <v>420</v>
      </c>
      <c r="J28">
        <v>-11245</v>
      </c>
      <c r="L28" s="1">
        <v>40848</v>
      </c>
      <c r="N28" t="s">
        <v>36</v>
      </c>
      <c r="O28" t="s">
        <v>37</v>
      </c>
      <c r="P28" t="s">
        <v>356</v>
      </c>
      <c r="Q28" t="s">
        <v>39</v>
      </c>
      <c r="R28" t="s">
        <v>40</v>
      </c>
      <c r="S28">
        <v>0</v>
      </c>
      <c r="U28" t="s">
        <v>41</v>
      </c>
      <c r="V28" t="s">
        <v>42</v>
      </c>
      <c r="X28" t="s">
        <v>43</v>
      </c>
      <c r="Y28" t="b">
        <v>0</v>
      </c>
      <c r="Z28" t="b">
        <v>0</v>
      </c>
      <c r="AB28" t="s">
        <v>472</v>
      </c>
      <c r="AC28" s="1">
        <v>41227</v>
      </c>
      <c r="AF28">
        <v>0</v>
      </c>
      <c r="AG28">
        <v>45</v>
      </c>
      <c r="AH28">
        <v>465</v>
      </c>
      <c r="AI28" s="2">
        <f>Table__192.168.3.138DYLAgingReport[[#This Row],[NetAmount]]-Table__192.168.3.138DYLAgingReport[[#This Row],[Paid]]</f>
        <v>-11245</v>
      </c>
    </row>
    <row r="29" spans="1:35">
      <c r="A29" t="s">
        <v>480</v>
      </c>
      <c r="B29" s="1">
        <v>40869</v>
      </c>
      <c r="C29" s="1">
        <v>40884</v>
      </c>
      <c r="D29" t="s">
        <v>247</v>
      </c>
      <c r="E29">
        <v>-7556</v>
      </c>
      <c r="F29">
        <v>-1209</v>
      </c>
      <c r="G29">
        <v>0</v>
      </c>
      <c r="H29">
        <v>0</v>
      </c>
      <c r="I29">
        <v>420</v>
      </c>
      <c r="J29">
        <v>-8765</v>
      </c>
      <c r="L29" s="1">
        <v>40848</v>
      </c>
      <c r="N29" t="s">
        <v>36</v>
      </c>
      <c r="O29" t="s">
        <v>37</v>
      </c>
      <c r="P29" t="s">
        <v>384</v>
      </c>
      <c r="Q29" t="s">
        <v>39</v>
      </c>
      <c r="R29" t="s">
        <v>40</v>
      </c>
      <c r="S29">
        <v>0</v>
      </c>
      <c r="U29" t="s">
        <v>41</v>
      </c>
      <c r="V29" t="s">
        <v>42</v>
      </c>
      <c r="X29" t="s">
        <v>43</v>
      </c>
      <c r="Y29" t="b">
        <v>0</v>
      </c>
      <c r="Z29" t="b">
        <v>0</v>
      </c>
      <c r="AB29" t="s">
        <v>481</v>
      </c>
      <c r="AC29" s="1">
        <v>41101</v>
      </c>
      <c r="AE29" t="s">
        <v>482</v>
      </c>
      <c r="AF29">
        <v>0</v>
      </c>
      <c r="AG29">
        <v>45</v>
      </c>
      <c r="AH29">
        <v>465</v>
      </c>
      <c r="AI29" s="2">
        <f>Table__192.168.3.138DYLAgingReport[[#This Row],[NetAmount]]-Table__192.168.3.138DYLAgingReport[[#This Row],[Paid]]</f>
        <v>-8765</v>
      </c>
    </row>
    <row r="30" spans="1:35">
      <c r="A30" t="s">
        <v>483</v>
      </c>
      <c r="B30" s="1">
        <v>40899</v>
      </c>
      <c r="C30" s="1">
        <v>40944</v>
      </c>
      <c r="D30" t="s">
        <v>187</v>
      </c>
      <c r="E30">
        <v>-2763</v>
      </c>
      <c r="F30">
        <v>0</v>
      </c>
      <c r="G30">
        <v>0</v>
      </c>
      <c r="H30">
        <v>0</v>
      </c>
      <c r="I30">
        <v>382</v>
      </c>
      <c r="J30">
        <v>-2763</v>
      </c>
      <c r="L30" s="1">
        <v>40886</v>
      </c>
      <c r="N30" t="s">
        <v>36</v>
      </c>
      <c r="O30" t="s">
        <v>37</v>
      </c>
      <c r="P30" t="s">
        <v>324</v>
      </c>
      <c r="Q30" t="s">
        <v>39</v>
      </c>
      <c r="R30" t="s">
        <v>40</v>
      </c>
      <c r="S30">
        <v>0</v>
      </c>
      <c r="U30" t="s">
        <v>41</v>
      </c>
      <c r="V30" t="s">
        <v>42</v>
      </c>
      <c r="X30" t="s">
        <v>43</v>
      </c>
      <c r="Y30" t="b">
        <v>0</v>
      </c>
      <c r="Z30" t="b">
        <v>0</v>
      </c>
      <c r="AC30" s="1"/>
      <c r="AF30">
        <v>0</v>
      </c>
      <c r="AG30">
        <v>45</v>
      </c>
      <c r="AH30">
        <v>427</v>
      </c>
      <c r="AI30" s="2">
        <f>Table__192.168.3.138DYLAgingReport[[#This Row],[NetAmount]]-Table__192.168.3.138DYLAgingReport[[#This Row],[Paid]]</f>
        <v>-2763</v>
      </c>
    </row>
    <row r="31" spans="1:35">
      <c r="A31" t="s">
        <v>484</v>
      </c>
      <c r="B31" s="1">
        <v>40886</v>
      </c>
      <c r="C31" s="1">
        <v>40931</v>
      </c>
      <c r="D31" t="s">
        <v>201</v>
      </c>
      <c r="E31">
        <v>-112</v>
      </c>
      <c r="F31">
        <v>-18</v>
      </c>
      <c r="G31">
        <v>0</v>
      </c>
      <c r="H31">
        <v>0</v>
      </c>
      <c r="I31">
        <v>382</v>
      </c>
      <c r="J31">
        <v>-130</v>
      </c>
      <c r="L31" s="1">
        <v>40886</v>
      </c>
      <c r="N31" t="s">
        <v>36</v>
      </c>
      <c r="O31" t="s">
        <v>37</v>
      </c>
      <c r="P31" t="s">
        <v>338</v>
      </c>
      <c r="Q31" t="s">
        <v>39</v>
      </c>
      <c r="R31" t="s">
        <v>40</v>
      </c>
      <c r="S31">
        <v>0</v>
      </c>
      <c r="U31" t="s">
        <v>41</v>
      </c>
      <c r="V31" t="s">
        <v>42</v>
      </c>
      <c r="X31" t="s">
        <v>43</v>
      </c>
      <c r="Y31" t="b">
        <v>0</v>
      </c>
      <c r="Z31" t="b">
        <v>0</v>
      </c>
      <c r="AB31" t="s">
        <v>485</v>
      </c>
      <c r="AC31" s="1">
        <v>41236</v>
      </c>
      <c r="AF31">
        <v>0</v>
      </c>
      <c r="AG31">
        <v>45</v>
      </c>
      <c r="AH31">
        <v>427</v>
      </c>
      <c r="AI31" s="2">
        <f>Table__192.168.3.138DYLAgingReport[[#This Row],[NetAmount]]-Table__192.168.3.138DYLAgingReport[[#This Row],[Paid]]</f>
        <v>-130</v>
      </c>
    </row>
    <row r="32" spans="1:35">
      <c r="A32" t="s">
        <v>486</v>
      </c>
      <c r="B32" s="1">
        <v>40886</v>
      </c>
      <c r="C32" s="1">
        <v>40931</v>
      </c>
      <c r="D32" t="s">
        <v>219</v>
      </c>
      <c r="E32">
        <v>-37</v>
      </c>
      <c r="F32">
        <v>-6</v>
      </c>
      <c r="G32">
        <v>0</v>
      </c>
      <c r="H32">
        <v>0</v>
      </c>
      <c r="I32">
        <v>382</v>
      </c>
      <c r="J32">
        <v>-43</v>
      </c>
      <c r="L32" s="1">
        <v>40886</v>
      </c>
      <c r="N32" t="s">
        <v>36</v>
      </c>
      <c r="O32" t="s">
        <v>37</v>
      </c>
      <c r="P32" t="s">
        <v>356</v>
      </c>
      <c r="Q32" t="s">
        <v>39</v>
      </c>
      <c r="R32" t="s">
        <v>40</v>
      </c>
      <c r="S32">
        <v>0</v>
      </c>
      <c r="U32" t="s">
        <v>41</v>
      </c>
      <c r="V32" t="s">
        <v>42</v>
      </c>
      <c r="X32" t="s">
        <v>43</v>
      </c>
      <c r="Y32" t="b">
        <v>0</v>
      </c>
      <c r="Z32" t="b">
        <v>0</v>
      </c>
      <c r="AB32" t="s">
        <v>472</v>
      </c>
      <c r="AC32" s="1">
        <v>41227</v>
      </c>
      <c r="AF32">
        <v>0</v>
      </c>
      <c r="AG32">
        <v>45</v>
      </c>
      <c r="AH32">
        <v>427</v>
      </c>
      <c r="AI32" s="2">
        <f>Table__192.168.3.138DYLAgingReport[[#This Row],[NetAmount]]-Table__192.168.3.138DYLAgingReport[[#This Row],[Paid]]</f>
        <v>-43</v>
      </c>
    </row>
    <row r="33" spans="1:35">
      <c r="A33" t="s">
        <v>487</v>
      </c>
      <c r="B33" s="1">
        <v>40899</v>
      </c>
      <c r="C33" s="1">
        <v>40944</v>
      </c>
      <c r="D33" t="s">
        <v>187</v>
      </c>
      <c r="E33">
        <v>-300</v>
      </c>
      <c r="F33">
        <v>0</v>
      </c>
      <c r="G33">
        <v>0</v>
      </c>
      <c r="H33">
        <v>0</v>
      </c>
      <c r="I33">
        <v>382</v>
      </c>
      <c r="J33">
        <v>-300</v>
      </c>
      <c r="L33" s="1">
        <v>40886</v>
      </c>
      <c r="N33" t="s">
        <v>36</v>
      </c>
      <c r="O33" t="s">
        <v>37</v>
      </c>
      <c r="P33" t="s">
        <v>324</v>
      </c>
      <c r="Q33" t="s">
        <v>39</v>
      </c>
      <c r="R33" t="s">
        <v>40</v>
      </c>
      <c r="S33">
        <v>0</v>
      </c>
      <c r="U33" t="s">
        <v>41</v>
      </c>
      <c r="V33" t="s">
        <v>42</v>
      </c>
      <c r="X33" t="s">
        <v>43</v>
      </c>
      <c r="Y33" t="b">
        <v>0</v>
      </c>
      <c r="Z33" t="b">
        <v>0</v>
      </c>
      <c r="AC33" s="1"/>
      <c r="AF33">
        <v>0</v>
      </c>
      <c r="AG33">
        <v>45</v>
      </c>
      <c r="AH33">
        <v>427</v>
      </c>
      <c r="AI33" s="2">
        <f>Table__192.168.3.138DYLAgingReport[[#This Row],[NetAmount]]-Table__192.168.3.138DYLAgingReport[[#This Row],[Paid]]</f>
        <v>-300</v>
      </c>
    </row>
    <row r="34" spans="1:35">
      <c r="A34" t="s">
        <v>488</v>
      </c>
      <c r="B34" s="1">
        <v>40899</v>
      </c>
      <c r="C34" s="1">
        <v>40944</v>
      </c>
      <c r="D34" t="s">
        <v>189</v>
      </c>
      <c r="E34">
        <v>-4305</v>
      </c>
      <c r="F34">
        <v>-689</v>
      </c>
      <c r="G34">
        <v>0</v>
      </c>
      <c r="H34">
        <v>0</v>
      </c>
      <c r="I34">
        <v>390</v>
      </c>
      <c r="J34">
        <v>-4994</v>
      </c>
      <c r="L34" s="1">
        <v>40878</v>
      </c>
      <c r="N34" t="s">
        <v>36</v>
      </c>
      <c r="O34" t="s">
        <v>37</v>
      </c>
      <c r="P34" t="s">
        <v>326</v>
      </c>
      <c r="Q34" t="s">
        <v>39</v>
      </c>
      <c r="R34" t="s">
        <v>40</v>
      </c>
      <c r="S34">
        <v>0</v>
      </c>
      <c r="U34" t="s">
        <v>41</v>
      </c>
      <c r="V34" t="s">
        <v>42</v>
      </c>
      <c r="X34" t="s">
        <v>43</v>
      </c>
      <c r="Y34" t="b">
        <v>0</v>
      </c>
      <c r="Z34" t="b">
        <v>0</v>
      </c>
      <c r="AC34" s="1"/>
      <c r="AF34">
        <v>0</v>
      </c>
      <c r="AG34">
        <v>45</v>
      </c>
      <c r="AH34">
        <v>435</v>
      </c>
      <c r="AI34" s="2">
        <f>Table__192.168.3.138DYLAgingReport[[#This Row],[NetAmount]]-Table__192.168.3.138DYLAgingReport[[#This Row],[Paid]]</f>
        <v>-4994</v>
      </c>
    </row>
    <row r="35" spans="1:35">
      <c r="A35" t="s">
        <v>489</v>
      </c>
      <c r="B35" s="1">
        <v>40886</v>
      </c>
      <c r="C35" s="1">
        <v>40931</v>
      </c>
      <c r="D35" t="s">
        <v>215</v>
      </c>
      <c r="E35">
        <v>-29</v>
      </c>
      <c r="F35">
        <v>-5</v>
      </c>
      <c r="G35">
        <v>0</v>
      </c>
      <c r="H35">
        <v>0</v>
      </c>
      <c r="I35">
        <v>382</v>
      </c>
      <c r="J35">
        <v>-34</v>
      </c>
      <c r="L35" s="1">
        <v>40886</v>
      </c>
      <c r="N35" t="s">
        <v>36</v>
      </c>
      <c r="O35" t="s">
        <v>37</v>
      </c>
      <c r="P35" t="s">
        <v>352</v>
      </c>
      <c r="Q35" t="s">
        <v>39</v>
      </c>
      <c r="R35" t="s">
        <v>40</v>
      </c>
      <c r="S35">
        <v>0</v>
      </c>
      <c r="U35" t="s">
        <v>41</v>
      </c>
      <c r="V35" t="s">
        <v>42</v>
      </c>
      <c r="X35" t="s">
        <v>43</v>
      </c>
      <c r="Y35" t="b">
        <v>0</v>
      </c>
      <c r="Z35" t="b">
        <v>0</v>
      </c>
      <c r="AC35" s="1"/>
      <c r="AF35">
        <v>0</v>
      </c>
      <c r="AG35">
        <v>45</v>
      </c>
      <c r="AH35">
        <v>427</v>
      </c>
      <c r="AI35" s="2">
        <f>Table__192.168.3.138DYLAgingReport[[#This Row],[NetAmount]]-Table__192.168.3.138DYLAgingReport[[#This Row],[Paid]]</f>
        <v>-34</v>
      </c>
    </row>
    <row r="36" spans="1:35">
      <c r="A36" t="s">
        <v>490</v>
      </c>
      <c r="B36" s="1">
        <v>40899</v>
      </c>
      <c r="C36" s="1">
        <v>40944</v>
      </c>
      <c r="D36" t="s">
        <v>219</v>
      </c>
      <c r="E36">
        <v>-11293</v>
      </c>
      <c r="F36">
        <v>-1807</v>
      </c>
      <c r="G36">
        <v>0</v>
      </c>
      <c r="H36">
        <v>0</v>
      </c>
      <c r="I36">
        <v>390</v>
      </c>
      <c r="J36">
        <v>-13100</v>
      </c>
      <c r="L36" s="1">
        <v>40878</v>
      </c>
      <c r="N36" t="s">
        <v>36</v>
      </c>
      <c r="O36" t="s">
        <v>37</v>
      </c>
      <c r="P36" t="s">
        <v>356</v>
      </c>
      <c r="Q36" t="s">
        <v>39</v>
      </c>
      <c r="R36" t="s">
        <v>40</v>
      </c>
      <c r="S36">
        <v>0</v>
      </c>
      <c r="U36" t="s">
        <v>41</v>
      </c>
      <c r="V36" t="s">
        <v>42</v>
      </c>
      <c r="X36" t="s">
        <v>43</v>
      </c>
      <c r="Y36" t="b">
        <v>0</v>
      </c>
      <c r="Z36" t="b">
        <v>0</v>
      </c>
      <c r="AB36" t="s">
        <v>472</v>
      </c>
      <c r="AC36" s="1">
        <v>41227</v>
      </c>
      <c r="AF36">
        <v>0</v>
      </c>
      <c r="AG36">
        <v>45</v>
      </c>
      <c r="AH36">
        <v>435</v>
      </c>
      <c r="AI36" s="2">
        <f>Table__192.168.3.138DYLAgingReport[[#This Row],[NetAmount]]-Table__192.168.3.138DYLAgingReport[[#This Row],[Paid]]</f>
        <v>-13100</v>
      </c>
    </row>
    <row r="37" spans="1:35">
      <c r="A37" t="s">
        <v>491</v>
      </c>
      <c r="B37" s="1">
        <v>40886</v>
      </c>
      <c r="C37" s="1">
        <v>40901</v>
      </c>
      <c r="D37" t="s">
        <v>247</v>
      </c>
      <c r="E37">
        <v>-4576</v>
      </c>
      <c r="F37">
        <v>-732</v>
      </c>
      <c r="G37">
        <v>0</v>
      </c>
      <c r="H37">
        <v>0</v>
      </c>
      <c r="I37">
        <v>390</v>
      </c>
      <c r="J37">
        <v>-5308</v>
      </c>
      <c r="L37" s="1">
        <v>40878</v>
      </c>
      <c r="N37" t="s">
        <v>36</v>
      </c>
      <c r="O37" t="s">
        <v>37</v>
      </c>
      <c r="P37" t="s">
        <v>384</v>
      </c>
      <c r="Q37" t="s">
        <v>39</v>
      </c>
      <c r="R37" t="s">
        <v>40</v>
      </c>
      <c r="S37">
        <v>0</v>
      </c>
      <c r="U37" t="s">
        <v>41</v>
      </c>
      <c r="V37" t="s">
        <v>42</v>
      </c>
      <c r="X37" t="s">
        <v>43</v>
      </c>
      <c r="Y37" t="b">
        <v>0</v>
      </c>
      <c r="Z37" t="b">
        <v>0</v>
      </c>
      <c r="AB37" t="s">
        <v>481</v>
      </c>
      <c r="AC37" s="1">
        <v>41101</v>
      </c>
      <c r="AE37" t="s">
        <v>482</v>
      </c>
      <c r="AF37">
        <v>0</v>
      </c>
      <c r="AG37">
        <v>45</v>
      </c>
      <c r="AH37">
        <v>435</v>
      </c>
      <c r="AI37" s="2">
        <f>Table__192.168.3.138DYLAgingReport[[#This Row],[NetAmount]]-Table__192.168.3.138DYLAgingReport[[#This Row],[Paid]]</f>
        <v>-5308</v>
      </c>
    </row>
    <row r="38" spans="1:35">
      <c r="A38" t="s">
        <v>492</v>
      </c>
      <c r="B38" s="1">
        <v>40920</v>
      </c>
      <c r="C38" s="1">
        <v>40965</v>
      </c>
      <c r="D38" t="s">
        <v>176</v>
      </c>
      <c r="E38">
        <v>-180</v>
      </c>
      <c r="F38">
        <v>-29</v>
      </c>
      <c r="G38">
        <v>0</v>
      </c>
      <c r="H38">
        <v>0</v>
      </c>
      <c r="I38">
        <v>348</v>
      </c>
      <c r="J38">
        <v>-209</v>
      </c>
      <c r="L38" s="1">
        <v>40920</v>
      </c>
      <c r="M38" t="s">
        <v>493</v>
      </c>
      <c r="N38" t="s">
        <v>36</v>
      </c>
      <c r="O38" t="s">
        <v>37</v>
      </c>
      <c r="P38" t="s">
        <v>313</v>
      </c>
      <c r="Q38" t="s">
        <v>39</v>
      </c>
      <c r="R38" t="s">
        <v>40</v>
      </c>
      <c r="S38">
        <v>0</v>
      </c>
      <c r="U38" t="s">
        <v>41</v>
      </c>
      <c r="V38" t="s">
        <v>42</v>
      </c>
      <c r="W38" t="s">
        <v>494</v>
      </c>
      <c r="X38" t="s">
        <v>43</v>
      </c>
      <c r="Y38" t="b">
        <v>0</v>
      </c>
      <c r="Z38" t="b">
        <v>0</v>
      </c>
      <c r="AA38" t="b">
        <v>0</v>
      </c>
      <c r="AC38" s="1"/>
      <c r="AF38">
        <v>0</v>
      </c>
      <c r="AG38">
        <v>45</v>
      </c>
      <c r="AH38">
        <v>393</v>
      </c>
      <c r="AI38" s="2">
        <f>Table__192.168.3.138DYLAgingReport[[#This Row],[NetAmount]]-Table__192.168.3.138DYLAgingReport[[#This Row],[Paid]]</f>
        <v>-209</v>
      </c>
    </row>
    <row r="39" spans="1:35">
      <c r="A39" t="s">
        <v>495</v>
      </c>
      <c r="B39" s="1">
        <v>40920</v>
      </c>
      <c r="C39" s="1">
        <v>40965</v>
      </c>
      <c r="D39" t="s">
        <v>177</v>
      </c>
      <c r="E39">
        <v>-21</v>
      </c>
      <c r="F39">
        <v>-3</v>
      </c>
      <c r="G39">
        <v>0</v>
      </c>
      <c r="H39">
        <v>0</v>
      </c>
      <c r="I39">
        <v>348</v>
      </c>
      <c r="J39">
        <v>-24</v>
      </c>
      <c r="L39" s="1">
        <v>40920</v>
      </c>
      <c r="N39" t="s">
        <v>36</v>
      </c>
      <c r="O39" t="s">
        <v>37</v>
      </c>
      <c r="P39" t="s">
        <v>314</v>
      </c>
      <c r="Q39" t="s">
        <v>39</v>
      </c>
      <c r="R39" t="s">
        <v>40</v>
      </c>
      <c r="S39">
        <v>0</v>
      </c>
      <c r="U39" t="s">
        <v>41</v>
      </c>
      <c r="V39" t="s">
        <v>42</v>
      </c>
      <c r="X39" t="s">
        <v>43</v>
      </c>
      <c r="Y39" t="b">
        <v>0</v>
      </c>
      <c r="Z39" t="b">
        <v>0</v>
      </c>
      <c r="AC39" s="1"/>
      <c r="AF39">
        <v>0</v>
      </c>
      <c r="AG39">
        <v>45</v>
      </c>
      <c r="AH39">
        <v>393</v>
      </c>
      <c r="AI39" s="2">
        <f>Table__192.168.3.138DYLAgingReport[[#This Row],[NetAmount]]-Table__192.168.3.138DYLAgingReport[[#This Row],[Paid]]</f>
        <v>-24</v>
      </c>
    </row>
    <row r="40" spans="1:35">
      <c r="A40" t="s">
        <v>496</v>
      </c>
      <c r="B40" s="1">
        <v>40938</v>
      </c>
      <c r="C40" s="1">
        <v>40983</v>
      </c>
      <c r="D40" t="s">
        <v>187</v>
      </c>
      <c r="E40">
        <v>-5750</v>
      </c>
      <c r="F40">
        <v>0</v>
      </c>
      <c r="G40">
        <v>0</v>
      </c>
      <c r="H40">
        <v>0</v>
      </c>
      <c r="I40">
        <v>357</v>
      </c>
      <c r="J40">
        <v>-5750</v>
      </c>
      <c r="L40" s="1">
        <v>40911</v>
      </c>
      <c r="N40" t="s">
        <v>36</v>
      </c>
      <c r="O40" t="s">
        <v>37</v>
      </c>
      <c r="P40" t="s">
        <v>324</v>
      </c>
      <c r="Q40" t="s">
        <v>39</v>
      </c>
      <c r="R40" t="s">
        <v>40</v>
      </c>
      <c r="S40">
        <v>0</v>
      </c>
      <c r="U40" t="s">
        <v>41</v>
      </c>
      <c r="V40" t="s">
        <v>42</v>
      </c>
      <c r="X40" t="s">
        <v>43</v>
      </c>
      <c r="Y40" t="b">
        <v>0</v>
      </c>
      <c r="Z40" t="b">
        <v>0</v>
      </c>
      <c r="AC40" s="1"/>
      <c r="AF40">
        <v>0</v>
      </c>
      <c r="AG40">
        <v>45</v>
      </c>
      <c r="AH40">
        <v>402</v>
      </c>
      <c r="AI40" s="2">
        <f>Table__192.168.3.138DYLAgingReport[[#This Row],[NetAmount]]-Table__192.168.3.138DYLAgingReport[[#This Row],[Paid]]</f>
        <v>-5750</v>
      </c>
    </row>
    <row r="41" spans="1:35">
      <c r="A41" t="s">
        <v>497</v>
      </c>
      <c r="B41" s="1">
        <v>40913</v>
      </c>
      <c r="C41" s="1">
        <v>40958</v>
      </c>
      <c r="D41" t="s">
        <v>189</v>
      </c>
      <c r="E41">
        <v>-1925</v>
      </c>
      <c r="F41">
        <v>-308</v>
      </c>
      <c r="G41">
        <v>0</v>
      </c>
      <c r="H41">
        <v>0</v>
      </c>
      <c r="I41">
        <v>355</v>
      </c>
      <c r="J41">
        <v>-2233</v>
      </c>
      <c r="L41" s="1">
        <v>40913</v>
      </c>
      <c r="N41" t="s">
        <v>36</v>
      </c>
      <c r="O41" t="s">
        <v>37</v>
      </c>
      <c r="P41" t="s">
        <v>326</v>
      </c>
      <c r="Q41" t="s">
        <v>39</v>
      </c>
      <c r="R41" t="s">
        <v>40</v>
      </c>
      <c r="S41">
        <v>0</v>
      </c>
      <c r="U41" t="s">
        <v>41</v>
      </c>
      <c r="V41" t="s">
        <v>42</v>
      </c>
      <c r="X41" t="s">
        <v>43</v>
      </c>
      <c r="Y41" t="b">
        <v>0</v>
      </c>
      <c r="Z41" t="b">
        <v>0</v>
      </c>
      <c r="AC41" s="1"/>
      <c r="AF41">
        <v>0</v>
      </c>
      <c r="AG41">
        <v>45</v>
      </c>
      <c r="AH41">
        <v>400</v>
      </c>
      <c r="AI41" s="2">
        <f>Table__192.168.3.138DYLAgingReport[[#This Row],[NetAmount]]-Table__192.168.3.138DYLAgingReport[[#This Row],[Paid]]</f>
        <v>-2233</v>
      </c>
    </row>
    <row r="42" spans="1:35">
      <c r="A42" t="s">
        <v>498</v>
      </c>
      <c r="B42" s="1">
        <v>40920</v>
      </c>
      <c r="C42" s="1">
        <v>40965</v>
      </c>
      <c r="D42" t="s">
        <v>201</v>
      </c>
      <c r="E42">
        <v>-112</v>
      </c>
      <c r="F42">
        <v>-18</v>
      </c>
      <c r="G42">
        <v>0</v>
      </c>
      <c r="H42">
        <v>0</v>
      </c>
      <c r="I42">
        <v>348</v>
      </c>
      <c r="J42">
        <v>-130</v>
      </c>
      <c r="L42" s="1">
        <v>40920</v>
      </c>
      <c r="N42" t="s">
        <v>36</v>
      </c>
      <c r="O42" t="s">
        <v>37</v>
      </c>
      <c r="P42" t="s">
        <v>338</v>
      </c>
      <c r="Q42" t="s">
        <v>39</v>
      </c>
      <c r="R42" t="s">
        <v>40</v>
      </c>
      <c r="S42">
        <v>0</v>
      </c>
      <c r="U42" t="s">
        <v>41</v>
      </c>
      <c r="V42" t="s">
        <v>42</v>
      </c>
      <c r="X42" t="s">
        <v>43</v>
      </c>
      <c r="Y42" t="b">
        <v>0</v>
      </c>
      <c r="Z42" t="b">
        <v>0</v>
      </c>
      <c r="AB42" t="s">
        <v>485</v>
      </c>
      <c r="AC42" s="1">
        <v>41236</v>
      </c>
      <c r="AF42">
        <v>0</v>
      </c>
      <c r="AG42">
        <v>45</v>
      </c>
      <c r="AH42">
        <v>393</v>
      </c>
      <c r="AI42" s="2">
        <f>Table__192.168.3.138DYLAgingReport[[#This Row],[NetAmount]]-Table__192.168.3.138DYLAgingReport[[#This Row],[Paid]]</f>
        <v>-130</v>
      </c>
    </row>
    <row r="43" spans="1:35">
      <c r="A43" t="s">
        <v>499</v>
      </c>
      <c r="B43" s="1">
        <v>40921</v>
      </c>
      <c r="C43" s="1">
        <v>40966</v>
      </c>
      <c r="D43" t="s">
        <v>202</v>
      </c>
      <c r="E43">
        <v>-275</v>
      </c>
      <c r="F43">
        <v>-44</v>
      </c>
      <c r="G43">
        <v>0</v>
      </c>
      <c r="H43">
        <v>0</v>
      </c>
      <c r="I43">
        <v>347</v>
      </c>
      <c r="J43">
        <v>-319</v>
      </c>
      <c r="L43" s="1">
        <v>40921</v>
      </c>
      <c r="N43" t="s">
        <v>36</v>
      </c>
      <c r="O43" t="s">
        <v>37</v>
      </c>
      <c r="P43" t="s">
        <v>339</v>
      </c>
      <c r="Q43" t="s">
        <v>39</v>
      </c>
      <c r="R43" t="s">
        <v>40</v>
      </c>
      <c r="S43">
        <v>0</v>
      </c>
      <c r="U43" t="s">
        <v>41</v>
      </c>
      <c r="V43" t="s">
        <v>42</v>
      </c>
      <c r="X43" t="s">
        <v>43</v>
      </c>
      <c r="Y43" t="b">
        <v>0</v>
      </c>
      <c r="Z43" t="b">
        <v>0</v>
      </c>
      <c r="AC43" s="1"/>
      <c r="AF43">
        <v>0</v>
      </c>
      <c r="AG43">
        <v>45</v>
      </c>
      <c r="AH43">
        <v>392</v>
      </c>
      <c r="AI43" s="2">
        <f>Table__192.168.3.138DYLAgingReport[[#This Row],[NetAmount]]-Table__192.168.3.138DYLAgingReport[[#This Row],[Paid]]</f>
        <v>-319</v>
      </c>
    </row>
    <row r="44" spans="1:35">
      <c r="A44" t="s">
        <v>500</v>
      </c>
      <c r="B44" s="1">
        <v>40920</v>
      </c>
      <c r="C44" s="1">
        <v>40965</v>
      </c>
      <c r="D44" t="s">
        <v>215</v>
      </c>
      <c r="E44">
        <v>-89</v>
      </c>
      <c r="F44">
        <v>-14</v>
      </c>
      <c r="G44">
        <v>0</v>
      </c>
      <c r="H44">
        <v>0</v>
      </c>
      <c r="I44">
        <v>348</v>
      </c>
      <c r="J44">
        <v>-103</v>
      </c>
      <c r="L44" s="1">
        <v>40920</v>
      </c>
      <c r="N44" t="s">
        <v>36</v>
      </c>
      <c r="O44" t="s">
        <v>37</v>
      </c>
      <c r="P44" t="s">
        <v>352</v>
      </c>
      <c r="Q44" t="s">
        <v>39</v>
      </c>
      <c r="R44" t="s">
        <v>40</v>
      </c>
      <c r="S44">
        <v>0</v>
      </c>
      <c r="U44" t="s">
        <v>41</v>
      </c>
      <c r="V44" t="s">
        <v>42</v>
      </c>
      <c r="X44" t="s">
        <v>43</v>
      </c>
      <c r="Y44" t="b">
        <v>0</v>
      </c>
      <c r="Z44" t="b">
        <v>0</v>
      </c>
      <c r="AC44" s="1"/>
      <c r="AF44">
        <v>0</v>
      </c>
      <c r="AG44">
        <v>45</v>
      </c>
      <c r="AH44">
        <v>393</v>
      </c>
      <c r="AI44" s="2">
        <f>Table__192.168.3.138DYLAgingReport[[#This Row],[NetAmount]]-Table__192.168.3.138DYLAgingReport[[#This Row],[Paid]]</f>
        <v>-103</v>
      </c>
    </row>
    <row r="45" spans="1:35">
      <c r="A45" t="s">
        <v>501</v>
      </c>
      <c r="B45" s="1">
        <v>40927</v>
      </c>
      <c r="C45" s="1">
        <v>40972</v>
      </c>
      <c r="D45" t="s">
        <v>219</v>
      </c>
      <c r="E45">
        <v>-9319</v>
      </c>
      <c r="F45">
        <v>-1491</v>
      </c>
      <c r="G45">
        <v>0</v>
      </c>
      <c r="H45">
        <v>0</v>
      </c>
      <c r="I45">
        <v>357</v>
      </c>
      <c r="J45">
        <v>-10810</v>
      </c>
      <c r="L45" s="1">
        <v>40911</v>
      </c>
      <c r="N45" t="s">
        <v>36</v>
      </c>
      <c r="O45" t="s">
        <v>37</v>
      </c>
      <c r="P45" t="s">
        <v>356</v>
      </c>
      <c r="Q45" t="s">
        <v>39</v>
      </c>
      <c r="R45" t="s">
        <v>40</v>
      </c>
      <c r="S45">
        <v>0</v>
      </c>
      <c r="U45" t="s">
        <v>41</v>
      </c>
      <c r="V45" t="s">
        <v>42</v>
      </c>
      <c r="X45" t="s">
        <v>43</v>
      </c>
      <c r="Y45" t="b">
        <v>0</v>
      </c>
      <c r="Z45" t="b">
        <v>0</v>
      </c>
      <c r="AB45" t="s">
        <v>462</v>
      </c>
      <c r="AC45" s="1">
        <v>41115</v>
      </c>
      <c r="AF45">
        <v>0</v>
      </c>
      <c r="AG45">
        <v>45</v>
      </c>
      <c r="AH45">
        <v>402</v>
      </c>
      <c r="AI45" s="2">
        <f>Table__192.168.3.138DYLAgingReport[[#This Row],[NetAmount]]-Table__192.168.3.138DYLAgingReport[[#This Row],[Paid]]</f>
        <v>-10810</v>
      </c>
    </row>
    <row r="46" spans="1:35">
      <c r="A46" t="s">
        <v>502</v>
      </c>
      <c r="B46" s="1">
        <v>40927</v>
      </c>
      <c r="C46" s="1">
        <v>40972</v>
      </c>
      <c r="D46" t="s">
        <v>222</v>
      </c>
      <c r="E46">
        <v>-660</v>
      </c>
      <c r="F46">
        <v>-106</v>
      </c>
      <c r="G46">
        <v>0</v>
      </c>
      <c r="H46">
        <v>0</v>
      </c>
      <c r="I46">
        <v>341</v>
      </c>
      <c r="J46">
        <v>-766</v>
      </c>
      <c r="L46" s="1">
        <v>40927</v>
      </c>
      <c r="N46" t="s">
        <v>36</v>
      </c>
      <c r="O46" t="s">
        <v>37</v>
      </c>
      <c r="P46" t="s">
        <v>359</v>
      </c>
      <c r="Q46" t="s">
        <v>39</v>
      </c>
      <c r="R46" t="s">
        <v>40</v>
      </c>
      <c r="S46">
        <v>0</v>
      </c>
      <c r="U46" t="s">
        <v>41</v>
      </c>
      <c r="V46" t="s">
        <v>42</v>
      </c>
      <c r="X46" t="s">
        <v>43</v>
      </c>
      <c r="Y46" t="b">
        <v>0</v>
      </c>
      <c r="Z46" t="b">
        <v>0</v>
      </c>
      <c r="AC46" s="1"/>
      <c r="AF46">
        <v>0</v>
      </c>
      <c r="AG46">
        <v>45</v>
      </c>
      <c r="AH46">
        <v>386</v>
      </c>
      <c r="AI46" s="2">
        <f>Table__192.168.3.138DYLAgingReport[[#This Row],[NetAmount]]-Table__192.168.3.138DYLAgingReport[[#This Row],[Paid]]</f>
        <v>-766</v>
      </c>
    </row>
    <row r="47" spans="1:35">
      <c r="A47" t="s">
        <v>503</v>
      </c>
      <c r="B47" s="1">
        <v>40933</v>
      </c>
      <c r="C47" s="1">
        <v>40978</v>
      </c>
      <c r="D47" t="s">
        <v>227</v>
      </c>
      <c r="E47">
        <v>-32434</v>
      </c>
      <c r="F47">
        <v>-5189</v>
      </c>
      <c r="G47">
        <v>0</v>
      </c>
      <c r="H47">
        <v>0</v>
      </c>
      <c r="I47">
        <v>356</v>
      </c>
      <c r="J47">
        <v>-37623</v>
      </c>
      <c r="L47" s="1">
        <v>40912</v>
      </c>
      <c r="N47" t="s">
        <v>36</v>
      </c>
      <c r="O47" t="s">
        <v>37</v>
      </c>
      <c r="P47" t="s">
        <v>364</v>
      </c>
      <c r="Q47" t="s">
        <v>39</v>
      </c>
      <c r="R47" t="s">
        <v>40</v>
      </c>
      <c r="S47">
        <v>0</v>
      </c>
      <c r="U47" t="s">
        <v>41</v>
      </c>
      <c r="V47" t="s">
        <v>42</v>
      </c>
      <c r="X47" t="s">
        <v>43</v>
      </c>
      <c r="Y47" t="b">
        <v>0</v>
      </c>
      <c r="Z47" t="b">
        <v>0</v>
      </c>
      <c r="AB47" t="s">
        <v>504</v>
      </c>
      <c r="AC47" s="1">
        <v>41067</v>
      </c>
      <c r="AD47" t="s">
        <v>505</v>
      </c>
      <c r="AE47" t="s">
        <v>506</v>
      </c>
      <c r="AF47">
        <v>0</v>
      </c>
      <c r="AG47">
        <v>45</v>
      </c>
      <c r="AH47">
        <v>401</v>
      </c>
      <c r="AI47" s="2">
        <f>Table__192.168.3.138DYLAgingReport[[#This Row],[NetAmount]]-Table__192.168.3.138DYLAgingReport[[#This Row],[Paid]]</f>
        <v>-37623</v>
      </c>
    </row>
    <row r="48" spans="1:35">
      <c r="A48" t="s">
        <v>507</v>
      </c>
      <c r="B48" s="1">
        <v>40920</v>
      </c>
      <c r="C48" s="1">
        <v>40920</v>
      </c>
      <c r="D48" t="s">
        <v>236</v>
      </c>
      <c r="E48">
        <v>-564</v>
      </c>
      <c r="F48">
        <v>0</v>
      </c>
      <c r="G48">
        <v>0</v>
      </c>
      <c r="H48">
        <v>0</v>
      </c>
      <c r="I48">
        <v>348</v>
      </c>
      <c r="J48">
        <v>-564</v>
      </c>
      <c r="L48" s="1">
        <v>40920</v>
      </c>
      <c r="M48" t="s">
        <v>508</v>
      </c>
      <c r="N48" t="s">
        <v>36</v>
      </c>
      <c r="O48" t="s">
        <v>37</v>
      </c>
      <c r="P48" t="s">
        <v>373</v>
      </c>
      <c r="Q48" t="s">
        <v>39</v>
      </c>
      <c r="R48" t="s">
        <v>40</v>
      </c>
      <c r="S48">
        <v>0</v>
      </c>
      <c r="U48" t="s">
        <v>41</v>
      </c>
      <c r="V48" t="s">
        <v>42</v>
      </c>
      <c r="W48" t="s">
        <v>509</v>
      </c>
      <c r="X48" t="s">
        <v>43</v>
      </c>
      <c r="Y48" t="b">
        <v>0</v>
      </c>
      <c r="Z48" t="b">
        <v>0</v>
      </c>
      <c r="AA48" t="b">
        <v>0</v>
      </c>
      <c r="AC48" s="1"/>
      <c r="AF48">
        <v>0</v>
      </c>
      <c r="AG48">
        <v>45</v>
      </c>
      <c r="AH48">
        <v>393</v>
      </c>
      <c r="AI48" s="2">
        <f>Table__192.168.3.138DYLAgingReport[[#This Row],[NetAmount]]-Table__192.168.3.138DYLAgingReport[[#This Row],[Paid]]</f>
        <v>-564</v>
      </c>
    </row>
    <row r="49" spans="1:35">
      <c r="A49" t="s">
        <v>510</v>
      </c>
      <c r="B49" s="1">
        <v>40926</v>
      </c>
      <c r="C49" s="1">
        <v>40971</v>
      </c>
      <c r="D49" t="s">
        <v>239</v>
      </c>
      <c r="E49">
        <v>-94497</v>
      </c>
      <c r="F49">
        <v>-15120</v>
      </c>
      <c r="G49">
        <v>0</v>
      </c>
      <c r="H49">
        <v>0</v>
      </c>
      <c r="I49">
        <v>357</v>
      </c>
      <c r="J49">
        <v>-109617</v>
      </c>
      <c r="L49" s="1">
        <v>40911</v>
      </c>
      <c r="N49" t="s">
        <v>36</v>
      </c>
      <c r="O49" t="s">
        <v>37</v>
      </c>
      <c r="P49" t="s">
        <v>376</v>
      </c>
      <c r="Q49" t="s">
        <v>39</v>
      </c>
      <c r="R49" t="s">
        <v>40</v>
      </c>
      <c r="S49">
        <v>0</v>
      </c>
      <c r="U49" t="s">
        <v>41</v>
      </c>
      <c r="V49" t="s">
        <v>42</v>
      </c>
      <c r="X49" t="s">
        <v>43</v>
      </c>
      <c r="Y49" t="b">
        <v>0</v>
      </c>
      <c r="Z49" t="b">
        <v>0</v>
      </c>
      <c r="AB49" t="s">
        <v>511</v>
      </c>
      <c r="AC49" s="1"/>
      <c r="AF49">
        <v>0</v>
      </c>
      <c r="AG49">
        <v>45</v>
      </c>
      <c r="AH49">
        <v>402</v>
      </c>
      <c r="AI49" s="2">
        <f>Table__192.168.3.138DYLAgingReport[[#This Row],[NetAmount]]-Table__192.168.3.138DYLAgingReport[[#This Row],[Paid]]</f>
        <v>-109617</v>
      </c>
    </row>
    <row r="50" spans="1:35">
      <c r="A50" t="s">
        <v>512</v>
      </c>
      <c r="B50" s="1">
        <v>40927</v>
      </c>
      <c r="C50" s="1">
        <v>40942</v>
      </c>
      <c r="D50" t="s">
        <v>244</v>
      </c>
      <c r="E50">
        <v>-1484</v>
      </c>
      <c r="F50">
        <v>-247</v>
      </c>
      <c r="G50">
        <v>0</v>
      </c>
      <c r="H50">
        <v>0</v>
      </c>
      <c r="I50">
        <v>348</v>
      </c>
      <c r="J50">
        <v>-1731</v>
      </c>
      <c r="L50" s="1">
        <v>40920</v>
      </c>
      <c r="N50" t="s">
        <v>36</v>
      </c>
      <c r="O50" t="s">
        <v>37</v>
      </c>
      <c r="P50" t="s">
        <v>381</v>
      </c>
      <c r="Q50" t="s">
        <v>39</v>
      </c>
      <c r="R50" t="s">
        <v>40</v>
      </c>
      <c r="S50">
        <v>0</v>
      </c>
      <c r="U50" t="s">
        <v>41</v>
      </c>
      <c r="V50" t="s">
        <v>42</v>
      </c>
      <c r="X50" t="s">
        <v>43</v>
      </c>
      <c r="Y50" t="b">
        <v>0</v>
      </c>
      <c r="Z50" t="b">
        <v>0</v>
      </c>
      <c r="AC50" s="1"/>
      <c r="AF50">
        <v>0</v>
      </c>
      <c r="AG50">
        <v>45</v>
      </c>
      <c r="AH50">
        <v>393</v>
      </c>
      <c r="AI50" s="2">
        <f>Table__192.168.3.138DYLAgingReport[[#This Row],[NetAmount]]-Table__192.168.3.138DYLAgingReport[[#This Row],[Paid]]</f>
        <v>-1731</v>
      </c>
    </row>
    <row r="51" spans="1:35">
      <c r="A51" t="s">
        <v>513</v>
      </c>
      <c r="B51" s="1">
        <v>40920</v>
      </c>
      <c r="C51" s="1">
        <v>40950</v>
      </c>
      <c r="D51" t="s">
        <v>246</v>
      </c>
      <c r="E51">
        <v>-3150</v>
      </c>
      <c r="F51">
        <v>-504</v>
      </c>
      <c r="G51">
        <v>0</v>
      </c>
      <c r="H51">
        <v>0</v>
      </c>
      <c r="I51">
        <v>348</v>
      </c>
      <c r="J51">
        <v>-3654</v>
      </c>
      <c r="L51" s="1">
        <v>40920</v>
      </c>
      <c r="N51" t="s">
        <v>36</v>
      </c>
      <c r="O51" t="s">
        <v>37</v>
      </c>
      <c r="P51" t="s">
        <v>383</v>
      </c>
      <c r="Q51" t="s">
        <v>39</v>
      </c>
      <c r="R51" t="s">
        <v>40</v>
      </c>
      <c r="S51">
        <v>0</v>
      </c>
      <c r="U51" t="s">
        <v>41</v>
      </c>
      <c r="V51" t="s">
        <v>42</v>
      </c>
      <c r="X51" t="s">
        <v>43</v>
      </c>
      <c r="Y51" t="b">
        <v>0</v>
      </c>
      <c r="Z51" t="b">
        <v>0</v>
      </c>
      <c r="AB51" t="s">
        <v>514</v>
      </c>
      <c r="AC51" s="1">
        <v>40982</v>
      </c>
      <c r="AD51" t="s">
        <v>515</v>
      </c>
      <c r="AE51" t="s">
        <v>516</v>
      </c>
      <c r="AF51">
        <v>0</v>
      </c>
      <c r="AG51">
        <v>45</v>
      </c>
      <c r="AH51">
        <v>393</v>
      </c>
      <c r="AI51" s="2">
        <f>Table__192.168.3.138DYLAgingReport[[#This Row],[NetAmount]]-Table__192.168.3.138DYLAgingReport[[#This Row],[Paid]]</f>
        <v>-3654</v>
      </c>
    </row>
    <row r="52" spans="1:35">
      <c r="A52" t="s">
        <v>517</v>
      </c>
      <c r="B52" s="1">
        <v>40920</v>
      </c>
      <c r="C52" s="1">
        <v>40935</v>
      </c>
      <c r="D52" t="s">
        <v>247</v>
      </c>
      <c r="E52">
        <v>-480</v>
      </c>
      <c r="F52">
        <v>-77</v>
      </c>
      <c r="G52">
        <v>0</v>
      </c>
      <c r="H52">
        <v>0</v>
      </c>
      <c r="I52">
        <v>348</v>
      </c>
      <c r="J52">
        <v>-557</v>
      </c>
      <c r="L52" s="1">
        <v>40920</v>
      </c>
      <c r="N52" t="s">
        <v>36</v>
      </c>
      <c r="O52" t="s">
        <v>37</v>
      </c>
      <c r="P52" t="s">
        <v>384</v>
      </c>
      <c r="Q52" t="s">
        <v>39</v>
      </c>
      <c r="R52" t="s">
        <v>40</v>
      </c>
      <c r="S52">
        <v>0</v>
      </c>
      <c r="U52" t="s">
        <v>41</v>
      </c>
      <c r="V52" t="s">
        <v>42</v>
      </c>
      <c r="X52" t="s">
        <v>43</v>
      </c>
      <c r="Y52" t="b">
        <v>0</v>
      </c>
      <c r="Z52" t="b">
        <v>0</v>
      </c>
      <c r="AB52" t="s">
        <v>481</v>
      </c>
      <c r="AC52" s="1">
        <v>41101</v>
      </c>
      <c r="AE52" t="s">
        <v>482</v>
      </c>
      <c r="AF52">
        <v>0</v>
      </c>
      <c r="AG52">
        <v>45</v>
      </c>
      <c r="AH52">
        <v>393</v>
      </c>
      <c r="AI52" s="2">
        <f>Table__192.168.3.138DYLAgingReport[[#This Row],[NetAmount]]-Table__192.168.3.138DYLAgingReport[[#This Row],[Paid]]</f>
        <v>-557</v>
      </c>
    </row>
    <row r="53" spans="1:35">
      <c r="A53" t="s">
        <v>518</v>
      </c>
      <c r="B53" s="1">
        <v>40920</v>
      </c>
      <c r="C53" s="1">
        <v>40965</v>
      </c>
      <c r="D53" t="s">
        <v>252</v>
      </c>
      <c r="E53">
        <v>-450</v>
      </c>
      <c r="F53">
        <v>-76</v>
      </c>
      <c r="G53">
        <v>0</v>
      </c>
      <c r="H53">
        <v>0</v>
      </c>
      <c r="I53">
        <v>348</v>
      </c>
      <c r="J53">
        <v>-526</v>
      </c>
      <c r="L53" s="1">
        <v>40920</v>
      </c>
      <c r="N53" t="s">
        <v>36</v>
      </c>
      <c r="O53" t="s">
        <v>37</v>
      </c>
      <c r="P53" t="s">
        <v>389</v>
      </c>
      <c r="Q53" t="s">
        <v>39</v>
      </c>
      <c r="R53" t="s">
        <v>40</v>
      </c>
      <c r="S53">
        <v>0</v>
      </c>
      <c r="U53" t="s">
        <v>41</v>
      </c>
      <c r="V53" t="s">
        <v>42</v>
      </c>
      <c r="X53" t="s">
        <v>43</v>
      </c>
      <c r="Y53" t="b">
        <v>0</v>
      </c>
      <c r="Z53" t="b">
        <v>0</v>
      </c>
      <c r="AC53" s="1"/>
      <c r="AF53">
        <v>0</v>
      </c>
      <c r="AG53">
        <v>45</v>
      </c>
      <c r="AH53">
        <v>393</v>
      </c>
      <c r="AI53" s="2">
        <f>Table__192.168.3.138DYLAgingReport[[#This Row],[NetAmount]]-Table__192.168.3.138DYLAgingReport[[#This Row],[Paid]]</f>
        <v>-526</v>
      </c>
    </row>
    <row r="54" spans="1:35">
      <c r="A54" t="s">
        <v>519</v>
      </c>
      <c r="B54" s="1">
        <v>40933</v>
      </c>
      <c r="C54" s="1">
        <v>40978</v>
      </c>
      <c r="D54" t="s">
        <v>264</v>
      </c>
      <c r="E54">
        <v>-103600</v>
      </c>
      <c r="F54">
        <v>-16576</v>
      </c>
      <c r="G54">
        <v>0</v>
      </c>
      <c r="H54">
        <v>0</v>
      </c>
      <c r="I54">
        <v>350</v>
      </c>
      <c r="J54">
        <v>-120176</v>
      </c>
      <c r="L54" s="1">
        <v>40918</v>
      </c>
      <c r="N54" t="s">
        <v>36</v>
      </c>
      <c r="O54" t="s">
        <v>37</v>
      </c>
      <c r="P54" t="s">
        <v>401</v>
      </c>
      <c r="Q54" t="s">
        <v>39</v>
      </c>
      <c r="R54" t="s">
        <v>40</v>
      </c>
      <c r="S54">
        <v>0</v>
      </c>
      <c r="U54" t="s">
        <v>41</v>
      </c>
      <c r="V54" t="s">
        <v>42</v>
      </c>
      <c r="X54" t="s">
        <v>43</v>
      </c>
      <c r="Y54" t="b">
        <v>0</v>
      </c>
      <c r="Z54" t="b">
        <v>0</v>
      </c>
      <c r="AB54" t="s">
        <v>520</v>
      </c>
      <c r="AC54" s="1"/>
      <c r="AF54">
        <v>0</v>
      </c>
      <c r="AG54">
        <v>45</v>
      </c>
      <c r="AH54">
        <v>395</v>
      </c>
      <c r="AI54" s="2">
        <f>Table__192.168.3.138DYLAgingReport[[#This Row],[NetAmount]]-Table__192.168.3.138DYLAgingReport[[#This Row],[Paid]]</f>
        <v>-120176</v>
      </c>
    </row>
    <row r="55" spans="1:35">
      <c r="A55" t="s">
        <v>521</v>
      </c>
      <c r="B55" s="1">
        <v>40918</v>
      </c>
      <c r="C55" s="1">
        <v>40918</v>
      </c>
      <c r="D55" t="s">
        <v>286</v>
      </c>
      <c r="E55">
        <v>-2536</v>
      </c>
      <c r="F55">
        <v>0</v>
      </c>
      <c r="G55">
        <v>0</v>
      </c>
      <c r="H55">
        <v>0</v>
      </c>
      <c r="I55">
        <v>350</v>
      </c>
      <c r="J55">
        <v>-2536</v>
      </c>
      <c r="L55" s="1">
        <v>40918</v>
      </c>
      <c r="N55" t="s">
        <v>36</v>
      </c>
      <c r="O55" t="s">
        <v>37</v>
      </c>
      <c r="P55" t="s">
        <v>423</v>
      </c>
      <c r="Q55" t="s">
        <v>39</v>
      </c>
      <c r="R55" t="s">
        <v>40</v>
      </c>
      <c r="S55">
        <v>0</v>
      </c>
      <c r="U55" t="s">
        <v>41</v>
      </c>
      <c r="V55" t="s">
        <v>42</v>
      </c>
      <c r="X55" t="s">
        <v>43</v>
      </c>
      <c r="Y55" t="b">
        <v>0</v>
      </c>
      <c r="Z55" t="b">
        <v>0</v>
      </c>
      <c r="AC55" s="1"/>
      <c r="AF55">
        <v>0</v>
      </c>
      <c r="AG55">
        <v>45</v>
      </c>
      <c r="AH55">
        <v>395</v>
      </c>
      <c r="AI55" s="2">
        <f>Table__192.168.3.138DYLAgingReport[[#This Row],[NetAmount]]-Table__192.168.3.138DYLAgingReport[[#This Row],[Paid]]</f>
        <v>-2536</v>
      </c>
    </row>
    <row r="56" spans="1:35">
      <c r="A56" t="s">
        <v>522</v>
      </c>
      <c r="B56" s="1">
        <v>40938</v>
      </c>
      <c r="C56" s="1">
        <v>40983</v>
      </c>
      <c r="D56" t="s">
        <v>222</v>
      </c>
      <c r="E56">
        <v>-572</v>
      </c>
      <c r="F56">
        <v>-92</v>
      </c>
      <c r="G56">
        <v>0</v>
      </c>
      <c r="H56">
        <v>0</v>
      </c>
      <c r="I56">
        <v>330</v>
      </c>
      <c r="J56">
        <v>-664</v>
      </c>
      <c r="L56" s="1">
        <v>40938</v>
      </c>
      <c r="N56" t="s">
        <v>36</v>
      </c>
      <c r="O56" t="s">
        <v>37</v>
      </c>
      <c r="P56" t="s">
        <v>359</v>
      </c>
      <c r="Q56" t="s">
        <v>39</v>
      </c>
      <c r="R56" t="s">
        <v>40</v>
      </c>
      <c r="S56">
        <v>0</v>
      </c>
      <c r="U56" t="s">
        <v>41</v>
      </c>
      <c r="V56" t="s">
        <v>42</v>
      </c>
      <c r="X56" t="s">
        <v>43</v>
      </c>
      <c r="Y56" t="b">
        <v>0</v>
      </c>
      <c r="Z56" t="b">
        <v>0</v>
      </c>
      <c r="AC56" s="1"/>
      <c r="AF56">
        <v>0</v>
      </c>
      <c r="AG56">
        <v>45</v>
      </c>
      <c r="AH56">
        <v>375</v>
      </c>
      <c r="AI56" s="2">
        <f>Table__192.168.3.138DYLAgingReport[[#This Row],[NetAmount]]-Table__192.168.3.138DYLAgingReport[[#This Row],[Paid]]</f>
        <v>-664</v>
      </c>
    </row>
    <row r="57" spans="1:35">
      <c r="A57" t="s">
        <v>523</v>
      </c>
      <c r="B57" s="1">
        <v>40954</v>
      </c>
      <c r="C57" s="1">
        <v>40999</v>
      </c>
      <c r="D57" t="s">
        <v>187</v>
      </c>
      <c r="E57">
        <v>-120</v>
      </c>
      <c r="F57">
        <v>0</v>
      </c>
      <c r="G57">
        <v>0</v>
      </c>
      <c r="H57">
        <v>0</v>
      </c>
      <c r="I57">
        <v>314</v>
      </c>
      <c r="J57">
        <v>-120</v>
      </c>
      <c r="L57" s="1">
        <v>40954</v>
      </c>
      <c r="N57" t="s">
        <v>36</v>
      </c>
      <c r="O57" t="s">
        <v>37</v>
      </c>
      <c r="P57" t="s">
        <v>324</v>
      </c>
      <c r="Q57" t="s">
        <v>39</v>
      </c>
      <c r="R57" t="s">
        <v>40</v>
      </c>
      <c r="S57">
        <v>0</v>
      </c>
      <c r="U57" t="s">
        <v>41</v>
      </c>
      <c r="V57" t="s">
        <v>42</v>
      </c>
      <c r="X57" t="s">
        <v>43</v>
      </c>
      <c r="Y57" t="b">
        <v>0</v>
      </c>
      <c r="Z57" t="b">
        <v>0</v>
      </c>
      <c r="AC57" s="1"/>
      <c r="AF57">
        <v>0</v>
      </c>
      <c r="AG57">
        <v>45</v>
      </c>
      <c r="AH57">
        <v>359</v>
      </c>
      <c r="AI57" s="2">
        <f>Table__192.168.3.138DYLAgingReport[[#This Row],[NetAmount]]-Table__192.168.3.138DYLAgingReport[[#This Row],[Paid]]</f>
        <v>-120</v>
      </c>
    </row>
    <row r="58" spans="1:35">
      <c r="A58" t="s">
        <v>524</v>
      </c>
      <c r="B58" s="1">
        <v>40960</v>
      </c>
      <c r="C58" s="1">
        <v>41005</v>
      </c>
      <c r="D58" t="s">
        <v>202</v>
      </c>
      <c r="E58">
        <v>-405</v>
      </c>
      <c r="F58">
        <v>-65</v>
      </c>
      <c r="G58">
        <v>0</v>
      </c>
      <c r="H58">
        <v>0</v>
      </c>
      <c r="I58">
        <v>322</v>
      </c>
      <c r="J58">
        <v>-470</v>
      </c>
      <c r="L58" s="1">
        <v>40946</v>
      </c>
      <c r="N58" t="s">
        <v>36</v>
      </c>
      <c r="O58" t="s">
        <v>37</v>
      </c>
      <c r="P58" t="s">
        <v>339</v>
      </c>
      <c r="Q58" t="s">
        <v>39</v>
      </c>
      <c r="R58" t="s">
        <v>40</v>
      </c>
      <c r="S58">
        <v>0</v>
      </c>
      <c r="U58" t="s">
        <v>41</v>
      </c>
      <c r="V58" t="s">
        <v>42</v>
      </c>
      <c r="X58" t="s">
        <v>43</v>
      </c>
      <c r="Y58" t="b">
        <v>0</v>
      </c>
      <c r="Z58" t="b">
        <v>0</v>
      </c>
      <c r="AC58" s="1"/>
      <c r="AF58">
        <v>0</v>
      </c>
      <c r="AG58">
        <v>45</v>
      </c>
      <c r="AH58">
        <v>367</v>
      </c>
      <c r="AI58" s="2">
        <f>Table__192.168.3.138DYLAgingReport[[#This Row],[NetAmount]]-Table__192.168.3.138DYLAgingReport[[#This Row],[Paid]]</f>
        <v>-470</v>
      </c>
    </row>
    <row r="59" spans="1:35">
      <c r="A59" t="s">
        <v>525</v>
      </c>
      <c r="B59" s="1">
        <v>40960</v>
      </c>
      <c r="C59" s="1">
        <v>41005</v>
      </c>
      <c r="D59" t="s">
        <v>215</v>
      </c>
      <c r="E59">
        <v>-86</v>
      </c>
      <c r="F59">
        <v>-14</v>
      </c>
      <c r="G59">
        <v>0</v>
      </c>
      <c r="H59">
        <v>0</v>
      </c>
      <c r="I59">
        <v>320</v>
      </c>
      <c r="J59">
        <v>-100</v>
      </c>
      <c r="L59" s="1">
        <v>40948</v>
      </c>
      <c r="N59" t="s">
        <v>36</v>
      </c>
      <c r="O59" t="s">
        <v>37</v>
      </c>
      <c r="P59" t="s">
        <v>352</v>
      </c>
      <c r="Q59" t="s">
        <v>39</v>
      </c>
      <c r="R59" t="s">
        <v>40</v>
      </c>
      <c r="S59">
        <v>0</v>
      </c>
      <c r="U59" t="s">
        <v>41</v>
      </c>
      <c r="V59" t="s">
        <v>42</v>
      </c>
      <c r="X59" t="s">
        <v>43</v>
      </c>
      <c r="Y59" t="b">
        <v>0</v>
      </c>
      <c r="Z59" t="b">
        <v>0</v>
      </c>
      <c r="AC59" s="1"/>
      <c r="AF59">
        <v>0</v>
      </c>
      <c r="AG59">
        <v>45</v>
      </c>
      <c r="AH59">
        <v>365</v>
      </c>
      <c r="AI59" s="2">
        <f>Table__192.168.3.138DYLAgingReport[[#This Row],[NetAmount]]-Table__192.168.3.138DYLAgingReport[[#This Row],[Paid]]</f>
        <v>-100</v>
      </c>
    </row>
    <row r="60" spans="1:35">
      <c r="A60" t="s">
        <v>526</v>
      </c>
      <c r="B60" s="1">
        <v>40960</v>
      </c>
      <c r="C60" s="1">
        <v>41005</v>
      </c>
      <c r="D60" t="s">
        <v>219</v>
      </c>
      <c r="E60">
        <v>-1539</v>
      </c>
      <c r="F60">
        <v>-246</v>
      </c>
      <c r="G60">
        <v>0</v>
      </c>
      <c r="H60">
        <v>0</v>
      </c>
      <c r="I60">
        <v>320</v>
      </c>
      <c r="J60">
        <v>-1785</v>
      </c>
      <c r="L60" s="1">
        <v>40948</v>
      </c>
      <c r="N60" t="s">
        <v>36</v>
      </c>
      <c r="O60" t="s">
        <v>37</v>
      </c>
      <c r="P60" t="s">
        <v>356</v>
      </c>
      <c r="Q60" t="s">
        <v>39</v>
      </c>
      <c r="R60" t="s">
        <v>40</v>
      </c>
      <c r="S60">
        <v>0</v>
      </c>
      <c r="U60" t="s">
        <v>41</v>
      </c>
      <c r="V60" t="s">
        <v>42</v>
      </c>
      <c r="X60" t="s">
        <v>43</v>
      </c>
      <c r="Y60" t="b">
        <v>0</v>
      </c>
      <c r="Z60" t="b">
        <v>0</v>
      </c>
      <c r="AB60" t="s">
        <v>462</v>
      </c>
      <c r="AC60" s="1">
        <v>41115</v>
      </c>
      <c r="AF60">
        <v>0</v>
      </c>
      <c r="AG60">
        <v>45</v>
      </c>
      <c r="AH60">
        <v>365</v>
      </c>
      <c r="AI60" s="2">
        <f>Table__192.168.3.138DYLAgingReport[[#This Row],[NetAmount]]-Table__192.168.3.138DYLAgingReport[[#This Row],[Paid]]</f>
        <v>-1785</v>
      </c>
    </row>
    <row r="61" spans="1:35">
      <c r="A61" t="s">
        <v>527</v>
      </c>
      <c r="B61" s="1">
        <v>40955</v>
      </c>
      <c r="C61" s="1">
        <v>41000</v>
      </c>
      <c r="D61" t="s">
        <v>220</v>
      </c>
      <c r="E61">
        <v>-287</v>
      </c>
      <c r="F61">
        <v>-46</v>
      </c>
      <c r="G61">
        <v>0</v>
      </c>
      <c r="H61">
        <v>0</v>
      </c>
      <c r="I61">
        <v>322</v>
      </c>
      <c r="J61">
        <v>-333</v>
      </c>
      <c r="L61" s="1">
        <v>40946</v>
      </c>
      <c r="N61" t="s">
        <v>36</v>
      </c>
      <c r="O61" t="s">
        <v>37</v>
      </c>
      <c r="P61" t="s">
        <v>357</v>
      </c>
      <c r="Q61" t="s">
        <v>39</v>
      </c>
      <c r="R61" t="s">
        <v>40</v>
      </c>
      <c r="S61">
        <v>0</v>
      </c>
      <c r="U61" t="s">
        <v>41</v>
      </c>
      <c r="V61" t="s">
        <v>42</v>
      </c>
      <c r="X61" t="s">
        <v>43</v>
      </c>
      <c r="Y61" t="b">
        <v>0</v>
      </c>
      <c r="Z61" t="b">
        <v>0</v>
      </c>
      <c r="AB61" t="s">
        <v>528</v>
      </c>
      <c r="AC61" s="1">
        <v>41225</v>
      </c>
      <c r="AE61" t="s">
        <v>529</v>
      </c>
      <c r="AF61">
        <v>0</v>
      </c>
      <c r="AG61">
        <v>45</v>
      </c>
      <c r="AH61">
        <v>367</v>
      </c>
      <c r="AI61" s="2">
        <f>Table__192.168.3.138DYLAgingReport[[#This Row],[NetAmount]]-Table__192.168.3.138DYLAgingReport[[#This Row],[Paid]]</f>
        <v>-333</v>
      </c>
    </row>
    <row r="62" spans="1:35">
      <c r="A62" t="s">
        <v>530</v>
      </c>
      <c r="B62" s="1">
        <v>40946</v>
      </c>
      <c r="C62" s="1">
        <v>40946</v>
      </c>
      <c r="D62" t="s">
        <v>236</v>
      </c>
      <c r="E62">
        <v>-96</v>
      </c>
      <c r="F62">
        <v>0</v>
      </c>
      <c r="G62">
        <v>0</v>
      </c>
      <c r="H62">
        <v>0</v>
      </c>
      <c r="I62">
        <v>322</v>
      </c>
      <c r="J62">
        <v>-96</v>
      </c>
      <c r="L62" s="1">
        <v>40946</v>
      </c>
      <c r="M62" t="s">
        <v>531</v>
      </c>
      <c r="N62" t="s">
        <v>36</v>
      </c>
      <c r="O62" t="s">
        <v>37</v>
      </c>
      <c r="P62" t="s">
        <v>373</v>
      </c>
      <c r="Q62" t="s">
        <v>39</v>
      </c>
      <c r="R62" t="s">
        <v>40</v>
      </c>
      <c r="S62">
        <v>0</v>
      </c>
      <c r="U62" t="s">
        <v>41</v>
      </c>
      <c r="V62" t="s">
        <v>42</v>
      </c>
      <c r="W62" t="s">
        <v>509</v>
      </c>
      <c r="X62" t="s">
        <v>43</v>
      </c>
      <c r="Y62" t="b">
        <v>0</v>
      </c>
      <c r="Z62" t="b">
        <v>0</v>
      </c>
      <c r="AA62" t="b">
        <v>0</v>
      </c>
      <c r="AC62" s="1"/>
      <c r="AF62">
        <v>0</v>
      </c>
      <c r="AG62">
        <v>45</v>
      </c>
      <c r="AH62">
        <v>367</v>
      </c>
      <c r="AI62" s="2">
        <f>Table__192.168.3.138DYLAgingReport[[#This Row],[NetAmount]]-Table__192.168.3.138DYLAgingReport[[#This Row],[Paid]]</f>
        <v>-96</v>
      </c>
    </row>
    <row r="63" spans="1:35">
      <c r="A63" t="s">
        <v>532</v>
      </c>
      <c r="B63" s="1">
        <v>40949</v>
      </c>
      <c r="C63" s="1">
        <v>40994</v>
      </c>
      <c r="D63" t="s">
        <v>239</v>
      </c>
      <c r="E63">
        <v>-30685</v>
      </c>
      <c r="F63">
        <v>-4910</v>
      </c>
      <c r="G63">
        <v>0</v>
      </c>
      <c r="H63">
        <v>0</v>
      </c>
      <c r="I63">
        <v>327</v>
      </c>
      <c r="J63">
        <v>-35595</v>
      </c>
      <c r="L63" s="1">
        <v>40941</v>
      </c>
      <c r="N63" t="s">
        <v>36</v>
      </c>
      <c r="O63" t="s">
        <v>37</v>
      </c>
      <c r="P63" t="s">
        <v>376</v>
      </c>
      <c r="Q63" t="s">
        <v>39</v>
      </c>
      <c r="R63" t="s">
        <v>40</v>
      </c>
      <c r="S63">
        <v>0</v>
      </c>
      <c r="U63" t="s">
        <v>41</v>
      </c>
      <c r="V63" t="s">
        <v>42</v>
      </c>
      <c r="X63" t="s">
        <v>43</v>
      </c>
      <c r="Y63" t="b">
        <v>0</v>
      </c>
      <c r="Z63" t="b">
        <v>0</v>
      </c>
      <c r="AB63" t="s">
        <v>533</v>
      </c>
      <c r="AC63" s="1">
        <v>41018</v>
      </c>
      <c r="AD63" t="s">
        <v>534</v>
      </c>
      <c r="AE63" t="s">
        <v>535</v>
      </c>
      <c r="AF63">
        <v>0</v>
      </c>
      <c r="AG63">
        <v>45</v>
      </c>
      <c r="AH63">
        <v>372</v>
      </c>
      <c r="AI63" s="2">
        <f>Table__192.168.3.138DYLAgingReport[[#This Row],[NetAmount]]-Table__192.168.3.138DYLAgingReport[[#This Row],[Paid]]</f>
        <v>-35595</v>
      </c>
    </row>
    <row r="64" spans="1:35">
      <c r="A64" t="s">
        <v>536</v>
      </c>
      <c r="B64" s="1">
        <v>40960</v>
      </c>
      <c r="C64" s="1">
        <v>40990</v>
      </c>
      <c r="D64" t="s">
        <v>250</v>
      </c>
      <c r="E64">
        <v>-1504</v>
      </c>
      <c r="F64">
        <v>-241</v>
      </c>
      <c r="G64">
        <v>0</v>
      </c>
      <c r="H64">
        <v>0</v>
      </c>
      <c r="I64">
        <v>327</v>
      </c>
      <c r="J64">
        <v>-1745</v>
      </c>
      <c r="L64" s="1">
        <v>40941</v>
      </c>
      <c r="N64" t="s">
        <v>36</v>
      </c>
      <c r="O64" t="s">
        <v>37</v>
      </c>
      <c r="P64" t="s">
        <v>387</v>
      </c>
      <c r="Q64" t="s">
        <v>39</v>
      </c>
      <c r="R64" t="s">
        <v>40</v>
      </c>
      <c r="S64">
        <v>0</v>
      </c>
      <c r="U64" t="s">
        <v>41</v>
      </c>
      <c r="V64" t="s">
        <v>42</v>
      </c>
      <c r="X64" t="s">
        <v>43</v>
      </c>
      <c r="Y64" t="b">
        <v>0</v>
      </c>
      <c r="Z64" t="b">
        <v>0</v>
      </c>
      <c r="AB64" t="s">
        <v>458</v>
      </c>
      <c r="AC64" s="1"/>
      <c r="AF64">
        <v>0</v>
      </c>
      <c r="AG64">
        <v>45</v>
      </c>
      <c r="AH64">
        <v>372</v>
      </c>
      <c r="AI64" s="2">
        <f>Table__192.168.3.138DYLAgingReport[[#This Row],[NetAmount]]-Table__192.168.3.138DYLAgingReport[[#This Row],[Paid]]</f>
        <v>-1745</v>
      </c>
    </row>
    <row r="65" spans="1:35">
      <c r="A65" t="s">
        <v>537</v>
      </c>
      <c r="B65" s="1">
        <v>40960</v>
      </c>
      <c r="C65" s="1">
        <v>40990</v>
      </c>
      <c r="D65" t="s">
        <v>251</v>
      </c>
      <c r="E65">
        <v>-10903</v>
      </c>
      <c r="F65">
        <v>-1744</v>
      </c>
      <c r="G65">
        <v>0</v>
      </c>
      <c r="H65">
        <v>0</v>
      </c>
      <c r="I65">
        <v>320</v>
      </c>
      <c r="J65">
        <v>-12647</v>
      </c>
      <c r="L65" s="1">
        <v>40948</v>
      </c>
      <c r="N65" t="s">
        <v>36</v>
      </c>
      <c r="O65" t="s">
        <v>37</v>
      </c>
      <c r="P65" t="s">
        <v>388</v>
      </c>
      <c r="Q65" t="s">
        <v>39</v>
      </c>
      <c r="R65" t="s">
        <v>40</v>
      </c>
      <c r="S65">
        <v>0</v>
      </c>
      <c r="U65" t="s">
        <v>41</v>
      </c>
      <c r="V65" t="s">
        <v>42</v>
      </c>
      <c r="X65" t="s">
        <v>43</v>
      </c>
      <c r="Y65" t="b">
        <v>0</v>
      </c>
      <c r="Z65" t="b">
        <v>0</v>
      </c>
      <c r="AB65" t="s">
        <v>538</v>
      </c>
      <c r="AC65" s="1">
        <v>41115</v>
      </c>
      <c r="AE65" t="s">
        <v>539</v>
      </c>
      <c r="AF65">
        <v>0</v>
      </c>
      <c r="AG65">
        <v>45</v>
      </c>
      <c r="AH65">
        <v>365</v>
      </c>
      <c r="AI65" s="2">
        <f>Table__192.168.3.138DYLAgingReport[[#This Row],[NetAmount]]-Table__192.168.3.138DYLAgingReport[[#This Row],[Paid]]</f>
        <v>-12647</v>
      </c>
    </row>
    <row r="66" spans="1:35">
      <c r="A66" t="s">
        <v>540</v>
      </c>
      <c r="B66" s="1">
        <v>40960</v>
      </c>
      <c r="C66" s="1">
        <v>41005</v>
      </c>
      <c r="D66" t="s">
        <v>258</v>
      </c>
      <c r="E66">
        <v>-624</v>
      </c>
      <c r="F66">
        <v>-100</v>
      </c>
      <c r="G66">
        <v>0</v>
      </c>
      <c r="H66">
        <v>0</v>
      </c>
      <c r="I66">
        <v>327</v>
      </c>
      <c r="J66">
        <v>-724</v>
      </c>
      <c r="L66" s="1">
        <v>40941</v>
      </c>
      <c r="M66" t="s">
        <v>10767</v>
      </c>
      <c r="N66" t="s">
        <v>36</v>
      </c>
      <c r="O66" t="s">
        <v>37</v>
      </c>
      <c r="P66" t="s">
        <v>395</v>
      </c>
      <c r="Q66" t="s">
        <v>39</v>
      </c>
      <c r="R66" t="s">
        <v>40</v>
      </c>
      <c r="S66">
        <v>0</v>
      </c>
      <c r="U66" t="s">
        <v>41</v>
      </c>
      <c r="V66" t="s">
        <v>42</v>
      </c>
      <c r="W66" t="s">
        <v>10768</v>
      </c>
      <c r="X66" t="s">
        <v>43</v>
      </c>
      <c r="Y66" t="b">
        <v>0</v>
      </c>
      <c r="Z66" t="b">
        <v>0</v>
      </c>
      <c r="AA66" t="b">
        <v>0</v>
      </c>
      <c r="AC66" s="1"/>
      <c r="AF66">
        <v>0</v>
      </c>
      <c r="AG66">
        <v>45</v>
      </c>
      <c r="AH66">
        <v>372</v>
      </c>
      <c r="AI66" s="2">
        <f>Table__192.168.3.138DYLAgingReport[[#This Row],[NetAmount]]-Table__192.168.3.138DYLAgingReport[[#This Row],[Paid]]</f>
        <v>-724</v>
      </c>
    </row>
    <row r="67" spans="1:35">
      <c r="A67" t="s">
        <v>541</v>
      </c>
      <c r="B67" s="1">
        <v>40960</v>
      </c>
      <c r="C67" s="1">
        <v>41005</v>
      </c>
      <c r="D67" t="s">
        <v>268</v>
      </c>
      <c r="E67">
        <v>-549</v>
      </c>
      <c r="F67">
        <v>-88</v>
      </c>
      <c r="G67">
        <v>0</v>
      </c>
      <c r="H67">
        <v>0</v>
      </c>
      <c r="I67">
        <v>327</v>
      </c>
      <c r="J67">
        <v>-637</v>
      </c>
      <c r="L67" s="1">
        <v>40941</v>
      </c>
      <c r="N67" t="s">
        <v>36</v>
      </c>
      <c r="O67" t="s">
        <v>37</v>
      </c>
      <c r="P67" t="s">
        <v>405</v>
      </c>
      <c r="Q67" t="s">
        <v>39</v>
      </c>
      <c r="R67" t="s">
        <v>40</v>
      </c>
      <c r="S67">
        <v>0</v>
      </c>
      <c r="U67" t="s">
        <v>41</v>
      </c>
      <c r="V67" t="s">
        <v>42</v>
      </c>
      <c r="X67" t="s">
        <v>43</v>
      </c>
      <c r="Y67" t="b">
        <v>0</v>
      </c>
      <c r="Z67" t="b">
        <v>0</v>
      </c>
      <c r="AB67" t="s">
        <v>542</v>
      </c>
      <c r="AC67" s="1">
        <v>41176</v>
      </c>
      <c r="AF67">
        <v>0</v>
      </c>
      <c r="AG67">
        <v>45</v>
      </c>
      <c r="AH67">
        <v>372</v>
      </c>
      <c r="AI67" s="2">
        <f>Table__192.168.3.138DYLAgingReport[[#This Row],[NetAmount]]-Table__192.168.3.138DYLAgingReport[[#This Row],[Paid]]</f>
        <v>-637</v>
      </c>
    </row>
    <row r="68" spans="1:35">
      <c r="A68" t="s">
        <v>543</v>
      </c>
      <c r="B68" s="1">
        <v>40954</v>
      </c>
      <c r="C68" s="1">
        <v>40999</v>
      </c>
      <c r="D68" t="s">
        <v>201</v>
      </c>
      <c r="E68">
        <v>-786</v>
      </c>
      <c r="F68">
        <v>-126</v>
      </c>
      <c r="G68">
        <v>0</v>
      </c>
      <c r="H68">
        <v>0</v>
      </c>
      <c r="I68">
        <v>327</v>
      </c>
      <c r="J68">
        <v>-912</v>
      </c>
      <c r="L68" s="1">
        <v>40941</v>
      </c>
      <c r="N68" t="s">
        <v>36</v>
      </c>
      <c r="O68" t="s">
        <v>37</v>
      </c>
      <c r="P68" t="s">
        <v>338</v>
      </c>
      <c r="Q68" t="s">
        <v>39</v>
      </c>
      <c r="R68" t="s">
        <v>40</v>
      </c>
      <c r="S68">
        <v>0</v>
      </c>
      <c r="U68" t="s">
        <v>41</v>
      </c>
      <c r="V68" t="s">
        <v>42</v>
      </c>
      <c r="X68" t="s">
        <v>43</v>
      </c>
      <c r="Y68" t="b">
        <v>0</v>
      </c>
      <c r="Z68" t="b">
        <v>0</v>
      </c>
      <c r="AB68" t="s">
        <v>485</v>
      </c>
      <c r="AC68" s="1">
        <v>41236</v>
      </c>
      <c r="AF68">
        <v>0</v>
      </c>
      <c r="AG68">
        <v>45</v>
      </c>
      <c r="AH68">
        <v>372</v>
      </c>
      <c r="AI68" s="2">
        <f>Table__192.168.3.138DYLAgingReport[[#This Row],[NetAmount]]-Table__192.168.3.138DYLAgingReport[[#This Row],[Paid]]</f>
        <v>-912</v>
      </c>
    </row>
    <row r="69" spans="1:35">
      <c r="A69" t="s">
        <v>544</v>
      </c>
      <c r="B69" s="1">
        <v>40955</v>
      </c>
      <c r="C69" s="1">
        <v>41000</v>
      </c>
      <c r="D69" t="s">
        <v>210</v>
      </c>
      <c r="E69">
        <v>-865</v>
      </c>
      <c r="F69">
        <v>-145</v>
      </c>
      <c r="G69">
        <v>0</v>
      </c>
      <c r="H69">
        <v>0</v>
      </c>
      <c r="I69">
        <v>756</v>
      </c>
      <c r="J69">
        <v>-1010</v>
      </c>
      <c r="L69" s="1">
        <v>40512</v>
      </c>
      <c r="N69" t="s">
        <v>36</v>
      </c>
      <c r="O69" t="s">
        <v>37</v>
      </c>
      <c r="P69" t="s">
        <v>347</v>
      </c>
      <c r="Q69" t="s">
        <v>39</v>
      </c>
      <c r="R69" t="s">
        <v>40</v>
      </c>
      <c r="S69">
        <v>0</v>
      </c>
      <c r="U69" t="s">
        <v>41</v>
      </c>
      <c r="V69" t="s">
        <v>42</v>
      </c>
      <c r="X69" t="s">
        <v>43</v>
      </c>
      <c r="Y69" t="b">
        <v>0</v>
      </c>
      <c r="Z69" t="b">
        <v>0</v>
      </c>
      <c r="AC69" s="1"/>
      <c r="AF69">
        <v>0</v>
      </c>
      <c r="AG69">
        <v>45</v>
      </c>
      <c r="AH69">
        <v>801</v>
      </c>
      <c r="AI69" s="2">
        <f>Table__192.168.3.138DYLAgingReport[[#This Row],[NetAmount]]-Table__192.168.3.138DYLAgingReport[[#This Row],[Paid]]</f>
        <v>-1010</v>
      </c>
    </row>
    <row r="70" spans="1:35">
      <c r="A70" t="s">
        <v>545</v>
      </c>
      <c r="B70" s="1">
        <v>40963</v>
      </c>
      <c r="C70" s="1">
        <v>40963</v>
      </c>
      <c r="D70" t="s">
        <v>214</v>
      </c>
      <c r="E70">
        <v>-20500</v>
      </c>
      <c r="F70">
        <v>0</v>
      </c>
      <c r="G70">
        <v>0</v>
      </c>
      <c r="H70">
        <v>0</v>
      </c>
      <c r="I70">
        <v>305</v>
      </c>
      <c r="J70">
        <v>-20500</v>
      </c>
      <c r="L70" s="1">
        <v>40963</v>
      </c>
      <c r="N70" t="s">
        <v>36</v>
      </c>
      <c r="O70" t="s">
        <v>37</v>
      </c>
      <c r="P70" t="s">
        <v>351</v>
      </c>
      <c r="Q70" t="s">
        <v>39</v>
      </c>
      <c r="R70" t="s">
        <v>40</v>
      </c>
      <c r="S70">
        <v>0</v>
      </c>
      <c r="U70" t="s">
        <v>41</v>
      </c>
      <c r="V70" t="s">
        <v>42</v>
      </c>
      <c r="X70" t="s">
        <v>43</v>
      </c>
      <c r="Y70" t="b">
        <v>0</v>
      </c>
      <c r="Z70" t="b">
        <v>0</v>
      </c>
      <c r="AC70" s="1"/>
      <c r="AF70">
        <v>0</v>
      </c>
      <c r="AG70">
        <v>45</v>
      </c>
      <c r="AH70">
        <v>350</v>
      </c>
      <c r="AI70" s="2">
        <f>Table__192.168.3.138DYLAgingReport[[#This Row],[NetAmount]]-Table__192.168.3.138DYLAgingReport[[#This Row],[Paid]]</f>
        <v>-20500</v>
      </c>
    </row>
    <row r="71" spans="1:35">
      <c r="A71" t="s">
        <v>546</v>
      </c>
      <c r="B71" s="1">
        <v>40954</v>
      </c>
      <c r="C71" s="1">
        <v>40999</v>
      </c>
      <c r="D71" t="s">
        <v>217</v>
      </c>
      <c r="E71">
        <v>-215</v>
      </c>
      <c r="F71">
        <v>-34</v>
      </c>
      <c r="G71">
        <v>0</v>
      </c>
      <c r="H71">
        <v>0</v>
      </c>
      <c r="I71">
        <v>322</v>
      </c>
      <c r="J71">
        <v>-249</v>
      </c>
      <c r="L71" s="1">
        <v>40946</v>
      </c>
      <c r="N71" t="s">
        <v>36</v>
      </c>
      <c r="O71" t="s">
        <v>37</v>
      </c>
      <c r="P71" t="s">
        <v>354</v>
      </c>
      <c r="Q71" t="s">
        <v>39</v>
      </c>
      <c r="R71" t="s">
        <v>40</v>
      </c>
      <c r="S71">
        <v>0</v>
      </c>
      <c r="U71" t="s">
        <v>41</v>
      </c>
      <c r="V71" t="s">
        <v>42</v>
      </c>
      <c r="X71" t="s">
        <v>43</v>
      </c>
      <c r="Y71" t="b">
        <v>0</v>
      </c>
      <c r="Z71" t="b">
        <v>0</v>
      </c>
      <c r="AB71" t="s">
        <v>547</v>
      </c>
      <c r="AC71" s="1">
        <v>41051</v>
      </c>
      <c r="AE71" t="s">
        <v>548</v>
      </c>
      <c r="AF71">
        <v>0</v>
      </c>
      <c r="AG71">
        <v>45</v>
      </c>
      <c r="AH71">
        <v>367</v>
      </c>
      <c r="AI71" s="2">
        <f>Table__192.168.3.138DYLAgingReport[[#This Row],[NetAmount]]-Table__192.168.3.138DYLAgingReport[[#This Row],[Paid]]</f>
        <v>-249</v>
      </c>
    </row>
    <row r="72" spans="1:35">
      <c r="A72" t="s">
        <v>549</v>
      </c>
      <c r="B72" s="1">
        <v>40955</v>
      </c>
      <c r="C72" s="1">
        <v>41000</v>
      </c>
      <c r="D72" t="s">
        <v>219</v>
      </c>
      <c r="E72">
        <v>-208</v>
      </c>
      <c r="F72">
        <v>-33</v>
      </c>
      <c r="G72">
        <v>0</v>
      </c>
      <c r="H72">
        <v>0</v>
      </c>
      <c r="I72">
        <v>320</v>
      </c>
      <c r="J72">
        <v>-241</v>
      </c>
      <c r="L72" s="1">
        <v>40948</v>
      </c>
      <c r="N72" t="s">
        <v>36</v>
      </c>
      <c r="O72" t="s">
        <v>37</v>
      </c>
      <c r="P72" t="s">
        <v>356</v>
      </c>
      <c r="Q72" t="s">
        <v>39</v>
      </c>
      <c r="R72" t="s">
        <v>40</v>
      </c>
      <c r="S72">
        <v>0</v>
      </c>
      <c r="U72" t="s">
        <v>41</v>
      </c>
      <c r="V72" t="s">
        <v>42</v>
      </c>
      <c r="X72" t="s">
        <v>43</v>
      </c>
      <c r="Y72" t="b">
        <v>0</v>
      </c>
      <c r="Z72" t="b">
        <v>0</v>
      </c>
      <c r="AB72" t="s">
        <v>462</v>
      </c>
      <c r="AC72" s="1">
        <v>41115</v>
      </c>
      <c r="AF72">
        <v>0</v>
      </c>
      <c r="AG72">
        <v>45</v>
      </c>
      <c r="AH72">
        <v>365</v>
      </c>
      <c r="AI72" s="2">
        <f>Table__192.168.3.138DYLAgingReport[[#This Row],[NetAmount]]-Table__192.168.3.138DYLAgingReport[[#This Row],[Paid]]</f>
        <v>-241</v>
      </c>
    </row>
    <row r="73" spans="1:35">
      <c r="A73" t="s">
        <v>550</v>
      </c>
      <c r="B73" s="1">
        <v>40955</v>
      </c>
      <c r="C73" s="1">
        <v>41000</v>
      </c>
      <c r="D73" t="s">
        <v>220</v>
      </c>
      <c r="E73">
        <v>-4494</v>
      </c>
      <c r="F73">
        <v>-719</v>
      </c>
      <c r="G73">
        <v>0</v>
      </c>
      <c r="H73">
        <v>0</v>
      </c>
      <c r="I73">
        <v>322</v>
      </c>
      <c r="J73">
        <v>-5213</v>
      </c>
      <c r="L73" s="1">
        <v>40946</v>
      </c>
      <c r="N73" t="s">
        <v>36</v>
      </c>
      <c r="O73" t="s">
        <v>37</v>
      </c>
      <c r="P73" t="s">
        <v>357</v>
      </c>
      <c r="Q73" t="s">
        <v>39</v>
      </c>
      <c r="R73" t="s">
        <v>40</v>
      </c>
      <c r="S73">
        <v>0</v>
      </c>
      <c r="U73" t="s">
        <v>41</v>
      </c>
      <c r="V73" t="s">
        <v>42</v>
      </c>
      <c r="X73" t="s">
        <v>43</v>
      </c>
      <c r="Y73" t="b">
        <v>0</v>
      </c>
      <c r="Z73" t="b">
        <v>0</v>
      </c>
      <c r="AB73" t="s">
        <v>528</v>
      </c>
      <c r="AC73" s="1">
        <v>41225</v>
      </c>
      <c r="AE73" t="s">
        <v>529</v>
      </c>
      <c r="AF73">
        <v>0</v>
      </c>
      <c r="AG73">
        <v>45</v>
      </c>
      <c r="AH73">
        <v>367</v>
      </c>
      <c r="AI73" s="2">
        <f>Table__192.168.3.138DYLAgingReport[[#This Row],[NetAmount]]-Table__192.168.3.138DYLAgingReport[[#This Row],[Paid]]</f>
        <v>-5213</v>
      </c>
    </row>
    <row r="74" spans="1:35">
      <c r="A74" t="s">
        <v>551</v>
      </c>
      <c r="B74" s="1">
        <v>40954</v>
      </c>
      <c r="C74" s="1">
        <v>40999</v>
      </c>
      <c r="D74" t="s">
        <v>222</v>
      </c>
      <c r="E74">
        <v>-176</v>
      </c>
      <c r="F74">
        <v>-28</v>
      </c>
      <c r="G74">
        <v>0</v>
      </c>
      <c r="H74">
        <v>0</v>
      </c>
      <c r="I74">
        <v>314</v>
      </c>
      <c r="J74">
        <v>-204</v>
      </c>
      <c r="L74" s="1">
        <v>40954</v>
      </c>
      <c r="N74" t="s">
        <v>36</v>
      </c>
      <c r="O74" t="s">
        <v>37</v>
      </c>
      <c r="P74" t="s">
        <v>359</v>
      </c>
      <c r="Q74" t="s">
        <v>39</v>
      </c>
      <c r="R74" t="s">
        <v>40</v>
      </c>
      <c r="S74">
        <v>0</v>
      </c>
      <c r="U74" t="s">
        <v>41</v>
      </c>
      <c r="V74" t="s">
        <v>42</v>
      </c>
      <c r="X74" t="s">
        <v>43</v>
      </c>
      <c r="Y74" t="b">
        <v>0</v>
      </c>
      <c r="Z74" t="b">
        <v>0</v>
      </c>
      <c r="AC74" s="1"/>
      <c r="AF74">
        <v>0</v>
      </c>
      <c r="AG74">
        <v>45</v>
      </c>
      <c r="AH74">
        <v>359</v>
      </c>
      <c r="AI74" s="2">
        <f>Table__192.168.3.138DYLAgingReport[[#This Row],[NetAmount]]-Table__192.168.3.138DYLAgingReport[[#This Row],[Paid]]</f>
        <v>-204</v>
      </c>
    </row>
    <row r="75" spans="1:35">
      <c r="A75" t="s">
        <v>552</v>
      </c>
      <c r="B75" s="1">
        <v>40954</v>
      </c>
      <c r="C75" s="1">
        <v>40999</v>
      </c>
      <c r="D75" t="s">
        <v>233</v>
      </c>
      <c r="E75">
        <v>-351</v>
      </c>
      <c r="F75">
        <v>-56</v>
      </c>
      <c r="G75">
        <v>0</v>
      </c>
      <c r="H75">
        <v>0</v>
      </c>
      <c r="I75">
        <v>314</v>
      </c>
      <c r="J75">
        <v>-407</v>
      </c>
      <c r="L75" s="1">
        <v>40954</v>
      </c>
      <c r="N75" t="s">
        <v>36</v>
      </c>
      <c r="O75" t="s">
        <v>37</v>
      </c>
      <c r="P75" t="s">
        <v>370</v>
      </c>
      <c r="Q75" t="s">
        <v>39</v>
      </c>
      <c r="R75" t="s">
        <v>40</v>
      </c>
      <c r="S75">
        <v>0</v>
      </c>
      <c r="U75" t="s">
        <v>41</v>
      </c>
      <c r="V75" t="s">
        <v>42</v>
      </c>
      <c r="X75" t="s">
        <v>43</v>
      </c>
      <c r="Y75" t="b">
        <v>0</v>
      </c>
      <c r="Z75" t="b">
        <v>0</v>
      </c>
      <c r="AC75" s="1"/>
      <c r="AF75">
        <v>0</v>
      </c>
      <c r="AG75">
        <v>45</v>
      </c>
      <c r="AH75">
        <v>359</v>
      </c>
      <c r="AI75" s="2">
        <f>Table__192.168.3.138DYLAgingReport[[#This Row],[NetAmount]]-Table__192.168.3.138DYLAgingReport[[#This Row],[Paid]]</f>
        <v>-407</v>
      </c>
    </row>
    <row r="76" spans="1:35">
      <c r="A76" t="s">
        <v>553</v>
      </c>
      <c r="B76" s="1">
        <v>40954</v>
      </c>
      <c r="C76" s="1">
        <v>40954</v>
      </c>
      <c r="D76" t="s">
        <v>236</v>
      </c>
      <c r="E76">
        <v>-73</v>
      </c>
      <c r="F76">
        <v>0</v>
      </c>
      <c r="G76">
        <v>0</v>
      </c>
      <c r="H76">
        <v>0</v>
      </c>
      <c r="I76">
        <v>314</v>
      </c>
      <c r="J76">
        <v>-73</v>
      </c>
      <c r="L76" s="1">
        <v>40954</v>
      </c>
      <c r="M76" t="s">
        <v>554</v>
      </c>
      <c r="N76" t="s">
        <v>36</v>
      </c>
      <c r="O76" t="s">
        <v>37</v>
      </c>
      <c r="P76" t="s">
        <v>373</v>
      </c>
      <c r="Q76" t="s">
        <v>39</v>
      </c>
      <c r="R76" t="s">
        <v>40</v>
      </c>
      <c r="S76">
        <v>0</v>
      </c>
      <c r="U76" t="s">
        <v>41</v>
      </c>
      <c r="V76" t="s">
        <v>42</v>
      </c>
      <c r="W76" t="s">
        <v>509</v>
      </c>
      <c r="X76" t="s">
        <v>43</v>
      </c>
      <c r="Y76" t="b">
        <v>0</v>
      </c>
      <c r="Z76" t="b">
        <v>0</v>
      </c>
      <c r="AA76" t="b">
        <v>0</v>
      </c>
      <c r="AC76" s="1"/>
      <c r="AF76">
        <v>0</v>
      </c>
      <c r="AG76">
        <v>45</v>
      </c>
      <c r="AH76">
        <v>359</v>
      </c>
      <c r="AI76" s="2">
        <f>Table__192.168.3.138DYLAgingReport[[#This Row],[NetAmount]]-Table__192.168.3.138DYLAgingReport[[#This Row],[Paid]]</f>
        <v>-73</v>
      </c>
    </row>
    <row r="77" spans="1:35">
      <c r="A77" t="s">
        <v>555</v>
      </c>
      <c r="B77" s="1">
        <v>40941</v>
      </c>
      <c r="C77" s="1">
        <v>40986</v>
      </c>
      <c r="D77" t="s">
        <v>239</v>
      </c>
      <c r="E77">
        <v>-11807</v>
      </c>
      <c r="F77">
        <v>-1889</v>
      </c>
      <c r="G77">
        <v>0</v>
      </c>
      <c r="H77">
        <v>0</v>
      </c>
      <c r="I77">
        <v>327</v>
      </c>
      <c r="J77">
        <v>-13696</v>
      </c>
      <c r="L77" s="1">
        <v>40941</v>
      </c>
      <c r="N77" t="s">
        <v>36</v>
      </c>
      <c r="O77" t="s">
        <v>37</v>
      </c>
      <c r="P77" t="s">
        <v>376</v>
      </c>
      <c r="Q77" t="s">
        <v>39</v>
      </c>
      <c r="R77" t="s">
        <v>40</v>
      </c>
      <c r="S77">
        <v>0</v>
      </c>
      <c r="U77" t="s">
        <v>41</v>
      </c>
      <c r="V77" t="s">
        <v>42</v>
      </c>
      <c r="X77" t="s">
        <v>43</v>
      </c>
      <c r="Y77" t="b">
        <v>0</v>
      </c>
      <c r="Z77" t="b">
        <v>0</v>
      </c>
      <c r="AB77" t="s">
        <v>533</v>
      </c>
      <c r="AC77" s="1">
        <v>41018</v>
      </c>
      <c r="AD77" t="s">
        <v>534</v>
      </c>
      <c r="AE77" t="s">
        <v>535</v>
      </c>
      <c r="AF77">
        <v>0</v>
      </c>
      <c r="AG77">
        <v>45</v>
      </c>
      <c r="AH77">
        <v>372</v>
      </c>
      <c r="AI77" s="2">
        <f>Table__192.168.3.138DYLAgingReport[[#This Row],[NetAmount]]-Table__192.168.3.138DYLAgingReport[[#This Row],[Paid]]</f>
        <v>-13696</v>
      </c>
    </row>
    <row r="78" spans="1:35">
      <c r="A78" t="s">
        <v>556</v>
      </c>
      <c r="B78" s="1">
        <v>40949</v>
      </c>
      <c r="C78" s="1">
        <v>40994</v>
      </c>
      <c r="D78" t="s">
        <v>239</v>
      </c>
      <c r="E78">
        <v>-3809</v>
      </c>
      <c r="F78">
        <v>-609</v>
      </c>
      <c r="G78">
        <v>0</v>
      </c>
      <c r="H78">
        <v>0</v>
      </c>
      <c r="I78">
        <v>319</v>
      </c>
      <c r="J78">
        <v>-4418</v>
      </c>
      <c r="L78" s="1">
        <v>40949</v>
      </c>
      <c r="N78" t="s">
        <v>36</v>
      </c>
      <c r="O78" t="s">
        <v>37</v>
      </c>
      <c r="P78" t="s">
        <v>376</v>
      </c>
      <c r="Q78" t="s">
        <v>39</v>
      </c>
      <c r="R78" t="s">
        <v>40</v>
      </c>
      <c r="S78">
        <v>0</v>
      </c>
      <c r="T78" t="s">
        <v>557</v>
      </c>
      <c r="U78" t="s">
        <v>41</v>
      </c>
      <c r="V78" t="s">
        <v>42</v>
      </c>
      <c r="X78" t="s">
        <v>43</v>
      </c>
      <c r="Y78" t="b">
        <v>0</v>
      </c>
      <c r="Z78" t="b">
        <v>0</v>
      </c>
      <c r="AB78" t="s">
        <v>533</v>
      </c>
      <c r="AC78" s="1">
        <v>41018</v>
      </c>
      <c r="AD78" t="s">
        <v>534</v>
      </c>
      <c r="AE78" t="s">
        <v>535</v>
      </c>
      <c r="AF78">
        <v>0</v>
      </c>
      <c r="AG78">
        <v>45</v>
      </c>
      <c r="AH78">
        <v>364</v>
      </c>
      <c r="AI78" s="2">
        <f>Table__192.168.3.138DYLAgingReport[[#This Row],[NetAmount]]-Table__192.168.3.138DYLAgingReport[[#This Row],[Paid]]</f>
        <v>-4418</v>
      </c>
    </row>
    <row r="79" spans="1:35">
      <c r="A79" t="s">
        <v>558</v>
      </c>
      <c r="B79" s="1">
        <v>40960</v>
      </c>
      <c r="C79" s="1">
        <v>41005</v>
      </c>
      <c r="D79" t="s">
        <v>259</v>
      </c>
      <c r="E79">
        <v>-293</v>
      </c>
      <c r="F79">
        <v>-47</v>
      </c>
      <c r="G79">
        <v>0</v>
      </c>
      <c r="H79">
        <v>0</v>
      </c>
      <c r="I79">
        <v>322</v>
      </c>
      <c r="J79">
        <v>-340</v>
      </c>
      <c r="L79" s="1">
        <v>40946</v>
      </c>
      <c r="N79" t="s">
        <v>36</v>
      </c>
      <c r="O79" t="s">
        <v>37</v>
      </c>
      <c r="P79" t="s">
        <v>396</v>
      </c>
      <c r="Q79" t="s">
        <v>39</v>
      </c>
      <c r="R79" t="s">
        <v>40</v>
      </c>
      <c r="S79">
        <v>0</v>
      </c>
      <c r="U79" t="s">
        <v>41</v>
      </c>
      <c r="V79" t="s">
        <v>42</v>
      </c>
      <c r="X79" t="s">
        <v>43</v>
      </c>
      <c r="Y79" t="b">
        <v>0</v>
      </c>
      <c r="Z79" t="b">
        <v>0</v>
      </c>
      <c r="AC79" s="1"/>
      <c r="AF79">
        <v>0</v>
      </c>
      <c r="AG79">
        <v>45</v>
      </c>
      <c r="AH79">
        <v>367</v>
      </c>
      <c r="AI79" s="2">
        <f>Table__192.168.3.138DYLAgingReport[[#This Row],[NetAmount]]-Table__192.168.3.138DYLAgingReport[[#This Row],[Paid]]</f>
        <v>-340</v>
      </c>
    </row>
    <row r="80" spans="1:35">
      <c r="A80" t="s">
        <v>559</v>
      </c>
      <c r="B80" s="1">
        <v>40960</v>
      </c>
      <c r="C80" s="1">
        <v>41005</v>
      </c>
      <c r="D80" t="s">
        <v>268</v>
      </c>
      <c r="E80">
        <v>-284</v>
      </c>
      <c r="F80">
        <v>-45</v>
      </c>
      <c r="G80">
        <v>0</v>
      </c>
      <c r="H80">
        <v>0</v>
      </c>
      <c r="I80">
        <v>327</v>
      </c>
      <c r="J80">
        <v>-329</v>
      </c>
      <c r="L80" s="1">
        <v>40941</v>
      </c>
      <c r="N80" t="s">
        <v>36</v>
      </c>
      <c r="O80" t="s">
        <v>37</v>
      </c>
      <c r="P80" t="s">
        <v>405</v>
      </c>
      <c r="Q80" t="s">
        <v>39</v>
      </c>
      <c r="R80" t="s">
        <v>40</v>
      </c>
      <c r="S80">
        <v>0</v>
      </c>
      <c r="U80" t="s">
        <v>41</v>
      </c>
      <c r="V80" t="s">
        <v>42</v>
      </c>
      <c r="X80" t="s">
        <v>43</v>
      </c>
      <c r="Y80" t="b">
        <v>0</v>
      </c>
      <c r="Z80" t="b">
        <v>0</v>
      </c>
      <c r="AB80" t="s">
        <v>542</v>
      </c>
      <c r="AC80" s="1">
        <v>41176</v>
      </c>
      <c r="AF80">
        <v>0</v>
      </c>
      <c r="AG80">
        <v>45</v>
      </c>
      <c r="AH80">
        <v>372</v>
      </c>
      <c r="AI80" s="2">
        <f>Table__192.168.3.138DYLAgingReport[[#This Row],[NetAmount]]-Table__192.168.3.138DYLAgingReport[[#This Row],[Paid]]</f>
        <v>-329</v>
      </c>
    </row>
    <row r="81" spans="1:35">
      <c r="A81" t="s">
        <v>560</v>
      </c>
      <c r="B81" s="1">
        <v>40941</v>
      </c>
      <c r="C81" s="1">
        <v>40941</v>
      </c>
      <c r="D81" t="s">
        <v>286</v>
      </c>
      <c r="E81">
        <v>-29</v>
      </c>
      <c r="F81">
        <v>0</v>
      </c>
      <c r="G81">
        <v>0</v>
      </c>
      <c r="H81">
        <v>0</v>
      </c>
      <c r="I81">
        <v>327</v>
      </c>
      <c r="J81">
        <v>-29</v>
      </c>
      <c r="L81" s="1">
        <v>40941</v>
      </c>
      <c r="N81" t="s">
        <v>36</v>
      </c>
      <c r="O81" t="s">
        <v>37</v>
      </c>
      <c r="P81" t="s">
        <v>423</v>
      </c>
      <c r="Q81" t="s">
        <v>39</v>
      </c>
      <c r="R81" t="s">
        <v>40</v>
      </c>
      <c r="S81">
        <v>0</v>
      </c>
      <c r="U81" t="s">
        <v>41</v>
      </c>
      <c r="V81" t="s">
        <v>42</v>
      </c>
      <c r="X81" t="s">
        <v>43</v>
      </c>
      <c r="Y81" t="b">
        <v>0</v>
      </c>
      <c r="Z81" t="b">
        <v>0</v>
      </c>
      <c r="AC81" s="1"/>
      <c r="AF81">
        <v>0</v>
      </c>
      <c r="AG81">
        <v>45</v>
      </c>
      <c r="AH81">
        <v>372</v>
      </c>
      <c r="AI81" s="2">
        <f>Table__192.168.3.138DYLAgingReport[[#This Row],[NetAmount]]-Table__192.168.3.138DYLAgingReport[[#This Row],[Paid]]</f>
        <v>-29</v>
      </c>
    </row>
    <row r="82" spans="1:35">
      <c r="A82" t="s">
        <v>561</v>
      </c>
      <c r="B82" s="1">
        <v>40954</v>
      </c>
      <c r="C82" s="1">
        <v>40999</v>
      </c>
      <c r="D82" t="s">
        <v>187</v>
      </c>
      <c r="E82">
        <v>-1620</v>
      </c>
      <c r="F82">
        <v>0</v>
      </c>
      <c r="G82">
        <v>0</v>
      </c>
      <c r="H82">
        <v>0</v>
      </c>
      <c r="I82">
        <v>319</v>
      </c>
      <c r="J82">
        <v>-1620</v>
      </c>
      <c r="L82" s="1">
        <v>40949</v>
      </c>
      <c r="N82" t="s">
        <v>36</v>
      </c>
      <c r="O82" t="s">
        <v>37</v>
      </c>
      <c r="P82" t="s">
        <v>324</v>
      </c>
      <c r="Q82" t="s">
        <v>39</v>
      </c>
      <c r="R82" t="s">
        <v>40</v>
      </c>
      <c r="S82">
        <v>0</v>
      </c>
      <c r="U82" t="s">
        <v>41</v>
      </c>
      <c r="V82" t="s">
        <v>42</v>
      </c>
      <c r="X82" t="s">
        <v>43</v>
      </c>
      <c r="Y82" t="b">
        <v>0</v>
      </c>
      <c r="Z82" t="b">
        <v>0</v>
      </c>
      <c r="AC82" s="1"/>
      <c r="AF82">
        <v>0</v>
      </c>
      <c r="AG82">
        <v>45</v>
      </c>
      <c r="AH82">
        <v>364</v>
      </c>
      <c r="AI82" s="2">
        <f>Table__192.168.3.138DYLAgingReport[[#This Row],[NetAmount]]-Table__192.168.3.138DYLAgingReport[[#This Row],[Paid]]</f>
        <v>-1620</v>
      </c>
    </row>
    <row r="83" spans="1:35">
      <c r="A83" t="s">
        <v>562</v>
      </c>
      <c r="B83" s="1">
        <v>40983</v>
      </c>
      <c r="C83" s="1">
        <v>41013</v>
      </c>
      <c r="D83" t="s">
        <v>165</v>
      </c>
      <c r="E83">
        <v>-2565</v>
      </c>
      <c r="F83">
        <v>-410</v>
      </c>
      <c r="G83">
        <v>0</v>
      </c>
      <c r="H83">
        <v>0</v>
      </c>
      <c r="I83">
        <v>285</v>
      </c>
      <c r="J83">
        <v>-2975</v>
      </c>
      <c r="L83" s="1">
        <v>40983</v>
      </c>
      <c r="N83" t="s">
        <v>36</v>
      </c>
      <c r="O83" t="s">
        <v>37</v>
      </c>
      <c r="P83" t="s">
        <v>302</v>
      </c>
      <c r="Q83" t="s">
        <v>39</v>
      </c>
      <c r="R83" t="s">
        <v>40</v>
      </c>
      <c r="S83">
        <v>0</v>
      </c>
      <c r="U83" t="s">
        <v>41</v>
      </c>
      <c r="V83" t="s">
        <v>42</v>
      </c>
      <c r="X83" t="s">
        <v>43</v>
      </c>
      <c r="Y83" t="b">
        <v>0</v>
      </c>
      <c r="Z83" t="b">
        <v>0</v>
      </c>
      <c r="AC83" s="1"/>
      <c r="AF83">
        <v>0</v>
      </c>
      <c r="AG83">
        <v>45</v>
      </c>
      <c r="AH83">
        <v>330</v>
      </c>
      <c r="AI83" s="2">
        <f>Table__192.168.3.138DYLAgingReport[[#This Row],[NetAmount]]-Table__192.168.3.138DYLAgingReport[[#This Row],[Paid]]</f>
        <v>-2975</v>
      </c>
    </row>
    <row r="84" spans="1:35">
      <c r="A84" t="s">
        <v>45</v>
      </c>
      <c r="B84" s="1">
        <v>40996</v>
      </c>
      <c r="C84" s="1">
        <v>41041</v>
      </c>
      <c r="D84" t="s">
        <v>35</v>
      </c>
      <c r="E84">
        <v>-30000</v>
      </c>
      <c r="F84">
        <v>-4800</v>
      </c>
      <c r="G84">
        <v>0</v>
      </c>
      <c r="H84">
        <v>0</v>
      </c>
      <c r="I84">
        <v>299</v>
      </c>
      <c r="J84">
        <v>-34800</v>
      </c>
      <c r="L84" s="1">
        <v>40969</v>
      </c>
      <c r="N84" t="s">
        <v>36</v>
      </c>
      <c r="O84" t="s">
        <v>37</v>
      </c>
      <c r="P84" t="s">
        <v>38</v>
      </c>
      <c r="Q84" t="s">
        <v>39</v>
      </c>
      <c r="R84" t="s">
        <v>40</v>
      </c>
      <c r="S84">
        <v>0</v>
      </c>
      <c r="U84" t="s">
        <v>41</v>
      </c>
      <c r="V84" t="s">
        <v>42</v>
      </c>
      <c r="X84" t="s">
        <v>43</v>
      </c>
      <c r="Y84" t="b">
        <v>0</v>
      </c>
      <c r="Z84" t="b">
        <v>0</v>
      </c>
      <c r="AB84" t="s">
        <v>46</v>
      </c>
      <c r="AC84" s="1">
        <v>41185</v>
      </c>
      <c r="AD84" t="s">
        <v>47</v>
      </c>
      <c r="AE84" t="s">
        <v>48</v>
      </c>
      <c r="AF84">
        <v>0</v>
      </c>
      <c r="AG84">
        <v>45</v>
      </c>
      <c r="AH84">
        <v>344</v>
      </c>
      <c r="AI84" s="2">
        <f>Table__192.168.3.138DYLAgingReport[[#This Row],[NetAmount]]-Table__192.168.3.138DYLAgingReport[[#This Row],[Paid]]</f>
        <v>-34800</v>
      </c>
    </row>
    <row r="85" spans="1:35">
      <c r="A85" t="s">
        <v>563</v>
      </c>
      <c r="B85" s="1">
        <v>40996</v>
      </c>
      <c r="C85" s="1">
        <v>41041</v>
      </c>
      <c r="D85" t="s">
        <v>187</v>
      </c>
      <c r="E85">
        <v>-1435</v>
      </c>
      <c r="F85">
        <v>0</v>
      </c>
      <c r="G85">
        <v>0</v>
      </c>
      <c r="H85">
        <v>0</v>
      </c>
      <c r="I85">
        <v>292</v>
      </c>
      <c r="J85">
        <v>-1435</v>
      </c>
      <c r="L85" s="1">
        <v>40976</v>
      </c>
      <c r="N85" t="s">
        <v>36</v>
      </c>
      <c r="O85" t="s">
        <v>37</v>
      </c>
      <c r="P85" t="s">
        <v>324</v>
      </c>
      <c r="Q85" t="s">
        <v>39</v>
      </c>
      <c r="R85" t="s">
        <v>40</v>
      </c>
      <c r="S85">
        <v>0</v>
      </c>
      <c r="U85" t="s">
        <v>41</v>
      </c>
      <c r="V85" t="s">
        <v>42</v>
      </c>
      <c r="X85" t="s">
        <v>43</v>
      </c>
      <c r="Y85" t="b">
        <v>0</v>
      </c>
      <c r="Z85" t="b">
        <v>0</v>
      </c>
      <c r="AC85" s="1"/>
      <c r="AF85">
        <v>0</v>
      </c>
      <c r="AG85">
        <v>45</v>
      </c>
      <c r="AH85">
        <v>337</v>
      </c>
      <c r="AI85" s="2">
        <f>Table__192.168.3.138DYLAgingReport[[#This Row],[NetAmount]]-Table__192.168.3.138DYLAgingReport[[#This Row],[Paid]]</f>
        <v>-1435</v>
      </c>
    </row>
    <row r="86" spans="1:35">
      <c r="A86" t="s">
        <v>564</v>
      </c>
      <c r="B86" s="1">
        <v>40977</v>
      </c>
      <c r="C86" s="1">
        <v>41022</v>
      </c>
      <c r="D86" t="s">
        <v>202</v>
      </c>
      <c r="E86">
        <v>-22</v>
      </c>
      <c r="F86">
        <v>-3</v>
      </c>
      <c r="G86">
        <v>0</v>
      </c>
      <c r="H86">
        <v>0</v>
      </c>
      <c r="I86">
        <v>291</v>
      </c>
      <c r="J86">
        <v>-25</v>
      </c>
      <c r="L86" s="1">
        <v>40977</v>
      </c>
      <c r="N86" t="s">
        <v>36</v>
      </c>
      <c r="O86" t="s">
        <v>37</v>
      </c>
      <c r="P86" t="s">
        <v>339</v>
      </c>
      <c r="Q86" t="s">
        <v>39</v>
      </c>
      <c r="R86" t="s">
        <v>40</v>
      </c>
      <c r="S86">
        <v>0</v>
      </c>
      <c r="U86" t="s">
        <v>41</v>
      </c>
      <c r="V86" t="s">
        <v>42</v>
      </c>
      <c r="X86" t="s">
        <v>43</v>
      </c>
      <c r="Y86" t="b">
        <v>0</v>
      </c>
      <c r="Z86" t="b">
        <v>0</v>
      </c>
      <c r="AC86" s="1"/>
      <c r="AF86">
        <v>0</v>
      </c>
      <c r="AG86">
        <v>45</v>
      </c>
      <c r="AH86">
        <v>336</v>
      </c>
      <c r="AI86" s="2">
        <f>Table__192.168.3.138DYLAgingReport[[#This Row],[NetAmount]]-Table__192.168.3.138DYLAgingReport[[#This Row],[Paid]]</f>
        <v>-25</v>
      </c>
    </row>
    <row r="87" spans="1:35">
      <c r="A87" t="s">
        <v>565</v>
      </c>
      <c r="B87" s="1">
        <v>40976</v>
      </c>
      <c r="C87" s="1">
        <v>41021</v>
      </c>
      <c r="D87" t="s">
        <v>208</v>
      </c>
      <c r="E87">
        <v>-2200</v>
      </c>
      <c r="F87">
        <v>-352</v>
      </c>
      <c r="G87">
        <v>0</v>
      </c>
      <c r="H87">
        <v>0</v>
      </c>
      <c r="I87">
        <v>299</v>
      </c>
      <c r="J87">
        <v>-2552</v>
      </c>
      <c r="L87" s="1">
        <v>40969</v>
      </c>
      <c r="N87" t="s">
        <v>36</v>
      </c>
      <c r="O87" t="s">
        <v>37</v>
      </c>
      <c r="P87" t="s">
        <v>345</v>
      </c>
      <c r="Q87" t="s">
        <v>39</v>
      </c>
      <c r="R87" t="s">
        <v>40</v>
      </c>
      <c r="S87">
        <v>0</v>
      </c>
      <c r="U87" t="s">
        <v>41</v>
      </c>
      <c r="V87" t="s">
        <v>42</v>
      </c>
      <c r="X87" t="s">
        <v>43</v>
      </c>
      <c r="Y87" t="b">
        <v>0</v>
      </c>
      <c r="Z87" t="b">
        <v>0</v>
      </c>
      <c r="AB87" t="s">
        <v>566</v>
      </c>
      <c r="AC87" s="1">
        <v>41183</v>
      </c>
      <c r="AE87" t="s">
        <v>567</v>
      </c>
      <c r="AF87">
        <v>0</v>
      </c>
      <c r="AG87">
        <v>45</v>
      </c>
      <c r="AH87">
        <v>344</v>
      </c>
      <c r="AI87" s="2">
        <f>Table__192.168.3.138DYLAgingReport[[#This Row],[NetAmount]]-Table__192.168.3.138DYLAgingReport[[#This Row],[Paid]]</f>
        <v>-2552</v>
      </c>
    </row>
    <row r="88" spans="1:35">
      <c r="A88" t="s">
        <v>568</v>
      </c>
      <c r="B88" s="1">
        <v>40996</v>
      </c>
      <c r="C88" s="1">
        <v>41041</v>
      </c>
      <c r="D88" t="s">
        <v>569</v>
      </c>
      <c r="E88">
        <v>-132189</v>
      </c>
      <c r="F88">
        <v>-21151</v>
      </c>
      <c r="G88">
        <v>0</v>
      </c>
      <c r="H88">
        <v>0</v>
      </c>
      <c r="I88">
        <v>299</v>
      </c>
      <c r="J88">
        <v>-153340</v>
      </c>
      <c r="L88" s="1">
        <v>40969</v>
      </c>
      <c r="N88" t="s">
        <v>36</v>
      </c>
      <c r="O88" t="s">
        <v>37</v>
      </c>
      <c r="P88" t="s">
        <v>433</v>
      </c>
      <c r="Q88" t="s">
        <v>39</v>
      </c>
      <c r="R88" t="s">
        <v>40</v>
      </c>
      <c r="S88">
        <v>0</v>
      </c>
      <c r="U88" t="s">
        <v>41</v>
      </c>
      <c r="V88" t="s">
        <v>42</v>
      </c>
      <c r="X88" t="s">
        <v>43</v>
      </c>
      <c r="Y88" t="b">
        <v>0</v>
      </c>
      <c r="Z88" t="b">
        <v>0</v>
      </c>
      <c r="AB88" t="s">
        <v>570</v>
      </c>
      <c r="AC88" s="1">
        <v>41176</v>
      </c>
      <c r="AE88" t="s">
        <v>571</v>
      </c>
      <c r="AF88">
        <v>0</v>
      </c>
      <c r="AG88">
        <v>45</v>
      </c>
      <c r="AH88">
        <v>344</v>
      </c>
      <c r="AI88" s="2">
        <f>Table__192.168.3.138DYLAgingReport[[#This Row],[NetAmount]]-Table__192.168.3.138DYLAgingReport[[#This Row],[Paid]]</f>
        <v>-153340</v>
      </c>
    </row>
    <row r="89" spans="1:35">
      <c r="A89" t="s">
        <v>572</v>
      </c>
      <c r="B89" s="1">
        <v>40983</v>
      </c>
      <c r="C89" s="1">
        <v>41028</v>
      </c>
      <c r="D89" t="s">
        <v>220</v>
      </c>
      <c r="E89">
        <v>-1718</v>
      </c>
      <c r="F89">
        <v>-275</v>
      </c>
      <c r="G89">
        <v>0</v>
      </c>
      <c r="H89">
        <v>0</v>
      </c>
      <c r="I89">
        <v>299</v>
      </c>
      <c r="J89">
        <v>-1993</v>
      </c>
      <c r="L89" s="1">
        <v>40969</v>
      </c>
      <c r="N89" t="s">
        <v>36</v>
      </c>
      <c r="O89" t="s">
        <v>37</v>
      </c>
      <c r="P89" t="s">
        <v>357</v>
      </c>
      <c r="Q89" t="s">
        <v>39</v>
      </c>
      <c r="R89" t="s">
        <v>40</v>
      </c>
      <c r="S89">
        <v>0</v>
      </c>
      <c r="U89" t="s">
        <v>41</v>
      </c>
      <c r="V89" t="s">
        <v>42</v>
      </c>
      <c r="X89" t="s">
        <v>43</v>
      </c>
      <c r="Y89" t="b">
        <v>0</v>
      </c>
      <c r="Z89" t="b">
        <v>0</v>
      </c>
      <c r="AB89" t="s">
        <v>528</v>
      </c>
      <c r="AC89" s="1">
        <v>41225</v>
      </c>
      <c r="AE89" t="s">
        <v>529</v>
      </c>
      <c r="AF89">
        <v>0</v>
      </c>
      <c r="AG89">
        <v>45</v>
      </c>
      <c r="AH89">
        <v>344</v>
      </c>
      <c r="AI89" s="2">
        <f>Table__192.168.3.138DYLAgingReport[[#This Row],[NetAmount]]-Table__192.168.3.138DYLAgingReport[[#This Row],[Paid]]</f>
        <v>-1993</v>
      </c>
    </row>
    <row r="90" spans="1:35">
      <c r="A90" t="s">
        <v>573</v>
      </c>
      <c r="B90" s="1">
        <v>40977</v>
      </c>
      <c r="C90" s="1">
        <v>40977</v>
      </c>
      <c r="D90" t="s">
        <v>236</v>
      </c>
      <c r="E90">
        <v>-120</v>
      </c>
      <c r="F90">
        <v>0</v>
      </c>
      <c r="G90">
        <v>0</v>
      </c>
      <c r="H90">
        <v>0</v>
      </c>
      <c r="I90">
        <v>291</v>
      </c>
      <c r="J90">
        <v>-120</v>
      </c>
      <c r="L90" s="1">
        <v>40977</v>
      </c>
      <c r="M90" t="s">
        <v>574</v>
      </c>
      <c r="N90" t="s">
        <v>36</v>
      </c>
      <c r="O90" t="s">
        <v>37</v>
      </c>
      <c r="P90" t="s">
        <v>373</v>
      </c>
      <c r="Q90" t="s">
        <v>39</v>
      </c>
      <c r="R90" t="s">
        <v>40</v>
      </c>
      <c r="S90">
        <v>0</v>
      </c>
      <c r="U90" t="s">
        <v>41</v>
      </c>
      <c r="V90" t="s">
        <v>42</v>
      </c>
      <c r="W90" t="s">
        <v>509</v>
      </c>
      <c r="X90" t="s">
        <v>43</v>
      </c>
      <c r="Y90" t="b">
        <v>0</v>
      </c>
      <c r="Z90" t="b">
        <v>0</v>
      </c>
      <c r="AA90" t="b">
        <v>0</v>
      </c>
      <c r="AC90" s="1"/>
      <c r="AF90">
        <v>0</v>
      </c>
      <c r="AG90">
        <v>45</v>
      </c>
      <c r="AH90">
        <v>336</v>
      </c>
      <c r="AI90" s="2">
        <f>Table__192.168.3.138DYLAgingReport[[#This Row],[NetAmount]]-Table__192.168.3.138DYLAgingReport[[#This Row],[Paid]]</f>
        <v>-120</v>
      </c>
    </row>
    <row r="91" spans="1:35">
      <c r="A91" t="s">
        <v>575</v>
      </c>
      <c r="B91" s="1">
        <v>40988</v>
      </c>
      <c r="C91" s="1">
        <v>41018</v>
      </c>
      <c r="D91" t="s">
        <v>250</v>
      </c>
      <c r="E91">
        <v>-5226</v>
      </c>
      <c r="F91">
        <v>-836</v>
      </c>
      <c r="G91">
        <v>0</v>
      </c>
      <c r="H91">
        <v>0</v>
      </c>
      <c r="I91">
        <v>299</v>
      </c>
      <c r="J91">
        <v>-6062</v>
      </c>
      <c r="L91" s="1">
        <v>40969</v>
      </c>
      <c r="N91" t="s">
        <v>36</v>
      </c>
      <c r="O91" t="s">
        <v>37</v>
      </c>
      <c r="P91" t="s">
        <v>387</v>
      </c>
      <c r="Q91" t="s">
        <v>39</v>
      </c>
      <c r="R91" t="s">
        <v>40</v>
      </c>
      <c r="S91">
        <v>0</v>
      </c>
      <c r="U91" t="s">
        <v>41</v>
      </c>
      <c r="V91" t="s">
        <v>42</v>
      </c>
      <c r="X91" t="s">
        <v>43</v>
      </c>
      <c r="Y91" t="b">
        <v>0</v>
      </c>
      <c r="Z91" t="b">
        <v>0</v>
      </c>
      <c r="AB91" t="s">
        <v>576</v>
      </c>
      <c r="AC91" s="1"/>
      <c r="AF91">
        <v>0</v>
      </c>
      <c r="AG91">
        <v>45</v>
      </c>
      <c r="AH91">
        <v>344</v>
      </c>
      <c r="AI91" s="2">
        <f>Table__192.168.3.138DYLAgingReport[[#This Row],[NetAmount]]-Table__192.168.3.138DYLAgingReport[[#This Row],[Paid]]</f>
        <v>-6062</v>
      </c>
    </row>
    <row r="92" spans="1:35">
      <c r="A92" t="s">
        <v>577</v>
      </c>
      <c r="B92" s="1">
        <v>40976</v>
      </c>
      <c r="C92" s="1">
        <v>41021</v>
      </c>
      <c r="D92" t="s">
        <v>258</v>
      </c>
      <c r="E92">
        <v>-1040</v>
      </c>
      <c r="F92">
        <v>-166</v>
      </c>
      <c r="G92">
        <v>0</v>
      </c>
      <c r="H92">
        <v>0</v>
      </c>
      <c r="I92">
        <v>299</v>
      </c>
      <c r="J92">
        <v>-1206</v>
      </c>
      <c r="L92" s="1">
        <v>40969</v>
      </c>
      <c r="M92" t="s">
        <v>10769</v>
      </c>
      <c r="N92" t="s">
        <v>36</v>
      </c>
      <c r="O92" t="s">
        <v>37</v>
      </c>
      <c r="P92" t="s">
        <v>395</v>
      </c>
      <c r="Q92" t="s">
        <v>39</v>
      </c>
      <c r="R92" t="s">
        <v>40</v>
      </c>
      <c r="S92">
        <v>0</v>
      </c>
      <c r="U92" t="s">
        <v>41</v>
      </c>
      <c r="V92" t="s">
        <v>42</v>
      </c>
      <c r="W92" t="s">
        <v>10768</v>
      </c>
      <c r="X92" t="s">
        <v>43</v>
      </c>
      <c r="Y92" t="b">
        <v>0</v>
      </c>
      <c r="Z92" t="b">
        <v>0</v>
      </c>
      <c r="AA92" t="b">
        <v>0</v>
      </c>
      <c r="AC92" s="1"/>
      <c r="AF92">
        <v>0</v>
      </c>
      <c r="AG92">
        <v>45</v>
      </c>
      <c r="AH92">
        <v>344</v>
      </c>
      <c r="AI92" s="2">
        <f>Table__192.168.3.138DYLAgingReport[[#This Row],[NetAmount]]-Table__192.168.3.138DYLAgingReport[[#This Row],[Paid]]</f>
        <v>-1206</v>
      </c>
    </row>
    <row r="93" spans="1:35">
      <c r="A93" t="s">
        <v>578</v>
      </c>
      <c r="B93" s="1">
        <v>40983</v>
      </c>
      <c r="C93" s="1">
        <v>41028</v>
      </c>
      <c r="D93" t="s">
        <v>264</v>
      </c>
      <c r="E93">
        <v>-46200</v>
      </c>
      <c r="F93">
        <v>-7392</v>
      </c>
      <c r="G93">
        <v>0</v>
      </c>
      <c r="H93">
        <v>0</v>
      </c>
      <c r="I93">
        <v>299</v>
      </c>
      <c r="J93">
        <v>-53592</v>
      </c>
      <c r="L93" s="1">
        <v>40969</v>
      </c>
      <c r="N93" t="s">
        <v>36</v>
      </c>
      <c r="O93" t="s">
        <v>37</v>
      </c>
      <c r="P93" t="s">
        <v>401</v>
      </c>
      <c r="Q93" t="s">
        <v>39</v>
      </c>
      <c r="R93" t="s">
        <v>40</v>
      </c>
      <c r="S93">
        <v>0</v>
      </c>
      <c r="U93" t="s">
        <v>41</v>
      </c>
      <c r="V93" t="s">
        <v>42</v>
      </c>
      <c r="X93" t="s">
        <v>43</v>
      </c>
      <c r="Y93" t="b">
        <v>0</v>
      </c>
      <c r="Z93" t="b">
        <v>0</v>
      </c>
      <c r="AC93" s="1"/>
      <c r="AF93">
        <v>0</v>
      </c>
      <c r="AG93">
        <v>45</v>
      </c>
      <c r="AH93">
        <v>344</v>
      </c>
      <c r="AI93" s="2">
        <f>Table__192.168.3.138DYLAgingReport[[#This Row],[NetAmount]]-Table__192.168.3.138DYLAgingReport[[#This Row],[Paid]]</f>
        <v>-53592</v>
      </c>
    </row>
    <row r="94" spans="1:35">
      <c r="A94" t="s">
        <v>579</v>
      </c>
      <c r="B94" s="1">
        <v>40988</v>
      </c>
      <c r="C94" s="1">
        <v>41033</v>
      </c>
      <c r="D94" t="s">
        <v>268</v>
      </c>
      <c r="E94">
        <v>-622</v>
      </c>
      <c r="F94">
        <v>-16</v>
      </c>
      <c r="G94">
        <v>0</v>
      </c>
      <c r="H94">
        <v>0</v>
      </c>
      <c r="I94">
        <v>299</v>
      </c>
      <c r="J94">
        <v>-638</v>
      </c>
      <c r="L94" s="1">
        <v>40969</v>
      </c>
      <c r="N94" t="s">
        <v>36</v>
      </c>
      <c r="O94" t="s">
        <v>37</v>
      </c>
      <c r="P94" t="s">
        <v>405</v>
      </c>
      <c r="Q94" t="s">
        <v>39</v>
      </c>
      <c r="R94" t="s">
        <v>40</v>
      </c>
      <c r="S94">
        <v>0</v>
      </c>
      <c r="U94" t="s">
        <v>41</v>
      </c>
      <c r="V94" t="s">
        <v>42</v>
      </c>
      <c r="X94" t="s">
        <v>43</v>
      </c>
      <c r="Y94" t="b">
        <v>0</v>
      </c>
      <c r="Z94" t="b">
        <v>0</v>
      </c>
      <c r="AB94" t="s">
        <v>542</v>
      </c>
      <c r="AC94" s="1">
        <v>41176</v>
      </c>
      <c r="AF94">
        <v>0</v>
      </c>
      <c r="AG94">
        <v>45</v>
      </c>
      <c r="AH94">
        <v>344</v>
      </c>
      <c r="AI94" s="2">
        <f>Table__192.168.3.138DYLAgingReport[[#This Row],[NetAmount]]-Table__192.168.3.138DYLAgingReport[[#This Row],[Paid]]</f>
        <v>-638</v>
      </c>
    </row>
    <row r="95" spans="1:35">
      <c r="A95" t="s">
        <v>580</v>
      </c>
      <c r="B95" s="1">
        <v>40995</v>
      </c>
      <c r="C95" s="1">
        <v>40995</v>
      </c>
      <c r="D95" t="s">
        <v>286</v>
      </c>
      <c r="E95">
        <v>-462</v>
      </c>
      <c r="F95">
        <v>0</v>
      </c>
      <c r="G95">
        <v>0</v>
      </c>
      <c r="H95">
        <v>0</v>
      </c>
      <c r="I95">
        <v>273</v>
      </c>
      <c r="J95">
        <v>-462</v>
      </c>
      <c r="L95" s="1">
        <v>40995</v>
      </c>
      <c r="N95" t="s">
        <v>36</v>
      </c>
      <c r="O95" t="s">
        <v>37</v>
      </c>
      <c r="P95" t="s">
        <v>423</v>
      </c>
      <c r="Q95" t="s">
        <v>39</v>
      </c>
      <c r="R95" t="s">
        <v>40</v>
      </c>
      <c r="S95">
        <v>0</v>
      </c>
      <c r="U95" t="s">
        <v>41</v>
      </c>
      <c r="V95" t="s">
        <v>42</v>
      </c>
      <c r="X95" t="s">
        <v>43</v>
      </c>
      <c r="Y95" t="b">
        <v>0</v>
      </c>
      <c r="Z95" t="b">
        <v>0</v>
      </c>
      <c r="AC95" s="1"/>
      <c r="AF95">
        <v>0</v>
      </c>
      <c r="AG95">
        <v>45</v>
      </c>
      <c r="AH95">
        <v>318</v>
      </c>
      <c r="AI95" s="2">
        <f>Table__192.168.3.138DYLAgingReport[[#This Row],[NetAmount]]-Table__192.168.3.138DYLAgingReport[[#This Row],[Paid]]</f>
        <v>-462</v>
      </c>
    </row>
    <row r="96" spans="1:35">
      <c r="A96" t="s">
        <v>581</v>
      </c>
      <c r="B96" s="1">
        <v>40983</v>
      </c>
      <c r="C96" s="1">
        <v>41028</v>
      </c>
      <c r="D96" t="s">
        <v>172</v>
      </c>
      <c r="E96">
        <v>-16664</v>
      </c>
      <c r="F96">
        <v>-2666</v>
      </c>
      <c r="G96">
        <v>0</v>
      </c>
      <c r="H96">
        <v>0</v>
      </c>
      <c r="I96">
        <v>299</v>
      </c>
      <c r="J96">
        <v>-19330</v>
      </c>
      <c r="L96" s="1">
        <v>40969</v>
      </c>
      <c r="N96" t="s">
        <v>36</v>
      </c>
      <c r="O96" t="s">
        <v>37</v>
      </c>
      <c r="P96" t="s">
        <v>309</v>
      </c>
      <c r="Q96" t="s">
        <v>39</v>
      </c>
      <c r="R96" t="s">
        <v>40</v>
      </c>
      <c r="S96">
        <v>0</v>
      </c>
      <c r="U96" t="s">
        <v>41</v>
      </c>
      <c r="V96" t="s">
        <v>42</v>
      </c>
      <c r="X96" t="s">
        <v>43</v>
      </c>
      <c r="Y96" t="b">
        <v>0</v>
      </c>
      <c r="Z96" t="b">
        <v>0</v>
      </c>
      <c r="AB96" t="s">
        <v>582</v>
      </c>
      <c r="AC96" s="1">
        <v>41296</v>
      </c>
      <c r="AF96">
        <v>0</v>
      </c>
      <c r="AG96">
        <v>45</v>
      </c>
      <c r="AH96">
        <v>344</v>
      </c>
      <c r="AI96" s="2">
        <f>Table__192.168.3.138DYLAgingReport[[#This Row],[NetAmount]]-Table__192.168.3.138DYLAgingReport[[#This Row],[Paid]]</f>
        <v>-19330</v>
      </c>
    </row>
    <row r="97" spans="1:35">
      <c r="A97" t="s">
        <v>583</v>
      </c>
      <c r="B97" s="1">
        <v>40991</v>
      </c>
      <c r="C97" s="1">
        <v>41036</v>
      </c>
      <c r="D97" t="s">
        <v>182</v>
      </c>
      <c r="E97">
        <v>-259</v>
      </c>
      <c r="F97">
        <v>0</v>
      </c>
      <c r="G97">
        <v>0</v>
      </c>
      <c r="H97">
        <v>0</v>
      </c>
      <c r="I97">
        <v>277</v>
      </c>
      <c r="J97">
        <v>-259</v>
      </c>
      <c r="L97" s="1">
        <v>40991</v>
      </c>
      <c r="M97" t="s">
        <v>584</v>
      </c>
      <c r="N97" t="s">
        <v>36</v>
      </c>
      <c r="O97" t="s">
        <v>37</v>
      </c>
      <c r="P97" t="s">
        <v>319</v>
      </c>
      <c r="Q97" t="s">
        <v>39</v>
      </c>
      <c r="R97" t="s">
        <v>40</v>
      </c>
      <c r="S97">
        <v>0</v>
      </c>
      <c r="U97" t="s">
        <v>41</v>
      </c>
      <c r="V97" t="s">
        <v>42</v>
      </c>
      <c r="W97" t="s">
        <v>585</v>
      </c>
      <c r="X97" t="s">
        <v>43</v>
      </c>
      <c r="Y97" t="b">
        <v>0</v>
      </c>
      <c r="Z97" t="b">
        <v>0</v>
      </c>
      <c r="AA97" t="b">
        <v>0</v>
      </c>
      <c r="AC97" s="1"/>
      <c r="AF97">
        <v>0</v>
      </c>
      <c r="AG97">
        <v>45</v>
      </c>
      <c r="AH97">
        <v>322</v>
      </c>
      <c r="AI97" s="2">
        <f>Table__192.168.3.138DYLAgingReport[[#This Row],[NetAmount]]-Table__192.168.3.138DYLAgingReport[[#This Row],[Paid]]</f>
        <v>-259</v>
      </c>
    </row>
    <row r="98" spans="1:35">
      <c r="A98" t="s">
        <v>49</v>
      </c>
      <c r="B98" s="1">
        <v>40996</v>
      </c>
      <c r="C98" s="1">
        <v>41041</v>
      </c>
      <c r="D98" t="s">
        <v>35</v>
      </c>
      <c r="E98">
        <v>-5250</v>
      </c>
      <c r="F98">
        <v>-840</v>
      </c>
      <c r="G98">
        <v>0</v>
      </c>
      <c r="H98">
        <v>0</v>
      </c>
      <c r="I98">
        <v>299</v>
      </c>
      <c r="J98">
        <v>-6090</v>
      </c>
      <c r="L98" s="1">
        <v>40969</v>
      </c>
      <c r="N98" t="s">
        <v>36</v>
      </c>
      <c r="O98" t="s">
        <v>37</v>
      </c>
      <c r="P98" t="s">
        <v>38</v>
      </c>
      <c r="Q98" t="s">
        <v>39</v>
      </c>
      <c r="R98" t="s">
        <v>40</v>
      </c>
      <c r="S98">
        <v>0</v>
      </c>
      <c r="U98" t="s">
        <v>41</v>
      </c>
      <c r="V98" t="s">
        <v>42</v>
      </c>
      <c r="X98" t="s">
        <v>43</v>
      </c>
      <c r="Y98" t="b">
        <v>0</v>
      </c>
      <c r="Z98" t="b">
        <v>0</v>
      </c>
      <c r="AB98" t="s">
        <v>46</v>
      </c>
      <c r="AC98" s="1">
        <v>41185</v>
      </c>
      <c r="AE98" t="s">
        <v>48</v>
      </c>
      <c r="AF98">
        <v>0</v>
      </c>
      <c r="AG98">
        <v>45</v>
      </c>
      <c r="AH98">
        <v>344</v>
      </c>
      <c r="AI98" s="2">
        <f>Table__192.168.3.138DYLAgingReport[[#This Row],[NetAmount]]-Table__192.168.3.138DYLAgingReport[[#This Row],[Paid]]</f>
        <v>-6090</v>
      </c>
    </row>
    <row r="99" spans="1:35">
      <c r="A99" t="s">
        <v>586</v>
      </c>
      <c r="B99" s="1">
        <v>40996</v>
      </c>
      <c r="C99" s="1">
        <v>41041</v>
      </c>
      <c r="D99" t="s">
        <v>187</v>
      </c>
      <c r="E99">
        <v>-2867</v>
      </c>
      <c r="F99">
        <v>-7</v>
      </c>
      <c r="G99">
        <v>0</v>
      </c>
      <c r="H99">
        <v>0</v>
      </c>
      <c r="I99">
        <v>292</v>
      </c>
      <c r="J99">
        <v>-2874</v>
      </c>
      <c r="L99" s="1">
        <v>40976</v>
      </c>
      <c r="N99" t="s">
        <v>36</v>
      </c>
      <c r="O99" t="s">
        <v>37</v>
      </c>
      <c r="P99" t="s">
        <v>324</v>
      </c>
      <c r="Q99" t="s">
        <v>39</v>
      </c>
      <c r="R99" t="s">
        <v>40</v>
      </c>
      <c r="S99">
        <v>0</v>
      </c>
      <c r="U99" t="s">
        <v>41</v>
      </c>
      <c r="V99" t="s">
        <v>42</v>
      </c>
      <c r="X99" t="s">
        <v>43</v>
      </c>
      <c r="Y99" t="b">
        <v>0</v>
      </c>
      <c r="Z99" t="b">
        <v>0</v>
      </c>
      <c r="AC99" s="1"/>
      <c r="AF99">
        <v>0</v>
      </c>
      <c r="AG99">
        <v>45</v>
      </c>
      <c r="AH99">
        <v>337</v>
      </c>
      <c r="AI99" s="2">
        <f>Table__192.168.3.138DYLAgingReport[[#This Row],[NetAmount]]-Table__192.168.3.138DYLAgingReport[[#This Row],[Paid]]</f>
        <v>-2874</v>
      </c>
    </row>
    <row r="100" spans="1:35">
      <c r="A100" t="s">
        <v>587</v>
      </c>
      <c r="B100" s="1">
        <v>40996</v>
      </c>
      <c r="C100" s="1">
        <v>41041</v>
      </c>
      <c r="D100" t="s">
        <v>190</v>
      </c>
      <c r="E100">
        <v>-315</v>
      </c>
      <c r="F100">
        <v>-50</v>
      </c>
      <c r="G100">
        <v>0</v>
      </c>
      <c r="H100">
        <v>0</v>
      </c>
      <c r="I100">
        <v>272</v>
      </c>
      <c r="J100">
        <v>-365</v>
      </c>
      <c r="L100" s="1">
        <v>40996</v>
      </c>
      <c r="M100" t="s">
        <v>5336</v>
      </c>
      <c r="N100" t="s">
        <v>36</v>
      </c>
      <c r="O100" t="s">
        <v>37</v>
      </c>
      <c r="P100" t="s">
        <v>327</v>
      </c>
      <c r="Q100" t="s">
        <v>39</v>
      </c>
      <c r="R100" t="s">
        <v>40</v>
      </c>
      <c r="S100">
        <v>0</v>
      </c>
      <c r="U100" t="s">
        <v>41</v>
      </c>
      <c r="V100" t="s">
        <v>42</v>
      </c>
      <c r="W100" t="s">
        <v>5337</v>
      </c>
      <c r="X100" t="s">
        <v>43</v>
      </c>
      <c r="Y100" t="b">
        <v>0</v>
      </c>
      <c r="Z100" t="b">
        <v>0</v>
      </c>
      <c r="AA100" t="b">
        <v>0</v>
      </c>
      <c r="AC100" s="1"/>
      <c r="AF100">
        <v>0</v>
      </c>
      <c r="AG100">
        <v>45</v>
      </c>
      <c r="AH100">
        <v>317</v>
      </c>
      <c r="AI100" s="2">
        <f>Table__192.168.3.138DYLAgingReport[[#This Row],[NetAmount]]-Table__192.168.3.138DYLAgingReport[[#This Row],[Paid]]</f>
        <v>-365</v>
      </c>
    </row>
    <row r="101" spans="1:35">
      <c r="A101" t="s">
        <v>588</v>
      </c>
      <c r="B101" s="1">
        <v>40977</v>
      </c>
      <c r="C101" s="1">
        <v>41022</v>
      </c>
      <c r="D101" t="s">
        <v>201</v>
      </c>
      <c r="E101">
        <v>-112</v>
      </c>
      <c r="F101">
        <v>-18</v>
      </c>
      <c r="G101">
        <v>0</v>
      </c>
      <c r="H101">
        <v>0</v>
      </c>
      <c r="I101">
        <v>291</v>
      </c>
      <c r="J101">
        <v>-130</v>
      </c>
      <c r="L101" s="1">
        <v>40977</v>
      </c>
      <c r="N101" t="s">
        <v>36</v>
      </c>
      <c r="O101" t="s">
        <v>37</v>
      </c>
      <c r="P101" t="s">
        <v>338</v>
      </c>
      <c r="Q101" t="s">
        <v>39</v>
      </c>
      <c r="R101" t="s">
        <v>40</v>
      </c>
      <c r="S101">
        <v>0</v>
      </c>
      <c r="U101" t="s">
        <v>41</v>
      </c>
      <c r="V101" t="s">
        <v>42</v>
      </c>
      <c r="X101" t="s">
        <v>43</v>
      </c>
      <c r="Y101" t="b">
        <v>0</v>
      </c>
      <c r="Z101" t="b">
        <v>0</v>
      </c>
      <c r="AB101" t="s">
        <v>485</v>
      </c>
      <c r="AC101" s="1">
        <v>41236</v>
      </c>
      <c r="AF101">
        <v>0</v>
      </c>
      <c r="AG101">
        <v>45</v>
      </c>
      <c r="AH101">
        <v>336</v>
      </c>
      <c r="AI101" s="2">
        <f>Table__192.168.3.138DYLAgingReport[[#This Row],[NetAmount]]-Table__192.168.3.138DYLAgingReport[[#This Row],[Paid]]</f>
        <v>-130</v>
      </c>
    </row>
    <row r="102" spans="1:35">
      <c r="A102" t="s">
        <v>589</v>
      </c>
      <c r="B102" s="1">
        <v>40977</v>
      </c>
      <c r="C102" s="1">
        <v>41022</v>
      </c>
      <c r="D102" t="s">
        <v>202</v>
      </c>
      <c r="E102">
        <v>-134</v>
      </c>
      <c r="F102">
        <v>-22</v>
      </c>
      <c r="G102">
        <v>0</v>
      </c>
      <c r="H102">
        <v>0</v>
      </c>
      <c r="I102">
        <v>291</v>
      </c>
      <c r="J102">
        <v>-156</v>
      </c>
      <c r="L102" s="1">
        <v>40977</v>
      </c>
      <c r="N102" t="s">
        <v>36</v>
      </c>
      <c r="O102" t="s">
        <v>37</v>
      </c>
      <c r="P102" t="s">
        <v>339</v>
      </c>
      <c r="Q102" t="s">
        <v>39</v>
      </c>
      <c r="R102" t="s">
        <v>40</v>
      </c>
      <c r="S102">
        <v>0</v>
      </c>
      <c r="U102" t="s">
        <v>41</v>
      </c>
      <c r="V102" t="s">
        <v>42</v>
      </c>
      <c r="X102" t="s">
        <v>43</v>
      </c>
      <c r="Y102" t="b">
        <v>0</v>
      </c>
      <c r="Z102" t="b">
        <v>0</v>
      </c>
      <c r="AC102" s="1"/>
      <c r="AF102">
        <v>0</v>
      </c>
      <c r="AG102">
        <v>45</v>
      </c>
      <c r="AH102">
        <v>336</v>
      </c>
      <c r="AI102" s="2">
        <f>Table__192.168.3.138DYLAgingReport[[#This Row],[NetAmount]]-Table__192.168.3.138DYLAgingReport[[#This Row],[Paid]]</f>
        <v>-156</v>
      </c>
    </row>
    <row r="103" spans="1:35">
      <c r="A103" t="s">
        <v>590</v>
      </c>
      <c r="B103" s="1">
        <v>40991</v>
      </c>
      <c r="C103" s="1">
        <v>41036</v>
      </c>
      <c r="D103" t="s">
        <v>207</v>
      </c>
      <c r="E103">
        <v>-1179</v>
      </c>
      <c r="F103">
        <v>-189</v>
      </c>
      <c r="G103">
        <v>0</v>
      </c>
      <c r="H103">
        <v>0</v>
      </c>
      <c r="I103">
        <v>291</v>
      </c>
      <c r="J103">
        <v>-1368</v>
      </c>
      <c r="L103" s="1">
        <v>40977</v>
      </c>
      <c r="N103" t="s">
        <v>36</v>
      </c>
      <c r="O103" t="s">
        <v>37</v>
      </c>
      <c r="P103" t="s">
        <v>344</v>
      </c>
      <c r="Q103" t="s">
        <v>39</v>
      </c>
      <c r="R103" t="s">
        <v>40</v>
      </c>
      <c r="S103">
        <v>0</v>
      </c>
      <c r="U103" t="s">
        <v>41</v>
      </c>
      <c r="V103" t="s">
        <v>42</v>
      </c>
      <c r="X103" t="s">
        <v>43</v>
      </c>
      <c r="Y103" t="b">
        <v>0</v>
      </c>
      <c r="Z103" t="b">
        <v>0</v>
      </c>
      <c r="AC103" s="1"/>
      <c r="AF103">
        <v>0</v>
      </c>
      <c r="AG103">
        <v>45</v>
      </c>
      <c r="AH103">
        <v>336</v>
      </c>
      <c r="AI103" s="2">
        <f>Table__192.168.3.138DYLAgingReport[[#This Row],[NetAmount]]-Table__192.168.3.138DYLAgingReport[[#This Row],[Paid]]</f>
        <v>-1368</v>
      </c>
    </row>
    <row r="104" spans="1:35">
      <c r="A104" t="s">
        <v>591</v>
      </c>
      <c r="B104" s="1">
        <v>40996</v>
      </c>
      <c r="C104" s="1">
        <v>40996</v>
      </c>
      <c r="D104" t="s">
        <v>214</v>
      </c>
      <c r="E104">
        <v>-94952</v>
      </c>
      <c r="F104">
        <v>0</v>
      </c>
      <c r="G104">
        <v>0</v>
      </c>
      <c r="H104">
        <v>0</v>
      </c>
      <c r="I104">
        <v>299</v>
      </c>
      <c r="J104">
        <v>-94952</v>
      </c>
      <c r="L104" s="1">
        <v>40969</v>
      </c>
      <c r="N104" t="s">
        <v>36</v>
      </c>
      <c r="O104" t="s">
        <v>37</v>
      </c>
      <c r="P104" t="s">
        <v>351</v>
      </c>
      <c r="Q104" t="s">
        <v>39</v>
      </c>
      <c r="R104" t="s">
        <v>40</v>
      </c>
      <c r="S104">
        <v>0</v>
      </c>
      <c r="U104" t="s">
        <v>41</v>
      </c>
      <c r="V104" t="s">
        <v>42</v>
      </c>
      <c r="X104" t="s">
        <v>43</v>
      </c>
      <c r="Y104" t="b">
        <v>0</v>
      </c>
      <c r="Z104" t="b">
        <v>0</v>
      </c>
      <c r="AC104" s="1"/>
      <c r="AF104">
        <v>0</v>
      </c>
      <c r="AG104">
        <v>45</v>
      </c>
      <c r="AH104">
        <v>344</v>
      </c>
      <c r="AI104" s="2">
        <f>Table__192.168.3.138DYLAgingReport[[#This Row],[NetAmount]]-Table__192.168.3.138DYLAgingReport[[#This Row],[Paid]]</f>
        <v>-94952</v>
      </c>
    </row>
    <row r="105" spans="1:35">
      <c r="A105" t="s">
        <v>592</v>
      </c>
      <c r="B105" s="1">
        <v>40991</v>
      </c>
      <c r="C105" s="1">
        <v>41036</v>
      </c>
      <c r="D105" t="s">
        <v>569</v>
      </c>
      <c r="E105">
        <v>-1455</v>
      </c>
      <c r="F105">
        <v>-233</v>
      </c>
      <c r="G105">
        <v>0</v>
      </c>
      <c r="H105">
        <v>0</v>
      </c>
      <c r="I105">
        <v>299</v>
      </c>
      <c r="J105">
        <v>-1688</v>
      </c>
      <c r="L105" s="1">
        <v>40969</v>
      </c>
      <c r="N105" t="s">
        <v>36</v>
      </c>
      <c r="O105" t="s">
        <v>37</v>
      </c>
      <c r="P105" t="s">
        <v>433</v>
      </c>
      <c r="Q105" t="s">
        <v>39</v>
      </c>
      <c r="R105" t="s">
        <v>40</v>
      </c>
      <c r="S105">
        <v>0</v>
      </c>
      <c r="U105" t="s">
        <v>41</v>
      </c>
      <c r="V105" t="s">
        <v>42</v>
      </c>
      <c r="X105" t="s">
        <v>43</v>
      </c>
      <c r="Y105" t="b">
        <v>0</v>
      </c>
      <c r="Z105" t="b">
        <v>0</v>
      </c>
      <c r="AB105" t="s">
        <v>570</v>
      </c>
      <c r="AC105" s="1">
        <v>41176</v>
      </c>
      <c r="AE105" t="s">
        <v>571</v>
      </c>
      <c r="AF105">
        <v>0</v>
      </c>
      <c r="AG105">
        <v>45</v>
      </c>
      <c r="AH105">
        <v>344</v>
      </c>
      <c r="AI105" s="2">
        <f>Table__192.168.3.138DYLAgingReport[[#This Row],[NetAmount]]-Table__192.168.3.138DYLAgingReport[[#This Row],[Paid]]</f>
        <v>-1688</v>
      </c>
    </row>
    <row r="106" spans="1:35">
      <c r="A106" t="s">
        <v>593</v>
      </c>
      <c r="B106" s="1">
        <v>40996</v>
      </c>
      <c r="C106" s="1">
        <v>41041</v>
      </c>
      <c r="D106" t="s">
        <v>220</v>
      </c>
      <c r="E106">
        <v>-4840</v>
      </c>
      <c r="F106">
        <v>-774</v>
      </c>
      <c r="G106">
        <v>0</v>
      </c>
      <c r="H106">
        <v>0</v>
      </c>
      <c r="I106">
        <v>299</v>
      </c>
      <c r="J106">
        <v>-5614</v>
      </c>
      <c r="L106" s="1">
        <v>40969</v>
      </c>
      <c r="N106" t="s">
        <v>36</v>
      </c>
      <c r="O106" t="s">
        <v>37</v>
      </c>
      <c r="P106" t="s">
        <v>357</v>
      </c>
      <c r="Q106" t="s">
        <v>39</v>
      </c>
      <c r="R106" t="s">
        <v>40</v>
      </c>
      <c r="S106">
        <v>0</v>
      </c>
      <c r="U106" t="s">
        <v>41</v>
      </c>
      <c r="V106" t="s">
        <v>42</v>
      </c>
      <c r="X106" t="s">
        <v>43</v>
      </c>
      <c r="Y106" t="b">
        <v>0</v>
      </c>
      <c r="Z106" t="b">
        <v>0</v>
      </c>
      <c r="AB106" t="s">
        <v>528</v>
      </c>
      <c r="AC106" s="1">
        <v>41225</v>
      </c>
      <c r="AE106" t="s">
        <v>529</v>
      </c>
      <c r="AF106">
        <v>0</v>
      </c>
      <c r="AG106">
        <v>45</v>
      </c>
      <c r="AH106">
        <v>344</v>
      </c>
      <c r="AI106" s="2">
        <f>Table__192.168.3.138DYLAgingReport[[#This Row],[NetAmount]]-Table__192.168.3.138DYLAgingReport[[#This Row],[Paid]]</f>
        <v>-5614</v>
      </c>
    </row>
    <row r="107" spans="1:35">
      <c r="A107" t="s">
        <v>594</v>
      </c>
      <c r="B107" s="1">
        <v>40969</v>
      </c>
      <c r="C107" s="1">
        <v>41014</v>
      </c>
      <c r="D107" t="s">
        <v>268</v>
      </c>
      <c r="E107">
        <v>-45</v>
      </c>
      <c r="F107">
        <v>-7</v>
      </c>
      <c r="G107">
        <v>0</v>
      </c>
      <c r="H107">
        <v>0</v>
      </c>
      <c r="I107">
        <v>299</v>
      </c>
      <c r="J107">
        <v>-52</v>
      </c>
      <c r="L107" s="1">
        <v>40969</v>
      </c>
      <c r="N107" t="s">
        <v>36</v>
      </c>
      <c r="O107" t="s">
        <v>37</v>
      </c>
      <c r="P107" t="s">
        <v>405</v>
      </c>
      <c r="Q107" t="s">
        <v>39</v>
      </c>
      <c r="R107" t="s">
        <v>40</v>
      </c>
      <c r="S107">
        <v>0</v>
      </c>
      <c r="U107" t="s">
        <v>41</v>
      </c>
      <c r="V107" t="s">
        <v>42</v>
      </c>
      <c r="X107" t="s">
        <v>43</v>
      </c>
      <c r="Y107" t="b">
        <v>0</v>
      </c>
      <c r="Z107" t="b">
        <v>0</v>
      </c>
      <c r="AB107" t="s">
        <v>542</v>
      </c>
      <c r="AC107" s="1">
        <v>41176</v>
      </c>
      <c r="AF107">
        <v>0</v>
      </c>
      <c r="AG107">
        <v>45</v>
      </c>
      <c r="AH107">
        <v>344</v>
      </c>
      <c r="AI107" s="2">
        <f>Table__192.168.3.138DYLAgingReport[[#This Row],[NetAmount]]-Table__192.168.3.138DYLAgingReport[[#This Row],[Paid]]</f>
        <v>-52</v>
      </c>
    </row>
    <row r="108" spans="1:35">
      <c r="A108" t="s">
        <v>595</v>
      </c>
      <c r="B108" s="1">
        <v>40977</v>
      </c>
      <c r="C108" s="1">
        <v>40977</v>
      </c>
      <c r="D108" t="s">
        <v>188</v>
      </c>
      <c r="E108">
        <v>-410</v>
      </c>
      <c r="F108">
        <v>-66</v>
      </c>
      <c r="G108">
        <v>0</v>
      </c>
      <c r="H108">
        <v>0</v>
      </c>
      <c r="I108">
        <v>291</v>
      </c>
      <c r="J108">
        <v>-476</v>
      </c>
      <c r="L108" s="1">
        <v>40977</v>
      </c>
      <c r="N108" t="s">
        <v>36</v>
      </c>
      <c r="O108" t="s">
        <v>37</v>
      </c>
      <c r="P108" t="s">
        <v>325</v>
      </c>
      <c r="Q108" t="s">
        <v>39</v>
      </c>
      <c r="R108" t="s">
        <v>40</v>
      </c>
      <c r="S108">
        <v>0</v>
      </c>
      <c r="U108" t="s">
        <v>41</v>
      </c>
      <c r="V108" t="s">
        <v>42</v>
      </c>
      <c r="X108" t="s">
        <v>43</v>
      </c>
      <c r="Y108" t="b">
        <v>0</v>
      </c>
      <c r="Z108" t="b">
        <v>0</v>
      </c>
      <c r="AC108" s="1"/>
      <c r="AF108">
        <v>0</v>
      </c>
      <c r="AG108">
        <v>45</v>
      </c>
      <c r="AH108">
        <v>336</v>
      </c>
      <c r="AI108" s="2">
        <f>Table__192.168.3.138DYLAgingReport[[#This Row],[NetAmount]]-Table__192.168.3.138DYLAgingReport[[#This Row],[Paid]]</f>
        <v>-476</v>
      </c>
    </row>
    <row r="109" spans="1:35">
      <c r="A109" t="s">
        <v>596</v>
      </c>
      <c r="B109" s="1">
        <v>40991</v>
      </c>
      <c r="C109" s="1">
        <v>41036</v>
      </c>
      <c r="D109" t="s">
        <v>207</v>
      </c>
      <c r="E109">
        <v>-1265</v>
      </c>
      <c r="F109">
        <v>-202</v>
      </c>
      <c r="G109">
        <v>0</v>
      </c>
      <c r="H109">
        <v>0</v>
      </c>
      <c r="I109">
        <v>285</v>
      </c>
      <c r="J109">
        <v>-1467</v>
      </c>
      <c r="L109" s="1">
        <v>40983</v>
      </c>
      <c r="N109" t="s">
        <v>36</v>
      </c>
      <c r="O109" t="s">
        <v>37</v>
      </c>
      <c r="P109" t="s">
        <v>344</v>
      </c>
      <c r="Q109" t="s">
        <v>39</v>
      </c>
      <c r="R109" t="s">
        <v>40</v>
      </c>
      <c r="S109">
        <v>0</v>
      </c>
      <c r="U109" t="s">
        <v>41</v>
      </c>
      <c r="V109" t="s">
        <v>42</v>
      </c>
      <c r="X109" t="s">
        <v>43</v>
      </c>
      <c r="Y109" t="b">
        <v>0</v>
      </c>
      <c r="Z109" t="b">
        <v>0</v>
      </c>
      <c r="AC109" s="1"/>
      <c r="AF109">
        <v>0</v>
      </c>
      <c r="AG109">
        <v>45</v>
      </c>
      <c r="AH109">
        <v>330</v>
      </c>
      <c r="AI109" s="2">
        <f>Table__192.168.3.138DYLAgingReport[[#This Row],[NetAmount]]-Table__192.168.3.138DYLAgingReport[[#This Row],[Paid]]</f>
        <v>-1467</v>
      </c>
    </row>
    <row r="110" spans="1:35">
      <c r="A110" t="s">
        <v>597</v>
      </c>
      <c r="B110" s="1">
        <v>40991</v>
      </c>
      <c r="C110" s="1">
        <v>41036</v>
      </c>
      <c r="D110" t="s">
        <v>219</v>
      </c>
      <c r="E110">
        <v>-1228</v>
      </c>
      <c r="F110">
        <v>-197</v>
      </c>
      <c r="G110">
        <v>0</v>
      </c>
      <c r="H110">
        <v>0</v>
      </c>
      <c r="I110">
        <v>299</v>
      </c>
      <c r="J110">
        <v>-1425</v>
      </c>
      <c r="L110" s="1">
        <v>40969</v>
      </c>
      <c r="N110" t="s">
        <v>36</v>
      </c>
      <c r="O110" t="s">
        <v>37</v>
      </c>
      <c r="P110" t="s">
        <v>356</v>
      </c>
      <c r="Q110" t="s">
        <v>39</v>
      </c>
      <c r="R110" t="s">
        <v>40</v>
      </c>
      <c r="S110">
        <v>0</v>
      </c>
      <c r="U110" t="s">
        <v>41</v>
      </c>
      <c r="V110" t="s">
        <v>42</v>
      </c>
      <c r="X110" t="s">
        <v>43</v>
      </c>
      <c r="Y110" t="b">
        <v>0</v>
      </c>
      <c r="Z110" t="b">
        <v>0</v>
      </c>
      <c r="AC110" s="1"/>
      <c r="AF110">
        <v>0</v>
      </c>
      <c r="AG110">
        <v>45</v>
      </c>
      <c r="AH110">
        <v>344</v>
      </c>
      <c r="AI110" s="2">
        <f>Table__192.168.3.138DYLAgingReport[[#This Row],[NetAmount]]-Table__192.168.3.138DYLAgingReport[[#This Row],[Paid]]</f>
        <v>-1425</v>
      </c>
    </row>
    <row r="111" spans="1:35">
      <c r="A111" t="s">
        <v>598</v>
      </c>
      <c r="B111" s="1">
        <v>41019</v>
      </c>
      <c r="C111" s="1">
        <v>41064</v>
      </c>
      <c r="D111" t="s">
        <v>168</v>
      </c>
      <c r="E111">
        <v>-495</v>
      </c>
      <c r="F111">
        <v>-79</v>
      </c>
      <c r="G111">
        <v>0</v>
      </c>
      <c r="H111">
        <v>0</v>
      </c>
      <c r="I111">
        <v>249</v>
      </c>
      <c r="J111">
        <v>-574</v>
      </c>
      <c r="L111" s="1">
        <v>41019</v>
      </c>
      <c r="N111" t="s">
        <v>36</v>
      </c>
      <c r="O111" t="s">
        <v>37</v>
      </c>
      <c r="P111" t="s">
        <v>305</v>
      </c>
      <c r="Q111" t="s">
        <v>39</v>
      </c>
      <c r="R111" t="s">
        <v>40</v>
      </c>
      <c r="S111">
        <v>0</v>
      </c>
      <c r="U111" t="s">
        <v>41</v>
      </c>
      <c r="V111" t="s">
        <v>42</v>
      </c>
      <c r="X111" t="s">
        <v>43</v>
      </c>
      <c r="Y111" t="b">
        <v>0</v>
      </c>
      <c r="Z111" t="b">
        <v>0</v>
      </c>
      <c r="AB111" t="s">
        <v>599</v>
      </c>
      <c r="AC111" s="1">
        <v>41080</v>
      </c>
      <c r="AE111" t="s">
        <v>600</v>
      </c>
      <c r="AF111">
        <v>0</v>
      </c>
      <c r="AG111">
        <v>45</v>
      </c>
      <c r="AH111">
        <v>294</v>
      </c>
      <c r="AI111" s="2">
        <f>Table__192.168.3.138DYLAgingReport[[#This Row],[NetAmount]]-Table__192.168.3.138DYLAgingReport[[#This Row],[Paid]]</f>
        <v>-574</v>
      </c>
    </row>
    <row r="112" spans="1:35">
      <c r="A112" t="s">
        <v>50</v>
      </c>
      <c r="B112" s="1">
        <v>41018</v>
      </c>
      <c r="C112" s="1">
        <v>41063</v>
      </c>
      <c r="D112" t="s">
        <v>35</v>
      </c>
      <c r="E112">
        <v>-7800</v>
      </c>
      <c r="F112">
        <v>-1248</v>
      </c>
      <c r="G112">
        <v>0</v>
      </c>
      <c r="H112">
        <v>0</v>
      </c>
      <c r="I112">
        <v>265</v>
      </c>
      <c r="J112">
        <v>-9048</v>
      </c>
      <c r="L112" s="1">
        <v>41003</v>
      </c>
      <c r="N112" t="s">
        <v>36</v>
      </c>
      <c r="O112" t="s">
        <v>37</v>
      </c>
      <c r="P112" t="s">
        <v>38</v>
      </c>
      <c r="Q112" t="s">
        <v>39</v>
      </c>
      <c r="R112" t="s">
        <v>40</v>
      </c>
      <c r="S112">
        <v>0</v>
      </c>
      <c r="U112" t="s">
        <v>41</v>
      </c>
      <c r="V112" t="s">
        <v>42</v>
      </c>
      <c r="X112" t="s">
        <v>43</v>
      </c>
      <c r="Y112" t="b">
        <v>0</v>
      </c>
      <c r="Z112" t="b">
        <v>0</v>
      </c>
      <c r="AB112" t="s">
        <v>46</v>
      </c>
      <c r="AC112" s="1">
        <v>41185</v>
      </c>
      <c r="AE112" t="s">
        <v>48</v>
      </c>
      <c r="AF112">
        <v>0</v>
      </c>
      <c r="AG112">
        <v>45</v>
      </c>
      <c r="AH112">
        <v>310</v>
      </c>
      <c r="AI112" s="2">
        <f>Table__192.168.3.138DYLAgingReport[[#This Row],[NetAmount]]-Table__192.168.3.138DYLAgingReport[[#This Row],[Paid]]</f>
        <v>-9048</v>
      </c>
    </row>
    <row r="113" spans="1:35">
      <c r="A113" t="s">
        <v>601</v>
      </c>
      <c r="B113" s="1">
        <v>41025</v>
      </c>
      <c r="C113" s="1">
        <v>41070</v>
      </c>
      <c r="D113" t="s">
        <v>187</v>
      </c>
      <c r="E113">
        <v>-18535</v>
      </c>
      <c r="F113">
        <v>-3</v>
      </c>
      <c r="G113">
        <v>0</v>
      </c>
      <c r="H113">
        <v>0</v>
      </c>
      <c r="I113">
        <v>266</v>
      </c>
      <c r="J113">
        <v>-18538</v>
      </c>
      <c r="L113" s="1">
        <v>41002</v>
      </c>
      <c r="N113" t="s">
        <v>36</v>
      </c>
      <c r="O113" t="s">
        <v>37</v>
      </c>
      <c r="P113" t="s">
        <v>324</v>
      </c>
      <c r="Q113" t="s">
        <v>39</v>
      </c>
      <c r="R113" t="s">
        <v>40</v>
      </c>
      <c r="S113">
        <v>0</v>
      </c>
      <c r="U113" t="s">
        <v>41</v>
      </c>
      <c r="V113" t="s">
        <v>42</v>
      </c>
      <c r="X113" t="s">
        <v>43</v>
      </c>
      <c r="Y113" t="b">
        <v>0</v>
      </c>
      <c r="Z113" t="b">
        <v>0</v>
      </c>
      <c r="AC113" s="1"/>
      <c r="AF113">
        <v>0</v>
      </c>
      <c r="AG113">
        <v>45</v>
      </c>
      <c r="AH113">
        <v>311</v>
      </c>
      <c r="AI113" s="2">
        <f>Table__192.168.3.138DYLAgingReport[[#This Row],[NetAmount]]-Table__192.168.3.138DYLAgingReport[[#This Row],[Paid]]</f>
        <v>-18538</v>
      </c>
    </row>
    <row r="114" spans="1:35">
      <c r="A114" t="s">
        <v>602</v>
      </c>
      <c r="B114" s="1">
        <v>41025</v>
      </c>
      <c r="C114" s="1">
        <v>41070</v>
      </c>
      <c r="D114" t="s">
        <v>207</v>
      </c>
      <c r="E114">
        <v>-383</v>
      </c>
      <c r="F114">
        <v>-61</v>
      </c>
      <c r="G114">
        <v>0</v>
      </c>
      <c r="H114">
        <v>0</v>
      </c>
      <c r="I114">
        <v>265</v>
      </c>
      <c r="J114">
        <v>-444</v>
      </c>
      <c r="L114" s="1">
        <v>41003</v>
      </c>
      <c r="N114" t="s">
        <v>36</v>
      </c>
      <c r="O114" t="s">
        <v>37</v>
      </c>
      <c r="P114" t="s">
        <v>344</v>
      </c>
      <c r="Q114" t="s">
        <v>39</v>
      </c>
      <c r="R114" t="s">
        <v>40</v>
      </c>
      <c r="S114">
        <v>0</v>
      </c>
      <c r="U114" t="s">
        <v>41</v>
      </c>
      <c r="V114" t="s">
        <v>42</v>
      </c>
      <c r="X114" t="s">
        <v>43</v>
      </c>
      <c r="Y114" t="b">
        <v>0</v>
      </c>
      <c r="Z114" t="b">
        <v>0</v>
      </c>
      <c r="AC114" s="1"/>
      <c r="AF114">
        <v>0</v>
      </c>
      <c r="AG114">
        <v>45</v>
      </c>
      <c r="AH114">
        <v>310</v>
      </c>
      <c r="AI114" s="2">
        <f>Table__192.168.3.138DYLAgingReport[[#This Row],[NetAmount]]-Table__192.168.3.138DYLAgingReport[[#This Row],[Paid]]</f>
        <v>-444</v>
      </c>
    </row>
    <row r="115" spans="1:35">
      <c r="A115" t="s">
        <v>603</v>
      </c>
      <c r="B115" s="1">
        <v>41024</v>
      </c>
      <c r="C115" s="1">
        <v>41069</v>
      </c>
      <c r="D115" t="s">
        <v>208</v>
      </c>
      <c r="E115">
        <v>-4902</v>
      </c>
      <c r="F115">
        <v>-784</v>
      </c>
      <c r="G115">
        <v>0</v>
      </c>
      <c r="H115">
        <v>0</v>
      </c>
      <c r="I115">
        <v>263</v>
      </c>
      <c r="J115">
        <v>-5686</v>
      </c>
      <c r="L115" s="1">
        <v>41005</v>
      </c>
      <c r="N115" t="s">
        <v>36</v>
      </c>
      <c r="O115" t="s">
        <v>37</v>
      </c>
      <c r="P115" t="s">
        <v>345</v>
      </c>
      <c r="Q115" t="s">
        <v>39</v>
      </c>
      <c r="R115" t="s">
        <v>40</v>
      </c>
      <c r="S115">
        <v>0</v>
      </c>
      <c r="U115" t="s">
        <v>41</v>
      </c>
      <c r="V115" t="s">
        <v>42</v>
      </c>
      <c r="X115" t="s">
        <v>43</v>
      </c>
      <c r="Y115" t="b">
        <v>0</v>
      </c>
      <c r="Z115" t="b">
        <v>0</v>
      </c>
      <c r="AB115" t="s">
        <v>604</v>
      </c>
      <c r="AC115" s="1">
        <v>41306</v>
      </c>
      <c r="AE115" t="s">
        <v>5338</v>
      </c>
      <c r="AF115">
        <v>0</v>
      </c>
      <c r="AG115">
        <v>45</v>
      </c>
      <c r="AH115">
        <v>308</v>
      </c>
      <c r="AI115" s="2">
        <f>Table__192.168.3.138DYLAgingReport[[#This Row],[NetAmount]]-Table__192.168.3.138DYLAgingReport[[#This Row],[Paid]]</f>
        <v>-5686</v>
      </c>
    </row>
    <row r="116" spans="1:35">
      <c r="A116" t="s">
        <v>605</v>
      </c>
      <c r="B116" s="1">
        <v>41024</v>
      </c>
      <c r="C116" s="1">
        <v>41069</v>
      </c>
      <c r="D116" t="s">
        <v>214</v>
      </c>
      <c r="E116">
        <v>-18089</v>
      </c>
      <c r="F116">
        <v>0</v>
      </c>
      <c r="G116">
        <v>0</v>
      </c>
      <c r="H116">
        <v>0</v>
      </c>
      <c r="I116">
        <v>259</v>
      </c>
      <c r="J116">
        <v>-18089</v>
      </c>
      <c r="L116" s="1">
        <v>41009</v>
      </c>
      <c r="N116" t="s">
        <v>36</v>
      </c>
      <c r="O116" t="s">
        <v>37</v>
      </c>
      <c r="P116" t="s">
        <v>351</v>
      </c>
      <c r="Q116" t="s">
        <v>39</v>
      </c>
      <c r="R116" t="s">
        <v>40</v>
      </c>
      <c r="S116">
        <v>0</v>
      </c>
      <c r="U116" t="s">
        <v>41</v>
      </c>
      <c r="V116" t="s">
        <v>42</v>
      </c>
      <c r="X116" t="s">
        <v>43</v>
      </c>
      <c r="Y116" t="b">
        <v>0</v>
      </c>
      <c r="Z116" t="b">
        <v>0</v>
      </c>
      <c r="AC116" s="1"/>
      <c r="AF116">
        <v>0</v>
      </c>
      <c r="AG116">
        <v>45</v>
      </c>
      <c r="AH116">
        <v>304</v>
      </c>
      <c r="AI116" s="2">
        <f>Table__192.168.3.138DYLAgingReport[[#This Row],[NetAmount]]-Table__192.168.3.138DYLAgingReport[[#This Row],[Paid]]</f>
        <v>-18089</v>
      </c>
    </row>
    <row r="117" spans="1:35">
      <c r="A117" t="s">
        <v>606</v>
      </c>
      <c r="B117" s="1">
        <v>41025</v>
      </c>
      <c r="C117" s="1">
        <v>41070</v>
      </c>
      <c r="D117" t="s">
        <v>569</v>
      </c>
      <c r="E117">
        <v>-34030</v>
      </c>
      <c r="F117">
        <v>-5443</v>
      </c>
      <c r="G117">
        <v>0</v>
      </c>
      <c r="H117">
        <v>0</v>
      </c>
      <c r="I117">
        <v>266</v>
      </c>
      <c r="J117">
        <v>-39473</v>
      </c>
      <c r="L117" s="1">
        <v>41002</v>
      </c>
      <c r="N117" t="s">
        <v>36</v>
      </c>
      <c r="O117" t="s">
        <v>37</v>
      </c>
      <c r="P117" t="s">
        <v>433</v>
      </c>
      <c r="Q117" t="s">
        <v>39</v>
      </c>
      <c r="R117" t="s">
        <v>40</v>
      </c>
      <c r="S117">
        <v>0</v>
      </c>
      <c r="U117" t="s">
        <v>41</v>
      </c>
      <c r="V117" t="s">
        <v>42</v>
      </c>
      <c r="X117" t="s">
        <v>43</v>
      </c>
      <c r="Y117" t="b">
        <v>0</v>
      </c>
      <c r="Z117" t="b">
        <v>0</v>
      </c>
      <c r="AB117" t="s">
        <v>607</v>
      </c>
      <c r="AC117" s="1">
        <v>41215</v>
      </c>
      <c r="AE117" t="s">
        <v>608</v>
      </c>
      <c r="AF117">
        <v>0</v>
      </c>
      <c r="AG117">
        <v>45</v>
      </c>
      <c r="AH117">
        <v>311</v>
      </c>
      <c r="AI117" s="2">
        <f>Table__192.168.3.138DYLAgingReport[[#This Row],[NetAmount]]-Table__192.168.3.138DYLAgingReport[[#This Row],[Paid]]</f>
        <v>-39473</v>
      </c>
    </row>
    <row r="118" spans="1:35">
      <c r="A118" t="s">
        <v>609</v>
      </c>
      <c r="B118" s="1">
        <v>41004</v>
      </c>
      <c r="C118" s="1">
        <v>41049</v>
      </c>
      <c r="D118" t="s">
        <v>236</v>
      </c>
      <c r="E118">
        <v>-684</v>
      </c>
      <c r="F118">
        <v>0</v>
      </c>
      <c r="G118">
        <v>0</v>
      </c>
      <c r="H118">
        <v>0</v>
      </c>
      <c r="I118">
        <v>264</v>
      </c>
      <c r="J118">
        <v>-684</v>
      </c>
      <c r="L118" s="1">
        <v>41004</v>
      </c>
      <c r="M118" t="s">
        <v>610</v>
      </c>
      <c r="N118" t="s">
        <v>36</v>
      </c>
      <c r="O118" t="s">
        <v>37</v>
      </c>
      <c r="P118" t="s">
        <v>373</v>
      </c>
      <c r="Q118" t="s">
        <v>39</v>
      </c>
      <c r="R118" t="s">
        <v>40</v>
      </c>
      <c r="S118">
        <v>0</v>
      </c>
      <c r="U118" t="s">
        <v>41</v>
      </c>
      <c r="V118" t="s">
        <v>42</v>
      </c>
      <c r="W118" t="s">
        <v>509</v>
      </c>
      <c r="X118" t="s">
        <v>43</v>
      </c>
      <c r="Y118" t="b">
        <v>0</v>
      </c>
      <c r="Z118" t="b">
        <v>0</v>
      </c>
      <c r="AA118" t="b">
        <v>0</v>
      </c>
      <c r="AC118" s="1"/>
      <c r="AF118">
        <v>0</v>
      </c>
      <c r="AG118">
        <v>45</v>
      </c>
      <c r="AH118">
        <v>309</v>
      </c>
      <c r="AI118" s="2">
        <f>Table__192.168.3.138DYLAgingReport[[#This Row],[NetAmount]]-Table__192.168.3.138DYLAgingReport[[#This Row],[Paid]]</f>
        <v>-684</v>
      </c>
    </row>
    <row r="119" spans="1:35">
      <c r="A119" t="s">
        <v>611</v>
      </c>
      <c r="B119" s="1">
        <v>41009</v>
      </c>
      <c r="C119" s="1">
        <v>41054</v>
      </c>
      <c r="D119" t="s">
        <v>247</v>
      </c>
      <c r="E119">
        <v>-60</v>
      </c>
      <c r="F119">
        <v>-10</v>
      </c>
      <c r="G119">
        <v>0</v>
      </c>
      <c r="H119">
        <v>0</v>
      </c>
      <c r="I119">
        <v>259</v>
      </c>
      <c r="J119">
        <v>-70</v>
      </c>
      <c r="L119" s="1">
        <v>41009</v>
      </c>
      <c r="N119" t="s">
        <v>36</v>
      </c>
      <c r="O119" t="s">
        <v>37</v>
      </c>
      <c r="P119" t="s">
        <v>384</v>
      </c>
      <c r="Q119" t="s">
        <v>39</v>
      </c>
      <c r="R119" t="s">
        <v>40</v>
      </c>
      <c r="S119">
        <v>0</v>
      </c>
      <c r="U119" t="s">
        <v>41</v>
      </c>
      <c r="V119" t="s">
        <v>42</v>
      </c>
      <c r="X119" t="s">
        <v>43</v>
      </c>
      <c r="Y119" t="b">
        <v>0</v>
      </c>
      <c r="Z119" t="b">
        <v>0</v>
      </c>
      <c r="AB119" t="s">
        <v>481</v>
      </c>
      <c r="AC119" s="1">
        <v>41101</v>
      </c>
      <c r="AE119" t="s">
        <v>482</v>
      </c>
      <c r="AF119">
        <v>0</v>
      </c>
      <c r="AG119">
        <v>45</v>
      </c>
      <c r="AH119">
        <v>304</v>
      </c>
      <c r="AI119" s="2">
        <f>Table__192.168.3.138DYLAgingReport[[#This Row],[NetAmount]]-Table__192.168.3.138DYLAgingReport[[#This Row],[Paid]]</f>
        <v>-70</v>
      </c>
    </row>
    <row r="120" spans="1:35">
      <c r="A120" t="s">
        <v>612</v>
      </c>
      <c r="B120" s="1">
        <v>41009</v>
      </c>
      <c r="C120" s="1">
        <v>41054</v>
      </c>
      <c r="D120" t="s">
        <v>250</v>
      </c>
      <c r="E120">
        <v>-1700</v>
      </c>
      <c r="F120">
        <v>-272</v>
      </c>
      <c r="G120">
        <v>0</v>
      </c>
      <c r="H120">
        <v>0</v>
      </c>
      <c r="I120">
        <v>259</v>
      </c>
      <c r="J120">
        <v>-1972</v>
      </c>
      <c r="L120" s="1">
        <v>41009</v>
      </c>
      <c r="N120" t="s">
        <v>36</v>
      </c>
      <c r="O120" t="s">
        <v>37</v>
      </c>
      <c r="P120" t="s">
        <v>387</v>
      </c>
      <c r="Q120" t="s">
        <v>39</v>
      </c>
      <c r="R120" t="s">
        <v>40</v>
      </c>
      <c r="S120">
        <v>0</v>
      </c>
      <c r="U120" t="s">
        <v>41</v>
      </c>
      <c r="V120" t="s">
        <v>42</v>
      </c>
      <c r="X120" t="s">
        <v>43</v>
      </c>
      <c r="Y120" t="b">
        <v>0</v>
      </c>
      <c r="Z120" t="b">
        <v>0</v>
      </c>
      <c r="AB120" t="s">
        <v>613</v>
      </c>
      <c r="AC120" s="1"/>
      <c r="AF120">
        <v>0</v>
      </c>
      <c r="AG120">
        <v>45</v>
      </c>
      <c r="AH120">
        <v>304</v>
      </c>
      <c r="AI120" s="2">
        <f>Table__192.168.3.138DYLAgingReport[[#This Row],[NetAmount]]-Table__192.168.3.138DYLAgingReport[[#This Row],[Paid]]</f>
        <v>-1972</v>
      </c>
    </row>
    <row r="121" spans="1:35">
      <c r="A121" t="s">
        <v>614</v>
      </c>
      <c r="B121" s="1">
        <v>41024</v>
      </c>
      <c r="C121" s="1">
        <v>41069</v>
      </c>
      <c r="D121" t="s">
        <v>251</v>
      </c>
      <c r="E121">
        <v>-19890</v>
      </c>
      <c r="F121">
        <v>-3182</v>
      </c>
      <c r="G121">
        <v>0</v>
      </c>
      <c r="H121">
        <v>0</v>
      </c>
      <c r="I121">
        <v>264</v>
      </c>
      <c r="J121">
        <v>-23072</v>
      </c>
      <c r="L121" s="1">
        <v>41004</v>
      </c>
      <c r="N121" t="s">
        <v>36</v>
      </c>
      <c r="O121" t="s">
        <v>37</v>
      </c>
      <c r="P121" t="s">
        <v>388</v>
      </c>
      <c r="Q121" t="s">
        <v>39</v>
      </c>
      <c r="R121" t="s">
        <v>40</v>
      </c>
      <c r="S121">
        <v>0</v>
      </c>
      <c r="U121" t="s">
        <v>41</v>
      </c>
      <c r="V121" t="s">
        <v>42</v>
      </c>
      <c r="X121" t="s">
        <v>43</v>
      </c>
      <c r="Y121" t="b">
        <v>0</v>
      </c>
      <c r="Z121" t="b">
        <v>0</v>
      </c>
      <c r="AB121" t="s">
        <v>615</v>
      </c>
      <c r="AC121" s="1">
        <v>41185</v>
      </c>
      <c r="AE121" t="s">
        <v>616</v>
      </c>
      <c r="AF121">
        <v>0</v>
      </c>
      <c r="AG121">
        <v>45</v>
      </c>
      <c r="AH121">
        <v>309</v>
      </c>
      <c r="AI121" s="2">
        <f>Table__192.168.3.138DYLAgingReport[[#This Row],[NetAmount]]-Table__192.168.3.138DYLAgingReport[[#This Row],[Paid]]</f>
        <v>-23072</v>
      </c>
    </row>
    <row r="122" spans="1:35">
      <c r="A122" t="s">
        <v>617</v>
      </c>
      <c r="B122" s="1">
        <v>41025</v>
      </c>
      <c r="C122" s="1">
        <v>41070</v>
      </c>
      <c r="D122" t="s">
        <v>258</v>
      </c>
      <c r="E122">
        <v>-160</v>
      </c>
      <c r="F122">
        <v>-26</v>
      </c>
      <c r="G122">
        <v>0</v>
      </c>
      <c r="H122">
        <v>0</v>
      </c>
      <c r="I122">
        <v>243</v>
      </c>
      <c r="J122">
        <v>-186</v>
      </c>
      <c r="L122" s="1">
        <v>41025</v>
      </c>
      <c r="M122" t="s">
        <v>10770</v>
      </c>
      <c r="N122" t="s">
        <v>36</v>
      </c>
      <c r="O122" t="s">
        <v>37</v>
      </c>
      <c r="P122" t="s">
        <v>395</v>
      </c>
      <c r="Q122" t="s">
        <v>39</v>
      </c>
      <c r="R122" t="s">
        <v>40</v>
      </c>
      <c r="S122">
        <v>0</v>
      </c>
      <c r="U122" t="s">
        <v>41</v>
      </c>
      <c r="V122" t="s">
        <v>42</v>
      </c>
      <c r="W122" t="s">
        <v>10768</v>
      </c>
      <c r="X122" t="s">
        <v>43</v>
      </c>
      <c r="Y122" t="b">
        <v>0</v>
      </c>
      <c r="Z122" t="b">
        <v>0</v>
      </c>
      <c r="AA122" t="b">
        <v>0</v>
      </c>
      <c r="AC122" s="1"/>
      <c r="AF122">
        <v>0</v>
      </c>
      <c r="AG122">
        <v>45</v>
      </c>
      <c r="AH122">
        <v>288</v>
      </c>
      <c r="AI122" s="2">
        <f>Table__192.168.3.138DYLAgingReport[[#This Row],[NetAmount]]-Table__192.168.3.138DYLAgingReport[[#This Row],[Paid]]</f>
        <v>-186</v>
      </c>
    </row>
    <row r="123" spans="1:35">
      <c r="A123" t="s">
        <v>618</v>
      </c>
      <c r="B123" s="1">
        <v>41011</v>
      </c>
      <c r="C123" s="1">
        <v>41056</v>
      </c>
      <c r="D123" t="s">
        <v>264</v>
      </c>
      <c r="E123">
        <v>-21000</v>
      </c>
      <c r="F123">
        <v>-3360</v>
      </c>
      <c r="G123">
        <v>0</v>
      </c>
      <c r="H123">
        <v>0</v>
      </c>
      <c r="I123">
        <v>257</v>
      </c>
      <c r="J123">
        <v>-24360</v>
      </c>
      <c r="L123" s="1">
        <v>41011</v>
      </c>
      <c r="N123" t="s">
        <v>36</v>
      </c>
      <c r="O123" t="s">
        <v>37</v>
      </c>
      <c r="P123" t="s">
        <v>401</v>
      </c>
      <c r="Q123" t="s">
        <v>39</v>
      </c>
      <c r="R123" t="s">
        <v>40</v>
      </c>
      <c r="S123">
        <v>0</v>
      </c>
      <c r="U123" t="s">
        <v>41</v>
      </c>
      <c r="V123" t="s">
        <v>42</v>
      </c>
      <c r="X123" t="s">
        <v>43</v>
      </c>
      <c r="Y123" t="b">
        <v>0</v>
      </c>
      <c r="Z123" t="b">
        <v>0</v>
      </c>
      <c r="AC123" s="1"/>
      <c r="AF123">
        <v>0</v>
      </c>
      <c r="AG123">
        <v>45</v>
      </c>
      <c r="AH123">
        <v>302</v>
      </c>
      <c r="AI123" s="2">
        <f>Table__192.168.3.138DYLAgingReport[[#This Row],[NetAmount]]-Table__192.168.3.138DYLAgingReport[[#This Row],[Paid]]</f>
        <v>-24360</v>
      </c>
    </row>
    <row r="124" spans="1:35">
      <c r="A124" t="s">
        <v>619</v>
      </c>
      <c r="B124" s="1">
        <v>41025</v>
      </c>
      <c r="C124" s="1">
        <v>41070</v>
      </c>
      <c r="D124" t="s">
        <v>273</v>
      </c>
      <c r="E124">
        <v>-89430</v>
      </c>
      <c r="F124">
        <v>-14309</v>
      </c>
      <c r="G124">
        <v>0</v>
      </c>
      <c r="H124">
        <v>0</v>
      </c>
      <c r="I124">
        <v>257</v>
      </c>
      <c r="J124">
        <v>-103739</v>
      </c>
      <c r="L124" s="1">
        <v>41011</v>
      </c>
      <c r="N124" t="s">
        <v>36</v>
      </c>
      <c r="O124" t="s">
        <v>37</v>
      </c>
      <c r="P124" t="s">
        <v>410</v>
      </c>
      <c r="Q124" t="s">
        <v>39</v>
      </c>
      <c r="R124" t="s">
        <v>40</v>
      </c>
      <c r="S124">
        <v>0</v>
      </c>
      <c r="U124" t="s">
        <v>41</v>
      </c>
      <c r="V124" t="s">
        <v>42</v>
      </c>
      <c r="X124" t="s">
        <v>43</v>
      </c>
      <c r="Y124" t="b">
        <v>0</v>
      </c>
      <c r="Z124" t="b">
        <v>0</v>
      </c>
      <c r="AB124" t="s">
        <v>620</v>
      </c>
      <c r="AC124" s="1">
        <v>41124</v>
      </c>
      <c r="AE124" t="s">
        <v>621</v>
      </c>
      <c r="AF124">
        <v>0</v>
      </c>
      <c r="AG124">
        <v>45</v>
      </c>
      <c r="AH124">
        <v>302</v>
      </c>
      <c r="AI124" s="2">
        <f>Table__192.168.3.138DYLAgingReport[[#This Row],[NetAmount]]-Table__192.168.3.138DYLAgingReport[[#This Row],[Paid]]</f>
        <v>-103739</v>
      </c>
    </row>
    <row r="125" spans="1:35">
      <c r="A125" t="s">
        <v>622</v>
      </c>
      <c r="B125" s="1">
        <v>41011</v>
      </c>
      <c r="C125" s="1">
        <v>41056</v>
      </c>
      <c r="D125" t="s">
        <v>286</v>
      </c>
      <c r="E125">
        <v>-266</v>
      </c>
      <c r="F125">
        <v>0</v>
      </c>
      <c r="G125">
        <v>0</v>
      </c>
      <c r="H125">
        <v>0</v>
      </c>
      <c r="I125">
        <v>258</v>
      </c>
      <c r="J125">
        <v>-266</v>
      </c>
      <c r="L125" s="1">
        <v>41010</v>
      </c>
      <c r="N125" t="s">
        <v>36</v>
      </c>
      <c r="O125" t="s">
        <v>37</v>
      </c>
      <c r="P125" t="s">
        <v>423</v>
      </c>
      <c r="Q125" t="s">
        <v>39</v>
      </c>
      <c r="R125" t="s">
        <v>40</v>
      </c>
      <c r="S125">
        <v>0</v>
      </c>
      <c r="U125" t="s">
        <v>41</v>
      </c>
      <c r="V125" t="s">
        <v>42</v>
      </c>
      <c r="X125" t="s">
        <v>43</v>
      </c>
      <c r="Y125" t="b">
        <v>0</v>
      </c>
      <c r="Z125" t="b">
        <v>0</v>
      </c>
      <c r="AC125" s="1"/>
      <c r="AF125">
        <v>0</v>
      </c>
      <c r="AG125">
        <v>45</v>
      </c>
      <c r="AH125">
        <v>303</v>
      </c>
      <c r="AI125" s="2">
        <f>Table__192.168.3.138DYLAgingReport[[#This Row],[NetAmount]]-Table__192.168.3.138DYLAgingReport[[#This Row],[Paid]]</f>
        <v>-266</v>
      </c>
    </row>
    <row r="126" spans="1:35">
      <c r="A126" t="s">
        <v>623</v>
      </c>
      <c r="B126" s="1">
        <v>41024</v>
      </c>
      <c r="C126" s="1">
        <v>41069</v>
      </c>
      <c r="D126" t="s">
        <v>288</v>
      </c>
      <c r="E126">
        <v>-746</v>
      </c>
      <c r="F126">
        <v>-119</v>
      </c>
      <c r="G126">
        <v>0</v>
      </c>
      <c r="H126">
        <v>0</v>
      </c>
      <c r="I126">
        <v>259</v>
      </c>
      <c r="J126">
        <v>-865</v>
      </c>
      <c r="L126" s="1">
        <v>41009</v>
      </c>
      <c r="N126" t="s">
        <v>36</v>
      </c>
      <c r="O126" t="s">
        <v>37</v>
      </c>
      <c r="P126" t="s">
        <v>425</v>
      </c>
      <c r="Q126" t="s">
        <v>39</v>
      </c>
      <c r="R126" t="s">
        <v>40</v>
      </c>
      <c r="S126">
        <v>0</v>
      </c>
      <c r="U126" t="s">
        <v>41</v>
      </c>
      <c r="V126" t="s">
        <v>42</v>
      </c>
      <c r="X126" t="s">
        <v>43</v>
      </c>
      <c r="Y126" t="b">
        <v>0</v>
      </c>
      <c r="Z126" t="b">
        <v>0</v>
      </c>
      <c r="AC126" s="1"/>
      <c r="AF126">
        <v>0</v>
      </c>
      <c r="AG126">
        <v>45</v>
      </c>
      <c r="AH126">
        <v>304</v>
      </c>
      <c r="AI126" s="2">
        <f>Table__192.168.3.138DYLAgingReport[[#This Row],[NetAmount]]-Table__192.168.3.138DYLAgingReport[[#This Row],[Paid]]</f>
        <v>-865</v>
      </c>
    </row>
    <row r="127" spans="1:35">
      <c r="A127" t="s">
        <v>624</v>
      </c>
      <c r="B127" s="1">
        <v>41026</v>
      </c>
      <c r="C127" s="1">
        <v>41071</v>
      </c>
      <c r="D127" t="s">
        <v>166</v>
      </c>
      <c r="E127">
        <v>-2619</v>
      </c>
      <c r="F127">
        <v>-419</v>
      </c>
      <c r="G127">
        <v>0</v>
      </c>
      <c r="H127">
        <v>0</v>
      </c>
      <c r="I127">
        <v>250</v>
      </c>
      <c r="J127">
        <v>-3038</v>
      </c>
      <c r="L127" s="1">
        <v>41018</v>
      </c>
      <c r="N127" t="s">
        <v>36</v>
      </c>
      <c r="O127" t="s">
        <v>37</v>
      </c>
      <c r="P127" t="s">
        <v>303</v>
      </c>
      <c r="Q127" t="s">
        <v>39</v>
      </c>
      <c r="R127" t="s">
        <v>40</v>
      </c>
      <c r="S127">
        <v>0</v>
      </c>
      <c r="U127" t="s">
        <v>41</v>
      </c>
      <c r="V127" t="s">
        <v>42</v>
      </c>
      <c r="X127" t="s">
        <v>43</v>
      </c>
      <c r="Y127" t="b">
        <v>0</v>
      </c>
      <c r="Z127" t="b">
        <v>0</v>
      </c>
      <c r="AC127" s="1"/>
      <c r="AF127">
        <v>0</v>
      </c>
      <c r="AG127">
        <v>45</v>
      </c>
      <c r="AH127">
        <v>295</v>
      </c>
      <c r="AI127" s="2">
        <f>Table__192.168.3.138DYLAgingReport[[#This Row],[NetAmount]]-Table__192.168.3.138DYLAgingReport[[#This Row],[Paid]]</f>
        <v>-3038</v>
      </c>
    </row>
    <row r="128" spans="1:35">
      <c r="A128" t="s">
        <v>625</v>
      </c>
      <c r="B128" s="1">
        <v>41011</v>
      </c>
      <c r="C128" s="1">
        <v>41056</v>
      </c>
      <c r="D128" t="s">
        <v>172</v>
      </c>
      <c r="E128">
        <v>-2850</v>
      </c>
      <c r="F128">
        <v>-456</v>
      </c>
      <c r="G128">
        <v>0</v>
      </c>
      <c r="H128">
        <v>0</v>
      </c>
      <c r="I128">
        <v>257</v>
      </c>
      <c r="J128">
        <v>-3306</v>
      </c>
      <c r="L128" s="1">
        <v>41011</v>
      </c>
      <c r="N128" t="s">
        <v>36</v>
      </c>
      <c r="O128" t="s">
        <v>37</v>
      </c>
      <c r="P128" t="s">
        <v>309</v>
      </c>
      <c r="Q128" t="s">
        <v>39</v>
      </c>
      <c r="R128" t="s">
        <v>40</v>
      </c>
      <c r="S128">
        <v>0</v>
      </c>
      <c r="U128" t="s">
        <v>41</v>
      </c>
      <c r="V128" t="s">
        <v>42</v>
      </c>
      <c r="X128" t="s">
        <v>43</v>
      </c>
      <c r="Y128" t="b">
        <v>0</v>
      </c>
      <c r="Z128" t="b">
        <v>0</v>
      </c>
      <c r="AC128" s="1"/>
      <c r="AF128">
        <v>0</v>
      </c>
      <c r="AG128">
        <v>45</v>
      </c>
      <c r="AH128">
        <v>302</v>
      </c>
      <c r="AI128" s="2">
        <f>Table__192.168.3.138DYLAgingReport[[#This Row],[NetAmount]]-Table__192.168.3.138DYLAgingReport[[#This Row],[Paid]]</f>
        <v>-3306</v>
      </c>
    </row>
    <row r="129" spans="1:35">
      <c r="A129" t="s">
        <v>51</v>
      </c>
      <c r="B129" s="1">
        <v>41018</v>
      </c>
      <c r="C129" s="1">
        <v>41063</v>
      </c>
      <c r="D129" t="s">
        <v>35</v>
      </c>
      <c r="E129">
        <v>-3465</v>
      </c>
      <c r="F129">
        <v>-554</v>
      </c>
      <c r="G129">
        <v>0</v>
      </c>
      <c r="H129">
        <v>0</v>
      </c>
      <c r="I129">
        <v>264</v>
      </c>
      <c r="J129">
        <v>-4019</v>
      </c>
      <c r="L129" s="1">
        <v>41004</v>
      </c>
      <c r="N129" t="s">
        <v>36</v>
      </c>
      <c r="O129" t="s">
        <v>37</v>
      </c>
      <c r="P129" t="s">
        <v>38</v>
      </c>
      <c r="Q129" t="s">
        <v>39</v>
      </c>
      <c r="R129" t="s">
        <v>40</v>
      </c>
      <c r="S129">
        <v>0</v>
      </c>
      <c r="U129" t="s">
        <v>41</v>
      </c>
      <c r="V129" t="s">
        <v>42</v>
      </c>
      <c r="X129" t="s">
        <v>43</v>
      </c>
      <c r="Y129" t="b">
        <v>0</v>
      </c>
      <c r="Z129" t="b">
        <v>0</v>
      </c>
      <c r="AB129" t="s">
        <v>46</v>
      </c>
      <c r="AC129" s="1">
        <v>41185</v>
      </c>
      <c r="AE129" t="s">
        <v>48</v>
      </c>
      <c r="AF129">
        <v>0</v>
      </c>
      <c r="AG129">
        <v>45</v>
      </c>
      <c r="AH129">
        <v>309</v>
      </c>
      <c r="AI129" s="2">
        <f>Table__192.168.3.138DYLAgingReport[[#This Row],[NetAmount]]-Table__192.168.3.138DYLAgingReport[[#This Row],[Paid]]</f>
        <v>-4019</v>
      </c>
    </row>
    <row r="130" spans="1:35">
      <c r="A130" t="s">
        <v>626</v>
      </c>
      <c r="B130" s="1">
        <v>41024</v>
      </c>
      <c r="C130" s="1">
        <v>41069</v>
      </c>
      <c r="D130" t="s">
        <v>187</v>
      </c>
      <c r="E130">
        <v>-3245</v>
      </c>
      <c r="F130">
        <v>0</v>
      </c>
      <c r="G130">
        <v>0</v>
      </c>
      <c r="H130">
        <v>0</v>
      </c>
      <c r="I130">
        <v>266</v>
      </c>
      <c r="J130">
        <v>-3245</v>
      </c>
      <c r="L130" s="1">
        <v>41002</v>
      </c>
      <c r="N130" t="s">
        <v>36</v>
      </c>
      <c r="O130" t="s">
        <v>37</v>
      </c>
      <c r="P130" t="s">
        <v>324</v>
      </c>
      <c r="Q130" t="s">
        <v>39</v>
      </c>
      <c r="R130" t="s">
        <v>40</v>
      </c>
      <c r="S130">
        <v>0</v>
      </c>
      <c r="U130" t="s">
        <v>41</v>
      </c>
      <c r="V130" t="s">
        <v>42</v>
      </c>
      <c r="X130" t="s">
        <v>43</v>
      </c>
      <c r="Y130" t="b">
        <v>0</v>
      </c>
      <c r="Z130" t="b">
        <v>0</v>
      </c>
      <c r="AC130" s="1"/>
      <c r="AF130">
        <v>0</v>
      </c>
      <c r="AG130">
        <v>45</v>
      </c>
      <c r="AH130">
        <v>311</v>
      </c>
      <c r="AI130" s="2">
        <f>Table__192.168.3.138DYLAgingReport[[#This Row],[NetAmount]]-Table__192.168.3.138DYLAgingReport[[#This Row],[Paid]]</f>
        <v>-3245</v>
      </c>
    </row>
    <row r="131" spans="1:35">
      <c r="A131" t="s">
        <v>627</v>
      </c>
      <c r="B131" s="1">
        <v>41018</v>
      </c>
      <c r="C131" s="1">
        <v>41063</v>
      </c>
      <c r="D131" t="s">
        <v>190</v>
      </c>
      <c r="E131">
        <v>-461</v>
      </c>
      <c r="F131">
        <v>-74</v>
      </c>
      <c r="G131">
        <v>0</v>
      </c>
      <c r="H131">
        <v>0</v>
      </c>
      <c r="I131">
        <v>265</v>
      </c>
      <c r="J131">
        <v>-535</v>
      </c>
      <c r="L131" s="1">
        <v>41003</v>
      </c>
      <c r="M131" t="s">
        <v>5339</v>
      </c>
      <c r="N131" t="s">
        <v>36</v>
      </c>
      <c r="O131" t="s">
        <v>37</v>
      </c>
      <c r="P131" t="s">
        <v>327</v>
      </c>
      <c r="Q131" t="s">
        <v>39</v>
      </c>
      <c r="R131" t="s">
        <v>40</v>
      </c>
      <c r="S131">
        <v>0</v>
      </c>
      <c r="U131" t="s">
        <v>41</v>
      </c>
      <c r="V131" t="s">
        <v>42</v>
      </c>
      <c r="W131" t="s">
        <v>5337</v>
      </c>
      <c r="X131" t="s">
        <v>43</v>
      </c>
      <c r="Y131" t="b">
        <v>0</v>
      </c>
      <c r="Z131" t="b">
        <v>0</v>
      </c>
      <c r="AA131" t="b">
        <v>0</v>
      </c>
      <c r="AC131" s="1"/>
      <c r="AF131">
        <v>0</v>
      </c>
      <c r="AG131">
        <v>45</v>
      </c>
      <c r="AH131">
        <v>310</v>
      </c>
      <c r="AI131" s="2">
        <f>Table__192.168.3.138DYLAgingReport[[#This Row],[NetAmount]]-Table__192.168.3.138DYLAgingReport[[#This Row],[Paid]]</f>
        <v>-535</v>
      </c>
    </row>
    <row r="132" spans="1:35">
      <c r="A132" t="s">
        <v>628</v>
      </c>
      <c r="B132" s="1">
        <v>41025</v>
      </c>
      <c r="C132" s="1">
        <v>41070</v>
      </c>
      <c r="D132" t="s">
        <v>201</v>
      </c>
      <c r="E132">
        <v>-298</v>
      </c>
      <c r="F132">
        <v>-48</v>
      </c>
      <c r="G132">
        <v>0</v>
      </c>
      <c r="H132">
        <v>0</v>
      </c>
      <c r="I132">
        <v>243</v>
      </c>
      <c r="J132">
        <v>-346</v>
      </c>
      <c r="L132" s="1">
        <v>41025</v>
      </c>
      <c r="N132" t="s">
        <v>36</v>
      </c>
      <c r="O132" t="s">
        <v>37</v>
      </c>
      <c r="P132" t="s">
        <v>338</v>
      </c>
      <c r="Q132" t="s">
        <v>39</v>
      </c>
      <c r="R132" t="s">
        <v>40</v>
      </c>
      <c r="S132">
        <v>0</v>
      </c>
      <c r="U132" t="s">
        <v>41</v>
      </c>
      <c r="V132" t="s">
        <v>42</v>
      </c>
      <c r="X132" t="s">
        <v>43</v>
      </c>
      <c r="Y132" t="b">
        <v>0</v>
      </c>
      <c r="Z132" t="b">
        <v>0</v>
      </c>
      <c r="AB132" t="s">
        <v>485</v>
      </c>
      <c r="AC132" s="1">
        <v>41236</v>
      </c>
      <c r="AF132">
        <v>0</v>
      </c>
      <c r="AG132">
        <v>45</v>
      </c>
      <c r="AH132">
        <v>288</v>
      </c>
      <c r="AI132" s="2">
        <f>Table__192.168.3.138DYLAgingReport[[#This Row],[NetAmount]]-Table__192.168.3.138DYLAgingReport[[#This Row],[Paid]]</f>
        <v>-346</v>
      </c>
    </row>
    <row r="133" spans="1:35">
      <c r="A133" t="s">
        <v>629</v>
      </c>
      <c r="B133" s="1">
        <v>41025</v>
      </c>
      <c r="C133" s="1">
        <v>41070</v>
      </c>
      <c r="D133" t="s">
        <v>207</v>
      </c>
      <c r="E133">
        <v>-339</v>
      </c>
      <c r="F133">
        <v>-54</v>
      </c>
      <c r="G133">
        <v>0</v>
      </c>
      <c r="H133">
        <v>0</v>
      </c>
      <c r="I133">
        <v>265</v>
      </c>
      <c r="J133">
        <v>-393</v>
      </c>
      <c r="L133" s="1">
        <v>41003</v>
      </c>
      <c r="N133" t="s">
        <v>36</v>
      </c>
      <c r="O133" t="s">
        <v>37</v>
      </c>
      <c r="P133" t="s">
        <v>344</v>
      </c>
      <c r="Q133" t="s">
        <v>39</v>
      </c>
      <c r="R133" t="s">
        <v>40</v>
      </c>
      <c r="S133">
        <v>0</v>
      </c>
      <c r="U133" t="s">
        <v>41</v>
      </c>
      <c r="V133" t="s">
        <v>42</v>
      </c>
      <c r="X133" t="s">
        <v>43</v>
      </c>
      <c r="Y133" t="b">
        <v>0</v>
      </c>
      <c r="Z133" t="b">
        <v>0</v>
      </c>
      <c r="AC133" s="1"/>
      <c r="AF133">
        <v>0</v>
      </c>
      <c r="AG133">
        <v>45</v>
      </c>
      <c r="AH133">
        <v>310</v>
      </c>
      <c r="AI133" s="2">
        <f>Table__192.168.3.138DYLAgingReport[[#This Row],[NetAmount]]-Table__192.168.3.138DYLAgingReport[[#This Row],[Paid]]</f>
        <v>-393</v>
      </c>
    </row>
    <row r="134" spans="1:35">
      <c r="A134" t="s">
        <v>630</v>
      </c>
      <c r="B134" s="1">
        <v>41003</v>
      </c>
      <c r="C134" s="1">
        <v>41048</v>
      </c>
      <c r="D134" t="s">
        <v>210</v>
      </c>
      <c r="E134">
        <v>-408</v>
      </c>
      <c r="F134">
        <v>-65</v>
      </c>
      <c r="G134">
        <v>0</v>
      </c>
      <c r="H134">
        <v>0</v>
      </c>
      <c r="I134">
        <v>265</v>
      </c>
      <c r="J134">
        <v>-473</v>
      </c>
      <c r="L134" s="1">
        <v>41003</v>
      </c>
      <c r="N134" t="s">
        <v>36</v>
      </c>
      <c r="O134" t="s">
        <v>37</v>
      </c>
      <c r="P134" t="s">
        <v>347</v>
      </c>
      <c r="Q134" t="s">
        <v>39</v>
      </c>
      <c r="R134" t="s">
        <v>40</v>
      </c>
      <c r="S134">
        <v>0</v>
      </c>
      <c r="U134" t="s">
        <v>41</v>
      </c>
      <c r="V134" t="s">
        <v>42</v>
      </c>
      <c r="X134" t="s">
        <v>43</v>
      </c>
      <c r="Y134" t="b">
        <v>0</v>
      </c>
      <c r="Z134" t="b">
        <v>0</v>
      </c>
      <c r="AC134" s="1"/>
      <c r="AF134">
        <v>0</v>
      </c>
      <c r="AG134">
        <v>45</v>
      </c>
      <c r="AH134">
        <v>310</v>
      </c>
      <c r="AI134" s="2">
        <f>Table__192.168.3.138DYLAgingReport[[#This Row],[NetAmount]]-Table__192.168.3.138DYLAgingReport[[#This Row],[Paid]]</f>
        <v>-473</v>
      </c>
    </row>
    <row r="135" spans="1:35">
      <c r="A135" t="s">
        <v>631</v>
      </c>
      <c r="B135" s="1">
        <v>41026</v>
      </c>
      <c r="C135" s="1">
        <v>41071</v>
      </c>
      <c r="D135" t="s">
        <v>214</v>
      </c>
      <c r="E135">
        <v>-14310</v>
      </c>
      <c r="F135">
        <v>0</v>
      </c>
      <c r="G135">
        <v>0</v>
      </c>
      <c r="H135">
        <v>0</v>
      </c>
      <c r="I135">
        <v>259</v>
      </c>
      <c r="J135">
        <v>-14310</v>
      </c>
      <c r="L135" s="1">
        <v>41009</v>
      </c>
      <c r="N135" t="s">
        <v>36</v>
      </c>
      <c r="O135" t="s">
        <v>37</v>
      </c>
      <c r="P135" t="s">
        <v>351</v>
      </c>
      <c r="Q135" t="s">
        <v>39</v>
      </c>
      <c r="R135" t="s">
        <v>40</v>
      </c>
      <c r="S135">
        <v>0</v>
      </c>
      <c r="U135" t="s">
        <v>41</v>
      </c>
      <c r="V135" t="s">
        <v>42</v>
      </c>
      <c r="X135" t="s">
        <v>43</v>
      </c>
      <c r="Y135" t="b">
        <v>0</v>
      </c>
      <c r="Z135" t="b">
        <v>0</v>
      </c>
      <c r="AC135" s="1"/>
      <c r="AF135">
        <v>0</v>
      </c>
      <c r="AG135">
        <v>45</v>
      </c>
      <c r="AH135">
        <v>304</v>
      </c>
      <c r="AI135" s="2">
        <f>Table__192.168.3.138DYLAgingReport[[#This Row],[NetAmount]]-Table__192.168.3.138DYLAgingReport[[#This Row],[Paid]]</f>
        <v>-14310</v>
      </c>
    </row>
    <row r="136" spans="1:35">
      <c r="A136" t="s">
        <v>632</v>
      </c>
      <c r="B136" s="1">
        <v>41025</v>
      </c>
      <c r="C136" s="1">
        <v>41070</v>
      </c>
      <c r="D136" t="s">
        <v>569</v>
      </c>
      <c r="E136">
        <v>-4215</v>
      </c>
      <c r="F136">
        <v>-674</v>
      </c>
      <c r="G136">
        <v>0</v>
      </c>
      <c r="H136">
        <v>0</v>
      </c>
      <c r="I136">
        <v>266</v>
      </c>
      <c r="J136">
        <v>-4889</v>
      </c>
      <c r="L136" s="1">
        <v>41002</v>
      </c>
      <c r="N136" t="s">
        <v>36</v>
      </c>
      <c r="O136" t="s">
        <v>37</v>
      </c>
      <c r="P136" t="s">
        <v>433</v>
      </c>
      <c r="Q136" t="s">
        <v>39</v>
      </c>
      <c r="R136" t="s">
        <v>40</v>
      </c>
      <c r="S136">
        <v>0</v>
      </c>
      <c r="U136" t="s">
        <v>41</v>
      </c>
      <c r="V136" t="s">
        <v>42</v>
      </c>
      <c r="X136" t="s">
        <v>43</v>
      </c>
      <c r="Y136" t="b">
        <v>0</v>
      </c>
      <c r="Z136" t="b">
        <v>0</v>
      </c>
      <c r="AB136" t="s">
        <v>607</v>
      </c>
      <c r="AC136" s="1">
        <v>41215</v>
      </c>
      <c r="AE136" t="s">
        <v>608</v>
      </c>
      <c r="AF136">
        <v>0</v>
      </c>
      <c r="AG136">
        <v>45</v>
      </c>
      <c r="AH136">
        <v>311</v>
      </c>
      <c r="AI136" s="2">
        <f>Table__192.168.3.138DYLAgingReport[[#This Row],[NetAmount]]-Table__192.168.3.138DYLAgingReport[[#This Row],[Paid]]</f>
        <v>-4889</v>
      </c>
    </row>
    <row r="137" spans="1:35">
      <c r="A137" t="s">
        <v>633</v>
      </c>
      <c r="B137" s="1">
        <v>41025</v>
      </c>
      <c r="C137" s="1">
        <v>41070</v>
      </c>
      <c r="D137" t="s">
        <v>569</v>
      </c>
      <c r="E137">
        <v>-14365</v>
      </c>
      <c r="F137">
        <v>-2298</v>
      </c>
      <c r="G137">
        <v>0</v>
      </c>
      <c r="H137">
        <v>0</v>
      </c>
      <c r="I137">
        <v>250</v>
      </c>
      <c r="J137">
        <v>-16663</v>
      </c>
      <c r="L137" s="1">
        <v>41018</v>
      </c>
      <c r="N137" t="s">
        <v>36</v>
      </c>
      <c r="O137" t="s">
        <v>37</v>
      </c>
      <c r="P137" t="s">
        <v>433</v>
      </c>
      <c r="Q137" t="s">
        <v>39</v>
      </c>
      <c r="R137" t="s">
        <v>40</v>
      </c>
      <c r="S137">
        <v>0</v>
      </c>
      <c r="U137" t="s">
        <v>41</v>
      </c>
      <c r="V137" t="s">
        <v>42</v>
      </c>
      <c r="X137" t="s">
        <v>43</v>
      </c>
      <c r="Y137" t="b">
        <v>0</v>
      </c>
      <c r="Z137" t="b">
        <v>0</v>
      </c>
      <c r="AB137" t="s">
        <v>607</v>
      </c>
      <c r="AC137" s="1">
        <v>41215</v>
      </c>
      <c r="AE137" t="s">
        <v>608</v>
      </c>
      <c r="AF137">
        <v>0</v>
      </c>
      <c r="AG137">
        <v>45</v>
      </c>
      <c r="AH137">
        <v>295</v>
      </c>
      <c r="AI137" s="2">
        <f>Table__192.168.3.138DYLAgingReport[[#This Row],[NetAmount]]-Table__192.168.3.138DYLAgingReport[[#This Row],[Paid]]</f>
        <v>-16663</v>
      </c>
    </row>
    <row r="138" spans="1:35">
      <c r="A138" t="s">
        <v>634</v>
      </c>
      <c r="B138" s="1">
        <v>41009</v>
      </c>
      <c r="C138" s="1">
        <v>41054</v>
      </c>
      <c r="D138" t="s">
        <v>219</v>
      </c>
      <c r="E138">
        <v>-42</v>
      </c>
      <c r="F138">
        <v>-7</v>
      </c>
      <c r="G138">
        <v>0</v>
      </c>
      <c r="H138">
        <v>0</v>
      </c>
      <c r="I138">
        <v>259</v>
      </c>
      <c r="J138">
        <v>-49</v>
      </c>
      <c r="L138" s="1">
        <v>41009</v>
      </c>
      <c r="N138" t="s">
        <v>36</v>
      </c>
      <c r="O138" t="s">
        <v>37</v>
      </c>
      <c r="P138" t="s">
        <v>356</v>
      </c>
      <c r="Q138" t="s">
        <v>39</v>
      </c>
      <c r="R138" t="s">
        <v>40</v>
      </c>
      <c r="S138">
        <v>0</v>
      </c>
      <c r="U138" t="s">
        <v>41</v>
      </c>
      <c r="V138" t="s">
        <v>42</v>
      </c>
      <c r="X138" t="s">
        <v>43</v>
      </c>
      <c r="Y138" t="b">
        <v>0</v>
      </c>
      <c r="Z138" t="b">
        <v>0</v>
      </c>
      <c r="AC138" s="1"/>
      <c r="AF138">
        <v>0</v>
      </c>
      <c r="AG138">
        <v>45</v>
      </c>
      <c r="AH138">
        <v>304</v>
      </c>
      <c r="AI138" s="2">
        <f>Table__192.168.3.138DYLAgingReport[[#This Row],[NetAmount]]-Table__192.168.3.138DYLAgingReport[[#This Row],[Paid]]</f>
        <v>-49</v>
      </c>
    </row>
    <row r="139" spans="1:35">
      <c r="A139" t="s">
        <v>635</v>
      </c>
      <c r="B139" s="1">
        <v>41003</v>
      </c>
      <c r="C139" s="1">
        <v>41048</v>
      </c>
      <c r="D139" t="s">
        <v>233</v>
      </c>
      <c r="E139">
        <v>-114</v>
      </c>
      <c r="F139">
        <v>-18</v>
      </c>
      <c r="G139">
        <v>0</v>
      </c>
      <c r="H139">
        <v>0</v>
      </c>
      <c r="I139">
        <v>265</v>
      </c>
      <c r="J139">
        <v>-132</v>
      </c>
      <c r="L139" s="1">
        <v>41003</v>
      </c>
      <c r="N139" t="s">
        <v>36</v>
      </c>
      <c r="O139" t="s">
        <v>37</v>
      </c>
      <c r="P139" t="s">
        <v>370</v>
      </c>
      <c r="Q139" t="s">
        <v>39</v>
      </c>
      <c r="R139" t="s">
        <v>40</v>
      </c>
      <c r="S139">
        <v>0</v>
      </c>
      <c r="U139" t="s">
        <v>41</v>
      </c>
      <c r="V139" t="s">
        <v>42</v>
      </c>
      <c r="X139" t="s">
        <v>43</v>
      </c>
      <c r="Y139" t="b">
        <v>0</v>
      </c>
      <c r="Z139" t="b">
        <v>0</v>
      </c>
      <c r="AC139" s="1"/>
      <c r="AF139">
        <v>0</v>
      </c>
      <c r="AG139">
        <v>45</v>
      </c>
      <c r="AH139">
        <v>310</v>
      </c>
      <c r="AI139" s="2">
        <f>Table__192.168.3.138DYLAgingReport[[#This Row],[NetAmount]]-Table__192.168.3.138DYLAgingReport[[#This Row],[Paid]]</f>
        <v>-132</v>
      </c>
    </row>
    <row r="140" spans="1:35">
      <c r="A140" t="s">
        <v>636</v>
      </c>
      <c r="B140" s="1">
        <v>41025</v>
      </c>
      <c r="C140" s="1">
        <v>41070</v>
      </c>
      <c r="D140" t="s">
        <v>259</v>
      </c>
      <c r="E140">
        <v>-38</v>
      </c>
      <c r="F140">
        <v>-6</v>
      </c>
      <c r="G140">
        <v>0</v>
      </c>
      <c r="H140">
        <v>0</v>
      </c>
      <c r="I140">
        <v>243</v>
      </c>
      <c r="J140">
        <v>-44</v>
      </c>
      <c r="L140" s="1">
        <v>41025</v>
      </c>
      <c r="N140" t="s">
        <v>36</v>
      </c>
      <c r="O140" t="s">
        <v>37</v>
      </c>
      <c r="P140" t="s">
        <v>396</v>
      </c>
      <c r="Q140" t="s">
        <v>39</v>
      </c>
      <c r="R140" t="s">
        <v>40</v>
      </c>
      <c r="S140">
        <v>0</v>
      </c>
      <c r="U140" t="s">
        <v>41</v>
      </c>
      <c r="V140" t="s">
        <v>42</v>
      </c>
      <c r="X140" t="s">
        <v>43</v>
      </c>
      <c r="Y140" t="b">
        <v>0</v>
      </c>
      <c r="Z140" t="b">
        <v>0</v>
      </c>
      <c r="AC140" s="1"/>
      <c r="AF140">
        <v>0</v>
      </c>
      <c r="AG140">
        <v>45</v>
      </c>
      <c r="AH140">
        <v>288</v>
      </c>
      <c r="AI140" s="2">
        <f>Table__192.168.3.138DYLAgingReport[[#This Row],[NetAmount]]-Table__192.168.3.138DYLAgingReport[[#This Row],[Paid]]</f>
        <v>-44</v>
      </c>
    </row>
    <row r="141" spans="1:35">
      <c r="A141" t="s">
        <v>637</v>
      </c>
      <c r="B141" s="1">
        <v>41026</v>
      </c>
      <c r="C141" s="1">
        <v>41071</v>
      </c>
      <c r="D141" t="s">
        <v>268</v>
      </c>
      <c r="E141">
        <v>-14130</v>
      </c>
      <c r="F141">
        <v>-2261</v>
      </c>
      <c r="G141">
        <v>0</v>
      </c>
      <c r="H141">
        <v>0</v>
      </c>
      <c r="I141">
        <v>264</v>
      </c>
      <c r="J141">
        <v>-16391</v>
      </c>
      <c r="L141" s="1">
        <v>41004</v>
      </c>
      <c r="N141" t="s">
        <v>36</v>
      </c>
      <c r="O141" t="s">
        <v>37</v>
      </c>
      <c r="P141" t="s">
        <v>405</v>
      </c>
      <c r="Q141" t="s">
        <v>39</v>
      </c>
      <c r="R141" t="s">
        <v>40</v>
      </c>
      <c r="S141">
        <v>0</v>
      </c>
      <c r="U141" t="s">
        <v>41</v>
      </c>
      <c r="V141" t="s">
        <v>42</v>
      </c>
      <c r="X141" t="s">
        <v>43</v>
      </c>
      <c r="Y141" t="b">
        <v>0</v>
      </c>
      <c r="Z141" t="b">
        <v>0</v>
      </c>
      <c r="AB141" t="s">
        <v>638</v>
      </c>
      <c r="AC141" s="1">
        <v>41219</v>
      </c>
      <c r="AF141">
        <v>0</v>
      </c>
      <c r="AG141">
        <v>45</v>
      </c>
      <c r="AH141">
        <v>309</v>
      </c>
      <c r="AI141" s="2">
        <f>Table__192.168.3.138DYLAgingReport[[#This Row],[NetAmount]]-Table__192.168.3.138DYLAgingReport[[#This Row],[Paid]]</f>
        <v>-16391</v>
      </c>
    </row>
    <row r="142" spans="1:35">
      <c r="A142" t="s">
        <v>639</v>
      </c>
      <c r="B142" s="1">
        <v>41009</v>
      </c>
      <c r="C142" s="1">
        <v>41054</v>
      </c>
      <c r="D142" t="s">
        <v>288</v>
      </c>
      <c r="E142">
        <v>-336</v>
      </c>
      <c r="F142">
        <v>-54</v>
      </c>
      <c r="G142">
        <v>0</v>
      </c>
      <c r="H142">
        <v>0</v>
      </c>
      <c r="I142">
        <v>259</v>
      </c>
      <c r="J142">
        <v>-390</v>
      </c>
      <c r="L142" s="1">
        <v>41009</v>
      </c>
      <c r="N142" t="s">
        <v>36</v>
      </c>
      <c r="O142" t="s">
        <v>37</v>
      </c>
      <c r="P142" t="s">
        <v>425</v>
      </c>
      <c r="Q142" t="s">
        <v>39</v>
      </c>
      <c r="R142" t="s">
        <v>40</v>
      </c>
      <c r="S142">
        <v>0</v>
      </c>
      <c r="U142" t="s">
        <v>41</v>
      </c>
      <c r="V142" t="s">
        <v>42</v>
      </c>
      <c r="X142" t="s">
        <v>43</v>
      </c>
      <c r="Y142" t="b">
        <v>0</v>
      </c>
      <c r="Z142" t="b">
        <v>0</v>
      </c>
      <c r="AC142" s="1"/>
      <c r="AF142">
        <v>0</v>
      </c>
      <c r="AG142">
        <v>45</v>
      </c>
      <c r="AH142">
        <v>304</v>
      </c>
      <c r="AI142" s="2">
        <f>Table__192.168.3.138DYLAgingReport[[#This Row],[NetAmount]]-Table__192.168.3.138DYLAgingReport[[#This Row],[Paid]]</f>
        <v>-390</v>
      </c>
    </row>
    <row r="143" spans="1:35">
      <c r="A143" t="s">
        <v>640</v>
      </c>
      <c r="B143" s="1">
        <v>41046</v>
      </c>
      <c r="C143" s="1">
        <v>41091</v>
      </c>
      <c r="D143" t="s">
        <v>174</v>
      </c>
      <c r="E143">
        <v>-483</v>
      </c>
      <c r="F143">
        <v>-77</v>
      </c>
      <c r="G143">
        <v>0</v>
      </c>
      <c r="H143">
        <v>0</v>
      </c>
      <c r="I143">
        <v>222</v>
      </c>
      <c r="J143">
        <v>-560</v>
      </c>
      <c r="L143" s="1">
        <v>41046</v>
      </c>
      <c r="N143" t="s">
        <v>36</v>
      </c>
      <c r="O143" t="s">
        <v>37</v>
      </c>
      <c r="P143" t="s">
        <v>311</v>
      </c>
      <c r="Q143" t="s">
        <v>39</v>
      </c>
      <c r="R143" t="s">
        <v>40</v>
      </c>
      <c r="S143">
        <v>0</v>
      </c>
      <c r="U143" t="s">
        <v>41</v>
      </c>
      <c r="V143" t="s">
        <v>42</v>
      </c>
      <c r="X143" t="s">
        <v>43</v>
      </c>
      <c r="Y143" t="b">
        <v>0</v>
      </c>
      <c r="Z143" t="b">
        <v>0</v>
      </c>
      <c r="AC143" s="1"/>
      <c r="AF143">
        <v>0</v>
      </c>
      <c r="AG143">
        <v>45</v>
      </c>
      <c r="AH143">
        <v>267</v>
      </c>
      <c r="AI143" s="2">
        <f>Table__192.168.3.138DYLAgingReport[[#This Row],[NetAmount]]-Table__192.168.3.138DYLAgingReport[[#This Row],[Paid]]</f>
        <v>-560</v>
      </c>
    </row>
    <row r="144" spans="1:35">
      <c r="A144" t="s">
        <v>52</v>
      </c>
      <c r="B144" s="1">
        <v>41052</v>
      </c>
      <c r="C144" s="1">
        <v>41097</v>
      </c>
      <c r="D144" t="s">
        <v>35</v>
      </c>
      <c r="E144">
        <v>-39100</v>
      </c>
      <c r="F144">
        <v>-6256</v>
      </c>
      <c r="G144">
        <v>0</v>
      </c>
      <c r="H144">
        <v>0</v>
      </c>
      <c r="I144">
        <v>237</v>
      </c>
      <c r="J144">
        <v>-45356</v>
      </c>
      <c r="L144" s="1">
        <v>41031</v>
      </c>
      <c r="N144" t="s">
        <v>36</v>
      </c>
      <c r="O144" t="s">
        <v>37</v>
      </c>
      <c r="P144" t="s">
        <v>38</v>
      </c>
      <c r="Q144" t="s">
        <v>39</v>
      </c>
      <c r="R144" t="s">
        <v>40</v>
      </c>
      <c r="S144">
        <v>0</v>
      </c>
      <c r="U144" t="s">
        <v>41</v>
      </c>
      <c r="V144" t="s">
        <v>42</v>
      </c>
      <c r="X144" t="s">
        <v>43</v>
      </c>
      <c r="Y144" t="b">
        <v>0</v>
      </c>
      <c r="Z144" t="b">
        <v>0</v>
      </c>
      <c r="AB144" t="s">
        <v>46</v>
      </c>
      <c r="AC144" s="1">
        <v>41185</v>
      </c>
      <c r="AE144" t="s">
        <v>48</v>
      </c>
      <c r="AF144">
        <v>0</v>
      </c>
      <c r="AG144">
        <v>45</v>
      </c>
      <c r="AH144">
        <v>282</v>
      </c>
      <c r="AI144" s="2">
        <f>Table__192.168.3.138DYLAgingReport[[#This Row],[NetAmount]]-Table__192.168.3.138DYLAgingReport[[#This Row],[Paid]]</f>
        <v>-45356</v>
      </c>
    </row>
    <row r="145" spans="1:35">
      <c r="A145" t="s">
        <v>641</v>
      </c>
      <c r="B145" s="1">
        <v>41059</v>
      </c>
      <c r="C145" s="1">
        <v>41104</v>
      </c>
      <c r="D145" t="s">
        <v>187</v>
      </c>
      <c r="E145">
        <v>-8825</v>
      </c>
      <c r="F145">
        <v>0</v>
      </c>
      <c r="G145">
        <v>0</v>
      </c>
      <c r="H145">
        <v>0</v>
      </c>
      <c r="I145">
        <v>238</v>
      </c>
      <c r="J145">
        <v>-8825</v>
      </c>
      <c r="L145" s="1">
        <v>41030</v>
      </c>
      <c r="N145" t="s">
        <v>36</v>
      </c>
      <c r="O145" t="s">
        <v>37</v>
      </c>
      <c r="P145" t="s">
        <v>324</v>
      </c>
      <c r="Q145" t="s">
        <v>39</v>
      </c>
      <c r="R145" t="s">
        <v>40</v>
      </c>
      <c r="S145">
        <v>0</v>
      </c>
      <c r="U145" t="s">
        <v>41</v>
      </c>
      <c r="V145" t="s">
        <v>42</v>
      </c>
      <c r="X145" t="s">
        <v>43</v>
      </c>
      <c r="Y145" t="b">
        <v>0</v>
      </c>
      <c r="Z145" t="b">
        <v>0</v>
      </c>
      <c r="AC145" s="1"/>
      <c r="AF145">
        <v>0</v>
      </c>
      <c r="AG145">
        <v>45</v>
      </c>
      <c r="AH145">
        <v>283</v>
      </c>
      <c r="AI145" s="2">
        <f>Table__192.168.3.138DYLAgingReport[[#This Row],[NetAmount]]-Table__192.168.3.138DYLAgingReport[[#This Row],[Paid]]</f>
        <v>-8825</v>
      </c>
    </row>
    <row r="146" spans="1:35">
      <c r="A146" t="s">
        <v>642</v>
      </c>
      <c r="B146" s="1">
        <v>41043</v>
      </c>
      <c r="C146" s="1">
        <v>41088</v>
      </c>
      <c r="D146" t="s">
        <v>206</v>
      </c>
      <c r="E146">
        <v>-6035</v>
      </c>
      <c r="F146">
        <v>-966</v>
      </c>
      <c r="G146">
        <v>0</v>
      </c>
      <c r="H146">
        <v>0</v>
      </c>
      <c r="I146">
        <v>225</v>
      </c>
      <c r="J146">
        <v>-7001</v>
      </c>
      <c r="L146" s="1">
        <v>41043</v>
      </c>
      <c r="N146" t="s">
        <v>36</v>
      </c>
      <c r="O146" t="s">
        <v>37</v>
      </c>
      <c r="P146" t="s">
        <v>343</v>
      </c>
      <c r="Q146" t="s">
        <v>39</v>
      </c>
      <c r="R146" t="s">
        <v>40</v>
      </c>
      <c r="S146">
        <v>0</v>
      </c>
      <c r="U146" t="s">
        <v>41</v>
      </c>
      <c r="V146" t="s">
        <v>42</v>
      </c>
      <c r="X146" t="s">
        <v>43</v>
      </c>
      <c r="Y146" t="b">
        <v>0</v>
      </c>
      <c r="Z146" t="b">
        <v>0</v>
      </c>
      <c r="AC146" s="1"/>
      <c r="AF146">
        <v>0</v>
      </c>
      <c r="AG146">
        <v>45</v>
      </c>
      <c r="AH146">
        <v>270</v>
      </c>
      <c r="AI146" s="2">
        <f>Table__192.168.3.138DYLAgingReport[[#This Row],[NetAmount]]-Table__192.168.3.138DYLAgingReport[[#This Row],[Paid]]</f>
        <v>-7001</v>
      </c>
    </row>
    <row r="147" spans="1:35">
      <c r="A147" t="s">
        <v>643</v>
      </c>
      <c r="B147" s="1">
        <v>41053</v>
      </c>
      <c r="C147" s="1">
        <v>41098</v>
      </c>
      <c r="D147" t="s">
        <v>207</v>
      </c>
      <c r="E147">
        <v>-952</v>
      </c>
      <c r="F147">
        <v>-152</v>
      </c>
      <c r="G147">
        <v>0</v>
      </c>
      <c r="H147">
        <v>0</v>
      </c>
      <c r="I147">
        <v>215</v>
      </c>
      <c r="J147">
        <v>-1104</v>
      </c>
      <c r="L147" s="1">
        <v>41053</v>
      </c>
      <c r="N147" t="s">
        <v>36</v>
      </c>
      <c r="O147" t="s">
        <v>37</v>
      </c>
      <c r="P147" t="s">
        <v>344</v>
      </c>
      <c r="Q147" t="s">
        <v>39</v>
      </c>
      <c r="R147" t="s">
        <v>40</v>
      </c>
      <c r="S147">
        <v>0</v>
      </c>
      <c r="U147" t="s">
        <v>41</v>
      </c>
      <c r="V147" t="s">
        <v>42</v>
      </c>
      <c r="X147" t="s">
        <v>43</v>
      </c>
      <c r="Y147" t="b">
        <v>0</v>
      </c>
      <c r="Z147" t="b">
        <v>0</v>
      </c>
      <c r="AB147" t="s">
        <v>644</v>
      </c>
      <c r="AC147" s="1">
        <v>41227</v>
      </c>
      <c r="AE147" t="s">
        <v>645</v>
      </c>
      <c r="AF147">
        <v>0</v>
      </c>
      <c r="AG147">
        <v>45</v>
      </c>
      <c r="AH147">
        <v>260</v>
      </c>
      <c r="AI147" s="2">
        <f>Table__192.168.3.138DYLAgingReport[[#This Row],[NetAmount]]-Table__192.168.3.138DYLAgingReport[[#This Row],[Paid]]</f>
        <v>-1104</v>
      </c>
    </row>
    <row r="148" spans="1:35">
      <c r="A148" t="s">
        <v>646</v>
      </c>
      <c r="B148" s="1">
        <v>41058</v>
      </c>
      <c r="C148" s="1">
        <v>41103</v>
      </c>
      <c r="D148" t="s">
        <v>208</v>
      </c>
      <c r="E148">
        <v>-5292</v>
      </c>
      <c r="F148">
        <v>-847</v>
      </c>
      <c r="G148">
        <v>0</v>
      </c>
      <c r="H148">
        <v>0</v>
      </c>
      <c r="I148">
        <v>237</v>
      </c>
      <c r="J148">
        <v>-6139</v>
      </c>
      <c r="L148" s="1">
        <v>41031</v>
      </c>
      <c r="N148" t="s">
        <v>36</v>
      </c>
      <c r="O148" t="s">
        <v>37</v>
      </c>
      <c r="P148" t="s">
        <v>345</v>
      </c>
      <c r="Q148" t="s">
        <v>39</v>
      </c>
      <c r="R148" t="s">
        <v>40</v>
      </c>
      <c r="S148">
        <v>0</v>
      </c>
      <c r="U148" t="s">
        <v>41</v>
      </c>
      <c r="V148" t="s">
        <v>42</v>
      </c>
      <c r="X148" t="s">
        <v>43</v>
      </c>
      <c r="Y148" t="b">
        <v>0</v>
      </c>
      <c r="Z148" t="b">
        <v>0</v>
      </c>
      <c r="AC148" s="1"/>
      <c r="AF148">
        <v>0</v>
      </c>
      <c r="AG148">
        <v>45</v>
      </c>
      <c r="AH148">
        <v>282</v>
      </c>
      <c r="AI148" s="2">
        <f>Table__192.168.3.138DYLAgingReport[[#This Row],[NetAmount]]-Table__192.168.3.138DYLAgingReport[[#This Row],[Paid]]</f>
        <v>-6139</v>
      </c>
    </row>
    <row r="149" spans="1:35">
      <c r="A149" t="s">
        <v>647</v>
      </c>
      <c r="B149" s="1">
        <v>41059</v>
      </c>
      <c r="C149" s="1">
        <v>41104</v>
      </c>
      <c r="D149" t="s">
        <v>214</v>
      </c>
      <c r="E149">
        <v>-23226</v>
      </c>
      <c r="F149">
        <v>0</v>
      </c>
      <c r="G149">
        <v>0</v>
      </c>
      <c r="H149">
        <v>0</v>
      </c>
      <c r="I149">
        <v>236</v>
      </c>
      <c r="J149">
        <v>-23226</v>
      </c>
      <c r="L149" s="1">
        <v>41032</v>
      </c>
      <c r="N149" t="s">
        <v>36</v>
      </c>
      <c r="O149" t="s">
        <v>37</v>
      </c>
      <c r="P149" t="s">
        <v>351</v>
      </c>
      <c r="Q149" t="s">
        <v>39</v>
      </c>
      <c r="R149" t="s">
        <v>40</v>
      </c>
      <c r="S149">
        <v>0</v>
      </c>
      <c r="U149" t="s">
        <v>41</v>
      </c>
      <c r="V149" t="s">
        <v>42</v>
      </c>
      <c r="X149" t="s">
        <v>43</v>
      </c>
      <c r="Y149" t="b">
        <v>0</v>
      </c>
      <c r="Z149" t="b">
        <v>0</v>
      </c>
      <c r="AC149" s="1"/>
      <c r="AF149">
        <v>0</v>
      </c>
      <c r="AG149">
        <v>45</v>
      </c>
      <c r="AH149">
        <v>281</v>
      </c>
      <c r="AI149" s="2">
        <f>Table__192.168.3.138DYLAgingReport[[#This Row],[NetAmount]]-Table__192.168.3.138DYLAgingReport[[#This Row],[Paid]]</f>
        <v>-23226</v>
      </c>
    </row>
    <row r="150" spans="1:35">
      <c r="A150" t="s">
        <v>648</v>
      </c>
      <c r="B150" s="1">
        <v>41059</v>
      </c>
      <c r="C150" s="1">
        <v>41104</v>
      </c>
      <c r="D150" t="s">
        <v>236</v>
      </c>
      <c r="E150">
        <v>-1122</v>
      </c>
      <c r="F150">
        <v>0</v>
      </c>
      <c r="G150">
        <v>0</v>
      </c>
      <c r="H150">
        <v>0</v>
      </c>
      <c r="I150">
        <v>210</v>
      </c>
      <c r="J150">
        <v>-1122</v>
      </c>
      <c r="L150" s="1">
        <v>41058</v>
      </c>
      <c r="M150" t="s">
        <v>649</v>
      </c>
      <c r="N150" t="s">
        <v>36</v>
      </c>
      <c r="O150" t="s">
        <v>37</v>
      </c>
      <c r="P150" t="s">
        <v>373</v>
      </c>
      <c r="Q150" t="s">
        <v>39</v>
      </c>
      <c r="R150" t="s">
        <v>40</v>
      </c>
      <c r="S150">
        <v>0</v>
      </c>
      <c r="U150" t="s">
        <v>41</v>
      </c>
      <c r="V150" t="s">
        <v>42</v>
      </c>
      <c r="W150" t="s">
        <v>509</v>
      </c>
      <c r="X150" t="s">
        <v>43</v>
      </c>
      <c r="Y150" t="b">
        <v>0</v>
      </c>
      <c r="Z150" t="b">
        <v>0</v>
      </c>
      <c r="AA150" t="b">
        <v>0</v>
      </c>
      <c r="AC150" s="1"/>
      <c r="AF150">
        <v>0</v>
      </c>
      <c r="AG150">
        <v>45</v>
      </c>
      <c r="AH150">
        <v>255</v>
      </c>
      <c r="AI150" s="2">
        <f>Table__192.168.3.138DYLAgingReport[[#This Row],[NetAmount]]-Table__192.168.3.138DYLAgingReport[[#This Row],[Paid]]</f>
        <v>-1122</v>
      </c>
    </row>
    <row r="151" spans="1:35">
      <c r="A151" t="s">
        <v>650</v>
      </c>
      <c r="B151" s="1">
        <v>41058</v>
      </c>
      <c r="C151" s="1">
        <v>41103</v>
      </c>
      <c r="D151" t="s">
        <v>239</v>
      </c>
      <c r="E151">
        <v>-210839</v>
      </c>
      <c r="F151">
        <v>-33740</v>
      </c>
      <c r="G151">
        <v>0</v>
      </c>
      <c r="H151">
        <v>0</v>
      </c>
      <c r="I151">
        <v>236</v>
      </c>
      <c r="J151">
        <v>-244579</v>
      </c>
      <c r="L151" s="1">
        <v>41032</v>
      </c>
      <c r="N151" t="s">
        <v>36</v>
      </c>
      <c r="O151" t="s">
        <v>37</v>
      </c>
      <c r="P151" t="s">
        <v>376</v>
      </c>
      <c r="Q151" t="s">
        <v>39</v>
      </c>
      <c r="R151" t="s">
        <v>40</v>
      </c>
      <c r="S151">
        <v>0</v>
      </c>
      <c r="U151" t="s">
        <v>41</v>
      </c>
      <c r="V151" t="s">
        <v>42</v>
      </c>
      <c r="X151" t="s">
        <v>43</v>
      </c>
      <c r="Y151" t="b">
        <v>0</v>
      </c>
      <c r="Z151" t="b">
        <v>0</v>
      </c>
      <c r="AB151" t="s">
        <v>651</v>
      </c>
      <c r="AC151" s="1"/>
      <c r="AF151">
        <v>0</v>
      </c>
      <c r="AG151">
        <v>45</v>
      </c>
      <c r="AH151">
        <v>281</v>
      </c>
      <c r="AI151" s="2">
        <f>Table__192.168.3.138DYLAgingReport[[#This Row],[NetAmount]]-Table__192.168.3.138DYLAgingReport[[#This Row],[Paid]]</f>
        <v>-244579</v>
      </c>
    </row>
    <row r="152" spans="1:35">
      <c r="A152" t="s">
        <v>652</v>
      </c>
      <c r="B152" s="1">
        <v>41058</v>
      </c>
      <c r="C152" s="1">
        <v>41103</v>
      </c>
      <c r="D152" t="s">
        <v>242</v>
      </c>
      <c r="E152">
        <v>-1677</v>
      </c>
      <c r="F152">
        <v>-268</v>
      </c>
      <c r="G152">
        <v>0</v>
      </c>
      <c r="H152">
        <v>0</v>
      </c>
      <c r="I152">
        <v>217</v>
      </c>
      <c r="J152">
        <v>-1945</v>
      </c>
      <c r="L152" s="1">
        <v>41051</v>
      </c>
      <c r="N152" t="s">
        <v>36</v>
      </c>
      <c r="O152" t="s">
        <v>37</v>
      </c>
      <c r="P152" t="s">
        <v>379</v>
      </c>
      <c r="Q152" t="s">
        <v>39</v>
      </c>
      <c r="R152" t="s">
        <v>40</v>
      </c>
      <c r="S152">
        <v>0</v>
      </c>
      <c r="U152" t="s">
        <v>41</v>
      </c>
      <c r="V152" t="s">
        <v>42</v>
      </c>
      <c r="X152" t="s">
        <v>43</v>
      </c>
      <c r="Y152" t="b">
        <v>0</v>
      </c>
      <c r="Z152" t="b">
        <v>0</v>
      </c>
      <c r="AC152" s="1"/>
      <c r="AF152">
        <v>0</v>
      </c>
      <c r="AG152">
        <v>45</v>
      </c>
      <c r="AH152">
        <v>262</v>
      </c>
      <c r="AI152" s="2">
        <f>Table__192.168.3.138DYLAgingReport[[#This Row],[NetAmount]]-Table__192.168.3.138DYLAgingReport[[#This Row],[Paid]]</f>
        <v>-1945</v>
      </c>
    </row>
    <row r="153" spans="1:35">
      <c r="A153" t="s">
        <v>653</v>
      </c>
      <c r="B153" s="1">
        <v>41058</v>
      </c>
      <c r="C153" s="1">
        <v>41103</v>
      </c>
      <c r="D153" t="s">
        <v>251</v>
      </c>
      <c r="E153">
        <v>-216066</v>
      </c>
      <c r="F153">
        <v>-34571</v>
      </c>
      <c r="G153">
        <v>0</v>
      </c>
      <c r="H153">
        <v>0</v>
      </c>
      <c r="I153">
        <v>237</v>
      </c>
      <c r="J153">
        <v>-250637</v>
      </c>
      <c r="L153" s="1">
        <v>41031</v>
      </c>
      <c r="N153" t="s">
        <v>36</v>
      </c>
      <c r="O153" t="s">
        <v>37</v>
      </c>
      <c r="P153" t="s">
        <v>388</v>
      </c>
      <c r="Q153" t="s">
        <v>39</v>
      </c>
      <c r="R153" t="s">
        <v>40</v>
      </c>
      <c r="S153">
        <v>0</v>
      </c>
      <c r="U153" t="s">
        <v>41</v>
      </c>
      <c r="V153" t="s">
        <v>42</v>
      </c>
      <c r="X153" t="s">
        <v>43</v>
      </c>
      <c r="Y153" t="b">
        <v>0</v>
      </c>
      <c r="Z153" t="b">
        <v>0</v>
      </c>
      <c r="AB153" t="s">
        <v>615</v>
      </c>
      <c r="AC153" s="1">
        <v>41185</v>
      </c>
      <c r="AE153" t="s">
        <v>616</v>
      </c>
      <c r="AF153">
        <v>0</v>
      </c>
      <c r="AG153">
        <v>45</v>
      </c>
      <c r="AH153">
        <v>282</v>
      </c>
      <c r="AI153" s="2">
        <f>Table__192.168.3.138DYLAgingReport[[#This Row],[NetAmount]]-Table__192.168.3.138DYLAgingReport[[#This Row],[Paid]]</f>
        <v>-250637</v>
      </c>
    </row>
    <row r="154" spans="1:35">
      <c r="A154" t="s">
        <v>654</v>
      </c>
      <c r="B154" s="1">
        <v>41043</v>
      </c>
      <c r="C154" s="1">
        <v>41088</v>
      </c>
      <c r="D154" t="s">
        <v>258</v>
      </c>
      <c r="E154">
        <v>-368</v>
      </c>
      <c r="F154">
        <v>-59</v>
      </c>
      <c r="G154">
        <v>0</v>
      </c>
      <c r="H154">
        <v>0</v>
      </c>
      <c r="I154">
        <v>225</v>
      </c>
      <c r="J154">
        <v>-427</v>
      </c>
      <c r="L154" s="1">
        <v>41043</v>
      </c>
      <c r="M154" t="s">
        <v>10771</v>
      </c>
      <c r="N154" t="s">
        <v>36</v>
      </c>
      <c r="O154" t="s">
        <v>37</v>
      </c>
      <c r="P154" t="s">
        <v>395</v>
      </c>
      <c r="Q154" t="s">
        <v>39</v>
      </c>
      <c r="R154" t="s">
        <v>40</v>
      </c>
      <c r="S154">
        <v>0</v>
      </c>
      <c r="U154" t="s">
        <v>41</v>
      </c>
      <c r="V154" t="s">
        <v>42</v>
      </c>
      <c r="W154" t="s">
        <v>10768</v>
      </c>
      <c r="X154" t="s">
        <v>43</v>
      </c>
      <c r="Y154" t="b">
        <v>0</v>
      </c>
      <c r="Z154" t="b">
        <v>0</v>
      </c>
      <c r="AA154" t="b">
        <v>0</v>
      </c>
      <c r="AC154" s="1"/>
      <c r="AF154">
        <v>0</v>
      </c>
      <c r="AG154">
        <v>45</v>
      </c>
      <c r="AH154">
        <v>270</v>
      </c>
      <c r="AI154" s="2">
        <f>Table__192.168.3.138DYLAgingReport[[#This Row],[NetAmount]]-Table__192.168.3.138DYLAgingReport[[#This Row],[Paid]]</f>
        <v>-427</v>
      </c>
    </row>
    <row r="155" spans="1:35">
      <c r="A155" t="s">
        <v>655</v>
      </c>
      <c r="B155" s="1">
        <v>41053</v>
      </c>
      <c r="C155" s="1">
        <v>41098</v>
      </c>
      <c r="D155" t="s">
        <v>273</v>
      </c>
      <c r="E155">
        <v>-291800</v>
      </c>
      <c r="F155">
        <v>-46688</v>
      </c>
      <c r="G155">
        <v>0</v>
      </c>
      <c r="H155">
        <v>0</v>
      </c>
      <c r="I155">
        <v>236</v>
      </c>
      <c r="J155">
        <v>-338488</v>
      </c>
      <c r="L155" s="1">
        <v>41032</v>
      </c>
      <c r="N155" t="s">
        <v>36</v>
      </c>
      <c r="O155" t="s">
        <v>37</v>
      </c>
      <c r="P155" t="s">
        <v>410</v>
      </c>
      <c r="Q155" t="s">
        <v>39</v>
      </c>
      <c r="R155" t="s">
        <v>40</v>
      </c>
      <c r="S155">
        <v>0</v>
      </c>
      <c r="U155" t="s">
        <v>41</v>
      </c>
      <c r="V155" t="s">
        <v>42</v>
      </c>
      <c r="X155" t="s">
        <v>43</v>
      </c>
      <c r="Y155" t="b">
        <v>0</v>
      </c>
      <c r="Z155" t="b">
        <v>0</v>
      </c>
      <c r="AB155" t="s">
        <v>620</v>
      </c>
      <c r="AC155" s="1">
        <v>41124</v>
      </c>
      <c r="AE155" t="s">
        <v>621</v>
      </c>
      <c r="AF155">
        <v>0</v>
      </c>
      <c r="AG155">
        <v>45</v>
      </c>
      <c r="AH155">
        <v>281</v>
      </c>
      <c r="AI155" s="2">
        <f>Table__192.168.3.138DYLAgingReport[[#This Row],[NetAmount]]-Table__192.168.3.138DYLAgingReport[[#This Row],[Paid]]</f>
        <v>-338488</v>
      </c>
    </row>
    <row r="156" spans="1:35">
      <c r="A156" t="s">
        <v>656</v>
      </c>
      <c r="B156" s="1">
        <v>41053</v>
      </c>
      <c r="C156" s="1">
        <v>41098</v>
      </c>
      <c r="D156" t="s">
        <v>288</v>
      </c>
      <c r="E156">
        <v>-817</v>
      </c>
      <c r="F156">
        <v>-131</v>
      </c>
      <c r="G156">
        <v>0</v>
      </c>
      <c r="H156">
        <v>0</v>
      </c>
      <c r="I156">
        <v>238</v>
      </c>
      <c r="J156">
        <v>-948</v>
      </c>
      <c r="L156" s="1">
        <v>41030</v>
      </c>
      <c r="N156" t="s">
        <v>36</v>
      </c>
      <c r="O156" t="s">
        <v>37</v>
      </c>
      <c r="P156" t="s">
        <v>425</v>
      </c>
      <c r="Q156" t="s">
        <v>39</v>
      </c>
      <c r="R156" t="s">
        <v>40</v>
      </c>
      <c r="S156">
        <v>0</v>
      </c>
      <c r="U156" t="s">
        <v>41</v>
      </c>
      <c r="V156" t="s">
        <v>42</v>
      </c>
      <c r="X156" t="s">
        <v>43</v>
      </c>
      <c r="Y156" t="b">
        <v>0</v>
      </c>
      <c r="Z156" t="b">
        <v>0</v>
      </c>
      <c r="AC156" s="1"/>
      <c r="AF156">
        <v>0</v>
      </c>
      <c r="AG156">
        <v>45</v>
      </c>
      <c r="AH156">
        <v>283</v>
      </c>
      <c r="AI156" s="2">
        <f>Table__192.168.3.138DYLAgingReport[[#This Row],[NetAmount]]-Table__192.168.3.138DYLAgingReport[[#This Row],[Paid]]</f>
        <v>-948</v>
      </c>
    </row>
    <row r="157" spans="1:35">
      <c r="A157" t="s">
        <v>657</v>
      </c>
      <c r="B157" s="1">
        <v>41052</v>
      </c>
      <c r="C157" s="1">
        <v>41097</v>
      </c>
      <c r="D157" t="s">
        <v>166</v>
      </c>
      <c r="E157">
        <v>-2320</v>
      </c>
      <c r="F157">
        <v>-371</v>
      </c>
      <c r="G157">
        <v>0</v>
      </c>
      <c r="H157">
        <v>0</v>
      </c>
      <c r="I157">
        <v>232</v>
      </c>
      <c r="J157">
        <v>-2691</v>
      </c>
      <c r="L157" s="1">
        <v>41036</v>
      </c>
      <c r="N157" t="s">
        <v>36</v>
      </c>
      <c r="O157" t="s">
        <v>37</v>
      </c>
      <c r="P157" t="s">
        <v>303</v>
      </c>
      <c r="Q157" t="s">
        <v>39</v>
      </c>
      <c r="R157" t="s">
        <v>40</v>
      </c>
      <c r="S157">
        <v>0</v>
      </c>
      <c r="U157" t="s">
        <v>41</v>
      </c>
      <c r="V157" t="s">
        <v>42</v>
      </c>
      <c r="X157" t="s">
        <v>43</v>
      </c>
      <c r="Y157" t="b">
        <v>0</v>
      </c>
      <c r="Z157" t="b">
        <v>0</v>
      </c>
      <c r="AC157" s="1"/>
      <c r="AF157">
        <v>0</v>
      </c>
      <c r="AG157">
        <v>45</v>
      </c>
      <c r="AH157">
        <v>277</v>
      </c>
      <c r="AI157" s="2">
        <f>Table__192.168.3.138DYLAgingReport[[#This Row],[NetAmount]]-Table__192.168.3.138DYLAgingReport[[#This Row],[Paid]]</f>
        <v>-2691</v>
      </c>
    </row>
    <row r="158" spans="1:35">
      <c r="A158" t="s">
        <v>658</v>
      </c>
      <c r="B158" s="1">
        <v>41058</v>
      </c>
      <c r="C158" s="1">
        <v>41103</v>
      </c>
      <c r="D158" t="s">
        <v>167</v>
      </c>
      <c r="E158">
        <v>-26</v>
      </c>
      <c r="F158">
        <v>-4</v>
      </c>
      <c r="G158">
        <v>0</v>
      </c>
      <c r="H158">
        <v>0</v>
      </c>
      <c r="I158">
        <v>210</v>
      </c>
      <c r="J158">
        <v>-30</v>
      </c>
      <c r="L158" s="1">
        <v>41058</v>
      </c>
      <c r="N158" t="s">
        <v>36</v>
      </c>
      <c r="O158" t="s">
        <v>37</v>
      </c>
      <c r="P158" t="s">
        <v>304</v>
      </c>
      <c r="Q158" t="s">
        <v>39</v>
      </c>
      <c r="R158" t="s">
        <v>40</v>
      </c>
      <c r="S158">
        <v>0</v>
      </c>
      <c r="U158" t="s">
        <v>41</v>
      </c>
      <c r="V158" t="s">
        <v>42</v>
      </c>
      <c r="X158" t="s">
        <v>43</v>
      </c>
      <c r="Y158" t="b">
        <v>0</v>
      </c>
      <c r="Z158" t="b">
        <v>0</v>
      </c>
      <c r="AC158" s="1"/>
      <c r="AF158">
        <v>0</v>
      </c>
      <c r="AG158">
        <v>45</v>
      </c>
      <c r="AH158">
        <v>255</v>
      </c>
      <c r="AI158" s="2">
        <f>Table__192.168.3.138DYLAgingReport[[#This Row],[NetAmount]]-Table__192.168.3.138DYLAgingReport[[#This Row],[Paid]]</f>
        <v>-30</v>
      </c>
    </row>
    <row r="159" spans="1:35">
      <c r="A159" t="s">
        <v>659</v>
      </c>
      <c r="B159" s="1">
        <v>41036</v>
      </c>
      <c r="C159" s="1">
        <v>41081</v>
      </c>
      <c r="D159" t="s">
        <v>172</v>
      </c>
      <c r="E159">
        <v>-2280</v>
      </c>
      <c r="F159">
        <v>-365</v>
      </c>
      <c r="G159">
        <v>0</v>
      </c>
      <c r="H159">
        <v>0</v>
      </c>
      <c r="I159">
        <v>232</v>
      </c>
      <c r="J159">
        <v>-2645</v>
      </c>
      <c r="L159" s="1">
        <v>41036</v>
      </c>
      <c r="N159" t="s">
        <v>36</v>
      </c>
      <c r="O159" t="s">
        <v>37</v>
      </c>
      <c r="P159" t="s">
        <v>309</v>
      </c>
      <c r="Q159" t="s">
        <v>39</v>
      </c>
      <c r="R159" t="s">
        <v>40</v>
      </c>
      <c r="S159">
        <v>0</v>
      </c>
      <c r="U159" t="s">
        <v>41</v>
      </c>
      <c r="V159" t="s">
        <v>42</v>
      </c>
      <c r="X159" t="s">
        <v>43</v>
      </c>
      <c r="Y159" t="b">
        <v>0</v>
      </c>
      <c r="Z159" t="b">
        <v>0</v>
      </c>
      <c r="AC159" s="1"/>
      <c r="AF159">
        <v>0</v>
      </c>
      <c r="AG159">
        <v>45</v>
      </c>
      <c r="AH159">
        <v>277</v>
      </c>
      <c r="AI159" s="2">
        <f>Table__192.168.3.138DYLAgingReport[[#This Row],[NetAmount]]-Table__192.168.3.138DYLAgingReport[[#This Row],[Paid]]</f>
        <v>-2645</v>
      </c>
    </row>
    <row r="160" spans="1:35">
      <c r="A160" t="s">
        <v>660</v>
      </c>
      <c r="B160" s="1">
        <v>41036</v>
      </c>
      <c r="C160" s="1">
        <v>41081</v>
      </c>
      <c r="D160" t="s">
        <v>172</v>
      </c>
      <c r="E160">
        <v>-160</v>
      </c>
      <c r="F160">
        <v>-26</v>
      </c>
      <c r="G160">
        <v>0</v>
      </c>
      <c r="H160">
        <v>0</v>
      </c>
      <c r="I160">
        <v>232</v>
      </c>
      <c r="J160">
        <v>-186</v>
      </c>
      <c r="L160" s="1">
        <v>41036</v>
      </c>
      <c r="N160" t="s">
        <v>36</v>
      </c>
      <c r="O160" t="s">
        <v>37</v>
      </c>
      <c r="P160" t="s">
        <v>309</v>
      </c>
      <c r="Q160" t="s">
        <v>39</v>
      </c>
      <c r="R160" t="s">
        <v>40</v>
      </c>
      <c r="S160">
        <v>0</v>
      </c>
      <c r="U160" t="s">
        <v>41</v>
      </c>
      <c r="V160" t="s">
        <v>42</v>
      </c>
      <c r="X160" t="s">
        <v>43</v>
      </c>
      <c r="Y160" t="b">
        <v>0</v>
      </c>
      <c r="Z160" t="b">
        <v>0</v>
      </c>
      <c r="AC160" s="1"/>
      <c r="AF160">
        <v>0</v>
      </c>
      <c r="AG160">
        <v>45</v>
      </c>
      <c r="AH160">
        <v>277</v>
      </c>
      <c r="AI160" s="2">
        <f>Table__192.168.3.138DYLAgingReport[[#This Row],[NetAmount]]-Table__192.168.3.138DYLAgingReport[[#This Row],[Paid]]</f>
        <v>-186</v>
      </c>
    </row>
    <row r="161" spans="1:35">
      <c r="A161" t="s">
        <v>661</v>
      </c>
      <c r="B161" s="1">
        <v>41046</v>
      </c>
      <c r="C161" s="1">
        <v>41091</v>
      </c>
      <c r="D161" t="s">
        <v>174</v>
      </c>
      <c r="E161">
        <v>-2583</v>
      </c>
      <c r="F161">
        <v>-413</v>
      </c>
      <c r="G161">
        <v>0</v>
      </c>
      <c r="H161">
        <v>0</v>
      </c>
      <c r="I161">
        <v>232</v>
      </c>
      <c r="J161">
        <v>-2996</v>
      </c>
      <c r="L161" s="1">
        <v>41036</v>
      </c>
      <c r="N161" t="s">
        <v>36</v>
      </c>
      <c r="O161" t="s">
        <v>37</v>
      </c>
      <c r="P161" t="s">
        <v>311</v>
      </c>
      <c r="Q161" t="s">
        <v>39</v>
      </c>
      <c r="R161" t="s">
        <v>40</v>
      </c>
      <c r="S161">
        <v>0</v>
      </c>
      <c r="U161" t="s">
        <v>41</v>
      </c>
      <c r="V161" t="s">
        <v>42</v>
      </c>
      <c r="X161" t="s">
        <v>43</v>
      </c>
      <c r="Y161" t="b">
        <v>0</v>
      </c>
      <c r="Z161" t="b">
        <v>0</v>
      </c>
      <c r="AC161" s="1"/>
      <c r="AF161">
        <v>0</v>
      </c>
      <c r="AG161">
        <v>45</v>
      </c>
      <c r="AH161">
        <v>277</v>
      </c>
      <c r="AI161" s="2">
        <f>Table__192.168.3.138DYLAgingReport[[#This Row],[NetAmount]]-Table__192.168.3.138DYLAgingReport[[#This Row],[Paid]]</f>
        <v>-2996</v>
      </c>
    </row>
    <row r="162" spans="1:35">
      <c r="A162" t="s">
        <v>53</v>
      </c>
      <c r="B162" s="1">
        <v>41052</v>
      </c>
      <c r="C162" s="1">
        <v>41097</v>
      </c>
      <c r="D162" t="s">
        <v>35</v>
      </c>
      <c r="E162">
        <v>-2520</v>
      </c>
      <c r="F162">
        <v>-403</v>
      </c>
      <c r="G162">
        <v>0</v>
      </c>
      <c r="H162">
        <v>0</v>
      </c>
      <c r="I162">
        <v>236</v>
      </c>
      <c r="J162">
        <v>-2923</v>
      </c>
      <c r="L162" s="1">
        <v>41032</v>
      </c>
      <c r="N162" t="s">
        <v>36</v>
      </c>
      <c r="O162" t="s">
        <v>37</v>
      </c>
      <c r="P162" t="s">
        <v>38</v>
      </c>
      <c r="Q162" t="s">
        <v>39</v>
      </c>
      <c r="R162" t="s">
        <v>40</v>
      </c>
      <c r="S162">
        <v>0</v>
      </c>
      <c r="U162" t="s">
        <v>41</v>
      </c>
      <c r="V162" t="s">
        <v>42</v>
      </c>
      <c r="X162" t="s">
        <v>43</v>
      </c>
      <c r="Y162" t="b">
        <v>0</v>
      </c>
      <c r="Z162" t="b">
        <v>0</v>
      </c>
      <c r="AB162" t="s">
        <v>46</v>
      </c>
      <c r="AC162" s="1">
        <v>41185</v>
      </c>
      <c r="AE162" t="s">
        <v>48</v>
      </c>
      <c r="AF162">
        <v>0</v>
      </c>
      <c r="AG162">
        <v>45</v>
      </c>
      <c r="AH162">
        <v>281</v>
      </c>
      <c r="AI162" s="2">
        <f>Table__192.168.3.138DYLAgingReport[[#This Row],[NetAmount]]-Table__192.168.3.138DYLAgingReport[[#This Row],[Paid]]</f>
        <v>-2923</v>
      </c>
    </row>
    <row r="163" spans="1:35">
      <c r="A163" t="s">
        <v>662</v>
      </c>
      <c r="B163" s="1">
        <v>41059</v>
      </c>
      <c r="C163" s="1">
        <v>41104</v>
      </c>
      <c r="D163" t="s">
        <v>187</v>
      </c>
      <c r="E163">
        <v>-22274</v>
      </c>
      <c r="F163">
        <v>-2</v>
      </c>
      <c r="G163">
        <v>0</v>
      </c>
      <c r="H163">
        <v>0</v>
      </c>
      <c r="I163">
        <v>232</v>
      </c>
      <c r="J163">
        <v>-22276</v>
      </c>
      <c r="L163" s="1">
        <v>41036</v>
      </c>
      <c r="N163" t="s">
        <v>36</v>
      </c>
      <c r="O163" t="s">
        <v>37</v>
      </c>
      <c r="P163" t="s">
        <v>324</v>
      </c>
      <c r="Q163" t="s">
        <v>39</v>
      </c>
      <c r="R163" t="s">
        <v>40</v>
      </c>
      <c r="S163">
        <v>0</v>
      </c>
      <c r="U163" t="s">
        <v>41</v>
      </c>
      <c r="V163" t="s">
        <v>42</v>
      </c>
      <c r="X163" t="s">
        <v>43</v>
      </c>
      <c r="Y163" t="b">
        <v>0</v>
      </c>
      <c r="Z163" t="b">
        <v>0</v>
      </c>
      <c r="AC163" s="1"/>
      <c r="AF163">
        <v>0</v>
      </c>
      <c r="AG163">
        <v>45</v>
      </c>
      <c r="AH163">
        <v>277</v>
      </c>
      <c r="AI163" s="2">
        <f>Table__192.168.3.138DYLAgingReport[[#This Row],[NetAmount]]-Table__192.168.3.138DYLAgingReport[[#This Row],[Paid]]</f>
        <v>-22276</v>
      </c>
    </row>
    <row r="164" spans="1:35">
      <c r="A164" t="s">
        <v>663</v>
      </c>
      <c r="B164" s="1">
        <v>41039</v>
      </c>
      <c r="C164" s="1">
        <v>41084</v>
      </c>
      <c r="D164" t="s">
        <v>190</v>
      </c>
      <c r="E164">
        <v>-50</v>
      </c>
      <c r="F164">
        <v>-8</v>
      </c>
      <c r="G164">
        <v>0</v>
      </c>
      <c r="H164">
        <v>0</v>
      </c>
      <c r="I164">
        <v>229</v>
      </c>
      <c r="J164">
        <v>-58</v>
      </c>
      <c r="L164" s="1">
        <v>41039</v>
      </c>
      <c r="M164" t="s">
        <v>5340</v>
      </c>
      <c r="N164" t="s">
        <v>36</v>
      </c>
      <c r="O164" t="s">
        <v>37</v>
      </c>
      <c r="P164" t="s">
        <v>327</v>
      </c>
      <c r="Q164" t="s">
        <v>39</v>
      </c>
      <c r="R164" t="s">
        <v>40</v>
      </c>
      <c r="S164">
        <v>0</v>
      </c>
      <c r="U164" t="s">
        <v>41</v>
      </c>
      <c r="V164" t="s">
        <v>42</v>
      </c>
      <c r="W164" t="s">
        <v>5337</v>
      </c>
      <c r="X164" t="s">
        <v>43</v>
      </c>
      <c r="Y164" t="b">
        <v>0</v>
      </c>
      <c r="Z164" t="b">
        <v>0</v>
      </c>
      <c r="AA164" t="b">
        <v>0</v>
      </c>
      <c r="AC164" s="1"/>
      <c r="AF164">
        <v>0</v>
      </c>
      <c r="AG164">
        <v>45</v>
      </c>
      <c r="AH164">
        <v>274</v>
      </c>
      <c r="AI164" s="2">
        <f>Table__192.168.3.138DYLAgingReport[[#This Row],[NetAmount]]-Table__192.168.3.138DYLAgingReport[[#This Row],[Paid]]</f>
        <v>-58</v>
      </c>
    </row>
    <row r="165" spans="1:35">
      <c r="A165" t="s">
        <v>664</v>
      </c>
      <c r="B165" s="1">
        <v>41050</v>
      </c>
      <c r="C165" s="1">
        <v>41095</v>
      </c>
      <c r="D165" t="s">
        <v>201</v>
      </c>
      <c r="E165">
        <v>-5293</v>
      </c>
      <c r="F165">
        <v>-847</v>
      </c>
      <c r="G165">
        <v>0</v>
      </c>
      <c r="H165">
        <v>0</v>
      </c>
      <c r="I165">
        <v>222</v>
      </c>
      <c r="J165">
        <v>-6140</v>
      </c>
      <c r="L165" s="1">
        <v>41046</v>
      </c>
      <c r="N165" t="s">
        <v>36</v>
      </c>
      <c r="O165" t="s">
        <v>37</v>
      </c>
      <c r="P165" t="s">
        <v>338</v>
      </c>
      <c r="Q165" t="s">
        <v>39</v>
      </c>
      <c r="R165" t="s">
        <v>40</v>
      </c>
      <c r="S165">
        <v>0</v>
      </c>
      <c r="U165" t="s">
        <v>41</v>
      </c>
      <c r="V165" t="s">
        <v>42</v>
      </c>
      <c r="X165" t="s">
        <v>43</v>
      </c>
      <c r="Y165" t="b">
        <v>0</v>
      </c>
      <c r="Z165" t="b">
        <v>0</v>
      </c>
      <c r="AB165" t="s">
        <v>485</v>
      </c>
      <c r="AC165" s="1">
        <v>41236</v>
      </c>
      <c r="AF165">
        <v>0</v>
      </c>
      <c r="AG165">
        <v>45</v>
      </c>
      <c r="AH165">
        <v>267</v>
      </c>
      <c r="AI165" s="2">
        <f>Table__192.168.3.138DYLAgingReport[[#This Row],[NetAmount]]-Table__192.168.3.138DYLAgingReport[[#This Row],[Paid]]</f>
        <v>-6140</v>
      </c>
    </row>
    <row r="166" spans="1:35">
      <c r="A166" t="s">
        <v>665</v>
      </c>
      <c r="B166" s="1">
        <v>41053</v>
      </c>
      <c r="C166" s="1">
        <v>41098</v>
      </c>
      <c r="D166" t="s">
        <v>202</v>
      </c>
      <c r="E166">
        <v>-2229</v>
      </c>
      <c r="F166">
        <v>-357</v>
      </c>
      <c r="G166">
        <v>0</v>
      </c>
      <c r="H166">
        <v>0</v>
      </c>
      <c r="I166">
        <v>215</v>
      </c>
      <c r="J166">
        <v>-2586</v>
      </c>
      <c r="L166" s="1">
        <v>41053</v>
      </c>
      <c r="N166" t="s">
        <v>36</v>
      </c>
      <c r="O166" t="s">
        <v>37</v>
      </c>
      <c r="P166" t="s">
        <v>339</v>
      </c>
      <c r="Q166" t="s">
        <v>39</v>
      </c>
      <c r="R166" t="s">
        <v>40</v>
      </c>
      <c r="S166">
        <v>0</v>
      </c>
      <c r="U166" t="s">
        <v>41</v>
      </c>
      <c r="V166" t="s">
        <v>42</v>
      </c>
      <c r="X166" t="s">
        <v>43</v>
      </c>
      <c r="Y166" t="b">
        <v>0</v>
      </c>
      <c r="Z166" t="b">
        <v>0</v>
      </c>
      <c r="AC166" s="1"/>
      <c r="AF166">
        <v>0</v>
      </c>
      <c r="AG166">
        <v>45</v>
      </c>
      <c r="AH166">
        <v>260</v>
      </c>
      <c r="AI166" s="2">
        <f>Table__192.168.3.138DYLAgingReport[[#This Row],[NetAmount]]-Table__192.168.3.138DYLAgingReport[[#This Row],[Paid]]</f>
        <v>-2586</v>
      </c>
    </row>
    <row r="167" spans="1:35">
      <c r="A167" t="s">
        <v>666</v>
      </c>
      <c r="B167" s="1">
        <v>41053</v>
      </c>
      <c r="C167" s="1">
        <v>41098</v>
      </c>
      <c r="D167" t="s">
        <v>207</v>
      </c>
      <c r="E167">
        <v>-7807</v>
      </c>
      <c r="F167">
        <v>-1249</v>
      </c>
      <c r="G167">
        <v>0</v>
      </c>
      <c r="H167">
        <v>0</v>
      </c>
      <c r="I167">
        <v>229</v>
      </c>
      <c r="J167">
        <v>-9056</v>
      </c>
      <c r="L167" s="1">
        <v>41039</v>
      </c>
      <c r="N167" t="s">
        <v>36</v>
      </c>
      <c r="O167" t="s">
        <v>37</v>
      </c>
      <c r="P167" t="s">
        <v>344</v>
      </c>
      <c r="Q167" t="s">
        <v>39</v>
      </c>
      <c r="R167" t="s">
        <v>40</v>
      </c>
      <c r="S167">
        <v>0</v>
      </c>
      <c r="U167" t="s">
        <v>41</v>
      </c>
      <c r="V167" t="s">
        <v>42</v>
      </c>
      <c r="X167" t="s">
        <v>43</v>
      </c>
      <c r="Y167" t="b">
        <v>0</v>
      </c>
      <c r="Z167" t="b">
        <v>0</v>
      </c>
      <c r="AB167" t="s">
        <v>644</v>
      </c>
      <c r="AC167" s="1">
        <v>41227</v>
      </c>
      <c r="AE167" t="s">
        <v>645</v>
      </c>
      <c r="AF167">
        <v>0</v>
      </c>
      <c r="AG167">
        <v>45</v>
      </c>
      <c r="AH167">
        <v>274</v>
      </c>
      <c r="AI167" s="2">
        <f>Table__192.168.3.138DYLAgingReport[[#This Row],[NetAmount]]-Table__192.168.3.138DYLAgingReport[[#This Row],[Paid]]</f>
        <v>-9056</v>
      </c>
    </row>
    <row r="168" spans="1:35">
      <c r="A168" t="s">
        <v>667</v>
      </c>
      <c r="B168" s="1">
        <v>41051</v>
      </c>
      <c r="C168" s="1">
        <v>41096</v>
      </c>
      <c r="D168" t="s">
        <v>208</v>
      </c>
      <c r="E168">
        <v>-162</v>
      </c>
      <c r="F168">
        <v>-26</v>
      </c>
      <c r="G168">
        <v>0</v>
      </c>
      <c r="H168">
        <v>0</v>
      </c>
      <c r="I168">
        <v>231</v>
      </c>
      <c r="J168">
        <v>-188</v>
      </c>
      <c r="L168" s="1">
        <v>41037</v>
      </c>
      <c r="N168" t="s">
        <v>36</v>
      </c>
      <c r="O168" t="s">
        <v>37</v>
      </c>
      <c r="P168" t="s">
        <v>345</v>
      </c>
      <c r="Q168" t="s">
        <v>39</v>
      </c>
      <c r="R168" t="s">
        <v>40</v>
      </c>
      <c r="S168">
        <v>0</v>
      </c>
      <c r="U168" t="s">
        <v>41</v>
      </c>
      <c r="V168" t="s">
        <v>42</v>
      </c>
      <c r="X168" t="s">
        <v>43</v>
      </c>
      <c r="Y168" t="b">
        <v>0</v>
      </c>
      <c r="Z168" t="b">
        <v>0</v>
      </c>
      <c r="AC168" s="1"/>
      <c r="AF168">
        <v>0</v>
      </c>
      <c r="AG168">
        <v>45</v>
      </c>
      <c r="AH168">
        <v>276</v>
      </c>
      <c r="AI168" s="2">
        <f>Table__192.168.3.138DYLAgingReport[[#This Row],[NetAmount]]-Table__192.168.3.138DYLAgingReport[[#This Row],[Paid]]</f>
        <v>-188</v>
      </c>
    </row>
    <row r="169" spans="1:35">
      <c r="A169" t="s">
        <v>668</v>
      </c>
      <c r="B169" s="1">
        <v>41060</v>
      </c>
      <c r="C169" s="1">
        <v>41105</v>
      </c>
      <c r="D169" t="s">
        <v>214</v>
      </c>
      <c r="E169">
        <v>-24840</v>
      </c>
      <c r="F169">
        <v>-90</v>
      </c>
      <c r="G169">
        <v>0</v>
      </c>
      <c r="H169">
        <v>0</v>
      </c>
      <c r="I169">
        <v>229</v>
      </c>
      <c r="J169">
        <v>-24930</v>
      </c>
      <c r="L169" s="1">
        <v>41039</v>
      </c>
      <c r="N169" t="s">
        <v>36</v>
      </c>
      <c r="O169" t="s">
        <v>37</v>
      </c>
      <c r="P169" t="s">
        <v>351</v>
      </c>
      <c r="Q169" t="s">
        <v>39</v>
      </c>
      <c r="R169" t="s">
        <v>40</v>
      </c>
      <c r="S169">
        <v>0</v>
      </c>
      <c r="U169" t="s">
        <v>41</v>
      </c>
      <c r="V169" t="s">
        <v>42</v>
      </c>
      <c r="X169" t="s">
        <v>43</v>
      </c>
      <c r="Y169" t="b">
        <v>0</v>
      </c>
      <c r="Z169" t="b">
        <v>0</v>
      </c>
      <c r="AC169" s="1"/>
      <c r="AF169">
        <v>0</v>
      </c>
      <c r="AG169">
        <v>45</v>
      </c>
      <c r="AH169">
        <v>274</v>
      </c>
      <c r="AI169" s="2">
        <f>Table__192.168.3.138DYLAgingReport[[#This Row],[NetAmount]]-Table__192.168.3.138DYLAgingReport[[#This Row],[Paid]]</f>
        <v>-24930</v>
      </c>
    </row>
    <row r="170" spans="1:35">
      <c r="A170" t="s">
        <v>669</v>
      </c>
      <c r="B170" s="1">
        <v>41059</v>
      </c>
      <c r="C170" s="1">
        <v>41104</v>
      </c>
      <c r="D170" t="s">
        <v>569</v>
      </c>
      <c r="E170">
        <v>-35469</v>
      </c>
      <c r="F170">
        <v>-5673</v>
      </c>
      <c r="G170">
        <v>0</v>
      </c>
      <c r="H170">
        <v>0</v>
      </c>
      <c r="I170">
        <v>238</v>
      </c>
      <c r="J170">
        <v>-41142</v>
      </c>
      <c r="L170" s="1">
        <v>41030</v>
      </c>
      <c r="N170" t="s">
        <v>36</v>
      </c>
      <c r="O170" t="s">
        <v>37</v>
      </c>
      <c r="P170" t="s">
        <v>433</v>
      </c>
      <c r="Q170" t="s">
        <v>39</v>
      </c>
      <c r="R170" t="s">
        <v>40</v>
      </c>
      <c r="S170">
        <v>0</v>
      </c>
      <c r="U170" t="s">
        <v>41</v>
      </c>
      <c r="V170" t="s">
        <v>42</v>
      </c>
      <c r="X170" t="s">
        <v>43</v>
      </c>
      <c r="Y170" t="b">
        <v>0</v>
      </c>
      <c r="Z170" t="b">
        <v>0</v>
      </c>
      <c r="AC170" s="1"/>
      <c r="AF170">
        <v>0</v>
      </c>
      <c r="AG170">
        <v>45</v>
      </c>
      <c r="AH170">
        <v>283</v>
      </c>
      <c r="AI170" s="2">
        <f>Table__192.168.3.138DYLAgingReport[[#This Row],[NetAmount]]-Table__192.168.3.138DYLAgingReport[[#This Row],[Paid]]</f>
        <v>-41142</v>
      </c>
    </row>
    <row r="171" spans="1:35">
      <c r="A171" t="s">
        <v>670</v>
      </c>
      <c r="B171" s="1">
        <v>41058</v>
      </c>
      <c r="C171" s="1">
        <v>41103</v>
      </c>
      <c r="D171" t="s">
        <v>233</v>
      </c>
      <c r="E171">
        <v>-147</v>
      </c>
      <c r="F171">
        <v>-24</v>
      </c>
      <c r="G171">
        <v>0</v>
      </c>
      <c r="H171">
        <v>0</v>
      </c>
      <c r="I171">
        <v>210</v>
      </c>
      <c r="J171">
        <v>-171</v>
      </c>
      <c r="L171" s="1">
        <v>41058</v>
      </c>
      <c r="N171" t="s">
        <v>36</v>
      </c>
      <c r="O171" t="s">
        <v>37</v>
      </c>
      <c r="P171" t="s">
        <v>370</v>
      </c>
      <c r="Q171" t="s">
        <v>39</v>
      </c>
      <c r="R171" t="s">
        <v>40</v>
      </c>
      <c r="S171">
        <v>0</v>
      </c>
      <c r="U171" t="s">
        <v>41</v>
      </c>
      <c r="V171" t="s">
        <v>42</v>
      </c>
      <c r="X171" t="s">
        <v>43</v>
      </c>
      <c r="Y171" t="b">
        <v>0</v>
      </c>
      <c r="Z171" t="b">
        <v>0</v>
      </c>
      <c r="AC171" s="1"/>
      <c r="AF171">
        <v>0</v>
      </c>
      <c r="AG171">
        <v>45</v>
      </c>
      <c r="AH171">
        <v>255</v>
      </c>
      <c r="AI171" s="2">
        <f>Table__192.168.3.138DYLAgingReport[[#This Row],[NetAmount]]-Table__192.168.3.138DYLAgingReport[[#This Row],[Paid]]</f>
        <v>-171</v>
      </c>
    </row>
    <row r="172" spans="1:35">
      <c r="A172" t="s">
        <v>671</v>
      </c>
      <c r="B172" s="1">
        <v>41051</v>
      </c>
      <c r="C172" s="1">
        <v>41096</v>
      </c>
      <c r="D172" t="s">
        <v>242</v>
      </c>
      <c r="E172">
        <v>-56</v>
      </c>
      <c r="F172">
        <v>-9</v>
      </c>
      <c r="G172">
        <v>0</v>
      </c>
      <c r="H172">
        <v>0</v>
      </c>
      <c r="I172">
        <v>217</v>
      </c>
      <c r="J172">
        <v>-65</v>
      </c>
      <c r="L172" s="1">
        <v>41051</v>
      </c>
      <c r="N172" t="s">
        <v>36</v>
      </c>
      <c r="O172" t="s">
        <v>37</v>
      </c>
      <c r="P172" t="s">
        <v>379</v>
      </c>
      <c r="Q172" t="s">
        <v>39</v>
      </c>
      <c r="R172" t="s">
        <v>40</v>
      </c>
      <c r="S172">
        <v>0</v>
      </c>
      <c r="U172" t="s">
        <v>41</v>
      </c>
      <c r="V172" t="s">
        <v>42</v>
      </c>
      <c r="X172" t="s">
        <v>43</v>
      </c>
      <c r="Y172" t="b">
        <v>0</v>
      </c>
      <c r="Z172" t="b">
        <v>0</v>
      </c>
      <c r="AC172" s="1"/>
      <c r="AF172">
        <v>0</v>
      </c>
      <c r="AG172">
        <v>45</v>
      </c>
      <c r="AH172">
        <v>262</v>
      </c>
      <c r="AI172" s="2">
        <f>Table__192.168.3.138DYLAgingReport[[#This Row],[NetAmount]]-Table__192.168.3.138DYLAgingReport[[#This Row],[Paid]]</f>
        <v>-65</v>
      </c>
    </row>
    <row r="173" spans="1:35">
      <c r="A173" t="s">
        <v>672</v>
      </c>
      <c r="B173" s="1">
        <v>41036</v>
      </c>
      <c r="C173" s="1">
        <v>41081</v>
      </c>
      <c r="D173" t="s">
        <v>288</v>
      </c>
      <c r="E173">
        <v>-191</v>
      </c>
      <c r="F173">
        <v>-31</v>
      </c>
      <c r="G173">
        <v>0</v>
      </c>
      <c r="H173">
        <v>0</v>
      </c>
      <c r="I173">
        <v>232</v>
      </c>
      <c r="J173">
        <v>-222</v>
      </c>
      <c r="L173" s="1">
        <v>41036</v>
      </c>
      <c r="N173" t="s">
        <v>36</v>
      </c>
      <c r="O173" t="s">
        <v>37</v>
      </c>
      <c r="P173" t="s">
        <v>425</v>
      </c>
      <c r="Q173" t="s">
        <v>39</v>
      </c>
      <c r="R173" t="s">
        <v>40</v>
      </c>
      <c r="S173">
        <v>0</v>
      </c>
      <c r="U173" t="s">
        <v>41</v>
      </c>
      <c r="V173" t="s">
        <v>42</v>
      </c>
      <c r="X173" t="s">
        <v>43</v>
      </c>
      <c r="Y173" t="b">
        <v>0</v>
      </c>
      <c r="Z173" t="b">
        <v>0</v>
      </c>
      <c r="AC173" s="1"/>
      <c r="AF173">
        <v>0</v>
      </c>
      <c r="AG173">
        <v>45</v>
      </c>
      <c r="AH173">
        <v>277</v>
      </c>
      <c r="AI173" s="2">
        <f>Table__192.168.3.138DYLAgingReport[[#This Row],[NetAmount]]-Table__192.168.3.138DYLAgingReport[[#This Row],[Paid]]</f>
        <v>-222</v>
      </c>
    </row>
    <row r="174" spans="1:35">
      <c r="A174" t="s">
        <v>673</v>
      </c>
      <c r="B174" s="1">
        <v>41058</v>
      </c>
      <c r="C174" s="1">
        <v>41103</v>
      </c>
      <c r="D174" t="s">
        <v>569</v>
      </c>
      <c r="E174">
        <v>-19498</v>
      </c>
      <c r="F174">
        <v>-3120</v>
      </c>
      <c r="G174">
        <v>0</v>
      </c>
      <c r="H174">
        <v>0</v>
      </c>
      <c r="I174">
        <v>238</v>
      </c>
      <c r="J174">
        <v>-22618</v>
      </c>
      <c r="L174" s="1">
        <v>41030</v>
      </c>
      <c r="N174" t="s">
        <v>36</v>
      </c>
      <c r="O174" t="s">
        <v>37</v>
      </c>
      <c r="P174" t="s">
        <v>433</v>
      </c>
      <c r="Q174" t="s">
        <v>39</v>
      </c>
      <c r="R174" t="s">
        <v>40</v>
      </c>
      <c r="S174">
        <v>0</v>
      </c>
      <c r="U174" t="s">
        <v>41</v>
      </c>
      <c r="V174" t="s">
        <v>42</v>
      </c>
      <c r="X174" t="s">
        <v>43</v>
      </c>
      <c r="Y174" t="b">
        <v>0</v>
      </c>
      <c r="Z174" t="b">
        <v>0</v>
      </c>
      <c r="AC174" s="1"/>
      <c r="AF174">
        <v>0</v>
      </c>
      <c r="AG174">
        <v>45</v>
      </c>
      <c r="AH174">
        <v>283</v>
      </c>
      <c r="AI174" s="2">
        <f>Table__192.168.3.138DYLAgingReport[[#This Row],[NetAmount]]-Table__192.168.3.138DYLAgingReport[[#This Row],[Paid]]</f>
        <v>-22618</v>
      </c>
    </row>
    <row r="175" spans="1:35">
      <c r="A175" t="s">
        <v>674</v>
      </c>
      <c r="B175" s="1">
        <v>41074</v>
      </c>
      <c r="C175" s="1">
        <v>41119</v>
      </c>
      <c r="D175" t="s">
        <v>166</v>
      </c>
      <c r="E175">
        <v>-1281</v>
      </c>
      <c r="F175">
        <v>-205</v>
      </c>
      <c r="G175">
        <v>0</v>
      </c>
      <c r="H175">
        <v>0</v>
      </c>
      <c r="I175">
        <v>194</v>
      </c>
      <c r="J175">
        <v>-1486</v>
      </c>
      <c r="L175" s="1">
        <v>41074</v>
      </c>
      <c r="N175" t="s">
        <v>36</v>
      </c>
      <c r="O175" t="s">
        <v>37</v>
      </c>
      <c r="P175" t="s">
        <v>303</v>
      </c>
      <c r="Q175" t="s">
        <v>39</v>
      </c>
      <c r="R175" t="s">
        <v>40</v>
      </c>
      <c r="S175">
        <v>0</v>
      </c>
      <c r="U175" t="s">
        <v>41</v>
      </c>
      <c r="V175" t="s">
        <v>42</v>
      </c>
      <c r="X175" t="s">
        <v>43</v>
      </c>
      <c r="Y175" t="b">
        <v>0</v>
      </c>
      <c r="Z175" t="b">
        <v>0</v>
      </c>
      <c r="AC175" s="1"/>
      <c r="AF175">
        <v>0</v>
      </c>
      <c r="AG175">
        <v>45</v>
      </c>
      <c r="AH175">
        <v>239</v>
      </c>
      <c r="AI175" s="2">
        <f>Table__192.168.3.138DYLAgingReport[[#This Row],[NetAmount]]-Table__192.168.3.138DYLAgingReport[[#This Row],[Paid]]</f>
        <v>-1486</v>
      </c>
    </row>
    <row r="176" spans="1:35">
      <c r="A176" t="s">
        <v>675</v>
      </c>
      <c r="B176" s="1">
        <v>41089</v>
      </c>
      <c r="C176" s="1">
        <v>41134</v>
      </c>
      <c r="D176" t="s">
        <v>174</v>
      </c>
      <c r="E176">
        <v>-2813</v>
      </c>
      <c r="F176">
        <v>-450</v>
      </c>
      <c r="G176">
        <v>0</v>
      </c>
      <c r="H176">
        <v>0</v>
      </c>
      <c r="I176">
        <v>196</v>
      </c>
      <c r="J176">
        <v>-3263</v>
      </c>
      <c r="L176" s="1">
        <v>41072</v>
      </c>
      <c r="N176" t="s">
        <v>36</v>
      </c>
      <c r="O176" t="s">
        <v>37</v>
      </c>
      <c r="P176" t="s">
        <v>311</v>
      </c>
      <c r="Q176" t="s">
        <v>39</v>
      </c>
      <c r="R176" t="s">
        <v>40</v>
      </c>
      <c r="S176">
        <v>0</v>
      </c>
      <c r="U176" t="s">
        <v>41</v>
      </c>
      <c r="V176" t="s">
        <v>42</v>
      </c>
      <c r="X176" t="s">
        <v>43</v>
      </c>
      <c r="Y176" t="b">
        <v>0</v>
      </c>
      <c r="Z176" t="b">
        <v>0</v>
      </c>
      <c r="AC176" s="1"/>
      <c r="AF176">
        <v>0</v>
      </c>
      <c r="AG176">
        <v>45</v>
      </c>
      <c r="AH176">
        <v>241</v>
      </c>
      <c r="AI176" s="2">
        <f>Table__192.168.3.138DYLAgingReport[[#This Row],[NetAmount]]-Table__192.168.3.138DYLAgingReport[[#This Row],[Paid]]</f>
        <v>-3263</v>
      </c>
    </row>
    <row r="177" spans="1:35">
      <c r="A177" t="s">
        <v>676</v>
      </c>
      <c r="B177" s="1">
        <v>41080</v>
      </c>
      <c r="C177" s="1">
        <v>41125</v>
      </c>
      <c r="D177" t="s">
        <v>176</v>
      </c>
      <c r="E177">
        <v>-180</v>
      </c>
      <c r="F177">
        <v>-29</v>
      </c>
      <c r="G177">
        <v>0</v>
      </c>
      <c r="H177">
        <v>0</v>
      </c>
      <c r="I177">
        <v>354</v>
      </c>
      <c r="J177">
        <v>-209</v>
      </c>
      <c r="L177" s="1">
        <v>40914</v>
      </c>
      <c r="M177" t="s">
        <v>677</v>
      </c>
      <c r="N177" t="s">
        <v>36</v>
      </c>
      <c r="O177" t="s">
        <v>37</v>
      </c>
      <c r="P177" t="s">
        <v>313</v>
      </c>
      <c r="Q177" t="s">
        <v>39</v>
      </c>
      <c r="R177" t="s">
        <v>40</v>
      </c>
      <c r="S177">
        <v>0</v>
      </c>
      <c r="U177" t="s">
        <v>41</v>
      </c>
      <c r="V177" t="s">
        <v>42</v>
      </c>
      <c r="W177" t="s">
        <v>494</v>
      </c>
      <c r="X177" t="s">
        <v>43</v>
      </c>
      <c r="Y177" t="b">
        <v>0</v>
      </c>
      <c r="Z177" t="b">
        <v>0</v>
      </c>
      <c r="AA177" t="b">
        <v>0</v>
      </c>
      <c r="AC177" s="1"/>
      <c r="AF177">
        <v>0</v>
      </c>
      <c r="AG177">
        <v>45</v>
      </c>
      <c r="AH177">
        <v>399</v>
      </c>
      <c r="AI177" s="2">
        <f>Table__192.168.3.138DYLAgingReport[[#This Row],[NetAmount]]-Table__192.168.3.138DYLAgingReport[[#This Row],[Paid]]</f>
        <v>-209</v>
      </c>
    </row>
    <row r="178" spans="1:35">
      <c r="A178" t="s">
        <v>678</v>
      </c>
      <c r="B178" s="1">
        <v>41089</v>
      </c>
      <c r="C178" s="1">
        <v>41134</v>
      </c>
      <c r="D178" t="s">
        <v>178</v>
      </c>
      <c r="E178">
        <v>-584</v>
      </c>
      <c r="F178">
        <v>-93</v>
      </c>
      <c r="G178">
        <v>0</v>
      </c>
      <c r="H178">
        <v>0</v>
      </c>
      <c r="I178">
        <v>179</v>
      </c>
      <c r="J178">
        <v>-677</v>
      </c>
      <c r="L178" s="1">
        <v>41089</v>
      </c>
      <c r="N178" t="s">
        <v>36</v>
      </c>
      <c r="O178" t="s">
        <v>37</v>
      </c>
      <c r="P178" t="s">
        <v>315</v>
      </c>
      <c r="Q178" t="s">
        <v>39</v>
      </c>
      <c r="R178" t="s">
        <v>40</v>
      </c>
      <c r="S178">
        <v>0</v>
      </c>
      <c r="U178" t="s">
        <v>41</v>
      </c>
      <c r="V178" t="s">
        <v>42</v>
      </c>
      <c r="X178" t="s">
        <v>43</v>
      </c>
      <c r="Y178" t="b">
        <v>0</v>
      </c>
      <c r="Z178" t="b">
        <v>0</v>
      </c>
      <c r="AC178" s="1"/>
      <c r="AF178">
        <v>0</v>
      </c>
      <c r="AG178">
        <v>45</v>
      </c>
      <c r="AH178">
        <v>224</v>
      </c>
      <c r="AI178" s="2">
        <f>Table__192.168.3.138DYLAgingReport[[#This Row],[NetAmount]]-Table__192.168.3.138DYLAgingReport[[#This Row],[Paid]]</f>
        <v>-677</v>
      </c>
    </row>
    <row r="179" spans="1:35">
      <c r="A179" t="s">
        <v>679</v>
      </c>
      <c r="B179" s="1">
        <v>41089</v>
      </c>
      <c r="C179" s="1">
        <v>41134</v>
      </c>
      <c r="D179" t="s">
        <v>183</v>
      </c>
      <c r="E179">
        <v>-303</v>
      </c>
      <c r="F179">
        <v>-48</v>
      </c>
      <c r="G179">
        <v>0</v>
      </c>
      <c r="H179">
        <v>0</v>
      </c>
      <c r="I179">
        <v>179</v>
      </c>
      <c r="J179">
        <v>-351</v>
      </c>
      <c r="L179" s="1">
        <v>41089</v>
      </c>
      <c r="N179" t="s">
        <v>36</v>
      </c>
      <c r="O179" t="s">
        <v>37</v>
      </c>
      <c r="P179" t="s">
        <v>320</v>
      </c>
      <c r="Q179" t="s">
        <v>39</v>
      </c>
      <c r="R179" t="s">
        <v>40</v>
      </c>
      <c r="S179">
        <v>0</v>
      </c>
      <c r="U179" t="s">
        <v>41</v>
      </c>
      <c r="V179" t="s">
        <v>42</v>
      </c>
      <c r="X179" t="s">
        <v>43</v>
      </c>
      <c r="Y179" t="b">
        <v>0</v>
      </c>
      <c r="Z179" t="b">
        <v>0</v>
      </c>
      <c r="AC179" s="1"/>
      <c r="AF179">
        <v>0</v>
      </c>
      <c r="AG179">
        <v>45</v>
      </c>
      <c r="AH179">
        <v>224</v>
      </c>
      <c r="AI179" s="2">
        <f>Table__192.168.3.138DYLAgingReport[[#This Row],[NetAmount]]-Table__192.168.3.138DYLAgingReport[[#This Row],[Paid]]</f>
        <v>-351</v>
      </c>
    </row>
    <row r="180" spans="1:35">
      <c r="A180" t="s">
        <v>54</v>
      </c>
      <c r="B180" s="1">
        <v>41086</v>
      </c>
      <c r="C180" s="1">
        <v>41131</v>
      </c>
      <c r="D180" t="s">
        <v>35</v>
      </c>
      <c r="E180">
        <v>-420</v>
      </c>
      <c r="F180">
        <v>-67</v>
      </c>
      <c r="G180">
        <v>0</v>
      </c>
      <c r="H180">
        <v>0</v>
      </c>
      <c r="I180">
        <v>182</v>
      </c>
      <c r="J180">
        <v>-487</v>
      </c>
      <c r="L180" s="1">
        <v>41086</v>
      </c>
      <c r="N180" t="s">
        <v>36</v>
      </c>
      <c r="O180" t="s">
        <v>37</v>
      </c>
      <c r="P180" t="s">
        <v>38</v>
      </c>
      <c r="Q180" t="s">
        <v>39</v>
      </c>
      <c r="R180" t="s">
        <v>40</v>
      </c>
      <c r="S180">
        <v>0</v>
      </c>
      <c r="U180" t="s">
        <v>41</v>
      </c>
      <c r="V180" t="s">
        <v>42</v>
      </c>
      <c r="X180" t="s">
        <v>43</v>
      </c>
      <c r="Y180" t="b">
        <v>0</v>
      </c>
      <c r="Z180" t="b">
        <v>0</v>
      </c>
      <c r="AB180" t="s">
        <v>46</v>
      </c>
      <c r="AC180" s="1">
        <v>41185</v>
      </c>
      <c r="AE180" t="s">
        <v>48</v>
      </c>
      <c r="AF180">
        <v>0</v>
      </c>
      <c r="AG180">
        <v>45</v>
      </c>
      <c r="AH180">
        <v>227</v>
      </c>
      <c r="AI180" s="2">
        <f>Table__192.168.3.138DYLAgingReport[[#This Row],[NetAmount]]-Table__192.168.3.138DYLAgingReport[[#This Row],[Paid]]</f>
        <v>-487</v>
      </c>
    </row>
    <row r="181" spans="1:35">
      <c r="A181" t="s">
        <v>680</v>
      </c>
      <c r="B181" s="1">
        <v>41088</v>
      </c>
      <c r="C181" s="1">
        <v>41133</v>
      </c>
      <c r="D181" t="s">
        <v>187</v>
      </c>
      <c r="E181">
        <v>-6196</v>
      </c>
      <c r="F181">
        <v>0</v>
      </c>
      <c r="G181">
        <v>0</v>
      </c>
      <c r="H181">
        <v>0</v>
      </c>
      <c r="I181">
        <v>195</v>
      </c>
      <c r="J181">
        <v>-6196</v>
      </c>
      <c r="L181" s="1">
        <v>41073</v>
      </c>
      <c r="N181" t="s">
        <v>36</v>
      </c>
      <c r="O181" t="s">
        <v>37</v>
      </c>
      <c r="P181" t="s">
        <v>324</v>
      </c>
      <c r="Q181" t="s">
        <v>39</v>
      </c>
      <c r="R181" t="s">
        <v>40</v>
      </c>
      <c r="S181">
        <v>0</v>
      </c>
      <c r="U181" t="s">
        <v>41</v>
      </c>
      <c r="V181" t="s">
        <v>42</v>
      </c>
      <c r="X181" t="s">
        <v>43</v>
      </c>
      <c r="Y181" t="b">
        <v>0</v>
      </c>
      <c r="Z181" t="b">
        <v>0</v>
      </c>
      <c r="AC181" s="1"/>
      <c r="AF181">
        <v>0</v>
      </c>
      <c r="AG181">
        <v>45</v>
      </c>
      <c r="AH181">
        <v>240</v>
      </c>
      <c r="AI181" s="2">
        <f>Table__192.168.3.138DYLAgingReport[[#This Row],[NetAmount]]-Table__192.168.3.138DYLAgingReport[[#This Row],[Paid]]</f>
        <v>-6196</v>
      </c>
    </row>
    <row r="182" spans="1:35">
      <c r="A182" t="s">
        <v>681</v>
      </c>
      <c r="B182" s="1">
        <v>41089</v>
      </c>
      <c r="C182" s="1">
        <v>41134</v>
      </c>
      <c r="D182" t="s">
        <v>198</v>
      </c>
      <c r="E182">
        <v>-170</v>
      </c>
      <c r="F182">
        <v>-27</v>
      </c>
      <c r="G182">
        <v>0</v>
      </c>
      <c r="H182">
        <v>0</v>
      </c>
      <c r="I182">
        <v>179</v>
      </c>
      <c r="J182">
        <v>-197</v>
      </c>
      <c r="L182" s="1">
        <v>41089</v>
      </c>
      <c r="N182" t="s">
        <v>36</v>
      </c>
      <c r="O182" t="s">
        <v>37</v>
      </c>
      <c r="P182" t="s">
        <v>335</v>
      </c>
      <c r="Q182" t="s">
        <v>39</v>
      </c>
      <c r="R182" t="s">
        <v>40</v>
      </c>
      <c r="S182">
        <v>0</v>
      </c>
      <c r="U182" t="s">
        <v>41</v>
      </c>
      <c r="V182" t="s">
        <v>42</v>
      </c>
      <c r="X182" t="s">
        <v>43</v>
      </c>
      <c r="Y182" t="b">
        <v>0</v>
      </c>
      <c r="Z182" t="b">
        <v>0</v>
      </c>
      <c r="AC182" s="1"/>
      <c r="AF182">
        <v>0</v>
      </c>
      <c r="AG182">
        <v>45</v>
      </c>
      <c r="AH182">
        <v>224</v>
      </c>
      <c r="AI182" s="2">
        <f>Table__192.168.3.138DYLAgingReport[[#This Row],[NetAmount]]-Table__192.168.3.138DYLAgingReport[[#This Row],[Paid]]</f>
        <v>-197</v>
      </c>
    </row>
    <row r="183" spans="1:35">
      <c r="A183" t="s">
        <v>682</v>
      </c>
      <c r="B183" s="1">
        <v>41073</v>
      </c>
      <c r="C183" s="1">
        <v>41118</v>
      </c>
      <c r="D183" t="s">
        <v>206</v>
      </c>
      <c r="E183">
        <v>-2553</v>
      </c>
      <c r="F183">
        <v>-408</v>
      </c>
      <c r="G183">
        <v>0</v>
      </c>
      <c r="H183">
        <v>0</v>
      </c>
      <c r="I183">
        <v>195</v>
      </c>
      <c r="J183">
        <v>-2961</v>
      </c>
      <c r="L183" s="1">
        <v>41073</v>
      </c>
      <c r="N183" t="s">
        <v>36</v>
      </c>
      <c r="O183" t="s">
        <v>37</v>
      </c>
      <c r="P183" t="s">
        <v>343</v>
      </c>
      <c r="Q183" t="s">
        <v>39</v>
      </c>
      <c r="R183" t="s">
        <v>40</v>
      </c>
      <c r="S183">
        <v>0</v>
      </c>
      <c r="U183" t="s">
        <v>41</v>
      </c>
      <c r="V183" t="s">
        <v>42</v>
      </c>
      <c r="X183" t="s">
        <v>43</v>
      </c>
      <c r="Y183" t="b">
        <v>0</v>
      </c>
      <c r="Z183" t="b">
        <v>0</v>
      </c>
      <c r="AC183" s="1"/>
      <c r="AF183">
        <v>0</v>
      </c>
      <c r="AG183">
        <v>45</v>
      </c>
      <c r="AH183">
        <v>240</v>
      </c>
      <c r="AI183" s="2">
        <f>Table__192.168.3.138DYLAgingReport[[#This Row],[NetAmount]]-Table__192.168.3.138DYLAgingReport[[#This Row],[Paid]]</f>
        <v>-2961</v>
      </c>
    </row>
    <row r="184" spans="1:35">
      <c r="A184" t="s">
        <v>683</v>
      </c>
      <c r="B184" s="1">
        <v>41089</v>
      </c>
      <c r="C184" s="1">
        <v>41134</v>
      </c>
      <c r="D184" t="s">
        <v>207</v>
      </c>
      <c r="E184">
        <v>-980</v>
      </c>
      <c r="F184">
        <v>-157</v>
      </c>
      <c r="G184">
        <v>0</v>
      </c>
      <c r="H184">
        <v>0</v>
      </c>
      <c r="I184">
        <v>179</v>
      </c>
      <c r="J184">
        <v>-1137</v>
      </c>
      <c r="L184" s="1">
        <v>41089</v>
      </c>
      <c r="N184" t="s">
        <v>36</v>
      </c>
      <c r="O184" t="s">
        <v>37</v>
      </c>
      <c r="P184" t="s">
        <v>344</v>
      </c>
      <c r="Q184" t="s">
        <v>39</v>
      </c>
      <c r="R184" t="s">
        <v>40</v>
      </c>
      <c r="S184">
        <v>0</v>
      </c>
      <c r="U184" t="s">
        <v>41</v>
      </c>
      <c r="V184" t="s">
        <v>42</v>
      </c>
      <c r="X184" t="s">
        <v>43</v>
      </c>
      <c r="Y184" t="b">
        <v>0</v>
      </c>
      <c r="Z184" t="b">
        <v>0</v>
      </c>
      <c r="AB184" t="s">
        <v>644</v>
      </c>
      <c r="AC184" s="1">
        <v>41227</v>
      </c>
      <c r="AE184" t="s">
        <v>645</v>
      </c>
      <c r="AF184">
        <v>0</v>
      </c>
      <c r="AG184">
        <v>45</v>
      </c>
      <c r="AH184">
        <v>224</v>
      </c>
      <c r="AI184" s="2">
        <f>Table__192.168.3.138DYLAgingReport[[#This Row],[NetAmount]]-Table__192.168.3.138DYLAgingReport[[#This Row],[Paid]]</f>
        <v>-1137</v>
      </c>
    </row>
    <row r="185" spans="1:35">
      <c r="A185" t="s">
        <v>684</v>
      </c>
      <c r="B185" s="1">
        <v>41088</v>
      </c>
      <c r="C185" s="1">
        <v>41133</v>
      </c>
      <c r="D185" t="s">
        <v>569</v>
      </c>
      <c r="E185">
        <v>-91692</v>
      </c>
      <c r="F185">
        <v>-14672</v>
      </c>
      <c r="G185">
        <v>0</v>
      </c>
      <c r="H185">
        <v>0</v>
      </c>
      <c r="I185">
        <v>203</v>
      </c>
      <c r="J185">
        <v>-106364</v>
      </c>
      <c r="L185" s="1">
        <v>41065</v>
      </c>
      <c r="N185" t="s">
        <v>36</v>
      </c>
      <c r="O185" t="s">
        <v>37</v>
      </c>
      <c r="P185" t="s">
        <v>433</v>
      </c>
      <c r="Q185" t="s">
        <v>39</v>
      </c>
      <c r="R185" t="s">
        <v>40</v>
      </c>
      <c r="S185">
        <v>0</v>
      </c>
      <c r="U185" t="s">
        <v>41</v>
      </c>
      <c r="V185" t="s">
        <v>42</v>
      </c>
      <c r="X185" t="s">
        <v>43</v>
      </c>
      <c r="Y185" t="b">
        <v>0</v>
      </c>
      <c r="Z185" t="b">
        <v>0</v>
      </c>
      <c r="AC185" s="1"/>
      <c r="AF185">
        <v>0</v>
      </c>
      <c r="AG185">
        <v>45</v>
      </c>
      <c r="AH185">
        <v>248</v>
      </c>
      <c r="AI185" s="2">
        <f>Table__192.168.3.138DYLAgingReport[[#This Row],[NetAmount]]-Table__192.168.3.138DYLAgingReport[[#This Row],[Paid]]</f>
        <v>-106364</v>
      </c>
    </row>
    <row r="186" spans="1:35">
      <c r="A186" t="s">
        <v>685</v>
      </c>
      <c r="B186" s="1">
        <v>41075</v>
      </c>
      <c r="C186" s="1">
        <v>41120</v>
      </c>
      <c r="D186" t="s">
        <v>242</v>
      </c>
      <c r="E186">
        <v>-112</v>
      </c>
      <c r="F186">
        <v>-18</v>
      </c>
      <c r="G186">
        <v>0</v>
      </c>
      <c r="H186">
        <v>0</v>
      </c>
      <c r="I186">
        <v>193</v>
      </c>
      <c r="J186">
        <v>-130</v>
      </c>
      <c r="L186" s="1">
        <v>41075</v>
      </c>
      <c r="N186" t="s">
        <v>36</v>
      </c>
      <c r="O186" t="s">
        <v>37</v>
      </c>
      <c r="P186" t="s">
        <v>379</v>
      </c>
      <c r="Q186" t="s">
        <v>39</v>
      </c>
      <c r="R186" t="s">
        <v>40</v>
      </c>
      <c r="S186">
        <v>0</v>
      </c>
      <c r="U186" t="s">
        <v>41</v>
      </c>
      <c r="V186" t="s">
        <v>42</v>
      </c>
      <c r="X186" t="s">
        <v>43</v>
      </c>
      <c r="Y186" t="b">
        <v>0</v>
      </c>
      <c r="Z186" t="b">
        <v>0</v>
      </c>
      <c r="AC186" s="1"/>
      <c r="AF186">
        <v>0</v>
      </c>
      <c r="AG186">
        <v>45</v>
      </c>
      <c r="AH186">
        <v>238</v>
      </c>
      <c r="AI186" s="2">
        <f>Table__192.168.3.138DYLAgingReport[[#This Row],[NetAmount]]-Table__192.168.3.138DYLAgingReport[[#This Row],[Paid]]</f>
        <v>-130</v>
      </c>
    </row>
    <row r="187" spans="1:35">
      <c r="A187" t="s">
        <v>686</v>
      </c>
      <c r="B187" s="1">
        <v>41089</v>
      </c>
      <c r="C187" s="1">
        <v>41134</v>
      </c>
      <c r="D187" t="s">
        <v>174</v>
      </c>
      <c r="E187">
        <v>-1961</v>
      </c>
      <c r="F187">
        <v>-314</v>
      </c>
      <c r="G187">
        <v>0</v>
      </c>
      <c r="H187">
        <v>0</v>
      </c>
      <c r="I187">
        <v>196</v>
      </c>
      <c r="J187">
        <v>-2275</v>
      </c>
      <c r="L187" s="1">
        <v>41072</v>
      </c>
      <c r="N187" t="s">
        <v>36</v>
      </c>
      <c r="O187" t="s">
        <v>37</v>
      </c>
      <c r="P187" t="s">
        <v>311</v>
      </c>
      <c r="Q187" t="s">
        <v>39</v>
      </c>
      <c r="R187" t="s">
        <v>40</v>
      </c>
      <c r="S187">
        <v>0</v>
      </c>
      <c r="U187" t="s">
        <v>41</v>
      </c>
      <c r="V187" t="s">
        <v>42</v>
      </c>
      <c r="X187" t="s">
        <v>43</v>
      </c>
      <c r="Y187" t="b">
        <v>0</v>
      </c>
      <c r="Z187" t="b">
        <v>0</v>
      </c>
      <c r="AC187" s="1"/>
      <c r="AF187">
        <v>0</v>
      </c>
      <c r="AG187">
        <v>45</v>
      </c>
      <c r="AH187">
        <v>241</v>
      </c>
      <c r="AI187" s="2">
        <f>Table__192.168.3.138DYLAgingReport[[#This Row],[NetAmount]]-Table__192.168.3.138DYLAgingReport[[#This Row],[Paid]]</f>
        <v>-2275</v>
      </c>
    </row>
    <row r="188" spans="1:35">
      <c r="A188" t="s">
        <v>687</v>
      </c>
      <c r="B188" s="1">
        <v>41081</v>
      </c>
      <c r="C188" s="1">
        <v>41126</v>
      </c>
      <c r="D188" t="s">
        <v>177</v>
      </c>
      <c r="E188">
        <v>-1566</v>
      </c>
      <c r="F188">
        <v>-251</v>
      </c>
      <c r="G188">
        <v>0</v>
      </c>
      <c r="H188">
        <v>0</v>
      </c>
      <c r="I188">
        <v>187</v>
      </c>
      <c r="J188">
        <v>-1817</v>
      </c>
      <c r="L188" s="1">
        <v>41081</v>
      </c>
      <c r="N188" t="s">
        <v>36</v>
      </c>
      <c r="O188" t="s">
        <v>37</v>
      </c>
      <c r="P188" t="s">
        <v>314</v>
      </c>
      <c r="Q188" t="s">
        <v>39</v>
      </c>
      <c r="R188" t="s">
        <v>40</v>
      </c>
      <c r="S188">
        <v>0</v>
      </c>
      <c r="U188" t="s">
        <v>41</v>
      </c>
      <c r="V188" t="s">
        <v>42</v>
      </c>
      <c r="X188" t="s">
        <v>43</v>
      </c>
      <c r="Y188" t="b">
        <v>0</v>
      </c>
      <c r="Z188" t="b">
        <v>0</v>
      </c>
      <c r="AC188" s="1"/>
      <c r="AF188">
        <v>0</v>
      </c>
      <c r="AG188">
        <v>45</v>
      </c>
      <c r="AH188">
        <v>232</v>
      </c>
      <c r="AI188" s="2">
        <f>Table__192.168.3.138DYLAgingReport[[#This Row],[NetAmount]]-Table__192.168.3.138DYLAgingReport[[#This Row],[Paid]]</f>
        <v>-1817</v>
      </c>
    </row>
    <row r="189" spans="1:35">
      <c r="A189" t="s">
        <v>55</v>
      </c>
      <c r="B189" s="1">
        <v>41089</v>
      </c>
      <c r="C189" s="1">
        <v>41134</v>
      </c>
      <c r="D189" t="s">
        <v>35</v>
      </c>
      <c r="E189">
        <v>-21100</v>
      </c>
      <c r="F189">
        <v>-3376</v>
      </c>
      <c r="G189">
        <v>0</v>
      </c>
      <c r="H189">
        <v>0</v>
      </c>
      <c r="I189">
        <v>202</v>
      </c>
      <c r="J189">
        <v>-24476</v>
      </c>
      <c r="L189" s="1">
        <v>41066</v>
      </c>
      <c r="N189" t="s">
        <v>36</v>
      </c>
      <c r="O189" t="s">
        <v>37</v>
      </c>
      <c r="P189" t="s">
        <v>38</v>
      </c>
      <c r="Q189" t="s">
        <v>39</v>
      </c>
      <c r="R189" t="s">
        <v>40</v>
      </c>
      <c r="S189">
        <v>0</v>
      </c>
      <c r="U189" t="s">
        <v>41</v>
      </c>
      <c r="V189" t="s">
        <v>42</v>
      </c>
      <c r="X189" t="s">
        <v>43</v>
      </c>
      <c r="Y189" t="b">
        <v>0</v>
      </c>
      <c r="Z189" t="b">
        <v>0</v>
      </c>
      <c r="AB189" t="s">
        <v>46</v>
      </c>
      <c r="AC189" s="1">
        <v>41185</v>
      </c>
      <c r="AE189" t="s">
        <v>48</v>
      </c>
      <c r="AF189">
        <v>0</v>
      </c>
      <c r="AG189">
        <v>45</v>
      </c>
      <c r="AH189">
        <v>247</v>
      </c>
      <c r="AI189" s="2">
        <f>Table__192.168.3.138DYLAgingReport[[#This Row],[NetAmount]]-Table__192.168.3.138DYLAgingReport[[#This Row],[Paid]]</f>
        <v>-24476</v>
      </c>
    </row>
    <row r="190" spans="1:35">
      <c r="A190" t="s">
        <v>688</v>
      </c>
      <c r="B190" s="1">
        <v>41088</v>
      </c>
      <c r="C190" s="1">
        <v>41133</v>
      </c>
      <c r="D190" t="s">
        <v>187</v>
      </c>
      <c r="E190">
        <v>-415</v>
      </c>
      <c r="F190">
        <v>0</v>
      </c>
      <c r="G190">
        <v>0</v>
      </c>
      <c r="H190">
        <v>0</v>
      </c>
      <c r="I190">
        <v>195</v>
      </c>
      <c r="J190">
        <v>-415</v>
      </c>
      <c r="L190" s="1">
        <v>41073</v>
      </c>
      <c r="N190" t="s">
        <v>36</v>
      </c>
      <c r="O190" t="s">
        <v>37</v>
      </c>
      <c r="P190" t="s">
        <v>324</v>
      </c>
      <c r="Q190" t="s">
        <v>39</v>
      </c>
      <c r="R190" t="s">
        <v>40</v>
      </c>
      <c r="S190">
        <v>0</v>
      </c>
      <c r="U190" t="s">
        <v>41</v>
      </c>
      <c r="V190" t="s">
        <v>42</v>
      </c>
      <c r="X190" t="s">
        <v>43</v>
      </c>
      <c r="Y190" t="b">
        <v>0</v>
      </c>
      <c r="Z190" t="b">
        <v>0</v>
      </c>
      <c r="AC190" s="1"/>
      <c r="AF190">
        <v>0</v>
      </c>
      <c r="AG190">
        <v>45</v>
      </c>
      <c r="AH190">
        <v>240</v>
      </c>
      <c r="AI190" s="2">
        <f>Table__192.168.3.138DYLAgingReport[[#This Row],[NetAmount]]-Table__192.168.3.138DYLAgingReport[[#This Row],[Paid]]</f>
        <v>-415</v>
      </c>
    </row>
    <row r="191" spans="1:35">
      <c r="A191" t="s">
        <v>689</v>
      </c>
      <c r="B191" s="1">
        <v>41086</v>
      </c>
      <c r="C191" s="1">
        <v>41131</v>
      </c>
      <c r="D191" t="s">
        <v>195</v>
      </c>
      <c r="E191">
        <v>-2316</v>
      </c>
      <c r="F191">
        <v>-371</v>
      </c>
      <c r="G191">
        <v>0</v>
      </c>
      <c r="H191">
        <v>0</v>
      </c>
      <c r="I191">
        <v>196</v>
      </c>
      <c r="J191">
        <v>-2687</v>
      </c>
      <c r="L191" s="1">
        <v>41072</v>
      </c>
      <c r="N191" t="s">
        <v>36</v>
      </c>
      <c r="O191" t="s">
        <v>37</v>
      </c>
      <c r="P191" t="s">
        <v>332</v>
      </c>
      <c r="Q191" t="s">
        <v>39</v>
      </c>
      <c r="R191" t="s">
        <v>40</v>
      </c>
      <c r="S191">
        <v>0</v>
      </c>
      <c r="U191" t="s">
        <v>41</v>
      </c>
      <c r="V191" t="s">
        <v>42</v>
      </c>
      <c r="X191" t="s">
        <v>43</v>
      </c>
      <c r="Y191" t="b">
        <v>0</v>
      </c>
      <c r="Z191" t="b">
        <v>0</v>
      </c>
      <c r="AC191" s="1"/>
      <c r="AF191">
        <v>0</v>
      </c>
      <c r="AG191">
        <v>45</v>
      </c>
      <c r="AH191">
        <v>241</v>
      </c>
      <c r="AI191" s="2">
        <f>Table__192.168.3.138DYLAgingReport[[#This Row],[NetAmount]]-Table__192.168.3.138DYLAgingReport[[#This Row],[Paid]]</f>
        <v>-2687</v>
      </c>
    </row>
    <row r="192" spans="1:35">
      <c r="A192" t="s">
        <v>690</v>
      </c>
      <c r="B192" s="1">
        <v>41088</v>
      </c>
      <c r="C192" s="1">
        <v>41133</v>
      </c>
      <c r="D192" t="s">
        <v>202</v>
      </c>
      <c r="E192">
        <v>-195</v>
      </c>
      <c r="F192">
        <v>-31</v>
      </c>
      <c r="G192">
        <v>0</v>
      </c>
      <c r="H192">
        <v>0</v>
      </c>
      <c r="I192">
        <v>180</v>
      </c>
      <c r="J192">
        <v>-226</v>
      </c>
      <c r="L192" s="1">
        <v>41088</v>
      </c>
      <c r="N192" t="s">
        <v>36</v>
      </c>
      <c r="O192" t="s">
        <v>37</v>
      </c>
      <c r="P192" t="s">
        <v>339</v>
      </c>
      <c r="Q192" t="s">
        <v>39</v>
      </c>
      <c r="R192" t="s">
        <v>40</v>
      </c>
      <c r="S192">
        <v>0</v>
      </c>
      <c r="U192" t="s">
        <v>41</v>
      </c>
      <c r="V192" t="s">
        <v>42</v>
      </c>
      <c r="X192" t="s">
        <v>43</v>
      </c>
      <c r="Y192" t="b">
        <v>0</v>
      </c>
      <c r="Z192" t="b">
        <v>0</v>
      </c>
      <c r="AC192" s="1"/>
      <c r="AF192">
        <v>0</v>
      </c>
      <c r="AG192">
        <v>45</v>
      </c>
      <c r="AH192">
        <v>225</v>
      </c>
      <c r="AI192" s="2">
        <f>Table__192.168.3.138DYLAgingReport[[#This Row],[NetAmount]]-Table__192.168.3.138DYLAgingReport[[#This Row],[Paid]]</f>
        <v>-226</v>
      </c>
    </row>
    <row r="193" spans="1:35">
      <c r="A193" t="s">
        <v>691</v>
      </c>
      <c r="B193" s="1">
        <v>41089</v>
      </c>
      <c r="C193" s="1">
        <v>41134</v>
      </c>
      <c r="D193" t="s">
        <v>207</v>
      </c>
      <c r="E193">
        <v>-221</v>
      </c>
      <c r="F193">
        <v>-35</v>
      </c>
      <c r="G193">
        <v>0</v>
      </c>
      <c r="H193">
        <v>0</v>
      </c>
      <c r="I193">
        <v>179</v>
      </c>
      <c r="J193">
        <v>-256</v>
      </c>
      <c r="L193" s="1">
        <v>41089</v>
      </c>
      <c r="N193" t="s">
        <v>36</v>
      </c>
      <c r="O193" t="s">
        <v>37</v>
      </c>
      <c r="P193" t="s">
        <v>344</v>
      </c>
      <c r="Q193" t="s">
        <v>39</v>
      </c>
      <c r="R193" t="s">
        <v>40</v>
      </c>
      <c r="S193">
        <v>0</v>
      </c>
      <c r="U193" t="s">
        <v>41</v>
      </c>
      <c r="V193" t="s">
        <v>42</v>
      </c>
      <c r="X193" t="s">
        <v>43</v>
      </c>
      <c r="Y193" t="b">
        <v>0</v>
      </c>
      <c r="Z193" t="b">
        <v>0</v>
      </c>
      <c r="AB193" t="s">
        <v>644</v>
      </c>
      <c r="AC193" s="1">
        <v>41227</v>
      </c>
      <c r="AE193" t="s">
        <v>645</v>
      </c>
      <c r="AF193">
        <v>0</v>
      </c>
      <c r="AG193">
        <v>45</v>
      </c>
      <c r="AH193">
        <v>224</v>
      </c>
      <c r="AI193" s="2">
        <f>Table__192.168.3.138DYLAgingReport[[#This Row],[NetAmount]]-Table__192.168.3.138DYLAgingReport[[#This Row],[Paid]]</f>
        <v>-256</v>
      </c>
    </row>
    <row r="194" spans="1:35">
      <c r="A194" t="s">
        <v>692</v>
      </c>
      <c r="B194" s="1">
        <v>41089</v>
      </c>
      <c r="C194" s="1">
        <v>41134</v>
      </c>
      <c r="D194" t="s">
        <v>208</v>
      </c>
      <c r="E194">
        <v>-1484</v>
      </c>
      <c r="F194">
        <v>-237</v>
      </c>
      <c r="G194">
        <v>0</v>
      </c>
      <c r="H194">
        <v>0</v>
      </c>
      <c r="I194">
        <v>180</v>
      </c>
      <c r="J194">
        <v>-1721</v>
      </c>
      <c r="L194" s="1">
        <v>41088</v>
      </c>
      <c r="N194" t="s">
        <v>36</v>
      </c>
      <c r="O194" t="s">
        <v>37</v>
      </c>
      <c r="P194" t="s">
        <v>345</v>
      </c>
      <c r="Q194" t="s">
        <v>39</v>
      </c>
      <c r="R194" t="s">
        <v>40</v>
      </c>
      <c r="S194">
        <v>0</v>
      </c>
      <c r="U194" t="s">
        <v>41</v>
      </c>
      <c r="V194" t="s">
        <v>42</v>
      </c>
      <c r="X194" t="s">
        <v>43</v>
      </c>
      <c r="Y194" t="b">
        <v>0</v>
      </c>
      <c r="Z194" t="b">
        <v>0</v>
      </c>
      <c r="AC194" s="1"/>
      <c r="AF194">
        <v>0</v>
      </c>
      <c r="AG194">
        <v>45</v>
      </c>
      <c r="AH194">
        <v>225</v>
      </c>
      <c r="AI194" s="2">
        <f>Table__192.168.3.138DYLAgingReport[[#This Row],[NetAmount]]-Table__192.168.3.138DYLAgingReport[[#This Row],[Paid]]</f>
        <v>-1721</v>
      </c>
    </row>
    <row r="195" spans="1:35">
      <c r="A195" t="s">
        <v>693</v>
      </c>
      <c r="B195" s="1">
        <v>41089</v>
      </c>
      <c r="C195" s="1">
        <v>41134</v>
      </c>
      <c r="D195" t="s">
        <v>215</v>
      </c>
      <c r="E195">
        <v>-59</v>
      </c>
      <c r="F195">
        <v>-9</v>
      </c>
      <c r="G195">
        <v>0</v>
      </c>
      <c r="H195">
        <v>0</v>
      </c>
      <c r="I195">
        <v>179</v>
      </c>
      <c r="J195">
        <v>-68</v>
      </c>
      <c r="L195" s="1">
        <v>41089</v>
      </c>
      <c r="N195" t="s">
        <v>36</v>
      </c>
      <c r="O195" t="s">
        <v>37</v>
      </c>
      <c r="P195" t="s">
        <v>352</v>
      </c>
      <c r="Q195" t="s">
        <v>39</v>
      </c>
      <c r="R195" t="s">
        <v>40</v>
      </c>
      <c r="S195">
        <v>0</v>
      </c>
      <c r="U195" t="s">
        <v>41</v>
      </c>
      <c r="V195" t="s">
        <v>42</v>
      </c>
      <c r="X195" t="s">
        <v>43</v>
      </c>
      <c r="Y195" t="b">
        <v>0</v>
      </c>
      <c r="Z195" t="b">
        <v>0</v>
      </c>
      <c r="AC195" s="1"/>
      <c r="AF195">
        <v>0</v>
      </c>
      <c r="AG195">
        <v>45</v>
      </c>
      <c r="AH195">
        <v>224</v>
      </c>
      <c r="AI195" s="2">
        <f>Table__192.168.3.138DYLAgingReport[[#This Row],[NetAmount]]-Table__192.168.3.138DYLAgingReport[[#This Row],[Paid]]</f>
        <v>-68</v>
      </c>
    </row>
    <row r="196" spans="1:35">
      <c r="A196" t="s">
        <v>694</v>
      </c>
      <c r="B196" s="1">
        <v>41089</v>
      </c>
      <c r="C196" s="1">
        <v>41134</v>
      </c>
      <c r="D196" t="s">
        <v>569</v>
      </c>
      <c r="E196">
        <v>-24214</v>
      </c>
      <c r="F196">
        <v>-3874</v>
      </c>
      <c r="G196">
        <v>0</v>
      </c>
      <c r="H196">
        <v>0</v>
      </c>
      <c r="I196">
        <v>203</v>
      </c>
      <c r="J196">
        <v>-28088</v>
      </c>
      <c r="L196" s="1">
        <v>41065</v>
      </c>
      <c r="N196" t="s">
        <v>36</v>
      </c>
      <c r="O196" t="s">
        <v>37</v>
      </c>
      <c r="P196" t="s">
        <v>433</v>
      </c>
      <c r="Q196" t="s">
        <v>39</v>
      </c>
      <c r="R196" t="s">
        <v>40</v>
      </c>
      <c r="S196">
        <v>0</v>
      </c>
      <c r="U196" t="s">
        <v>41</v>
      </c>
      <c r="V196" t="s">
        <v>42</v>
      </c>
      <c r="X196" t="s">
        <v>43</v>
      </c>
      <c r="Y196" t="b">
        <v>0</v>
      </c>
      <c r="Z196" t="b">
        <v>0</v>
      </c>
      <c r="AC196" s="1"/>
      <c r="AF196">
        <v>0</v>
      </c>
      <c r="AG196">
        <v>45</v>
      </c>
      <c r="AH196">
        <v>248</v>
      </c>
      <c r="AI196" s="2">
        <f>Table__192.168.3.138DYLAgingReport[[#This Row],[NetAmount]]-Table__192.168.3.138DYLAgingReport[[#This Row],[Paid]]</f>
        <v>-28088</v>
      </c>
    </row>
    <row r="197" spans="1:35">
      <c r="A197" t="s">
        <v>695</v>
      </c>
      <c r="B197" s="1">
        <v>41089</v>
      </c>
      <c r="C197" s="1">
        <v>41134</v>
      </c>
      <c r="D197" t="s">
        <v>236</v>
      </c>
      <c r="E197">
        <v>-100</v>
      </c>
      <c r="F197">
        <v>0</v>
      </c>
      <c r="G197">
        <v>0</v>
      </c>
      <c r="H197">
        <v>0</v>
      </c>
      <c r="I197">
        <v>179</v>
      </c>
      <c r="J197">
        <v>-100</v>
      </c>
      <c r="L197" s="1">
        <v>41089</v>
      </c>
      <c r="M197" t="s">
        <v>696</v>
      </c>
      <c r="N197" t="s">
        <v>36</v>
      </c>
      <c r="O197" t="s">
        <v>37</v>
      </c>
      <c r="P197" t="s">
        <v>373</v>
      </c>
      <c r="Q197" t="s">
        <v>39</v>
      </c>
      <c r="R197" t="s">
        <v>40</v>
      </c>
      <c r="S197">
        <v>0</v>
      </c>
      <c r="U197" t="s">
        <v>41</v>
      </c>
      <c r="V197" t="s">
        <v>42</v>
      </c>
      <c r="W197" t="s">
        <v>509</v>
      </c>
      <c r="X197" t="s">
        <v>43</v>
      </c>
      <c r="Y197" t="b">
        <v>0</v>
      </c>
      <c r="Z197" t="b">
        <v>0</v>
      </c>
      <c r="AA197" t="b">
        <v>0</v>
      </c>
      <c r="AC197" s="1"/>
      <c r="AF197">
        <v>0</v>
      </c>
      <c r="AG197">
        <v>45</v>
      </c>
      <c r="AH197">
        <v>224</v>
      </c>
      <c r="AI197" s="2">
        <f>Table__192.168.3.138DYLAgingReport[[#This Row],[NetAmount]]-Table__192.168.3.138DYLAgingReport[[#This Row],[Paid]]</f>
        <v>-100</v>
      </c>
    </row>
    <row r="198" spans="1:35">
      <c r="A198" t="s">
        <v>697</v>
      </c>
      <c r="B198" s="1">
        <v>41075</v>
      </c>
      <c r="C198" s="1">
        <v>41120</v>
      </c>
      <c r="D198" t="s">
        <v>242</v>
      </c>
      <c r="E198">
        <v>-2439</v>
      </c>
      <c r="F198">
        <v>-390</v>
      </c>
      <c r="G198">
        <v>0</v>
      </c>
      <c r="H198">
        <v>0</v>
      </c>
      <c r="I198">
        <v>193</v>
      </c>
      <c r="J198">
        <v>-2829</v>
      </c>
      <c r="L198" s="1">
        <v>41075</v>
      </c>
      <c r="N198" t="s">
        <v>36</v>
      </c>
      <c r="O198" t="s">
        <v>37</v>
      </c>
      <c r="P198" t="s">
        <v>379</v>
      </c>
      <c r="Q198" t="s">
        <v>39</v>
      </c>
      <c r="R198" t="s">
        <v>40</v>
      </c>
      <c r="S198">
        <v>0</v>
      </c>
      <c r="U198" t="s">
        <v>41</v>
      </c>
      <c r="V198" t="s">
        <v>42</v>
      </c>
      <c r="X198" t="s">
        <v>43</v>
      </c>
      <c r="Y198" t="b">
        <v>0</v>
      </c>
      <c r="Z198" t="b">
        <v>0</v>
      </c>
      <c r="AC198" s="1"/>
      <c r="AF198">
        <v>0</v>
      </c>
      <c r="AG198">
        <v>45</v>
      </c>
      <c r="AH198">
        <v>238</v>
      </c>
      <c r="AI198" s="2">
        <f>Table__192.168.3.138DYLAgingReport[[#This Row],[NetAmount]]-Table__192.168.3.138DYLAgingReport[[#This Row],[Paid]]</f>
        <v>-2829</v>
      </c>
    </row>
    <row r="199" spans="1:35">
      <c r="A199" t="s">
        <v>698</v>
      </c>
      <c r="B199" s="1">
        <v>41089</v>
      </c>
      <c r="C199" s="1">
        <v>41134</v>
      </c>
      <c r="D199" t="s">
        <v>247</v>
      </c>
      <c r="E199">
        <v>-415</v>
      </c>
      <c r="F199">
        <v>-66</v>
      </c>
      <c r="G199">
        <v>0</v>
      </c>
      <c r="H199">
        <v>0</v>
      </c>
      <c r="I199">
        <v>179</v>
      </c>
      <c r="J199">
        <v>-481</v>
      </c>
      <c r="L199" s="1">
        <v>41089</v>
      </c>
      <c r="N199" t="s">
        <v>36</v>
      </c>
      <c r="O199" t="s">
        <v>37</v>
      </c>
      <c r="P199" t="s">
        <v>384</v>
      </c>
      <c r="Q199" t="s">
        <v>39</v>
      </c>
      <c r="R199" t="s">
        <v>40</v>
      </c>
      <c r="S199">
        <v>0</v>
      </c>
      <c r="U199" t="s">
        <v>41</v>
      </c>
      <c r="V199" t="s">
        <v>42</v>
      </c>
      <c r="X199" t="s">
        <v>43</v>
      </c>
      <c r="Y199" t="b">
        <v>0</v>
      </c>
      <c r="Z199" t="b">
        <v>0</v>
      </c>
      <c r="AB199" t="s">
        <v>699</v>
      </c>
      <c r="AC199" s="1">
        <v>41218</v>
      </c>
      <c r="AF199">
        <v>0</v>
      </c>
      <c r="AG199">
        <v>45</v>
      </c>
      <c r="AH199">
        <v>224</v>
      </c>
      <c r="AI199" s="2">
        <f>Table__192.168.3.138DYLAgingReport[[#This Row],[NetAmount]]-Table__192.168.3.138DYLAgingReport[[#This Row],[Paid]]</f>
        <v>-481</v>
      </c>
    </row>
    <row r="200" spans="1:35">
      <c r="A200" t="s">
        <v>700</v>
      </c>
      <c r="B200" s="1">
        <v>41089</v>
      </c>
      <c r="C200" s="1">
        <v>41134</v>
      </c>
      <c r="D200" t="s">
        <v>250</v>
      </c>
      <c r="E200">
        <v>-9703</v>
      </c>
      <c r="F200">
        <v>-1552</v>
      </c>
      <c r="G200">
        <v>0</v>
      </c>
      <c r="H200">
        <v>0</v>
      </c>
      <c r="I200">
        <v>196</v>
      </c>
      <c r="J200">
        <v>-11255</v>
      </c>
      <c r="L200" s="1">
        <v>41072</v>
      </c>
      <c r="N200" t="s">
        <v>36</v>
      </c>
      <c r="O200" t="s">
        <v>37</v>
      </c>
      <c r="P200" t="s">
        <v>387</v>
      </c>
      <c r="Q200" t="s">
        <v>39</v>
      </c>
      <c r="R200" t="s">
        <v>40</v>
      </c>
      <c r="S200">
        <v>0</v>
      </c>
      <c r="U200" t="s">
        <v>41</v>
      </c>
      <c r="V200" t="s">
        <v>42</v>
      </c>
      <c r="X200" t="s">
        <v>43</v>
      </c>
      <c r="Y200" t="b">
        <v>0</v>
      </c>
      <c r="Z200" t="b">
        <v>0</v>
      </c>
      <c r="AB200" t="s">
        <v>701</v>
      </c>
      <c r="AC200" s="1"/>
      <c r="AF200">
        <v>0</v>
      </c>
      <c r="AG200">
        <v>45</v>
      </c>
      <c r="AH200">
        <v>241</v>
      </c>
      <c r="AI200" s="2">
        <f>Table__192.168.3.138DYLAgingReport[[#This Row],[NetAmount]]-Table__192.168.3.138DYLAgingReport[[#This Row],[Paid]]</f>
        <v>-11255</v>
      </c>
    </row>
    <row r="201" spans="1:35">
      <c r="A201" t="s">
        <v>702</v>
      </c>
      <c r="B201" s="1">
        <v>41089</v>
      </c>
      <c r="C201" s="1">
        <v>41134</v>
      </c>
      <c r="D201" t="s">
        <v>251</v>
      </c>
      <c r="E201">
        <v>-20681</v>
      </c>
      <c r="F201">
        <v>-3309</v>
      </c>
      <c r="G201">
        <v>0</v>
      </c>
      <c r="H201">
        <v>0</v>
      </c>
      <c r="I201">
        <v>196</v>
      </c>
      <c r="J201">
        <v>-23990</v>
      </c>
      <c r="L201" s="1">
        <v>41072</v>
      </c>
      <c r="N201" t="s">
        <v>36</v>
      </c>
      <c r="O201" t="s">
        <v>37</v>
      </c>
      <c r="P201" t="s">
        <v>388</v>
      </c>
      <c r="Q201" t="s">
        <v>39</v>
      </c>
      <c r="R201" t="s">
        <v>40</v>
      </c>
      <c r="S201">
        <v>0</v>
      </c>
      <c r="U201" t="s">
        <v>41</v>
      </c>
      <c r="V201" t="s">
        <v>42</v>
      </c>
      <c r="X201" t="s">
        <v>43</v>
      </c>
      <c r="Y201" t="b">
        <v>0</v>
      </c>
      <c r="Z201" t="b">
        <v>0</v>
      </c>
      <c r="AB201" t="s">
        <v>615</v>
      </c>
      <c r="AC201" s="1">
        <v>41185</v>
      </c>
      <c r="AE201" t="s">
        <v>616</v>
      </c>
      <c r="AF201">
        <v>0</v>
      </c>
      <c r="AG201">
        <v>45</v>
      </c>
      <c r="AH201">
        <v>241</v>
      </c>
      <c r="AI201" s="2">
        <f>Table__192.168.3.138DYLAgingReport[[#This Row],[NetAmount]]-Table__192.168.3.138DYLAgingReport[[#This Row],[Paid]]</f>
        <v>-23990</v>
      </c>
    </row>
    <row r="202" spans="1:35">
      <c r="A202" t="s">
        <v>703</v>
      </c>
      <c r="B202" s="1">
        <v>41081</v>
      </c>
      <c r="C202" s="1">
        <v>41126</v>
      </c>
      <c r="D202" t="s">
        <v>258</v>
      </c>
      <c r="E202">
        <v>-671</v>
      </c>
      <c r="F202">
        <v>-107</v>
      </c>
      <c r="G202">
        <v>0</v>
      </c>
      <c r="H202">
        <v>0</v>
      </c>
      <c r="I202">
        <v>187</v>
      </c>
      <c r="J202">
        <v>-778</v>
      </c>
      <c r="L202" s="1">
        <v>41081</v>
      </c>
      <c r="M202" t="s">
        <v>10772</v>
      </c>
      <c r="N202" t="s">
        <v>36</v>
      </c>
      <c r="O202" t="s">
        <v>37</v>
      </c>
      <c r="P202" t="s">
        <v>395</v>
      </c>
      <c r="Q202" t="s">
        <v>39</v>
      </c>
      <c r="R202" t="s">
        <v>40</v>
      </c>
      <c r="S202">
        <v>0</v>
      </c>
      <c r="U202" t="s">
        <v>41</v>
      </c>
      <c r="V202" t="s">
        <v>42</v>
      </c>
      <c r="W202" t="s">
        <v>10768</v>
      </c>
      <c r="X202" t="s">
        <v>43</v>
      </c>
      <c r="Y202" t="b">
        <v>0</v>
      </c>
      <c r="Z202" t="b">
        <v>0</v>
      </c>
      <c r="AA202" t="b">
        <v>0</v>
      </c>
      <c r="AC202" s="1"/>
      <c r="AF202">
        <v>0</v>
      </c>
      <c r="AG202">
        <v>45</v>
      </c>
      <c r="AH202">
        <v>232</v>
      </c>
      <c r="AI202" s="2">
        <f>Table__192.168.3.138DYLAgingReport[[#This Row],[NetAmount]]-Table__192.168.3.138DYLAgingReport[[#This Row],[Paid]]</f>
        <v>-778</v>
      </c>
    </row>
    <row r="203" spans="1:35">
      <c r="A203" t="s">
        <v>704</v>
      </c>
      <c r="B203" s="1">
        <v>41081</v>
      </c>
      <c r="C203" s="1">
        <v>41126</v>
      </c>
      <c r="D203" t="s">
        <v>285</v>
      </c>
      <c r="E203">
        <v>-9432</v>
      </c>
      <c r="F203">
        <v>-1509</v>
      </c>
      <c r="G203">
        <v>0</v>
      </c>
      <c r="H203">
        <v>0</v>
      </c>
      <c r="I203">
        <v>210</v>
      </c>
      <c r="J203">
        <v>-10941</v>
      </c>
      <c r="L203" s="1">
        <v>41073</v>
      </c>
      <c r="N203" t="s">
        <v>36</v>
      </c>
      <c r="O203" t="s">
        <v>37</v>
      </c>
      <c r="P203" t="s">
        <v>422</v>
      </c>
      <c r="Q203" t="s">
        <v>39</v>
      </c>
      <c r="R203" t="s">
        <v>40</v>
      </c>
      <c r="S203">
        <v>0</v>
      </c>
      <c r="U203" t="s">
        <v>41</v>
      </c>
      <c r="V203" t="s">
        <v>42</v>
      </c>
      <c r="X203" t="s">
        <v>43</v>
      </c>
      <c r="Y203" t="b">
        <v>0</v>
      </c>
      <c r="Z203" t="b">
        <v>0</v>
      </c>
      <c r="AB203" t="s">
        <v>705</v>
      </c>
      <c r="AC203" s="1">
        <v>41144</v>
      </c>
      <c r="AE203" t="s">
        <v>706</v>
      </c>
      <c r="AF203">
        <v>0</v>
      </c>
      <c r="AG203">
        <v>30</v>
      </c>
      <c r="AH203">
        <v>240</v>
      </c>
      <c r="AI203" s="2">
        <f>Table__192.168.3.138DYLAgingReport[[#This Row],[NetAmount]]-Table__192.168.3.138DYLAgingReport[[#This Row],[Paid]]</f>
        <v>-10941</v>
      </c>
    </row>
    <row r="204" spans="1:35">
      <c r="A204" t="s">
        <v>707</v>
      </c>
      <c r="B204" s="1">
        <v>41089</v>
      </c>
      <c r="C204" s="1">
        <v>41134</v>
      </c>
      <c r="D204" t="s">
        <v>288</v>
      </c>
      <c r="E204">
        <v>-1133</v>
      </c>
      <c r="F204">
        <v>-181</v>
      </c>
      <c r="G204">
        <v>0</v>
      </c>
      <c r="H204">
        <v>0</v>
      </c>
      <c r="I204">
        <v>179</v>
      </c>
      <c r="J204">
        <v>-1314</v>
      </c>
      <c r="L204" s="1">
        <v>41089</v>
      </c>
      <c r="N204" t="s">
        <v>36</v>
      </c>
      <c r="O204" t="s">
        <v>37</v>
      </c>
      <c r="P204" t="s">
        <v>425</v>
      </c>
      <c r="Q204" t="s">
        <v>39</v>
      </c>
      <c r="R204" t="s">
        <v>40</v>
      </c>
      <c r="S204">
        <v>0</v>
      </c>
      <c r="U204" t="s">
        <v>41</v>
      </c>
      <c r="V204" t="s">
        <v>42</v>
      </c>
      <c r="X204" t="s">
        <v>43</v>
      </c>
      <c r="Y204" t="b">
        <v>0</v>
      </c>
      <c r="Z204" t="b">
        <v>0</v>
      </c>
      <c r="AC204" s="1"/>
      <c r="AF204">
        <v>0</v>
      </c>
      <c r="AG204">
        <v>45</v>
      </c>
      <c r="AH204">
        <v>224</v>
      </c>
      <c r="AI204" s="2">
        <f>Table__192.168.3.138DYLAgingReport[[#This Row],[NetAmount]]-Table__192.168.3.138DYLAgingReport[[#This Row],[Paid]]</f>
        <v>-1314</v>
      </c>
    </row>
    <row r="205" spans="1:35">
      <c r="A205" t="s">
        <v>709</v>
      </c>
      <c r="B205" s="1">
        <v>41031</v>
      </c>
      <c r="C205" s="1">
        <v>41076</v>
      </c>
      <c r="D205" t="s">
        <v>264</v>
      </c>
      <c r="E205">
        <v>-10500</v>
      </c>
      <c r="F205">
        <v>-1680</v>
      </c>
      <c r="G205">
        <v>0</v>
      </c>
      <c r="H205">
        <v>0</v>
      </c>
      <c r="I205">
        <v>237</v>
      </c>
      <c r="J205">
        <v>-12180</v>
      </c>
      <c r="L205" s="1">
        <v>41031</v>
      </c>
      <c r="N205" t="s">
        <v>36</v>
      </c>
      <c r="O205" t="s">
        <v>37</v>
      </c>
      <c r="P205" t="s">
        <v>401</v>
      </c>
      <c r="Q205" t="s">
        <v>39</v>
      </c>
      <c r="R205" t="s">
        <v>40</v>
      </c>
      <c r="S205">
        <v>0</v>
      </c>
      <c r="U205" t="s">
        <v>41</v>
      </c>
      <c r="V205" t="s">
        <v>42</v>
      </c>
      <c r="X205" t="s">
        <v>43</v>
      </c>
      <c r="Y205" t="b">
        <v>0</v>
      </c>
      <c r="Z205" t="b">
        <v>0</v>
      </c>
      <c r="AB205" t="s">
        <v>710</v>
      </c>
      <c r="AC205" s="1"/>
      <c r="AF205">
        <v>0</v>
      </c>
      <c r="AG205">
        <v>45</v>
      </c>
      <c r="AH205">
        <v>282</v>
      </c>
      <c r="AI205" s="2">
        <f>Table__192.168.3.138DYLAgingReport[[#This Row],[NetAmount]]-Table__192.168.3.138DYLAgingReport[[#This Row],[Paid]]</f>
        <v>-12180</v>
      </c>
    </row>
    <row r="206" spans="1:35">
      <c r="A206" t="s">
        <v>56</v>
      </c>
      <c r="B206" s="1">
        <v>41036</v>
      </c>
      <c r="C206" s="1">
        <v>41081</v>
      </c>
      <c r="D206" t="s">
        <v>35</v>
      </c>
      <c r="E206">
        <v>-210</v>
      </c>
      <c r="F206">
        <v>-34</v>
      </c>
      <c r="G206">
        <v>0</v>
      </c>
      <c r="H206">
        <v>0</v>
      </c>
      <c r="I206">
        <v>232</v>
      </c>
      <c r="J206">
        <v>-244</v>
      </c>
      <c r="L206" s="1">
        <v>41036</v>
      </c>
      <c r="N206" t="s">
        <v>36</v>
      </c>
      <c r="O206" t="s">
        <v>37</v>
      </c>
      <c r="P206" t="s">
        <v>38</v>
      </c>
      <c r="Q206" t="s">
        <v>39</v>
      </c>
      <c r="R206" t="s">
        <v>40</v>
      </c>
      <c r="S206">
        <v>0</v>
      </c>
      <c r="U206" t="s">
        <v>41</v>
      </c>
      <c r="V206" t="s">
        <v>42</v>
      </c>
      <c r="X206" t="s">
        <v>43</v>
      </c>
      <c r="Y206" t="b">
        <v>0</v>
      </c>
      <c r="Z206" t="b">
        <v>0</v>
      </c>
      <c r="AB206" t="s">
        <v>46</v>
      </c>
      <c r="AC206" s="1">
        <v>41185</v>
      </c>
      <c r="AE206" t="s">
        <v>48</v>
      </c>
      <c r="AF206">
        <v>0</v>
      </c>
      <c r="AG206">
        <v>45</v>
      </c>
      <c r="AH206">
        <v>277</v>
      </c>
      <c r="AI206" s="2">
        <f>Table__192.168.3.138DYLAgingReport[[#This Row],[NetAmount]]-Table__192.168.3.138DYLAgingReport[[#This Row],[Paid]]</f>
        <v>-244</v>
      </c>
    </row>
    <row r="207" spans="1:35">
      <c r="A207" t="s">
        <v>711</v>
      </c>
      <c r="B207" s="1">
        <v>41052</v>
      </c>
      <c r="C207" s="1">
        <v>41097</v>
      </c>
      <c r="D207" t="s">
        <v>240</v>
      </c>
      <c r="E207">
        <v>-6161</v>
      </c>
      <c r="F207">
        <v>0</v>
      </c>
      <c r="G207">
        <v>0</v>
      </c>
      <c r="H207">
        <v>0</v>
      </c>
      <c r="I207">
        <v>223</v>
      </c>
      <c r="J207">
        <v>-6161</v>
      </c>
      <c r="L207" s="1">
        <v>41045</v>
      </c>
      <c r="N207" t="s">
        <v>36</v>
      </c>
      <c r="O207" t="s">
        <v>37</v>
      </c>
      <c r="P207" t="s">
        <v>377</v>
      </c>
      <c r="Q207" t="s">
        <v>39</v>
      </c>
      <c r="R207" t="s">
        <v>40</v>
      </c>
      <c r="S207">
        <v>0</v>
      </c>
      <c r="U207" t="s">
        <v>41</v>
      </c>
      <c r="V207" t="s">
        <v>42</v>
      </c>
      <c r="X207" t="s">
        <v>43</v>
      </c>
      <c r="Y207" t="b">
        <v>0</v>
      </c>
      <c r="Z207" t="b">
        <v>0</v>
      </c>
      <c r="AC207" s="1"/>
      <c r="AF207">
        <v>0</v>
      </c>
      <c r="AG207">
        <v>45</v>
      </c>
      <c r="AH207">
        <v>268</v>
      </c>
      <c r="AI207" s="2">
        <f>Table__192.168.3.138DYLAgingReport[[#This Row],[NetAmount]]-Table__192.168.3.138DYLAgingReport[[#This Row],[Paid]]</f>
        <v>-6161</v>
      </c>
    </row>
    <row r="208" spans="1:35">
      <c r="A208" t="s">
        <v>712</v>
      </c>
      <c r="B208" s="1">
        <v>41045</v>
      </c>
      <c r="C208" s="1">
        <v>41090</v>
      </c>
      <c r="D208" t="s">
        <v>569</v>
      </c>
      <c r="E208">
        <v>-292</v>
      </c>
      <c r="F208">
        <v>-47</v>
      </c>
      <c r="G208">
        <v>0</v>
      </c>
      <c r="H208">
        <v>0</v>
      </c>
      <c r="I208">
        <v>223</v>
      </c>
      <c r="J208">
        <v>-339</v>
      </c>
      <c r="L208" s="1">
        <v>41045</v>
      </c>
      <c r="N208" t="s">
        <v>36</v>
      </c>
      <c r="O208" t="s">
        <v>37</v>
      </c>
      <c r="P208" t="s">
        <v>433</v>
      </c>
      <c r="Q208" t="s">
        <v>39</v>
      </c>
      <c r="R208" t="s">
        <v>40</v>
      </c>
      <c r="S208">
        <v>0</v>
      </c>
      <c r="U208" t="s">
        <v>41</v>
      </c>
      <c r="V208" t="s">
        <v>42</v>
      </c>
      <c r="X208" t="s">
        <v>43</v>
      </c>
      <c r="Y208" t="b">
        <v>0</v>
      </c>
      <c r="Z208" t="b">
        <v>0</v>
      </c>
      <c r="AC208" s="1"/>
      <c r="AF208">
        <v>0</v>
      </c>
      <c r="AG208">
        <v>45</v>
      </c>
      <c r="AH208">
        <v>268</v>
      </c>
      <c r="AI208" s="2">
        <f>Table__192.168.3.138DYLAgingReport[[#This Row],[NetAmount]]-Table__192.168.3.138DYLAgingReport[[#This Row],[Paid]]</f>
        <v>-339</v>
      </c>
    </row>
    <row r="209" spans="1:35">
      <c r="A209" t="s">
        <v>713</v>
      </c>
      <c r="B209" s="1">
        <v>41052</v>
      </c>
      <c r="C209" s="1">
        <v>41097</v>
      </c>
      <c r="D209" t="s">
        <v>256</v>
      </c>
      <c r="E209">
        <v>-7308</v>
      </c>
      <c r="F209">
        <v>0</v>
      </c>
      <c r="G209">
        <v>0</v>
      </c>
      <c r="H209">
        <v>0</v>
      </c>
      <c r="I209">
        <v>216</v>
      </c>
      <c r="J209">
        <v>-7308</v>
      </c>
      <c r="L209" s="1">
        <v>41052</v>
      </c>
      <c r="N209" t="s">
        <v>36</v>
      </c>
      <c r="O209" t="s">
        <v>37</v>
      </c>
      <c r="P209" t="s">
        <v>393</v>
      </c>
      <c r="Q209" t="s">
        <v>39</v>
      </c>
      <c r="R209" t="s">
        <v>40</v>
      </c>
      <c r="S209">
        <v>0</v>
      </c>
      <c r="U209" t="s">
        <v>41</v>
      </c>
      <c r="V209" t="s">
        <v>42</v>
      </c>
      <c r="X209" t="s">
        <v>43</v>
      </c>
      <c r="Y209" t="b">
        <v>0</v>
      </c>
      <c r="Z209" t="b">
        <v>0</v>
      </c>
      <c r="AC209" s="1"/>
      <c r="AF209">
        <v>0</v>
      </c>
      <c r="AG209">
        <v>45</v>
      </c>
      <c r="AH209">
        <v>261</v>
      </c>
      <c r="AI209" s="2">
        <f>Table__192.168.3.138DYLAgingReport[[#This Row],[NetAmount]]-Table__192.168.3.138DYLAgingReport[[#This Row],[Paid]]</f>
        <v>-7308</v>
      </c>
    </row>
    <row r="210" spans="1:35">
      <c r="A210" t="s">
        <v>714</v>
      </c>
      <c r="B210" s="1">
        <v>41045</v>
      </c>
      <c r="C210" s="1">
        <v>41090</v>
      </c>
      <c r="D210" t="s">
        <v>230</v>
      </c>
      <c r="E210">
        <v>-1035</v>
      </c>
      <c r="F210">
        <v>0</v>
      </c>
      <c r="G210">
        <v>0</v>
      </c>
      <c r="H210">
        <v>0</v>
      </c>
      <c r="I210">
        <v>223</v>
      </c>
      <c r="J210">
        <v>-1035</v>
      </c>
      <c r="L210" s="1">
        <v>41045</v>
      </c>
      <c r="N210" t="s">
        <v>36</v>
      </c>
      <c r="O210" t="s">
        <v>37</v>
      </c>
      <c r="P210" t="s">
        <v>367</v>
      </c>
      <c r="Q210" t="s">
        <v>39</v>
      </c>
      <c r="R210" t="s">
        <v>40</v>
      </c>
      <c r="S210">
        <v>0</v>
      </c>
      <c r="U210" t="s">
        <v>41</v>
      </c>
      <c r="V210" t="s">
        <v>42</v>
      </c>
      <c r="X210" t="s">
        <v>43</v>
      </c>
      <c r="Y210" t="b">
        <v>0</v>
      </c>
      <c r="Z210" t="b">
        <v>0</v>
      </c>
      <c r="AC210" s="1"/>
      <c r="AF210">
        <v>0</v>
      </c>
      <c r="AG210">
        <v>45</v>
      </c>
      <c r="AH210">
        <v>268</v>
      </c>
      <c r="AI210" s="2">
        <f>Table__192.168.3.138DYLAgingReport[[#This Row],[NetAmount]]-Table__192.168.3.138DYLAgingReport[[#This Row],[Paid]]</f>
        <v>-1035</v>
      </c>
    </row>
    <row r="211" spans="1:35">
      <c r="A211" t="s">
        <v>715</v>
      </c>
      <c r="B211" s="1">
        <v>41052</v>
      </c>
      <c r="C211" s="1">
        <v>41097</v>
      </c>
      <c r="D211" t="s">
        <v>237</v>
      </c>
      <c r="E211">
        <v>-214</v>
      </c>
      <c r="F211">
        <v>0</v>
      </c>
      <c r="G211">
        <v>0</v>
      </c>
      <c r="H211">
        <v>0</v>
      </c>
      <c r="I211">
        <v>216</v>
      </c>
      <c r="J211">
        <v>-214</v>
      </c>
      <c r="L211" s="1">
        <v>41052</v>
      </c>
      <c r="N211" t="s">
        <v>36</v>
      </c>
      <c r="O211" t="s">
        <v>37</v>
      </c>
      <c r="P211" t="s">
        <v>374</v>
      </c>
      <c r="Q211" t="s">
        <v>39</v>
      </c>
      <c r="R211" t="s">
        <v>40</v>
      </c>
      <c r="S211">
        <v>0</v>
      </c>
      <c r="U211" t="s">
        <v>41</v>
      </c>
      <c r="V211" t="s">
        <v>42</v>
      </c>
      <c r="X211" t="s">
        <v>43</v>
      </c>
      <c r="Y211" t="b">
        <v>0</v>
      </c>
      <c r="Z211" t="b">
        <v>0</v>
      </c>
      <c r="AC211" s="1"/>
      <c r="AF211">
        <v>0</v>
      </c>
      <c r="AG211">
        <v>45</v>
      </c>
      <c r="AH211">
        <v>261</v>
      </c>
      <c r="AI211" s="2">
        <f>Table__192.168.3.138DYLAgingReport[[#This Row],[NetAmount]]-Table__192.168.3.138DYLAgingReport[[#This Row],[Paid]]</f>
        <v>-214</v>
      </c>
    </row>
    <row r="212" spans="1:35">
      <c r="A212" t="s">
        <v>716</v>
      </c>
      <c r="B212" s="1">
        <v>41090</v>
      </c>
      <c r="C212" s="1">
        <v>41135</v>
      </c>
      <c r="D212" t="s">
        <v>166</v>
      </c>
      <c r="E212">
        <v>-333</v>
      </c>
      <c r="F212">
        <v>-53</v>
      </c>
      <c r="G212">
        <v>0</v>
      </c>
      <c r="H212">
        <v>0</v>
      </c>
      <c r="I212">
        <v>178</v>
      </c>
      <c r="J212">
        <v>-386</v>
      </c>
      <c r="L212" s="1">
        <v>41090</v>
      </c>
      <c r="N212" t="s">
        <v>36</v>
      </c>
      <c r="O212" t="s">
        <v>37</v>
      </c>
      <c r="P212" t="s">
        <v>303</v>
      </c>
      <c r="Q212" t="s">
        <v>39</v>
      </c>
      <c r="R212" t="s">
        <v>40</v>
      </c>
      <c r="S212">
        <v>0</v>
      </c>
      <c r="U212" t="s">
        <v>41</v>
      </c>
      <c r="V212" t="s">
        <v>42</v>
      </c>
      <c r="X212" t="s">
        <v>43</v>
      </c>
      <c r="Y212" t="b">
        <v>0</v>
      </c>
      <c r="Z212" t="b">
        <v>0</v>
      </c>
      <c r="AC212" s="1"/>
      <c r="AF212">
        <v>0</v>
      </c>
      <c r="AG212">
        <v>45</v>
      </c>
      <c r="AH212">
        <v>223</v>
      </c>
      <c r="AI212" s="2">
        <f>Table__192.168.3.138DYLAgingReport[[#This Row],[NetAmount]]-Table__192.168.3.138DYLAgingReport[[#This Row],[Paid]]</f>
        <v>-386</v>
      </c>
    </row>
    <row r="213" spans="1:35">
      <c r="A213" t="s">
        <v>717</v>
      </c>
      <c r="B213" s="1">
        <v>41090</v>
      </c>
      <c r="C213" s="1">
        <v>41135</v>
      </c>
      <c r="D213" t="s">
        <v>177</v>
      </c>
      <c r="E213">
        <v>-348</v>
      </c>
      <c r="F213">
        <v>-56</v>
      </c>
      <c r="G213">
        <v>0</v>
      </c>
      <c r="H213">
        <v>0</v>
      </c>
      <c r="I213">
        <v>178</v>
      </c>
      <c r="J213">
        <v>-404</v>
      </c>
      <c r="L213" s="1">
        <v>41090</v>
      </c>
      <c r="N213" t="s">
        <v>36</v>
      </c>
      <c r="O213" t="s">
        <v>37</v>
      </c>
      <c r="P213" t="s">
        <v>314</v>
      </c>
      <c r="Q213" t="s">
        <v>39</v>
      </c>
      <c r="R213" t="s">
        <v>40</v>
      </c>
      <c r="S213">
        <v>0</v>
      </c>
      <c r="U213" t="s">
        <v>41</v>
      </c>
      <c r="V213" t="s">
        <v>42</v>
      </c>
      <c r="X213" t="s">
        <v>43</v>
      </c>
      <c r="Y213" t="b">
        <v>0</v>
      </c>
      <c r="Z213" t="b">
        <v>0</v>
      </c>
      <c r="AC213" s="1"/>
      <c r="AF213">
        <v>0</v>
      </c>
      <c r="AG213">
        <v>45</v>
      </c>
      <c r="AH213">
        <v>223</v>
      </c>
      <c r="AI213" s="2">
        <f>Table__192.168.3.138DYLAgingReport[[#This Row],[NetAmount]]-Table__192.168.3.138DYLAgingReport[[#This Row],[Paid]]</f>
        <v>-404</v>
      </c>
    </row>
    <row r="214" spans="1:35">
      <c r="A214" t="s">
        <v>57</v>
      </c>
      <c r="B214" s="1">
        <v>41066</v>
      </c>
      <c r="C214" s="1">
        <v>41111</v>
      </c>
      <c r="D214" t="s">
        <v>35</v>
      </c>
      <c r="E214">
        <v>-1995</v>
      </c>
      <c r="F214">
        <v>-319</v>
      </c>
      <c r="G214">
        <v>0</v>
      </c>
      <c r="H214">
        <v>0</v>
      </c>
      <c r="I214">
        <v>202</v>
      </c>
      <c r="J214">
        <v>-2314</v>
      </c>
      <c r="L214" s="1">
        <v>41066</v>
      </c>
      <c r="N214" t="s">
        <v>36</v>
      </c>
      <c r="O214" t="s">
        <v>37</v>
      </c>
      <c r="P214" t="s">
        <v>38</v>
      </c>
      <c r="Q214" t="s">
        <v>39</v>
      </c>
      <c r="R214" t="s">
        <v>40</v>
      </c>
      <c r="S214">
        <v>0</v>
      </c>
      <c r="U214" t="s">
        <v>41</v>
      </c>
      <c r="V214" t="s">
        <v>42</v>
      </c>
      <c r="X214" t="s">
        <v>43</v>
      </c>
      <c r="Y214" t="b">
        <v>0</v>
      </c>
      <c r="Z214" t="b">
        <v>0</v>
      </c>
      <c r="AB214" t="s">
        <v>46</v>
      </c>
      <c r="AC214" s="1">
        <v>41185</v>
      </c>
      <c r="AE214" t="s">
        <v>48</v>
      </c>
      <c r="AF214">
        <v>0</v>
      </c>
      <c r="AG214">
        <v>45</v>
      </c>
      <c r="AH214">
        <v>247</v>
      </c>
      <c r="AI214" s="2">
        <f>Table__192.168.3.138DYLAgingReport[[#This Row],[NetAmount]]-Table__192.168.3.138DYLAgingReport[[#This Row],[Paid]]</f>
        <v>-2314</v>
      </c>
    </row>
    <row r="215" spans="1:35">
      <c r="A215" t="s">
        <v>718</v>
      </c>
      <c r="B215" s="1">
        <v>41090</v>
      </c>
      <c r="C215" s="1">
        <v>41135</v>
      </c>
      <c r="D215" t="s">
        <v>195</v>
      </c>
      <c r="E215">
        <v>-1447</v>
      </c>
      <c r="F215">
        <v>-232</v>
      </c>
      <c r="G215">
        <v>0</v>
      </c>
      <c r="H215">
        <v>0</v>
      </c>
      <c r="I215">
        <v>178</v>
      </c>
      <c r="J215">
        <v>-1679</v>
      </c>
      <c r="L215" s="1">
        <v>41090</v>
      </c>
      <c r="N215" t="s">
        <v>36</v>
      </c>
      <c r="O215" t="s">
        <v>37</v>
      </c>
      <c r="P215" t="s">
        <v>332</v>
      </c>
      <c r="Q215" t="s">
        <v>39</v>
      </c>
      <c r="R215" t="s">
        <v>40</v>
      </c>
      <c r="S215">
        <v>0</v>
      </c>
      <c r="U215" t="s">
        <v>41</v>
      </c>
      <c r="V215" t="s">
        <v>42</v>
      </c>
      <c r="X215" t="s">
        <v>43</v>
      </c>
      <c r="Y215" t="b">
        <v>0</v>
      </c>
      <c r="Z215" t="b">
        <v>0</v>
      </c>
      <c r="AC215" s="1"/>
      <c r="AF215">
        <v>0</v>
      </c>
      <c r="AG215">
        <v>45</v>
      </c>
      <c r="AH215">
        <v>223</v>
      </c>
      <c r="AI215" s="2">
        <f>Table__192.168.3.138DYLAgingReport[[#This Row],[NetAmount]]-Table__192.168.3.138DYLAgingReport[[#This Row],[Paid]]</f>
        <v>-1679</v>
      </c>
    </row>
    <row r="216" spans="1:35">
      <c r="A216" t="s">
        <v>719</v>
      </c>
      <c r="B216" s="1">
        <v>41090</v>
      </c>
      <c r="C216" s="1">
        <v>41135</v>
      </c>
      <c r="D216" t="s">
        <v>201</v>
      </c>
      <c r="E216">
        <v>-48</v>
      </c>
      <c r="F216">
        <v>-8</v>
      </c>
      <c r="G216">
        <v>0</v>
      </c>
      <c r="H216">
        <v>0</v>
      </c>
      <c r="I216">
        <v>178</v>
      </c>
      <c r="J216">
        <v>-56</v>
      </c>
      <c r="L216" s="1">
        <v>41090</v>
      </c>
      <c r="N216" t="s">
        <v>36</v>
      </c>
      <c r="O216" t="s">
        <v>37</v>
      </c>
      <c r="P216" t="s">
        <v>338</v>
      </c>
      <c r="Q216" t="s">
        <v>39</v>
      </c>
      <c r="R216" t="s">
        <v>40</v>
      </c>
      <c r="S216">
        <v>0</v>
      </c>
      <c r="U216" t="s">
        <v>41</v>
      </c>
      <c r="V216" t="s">
        <v>42</v>
      </c>
      <c r="X216" t="s">
        <v>43</v>
      </c>
      <c r="Y216" t="b">
        <v>0</v>
      </c>
      <c r="Z216" t="b">
        <v>0</v>
      </c>
      <c r="AB216" t="s">
        <v>485</v>
      </c>
      <c r="AC216" s="1">
        <v>41236</v>
      </c>
      <c r="AF216">
        <v>0</v>
      </c>
      <c r="AG216">
        <v>45</v>
      </c>
      <c r="AH216">
        <v>223</v>
      </c>
      <c r="AI216" s="2">
        <f>Table__192.168.3.138DYLAgingReport[[#This Row],[NetAmount]]-Table__192.168.3.138DYLAgingReport[[#This Row],[Paid]]</f>
        <v>-56</v>
      </c>
    </row>
    <row r="217" spans="1:35">
      <c r="A217" t="s">
        <v>720</v>
      </c>
      <c r="B217" s="1">
        <v>41090</v>
      </c>
      <c r="C217" s="1">
        <v>41135</v>
      </c>
      <c r="D217" t="s">
        <v>238</v>
      </c>
      <c r="E217">
        <v>-2310</v>
      </c>
      <c r="F217">
        <v>-370</v>
      </c>
      <c r="G217">
        <v>0</v>
      </c>
      <c r="H217">
        <v>0</v>
      </c>
      <c r="I217">
        <v>178</v>
      </c>
      <c r="J217">
        <v>-2680</v>
      </c>
      <c r="L217" s="1">
        <v>41090</v>
      </c>
      <c r="N217" t="s">
        <v>36</v>
      </c>
      <c r="O217" t="s">
        <v>37</v>
      </c>
      <c r="P217" t="s">
        <v>375</v>
      </c>
      <c r="Q217" t="s">
        <v>39</v>
      </c>
      <c r="R217" t="s">
        <v>40</v>
      </c>
      <c r="S217">
        <v>0</v>
      </c>
      <c r="U217" t="s">
        <v>41</v>
      </c>
      <c r="V217" t="s">
        <v>42</v>
      </c>
      <c r="X217" t="s">
        <v>43</v>
      </c>
      <c r="Y217" t="b">
        <v>0</v>
      </c>
      <c r="Z217" t="b">
        <v>0</v>
      </c>
      <c r="AB217" t="s">
        <v>721</v>
      </c>
      <c r="AC217" s="1">
        <v>41191</v>
      </c>
      <c r="AE217" t="s">
        <v>722</v>
      </c>
      <c r="AF217">
        <v>0</v>
      </c>
      <c r="AG217">
        <v>45</v>
      </c>
      <c r="AH217">
        <v>223</v>
      </c>
      <c r="AI217" s="2">
        <f>Table__192.168.3.138DYLAgingReport[[#This Row],[NetAmount]]-Table__192.168.3.138DYLAgingReport[[#This Row],[Paid]]</f>
        <v>-2680</v>
      </c>
    </row>
    <row r="218" spans="1:35">
      <c r="A218" t="s">
        <v>723</v>
      </c>
      <c r="B218" s="1">
        <v>41090</v>
      </c>
      <c r="C218" s="1">
        <v>41135</v>
      </c>
      <c r="D218" t="s">
        <v>242</v>
      </c>
      <c r="E218">
        <v>-837</v>
      </c>
      <c r="F218">
        <v>-134</v>
      </c>
      <c r="G218">
        <v>0</v>
      </c>
      <c r="H218">
        <v>0</v>
      </c>
      <c r="I218">
        <v>178</v>
      </c>
      <c r="J218">
        <v>-971</v>
      </c>
      <c r="L218" s="1">
        <v>41090</v>
      </c>
      <c r="N218" t="s">
        <v>36</v>
      </c>
      <c r="O218" t="s">
        <v>37</v>
      </c>
      <c r="P218" t="s">
        <v>379</v>
      </c>
      <c r="Q218" t="s">
        <v>39</v>
      </c>
      <c r="R218" t="s">
        <v>40</v>
      </c>
      <c r="S218">
        <v>0</v>
      </c>
      <c r="U218" t="s">
        <v>41</v>
      </c>
      <c r="V218" t="s">
        <v>42</v>
      </c>
      <c r="X218" t="s">
        <v>43</v>
      </c>
      <c r="Y218" t="b">
        <v>0</v>
      </c>
      <c r="Z218" t="b">
        <v>0</v>
      </c>
      <c r="AC218" s="1"/>
      <c r="AF218">
        <v>0</v>
      </c>
      <c r="AG218">
        <v>45</v>
      </c>
      <c r="AH218">
        <v>223</v>
      </c>
      <c r="AI218" s="2">
        <f>Table__192.168.3.138DYLAgingReport[[#This Row],[NetAmount]]-Table__192.168.3.138DYLAgingReport[[#This Row],[Paid]]</f>
        <v>-971</v>
      </c>
    </row>
    <row r="219" spans="1:35">
      <c r="A219" t="s">
        <v>724</v>
      </c>
      <c r="B219" s="1">
        <v>41090</v>
      </c>
      <c r="C219" s="1">
        <v>41135</v>
      </c>
      <c r="D219" t="s">
        <v>251</v>
      </c>
      <c r="E219">
        <v>-4082</v>
      </c>
      <c r="F219">
        <v>-653</v>
      </c>
      <c r="G219">
        <v>0</v>
      </c>
      <c r="H219">
        <v>0</v>
      </c>
      <c r="I219">
        <v>178</v>
      </c>
      <c r="J219">
        <v>-4735</v>
      </c>
      <c r="L219" s="1">
        <v>41090</v>
      </c>
      <c r="N219" t="s">
        <v>36</v>
      </c>
      <c r="O219" t="s">
        <v>37</v>
      </c>
      <c r="P219" t="s">
        <v>388</v>
      </c>
      <c r="Q219" t="s">
        <v>39</v>
      </c>
      <c r="R219" t="s">
        <v>40</v>
      </c>
      <c r="S219">
        <v>0</v>
      </c>
      <c r="U219" t="s">
        <v>41</v>
      </c>
      <c r="V219" t="s">
        <v>42</v>
      </c>
      <c r="X219" t="s">
        <v>43</v>
      </c>
      <c r="Y219" t="b">
        <v>0</v>
      </c>
      <c r="Z219" t="b">
        <v>0</v>
      </c>
      <c r="AB219" t="s">
        <v>615</v>
      </c>
      <c r="AC219" s="1">
        <v>41185</v>
      </c>
      <c r="AE219" t="s">
        <v>616</v>
      </c>
      <c r="AF219">
        <v>0</v>
      </c>
      <c r="AG219">
        <v>45</v>
      </c>
      <c r="AH219">
        <v>223</v>
      </c>
      <c r="AI219" s="2">
        <f>Table__192.168.3.138DYLAgingReport[[#This Row],[NetAmount]]-Table__192.168.3.138DYLAgingReport[[#This Row],[Paid]]</f>
        <v>-4735</v>
      </c>
    </row>
    <row r="220" spans="1:35">
      <c r="A220" t="s">
        <v>725</v>
      </c>
      <c r="B220" s="1">
        <v>41090</v>
      </c>
      <c r="C220" s="1">
        <v>41135</v>
      </c>
      <c r="D220" t="s">
        <v>255</v>
      </c>
      <c r="E220">
        <v>-318</v>
      </c>
      <c r="F220">
        <v>-51</v>
      </c>
      <c r="G220">
        <v>0</v>
      </c>
      <c r="H220">
        <v>0</v>
      </c>
      <c r="I220">
        <v>178</v>
      </c>
      <c r="J220">
        <v>-369</v>
      </c>
      <c r="L220" s="1">
        <v>41090</v>
      </c>
      <c r="N220" t="s">
        <v>36</v>
      </c>
      <c r="O220" t="s">
        <v>37</v>
      </c>
      <c r="P220" t="s">
        <v>392</v>
      </c>
      <c r="Q220" t="s">
        <v>39</v>
      </c>
      <c r="R220" t="s">
        <v>40</v>
      </c>
      <c r="S220">
        <v>0</v>
      </c>
      <c r="U220" t="s">
        <v>41</v>
      </c>
      <c r="V220" t="s">
        <v>42</v>
      </c>
      <c r="X220" t="s">
        <v>43</v>
      </c>
      <c r="Y220" t="b">
        <v>0</v>
      </c>
      <c r="Z220" t="b">
        <v>0</v>
      </c>
      <c r="AC220" s="1"/>
      <c r="AF220">
        <v>0</v>
      </c>
      <c r="AG220">
        <v>45</v>
      </c>
      <c r="AH220">
        <v>223</v>
      </c>
      <c r="AI220" s="2">
        <f>Table__192.168.3.138DYLAgingReport[[#This Row],[NetAmount]]-Table__192.168.3.138DYLAgingReport[[#This Row],[Paid]]</f>
        <v>-369</v>
      </c>
    </row>
    <row r="221" spans="1:35">
      <c r="A221" t="s">
        <v>726</v>
      </c>
      <c r="B221" s="1">
        <v>41090</v>
      </c>
      <c r="C221" s="1">
        <v>41135</v>
      </c>
      <c r="D221" t="s">
        <v>258</v>
      </c>
      <c r="E221">
        <v>-16</v>
      </c>
      <c r="F221">
        <v>-3</v>
      </c>
      <c r="G221">
        <v>0</v>
      </c>
      <c r="H221">
        <v>0</v>
      </c>
      <c r="I221">
        <v>178</v>
      </c>
      <c r="J221">
        <v>-19</v>
      </c>
      <c r="L221" s="1">
        <v>41090</v>
      </c>
      <c r="M221" t="s">
        <v>10773</v>
      </c>
      <c r="N221" t="s">
        <v>36</v>
      </c>
      <c r="O221" t="s">
        <v>37</v>
      </c>
      <c r="P221" t="s">
        <v>395</v>
      </c>
      <c r="Q221" t="s">
        <v>39</v>
      </c>
      <c r="R221" t="s">
        <v>40</v>
      </c>
      <c r="S221">
        <v>0</v>
      </c>
      <c r="U221" t="s">
        <v>41</v>
      </c>
      <c r="V221" t="s">
        <v>42</v>
      </c>
      <c r="W221" t="s">
        <v>10768</v>
      </c>
      <c r="X221" t="s">
        <v>43</v>
      </c>
      <c r="Y221" t="b">
        <v>0</v>
      </c>
      <c r="Z221" t="b">
        <v>0</v>
      </c>
      <c r="AA221" t="b">
        <v>0</v>
      </c>
      <c r="AC221" s="1"/>
      <c r="AF221">
        <v>0</v>
      </c>
      <c r="AG221">
        <v>45</v>
      </c>
      <c r="AH221">
        <v>223</v>
      </c>
      <c r="AI221" s="2">
        <f>Table__192.168.3.138DYLAgingReport[[#This Row],[NetAmount]]-Table__192.168.3.138DYLAgingReport[[#This Row],[Paid]]</f>
        <v>-19</v>
      </c>
    </row>
    <row r="222" spans="1:35">
      <c r="A222" t="s">
        <v>727</v>
      </c>
      <c r="B222" s="1">
        <v>41090</v>
      </c>
      <c r="C222" s="1">
        <v>41135</v>
      </c>
      <c r="D222" t="s">
        <v>288</v>
      </c>
      <c r="E222">
        <v>-130</v>
      </c>
      <c r="F222">
        <v>-21</v>
      </c>
      <c r="G222">
        <v>0</v>
      </c>
      <c r="H222">
        <v>0</v>
      </c>
      <c r="I222">
        <v>178</v>
      </c>
      <c r="J222">
        <v>-151</v>
      </c>
      <c r="L222" s="1">
        <v>41090</v>
      </c>
      <c r="N222" t="s">
        <v>36</v>
      </c>
      <c r="O222" t="s">
        <v>37</v>
      </c>
      <c r="P222" t="s">
        <v>425</v>
      </c>
      <c r="Q222" t="s">
        <v>39</v>
      </c>
      <c r="R222" t="s">
        <v>40</v>
      </c>
      <c r="S222">
        <v>0</v>
      </c>
      <c r="U222" t="s">
        <v>41</v>
      </c>
      <c r="V222" t="s">
        <v>42</v>
      </c>
      <c r="X222" t="s">
        <v>43</v>
      </c>
      <c r="Y222" t="b">
        <v>0</v>
      </c>
      <c r="Z222" t="b">
        <v>0</v>
      </c>
      <c r="AC222" s="1"/>
      <c r="AF222">
        <v>0</v>
      </c>
      <c r="AG222">
        <v>45</v>
      </c>
      <c r="AH222">
        <v>223</v>
      </c>
      <c r="AI222" s="2">
        <f>Table__192.168.3.138DYLAgingReport[[#This Row],[NetAmount]]-Table__192.168.3.138DYLAgingReport[[#This Row],[Paid]]</f>
        <v>-151</v>
      </c>
    </row>
    <row r="223" spans="1:35">
      <c r="A223" t="s">
        <v>728</v>
      </c>
      <c r="B223" s="1">
        <v>41090</v>
      </c>
      <c r="C223" s="1">
        <v>41135</v>
      </c>
      <c r="D223" t="s">
        <v>569</v>
      </c>
      <c r="E223">
        <v>-16515</v>
      </c>
      <c r="F223">
        <v>-3101</v>
      </c>
      <c r="G223">
        <v>0</v>
      </c>
      <c r="H223">
        <v>0</v>
      </c>
      <c r="I223">
        <v>190</v>
      </c>
      <c r="J223">
        <v>-19616</v>
      </c>
      <c r="L223" s="1">
        <v>41078</v>
      </c>
      <c r="N223" t="s">
        <v>36</v>
      </c>
      <c r="O223" t="s">
        <v>37</v>
      </c>
      <c r="P223" t="s">
        <v>433</v>
      </c>
      <c r="Q223" t="s">
        <v>39</v>
      </c>
      <c r="R223" t="s">
        <v>40</v>
      </c>
      <c r="S223">
        <v>0</v>
      </c>
      <c r="U223" t="s">
        <v>41</v>
      </c>
      <c r="V223" t="s">
        <v>42</v>
      </c>
      <c r="X223" t="s">
        <v>43</v>
      </c>
      <c r="Y223" t="b">
        <v>0</v>
      </c>
      <c r="Z223" t="b">
        <v>0</v>
      </c>
      <c r="AC223" s="1"/>
      <c r="AF223">
        <v>0</v>
      </c>
      <c r="AG223">
        <v>45</v>
      </c>
      <c r="AH223">
        <v>235</v>
      </c>
      <c r="AI223" s="2">
        <f>Table__192.168.3.138DYLAgingReport[[#This Row],[NetAmount]]-Table__192.168.3.138DYLAgingReport[[#This Row],[Paid]]</f>
        <v>-19616</v>
      </c>
    </row>
    <row r="224" spans="1:35">
      <c r="A224" t="s">
        <v>729</v>
      </c>
      <c r="B224" s="1">
        <v>41085</v>
      </c>
      <c r="C224" s="1">
        <v>41130</v>
      </c>
      <c r="D224" t="s">
        <v>213</v>
      </c>
      <c r="E224">
        <v>-2020</v>
      </c>
      <c r="F224">
        <v>0</v>
      </c>
      <c r="G224">
        <v>0</v>
      </c>
      <c r="H224">
        <v>0</v>
      </c>
      <c r="I224">
        <v>183</v>
      </c>
      <c r="J224">
        <v>-2020</v>
      </c>
      <c r="L224" s="1">
        <v>41085</v>
      </c>
      <c r="N224" t="s">
        <v>36</v>
      </c>
      <c r="O224" t="s">
        <v>37</v>
      </c>
      <c r="P224" t="s">
        <v>350</v>
      </c>
      <c r="Q224" t="s">
        <v>39</v>
      </c>
      <c r="R224" t="s">
        <v>40</v>
      </c>
      <c r="S224">
        <v>0</v>
      </c>
      <c r="U224" t="s">
        <v>41</v>
      </c>
      <c r="V224" t="s">
        <v>42</v>
      </c>
      <c r="X224" t="s">
        <v>43</v>
      </c>
      <c r="Y224" t="b">
        <v>0</v>
      </c>
      <c r="Z224" t="b">
        <v>0</v>
      </c>
      <c r="AC224" s="1"/>
      <c r="AF224">
        <v>0</v>
      </c>
      <c r="AG224">
        <v>45</v>
      </c>
      <c r="AH224">
        <v>228</v>
      </c>
      <c r="AI224" s="2">
        <f>Table__192.168.3.138DYLAgingReport[[#This Row],[NetAmount]]-Table__192.168.3.138DYLAgingReport[[#This Row],[Paid]]</f>
        <v>-2020</v>
      </c>
    </row>
    <row r="225" spans="1:35">
      <c r="A225" t="s">
        <v>730</v>
      </c>
      <c r="B225" s="1">
        <v>41086</v>
      </c>
      <c r="C225" s="1">
        <v>41131</v>
      </c>
      <c r="D225" t="s">
        <v>240</v>
      </c>
      <c r="E225">
        <v>-6</v>
      </c>
      <c r="F225">
        <v>0</v>
      </c>
      <c r="G225">
        <v>0</v>
      </c>
      <c r="H225">
        <v>0</v>
      </c>
      <c r="I225">
        <v>182</v>
      </c>
      <c r="J225">
        <v>-6</v>
      </c>
      <c r="L225" s="1">
        <v>41086</v>
      </c>
      <c r="N225" t="s">
        <v>36</v>
      </c>
      <c r="O225" t="s">
        <v>37</v>
      </c>
      <c r="P225" t="s">
        <v>377</v>
      </c>
      <c r="Q225" t="s">
        <v>39</v>
      </c>
      <c r="R225" t="s">
        <v>40</v>
      </c>
      <c r="S225">
        <v>0</v>
      </c>
      <c r="U225" t="s">
        <v>41</v>
      </c>
      <c r="V225" t="s">
        <v>42</v>
      </c>
      <c r="X225" t="s">
        <v>43</v>
      </c>
      <c r="Y225" t="b">
        <v>0</v>
      </c>
      <c r="Z225" t="b">
        <v>0</v>
      </c>
      <c r="AC225" s="1"/>
      <c r="AF225">
        <v>0</v>
      </c>
      <c r="AG225">
        <v>45</v>
      </c>
      <c r="AH225">
        <v>227</v>
      </c>
      <c r="AI225" s="2">
        <f>Table__192.168.3.138DYLAgingReport[[#This Row],[NetAmount]]-Table__192.168.3.138DYLAgingReport[[#This Row],[Paid]]</f>
        <v>-6</v>
      </c>
    </row>
    <row r="226" spans="1:35">
      <c r="A226" t="s">
        <v>58</v>
      </c>
      <c r="B226" s="1">
        <v>41114</v>
      </c>
      <c r="C226" s="1">
        <v>41159</v>
      </c>
      <c r="D226" t="s">
        <v>35</v>
      </c>
      <c r="E226">
        <v>-6900</v>
      </c>
      <c r="F226">
        <v>-1104</v>
      </c>
      <c r="G226">
        <v>0</v>
      </c>
      <c r="H226">
        <v>0</v>
      </c>
      <c r="I226">
        <v>154</v>
      </c>
      <c r="J226">
        <v>-8004</v>
      </c>
      <c r="L226" s="1">
        <v>41114</v>
      </c>
      <c r="N226" t="s">
        <v>36</v>
      </c>
      <c r="O226" t="s">
        <v>37</v>
      </c>
      <c r="P226" t="s">
        <v>38</v>
      </c>
      <c r="Q226" t="s">
        <v>39</v>
      </c>
      <c r="R226" t="s">
        <v>40</v>
      </c>
      <c r="S226">
        <v>0</v>
      </c>
      <c r="U226" t="s">
        <v>41</v>
      </c>
      <c r="V226" t="s">
        <v>42</v>
      </c>
      <c r="X226" t="s">
        <v>43</v>
      </c>
      <c r="Y226" t="b">
        <v>0</v>
      </c>
      <c r="Z226" t="b">
        <v>0</v>
      </c>
      <c r="AC226" s="1"/>
      <c r="AF226">
        <v>0</v>
      </c>
      <c r="AG226">
        <v>45</v>
      </c>
      <c r="AH226">
        <v>199</v>
      </c>
      <c r="AI226" s="2">
        <f>Table__192.168.3.138DYLAgingReport[[#This Row],[NetAmount]]-Table__192.168.3.138DYLAgingReport[[#This Row],[Paid]]</f>
        <v>-8004</v>
      </c>
    </row>
    <row r="227" spans="1:35">
      <c r="A227" t="s">
        <v>731</v>
      </c>
      <c r="B227" s="1">
        <v>41121</v>
      </c>
      <c r="C227" s="1">
        <v>41166</v>
      </c>
      <c r="D227" t="s">
        <v>187</v>
      </c>
      <c r="E227">
        <v>-10325</v>
      </c>
      <c r="F227">
        <v>0</v>
      </c>
      <c r="G227">
        <v>0</v>
      </c>
      <c r="H227">
        <v>0</v>
      </c>
      <c r="I227">
        <v>168</v>
      </c>
      <c r="J227">
        <v>-10325</v>
      </c>
      <c r="L227" s="1">
        <v>41100</v>
      </c>
      <c r="N227" t="s">
        <v>36</v>
      </c>
      <c r="O227" t="s">
        <v>37</v>
      </c>
      <c r="P227" t="s">
        <v>324</v>
      </c>
      <c r="Q227" t="s">
        <v>39</v>
      </c>
      <c r="R227" t="s">
        <v>40</v>
      </c>
      <c r="S227">
        <v>0</v>
      </c>
      <c r="U227" t="s">
        <v>41</v>
      </c>
      <c r="V227" t="s">
        <v>42</v>
      </c>
      <c r="X227" t="s">
        <v>43</v>
      </c>
      <c r="Y227" t="b">
        <v>0</v>
      </c>
      <c r="Z227" t="b">
        <v>0</v>
      </c>
      <c r="AC227" s="1"/>
      <c r="AF227">
        <v>0</v>
      </c>
      <c r="AG227">
        <v>45</v>
      </c>
      <c r="AH227">
        <v>213</v>
      </c>
      <c r="AI227" s="2">
        <f>Table__192.168.3.138DYLAgingReport[[#This Row],[NetAmount]]-Table__192.168.3.138DYLAgingReport[[#This Row],[Paid]]</f>
        <v>-10325</v>
      </c>
    </row>
    <row r="228" spans="1:35">
      <c r="A228" t="s">
        <v>732</v>
      </c>
      <c r="B228" s="1">
        <v>41116</v>
      </c>
      <c r="C228" s="1">
        <v>41161</v>
      </c>
      <c r="D228" t="s">
        <v>193</v>
      </c>
      <c r="E228">
        <v>-7391</v>
      </c>
      <c r="F228">
        <v>-1183</v>
      </c>
      <c r="G228">
        <v>0</v>
      </c>
      <c r="H228">
        <v>0</v>
      </c>
      <c r="I228">
        <v>162</v>
      </c>
      <c r="J228">
        <v>-8574</v>
      </c>
      <c r="L228" s="1">
        <v>41106</v>
      </c>
      <c r="N228" t="s">
        <v>36</v>
      </c>
      <c r="O228" t="s">
        <v>37</v>
      </c>
      <c r="P228" t="s">
        <v>330</v>
      </c>
      <c r="Q228" t="s">
        <v>39</v>
      </c>
      <c r="R228" t="s">
        <v>40</v>
      </c>
      <c r="S228">
        <v>0</v>
      </c>
      <c r="U228" t="s">
        <v>41</v>
      </c>
      <c r="V228" t="s">
        <v>42</v>
      </c>
      <c r="X228" t="s">
        <v>43</v>
      </c>
      <c r="Y228" t="b">
        <v>0</v>
      </c>
      <c r="Z228" t="b">
        <v>0</v>
      </c>
      <c r="AC228" s="1"/>
      <c r="AF228">
        <v>0</v>
      </c>
      <c r="AG228">
        <v>45</v>
      </c>
      <c r="AH228">
        <v>207</v>
      </c>
      <c r="AI228" s="2">
        <f>Table__192.168.3.138DYLAgingReport[[#This Row],[NetAmount]]-Table__192.168.3.138DYLAgingReport[[#This Row],[Paid]]</f>
        <v>-8574</v>
      </c>
    </row>
    <row r="229" spans="1:35">
      <c r="A229" t="s">
        <v>733</v>
      </c>
      <c r="B229" s="1">
        <v>41114</v>
      </c>
      <c r="C229" s="1">
        <v>41159</v>
      </c>
      <c r="D229" t="s">
        <v>206</v>
      </c>
      <c r="E229">
        <v>-16745</v>
      </c>
      <c r="F229">
        <v>-2679</v>
      </c>
      <c r="G229">
        <v>0</v>
      </c>
      <c r="H229">
        <v>0</v>
      </c>
      <c r="I229">
        <v>-187</v>
      </c>
      <c r="J229">
        <v>-19424</v>
      </c>
      <c r="L229" s="1">
        <v>41455</v>
      </c>
      <c r="N229" t="s">
        <v>36</v>
      </c>
      <c r="O229" t="s">
        <v>37</v>
      </c>
      <c r="P229" t="s">
        <v>343</v>
      </c>
      <c r="Q229" t="s">
        <v>39</v>
      </c>
      <c r="R229" t="s">
        <v>40</v>
      </c>
      <c r="S229">
        <v>0</v>
      </c>
      <c r="U229" t="s">
        <v>41</v>
      </c>
      <c r="V229" t="s">
        <v>42</v>
      </c>
      <c r="X229" t="s">
        <v>43</v>
      </c>
      <c r="Y229" t="b">
        <v>0</v>
      </c>
      <c r="Z229" t="b">
        <v>0</v>
      </c>
      <c r="AC229" s="1"/>
      <c r="AF229">
        <v>0</v>
      </c>
      <c r="AG229">
        <v>45</v>
      </c>
      <c r="AH229">
        <v>-142</v>
      </c>
      <c r="AI229" s="2">
        <f>Table__192.168.3.138DYLAgingReport[[#This Row],[NetAmount]]-Table__192.168.3.138DYLAgingReport[[#This Row],[Paid]]</f>
        <v>-19424</v>
      </c>
    </row>
    <row r="230" spans="1:35">
      <c r="A230" t="s">
        <v>734</v>
      </c>
      <c r="B230" s="1">
        <v>41107</v>
      </c>
      <c r="C230" s="1">
        <v>41152</v>
      </c>
      <c r="D230" t="s">
        <v>207</v>
      </c>
      <c r="E230">
        <v>-726</v>
      </c>
      <c r="F230">
        <v>-116</v>
      </c>
      <c r="G230">
        <v>0</v>
      </c>
      <c r="H230">
        <v>0</v>
      </c>
      <c r="I230">
        <v>168</v>
      </c>
      <c r="J230">
        <v>-842</v>
      </c>
      <c r="L230" s="1">
        <v>41100</v>
      </c>
      <c r="N230" t="s">
        <v>36</v>
      </c>
      <c r="O230" t="s">
        <v>37</v>
      </c>
      <c r="P230" t="s">
        <v>344</v>
      </c>
      <c r="Q230" t="s">
        <v>39</v>
      </c>
      <c r="R230" t="s">
        <v>40</v>
      </c>
      <c r="S230">
        <v>0</v>
      </c>
      <c r="U230" t="s">
        <v>41</v>
      </c>
      <c r="V230" t="s">
        <v>42</v>
      </c>
      <c r="X230" t="s">
        <v>43</v>
      </c>
      <c r="Y230" t="b">
        <v>0</v>
      </c>
      <c r="Z230" t="b">
        <v>0</v>
      </c>
      <c r="AB230" t="s">
        <v>735</v>
      </c>
      <c r="AC230" s="1">
        <v>41255</v>
      </c>
      <c r="AF230">
        <v>0</v>
      </c>
      <c r="AG230">
        <v>45</v>
      </c>
      <c r="AH230">
        <v>213</v>
      </c>
      <c r="AI230" s="2">
        <f>Table__192.168.3.138DYLAgingReport[[#This Row],[NetAmount]]-Table__192.168.3.138DYLAgingReport[[#This Row],[Paid]]</f>
        <v>-842</v>
      </c>
    </row>
    <row r="231" spans="1:35">
      <c r="A231" t="s">
        <v>736</v>
      </c>
      <c r="B231" s="1">
        <v>41113</v>
      </c>
      <c r="C231" s="1">
        <v>41158</v>
      </c>
      <c r="D231" t="s">
        <v>208</v>
      </c>
      <c r="E231">
        <v>-3030</v>
      </c>
      <c r="F231">
        <v>-485</v>
      </c>
      <c r="G231">
        <v>0</v>
      </c>
      <c r="H231">
        <v>0</v>
      </c>
      <c r="I231">
        <v>159</v>
      </c>
      <c r="J231">
        <v>-3515</v>
      </c>
      <c r="L231" s="1">
        <v>41109</v>
      </c>
      <c r="N231" t="s">
        <v>36</v>
      </c>
      <c r="O231" t="s">
        <v>37</v>
      </c>
      <c r="P231" t="s">
        <v>345</v>
      </c>
      <c r="Q231" t="s">
        <v>39</v>
      </c>
      <c r="R231" t="s">
        <v>40</v>
      </c>
      <c r="S231">
        <v>0</v>
      </c>
      <c r="U231" t="s">
        <v>41</v>
      </c>
      <c r="V231" t="s">
        <v>42</v>
      </c>
      <c r="X231" t="s">
        <v>43</v>
      </c>
      <c r="Y231" t="b">
        <v>0</v>
      </c>
      <c r="Z231" t="b">
        <v>0</v>
      </c>
      <c r="AC231" s="1"/>
      <c r="AF231">
        <v>0</v>
      </c>
      <c r="AG231">
        <v>45</v>
      </c>
      <c r="AH231">
        <v>204</v>
      </c>
      <c r="AI231" s="2">
        <f>Table__192.168.3.138DYLAgingReport[[#This Row],[NetAmount]]-Table__192.168.3.138DYLAgingReport[[#This Row],[Paid]]</f>
        <v>-3515</v>
      </c>
    </row>
    <row r="232" spans="1:35">
      <c r="A232" t="s">
        <v>737</v>
      </c>
      <c r="B232" s="1">
        <v>41119</v>
      </c>
      <c r="C232" s="1">
        <v>41164</v>
      </c>
      <c r="D232" t="s">
        <v>569</v>
      </c>
      <c r="E232">
        <v>-2210</v>
      </c>
      <c r="F232">
        <v>-354</v>
      </c>
      <c r="G232">
        <v>0</v>
      </c>
      <c r="H232">
        <v>0</v>
      </c>
      <c r="I232">
        <v>149</v>
      </c>
      <c r="J232">
        <v>-2564</v>
      </c>
      <c r="L232" s="1">
        <v>41119</v>
      </c>
      <c r="N232" t="s">
        <v>36</v>
      </c>
      <c r="O232" t="s">
        <v>37</v>
      </c>
      <c r="P232" t="s">
        <v>433</v>
      </c>
      <c r="Q232" t="s">
        <v>39</v>
      </c>
      <c r="R232" t="s">
        <v>40</v>
      </c>
      <c r="S232">
        <v>0</v>
      </c>
      <c r="U232" t="s">
        <v>41</v>
      </c>
      <c r="V232" t="s">
        <v>42</v>
      </c>
      <c r="X232" t="s">
        <v>43</v>
      </c>
      <c r="Y232" t="b">
        <v>0</v>
      </c>
      <c r="Z232" t="b">
        <v>0</v>
      </c>
      <c r="AC232" s="1"/>
      <c r="AF232">
        <v>0</v>
      </c>
      <c r="AG232">
        <v>45</v>
      </c>
      <c r="AH232">
        <v>194</v>
      </c>
      <c r="AI232" s="2">
        <f>Table__192.168.3.138DYLAgingReport[[#This Row],[NetAmount]]-Table__192.168.3.138DYLAgingReport[[#This Row],[Paid]]</f>
        <v>-2564</v>
      </c>
    </row>
    <row r="233" spans="1:35">
      <c r="A233" t="s">
        <v>738</v>
      </c>
      <c r="B233" s="1">
        <v>41113</v>
      </c>
      <c r="C233" s="1">
        <v>41158</v>
      </c>
      <c r="D233" t="s">
        <v>220</v>
      </c>
      <c r="E233">
        <v>-4120</v>
      </c>
      <c r="F233">
        <v>-659</v>
      </c>
      <c r="G233">
        <v>0</v>
      </c>
      <c r="H233">
        <v>0</v>
      </c>
      <c r="I233">
        <v>173</v>
      </c>
      <c r="J233">
        <v>-4779</v>
      </c>
      <c r="L233" s="1">
        <v>41095</v>
      </c>
      <c r="N233" t="s">
        <v>36</v>
      </c>
      <c r="O233" t="s">
        <v>37</v>
      </c>
      <c r="P233" t="s">
        <v>357</v>
      </c>
      <c r="Q233" t="s">
        <v>39</v>
      </c>
      <c r="R233" t="s">
        <v>40</v>
      </c>
      <c r="S233">
        <v>0</v>
      </c>
      <c r="U233" t="s">
        <v>41</v>
      </c>
      <c r="V233" t="s">
        <v>42</v>
      </c>
      <c r="X233" t="s">
        <v>43</v>
      </c>
      <c r="Y233" t="b">
        <v>0</v>
      </c>
      <c r="Z233" t="b">
        <v>0</v>
      </c>
      <c r="AC233" s="1"/>
      <c r="AF233">
        <v>0</v>
      </c>
      <c r="AG233">
        <v>45</v>
      </c>
      <c r="AH233">
        <v>218</v>
      </c>
      <c r="AI233" s="2">
        <f>Table__192.168.3.138DYLAgingReport[[#This Row],[NetAmount]]-Table__192.168.3.138DYLAgingReport[[#This Row],[Paid]]</f>
        <v>-4779</v>
      </c>
    </row>
    <row r="234" spans="1:35">
      <c r="A234" t="s">
        <v>739</v>
      </c>
      <c r="B234" s="1">
        <v>41121</v>
      </c>
      <c r="C234" s="1">
        <v>41166</v>
      </c>
      <c r="D234" t="s">
        <v>227</v>
      </c>
      <c r="E234">
        <v>-40930</v>
      </c>
      <c r="F234">
        <v>-6551</v>
      </c>
      <c r="G234">
        <v>0</v>
      </c>
      <c r="H234">
        <v>0</v>
      </c>
      <c r="I234">
        <v>159</v>
      </c>
      <c r="J234">
        <v>-47481</v>
      </c>
      <c r="L234" s="1">
        <v>41109</v>
      </c>
      <c r="N234" t="s">
        <v>36</v>
      </c>
      <c r="O234" t="s">
        <v>37</v>
      </c>
      <c r="P234" t="s">
        <v>364</v>
      </c>
      <c r="Q234" t="s">
        <v>39</v>
      </c>
      <c r="R234" t="s">
        <v>40</v>
      </c>
      <c r="S234">
        <v>0</v>
      </c>
      <c r="U234" t="s">
        <v>41</v>
      </c>
      <c r="V234" t="s">
        <v>42</v>
      </c>
      <c r="X234" t="s">
        <v>43</v>
      </c>
      <c r="Y234" t="b">
        <v>0</v>
      </c>
      <c r="Z234" t="b">
        <v>0</v>
      </c>
      <c r="AC234" s="1"/>
      <c r="AF234">
        <v>0</v>
      </c>
      <c r="AG234">
        <v>45</v>
      </c>
      <c r="AH234">
        <v>204</v>
      </c>
      <c r="AI234" s="2">
        <f>Table__192.168.3.138DYLAgingReport[[#This Row],[NetAmount]]-Table__192.168.3.138DYLAgingReport[[#This Row],[Paid]]</f>
        <v>-47481</v>
      </c>
    </row>
    <row r="235" spans="1:35">
      <c r="A235" t="s">
        <v>740</v>
      </c>
      <c r="B235" s="1">
        <v>41095</v>
      </c>
      <c r="C235" s="1">
        <v>41140</v>
      </c>
      <c r="D235" t="s">
        <v>238</v>
      </c>
      <c r="E235">
        <v>-1540</v>
      </c>
      <c r="F235">
        <v>-246</v>
      </c>
      <c r="G235">
        <v>0</v>
      </c>
      <c r="H235">
        <v>0</v>
      </c>
      <c r="I235">
        <v>173</v>
      </c>
      <c r="J235">
        <v>-1786</v>
      </c>
      <c r="L235" s="1">
        <v>41095</v>
      </c>
      <c r="N235" t="s">
        <v>36</v>
      </c>
      <c r="O235" t="s">
        <v>37</v>
      </c>
      <c r="P235" t="s">
        <v>375</v>
      </c>
      <c r="Q235" t="s">
        <v>39</v>
      </c>
      <c r="R235" t="s">
        <v>40</v>
      </c>
      <c r="S235">
        <v>0</v>
      </c>
      <c r="U235" t="s">
        <v>41</v>
      </c>
      <c r="V235" t="s">
        <v>42</v>
      </c>
      <c r="X235" t="s">
        <v>43</v>
      </c>
      <c r="Y235" t="b">
        <v>0</v>
      </c>
      <c r="Z235" t="b">
        <v>0</v>
      </c>
      <c r="AC235" s="1"/>
      <c r="AF235">
        <v>0</v>
      </c>
      <c r="AG235">
        <v>45</v>
      </c>
      <c r="AH235">
        <v>218</v>
      </c>
      <c r="AI235" s="2">
        <f>Table__192.168.3.138DYLAgingReport[[#This Row],[NetAmount]]-Table__192.168.3.138DYLAgingReport[[#This Row],[Paid]]</f>
        <v>-1786</v>
      </c>
    </row>
    <row r="236" spans="1:35">
      <c r="A236" t="s">
        <v>741</v>
      </c>
      <c r="B236" s="1">
        <v>41113</v>
      </c>
      <c r="C236" s="1">
        <v>41158</v>
      </c>
      <c r="D236" t="s">
        <v>242</v>
      </c>
      <c r="E236">
        <v>-974</v>
      </c>
      <c r="F236">
        <v>-156</v>
      </c>
      <c r="G236">
        <v>0</v>
      </c>
      <c r="H236">
        <v>0</v>
      </c>
      <c r="I236">
        <v>172</v>
      </c>
      <c r="J236">
        <v>-1130</v>
      </c>
      <c r="L236" s="1">
        <v>41096</v>
      </c>
      <c r="N236" t="s">
        <v>36</v>
      </c>
      <c r="O236" t="s">
        <v>37</v>
      </c>
      <c r="P236" t="s">
        <v>379</v>
      </c>
      <c r="Q236" t="s">
        <v>39</v>
      </c>
      <c r="R236" t="s">
        <v>40</v>
      </c>
      <c r="S236">
        <v>0</v>
      </c>
      <c r="U236" t="s">
        <v>41</v>
      </c>
      <c r="V236" t="s">
        <v>42</v>
      </c>
      <c r="X236" t="s">
        <v>43</v>
      </c>
      <c r="Y236" t="b">
        <v>0</v>
      </c>
      <c r="Z236" t="b">
        <v>0</v>
      </c>
      <c r="AC236" s="1"/>
      <c r="AF236">
        <v>0</v>
      </c>
      <c r="AG236">
        <v>45</v>
      </c>
      <c r="AH236">
        <v>217</v>
      </c>
      <c r="AI236" s="2">
        <f>Table__192.168.3.138DYLAgingReport[[#This Row],[NetAmount]]-Table__192.168.3.138DYLAgingReport[[#This Row],[Paid]]</f>
        <v>-1130</v>
      </c>
    </row>
    <row r="237" spans="1:35">
      <c r="A237" t="s">
        <v>742</v>
      </c>
      <c r="B237" s="1">
        <v>41094</v>
      </c>
      <c r="C237" s="1">
        <v>41139</v>
      </c>
      <c r="D237" t="s">
        <v>268</v>
      </c>
      <c r="E237">
        <v>-1583</v>
      </c>
      <c r="F237">
        <v>-253</v>
      </c>
      <c r="G237">
        <v>0</v>
      </c>
      <c r="H237">
        <v>0</v>
      </c>
      <c r="I237">
        <v>-187</v>
      </c>
      <c r="J237">
        <v>-1836</v>
      </c>
      <c r="L237" s="1">
        <v>41455</v>
      </c>
      <c r="N237" t="s">
        <v>36</v>
      </c>
      <c r="O237" t="s">
        <v>37</v>
      </c>
      <c r="P237" t="s">
        <v>405</v>
      </c>
      <c r="Q237" t="s">
        <v>39</v>
      </c>
      <c r="R237" t="s">
        <v>40</v>
      </c>
      <c r="S237">
        <v>0</v>
      </c>
      <c r="U237" t="s">
        <v>41</v>
      </c>
      <c r="V237" t="s">
        <v>42</v>
      </c>
      <c r="X237" t="s">
        <v>43</v>
      </c>
      <c r="Y237" t="b">
        <v>0</v>
      </c>
      <c r="Z237" t="b">
        <v>0</v>
      </c>
      <c r="AC237" s="1"/>
      <c r="AF237">
        <v>0</v>
      </c>
      <c r="AG237">
        <v>45</v>
      </c>
      <c r="AH237">
        <v>-142</v>
      </c>
      <c r="AI237" s="2">
        <f>Table__192.168.3.138DYLAgingReport[[#This Row],[NetAmount]]-Table__192.168.3.138DYLAgingReport[[#This Row],[Paid]]</f>
        <v>-1836</v>
      </c>
    </row>
    <row r="238" spans="1:35">
      <c r="A238" t="s">
        <v>743</v>
      </c>
      <c r="B238" s="1">
        <v>41113</v>
      </c>
      <c r="C238" s="1">
        <v>41158</v>
      </c>
      <c r="D238" t="s">
        <v>270</v>
      </c>
      <c r="E238">
        <v>-2420</v>
      </c>
      <c r="F238">
        <v>-387</v>
      </c>
      <c r="G238">
        <v>0</v>
      </c>
      <c r="H238">
        <v>0</v>
      </c>
      <c r="I238">
        <v>187</v>
      </c>
      <c r="J238">
        <v>-2807</v>
      </c>
      <c r="L238" s="1">
        <v>41096</v>
      </c>
      <c r="N238" t="s">
        <v>36</v>
      </c>
      <c r="O238" t="s">
        <v>37</v>
      </c>
      <c r="P238" t="s">
        <v>407</v>
      </c>
      <c r="Q238" t="s">
        <v>39</v>
      </c>
      <c r="R238" t="s">
        <v>40</v>
      </c>
      <c r="S238">
        <v>0</v>
      </c>
      <c r="U238" t="s">
        <v>41</v>
      </c>
      <c r="V238" t="s">
        <v>42</v>
      </c>
      <c r="X238" t="s">
        <v>43</v>
      </c>
      <c r="Y238" t="b">
        <v>0</v>
      </c>
      <c r="Z238" t="b">
        <v>0</v>
      </c>
      <c r="AC238" s="1"/>
      <c r="AF238">
        <v>0</v>
      </c>
      <c r="AG238">
        <v>30</v>
      </c>
      <c r="AH238">
        <v>217</v>
      </c>
      <c r="AI238" s="2">
        <f>Table__192.168.3.138DYLAgingReport[[#This Row],[NetAmount]]-Table__192.168.3.138DYLAgingReport[[#This Row],[Paid]]</f>
        <v>-2807</v>
      </c>
    </row>
    <row r="239" spans="1:35">
      <c r="A239" t="s">
        <v>744</v>
      </c>
      <c r="B239" s="1">
        <v>41119</v>
      </c>
      <c r="C239" s="1">
        <v>41164</v>
      </c>
      <c r="D239" t="s">
        <v>288</v>
      </c>
      <c r="E239">
        <v>-56</v>
      </c>
      <c r="F239">
        <v>-9</v>
      </c>
      <c r="G239">
        <v>0</v>
      </c>
      <c r="H239">
        <v>0</v>
      </c>
      <c r="I239">
        <v>149</v>
      </c>
      <c r="J239">
        <v>-65</v>
      </c>
      <c r="L239" s="1">
        <v>41119</v>
      </c>
      <c r="N239" t="s">
        <v>36</v>
      </c>
      <c r="O239" t="s">
        <v>37</v>
      </c>
      <c r="P239" t="s">
        <v>425</v>
      </c>
      <c r="Q239" t="s">
        <v>39</v>
      </c>
      <c r="R239" t="s">
        <v>40</v>
      </c>
      <c r="S239">
        <v>0</v>
      </c>
      <c r="U239" t="s">
        <v>41</v>
      </c>
      <c r="V239" t="s">
        <v>42</v>
      </c>
      <c r="X239" t="s">
        <v>43</v>
      </c>
      <c r="Y239" t="b">
        <v>0</v>
      </c>
      <c r="Z239" t="b">
        <v>0</v>
      </c>
      <c r="AC239" s="1"/>
      <c r="AF239">
        <v>0</v>
      </c>
      <c r="AG239">
        <v>45</v>
      </c>
      <c r="AH239">
        <v>194</v>
      </c>
      <c r="AI239" s="2">
        <f>Table__192.168.3.138DYLAgingReport[[#This Row],[NetAmount]]-Table__192.168.3.138DYLAgingReport[[#This Row],[Paid]]</f>
        <v>-65</v>
      </c>
    </row>
    <row r="240" spans="1:35">
      <c r="A240" t="s">
        <v>745</v>
      </c>
      <c r="B240" s="1">
        <v>41121</v>
      </c>
      <c r="C240" s="1">
        <v>41121</v>
      </c>
      <c r="D240" t="s">
        <v>291</v>
      </c>
      <c r="E240">
        <v>-168530</v>
      </c>
      <c r="F240">
        <v>-26965</v>
      </c>
      <c r="G240">
        <v>0</v>
      </c>
      <c r="H240">
        <v>0</v>
      </c>
      <c r="I240">
        <v>162</v>
      </c>
      <c r="J240">
        <v>-195495</v>
      </c>
      <c r="L240" s="1">
        <v>41106</v>
      </c>
      <c r="N240" t="s">
        <v>36</v>
      </c>
      <c r="O240" t="s">
        <v>37</v>
      </c>
      <c r="P240" t="s">
        <v>428</v>
      </c>
      <c r="Q240" t="s">
        <v>39</v>
      </c>
      <c r="R240" t="s">
        <v>40</v>
      </c>
      <c r="S240">
        <v>0</v>
      </c>
      <c r="U240" t="s">
        <v>41</v>
      </c>
      <c r="V240" t="s">
        <v>42</v>
      </c>
      <c r="X240" t="s">
        <v>43</v>
      </c>
      <c r="Y240" t="b">
        <v>0</v>
      </c>
      <c r="Z240" t="b">
        <v>0</v>
      </c>
      <c r="AC240" s="1"/>
      <c r="AF240">
        <v>0</v>
      </c>
      <c r="AG240">
        <v>45</v>
      </c>
      <c r="AH240">
        <v>207</v>
      </c>
      <c r="AI240" s="2">
        <f>Table__192.168.3.138DYLAgingReport[[#This Row],[NetAmount]]-Table__192.168.3.138DYLAgingReport[[#This Row],[Paid]]</f>
        <v>-195495</v>
      </c>
    </row>
    <row r="241" spans="1:35">
      <c r="A241" t="s">
        <v>746</v>
      </c>
      <c r="B241" s="1">
        <v>41114</v>
      </c>
      <c r="C241" s="1">
        <v>41114</v>
      </c>
      <c r="D241" t="s">
        <v>296</v>
      </c>
      <c r="E241">
        <v>-3594</v>
      </c>
      <c r="F241">
        <v>-575</v>
      </c>
      <c r="G241">
        <v>0</v>
      </c>
      <c r="H241">
        <v>0</v>
      </c>
      <c r="I241">
        <v>172</v>
      </c>
      <c r="J241">
        <v>-4169</v>
      </c>
      <c r="L241" s="1">
        <v>41096</v>
      </c>
      <c r="N241" t="s">
        <v>36</v>
      </c>
      <c r="O241" t="s">
        <v>37</v>
      </c>
      <c r="P241" t="s">
        <v>433</v>
      </c>
      <c r="Q241" t="s">
        <v>39</v>
      </c>
      <c r="R241" t="s">
        <v>40</v>
      </c>
      <c r="S241">
        <v>0</v>
      </c>
      <c r="U241" t="s">
        <v>41</v>
      </c>
      <c r="V241" t="s">
        <v>42</v>
      </c>
      <c r="X241" t="s">
        <v>43</v>
      </c>
      <c r="Y241" t="b">
        <v>0</v>
      </c>
      <c r="Z241" t="b">
        <v>0</v>
      </c>
      <c r="AC241" s="1"/>
      <c r="AF241">
        <v>0</v>
      </c>
      <c r="AG241">
        <v>45</v>
      </c>
      <c r="AH241">
        <v>217</v>
      </c>
      <c r="AI241" s="2">
        <f>Table__192.168.3.138DYLAgingReport[[#This Row],[NetAmount]]-Table__192.168.3.138DYLAgingReport[[#This Row],[Paid]]</f>
        <v>-4169</v>
      </c>
    </row>
    <row r="242" spans="1:35">
      <c r="A242" t="s">
        <v>747</v>
      </c>
      <c r="B242" s="1">
        <v>41115</v>
      </c>
      <c r="C242" s="1">
        <v>41160</v>
      </c>
      <c r="D242" t="s">
        <v>172</v>
      </c>
      <c r="E242">
        <v>-1397</v>
      </c>
      <c r="F242">
        <v>-223</v>
      </c>
      <c r="G242">
        <v>0</v>
      </c>
      <c r="H242">
        <v>0</v>
      </c>
      <c r="I242">
        <v>153</v>
      </c>
      <c r="J242">
        <v>-1620</v>
      </c>
      <c r="L242" s="1">
        <v>41115</v>
      </c>
      <c r="N242" t="s">
        <v>36</v>
      </c>
      <c r="O242" t="s">
        <v>37</v>
      </c>
      <c r="P242" t="s">
        <v>309</v>
      </c>
      <c r="Q242" t="s">
        <v>39</v>
      </c>
      <c r="R242" t="s">
        <v>40</v>
      </c>
      <c r="S242">
        <v>0</v>
      </c>
      <c r="U242" t="s">
        <v>41</v>
      </c>
      <c r="V242" t="s">
        <v>42</v>
      </c>
      <c r="X242" t="s">
        <v>43</v>
      </c>
      <c r="Y242" t="b">
        <v>0</v>
      </c>
      <c r="Z242" t="b">
        <v>0</v>
      </c>
      <c r="AC242" s="1"/>
      <c r="AF242">
        <v>0</v>
      </c>
      <c r="AG242">
        <v>45</v>
      </c>
      <c r="AH242">
        <v>198</v>
      </c>
      <c r="AI242" s="2">
        <f>Table__192.168.3.138DYLAgingReport[[#This Row],[NetAmount]]-Table__192.168.3.138DYLAgingReport[[#This Row],[Paid]]</f>
        <v>-1620</v>
      </c>
    </row>
    <row r="243" spans="1:35">
      <c r="A243" t="s">
        <v>748</v>
      </c>
      <c r="B243" s="1">
        <v>41121</v>
      </c>
      <c r="C243" s="1">
        <v>41166</v>
      </c>
      <c r="D243" t="s">
        <v>187</v>
      </c>
      <c r="E243">
        <v>-642</v>
      </c>
      <c r="F243">
        <v>0</v>
      </c>
      <c r="G243">
        <v>0</v>
      </c>
      <c r="H243">
        <v>0</v>
      </c>
      <c r="I243">
        <v>168</v>
      </c>
      <c r="J243">
        <v>-642</v>
      </c>
      <c r="L243" s="1">
        <v>41100</v>
      </c>
      <c r="N243" t="s">
        <v>36</v>
      </c>
      <c r="O243" t="s">
        <v>37</v>
      </c>
      <c r="P243" t="s">
        <v>324</v>
      </c>
      <c r="Q243" t="s">
        <v>39</v>
      </c>
      <c r="R243" t="s">
        <v>40</v>
      </c>
      <c r="S243">
        <v>0</v>
      </c>
      <c r="U243" t="s">
        <v>41</v>
      </c>
      <c r="V243" t="s">
        <v>42</v>
      </c>
      <c r="X243" t="s">
        <v>43</v>
      </c>
      <c r="Y243" t="b">
        <v>0</v>
      </c>
      <c r="Z243" t="b">
        <v>0</v>
      </c>
      <c r="AC243" s="1"/>
      <c r="AF243">
        <v>0</v>
      </c>
      <c r="AG243">
        <v>45</v>
      </c>
      <c r="AH243">
        <v>213</v>
      </c>
      <c r="AI243" s="2">
        <f>Table__192.168.3.138DYLAgingReport[[#This Row],[NetAmount]]-Table__192.168.3.138DYLAgingReport[[#This Row],[Paid]]</f>
        <v>-642</v>
      </c>
    </row>
    <row r="244" spans="1:35">
      <c r="A244" t="s">
        <v>749</v>
      </c>
      <c r="B244" s="1">
        <v>41113</v>
      </c>
      <c r="C244" s="1">
        <v>41158</v>
      </c>
      <c r="D244" t="s">
        <v>190</v>
      </c>
      <c r="E244">
        <v>-1755</v>
      </c>
      <c r="F244">
        <v>-281</v>
      </c>
      <c r="G244">
        <v>0</v>
      </c>
      <c r="H244">
        <v>0</v>
      </c>
      <c r="I244">
        <v>173</v>
      </c>
      <c r="J244">
        <v>-2036</v>
      </c>
      <c r="L244" s="1">
        <v>41095</v>
      </c>
      <c r="M244" t="s">
        <v>5341</v>
      </c>
      <c r="N244" t="s">
        <v>36</v>
      </c>
      <c r="O244" t="s">
        <v>37</v>
      </c>
      <c r="P244" t="s">
        <v>327</v>
      </c>
      <c r="Q244" t="s">
        <v>39</v>
      </c>
      <c r="R244" t="s">
        <v>40</v>
      </c>
      <c r="S244">
        <v>0</v>
      </c>
      <c r="U244" t="s">
        <v>41</v>
      </c>
      <c r="V244" t="s">
        <v>42</v>
      </c>
      <c r="W244" t="s">
        <v>5337</v>
      </c>
      <c r="X244" t="s">
        <v>43</v>
      </c>
      <c r="Y244" t="b">
        <v>0</v>
      </c>
      <c r="Z244" t="b">
        <v>0</v>
      </c>
      <c r="AA244" t="b">
        <v>0</v>
      </c>
      <c r="AC244" s="1"/>
      <c r="AF244">
        <v>0</v>
      </c>
      <c r="AG244">
        <v>45</v>
      </c>
      <c r="AH244">
        <v>218</v>
      </c>
      <c r="AI244" s="2">
        <f>Table__192.168.3.138DYLAgingReport[[#This Row],[NetAmount]]-Table__192.168.3.138DYLAgingReport[[#This Row],[Paid]]</f>
        <v>-2036</v>
      </c>
    </row>
    <row r="245" spans="1:35">
      <c r="A245" t="s">
        <v>750</v>
      </c>
      <c r="B245" s="1">
        <v>41096</v>
      </c>
      <c r="C245" s="1">
        <v>41141</v>
      </c>
      <c r="D245" t="s">
        <v>201</v>
      </c>
      <c r="E245">
        <v>-56</v>
      </c>
      <c r="F245">
        <v>-9</v>
      </c>
      <c r="G245">
        <v>0</v>
      </c>
      <c r="H245">
        <v>0</v>
      </c>
      <c r="I245">
        <v>172</v>
      </c>
      <c r="J245">
        <v>-65</v>
      </c>
      <c r="L245" s="1">
        <v>41096</v>
      </c>
      <c r="N245" t="s">
        <v>36</v>
      </c>
      <c r="O245" t="s">
        <v>37</v>
      </c>
      <c r="P245" t="s">
        <v>338</v>
      </c>
      <c r="Q245" t="s">
        <v>39</v>
      </c>
      <c r="R245" t="s">
        <v>40</v>
      </c>
      <c r="S245">
        <v>0</v>
      </c>
      <c r="U245" t="s">
        <v>41</v>
      </c>
      <c r="V245" t="s">
        <v>42</v>
      </c>
      <c r="X245" t="s">
        <v>43</v>
      </c>
      <c r="Y245" t="b">
        <v>0</v>
      </c>
      <c r="Z245" t="b">
        <v>0</v>
      </c>
      <c r="AB245" t="s">
        <v>485</v>
      </c>
      <c r="AC245" s="1">
        <v>41236</v>
      </c>
      <c r="AF245">
        <v>0</v>
      </c>
      <c r="AG245">
        <v>45</v>
      </c>
      <c r="AH245">
        <v>217</v>
      </c>
      <c r="AI245" s="2">
        <f>Table__192.168.3.138DYLAgingReport[[#This Row],[NetAmount]]-Table__192.168.3.138DYLAgingReport[[#This Row],[Paid]]</f>
        <v>-65</v>
      </c>
    </row>
    <row r="246" spans="1:35">
      <c r="A246" t="s">
        <v>751</v>
      </c>
      <c r="B246" s="1">
        <v>41107</v>
      </c>
      <c r="C246" s="1">
        <v>41152</v>
      </c>
      <c r="D246" t="s">
        <v>207</v>
      </c>
      <c r="E246">
        <v>-264</v>
      </c>
      <c r="F246">
        <v>-42</v>
      </c>
      <c r="G246">
        <v>0</v>
      </c>
      <c r="H246">
        <v>0</v>
      </c>
      <c r="I246">
        <v>168</v>
      </c>
      <c r="J246">
        <v>-306</v>
      </c>
      <c r="L246" s="1">
        <v>41100</v>
      </c>
      <c r="N246" t="s">
        <v>36</v>
      </c>
      <c r="O246" t="s">
        <v>37</v>
      </c>
      <c r="P246" t="s">
        <v>344</v>
      </c>
      <c r="Q246" t="s">
        <v>39</v>
      </c>
      <c r="R246" t="s">
        <v>40</v>
      </c>
      <c r="S246">
        <v>0</v>
      </c>
      <c r="U246" t="s">
        <v>41</v>
      </c>
      <c r="V246" t="s">
        <v>42</v>
      </c>
      <c r="X246" t="s">
        <v>43</v>
      </c>
      <c r="Y246" t="b">
        <v>0</v>
      </c>
      <c r="Z246" t="b">
        <v>0</v>
      </c>
      <c r="AC246" s="1"/>
      <c r="AF246">
        <v>0</v>
      </c>
      <c r="AG246">
        <v>45</v>
      </c>
      <c r="AH246">
        <v>213</v>
      </c>
      <c r="AI246" s="2">
        <f>Table__192.168.3.138DYLAgingReport[[#This Row],[NetAmount]]-Table__192.168.3.138DYLAgingReport[[#This Row],[Paid]]</f>
        <v>-306</v>
      </c>
    </row>
    <row r="247" spans="1:35">
      <c r="A247" t="s">
        <v>752</v>
      </c>
      <c r="B247" s="1">
        <v>41113</v>
      </c>
      <c r="C247" s="1">
        <v>41158</v>
      </c>
      <c r="D247" t="s">
        <v>220</v>
      </c>
      <c r="E247">
        <v>-943</v>
      </c>
      <c r="F247">
        <v>-151</v>
      </c>
      <c r="G247">
        <v>0</v>
      </c>
      <c r="H247">
        <v>0</v>
      </c>
      <c r="I247">
        <v>173</v>
      </c>
      <c r="J247">
        <v>-1094</v>
      </c>
      <c r="L247" s="1">
        <v>41095</v>
      </c>
      <c r="N247" t="s">
        <v>36</v>
      </c>
      <c r="O247" t="s">
        <v>37</v>
      </c>
      <c r="P247" t="s">
        <v>357</v>
      </c>
      <c r="Q247" t="s">
        <v>39</v>
      </c>
      <c r="R247" t="s">
        <v>40</v>
      </c>
      <c r="S247">
        <v>0</v>
      </c>
      <c r="U247" t="s">
        <v>41</v>
      </c>
      <c r="V247" t="s">
        <v>42</v>
      </c>
      <c r="X247" t="s">
        <v>43</v>
      </c>
      <c r="Y247" t="b">
        <v>0</v>
      </c>
      <c r="Z247" t="b">
        <v>0</v>
      </c>
      <c r="AC247" s="1"/>
      <c r="AF247">
        <v>0</v>
      </c>
      <c r="AG247">
        <v>45</v>
      </c>
      <c r="AH247">
        <v>218</v>
      </c>
      <c r="AI247" s="2">
        <f>Table__192.168.3.138DYLAgingReport[[#This Row],[NetAmount]]-Table__192.168.3.138DYLAgingReport[[#This Row],[Paid]]</f>
        <v>-1094</v>
      </c>
    </row>
    <row r="248" spans="1:35">
      <c r="A248" t="s">
        <v>753</v>
      </c>
      <c r="B248" s="1">
        <v>41107</v>
      </c>
      <c r="C248" s="1">
        <v>41152</v>
      </c>
      <c r="D248" t="s">
        <v>232</v>
      </c>
      <c r="E248">
        <v>-3490</v>
      </c>
      <c r="F248">
        <v>-558</v>
      </c>
      <c r="G248">
        <v>0</v>
      </c>
      <c r="H248">
        <v>0</v>
      </c>
      <c r="I248">
        <v>-187</v>
      </c>
      <c r="J248">
        <v>-4048</v>
      </c>
      <c r="L248" s="1">
        <v>41455</v>
      </c>
      <c r="M248" t="s">
        <v>5342</v>
      </c>
      <c r="N248" t="s">
        <v>36</v>
      </c>
      <c r="O248" t="s">
        <v>37</v>
      </c>
      <c r="P248" t="s">
        <v>369</v>
      </c>
      <c r="Q248" t="s">
        <v>39</v>
      </c>
      <c r="R248" t="s">
        <v>40</v>
      </c>
      <c r="S248">
        <v>0</v>
      </c>
      <c r="U248" t="s">
        <v>41</v>
      </c>
      <c r="V248" t="s">
        <v>42</v>
      </c>
      <c r="W248" t="s">
        <v>5343</v>
      </c>
      <c r="X248" t="s">
        <v>43</v>
      </c>
      <c r="Y248" t="b">
        <v>0</v>
      </c>
      <c r="Z248" t="b">
        <v>0</v>
      </c>
      <c r="AA248" t="b">
        <v>0</v>
      </c>
      <c r="AC248" s="1"/>
      <c r="AF248">
        <v>0</v>
      </c>
      <c r="AG248">
        <v>45</v>
      </c>
      <c r="AH248">
        <v>-142</v>
      </c>
      <c r="AI248" s="2">
        <f>Table__192.168.3.138DYLAgingReport[[#This Row],[NetAmount]]-Table__192.168.3.138DYLAgingReport[[#This Row],[Paid]]</f>
        <v>-4048</v>
      </c>
    </row>
    <row r="249" spans="1:35">
      <c r="A249" t="s">
        <v>754</v>
      </c>
      <c r="B249" s="1">
        <v>41094</v>
      </c>
      <c r="C249" s="1">
        <v>41139</v>
      </c>
      <c r="D249" t="s">
        <v>268</v>
      </c>
      <c r="E249">
        <v>-236</v>
      </c>
      <c r="F249">
        <v>-38</v>
      </c>
      <c r="G249">
        <v>0</v>
      </c>
      <c r="H249">
        <v>0</v>
      </c>
      <c r="I249">
        <v>-187</v>
      </c>
      <c r="J249">
        <v>-274</v>
      </c>
      <c r="L249" s="1">
        <v>41455</v>
      </c>
      <c r="N249" t="s">
        <v>36</v>
      </c>
      <c r="O249" t="s">
        <v>37</v>
      </c>
      <c r="P249" t="s">
        <v>405</v>
      </c>
      <c r="Q249" t="s">
        <v>39</v>
      </c>
      <c r="R249" t="s">
        <v>40</v>
      </c>
      <c r="S249">
        <v>0</v>
      </c>
      <c r="U249" t="s">
        <v>41</v>
      </c>
      <c r="V249" t="s">
        <v>42</v>
      </c>
      <c r="X249" t="s">
        <v>43</v>
      </c>
      <c r="Y249" t="b">
        <v>0</v>
      </c>
      <c r="Z249" t="b">
        <v>0</v>
      </c>
      <c r="AC249" s="1"/>
      <c r="AF249">
        <v>0</v>
      </c>
      <c r="AG249">
        <v>45</v>
      </c>
      <c r="AH249">
        <v>-142</v>
      </c>
      <c r="AI249" s="2">
        <f>Table__192.168.3.138DYLAgingReport[[#This Row],[NetAmount]]-Table__192.168.3.138DYLAgingReport[[#This Row],[Paid]]</f>
        <v>-274</v>
      </c>
    </row>
    <row r="250" spans="1:35">
      <c r="A250" t="s">
        <v>755</v>
      </c>
      <c r="B250" s="1">
        <v>41114</v>
      </c>
      <c r="C250" s="1">
        <v>41114</v>
      </c>
      <c r="D250" t="s">
        <v>296</v>
      </c>
      <c r="E250">
        <v>-7291</v>
      </c>
      <c r="F250">
        <v>-1167</v>
      </c>
      <c r="G250">
        <v>0</v>
      </c>
      <c r="H250">
        <v>0</v>
      </c>
      <c r="I250">
        <v>172</v>
      </c>
      <c r="J250">
        <v>-8458</v>
      </c>
      <c r="L250" s="1">
        <v>41096</v>
      </c>
      <c r="N250" t="s">
        <v>36</v>
      </c>
      <c r="O250" t="s">
        <v>37</v>
      </c>
      <c r="P250" t="s">
        <v>433</v>
      </c>
      <c r="Q250" t="s">
        <v>39</v>
      </c>
      <c r="R250" t="s">
        <v>40</v>
      </c>
      <c r="S250">
        <v>0</v>
      </c>
      <c r="U250" t="s">
        <v>41</v>
      </c>
      <c r="V250" t="s">
        <v>42</v>
      </c>
      <c r="X250" t="s">
        <v>43</v>
      </c>
      <c r="Y250" t="b">
        <v>0</v>
      </c>
      <c r="Z250" t="b">
        <v>0</v>
      </c>
      <c r="AC250" s="1"/>
      <c r="AF250">
        <v>0</v>
      </c>
      <c r="AG250">
        <v>45</v>
      </c>
      <c r="AH250">
        <v>217</v>
      </c>
      <c r="AI250" s="2">
        <f>Table__192.168.3.138DYLAgingReport[[#This Row],[NetAmount]]-Table__192.168.3.138DYLAgingReport[[#This Row],[Paid]]</f>
        <v>-8458</v>
      </c>
    </row>
    <row r="251" spans="1:35">
      <c r="A251" t="s">
        <v>756</v>
      </c>
      <c r="B251" s="1">
        <v>41151</v>
      </c>
      <c r="C251" s="1">
        <v>41196</v>
      </c>
      <c r="D251" t="s">
        <v>174</v>
      </c>
      <c r="E251">
        <v>-802</v>
      </c>
      <c r="F251">
        <v>-128</v>
      </c>
      <c r="G251">
        <v>0</v>
      </c>
      <c r="H251">
        <v>0</v>
      </c>
      <c r="I251">
        <v>117</v>
      </c>
      <c r="J251">
        <v>-930</v>
      </c>
      <c r="L251" s="1">
        <v>41151</v>
      </c>
      <c r="N251" t="s">
        <v>36</v>
      </c>
      <c r="O251" t="s">
        <v>37</v>
      </c>
      <c r="P251" t="s">
        <v>311</v>
      </c>
      <c r="Q251" t="s">
        <v>39</v>
      </c>
      <c r="R251" t="s">
        <v>40</v>
      </c>
      <c r="S251">
        <v>0</v>
      </c>
      <c r="U251" t="s">
        <v>41</v>
      </c>
      <c r="V251" t="s">
        <v>42</v>
      </c>
      <c r="X251" t="s">
        <v>43</v>
      </c>
      <c r="Y251" t="b">
        <v>0</v>
      </c>
      <c r="Z251" t="b">
        <v>0</v>
      </c>
      <c r="AC251" s="1"/>
      <c r="AF251">
        <v>0</v>
      </c>
      <c r="AG251">
        <v>45</v>
      </c>
      <c r="AH251">
        <v>162</v>
      </c>
      <c r="AI251" s="2">
        <f>Table__192.168.3.138DYLAgingReport[[#This Row],[NetAmount]]-Table__192.168.3.138DYLAgingReport[[#This Row],[Paid]]</f>
        <v>-930</v>
      </c>
    </row>
    <row r="252" spans="1:35">
      <c r="A252" t="s">
        <v>757</v>
      </c>
      <c r="B252" s="1">
        <v>41135</v>
      </c>
      <c r="C252" s="1">
        <v>41180</v>
      </c>
      <c r="D252" t="s">
        <v>180</v>
      </c>
      <c r="E252">
        <v>-678</v>
      </c>
      <c r="F252">
        <v>-108</v>
      </c>
      <c r="G252">
        <v>0</v>
      </c>
      <c r="H252">
        <v>0</v>
      </c>
      <c r="I252">
        <v>133</v>
      </c>
      <c r="J252">
        <v>-786</v>
      </c>
      <c r="L252" s="1">
        <v>41135</v>
      </c>
      <c r="N252" t="s">
        <v>36</v>
      </c>
      <c r="O252" t="s">
        <v>37</v>
      </c>
      <c r="P252" t="s">
        <v>317</v>
      </c>
      <c r="Q252" t="s">
        <v>39</v>
      </c>
      <c r="R252" t="s">
        <v>40</v>
      </c>
      <c r="S252">
        <v>0</v>
      </c>
      <c r="U252" t="s">
        <v>41</v>
      </c>
      <c r="V252" t="s">
        <v>42</v>
      </c>
      <c r="X252" t="s">
        <v>43</v>
      </c>
      <c r="Y252" t="b">
        <v>0</v>
      </c>
      <c r="Z252" t="b">
        <v>0</v>
      </c>
      <c r="AB252" t="s">
        <v>758</v>
      </c>
      <c r="AC252" s="1">
        <v>41215</v>
      </c>
      <c r="AE252" t="s">
        <v>759</v>
      </c>
      <c r="AF252">
        <v>0</v>
      </c>
      <c r="AG252">
        <v>45</v>
      </c>
      <c r="AH252">
        <v>178</v>
      </c>
      <c r="AI252" s="2">
        <f>Table__192.168.3.138DYLAgingReport[[#This Row],[NetAmount]]-Table__192.168.3.138DYLAgingReport[[#This Row],[Paid]]</f>
        <v>-786</v>
      </c>
    </row>
    <row r="253" spans="1:35">
      <c r="A253" t="s">
        <v>760</v>
      </c>
      <c r="B253" s="1">
        <v>41135</v>
      </c>
      <c r="C253" s="1">
        <v>41180</v>
      </c>
      <c r="D253" t="s">
        <v>183</v>
      </c>
      <c r="E253">
        <v>-608</v>
      </c>
      <c r="F253">
        <v>-97</v>
      </c>
      <c r="G253">
        <v>0</v>
      </c>
      <c r="H253">
        <v>0</v>
      </c>
      <c r="I253">
        <v>133</v>
      </c>
      <c r="J253">
        <v>-705</v>
      </c>
      <c r="L253" s="1">
        <v>41135</v>
      </c>
      <c r="N253" t="s">
        <v>36</v>
      </c>
      <c r="O253" t="s">
        <v>37</v>
      </c>
      <c r="P253" t="s">
        <v>320</v>
      </c>
      <c r="Q253" t="s">
        <v>39</v>
      </c>
      <c r="R253" t="s">
        <v>40</v>
      </c>
      <c r="S253">
        <v>0</v>
      </c>
      <c r="U253" t="s">
        <v>41</v>
      </c>
      <c r="V253" t="s">
        <v>42</v>
      </c>
      <c r="X253" t="s">
        <v>43</v>
      </c>
      <c r="Y253" t="b">
        <v>0</v>
      </c>
      <c r="Z253" t="b">
        <v>0</v>
      </c>
      <c r="AC253" s="1"/>
      <c r="AF253">
        <v>0</v>
      </c>
      <c r="AG253">
        <v>45</v>
      </c>
      <c r="AH253">
        <v>178</v>
      </c>
      <c r="AI253" s="2">
        <f>Table__192.168.3.138DYLAgingReport[[#This Row],[NetAmount]]-Table__192.168.3.138DYLAgingReport[[#This Row],[Paid]]</f>
        <v>-705</v>
      </c>
    </row>
    <row r="254" spans="1:35">
      <c r="A254" t="s">
        <v>761</v>
      </c>
      <c r="B254" s="1">
        <v>41148</v>
      </c>
      <c r="C254" s="1">
        <v>41193</v>
      </c>
      <c r="D254" t="s">
        <v>187</v>
      </c>
      <c r="E254">
        <v>-460</v>
      </c>
      <c r="F254">
        <v>0</v>
      </c>
      <c r="G254">
        <v>0</v>
      </c>
      <c r="H254">
        <v>0</v>
      </c>
      <c r="I254">
        <v>120</v>
      </c>
      <c r="J254">
        <v>-460</v>
      </c>
      <c r="L254" s="1">
        <v>41148</v>
      </c>
      <c r="N254" t="s">
        <v>36</v>
      </c>
      <c r="O254" t="s">
        <v>37</v>
      </c>
      <c r="P254" t="s">
        <v>324</v>
      </c>
      <c r="Q254" t="s">
        <v>39</v>
      </c>
      <c r="R254" t="s">
        <v>40</v>
      </c>
      <c r="S254">
        <v>0</v>
      </c>
      <c r="U254" t="s">
        <v>41</v>
      </c>
      <c r="V254" t="s">
        <v>42</v>
      </c>
      <c r="X254" t="s">
        <v>43</v>
      </c>
      <c r="Y254" t="b">
        <v>0</v>
      </c>
      <c r="Z254" t="b">
        <v>0</v>
      </c>
      <c r="AC254" s="1"/>
      <c r="AF254">
        <v>0</v>
      </c>
      <c r="AG254">
        <v>45</v>
      </c>
      <c r="AH254">
        <v>165</v>
      </c>
      <c r="AI254" s="2">
        <f>Table__192.168.3.138DYLAgingReport[[#This Row],[NetAmount]]-Table__192.168.3.138DYLAgingReport[[#This Row],[Paid]]</f>
        <v>-460</v>
      </c>
    </row>
    <row r="255" spans="1:35">
      <c r="A255" t="s">
        <v>762</v>
      </c>
      <c r="B255" s="1">
        <v>41134</v>
      </c>
      <c r="C255" s="1">
        <v>41179</v>
      </c>
      <c r="D255" t="s">
        <v>190</v>
      </c>
      <c r="E255">
        <v>-2610</v>
      </c>
      <c r="F255">
        <v>-418</v>
      </c>
      <c r="G255">
        <v>0</v>
      </c>
      <c r="H255">
        <v>0</v>
      </c>
      <c r="I255">
        <v>134</v>
      </c>
      <c r="J255">
        <v>-3028</v>
      </c>
      <c r="L255" s="1">
        <v>41134</v>
      </c>
      <c r="M255" t="s">
        <v>5344</v>
      </c>
      <c r="N255" t="s">
        <v>36</v>
      </c>
      <c r="O255" t="s">
        <v>37</v>
      </c>
      <c r="P255" t="s">
        <v>327</v>
      </c>
      <c r="Q255" t="s">
        <v>39</v>
      </c>
      <c r="R255" t="s">
        <v>40</v>
      </c>
      <c r="S255">
        <v>0</v>
      </c>
      <c r="U255" t="s">
        <v>41</v>
      </c>
      <c r="V255" t="s">
        <v>42</v>
      </c>
      <c r="W255" t="s">
        <v>5337</v>
      </c>
      <c r="X255" t="s">
        <v>43</v>
      </c>
      <c r="Y255" t="b">
        <v>0</v>
      </c>
      <c r="Z255" t="b">
        <v>0</v>
      </c>
      <c r="AA255" t="b">
        <v>0</v>
      </c>
      <c r="AC255" s="1"/>
      <c r="AF255">
        <v>0</v>
      </c>
      <c r="AG255">
        <v>45</v>
      </c>
      <c r="AH255">
        <v>179</v>
      </c>
      <c r="AI255" s="2">
        <f>Table__192.168.3.138DYLAgingReport[[#This Row],[NetAmount]]-Table__192.168.3.138DYLAgingReport[[#This Row],[Paid]]</f>
        <v>-3028</v>
      </c>
    </row>
    <row r="256" spans="1:35">
      <c r="A256" t="s">
        <v>763</v>
      </c>
      <c r="B256" s="1">
        <v>41151</v>
      </c>
      <c r="C256" s="1">
        <v>41196</v>
      </c>
      <c r="D256" t="s">
        <v>202</v>
      </c>
      <c r="E256">
        <v>-313</v>
      </c>
      <c r="F256">
        <v>-50</v>
      </c>
      <c r="G256">
        <v>0</v>
      </c>
      <c r="H256">
        <v>0</v>
      </c>
      <c r="I256">
        <v>117</v>
      </c>
      <c r="J256">
        <v>-363</v>
      </c>
      <c r="L256" s="1">
        <v>41151</v>
      </c>
      <c r="N256" t="s">
        <v>36</v>
      </c>
      <c r="O256" t="s">
        <v>37</v>
      </c>
      <c r="P256" t="s">
        <v>339</v>
      </c>
      <c r="Q256" t="s">
        <v>39</v>
      </c>
      <c r="R256" t="s">
        <v>40</v>
      </c>
      <c r="S256">
        <v>0</v>
      </c>
      <c r="U256" t="s">
        <v>41</v>
      </c>
      <c r="V256" t="s">
        <v>42</v>
      </c>
      <c r="X256" t="s">
        <v>43</v>
      </c>
      <c r="Y256" t="b">
        <v>0</v>
      </c>
      <c r="Z256" t="b">
        <v>0</v>
      </c>
      <c r="AC256" s="1"/>
      <c r="AF256">
        <v>0</v>
      </c>
      <c r="AG256">
        <v>45</v>
      </c>
      <c r="AH256">
        <v>162</v>
      </c>
      <c r="AI256" s="2">
        <f>Table__192.168.3.138DYLAgingReport[[#This Row],[NetAmount]]-Table__192.168.3.138DYLAgingReport[[#This Row],[Paid]]</f>
        <v>-363</v>
      </c>
    </row>
    <row r="257" spans="1:35">
      <c r="A257" t="s">
        <v>764</v>
      </c>
      <c r="B257" s="1">
        <v>41135</v>
      </c>
      <c r="C257" s="1">
        <v>41180</v>
      </c>
      <c r="D257" t="s">
        <v>216</v>
      </c>
      <c r="E257">
        <v>-4850</v>
      </c>
      <c r="F257">
        <v>-776</v>
      </c>
      <c r="G257">
        <v>0</v>
      </c>
      <c r="H257">
        <v>0</v>
      </c>
      <c r="I257">
        <v>148</v>
      </c>
      <c r="J257">
        <v>-5626</v>
      </c>
      <c r="L257" s="1">
        <v>41135</v>
      </c>
      <c r="M257" t="s">
        <v>765</v>
      </c>
      <c r="N257" t="s">
        <v>36</v>
      </c>
      <c r="O257" t="s">
        <v>37</v>
      </c>
      <c r="P257" t="s">
        <v>353</v>
      </c>
      <c r="Q257" t="s">
        <v>39</v>
      </c>
      <c r="R257" t="s">
        <v>40</v>
      </c>
      <c r="S257">
        <v>0</v>
      </c>
      <c r="U257" t="s">
        <v>41</v>
      </c>
      <c r="V257" t="s">
        <v>42</v>
      </c>
      <c r="W257" t="s">
        <v>766</v>
      </c>
      <c r="X257" t="s">
        <v>43</v>
      </c>
      <c r="Y257" t="b">
        <v>0</v>
      </c>
      <c r="Z257" t="b">
        <v>0</v>
      </c>
      <c r="AA257" t="b">
        <v>0</v>
      </c>
      <c r="AC257" s="1"/>
      <c r="AF257">
        <v>0</v>
      </c>
      <c r="AG257">
        <v>30</v>
      </c>
      <c r="AH257">
        <v>178</v>
      </c>
      <c r="AI257" s="2">
        <f>Table__192.168.3.138DYLAgingReport[[#This Row],[NetAmount]]-Table__192.168.3.138DYLAgingReport[[#This Row],[Paid]]</f>
        <v>-5626</v>
      </c>
    </row>
    <row r="258" spans="1:35">
      <c r="A258" t="s">
        <v>767</v>
      </c>
      <c r="B258" s="1">
        <v>41135</v>
      </c>
      <c r="C258" s="1">
        <v>41180</v>
      </c>
      <c r="D258" t="s">
        <v>220</v>
      </c>
      <c r="E258">
        <v>-7477</v>
      </c>
      <c r="F258">
        <v>-1196</v>
      </c>
      <c r="G258">
        <v>0</v>
      </c>
      <c r="H258">
        <v>0</v>
      </c>
      <c r="I258">
        <v>145</v>
      </c>
      <c r="J258">
        <v>-8673</v>
      </c>
      <c r="L258" s="1">
        <v>41123</v>
      </c>
      <c r="N258" t="s">
        <v>36</v>
      </c>
      <c r="O258" t="s">
        <v>37</v>
      </c>
      <c r="P258" t="s">
        <v>357</v>
      </c>
      <c r="Q258" t="s">
        <v>39</v>
      </c>
      <c r="R258" t="s">
        <v>40</v>
      </c>
      <c r="S258">
        <v>0</v>
      </c>
      <c r="U258" t="s">
        <v>41</v>
      </c>
      <c r="V258" t="s">
        <v>42</v>
      </c>
      <c r="X258" t="s">
        <v>43</v>
      </c>
      <c r="Y258" t="b">
        <v>0</v>
      </c>
      <c r="Z258" t="b">
        <v>0</v>
      </c>
      <c r="AC258" s="1"/>
      <c r="AF258">
        <v>0</v>
      </c>
      <c r="AG258">
        <v>45</v>
      </c>
      <c r="AH258">
        <v>190</v>
      </c>
      <c r="AI258" s="2">
        <f>Table__192.168.3.138DYLAgingReport[[#This Row],[NetAmount]]-Table__192.168.3.138DYLAgingReport[[#This Row],[Paid]]</f>
        <v>-8673</v>
      </c>
    </row>
    <row r="259" spans="1:35">
      <c r="A259" t="s">
        <v>768</v>
      </c>
      <c r="B259" s="1">
        <v>41134</v>
      </c>
      <c r="C259" s="1">
        <v>41179</v>
      </c>
      <c r="D259" t="s">
        <v>232</v>
      </c>
      <c r="E259">
        <v>-141</v>
      </c>
      <c r="F259">
        <v>-23</v>
      </c>
      <c r="G259">
        <v>0</v>
      </c>
      <c r="H259">
        <v>0</v>
      </c>
      <c r="I259">
        <v>134</v>
      </c>
      <c r="J259">
        <v>-164</v>
      </c>
      <c r="L259" s="1">
        <v>41134</v>
      </c>
      <c r="M259" t="s">
        <v>5345</v>
      </c>
      <c r="N259" t="s">
        <v>36</v>
      </c>
      <c r="O259" t="s">
        <v>37</v>
      </c>
      <c r="P259" t="s">
        <v>369</v>
      </c>
      <c r="Q259" t="s">
        <v>39</v>
      </c>
      <c r="R259" t="s">
        <v>40</v>
      </c>
      <c r="S259">
        <v>0</v>
      </c>
      <c r="U259" t="s">
        <v>41</v>
      </c>
      <c r="V259" t="s">
        <v>42</v>
      </c>
      <c r="W259" t="s">
        <v>5343</v>
      </c>
      <c r="X259" t="s">
        <v>43</v>
      </c>
      <c r="Y259" t="b">
        <v>0</v>
      </c>
      <c r="Z259" t="b">
        <v>0</v>
      </c>
      <c r="AA259" t="b">
        <v>0</v>
      </c>
      <c r="AC259" s="1"/>
      <c r="AF259">
        <v>0</v>
      </c>
      <c r="AG259">
        <v>45</v>
      </c>
      <c r="AH259">
        <v>179</v>
      </c>
      <c r="AI259" s="2">
        <f>Table__192.168.3.138DYLAgingReport[[#This Row],[NetAmount]]-Table__192.168.3.138DYLAgingReport[[#This Row],[Paid]]</f>
        <v>-164</v>
      </c>
    </row>
    <row r="260" spans="1:35">
      <c r="A260" t="s">
        <v>769</v>
      </c>
      <c r="B260" s="1">
        <v>41151</v>
      </c>
      <c r="C260" s="1">
        <v>41196</v>
      </c>
      <c r="D260" t="s">
        <v>268</v>
      </c>
      <c r="E260">
        <v>-488</v>
      </c>
      <c r="F260">
        <v>-78</v>
      </c>
      <c r="G260">
        <v>0</v>
      </c>
      <c r="H260">
        <v>0</v>
      </c>
      <c r="I260">
        <v>117</v>
      </c>
      <c r="J260">
        <v>-566</v>
      </c>
      <c r="L260" s="1">
        <v>41151</v>
      </c>
      <c r="N260" t="s">
        <v>36</v>
      </c>
      <c r="O260" t="s">
        <v>37</v>
      </c>
      <c r="P260" t="s">
        <v>405</v>
      </c>
      <c r="Q260" t="s">
        <v>39</v>
      </c>
      <c r="R260" t="s">
        <v>40</v>
      </c>
      <c r="S260">
        <v>0</v>
      </c>
      <c r="U260" t="s">
        <v>41</v>
      </c>
      <c r="V260" t="s">
        <v>42</v>
      </c>
      <c r="X260" t="s">
        <v>43</v>
      </c>
      <c r="Y260" t="b">
        <v>0</v>
      </c>
      <c r="Z260" t="b">
        <v>0</v>
      </c>
      <c r="AC260" s="1"/>
      <c r="AF260">
        <v>0</v>
      </c>
      <c r="AG260">
        <v>45</v>
      </c>
      <c r="AH260">
        <v>162</v>
      </c>
      <c r="AI260" s="2">
        <f>Table__192.168.3.138DYLAgingReport[[#This Row],[NetAmount]]-Table__192.168.3.138DYLAgingReport[[#This Row],[Paid]]</f>
        <v>-566</v>
      </c>
    </row>
    <row r="261" spans="1:35">
      <c r="A261" t="s">
        <v>770</v>
      </c>
      <c r="B261" s="1">
        <v>41130</v>
      </c>
      <c r="C261" s="1">
        <v>41130</v>
      </c>
      <c r="D261" t="s">
        <v>296</v>
      </c>
      <c r="E261">
        <v>-2815</v>
      </c>
      <c r="F261">
        <v>-450</v>
      </c>
      <c r="G261">
        <v>0</v>
      </c>
      <c r="H261">
        <v>0</v>
      </c>
      <c r="I261">
        <v>141</v>
      </c>
      <c r="J261">
        <v>-3265</v>
      </c>
      <c r="L261" s="1">
        <v>41127</v>
      </c>
      <c r="N261" t="s">
        <v>36</v>
      </c>
      <c r="O261" t="s">
        <v>37</v>
      </c>
      <c r="P261" t="s">
        <v>433</v>
      </c>
      <c r="Q261" t="s">
        <v>39</v>
      </c>
      <c r="R261" t="s">
        <v>40</v>
      </c>
      <c r="S261">
        <v>0</v>
      </c>
      <c r="U261" t="s">
        <v>41</v>
      </c>
      <c r="V261" t="s">
        <v>42</v>
      </c>
      <c r="X261" t="s">
        <v>43</v>
      </c>
      <c r="Y261" t="b">
        <v>0</v>
      </c>
      <c r="Z261" t="b">
        <v>0</v>
      </c>
      <c r="AC261" s="1"/>
      <c r="AF261">
        <v>0</v>
      </c>
      <c r="AG261">
        <v>45</v>
      </c>
      <c r="AH261">
        <v>186</v>
      </c>
      <c r="AI261" s="2">
        <f>Table__192.168.3.138DYLAgingReport[[#This Row],[NetAmount]]-Table__192.168.3.138DYLAgingReport[[#This Row],[Paid]]</f>
        <v>-3265</v>
      </c>
    </row>
    <row r="262" spans="1:35">
      <c r="A262" t="s">
        <v>771</v>
      </c>
      <c r="B262" s="1">
        <v>41151</v>
      </c>
      <c r="C262" s="1">
        <v>41196</v>
      </c>
      <c r="D262" t="s">
        <v>174</v>
      </c>
      <c r="E262">
        <v>-1440</v>
      </c>
      <c r="F262">
        <v>-230</v>
      </c>
      <c r="G262">
        <v>0</v>
      </c>
      <c r="H262">
        <v>0</v>
      </c>
      <c r="I262">
        <v>117</v>
      </c>
      <c r="J262">
        <v>-1670</v>
      </c>
      <c r="L262" s="1">
        <v>41151</v>
      </c>
      <c r="N262" t="s">
        <v>36</v>
      </c>
      <c r="O262" t="s">
        <v>37</v>
      </c>
      <c r="P262" t="s">
        <v>311</v>
      </c>
      <c r="Q262" t="s">
        <v>39</v>
      </c>
      <c r="R262" t="s">
        <v>40</v>
      </c>
      <c r="S262">
        <v>0</v>
      </c>
      <c r="U262" t="s">
        <v>41</v>
      </c>
      <c r="V262" t="s">
        <v>42</v>
      </c>
      <c r="X262" t="s">
        <v>43</v>
      </c>
      <c r="Y262" t="b">
        <v>0</v>
      </c>
      <c r="Z262" t="b">
        <v>0</v>
      </c>
      <c r="AC262" s="1"/>
      <c r="AF262">
        <v>0</v>
      </c>
      <c r="AG262">
        <v>45</v>
      </c>
      <c r="AH262">
        <v>162</v>
      </c>
      <c r="AI262" s="2">
        <f>Table__192.168.3.138DYLAgingReport[[#This Row],[NetAmount]]-Table__192.168.3.138DYLAgingReport[[#This Row],[Paid]]</f>
        <v>-1670</v>
      </c>
    </row>
    <row r="263" spans="1:35">
      <c r="A263" t="s">
        <v>772</v>
      </c>
      <c r="B263" s="1">
        <v>41135</v>
      </c>
      <c r="C263" s="1">
        <v>41180</v>
      </c>
      <c r="D263" t="s">
        <v>177</v>
      </c>
      <c r="E263">
        <v>-1218</v>
      </c>
      <c r="F263">
        <v>-195</v>
      </c>
      <c r="G263">
        <v>0</v>
      </c>
      <c r="H263">
        <v>0</v>
      </c>
      <c r="I263">
        <v>133</v>
      </c>
      <c r="J263">
        <v>-1413</v>
      </c>
      <c r="L263" s="1">
        <v>41135</v>
      </c>
      <c r="N263" t="s">
        <v>36</v>
      </c>
      <c r="O263" t="s">
        <v>37</v>
      </c>
      <c r="P263" t="s">
        <v>314</v>
      </c>
      <c r="Q263" t="s">
        <v>39</v>
      </c>
      <c r="R263" t="s">
        <v>40</v>
      </c>
      <c r="S263">
        <v>0</v>
      </c>
      <c r="U263" t="s">
        <v>41</v>
      </c>
      <c r="V263" t="s">
        <v>42</v>
      </c>
      <c r="X263" t="s">
        <v>43</v>
      </c>
      <c r="Y263" t="b">
        <v>0</v>
      </c>
      <c r="Z263" t="b">
        <v>0</v>
      </c>
      <c r="AC263" s="1"/>
      <c r="AF263">
        <v>0</v>
      </c>
      <c r="AG263">
        <v>45</v>
      </c>
      <c r="AH263">
        <v>178</v>
      </c>
      <c r="AI263" s="2">
        <f>Table__192.168.3.138DYLAgingReport[[#This Row],[NetAmount]]-Table__192.168.3.138DYLAgingReport[[#This Row],[Paid]]</f>
        <v>-1413</v>
      </c>
    </row>
    <row r="264" spans="1:35">
      <c r="A264" t="s">
        <v>773</v>
      </c>
      <c r="B264" s="1">
        <v>41135</v>
      </c>
      <c r="C264" s="1">
        <v>41180</v>
      </c>
      <c r="D264" t="s">
        <v>180</v>
      </c>
      <c r="E264">
        <v>-2018</v>
      </c>
      <c r="F264">
        <v>-323</v>
      </c>
      <c r="G264">
        <v>0</v>
      </c>
      <c r="H264">
        <v>0</v>
      </c>
      <c r="I264">
        <v>133</v>
      </c>
      <c r="J264">
        <v>-2341</v>
      </c>
      <c r="L264" s="1">
        <v>41135</v>
      </c>
      <c r="N264" t="s">
        <v>36</v>
      </c>
      <c r="O264" t="s">
        <v>37</v>
      </c>
      <c r="P264" t="s">
        <v>317</v>
      </c>
      <c r="Q264" t="s">
        <v>39</v>
      </c>
      <c r="R264" t="s">
        <v>40</v>
      </c>
      <c r="S264">
        <v>0</v>
      </c>
      <c r="U264" t="s">
        <v>41</v>
      </c>
      <c r="V264" t="s">
        <v>42</v>
      </c>
      <c r="X264" t="s">
        <v>43</v>
      </c>
      <c r="Y264" t="b">
        <v>0</v>
      </c>
      <c r="Z264" t="b">
        <v>0</v>
      </c>
      <c r="AB264" t="s">
        <v>758</v>
      </c>
      <c r="AC264" s="1">
        <v>41215</v>
      </c>
      <c r="AE264" t="s">
        <v>759</v>
      </c>
      <c r="AF264">
        <v>0</v>
      </c>
      <c r="AG264">
        <v>45</v>
      </c>
      <c r="AH264">
        <v>178</v>
      </c>
      <c r="AI264" s="2">
        <f>Table__192.168.3.138DYLAgingReport[[#This Row],[NetAmount]]-Table__192.168.3.138DYLAgingReport[[#This Row],[Paid]]</f>
        <v>-2341</v>
      </c>
    </row>
    <row r="265" spans="1:35">
      <c r="A265" t="s">
        <v>774</v>
      </c>
      <c r="B265" s="1">
        <v>41135</v>
      </c>
      <c r="C265" s="1">
        <v>41180</v>
      </c>
      <c r="D265" t="s">
        <v>183</v>
      </c>
      <c r="E265">
        <v>-2242</v>
      </c>
      <c r="F265">
        <v>-359</v>
      </c>
      <c r="G265">
        <v>0</v>
      </c>
      <c r="H265">
        <v>0</v>
      </c>
      <c r="I265">
        <v>133</v>
      </c>
      <c r="J265">
        <v>-2601</v>
      </c>
      <c r="L265" s="1">
        <v>41135</v>
      </c>
      <c r="N265" t="s">
        <v>36</v>
      </c>
      <c r="O265" t="s">
        <v>37</v>
      </c>
      <c r="P265" t="s">
        <v>320</v>
      </c>
      <c r="Q265" t="s">
        <v>39</v>
      </c>
      <c r="R265" t="s">
        <v>40</v>
      </c>
      <c r="S265">
        <v>0</v>
      </c>
      <c r="U265" t="s">
        <v>41</v>
      </c>
      <c r="V265" t="s">
        <v>42</v>
      </c>
      <c r="X265" t="s">
        <v>43</v>
      </c>
      <c r="Y265" t="b">
        <v>0</v>
      </c>
      <c r="Z265" t="b">
        <v>0</v>
      </c>
      <c r="AC265" s="1"/>
      <c r="AF265">
        <v>0</v>
      </c>
      <c r="AG265">
        <v>45</v>
      </c>
      <c r="AH265">
        <v>178</v>
      </c>
      <c r="AI265" s="2">
        <f>Table__192.168.3.138DYLAgingReport[[#This Row],[NetAmount]]-Table__192.168.3.138DYLAgingReport[[#This Row],[Paid]]</f>
        <v>-2601</v>
      </c>
    </row>
    <row r="266" spans="1:35">
      <c r="A266" t="s">
        <v>59</v>
      </c>
      <c r="B266" s="1">
        <v>41130</v>
      </c>
      <c r="C266" s="1">
        <v>41175</v>
      </c>
      <c r="D266" t="s">
        <v>35</v>
      </c>
      <c r="E266">
        <v>-3100</v>
      </c>
      <c r="F266">
        <v>-496</v>
      </c>
      <c r="G266">
        <v>0</v>
      </c>
      <c r="H266">
        <v>0</v>
      </c>
      <c r="I266">
        <v>138</v>
      </c>
      <c r="J266">
        <v>-3596</v>
      </c>
      <c r="L266" s="1">
        <v>41130</v>
      </c>
      <c r="N266" t="s">
        <v>36</v>
      </c>
      <c r="O266" t="s">
        <v>37</v>
      </c>
      <c r="P266" t="s">
        <v>38</v>
      </c>
      <c r="Q266" t="s">
        <v>39</v>
      </c>
      <c r="R266" t="s">
        <v>40</v>
      </c>
      <c r="S266">
        <v>0</v>
      </c>
      <c r="U266" t="s">
        <v>41</v>
      </c>
      <c r="V266" t="s">
        <v>42</v>
      </c>
      <c r="X266" t="s">
        <v>43</v>
      </c>
      <c r="Y266" t="b">
        <v>0</v>
      </c>
      <c r="Z266" t="b">
        <v>0</v>
      </c>
      <c r="AC266" s="1"/>
      <c r="AF266">
        <v>0</v>
      </c>
      <c r="AG266">
        <v>45</v>
      </c>
      <c r="AH266">
        <v>183</v>
      </c>
      <c r="AI266" s="2">
        <f>Table__192.168.3.138DYLAgingReport[[#This Row],[NetAmount]]-Table__192.168.3.138DYLAgingReport[[#This Row],[Paid]]</f>
        <v>-3596</v>
      </c>
    </row>
    <row r="267" spans="1:35">
      <c r="A267" t="s">
        <v>775</v>
      </c>
      <c r="B267" s="1">
        <v>41152</v>
      </c>
      <c r="C267" s="1">
        <v>41197</v>
      </c>
      <c r="D267" t="s">
        <v>193</v>
      </c>
      <c r="E267">
        <v>-5535</v>
      </c>
      <c r="F267">
        <v>-886</v>
      </c>
      <c r="G267">
        <v>0</v>
      </c>
      <c r="H267">
        <v>0</v>
      </c>
      <c r="I267">
        <v>116</v>
      </c>
      <c r="J267">
        <v>-6421</v>
      </c>
      <c r="L267" s="1">
        <v>41152</v>
      </c>
      <c r="N267" t="s">
        <v>36</v>
      </c>
      <c r="O267" t="s">
        <v>37</v>
      </c>
      <c r="P267" t="s">
        <v>330</v>
      </c>
      <c r="Q267" t="s">
        <v>39</v>
      </c>
      <c r="R267" t="s">
        <v>40</v>
      </c>
      <c r="S267">
        <v>0</v>
      </c>
      <c r="U267" t="s">
        <v>41</v>
      </c>
      <c r="V267" t="s">
        <v>42</v>
      </c>
      <c r="X267" t="s">
        <v>43</v>
      </c>
      <c r="Y267" t="b">
        <v>0</v>
      </c>
      <c r="Z267" t="b">
        <v>0</v>
      </c>
      <c r="AC267" s="1"/>
      <c r="AF267">
        <v>0</v>
      </c>
      <c r="AG267">
        <v>45</v>
      </c>
      <c r="AH267">
        <v>161</v>
      </c>
      <c r="AI267" s="2">
        <f>Table__192.168.3.138DYLAgingReport[[#This Row],[NetAmount]]-Table__192.168.3.138DYLAgingReport[[#This Row],[Paid]]</f>
        <v>-6421</v>
      </c>
    </row>
    <row r="268" spans="1:35">
      <c r="A268" t="s">
        <v>776</v>
      </c>
      <c r="B268" s="1">
        <v>41123</v>
      </c>
      <c r="C268" s="1">
        <v>41168</v>
      </c>
      <c r="D268" t="s">
        <v>206</v>
      </c>
      <c r="E268">
        <v>-3910</v>
      </c>
      <c r="F268">
        <v>-626</v>
      </c>
      <c r="G268">
        <v>0</v>
      </c>
      <c r="H268">
        <v>0</v>
      </c>
      <c r="I268">
        <v>145</v>
      </c>
      <c r="J268">
        <v>-4536</v>
      </c>
      <c r="L268" s="1">
        <v>41123</v>
      </c>
      <c r="N268" t="s">
        <v>36</v>
      </c>
      <c r="O268" t="s">
        <v>37</v>
      </c>
      <c r="P268" t="s">
        <v>343</v>
      </c>
      <c r="Q268" t="s">
        <v>39</v>
      </c>
      <c r="R268" t="s">
        <v>40</v>
      </c>
      <c r="S268">
        <v>0</v>
      </c>
      <c r="U268" t="s">
        <v>41</v>
      </c>
      <c r="V268" t="s">
        <v>42</v>
      </c>
      <c r="X268" t="s">
        <v>43</v>
      </c>
      <c r="Y268" t="b">
        <v>0</v>
      </c>
      <c r="Z268" t="b">
        <v>0</v>
      </c>
      <c r="AC268" s="1"/>
      <c r="AF268">
        <v>0</v>
      </c>
      <c r="AG268">
        <v>45</v>
      </c>
      <c r="AH268">
        <v>190</v>
      </c>
      <c r="AI268" s="2">
        <f>Table__192.168.3.138DYLAgingReport[[#This Row],[NetAmount]]-Table__192.168.3.138DYLAgingReport[[#This Row],[Paid]]</f>
        <v>-4536</v>
      </c>
    </row>
    <row r="269" spans="1:35">
      <c r="A269" t="s">
        <v>777</v>
      </c>
      <c r="B269" s="1">
        <v>41123</v>
      </c>
      <c r="C269" s="1">
        <v>41168</v>
      </c>
      <c r="D269" t="s">
        <v>208</v>
      </c>
      <c r="E269">
        <v>-1143</v>
      </c>
      <c r="F269">
        <v>-183</v>
      </c>
      <c r="G269">
        <v>0</v>
      </c>
      <c r="H269">
        <v>0</v>
      </c>
      <c r="I269">
        <v>145</v>
      </c>
      <c r="J269">
        <v>-1326</v>
      </c>
      <c r="L269" s="1">
        <v>41123</v>
      </c>
      <c r="N269" t="s">
        <v>36</v>
      </c>
      <c r="O269" t="s">
        <v>37</v>
      </c>
      <c r="P269" t="s">
        <v>345</v>
      </c>
      <c r="Q269" t="s">
        <v>39</v>
      </c>
      <c r="R269" t="s">
        <v>40</v>
      </c>
      <c r="S269">
        <v>0</v>
      </c>
      <c r="U269" t="s">
        <v>41</v>
      </c>
      <c r="V269" t="s">
        <v>42</v>
      </c>
      <c r="X269" t="s">
        <v>43</v>
      </c>
      <c r="Y269" t="b">
        <v>0</v>
      </c>
      <c r="Z269" t="b">
        <v>0</v>
      </c>
      <c r="AC269" s="1"/>
      <c r="AF269">
        <v>0</v>
      </c>
      <c r="AG269">
        <v>45</v>
      </c>
      <c r="AH269">
        <v>190</v>
      </c>
      <c r="AI269" s="2">
        <f>Table__192.168.3.138DYLAgingReport[[#This Row],[NetAmount]]-Table__192.168.3.138DYLAgingReport[[#This Row],[Paid]]</f>
        <v>-1326</v>
      </c>
    </row>
    <row r="270" spans="1:35">
      <c r="A270" t="s">
        <v>778</v>
      </c>
      <c r="B270" s="1">
        <v>41152</v>
      </c>
      <c r="C270" s="1">
        <v>41197</v>
      </c>
      <c r="D270" t="s">
        <v>569</v>
      </c>
      <c r="E270">
        <v>-170</v>
      </c>
      <c r="F270">
        <v>-27</v>
      </c>
      <c r="G270">
        <v>0</v>
      </c>
      <c r="H270">
        <v>0</v>
      </c>
      <c r="I270">
        <v>117</v>
      </c>
      <c r="J270">
        <v>-197</v>
      </c>
      <c r="L270" s="1">
        <v>41151</v>
      </c>
      <c r="N270" t="s">
        <v>36</v>
      </c>
      <c r="O270" t="s">
        <v>37</v>
      </c>
      <c r="P270" t="s">
        <v>433</v>
      </c>
      <c r="Q270" t="s">
        <v>39</v>
      </c>
      <c r="R270" t="s">
        <v>40</v>
      </c>
      <c r="S270">
        <v>0</v>
      </c>
      <c r="U270" t="s">
        <v>41</v>
      </c>
      <c r="V270" t="s">
        <v>42</v>
      </c>
      <c r="X270" t="s">
        <v>43</v>
      </c>
      <c r="Y270" t="b">
        <v>0</v>
      </c>
      <c r="Z270" t="b">
        <v>0</v>
      </c>
      <c r="AC270" s="1"/>
      <c r="AF270">
        <v>0</v>
      </c>
      <c r="AG270">
        <v>45</v>
      </c>
      <c r="AH270">
        <v>162</v>
      </c>
      <c r="AI270" s="2">
        <f>Table__192.168.3.138DYLAgingReport[[#This Row],[NetAmount]]-Table__192.168.3.138DYLAgingReport[[#This Row],[Paid]]</f>
        <v>-197</v>
      </c>
    </row>
    <row r="271" spans="1:35">
      <c r="A271" t="s">
        <v>779</v>
      </c>
      <c r="B271" s="1">
        <v>41135</v>
      </c>
      <c r="C271" s="1">
        <v>41180</v>
      </c>
      <c r="D271" t="s">
        <v>220</v>
      </c>
      <c r="E271">
        <v>-3818</v>
      </c>
      <c r="F271">
        <v>-611</v>
      </c>
      <c r="G271">
        <v>0</v>
      </c>
      <c r="H271">
        <v>0</v>
      </c>
      <c r="I271">
        <v>145</v>
      </c>
      <c r="J271">
        <v>-4429</v>
      </c>
      <c r="L271" s="1">
        <v>41123</v>
      </c>
      <c r="N271" t="s">
        <v>36</v>
      </c>
      <c r="O271" t="s">
        <v>37</v>
      </c>
      <c r="P271" t="s">
        <v>357</v>
      </c>
      <c r="Q271" t="s">
        <v>39</v>
      </c>
      <c r="R271" t="s">
        <v>40</v>
      </c>
      <c r="S271">
        <v>0</v>
      </c>
      <c r="U271" t="s">
        <v>41</v>
      </c>
      <c r="V271" t="s">
        <v>42</v>
      </c>
      <c r="X271" t="s">
        <v>43</v>
      </c>
      <c r="Y271" t="b">
        <v>0</v>
      </c>
      <c r="Z271" t="b">
        <v>0</v>
      </c>
      <c r="AC271" s="1"/>
      <c r="AF271">
        <v>0</v>
      </c>
      <c r="AG271">
        <v>45</v>
      </c>
      <c r="AH271">
        <v>190</v>
      </c>
      <c r="AI271" s="2">
        <f>Table__192.168.3.138DYLAgingReport[[#This Row],[NetAmount]]-Table__192.168.3.138DYLAgingReport[[#This Row],[Paid]]</f>
        <v>-4429</v>
      </c>
    </row>
    <row r="272" spans="1:35">
      <c r="A272" t="s">
        <v>780</v>
      </c>
      <c r="B272" s="1">
        <v>41151</v>
      </c>
      <c r="C272" s="1">
        <v>41196</v>
      </c>
      <c r="D272" t="s">
        <v>227</v>
      </c>
      <c r="E272">
        <v>-55230</v>
      </c>
      <c r="F272">
        <v>-8837</v>
      </c>
      <c r="G272">
        <v>0</v>
      </c>
      <c r="H272">
        <v>0</v>
      </c>
      <c r="I272">
        <v>145</v>
      </c>
      <c r="J272">
        <v>-64067</v>
      </c>
      <c r="L272" s="1">
        <v>41123</v>
      </c>
      <c r="N272" t="s">
        <v>36</v>
      </c>
      <c r="O272" t="s">
        <v>37</v>
      </c>
      <c r="P272" t="s">
        <v>364</v>
      </c>
      <c r="Q272" t="s">
        <v>39</v>
      </c>
      <c r="R272" t="s">
        <v>40</v>
      </c>
      <c r="S272">
        <v>0</v>
      </c>
      <c r="U272" t="s">
        <v>41</v>
      </c>
      <c r="V272" t="s">
        <v>42</v>
      </c>
      <c r="X272" t="s">
        <v>43</v>
      </c>
      <c r="Y272" t="b">
        <v>0</v>
      </c>
      <c r="Z272" t="b">
        <v>0</v>
      </c>
      <c r="AC272" s="1"/>
      <c r="AF272">
        <v>0</v>
      </c>
      <c r="AG272">
        <v>45</v>
      </c>
      <c r="AH272">
        <v>190</v>
      </c>
      <c r="AI272" s="2">
        <f>Table__192.168.3.138DYLAgingReport[[#This Row],[NetAmount]]-Table__192.168.3.138DYLAgingReport[[#This Row],[Paid]]</f>
        <v>-64067</v>
      </c>
    </row>
    <row r="273" spans="1:35">
      <c r="A273" t="s">
        <v>781</v>
      </c>
      <c r="B273" s="1">
        <v>41130</v>
      </c>
      <c r="C273" s="1">
        <v>41175</v>
      </c>
      <c r="D273" t="s">
        <v>242</v>
      </c>
      <c r="E273">
        <v>-1706</v>
      </c>
      <c r="F273">
        <v>-273</v>
      </c>
      <c r="G273">
        <v>0</v>
      </c>
      <c r="H273">
        <v>0</v>
      </c>
      <c r="I273">
        <v>138</v>
      </c>
      <c r="J273">
        <v>-1979</v>
      </c>
      <c r="L273" s="1">
        <v>41130</v>
      </c>
      <c r="N273" t="s">
        <v>36</v>
      </c>
      <c r="O273" t="s">
        <v>37</v>
      </c>
      <c r="P273" t="s">
        <v>379</v>
      </c>
      <c r="Q273" t="s">
        <v>39</v>
      </c>
      <c r="R273" t="s">
        <v>40</v>
      </c>
      <c r="S273">
        <v>0</v>
      </c>
      <c r="U273" t="s">
        <v>41</v>
      </c>
      <c r="V273" t="s">
        <v>42</v>
      </c>
      <c r="X273" t="s">
        <v>43</v>
      </c>
      <c r="Y273" t="b">
        <v>0</v>
      </c>
      <c r="Z273" t="b">
        <v>0</v>
      </c>
      <c r="AC273" s="1"/>
      <c r="AF273">
        <v>0</v>
      </c>
      <c r="AG273">
        <v>45</v>
      </c>
      <c r="AH273">
        <v>183</v>
      </c>
      <c r="AI273" s="2">
        <f>Table__192.168.3.138DYLAgingReport[[#This Row],[NetAmount]]-Table__192.168.3.138DYLAgingReport[[#This Row],[Paid]]</f>
        <v>-1979</v>
      </c>
    </row>
    <row r="274" spans="1:35">
      <c r="A274" t="s">
        <v>782</v>
      </c>
      <c r="B274" s="1">
        <v>41134</v>
      </c>
      <c r="C274" s="1">
        <v>41179</v>
      </c>
      <c r="D274" t="s">
        <v>247</v>
      </c>
      <c r="E274">
        <v>-4680</v>
      </c>
      <c r="F274">
        <v>-749</v>
      </c>
      <c r="G274">
        <v>0</v>
      </c>
      <c r="H274">
        <v>0</v>
      </c>
      <c r="I274">
        <v>134</v>
      </c>
      <c r="J274">
        <v>-5429</v>
      </c>
      <c r="L274" s="1">
        <v>41134</v>
      </c>
      <c r="N274" t="s">
        <v>36</v>
      </c>
      <c r="O274" t="s">
        <v>37</v>
      </c>
      <c r="P274" t="s">
        <v>384</v>
      </c>
      <c r="Q274" t="s">
        <v>39</v>
      </c>
      <c r="R274" t="s">
        <v>40</v>
      </c>
      <c r="S274">
        <v>0</v>
      </c>
      <c r="U274" t="s">
        <v>41</v>
      </c>
      <c r="V274" t="s">
        <v>42</v>
      </c>
      <c r="X274" t="s">
        <v>43</v>
      </c>
      <c r="Y274" t="b">
        <v>0</v>
      </c>
      <c r="Z274" t="b">
        <v>0</v>
      </c>
      <c r="AC274" s="1"/>
      <c r="AF274">
        <v>0</v>
      </c>
      <c r="AG274">
        <v>45</v>
      </c>
      <c r="AH274">
        <v>179</v>
      </c>
      <c r="AI274" s="2">
        <f>Table__192.168.3.138DYLAgingReport[[#This Row],[NetAmount]]-Table__192.168.3.138DYLAgingReport[[#This Row],[Paid]]</f>
        <v>-5429</v>
      </c>
    </row>
    <row r="275" spans="1:35">
      <c r="A275" t="s">
        <v>783</v>
      </c>
      <c r="B275" s="1">
        <v>41135</v>
      </c>
      <c r="C275" s="1">
        <v>41180</v>
      </c>
      <c r="D275" t="s">
        <v>250</v>
      </c>
      <c r="E275">
        <v>-1522</v>
      </c>
      <c r="F275">
        <v>-244</v>
      </c>
      <c r="G275">
        <v>0</v>
      </c>
      <c r="H275">
        <v>0</v>
      </c>
      <c r="I275">
        <v>133</v>
      </c>
      <c r="J275">
        <v>-1766</v>
      </c>
      <c r="L275" s="1">
        <v>41135</v>
      </c>
      <c r="N275" t="s">
        <v>36</v>
      </c>
      <c r="O275" t="s">
        <v>37</v>
      </c>
      <c r="P275" t="s">
        <v>387</v>
      </c>
      <c r="Q275" t="s">
        <v>39</v>
      </c>
      <c r="R275" t="s">
        <v>40</v>
      </c>
      <c r="S275">
        <v>0</v>
      </c>
      <c r="U275" t="s">
        <v>41</v>
      </c>
      <c r="V275" t="s">
        <v>42</v>
      </c>
      <c r="X275" t="s">
        <v>43</v>
      </c>
      <c r="Y275" t="b">
        <v>0</v>
      </c>
      <c r="Z275" t="b">
        <v>0</v>
      </c>
      <c r="AB275" t="s">
        <v>784</v>
      </c>
      <c r="AC275" s="1"/>
      <c r="AF275">
        <v>0</v>
      </c>
      <c r="AG275">
        <v>45</v>
      </c>
      <c r="AH275">
        <v>178</v>
      </c>
      <c r="AI275" s="2">
        <f>Table__192.168.3.138DYLAgingReport[[#This Row],[NetAmount]]-Table__192.168.3.138DYLAgingReport[[#This Row],[Paid]]</f>
        <v>-1766</v>
      </c>
    </row>
    <row r="276" spans="1:35">
      <c r="A276" t="s">
        <v>785</v>
      </c>
      <c r="B276" s="1">
        <v>41129</v>
      </c>
      <c r="C276" s="1">
        <v>41174</v>
      </c>
      <c r="D276" t="s">
        <v>251</v>
      </c>
      <c r="E276">
        <v>-5702</v>
      </c>
      <c r="F276">
        <v>-912</v>
      </c>
      <c r="G276">
        <v>0</v>
      </c>
      <c r="H276">
        <v>0</v>
      </c>
      <c r="I276">
        <v>139</v>
      </c>
      <c r="J276">
        <v>-6614</v>
      </c>
      <c r="L276" s="1">
        <v>41129</v>
      </c>
      <c r="N276" t="s">
        <v>36</v>
      </c>
      <c r="O276" t="s">
        <v>37</v>
      </c>
      <c r="P276" t="s">
        <v>388</v>
      </c>
      <c r="Q276" t="s">
        <v>39</v>
      </c>
      <c r="R276" t="s">
        <v>40</v>
      </c>
      <c r="S276">
        <v>0</v>
      </c>
      <c r="U276" t="s">
        <v>41</v>
      </c>
      <c r="V276" t="s">
        <v>42</v>
      </c>
      <c r="X276" t="s">
        <v>43</v>
      </c>
      <c r="Y276" t="b">
        <v>0</v>
      </c>
      <c r="Z276" t="b">
        <v>0</v>
      </c>
      <c r="AB276" t="s">
        <v>786</v>
      </c>
      <c r="AC276" s="1">
        <v>41244</v>
      </c>
      <c r="AE276" t="s">
        <v>616</v>
      </c>
      <c r="AF276">
        <v>0</v>
      </c>
      <c r="AG276">
        <v>45</v>
      </c>
      <c r="AH276">
        <v>184</v>
      </c>
      <c r="AI276" s="2">
        <f>Table__192.168.3.138DYLAgingReport[[#This Row],[NetAmount]]-Table__192.168.3.138DYLAgingReport[[#This Row],[Paid]]</f>
        <v>-6614</v>
      </c>
    </row>
    <row r="277" spans="1:35">
      <c r="A277" t="s">
        <v>787</v>
      </c>
      <c r="B277" s="1">
        <v>41151</v>
      </c>
      <c r="C277" s="1">
        <v>41196</v>
      </c>
      <c r="D277" t="s">
        <v>268</v>
      </c>
      <c r="E277">
        <v>-1173</v>
      </c>
      <c r="F277">
        <v>-188</v>
      </c>
      <c r="G277">
        <v>0</v>
      </c>
      <c r="H277">
        <v>0</v>
      </c>
      <c r="I277">
        <v>117</v>
      </c>
      <c r="J277">
        <v>-1361</v>
      </c>
      <c r="L277" s="1">
        <v>41151</v>
      </c>
      <c r="N277" t="s">
        <v>36</v>
      </c>
      <c r="O277" t="s">
        <v>37</v>
      </c>
      <c r="P277" t="s">
        <v>405</v>
      </c>
      <c r="Q277" t="s">
        <v>39</v>
      </c>
      <c r="R277" t="s">
        <v>40</v>
      </c>
      <c r="S277">
        <v>0</v>
      </c>
      <c r="U277" t="s">
        <v>41</v>
      </c>
      <c r="V277" t="s">
        <v>42</v>
      </c>
      <c r="X277" t="s">
        <v>43</v>
      </c>
      <c r="Y277" t="b">
        <v>0</v>
      </c>
      <c r="Z277" t="b">
        <v>0</v>
      </c>
      <c r="AC277" s="1"/>
      <c r="AF277">
        <v>0</v>
      </c>
      <c r="AG277">
        <v>45</v>
      </c>
      <c r="AH277">
        <v>162</v>
      </c>
      <c r="AI277" s="2">
        <f>Table__192.168.3.138DYLAgingReport[[#This Row],[NetAmount]]-Table__192.168.3.138DYLAgingReport[[#This Row],[Paid]]</f>
        <v>-1361</v>
      </c>
    </row>
    <row r="278" spans="1:35">
      <c r="A278" t="s">
        <v>788</v>
      </c>
      <c r="B278" s="1">
        <v>41134</v>
      </c>
      <c r="C278" s="1">
        <v>41179</v>
      </c>
      <c r="D278" t="s">
        <v>270</v>
      </c>
      <c r="E278">
        <v>-2410</v>
      </c>
      <c r="F278">
        <v>-386</v>
      </c>
      <c r="G278">
        <v>0</v>
      </c>
      <c r="H278">
        <v>0</v>
      </c>
      <c r="I278">
        <v>149</v>
      </c>
      <c r="J278">
        <v>-2796</v>
      </c>
      <c r="L278" s="1">
        <v>41134</v>
      </c>
      <c r="N278" t="s">
        <v>36</v>
      </c>
      <c r="O278" t="s">
        <v>37</v>
      </c>
      <c r="P278" t="s">
        <v>407</v>
      </c>
      <c r="Q278" t="s">
        <v>39</v>
      </c>
      <c r="R278" t="s">
        <v>40</v>
      </c>
      <c r="S278">
        <v>0</v>
      </c>
      <c r="U278" t="s">
        <v>41</v>
      </c>
      <c r="V278" t="s">
        <v>42</v>
      </c>
      <c r="X278" t="s">
        <v>43</v>
      </c>
      <c r="Y278" t="b">
        <v>0</v>
      </c>
      <c r="Z278" t="b">
        <v>0</v>
      </c>
      <c r="AC278" s="1"/>
      <c r="AF278">
        <v>0</v>
      </c>
      <c r="AG278">
        <v>30</v>
      </c>
      <c r="AH278">
        <v>179</v>
      </c>
      <c r="AI278" s="2">
        <f>Table__192.168.3.138DYLAgingReport[[#This Row],[NetAmount]]-Table__192.168.3.138DYLAgingReport[[#This Row],[Paid]]</f>
        <v>-2796</v>
      </c>
    </row>
    <row r="279" spans="1:35">
      <c r="A279" t="s">
        <v>789</v>
      </c>
      <c r="B279" s="1">
        <v>41127</v>
      </c>
      <c r="C279" s="1">
        <v>41172</v>
      </c>
      <c r="D279" t="s">
        <v>288</v>
      </c>
      <c r="E279">
        <v>-1469</v>
      </c>
      <c r="F279">
        <v>-235</v>
      </c>
      <c r="G279">
        <v>0</v>
      </c>
      <c r="H279">
        <v>0</v>
      </c>
      <c r="I279">
        <v>141</v>
      </c>
      <c r="J279">
        <v>-1704</v>
      </c>
      <c r="L279" s="1">
        <v>41127</v>
      </c>
      <c r="N279" t="s">
        <v>36</v>
      </c>
      <c r="O279" t="s">
        <v>37</v>
      </c>
      <c r="P279" t="s">
        <v>425</v>
      </c>
      <c r="Q279" t="s">
        <v>39</v>
      </c>
      <c r="R279" t="s">
        <v>40</v>
      </c>
      <c r="S279">
        <v>0</v>
      </c>
      <c r="U279" t="s">
        <v>41</v>
      </c>
      <c r="V279" t="s">
        <v>42</v>
      </c>
      <c r="X279" t="s">
        <v>43</v>
      </c>
      <c r="Y279" t="b">
        <v>0</v>
      </c>
      <c r="Z279" t="b">
        <v>0</v>
      </c>
      <c r="AC279" s="1"/>
      <c r="AF279">
        <v>0</v>
      </c>
      <c r="AG279">
        <v>45</v>
      </c>
      <c r="AH279">
        <v>186</v>
      </c>
      <c r="AI279" s="2">
        <f>Table__192.168.3.138DYLAgingReport[[#This Row],[NetAmount]]-Table__192.168.3.138DYLAgingReport[[#This Row],[Paid]]</f>
        <v>-1704</v>
      </c>
    </row>
    <row r="280" spans="1:35">
      <c r="A280" t="s">
        <v>790</v>
      </c>
      <c r="B280" s="1">
        <v>41151</v>
      </c>
      <c r="C280" s="1">
        <v>41151</v>
      </c>
      <c r="D280" t="s">
        <v>291</v>
      </c>
      <c r="E280">
        <v>-21645</v>
      </c>
      <c r="F280">
        <v>-3463</v>
      </c>
      <c r="G280">
        <v>0</v>
      </c>
      <c r="H280">
        <v>0</v>
      </c>
      <c r="I280">
        <v>146</v>
      </c>
      <c r="J280">
        <v>-25108</v>
      </c>
      <c r="L280" s="1">
        <v>41122</v>
      </c>
      <c r="M280" t="s">
        <v>791</v>
      </c>
      <c r="N280" t="s">
        <v>36</v>
      </c>
      <c r="O280" t="s">
        <v>37</v>
      </c>
      <c r="P280" t="s">
        <v>428</v>
      </c>
      <c r="Q280" t="s">
        <v>39</v>
      </c>
      <c r="R280" t="s">
        <v>40</v>
      </c>
      <c r="S280">
        <v>0</v>
      </c>
      <c r="U280" t="s">
        <v>41</v>
      </c>
      <c r="V280" t="s">
        <v>42</v>
      </c>
      <c r="W280" t="s">
        <v>792</v>
      </c>
      <c r="X280" t="s">
        <v>43</v>
      </c>
      <c r="Y280" t="b">
        <v>0</v>
      </c>
      <c r="Z280" t="b">
        <v>0</v>
      </c>
      <c r="AA280" t="b">
        <v>0</v>
      </c>
      <c r="AC280" s="1"/>
      <c r="AF280">
        <v>0</v>
      </c>
      <c r="AG280">
        <v>45</v>
      </c>
      <c r="AH280">
        <v>191</v>
      </c>
      <c r="AI280" s="2">
        <f>Table__192.168.3.138DYLAgingReport[[#This Row],[NetAmount]]-Table__192.168.3.138DYLAgingReport[[#This Row],[Paid]]</f>
        <v>-25108</v>
      </c>
    </row>
    <row r="281" spans="1:35">
      <c r="A281" t="s">
        <v>793</v>
      </c>
      <c r="B281" s="1">
        <v>41135</v>
      </c>
      <c r="C281" s="1">
        <v>41135</v>
      </c>
      <c r="D281" t="s">
        <v>296</v>
      </c>
      <c r="E281">
        <v>-18027</v>
      </c>
      <c r="F281">
        <v>-2884</v>
      </c>
      <c r="G281">
        <v>0</v>
      </c>
      <c r="H281">
        <v>0</v>
      </c>
      <c r="I281">
        <v>139</v>
      </c>
      <c r="J281">
        <v>-20911</v>
      </c>
      <c r="L281" s="1">
        <v>41129</v>
      </c>
      <c r="N281" t="s">
        <v>36</v>
      </c>
      <c r="O281" t="s">
        <v>37</v>
      </c>
      <c r="P281" t="s">
        <v>433</v>
      </c>
      <c r="Q281" t="s">
        <v>39</v>
      </c>
      <c r="R281" t="s">
        <v>40</v>
      </c>
      <c r="S281">
        <v>0</v>
      </c>
      <c r="U281" t="s">
        <v>41</v>
      </c>
      <c r="V281" t="s">
        <v>42</v>
      </c>
      <c r="X281" t="s">
        <v>43</v>
      </c>
      <c r="Y281" t="b">
        <v>0</v>
      </c>
      <c r="Z281" t="b">
        <v>0</v>
      </c>
      <c r="AC281" s="1"/>
      <c r="AF281">
        <v>0</v>
      </c>
      <c r="AG281">
        <v>45</v>
      </c>
      <c r="AH281">
        <v>184</v>
      </c>
      <c r="AI281" s="2">
        <f>Table__192.168.3.138DYLAgingReport[[#This Row],[NetAmount]]-Table__192.168.3.138DYLAgingReport[[#This Row],[Paid]]</f>
        <v>-20911</v>
      </c>
    </row>
    <row r="282" spans="1:35">
      <c r="A282" t="s">
        <v>794</v>
      </c>
      <c r="B282" s="1">
        <v>41163</v>
      </c>
      <c r="C282" s="1">
        <v>41208</v>
      </c>
      <c r="D282" t="s">
        <v>174</v>
      </c>
      <c r="E282">
        <v>-1925</v>
      </c>
      <c r="F282">
        <v>-308</v>
      </c>
      <c r="G282">
        <v>0</v>
      </c>
      <c r="H282">
        <v>0</v>
      </c>
      <c r="I282">
        <v>106</v>
      </c>
      <c r="J282">
        <v>-2233</v>
      </c>
      <c r="K282" t="s">
        <v>795</v>
      </c>
      <c r="L282" s="1">
        <v>41162</v>
      </c>
      <c r="N282" t="s">
        <v>36</v>
      </c>
      <c r="O282" t="s">
        <v>37</v>
      </c>
      <c r="P282" t="s">
        <v>311</v>
      </c>
      <c r="Q282" t="s">
        <v>39</v>
      </c>
      <c r="R282" t="s">
        <v>40</v>
      </c>
      <c r="S282">
        <v>0</v>
      </c>
      <c r="U282" t="s">
        <v>41</v>
      </c>
      <c r="V282" t="s">
        <v>42</v>
      </c>
      <c r="X282" t="s">
        <v>43</v>
      </c>
      <c r="Y282" t="b">
        <v>0</v>
      </c>
      <c r="Z282" t="b">
        <v>0</v>
      </c>
      <c r="AC282" s="1"/>
      <c r="AF282">
        <v>0</v>
      </c>
      <c r="AG282">
        <v>45</v>
      </c>
      <c r="AH282">
        <v>151</v>
      </c>
      <c r="AI282" s="2">
        <f>Table__192.168.3.138DYLAgingReport[[#This Row],[NetAmount]]-Table__192.168.3.138DYLAgingReport[[#This Row],[Paid]]</f>
        <v>-2233</v>
      </c>
    </row>
    <row r="283" spans="1:35">
      <c r="A283" t="s">
        <v>796</v>
      </c>
      <c r="B283" s="1">
        <v>41165</v>
      </c>
      <c r="C283" s="1">
        <v>41210</v>
      </c>
      <c r="D283" t="s">
        <v>180</v>
      </c>
      <c r="E283">
        <v>-4970</v>
      </c>
      <c r="F283">
        <v>-795</v>
      </c>
      <c r="G283">
        <v>0</v>
      </c>
      <c r="H283">
        <v>0</v>
      </c>
      <c r="I283">
        <v>113</v>
      </c>
      <c r="J283">
        <v>-5765</v>
      </c>
      <c r="L283" s="1">
        <v>41155</v>
      </c>
      <c r="N283" t="s">
        <v>36</v>
      </c>
      <c r="O283" t="s">
        <v>37</v>
      </c>
      <c r="P283" t="s">
        <v>317</v>
      </c>
      <c r="Q283" t="s">
        <v>39</v>
      </c>
      <c r="R283" t="s">
        <v>40</v>
      </c>
      <c r="S283">
        <v>0</v>
      </c>
      <c r="U283" t="s">
        <v>41</v>
      </c>
      <c r="V283" t="s">
        <v>42</v>
      </c>
      <c r="X283" t="s">
        <v>43</v>
      </c>
      <c r="Y283" t="b">
        <v>0</v>
      </c>
      <c r="Z283" t="b">
        <v>0</v>
      </c>
      <c r="AB283" t="s">
        <v>797</v>
      </c>
      <c r="AC283" s="1">
        <v>41305</v>
      </c>
      <c r="AE283" t="s">
        <v>798</v>
      </c>
      <c r="AF283">
        <v>0</v>
      </c>
      <c r="AG283">
        <v>45</v>
      </c>
      <c r="AH283">
        <v>158</v>
      </c>
      <c r="AI283" s="2">
        <f>Table__192.168.3.138DYLAgingReport[[#This Row],[NetAmount]]-Table__192.168.3.138DYLAgingReport[[#This Row],[Paid]]</f>
        <v>-5765</v>
      </c>
    </row>
    <row r="284" spans="1:35">
      <c r="A284" t="s">
        <v>799</v>
      </c>
      <c r="B284" s="1">
        <v>41178</v>
      </c>
      <c r="C284" s="1">
        <v>41223</v>
      </c>
      <c r="D284" t="s">
        <v>183</v>
      </c>
      <c r="E284">
        <v>-2478</v>
      </c>
      <c r="F284">
        <v>-396</v>
      </c>
      <c r="G284">
        <v>0</v>
      </c>
      <c r="H284">
        <v>0</v>
      </c>
      <c r="I284">
        <v>111</v>
      </c>
      <c r="J284">
        <v>-2874</v>
      </c>
      <c r="L284" s="1">
        <v>41157</v>
      </c>
      <c r="N284" t="s">
        <v>36</v>
      </c>
      <c r="O284" t="s">
        <v>37</v>
      </c>
      <c r="P284" t="s">
        <v>320</v>
      </c>
      <c r="Q284" t="s">
        <v>39</v>
      </c>
      <c r="R284" t="s">
        <v>40</v>
      </c>
      <c r="S284">
        <v>0</v>
      </c>
      <c r="U284" t="s">
        <v>41</v>
      </c>
      <c r="V284" t="s">
        <v>42</v>
      </c>
      <c r="X284" t="s">
        <v>43</v>
      </c>
      <c r="Y284" t="b">
        <v>0</v>
      </c>
      <c r="Z284" t="b">
        <v>0</v>
      </c>
      <c r="AC284" s="1"/>
      <c r="AF284">
        <v>0</v>
      </c>
      <c r="AG284">
        <v>45</v>
      </c>
      <c r="AH284">
        <v>156</v>
      </c>
      <c r="AI284" s="2">
        <f>Table__192.168.3.138DYLAgingReport[[#This Row],[NetAmount]]-Table__192.168.3.138DYLAgingReport[[#This Row],[Paid]]</f>
        <v>-2874</v>
      </c>
    </row>
    <row r="285" spans="1:35">
      <c r="A285" t="s">
        <v>60</v>
      </c>
      <c r="B285" s="1">
        <v>41178</v>
      </c>
      <c r="C285" s="1">
        <v>41223</v>
      </c>
      <c r="D285" t="s">
        <v>35</v>
      </c>
      <c r="E285">
        <v>-23600</v>
      </c>
      <c r="F285">
        <v>-3776</v>
      </c>
      <c r="G285">
        <v>0</v>
      </c>
      <c r="H285">
        <v>0</v>
      </c>
      <c r="I285">
        <v>111</v>
      </c>
      <c r="J285">
        <v>-27376</v>
      </c>
      <c r="L285" s="1">
        <v>41157</v>
      </c>
      <c r="N285" t="s">
        <v>36</v>
      </c>
      <c r="O285" t="s">
        <v>37</v>
      </c>
      <c r="P285" t="s">
        <v>38</v>
      </c>
      <c r="Q285" t="s">
        <v>39</v>
      </c>
      <c r="R285" t="s">
        <v>40</v>
      </c>
      <c r="S285">
        <v>0</v>
      </c>
      <c r="U285" t="s">
        <v>41</v>
      </c>
      <c r="V285" t="s">
        <v>42</v>
      </c>
      <c r="X285" t="s">
        <v>43</v>
      </c>
      <c r="Y285" t="b">
        <v>0</v>
      </c>
      <c r="Z285" t="b">
        <v>0</v>
      </c>
      <c r="AC285" s="1"/>
      <c r="AF285">
        <v>0</v>
      </c>
      <c r="AG285">
        <v>45</v>
      </c>
      <c r="AH285">
        <v>156</v>
      </c>
      <c r="AI285" s="2">
        <f>Table__192.168.3.138DYLAgingReport[[#This Row],[NetAmount]]-Table__192.168.3.138DYLAgingReport[[#This Row],[Paid]]</f>
        <v>-27376</v>
      </c>
    </row>
    <row r="286" spans="1:35">
      <c r="A286" t="s">
        <v>800</v>
      </c>
      <c r="B286" s="1">
        <v>41164</v>
      </c>
      <c r="C286" s="1">
        <v>41209</v>
      </c>
      <c r="D286" t="s">
        <v>187</v>
      </c>
      <c r="E286">
        <v>-680</v>
      </c>
      <c r="F286">
        <v>0</v>
      </c>
      <c r="G286">
        <v>0</v>
      </c>
      <c r="H286">
        <v>0</v>
      </c>
      <c r="I286">
        <v>111</v>
      </c>
      <c r="J286">
        <v>-680</v>
      </c>
      <c r="L286" s="1">
        <v>41157</v>
      </c>
      <c r="N286" t="s">
        <v>36</v>
      </c>
      <c r="O286" t="s">
        <v>37</v>
      </c>
      <c r="P286" t="s">
        <v>324</v>
      </c>
      <c r="Q286" t="s">
        <v>39</v>
      </c>
      <c r="R286" t="s">
        <v>40</v>
      </c>
      <c r="S286">
        <v>0</v>
      </c>
      <c r="U286" t="s">
        <v>41</v>
      </c>
      <c r="V286" t="s">
        <v>42</v>
      </c>
      <c r="X286" t="s">
        <v>43</v>
      </c>
      <c r="Y286" t="b">
        <v>0</v>
      </c>
      <c r="Z286" t="b">
        <v>0</v>
      </c>
      <c r="AC286" s="1"/>
      <c r="AF286">
        <v>0</v>
      </c>
      <c r="AG286">
        <v>45</v>
      </c>
      <c r="AH286">
        <v>156</v>
      </c>
      <c r="AI286" s="2">
        <f>Table__192.168.3.138DYLAgingReport[[#This Row],[NetAmount]]-Table__192.168.3.138DYLAgingReport[[#This Row],[Paid]]</f>
        <v>-680</v>
      </c>
    </row>
    <row r="287" spans="1:35">
      <c r="A287" t="s">
        <v>801</v>
      </c>
      <c r="B287" s="1">
        <v>41165</v>
      </c>
      <c r="C287" s="1">
        <v>41210</v>
      </c>
      <c r="D287" t="s">
        <v>191</v>
      </c>
      <c r="E287">
        <v>-1559</v>
      </c>
      <c r="F287">
        <v>-249</v>
      </c>
      <c r="G287">
        <v>0</v>
      </c>
      <c r="H287">
        <v>0</v>
      </c>
      <c r="I287">
        <v>104</v>
      </c>
      <c r="J287">
        <v>-1808</v>
      </c>
      <c r="K287" t="s">
        <v>802</v>
      </c>
      <c r="L287" s="1">
        <v>41164</v>
      </c>
      <c r="N287" t="s">
        <v>36</v>
      </c>
      <c r="O287" t="s">
        <v>37</v>
      </c>
      <c r="P287" t="s">
        <v>328</v>
      </c>
      <c r="Q287" t="s">
        <v>39</v>
      </c>
      <c r="R287" t="s">
        <v>40</v>
      </c>
      <c r="S287">
        <v>0</v>
      </c>
      <c r="U287" t="s">
        <v>41</v>
      </c>
      <c r="V287" t="s">
        <v>42</v>
      </c>
      <c r="X287" t="s">
        <v>43</v>
      </c>
      <c r="Y287" t="b">
        <v>0</v>
      </c>
      <c r="Z287" t="b">
        <v>0</v>
      </c>
      <c r="AC287" s="1"/>
      <c r="AF287">
        <v>0</v>
      </c>
      <c r="AG287">
        <v>45</v>
      </c>
      <c r="AH287">
        <v>149</v>
      </c>
      <c r="AI287" s="2">
        <f>Table__192.168.3.138DYLAgingReport[[#This Row],[NetAmount]]-Table__192.168.3.138DYLAgingReport[[#This Row],[Paid]]</f>
        <v>-1808</v>
      </c>
    </row>
    <row r="288" spans="1:35">
      <c r="A288" t="s">
        <v>803</v>
      </c>
      <c r="B288" s="1">
        <v>41165</v>
      </c>
      <c r="C288" s="1">
        <v>41210</v>
      </c>
      <c r="D288" t="s">
        <v>201</v>
      </c>
      <c r="E288">
        <v>-143</v>
      </c>
      <c r="F288">
        <v>-23</v>
      </c>
      <c r="G288">
        <v>0</v>
      </c>
      <c r="H288">
        <v>0</v>
      </c>
      <c r="I288">
        <v>103</v>
      </c>
      <c r="J288">
        <v>-166</v>
      </c>
      <c r="K288" t="s">
        <v>804</v>
      </c>
      <c r="L288" s="1">
        <v>41165</v>
      </c>
      <c r="N288" t="s">
        <v>36</v>
      </c>
      <c r="O288" t="s">
        <v>37</v>
      </c>
      <c r="P288" t="s">
        <v>338</v>
      </c>
      <c r="Q288" t="s">
        <v>39</v>
      </c>
      <c r="R288" t="s">
        <v>40</v>
      </c>
      <c r="S288">
        <v>0</v>
      </c>
      <c r="U288" t="s">
        <v>41</v>
      </c>
      <c r="V288" t="s">
        <v>42</v>
      </c>
      <c r="X288" t="s">
        <v>43</v>
      </c>
      <c r="Y288" t="b">
        <v>0</v>
      </c>
      <c r="Z288" t="b">
        <v>0</v>
      </c>
      <c r="AB288" t="s">
        <v>485</v>
      </c>
      <c r="AC288" s="1">
        <v>41236</v>
      </c>
      <c r="AF288">
        <v>0</v>
      </c>
      <c r="AG288">
        <v>45</v>
      </c>
      <c r="AH288">
        <v>148</v>
      </c>
      <c r="AI288" s="2">
        <f>Table__192.168.3.138DYLAgingReport[[#This Row],[NetAmount]]-Table__192.168.3.138DYLAgingReport[[#This Row],[Paid]]</f>
        <v>-166</v>
      </c>
    </row>
    <row r="289" spans="1:35">
      <c r="A289" t="s">
        <v>805</v>
      </c>
      <c r="B289" s="1">
        <v>41178</v>
      </c>
      <c r="C289" s="1">
        <v>41223</v>
      </c>
      <c r="D289" t="s">
        <v>202</v>
      </c>
      <c r="E289">
        <v>-994</v>
      </c>
      <c r="F289">
        <v>-159</v>
      </c>
      <c r="G289">
        <v>0</v>
      </c>
      <c r="H289">
        <v>0</v>
      </c>
      <c r="I289">
        <v>104</v>
      </c>
      <c r="J289">
        <v>-1153</v>
      </c>
      <c r="K289" t="s">
        <v>806</v>
      </c>
      <c r="L289" s="1">
        <v>41164</v>
      </c>
      <c r="N289" t="s">
        <v>36</v>
      </c>
      <c r="O289" t="s">
        <v>37</v>
      </c>
      <c r="P289" t="s">
        <v>339</v>
      </c>
      <c r="Q289" t="s">
        <v>39</v>
      </c>
      <c r="R289" t="s">
        <v>40</v>
      </c>
      <c r="S289">
        <v>0</v>
      </c>
      <c r="U289" t="s">
        <v>41</v>
      </c>
      <c r="V289" t="s">
        <v>42</v>
      </c>
      <c r="X289" t="s">
        <v>43</v>
      </c>
      <c r="Y289" t="b">
        <v>0</v>
      </c>
      <c r="Z289" t="b">
        <v>0</v>
      </c>
      <c r="AC289" s="1"/>
      <c r="AF289">
        <v>0</v>
      </c>
      <c r="AG289">
        <v>45</v>
      </c>
      <c r="AH289">
        <v>149</v>
      </c>
      <c r="AI289" s="2">
        <f>Table__192.168.3.138DYLAgingReport[[#This Row],[NetAmount]]-Table__192.168.3.138DYLAgingReport[[#This Row],[Paid]]</f>
        <v>-1153</v>
      </c>
    </row>
    <row r="290" spans="1:35">
      <c r="A290" t="s">
        <v>807</v>
      </c>
      <c r="B290" s="1">
        <v>41165</v>
      </c>
      <c r="C290" s="1">
        <v>41210</v>
      </c>
      <c r="D290" t="s">
        <v>206</v>
      </c>
      <c r="E290">
        <v>-1870</v>
      </c>
      <c r="F290">
        <v>-299</v>
      </c>
      <c r="G290">
        <v>0</v>
      </c>
      <c r="H290">
        <v>0</v>
      </c>
      <c r="I290">
        <v>113</v>
      </c>
      <c r="J290">
        <v>-2169</v>
      </c>
      <c r="L290" s="1">
        <v>41155</v>
      </c>
      <c r="N290" t="s">
        <v>36</v>
      </c>
      <c r="O290" t="s">
        <v>37</v>
      </c>
      <c r="P290" t="s">
        <v>343</v>
      </c>
      <c r="Q290" t="s">
        <v>39</v>
      </c>
      <c r="R290" t="s">
        <v>40</v>
      </c>
      <c r="S290">
        <v>0</v>
      </c>
      <c r="U290" t="s">
        <v>41</v>
      </c>
      <c r="V290" t="s">
        <v>42</v>
      </c>
      <c r="X290" t="s">
        <v>43</v>
      </c>
      <c r="Y290" t="b">
        <v>0</v>
      </c>
      <c r="Z290" t="b">
        <v>0</v>
      </c>
      <c r="AC290" s="1"/>
      <c r="AF290">
        <v>0</v>
      </c>
      <c r="AG290">
        <v>45</v>
      </c>
      <c r="AH290">
        <v>158</v>
      </c>
      <c r="AI290" s="2">
        <f>Table__192.168.3.138DYLAgingReport[[#This Row],[NetAmount]]-Table__192.168.3.138DYLAgingReport[[#This Row],[Paid]]</f>
        <v>-2169</v>
      </c>
    </row>
    <row r="291" spans="1:35">
      <c r="A291" t="s">
        <v>808</v>
      </c>
      <c r="B291" s="1">
        <v>41177</v>
      </c>
      <c r="C291" s="1">
        <v>41222</v>
      </c>
      <c r="D291" t="s">
        <v>208</v>
      </c>
      <c r="E291">
        <v>-2723</v>
      </c>
      <c r="F291">
        <v>-436</v>
      </c>
      <c r="G291">
        <v>0</v>
      </c>
      <c r="H291">
        <v>0</v>
      </c>
      <c r="I291">
        <v>111</v>
      </c>
      <c r="J291">
        <v>-3159</v>
      </c>
      <c r="L291" s="1">
        <v>41157</v>
      </c>
      <c r="N291" t="s">
        <v>36</v>
      </c>
      <c r="O291" t="s">
        <v>37</v>
      </c>
      <c r="P291" t="s">
        <v>345</v>
      </c>
      <c r="Q291" t="s">
        <v>39</v>
      </c>
      <c r="R291" t="s">
        <v>40</v>
      </c>
      <c r="S291">
        <v>0</v>
      </c>
      <c r="U291" t="s">
        <v>41</v>
      </c>
      <c r="V291" t="s">
        <v>42</v>
      </c>
      <c r="X291" t="s">
        <v>43</v>
      </c>
      <c r="Y291" t="b">
        <v>0</v>
      </c>
      <c r="Z291" t="b">
        <v>0</v>
      </c>
      <c r="AC291" s="1"/>
      <c r="AF291">
        <v>0</v>
      </c>
      <c r="AG291">
        <v>45</v>
      </c>
      <c r="AH291">
        <v>156</v>
      </c>
      <c r="AI291" s="2">
        <f>Table__192.168.3.138DYLAgingReport[[#This Row],[NetAmount]]-Table__192.168.3.138DYLAgingReport[[#This Row],[Paid]]</f>
        <v>-3159</v>
      </c>
    </row>
    <row r="292" spans="1:35">
      <c r="A292" t="s">
        <v>809</v>
      </c>
      <c r="B292" s="1">
        <v>41164</v>
      </c>
      <c r="C292" s="1">
        <v>41209</v>
      </c>
      <c r="D292" t="s">
        <v>220</v>
      </c>
      <c r="E292">
        <v>-3398</v>
      </c>
      <c r="F292">
        <v>-544</v>
      </c>
      <c r="G292">
        <v>0</v>
      </c>
      <c r="H292">
        <v>0</v>
      </c>
      <c r="I292">
        <v>111</v>
      </c>
      <c r="J292">
        <v>-3942</v>
      </c>
      <c r="L292" s="1">
        <v>41157</v>
      </c>
      <c r="N292" t="s">
        <v>36</v>
      </c>
      <c r="O292" t="s">
        <v>37</v>
      </c>
      <c r="P292" t="s">
        <v>357</v>
      </c>
      <c r="Q292" t="s">
        <v>39</v>
      </c>
      <c r="R292" t="s">
        <v>40</v>
      </c>
      <c r="S292">
        <v>0</v>
      </c>
      <c r="U292" t="s">
        <v>41</v>
      </c>
      <c r="V292" t="s">
        <v>42</v>
      </c>
      <c r="X292" t="s">
        <v>43</v>
      </c>
      <c r="Y292" t="b">
        <v>0</v>
      </c>
      <c r="Z292" t="b">
        <v>0</v>
      </c>
      <c r="AC292" s="1"/>
      <c r="AF292">
        <v>0</v>
      </c>
      <c r="AG292">
        <v>45</v>
      </c>
      <c r="AH292">
        <v>156</v>
      </c>
      <c r="AI292" s="2">
        <f>Table__192.168.3.138DYLAgingReport[[#This Row],[NetAmount]]-Table__192.168.3.138DYLAgingReport[[#This Row],[Paid]]</f>
        <v>-3942</v>
      </c>
    </row>
    <row r="293" spans="1:35">
      <c r="A293" t="s">
        <v>810</v>
      </c>
      <c r="B293" s="1">
        <v>41165</v>
      </c>
      <c r="C293" s="1">
        <v>41210</v>
      </c>
      <c r="D293" t="s">
        <v>224</v>
      </c>
      <c r="E293">
        <v>-854</v>
      </c>
      <c r="F293">
        <v>-137</v>
      </c>
      <c r="G293">
        <v>0</v>
      </c>
      <c r="H293">
        <v>0</v>
      </c>
      <c r="I293">
        <v>103</v>
      </c>
      <c r="J293">
        <v>-991</v>
      </c>
      <c r="K293" t="s">
        <v>811</v>
      </c>
      <c r="L293" s="1">
        <v>41165</v>
      </c>
      <c r="N293" t="s">
        <v>36</v>
      </c>
      <c r="O293" t="s">
        <v>37</v>
      </c>
      <c r="P293" t="s">
        <v>361</v>
      </c>
      <c r="Q293" t="s">
        <v>39</v>
      </c>
      <c r="R293" t="s">
        <v>40</v>
      </c>
      <c r="S293">
        <v>0</v>
      </c>
      <c r="U293" t="s">
        <v>41</v>
      </c>
      <c r="V293" t="s">
        <v>42</v>
      </c>
      <c r="X293" t="s">
        <v>43</v>
      </c>
      <c r="Y293" t="b">
        <v>0</v>
      </c>
      <c r="Z293" t="b">
        <v>0</v>
      </c>
      <c r="AC293" s="1"/>
      <c r="AF293">
        <v>0</v>
      </c>
      <c r="AG293">
        <v>45</v>
      </c>
      <c r="AH293">
        <v>148</v>
      </c>
      <c r="AI293" s="2">
        <f>Table__192.168.3.138DYLAgingReport[[#This Row],[NetAmount]]-Table__192.168.3.138DYLAgingReport[[#This Row],[Paid]]</f>
        <v>-991</v>
      </c>
    </row>
    <row r="294" spans="1:35">
      <c r="A294" t="s">
        <v>812</v>
      </c>
      <c r="B294" s="1">
        <v>41165</v>
      </c>
      <c r="C294" s="1">
        <v>41210</v>
      </c>
      <c r="D294" t="s">
        <v>227</v>
      </c>
      <c r="E294">
        <v>-25680</v>
      </c>
      <c r="F294">
        <v>-4109</v>
      </c>
      <c r="G294">
        <v>0</v>
      </c>
      <c r="H294">
        <v>0</v>
      </c>
      <c r="I294">
        <v>105</v>
      </c>
      <c r="J294">
        <v>-29789</v>
      </c>
      <c r="K294" t="s">
        <v>813</v>
      </c>
      <c r="L294" s="1">
        <v>41163</v>
      </c>
      <c r="N294" t="s">
        <v>36</v>
      </c>
      <c r="O294" t="s">
        <v>37</v>
      </c>
      <c r="P294" t="s">
        <v>364</v>
      </c>
      <c r="Q294" t="s">
        <v>39</v>
      </c>
      <c r="R294" t="s">
        <v>40</v>
      </c>
      <c r="S294">
        <v>0</v>
      </c>
      <c r="U294" t="s">
        <v>41</v>
      </c>
      <c r="V294" t="s">
        <v>42</v>
      </c>
      <c r="X294" t="s">
        <v>43</v>
      </c>
      <c r="Y294" t="b">
        <v>0</v>
      </c>
      <c r="Z294" t="b">
        <v>0</v>
      </c>
      <c r="AC294" s="1"/>
      <c r="AF294">
        <v>0</v>
      </c>
      <c r="AG294">
        <v>45</v>
      </c>
      <c r="AH294">
        <v>150</v>
      </c>
      <c r="AI294" s="2">
        <f>Table__192.168.3.138DYLAgingReport[[#This Row],[NetAmount]]-Table__192.168.3.138DYLAgingReport[[#This Row],[Paid]]</f>
        <v>-29789</v>
      </c>
    </row>
    <row r="295" spans="1:35">
      <c r="A295" t="s">
        <v>814</v>
      </c>
      <c r="B295" s="1">
        <v>41164</v>
      </c>
      <c r="C295" s="1">
        <v>41209</v>
      </c>
      <c r="D295" t="s">
        <v>238</v>
      </c>
      <c r="E295">
        <v>-420</v>
      </c>
      <c r="F295">
        <v>-67</v>
      </c>
      <c r="G295">
        <v>0</v>
      </c>
      <c r="H295">
        <v>0</v>
      </c>
      <c r="I295">
        <v>104</v>
      </c>
      <c r="J295">
        <v>-487</v>
      </c>
      <c r="K295" t="s">
        <v>806</v>
      </c>
      <c r="L295" s="1">
        <v>41164</v>
      </c>
      <c r="N295" t="s">
        <v>36</v>
      </c>
      <c r="O295" t="s">
        <v>37</v>
      </c>
      <c r="P295" t="s">
        <v>375</v>
      </c>
      <c r="Q295" t="s">
        <v>39</v>
      </c>
      <c r="R295" t="s">
        <v>40</v>
      </c>
      <c r="S295">
        <v>0</v>
      </c>
      <c r="U295" t="s">
        <v>41</v>
      </c>
      <c r="V295" t="s">
        <v>42</v>
      </c>
      <c r="X295" t="s">
        <v>43</v>
      </c>
      <c r="Y295" t="b">
        <v>0</v>
      </c>
      <c r="Z295" t="b">
        <v>0</v>
      </c>
      <c r="AC295" s="1"/>
      <c r="AF295">
        <v>0</v>
      </c>
      <c r="AG295">
        <v>45</v>
      </c>
      <c r="AH295">
        <v>149</v>
      </c>
      <c r="AI295" s="2">
        <f>Table__192.168.3.138DYLAgingReport[[#This Row],[NetAmount]]-Table__192.168.3.138DYLAgingReport[[#This Row],[Paid]]</f>
        <v>-487</v>
      </c>
    </row>
    <row r="296" spans="1:35">
      <c r="A296" t="s">
        <v>815</v>
      </c>
      <c r="B296" s="1">
        <v>41177</v>
      </c>
      <c r="C296" s="1">
        <v>41222</v>
      </c>
      <c r="D296" t="s">
        <v>242</v>
      </c>
      <c r="E296">
        <v>-5269</v>
      </c>
      <c r="F296">
        <v>-843</v>
      </c>
      <c r="G296">
        <v>0</v>
      </c>
      <c r="H296">
        <v>0</v>
      </c>
      <c r="I296">
        <v>106</v>
      </c>
      <c r="J296">
        <v>-6112</v>
      </c>
      <c r="K296" t="s">
        <v>816</v>
      </c>
      <c r="L296" s="1">
        <v>41162</v>
      </c>
      <c r="N296" t="s">
        <v>36</v>
      </c>
      <c r="O296" t="s">
        <v>37</v>
      </c>
      <c r="P296" t="s">
        <v>379</v>
      </c>
      <c r="Q296" t="s">
        <v>39</v>
      </c>
      <c r="R296" t="s">
        <v>40</v>
      </c>
      <c r="S296">
        <v>0</v>
      </c>
      <c r="U296" t="s">
        <v>41</v>
      </c>
      <c r="V296" t="s">
        <v>42</v>
      </c>
      <c r="X296" t="s">
        <v>43</v>
      </c>
      <c r="Y296" t="b">
        <v>0</v>
      </c>
      <c r="Z296" t="b">
        <v>0</v>
      </c>
      <c r="AC296" s="1"/>
      <c r="AF296">
        <v>0</v>
      </c>
      <c r="AG296">
        <v>45</v>
      </c>
      <c r="AH296">
        <v>151</v>
      </c>
      <c r="AI296" s="2">
        <f>Table__192.168.3.138DYLAgingReport[[#This Row],[NetAmount]]-Table__192.168.3.138DYLAgingReport[[#This Row],[Paid]]</f>
        <v>-6112</v>
      </c>
    </row>
    <row r="297" spans="1:35">
      <c r="A297" t="s">
        <v>817</v>
      </c>
      <c r="B297" s="1">
        <v>41163</v>
      </c>
      <c r="C297" s="1">
        <v>41208</v>
      </c>
      <c r="D297" t="s">
        <v>243</v>
      </c>
      <c r="E297">
        <v>-375</v>
      </c>
      <c r="F297">
        <v>0</v>
      </c>
      <c r="G297">
        <v>0</v>
      </c>
      <c r="H297">
        <v>0</v>
      </c>
      <c r="I297">
        <v>113</v>
      </c>
      <c r="J297">
        <v>-375</v>
      </c>
      <c r="L297" s="1">
        <v>41155</v>
      </c>
      <c r="M297" t="s">
        <v>818</v>
      </c>
      <c r="N297" t="s">
        <v>36</v>
      </c>
      <c r="O297" t="s">
        <v>37</v>
      </c>
      <c r="P297" t="s">
        <v>380</v>
      </c>
      <c r="Q297" t="s">
        <v>39</v>
      </c>
      <c r="R297" t="s">
        <v>40</v>
      </c>
      <c r="S297">
        <v>0</v>
      </c>
      <c r="U297" t="s">
        <v>41</v>
      </c>
      <c r="V297" t="s">
        <v>42</v>
      </c>
      <c r="W297" t="s">
        <v>819</v>
      </c>
      <c r="X297" t="s">
        <v>43</v>
      </c>
      <c r="Y297" t="b">
        <v>0</v>
      </c>
      <c r="Z297" t="b">
        <v>0</v>
      </c>
      <c r="AA297" t="b">
        <v>0</v>
      </c>
      <c r="AC297" s="1"/>
      <c r="AF297">
        <v>0</v>
      </c>
      <c r="AG297">
        <v>45</v>
      </c>
      <c r="AH297">
        <v>158</v>
      </c>
      <c r="AI297" s="2">
        <f>Table__192.168.3.138DYLAgingReport[[#This Row],[NetAmount]]-Table__192.168.3.138DYLAgingReport[[#This Row],[Paid]]</f>
        <v>-375</v>
      </c>
    </row>
    <row r="298" spans="1:35">
      <c r="A298" t="s">
        <v>820</v>
      </c>
      <c r="B298" s="1">
        <v>41155</v>
      </c>
      <c r="C298" s="1">
        <v>41200</v>
      </c>
      <c r="D298" t="s">
        <v>246</v>
      </c>
      <c r="E298">
        <v>-3915</v>
      </c>
      <c r="F298">
        <v>-626</v>
      </c>
      <c r="G298">
        <v>0</v>
      </c>
      <c r="H298">
        <v>0</v>
      </c>
      <c r="I298">
        <v>113</v>
      </c>
      <c r="J298">
        <v>-4541</v>
      </c>
      <c r="L298" s="1">
        <v>41155</v>
      </c>
      <c r="N298" t="s">
        <v>36</v>
      </c>
      <c r="O298" t="s">
        <v>37</v>
      </c>
      <c r="P298" t="s">
        <v>383</v>
      </c>
      <c r="Q298" t="s">
        <v>39</v>
      </c>
      <c r="R298" t="s">
        <v>40</v>
      </c>
      <c r="S298">
        <v>0</v>
      </c>
      <c r="U298" t="s">
        <v>41</v>
      </c>
      <c r="V298" t="s">
        <v>42</v>
      </c>
      <c r="X298" t="s">
        <v>43</v>
      </c>
      <c r="Y298" t="b">
        <v>0</v>
      </c>
      <c r="Z298" t="b">
        <v>0</v>
      </c>
      <c r="AC298" s="1"/>
      <c r="AF298">
        <v>0</v>
      </c>
      <c r="AG298">
        <v>45</v>
      </c>
      <c r="AH298">
        <v>158</v>
      </c>
      <c r="AI298" s="2">
        <f>Table__192.168.3.138DYLAgingReport[[#This Row],[NetAmount]]-Table__192.168.3.138DYLAgingReport[[#This Row],[Paid]]</f>
        <v>-4541</v>
      </c>
    </row>
    <row r="299" spans="1:35">
      <c r="A299" t="s">
        <v>821</v>
      </c>
      <c r="B299" s="1">
        <v>41177</v>
      </c>
      <c r="C299" s="1">
        <v>41222</v>
      </c>
      <c r="D299" t="s">
        <v>254</v>
      </c>
      <c r="E299">
        <v>-10552</v>
      </c>
      <c r="F299">
        <v>-1688</v>
      </c>
      <c r="G299">
        <v>0</v>
      </c>
      <c r="H299">
        <v>0</v>
      </c>
      <c r="I299">
        <v>111</v>
      </c>
      <c r="J299">
        <v>-12240</v>
      </c>
      <c r="L299" s="1">
        <v>41157</v>
      </c>
      <c r="N299" t="s">
        <v>36</v>
      </c>
      <c r="O299" t="s">
        <v>37</v>
      </c>
      <c r="P299" t="s">
        <v>391</v>
      </c>
      <c r="Q299" t="s">
        <v>39</v>
      </c>
      <c r="R299" t="s">
        <v>40</v>
      </c>
      <c r="S299">
        <v>0</v>
      </c>
      <c r="U299" t="s">
        <v>41</v>
      </c>
      <c r="V299" t="s">
        <v>42</v>
      </c>
      <c r="X299" t="s">
        <v>43</v>
      </c>
      <c r="Y299" t="b">
        <v>0</v>
      </c>
      <c r="Z299" t="b">
        <v>0</v>
      </c>
      <c r="AB299" t="s">
        <v>822</v>
      </c>
      <c r="AC299" s="1">
        <v>41247</v>
      </c>
      <c r="AE299" t="s">
        <v>823</v>
      </c>
      <c r="AF299">
        <v>0</v>
      </c>
      <c r="AG299">
        <v>45</v>
      </c>
      <c r="AH299">
        <v>156</v>
      </c>
      <c r="AI299" s="2">
        <f>Table__192.168.3.138DYLAgingReport[[#This Row],[NetAmount]]-Table__192.168.3.138DYLAgingReport[[#This Row],[Paid]]</f>
        <v>-12240</v>
      </c>
    </row>
    <row r="300" spans="1:35">
      <c r="A300" t="s">
        <v>824</v>
      </c>
      <c r="B300" s="1">
        <v>41165</v>
      </c>
      <c r="C300" s="1">
        <v>41210</v>
      </c>
      <c r="D300" t="s">
        <v>258</v>
      </c>
      <c r="E300">
        <v>-1296</v>
      </c>
      <c r="F300">
        <v>-207</v>
      </c>
      <c r="G300">
        <v>0</v>
      </c>
      <c r="H300">
        <v>0</v>
      </c>
      <c r="I300">
        <v>111</v>
      </c>
      <c r="J300">
        <v>-1503</v>
      </c>
      <c r="L300" s="1">
        <v>41157</v>
      </c>
      <c r="M300" t="s">
        <v>10774</v>
      </c>
      <c r="N300" t="s">
        <v>36</v>
      </c>
      <c r="O300" t="s">
        <v>37</v>
      </c>
      <c r="P300" t="s">
        <v>395</v>
      </c>
      <c r="Q300" t="s">
        <v>39</v>
      </c>
      <c r="R300" t="s">
        <v>40</v>
      </c>
      <c r="S300">
        <v>0</v>
      </c>
      <c r="U300" t="s">
        <v>41</v>
      </c>
      <c r="V300" t="s">
        <v>42</v>
      </c>
      <c r="W300" t="s">
        <v>10768</v>
      </c>
      <c r="X300" t="s">
        <v>43</v>
      </c>
      <c r="Y300" t="b">
        <v>0</v>
      </c>
      <c r="Z300" t="b">
        <v>0</v>
      </c>
      <c r="AA300" t="b">
        <v>0</v>
      </c>
      <c r="AC300" s="1"/>
      <c r="AF300">
        <v>0</v>
      </c>
      <c r="AG300">
        <v>45</v>
      </c>
      <c r="AH300">
        <v>156</v>
      </c>
      <c r="AI300" s="2">
        <f>Table__192.168.3.138DYLAgingReport[[#This Row],[NetAmount]]-Table__192.168.3.138DYLAgingReport[[#This Row],[Paid]]</f>
        <v>-1503</v>
      </c>
    </row>
    <row r="301" spans="1:35">
      <c r="A301" t="s">
        <v>825</v>
      </c>
      <c r="B301" s="1">
        <v>41177</v>
      </c>
      <c r="C301" s="1">
        <v>41222</v>
      </c>
      <c r="D301" t="s">
        <v>264</v>
      </c>
      <c r="E301">
        <v>-23800</v>
      </c>
      <c r="F301">
        <v>-3808</v>
      </c>
      <c r="G301">
        <v>0</v>
      </c>
      <c r="H301">
        <v>0</v>
      </c>
      <c r="I301">
        <v>113</v>
      </c>
      <c r="J301">
        <v>-27608</v>
      </c>
      <c r="L301" s="1">
        <v>41155</v>
      </c>
      <c r="N301" t="s">
        <v>36</v>
      </c>
      <c r="O301" t="s">
        <v>37</v>
      </c>
      <c r="P301" t="s">
        <v>401</v>
      </c>
      <c r="Q301" t="s">
        <v>39</v>
      </c>
      <c r="R301" t="s">
        <v>40</v>
      </c>
      <c r="S301">
        <v>0</v>
      </c>
      <c r="U301" t="s">
        <v>41</v>
      </c>
      <c r="V301" t="s">
        <v>42</v>
      </c>
      <c r="X301" t="s">
        <v>43</v>
      </c>
      <c r="Y301" t="b">
        <v>0</v>
      </c>
      <c r="Z301" t="b">
        <v>0</v>
      </c>
      <c r="AB301" t="s">
        <v>826</v>
      </c>
      <c r="AC301" s="1"/>
      <c r="AF301">
        <v>0</v>
      </c>
      <c r="AG301">
        <v>45</v>
      </c>
      <c r="AH301">
        <v>158</v>
      </c>
      <c r="AI301" s="2">
        <f>Table__192.168.3.138DYLAgingReport[[#This Row],[NetAmount]]-Table__192.168.3.138DYLAgingReport[[#This Row],[Paid]]</f>
        <v>-27608</v>
      </c>
    </row>
    <row r="302" spans="1:35">
      <c r="A302" t="s">
        <v>827</v>
      </c>
      <c r="B302" s="1">
        <v>41157.386261574073</v>
      </c>
      <c r="C302" s="1">
        <v>41202.386261574073</v>
      </c>
      <c r="D302" t="s">
        <v>270</v>
      </c>
      <c r="E302">
        <v>-3715</v>
      </c>
      <c r="F302">
        <v>-594</v>
      </c>
      <c r="G302">
        <v>0</v>
      </c>
      <c r="H302">
        <v>0</v>
      </c>
      <c r="I302">
        <v>126</v>
      </c>
      <c r="J302">
        <v>-4309</v>
      </c>
      <c r="L302" s="1">
        <v>41157</v>
      </c>
      <c r="N302" t="s">
        <v>36</v>
      </c>
      <c r="O302" t="s">
        <v>37</v>
      </c>
      <c r="P302" t="s">
        <v>407</v>
      </c>
      <c r="Q302" t="s">
        <v>39</v>
      </c>
      <c r="R302" t="s">
        <v>40</v>
      </c>
      <c r="S302">
        <v>0</v>
      </c>
      <c r="U302" t="s">
        <v>41</v>
      </c>
      <c r="V302" t="s">
        <v>42</v>
      </c>
      <c r="X302" t="s">
        <v>43</v>
      </c>
      <c r="Y302" t="b">
        <v>0</v>
      </c>
      <c r="Z302" t="b">
        <v>0</v>
      </c>
      <c r="AC302" s="1"/>
      <c r="AF302">
        <v>0</v>
      </c>
      <c r="AG302">
        <v>30</v>
      </c>
      <c r="AH302">
        <v>156</v>
      </c>
      <c r="AI302" s="2">
        <f>Table__192.168.3.138DYLAgingReport[[#This Row],[NetAmount]]-Table__192.168.3.138DYLAgingReport[[#This Row],[Paid]]</f>
        <v>-4309</v>
      </c>
    </row>
    <row r="303" spans="1:35">
      <c r="A303" t="s">
        <v>828</v>
      </c>
      <c r="B303" s="1">
        <v>41164</v>
      </c>
      <c r="C303" s="1">
        <v>41209</v>
      </c>
      <c r="D303" t="s">
        <v>286</v>
      </c>
      <c r="E303">
        <v>-929</v>
      </c>
      <c r="F303">
        <v>-149</v>
      </c>
      <c r="G303">
        <v>0</v>
      </c>
      <c r="H303">
        <v>0</v>
      </c>
      <c r="I303">
        <v>104</v>
      </c>
      <c r="J303">
        <v>-1078</v>
      </c>
      <c r="K303" t="s">
        <v>83</v>
      </c>
      <c r="L303" s="1">
        <v>41164</v>
      </c>
      <c r="N303" t="s">
        <v>36</v>
      </c>
      <c r="O303" t="s">
        <v>37</v>
      </c>
      <c r="P303" t="s">
        <v>423</v>
      </c>
      <c r="Q303" t="s">
        <v>39</v>
      </c>
      <c r="R303" t="s">
        <v>40</v>
      </c>
      <c r="S303">
        <v>0</v>
      </c>
      <c r="U303" t="s">
        <v>41</v>
      </c>
      <c r="V303" t="s">
        <v>42</v>
      </c>
      <c r="X303" t="s">
        <v>43</v>
      </c>
      <c r="Y303" t="b">
        <v>0</v>
      </c>
      <c r="Z303" t="b">
        <v>0</v>
      </c>
      <c r="AC303" s="1"/>
      <c r="AF303">
        <v>0</v>
      </c>
      <c r="AG303">
        <v>45</v>
      </c>
      <c r="AH303">
        <v>149</v>
      </c>
      <c r="AI303" s="2">
        <f>Table__192.168.3.138DYLAgingReport[[#This Row],[NetAmount]]-Table__192.168.3.138DYLAgingReport[[#This Row],[Paid]]</f>
        <v>-1078</v>
      </c>
    </row>
    <row r="304" spans="1:35">
      <c r="A304" t="s">
        <v>829</v>
      </c>
      <c r="B304" s="1">
        <v>41164</v>
      </c>
      <c r="C304" s="1">
        <v>41209</v>
      </c>
      <c r="D304" t="s">
        <v>288</v>
      </c>
      <c r="E304">
        <v>-920</v>
      </c>
      <c r="F304">
        <v>-147</v>
      </c>
      <c r="G304">
        <v>0</v>
      </c>
      <c r="H304">
        <v>0</v>
      </c>
      <c r="I304">
        <v>106</v>
      </c>
      <c r="J304">
        <v>-1067</v>
      </c>
      <c r="K304" t="s">
        <v>830</v>
      </c>
      <c r="L304" s="1">
        <v>41162</v>
      </c>
      <c r="N304" t="s">
        <v>36</v>
      </c>
      <c r="O304" t="s">
        <v>37</v>
      </c>
      <c r="P304" t="s">
        <v>425</v>
      </c>
      <c r="Q304" t="s">
        <v>39</v>
      </c>
      <c r="R304" t="s">
        <v>40</v>
      </c>
      <c r="S304">
        <v>0</v>
      </c>
      <c r="U304" t="s">
        <v>41</v>
      </c>
      <c r="V304" t="s">
        <v>42</v>
      </c>
      <c r="X304" t="s">
        <v>43</v>
      </c>
      <c r="Y304" t="b">
        <v>0</v>
      </c>
      <c r="Z304" t="b">
        <v>0</v>
      </c>
      <c r="AC304" s="1"/>
      <c r="AF304">
        <v>0</v>
      </c>
      <c r="AG304">
        <v>45</v>
      </c>
      <c r="AH304">
        <v>151</v>
      </c>
      <c r="AI304" s="2">
        <f>Table__192.168.3.138DYLAgingReport[[#This Row],[NetAmount]]-Table__192.168.3.138DYLAgingReport[[#This Row],[Paid]]</f>
        <v>-1067</v>
      </c>
    </row>
    <row r="305" spans="1:35">
      <c r="A305" t="s">
        <v>831</v>
      </c>
      <c r="B305" s="1">
        <v>41163</v>
      </c>
      <c r="C305" s="1">
        <v>41163</v>
      </c>
      <c r="D305" t="s">
        <v>296</v>
      </c>
      <c r="E305">
        <v>-4032</v>
      </c>
      <c r="F305">
        <v>-645</v>
      </c>
      <c r="G305">
        <v>0</v>
      </c>
      <c r="H305">
        <v>0</v>
      </c>
      <c r="I305">
        <v>113</v>
      </c>
      <c r="J305">
        <v>-4677</v>
      </c>
      <c r="L305" s="1">
        <v>41155</v>
      </c>
      <c r="N305" t="s">
        <v>36</v>
      </c>
      <c r="O305" t="s">
        <v>37</v>
      </c>
      <c r="P305" t="s">
        <v>433</v>
      </c>
      <c r="Q305" t="s">
        <v>39</v>
      </c>
      <c r="R305" t="s">
        <v>40</v>
      </c>
      <c r="S305">
        <v>0</v>
      </c>
      <c r="U305" t="s">
        <v>41</v>
      </c>
      <c r="V305" t="s">
        <v>42</v>
      </c>
      <c r="X305" t="s">
        <v>43</v>
      </c>
      <c r="Y305" t="b">
        <v>0</v>
      </c>
      <c r="Z305" t="b">
        <v>0</v>
      </c>
      <c r="AC305" s="1"/>
      <c r="AF305">
        <v>0</v>
      </c>
      <c r="AG305">
        <v>45</v>
      </c>
      <c r="AH305">
        <v>158</v>
      </c>
      <c r="AI305" s="2">
        <f>Table__192.168.3.138DYLAgingReport[[#This Row],[NetAmount]]-Table__192.168.3.138DYLAgingReport[[#This Row],[Paid]]</f>
        <v>-4677</v>
      </c>
    </row>
    <row r="306" spans="1:35">
      <c r="A306" t="s">
        <v>832</v>
      </c>
      <c r="B306" s="1">
        <v>41165</v>
      </c>
      <c r="C306" s="1">
        <v>41210</v>
      </c>
      <c r="D306" t="s">
        <v>166</v>
      </c>
      <c r="E306">
        <v>-395</v>
      </c>
      <c r="F306">
        <v>-63</v>
      </c>
      <c r="G306">
        <v>0</v>
      </c>
      <c r="H306">
        <v>0</v>
      </c>
      <c r="I306">
        <v>103</v>
      </c>
      <c r="J306">
        <v>-458</v>
      </c>
      <c r="K306" t="s">
        <v>833</v>
      </c>
      <c r="L306" s="1">
        <v>41165</v>
      </c>
      <c r="N306" t="s">
        <v>36</v>
      </c>
      <c r="O306" t="s">
        <v>37</v>
      </c>
      <c r="P306" t="s">
        <v>303</v>
      </c>
      <c r="Q306" t="s">
        <v>39</v>
      </c>
      <c r="R306" t="s">
        <v>40</v>
      </c>
      <c r="S306">
        <v>0</v>
      </c>
      <c r="U306" t="s">
        <v>41</v>
      </c>
      <c r="V306" t="s">
        <v>42</v>
      </c>
      <c r="X306" t="s">
        <v>43</v>
      </c>
      <c r="Y306" t="b">
        <v>0</v>
      </c>
      <c r="Z306" t="b">
        <v>0</v>
      </c>
      <c r="AC306" s="1"/>
      <c r="AF306">
        <v>0</v>
      </c>
      <c r="AG306">
        <v>45</v>
      </c>
      <c r="AH306">
        <v>148</v>
      </c>
      <c r="AI306" s="2">
        <f>Table__192.168.3.138DYLAgingReport[[#This Row],[NetAmount]]-Table__192.168.3.138DYLAgingReport[[#This Row],[Paid]]</f>
        <v>-458</v>
      </c>
    </row>
    <row r="307" spans="1:35">
      <c r="A307" t="s">
        <v>834</v>
      </c>
      <c r="B307" s="1">
        <v>41163</v>
      </c>
      <c r="C307" s="1">
        <v>41208</v>
      </c>
      <c r="D307" t="s">
        <v>174</v>
      </c>
      <c r="E307">
        <v>-160</v>
      </c>
      <c r="F307">
        <v>-26</v>
      </c>
      <c r="G307">
        <v>0</v>
      </c>
      <c r="H307">
        <v>0</v>
      </c>
      <c r="I307">
        <v>105</v>
      </c>
      <c r="J307">
        <v>-186</v>
      </c>
      <c r="K307" t="s">
        <v>835</v>
      </c>
      <c r="L307" s="1">
        <v>41163</v>
      </c>
      <c r="N307" t="s">
        <v>36</v>
      </c>
      <c r="O307" t="s">
        <v>37</v>
      </c>
      <c r="P307" t="s">
        <v>311</v>
      </c>
      <c r="Q307" t="s">
        <v>39</v>
      </c>
      <c r="R307" t="s">
        <v>40</v>
      </c>
      <c r="S307">
        <v>0</v>
      </c>
      <c r="U307" t="s">
        <v>41</v>
      </c>
      <c r="V307" t="s">
        <v>42</v>
      </c>
      <c r="X307" t="s">
        <v>43</v>
      </c>
      <c r="Y307" t="b">
        <v>0</v>
      </c>
      <c r="Z307" t="b">
        <v>0</v>
      </c>
      <c r="AC307" s="1"/>
      <c r="AF307">
        <v>0</v>
      </c>
      <c r="AG307">
        <v>45</v>
      </c>
      <c r="AH307">
        <v>150</v>
      </c>
      <c r="AI307" s="2">
        <f>Table__192.168.3.138DYLAgingReport[[#This Row],[NetAmount]]-Table__192.168.3.138DYLAgingReport[[#This Row],[Paid]]</f>
        <v>-186</v>
      </c>
    </row>
    <row r="308" spans="1:35">
      <c r="A308" t="s">
        <v>836</v>
      </c>
      <c r="B308" s="1">
        <v>41165</v>
      </c>
      <c r="C308" s="1">
        <v>41210</v>
      </c>
      <c r="D308" t="s">
        <v>180</v>
      </c>
      <c r="E308">
        <v>-2136</v>
      </c>
      <c r="F308">
        <v>-342</v>
      </c>
      <c r="G308">
        <v>0</v>
      </c>
      <c r="H308">
        <v>0</v>
      </c>
      <c r="I308">
        <v>113</v>
      </c>
      <c r="J308">
        <v>-2478</v>
      </c>
      <c r="L308" s="1">
        <v>41155</v>
      </c>
      <c r="N308" t="s">
        <v>36</v>
      </c>
      <c r="O308" t="s">
        <v>37</v>
      </c>
      <c r="P308" t="s">
        <v>317</v>
      </c>
      <c r="Q308" t="s">
        <v>39</v>
      </c>
      <c r="R308" t="s">
        <v>40</v>
      </c>
      <c r="S308">
        <v>0</v>
      </c>
      <c r="U308" t="s">
        <v>41</v>
      </c>
      <c r="V308" t="s">
        <v>42</v>
      </c>
      <c r="X308" t="s">
        <v>43</v>
      </c>
      <c r="Y308" t="b">
        <v>0</v>
      </c>
      <c r="Z308" t="b">
        <v>0</v>
      </c>
      <c r="AB308" t="s">
        <v>797</v>
      </c>
      <c r="AC308" s="1">
        <v>41305</v>
      </c>
      <c r="AE308" t="s">
        <v>798</v>
      </c>
      <c r="AF308">
        <v>0</v>
      </c>
      <c r="AG308">
        <v>45</v>
      </c>
      <c r="AH308">
        <v>158</v>
      </c>
      <c r="AI308" s="2">
        <f>Table__192.168.3.138DYLAgingReport[[#This Row],[NetAmount]]-Table__192.168.3.138DYLAgingReport[[#This Row],[Paid]]</f>
        <v>-2478</v>
      </c>
    </row>
    <row r="309" spans="1:35">
      <c r="A309" t="s">
        <v>837</v>
      </c>
      <c r="B309" s="1">
        <v>41178</v>
      </c>
      <c r="C309" s="1">
        <v>41223</v>
      </c>
      <c r="D309" t="s">
        <v>182</v>
      </c>
      <c r="E309">
        <v>-518</v>
      </c>
      <c r="F309">
        <v>0</v>
      </c>
      <c r="G309">
        <v>0</v>
      </c>
      <c r="H309">
        <v>0</v>
      </c>
      <c r="I309">
        <v>90</v>
      </c>
      <c r="J309">
        <v>-518</v>
      </c>
      <c r="L309" s="1">
        <v>41178</v>
      </c>
      <c r="M309" t="s">
        <v>838</v>
      </c>
      <c r="N309" t="s">
        <v>36</v>
      </c>
      <c r="O309" t="s">
        <v>37</v>
      </c>
      <c r="P309" t="s">
        <v>319</v>
      </c>
      <c r="Q309" t="s">
        <v>39</v>
      </c>
      <c r="R309" t="s">
        <v>40</v>
      </c>
      <c r="S309">
        <v>0</v>
      </c>
      <c r="U309" t="s">
        <v>41</v>
      </c>
      <c r="V309" t="s">
        <v>42</v>
      </c>
      <c r="W309" t="s">
        <v>585</v>
      </c>
      <c r="X309" t="s">
        <v>43</v>
      </c>
      <c r="Y309" t="b">
        <v>0</v>
      </c>
      <c r="Z309" t="b">
        <v>0</v>
      </c>
      <c r="AA309" t="b">
        <v>0</v>
      </c>
      <c r="AC309" s="1"/>
      <c r="AF309">
        <v>0</v>
      </c>
      <c r="AG309">
        <v>45</v>
      </c>
      <c r="AH309">
        <v>135</v>
      </c>
      <c r="AI309" s="2">
        <f>Table__192.168.3.138DYLAgingReport[[#This Row],[NetAmount]]-Table__192.168.3.138DYLAgingReport[[#This Row],[Paid]]</f>
        <v>-518</v>
      </c>
    </row>
    <row r="310" spans="1:35">
      <c r="A310" t="s">
        <v>839</v>
      </c>
      <c r="B310" s="1">
        <v>41178</v>
      </c>
      <c r="C310" s="1">
        <v>41223</v>
      </c>
      <c r="D310" t="s">
        <v>183</v>
      </c>
      <c r="E310">
        <v>-304</v>
      </c>
      <c r="F310">
        <v>-49</v>
      </c>
      <c r="G310">
        <v>0</v>
      </c>
      <c r="H310">
        <v>0</v>
      </c>
      <c r="I310">
        <v>111</v>
      </c>
      <c r="J310">
        <v>-353</v>
      </c>
      <c r="L310" s="1">
        <v>41157</v>
      </c>
      <c r="N310" t="s">
        <v>36</v>
      </c>
      <c r="O310" t="s">
        <v>37</v>
      </c>
      <c r="P310" t="s">
        <v>320</v>
      </c>
      <c r="Q310" t="s">
        <v>39</v>
      </c>
      <c r="R310" t="s">
        <v>40</v>
      </c>
      <c r="S310">
        <v>0</v>
      </c>
      <c r="U310" t="s">
        <v>41</v>
      </c>
      <c r="V310" t="s">
        <v>42</v>
      </c>
      <c r="X310" t="s">
        <v>43</v>
      </c>
      <c r="Y310" t="b">
        <v>0</v>
      </c>
      <c r="Z310" t="b">
        <v>0</v>
      </c>
      <c r="AC310" s="1"/>
      <c r="AF310">
        <v>0</v>
      </c>
      <c r="AG310">
        <v>45</v>
      </c>
      <c r="AH310">
        <v>156</v>
      </c>
      <c r="AI310" s="2">
        <f>Table__192.168.3.138DYLAgingReport[[#This Row],[NetAmount]]-Table__192.168.3.138DYLAgingReport[[#This Row],[Paid]]</f>
        <v>-353</v>
      </c>
    </row>
    <row r="311" spans="1:35">
      <c r="A311" t="s">
        <v>61</v>
      </c>
      <c r="B311" s="1">
        <v>41164</v>
      </c>
      <c r="C311" s="1">
        <v>41209</v>
      </c>
      <c r="D311" t="s">
        <v>35</v>
      </c>
      <c r="E311">
        <v>-2310</v>
      </c>
      <c r="F311">
        <v>-370</v>
      </c>
      <c r="G311">
        <v>0</v>
      </c>
      <c r="H311">
        <v>0</v>
      </c>
      <c r="I311">
        <v>104</v>
      </c>
      <c r="J311">
        <v>-2680</v>
      </c>
      <c r="K311" t="s">
        <v>62</v>
      </c>
      <c r="L311" s="1">
        <v>41164</v>
      </c>
      <c r="N311" t="s">
        <v>36</v>
      </c>
      <c r="O311" t="s">
        <v>37</v>
      </c>
      <c r="P311" t="s">
        <v>38</v>
      </c>
      <c r="Q311" t="s">
        <v>39</v>
      </c>
      <c r="R311" t="s">
        <v>40</v>
      </c>
      <c r="S311">
        <v>0</v>
      </c>
      <c r="U311" t="s">
        <v>41</v>
      </c>
      <c r="V311" t="s">
        <v>42</v>
      </c>
      <c r="X311" t="s">
        <v>43</v>
      </c>
      <c r="Y311" t="b">
        <v>0</v>
      </c>
      <c r="Z311" t="b">
        <v>0</v>
      </c>
      <c r="AC311" s="1"/>
      <c r="AF311">
        <v>0</v>
      </c>
      <c r="AG311">
        <v>45</v>
      </c>
      <c r="AH311">
        <v>149</v>
      </c>
      <c r="AI311" s="2">
        <f>Table__192.168.3.138DYLAgingReport[[#This Row],[NetAmount]]-Table__192.168.3.138DYLAgingReport[[#This Row],[Paid]]</f>
        <v>-2680</v>
      </c>
    </row>
    <row r="312" spans="1:35">
      <c r="A312" t="s">
        <v>840</v>
      </c>
      <c r="B312" s="1">
        <v>41164</v>
      </c>
      <c r="C312" s="1">
        <v>41209</v>
      </c>
      <c r="D312" t="s">
        <v>187</v>
      </c>
      <c r="E312">
        <v>-2186</v>
      </c>
      <c r="F312">
        <v>0</v>
      </c>
      <c r="G312">
        <v>0</v>
      </c>
      <c r="H312">
        <v>0</v>
      </c>
      <c r="I312">
        <v>111</v>
      </c>
      <c r="J312">
        <v>-2186</v>
      </c>
      <c r="L312" s="1">
        <v>41157</v>
      </c>
      <c r="N312" t="s">
        <v>36</v>
      </c>
      <c r="O312" t="s">
        <v>37</v>
      </c>
      <c r="P312" t="s">
        <v>324</v>
      </c>
      <c r="Q312" t="s">
        <v>39</v>
      </c>
      <c r="R312" t="s">
        <v>40</v>
      </c>
      <c r="S312">
        <v>0</v>
      </c>
      <c r="U312" t="s">
        <v>41</v>
      </c>
      <c r="V312" t="s">
        <v>42</v>
      </c>
      <c r="X312" t="s">
        <v>43</v>
      </c>
      <c r="Y312" t="b">
        <v>0</v>
      </c>
      <c r="Z312" t="b">
        <v>0</v>
      </c>
      <c r="AC312" s="1"/>
      <c r="AF312">
        <v>0</v>
      </c>
      <c r="AG312">
        <v>45</v>
      </c>
      <c r="AH312">
        <v>156</v>
      </c>
      <c r="AI312" s="2">
        <f>Table__192.168.3.138DYLAgingReport[[#This Row],[NetAmount]]-Table__192.168.3.138DYLAgingReport[[#This Row],[Paid]]</f>
        <v>-2186</v>
      </c>
    </row>
    <row r="313" spans="1:35">
      <c r="A313" t="s">
        <v>841</v>
      </c>
      <c r="B313" s="1">
        <v>41162</v>
      </c>
      <c r="C313" s="1">
        <v>41207</v>
      </c>
      <c r="D313" t="s">
        <v>190</v>
      </c>
      <c r="E313">
        <v>-684</v>
      </c>
      <c r="F313">
        <v>-110</v>
      </c>
      <c r="G313">
        <v>0</v>
      </c>
      <c r="H313">
        <v>0</v>
      </c>
      <c r="I313">
        <v>106</v>
      </c>
      <c r="J313">
        <v>-794</v>
      </c>
      <c r="K313" t="s">
        <v>842</v>
      </c>
      <c r="L313" s="1">
        <v>41162</v>
      </c>
      <c r="M313" t="s">
        <v>5346</v>
      </c>
      <c r="N313" t="s">
        <v>36</v>
      </c>
      <c r="O313" t="s">
        <v>37</v>
      </c>
      <c r="P313" t="s">
        <v>327</v>
      </c>
      <c r="Q313" t="s">
        <v>39</v>
      </c>
      <c r="R313" t="s">
        <v>40</v>
      </c>
      <c r="S313">
        <v>0</v>
      </c>
      <c r="U313" t="s">
        <v>41</v>
      </c>
      <c r="V313" t="s">
        <v>42</v>
      </c>
      <c r="W313" t="s">
        <v>5337</v>
      </c>
      <c r="X313" t="s">
        <v>43</v>
      </c>
      <c r="Y313" t="b">
        <v>0</v>
      </c>
      <c r="Z313" t="b">
        <v>0</v>
      </c>
      <c r="AA313" t="b">
        <v>0</v>
      </c>
      <c r="AC313" s="1"/>
      <c r="AF313">
        <v>0</v>
      </c>
      <c r="AG313">
        <v>45</v>
      </c>
      <c r="AH313">
        <v>151</v>
      </c>
      <c r="AI313" s="2">
        <f>Table__192.168.3.138DYLAgingReport[[#This Row],[NetAmount]]-Table__192.168.3.138DYLAgingReport[[#This Row],[Paid]]</f>
        <v>-794</v>
      </c>
    </row>
    <row r="314" spans="1:35">
      <c r="A314" t="s">
        <v>843</v>
      </c>
      <c r="B314" s="1">
        <v>41164</v>
      </c>
      <c r="C314" s="1">
        <v>41209</v>
      </c>
      <c r="D314" t="s">
        <v>199</v>
      </c>
      <c r="E314">
        <v>-880</v>
      </c>
      <c r="F314">
        <v>-141</v>
      </c>
      <c r="G314">
        <v>0</v>
      </c>
      <c r="H314">
        <v>0</v>
      </c>
      <c r="I314">
        <v>104</v>
      </c>
      <c r="J314">
        <v>-1021</v>
      </c>
      <c r="K314" t="s">
        <v>844</v>
      </c>
      <c r="L314" s="1">
        <v>41164</v>
      </c>
      <c r="N314" t="s">
        <v>36</v>
      </c>
      <c r="O314" t="s">
        <v>37</v>
      </c>
      <c r="P314" t="s">
        <v>336</v>
      </c>
      <c r="Q314" t="s">
        <v>39</v>
      </c>
      <c r="R314" t="s">
        <v>40</v>
      </c>
      <c r="S314">
        <v>0</v>
      </c>
      <c r="U314" t="s">
        <v>41</v>
      </c>
      <c r="V314" t="s">
        <v>42</v>
      </c>
      <c r="X314" t="s">
        <v>43</v>
      </c>
      <c r="Y314" t="b">
        <v>0</v>
      </c>
      <c r="Z314" t="b">
        <v>0</v>
      </c>
      <c r="AC314" s="1"/>
      <c r="AF314">
        <v>0</v>
      </c>
      <c r="AG314">
        <v>45</v>
      </c>
      <c r="AH314">
        <v>149</v>
      </c>
      <c r="AI314" s="2">
        <f>Table__192.168.3.138DYLAgingReport[[#This Row],[NetAmount]]-Table__192.168.3.138DYLAgingReport[[#This Row],[Paid]]</f>
        <v>-1021</v>
      </c>
    </row>
    <row r="315" spans="1:35">
      <c r="A315" t="s">
        <v>845</v>
      </c>
      <c r="B315" s="1">
        <v>41164</v>
      </c>
      <c r="C315" s="1">
        <v>41209</v>
      </c>
      <c r="D315" t="s">
        <v>207</v>
      </c>
      <c r="E315">
        <v>-1124</v>
      </c>
      <c r="F315">
        <v>-180</v>
      </c>
      <c r="G315">
        <v>0</v>
      </c>
      <c r="H315">
        <v>0</v>
      </c>
      <c r="I315">
        <v>104</v>
      </c>
      <c r="J315">
        <v>-1304</v>
      </c>
      <c r="K315" t="s">
        <v>846</v>
      </c>
      <c r="L315" s="1">
        <v>41164</v>
      </c>
      <c r="N315" t="s">
        <v>36</v>
      </c>
      <c r="O315" t="s">
        <v>37</v>
      </c>
      <c r="P315" t="s">
        <v>344</v>
      </c>
      <c r="Q315" t="s">
        <v>39</v>
      </c>
      <c r="R315" t="s">
        <v>40</v>
      </c>
      <c r="S315">
        <v>0</v>
      </c>
      <c r="U315" t="s">
        <v>41</v>
      </c>
      <c r="V315" t="s">
        <v>42</v>
      </c>
      <c r="X315" t="s">
        <v>43</v>
      </c>
      <c r="Y315" t="b">
        <v>0</v>
      </c>
      <c r="Z315" t="b">
        <v>0</v>
      </c>
      <c r="AC315" s="1"/>
      <c r="AF315">
        <v>0</v>
      </c>
      <c r="AG315">
        <v>45</v>
      </c>
      <c r="AH315">
        <v>149</v>
      </c>
      <c r="AI315" s="2">
        <f>Table__192.168.3.138DYLAgingReport[[#This Row],[NetAmount]]-Table__192.168.3.138DYLAgingReport[[#This Row],[Paid]]</f>
        <v>-1304</v>
      </c>
    </row>
    <row r="316" spans="1:35">
      <c r="A316" t="s">
        <v>847</v>
      </c>
      <c r="B316" s="1">
        <v>41164</v>
      </c>
      <c r="C316" s="1">
        <v>41209</v>
      </c>
      <c r="D316" t="s">
        <v>216</v>
      </c>
      <c r="E316">
        <v>-960</v>
      </c>
      <c r="F316">
        <v>-154</v>
      </c>
      <c r="G316">
        <v>0</v>
      </c>
      <c r="H316">
        <v>0</v>
      </c>
      <c r="I316">
        <v>119</v>
      </c>
      <c r="J316">
        <v>-1114</v>
      </c>
      <c r="K316" t="s">
        <v>848</v>
      </c>
      <c r="L316" s="1">
        <v>41164</v>
      </c>
      <c r="M316" t="s">
        <v>849</v>
      </c>
      <c r="N316" t="s">
        <v>36</v>
      </c>
      <c r="O316" t="s">
        <v>37</v>
      </c>
      <c r="P316" t="s">
        <v>353</v>
      </c>
      <c r="Q316" t="s">
        <v>39</v>
      </c>
      <c r="R316" t="s">
        <v>40</v>
      </c>
      <c r="S316">
        <v>0</v>
      </c>
      <c r="U316" t="s">
        <v>41</v>
      </c>
      <c r="V316" t="s">
        <v>42</v>
      </c>
      <c r="W316" t="s">
        <v>766</v>
      </c>
      <c r="X316" t="s">
        <v>43</v>
      </c>
      <c r="Y316" t="b">
        <v>0</v>
      </c>
      <c r="Z316" t="b">
        <v>0</v>
      </c>
      <c r="AA316" t="b">
        <v>0</v>
      </c>
      <c r="AC316" s="1"/>
      <c r="AF316">
        <v>0</v>
      </c>
      <c r="AG316">
        <v>30</v>
      </c>
      <c r="AH316">
        <v>149</v>
      </c>
      <c r="AI316" s="2">
        <f>Table__192.168.3.138DYLAgingReport[[#This Row],[NetAmount]]-Table__192.168.3.138DYLAgingReport[[#This Row],[Paid]]</f>
        <v>-1114</v>
      </c>
    </row>
    <row r="317" spans="1:35">
      <c r="A317" t="s">
        <v>850</v>
      </c>
      <c r="B317" s="1">
        <v>41164</v>
      </c>
      <c r="C317" s="1">
        <v>41209</v>
      </c>
      <c r="D317" t="s">
        <v>220</v>
      </c>
      <c r="E317">
        <v>-1062</v>
      </c>
      <c r="F317">
        <v>-170</v>
      </c>
      <c r="G317">
        <v>0</v>
      </c>
      <c r="H317">
        <v>0</v>
      </c>
      <c r="I317">
        <v>111</v>
      </c>
      <c r="J317">
        <v>-1232</v>
      </c>
      <c r="L317" s="1">
        <v>41157</v>
      </c>
      <c r="N317" t="s">
        <v>36</v>
      </c>
      <c r="O317" t="s">
        <v>37</v>
      </c>
      <c r="P317" t="s">
        <v>357</v>
      </c>
      <c r="Q317" t="s">
        <v>39</v>
      </c>
      <c r="R317" t="s">
        <v>40</v>
      </c>
      <c r="S317">
        <v>0</v>
      </c>
      <c r="U317" t="s">
        <v>41</v>
      </c>
      <c r="V317" t="s">
        <v>42</v>
      </c>
      <c r="X317" t="s">
        <v>43</v>
      </c>
      <c r="Y317" t="b">
        <v>0</v>
      </c>
      <c r="Z317" t="b">
        <v>0</v>
      </c>
      <c r="AC317" s="1"/>
      <c r="AF317">
        <v>0</v>
      </c>
      <c r="AG317">
        <v>45</v>
      </c>
      <c r="AH317">
        <v>156</v>
      </c>
      <c r="AI317" s="2">
        <f>Table__192.168.3.138DYLAgingReport[[#This Row],[NetAmount]]-Table__192.168.3.138DYLAgingReport[[#This Row],[Paid]]</f>
        <v>-1232</v>
      </c>
    </row>
    <row r="318" spans="1:35">
      <c r="A318" t="s">
        <v>851</v>
      </c>
      <c r="B318" s="1">
        <v>41165</v>
      </c>
      <c r="C318" s="1">
        <v>41210</v>
      </c>
      <c r="D318" t="s">
        <v>224</v>
      </c>
      <c r="E318">
        <v>-10614</v>
      </c>
      <c r="F318">
        <v>-1697</v>
      </c>
      <c r="G318">
        <v>0</v>
      </c>
      <c r="H318">
        <v>0</v>
      </c>
      <c r="I318">
        <v>110</v>
      </c>
      <c r="J318">
        <v>-12311</v>
      </c>
      <c r="L318" s="1">
        <v>41158</v>
      </c>
      <c r="N318" t="s">
        <v>36</v>
      </c>
      <c r="O318" t="s">
        <v>37</v>
      </c>
      <c r="P318" t="s">
        <v>361</v>
      </c>
      <c r="Q318" t="s">
        <v>39</v>
      </c>
      <c r="R318" t="s">
        <v>40</v>
      </c>
      <c r="S318">
        <v>0</v>
      </c>
      <c r="U318" t="s">
        <v>41</v>
      </c>
      <c r="V318" t="s">
        <v>42</v>
      </c>
      <c r="X318" t="s">
        <v>43</v>
      </c>
      <c r="Y318" t="b">
        <v>0</v>
      </c>
      <c r="Z318" t="b">
        <v>0</v>
      </c>
      <c r="AC318" s="1"/>
      <c r="AF318">
        <v>0</v>
      </c>
      <c r="AG318">
        <v>45</v>
      </c>
      <c r="AH318">
        <v>155</v>
      </c>
      <c r="AI318" s="2">
        <f>Table__192.168.3.138DYLAgingReport[[#This Row],[NetAmount]]-Table__192.168.3.138DYLAgingReport[[#This Row],[Paid]]</f>
        <v>-12311</v>
      </c>
    </row>
    <row r="319" spans="1:35">
      <c r="A319" t="s">
        <v>852</v>
      </c>
      <c r="B319" s="1">
        <v>41178</v>
      </c>
      <c r="C319" s="1">
        <v>41223</v>
      </c>
      <c r="D319" t="s">
        <v>232</v>
      </c>
      <c r="E319">
        <v>-1122</v>
      </c>
      <c r="F319">
        <v>-180</v>
      </c>
      <c r="G319">
        <v>0</v>
      </c>
      <c r="H319">
        <v>0</v>
      </c>
      <c r="I319">
        <v>106</v>
      </c>
      <c r="J319">
        <v>-1302</v>
      </c>
      <c r="K319" t="s">
        <v>853</v>
      </c>
      <c r="L319" s="1">
        <v>41162</v>
      </c>
      <c r="M319" t="s">
        <v>5347</v>
      </c>
      <c r="N319" t="s">
        <v>36</v>
      </c>
      <c r="O319" t="s">
        <v>37</v>
      </c>
      <c r="P319" t="s">
        <v>369</v>
      </c>
      <c r="Q319" t="s">
        <v>39</v>
      </c>
      <c r="R319" t="s">
        <v>40</v>
      </c>
      <c r="S319">
        <v>0</v>
      </c>
      <c r="U319" t="s">
        <v>41</v>
      </c>
      <c r="V319" t="s">
        <v>42</v>
      </c>
      <c r="W319" t="s">
        <v>5343</v>
      </c>
      <c r="X319" t="s">
        <v>43</v>
      </c>
      <c r="Y319" t="b">
        <v>0</v>
      </c>
      <c r="Z319" t="b">
        <v>0</v>
      </c>
      <c r="AA319" t="b">
        <v>0</v>
      </c>
      <c r="AC319" s="1"/>
      <c r="AF319">
        <v>0</v>
      </c>
      <c r="AG319">
        <v>45</v>
      </c>
      <c r="AH319">
        <v>151</v>
      </c>
      <c r="AI319" s="2">
        <f>Table__192.168.3.138DYLAgingReport[[#This Row],[NetAmount]]-Table__192.168.3.138DYLAgingReport[[#This Row],[Paid]]</f>
        <v>-1302</v>
      </c>
    </row>
    <row r="320" spans="1:35">
      <c r="A320" t="s">
        <v>854</v>
      </c>
      <c r="B320" s="1">
        <v>41162</v>
      </c>
      <c r="C320" s="1">
        <v>41207</v>
      </c>
      <c r="D320" t="s">
        <v>242</v>
      </c>
      <c r="E320">
        <v>-84</v>
      </c>
      <c r="F320">
        <v>-13</v>
      </c>
      <c r="G320">
        <v>0</v>
      </c>
      <c r="H320">
        <v>0</v>
      </c>
      <c r="I320">
        <v>106</v>
      </c>
      <c r="J320">
        <v>-97</v>
      </c>
      <c r="K320" t="s">
        <v>846</v>
      </c>
      <c r="L320" s="1">
        <v>41162</v>
      </c>
      <c r="N320" t="s">
        <v>36</v>
      </c>
      <c r="O320" t="s">
        <v>37</v>
      </c>
      <c r="P320" t="s">
        <v>379</v>
      </c>
      <c r="Q320" t="s">
        <v>39</v>
      </c>
      <c r="R320" t="s">
        <v>40</v>
      </c>
      <c r="S320">
        <v>0</v>
      </c>
      <c r="U320" t="s">
        <v>41</v>
      </c>
      <c r="V320" t="s">
        <v>42</v>
      </c>
      <c r="X320" t="s">
        <v>43</v>
      </c>
      <c r="Y320" t="b">
        <v>0</v>
      </c>
      <c r="Z320" t="b">
        <v>0</v>
      </c>
      <c r="AC320" s="1"/>
      <c r="AF320">
        <v>0</v>
      </c>
      <c r="AG320">
        <v>45</v>
      </c>
      <c r="AH320">
        <v>151</v>
      </c>
      <c r="AI320" s="2">
        <f>Table__192.168.3.138DYLAgingReport[[#This Row],[NetAmount]]-Table__192.168.3.138DYLAgingReport[[#This Row],[Paid]]</f>
        <v>-97</v>
      </c>
    </row>
    <row r="321" spans="1:35">
      <c r="A321" t="s">
        <v>855</v>
      </c>
      <c r="B321" s="1">
        <v>41165</v>
      </c>
      <c r="C321" s="1">
        <v>41210</v>
      </c>
      <c r="D321" t="s">
        <v>268</v>
      </c>
      <c r="E321">
        <v>-292</v>
      </c>
      <c r="F321">
        <v>-47</v>
      </c>
      <c r="G321">
        <v>0</v>
      </c>
      <c r="H321">
        <v>0</v>
      </c>
      <c r="I321">
        <v>103</v>
      </c>
      <c r="J321">
        <v>-339</v>
      </c>
      <c r="K321" t="s">
        <v>856</v>
      </c>
      <c r="L321" s="1">
        <v>41165</v>
      </c>
      <c r="N321" t="s">
        <v>36</v>
      </c>
      <c r="O321" t="s">
        <v>37</v>
      </c>
      <c r="P321" t="s">
        <v>405</v>
      </c>
      <c r="Q321" t="s">
        <v>39</v>
      </c>
      <c r="R321" t="s">
        <v>40</v>
      </c>
      <c r="S321">
        <v>0</v>
      </c>
      <c r="U321" t="s">
        <v>41</v>
      </c>
      <c r="V321" t="s">
        <v>42</v>
      </c>
      <c r="X321" t="s">
        <v>43</v>
      </c>
      <c r="Y321" t="b">
        <v>0</v>
      </c>
      <c r="Z321" t="b">
        <v>0</v>
      </c>
      <c r="AC321" s="1"/>
      <c r="AF321">
        <v>0</v>
      </c>
      <c r="AG321">
        <v>45</v>
      </c>
      <c r="AH321">
        <v>148</v>
      </c>
      <c r="AI321" s="2">
        <f>Table__192.168.3.138DYLAgingReport[[#This Row],[NetAmount]]-Table__192.168.3.138DYLAgingReport[[#This Row],[Paid]]</f>
        <v>-339</v>
      </c>
    </row>
    <row r="322" spans="1:35">
      <c r="A322" t="s">
        <v>857</v>
      </c>
      <c r="B322" s="1">
        <v>41158</v>
      </c>
      <c r="C322" s="1">
        <v>41203</v>
      </c>
      <c r="D322" t="s">
        <v>188</v>
      </c>
      <c r="E322">
        <v>-30732</v>
      </c>
      <c r="F322">
        <v>-4918</v>
      </c>
      <c r="G322">
        <v>0</v>
      </c>
      <c r="H322">
        <v>0</v>
      </c>
      <c r="I322">
        <v>111</v>
      </c>
      <c r="J322">
        <v>-35650</v>
      </c>
      <c r="L322" s="1">
        <v>41157</v>
      </c>
      <c r="N322" t="s">
        <v>36</v>
      </c>
      <c r="O322" t="s">
        <v>37</v>
      </c>
      <c r="P322" t="s">
        <v>325</v>
      </c>
      <c r="Q322" t="s">
        <v>39</v>
      </c>
      <c r="R322" t="s">
        <v>40</v>
      </c>
      <c r="S322">
        <v>0</v>
      </c>
      <c r="U322" t="s">
        <v>41</v>
      </c>
      <c r="V322" t="s">
        <v>42</v>
      </c>
      <c r="X322" t="s">
        <v>43</v>
      </c>
      <c r="Y322" t="b">
        <v>0</v>
      </c>
      <c r="Z322" t="b">
        <v>0</v>
      </c>
      <c r="AC322" s="1"/>
      <c r="AF322">
        <v>0</v>
      </c>
      <c r="AG322">
        <v>45</v>
      </c>
      <c r="AH322">
        <v>156</v>
      </c>
      <c r="AI322" s="2">
        <f>Table__192.168.3.138DYLAgingReport[[#This Row],[NetAmount]]-Table__192.168.3.138DYLAgingReport[[#This Row],[Paid]]</f>
        <v>-35650</v>
      </c>
    </row>
    <row r="323" spans="1:35">
      <c r="A323" t="s">
        <v>858</v>
      </c>
      <c r="B323" s="1">
        <v>41162</v>
      </c>
      <c r="C323" s="1">
        <v>41207</v>
      </c>
      <c r="D323" t="s">
        <v>288</v>
      </c>
      <c r="E323">
        <v>-1015</v>
      </c>
      <c r="F323">
        <v>-162</v>
      </c>
      <c r="G323">
        <v>0</v>
      </c>
      <c r="H323">
        <v>0</v>
      </c>
      <c r="I323">
        <v>109</v>
      </c>
      <c r="J323">
        <v>-1177</v>
      </c>
      <c r="K323" t="s">
        <v>859</v>
      </c>
      <c r="L323" s="1">
        <v>41159</v>
      </c>
      <c r="N323" t="s">
        <v>36</v>
      </c>
      <c r="O323" t="s">
        <v>37</v>
      </c>
      <c r="P323" t="s">
        <v>425</v>
      </c>
      <c r="Q323" t="s">
        <v>39</v>
      </c>
      <c r="R323" t="s">
        <v>40</v>
      </c>
      <c r="S323">
        <v>0</v>
      </c>
      <c r="U323" t="s">
        <v>41</v>
      </c>
      <c r="V323" t="s">
        <v>42</v>
      </c>
      <c r="X323" t="s">
        <v>43</v>
      </c>
      <c r="Y323" t="b">
        <v>0</v>
      </c>
      <c r="Z323" t="b">
        <v>0</v>
      </c>
      <c r="AC323" s="1"/>
      <c r="AF323">
        <v>0</v>
      </c>
      <c r="AG323">
        <v>45</v>
      </c>
      <c r="AH323">
        <v>154</v>
      </c>
      <c r="AI323" s="2">
        <f>Table__192.168.3.138DYLAgingReport[[#This Row],[NetAmount]]-Table__192.168.3.138DYLAgingReport[[#This Row],[Paid]]</f>
        <v>-1177</v>
      </c>
    </row>
    <row r="324" spans="1:35">
      <c r="A324" t="s">
        <v>860</v>
      </c>
      <c r="B324" s="1">
        <v>41163</v>
      </c>
      <c r="C324" s="1">
        <v>41163</v>
      </c>
      <c r="D324" t="s">
        <v>296</v>
      </c>
      <c r="E324">
        <v>-240</v>
      </c>
      <c r="F324">
        <v>-38</v>
      </c>
      <c r="G324">
        <v>0</v>
      </c>
      <c r="H324">
        <v>0</v>
      </c>
      <c r="I324">
        <v>105</v>
      </c>
      <c r="J324">
        <v>-278</v>
      </c>
      <c r="K324" t="s">
        <v>861</v>
      </c>
      <c r="L324" s="1">
        <v>41163</v>
      </c>
      <c r="N324" t="s">
        <v>36</v>
      </c>
      <c r="O324" t="s">
        <v>37</v>
      </c>
      <c r="P324" t="s">
        <v>433</v>
      </c>
      <c r="Q324" t="s">
        <v>39</v>
      </c>
      <c r="R324" t="s">
        <v>40</v>
      </c>
      <c r="S324">
        <v>0</v>
      </c>
      <c r="U324" t="s">
        <v>41</v>
      </c>
      <c r="V324" t="s">
        <v>42</v>
      </c>
      <c r="X324" t="s">
        <v>43</v>
      </c>
      <c r="Y324" t="b">
        <v>0</v>
      </c>
      <c r="Z324" t="b">
        <v>0</v>
      </c>
      <c r="AC324" s="1"/>
      <c r="AF324">
        <v>0</v>
      </c>
      <c r="AG324">
        <v>45</v>
      </c>
      <c r="AH324">
        <v>150</v>
      </c>
      <c r="AI324" s="2">
        <f>Table__192.168.3.138DYLAgingReport[[#This Row],[NetAmount]]-Table__192.168.3.138DYLAgingReport[[#This Row],[Paid]]</f>
        <v>-278</v>
      </c>
    </row>
    <row r="325" spans="1:35">
      <c r="A325" t="s">
        <v>862</v>
      </c>
      <c r="B325" s="1">
        <v>41165</v>
      </c>
      <c r="C325" s="1">
        <v>41210</v>
      </c>
      <c r="D325" t="s">
        <v>195</v>
      </c>
      <c r="E325">
        <v>-113</v>
      </c>
      <c r="F325">
        <v>-18</v>
      </c>
      <c r="G325">
        <v>0</v>
      </c>
      <c r="H325">
        <v>0</v>
      </c>
      <c r="I325">
        <v>103</v>
      </c>
      <c r="J325">
        <v>-131</v>
      </c>
      <c r="K325" t="s">
        <v>863</v>
      </c>
      <c r="L325" s="1">
        <v>41165</v>
      </c>
      <c r="N325" t="s">
        <v>36</v>
      </c>
      <c r="O325" t="s">
        <v>37</v>
      </c>
      <c r="P325" t="s">
        <v>332</v>
      </c>
      <c r="Q325" t="s">
        <v>39</v>
      </c>
      <c r="R325" t="s">
        <v>40</v>
      </c>
      <c r="S325">
        <v>0</v>
      </c>
      <c r="U325" t="s">
        <v>41</v>
      </c>
      <c r="V325" t="s">
        <v>42</v>
      </c>
      <c r="X325" t="s">
        <v>43</v>
      </c>
      <c r="Y325" t="b">
        <v>0</v>
      </c>
      <c r="Z325" t="b">
        <v>0</v>
      </c>
      <c r="AC325" s="1"/>
      <c r="AF325">
        <v>0</v>
      </c>
      <c r="AG325">
        <v>45</v>
      </c>
      <c r="AH325">
        <v>148</v>
      </c>
      <c r="AI325" s="2">
        <f>Table__192.168.3.138DYLAgingReport[[#This Row],[NetAmount]]-Table__192.168.3.138DYLAgingReport[[#This Row],[Paid]]</f>
        <v>-131</v>
      </c>
    </row>
    <row r="326" spans="1:35">
      <c r="A326" t="s">
        <v>864</v>
      </c>
      <c r="B326" s="1">
        <v>41165</v>
      </c>
      <c r="C326" s="1">
        <v>41210</v>
      </c>
      <c r="D326" t="s">
        <v>270</v>
      </c>
      <c r="E326">
        <v>-105</v>
      </c>
      <c r="F326">
        <v>-17</v>
      </c>
      <c r="G326">
        <v>0</v>
      </c>
      <c r="H326">
        <v>0</v>
      </c>
      <c r="I326">
        <v>118</v>
      </c>
      <c r="J326">
        <v>-122</v>
      </c>
      <c r="K326" t="s">
        <v>865</v>
      </c>
      <c r="L326" s="1">
        <v>41165</v>
      </c>
      <c r="N326" t="s">
        <v>36</v>
      </c>
      <c r="O326" t="s">
        <v>37</v>
      </c>
      <c r="P326" t="s">
        <v>407</v>
      </c>
      <c r="Q326" t="s">
        <v>39</v>
      </c>
      <c r="R326" t="s">
        <v>40</v>
      </c>
      <c r="S326">
        <v>0</v>
      </c>
      <c r="U326" t="s">
        <v>41</v>
      </c>
      <c r="V326" t="s">
        <v>42</v>
      </c>
      <c r="X326" t="s">
        <v>43</v>
      </c>
      <c r="Y326" t="b">
        <v>0</v>
      </c>
      <c r="Z326" t="b">
        <v>0</v>
      </c>
      <c r="AC326" s="1"/>
      <c r="AF326">
        <v>0</v>
      </c>
      <c r="AG326">
        <v>30</v>
      </c>
      <c r="AH326">
        <v>148</v>
      </c>
      <c r="AI326" s="2">
        <f>Table__192.168.3.138DYLAgingReport[[#This Row],[NetAmount]]-Table__192.168.3.138DYLAgingReport[[#This Row],[Paid]]</f>
        <v>-122</v>
      </c>
    </row>
    <row r="327" spans="1:35">
      <c r="A327" t="s">
        <v>866</v>
      </c>
      <c r="B327" s="1">
        <v>41170</v>
      </c>
      <c r="C327" s="1">
        <v>41170</v>
      </c>
      <c r="D327" t="s">
        <v>291</v>
      </c>
      <c r="E327">
        <v>-11650</v>
      </c>
      <c r="F327">
        <v>-1864</v>
      </c>
      <c r="G327">
        <v>0</v>
      </c>
      <c r="H327">
        <v>0</v>
      </c>
      <c r="I327">
        <v>113</v>
      </c>
      <c r="J327">
        <v>-13514</v>
      </c>
      <c r="L327" s="1">
        <v>41155</v>
      </c>
      <c r="M327" t="s">
        <v>867</v>
      </c>
      <c r="N327" t="s">
        <v>36</v>
      </c>
      <c r="O327" t="s">
        <v>37</v>
      </c>
      <c r="P327" t="s">
        <v>428</v>
      </c>
      <c r="Q327" t="s">
        <v>39</v>
      </c>
      <c r="R327" t="s">
        <v>40</v>
      </c>
      <c r="S327">
        <v>0</v>
      </c>
      <c r="U327" t="s">
        <v>41</v>
      </c>
      <c r="V327" t="s">
        <v>42</v>
      </c>
      <c r="W327" t="s">
        <v>792</v>
      </c>
      <c r="X327" t="s">
        <v>43</v>
      </c>
      <c r="Y327" t="b">
        <v>0</v>
      </c>
      <c r="Z327" t="b">
        <v>0</v>
      </c>
      <c r="AA327" t="b">
        <v>0</v>
      </c>
      <c r="AC327" s="1"/>
      <c r="AF327">
        <v>0</v>
      </c>
      <c r="AG327">
        <v>45</v>
      </c>
      <c r="AH327">
        <v>158</v>
      </c>
      <c r="AI327" s="2">
        <f>Table__192.168.3.138DYLAgingReport[[#This Row],[NetAmount]]-Table__192.168.3.138DYLAgingReport[[#This Row],[Paid]]</f>
        <v>-13514</v>
      </c>
    </row>
    <row r="328" spans="1:35">
      <c r="A328" t="s">
        <v>868</v>
      </c>
      <c r="B328" s="1">
        <v>41170</v>
      </c>
      <c r="C328" s="1">
        <v>41170</v>
      </c>
      <c r="D328" t="s">
        <v>296</v>
      </c>
      <c r="E328">
        <v>-1643</v>
      </c>
      <c r="F328">
        <v>-263</v>
      </c>
      <c r="G328">
        <v>0</v>
      </c>
      <c r="H328">
        <v>0</v>
      </c>
      <c r="I328">
        <v>98</v>
      </c>
      <c r="J328">
        <v>-1906</v>
      </c>
      <c r="K328" t="s">
        <v>863</v>
      </c>
      <c r="L328" s="1">
        <v>41170</v>
      </c>
      <c r="N328" t="s">
        <v>36</v>
      </c>
      <c r="O328" t="s">
        <v>37</v>
      </c>
      <c r="P328" t="s">
        <v>433</v>
      </c>
      <c r="Q328" t="s">
        <v>39</v>
      </c>
      <c r="R328" t="s">
        <v>40</v>
      </c>
      <c r="S328">
        <v>0</v>
      </c>
      <c r="U328" t="s">
        <v>41</v>
      </c>
      <c r="V328" t="s">
        <v>42</v>
      </c>
      <c r="X328" t="s">
        <v>43</v>
      </c>
      <c r="Y328" t="b">
        <v>0</v>
      </c>
      <c r="Z328" t="b">
        <v>0</v>
      </c>
      <c r="AC328" s="1"/>
      <c r="AF328">
        <v>0</v>
      </c>
      <c r="AG328">
        <v>45</v>
      </c>
      <c r="AH328">
        <v>143</v>
      </c>
      <c r="AI328" s="2">
        <f>Table__192.168.3.138DYLAgingReport[[#This Row],[NetAmount]]-Table__192.168.3.138DYLAgingReport[[#This Row],[Paid]]</f>
        <v>-1906</v>
      </c>
    </row>
    <row r="329" spans="1:35">
      <c r="A329" t="s">
        <v>869</v>
      </c>
      <c r="B329" s="1">
        <v>41204</v>
      </c>
      <c r="C329" s="1">
        <v>41249</v>
      </c>
      <c r="D329" t="s">
        <v>174</v>
      </c>
      <c r="E329">
        <v>-726</v>
      </c>
      <c r="F329">
        <v>-116</v>
      </c>
      <c r="G329">
        <v>0</v>
      </c>
      <c r="H329">
        <v>0</v>
      </c>
      <c r="I329">
        <v>151</v>
      </c>
      <c r="J329">
        <v>-842</v>
      </c>
      <c r="K329" t="s">
        <v>870</v>
      </c>
      <c r="L329" s="1">
        <v>41117</v>
      </c>
      <c r="N329" t="s">
        <v>36</v>
      </c>
      <c r="O329" t="s">
        <v>37</v>
      </c>
      <c r="P329" t="s">
        <v>311</v>
      </c>
      <c r="Q329" t="s">
        <v>39</v>
      </c>
      <c r="R329" t="s">
        <v>40</v>
      </c>
      <c r="S329">
        <v>0</v>
      </c>
      <c r="U329" t="s">
        <v>41</v>
      </c>
      <c r="V329" t="s">
        <v>42</v>
      </c>
      <c r="X329" t="s">
        <v>43</v>
      </c>
      <c r="Y329" t="b">
        <v>0</v>
      </c>
      <c r="Z329" t="b">
        <v>0</v>
      </c>
      <c r="AC329" s="1"/>
      <c r="AF329">
        <v>0</v>
      </c>
      <c r="AG329">
        <v>45</v>
      </c>
      <c r="AH329">
        <v>196</v>
      </c>
      <c r="AI329" s="2">
        <f>Table__192.168.3.138DYLAgingReport[[#This Row],[NetAmount]]-Table__192.168.3.138DYLAgingReport[[#This Row],[Paid]]</f>
        <v>-842</v>
      </c>
    </row>
    <row r="330" spans="1:35">
      <c r="A330" t="s">
        <v>871</v>
      </c>
      <c r="B330" s="1">
        <v>41213</v>
      </c>
      <c r="C330" s="1">
        <v>41258</v>
      </c>
      <c r="D330" t="s">
        <v>180</v>
      </c>
      <c r="E330">
        <v>-6440</v>
      </c>
      <c r="F330">
        <v>-1030</v>
      </c>
      <c r="G330">
        <v>0</v>
      </c>
      <c r="H330">
        <v>0</v>
      </c>
      <c r="I330">
        <v>203</v>
      </c>
      <c r="J330">
        <v>-7470</v>
      </c>
      <c r="K330" t="s">
        <v>872</v>
      </c>
      <c r="L330" s="1">
        <v>41065</v>
      </c>
      <c r="N330" t="s">
        <v>36</v>
      </c>
      <c r="O330" t="s">
        <v>37</v>
      </c>
      <c r="P330" t="s">
        <v>317</v>
      </c>
      <c r="Q330" t="s">
        <v>39</v>
      </c>
      <c r="R330" t="s">
        <v>40</v>
      </c>
      <c r="S330">
        <v>0</v>
      </c>
      <c r="U330" t="s">
        <v>41</v>
      </c>
      <c r="V330" t="s">
        <v>42</v>
      </c>
      <c r="X330" t="s">
        <v>43</v>
      </c>
      <c r="Y330" t="b">
        <v>0</v>
      </c>
      <c r="Z330" t="b">
        <v>0</v>
      </c>
      <c r="AB330" t="s">
        <v>797</v>
      </c>
      <c r="AC330" s="1">
        <v>41305</v>
      </c>
      <c r="AE330" t="s">
        <v>798</v>
      </c>
      <c r="AF330">
        <v>0</v>
      </c>
      <c r="AG330">
        <v>45</v>
      </c>
      <c r="AH330">
        <v>248</v>
      </c>
      <c r="AI330" s="2">
        <f>Table__192.168.3.138DYLAgingReport[[#This Row],[NetAmount]]-Table__192.168.3.138DYLAgingReport[[#This Row],[Paid]]</f>
        <v>-7470</v>
      </c>
    </row>
    <row r="331" spans="1:35">
      <c r="A331" t="s">
        <v>873</v>
      </c>
      <c r="B331" s="1">
        <v>41204</v>
      </c>
      <c r="C331" s="1">
        <v>41249</v>
      </c>
      <c r="D331" t="s">
        <v>181</v>
      </c>
      <c r="E331">
        <v>-2262</v>
      </c>
      <c r="F331">
        <v>-362</v>
      </c>
      <c r="G331">
        <v>0</v>
      </c>
      <c r="H331">
        <v>0</v>
      </c>
      <c r="I331">
        <v>174</v>
      </c>
      <c r="J331">
        <v>-2624</v>
      </c>
      <c r="K331" t="s">
        <v>874</v>
      </c>
      <c r="L331" s="1">
        <v>41109</v>
      </c>
      <c r="M331" t="s">
        <v>875</v>
      </c>
      <c r="N331" t="s">
        <v>36</v>
      </c>
      <c r="O331" t="s">
        <v>37</v>
      </c>
      <c r="P331" t="s">
        <v>318</v>
      </c>
      <c r="Q331" t="s">
        <v>39</v>
      </c>
      <c r="R331" t="s">
        <v>40</v>
      </c>
      <c r="S331">
        <v>0</v>
      </c>
      <c r="U331" t="s">
        <v>41</v>
      </c>
      <c r="V331" t="s">
        <v>42</v>
      </c>
      <c r="W331" t="s">
        <v>876</v>
      </c>
      <c r="X331" t="s">
        <v>43</v>
      </c>
      <c r="Y331" t="b">
        <v>0</v>
      </c>
      <c r="Z331" t="b">
        <v>0</v>
      </c>
      <c r="AA331" t="b">
        <v>0</v>
      </c>
      <c r="AC331" s="1"/>
      <c r="AF331">
        <v>0</v>
      </c>
      <c r="AG331">
        <v>30</v>
      </c>
      <c r="AH331">
        <v>204</v>
      </c>
      <c r="AI331" s="2">
        <f>Table__192.168.3.138DYLAgingReport[[#This Row],[NetAmount]]-Table__192.168.3.138DYLAgingReport[[#This Row],[Paid]]</f>
        <v>-2624</v>
      </c>
    </row>
    <row r="332" spans="1:35">
      <c r="A332" t="s">
        <v>877</v>
      </c>
      <c r="B332" s="1">
        <v>41204</v>
      </c>
      <c r="C332" s="1">
        <v>41249</v>
      </c>
      <c r="D332" t="s">
        <v>183</v>
      </c>
      <c r="E332">
        <v>-2596</v>
      </c>
      <c r="F332">
        <v>-415</v>
      </c>
      <c r="G332">
        <v>0</v>
      </c>
      <c r="H332">
        <v>0</v>
      </c>
      <c r="I332">
        <v>78</v>
      </c>
      <c r="J332">
        <v>-3011</v>
      </c>
      <c r="K332" t="s">
        <v>878</v>
      </c>
      <c r="L332" s="1">
        <v>41190</v>
      </c>
      <c r="N332" t="s">
        <v>36</v>
      </c>
      <c r="O332" t="s">
        <v>37</v>
      </c>
      <c r="P332" t="s">
        <v>320</v>
      </c>
      <c r="Q332" t="s">
        <v>39</v>
      </c>
      <c r="R332" t="s">
        <v>40</v>
      </c>
      <c r="S332">
        <v>0</v>
      </c>
      <c r="U332" t="s">
        <v>41</v>
      </c>
      <c r="V332" t="s">
        <v>42</v>
      </c>
      <c r="X332" t="s">
        <v>43</v>
      </c>
      <c r="Y332" t="b">
        <v>0</v>
      </c>
      <c r="Z332" t="b">
        <v>0</v>
      </c>
      <c r="AC332" s="1"/>
      <c r="AF332">
        <v>0</v>
      </c>
      <c r="AG332">
        <v>45</v>
      </c>
      <c r="AH332">
        <v>123</v>
      </c>
      <c r="AI332" s="2">
        <f>Table__192.168.3.138DYLAgingReport[[#This Row],[NetAmount]]-Table__192.168.3.138DYLAgingReport[[#This Row],[Paid]]</f>
        <v>-3011</v>
      </c>
    </row>
    <row r="333" spans="1:35">
      <c r="A333" t="s">
        <v>63</v>
      </c>
      <c r="B333" s="1">
        <v>41204</v>
      </c>
      <c r="C333" s="1">
        <v>41249</v>
      </c>
      <c r="D333" t="s">
        <v>35</v>
      </c>
      <c r="E333">
        <v>-7100</v>
      </c>
      <c r="F333">
        <v>-1136</v>
      </c>
      <c r="G333">
        <v>0</v>
      </c>
      <c r="H333">
        <v>0</v>
      </c>
      <c r="I333">
        <v>99</v>
      </c>
      <c r="J333">
        <v>-8236</v>
      </c>
      <c r="K333" t="s">
        <v>64</v>
      </c>
      <c r="L333" s="1">
        <v>41169</v>
      </c>
      <c r="N333" t="s">
        <v>36</v>
      </c>
      <c r="O333" t="s">
        <v>37</v>
      </c>
      <c r="P333" t="s">
        <v>38</v>
      </c>
      <c r="Q333" t="s">
        <v>39</v>
      </c>
      <c r="R333" t="s">
        <v>40</v>
      </c>
      <c r="S333">
        <v>0</v>
      </c>
      <c r="U333" t="s">
        <v>41</v>
      </c>
      <c r="V333" t="s">
        <v>42</v>
      </c>
      <c r="X333" t="s">
        <v>43</v>
      </c>
      <c r="Y333" t="b">
        <v>0</v>
      </c>
      <c r="Z333" t="b">
        <v>0</v>
      </c>
      <c r="AC333" s="1"/>
      <c r="AF333">
        <v>0</v>
      </c>
      <c r="AG333">
        <v>45</v>
      </c>
      <c r="AH333">
        <v>144</v>
      </c>
      <c r="AI333" s="2">
        <f>Table__192.168.3.138DYLAgingReport[[#This Row],[NetAmount]]-Table__192.168.3.138DYLAgingReport[[#This Row],[Paid]]</f>
        <v>-8236</v>
      </c>
    </row>
    <row r="334" spans="1:35">
      <c r="A334" t="s">
        <v>879</v>
      </c>
      <c r="B334" s="1">
        <v>41213</v>
      </c>
      <c r="C334" s="1">
        <v>41258</v>
      </c>
      <c r="D334" t="s">
        <v>187</v>
      </c>
      <c r="E334">
        <v>-2365</v>
      </c>
      <c r="F334">
        <v>0</v>
      </c>
      <c r="G334">
        <v>0</v>
      </c>
      <c r="H334">
        <v>0</v>
      </c>
      <c r="I334">
        <v>540</v>
      </c>
      <c r="J334">
        <v>-2365</v>
      </c>
      <c r="L334" s="1">
        <v>40728</v>
      </c>
      <c r="N334" t="s">
        <v>36</v>
      </c>
      <c r="O334" t="s">
        <v>37</v>
      </c>
      <c r="P334" t="s">
        <v>324</v>
      </c>
      <c r="Q334" t="s">
        <v>39</v>
      </c>
      <c r="R334" t="s">
        <v>40</v>
      </c>
      <c r="S334">
        <v>0</v>
      </c>
      <c r="U334" t="s">
        <v>41</v>
      </c>
      <c r="V334" t="s">
        <v>42</v>
      </c>
      <c r="X334" t="s">
        <v>43</v>
      </c>
      <c r="Y334" t="b">
        <v>0</v>
      </c>
      <c r="Z334" t="b">
        <v>0</v>
      </c>
      <c r="AC334" s="1"/>
      <c r="AF334">
        <v>0</v>
      </c>
      <c r="AG334">
        <v>45</v>
      </c>
      <c r="AH334">
        <v>585</v>
      </c>
      <c r="AI334" s="2">
        <f>Table__192.168.3.138DYLAgingReport[[#This Row],[NetAmount]]-Table__192.168.3.138DYLAgingReport[[#This Row],[Paid]]</f>
        <v>-2365</v>
      </c>
    </row>
    <row r="335" spans="1:35">
      <c r="A335" t="s">
        <v>880</v>
      </c>
      <c r="B335" s="1">
        <v>41199</v>
      </c>
      <c r="C335" s="1">
        <v>41244</v>
      </c>
      <c r="D335" t="s">
        <v>191</v>
      </c>
      <c r="E335">
        <v>-910</v>
      </c>
      <c r="F335">
        <v>-146</v>
      </c>
      <c r="G335">
        <v>0</v>
      </c>
      <c r="H335">
        <v>0</v>
      </c>
      <c r="I335">
        <v>236</v>
      </c>
      <c r="J335">
        <v>-1056</v>
      </c>
      <c r="K335" t="s">
        <v>881</v>
      </c>
      <c r="L335" s="1">
        <v>41032</v>
      </c>
      <c r="N335" t="s">
        <v>36</v>
      </c>
      <c r="O335" t="s">
        <v>37</v>
      </c>
      <c r="P335" t="s">
        <v>328</v>
      </c>
      <c r="Q335" t="s">
        <v>39</v>
      </c>
      <c r="R335" t="s">
        <v>40</v>
      </c>
      <c r="S335">
        <v>0</v>
      </c>
      <c r="U335" t="s">
        <v>41</v>
      </c>
      <c r="V335" t="s">
        <v>42</v>
      </c>
      <c r="X335" t="s">
        <v>43</v>
      </c>
      <c r="Y335" t="b">
        <v>0</v>
      </c>
      <c r="Z335" t="b">
        <v>0</v>
      </c>
      <c r="AC335" s="1"/>
      <c r="AF335">
        <v>0</v>
      </c>
      <c r="AG335">
        <v>45</v>
      </c>
      <c r="AH335">
        <v>281</v>
      </c>
      <c r="AI335" s="2">
        <f>Table__192.168.3.138DYLAgingReport[[#This Row],[NetAmount]]-Table__192.168.3.138DYLAgingReport[[#This Row],[Paid]]</f>
        <v>-1056</v>
      </c>
    </row>
    <row r="336" spans="1:35">
      <c r="A336" t="s">
        <v>882</v>
      </c>
      <c r="B336" s="1">
        <v>41207</v>
      </c>
      <c r="C336" s="1">
        <v>41252</v>
      </c>
      <c r="D336" t="s">
        <v>196</v>
      </c>
      <c r="E336">
        <v>-4060</v>
      </c>
      <c r="F336">
        <v>-650</v>
      </c>
      <c r="G336">
        <v>0</v>
      </c>
      <c r="H336">
        <v>0</v>
      </c>
      <c r="I336">
        <v>153</v>
      </c>
      <c r="J336">
        <v>-4710</v>
      </c>
      <c r="K336" t="s">
        <v>883</v>
      </c>
      <c r="L336" s="1">
        <v>41130</v>
      </c>
      <c r="N336" t="s">
        <v>36</v>
      </c>
      <c r="O336" t="s">
        <v>37</v>
      </c>
      <c r="P336" t="s">
        <v>333</v>
      </c>
      <c r="Q336" t="s">
        <v>39</v>
      </c>
      <c r="R336" t="s">
        <v>40</v>
      </c>
      <c r="S336">
        <v>0</v>
      </c>
      <c r="U336" t="s">
        <v>41</v>
      </c>
      <c r="V336" t="s">
        <v>42</v>
      </c>
      <c r="X336" t="s">
        <v>43</v>
      </c>
      <c r="Y336" t="b">
        <v>0</v>
      </c>
      <c r="Z336" t="b">
        <v>0</v>
      </c>
      <c r="AB336" t="s">
        <v>884</v>
      </c>
      <c r="AC336" s="1">
        <v>41279</v>
      </c>
      <c r="AE336" t="s">
        <v>885</v>
      </c>
      <c r="AF336">
        <v>0</v>
      </c>
      <c r="AG336">
        <v>30</v>
      </c>
      <c r="AH336">
        <v>183</v>
      </c>
      <c r="AI336" s="2">
        <f>Table__192.168.3.138DYLAgingReport[[#This Row],[NetAmount]]-Table__192.168.3.138DYLAgingReport[[#This Row],[Paid]]</f>
        <v>-4710</v>
      </c>
    </row>
    <row r="337" spans="1:35">
      <c r="A337" t="s">
        <v>886</v>
      </c>
      <c r="B337" s="1">
        <v>41204</v>
      </c>
      <c r="C337" s="1">
        <v>41249</v>
      </c>
      <c r="D337" t="s">
        <v>201</v>
      </c>
      <c r="E337">
        <v>-336</v>
      </c>
      <c r="F337">
        <v>-54</v>
      </c>
      <c r="G337">
        <v>0</v>
      </c>
      <c r="H337">
        <v>0</v>
      </c>
      <c r="I337">
        <v>217</v>
      </c>
      <c r="J337">
        <v>-390</v>
      </c>
      <c r="K337" t="s">
        <v>887</v>
      </c>
      <c r="L337" s="1">
        <v>41051</v>
      </c>
      <c r="N337" t="s">
        <v>36</v>
      </c>
      <c r="O337" t="s">
        <v>37</v>
      </c>
      <c r="P337" t="s">
        <v>338</v>
      </c>
      <c r="Q337" t="s">
        <v>39</v>
      </c>
      <c r="R337" t="s">
        <v>40</v>
      </c>
      <c r="S337">
        <v>0</v>
      </c>
      <c r="U337" t="s">
        <v>41</v>
      </c>
      <c r="V337" t="s">
        <v>42</v>
      </c>
      <c r="X337" t="s">
        <v>43</v>
      </c>
      <c r="Y337" t="b">
        <v>0</v>
      </c>
      <c r="Z337" t="b">
        <v>0</v>
      </c>
      <c r="AB337" t="s">
        <v>485</v>
      </c>
      <c r="AC337" s="1">
        <v>41236</v>
      </c>
      <c r="AF337">
        <v>0</v>
      </c>
      <c r="AG337">
        <v>45</v>
      </c>
      <c r="AH337">
        <v>262</v>
      </c>
      <c r="AI337" s="2">
        <f>Table__192.168.3.138DYLAgingReport[[#This Row],[NetAmount]]-Table__192.168.3.138DYLAgingReport[[#This Row],[Paid]]</f>
        <v>-390</v>
      </c>
    </row>
    <row r="338" spans="1:35">
      <c r="A338" t="s">
        <v>888</v>
      </c>
      <c r="B338" s="1">
        <v>41204</v>
      </c>
      <c r="C338" s="1">
        <v>41249</v>
      </c>
      <c r="D338" t="s">
        <v>202</v>
      </c>
      <c r="E338">
        <v>-32</v>
      </c>
      <c r="F338">
        <v>-5</v>
      </c>
      <c r="G338">
        <v>0</v>
      </c>
      <c r="H338">
        <v>0</v>
      </c>
      <c r="I338">
        <v>169</v>
      </c>
      <c r="J338">
        <v>-37</v>
      </c>
      <c r="K338" t="s">
        <v>889</v>
      </c>
      <c r="L338" s="1">
        <v>41099</v>
      </c>
      <c r="N338" t="s">
        <v>36</v>
      </c>
      <c r="O338" t="s">
        <v>37</v>
      </c>
      <c r="P338" t="s">
        <v>339</v>
      </c>
      <c r="Q338" t="s">
        <v>39</v>
      </c>
      <c r="R338" t="s">
        <v>40</v>
      </c>
      <c r="S338">
        <v>0</v>
      </c>
      <c r="U338" t="s">
        <v>41</v>
      </c>
      <c r="V338" t="s">
        <v>42</v>
      </c>
      <c r="X338" t="s">
        <v>43</v>
      </c>
      <c r="Y338" t="b">
        <v>0</v>
      </c>
      <c r="Z338" t="b">
        <v>0</v>
      </c>
      <c r="AC338" s="1"/>
      <c r="AF338">
        <v>0</v>
      </c>
      <c r="AG338">
        <v>45</v>
      </c>
      <c r="AH338">
        <v>214</v>
      </c>
      <c r="AI338" s="2">
        <f>Table__192.168.3.138DYLAgingReport[[#This Row],[NetAmount]]-Table__192.168.3.138DYLAgingReport[[#This Row],[Paid]]</f>
        <v>-37</v>
      </c>
    </row>
    <row r="339" spans="1:35">
      <c r="A339" t="s">
        <v>890</v>
      </c>
      <c r="B339" s="1">
        <v>41186</v>
      </c>
      <c r="C339" s="1">
        <v>41231</v>
      </c>
      <c r="D339" t="s">
        <v>206</v>
      </c>
      <c r="E339">
        <v>-3995</v>
      </c>
      <c r="F339">
        <v>-639</v>
      </c>
      <c r="G339">
        <v>0</v>
      </c>
      <c r="H339">
        <v>0</v>
      </c>
      <c r="I339">
        <v>119</v>
      </c>
      <c r="J339">
        <v>-4634</v>
      </c>
      <c r="K339" t="s">
        <v>891</v>
      </c>
      <c r="L339" s="1">
        <v>41149</v>
      </c>
      <c r="N339" t="s">
        <v>36</v>
      </c>
      <c r="O339" t="s">
        <v>37</v>
      </c>
      <c r="P339" t="s">
        <v>343</v>
      </c>
      <c r="Q339" t="s">
        <v>39</v>
      </c>
      <c r="R339" t="s">
        <v>40</v>
      </c>
      <c r="S339">
        <v>0</v>
      </c>
      <c r="U339" t="s">
        <v>41</v>
      </c>
      <c r="V339" t="s">
        <v>42</v>
      </c>
      <c r="X339" t="s">
        <v>43</v>
      </c>
      <c r="Y339" t="b">
        <v>0</v>
      </c>
      <c r="Z339" t="b">
        <v>0</v>
      </c>
      <c r="AC339" s="1"/>
      <c r="AF339">
        <v>0</v>
      </c>
      <c r="AG339">
        <v>45</v>
      </c>
      <c r="AH339">
        <v>164</v>
      </c>
      <c r="AI339" s="2">
        <f>Table__192.168.3.138DYLAgingReport[[#This Row],[NetAmount]]-Table__192.168.3.138DYLAgingReport[[#This Row],[Paid]]</f>
        <v>-4634</v>
      </c>
    </row>
    <row r="340" spans="1:35">
      <c r="A340" t="s">
        <v>892</v>
      </c>
      <c r="B340" s="1">
        <v>41205</v>
      </c>
      <c r="C340" s="1">
        <v>41250</v>
      </c>
      <c r="D340" t="s">
        <v>220</v>
      </c>
      <c r="E340">
        <v>-3225</v>
      </c>
      <c r="F340">
        <v>-516</v>
      </c>
      <c r="G340">
        <v>0</v>
      </c>
      <c r="H340">
        <v>0</v>
      </c>
      <c r="I340">
        <v>89</v>
      </c>
      <c r="J340">
        <v>-3741</v>
      </c>
      <c r="K340" t="s">
        <v>893</v>
      </c>
      <c r="L340" s="1">
        <v>41179</v>
      </c>
      <c r="N340" t="s">
        <v>36</v>
      </c>
      <c r="O340" t="s">
        <v>37</v>
      </c>
      <c r="P340" t="s">
        <v>357</v>
      </c>
      <c r="Q340" t="s">
        <v>39</v>
      </c>
      <c r="R340" t="s">
        <v>40</v>
      </c>
      <c r="S340">
        <v>0</v>
      </c>
      <c r="U340" t="s">
        <v>41</v>
      </c>
      <c r="V340" t="s">
        <v>42</v>
      </c>
      <c r="X340" t="s">
        <v>43</v>
      </c>
      <c r="Y340" t="b">
        <v>0</v>
      </c>
      <c r="Z340" t="b">
        <v>0</v>
      </c>
      <c r="AC340" s="1"/>
      <c r="AF340">
        <v>0</v>
      </c>
      <c r="AG340">
        <v>45</v>
      </c>
      <c r="AH340">
        <v>134</v>
      </c>
      <c r="AI340" s="2">
        <f>Table__192.168.3.138DYLAgingReport[[#This Row],[NetAmount]]-Table__192.168.3.138DYLAgingReport[[#This Row],[Paid]]</f>
        <v>-3741</v>
      </c>
    </row>
    <row r="341" spans="1:35">
      <c r="A341" t="s">
        <v>894</v>
      </c>
      <c r="B341" s="1">
        <v>41204</v>
      </c>
      <c r="C341" s="1">
        <v>41249</v>
      </c>
      <c r="D341" t="s">
        <v>227</v>
      </c>
      <c r="E341">
        <v>-55380</v>
      </c>
      <c r="F341">
        <v>-8861</v>
      </c>
      <c r="G341">
        <v>0</v>
      </c>
      <c r="H341">
        <v>0</v>
      </c>
      <c r="I341">
        <v>161</v>
      </c>
      <c r="J341">
        <v>-64241</v>
      </c>
      <c r="K341" t="s">
        <v>895</v>
      </c>
      <c r="L341" s="1">
        <v>41107</v>
      </c>
      <c r="N341" t="s">
        <v>36</v>
      </c>
      <c r="O341" t="s">
        <v>37</v>
      </c>
      <c r="P341" t="s">
        <v>364</v>
      </c>
      <c r="Q341" t="s">
        <v>39</v>
      </c>
      <c r="R341" t="s">
        <v>40</v>
      </c>
      <c r="S341">
        <v>0</v>
      </c>
      <c r="U341" t="s">
        <v>41</v>
      </c>
      <c r="V341" t="s">
        <v>42</v>
      </c>
      <c r="X341" t="s">
        <v>43</v>
      </c>
      <c r="Y341" t="b">
        <v>0</v>
      </c>
      <c r="Z341" t="b">
        <v>0</v>
      </c>
      <c r="AC341" s="1"/>
      <c r="AF341">
        <v>0</v>
      </c>
      <c r="AG341">
        <v>45</v>
      </c>
      <c r="AH341">
        <v>206</v>
      </c>
      <c r="AI341" s="2">
        <f>Table__192.168.3.138DYLAgingReport[[#This Row],[NetAmount]]-Table__192.168.3.138DYLAgingReport[[#This Row],[Paid]]</f>
        <v>-64241</v>
      </c>
    </row>
    <row r="342" spans="1:35">
      <c r="A342" t="s">
        <v>896</v>
      </c>
      <c r="B342" s="1">
        <v>41205</v>
      </c>
      <c r="C342" s="1">
        <v>41250</v>
      </c>
      <c r="D342" t="s">
        <v>238</v>
      </c>
      <c r="E342">
        <v>-1810</v>
      </c>
      <c r="F342">
        <v>-289</v>
      </c>
      <c r="G342">
        <v>0</v>
      </c>
      <c r="H342">
        <v>0</v>
      </c>
      <c r="I342">
        <v>220</v>
      </c>
      <c r="J342">
        <v>-2099</v>
      </c>
      <c r="K342" t="s">
        <v>897</v>
      </c>
      <c r="L342" s="1">
        <v>41048</v>
      </c>
      <c r="N342" t="s">
        <v>36</v>
      </c>
      <c r="O342" t="s">
        <v>37</v>
      </c>
      <c r="P342" t="s">
        <v>375</v>
      </c>
      <c r="Q342" t="s">
        <v>39</v>
      </c>
      <c r="R342" t="s">
        <v>40</v>
      </c>
      <c r="S342">
        <v>0</v>
      </c>
      <c r="U342" t="s">
        <v>41</v>
      </c>
      <c r="V342" t="s">
        <v>42</v>
      </c>
      <c r="X342" t="s">
        <v>43</v>
      </c>
      <c r="Y342" t="b">
        <v>0</v>
      </c>
      <c r="Z342" t="b">
        <v>0</v>
      </c>
      <c r="AC342" s="1"/>
      <c r="AF342">
        <v>0</v>
      </c>
      <c r="AG342">
        <v>45</v>
      </c>
      <c r="AH342">
        <v>265</v>
      </c>
      <c r="AI342" s="2">
        <f>Table__192.168.3.138DYLAgingReport[[#This Row],[NetAmount]]-Table__192.168.3.138DYLAgingReport[[#This Row],[Paid]]</f>
        <v>-2099</v>
      </c>
    </row>
    <row r="343" spans="1:35">
      <c r="A343" t="s">
        <v>898</v>
      </c>
      <c r="B343" s="1">
        <v>41186</v>
      </c>
      <c r="C343" s="1">
        <v>41231</v>
      </c>
      <c r="D343" t="s">
        <v>239</v>
      </c>
      <c r="E343">
        <v>-3985</v>
      </c>
      <c r="F343">
        <v>-638</v>
      </c>
      <c r="G343">
        <v>0</v>
      </c>
      <c r="H343">
        <v>0</v>
      </c>
      <c r="I343">
        <v>110</v>
      </c>
      <c r="J343">
        <v>-4623</v>
      </c>
      <c r="K343" t="s">
        <v>899</v>
      </c>
      <c r="L343" s="1">
        <v>41158</v>
      </c>
      <c r="N343" t="s">
        <v>36</v>
      </c>
      <c r="O343" t="s">
        <v>37</v>
      </c>
      <c r="P343" t="s">
        <v>376</v>
      </c>
      <c r="Q343" t="s">
        <v>39</v>
      </c>
      <c r="R343" t="s">
        <v>40</v>
      </c>
      <c r="S343">
        <v>0</v>
      </c>
      <c r="T343" t="s">
        <v>900</v>
      </c>
      <c r="U343" t="s">
        <v>41</v>
      </c>
      <c r="V343" t="s">
        <v>42</v>
      </c>
      <c r="X343" t="s">
        <v>43</v>
      </c>
      <c r="Y343" t="b">
        <v>0</v>
      </c>
      <c r="Z343" t="b">
        <v>0</v>
      </c>
      <c r="AB343" t="s">
        <v>901</v>
      </c>
      <c r="AC343" s="1">
        <v>41247</v>
      </c>
      <c r="AE343" t="s">
        <v>535</v>
      </c>
      <c r="AF343">
        <v>0</v>
      </c>
      <c r="AG343">
        <v>45</v>
      </c>
      <c r="AH343">
        <v>155</v>
      </c>
      <c r="AI343" s="2">
        <f>Table__192.168.3.138DYLAgingReport[[#This Row],[NetAmount]]-Table__192.168.3.138DYLAgingReport[[#This Row],[Paid]]</f>
        <v>-4623</v>
      </c>
    </row>
    <row r="344" spans="1:35">
      <c r="A344" t="s">
        <v>902</v>
      </c>
      <c r="B344" s="1">
        <v>41213</v>
      </c>
      <c r="C344" s="1">
        <v>41258</v>
      </c>
      <c r="D344" t="s">
        <v>242</v>
      </c>
      <c r="E344">
        <v>-5476</v>
      </c>
      <c r="F344">
        <v>-876</v>
      </c>
      <c r="G344">
        <v>0</v>
      </c>
      <c r="H344">
        <v>0</v>
      </c>
      <c r="I344">
        <v>147</v>
      </c>
      <c r="J344">
        <v>-6352</v>
      </c>
      <c r="K344" t="s">
        <v>903</v>
      </c>
      <c r="L344" s="1">
        <v>41121</v>
      </c>
      <c r="N344" t="s">
        <v>36</v>
      </c>
      <c r="O344" t="s">
        <v>37</v>
      </c>
      <c r="P344" t="s">
        <v>379</v>
      </c>
      <c r="Q344" t="s">
        <v>39</v>
      </c>
      <c r="R344" t="s">
        <v>40</v>
      </c>
      <c r="S344">
        <v>0</v>
      </c>
      <c r="U344" t="s">
        <v>41</v>
      </c>
      <c r="V344" t="s">
        <v>42</v>
      </c>
      <c r="X344" t="s">
        <v>43</v>
      </c>
      <c r="Y344" t="b">
        <v>0</v>
      </c>
      <c r="Z344" t="b">
        <v>0</v>
      </c>
      <c r="AC344" s="1"/>
      <c r="AF344">
        <v>0</v>
      </c>
      <c r="AG344">
        <v>45</v>
      </c>
      <c r="AH344">
        <v>192</v>
      </c>
      <c r="AI344" s="2">
        <f>Table__192.168.3.138DYLAgingReport[[#This Row],[NetAmount]]-Table__192.168.3.138DYLAgingReport[[#This Row],[Paid]]</f>
        <v>-6352</v>
      </c>
    </row>
    <row r="345" spans="1:35">
      <c r="A345" t="s">
        <v>904</v>
      </c>
      <c r="B345" s="1">
        <v>41204</v>
      </c>
      <c r="C345" s="1">
        <v>41249</v>
      </c>
      <c r="D345" t="s">
        <v>246</v>
      </c>
      <c r="E345">
        <v>-23925</v>
      </c>
      <c r="F345">
        <v>-3828</v>
      </c>
      <c r="G345">
        <v>0</v>
      </c>
      <c r="H345">
        <v>0</v>
      </c>
      <c r="I345">
        <v>166</v>
      </c>
      <c r="J345">
        <v>-27753</v>
      </c>
      <c r="K345" t="s">
        <v>905</v>
      </c>
      <c r="L345" s="1">
        <v>41102</v>
      </c>
      <c r="N345" t="s">
        <v>36</v>
      </c>
      <c r="O345" t="s">
        <v>37</v>
      </c>
      <c r="P345" t="s">
        <v>383</v>
      </c>
      <c r="Q345" t="s">
        <v>39</v>
      </c>
      <c r="R345" t="s">
        <v>40</v>
      </c>
      <c r="S345">
        <v>0</v>
      </c>
      <c r="U345" t="s">
        <v>41</v>
      </c>
      <c r="V345" t="s">
        <v>42</v>
      </c>
      <c r="X345" t="s">
        <v>43</v>
      </c>
      <c r="Y345" t="b">
        <v>0</v>
      </c>
      <c r="Z345" t="b">
        <v>0</v>
      </c>
      <c r="AB345" t="s">
        <v>906</v>
      </c>
      <c r="AC345" s="1">
        <v>41249</v>
      </c>
      <c r="AE345" t="s">
        <v>907</v>
      </c>
      <c r="AF345">
        <v>0</v>
      </c>
      <c r="AG345">
        <v>45</v>
      </c>
      <c r="AH345">
        <v>211</v>
      </c>
      <c r="AI345" s="2">
        <f>Table__192.168.3.138DYLAgingReport[[#This Row],[NetAmount]]-Table__192.168.3.138DYLAgingReport[[#This Row],[Paid]]</f>
        <v>-27753</v>
      </c>
    </row>
    <row r="346" spans="1:35">
      <c r="A346" t="s">
        <v>908</v>
      </c>
      <c r="B346" s="1">
        <v>41204</v>
      </c>
      <c r="C346" s="1">
        <v>41249</v>
      </c>
      <c r="D346" t="s">
        <v>247</v>
      </c>
      <c r="E346">
        <v>-275</v>
      </c>
      <c r="F346">
        <v>-44</v>
      </c>
      <c r="G346">
        <v>0</v>
      </c>
      <c r="H346">
        <v>0</v>
      </c>
      <c r="I346">
        <v>181</v>
      </c>
      <c r="J346">
        <v>-319</v>
      </c>
      <c r="K346" t="s">
        <v>909</v>
      </c>
      <c r="L346" s="1">
        <v>41087</v>
      </c>
      <c r="N346" t="s">
        <v>36</v>
      </c>
      <c r="O346" t="s">
        <v>37</v>
      </c>
      <c r="P346" t="s">
        <v>384</v>
      </c>
      <c r="Q346" t="s">
        <v>39</v>
      </c>
      <c r="R346" t="s">
        <v>40</v>
      </c>
      <c r="S346">
        <v>0</v>
      </c>
      <c r="U346" t="s">
        <v>41</v>
      </c>
      <c r="V346" t="s">
        <v>42</v>
      </c>
      <c r="X346" t="s">
        <v>43</v>
      </c>
      <c r="Y346" t="b">
        <v>0</v>
      </c>
      <c r="Z346" t="b">
        <v>0</v>
      </c>
      <c r="AC346" s="1"/>
      <c r="AF346">
        <v>0</v>
      </c>
      <c r="AG346">
        <v>45</v>
      </c>
      <c r="AH346">
        <v>226</v>
      </c>
      <c r="AI346" s="2">
        <f>Table__192.168.3.138DYLAgingReport[[#This Row],[NetAmount]]-Table__192.168.3.138DYLAgingReport[[#This Row],[Paid]]</f>
        <v>-319</v>
      </c>
    </row>
    <row r="347" spans="1:35">
      <c r="A347" t="s">
        <v>910</v>
      </c>
      <c r="B347" s="1">
        <v>41204</v>
      </c>
      <c r="C347" s="1">
        <v>41249</v>
      </c>
      <c r="D347" t="s">
        <v>250</v>
      </c>
      <c r="E347">
        <v>-522</v>
      </c>
      <c r="F347">
        <v>-84</v>
      </c>
      <c r="G347">
        <v>0</v>
      </c>
      <c r="H347">
        <v>0</v>
      </c>
      <c r="I347">
        <v>108</v>
      </c>
      <c r="J347">
        <v>-606</v>
      </c>
      <c r="K347" t="s">
        <v>911</v>
      </c>
      <c r="L347" s="1">
        <v>41160</v>
      </c>
      <c r="N347" t="s">
        <v>36</v>
      </c>
      <c r="O347" t="s">
        <v>37</v>
      </c>
      <c r="P347" t="s">
        <v>387</v>
      </c>
      <c r="Q347" t="s">
        <v>39</v>
      </c>
      <c r="R347" t="s">
        <v>40</v>
      </c>
      <c r="S347">
        <v>0</v>
      </c>
      <c r="U347" t="s">
        <v>41</v>
      </c>
      <c r="V347" t="s">
        <v>42</v>
      </c>
      <c r="X347" t="s">
        <v>43</v>
      </c>
      <c r="Y347" t="b">
        <v>0</v>
      </c>
      <c r="Z347" t="b">
        <v>0</v>
      </c>
      <c r="AB347" t="s">
        <v>912</v>
      </c>
      <c r="AC347" s="1"/>
      <c r="AF347">
        <v>0</v>
      </c>
      <c r="AG347">
        <v>45</v>
      </c>
      <c r="AH347">
        <v>153</v>
      </c>
      <c r="AI347" s="2">
        <f>Table__192.168.3.138DYLAgingReport[[#This Row],[NetAmount]]-Table__192.168.3.138DYLAgingReport[[#This Row],[Paid]]</f>
        <v>-606</v>
      </c>
    </row>
    <row r="348" spans="1:35">
      <c r="A348" t="s">
        <v>913</v>
      </c>
      <c r="B348" s="1">
        <v>41213</v>
      </c>
      <c r="C348" s="1">
        <v>41258</v>
      </c>
      <c r="D348" t="s">
        <v>251</v>
      </c>
      <c r="E348">
        <v>-16825</v>
      </c>
      <c r="F348">
        <v>-2692</v>
      </c>
      <c r="G348">
        <v>0</v>
      </c>
      <c r="H348">
        <v>0</v>
      </c>
      <c r="I348">
        <v>148</v>
      </c>
      <c r="J348">
        <v>-19517</v>
      </c>
      <c r="K348" t="s">
        <v>914</v>
      </c>
      <c r="L348" s="1">
        <v>41120</v>
      </c>
      <c r="N348" t="s">
        <v>36</v>
      </c>
      <c r="O348" t="s">
        <v>37</v>
      </c>
      <c r="P348" t="s">
        <v>388</v>
      </c>
      <c r="Q348" t="s">
        <v>39</v>
      </c>
      <c r="R348" t="s">
        <v>40</v>
      </c>
      <c r="S348">
        <v>0</v>
      </c>
      <c r="U348" t="s">
        <v>41</v>
      </c>
      <c r="V348" t="s">
        <v>42</v>
      </c>
      <c r="X348" t="s">
        <v>43</v>
      </c>
      <c r="Y348" t="b">
        <v>0</v>
      </c>
      <c r="Z348" t="b">
        <v>0</v>
      </c>
      <c r="AB348" t="s">
        <v>915</v>
      </c>
      <c r="AC348" s="1">
        <v>41275</v>
      </c>
      <c r="AF348">
        <v>0</v>
      </c>
      <c r="AG348">
        <v>45</v>
      </c>
      <c r="AH348">
        <v>193</v>
      </c>
      <c r="AI348" s="2">
        <f>Table__192.168.3.138DYLAgingReport[[#This Row],[NetAmount]]-Table__192.168.3.138DYLAgingReport[[#This Row],[Paid]]</f>
        <v>-19517</v>
      </c>
    </row>
    <row r="349" spans="1:35">
      <c r="A349" t="s">
        <v>916</v>
      </c>
      <c r="B349" s="1">
        <v>41207</v>
      </c>
      <c r="C349" s="1">
        <v>41252</v>
      </c>
      <c r="D349" t="s">
        <v>254</v>
      </c>
      <c r="E349">
        <v>-20180</v>
      </c>
      <c r="F349">
        <v>-3229</v>
      </c>
      <c r="G349">
        <v>0</v>
      </c>
      <c r="H349">
        <v>0</v>
      </c>
      <c r="I349">
        <v>110</v>
      </c>
      <c r="J349">
        <v>-23409</v>
      </c>
      <c r="K349" t="s">
        <v>917</v>
      </c>
      <c r="L349" s="1">
        <v>41158</v>
      </c>
      <c r="N349" t="s">
        <v>36</v>
      </c>
      <c r="O349" t="s">
        <v>37</v>
      </c>
      <c r="P349" t="s">
        <v>391</v>
      </c>
      <c r="Q349" t="s">
        <v>39</v>
      </c>
      <c r="R349" t="s">
        <v>40</v>
      </c>
      <c r="S349">
        <v>0</v>
      </c>
      <c r="U349" t="s">
        <v>41</v>
      </c>
      <c r="V349" t="s">
        <v>42</v>
      </c>
      <c r="X349" t="s">
        <v>43</v>
      </c>
      <c r="Y349" t="b">
        <v>0</v>
      </c>
      <c r="Z349" t="b">
        <v>0</v>
      </c>
      <c r="AB349" t="s">
        <v>918</v>
      </c>
      <c r="AC349" s="1">
        <v>41298</v>
      </c>
      <c r="AF349">
        <v>0</v>
      </c>
      <c r="AG349">
        <v>45</v>
      </c>
      <c r="AH349">
        <v>155</v>
      </c>
      <c r="AI349" s="2">
        <f>Table__192.168.3.138DYLAgingReport[[#This Row],[NetAmount]]-Table__192.168.3.138DYLAgingReport[[#This Row],[Paid]]</f>
        <v>-23409</v>
      </c>
    </row>
    <row r="350" spans="1:35">
      <c r="A350" t="s">
        <v>919</v>
      </c>
      <c r="B350" s="1">
        <v>41193</v>
      </c>
      <c r="C350" s="1">
        <v>41238</v>
      </c>
      <c r="D350" t="s">
        <v>262</v>
      </c>
      <c r="E350">
        <v>-3240</v>
      </c>
      <c r="F350">
        <v>-518</v>
      </c>
      <c r="G350">
        <v>0</v>
      </c>
      <c r="H350">
        <v>0</v>
      </c>
      <c r="I350">
        <v>90</v>
      </c>
      <c r="J350">
        <v>-3758</v>
      </c>
      <c r="K350" t="s">
        <v>920</v>
      </c>
      <c r="L350" s="1">
        <v>41178</v>
      </c>
      <c r="N350" t="s">
        <v>36</v>
      </c>
      <c r="O350" t="s">
        <v>37</v>
      </c>
      <c r="P350" t="s">
        <v>399</v>
      </c>
      <c r="Q350" t="s">
        <v>39</v>
      </c>
      <c r="R350" t="s">
        <v>40</v>
      </c>
      <c r="S350">
        <v>0</v>
      </c>
      <c r="U350" t="s">
        <v>41</v>
      </c>
      <c r="V350" t="s">
        <v>42</v>
      </c>
      <c r="X350" t="s">
        <v>43</v>
      </c>
      <c r="Y350" t="b">
        <v>0</v>
      </c>
      <c r="Z350" t="b">
        <v>0</v>
      </c>
      <c r="AC350" s="1"/>
      <c r="AF350">
        <v>0</v>
      </c>
      <c r="AG350">
        <v>45</v>
      </c>
      <c r="AH350">
        <v>135</v>
      </c>
      <c r="AI350" s="2">
        <f>Table__192.168.3.138DYLAgingReport[[#This Row],[NetAmount]]-Table__192.168.3.138DYLAgingReport[[#This Row],[Paid]]</f>
        <v>-3758</v>
      </c>
    </row>
    <row r="351" spans="1:35">
      <c r="A351" t="s">
        <v>921</v>
      </c>
      <c r="B351" s="1">
        <v>41193</v>
      </c>
      <c r="C351" s="1">
        <v>41238</v>
      </c>
      <c r="D351" t="s">
        <v>264</v>
      </c>
      <c r="E351">
        <v>-14000</v>
      </c>
      <c r="F351">
        <v>-2240</v>
      </c>
      <c r="G351">
        <v>0</v>
      </c>
      <c r="H351">
        <v>0</v>
      </c>
      <c r="I351">
        <v>105</v>
      </c>
      <c r="J351">
        <v>-16240</v>
      </c>
      <c r="K351" t="s">
        <v>922</v>
      </c>
      <c r="L351" s="1">
        <v>41163</v>
      </c>
      <c r="N351" t="s">
        <v>36</v>
      </c>
      <c r="O351" t="s">
        <v>37</v>
      </c>
      <c r="P351" t="s">
        <v>401</v>
      </c>
      <c r="Q351" t="s">
        <v>39</v>
      </c>
      <c r="R351" t="s">
        <v>40</v>
      </c>
      <c r="S351">
        <v>0</v>
      </c>
      <c r="U351" t="s">
        <v>41</v>
      </c>
      <c r="V351" t="s">
        <v>42</v>
      </c>
      <c r="X351" t="s">
        <v>43</v>
      </c>
      <c r="Y351" t="b">
        <v>0</v>
      </c>
      <c r="Z351" t="b">
        <v>0</v>
      </c>
      <c r="AB351" t="s">
        <v>923</v>
      </c>
      <c r="AC351" s="1"/>
      <c r="AF351">
        <v>0</v>
      </c>
      <c r="AG351">
        <v>45</v>
      </c>
      <c r="AH351">
        <v>150</v>
      </c>
      <c r="AI351" s="2">
        <f>Table__192.168.3.138DYLAgingReport[[#This Row],[NetAmount]]-Table__192.168.3.138DYLAgingReport[[#This Row],[Paid]]</f>
        <v>-16240</v>
      </c>
    </row>
    <row r="352" spans="1:35">
      <c r="A352" t="s">
        <v>924</v>
      </c>
      <c r="B352" s="1">
        <v>41199</v>
      </c>
      <c r="C352" s="1">
        <v>41244</v>
      </c>
      <c r="D352" t="s">
        <v>268</v>
      </c>
      <c r="E352">
        <v>-232</v>
      </c>
      <c r="F352">
        <v>-37</v>
      </c>
      <c r="G352">
        <v>0</v>
      </c>
      <c r="H352">
        <v>0</v>
      </c>
      <c r="I352">
        <v>176</v>
      </c>
      <c r="J352">
        <v>-269</v>
      </c>
      <c r="K352" t="s">
        <v>925</v>
      </c>
      <c r="L352" s="1">
        <v>41092</v>
      </c>
      <c r="N352" t="s">
        <v>36</v>
      </c>
      <c r="O352" t="s">
        <v>37</v>
      </c>
      <c r="P352" t="s">
        <v>405</v>
      </c>
      <c r="Q352" t="s">
        <v>39</v>
      </c>
      <c r="R352" t="s">
        <v>40</v>
      </c>
      <c r="S352">
        <v>0</v>
      </c>
      <c r="U352" t="s">
        <v>41</v>
      </c>
      <c r="V352" t="s">
        <v>42</v>
      </c>
      <c r="X352" t="s">
        <v>43</v>
      </c>
      <c r="Y352" t="b">
        <v>0</v>
      </c>
      <c r="Z352" t="b">
        <v>0</v>
      </c>
      <c r="AC352" s="1"/>
      <c r="AF352">
        <v>0</v>
      </c>
      <c r="AG352">
        <v>45</v>
      </c>
      <c r="AH352">
        <v>221</v>
      </c>
      <c r="AI352" s="2">
        <f>Table__192.168.3.138DYLAgingReport[[#This Row],[NetAmount]]-Table__192.168.3.138DYLAgingReport[[#This Row],[Paid]]</f>
        <v>-269</v>
      </c>
    </row>
    <row r="353" spans="1:35">
      <c r="A353" t="s">
        <v>926</v>
      </c>
      <c r="B353" s="1">
        <v>41213</v>
      </c>
      <c r="C353" s="1">
        <v>41258</v>
      </c>
      <c r="D353" t="s">
        <v>271</v>
      </c>
      <c r="E353">
        <v>-51140</v>
      </c>
      <c r="F353">
        <v>-8182</v>
      </c>
      <c r="G353">
        <v>0</v>
      </c>
      <c r="H353">
        <v>0</v>
      </c>
      <c r="I353">
        <v>165</v>
      </c>
      <c r="J353">
        <v>-59322</v>
      </c>
      <c r="K353" t="s">
        <v>927</v>
      </c>
      <c r="L353" s="1">
        <v>41103</v>
      </c>
      <c r="M353" t="s">
        <v>928</v>
      </c>
      <c r="N353" t="s">
        <v>36</v>
      </c>
      <c r="O353" t="s">
        <v>37</v>
      </c>
      <c r="P353" t="s">
        <v>408</v>
      </c>
      <c r="Q353" t="s">
        <v>39</v>
      </c>
      <c r="R353" t="s">
        <v>40</v>
      </c>
      <c r="S353">
        <v>0</v>
      </c>
      <c r="U353" t="s">
        <v>41</v>
      </c>
      <c r="V353" t="s">
        <v>42</v>
      </c>
      <c r="W353" t="s">
        <v>929</v>
      </c>
      <c r="X353" t="s">
        <v>43</v>
      </c>
      <c r="Y353" t="b">
        <v>0</v>
      </c>
      <c r="Z353" t="b">
        <v>0</v>
      </c>
      <c r="AA353" t="b">
        <v>0</v>
      </c>
      <c r="AC353" s="1"/>
      <c r="AF353">
        <v>0</v>
      </c>
      <c r="AG353">
        <v>45</v>
      </c>
      <c r="AH353">
        <v>210</v>
      </c>
      <c r="AI353" s="2">
        <f>Table__192.168.3.138DYLAgingReport[[#This Row],[NetAmount]]-Table__192.168.3.138DYLAgingReport[[#This Row],[Paid]]</f>
        <v>-59322</v>
      </c>
    </row>
    <row r="354" spans="1:35">
      <c r="A354" t="s">
        <v>930</v>
      </c>
      <c r="B354" s="1">
        <v>41200</v>
      </c>
      <c r="C354" s="1">
        <v>41245</v>
      </c>
      <c r="D354" t="s">
        <v>276</v>
      </c>
      <c r="E354">
        <v>-26529</v>
      </c>
      <c r="F354">
        <v>-4245</v>
      </c>
      <c r="G354">
        <v>0</v>
      </c>
      <c r="H354">
        <v>0</v>
      </c>
      <c r="I354">
        <v>103</v>
      </c>
      <c r="J354">
        <v>-30774</v>
      </c>
      <c r="K354" t="s">
        <v>931</v>
      </c>
      <c r="L354" s="1">
        <v>41165</v>
      </c>
      <c r="N354" t="s">
        <v>36</v>
      </c>
      <c r="O354" t="s">
        <v>37</v>
      </c>
      <c r="P354" t="s">
        <v>413</v>
      </c>
      <c r="Q354" t="s">
        <v>39</v>
      </c>
      <c r="R354" t="s">
        <v>40</v>
      </c>
      <c r="S354">
        <v>0</v>
      </c>
      <c r="U354" t="s">
        <v>41</v>
      </c>
      <c r="V354" t="s">
        <v>42</v>
      </c>
      <c r="X354" t="s">
        <v>43</v>
      </c>
      <c r="Y354" t="b">
        <v>0</v>
      </c>
      <c r="Z354" t="b">
        <v>0</v>
      </c>
      <c r="AB354" t="s">
        <v>932</v>
      </c>
      <c r="AC354" s="1">
        <v>41298</v>
      </c>
      <c r="AF354">
        <v>0</v>
      </c>
      <c r="AG354">
        <v>45</v>
      </c>
      <c r="AH354">
        <v>148</v>
      </c>
      <c r="AI354" s="2">
        <f>Table__192.168.3.138DYLAgingReport[[#This Row],[NetAmount]]-Table__192.168.3.138DYLAgingReport[[#This Row],[Paid]]</f>
        <v>-30774</v>
      </c>
    </row>
    <row r="355" spans="1:35">
      <c r="A355" t="s">
        <v>933</v>
      </c>
      <c r="B355" s="1">
        <v>41204</v>
      </c>
      <c r="C355" s="1">
        <v>41249</v>
      </c>
      <c r="D355" t="s">
        <v>279</v>
      </c>
      <c r="E355">
        <v>-3317</v>
      </c>
      <c r="F355">
        <v>-531</v>
      </c>
      <c r="G355">
        <v>0</v>
      </c>
      <c r="H355">
        <v>0</v>
      </c>
      <c r="I355">
        <v>89</v>
      </c>
      <c r="J355">
        <v>-3848</v>
      </c>
      <c r="K355" t="s">
        <v>934</v>
      </c>
      <c r="L355" s="1">
        <v>41179</v>
      </c>
      <c r="N355" t="s">
        <v>36</v>
      </c>
      <c r="O355" t="s">
        <v>37</v>
      </c>
      <c r="P355" t="s">
        <v>416</v>
      </c>
      <c r="Q355" t="s">
        <v>39</v>
      </c>
      <c r="R355" t="s">
        <v>40</v>
      </c>
      <c r="S355">
        <v>0</v>
      </c>
      <c r="U355" t="s">
        <v>41</v>
      </c>
      <c r="V355" t="s">
        <v>42</v>
      </c>
      <c r="X355" t="s">
        <v>43</v>
      </c>
      <c r="Y355" t="b">
        <v>0</v>
      </c>
      <c r="Z355" t="b">
        <v>0</v>
      </c>
      <c r="AC355" s="1"/>
      <c r="AF355">
        <v>0</v>
      </c>
      <c r="AG355">
        <v>45</v>
      </c>
      <c r="AH355">
        <v>134</v>
      </c>
      <c r="AI355" s="2">
        <f>Table__192.168.3.138DYLAgingReport[[#This Row],[NetAmount]]-Table__192.168.3.138DYLAgingReport[[#This Row],[Paid]]</f>
        <v>-3848</v>
      </c>
    </row>
    <row r="356" spans="1:35">
      <c r="A356" t="s">
        <v>935</v>
      </c>
      <c r="B356" s="1">
        <v>41193</v>
      </c>
      <c r="C356" s="1">
        <v>41238</v>
      </c>
      <c r="D356" t="s">
        <v>282</v>
      </c>
      <c r="E356">
        <v>-129000</v>
      </c>
      <c r="F356">
        <v>-20640</v>
      </c>
      <c r="G356">
        <v>0</v>
      </c>
      <c r="H356">
        <v>0</v>
      </c>
      <c r="I356">
        <v>117</v>
      </c>
      <c r="J356">
        <v>-149640</v>
      </c>
      <c r="K356" t="s">
        <v>93</v>
      </c>
      <c r="L356" s="1">
        <v>41151</v>
      </c>
      <c r="N356" t="s">
        <v>36</v>
      </c>
      <c r="O356" t="s">
        <v>37</v>
      </c>
      <c r="P356" t="s">
        <v>419</v>
      </c>
      <c r="Q356" t="s">
        <v>39</v>
      </c>
      <c r="R356" t="s">
        <v>40</v>
      </c>
      <c r="S356">
        <v>0</v>
      </c>
      <c r="U356" t="s">
        <v>41</v>
      </c>
      <c r="V356" t="s">
        <v>42</v>
      </c>
      <c r="X356" t="s">
        <v>43</v>
      </c>
      <c r="Y356" t="b">
        <v>0</v>
      </c>
      <c r="Z356" t="b">
        <v>0</v>
      </c>
      <c r="AB356" t="s">
        <v>936</v>
      </c>
      <c r="AC356" s="1">
        <v>41297</v>
      </c>
      <c r="AF356">
        <v>0</v>
      </c>
      <c r="AG356">
        <v>45</v>
      </c>
      <c r="AH356">
        <v>162</v>
      </c>
      <c r="AI356" s="2">
        <f>Table__192.168.3.138DYLAgingReport[[#This Row],[NetAmount]]-Table__192.168.3.138DYLAgingReport[[#This Row],[Paid]]</f>
        <v>-149640</v>
      </c>
    </row>
    <row r="357" spans="1:35">
      <c r="A357" t="s">
        <v>937</v>
      </c>
      <c r="B357" s="1">
        <v>41205</v>
      </c>
      <c r="C357" s="1">
        <v>41250</v>
      </c>
      <c r="D357" t="s">
        <v>286</v>
      </c>
      <c r="E357">
        <v>-1428</v>
      </c>
      <c r="F357">
        <v>-228</v>
      </c>
      <c r="G357">
        <v>0</v>
      </c>
      <c r="H357">
        <v>0</v>
      </c>
      <c r="I357">
        <v>120</v>
      </c>
      <c r="J357">
        <v>-1656</v>
      </c>
      <c r="K357" t="s">
        <v>938</v>
      </c>
      <c r="L357" s="1">
        <v>41148</v>
      </c>
      <c r="N357" t="s">
        <v>36</v>
      </c>
      <c r="O357" t="s">
        <v>37</v>
      </c>
      <c r="P357" t="s">
        <v>423</v>
      </c>
      <c r="Q357" t="s">
        <v>39</v>
      </c>
      <c r="R357" t="s">
        <v>40</v>
      </c>
      <c r="S357">
        <v>0</v>
      </c>
      <c r="U357" t="s">
        <v>41</v>
      </c>
      <c r="V357" t="s">
        <v>42</v>
      </c>
      <c r="X357" t="s">
        <v>43</v>
      </c>
      <c r="Y357" t="b">
        <v>0</v>
      </c>
      <c r="Z357" t="b">
        <v>0</v>
      </c>
      <c r="AC357" s="1"/>
      <c r="AF357">
        <v>0</v>
      </c>
      <c r="AG357">
        <v>45</v>
      </c>
      <c r="AH357">
        <v>165</v>
      </c>
      <c r="AI357" s="2">
        <f>Table__192.168.3.138DYLAgingReport[[#This Row],[NetAmount]]-Table__192.168.3.138DYLAgingReport[[#This Row],[Paid]]</f>
        <v>-1656</v>
      </c>
    </row>
    <row r="358" spans="1:35">
      <c r="A358" t="s">
        <v>939</v>
      </c>
      <c r="B358" s="1">
        <v>41191</v>
      </c>
      <c r="C358" s="1">
        <v>41236</v>
      </c>
      <c r="D358" t="s">
        <v>288</v>
      </c>
      <c r="E358">
        <v>-1522</v>
      </c>
      <c r="F358">
        <v>-243</v>
      </c>
      <c r="G358">
        <v>0</v>
      </c>
      <c r="H358">
        <v>0</v>
      </c>
      <c r="I358">
        <v>502</v>
      </c>
      <c r="J358">
        <v>-1765</v>
      </c>
      <c r="K358" t="s">
        <v>940</v>
      </c>
      <c r="L358" s="1">
        <v>40766</v>
      </c>
      <c r="N358" t="s">
        <v>36</v>
      </c>
      <c r="O358" t="s">
        <v>37</v>
      </c>
      <c r="P358" t="s">
        <v>425</v>
      </c>
      <c r="Q358" t="s">
        <v>39</v>
      </c>
      <c r="R358" t="s">
        <v>40</v>
      </c>
      <c r="S358">
        <v>0</v>
      </c>
      <c r="U358" t="s">
        <v>41</v>
      </c>
      <c r="V358" t="s">
        <v>42</v>
      </c>
      <c r="X358" t="s">
        <v>43</v>
      </c>
      <c r="Y358" t="b">
        <v>0</v>
      </c>
      <c r="Z358" t="b">
        <v>0</v>
      </c>
      <c r="AC358" s="1"/>
      <c r="AF358">
        <v>0</v>
      </c>
      <c r="AG358">
        <v>45</v>
      </c>
      <c r="AH358">
        <v>547</v>
      </c>
      <c r="AI358" s="2">
        <f>Table__192.168.3.138DYLAgingReport[[#This Row],[NetAmount]]-Table__192.168.3.138DYLAgingReport[[#This Row],[Paid]]</f>
        <v>-1765</v>
      </c>
    </row>
    <row r="359" spans="1:35">
      <c r="A359" t="s">
        <v>941</v>
      </c>
      <c r="B359" s="1">
        <v>41202</v>
      </c>
      <c r="C359" s="1">
        <v>41202</v>
      </c>
      <c r="D359" t="s">
        <v>291</v>
      </c>
      <c r="E359">
        <v>-1116</v>
      </c>
      <c r="F359">
        <v>-179</v>
      </c>
      <c r="G359">
        <v>0</v>
      </c>
      <c r="H359">
        <v>0</v>
      </c>
      <c r="I359">
        <v>162</v>
      </c>
      <c r="J359">
        <v>-1295</v>
      </c>
      <c r="L359" s="1">
        <v>41106</v>
      </c>
      <c r="M359" t="s">
        <v>942</v>
      </c>
      <c r="N359" t="s">
        <v>36</v>
      </c>
      <c r="O359" t="s">
        <v>37</v>
      </c>
      <c r="P359" t="s">
        <v>428</v>
      </c>
      <c r="Q359" t="s">
        <v>39</v>
      </c>
      <c r="R359" t="s">
        <v>40</v>
      </c>
      <c r="S359">
        <v>0</v>
      </c>
      <c r="U359" t="s">
        <v>41</v>
      </c>
      <c r="V359" t="s">
        <v>42</v>
      </c>
      <c r="W359" t="s">
        <v>792</v>
      </c>
      <c r="X359" t="s">
        <v>43</v>
      </c>
      <c r="Y359" t="b">
        <v>0</v>
      </c>
      <c r="Z359" t="b">
        <v>0</v>
      </c>
      <c r="AA359" t="b">
        <v>0</v>
      </c>
      <c r="AC359" s="1"/>
      <c r="AF359">
        <v>0</v>
      </c>
      <c r="AG359">
        <v>45</v>
      </c>
      <c r="AH359">
        <v>207</v>
      </c>
      <c r="AI359" s="2">
        <f>Table__192.168.3.138DYLAgingReport[[#This Row],[NetAmount]]-Table__192.168.3.138DYLAgingReport[[#This Row],[Paid]]</f>
        <v>-1295</v>
      </c>
    </row>
    <row r="360" spans="1:35">
      <c r="A360" t="s">
        <v>943</v>
      </c>
      <c r="B360" s="1">
        <v>41193</v>
      </c>
      <c r="C360" s="1">
        <v>41193</v>
      </c>
      <c r="D360" t="s">
        <v>293</v>
      </c>
      <c r="E360">
        <v>-3785</v>
      </c>
      <c r="F360">
        <v>-606</v>
      </c>
      <c r="G360">
        <v>0</v>
      </c>
      <c r="H360">
        <v>0</v>
      </c>
      <c r="I360">
        <v>134</v>
      </c>
      <c r="J360">
        <v>-4391</v>
      </c>
      <c r="K360" t="s">
        <v>944</v>
      </c>
      <c r="L360" s="1">
        <v>41134</v>
      </c>
      <c r="N360" t="s">
        <v>36</v>
      </c>
      <c r="O360" t="s">
        <v>37</v>
      </c>
      <c r="P360" t="s">
        <v>430</v>
      </c>
      <c r="Q360" t="s">
        <v>39</v>
      </c>
      <c r="R360" t="s">
        <v>40</v>
      </c>
      <c r="S360">
        <v>0</v>
      </c>
      <c r="U360" t="s">
        <v>41</v>
      </c>
      <c r="V360" t="s">
        <v>42</v>
      </c>
      <c r="X360" t="s">
        <v>43</v>
      </c>
      <c r="Y360" t="b">
        <v>0</v>
      </c>
      <c r="Z360" t="b">
        <v>0</v>
      </c>
      <c r="AC360" s="1"/>
      <c r="AF360">
        <v>0</v>
      </c>
      <c r="AG360">
        <v>45</v>
      </c>
      <c r="AH360">
        <v>179</v>
      </c>
      <c r="AI360" s="2">
        <f>Table__192.168.3.138DYLAgingReport[[#This Row],[NetAmount]]-Table__192.168.3.138DYLAgingReport[[#This Row],[Paid]]</f>
        <v>-4391</v>
      </c>
    </row>
    <row r="361" spans="1:35">
      <c r="A361" t="s">
        <v>945</v>
      </c>
      <c r="B361" s="1">
        <v>41200</v>
      </c>
      <c r="C361" s="1">
        <v>41200</v>
      </c>
      <c r="D361" t="s">
        <v>297</v>
      </c>
      <c r="E361">
        <v>-75000</v>
      </c>
      <c r="F361">
        <v>-12000</v>
      </c>
      <c r="G361">
        <v>0</v>
      </c>
      <c r="H361">
        <v>0</v>
      </c>
      <c r="I361">
        <v>88</v>
      </c>
      <c r="J361">
        <v>-87000</v>
      </c>
      <c r="K361" t="s">
        <v>946</v>
      </c>
      <c r="L361" s="1">
        <v>41180</v>
      </c>
      <c r="N361" t="s">
        <v>36</v>
      </c>
      <c r="O361" t="s">
        <v>37</v>
      </c>
      <c r="P361" t="s">
        <v>434</v>
      </c>
      <c r="Q361" t="s">
        <v>39</v>
      </c>
      <c r="R361" t="s">
        <v>40</v>
      </c>
      <c r="S361">
        <v>0</v>
      </c>
      <c r="U361" t="s">
        <v>41</v>
      </c>
      <c r="V361" t="s">
        <v>42</v>
      </c>
      <c r="X361" t="s">
        <v>43</v>
      </c>
      <c r="Y361" t="b">
        <v>0</v>
      </c>
      <c r="Z361" t="b">
        <v>0</v>
      </c>
      <c r="AB361" t="s">
        <v>947</v>
      </c>
      <c r="AC361" s="1">
        <v>41263</v>
      </c>
      <c r="AF361">
        <v>0</v>
      </c>
      <c r="AG361">
        <v>45</v>
      </c>
      <c r="AH361">
        <v>133</v>
      </c>
      <c r="AI361" s="2">
        <f>Table__192.168.3.138DYLAgingReport[[#This Row],[NetAmount]]-Table__192.168.3.138DYLAgingReport[[#This Row],[Paid]]</f>
        <v>-87000</v>
      </c>
    </row>
    <row r="362" spans="1:35">
      <c r="A362" t="s">
        <v>948</v>
      </c>
      <c r="B362" s="1">
        <v>41213</v>
      </c>
      <c r="C362" s="1">
        <v>41258</v>
      </c>
      <c r="D362" t="s">
        <v>208</v>
      </c>
      <c r="E362">
        <v>-2214</v>
      </c>
      <c r="F362">
        <v>-354</v>
      </c>
      <c r="G362">
        <v>0</v>
      </c>
      <c r="H362">
        <v>0</v>
      </c>
      <c r="I362">
        <v>66</v>
      </c>
      <c r="J362">
        <v>-2568</v>
      </c>
      <c r="K362" t="s">
        <v>949</v>
      </c>
      <c r="L362" s="1">
        <v>41202</v>
      </c>
      <c r="N362" t="s">
        <v>36</v>
      </c>
      <c r="O362" t="s">
        <v>37</v>
      </c>
      <c r="P362" t="s">
        <v>345</v>
      </c>
      <c r="Q362" t="s">
        <v>39</v>
      </c>
      <c r="R362" t="s">
        <v>40</v>
      </c>
      <c r="S362">
        <v>0</v>
      </c>
      <c r="U362" t="s">
        <v>41</v>
      </c>
      <c r="V362" t="s">
        <v>42</v>
      </c>
      <c r="X362" t="s">
        <v>43</v>
      </c>
      <c r="Y362" t="b">
        <v>0</v>
      </c>
      <c r="Z362" t="b">
        <v>0</v>
      </c>
      <c r="AC362" s="1"/>
      <c r="AF362">
        <v>0</v>
      </c>
      <c r="AG362">
        <v>45</v>
      </c>
      <c r="AH362">
        <v>111</v>
      </c>
      <c r="AI362" s="2">
        <f>Table__192.168.3.138DYLAgingReport[[#This Row],[NetAmount]]-Table__192.168.3.138DYLAgingReport[[#This Row],[Paid]]</f>
        <v>-2568</v>
      </c>
    </row>
    <row r="363" spans="1:35">
      <c r="A363" t="s">
        <v>950</v>
      </c>
      <c r="B363" s="1">
        <v>41204</v>
      </c>
      <c r="C363" s="1">
        <v>41249</v>
      </c>
      <c r="D363" t="s">
        <v>258</v>
      </c>
      <c r="E363">
        <v>-950</v>
      </c>
      <c r="F363">
        <v>-152</v>
      </c>
      <c r="G363">
        <v>0</v>
      </c>
      <c r="H363">
        <v>0</v>
      </c>
      <c r="I363">
        <v>89</v>
      </c>
      <c r="J363">
        <v>-1102</v>
      </c>
      <c r="K363" t="s">
        <v>951</v>
      </c>
      <c r="L363" s="1">
        <v>41179</v>
      </c>
      <c r="M363" t="s">
        <v>10775</v>
      </c>
      <c r="N363" t="s">
        <v>36</v>
      </c>
      <c r="O363" t="s">
        <v>37</v>
      </c>
      <c r="P363" t="s">
        <v>395</v>
      </c>
      <c r="Q363" t="s">
        <v>39</v>
      </c>
      <c r="R363" t="s">
        <v>40</v>
      </c>
      <c r="S363">
        <v>0</v>
      </c>
      <c r="U363" t="s">
        <v>41</v>
      </c>
      <c r="V363" t="s">
        <v>42</v>
      </c>
      <c r="W363" t="s">
        <v>10768</v>
      </c>
      <c r="X363" t="s">
        <v>43</v>
      </c>
      <c r="Y363" t="b">
        <v>0</v>
      </c>
      <c r="Z363" t="b">
        <v>0</v>
      </c>
      <c r="AA363" t="b">
        <v>0</v>
      </c>
      <c r="AC363" s="1"/>
      <c r="AF363">
        <v>0</v>
      </c>
      <c r="AG363">
        <v>45</v>
      </c>
      <c r="AH363">
        <v>134</v>
      </c>
      <c r="AI363" s="2">
        <f>Table__192.168.3.138DYLAgingReport[[#This Row],[NetAmount]]-Table__192.168.3.138DYLAgingReport[[#This Row],[Paid]]</f>
        <v>-1102</v>
      </c>
    </row>
    <row r="364" spans="1:35">
      <c r="A364" t="s">
        <v>952</v>
      </c>
      <c r="B364" s="1">
        <v>41204</v>
      </c>
      <c r="C364" s="1">
        <v>41249</v>
      </c>
      <c r="D364" t="s">
        <v>270</v>
      </c>
      <c r="E364">
        <v>-3960</v>
      </c>
      <c r="F364">
        <v>-634</v>
      </c>
      <c r="G364">
        <v>0</v>
      </c>
      <c r="H364">
        <v>0</v>
      </c>
      <c r="I364">
        <v>135</v>
      </c>
      <c r="J364">
        <v>-4594</v>
      </c>
      <c r="K364" t="s">
        <v>103</v>
      </c>
      <c r="L364" s="1">
        <v>41148</v>
      </c>
      <c r="N364" t="s">
        <v>36</v>
      </c>
      <c r="O364" t="s">
        <v>37</v>
      </c>
      <c r="P364" t="s">
        <v>407</v>
      </c>
      <c r="Q364" t="s">
        <v>39</v>
      </c>
      <c r="R364" t="s">
        <v>40</v>
      </c>
      <c r="S364">
        <v>0</v>
      </c>
      <c r="U364" t="s">
        <v>41</v>
      </c>
      <c r="V364" t="s">
        <v>42</v>
      </c>
      <c r="X364" t="s">
        <v>43</v>
      </c>
      <c r="Y364" t="b">
        <v>0</v>
      </c>
      <c r="Z364" t="b">
        <v>0</v>
      </c>
      <c r="AC364" s="1"/>
      <c r="AF364">
        <v>0</v>
      </c>
      <c r="AG364">
        <v>30</v>
      </c>
      <c r="AH364">
        <v>165</v>
      </c>
      <c r="AI364" s="2">
        <f>Table__192.168.3.138DYLAgingReport[[#This Row],[NetAmount]]-Table__192.168.3.138DYLAgingReport[[#This Row],[Paid]]</f>
        <v>-4594</v>
      </c>
    </row>
    <row r="365" spans="1:35">
      <c r="A365" t="s">
        <v>956</v>
      </c>
      <c r="B365" s="1">
        <v>41213</v>
      </c>
      <c r="C365" s="1">
        <v>41213</v>
      </c>
      <c r="D365" t="s">
        <v>296</v>
      </c>
      <c r="E365">
        <v>-3772</v>
      </c>
      <c r="F365">
        <v>-604</v>
      </c>
      <c r="G365">
        <v>0</v>
      </c>
      <c r="H365">
        <v>0</v>
      </c>
      <c r="I365">
        <v>141</v>
      </c>
      <c r="J365">
        <v>-4376</v>
      </c>
      <c r="K365" t="s">
        <v>957</v>
      </c>
      <c r="L365" s="1">
        <v>41127</v>
      </c>
      <c r="N365" t="s">
        <v>36</v>
      </c>
      <c r="O365" t="s">
        <v>37</v>
      </c>
      <c r="P365" t="s">
        <v>433</v>
      </c>
      <c r="Q365" t="s">
        <v>39</v>
      </c>
      <c r="R365" t="s">
        <v>40</v>
      </c>
      <c r="S365">
        <v>0</v>
      </c>
      <c r="U365" t="s">
        <v>41</v>
      </c>
      <c r="V365" t="s">
        <v>42</v>
      </c>
      <c r="X365" t="s">
        <v>43</v>
      </c>
      <c r="Y365" t="b">
        <v>0</v>
      </c>
      <c r="Z365" t="b">
        <v>0</v>
      </c>
      <c r="AC365" s="1"/>
      <c r="AF365">
        <v>0</v>
      </c>
      <c r="AG365">
        <v>45</v>
      </c>
      <c r="AH365">
        <v>186</v>
      </c>
      <c r="AI365" s="2">
        <f>Table__192.168.3.138DYLAgingReport[[#This Row],[NetAmount]]-Table__192.168.3.138DYLAgingReport[[#This Row],[Paid]]</f>
        <v>-4376</v>
      </c>
    </row>
    <row r="366" spans="1:35">
      <c r="A366" t="s">
        <v>958</v>
      </c>
      <c r="B366" s="1">
        <v>41199</v>
      </c>
      <c r="C366" s="1">
        <v>41244</v>
      </c>
      <c r="D366" t="s">
        <v>166</v>
      </c>
      <c r="E366">
        <v>-1078</v>
      </c>
      <c r="F366">
        <v>-172</v>
      </c>
      <c r="G366">
        <v>0</v>
      </c>
      <c r="H366">
        <v>0</v>
      </c>
      <c r="I366">
        <v>139</v>
      </c>
      <c r="J366">
        <v>-1250</v>
      </c>
      <c r="K366" t="s">
        <v>833</v>
      </c>
      <c r="L366" s="1">
        <v>41129</v>
      </c>
      <c r="N366" t="s">
        <v>36</v>
      </c>
      <c r="O366" t="s">
        <v>37</v>
      </c>
      <c r="P366" t="s">
        <v>303</v>
      </c>
      <c r="Q366" t="s">
        <v>39</v>
      </c>
      <c r="R366" t="s">
        <v>40</v>
      </c>
      <c r="S366">
        <v>0</v>
      </c>
      <c r="U366" t="s">
        <v>41</v>
      </c>
      <c r="V366" t="s">
        <v>42</v>
      </c>
      <c r="X366" t="s">
        <v>43</v>
      </c>
      <c r="Y366" t="b">
        <v>0</v>
      </c>
      <c r="Z366" t="b">
        <v>0</v>
      </c>
      <c r="AC366" s="1"/>
      <c r="AF366">
        <v>0</v>
      </c>
      <c r="AG366">
        <v>45</v>
      </c>
      <c r="AH366">
        <v>184</v>
      </c>
      <c r="AI366" s="2">
        <f>Table__192.168.3.138DYLAgingReport[[#This Row],[NetAmount]]-Table__192.168.3.138DYLAgingReport[[#This Row],[Paid]]</f>
        <v>-1250</v>
      </c>
    </row>
    <row r="367" spans="1:35">
      <c r="A367" t="s">
        <v>959</v>
      </c>
      <c r="B367" s="1">
        <v>41191</v>
      </c>
      <c r="C367" s="1">
        <v>41236</v>
      </c>
      <c r="D367" t="s">
        <v>168</v>
      </c>
      <c r="E367">
        <v>-230</v>
      </c>
      <c r="F367">
        <v>-37</v>
      </c>
      <c r="G367">
        <v>0</v>
      </c>
      <c r="H367">
        <v>0</v>
      </c>
      <c r="I367">
        <v>139</v>
      </c>
      <c r="J367">
        <v>-267</v>
      </c>
      <c r="K367" t="s">
        <v>960</v>
      </c>
      <c r="L367" s="1">
        <v>41129</v>
      </c>
      <c r="N367" t="s">
        <v>36</v>
      </c>
      <c r="O367" t="s">
        <v>37</v>
      </c>
      <c r="P367" t="s">
        <v>305</v>
      </c>
      <c r="Q367" t="s">
        <v>39</v>
      </c>
      <c r="R367" t="s">
        <v>40</v>
      </c>
      <c r="S367">
        <v>0</v>
      </c>
      <c r="U367" t="s">
        <v>41</v>
      </c>
      <c r="V367" t="s">
        <v>42</v>
      </c>
      <c r="X367" t="s">
        <v>43</v>
      </c>
      <c r="Y367" t="b">
        <v>0</v>
      </c>
      <c r="Z367" t="b">
        <v>0</v>
      </c>
      <c r="AB367" t="s">
        <v>961</v>
      </c>
      <c r="AC367" s="1">
        <v>41291</v>
      </c>
      <c r="AE367" t="s">
        <v>962</v>
      </c>
      <c r="AF367">
        <v>0</v>
      </c>
      <c r="AG367">
        <v>45</v>
      </c>
      <c r="AH367">
        <v>184</v>
      </c>
      <c r="AI367" s="2">
        <f>Table__192.168.3.138DYLAgingReport[[#This Row],[NetAmount]]-Table__192.168.3.138DYLAgingReport[[#This Row],[Paid]]</f>
        <v>-267</v>
      </c>
    </row>
    <row r="368" spans="1:35">
      <c r="A368" t="s">
        <v>963</v>
      </c>
      <c r="B368" s="1">
        <v>41204</v>
      </c>
      <c r="C368" s="1">
        <v>41249</v>
      </c>
      <c r="D368" t="s">
        <v>170</v>
      </c>
      <c r="E368">
        <v>-209</v>
      </c>
      <c r="F368">
        <v>-33</v>
      </c>
      <c r="G368">
        <v>0</v>
      </c>
      <c r="H368">
        <v>0</v>
      </c>
      <c r="I368">
        <v>157</v>
      </c>
      <c r="J368">
        <v>-242</v>
      </c>
      <c r="K368" t="s">
        <v>964</v>
      </c>
      <c r="L368" s="1">
        <v>41111</v>
      </c>
      <c r="M368" t="s">
        <v>965</v>
      </c>
      <c r="N368" t="s">
        <v>36</v>
      </c>
      <c r="O368" t="s">
        <v>37</v>
      </c>
      <c r="P368" t="s">
        <v>307</v>
      </c>
      <c r="Q368" t="s">
        <v>39</v>
      </c>
      <c r="R368" t="s">
        <v>40</v>
      </c>
      <c r="S368">
        <v>0</v>
      </c>
      <c r="U368" t="s">
        <v>41</v>
      </c>
      <c r="V368" t="s">
        <v>42</v>
      </c>
      <c r="W368" t="s">
        <v>966</v>
      </c>
      <c r="X368" t="s">
        <v>43</v>
      </c>
      <c r="Y368" t="b">
        <v>0</v>
      </c>
      <c r="Z368" t="b">
        <v>0</v>
      </c>
      <c r="AA368" t="b">
        <v>0</v>
      </c>
      <c r="AC368" s="1"/>
      <c r="AF368">
        <v>0</v>
      </c>
      <c r="AG368">
        <v>45</v>
      </c>
      <c r="AH368">
        <v>202</v>
      </c>
      <c r="AI368" s="2">
        <f>Table__192.168.3.138DYLAgingReport[[#This Row],[NetAmount]]-Table__192.168.3.138DYLAgingReport[[#This Row],[Paid]]</f>
        <v>-242</v>
      </c>
    </row>
    <row r="369" spans="1:35">
      <c r="A369" t="s">
        <v>967</v>
      </c>
      <c r="B369" s="1">
        <v>41191</v>
      </c>
      <c r="C369" s="1">
        <v>41236</v>
      </c>
      <c r="D369" t="s">
        <v>174</v>
      </c>
      <c r="E369">
        <v>-248</v>
      </c>
      <c r="F369">
        <v>-40</v>
      </c>
      <c r="G369">
        <v>0</v>
      </c>
      <c r="H369">
        <v>0</v>
      </c>
      <c r="I369">
        <v>155</v>
      </c>
      <c r="J369">
        <v>-288</v>
      </c>
      <c r="K369" t="s">
        <v>968</v>
      </c>
      <c r="L369" s="1">
        <v>41113</v>
      </c>
      <c r="N369" t="s">
        <v>36</v>
      </c>
      <c r="O369" t="s">
        <v>37</v>
      </c>
      <c r="P369" t="s">
        <v>311</v>
      </c>
      <c r="Q369" t="s">
        <v>39</v>
      </c>
      <c r="R369" t="s">
        <v>40</v>
      </c>
      <c r="S369">
        <v>0</v>
      </c>
      <c r="U369" t="s">
        <v>41</v>
      </c>
      <c r="V369" t="s">
        <v>42</v>
      </c>
      <c r="X369" t="s">
        <v>43</v>
      </c>
      <c r="Y369" t="b">
        <v>0</v>
      </c>
      <c r="Z369" t="b">
        <v>0</v>
      </c>
      <c r="AC369" s="1"/>
      <c r="AF369">
        <v>0</v>
      </c>
      <c r="AG369">
        <v>45</v>
      </c>
      <c r="AH369">
        <v>200</v>
      </c>
      <c r="AI369" s="2">
        <f>Table__192.168.3.138DYLAgingReport[[#This Row],[NetAmount]]-Table__192.168.3.138DYLAgingReport[[#This Row],[Paid]]</f>
        <v>-288</v>
      </c>
    </row>
    <row r="370" spans="1:35">
      <c r="A370" t="s">
        <v>969</v>
      </c>
      <c r="B370" s="1">
        <v>41199</v>
      </c>
      <c r="C370" s="1">
        <v>41244</v>
      </c>
      <c r="D370" t="s">
        <v>181</v>
      </c>
      <c r="E370">
        <v>-420</v>
      </c>
      <c r="F370">
        <v>-67</v>
      </c>
      <c r="G370">
        <v>0</v>
      </c>
      <c r="H370">
        <v>0</v>
      </c>
      <c r="I370">
        <v>201</v>
      </c>
      <c r="J370">
        <v>-487</v>
      </c>
      <c r="K370" t="s">
        <v>970</v>
      </c>
      <c r="L370" s="1">
        <v>41082</v>
      </c>
      <c r="M370" t="s">
        <v>971</v>
      </c>
      <c r="N370" t="s">
        <v>36</v>
      </c>
      <c r="O370" t="s">
        <v>37</v>
      </c>
      <c r="P370" t="s">
        <v>318</v>
      </c>
      <c r="Q370" t="s">
        <v>39</v>
      </c>
      <c r="R370" t="s">
        <v>40</v>
      </c>
      <c r="S370">
        <v>0</v>
      </c>
      <c r="U370" t="s">
        <v>41</v>
      </c>
      <c r="V370" t="s">
        <v>42</v>
      </c>
      <c r="W370" t="s">
        <v>876</v>
      </c>
      <c r="X370" t="s">
        <v>43</v>
      </c>
      <c r="Y370" t="b">
        <v>0</v>
      </c>
      <c r="Z370" t="b">
        <v>0</v>
      </c>
      <c r="AA370" t="b">
        <v>0</v>
      </c>
      <c r="AC370" s="1"/>
      <c r="AF370">
        <v>0</v>
      </c>
      <c r="AG370">
        <v>30</v>
      </c>
      <c r="AH370">
        <v>231</v>
      </c>
      <c r="AI370" s="2">
        <f>Table__192.168.3.138DYLAgingReport[[#This Row],[NetAmount]]-Table__192.168.3.138DYLAgingReport[[#This Row],[Paid]]</f>
        <v>-487</v>
      </c>
    </row>
    <row r="371" spans="1:35">
      <c r="A371" t="s">
        <v>65</v>
      </c>
      <c r="B371" s="1">
        <v>41200</v>
      </c>
      <c r="C371" s="1">
        <v>41245</v>
      </c>
      <c r="D371" t="s">
        <v>35</v>
      </c>
      <c r="E371">
        <v>-840</v>
      </c>
      <c r="F371">
        <v>-134</v>
      </c>
      <c r="G371">
        <v>0</v>
      </c>
      <c r="H371">
        <v>0</v>
      </c>
      <c r="I371">
        <v>119</v>
      </c>
      <c r="J371">
        <v>-974</v>
      </c>
      <c r="K371" t="s">
        <v>62</v>
      </c>
      <c r="L371" s="1">
        <v>41149</v>
      </c>
      <c r="N371" t="s">
        <v>36</v>
      </c>
      <c r="O371" t="s">
        <v>37</v>
      </c>
      <c r="P371" t="s">
        <v>38</v>
      </c>
      <c r="Q371" t="s">
        <v>39</v>
      </c>
      <c r="R371" t="s">
        <v>40</v>
      </c>
      <c r="S371">
        <v>0</v>
      </c>
      <c r="U371" t="s">
        <v>41</v>
      </c>
      <c r="V371" t="s">
        <v>42</v>
      </c>
      <c r="X371" t="s">
        <v>43</v>
      </c>
      <c r="Y371" t="b">
        <v>0</v>
      </c>
      <c r="Z371" t="b">
        <v>0</v>
      </c>
      <c r="AC371" s="1"/>
      <c r="AF371">
        <v>0</v>
      </c>
      <c r="AG371">
        <v>45</v>
      </c>
      <c r="AH371">
        <v>164</v>
      </c>
      <c r="AI371" s="2">
        <f>Table__192.168.3.138DYLAgingReport[[#This Row],[NetAmount]]-Table__192.168.3.138DYLAgingReport[[#This Row],[Paid]]</f>
        <v>-974</v>
      </c>
    </row>
    <row r="372" spans="1:35">
      <c r="A372" t="s">
        <v>972</v>
      </c>
      <c r="B372" s="1">
        <v>41213</v>
      </c>
      <c r="C372" s="1">
        <v>41258</v>
      </c>
      <c r="D372" t="s">
        <v>187</v>
      </c>
      <c r="E372">
        <v>-1862</v>
      </c>
      <c r="F372">
        <v>0</v>
      </c>
      <c r="G372">
        <v>0</v>
      </c>
      <c r="H372">
        <v>0</v>
      </c>
      <c r="I372">
        <v>214</v>
      </c>
      <c r="J372">
        <v>-1862</v>
      </c>
      <c r="K372" t="s">
        <v>973</v>
      </c>
      <c r="L372" s="1">
        <v>41054</v>
      </c>
      <c r="N372" t="s">
        <v>36</v>
      </c>
      <c r="O372" t="s">
        <v>37</v>
      </c>
      <c r="P372" t="s">
        <v>324</v>
      </c>
      <c r="Q372" t="s">
        <v>39</v>
      </c>
      <c r="R372" t="s">
        <v>40</v>
      </c>
      <c r="S372">
        <v>0</v>
      </c>
      <c r="U372" t="s">
        <v>41</v>
      </c>
      <c r="V372" t="s">
        <v>42</v>
      </c>
      <c r="X372" t="s">
        <v>43</v>
      </c>
      <c r="Y372" t="b">
        <v>0</v>
      </c>
      <c r="Z372" t="b">
        <v>0</v>
      </c>
      <c r="AC372" s="1"/>
      <c r="AF372">
        <v>0</v>
      </c>
      <c r="AG372">
        <v>45</v>
      </c>
      <c r="AH372">
        <v>259</v>
      </c>
      <c r="AI372" s="2">
        <f>Table__192.168.3.138DYLAgingReport[[#This Row],[NetAmount]]-Table__192.168.3.138DYLAgingReport[[#This Row],[Paid]]</f>
        <v>-1862</v>
      </c>
    </row>
    <row r="373" spans="1:35">
      <c r="A373" t="s">
        <v>974</v>
      </c>
      <c r="B373" s="1">
        <v>41186</v>
      </c>
      <c r="C373" s="1">
        <v>41231</v>
      </c>
      <c r="D373" t="s">
        <v>206</v>
      </c>
      <c r="E373">
        <v>-5106</v>
      </c>
      <c r="F373">
        <v>-817</v>
      </c>
      <c r="G373">
        <v>0</v>
      </c>
      <c r="H373">
        <v>0</v>
      </c>
      <c r="I373">
        <v>119</v>
      </c>
      <c r="J373">
        <v>-5923</v>
      </c>
      <c r="K373" t="s">
        <v>861</v>
      </c>
      <c r="L373" s="1">
        <v>41149</v>
      </c>
      <c r="N373" t="s">
        <v>36</v>
      </c>
      <c r="O373" t="s">
        <v>37</v>
      </c>
      <c r="P373" t="s">
        <v>343</v>
      </c>
      <c r="Q373" t="s">
        <v>39</v>
      </c>
      <c r="R373" t="s">
        <v>40</v>
      </c>
      <c r="S373">
        <v>0</v>
      </c>
      <c r="U373" t="s">
        <v>41</v>
      </c>
      <c r="V373" t="s">
        <v>42</v>
      </c>
      <c r="X373" t="s">
        <v>43</v>
      </c>
      <c r="Y373" t="b">
        <v>0</v>
      </c>
      <c r="Z373" t="b">
        <v>0</v>
      </c>
      <c r="AC373" s="1"/>
      <c r="AF373">
        <v>0</v>
      </c>
      <c r="AG373">
        <v>45</v>
      </c>
      <c r="AH373">
        <v>164</v>
      </c>
      <c r="AI373" s="2">
        <f>Table__192.168.3.138DYLAgingReport[[#This Row],[NetAmount]]-Table__192.168.3.138DYLAgingReport[[#This Row],[Paid]]</f>
        <v>-5923</v>
      </c>
    </row>
    <row r="374" spans="1:35">
      <c r="A374" t="s">
        <v>975</v>
      </c>
      <c r="B374" s="1">
        <v>41204</v>
      </c>
      <c r="C374" s="1">
        <v>41249</v>
      </c>
      <c r="D374" t="s">
        <v>216</v>
      </c>
      <c r="E374">
        <v>-1705</v>
      </c>
      <c r="F374">
        <v>-273</v>
      </c>
      <c r="G374">
        <v>0</v>
      </c>
      <c r="H374">
        <v>0</v>
      </c>
      <c r="I374">
        <v>173</v>
      </c>
      <c r="J374">
        <v>-1978</v>
      </c>
      <c r="K374" t="s">
        <v>976</v>
      </c>
      <c r="L374" s="1">
        <v>41110</v>
      </c>
      <c r="M374" t="s">
        <v>977</v>
      </c>
      <c r="N374" t="s">
        <v>36</v>
      </c>
      <c r="O374" t="s">
        <v>37</v>
      </c>
      <c r="P374" t="s">
        <v>353</v>
      </c>
      <c r="Q374" t="s">
        <v>39</v>
      </c>
      <c r="R374" t="s">
        <v>40</v>
      </c>
      <c r="S374">
        <v>0</v>
      </c>
      <c r="U374" t="s">
        <v>41</v>
      </c>
      <c r="V374" t="s">
        <v>42</v>
      </c>
      <c r="W374" t="s">
        <v>766</v>
      </c>
      <c r="X374" t="s">
        <v>43</v>
      </c>
      <c r="Y374" t="b">
        <v>0</v>
      </c>
      <c r="Z374" t="b">
        <v>0</v>
      </c>
      <c r="AA374" t="b">
        <v>0</v>
      </c>
      <c r="AC374" s="1"/>
      <c r="AF374">
        <v>0</v>
      </c>
      <c r="AG374">
        <v>30</v>
      </c>
      <c r="AH374">
        <v>203</v>
      </c>
      <c r="AI374" s="2">
        <f>Table__192.168.3.138DYLAgingReport[[#This Row],[NetAmount]]-Table__192.168.3.138DYLAgingReport[[#This Row],[Paid]]</f>
        <v>-1978</v>
      </c>
    </row>
    <row r="375" spans="1:35">
      <c r="A375" t="s">
        <v>978</v>
      </c>
      <c r="B375" s="1">
        <v>41204</v>
      </c>
      <c r="C375" s="1">
        <v>41249</v>
      </c>
      <c r="D375" t="s">
        <v>220</v>
      </c>
      <c r="E375">
        <v>-3616</v>
      </c>
      <c r="F375">
        <v>-579</v>
      </c>
      <c r="G375">
        <v>0</v>
      </c>
      <c r="H375">
        <v>0</v>
      </c>
      <c r="I375">
        <v>222</v>
      </c>
      <c r="J375">
        <v>-4195</v>
      </c>
      <c r="K375" t="s">
        <v>979</v>
      </c>
      <c r="L375" s="1">
        <v>41046</v>
      </c>
      <c r="N375" t="s">
        <v>36</v>
      </c>
      <c r="O375" t="s">
        <v>37</v>
      </c>
      <c r="P375" t="s">
        <v>357</v>
      </c>
      <c r="Q375" t="s">
        <v>39</v>
      </c>
      <c r="R375" t="s">
        <v>40</v>
      </c>
      <c r="S375">
        <v>0</v>
      </c>
      <c r="U375" t="s">
        <v>41</v>
      </c>
      <c r="V375" t="s">
        <v>42</v>
      </c>
      <c r="X375" t="s">
        <v>43</v>
      </c>
      <c r="Y375" t="b">
        <v>0</v>
      </c>
      <c r="Z375" t="b">
        <v>0</v>
      </c>
      <c r="AC375" s="1"/>
      <c r="AF375">
        <v>0</v>
      </c>
      <c r="AG375">
        <v>45</v>
      </c>
      <c r="AH375">
        <v>267</v>
      </c>
      <c r="AI375" s="2">
        <f>Table__192.168.3.138DYLAgingReport[[#This Row],[NetAmount]]-Table__192.168.3.138DYLAgingReport[[#This Row],[Paid]]</f>
        <v>-4195</v>
      </c>
    </row>
    <row r="376" spans="1:35">
      <c r="A376" t="s">
        <v>980</v>
      </c>
      <c r="B376" s="1">
        <v>41204</v>
      </c>
      <c r="C376" s="1">
        <v>41249</v>
      </c>
      <c r="D376" t="s">
        <v>227</v>
      </c>
      <c r="E376">
        <v>-2172</v>
      </c>
      <c r="F376">
        <v>-348</v>
      </c>
      <c r="G376">
        <v>0</v>
      </c>
      <c r="H376">
        <v>0</v>
      </c>
      <c r="I376">
        <v>151</v>
      </c>
      <c r="J376">
        <v>-2520</v>
      </c>
      <c r="K376" t="s">
        <v>981</v>
      </c>
      <c r="L376" s="1">
        <v>41117</v>
      </c>
      <c r="N376" t="s">
        <v>36</v>
      </c>
      <c r="O376" t="s">
        <v>37</v>
      </c>
      <c r="P376" t="s">
        <v>364</v>
      </c>
      <c r="Q376" t="s">
        <v>39</v>
      </c>
      <c r="R376" t="s">
        <v>40</v>
      </c>
      <c r="S376">
        <v>0</v>
      </c>
      <c r="U376" t="s">
        <v>41</v>
      </c>
      <c r="V376" t="s">
        <v>42</v>
      </c>
      <c r="X376" t="s">
        <v>43</v>
      </c>
      <c r="Y376" t="b">
        <v>0</v>
      </c>
      <c r="Z376" t="b">
        <v>0</v>
      </c>
      <c r="AC376" s="1"/>
      <c r="AF376">
        <v>0</v>
      </c>
      <c r="AG376">
        <v>45</v>
      </c>
      <c r="AH376">
        <v>196</v>
      </c>
      <c r="AI376" s="2">
        <f>Table__192.168.3.138DYLAgingReport[[#This Row],[NetAmount]]-Table__192.168.3.138DYLAgingReport[[#This Row],[Paid]]</f>
        <v>-2520</v>
      </c>
    </row>
    <row r="377" spans="1:35">
      <c r="A377" t="s">
        <v>982</v>
      </c>
      <c r="B377" s="1">
        <v>41204</v>
      </c>
      <c r="C377" s="1">
        <v>41249</v>
      </c>
      <c r="D377" t="s">
        <v>245</v>
      </c>
      <c r="E377">
        <v>-1692</v>
      </c>
      <c r="F377">
        <v>-271</v>
      </c>
      <c r="G377">
        <v>0</v>
      </c>
      <c r="H377">
        <v>0</v>
      </c>
      <c r="I377">
        <v>165</v>
      </c>
      <c r="J377">
        <v>-1963</v>
      </c>
      <c r="K377" t="s">
        <v>148</v>
      </c>
      <c r="L377" s="1">
        <v>41148</v>
      </c>
      <c r="N377" t="s">
        <v>36</v>
      </c>
      <c r="O377" t="s">
        <v>37</v>
      </c>
      <c r="P377" t="s">
        <v>382</v>
      </c>
      <c r="Q377" t="s">
        <v>39</v>
      </c>
      <c r="R377" t="s">
        <v>40</v>
      </c>
      <c r="S377">
        <v>0</v>
      </c>
      <c r="U377" t="s">
        <v>41</v>
      </c>
      <c r="V377" t="s">
        <v>42</v>
      </c>
      <c r="X377" t="s">
        <v>43</v>
      </c>
      <c r="Y377" t="b">
        <v>0</v>
      </c>
      <c r="Z377" t="b">
        <v>0</v>
      </c>
      <c r="AC377" s="1"/>
      <c r="AF377">
        <v>0</v>
      </c>
      <c r="AG377">
        <v>0</v>
      </c>
      <c r="AH377">
        <v>165</v>
      </c>
      <c r="AI377" s="2">
        <f>Table__192.168.3.138DYLAgingReport[[#This Row],[NetAmount]]-Table__192.168.3.138DYLAgingReport[[#This Row],[Paid]]</f>
        <v>-1963</v>
      </c>
    </row>
    <row r="378" spans="1:35">
      <c r="A378" t="s">
        <v>983</v>
      </c>
      <c r="B378" s="1">
        <v>41191</v>
      </c>
      <c r="C378" s="1">
        <v>41236</v>
      </c>
      <c r="D378" t="s">
        <v>245</v>
      </c>
      <c r="E378">
        <v>-5787</v>
      </c>
      <c r="F378">
        <v>-926</v>
      </c>
      <c r="G378">
        <v>0</v>
      </c>
      <c r="H378">
        <v>0</v>
      </c>
      <c r="I378">
        <v>191</v>
      </c>
      <c r="J378">
        <v>-6713</v>
      </c>
      <c r="K378" t="s">
        <v>148</v>
      </c>
      <c r="L378" s="1">
        <v>41122</v>
      </c>
      <c r="N378" t="s">
        <v>36</v>
      </c>
      <c r="O378" t="s">
        <v>37</v>
      </c>
      <c r="P378" t="s">
        <v>382</v>
      </c>
      <c r="Q378" t="s">
        <v>39</v>
      </c>
      <c r="R378" t="s">
        <v>40</v>
      </c>
      <c r="S378">
        <v>0</v>
      </c>
      <c r="T378" t="s">
        <v>984</v>
      </c>
      <c r="U378" t="s">
        <v>41</v>
      </c>
      <c r="V378" t="s">
        <v>42</v>
      </c>
      <c r="X378" t="s">
        <v>43</v>
      </c>
      <c r="Y378" t="b">
        <v>0</v>
      </c>
      <c r="Z378" t="b">
        <v>0</v>
      </c>
      <c r="AC378" s="1"/>
      <c r="AF378">
        <v>0</v>
      </c>
      <c r="AG378">
        <v>0</v>
      </c>
      <c r="AH378">
        <v>191</v>
      </c>
      <c r="AI378" s="2">
        <f>Table__192.168.3.138DYLAgingReport[[#This Row],[NetAmount]]-Table__192.168.3.138DYLAgingReport[[#This Row],[Paid]]</f>
        <v>-6713</v>
      </c>
    </row>
    <row r="379" spans="1:35">
      <c r="A379" t="s">
        <v>985</v>
      </c>
      <c r="B379" s="1">
        <v>41204</v>
      </c>
      <c r="C379" s="1">
        <v>41249</v>
      </c>
      <c r="D379" t="s">
        <v>255</v>
      </c>
      <c r="E379">
        <v>-234</v>
      </c>
      <c r="F379">
        <v>-38</v>
      </c>
      <c r="G379">
        <v>0</v>
      </c>
      <c r="H379">
        <v>0</v>
      </c>
      <c r="I379">
        <v>179</v>
      </c>
      <c r="J379">
        <v>-272</v>
      </c>
      <c r="K379" t="s">
        <v>986</v>
      </c>
      <c r="L379" s="1">
        <v>41089</v>
      </c>
      <c r="N379" t="s">
        <v>36</v>
      </c>
      <c r="O379" t="s">
        <v>37</v>
      </c>
      <c r="P379" t="s">
        <v>392</v>
      </c>
      <c r="Q379" t="s">
        <v>39</v>
      </c>
      <c r="R379" t="s">
        <v>40</v>
      </c>
      <c r="S379">
        <v>0</v>
      </c>
      <c r="U379" t="s">
        <v>41</v>
      </c>
      <c r="V379" t="s">
        <v>42</v>
      </c>
      <c r="X379" t="s">
        <v>43</v>
      </c>
      <c r="Y379" t="b">
        <v>0</v>
      </c>
      <c r="Z379" t="b">
        <v>0</v>
      </c>
      <c r="AC379" s="1"/>
      <c r="AF379">
        <v>0</v>
      </c>
      <c r="AG379">
        <v>45</v>
      </c>
      <c r="AH379">
        <v>224</v>
      </c>
      <c r="AI379" s="2">
        <f>Table__192.168.3.138DYLAgingReport[[#This Row],[NetAmount]]-Table__192.168.3.138DYLAgingReport[[#This Row],[Paid]]</f>
        <v>-272</v>
      </c>
    </row>
    <row r="380" spans="1:35">
      <c r="A380" t="s">
        <v>987</v>
      </c>
      <c r="B380" s="1">
        <v>41213</v>
      </c>
      <c r="C380" s="1">
        <v>41258</v>
      </c>
      <c r="D380" t="s">
        <v>259</v>
      </c>
      <c r="E380">
        <v>-135</v>
      </c>
      <c r="F380">
        <v>-22</v>
      </c>
      <c r="G380">
        <v>0</v>
      </c>
      <c r="H380">
        <v>0</v>
      </c>
      <c r="I380">
        <v>178</v>
      </c>
      <c r="J380">
        <v>-157</v>
      </c>
      <c r="K380" t="s">
        <v>988</v>
      </c>
      <c r="L380" s="1">
        <v>41090</v>
      </c>
      <c r="N380" t="s">
        <v>36</v>
      </c>
      <c r="O380" t="s">
        <v>37</v>
      </c>
      <c r="P380" t="s">
        <v>396</v>
      </c>
      <c r="Q380" t="s">
        <v>39</v>
      </c>
      <c r="R380" t="s">
        <v>40</v>
      </c>
      <c r="S380">
        <v>0</v>
      </c>
      <c r="U380" t="s">
        <v>41</v>
      </c>
      <c r="V380" t="s">
        <v>42</v>
      </c>
      <c r="X380" t="s">
        <v>43</v>
      </c>
      <c r="Y380" t="b">
        <v>0</v>
      </c>
      <c r="Z380" t="b">
        <v>0</v>
      </c>
      <c r="AC380" s="1"/>
      <c r="AF380">
        <v>0</v>
      </c>
      <c r="AG380">
        <v>45</v>
      </c>
      <c r="AH380">
        <v>223</v>
      </c>
      <c r="AI380" s="2">
        <f>Table__192.168.3.138DYLAgingReport[[#This Row],[NetAmount]]-Table__192.168.3.138DYLAgingReport[[#This Row],[Paid]]</f>
        <v>-157</v>
      </c>
    </row>
    <row r="381" spans="1:35">
      <c r="A381" t="s">
        <v>989</v>
      </c>
      <c r="B381" s="1">
        <v>41194</v>
      </c>
      <c r="C381" s="1">
        <v>41239</v>
      </c>
      <c r="D381" t="s">
        <v>207</v>
      </c>
      <c r="E381">
        <v>-2716</v>
      </c>
      <c r="F381">
        <v>-435</v>
      </c>
      <c r="G381">
        <v>0</v>
      </c>
      <c r="H381">
        <v>0</v>
      </c>
      <c r="I381">
        <v>491</v>
      </c>
      <c r="J381">
        <v>-3151</v>
      </c>
      <c r="L381" s="1">
        <v>40777</v>
      </c>
      <c r="N381" t="s">
        <v>36</v>
      </c>
      <c r="O381" t="s">
        <v>37</v>
      </c>
      <c r="P381" t="s">
        <v>344</v>
      </c>
      <c r="Q381" t="s">
        <v>39</v>
      </c>
      <c r="R381" t="s">
        <v>40</v>
      </c>
      <c r="S381">
        <v>0</v>
      </c>
      <c r="U381" t="s">
        <v>41</v>
      </c>
      <c r="V381" t="s">
        <v>42</v>
      </c>
      <c r="X381" t="s">
        <v>43</v>
      </c>
      <c r="Y381" t="b">
        <v>0</v>
      </c>
      <c r="Z381" t="b">
        <v>0</v>
      </c>
      <c r="AC381" s="1"/>
      <c r="AF381">
        <v>0</v>
      </c>
      <c r="AG381">
        <v>45</v>
      </c>
      <c r="AH381">
        <v>536</v>
      </c>
      <c r="AI381" s="2">
        <f>Table__192.168.3.138DYLAgingReport[[#This Row],[NetAmount]]-Table__192.168.3.138DYLAgingReport[[#This Row],[Paid]]</f>
        <v>-3151</v>
      </c>
    </row>
    <row r="382" spans="1:35">
      <c r="A382" t="s">
        <v>990</v>
      </c>
      <c r="B382" s="1">
        <v>41193</v>
      </c>
      <c r="C382" s="1">
        <v>41238</v>
      </c>
      <c r="D382" t="s">
        <v>177</v>
      </c>
      <c r="E382">
        <v>-809</v>
      </c>
      <c r="F382">
        <v>-129</v>
      </c>
      <c r="G382">
        <v>0</v>
      </c>
      <c r="H382">
        <v>0</v>
      </c>
      <c r="I382">
        <v>225</v>
      </c>
      <c r="J382">
        <v>-938</v>
      </c>
      <c r="K382" t="s">
        <v>991</v>
      </c>
      <c r="L382" s="1">
        <v>41043</v>
      </c>
      <c r="N382" t="s">
        <v>36</v>
      </c>
      <c r="O382" t="s">
        <v>37</v>
      </c>
      <c r="P382" t="s">
        <v>314</v>
      </c>
      <c r="Q382" t="s">
        <v>39</v>
      </c>
      <c r="R382" t="s">
        <v>40</v>
      </c>
      <c r="S382">
        <v>0</v>
      </c>
      <c r="U382" t="s">
        <v>41</v>
      </c>
      <c r="V382" t="s">
        <v>42</v>
      </c>
      <c r="X382" t="s">
        <v>43</v>
      </c>
      <c r="Y382" t="b">
        <v>0</v>
      </c>
      <c r="Z382" t="b">
        <v>0</v>
      </c>
      <c r="AC382" s="1"/>
      <c r="AF382">
        <v>0</v>
      </c>
      <c r="AG382">
        <v>45</v>
      </c>
      <c r="AH382">
        <v>270</v>
      </c>
      <c r="AI382" s="2">
        <f>Table__192.168.3.138DYLAgingReport[[#This Row],[NetAmount]]-Table__192.168.3.138DYLAgingReport[[#This Row],[Paid]]</f>
        <v>-938</v>
      </c>
    </row>
    <row r="383" spans="1:35">
      <c r="A383" t="s">
        <v>992</v>
      </c>
      <c r="B383" s="1">
        <v>41204</v>
      </c>
      <c r="C383" s="1">
        <v>41249</v>
      </c>
      <c r="D383" t="s">
        <v>190</v>
      </c>
      <c r="E383">
        <v>-2610</v>
      </c>
      <c r="F383">
        <v>-418</v>
      </c>
      <c r="G383">
        <v>0</v>
      </c>
      <c r="H383">
        <v>0</v>
      </c>
      <c r="I383">
        <v>173</v>
      </c>
      <c r="J383">
        <v>-3028</v>
      </c>
      <c r="K383" t="s">
        <v>993</v>
      </c>
      <c r="L383" s="1">
        <v>41095</v>
      </c>
      <c r="M383" t="s">
        <v>5348</v>
      </c>
      <c r="N383" t="s">
        <v>36</v>
      </c>
      <c r="O383" t="s">
        <v>37</v>
      </c>
      <c r="P383" t="s">
        <v>327</v>
      </c>
      <c r="Q383" t="s">
        <v>39</v>
      </c>
      <c r="R383" t="s">
        <v>40</v>
      </c>
      <c r="S383">
        <v>0</v>
      </c>
      <c r="U383" t="s">
        <v>41</v>
      </c>
      <c r="V383" t="s">
        <v>42</v>
      </c>
      <c r="W383" t="s">
        <v>5337</v>
      </c>
      <c r="X383" t="s">
        <v>43</v>
      </c>
      <c r="Y383" t="b">
        <v>0</v>
      </c>
      <c r="Z383" t="b">
        <v>0</v>
      </c>
      <c r="AA383" t="b">
        <v>0</v>
      </c>
      <c r="AC383" s="1"/>
      <c r="AF383">
        <v>0</v>
      </c>
      <c r="AG383">
        <v>45</v>
      </c>
      <c r="AH383">
        <v>218</v>
      </c>
      <c r="AI383" s="2">
        <f>Table__192.168.3.138DYLAgingReport[[#This Row],[NetAmount]]-Table__192.168.3.138DYLAgingReport[[#This Row],[Paid]]</f>
        <v>-3028</v>
      </c>
    </row>
    <row r="384" spans="1:35">
      <c r="A384" t="s">
        <v>994</v>
      </c>
      <c r="B384" s="1">
        <v>41194</v>
      </c>
      <c r="C384" s="1">
        <v>41239</v>
      </c>
      <c r="D384" t="s">
        <v>196</v>
      </c>
      <c r="E384">
        <v>-2124</v>
      </c>
      <c r="F384">
        <v>-340</v>
      </c>
      <c r="G384">
        <v>0</v>
      </c>
      <c r="H384">
        <v>0</v>
      </c>
      <c r="I384">
        <v>186</v>
      </c>
      <c r="J384">
        <v>-2464</v>
      </c>
      <c r="K384" t="s">
        <v>995</v>
      </c>
      <c r="L384" s="1">
        <v>41097</v>
      </c>
      <c r="N384" t="s">
        <v>36</v>
      </c>
      <c r="O384" t="s">
        <v>37</v>
      </c>
      <c r="P384" t="s">
        <v>333</v>
      </c>
      <c r="Q384" t="s">
        <v>39</v>
      </c>
      <c r="R384" t="s">
        <v>40</v>
      </c>
      <c r="S384">
        <v>0</v>
      </c>
      <c r="U384" t="s">
        <v>41</v>
      </c>
      <c r="V384" t="s">
        <v>42</v>
      </c>
      <c r="X384" t="s">
        <v>43</v>
      </c>
      <c r="Y384" t="b">
        <v>0</v>
      </c>
      <c r="Z384" t="b">
        <v>0</v>
      </c>
      <c r="AB384" t="s">
        <v>884</v>
      </c>
      <c r="AC384" s="1">
        <v>41279</v>
      </c>
      <c r="AE384" t="s">
        <v>885</v>
      </c>
      <c r="AF384">
        <v>0</v>
      </c>
      <c r="AG384">
        <v>30</v>
      </c>
      <c r="AH384">
        <v>216</v>
      </c>
      <c r="AI384" s="2">
        <f>Table__192.168.3.138DYLAgingReport[[#This Row],[NetAmount]]-Table__192.168.3.138DYLAgingReport[[#This Row],[Paid]]</f>
        <v>-2464</v>
      </c>
    </row>
    <row r="385" spans="1:35">
      <c r="A385" t="s">
        <v>996</v>
      </c>
      <c r="B385" s="1">
        <v>41204</v>
      </c>
      <c r="C385" s="1">
        <v>41249</v>
      </c>
      <c r="D385" t="s">
        <v>198</v>
      </c>
      <c r="E385">
        <v>-199</v>
      </c>
      <c r="F385">
        <v>-32</v>
      </c>
      <c r="G385">
        <v>0</v>
      </c>
      <c r="H385">
        <v>0</v>
      </c>
      <c r="I385">
        <v>224</v>
      </c>
      <c r="J385">
        <v>-231</v>
      </c>
      <c r="K385" t="s">
        <v>997</v>
      </c>
      <c r="L385" s="1">
        <v>41044</v>
      </c>
      <c r="N385" t="s">
        <v>36</v>
      </c>
      <c r="O385" t="s">
        <v>37</v>
      </c>
      <c r="P385" t="s">
        <v>335</v>
      </c>
      <c r="Q385" t="s">
        <v>39</v>
      </c>
      <c r="R385" t="s">
        <v>40</v>
      </c>
      <c r="S385">
        <v>0</v>
      </c>
      <c r="U385" t="s">
        <v>41</v>
      </c>
      <c r="V385" t="s">
        <v>42</v>
      </c>
      <c r="X385" t="s">
        <v>43</v>
      </c>
      <c r="Y385" t="b">
        <v>0</v>
      </c>
      <c r="Z385" t="b">
        <v>0</v>
      </c>
      <c r="AC385" s="1"/>
      <c r="AF385">
        <v>0</v>
      </c>
      <c r="AG385">
        <v>45</v>
      </c>
      <c r="AH385">
        <v>269</v>
      </c>
      <c r="AI385" s="2">
        <f>Table__192.168.3.138DYLAgingReport[[#This Row],[NetAmount]]-Table__192.168.3.138DYLAgingReport[[#This Row],[Paid]]</f>
        <v>-231</v>
      </c>
    </row>
    <row r="386" spans="1:35">
      <c r="A386" t="s">
        <v>998</v>
      </c>
      <c r="B386" s="1">
        <v>41200</v>
      </c>
      <c r="C386" s="1">
        <v>41245</v>
      </c>
      <c r="D386" t="s">
        <v>268</v>
      </c>
      <c r="E386">
        <v>-57868</v>
      </c>
      <c r="F386">
        <v>-9259</v>
      </c>
      <c r="G386">
        <v>0</v>
      </c>
      <c r="H386">
        <v>0</v>
      </c>
      <c r="I386">
        <v>140</v>
      </c>
      <c r="J386">
        <v>-67127</v>
      </c>
      <c r="K386" t="s">
        <v>999</v>
      </c>
      <c r="L386" s="1">
        <v>41128</v>
      </c>
      <c r="N386" t="s">
        <v>36</v>
      </c>
      <c r="O386" t="s">
        <v>37</v>
      </c>
      <c r="P386" t="s">
        <v>405</v>
      </c>
      <c r="Q386" t="s">
        <v>39</v>
      </c>
      <c r="R386" t="s">
        <v>40</v>
      </c>
      <c r="S386">
        <v>0</v>
      </c>
      <c r="U386" t="s">
        <v>41</v>
      </c>
      <c r="V386" t="s">
        <v>42</v>
      </c>
      <c r="X386" t="s">
        <v>43</v>
      </c>
      <c r="Y386" t="b">
        <v>0</v>
      </c>
      <c r="Z386" t="b">
        <v>0</v>
      </c>
      <c r="AC386" s="1"/>
      <c r="AF386">
        <v>0</v>
      </c>
      <c r="AG386">
        <v>45</v>
      </c>
      <c r="AH386">
        <v>185</v>
      </c>
      <c r="AI386" s="2">
        <f>Table__192.168.3.138DYLAgingReport[[#This Row],[NetAmount]]-Table__192.168.3.138DYLAgingReport[[#This Row],[Paid]]</f>
        <v>-67127</v>
      </c>
    </row>
    <row r="387" spans="1:35">
      <c r="A387" t="s">
        <v>1000</v>
      </c>
      <c r="B387" s="1">
        <v>41207</v>
      </c>
      <c r="C387" s="1">
        <v>41207</v>
      </c>
      <c r="D387" t="s">
        <v>291</v>
      </c>
      <c r="E387">
        <v>-27190</v>
      </c>
      <c r="F387">
        <v>-4350</v>
      </c>
      <c r="G387">
        <v>0</v>
      </c>
      <c r="H387">
        <v>0</v>
      </c>
      <c r="I387">
        <v>182</v>
      </c>
      <c r="J387">
        <v>-31540</v>
      </c>
      <c r="K387" t="s">
        <v>1001</v>
      </c>
      <c r="L387" s="1">
        <v>41086</v>
      </c>
      <c r="M387" t="s">
        <v>1002</v>
      </c>
      <c r="N387" t="s">
        <v>36</v>
      </c>
      <c r="O387" t="s">
        <v>37</v>
      </c>
      <c r="P387" t="s">
        <v>428</v>
      </c>
      <c r="Q387" t="s">
        <v>39</v>
      </c>
      <c r="R387" t="s">
        <v>40</v>
      </c>
      <c r="S387">
        <v>0</v>
      </c>
      <c r="U387" t="s">
        <v>41</v>
      </c>
      <c r="V387" t="s">
        <v>42</v>
      </c>
      <c r="W387" t="s">
        <v>792</v>
      </c>
      <c r="X387" t="s">
        <v>43</v>
      </c>
      <c r="Y387" t="b">
        <v>0</v>
      </c>
      <c r="Z387" t="b">
        <v>0</v>
      </c>
      <c r="AA387" t="b">
        <v>0</v>
      </c>
      <c r="AC387" s="1"/>
      <c r="AF387">
        <v>0</v>
      </c>
      <c r="AG387">
        <v>45</v>
      </c>
      <c r="AH387">
        <v>227</v>
      </c>
      <c r="AI387" s="2">
        <f>Table__192.168.3.138DYLAgingReport[[#This Row],[NetAmount]]-Table__192.168.3.138DYLAgingReport[[#This Row],[Paid]]</f>
        <v>-31540</v>
      </c>
    </row>
    <row r="388" spans="1:35">
      <c r="A388" t="s">
        <v>1003</v>
      </c>
      <c r="B388" s="1">
        <v>41213</v>
      </c>
      <c r="C388" s="1">
        <v>41258</v>
      </c>
      <c r="D388" t="s">
        <v>180</v>
      </c>
      <c r="E388">
        <v>-7177</v>
      </c>
      <c r="F388">
        <v>-1148</v>
      </c>
      <c r="G388">
        <v>0</v>
      </c>
      <c r="H388">
        <v>0</v>
      </c>
      <c r="I388">
        <v>487</v>
      </c>
      <c r="J388">
        <v>-8325</v>
      </c>
      <c r="L388" s="1">
        <v>40781</v>
      </c>
      <c r="N388" t="s">
        <v>36</v>
      </c>
      <c r="O388" t="s">
        <v>37</v>
      </c>
      <c r="P388" t="s">
        <v>317</v>
      </c>
      <c r="Q388" t="s">
        <v>39</v>
      </c>
      <c r="R388" t="s">
        <v>40</v>
      </c>
      <c r="S388">
        <v>0</v>
      </c>
      <c r="U388" t="s">
        <v>41</v>
      </c>
      <c r="V388" t="s">
        <v>42</v>
      </c>
      <c r="X388" t="s">
        <v>43</v>
      </c>
      <c r="Y388" t="b">
        <v>0</v>
      </c>
      <c r="Z388" t="b">
        <v>0</v>
      </c>
      <c r="AB388" t="s">
        <v>797</v>
      </c>
      <c r="AC388" s="1">
        <v>41305</v>
      </c>
      <c r="AE388" t="s">
        <v>798</v>
      </c>
      <c r="AF388">
        <v>0</v>
      </c>
      <c r="AG388">
        <v>45</v>
      </c>
      <c r="AH388">
        <v>532</v>
      </c>
      <c r="AI388" s="2">
        <f>Table__192.168.3.138DYLAgingReport[[#This Row],[NetAmount]]-Table__192.168.3.138DYLAgingReport[[#This Row],[Paid]]</f>
        <v>-8325</v>
      </c>
    </row>
    <row r="389" spans="1:35">
      <c r="A389" t="s">
        <v>1004</v>
      </c>
      <c r="B389" s="1">
        <v>41213</v>
      </c>
      <c r="C389" s="1">
        <v>41213</v>
      </c>
      <c r="D389" t="s">
        <v>296</v>
      </c>
      <c r="E389">
        <v>-11126</v>
      </c>
      <c r="F389">
        <v>-1780</v>
      </c>
      <c r="G389">
        <v>0</v>
      </c>
      <c r="H389">
        <v>0</v>
      </c>
      <c r="I389">
        <v>64</v>
      </c>
      <c r="J389">
        <v>-12906</v>
      </c>
      <c r="K389" t="s">
        <v>1005</v>
      </c>
      <c r="L389" s="1">
        <v>41204</v>
      </c>
      <c r="N389" t="s">
        <v>36</v>
      </c>
      <c r="O389" t="s">
        <v>37</v>
      </c>
      <c r="P389" t="s">
        <v>433</v>
      </c>
      <c r="Q389" t="s">
        <v>39</v>
      </c>
      <c r="R389" t="s">
        <v>40</v>
      </c>
      <c r="S389">
        <v>0</v>
      </c>
      <c r="U389" t="s">
        <v>41</v>
      </c>
      <c r="V389" t="s">
        <v>42</v>
      </c>
      <c r="X389" t="s">
        <v>43</v>
      </c>
      <c r="Y389" t="b">
        <v>0</v>
      </c>
      <c r="Z389" t="b">
        <v>0</v>
      </c>
      <c r="AC389" s="1"/>
      <c r="AF389">
        <v>0</v>
      </c>
      <c r="AG389">
        <v>45</v>
      </c>
      <c r="AH389">
        <v>109</v>
      </c>
      <c r="AI389" s="2">
        <f>Table__192.168.3.138DYLAgingReport[[#This Row],[NetAmount]]-Table__192.168.3.138DYLAgingReport[[#This Row],[Paid]]</f>
        <v>-12906</v>
      </c>
    </row>
    <row r="390" spans="1:35">
      <c r="A390" t="s">
        <v>1006</v>
      </c>
      <c r="B390" s="1">
        <v>41150</v>
      </c>
      <c r="C390" s="1">
        <v>41195</v>
      </c>
      <c r="D390" t="s">
        <v>166</v>
      </c>
      <c r="E390">
        <v>-2399</v>
      </c>
      <c r="F390">
        <v>-384</v>
      </c>
      <c r="G390">
        <v>0</v>
      </c>
      <c r="H390">
        <v>0</v>
      </c>
      <c r="I390">
        <v>188</v>
      </c>
      <c r="J390">
        <v>-2783</v>
      </c>
      <c r="K390" t="s">
        <v>1007</v>
      </c>
      <c r="L390" s="1">
        <v>41080</v>
      </c>
      <c r="N390" t="s">
        <v>36</v>
      </c>
      <c r="O390" t="s">
        <v>37</v>
      </c>
      <c r="P390" t="s">
        <v>303</v>
      </c>
      <c r="Q390" t="s">
        <v>39</v>
      </c>
      <c r="R390" t="s">
        <v>40</v>
      </c>
      <c r="S390">
        <v>0</v>
      </c>
      <c r="U390" t="s">
        <v>41</v>
      </c>
      <c r="V390" t="s">
        <v>42</v>
      </c>
      <c r="X390" t="s">
        <v>43</v>
      </c>
      <c r="Y390" t="b">
        <v>0</v>
      </c>
      <c r="Z390" t="b">
        <v>0</v>
      </c>
      <c r="AC390" s="1"/>
      <c r="AF390">
        <v>0</v>
      </c>
      <c r="AG390">
        <v>45</v>
      </c>
      <c r="AH390">
        <v>233</v>
      </c>
      <c r="AI390" s="2">
        <f>Table__192.168.3.138DYLAgingReport[[#This Row],[NetAmount]]-Table__192.168.3.138DYLAgingReport[[#This Row],[Paid]]</f>
        <v>-2783</v>
      </c>
    </row>
    <row r="391" spans="1:35">
      <c r="A391" t="s">
        <v>1008</v>
      </c>
      <c r="B391" s="1">
        <v>41150</v>
      </c>
      <c r="C391" s="1">
        <v>41195</v>
      </c>
      <c r="D391" t="s">
        <v>168</v>
      </c>
      <c r="E391">
        <v>-4395</v>
      </c>
      <c r="F391">
        <v>-703</v>
      </c>
      <c r="G391">
        <v>0</v>
      </c>
      <c r="H391">
        <v>0</v>
      </c>
      <c r="I391">
        <v>147</v>
      </c>
      <c r="J391">
        <v>-5098</v>
      </c>
      <c r="K391" t="s">
        <v>1009</v>
      </c>
      <c r="L391" s="1">
        <v>41121</v>
      </c>
      <c r="N391" t="s">
        <v>36</v>
      </c>
      <c r="O391" t="s">
        <v>37</v>
      </c>
      <c r="P391" t="s">
        <v>305</v>
      </c>
      <c r="Q391" t="s">
        <v>39</v>
      </c>
      <c r="R391" t="s">
        <v>40</v>
      </c>
      <c r="S391">
        <v>0</v>
      </c>
      <c r="U391" t="s">
        <v>41</v>
      </c>
      <c r="V391" t="s">
        <v>42</v>
      </c>
      <c r="X391" t="s">
        <v>43</v>
      </c>
      <c r="Y391" t="b">
        <v>0</v>
      </c>
      <c r="Z391" t="b">
        <v>0</v>
      </c>
      <c r="AB391" t="s">
        <v>961</v>
      </c>
      <c r="AC391" s="1">
        <v>41291</v>
      </c>
      <c r="AE391" t="s">
        <v>962</v>
      </c>
      <c r="AF391">
        <v>0</v>
      </c>
      <c r="AG391">
        <v>45</v>
      </c>
      <c r="AH391">
        <v>192</v>
      </c>
      <c r="AI391" s="2">
        <f>Table__192.168.3.138DYLAgingReport[[#This Row],[NetAmount]]-Table__192.168.3.138DYLAgingReport[[#This Row],[Paid]]</f>
        <v>-5098</v>
      </c>
    </row>
    <row r="392" spans="1:35">
      <c r="A392" t="s">
        <v>1010</v>
      </c>
      <c r="B392" s="1">
        <v>41150</v>
      </c>
      <c r="C392" s="1">
        <v>41195</v>
      </c>
      <c r="D392" t="s">
        <v>184</v>
      </c>
      <c r="E392">
        <v>-21</v>
      </c>
      <c r="F392">
        <v>-3</v>
      </c>
      <c r="G392">
        <v>0</v>
      </c>
      <c r="H392">
        <v>0</v>
      </c>
      <c r="I392">
        <v>210</v>
      </c>
      <c r="J392">
        <v>-24</v>
      </c>
      <c r="K392" t="s">
        <v>1011</v>
      </c>
      <c r="L392" s="1">
        <v>41058</v>
      </c>
      <c r="M392" t="s">
        <v>1012</v>
      </c>
      <c r="N392" t="s">
        <v>36</v>
      </c>
      <c r="O392" t="s">
        <v>37</v>
      </c>
      <c r="P392" t="s">
        <v>321</v>
      </c>
      <c r="Q392" t="s">
        <v>39</v>
      </c>
      <c r="R392" t="s">
        <v>40</v>
      </c>
      <c r="S392">
        <v>0</v>
      </c>
      <c r="U392" t="s">
        <v>41</v>
      </c>
      <c r="V392" t="s">
        <v>42</v>
      </c>
      <c r="W392" t="s">
        <v>1013</v>
      </c>
      <c r="X392" t="s">
        <v>43</v>
      </c>
      <c r="Y392" t="b">
        <v>0</v>
      </c>
      <c r="Z392" t="b">
        <v>0</v>
      </c>
      <c r="AA392" t="b">
        <v>0</v>
      </c>
      <c r="AC392" s="1"/>
      <c r="AF392">
        <v>0</v>
      </c>
      <c r="AG392">
        <v>45</v>
      </c>
      <c r="AH392">
        <v>255</v>
      </c>
      <c r="AI392" s="2">
        <f>Table__192.168.3.138DYLAgingReport[[#This Row],[NetAmount]]-Table__192.168.3.138DYLAgingReport[[#This Row],[Paid]]</f>
        <v>-24</v>
      </c>
    </row>
    <row r="393" spans="1:35">
      <c r="A393" t="s">
        <v>1014</v>
      </c>
      <c r="B393" s="1">
        <v>41150</v>
      </c>
      <c r="C393" s="1">
        <v>41195</v>
      </c>
      <c r="D393" t="s">
        <v>186</v>
      </c>
      <c r="E393">
        <v>-51</v>
      </c>
      <c r="F393">
        <v>-8</v>
      </c>
      <c r="G393">
        <v>0</v>
      </c>
      <c r="H393">
        <v>0</v>
      </c>
      <c r="I393">
        <v>167</v>
      </c>
      <c r="J393">
        <v>-59</v>
      </c>
      <c r="K393" t="s">
        <v>1015</v>
      </c>
      <c r="L393" s="1">
        <v>41101</v>
      </c>
      <c r="N393" t="s">
        <v>36</v>
      </c>
      <c r="O393" t="s">
        <v>37</v>
      </c>
      <c r="P393" t="s">
        <v>323</v>
      </c>
      <c r="Q393" t="s">
        <v>39</v>
      </c>
      <c r="R393" t="s">
        <v>40</v>
      </c>
      <c r="S393">
        <v>0</v>
      </c>
      <c r="U393" t="s">
        <v>41</v>
      </c>
      <c r="V393" t="s">
        <v>42</v>
      </c>
      <c r="X393" t="s">
        <v>43</v>
      </c>
      <c r="Y393" t="b">
        <v>0</v>
      </c>
      <c r="Z393" t="b">
        <v>0</v>
      </c>
      <c r="AC393" s="1"/>
      <c r="AF393">
        <v>0</v>
      </c>
      <c r="AG393">
        <v>45</v>
      </c>
      <c r="AH393">
        <v>212</v>
      </c>
      <c r="AI393" s="2">
        <f>Table__192.168.3.138DYLAgingReport[[#This Row],[NetAmount]]-Table__192.168.3.138DYLAgingReport[[#This Row],[Paid]]</f>
        <v>-59</v>
      </c>
    </row>
    <row r="394" spans="1:35">
      <c r="A394" t="s">
        <v>1016</v>
      </c>
      <c r="B394" s="1">
        <v>41150</v>
      </c>
      <c r="C394" s="1">
        <v>41195</v>
      </c>
      <c r="D394" t="s">
        <v>191</v>
      </c>
      <c r="E394">
        <v>-817</v>
      </c>
      <c r="F394">
        <v>-131</v>
      </c>
      <c r="G394">
        <v>0</v>
      </c>
      <c r="H394">
        <v>0</v>
      </c>
      <c r="I394">
        <v>166</v>
      </c>
      <c r="J394">
        <v>-948</v>
      </c>
      <c r="K394" t="s">
        <v>1017</v>
      </c>
      <c r="L394" s="1">
        <v>41102</v>
      </c>
      <c r="N394" t="s">
        <v>36</v>
      </c>
      <c r="O394" t="s">
        <v>37</v>
      </c>
      <c r="P394" t="s">
        <v>328</v>
      </c>
      <c r="Q394" t="s">
        <v>39</v>
      </c>
      <c r="R394" t="s">
        <v>40</v>
      </c>
      <c r="S394">
        <v>0</v>
      </c>
      <c r="U394" t="s">
        <v>41</v>
      </c>
      <c r="V394" t="s">
        <v>42</v>
      </c>
      <c r="X394" t="s">
        <v>43</v>
      </c>
      <c r="Y394" t="b">
        <v>0</v>
      </c>
      <c r="Z394" t="b">
        <v>0</v>
      </c>
      <c r="AC394" s="1"/>
      <c r="AF394">
        <v>0</v>
      </c>
      <c r="AG394">
        <v>45</v>
      </c>
      <c r="AH394">
        <v>211</v>
      </c>
      <c r="AI394" s="2">
        <f>Table__192.168.3.138DYLAgingReport[[#This Row],[NetAmount]]-Table__192.168.3.138DYLAgingReport[[#This Row],[Paid]]</f>
        <v>-948</v>
      </c>
    </row>
    <row r="395" spans="1:35">
      <c r="A395" t="s">
        <v>1018</v>
      </c>
      <c r="B395" s="1">
        <v>41150</v>
      </c>
      <c r="C395" s="1">
        <v>41195</v>
      </c>
      <c r="D395" t="s">
        <v>201</v>
      </c>
      <c r="E395">
        <v>-1231</v>
      </c>
      <c r="F395">
        <v>-197</v>
      </c>
      <c r="G395">
        <v>0</v>
      </c>
      <c r="H395">
        <v>0</v>
      </c>
      <c r="I395">
        <v>167</v>
      </c>
      <c r="J395">
        <v>-1428</v>
      </c>
      <c r="K395" t="s">
        <v>1019</v>
      </c>
      <c r="L395" s="1">
        <v>41101</v>
      </c>
      <c r="N395" t="s">
        <v>36</v>
      </c>
      <c r="O395" t="s">
        <v>37</v>
      </c>
      <c r="P395" t="s">
        <v>338</v>
      </c>
      <c r="Q395" t="s">
        <v>39</v>
      </c>
      <c r="R395" t="s">
        <v>40</v>
      </c>
      <c r="S395">
        <v>0</v>
      </c>
      <c r="U395" t="s">
        <v>41</v>
      </c>
      <c r="V395" t="s">
        <v>42</v>
      </c>
      <c r="X395" t="s">
        <v>43</v>
      </c>
      <c r="Y395" t="b">
        <v>0</v>
      </c>
      <c r="Z395" t="b">
        <v>0</v>
      </c>
      <c r="AB395" t="s">
        <v>485</v>
      </c>
      <c r="AC395" s="1">
        <v>41236</v>
      </c>
      <c r="AF395">
        <v>0</v>
      </c>
      <c r="AG395">
        <v>45</v>
      </c>
      <c r="AH395">
        <v>212</v>
      </c>
      <c r="AI395" s="2">
        <f>Table__192.168.3.138DYLAgingReport[[#This Row],[NetAmount]]-Table__192.168.3.138DYLAgingReport[[#This Row],[Paid]]</f>
        <v>-1428</v>
      </c>
    </row>
    <row r="396" spans="1:35">
      <c r="A396" t="s">
        <v>1020</v>
      </c>
      <c r="B396" s="1">
        <v>41150</v>
      </c>
      <c r="C396" s="1">
        <v>41195</v>
      </c>
      <c r="D396" t="s">
        <v>207</v>
      </c>
      <c r="E396">
        <v>-1263</v>
      </c>
      <c r="F396">
        <v>-202</v>
      </c>
      <c r="G396">
        <v>0</v>
      </c>
      <c r="H396">
        <v>0</v>
      </c>
      <c r="I396">
        <v>168</v>
      </c>
      <c r="J396">
        <v>-1465</v>
      </c>
      <c r="K396" t="s">
        <v>1021</v>
      </c>
      <c r="L396" s="1">
        <v>41100</v>
      </c>
      <c r="N396" t="s">
        <v>36</v>
      </c>
      <c r="O396" t="s">
        <v>37</v>
      </c>
      <c r="P396" t="s">
        <v>344</v>
      </c>
      <c r="Q396" t="s">
        <v>39</v>
      </c>
      <c r="R396" t="s">
        <v>40</v>
      </c>
      <c r="S396">
        <v>0</v>
      </c>
      <c r="U396" t="s">
        <v>41</v>
      </c>
      <c r="V396" t="s">
        <v>42</v>
      </c>
      <c r="X396" t="s">
        <v>43</v>
      </c>
      <c r="Y396" t="b">
        <v>0</v>
      </c>
      <c r="Z396" t="b">
        <v>0</v>
      </c>
      <c r="AC396" s="1"/>
      <c r="AF396">
        <v>0</v>
      </c>
      <c r="AG396">
        <v>45</v>
      </c>
      <c r="AH396">
        <v>213</v>
      </c>
      <c r="AI396" s="2">
        <f>Table__192.168.3.138DYLAgingReport[[#This Row],[NetAmount]]-Table__192.168.3.138DYLAgingReport[[#This Row],[Paid]]</f>
        <v>-1465</v>
      </c>
    </row>
    <row r="397" spans="1:35">
      <c r="A397" t="s">
        <v>1022</v>
      </c>
      <c r="B397" s="1">
        <v>41150</v>
      </c>
      <c r="C397" s="1">
        <v>41195</v>
      </c>
      <c r="D397" t="s">
        <v>211</v>
      </c>
      <c r="E397">
        <v>-9</v>
      </c>
      <c r="F397">
        <v>0</v>
      </c>
      <c r="G397">
        <v>0</v>
      </c>
      <c r="H397">
        <v>0</v>
      </c>
      <c r="I397">
        <v>150</v>
      </c>
      <c r="J397">
        <v>-9</v>
      </c>
      <c r="K397" t="s">
        <v>1023</v>
      </c>
      <c r="L397" s="1">
        <v>41118</v>
      </c>
      <c r="N397" t="s">
        <v>36</v>
      </c>
      <c r="O397" t="s">
        <v>37</v>
      </c>
      <c r="P397" t="s">
        <v>348</v>
      </c>
      <c r="Q397" t="s">
        <v>39</v>
      </c>
      <c r="R397" t="s">
        <v>40</v>
      </c>
      <c r="S397">
        <v>0</v>
      </c>
      <c r="U397" t="s">
        <v>41</v>
      </c>
      <c r="V397" t="s">
        <v>42</v>
      </c>
      <c r="X397" t="s">
        <v>43</v>
      </c>
      <c r="Y397" t="b">
        <v>0</v>
      </c>
      <c r="Z397" t="b">
        <v>0</v>
      </c>
      <c r="AC397" s="1"/>
      <c r="AF397">
        <v>0</v>
      </c>
      <c r="AG397">
        <v>45</v>
      </c>
      <c r="AH397">
        <v>195</v>
      </c>
      <c r="AI397" s="2">
        <f>Table__192.168.3.138DYLAgingReport[[#This Row],[NetAmount]]-Table__192.168.3.138DYLAgingReport[[#This Row],[Paid]]</f>
        <v>-9</v>
      </c>
    </row>
    <row r="398" spans="1:35">
      <c r="A398" t="s">
        <v>1024</v>
      </c>
      <c r="B398" s="1">
        <v>41150</v>
      </c>
      <c r="C398" s="1">
        <v>41195</v>
      </c>
      <c r="D398" t="s">
        <v>214</v>
      </c>
      <c r="E398">
        <v>-222</v>
      </c>
      <c r="F398">
        <v>0</v>
      </c>
      <c r="G398">
        <v>0</v>
      </c>
      <c r="H398">
        <v>0</v>
      </c>
      <c r="I398">
        <v>150</v>
      </c>
      <c r="J398">
        <v>-222</v>
      </c>
      <c r="K398" t="s">
        <v>1025</v>
      </c>
      <c r="L398" s="1">
        <v>41118</v>
      </c>
      <c r="N398" t="s">
        <v>36</v>
      </c>
      <c r="O398" t="s">
        <v>37</v>
      </c>
      <c r="P398" t="s">
        <v>351</v>
      </c>
      <c r="Q398" t="s">
        <v>39</v>
      </c>
      <c r="R398" t="s">
        <v>40</v>
      </c>
      <c r="S398">
        <v>0</v>
      </c>
      <c r="U398" t="s">
        <v>41</v>
      </c>
      <c r="V398" t="s">
        <v>42</v>
      </c>
      <c r="X398" t="s">
        <v>43</v>
      </c>
      <c r="Y398" t="b">
        <v>0</v>
      </c>
      <c r="Z398" t="b">
        <v>0</v>
      </c>
      <c r="AC398" s="1"/>
      <c r="AF398">
        <v>0</v>
      </c>
      <c r="AG398">
        <v>45</v>
      </c>
      <c r="AH398">
        <v>195</v>
      </c>
      <c r="AI398" s="2">
        <f>Table__192.168.3.138DYLAgingReport[[#This Row],[NetAmount]]-Table__192.168.3.138DYLAgingReport[[#This Row],[Paid]]</f>
        <v>-222</v>
      </c>
    </row>
    <row r="399" spans="1:35">
      <c r="A399" t="s">
        <v>1026</v>
      </c>
      <c r="B399" s="1">
        <v>41123</v>
      </c>
      <c r="C399" s="1">
        <v>41168</v>
      </c>
      <c r="D399" t="s">
        <v>220</v>
      </c>
      <c r="E399">
        <v>-144</v>
      </c>
      <c r="F399">
        <v>-23</v>
      </c>
      <c r="G399">
        <v>0</v>
      </c>
      <c r="H399">
        <v>0</v>
      </c>
      <c r="I399">
        <v>222</v>
      </c>
      <c r="J399">
        <v>-167</v>
      </c>
      <c r="K399" t="s">
        <v>979</v>
      </c>
      <c r="L399" s="1">
        <v>41046</v>
      </c>
      <c r="N399" t="s">
        <v>36</v>
      </c>
      <c r="O399" t="s">
        <v>37</v>
      </c>
      <c r="P399" t="s">
        <v>357</v>
      </c>
      <c r="Q399" t="s">
        <v>39</v>
      </c>
      <c r="R399" t="s">
        <v>40</v>
      </c>
      <c r="S399">
        <v>0</v>
      </c>
      <c r="U399" t="s">
        <v>41</v>
      </c>
      <c r="V399" t="s">
        <v>42</v>
      </c>
      <c r="X399" t="s">
        <v>43</v>
      </c>
      <c r="Y399" t="b">
        <v>0</v>
      </c>
      <c r="Z399" t="b">
        <v>0</v>
      </c>
      <c r="AC399" s="1"/>
      <c r="AF399">
        <v>0</v>
      </c>
      <c r="AG399">
        <v>45</v>
      </c>
      <c r="AH399">
        <v>267</v>
      </c>
      <c r="AI399" s="2">
        <f>Table__192.168.3.138DYLAgingReport[[#This Row],[NetAmount]]-Table__192.168.3.138DYLAgingReport[[#This Row],[Paid]]</f>
        <v>-167</v>
      </c>
    </row>
    <row r="400" spans="1:35">
      <c r="A400" t="s">
        <v>1027</v>
      </c>
      <c r="B400" s="1">
        <v>41150</v>
      </c>
      <c r="C400" s="1">
        <v>41150</v>
      </c>
      <c r="D400" t="s">
        <v>245</v>
      </c>
      <c r="E400">
        <v>-585</v>
      </c>
      <c r="F400">
        <v>-94</v>
      </c>
      <c r="G400">
        <v>0</v>
      </c>
      <c r="H400">
        <v>0</v>
      </c>
      <c r="I400">
        <v>255</v>
      </c>
      <c r="J400">
        <v>-679</v>
      </c>
      <c r="K400" t="s">
        <v>1028</v>
      </c>
      <c r="L400" s="1">
        <v>41058</v>
      </c>
      <c r="N400" t="s">
        <v>36</v>
      </c>
      <c r="O400" t="s">
        <v>37</v>
      </c>
      <c r="P400" t="s">
        <v>382</v>
      </c>
      <c r="Q400" t="s">
        <v>39</v>
      </c>
      <c r="R400" t="s">
        <v>40</v>
      </c>
      <c r="S400">
        <v>0</v>
      </c>
      <c r="U400" t="s">
        <v>41</v>
      </c>
      <c r="V400" t="s">
        <v>42</v>
      </c>
      <c r="X400" t="s">
        <v>43</v>
      </c>
      <c r="Y400" t="b">
        <v>0</v>
      </c>
      <c r="Z400" t="b">
        <v>0</v>
      </c>
      <c r="AC400" s="1"/>
      <c r="AF400">
        <v>0</v>
      </c>
      <c r="AG400">
        <v>0</v>
      </c>
      <c r="AH400">
        <v>255</v>
      </c>
      <c r="AI400" s="2">
        <f>Table__192.168.3.138DYLAgingReport[[#This Row],[NetAmount]]-Table__192.168.3.138DYLAgingReport[[#This Row],[Paid]]</f>
        <v>-679</v>
      </c>
    </row>
    <row r="401" spans="1:35">
      <c r="A401" t="s">
        <v>1029</v>
      </c>
      <c r="B401" s="1">
        <v>41150</v>
      </c>
      <c r="C401" s="1">
        <v>41195</v>
      </c>
      <c r="D401" t="s">
        <v>255</v>
      </c>
      <c r="E401">
        <v>-70</v>
      </c>
      <c r="F401">
        <v>-11</v>
      </c>
      <c r="G401">
        <v>0</v>
      </c>
      <c r="H401">
        <v>0</v>
      </c>
      <c r="I401">
        <v>179</v>
      </c>
      <c r="J401">
        <v>-81</v>
      </c>
      <c r="K401" t="s">
        <v>986</v>
      </c>
      <c r="L401" s="1">
        <v>41089</v>
      </c>
      <c r="N401" t="s">
        <v>36</v>
      </c>
      <c r="O401" t="s">
        <v>37</v>
      </c>
      <c r="P401" t="s">
        <v>392</v>
      </c>
      <c r="Q401" t="s">
        <v>39</v>
      </c>
      <c r="R401" t="s">
        <v>40</v>
      </c>
      <c r="S401">
        <v>0</v>
      </c>
      <c r="U401" t="s">
        <v>41</v>
      </c>
      <c r="V401" t="s">
        <v>42</v>
      </c>
      <c r="X401" t="s">
        <v>43</v>
      </c>
      <c r="Y401" t="b">
        <v>0</v>
      </c>
      <c r="Z401" t="b">
        <v>0</v>
      </c>
      <c r="AC401" s="1"/>
      <c r="AF401">
        <v>0</v>
      </c>
      <c r="AG401">
        <v>45</v>
      </c>
      <c r="AH401">
        <v>224</v>
      </c>
      <c r="AI401" s="2">
        <f>Table__192.168.3.138DYLAgingReport[[#This Row],[NetAmount]]-Table__192.168.3.138DYLAgingReport[[#This Row],[Paid]]</f>
        <v>-81</v>
      </c>
    </row>
    <row r="402" spans="1:35">
      <c r="A402" t="s">
        <v>1030</v>
      </c>
      <c r="B402" s="1">
        <v>41150</v>
      </c>
      <c r="C402" s="1">
        <v>41195</v>
      </c>
      <c r="D402" t="s">
        <v>258</v>
      </c>
      <c r="E402">
        <v>-1072</v>
      </c>
      <c r="F402">
        <v>-172</v>
      </c>
      <c r="G402">
        <v>0</v>
      </c>
      <c r="H402">
        <v>0</v>
      </c>
      <c r="I402">
        <v>167</v>
      </c>
      <c r="J402">
        <v>-1244</v>
      </c>
      <c r="K402" t="s">
        <v>1031</v>
      </c>
      <c r="L402" s="1">
        <v>41101</v>
      </c>
      <c r="M402" t="s">
        <v>10776</v>
      </c>
      <c r="N402" t="s">
        <v>36</v>
      </c>
      <c r="O402" t="s">
        <v>37</v>
      </c>
      <c r="P402" t="s">
        <v>395</v>
      </c>
      <c r="Q402" t="s">
        <v>39</v>
      </c>
      <c r="R402" t="s">
        <v>40</v>
      </c>
      <c r="S402">
        <v>0</v>
      </c>
      <c r="U402" t="s">
        <v>41</v>
      </c>
      <c r="V402" t="s">
        <v>42</v>
      </c>
      <c r="W402" t="s">
        <v>10768</v>
      </c>
      <c r="X402" t="s">
        <v>43</v>
      </c>
      <c r="Y402" t="b">
        <v>0</v>
      </c>
      <c r="Z402" t="b">
        <v>0</v>
      </c>
      <c r="AA402" t="b">
        <v>0</v>
      </c>
      <c r="AC402" s="1"/>
      <c r="AF402">
        <v>0</v>
      </c>
      <c r="AG402">
        <v>45</v>
      </c>
      <c r="AH402">
        <v>212</v>
      </c>
      <c r="AI402" s="2">
        <f>Table__192.168.3.138DYLAgingReport[[#This Row],[NetAmount]]-Table__192.168.3.138DYLAgingReport[[#This Row],[Paid]]</f>
        <v>-1244</v>
      </c>
    </row>
    <row r="403" spans="1:35">
      <c r="A403" t="s">
        <v>1032</v>
      </c>
      <c r="B403" s="1">
        <v>41150</v>
      </c>
      <c r="C403" s="1">
        <v>41195</v>
      </c>
      <c r="D403" t="s">
        <v>259</v>
      </c>
      <c r="E403">
        <v>-30</v>
      </c>
      <c r="F403">
        <v>-5</v>
      </c>
      <c r="G403">
        <v>0</v>
      </c>
      <c r="H403">
        <v>0</v>
      </c>
      <c r="I403">
        <v>118</v>
      </c>
      <c r="J403">
        <v>-35</v>
      </c>
      <c r="L403" s="1">
        <v>41150</v>
      </c>
      <c r="N403" t="s">
        <v>36</v>
      </c>
      <c r="O403" t="s">
        <v>37</v>
      </c>
      <c r="P403" t="s">
        <v>396</v>
      </c>
      <c r="Q403" t="s">
        <v>39</v>
      </c>
      <c r="R403" t="s">
        <v>40</v>
      </c>
      <c r="S403">
        <v>0</v>
      </c>
      <c r="U403" t="s">
        <v>41</v>
      </c>
      <c r="V403" t="s">
        <v>42</v>
      </c>
      <c r="X403" t="s">
        <v>43</v>
      </c>
      <c r="Y403" t="b">
        <v>0</v>
      </c>
      <c r="Z403" t="b">
        <v>0</v>
      </c>
      <c r="AC403" s="1"/>
      <c r="AF403">
        <v>0</v>
      </c>
      <c r="AG403">
        <v>45</v>
      </c>
      <c r="AH403">
        <v>163</v>
      </c>
      <c r="AI403" s="2">
        <f>Table__192.168.3.138DYLAgingReport[[#This Row],[NetAmount]]-Table__192.168.3.138DYLAgingReport[[#This Row],[Paid]]</f>
        <v>-35</v>
      </c>
    </row>
    <row r="404" spans="1:35">
      <c r="A404" t="s">
        <v>1033</v>
      </c>
      <c r="B404" s="1">
        <v>41150</v>
      </c>
      <c r="C404" s="1">
        <v>41195</v>
      </c>
      <c r="D404" t="s">
        <v>282</v>
      </c>
      <c r="E404">
        <v>-1270</v>
      </c>
      <c r="F404">
        <v>-203</v>
      </c>
      <c r="G404">
        <v>0</v>
      </c>
      <c r="H404">
        <v>0</v>
      </c>
      <c r="I404">
        <v>154</v>
      </c>
      <c r="J404">
        <v>-1473</v>
      </c>
      <c r="K404" t="s">
        <v>1034</v>
      </c>
      <c r="L404" s="1">
        <v>41114</v>
      </c>
      <c r="N404" t="s">
        <v>36</v>
      </c>
      <c r="O404" t="s">
        <v>37</v>
      </c>
      <c r="P404" t="s">
        <v>419</v>
      </c>
      <c r="Q404" t="s">
        <v>39</v>
      </c>
      <c r="R404" t="s">
        <v>40</v>
      </c>
      <c r="S404">
        <v>0</v>
      </c>
      <c r="U404" t="s">
        <v>41</v>
      </c>
      <c r="V404" t="s">
        <v>42</v>
      </c>
      <c r="X404" t="s">
        <v>43</v>
      </c>
      <c r="Y404" t="b">
        <v>0</v>
      </c>
      <c r="Z404" t="b">
        <v>0</v>
      </c>
      <c r="AC404" s="1"/>
      <c r="AF404">
        <v>0</v>
      </c>
      <c r="AG404">
        <v>45</v>
      </c>
      <c r="AH404">
        <v>199</v>
      </c>
      <c r="AI404" s="2">
        <f>Table__192.168.3.138DYLAgingReport[[#This Row],[NetAmount]]-Table__192.168.3.138DYLAgingReport[[#This Row],[Paid]]</f>
        <v>-1473</v>
      </c>
    </row>
    <row r="405" spans="1:35">
      <c r="A405" t="s">
        <v>1035</v>
      </c>
      <c r="B405" s="1">
        <v>41128</v>
      </c>
      <c r="C405" s="1">
        <v>41128</v>
      </c>
      <c r="D405" t="s">
        <v>296</v>
      </c>
      <c r="E405">
        <v>-1749</v>
      </c>
      <c r="F405">
        <v>-280</v>
      </c>
      <c r="G405">
        <v>0</v>
      </c>
      <c r="H405">
        <v>0</v>
      </c>
      <c r="I405">
        <v>169</v>
      </c>
      <c r="J405">
        <v>-2029</v>
      </c>
      <c r="K405" t="s">
        <v>86</v>
      </c>
      <c r="L405" s="1">
        <v>41099</v>
      </c>
      <c r="N405" t="s">
        <v>36</v>
      </c>
      <c r="O405" t="s">
        <v>37</v>
      </c>
      <c r="P405" t="s">
        <v>433</v>
      </c>
      <c r="Q405" t="s">
        <v>39</v>
      </c>
      <c r="R405" t="s">
        <v>40</v>
      </c>
      <c r="S405">
        <v>0</v>
      </c>
      <c r="U405" t="s">
        <v>41</v>
      </c>
      <c r="V405" t="s">
        <v>42</v>
      </c>
      <c r="X405" t="s">
        <v>43</v>
      </c>
      <c r="Y405" t="b">
        <v>0</v>
      </c>
      <c r="Z405" t="b">
        <v>0</v>
      </c>
      <c r="AC405" s="1"/>
      <c r="AF405">
        <v>0</v>
      </c>
      <c r="AG405">
        <v>45</v>
      </c>
      <c r="AH405">
        <v>214</v>
      </c>
      <c r="AI405" s="2">
        <f>Table__192.168.3.138DYLAgingReport[[#This Row],[NetAmount]]-Table__192.168.3.138DYLAgingReport[[#This Row],[Paid]]</f>
        <v>-2029</v>
      </c>
    </row>
    <row r="406" spans="1:35">
      <c r="A406" t="s">
        <v>1036</v>
      </c>
      <c r="B406" s="1">
        <v>41233</v>
      </c>
      <c r="C406" s="1">
        <v>41278</v>
      </c>
      <c r="D406" t="s">
        <v>174</v>
      </c>
      <c r="E406">
        <v>-5444</v>
      </c>
      <c r="F406">
        <v>-871</v>
      </c>
      <c r="G406">
        <v>0</v>
      </c>
      <c r="H406">
        <v>0</v>
      </c>
      <c r="I406">
        <v>55</v>
      </c>
      <c r="J406">
        <v>-6315</v>
      </c>
      <c r="K406" t="s">
        <v>1037</v>
      </c>
      <c r="L406" s="1">
        <v>41213</v>
      </c>
      <c r="N406" t="s">
        <v>36</v>
      </c>
      <c r="O406" t="s">
        <v>37</v>
      </c>
      <c r="P406" t="s">
        <v>311</v>
      </c>
      <c r="Q406" t="s">
        <v>39</v>
      </c>
      <c r="R406" t="s">
        <v>40</v>
      </c>
      <c r="S406">
        <v>0</v>
      </c>
      <c r="U406" t="s">
        <v>41</v>
      </c>
      <c r="V406" t="s">
        <v>42</v>
      </c>
      <c r="X406" t="s">
        <v>43</v>
      </c>
      <c r="Y406" t="b">
        <v>0</v>
      </c>
      <c r="Z406" t="b">
        <v>0</v>
      </c>
      <c r="AC406" s="1"/>
      <c r="AF406">
        <v>0</v>
      </c>
      <c r="AG406">
        <v>45</v>
      </c>
      <c r="AH406">
        <v>100</v>
      </c>
      <c r="AI406" s="2">
        <f>Table__192.168.3.138DYLAgingReport[[#This Row],[NetAmount]]-Table__192.168.3.138DYLAgingReport[[#This Row],[Paid]]</f>
        <v>-6315</v>
      </c>
    </row>
    <row r="407" spans="1:35">
      <c r="A407" t="s">
        <v>1038</v>
      </c>
      <c r="B407" s="1">
        <v>41239</v>
      </c>
      <c r="C407" s="1">
        <v>41284</v>
      </c>
      <c r="D407" t="s">
        <v>180</v>
      </c>
      <c r="E407">
        <v>-2864</v>
      </c>
      <c r="F407">
        <v>-458</v>
      </c>
      <c r="G407">
        <v>0</v>
      </c>
      <c r="H407">
        <v>0</v>
      </c>
      <c r="I407">
        <v>200</v>
      </c>
      <c r="J407">
        <v>-3322</v>
      </c>
      <c r="K407" t="s">
        <v>1039</v>
      </c>
      <c r="L407" s="1">
        <v>41068</v>
      </c>
      <c r="N407" t="s">
        <v>36</v>
      </c>
      <c r="O407" t="s">
        <v>37</v>
      </c>
      <c r="P407" t="s">
        <v>317</v>
      </c>
      <c r="Q407" t="s">
        <v>39</v>
      </c>
      <c r="R407" t="s">
        <v>40</v>
      </c>
      <c r="S407">
        <v>0</v>
      </c>
      <c r="U407" t="s">
        <v>41</v>
      </c>
      <c r="V407" t="s">
        <v>42</v>
      </c>
      <c r="X407" t="s">
        <v>43</v>
      </c>
      <c r="Y407" t="b">
        <v>0</v>
      </c>
      <c r="Z407" t="b">
        <v>0</v>
      </c>
      <c r="AC407" s="1"/>
      <c r="AF407">
        <v>0</v>
      </c>
      <c r="AG407">
        <v>45</v>
      </c>
      <c r="AH407">
        <v>245</v>
      </c>
      <c r="AI407" s="2">
        <f>Table__192.168.3.138DYLAgingReport[[#This Row],[NetAmount]]-Table__192.168.3.138DYLAgingReport[[#This Row],[Paid]]</f>
        <v>-3322</v>
      </c>
    </row>
    <row r="408" spans="1:35">
      <c r="A408" t="s">
        <v>1040</v>
      </c>
      <c r="B408" s="1">
        <v>41226</v>
      </c>
      <c r="C408" s="1">
        <v>41256</v>
      </c>
      <c r="D408" t="s">
        <v>181</v>
      </c>
      <c r="E408">
        <v>-174</v>
      </c>
      <c r="F408">
        <v>-28</v>
      </c>
      <c r="G408">
        <v>0</v>
      </c>
      <c r="H408">
        <v>0</v>
      </c>
      <c r="I408">
        <v>106</v>
      </c>
      <c r="J408">
        <v>-202</v>
      </c>
      <c r="K408" t="s">
        <v>1041</v>
      </c>
      <c r="L408" s="1">
        <v>41177</v>
      </c>
      <c r="M408" t="s">
        <v>1042</v>
      </c>
      <c r="N408" t="s">
        <v>36</v>
      </c>
      <c r="O408" t="s">
        <v>37</v>
      </c>
      <c r="P408" t="s">
        <v>318</v>
      </c>
      <c r="Q408" t="s">
        <v>39</v>
      </c>
      <c r="R408" t="s">
        <v>40</v>
      </c>
      <c r="S408">
        <v>0</v>
      </c>
      <c r="U408" t="s">
        <v>41</v>
      </c>
      <c r="V408" t="s">
        <v>42</v>
      </c>
      <c r="W408" t="s">
        <v>876</v>
      </c>
      <c r="X408" t="s">
        <v>43</v>
      </c>
      <c r="Y408" t="b">
        <v>0</v>
      </c>
      <c r="Z408" t="b">
        <v>0</v>
      </c>
      <c r="AA408" t="b">
        <v>0</v>
      </c>
      <c r="AC408" s="1"/>
      <c r="AF408">
        <v>0</v>
      </c>
      <c r="AG408">
        <v>30</v>
      </c>
      <c r="AH408">
        <v>136</v>
      </c>
      <c r="AI408" s="2">
        <f>Table__192.168.3.138DYLAgingReport[[#This Row],[NetAmount]]-Table__192.168.3.138DYLAgingReport[[#This Row],[Paid]]</f>
        <v>-202</v>
      </c>
    </row>
    <row r="409" spans="1:35">
      <c r="A409" t="s">
        <v>1043</v>
      </c>
      <c r="B409" s="1">
        <v>41239</v>
      </c>
      <c r="C409" s="1">
        <v>41284</v>
      </c>
      <c r="D409" t="s">
        <v>183</v>
      </c>
      <c r="E409">
        <v>-354</v>
      </c>
      <c r="F409">
        <v>-57</v>
      </c>
      <c r="G409">
        <v>0</v>
      </c>
      <c r="H409">
        <v>0</v>
      </c>
      <c r="I409">
        <v>73</v>
      </c>
      <c r="J409">
        <v>-411</v>
      </c>
      <c r="K409" t="s">
        <v>1044</v>
      </c>
      <c r="L409" s="1">
        <v>41195</v>
      </c>
      <c r="N409" t="s">
        <v>36</v>
      </c>
      <c r="O409" t="s">
        <v>37</v>
      </c>
      <c r="P409" t="s">
        <v>320</v>
      </c>
      <c r="Q409" t="s">
        <v>39</v>
      </c>
      <c r="R409" t="s">
        <v>40</v>
      </c>
      <c r="S409">
        <v>0</v>
      </c>
      <c r="U409" t="s">
        <v>41</v>
      </c>
      <c r="V409" t="s">
        <v>42</v>
      </c>
      <c r="X409" t="s">
        <v>43</v>
      </c>
      <c r="Y409" t="b">
        <v>0</v>
      </c>
      <c r="Z409" t="b">
        <v>0</v>
      </c>
      <c r="AC409" s="1"/>
      <c r="AF409">
        <v>0</v>
      </c>
      <c r="AG409">
        <v>45</v>
      </c>
      <c r="AH409">
        <v>118</v>
      </c>
      <c r="AI409" s="2">
        <f>Table__192.168.3.138DYLAgingReport[[#This Row],[NetAmount]]-Table__192.168.3.138DYLAgingReport[[#This Row],[Paid]]</f>
        <v>-411</v>
      </c>
    </row>
    <row r="410" spans="1:35">
      <c r="A410" t="s">
        <v>66</v>
      </c>
      <c r="B410" s="1">
        <v>41235</v>
      </c>
      <c r="C410" s="1">
        <v>41280</v>
      </c>
      <c r="D410" t="s">
        <v>35</v>
      </c>
      <c r="E410">
        <v>-6200</v>
      </c>
      <c r="F410">
        <v>-992</v>
      </c>
      <c r="G410">
        <v>0</v>
      </c>
      <c r="H410">
        <v>0</v>
      </c>
      <c r="I410">
        <v>89</v>
      </c>
      <c r="J410">
        <v>-7192</v>
      </c>
      <c r="K410" t="s">
        <v>67</v>
      </c>
      <c r="L410" s="1">
        <v>41179</v>
      </c>
      <c r="N410" t="s">
        <v>36</v>
      </c>
      <c r="O410" t="s">
        <v>37</v>
      </c>
      <c r="P410" t="s">
        <v>38</v>
      </c>
      <c r="Q410" t="s">
        <v>39</v>
      </c>
      <c r="R410" t="s">
        <v>40</v>
      </c>
      <c r="S410">
        <v>0</v>
      </c>
      <c r="U410" t="s">
        <v>41</v>
      </c>
      <c r="V410" t="s">
        <v>42</v>
      </c>
      <c r="X410" t="s">
        <v>43</v>
      </c>
      <c r="Y410" t="b">
        <v>0</v>
      </c>
      <c r="Z410" t="b">
        <v>0</v>
      </c>
      <c r="AC410" s="1"/>
      <c r="AF410">
        <v>0</v>
      </c>
      <c r="AG410">
        <v>45</v>
      </c>
      <c r="AH410">
        <v>134</v>
      </c>
      <c r="AI410" s="2">
        <f>Table__192.168.3.138DYLAgingReport[[#This Row],[NetAmount]]-Table__192.168.3.138DYLAgingReport[[#This Row],[Paid]]</f>
        <v>-7192</v>
      </c>
    </row>
    <row r="411" spans="1:35">
      <c r="A411" t="s">
        <v>1045</v>
      </c>
      <c r="B411" s="1">
        <v>41233</v>
      </c>
      <c r="C411" s="1">
        <v>41278</v>
      </c>
      <c r="D411" t="s">
        <v>187</v>
      </c>
      <c r="E411">
        <v>-40</v>
      </c>
      <c r="F411">
        <v>0</v>
      </c>
      <c r="G411">
        <v>0</v>
      </c>
      <c r="H411">
        <v>0</v>
      </c>
      <c r="I411">
        <v>498</v>
      </c>
      <c r="J411">
        <v>-40</v>
      </c>
      <c r="L411" s="1">
        <v>40770</v>
      </c>
      <c r="N411" t="s">
        <v>36</v>
      </c>
      <c r="O411" t="s">
        <v>37</v>
      </c>
      <c r="P411" t="s">
        <v>324</v>
      </c>
      <c r="Q411" t="s">
        <v>39</v>
      </c>
      <c r="R411" t="s">
        <v>40</v>
      </c>
      <c r="S411">
        <v>0</v>
      </c>
      <c r="U411" t="s">
        <v>41</v>
      </c>
      <c r="V411" t="s">
        <v>42</v>
      </c>
      <c r="X411" t="s">
        <v>43</v>
      </c>
      <c r="Y411" t="b">
        <v>0</v>
      </c>
      <c r="Z411" t="b">
        <v>0</v>
      </c>
      <c r="AC411" s="1"/>
      <c r="AF411">
        <v>0</v>
      </c>
      <c r="AG411">
        <v>45</v>
      </c>
      <c r="AH411">
        <v>543</v>
      </c>
      <c r="AI411" s="2">
        <f>Table__192.168.3.138DYLAgingReport[[#This Row],[NetAmount]]-Table__192.168.3.138DYLAgingReport[[#This Row],[Paid]]</f>
        <v>-40</v>
      </c>
    </row>
    <row r="412" spans="1:35">
      <c r="A412" t="s">
        <v>1046</v>
      </c>
      <c r="B412" s="1">
        <v>41240</v>
      </c>
      <c r="C412" s="1">
        <v>41285</v>
      </c>
      <c r="D412" t="s">
        <v>191</v>
      </c>
      <c r="E412">
        <v>-383</v>
      </c>
      <c r="F412">
        <v>-61</v>
      </c>
      <c r="G412">
        <v>0</v>
      </c>
      <c r="H412">
        <v>0</v>
      </c>
      <c r="I412">
        <v>91</v>
      </c>
      <c r="J412">
        <v>-444</v>
      </c>
      <c r="K412" t="s">
        <v>1047</v>
      </c>
      <c r="L412" s="1">
        <v>41177</v>
      </c>
      <c r="N412" t="s">
        <v>36</v>
      </c>
      <c r="O412" t="s">
        <v>37</v>
      </c>
      <c r="P412" t="s">
        <v>328</v>
      </c>
      <c r="Q412" t="s">
        <v>39</v>
      </c>
      <c r="R412" t="s">
        <v>40</v>
      </c>
      <c r="S412">
        <v>0</v>
      </c>
      <c r="U412" t="s">
        <v>41</v>
      </c>
      <c r="V412" t="s">
        <v>42</v>
      </c>
      <c r="X412" t="s">
        <v>43</v>
      </c>
      <c r="Y412" t="b">
        <v>0</v>
      </c>
      <c r="Z412" t="b">
        <v>0</v>
      </c>
      <c r="AC412" s="1"/>
      <c r="AF412">
        <v>0</v>
      </c>
      <c r="AG412">
        <v>45</v>
      </c>
      <c r="AH412">
        <v>136</v>
      </c>
      <c r="AI412" s="2">
        <f>Table__192.168.3.138DYLAgingReport[[#This Row],[NetAmount]]-Table__192.168.3.138DYLAgingReport[[#This Row],[Paid]]</f>
        <v>-444</v>
      </c>
    </row>
    <row r="413" spans="1:35">
      <c r="A413" t="s">
        <v>1048</v>
      </c>
      <c r="B413" s="1">
        <v>41228</v>
      </c>
      <c r="C413" s="1">
        <v>41273</v>
      </c>
      <c r="D413" t="s">
        <v>202</v>
      </c>
      <c r="E413">
        <v>-13287</v>
      </c>
      <c r="F413">
        <v>-2126</v>
      </c>
      <c r="G413">
        <v>0</v>
      </c>
      <c r="H413">
        <v>0</v>
      </c>
      <c r="I413">
        <v>143</v>
      </c>
      <c r="J413">
        <v>-15413</v>
      </c>
      <c r="K413" t="s">
        <v>1049</v>
      </c>
      <c r="L413" s="1">
        <v>41125</v>
      </c>
      <c r="N413" t="s">
        <v>36</v>
      </c>
      <c r="O413" t="s">
        <v>37</v>
      </c>
      <c r="P413" t="s">
        <v>339</v>
      </c>
      <c r="Q413" t="s">
        <v>39</v>
      </c>
      <c r="R413" t="s">
        <v>40</v>
      </c>
      <c r="S413">
        <v>0</v>
      </c>
      <c r="U413" t="s">
        <v>41</v>
      </c>
      <c r="V413" t="s">
        <v>42</v>
      </c>
      <c r="X413" t="s">
        <v>43</v>
      </c>
      <c r="Y413" t="b">
        <v>0</v>
      </c>
      <c r="Z413" t="b">
        <v>0</v>
      </c>
      <c r="AC413" s="1"/>
      <c r="AF413">
        <v>0</v>
      </c>
      <c r="AG413">
        <v>45</v>
      </c>
      <c r="AH413">
        <v>188</v>
      </c>
      <c r="AI413" s="2">
        <f>Table__192.168.3.138DYLAgingReport[[#This Row],[NetAmount]]-Table__192.168.3.138DYLAgingReport[[#This Row],[Paid]]</f>
        <v>-15413</v>
      </c>
    </row>
    <row r="414" spans="1:35">
      <c r="A414" t="s">
        <v>1050</v>
      </c>
      <c r="B414" s="1">
        <v>41226</v>
      </c>
      <c r="C414" s="1">
        <v>41271</v>
      </c>
      <c r="D414" t="s">
        <v>206</v>
      </c>
      <c r="E414">
        <v>-680</v>
      </c>
      <c r="F414">
        <v>-109</v>
      </c>
      <c r="G414">
        <v>0</v>
      </c>
      <c r="H414">
        <v>0</v>
      </c>
      <c r="I414">
        <v>119</v>
      </c>
      <c r="J414">
        <v>-789</v>
      </c>
      <c r="K414" t="s">
        <v>891</v>
      </c>
      <c r="L414" s="1">
        <v>41149</v>
      </c>
      <c r="N414" t="s">
        <v>36</v>
      </c>
      <c r="O414" t="s">
        <v>37</v>
      </c>
      <c r="P414" t="s">
        <v>343</v>
      </c>
      <c r="Q414" t="s">
        <v>39</v>
      </c>
      <c r="R414" t="s">
        <v>40</v>
      </c>
      <c r="S414">
        <v>0</v>
      </c>
      <c r="U414" t="s">
        <v>41</v>
      </c>
      <c r="V414" t="s">
        <v>42</v>
      </c>
      <c r="X414" t="s">
        <v>43</v>
      </c>
      <c r="Y414" t="b">
        <v>0</v>
      </c>
      <c r="Z414" t="b">
        <v>0</v>
      </c>
      <c r="AC414" s="1"/>
      <c r="AF414">
        <v>0</v>
      </c>
      <c r="AG414">
        <v>45</v>
      </c>
      <c r="AH414">
        <v>164</v>
      </c>
      <c r="AI414" s="2">
        <f>Table__192.168.3.138DYLAgingReport[[#This Row],[NetAmount]]-Table__192.168.3.138DYLAgingReport[[#This Row],[Paid]]</f>
        <v>-789</v>
      </c>
    </row>
    <row r="415" spans="1:35">
      <c r="A415" t="s">
        <v>1051</v>
      </c>
      <c r="B415" s="1">
        <v>41240</v>
      </c>
      <c r="C415" s="1">
        <v>41285</v>
      </c>
      <c r="D415" t="s">
        <v>208</v>
      </c>
      <c r="E415">
        <v>-190</v>
      </c>
      <c r="F415">
        <v>-30</v>
      </c>
      <c r="G415">
        <v>0</v>
      </c>
      <c r="H415">
        <v>0</v>
      </c>
      <c r="I415">
        <v>73</v>
      </c>
      <c r="J415">
        <v>-220</v>
      </c>
      <c r="K415" t="s">
        <v>1052</v>
      </c>
      <c r="L415" s="1">
        <v>41195</v>
      </c>
      <c r="N415" t="s">
        <v>36</v>
      </c>
      <c r="O415" t="s">
        <v>37</v>
      </c>
      <c r="P415" t="s">
        <v>345</v>
      </c>
      <c r="Q415" t="s">
        <v>39</v>
      </c>
      <c r="R415" t="s">
        <v>40</v>
      </c>
      <c r="S415">
        <v>0</v>
      </c>
      <c r="U415" t="s">
        <v>41</v>
      </c>
      <c r="V415" t="s">
        <v>42</v>
      </c>
      <c r="X415" t="s">
        <v>43</v>
      </c>
      <c r="Y415" t="b">
        <v>0</v>
      </c>
      <c r="Z415" t="b">
        <v>0</v>
      </c>
      <c r="AC415" s="1"/>
      <c r="AF415">
        <v>0</v>
      </c>
      <c r="AG415">
        <v>45</v>
      </c>
      <c r="AH415">
        <v>118</v>
      </c>
      <c r="AI415" s="2">
        <f>Table__192.168.3.138DYLAgingReport[[#This Row],[NetAmount]]-Table__192.168.3.138DYLAgingReport[[#This Row],[Paid]]</f>
        <v>-220</v>
      </c>
    </row>
    <row r="416" spans="1:35">
      <c r="A416" t="s">
        <v>1053</v>
      </c>
      <c r="B416" s="1">
        <v>41240</v>
      </c>
      <c r="C416" s="1">
        <v>41285</v>
      </c>
      <c r="D416" t="s">
        <v>208</v>
      </c>
      <c r="E416">
        <v>-119</v>
      </c>
      <c r="F416">
        <v>-19</v>
      </c>
      <c r="G416">
        <v>0</v>
      </c>
      <c r="H416">
        <v>0</v>
      </c>
      <c r="I416">
        <v>73</v>
      </c>
      <c r="J416">
        <v>-138</v>
      </c>
      <c r="K416" t="s">
        <v>1052</v>
      </c>
      <c r="L416" s="1">
        <v>41195</v>
      </c>
      <c r="N416" t="s">
        <v>36</v>
      </c>
      <c r="O416" t="s">
        <v>37</v>
      </c>
      <c r="P416" t="s">
        <v>345</v>
      </c>
      <c r="Q416" t="s">
        <v>39</v>
      </c>
      <c r="R416" t="s">
        <v>40</v>
      </c>
      <c r="S416">
        <v>0</v>
      </c>
      <c r="T416" t="s">
        <v>1054</v>
      </c>
      <c r="U416" t="s">
        <v>41</v>
      </c>
      <c r="V416" t="s">
        <v>42</v>
      </c>
      <c r="X416" t="s">
        <v>43</v>
      </c>
      <c r="Y416" t="b">
        <v>0</v>
      </c>
      <c r="Z416" t="b">
        <v>0</v>
      </c>
      <c r="AC416" s="1"/>
      <c r="AF416">
        <v>0</v>
      </c>
      <c r="AG416">
        <v>45</v>
      </c>
      <c r="AH416">
        <v>118</v>
      </c>
      <c r="AI416" s="2">
        <f>Table__192.168.3.138DYLAgingReport[[#This Row],[NetAmount]]-Table__192.168.3.138DYLAgingReport[[#This Row],[Paid]]</f>
        <v>-138</v>
      </c>
    </row>
    <row r="417" spans="1:35">
      <c r="A417" t="s">
        <v>1055</v>
      </c>
      <c r="B417" s="1">
        <v>41228</v>
      </c>
      <c r="C417" s="1">
        <v>41273</v>
      </c>
      <c r="D417" t="s">
        <v>214</v>
      </c>
      <c r="E417">
        <v>-246</v>
      </c>
      <c r="F417">
        <v>0</v>
      </c>
      <c r="G417">
        <v>0</v>
      </c>
      <c r="H417">
        <v>0</v>
      </c>
      <c r="I417">
        <v>287</v>
      </c>
      <c r="J417">
        <v>-246</v>
      </c>
      <c r="K417" t="s">
        <v>1056</v>
      </c>
      <c r="L417" s="1">
        <v>40981</v>
      </c>
      <c r="N417" t="s">
        <v>36</v>
      </c>
      <c r="O417" t="s">
        <v>37</v>
      </c>
      <c r="P417" t="s">
        <v>351</v>
      </c>
      <c r="Q417" t="s">
        <v>39</v>
      </c>
      <c r="R417" t="s">
        <v>40</v>
      </c>
      <c r="S417">
        <v>0</v>
      </c>
      <c r="U417" t="s">
        <v>41</v>
      </c>
      <c r="V417" t="s">
        <v>42</v>
      </c>
      <c r="X417" t="s">
        <v>43</v>
      </c>
      <c r="Y417" t="b">
        <v>0</v>
      </c>
      <c r="Z417" t="b">
        <v>0</v>
      </c>
      <c r="AC417" s="1"/>
      <c r="AF417">
        <v>0</v>
      </c>
      <c r="AG417">
        <v>45</v>
      </c>
      <c r="AH417">
        <v>332</v>
      </c>
      <c r="AI417" s="2">
        <f>Table__192.168.3.138DYLAgingReport[[#This Row],[NetAmount]]-Table__192.168.3.138DYLAgingReport[[#This Row],[Paid]]</f>
        <v>-246</v>
      </c>
    </row>
    <row r="418" spans="1:35">
      <c r="A418" t="s">
        <v>1057</v>
      </c>
      <c r="B418" s="1">
        <v>41239</v>
      </c>
      <c r="C418" s="1">
        <v>41284</v>
      </c>
      <c r="D418" t="s">
        <v>220</v>
      </c>
      <c r="E418">
        <v>-347</v>
      </c>
      <c r="F418">
        <v>-56</v>
      </c>
      <c r="G418">
        <v>0</v>
      </c>
      <c r="H418">
        <v>0</v>
      </c>
      <c r="I418">
        <v>84</v>
      </c>
      <c r="J418">
        <v>-403</v>
      </c>
      <c r="K418" t="s">
        <v>1058</v>
      </c>
      <c r="L418" s="1">
        <v>41184</v>
      </c>
      <c r="N418" t="s">
        <v>36</v>
      </c>
      <c r="O418" t="s">
        <v>37</v>
      </c>
      <c r="P418" t="s">
        <v>357</v>
      </c>
      <c r="Q418" t="s">
        <v>39</v>
      </c>
      <c r="R418" t="s">
        <v>40</v>
      </c>
      <c r="S418">
        <v>0</v>
      </c>
      <c r="U418" t="s">
        <v>41</v>
      </c>
      <c r="V418" t="s">
        <v>42</v>
      </c>
      <c r="X418" t="s">
        <v>43</v>
      </c>
      <c r="Y418" t="b">
        <v>0</v>
      </c>
      <c r="Z418" t="b">
        <v>0</v>
      </c>
      <c r="AC418" s="1"/>
      <c r="AF418">
        <v>0</v>
      </c>
      <c r="AG418">
        <v>45</v>
      </c>
      <c r="AH418">
        <v>129</v>
      </c>
      <c r="AI418" s="2">
        <f>Table__192.168.3.138DYLAgingReport[[#This Row],[NetAmount]]-Table__192.168.3.138DYLAgingReport[[#This Row],[Paid]]</f>
        <v>-403</v>
      </c>
    </row>
    <row r="419" spans="1:35">
      <c r="A419" t="s">
        <v>1059</v>
      </c>
      <c r="B419" s="1">
        <v>41241</v>
      </c>
      <c r="C419" s="1">
        <v>41286</v>
      </c>
      <c r="D419" t="s">
        <v>224</v>
      </c>
      <c r="E419">
        <v>-1791</v>
      </c>
      <c r="F419">
        <v>-287</v>
      </c>
      <c r="G419">
        <v>0</v>
      </c>
      <c r="H419">
        <v>0</v>
      </c>
      <c r="I419">
        <v>61</v>
      </c>
      <c r="J419">
        <v>-2078</v>
      </c>
      <c r="K419" t="s">
        <v>1060</v>
      </c>
      <c r="L419" s="1">
        <v>41207</v>
      </c>
      <c r="N419" t="s">
        <v>36</v>
      </c>
      <c r="O419" t="s">
        <v>37</v>
      </c>
      <c r="P419" t="s">
        <v>361</v>
      </c>
      <c r="Q419" t="s">
        <v>39</v>
      </c>
      <c r="R419" t="s">
        <v>40</v>
      </c>
      <c r="S419">
        <v>0</v>
      </c>
      <c r="U419" t="s">
        <v>41</v>
      </c>
      <c r="V419" t="s">
        <v>42</v>
      </c>
      <c r="X419" t="s">
        <v>43</v>
      </c>
      <c r="Y419" t="b">
        <v>0</v>
      </c>
      <c r="Z419" t="b">
        <v>0</v>
      </c>
      <c r="AC419" s="1"/>
      <c r="AF419">
        <v>0</v>
      </c>
      <c r="AG419">
        <v>45</v>
      </c>
      <c r="AH419">
        <v>106</v>
      </c>
      <c r="AI419" s="2">
        <f>Table__192.168.3.138DYLAgingReport[[#This Row],[NetAmount]]-Table__192.168.3.138DYLAgingReport[[#This Row],[Paid]]</f>
        <v>-2078</v>
      </c>
    </row>
    <row r="420" spans="1:35">
      <c r="A420" t="s">
        <v>1061</v>
      </c>
      <c r="B420" s="1">
        <v>41241</v>
      </c>
      <c r="C420" s="1">
        <v>41286</v>
      </c>
      <c r="D420" t="s">
        <v>227</v>
      </c>
      <c r="E420">
        <v>-30040</v>
      </c>
      <c r="F420">
        <v>-4806</v>
      </c>
      <c r="G420">
        <v>0</v>
      </c>
      <c r="H420">
        <v>0</v>
      </c>
      <c r="I420">
        <v>90</v>
      </c>
      <c r="J420">
        <v>-34846</v>
      </c>
      <c r="K420" t="s">
        <v>1062</v>
      </c>
      <c r="L420" s="1">
        <v>41178</v>
      </c>
      <c r="N420" t="s">
        <v>36</v>
      </c>
      <c r="O420" t="s">
        <v>37</v>
      </c>
      <c r="P420" t="s">
        <v>364</v>
      </c>
      <c r="Q420" t="s">
        <v>39</v>
      </c>
      <c r="R420" t="s">
        <v>40</v>
      </c>
      <c r="S420">
        <v>0</v>
      </c>
      <c r="U420" t="s">
        <v>41</v>
      </c>
      <c r="V420" t="s">
        <v>42</v>
      </c>
      <c r="X420" t="s">
        <v>43</v>
      </c>
      <c r="Y420" t="b">
        <v>0</v>
      </c>
      <c r="Z420" t="b">
        <v>0</v>
      </c>
      <c r="AC420" s="1"/>
      <c r="AF420">
        <v>0</v>
      </c>
      <c r="AG420">
        <v>45</v>
      </c>
      <c r="AH420">
        <v>135</v>
      </c>
      <c r="AI420" s="2">
        <f>Table__192.168.3.138DYLAgingReport[[#This Row],[NetAmount]]-Table__192.168.3.138DYLAgingReport[[#This Row],[Paid]]</f>
        <v>-34846</v>
      </c>
    </row>
    <row r="421" spans="1:35">
      <c r="A421" t="s">
        <v>1063</v>
      </c>
      <c r="B421" s="1">
        <v>41235</v>
      </c>
      <c r="C421" s="1">
        <v>41280</v>
      </c>
      <c r="D421" t="s">
        <v>232</v>
      </c>
      <c r="E421">
        <v>-368</v>
      </c>
      <c r="F421">
        <v>-59</v>
      </c>
      <c r="G421">
        <v>0</v>
      </c>
      <c r="H421">
        <v>0</v>
      </c>
      <c r="I421">
        <v>141</v>
      </c>
      <c r="J421">
        <v>-427</v>
      </c>
      <c r="K421" t="s">
        <v>1064</v>
      </c>
      <c r="L421" s="1">
        <v>41127</v>
      </c>
      <c r="M421" t="s">
        <v>5349</v>
      </c>
      <c r="N421" t="s">
        <v>36</v>
      </c>
      <c r="O421" t="s">
        <v>37</v>
      </c>
      <c r="P421" t="s">
        <v>369</v>
      </c>
      <c r="Q421" t="s">
        <v>39</v>
      </c>
      <c r="R421" t="s">
        <v>40</v>
      </c>
      <c r="S421">
        <v>0</v>
      </c>
      <c r="U421" t="s">
        <v>41</v>
      </c>
      <c r="V421" t="s">
        <v>42</v>
      </c>
      <c r="W421" t="s">
        <v>5343</v>
      </c>
      <c r="X421" t="s">
        <v>43</v>
      </c>
      <c r="Y421" t="b">
        <v>0</v>
      </c>
      <c r="Z421" t="b">
        <v>0</v>
      </c>
      <c r="AA421" t="b">
        <v>0</v>
      </c>
      <c r="AC421" s="1"/>
      <c r="AF421">
        <v>0</v>
      </c>
      <c r="AG421">
        <v>45</v>
      </c>
      <c r="AH421">
        <v>186</v>
      </c>
      <c r="AI421" s="2">
        <f>Table__192.168.3.138DYLAgingReport[[#This Row],[NetAmount]]-Table__192.168.3.138DYLAgingReport[[#This Row],[Paid]]</f>
        <v>-427</v>
      </c>
    </row>
    <row r="422" spans="1:35">
      <c r="A422" t="s">
        <v>1065</v>
      </c>
      <c r="B422" s="1">
        <v>41218</v>
      </c>
      <c r="C422" s="1">
        <v>41263</v>
      </c>
      <c r="D422" t="s">
        <v>238</v>
      </c>
      <c r="E422">
        <v>-1435</v>
      </c>
      <c r="F422">
        <v>-230</v>
      </c>
      <c r="G422">
        <v>0</v>
      </c>
      <c r="H422">
        <v>0</v>
      </c>
      <c r="I422">
        <v>174</v>
      </c>
      <c r="J422">
        <v>-1665</v>
      </c>
      <c r="K422" t="s">
        <v>1066</v>
      </c>
      <c r="L422" s="1">
        <v>41094</v>
      </c>
      <c r="N422" t="s">
        <v>36</v>
      </c>
      <c r="O422" t="s">
        <v>37</v>
      </c>
      <c r="P422" t="s">
        <v>375</v>
      </c>
      <c r="Q422" t="s">
        <v>39</v>
      </c>
      <c r="R422" t="s">
        <v>40</v>
      </c>
      <c r="S422">
        <v>0</v>
      </c>
      <c r="U422" t="s">
        <v>41</v>
      </c>
      <c r="V422" t="s">
        <v>42</v>
      </c>
      <c r="X422" t="s">
        <v>43</v>
      </c>
      <c r="Y422" t="b">
        <v>0</v>
      </c>
      <c r="Z422" t="b">
        <v>0</v>
      </c>
      <c r="AC422" s="1"/>
      <c r="AF422">
        <v>0</v>
      </c>
      <c r="AG422">
        <v>45</v>
      </c>
      <c r="AH422">
        <v>219</v>
      </c>
      <c r="AI422" s="2">
        <f>Table__192.168.3.138DYLAgingReport[[#This Row],[NetAmount]]-Table__192.168.3.138DYLAgingReport[[#This Row],[Paid]]</f>
        <v>-1665</v>
      </c>
    </row>
    <row r="423" spans="1:35">
      <c r="A423" t="s">
        <v>1067</v>
      </c>
      <c r="B423" s="1">
        <v>41235</v>
      </c>
      <c r="C423" s="1">
        <v>41280</v>
      </c>
      <c r="D423" t="s">
        <v>242</v>
      </c>
      <c r="E423">
        <v>-1200</v>
      </c>
      <c r="F423">
        <v>-192</v>
      </c>
      <c r="G423">
        <v>0</v>
      </c>
      <c r="H423">
        <v>0</v>
      </c>
      <c r="I423">
        <v>91</v>
      </c>
      <c r="J423">
        <v>-1392</v>
      </c>
      <c r="K423" t="s">
        <v>1068</v>
      </c>
      <c r="L423" s="1">
        <v>41177</v>
      </c>
      <c r="N423" t="s">
        <v>36</v>
      </c>
      <c r="O423" t="s">
        <v>37</v>
      </c>
      <c r="P423" t="s">
        <v>379</v>
      </c>
      <c r="Q423" t="s">
        <v>39</v>
      </c>
      <c r="R423" t="s">
        <v>40</v>
      </c>
      <c r="S423">
        <v>0</v>
      </c>
      <c r="U423" t="s">
        <v>41</v>
      </c>
      <c r="V423" t="s">
        <v>42</v>
      </c>
      <c r="X423" t="s">
        <v>43</v>
      </c>
      <c r="Y423" t="b">
        <v>0</v>
      </c>
      <c r="Z423" t="b">
        <v>0</v>
      </c>
      <c r="AC423" s="1"/>
      <c r="AF423">
        <v>0</v>
      </c>
      <c r="AG423">
        <v>45</v>
      </c>
      <c r="AH423">
        <v>136</v>
      </c>
      <c r="AI423" s="2">
        <f>Table__192.168.3.138DYLAgingReport[[#This Row],[NetAmount]]-Table__192.168.3.138DYLAgingReport[[#This Row],[Paid]]</f>
        <v>-1392</v>
      </c>
    </row>
    <row r="424" spans="1:35">
      <c r="A424" t="s">
        <v>1069</v>
      </c>
      <c r="B424" s="1">
        <v>41233</v>
      </c>
      <c r="C424" s="1">
        <v>41278</v>
      </c>
      <c r="D424" t="s">
        <v>243</v>
      </c>
      <c r="E424">
        <v>-161</v>
      </c>
      <c r="F424">
        <v>0</v>
      </c>
      <c r="G424">
        <v>0</v>
      </c>
      <c r="H424">
        <v>0</v>
      </c>
      <c r="I424">
        <v>379</v>
      </c>
      <c r="J424">
        <v>-161</v>
      </c>
      <c r="L424" s="1">
        <v>40889</v>
      </c>
      <c r="M424" t="s">
        <v>1070</v>
      </c>
      <c r="N424" t="s">
        <v>36</v>
      </c>
      <c r="O424" t="s">
        <v>37</v>
      </c>
      <c r="P424" t="s">
        <v>380</v>
      </c>
      <c r="Q424" t="s">
        <v>39</v>
      </c>
      <c r="R424" t="s">
        <v>40</v>
      </c>
      <c r="S424">
        <v>0</v>
      </c>
      <c r="U424" t="s">
        <v>41</v>
      </c>
      <c r="V424" t="s">
        <v>42</v>
      </c>
      <c r="W424" t="s">
        <v>819</v>
      </c>
      <c r="X424" t="s">
        <v>43</v>
      </c>
      <c r="Y424" t="b">
        <v>0</v>
      </c>
      <c r="Z424" t="b">
        <v>0</v>
      </c>
      <c r="AA424" t="b">
        <v>0</v>
      </c>
      <c r="AC424" s="1"/>
      <c r="AF424">
        <v>0</v>
      </c>
      <c r="AG424">
        <v>45</v>
      </c>
      <c r="AH424">
        <v>424</v>
      </c>
      <c r="AI424" s="2">
        <f>Table__192.168.3.138DYLAgingReport[[#This Row],[NetAmount]]-Table__192.168.3.138DYLAgingReport[[#This Row],[Paid]]</f>
        <v>-161</v>
      </c>
    </row>
    <row r="425" spans="1:35">
      <c r="A425" t="s">
        <v>1071</v>
      </c>
      <c r="B425" s="1">
        <v>41241</v>
      </c>
      <c r="C425" s="1">
        <v>41286</v>
      </c>
      <c r="D425" t="s">
        <v>246</v>
      </c>
      <c r="E425">
        <v>-870</v>
      </c>
      <c r="F425">
        <v>-139</v>
      </c>
      <c r="G425">
        <v>0</v>
      </c>
      <c r="H425">
        <v>0</v>
      </c>
      <c r="I425">
        <v>162</v>
      </c>
      <c r="J425">
        <v>-1009</v>
      </c>
      <c r="K425" t="s">
        <v>1072</v>
      </c>
      <c r="L425" s="1">
        <v>41106</v>
      </c>
      <c r="N425" t="s">
        <v>36</v>
      </c>
      <c r="O425" t="s">
        <v>37</v>
      </c>
      <c r="P425" t="s">
        <v>383</v>
      </c>
      <c r="Q425" t="s">
        <v>39</v>
      </c>
      <c r="R425" t="s">
        <v>40</v>
      </c>
      <c r="S425">
        <v>0</v>
      </c>
      <c r="U425" t="s">
        <v>41</v>
      </c>
      <c r="V425" t="s">
        <v>42</v>
      </c>
      <c r="X425" t="s">
        <v>43</v>
      </c>
      <c r="Y425" t="b">
        <v>0</v>
      </c>
      <c r="Z425" t="b">
        <v>0</v>
      </c>
      <c r="AB425" t="s">
        <v>906</v>
      </c>
      <c r="AC425" s="1">
        <v>41249</v>
      </c>
      <c r="AE425" t="s">
        <v>907</v>
      </c>
      <c r="AF425">
        <v>0</v>
      </c>
      <c r="AG425">
        <v>45</v>
      </c>
      <c r="AH425">
        <v>207</v>
      </c>
      <c r="AI425" s="2">
        <f>Table__192.168.3.138DYLAgingReport[[#This Row],[NetAmount]]-Table__192.168.3.138DYLAgingReport[[#This Row],[Paid]]</f>
        <v>-1009</v>
      </c>
    </row>
    <row r="426" spans="1:35">
      <c r="A426" t="s">
        <v>1073</v>
      </c>
      <c r="B426" s="1">
        <v>41241</v>
      </c>
      <c r="C426" s="1">
        <v>41286</v>
      </c>
      <c r="D426" t="s">
        <v>251</v>
      </c>
      <c r="E426">
        <v>-5900</v>
      </c>
      <c r="F426">
        <v>-944</v>
      </c>
      <c r="G426">
        <v>0</v>
      </c>
      <c r="H426">
        <v>0</v>
      </c>
      <c r="I426">
        <v>92</v>
      </c>
      <c r="J426">
        <v>-6844</v>
      </c>
      <c r="K426" t="s">
        <v>1074</v>
      </c>
      <c r="L426" s="1">
        <v>41176</v>
      </c>
      <c r="N426" t="s">
        <v>36</v>
      </c>
      <c r="O426" t="s">
        <v>37</v>
      </c>
      <c r="P426" t="s">
        <v>388</v>
      </c>
      <c r="Q426" t="s">
        <v>39</v>
      </c>
      <c r="R426" t="s">
        <v>40</v>
      </c>
      <c r="S426">
        <v>0</v>
      </c>
      <c r="U426" t="s">
        <v>41</v>
      </c>
      <c r="V426" t="s">
        <v>42</v>
      </c>
      <c r="X426" t="s">
        <v>43</v>
      </c>
      <c r="Y426" t="b">
        <v>0</v>
      </c>
      <c r="Z426" t="b">
        <v>0</v>
      </c>
      <c r="AC426" s="1"/>
      <c r="AF426">
        <v>0</v>
      </c>
      <c r="AG426">
        <v>45</v>
      </c>
      <c r="AH426">
        <v>137</v>
      </c>
      <c r="AI426" s="2">
        <f>Table__192.168.3.138DYLAgingReport[[#This Row],[NetAmount]]-Table__192.168.3.138DYLAgingReport[[#This Row],[Paid]]</f>
        <v>-6844</v>
      </c>
    </row>
    <row r="427" spans="1:35">
      <c r="A427" t="s">
        <v>1075</v>
      </c>
      <c r="B427" s="1">
        <v>41235</v>
      </c>
      <c r="C427" s="1">
        <v>41280</v>
      </c>
      <c r="D427" t="s">
        <v>254</v>
      </c>
      <c r="E427">
        <v>-13340</v>
      </c>
      <c r="F427">
        <v>-2134</v>
      </c>
      <c r="G427">
        <v>0</v>
      </c>
      <c r="H427">
        <v>0</v>
      </c>
      <c r="I427">
        <v>146</v>
      </c>
      <c r="J427">
        <v>-15474</v>
      </c>
      <c r="K427" t="s">
        <v>1076</v>
      </c>
      <c r="L427" s="1">
        <v>41122</v>
      </c>
      <c r="N427" t="s">
        <v>36</v>
      </c>
      <c r="O427" t="s">
        <v>37</v>
      </c>
      <c r="P427" t="s">
        <v>391</v>
      </c>
      <c r="Q427" t="s">
        <v>39</v>
      </c>
      <c r="R427" t="s">
        <v>40</v>
      </c>
      <c r="S427">
        <v>0</v>
      </c>
      <c r="U427" t="s">
        <v>41</v>
      </c>
      <c r="V427" t="s">
        <v>42</v>
      </c>
      <c r="X427" t="s">
        <v>43</v>
      </c>
      <c r="Y427" t="b">
        <v>0</v>
      </c>
      <c r="Z427" t="b">
        <v>0</v>
      </c>
      <c r="AC427" s="1"/>
      <c r="AF427">
        <v>0</v>
      </c>
      <c r="AG427">
        <v>45</v>
      </c>
      <c r="AH427">
        <v>191</v>
      </c>
      <c r="AI427" s="2">
        <f>Table__192.168.3.138DYLAgingReport[[#This Row],[NetAmount]]-Table__192.168.3.138DYLAgingReport[[#This Row],[Paid]]</f>
        <v>-15474</v>
      </c>
    </row>
    <row r="428" spans="1:35">
      <c r="A428" t="s">
        <v>1077</v>
      </c>
      <c r="B428" s="1">
        <v>41241</v>
      </c>
      <c r="C428" s="1">
        <v>41286</v>
      </c>
      <c r="D428" t="s">
        <v>258</v>
      </c>
      <c r="E428">
        <v>-341</v>
      </c>
      <c r="F428">
        <v>-55</v>
      </c>
      <c r="G428">
        <v>0</v>
      </c>
      <c r="H428">
        <v>0</v>
      </c>
      <c r="I428">
        <v>54</v>
      </c>
      <c r="J428">
        <v>-396</v>
      </c>
      <c r="K428" t="s">
        <v>1078</v>
      </c>
      <c r="L428" s="1">
        <v>41214</v>
      </c>
      <c r="M428" t="s">
        <v>10777</v>
      </c>
      <c r="N428" t="s">
        <v>36</v>
      </c>
      <c r="O428" t="s">
        <v>37</v>
      </c>
      <c r="P428" t="s">
        <v>395</v>
      </c>
      <c r="Q428" t="s">
        <v>39</v>
      </c>
      <c r="R428" t="s">
        <v>40</v>
      </c>
      <c r="S428">
        <v>0</v>
      </c>
      <c r="U428" t="s">
        <v>41</v>
      </c>
      <c r="V428" t="s">
        <v>42</v>
      </c>
      <c r="W428" t="s">
        <v>10768</v>
      </c>
      <c r="X428" t="s">
        <v>43</v>
      </c>
      <c r="Y428" t="b">
        <v>0</v>
      </c>
      <c r="Z428" t="b">
        <v>0</v>
      </c>
      <c r="AA428" t="b">
        <v>0</v>
      </c>
      <c r="AC428" s="1"/>
      <c r="AF428">
        <v>0</v>
      </c>
      <c r="AG428">
        <v>45</v>
      </c>
      <c r="AH428">
        <v>99</v>
      </c>
      <c r="AI428" s="2">
        <f>Table__192.168.3.138DYLAgingReport[[#This Row],[NetAmount]]-Table__192.168.3.138DYLAgingReport[[#This Row],[Paid]]</f>
        <v>-396</v>
      </c>
    </row>
    <row r="429" spans="1:35">
      <c r="A429" t="s">
        <v>1079</v>
      </c>
      <c r="B429" s="1">
        <v>41240</v>
      </c>
      <c r="C429" s="1">
        <v>41285</v>
      </c>
      <c r="D429" t="s">
        <v>262</v>
      </c>
      <c r="E429">
        <v>-2040</v>
      </c>
      <c r="F429">
        <v>-326</v>
      </c>
      <c r="G429">
        <v>0</v>
      </c>
      <c r="H429">
        <v>0</v>
      </c>
      <c r="I429">
        <v>91</v>
      </c>
      <c r="J429">
        <v>-2366</v>
      </c>
      <c r="K429" t="s">
        <v>1080</v>
      </c>
      <c r="L429" s="1">
        <v>41177</v>
      </c>
      <c r="N429" t="s">
        <v>36</v>
      </c>
      <c r="O429" t="s">
        <v>37</v>
      </c>
      <c r="P429" t="s">
        <v>399</v>
      </c>
      <c r="Q429" t="s">
        <v>39</v>
      </c>
      <c r="R429" t="s">
        <v>40</v>
      </c>
      <c r="S429">
        <v>0</v>
      </c>
      <c r="U429" t="s">
        <v>41</v>
      </c>
      <c r="V429" t="s">
        <v>42</v>
      </c>
      <c r="X429" t="s">
        <v>43</v>
      </c>
      <c r="Y429" t="b">
        <v>0</v>
      </c>
      <c r="Z429" t="b">
        <v>0</v>
      </c>
      <c r="AC429" s="1"/>
      <c r="AF429">
        <v>0</v>
      </c>
      <c r="AG429">
        <v>45</v>
      </c>
      <c r="AH429">
        <v>136</v>
      </c>
      <c r="AI429" s="2">
        <f>Table__192.168.3.138DYLAgingReport[[#This Row],[NetAmount]]-Table__192.168.3.138DYLAgingReport[[#This Row],[Paid]]</f>
        <v>-2366</v>
      </c>
    </row>
    <row r="430" spans="1:35">
      <c r="A430" t="s">
        <v>1081</v>
      </c>
      <c r="B430" s="1">
        <v>41241</v>
      </c>
      <c r="C430" s="1">
        <v>41286</v>
      </c>
      <c r="D430" t="s">
        <v>263</v>
      </c>
      <c r="E430">
        <v>-1956</v>
      </c>
      <c r="F430">
        <v>-313</v>
      </c>
      <c r="G430">
        <v>0</v>
      </c>
      <c r="H430">
        <v>0</v>
      </c>
      <c r="I430">
        <v>56</v>
      </c>
      <c r="J430">
        <v>-2269</v>
      </c>
      <c r="K430" t="s">
        <v>1082</v>
      </c>
      <c r="L430" s="1">
        <v>41212</v>
      </c>
      <c r="N430" t="s">
        <v>36</v>
      </c>
      <c r="O430" t="s">
        <v>37</v>
      </c>
      <c r="P430" t="s">
        <v>400</v>
      </c>
      <c r="Q430" t="s">
        <v>39</v>
      </c>
      <c r="R430" t="s">
        <v>40</v>
      </c>
      <c r="S430">
        <v>0</v>
      </c>
      <c r="U430" t="s">
        <v>41</v>
      </c>
      <c r="V430" t="s">
        <v>42</v>
      </c>
      <c r="X430" t="s">
        <v>43</v>
      </c>
      <c r="Y430" t="b">
        <v>0</v>
      </c>
      <c r="Z430" t="b">
        <v>0</v>
      </c>
      <c r="AC430" s="1"/>
      <c r="AF430">
        <v>0</v>
      </c>
      <c r="AG430">
        <v>45</v>
      </c>
      <c r="AH430">
        <v>101</v>
      </c>
      <c r="AI430" s="2">
        <f>Table__192.168.3.138DYLAgingReport[[#This Row],[NetAmount]]-Table__192.168.3.138DYLAgingReport[[#This Row],[Paid]]</f>
        <v>-2269</v>
      </c>
    </row>
    <row r="431" spans="1:35">
      <c r="A431" t="s">
        <v>1083</v>
      </c>
      <c r="B431" s="1">
        <v>41239</v>
      </c>
      <c r="C431" s="1">
        <v>41284</v>
      </c>
      <c r="D431" t="s">
        <v>264</v>
      </c>
      <c r="E431">
        <v>-57400</v>
      </c>
      <c r="F431">
        <v>-9184</v>
      </c>
      <c r="G431">
        <v>0</v>
      </c>
      <c r="H431">
        <v>0</v>
      </c>
      <c r="I431">
        <v>83</v>
      </c>
      <c r="J431">
        <v>-66584</v>
      </c>
      <c r="K431" t="s">
        <v>1084</v>
      </c>
      <c r="L431" s="1">
        <v>41185</v>
      </c>
      <c r="N431" t="s">
        <v>36</v>
      </c>
      <c r="O431" t="s">
        <v>37</v>
      </c>
      <c r="P431" t="s">
        <v>401</v>
      </c>
      <c r="Q431" t="s">
        <v>39</v>
      </c>
      <c r="R431" t="s">
        <v>40</v>
      </c>
      <c r="S431">
        <v>0</v>
      </c>
      <c r="U431" t="s">
        <v>41</v>
      </c>
      <c r="V431" t="s">
        <v>42</v>
      </c>
      <c r="X431" t="s">
        <v>43</v>
      </c>
      <c r="Y431" t="b">
        <v>0</v>
      </c>
      <c r="Z431" t="b">
        <v>0</v>
      </c>
      <c r="AB431" t="s">
        <v>923</v>
      </c>
      <c r="AC431" s="1"/>
      <c r="AF431">
        <v>0</v>
      </c>
      <c r="AG431">
        <v>45</v>
      </c>
      <c r="AH431">
        <v>128</v>
      </c>
      <c r="AI431" s="2">
        <f>Table__192.168.3.138DYLAgingReport[[#This Row],[NetAmount]]-Table__192.168.3.138DYLAgingReport[[#This Row],[Paid]]</f>
        <v>-66584</v>
      </c>
    </row>
    <row r="432" spans="1:35">
      <c r="A432" t="s">
        <v>1085</v>
      </c>
      <c r="B432" s="1">
        <v>41219</v>
      </c>
      <c r="C432" s="1">
        <v>41264</v>
      </c>
      <c r="D432" t="s">
        <v>268</v>
      </c>
      <c r="E432">
        <v>-150</v>
      </c>
      <c r="F432">
        <v>-24</v>
      </c>
      <c r="G432">
        <v>0</v>
      </c>
      <c r="H432">
        <v>0</v>
      </c>
      <c r="I432">
        <v>94</v>
      </c>
      <c r="J432">
        <v>-174</v>
      </c>
      <c r="K432" t="s">
        <v>1086</v>
      </c>
      <c r="L432" s="1">
        <v>41174</v>
      </c>
      <c r="N432" t="s">
        <v>36</v>
      </c>
      <c r="O432" t="s">
        <v>37</v>
      </c>
      <c r="P432" t="s">
        <v>405</v>
      </c>
      <c r="Q432" t="s">
        <v>39</v>
      </c>
      <c r="R432" t="s">
        <v>40</v>
      </c>
      <c r="S432">
        <v>0</v>
      </c>
      <c r="U432" t="s">
        <v>41</v>
      </c>
      <c r="V432" t="s">
        <v>42</v>
      </c>
      <c r="X432" t="s">
        <v>43</v>
      </c>
      <c r="Y432" t="b">
        <v>0</v>
      </c>
      <c r="Z432" t="b">
        <v>0</v>
      </c>
      <c r="AC432" s="1"/>
      <c r="AF432">
        <v>0</v>
      </c>
      <c r="AG432">
        <v>45</v>
      </c>
      <c r="AH432">
        <v>139</v>
      </c>
      <c r="AI432" s="2">
        <f>Table__192.168.3.138DYLAgingReport[[#This Row],[NetAmount]]-Table__192.168.3.138DYLAgingReport[[#This Row],[Paid]]</f>
        <v>-174</v>
      </c>
    </row>
    <row r="433" spans="1:35">
      <c r="A433" t="s">
        <v>1087</v>
      </c>
      <c r="B433" s="1">
        <v>41226</v>
      </c>
      <c r="C433" s="1">
        <v>41256</v>
      </c>
      <c r="D433" t="s">
        <v>270</v>
      </c>
      <c r="E433">
        <v>-385</v>
      </c>
      <c r="F433">
        <v>-62</v>
      </c>
      <c r="G433">
        <v>0</v>
      </c>
      <c r="H433">
        <v>0</v>
      </c>
      <c r="I433">
        <v>51</v>
      </c>
      <c r="J433">
        <v>-447</v>
      </c>
      <c r="K433" t="s">
        <v>1088</v>
      </c>
      <c r="L433" s="1">
        <v>41232</v>
      </c>
      <c r="N433" t="s">
        <v>36</v>
      </c>
      <c r="O433" t="s">
        <v>37</v>
      </c>
      <c r="P433" t="s">
        <v>407</v>
      </c>
      <c r="Q433" t="s">
        <v>39</v>
      </c>
      <c r="R433" t="s">
        <v>40</v>
      </c>
      <c r="S433">
        <v>0</v>
      </c>
      <c r="U433" t="s">
        <v>41</v>
      </c>
      <c r="V433" t="s">
        <v>42</v>
      </c>
      <c r="X433" t="s">
        <v>43</v>
      </c>
      <c r="Y433" t="b">
        <v>0</v>
      </c>
      <c r="Z433" t="b">
        <v>0</v>
      </c>
      <c r="AC433" s="1"/>
      <c r="AF433">
        <v>0</v>
      </c>
      <c r="AG433">
        <v>30</v>
      </c>
      <c r="AH433">
        <v>81</v>
      </c>
      <c r="AI433" s="2">
        <f>Table__192.168.3.138DYLAgingReport[[#This Row],[NetAmount]]-Table__192.168.3.138DYLAgingReport[[#This Row],[Paid]]</f>
        <v>-447</v>
      </c>
    </row>
    <row r="434" spans="1:35">
      <c r="A434" t="s">
        <v>1089</v>
      </c>
      <c r="B434" s="1">
        <v>41243</v>
      </c>
      <c r="C434" s="1">
        <v>41288</v>
      </c>
      <c r="D434" t="s">
        <v>271</v>
      </c>
      <c r="E434">
        <v>-37314</v>
      </c>
      <c r="F434">
        <v>-5970</v>
      </c>
      <c r="G434">
        <v>0</v>
      </c>
      <c r="H434">
        <v>0</v>
      </c>
      <c r="I434">
        <v>77</v>
      </c>
      <c r="J434">
        <v>-43284</v>
      </c>
      <c r="K434" t="s">
        <v>1090</v>
      </c>
      <c r="L434" s="1">
        <v>41191</v>
      </c>
      <c r="N434" t="s">
        <v>36</v>
      </c>
      <c r="O434" t="s">
        <v>37</v>
      </c>
      <c r="P434" t="s">
        <v>408</v>
      </c>
      <c r="Q434" t="s">
        <v>39</v>
      </c>
      <c r="R434" t="s">
        <v>40</v>
      </c>
      <c r="S434">
        <v>0</v>
      </c>
      <c r="U434" t="s">
        <v>41</v>
      </c>
      <c r="V434" t="s">
        <v>42</v>
      </c>
      <c r="X434" t="s">
        <v>43</v>
      </c>
      <c r="Y434" t="b">
        <v>0</v>
      </c>
      <c r="Z434" t="b">
        <v>0</v>
      </c>
      <c r="AC434" s="1"/>
      <c r="AF434">
        <v>0</v>
      </c>
      <c r="AG434">
        <v>45</v>
      </c>
      <c r="AH434">
        <v>122</v>
      </c>
      <c r="AI434" s="2">
        <f>Table__192.168.3.138DYLAgingReport[[#This Row],[NetAmount]]-Table__192.168.3.138DYLAgingReport[[#This Row],[Paid]]</f>
        <v>-43284</v>
      </c>
    </row>
    <row r="435" spans="1:35">
      <c r="A435" t="s">
        <v>1091</v>
      </c>
      <c r="B435" s="1">
        <v>41241</v>
      </c>
      <c r="C435" s="1">
        <v>41286</v>
      </c>
      <c r="D435" t="s">
        <v>272</v>
      </c>
      <c r="E435">
        <v>-19075</v>
      </c>
      <c r="F435">
        <v>-3052</v>
      </c>
      <c r="G435">
        <v>0</v>
      </c>
      <c r="H435">
        <v>0</v>
      </c>
      <c r="I435">
        <v>158</v>
      </c>
      <c r="J435">
        <v>-22127</v>
      </c>
      <c r="K435" t="s">
        <v>1092</v>
      </c>
      <c r="L435" s="1">
        <v>41110</v>
      </c>
      <c r="N435" t="s">
        <v>36</v>
      </c>
      <c r="O435" t="s">
        <v>37</v>
      </c>
      <c r="P435" t="s">
        <v>409</v>
      </c>
      <c r="Q435" t="s">
        <v>39</v>
      </c>
      <c r="R435" t="s">
        <v>40</v>
      </c>
      <c r="S435">
        <v>0</v>
      </c>
      <c r="U435" t="s">
        <v>41</v>
      </c>
      <c r="V435" t="s">
        <v>42</v>
      </c>
      <c r="X435" t="s">
        <v>43</v>
      </c>
      <c r="Y435" t="b">
        <v>0</v>
      </c>
      <c r="Z435" t="b">
        <v>0</v>
      </c>
      <c r="AC435" s="1"/>
      <c r="AF435">
        <v>0</v>
      </c>
      <c r="AG435">
        <v>45</v>
      </c>
      <c r="AH435">
        <v>203</v>
      </c>
      <c r="AI435" s="2">
        <f>Table__192.168.3.138DYLAgingReport[[#This Row],[NetAmount]]-Table__192.168.3.138DYLAgingReport[[#This Row],[Paid]]</f>
        <v>-22127</v>
      </c>
    </row>
    <row r="436" spans="1:35">
      <c r="A436" t="s">
        <v>1093</v>
      </c>
      <c r="B436" s="1">
        <v>41227</v>
      </c>
      <c r="C436" s="1">
        <v>41272</v>
      </c>
      <c r="D436" t="s">
        <v>276</v>
      </c>
      <c r="E436">
        <v>-18385</v>
      </c>
      <c r="F436">
        <v>-2942</v>
      </c>
      <c r="G436">
        <v>0</v>
      </c>
      <c r="H436">
        <v>0</v>
      </c>
      <c r="I436">
        <v>73</v>
      </c>
      <c r="J436">
        <v>-21327</v>
      </c>
      <c r="K436" t="s">
        <v>1094</v>
      </c>
      <c r="L436" s="1">
        <v>41195</v>
      </c>
      <c r="N436" t="s">
        <v>36</v>
      </c>
      <c r="O436" t="s">
        <v>37</v>
      </c>
      <c r="P436" t="s">
        <v>413</v>
      </c>
      <c r="Q436" t="s">
        <v>39</v>
      </c>
      <c r="R436" t="s">
        <v>40</v>
      </c>
      <c r="S436">
        <v>0</v>
      </c>
      <c r="U436" t="s">
        <v>41</v>
      </c>
      <c r="V436" t="s">
        <v>42</v>
      </c>
      <c r="X436" t="s">
        <v>43</v>
      </c>
      <c r="Y436" t="b">
        <v>0</v>
      </c>
      <c r="Z436" t="b">
        <v>0</v>
      </c>
      <c r="AB436" t="s">
        <v>932</v>
      </c>
      <c r="AC436" s="1">
        <v>41298</v>
      </c>
      <c r="AF436">
        <v>0</v>
      </c>
      <c r="AG436">
        <v>45</v>
      </c>
      <c r="AH436">
        <v>118</v>
      </c>
      <c r="AI436" s="2">
        <f>Table__192.168.3.138DYLAgingReport[[#This Row],[NetAmount]]-Table__192.168.3.138DYLAgingReport[[#This Row],[Paid]]</f>
        <v>-21327</v>
      </c>
    </row>
    <row r="437" spans="1:35">
      <c r="A437" t="s">
        <v>1095</v>
      </c>
      <c r="B437" s="1">
        <v>41239</v>
      </c>
      <c r="C437" s="1">
        <v>41284</v>
      </c>
      <c r="D437" t="s">
        <v>279</v>
      </c>
      <c r="E437">
        <v>-2319</v>
      </c>
      <c r="F437">
        <v>-371</v>
      </c>
      <c r="G437">
        <v>0</v>
      </c>
      <c r="H437">
        <v>0</v>
      </c>
      <c r="I437">
        <v>89</v>
      </c>
      <c r="J437">
        <v>-2690</v>
      </c>
      <c r="K437" t="s">
        <v>934</v>
      </c>
      <c r="L437" s="1">
        <v>41179</v>
      </c>
      <c r="N437" t="s">
        <v>36</v>
      </c>
      <c r="O437" t="s">
        <v>37</v>
      </c>
      <c r="P437" t="s">
        <v>416</v>
      </c>
      <c r="Q437" t="s">
        <v>39</v>
      </c>
      <c r="R437" t="s">
        <v>40</v>
      </c>
      <c r="S437">
        <v>0</v>
      </c>
      <c r="U437" t="s">
        <v>41</v>
      </c>
      <c r="V437" t="s">
        <v>42</v>
      </c>
      <c r="X437" t="s">
        <v>43</v>
      </c>
      <c r="Y437" t="b">
        <v>0</v>
      </c>
      <c r="Z437" t="b">
        <v>0</v>
      </c>
      <c r="AC437" s="1"/>
      <c r="AF437">
        <v>0</v>
      </c>
      <c r="AG437">
        <v>45</v>
      </c>
      <c r="AH437">
        <v>134</v>
      </c>
      <c r="AI437" s="2">
        <f>Table__192.168.3.138DYLAgingReport[[#This Row],[NetAmount]]-Table__192.168.3.138DYLAgingReport[[#This Row],[Paid]]</f>
        <v>-2690</v>
      </c>
    </row>
    <row r="438" spans="1:35">
      <c r="A438" t="s">
        <v>1096</v>
      </c>
      <c r="B438" s="1">
        <v>41241</v>
      </c>
      <c r="C438" s="1">
        <v>41286</v>
      </c>
      <c r="D438" t="s">
        <v>281</v>
      </c>
      <c r="E438">
        <v>-60383</v>
      </c>
      <c r="F438">
        <v>0</v>
      </c>
      <c r="G438">
        <v>0</v>
      </c>
      <c r="H438">
        <v>0</v>
      </c>
      <c r="I438">
        <v>62</v>
      </c>
      <c r="J438">
        <v>-60383</v>
      </c>
      <c r="K438" t="s">
        <v>1097</v>
      </c>
      <c r="L438" s="1">
        <v>41206</v>
      </c>
      <c r="N438" t="s">
        <v>36</v>
      </c>
      <c r="O438" t="s">
        <v>37</v>
      </c>
      <c r="P438" t="s">
        <v>418</v>
      </c>
      <c r="Q438" t="s">
        <v>39</v>
      </c>
      <c r="R438" t="s">
        <v>40</v>
      </c>
      <c r="S438">
        <v>0</v>
      </c>
      <c r="U438" t="s">
        <v>41</v>
      </c>
      <c r="V438" t="s">
        <v>42</v>
      </c>
      <c r="X438" t="s">
        <v>43</v>
      </c>
      <c r="Y438" t="b">
        <v>0</v>
      </c>
      <c r="Z438" t="b">
        <v>0</v>
      </c>
      <c r="AC438" s="1"/>
      <c r="AF438">
        <v>0</v>
      </c>
      <c r="AG438">
        <v>45</v>
      </c>
      <c r="AH438">
        <v>107</v>
      </c>
      <c r="AI438" s="2">
        <f>Table__192.168.3.138DYLAgingReport[[#This Row],[NetAmount]]-Table__192.168.3.138DYLAgingReport[[#This Row],[Paid]]</f>
        <v>-60383</v>
      </c>
    </row>
    <row r="439" spans="1:35">
      <c r="A439" t="s">
        <v>1098</v>
      </c>
      <c r="B439" s="1">
        <v>41232</v>
      </c>
      <c r="C439" s="1">
        <v>41262</v>
      </c>
      <c r="D439" t="s">
        <v>285</v>
      </c>
      <c r="E439">
        <v>-2676</v>
      </c>
      <c r="F439">
        <v>-428</v>
      </c>
      <c r="G439">
        <v>0</v>
      </c>
      <c r="H439">
        <v>0</v>
      </c>
      <c r="I439">
        <v>196</v>
      </c>
      <c r="J439">
        <v>-3104</v>
      </c>
      <c r="K439" t="s">
        <v>953</v>
      </c>
      <c r="L439" s="1">
        <v>41087</v>
      </c>
      <c r="N439" t="s">
        <v>36</v>
      </c>
      <c r="O439" t="s">
        <v>37</v>
      </c>
      <c r="P439" t="s">
        <v>422</v>
      </c>
      <c r="Q439" t="s">
        <v>39</v>
      </c>
      <c r="R439" t="s">
        <v>40</v>
      </c>
      <c r="S439">
        <v>0</v>
      </c>
      <c r="U439" t="s">
        <v>41</v>
      </c>
      <c r="V439" t="s">
        <v>42</v>
      </c>
      <c r="X439" t="s">
        <v>43</v>
      </c>
      <c r="Y439" t="b">
        <v>0</v>
      </c>
      <c r="Z439" t="b">
        <v>0</v>
      </c>
      <c r="AB439" t="s">
        <v>1099</v>
      </c>
      <c r="AC439" s="1">
        <v>41296</v>
      </c>
      <c r="AF439">
        <v>0</v>
      </c>
      <c r="AG439">
        <v>30</v>
      </c>
      <c r="AH439">
        <v>226</v>
      </c>
      <c r="AI439" s="2">
        <f>Table__192.168.3.138DYLAgingReport[[#This Row],[NetAmount]]-Table__192.168.3.138DYLAgingReport[[#This Row],[Paid]]</f>
        <v>-3104</v>
      </c>
    </row>
    <row r="440" spans="1:35">
      <c r="A440" t="s">
        <v>1100</v>
      </c>
      <c r="B440" s="1">
        <v>41239</v>
      </c>
      <c r="C440" s="1">
        <v>41239</v>
      </c>
      <c r="D440" t="s">
        <v>291</v>
      </c>
      <c r="E440">
        <v>-1927</v>
      </c>
      <c r="F440">
        <v>-308</v>
      </c>
      <c r="G440">
        <v>0</v>
      </c>
      <c r="H440">
        <v>0</v>
      </c>
      <c r="I440">
        <v>114</v>
      </c>
      <c r="J440">
        <v>-2235</v>
      </c>
      <c r="K440" t="s">
        <v>1101</v>
      </c>
      <c r="L440" s="1">
        <v>41154</v>
      </c>
      <c r="M440" t="s">
        <v>1102</v>
      </c>
      <c r="N440" t="s">
        <v>36</v>
      </c>
      <c r="O440" t="s">
        <v>37</v>
      </c>
      <c r="P440" t="s">
        <v>428</v>
      </c>
      <c r="Q440" t="s">
        <v>39</v>
      </c>
      <c r="R440" t="s">
        <v>40</v>
      </c>
      <c r="S440">
        <v>0</v>
      </c>
      <c r="U440" t="s">
        <v>41</v>
      </c>
      <c r="V440" t="s">
        <v>42</v>
      </c>
      <c r="W440" t="s">
        <v>792</v>
      </c>
      <c r="X440" t="s">
        <v>43</v>
      </c>
      <c r="Y440" t="b">
        <v>0</v>
      </c>
      <c r="Z440" t="b">
        <v>0</v>
      </c>
      <c r="AA440" t="b">
        <v>0</v>
      </c>
      <c r="AC440" s="1"/>
      <c r="AF440">
        <v>0</v>
      </c>
      <c r="AG440">
        <v>45</v>
      </c>
      <c r="AH440">
        <v>159</v>
      </c>
      <c r="AI440" s="2">
        <f>Table__192.168.3.138DYLAgingReport[[#This Row],[NetAmount]]-Table__192.168.3.138DYLAgingReport[[#This Row],[Paid]]</f>
        <v>-2235</v>
      </c>
    </row>
    <row r="441" spans="1:35">
      <c r="A441" t="s">
        <v>1103</v>
      </c>
      <c r="B441" s="1">
        <v>41235</v>
      </c>
      <c r="C441" s="1">
        <v>41235</v>
      </c>
      <c r="D441" t="s">
        <v>297</v>
      </c>
      <c r="E441">
        <v>-375</v>
      </c>
      <c r="F441">
        <v>-60</v>
      </c>
      <c r="G441">
        <v>0</v>
      </c>
      <c r="H441">
        <v>0</v>
      </c>
      <c r="I441">
        <v>85</v>
      </c>
      <c r="J441">
        <v>-435</v>
      </c>
      <c r="K441" t="s">
        <v>1104</v>
      </c>
      <c r="L441" s="1">
        <v>41183</v>
      </c>
      <c r="N441" t="s">
        <v>36</v>
      </c>
      <c r="O441" t="s">
        <v>37</v>
      </c>
      <c r="P441" t="s">
        <v>434</v>
      </c>
      <c r="Q441" t="s">
        <v>39</v>
      </c>
      <c r="R441" t="s">
        <v>40</v>
      </c>
      <c r="S441">
        <v>0</v>
      </c>
      <c r="U441" t="s">
        <v>41</v>
      </c>
      <c r="V441" t="s">
        <v>42</v>
      </c>
      <c r="X441" t="s">
        <v>43</v>
      </c>
      <c r="Y441" t="b">
        <v>0</v>
      </c>
      <c r="Z441" t="b">
        <v>0</v>
      </c>
      <c r="AB441" t="s">
        <v>947</v>
      </c>
      <c r="AC441" s="1">
        <v>41263</v>
      </c>
      <c r="AF441">
        <v>0</v>
      </c>
      <c r="AG441">
        <v>45</v>
      </c>
      <c r="AH441">
        <v>130</v>
      </c>
      <c r="AI441" s="2">
        <f>Table__192.168.3.138DYLAgingReport[[#This Row],[NetAmount]]-Table__192.168.3.138DYLAgingReport[[#This Row],[Paid]]</f>
        <v>-435</v>
      </c>
    </row>
    <row r="442" spans="1:35">
      <c r="A442" t="s">
        <v>1105</v>
      </c>
      <c r="B442" s="1">
        <v>41240</v>
      </c>
      <c r="C442" s="1">
        <v>41285</v>
      </c>
      <c r="D442" t="s">
        <v>168</v>
      </c>
      <c r="E442">
        <v>-4395</v>
      </c>
      <c r="F442">
        <v>-703</v>
      </c>
      <c r="G442">
        <v>0</v>
      </c>
      <c r="H442">
        <v>0</v>
      </c>
      <c r="I442">
        <v>139</v>
      </c>
      <c r="J442">
        <v>-5098</v>
      </c>
      <c r="K442" t="s">
        <v>1106</v>
      </c>
      <c r="L442" s="1">
        <v>41129</v>
      </c>
      <c r="N442" t="s">
        <v>36</v>
      </c>
      <c r="O442" t="s">
        <v>37</v>
      </c>
      <c r="P442" t="s">
        <v>305</v>
      </c>
      <c r="Q442" t="s">
        <v>39</v>
      </c>
      <c r="R442" t="s">
        <v>40</v>
      </c>
      <c r="S442">
        <v>0</v>
      </c>
      <c r="U442" t="s">
        <v>41</v>
      </c>
      <c r="V442" t="s">
        <v>42</v>
      </c>
      <c r="X442" t="s">
        <v>43</v>
      </c>
      <c r="Y442" t="b">
        <v>0</v>
      </c>
      <c r="Z442" t="b">
        <v>0</v>
      </c>
      <c r="AB442" t="s">
        <v>961</v>
      </c>
      <c r="AC442" s="1">
        <v>41291</v>
      </c>
      <c r="AE442" t="s">
        <v>962</v>
      </c>
      <c r="AF442">
        <v>0</v>
      </c>
      <c r="AG442">
        <v>45</v>
      </c>
      <c r="AH442">
        <v>184</v>
      </c>
      <c r="AI442" s="2">
        <f>Table__192.168.3.138DYLAgingReport[[#This Row],[NetAmount]]-Table__192.168.3.138DYLAgingReport[[#This Row],[Paid]]</f>
        <v>-5098</v>
      </c>
    </row>
    <row r="443" spans="1:35">
      <c r="A443" t="s">
        <v>1107</v>
      </c>
      <c r="B443" s="1">
        <v>41241</v>
      </c>
      <c r="C443" s="1">
        <v>41286</v>
      </c>
      <c r="D443" t="s">
        <v>170</v>
      </c>
      <c r="E443">
        <v>-2612</v>
      </c>
      <c r="F443">
        <v>-418</v>
      </c>
      <c r="G443">
        <v>0</v>
      </c>
      <c r="H443">
        <v>0</v>
      </c>
      <c r="I443">
        <v>157</v>
      </c>
      <c r="J443">
        <v>-3030</v>
      </c>
      <c r="K443" t="s">
        <v>964</v>
      </c>
      <c r="L443" s="1">
        <v>41111</v>
      </c>
      <c r="M443" t="s">
        <v>1108</v>
      </c>
      <c r="N443" t="s">
        <v>36</v>
      </c>
      <c r="O443" t="s">
        <v>37</v>
      </c>
      <c r="P443" t="s">
        <v>307</v>
      </c>
      <c r="Q443" t="s">
        <v>39</v>
      </c>
      <c r="R443" t="s">
        <v>40</v>
      </c>
      <c r="S443">
        <v>0</v>
      </c>
      <c r="U443" t="s">
        <v>41</v>
      </c>
      <c r="V443" t="s">
        <v>42</v>
      </c>
      <c r="W443" t="s">
        <v>966</v>
      </c>
      <c r="X443" t="s">
        <v>43</v>
      </c>
      <c r="Y443" t="b">
        <v>0</v>
      </c>
      <c r="Z443" t="b">
        <v>0</v>
      </c>
      <c r="AA443" t="b">
        <v>0</v>
      </c>
      <c r="AC443" s="1"/>
      <c r="AF443">
        <v>0</v>
      </c>
      <c r="AG443">
        <v>45</v>
      </c>
      <c r="AH443">
        <v>202</v>
      </c>
      <c r="AI443" s="2">
        <f>Table__192.168.3.138DYLAgingReport[[#This Row],[NetAmount]]-Table__192.168.3.138DYLAgingReport[[#This Row],[Paid]]</f>
        <v>-3030</v>
      </c>
    </row>
    <row r="444" spans="1:35">
      <c r="A444" t="s">
        <v>1109</v>
      </c>
      <c r="B444" s="1">
        <v>41239</v>
      </c>
      <c r="C444" s="1">
        <v>41284</v>
      </c>
      <c r="D444" t="s">
        <v>172</v>
      </c>
      <c r="E444">
        <v>-466</v>
      </c>
      <c r="F444">
        <v>-74</v>
      </c>
      <c r="G444">
        <v>0</v>
      </c>
      <c r="H444">
        <v>0</v>
      </c>
      <c r="I444">
        <v>116</v>
      </c>
      <c r="J444">
        <v>-540</v>
      </c>
      <c r="K444" t="s">
        <v>1110</v>
      </c>
      <c r="L444" s="1">
        <v>41152</v>
      </c>
      <c r="N444" t="s">
        <v>36</v>
      </c>
      <c r="O444" t="s">
        <v>37</v>
      </c>
      <c r="P444" t="s">
        <v>309</v>
      </c>
      <c r="Q444" t="s">
        <v>39</v>
      </c>
      <c r="R444" t="s">
        <v>40</v>
      </c>
      <c r="S444">
        <v>0</v>
      </c>
      <c r="U444" t="s">
        <v>41</v>
      </c>
      <c r="V444" t="s">
        <v>42</v>
      </c>
      <c r="X444" t="s">
        <v>43</v>
      </c>
      <c r="Y444" t="b">
        <v>0</v>
      </c>
      <c r="Z444" t="b">
        <v>0</v>
      </c>
      <c r="AC444" s="1"/>
      <c r="AF444">
        <v>0</v>
      </c>
      <c r="AG444">
        <v>45</v>
      </c>
      <c r="AH444">
        <v>161</v>
      </c>
      <c r="AI444" s="2">
        <f>Table__192.168.3.138DYLAgingReport[[#This Row],[NetAmount]]-Table__192.168.3.138DYLAgingReport[[#This Row],[Paid]]</f>
        <v>-540</v>
      </c>
    </row>
    <row r="445" spans="1:35">
      <c r="A445" t="s">
        <v>1111</v>
      </c>
      <c r="B445" s="1">
        <v>41239</v>
      </c>
      <c r="C445" s="1">
        <v>41284</v>
      </c>
      <c r="D445" t="s">
        <v>180</v>
      </c>
      <c r="E445">
        <v>-11287</v>
      </c>
      <c r="F445">
        <v>-1806</v>
      </c>
      <c r="G445">
        <v>0</v>
      </c>
      <c r="H445">
        <v>0</v>
      </c>
      <c r="I445">
        <v>108</v>
      </c>
      <c r="J445">
        <v>-13093</v>
      </c>
      <c r="K445" t="s">
        <v>1112</v>
      </c>
      <c r="L445" s="1">
        <v>41160</v>
      </c>
      <c r="N445" t="s">
        <v>36</v>
      </c>
      <c r="O445" t="s">
        <v>37</v>
      </c>
      <c r="P445" t="s">
        <v>317</v>
      </c>
      <c r="Q445" t="s">
        <v>39</v>
      </c>
      <c r="R445" t="s">
        <v>40</v>
      </c>
      <c r="S445">
        <v>0</v>
      </c>
      <c r="U445" t="s">
        <v>41</v>
      </c>
      <c r="V445" t="s">
        <v>42</v>
      </c>
      <c r="X445" t="s">
        <v>43</v>
      </c>
      <c r="Y445" t="b">
        <v>0</v>
      </c>
      <c r="Z445" t="b">
        <v>0</v>
      </c>
      <c r="AC445" s="1"/>
      <c r="AF445">
        <v>0</v>
      </c>
      <c r="AG445">
        <v>45</v>
      </c>
      <c r="AH445">
        <v>153</v>
      </c>
      <c r="AI445" s="2">
        <f>Table__192.168.3.138DYLAgingReport[[#This Row],[NetAmount]]-Table__192.168.3.138DYLAgingReport[[#This Row],[Paid]]</f>
        <v>-13093</v>
      </c>
    </row>
    <row r="446" spans="1:35">
      <c r="A446" t="s">
        <v>1113</v>
      </c>
      <c r="B446" s="1">
        <v>41239</v>
      </c>
      <c r="C446" s="1">
        <v>41284</v>
      </c>
      <c r="D446" t="s">
        <v>183</v>
      </c>
      <c r="E446">
        <v>-1520</v>
      </c>
      <c r="F446">
        <v>-243</v>
      </c>
      <c r="G446">
        <v>0</v>
      </c>
      <c r="H446">
        <v>0</v>
      </c>
      <c r="I446">
        <v>78</v>
      </c>
      <c r="J446">
        <v>-1763</v>
      </c>
      <c r="K446" t="s">
        <v>878</v>
      </c>
      <c r="L446" s="1">
        <v>41190</v>
      </c>
      <c r="N446" t="s">
        <v>36</v>
      </c>
      <c r="O446" t="s">
        <v>37</v>
      </c>
      <c r="P446" t="s">
        <v>320</v>
      </c>
      <c r="Q446" t="s">
        <v>39</v>
      </c>
      <c r="R446" t="s">
        <v>40</v>
      </c>
      <c r="S446">
        <v>0</v>
      </c>
      <c r="U446" t="s">
        <v>41</v>
      </c>
      <c r="V446" t="s">
        <v>42</v>
      </c>
      <c r="X446" t="s">
        <v>43</v>
      </c>
      <c r="Y446" t="b">
        <v>0</v>
      </c>
      <c r="Z446" t="b">
        <v>0</v>
      </c>
      <c r="AC446" s="1"/>
      <c r="AF446">
        <v>0</v>
      </c>
      <c r="AG446">
        <v>45</v>
      </c>
      <c r="AH446">
        <v>123</v>
      </c>
      <c r="AI446" s="2">
        <f>Table__192.168.3.138DYLAgingReport[[#This Row],[NetAmount]]-Table__192.168.3.138DYLAgingReport[[#This Row],[Paid]]</f>
        <v>-1763</v>
      </c>
    </row>
    <row r="447" spans="1:35">
      <c r="A447" t="s">
        <v>68</v>
      </c>
      <c r="B447" s="1">
        <v>41235</v>
      </c>
      <c r="C447" s="1">
        <v>41280</v>
      </c>
      <c r="D447" t="s">
        <v>35</v>
      </c>
      <c r="E447">
        <v>-1310</v>
      </c>
      <c r="F447">
        <v>-210</v>
      </c>
      <c r="G447">
        <v>0</v>
      </c>
      <c r="H447">
        <v>0</v>
      </c>
      <c r="I447">
        <v>157</v>
      </c>
      <c r="J447">
        <v>-1520</v>
      </c>
      <c r="K447" t="s">
        <v>69</v>
      </c>
      <c r="L447" s="1">
        <v>41111</v>
      </c>
      <c r="N447" t="s">
        <v>36</v>
      </c>
      <c r="O447" t="s">
        <v>37</v>
      </c>
      <c r="P447" t="s">
        <v>38</v>
      </c>
      <c r="Q447" t="s">
        <v>39</v>
      </c>
      <c r="R447" t="s">
        <v>40</v>
      </c>
      <c r="S447">
        <v>0</v>
      </c>
      <c r="U447" t="s">
        <v>41</v>
      </c>
      <c r="V447" t="s">
        <v>42</v>
      </c>
      <c r="X447" t="s">
        <v>43</v>
      </c>
      <c r="Y447" t="b">
        <v>0</v>
      </c>
      <c r="Z447" t="b">
        <v>0</v>
      </c>
      <c r="AC447" s="1"/>
      <c r="AF447">
        <v>0</v>
      </c>
      <c r="AG447">
        <v>45</v>
      </c>
      <c r="AH447">
        <v>202</v>
      </c>
      <c r="AI447" s="2">
        <f>Table__192.168.3.138DYLAgingReport[[#This Row],[NetAmount]]-Table__192.168.3.138DYLAgingReport[[#This Row],[Paid]]</f>
        <v>-1520</v>
      </c>
    </row>
    <row r="448" spans="1:35">
      <c r="A448" t="s">
        <v>1114</v>
      </c>
      <c r="B448" s="1">
        <v>41235</v>
      </c>
      <c r="C448" s="1">
        <v>41280</v>
      </c>
      <c r="D448" t="s">
        <v>187</v>
      </c>
      <c r="E448">
        <v>-1509</v>
      </c>
      <c r="F448">
        <v>0</v>
      </c>
      <c r="G448">
        <v>0</v>
      </c>
      <c r="H448">
        <v>0</v>
      </c>
      <c r="I448">
        <v>503</v>
      </c>
      <c r="J448">
        <v>-1509</v>
      </c>
      <c r="L448" s="1">
        <v>40765</v>
      </c>
      <c r="N448" t="s">
        <v>36</v>
      </c>
      <c r="O448" t="s">
        <v>37</v>
      </c>
      <c r="P448" t="s">
        <v>324</v>
      </c>
      <c r="Q448" t="s">
        <v>39</v>
      </c>
      <c r="R448" t="s">
        <v>40</v>
      </c>
      <c r="S448">
        <v>0</v>
      </c>
      <c r="U448" t="s">
        <v>41</v>
      </c>
      <c r="V448" t="s">
        <v>42</v>
      </c>
      <c r="X448" t="s">
        <v>43</v>
      </c>
      <c r="Y448" t="b">
        <v>0</v>
      </c>
      <c r="Z448" t="b">
        <v>0</v>
      </c>
      <c r="AC448" s="1"/>
      <c r="AF448">
        <v>0</v>
      </c>
      <c r="AG448">
        <v>45</v>
      </c>
      <c r="AH448">
        <v>548</v>
      </c>
      <c r="AI448" s="2">
        <f>Table__192.168.3.138DYLAgingReport[[#This Row],[NetAmount]]-Table__192.168.3.138DYLAgingReport[[#This Row],[Paid]]</f>
        <v>-1509</v>
      </c>
    </row>
    <row r="449" spans="1:35">
      <c r="A449" t="s">
        <v>1115</v>
      </c>
      <c r="B449" s="1">
        <v>41235</v>
      </c>
      <c r="C449" s="1">
        <v>41280</v>
      </c>
      <c r="D449" t="s">
        <v>190</v>
      </c>
      <c r="E449">
        <v>-990</v>
      </c>
      <c r="F449">
        <v>-158</v>
      </c>
      <c r="G449">
        <v>0</v>
      </c>
      <c r="H449">
        <v>0</v>
      </c>
      <c r="I449">
        <v>104</v>
      </c>
      <c r="J449">
        <v>-1148</v>
      </c>
      <c r="K449" t="s">
        <v>1116</v>
      </c>
      <c r="L449" s="1">
        <v>41164</v>
      </c>
      <c r="M449" t="s">
        <v>5350</v>
      </c>
      <c r="N449" t="s">
        <v>36</v>
      </c>
      <c r="O449" t="s">
        <v>37</v>
      </c>
      <c r="P449" t="s">
        <v>327</v>
      </c>
      <c r="Q449" t="s">
        <v>39</v>
      </c>
      <c r="R449" t="s">
        <v>40</v>
      </c>
      <c r="S449">
        <v>0</v>
      </c>
      <c r="U449" t="s">
        <v>41</v>
      </c>
      <c r="V449" t="s">
        <v>42</v>
      </c>
      <c r="W449" t="s">
        <v>5337</v>
      </c>
      <c r="X449" t="s">
        <v>43</v>
      </c>
      <c r="Y449" t="b">
        <v>0</v>
      </c>
      <c r="Z449" t="b">
        <v>0</v>
      </c>
      <c r="AA449" t="b">
        <v>0</v>
      </c>
      <c r="AC449" s="1"/>
      <c r="AF449">
        <v>0</v>
      </c>
      <c r="AG449">
        <v>45</v>
      </c>
      <c r="AH449">
        <v>149</v>
      </c>
      <c r="AI449" s="2">
        <f>Table__192.168.3.138DYLAgingReport[[#This Row],[NetAmount]]-Table__192.168.3.138DYLAgingReport[[#This Row],[Paid]]</f>
        <v>-1148</v>
      </c>
    </row>
    <row r="450" spans="1:35">
      <c r="A450" t="s">
        <v>1117</v>
      </c>
      <c r="B450" s="1">
        <v>41218</v>
      </c>
      <c r="C450" s="1">
        <v>41248</v>
      </c>
      <c r="D450" t="s">
        <v>196</v>
      </c>
      <c r="E450">
        <v>-1416</v>
      </c>
      <c r="F450">
        <v>-227</v>
      </c>
      <c r="G450">
        <v>0</v>
      </c>
      <c r="H450">
        <v>0</v>
      </c>
      <c r="I450">
        <v>186</v>
      </c>
      <c r="J450">
        <v>-1643</v>
      </c>
      <c r="K450" t="s">
        <v>995</v>
      </c>
      <c r="L450" s="1">
        <v>41097</v>
      </c>
      <c r="N450" t="s">
        <v>36</v>
      </c>
      <c r="O450" t="s">
        <v>37</v>
      </c>
      <c r="P450" t="s">
        <v>333</v>
      </c>
      <c r="Q450" t="s">
        <v>39</v>
      </c>
      <c r="R450" t="s">
        <v>40</v>
      </c>
      <c r="S450">
        <v>0</v>
      </c>
      <c r="U450" t="s">
        <v>41</v>
      </c>
      <c r="V450" t="s">
        <v>42</v>
      </c>
      <c r="X450" t="s">
        <v>43</v>
      </c>
      <c r="Y450" t="b">
        <v>0</v>
      </c>
      <c r="Z450" t="b">
        <v>0</v>
      </c>
      <c r="AB450" t="s">
        <v>884</v>
      </c>
      <c r="AC450" s="1">
        <v>41279</v>
      </c>
      <c r="AE450" t="s">
        <v>885</v>
      </c>
      <c r="AF450">
        <v>0</v>
      </c>
      <c r="AG450">
        <v>30</v>
      </c>
      <c r="AH450">
        <v>216</v>
      </c>
      <c r="AI450" s="2">
        <f>Table__192.168.3.138DYLAgingReport[[#This Row],[NetAmount]]-Table__192.168.3.138DYLAgingReport[[#This Row],[Paid]]</f>
        <v>-1643</v>
      </c>
    </row>
    <row r="451" spans="1:35">
      <c r="A451" t="s">
        <v>1118</v>
      </c>
      <c r="B451" s="1">
        <v>41241</v>
      </c>
      <c r="C451" s="1">
        <v>41286</v>
      </c>
      <c r="D451" t="s">
        <v>198</v>
      </c>
      <c r="E451">
        <v>-457</v>
      </c>
      <c r="F451">
        <v>-73</v>
      </c>
      <c r="G451">
        <v>0</v>
      </c>
      <c r="H451">
        <v>0</v>
      </c>
      <c r="I451">
        <v>183</v>
      </c>
      <c r="J451">
        <v>-530</v>
      </c>
      <c r="K451" t="s">
        <v>1119</v>
      </c>
      <c r="L451" s="1">
        <v>41085</v>
      </c>
      <c r="N451" t="s">
        <v>36</v>
      </c>
      <c r="O451" t="s">
        <v>37</v>
      </c>
      <c r="P451" t="s">
        <v>335</v>
      </c>
      <c r="Q451" t="s">
        <v>39</v>
      </c>
      <c r="R451" t="s">
        <v>40</v>
      </c>
      <c r="S451">
        <v>0</v>
      </c>
      <c r="U451" t="s">
        <v>41</v>
      </c>
      <c r="V451" t="s">
        <v>42</v>
      </c>
      <c r="X451" t="s">
        <v>43</v>
      </c>
      <c r="Y451" t="b">
        <v>0</v>
      </c>
      <c r="Z451" t="b">
        <v>0</v>
      </c>
      <c r="AC451" s="1"/>
      <c r="AF451">
        <v>0</v>
      </c>
      <c r="AG451">
        <v>45</v>
      </c>
      <c r="AH451">
        <v>228</v>
      </c>
      <c r="AI451" s="2">
        <f>Table__192.168.3.138DYLAgingReport[[#This Row],[NetAmount]]-Table__192.168.3.138DYLAgingReport[[#This Row],[Paid]]</f>
        <v>-530</v>
      </c>
    </row>
    <row r="452" spans="1:35">
      <c r="A452" t="s">
        <v>1120</v>
      </c>
      <c r="B452" s="1">
        <v>41227</v>
      </c>
      <c r="C452" s="1">
        <v>41272</v>
      </c>
      <c r="D452" t="s">
        <v>207</v>
      </c>
      <c r="E452">
        <v>-602</v>
      </c>
      <c r="F452">
        <v>-96</v>
      </c>
      <c r="G452">
        <v>0</v>
      </c>
      <c r="H452">
        <v>0</v>
      </c>
      <c r="I452">
        <v>132</v>
      </c>
      <c r="J452">
        <v>-698</v>
      </c>
      <c r="K452" t="s">
        <v>1121</v>
      </c>
      <c r="L452" s="1">
        <v>41136</v>
      </c>
      <c r="N452" t="s">
        <v>36</v>
      </c>
      <c r="O452" t="s">
        <v>37</v>
      </c>
      <c r="P452" t="s">
        <v>344</v>
      </c>
      <c r="Q452" t="s">
        <v>39</v>
      </c>
      <c r="R452" t="s">
        <v>40</v>
      </c>
      <c r="S452">
        <v>0</v>
      </c>
      <c r="U452" t="s">
        <v>41</v>
      </c>
      <c r="V452" t="s">
        <v>42</v>
      </c>
      <c r="X452" t="s">
        <v>43</v>
      </c>
      <c r="Y452" t="b">
        <v>0</v>
      </c>
      <c r="Z452" t="b">
        <v>0</v>
      </c>
      <c r="AC452" s="1"/>
      <c r="AF452">
        <v>0</v>
      </c>
      <c r="AG452">
        <v>45</v>
      </c>
      <c r="AH452">
        <v>177</v>
      </c>
      <c r="AI452" s="2">
        <f>Table__192.168.3.138DYLAgingReport[[#This Row],[NetAmount]]-Table__192.168.3.138DYLAgingReport[[#This Row],[Paid]]</f>
        <v>-698</v>
      </c>
    </row>
    <row r="453" spans="1:35">
      <c r="A453" t="s">
        <v>1122</v>
      </c>
      <c r="B453" s="1">
        <v>41240</v>
      </c>
      <c r="C453" s="1">
        <v>41270</v>
      </c>
      <c r="D453" t="s">
        <v>216</v>
      </c>
      <c r="E453">
        <v>-1440</v>
      </c>
      <c r="F453">
        <v>-230</v>
      </c>
      <c r="G453">
        <v>0</v>
      </c>
      <c r="H453">
        <v>0</v>
      </c>
      <c r="I453">
        <v>167</v>
      </c>
      <c r="J453">
        <v>-1670</v>
      </c>
      <c r="K453" t="s">
        <v>1123</v>
      </c>
      <c r="L453" s="1">
        <v>41116</v>
      </c>
      <c r="M453" t="s">
        <v>1124</v>
      </c>
      <c r="N453" t="s">
        <v>36</v>
      </c>
      <c r="O453" t="s">
        <v>37</v>
      </c>
      <c r="P453" t="s">
        <v>353</v>
      </c>
      <c r="Q453" t="s">
        <v>39</v>
      </c>
      <c r="R453" t="s">
        <v>40</v>
      </c>
      <c r="S453">
        <v>0</v>
      </c>
      <c r="U453" t="s">
        <v>41</v>
      </c>
      <c r="V453" t="s">
        <v>42</v>
      </c>
      <c r="W453" t="s">
        <v>766</v>
      </c>
      <c r="X453" t="s">
        <v>43</v>
      </c>
      <c r="Y453" t="b">
        <v>0</v>
      </c>
      <c r="Z453" t="b">
        <v>0</v>
      </c>
      <c r="AA453" t="b">
        <v>0</v>
      </c>
      <c r="AC453" s="1"/>
      <c r="AF453">
        <v>0</v>
      </c>
      <c r="AG453">
        <v>30</v>
      </c>
      <c r="AH453">
        <v>197</v>
      </c>
      <c r="AI453" s="2">
        <f>Table__192.168.3.138DYLAgingReport[[#This Row],[NetAmount]]-Table__192.168.3.138DYLAgingReport[[#This Row],[Paid]]</f>
        <v>-1670</v>
      </c>
    </row>
    <row r="454" spans="1:35">
      <c r="A454" t="s">
        <v>1125</v>
      </c>
      <c r="B454" s="1">
        <v>41239</v>
      </c>
      <c r="C454" s="1">
        <v>41284</v>
      </c>
      <c r="D454" t="s">
        <v>220</v>
      </c>
      <c r="E454">
        <v>-1217</v>
      </c>
      <c r="F454">
        <v>-195</v>
      </c>
      <c r="G454">
        <v>0</v>
      </c>
      <c r="H454">
        <v>0</v>
      </c>
      <c r="I454">
        <v>55</v>
      </c>
      <c r="J454">
        <v>-1412</v>
      </c>
      <c r="K454" t="s">
        <v>1126</v>
      </c>
      <c r="L454" s="1">
        <v>41213</v>
      </c>
      <c r="N454" t="s">
        <v>36</v>
      </c>
      <c r="O454" t="s">
        <v>37</v>
      </c>
      <c r="P454" t="s">
        <v>357</v>
      </c>
      <c r="Q454" t="s">
        <v>39</v>
      </c>
      <c r="R454" t="s">
        <v>40</v>
      </c>
      <c r="S454">
        <v>0</v>
      </c>
      <c r="U454" t="s">
        <v>41</v>
      </c>
      <c r="V454" t="s">
        <v>42</v>
      </c>
      <c r="X454" t="s">
        <v>43</v>
      </c>
      <c r="Y454" t="b">
        <v>0</v>
      </c>
      <c r="Z454" t="b">
        <v>0</v>
      </c>
      <c r="AC454" s="1"/>
      <c r="AF454">
        <v>0</v>
      </c>
      <c r="AG454">
        <v>45</v>
      </c>
      <c r="AH454">
        <v>100</v>
      </c>
      <c r="AI454" s="2">
        <f>Table__192.168.3.138DYLAgingReport[[#This Row],[NetAmount]]-Table__192.168.3.138DYLAgingReport[[#This Row],[Paid]]</f>
        <v>-1412</v>
      </c>
    </row>
    <row r="455" spans="1:35">
      <c r="A455" t="s">
        <v>1127</v>
      </c>
      <c r="B455" s="1">
        <v>41227</v>
      </c>
      <c r="C455" s="1">
        <v>41272</v>
      </c>
      <c r="D455" t="s">
        <v>224</v>
      </c>
      <c r="E455">
        <v>-17</v>
      </c>
      <c r="F455">
        <v>-3</v>
      </c>
      <c r="G455">
        <v>0</v>
      </c>
      <c r="H455">
        <v>0</v>
      </c>
      <c r="I455">
        <v>199</v>
      </c>
      <c r="J455">
        <v>-20</v>
      </c>
      <c r="K455" t="s">
        <v>1128</v>
      </c>
      <c r="L455" s="1">
        <v>41069</v>
      </c>
      <c r="N455" t="s">
        <v>36</v>
      </c>
      <c r="O455" t="s">
        <v>37</v>
      </c>
      <c r="P455" t="s">
        <v>361</v>
      </c>
      <c r="Q455" t="s">
        <v>39</v>
      </c>
      <c r="R455" t="s">
        <v>40</v>
      </c>
      <c r="S455">
        <v>0</v>
      </c>
      <c r="U455" t="s">
        <v>41</v>
      </c>
      <c r="V455" t="s">
        <v>42</v>
      </c>
      <c r="X455" t="s">
        <v>43</v>
      </c>
      <c r="Y455" t="b">
        <v>0</v>
      </c>
      <c r="Z455" t="b">
        <v>0</v>
      </c>
      <c r="AC455" s="1"/>
      <c r="AF455">
        <v>0</v>
      </c>
      <c r="AG455">
        <v>45</v>
      </c>
      <c r="AH455">
        <v>244</v>
      </c>
      <c r="AI455" s="2">
        <f>Table__192.168.3.138DYLAgingReport[[#This Row],[NetAmount]]-Table__192.168.3.138DYLAgingReport[[#This Row],[Paid]]</f>
        <v>-20</v>
      </c>
    </row>
    <row r="456" spans="1:35">
      <c r="A456" t="s">
        <v>1129</v>
      </c>
      <c r="B456" s="1">
        <v>41235</v>
      </c>
      <c r="C456" s="1">
        <v>41280</v>
      </c>
      <c r="D456" t="s">
        <v>232</v>
      </c>
      <c r="E456">
        <v>-345</v>
      </c>
      <c r="F456">
        <v>-55</v>
      </c>
      <c r="G456">
        <v>0</v>
      </c>
      <c r="H456">
        <v>0</v>
      </c>
      <c r="I456">
        <v>120</v>
      </c>
      <c r="J456">
        <v>-400</v>
      </c>
      <c r="K456" t="s">
        <v>1130</v>
      </c>
      <c r="L456" s="1">
        <v>41148</v>
      </c>
      <c r="M456" t="s">
        <v>5351</v>
      </c>
      <c r="N456" t="s">
        <v>36</v>
      </c>
      <c r="O456" t="s">
        <v>37</v>
      </c>
      <c r="P456" t="s">
        <v>369</v>
      </c>
      <c r="Q456" t="s">
        <v>39</v>
      </c>
      <c r="R456" t="s">
        <v>40</v>
      </c>
      <c r="S456">
        <v>0</v>
      </c>
      <c r="U456" t="s">
        <v>41</v>
      </c>
      <c r="V456" t="s">
        <v>42</v>
      </c>
      <c r="W456" t="s">
        <v>5343</v>
      </c>
      <c r="X456" t="s">
        <v>43</v>
      </c>
      <c r="Y456" t="b">
        <v>0</v>
      </c>
      <c r="Z456" t="b">
        <v>0</v>
      </c>
      <c r="AA456" t="b">
        <v>0</v>
      </c>
      <c r="AC456" s="1"/>
      <c r="AF456">
        <v>0</v>
      </c>
      <c r="AG456">
        <v>45</v>
      </c>
      <c r="AH456">
        <v>165</v>
      </c>
      <c r="AI456" s="2">
        <f>Table__192.168.3.138DYLAgingReport[[#This Row],[NetAmount]]-Table__192.168.3.138DYLAgingReport[[#This Row],[Paid]]</f>
        <v>-400</v>
      </c>
    </row>
    <row r="457" spans="1:35">
      <c r="A457" t="s">
        <v>1131</v>
      </c>
      <c r="B457" s="1">
        <v>41226</v>
      </c>
      <c r="C457" s="1">
        <v>41226</v>
      </c>
      <c r="D457" t="s">
        <v>245</v>
      </c>
      <c r="E457">
        <v>-1215</v>
      </c>
      <c r="F457">
        <v>-194</v>
      </c>
      <c r="G457">
        <v>0</v>
      </c>
      <c r="H457">
        <v>0</v>
      </c>
      <c r="I457">
        <v>191</v>
      </c>
      <c r="J457">
        <v>-1409</v>
      </c>
      <c r="K457" t="s">
        <v>148</v>
      </c>
      <c r="L457" s="1">
        <v>41122</v>
      </c>
      <c r="N457" t="s">
        <v>36</v>
      </c>
      <c r="O457" t="s">
        <v>37</v>
      </c>
      <c r="P457" t="s">
        <v>382</v>
      </c>
      <c r="Q457" t="s">
        <v>39</v>
      </c>
      <c r="R457" t="s">
        <v>40</v>
      </c>
      <c r="S457">
        <v>0</v>
      </c>
      <c r="U457" t="s">
        <v>41</v>
      </c>
      <c r="V457" t="s">
        <v>42</v>
      </c>
      <c r="X457" t="s">
        <v>43</v>
      </c>
      <c r="Y457" t="b">
        <v>0</v>
      </c>
      <c r="Z457" t="b">
        <v>0</v>
      </c>
      <c r="AC457" s="1"/>
      <c r="AF457">
        <v>0</v>
      </c>
      <c r="AG457">
        <v>0</v>
      </c>
      <c r="AH457">
        <v>191</v>
      </c>
      <c r="AI457" s="2">
        <f>Table__192.168.3.138DYLAgingReport[[#This Row],[NetAmount]]-Table__192.168.3.138DYLAgingReport[[#This Row],[Paid]]</f>
        <v>-1409</v>
      </c>
    </row>
    <row r="458" spans="1:35">
      <c r="A458" t="s">
        <v>1132</v>
      </c>
      <c r="B458" s="1">
        <v>41233</v>
      </c>
      <c r="C458" s="1">
        <v>41278</v>
      </c>
      <c r="D458" t="s">
        <v>263</v>
      </c>
      <c r="E458">
        <v>-138</v>
      </c>
      <c r="F458">
        <v>-22</v>
      </c>
      <c r="G458">
        <v>0</v>
      </c>
      <c r="H458">
        <v>0</v>
      </c>
      <c r="I458">
        <v>26</v>
      </c>
      <c r="J458">
        <v>-160</v>
      </c>
      <c r="K458" t="s">
        <v>1133</v>
      </c>
      <c r="L458" s="1">
        <v>41242</v>
      </c>
      <c r="N458" t="s">
        <v>36</v>
      </c>
      <c r="O458" t="s">
        <v>37</v>
      </c>
      <c r="P458" t="s">
        <v>400</v>
      </c>
      <c r="Q458" t="s">
        <v>39</v>
      </c>
      <c r="R458" t="s">
        <v>40</v>
      </c>
      <c r="S458">
        <v>0</v>
      </c>
      <c r="U458" t="s">
        <v>41</v>
      </c>
      <c r="V458" t="s">
        <v>42</v>
      </c>
      <c r="X458" t="s">
        <v>43</v>
      </c>
      <c r="Y458" t="b">
        <v>0</v>
      </c>
      <c r="Z458" t="b">
        <v>0</v>
      </c>
      <c r="AC458" s="1"/>
      <c r="AF458">
        <v>0</v>
      </c>
      <c r="AG458">
        <v>45</v>
      </c>
      <c r="AH458">
        <v>71</v>
      </c>
      <c r="AI458" s="2">
        <f>Table__192.168.3.138DYLAgingReport[[#This Row],[NetAmount]]-Table__192.168.3.138DYLAgingReport[[#This Row],[Paid]]</f>
        <v>-160</v>
      </c>
    </row>
    <row r="459" spans="1:35">
      <c r="A459" t="s">
        <v>1134</v>
      </c>
      <c r="B459" s="1">
        <v>41239</v>
      </c>
      <c r="C459" s="1">
        <v>41284</v>
      </c>
      <c r="D459" t="s">
        <v>264</v>
      </c>
      <c r="E459">
        <v>-3500</v>
      </c>
      <c r="F459">
        <v>-560</v>
      </c>
      <c r="G459">
        <v>0</v>
      </c>
      <c r="H459">
        <v>0</v>
      </c>
      <c r="I459">
        <v>158</v>
      </c>
      <c r="J459">
        <v>-4060</v>
      </c>
      <c r="K459" t="s">
        <v>1135</v>
      </c>
      <c r="L459" s="1">
        <v>41110</v>
      </c>
      <c r="N459" t="s">
        <v>36</v>
      </c>
      <c r="O459" t="s">
        <v>37</v>
      </c>
      <c r="P459" t="s">
        <v>401</v>
      </c>
      <c r="Q459" t="s">
        <v>39</v>
      </c>
      <c r="R459" t="s">
        <v>40</v>
      </c>
      <c r="S459">
        <v>0</v>
      </c>
      <c r="U459" t="s">
        <v>41</v>
      </c>
      <c r="V459" t="s">
        <v>42</v>
      </c>
      <c r="X459" t="s">
        <v>43</v>
      </c>
      <c r="Y459" t="b">
        <v>0</v>
      </c>
      <c r="Z459" t="b">
        <v>0</v>
      </c>
      <c r="AB459" t="s">
        <v>710</v>
      </c>
      <c r="AC459" s="1"/>
      <c r="AF459">
        <v>0</v>
      </c>
      <c r="AG459">
        <v>45</v>
      </c>
      <c r="AH459">
        <v>203</v>
      </c>
      <c r="AI459" s="2">
        <f>Table__192.168.3.138DYLAgingReport[[#This Row],[NetAmount]]-Table__192.168.3.138DYLAgingReport[[#This Row],[Paid]]</f>
        <v>-4060</v>
      </c>
    </row>
    <row r="460" spans="1:35">
      <c r="A460" t="s">
        <v>1136</v>
      </c>
      <c r="B460" s="1">
        <v>41228</v>
      </c>
      <c r="C460" s="1">
        <v>41273</v>
      </c>
      <c r="D460" t="s">
        <v>268</v>
      </c>
      <c r="E460">
        <v>-2534</v>
      </c>
      <c r="F460">
        <v>-405</v>
      </c>
      <c r="G460">
        <v>0</v>
      </c>
      <c r="H460">
        <v>0</v>
      </c>
      <c r="I460">
        <v>140</v>
      </c>
      <c r="J460">
        <v>-2939</v>
      </c>
      <c r="K460" t="s">
        <v>1137</v>
      </c>
      <c r="L460" s="1">
        <v>41128</v>
      </c>
      <c r="N460" t="s">
        <v>36</v>
      </c>
      <c r="O460" t="s">
        <v>37</v>
      </c>
      <c r="P460" t="s">
        <v>405</v>
      </c>
      <c r="Q460" t="s">
        <v>39</v>
      </c>
      <c r="R460" t="s">
        <v>40</v>
      </c>
      <c r="S460">
        <v>0</v>
      </c>
      <c r="U460" t="s">
        <v>41</v>
      </c>
      <c r="V460" t="s">
        <v>42</v>
      </c>
      <c r="X460" t="s">
        <v>43</v>
      </c>
      <c r="Y460" t="b">
        <v>0</v>
      </c>
      <c r="Z460" t="b">
        <v>0</v>
      </c>
      <c r="AC460" s="1"/>
      <c r="AF460">
        <v>0</v>
      </c>
      <c r="AG460">
        <v>45</v>
      </c>
      <c r="AH460">
        <v>185</v>
      </c>
      <c r="AI460" s="2">
        <f>Table__192.168.3.138DYLAgingReport[[#This Row],[NetAmount]]-Table__192.168.3.138DYLAgingReport[[#This Row],[Paid]]</f>
        <v>-2939</v>
      </c>
    </row>
    <row r="461" spans="1:35">
      <c r="A461" t="s">
        <v>1138</v>
      </c>
      <c r="B461" s="1">
        <v>41233</v>
      </c>
      <c r="C461" s="1">
        <v>41278</v>
      </c>
      <c r="D461" t="s">
        <v>271</v>
      </c>
      <c r="E461">
        <v>-3696</v>
      </c>
      <c r="F461">
        <v>-591</v>
      </c>
      <c r="G461">
        <v>0</v>
      </c>
      <c r="H461">
        <v>0</v>
      </c>
      <c r="I461">
        <v>74</v>
      </c>
      <c r="J461">
        <v>-4287</v>
      </c>
      <c r="K461" t="s">
        <v>1139</v>
      </c>
      <c r="L461" s="1">
        <v>41194</v>
      </c>
      <c r="N461" t="s">
        <v>36</v>
      </c>
      <c r="O461" t="s">
        <v>37</v>
      </c>
      <c r="P461" t="s">
        <v>408</v>
      </c>
      <c r="Q461" t="s">
        <v>39</v>
      </c>
      <c r="R461" t="s">
        <v>40</v>
      </c>
      <c r="S461">
        <v>0</v>
      </c>
      <c r="U461" t="s">
        <v>41</v>
      </c>
      <c r="V461" t="s">
        <v>42</v>
      </c>
      <c r="X461" t="s">
        <v>43</v>
      </c>
      <c r="Y461" t="b">
        <v>0</v>
      </c>
      <c r="Z461" t="b">
        <v>0</v>
      </c>
      <c r="AC461" s="1"/>
      <c r="AF461">
        <v>0</v>
      </c>
      <c r="AG461">
        <v>45</v>
      </c>
      <c r="AH461">
        <v>119</v>
      </c>
      <c r="AI461" s="2">
        <f>Table__192.168.3.138DYLAgingReport[[#This Row],[NetAmount]]-Table__192.168.3.138DYLAgingReport[[#This Row],[Paid]]</f>
        <v>-4287</v>
      </c>
    </row>
    <row r="462" spans="1:35">
      <c r="A462" t="s">
        <v>1140</v>
      </c>
      <c r="B462" s="1">
        <v>41239</v>
      </c>
      <c r="C462" s="1">
        <v>41239</v>
      </c>
      <c r="D462" t="s">
        <v>296</v>
      </c>
      <c r="E462">
        <v>-3116</v>
      </c>
      <c r="F462">
        <v>-499</v>
      </c>
      <c r="G462">
        <v>0</v>
      </c>
      <c r="H462">
        <v>0</v>
      </c>
      <c r="I462">
        <v>150</v>
      </c>
      <c r="J462">
        <v>-3615</v>
      </c>
      <c r="K462" t="s">
        <v>1141</v>
      </c>
      <c r="L462" s="1">
        <v>41118</v>
      </c>
      <c r="N462" t="s">
        <v>36</v>
      </c>
      <c r="O462" t="s">
        <v>37</v>
      </c>
      <c r="P462" t="s">
        <v>433</v>
      </c>
      <c r="Q462" t="s">
        <v>39</v>
      </c>
      <c r="R462" t="s">
        <v>40</v>
      </c>
      <c r="S462">
        <v>0</v>
      </c>
      <c r="U462" t="s">
        <v>41</v>
      </c>
      <c r="V462" t="s">
        <v>42</v>
      </c>
      <c r="X462" t="s">
        <v>43</v>
      </c>
      <c r="Y462" t="b">
        <v>0</v>
      </c>
      <c r="Z462" t="b">
        <v>0</v>
      </c>
      <c r="AC462" s="1"/>
      <c r="AF462">
        <v>0</v>
      </c>
      <c r="AG462">
        <v>45</v>
      </c>
      <c r="AH462">
        <v>195</v>
      </c>
      <c r="AI462" s="2">
        <f>Table__192.168.3.138DYLAgingReport[[#This Row],[NetAmount]]-Table__192.168.3.138DYLAgingReport[[#This Row],[Paid]]</f>
        <v>-3615</v>
      </c>
    </row>
    <row r="463" spans="1:35">
      <c r="A463" t="s">
        <v>1142</v>
      </c>
      <c r="B463" s="1">
        <v>41176</v>
      </c>
      <c r="C463" s="1">
        <v>41221</v>
      </c>
      <c r="D463" t="s">
        <v>187</v>
      </c>
      <c r="E463">
        <v>-440</v>
      </c>
      <c r="F463">
        <v>0</v>
      </c>
      <c r="G463">
        <v>0</v>
      </c>
      <c r="H463">
        <v>0</v>
      </c>
      <c r="I463">
        <v>92</v>
      </c>
      <c r="J463">
        <v>-440</v>
      </c>
      <c r="K463" t="s">
        <v>846</v>
      </c>
      <c r="L463" s="1">
        <v>41176</v>
      </c>
      <c r="N463" t="s">
        <v>36</v>
      </c>
      <c r="O463" t="s">
        <v>37</v>
      </c>
      <c r="P463" t="s">
        <v>324</v>
      </c>
      <c r="Q463" t="s">
        <v>39</v>
      </c>
      <c r="R463" t="s">
        <v>40</v>
      </c>
      <c r="S463">
        <v>0</v>
      </c>
      <c r="U463" t="s">
        <v>41</v>
      </c>
      <c r="V463" t="s">
        <v>42</v>
      </c>
      <c r="X463" t="s">
        <v>43</v>
      </c>
      <c r="Y463" t="b">
        <v>0</v>
      </c>
      <c r="Z463" t="b">
        <v>0</v>
      </c>
      <c r="AC463" s="1"/>
      <c r="AF463">
        <v>0</v>
      </c>
      <c r="AG463">
        <v>45</v>
      </c>
      <c r="AH463">
        <v>137</v>
      </c>
      <c r="AI463" s="2">
        <f>Table__192.168.3.138DYLAgingReport[[#This Row],[NetAmount]]-Table__192.168.3.138DYLAgingReport[[#This Row],[Paid]]</f>
        <v>-440</v>
      </c>
    </row>
    <row r="464" spans="1:35">
      <c r="A464" t="s">
        <v>1143</v>
      </c>
      <c r="B464" s="1">
        <v>41176</v>
      </c>
      <c r="C464" s="1">
        <v>41221</v>
      </c>
      <c r="D464" t="s">
        <v>202</v>
      </c>
      <c r="E464">
        <v>-1083</v>
      </c>
      <c r="F464">
        <v>-173</v>
      </c>
      <c r="G464">
        <v>0</v>
      </c>
      <c r="H464">
        <v>0</v>
      </c>
      <c r="I464">
        <v>161</v>
      </c>
      <c r="J464">
        <v>-1256</v>
      </c>
      <c r="K464" t="s">
        <v>889</v>
      </c>
      <c r="L464" s="1">
        <v>41107</v>
      </c>
      <c r="N464" t="s">
        <v>36</v>
      </c>
      <c r="O464" t="s">
        <v>37</v>
      </c>
      <c r="P464" t="s">
        <v>339</v>
      </c>
      <c r="Q464" t="s">
        <v>39</v>
      </c>
      <c r="R464" t="s">
        <v>40</v>
      </c>
      <c r="S464">
        <v>0</v>
      </c>
      <c r="U464" t="s">
        <v>41</v>
      </c>
      <c r="V464" t="s">
        <v>42</v>
      </c>
      <c r="X464" t="s">
        <v>43</v>
      </c>
      <c r="Y464" t="b">
        <v>0</v>
      </c>
      <c r="Z464" t="b">
        <v>0</v>
      </c>
      <c r="AC464" s="1"/>
      <c r="AF464">
        <v>0</v>
      </c>
      <c r="AG464">
        <v>45</v>
      </c>
      <c r="AH464">
        <v>206</v>
      </c>
      <c r="AI464" s="2">
        <f>Table__192.168.3.138DYLAgingReport[[#This Row],[NetAmount]]-Table__192.168.3.138DYLAgingReport[[#This Row],[Paid]]</f>
        <v>-1256</v>
      </c>
    </row>
    <row r="465" spans="1:35">
      <c r="A465" t="s">
        <v>1144</v>
      </c>
      <c r="B465" s="1">
        <v>41176</v>
      </c>
      <c r="C465" s="1">
        <v>41221</v>
      </c>
      <c r="D465" t="s">
        <v>220</v>
      </c>
      <c r="E465">
        <v>-1386</v>
      </c>
      <c r="F465">
        <v>-222</v>
      </c>
      <c r="G465">
        <v>0</v>
      </c>
      <c r="H465">
        <v>0</v>
      </c>
      <c r="I465">
        <v>134</v>
      </c>
      <c r="J465">
        <v>-1608</v>
      </c>
      <c r="K465" t="s">
        <v>1145</v>
      </c>
      <c r="L465" s="1">
        <v>41134</v>
      </c>
      <c r="N465" t="s">
        <v>36</v>
      </c>
      <c r="O465" t="s">
        <v>37</v>
      </c>
      <c r="P465" t="s">
        <v>357</v>
      </c>
      <c r="Q465" t="s">
        <v>39</v>
      </c>
      <c r="R465" t="s">
        <v>40</v>
      </c>
      <c r="S465">
        <v>0</v>
      </c>
      <c r="U465" t="s">
        <v>41</v>
      </c>
      <c r="V465" t="s">
        <v>42</v>
      </c>
      <c r="X465" t="s">
        <v>43</v>
      </c>
      <c r="Y465" t="b">
        <v>0</v>
      </c>
      <c r="Z465" t="b">
        <v>0</v>
      </c>
      <c r="AC465" s="1"/>
      <c r="AF465">
        <v>0</v>
      </c>
      <c r="AG465">
        <v>45</v>
      </c>
      <c r="AH465">
        <v>179</v>
      </c>
      <c r="AI465" s="2">
        <f>Table__192.168.3.138DYLAgingReport[[#This Row],[NetAmount]]-Table__192.168.3.138DYLAgingReport[[#This Row],[Paid]]</f>
        <v>-1608</v>
      </c>
    </row>
    <row r="466" spans="1:35">
      <c r="A466" t="s">
        <v>1146</v>
      </c>
      <c r="B466" s="1">
        <v>41176</v>
      </c>
      <c r="C466" s="1">
        <v>41221</v>
      </c>
      <c r="D466" t="s">
        <v>264</v>
      </c>
      <c r="E466">
        <v>-2100</v>
      </c>
      <c r="F466">
        <v>-336</v>
      </c>
      <c r="G466">
        <v>0</v>
      </c>
      <c r="H466">
        <v>0</v>
      </c>
      <c r="I466">
        <v>105</v>
      </c>
      <c r="J466">
        <v>-2436</v>
      </c>
      <c r="K466" t="s">
        <v>922</v>
      </c>
      <c r="L466" s="1">
        <v>41163</v>
      </c>
      <c r="N466" t="s">
        <v>36</v>
      </c>
      <c r="O466" t="s">
        <v>37</v>
      </c>
      <c r="P466" t="s">
        <v>401</v>
      </c>
      <c r="Q466" t="s">
        <v>39</v>
      </c>
      <c r="R466" t="s">
        <v>40</v>
      </c>
      <c r="S466">
        <v>0</v>
      </c>
      <c r="U466" t="s">
        <v>41</v>
      </c>
      <c r="V466" t="s">
        <v>42</v>
      </c>
      <c r="X466" t="s">
        <v>43</v>
      </c>
      <c r="Y466" t="b">
        <v>0</v>
      </c>
      <c r="Z466" t="b">
        <v>0</v>
      </c>
      <c r="AB466" t="s">
        <v>826</v>
      </c>
      <c r="AC466" s="1"/>
      <c r="AF466">
        <v>0</v>
      </c>
      <c r="AG466">
        <v>45</v>
      </c>
      <c r="AH466">
        <v>150</v>
      </c>
      <c r="AI466" s="2">
        <f>Table__192.168.3.138DYLAgingReport[[#This Row],[NetAmount]]-Table__192.168.3.138DYLAgingReport[[#This Row],[Paid]]</f>
        <v>-2436</v>
      </c>
    </row>
    <row r="467" spans="1:35">
      <c r="A467" t="s">
        <v>1147</v>
      </c>
      <c r="B467" s="1">
        <v>41176</v>
      </c>
      <c r="C467" s="1">
        <v>41221</v>
      </c>
      <c r="D467" t="s">
        <v>281</v>
      </c>
      <c r="E467">
        <v>-3550</v>
      </c>
      <c r="F467">
        <v>0</v>
      </c>
      <c r="G467">
        <v>0</v>
      </c>
      <c r="H467">
        <v>0</v>
      </c>
      <c r="I467">
        <v>92</v>
      </c>
      <c r="J467">
        <v>-3550</v>
      </c>
      <c r="K467" t="s">
        <v>1148</v>
      </c>
      <c r="L467" s="1">
        <v>41176</v>
      </c>
      <c r="N467" t="s">
        <v>36</v>
      </c>
      <c r="O467" t="s">
        <v>37</v>
      </c>
      <c r="P467" t="s">
        <v>418</v>
      </c>
      <c r="Q467" t="s">
        <v>39</v>
      </c>
      <c r="R467" t="s">
        <v>40</v>
      </c>
      <c r="S467">
        <v>0</v>
      </c>
      <c r="U467" t="s">
        <v>41</v>
      </c>
      <c r="V467" t="s">
        <v>42</v>
      </c>
      <c r="X467" t="s">
        <v>43</v>
      </c>
      <c r="Y467" t="b">
        <v>0</v>
      </c>
      <c r="Z467" t="b">
        <v>0</v>
      </c>
      <c r="AC467" s="1"/>
      <c r="AF467">
        <v>0</v>
      </c>
      <c r="AG467">
        <v>45</v>
      </c>
      <c r="AH467">
        <v>137</v>
      </c>
      <c r="AI467" s="2">
        <f>Table__192.168.3.138DYLAgingReport[[#This Row],[NetAmount]]-Table__192.168.3.138DYLAgingReport[[#This Row],[Paid]]</f>
        <v>-3550</v>
      </c>
    </row>
    <row r="468" spans="1:35">
      <c r="A468" t="s">
        <v>1149</v>
      </c>
      <c r="B468" s="1">
        <v>41176</v>
      </c>
      <c r="C468" s="1">
        <v>41176</v>
      </c>
      <c r="D468" t="s">
        <v>291</v>
      </c>
      <c r="E468">
        <v>-6600</v>
      </c>
      <c r="F468">
        <v>-1056</v>
      </c>
      <c r="G468">
        <v>0</v>
      </c>
      <c r="H468">
        <v>0</v>
      </c>
      <c r="I468">
        <v>100</v>
      </c>
      <c r="J468">
        <v>-7656</v>
      </c>
      <c r="K468" t="s">
        <v>863</v>
      </c>
      <c r="L468" s="1">
        <v>41168</v>
      </c>
      <c r="M468" t="s">
        <v>1150</v>
      </c>
      <c r="N468" t="s">
        <v>36</v>
      </c>
      <c r="O468" t="s">
        <v>37</v>
      </c>
      <c r="P468" t="s">
        <v>428</v>
      </c>
      <c r="Q468" t="s">
        <v>39</v>
      </c>
      <c r="R468" t="s">
        <v>40</v>
      </c>
      <c r="S468">
        <v>0</v>
      </c>
      <c r="U468" t="s">
        <v>41</v>
      </c>
      <c r="V468" t="s">
        <v>42</v>
      </c>
      <c r="W468" t="s">
        <v>792</v>
      </c>
      <c r="X468" t="s">
        <v>43</v>
      </c>
      <c r="Y468" t="b">
        <v>0</v>
      </c>
      <c r="Z468" t="b">
        <v>0</v>
      </c>
      <c r="AA468" t="b">
        <v>0</v>
      </c>
      <c r="AC468" s="1"/>
      <c r="AF468">
        <v>0</v>
      </c>
      <c r="AG468">
        <v>45</v>
      </c>
      <c r="AH468">
        <v>145</v>
      </c>
      <c r="AI468" s="2">
        <f>Table__192.168.3.138DYLAgingReport[[#This Row],[NetAmount]]-Table__192.168.3.138DYLAgingReport[[#This Row],[Paid]]</f>
        <v>-7656</v>
      </c>
    </row>
    <row r="469" spans="1:35">
      <c r="A469" t="s">
        <v>1151</v>
      </c>
      <c r="B469" s="1">
        <v>41239</v>
      </c>
      <c r="C469" s="1">
        <v>41284</v>
      </c>
      <c r="D469" t="s">
        <v>247</v>
      </c>
      <c r="E469">
        <v>-990</v>
      </c>
      <c r="F469">
        <v>-158</v>
      </c>
      <c r="G469">
        <v>0</v>
      </c>
      <c r="H469">
        <v>0</v>
      </c>
      <c r="I469">
        <v>181</v>
      </c>
      <c r="J469">
        <v>-1148</v>
      </c>
      <c r="K469" t="s">
        <v>909</v>
      </c>
      <c r="L469" s="1">
        <v>41087</v>
      </c>
      <c r="N469" t="s">
        <v>36</v>
      </c>
      <c r="O469" t="s">
        <v>37</v>
      </c>
      <c r="P469" t="s">
        <v>384</v>
      </c>
      <c r="Q469" t="s">
        <v>39</v>
      </c>
      <c r="R469" t="s">
        <v>40</v>
      </c>
      <c r="S469">
        <v>0</v>
      </c>
      <c r="U469" t="s">
        <v>41</v>
      </c>
      <c r="V469" t="s">
        <v>42</v>
      </c>
      <c r="X469" t="s">
        <v>43</v>
      </c>
      <c r="Y469" t="b">
        <v>0</v>
      </c>
      <c r="Z469" t="b">
        <v>0</v>
      </c>
      <c r="AC469" s="1"/>
      <c r="AF469">
        <v>0</v>
      </c>
      <c r="AG469">
        <v>45</v>
      </c>
      <c r="AH469">
        <v>226</v>
      </c>
      <c r="AI469" s="2">
        <f>Table__192.168.3.138DYLAgingReport[[#This Row],[NetAmount]]-Table__192.168.3.138DYLAgingReport[[#This Row],[Paid]]</f>
        <v>-1148</v>
      </c>
    </row>
    <row r="470" spans="1:35">
      <c r="A470" t="s">
        <v>1152</v>
      </c>
      <c r="B470" s="1">
        <v>41268</v>
      </c>
      <c r="C470" s="1">
        <v>41313</v>
      </c>
      <c r="D470" t="s">
        <v>166</v>
      </c>
      <c r="E470">
        <v>-728</v>
      </c>
      <c r="F470">
        <v>-116</v>
      </c>
      <c r="G470">
        <v>0</v>
      </c>
      <c r="H470">
        <v>0</v>
      </c>
      <c r="I470">
        <v>139</v>
      </c>
      <c r="J470">
        <v>-844</v>
      </c>
      <c r="K470" t="s">
        <v>1153</v>
      </c>
      <c r="L470" s="1">
        <v>41129</v>
      </c>
      <c r="N470" t="s">
        <v>36</v>
      </c>
      <c r="O470" t="s">
        <v>37</v>
      </c>
      <c r="P470" t="s">
        <v>303</v>
      </c>
      <c r="Q470" t="s">
        <v>39</v>
      </c>
      <c r="R470" t="s">
        <v>40</v>
      </c>
      <c r="S470">
        <v>0</v>
      </c>
      <c r="U470" t="s">
        <v>41</v>
      </c>
      <c r="V470" t="s">
        <v>42</v>
      </c>
      <c r="X470" t="s">
        <v>43</v>
      </c>
      <c r="Y470" t="b">
        <v>0</v>
      </c>
      <c r="Z470" t="b">
        <v>0</v>
      </c>
      <c r="AC470" s="1"/>
      <c r="AF470">
        <v>0</v>
      </c>
      <c r="AG470">
        <v>45</v>
      </c>
      <c r="AH470">
        <v>184</v>
      </c>
      <c r="AI470" s="2">
        <f>Table__192.168.3.138DYLAgingReport[[#This Row],[NetAmount]]-Table__192.168.3.138DYLAgingReport[[#This Row],[Paid]]</f>
        <v>-844</v>
      </c>
    </row>
    <row r="471" spans="1:35">
      <c r="A471" t="s">
        <v>1154</v>
      </c>
      <c r="B471" s="1">
        <v>41268</v>
      </c>
      <c r="C471" s="1">
        <v>41313</v>
      </c>
      <c r="D471" t="s">
        <v>168</v>
      </c>
      <c r="E471">
        <v>-4940</v>
      </c>
      <c r="F471">
        <v>-790</v>
      </c>
      <c r="G471">
        <v>0</v>
      </c>
      <c r="H471">
        <v>0</v>
      </c>
      <c r="I471">
        <v>71</v>
      </c>
      <c r="J471">
        <v>-5730</v>
      </c>
      <c r="K471" t="s">
        <v>1155</v>
      </c>
      <c r="L471" s="1">
        <v>41197</v>
      </c>
      <c r="N471" t="s">
        <v>36</v>
      </c>
      <c r="O471" t="s">
        <v>37</v>
      </c>
      <c r="P471" t="s">
        <v>305</v>
      </c>
      <c r="Q471" t="s">
        <v>39</v>
      </c>
      <c r="R471" t="s">
        <v>40</v>
      </c>
      <c r="S471">
        <v>0</v>
      </c>
      <c r="U471" t="s">
        <v>41</v>
      </c>
      <c r="V471" t="s">
        <v>42</v>
      </c>
      <c r="X471" t="s">
        <v>43</v>
      </c>
      <c r="Y471" t="b">
        <v>0</v>
      </c>
      <c r="Z471" t="b">
        <v>0</v>
      </c>
      <c r="AB471" t="s">
        <v>961</v>
      </c>
      <c r="AC471" s="1">
        <v>41291</v>
      </c>
      <c r="AE471" t="s">
        <v>962</v>
      </c>
      <c r="AF471">
        <v>0</v>
      </c>
      <c r="AG471">
        <v>45</v>
      </c>
      <c r="AH471">
        <v>116</v>
      </c>
      <c r="AI471" s="2">
        <f>Table__192.168.3.138DYLAgingReport[[#This Row],[NetAmount]]-Table__192.168.3.138DYLAgingReport[[#This Row],[Paid]]</f>
        <v>-5730</v>
      </c>
    </row>
    <row r="472" spans="1:35">
      <c r="A472" t="s">
        <v>1156</v>
      </c>
      <c r="B472" s="1">
        <v>41274</v>
      </c>
      <c r="C472" s="1">
        <v>41319</v>
      </c>
      <c r="D472" t="s">
        <v>173</v>
      </c>
      <c r="E472">
        <v>-458</v>
      </c>
      <c r="F472">
        <v>-73</v>
      </c>
      <c r="G472">
        <v>0</v>
      </c>
      <c r="H472">
        <v>0</v>
      </c>
      <c r="I472">
        <v>137</v>
      </c>
      <c r="J472">
        <v>-531</v>
      </c>
      <c r="K472" t="s">
        <v>1157</v>
      </c>
      <c r="L472" s="1">
        <v>41131</v>
      </c>
      <c r="N472" t="s">
        <v>36</v>
      </c>
      <c r="O472" t="s">
        <v>37</v>
      </c>
      <c r="P472" t="s">
        <v>310</v>
      </c>
      <c r="Q472" t="s">
        <v>39</v>
      </c>
      <c r="R472" t="s">
        <v>40</v>
      </c>
      <c r="S472">
        <v>0</v>
      </c>
      <c r="U472" t="s">
        <v>41</v>
      </c>
      <c r="V472" t="s">
        <v>42</v>
      </c>
      <c r="X472" t="s">
        <v>43</v>
      </c>
      <c r="Y472" t="b">
        <v>0</v>
      </c>
      <c r="Z472" t="b">
        <v>0</v>
      </c>
      <c r="AC472" s="1"/>
      <c r="AF472">
        <v>0</v>
      </c>
      <c r="AG472">
        <v>45</v>
      </c>
      <c r="AH472">
        <v>182</v>
      </c>
      <c r="AI472" s="2">
        <f>Table__192.168.3.138DYLAgingReport[[#This Row],[NetAmount]]-Table__192.168.3.138DYLAgingReport[[#This Row],[Paid]]</f>
        <v>-531</v>
      </c>
    </row>
    <row r="473" spans="1:35">
      <c r="A473" t="s">
        <v>1158</v>
      </c>
      <c r="B473" s="1">
        <v>41263</v>
      </c>
      <c r="C473" s="1">
        <v>41308</v>
      </c>
      <c r="D473" t="s">
        <v>174</v>
      </c>
      <c r="E473">
        <v>-668</v>
      </c>
      <c r="F473">
        <v>-107</v>
      </c>
      <c r="G473">
        <v>0</v>
      </c>
      <c r="H473">
        <v>0</v>
      </c>
      <c r="I473">
        <v>151</v>
      </c>
      <c r="J473">
        <v>-775</v>
      </c>
      <c r="K473" t="s">
        <v>870</v>
      </c>
      <c r="L473" s="1">
        <v>41117</v>
      </c>
      <c r="N473" t="s">
        <v>36</v>
      </c>
      <c r="O473" t="s">
        <v>37</v>
      </c>
      <c r="P473" t="s">
        <v>311</v>
      </c>
      <c r="Q473" t="s">
        <v>39</v>
      </c>
      <c r="R473" t="s">
        <v>40</v>
      </c>
      <c r="S473">
        <v>0</v>
      </c>
      <c r="U473" t="s">
        <v>41</v>
      </c>
      <c r="V473" t="s">
        <v>42</v>
      </c>
      <c r="X473" t="s">
        <v>43</v>
      </c>
      <c r="Y473" t="b">
        <v>0</v>
      </c>
      <c r="Z473" t="b">
        <v>0</v>
      </c>
      <c r="AC473" s="1"/>
      <c r="AF473">
        <v>0</v>
      </c>
      <c r="AG473">
        <v>45</v>
      </c>
      <c r="AH473">
        <v>196</v>
      </c>
      <c r="AI473" s="2">
        <f>Table__192.168.3.138DYLAgingReport[[#This Row],[NetAmount]]-Table__192.168.3.138DYLAgingReport[[#This Row],[Paid]]</f>
        <v>-775</v>
      </c>
    </row>
    <row r="474" spans="1:35">
      <c r="A474" t="s">
        <v>1159</v>
      </c>
      <c r="B474" s="1">
        <v>41274</v>
      </c>
      <c r="C474" s="1">
        <v>41319</v>
      </c>
      <c r="D474" t="s">
        <v>180</v>
      </c>
      <c r="E474">
        <v>-7335</v>
      </c>
      <c r="F474">
        <v>-1174</v>
      </c>
      <c r="G474">
        <v>0</v>
      </c>
      <c r="H474">
        <v>0</v>
      </c>
      <c r="I474">
        <v>45</v>
      </c>
      <c r="J474">
        <v>-8509</v>
      </c>
      <c r="K474" t="s">
        <v>1160</v>
      </c>
      <c r="L474" s="1">
        <v>41223</v>
      </c>
      <c r="N474" t="s">
        <v>36</v>
      </c>
      <c r="O474" t="s">
        <v>37</v>
      </c>
      <c r="P474" t="s">
        <v>317</v>
      </c>
      <c r="Q474" t="s">
        <v>39</v>
      </c>
      <c r="R474" t="s">
        <v>40</v>
      </c>
      <c r="S474">
        <v>0</v>
      </c>
      <c r="U474" t="s">
        <v>41</v>
      </c>
      <c r="V474" t="s">
        <v>42</v>
      </c>
      <c r="X474" t="s">
        <v>43</v>
      </c>
      <c r="Y474" t="b">
        <v>0</v>
      </c>
      <c r="Z474" t="b">
        <v>0</v>
      </c>
      <c r="AC474" s="1"/>
      <c r="AF474">
        <v>0</v>
      </c>
      <c r="AG474">
        <v>45</v>
      </c>
      <c r="AH474">
        <v>90</v>
      </c>
      <c r="AI474" s="2">
        <f>Table__192.168.3.138DYLAgingReport[[#This Row],[NetAmount]]-Table__192.168.3.138DYLAgingReport[[#This Row],[Paid]]</f>
        <v>-8509</v>
      </c>
    </row>
    <row r="475" spans="1:35">
      <c r="A475" t="s">
        <v>1161</v>
      </c>
      <c r="B475" s="1">
        <v>41268</v>
      </c>
      <c r="C475" s="1">
        <v>41298</v>
      </c>
      <c r="D475" t="s">
        <v>181</v>
      </c>
      <c r="E475">
        <v>-957</v>
      </c>
      <c r="F475">
        <v>-153</v>
      </c>
      <c r="G475">
        <v>0</v>
      </c>
      <c r="H475">
        <v>0</v>
      </c>
      <c r="I475">
        <v>138</v>
      </c>
      <c r="J475">
        <v>-1110</v>
      </c>
      <c r="K475" t="s">
        <v>1162</v>
      </c>
      <c r="L475" s="1">
        <v>41145</v>
      </c>
      <c r="M475" t="s">
        <v>1163</v>
      </c>
      <c r="N475" t="s">
        <v>36</v>
      </c>
      <c r="O475" t="s">
        <v>37</v>
      </c>
      <c r="P475" t="s">
        <v>318</v>
      </c>
      <c r="Q475" t="s">
        <v>39</v>
      </c>
      <c r="R475" t="s">
        <v>40</v>
      </c>
      <c r="S475">
        <v>0</v>
      </c>
      <c r="U475" t="s">
        <v>41</v>
      </c>
      <c r="V475" t="s">
        <v>42</v>
      </c>
      <c r="W475" t="s">
        <v>876</v>
      </c>
      <c r="X475" t="s">
        <v>43</v>
      </c>
      <c r="Y475" t="b">
        <v>0</v>
      </c>
      <c r="Z475" t="b">
        <v>0</v>
      </c>
      <c r="AA475" t="b">
        <v>0</v>
      </c>
      <c r="AC475" s="1"/>
      <c r="AF475">
        <v>0</v>
      </c>
      <c r="AG475">
        <v>30</v>
      </c>
      <c r="AH475">
        <v>168</v>
      </c>
      <c r="AI475" s="2">
        <f>Table__192.168.3.138DYLAgingReport[[#This Row],[NetAmount]]-Table__192.168.3.138DYLAgingReport[[#This Row],[Paid]]</f>
        <v>-1110</v>
      </c>
    </row>
    <row r="476" spans="1:35">
      <c r="A476" t="s">
        <v>1164</v>
      </c>
      <c r="B476" s="1">
        <v>41274</v>
      </c>
      <c r="C476" s="1">
        <v>41319</v>
      </c>
      <c r="D476" t="s">
        <v>183</v>
      </c>
      <c r="E476">
        <v>-1922</v>
      </c>
      <c r="F476">
        <v>-308</v>
      </c>
      <c r="G476">
        <v>0</v>
      </c>
      <c r="H476">
        <v>0</v>
      </c>
      <c r="I476">
        <v>83</v>
      </c>
      <c r="J476">
        <v>-2230</v>
      </c>
      <c r="K476" t="s">
        <v>1165</v>
      </c>
      <c r="L476" s="1">
        <v>41185</v>
      </c>
      <c r="N476" t="s">
        <v>36</v>
      </c>
      <c r="O476" t="s">
        <v>37</v>
      </c>
      <c r="P476" t="s">
        <v>320</v>
      </c>
      <c r="Q476" t="s">
        <v>39</v>
      </c>
      <c r="R476" t="s">
        <v>40</v>
      </c>
      <c r="S476">
        <v>0</v>
      </c>
      <c r="U476" t="s">
        <v>41</v>
      </c>
      <c r="V476" t="s">
        <v>42</v>
      </c>
      <c r="X476" t="s">
        <v>43</v>
      </c>
      <c r="Y476" t="b">
        <v>0</v>
      </c>
      <c r="Z476" t="b">
        <v>0</v>
      </c>
      <c r="AC476" s="1"/>
      <c r="AF476">
        <v>0</v>
      </c>
      <c r="AG476">
        <v>45</v>
      </c>
      <c r="AH476">
        <v>128</v>
      </c>
      <c r="AI476" s="2">
        <f>Table__192.168.3.138DYLAgingReport[[#This Row],[NetAmount]]-Table__192.168.3.138DYLAgingReport[[#This Row],[Paid]]</f>
        <v>-2230</v>
      </c>
    </row>
    <row r="477" spans="1:35">
      <c r="A477" t="s">
        <v>1166</v>
      </c>
      <c r="B477" s="1">
        <v>41247</v>
      </c>
      <c r="C477" s="1">
        <v>41292</v>
      </c>
      <c r="D477" t="s">
        <v>184</v>
      </c>
      <c r="E477">
        <v>-95</v>
      </c>
      <c r="F477">
        <v>-15</v>
      </c>
      <c r="G477">
        <v>0</v>
      </c>
      <c r="H477">
        <v>0</v>
      </c>
      <c r="I477">
        <v>120</v>
      </c>
      <c r="J477">
        <v>-110</v>
      </c>
      <c r="K477" t="s">
        <v>1167</v>
      </c>
      <c r="L477" s="1">
        <v>41148</v>
      </c>
      <c r="M477" t="s">
        <v>1168</v>
      </c>
      <c r="N477" t="s">
        <v>36</v>
      </c>
      <c r="O477" t="s">
        <v>37</v>
      </c>
      <c r="P477" t="s">
        <v>321</v>
      </c>
      <c r="Q477" t="s">
        <v>39</v>
      </c>
      <c r="R477" t="s">
        <v>40</v>
      </c>
      <c r="S477">
        <v>0</v>
      </c>
      <c r="U477" t="s">
        <v>41</v>
      </c>
      <c r="V477" t="s">
        <v>42</v>
      </c>
      <c r="W477" t="s">
        <v>1013</v>
      </c>
      <c r="X477" t="s">
        <v>43</v>
      </c>
      <c r="Y477" t="b">
        <v>0</v>
      </c>
      <c r="Z477" t="b">
        <v>0</v>
      </c>
      <c r="AA477" t="b">
        <v>0</v>
      </c>
      <c r="AC477" s="1"/>
      <c r="AF477">
        <v>0</v>
      </c>
      <c r="AG477">
        <v>45</v>
      </c>
      <c r="AH477">
        <v>165</v>
      </c>
      <c r="AI477" s="2">
        <f>Table__192.168.3.138DYLAgingReport[[#This Row],[NetAmount]]-Table__192.168.3.138DYLAgingReport[[#This Row],[Paid]]</f>
        <v>-110</v>
      </c>
    </row>
    <row r="478" spans="1:35">
      <c r="A478" t="s">
        <v>70</v>
      </c>
      <c r="B478" s="1">
        <v>41268</v>
      </c>
      <c r="C478" s="1">
        <v>41313</v>
      </c>
      <c r="D478" t="s">
        <v>35</v>
      </c>
      <c r="E478">
        <v>-10750</v>
      </c>
      <c r="F478">
        <v>-1720</v>
      </c>
      <c r="G478">
        <v>0</v>
      </c>
      <c r="H478">
        <v>0</v>
      </c>
      <c r="I478">
        <v>25</v>
      </c>
      <c r="J478">
        <v>-12470</v>
      </c>
      <c r="K478" t="s">
        <v>71</v>
      </c>
      <c r="L478" s="1">
        <v>41243</v>
      </c>
      <c r="N478" t="s">
        <v>36</v>
      </c>
      <c r="O478" t="s">
        <v>37</v>
      </c>
      <c r="P478" t="s">
        <v>38</v>
      </c>
      <c r="Q478" t="s">
        <v>39</v>
      </c>
      <c r="R478" t="s">
        <v>40</v>
      </c>
      <c r="S478">
        <v>0</v>
      </c>
      <c r="U478" t="s">
        <v>41</v>
      </c>
      <c r="V478" t="s">
        <v>42</v>
      </c>
      <c r="X478" t="s">
        <v>43</v>
      </c>
      <c r="Y478" t="b">
        <v>0</v>
      </c>
      <c r="Z478" t="b">
        <v>0</v>
      </c>
      <c r="AC478" s="1"/>
      <c r="AF478">
        <v>0</v>
      </c>
      <c r="AG478">
        <v>45</v>
      </c>
      <c r="AH478">
        <v>70</v>
      </c>
      <c r="AI478" s="2">
        <f>Table__192.168.3.138DYLAgingReport[[#This Row],[NetAmount]]-Table__192.168.3.138DYLAgingReport[[#This Row],[Paid]]</f>
        <v>-12470</v>
      </c>
    </row>
    <row r="479" spans="1:35">
      <c r="A479" t="s">
        <v>1169</v>
      </c>
      <c r="B479" s="1">
        <v>41247</v>
      </c>
      <c r="C479" s="1">
        <v>41292</v>
      </c>
      <c r="D479" t="s">
        <v>185</v>
      </c>
      <c r="E479">
        <v>-207</v>
      </c>
      <c r="F479">
        <v>-33</v>
      </c>
      <c r="G479">
        <v>0</v>
      </c>
      <c r="H479">
        <v>0</v>
      </c>
      <c r="I479">
        <v>137</v>
      </c>
      <c r="J479">
        <v>-240</v>
      </c>
      <c r="K479" t="s">
        <v>1170</v>
      </c>
      <c r="L479" s="1">
        <v>41131</v>
      </c>
      <c r="N479" t="s">
        <v>36</v>
      </c>
      <c r="O479" t="s">
        <v>37</v>
      </c>
      <c r="P479" t="s">
        <v>322</v>
      </c>
      <c r="Q479" t="s">
        <v>39</v>
      </c>
      <c r="R479" t="s">
        <v>40</v>
      </c>
      <c r="S479">
        <v>0</v>
      </c>
      <c r="U479" t="s">
        <v>41</v>
      </c>
      <c r="V479" t="s">
        <v>42</v>
      </c>
      <c r="X479" t="s">
        <v>43</v>
      </c>
      <c r="Y479" t="b">
        <v>0</v>
      </c>
      <c r="Z479" t="b">
        <v>0</v>
      </c>
      <c r="AC479" s="1"/>
      <c r="AF479">
        <v>0</v>
      </c>
      <c r="AG479">
        <v>45</v>
      </c>
      <c r="AH479">
        <v>182</v>
      </c>
      <c r="AI479" s="2">
        <f>Table__192.168.3.138DYLAgingReport[[#This Row],[NetAmount]]-Table__192.168.3.138DYLAgingReport[[#This Row],[Paid]]</f>
        <v>-240</v>
      </c>
    </row>
    <row r="480" spans="1:35">
      <c r="A480" t="s">
        <v>1171</v>
      </c>
      <c r="B480" s="1">
        <v>41274</v>
      </c>
      <c r="C480" s="1">
        <v>41319</v>
      </c>
      <c r="D480" t="s">
        <v>187</v>
      </c>
      <c r="E480">
        <v>-1636</v>
      </c>
      <c r="F480">
        <v>0</v>
      </c>
      <c r="G480">
        <v>0</v>
      </c>
      <c r="H480">
        <v>0</v>
      </c>
      <c r="I480">
        <v>201</v>
      </c>
      <c r="J480">
        <v>-1636</v>
      </c>
      <c r="L480" s="1">
        <v>41067</v>
      </c>
      <c r="N480" t="s">
        <v>36</v>
      </c>
      <c r="O480" t="s">
        <v>37</v>
      </c>
      <c r="P480" t="s">
        <v>324</v>
      </c>
      <c r="Q480" t="s">
        <v>39</v>
      </c>
      <c r="R480" t="s">
        <v>40</v>
      </c>
      <c r="S480">
        <v>0</v>
      </c>
      <c r="U480" t="s">
        <v>41</v>
      </c>
      <c r="V480" t="s">
        <v>42</v>
      </c>
      <c r="X480" t="s">
        <v>43</v>
      </c>
      <c r="Y480" t="b">
        <v>0</v>
      </c>
      <c r="Z480" t="b">
        <v>0</v>
      </c>
      <c r="AC480" s="1"/>
      <c r="AF480">
        <v>0</v>
      </c>
      <c r="AG480">
        <v>45</v>
      </c>
      <c r="AH480">
        <v>246</v>
      </c>
      <c r="AI480" s="2">
        <f>Table__192.168.3.138DYLAgingReport[[#This Row],[NetAmount]]-Table__192.168.3.138DYLAgingReport[[#This Row],[Paid]]</f>
        <v>-1636</v>
      </c>
    </row>
    <row r="481" spans="1:35">
      <c r="A481" t="s">
        <v>1172</v>
      </c>
      <c r="B481" s="1">
        <v>41263</v>
      </c>
      <c r="C481" s="1">
        <v>41308</v>
      </c>
      <c r="D481" t="s">
        <v>191</v>
      </c>
      <c r="E481">
        <v>-838</v>
      </c>
      <c r="F481">
        <v>-134</v>
      </c>
      <c r="G481">
        <v>0</v>
      </c>
      <c r="H481">
        <v>0</v>
      </c>
      <c r="I481">
        <v>33</v>
      </c>
      <c r="J481">
        <v>-972</v>
      </c>
      <c r="K481" t="s">
        <v>1173</v>
      </c>
      <c r="L481" s="1">
        <v>41235</v>
      </c>
      <c r="N481" t="s">
        <v>36</v>
      </c>
      <c r="O481" t="s">
        <v>37</v>
      </c>
      <c r="P481" t="s">
        <v>328</v>
      </c>
      <c r="Q481" t="s">
        <v>39</v>
      </c>
      <c r="R481" t="s">
        <v>40</v>
      </c>
      <c r="S481">
        <v>0</v>
      </c>
      <c r="U481" t="s">
        <v>41</v>
      </c>
      <c r="V481" t="s">
        <v>42</v>
      </c>
      <c r="X481" t="s">
        <v>43</v>
      </c>
      <c r="Y481" t="b">
        <v>0</v>
      </c>
      <c r="Z481" t="b">
        <v>0</v>
      </c>
      <c r="AC481" s="1"/>
      <c r="AF481">
        <v>0</v>
      </c>
      <c r="AG481">
        <v>45</v>
      </c>
      <c r="AH481">
        <v>78</v>
      </c>
      <c r="AI481" s="2">
        <f>Table__192.168.3.138DYLAgingReport[[#This Row],[NetAmount]]-Table__192.168.3.138DYLAgingReport[[#This Row],[Paid]]</f>
        <v>-972</v>
      </c>
    </row>
    <row r="482" spans="1:35">
      <c r="A482" t="s">
        <v>1174</v>
      </c>
      <c r="B482" s="1">
        <v>41261</v>
      </c>
      <c r="C482" s="1">
        <v>41306</v>
      </c>
      <c r="D482" t="s">
        <v>193</v>
      </c>
      <c r="E482">
        <v>-1142</v>
      </c>
      <c r="F482">
        <v>-183</v>
      </c>
      <c r="G482">
        <v>0</v>
      </c>
      <c r="H482">
        <v>0</v>
      </c>
      <c r="I482">
        <v>148</v>
      </c>
      <c r="J482">
        <v>-1325</v>
      </c>
      <c r="K482" t="s">
        <v>1175</v>
      </c>
      <c r="L482" s="1">
        <v>41120</v>
      </c>
      <c r="N482" t="s">
        <v>36</v>
      </c>
      <c r="O482" t="s">
        <v>37</v>
      </c>
      <c r="P482" t="s">
        <v>330</v>
      </c>
      <c r="Q482" t="s">
        <v>39</v>
      </c>
      <c r="R482" t="s">
        <v>40</v>
      </c>
      <c r="S482">
        <v>0</v>
      </c>
      <c r="U482" t="s">
        <v>41</v>
      </c>
      <c r="V482" t="s">
        <v>42</v>
      </c>
      <c r="X482" t="s">
        <v>43</v>
      </c>
      <c r="Y482" t="b">
        <v>0</v>
      </c>
      <c r="Z482" t="b">
        <v>0</v>
      </c>
      <c r="AC482" s="1"/>
      <c r="AF482">
        <v>0</v>
      </c>
      <c r="AG482">
        <v>45</v>
      </c>
      <c r="AH482">
        <v>193</v>
      </c>
      <c r="AI482" s="2">
        <f>Table__192.168.3.138DYLAgingReport[[#This Row],[NetAmount]]-Table__192.168.3.138DYLAgingReport[[#This Row],[Paid]]</f>
        <v>-1325</v>
      </c>
    </row>
    <row r="483" spans="1:35">
      <c r="A483" t="s">
        <v>1176</v>
      </c>
      <c r="B483" s="1">
        <v>41248</v>
      </c>
      <c r="C483" s="1">
        <v>41293</v>
      </c>
      <c r="D483" t="s">
        <v>201</v>
      </c>
      <c r="E483">
        <v>-112</v>
      </c>
      <c r="F483">
        <v>-18</v>
      </c>
      <c r="G483">
        <v>0</v>
      </c>
      <c r="H483">
        <v>0</v>
      </c>
      <c r="I483">
        <v>134</v>
      </c>
      <c r="J483">
        <v>-130</v>
      </c>
      <c r="K483" t="s">
        <v>1177</v>
      </c>
      <c r="L483" s="1">
        <v>41134</v>
      </c>
      <c r="N483" t="s">
        <v>36</v>
      </c>
      <c r="O483" t="s">
        <v>37</v>
      </c>
      <c r="P483" t="s">
        <v>338</v>
      </c>
      <c r="Q483" t="s">
        <v>39</v>
      </c>
      <c r="R483" t="s">
        <v>40</v>
      </c>
      <c r="S483">
        <v>0</v>
      </c>
      <c r="U483" t="s">
        <v>41</v>
      </c>
      <c r="V483" t="s">
        <v>42</v>
      </c>
      <c r="X483" t="s">
        <v>43</v>
      </c>
      <c r="Y483" t="b">
        <v>0</v>
      </c>
      <c r="Z483" t="b">
        <v>0</v>
      </c>
      <c r="AC483" s="1"/>
      <c r="AF483">
        <v>0</v>
      </c>
      <c r="AG483">
        <v>45</v>
      </c>
      <c r="AH483">
        <v>179</v>
      </c>
      <c r="AI483" s="2">
        <f>Table__192.168.3.138DYLAgingReport[[#This Row],[NetAmount]]-Table__192.168.3.138DYLAgingReport[[#This Row],[Paid]]</f>
        <v>-130</v>
      </c>
    </row>
    <row r="484" spans="1:35">
      <c r="A484" t="s">
        <v>1178</v>
      </c>
      <c r="B484" s="1">
        <v>41247</v>
      </c>
      <c r="C484" s="1">
        <v>41292</v>
      </c>
      <c r="D484" t="s">
        <v>203</v>
      </c>
      <c r="E484">
        <v>-223.5</v>
      </c>
      <c r="F484">
        <v>-36</v>
      </c>
      <c r="G484">
        <v>0</v>
      </c>
      <c r="H484">
        <v>0</v>
      </c>
      <c r="I484">
        <v>6</v>
      </c>
      <c r="J484">
        <v>-260</v>
      </c>
      <c r="K484" t="s">
        <v>1179</v>
      </c>
      <c r="L484" s="1">
        <v>41262</v>
      </c>
      <c r="N484" t="s">
        <v>36</v>
      </c>
      <c r="O484" t="s">
        <v>37</v>
      </c>
      <c r="P484" t="s">
        <v>340</v>
      </c>
      <c r="Q484" t="s">
        <v>39</v>
      </c>
      <c r="R484" t="s">
        <v>40</v>
      </c>
      <c r="S484">
        <v>0</v>
      </c>
      <c r="U484" t="s">
        <v>41</v>
      </c>
      <c r="V484" t="s">
        <v>42</v>
      </c>
      <c r="X484" t="s">
        <v>43</v>
      </c>
      <c r="Y484" t="b">
        <v>0</v>
      </c>
      <c r="Z484" t="b">
        <v>0</v>
      </c>
      <c r="AC484" s="1"/>
      <c r="AF484">
        <v>0</v>
      </c>
      <c r="AG484">
        <v>45</v>
      </c>
      <c r="AH484">
        <v>51</v>
      </c>
      <c r="AI484" s="2">
        <f>Table__192.168.3.138DYLAgingReport[[#This Row],[NetAmount]]-Table__192.168.3.138DYLAgingReport[[#This Row],[Paid]]</f>
        <v>-260</v>
      </c>
    </row>
    <row r="485" spans="1:35">
      <c r="A485" t="s">
        <v>1180</v>
      </c>
      <c r="B485" s="1">
        <v>41247</v>
      </c>
      <c r="C485" s="1">
        <v>41292</v>
      </c>
      <c r="D485" t="s">
        <v>205</v>
      </c>
      <c r="E485">
        <v>-305</v>
      </c>
      <c r="F485">
        <v>-49</v>
      </c>
      <c r="G485">
        <v>0</v>
      </c>
      <c r="H485">
        <v>0</v>
      </c>
      <c r="I485">
        <v>138</v>
      </c>
      <c r="J485">
        <v>-354</v>
      </c>
      <c r="K485" t="s">
        <v>1181</v>
      </c>
      <c r="L485" s="1">
        <v>41130</v>
      </c>
      <c r="N485" t="s">
        <v>36</v>
      </c>
      <c r="O485" t="s">
        <v>37</v>
      </c>
      <c r="P485" t="s">
        <v>342</v>
      </c>
      <c r="Q485" t="s">
        <v>39</v>
      </c>
      <c r="R485" t="s">
        <v>40</v>
      </c>
      <c r="S485">
        <v>0</v>
      </c>
      <c r="U485" t="s">
        <v>41</v>
      </c>
      <c r="V485" t="s">
        <v>42</v>
      </c>
      <c r="X485" t="s">
        <v>43</v>
      </c>
      <c r="Y485" t="b">
        <v>0</v>
      </c>
      <c r="Z485" t="b">
        <v>0</v>
      </c>
      <c r="AC485" s="1"/>
      <c r="AF485">
        <v>0</v>
      </c>
      <c r="AG485">
        <v>45</v>
      </c>
      <c r="AH485">
        <v>183</v>
      </c>
      <c r="AI485" s="2">
        <f>Table__192.168.3.138DYLAgingReport[[#This Row],[NetAmount]]-Table__192.168.3.138DYLAgingReport[[#This Row],[Paid]]</f>
        <v>-354</v>
      </c>
    </row>
    <row r="486" spans="1:35">
      <c r="A486" t="s">
        <v>1182</v>
      </c>
      <c r="B486" s="1">
        <v>41274</v>
      </c>
      <c r="C486" s="1">
        <v>41319</v>
      </c>
      <c r="D486" t="s">
        <v>206</v>
      </c>
      <c r="E486">
        <v>-2210</v>
      </c>
      <c r="F486">
        <v>-354</v>
      </c>
      <c r="G486">
        <v>0</v>
      </c>
      <c r="H486">
        <v>0</v>
      </c>
      <c r="I486">
        <v>119</v>
      </c>
      <c r="J486">
        <v>-2564</v>
      </c>
      <c r="K486" t="s">
        <v>891</v>
      </c>
      <c r="L486" s="1">
        <v>41149</v>
      </c>
      <c r="N486" t="s">
        <v>36</v>
      </c>
      <c r="O486" t="s">
        <v>37</v>
      </c>
      <c r="P486" t="s">
        <v>343</v>
      </c>
      <c r="Q486" t="s">
        <v>39</v>
      </c>
      <c r="R486" t="s">
        <v>40</v>
      </c>
      <c r="S486">
        <v>0</v>
      </c>
      <c r="U486" t="s">
        <v>41</v>
      </c>
      <c r="V486" t="s">
        <v>42</v>
      </c>
      <c r="X486" t="s">
        <v>43</v>
      </c>
      <c r="Y486" t="b">
        <v>0</v>
      </c>
      <c r="Z486" t="b">
        <v>0</v>
      </c>
      <c r="AC486" s="1"/>
      <c r="AF486">
        <v>0</v>
      </c>
      <c r="AG486">
        <v>45</v>
      </c>
      <c r="AH486">
        <v>164</v>
      </c>
      <c r="AI486" s="2">
        <f>Table__192.168.3.138DYLAgingReport[[#This Row],[NetAmount]]-Table__192.168.3.138DYLAgingReport[[#This Row],[Paid]]</f>
        <v>-2564</v>
      </c>
    </row>
    <row r="487" spans="1:35">
      <c r="A487" t="s">
        <v>1183</v>
      </c>
      <c r="B487" s="1">
        <v>41268</v>
      </c>
      <c r="C487" s="1">
        <v>41313</v>
      </c>
      <c r="D487" t="s">
        <v>207</v>
      </c>
      <c r="E487">
        <v>-689</v>
      </c>
      <c r="F487">
        <v>-110</v>
      </c>
      <c r="G487">
        <v>0</v>
      </c>
      <c r="H487">
        <v>0</v>
      </c>
      <c r="I487">
        <v>168</v>
      </c>
      <c r="J487">
        <v>-799</v>
      </c>
      <c r="K487" t="s">
        <v>1021</v>
      </c>
      <c r="L487" s="1">
        <v>41100</v>
      </c>
      <c r="N487" t="s">
        <v>36</v>
      </c>
      <c r="O487" t="s">
        <v>37</v>
      </c>
      <c r="P487" t="s">
        <v>344</v>
      </c>
      <c r="Q487" t="s">
        <v>39</v>
      </c>
      <c r="R487" t="s">
        <v>40</v>
      </c>
      <c r="S487">
        <v>0</v>
      </c>
      <c r="U487" t="s">
        <v>41</v>
      </c>
      <c r="V487" t="s">
        <v>42</v>
      </c>
      <c r="X487" t="s">
        <v>43</v>
      </c>
      <c r="Y487" t="b">
        <v>0</v>
      </c>
      <c r="Z487" t="b">
        <v>0</v>
      </c>
      <c r="AC487" s="1"/>
      <c r="AF487">
        <v>0</v>
      </c>
      <c r="AG487">
        <v>45</v>
      </c>
      <c r="AH487">
        <v>213</v>
      </c>
      <c r="AI487" s="2">
        <f>Table__192.168.3.138DYLAgingReport[[#This Row],[NetAmount]]-Table__192.168.3.138DYLAgingReport[[#This Row],[Paid]]</f>
        <v>-799</v>
      </c>
    </row>
    <row r="488" spans="1:35">
      <c r="A488" t="s">
        <v>1184</v>
      </c>
      <c r="B488" s="1">
        <v>41274</v>
      </c>
      <c r="C488" s="1">
        <v>41319</v>
      </c>
      <c r="D488" t="s">
        <v>208</v>
      </c>
      <c r="E488">
        <v>-1262</v>
      </c>
      <c r="F488">
        <v>-202</v>
      </c>
      <c r="G488">
        <v>0</v>
      </c>
      <c r="H488">
        <v>0</v>
      </c>
      <c r="I488">
        <v>33</v>
      </c>
      <c r="J488">
        <v>-1464</v>
      </c>
      <c r="K488" t="s">
        <v>1185</v>
      </c>
      <c r="L488" s="1">
        <v>41235</v>
      </c>
      <c r="N488" t="s">
        <v>36</v>
      </c>
      <c r="O488" t="s">
        <v>37</v>
      </c>
      <c r="P488" t="s">
        <v>345</v>
      </c>
      <c r="Q488" t="s">
        <v>39</v>
      </c>
      <c r="R488" t="s">
        <v>40</v>
      </c>
      <c r="S488">
        <v>0</v>
      </c>
      <c r="U488" t="s">
        <v>41</v>
      </c>
      <c r="V488" t="s">
        <v>42</v>
      </c>
      <c r="X488" t="s">
        <v>43</v>
      </c>
      <c r="Y488" t="b">
        <v>0</v>
      </c>
      <c r="Z488" t="b">
        <v>0</v>
      </c>
      <c r="AB488" t="s">
        <v>1186</v>
      </c>
      <c r="AC488" s="1"/>
      <c r="AF488">
        <v>0</v>
      </c>
      <c r="AG488">
        <v>45</v>
      </c>
      <c r="AH488">
        <v>78</v>
      </c>
      <c r="AI488" s="2">
        <f>Table__192.168.3.138DYLAgingReport[[#This Row],[NetAmount]]-Table__192.168.3.138DYLAgingReport[[#This Row],[Paid]]</f>
        <v>-1464</v>
      </c>
    </row>
    <row r="489" spans="1:35">
      <c r="A489" t="s">
        <v>1187</v>
      </c>
      <c r="B489" s="1">
        <v>41248</v>
      </c>
      <c r="C489" s="1">
        <v>41278</v>
      </c>
      <c r="D489" t="s">
        <v>216</v>
      </c>
      <c r="E489">
        <v>-745</v>
      </c>
      <c r="F489">
        <v>-119</v>
      </c>
      <c r="G489">
        <v>0</v>
      </c>
      <c r="H489">
        <v>0</v>
      </c>
      <c r="I489">
        <v>62</v>
      </c>
      <c r="J489">
        <v>-864</v>
      </c>
      <c r="K489" t="s">
        <v>1188</v>
      </c>
      <c r="L489" s="1">
        <v>41221</v>
      </c>
      <c r="M489" t="s">
        <v>1189</v>
      </c>
      <c r="N489" t="s">
        <v>36</v>
      </c>
      <c r="O489" t="s">
        <v>37</v>
      </c>
      <c r="P489" t="s">
        <v>353</v>
      </c>
      <c r="Q489" t="s">
        <v>39</v>
      </c>
      <c r="R489" t="s">
        <v>40</v>
      </c>
      <c r="S489">
        <v>0</v>
      </c>
      <c r="U489" t="s">
        <v>41</v>
      </c>
      <c r="V489" t="s">
        <v>42</v>
      </c>
      <c r="W489" t="s">
        <v>766</v>
      </c>
      <c r="X489" t="s">
        <v>43</v>
      </c>
      <c r="Y489" t="b">
        <v>0</v>
      </c>
      <c r="Z489" t="b">
        <v>0</v>
      </c>
      <c r="AA489" t="b">
        <v>0</v>
      </c>
      <c r="AC489" s="1"/>
      <c r="AF489">
        <v>0</v>
      </c>
      <c r="AG489">
        <v>30</v>
      </c>
      <c r="AH489">
        <v>92</v>
      </c>
      <c r="AI489" s="2">
        <f>Table__192.168.3.138DYLAgingReport[[#This Row],[NetAmount]]-Table__192.168.3.138DYLAgingReport[[#This Row],[Paid]]</f>
        <v>-864</v>
      </c>
    </row>
    <row r="490" spans="1:35">
      <c r="A490" t="s">
        <v>1190</v>
      </c>
      <c r="B490" s="1">
        <v>41262</v>
      </c>
      <c r="C490" s="1">
        <v>41307</v>
      </c>
      <c r="D490" t="s">
        <v>217</v>
      </c>
      <c r="E490">
        <v>-2506</v>
      </c>
      <c r="F490">
        <v>-401</v>
      </c>
      <c r="G490">
        <v>0</v>
      </c>
      <c r="H490">
        <v>0</v>
      </c>
      <c r="I490">
        <v>48</v>
      </c>
      <c r="J490">
        <v>-2907</v>
      </c>
      <c r="K490" t="s">
        <v>1191</v>
      </c>
      <c r="L490" s="1">
        <v>41220</v>
      </c>
      <c r="N490" t="s">
        <v>36</v>
      </c>
      <c r="O490" t="s">
        <v>37</v>
      </c>
      <c r="P490" t="s">
        <v>354</v>
      </c>
      <c r="Q490" t="s">
        <v>39</v>
      </c>
      <c r="R490" t="s">
        <v>40</v>
      </c>
      <c r="S490">
        <v>0</v>
      </c>
      <c r="U490" t="s">
        <v>41</v>
      </c>
      <c r="V490" t="s">
        <v>42</v>
      </c>
      <c r="X490" t="s">
        <v>43</v>
      </c>
      <c r="Y490" t="b">
        <v>0</v>
      </c>
      <c r="Z490" t="b">
        <v>0</v>
      </c>
      <c r="AC490" s="1"/>
      <c r="AF490">
        <v>0</v>
      </c>
      <c r="AG490">
        <v>45</v>
      </c>
      <c r="AH490">
        <v>93</v>
      </c>
      <c r="AI490" s="2">
        <f>Table__192.168.3.138DYLAgingReport[[#This Row],[NetAmount]]-Table__192.168.3.138DYLAgingReport[[#This Row],[Paid]]</f>
        <v>-2907</v>
      </c>
    </row>
    <row r="491" spans="1:35">
      <c r="A491" t="s">
        <v>1192</v>
      </c>
      <c r="B491" s="1">
        <v>41264</v>
      </c>
      <c r="C491" s="1">
        <v>41309</v>
      </c>
      <c r="D491" t="s">
        <v>220</v>
      </c>
      <c r="E491">
        <v>-15446</v>
      </c>
      <c r="F491">
        <v>-2471</v>
      </c>
      <c r="G491">
        <v>0</v>
      </c>
      <c r="H491">
        <v>0</v>
      </c>
      <c r="I491">
        <v>71</v>
      </c>
      <c r="J491">
        <v>-17917</v>
      </c>
      <c r="K491" t="s">
        <v>1193</v>
      </c>
      <c r="L491" s="1">
        <v>41197</v>
      </c>
      <c r="N491" t="s">
        <v>36</v>
      </c>
      <c r="O491" t="s">
        <v>37</v>
      </c>
      <c r="P491" t="s">
        <v>357</v>
      </c>
      <c r="Q491" t="s">
        <v>39</v>
      </c>
      <c r="R491" t="s">
        <v>40</v>
      </c>
      <c r="S491">
        <v>0</v>
      </c>
      <c r="U491" t="s">
        <v>41</v>
      </c>
      <c r="V491" t="s">
        <v>42</v>
      </c>
      <c r="X491" t="s">
        <v>43</v>
      </c>
      <c r="Y491" t="b">
        <v>0</v>
      </c>
      <c r="Z491" t="b">
        <v>0</v>
      </c>
      <c r="AC491" s="1"/>
      <c r="AF491">
        <v>0</v>
      </c>
      <c r="AG491">
        <v>45</v>
      </c>
      <c r="AH491">
        <v>116</v>
      </c>
      <c r="AI491" s="2">
        <f>Table__192.168.3.138DYLAgingReport[[#This Row],[NetAmount]]-Table__192.168.3.138DYLAgingReport[[#This Row],[Paid]]</f>
        <v>-17917</v>
      </c>
    </row>
    <row r="492" spans="1:35">
      <c r="A492" t="s">
        <v>1194</v>
      </c>
      <c r="B492" s="1">
        <v>41274</v>
      </c>
      <c r="C492" s="1">
        <v>41319</v>
      </c>
      <c r="D492" t="s">
        <v>224</v>
      </c>
      <c r="E492">
        <v>-252</v>
      </c>
      <c r="F492">
        <v>-40</v>
      </c>
      <c r="G492">
        <v>0</v>
      </c>
      <c r="H492">
        <v>0</v>
      </c>
      <c r="I492">
        <v>33</v>
      </c>
      <c r="J492">
        <v>-292</v>
      </c>
      <c r="K492" t="s">
        <v>1195</v>
      </c>
      <c r="L492" s="1">
        <v>41235</v>
      </c>
      <c r="N492" t="s">
        <v>36</v>
      </c>
      <c r="O492" t="s">
        <v>37</v>
      </c>
      <c r="P492" t="s">
        <v>361</v>
      </c>
      <c r="Q492" t="s">
        <v>39</v>
      </c>
      <c r="R492" t="s">
        <v>40</v>
      </c>
      <c r="S492">
        <v>0</v>
      </c>
      <c r="U492" t="s">
        <v>41</v>
      </c>
      <c r="V492" t="s">
        <v>42</v>
      </c>
      <c r="X492" t="s">
        <v>43</v>
      </c>
      <c r="Y492" t="b">
        <v>0</v>
      </c>
      <c r="Z492" t="b">
        <v>0</v>
      </c>
      <c r="AC492" s="1"/>
      <c r="AF492">
        <v>0</v>
      </c>
      <c r="AG492">
        <v>45</v>
      </c>
      <c r="AH492">
        <v>78</v>
      </c>
      <c r="AI492" s="2">
        <f>Table__192.168.3.138DYLAgingReport[[#This Row],[NetAmount]]-Table__192.168.3.138DYLAgingReport[[#This Row],[Paid]]</f>
        <v>-292</v>
      </c>
    </row>
    <row r="493" spans="1:35">
      <c r="A493" t="s">
        <v>1196</v>
      </c>
      <c r="B493" s="1">
        <v>41274</v>
      </c>
      <c r="C493" s="1">
        <v>41319</v>
      </c>
      <c r="D493" t="s">
        <v>225</v>
      </c>
      <c r="E493">
        <v>-7260</v>
      </c>
      <c r="F493">
        <v>0</v>
      </c>
      <c r="G493">
        <v>0</v>
      </c>
      <c r="H493">
        <v>0</v>
      </c>
      <c r="I493">
        <v>190</v>
      </c>
      <c r="J493">
        <v>-7260</v>
      </c>
      <c r="L493" s="1">
        <v>41078</v>
      </c>
      <c r="N493" t="s">
        <v>36</v>
      </c>
      <c r="O493" t="s">
        <v>37</v>
      </c>
      <c r="P493" t="s">
        <v>362</v>
      </c>
      <c r="Q493" t="s">
        <v>39</v>
      </c>
      <c r="R493" t="s">
        <v>40</v>
      </c>
      <c r="S493">
        <v>0</v>
      </c>
      <c r="U493" t="s">
        <v>41</v>
      </c>
      <c r="V493" t="s">
        <v>42</v>
      </c>
      <c r="X493" t="s">
        <v>43</v>
      </c>
      <c r="Y493" t="b">
        <v>0</v>
      </c>
      <c r="Z493" t="b">
        <v>0</v>
      </c>
      <c r="AC493" s="1"/>
      <c r="AF493">
        <v>0</v>
      </c>
      <c r="AG493">
        <v>45</v>
      </c>
      <c r="AH493">
        <v>235</v>
      </c>
      <c r="AI493" s="2">
        <f>Table__192.168.3.138DYLAgingReport[[#This Row],[NetAmount]]-Table__192.168.3.138DYLAgingReport[[#This Row],[Paid]]</f>
        <v>-7260</v>
      </c>
    </row>
    <row r="494" spans="1:35">
      <c r="A494" t="s">
        <v>1197</v>
      </c>
      <c r="B494" s="1">
        <v>41274</v>
      </c>
      <c r="C494" s="1">
        <v>41319</v>
      </c>
      <c r="D494" t="s">
        <v>227</v>
      </c>
      <c r="E494">
        <v>-26614</v>
      </c>
      <c r="F494">
        <v>-4258</v>
      </c>
      <c r="G494">
        <v>0</v>
      </c>
      <c r="H494">
        <v>0</v>
      </c>
      <c r="I494">
        <v>88</v>
      </c>
      <c r="J494">
        <v>-30872</v>
      </c>
      <c r="K494" t="s">
        <v>1198</v>
      </c>
      <c r="L494" s="1">
        <v>41180</v>
      </c>
      <c r="N494" t="s">
        <v>36</v>
      </c>
      <c r="O494" t="s">
        <v>37</v>
      </c>
      <c r="P494" t="s">
        <v>364</v>
      </c>
      <c r="Q494" t="s">
        <v>39</v>
      </c>
      <c r="R494" t="s">
        <v>40</v>
      </c>
      <c r="S494">
        <v>0</v>
      </c>
      <c r="U494" t="s">
        <v>41</v>
      </c>
      <c r="V494" t="s">
        <v>42</v>
      </c>
      <c r="X494" t="s">
        <v>43</v>
      </c>
      <c r="Y494" t="b">
        <v>0</v>
      </c>
      <c r="Z494" t="b">
        <v>0</v>
      </c>
      <c r="AC494" s="1"/>
      <c r="AF494">
        <v>0</v>
      </c>
      <c r="AG494">
        <v>45</v>
      </c>
      <c r="AH494">
        <v>133</v>
      </c>
      <c r="AI494" s="2">
        <f>Table__192.168.3.138DYLAgingReport[[#This Row],[NetAmount]]-Table__192.168.3.138DYLAgingReport[[#This Row],[Paid]]</f>
        <v>-30872</v>
      </c>
    </row>
    <row r="495" spans="1:35">
      <c r="A495" t="s">
        <v>1199</v>
      </c>
      <c r="B495" s="1">
        <v>41274</v>
      </c>
      <c r="C495" s="1">
        <v>41319</v>
      </c>
      <c r="D495" t="s">
        <v>231</v>
      </c>
      <c r="E495">
        <v>-69134</v>
      </c>
      <c r="F495">
        <v>-11061</v>
      </c>
      <c r="G495">
        <v>0</v>
      </c>
      <c r="H495">
        <v>0</v>
      </c>
      <c r="I495">
        <v>63</v>
      </c>
      <c r="J495">
        <v>-80195</v>
      </c>
      <c r="K495" t="s">
        <v>1200</v>
      </c>
      <c r="L495" s="1">
        <v>41205</v>
      </c>
      <c r="N495" t="s">
        <v>36</v>
      </c>
      <c r="O495" t="s">
        <v>37</v>
      </c>
      <c r="P495" t="s">
        <v>368</v>
      </c>
      <c r="Q495" t="s">
        <v>39</v>
      </c>
      <c r="R495" t="s">
        <v>40</v>
      </c>
      <c r="S495">
        <v>0</v>
      </c>
      <c r="U495" t="s">
        <v>41</v>
      </c>
      <c r="V495" t="s">
        <v>42</v>
      </c>
      <c r="X495" t="s">
        <v>43</v>
      </c>
      <c r="Y495" t="b">
        <v>0</v>
      </c>
      <c r="Z495" t="b">
        <v>0</v>
      </c>
      <c r="AC495" s="1"/>
      <c r="AF495">
        <v>0</v>
      </c>
      <c r="AG495">
        <v>45</v>
      </c>
      <c r="AH495">
        <v>108</v>
      </c>
      <c r="AI495" s="2">
        <f>Table__192.168.3.138DYLAgingReport[[#This Row],[NetAmount]]-Table__192.168.3.138DYLAgingReport[[#This Row],[Paid]]</f>
        <v>-80195</v>
      </c>
    </row>
    <row r="496" spans="1:35">
      <c r="A496" t="s">
        <v>1201</v>
      </c>
      <c r="B496" s="1">
        <v>41268</v>
      </c>
      <c r="C496" s="1">
        <v>41313</v>
      </c>
      <c r="D496" t="s">
        <v>232</v>
      </c>
      <c r="E496">
        <v>-247</v>
      </c>
      <c r="F496">
        <v>-40</v>
      </c>
      <c r="G496">
        <v>0</v>
      </c>
      <c r="H496">
        <v>0</v>
      </c>
      <c r="I496">
        <v>141</v>
      </c>
      <c r="J496">
        <v>-287</v>
      </c>
      <c r="K496" t="s">
        <v>1064</v>
      </c>
      <c r="L496" s="1">
        <v>41127</v>
      </c>
      <c r="M496" t="s">
        <v>5352</v>
      </c>
      <c r="N496" t="s">
        <v>36</v>
      </c>
      <c r="O496" t="s">
        <v>37</v>
      </c>
      <c r="P496" t="s">
        <v>369</v>
      </c>
      <c r="Q496" t="s">
        <v>39</v>
      </c>
      <c r="R496" t="s">
        <v>40</v>
      </c>
      <c r="S496">
        <v>0</v>
      </c>
      <c r="U496" t="s">
        <v>41</v>
      </c>
      <c r="V496" t="s">
        <v>42</v>
      </c>
      <c r="W496" t="s">
        <v>5343</v>
      </c>
      <c r="X496" t="s">
        <v>43</v>
      </c>
      <c r="Y496" t="b">
        <v>0</v>
      </c>
      <c r="Z496" t="b">
        <v>0</v>
      </c>
      <c r="AA496" t="b">
        <v>0</v>
      </c>
      <c r="AC496" s="1"/>
      <c r="AF496">
        <v>0</v>
      </c>
      <c r="AG496">
        <v>45</v>
      </c>
      <c r="AH496">
        <v>186</v>
      </c>
      <c r="AI496" s="2">
        <f>Table__192.168.3.138DYLAgingReport[[#This Row],[NetAmount]]-Table__192.168.3.138DYLAgingReport[[#This Row],[Paid]]</f>
        <v>-287</v>
      </c>
    </row>
    <row r="497" spans="1:35">
      <c r="A497" t="s">
        <v>1202</v>
      </c>
      <c r="B497" s="1">
        <v>41255</v>
      </c>
      <c r="C497" s="1">
        <v>41300</v>
      </c>
      <c r="D497" t="s">
        <v>236</v>
      </c>
      <c r="E497">
        <v>-1656</v>
      </c>
      <c r="F497">
        <v>0</v>
      </c>
      <c r="G497">
        <v>0</v>
      </c>
      <c r="H497">
        <v>0</v>
      </c>
      <c r="I497">
        <v>278</v>
      </c>
      <c r="J497">
        <v>-1656</v>
      </c>
      <c r="L497" s="1">
        <v>40990</v>
      </c>
      <c r="N497" t="s">
        <v>36</v>
      </c>
      <c r="O497" t="s">
        <v>37</v>
      </c>
      <c r="P497" t="s">
        <v>373</v>
      </c>
      <c r="Q497" t="s">
        <v>39</v>
      </c>
      <c r="R497" t="s">
        <v>40</v>
      </c>
      <c r="S497">
        <v>0</v>
      </c>
      <c r="U497" t="s">
        <v>41</v>
      </c>
      <c r="V497" t="s">
        <v>42</v>
      </c>
      <c r="X497" t="s">
        <v>43</v>
      </c>
      <c r="Y497" t="b">
        <v>0</v>
      </c>
      <c r="Z497" t="b">
        <v>0</v>
      </c>
      <c r="AC497" s="1"/>
      <c r="AF497">
        <v>0</v>
      </c>
      <c r="AG497">
        <v>45</v>
      </c>
      <c r="AH497">
        <v>323</v>
      </c>
      <c r="AI497" s="2">
        <f>Table__192.168.3.138DYLAgingReport[[#This Row],[NetAmount]]-Table__192.168.3.138DYLAgingReport[[#This Row],[Paid]]</f>
        <v>-1656</v>
      </c>
    </row>
    <row r="498" spans="1:35">
      <c r="A498" t="s">
        <v>1203</v>
      </c>
      <c r="B498" s="1">
        <v>41274</v>
      </c>
      <c r="C498" s="1">
        <v>41319</v>
      </c>
      <c r="D498" t="s">
        <v>238</v>
      </c>
      <c r="E498">
        <v>-9405</v>
      </c>
      <c r="F498">
        <v>-1505</v>
      </c>
      <c r="G498">
        <v>0</v>
      </c>
      <c r="H498">
        <v>0</v>
      </c>
      <c r="I498">
        <v>34</v>
      </c>
      <c r="J498">
        <v>-10910</v>
      </c>
      <c r="K498" t="s">
        <v>1204</v>
      </c>
      <c r="L498" s="1">
        <v>41234</v>
      </c>
      <c r="N498" t="s">
        <v>36</v>
      </c>
      <c r="O498" t="s">
        <v>37</v>
      </c>
      <c r="P498" t="s">
        <v>375</v>
      </c>
      <c r="Q498" t="s">
        <v>39</v>
      </c>
      <c r="R498" t="s">
        <v>40</v>
      </c>
      <c r="S498">
        <v>0</v>
      </c>
      <c r="U498" t="s">
        <v>41</v>
      </c>
      <c r="V498" t="s">
        <v>42</v>
      </c>
      <c r="X498" t="s">
        <v>43</v>
      </c>
      <c r="Y498" t="b">
        <v>0</v>
      </c>
      <c r="Z498" t="b">
        <v>0</v>
      </c>
      <c r="AC498" s="1"/>
      <c r="AF498">
        <v>0</v>
      </c>
      <c r="AG498">
        <v>45</v>
      </c>
      <c r="AH498">
        <v>79</v>
      </c>
      <c r="AI498" s="2">
        <f>Table__192.168.3.138DYLAgingReport[[#This Row],[NetAmount]]-Table__192.168.3.138DYLAgingReport[[#This Row],[Paid]]</f>
        <v>-10910</v>
      </c>
    </row>
    <row r="499" spans="1:35">
      <c r="A499" t="s">
        <v>1205</v>
      </c>
      <c r="B499" s="1">
        <v>41261</v>
      </c>
      <c r="C499" s="1">
        <v>41306</v>
      </c>
      <c r="D499" t="s">
        <v>239</v>
      </c>
      <c r="E499">
        <v>-59598</v>
      </c>
      <c r="F499">
        <v>-9536</v>
      </c>
      <c r="G499">
        <v>0</v>
      </c>
      <c r="H499">
        <v>0</v>
      </c>
      <c r="I499">
        <v>130</v>
      </c>
      <c r="J499">
        <v>-69134</v>
      </c>
      <c r="K499" t="s">
        <v>1206</v>
      </c>
      <c r="L499" s="1">
        <v>41138</v>
      </c>
      <c r="N499" t="s">
        <v>36</v>
      </c>
      <c r="O499" t="s">
        <v>37</v>
      </c>
      <c r="P499" t="s">
        <v>376</v>
      </c>
      <c r="Q499" t="s">
        <v>39</v>
      </c>
      <c r="R499" t="s">
        <v>40</v>
      </c>
      <c r="S499">
        <v>0</v>
      </c>
      <c r="U499" t="s">
        <v>41</v>
      </c>
      <c r="V499" t="s">
        <v>42</v>
      </c>
      <c r="X499" t="s">
        <v>43</v>
      </c>
      <c r="Y499" t="b">
        <v>0</v>
      </c>
      <c r="Z499" t="b">
        <v>0</v>
      </c>
      <c r="AC499" s="1"/>
      <c r="AF499">
        <v>0</v>
      </c>
      <c r="AG499">
        <v>45</v>
      </c>
      <c r="AH499">
        <v>175</v>
      </c>
      <c r="AI499" s="2">
        <f>Table__192.168.3.138DYLAgingReport[[#This Row],[NetAmount]]-Table__192.168.3.138DYLAgingReport[[#This Row],[Paid]]</f>
        <v>-69134</v>
      </c>
    </row>
    <row r="500" spans="1:35">
      <c r="A500" t="s">
        <v>1207</v>
      </c>
      <c r="B500" s="1">
        <v>41248</v>
      </c>
      <c r="C500" s="1">
        <v>41293</v>
      </c>
      <c r="D500" t="s">
        <v>241</v>
      </c>
      <c r="E500">
        <v>-79</v>
      </c>
      <c r="F500">
        <v>-13</v>
      </c>
      <c r="G500">
        <v>0</v>
      </c>
      <c r="H500">
        <v>0</v>
      </c>
      <c r="I500">
        <v>147</v>
      </c>
      <c r="J500">
        <v>-92</v>
      </c>
      <c r="K500" t="s">
        <v>1208</v>
      </c>
      <c r="L500" s="1">
        <v>41121</v>
      </c>
      <c r="N500" t="s">
        <v>36</v>
      </c>
      <c r="O500" t="s">
        <v>37</v>
      </c>
      <c r="P500" t="s">
        <v>378</v>
      </c>
      <c r="Q500" t="s">
        <v>39</v>
      </c>
      <c r="R500" t="s">
        <v>40</v>
      </c>
      <c r="S500">
        <v>0</v>
      </c>
      <c r="U500" t="s">
        <v>41</v>
      </c>
      <c r="V500" t="s">
        <v>42</v>
      </c>
      <c r="X500" t="s">
        <v>43</v>
      </c>
      <c r="Y500" t="b">
        <v>0</v>
      </c>
      <c r="Z500" t="b">
        <v>0</v>
      </c>
      <c r="AC500" s="1"/>
      <c r="AF500">
        <v>0</v>
      </c>
      <c r="AG500">
        <v>45</v>
      </c>
      <c r="AH500">
        <v>192</v>
      </c>
      <c r="AI500" s="2">
        <f>Table__192.168.3.138DYLAgingReport[[#This Row],[NetAmount]]-Table__192.168.3.138DYLAgingReport[[#This Row],[Paid]]</f>
        <v>-92</v>
      </c>
    </row>
    <row r="501" spans="1:35">
      <c r="A501" t="s">
        <v>1209</v>
      </c>
      <c r="B501" s="1">
        <v>41274</v>
      </c>
      <c r="C501" s="1">
        <v>41319</v>
      </c>
      <c r="D501" t="s">
        <v>242</v>
      </c>
      <c r="E501">
        <v>-2313</v>
      </c>
      <c r="F501">
        <v>-370</v>
      </c>
      <c r="G501">
        <v>0</v>
      </c>
      <c r="H501">
        <v>0</v>
      </c>
      <c r="I501">
        <v>88</v>
      </c>
      <c r="J501">
        <v>-2683</v>
      </c>
      <c r="K501" t="s">
        <v>1210</v>
      </c>
      <c r="L501" s="1">
        <v>41180</v>
      </c>
      <c r="N501" t="s">
        <v>36</v>
      </c>
      <c r="O501" t="s">
        <v>37</v>
      </c>
      <c r="P501" t="s">
        <v>379</v>
      </c>
      <c r="Q501" t="s">
        <v>39</v>
      </c>
      <c r="R501" t="s">
        <v>40</v>
      </c>
      <c r="S501">
        <v>0</v>
      </c>
      <c r="U501" t="s">
        <v>41</v>
      </c>
      <c r="V501" t="s">
        <v>42</v>
      </c>
      <c r="X501" t="s">
        <v>43</v>
      </c>
      <c r="Y501" t="b">
        <v>0</v>
      </c>
      <c r="Z501" t="b">
        <v>0</v>
      </c>
      <c r="AC501" s="1"/>
      <c r="AF501">
        <v>0</v>
      </c>
      <c r="AG501">
        <v>45</v>
      </c>
      <c r="AH501">
        <v>133</v>
      </c>
      <c r="AI501" s="2">
        <f>Table__192.168.3.138DYLAgingReport[[#This Row],[NetAmount]]-Table__192.168.3.138DYLAgingReport[[#This Row],[Paid]]</f>
        <v>-2683</v>
      </c>
    </row>
    <row r="502" spans="1:35">
      <c r="A502" t="s">
        <v>1211</v>
      </c>
      <c r="B502" s="1">
        <v>41267</v>
      </c>
      <c r="C502" s="1">
        <v>41312</v>
      </c>
      <c r="D502" t="s">
        <v>243</v>
      </c>
      <c r="E502">
        <v>-369</v>
      </c>
      <c r="F502">
        <v>0</v>
      </c>
      <c r="G502">
        <v>0</v>
      </c>
      <c r="H502">
        <v>0</v>
      </c>
      <c r="I502">
        <v>406</v>
      </c>
      <c r="J502">
        <v>-369</v>
      </c>
      <c r="L502" s="1">
        <v>40862</v>
      </c>
      <c r="M502" t="s">
        <v>1212</v>
      </c>
      <c r="N502" t="s">
        <v>36</v>
      </c>
      <c r="O502" t="s">
        <v>37</v>
      </c>
      <c r="P502" t="s">
        <v>380</v>
      </c>
      <c r="Q502" t="s">
        <v>39</v>
      </c>
      <c r="R502" t="s">
        <v>40</v>
      </c>
      <c r="S502">
        <v>0</v>
      </c>
      <c r="U502" t="s">
        <v>41</v>
      </c>
      <c r="V502" t="s">
        <v>42</v>
      </c>
      <c r="W502" t="s">
        <v>819</v>
      </c>
      <c r="X502" t="s">
        <v>43</v>
      </c>
      <c r="Y502" t="b">
        <v>0</v>
      </c>
      <c r="Z502" t="b">
        <v>0</v>
      </c>
      <c r="AA502" t="b">
        <v>0</v>
      </c>
      <c r="AC502" s="1"/>
      <c r="AF502">
        <v>0</v>
      </c>
      <c r="AG502">
        <v>45</v>
      </c>
      <c r="AH502">
        <v>451</v>
      </c>
      <c r="AI502" s="2">
        <f>Table__192.168.3.138DYLAgingReport[[#This Row],[NetAmount]]-Table__192.168.3.138DYLAgingReport[[#This Row],[Paid]]</f>
        <v>-369</v>
      </c>
    </row>
    <row r="503" spans="1:35">
      <c r="A503" t="s">
        <v>1213</v>
      </c>
      <c r="B503" s="1">
        <v>41247</v>
      </c>
      <c r="C503" s="1">
        <v>41247</v>
      </c>
      <c r="D503" t="s">
        <v>245</v>
      </c>
      <c r="E503">
        <v>-243</v>
      </c>
      <c r="F503">
        <v>-39</v>
      </c>
      <c r="G503">
        <v>0</v>
      </c>
      <c r="H503">
        <v>0</v>
      </c>
      <c r="I503">
        <v>84</v>
      </c>
      <c r="J503">
        <v>-282</v>
      </c>
      <c r="K503" t="s">
        <v>1214</v>
      </c>
      <c r="L503" s="1">
        <v>41229</v>
      </c>
      <c r="N503" t="s">
        <v>36</v>
      </c>
      <c r="O503" t="s">
        <v>37</v>
      </c>
      <c r="P503" t="s">
        <v>382</v>
      </c>
      <c r="Q503" t="s">
        <v>39</v>
      </c>
      <c r="R503" t="s">
        <v>40</v>
      </c>
      <c r="S503">
        <v>0</v>
      </c>
      <c r="U503" t="s">
        <v>41</v>
      </c>
      <c r="V503" t="s">
        <v>42</v>
      </c>
      <c r="X503" t="s">
        <v>43</v>
      </c>
      <c r="Y503" t="b">
        <v>0</v>
      </c>
      <c r="Z503" t="b">
        <v>0</v>
      </c>
      <c r="AC503" s="1"/>
      <c r="AF503">
        <v>0</v>
      </c>
      <c r="AG503">
        <v>0</v>
      </c>
      <c r="AH503">
        <v>84</v>
      </c>
      <c r="AI503" s="2">
        <f>Table__192.168.3.138DYLAgingReport[[#This Row],[NetAmount]]-Table__192.168.3.138DYLAgingReport[[#This Row],[Paid]]</f>
        <v>-282</v>
      </c>
    </row>
    <row r="504" spans="1:35">
      <c r="A504" t="s">
        <v>1215</v>
      </c>
      <c r="B504" s="1">
        <v>41267</v>
      </c>
      <c r="C504" s="1">
        <v>41312</v>
      </c>
      <c r="D504" t="s">
        <v>246</v>
      </c>
      <c r="E504">
        <v>-5220</v>
      </c>
      <c r="F504">
        <v>-835</v>
      </c>
      <c r="G504">
        <v>0</v>
      </c>
      <c r="H504">
        <v>0</v>
      </c>
      <c r="I504">
        <v>166</v>
      </c>
      <c r="J504">
        <v>-6055</v>
      </c>
      <c r="K504" t="s">
        <v>1216</v>
      </c>
      <c r="L504" s="1">
        <v>41102</v>
      </c>
      <c r="N504" t="s">
        <v>36</v>
      </c>
      <c r="O504" t="s">
        <v>37</v>
      </c>
      <c r="P504" t="s">
        <v>383</v>
      </c>
      <c r="Q504" t="s">
        <v>39</v>
      </c>
      <c r="R504" t="s">
        <v>40</v>
      </c>
      <c r="S504">
        <v>0</v>
      </c>
      <c r="U504" t="s">
        <v>41</v>
      </c>
      <c r="V504" t="s">
        <v>42</v>
      </c>
      <c r="X504" t="s">
        <v>43</v>
      </c>
      <c r="Y504" t="b">
        <v>0</v>
      </c>
      <c r="Z504" t="b">
        <v>0</v>
      </c>
      <c r="AC504" s="1"/>
      <c r="AF504">
        <v>0</v>
      </c>
      <c r="AG504">
        <v>45</v>
      </c>
      <c r="AH504">
        <v>211</v>
      </c>
      <c r="AI504" s="2">
        <f>Table__192.168.3.138DYLAgingReport[[#This Row],[NetAmount]]-Table__192.168.3.138DYLAgingReport[[#This Row],[Paid]]</f>
        <v>-6055</v>
      </c>
    </row>
    <row r="505" spans="1:35">
      <c r="A505" t="s">
        <v>1217</v>
      </c>
      <c r="B505" s="1">
        <v>41274</v>
      </c>
      <c r="C505" s="1">
        <v>41319</v>
      </c>
      <c r="D505" t="s">
        <v>251</v>
      </c>
      <c r="E505">
        <v>-31176</v>
      </c>
      <c r="F505">
        <v>-4988</v>
      </c>
      <c r="G505">
        <v>0</v>
      </c>
      <c r="H505">
        <v>0</v>
      </c>
      <c r="I505">
        <v>20</v>
      </c>
      <c r="J505">
        <v>-36164</v>
      </c>
      <c r="K505" t="s">
        <v>1218</v>
      </c>
      <c r="L505" s="1">
        <v>41248</v>
      </c>
      <c r="N505" t="s">
        <v>36</v>
      </c>
      <c r="O505" t="s">
        <v>37</v>
      </c>
      <c r="P505" t="s">
        <v>388</v>
      </c>
      <c r="Q505" t="s">
        <v>39</v>
      </c>
      <c r="R505" t="s">
        <v>40</v>
      </c>
      <c r="S505">
        <v>0</v>
      </c>
      <c r="U505" t="s">
        <v>41</v>
      </c>
      <c r="V505" t="s">
        <v>42</v>
      </c>
      <c r="X505" t="s">
        <v>43</v>
      </c>
      <c r="Y505" t="b">
        <v>0</v>
      </c>
      <c r="Z505" t="b">
        <v>0</v>
      </c>
      <c r="AC505" s="1"/>
      <c r="AF505">
        <v>0</v>
      </c>
      <c r="AG505">
        <v>45</v>
      </c>
      <c r="AH505">
        <v>65</v>
      </c>
      <c r="AI505" s="2">
        <f>Table__192.168.3.138DYLAgingReport[[#This Row],[NetAmount]]-Table__192.168.3.138DYLAgingReport[[#This Row],[Paid]]</f>
        <v>-36164</v>
      </c>
    </row>
    <row r="506" spans="1:35">
      <c r="A506" t="s">
        <v>1219</v>
      </c>
      <c r="B506" s="1">
        <v>41274</v>
      </c>
      <c r="C506" s="1">
        <v>41319</v>
      </c>
      <c r="D506" t="s">
        <v>253</v>
      </c>
      <c r="E506">
        <v>-8732</v>
      </c>
      <c r="F506">
        <v>-1397</v>
      </c>
      <c r="G506">
        <v>0</v>
      </c>
      <c r="H506">
        <v>0</v>
      </c>
      <c r="I506">
        <v>101</v>
      </c>
      <c r="J506">
        <v>-10129</v>
      </c>
      <c r="K506" t="s">
        <v>1220</v>
      </c>
      <c r="L506" s="1">
        <v>41167</v>
      </c>
      <c r="N506" t="s">
        <v>36</v>
      </c>
      <c r="O506" t="s">
        <v>37</v>
      </c>
      <c r="P506" t="s">
        <v>390</v>
      </c>
      <c r="Q506" t="s">
        <v>39</v>
      </c>
      <c r="R506" t="s">
        <v>40</v>
      </c>
      <c r="S506">
        <v>0</v>
      </c>
      <c r="U506" t="s">
        <v>41</v>
      </c>
      <c r="V506" t="s">
        <v>42</v>
      </c>
      <c r="X506" t="s">
        <v>43</v>
      </c>
      <c r="Y506" t="b">
        <v>0</v>
      </c>
      <c r="Z506" t="b">
        <v>0</v>
      </c>
      <c r="AC506" s="1"/>
      <c r="AF506">
        <v>0</v>
      </c>
      <c r="AG506">
        <v>45</v>
      </c>
      <c r="AH506">
        <v>146</v>
      </c>
      <c r="AI506" s="2">
        <f>Table__192.168.3.138DYLAgingReport[[#This Row],[NetAmount]]-Table__192.168.3.138DYLAgingReport[[#This Row],[Paid]]</f>
        <v>-10129</v>
      </c>
    </row>
    <row r="507" spans="1:35">
      <c r="A507" t="s">
        <v>1221</v>
      </c>
      <c r="B507" s="1">
        <v>41274</v>
      </c>
      <c r="C507" s="1">
        <v>41319</v>
      </c>
      <c r="D507" t="s">
        <v>254</v>
      </c>
      <c r="E507">
        <v>-20588</v>
      </c>
      <c r="F507">
        <v>-3294</v>
      </c>
      <c r="G507">
        <v>0</v>
      </c>
      <c r="H507">
        <v>0</v>
      </c>
      <c r="I507">
        <v>33</v>
      </c>
      <c r="J507">
        <v>-23882</v>
      </c>
      <c r="K507" t="s">
        <v>1222</v>
      </c>
      <c r="L507" s="1">
        <v>41235</v>
      </c>
      <c r="N507" t="s">
        <v>36</v>
      </c>
      <c r="O507" t="s">
        <v>37</v>
      </c>
      <c r="P507" t="s">
        <v>391</v>
      </c>
      <c r="Q507" t="s">
        <v>39</v>
      </c>
      <c r="R507" t="s">
        <v>40</v>
      </c>
      <c r="S507">
        <v>0</v>
      </c>
      <c r="U507" t="s">
        <v>41</v>
      </c>
      <c r="V507" t="s">
        <v>42</v>
      </c>
      <c r="X507" t="s">
        <v>43</v>
      </c>
      <c r="Y507" t="b">
        <v>0</v>
      </c>
      <c r="Z507" t="b">
        <v>0</v>
      </c>
      <c r="AC507" s="1"/>
      <c r="AF507">
        <v>0</v>
      </c>
      <c r="AG507">
        <v>45</v>
      </c>
      <c r="AH507">
        <v>78</v>
      </c>
      <c r="AI507" s="2">
        <f>Table__192.168.3.138DYLAgingReport[[#This Row],[NetAmount]]-Table__192.168.3.138DYLAgingReport[[#This Row],[Paid]]</f>
        <v>-23882</v>
      </c>
    </row>
    <row r="508" spans="1:35">
      <c r="A508" t="s">
        <v>1223</v>
      </c>
      <c r="B508" s="1">
        <v>41268</v>
      </c>
      <c r="C508" s="1">
        <v>41313</v>
      </c>
      <c r="D508" t="s">
        <v>258</v>
      </c>
      <c r="E508">
        <v>-311</v>
      </c>
      <c r="F508">
        <v>-50</v>
      </c>
      <c r="G508">
        <v>0</v>
      </c>
      <c r="H508">
        <v>0</v>
      </c>
      <c r="I508">
        <v>17</v>
      </c>
      <c r="J508">
        <v>-361</v>
      </c>
      <c r="K508" t="s">
        <v>1224</v>
      </c>
      <c r="L508" s="1">
        <v>41251</v>
      </c>
      <c r="M508" t="s">
        <v>10778</v>
      </c>
      <c r="N508" t="s">
        <v>36</v>
      </c>
      <c r="O508" t="s">
        <v>37</v>
      </c>
      <c r="P508" t="s">
        <v>395</v>
      </c>
      <c r="Q508" t="s">
        <v>39</v>
      </c>
      <c r="R508" t="s">
        <v>40</v>
      </c>
      <c r="S508">
        <v>0</v>
      </c>
      <c r="U508" t="s">
        <v>41</v>
      </c>
      <c r="V508" t="s">
        <v>42</v>
      </c>
      <c r="W508" t="s">
        <v>10768</v>
      </c>
      <c r="X508" t="s">
        <v>43</v>
      </c>
      <c r="Y508" t="b">
        <v>0</v>
      </c>
      <c r="Z508" t="b">
        <v>0</v>
      </c>
      <c r="AA508" t="b">
        <v>0</v>
      </c>
      <c r="AC508" s="1"/>
      <c r="AF508">
        <v>0</v>
      </c>
      <c r="AG508">
        <v>45</v>
      </c>
      <c r="AH508">
        <v>62</v>
      </c>
      <c r="AI508" s="2">
        <f>Table__192.168.3.138DYLAgingReport[[#This Row],[NetAmount]]-Table__192.168.3.138DYLAgingReport[[#This Row],[Paid]]</f>
        <v>-361</v>
      </c>
    </row>
    <row r="509" spans="1:35">
      <c r="A509" t="s">
        <v>1225</v>
      </c>
      <c r="B509" s="1">
        <v>41263</v>
      </c>
      <c r="C509" s="1">
        <v>41308</v>
      </c>
      <c r="D509" t="s">
        <v>262</v>
      </c>
      <c r="E509">
        <v>-1510</v>
      </c>
      <c r="F509">
        <v>-242</v>
      </c>
      <c r="G509">
        <v>0</v>
      </c>
      <c r="H509">
        <v>0</v>
      </c>
      <c r="I509">
        <v>130</v>
      </c>
      <c r="J509">
        <v>-1752</v>
      </c>
      <c r="K509" t="s">
        <v>1226</v>
      </c>
      <c r="L509" s="1">
        <v>41138</v>
      </c>
      <c r="N509" t="s">
        <v>36</v>
      </c>
      <c r="O509" t="s">
        <v>37</v>
      </c>
      <c r="P509" t="s">
        <v>399</v>
      </c>
      <c r="Q509" t="s">
        <v>39</v>
      </c>
      <c r="R509" t="s">
        <v>40</v>
      </c>
      <c r="S509">
        <v>0</v>
      </c>
      <c r="U509" t="s">
        <v>41</v>
      </c>
      <c r="V509" t="s">
        <v>42</v>
      </c>
      <c r="X509" t="s">
        <v>43</v>
      </c>
      <c r="Y509" t="b">
        <v>0</v>
      </c>
      <c r="Z509" t="b">
        <v>0</v>
      </c>
      <c r="AC509" s="1"/>
      <c r="AF509">
        <v>0</v>
      </c>
      <c r="AG509">
        <v>45</v>
      </c>
      <c r="AH509">
        <v>175</v>
      </c>
      <c r="AI509" s="2">
        <f>Table__192.168.3.138DYLAgingReport[[#This Row],[NetAmount]]-Table__192.168.3.138DYLAgingReport[[#This Row],[Paid]]</f>
        <v>-1752</v>
      </c>
    </row>
    <row r="510" spans="1:35">
      <c r="A510" t="s">
        <v>1227</v>
      </c>
      <c r="B510" s="1">
        <v>41274</v>
      </c>
      <c r="C510" s="1">
        <v>41319</v>
      </c>
      <c r="D510" t="s">
        <v>263</v>
      </c>
      <c r="E510">
        <v>-4517</v>
      </c>
      <c r="F510">
        <v>-723</v>
      </c>
      <c r="G510">
        <v>0</v>
      </c>
      <c r="H510">
        <v>0</v>
      </c>
      <c r="I510">
        <v>56</v>
      </c>
      <c r="J510">
        <v>-5240</v>
      </c>
      <c r="K510" t="s">
        <v>1082</v>
      </c>
      <c r="L510" s="1">
        <v>41212</v>
      </c>
      <c r="N510" t="s">
        <v>36</v>
      </c>
      <c r="O510" t="s">
        <v>37</v>
      </c>
      <c r="P510" t="s">
        <v>400</v>
      </c>
      <c r="Q510" t="s">
        <v>39</v>
      </c>
      <c r="R510" t="s">
        <v>40</v>
      </c>
      <c r="S510">
        <v>0</v>
      </c>
      <c r="U510" t="s">
        <v>41</v>
      </c>
      <c r="V510" t="s">
        <v>42</v>
      </c>
      <c r="X510" t="s">
        <v>43</v>
      </c>
      <c r="Y510" t="b">
        <v>0</v>
      </c>
      <c r="Z510" t="b">
        <v>0</v>
      </c>
      <c r="AC510" s="1"/>
      <c r="AF510">
        <v>0</v>
      </c>
      <c r="AG510">
        <v>45</v>
      </c>
      <c r="AH510">
        <v>101</v>
      </c>
      <c r="AI510" s="2">
        <f>Table__192.168.3.138DYLAgingReport[[#This Row],[NetAmount]]-Table__192.168.3.138DYLAgingReport[[#This Row],[Paid]]</f>
        <v>-5240</v>
      </c>
    </row>
    <row r="511" spans="1:35">
      <c r="A511" t="s">
        <v>1228</v>
      </c>
      <c r="B511" s="1">
        <v>41261</v>
      </c>
      <c r="C511" s="1">
        <v>41306</v>
      </c>
      <c r="D511" t="s">
        <v>264</v>
      </c>
      <c r="E511">
        <v>-66500</v>
      </c>
      <c r="F511">
        <v>-10640</v>
      </c>
      <c r="G511">
        <v>0</v>
      </c>
      <c r="H511">
        <v>0</v>
      </c>
      <c r="I511">
        <v>162</v>
      </c>
      <c r="J511">
        <v>-77140</v>
      </c>
      <c r="K511" t="s">
        <v>1229</v>
      </c>
      <c r="L511" s="1">
        <v>41106</v>
      </c>
      <c r="N511" t="s">
        <v>36</v>
      </c>
      <c r="O511" t="s">
        <v>37</v>
      </c>
      <c r="P511" t="s">
        <v>401</v>
      </c>
      <c r="Q511" t="s">
        <v>39</v>
      </c>
      <c r="R511" t="s">
        <v>40</v>
      </c>
      <c r="S511">
        <v>0</v>
      </c>
      <c r="U511" t="s">
        <v>41</v>
      </c>
      <c r="V511" t="s">
        <v>42</v>
      </c>
      <c r="X511" t="s">
        <v>43</v>
      </c>
      <c r="Y511" t="b">
        <v>0</v>
      </c>
      <c r="Z511" t="b">
        <v>0</v>
      </c>
      <c r="AB511" t="s">
        <v>1230</v>
      </c>
      <c r="AC511" s="1"/>
      <c r="AF511">
        <v>0</v>
      </c>
      <c r="AG511">
        <v>45</v>
      </c>
      <c r="AH511">
        <v>207</v>
      </c>
      <c r="AI511" s="2">
        <f>Table__192.168.3.138DYLAgingReport[[#This Row],[NetAmount]]-Table__192.168.3.138DYLAgingReport[[#This Row],[Paid]]</f>
        <v>-77140</v>
      </c>
    </row>
    <row r="512" spans="1:35">
      <c r="A512" t="s">
        <v>1231</v>
      </c>
      <c r="B512" s="1">
        <v>41254</v>
      </c>
      <c r="C512" s="1">
        <v>41299</v>
      </c>
      <c r="D512" t="s">
        <v>266</v>
      </c>
      <c r="E512">
        <v>-4080</v>
      </c>
      <c r="F512">
        <v>-653</v>
      </c>
      <c r="G512">
        <v>0</v>
      </c>
      <c r="H512">
        <v>0</v>
      </c>
      <c r="I512">
        <v>38</v>
      </c>
      <c r="J512">
        <v>-4733</v>
      </c>
      <c r="K512" t="s">
        <v>1232</v>
      </c>
      <c r="L512" s="1">
        <v>41230</v>
      </c>
      <c r="N512" t="s">
        <v>36</v>
      </c>
      <c r="O512" t="s">
        <v>37</v>
      </c>
      <c r="P512" t="s">
        <v>403</v>
      </c>
      <c r="Q512" t="s">
        <v>39</v>
      </c>
      <c r="R512" t="s">
        <v>40</v>
      </c>
      <c r="S512">
        <v>0</v>
      </c>
      <c r="U512" t="s">
        <v>41</v>
      </c>
      <c r="V512" t="s">
        <v>42</v>
      </c>
      <c r="X512" t="s">
        <v>43</v>
      </c>
      <c r="Y512" t="b">
        <v>0</v>
      </c>
      <c r="Z512" t="b">
        <v>0</v>
      </c>
      <c r="AC512" s="1"/>
      <c r="AF512">
        <v>0</v>
      </c>
      <c r="AG512">
        <v>45</v>
      </c>
      <c r="AH512">
        <v>83</v>
      </c>
      <c r="AI512" s="2">
        <f>Table__192.168.3.138DYLAgingReport[[#This Row],[NetAmount]]-Table__192.168.3.138DYLAgingReport[[#This Row],[Paid]]</f>
        <v>-4733</v>
      </c>
    </row>
    <row r="513" spans="1:35">
      <c r="A513" t="s">
        <v>1233</v>
      </c>
      <c r="B513" s="1">
        <v>41260</v>
      </c>
      <c r="C513" s="1">
        <v>41305</v>
      </c>
      <c r="D513" t="s">
        <v>268</v>
      </c>
      <c r="E513">
        <v>-1994</v>
      </c>
      <c r="F513">
        <v>-319</v>
      </c>
      <c r="G513">
        <v>0</v>
      </c>
      <c r="H513">
        <v>0</v>
      </c>
      <c r="I513">
        <v>38</v>
      </c>
      <c r="J513">
        <v>-2313</v>
      </c>
      <c r="K513" t="s">
        <v>1234</v>
      </c>
      <c r="L513" s="1">
        <v>41230</v>
      </c>
      <c r="N513" t="s">
        <v>36</v>
      </c>
      <c r="O513" t="s">
        <v>37</v>
      </c>
      <c r="P513" t="s">
        <v>405</v>
      </c>
      <c r="Q513" t="s">
        <v>39</v>
      </c>
      <c r="R513" t="s">
        <v>40</v>
      </c>
      <c r="S513">
        <v>0</v>
      </c>
      <c r="U513" t="s">
        <v>41</v>
      </c>
      <c r="V513" t="s">
        <v>42</v>
      </c>
      <c r="X513" t="s">
        <v>43</v>
      </c>
      <c r="Y513" t="b">
        <v>0</v>
      </c>
      <c r="Z513" t="b">
        <v>0</v>
      </c>
      <c r="AC513" s="1"/>
      <c r="AF513">
        <v>0</v>
      </c>
      <c r="AG513">
        <v>45</v>
      </c>
      <c r="AH513">
        <v>83</v>
      </c>
      <c r="AI513" s="2">
        <f>Table__192.168.3.138DYLAgingReport[[#This Row],[NetAmount]]-Table__192.168.3.138DYLAgingReport[[#This Row],[Paid]]</f>
        <v>-2313</v>
      </c>
    </row>
    <row r="514" spans="1:35">
      <c r="A514" t="s">
        <v>1235</v>
      </c>
      <c r="B514" s="1">
        <v>41263</v>
      </c>
      <c r="C514" s="1">
        <v>41293</v>
      </c>
      <c r="D514" t="s">
        <v>270</v>
      </c>
      <c r="E514">
        <v>-1760</v>
      </c>
      <c r="F514">
        <v>-282</v>
      </c>
      <c r="G514">
        <v>0</v>
      </c>
      <c r="H514">
        <v>0</v>
      </c>
      <c r="I514">
        <v>62</v>
      </c>
      <c r="J514">
        <v>-2042</v>
      </c>
      <c r="K514" t="s">
        <v>1236</v>
      </c>
      <c r="L514" s="1">
        <v>41221</v>
      </c>
      <c r="N514" t="s">
        <v>36</v>
      </c>
      <c r="O514" t="s">
        <v>37</v>
      </c>
      <c r="P514" t="s">
        <v>407</v>
      </c>
      <c r="Q514" t="s">
        <v>39</v>
      </c>
      <c r="R514" t="s">
        <v>40</v>
      </c>
      <c r="S514">
        <v>0</v>
      </c>
      <c r="U514" t="s">
        <v>41</v>
      </c>
      <c r="V514" t="s">
        <v>42</v>
      </c>
      <c r="X514" t="s">
        <v>43</v>
      </c>
      <c r="Y514" t="b">
        <v>0</v>
      </c>
      <c r="Z514" t="b">
        <v>0</v>
      </c>
      <c r="AC514" s="1"/>
      <c r="AF514">
        <v>0</v>
      </c>
      <c r="AG514">
        <v>30</v>
      </c>
      <c r="AH514">
        <v>92</v>
      </c>
      <c r="AI514" s="2">
        <f>Table__192.168.3.138DYLAgingReport[[#This Row],[NetAmount]]-Table__192.168.3.138DYLAgingReport[[#This Row],[Paid]]</f>
        <v>-2042</v>
      </c>
    </row>
    <row r="515" spans="1:35">
      <c r="A515" t="s">
        <v>1237</v>
      </c>
      <c r="B515" s="1">
        <v>41274</v>
      </c>
      <c r="C515" s="1">
        <v>41319</v>
      </c>
      <c r="D515" t="s">
        <v>271</v>
      </c>
      <c r="E515">
        <v>-17806</v>
      </c>
      <c r="F515">
        <v>-2849</v>
      </c>
      <c r="G515">
        <v>0</v>
      </c>
      <c r="H515">
        <v>0</v>
      </c>
      <c r="I515">
        <v>153</v>
      </c>
      <c r="J515">
        <v>-20655</v>
      </c>
      <c r="K515" t="s">
        <v>1238</v>
      </c>
      <c r="L515" s="1">
        <v>41115</v>
      </c>
      <c r="M515" t="s">
        <v>1239</v>
      </c>
      <c r="N515" t="s">
        <v>36</v>
      </c>
      <c r="O515" t="s">
        <v>37</v>
      </c>
      <c r="P515" t="s">
        <v>408</v>
      </c>
      <c r="Q515" t="s">
        <v>39</v>
      </c>
      <c r="R515" t="s">
        <v>40</v>
      </c>
      <c r="S515">
        <v>0</v>
      </c>
      <c r="U515" t="s">
        <v>41</v>
      </c>
      <c r="V515" t="s">
        <v>42</v>
      </c>
      <c r="W515" t="s">
        <v>929</v>
      </c>
      <c r="X515" t="s">
        <v>43</v>
      </c>
      <c r="Y515" t="b">
        <v>0</v>
      </c>
      <c r="Z515" t="b">
        <v>0</v>
      </c>
      <c r="AA515" t="b">
        <v>0</v>
      </c>
      <c r="AC515" s="1"/>
      <c r="AF515">
        <v>0</v>
      </c>
      <c r="AG515">
        <v>45</v>
      </c>
      <c r="AH515">
        <v>198</v>
      </c>
      <c r="AI515" s="2">
        <f>Table__192.168.3.138DYLAgingReport[[#This Row],[NetAmount]]-Table__192.168.3.138DYLAgingReport[[#This Row],[Paid]]</f>
        <v>-20655</v>
      </c>
    </row>
    <row r="516" spans="1:35">
      <c r="A516" t="s">
        <v>1240</v>
      </c>
      <c r="B516" s="1">
        <v>41274</v>
      </c>
      <c r="C516" s="1">
        <v>41319</v>
      </c>
      <c r="D516" t="s">
        <v>272</v>
      </c>
      <c r="E516">
        <v>-8890</v>
      </c>
      <c r="F516">
        <v>-1422</v>
      </c>
      <c r="G516">
        <v>0</v>
      </c>
      <c r="H516">
        <v>0</v>
      </c>
      <c r="I516">
        <v>8</v>
      </c>
      <c r="J516">
        <v>-10312</v>
      </c>
      <c r="K516" t="s">
        <v>1241</v>
      </c>
      <c r="L516" s="1">
        <v>41260</v>
      </c>
      <c r="N516" t="s">
        <v>36</v>
      </c>
      <c r="O516" t="s">
        <v>37</v>
      </c>
      <c r="P516" t="s">
        <v>409</v>
      </c>
      <c r="Q516" t="s">
        <v>39</v>
      </c>
      <c r="R516" t="s">
        <v>40</v>
      </c>
      <c r="S516">
        <v>0</v>
      </c>
      <c r="U516" t="s">
        <v>41</v>
      </c>
      <c r="V516" t="s">
        <v>42</v>
      </c>
      <c r="X516" t="s">
        <v>43</v>
      </c>
      <c r="Y516" t="b">
        <v>0</v>
      </c>
      <c r="Z516" t="b">
        <v>0</v>
      </c>
      <c r="AC516" s="1"/>
      <c r="AF516">
        <v>0</v>
      </c>
      <c r="AG516">
        <v>45</v>
      </c>
      <c r="AH516">
        <v>53</v>
      </c>
      <c r="AI516" s="2">
        <f>Table__192.168.3.138DYLAgingReport[[#This Row],[NetAmount]]-Table__192.168.3.138DYLAgingReport[[#This Row],[Paid]]</f>
        <v>-10312</v>
      </c>
    </row>
    <row r="517" spans="1:35">
      <c r="A517" t="s">
        <v>1242</v>
      </c>
      <c r="B517" s="1">
        <v>41274</v>
      </c>
      <c r="C517" s="1">
        <v>41319</v>
      </c>
      <c r="D517" t="s">
        <v>279</v>
      </c>
      <c r="E517">
        <v>-7086</v>
      </c>
      <c r="F517">
        <v>-1134</v>
      </c>
      <c r="G517">
        <v>0</v>
      </c>
      <c r="H517">
        <v>0</v>
      </c>
      <c r="I517">
        <v>89</v>
      </c>
      <c r="J517">
        <v>-8220</v>
      </c>
      <c r="K517" t="s">
        <v>934</v>
      </c>
      <c r="L517" s="1">
        <v>41179</v>
      </c>
      <c r="N517" t="s">
        <v>36</v>
      </c>
      <c r="O517" t="s">
        <v>37</v>
      </c>
      <c r="P517" t="s">
        <v>416</v>
      </c>
      <c r="Q517" t="s">
        <v>39</v>
      </c>
      <c r="R517" t="s">
        <v>40</v>
      </c>
      <c r="S517">
        <v>0</v>
      </c>
      <c r="U517" t="s">
        <v>41</v>
      </c>
      <c r="V517" t="s">
        <v>42</v>
      </c>
      <c r="X517" t="s">
        <v>43</v>
      </c>
      <c r="Y517" t="b">
        <v>0</v>
      </c>
      <c r="Z517" t="b">
        <v>0</v>
      </c>
      <c r="AC517" s="1"/>
      <c r="AF517">
        <v>0</v>
      </c>
      <c r="AG517">
        <v>45</v>
      </c>
      <c r="AH517">
        <v>134</v>
      </c>
      <c r="AI517" s="2">
        <f>Table__192.168.3.138DYLAgingReport[[#This Row],[NetAmount]]-Table__192.168.3.138DYLAgingReport[[#This Row],[Paid]]</f>
        <v>-8220</v>
      </c>
    </row>
    <row r="518" spans="1:35">
      <c r="A518" t="s">
        <v>1243</v>
      </c>
      <c r="B518" s="1">
        <v>41263</v>
      </c>
      <c r="C518" s="1">
        <v>41308</v>
      </c>
      <c r="D518" t="s">
        <v>281</v>
      </c>
      <c r="E518">
        <v>-1422</v>
      </c>
      <c r="F518">
        <v>0</v>
      </c>
      <c r="G518">
        <v>0</v>
      </c>
      <c r="H518">
        <v>0</v>
      </c>
      <c r="I518">
        <v>234</v>
      </c>
      <c r="J518">
        <v>-1422</v>
      </c>
      <c r="L518" s="1">
        <v>41034</v>
      </c>
      <c r="N518" t="s">
        <v>36</v>
      </c>
      <c r="O518" t="s">
        <v>37</v>
      </c>
      <c r="P518" t="s">
        <v>418</v>
      </c>
      <c r="Q518" t="s">
        <v>39</v>
      </c>
      <c r="R518" t="s">
        <v>40</v>
      </c>
      <c r="S518">
        <v>0</v>
      </c>
      <c r="U518" t="s">
        <v>41</v>
      </c>
      <c r="V518" t="s">
        <v>42</v>
      </c>
      <c r="X518" t="s">
        <v>43</v>
      </c>
      <c r="Y518" t="b">
        <v>0</v>
      </c>
      <c r="Z518" t="b">
        <v>0</v>
      </c>
      <c r="AC518" s="1"/>
      <c r="AF518">
        <v>0</v>
      </c>
      <c r="AG518">
        <v>45</v>
      </c>
      <c r="AH518">
        <v>279</v>
      </c>
      <c r="AI518" s="2">
        <f>Table__192.168.3.138DYLAgingReport[[#This Row],[NetAmount]]-Table__192.168.3.138DYLAgingReport[[#This Row],[Paid]]</f>
        <v>-1422</v>
      </c>
    </row>
    <row r="519" spans="1:35">
      <c r="A519" t="s">
        <v>1244</v>
      </c>
      <c r="B519" s="1">
        <v>41270</v>
      </c>
      <c r="C519" s="1">
        <v>41315</v>
      </c>
      <c r="D519" t="s">
        <v>282</v>
      </c>
      <c r="E519">
        <v>-135000</v>
      </c>
      <c r="F519">
        <v>-21600</v>
      </c>
      <c r="G519">
        <v>0</v>
      </c>
      <c r="H519">
        <v>0</v>
      </c>
      <c r="I519">
        <v>35</v>
      </c>
      <c r="J519">
        <v>-156600</v>
      </c>
      <c r="K519" t="s">
        <v>934</v>
      </c>
      <c r="L519" s="1">
        <v>41233</v>
      </c>
      <c r="N519" t="s">
        <v>36</v>
      </c>
      <c r="O519" t="s">
        <v>37</v>
      </c>
      <c r="P519" t="s">
        <v>419</v>
      </c>
      <c r="Q519" t="s">
        <v>39</v>
      </c>
      <c r="R519" t="s">
        <v>40</v>
      </c>
      <c r="S519">
        <v>0</v>
      </c>
      <c r="U519" t="s">
        <v>41</v>
      </c>
      <c r="V519" t="s">
        <v>42</v>
      </c>
      <c r="X519" t="s">
        <v>43</v>
      </c>
      <c r="Y519" t="b">
        <v>0</v>
      </c>
      <c r="Z519" t="b">
        <v>0</v>
      </c>
      <c r="AC519" s="1"/>
      <c r="AF519">
        <v>0</v>
      </c>
      <c r="AG519">
        <v>45</v>
      </c>
      <c r="AH519">
        <v>80</v>
      </c>
      <c r="AI519" s="2">
        <f>Table__192.168.3.138DYLAgingReport[[#This Row],[NetAmount]]-Table__192.168.3.138DYLAgingReport[[#This Row],[Paid]]</f>
        <v>-156600</v>
      </c>
    </row>
    <row r="520" spans="1:35">
      <c r="A520" t="s">
        <v>1245</v>
      </c>
      <c r="B520" s="1">
        <v>41274</v>
      </c>
      <c r="C520" s="1">
        <v>41304</v>
      </c>
      <c r="D520" t="s">
        <v>284</v>
      </c>
      <c r="E520">
        <v>-1686</v>
      </c>
      <c r="F520">
        <v>0</v>
      </c>
      <c r="G520">
        <v>0</v>
      </c>
      <c r="H520">
        <v>0</v>
      </c>
      <c r="I520">
        <v>29</v>
      </c>
      <c r="J520">
        <v>-1686</v>
      </c>
      <c r="K520" t="s">
        <v>1246</v>
      </c>
      <c r="L520" s="1">
        <v>41254</v>
      </c>
      <c r="N520" t="s">
        <v>36</v>
      </c>
      <c r="O520" t="s">
        <v>37</v>
      </c>
      <c r="P520" t="s">
        <v>421</v>
      </c>
      <c r="Q520" t="s">
        <v>39</v>
      </c>
      <c r="R520" t="s">
        <v>40</v>
      </c>
      <c r="S520">
        <v>0</v>
      </c>
      <c r="U520" t="s">
        <v>41</v>
      </c>
      <c r="V520" t="s">
        <v>42</v>
      </c>
      <c r="X520" t="s">
        <v>43</v>
      </c>
      <c r="Y520" t="b">
        <v>0</v>
      </c>
      <c r="Z520" t="b">
        <v>0</v>
      </c>
      <c r="AC520" s="1"/>
      <c r="AF520">
        <v>0</v>
      </c>
      <c r="AG520">
        <v>30</v>
      </c>
      <c r="AH520">
        <v>59</v>
      </c>
      <c r="AI520" s="2">
        <f>Table__192.168.3.138DYLAgingReport[[#This Row],[NetAmount]]-Table__192.168.3.138DYLAgingReport[[#This Row],[Paid]]</f>
        <v>-1686</v>
      </c>
    </row>
    <row r="521" spans="1:35">
      <c r="A521" t="s">
        <v>1247</v>
      </c>
      <c r="B521" s="1">
        <v>41247</v>
      </c>
      <c r="C521" s="1">
        <v>41277</v>
      </c>
      <c r="D521" t="s">
        <v>285</v>
      </c>
      <c r="E521">
        <v>-160</v>
      </c>
      <c r="F521">
        <v>-26</v>
      </c>
      <c r="G521">
        <v>0</v>
      </c>
      <c r="H521">
        <v>0</v>
      </c>
      <c r="I521">
        <v>163</v>
      </c>
      <c r="J521">
        <v>-186</v>
      </c>
      <c r="K521" t="s">
        <v>1248</v>
      </c>
      <c r="L521" s="1">
        <v>41120</v>
      </c>
      <c r="N521" t="s">
        <v>36</v>
      </c>
      <c r="O521" t="s">
        <v>37</v>
      </c>
      <c r="P521" t="s">
        <v>422</v>
      </c>
      <c r="Q521" t="s">
        <v>39</v>
      </c>
      <c r="R521" t="s">
        <v>40</v>
      </c>
      <c r="S521">
        <v>0</v>
      </c>
      <c r="U521" t="s">
        <v>41</v>
      </c>
      <c r="V521" t="s">
        <v>42</v>
      </c>
      <c r="X521" t="s">
        <v>43</v>
      </c>
      <c r="Y521" t="b">
        <v>0</v>
      </c>
      <c r="Z521" t="b">
        <v>0</v>
      </c>
      <c r="AB521" t="s">
        <v>1099</v>
      </c>
      <c r="AC521" s="1">
        <v>41296</v>
      </c>
      <c r="AF521">
        <v>0</v>
      </c>
      <c r="AG521">
        <v>30</v>
      </c>
      <c r="AH521">
        <v>193</v>
      </c>
      <c r="AI521" s="2">
        <f>Table__192.168.3.138DYLAgingReport[[#This Row],[NetAmount]]-Table__192.168.3.138DYLAgingReport[[#This Row],[Paid]]</f>
        <v>-186</v>
      </c>
    </row>
    <row r="522" spans="1:35">
      <c r="A522" t="s">
        <v>1249</v>
      </c>
      <c r="B522" s="1">
        <v>41247</v>
      </c>
      <c r="C522" s="1">
        <v>41292</v>
      </c>
      <c r="D522" t="s">
        <v>287</v>
      </c>
      <c r="E522">
        <v>-672</v>
      </c>
      <c r="F522">
        <v>-108</v>
      </c>
      <c r="G522">
        <v>0</v>
      </c>
      <c r="H522">
        <v>0</v>
      </c>
      <c r="I522">
        <v>11</v>
      </c>
      <c r="J522">
        <v>-780</v>
      </c>
      <c r="K522" t="s">
        <v>1250</v>
      </c>
      <c r="L522" s="1">
        <v>41257</v>
      </c>
      <c r="N522" t="s">
        <v>36</v>
      </c>
      <c r="O522" t="s">
        <v>37</v>
      </c>
      <c r="P522" t="s">
        <v>424</v>
      </c>
      <c r="Q522" t="s">
        <v>39</v>
      </c>
      <c r="R522" t="s">
        <v>40</v>
      </c>
      <c r="S522">
        <v>0</v>
      </c>
      <c r="U522" t="s">
        <v>41</v>
      </c>
      <c r="V522" t="s">
        <v>42</v>
      </c>
      <c r="X522" t="s">
        <v>43</v>
      </c>
      <c r="Y522" t="b">
        <v>0</v>
      </c>
      <c r="Z522" t="b">
        <v>0</v>
      </c>
      <c r="AC522" s="1"/>
      <c r="AF522">
        <v>0</v>
      </c>
      <c r="AG522">
        <v>45</v>
      </c>
      <c r="AH522">
        <v>56</v>
      </c>
      <c r="AI522" s="2">
        <f>Table__192.168.3.138DYLAgingReport[[#This Row],[NetAmount]]-Table__192.168.3.138DYLAgingReport[[#This Row],[Paid]]</f>
        <v>-780</v>
      </c>
    </row>
    <row r="523" spans="1:35">
      <c r="A523" t="s">
        <v>1251</v>
      </c>
      <c r="B523" s="1">
        <v>41274</v>
      </c>
      <c r="C523" s="1">
        <v>41319</v>
      </c>
      <c r="D523" t="s">
        <v>288</v>
      </c>
      <c r="E523">
        <v>-88</v>
      </c>
      <c r="F523">
        <v>-14</v>
      </c>
      <c r="G523">
        <v>0</v>
      </c>
      <c r="H523">
        <v>0</v>
      </c>
      <c r="I523">
        <v>148</v>
      </c>
      <c r="J523">
        <v>-102</v>
      </c>
      <c r="K523" t="s">
        <v>1252</v>
      </c>
      <c r="L523" s="1">
        <v>41120</v>
      </c>
      <c r="N523" t="s">
        <v>36</v>
      </c>
      <c r="O523" t="s">
        <v>37</v>
      </c>
      <c r="P523" t="s">
        <v>425</v>
      </c>
      <c r="Q523" t="s">
        <v>39</v>
      </c>
      <c r="R523" t="s">
        <v>40</v>
      </c>
      <c r="S523">
        <v>0</v>
      </c>
      <c r="U523" t="s">
        <v>41</v>
      </c>
      <c r="V523" t="s">
        <v>42</v>
      </c>
      <c r="X523" t="s">
        <v>43</v>
      </c>
      <c r="Y523" t="b">
        <v>0</v>
      </c>
      <c r="Z523" t="b">
        <v>0</v>
      </c>
      <c r="AC523" s="1"/>
      <c r="AF523">
        <v>0</v>
      </c>
      <c r="AG523">
        <v>45</v>
      </c>
      <c r="AH523">
        <v>193</v>
      </c>
      <c r="AI523" s="2">
        <f>Table__192.168.3.138DYLAgingReport[[#This Row],[NetAmount]]-Table__192.168.3.138DYLAgingReport[[#This Row],[Paid]]</f>
        <v>-102</v>
      </c>
    </row>
    <row r="524" spans="1:35">
      <c r="A524" t="s">
        <v>1253</v>
      </c>
      <c r="B524" s="1">
        <v>41248</v>
      </c>
      <c r="C524" s="1">
        <v>41293</v>
      </c>
      <c r="D524" t="s">
        <v>289</v>
      </c>
      <c r="E524">
        <v>-16</v>
      </c>
      <c r="F524">
        <v>-3</v>
      </c>
      <c r="G524">
        <v>0</v>
      </c>
      <c r="H524">
        <v>0</v>
      </c>
      <c r="I524">
        <v>129</v>
      </c>
      <c r="J524">
        <v>-19</v>
      </c>
      <c r="K524" t="s">
        <v>1254</v>
      </c>
      <c r="L524" s="1">
        <v>41139</v>
      </c>
      <c r="M524" t="s">
        <v>1255</v>
      </c>
      <c r="N524" t="s">
        <v>36</v>
      </c>
      <c r="O524" t="s">
        <v>37</v>
      </c>
      <c r="P524" t="s">
        <v>426</v>
      </c>
      <c r="Q524" t="s">
        <v>39</v>
      </c>
      <c r="R524" t="s">
        <v>40</v>
      </c>
      <c r="S524">
        <v>0</v>
      </c>
      <c r="U524" t="s">
        <v>41</v>
      </c>
      <c r="V524" t="s">
        <v>42</v>
      </c>
      <c r="W524" t="s">
        <v>1256</v>
      </c>
      <c r="X524" t="s">
        <v>43</v>
      </c>
      <c r="Y524" t="b">
        <v>0</v>
      </c>
      <c r="Z524" t="b">
        <v>0</v>
      </c>
      <c r="AA524" t="b">
        <v>0</v>
      </c>
      <c r="AC524" s="1"/>
      <c r="AF524">
        <v>0</v>
      </c>
      <c r="AG524">
        <v>45</v>
      </c>
      <c r="AH524">
        <v>174</v>
      </c>
      <c r="AI524" s="2">
        <f>Table__192.168.3.138DYLAgingReport[[#This Row],[NetAmount]]-Table__192.168.3.138DYLAgingReport[[#This Row],[Paid]]</f>
        <v>-19</v>
      </c>
    </row>
    <row r="525" spans="1:35">
      <c r="A525" t="s">
        <v>1257</v>
      </c>
      <c r="B525" s="1">
        <v>41263</v>
      </c>
      <c r="C525" s="1">
        <v>41308</v>
      </c>
      <c r="D525" t="s">
        <v>291</v>
      </c>
      <c r="E525">
        <v>-13859</v>
      </c>
      <c r="F525">
        <v>-2217</v>
      </c>
      <c r="G525">
        <v>0</v>
      </c>
      <c r="H525">
        <v>0</v>
      </c>
      <c r="I525">
        <v>110</v>
      </c>
      <c r="J525">
        <v>-16076</v>
      </c>
      <c r="K525" t="s">
        <v>1258</v>
      </c>
      <c r="L525" s="1">
        <v>41158</v>
      </c>
      <c r="N525" t="s">
        <v>36</v>
      </c>
      <c r="O525" t="s">
        <v>37</v>
      </c>
      <c r="P525" t="s">
        <v>428</v>
      </c>
      <c r="Q525" t="s">
        <v>39</v>
      </c>
      <c r="R525" t="s">
        <v>40</v>
      </c>
      <c r="S525">
        <v>0</v>
      </c>
      <c r="U525" t="s">
        <v>41</v>
      </c>
      <c r="V525" t="s">
        <v>42</v>
      </c>
      <c r="X525" t="s">
        <v>43</v>
      </c>
      <c r="Y525" t="b">
        <v>0</v>
      </c>
      <c r="Z525" t="b">
        <v>0</v>
      </c>
      <c r="AC525" s="1"/>
      <c r="AF525">
        <v>0</v>
      </c>
      <c r="AG525">
        <v>45</v>
      </c>
      <c r="AH525">
        <v>155</v>
      </c>
      <c r="AI525" s="2">
        <f>Table__192.168.3.138DYLAgingReport[[#This Row],[NetAmount]]-Table__192.168.3.138DYLAgingReport[[#This Row],[Paid]]</f>
        <v>-16076</v>
      </c>
    </row>
    <row r="526" spans="1:35">
      <c r="A526" t="s">
        <v>1259</v>
      </c>
      <c r="B526" s="1">
        <v>41261</v>
      </c>
      <c r="C526" s="1">
        <v>41306</v>
      </c>
      <c r="D526" t="s">
        <v>293</v>
      </c>
      <c r="E526">
        <v>-5115</v>
      </c>
      <c r="F526">
        <v>-818</v>
      </c>
      <c r="G526">
        <v>0</v>
      </c>
      <c r="H526">
        <v>0</v>
      </c>
      <c r="I526">
        <v>110</v>
      </c>
      <c r="J526">
        <v>-5933</v>
      </c>
      <c r="K526" t="s">
        <v>1260</v>
      </c>
      <c r="L526" s="1">
        <v>41158</v>
      </c>
      <c r="N526" t="s">
        <v>36</v>
      </c>
      <c r="O526" t="s">
        <v>37</v>
      </c>
      <c r="P526" t="s">
        <v>430</v>
      </c>
      <c r="Q526" t="s">
        <v>39</v>
      </c>
      <c r="R526" t="s">
        <v>40</v>
      </c>
      <c r="S526">
        <v>0</v>
      </c>
      <c r="U526" t="s">
        <v>41</v>
      </c>
      <c r="V526" t="s">
        <v>42</v>
      </c>
      <c r="X526" t="s">
        <v>43</v>
      </c>
      <c r="Y526" t="b">
        <v>0</v>
      </c>
      <c r="Z526" t="b">
        <v>0</v>
      </c>
      <c r="AC526" s="1"/>
      <c r="AF526">
        <v>0</v>
      </c>
      <c r="AG526">
        <v>45</v>
      </c>
      <c r="AH526">
        <v>155</v>
      </c>
      <c r="AI526" s="2">
        <f>Table__192.168.3.138DYLAgingReport[[#This Row],[NetAmount]]-Table__192.168.3.138DYLAgingReport[[#This Row],[Paid]]</f>
        <v>-5933</v>
      </c>
    </row>
    <row r="527" spans="1:35">
      <c r="A527" t="s">
        <v>1261</v>
      </c>
      <c r="B527" s="1">
        <v>41268</v>
      </c>
      <c r="C527" s="1">
        <v>41313</v>
      </c>
      <c r="D527" t="s">
        <v>294</v>
      </c>
      <c r="E527">
        <v>-328</v>
      </c>
      <c r="F527">
        <v>0</v>
      </c>
      <c r="G527">
        <v>0</v>
      </c>
      <c r="H527">
        <v>0</v>
      </c>
      <c r="I527">
        <v>153</v>
      </c>
      <c r="J527">
        <v>-328</v>
      </c>
      <c r="K527" t="s">
        <v>1262</v>
      </c>
      <c r="L527" s="1">
        <v>41115</v>
      </c>
      <c r="N527" t="s">
        <v>36</v>
      </c>
      <c r="O527" t="s">
        <v>37</v>
      </c>
      <c r="P527" t="s">
        <v>431</v>
      </c>
      <c r="Q527" t="s">
        <v>39</v>
      </c>
      <c r="R527" t="s">
        <v>40</v>
      </c>
      <c r="S527">
        <v>0</v>
      </c>
      <c r="U527" t="s">
        <v>41</v>
      </c>
      <c r="V527" t="s">
        <v>42</v>
      </c>
      <c r="X527" t="s">
        <v>43</v>
      </c>
      <c r="Y527" t="b">
        <v>0</v>
      </c>
      <c r="Z527" t="b">
        <v>0</v>
      </c>
      <c r="AC527" s="1"/>
      <c r="AF527">
        <v>0</v>
      </c>
      <c r="AG527">
        <v>45</v>
      </c>
      <c r="AH527">
        <v>198</v>
      </c>
      <c r="AI527" s="2">
        <f>Table__192.168.3.138DYLAgingReport[[#This Row],[NetAmount]]-Table__192.168.3.138DYLAgingReport[[#This Row],[Paid]]</f>
        <v>-328</v>
      </c>
    </row>
    <row r="528" spans="1:35">
      <c r="A528" t="s">
        <v>1263</v>
      </c>
      <c r="B528" s="1">
        <v>41274</v>
      </c>
      <c r="C528" s="1">
        <v>41319</v>
      </c>
      <c r="D528" t="s">
        <v>296</v>
      </c>
      <c r="E528">
        <v>-2664</v>
      </c>
      <c r="F528">
        <v>-426</v>
      </c>
      <c r="G528">
        <v>0</v>
      </c>
      <c r="H528">
        <v>0</v>
      </c>
      <c r="I528">
        <v>38</v>
      </c>
      <c r="J528">
        <v>-3090</v>
      </c>
      <c r="K528" t="s">
        <v>1264</v>
      </c>
      <c r="L528" s="1">
        <v>41230</v>
      </c>
      <c r="N528" t="s">
        <v>36</v>
      </c>
      <c r="O528" t="s">
        <v>37</v>
      </c>
      <c r="P528" t="s">
        <v>433</v>
      </c>
      <c r="Q528" t="s">
        <v>39</v>
      </c>
      <c r="R528" t="s">
        <v>40</v>
      </c>
      <c r="S528">
        <v>0</v>
      </c>
      <c r="U528" t="s">
        <v>41</v>
      </c>
      <c r="V528" t="s">
        <v>42</v>
      </c>
      <c r="X528" t="s">
        <v>43</v>
      </c>
      <c r="Y528" t="b">
        <v>0</v>
      </c>
      <c r="Z528" t="b">
        <v>0</v>
      </c>
      <c r="AC528" s="1"/>
      <c r="AF528">
        <v>0</v>
      </c>
      <c r="AG528">
        <v>45</v>
      </c>
      <c r="AH528">
        <v>83</v>
      </c>
      <c r="AI528" s="2">
        <f>Table__192.168.3.138DYLAgingReport[[#This Row],[NetAmount]]-Table__192.168.3.138DYLAgingReport[[#This Row],[Paid]]</f>
        <v>-3090</v>
      </c>
    </row>
    <row r="529" spans="1:35">
      <c r="A529" t="s">
        <v>1265</v>
      </c>
      <c r="B529" s="1">
        <v>41274</v>
      </c>
      <c r="C529" s="1">
        <v>41319</v>
      </c>
      <c r="D529" t="s">
        <v>297</v>
      </c>
      <c r="E529">
        <v>-2025</v>
      </c>
      <c r="F529">
        <v>-324</v>
      </c>
      <c r="G529">
        <v>0</v>
      </c>
      <c r="H529">
        <v>0</v>
      </c>
      <c r="I529">
        <v>24</v>
      </c>
      <c r="J529">
        <v>-2349</v>
      </c>
      <c r="K529" t="s">
        <v>95</v>
      </c>
      <c r="L529" s="1">
        <v>41244</v>
      </c>
      <c r="N529" t="s">
        <v>36</v>
      </c>
      <c r="O529" t="s">
        <v>37</v>
      </c>
      <c r="P529" t="s">
        <v>434</v>
      </c>
      <c r="Q529" t="s">
        <v>39</v>
      </c>
      <c r="R529" t="s">
        <v>40</v>
      </c>
      <c r="S529">
        <v>0</v>
      </c>
      <c r="U529" t="s">
        <v>41</v>
      </c>
      <c r="V529" t="s">
        <v>42</v>
      </c>
      <c r="X529" t="s">
        <v>43</v>
      </c>
      <c r="Y529" t="b">
        <v>0</v>
      </c>
      <c r="Z529" t="b">
        <v>0</v>
      </c>
      <c r="AC529" s="1"/>
      <c r="AF529">
        <v>0</v>
      </c>
      <c r="AG529">
        <v>45</v>
      </c>
      <c r="AH529">
        <v>69</v>
      </c>
      <c r="AI529" s="2">
        <f>Table__192.168.3.138DYLAgingReport[[#This Row],[NetAmount]]-Table__192.168.3.138DYLAgingReport[[#This Row],[Paid]]</f>
        <v>-2349</v>
      </c>
    </row>
    <row r="530" spans="1:35">
      <c r="A530" t="s">
        <v>1266</v>
      </c>
      <c r="B530" s="1">
        <v>41274</v>
      </c>
      <c r="C530" s="1">
        <v>41319</v>
      </c>
      <c r="D530" t="s">
        <v>298</v>
      </c>
      <c r="E530">
        <v>-20529</v>
      </c>
      <c r="F530">
        <v>-3285</v>
      </c>
      <c r="G530">
        <v>0</v>
      </c>
      <c r="H530">
        <v>0</v>
      </c>
      <c r="I530">
        <v>26</v>
      </c>
      <c r="J530">
        <v>-23814</v>
      </c>
      <c r="K530" t="s">
        <v>1267</v>
      </c>
      <c r="L530" s="1">
        <v>41242</v>
      </c>
      <c r="N530" t="s">
        <v>36</v>
      </c>
      <c r="O530" t="s">
        <v>37</v>
      </c>
      <c r="P530" t="s">
        <v>435</v>
      </c>
      <c r="Q530" t="s">
        <v>39</v>
      </c>
      <c r="R530" t="s">
        <v>40</v>
      </c>
      <c r="S530">
        <v>0</v>
      </c>
      <c r="U530" t="s">
        <v>41</v>
      </c>
      <c r="V530" t="s">
        <v>42</v>
      </c>
      <c r="X530" t="s">
        <v>43</v>
      </c>
      <c r="Y530" t="b">
        <v>0</v>
      </c>
      <c r="Z530" t="b">
        <v>0</v>
      </c>
      <c r="AC530" s="1"/>
      <c r="AF530">
        <v>0</v>
      </c>
      <c r="AG530">
        <v>45</v>
      </c>
      <c r="AH530">
        <v>71</v>
      </c>
      <c r="AI530" s="2">
        <f>Table__192.168.3.138DYLAgingReport[[#This Row],[NetAmount]]-Table__192.168.3.138DYLAgingReport[[#This Row],[Paid]]</f>
        <v>-23814</v>
      </c>
    </row>
    <row r="531" spans="1:35">
      <c r="A531" t="s">
        <v>1268</v>
      </c>
      <c r="B531" s="1">
        <v>40740</v>
      </c>
      <c r="C531" s="1">
        <v>40785</v>
      </c>
      <c r="D531" t="s">
        <v>208</v>
      </c>
      <c r="E531">
        <v>17316</v>
      </c>
      <c r="F531">
        <v>2771</v>
      </c>
      <c r="G531">
        <v>0</v>
      </c>
      <c r="H531">
        <v>0</v>
      </c>
      <c r="I531">
        <v>528</v>
      </c>
      <c r="J531">
        <v>20087</v>
      </c>
      <c r="K531" t="s">
        <v>1269</v>
      </c>
      <c r="L531" s="1">
        <v>40740</v>
      </c>
      <c r="N531" t="s">
        <v>36</v>
      </c>
      <c r="O531" t="s">
        <v>37</v>
      </c>
      <c r="P531" t="s">
        <v>345</v>
      </c>
      <c r="Q531" t="s">
        <v>39</v>
      </c>
      <c r="R531" t="s">
        <v>40</v>
      </c>
      <c r="S531">
        <v>0</v>
      </c>
      <c r="U531" t="s">
        <v>41</v>
      </c>
      <c r="V531" t="s">
        <v>42</v>
      </c>
      <c r="X531" t="s">
        <v>74</v>
      </c>
      <c r="Y531" t="b">
        <v>0</v>
      </c>
      <c r="Z531" t="b">
        <v>0</v>
      </c>
      <c r="AB531" t="s">
        <v>1270</v>
      </c>
      <c r="AC531" s="1">
        <v>40725</v>
      </c>
      <c r="AD531" t="s">
        <v>1271</v>
      </c>
      <c r="AE531" t="s">
        <v>1272</v>
      </c>
      <c r="AF531">
        <v>0</v>
      </c>
      <c r="AG531">
        <v>45</v>
      </c>
      <c r="AH531">
        <v>573</v>
      </c>
      <c r="AI531" s="2">
        <f>Table__192.168.3.138DYLAgingReport[[#This Row],[NetAmount]]-Table__192.168.3.138DYLAgingReport[[#This Row],[Paid]]</f>
        <v>20087</v>
      </c>
    </row>
    <row r="532" spans="1:35">
      <c r="A532" t="s">
        <v>72</v>
      </c>
      <c r="B532" s="1">
        <v>40752</v>
      </c>
      <c r="C532" s="1">
        <v>40797</v>
      </c>
      <c r="D532" t="s">
        <v>35</v>
      </c>
      <c r="E532">
        <v>42000</v>
      </c>
      <c r="F532">
        <v>6720</v>
      </c>
      <c r="G532">
        <v>0</v>
      </c>
      <c r="H532">
        <v>0</v>
      </c>
      <c r="I532">
        <v>522</v>
      </c>
      <c r="J532">
        <v>48720</v>
      </c>
      <c r="K532" t="s">
        <v>73</v>
      </c>
      <c r="L532" s="1">
        <v>40746</v>
      </c>
      <c r="N532" t="s">
        <v>36</v>
      </c>
      <c r="O532" t="s">
        <v>37</v>
      </c>
      <c r="P532" t="s">
        <v>38</v>
      </c>
      <c r="Q532" t="s">
        <v>39</v>
      </c>
      <c r="R532" t="s">
        <v>40</v>
      </c>
      <c r="S532">
        <v>0</v>
      </c>
      <c r="U532" t="s">
        <v>41</v>
      </c>
      <c r="V532" t="s">
        <v>42</v>
      </c>
      <c r="X532" t="s">
        <v>74</v>
      </c>
      <c r="Y532" t="b">
        <v>0</v>
      </c>
      <c r="Z532" t="b">
        <v>0</v>
      </c>
      <c r="AB532" t="s">
        <v>75</v>
      </c>
      <c r="AC532" s="1">
        <v>40850</v>
      </c>
      <c r="AD532" t="s">
        <v>76</v>
      </c>
      <c r="AE532" t="s">
        <v>77</v>
      </c>
      <c r="AF532">
        <v>42342</v>
      </c>
      <c r="AG532">
        <v>45</v>
      </c>
      <c r="AH532">
        <v>567</v>
      </c>
      <c r="AI532" s="2">
        <f>Table__192.168.3.138DYLAgingReport[[#This Row],[NetAmount]]-Table__192.168.3.138DYLAgingReport[[#This Row],[Paid]]</f>
        <v>6378</v>
      </c>
    </row>
    <row r="533" spans="1:35">
      <c r="A533" t="s">
        <v>1273</v>
      </c>
      <c r="B533" s="1">
        <v>40744</v>
      </c>
      <c r="C533" s="1">
        <v>40789</v>
      </c>
      <c r="D533" t="s">
        <v>219</v>
      </c>
      <c r="E533">
        <v>2500</v>
      </c>
      <c r="F533">
        <v>400</v>
      </c>
      <c r="G533">
        <v>0</v>
      </c>
      <c r="H533">
        <v>0</v>
      </c>
      <c r="I533">
        <v>524</v>
      </c>
      <c r="J533">
        <v>2900</v>
      </c>
      <c r="K533" t="s">
        <v>1274</v>
      </c>
      <c r="L533" s="1">
        <v>40744</v>
      </c>
      <c r="N533" t="s">
        <v>36</v>
      </c>
      <c r="O533" t="s">
        <v>37</v>
      </c>
      <c r="P533" t="s">
        <v>356</v>
      </c>
      <c r="Q533" t="s">
        <v>39</v>
      </c>
      <c r="R533" t="s">
        <v>40</v>
      </c>
      <c r="S533">
        <v>0</v>
      </c>
      <c r="U533" t="s">
        <v>41</v>
      </c>
      <c r="V533" t="s">
        <v>42</v>
      </c>
      <c r="X533" t="s">
        <v>74</v>
      </c>
      <c r="Y533" t="b">
        <v>0</v>
      </c>
      <c r="Z533" t="b">
        <v>0</v>
      </c>
      <c r="AB533" t="s">
        <v>1275</v>
      </c>
      <c r="AC533" s="1">
        <v>40848</v>
      </c>
      <c r="AD533" t="s">
        <v>1276</v>
      </c>
      <c r="AE533" t="s">
        <v>1277</v>
      </c>
      <c r="AF533">
        <v>2765</v>
      </c>
      <c r="AG533">
        <v>45</v>
      </c>
      <c r="AH533">
        <v>569</v>
      </c>
      <c r="AI533" s="2">
        <f>Table__192.168.3.138DYLAgingReport[[#This Row],[NetAmount]]-Table__192.168.3.138DYLAgingReport[[#This Row],[Paid]]</f>
        <v>135</v>
      </c>
    </row>
    <row r="534" spans="1:35">
      <c r="A534" t="s">
        <v>1278</v>
      </c>
      <c r="B534" s="1">
        <v>40747</v>
      </c>
      <c r="C534" s="1">
        <v>40792</v>
      </c>
      <c r="D534" t="s">
        <v>180</v>
      </c>
      <c r="E534">
        <v>312194</v>
      </c>
      <c r="F534">
        <v>49951</v>
      </c>
      <c r="G534">
        <v>0</v>
      </c>
      <c r="H534">
        <v>0</v>
      </c>
      <c r="I534">
        <v>521</v>
      </c>
      <c r="J534">
        <v>362145</v>
      </c>
      <c r="K534" t="s">
        <v>1279</v>
      </c>
      <c r="L534" s="1">
        <v>40747</v>
      </c>
      <c r="N534" t="s">
        <v>36</v>
      </c>
      <c r="O534" t="s">
        <v>37</v>
      </c>
      <c r="P534" t="s">
        <v>317</v>
      </c>
      <c r="Q534" t="s">
        <v>39</v>
      </c>
      <c r="R534" t="s">
        <v>40</v>
      </c>
      <c r="S534">
        <v>0</v>
      </c>
      <c r="U534" t="s">
        <v>41</v>
      </c>
      <c r="V534" t="s">
        <v>42</v>
      </c>
      <c r="X534" t="s">
        <v>74</v>
      </c>
      <c r="Y534" t="b">
        <v>0</v>
      </c>
      <c r="Z534" t="b">
        <v>0</v>
      </c>
      <c r="AB534" t="s">
        <v>1280</v>
      </c>
      <c r="AC534" s="1">
        <v>40817</v>
      </c>
      <c r="AD534" t="s">
        <v>1281</v>
      </c>
      <c r="AE534" t="s">
        <v>1282</v>
      </c>
      <c r="AF534">
        <v>0</v>
      </c>
      <c r="AG534">
        <v>45</v>
      </c>
      <c r="AH534">
        <v>566</v>
      </c>
      <c r="AI534" s="2">
        <f>Table__192.168.3.138DYLAgingReport[[#This Row],[NetAmount]]-Table__192.168.3.138DYLAgingReport[[#This Row],[Paid]]</f>
        <v>362145</v>
      </c>
    </row>
    <row r="535" spans="1:35">
      <c r="A535" t="s">
        <v>1283</v>
      </c>
      <c r="B535" s="1">
        <v>40749</v>
      </c>
      <c r="C535" s="1">
        <v>40794</v>
      </c>
      <c r="D535" t="s">
        <v>180</v>
      </c>
      <c r="E535">
        <v>15042</v>
      </c>
      <c r="F535">
        <v>2407</v>
      </c>
      <c r="G535">
        <v>0</v>
      </c>
      <c r="H535">
        <v>0</v>
      </c>
      <c r="I535">
        <v>519</v>
      </c>
      <c r="J535">
        <v>17449</v>
      </c>
      <c r="K535" t="s">
        <v>1284</v>
      </c>
      <c r="L535" s="1">
        <v>40749</v>
      </c>
      <c r="N535" t="s">
        <v>36</v>
      </c>
      <c r="O535" t="s">
        <v>37</v>
      </c>
      <c r="P535" t="s">
        <v>317</v>
      </c>
      <c r="Q535" t="s">
        <v>39</v>
      </c>
      <c r="R535" t="s">
        <v>40</v>
      </c>
      <c r="S535">
        <v>0</v>
      </c>
      <c r="U535" t="s">
        <v>41</v>
      </c>
      <c r="V535" t="s">
        <v>42</v>
      </c>
      <c r="X535" t="s">
        <v>74</v>
      </c>
      <c r="Y535" t="b">
        <v>0</v>
      </c>
      <c r="Z535" t="b">
        <v>0</v>
      </c>
      <c r="AB535" t="s">
        <v>1280</v>
      </c>
      <c r="AC535" s="1">
        <v>40817</v>
      </c>
      <c r="AD535" t="s">
        <v>1285</v>
      </c>
      <c r="AE535" t="s">
        <v>1282</v>
      </c>
      <c r="AF535">
        <v>0</v>
      </c>
      <c r="AG535">
        <v>45</v>
      </c>
      <c r="AH535">
        <v>564</v>
      </c>
      <c r="AI535" s="2">
        <f>Table__192.168.3.138DYLAgingReport[[#This Row],[NetAmount]]-Table__192.168.3.138DYLAgingReport[[#This Row],[Paid]]</f>
        <v>17449</v>
      </c>
    </row>
    <row r="536" spans="1:35">
      <c r="A536" t="s">
        <v>1286</v>
      </c>
      <c r="B536" s="1">
        <v>40750</v>
      </c>
      <c r="C536" s="1">
        <v>40795</v>
      </c>
      <c r="D536" t="s">
        <v>180</v>
      </c>
      <c r="E536">
        <v>386626</v>
      </c>
      <c r="F536">
        <v>61860</v>
      </c>
      <c r="G536">
        <v>0</v>
      </c>
      <c r="H536">
        <v>0</v>
      </c>
      <c r="I536">
        <v>518</v>
      </c>
      <c r="J536">
        <v>448486</v>
      </c>
      <c r="K536" t="s">
        <v>1287</v>
      </c>
      <c r="L536" s="1">
        <v>40750</v>
      </c>
      <c r="N536" t="s">
        <v>36</v>
      </c>
      <c r="O536" t="s">
        <v>37</v>
      </c>
      <c r="P536" t="s">
        <v>317</v>
      </c>
      <c r="Q536" t="s">
        <v>39</v>
      </c>
      <c r="R536" t="s">
        <v>40</v>
      </c>
      <c r="S536">
        <v>0</v>
      </c>
      <c r="U536" t="s">
        <v>41</v>
      </c>
      <c r="V536" t="s">
        <v>42</v>
      </c>
      <c r="X536" t="s">
        <v>74</v>
      </c>
      <c r="Y536" t="b">
        <v>0</v>
      </c>
      <c r="Z536" t="b">
        <v>0</v>
      </c>
      <c r="AB536" t="s">
        <v>1280</v>
      </c>
      <c r="AC536" s="1">
        <v>40817</v>
      </c>
      <c r="AD536" t="s">
        <v>1285</v>
      </c>
      <c r="AE536" t="s">
        <v>1282</v>
      </c>
      <c r="AF536">
        <v>0</v>
      </c>
      <c r="AG536">
        <v>45</v>
      </c>
      <c r="AH536">
        <v>563</v>
      </c>
      <c r="AI536" s="2">
        <f>Table__192.168.3.138DYLAgingReport[[#This Row],[NetAmount]]-Table__192.168.3.138DYLAgingReport[[#This Row],[Paid]]</f>
        <v>448486</v>
      </c>
    </row>
    <row r="537" spans="1:35">
      <c r="A537" t="s">
        <v>1288</v>
      </c>
      <c r="B537" s="1">
        <v>40754</v>
      </c>
      <c r="C537" s="1">
        <v>40799</v>
      </c>
      <c r="D537" t="s">
        <v>180</v>
      </c>
      <c r="E537">
        <v>495940</v>
      </c>
      <c r="F537">
        <v>79350</v>
      </c>
      <c r="G537">
        <v>0</v>
      </c>
      <c r="H537">
        <v>0</v>
      </c>
      <c r="I537">
        <v>514</v>
      </c>
      <c r="J537">
        <v>575290</v>
      </c>
      <c r="K537" t="s">
        <v>1289</v>
      </c>
      <c r="L537" s="1">
        <v>40754</v>
      </c>
      <c r="N537" t="s">
        <v>36</v>
      </c>
      <c r="O537" t="s">
        <v>37</v>
      </c>
      <c r="P537" t="s">
        <v>317</v>
      </c>
      <c r="Q537" t="s">
        <v>39</v>
      </c>
      <c r="R537" t="s">
        <v>40</v>
      </c>
      <c r="S537">
        <v>0</v>
      </c>
      <c r="U537" t="s">
        <v>41</v>
      </c>
      <c r="V537" t="s">
        <v>42</v>
      </c>
      <c r="X537" t="s">
        <v>74</v>
      </c>
      <c r="Y537" t="b">
        <v>0</v>
      </c>
      <c r="Z537" t="b">
        <v>0</v>
      </c>
      <c r="AB537" t="s">
        <v>1280</v>
      </c>
      <c r="AC537" s="1">
        <v>40817</v>
      </c>
      <c r="AD537" t="s">
        <v>1281</v>
      </c>
      <c r="AE537" t="s">
        <v>1282</v>
      </c>
      <c r="AF537">
        <v>0</v>
      </c>
      <c r="AG537">
        <v>45</v>
      </c>
      <c r="AH537">
        <v>559</v>
      </c>
      <c r="AI537" s="2">
        <f>Table__192.168.3.138DYLAgingReport[[#This Row],[NetAmount]]-Table__192.168.3.138DYLAgingReport[[#This Row],[Paid]]</f>
        <v>575290</v>
      </c>
    </row>
    <row r="538" spans="1:35">
      <c r="A538" t="s">
        <v>1290</v>
      </c>
      <c r="B538" s="1">
        <v>40754</v>
      </c>
      <c r="C538" s="1">
        <v>40799</v>
      </c>
      <c r="D538" t="s">
        <v>180</v>
      </c>
      <c r="E538">
        <v>19709</v>
      </c>
      <c r="F538">
        <v>3153</v>
      </c>
      <c r="G538">
        <v>0</v>
      </c>
      <c r="H538">
        <v>0</v>
      </c>
      <c r="I538">
        <v>514</v>
      </c>
      <c r="J538">
        <v>22862</v>
      </c>
      <c r="K538" t="s">
        <v>1291</v>
      </c>
      <c r="L538" s="1">
        <v>40754</v>
      </c>
      <c r="N538" t="s">
        <v>36</v>
      </c>
      <c r="O538" t="s">
        <v>37</v>
      </c>
      <c r="P538" t="s">
        <v>317</v>
      </c>
      <c r="Q538" t="s">
        <v>39</v>
      </c>
      <c r="R538" t="s">
        <v>40</v>
      </c>
      <c r="S538">
        <v>0</v>
      </c>
      <c r="U538" t="s">
        <v>41</v>
      </c>
      <c r="V538" t="s">
        <v>42</v>
      </c>
      <c r="X538" t="s">
        <v>74</v>
      </c>
      <c r="Y538" t="b">
        <v>0</v>
      </c>
      <c r="Z538" t="b">
        <v>0</v>
      </c>
      <c r="AB538" t="s">
        <v>1280</v>
      </c>
      <c r="AC538" s="1">
        <v>40817</v>
      </c>
      <c r="AD538" t="s">
        <v>1285</v>
      </c>
      <c r="AE538" t="s">
        <v>1282</v>
      </c>
      <c r="AF538">
        <v>0</v>
      </c>
      <c r="AG538">
        <v>45</v>
      </c>
      <c r="AH538">
        <v>559</v>
      </c>
      <c r="AI538" s="2">
        <f>Table__192.168.3.138DYLAgingReport[[#This Row],[NetAmount]]-Table__192.168.3.138DYLAgingReport[[#This Row],[Paid]]</f>
        <v>22862</v>
      </c>
    </row>
    <row r="539" spans="1:35">
      <c r="A539" t="s">
        <v>1292</v>
      </c>
      <c r="B539" s="1">
        <v>40747</v>
      </c>
      <c r="C539" s="1">
        <v>40792</v>
      </c>
      <c r="D539" t="s">
        <v>208</v>
      </c>
      <c r="E539">
        <v>3605</v>
      </c>
      <c r="F539">
        <v>577</v>
      </c>
      <c r="G539">
        <v>0</v>
      </c>
      <c r="H539">
        <v>0</v>
      </c>
      <c r="I539">
        <v>521</v>
      </c>
      <c r="J539">
        <v>4182</v>
      </c>
      <c r="K539" t="s">
        <v>1293</v>
      </c>
      <c r="L539" s="1">
        <v>40747</v>
      </c>
      <c r="N539" t="s">
        <v>36</v>
      </c>
      <c r="O539" t="s">
        <v>37</v>
      </c>
      <c r="P539" t="s">
        <v>345</v>
      </c>
      <c r="Q539" t="s">
        <v>39</v>
      </c>
      <c r="R539" t="s">
        <v>40</v>
      </c>
      <c r="S539">
        <v>0</v>
      </c>
      <c r="U539" t="s">
        <v>41</v>
      </c>
      <c r="V539" t="s">
        <v>42</v>
      </c>
      <c r="X539" t="s">
        <v>74</v>
      </c>
      <c r="Y539" t="b">
        <v>0</v>
      </c>
      <c r="Z539" t="b">
        <v>0</v>
      </c>
      <c r="AB539" t="s">
        <v>1270</v>
      </c>
      <c r="AC539" s="1">
        <v>40725</v>
      </c>
      <c r="AD539" t="s">
        <v>1294</v>
      </c>
      <c r="AE539" t="s">
        <v>1272</v>
      </c>
      <c r="AF539">
        <v>0</v>
      </c>
      <c r="AG539">
        <v>45</v>
      </c>
      <c r="AH539">
        <v>566</v>
      </c>
      <c r="AI539" s="2">
        <f>Table__192.168.3.138DYLAgingReport[[#This Row],[NetAmount]]-Table__192.168.3.138DYLAgingReport[[#This Row],[Paid]]</f>
        <v>4182</v>
      </c>
    </row>
    <row r="540" spans="1:35">
      <c r="A540" t="s">
        <v>1295</v>
      </c>
      <c r="B540" s="1">
        <v>40754</v>
      </c>
      <c r="C540" s="1">
        <v>40799</v>
      </c>
      <c r="D540" t="s">
        <v>219</v>
      </c>
      <c r="E540">
        <v>6510</v>
      </c>
      <c r="F540">
        <v>1042</v>
      </c>
      <c r="G540">
        <v>0</v>
      </c>
      <c r="H540">
        <v>0</v>
      </c>
      <c r="I540">
        <v>514</v>
      </c>
      <c r="J540">
        <v>7552</v>
      </c>
      <c r="K540" t="s">
        <v>1296</v>
      </c>
      <c r="L540" s="1">
        <v>40754</v>
      </c>
      <c r="N540" t="s">
        <v>36</v>
      </c>
      <c r="O540" t="s">
        <v>37</v>
      </c>
      <c r="P540" t="s">
        <v>356</v>
      </c>
      <c r="Q540" t="s">
        <v>39</v>
      </c>
      <c r="R540" t="s">
        <v>40</v>
      </c>
      <c r="S540">
        <v>0</v>
      </c>
      <c r="U540" t="s">
        <v>41</v>
      </c>
      <c r="V540" t="s">
        <v>42</v>
      </c>
      <c r="X540" t="s">
        <v>74</v>
      </c>
      <c r="Y540" t="b">
        <v>0</v>
      </c>
      <c r="Z540" t="b">
        <v>0</v>
      </c>
      <c r="AB540" t="s">
        <v>1297</v>
      </c>
      <c r="AC540" s="1">
        <v>40848</v>
      </c>
      <c r="AD540" t="s">
        <v>1298</v>
      </c>
      <c r="AE540" t="s">
        <v>1299</v>
      </c>
      <c r="AF540">
        <v>0</v>
      </c>
      <c r="AG540">
        <v>45</v>
      </c>
      <c r="AH540">
        <v>559</v>
      </c>
      <c r="AI540" s="2">
        <f>Table__192.168.3.138DYLAgingReport[[#This Row],[NetAmount]]-Table__192.168.3.138DYLAgingReport[[#This Row],[Paid]]</f>
        <v>7552</v>
      </c>
    </row>
    <row r="541" spans="1:35">
      <c r="A541" t="s">
        <v>1300</v>
      </c>
      <c r="B541" s="1">
        <v>40754</v>
      </c>
      <c r="C541" s="1">
        <v>40799</v>
      </c>
      <c r="D541" t="s">
        <v>219</v>
      </c>
      <c r="E541">
        <v>463348</v>
      </c>
      <c r="F541">
        <v>74136</v>
      </c>
      <c r="G541">
        <v>0</v>
      </c>
      <c r="H541">
        <v>0</v>
      </c>
      <c r="I541">
        <v>514</v>
      </c>
      <c r="J541">
        <v>537484</v>
      </c>
      <c r="K541" t="s">
        <v>1301</v>
      </c>
      <c r="L541" s="1">
        <v>40754</v>
      </c>
      <c r="N541" t="s">
        <v>36</v>
      </c>
      <c r="O541" t="s">
        <v>37</v>
      </c>
      <c r="P541" t="s">
        <v>356</v>
      </c>
      <c r="Q541" t="s">
        <v>39</v>
      </c>
      <c r="R541" t="s">
        <v>40</v>
      </c>
      <c r="S541">
        <v>0</v>
      </c>
      <c r="U541" t="s">
        <v>41</v>
      </c>
      <c r="V541" t="s">
        <v>42</v>
      </c>
      <c r="X541" t="s">
        <v>74</v>
      </c>
      <c r="Y541" t="b">
        <v>0</v>
      </c>
      <c r="Z541" t="b">
        <v>0</v>
      </c>
      <c r="AB541" t="s">
        <v>1297</v>
      </c>
      <c r="AC541" s="1">
        <v>40848</v>
      </c>
      <c r="AD541" t="s">
        <v>1298</v>
      </c>
      <c r="AE541" t="s">
        <v>1299</v>
      </c>
      <c r="AF541">
        <v>0</v>
      </c>
      <c r="AG541">
        <v>45</v>
      </c>
      <c r="AH541">
        <v>559</v>
      </c>
      <c r="AI541" s="2">
        <f>Table__192.168.3.138DYLAgingReport[[#This Row],[NetAmount]]-Table__192.168.3.138DYLAgingReport[[#This Row],[Paid]]</f>
        <v>537484</v>
      </c>
    </row>
    <row r="542" spans="1:35">
      <c r="A542" t="s">
        <v>1302</v>
      </c>
      <c r="B542" s="1">
        <v>40754</v>
      </c>
      <c r="C542" s="1">
        <v>40799</v>
      </c>
      <c r="D542" t="s">
        <v>219</v>
      </c>
      <c r="E542">
        <v>95104</v>
      </c>
      <c r="F542">
        <v>15217</v>
      </c>
      <c r="G542">
        <v>0</v>
      </c>
      <c r="H542">
        <v>0</v>
      </c>
      <c r="I542">
        <v>514</v>
      </c>
      <c r="J542">
        <v>110321</v>
      </c>
      <c r="K542" t="s">
        <v>1303</v>
      </c>
      <c r="L542" s="1">
        <v>40754</v>
      </c>
      <c r="N542" t="s">
        <v>36</v>
      </c>
      <c r="O542" t="s">
        <v>37</v>
      </c>
      <c r="P542" t="s">
        <v>356</v>
      </c>
      <c r="Q542" t="s">
        <v>39</v>
      </c>
      <c r="R542" t="s">
        <v>40</v>
      </c>
      <c r="S542">
        <v>0</v>
      </c>
      <c r="U542" t="s">
        <v>41</v>
      </c>
      <c r="V542" t="s">
        <v>42</v>
      </c>
      <c r="X542" t="s">
        <v>74</v>
      </c>
      <c r="Y542" t="b">
        <v>0</v>
      </c>
      <c r="Z542" t="b">
        <v>0</v>
      </c>
      <c r="AB542" t="s">
        <v>1297</v>
      </c>
      <c r="AC542" s="1">
        <v>40848</v>
      </c>
      <c r="AD542" t="s">
        <v>1298</v>
      </c>
      <c r="AE542" t="s">
        <v>1299</v>
      </c>
      <c r="AF542">
        <v>0</v>
      </c>
      <c r="AG542">
        <v>45</v>
      </c>
      <c r="AH542">
        <v>559</v>
      </c>
      <c r="AI542" s="2">
        <f>Table__192.168.3.138DYLAgingReport[[#This Row],[NetAmount]]-Table__192.168.3.138DYLAgingReport[[#This Row],[Paid]]</f>
        <v>110321</v>
      </c>
    </row>
    <row r="543" spans="1:35">
      <c r="A543" t="s">
        <v>1304</v>
      </c>
      <c r="B543" s="1">
        <v>40754</v>
      </c>
      <c r="C543" s="1">
        <v>40799</v>
      </c>
      <c r="D543" t="s">
        <v>219</v>
      </c>
      <c r="E543">
        <v>76783</v>
      </c>
      <c r="F543">
        <v>12285</v>
      </c>
      <c r="G543">
        <v>0</v>
      </c>
      <c r="H543">
        <v>0</v>
      </c>
      <c r="I543">
        <v>514</v>
      </c>
      <c r="J543">
        <v>89068</v>
      </c>
      <c r="K543" t="s">
        <v>1305</v>
      </c>
      <c r="L543" s="1">
        <v>40754</v>
      </c>
      <c r="N543" t="s">
        <v>36</v>
      </c>
      <c r="O543" t="s">
        <v>37</v>
      </c>
      <c r="P543" t="s">
        <v>356</v>
      </c>
      <c r="Q543" t="s">
        <v>39</v>
      </c>
      <c r="R543" t="s">
        <v>40</v>
      </c>
      <c r="S543">
        <v>0</v>
      </c>
      <c r="U543" t="s">
        <v>41</v>
      </c>
      <c r="V543" t="s">
        <v>42</v>
      </c>
      <c r="X543" t="s">
        <v>74</v>
      </c>
      <c r="Y543" t="b">
        <v>0</v>
      </c>
      <c r="Z543" t="b">
        <v>0</v>
      </c>
      <c r="AB543" t="s">
        <v>1297</v>
      </c>
      <c r="AC543" s="1">
        <v>40848</v>
      </c>
      <c r="AD543" t="s">
        <v>1298</v>
      </c>
      <c r="AE543" t="s">
        <v>1299</v>
      </c>
      <c r="AF543">
        <v>0</v>
      </c>
      <c r="AG543">
        <v>45</v>
      </c>
      <c r="AH543">
        <v>559</v>
      </c>
      <c r="AI543" s="2">
        <f>Table__192.168.3.138DYLAgingReport[[#This Row],[NetAmount]]-Table__192.168.3.138DYLAgingReport[[#This Row],[Paid]]</f>
        <v>89068</v>
      </c>
    </row>
    <row r="544" spans="1:35">
      <c r="A544" t="s">
        <v>1306</v>
      </c>
      <c r="B544" s="1">
        <v>40745</v>
      </c>
      <c r="C544" s="1">
        <v>40790</v>
      </c>
      <c r="D544" t="s">
        <v>208</v>
      </c>
      <c r="E544">
        <v>5840</v>
      </c>
      <c r="F544">
        <v>934</v>
      </c>
      <c r="G544">
        <v>0</v>
      </c>
      <c r="H544">
        <v>0</v>
      </c>
      <c r="I544">
        <v>516</v>
      </c>
      <c r="J544">
        <v>6774</v>
      </c>
      <c r="K544" t="s">
        <v>1307</v>
      </c>
      <c r="L544" s="1">
        <v>40752</v>
      </c>
      <c r="N544" t="s">
        <v>36</v>
      </c>
      <c r="O544" t="s">
        <v>37</v>
      </c>
      <c r="P544" t="s">
        <v>345</v>
      </c>
      <c r="Q544" t="s">
        <v>39</v>
      </c>
      <c r="R544" t="s">
        <v>40</v>
      </c>
      <c r="S544">
        <v>0</v>
      </c>
      <c r="U544" t="s">
        <v>41</v>
      </c>
      <c r="V544" t="s">
        <v>42</v>
      </c>
      <c r="X544" t="s">
        <v>74</v>
      </c>
      <c r="Y544" t="b">
        <v>0</v>
      </c>
      <c r="Z544" t="b">
        <v>0</v>
      </c>
      <c r="AB544" t="s">
        <v>1270</v>
      </c>
      <c r="AC544" s="1">
        <v>40725</v>
      </c>
      <c r="AD544" t="s">
        <v>1271</v>
      </c>
      <c r="AE544" t="s">
        <v>1272</v>
      </c>
      <c r="AF544">
        <v>0</v>
      </c>
      <c r="AG544">
        <v>45</v>
      </c>
      <c r="AH544">
        <v>561</v>
      </c>
      <c r="AI544" s="2">
        <f>Table__192.168.3.138DYLAgingReport[[#This Row],[NetAmount]]-Table__192.168.3.138DYLAgingReport[[#This Row],[Paid]]</f>
        <v>6774</v>
      </c>
    </row>
    <row r="545" spans="1:35">
      <c r="A545" t="s">
        <v>1308</v>
      </c>
      <c r="B545" s="1">
        <v>40753</v>
      </c>
      <c r="C545" s="1">
        <v>40798</v>
      </c>
      <c r="D545" t="s">
        <v>248</v>
      </c>
      <c r="E545">
        <v>1740973</v>
      </c>
      <c r="F545">
        <v>278556</v>
      </c>
      <c r="G545">
        <v>0</v>
      </c>
      <c r="H545">
        <v>0</v>
      </c>
      <c r="I545">
        <v>515</v>
      </c>
      <c r="J545">
        <v>2019529</v>
      </c>
      <c r="K545" t="s">
        <v>1309</v>
      </c>
      <c r="L545" s="1">
        <v>40753</v>
      </c>
      <c r="N545" t="s">
        <v>36</v>
      </c>
      <c r="O545" t="s">
        <v>37</v>
      </c>
      <c r="P545" t="s">
        <v>385</v>
      </c>
      <c r="Q545" t="s">
        <v>39</v>
      </c>
      <c r="R545" t="s">
        <v>40</v>
      </c>
      <c r="S545">
        <v>0</v>
      </c>
      <c r="U545" t="s">
        <v>41</v>
      </c>
      <c r="V545" t="s">
        <v>42</v>
      </c>
      <c r="X545" t="s">
        <v>74</v>
      </c>
      <c r="Y545" t="b">
        <v>0</v>
      </c>
      <c r="Z545" t="b">
        <v>0</v>
      </c>
      <c r="AB545" t="s">
        <v>1310</v>
      </c>
      <c r="AC545" s="1">
        <v>40912</v>
      </c>
      <c r="AD545" t="s">
        <v>1311</v>
      </c>
      <c r="AE545" t="s">
        <v>1312</v>
      </c>
      <c r="AF545">
        <v>2018575</v>
      </c>
      <c r="AG545">
        <v>45</v>
      </c>
      <c r="AH545">
        <v>560</v>
      </c>
      <c r="AI545" s="2">
        <f>Table__192.168.3.138DYLAgingReport[[#This Row],[NetAmount]]-Table__192.168.3.138DYLAgingReport[[#This Row],[Paid]]</f>
        <v>954</v>
      </c>
    </row>
    <row r="546" spans="1:35">
      <c r="A546" t="s">
        <v>1313</v>
      </c>
      <c r="B546" s="1">
        <v>40754</v>
      </c>
      <c r="C546" s="1">
        <v>40799</v>
      </c>
      <c r="D546" t="s">
        <v>208</v>
      </c>
      <c r="E546">
        <v>3600</v>
      </c>
      <c r="F546">
        <v>576</v>
      </c>
      <c r="G546">
        <v>0</v>
      </c>
      <c r="H546">
        <v>0</v>
      </c>
      <c r="I546">
        <v>516</v>
      </c>
      <c r="J546">
        <v>4176</v>
      </c>
      <c r="K546" t="s">
        <v>1314</v>
      </c>
      <c r="L546" s="1">
        <v>40752</v>
      </c>
      <c r="N546" t="s">
        <v>36</v>
      </c>
      <c r="O546" t="s">
        <v>37</v>
      </c>
      <c r="P546" t="s">
        <v>345</v>
      </c>
      <c r="Q546" t="s">
        <v>39</v>
      </c>
      <c r="R546" t="s">
        <v>40</v>
      </c>
      <c r="S546">
        <v>0</v>
      </c>
      <c r="U546" t="s">
        <v>41</v>
      </c>
      <c r="V546" t="s">
        <v>42</v>
      </c>
      <c r="X546" t="s">
        <v>74</v>
      </c>
      <c r="Y546" t="b">
        <v>0</v>
      </c>
      <c r="Z546" t="b">
        <v>0</v>
      </c>
      <c r="AB546" t="s">
        <v>1270</v>
      </c>
      <c r="AC546" s="1">
        <v>40725</v>
      </c>
      <c r="AD546" t="s">
        <v>1315</v>
      </c>
      <c r="AE546" t="s">
        <v>1272</v>
      </c>
      <c r="AF546">
        <v>4116</v>
      </c>
      <c r="AG546">
        <v>45</v>
      </c>
      <c r="AH546">
        <v>561</v>
      </c>
      <c r="AI546" s="2">
        <f>Table__192.168.3.138DYLAgingReport[[#This Row],[NetAmount]]-Table__192.168.3.138DYLAgingReport[[#This Row],[Paid]]</f>
        <v>60</v>
      </c>
    </row>
    <row r="547" spans="1:35">
      <c r="A547" t="s">
        <v>1316</v>
      </c>
      <c r="B547" s="1">
        <v>40776</v>
      </c>
      <c r="C547" s="1">
        <v>40806</v>
      </c>
      <c r="D547" t="s">
        <v>165</v>
      </c>
      <c r="E547">
        <v>1405000</v>
      </c>
      <c r="F547">
        <v>224800</v>
      </c>
      <c r="G547">
        <v>0</v>
      </c>
      <c r="H547">
        <v>0</v>
      </c>
      <c r="I547">
        <v>496</v>
      </c>
      <c r="J547">
        <v>1629800</v>
      </c>
      <c r="K547" t="s">
        <v>1317</v>
      </c>
      <c r="L547" s="1">
        <v>40772</v>
      </c>
      <c r="N547" t="s">
        <v>36</v>
      </c>
      <c r="O547" t="s">
        <v>37</v>
      </c>
      <c r="P547" t="s">
        <v>302</v>
      </c>
      <c r="Q547" t="s">
        <v>39</v>
      </c>
      <c r="R547" t="s">
        <v>40</v>
      </c>
      <c r="S547">
        <v>0</v>
      </c>
      <c r="U547" t="s">
        <v>41</v>
      </c>
      <c r="V547" t="s">
        <v>42</v>
      </c>
      <c r="X547" t="s">
        <v>74</v>
      </c>
      <c r="Y547" t="b">
        <v>0</v>
      </c>
      <c r="Z547" t="b">
        <v>0</v>
      </c>
      <c r="AB547" t="s">
        <v>1318</v>
      </c>
      <c r="AC547" s="1">
        <v>40756</v>
      </c>
      <c r="AD547" t="s">
        <v>1319</v>
      </c>
      <c r="AE547" t="s">
        <v>1320</v>
      </c>
      <c r="AF547">
        <v>1626480</v>
      </c>
      <c r="AG547">
        <v>45</v>
      </c>
      <c r="AH547">
        <v>541</v>
      </c>
      <c r="AI547" s="2">
        <f>Table__192.168.3.138DYLAgingReport[[#This Row],[NetAmount]]-Table__192.168.3.138DYLAgingReport[[#This Row],[Paid]]</f>
        <v>3320</v>
      </c>
    </row>
    <row r="548" spans="1:35">
      <c r="A548" t="s">
        <v>1321</v>
      </c>
      <c r="B548" s="1">
        <v>40785</v>
      </c>
      <c r="C548" s="1">
        <v>40830</v>
      </c>
      <c r="D548" t="s">
        <v>248</v>
      </c>
      <c r="E548">
        <v>1933801</v>
      </c>
      <c r="F548">
        <v>309408</v>
      </c>
      <c r="G548">
        <v>0</v>
      </c>
      <c r="H548">
        <v>0</v>
      </c>
      <c r="I548">
        <v>484</v>
      </c>
      <c r="J548">
        <v>2243209</v>
      </c>
      <c r="K548" t="s">
        <v>1322</v>
      </c>
      <c r="L548" s="1">
        <v>40784</v>
      </c>
      <c r="N548" t="s">
        <v>36</v>
      </c>
      <c r="O548" t="s">
        <v>37</v>
      </c>
      <c r="P548" t="s">
        <v>385</v>
      </c>
      <c r="Q548" t="s">
        <v>39</v>
      </c>
      <c r="R548" t="s">
        <v>40</v>
      </c>
      <c r="S548">
        <v>0</v>
      </c>
      <c r="U548" t="s">
        <v>41</v>
      </c>
      <c r="V548" t="s">
        <v>42</v>
      </c>
      <c r="X548" t="s">
        <v>74</v>
      </c>
      <c r="Y548" t="b">
        <v>0</v>
      </c>
      <c r="Z548" t="b">
        <v>0</v>
      </c>
      <c r="AB548" t="s">
        <v>1323</v>
      </c>
      <c r="AC548" s="1">
        <v>41000</v>
      </c>
      <c r="AD548" t="s">
        <v>1324</v>
      </c>
      <c r="AE548" t="s">
        <v>1325</v>
      </c>
      <c r="AF548">
        <v>2236956</v>
      </c>
      <c r="AG548">
        <v>45</v>
      </c>
      <c r="AH548">
        <v>529</v>
      </c>
      <c r="AI548" s="2">
        <f>Table__192.168.3.138DYLAgingReport[[#This Row],[NetAmount]]-Table__192.168.3.138DYLAgingReport[[#This Row],[Paid]]</f>
        <v>6253</v>
      </c>
    </row>
    <row r="549" spans="1:35">
      <c r="A549" t="s">
        <v>1326</v>
      </c>
      <c r="B549" s="1">
        <v>40767</v>
      </c>
      <c r="C549" s="1">
        <v>40767</v>
      </c>
      <c r="D549" t="s">
        <v>234</v>
      </c>
      <c r="E549">
        <v>93282</v>
      </c>
      <c r="F549">
        <v>14925</v>
      </c>
      <c r="G549">
        <v>0</v>
      </c>
      <c r="H549">
        <v>0</v>
      </c>
      <c r="I549">
        <v>501</v>
      </c>
      <c r="J549">
        <v>108207</v>
      </c>
      <c r="K549" t="s">
        <v>1327</v>
      </c>
      <c r="L549" s="1">
        <v>40767</v>
      </c>
      <c r="N549" t="s">
        <v>36</v>
      </c>
      <c r="O549" t="s">
        <v>37</v>
      </c>
      <c r="P549" t="s">
        <v>371</v>
      </c>
      <c r="Q549" t="s">
        <v>39</v>
      </c>
      <c r="R549" t="s">
        <v>40</v>
      </c>
      <c r="S549">
        <v>0</v>
      </c>
      <c r="U549" t="s">
        <v>41</v>
      </c>
      <c r="V549" t="s">
        <v>42</v>
      </c>
      <c r="X549" t="s">
        <v>74</v>
      </c>
      <c r="Y549" t="b">
        <v>0</v>
      </c>
      <c r="Z549" t="b">
        <v>0</v>
      </c>
      <c r="AB549" t="s">
        <v>1328</v>
      </c>
      <c r="AC549" s="1">
        <v>40953</v>
      </c>
      <c r="AD549" t="s">
        <v>1329</v>
      </c>
      <c r="AE549" t="s">
        <v>1330</v>
      </c>
      <c r="AF549">
        <v>108205</v>
      </c>
      <c r="AG549">
        <v>45</v>
      </c>
      <c r="AH549">
        <v>546</v>
      </c>
      <c r="AI549" s="2">
        <f>Table__192.168.3.138DYLAgingReport[[#This Row],[NetAmount]]-Table__192.168.3.138DYLAgingReport[[#This Row],[Paid]]</f>
        <v>2</v>
      </c>
    </row>
    <row r="550" spans="1:35">
      <c r="A550" t="s">
        <v>1331</v>
      </c>
      <c r="B550" s="1">
        <v>40784</v>
      </c>
      <c r="C550" s="1">
        <v>40814</v>
      </c>
      <c r="D550" t="s">
        <v>250</v>
      </c>
      <c r="E550">
        <v>838500</v>
      </c>
      <c r="F550">
        <v>134160</v>
      </c>
      <c r="G550">
        <v>0</v>
      </c>
      <c r="H550">
        <v>0</v>
      </c>
      <c r="I550">
        <v>484</v>
      </c>
      <c r="J550">
        <v>972660</v>
      </c>
      <c r="K550" t="s">
        <v>1332</v>
      </c>
      <c r="L550" s="1">
        <v>40784</v>
      </c>
      <c r="N550" t="s">
        <v>36</v>
      </c>
      <c r="O550" t="s">
        <v>37</v>
      </c>
      <c r="P550" t="s">
        <v>387</v>
      </c>
      <c r="Q550" t="s">
        <v>39</v>
      </c>
      <c r="R550" t="s">
        <v>40</v>
      </c>
      <c r="S550">
        <v>0</v>
      </c>
      <c r="U550" t="s">
        <v>41</v>
      </c>
      <c r="V550" t="s">
        <v>42</v>
      </c>
      <c r="X550" t="s">
        <v>74</v>
      </c>
      <c r="Y550" t="b">
        <v>0</v>
      </c>
      <c r="Z550" t="b">
        <v>0</v>
      </c>
      <c r="AB550" t="s">
        <v>912</v>
      </c>
      <c r="AC550" s="1"/>
      <c r="AD550" t="s">
        <v>1333</v>
      </c>
      <c r="AF550">
        <v>833223</v>
      </c>
      <c r="AG550">
        <v>45</v>
      </c>
      <c r="AH550">
        <v>529</v>
      </c>
      <c r="AI550" s="2">
        <f>Table__192.168.3.138DYLAgingReport[[#This Row],[NetAmount]]-Table__192.168.3.138DYLAgingReport[[#This Row],[Paid]]</f>
        <v>139437</v>
      </c>
    </row>
    <row r="551" spans="1:35">
      <c r="A551" t="s">
        <v>1334</v>
      </c>
      <c r="B551" s="1">
        <v>40784</v>
      </c>
      <c r="C551" s="1">
        <v>40829</v>
      </c>
      <c r="D551" t="s">
        <v>227</v>
      </c>
      <c r="E551">
        <v>1247650</v>
      </c>
      <c r="F551">
        <v>199624</v>
      </c>
      <c r="G551">
        <v>0</v>
      </c>
      <c r="H551">
        <v>0</v>
      </c>
      <c r="I551">
        <v>484</v>
      </c>
      <c r="J551">
        <v>1447274</v>
      </c>
      <c r="K551" t="s">
        <v>1335</v>
      </c>
      <c r="L551" s="1">
        <v>40784</v>
      </c>
      <c r="N551" t="s">
        <v>36</v>
      </c>
      <c r="O551" t="s">
        <v>37</v>
      </c>
      <c r="P551" t="s">
        <v>364</v>
      </c>
      <c r="Q551" t="s">
        <v>39</v>
      </c>
      <c r="R551" t="s">
        <v>40</v>
      </c>
      <c r="S551">
        <v>0</v>
      </c>
      <c r="U551" t="s">
        <v>41</v>
      </c>
      <c r="V551" t="s">
        <v>42</v>
      </c>
      <c r="X551" t="s">
        <v>74</v>
      </c>
      <c r="Y551" t="b">
        <v>0</v>
      </c>
      <c r="Z551" t="b">
        <v>0</v>
      </c>
      <c r="AB551" t="s">
        <v>1336</v>
      </c>
      <c r="AC551" s="1">
        <v>40923</v>
      </c>
      <c r="AD551" t="s">
        <v>1337</v>
      </c>
      <c r="AE551" t="s">
        <v>1338</v>
      </c>
      <c r="AF551">
        <v>1323631</v>
      </c>
      <c r="AG551">
        <v>45</v>
      </c>
      <c r="AH551">
        <v>529</v>
      </c>
      <c r="AI551" s="2">
        <f>Table__192.168.3.138DYLAgingReport[[#This Row],[NetAmount]]-Table__192.168.3.138DYLAgingReport[[#This Row],[Paid]]</f>
        <v>123643</v>
      </c>
    </row>
    <row r="552" spans="1:35">
      <c r="A552" t="s">
        <v>1339</v>
      </c>
      <c r="B552" s="1">
        <v>40770</v>
      </c>
      <c r="C552" s="1">
        <v>40815</v>
      </c>
      <c r="D552" t="s">
        <v>215</v>
      </c>
      <c r="E552">
        <v>251430</v>
      </c>
      <c r="F552">
        <v>40229</v>
      </c>
      <c r="G552">
        <v>0</v>
      </c>
      <c r="H552">
        <v>0</v>
      </c>
      <c r="I552">
        <v>512</v>
      </c>
      <c r="J552">
        <v>291659</v>
      </c>
      <c r="K552" t="s">
        <v>1340</v>
      </c>
      <c r="L552" s="1">
        <v>40756</v>
      </c>
      <c r="N552" t="s">
        <v>36</v>
      </c>
      <c r="O552" t="s">
        <v>37</v>
      </c>
      <c r="P552" t="s">
        <v>352</v>
      </c>
      <c r="Q552" t="s">
        <v>39</v>
      </c>
      <c r="R552" t="s">
        <v>40</v>
      </c>
      <c r="S552">
        <v>0</v>
      </c>
      <c r="U552" t="s">
        <v>41</v>
      </c>
      <c r="V552" t="s">
        <v>42</v>
      </c>
      <c r="X552" t="s">
        <v>74</v>
      </c>
      <c r="Y552" t="b">
        <v>0</v>
      </c>
      <c r="Z552" t="b">
        <v>0</v>
      </c>
      <c r="AC552" s="1"/>
      <c r="AF552">
        <v>0</v>
      </c>
      <c r="AG552">
        <v>45</v>
      </c>
      <c r="AH552">
        <v>557</v>
      </c>
      <c r="AI552" s="2">
        <f>Table__192.168.3.138DYLAgingReport[[#This Row],[NetAmount]]-Table__192.168.3.138DYLAgingReport[[#This Row],[Paid]]</f>
        <v>291659</v>
      </c>
    </row>
    <row r="553" spans="1:35">
      <c r="A553" t="s">
        <v>1341</v>
      </c>
      <c r="B553" s="1">
        <v>40770</v>
      </c>
      <c r="C553" s="1">
        <v>40815</v>
      </c>
      <c r="D553" t="s">
        <v>215</v>
      </c>
      <c r="E553">
        <v>4551</v>
      </c>
      <c r="F553">
        <v>728</v>
      </c>
      <c r="G553">
        <v>0</v>
      </c>
      <c r="H553">
        <v>0</v>
      </c>
      <c r="I553">
        <v>512</v>
      </c>
      <c r="J553">
        <v>5279</v>
      </c>
      <c r="K553" t="s">
        <v>1342</v>
      </c>
      <c r="L553" s="1">
        <v>40756</v>
      </c>
      <c r="N553" t="s">
        <v>36</v>
      </c>
      <c r="O553" t="s">
        <v>37</v>
      </c>
      <c r="P553" t="s">
        <v>352</v>
      </c>
      <c r="Q553" t="s">
        <v>39</v>
      </c>
      <c r="R553" t="s">
        <v>40</v>
      </c>
      <c r="S553">
        <v>0</v>
      </c>
      <c r="U553" t="s">
        <v>41</v>
      </c>
      <c r="V553" t="s">
        <v>42</v>
      </c>
      <c r="X553" t="s">
        <v>74</v>
      </c>
      <c r="Y553" t="b">
        <v>0</v>
      </c>
      <c r="Z553" t="b">
        <v>0</v>
      </c>
      <c r="AC553" s="1"/>
      <c r="AF553">
        <v>0</v>
      </c>
      <c r="AG553">
        <v>45</v>
      </c>
      <c r="AH553">
        <v>557</v>
      </c>
      <c r="AI553" s="2">
        <f>Table__192.168.3.138DYLAgingReport[[#This Row],[NetAmount]]-Table__192.168.3.138DYLAgingReport[[#This Row],[Paid]]</f>
        <v>5279</v>
      </c>
    </row>
    <row r="554" spans="1:35">
      <c r="A554" t="s">
        <v>1343</v>
      </c>
      <c r="B554" s="1">
        <v>40757</v>
      </c>
      <c r="C554" s="1">
        <v>40802</v>
      </c>
      <c r="D554" t="s">
        <v>215</v>
      </c>
      <c r="E554">
        <v>20960</v>
      </c>
      <c r="F554">
        <v>3354</v>
      </c>
      <c r="G554">
        <v>0</v>
      </c>
      <c r="H554">
        <v>0</v>
      </c>
      <c r="I554">
        <v>512</v>
      </c>
      <c r="J554">
        <v>24314</v>
      </c>
      <c r="K554" t="s">
        <v>1344</v>
      </c>
      <c r="L554" s="1">
        <v>40756</v>
      </c>
      <c r="N554" t="s">
        <v>36</v>
      </c>
      <c r="O554" t="s">
        <v>37</v>
      </c>
      <c r="P554" t="s">
        <v>352</v>
      </c>
      <c r="Q554" t="s">
        <v>39</v>
      </c>
      <c r="R554" t="s">
        <v>40</v>
      </c>
      <c r="S554">
        <v>0</v>
      </c>
      <c r="U554" t="s">
        <v>41</v>
      </c>
      <c r="V554" t="s">
        <v>42</v>
      </c>
      <c r="X554" t="s">
        <v>74</v>
      </c>
      <c r="Y554" t="b">
        <v>0</v>
      </c>
      <c r="Z554" t="b">
        <v>0</v>
      </c>
      <c r="AC554" s="1"/>
      <c r="AF554">
        <v>0</v>
      </c>
      <c r="AG554">
        <v>45</v>
      </c>
      <c r="AH554">
        <v>557</v>
      </c>
      <c r="AI554" s="2">
        <f>Table__192.168.3.138DYLAgingReport[[#This Row],[NetAmount]]-Table__192.168.3.138DYLAgingReport[[#This Row],[Paid]]</f>
        <v>24314</v>
      </c>
    </row>
    <row r="555" spans="1:35">
      <c r="A555" t="s">
        <v>1345</v>
      </c>
      <c r="B555" s="1">
        <v>40767</v>
      </c>
      <c r="C555" s="1">
        <v>40812</v>
      </c>
      <c r="D555" t="s">
        <v>269</v>
      </c>
      <c r="E555">
        <v>3650</v>
      </c>
      <c r="F555">
        <v>584</v>
      </c>
      <c r="G555">
        <v>0</v>
      </c>
      <c r="H555">
        <v>0</v>
      </c>
      <c r="I555">
        <v>501</v>
      </c>
      <c r="J555">
        <v>4234</v>
      </c>
      <c r="K555" t="s">
        <v>1346</v>
      </c>
      <c r="L555" s="1">
        <v>40767</v>
      </c>
      <c r="N555" t="s">
        <v>36</v>
      </c>
      <c r="O555" t="s">
        <v>37</v>
      </c>
      <c r="P555" t="s">
        <v>406</v>
      </c>
      <c r="Q555" t="s">
        <v>39</v>
      </c>
      <c r="R555" t="s">
        <v>40</v>
      </c>
      <c r="S555">
        <v>0</v>
      </c>
      <c r="U555" t="s">
        <v>41</v>
      </c>
      <c r="V555" t="s">
        <v>42</v>
      </c>
      <c r="X555" t="s">
        <v>74</v>
      </c>
      <c r="Y555" t="b">
        <v>0</v>
      </c>
      <c r="Z555" t="b">
        <v>0</v>
      </c>
      <c r="AB555" t="s">
        <v>1347</v>
      </c>
      <c r="AC555" s="1">
        <v>40848</v>
      </c>
      <c r="AD555" t="s">
        <v>1348</v>
      </c>
      <c r="AE555" t="s">
        <v>1349</v>
      </c>
      <c r="AF555">
        <v>1394</v>
      </c>
      <c r="AG555">
        <v>45</v>
      </c>
      <c r="AH555">
        <v>546</v>
      </c>
      <c r="AI555" s="2">
        <f>Table__192.168.3.138DYLAgingReport[[#This Row],[NetAmount]]-Table__192.168.3.138DYLAgingReport[[#This Row],[Paid]]</f>
        <v>2840</v>
      </c>
    </row>
    <row r="556" spans="1:35">
      <c r="A556" t="s">
        <v>1350</v>
      </c>
      <c r="B556" s="1">
        <v>40760</v>
      </c>
      <c r="C556" s="1">
        <v>40805</v>
      </c>
      <c r="D556" t="s">
        <v>215</v>
      </c>
      <c r="E556">
        <v>19580</v>
      </c>
      <c r="F556">
        <v>3133</v>
      </c>
      <c r="G556">
        <v>0</v>
      </c>
      <c r="H556">
        <v>0</v>
      </c>
      <c r="I556">
        <v>498</v>
      </c>
      <c r="J556">
        <v>22713</v>
      </c>
      <c r="K556" t="s">
        <v>1351</v>
      </c>
      <c r="L556" s="1">
        <v>40770</v>
      </c>
      <c r="N556" t="s">
        <v>36</v>
      </c>
      <c r="O556" t="s">
        <v>37</v>
      </c>
      <c r="P556" t="s">
        <v>352</v>
      </c>
      <c r="Q556" t="s">
        <v>39</v>
      </c>
      <c r="R556" t="s">
        <v>40</v>
      </c>
      <c r="S556">
        <v>0</v>
      </c>
      <c r="U556" t="s">
        <v>41</v>
      </c>
      <c r="V556" t="s">
        <v>42</v>
      </c>
      <c r="X556" t="s">
        <v>74</v>
      </c>
      <c r="Y556" t="b">
        <v>0</v>
      </c>
      <c r="Z556" t="b">
        <v>0</v>
      </c>
      <c r="AC556" s="1"/>
      <c r="AF556">
        <v>0</v>
      </c>
      <c r="AG556">
        <v>45</v>
      </c>
      <c r="AH556">
        <v>543</v>
      </c>
      <c r="AI556" s="2">
        <f>Table__192.168.3.138DYLAgingReport[[#This Row],[NetAmount]]-Table__192.168.3.138DYLAgingReport[[#This Row],[Paid]]</f>
        <v>22713</v>
      </c>
    </row>
    <row r="557" spans="1:35">
      <c r="A557" t="s">
        <v>1352</v>
      </c>
      <c r="B557" s="1">
        <v>40777</v>
      </c>
      <c r="C557" s="1">
        <v>40822</v>
      </c>
      <c r="D557" t="s">
        <v>215</v>
      </c>
      <c r="E557">
        <v>2295</v>
      </c>
      <c r="F557">
        <v>367</v>
      </c>
      <c r="G557">
        <v>0</v>
      </c>
      <c r="H557">
        <v>0</v>
      </c>
      <c r="I557">
        <v>498</v>
      </c>
      <c r="J557">
        <v>2662</v>
      </c>
      <c r="K557" t="s">
        <v>1353</v>
      </c>
      <c r="L557" s="1">
        <v>40770</v>
      </c>
      <c r="N557" t="s">
        <v>36</v>
      </c>
      <c r="O557" t="s">
        <v>37</v>
      </c>
      <c r="P557" t="s">
        <v>352</v>
      </c>
      <c r="Q557" t="s">
        <v>39</v>
      </c>
      <c r="R557" t="s">
        <v>40</v>
      </c>
      <c r="S557">
        <v>0</v>
      </c>
      <c r="U557" t="s">
        <v>41</v>
      </c>
      <c r="V557" t="s">
        <v>42</v>
      </c>
      <c r="X557" t="s">
        <v>74</v>
      </c>
      <c r="Y557" t="b">
        <v>0</v>
      </c>
      <c r="Z557" t="b">
        <v>0</v>
      </c>
      <c r="AC557" s="1"/>
      <c r="AF557">
        <v>0</v>
      </c>
      <c r="AG557">
        <v>45</v>
      </c>
      <c r="AH557">
        <v>543</v>
      </c>
      <c r="AI557" s="2">
        <f>Table__192.168.3.138DYLAgingReport[[#This Row],[NetAmount]]-Table__192.168.3.138DYLAgingReport[[#This Row],[Paid]]</f>
        <v>2662</v>
      </c>
    </row>
    <row r="558" spans="1:35">
      <c r="A558" t="s">
        <v>1354</v>
      </c>
      <c r="B558" s="1">
        <v>40777</v>
      </c>
      <c r="C558" s="1">
        <v>40822</v>
      </c>
      <c r="D558" t="s">
        <v>215</v>
      </c>
      <c r="E558">
        <v>53690</v>
      </c>
      <c r="F558">
        <v>8590</v>
      </c>
      <c r="G558">
        <v>0</v>
      </c>
      <c r="H558">
        <v>0</v>
      </c>
      <c r="I558">
        <v>498</v>
      </c>
      <c r="J558">
        <v>62280</v>
      </c>
      <c r="K558" t="s">
        <v>1355</v>
      </c>
      <c r="L558" s="1">
        <v>40770</v>
      </c>
      <c r="N558" t="s">
        <v>36</v>
      </c>
      <c r="O558" t="s">
        <v>37</v>
      </c>
      <c r="P558" t="s">
        <v>352</v>
      </c>
      <c r="Q558" t="s">
        <v>39</v>
      </c>
      <c r="R558" t="s">
        <v>40</v>
      </c>
      <c r="S558">
        <v>0</v>
      </c>
      <c r="U558" t="s">
        <v>41</v>
      </c>
      <c r="V558" t="s">
        <v>42</v>
      </c>
      <c r="X558" t="s">
        <v>74</v>
      </c>
      <c r="Y558" t="b">
        <v>0</v>
      </c>
      <c r="Z558" t="b">
        <v>0</v>
      </c>
      <c r="AC558" s="1"/>
      <c r="AF558">
        <v>0</v>
      </c>
      <c r="AG558">
        <v>45</v>
      </c>
      <c r="AH558">
        <v>543</v>
      </c>
      <c r="AI558" s="2">
        <f>Table__192.168.3.138DYLAgingReport[[#This Row],[NetAmount]]-Table__192.168.3.138DYLAgingReport[[#This Row],[Paid]]</f>
        <v>62280</v>
      </c>
    </row>
    <row r="559" spans="1:35">
      <c r="A559" t="s">
        <v>1356</v>
      </c>
      <c r="B559" s="1">
        <v>40760</v>
      </c>
      <c r="C559" s="1">
        <v>40805</v>
      </c>
      <c r="D559" t="s">
        <v>215</v>
      </c>
      <c r="E559">
        <v>35700</v>
      </c>
      <c r="F559">
        <v>5712</v>
      </c>
      <c r="G559">
        <v>0</v>
      </c>
      <c r="H559">
        <v>0</v>
      </c>
      <c r="I559">
        <v>512</v>
      </c>
      <c r="J559">
        <v>41412</v>
      </c>
      <c r="K559" t="s">
        <v>1357</v>
      </c>
      <c r="L559" s="1">
        <v>40756</v>
      </c>
      <c r="N559" t="s">
        <v>36</v>
      </c>
      <c r="O559" t="s">
        <v>37</v>
      </c>
      <c r="P559" t="s">
        <v>352</v>
      </c>
      <c r="Q559" t="s">
        <v>39</v>
      </c>
      <c r="R559" t="s">
        <v>40</v>
      </c>
      <c r="S559">
        <v>0</v>
      </c>
      <c r="U559" t="s">
        <v>41</v>
      </c>
      <c r="V559" t="s">
        <v>42</v>
      </c>
      <c r="X559" t="s">
        <v>74</v>
      </c>
      <c r="Y559" t="b">
        <v>0</v>
      </c>
      <c r="Z559" t="b">
        <v>0</v>
      </c>
      <c r="AC559" s="1"/>
      <c r="AF559">
        <v>0</v>
      </c>
      <c r="AG559">
        <v>45</v>
      </c>
      <c r="AH559">
        <v>557</v>
      </c>
      <c r="AI559" s="2">
        <f>Table__192.168.3.138DYLAgingReport[[#This Row],[NetAmount]]-Table__192.168.3.138DYLAgingReport[[#This Row],[Paid]]</f>
        <v>41412</v>
      </c>
    </row>
    <row r="560" spans="1:35">
      <c r="A560" t="s">
        <v>1358</v>
      </c>
      <c r="B560" s="1">
        <v>40757</v>
      </c>
      <c r="C560" s="1">
        <v>40802</v>
      </c>
      <c r="D560" t="s">
        <v>215</v>
      </c>
      <c r="E560">
        <v>23940</v>
      </c>
      <c r="F560">
        <v>3830</v>
      </c>
      <c r="G560">
        <v>0</v>
      </c>
      <c r="H560">
        <v>0</v>
      </c>
      <c r="I560">
        <v>512</v>
      </c>
      <c r="J560">
        <v>27770</v>
      </c>
      <c r="K560" t="s">
        <v>1359</v>
      </c>
      <c r="L560" s="1">
        <v>40756</v>
      </c>
      <c r="N560" t="s">
        <v>36</v>
      </c>
      <c r="O560" t="s">
        <v>37</v>
      </c>
      <c r="P560" t="s">
        <v>352</v>
      </c>
      <c r="Q560" t="s">
        <v>39</v>
      </c>
      <c r="R560" t="s">
        <v>40</v>
      </c>
      <c r="S560">
        <v>0</v>
      </c>
      <c r="U560" t="s">
        <v>41</v>
      </c>
      <c r="V560" t="s">
        <v>42</v>
      </c>
      <c r="X560" t="s">
        <v>74</v>
      </c>
      <c r="Y560" t="b">
        <v>0</v>
      </c>
      <c r="Z560" t="b">
        <v>0</v>
      </c>
      <c r="AC560" s="1"/>
      <c r="AF560">
        <v>0</v>
      </c>
      <c r="AG560">
        <v>45</v>
      </c>
      <c r="AH560">
        <v>557</v>
      </c>
      <c r="AI560" s="2">
        <f>Table__192.168.3.138DYLAgingReport[[#This Row],[NetAmount]]-Table__192.168.3.138DYLAgingReport[[#This Row],[Paid]]</f>
        <v>27770</v>
      </c>
    </row>
    <row r="561" spans="1:35">
      <c r="A561" t="s">
        <v>1360</v>
      </c>
      <c r="B561" s="1">
        <v>40764</v>
      </c>
      <c r="C561" s="1">
        <v>40809</v>
      </c>
      <c r="D561" t="s">
        <v>215</v>
      </c>
      <c r="E561">
        <v>18450</v>
      </c>
      <c r="F561">
        <v>2952</v>
      </c>
      <c r="G561">
        <v>0</v>
      </c>
      <c r="H561">
        <v>0</v>
      </c>
      <c r="I561">
        <v>512</v>
      </c>
      <c r="J561">
        <v>21402</v>
      </c>
      <c r="K561" t="s">
        <v>1361</v>
      </c>
      <c r="L561" s="1">
        <v>40756</v>
      </c>
      <c r="N561" t="s">
        <v>36</v>
      </c>
      <c r="O561" t="s">
        <v>37</v>
      </c>
      <c r="P561" t="s">
        <v>352</v>
      </c>
      <c r="Q561" t="s">
        <v>39</v>
      </c>
      <c r="R561" t="s">
        <v>40</v>
      </c>
      <c r="S561">
        <v>0</v>
      </c>
      <c r="U561" t="s">
        <v>41</v>
      </c>
      <c r="V561" t="s">
        <v>42</v>
      </c>
      <c r="X561" t="s">
        <v>74</v>
      </c>
      <c r="Y561" t="b">
        <v>0</v>
      </c>
      <c r="Z561" t="b">
        <v>0</v>
      </c>
      <c r="AC561" s="1"/>
      <c r="AF561">
        <v>0</v>
      </c>
      <c r="AG561">
        <v>45</v>
      </c>
      <c r="AH561">
        <v>557</v>
      </c>
      <c r="AI561" s="2">
        <f>Table__192.168.3.138DYLAgingReport[[#This Row],[NetAmount]]-Table__192.168.3.138DYLAgingReport[[#This Row],[Paid]]</f>
        <v>21402</v>
      </c>
    </row>
    <row r="562" spans="1:35">
      <c r="A562" t="s">
        <v>1362</v>
      </c>
      <c r="B562" s="1">
        <v>40774</v>
      </c>
      <c r="C562" s="1">
        <v>40819</v>
      </c>
      <c r="D562" t="s">
        <v>215</v>
      </c>
      <c r="E562">
        <v>1350</v>
      </c>
      <c r="F562">
        <v>216</v>
      </c>
      <c r="G562">
        <v>0</v>
      </c>
      <c r="H562">
        <v>0</v>
      </c>
      <c r="I562">
        <v>512</v>
      </c>
      <c r="J562">
        <v>1566</v>
      </c>
      <c r="K562" t="s">
        <v>1363</v>
      </c>
      <c r="L562" s="1">
        <v>40756</v>
      </c>
      <c r="N562" t="s">
        <v>36</v>
      </c>
      <c r="O562" t="s">
        <v>37</v>
      </c>
      <c r="P562" t="s">
        <v>352</v>
      </c>
      <c r="Q562" t="s">
        <v>39</v>
      </c>
      <c r="R562" t="s">
        <v>40</v>
      </c>
      <c r="S562">
        <v>0</v>
      </c>
      <c r="U562" t="s">
        <v>41</v>
      </c>
      <c r="V562" t="s">
        <v>42</v>
      </c>
      <c r="X562" t="s">
        <v>74</v>
      </c>
      <c r="Y562" t="b">
        <v>0</v>
      </c>
      <c r="Z562" t="b">
        <v>0</v>
      </c>
      <c r="AC562" s="1"/>
      <c r="AF562">
        <v>0</v>
      </c>
      <c r="AG562">
        <v>45</v>
      </c>
      <c r="AH562">
        <v>557</v>
      </c>
      <c r="AI562" s="2">
        <f>Table__192.168.3.138DYLAgingReport[[#This Row],[NetAmount]]-Table__192.168.3.138DYLAgingReport[[#This Row],[Paid]]</f>
        <v>1566</v>
      </c>
    </row>
    <row r="563" spans="1:35">
      <c r="A563" t="s">
        <v>1364</v>
      </c>
      <c r="B563" s="1">
        <v>40774</v>
      </c>
      <c r="C563" s="1">
        <v>40819</v>
      </c>
      <c r="D563" t="s">
        <v>215</v>
      </c>
      <c r="E563">
        <v>15304</v>
      </c>
      <c r="F563">
        <v>2449</v>
      </c>
      <c r="G563">
        <v>0</v>
      </c>
      <c r="H563">
        <v>0</v>
      </c>
      <c r="I563">
        <v>512</v>
      </c>
      <c r="J563">
        <v>17753</v>
      </c>
      <c r="K563" t="s">
        <v>1365</v>
      </c>
      <c r="L563" s="1">
        <v>40756</v>
      </c>
      <c r="N563" t="s">
        <v>36</v>
      </c>
      <c r="O563" t="s">
        <v>37</v>
      </c>
      <c r="P563" t="s">
        <v>352</v>
      </c>
      <c r="Q563" t="s">
        <v>39</v>
      </c>
      <c r="R563" t="s">
        <v>40</v>
      </c>
      <c r="S563">
        <v>0</v>
      </c>
      <c r="U563" t="s">
        <v>41</v>
      </c>
      <c r="V563" t="s">
        <v>42</v>
      </c>
      <c r="X563" t="s">
        <v>74</v>
      </c>
      <c r="Y563" t="b">
        <v>0</v>
      </c>
      <c r="Z563" t="b">
        <v>0</v>
      </c>
      <c r="AC563" s="1"/>
      <c r="AF563">
        <v>0</v>
      </c>
      <c r="AG563">
        <v>45</v>
      </c>
      <c r="AH563">
        <v>557</v>
      </c>
      <c r="AI563" s="2">
        <f>Table__192.168.3.138DYLAgingReport[[#This Row],[NetAmount]]-Table__192.168.3.138DYLAgingReport[[#This Row],[Paid]]</f>
        <v>17753</v>
      </c>
    </row>
    <row r="564" spans="1:35">
      <c r="A564" t="s">
        <v>1366</v>
      </c>
      <c r="B564" s="1">
        <v>40774</v>
      </c>
      <c r="C564" s="1">
        <v>40819</v>
      </c>
      <c r="D564" t="s">
        <v>215</v>
      </c>
      <c r="E564">
        <v>18812</v>
      </c>
      <c r="F564">
        <v>3010</v>
      </c>
      <c r="G564">
        <v>0</v>
      </c>
      <c r="H564">
        <v>0</v>
      </c>
      <c r="I564">
        <v>512</v>
      </c>
      <c r="J564">
        <v>21822</v>
      </c>
      <c r="K564" t="s">
        <v>1367</v>
      </c>
      <c r="L564" s="1">
        <v>40756</v>
      </c>
      <c r="N564" t="s">
        <v>36</v>
      </c>
      <c r="O564" t="s">
        <v>37</v>
      </c>
      <c r="P564" t="s">
        <v>352</v>
      </c>
      <c r="Q564" t="s">
        <v>39</v>
      </c>
      <c r="R564" t="s">
        <v>40</v>
      </c>
      <c r="S564">
        <v>0</v>
      </c>
      <c r="U564" t="s">
        <v>41</v>
      </c>
      <c r="V564" t="s">
        <v>42</v>
      </c>
      <c r="X564" t="s">
        <v>74</v>
      </c>
      <c r="Y564" t="b">
        <v>0</v>
      </c>
      <c r="Z564" t="b">
        <v>0</v>
      </c>
      <c r="AC564" s="1"/>
      <c r="AF564">
        <v>0</v>
      </c>
      <c r="AG564">
        <v>45</v>
      </c>
      <c r="AH564">
        <v>557</v>
      </c>
      <c r="AI564" s="2">
        <f>Table__192.168.3.138DYLAgingReport[[#This Row],[NetAmount]]-Table__192.168.3.138DYLAgingReport[[#This Row],[Paid]]</f>
        <v>21822</v>
      </c>
    </row>
    <row r="565" spans="1:35">
      <c r="A565" t="s">
        <v>1368</v>
      </c>
      <c r="B565" s="1">
        <v>40779</v>
      </c>
      <c r="C565" s="1">
        <v>40824</v>
      </c>
      <c r="D565" t="s">
        <v>215</v>
      </c>
      <c r="E565">
        <v>49620</v>
      </c>
      <c r="F565">
        <v>7939</v>
      </c>
      <c r="G565">
        <v>0</v>
      </c>
      <c r="H565">
        <v>0</v>
      </c>
      <c r="I565">
        <v>512</v>
      </c>
      <c r="J565">
        <v>57559</v>
      </c>
      <c r="K565" t="s">
        <v>1369</v>
      </c>
      <c r="L565" s="1">
        <v>40756</v>
      </c>
      <c r="N565" t="s">
        <v>36</v>
      </c>
      <c r="O565" t="s">
        <v>37</v>
      </c>
      <c r="P565" t="s">
        <v>352</v>
      </c>
      <c r="Q565" t="s">
        <v>39</v>
      </c>
      <c r="R565" t="s">
        <v>40</v>
      </c>
      <c r="S565">
        <v>0</v>
      </c>
      <c r="U565" t="s">
        <v>41</v>
      </c>
      <c r="V565" t="s">
        <v>42</v>
      </c>
      <c r="X565" t="s">
        <v>74</v>
      </c>
      <c r="Y565" t="b">
        <v>0</v>
      </c>
      <c r="Z565" t="b">
        <v>0</v>
      </c>
      <c r="AC565" s="1"/>
      <c r="AF565">
        <v>0</v>
      </c>
      <c r="AG565">
        <v>45</v>
      </c>
      <c r="AH565">
        <v>557</v>
      </c>
      <c r="AI565" s="2">
        <f>Table__192.168.3.138DYLAgingReport[[#This Row],[NetAmount]]-Table__192.168.3.138DYLAgingReport[[#This Row],[Paid]]</f>
        <v>57559</v>
      </c>
    </row>
    <row r="566" spans="1:35">
      <c r="A566" t="s">
        <v>1370</v>
      </c>
      <c r="B566" s="1">
        <v>40785</v>
      </c>
      <c r="C566" s="1">
        <v>40830</v>
      </c>
      <c r="D566" t="s">
        <v>215</v>
      </c>
      <c r="E566">
        <v>59510</v>
      </c>
      <c r="F566">
        <v>9522</v>
      </c>
      <c r="G566">
        <v>0</v>
      </c>
      <c r="H566">
        <v>0</v>
      </c>
      <c r="I566">
        <v>512</v>
      </c>
      <c r="J566">
        <v>69032</v>
      </c>
      <c r="K566" t="s">
        <v>1371</v>
      </c>
      <c r="L566" s="1">
        <v>40756</v>
      </c>
      <c r="N566" t="s">
        <v>36</v>
      </c>
      <c r="O566" t="s">
        <v>37</v>
      </c>
      <c r="P566" t="s">
        <v>352</v>
      </c>
      <c r="Q566" t="s">
        <v>39</v>
      </c>
      <c r="R566" t="s">
        <v>40</v>
      </c>
      <c r="S566">
        <v>0</v>
      </c>
      <c r="U566" t="s">
        <v>41</v>
      </c>
      <c r="V566" t="s">
        <v>42</v>
      </c>
      <c r="X566" t="s">
        <v>74</v>
      </c>
      <c r="Y566" t="b">
        <v>0</v>
      </c>
      <c r="Z566" t="b">
        <v>0</v>
      </c>
      <c r="AC566" s="1"/>
      <c r="AF566">
        <v>0</v>
      </c>
      <c r="AG566">
        <v>45</v>
      </c>
      <c r="AH566">
        <v>557</v>
      </c>
      <c r="AI566" s="2">
        <f>Table__192.168.3.138DYLAgingReport[[#This Row],[NetAmount]]-Table__192.168.3.138DYLAgingReport[[#This Row],[Paid]]</f>
        <v>69032</v>
      </c>
    </row>
    <row r="567" spans="1:35">
      <c r="A567" t="s">
        <v>1372</v>
      </c>
      <c r="B567" s="1">
        <v>40801</v>
      </c>
      <c r="C567" s="1">
        <v>40846</v>
      </c>
      <c r="D567" t="s">
        <v>227</v>
      </c>
      <c r="E567">
        <v>457000</v>
      </c>
      <c r="F567">
        <v>73120</v>
      </c>
      <c r="G567">
        <v>0</v>
      </c>
      <c r="H567">
        <v>0</v>
      </c>
      <c r="I567">
        <v>467</v>
      </c>
      <c r="J567">
        <v>530120</v>
      </c>
      <c r="K567" t="s">
        <v>1373</v>
      </c>
      <c r="L567" s="1">
        <v>40801</v>
      </c>
      <c r="N567" t="s">
        <v>36</v>
      </c>
      <c r="O567" t="s">
        <v>37</v>
      </c>
      <c r="P567" t="s">
        <v>364</v>
      </c>
      <c r="Q567" t="s">
        <v>39</v>
      </c>
      <c r="R567" t="s">
        <v>40</v>
      </c>
      <c r="S567">
        <v>0</v>
      </c>
      <c r="U567" t="s">
        <v>41</v>
      </c>
      <c r="V567" t="s">
        <v>42</v>
      </c>
      <c r="X567" t="s">
        <v>74</v>
      </c>
      <c r="Y567" t="b">
        <v>0</v>
      </c>
      <c r="Z567" t="b">
        <v>0</v>
      </c>
      <c r="AB567" t="s">
        <v>1374</v>
      </c>
      <c r="AC567" s="1">
        <v>40949</v>
      </c>
      <c r="AD567" t="s">
        <v>1375</v>
      </c>
      <c r="AE567" t="s">
        <v>1338</v>
      </c>
      <c r="AF567">
        <v>132765</v>
      </c>
      <c r="AG567">
        <v>45</v>
      </c>
      <c r="AH567">
        <v>512</v>
      </c>
      <c r="AI567" s="2">
        <f>Table__192.168.3.138DYLAgingReport[[#This Row],[NetAmount]]-Table__192.168.3.138DYLAgingReport[[#This Row],[Paid]]</f>
        <v>397355</v>
      </c>
    </row>
    <row r="568" spans="1:35">
      <c r="A568" t="s">
        <v>1376</v>
      </c>
      <c r="B568" s="1">
        <v>40802</v>
      </c>
      <c r="C568" s="1">
        <v>40847</v>
      </c>
      <c r="D568" t="s">
        <v>264</v>
      </c>
      <c r="E568">
        <v>385000</v>
      </c>
      <c r="F568">
        <v>61600</v>
      </c>
      <c r="G568">
        <v>0</v>
      </c>
      <c r="H568">
        <v>0</v>
      </c>
      <c r="I568">
        <v>467</v>
      </c>
      <c r="J568">
        <v>446600</v>
      </c>
      <c r="K568" t="s">
        <v>1377</v>
      </c>
      <c r="L568" s="1">
        <v>40801</v>
      </c>
      <c r="N568" t="s">
        <v>36</v>
      </c>
      <c r="O568" t="s">
        <v>37</v>
      </c>
      <c r="P568" t="s">
        <v>401</v>
      </c>
      <c r="Q568" t="s">
        <v>39</v>
      </c>
      <c r="R568" t="s">
        <v>40</v>
      </c>
      <c r="S568">
        <v>0</v>
      </c>
      <c r="U568" t="s">
        <v>41</v>
      </c>
      <c r="V568" t="s">
        <v>42</v>
      </c>
      <c r="X568" t="s">
        <v>74</v>
      </c>
      <c r="Y568" t="b">
        <v>0</v>
      </c>
      <c r="Z568" t="b">
        <v>0</v>
      </c>
      <c r="AB568" t="s">
        <v>923</v>
      </c>
      <c r="AC568" s="1"/>
      <c r="AD568" t="s">
        <v>1378</v>
      </c>
      <c r="AF568">
        <v>315234</v>
      </c>
      <c r="AG568">
        <v>45</v>
      </c>
      <c r="AH568">
        <v>512</v>
      </c>
      <c r="AI568" s="2">
        <f>Table__192.168.3.138DYLAgingReport[[#This Row],[NetAmount]]-Table__192.168.3.138DYLAgingReport[[#This Row],[Paid]]</f>
        <v>131366</v>
      </c>
    </row>
    <row r="569" spans="1:35">
      <c r="A569" t="s">
        <v>1379</v>
      </c>
      <c r="B569" s="1">
        <v>40794</v>
      </c>
      <c r="C569" s="1">
        <v>40839</v>
      </c>
      <c r="D569" t="s">
        <v>215</v>
      </c>
      <c r="E569">
        <v>40093</v>
      </c>
      <c r="F569">
        <v>6415</v>
      </c>
      <c r="G569">
        <v>0</v>
      </c>
      <c r="H569">
        <v>0</v>
      </c>
      <c r="I569">
        <v>467</v>
      </c>
      <c r="J569">
        <v>46508</v>
      </c>
      <c r="K569" t="s">
        <v>1380</v>
      </c>
      <c r="L569" s="1">
        <v>40801</v>
      </c>
      <c r="N569" t="s">
        <v>36</v>
      </c>
      <c r="O569" t="s">
        <v>37</v>
      </c>
      <c r="P569" t="s">
        <v>352</v>
      </c>
      <c r="Q569" t="s">
        <v>39</v>
      </c>
      <c r="R569" t="s">
        <v>40</v>
      </c>
      <c r="S569">
        <v>0</v>
      </c>
      <c r="U569" t="s">
        <v>41</v>
      </c>
      <c r="V569" t="s">
        <v>42</v>
      </c>
      <c r="X569" t="s">
        <v>74</v>
      </c>
      <c r="Y569" t="b">
        <v>0</v>
      </c>
      <c r="Z569" t="b">
        <v>0</v>
      </c>
      <c r="AC569" s="1"/>
      <c r="AF569">
        <v>0</v>
      </c>
      <c r="AG569">
        <v>45</v>
      </c>
      <c r="AH569">
        <v>512</v>
      </c>
      <c r="AI569" s="2">
        <f>Table__192.168.3.138DYLAgingReport[[#This Row],[NetAmount]]-Table__192.168.3.138DYLAgingReport[[#This Row],[Paid]]</f>
        <v>46508</v>
      </c>
    </row>
    <row r="570" spans="1:35">
      <c r="A570" t="s">
        <v>1381</v>
      </c>
      <c r="B570" s="1">
        <v>40794</v>
      </c>
      <c r="C570" s="1">
        <v>40839</v>
      </c>
      <c r="D570" t="s">
        <v>215</v>
      </c>
      <c r="E570">
        <v>60394</v>
      </c>
      <c r="F570">
        <v>9663</v>
      </c>
      <c r="G570">
        <v>0</v>
      </c>
      <c r="H570">
        <v>0</v>
      </c>
      <c r="I570">
        <v>467</v>
      </c>
      <c r="J570">
        <v>70057</v>
      </c>
      <c r="K570" t="s">
        <v>1382</v>
      </c>
      <c r="L570" s="1">
        <v>40801</v>
      </c>
      <c r="N570" t="s">
        <v>36</v>
      </c>
      <c r="O570" t="s">
        <v>37</v>
      </c>
      <c r="P570" t="s">
        <v>352</v>
      </c>
      <c r="Q570" t="s">
        <v>39</v>
      </c>
      <c r="R570" t="s">
        <v>40</v>
      </c>
      <c r="S570">
        <v>0</v>
      </c>
      <c r="U570" t="s">
        <v>41</v>
      </c>
      <c r="V570" t="s">
        <v>42</v>
      </c>
      <c r="X570" t="s">
        <v>74</v>
      </c>
      <c r="Y570" t="b">
        <v>0</v>
      </c>
      <c r="Z570" t="b">
        <v>0</v>
      </c>
      <c r="AC570" s="1"/>
      <c r="AF570">
        <v>0</v>
      </c>
      <c r="AG570">
        <v>45</v>
      </c>
      <c r="AH570">
        <v>512</v>
      </c>
      <c r="AI570" s="2">
        <f>Table__192.168.3.138DYLAgingReport[[#This Row],[NetAmount]]-Table__192.168.3.138DYLAgingReport[[#This Row],[Paid]]</f>
        <v>70057</v>
      </c>
    </row>
    <row r="571" spans="1:35">
      <c r="A571" t="s">
        <v>1383</v>
      </c>
      <c r="B571" s="1">
        <v>40794</v>
      </c>
      <c r="C571" s="1">
        <v>40839</v>
      </c>
      <c r="D571" t="s">
        <v>215</v>
      </c>
      <c r="E571">
        <v>67956</v>
      </c>
      <c r="F571">
        <v>10873</v>
      </c>
      <c r="G571">
        <v>0</v>
      </c>
      <c r="H571">
        <v>0</v>
      </c>
      <c r="I571">
        <v>467</v>
      </c>
      <c r="J571">
        <v>78829</v>
      </c>
      <c r="K571" t="s">
        <v>1384</v>
      </c>
      <c r="L571" s="1">
        <v>40801</v>
      </c>
      <c r="N571" t="s">
        <v>36</v>
      </c>
      <c r="O571" t="s">
        <v>37</v>
      </c>
      <c r="P571" t="s">
        <v>352</v>
      </c>
      <c r="Q571" t="s">
        <v>39</v>
      </c>
      <c r="R571" t="s">
        <v>40</v>
      </c>
      <c r="S571">
        <v>0</v>
      </c>
      <c r="U571" t="s">
        <v>41</v>
      </c>
      <c r="V571" t="s">
        <v>42</v>
      </c>
      <c r="X571" t="s">
        <v>74</v>
      </c>
      <c r="Y571" t="b">
        <v>0</v>
      </c>
      <c r="Z571" t="b">
        <v>0</v>
      </c>
      <c r="AC571" s="1"/>
      <c r="AF571">
        <v>0</v>
      </c>
      <c r="AG571">
        <v>45</v>
      </c>
      <c r="AH571">
        <v>512</v>
      </c>
      <c r="AI571" s="2">
        <f>Table__192.168.3.138DYLAgingReport[[#This Row],[NetAmount]]-Table__192.168.3.138DYLAgingReport[[#This Row],[Paid]]</f>
        <v>78829</v>
      </c>
    </row>
    <row r="572" spans="1:35">
      <c r="A572" t="s">
        <v>1385</v>
      </c>
      <c r="B572" s="1">
        <v>40794</v>
      </c>
      <c r="C572" s="1">
        <v>40839</v>
      </c>
      <c r="D572" t="s">
        <v>215</v>
      </c>
      <c r="E572">
        <v>2806</v>
      </c>
      <c r="F572">
        <v>449</v>
      </c>
      <c r="G572">
        <v>0</v>
      </c>
      <c r="H572">
        <v>0</v>
      </c>
      <c r="I572">
        <v>452</v>
      </c>
      <c r="J572">
        <v>3255</v>
      </c>
      <c r="K572" t="s">
        <v>1386</v>
      </c>
      <c r="L572" s="1">
        <v>40816</v>
      </c>
      <c r="N572" t="s">
        <v>36</v>
      </c>
      <c r="O572" t="s">
        <v>37</v>
      </c>
      <c r="P572" t="s">
        <v>352</v>
      </c>
      <c r="Q572" t="s">
        <v>39</v>
      </c>
      <c r="R572" t="s">
        <v>40</v>
      </c>
      <c r="S572">
        <v>0</v>
      </c>
      <c r="U572" t="s">
        <v>41</v>
      </c>
      <c r="V572" t="s">
        <v>42</v>
      </c>
      <c r="X572" t="s">
        <v>74</v>
      </c>
      <c r="Y572" t="b">
        <v>0</v>
      </c>
      <c r="Z572" t="b">
        <v>0</v>
      </c>
      <c r="AC572" s="1"/>
      <c r="AF572">
        <v>0</v>
      </c>
      <c r="AG572">
        <v>45</v>
      </c>
      <c r="AH572">
        <v>497</v>
      </c>
      <c r="AI572" s="2">
        <f>Table__192.168.3.138DYLAgingReport[[#This Row],[NetAmount]]-Table__192.168.3.138DYLAgingReport[[#This Row],[Paid]]</f>
        <v>3255</v>
      </c>
    </row>
    <row r="573" spans="1:35">
      <c r="A573" t="s">
        <v>1387</v>
      </c>
      <c r="B573" s="1">
        <v>40794</v>
      </c>
      <c r="C573" s="1">
        <v>40839</v>
      </c>
      <c r="D573" t="s">
        <v>215</v>
      </c>
      <c r="E573">
        <v>260</v>
      </c>
      <c r="F573">
        <v>42</v>
      </c>
      <c r="G573">
        <v>0</v>
      </c>
      <c r="H573">
        <v>0</v>
      </c>
      <c r="I573">
        <v>452</v>
      </c>
      <c r="J573">
        <v>302</v>
      </c>
      <c r="K573" t="s">
        <v>1388</v>
      </c>
      <c r="L573" s="1">
        <v>40816</v>
      </c>
      <c r="N573" t="s">
        <v>36</v>
      </c>
      <c r="O573" t="s">
        <v>37</v>
      </c>
      <c r="P573" t="s">
        <v>352</v>
      </c>
      <c r="Q573" t="s">
        <v>39</v>
      </c>
      <c r="R573" t="s">
        <v>40</v>
      </c>
      <c r="S573">
        <v>0</v>
      </c>
      <c r="U573" t="s">
        <v>41</v>
      </c>
      <c r="V573" t="s">
        <v>42</v>
      </c>
      <c r="X573" t="s">
        <v>74</v>
      </c>
      <c r="Y573" t="b">
        <v>0</v>
      </c>
      <c r="Z573" t="b">
        <v>0</v>
      </c>
      <c r="AC573" s="1"/>
      <c r="AF573">
        <v>0</v>
      </c>
      <c r="AG573">
        <v>45</v>
      </c>
      <c r="AH573">
        <v>497</v>
      </c>
      <c r="AI573" s="2">
        <f>Table__192.168.3.138DYLAgingReport[[#This Row],[NetAmount]]-Table__192.168.3.138DYLAgingReport[[#This Row],[Paid]]</f>
        <v>302</v>
      </c>
    </row>
    <row r="574" spans="1:35">
      <c r="A574" t="s">
        <v>1389</v>
      </c>
      <c r="B574" s="1">
        <v>40802</v>
      </c>
      <c r="C574" s="1">
        <v>40847</v>
      </c>
      <c r="D574" t="s">
        <v>215</v>
      </c>
      <c r="E574">
        <v>28680</v>
      </c>
      <c r="F574">
        <v>4589</v>
      </c>
      <c r="G574">
        <v>0</v>
      </c>
      <c r="H574">
        <v>0</v>
      </c>
      <c r="I574">
        <v>452</v>
      </c>
      <c r="J574">
        <v>33269</v>
      </c>
      <c r="K574" t="s">
        <v>1390</v>
      </c>
      <c r="L574" s="1">
        <v>40816</v>
      </c>
      <c r="N574" t="s">
        <v>36</v>
      </c>
      <c r="O574" t="s">
        <v>37</v>
      </c>
      <c r="P574" t="s">
        <v>352</v>
      </c>
      <c r="Q574" t="s">
        <v>39</v>
      </c>
      <c r="R574" t="s">
        <v>40</v>
      </c>
      <c r="S574">
        <v>0</v>
      </c>
      <c r="U574" t="s">
        <v>41</v>
      </c>
      <c r="V574" t="s">
        <v>42</v>
      </c>
      <c r="X574" t="s">
        <v>74</v>
      </c>
      <c r="Y574" t="b">
        <v>0</v>
      </c>
      <c r="Z574" t="b">
        <v>0</v>
      </c>
      <c r="AC574" s="1"/>
      <c r="AF574">
        <v>0</v>
      </c>
      <c r="AG574">
        <v>45</v>
      </c>
      <c r="AH574">
        <v>497</v>
      </c>
      <c r="AI574" s="2">
        <f>Table__192.168.3.138DYLAgingReport[[#This Row],[NetAmount]]-Table__192.168.3.138DYLAgingReport[[#This Row],[Paid]]</f>
        <v>33269</v>
      </c>
    </row>
    <row r="575" spans="1:35">
      <c r="A575" t="s">
        <v>1391</v>
      </c>
      <c r="B575" s="1">
        <v>40809</v>
      </c>
      <c r="C575" s="1">
        <v>40854</v>
      </c>
      <c r="D575" t="s">
        <v>215</v>
      </c>
      <c r="E575">
        <v>34511</v>
      </c>
      <c r="F575">
        <v>5522</v>
      </c>
      <c r="G575">
        <v>0</v>
      </c>
      <c r="H575">
        <v>0</v>
      </c>
      <c r="I575">
        <v>452</v>
      </c>
      <c r="J575">
        <v>40033</v>
      </c>
      <c r="K575" t="s">
        <v>1392</v>
      </c>
      <c r="L575" s="1">
        <v>40816</v>
      </c>
      <c r="N575" t="s">
        <v>36</v>
      </c>
      <c r="O575" t="s">
        <v>37</v>
      </c>
      <c r="P575" t="s">
        <v>352</v>
      </c>
      <c r="Q575" t="s">
        <v>39</v>
      </c>
      <c r="R575" t="s">
        <v>40</v>
      </c>
      <c r="S575">
        <v>0</v>
      </c>
      <c r="U575" t="s">
        <v>41</v>
      </c>
      <c r="V575" t="s">
        <v>42</v>
      </c>
      <c r="X575" t="s">
        <v>74</v>
      </c>
      <c r="Y575" t="b">
        <v>0</v>
      </c>
      <c r="Z575" t="b">
        <v>0</v>
      </c>
      <c r="AC575" s="1"/>
      <c r="AF575">
        <v>0</v>
      </c>
      <c r="AG575">
        <v>45</v>
      </c>
      <c r="AH575">
        <v>497</v>
      </c>
      <c r="AI575" s="2">
        <f>Table__192.168.3.138DYLAgingReport[[#This Row],[NetAmount]]-Table__192.168.3.138DYLAgingReport[[#This Row],[Paid]]</f>
        <v>40033</v>
      </c>
    </row>
    <row r="576" spans="1:35">
      <c r="A576" t="s">
        <v>1393</v>
      </c>
      <c r="B576" s="1">
        <v>40809</v>
      </c>
      <c r="C576" s="1">
        <v>40854</v>
      </c>
      <c r="D576" t="s">
        <v>215</v>
      </c>
      <c r="E576">
        <v>10450</v>
      </c>
      <c r="F576">
        <v>1672</v>
      </c>
      <c r="G576">
        <v>0</v>
      </c>
      <c r="H576">
        <v>0</v>
      </c>
      <c r="I576">
        <v>452</v>
      </c>
      <c r="J576">
        <v>12122</v>
      </c>
      <c r="K576" t="s">
        <v>1394</v>
      </c>
      <c r="L576" s="1">
        <v>40816</v>
      </c>
      <c r="N576" t="s">
        <v>36</v>
      </c>
      <c r="O576" t="s">
        <v>37</v>
      </c>
      <c r="P576" t="s">
        <v>352</v>
      </c>
      <c r="Q576" t="s">
        <v>39</v>
      </c>
      <c r="R576" t="s">
        <v>40</v>
      </c>
      <c r="S576">
        <v>0</v>
      </c>
      <c r="U576" t="s">
        <v>41</v>
      </c>
      <c r="V576" t="s">
        <v>42</v>
      </c>
      <c r="X576" t="s">
        <v>74</v>
      </c>
      <c r="Y576" t="b">
        <v>0</v>
      </c>
      <c r="Z576" t="b">
        <v>0</v>
      </c>
      <c r="AC576" s="1"/>
      <c r="AF576">
        <v>0</v>
      </c>
      <c r="AG576">
        <v>45</v>
      </c>
      <c r="AH576">
        <v>497</v>
      </c>
      <c r="AI576" s="2">
        <f>Table__192.168.3.138DYLAgingReport[[#This Row],[NetAmount]]-Table__192.168.3.138DYLAgingReport[[#This Row],[Paid]]</f>
        <v>12122</v>
      </c>
    </row>
    <row r="577" spans="1:35">
      <c r="A577" t="s">
        <v>1395</v>
      </c>
      <c r="B577" s="1">
        <v>40814</v>
      </c>
      <c r="C577" s="1">
        <v>40859</v>
      </c>
      <c r="D577" t="s">
        <v>208</v>
      </c>
      <c r="E577">
        <v>9611</v>
      </c>
      <c r="F577">
        <v>1538</v>
      </c>
      <c r="G577">
        <v>0</v>
      </c>
      <c r="H577">
        <v>0</v>
      </c>
      <c r="I577">
        <v>454</v>
      </c>
      <c r="J577">
        <v>11149</v>
      </c>
      <c r="K577" t="s">
        <v>1396</v>
      </c>
      <c r="L577" s="1">
        <v>40814</v>
      </c>
      <c r="N577" t="s">
        <v>36</v>
      </c>
      <c r="O577" t="s">
        <v>37</v>
      </c>
      <c r="P577" t="s">
        <v>345</v>
      </c>
      <c r="Q577" t="s">
        <v>39</v>
      </c>
      <c r="R577" t="s">
        <v>40</v>
      </c>
      <c r="S577">
        <v>0</v>
      </c>
      <c r="U577" t="s">
        <v>41</v>
      </c>
      <c r="V577" t="s">
        <v>42</v>
      </c>
      <c r="X577" t="s">
        <v>74</v>
      </c>
      <c r="Y577" t="b">
        <v>0</v>
      </c>
      <c r="Z577" t="b">
        <v>0</v>
      </c>
      <c r="AB577" t="s">
        <v>1397</v>
      </c>
      <c r="AC577" s="1">
        <v>40913</v>
      </c>
      <c r="AD577" t="s">
        <v>1398</v>
      </c>
      <c r="AE577" t="s">
        <v>1399</v>
      </c>
      <c r="AF577">
        <v>7675</v>
      </c>
      <c r="AG577">
        <v>45</v>
      </c>
      <c r="AH577">
        <v>499</v>
      </c>
      <c r="AI577" s="2">
        <f>Table__192.168.3.138DYLAgingReport[[#This Row],[NetAmount]]-Table__192.168.3.138DYLAgingReport[[#This Row],[Paid]]</f>
        <v>3474</v>
      </c>
    </row>
    <row r="578" spans="1:35">
      <c r="A578" t="s">
        <v>1400</v>
      </c>
      <c r="B578" s="1">
        <v>40815</v>
      </c>
      <c r="C578" s="1">
        <v>40845</v>
      </c>
      <c r="D578" t="s">
        <v>250</v>
      </c>
      <c r="E578">
        <v>109800</v>
      </c>
      <c r="F578">
        <v>17568</v>
      </c>
      <c r="G578">
        <v>0</v>
      </c>
      <c r="H578">
        <v>0</v>
      </c>
      <c r="I578">
        <v>453</v>
      </c>
      <c r="J578">
        <v>127368</v>
      </c>
      <c r="K578" t="s">
        <v>1401</v>
      </c>
      <c r="L578" s="1">
        <v>40815</v>
      </c>
      <c r="N578" t="s">
        <v>36</v>
      </c>
      <c r="O578" t="s">
        <v>37</v>
      </c>
      <c r="P578" t="s">
        <v>387</v>
      </c>
      <c r="Q578" t="s">
        <v>39</v>
      </c>
      <c r="R578" t="s">
        <v>40</v>
      </c>
      <c r="S578">
        <v>0</v>
      </c>
      <c r="U578" t="s">
        <v>41</v>
      </c>
      <c r="V578" t="s">
        <v>42</v>
      </c>
      <c r="X578" t="s">
        <v>74</v>
      </c>
      <c r="Y578" t="b">
        <v>0</v>
      </c>
      <c r="Z578" t="b">
        <v>0</v>
      </c>
      <c r="AB578" t="s">
        <v>458</v>
      </c>
      <c r="AC578" s="1"/>
      <c r="AD578" t="s">
        <v>1402</v>
      </c>
      <c r="AF578">
        <v>127333</v>
      </c>
      <c r="AG578">
        <v>45</v>
      </c>
      <c r="AH578">
        <v>498</v>
      </c>
      <c r="AI578" s="2">
        <f>Table__192.168.3.138DYLAgingReport[[#This Row],[NetAmount]]-Table__192.168.3.138DYLAgingReport[[#This Row],[Paid]]</f>
        <v>35</v>
      </c>
    </row>
    <row r="579" spans="1:35">
      <c r="A579" t="s">
        <v>1403</v>
      </c>
      <c r="B579" s="1">
        <v>40785</v>
      </c>
      <c r="C579" s="1">
        <v>40785</v>
      </c>
      <c r="D579" t="s">
        <v>214</v>
      </c>
      <c r="E579">
        <v>3840</v>
      </c>
      <c r="F579">
        <v>0</v>
      </c>
      <c r="G579">
        <v>0</v>
      </c>
      <c r="H579">
        <v>0</v>
      </c>
      <c r="I579">
        <v>483</v>
      </c>
      <c r="J579">
        <v>3840</v>
      </c>
      <c r="K579" t="s">
        <v>1404</v>
      </c>
      <c r="L579" s="1">
        <v>40785</v>
      </c>
      <c r="N579" t="s">
        <v>36</v>
      </c>
      <c r="O579" t="s">
        <v>37</v>
      </c>
      <c r="P579" t="s">
        <v>351</v>
      </c>
      <c r="Q579" t="s">
        <v>39</v>
      </c>
      <c r="R579" t="s">
        <v>40</v>
      </c>
      <c r="S579">
        <v>0</v>
      </c>
      <c r="U579" t="s">
        <v>41</v>
      </c>
      <c r="V579" t="s">
        <v>42</v>
      </c>
      <c r="X579" t="s">
        <v>74</v>
      </c>
      <c r="Y579" t="b">
        <v>0</v>
      </c>
      <c r="Z579" t="b">
        <v>0</v>
      </c>
      <c r="AC579" s="1"/>
      <c r="AF579">
        <v>0</v>
      </c>
      <c r="AG579">
        <v>45</v>
      </c>
      <c r="AH579">
        <v>528</v>
      </c>
      <c r="AI579" s="2">
        <f>Table__192.168.3.138DYLAgingReport[[#This Row],[NetAmount]]-Table__192.168.3.138DYLAgingReport[[#This Row],[Paid]]</f>
        <v>3840</v>
      </c>
    </row>
    <row r="580" spans="1:35">
      <c r="A580" t="s">
        <v>1405</v>
      </c>
      <c r="B580" s="1">
        <v>40815</v>
      </c>
      <c r="C580" s="1">
        <v>40860</v>
      </c>
      <c r="D580" t="s">
        <v>264</v>
      </c>
      <c r="E580">
        <v>560000</v>
      </c>
      <c r="F580">
        <v>89600</v>
      </c>
      <c r="G580">
        <v>0</v>
      </c>
      <c r="H580">
        <v>0</v>
      </c>
      <c r="I580">
        <v>454</v>
      </c>
      <c r="J580">
        <v>649600</v>
      </c>
      <c r="K580" t="s">
        <v>1406</v>
      </c>
      <c r="L580" s="1">
        <v>40814</v>
      </c>
      <c r="N580" t="s">
        <v>36</v>
      </c>
      <c r="O580" t="s">
        <v>37</v>
      </c>
      <c r="P580" t="s">
        <v>401</v>
      </c>
      <c r="Q580" t="s">
        <v>39</v>
      </c>
      <c r="R580" t="s">
        <v>40</v>
      </c>
      <c r="S580">
        <v>0</v>
      </c>
      <c r="U580" t="s">
        <v>41</v>
      </c>
      <c r="V580" t="s">
        <v>42</v>
      </c>
      <c r="X580" t="s">
        <v>74</v>
      </c>
      <c r="Y580" t="b">
        <v>0</v>
      </c>
      <c r="Z580" t="b">
        <v>0</v>
      </c>
      <c r="AB580" t="s">
        <v>923</v>
      </c>
      <c r="AC580" s="1"/>
      <c r="AD580" t="s">
        <v>1407</v>
      </c>
      <c r="AF580">
        <v>0</v>
      </c>
      <c r="AG580">
        <v>45</v>
      </c>
      <c r="AH580">
        <v>499</v>
      </c>
      <c r="AI580" s="2">
        <f>Table__192.168.3.138DYLAgingReport[[#This Row],[NetAmount]]-Table__192.168.3.138DYLAgingReport[[#This Row],[Paid]]</f>
        <v>649600</v>
      </c>
    </row>
    <row r="581" spans="1:35">
      <c r="A581" t="s">
        <v>1408</v>
      </c>
      <c r="B581" s="1">
        <v>40829</v>
      </c>
      <c r="C581" s="1">
        <v>40874</v>
      </c>
      <c r="D581" t="s">
        <v>219</v>
      </c>
      <c r="E581">
        <v>319372</v>
      </c>
      <c r="F581">
        <v>51100</v>
      </c>
      <c r="G581">
        <v>0</v>
      </c>
      <c r="H581">
        <v>0</v>
      </c>
      <c r="I581">
        <v>445</v>
      </c>
      <c r="J581">
        <v>370472</v>
      </c>
      <c r="K581" t="s">
        <v>1409</v>
      </c>
      <c r="L581" s="1">
        <v>40823</v>
      </c>
      <c r="N581" t="s">
        <v>36</v>
      </c>
      <c r="O581" t="s">
        <v>37</v>
      </c>
      <c r="P581" t="s">
        <v>356</v>
      </c>
      <c r="Q581" t="s">
        <v>39</v>
      </c>
      <c r="R581" t="s">
        <v>40</v>
      </c>
      <c r="S581">
        <v>0</v>
      </c>
      <c r="U581" t="s">
        <v>41</v>
      </c>
      <c r="V581" t="s">
        <v>42</v>
      </c>
      <c r="X581" t="s">
        <v>74</v>
      </c>
      <c r="Y581" t="b">
        <v>0</v>
      </c>
      <c r="Z581" t="b">
        <v>0</v>
      </c>
      <c r="AB581" t="s">
        <v>1410</v>
      </c>
      <c r="AC581" s="1">
        <v>40963</v>
      </c>
      <c r="AD581" t="s">
        <v>1411</v>
      </c>
      <c r="AE581" t="s">
        <v>1412</v>
      </c>
      <c r="AF581">
        <v>301288</v>
      </c>
      <c r="AG581">
        <v>45</v>
      </c>
      <c r="AH581">
        <v>490</v>
      </c>
      <c r="AI581" s="2">
        <f>Table__192.168.3.138DYLAgingReport[[#This Row],[NetAmount]]-Table__192.168.3.138DYLAgingReport[[#This Row],[Paid]]</f>
        <v>69184</v>
      </c>
    </row>
    <row r="582" spans="1:35">
      <c r="A582" t="s">
        <v>1413</v>
      </c>
      <c r="B582" s="1">
        <v>40829</v>
      </c>
      <c r="C582" s="1">
        <v>40874</v>
      </c>
      <c r="D582" t="s">
        <v>215</v>
      </c>
      <c r="E582">
        <v>780</v>
      </c>
      <c r="F582">
        <v>125</v>
      </c>
      <c r="G582">
        <v>0</v>
      </c>
      <c r="H582">
        <v>0</v>
      </c>
      <c r="I582">
        <v>443</v>
      </c>
      <c r="J582">
        <v>905</v>
      </c>
      <c r="K582" t="s">
        <v>1414</v>
      </c>
      <c r="L582" s="1">
        <v>40825</v>
      </c>
      <c r="N582" t="s">
        <v>36</v>
      </c>
      <c r="O582" t="s">
        <v>37</v>
      </c>
      <c r="P582" t="s">
        <v>352</v>
      </c>
      <c r="Q582" t="s">
        <v>39</v>
      </c>
      <c r="R582" t="s">
        <v>40</v>
      </c>
      <c r="S582">
        <v>0</v>
      </c>
      <c r="U582" t="s">
        <v>41</v>
      </c>
      <c r="V582" t="s">
        <v>42</v>
      </c>
      <c r="X582" t="s">
        <v>74</v>
      </c>
      <c r="Y582" t="b">
        <v>0</v>
      </c>
      <c r="Z582" t="b">
        <v>0</v>
      </c>
      <c r="AC582" s="1"/>
      <c r="AF582">
        <v>0</v>
      </c>
      <c r="AG582">
        <v>45</v>
      </c>
      <c r="AH582">
        <v>488</v>
      </c>
      <c r="AI582" s="2">
        <f>Table__192.168.3.138DYLAgingReport[[#This Row],[NetAmount]]-Table__192.168.3.138DYLAgingReport[[#This Row],[Paid]]</f>
        <v>905</v>
      </c>
    </row>
    <row r="583" spans="1:35">
      <c r="A583" t="s">
        <v>1415</v>
      </c>
      <c r="B583" s="1">
        <v>40829</v>
      </c>
      <c r="C583" s="1">
        <v>40874</v>
      </c>
      <c r="D583" t="s">
        <v>215</v>
      </c>
      <c r="E583">
        <v>3874</v>
      </c>
      <c r="F583">
        <v>620</v>
      </c>
      <c r="G583">
        <v>0</v>
      </c>
      <c r="H583">
        <v>0</v>
      </c>
      <c r="I583">
        <v>443</v>
      </c>
      <c r="J583">
        <v>4494</v>
      </c>
      <c r="K583" t="s">
        <v>1416</v>
      </c>
      <c r="L583" s="1">
        <v>40825</v>
      </c>
      <c r="N583" t="s">
        <v>36</v>
      </c>
      <c r="O583" t="s">
        <v>37</v>
      </c>
      <c r="P583" t="s">
        <v>352</v>
      </c>
      <c r="Q583" t="s">
        <v>39</v>
      </c>
      <c r="R583" t="s">
        <v>40</v>
      </c>
      <c r="S583">
        <v>0</v>
      </c>
      <c r="U583" t="s">
        <v>41</v>
      </c>
      <c r="V583" t="s">
        <v>42</v>
      </c>
      <c r="X583" t="s">
        <v>74</v>
      </c>
      <c r="Y583" t="b">
        <v>0</v>
      </c>
      <c r="Z583" t="b">
        <v>0</v>
      </c>
      <c r="AC583" s="1"/>
      <c r="AF583">
        <v>0</v>
      </c>
      <c r="AG583">
        <v>45</v>
      </c>
      <c r="AH583">
        <v>488</v>
      </c>
      <c r="AI583" s="2">
        <f>Table__192.168.3.138DYLAgingReport[[#This Row],[NetAmount]]-Table__192.168.3.138DYLAgingReport[[#This Row],[Paid]]</f>
        <v>4494</v>
      </c>
    </row>
    <row r="584" spans="1:35">
      <c r="A584" t="s">
        <v>1417</v>
      </c>
      <c r="B584" s="1">
        <v>40829</v>
      </c>
      <c r="C584" s="1">
        <v>40874</v>
      </c>
      <c r="D584" t="s">
        <v>215</v>
      </c>
      <c r="E584">
        <v>68338</v>
      </c>
      <c r="F584">
        <v>10934</v>
      </c>
      <c r="G584">
        <v>0</v>
      </c>
      <c r="H584">
        <v>0</v>
      </c>
      <c r="I584">
        <v>443</v>
      </c>
      <c r="J584">
        <v>79272</v>
      </c>
      <c r="K584" t="s">
        <v>1418</v>
      </c>
      <c r="L584" s="1">
        <v>40825</v>
      </c>
      <c r="N584" t="s">
        <v>36</v>
      </c>
      <c r="O584" t="s">
        <v>37</v>
      </c>
      <c r="P584" t="s">
        <v>352</v>
      </c>
      <c r="Q584" t="s">
        <v>39</v>
      </c>
      <c r="R584" t="s">
        <v>40</v>
      </c>
      <c r="S584">
        <v>0</v>
      </c>
      <c r="U584" t="s">
        <v>41</v>
      </c>
      <c r="V584" t="s">
        <v>42</v>
      </c>
      <c r="X584" t="s">
        <v>74</v>
      </c>
      <c r="Y584" t="b">
        <v>0</v>
      </c>
      <c r="Z584" t="b">
        <v>0</v>
      </c>
      <c r="AC584" s="1"/>
      <c r="AF584">
        <v>0</v>
      </c>
      <c r="AG584">
        <v>45</v>
      </c>
      <c r="AH584">
        <v>488</v>
      </c>
      <c r="AI584" s="2">
        <f>Table__192.168.3.138DYLAgingReport[[#This Row],[NetAmount]]-Table__192.168.3.138DYLAgingReport[[#This Row],[Paid]]</f>
        <v>79272</v>
      </c>
    </row>
    <row r="585" spans="1:35">
      <c r="A585" t="s">
        <v>1419</v>
      </c>
      <c r="B585" s="1">
        <v>40829</v>
      </c>
      <c r="C585" s="1">
        <v>40874</v>
      </c>
      <c r="D585" t="s">
        <v>215</v>
      </c>
      <c r="E585">
        <v>30780</v>
      </c>
      <c r="F585">
        <v>4925</v>
      </c>
      <c r="G585">
        <v>0</v>
      </c>
      <c r="H585">
        <v>0</v>
      </c>
      <c r="I585">
        <v>443</v>
      </c>
      <c r="J585">
        <v>35705</v>
      </c>
      <c r="K585" t="s">
        <v>1420</v>
      </c>
      <c r="L585" s="1">
        <v>40825</v>
      </c>
      <c r="N585" t="s">
        <v>36</v>
      </c>
      <c r="O585" t="s">
        <v>37</v>
      </c>
      <c r="P585" t="s">
        <v>352</v>
      </c>
      <c r="Q585" t="s">
        <v>39</v>
      </c>
      <c r="R585" t="s">
        <v>40</v>
      </c>
      <c r="S585">
        <v>0</v>
      </c>
      <c r="U585" t="s">
        <v>41</v>
      </c>
      <c r="V585" t="s">
        <v>42</v>
      </c>
      <c r="X585" t="s">
        <v>74</v>
      </c>
      <c r="Y585" t="b">
        <v>0</v>
      </c>
      <c r="Z585" t="b">
        <v>0</v>
      </c>
      <c r="AC585" s="1"/>
      <c r="AF585">
        <v>0</v>
      </c>
      <c r="AG585">
        <v>45</v>
      </c>
      <c r="AH585">
        <v>488</v>
      </c>
      <c r="AI585" s="2">
        <f>Table__192.168.3.138DYLAgingReport[[#This Row],[NetAmount]]-Table__192.168.3.138DYLAgingReport[[#This Row],[Paid]]</f>
        <v>35705</v>
      </c>
    </row>
    <row r="586" spans="1:35">
      <c r="A586" t="s">
        <v>1421</v>
      </c>
      <c r="B586" s="1">
        <v>40837</v>
      </c>
      <c r="C586" s="1">
        <v>40882</v>
      </c>
      <c r="D586" t="s">
        <v>227</v>
      </c>
      <c r="E586">
        <v>351250</v>
      </c>
      <c r="F586">
        <v>56200</v>
      </c>
      <c r="G586">
        <v>0</v>
      </c>
      <c r="H586">
        <v>0</v>
      </c>
      <c r="I586">
        <v>431</v>
      </c>
      <c r="J586">
        <v>407450</v>
      </c>
      <c r="K586" t="s">
        <v>1422</v>
      </c>
      <c r="L586" s="1">
        <v>40837</v>
      </c>
      <c r="N586" t="s">
        <v>36</v>
      </c>
      <c r="O586" t="s">
        <v>37</v>
      </c>
      <c r="P586" t="s">
        <v>364</v>
      </c>
      <c r="Q586" t="s">
        <v>39</v>
      </c>
      <c r="R586" t="s">
        <v>40</v>
      </c>
      <c r="S586">
        <v>0</v>
      </c>
      <c r="U586" t="s">
        <v>41</v>
      </c>
      <c r="V586" t="s">
        <v>42</v>
      </c>
      <c r="X586" t="s">
        <v>74</v>
      </c>
      <c r="Y586" t="b">
        <v>0</v>
      </c>
      <c r="Z586" t="b">
        <v>0</v>
      </c>
      <c r="AB586" t="s">
        <v>1423</v>
      </c>
      <c r="AC586" s="1">
        <v>40969</v>
      </c>
      <c r="AD586" t="s">
        <v>1424</v>
      </c>
      <c r="AE586" t="s">
        <v>1425</v>
      </c>
      <c r="AF586">
        <v>399687</v>
      </c>
      <c r="AG586">
        <v>45</v>
      </c>
      <c r="AH586">
        <v>476</v>
      </c>
      <c r="AI586" s="2">
        <f>Table__192.168.3.138DYLAgingReport[[#This Row],[NetAmount]]-Table__192.168.3.138DYLAgingReport[[#This Row],[Paid]]</f>
        <v>7763</v>
      </c>
    </row>
    <row r="587" spans="1:35">
      <c r="A587" t="s">
        <v>1426</v>
      </c>
      <c r="B587" s="1">
        <v>40830</v>
      </c>
      <c r="C587" s="1">
        <v>40875</v>
      </c>
      <c r="D587" t="s">
        <v>180</v>
      </c>
      <c r="E587">
        <v>165083</v>
      </c>
      <c r="F587">
        <v>26413</v>
      </c>
      <c r="G587">
        <v>0</v>
      </c>
      <c r="H587">
        <v>0</v>
      </c>
      <c r="I587">
        <v>438</v>
      </c>
      <c r="J587">
        <v>191496</v>
      </c>
      <c r="K587" t="s">
        <v>1427</v>
      </c>
      <c r="L587" s="1">
        <v>40830</v>
      </c>
      <c r="N587" t="s">
        <v>36</v>
      </c>
      <c r="O587" t="s">
        <v>37</v>
      </c>
      <c r="P587" t="s">
        <v>317</v>
      </c>
      <c r="Q587" t="s">
        <v>39</v>
      </c>
      <c r="R587" t="s">
        <v>40</v>
      </c>
      <c r="S587">
        <v>0</v>
      </c>
      <c r="U587" t="s">
        <v>41</v>
      </c>
      <c r="V587" t="s">
        <v>42</v>
      </c>
      <c r="X587" t="s">
        <v>74</v>
      </c>
      <c r="Y587" t="b">
        <v>0</v>
      </c>
      <c r="Z587" t="b">
        <v>0</v>
      </c>
      <c r="AB587" t="s">
        <v>1428</v>
      </c>
      <c r="AC587" s="1">
        <v>40912</v>
      </c>
      <c r="AD587" t="s">
        <v>1429</v>
      </c>
      <c r="AE587" t="s">
        <v>1282</v>
      </c>
      <c r="AF587">
        <v>78055</v>
      </c>
      <c r="AG587">
        <v>45</v>
      </c>
      <c r="AH587">
        <v>483</v>
      </c>
      <c r="AI587" s="2">
        <f>Table__192.168.3.138DYLAgingReport[[#This Row],[NetAmount]]-Table__192.168.3.138DYLAgingReport[[#This Row],[Paid]]</f>
        <v>113441</v>
      </c>
    </row>
    <row r="588" spans="1:35">
      <c r="A588" t="s">
        <v>1430</v>
      </c>
      <c r="B588" s="1">
        <v>40847</v>
      </c>
      <c r="C588" s="1">
        <v>40877</v>
      </c>
      <c r="D588" t="s">
        <v>250</v>
      </c>
      <c r="E588">
        <v>1562300</v>
      </c>
      <c r="F588">
        <v>249968</v>
      </c>
      <c r="G588">
        <v>0</v>
      </c>
      <c r="H588">
        <v>0</v>
      </c>
      <c r="I588">
        <v>421</v>
      </c>
      <c r="J588">
        <v>1812268</v>
      </c>
      <c r="K588" t="s">
        <v>1431</v>
      </c>
      <c r="L588" s="1">
        <v>40847</v>
      </c>
      <c r="N588" t="s">
        <v>36</v>
      </c>
      <c r="O588" t="s">
        <v>37</v>
      </c>
      <c r="P588" t="s">
        <v>387</v>
      </c>
      <c r="Q588" t="s">
        <v>39</v>
      </c>
      <c r="R588" t="s">
        <v>40</v>
      </c>
      <c r="S588">
        <v>0</v>
      </c>
      <c r="U588" t="s">
        <v>41</v>
      </c>
      <c r="V588" t="s">
        <v>42</v>
      </c>
      <c r="X588" t="s">
        <v>74</v>
      </c>
      <c r="Y588" t="b">
        <v>0</v>
      </c>
      <c r="Z588" t="b">
        <v>0</v>
      </c>
      <c r="AB588" t="s">
        <v>1432</v>
      </c>
      <c r="AC588" s="1"/>
      <c r="AD588" t="s">
        <v>1433</v>
      </c>
      <c r="AF588">
        <v>1314494</v>
      </c>
      <c r="AG588">
        <v>45</v>
      </c>
      <c r="AH588">
        <v>466</v>
      </c>
      <c r="AI588" s="2">
        <f>Table__192.168.3.138DYLAgingReport[[#This Row],[NetAmount]]-Table__192.168.3.138DYLAgingReport[[#This Row],[Paid]]</f>
        <v>497774</v>
      </c>
    </row>
    <row r="589" spans="1:35">
      <c r="A589" t="s">
        <v>1434</v>
      </c>
      <c r="B589" s="1">
        <v>40829</v>
      </c>
      <c r="C589" s="1">
        <v>40874</v>
      </c>
      <c r="D589" t="s">
        <v>215</v>
      </c>
      <c r="E589">
        <v>157987</v>
      </c>
      <c r="F589">
        <v>25278</v>
      </c>
      <c r="G589">
        <v>0</v>
      </c>
      <c r="H589">
        <v>0</v>
      </c>
      <c r="I589">
        <v>439</v>
      </c>
      <c r="J589">
        <v>183265</v>
      </c>
      <c r="K589" t="s">
        <v>1435</v>
      </c>
      <c r="L589" s="1">
        <v>40829</v>
      </c>
      <c r="N589" t="s">
        <v>36</v>
      </c>
      <c r="O589" t="s">
        <v>37</v>
      </c>
      <c r="P589" t="s">
        <v>352</v>
      </c>
      <c r="Q589" t="s">
        <v>39</v>
      </c>
      <c r="R589" t="s">
        <v>40</v>
      </c>
      <c r="S589">
        <v>0</v>
      </c>
      <c r="U589" t="s">
        <v>41</v>
      </c>
      <c r="V589" t="s">
        <v>42</v>
      </c>
      <c r="X589" t="s">
        <v>74</v>
      </c>
      <c r="Y589" t="b">
        <v>0</v>
      </c>
      <c r="Z589" t="b">
        <v>0</v>
      </c>
      <c r="AC589" s="1"/>
      <c r="AF589">
        <v>0</v>
      </c>
      <c r="AG589">
        <v>45</v>
      </c>
      <c r="AH589">
        <v>484</v>
      </c>
      <c r="AI589" s="2">
        <f>Table__192.168.3.138DYLAgingReport[[#This Row],[NetAmount]]-Table__192.168.3.138DYLAgingReport[[#This Row],[Paid]]</f>
        <v>183265</v>
      </c>
    </row>
    <row r="590" spans="1:35">
      <c r="A590" t="s">
        <v>1436</v>
      </c>
      <c r="B590" s="1">
        <v>40861</v>
      </c>
      <c r="C590" s="1">
        <v>40906</v>
      </c>
      <c r="D590" t="s">
        <v>239</v>
      </c>
      <c r="E590">
        <v>104736</v>
      </c>
      <c r="F590">
        <v>16758</v>
      </c>
      <c r="G590">
        <v>0</v>
      </c>
      <c r="H590">
        <v>0</v>
      </c>
      <c r="I590">
        <v>407</v>
      </c>
      <c r="J590">
        <v>121494</v>
      </c>
      <c r="K590" t="s">
        <v>1437</v>
      </c>
      <c r="L590" s="1">
        <v>40861</v>
      </c>
      <c r="N590" t="s">
        <v>36</v>
      </c>
      <c r="O590" t="s">
        <v>37</v>
      </c>
      <c r="P590" t="s">
        <v>376</v>
      </c>
      <c r="Q590" t="s">
        <v>39</v>
      </c>
      <c r="R590" t="s">
        <v>40</v>
      </c>
      <c r="S590">
        <v>0</v>
      </c>
      <c r="U590" t="s">
        <v>41</v>
      </c>
      <c r="V590" t="s">
        <v>42</v>
      </c>
      <c r="X590" t="s">
        <v>74</v>
      </c>
      <c r="Y590" t="b">
        <v>0</v>
      </c>
      <c r="Z590" t="b">
        <v>0</v>
      </c>
      <c r="AB590" t="s">
        <v>1438</v>
      </c>
      <c r="AC590" s="1">
        <v>41115</v>
      </c>
      <c r="AF590">
        <v>0</v>
      </c>
      <c r="AG590">
        <v>45</v>
      </c>
      <c r="AH590">
        <v>452</v>
      </c>
      <c r="AI590" s="2">
        <f>Table__192.168.3.138DYLAgingReport[[#This Row],[NetAmount]]-Table__192.168.3.138DYLAgingReport[[#This Row],[Paid]]</f>
        <v>121494</v>
      </c>
    </row>
    <row r="591" spans="1:35">
      <c r="A591" t="s">
        <v>1439</v>
      </c>
      <c r="B591" s="1">
        <v>40860</v>
      </c>
      <c r="C591" s="1">
        <v>40905</v>
      </c>
      <c r="D591" t="s">
        <v>239</v>
      </c>
      <c r="E591">
        <v>190430</v>
      </c>
      <c r="F591">
        <v>30469</v>
      </c>
      <c r="G591">
        <v>0</v>
      </c>
      <c r="H591">
        <v>0</v>
      </c>
      <c r="I591">
        <v>409</v>
      </c>
      <c r="J591">
        <v>220899</v>
      </c>
      <c r="K591" t="s">
        <v>1440</v>
      </c>
      <c r="L591" s="1">
        <v>40859</v>
      </c>
      <c r="N591" t="s">
        <v>36</v>
      </c>
      <c r="O591" t="s">
        <v>37</v>
      </c>
      <c r="P591" t="s">
        <v>376</v>
      </c>
      <c r="Q591" t="s">
        <v>39</v>
      </c>
      <c r="R591" t="s">
        <v>40</v>
      </c>
      <c r="S591">
        <v>0</v>
      </c>
      <c r="U591" t="s">
        <v>41</v>
      </c>
      <c r="V591" t="s">
        <v>42</v>
      </c>
      <c r="X591" t="s">
        <v>74</v>
      </c>
      <c r="Y591" t="b">
        <v>0</v>
      </c>
      <c r="Z591" t="b">
        <v>0</v>
      </c>
      <c r="AB591" t="s">
        <v>1438</v>
      </c>
      <c r="AC591" s="1">
        <v>41115</v>
      </c>
      <c r="AF591">
        <v>0</v>
      </c>
      <c r="AG591">
        <v>45</v>
      </c>
      <c r="AH591">
        <v>454</v>
      </c>
      <c r="AI591" s="2">
        <f>Table__192.168.3.138DYLAgingReport[[#This Row],[NetAmount]]-Table__192.168.3.138DYLAgingReport[[#This Row],[Paid]]</f>
        <v>220899</v>
      </c>
    </row>
    <row r="592" spans="1:35">
      <c r="A592" t="s">
        <v>1441</v>
      </c>
      <c r="B592" s="1">
        <v>40858</v>
      </c>
      <c r="C592" s="1">
        <v>40903</v>
      </c>
      <c r="D592" t="s">
        <v>239</v>
      </c>
      <c r="E592">
        <v>82875</v>
      </c>
      <c r="F592">
        <v>13260</v>
      </c>
      <c r="G592">
        <v>0</v>
      </c>
      <c r="H592">
        <v>0</v>
      </c>
      <c r="I592">
        <v>410</v>
      </c>
      <c r="J592">
        <v>96135</v>
      </c>
      <c r="K592" t="s">
        <v>1442</v>
      </c>
      <c r="L592" s="1">
        <v>40858</v>
      </c>
      <c r="N592" t="s">
        <v>36</v>
      </c>
      <c r="O592" t="s">
        <v>37</v>
      </c>
      <c r="P592" t="s">
        <v>376</v>
      </c>
      <c r="Q592" t="s">
        <v>39</v>
      </c>
      <c r="R592" t="s">
        <v>40</v>
      </c>
      <c r="S592">
        <v>0</v>
      </c>
      <c r="U592" t="s">
        <v>41</v>
      </c>
      <c r="V592" t="s">
        <v>42</v>
      </c>
      <c r="X592" t="s">
        <v>74</v>
      </c>
      <c r="Y592" t="b">
        <v>0</v>
      </c>
      <c r="Z592" t="b">
        <v>0</v>
      </c>
      <c r="AB592" t="s">
        <v>1438</v>
      </c>
      <c r="AC592" s="1">
        <v>41115</v>
      </c>
      <c r="AF592">
        <v>0</v>
      </c>
      <c r="AG592">
        <v>45</v>
      </c>
      <c r="AH592">
        <v>455</v>
      </c>
      <c r="AI592" s="2">
        <f>Table__192.168.3.138DYLAgingReport[[#This Row],[NetAmount]]-Table__192.168.3.138DYLAgingReport[[#This Row],[Paid]]</f>
        <v>96135</v>
      </c>
    </row>
    <row r="593" spans="1:35">
      <c r="A593" t="s">
        <v>1443</v>
      </c>
      <c r="B593" s="1">
        <v>40849</v>
      </c>
      <c r="C593" s="1">
        <v>40894</v>
      </c>
      <c r="D593" t="s">
        <v>264</v>
      </c>
      <c r="E593">
        <v>560000</v>
      </c>
      <c r="F593">
        <v>89600</v>
      </c>
      <c r="G593">
        <v>0</v>
      </c>
      <c r="H593">
        <v>0</v>
      </c>
      <c r="I593">
        <v>420</v>
      </c>
      <c r="J593">
        <v>649600</v>
      </c>
      <c r="K593" t="s">
        <v>1444</v>
      </c>
      <c r="L593" s="1">
        <v>40848</v>
      </c>
      <c r="N593" t="s">
        <v>36</v>
      </c>
      <c r="O593" t="s">
        <v>37</v>
      </c>
      <c r="P593" t="s">
        <v>401</v>
      </c>
      <c r="Q593" t="s">
        <v>39</v>
      </c>
      <c r="R593" t="s">
        <v>40</v>
      </c>
      <c r="S593">
        <v>0</v>
      </c>
      <c r="U593" t="s">
        <v>41</v>
      </c>
      <c r="V593" t="s">
        <v>42</v>
      </c>
      <c r="X593" t="s">
        <v>74</v>
      </c>
      <c r="Y593" t="b">
        <v>0</v>
      </c>
      <c r="Z593" t="b">
        <v>0</v>
      </c>
      <c r="AB593" t="s">
        <v>1445</v>
      </c>
      <c r="AC593" s="1"/>
      <c r="AD593" t="s">
        <v>1446</v>
      </c>
      <c r="AF593">
        <v>0</v>
      </c>
      <c r="AG593">
        <v>45</v>
      </c>
      <c r="AH593">
        <v>465</v>
      </c>
      <c r="AI593" s="2">
        <f>Table__192.168.3.138DYLAgingReport[[#This Row],[NetAmount]]-Table__192.168.3.138DYLAgingReport[[#This Row],[Paid]]</f>
        <v>649600</v>
      </c>
    </row>
    <row r="594" spans="1:35">
      <c r="A594" t="s">
        <v>1447</v>
      </c>
      <c r="B594" s="1">
        <v>40861</v>
      </c>
      <c r="C594" s="1">
        <v>40906</v>
      </c>
      <c r="D594" t="s">
        <v>239</v>
      </c>
      <c r="E594">
        <v>116118</v>
      </c>
      <c r="F594">
        <v>18579</v>
      </c>
      <c r="G594">
        <v>0</v>
      </c>
      <c r="H594">
        <v>0</v>
      </c>
      <c r="I594">
        <v>409</v>
      </c>
      <c r="J594">
        <v>134697</v>
      </c>
      <c r="K594" t="s">
        <v>1448</v>
      </c>
      <c r="L594" s="1">
        <v>40859</v>
      </c>
      <c r="N594" t="s">
        <v>36</v>
      </c>
      <c r="O594" t="s">
        <v>37</v>
      </c>
      <c r="P594" t="s">
        <v>376</v>
      </c>
      <c r="Q594" t="s">
        <v>39</v>
      </c>
      <c r="R594" t="s">
        <v>40</v>
      </c>
      <c r="S594">
        <v>0</v>
      </c>
      <c r="U594" t="s">
        <v>41</v>
      </c>
      <c r="V594" t="s">
        <v>42</v>
      </c>
      <c r="X594" t="s">
        <v>74</v>
      </c>
      <c r="Y594" t="b">
        <v>0</v>
      </c>
      <c r="Z594" t="b">
        <v>0</v>
      </c>
      <c r="AB594" t="s">
        <v>1438</v>
      </c>
      <c r="AC594" s="1">
        <v>41115</v>
      </c>
      <c r="AF594">
        <v>0</v>
      </c>
      <c r="AG594">
        <v>45</v>
      </c>
      <c r="AH594">
        <v>454</v>
      </c>
      <c r="AI594" s="2">
        <f>Table__192.168.3.138DYLAgingReport[[#This Row],[NetAmount]]-Table__192.168.3.138DYLAgingReport[[#This Row],[Paid]]</f>
        <v>134697</v>
      </c>
    </row>
    <row r="595" spans="1:35">
      <c r="A595" t="s">
        <v>1449</v>
      </c>
      <c r="B595" s="1">
        <v>40861</v>
      </c>
      <c r="C595" s="1">
        <v>40906</v>
      </c>
      <c r="D595" t="s">
        <v>239</v>
      </c>
      <c r="E595">
        <v>20710</v>
      </c>
      <c r="F595">
        <v>3314</v>
      </c>
      <c r="G595">
        <v>0</v>
      </c>
      <c r="H595">
        <v>0</v>
      </c>
      <c r="I595">
        <v>409</v>
      </c>
      <c r="J595">
        <v>24024</v>
      </c>
      <c r="K595" t="s">
        <v>1450</v>
      </c>
      <c r="L595" s="1">
        <v>40859</v>
      </c>
      <c r="N595" t="s">
        <v>36</v>
      </c>
      <c r="O595" t="s">
        <v>37</v>
      </c>
      <c r="P595" t="s">
        <v>376</v>
      </c>
      <c r="Q595" t="s">
        <v>39</v>
      </c>
      <c r="R595" t="s">
        <v>40</v>
      </c>
      <c r="S595">
        <v>0</v>
      </c>
      <c r="U595" t="s">
        <v>41</v>
      </c>
      <c r="V595" t="s">
        <v>42</v>
      </c>
      <c r="X595" t="s">
        <v>74</v>
      </c>
      <c r="Y595" t="b">
        <v>0</v>
      </c>
      <c r="Z595" t="b">
        <v>0</v>
      </c>
      <c r="AB595" t="s">
        <v>1438</v>
      </c>
      <c r="AC595" s="1">
        <v>41115</v>
      </c>
      <c r="AF595">
        <v>0</v>
      </c>
      <c r="AG595">
        <v>45</v>
      </c>
      <c r="AH595">
        <v>454</v>
      </c>
      <c r="AI595" s="2">
        <f>Table__192.168.3.138DYLAgingReport[[#This Row],[NetAmount]]-Table__192.168.3.138DYLAgingReport[[#This Row],[Paid]]</f>
        <v>24024</v>
      </c>
    </row>
    <row r="596" spans="1:35">
      <c r="A596" t="s">
        <v>78</v>
      </c>
      <c r="B596" s="1">
        <v>40866</v>
      </c>
      <c r="C596" s="1">
        <v>40911</v>
      </c>
      <c r="D596" t="s">
        <v>35</v>
      </c>
      <c r="E596">
        <v>360000</v>
      </c>
      <c r="F596">
        <v>57600</v>
      </c>
      <c r="G596">
        <v>0</v>
      </c>
      <c r="H596">
        <v>0</v>
      </c>
      <c r="I596">
        <v>543</v>
      </c>
      <c r="J596">
        <v>417600</v>
      </c>
      <c r="K596" t="s">
        <v>79</v>
      </c>
      <c r="L596" s="1">
        <v>40725</v>
      </c>
      <c r="N596" t="s">
        <v>36</v>
      </c>
      <c r="O596" t="s">
        <v>37</v>
      </c>
      <c r="P596" t="s">
        <v>38</v>
      </c>
      <c r="Q596" t="s">
        <v>39</v>
      </c>
      <c r="R596" t="s">
        <v>40</v>
      </c>
      <c r="S596">
        <v>0</v>
      </c>
      <c r="U596" t="s">
        <v>41</v>
      </c>
      <c r="V596" t="s">
        <v>42</v>
      </c>
      <c r="X596" t="s">
        <v>74</v>
      </c>
      <c r="Y596" t="b">
        <v>0</v>
      </c>
      <c r="Z596" t="b">
        <v>0</v>
      </c>
      <c r="AB596" t="s">
        <v>80</v>
      </c>
      <c r="AC596" s="1">
        <v>40998</v>
      </c>
      <c r="AD596" t="s">
        <v>81</v>
      </c>
      <c r="AE596" t="s">
        <v>48</v>
      </c>
      <c r="AF596">
        <v>403547</v>
      </c>
      <c r="AG596">
        <v>45</v>
      </c>
      <c r="AH596">
        <v>588</v>
      </c>
      <c r="AI596" s="2">
        <f>Table__192.168.3.138DYLAgingReport[[#This Row],[NetAmount]]-Table__192.168.3.138DYLAgingReport[[#This Row],[Paid]]</f>
        <v>14053</v>
      </c>
    </row>
    <row r="597" spans="1:35">
      <c r="A597" t="s">
        <v>1451</v>
      </c>
      <c r="B597" s="1">
        <v>40870</v>
      </c>
      <c r="C597" s="1">
        <v>40900</v>
      </c>
      <c r="D597" t="s">
        <v>250</v>
      </c>
      <c r="E597">
        <v>406600</v>
      </c>
      <c r="F597">
        <v>65056</v>
      </c>
      <c r="G597">
        <v>0</v>
      </c>
      <c r="H597">
        <v>0</v>
      </c>
      <c r="I597">
        <v>400</v>
      </c>
      <c r="J597">
        <v>471656</v>
      </c>
      <c r="K597" t="s">
        <v>1452</v>
      </c>
      <c r="L597" s="1">
        <v>40868</v>
      </c>
      <c r="N597" t="s">
        <v>36</v>
      </c>
      <c r="O597" t="s">
        <v>37</v>
      </c>
      <c r="P597" t="s">
        <v>387</v>
      </c>
      <c r="Q597" t="s">
        <v>39</v>
      </c>
      <c r="R597" t="s">
        <v>40</v>
      </c>
      <c r="S597">
        <v>0</v>
      </c>
      <c r="U597" t="s">
        <v>41</v>
      </c>
      <c r="V597" t="s">
        <v>42</v>
      </c>
      <c r="X597" t="s">
        <v>74</v>
      </c>
      <c r="Y597" t="b">
        <v>0</v>
      </c>
      <c r="Z597" t="b">
        <v>0</v>
      </c>
      <c r="AB597" t="s">
        <v>1453</v>
      </c>
      <c r="AC597" s="1">
        <v>40928</v>
      </c>
      <c r="AD597" t="s">
        <v>1454</v>
      </c>
      <c r="AE597" t="s">
        <v>1455</v>
      </c>
      <c r="AF597">
        <v>467013</v>
      </c>
      <c r="AG597">
        <v>45</v>
      </c>
      <c r="AH597">
        <v>445</v>
      </c>
      <c r="AI597" s="2">
        <f>Table__192.168.3.138DYLAgingReport[[#This Row],[NetAmount]]-Table__192.168.3.138DYLAgingReport[[#This Row],[Paid]]</f>
        <v>4643</v>
      </c>
    </row>
    <row r="598" spans="1:35">
      <c r="A598" t="s">
        <v>1456</v>
      </c>
      <c r="B598" s="1">
        <v>40863</v>
      </c>
      <c r="C598" s="1">
        <v>40908</v>
      </c>
      <c r="D598" t="s">
        <v>239</v>
      </c>
      <c r="E598">
        <v>162995</v>
      </c>
      <c r="F598">
        <v>26079</v>
      </c>
      <c r="G598">
        <v>0</v>
      </c>
      <c r="H598">
        <v>0</v>
      </c>
      <c r="I598">
        <v>405</v>
      </c>
      <c r="J598">
        <v>189074</v>
      </c>
      <c r="K598" t="s">
        <v>1457</v>
      </c>
      <c r="L598" s="1">
        <v>40863</v>
      </c>
      <c r="N598" t="s">
        <v>36</v>
      </c>
      <c r="O598" t="s">
        <v>37</v>
      </c>
      <c r="P598" t="s">
        <v>376</v>
      </c>
      <c r="Q598" t="s">
        <v>39</v>
      </c>
      <c r="R598" t="s">
        <v>40</v>
      </c>
      <c r="S598">
        <v>0</v>
      </c>
      <c r="U598" t="s">
        <v>41</v>
      </c>
      <c r="V598" t="s">
        <v>42</v>
      </c>
      <c r="X598" t="s">
        <v>74</v>
      </c>
      <c r="Y598" t="b">
        <v>0</v>
      </c>
      <c r="Z598" t="b">
        <v>0</v>
      </c>
      <c r="AB598" t="s">
        <v>1438</v>
      </c>
      <c r="AC598" s="1">
        <v>41115</v>
      </c>
      <c r="AF598">
        <v>0</v>
      </c>
      <c r="AG598">
        <v>45</v>
      </c>
      <c r="AH598">
        <v>450</v>
      </c>
      <c r="AI598" s="2">
        <f>Table__192.168.3.138DYLAgingReport[[#This Row],[NetAmount]]-Table__192.168.3.138DYLAgingReport[[#This Row],[Paid]]</f>
        <v>189074</v>
      </c>
    </row>
    <row r="599" spans="1:35">
      <c r="A599" t="s">
        <v>1458</v>
      </c>
      <c r="B599" s="1">
        <v>40859</v>
      </c>
      <c r="C599" s="1">
        <v>40904</v>
      </c>
      <c r="D599" t="s">
        <v>219</v>
      </c>
      <c r="E599">
        <v>418310</v>
      </c>
      <c r="F599">
        <v>66930</v>
      </c>
      <c r="G599">
        <v>0</v>
      </c>
      <c r="H599">
        <v>0</v>
      </c>
      <c r="I599">
        <v>409</v>
      </c>
      <c r="J599">
        <v>485240</v>
      </c>
      <c r="K599" t="s">
        <v>1459</v>
      </c>
      <c r="L599" s="1">
        <v>40859</v>
      </c>
      <c r="N599" t="s">
        <v>36</v>
      </c>
      <c r="O599" t="s">
        <v>37</v>
      </c>
      <c r="P599" t="s">
        <v>356</v>
      </c>
      <c r="Q599" t="s">
        <v>39</v>
      </c>
      <c r="R599" t="s">
        <v>40</v>
      </c>
      <c r="S599">
        <v>0</v>
      </c>
      <c r="U599" t="s">
        <v>41</v>
      </c>
      <c r="V599" t="s">
        <v>42</v>
      </c>
      <c r="X599" t="s">
        <v>74</v>
      </c>
      <c r="Y599" t="b">
        <v>0</v>
      </c>
      <c r="Z599" t="b">
        <v>0</v>
      </c>
      <c r="AB599" t="s">
        <v>472</v>
      </c>
      <c r="AC599" s="1">
        <v>41227</v>
      </c>
      <c r="AF599">
        <v>0</v>
      </c>
      <c r="AG599">
        <v>45</v>
      </c>
      <c r="AH599">
        <v>454</v>
      </c>
      <c r="AI599" s="2">
        <f>Table__192.168.3.138DYLAgingReport[[#This Row],[NetAmount]]-Table__192.168.3.138DYLAgingReport[[#This Row],[Paid]]</f>
        <v>485240</v>
      </c>
    </row>
    <row r="600" spans="1:35">
      <c r="A600" t="s">
        <v>1460</v>
      </c>
      <c r="B600" s="1">
        <v>40864</v>
      </c>
      <c r="C600" s="1">
        <v>40909</v>
      </c>
      <c r="D600" t="s">
        <v>219</v>
      </c>
      <c r="E600">
        <v>55966</v>
      </c>
      <c r="F600">
        <v>8955</v>
      </c>
      <c r="G600">
        <v>0</v>
      </c>
      <c r="H600">
        <v>0</v>
      </c>
      <c r="I600">
        <v>404</v>
      </c>
      <c r="J600">
        <v>64921</v>
      </c>
      <c r="L600" s="1">
        <v>40864</v>
      </c>
      <c r="N600" t="s">
        <v>36</v>
      </c>
      <c r="O600" t="s">
        <v>37</v>
      </c>
      <c r="P600" t="s">
        <v>356</v>
      </c>
      <c r="Q600" t="s">
        <v>39</v>
      </c>
      <c r="R600" t="s">
        <v>40</v>
      </c>
      <c r="S600">
        <v>0</v>
      </c>
      <c r="U600" t="s">
        <v>41</v>
      </c>
      <c r="V600" t="s">
        <v>42</v>
      </c>
      <c r="X600" t="s">
        <v>74</v>
      </c>
      <c r="Y600" t="b">
        <v>0</v>
      </c>
      <c r="Z600" t="b">
        <v>0</v>
      </c>
      <c r="AB600" t="s">
        <v>472</v>
      </c>
      <c r="AC600" s="1">
        <v>41227</v>
      </c>
      <c r="AF600">
        <v>0</v>
      </c>
      <c r="AG600">
        <v>45</v>
      </c>
      <c r="AH600">
        <v>449</v>
      </c>
      <c r="AI600" s="2">
        <f>Table__192.168.3.138DYLAgingReport[[#This Row],[NetAmount]]-Table__192.168.3.138DYLAgingReport[[#This Row],[Paid]]</f>
        <v>64921</v>
      </c>
    </row>
    <row r="601" spans="1:35">
      <c r="A601" t="s">
        <v>1461</v>
      </c>
      <c r="B601" s="1">
        <v>40864</v>
      </c>
      <c r="C601" s="1">
        <v>40909</v>
      </c>
      <c r="D601" t="s">
        <v>219</v>
      </c>
      <c r="E601">
        <v>46895</v>
      </c>
      <c r="F601">
        <v>7503</v>
      </c>
      <c r="G601">
        <v>0</v>
      </c>
      <c r="H601">
        <v>0</v>
      </c>
      <c r="I601">
        <v>404</v>
      </c>
      <c r="J601">
        <v>54398</v>
      </c>
      <c r="L601" s="1">
        <v>40864</v>
      </c>
      <c r="N601" t="s">
        <v>36</v>
      </c>
      <c r="O601" t="s">
        <v>37</v>
      </c>
      <c r="P601" t="s">
        <v>356</v>
      </c>
      <c r="Q601" t="s">
        <v>39</v>
      </c>
      <c r="R601" t="s">
        <v>40</v>
      </c>
      <c r="S601">
        <v>0</v>
      </c>
      <c r="U601" t="s">
        <v>41</v>
      </c>
      <c r="V601" t="s">
        <v>42</v>
      </c>
      <c r="X601" t="s">
        <v>74</v>
      </c>
      <c r="Y601" t="b">
        <v>0</v>
      </c>
      <c r="Z601" t="b">
        <v>0</v>
      </c>
      <c r="AB601" t="s">
        <v>472</v>
      </c>
      <c r="AC601" s="1">
        <v>41227</v>
      </c>
      <c r="AF601">
        <v>0</v>
      </c>
      <c r="AG601">
        <v>45</v>
      </c>
      <c r="AH601">
        <v>449</v>
      </c>
      <c r="AI601" s="2">
        <f>Table__192.168.3.138DYLAgingReport[[#This Row],[NetAmount]]-Table__192.168.3.138DYLAgingReport[[#This Row],[Paid]]</f>
        <v>54398</v>
      </c>
    </row>
    <row r="602" spans="1:35">
      <c r="A602" t="s">
        <v>1462</v>
      </c>
      <c r="B602" s="1">
        <v>40864</v>
      </c>
      <c r="C602" s="1">
        <v>40909</v>
      </c>
      <c r="D602" t="s">
        <v>219</v>
      </c>
      <c r="E602">
        <v>179958</v>
      </c>
      <c r="F602">
        <v>28793</v>
      </c>
      <c r="G602">
        <v>0</v>
      </c>
      <c r="H602">
        <v>0</v>
      </c>
      <c r="I602">
        <v>404</v>
      </c>
      <c r="J602">
        <v>208751</v>
      </c>
      <c r="L602" s="1">
        <v>40864</v>
      </c>
      <c r="N602" t="s">
        <v>36</v>
      </c>
      <c r="O602" t="s">
        <v>37</v>
      </c>
      <c r="P602" t="s">
        <v>356</v>
      </c>
      <c r="Q602" t="s">
        <v>39</v>
      </c>
      <c r="R602" t="s">
        <v>40</v>
      </c>
      <c r="S602">
        <v>0</v>
      </c>
      <c r="U602" t="s">
        <v>41</v>
      </c>
      <c r="V602" t="s">
        <v>42</v>
      </c>
      <c r="X602" t="s">
        <v>74</v>
      </c>
      <c r="Y602" t="b">
        <v>0</v>
      </c>
      <c r="Z602" t="b">
        <v>0</v>
      </c>
      <c r="AB602" t="s">
        <v>472</v>
      </c>
      <c r="AC602" s="1">
        <v>41227</v>
      </c>
      <c r="AF602">
        <v>0</v>
      </c>
      <c r="AG602">
        <v>45</v>
      </c>
      <c r="AH602">
        <v>449</v>
      </c>
      <c r="AI602" s="2">
        <f>Table__192.168.3.138DYLAgingReport[[#This Row],[NetAmount]]-Table__192.168.3.138DYLAgingReport[[#This Row],[Paid]]</f>
        <v>208751</v>
      </c>
    </row>
    <row r="603" spans="1:35">
      <c r="A603" t="s">
        <v>1463</v>
      </c>
      <c r="B603" s="1">
        <v>40877</v>
      </c>
      <c r="C603" s="1">
        <v>40922</v>
      </c>
      <c r="D603" t="s">
        <v>208</v>
      </c>
      <c r="E603">
        <v>6632</v>
      </c>
      <c r="F603">
        <v>1061</v>
      </c>
      <c r="G603">
        <v>0</v>
      </c>
      <c r="H603">
        <v>0</v>
      </c>
      <c r="I603">
        <v>391</v>
      </c>
      <c r="J603">
        <v>7693</v>
      </c>
      <c r="K603" t="s">
        <v>1464</v>
      </c>
      <c r="L603" s="1">
        <v>40877</v>
      </c>
      <c r="N603" t="s">
        <v>36</v>
      </c>
      <c r="O603" t="s">
        <v>37</v>
      </c>
      <c r="P603" t="s">
        <v>345</v>
      </c>
      <c r="Q603" t="s">
        <v>39</v>
      </c>
      <c r="R603" t="s">
        <v>40</v>
      </c>
      <c r="S603">
        <v>0</v>
      </c>
      <c r="U603" t="s">
        <v>41</v>
      </c>
      <c r="V603" t="s">
        <v>42</v>
      </c>
      <c r="X603" t="s">
        <v>74</v>
      </c>
      <c r="Y603" t="b">
        <v>0</v>
      </c>
      <c r="Z603" t="b">
        <v>0</v>
      </c>
      <c r="AB603" t="s">
        <v>476</v>
      </c>
      <c r="AC603" s="1">
        <v>40980</v>
      </c>
      <c r="AE603" t="s">
        <v>477</v>
      </c>
      <c r="AF603">
        <v>0</v>
      </c>
      <c r="AG603">
        <v>45</v>
      </c>
      <c r="AH603">
        <v>436</v>
      </c>
      <c r="AI603" s="2">
        <f>Table__192.168.3.138DYLAgingReport[[#This Row],[NetAmount]]-Table__192.168.3.138DYLAgingReport[[#This Row],[Paid]]</f>
        <v>7693</v>
      </c>
    </row>
    <row r="604" spans="1:35">
      <c r="A604" t="s">
        <v>1465</v>
      </c>
      <c r="B604" s="1">
        <v>40871</v>
      </c>
      <c r="C604" s="1">
        <v>40916</v>
      </c>
      <c r="D604" t="s">
        <v>219</v>
      </c>
      <c r="E604">
        <v>44230</v>
      </c>
      <c r="F604">
        <v>7077</v>
      </c>
      <c r="G604">
        <v>0</v>
      </c>
      <c r="H604">
        <v>0</v>
      </c>
      <c r="I604">
        <v>396</v>
      </c>
      <c r="J604">
        <v>51307</v>
      </c>
      <c r="K604" t="s">
        <v>1466</v>
      </c>
      <c r="L604" s="1">
        <v>40872</v>
      </c>
      <c r="N604" t="s">
        <v>36</v>
      </c>
      <c r="O604" t="s">
        <v>37</v>
      </c>
      <c r="P604" t="s">
        <v>356</v>
      </c>
      <c r="Q604" t="s">
        <v>39</v>
      </c>
      <c r="R604" t="s">
        <v>40</v>
      </c>
      <c r="S604">
        <v>0</v>
      </c>
      <c r="U604" t="s">
        <v>41</v>
      </c>
      <c r="V604" t="s">
        <v>42</v>
      </c>
      <c r="X604" t="s">
        <v>74</v>
      </c>
      <c r="Y604" t="b">
        <v>0</v>
      </c>
      <c r="Z604" t="b">
        <v>0</v>
      </c>
      <c r="AB604" t="s">
        <v>472</v>
      </c>
      <c r="AC604" s="1">
        <v>41227</v>
      </c>
      <c r="AF604">
        <v>0</v>
      </c>
      <c r="AG604">
        <v>45</v>
      </c>
      <c r="AH604">
        <v>441</v>
      </c>
      <c r="AI604" s="2">
        <f>Table__192.168.3.138DYLAgingReport[[#This Row],[NetAmount]]-Table__192.168.3.138DYLAgingReport[[#This Row],[Paid]]</f>
        <v>51307</v>
      </c>
    </row>
    <row r="605" spans="1:35">
      <c r="A605" t="s">
        <v>1467</v>
      </c>
      <c r="B605" s="1">
        <v>40871</v>
      </c>
      <c r="C605" s="1">
        <v>40916</v>
      </c>
      <c r="D605" t="s">
        <v>219</v>
      </c>
      <c r="E605">
        <v>9712</v>
      </c>
      <c r="F605">
        <v>1554</v>
      </c>
      <c r="G605">
        <v>0</v>
      </c>
      <c r="H605">
        <v>0</v>
      </c>
      <c r="I605">
        <v>396</v>
      </c>
      <c r="J605">
        <v>11266</v>
      </c>
      <c r="K605" t="s">
        <v>1468</v>
      </c>
      <c r="L605" s="1">
        <v>40872</v>
      </c>
      <c r="N605" t="s">
        <v>36</v>
      </c>
      <c r="O605" t="s">
        <v>37</v>
      </c>
      <c r="P605" t="s">
        <v>356</v>
      </c>
      <c r="Q605" t="s">
        <v>39</v>
      </c>
      <c r="R605" t="s">
        <v>40</v>
      </c>
      <c r="S605">
        <v>0</v>
      </c>
      <c r="U605" t="s">
        <v>41</v>
      </c>
      <c r="V605" t="s">
        <v>42</v>
      </c>
      <c r="X605" t="s">
        <v>74</v>
      </c>
      <c r="Y605" t="b">
        <v>0</v>
      </c>
      <c r="Z605" t="b">
        <v>0</v>
      </c>
      <c r="AB605" t="s">
        <v>472</v>
      </c>
      <c r="AC605" s="1">
        <v>41227</v>
      </c>
      <c r="AF605">
        <v>0</v>
      </c>
      <c r="AG605">
        <v>45</v>
      </c>
      <c r="AH605">
        <v>441</v>
      </c>
      <c r="AI605" s="2">
        <f>Table__192.168.3.138DYLAgingReport[[#This Row],[NetAmount]]-Table__192.168.3.138DYLAgingReport[[#This Row],[Paid]]</f>
        <v>11266</v>
      </c>
    </row>
    <row r="606" spans="1:35">
      <c r="A606" t="s">
        <v>1469</v>
      </c>
      <c r="B606" s="1">
        <v>40871</v>
      </c>
      <c r="C606" s="1">
        <v>40916</v>
      </c>
      <c r="D606" t="s">
        <v>219</v>
      </c>
      <c r="E606">
        <v>204475</v>
      </c>
      <c r="F606">
        <v>32716</v>
      </c>
      <c r="G606">
        <v>0</v>
      </c>
      <c r="H606">
        <v>0</v>
      </c>
      <c r="I606">
        <v>396</v>
      </c>
      <c r="J606">
        <v>237191</v>
      </c>
      <c r="K606" t="s">
        <v>1470</v>
      </c>
      <c r="L606" s="1">
        <v>40872</v>
      </c>
      <c r="N606" t="s">
        <v>36</v>
      </c>
      <c r="O606" t="s">
        <v>37</v>
      </c>
      <c r="P606" t="s">
        <v>356</v>
      </c>
      <c r="Q606" t="s">
        <v>39</v>
      </c>
      <c r="R606" t="s">
        <v>40</v>
      </c>
      <c r="S606">
        <v>0</v>
      </c>
      <c r="U606" t="s">
        <v>41</v>
      </c>
      <c r="V606" t="s">
        <v>42</v>
      </c>
      <c r="X606" t="s">
        <v>74</v>
      </c>
      <c r="Y606" t="b">
        <v>0</v>
      </c>
      <c r="Z606" t="b">
        <v>0</v>
      </c>
      <c r="AB606" t="s">
        <v>472</v>
      </c>
      <c r="AC606" s="1">
        <v>41227</v>
      </c>
      <c r="AF606">
        <v>0</v>
      </c>
      <c r="AG606">
        <v>45</v>
      </c>
      <c r="AH606">
        <v>441</v>
      </c>
      <c r="AI606" s="2">
        <f>Table__192.168.3.138DYLAgingReport[[#This Row],[NetAmount]]-Table__192.168.3.138DYLAgingReport[[#This Row],[Paid]]</f>
        <v>237191</v>
      </c>
    </row>
    <row r="607" spans="1:35">
      <c r="A607" t="s">
        <v>1471</v>
      </c>
      <c r="B607" s="1">
        <v>40870</v>
      </c>
      <c r="C607" s="1">
        <v>40915</v>
      </c>
      <c r="D607" t="s">
        <v>264</v>
      </c>
      <c r="E607">
        <v>560000</v>
      </c>
      <c r="F607">
        <v>89600</v>
      </c>
      <c r="G607">
        <v>0</v>
      </c>
      <c r="H607">
        <v>0</v>
      </c>
      <c r="I607">
        <v>399</v>
      </c>
      <c r="J607">
        <v>649600</v>
      </c>
      <c r="K607" t="s">
        <v>1472</v>
      </c>
      <c r="L607" s="1">
        <v>40869</v>
      </c>
      <c r="N607" t="s">
        <v>36</v>
      </c>
      <c r="O607" t="s">
        <v>37</v>
      </c>
      <c r="P607" t="s">
        <v>401</v>
      </c>
      <c r="Q607" t="s">
        <v>39</v>
      </c>
      <c r="R607" t="s">
        <v>40</v>
      </c>
      <c r="S607">
        <v>0</v>
      </c>
      <c r="U607" t="s">
        <v>41</v>
      </c>
      <c r="V607" t="s">
        <v>42</v>
      </c>
      <c r="X607" t="s">
        <v>74</v>
      </c>
      <c r="Y607" t="b">
        <v>0</v>
      </c>
      <c r="Z607" t="b">
        <v>0</v>
      </c>
      <c r="AB607" t="s">
        <v>1445</v>
      </c>
      <c r="AC607" s="1"/>
      <c r="AD607" t="s">
        <v>1446</v>
      </c>
      <c r="AF607">
        <v>0</v>
      </c>
      <c r="AG607">
        <v>45</v>
      </c>
      <c r="AH607">
        <v>444</v>
      </c>
      <c r="AI607" s="2">
        <f>Table__192.168.3.138DYLAgingReport[[#This Row],[NetAmount]]-Table__192.168.3.138DYLAgingReport[[#This Row],[Paid]]</f>
        <v>649600</v>
      </c>
    </row>
    <row r="608" spans="1:35">
      <c r="A608" t="s">
        <v>1473</v>
      </c>
      <c r="B608" s="1">
        <v>40877</v>
      </c>
      <c r="C608" s="1">
        <v>40922</v>
      </c>
      <c r="D608" t="s">
        <v>264</v>
      </c>
      <c r="E608">
        <v>560000</v>
      </c>
      <c r="F608">
        <v>89600</v>
      </c>
      <c r="G608">
        <v>0</v>
      </c>
      <c r="H608">
        <v>0</v>
      </c>
      <c r="I608">
        <v>391</v>
      </c>
      <c r="J608">
        <v>649600</v>
      </c>
      <c r="K608" t="s">
        <v>1474</v>
      </c>
      <c r="L608" s="1">
        <v>40877</v>
      </c>
      <c r="N608" t="s">
        <v>36</v>
      </c>
      <c r="O608" t="s">
        <v>37</v>
      </c>
      <c r="P608" t="s">
        <v>401</v>
      </c>
      <c r="Q608" t="s">
        <v>39</v>
      </c>
      <c r="R608" t="s">
        <v>40</v>
      </c>
      <c r="S608">
        <v>0</v>
      </c>
      <c r="U608" t="s">
        <v>41</v>
      </c>
      <c r="V608" t="s">
        <v>42</v>
      </c>
      <c r="X608" t="s">
        <v>74</v>
      </c>
      <c r="Y608" t="b">
        <v>0</v>
      </c>
      <c r="Z608" t="b">
        <v>0</v>
      </c>
      <c r="AC608" s="1"/>
      <c r="AF608">
        <v>0</v>
      </c>
      <c r="AG608">
        <v>45</v>
      </c>
      <c r="AH608">
        <v>436</v>
      </c>
      <c r="AI608" s="2">
        <f>Table__192.168.3.138DYLAgingReport[[#This Row],[NetAmount]]-Table__192.168.3.138DYLAgingReport[[#This Row],[Paid]]</f>
        <v>649600</v>
      </c>
    </row>
    <row r="609" spans="1:35">
      <c r="A609" t="s">
        <v>1475</v>
      </c>
      <c r="B609" s="1">
        <v>40864</v>
      </c>
      <c r="C609" s="1">
        <v>40909</v>
      </c>
      <c r="D609" t="s">
        <v>219</v>
      </c>
      <c r="E609">
        <v>57017</v>
      </c>
      <c r="F609">
        <v>9123</v>
      </c>
      <c r="G609">
        <v>0</v>
      </c>
      <c r="H609">
        <v>0</v>
      </c>
      <c r="I609">
        <v>396</v>
      </c>
      <c r="J609">
        <v>66140</v>
      </c>
      <c r="K609" t="s">
        <v>1476</v>
      </c>
      <c r="L609" s="1">
        <v>40872</v>
      </c>
      <c r="N609" t="s">
        <v>36</v>
      </c>
      <c r="O609" t="s">
        <v>37</v>
      </c>
      <c r="P609" t="s">
        <v>356</v>
      </c>
      <c r="Q609" t="s">
        <v>39</v>
      </c>
      <c r="R609" t="s">
        <v>40</v>
      </c>
      <c r="S609">
        <v>0</v>
      </c>
      <c r="U609" t="s">
        <v>41</v>
      </c>
      <c r="V609" t="s">
        <v>42</v>
      </c>
      <c r="X609" t="s">
        <v>74</v>
      </c>
      <c r="Y609" t="b">
        <v>0</v>
      </c>
      <c r="Z609" t="b">
        <v>0</v>
      </c>
      <c r="AB609" t="s">
        <v>472</v>
      </c>
      <c r="AC609" s="1">
        <v>41227</v>
      </c>
      <c r="AF609">
        <v>0</v>
      </c>
      <c r="AG609">
        <v>45</v>
      </c>
      <c r="AH609">
        <v>441</v>
      </c>
      <c r="AI609" s="2">
        <f>Table__192.168.3.138DYLAgingReport[[#This Row],[NetAmount]]-Table__192.168.3.138DYLAgingReport[[#This Row],[Paid]]</f>
        <v>66140</v>
      </c>
    </row>
    <row r="610" spans="1:35">
      <c r="A610" t="s">
        <v>1477</v>
      </c>
      <c r="B610" s="1">
        <v>40877</v>
      </c>
      <c r="C610" s="1">
        <v>40922</v>
      </c>
      <c r="D610" t="s">
        <v>264</v>
      </c>
      <c r="E610">
        <v>560000</v>
      </c>
      <c r="F610">
        <v>89600</v>
      </c>
      <c r="G610">
        <v>0</v>
      </c>
      <c r="H610">
        <v>0</v>
      </c>
      <c r="I610">
        <v>392</v>
      </c>
      <c r="J610">
        <v>649600</v>
      </c>
      <c r="K610" t="s">
        <v>1478</v>
      </c>
      <c r="L610" s="1">
        <v>40876</v>
      </c>
      <c r="N610" t="s">
        <v>36</v>
      </c>
      <c r="O610" t="s">
        <v>37</v>
      </c>
      <c r="P610" t="s">
        <v>401</v>
      </c>
      <c r="Q610" t="s">
        <v>39</v>
      </c>
      <c r="R610" t="s">
        <v>40</v>
      </c>
      <c r="S610">
        <v>0</v>
      </c>
      <c r="U610" t="s">
        <v>41</v>
      </c>
      <c r="V610" t="s">
        <v>42</v>
      </c>
      <c r="X610" t="s">
        <v>74</v>
      </c>
      <c r="Y610" t="b">
        <v>0</v>
      </c>
      <c r="Z610" t="b">
        <v>0</v>
      </c>
      <c r="AC610" s="1"/>
      <c r="AF610">
        <v>0</v>
      </c>
      <c r="AG610">
        <v>45</v>
      </c>
      <c r="AH610">
        <v>437</v>
      </c>
      <c r="AI610" s="2">
        <f>Table__192.168.3.138DYLAgingReport[[#This Row],[NetAmount]]-Table__192.168.3.138DYLAgingReport[[#This Row],[Paid]]</f>
        <v>649600</v>
      </c>
    </row>
    <row r="611" spans="1:35">
      <c r="A611" t="s">
        <v>1479</v>
      </c>
      <c r="B611" s="1">
        <v>40877</v>
      </c>
      <c r="C611" s="1">
        <v>40922</v>
      </c>
      <c r="D611" t="s">
        <v>219</v>
      </c>
      <c r="E611">
        <v>11008</v>
      </c>
      <c r="F611">
        <v>1761</v>
      </c>
      <c r="G611">
        <v>0</v>
      </c>
      <c r="H611">
        <v>0</v>
      </c>
      <c r="I611">
        <v>391</v>
      </c>
      <c r="J611">
        <v>12769</v>
      </c>
      <c r="K611" t="s">
        <v>1480</v>
      </c>
      <c r="L611" s="1">
        <v>40877</v>
      </c>
      <c r="N611" t="s">
        <v>36</v>
      </c>
      <c r="O611" t="s">
        <v>37</v>
      </c>
      <c r="P611" t="s">
        <v>356</v>
      </c>
      <c r="Q611" t="s">
        <v>39</v>
      </c>
      <c r="R611" t="s">
        <v>40</v>
      </c>
      <c r="S611">
        <v>0</v>
      </c>
      <c r="U611" t="s">
        <v>41</v>
      </c>
      <c r="V611" t="s">
        <v>42</v>
      </c>
      <c r="X611" t="s">
        <v>74</v>
      </c>
      <c r="Y611" t="b">
        <v>0</v>
      </c>
      <c r="Z611" t="b">
        <v>0</v>
      </c>
      <c r="AB611" t="s">
        <v>472</v>
      </c>
      <c r="AC611" s="1">
        <v>41227</v>
      </c>
      <c r="AF611">
        <v>0</v>
      </c>
      <c r="AG611">
        <v>45</v>
      </c>
      <c r="AH611">
        <v>436</v>
      </c>
      <c r="AI611" s="2">
        <f>Table__192.168.3.138DYLAgingReport[[#This Row],[NetAmount]]-Table__192.168.3.138DYLAgingReport[[#This Row],[Paid]]</f>
        <v>12769</v>
      </c>
    </row>
    <row r="612" spans="1:35">
      <c r="A612" t="s">
        <v>1481</v>
      </c>
      <c r="B612" s="1">
        <v>40877</v>
      </c>
      <c r="C612" s="1">
        <v>40922</v>
      </c>
      <c r="D612" t="s">
        <v>219</v>
      </c>
      <c r="E612">
        <v>129836</v>
      </c>
      <c r="F612">
        <v>20774</v>
      </c>
      <c r="G612">
        <v>0</v>
      </c>
      <c r="H612">
        <v>0</v>
      </c>
      <c r="I612">
        <v>391</v>
      </c>
      <c r="J612">
        <v>150610</v>
      </c>
      <c r="K612" t="s">
        <v>1482</v>
      </c>
      <c r="L612" s="1">
        <v>40877</v>
      </c>
      <c r="N612" t="s">
        <v>36</v>
      </c>
      <c r="O612" t="s">
        <v>37</v>
      </c>
      <c r="P612" t="s">
        <v>356</v>
      </c>
      <c r="Q612" t="s">
        <v>39</v>
      </c>
      <c r="R612" t="s">
        <v>40</v>
      </c>
      <c r="S612">
        <v>0</v>
      </c>
      <c r="U612" t="s">
        <v>41</v>
      </c>
      <c r="V612" t="s">
        <v>42</v>
      </c>
      <c r="X612" t="s">
        <v>74</v>
      </c>
      <c r="Y612" t="b">
        <v>0</v>
      </c>
      <c r="Z612" t="b">
        <v>0</v>
      </c>
      <c r="AB612" t="s">
        <v>472</v>
      </c>
      <c r="AC612" s="1">
        <v>41227</v>
      </c>
      <c r="AF612">
        <v>0</v>
      </c>
      <c r="AG612">
        <v>45</v>
      </c>
      <c r="AH612">
        <v>436</v>
      </c>
      <c r="AI612" s="2">
        <f>Table__192.168.3.138DYLAgingReport[[#This Row],[NetAmount]]-Table__192.168.3.138DYLAgingReport[[#This Row],[Paid]]</f>
        <v>150610</v>
      </c>
    </row>
    <row r="613" spans="1:35">
      <c r="A613" t="s">
        <v>1483</v>
      </c>
      <c r="B613" s="1">
        <v>40875</v>
      </c>
      <c r="C613" s="1">
        <v>40920</v>
      </c>
      <c r="D613" t="s">
        <v>219</v>
      </c>
      <c r="E613">
        <v>150452</v>
      </c>
      <c r="F613">
        <v>24072</v>
      </c>
      <c r="G613">
        <v>0</v>
      </c>
      <c r="H613">
        <v>0</v>
      </c>
      <c r="I613">
        <v>393</v>
      </c>
      <c r="J613">
        <v>174524</v>
      </c>
      <c r="K613" t="s">
        <v>1484</v>
      </c>
      <c r="L613" s="1">
        <v>40875</v>
      </c>
      <c r="N613" t="s">
        <v>36</v>
      </c>
      <c r="O613" t="s">
        <v>37</v>
      </c>
      <c r="P613" t="s">
        <v>356</v>
      </c>
      <c r="Q613" t="s">
        <v>39</v>
      </c>
      <c r="R613" t="s">
        <v>40</v>
      </c>
      <c r="S613">
        <v>0</v>
      </c>
      <c r="U613" t="s">
        <v>41</v>
      </c>
      <c r="V613" t="s">
        <v>42</v>
      </c>
      <c r="X613" t="s">
        <v>74</v>
      </c>
      <c r="Y613" t="b">
        <v>0</v>
      </c>
      <c r="Z613" t="b">
        <v>0</v>
      </c>
      <c r="AB613" t="s">
        <v>472</v>
      </c>
      <c r="AC613" s="1">
        <v>41227</v>
      </c>
      <c r="AF613">
        <v>0</v>
      </c>
      <c r="AG613">
        <v>45</v>
      </c>
      <c r="AH613">
        <v>438</v>
      </c>
      <c r="AI613" s="2">
        <f>Table__192.168.3.138DYLAgingReport[[#This Row],[NetAmount]]-Table__192.168.3.138DYLAgingReport[[#This Row],[Paid]]</f>
        <v>174524</v>
      </c>
    </row>
    <row r="614" spans="1:35">
      <c r="A614" t="s">
        <v>1485</v>
      </c>
      <c r="B614" s="1">
        <v>40875</v>
      </c>
      <c r="C614" s="1">
        <v>40920</v>
      </c>
      <c r="D614" t="s">
        <v>219</v>
      </c>
      <c r="E614">
        <v>44738</v>
      </c>
      <c r="F614">
        <v>7158</v>
      </c>
      <c r="G614">
        <v>0</v>
      </c>
      <c r="H614">
        <v>0</v>
      </c>
      <c r="I614">
        <v>393</v>
      </c>
      <c r="J614">
        <v>51896</v>
      </c>
      <c r="K614" t="s">
        <v>1486</v>
      </c>
      <c r="L614" s="1">
        <v>40875</v>
      </c>
      <c r="N614" t="s">
        <v>36</v>
      </c>
      <c r="O614" t="s">
        <v>37</v>
      </c>
      <c r="P614" t="s">
        <v>356</v>
      </c>
      <c r="Q614" t="s">
        <v>39</v>
      </c>
      <c r="R614" t="s">
        <v>40</v>
      </c>
      <c r="S614">
        <v>0</v>
      </c>
      <c r="U614" t="s">
        <v>41</v>
      </c>
      <c r="V614" t="s">
        <v>42</v>
      </c>
      <c r="X614" t="s">
        <v>74</v>
      </c>
      <c r="Y614" t="b">
        <v>0</v>
      </c>
      <c r="Z614" t="b">
        <v>0</v>
      </c>
      <c r="AB614" t="s">
        <v>472</v>
      </c>
      <c r="AC614" s="1">
        <v>41227</v>
      </c>
      <c r="AF614">
        <v>0</v>
      </c>
      <c r="AG614">
        <v>45</v>
      </c>
      <c r="AH614">
        <v>438</v>
      </c>
      <c r="AI614" s="2">
        <f>Table__192.168.3.138DYLAgingReport[[#This Row],[NetAmount]]-Table__192.168.3.138DYLAgingReport[[#This Row],[Paid]]</f>
        <v>51896</v>
      </c>
    </row>
    <row r="615" spans="1:35">
      <c r="A615" t="s">
        <v>1487</v>
      </c>
      <c r="B615" s="1">
        <v>40875</v>
      </c>
      <c r="C615" s="1">
        <v>40920</v>
      </c>
      <c r="D615" t="s">
        <v>239</v>
      </c>
      <c r="E615">
        <v>464269</v>
      </c>
      <c r="F615">
        <v>74283</v>
      </c>
      <c r="G615">
        <v>0</v>
      </c>
      <c r="H615">
        <v>353068</v>
      </c>
      <c r="I615">
        <v>393</v>
      </c>
      <c r="J615">
        <v>538552</v>
      </c>
      <c r="K615" t="s">
        <v>1488</v>
      </c>
      <c r="L615" s="1">
        <v>40875</v>
      </c>
      <c r="N615" t="s">
        <v>36</v>
      </c>
      <c r="O615" t="s">
        <v>37</v>
      </c>
      <c r="P615" t="s">
        <v>376</v>
      </c>
      <c r="Q615" t="s">
        <v>39</v>
      </c>
      <c r="R615" t="s">
        <v>40</v>
      </c>
      <c r="S615">
        <v>0</v>
      </c>
      <c r="T615" t="s">
        <v>1489</v>
      </c>
      <c r="U615" t="s">
        <v>41</v>
      </c>
      <c r="V615" t="s">
        <v>42</v>
      </c>
      <c r="X615" t="s">
        <v>74</v>
      </c>
      <c r="Y615" t="b">
        <v>0</v>
      </c>
      <c r="Z615" t="b">
        <v>0</v>
      </c>
      <c r="AB615" t="s">
        <v>1438</v>
      </c>
      <c r="AC615" s="1">
        <v>41115</v>
      </c>
      <c r="AF615">
        <v>0</v>
      </c>
      <c r="AG615">
        <v>45</v>
      </c>
      <c r="AH615">
        <v>438</v>
      </c>
      <c r="AI615" s="2">
        <f>Table__192.168.3.138DYLAgingReport[[#This Row],[NetAmount]]-Table__192.168.3.138DYLAgingReport[[#This Row],[Paid]]</f>
        <v>538552</v>
      </c>
    </row>
    <row r="616" spans="1:35">
      <c r="A616" t="s">
        <v>1490</v>
      </c>
      <c r="B616" s="1">
        <v>40877</v>
      </c>
      <c r="C616" s="1">
        <v>40922</v>
      </c>
      <c r="D616" t="s">
        <v>208</v>
      </c>
      <c r="E616">
        <v>45015</v>
      </c>
      <c r="F616">
        <v>7202</v>
      </c>
      <c r="G616">
        <v>0</v>
      </c>
      <c r="H616">
        <v>0</v>
      </c>
      <c r="I616">
        <v>391</v>
      </c>
      <c r="J616">
        <v>52217</v>
      </c>
      <c r="K616" t="s">
        <v>1491</v>
      </c>
      <c r="L616" s="1">
        <v>40877</v>
      </c>
      <c r="N616" t="s">
        <v>36</v>
      </c>
      <c r="O616" t="s">
        <v>37</v>
      </c>
      <c r="P616" t="s">
        <v>345</v>
      </c>
      <c r="Q616" t="s">
        <v>39</v>
      </c>
      <c r="R616" t="s">
        <v>40</v>
      </c>
      <c r="S616">
        <v>0</v>
      </c>
      <c r="U616" t="s">
        <v>41</v>
      </c>
      <c r="V616" t="s">
        <v>42</v>
      </c>
      <c r="X616" t="s">
        <v>74</v>
      </c>
      <c r="Y616" t="b">
        <v>0</v>
      </c>
      <c r="Z616" t="b">
        <v>0</v>
      </c>
      <c r="AB616" t="s">
        <v>476</v>
      </c>
      <c r="AC616" s="1">
        <v>40980</v>
      </c>
      <c r="AD616" t="s">
        <v>1492</v>
      </c>
      <c r="AE616" t="s">
        <v>477</v>
      </c>
      <c r="AF616">
        <v>51740</v>
      </c>
      <c r="AG616">
        <v>45</v>
      </c>
      <c r="AH616">
        <v>436</v>
      </c>
      <c r="AI616" s="2">
        <f>Table__192.168.3.138DYLAgingReport[[#This Row],[NetAmount]]-Table__192.168.3.138DYLAgingReport[[#This Row],[Paid]]</f>
        <v>477</v>
      </c>
    </row>
    <row r="617" spans="1:35">
      <c r="A617" t="s">
        <v>1493</v>
      </c>
      <c r="B617" s="1">
        <v>40863</v>
      </c>
      <c r="C617" s="1">
        <v>40908</v>
      </c>
      <c r="D617" t="s">
        <v>175</v>
      </c>
      <c r="E617">
        <v>17350</v>
      </c>
      <c r="F617">
        <v>2776</v>
      </c>
      <c r="G617">
        <v>0</v>
      </c>
      <c r="H617">
        <v>0</v>
      </c>
      <c r="I617">
        <v>407</v>
      </c>
      <c r="J617">
        <v>20126</v>
      </c>
      <c r="K617" t="s">
        <v>1494</v>
      </c>
      <c r="L617" s="1">
        <v>40861</v>
      </c>
      <c r="N617" t="s">
        <v>36</v>
      </c>
      <c r="O617" t="s">
        <v>37</v>
      </c>
      <c r="P617" t="s">
        <v>312</v>
      </c>
      <c r="Q617" t="s">
        <v>39</v>
      </c>
      <c r="R617" t="s">
        <v>40</v>
      </c>
      <c r="S617">
        <v>0</v>
      </c>
      <c r="U617" t="s">
        <v>41</v>
      </c>
      <c r="V617" t="s">
        <v>42</v>
      </c>
      <c r="X617" t="s">
        <v>74</v>
      </c>
      <c r="Y617" t="b">
        <v>0</v>
      </c>
      <c r="Z617" t="b">
        <v>0</v>
      </c>
      <c r="AB617" t="s">
        <v>1495</v>
      </c>
      <c r="AC617" s="1">
        <v>41101</v>
      </c>
      <c r="AE617" t="s">
        <v>1496</v>
      </c>
      <c r="AF617">
        <v>0</v>
      </c>
      <c r="AG617">
        <v>45</v>
      </c>
      <c r="AH617">
        <v>452</v>
      </c>
      <c r="AI617" s="2">
        <f>Table__192.168.3.138DYLAgingReport[[#This Row],[NetAmount]]-Table__192.168.3.138DYLAgingReport[[#This Row],[Paid]]</f>
        <v>20126</v>
      </c>
    </row>
    <row r="618" spans="1:35">
      <c r="A618" t="s">
        <v>1497</v>
      </c>
      <c r="B618" s="1">
        <v>40851</v>
      </c>
      <c r="C618" s="1">
        <v>40896</v>
      </c>
      <c r="D618" t="s">
        <v>219</v>
      </c>
      <c r="E618">
        <v>131590</v>
      </c>
      <c r="F618">
        <v>21054</v>
      </c>
      <c r="G618">
        <v>0</v>
      </c>
      <c r="H618">
        <v>0</v>
      </c>
      <c r="I618">
        <v>417</v>
      </c>
      <c r="J618">
        <v>152644</v>
      </c>
      <c r="K618" t="s">
        <v>1498</v>
      </c>
      <c r="L618" s="1">
        <v>40851</v>
      </c>
      <c r="N618" t="s">
        <v>36</v>
      </c>
      <c r="O618" t="s">
        <v>37</v>
      </c>
      <c r="P618" t="s">
        <v>356</v>
      </c>
      <c r="Q618" t="s">
        <v>39</v>
      </c>
      <c r="R618" t="s">
        <v>40</v>
      </c>
      <c r="S618">
        <v>0</v>
      </c>
      <c r="U618" t="s">
        <v>41</v>
      </c>
      <c r="V618" t="s">
        <v>42</v>
      </c>
      <c r="X618" t="s">
        <v>74</v>
      </c>
      <c r="Y618" t="b">
        <v>0</v>
      </c>
      <c r="Z618" t="b">
        <v>0</v>
      </c>
      <c r="AB618" t="s">
        <v>472</v>
      </c>
      <c r="AC618" s="1">
        <v>41227</v>
      </c>
      <c r="AF618">
        <v>0</v>
      </c>
      <c r="AG618">
        <v>45</v>
      </c>
      <c r="AH618">
        <v>462</v>
      </c>
      <c r="AI618" s="2">
        <f>Table__192.168.3.138DYLAgingReport[[#This Row],[NetAmount]]-Table__192.168.3.138DYLAgingReport[[#This Row],[Paid]]</f>
        <v>152644</v>
      </c>
    </row>
    <row r="619" spans="1:35">
      <c r="A619" t="s">
        <v>1499</v>
      </c>
      <c r="B619" s="1">
        <v>40878</v>
      </c>
      <c r="C619" s="1">
        <v>40923</v>
      </c>
      <c r="D619" t="s">
        <v>219</v>
      </c>
      <c r="E619">
        <v>7580</v>
      </c>
      <c r="F619">
        <v>1213</v>
      </c>
      <c r="G619">
        <v>0</v>
      </c>
      <c r="H619">
        <v>0</v>
      </c>
      <c r="I619">
        <v>390</v>
      </c>
      <c r="J619">
        <v>8793</v>
      </c>
      <c r="K619" t="s">
        <v>1500</v>
      </c>
      <c r="L619" s="1">
        <v>40878</v>
      </c>
      <c r="N619" t="s">
        <v>36</v>
      </c>
      <c r="O619" t="s">
        <v>37</v>
      </c>
      <c r="P619" t="s">
        <v>356</v>
      </c>
      <c r="Q619" t="s">
        <v>39</v>
      </c>
      <c r="R619" t="s">
        <v>40</v>
      </c>
      <c r="S619">
        <v>0</v>
      </c>
      <c r="U619" t="s">
        <v>41</v>
      </c>
      <c r="V619" t="s">
        <v>42</v>
      </c>
      <c r="X619" t="s">
        <v>74</v>
      </c>
      <c r="Y619" t="b">
        <v>0</v>
      </c>
      <c r="Z619" t="b">
        <v>0</v>
      </c>
      <c r="AB619" t="s">
        <v>472</v>
      </c>
      <c r="AC619" s="1">
        <v>41227</v>
      </c>
      <c r="AF619">
        <v>0</v>
      </c>
      <c r="AG619">
        <v>45</v>
      </c>
      <c r="AH619">
        <v>435</v>
      </c>
      <c r="AI619" s="2">
        <f>Table__192.168.3.138DYLAgingReport[[#This Row],[NetAmount]]-Table__192.168.3.138DYLAgingReport[[#This Row],[Paid]]</f>
        <v>8793</v>
      </c>
    </row>
    <row r="620" spans="1:35">
      <c r="A620" t="s">
        <v>1501</v>
      </c>
      <c r="B620" s="1">
        <v>40880</v>
      </c>
      <c r="C620" s="1">
        <v>40925</v>
      </c>
      <c r="D620" t="s">
        <v>219</v>
      </c>
      <c r="E620">
        <v>5750</v>
      </c>
      <c r="F620">
        <v>920</v>
      </c>
      <c r="G620">
        <v>0</v>
      </c>
      <c r="H620">
        <v>0</v>
      </c>
      <c r="I620">
        <v>388</v>
      </c>
      <c r="J620">
        <v>6670</v>
      </c>
      <c r="K620" t="s">
        <v>1502</v>
      </c>
      <c r="L620" s="1">
        <v>40880</v>
      </c>
      <c r="N620" t="s">
        <v>36</v>
      </c>
      <c r="O620" t="s">
        <v>37</v>
      </c>
      <c r="P620" t="s">
        <v>356</v>
      </c>
      <c r="Q620" t="s">
        <v>39</v>
      </c>
      <c r="R620" t="s">
        <v>40</v>
      </c>
      <c r="S620">
        <v>0</v>
      </c>
      <c r="U620" t="s">
        <v>41</v>
      </c>
      <c r="V620" t="s">
        <v>42</v>
      </c>
      <c r="X620" t="s">
        <v>74</v>
      </c>
      <c r="Y620" t="b">
        <v>0</v>
      </c>
      <c r="Z620" t="b">
        <v>0</v>
      </c>
      <c r="AB620" t="s">
        <v>472</v>
      </c>
      <c r="AC620" s="1">
        <v>41227</v>
      </c>
      <c r="AF620">
        <v>0</v>
      </c>
      <c r="AG620">
        <v>45</v>
      </c>
      <c r="AH620">
        <v>433</v>
      </c>
      <c r="AI620" s="2">
        <f>Table__192.168.3.138DYLAgingReport[[#This Row],[NetAmount]]-Table__192.168.3.138DYLAgingReport[[#This Row],[Paid]]</f>
        <v>6670</v>
      </c>
    </row>
    <row r="621" spans="1:35">
      <c r="A621" t="s">
        <v>1503</v>
      </c>
      <c r="B621" s="1">
        <v>40888</v>
      </c>
      <c r="C621" s="1">
        <v>40933</v>
      </c>
      <c r="D621" t="s">
        <v>239</v>
      </c>
      <c r="E621">
        <v>664190</v>
      </c>
      <c r="F621">
        <v>106270</v>
      </c>
      <c r="G621">
        <v>0</v>
      </c>
      <c r="H621">
        <v>551649.04</v>
      </c>
      <c r="I621">
        <v>381</v>
      </c>
      <c r="J621">
        <v>770460.04</v>
      </c>
      <c r="K621" t="s">
        <v>1504</v>
      </c>
      <c r="L621" s="1">
        <v>40887</v>
      </c>
      <c r="N621" t="s">
        <v>36</v>
      </c>
      <c r="O621" t="s">
        <v>37</v>
      </c>
      <c r="P621" t="s">
        <v>376</v>
      </c>
      <c r="Q621" t="s">
        <v>39</v>
      </c>
      <c r="R621" t="s">
        <v>40</v>
      </c>
      <c r="S621">
        <v>0</v>
      </c>
      <c r="T621" t="s">
        <v>1505</v>
      </c>
      <c r="U621" t="s">
        <v>41</v>
      </c>
      <c r="V621" t="s">
        <v>42</v>
      </c>
      <c r="X621" t="s">
        <v>74</v>
      </c>
      <c r="Y621" t="b">
        <v>0</v>
      </c>
      <c r="Z621" t="b">
        <v>0</v>
      </c>
      <c r="AC621" s="1"/>
      <c r="AF621">
        <v>0</v>
      </c>
      <c r="AG621">
        <v>45</v>
      </c>
      <c r="AH621">
        <v>426</v>
      </c>
      <c r="AI621" s="2">
        <f>Table__192.168.3.138DYLAgingReport[[#This Row],[NetAmount]]-Table__192.168.3.138DYLAgingReport[[#This Row],[Paid]]</f>
        <v>770460.04</v>
      </c>
    </row>
    <row r="622" spans="1:35">
      <c r="A622" t="s">
        <v>1506</v>
      </c>
      <c r="B622" s="1">
        <v>40890</v>
      </c>
      <c r="C622" s="1">
        <v>40935</v>
      </c>
      <c r="D622" t="s">
        <v>202</v>
      </c>
      <c r="E622">
        <v>7802</v>
      </c>
      <c r="F622">
        <v>1248</v>
      </c>
      <c r="G622">
        <v>0</v>
      </c>
      <c r="H622">
        <v>0</v>
      </c>
      <c r="I622">
        <v>381</v>
      </c>
      <c r="J622">
        <v>9050</v>
      </c>
      <c r="K622" t="s">
        <v>1507</v>
      </c>
      <c r="L622" s="1">
        <v>40887</v>
      </c>
      <c r="N622" t="s">
        <v>36</v>
      </c>
      <c r="O622" t="s">
        <v>37</v>
      </c>
      <c r="P622" t="s">
        <v>339</v>
      </c>
      <c r="Q622" t="s">
        <v>39</v>
      </c>
      <c r="R622" t="s">
        <v>40</v>
      </c>
      <c r="S622">
        <v>0</v>
      </c>
      <c r="U622" t="s">
        <v>41</v>
      </c>
      <c r="V622" t="s">
        <v>42</v>
      </c>
      <c r="X622" t="s">
        <v>74</v>
      </c>
      <c r="Y622" t="b">
        <v>0</v>
      </c>
      <c r="Z622" t="b">
        <v>0</v>
      </c>
      <c r="AB622" t="s">
        <v>1508</v>
      </c>
      <c r="AC622" s="1">
        <v>40940</v>
      </c>
      <c r="AD622" t="s">
        <v>1509</v>
      </c>
      <c r="AE622" t="s">
        <v>1510</v>
      </c>
      <c r="AF622">
        <v>9046</v>
      </c>
      <c r="AG622">
        <v>45</v>
      </c>
      <c r="AH622">
        <v>426</v>
      </c>
      <c r="AI622" s="2">
        <f>Table__192.168.3.138DYLAgingReport[[#This Row],[NetAmount]]-Table__192.168.3.138DYLAgingReport[[#This Row],[Paid]]</f>
        <v>4</v>
      </c>
    </row>
    <row r="623" spans="1:35">
      <c r="A623" t="s">
        <v>1511</v>
      </c>
      <c r="B623" s="1">
        <v>40880</v>
      </c>
      <c r="C623" s="1">
        <v>40925</v>
      </c>
      <c r="D623" t="s">
        <v>219</v>
      </c>
      <c r="E623">
        <v>21937</v>
      </c>
      <c r="F623">
        <v>3510</v>
      </c>
      <c r="G623">
        <v>0</v>
      </c>
      <c r="H623">
        <v>0</v>
      </c>
      <c r="I623">
        <v>388</v>
      </c>
      <c r="J623">
        <v>25447</v>
      </c>
      <c r="K623" t="s">
        <v>1088</v>
      </c>
      <c r="L623" s="1">
        <v>40880</v>
      </c>
      <c r="N623" t="s">
        <v>36</v>
      </c>
      <c r="O623" t="s">
        <v>37</v>
      </c>
      <c r="P623" t="s">
        <v>356</v>
      </c>
      <c r="Q623" t="s">
        <v>39</v>
      </c>
      <c r="R623" t="s">
        <v>40</v>
      </c>
      <c r="S623">
        <v>0</v>
      </c>
      <c r="U623" t="s">
        <v>41</v>
      </c>
      <c r="V623" t="s">
        <v>42</v>
      </c>
      <c r="X623" t="s">
        <v>74</v>
      </c>
      <c r="Y623" t="b">
        <v>0</v>
      </c>
      <c r="Z623" t="b">
        <v>0</v>
      </c>
      <c r="AB623" t="s">
        <v>472</v>
      </c>
      <c r="AC623" s="1">
        <v>41227</v>
      </c>
      <c r="AF623">
        <v>0</v>
      </c>
      <c r="AG623">
        <v>45</v>
      </c>
      <c r="AH623">
        <v>433</v>
      </c>
      <c r="AI623" s="2">
        <f>Table__192.168.3.138DYLAgingReport[[#This Row],[NetAmount]]-Table__192.168.3.138DYLAgingReport[[#This Row],[Paid]]</f>
        <v>25447</v>
      </c>
    </row>
    <row r="624" spans="1:35">
      <c r="A624" t="s">
        <v>1512</v>
      </c>
      <c r="B624" s="1">
        <v>40885</v>
      </c>
      <c r="C624" s="1">
        <v>40930</v>
      </c>
      <c r="D624" t="s">
        <v>219</v>
      </c>
      <c r="E624">
        <v>69870</v>
      </c>
      <c r="F624">
        <v>11179</v>
      </c>
      <c r="G624">
        <v>0</v>
      </c>
      <c r="H624">
        <v>0</v>
      </c>
      <c r="I624">
        <v>383</v>
      </c>
      <c r="J624">
        <v>81049</v>
      </c>
      <c r="K624" t="s">
        <v>1513</v>
      </c>
      <c r="L624" s="1">
        <v>40885</v>
      </c>
      <c r="N624" t="s">
        <v>36</v>
      </c>
      <c r="O624" t="s">
        <v>37</v>
      </c>
      <c r="P624" t="s">
        <v>356</v>
      </c>
      <c r="Q624" t="s">
        <v>39</v>
      </c>
      <c r="R624" t="s">
        <v>40</v>
      </c>
      <c r="S624">
        <v>0</v>
      </c>
      <c r="U624" t="s">
        <v>41</v>
      </c>
      <c r="V624" t="s">
        <v>42</v>
      </c>
      <c r="X624" t="s">
        <v>74</v>
      </c>
      <c r="Y624" t="b">
        <v>0</v>
      </c>
      <c r="Z624" t="b">
        <v>0</v>
      </c>
      <c r="AB624" t="s">
        <v>472</v>
      </c>
      <c r="AC624" s="1">
        <v>41227</v>
      </c>
      <c r="AF624">
        <v>0</v>
      </c>
      <c r="AG624">
        <v>45</v>
      </c>
      <c r="AH624">
        <v>428</v>
      </c>
      <c r="AI624" s="2">
        <f>Table__192.168.3.138DYLAgingReport[[#This Row],[NetAmount]]-Table__192.168.3.138DYLAgingReport[[#This Row],[Paid]]</f>
        <v>81049</v>
      </c>
    </row>
    <row r="625" spans="1:35">
      <c r="A625" t="s">
        <v>1514</v>
      </c>
      <c r="B625" s="1">
        <v>40886</v>
      </c>
      <c r="C625" s="1">
        <v>40931</v>
      </c>
      <c r="D625" t="s">
        <v>219</v>
      </c>
      <c r="E625">
        <v>9795</v>
      </c>
      <c r="F625">
        <v>1567</v>
      </c>
      <c r="G625">
        <v>0</v>
      </c>
      <c r="H625">
        <v>0</v>
      </c>
      <c r="I625">
        <v>382</v>
      </c>
      <c r="J625">
        <v>11362</v>
      </c>
      <c r="K625" t="s">
        <v>1515</v>
      </c>
      <c r="L625" s="1">
        <v>40886</v>
      </c>
      <c r="N625" t="s">
        <v>36</v>
      </c>
      <c r="O625" t="s">
        <v>37</v>
      </c>
      <c r="P625" t="s">
        <v>356</v>
      </c>
      <c r="Q625" t="s">
        <v>39</v>
      </c>
      <c r="R625" t="s">
        <v>40</v>
      </c>
      <c r="S625">
        <v>0</v>
      </c>
      <c r="U625" t="s">
        <v>41</v>
      </c>
      <c r="V625" t="s">
        <v>42</v>
      </c>
      <c r="X625" t="s">
        <v>74</v>
      </c>
      <c r="Y625" t="b">
        <v>0</v>
      </c>
      <c r="Z625" t="b">
        <v>0</v>
      </c>
      <c r="AB625" t="s">
        <v>472</v>
      </c>
      <c r="AC625" s="1">
        <v>41227</v>
      </c>
      <c r="AF625">
        <v>0</v>
      </c>
      <c r="AG625">
        <v>45</v>
      </c>
      <c r="AH625">
        <v>427</v>
      </c>
      <c r="AI625" s="2">
        <f>Table__192.168.3.138DYLAgingReport[[#This Row],[NetAmount]]-Table__192.168.3.138DYLAgingReport[[#This Row],[Paid]]</f>
        <v>11362</v>
      </c>
    </row>
    <row r="626" spans="1:35">
      <c r="A626" t="s">
        <v>1516</v>
      </c>
      <c r="B626" s="1">
        <v>40887</v>
      </c>
      <c r="C626" s="1">
        <v>40932</v>
      </c>
      <c r="D626" t="s">
        <v>219</v>
      </c>
      <c r="E626">
        <v>49332</v>
      </c>
      <c r="F626">
        <v>7893</v>
      </c>
      <c r="G626">
        <v>0</v>
      </c>
      <c r="H626">
        <v>0</v>
      </c>
      <c r="I626">
        <v>381</v>
      </c>
      <c r="J626">
        <v>57225</v>
      </c>
      <c r="K626" t="s">
        <v>1517</v>
      </c>
      <c r="L626" s="1">
        <v>40887</v>
      </c>
      <c r="N626" t="s">
        <v>36</v>
      </c>
      <c r="O626" t="s">
        <v>37</v>
      </c>
      <c r="P626" t="s">
        <v>356</v>
      </c>
      <c r="Q626" t="s">
        <v>39</v>
      </c>
      <c r="R626" t="s">
        <v>40</v>
      </c>
      <c r="S626">
        <v>0</v>
      </c>
      <c r="U626" t="s">
        <v>41</v>
      </c>
      <c r="V626" t="s">
        <v>42</v>
      </c>
      <c r="X626" t="s">
        <v>74</v>
      </c>
      <c r="Y626" t="b">
        <v>0</v>
      </c>
      <c r="Z626" t="b">
        <v>0</v>
      </c>
      <c r="AB626" t="s">
        <v>472</v>
      </c>
      <c r="AC626" s="1">
        <v>41227</v>
      </c>
      <c r="AF626">
        <v>0</v>
      </c>
      <c r="AG626">
        <v>45</v>
      </c>
      <c r="AH626">
        <v>426</v>
      </c>
      <c r="AI626" s="2">
        <f>Table__192.168.3.138DYLAgingReport[[#This Row],[NetAmount]]-Table__192.168.3.138DYLAgingReport[[#This Row],[Paid]]</f>
        <v>57225</v>
      </c>
    </row>
    <row r="627" spans="1:35">
      <c r="A627" t="s">
        <v>1518</v>
      </c>
      <c r="B627" s="1">
        <v>40887</v>
      </c>
      <c r="C627" s="1">
        <v>40932</v>
      </c>
      <c r="D627" t="s">
        <v>219</v>
      </c>
      <c r="E627">
        <v>4296</v>
      </c>
      <c r="F627">
        <v>687</v>
      </c>
      <c r="G627">
        <v>0</v>
      </c>
      <c r="H627">
        <v>0</v>
      </c>
      <c r="I627">
        <v>381</v>
      </c>
      <c r="J627">
        <v>4983</v>
      </c>
      <c r="K627" t="s">
        <v>1519</v>
      </c>
      <c r="L627" s="1">
        <v>40887</v>
      </c>
      <c r="N627" t="s">
        <v>36</v>
      </c>
      <c r="O627" t="s">
        <v>37</v>
      </c>
      <c r="P627" t="s">
        <v>356</v>
      </c>
      <c r="Q627" t="s">
        <v>39</v>
      </c>
      <c r="R627" t="s">
        <v>40</v>
      </c>
      <c r="S627">
        <v>0</v>
      </c>
      <c r="U627" t="s">
        <v>41</v>
      </c>
      <c r="V627" t="s">
        <v>42</v>
      </c>
      <c r="X627" t="s">
        <v>74</v>
      </c>
      <c r="Y627" t="b">
        <v>0</v>
      </c>
      <c r="Z627" t="b">
        <v>0</v>
      </c>
      <c r="AB627" t="s">
        <v>472</v>
      </c>
      <c r="AC627" s="1">
        <v>41227</v>
      </c>
      <c r="AF627">
        <v>0</v>
      </c>
      <c r="AG627">
        <v>45</v>
      </c>
      <c r="AH627">
        <v>426</v>
      </c>
      <c r="AI627" s="2">
        <f>Table__192.168.3.138DYLAgingReport[[#This Row],[NetAmount]]-Table__192.168.3.138DYLAgingReport[[#This Row],[Paid]]</f>
        <v>4983</v>
      </c>
    </row>
    <row r="628" spans="1:35">
      <c r="A628" t="s">
        <v>1520</v>
      </c>
      <c r="B628" s="1">
        <v>40887</v>
      </c>
      <c r="C628" s="1">
        <v>40932</v>
      </c>
      <c r="D628" t="s">
        <v>219</v>
      </c>
      <c r="E628">
        <v>31930</v>
      </c>
      <c r="F628">
        <v>5109</v>
      </c>
      <c r="G628">
        <v>0</v>
      </c>
      <c r="H628">
        <v>0</v>
      </c>
      <c r="I628">
        <v>381</v>
      </c>
      <c r="J628">
        <v>37039</v>
      </c>
      <c r="K628" t="s">
        <v>1521</v>
      </c>
      <c r="L628" s="1">
        <v>40887</v>
      </c>
      <c r="N628" t="s">
        <v>36</v>
      </c>
      <c r="O628" t="s">
        <v>37</v>
      </c>
      <c r="P628" t="s">
        <v>356</v>
      </c>
      <c r="Q628" t="s">
        <v>39</v>
      </c>
      <c r="R628" t="s">
        <v>40</v>
      </c>
      <c r="S628">
        <v>0</v>
      </c>
      <c r="U628" t="s">
        <v>41</v>
      </c>
      <c r="V628" t="s">
        <v>42</v>
      </c>
      <c r="X628" t="s">
        <v>74</v>
      </c>
      <c r="Y628" t="b">
        <v>0</v>
      </c>
      <c r="Z628" t="b">
        <v>0</v>
      </c>
      <c r="AB628" t="s">
        <v>472</v>
      </c>
      <c r="AC628" s="1">
        <v>41227</v>
      </c>
      <c r="AF628">
        <v>0</v>
      </c>
      <c r="AG628">
        <v>45</v>
      </c>
      <c r="AH628">
        <v>426</v>
      </c>
      <c r="AI628" s="2">
        <f>Table__192.168.3.138DYLAgingReport[[#This Row],[NetAmount]]-Table__192.168.3.138DYLAgingReport[[#This Row],[Paid]]</f>
        <v>37039</v>
      </c>
    </row>
    <row r="629" spans="1:35">
      <c r="A629" t="s">
        <v>1522</v>
      </c>
      <c r="B629" s="1">
        <v>40887</v>
      </c>
      <c r="C629" s="1">
        <v>40932</v>
      </c>
      <c r="D629" t="s">
        <v>219</v>
      </c>
      <c r="E629">
        <v>177182</v>
      </c>
      <c r="F629">
        <v>28349</v>
      </c>
      <c r="G629">
        <v>0</v>
      </c>
      <c r="H629">
        <v>0</v>
      </c>
      <c r="I629">
        <v>381</v>
      </c>
      <c r="J629">
        <v>205531</v>
      </c>
      <c r="K629" t="s">
        <v>1523</v>
      </c>
      <c r="L629" s="1">
        <v>40887</v>
      </c>
      <c r="N629" t="s">
        <v>36</v>
      </c>
      <c r="O629" t="s">
        <v>37</v>
      </c>
      <c r="P629" t="s">
        <v>356</v>
      </c>
      <c r="Q629" t="s">
        <v>39</v>
      </c>
      <c r="R629" t="s">
        <v>40</v>
      </c>
      <c r="S629">
        <v>0</v>
      </c>
      <c r="U629" t="s">
        <v>41</v>
      </c>
      <c r="V629" t="s">
        <v>42</v>
      </c>
      <c r="X629" t="s">
        <v>74</v>
      </c>
      <c r="Y629" t="b">
        <v>0</v>
      </c>
      <c r="Z629" t="b">
        <v>0</v>
      </c>
      <c r="AB629" t="s">
        <v>472</v>
      </c>
      <c r="AC629" s="1">
        <v>41227</v>
      </c>
      <c r="AF629">
        <v>0</v>
      </c>
      <c r="AG629">
        <v>45</v>
      </c>
      <c r="AH629">
        <v>426</v>
      </c>
      <c r="AI629" s="2">
        <f>Table__192.168.3.138DYLAgingReport[[#This Row],[NetAmount]]-Table__192.168.3.138DYLAgingReport[[#This Row],[Paid]]</f>
        <v>205531</v>
      </c>
    </row>
    <row r="630" spans="1:35">
      <c r="A630" t="s">
        <v>1524</v>
      </c>
      <c r="B630" s="1">
        <v>40887</v>
      </c>
      <c r="C630" s="1">
        <v>40932</v>
      </c>
      <c r="D630" t="s">
        <v>219</v>
      </c>
      <c r="E630">
        <v>232126</v>
      </c>
      <c r="F630">
        <v>37140</v>
      </c>
      <c r="G630">
        <v>0</v>
      </c>
      <c r="H630">
        <v>0</v>
      </c>
      <c r="I630">
        <v>381</v>
      </c>
      <c r="J630">
        <v>269266</v>
      </c>
      <c r="K630" t="s">
        <v>1090</v>
      </c>
      <c r="L630" s="1">
        <v>40887</v>
      </c>
      <c r="N630" t="s">
        <v>36</v>
      </c>
      <c r="O630" t="s">
        <v>37</v>
      </c>
      <c r="P630" t="s">
        <v>356</v>
      </c>
      <c r="Q630" t="s">
        <v>39</v>
      </c>
      <c r="R630" t="s">
        <v>40</v>
      </c>
      <c r="S630">
        <v>0</v>
      </c>
      <c r="U630" t="s">
        <v>41</v>
      </c>
      <c r="V630" t="s">
        <v>42</v>
      </c>
      <c r="X630" t="s">
        <v>74</v>
      </c>
      <c r="Y630" t="b">
        <v>0</v>
      </c>
      <c r="Z630" t="b">
        <v>0</v>
      </c>
      <c r="AB630" t="s">
        <v>472</v>
      </c>
      <c r="AC630" s="1">
        <v>41227</v>
      </c>
      <c r="AF630">
        <v>0</v>
      </c>
      <c r="AG630">
        <v>45</v>
      </c>
      <c r="AH630">
        <v>426</v>
      </c>
      <c r="AI630" s="2">
        <f>Table__192.168.3.138DYLAgingReport[[#This Row],[NetAmount]]-Table__192.168.3.138DYLAgingReport[[#This Row],[Paid]]</f>
        <v>269266</v>
      </c>
    </row>
    <row r="631" spans="1:35">
      <c r="A631" t="s">
        <v>1525</v>
      </c>
      <c r="B631" s="1">
        <v>40894</v>
      </c>
      <c r="C631" s="1">
        <v>40939</v>
      </c>
      <c r="D631" t="s">
        <v>196</v>
      </c>
      <c r="E631">
        <v>3010000</v>
      </c>
      <c r="F631">
        <v>481600</v>
      </c>
      <c r="G631">
        <v>0</v>
      </c>
      <c r="H631">
        <v>0</v>
      </c>
      <c r="I631">
        <v>392</v>
      </c>
      <c r="J631">
        <v>3491600</v>
      </c>
      <c r="K631" t="s">
        <v>1526</v>
      </c>
      <c r="L631" s="1">
        <v>40891</v>
      </c>
      <c r="N631" t="s">
        <v>36</v>
      </c>
      <c r="O631" t="s">
        <v>37</v>
      </c>
      <c r="P631" t="s">
        <v>333</v>
      </c>
      <c r="Q631" t="s">
        <v>39</v>
      </c>
      <c r="R631" t="s">
        <v>40</v>
      </c>
      <c r="S631">
        <v>0</v>
      </c>
      <c r="U631" t="s">
        <v>41</v>
      </c>
      <c r="V631" t="s">
        <v>42</v>
      </c>
      <c r="X631" t="s">
        <v>74</v>
      </c>
      <c r="Y631" t="b">
        <v>0</v>
      </c>
      <c r="Z631" t="b">
        <v>0</v>
      </c>
      <c r="AB631" t="s">
        <v>1527</v>
      </c>
      <c r="AC631" s="1">
        <v>41031</v>
      </c>
      <c r="AD631" t="s">
        <v>1528</v>
      </c>
      <c r="AE631" t="s">
        <v>1529</v>
      </c>
      <c r="AF631">
        <v>3441600</v>
      </c>
      <c r="AG631">
        <v>30</v>
      </c>
      <c r="AH631">
        <v>422</v>
      </c>
      <c r="AI631" s="2">
        <f>Table__192.168.3.138DYLAgingReport[[#This Row],[NetAmount]]-Table__192.168.3.138DYLAgingReport[[#This Row],[Paid]]</f>
        <v>50000</v>
      </c>
    </row>
    <row r="632" spans="1:35">
      <c r="A632" t="s">
        <v>1530</v>
      </c>
      <c r="B632" s="1">
        <v>40884</v>
      </c>
      <c r="C632" s="1">
        <v>40929</v>
      </c>
      <c r="D632" t="s">
        <v>201</v>
      </c>
      <c r="E632">
        <v>114096</v>
      </c>
      <c r="F632">
        <v>18255</v>
      </c>
      <c r="G632">
        <v>0</v>
      </c>
      <c r="H632">
        <v>0</v>
      </c>
      <c r="I632">
        <v>384</v>
      </c>
      <c r="J632">
        <v>132351</v>
      </c>
      <c r="K632" t="s">
        <v>1531</v>
      </c>
      <c r="L632" s="1">
        <v>40884</v>
      </c>
      <c r="N632" t="s">
        <v>36</v>
      </c>
      <c r="O632" t="s">
        <v>37</v>
      </c>
      <c r="P632" t="s">
        <v>338</v>
      </c>
      <c r="Q632" t="s">
        <v>39</v>
      </c>
      <c r="R632" t="s">
        <v>40</v>
      </c>
      <c r="S632">
        <v>0</v>
      </c>
      <c r="U632" t="s">
        <v>41</v>
      </c>
      <c r="V632" t="s">
        <v>42</v>
      </c>
      <c r="X632" t="s">
        <v>74</v>
      </c>
      <c r="Y632" t="b">
        <v>0</v>
      </c>
      <c r="Z632" t="b">
        <v>0</v>
      </c>
      <c r="AB632" t="s">
        <v>485</v>
      </c>
      <c r="AC632" s="1">
        <v>41236</v>
      </c>
      <c r="AF632">
        <v>0</v>
      </c>
      <c r="AG632">
        <v>45</v>
      </c>
      <c r="AH632">
        <v>429</v>
      </c>
      <c r="AI632" s="2">
        <f>Table__192.168.3.138DYLAgingReport[[#This Row],[NetAmount]]-Table__192.168.3.138DYLAgingReport[[#This Row],[Paid]]</f>
        <v>132351</v>
      </c>
    </row>
    <row r="633" spans="1:35">
      <c r="A633" t="s">
        <v>1532</v>
      </c>
      <c r="B633" s="1">
        <v>40884</v>
      </c>
      <c r="C633" s="1">
        <v>40929</v>
      </c>
      <c r="D633" t="s">
        <v>201</v>
      </c>
      <c r="E633">
        <v>39284</v>
      </c>
      <c r="F633">
        <v>6285</v>
      </c>
      <c r="G633">
        <v>0</v>
      </c>
      <c r="H633">
        <v>0</v>
      </c>
      <c r="I633">
        <v>384</v>
      </c>
      <c r="J633">
        <v>45569</v>
      </c>
      <c r="K633" t="s">
        <v>1533</v>
      </c>
      <c r="L633" s="1">
        <v>40884</v>
      </c>
      <c r="N633" t="s">
        <v>36</v>
      </c>
      <c r="O633" t="s">
        <v>37</v>
      </c>
      <c r="P633" t="s">
        <v>338</v>
      </c>
      <c r="Q633" t="s">
        <v>39</v>
      </c>
      <c r="R633" t="s">
        <v>40</v>
      </c>
      <c r="S633">
        <v>0</v>
      </c>
      <c r="U633" t="s">
        <v>41</v>
      </c>
      <c r="V633" t="s">
        <v>42</v>
      </c>
      <c r="X633" t="s">
        <v>74</v>
      </c>
      <c r="Y633" t="b">
        <v>0</v>
      </c>
      <c r="Z633" t="b">
        <v>0</v>
      </c>
      <c r="AB633" t="s">
        <v>485</v>
      </c>
      <c r="AC633" s="1">
        <v>41236</v>
      </c>
      <c r="AF633">
        <v>0</v>
      </c>
      <c r="AG633">
        <v>45</v>
      </c>
      <c r="AH633">
        <v>429</v>
      </c>
      <c r="AI633" s="2">
        <f>Table__192.168.3.138DYLAgingReport[[#This Row],[NetAmount]]-Table__192.168.3.138DYLAgingReport[[#This Row],[Paid]]</f>
        <v>45569</v>
      </c>
    </row>
    <row r="634" spans="1:35">
      <c r="A634" t="s">
        <v>1534</v>
      </c>
      <c r="B634" s="1">
        <v>40884</v>
      </c>
      <c r="C634" s="1">
        <v>40929</v>
      </c>
      <c r="D634" t="s">
        <v>219</v>
      </c>
      <c r="E634">
        <v>30765</v>
      </c>
      <c r="F634">
        <v>4922</v>
      </c>
      <c r="G634">
        <v>0</v>
      </c>
      <c r="H634">
        <v>0</v>
      </c>
      <c r="I634">
        <v>381</v>
      </c>
      <c r="J634">
        <v>35687</v>
      </c>
      <c r="K634" t="s">
        <v>1332</v>
      </c>
      <c r="L634" s="1">
        <v>40887</v>
      </c>
      <c r="N634" t="s">
        <v>36</v>
      </c>
      <c r="O634" t="s">
        <v>37</v>
      </c>
      <c r="P634" t="s">
        <v>356</v>
      </c>
      <c r="Q634" t="s">
        <v>39</v>
      </c>
      <c r="R634" t="s">
        <v>40</v>
      </c>
      <c r="S634">
        <v>0</v>
      </c>
      <c r="U634" t="s">
        <v>41</v>
      </c>
      <c r="V634" t="s">
        <v>42</v>
      </c>
      <c r="X634" t="s">
        <v>74</v>
      </c>
      <c r="Y634" t="b">
        <v>0</v>
      </c>
      <c r="Z634" t="b">
        <v>0</v>
      </c>
      <c r="AB634" t="s">
        <v>472</v>
      </c>
      <c r="AC634" s="1">
        <v>41227</v>
      </c>
      <c r="AF634">
        <v>0</v>
      </c>
      <c r="AG634">
        <v>45</v>
      </c>
      <c r="AH634">
        <v>426</v>
      </c>
      <c r="AI634" s="2">
        <f>Table__192.168.3.138DYLAgingReport[[#This Row],[NetAmount]]-Table__192.168.3.138DYLAgingReport[[#This Row],[Paid]]</f>
        <v>35687</v>
      </c>
    </row>
    <row r="635" spans="1:35">
      <c r="A635" t="s">
        <v>1535</v>
      </c>
      <c r="B635" s="1">
        <v>40890</v>
      </c>
      <c r="C635" s="1">
        <v>40935</v>
      </c>
      <c r="D635" t="s">
        <v>219</v>
      </c>
      <c r="E635">
        <v>5461</v>
      </c>
      <c r="F635">
        <v>874</v>
      </c>
      <c r="G635">
        <v>0</v>
      </c>
      <c r="H635">
        <v>0</v>
      </c>
      <c r="I635">
        <v>378</v>
      </c>
      <c r="J635">
        <v>6335</v>
      </c>
      <c r="K635" t="s">
        <v>1536</v>
      </c>
      <c r="L635" s="1">
        <v>40890</v>
      </c>
      <c r="N635" t="s">
        <v>36</v>
      </c>
      <c r="O635" t="s">
        <v>37</v>
      </c>
      <c r="P635" t="s">
        <v>356</v>
      </c>
      <c r="Q635" t="s">
        <v>39</v>
      </c>
      <c r="R635" t="s">
        <v>40</v>
      </c>
      <c r="S635">
        <v>0</v>
      </c>
      <c r="U635" t="s">
        <v>41</v>
      </c>
      <c r="V635" t="s">
        <v>42</v>
      </c>
      <c r="X635" t="s">
        <v>74</v>
      </c>
      <c r="Y635" t="b">
        <v>0</v>
      </c>
      <c r="Z635" t="b">
        <v>0</v>
      </c>
      <c r="AB635" t="s">
        <v>472</v>
      </c>
      <c r="AC635" s="1">
        <v>41227</v>
      </c>
      <c r="AF635">
        <v>0</v>
      </c>
      <c r="AG635">
        <v>45</v>
      </c>
      <c r="AH635">
        <v>423</v>
      </c>
      <c r="AI635" s="2">
        <f>Table__192.168.3.138DYLAgingReport[[#This Row],[NetAmount]]-Table__192.168.3.138DYLAgingReport[[#This Row],[Paid]]</f>
        <v>6335</v>
      </c>
    </row>
    <row r="636" spans="1:35">
      <c r="A636" t="s">
        <v>1537</v>
      </c>
      <c r="B636" s="1">
        <v>40893</v>
      </c>
      <c r="C636" s="1">
        <v>40938</v>
      </c>
      <c r="D636" t="s">
        <v>219</v>
      </c>
      <c r="E636">
        <v>3765</v>
      </c>
      <c r="F636">
        <v>602</v>
      </c>
      <c r="G636">
        <v>0</v>
      </c>
      <c r="H636">
        <v>0</v>
      </c>
      <c r="I636">
        <v>376</v>
      </c>
      <c r="J636">
        <v>4367</v>
      </c>
      <c r="K636" t="s">
        <v>1538</v>
      </c>
      <c r="L636" s="1">
        <v>40892</v>
      </c>
      <c r="N636" t="s">
        <v>36</v>
      </c>
      <c r="O636" t="s">
        <v>37</v>
      </c>
      <c r="P636" t="s">
        <v>356</v>
      </c>
      <c r="Q636" t="s">
        <v>39</v>
      </c>
      <c r="R636" t="s">
        <v>40</v>
      </c>
      <c r="S636">
        <v>0</v>
      </c>
      <c r="U636" t="s">
        <v>41</v>
      </c>
      <c r="V636" t="s">
        <v>42</v>
      </c>
      <c r="X636" t="s">
        <v>74</v>
      </c>
      <c r="Y636" t="b">
        <v>0</v>
      </c>
      <c r="Z636" t="b">
        <v>0</v>
      </c>
      <c r="AB636" t="s">
        <v>472</v>
      </c>
      <c r="AC636" s="1">
        <v>41227</v>
      </c>
      <c r="AF636">
        <v>0</v>
      </c>
      <c r="AG636">
        <v>45</v>
      </c>
      <c r="AH636">
        <v>421</v>
      </c>
      <c r="AI636" s="2">
        <f>Table__192.168.3.138DYLAgingReport[[#This Row],[NetAmount]]-Table__192.168.3.138DYLAgingReport[[#This Row],[Paid]]</f>
        <v>4367</v>
      </c>
    </row>
    <row r="637" spans="1:35">
      <c r="A637" t="s">
        <v>1539</v>
      </c>
      <c r="B637" s="1">
        <v>40893</v>
      </c>
      <c r="C637" s="1">
        <v>40938</v>
      </c>
      <c r="D637" t="s">
        <v>219</v>
      </c>
      <c r="E637">
        <v>3044</v>
      </c>
      <c r="F637">
        <v>487</v>
      </c>
      <c r="G637">
        <v>0</v>
      </c>
      <c r="H637">
        <v>0</v>
      </c>
      <c r="I637">
        <v>375</v>
      </c>
      <c r="J637">
        <v>3531</v>
      </c>
      <c r="K637" t="s">
        <v>1540</v>
      </c>
      <c r="L637" s="1">
        <v>40893</v>
      </c>
      <c r="N637" t="s">
        <v>36</v>
      </c>
      <c r="O637" t="s">
        <v>37</v>
      </c>
      <c r="P637" t="s">
        <v>356</v>
      </c>
      <c r="Q637" t="s">
        <v>39</v>
      </c>
      <c r="R637" t="s">
        <v>40</v>
      </c>
      <c r="S637">
        <v>0</v>
      </c>
      <c r="U637" t="s">
        <v>41</v>
      </c>
      <c r="V637" t="s">
        <v>42</v>
      </c>
      <c r="X637" t="s">
        <v>74</v>
      </c>
      <c r="Y637" t="b">
        <v>0</v>
      </c>
      <c r="Z637" t="b">
        <v>0</v>
      </c>
      <c r="AB637" t="s">
        <v>472</v>
      </c>
      <c r="AC637" s="1">
        <v>41227</v>
      </c>
      <c r="AF637">
        <v>0</v>
      </c>
      <c r="AG637">
        <v>45</v>
      </c>
      <c r="AH637">
        <v>420</v>
      </c>
      <c r="AI637" s="2">
        <f>Table__192.168.3.138DYLAgingReport[[#This Row],[NetAmount]]-Table__192.168.3.138DYLAgingReport[[#This Row],[Paid]]</f>
        <v>3531</v>
      </c>
    </row>
    <row r="638" spans="1:35">
      <c r="A638" t="s">
        <v>1541</v>
      </c>
      <c r="B638" s="1">
        <v>40894</v>
      </c>
      <c r="C638" s="1">
        <v>40939</v>
      </c>
      <c r="D638" t="s">
        <v>219</v>
      </c>
      <c r="E638">
        <v>18010</v>
      </c>
      <c r="F638">
        <v>2882</v>
      </c>
      <c r="G638">
        <v>0</v>
      </c>
      <c r="H638">
        <v>0</v>
      </c>
      <c r="I638">
        <v>374</v>
      </c>
      <c r="J638">
        <v>20892</v>
      </c>
      <c r="K638" t="s">
        <v>1542</v>
      </c>
      <c r="L638" s="1">
        <v>40894</v>
      </c>
      <c r="N638" t="s">
        <v>36</v>
      </c>
      <c r="O638" t="s">
        <v>37</v>
      </c>
      <c r="P638" t="s">
        <v>356</v>
      </c>
      <c r="Q638" t="s">
        <v>39</v>
      </c>
      <c r="R638" t="s">
        <v>40</v>
      </c>
      <c r="S638">
        <v>0</v>
      </c>
      <c r="U638" t="s">
        <v>41</v>
      </c>
      <c r="V638" t="s">
        <v>42</v>
      </c>
      <c r="X638" t="s">
        <v>74</v>
      </c>
      <c r="Y638" t="b">
        <v>0</v>
      </c>
      <c r="Z638" t="b">
        <v>0</v>
      </c>
      <c r="AB638" t="s">
        <v>472</v>
      </c>
      <c r="AC638" s="1">
        <v>41227</v>
      </c>
      <c r="AF638">
        <v>0</v>
      </c>
      <c r="AG638">
        <v>45</v>
      </c>
      <c r="AH638">
        <v>419</v>
      </c>
      <c r="AI638" s="2">
        <f>Table__192.168.3.138DYLAgingReport[[#This Row],[NetAmount]]-Table__192.168.3.138DYLAgingReport[[#This Row],[Paid]]</f>
        <v>20892</v>
      </c>
    </row>
    <row r="639" spans="1:35">
      <c r="A639" t="s">
        <v>1543</v>
      </c>
      <c r="B639" s="1">
        <v>40894</v>
      </c>
      <c r="C639" s="1">
        <v>40939</v>
      </c>
      <c r="D639" t="s">
        <v>219</v>
      </c>
      <c r="E639">
        <v>101560</v>
      </c>
      <c r="F639">
        <v>16250</v>
      </c>
      <c r="G639">
        <v>0</v>
      </c>
      <c r="H639">
        <v>0</v>
      </c>
      <c r="I639">
        <v>374</v>
      </c>
      <c r="J639">
        <v>117810</v>
      </c>
      <c r="K639" t="s">
        <v>1544</v>
      </c>
      <c r="L639" s="1">
        <v>40894</v>
      </c>
      <c r="N639" t="s">
        <v>36</v>
      </c>
      <c r="O639" t="s">
        <v>37</v>
      </c>
      <c r="P639" t="s">
        <v>356</v>
      </c>
      <c r="Q639" t="s">
        <v>39</v>
      </c>
      <c r="R639" t="s">
        <v>40</v>
      </c>
      <c r="S639">
        <v>0</v>
      </c>
      <c r="U639" t="s">
        <v>41</v>
      </c>
      <c r="V639" t="s">
        <v>42</v>
      </c>
      <c r="X639" t="s">
        <v>74</v>
      </c>
      <c r="Y639" t="b">
        <v>0</v>
      </c>
      <c r="Z639" t="b">
        <v>0</v>
      </c>
      <c r="AB639" t="s">
        <v>472</v>
      </c>
      <c r="AC639" s="1">
        <v>41227</v>
      </c>
      <c r="AF639">
        <v>0</v>
      </c>
      <c r="AG639">
        <v>45</v>
      </c>
      <c r="AH639">
        <v>419</v>
      </c>
      <c r="AI639" s="2">
        <f>Table__192.168.3.138DYLAgingReport[[#This Row],[NetAmount]]-Table__192.168.3.138DYLAgingReport[[#This Row],[Paid]]</f>
        <v>117810</v>
      </c>
    </row>
    <row r="640" spans="1:35">
      <c r="A640" t="s">
        <v>1545</v>
      </c>
      <c r="B640" s="1">
        <v>40894</v>
      </c>
      <c r="C640" s="1">
        <v>40939</v>
      </c>
      <c r="D640" t="s">
        <v>219</v>
      </c>
      <c r="E640">
        <v>31328</v>
      </c>
      <c r="F640">
        <v>5012</v>
      </c>
      <c r="G640">
        <v>0</v>
      </c>
      <c r="H640">
        <v>0</v>
      </c>
      <c r="I640">
        <v>374</v>
      </c>
      <c r="J640">
        <v>36340</v>
      </c>
      <c r="K640" t="s">
        <v>1546</v>
      </c>
      <c r="L640" s="1">
        <v>40894</v>
      </c>
      <c r="N640" t="s">
        <v>36</v>
      </c>
      <c r="O640" t="s">
        <v>37</v>
      </c>
      <c r="P640" t="s">
        <v>356</v>
      </c>
      <c r="Q640" t="s">
        <v>39</v>
      </c>
      <c r="R640" t="s">
        <v>40</v>
      </c>
      <c r="S640">
        <v>0</v>
      </c>
      <c r="U640" t="s">
        <v>41</v>
      </c>
      <c r="V640" t="s">
        <v>42</v>
      </c>
      <c r="X640" t="s">
        <v>74</v>
      </c>
      <c r="Y640" t="b">
        <v>0</v>
      </c>
      <c r="Z640" t="b">
        <v>0</v>
      </c>
      <c r="AB640" t="s">
        <v>472</v>
      </c>
      <c r="AC640" s="1">
        <v>41227</v>
      </c>
      <c r="AF640">
        <v>0</v>
      </c>
      <c r="AG640">
        <v>45</v>
      </c>
      <c r="AH640">
        <v>419</v>
      </c>
      <c r="AI640" s="2">
        <f>Table__192.168.3.138DYLAgingReport[[#This Row],[NetAmount]]-Table__192.168.3.138DYLAgingReport[[#This Row],[Paid]]</f>
        <v>36340</v>
      </c>
    </row>
    <row r="641" spans="1:35">
      <c r="A641" t="s">
        <v>1547</v>
      </c>
      <c r="B641" s="1">
        <v>40894</v>
      </c>
      <c r="C641" s="1">
        <v>40939</v>
      </c>
      <c r="D641" t="s">
        <v>219</v>
      </c>
      <c r="E641">
        <v>319119</v>
      </c>
      <c r="F641">
        <v>51059</v>
      </c>
      <c r="G641">
        <v>0</v>
      </c>
      <c r="H641">
        <v>0</v>
      </c>
      <c r="I641">
        <v>374</v>
      </c>
      <c r="J641">
        <v>370178</v>
      </c>
      <c r="K641" t="s">
        <v>1548</v>
      </c>
      <c r="L641" s="1">
        <v>40894</v>
      </c>
      <c r="N641" t="s">
        <v>36</v>
      </c>
      <c r="O641" t="s">
        <v>37</v>
      </c>
      <c r="P641" t="s">
        <v>356</v>
      </c>
      <c r="Q641" t="s">
        <v>39</v>
      </c>
      <c r="R641" t="s">
        <v>40</v>
      </c>
      <c r="S641">
        <v>0</v>
      </c>
      <c r="U641" t="s">
        <v>41</v>
      </c>
      <c r="V641" t="s">
        <v>42</v>
      </c>
      <c r="X641" t="s">
        <v>74</v>
      </c>
      <c r="Y641" t="b">
        <v>0</v>
      </c>
      <c r="Z641" t="b">
        <v>0</v>
      </c>
      <c r="AB641" t="s">
        <v>472</v>
      </c>
      <c r="AC641" s="1">
        <v>41227</v>
      </c>
      <c r="AF641">
        <v>0</v>
      </c>
      <c r="AG641">
        <v>45</v>
      </c>
      <c r="AH641">
        <v>419</v>
      </c>
      <c r="AI641" s="2">
        <f>Table__192.168.3.138DYLAgingReport[[#This Row],[NetAmount]]-Table__192.168.3.138DYLAgingReport[[#This Row],[Paid]]</f>
        <v>370178</v>
      </c>
    </row>
    <row r="642" spans="1:35">
      <c r="A642" t="s">
        <v>1549</v>
      </c>
      <c r="B642" s="1">
        <v>40894</v>
      </c>
      <c r="C642" s="1">
        <v>40939</v>
      </c>
      <c r="D642" t="s">
        <v>219</v>
      </c>
      <c r="E642">
        <v>18950</v>
      </c>
      <c r="F642">
        <v>3032</v>
      </c>
      <c r="G642">
        <v>0</v>
      </c>
      <c r="H642">
        <v>0</v>
      </c>
      <c r="I642">
        <v>374</v>
      </c>
      <c r="J642">
        <v>21982</v>
      </c>
      <c r="K642" t="s">
        <v>1550</v>
      </c>
      <c r="L642" s="1">
        <v>40894</v>
      </c>
      <c r="N642" t="s">
        <v>36</v>
      </c>
      <c r="O642" t="s">
        <v>37</v>
      </c>
      <c r="P642" t="s">
        <v>356</v>
      </c>
      <c r="Q642" t="s">
        <v>39</v>
      </c>
      <c r="R642" t="s">
        <v>40</v>
      </c>
      <c r="S642">
        <v>0</v>
      </c>
      <c r="U642" t="s">
        <v>41</v>
      </c>
      <c r="V642" t="s">
        <v>42</v>
      </c>
      <c r="X642" t="s">
        <v>74</v>
      </c>
      <c r="Y642" t="b">
        <v>0</v>
      </c>
      <c r="Z642" t="b">
        <v>0</v>
      </c>
      <c r="AB642" t="s">
        <v>472</v>
      </c>
      <c r="AC642" s="1">
        <v>41227</v>
      </c>
      <c r="AF642">
        <v>0</v>
      </c>
      <c r="AG642">
        <v>45</v>
      </c>
      <c r="AH642">
        <v>419</v>
      </c>
      <c r="AI642" s="2">
        <f>Table__192.168.3.138DYLAgingReport[[#This Row],[NetAmount]]-Table__192.168.3.138DYLAgingReport[[#This Row],[Paid]]</f>
        <v>21982</v>
      </c>
    </row>
    <row r="643" spans="1:35">
      <c r="A643" t="s">
        <v>1551</v>
      </c>
      <c r="B643" s="1">
        <v>40894</v>
      </c>
      <c r="C643" s="1">
        <v>40939</v>
      </c>
      <c r="D643" t="s">
        <v>219</v>
      </c>
      <c r="E643">
        <v>840</v>
      </c>
      <c r="F643">
        <v>134</v>
      </c>
      <c r="G643">
        <v>0</v>
      </c>
      <c r="H643">
        <v>0</v>
      </c>
      <c r="I643">
        <v>374</v>
      </c>
      <c r="J643">
        <v>974</v>
      </c>
      <c r="K643" t="s">
        <v>1241</v>
      </c>
      <c r="L643" s="1">
        <v>40894</v>
      </c>
      <c r="N643" t="s">
        <v>36</v>
      </c>
      <c r="O643" t="s">
        <v>37</v>
      </c>
      <c r="P643" t="s">
        <v>356</v>
      </c>
      <c r="Q643" t="s">
        <v>39</v>
      </c>
      <c r="R643" t="s">
        <v>40</v>
      </c>
      <c r="S643">
        <v>0</v>
      </c>
      <c r="U643" t="s">
        <v>41</v>
      </c>
      <c r="V643" t="s">
        <v>42</v>
      </c>
      <c r="X643" t="s">
        <v>74</v>
      </c>
      <c r="Y643" t="b">
        <v>0</v>
      </c>
      <c r="Z643" t="b">
        <v>0</v>
      </c>
      <c r="AB643" t="s">
        <v>472</v>
      </c>
      <c r="AC643" s="1">
        <v>41227</v>
      </c>
      <c r="AF643">
        <v>0</v>
      </c>
      <c r="AG643">
        <v>45</v>
      </c>
      <c r="AH643">
        <v>419</v>
      </c>
      <c r="AI643" s="2">
        <f>Table__192.168.3.138DYLAgingReport[[#This Row],[NetAmount]]-Table__192.168.3.138DYLAgingReport[[#This Row],[Paid]]</f>
        <v>974</v>
      </c>
    </row>
    <row r="644" spans="1:35">
      <c r="A644" t="s">
        <v>1552</v>
      </c>
      <c r="B644" s="1">
        <v>40887</v>
      </c>
      <c r="C644" s="1">
        <v>40932</v>
      </c>
      <c r="D644" t="s">
        <v>219</v>
      </c>
      <c r="E644">
        <v>12890</v>
      </c>
      <c r="F644">
        <v>2062</v>
      </c>
      <c r="G644">
        <v>0</v>
      </c>
      <c r="H644">
        <v>0</v>
      </c>
      <c r="I644">
        <v>381</v>
      </c>
      <c r="J644">
        <v>14952</v>
      </c>
      <c r="K644" t="s">
        <v>911</v>
      </c>
      <c r="L644" s="1">
        <v>40887</v>
      </c>
      <c r="N644" t="s">
        <v>36</v>
      </c>
      <c r="O644" t="s">
        <v>37</v>
      </c>
      <c r="P644" t="s">
        <v>356</v>
      </c>
      <c r="Q644" t="s">
        <v>39</v>
      </c>
      <c r="R644" t="s">
        <v>40</v>
      </c>
      <c r="S644">
        <v>0</v>
      </c>
      <c r="U644" t="s">
        <v>41</v>
      </c>
      <c r="V644" t="s">
        <v>42</v>
      </c>
      <c r="X644" t="s">
        <v>74</v>
      </c>
      <c r="Y644" t="b">
        <v>0</v>
      </c>
      <c r="Z644" t="b">
        <v>0</v>
      </c>
      <c r="AB644" t="s">
        <v>472</v>
      </c>
      <c r="AC644" s="1">
        <v>41227</v>
      </c>
      <c r="AF644">
        <v>0</v>
      </c>
      <c r="AG644">
        <v>45</v>
      </c>
      <c r="AH644">
        <v>426</v>
      </c>
      <c r="AI644" s="2">
        <f>Table__192.168.3.138DYLAgingReport[[#This Row],[NetAmount]]-Table__192.168.3.138DYLAgingReport[[#This Row],[Paid]]</f>
        <v>14952</v>
      </c>
    </row>
    <row r="645" spans="1:35">
      <c r="A645" t="s">
        <v>1553</v>
      </c>
      <c r="B645" s="1">
        <v>40897</v>
      </c>
      <c r="C645" s="1">
        <v>40942</v>
      </c>
      <c r="D645" t="s">
        <v>239</v>
      </c>
      <c r="E645">
        <v>209473</v>
      </c>
      <c r="F645">
        <v>33516</v>
      </c>
      <c r="G645">
        <v>0</v>
      </c>
      <c r="H645">
        <v>0</v>
      </c>
      <c r="I645">
        <v>370</v>
      </c>
      <c r="J645">
        <v>242989</v>
      </c>
      <c r="K645" t="s">
        <v>1554</v>
      </c>
      <c r="L645" s="1">
        <v>40898</v>
      </c>
      <c r="N645" t="s">
        <v>36</v>
      </c>
      <c r="O645" t="s">
        <v>37</v>
      </c>
      <c r="P645" t="s">
        <v>376</v>
      </c>
      <c r="Q645" t="s">
        <v>39</v>
      </c>
      <c r="R645" t="s">
        <v>40</v>
      </c>
      <c r="S645">
        <v>0</v>
      </c>
      <c r="U645" t="s">
        <v>41</v>
      </c>
      <c r="V645" t="s">
        <v>42</v>
      </c>
      <c r="X645" t="s">
        <v>74</v>
      </c>
      <c r="Y645" t="b">
        <v>0</v>
      </c>
      <c r="Z645" t="b">
        <v>0</v>
      </c>
      <c r="AC645" s="1"/>
      <c r="AF645">
        <v>0</v>
      </c>
      <c r="AG645">
        <v>45</v>
      </c>
      <c r="AH645">
        <v>415</v>
      </c>
      <c r="AI645" s="2">
        <f>Table__192.168.3.138DYLAgingReport[[#This Row],[NetAmount]]-Table__192.168.3.138DYLAgingReport[[#This Row],[Paid]]</f>
        <v>242989</v>
      </c>
    </row>
    <row r="646" spans="1:35">
      <c r="A646" t="s">
        <v>1555</v>
      </c>
      <c r="B646" s="1">
        <v>40890</v>
      </c>
      <c r="C646" s="1">
        <v>40890</v>
      </c>
      <c r="D646" t="s">
        <v>234</v>
      </c>
      <c r="E646">
        <v>38200</v>
      </c>
      <c r="F646">
        <v>6112</v>
      </c>
      <c r="G646">
        <v>0</v>
      </c>
      <c r="H646">
        <v>0</v>
      </c>
      <c r="I646">
        <v>378</v>
      </c>
      <c r="J646">
        <v>44312</v>
      </c>
      <c r="K646" t="s">
        <v>1556</v>
      </c>
      <c r="L646" s="1">
        <v>40890</v>
      </c>
      <c r="N646" t="s">
        <v>36</v>
      </c>
      <c r="O646" t="s">
        <v>37</v>
      </c>
      <c r="P646" t="s">
        <v>371</v>
      </c>
      <c r="Q646" t="s">
        <v>39</v>
      </c>
      <c r="R646" t="s">
        <v>40</v>
      </c>
      <c r="S646">
        <v>0</v>
      </c>
      <c r="U646" t="s">
        <v>41</v>
      </c>
      <c r="V646" t="s">
        <v>42</v>
      </c>
      <c r="X646" t="s">
        <v>74</v>
      </c>
      <c r="Y646" t="b">
        <v>0</v>
      </c>
      <c r="Z646" t="b">
        <v>0</v>
      </c>
      <c r="AB646" t="s">
        <v>1328</v>
      </c>
      <c r="AC646" s="1">
        <v>40953</v>
      </c>
      <c r="AD646" t="s">
        <v>1557</v>
      </c>
      <c r="AE646" t="s">
        <v>1330</v>
      </c>
      <c r="AF646">
        <v>7637</v>
      </c>
      <c r="AG646">
        <v>45</v>
      </c>
      <c r="AH646">
        <v>423</v>
      </c>
      <c r="AI646" s="2">
        <f>Table__192.168.3.138DYLAgingReport[[#This Row],[NetAmount]]-Table__192.168.3.138DYLAgingReport[[#This Row],[Paid]]</f>
        <v>36675</v>
      </c>
    </row>
    <row r="647" spans="1:35">
      <c r="A647" t="s">
        <v>1558</v>
      </c>
      <c r="B647" s="1">
        <v>40900</v>
      </c>
      <c r="C647" s="1">
        <v>40945</v>
      </c>
      <c r="D647" t="s">
        <v>219</v>
      </c>
      <c r="E647">
        <v>20723</v>
      </c>
      <c r="F647">
        <v>3316</v>
      </c>
      <c r="G647">
        <v>0</v>
      </c>
      <c r="H647">
        <v>0</v>
      </c>
      <c r="I647">
        <v>369</v>
      </c>
      <c r="J647">
        <v>24039</v>
      </c>
      <c r="K647" t="s">
        <v>1559</v>
      </c>
      <c r="L647" s="1">
        <v>40899</v>
      </c>
      <c r="N647" t="s">
        <v>36</v>
      </c>
      <c r="O647" t="s">
        <v>37</v>
      </c>
      <c r="P647" t="s">
        <v>356</v>
      </c>
      <c r="Q647" t="s">
        <v>39</v>
      </c>
      <c r="R647" t="s">
        <v>40</v>
      </c>
      <c r="S647">
        <v>0</v>
      </c>
      <c r="U647" t="s">
        <v>41</v>
      </c>
      <c r="V647" t="s">
        <v>42</v>
      </c>
      <c r="X647" t="s">
        <v>74</v>
      </c>
      <c r="Y647" t="b">
        <v>0</v>
      </c>
      <c r="Z647" t="b">
        <v>0</v>
      </c>
      <c r="AB647" t="s">
        <v>472</v>
      </c>
      <c r="AC647" s="1">
        <v>41227</v>
      </c>
      <c r="AF647">
        <v>0</v>
      </c>
      <c r="AG647">
        <v>45</v>
      </c>
      <c r="AH647">
        <v>414</v>
      </c>
      <c r="AI647" s="2">
        <f>Table__192.168.3.138DYLAgingReport[[#This Row],[NetAmount]]-Table__192.168.3.138DYLAgingReport[[#This Row],[Paid]]</f>
        <v>24039</v>
      </c>
    </row>
    <row r="648" spans="1:35">
      <c r="A648" t="s">
        <v>1560</v>
      </c>
      <c r="B648" s="1">
        <v>40904</v>
      </c>
      <c r="C648" s="1">
        <v>40949</v>
      </c>
      <c r="D648" t="s">
        <v>220</v>
      </c>
      <c r="E648">
        <v>438000</v>
      </c>
      <c r="F648">
        <v>70080</v>
      </c>
      <c r="G648">
        <v>0</v>
      </c>
      <c r="H648">
        <v>0</v>
      </c>
      <c r="I648">
        <v>364</v>
      </c>
      <c r="J648">
        <v>508080</v>
      </c>
      <c r="K648" t="s">
        <v>1561</v>
      </c>
      <c r="L648" s="1">
        <v>40904</v>
      </c>
      <c r="N648" t="s">
        <v>36</v>
      </c>
      <c r="O648" t="s">
        <v>37</v>
      </c>
      <c r="P648" t="s">
        <v>357</v>
      </c>
      <c r="Q648" t="s">
        <v>39</v>
      </c>
      <c r="R648" t="s">
        <v>40</v>
      </c>
      <c r="S648">
        <v>0</v>
      </c>
      <c r="U648" t="s">
        <v>41</v>
      </c>
      <c r="V648" t="s">
        <v>42</v>
      </c>
      <c r="X648" t="s">
        <v>74</v>
      </c>
      <c r="Y648" t="b">
        <v>0</v>
      </c>
      <c r="Z648" t="b">
        <v>0</v>
      </c>
      <c r="AB648" t="s">
        <v>1562</v>
      </c>
      <c r="AC648" s="1">
        <v>41067</v>
      </c>
      <c r="AD648" t="s">
        <v>1563</v>
      </c>
      <c r="AE648" t="s">
        <v>1277</v>
      </c>
      <c r="AF648">
        <v>503171</v>
      </c>
      <c r="AG648">
        <v>45</v>
      </c>
      <c r="AH648">
        <v>409</v>
      </c>
      <c r="AI648" s="2">
        <f>Table__192.168.3.138DYLAgingReport[[#This Row],[NetAmount]]-Table__192.168.3.138DYLAgingReport[[#This Row],[Paid]]</f>
        <v>4909</v>
      </c>
    </row>
    <row r="649" spans="1:35">
      <c r="A649" t="s">
        <v>1564</v>
      </c>
      <c r="B649" s="1">
        <v>40906</v>
      </c>
      <c r="C649" s="1">
        <v>40951</v>
      </c>
      <c r="D649" t="s">
        <v>270</v>
      </c>
      <c r="E649">
        <v>312500</v>
      </c>
      <c r="F649">
        <v>50000</v>
      </c>
      <c r="G649">
        <v>0</v>
      </c>
      <c r="H649">
        <v>0</v>
      </c>
      <c r="I649">
        <v>377</v>
      </c>
      <c r="J649">
        <v>362500</v>
      </c>
      <c r="K649" t="s">
        <v>1565</v>
      </c>
      <c r="L649" s="1">
        <v>40906</v>
      </c>
      <c r="N649" t="s">
        <v>36</v>
      </c>
      <c r="O649" t="s">
        <v>37</v>
      </c>
      <c r="P649" t="s">
        <v>407</v>
      </c>
      <c r="Q649" t="s">
        <v>39</v>
      </c>
      <c r="R649" t="s">
        <v>40</v>
      </c>
      <c r="S649">
        <v>0</v>
      </c>
      <c r="U649" t="s">
        <v>41</v>
      </c>
      <c r="V649" t="s">
        <v>42</v>
      </c>
      <c r="X649" t="s">
        <v>74</v>
      </c>
      <c r="Y649" t="b">
        <v>0</v>
      </c>
      <c r="Z649" t="b">
        <v>0</v>
      </c>
      <c r="AB649" t="s">
        <v>1566</v>
      </c>
      <c r="AC649" s="1">
        <v>41065</v>
      </c>
      <c r="AD649" t="s">
        <v>1567</v>
      </c>
      <c r="AE649" t="s">
        <v>1568</v>
      </c>
      <c r="AF649">
        <v>361849</v>
      </c>
      <c r="AG649">
        <v>30</v>
      </c>
      <c r="AH649">
        <v>407</v>
      </c>
      <c r="AI649" s="2">
        <f>Table__192.168.3.138DYLAgingReport[[#This Row],[NetAmount]]-Table__192.168.3.138DYLAgingReport[[#This Row],[Paid]]</f>
        <v>651</v>
      </c>
    </row>
    <row r="650" spans="1:35">
      <c r="A650" t="s">
        <v>1569</v>
      </c>
      <c r="B650" s="1">
        <v>40901</v>
      </c>
      <c r="C650" s="1">
        <v>40946</v>
      </c>
      <c r="D650" t="s">
        <v>219</v>
      </c>
      <c r="E650">
        <v>27536</v>
      </c>
      <c r="F650">
        <v>4406</v>
      </c>
      <c r="G650">
        <v>0</v>
      </c>
      <c r="H650">
        <v>0</v>
      </c>
      <c r="I650">
        <v>367</v>
      </c>
      <c r="J650">
        <v>31942</v>
      </c>
      <c r="K650" t="s">
        <v>1570</v>
      </c>
      <c r="L650" s="1">
        <v>40901</v>
      </c>
      <c r="N650" t="s">
        <v>36</v>
      </c>
      <c r="O650" t="s">
        <v>37</v>
      </c>
      <c r="P650" t="s">
        <v>356</v>
      </c>
      <c r="Q650" t="s">
        <v>39</v>
      </c>
      <c r="R650" t="s">
        <v>40</v>
      </c>
      <c r="S650">
        <v>0</v>
      </c>
      <c r="U650" t="s">
        <v>41</v>
      </c>
      <c r="V650" t="s">
        <v>42</v>
      </c>
      <c r="X650" t="s">
        <v>74</v>
      </c>
      <c r="Y650" t="b">
        <v>0</v>
      </c>
      <c r="Z650" t="b">
        <v>0</v>
      </c>
      <c r="AB650" t="s">
        <v>472</v>
      </c>
      <c r="AC650" s="1">
        <v>41227</v>
      </c>
      <c r="AF650">
        <v>0</v>
      </c>
      <c r="AG650">
        <v>45</v>
      </c>
      <c r="AH650">
        <v>412</v>
      </c>
      <c r="AI650" s="2">
        <f>Table__192.168.3.138DYLAgingReport[[#This Row],[NetAmount]]-Table__192.168.3.138DYLAgingReport[[#This Row],[Paid]]</f>
        <v>31942</v>
      </c>
    </row>
    <row r="651" spans="1:35">
      <c r="A651" t="s">
        <v>1571</v>
      </c>
      <c r="B651" s="1">
        <v>40901</v>
      </c>
      <c r="C651" s="1">
        <v>40946</v>
      </c>
      <c r="D651" t="s">
        <v>219</v>
      </c>
      <c r="E651">
        <v>37503</v>
      </c>
      <c r="F651">
        <v>6000</v>
      </c>
      <c r="G651">
        <v>0</v>
      </c>
      <c r="H651">
        <v>0</v>
      </c>
      <c r="I651">
        <v>367</v>
      </c>
      <c r="J651">
        <v>43503</v>
      </c>
      <c r="K651" t="s">
        <v>1572</v>
      </c>
      <c r="L651" s="1">
        <v>40901</v>
      </c>
      <c r="N651" t="s">
        <v>36</v>
      </c>
      <c r="O651" t="s">
        <v>37</v>
      </c>
      <c r="P651" t="s">
        <v>356</v>
      </c>
      <c r="Q651" t="s">
        <v>39</v>
      </c>
      <c r="R651" t="s">
        <v>40</v>
      </c>
      <c r="S651">
        <v>0</v>
      </c>
      <c r="U651" t="s">
        <v>41</v>
      </c>
      <c r="V651" t="s">
        <v>42</v>
      </c>
      <c r="X651" t="s">
        <v>74</v>
      </c>
      <c r="Y651" t="b">
        <v>0</v>
      </c>
      <c r="Z651" t="b">
        <v>0</v>
      </c>
      <c r="AB651" t="s">
        <v>472</v>
      </c>
      <c r="AC651" s="1">
        <v>41227</v>
      </c>
      <c r="AF651">
        <v>0</v>
      </c>
      <c r="AG651">
        <v>45</v>
      </c>
      <c r="AH651">
        <v>412</v>
      </c>
      <c r="AI651" s="2">
        <f>Table__192.168.3.138DYLAgingReport[[#This Row],[NetAmount]]-Table__192.168.3.138DYLAgingReport[[#This Row],[Paid]]</f>
        <v>43503</v>
      </c>
    </row>
    <row r="652" spans="1:35">
      <c r="A652" t="s">
        <v>1573</v>
      </c>
      <c r="B652" s="1">
        <v>40884</v>
      </c>
      <c r="C652" s="1">
        <v>40899</v>
      </c>
      <c r="D652" t="s">
        <v>247</v>
      </c>
      <c r="E652">
        <v>1070500</v>
      </c>
      <c r="F652">
        <v>171280</v>
      </c>
      <c r="G652">
        <v>0</v>
      </c>
      <c r="H652">
        <v>0</v>
      </c>
      <c r="I652">
        <v>388</v>
      </c>
      <c r="J652">
        <v>1241780</v>
      </c>
      <c r="K652" t="s">
        <v>1574</v>
      </c>
      <c r="L652" s="1">
        <v>40880</v>
      </c>
      <c r="N652" t="s">
        <v>36</v>
      </c>
      <c r="O652" t="s">
        <v>37</v>
      </c>
      <c r="P652" t="s">
        <v>384</v>
      </c>
      <c r="Q652" t="s">
        <v>39</v>
      </c>
      <c r="R652" t="s">
        <v>40</v>
      </c>
      <c r="S652">
        <v>0</v>
      </c>
      <c r="U652" t="s">
        <v>41</v>
      </c>
      <c r="V652" t="s">
        <v>42</v>
      </c>
      <c r="X652" t="s">
        <v>74</v>
      </c>
      <c r="Y652" t="b">
        <v>0</v>
      </c>
      <c r="Z652" t="b">
        <v>0</v>
      </c>
      <c r="AB652" t="s">
        <v>1575</v>
      </c>
      <c r="AC652" s="1">
        <v>41099</v>
      </c>
      <c r="AD652" t="s">
        <v>1576</v>
      </c>
      <c r="AE652" t="s">
        <v>1577</v>
      </c>
      <c r="AF652">
        <v>1000000</v>
      </c>
      <c r="AG652">
        <v>45</v>
      </c>
      <c r="AH652">
        <v>433</v>
      </c>
      <c r="AI652" s="2">
        <f>Table__192.168.3.138DYLAgingReport[[#This Row],[NetAmount]]-Table__192.168.3.138DYLAgingReport[[#This Row],[Paid]]</f>
        <v>241780</v>
      </c>
    </row>
    <row r="653" spans="1:35">
      <c r="A653" t="s">
        <v>1578</v>
      </c>
      <c r="B653" s="1">
        <v>40906</v>
      </c>
      <c r="C653" s="1">
        <v>40951</v>
      </c>
      <c r="D653" t="s">
        <v>239</v>
      </c>
      <c r="E653">
        <v>175680</v>
      </c>
      <c r="F653">
        <v>28109</v>
      </c>
      <c r="G653">
        <v>0</v>
      </c>
      <c r="H653">
        <v>203788</v>
      </c>
      <c r="I653">
        <v>362</v>
      </c>
      <c r="J653">
        <v>203789</v>
      </c>
      <c r="K653" t="s">
        <v>1579</v>
      </c>
      <c r="L653" s="1">
        <v>40906</v>
      </c>
      <c r="N653" t="s">
        <v>36</v>
      </c>
      <c r="O653" t="s">
        <v>37</v>
      </c>
      <c r="P653" t="s">
        <v>376</v>
      </c>
      <c r="Q653" t="s">
        <v>39</v>
      </c>
      <c r="R653" t="s">
        <v>40</v>
      </c>
      <c r="S653">
        <v>0</v>
      </c>
      <c r="T653" t="s">
        <v>1580</v>
      </c>
      <c r="U653" t="s">
        <v>41</v>
      </c>
      <c r="V653" t="s">
        <v>42</v>
      </c>
      <c r="X653" t="s">
        <v>74</v>
      </c>
      <c r="Y653" t="b">
        <v>0</v>
      </c>
      <c r="Z653" t="b">
        <v>0</v>
      </c>
      <c r="AC653" s="1"/>
      <c r="AF653">
        <v>0</v>
      </c>
      <c r="AG653">
        <v>45</v>
      </c>
      <c r="AH653">
        <v>407</v>
      </c>
      <c r="AI653" s="2">
        <f>Table__192.168.3.138DYLAgingReport[[#This Row],[NetAmount]]-Table__192.168.3.138DYLAgingReport[[#This Row],[Paid]]</f>
        <v>203789</v>
      </c>
    </row>
    <row r="654" spans="1:35">
      <c r="A654" t="s">
        <v>1581</v>
      </c>
      <c r="B654" s="1">
        <v>40906</v>
      </c>
      <c r="C654" s="1">
        <v>40951</v>
      </c>
      <c r="D654" t="s">
        <v>239</v>
      </c>
      <c r="E654">
        <v>5040</v>
      </c>
      <c r="F654">
        <v>806</v>
      </c>
      <c r="G654">
        <v>0</v>
      </c>
      <c r="H654">
        <v>0</v>
      </c>
      <c r="I654">
        <v>362</v>
      </c>
      <c r="J654">
        <v>5846</v>
      </c>
      <c r="K654" t="s">
        <v>1582</v>
      </c>
      <c r="L654" s="1">
        <v>40906</v>
      </c>
      <c r="N654" t="s">
        <v>36</v>
      </c>
      <c r="O654" t="s">
        <v>37</v>
      </c>
      <c r="P654" t="s">
        <v>376</v>
      </c>
      <c r="Q654" t="s">
        <v>39</v>
      </c>
      <c r="R654" t="s">
        <v>40</v>
      </c>
      <c r="S654">
        <v>0</v>
      </c>
      <c r="U654" t="s">
        <v>41</v>
      </c>
      <c r="V654" t="s">
        <v>42</v>
      </c>
      <c r="X654" t="s">
        <v>74</v>
      </c>
      <c r="Y654" t="b">
        <v>0</v>
      </c>
      <c r="Z654" t="b">
        <v>0</v>
      </c>
      <c r="AC654" s="1"/>
      <c r="AF654">
        <v>0</v>
      </c>
      <c r="AG654">
        <v>45</v>
      </c>
      <c r="AH654">
        <v>407</v>
      </c>
      <c r="AI654" s="2">
        <f>Table__192.168.3.138DYLAgingReport[[#This Row],[NetAmount]]-Table__192.168.3.138DYLAgingReport[[#This Row],[Paid]]</f>
        <v>5846</v>
      </c>
    </row>
    <row r="655" spans="1:35">
      <c r="A655" t="s">
        <v>1583</v>
      </c>
      <c r="B655" s="1">
        <v>40906</v>
      </c>
      <c r="C655" s="1">
        <v>40951</v>
      </c>
      <c r="D655" t="s">
        <v>239</v>
      </c>
      <c r="E655">
        <v>560</v>
      </c>
      <c r="F655">
        <v>90</v>
      </c>
      <c r="G655">
        <v>0</v>
      </c>
      <c r="H655">
        <v>0</v>
      </c>
      <c r="I655">
        <v>362</v>
      </c>
      <c r="J655">
        <v>650</v>
      </c>
      <c r="K655" t="s">
        <v>1584</v>
      </c>
      <c r="L655" s="1">
        <v>40906</v>
      </c>
      <c r="N655" t="s">
        <v>36</v>
      </c>
      <c r="O655" t="s">
        <v>37</v>
      </c>
      <c r="P655" t="s">
        <v>376</v>
      </c>
      <c r="Q655" t="s">
        <v>39</v>
      </c>
      <c r="R655" t="s">
        <v>40</v>
      </c>
      <c r="S655">
        <v>0</v>
      </c>
      <c r="U655" t="s">
        <v>41</v>
      </c>
      <c r="V655" t="s">
        <v>42</v>
      </c>
      <c r="X655" t="s">
        <v>74</v>
      </c>
      <c r="Y655" t="b">
        <v>0</v>
      </c>
      <c r="Z655" t="b">
        <v>0</v>
      </c>
      <c r="AC655" s="1"/>
      <c r="AF655">
        <v>0</v>
      </c>
      <c r="AG655">
        <v>45</v>
      </c>
      <c r="AH655">
        <v>407</v>
      </c>
      <c r="AI655" s="2">
        <f>Table__192.168.3.138DYLAgingReport[[#This Row],[NetAmount]]-Table__192.168.3.138DYLAgingReport[[#This Row],[Paid]]</f>
        <v>650</v>
      </c>
    </row>
    <row r="656" spans="1:35">
      <c r="A656" t="s">
        <v>1585</v>
      </c>
      <c r="B656" s="1">
        <v>40906</v>
      </c>
      <c r="C656" s="1">
        <v>40951</v>
      </c>
      <c r="D656" t="s">
        <v>239</v>
      </c>
      <c r="E656">
        <v>332095</v>
      </c>
      <c r="F656">
        <v>53135</v>
      </c>
      <c r="G656">
        <v>0</v>
      </c>
      <c r="H656">
        <v>0</v>
      </c>
      <c r="I656">
        <v>362</v>
      </c>
      <c r="J656">
        <v>385230</v>
      </c>
      <c r="K656" t="s">
        <v>1586</v>
      </c>
      <c r="L656" s="1">
        <v>40906</v>
      </c>
      <c r="N656" t="s">
        <v>36</v>
      </c>
      <c r="O656" t="s">
        <v>37</v>
      </c>
      <c r="P656" t="s">
        <v>376</v>
      </c>
      <c r="Q656" t="s">
        <v>39</v>
      </c>
      <c r="R656" t="s">
        <v>40</v>
      </c>
      <c r="S656">
        <v>0</v>
      </c>
      <c r="U656" t="s">
        <v>41</v>
      </c>
      <c r="V656" t="s">
        <v>42</v>
      </c>
      <c r="X656" t="s">
        <v>74</v>
      </c>
      <c r="Y656" t="b">
        <v>0</v>
      </c>
      <c r="Z656" t="b">
        <v>0</v>
      </c>
      <c r="AC656" s="1"/>
      <c r="AF656">
        <v>0</v>
      </c>
      <c r="AG656">
        <v>45</v>
      </c>
      <c r="AH656">
        <v>407</v>
      </c>
      <c r="AI656" s="2">
        <f>Table__192.168.3.138DYLAgingReport[[#This Row],[NetAmount]]-Table__192.168.3.138DYLAgingReport[[#This Row],[Paid]]</f>
        <v>385230</v>
      </c>
    </row>
    <row r="657" spans="1:35">
      <c r="A657" t="s">
        <v>1587</v>
      </c>
      <c r="B657" s="1">
        <v>40892</v>
      </c>
      <c r="C657" s="1">
        <v>40937</v>
      </c>
      <c r="D657" t="s">
        <v>239</v>
      </c>
      <c r="E657">
        <v>332095</v>
      </c>
      <c r="F657">
        <v>53135</v>
      </c>
      <c r="G657">
        <v>0</v>
      </c>
      <c r="H657">
        <v>0</v>
      </c>
      <c r="I657">
        <v>383</v>
      </c>
      <c r="J657">
        <v>385230</v>
      </c>
      <c r="K657" t="s">
        <v>1588</v>
      </c>
      <c r="L657" s="1">
        <v>40885</v>
      </c>
      <c r="N657" t="s">
        <v>36</v>
      </c>
      <c r="O657" t="s">
        <v>37</v>
      </c>
      <c r="P657" t="s">
        <v>376</v>
      </c>
      <c r="Q657" t="s">
        <v>39</v>
      </c>
      <c r="R657" t="s">
        <v>40</v>
      </c>
      <c r="S657">
        <v>0</v>
      </c>
      <c r="U657" t="s">
        <v>41</v>
      </c>
      <c r="V657" t="s">
        <v>42</v>
      </c>
      <c r="X657" t="s">
        <v>74</v>
      </c>
      <c r="Y657" t="b">
        <v>0</v>
      </c>
      <c r="Z657" t="b">
        <v>0</v>
      </c>
      <c r="AC657" s="1"/>
      <c r="AF657">
        <v>0</v>
      </c>
      <c r="AG657">
        <v>45</v>
      </c>
      <c r="AH657">
        <v>428</v>
      </c>
      <c r="AI657" s="2">
        <f>Table__192.168.3.138DYLAgingReport[[#This Row],[NetAmount]]-Table__192.168.3.138DYLAgingReport[[#This Row],[Paid]]</f>
        <v>385230</v>
      </c>
    </row>
    <row r="658" spans="1:35">
      <c r="A658" t="s">
        <v>1589</v>
      </c>
      <c r="B658" s="1">
        <v>40908</v>
      </c>
      <c r="C658" s="1">
        <v>40953</v>
      </c>
      <c r="D658" t="s">
        <v>219</v>
      </c>
      <c r="E658">
        <v>36827</v>
      </c>
      <c r="F658">
        <v>5892</v>
      </c>
      <c r="G658">
        <v>0</v>
      </c>
      <c r="H658">
        <v>0</v>
      </c>
      <c r="I658">
        <v>362</v>
      </c>
      <c r="J658">
        <v>42719</v>
      </c>
      <c r="K658" t="s">
        <v>1590</v>
      </c>
      <c r="L658" s="1">
        <v>40906</v>
      </c>
      <c r="N658" t="s">
        <v>36</v>
      </c>
      <c r="O658" t="s">
        <v>37</v>
      </c>
      <c r="P658" t="s">
        <v>356</v>
      </c>
      <c r="Q658" t="s">
        <v>39</v>
      </c>
      <c r="R658" t="s">
        <v>40</v>
      </c>
      <c r="S658">
        <v>0</v>
      </c>
      <c r="U658" t="s">
        <v>41</v>
      </c>
      <c r="V658" t="s">
        <v>42</v>
      </c>
      <c r="X658" t="s">
        <v>74</v>
      </c>
      <c r="Y658" t="b">
        <v>0</v>
      </c>
      <c r="Z658" t="b">
        <v>0</v>
      </c>
      <c r="AB658" t="s">
        <v>472</v>
      </c>
      <c r="AC658" s="1">
        <v>41227</v>
      </c>
      <c r="AF658">
        <v>0</v>
      </c>
      <c r="AG658">
        <v>45</v>
      </c>
      <c r="AH658">
        <v>407</v>
      </c>
      <c r="AI658" s="2">
        <f>Table__192.168.3.138DYLAgingReport[[#This Row],[NetAmount]]-Table__192.168.3.138DYLAgingReport[[#This Row],[Paid]]</f>
        <v>42719</v>
      </c>
    </row>
    <row r="659" spans="1:35">
      <c r="A659" t="s">
        <v>1591</v>
      </c>
      <c r="B659" s="1">
        <v>40908</v>
      </c>
      <c r="C659" s="1">
        <v>40953</v>
      </c>
      <c r="D659" t="s">
        <v>219</v>
      </c>
      <c r="E659">
        <v>14043</v>
      </c>
      <c r="F659">
        <v>2247</v>
      </c>
      <c r="G659">
        <v>0</v>
      </c>
      <c r="H659">
        <v>0</v>
      </c>
      <c r="I659">
        <v>360</v>
      </c>
      <c r="J659">
        <v>16290</v>
      </c>
      <c r="K659" t="s">
        <v>1592</v>
      </c>
      <c r="L659" s="1">
        <v>40908</v>
      </c>
      <c r="N659" t="s">
        <v>36</v>
      </c>
      <c r="O659" t="s">
        <v>37</v>
      </c>
      <c r="P659" t="s">
        <v>356</v>
      </c>
      <c r="Q659" t="s">
        <v>39</v>
      </c>
      <c r="R659" t="s">
        <v>40</v>
      </c>
      <c r="S659">
        <v>0</v>
      </c>
      <c r="U659" t="s">
        <v>41</v>
      </c>
      <c r="V659" t="s">
        <v>42</v>
      </c>
      <c r="X659" t="s">
        <v>74</v>
      </c>
      <c r="Y659" t="b">
        <v>0</v>
      </c>
      <c r="Z659" t="b">
        <v>0</v>
      </c>
      <c r="AB659" t="s">
        <v>472</v>
      </c>
      <c r="AC659" s="1">
        <v>41227</v>
      </c>
      <c r="AF659">
        <v>0</v>
      </c>
      <c r="AG659">
        <v>45</v>
      </c>
      <c r="AH659">
        <v>405</v>
      </c>
      <c r="AI659" s="2">
        <f>Table__192.168.3.138DYLAgingReport[[#This Row],[NetAmount]]-Table__192.168.3.138DYLAgingReport[[#This Row],[Paid]]</f>
        <v>16290</v>
      </c>
    </row>
    <row r="660" spans="1:35">
      <c r="A660" t="s">
        <v>1593</v>
      </c>
      <c r="B660" s="1">
        <v>40908</v>
      </c>
      <c r="C660" s="1">
        <v>40953</v>
      </c>
      <c r="D660" t="s">
        <v>219</v>
      </c>
      <c r="E660">
        <v>21585</v>
      </c>
      <c r="F660">
        <v>3454</v>
      </c>
      <c r="G660">
        <v>0</v>
      </c>
      <c r="H660">
        <v>0</v>
      </c>
      <c r="I660">
        <v>360</v>
      </c>
      <c r="J660">
        <v>25039</v>
      </c>
      <c r="K660" t="s">
        <v>1594</v>
      </c>
      <c r="L660" s="1">
        <v>40908</v>
      </c>
      <c r="N660" t="s">
        <v>36</v>
      </c>
      <c r="O660" t="s">
        <v>37</v>
      </c>
      <c r="P660" t="s">
        <v>356</v>
      </c>
      <c r="Q660" t="s">
        <v>39</v>
      </c>
      <c r="R660" t="s">
        <v>40</v>
      </c>
      <c r="S660">
        <v>0</v>
      </c>
      <c r="U660" t="s">
        <v>41</v>
      </c>
      <c r="V660" t="s">
        <v>42</v>
      </c>
      <c r="X660" t="s">
        <v>74</v>
      </c>
      <c r="Y660" t="b">
        <v>0</v>
      </c>
      <c r="Z660" t="b">
        <v>0</v>
      </c>
      <c r="AB660" t="s">
        <v>472</v>
      </c>
      <c r="AC660" s="1">
        <v>41227</v>
      </c>
      <c r="AF660">
        <v>0</v>
      </c>
      <c r="AG660">
        <v>45</v>
      </c>
      <c r="AH660">
        <v>405</v>
      </c>
      <c r="AI660" s="2">
        <f>Table__192.168.3.138DYLAgingReport[[#This Row],[NetAmount]]-Table__192.168.3.138DYLAgingReport[[#This Row],[Paid]]</f>
        <v>25039</v>
      </c>
    </row>
    <row r="661" spans="1:35">
      <c r="A661" t="s">
        <v>1595</v>
      </c>
      <c r="B661" s="1">
        <v>40908</v>
      </c>
      <c r="C661" s="1">
        <v>40953</v>
      </c>
      <c r="D661" t="s">
        <v>219</v>
      </c>
      <c r="E661">
        <v>3880</v>
      </c>
      <c r="F661">
        <v>621</v>
      </c>
      <c r="G661">
        <v>0</v>
      </c>
      <c r="H661">
        <v>0</v>
      </c>
      <c r="I661">
        <v>360</v>
      </c>
      <c r="J661">
        <v>4501</v>
      </c>
      <c r="K661" t="s">
        <v>1596</v>
      </c>
      <c r="L661" s="1">
        <v>40908</v>
      </c>
      <c r="N661" t="s">
        <v>36</v>
      </c>
      <c r="O661" t="s">
        <v>37</v>
      </c>
      <c r="P661" t="s">
        <v>356</v>
      </c>
      <c r="Q661" t="s">
        <v>39</v>
      </c>
      <c r="R661" t="s">
        <v>40</v>
      </c>
      <c r="S661">
        <v>0</v>
      </c>
      <c r="U661" t="s">
        <v>41</v>
      </c>
      <c r="V661" t="s">
        <v>42</v>
      </c>
      <c r="X661" t="s">
        <v>74</v>
      </c>
      <c r="Y661" t="b">
        <v>0</v>
      </c>
      <c r="Z661" t="b">
        <v>0</v>
      </c>
      <c r="AB661" t="s">
        <v>472</v>
      </c>
      <c r="AC661" s="1">
        <v>41227</v>
      </c>
      <c r="AF661">
        <v>0</v>
      </c>
      <c r="AG661">
        <v>45</v>
      </c>
      <c r="AH661">
        <v>405</v>
      </c>
      <c r="AI661" s="2">
        <f>Table__192.168.3.138DYLAgingReport[[#This Row],[NetAmount]]-Table__192.168.3.138DYLAgingReport[[#This Row],[Paid]]</f>
        <v>4501</v>
      </c>
    </row>
    <row r="662" spans="1:35">
      <c r="A662" t="s">
        <v>1597</v>
      </c>
      <c r="B662" s="1">
        <v>40907</v>
      </c>
      <c r="C662" s="1">
        <v>40952</v>
      </c>
      <c r="D662" t="s">
        <v>219</v>
      </c>
      <c r="E662">
        <v>18055</v>
      </c>
      <c r="F662">
        <v>2889</v>
      </c>
      <c r="G662">
        <v>0</v>
      </c>
      <c r="H662">
        <v>0</v>
      </c>
      <c r="I662">
        <v>362</v>
      </c>
      <c r="J662">
        <v>20944</v>
      </c>
      <c r="K662" t="s">
        <v>1598</v>
      </c>
      <c r="L662" s="1">
        <v>40906</v>
      </c>
      <c r="N662" t="s">
        <v>36</v>
      </c>
      <c r="O662" t="s">
        <v>37</v>
      </c>
      <c r="P662" t="s">
        <v>356</v>
      </c>
      <c r="Q662" t="s">
        <v>39</v>
      </c>
      <c r="R662" t="s">
        <v>40</v>
      </c>
      <c r="S662">
        <v>0</v>
      </c>
      <c r="U662" t="s">
        <v>41</v>
      </c>
      <c r="V662" t="s">
        <v>42</v>
      </c>
      <c r="X662" t="s">
        <v>74</v>
      </c>
      <c r="Y662" t="b">
        <v>0</v>
      </c>
      <c r="Z662" t="b">
        <v>0</v>
      </c>
      <c r="AB662" t="s">
        <v>472</v>
      </c>
      <c r="AC662" s="1">
        <v>41227</v>
      </c>
      <c r="AF662">
        <v>0</v>
      </c>
      <c r="AG662">
        <v>45</v>
      </c>
      <c r="AH662">
        <v>407</v>
      </c>
      <c r="AI662" s="2">
        <f>Table__192.168.3.138DYLAgingReport[[#This Row],[NetAmount]]-Table__192.168.3.138DYLAgingReport[[#This Row],[Paid]]</f>
        <v>20944</v>
      </c>
    </row>
    <row r="663" spans="1:35">
      <c r="A663" t="s">
        <v>1599</v>
      </c>
      <c r="B663" s="1">
        <v>40904</v>
      </c>
      <c r="C663" s="1">
        <v>40949</v>
      </c>
      <c r="D663" t="s">
        <v>219</v>
      </c>
      <c r="E663">
        <v>43858</v>
      </c>
      <c r="F663">
        <v>7017</v>
      </c>
      <c r="G663">
        <v>0</v>
      </c>
      <c r="H663">
        <v>0</v>
      </c>
      <c r="I663">
        <v>364</v>
      </c>
      <c r="J663">
        <v>50875</v>
      </c>
      <c r="K663" t="s">
        <v>1600</v>
      </c>
      <c r="L663" s="1">
        <v>40904</v>
      </c>
      <c r="N663" t="s">
        <v>36</v>
      </c>
      <c r="O663" t="s">
        <v>37</v>
      </c>
      <c r="P663" t="s">
        <v>356</v>
      </c>
      <c r="Q663" t="s">
        <v>39</v>
      </c>
      <c r="R663" t="s">
        <v>40</v>
      </c>
      <c r="S663">
        <v>0</v>
      </c>
      <c r="U663" t="s">
        <v>41</v>
      </c>
      <c r="V663" t="s">
        <v>42</v>
      </c>
      <c r="X663" t="s">
        <v>74</v>
      </c>
      <c r="Y663" t="b">
        <v>0</v>
      </c>
      <c r="Z663" t="b">
        <v>0</v>
      </c>
      <c r="AB663" t="s">
        <v>472</v>
      </c>
      <c r="AC663" s="1">
        <v>41227</v>
      </c>
      <c r="AF663">
        <v>0</v>
      </c>
      <c r="AG663">
        <v>45</v>
      </c>
      <c r="AH663">
        <v>409</v>
      </c>
      <c r="AI663" s="2">
        <f>Table__192.168.3.138DYLAgingReport[[#This Row],[NetAmount]]-Table__192.168.3.138DYLAgingReport[[#This Row],[Paid]]</f>
        <v>50875</v>
      </c>
    </row>
    <row r="664" spans="1:35">
      <c r="A664" t="s">
        <v>1601</v>
      </c>
      <c r="B664" s="1">
        <v>40904</v>
      </c>
      <c r="C664" s="1">
        <v>40949</v>
      </c>
      <c r="D664" t="s">
        <v>219</v>
      </c>
      <c r="E664">
        <v>6385</v>
      </c>
      <c r="F664">
        <v>1022</v>
      </c>
      <c r="G664">
        <v>0</v>
      </c>
      <c r="H664">
        <v>0</v>
      </c>
      <c r="I664">
        <v>364</v>
      </c>
      <c r="J664">
        <v>7407</v>
      </c>
      <c r="K664" t="s">
        <v>1602</v>
      </c>
      <c r="L664" s="1">
        <v>40904</v>
      </c>
      <c r="N664" t="s">
        <v>36</v>
      </c>
      <c r="O664" t="s">
        <v>37</v>
      </c>
      <c r="P664" t="s">
        <v>356</v>
      </c>
      <c r="Q664" t="s">
        <v>39</v>
      </c>
      <c r="R664" t="s">
        <v>40</v>
      </c>
      <c r="S664">
        <v>0</v>
      </c>
      <c r="U664" t="s">
        <v>41</v>
      </c>
      <c r="V664" t="s">
        <v>42</v>
      </c>
      <c r="X664" t="s">
        <v>74</v>
      </c>
      <c r="Y664" t="b">
        <v>0</v>
      </c>
      <c r="Z664" t="b">
        <v>0</v>
      </c>
      <c r="AB664" t="s">
        <v>472</v>
      </c>
      <c r="AC664" s="1">
        <v>41227</v>
      </c>
      <c r="AF664">
        <v>0</v>
      </c>
      <c r="AG664">
        <v>45</v>
      </c>
      <c r="AH664">
        <v>409</v>
      </c>
      <c r="AI664" s="2">
        <f>Table__192.168.3.138DYLAgingReport[[#This Row],[NetAmount]]-Table__192.168.3.138DYLAgingReport[[#This Row],[Paid]]</f>
        <v>7407</v>
      </c>
    </row>
    <row r="665" spans="1:35">
      <c r="A665" t="s">
        <v>1603</v>
      </c>
      <c r="B665" s="1">
        <v>40907</v>
      </c>
      <c r="C665" s="1">
        <v>40952</v>
      </c>
      <c r="D665" t="s">
        <v>219</v>
      </c>
      <c r="E665">
        <v>47133</v>
      </c>
      <c r="F665">
        <v>7541</v>
      </c>
      <c r="G665">
        <v>0</v>
      </c>
      <c r="H665">
        <v>0</v>
      </c>
      <c r="I665">
        <v>367</v>
      </c>
      <c r="J665">
        <v>54674</v>
      </c>
      <c r="K665" t="s">
        <v>1604</v>
      </c>
      <c r="L665" s="1">
        <v>40901</v>
      </c>
      <c r="N665" t="s">
        <v>36</v>
      </c>
      <c r="O665" t="s">
        <v>37</v>
      </c>
      <c r="P665" t="s">
        <v>356</v>
      </c>
      <c r="Q665" t="s">
        <v>39</v>
      </c>
      <c r="R665" t="s">
        <v>40</v>
      </c>
      <c r="S665">
        <v>0</v>
      </c>
      <c r="U665" t="s">
        <v>41</v>
      </c>
      <c r="V665" t="s">
        <v>42</v>
      </c>
      <c r="X665" t="s">
        <v>74</v>
      </c>
      <c r="Y665" t="b">
        <v>0</v>
      </c>
      <c r="Z665" t="b">
        <v>0</v>
      </c>
      <c r="AB665" t="s">
        <v>472</v>
      </c>
      <c r="AC665" s="1">
        <v>41227</v>
      </c>
      <c r="AF665">
        <v>0</v>
      </c>
      <c r="AG665">
        <v>45</v>
      </c>
      <c r="AH665">
        <v>412</v>
      </c>
      <c r="AI665" s="2">
        <f>Table__192.168.3.138DYLAgingReport[[#This Row],[NetAmount]]-Table__192.168.3.138DYLAgingReport[[#This Row],[Paid]]</f>
        <v>54674</v>
      </c>
    </row>
    <row r="666" spans="1:35">
      <c r="A666" t="s">
        <v>1605</v>
      </c>
      <c r="B666" s="1">
        <v>40919</v>
      </c>
      <c r="C666" s="1">
        <v>40919</v>
      </c>
      <c r="D666" t="s">
        <v>236</v>
      </c>
      <c r="E666">
        <v>1786</v>
      </c>
      <c r="F666">
        <v>0</v>
      </c>
      <c r="G666">
        <v>0</v>
      </c>
      <c r="H666">
        <v>0</v>
      </c>
      <c r="I666">
        <v>350</v>
      </c>
      <c r="J666">
        <v>1786</v>
      </c>
      <c r="K666" t="s">
        <v>1606</v>
      </c>
      <c r="L666" s="1">
        <v>40918</v>
      </c>
      <c r="M666" t="s">
        <v>1607</v>
      </c>
      <c r="N666" t="s">
        <v>36</v>
      </c>
      <c r="O666" t="s">
        <v>37</v>
      </c>
      <c r="P666" t="s">
        <v>373</v>
      </c>
      <c r="Q666" t="s">
        <v>39</v>
      </c>
      <c r="R666" t="s">
        <v>40</v>
      </c>
      <c r="S666">
        <v>0</v>
      </c>
      <c r="U666" t="s">
        <v>41</v>
      </c>
      <c r="V666" t="s">
        <v>42</v>
      </c>
      <c r="W666" t="s">
        <v>509</v>
      </c>
      <c r="X666" t="s">
        <v>74</v>
      </c>
      <c r="Y666" t="b">
        <v>0</v>
      </c>
      <c r="Z666" t="b">
        <v>0</v>
      </c>
      <c r="AA666" t="b">
        <v>0</v>
      </c>
      <c r="AC666" s="1"/>
      <c r="AF666">
        <v>0</v>
      </c>
      <c r="AG666">
        <v>45</v>
      </c>
      <c r="AH666">
        <v>395</v>
      </c>
      <c r="AI666" s="2">
        <f>Table__192.168.3.138DYLAgingReport[[#This Row],[NetAmount]]-Table__192.168.3.138DYLAgingReport[[#This Row],[Paid]]</f>
        <v>1786</v>
      </c>
    </row>
    <row r="667" spans="1:35">
      <c r="A667" t="s">
        <v>1608</v>
      </c>
      <c r="B667" s="1">
        <v>40918</v>
      </c>
      <c r="C667" s="1">
        <v>40963</v>
      </c>
      <c r="D667" t="s">
        <v>239</v>
      </c>
      <c r="E667">
        <v>325102</v>
      </c>
      <c r="F667">
        <v>52016</v>
      </c>
      <c r="G667">
        <v>0</v>
      </c>
      <c r="H667">
        <v>0</v>
      </c>
      <c r="I667">
        <v>350</v>
      </c>
      <c r="J667">
        <v>377118</v>
      </c>
      <c r="K667" t="s">
        <v>1609</v>
      </c>
      <c r="L667" s="1">
        <v>40918</v>
      </c>
      <c r="N667" t="s">
        <v>36</v>
      </c>
      <c r="O667" t="s">
        <v>37</v>
      </c>
      <c r="P667" t="s">
        <v>376</v>
      </c>
      <c r="Q667" t="s">
        <v>39</v>
      </c>
      <c r="R667" t="s">
        <v>40</v>
      </c>
      <c r="S667">
        <v>0</v>
      </c>
      <c r="U667" t="s">
        <v>41</v>
      </c>
      <c r="V667" t="s">
        <v>42</v>
      </c>
      <c r="X667" t="s">
        <v>74</v>
      </c>
      <c r="Y667" t="b">
        <v>0</v>
      </c>
      <c r="Z667" t="b">
        <v>0</v>
      </c>
      <c r="AC667" s="1"/>
      <c r="AF667">
        <v>0</v>
      </c>
      <c r="AG667">
        <v>45</v>
      </c>
      <c r="AH667">
        <v>395</v>
      </c>
      <c r="AI667" s="2">
        <f>Table__192.168.3.138DYLAgingReport[[#This Row],[NetAmount]]-Table__192.168.3.138DYLAgingReport[[#This Row],[Paid]]</f>
        <v>377118</v>
      </c>
    </row>
    <row r="668" spans="1:35">
      <c r="A668" t="s">
        <v>1610</v>
      </c>
      <c r="B668" s="1">
        <v>40912</v>
      </c>
      <c r="C668" s="1">
        <v>40957</v>
      </c>
      <c r="D668" t="s">
        <v>201</v>
      </c>
      <c r="E668">
        <v>71310</v>
      </c>
      <c r="F668">
        <v>11410</v>
      </c>
      <c r="G668">
        <v>0</v>
      </c>
      <c r="H668">
        <v>0</v>
      </c>
      <c r="I668">
        <v>356</v>
      </c>
      <c r="J668">
        <v>82720</v>
      </c>
      <c r="K668" t="s">
        <v>1611</v>
      </c>
      <c r="L668" s="1">
        <v>40912</v>
      </c>
      <c r="N668" t="s">
        <v>36</v>
      </c>
      <c r="O668" t="s">
        <v>37</v>
      </c>
      <c r="P668" t="s">
        <v>338</v>
      </c>
      <c r="Q668" t="s">
        <v>39</v>
      </c>
      <c r="R668" t="s">
        <v>40</v>
      </c>
      <c r="S668">
        <v>0</v>
      </c>
      <c r="U668" t="s">
        <v>41</v>
      </c>
      <c r="V668" t="s">
        <v>42</v>
      </c>
      <c r="X668" t="s">
        <v>74</v>
      </c>
      <c r="Y668" t="b">
        <v>0</v>
      </c>
      <c r="Z668" t="b">
        <v>0</v>
      </c>
      <c r="AB668" t="s">
        <v>485</v>
      </c>
      <c r="AC668" s="1">
        <v>41236</v>
      </c>
      <c r="AF668">
        <v>0</v>
      </c>
      <c r="AG668">
        <v>45</v>
      </c>
      <c r="AH668">
        <v>401</v>
      </c>
      <c r="AI668" s="2">
        <f>Table__192.168.3.138DYLAgingReport[[#This Row],[NetAmount]]-Table__192.168.3.138DYLAgingReport[[#This Row],[Paid]]</f>
        <v>82720</v>
      </c>
    </row>
    <row r="669" spans="1:35">
      <c r="A669" t="s">
        <v>1612</v>
      </c>
      <c r="B669" s="1">
        <v>40915</v>
      </c>
      <c r="C669" s="1">
        <v>40960</v>
      </c>
      <c r="D669" t="s">
        <v>201</v>
      </c>
      <c r="E669">
        <v>23770</v>
      </c>
      <c r="F669">
        <v>3803</v>
      </c>
      <c r="G669">
        <v>0</v>
      </c>
      <c r="H669">
        <v>0</v>
      </c>
      <c r="I669">
        <v>353</v>
      </c>
      <c r="J669">
        <v>27573</v>
      </c>
      <c r="K669" t="s">
        <v>1613</v>
      </c>
      <c r="L669" s="1">
        <v>40915</v>
      </c>
      <c r="N669" t="s">
        <v>36</v>
      </c>
      <c r="O669" t="s">
        <v>37</v>
      </c>
      <c r="P669" t="s">
        <v>338</v>
      </c>
      <c r="Q669" t="s">
        <v>39</v>
      </c>
      <c r="R669" t="s">
        <v>40</v>
      </c>
      <c r="S669">
        <v>0</v>
      </c>
      <c r="U669" t="s">
        <v>41</v>
      </c>
      <c r="V669" t="s">
        <v>42</v>
      </c>
      <c r="X669" t="s">
        <v>74</v>
      </c>
      <c r="Y669" t="b">
        <v>0</v>
      </c>
      <c r="Z669" t="b">
        <v>0</v>
      </c>
      <c r="AB669" t="s">
        <v>485</v>
      </c>
      <c r="AC669" s="1">
        <v>41236</v>
      </c>
      <c r="AF669">
        <v>0</v>
      </c>
      <c r="AG669">
        <v>45</v>
      </c>
      <c r="AH669">
        <v>398</v>
      </c>
      <c r="AI669" s="2">
        <f>Table__192.168.3.138DYLAgingReport[[#This Row],[NetAmount]]-Table__192.168.3.138DYLAgingReport[[#This Row],[Paid]]</f>
        <v>27573</v>
      </c>
    </row>
    <row r="670" spans="1:35">
      <c r="A670" t="s">
        <v>1614</v>
      </c>
      <c r="B670" s="1">
        <v>40918</v>
      </c>
      <c r="C670" s="1">
        <v>40963</v>
      </c>
      <c r="D670" t="s">
        <v>201</v>
      </c>
      <c r="E670">
        <v>28060</v>
      </c>
      <c r="F670">
        <v>4490</v>
      </c>
      <c r="G670">
        <v>0</v>
      </c>
      <c r="H670">
        <v>0</v>
      </c>
      <c r="I670">
        <v>340</v>
      </c>
      <c r="J670">
        <v>32550</v>
      </c>
      <c r="K670" t="s">
        <v>1615</v>
      </c>
      <c r="L670" s="1">
        <v>40928</v>
      </c>
      <c r="N670" t="s">
        <v>36</v>
      </c>
      <c r="O670" t="s">
        <v>37</v>
      </c>
      <c r="P670" t="s">
        <v>338</v>
      </c>
      <c r="Q670" t="s">
        <v>39</v>
      </c>
      <c r="R670" t="s">
        <v>40</v>
      </c>
      <c r="S670">
        <v>0</v>
      </c>
      <c r="U670" t="s">
        <v>41</v>
      </c>
      <c r="V670" t="s">
        <v>42</v>
      </c>
      <c r="X670" t="s">
        <v>74</v>
      </c>
      <c r="Y670" t="b">
        <v>0</v>
      </c>
      <c r="Z670" t="b">
        <v>0</v>
      </c>
      <c r="AB670" t="s">
        <v>485</v>
      </c>
      <c r="AC670" s="1">
        <v>41236</v>
      </c>
      <c r="AF670">
        <v>0</v>
      </c>
      <c r="AG670">
        <v>45</v>
      </c>
      <c r="AH670">
        <v>385</v>
      </c>
      <c r="AI670" s="2">
        <f>Table__192.168.3.138DYLAgingReport[[#This Row],[NetAmount]]-Table__192.168.3.138DYLAgingReport[[#This Row],[Paid]]</f>
        <v>32550</v>
      </c>
    </row>
    <row r="671" spans="1:35">
      <c r="A671" t="s">
        <v>1616</v>
      </c>
      <c r="B671" s="1">
        <v>40920</v>
      </c>
      <c r="C671" s="1">
        <v>40965</v>
      </c>
      <c r="D671" t="s">
        <v>201</v>
      </c>
      <c r="E671">
        <v>95080</v>
      </c>
      <c r="F671">
        <v>15213</v>
      </c>
      <c r="G671">
        <v>0</v>
      </c>
      <c r="H671">
        <v>0</v>
      </c>
      <c r="I671">
        <v>348</v>
      </c>
      <c r="J671">
        <v>110293</v>
      </c>
      <c r="K671" t="s">
        <v>1617</v>
      </c>
      <c r="L671" s="1">
        <v>40920</v>
      </c>
      <c r="N671" t="s">
        <v>36</v>
      </c>
      <c r="O671" t="s">
        <v>37</v>
      </c>
      <c r="P671" t="s">
        <v>338</v>
      </c>
      <c r="Q671" t="s">
        <v>39</v>
      </c>
      <c r="R671" t="s">
        <v>40</v>
      </c>
      <c r="S671">
        <v>0</v>
      </c>
      <c r="U671" t="s">
        <v>41</v>
      </c>
      <c r="V671" t="s">
        <v>42</v>
      </c>
      <c r="X671" t="s">
        <v>74</v>
      </c>
      <c r="Y671" t="b">
        <v>0</v>
      </c>
      <c r="Z671" t="b">
        <v>0</v>
      </c>
      <c r="AB671" t="s">
        <v>485</v>
      </c>
      <c r="AC671" s="1">
        <v>41236</v>
      </c>
      <c r="AF671">
        <v>0</v>
      </c>
      <c r="AG671">
        <v>45</v>
      </c>
      <c r="AH671">
        <v>393</v>
      </c>
      <c r="AI671" s="2">
        <f>Table__192.168.3.138DYLAgingReport[[#This Row],[NetAmount]]-Table__192.168.3.138DYLAgingReport[[#This Row],[Paid]]</f>
        <v>110293</v>
      </c>
    </row>
    <row r="672" spans="1:35">
      <c r="A672" t="s">
        <v>1618</v>
      </c>
      <c r="B672" s="1">
        <v>40920</v>
      </c>
      <c r="C672" s="1">
        <v>40965</v>
      </c>
      <c r="D672" t="s">
        <v>201</v>
      </c>
      <c r="E672">
        <v>123464</v>
      </c>
      <c r="F672">
        <v>19754</v>
      </c>
      <c r="G672">
        <v>0</v>
      </c>
      <c r="H672">
        <v>0</v>
      </c>
      <c r="I672">
        <v>348</v>
      </c>
      <c r="J672">
        <v>143218</v>
      </c>
      <c r="K672" t="s">
        <v>1619</v>
      </c>
      <c r="L672" s="1">
        <v>40920</v>
      </c>
      <c r="N672" t="s">
        <v>36</v>
      </c>
      <c r="O672" t="s">
        <v>37</v>
      </c>
      <c r="P672" t="s">
        <v>338</v>
      </c>
      <c r="Q672" t="s">
        <v>39</v>
      </c>
      <c r="R672" t="s">
        <v>40</v>
      </c>
      <c r="S672">
        <v>0</v>
      </c>
      <c r="U672" t="s">
        <v>41</v>
      </c>
      <c r="V672" t="s">
        <v>42</v>
      </c>
      <c r="X672" t="s">
        <v>74</v>
      </c>
      <c r="Y672" t="b">
        <v>0</v>
      </c>
      <c r="Z672" t="b">
        <v>0</v>
      </c>
      <c r="AB672" t="s">
        <v>485</v>
      </c>
      <c r="AC672" s="1">
        <v>41236</v>
      </c>
      <c r="AF672">
        <v>0</v>
      </c>
      <c r="AG672">
        <v>45</v>
      </c>
      <c r="AH672">
        <v>393</v>
      </c>
      <c r="AI672" s="2">
        <f>Table__192.168.3.138DYLAgingReport[[#This Row],[NetAmount]]-Table__192.168.3.138DYLAgingReport[[#This Row],[Paid]]</f>
        <v>143218</v>
      </c>
    </row>
    <row r="673" spans="1:35">
      <c r="A673" t="s">
        <v>1620</v>
      </c>
      <c r="B673" s="1">
        <v>40911</v>
      </c>
      <c r="C673" s="1">
        <v>40956</v>
      </c>
      <c r="D673" t="s">
        <v>219</v>
      </c>
      <c r="E673">
        <v>30580</v>
      </c>
      <c r="F673">
        <v>4893</v>
      </c>
      <c r="G673">
        <v>0</v>
      </c>
      <c r="H673">
        <v>0</v>
      </c>
      <c r="I673">
        <v>357</v>
      </c>
      <c r="J673">
        <v>35473</v>
      </c>
      <c r="K673" t="s">
        <v>1621</v>
      </c>
      <c r="L673" s="1">
        <v>40911</v>
      </c>
      <c r="N673" t="s">
        <v>36</v>
      </c>
      <c r="O673" t="s">
        <v>37</v>
      </c>
      <c r="P673" t="s">
        <v>356</v>
      </c>
      <c r="Q673" t="s">
        <v>39</v>
      </c>
      <c r="R673" t="s">
        <v>40</v>
      </c>
      <c r="S673">
        <v>0</v>
      </c>
      <c r="U673" t="s">
        <v>41</v>
      </c>
      <c r="V673" t="s">
        <v>42</v>
      </c>
      <c r="X673" t="s">
        <v>74</v>
      </c>
      <c r="Y673" t="b">
        <v>0</v>
      </c>
      <c r="Z673" t="b">
        <v>0</v>
      </c>
      <c r="AB673" t="s">
        <v>462</v>
      </c>
      <c r="AC673" s="1">
        <v>41115</v>
      </c>
      <c r="AF673">
        <v>0</v>
      </c>
      <c r="AG673">
        <v>45</v>
      </c>
      <c r="AH673">
        <v>402</v>
      </c>
      <c r="AI673" s="2">
        <f>Table__192.168.3.138DYLAgingReport[[#This Row],[NetAmount]]-Table__192.168.3.138DYLAgingReport[[#This Row],[Paid]]</f>
        <v>35473</v>
      </c>
    </row>
    <row r="674" spans="1:35">
      <c r="A674" t="s">
        <v>1622</v>
      </c>
      <c r="B674" s="1">
        <v>40911</v>
      </c>
      <c r="C674" s="1">
        <v>40956</v>
      </c>
      <c r="D674" t="s">
        <v>219</v>
      </c>
      <c r="E674">
        <v>11640</v>
      </c>
      <c r="F674">
        <v>1862</v>
      </c>
      <c r="G674">
        <v>0</v>
      </c>
      <c r="H674">
        <v>0</v>
      </c>
      <c r="I674">
        <v>357</v>
      </c>
      <c r="J674">
        <v>13502</v>
      </c>
      <c r="K674" t="s">
        <v>1623</v>
      </c>
      <c r="L674" s="1">
        <v>40911</v>
      </c>
      <c r="N674" t="s">
        <v>36</v>
      </c>
      <c r="O674" t="s">
        <v>37</v>
      </c>
      <c r="P674" t="s">
        <v>356</v>
      </c>
      <c r="Q674" t="s">
        <v>39</v>
      </c>
      <c r="R674" t="s">
        <v>40</v>
      </c>
      <c r="S674">
        <v>0</v>
      </c>
      <c r="U674" t="s">
        <v>41</v>
      </c>
      <c r="V674" t="s">
        <v>42</v>
      </c>
      <c r="X674" t="s">
        <v>74</v>
      </c>
      <c r="Y674" t="b">
        <v>0</v>
      </c>
      <c r="Z674" t="b">
        <v>0</v>
      </c>
      <c r="AB674" t="s">
        <v>462</v>
      </c>
      <c r="AC674" s="1">
        <v>41115</v>
      </c>
      <c r="AF674">
        <v>0</v>
      </c>
      <c r="AG674">
        <v>45</v>
      </c>
      <c r="AH674">
        <v>402</v>
      </c>
      <c r="AI674" s="2">
        <f>Table__192.168.3.138DYLAgingReport[[#This Row],[NetAmount]]-Table__192.168.3.138DYLAgingReport[[#This Row],[Paid]]</f>
        <v>13502</v>
      </c>
    </row>
    <row r="675" spans="1:35">
      <c r="A675" t="s">
        <v>1624</v>
      </c>
      <c r="B675" s="1">
        <v>40911</v>
      </c>
      <c r="C675" s="1">
        <v>40956</v>
      </c>
      <c r="D675" t="s">
        <v>219</v>
      </c>
      <c r="E675">
        <v>26640</v>
      </c>
      <c r="F675">
        <v>4262</v>
      </c>
      <c r="G675">
        <v>0</v>
      </c>
      <c r="H675">
        <v>0</v>
      </c>
      <c r="I675">
        <v>357</v>
      </c>
      <c r="J675">
        <v>30902</v>
      </c>
      <c r="K675" t="s">
        <v>1625</v>
      </c>
      <c r="L675" s="1">
        <v>40911</v>
      </c>
      <c r="N675" t="s">
        <v>36</v>
      </c>
      <c r="O675" t="s">
        <v>37</v>
      </c>
      <c r="P675" t="s">
        <v>356</v>
      </c>
      <c r="Q675" t="s">
        <v>39</v>
      </c>
      <c r="R675" t="s">
        <v>40</v>
      </c>
      <c r="S675">
        <v>0</v>
      </c>
      <c r="U675" t="s">
        <v>41</v>
      </c>
      <c r="V675" t="s">
        <v>42</v>
      </c>
      <c r="X675" t="s">
        <v>74</v>
      </c>
      <c r="Y675" t="b">
        <v>0</v>
      </c>
      <c r="Z675" t="b">
        <v>0</v>
      </c>
      <c r="AB675" t="s">
        <v>462</v>
      </c>
      <c r="AC675" s="1">
        <v>41115</v>
      </c>
      <c r="AF675">
        <v>0</v>
      </c>
      <c r="AG675">
        <v>45</v>
      </c>
      <c r="AH675">
        <v>402</v>
      </c>
      <c r="AI675" s="2">
        <f>Table__192.168.3.138DYLAgingReport[[#This Row],[NetAmount]]-Table__192.168.3.138DYLAgingReport[[#This Row],[Paid]]</f>
        <v>30902</v>
      </c>
    </row>
    <row r="676" spans="1:35">
      <c r="A676" t="s">
        <v>1626</v>
      </c>
      <c r="B676" s="1">
        <v>40911</v>
      </c>
      <c r="C676" s="1">
        <v>40956</v>
      </c>
      <c r="D676" t="s">
        <v>219</v>
      </c>
      <c r="E676">
        <v>39200</v>
      </c>
      <c r="F676">
        <v>6272</v>
      </c>
      <c r="G676">
        <v>0</v>
      </c>
      <c r="H676">
        <v>0</v>
      </c>
      <c r="I676">
        <v>357</v>
      </c>
      <c r="J676">
        <v>45472</v>
      </c>
      <c r="K676" t="s">
        <v>1627</v>
      </c>
      <c r="L676" s="1">
        <v>40911</v>
      </c>
      <c r="N676" t="s">
        <v>36</v>
      </c>
      <c r="O676" t="s">
        <v>37</v>
      </c>
      <c r="P676" t="s">
        <v>356</v>
      </c>
      <c r="Q676" t="s">
        <v>39</v>
      </c>
      <c r="R676" t="s">
        <v>40</v>
      </c>
      <c r="S676">
        <v>0</v>
      </c>
      <c r="U676" t="s">
        <v>41</v>
      </c>
      <c r="V676" t="s">
        <v>42</v>
      </c>
      <c r="X676" t="s">
        <v>74</v>
      </c>
      <c r="Y676" t="b">
        <v>0</v>
      </c>
      <c r="Z676" t="b">
        <v>0</v>
      </c>
      <c r="AB676" t="s">
        <v>462</v>
      </c>
      <c r="AC676" s="1">
        <v>41115</v>
      </c>
      <c r="AF676">
        <v>0</v>
      </c>
      <c r="AG676">
        <v>45</v>
      </c>
      <c r="AH676">
        <v>402</v>
      </c>
      <c r="AI676" s="2">
        <f>Table__192.168.3.138DYLAgingReport[[#This Row],[NetAmount]]-Table__192.168.3.138DYLAgingReport[[#This Row],[Paid]]</f>
        <v>45472</v>
      </c>
    </row>
    <row r="677" spans="1:35">
      <c r="A677" t="s">
        <v>1628</v>
      </c>
      <c r="B677" s="1">
        <v>40912</v>
      </c>
      <c r="C677" s="1">
        <v>40957</v>
      </c>
      <c r="D677" t="s">
        <v>219</v>
      </c>
      <c r="E677">
        <v>98953</v>
      </c>
      <c r="F677">
        <v>15832</v>
      </c>
      <c r="G677">
        <v>0</v>
      </c>
      <c r="H677">
        <v>0</v>
      </c>
      <c r="I677">
        <v>356</v>
      </c>
      <c r="J677">
        <v>114785</v>
      </c>
      <c r="K677" t="s">
        <v>1629</v>
      </c>
      <c r="L677" s="1">
        <v>40912</v>
      </c>
      <c r="N677" t="s">
        <v>36</v>
      </c>
      <c r="O677" t="s">
        <v>37</v>
      </c>
      <c r="P677" t="s">
        <v>356</v>
      </c>
      <c r="Q677" t="s">
        <v>39</v>
      </c>
      <c r="R677" t="s">
        <v>40</v>
      </c>
      <c r="S677">
        <v>0</v>
      </c>
      <c r="U677" t="s">
        <v>41</v>
      </c>
      <c r="V677" t="s">
        <v>42</v>
      </c>
      <c r="X677" t="s">
        <v>74</v>
      </c>
      <c r="Y677" t="b">
        <v>0</v>
      </c>
      <c r="Z677" t="b">
        <v>0</v>
      </c>
      <c r="AB677" t="s">
        <v>462</v>
      </c>
      <c r="AC677" s="1">
        <v>41115</v>
      </c>
      <c r="AF677">
        <v>0</v>
      </c>
      <c r="AG677">
        <v>45</v>
      </c>
      <c r="AH677">
        <v>401</v>
      </c>
      <c r="AI677" s="2">
        <f>Table__192.168.3.138DYLAgingReport[[#This Row],[NetAmount]]-Table__192.168.3.138DYLAgingReport[[#This Row],[Paid]]</f>
        <v>114785</v>
      </c>
    </row>
    <row r="678" spans="1:35">
      <c r="A678" t="s">
        <v>1630</v>
      </c>
      <c r="B678" s="1">
        <v>40915</v>
      </c>
      <c r="C678" s="1">
        <v>40960</v>
      </c>
      <c r="D678" t="s">
        <v>219</v>
      </c>
      <c r="E678">
        <v>26420</v>
      </c>
      <c r="F678">
        <v>4227</v>
      </c>
      <c r="G678">
        <v>0</v>
      </c>
      <c r="H678">
        <v>0</v>
      </c>
      <c r="I678">
        <v>353</v>
      </c>
      <c r="J678">
        <v>30647</v>
      </c>
      <c r="K678" t="s">
        <v>1631</v>
      </c>
      <c r="L678" s="1">
        <v>40915</v>
      </c>
      <c r="N678" t="s">
        <v>36</v>
      </c>
      <c r="O678" t="s">
        <v>37</v>
      </c>
      <c r="P678" t="s">
        <v>356</v>
      </c>
      <c r="Q678" t="s">
        <v>39</v>
      </c>
      <c r="R678" t="s">
        <v>40</v>
      </c>
      <c r="S678">
        <v>0</v>
      </c>
      <c r="U678" t="s">
        <v>41</v>
      </c>
      <c r="V678" t="s">
        <v>42</v>
      </c>
      <c r="X678" t="s">
        <v>74</v>
      </c>
      <c r="Y678" t="b">
        <v>0</v>
      </c>
      <c r="Z678" t="b">
        <v>0</v>
      </c>
      <c r="AB678" t="s">
        <v>462</v>
      </c>
      <c r="AC678" s="1">
        <v>41115</v>
      </c>
      <c r="AF678">
        <v>0</v>
      </c>
      <c r="AG678">
        <v>45</v>
      </c>
      <c r="AH678">
        <v>398</v>
      </c>
      <c r="AI678" s="2">
        <f>Table__192.168.3.138DYLAgingReport[[#This Row],[NetAmount]]-Table__192.168.3.138DYLAgingReport[[#This Row],[Paid]]</f>
        <v>30647</v>
      </c>
    </row>
    <row r="679" spans="1:35">
      <c r="A679" t="s">
        <v>1632</v>
      </c>
      <c r="B679" s="1">
        <v>40915</v>
      </c>
      <c r="C679" s="1">
        <v>40960</v>
      </c>
      <c r="D679" t="s">
        <v>219</v>
      </c>
      <c r="E679">
        <v>19790</v>
      </c>
      <c r="F679">
        <v>3166</v>
      </c>
      <c r="G679">
        <v>0</v>
      </c>
      <c r="H679">
        <v>0</v>
      </c>
      <c r="I679">
        <v>353</v>
      </c>
      <c r="J679">
        <v>22956</v>
      </c>
      <c r="K679" t="s">
        <v>1633</v>
      </c>
      <c r="L679" s="1">
        <v>40915</v>
      </c>
      <c r="N679" t="s">
        <v>36</v>
      </c>
      <c r="O679" t="s">
        <v>37</v>
      </c>
      <c r="P679" t="s">
        <v>356</v>
      </c>
      <c r="Q679" t="s">
        <v>39</v>
      </c>
      <c r="R679" t="s">
        <v>40</v>
      </c>
      <c r="S679">
        <v>0</v>
      </c>
      <c r="U679" t="s">
        <v>41</v>
      </c>
      <c r="V679" t="s">
        <v>42</v>
      </c>
      <c r="X679" t="s">
        <v>74</v>
      </c>
      <c r="Y679" t="b">
        <v>0</v>
      </c>
      <c r="Z679" t="b">
        <v>0</v>
      </c>
      <c r="AB679" t="s">
        <v>462</v>
      </c>
      <c r="AC679" s="1">
        <v>41115</v>
      </c>
      <c r="AF679">
        <v>0</v>
      </c>
      <c r="AG679">
        <v>45</v>
      </c>
      <c r="AH679">
        <v>398</v>
      </c>
      <c r="AI679" s="2">
        <f>Table__192.168.3.138DYLAgingReport[[#This Row],[NetAmount]]-Table__192.168.3.138DYLAgingReport[[#This Row],[Paid]]</f>
        <v>22956</v>
      </c>
    </row>
    <row r="680" spans="1:35">
      <c r="A680" t="s">
        <v>1634</v>
      </c>
      <c r="B680" s="1">
        <v>40918</v>
      </c>
      <c r="C680" s="1">
        <v>40963</v>
      </c>
      <c r="D680" t="s">
        <v>219</v>
      </c>
      <c r="E680">
        <v>51706</v>
      </c>
      <c r="F680">
        <v>8273</v>
      </c>
      <c r="G680">
        <v>0</v>
      </c>
      <c r="H680">
        <v>0</v>
      </c>
      <c r="I680">
        <v>350</v>
      </c>
      <c r="J680">
        <v>59979</v>
      </c>
      <c r="K680" t="s">
        <v>1635</v>
      </c>
      <c r="L680" s="1">
        <v>40918</v>
      </c>
      <c r="N680" t="s">
        <v>36</v>
      </c>
      <c r="O680" t="s">
        <v>37</v>
      </c>
      <c r="P680" t="s">
        <v>356</v>
      </c>
      <c r="Q680" t="s">
        <v>39</v>
      </c>
      <c r="R680" t="s">
        <v>40</v>
      </c>
      <c r="S680">
        <v>0</v>
      </c>
      <c r="U680" t="s">
        <v>41</v>
      </c>
      <c r="V680" t="s">
        <v>42</v>
      </c>
      <c r="X680" t="s">
        <v>74</v>
      </c>
      <c r="Y680" t="b">
        <v>0</v>
      </c>
      <c r="Z680" t="b">
        <v>0</v>
      </c>
      <c r="AB680" t="s">
        <v>462</v>
      </c>
      <c r="AC680" s="1">
        <v>41115</v>
      </c>
      <c r="AF680">
        <v>0</v>
      </c>
      <c r="AG680">
        <v>45</v>
      </c>
      <c r="AH680">
        <v>395</v>
      </c>
      <c r="AI680" s="2">
        <f>Table__192.168.3.138DYLAgingReport[[#This Row],[NetAmount]]-Table__192.168.3.138DYLAgingReport[[#This Row],[Paid]]</f>
        <v>59979</v>
      </c>
    </row>
    <row r="681" spans="1:35">
      <c r="A681" t="s">
        <v>1636</v>
      </c>
      <c r="B681" s="1">
        <v>40915</v>
      </c>
      <c r="C681" s="1">
        <v>40960</v>
      </c>
      <c r="D681" t="s">
        <v>219</v>
      </c>
      <c r="E681">
        <v>1662</v>
      </c>
      <c r="F681">
        <v>266</v>
      </c>
      <c r="G681">
        <v>0</v>
      </c>
      <c r="H681">
        <v>0</v>
      </c>
      <c r="I681">
        <v>353</v>
      </c>
      <c r="J681">
        <v>1928</v>
      </c>
      <c r="K681" t="s">
        <v>1637</v>
      </c>
      <c r="L681" s="1">
        <v>40915</v>
      </c>
      <c r="N681" t="s">
        <v>36</v>
      </c>
      <c r="O681" t="s">
        <v>37</v>
      </c>
      <c r="P681" t="s">
        <v>356</v>
      </c>
      <c r="Q681" t="s">
        <v>39</v>
      </c>
      <c r="R681" t="s">
        <v>40</v>
      </c>
      <c r="S681">
        <v>0</v>
      </c>
      <c r="U681" t="s">
        <v>41</v>
      </c>
      <c r="V681" t="s">
        <v>42</v>
      </c>
      <c r="X681" t="s">
        <v>74</v>
      </c>
      <c r="Y681" t="b">
        <v>0</v>
      </c>
      <c r="Z681" t="b">
        <v>0</v>
      </c>
      <c r="AB681" t="s">
        <v>462</v>
      </c>
      <c r="AC681" s="1">
        <v>41115</v>
      </c>
      <c r="AF681">
        <v>0</v>
      </c>
      <c r="AG681">
        <v>45</v>
      </c>
      <c r="AH681">
        <v>398</v>
      </c>
      <c r="AI681" s="2">
        <f>Table__192.168.3.138DYLAgingReport[[#This Row],[NetAmount]]-Table__192.168.3.138DYLAgingReport[[#This Row],[Paid]]</f>
        <v>1928</v>
      </c>
    </row>
    <row r="682" spans="1:35">
      <c r="A682" t="s">
        <v>1638</v>
      </c>
      <c r="B682" s="1">
        <v>40917</v>
      </c>
      <c r="C682" s="1">
        <v>40962</v>
      </c>
      <c r="D682" t="s">
        <v>219</v>
      </c>
      <c r="E682">
        <v>75266</v>
      </c>
      <c r="F682">
        <v>12042</v>
      </c>
      <c r="G682">
        <v>0</v>
      </c>
      <c r="H682">
        <v>0</v>
      </c>
      <c r="I682">
        <v>353</v>
      </c>
      <c r="J682">
        <v>87308</v>
      </c>
      <c r="K682" t="s">
        <v>1639</v>
      </c>
      <c r="L682" s="1">
        <v>40915</v>
      </c>
      <c r="N682" t="s">
        <v>36</v>
      </c>
      <c r="O682" t="s">
        <v>37</v>
      </c>
      <c r="P682" t="s">
        <v>356</v>
      </c>
      <c r="Q682" t="s">
        <v>39</v>
      </c>
      <c r="R682" t="s">
        <v>40</v>
      </c>
      <c r="S682">
        <v>0</v>
      </c>
      <c r="U682" t="s">
        <v>41</v>
      </c>
      <c r="V682" t="s">
        <v>42</v>
      </c>
      <c r="X682" t="s">
        <v>74</v>
      </c>
      <c r="Y682" t="b">
        <v>0</v>
      </c>
      <c r="Z682" t="b">
        <v>0</v>
      </c>
      <c r="AB682" t="s">
        <v>462</v>
      </c>
      <c r="AC682" s="1">
        <v>41115</v>
      </c>
      <c r="AF682">
        <v>0</v>
      </c>
      <c r="AG682">
        <v>45</v>
      </c>
      <c r="AH682">
        <v>398</v>
      </c>
      <c r="AI682" s="2">
        <f>Table__192.168.3.138DYLAgingReport[[#This Row],[NetAmount]]-Table__192.168.3.138DYLAgingReport[[#This Row],[Paid]]</f>
        <v>87308</v>
      </c>
    </row>
    <row r="683" spans="1:35">
      <c r="A683" t="s">
        <v>1640</v>
      </c>
      <c r="B683" s="1">
        <v>40931</v>
      </c>
      <c r="C683" s="1">
        <v>40976</v>
      </c>
      <c r="D683" t="s">
        <v>227</v>
      </c>
      <c r="E683">
        <v>154000</v>
      </c>
      <c r="F683">
        <v>24640</v>
      </c>
      <c r="G683">
        <v>0</v>
      </c>
      <c r="H683">
        <v>0</v>
      </c>
      <c r="I683">
        <v>337</v>
      </c>
      <c r="J683">
        <v>178640</v>
      </c>
      <c r="K683" t="s">
        <v>1641</v>
      </c>
      <c r="L683" s="1">
        <v>40931</v>
      </c>
      <c r="N683" t="s">
        <v>36</v>
      </c>
      <c r="O683" t="s">
        <v>37</v>
      </c>
      <c r="P683" t="s">
        <v>364</v>
      </c>
      <c r="Q683" t="s">
        <v>39</v>
      </c>
      <c r="R683" t="s">
        <v>40</v>
      </c>
      <c r="S683">
        <v>0</v>
      </c>
      <c r="U683" t="s">
        <v>41</v>
      </c>
      <c r="V683" t="s">
        <v>42</v>
      </c>
      <c r="X683" t="s">
        <v>74</v>
      </c>
      <c r="Y683" t="b">
        <v>0</v>
      </c>
      <c r="Z683" t="b">
        <v>0</v>
      </c>
      <c r="AB683" t="s">
        <v>504</v>
      </c>
      <c r="AC683" s="1">
        <v>41067</v>
      </c>
      <c r="AD683" t="s">
        <v>1642</v>
      </c>
      <c r="AE683" t="s">
        <v>506</v>
      </c>
      <c r="AF683">
        <v>77604</v>
      </c>
      <c r="AG683">
        <v>45</v>
      </c>
      <c r="AH683">
        <v>382</v>
      </c>
      <c r="AI683" s="2">
        <f>Table__192.168.3.138DYLAgingReport[[#This Row],[NetAmount]]-Table__192.168.3.138DYLAgingReport[[#This Row],[Paid]]</f>
        <v>101036</v>
      </c>
    </row>
    <row r="684" spans="1:35">
      <c r="A684" t="s">
        <v>1643</v>
      </c>
      <c r="B684" s="1">
        <v>40931</v>
      </c>
      <c r="C684" s="1">
        <v>40976</v>
      </c>
      <c r="D684" t="s">
        <v>227</v>
      </c>
      <c r="E684">
        <v>96250</v>
      </c>
      <c r="F684">
        <v>15400</v>
      </c>
      <c r="G684">
        <v>0</v>
      </c>
      <c r="H684">
        <v>0</v>
      </c>
      <c r="I684">
        <v>337</v>
      </c>
      <c r="J684">
        <v>111650</v>
      </c>
      <c r="K684" t="s">
        <v>1644</v>
      </c>
      <c r="L684" s="1">
        <v>40931</v>
      </c>
      <c r="N684" t="s">
        <v>36</v>
      </c>
      <c r="O684" t="s">
        <v>37</v>
      </c>
      <c r="P684" t="s">
        <v>364</v>
      </c>
      <c r="Q684" t="s">
        <v>39</v>
      </c>
      <c r="R684" t="s">
        <v>40</v>
      </c>
      <c r="S684">
        <v>0</v>
      </c>
      <c r="U684" t="s">
        <v>41</v>
      </c>
      <c r="V684" t="s">
        <v>42</v>
      </c>
      <c r="X684" t="s">
        <v>74</v>
      </c>
      <c r="Y684" t="b">
        <v>0</v>
      </c>
      <c r="Z684" t="b">
        <v>0</v>
      </c>
      <c r="AB684" t="s">
        <v>504</v>
      </c>
      <c r="AC684" s="1">
        <v>41067</v>
      </c>
      <c r="AD684" t="s">
        <v>1645</v>
      </c>
      <c r="AE684" t="s">
        <v>506</v>
      </c>
      <c r="AF684">
        <v>107147</v>
      </c>
      <c r="AG684">
        <v>45</v>
      </c>
      <c r="AH684">
        <v>382</v>
      </c>
      <c r="AI684" s="2">
        <f>Table__192.168.3.138DYLAgingReport[[#This Row],[NetAmount]]-Table__192.168.3.138DYLAgingReport[[#This Row],[Paid]]</f>
        <v>4503</v>
      </c>
    </row>
    <row r="685" spans="1:35">
      <c r="A685" t="s">
        <v>1646</v>
      </c>
      <c r="B685" s="1">
        <v>40928</v>
      </c>
      <c r="C685" s="1">
        <v>40973</v>
      </c>
      <c r="D685" t="s">
        <v>201</v>
      </c>
      <c r="E685">
        <v>28060</v>
      </c>
      <c r="F685">
        <v>4490</v>
      </c>
      <c r="G685">
        <v>0</v>
      </c>
      <c r="H685">
        <v>0</v>
      </c>
      <c r="I685">
        <v>350</v>
      </c>
      <c r="J685">
        <v>32550</v>
      </c>
      <c r="K685" t="s">
        <v>1647</v>
      </c>
      <c r="L685" s="1">
        <v>40918</v>
      </c>
      <c r="N685" t="s">
        <v>36</v>
      </c>
      <c r="O685" t="s">
        <v>37</v>
      </c>
      <c r="P685" t="s">
        <v>338</v>
      </c>
      <c r="Q685" t="s">
        <v>39</v>
      </c>
      <c r="R685" t="s">
        <v>40</v>
      </c>
      <c r="S685">
        <v>0</v>
      </c>
      <c r="U685" t="s">
        <v>41</v>
      </c>
      <c r="V685" t="s">
        <v>42</v>
      </c>
      <c r="X685" t="s">
        <v>74</v>
      </c>
      <c r="Y685" t="b">
        <v>0</v>
      </c>
      <c r="Z685" t="b">
        <v>0</v>
      </c>
      <c r="AB685" t="s">
        <v>485</v>
      </c>
      <c r="AC685" s="1">
        <v>41236</v>
      </c>
      <c r="AF685">
        <v>0</v>
      </c>
      <c r="AG685">
        <v>45</v>
      </c>
      <c r="AH685">
        <v>395</v>
      </c>
      <c r="AI685" s="2">
        <f>Table__192.168.3.138DYLAgingReport[[#This Row],[NetAmount]]-Table__192.168.3.138DYLAgingReport[[#This Row],[Paid]]</f>
        <v>32550</v>
      </c>
    </row>
    <row r="686" spans="1:35">
      <c r="A686" t="s">
        <v>1648</v>
      </c>
      <c r="B686" s="1">
        <v>40918</v>
      </c>
      <c r="C686" s="1">
        <v>40963</v>
      </c>
      <c r="D686" t="s">
        <v>239</v>
      </c>
      <c r="E686">
        <v>6000</v>
      </c>
      <c r="F686">
        <v>960</v>
      </c>
      <c r="G686">
        <v>0</v>
      </c>
      <c r="H686">
        <v>0</v>
      </c>
      <c r="I686">
        <v>350</v>
      </c>
      <c r="J686">
        <v>6960</v>
      </c>
      <c r="K686" t="s">
        <v>1649</v>
      </c>
      <c r="L686" s="1">
        <v>40918</v>
      </c>
      <c r="N686" t="s">
        <v>36</v>
      </c>
      <c r="O686" t="s">
        <v>37</v>
      </c>
      <c r="P686" t="s">
        <v>376</v>
      </c>
      <c r="Q686" t="s">
        <v>39</v>
      </c>
      <c r="R686" t="s">
        <v>40</v>
      </c>
      <c r="S686">
        <v>0</v>
      </c>
      <c r="U686" t="s">
        <v>41</v>
      </c>
      <c r="V686" t="s">
        <v>42</v>
      </c>
      <c r="X686" t="s">
        <v>74</v>
      </c>
      <c r="Y686" t="b">
        <v>0</v>
      </c>
      <c r="Z686" t="b">
        <v>0</v>
      </c>
      <c r="AC686" s="1"/>
      <c r="AF686">
        <v>0</v>
      </c>
      <c r="AG686">
        <v>45</v>
      </c>
      <c r="AH686">
        <v>395</v>
      </c>
      <c r="AI686" s="2">
        <f>Table__192.168.3.138DYLAgingReport[[#This Row],[NetAmount]]-Table__192.168.3.138DYLAgingReport[[#This Row],[Paid]]</f>
        <v>6960</v>
      </c>
    </row>
    <row r="687" spans="1:35">
      <c r="A687" t="s">
        <v>1650</v>
      </c>
      <c r="B687" s="1">
        <v>40918</v>
      </c>
      <c r="C687" s="1">
        <v>40963</v>
      </c>
      <c r="D687" t="s">
        <v>239</v>
      </c>
      <c r="E687">
        <v>10080</v>
      </c>
      <c r="F687">
        <v>1613</v>
      </c>
      <c r="G687">
        <v>0</v>
      </c>
      <c r="H687">
        <v>0</v>
      </c>
      <c r="I687">
        <v>350</v>
      </c>
      <c r="J687">
        <v>11693</v>
      </c>
      <c r="K687" t="s">
        <v>1651</v>
      </c>
      <c r="L687" s="1">
        <v>40918</v>
      </c>
      <c r="N687" t="s">
        <v>36</v>
      </c>
      <c r="O687" t="s">
        <v>37</v>
      </c>
      <c r="P687" t="s">
        <v>376</v>
      </c>
      <c r="Q687" t="s">
        <v>39</v>
      </c>
      <c r="R687" t="s">
        <v>40</v>
      </c>
      <c r="S687">
        <v>0</v>
      </c>
      <c r="U687" t="s">
        <v>41</v>
      </c>
      <c r="V687" t="s">
        <v>42</v>
      </c>
      <c r="X687" t="s">
        <v>74</v>
      </c>
      <c r="Y687" t="b">
        <v>0</v>
      </c>
      <c r="Z687" t="b">
        <v>0</v>
      </c>
      <c r="AC687" s="1"/>
      <c r="AF687">
        <v>0</v>
      </c>
      <c r="AG687">
        <v>45</v>
      </c>
      <c r="AH687">
        <v>395</v>
      </c>
      <c r="AI687" s="2">
        <f>Table__192.168.3.138DYLAgingReport[[#This Row],[NetAmount]]-Table__192.168.3.138DYLAgingReport[[#This Row],[Paid]]</f>
        <v>11693</v>
      </c>
    </row>
    <row r="688" spans="1:35">
      <c r="A688" t="s">
        <v>1652</v>
      </c>
      <c r="B688" s="1">
        <v>40925</v>
      </c>
      <c r="C688" s="1">
        <v>40970</v>
      </c>
      <c r="D688" t="s">
        <v>239</v>
      </c>
      <c r="E688">
        <v>381774</v>
      </c>
      <c r="F688">
        <v>61084</v>
      </c>
      <c r="G688">
        <v>0</v>
      </c>
      <c r="H688">
        <v>0</v>
      </c>
      <c r="I688">
        <v>343</v>
      </c>
      <c r="J688">
        <v>442858</v>
      </c>
      <c r="K688" t="s">
        <v>1653</v>
      </c>
      <c r="L688" s="1">
        <v>40925</v>
      </c>
      <c r="N688" t="s">
        <v>36</v>
      </c>
      <c r="O688" t="s">
        <v>37</v>
      </c>
      <c r="P688" t="s">
        <v>376</v>
      </c>
      <c r="Q688" t="s">
        <v>39</v>
      </c>
      <c r="R688" t="s">
        <v>40</v>
      </c>
      <c r="S688">
        <v>0</v>
      </c>
      <c r="U688" t="s">
        <v>41</v>
      </c>
      <c r="V688" t="s">
        <v>42</v>
      </c>
      <c r="X688" t="s">
        <v>74</v>
      </c>
      <c r="Y688" t="b">
        <v>0</v>
      </c>
      <c r="Z688" t="b">
        <v>0</v>
      </c>
      <c r="AC688" s="1"/>
      <c r="AF688">
        <v>0</v>
      </c>
      <c r="AG688">
        <v>45</v>
      </c>
      <c r="AH688">
        <v>388</v>
      </c>
      <c r="AI688" s="2">
        <f>Table__192.168.3.138DYLAgingReport[[#This Row],[NetAmount]]-Table__192.168.3.138DYLAgingReport[[#This Row],[Paid]]</f>
        <v>442858</v>
      </c>
    </row>
    <row r="689" spans="1:35">
      <c r="A689" t="s">
        <v>1654</v>
      </c>
      <c r="B689" s="1">
        <v>40932</v>
      </c>
      <c r="C689" s="1">
        <v>40977</v>
      </c>
      <c r="D689" t="s">
        <v>227</v>
      </c>
      <c r="E689">
        <v>69750</v>
      </c>
      <c r="F689">
        <v>11160</v>
      </c>
      <c r="G689">
        <v>0</v>
      </c>
      <c r="H689">
        <v>0</v>
      </c>
      <c r="I689">
        <v>335</v>
      </c>
      <c r="J689">
        <v>80910</v>
      </c>
      <c r="K689" t="s">
        <v>1655</v>
      </c>
      <c r="L689" s="1">
        <v>40933</v>
      </c>
      <c r="N689" t="s">
        <v>36</v>
      </c>
      <c r="O689" t="s">
        <v>37</v>
      </c>
      <c r="P689" t="s">
        <v>364</v>
      </c>
      <c r="Q689" t="s">
        <v>39</v>
      </c>
      <c r="R689" t="s">
        <v>40</v>
      </c>
      <c r="S689">
        <v>0</v>
      </c>
      <c r="U689" t="s">
        <v>41</v>
      </c>
      <c r="V689" t="s">
        <v>42</v>
      </c>
      <c r="X689" t="s">
        <v>74</v>
      </c>
      <c r="Y689" t="b">
        <v>0</v>
      </c>
      <c r="Z689" t="b">
        <v>0</v>
      </c>
      <c r="AB689" t="s">
        <v>504</v>
      </c>
      <c r="AC689" s="1">
        <v>41067</v>
      </c>
      <c r="AD689" t="s">
        <v>505</v>
      </c>
      <c r="AE689" t="s">
        <v>506</v>
      </c>
      <c r="AF689">
        <v>0</v>
      </c>
      <c r="AG689">
        <v>45</v>
      </c>
      <c r="AH689">
        <v>380</v>
      </c>
      <c r="AI689" s="2">
        <f>Table__192.168.3.138DYLAgingReport[[#This Row],[NetAmount]]-Table__192.168.3.138DYLAgingReport[[#This Row],[Paid]]</f>
        <v>80910</v>
      </c>
    </row>
    <row r="690" spans="1:35">
      <c r="A690" t="s">
        <v>1656</v>
      </c>
      <c r="B690" s="1">
        <v>40932</v>
      </c>
      <c r="C690" s="1">
        <v>40977</v>
      </c>
      <c r="D690" t="s">
        <v>227</v>
      </c>
      <c r="E690">
        <v>41800</v>
      </c>
      <c r="F690">
        <v>6688</v>
      </c>
      <c r="G690">
        <v>0</v>
      </c>
      <c r="H690">
        <v>0</v>
      </c>
      <c r="I690">
        <v>335</v>
      </c>
      <c r="J690">
        <v>48488</v>
      </c>
      <c r="K690" t="s">
        <v>1657</v>
      </c>
      <c r="L690" s="1">
        <v>40933</v>
      </c>
      <c r="N690" t="s">
        <v>36</v>
      </c>
      <c r="O690" t="s">
        <v>37</v>
      </c>
      <c r="P690" t="s">
        <v>364</v>
      </c>
      <c r="Q690" t="s">
        <v>39</v>
      </c>
      <c r="R690" t="s">
        <v>40</v>
      </c>
      <c r="S690">
        <v>0</v>
      </c>
      <c r="U690" t="s">
        <v>41</v>
      </c>
      <c r="V690" t="s">
        <v>42</v>
      </c>
      <c r="X690" t="s">
        <v>74</v>
      </c>
      <c r="Y690" t="b">
        <v>0</v>
      </c>
      <c r="Z690" t="b">
        <v>0</v>
      </c>
      <c r="AB690" t="s">
        <v>504</v>
      </c>
      <c r="AC690" s="1">
        <v>41067</v>
      </c>
      <c r="AD690" t="s">
        <v>505</v>
      </c>
      <c r="AE690" t="s">
        <v>506</v>
      </c>
      <c r="AF690">
        <v>45820</v>
      </c>
      <c r="AG690">
        <v>45</v>
      </c>
      <c r="AH690">
        <v>380</v>
      </c>
      <c r="AI690" s="2">
        <f>Table__192.168.3.138DYLAgingReport[[#This Row],[NetAmount]]-Table__192.168.3.138DYLAgingReport[[#This Row],[Paid]]</f>
        <v>2668</v>
      </c>
    </row>
    <row r="691" spans="1:35">
      <c r="A691" t="s">
        <v>1658</v>
      </c>
      <c r="B691" s="1">
        <v>40933</v>
      </c>
      <c r="C691" s="1">
        <v>40978</v>
      </c>
      <c r="D691" t="s">
        <v>227</v>
      </c>
      <c r="E691">
        <v>19800</v>
      </c>
      <c r="F691">
        <v>3168</v>
      </c>
      <c r="G691">
        <v>0</v>
      </c>
      <c r="H691">
        <v>0</v>
      </c>
      <c r="I691">
        <v>335</v>
      </c>
      <c r="J691">
        <v>22968</v>
      </c>
      <c r="K691" t="s">
        <v>1659</v>
      </c>
      <c r="L691" s="1">
        <v>40933</v>
      </c>
      <c r="N691" t="s">
        <v>36</v>
      </c>
      <c r="O691" t="s">
        <v>37</v>
      </c>
      <c r="P691" t="s">
        <v>364</v>
      </c>
      <c r="Q691" t="s">
        <v>39</v>
      </c>
      <c r="R691" t="s">
        <v>40</v>
      </c>
      <c r="S691">
        <v>0</v>
      </c>
      <c r="U691" t="s">
        <v>41</v>
      </c>
      <c r="V691" t="s">
        <v>42</v>
      </c>
      <c r="X691" t="s">
        <v>74</v>
      </c>
      <c r="Y691" t="b">
        <v>0</v>
      </c>
      <c r="Z691" t="b">
        <v>0</v>
      </c>
      <c r="AB691" t="s">
        <v>504</v>
      </c>
      <c r="AC691" s="1">
        <v>41067</v>
      </c>
      <c r="AD691" t="s">
        <v>505</v>
      </c>
      <c r="AE691" t="s">
        <v>506</v>
      </c>
      <c r="AF691">
        <v>20416</v>
      </c>
      <c r="AG691">
        <v>45</v>
      </c>
      <c r="AH691">
        <v>380</v>
      </c>
      <c r="AI691" s="2">
        <f>Table__192.168.3.138DYLAgingReport[[#This Row],[NetAmount]]-Table__192.168.3.138DYLAgingReport[[#This Row],[Paid]]</f>
        <v>2552</v>
      </c>
    </row>
    <row r="692" spans="1:35">
      <c r="A692" t="s">
        <v>1660</v>
      </c>
      <c r="B692" s="1">
        <v>40931</v>
      </c>
      <c r="C692" s="1">
        <v>40931</v>
      </c>
      <c r="D692" t="s">
        <v>236</v>
      </c>
      <c r="E692">
        <v>4465</v>
      </c>
      <c r="F692">
        <v>0</v>
      </c>
      <c r="G692">
        <v>0</v>
      </c>
      <c r="H692">
        <v>0</v>
      </c>
      <c r="I692">
        <v>340</v>
      </c>
      <c r="J692">
        <v>4465</v>
      </c>
      <c r="K692" t="s">
        <v>1661</v>
      </c>
      <c r="L692" s="1">
        <v>40928</v>
      </c>
      <c r="M692" t="s">
        <v>1662</v>
      </c>
      <c r="N692" t="s">
        <v>36</v>
      </c>
      <c r="O692" t="s">
        <v>37</v>
      </c>
      <c r="P692" t="s">
        <v>373</v>
      </c>
      <c r="Q692" t="s">
        <v>39</v>
      </c>
      <c r="R692" t="s">
        <v>40</v>
      </c>
      <c r="S692">
        <v>0</v>
      </c>
      <c r="U692" t="s">
        <v>41</v>
      </c>
      <c r="V692" t="s">
        <v>42</v>
      </c>
      <c r="W692" t="s">
        <v>509</v>
      </c>
      <c r="X692" t="s">
        <v>74</v>
      </c>
      <c r="Y692" t="b">
        <v>0</v>
      </c>
      <c r="Z692" t="b">
        <v>0</v>
      </c>
      <c r="AA692" t="b">
        <v>0</v>
      </c>
      <c r="AC692" s="1"/>
      <c r="AF692">
        <v>0</v>
      </c>
      <c r="AG692">
        <v>45</v>
      </c>
      <c r="AH692">
        <v>385</v>
      </c>
      <c r="AI692" s="2">
        <f>Table__192.168.3.138DYLAgingReport[[#This Row],[NetAmount]]-Table__192.168.3.138DYLAgingReport[[#This Row],[Paid]]</f>
        <v>4465</v>
      </c>
    </row>
    <row r="693" spans="1:35">
      <c r="A693" t="s">
        <v>1663</v>
      </c>
      <c r="B693" s="1">
        <v>40920</v>
      </c>
      <c r="C693" s="1">
        <v>40965</v>
      </c>
      <c r="D693" t="s">
        <v>219</v>
      </c>
      <c r="E693">
        <v>3225</v>
      </c>
      <c r="F693">
        <v>516</v>
      </c>
      <c r="G693">
        <v>0</v>
      </c>
      <c r="H693">
        <v>0</v>
      </c>
      <c r="I693">
        <v>348</v>
      </c>
      <c r="J693">
        <v>3741</v>
      </c>
      <c r="K693" t="s">
        <v>1664</v>
      </c>
      <c r="L693" s="1">
        <v>40920</v>
      </c>
      <c r="N693" t="s">
        <v>36</v>
      </c>
      <c r="O693" t="s">
        <v>37</v>
      </c>
      <c r="P693" t="s">
        <v>356</v>
      </c>
      <c r="Q693" t="s">
        <v>39</v>
      </c>
      <c r="R693" t="s">
        <v>40</v>
      </c>
      <c r="S693">
        <v>0</v>
      </c>
      <c r="U693" t="s">
        <v>41</v>
      </c>
      <c r="V693" t="s">
        <v>42</v>
      </c>
      <c r="X693" t="s">
        <v>74</v>
      </c>
      <c r="Y693" t="b">
        <v>0</v>
      </c>
      <c r="Z693" t="b">
        <v>0</v>
      </c>
      <c r="AB693" t="s">
        <v>462</v>
      </c>
      <c r="AC693" s="1">
        <v>41115</v>
      </c>
      <c r="AF693">
        <v>0</v>
      </c>
      <c r="AG693">
        <v>45</v>
      </c>
      <c r="AH693">
        <v>393</v>
      </c>
      <c r="AI693" s="2">
        <f>Table__192.168.3.138DYLAgingReport[[#This Row],[NetAmount]]-Table__192.168.3.138DYLAgingReport[[#This Row],[Paid]]</f>
        <v>3741</v>
      </c>
    </row>
    <row r="694" spans="1:35">
      <c r="A694" t="s">
        <v>1665</v>
      </c>
      <c r="B694" s="1">
        <v>40921</v>
      </c>
      <c r="C694" s="1">
        <v>40966</v>
      </c>
      <c r="D694" t="s">
        <v>219</v>
      </c>
      <c r="E694">
        <v>145144</v>
      </c>
      <c r="F694">
        <v>23223</v>
      </c>
      <c r="G694">
        <v>0</v>
      </c>
      <c r="H694">
        <v>0</v>
      </c>
      <c r="I694">
        <v>347</v>
      </c>
      <c r="J694">
        <v>168367</v>
      </c>
      <c r="K694" t="s">
        <v>1666</v>
      </c>
      <c r="L694" s="1">
        <v>40921</v>
      </c>
      <c r="N694" t="s">
        <v>36</v>
      </c>
      <c r="O694" t="s">
        <v>37</v>
      </c>
      <c r="P694" t="s">
        <v>356</v>
      </c>
      <c r="Q694" t="s">
        <v>39</v>
      </c>
      <c r="R694" t="s">
        <v>40</v>
      </c>
      <c r="S694">
        <v>0</v>
      </c>
      <c r="U694" t="s">
        <v>41</v>
      </c>
      <c r="V694" t="s">
        <v>42</v>
      </c>
      <c r="X694" t="s">
        <v>74</v>
      </c>
      <c r="Y694" t="b">
        <v>0</v>
      </c>
      <c r="Z694" t="b">
        <v>0</v>
      </c>
      <c r="AB694" t="s">
        <v>462</v>
      </c>
      <c r="AC694" s="1">
        <v>41115</v>
      </c>
      <c r="AF694">
        <v>0</v>
      </c>
      <c r="AG694">
        <v>45</v>
      </c>
      <c r="AH694">
        <v>392</v>
      </c>
      <c r="AI694" s="2">
        <f>Table__192.168.3.138DYLAgingReport[[#This Row],[NetAmount]]-Table__192.168.3.138DYLAgingReport[[#This Row],[Paid]]</f>
        <v>168367</v>
      </c>
    </row>
    <row r="695" spans="1:35">
      <c r="A695" t="s">
        <v>1667</v>
      </c>
      <c r="B695" s="1">
        <v>40921</v>
      </c>
      <c r="C695" s="1">
        <v>40966</v>
      </c>
      <c r="D695" t="s">
        <v>219</v>
      </c>
      <c r="E695">
        <v>16300</v>
      </c>
      <c r="F695">
        <v>2608</v>
      </c>
      <c r="G695">
        <v>0</v>
      </c>
      <c r="H695">
        <v>0</v>
      </c>
      <c r="I695">
        <v>347</v>
      </c>
      <c r="J695">
        <v>18908</v>
      </c>
      <c r="K695" t="s">
        <v>1668</v>
      </c>
      <c r="L695" s="1">
        <v>40921</v>
      </c>
      <c r="N695" t="s">
        <v>36</v>
      </c>
      <c r="O695" t="s">
        <v>37</v>
      </c>
      <c r="P695" t="s">
        <v>356</v>
      </c>
      <c r="Q695" t="s">
        <v>39</v>
      </c>
      <c r="R695" t="s">
        <v>40</v>
      </c>
      <c r="S695">
        <v>0</v>
      </c>
      <c r="U695" t="s">
        <v>41</v>
      </c>
      <c r="V695" t="s">
        <v>42</v>
      </c>
      <c r="X695" t="s">
        <v>74</v>
      </c>
      <c r="Y695" t="b">
        <v>0</v>
      </c>
      <c r="Z695" t="b">
        <v>0</v>
      </c>
      <c r="AB695" t="s">
        <v>462</v>
      </c>
      <c r="AC695" s="1">
        <v>41115</v>
      </c>
      <c r="AF695">
        <v>0</v>
      </c>
      <c r="AG695">
        <v>45</v>
      </c>
      <c r="AH695">
        <v>392</v>
      </c>
      <c r="AI695" s="2">
        <f>Table__192.168.3.138DYLAgingReport[[#This Row],[NetAmount]]-Table__192.168.3.138DYLAgingReport[[#This Row],[Paid]]</f>
        <v>18908</v>
      </c>
    </row>
    <row r="696" spans="1:35">
      <c r="A696" t="s">
        <v>1669</v>
      </c>
      <c r="B696" s="1">
        <v>40921</v>
      </c>
      <c r="C696" s="1">
        <v>40966</v>
      </c>
      <c r="D696" t="s">
        <v>219</v>
      </c>
      <c r="E696">
        <v>53820</v>
      </c>
      <c r="F696">
        <v>8611</v>
      </c>
      <c r="G696">
        <v>0</v>
      </c>
      <c r="H696">
        <v>0</v>
      </c>
      <c r="I696">
        <v>347</v>
      </c>
      <c r="J696">
        <v>62431</v>
      </c>
      <c r="K696" t="s">
        <v>1670</v>
      </c>
      <c r="L696" s="1">
        <v>40921</v>
      </c>
      <c r="N696" t="s">
        <v>36</v>
      </c>
      <c r="O696" t="s">
        <v>37</v>
      </c>
      <c r="P696" t="s">
        <v>356</v>
      </c>
      <c r="Q696" t="s">
        <v>39</v>
      </c>
      <c r="R696" t="s">
        <v>40</v>
      </c>
      <c r="S696">
        <v>0</v>
      </c>
      <c r="U696" t="s">
        <v>41</v>
      </c>
      <c r="V696" t="s">
        <v>42</v>
      </c>
      <c r="X696" t="s">
        <v>74</v>
      </c>
      <c r="Y696" t="b">
        <v>0</v>
      </c>
      <c r="Z696" t="b">
        <v>0</v>
      </c>
      <c r="AB696" t="s">
        <v>462</v>
      </c>
      <c r="AC696" s="1">
        <v>41115</v>
      </c>
      <c r="AF696">
        <v>0</v>
      </c>
      <c r="AG696">
        <v>45</v>
      </c>
      <c r="AH696">
        <v>392</v>
      </c>
      <c r="AI696" s="2">
        <f>Table__192.168.3.138DYLAgingReport[[#This Row],[NetAmount]]-Table__192.168.3.138DYLAgingReport[[#This Row],[Paid]]</f>
        <v>62431</v>
      </c>
    </row>
    <row r="697" spans="1:35">
      <c r="A697" t="s">
        <v>1671</v>
      </c>
      <c r="B697" s="1">
        <v>40921</v>
      </c>
      <c r="C697" s="1">
        <v>40966</v>
      </c>
      <c r="D697" t="s">
        <v>219</v>
      </c>
      <c r="E697">
        <v>25575</v>
      </c>
      <c r="F697">
        <v>4092</v>
      </c>
      <c r="G697">
        <v>0</v>
      </c>
      <c r="H697">
        <v>0</v>
      </c>
      <c r="I697">
        <v>347</v>
      </c>
      <c r="J697">
        <v>29667</v>
      </c>
      <c r="K697" t="s">
        <v>1672</v>
      </c>
      <c r="L697" s="1">
        <v>40921</v>
      </c>
      <c r="N697" t="s">
        <v>36</v>
      </c>
      <c r="O697" t="s">
        <v>37</v>
      </c>
      <c r="P697" t="s">
        <v>356</v>
      </c>
      <c r="Q697" t="s">
        <v>39</v>
      </c>
      <c r="R697" t="s">
        <v>40</v>
      </c>
      <c r="S697">
        <v>0</v>
      </c>
      <c r="U697" t="s">
        <v>41</v>
      </c>
      <c r="V697" t="s">
        <v>42</v>
      </c>
      <c r="X697" t="s">
        <v>74</v>
      </c>
      <c r="Y697" t="b">
        <v>0</v>
      </c>
      <c r="Z697" t="b">
        <v>0</v>
      </c>
      <c r="AB697" t="s">
        <v>462</v>
      </c>
      <c r="AC697" s="1">
        <v>41115</v>
      </c>
      <c r="AF697">
        <v>0</v>
      </c>
      <c r="AG697">
        <v>45</v>
      </c>
      <c r="AH697">
        <v>392</v>
      </c>
      <c r="AI697" s="2">
        <f>Table__192.168.3.138DYLAgingReport[[#This Row],[NetAmount]]-Table__192.168.3.138DYLAgingReport[[#This Row],[Paid]]</f>
        <v>29667</v>
      </c>
    </row>
    <row r="698" spans="1:35">
      <c r="A698" t="s">
        <v>1673</v>
      </c>
      <c r="B698" s="1">
        <v>40921</v>
      </c>
      <c r="C698" s="1">
        <v>40966</v>
      </c>
      <c r="D698" t="s">
        <v>219</v>
      </c>
      <c r="E698">
        <v>3380</v>
      </c>
      <c r="F698">
        <v>541</v>
      </c>
      <c r="G698">
        <v>0</v>
      </c>
      <c r="H698">
        <v>0</v>
      </c>
      <c r="I698">
        <v>347</v>
      </c>
      <c r="J698">
        <v>3921</v>
      </c>
      <c r="K698" t="s">
        <v>1674</v>
      </c>
      <c r="L698" s="1">
        <v>40921</v>
      </c>
      <c r="N698" t="s">
        <v>36</v>
      </c>
      <c r="O698" t="s">
        <v>37</v>
      </c>
      <c r="P698" t="s">
        <v>356</v>
      </c>
      <c r="Q698" t="s">
        <v>39</v>
      </c>
      <c r="R698" t="s">
        <v>40</v>
      </c>
      <c r="S698">
        <v>0</v>
      </c>
      <c r="U698" t="s">
        <v>41</v>
      </c>
      <c r="V698" t="s">
        <v>42</v>
      </c>
      <c r="X698" t="s">
        <v>74</v>
      </c>
      <c r="Y698" t="b">
        <v>0</v>
      </c>
      <c r="Z698" t="b">
        <v>0</v>
      </c>
      <c r="AB698" t="s">
        <v>462</v>
      </c>
      <c r="AC698" s="1">
        <v>41115</v>
      </c>
      <c r="AF698">
        <v>0</v>
      </c>
      <c r="AG698">
        <v>45</v>
      </c>
      <c r="AH698">
        <v>392</v>
      </c>
      <c r="AI698" s="2">
        <f>Table__192.168.3.138DYLAgingReport[[#This Row],[NetAmount]]-Table__192.168.3.138DYLAgingReport[[#This Row],[Paid]]</f>
        <v>3921</v>
      </c>
    </row>
    <row r="699" spans="1:35">
      <c r="A699" t="s">
        <v>1675</v>
      </c>
      <c r="B699" s="1">
        <v>40924</v>
      </c>
      <c r="C699" s="1">
        <v>40969</v>
      </c>
      <c r="D699" t="s">
        <v>219</v>
      </c>
      <c r="E699">
        <v>10220</v>
      </c>
      <c r="F699">
        <v>1635</v>
      </c>
      <c r="G699">
        <v>0</v>
      </c>
      <c r="H699">
        <v>0</v>
      </c>
      <c r="I699">
        <v>344</v>
      </c>
      <c r="J699">
        <v>11855</v>
      </c>
      <c r="K699" t="s">
        <v>1676</v>
      </c>
      <c r="L699" s="1">
        <v>40924</v>
      </c>
      <c r="N699" t="s">
        <v>36</v>
      </c>
      <c r="O699" t="s">
        <v>37</v>
      </c>
      <c r="P699" t="s">
        <v>356</v>
      </c>
      <c r="Q699" t="s">
        <v>39</v>
      </c>
      <c r="R699" t="s">
        <v>40</v>
      </c>
      <c r="S699">
        <v>0</v>
      </c>
      <c r="U699" t="s">
        <v>41</v>
      </c>
      <c r="V699" t="s">
        <v>42</v>
      </c>
      <c r="X699" t="s">
        <v>74</v>
      </c>
      <c r="Y699" t="b">
        <v>0</v>
      </c>
      <c r="Z699" t="b">
        <v>0</v>
      </c>
      <c r="AB699" t="s">
        <v>462</v>
      </c>
      <c r="AC699" s="1">
        <v>41115</v>
      </c>
      <c r="AF699">
        <v>0</v>
      </c>
      <c r="AG699">
        <v>45</v>
      </c>
      <c r="AH699">
        <v>389</v>
      </c>
      <c r="AI699" s="2">
        <f>Table__192.168.3.138DYLAgingReport[[#This Row],[NetAmount]]-Table__192.168.3.138DYLAgingReport[[#This Row],[Paid]]</f>
        <v>11855</v>
      </c>
    </row>
    <row r="700" spans="1:35">
      <c r="A700" t="s">
        <v>1677</v>
      </c>
      <c r="B700" s="1">
        <v>40926</v>
      </c>
      <c r="C700" s="1">
        <v>40971</v>
      </c>
      <c r="D700" t="s">
        <v>219</v>
      </c>
      <c r="E700">
        <v>7150</v>
      </c>
      <c r="F700">
        <v>1144</v>
      </c>
      <c r="G700">
        <v>0</v>
      </c>
      <c r="H700">
        <v>0</v>
      </c>
      <c r="I700">
        <v>342</v>
      </c>
      <c r="J700">
        <v>8294</v>
      </c>
      <c r="K700" t="s">
        <v>1678</v>
      </c>
      <c r="L700" s="1">
        <v>40926</v>
      </c>
      <c r="N700" t="s">
        <v>36</v>
      </c>
      <c r="O700" t="s">
        <v>37</v>
      </c>
      <c r="P700" t="s">
        <v>356</v>
      </c>
      <c r="Q700" t="s">
        <v>39</v>
      </c>
      <c r="R700" t="s">
        <v>40</v>
      </c>
      <c r="S700">
        <v>0</v>
      </c>
      <c r="U700" t="s">
        <v>41</v>
      </c>
      <c r="V700" t="s">
        <v>42</v>
      </c>
      <c r="X700" t="s">
        <v>74</v>
      </c>
      <c r="Y700" t="b">
        <v>0</v>
      </c>
      <c r="Z700" t="b">
        <v>0</v>
      </c>
      <c r="AB700" t="s">
        <v>462</v>
      </c>
      <c r="AC700" s="1">
        <v>41115</v>
      </c>
      <c r="AF700">
        <v>0</v>
      </c>
      <c r="AG700">
        <v>45</v>
      </c>
      <c r="AH700">
        <v>387</v>
      </c>
      <c r="AI700" s="2">
        <f>Table__192.168.3.138DYLAgingReport[[#This Row],[NetAmount]]-Table__192.168.3.138DYLAgingReport[[#This Row],[Paid]]</f>
        <v>8294</v>
      </c>
    </row>
    <row r="701" spans="1:35">
      <c r="A701" t="s">
        <v>1679</v>
      </c>
      <c r="B701" s="1">
        <v>40934</v>
      </c>
      <c r="C701" s="1">
        <v>40979</v>
      </c>
      <c r="D701" t="s">
        <v>239</v>
      </c>
      <c r="E701">
        <v>287016</v>
      </c>
      <c r="F701">
        <v>45923</v>
      </c>
      <c r="G701">
        <v>0</v>
      </c>
      <c r="H701">
        <v>0</v>
      </c>
      <c r="I701">
        <v>334</v>
      </c>
      <c r="J701">
        <v>332939</v>
      </c>
      <c r="K701" t="s">
        <v>1680</v>
      </c>
      <c r="L701" s="1">
        <v>40934</v>
      </c>
      <c r="N701" t="s">
        <v>36</v>
      </c>
      <c r="O701" t="s">
        <v>37</v>
      </c>
      <c r="P701" t="s">
        <v>376</v>
      </c>
      <c r="Q701" t="s">
        <v>39</v>
      </c>
      <c r="R701" t="s">
        <v>40</v>
      </c>
      <c r="S701">
        <v>0</v>
      </c>
      <c r="U701" t="s">
        <v>41</v>
      </c>
      <c r="V701" t="s">
        <v>42</v>
      </c>
      <c r="X701" t="s">
        <v>74</v>
      </c>
      <c r="Y701" t="b">
        <v>0</v>
      </c>
      <c r="Z701" t="b">
        <v>0</v>
      </c>
      <c r="AC701" s="1"/>
      <c r="AF701">
        <v>0</v>
      </c>
      <c r="AG701">
        <v>45</v>
      </c>
      <c r="AH701">
        <v>379</v>
      </c>
      <c r="AI701" s="2">
        <f>Table__192.168.3.138DYLAgingReport[[#This Row],[NetAmount]]-Table__192.168.3.138DYLAgingReport[[#This Row],[Paid]]</f>
        <v>332939</v>
      </c>
    </row>
    <row r="702" spans="1:35">
      <c r="A702" t="s">
        <v>1681</v>
      </c>
      <c r="B702" s="1">
        <v>40932</v>
      </c>
      <c r="C702" s="1">
        <v>40977</v>
      </c>
      <c r="D702" t="s">
        <v>257</v>
      </c>
      <c r="E702">
        <v>580000</v>
      </c>
      <c r="F702">
        <v>92800</v>
      </c>
      <c r="G702">
        <v>0</v>
      </c>
      <c r="H702">
        <v>0</v>
      </c>
      <c r="I702">
        <v>336</v>
      </c>
      <c r="J702">
        <v>672800</v>
      </c>
      <c r="K702" t="s">
        <v>1682</v>
      </c>
      <c r="L702" s="1">
        <v>40932</v>
      </c>
      <c r="N702" t="s">
        <v>36</v>
      </c>
      <c r="O702" t="s">
        <v>37</v>
      </c>
      <c r="P702" t="s">
        <v>394</v>
      </c>
      <c r="Q702" t="s">
        <v>39</v>
      </c>
      <c r="R702" t="s">
        <v>40</v>
      </c>
      <c r="S702">
        <v>0</v>
      </c>
      <c r="U702" t="s">
        <v>41</v>
      </c>
      <c r="V702" t="s">
        <v>42</v>
      </c>
      <c r="X702" t="s">
        <v>74</v>
      </c>
      <c r="Y702" t="b">
        <v>0</v>
      </c>
      <c r="Z702" t="b">
        <v>0</v>
      </c>
      <c r="AB702" t="s">
        <v>1683</v>
      </c>
      <c r="AC702" s="1">
        <v>41215</v>
      </c>
      <c r="AD702" t="s">
        <v>1684</v>
      </c>
      <c r="AE702" t="s">
        <v>1685</v>
      </c>
      <c r="AF702">
        <v>422599</v>
      </c>
      <c r="AG702">
        <v>45</v>
      </c>
      <c r="AH702">
        <v>381</v>
      </c>
      <c r="AI702" s="2">
        <f>Table__192.168.3.138DYLAgingReport[[#This Row],[NetAmount]]-Table__192.168.3.138DYLAgingReport[[#This Row],[Paid]]</f>
        <v>250201</v>
      </c>
    </row>
    <row r="703" spans="1:35">
      <c r="A703" t="s">
        <v>1686</v>
      </c>
      <c r="B703" s="1">
        <v>40935</v>
      </c>
      <c r="C703" s="1">
        <v>40980</v>
      </c>
      <c r="D703" t="s">
        <v>257</v>
      </c>
      <c r="E703">
        <v>190500</v>
      </c>
      <c r="F703">
        <v>30480</v>
      </c>
      <c r="G703">
        <v>0</v>
      </c>
      <c r="H703">
        <v>0</v>
      </c>
      <c r="I703">
        <v>333</v>
      </c>
      <c r="J703">
        <v>220980</v>
      </c>
      <c r="K703" t="s">
        <v>1687</v>
      </c>
      <c r="L703" s="1">
        <v>40935</v>
      </c>
      <c r="N703" t="s">
        <v>36</v>
      </c>
      <c r="O703" t="s">
        <v>37</v>
      </c>
      <c r="P703" t="s">
        <v>394</v>
      </c>
      <c r="Q703" t="s">
        <v>39</v>
      </c>
      <c r="R703" t="s">
        <v>40</v>
      </c>
      <c r="S703">
        <v>0</v>
      </c>
      <c r="U703" t="s">
        <v>41</v>
      </c>
      <c r="V703" t="s">
        <v>42</v>
      </c>
      <c r="X703" t="s">
        <v>74</v>
      </c>
      <c r="Y703" t="b">
        <v>0</v>
      </c>
      <c r="Z703" t="b">
        <v>0</v>
      </c>
      <c r="AB703" t="s">
        <v>1683</v>
      </c>
      <c r="AC703" s="1">
        <v>41215</v>
      </c>
      <c r="AE703" t="s">
        <v>1685</v>
      </c>
      <c r="AF703">
        <v>0</v>
      </c>
      <c r="AG703">
        <v>45</v>
      </c>
      <c r="AH703">
        <v>378</v>
      </c>
      <c r="AI703" s="2">
        <f>Table__192.168.3.138DYLAgingReport[[#This Row],[NetAmount]]-Table__192.168.3.138DYLAgingReport[[#This Row],[Paid]]</f>
        <v>220980</v>
      </c>
    </row>
    <row r="704" spans="1:35">
      <c r="A704" t="s">
        <v>1688</v>
      </c>
      <c r="B704" s="1">
        <v>40924</v>
      </c>
      <c r="C704" s="1">
        <v>40969</v>
      </c>
      <c r="D704" t="s">
        <v>219</v>
      </c>
      <c r="E704">
        <v>108978</v>
      </c>
      <c r="F704">
        <v>17436</v>
      </c>
      <c r="G704">
        <v>0</v>
      </c>
      <c r="H704">
        <v>0</v>
      </c>
      <c r="I704">
        <v>340</v>
      </c>
      <c r="J704">
        <v>126414</v>
      </c>
      <c r="K704" t="s">
        <v>1689</v>
      </c>
      <c r="L704" s="1">
        <v>40928</v>
      </c>
      <c r="N704" t="s">
        <v>36</v>
      </c>
      <c r="O704" t="s">
        <v>37</v>
      </c>
      <c r="P704" t="s">
        <v>356</v>
      </c>
      <c r="Q704" t="s">
        <v>39</v>
      </c>
      <c r="R704" t="s">
        <v>40</v>
      </c>
      <c r="S704">
        <v>0</v>
      </c>
      <c r="U704" t="s">
        <v>41</v>
      </c>
      <c r="V704" t="s">
        <v>42</v>
      </c>
      <c r="X704" t="s">
        <v>74</v>
      </c>
      <c r="Y704" t="b">
        <v>0</v>
      </c>
      <c r="Z704" t="b">
        <v>0</v>
      </c>
      <c r="AB704" t="s">
        <v>462</v>
      </c>
      <c r="AC704" s="1">
        <v>41115</v>
      </c>
      <c r="AF704">
        <v>0</v>
      </c>
      <c r="AG704">
        <v>45</v>
      </c>
      <c r="AH704">
        <v>385</v>
      </c>
      <c r="AI704" s="2">
        <f>Table__192.168.3.138DYLAgingReport[[#This Row],[NetAmount]]-Table__192.168.3.138DYLAgingReport[[#This Row],[Paid]]</f>
        <v>126414</v>
      </c>
    </row>
    <row r="705" spans="1:35">
      <c r="A705" t="s">
        <v>1690</v>
      </c>
      <c r="B705" s="1">
        <v>40929</v>
      </c>
      <c r="C705" s="1">
        <v>40974</v>
      </c>
      <c r="D705" t="s">
        <v>219</v>
      </c>
      <c r="E705">
        <v>61854</v>
      </c>
      <c r="F705">
        <v>9897</v>
      </c>
      <c r="G705">
        <v>0</v>
      </c>
      <c r="H705">
        <v>0</v>
      </c>
      <c r="I705">
        <v>339</v>
      </c>
      <c r="J705">
        <v>71751</v>
      </c>
      <c r="K705" t="s">
        <v>1691</v>
      </c>
      <c r="L705" s="1">
        <v>40929</v>
      </c>
      <c r="N705" t="s">
        <v>36</v>
      </c>
      <c r="O705" t="s">
        <v>37</v>
      </c>
      <c r="P705" t="s">
        <v>356</v>
      </c>
      <c r="Q705" t="s">
        <v>39</v>
      </c>
      <c r="R705" t="s">
        <v>40</v>
      </c>
      <c r="S705">
        <v>0</v>
      </c>
      <c r="U705" t="s">
        <v>41</v>
      </c>
      <c r="V705" t="s">
        <v>42</v>
      </c>
      <c r="X705" t="s">
        <v>74</v>
      </c>
      <c r="Y705" t="b">
        <v>0</v>
      </c>
      <c r="Z705" t="b">
        <v>0</v>
      </c>
      <c r="AB705" t="s">
        <v>462</v>
      </c>
      <c r="AC705" s="1">
        <v>41115</v>
      </c>
      <c r="AF705">
        <v>0</v>
      </c>
      <c r="AG705">
        <v>45</v>
      </c>
      <c r="AH705">
        <v>384</v>
      </c>
      <c r="AI705" s="2">
        <f>Table__192.168.3.138DYLAgingReport[[#This Row],[NetAmount]]-Table__192.168.3.138DYLAgingReport[[#This Row],[Paid]]</f>
        <v>71751</v>
      </c>
    </row>
    <row r="706" spans="1:35">
      <c r="A706" t="s">
        <v>1692</v>
      </c>
      <c r="B706" s="1">
        <v>40934</v>
      </c>
      <c r="C706" s="1">
        <v>40979</v>
      </c>
      <c r="D706" t="s">
        <v>219</v>
      </c>
      <c r="E706">
        <v>5180</v>
      </c>
      <c r="F706">
        <v>829</v>
      </c>
      <c r="G706">
        <v>0</v>
      </c>
      <c r="H706">
        <v>0</v>
      </c>
      <c r="I706">
        <v>334</v>
      </c>
      <c r="J706">
        <v>6009</v>
      </c>
      <c r="K706" t="s">
        <v>1693</v>
      </c>
      <c r="L706" s="1">
        <v>40934</v>
      </c>
      <c r="N706" t="s">
        <v>36</v>
      </c>
      <c r="O706" t="s">
        <v>37</v>
      </c>
      <c r="P706" t="s">
        <v>356</v>
      </c>
      <c r="Q706" t="s">
        <v>39</v>
      </c>
      <c r="R706" t="s">
        <v>40</v>
      </c>
      <c r="S706">
        <v>0</v>
      </c>
      <c r="U706" t="s">
        <v>41</v>
      </c>
      <c r="V706" t="s">
        <v>42</v>
      </c>
      <c r="X706" t="s">
        <v>74</v>
      </c>
      <c r="Y706" t="b">
        <v>0</v>
      </c>
      <c r="Z706" t="b">
        <v>0</v>
      </c>
      <c r="AB706" t="s">
        <v>462</v>
      </c>
      <c r="AC706" s="1">
        <v>41115</v>
      </c>
      <c r="AF706">
        <v>0</v>
      </c>
      <c r="AG706">
        <v>45</v>
      </c>
      <c r="AH706">
        <v>379</v>
      </c>
      <c r="AI706" s="2">
        <f>Table__192.168.3.138DYLAgingReport[[#This Row],[NetAmount]]-Table__192.168.3.138DYLAgingReport[[#This Row],[Paid]]</f>
        <v>6009</v>
      </c>
    </row>
    <row r="707" spans="1:35">
      <c r="A707" t="s">
        <v>1694</v>
      </c>
      <c r="B707" s="1">
        <v>40937</v>
      </c>
      <c r="C707" s="1">
        <v>40982</v>
      </c>
      <c r="D707" t="s">
        <v>219</v>
      </c>
      <c r="E707">
        <v>15460</v>
      </c>
      <c r="F707">
        <v>2474</v>
      </c>
      <c r="G707">
        <v>0</v>
      </c>
      <c r="H707">
        <v>0</v>
      </c>
      <c r="I707">
        <v>332</v>
      </c>
      <c r="J707">
        <v>17934</v>
      </c>
      <c r="K707" t="s">
        <v>1695</v>
      </c>
      <c r="L707" s="1">
        <v>40936</v>
      </c>
      <c r="N707" t="s">
        <v>36</v>
      </c>
      <c r="O707" t="s">
        <v>37</v>
      </c>
      <c r="P707" t="s">
        <v>356</v>
      </c>
      <c r="Q707" t="s">
        <v>39</v>
      </c>
      <c r="R707" t="s">
        <v>40</v>
      </c>
      <c r="S707">
        <v>0</v>
      </c>
      <c r="U707" t="s">
        <v>41</v>
      </c>
      <c r="V707" t="s">
        <v>42</v>
      </c>
      <c r="X707" t="s">
        <v>74</v>
      </c>
      <c r="Y707" t="b">
        <v>0</v>
      </c>
      <c r="Z707" t="b">
        <v>0</v>
      </c>
      <c r="AB707" t="s">
        <v>462</v>
      </c>
      <c r="AC707" s="1">
        <v>41115</v>
      </c>
      <c r="AF707">
        <v>0</v>
      </c>
      <c r="AG707">
        <v>45</v>
      </c>
      <c r="AH707">
        <v>377</v>
      </c>
      <c r="AI707" s="2">
        <f>Table__192.168.3.138DYLAgingReport[[#This Row],[NetAmount]]-Table__192.168.3.138DYLAgingReport[[#This Row],[Paid]]</f>
        <v>17934</v>
      </c>
    </row>
    <row r="708" spans="1:35">
      <c r="A708" t="s">
        <v>1696</v>
      </c>
      <c r="B708" s="1">
        <v>40932</v>
      </c>
      <c r="C708" s="1">
        <v>40977</v>
      </c>
      <c r="D708" t="s">
        <v>219</v>
      </c>
      <c r="E708">
        <v>13760</v>
      </c>
      <c r="F708">
        <v>2202</v>
      </c>
      <c r="G708">
        <v>0</v>
      </c>
      <c r="H708">
        <v>0</v>
      </c>
      <c r="I708">
        <v>336</v>
      </c>
      <c r="J708">
        <v>15962</v>
      </c>
      <c r="K708" t="s">
        <v>1697</v>
      </c>
      <c r="L708" s="1">
        <v>40932</v>
      </c>
      <c r="N708" t="s">
        <v>36</v>
      </c>
      <c r="O708" t="s">
        <v>37</v>
      </c>
      <c r="P708" t="s">
        <v>356</v>
      </c>
      <c r="Q708" t="s">
        <v>39</v>
      </c>
      <c r="R708" t="s">
        <v>40</v>
      </c>
      <c r="S708">
        <v>0</v>
      </c>
      <c r="U708" t="s">
        <v>41</v>
      </c>
      <c r="V708" t="s">
        <v>42</v>
      </c>
      <c r="X708" t="s">
        <v>74</v>
      </c>
      <c r="Y708" t="b">
        <v>0</v>
      </c>
      <c r="Z708" t="b">
        <v>0</v>
      </c>
      <c r="AB708" t="s">
        <v>462</v>
      </c>
      <c r="AC708" s="1">
        <v>41115</v>
      </c>
      <c r="AF708">
        <v>0</v>
      </c>
      <c r="AG708">
        <v>45</v>
      </c>
      <c r="AH708">
        <v>381</v>
      </c>
      <c r="AI708" s="2">
        <f>Table__192.168.3.138DYLAgingReport[[#This Row],[NetAmount]]-Table__192.168.3.138DYLAgingReport[[#This Row],[Paid]]</f>
        <v>15962</v>
      </c>
    </row>
    <row r="709" spans="1:35">
      <c r="A709" t="s">
        <v>1698</v>
      </c>
      <c r="B709" s="1">
        <v>40939</v>
      </c>
      <c r="C709" s="1">
        <v>40984</v>
      </c>
      <c r="D709" t="s">
        <v>227</v>
      </c>
      <c r="E709">
        <v>3150</v>
      </c>
      <c r="F709">
        <v>504</v>
      </c>
      <c r="G709">
        <v>0</v>
      </c>
      <c r="H709">
        <v>0</v>
      </c>
      <c r="I709">
        <v>329</v>
      </c>
      <c r="J709">
        <v>3654</v>
      </c>
      <c r="K709" t="s">
        <v>1699</v>
      </c>
      <c r="L709" s="1">
        <v>40939</v>
      </c>
      <c r="N709" t="s">
        <v>36</v>
      </c>
      <c r="O709" t="s">
        <v>37</v>
      </c>
      <c r="P709" t="s">
        <v>364</v>
      </c>
      <c r="Q709" t="s">
        <v>39</v>
      </c>
      <c r="R709" t="s">
        <v>40</v>
      </c>
      <c r="S709">
        <v>0</v>
      </c>
      <c r="U709" t="s">
        <v>41</v>
      </c>
      <c r="V709" t="s">
        <v>42</v>
      </c>
      <c r="X709" t="s">
        <v>74</v>
      </c>
      <c r="Y709" t="b">
        <v>0</v>
      </c>
      <c r="Z709" t="b">
        <v>0</v>
      </c>
      <c r="AB709" t="s">
        <v>504</v>
      </c>
      <c r="AC709" s="1">
        <v>41067</v>
      </c>
      <c r="AD709" t="s">
        <v>505</v>
      </c>
      <c r="AE709" t="s">
        <v>506</v>
      </c>
      <c r="AF709">
        <v>0</v>
      </c>
      <c r="AG709">
        <v>45</v>
      </c>
      <c r="AH709">
        <v>374</v>
      </c>
      <c r="AI709" s="2">
        <f>Table__192.168.3.138DYLAgingReport[[#This Row],[NetAmount]]-Table__192.168.3.138DYLAgingReport[[#This Row],[Paid]]</f>
        <v>3654</v>
      </c>
    </row>
    <row r="710" spans="1:35">
      <c r="A710" t="s">
        <v>1700</v>
      </c>
      <c r="B710" s="1">
        <v>40918</v>
      </c>
      <c r="C710" s="1">
        <v>40963</v>
      </c>
      <c r="D710" t="s">
        <v>219</v>
      </c>
      <c r="E710">
        <v>23112</v>
      </c>
      <c r="F710">
        <v>3698</v>
      </c>
      <c r="G710">
        <v>0</v>
      </c>
      <c r="H710">
        <v>0</v>
      </c>
      <c r="I710">
        <v>350</v>
      </c>
      <c r="J710">
        <v>26810</v>
      </c>
      <c r="K710" t="s">
        <v>1701</v>
      </c>
      <c r="L710" s="1">
        <v>40918</v>
      </c>
      <c r="N710" t="s">
        <v>36</v>
      </c>
      <c r="O710" t="s">
        <v>37</v>
      </c>
      <c r="P710" t="s">
        <v>356</v>
      </c>
      <c r="Q710" t="s">
        <v>39</v>
      </c>
      <c r="R710" t="s">
        <v>40</v>
      </c>
      <c r="S710">
        <v>0</v>
      </c>
      <c r="U710" t="s">
        <v>41</v>
      </c>
      <c r="V710" t="s">
        <v>42</v>
      </c>
      <c r="X710" t="s">
        <v>74</v>
      </c>
      <c r="Y710" t="b">
        <v>0</v>
      </c>
      <c r="Z710" t="b">
        <v>0</v>
      </c>
      <c r="AB710" t="s">
        <v>462</v>
      </c>
      <c r="AC710" s="1">
        <v>41115</v>
      </c>
      <c r="AF710">
        <v>0</v>
      </c>
      <c r="AG710">
        <v>45</v>
      </c>
      <c r="AH710">
        <v>395</v>
      </c>
      <c r="AI710" s="2">
        <f>Table__192.168.3.138DYLAgingReport[[#This Row],[NetAmount]]-Table__192.168.3.138DYLAgingReport[[#This Row],[Paid]]</f>
        <v>26810</v>
      </c>
    </row>
    <row r="711" spans="1:35">
      <c r="A711" t="s">
        <v>1702</v>
      </c>
      <c r="B711" s="1">
        <v>40934</v>
      </c>
      <c r="C711" s="1">
        <v>40979</v>
      </c>
      <c r="D711" t="s">
        <v>219</v>
      </c>
      <c r="E711">
        <v>33018</v>
      </c>
      <c r="F711">
        <v>5283</v>
      </c>
      <c r="G711">
        <v>0</v>
      </c>
      <c r="H711">
        <v>0</v>
      </c>
      <c r="I711">
        <v>334</v>
      </c>
      <c r="J711">
        <v>38301</v>
      </c>
      <c r="K711" t="s">
        <v>1703</v>
      </c>
      <c r="L711" s="1">
        <v>40934</v>
      </c>
      <c r="N711" t="s">
        <v>36</v>
      </c>
      <c r="O711" t="s">
        <v>37</v>
      </c>
      <c r="P711" t="s">
        <v>356</v>
      </c>
      <c r="Q711" t="s">
        <v>39</v>
      </c>
      <c r="R711" t="s">
        <v>40</v>
      </c>
      <c r="S711">
        <v>0</v>
      </c>
      <c r="U711" t="s">
        <v>41</v>
      </c>
      <c r="V711" t="s">
        <v>42</v>
      </c>
      <c r="X711" t="s">
        <v>74</v>
      </c>
      <c r="Y711" t="b">
        <v>0</v>
      </c>
      <c r="Z711" t="b">
        <v>0</v>
      </c>
      <c r="AB711" t="s">
        <v>462</v>
      </c>
      <c r="AC711" s="1">
        <v>41115</v>
      </c>
      <c r="AF711">
        <v>0</v>
      </c>
      <c r="AG711">
        <v>45</v>
      </c>
      <c r="AH711">
        <v>379</v>
      </c>
      <c r="AI711" s="2">
        <f>Table__192.168.3.138DYLAgingReport[[#This Row],[NetAmount]]-Table__192.168.3.138DYLAgingReport[[#This Row],[Paid]]</f>
        <v>38301</v>
      </c>
    </row>
    <row r="712" spans="1:35">
      <c r="A712" t="s">
        <v>1704</v>
      </c>
      <c r="B712" s="1">
        <v>40933</v>
      </c>
      <c r="C712" s="1">
        <v>40978</v>
      </c>
      <c r="D712" t="s">
        <v>201</v>
      </c>
      <c r="E712">
        <v>28060</v>
      </c>
      <c r="F712">
        <v>4490</v>
      </c>
      <c r="G712">
        <v>0</v>
      </c>
      <c r="H712">
        <v>0</v>
      </c>
      <c r="I712">
        <v>335</v>
      </c>
      <c r="J712">
        <v>32550</v>
      </c>
      <c r="K712" t="s">
        <v>1705</v>
      </c>
      <c r="L712" s="1">
        <v>40933</v>
      </c>
      <c r="N712" t="s">
        <v>36</v>
      </c>
      <c r="O712" t="s">
        <v>37</v>
      </c>
      <c r="P712" t="s">
        <v>338</v>
      </c>
      <c r="Q712" t="s">
        <v>39</v>
      </c>
      <c r="R712" t="s">
        <v>40</v>
      </c>
      <c r="S712">
        <v>0</v>
      </c>
      <c r="U712" t="s">
        <v>41</v>
      </c>
      <c r="V712" t="s">
        <v>42</v>
      </c>
      <c r="X712" t="s">
        <v>74</v>
      </c>
      <c r="Y712" t="b">
        <v>0</v>
      </c>
      <c r="Z712" t="b">
        <v>0</v>
      </c>
      <c r="AB712" t="s">
        <v>485</v>
      </c>
      <c r="AC712" s="1">
        <v>41236</v>
      </c>
      <c r="AF712">
        <v>0</v>
      </c>
      <c r="AG712">
        <v>45</v>
      </c>
      <c r="AH712">
        <v>380</v>
      </c>
      <c r="AI712" s="2">
        <f>Table__192.168.3.138DYLAgingReport[[#This Row],[NetAmount]]-Table__192.168.3.138DYLAgingReport[[#This Row],[Paid]]</f>
        <v>32550</v>
      </c>
    </row>
    <row r="713" spans="1:35">
      <c r="A713" t="s">
        <v>1706</v>
      </c>
      <c r="B713" s="1">
        <v>40936</v>
      </c>
      <c r="C713" s="1">
        <v>40981</v>
      </c>
      <c r="D713" t="s">
        <v>201</v>
      </c>
      <c r="E713">
        <v>56120</v>
      </c>
      <c r="F713">
        <v>8979</v>
      </c>
      <c r="G713">
        <v>0</v>
      </c>
      <c r="H713">
        <v>0</v>
      </c>
      <c r="I713">
        <v>332</v>
      </c>
      <c r="J713">
        <v>65099</v>
      </c>
      <c r="K713" t="s">
        <v>1707</v>
      </c>
      <c r="L713" s="1">
        <v>40936</v>
      </c>
      <c r="N713" t="s">
        <v>36</v>
      </c>
      <c r="O713" t="s">
        <v>37</v>
      </c>
      <c r="P713" t="s">
        <v>338</v>
      </c>
      <c r="Q713" t="s">
        <v>39</v>
      </c>
      <c r="R713" t="s">
        <v>40</v>
      </c>
      <c r="S713">
        <v>0</v>
      </c>
      <c r="U713" t="s">
        <v>41</v>
      </c>
      <c r="V713" t="s">
        <v>42</v>
      </c>
      <c r="X713" t="s">
        <v>74</v>
      </c>
      <c r="Y713" t="b">
        <v>0</v>
      </c>
      <c r="Z713" t="b">
        <v>0</v>
      </c>
      <c r="AB713" t="s">
        <v>485</v>
      </c>
      <c r="AC713" s="1">
        <v>41236</v>
      </c>
      <c r="AF713">
        <v>0</v>
      </c>
      <c r="AG713">
        <v>45</v>
      </c>
      <c r="AH713">
        <v>377</v>
      </c>
      <c r="AI713" s="2">
        <f>Table__192.168.3.138DYLAgingReport[[#This Row],[NetAmount]]-Table__192.168.3.138DYLAgingReport[[#This Row],[Paid]]</f>
        <v>65099</v>
      </c>
    </row>
    <row r="714" spans="1:35">
      <c r="A714" t="s">
        <v>1708</v>
      </c>
      <c r="B714" s="1">
        <v>40936</v>
      </c>
      <c r="C714" s="1">
        <v>40981</v>
      </c>
      <c r="D714" t="s">
        <v>201</v>
      </c>
      <c r="E714">
        <v>47540</v>
      </c>
      <c r="F714">
        <v>7607</v>
      </c>
      <c r="G714">
        <v>0</v>
      </c>
      <c r="H714">
        <v>0</v>
      </c>
      <c r="I714">
        <v>332</v>
      </c>
      <c r="J714">
        <v>55147</v>
      </c>
      <c r="K714" t="s">
        <v>1709</v>
      </c>
      <c r="L714" s="1">
        <v>40936</v>
      </c>
      <c r="N714" t="s">
        <v>36</v>
      </c>
      <c r="O714" t="s">
        <v>37</v>
      </c>
      <c r="P714" t="s">
        <v>338</v>
      </c>
      <c r="Q714" t="s">
        <v>39</v>
      </c>
      <c r="R714" t="s">
        <v>40</v>
      </c>
      <c r="S714">
        <v>0</v>
      </c>
      <c r="U714" t="s">
        <v>41</v>
      </c>
      <c r="V714" t="s">
        <v>42</v>
      </c>
      <c r="X714" t="s">
        <v>74</v>
      </c>
      <c r="Y714" t="b">
        <v>0</v>
      </c>
      <c r="Z714" t="b">
        <v>0</v>
      </c>
      <c r="AB714" t="s">
        <v>485</v>
      </c>
      <c r="AC714" s="1">
        <v>41236</v>
      </c>
      <c r="AF714">
        <v>0</v>
      </c>
      <c r="AG714">
        <v>45</v>
      </c>
      <c r="AH714">
        <v>377</v>
      </c>
      <c r="AI714" s="2">
        <f>Table__192.168.3.138DYLAgingReport[[#This Row],[NetAmount]]-Table__192.168.3.138DYLAgingReport[[#This Row],[Paid]]</f>
        <v>55147</v>
      </c>
    </row>
    <row r="715" spans="1:35">
      <c r="A715" t="s">
        <v>1710</v>
      </c>
      <c r="B715" s="1">
        <v>40935</v>
      </c>
      <c r="C715" s="1">
        <v>40980</v>
      </c>
      <c r="D715" t="s">
        <v>172</v>
      </c>
      <c r="E715">
        <v>47500</v>
      </c>
      <c r="F715">
        <v>7600</v>
      </c>
      <c r="G715">
        <v>0</v>
      </c>
      <c r="H715">
        <v>0</v>
      </c>
      <c r="I715">
        <v>329</v>
      </c>
      <c r="J715">
        <v>55100</v>
      </c>
      <c r="K715" t="s">
        <v>1711</v>
      </c>
      <c r="L715" s="1">
        <v>40939</v>
      </c>
      <c r="N715" t="s">
        <v>36</v>
      </c>
      <c r="O715" t="s">
        <v>37</v>
      </c>
      <c r="P715" t="s">
        <v>309</v>
      </c>
      <c r="Q715" t="s">
        <v>39</v>
      </c>
      <c r="R715" t="s">
        <v>40</v>
      </c>
      <c r="S715">
        <v>0</v>
      </c>
      <c r="U715" t="s">
        <v>41</v>
      </c>
      <c r="V715" t="s">
        <v>42</v>
      </c>
      <c r="X715" t="s">
        <v>74</v>
      </c>
      <c r="Y715" t="b">
        <v>0</v>
      </c>
      <c r="Z715" t="b">
        <v>0</v>
      </c>
      <c r="AB715" t="s">
        <v>1712</v>
      </c>
      <c r="AC715" s="1">
        <v>41156</v>
      </c>
      <c r="AD715" t="s">
        <v>1713</v>
      </c>
      <c r="AE715" t="s">
        <v>1714</v>
      </c>
      <c r="AF715">
        <v>13887</v>
      </c>
      <c r="AG715">
        <v>45</v>
      </c>
      <c r="AH715">
        <v>374</v>
      </c>
      <c r="AI715" s="2">
        <f>Table__192.168.3.138DYLAgingReport[[#This Row],[NetAmount]]-Table__192.168.3.138DYLAgingReport[[#This Row],[Paid]]</f>
        <v>41213</v>
      </c>
    </row>
    <row r="716" spans="1:35">
      <c r="A716" t="s">
        <v>1715</v>
      </c>
      <c r="B716" s="1">
        <v>40925</v>
      </c>
      <c r="C716" s="1">
        <v>40970</v>
      </c>
      <c r="D716" t="s">
        <v>268</v>
      </c>
      <c r="E716">
        <v>138075</v>
      </c>
      <c r="F716">
        <v>22092</v>
      </c>
      <c r="G716">
        <v>0</v>
      </c>
      <c r="H716">
        <v>0</v>
      </c>
      <c r="I716">
        <v>343</v>
      </c>
      <c r="J716">
        <v>160167</v>
      </c>
      <c r="K716" t="s">
        <v>1716</v>
      </c>
      <c r="L716" s="1">
        <v>40925</v>
      </c>
      <c r="N716" t="s">
        <v>36</v>
      </c>
      <c r="O716" t="s">
        <v>37</v>
      </c>
      <c r="P716" t="s">
        <v>405</v>
      </c>
      <c r="Q716" t="s">
        <v>39</v>
      </c>
      <c r="R716" t="s">
        <v>40</v>
      </c>
      <c r="S716">
        <v>0</v>
      </c>
      <c r="U716" t="s">
        <v>41</v>
      </c>
      <c r="V716" t="s">
        <v>42</v>
      </c>
      <c r="X716" t="s">
        <v>74</v>
      </c>
      <c r="Y716" t="b">
        <v>0</v>
      </c>
      <c r="Z716" t="b">
        <v>0</v>
      </c>
      <c r="AB716" t="s">
        <v>1717</v>
      </c>
      <c r="AC716" s="1">
        <v>41159</v>
      </c>
      <c r="AD716" t="s">
        <v>1718</v>
      </c>
      <c r="AE716" t="s">
        <v>1719</v>
      </c>
      <c r="AF716">
        <v>9914</v>
      </c>
      <c r="AG716">
        <v>45</v>
      </c>
      <c r="AH716">
        <v>388</v>
      </c>
      <c r="AI716" s="2">
        <f>Table__192.168.3.138DYLAgingReport[[#This Row],[NetAmount]]-Table__192.168.3.138DYLAgingReport[[#This Row],[Paid]]</f>
        <v>150253</v>
      </c>
    </row>
    <row r="717" spans="1:35">
      <c r="A717" t="s">
        <v>1720</v>
      </c>
      <c r="B717" s="1">
        <v>40938</v>
      </c>
      <c r="C717" s="1">
        <v>40983</v>
      </c>
      <c r="D717" t="s">
        <v>201</v>
      </c>
      <c r="E717">
        <v>47540</v>
      </c>
      <c r="F717">
        <v>7606</v>
      </c>
      <c r="G717">
        <v>0</v>
      </c>
      <c r="H717">
        <v>0</v>
      </c>
      <c r="I717">
        <v>330</v>
      </c>
      <c r="J717">
        <v>55146</v>
      </c>
      <c r="K717" t="s">
        <v>1721</v>
      </c>
      <c r="L717" s="1">
        <v>40938</v>
      </c>
      <c r="N717" t="s">
        <v>36</v>
      </c>
      <c r="O717" t="s">
        <v>37</v>
      </c>
      <c r="P717" t="s">
        <v>338</v>
      </c>
      <c r="Q717" t="s">
        <v>39</v>
      </c>
      <c r="R717" t="s">
        <v>40</v>
      </c>
      <c r="S717">
        <v>0</v>
      </c>
      <c r="U717" t="s">
        <v>41</v>
      </c>
      <c r="V717" t="s">
        <v>42</v>
      </c>
      <c r="X717" t="s">
        <v>74</v>
      </c>
      <c r="Y717" t="b">
        <v>0</v>
      </c>
      <c r="Z717" t="b">
        <v>0</v>
      </c>
      <c r="AB717" t="s">
        <v>485</v>
      </c>
      <c r="AC717" s="1">
        <v>41236</v>
      </c>
      <c r="AF717">
        <v>0</v>
      </c>
      <c r="AG717">
        <v>45</v>
      </c>
      <c r="AH717">
        <v>375</v>
      </c>
      <c r="AI717" s="2">
        <f>Table__192.168.3.138DYLAgingReport[[#This Row],[NetAmount]]-Table__192.168.3.138DYLAgingReport[[#This Row],[Paid]]</f>
        <v>55146</v>
      </c>
    </row>
    <row r="718" spans="1:35">
      <c r="A718" t="s">
        <v>1722</v>
      </c>
      <c r="B718" s="1">
        <v>40939</v>
      </c>
      <c r="C718" s="1">
        <v>40984</v>
      </c>
      <c r="D718" t="s">
        <v>239</v>
      </c>
      <c r="E718">
        <v>166048</v>
      </c>
      <c r="F718">
        <v>26568</v>
      </c>
      <c r="G718">
        <v>0</v>
      </c>
      <c r="H718">
        <v>0</v>
      </c>
      <c r="I718">
        <v>329</v>
      </c>
      <c r="J718">
        <v>192616</v>
      </c>
      <c r="K718" t="s">
        <v>1723</v>
      </c>
      <c r="L718" s="1">
        <v>40939</v>
      </c>
      <c r="N718" t="s">
        <v>36</v>
      </c>
      <c r="O718" t="s">
        <v>37</v>
      </c>
      <c r="P718" t="s">
        <v>376</v>
      </c>
      <c r="Q718" t="s">
        <v>39</v>
      </c>
      <c r="R718" t="s">
        <v>40</v>
      </c>
      <c r="S718">
        <v>0</v>
      </c>
      <c r="U718" t="s">
        <v>41</v>
      </c>
      <c r="V718" t="s">
        <v>42</v>
      </c>
      <c r="X718" t="s">
        <v>74</v>
      </c>
      <c r="Y718" t="b">
        <v>0</v>
      </c>
      <c r="Z718" t="b">
        <v>0</v>
      </c>
      <c r="AC718" s="1"/>
      <c r="AF718">
        <v>0</v>
      </c>
      <c r="AG718">
        <v>45</v>
      </c>
      <c r="AH718">
        <v>374</v>
      </c>
      <c r="AI718" s="2">
        <f>Table__192.168.3.138DYLAgingReport[[#This Row],[NetAmount]]-Table__192.168.3.138DYLAgingReport[[#This Row],[Paid]]</f>
        <v>192616</v>
      </c>
    </row>
    <row r="719" spans="1:35">
      <c r="A719" t="s">
        <v>1724</v>
      </c>
      <c r="B719" s="1">
        <v>40939</v>
      </c>
      <c r="C719" s="1">
        <v>40984</v>
      </c>
      <c r="D719" t="s">
        <v>208</v>
      </c>
      <c r="E719">
        <v>27244</v>
      </c>
      <c r="F719">
        <v>4359</v>
      </c>
      <c r="G719">
        <v>0</v>
      </c>
      <c r="H719">
        <v>0</v>
      </c>
      <c r="I719">
        <v>332</v>
      </c>
      <c r="J719">
        <v>31603</v>
      </c>
      <c r="K719" t="s">
        <v>1725</v>
      </c>
      <c r="L719" s="1">
        <v>40936</v>
      </c>
      <c r="N719" t="s">
        <v>36</v>
      </c>
      <c r="O719" t="s">
        <v>37</v>
      </c>
      <c r="P719" t="s">
        <v>345</v>
      </c>
      <c r="Q719" t="s">
        <v>39</v>
      </c>
      <c r="R719" t="s">
        <v>40</v>
      </c>
      <c r="S719">
        <v>0</v>
      </c>
      <c r="U719" t="s">
        <v>41</v>
      </c>
      <c r="V719" t="s">
        <v>42</v>
      </c>
      <c r="X719" t="s">
        <v>74</v>
      </c>
      <c r="Y719" t="b">
        <v>0</v>
      </c>
      <c r="Z719" t="b">
        <v>0</v>
      </c>
      <c r="AB719" t="s">
        <v>1726</v>
      </c>
      <c r="AC719" s="1">
        <v>41031</v>
      </c>
      <c r="AD719" t="s">
        <v>1727</v>
      </c>
      <c r="AE719" t="s">
        <v>466</v>
      </c>
      <c r="AF719">
        <v>31557</v>
      </c>
      <c r="AG719">
        <v>45</v>
      </c>
      <c r="AH719">
        <v>377</v>
      </c>
      <c r="AI719" s="2">
        <f>Table__192.168.3.138DYLAgingReport[[#This Row],[NetAmount]]-Table__192.168.3.138DYLAgingReport[[#This Row],[Paid]]</f>
        <v>46</v>
      </c>
    </row>
    <row r="720" spans="1:35">
      <c r="A720" t="s">
        <v>1728</v>
      </c>
      <c r="B720" s="1">
        <v>40948</v>
      </c>
      <c r="C720" s="1">
        <v>40993</v>
      </c>
      <c r="D720" t="s">
        <v>220</v>
      </c>
      <c r="E720">
        <v>504200</v>
      </c>
      <c r="F720">
        <v>80672</v>
      </c>
      <c r="G720">
        <v>0</v>
      </c>
      <c r="H720">
        <v>0</v>
      </c>
      <c r="I720">
        <v>320</v>
      </c>
      <c r="J720">
        <v>584872</v>
      </c>
      <c r="K720" t="s">
        <v>1729</v>
      </c>
      <c r="L720" s="1">
        <v>40948</v>
      </c>
      <c r="N720" t="s">
        <v>36</v>
      </c>
      <c r="O720" t="s">
        <v>37</v>
      </c>
      <c r="P720" t="s">
        <v>357</v>
      </c>
      <c r="Q720" t="s">
        <v>39</v>
      </c>
      <c r="R720" t="s">
        <v>40</v>
      </c>
      <c r="S720">
        <v>0</v>
      </c>
      <c r="U720" t="s">
        <v>41</v>
      </c>
      <c r="V720" t="s">
        <v>42</v>
      </c>
      <c r="X720" t="s">
        <v>74</v>
      </c>
      <c r="Y720" t="b">
        <v>0</v>
      </c>
      <c r="Z720" t="b">
        <v>0</v>
      </c>
      <c r="AB720" t="s">
        <v>1730</v>
      </c>
      <c r="AC720" s="1">
        <v>41185</v>
      </c>
      <c r="AD720" t="s">
        <v>1731</v>
      </c>
      <c r="AE720" t="s">
        <v>1732</v>
      </c>
      <c r="AF720">
        <v>577269</v>
      </c>
      <c r="AG720">
        <v>45</v>
      </c>
      <c r="AH720">
        <v>365</v>
      </c>
      <c r="AI720" s="2">
        <f>Table__192.168.3.138DYLAgingReport[[#This Row],[NetAmount]]-Table__192.168.3.138DYLAgingReport[[#This Row],[Paid]]</f>
        <v>7603</v>
      </c>
    </row>
    <row r="721" spans="1:35">
      <c r="A721" t="s">
        <v>1733</v>
      </c>
      <c r="B721" s="1">
        <v>40759</v>
      </c>
      <c r="C721" s="1">
        <v>40804</v>
      </c>
      <c r="D721" t="s">
        <v>208</v>
      </c>
      <c r="E721">
        <v>95775</v>
      </c>
      <c r="F721">
        <v>15324</v>
      </c>
      <c r="G721">
        <v>0</v>
      </c>
      <c r="H721">
        <v>0</v>
      </c>
      <c r="I721">
        <v>509</v>
      </c>
      <c r="J721">
        <v>111099</v>
      </c>
      <c r="K721" t="s">
        <v>1734</v>
      </c>
      <c r="L721" s="1">
        <v>40759</v>
      </c>
      <c r="N721" t="s">
        <v>36</v>
      </c>
      <c r="O721" t="s">
        <v>37</v>
      </c>
      <c r="P721" t="s">
        <v>345</v>
      </c>
      <c r="Q721" t="s">
        <v>39</v>
      </c>
      <c r="R721" t="s">
        <v>40</v>
      </c>
      <c r="S721">
        <v>0</v>
      </c>
      <c r="U721" t="s">
        <v>41</v>
      </c>
      <c r="V721" t="s">
        <v>42</v>
      </c>
      <c r="X721" t="s">
        <v>74</v>
      </c>
      <c r="Y721" t="b">
        <v>0</v>
      </c>
      <c r="Z721" t="b">
        <v>0</v>
      </c>
      <c r="AB721" t="s">
        <v>1735</v>
      </c>
      <c r="AC721" s="1">
        <v>41099</v>
      </c>
      <c r="AE721" t="s">
        <v>1736</v>
      </c>
      <c r="AF721">
        <v>0</v>
      </c>
      <c r="AG721">
        <v>45</v>
      </c>
      <c r="AH721">
        <v>554</v>
      </c>
      <c r="AI721" s="2">
        <f>Table__192.168.3.138DYLAgingReport[[#This Row],[NetAmount]]-Table__192.168.3.138DYLAgingReport[[#This Row],[Paid]]</f>
        <v>111099</v>
      </c>
    </row>
    <row r="722" spans="1:35">
      <c r="A722" t="s">
        <v>1737</v>
      </c>
      <c r="B722" s="1">
        <v>40875</v>
      </c>
      <c r="C722" s="1">
        <v>40875</v>
      </c>
      <c r="D722" t="s">
        <v>214</v>
      </c>
      <c r="E722">
        <v>888</v>
      </c>
      <c r="F722">
        <v>0</v>
      </c>
      <c r="G722">
        <v>0</v>
      </c>
      <c r="H722">
        <v>0</v>
      </c>
      <c r="I722">
        <v>418</v>
      </c>
      <c r="J722">
        <v>888</v>
      </c>
      <c r="K722" t="s">
        <v>1738</v>
      </c>
      <c r="L722" s="1">
        <v>40850</v>
      </c>
      <c r="N722" t="s">
        <v>36</v>
      </c>
      <c r="O722" t="s">
        <v>37</v>
      </c>
      <c r="P722" t="s">
        <v>351</v>
      </c>
      <c r="Q722" t="s">
        <v>39</v>
      </c>
      <c r="R722" t="s">
        <v>40</v>
      </c>
      <c r="S722">
        <v>0</v>
      </c>
      <c r="U722" t="s">
        <v>41</v>
      </c>
      <c r="V722" t="s">
        <v>42</v>
      </c>
      <c r="X722" t="s">
        <v>74</v>
      </c>
      <c r="Y722" t="b">
        <v>0</v>
      </c>
      <c r="Z722" t="b">
        <v>0</v>
      </c>
      <c r="AC722" s="1"/>
      <c r="AF722">
        <v>0</v>
      </c>
      <c r="AG722">
        <v>45</v>
      </c>
      <c r="AH722">
        <v>463</v>
      </c>
      <c r="AI722" s="2">
        <f>Table__192.168.3.138DYLAgingReport[[#This Row],[NetAmount]]-Table__192.168.3.138DYLAgingReport[[#This Row],[Paid]]</f>
        <v>888</v>
      </c>
    </row>
    <row r="723" spans="1:35">
      <c r="A723" t="s">
        <v>1739</v>
      </c>
      <c r="B723" s="1">
        <v>40859</v>
      </c>
      <c r="C723" s="1">
        <v>40859</v>
      </c>
      <c r="D723" t="s">
        <v>214</v>
      </c>
      <c r="E723">
        <v>350</v>
      </c>
      <c r="F723">
        <v>0</v>
      </c>
      <c r="G723">
        <v>0</v>
      </c>
      <c r="H723">
        <v>0</v>
      </c>
      <c r="I723">
        <v>409</v>
      </c>
      <c r="J723">
        <v>350</v>
      </c>
      <c r="L723" s="1">
        <v>40859</v>
      </c>
      <c r="N723" t="s">
        <v>36</v>
      </c>
      <c r="O723" t="s">
        <v>37</v>
      </c>
      <c r="P723" t="s">
        <v>351</v>
      </c>
      <c r="Q723" t="s">
        <v>39</v>
      </c>
      <c r="R723" t="s">
        <v>40</v>
      </c>
      <c r="S723">
        <v>0</v>
      </c>
      <c r="U723" t="s">
        <v>41</v>
      </c>
      <c r="V723" t="s">
        <v>42</v>
      </c>
      <c r="X723" t="s">
        <v>74</v>
      </c>
      <c r="Y723" t="b">
        <v>0</v>
      </c>
      <c r="Z723" t="b">
        <v>0</v>
      </c>
      <c r="AC723" s="1"/>
      <c r="AF723">
        <v>0</v>
      </c>
      <c r="AG723">
        <v>45</v>
      </c>
      <c r="AH723">
        <v>454</v>
      </c>
      <c r="AI723" s="2">
        <f>Table__192.168.3.138DYLAgingReport[[#This Row],[NetAmount]]-Table__192.168.3.138DYLAgingReport[[#This Row],[Paid]]</f>
        <v>350</v>
      </c>
    </row>
    <row r="724" spans="1:35">
      <c r="A724" t="s">
        <v>1740</v>
      </c>
      <c r="B724" s="1">
        <v>40953</v>
      </c>
      <c r="C724" s="1">
        <v>40998</v>
      </c>
      <c r="D724" t="s">
        <v>176</v>
      </c>
      <c r="E724">
        <v>28000</v>
      </c>
      <c r="F724">
        <v>4480</v>
      </c>
      <c r="G724">
        <v>0</v>
      </c>
      <c r="H724">
        <v>0</v>
      </c>
      <c r="I724">
        <v>316</v>
      </c>
      <c r="J724">
        <v>32480</v>
      </c>
      <c r="K724" t="s">
        <v>1741</v>
      </c>
      <c r="L724" s="1">
        <v>40952</v>
      </c>
      <c r="M724" t="s">
        <v>1742</v>
      </c>
      <c r="N724" t="s">
        <v>36</v>
      </c>
      <c r="O724" t="s">
        <v>37</v>
      </c>
      <c r="P724" t="s">
        <v>313</v>
      </c>
      <c r="Q724" t="s">
        <v>39</v>
      </c>
      <c r="R724" t="s">
        <v>40</v>
      </c>
      <c r="S724">
        <v>0</v>
      </c>
      <c r="U724" t="s">
        <v>41</v>
      </c>
      <c r="V724" t="s">
        <v>42</v>
      </c>
      <c r="W724" t="s">
        <v>494</v>
      </c>
      <c r="X724" t="s">
        <v>74</v>
      </c>
      <c r="Y724" t="b">
        <v>0</v>
      </c>
      <c r="Z724" t="b">
        <v>0</v>
      </c>
      <c r="AA724" t="b">
        <v>0</v>
      </c>
      <c r="AC724" s="1"/>
      <c r="AF724">
        <v>0</v>
      </c>
      <c r="AG724">
        <v>45</v>
      </c>
      <c r="AH724">
        <v>361</v>
      </c>
      <c r="AI724" s="2">
        <f>Table__192.168.3.138DYLAgingReport[[#This Row],[NetAmount]]-Table__192.168.3.138DYLAgingReport[[#This Row],[Paid]]</f>
        <v>32480</v>
      </c>
    </row>
    <row r="725" spans="1:35">
      <c r="A725" t="s">
        <v>1743</v>
      </c>
      <c r="B725" s="1">
        <v>40949</v>
      </c>
      <c r="C725" s="1">
        <v>40994</v>
      </c>
      <c r="D725" t="s">
        <v>180</v>
      </c>
      <c r="E725">
        <v>12666</v>
      </c>
      <c r="F725">
        <v>2027</v>
      </c>
      <c r="G725">
        <v>0</v>
      </c>
      <c r="H725">
        <v>0</v>
      </c>
      <c r="I725">
        <v>319</v>
      </c>
      <c r="J725">
        <v>14693</v>
      </c>
      <c r="K725" t="s">
        <v>1744</v>
      </c>
      <c r="L725" s="1">
        <v>40949</v>
      </c>
      <c r="N725" t="s">
        <v>36</v>
      </c>
      <c r="O725" t="s">
        <v>37</v>
      </c>
      <c r="P725" t="s">
        <v>317</v>
      </c>
      <c r="Q725" t="s">
        <v>39</v>
      </c>
      <c r="R725" t="s">
        <v>40</v>
      </c>
      <c r="S725">
        <v>0</v>
      </c>
      <c r="U725" t="s">
        <v>41</v>
      </c>
      <c r="V725" t="s">
        <v>42</v>
      </c>
      <c r="X725" t="s">
        <v>74</v>
      </c>
      <c r="Y725" t="b">
        <v>0</v>
      </c>
      <c r="Z725" t="b">
        <v>0</v>
      </c>
      <c r="AB725" t="s">
        <v>1745</v>
      </c>
      <c r="AC725" s="1">
        <v>41000</v>
      </c>
      <c r="AD725" t="s">
        <v>1746</v>
      </c>
      <c r="AE725" t="s">
        <v>1747</v>
      </c>
      <c r="AF725">
        <v>14600</v>
      </c>
      <c r="AG725">
        <v>45</v>
      </c>
      <c r="AH725">
        <v>364</v>
      </c>
      <c r="AI725" s="2">
        <f>Table__192.168.3.138DYLAgingReport[[#This Row],[NetAmount]]-Table__192.168.3.138DYLAgingReport[[#This Row],[Paid]]</f>
        <v>93</v>
      </c>
    </row>
    <row r="726" spans="1:35">
      <c r="A726" t="s">
        <v>1748</v>
      </c>
      <c r="B726" s="1">
        <v>40953</v>
      </c>
      <c r="C726" s="1">
        <v>40998</v>
      </c>
      <c r="D726" t="s">
        <v>219</v>
      </c>
      <c r="E726">
        <v>13360</v>
      </c>
      <c r="F726">
        <v>2138</v>
      </c>
      <c r="G726">
        <v>0</v>
      </c>
      <c r="H726">
        <v>0</v>
      </c>
      <c r="I726">
        <v>315</v>
      </c>
      <c r="J726">
        <v>15498</v>
      </c>
      <c r="K726" t="s">
        <v>1749</v>
      </c>
      <c r="L726" s="1">
        <v>40953</v>
      </c>
      <c r="N726" t="s">
        <v>36</v>
      </c>
      <c r="O726" t="s">
        <v>37</v>
      </c>
      <c r="P726" t="s">
        <v>356</v>
      </c>
      <c r="Q726" t="s">
        <v>39</v>
      </c>
      <c r="R726" t="s">
        <v>40</v>
      </c>
      <c r="S726">
        <v>0</v>
      </c>
      <c r="U726" t="s">
        <v>41</v>
      </c>
      <c r="V726" t="s">
        <v>42</v>
      </c>
      <c r="X726" t="s">
        <v>74</v>
      </c>
      <c r="Y726" t="b">
        <v>0</v>
      </c>
      <c r="Z726" t="b">
        <v>0</v>
      </c>
      <c r="AB726" t="s">
        <v>462</v>
      </c>
      <c r="AC726" s="1">
        <v>41115</v>
      </c>
      <c r="AF726">
        <v>0</v>
      </c>
      <c r="AG726">
        <v>45</v>
      </c>
      <c r="AH726">
        <v>360</v>
      </c>
      <c r="AI726" s="2">
        <f>Table__192.168.3.138DYLAgingReport[[#This Row],[NetAmount]]-Table__192.168.3.138DYLAgingReport[[#This Row],[Paid]]</f>
        <v>15498</v>
      </c>
    </row>
    <row r="727" spans="1:35">
      <c r="A727" t="s">
        <v>1750</v>
      </c>
      <c r="B727" s="1">
        <v>40941</v>
      </c>
      <c r="C727" s="1">
        <v>40986</v>
      </c>
      <c r="D727" t="s">
        <v>201</v>
      </c>
      <c r="E727">
        <v>47540</v>
      </c>
      <c r="F727">
        <v>7606</v>
      </c>
      <c r="G727">
        <v>0</v>
      </c>
      <c r="H727">
        <v>0</v>
      </c>
      <c r="I727">
        <v>327</v>
      </c>
      <c r="J727">
        <v>55146</v>
      </c>
      <c r="K727" t="s">
        <v>1751</v>
      </c>
      <c r="L727" s="1">
        <v>40941</v>
      </c>
      <c r="N727" t="s">
        <v>36</v>
      </c>
      <c r="O727" t="s">
        <v>37</v>
      </c>
      <c r="P727" t="s">
        <v>338</v>
      </c>
      <c r="Q727" t="s">
        <v>39</v>
      </c>
      <c r="R727" t="s">
        <v>40</v>
      </c>
      <c r="S727">
        <v>0</v>
      </c>
      <c r="U727" t="s">
        <v>41</v>
      </c>
      <c r="V727" t="s">
        <v>42</v>
      </c>
      <c r="X727" t="s">
        <v>74</v>
      </c>
      <c r="Y727" t="b">
        <v>0</v>
      </c>
      <c r="Z727" t="b">
        <v>0</v>
      </c>
      <c r="AB727" t="s">
        <v>485</v>
      </c>
      <c r="AC727" s="1">
        <v>41236</v>
      </c>
      <c r="AF727">
        <v>0</v>
      </c>
      <c r="AG727">
        <v>45</v>
      </c>
      <c r="AH727">
        <v>372</v>
      </c>
      <c r="AI727" s="2">
        <f>Table__192.168.3.138DYLAgingReport[[#This Row],[NetAmount]]-Table__192.168.3.138DYLAgingReport[[#This Row],[Paid]]</f>
        <v>55146</v>
      </c>
    </row>
    <row r="728" spans="1:35">
      <c r="A728" t="s">
        <v>1752</v>
      </c>
      <c r="B728" s="1">
        <v>40947</v>
      </c>
      <c r="C728" s="1">
        <v>40992</v>
      </c>
      <c r="D728" t="s">
        <v>201</v>
      </c>
      <c r="E728">
        <v>47540</v>
      </c>
      <c r="F728">
        <v>7606</v>
      </c>
      <c r="G728">
        <v>0</v>
      </c>
      <c r="H728">
        <v>0</v>
      </c>
      <c r="I728">
        <v>321</v>
      </c>
      <c r="J728">
        <v>55146</v>
      </c>
      <c r="K728" t="s">
        <v>1753</v>
      </c>
      <c r="L728" s="1">
        <v>40947</v>
      </c>
      <c r="N728" t="s">
        <v>36</v>
      </c>
      <c r="O728" t="s">
        <v>37</v>
      </c>
      <c r="P728" t="s">
        <v>338</v>
      </c>
      <c r="Q728" t="s">
        <v>39</v>
      </c>
      <c r="R728" t="s">
        <v>40</v>
      </c>
      <c r="S728">
        <v>0</v>
      </c>
      <c r="U728" t="s">
        <v>41</v>
      </c>
      <c r="V728" t="s">
        <v>42</v>
      </c>
      <c r="X728" t="s">
        <v>74</v>
      </c>
      <c r="Y728" t="b">
        <v>0</v>
      </c>
      <c r="Z728" t="b">
        <v>0</v>
      </c>
      <c r="AB728" t="s">
        <v>485</v>
      </c>
      <c r="AC728" s="1">
        <v>41236</v>
      </c>
      <c r="AF728">
        <v>0</v>
      </c>
      <c r="AG728">
        <v>45</v>
      </c>
      <c r="AH728">
        <v>366</v>
      </c>
      <c r="AI728" s="2">
        <f>Table__192.168.3.138DYLAgingReport[[#This Row],[NetAmount]]-Table__192.168.3.138DYLAgingReport[[#This Row],[Paid]]</f>
        <v>55146</v>
      </c>
    </row>
    <row r="729" spans="1:35">
      <c r="A729" t="s">
        <v>1754</v>
      </c>
      <c r="B729" s="1">
        <v>40947</v>
      </c>
      <c r="C729" s="1">
        <v>40992</v>
      </c>
      <c r="D729" t="s">
        <v>201</v>
      </c>
      <c r="E729">
        <v>42090</v>
      </c>
      <c r="F729">
        <v>6734</v>
      </c>
      <c r="G729">
        <v>0</v>
      </c>
      <c r="H729">
        <v>0</v>
      </c>
      <c r="I729">
        <v>321</v>
      </c>
      <c r="J729">
        <v>48824</v>
      </c>
      <c r="K729" t="s">
        <v>1755</v>
      </c>
      <c r="L729" s="1">
        <v>40947</v>
      </c>
      <c r="N729" t="s">
        <v>36</v>
      </c>
      <c r="O729" t="s">
        <v>37</v>
      </c>
      <c r="P729" t="s">
        <v>338</v>
      </c>
      <c r="Q729" t="s">
        <v>39</v>
      </c>
      <c r="R729" t="s">
        <v>40</v>
      </c>
      <c r="S729">
        <v>0</v>
      </c>
      <c r="U729" t="s">
        <v>41</v>
      </c>
      <c r="V729" t="s">
        <v>42</v>
      </c>
      <c r="X729" t="s">
        <v>74</v>
      </c>
      <c r="Y729" t="b">
        <v>0</v>
      </c>
      <c r="Z729" t="b">
        <v>0</v>
      </c>
      <c r="AB729" t="s">
        <v>485</v>
      </c>
      <c r="AC729" s="1">
        <v>41236</v>
      </c>
      <c r="AF729">
        <v>0</v>
      </c>
      <c r="AG729">
        <v>45</v>
      </c>
      <c r="AH729">
        <v>366</v>
      </c>
      <c r="AI729" s="2">
        <f>Table__192.168.3.138DYLAgingReport[[#This Row],[NetAmount]]-Table__192.168.3.138DYLAgingReport[[#This Row],[Paid]]</f>
        <v>48824</v>
      </c>
    </row>
    <row r="730" spans="1:35">
      <c r="A730" t="s">
        <v>1756</v>
      </c>
      <c r="B730" s="1">
        <v>40950</v>
      </c>
      <c r="C730" s="1">
        <v>40995</v>
      </c>
      <c r="D730" t="s">
        <v>201</v>
      </c>
      <c r="E730">
        <v>11224</v>
      </c>
      <c r="F730">
        <v>1796</v>
      </c>
      <c r="G730">
        <v>0</v>
      </c>
      <c r="H730">
        <v>0</v>
      </c>
      <c r="I730">
        <v>318</v>
      </c>
      <c r="J730">
        <v>13020</v>
      </c>
      <c r="K730" t="s">
        <v>1757</v>
      </c>
      <c r="L730" s="1">
        <v>40950</v>
      </c>
      <c r="N730" t="s">
        <v>36</v>
      </c>
      <c r="O730" t="s">
        <v>37</v>
      </c>
      <c r="P730" t="s">
        <v>338</v>
      </c>
      <c r="Q730" t="s">
        <v>39</v>
      </c>
      <c r="R730" t="s">
        <v>40</v>
      </c>
      <c r="S730">
        <v>0</v>
      </c>
      <c r="U730" t="s">
        <v>41</v>
      </c>
      <c r="V730" t="s">
        <v>42</v>
      </c>
      <c r="X730" t="s">
        <v>74</v>
      </c>
      <c r="Y730" t="b">
        <v>0</v>
      </c>
      <c r="Z730" t="b">
        <v>0</v>
      </c>
      <c r="AB730" t="s">
        <v>485</v>
      </c>
      <c r="AC730" s="1">
        <v>41236</v>
      </c>
      <c r="AF730">
        <v>0</v>
      </c>
      <c r="AG730">
        <v>45</v>
      </c>
      <c r="AH730">
        <v>363</v>
      </c>
      <c r="AI730" s="2">
        <f>Table__192.168.3.138DYLAgingReport[[#This Row],[NetAmount]]-Table__192.168.3.138DYLAgingReport[[#This Row],[Paid]]</f>
        <v>13020</v>
      </c>
    </row>
    <row r="731" spans="1:35">
      <c r="A731" t="s">
        <v>1758</v>
      </c>
      <c r="B731" s="1">
        <v>40950</v>
      </c>
      <c r="C731" s="1">
        <v>40995</v>
      </c>
      <c r="D731" t="s">
        <v>201</v>
      </c>
      <c r="E731">
        <v>59425</v>
      </c>
      <c r="F731">
        <v>9508</v>
      </c>
      <c r="G731">
        <v>0</v>
      </c>
      <c r="H731">
        <v>0</v>
      </c>
      <c r="I731">
        <v>318</v>
      </c>
      <c r="J731">
        <v>68933</v>
      </c>
      <c r="K731" t="s">
        <v>1759</v>
      </c>
      <c r="L731" s="1">
        <v>40950</v>
      </c>
      <c r="N731" t="s">
        <v>36</v>
      </c>
      <c r="O731" t="s">
        <v>37</v>
      </c>
      <c r="P731" t="s">
        <v>338</v>
      </c>
      <c r="Q731" t="s">
        <v>39</v>
      </c>
      <c r="R731" t="s">
        <v>40</v>
      </c>
      <c r="S731">
        <v>0</v>
      </c>
      <c r="U731" t="s">
        <v>41</v>
      </c>
      <c r="V731" t="s">
        <v>42</v>
      </c>
      <c r="X731" t="s">
        <v>74</v>
      </c>
      <c r="Y731" t="b">
        <v>0</v>
      </c>
      <c r="Z731" t="b">
        <v>0</v>
      </c>
      <c r="AB731" t="s">
        <v>485</v>
      </c>
      <c r="AC731" s="1">
        <v>41236</v>
      </c>
      <c r="AF731">
        <v>0</v>
      </c>
      <c r="AG731">
        <v>45</v>
      </c>
      <c r="AH731">
        <v>363</v>
      </c>
      <c r="AI731" s="2">
        <f>Table__192.168.3.138DYLAgingReport[[#This Row],[NetAmount]]-Table__192.168.3.138DYLAgingReport[[#This Row],[Paid]]</f>
        <v>68933</v>
      </c>
    </row>
    <row r="732" spans="1:35">
      <c r="A732" t="s">
        <v>1760</v>
      </c>
      <c r="B732" s="1">
        <v>40954</v>
      </c>
      <c r="C732" s="1">
        <v>40999</v>
      </c>
      <c r="D732" t="s">
        <v>201</v>
      </c>
      <c r="E732">
        <v>14262</v>
      </c>
      <c r="F732">
        <v>2282</v>
      </c>
      <c r="G732">
        <v>0</v>
      </c>
      <c r="H732">
        <v>0</v>
      </c>
      <c r="I732">
        <v>314</v>
      </c>
      <c r="J732">
        <v>16544</v>
      </c>
      <c r="K732" t="s">
        <v>1761</v>
      </c>
      <c r="L732" s="1">
        <v>40954</v>
      </c>
      <c r="N732" t="s">
        <v>36</v>
      </c>
      <c r="O732" t="s">
        <v>37</v>
      </c>
      <c r="P732" t="s">
        <v>338</v>
      </c>
      <c r="Q732" t="s">
        <v>39</v>
      </c>
      <c r="R732" t="s">
        <v>40</v>
      </c>
      <c r="S732">
        <v>0</v>
      </c>
      <c r="U732" t="s">
        <v>41</v>
      </c>
      <c r="V732" t="s">
        <v>42</v>
      </c>
      <c r="X732" t="s">
        <v>74</v>
      </c>
      <c r="Y732" t="b">
        <v>0</v>
      </c>
      <c r="Z732" t="b">
        <v>0</v>
      </c>
      <c r="AB732" t="s">
        <v>485</v>
      </c>
      <c r="AC732" s="1">
        <v>41236</v>
      </c>
      <c r="AF732">
        <v>0</v>
      </c>
      <c r="AG732">
        <v>45</v>
      </c>
      <c r="AH732">
        <v>359</v>
      </c>
      <c r="AI732" s="2">
        <f>Table__192.168.3.138DYLAgingReport[[#This Row],[NetAmount]]-Table__192.168.3.138DYLAgingReport[[#This Row],[Paid]]</f>
        <v>16544</v>
      </c>
    </row>
    <row r="733" spans="1:35">
      <c r="A733" t="s">
        <v>1762</v>
      </c>
      <c r="B733" s="1">
        <v>40954</v>
      </c>
      <c r="C733" s="1">
        <v>40999</v>
      </c>
      <c r="D733" t="s">
        <v>201</v>
      </c>
      <c r="E733">
        <v>42090</v>
      </c>
      <c r="F733">
        <v>6734</v>
      </c>
      <c r="G733">
        <v>0</v>
      </c>
      <c r="H733">
        <v>0</v>
      </c>
      <c r="I733">
        <v>314</v>
      </c>
      <c r="J733">
        <v>48824</v>
      </c>
      <c r="K733" t="s">
        <v>1763</v>
      </c>
      <c r="L733" s="1">
        <v>40954</v>
      </c>
      <c r="N733" t="s">
        <v>36</v>
      </c>
      <c r="O733" t="s">
        <v>37</v>
      </c>
      <c r="P733" t="s">
        <v>338</v>
      </c>
      <c r="Q733" t="s">
        <v>39</v>
      </c>
      <c r="R733" t="s">
        <v>40</v>
      </c>
      <c r="S733">
        <v>0</v>
      </c>
      <c r="U733" t="s">
        <v>41</v>
      </c>
      <c r="V733" t="s">
        <v>42</v>
      </c>
      <c r="X733" t="s">
        <v>74</v>
      </c>
      <c r="Y733" t="b">
        <v>0</v>
      </c>
      <c r="Z733" t="b">
        <v>0</v>
      </c>
      <c r="AB733" t="s">
        <v>485</v>
      </c>
      <c r="AC733" s="1">
        <v>41236</v>
      </c>
      <c r="AF733">
        <v>0</v>
      </c>
      <c r="AG733">
        <v>45</v>
      </c>
      <c r="AH733">
        <v>359</v>
      </c>
      <c r="AI733" s="2">
        <f>Table__192.168.3.138DYLAgingReport[[#This Row],[NetAmount]]-Table__192.168.3.138DYLAgingReport[[#This Row],[Paid]]</f>
        <v>48824</v>
      </c>
    </row>
    <row r="734" spans="1:35">
      <c r="A734" t="s">
        <v>1764</v>
      </c>
      <c r="B734" s="1">
        <v>40956</v>
      </c>
      <c r="C734" s="1">
        <v>41001</v>
      </c>
      <c r="D734" t="s">
        <v>201</v>
      </c>
      <c r="E734">
        <v>47540</v>
      </c>
      <c r="F734">
        <v>7606</v>
      </c>
      <c r="G734">
        <v>0</v>
      </c>
      <c r="H734">
        <v>0</v>
      </c>
      <c r="I734">
        <v>313</v>
      </c>
      <c r="J734">
        <v>55146</v>
      </c>
      <c r="K734" t="s">
        <v>1765</v>
      </c>
      <c r="L734" s="1">
        <v>40955</v>
      </c>
      <c r="N734" t="s">
        <v>36</v>
      </c>
      <c r="O734" t="s">
        <v>37</v>
      </c>
      <c r="P734" t="s">
        <v>338</v>
      </c>
      <c r="Q734" t="s">
        <v>39</v>
      </c>
      <c r="R734" t="s">
        <v>40</v>
      </c>
      <c r="S734">
        <v>0</v>
      </c>
      <c r="U734" t="s">
        <v>41</v>
      </c>
      <c r="V734" t="s">
        <v>42</v>
      </c>
      <c r="X734" t="s">
        <v>74</v>
      </c>
      <c r="Y734" t="b">
        <v>0</v>
      </c>
      <c r="Z734" t="b">
        <v>0</v>
      </c>
      <c r="AB734" t="s">
        <v>485</v>
      </c>
      <c r="AC734" s="1">
        <v>41236</v>
      </c>
      <c r="AF734">
        <v>0</v>
      </c>
      <c r="AG734">
        <v>45</v>
      </c>
      <c r="AH734">
        <v>358</v>
      </c>
      <c r="AI734" s="2">
        <f>Table__192.168.3.138DYLAgingReport[[#This Row],[NetAmount]]-Table__192.168.3.138DYLAgingReport[[#This Row],[Paid]]</f>
        <v>55146</v>
      </c>
    </row>
    <row r="735" spans="1:35">
      <c r="A735" t="s">
        <v>1766</v>
      </c>
      <c r="B735" s="1">
        <v>40957</v>
      </c>
      <c r="C735" s="1">
        <v>41002</v>
      </c>
      <c r="D735" t="s">
        <v>201</v>
      </c>
      <c r="E735">
        <v>30901</v>
      </c>
      <c r="F735">
        <v>4944</v>
      </c>
      <c r="G735">
        <v>0</v>
      </c>
      <c r="H735">
        <v>0</v>
      </c>
      <c r="I735">
        <v>312</v>
      </c>
      <c r="J735">
        <v>35845</v>
      </c>
      <c r="K735" t="s">
        <v>1767</v>
      </c>
      <c r="L735" s="1">
        <v>40956</v>
      </c>
      <c r="N735" t="s">
        <v>36</v>
      </c>
      <c r="O735" t="s">
        <v>37</v>
      </c>
      <c r="P735" t="s">
        <v>338</v>
      </c>
      <c r="Q735" t="s">
        <v>39</v>
      </c>
      <c r="R735" t="s">
        <v>40</v>
      </c>
      <c r="S735">
        <v>0</v>
      </c>
      <c r="U735" t="s">
        <v>41</v>
      </c>
      <c r="V735" t="s">
        <v>42</v>
      </c>
      <c r="X735" t="s">
        <v>74</v>
      </c>
      <c r="Y735" t="b">
        <v>0</v>
      </c>
      <c r="Z735" t="b">
        <v>0</v>
      </c>
      <c r="AB735" t="s">
        <v>485</v>
      </c>
      <c r="AC735" s="1">
        <v>41236</v>
      </c>
      <c r="AF735">
        <v>0</v>
      </c>
      <c r="AG735">
        <v>45</v>
      </c>
      <c r="AH735">
        <v>357</v>
      </c>
      <c r="AI735" s="2">
        <f>Table__192.168.3.138DYLAgingReport[[#This Row],[NetAmount]]-Table__192.168.3.138DYLAgingReport[[#This Row],[Paid]]</f>
        <v>35845</v>
      </c>
    </row>
    <row r="736" spans="1:35">
      <c r="A736" t="s">
        <v>1768</v>
      </c>
      <c r="B736" s="1">
        <v>40959</v>
      </c>
      <c r="C736" s="1">
        <v>41004</v>
      </c>
      <c r="D736" t="s">
        <v>201</v>
      </c>
      <c r="E736">
        <v>35655</v>
      </c>
      <c r="F736">
        <v>5705</v>
      </c>
      <c r="G736">
        <v>0</v>
      </c>
      <c r="H736">
        <v>0</v>
      </c>
      <c r="I736">
        <v>311</v>
      </c>
      <c r="J736">
        <v>41360</v>
      </c>
      <c r="K736" t="s">
        <v>1769</v>
      </c>
      <c r="L736" s="1">
        <v>40957</v>
      </c>
      <c r="N736" t="s">
        <v>36</v>
      </c>
      <c r="O736" t="s">
        <v>37</v>
      </c>
      <c r="P736" t="s">
        <v>338</v>
      </c>
      <c r="Q736" t="s">
        <v>39</v>
      </c>
      <c r="R736" t="s">
        <v>40</v>
      </c>
      <c r="S736">
        <v>0</v>
      </c>
      <c r="U736" t="s">
        <v>41</v>
      </c>
      <c r="V736" t="s">
        <v>42</v>
      </c>
      <c r="X736" t="s">
        <v>74</v>
      </c>
      <c r="Y736" t="b">
        <v>0</v>
      </c>
      <c r="Z736" t="b">
        <v>0</v>
      </c>
      <c r="AB736" t="s">
        <v>485</v>
      </c>
      <c r="AC736" s="1">
        <v>41236</v>
      </c>
      <c r="AF736">
        <v>0</v>
      </c>
      <c r="AG736">
        <v>45</v>
      </c>
      <c r="AH736">
        <v>356</v>
      </c>
      <c r="AI736" s="2">
        <f>Table__192.168.3.138DYLAgingReport[[#This Row],[NetAmount]]-Table__192.168.3.138DYLAgingReport[[#This Row],[Paid]]</f>
        <v>41360</v>
      </c>
    </row>
    <row r="737" spans="1:35">
      <c r="A737" t="s">
        <v>1770</v>
      </c>
      <c r="B737" s="1">
        <v>40947</v>
      </c>
      <c r="C737" s="1">
        <v>40992</v>
      </c>
      <c r="D737" t="s">
        <v>257</v>
      </c>
      <c r="E737">
        <v>305000</v>
      </c>
      <c r="F737">
        <v>48800</v>
      </c>
      <c r="G737">
        <v>0</v>
      </c>
      <c r="H737">
        <v>0</v>
      </c>
      <c r="I737">
        <v>321</v>
      </c>
      <c r="J737">
        <v>353800</v>
      </c>
      <c r="K737" t="s">
        <v>1771</v>
      </c>
      <c r="L737" s="1">
        <v>40947</v>
      </c>
      <c r="N737" t="s">
        <v>36</v>
      </c>
      <c r="O737" t="s">
        <v>37</v>
      </c>
      <c r="P737" t="s">
        <v>394</v>
      </c>
      <c r="Q737" t="s">
        <v>39</v>
      </c>
      <c r="R737" t="s">
        <v>40</v>
      </c>
      <c r="S737">
        <v>0</v>
      </c>
      <c r="U737" t="s">
        <v>41</v>
      </c>
      <c r="V737" t="s">
        <v>42</v>
      </c>
      <c r="X737" t="s">
        <v>74</v>
      </c>
      <c r="Y737" t="b">
        <v>0</v>
      </c>
      <c r="Z737" t="b">
        <v>0</v>
      </c>
      <c r="AC737" s="1"/>
      <c r="AF737">
        <v>0</v>
      </c>
      <c r="AG737">
        <v>45</v>
      </c>
      <c r="AH737">
        <v>366</v>
      </c>
      <c r="AI737" s="2">
        <f>Table__192.168.3.138DYLAgingReport[[#This Row],[NetAmount]]-Table__192.168.3.138DYLAgingReport[[#This Row],[Paid]]</f>
        <v>353800</v>
      </c>
    </row>
    <row r="738" spans="1:35">
      <c r="A738" t="s">
        <v>1772</v>
      </c>
      <c r="B738" s="1">
        <v>40956</v>
      </c>
      <c r="C738" s="1">
        <v>41001</v>
      </c>
      <c r="D738" t="s">
        <v>219</v>
      </c>
      <c r="E738">
        <v>2908</v>
      </c>
      <c r="F738">
        <v>465</v>
      </c>
      <c r="G738">
        <v>0</v>
      </c>
      <c r="H738">
        <v>0</v>
      </c>
      <c r="I738">
        <v>313</v>
      </c>
      <c r="J738">
        <v>3373</v>
      </c>
      <c r="K738" t="s">
        <v>1773</v>
      </c>
      <c r="L738" s="1">
        <v>40955</v>
      </c>
      <c r="N738" t="s">
        <v>36</v>
      </c>
      <c r="O738" t="s">
        <v>37</v>
      </c>
      <c r="P738" t="s">
        <v>356</v>
      </c>
      <c r="Q738" t="s">
        <v>39</v>
      </c>
      <c r="R738" t="s">
        <v>40</v>
      </c>
      <c r="S738">
        <v>0</v>
      </c>
      <c r="U738" t="s">
        <v>41</v>
      </c>
      <c r="V738" t="s">
        <v>42</v>
      </c>
      <c r="X738" t="s">
        <v>74</v>
      </c>
      <c r="Y738" t="b">
        <v>0</v>
      </c>
      <c r="Z738" t="b">
        <v>0</v>
      </c>
      <c r="AB738" t="s">
        <v>462</v>
      </c>
      <c r="AC738" s="1">
        <v>41115</v>
      </c>
      <c r="AF738">
        <v>0</v>
      </c>
      <c r="AG738">
        <v>45</v>
      </c>
      <c r="AH738">
        <v>358</v>
      </c>
      <c r="AI738" s="2">
        <f>Table__192.168.3.138DYLAgingReport[[#This Row],[NetAmount]]-Table__192.168.3.138DYLAgingReport[[#This Row],[Paid]]</f>
        <v>3373</v>
      </c>
    </row>
    <row r="739" spans="1:35">
      <c r="A739" t="s">
        <v>1774</v>
      </c>
      <c r="B739" s="1">
        <v>40956</v>
      </c>
      <c r="C739" s="1">
        <v>41001</v>
      </c>
      <c r="D739" t="s">
        <v>219</v>
      </c>
      <c r="E739">
        <v>23640</v>
      </c>
      <c r="F739">
        <v>3782</v>
      </c>
      <c r="G739">
        <v>0</v>
      </c>
      <c r="H739">
        <v>0</v>
      </c>
      <c r="I739">
        <v>313</v>
      </c>
      <c r="J739">
        <v>27422</v>
      </c>
      <c r="K739" t="s">
        <v>1775</v>
      </c>
      <c r="L739" s="1">
        <v>40955</v>
      </c>
      <c r="N739" t="s">
        <v>36</v>
      </c>
      <c r="O739" t="s">
        <v>37</v>
      </c>
      <c r="P739" t="s">
        <v>356</v>
      </c>
      <c r="Q739" t="s">
        <v>39</v>
      </c>
      <c r="R739" t="s">
        <v>40</v>
      </c>
      <c r="S739">
        <v>0</v>
      </c>
      <c r="U739" t="s">
        <v>41</v>
      </c>
      <c r="V739" t="s">
        <v>42</v>
      </c>
      <c r="X739" t="s">
        <v>74</v>
      </c>
      <c r="Y739" t="b">
        <v>0</v>
      </c>
      <c r="Z739" t="b">
        <v>0</v>
      </c>
      <c r="AB739" t="s">
        <v>462</v>
      </c>
      <c r="AC739" s="1">
        <v>41115</v>
      </c>
      <c r="AF739">
        <v>0</v>
      </c>
      <c r="AG739">
        <v>45</v>
      </c>
      <c r="AH739">
        <v>358</v>
      </c>
      <c r="AI739" s="2">
        <f>Table__192.168.3.138DYLAgingReport[[#This Row],[NetAmount]]-Table__192.168.3.138DYLAgingReport[[#This Row],[Paid]]</f>
        <v>27422</v>
      </c>
    </row>
    <row r="740" spans="1:35">
      <c r="A740" t="s">
        <v>1776</v>
      </c>
      <c r="B740" s="1">
        <v>40960</v>
      </c>
      <c r="C740" s="1">
        <v>41005</v>
      </c>
      <c r="D740" t="s">
        <v>172</v>
      </c>
      <c r="E740">
        <v>72200</v>
      </c>
      <c r="F740">
        <v>11552</v>
      </c>
      <c r="G740">
        <v>0</v>
      </c>
      <c r="H740">
        <v>0</v>
      </c>
      <c r="I740">
        <v>306</v>
      </c>
      <c r="J740">
        <v>83752</v>
      </c>
      <c r="K740" t="s">
        <v>1777</v>
      </c>
      <c r="L740" s="1">
        <v>40962</v>
      </c>
      <c r="N740" t="s">
        <v>36</v>
      </c>
      <c r="O740" t="s">
        <v>37</v>
      </c>
      <c r="P740" t="s">
        <v>309</v>
      </c>
      <c r="Q740" t="s">
        <v>39</v>
      </c>
      <c r="R740" t="s">
        <v>40</v>
      </c>
      <c r="S740">
        <v>0</v>
      </c>
      <c r="U740" t="s">
        <v>41</v>
      </c>
      <c r="V740" t="s">
        <v>42</v>
      </c>
      <c r="X740" t="s">
        <v>74</v>
      </c>
      <c r="Y740" t="b">
        <v>0</v>
      </c>
      <c r="Z740" t="b">
        <v>0</v>
      </c>
      <c r="AB740" t="s">
        <v>582</v>
      </c>
      <c r="AC740" s="1">
        <v>41296</v>
      </c>
      <c r="AF740">
        <v>0</v>
      </c>
      <c r="AG740">
        <v>45</v>
      </c>
      <c r="AH740">
        <v>351</v>
      </c>
      <c r="AI740" s="2">
        <f>Table__192.168.3.138DYLAgingReport[[#This Row],[NetAmount]]-Table__192.168.3.138DYLAgingReport[[#This Row],[Paid]]</f>
        <v>83752</v>
      </c>
    </row>
    <row r="741" spans="1:35">
      <c r="A741" t="s">
        <v>1778</v>
      </c>
      <c r="B741" s="1">
        <v>40953</v>
      </c>
      <c r="C741" s="1">
        <v>40998</v>
      </c>
      <c r="D741" t="s">
        <v>239</v>
      </c>
      <c r="E741">
        <v>332095</v>
      </c>
      <c r="F741">
        <v>53135</v>
      </c>
      <c r="G741">
        <v>0</v>
      </c>
      <c r="H741">
        <v>192615</v>
      </c>
      <c r="I741">
        <v>315</v>
      </c>
      <c r="J741">
        <v>385230</v>
      </c>
      <c r="K741" t="s">
        <v>1779</v>
      </c>
      <c r="L741" s="1">
        <v>40953</v>
      </c>
      <c r="N741" t="s">
        <v>36</v>
      </c>
      <c r="O741" t="s">
        <v>37</v>
      </c>
      <c r="P741" t="s">
        <v>376</v>
      </c>
      <c r="Q741" t="s">
        <v>39</v>
      </c>
      <c r="R741" t="s">
        <v>40</v>
      </c>
      <c r="S741">
        <v>0</v>
      </c>
      <c r="T741" t="s">
        <v>1780</v>
      </c>
      <c r="U741" t="s">
        <v>41</v>
      </c>
      <c r="V741" t="s">
        <v>42</v>
      </c>
      <c r="X741" t="s">
        <v>74</v>
      </c>
      <c r="Y741" t="b">
        <v>0</v>
      </c>
      <c r="Z741" t="b">
        <v>0</v>
      </c>
      <c r="AB741" t="s">
        <v>533</v>
      </c>
      <c r="AC741" s="1">
        <v>41018</v>
      </c>
      <c r="AD741" t="s">
        <v>1781</v>
      </c>
      <c r="AE741" t="s">
        <v>535</v>
      </c>
      <c r="AF741">
        <v>92324</v>
      </c>
      <c r="AG741">
        <v>45</v>
      </c>
      <c r="AH741">
        <v>360</v>
      </c>
      <c r="AI741" s="2">
        <f>Table__192.168.3.138DYLAgingReport[[#This Row],[NetAmount]]-Table__192.168.3.138DYLAgingReport[[#This Row],[Paid]]</f>
        <v>292906</v>
      </c>
    </row>
    <row r="742" spans="1:35">
      <c r="A742" t="s">
        <v>1782</v>
      </c>
      <c r="B742" s="1">
        <v>40961</v>
      </c>
      <c r="C742" s="1">
        <v>41006</v>
      </c>
      <c r="D742" t="s">
        <v>268</v>
      </c>
      <c r="E742">
        <v>60950</v>
      </c>
      <c r="F742">
        <v>9752</v>
      </c>
      <c r="G742">
        <v>0</v>
      </c>
      <c r="H742">
        <v>0</v>
      </c>
      <c r="I742">
        <v>302</v>
      </c>
      <c r="J742">
        <v>70702</v>
      </c>
      <c r="K742" t="s">
        <v>1783</v>
      </c>
      <c r="L742" s="1">
        <v>40966</v>
      </c>
      <c r="N742" t="s">
        <v>36</v>
      </c>
      <c r="O742" t="s">
        <v>37</v>
      </c>
      <c r="P742" t="s">
        <v>405</v>
      </c>
      <c r="Q742" t="s">
        <v>39</v>
      </c>
      <c r="R742" t="s">
        <v>40</v>
      </c>
      <c r="S742">
        <v>0</v>
      </c>
      <c r="U742" t="s">
        <v>41</v>
      </c>
      <c r="V742" t="s">
        <v>42</v>
      </c>
      <c r="X742" t="s">
        <v>74</v>
      </c>
      <c r="Y742" t="b">
        <v>0</v>
      </c>
      <c r="Z742" t="b">
        <v>0</v>
      </c>
      <c r="AB742" t="s">
        <v>542</v>
      </c>
      <c r="AC742" s="1">
        <v>41176</v>
      </c>
      <c r="AF742">
        <v>0</v>
      </c>
      <c r="AG742">
        <v>45</v>
      </c>
      <c r="AH742">
        <v>347</v>
      </c>
      <c r="AI742" s="2">
        <f>Table__192.168.3.138DYLAgingReport[[#This Row],[NetAmount]]-Table__192.168.3.138DYLAgingReport[[#This Row],[Paid]]</f>
        <v>70702</v>
      </c>
    </row>
    <row r="743" spans="1:35">
      <c r="A743" t="s">
        <v>1784</v>
      </c>
      <c r="B743" s="1">
        <v>40956</v>
      </c>
      <c r="C743" s="1">
        <v>41001</v>
      </c>
      <c r="D743" t="s">
        <v>219</v>
      </c>
      <c r="E743">
        <v>700</v>
      </c>
      <c r="F743">
        <v>112</v>
      </c>
      <c r="G743">
        <v>0</v>
      </c>
      <c r="H743">
        <v>0</v>
      </c>
      <c r="I743">
        <v>312</v>
      </c>
      <c r="J743">
        <v>812</v>
      </c>
      <c r="K743" t="s">
        <v>1785</v>
      </c>
      <c r="L743" s="1">
        <v>40956</v>
      </c>
      <c r="N743" t="s">
        <v>36</v>
      </c>
      <c r="O743" t="s">
        <v>37</v>
      </c>
      <c r="P743" t="s">
        <v>356</v>
      </c>
      <c r="Q743" t="s">
        <v>39</v>
      </c>
      <c r="R743" t="s">
        <v>40</v>
      </c>
      <c r="S743">
        <v>0</v>
      </c>
      <c r="U743" t="s">
        <v>41</v>
      </c>
      <c r="V743" t="s">
        <v>42</v>
      </c>
      <c r="X743" t="s">
        <v>74</v>
      </c>
      <c r="Y743" t="b">
        <v>0</v>
      </c>
      <c r="Z743" t="b">
        <v>0</v>
      </c>
      <c r="AB743" t="s">
        <v>462</v>
      </c>
      <c r="AC743" s="1">
        <v>41115</v>
      </c>
      <c r="AF743">
        <v>0</v>
      </c>
      <c r="AG743">
        <v>45</v>
      </c>
      <c r="AH743">
        <v>357</v>
      </c>
      <c r="AI743" s="2">
        <f>Table__192.168.3.138DYLAgingReport[[#This Row],[NetAmount]]-Table__192.168.3.138DYLAgingReport[[#This Row],[Paid]]</f>
        <v>812</v>
      </c>
    </row>
    <row r="744" spans="1:35">
      <c r="A744" t="s">
        <v>1786</v>
      </c>
      <c r="B744" s="1">
        <v>40967</v>
      </c>
      <c r="C744" s="1">
        <v>41012</v>
      </c>
      <c r="D744" t="s">
        <v>176</v>
      </c>
      <c r="E744">
        <v>14000</v>
      </c>
      <c r="F744">
        <v>2240</v>
      </c>
      <c r="G744">
        <v>0</v>
      </c>
      <c r="H744">
        <v>0</v>
      </c>
      <c r="I744">
        <v>301</v>
      </c>
      <c r="J744">
        <v>16240</v>
      </c>
      <c r="K744" t="s">
        <v>1787</v>
      </c>
      <c r="L744" s="1">
        <v>40967</v>
      </c>
      <c r="M744" t="s">
        <v>1788</v>
      </c>
      <c r="N744" t="s">
        <v>36</v>
      </c>
      <c r="O744" t="s">
        <v>37</v>
      </c>
      <c r="P744" t="s">
        <v>313</v>
      </c>
      <c r="Q744" t="s">
        <v>39</v>
      </c>
      <c r="R744" t="s">
        <v>40</v>
      </c>
      <c r="S744">
        <v>0</v>
      </c>
      <c r="U744" t="s">
        <v>41</v>
      </c>
      <c r="V744" t="s">
        <v>42</v>
      </c>
      <c r="W744" t="s">
        <v>494</v>
      </c>
      <c r="X744" t="s">
        <v>74</v>
      </c>
      <c r="Y744" t="b">
        <v>0</v>
      </c>
      <c r="Z744" t="b">
        <v>0</v>
      </c>
      <c r="AA744" t="b">
        <v>0</v>
      </c>
      <c r="AC744" s="1"/>
      <c r="AF744">
        <v>0</v>
      </c>
      <c r="AG744">
        <v>45</v>
      </c>
      <c r="AH744">
        <v>346</v>
      </c>
      <c r="AI744" s="2">
        <f>Table__192.168.3.138DYLAgingReport[[#This Row],[NetAmount]]-Table__192.168.3.138DYLAgingReport[[#This Row],[Paid]]</f>
        <v>16240</v>
      </c>
    </row>
    <row r="745" spans="1:35">
      <c r="A745" t="s">
        <v>1789</v>
      </c>
      <c r="B745" s="1">
        <v>40965</v>
      </c>
      <c r="C745" s="1">
        <v>40995</v>
      </c>
      <c r="D745" t="s">
        <v>251</v>
      </c>
      <c r="E745">
        <v>179900</v>
      </c>
      <c r="F745">
        <v>28784</v>
      </c>
      <c r="G745">
        <v>0</v>
      </c>
      <c r="H745">
        <v>0</v>
      </c>
      <c r="I745">
        <v>302</v>
      </c>
      <c r="J745">
        <v>208684</v>
      </c>
      <c r="K745" t="s">
        <v>1790</v>
      </c>
      <c r="L745" s="1">
        <v>40966</v>
      </c>
      <c r="N745" t="s">
        <v>36</v>
      </c>
      <c r="O745" t="s">
        <v>37</v>
      </c>
      <c r="P745" t="s">
        <v>388</v>
      </c>
      <c r="Q745" t="s">
        <v>39</v>
      </c>
      <c r="R745" t="s">
        <v>40</v>
      </c>
      <c r="S745">
        <v>0</v>
      </c>
      <c r="U745" t="s">
        <v>41</v>
      </c>
      <c r="V745" t="s">
        <v>42</v>
      </c>
      <c r="X745" t="s">
        <v>74</v>
      </c>
      <c r="Y745" t="b">
        <v>0</v>
      </c>
      <c r="Z745" t="b">
        <v>0</v>
      </c>
      <c r="AB745" t="s">
        <v>538</v>
      </c>
      <c r="AC745" s="1">
        <v>41115</v>
      </c>
      <c r="AD745" t="s">
        <v>1791</v>
      </c>
      <c r="AE745" t="s">
        <v>539</v>
      </c>
      <c r="AF745">
        <v>194426</v>
      </c>
      <c r="AG745">
        <v>45</v>
      </c>
      <c r="AH745">
        <v>347</v>
      </c>
      <c r="AI745" s="2">
        <f>Table__192.168.3.138DYLAgingReport[[#This Row],[NetAmount]]-Table__192.168.3.138DYLAgingReport[[#This Row],[Paid]]</f>
        <v>14258</v>
      </c>
    </row>
    <row r="746" spans="1:35">
      <c r="A746" t="s">
        <v>1792</v>
      </c>
      <c r="B746" s="1">
        <v>40963</v>
      </c>
      <c r="C746" s="1">
        <v>41008</v>
      </c>
      <c r="D746" t="s">
        <v>219</v>
      </c>
      <c r="E746">
        <v>25710</v>
      </c>
      <c r="F746">
        <v>4114</v>
      </c>
      <c r="G746">
        <v>0</v>
      </c>
      <c r="H746">
        <v>0</v>
      </c>
      <c r="I746">
        <v>305</v>
      </c>
      <c r="J746">
        <v>29824</v>
      </c>
      <c r="K746" t="s">
        <v>1793</v>
      </c>
      <c r="L746" s="1">
        <v>40963</v>
      </c>
      <c r="N746" t="s">
        <v>36</v>
      </c>
      <c r="O746" t="s">
        <v>37</v>
      </c>
      <c r="P746" t="s">
        <v>356</v>
      </c>
      <c r="Q746" t="s">
        <v>39</v>
      </c>
      <c r="R746" t="s">
        <v>40</v>
      </c>
      <c r="S746">
        <v>0</v>
      </c>
      <c r="U746" t="s">
        <v>41</v>
      </c>
      <c r="V746" t="s">
        <v>42</v>
      </c>
      <c r="X746" t="s">
        <v>74</v>
      </c>
      <c r="Y746" t="b">
        <v>0</v>
      </c>
      <c r="Z746" t="b">
        <v>0</v>
      </c>
      <c r="AB746" t="s">
        <v>462</v>
      </c>
      <c r="AC746" s="1">
        <v>41115</v>
      </c>
      <c r="AF746">
        <v>0</v>
      </c>
      <c r="AG746">
        <v>45</v>
      </c>
      <c r="AH746">
        <v>350</v>
      </c>
      <c r="AI746" s="2">
        <f>Table__192.168.3.138DYLAgingReport[[#This Row],[NetAmount]]-Table__192.168.3.138DYLAgingReport[[#This Row],[Paid]]</f>
        <v>29824</v>
      </c>
    </row>
    <row r="747" spans="1:35">
      <c r="A747" t="s">
        <v>1794</v>
      </c>
      <c r="B747" s="1">
        <v>40962</v>
      </c>
      <c r="C747" s="1">
        <v>41007</v>
      </c>
      <c r="D747" t="s">
        <v>219</v>
      </c>
      <c r="E747">
        <v>3880</v>
      </c>
      <c r="F747">
        <v>621</v>
      </c>
      <c r="G747">
        <v>0</v>
      </c>
      <c r="H747">
        <v>0</v>
      </c>
      <c r="I747">
        <v>306</v>
      </c>
      <c r="J747">
        <v>4501</v>
      </c>
      <c r="K747" t="s">
        <v>1795</v>
      </c>
      <c r="L747" s="1">
        <v>40962</v>
      </c>
      <c r="N747" t="s">
        <v>36</v>
      </c>
      <c r="O747" t="s">
        <v>37</v>
      </c>
      <c r="P747" t="s">
        <v>356</v>
      </c>
      <c r="Q747" t="s">
        <v>39</v>
      </c>
      <c r="R747" t="s">
        <v>40</v>
      </c>
      <c r="S747">
        <v>0</v>
      </c>
      <c r="U747" t="s">
        <v>41</v>
      </c>
      <c r="V747" t="s">
        <v>42</v>
      </c>
      <c r="X747" t="s">
        <v>74</v>
      </c>
      <c r="Y747" t="b">
        <v>0</v>
      </c>
      <c r="Z747" t="b">
        <v>0</v>
      </c>
      <c r="AB747" t="s">
        <v>462</v>
      </c>
      <c r="AC747" s="1">
        <v>41115</v>
      </c>
      <c r="AF747">
        <v>0</v>
      </c>
      <c r="AG747">
        <v>45</v>
      </c>
      <c r="AH747">
        <v>351</v>
      </c>
      <c r="AI747" s="2">
        <f>Table__192.168.3.138DYLAgingReport[[#This Row],[NetAmount]]-Table__192.168.3.138DYLAgingReport[[#This Row],[Paid]]</f>
        <v>4501</v>
      </c>
    </row>
    <row r="748" spans="1:35">
      <c r="A748" t="s">
        <v>1796</v>
      </c>
      <c r="B748" s="1">
        <v>40948</v>
      </c>
      <c r="C748" s="1">
        <v>40948</v>
      </c>
      <c r="D748" t="s">
        <v>214</v>
      </c>
      <c r="E748">
        <v>49500</v>
      </c>
      <c r="F748">
        <v>0</v>
      </c>
      <c r="G748">
        <v>0</v>
      </c>
      <c r="H748">
        <v>0</v>
      </c>
      <c r="I748">
        <v>301</v>
      </c>
      <c r="J748">
        <v>49500</v>
      </c>
      <c r="K748" t="s">
        <v>1797</v>
      </c>
      <c r="L748" s="1">
        <v>40967</v>
      </c>
      <c r="N748" t="s">
        <v>36</v>
      </c>
      <c r="O748" t="s">
        <v>37</v>
      </c>
      <c r="P748" t="s">
        <v>351</v>
      </c>
      <c r="Q748" t="s">
        <v>39</v>
      </c>
      <c r="R748" t="s">
        <v>40</v>
      </c>
      <c r="S748">
        <v>0</v>
      </c>
      <c r="U748" t="s">
        <v>41</v>
      </c>
      <c r="V748" t="s">
        <v>42</v>
      </c>
      <c r="X748" t="s">
        <v>74</v>
      </c>
      <c r="Y748" t="b">
        <v>0</v>
      </c>
      <c r="Z748" t="b">
        <v>0</v>
      </c>
      <c r="AC748" s="1"/>
      <c r="AF748">
        <v>0</v>
      </c>
      <c r="AG748">
        <v>45</v>
      </c>
      <c r="AH748">
        <v>346</v>
      </c>
      <c r="AI748" s="2">
        <f>Table__192.168.3.138DYLAgingReport[[#This Row],[NetAmount]]-Table__192.168.3.138DYLAgingReport[[#This Row],[Paid]]</f>
        <v>49500</v>
      </c>
    </row>
    <row r="749" spans="1:35">
      <c r="A749" t="s">
        <v>1798</v>
      </c>
      <c r="B749" s="1">
        <v>40967</v>
      </c>
      <c r="C749" s="1">
        <v>41012</v>
      </c>
      <c r="D749" t="s">
        <v>208</v>
      </c>
      <c r="E749">
        <v>172642</v>
      </c>
      <c r="F749">
        <v>27623</v>
      </c>
      <c r="G749">
        <v>0</v>
      </c>
      <c r="H749">
        <v>0</v>
      </c>
      <c r="I749">
        <v>301</v>
      </c>
      <c r="J749">
        <v>200265</v>
      </c>
      <c r="K749" t="s">
        <v>1799</v>
      </c>
      <c r="L749" s="1">
        <v>40967</v>
      </c>
      <c r="N749" t="s">
        <v>36</v>
      </c>
      <c r="O749" t="s">
        <v>37</v>
      </c>
      <c r="P749" t="s">
        <v>345</v>
      </c>
      <c r="Q749" t="s">
        <v>39</v>
      </c>
      <c r="R749" t="s">
        <v>40</v>
      </c>
      <c r="S749">
        <v>0</v>
      </c>
      <c r="U749" t="s">
        <v>41</v>
      </c>
      <c r="V749" t="s">
        <v>42</v>
      </c>
      <c r="X749" t="s">
        <v>74</v>
      </c>
      <c r="Y749" t="b">
        <v>0</v>
      </c>
      <c r="Z749" t="b">
        <v>0</v>
      </c>
      <c r="AB749" t="s">
        <v>1735</v>
      </c>
      <c r="AC749" s="1">
        <v>41099</v>
      </c>
      <c r="AE749" t="s">
        <v>1736</v>
      </c>
      <c r="AF749">
        <v>0</v>
      </c>
      <c r="AG749">
        <v>45</v>
      </c>
      <c r="AH749">
        <v>346</v>
      </c>
      <c r="AI749" s="2">
        <f>Table__192.168.3.138DYLAgingReport[[#This Row],[NetAmount]]-Table__192.168.3.138DYLAgingReport[[#This Row],[Paid]]</f>
        <v>200265</v>
      </c>
    </row>
    <row r="750" spans="1:35">
      <c r="A750" t="s">
        <v>1800</v>
      </c>
      <c r="B750" s="1">
        <v>40960</v>
      </c>
      <c r="C750" s="1">
        <v>41005</v>
      </c>
      <c r="D750" t="s">
        <v>201</v>
      </c>
      <c r="E750">
        <v>30901</v>
      </c>
      <c r="F750">
        <v>4944</v>
      </c>
      <c r="G750">
        <v>0</v>
      </c>
      <c r="H750">
        <v>0</v>
      </c>
      <c r="I750">
        <v>308</v>
      </c>
      <c r="J750">
        <v>35845</v>
      </c>
      <c r="K750" t="s">
        <v>1801</v>
      </c>
      <c r="L750" s="1">
        <v>40960</v>
      </c>
      <c r="N750" t="s">
        <v>36</v>
      </c>
      <c r="O750" t="s">
        <v>37</v>
      </c>
      <c r="P750" t="s">
        <v>338</v>
      </c>
      <c r="Q750" t="s">
        <v>39</v>
      </c>
      <c r="R750" t="s">
        <v>40</v>
      </c>
      <c r="S750">
        <v>0</v>
      </c>
      <c r="U750" t="s">
        <v>41</v>
      </c>
      <c r="V750" t="s">
        <v>42</v>
      </c>
      <c r="X750" t="s">
        <v>74</v>
      </c>
      <c r="Y750" t="b">
        <v>0</v>
      </c>
      <c r="Z750" t="b">
        <v>0</v>
      </c>
      <c r="AB750" t="s">
        <v>485</v>
      </c>
      <c r="AC750" s="1">
        <v>41236</v>
      </c>
      <c r="AF750">
        <v>0</v>
      </c>
      <c r="AG750">
        <v>45</v>
      </c>
      <c r="AH750">
        <v>353</v>
      </c>
      <c r="AI750" s="2">
        <f>Table__192.168.3.138DYLAgingReport[[#This Row],[NetAmount]]-Table__192.168.3.138DYLAgingReport[[#This Row],[Paid]]</f>
        <v>35845</v>
      </c>
    </row>
    <row r="751" spans="1:35">
      <c r="A751" t="s">
        <v>1802</v>
      </c>
      <c r="B751" s="1">
        <v>40962</v>
      </c>
      <c r="C751" s="1">
        <v>41007</v>
      </c>
      <c r="D751" t="s">
        <v>201</v>
      </c>
      <c r="E751">
        <v>28060</v>
      </c>
      <c r="F751">
        <v>4490</v>
      </c>
      <c r="G751">
        <v>0</v>
      </c>
      <c r="H751">
        <v>0</v>
      </c>
      <c r="I751">
        <v>307</v>
      </c>
      <c r="J751">
        <v>32550</v>
      </c>
      <c r="K751" t="s">
        <v>1803</v>
      </c>
      <c r="L751" s="1">
        <v>40961</v>
      </c>
      <c r="N751" t="s">
        <v>36</v>
      </c>
      <c r="O751" t="s">
        <v>37</v>
      </c>
      <c r="P751" t="s">
        <v>338</v>
      </c>
      <c r="Q751" t="s">
        <v>39</v>
      </c>
      <c r="R751" t="s">
        <v>40</v>
      </c>
      <c r="S751">
        <v>0</v>
      </c>
      <c r="U751" t="s">
        <v>41</v>
      </c>
      <c r="V751" t="s">
        <v>42</v>
      </c>
      <c r="X751" t="s">
        <v>74</v>
      </c>
      <c r="Y751" t="b">
        <v>0</v>
      </c>
      <c r="Z751" t="b">
        <v>0</v>
      </c>
      <c r="AB751" t="s">
        <v>485</v>
      </c>
      <c r="AC751" s="1">
        <v>41236</v>
      </c>
      <c r="AF751">
        <v>0</v>
      </c>
      <c r="AG751">
        <v>45</v>
      </c>
      <c r="AH751">
        <v>352</v>
      </c>
      <c r="AI751" s="2">
        <f>Table__192.168.3.138DYLAgingReport[[#This Row],[NetAmount]]-Table__192.168.3.138DYLAgingReport[[#This Row],[Paid]]</f>
        <v>32550</v>
      </c>
    </row>
    <row r="752" spans="1:35">
      <c r="A752" t="s">
        <v>1804</v>
      </c>
      <c r="B752" s="1">
        <v>40965</v>
      </c>
      <c r="C752" s="1">
        <v>41010</v>
      </c>
      <c r="D752" t="s">
        <v>201</v>
      </c>
      <c r="E752">
        <v>59425</v>
      </c>
      <c r="F752">
        <v>9508</v>
      </c>
      <c r="G752">
        <v>0</v>
      </c>
      <c r="H752">
        <v>0</v>
      </c>
      <c r="I752">
        <v>304</v>
      </c>
      <c r="J752">
        <v>68933</v>
      </c>
      <c r="K752" t="s">
        <v>1805</v>
      </c>
      <c r="L752" s="1">
        <v>40964</v>
      </c>
      <c r="N752" t="s">
        <v>36</v>
      </c>
      <c r="O752" t="s">
        <v>37</v>
      </c>
      <c r="P752" t="s">
        <v>338</v>
      </c>
      <c r="Q752" t="s">
        <v>39</v>
      </c>
      <c r="R752" t="s">
        <v>40</v>
      </c>
      <c r="S752">
        <v>0</v>
      </c>
      <c r="U752" t="s">
        <v>41</v>
      </c>
      <c r="V752" t="s">
        <v>42</v>
      </c>
      <c r="X752" t="s">
        <v>74</v>
      </c>
      <c r="Y752" t="b">
        <v>0</v>
      </c>
      <c r="Z752" t="b">
        <v>0</v>
      </c>
      <c r="AB752" t="s">
        <v>485</v>
      </c>
      <c r="AC752" s="1">
        <v>41236</v>
      </c>
      <c r="AF752">
        <v>0</v>
      </c>
      <c r="AG752">
        <v>45</v>
      </c>
      <c r="AH752">
        <v>349</v>
      </c>
      <c r="AI752" s="2">
        <f>Table__192.168.3.138DYLAgingReport[[#This Row],[NetAmount]]-Table__192.168.3.138DYLAgingReport[[#This Row],[Paid]]</f>
        <v>68933</v>
      </c>
    </row>
    <row r="753" spans="1:35">
      <c r="A753" t="s">
        <v>1806</v>
      </c>
      <c r="B753" s="1">
        <v>40967</v>
      </c>
      <c r="C753" s="1">
        <v>41012</v>
      </c>
      <c r="D753" t="s">
        <v>201</v>
      </c>
      <c r="E753">
        <v>44896</v>
      </c>
      <c r="F753">
        <v>7183</v>
      </c>
      <c r="G753">
        <v>0</v>
      </c>
      <c r="H753">
        <v>0</v>
      </c>
      <c r="I753">
        <v>301</v>
      </c>
      <c r="J753">
        <v>52079</v>
      </c>
      <c r="K753" t="s">
        <v>1807</v>
      </c>
      <c r="L753" s="1">
        <v>40967</v>
      </c>
      <c r="N753" t="s">
        <v>36</v>
      </c>
      <c r="O753" t="s">
        <v>37</v>
      </c>
      <c r="P753" t="s">
        <v>338</v>
      </c>
      <c r="Q753" t="s">
        <v>39</v>
      </c>
      <c r="R753" t="s">
        <v>40</v>
      </c>
      <c r="S753">
        <v>0</v>
      </c>
      <c r="U753" t="s">
        <v>41</v>
      </c>
      <c r="V753" t="s">
        <v>42</v>
      </c>
      <c r="X753" t="s">
        <v>74</v>
      </c>
      <c r="Y753" t="b">
        <v>0</v>
      </c>
      <c r="Z753" t="b">
        <v>0</v>
      </c>
      <c r="AB753" t="s">
        <v>485</v>
      </c>
      <c r="AC753" s="1">
        <v>41236</v>
      </c>
      <c r="AF753">
        <v>0</v>
      </c>
      <c r="AG753">
        <v>45</v>
      </c>
      <c r="AH753">
        <v>346</v>
      </c>
      <c r="AI753" s="2">
        <f>Table__192.168.3.138DYLAgingReport[[#This Row],[NetAmount]]-Table__192.168.3.138DYLAgingReport[[#This Row],[Paid]]</f>
        <v>52079</v>
      </c>
    </row>
    <row r="754" spans="1:35">
      <c r="A754" t="s">
        <v>1808</v>
      </c>
      <c r="B754" s="1">
        <v>40967</v>
      </c>
      <c r="C754" s="1">
        <v>41012</v>
      </c>
      <c r="D754" t="s">
        <v>201</v>
      </c>
      <c r="E754">
        <v>7131</v>
      </c>
      <c r="F754">
        <v>1141</v>
      </c>
      <c r="G754">
        <v>0</v>
      </c>
      <c r="H754">
        <v>0</v>
      </c>
      <c r="I754">
        <v>301</v>
      </c>
      <c r="J754">
        <v>8272</v>
      </c>
      <c r="K754" t="s">
        <v>1809</v>
      </c>
      <c r="L754" s="1">
        <v>40967</v>
      </c>
      <c r="N754" t="s">
        <v>36</v>
      </c>
      <c r="O754" t="s">
        <v>37</v>
      </c>
      <c r="P754" t="s">
        <v>338</v>
      </c>
      <c r="Q754" t="s">
        <v>39</v>
      </c>
      <c r="R754" t="s">
        <v>40</v>
      </c>
      <c r="S754">
        <v>0</v>
      </c>
      <c r="U754" t="s">
        <v>41</v>
      </c>
      <c r="V754" t="s">
        <v>42</v>
      </c>
      <c r="X754" t="s">
        <v>74</v>
      </c>
      <c r="Y754" t="b">
        <v>0</v>
      </c>
      <c r="Z754" t="b">
        <v>0</v>
      </c>
      <c r="AB754" t="s">
        <v>485</v>
      </c>
      <c r="AC754" s="1">
        <v>41236</v>
      </c>
      <c r="AF754">
        <v>0</v>
      </c>
      <c r="AG754">
        <v>45</v>
      </c>
      <c r="AH754">
        <v>346</v>
      </c>
      <c r="AI754" s="2">
        <f>Table__192.168.3.138DYLAgingReport[[#This Row],[NetAmount]]-Table__192.168.3.138DYLAgingReport[[#This Row],[Paid]]</f>
        <v>8272</v>
      </c>
    </row>
    <row r="755" spans="1:35">
      <c r="A755" t="s">
        <v>1810</v>
      </c>
      <c r="B755" s="1">
        <v>40968</v>
      </c>
      <c r="C755" s="1">
        <v>41013</v>
      </c>
      <c r="D755" t="s">
        <v>257</v>
      </c>
      <c r="E755">
        <v>4250</v>
      </c>
      <c r="F755">
        <v>680</v>
      </c>
      <c r="G755">
        <v>0</v>
      </c>
      <c r="H755">
        <v>0</v>
      </c>
      <c r="I755">
        <v>300</v>
      </c>
      <c r="J755">
        <v>4930</v>
      </c>
      <c r="K755" t="s">
        <v>1811</v>
      </c>
      <c r="L755" s="1">
        <v>40968</v>
      </c>
      <c r="N755" t="s">
        <v>36</v>
      </c>
      <c r="O755" t="s">
        <v>37</v>
      </c>
      <c r="P755" t="s">
        <v>394</v>
      </c>
      <c r="Q755" t="s">
        <v>39</v>
      </c>
      <c r="R755" t="s">
        <v>40</v>
      </c>
      <c r="S755">
        <v>0</v>
      </c>
      <c r="U755" t="s">
        <v>41</v>
      </c>
      <c r="V755" t="s">
        <v>42</v>
      </c>
      <c r="X755" t="s">
        <v>74</v>
      </c>
      <c r="Y755" t="b">
        <v>0</v>
      </c>
      <c r="Z755" t="b">
        <v>0</v>
      </c>
      <c r="AC755" s="1"/>
      <c r="AF755">
        <v>0</v>
      </c>
      <c r="AG755">
        <v>45</v>
      </c>
      <c r="AH755">
        <v>345</v>
      </c>
      <c r="AI755" s="2">
        <f>Table__192.168.3.138DYLAgingReport[[#This Row],[NetAmount]]-Table__192.168.3.138DYLAgingReport[[#This Row],[Paid]]</f>
        <v>4930</v>
      </c>
    </row>
    <row r="756" spans="1:35">
      <c r="A756" t="s">
        <v>1812</v>
      </c>
      <c r="B756" s="1">
        <v>40966</v>
      </c>
      <c r="C756" s="1">
        <v>41011</v>
      </c>
      <c r="D756" t="s">
        <v>257</v>
      </c>
      <c r="E756">
        <v>305000</v>
      </c>
      <c r="F756">
        <v>48800</v>
      </c>
      <c r="G756">
        <v>0</v>
      </c>
      <c r="H756">
        <v>0</v>
      </c>
      <c r="I756">
        <v>302</v>
      </c>
      <c r="J756">
        <v>353800</v>
      </c>
      <c r="K756" t="s">
        <v>1813</v>
      </c>
      <c r="L756" s="1">
        <v>40966</v>
      </c>
      <c r="N756" t="s">
        <v>36</v>
      </c>
      <c r="O756" t="s">
        <v>37</v>
      </c>
      <c r="P756" t="s">
        <v>394</v>
      </c>
      <c r="Q756" t="s">
        <v>39</v>
      </c>
      <c r="R756" t="s">
        <v>40</v>
      </c>
      <c r="S756">
        <v>0</v>
      </c>
      <c r="U756" t="s">
        <v>41</v>
      </c>
      <c r="V756" t="s">
        <v>42</v>
      </c>
      <c r="X756" t="s">
        <v>74</v>
      </c>
      <c r="Y756" t="b">
        <v>0</v>
      </c>
      <c r="Z756" t="b">
        <v>0</v>
      </c>
      <c r="AC756" s="1"/>
      <c r="AF756">
        <v>0</v>
      </c>
      <c r="AG756">
        <v>45</v>
      </c>
      <c r="AH756">
        <v>347</v>
      </c>
      <c r="AI756" s="2">
        <f>Table__192.168.3.138DYLAgingReport[[#This Row],[NetAmount]]-Table__192.168.3.138DYLAgingReport[[#This Row],[Paid]]</f>
        <v>353800</v>
      </c>
    </row>
    <row r="757" spans="1:35">
      <c r="A757" t="s">
        <v>1814</v>
      </c>
      <c r="B757" s="1">
        <v>40968</v>
      </c>
      <c r="C757" s="1">
        <v>41013</v>
      </c>
      <c r="D757" t="s">
        <v>220</v>
      </c>
      <c r="E757">
        <v>7718</v>
      </c>
      <c r="F757">
        <v>1235</v>
      </c>
      <c r="G757">
        <v>0</v>
      </c>
      <c r="H757">
        <v>0</v>
      </c>
      <c r="I757">
        <v>300</v>
      </c>
      <c r="J757">
        <v>8953</v>
      </c>
      <c r="K757" t="s">
        <v>1815</v>
      </c>
      <c r="L757" s="1">
        <v>40968</v>
      </c>
      <c r="N757" t="s">
        <v>36</v>
      </c>
      <c r="O757" t="s">
        <v>37</v>
      </c>
      <c r="P757" t="s">
        <v>357</v>
      </c>
      <c r="Q757" t="s">
        <v>39</v>
      </c>
      <c r="R757" t="s">
        <v>40</v>
      </c>
      <c r="S757">
        <v>0</v>
      </c>
      <c r="U757" t="s">
        <v>41</v>
      </c>
      <c r="V757" t="s">
        <v>42</v>
      </c>
      <c r="X757" t="s">
        <v>74</v>
      </c>
      <c r="Y757" t="b">
        <v>0</v>
      </c>
      <c r="Z757" t="b">
        <v>0</v>
      </c>
      <c r="AB757" t="s">
        <v>528</v>
      </c>
      <c r="AC757" s="1">
        <v>41225</v>
      </c>
      <c r="AE757" t="s">
        <v>529</v>
      </c>
      <c r="AF757">
        <v>0</v>
      </c>
      <c r="AG757">
        <v>45</v>
      </c>
      <c r="AH757">
        <v>345</v>
      </c>
      <c r="AI757" s="2">
        <f>Table__192.168.3.138DYLAgingReport[[#This Row],[NetAmount]]-Table__192.168.3.138DYLAgingReport[[#This Row],[Paid]]</f>
        <v>8953</v>
      </c>
    </row>
    <row r="758" spans="1:35">
      <c r="A758" t="s">
        <v>1816</v>
      </c>
      <c r="B758" s="1">
        <v>40952</v>
      </c>
      <c r="C758" s="1">
        <v>40997</v>
      </c>
      <c r="D758" t="s">
        <v>257</v>
      </c>
      <c r="E758">
        <v>92375</v>
      </c>
      <c r="F758">
        <v>14780</v>
      </c>
      <c r="G758">
        <v>0</v>
      </c>
      <c r="H758">
        <v>0</v>
      </c>
      <c r="I758">
        <v>316</v>
      </c>
      <c r="J758">
        <v>107155</v>
      </c>
      <c r="K758" t="s">
        <v>1817</v>
      </c>
      <c r="L758" s="1">
        <v>40952</v>
      </c>
      <c r="N758" t="s">
        <v>36</v>
      </c>
      <c r="O758" t="s">
        <v>37</v>
      </c>
      <c r="P758" t="s">
        <v>394</v>
      </c>
      <c r="Q758" t="s">
        <v>39</v>
      </c>
      <c r="R758" t="s">
        <v>40</v>
      </c>
      <c r="S758">
        <v>0</v>
      </c>
      <c r="U758" t="s">
        <v>41</v>
      </c>
      <c r="V758" t="s">
        <v>42</v>
      </c>
      <c r="X758" t="s">
        <v>74</v>
      </c>
      <c r="Y758" t="b">
        <v>0</v>
      </c>
      <c r="Z758" t="b">
        <v>0</v>
      </c>
      <c r="AC758" s="1"/>
      <c r="AF758">
        <v>0</v>
      </c>
      <c r="AG758">
        <v>45</v>
      </c>
      <c r="AH758">
        <v>361</v>
      </c>
      <c r="AI758" s="2">
        <f>Table__192.168.3.138DYLAgingReport[[#This Row],[NetAmount]]-Table__192.168.3.138DYLAgingReport[[#This Row],[Paid]]</f>
        <v>107155</v>
      </c>
    </row>
    <row r="759" spans="1:35">
      <c r="A759" t="s">
        <v>1818</v>
      </c>
      <c r="B759" s="1">
        <v>40955</v>
      </c>
      <c r="C759" s="1">
        <v>40955</v>
      </c>
      <c r="D759" t="s">
        <v>214</v>
      </c>
      <c r="E759">
        <v>620</v>
      </c>
      <c r="F759">
        <v>0</v>
      </c>
      <c r="G759">
        <v>0</v>
      </c>
      <c r="H759">
        <v>0</v>
      </c>
      <c r="I759">
        <v>313</v>
      </c>
      <c r="J759">
        <v>620</v>
      </c>
      <c r="K759" t="s">
        <v>1819</v>
      </c>
      <c r="L759" s="1">
        <v>40955</v>
      </c>
      <c r="M759" t="s">
        <v>1820</v>
      </c>
      <c r="N759" t="s">
        <v>36</v>
      </c>
      <c r="O759" t="s">
        <v>37</v>
      </c>
      <c r="P759" t="s">
        <v>351</v>
      </c>
      <c r="Q759" t="s">
        <v>39</v>
      </c>
      <c r="R759" t="s">
        <v>40</v>
      </c>
      <c r="S759">
        <v>0</v>
      </c>
      <c r="U759" t="s">
        <v>41</v>
      </c>
      <c r="V759" t="s">
        <v>42</v>
      </c>
      <c r="W759" t="s">
        <v>1821</v>
      </c>
      <c r="X759" t="s">
        <v>74</v>
      </c>
      <c r="Y759" t="b">
        <v>0</v>
      </c>
      <c r="Z759" t="b">
        <v>0</v>
      </c>
      <c r="AA759" t="b">
        <v>0</v>
      </c>
      <c r="AC759" s="1"/>
      <c r="AF759">
        <v>0</v>
      </c>
      <c r="AG759">
        <v>45</v>
      </c>
      <c r="AH759">
        <v>358</v>
      </c>
      <c r="AI759" s="2">
        <f>Table__192.168.3.138DYLAgingReport[[#This Row],[NetAmount]]-Table__192.168.3.138DYLAgingReport[[#This Row],[Paid]]</f>
        <v>620</v>
      </c>
    </row>
    <row r="760" spans="1:35">
      <c r="A760" t="s">
        <v>1822</v>
      </c>
      <c r="B760" s="1">
        <v>40967</v>
      </c>
      <c r="C760" s="1">
        <v>41012</v>
      </c>
      <c r="D760" t="s">
        <v>208</v>
      </c>
      <c r="E760">
        <v>21360</v>
      </c>
      <c r="F760">
        <v>3418</v>
      </c>
      <c r="G760">
        <v>0</v>
      </c>
      <c r="H760">
        <v>0</v>
      </c>
      <c r="I760">
        <v>301</v>
      </c>
      <c r="J760">
        <v>24778</v>
      </c>
      <c r="K760" t="s">
        <v>1823</v>
      </c>
      <c r="L760" s="1">
        <v>40967</v>
      </c>
      <c r="N760" t="s">
        <v>36</v>
      </c>
      <c r="O760" t="s">
        <v>37</v>
      </c>
      <c r="P760" t="s">
        <v>345</v>
      </c>
      <c r="Q760" t="s">
        <v>39</v>
      </c>
      <c r="R760" t="s">
        <v>40</v>
      </c>
      <c r="S760">
        <v>0</v>
      </c>
      <c r="U760" t="s">
        <v>41</v>
      </c>
      <c r="V760" t="s">
        <v>42</v>
      </c>
      <c r="X760" t="s">
        <v>74</v>
      </c>
      <c r="Y760" t="b">
        <v>0</v>
      </c>
      <c r="Z760" t="b">
        <v>0</v>
      </c>
      <c r="AB760" t="s">
        <v>1824</v>
      </c>
      <c r="AC760" s="1">
        <v>41115</v>
      </c>
      <c r="AE760" t="s">
        <v>1736</v>
      </c>
      <c r="AF760">
        <v>0</v>
      </c>
      <c r="AG760">
        <v>45</v>
      </c>
      <c r="AH760">
        <v>346</v>
      </c>
      <c r="AI760" s="2">
        <f>Table__192.168.3.138DYLAgingReport[[#This Row],[NetAmount]]-Table__192.168.3.138DYLAgingReport[[#This Row],[Paid]]</f>
        <v>24778</v>
      </c>
    </row>
    <row r="761" spans="1:35">
      <c r="A761" t="s">
        <v>1825</v>
      </c>
      <c r="B761" s="1">
        <v>40968</v>
      </c>
      <c r="C761" s="1">
        <v>41013</v>
      </c>
      <c r="D761" t="s">
        <v>219</v>
      </c>
      <c r="E761">
        <v>131519</v>
      </c>
      <c r="F761">
        <v>21043</v>
      </c>
      <c r="G761">
        <v>0</v>
      </c>
      <c r="H761">
        <v>0</v>
      </c>
      <c r="I761">
        <v>300</v>
      </c>
      <c r="J761">
        <v>152562</v>
      </c>
      <c r="K761" t="s">
        <v>1826</v>
      </c>
      <c r="L761" s="1">
        <v>40968</v>
      </c>
      <c r="N761" t="s">
        <v>36</v>
      </c>
      <c r="O761" t="s">
        <v>37</v>
      </c>
      <c r="P761" t="s">
        <v>356</v>
      </c>
      <c r="Q761" t="s">
        <v>39</v>
      </c>
      <c r="R761" t="s">
        <v>40</v>
      </c>
      <c r="S761">
        <v>0</v>
      </c>
      <c r="U761" t="s">
        <v>41</v>
      </c>
      <c r="V761" t="s">
        <v>42</v>
      </c>
      <c r="X761" t="s">
        <v>74</v>
      </c>
      <c r="Y761" t="b">
        <v>0</v>
      </c>
      <c r="Z761" t="b">
        <v>0</v>
      </c>
      <c r="AB761" t="s">
        <v>462</v>
      </c>
      <c r="AC761" s="1">
        <v>41115</v>
      </c>
      <c r="AF761">
        <v>0</v>
      </c>
      <c r="AG761">
        <v>45</v>
      </c>
      <c r="AH761">
        <v>345</v>
      </c>
      <c r="AI761" s="2">
        <f>Table__192.168.3.138DYLAgingReport[[#This Row],[NetAmount]]-Table__192.168.3.138DYLAgingReport[[#This Row],[Paid]]</f>
        <v>152562</v>
      </c>
    </row>
    <row r="762" spans="1:35">
      <c r="A762" t="s">
        <v>1827</v>
      </c>
      <c r="B762" s="1">
        <v>40962</v>
      </c>
      <c r="C762" s="1">
        <v>41007</v>
      </c>
      <c r="D762" t="s">
        <v>264</v>
      </c>
      <c r="E762">
        <v>12600</v>
      </c>
      <c r="F762">
        <v>2016</v>
      </c>
      <c r="G762">
        <v>0</v>
      </c>
      <c r="H762">
        <v>0</v>
      </c>
      <c r="I762">
        <v>307</v>
      </c>
      <c r="J762">
        <v>14616</v>
      </c>
      <c r="K762" t="s">
        <v>1828</v>
      </c>
      <c r="L762" s="1">
        <v>40961</v>
      </c>
      <c r="N762" t="s">
        <v>36</v>
      </c>
      <c r="O762" t="s">
        <v>37</v>
      </c>
      <c r="P762" t="s">
        <v>401</v>
      </c>
      <c r="Q762" t="s">
        <v>39</v>
      </c>
      <c r="R762" t="s">
        <v>40</v>
      </c>
      <c r="S762">
        <v>0</v>
      </c>
      <c r="U762" t="s">
        <v>41</v>
      </c>
      <c r="V762" t="s">
        <v>42</v>
      </c>
      <c r="X762" t="s">
        <v>74</v>
      </c>
      <c r="Y762" t="b">
        <v>0</v>
      </c>
      <c r="Z762" t="b">
        <v>0</v>
      </c>
      <c r="AC762" s="1"/>
      <c r="AF762">
        <v>0</v>
      </c>
      <c r="AG762">
        <v>45</v>
      </c>
      <c r="AH762">
        <v>352</v>
      </c>
      <c r="AI762" s="2">
        <f>Table__192.168.3.138DYLAgingReport[[#This Row],[NetAmount]]-Table__192.168.3.138DYLAgingReport[[#This Row],[Paid]]</f>
        <v>14616</v>
      </c>
    </row>
    <row r="763" spans="1:35">
      <c r="A763" t="s">
        <v>1829</v>
      </c>
      <c r="B763" s="1">
        <v>40954</v>
      </c>
      <c r="C763" s="1">
        <v>40984</v>
      </c>
      <c r="D763" t="s">
        <v>246</v>
      </c>
      <c r="E763">
        <v>1566000</v>
      </c>
      <c r="F763">
        <v>250560</v>
      </c>
      <c r="G763">
        <v>0</v>
      </c>
      <c r="H763">
        <v>0</v>
      </c>
      <c r="I763">
        <v>302</v>
      </c>
      <c r="J763">
        <v>1816560</v>
      </c>
      <c r="K763" t="s">
        <v>1830</v>
      </c>
      <c r="L763" s="1">
        <v>40966</v>
      </c>
      <c r="N763" t="s">
        <v>36</v>
      </c>
      <c r="O763" t="s">
        <v>37</v>
      </c>
      <c r="P763" t="s">
        <v>383</v>
      </c>
      <c r="Q763" t="s">
        <v>39</v>
      </c>
      <c r="R763" t="s">
        <v>40</v>
      </c>
      <c r="S763">
        <v>0</v>
      </c>
      <c r="U763" t="s">
        <v>41</v>
      </c>
      <c r="V763" t="s">
        <v>42</v>
      </c>
      <c r="X763" t="s">
        <v>74</v>
      </c>
      <c r="Y763" t="b">
        <v>0</v>
      </c>
      <c r="Z763" t="b">
        <v>0</v>
      </c>
      <c r="AB763" t="s">
        <v>514</v>
      </c>
      <c r="AC763" s="1">
        <v>40982</v>
      </c>
      <c r="AD763" t="s">
        <v>1831</v>
      </c>
      <c r="AE763" t="s">
        <v>516</v>
      </c>
      <c r="AF763">
        <v>1811392</v>
      </c>
      <c r="AG763">
        <v>45</v>
      </c>
      <c r="AH763">
        <v>347</v>
      </c>
      <c r="AI763" s="2">
        <f>Table__192.168.3.138DYLAgingReport[[#This Row],[NetAmount]]-Table__192.168.3.138DYLAgingReport[[#This Row],[Paid]]</f>
        <v>5168</v>
      </c>
    </row>
    <row r="764" spans="1:35">
      <c r="A764" t="s">
        <v>1832</v>
      </c>
      <c r="B764" s="1">
        <v>40946</v>
      </c>
      <c r="C764" s="1">
        <v>40991</v>
      </c>
      <c r="D764" t="s">
        <v>268</v>
      </c>
      <c r="E764">
        <v>2760</v>
      </c>
      <c r="F764">
        <v>442</v>
      </c>
      <c r="G764">
        <v>0</v>
      </c>
      <c r="H764">
        <v>0</v>
      </c>
      <c r="I764">
        <v>319</v>
      </c>
      <c r="J764">
        <v>3202</v>
      </c>
      <c r="K764" t="s">
        <v>1833</v>
      </c>
      <c r="L764" s="1">
        <v>40949</v>
      </c>
      <c r="N764" t="s">
        <v>36</v>
      </c>
      <c r="O764" t="s">
        <v>37</v>
      </c>
      <c r="P764" t="s">
        <v>405</v>
      </c>
      <c r="Q764" t="s">
        <v>39</v>
      </c>
      <c r="R764" t="s">
        <v>40</v>
      </c>
      <c r="S764">
        <v>0</v>
      </c>
      <c r="U764" t="s">
        <v>41</v>
      </c>
      <c r="V764" t="s">
        <v>42</v>
      </c>
      <c r="X764" t="s">
        <v>74</v>
      </c>
      <c r="Y764" t="b">
        <v>0</v>
      </c>
      <c r="Z764" t="b">
        <v>0</v>
      </c>
      <c r="AC764" s="1"/>
      <c r="AF764">
        <v>0</v>
      </c>
      <c r="AG764">
        <v>45</v>
      </c>
      <c r="AH764">
        <v>364</v>
      </c>
      <c r="AI764" s="2">
        <f>Table__192.168.3.138DYLAgingReport[[#This Row],[NetAmount]]-Table__192.168.3.138DYLAgingReport[[#This Row],[Paid]]</f>
        <v>3202</v>
      </c>
    </row>
    <row r="765" spans="1:35">
      <c r="A765" t="s">
        <v>1834</v>
      </c>
      <c r="B765" s="1">
        <v>40949</v>
      </c>
      <c r="C765" s="1">
        <v>40994</v>
      </c>
      <c r="D765" t="s">
        <v>268</v>
      </c>
      <c r="E765">
        <v>37950</v>
      </c>
      <c r="F765">
        <v>6072</v>
      </c>
      <c r="G765">
        <v>0</v>
      </c>
      <c r="H765">
        <v>0</v>
      </c>
      <c r="I765">
        <v>319</v>
      </c>
      <c r="J765">
        <v>44022</v>
      </c>
      <c r="K765" t="s">
        <v>1835</v>
      </c>
      <c r="L765" s="1">
        <v>40949</v>
      </c>
      <c r="N765" t="s">
        <v>36</v>
      </c>
      <c r="O765" t="s">
        <v>37</v>
      </c>
      <c r="P765" t="s">
        <v>405</v>
      </c>
      <c r="Q765" t="s">
        <v>39</v>
      </c>
      <c r="R765" t="s">
        <v>40</v>
      </c>
      <c r="S765">
        <v>0</v>
      </c>
      <c r="U765" t="s">
        <v>41</v>
      </c>
      <c r="V765" t="s">
        <v>42</v>
      </c>
      <c r="X765" t="s">
        <v>74</v>
      </c>
      <c r="Y765" t="b">
        <v>0</v>
      </c>
      <c r="Z765" t="b">
        <v>0</v>
      </c>
      <c r="AC765" s="1"/>
      <c r="AF765">
        <v>0</v>
      </c>
      <c r="AG765">
        <v>45</v>
      </c>
      <c r="AH765">
        <v>364</v>
      </c>
      <c r="AI765" s="2">
        <f>Table__192.168.3.138DYLAgingReport[[#This Row],[NetAmount]]-Table__192.168.3.138DYLAgingReport[[#This Row],[Paid]]</f>
        <v>44022</v>
      </c>
    </row>
    <row r="766" spans="1:35">
      <c r="A766" t="s">
        <v>1836</v>
      </c>
      <c r="B766" s="1">
        <v>40973</v>
      </c>
      <c r="C766" s="1">
        <v>41018</v>
      </c>
      <c r="D766" t="s">
        <v>168</v>
      </c>
      <c r="E766">
        <v>1089220</v>
      </c>
      <c r="F766">
        <v>174275</v>
      </c>
      <c r="G766">
        <v>0</v>
      </c>
      <c r="H766">
        <v>0</v>
      </c>
      <c r="I766">
        <v>295</v>
      </c>
      <c r="J766">
        <v>1263495</v>
      </c>
      <c r="K766" t="s">
        <v>1837</v>
      </c>
      <c r="L766" s="1">
        <v>40973</v>
      </c>
      <c r="N766" t="s">
        <v>36</v>
      </c>
      <c r="O766" t="s">
        <v>37</v>
      </c>
      <c r="P766" t="s">
        <v>305</v>
      </c>
      <c r="Q766" t="s">
        <v>39</v>
      </c>
      <c r="R766" t="s">
        <v>40</v>
      </c>
      <c r="S766">
        <v>0</v>
      </c>
      <c r="U766" t="s">
        <v>41</v>
      </c>
      <c r="V766" t="s">
        <v>42</v>
      </c>
      <c r="X766" t="s">
        <v>74</v>
      </c>
      <c r="Y766" t="b">
        <v>0</v>
      </c>
      <c r="Z766" t="b">
        <v>0</v>
      </c>
      <c r="AB766" t="s">
        <v>1838</v>
      </c>
      <c r="AC766" s="1">
        <v>40971</v>
      </c>
      <c r="AD766" t="s">
        <v>1839</v>
      </c>
      <c r="AE766" t="s">
        <v>1840</v>
      </c>
      <c r="AF766">
        <v>1207879</v>
      </c>
      <c r="AG766">
        <v>45</v>
      </c>
      <c r="AH766">
        <v>340</v>
      </c>
      <c r="AI766" s="2">
        <f>Table__192.168.3.138DYLAgingReport[[#This Row],[NetAmount]]-Table__192.168.3.138DYLAgingReport[[#This Row],[Paid]]</f>
        <v>55616</v>
      </c>
    </row>
    <row r="767" spans="1:35">
      <c r="A767" t="s">
        <v>1841</v>
      </c>
      <c r="B767" s="1">
        <v>40976</v>
      </c>
      <c r="C767" s="1">
        <v>41021</v>
      </c>
      <c r="D767" t="s">
        <v>189</v>
      </c>
      <c r="E767">
        <v>30000</v>
      </c>
      <c r="F767">
        <v>4800</v>
      </c>
      <c r="G767">
        <v>0</v>
      </c>
      <c r="H767">
        <v>0</v>
      </c>
      <c r="I767">
        <v>293</v>
      </c>
      <c r="J767">
        <v>34800</v>
      </c>
      <c r="K767" t="s">
        <v>1842</v>
      </c>
      <c r="L767" s="1">
        <v>40975</v>
      </c>
      <c r="N767" t="s">
        <v>36</v>
      </c>
      <c r="O767" t="s">
        <v>37</v>
      </c>
      <c r="P767" t="s">
        <v>326</v>
      </c>
      <c r="Q767" t="s">
        <v>39</v>
      </c>
      <c r="R767" t="s">
        <v>40</v>
      </c>
      <c r="S767">
        <v>0</v>
      </c>
      <c r="U767" t="s">
        <v>41</v>
      </c>
      <c r="V767" t="s">
        <v>42</v>
      </c>
      <c r="X767" t="s">
        <v>74</v>
      </c>
      <c r="Y767" t="b">
        <v>0</v>
      </c>
      <c r="Z767" t="b">
        <v>0</v>
      </c>
      <c r="AC767" s="1"/>
      <c r="AF767">
        <v>0</v>
      </c>
      <c r="AG767">
        <v>45</v>
      </c>
      <c r="AH767">
        <v>338</v>
      </c>
      <c r="AI767" s="2">
        <f>Table__192.168.3.138DYLAgingReport[[#This Row],[NetAmount]]-Table__192.168.3.138DYLAgingReport[[#This Row],[Paid]]</f>
        <v>34800</v>
      </c>
    </row>
    <row r="768" spans="1:35">
      <c r="A768" t="s">
        <v>1843</v>
      </c>
      <c r="B768" s="1">
        <v>40947</v>
      </c>
      <c r="C768" s="1">
        <v>40947</v>
      </c>
      <c r="D768" t="s">
        <v>214</v>
      </c>
      <c r="E768">
        <v>56875</v>
      </c>
      <c r="F768">
        <v>0</v>
      </c>
      <c r="G768">
        <v>0</v>
      </c>
      <c r="H768">
        <v>0</v>
      </c>
      <c r="I768">
        <v>543</v>
      </c>
      <c r="J768">
        <v>56875</v>
      </c>
      <c r="K768" t="s">
        <v>1844</v>
      </c>
      <c r="L768" s="1">
        <v>40725</v>
      </c>
      <c r="M768" t="s">
        <v>1845</v>
      </c>
      <c r="N768" t="s">
        <v>36</v>
      </c>
      <c r="O768" t="s">
        <v>37</v>
      </c>
      <c r="P768" t="s">
        <v>351</v>
      </c>
      <c r="Q768" t="s">
        <v>39</v>
      </c>
      <c r="R768" t="s">
        <v>40</v>
      </c>
      <c r="S768">
        <v>0</v>
      </c>
      <c r="U768" t="s">
        <v>41</v>
      </c>
      <c r="V768" t="s">
        <v>42</v>
      </c>
      <c r="W768" t="s">
        <v>1846</v>
      </c>
      <c r="X768" t="s">
        <v>74</v>
      </c>
      <c r="Y768" t="b">
        <v>0</v>
      </c>
      <c r="Z768" t="b">
        <v>0</v>
      </c>
      <c r="AA768" t="b">
        <v>0</v>
      </c>
      <c r="AC768" s="1"/>
      <c r="AF768">
        <v>0</v>
      </c>
      <c r="AG768">
        <v>45</v>
      </c>
      <c r="AH768">
        <v>588</v>
      </c>
      <c r="AI768" s="2">
        <f>Table__192.168.3.138DYLAgingReport[[#This Row],[NetAmount]]-Table__192.168.3.138DYLAgingReport[[#This Row],[Paid]]</f>
        <v>56875</v>
      </c>
    </row>
    <row r="769" spans="1:35">
      <c r="A769" t="s">
        <v>1847</v>
      </c>
      <c r="B769" s="1">
        <v>40971</v>
      </c>
      <c r="C769" s="1">
        <v>41016</v>
      </c>
      <c r="D769" t="s">
        <v>189</v>
      </c>
      <c r="E769">
        <v>15000</v>
      </c>
      <c r="F769">
        <v>2400</v>
      </c>
      <c r="G769">
        <v>0</v>
      </c>
      <c r="H769">
        <v>0</v>
      </c>
      <c r="I769">
        <v>297</v>
      </c>
      <c r="J769">
        <v>17400</v>
      </c>
      <c r="K769" t="s">
        <v>1848</v>
      </c>
      <c r="L769" s="1">
        <v>40971</v>
      </c>
      <c r="N769" t="s">
        <v>36</v>
      </c>
      <c r="O769" t="s">
        <v>37</v>
      </c>
      <c r="P769" t="s">
        <v>326</v>
      </c>
      <c r="Q769" t="s">
        <v>39</v>
      </c>
      <c r="R769" t="s">
        <v>40</v>
      </c>
      <c r="S769">
        <v>0</v>
      </c>
      <c r="U769" t="s">
        <v>41</v>
      </c>
      <c r="V769" t="s">
        <v>42</v>
      </c>
      <c r="X769" t="s">
        <v>74</v>
      </c>
      <c r="Y769" t="b">
        <v>0</v>
      </c>
      <c r="Z769" t="b">
        <v>0</v>
      </c>
      <c r="AC769" s="1"/>
      <c r="AF769">
        <v>0</v>
      </c>
      <c r="AG769">
        <v>45</v>
      </c>
      <c r="AH769">
        <v>342</v>
      </c>
      <c r="AI769" s="2">
        <f>Table__192.168.3.138DYLAgingReport[[#This Row],[NetAmount]]-Table__192.168.3.138DYLAgingReport[[#This Row],[Paid]]</f>
        <v>17400</v>
      </c>
    </row>
    <row r="770" spans="1:35">
      <c r="A770" t="s">
        <v>1849</v>
      </c>
      <c r="B770" s="1">
        <v>40971</v>
      </c>
      <c r="C770" s="1">
        <v>41016</v>
      </c>
      <c r="D770" t="s">
        <v>189</v>
      </c>
      <c r="E770">
        <v>9285</v>
      </c>
      <c r="F770">
        <v>1486</v>
      </c>
      <c r="G770">
        <v>0</v>
      </c>
      <c r="H770">
        <v>0</v>
      </c>
      <c r="I770">
        <v>297</v>
      </c>
      <c r="J770">
        <v>10771</v>
      </c>
      <c r="K770" t="s">
        <v>1850</v>
      </c>
      <c r="L770" s="1">
        <v>40971</v>
      </c>
      <c r="N770" t="s">
        <v>36</v>
      </c>
      <c r="O770" t="s">
        <v>37</v>
      </c>
      <c r="P770" t="s">
        <v>326</v>
      </c>
      <c r="Q770" t="s">
        <v>39</v>
      </c>
      <c r="R770" t="s">
        <v>40</v>
      </c>
      <c r="S770">
        <v>0</v>
      </c>
      <c r="U770" t="s">
        <v>41</v>
      </c>
      <c r="V770" t="s">
        <v>42</v>
      </c>
      <c r="X770" t="s">
        <v>74</v>
      </c>
      <c r="Y770" t="b">
        <v>0</v>
      </c>
      <c r="Z770" t="b">
        <v>0</v>
      </c>
      <c r="AC770" s="1"/>
      <c r="AF770">
        <v>0</v>
      </c>
      <c r="AG770">
        <v>45</v>
      </c>
      <c r="AH770">
        <v>342</v>
      </c>
      <c r="AI770" s="2">
        <f>Table__192.168.3.138DYLAgingReport[[#This Row],[NetAmount]]-Table__192.168.3.138DYLAgingReport[[#This Row],[Paid]]</f>
        <v>10771</v>
      </c>
    </row>
    <row r="771" spans="1:35">
      <c r="A771" t="s">
        <v>1851</v>
      </c>
      <c r="B771" s="1">
        <v>40974</v>
      </c>
      <c r="C771" s="1">
        <v>41019</v>
      </c>
      <c r="D771" t="s">
        <v>259</v>
      </c>
      <c r="E771">
        <v>36148</v>
      </c>
      <c r="F771">
        <v>5784</v>
      </c>
      <c r="G771">
        <v>0</v>
      </c>
      <c r="H771">
        <v>0</v>
      </c>
      <c r="I771">
        <v>295</v>
      </c>
      <c r="J771">
        <v>41932</v>
      </c>
      <c r="K771" t="s">
        <v>1852</v>
      </c>
      <c r="L771" s="1">
        <v>40973</v>
      </c>
      <c r="N771" t="s">
        <v>36</v>
      </c>
      <c r="O771" t="s">
        <v>37</v>
      </c>
      <c r="P771" t="s">
        <v>396</v>
      </c>
      <c r="Q771" t="s">
        <v>39</v>
      </c>
      <c r="R771" t="s">
        <v>40</v>
      </c>
      <c r="S771">
        <v>0</v>
      </c>
      <c r="U771" t="s">
        <v>41</v>
      </c>
      <c r="V771" t="s">
        <v>42</v>
      </c>
      <c r="X771" t="s">
        <v>74</v>
      </c>
      <c r="Y771" t="b">
        <v>0</v>
      </c>
      <c r="Z771" t="b">
        <v>0</v>
      </c>
      <c r="AC771" s="1"/>
      <c r="AF771">
        <v>0</v>
      </c>
      <c r="AG771">
        <v>45</v>
      </c>
      <c r="AH771">
        <v>340</v>
      </c>
      <c r="AI771" s="2">
        <f>Table__192.168.3.138DYLAgingReport[[#This Row],[NetAmount]]-Table__192.168.3.138DYLAgingReport[[#This Row],[Paid]]</f>
        <v>41932</v>
      </c>
    </row>
    <row r="772" spans="1:35">
      <c r="A772" t="s">
        <v>1853</v>
      </c>
      <c r="B772" s="1">
        <v>40969</v>
      </c>
      <c r="C772" s="1">
        <v>40969</v>
      </c>
      <c r="D772" t="s">
        <v>188</v>
      </c>
      <c r="E772">
        <v>45608</v>
      </c>
      <c r="F772">
        <v>7297</v>
      </c>
      <c r="G772">
        <v>0</v>
      </c>
      <c r="H772">
        <v>0</v>
      </c>
      <c r="I772">
        <v>299</v>
      </c>
      <c r="J772">
        <v>52905</v>
      </c>
      <c r="K772" t="s">
        <v>1854</v>
      </c>
      <c r="L772" s="1">
        <v>40969</v>
      </c>
      <c r="N772" t="s">
        <v>36</v>
      </c>
      <c r="O772" t="s">
        <v>37</v>
      </c>
      <c r="P772" t="s">
        <v>325</v>
      </c>
      <c r="Q772" t="s">
        <v>39</v>
      </c>
      <c r="R772" t="s">
        <v>40</v>
      </c>
      <c r="S772">
        <v>0</v>
      </c>
      <c r="U772" t="s">
        <v>41</v>
      </c>
      <c r="V772" t="s">
        <v>42</v>
      </c>
      <c r="X772" t="s">
        <v>74</v>
      </c>
      <c r="Y772" t="b">
        <v>0</v>
      </c>
      <c r="Z772" t="b">
        <v>0</v>
      </c>
      <c r="AC772" s="1"/>
      <c r="AF772">
        <v>0</v>
      </c>
      <c r="AG772">
        <v>45</v>
      </c>
      <c r="AH772">
        <v>344</v>
      </c>
      <c r="AI772" s="2">
        <f>Table__192.168.3.138DYLAgingReport[[#This Row],[NetAmount]]-Table__192.168.3.138DYLAgingReport[[#This Row],[Paid]]</f>
        <v>52905</v>
      </c>
    </row>
    <row r="773" spans="1:35">
      <c r="A773" t="s">
        <v>1855</v>
      </c>
      <c r="B773" s="1">
        <v>40969</v>
      </c>
      <c r="C773" s="1">
        <v>40969</v>
      </c>
      <c r="D773" t="s">
        <v>188</v>
      </c>
      <c r="E773">
        <v>5122</v>
      </c>
      <c r="F773">
        <v>820</v>
      </c>
      <c r="G773">
        <v>0</v>
      </c>
      <c r="H773">
        <v>0</v>
      </c>
      <c r="I773">
        <v>299</v>
      </c>
      <c r="J773">
        <v>5942</v>
      </c>
      <c r="K773" t="s">
        <v>1856</v>
      </c>
      <c r="L773" s="1">
        <v>40969</v>
      </c>
      <c r="N773" t="s">
        <v>36</v>
      </c>
      <c r="O773" t="s">
        <v>37</v>
      </c>
      <c r="P773" t="s">
        <v>325</v>
      </c>
      <c r="Q773" t="s">
        <v>39</v>
      </c>
      <c r="R773" t="s">
        <v>40</v>
      </c>
      <c r="S773">
        <v>0</v>
      </c>
      <c r="U773" t="s">
        <v>41</v>
      </c>
      <c r="V773" t="s">
        <v>42</v>
      </c>
      <c r="X773" t="s">
        <v>74</v>
      </c>
      <c r="Y773" t="b">
        <v>0</v>
      </c>
      <c r="Z773" t="b">
        <v>0</v>
      </c>
      <c r="AC773" s="1"/>
      <c r="AF773">
        <v>0</v>
      </c>
      <c r="AG773">
        <v>45</v>
      </c>
      <c r="AH773">
        <v>344</v>
      </c>
      <c r="AI773" s="2">
        <f>Table__192.168.3.138DYLAgingReport[[#This Row],[NetAmount]]-Table__192.168.3.138DYLAgingReport[[#This Row],[Paid]]</f>
        <v>5942</v>
      </c>
    </row>
    <row r="774" spans="1:35">
      <c r="A774" t="s">
        <v>1857</v>
      </c>
      <c r="B774" s="1">
        <v>40969</v>
      </c>
      <c r="C774" s="1">
        <v>40969</v>
      </c>
      <c r="D774" t="s">
        <v>188</v>
      </c>
      <c r="E774">
        <v>5122</v>
      </c>
      <c r="F774">
        <v>819</v>
      </c>
      <c r="G774">
        <v>0</v>
      </c>
      <c r="H774">
        <v>0</v>
      </c>
      <c r="I774">
        <v>299</v>
      </c>
      <c r="J774">
        <v>5941</v>
      </c>
      <c r="K774" t="s">
        <v>1858</v>
      </c>
      <c r="L774" s="1">
        <v>40969</v>
      </c>
      <c r="N774" t="s">
        <v>36</v>
      </c>
      <c r="O774" t="s">
        <v>37</v>
      </c>
      <c r="P774" t="s">
        <v>325</v>
      </c>
      <c r="Q774" t="s">
        <v>39</v>
      </c>
      <c r="R774" t="s">
        <v>40</v>
      </c>
      <c r="S774">
        <v>0</v>
      </c>
      <c r="U774" t="s">
        <v>41</v>
      </c>
      <c r="V774" t="s">
        <v>42</v>
      </c>
      <c r="X774" t="s">
        <v>74</v>
      </c>
      <c r="Y774" t="b">
        <v>0</v>
      </c>
      <c r="Z774" t="b">
        <v>0</v>
      </c>
      <c r="AC774" s="1"/>
      <c r="AF774">
        <v>0</v>
      </c>
      <c r="AG774">
        <v>45</v>
      </c>
      <c r="AH774">
        <v>344</v>
      </c>
      <c r="AI774" s="2">
        <f>Table__192.168.3.138DYLAgingReport[[#This Row],[NetAmount]]-Table__192.168.3.138DYLAgingReport[[#This Row],[Paid]]</f>
        <v>5941</v>
      </c>
    </row>
    <row r="775" spans="1:35">
      <c r="A775" t="s">
        <v>1859</v>
      </c>
      <c r="B775" s="1">
        <v>40974</v>
      </c>
      <c r="C775" s="1">
        <v>41019</v>
      </c>
      <c r="D775" t="s">
        <v>207</v>
      </c>
      <c r="E775">
        <v>317255</v>
      </c>
      <c r="F775">
        <v>50760</v>
      </c>
      <c r="G775">
        <v>0</v>
      </c>
      <c r="H775">
        <v>0</v>
      </c>
      <c r="I775">
        <v>298</v>
      </c>
      <c r="J775">
        <v>368015</v>
      </c>
      <c r="K775" t="s">
        <v>1860</v>
      </c>
      <c r="L775" s="1">
        <v>40970</v>
      </c>
      <c r="N775" t="s">
        <v>36</v>
      </c>
      <c r="O775" t="s">
        <v>37</v>
      </c>
      <c r="P775" t="s">
        <v>344</v>
      </c>
      <c r="Q775" t="s">
        <v>39</v>
      </c>
      <c r="R775" t="s">
        <v>40</v>
      </c>
      <c r="S775">
        <v>0</v>
      </c>
      <c r="U775" t="s">
        <v>41</v>
      </c>
      <c r="V775" t="s">
        <v>42</v>
      </c>
      <c r="X775" t="s">
        <v>74</v>
      </c>
      <c r="Y775" t="b">
        <v>0</v>
      </c>
      <c r="Z775" t="b">
        <v>0</v>
      </c>
      <c r="AB775" t="s">
        <v>1861</v>
      </c>
      <c r="AC775" s="1">
        <v>41185</v>
      </c>
      <c r="AD775" t="s">
        <v>1862</v>
      </c>
      <c r="AE775" t="s">
        <v>1863</v>
      </c>
      <c r="AF775">
        <v>348364</v>
      </c>
      <c r="AG775">
        <v>45</v>
      </c>
      <c r="AH775">
        <v>343</v>
      </c>
      <c r="AI775" s="2">
        <f>Table__192.168.3.138DYLAgingReport[[#This Row],[NetAmount]]-Table__192.168.3.138DYLAgingReport[[#This Row],[Paid]]</f>
        <v>19651</v>
      </c>
    </row>
    <row r="776" spans="1:35">
      <c r="A776" t="s">
        <v>1864</v>
      </c>
      <c r="B776" s="1">
        <v>40977</v>
      </c>
      <c r="C776" s="1">
        <v>41022</v>
      </c>
      <c r="D776" t="s">
        <v>187</v>
      </c>
      <c r="E776">
        <v>21235</v>
      </c>
      <c r="F776">
        <v>0</v>
      </c>
      <c r="G776">
        <v>0</v>
      </c>
      <c r="H776">
        <v>0</v>
      </c>
      <c r="I776">
        <v>291</v>
      </c>
      <c r="J776">
        <v>21235</v>
      </c>
      <c r="K776" t="s">
        <v>1865</v>
      </c>
      <c r="L776" s="1">
        <v>40977</v>
      </c>
      <c r="N776" t="s">
        <v>36</v>
      </c>
      <c r="O776" t="s">
        <v>37</v>
      </c>
      <c r="P776" t="s">
        <v>324</v>
      </c>
      <c r="Q776" t="s">
        <v>39</v>
      </c>
      <c r="R776" t="s">
        <v>40</v>
      </c>
      <c r="S776">
        <v>0</v>
      </c>
      <c r="U776" t="s">
        <v>41</v>
      </c>
      <c r="V776" t="s">
        <v>42</v>
      </c>
      <c r="X776" t="s">
        <v>74</v>
      </c>
      <c r="Y776" t="b">
        <v>0</v>
      </c>
      <c r="Z776" t="b">
        <v>0</v>
      </c>
      <c r="AC776" s="1"/>
      <c r="AF776">
        <v>0</v>
      </c>
      <c r="AG776">
        <v>45</v>
      </c>
      <c r="AH776">
        <v>336</v>
      </c>
      <c r="AI776" s="2">
        <f>Table__192.168.3.138DYLAgingReport[[#This Row],[NetAmount]]-Table__192.168.3.138DYLAgingReport[[#This Row],[Paid]]</f>
        <v>21235</v>
      </c>
    </row>
    <row r="777" spans="1:35">
      <c r="A777" t="s">
        <v>1866</v>
      </c>
      <c r="B777" s="1">
        <v>40977</v>
      </c>
      <c r="C777" s="1">
        <v>41022</v>
      </c>
      <c r="D777" t="s">
        <v>187</v>
      </c>
      <c r="E777">
        <v>7700</v>
      </c>
      <c r="F777">
        <v>0</v>
      </c>
      <c r="G777">
        <v>0</v>
      </c>
      <c r="H777">
        <v>0</v>
      </c>
      <c r="I777">
        <v>291</v>
      </c>
      <c r="J777">
        <v>7700</v>
      </c>
      <c r="K777" t="s">
        <v>1867</v>
      </c>
      <c r="L777" s="1">
        <v>40977</v>
      </c>
      <c r="N777" t="s">
        <v>36</v>
      </c>
      <c r="O777" t="s">
        <v>37</v>
      </c>
      <c r="P777" t="s">
        <v>324</v>
      </c>
      <c r="Q777" t="s">
        <v>39</v>
      </c>
      <c r="R777" t="s">
        <v>40</v>
      </c>
      <c r="S777">
        <v>0</v>
      </c>
      <c r="U777" t="s">
        <v>41</v>
      </c>
      <c r="V777" t="s">
        <v>42</v>
      </c>
      <c r="X777" t="s">
        <v>74</v>
      </c>
      <c r="Y777" t="b">
        <v>0</v>
      </c>
      <c r="Z777" t="b">
        <v>0</v>
      </c>
      <c r="AC777" s="1"/>
      <c r="AF777">
        <v>0</v>
      </c>
      <c r="AG777">
        <v>45</v>
      </c>
      <c r="AH777">
        <v>336</v>
      </c>
      <c r="AI777" s="2">
        <f>Table__192.168.3.138DYLAgingReport[[#This Row],[NetAmount]]-Table__192.168.3.138DYLAgingReport[[#This Row],[Paid]]</f>
        <v>7700</v>
      </c>
    </row>
    <row r="778" spans="1:35">
      <c r="A778" t="s">
        <v>1868</v>
      </c>
      <c r="B778" s="1">
        <v>40981</v>
      </c>
      <c r="C778" s="1">
        <v>41026</v>
      </c>
      <c r="D778" t="s">
        <v>189</v>
      </c>
      <c r="E778">
        <v>10000</v>
      </c>
      <c r="F778">
        <v>1600</v>
      </c>
      <c r="G778">
        <v>0</v>
      </c>
      <c r="H778">
        <v>0</v>
      </c>
      <c r="I778">
        <v>288</v>
      </c>
      <c r="J778">
        <v>11600</v>
      </c>
      <c r="K778" t="s">
        <v>1869</v>
      </c>
      <c r="L778" s="1">
        <v>40980</v>
      </c>
      <c r="N778" t="s">
        <v>36</v>
      </c>
      <c r="O778" t="s">
        <v>37</v>
      </c>
      <c r="P778" t="s">
        <v>326</v>
      </c>
      <c r="Q778" t="s">
        <v>39</v>
      </c>
      <c r="R778" t="s">
        <v>40</v>
      </c>
      <c r="S778">
        <v>0</v>
      </c>
      <c r="U778" t="s">
        <v>41</v>
      </c>
      <c r="V778" t="s">
        <v>42</v>
      </c>
      <c r="X778" t="s">
        <v>74</v>
      </c>
      <c r="Y778" t="b">
        <v>0</v>
      </c>
      <c r="Z778" t="b">
        <v>0</v>
      </c>
      <c r="AC778" s="1"/>
      <c r="AF778">
        <v>0</v>
      </c>
      <c r="AG778">
        <v>45</v>
      </c>
      <c r="AH778">
        <v>333</v>
      </c>
      <c r="AI778" s="2">
        <f>Table__192.168.3.138DYLAgingReport[[#This Row],[NetAmount]]-Table__192.168.3.138DYLAgingReport[[#This Row],[Paid]]</f>
        <v>11600</v>
      </c>
    </row>
    <row r="779" spans="1:35">
      <c r="A779" t="s">
        <v>1870</v>
      </c>
      <c r="B779" s="1">
        <v>40981</v>
      </c>
      <c r="C779" s="1">
        <v>41026</v>
      </c>
      <c r="D779" t="s">
        <v>189</v>
      </c>
      <c r="E779">
        <v>15475</v>
      </c>
      <c r="F779">
        <v>2476</v>
      </c>
      <c r="G779">
        <v>0</v>
      </c>
      <c r="H779">
        <v>0</v>
      </c>
      <c r="I779">
        <v>288</v>
      </c>
      <c r="J779">
        <v>17951</v>
      </c>
      <c r="K779" t="s">
        <v>1871</v>
      </c>
      <c r="L779" s="1">
        <v>40980</v>
      </c>
      <c r="N779" t="s">
        <v>36</v>
      </c>
      <c r="O779" t="s">
        <v>37</v>
      </c>
      <c r="P779" t="s">
        <v>326</v>
      </c>
      <c r="Q779" t="s">
        <v>39</v>
      </c>
      <c r="R779" t="s">
        <v>40</v>
      </c>
      <c r="S779">
        <v>0</v>
      </c>
      <c r="U779" t="s">
        <v>41</v>
      </c>
      <c r="V779" t="s">
        <v>42</v>
      </c>
      <c r="X779" t="s">
        <v>74</v>
      </c>
      <c r="Y779" t="b">
        <v>0</v>
      </c>
      <c r="Z779" t="b">
        <v>0</v>
      </c>
      <c r="AC779" s="1"/>
      <c r="AF779">
        <v>0</v>
      </c>
      <c r="AG779">
        <v>45</v>
      </c>
      <c r="AH779">
        <v>333</v>
      </c>
      <c r="AI779" s="2">
        <f>Table__192.168.3.138DYLAgingReport[[#This Row],[NetAmount]]-Table__192.168.3.138DYLAgingReport[[#This Row],[Paid]]</f>
        <v>17951</v>
      </c>
    </row>
    <row r="780" spans="1:35">
      <c r="A780" t="s">
        <v>1872</v>
      </c>
      <c r="B780" s="1">
        <v>40981</v>
      </c>
      <c r="C780" s="1">
        <v>41026</v>
      </c>
      <c r="D780" t="s">
        <v>219</v>
      </c>
      <c r="E780">
        <v>1940</v>
      </c>
      <c r="F780">
        <v>310</v>
      </c>
      <c r="G780">
        <v>0</v>
      </c>
      <c r="H780">
        <v>0</v>
      </c>
      <c r="I780">
        <v>288</v>
      </c>
      <c r="J780">
        <v>2250</v>
      </c>
      <c r="K780" t="s">
        <v>1873</v>
      </c>
      <c r="L780" s="1">
        <v>40980</v>
      </c>
      <c r="N780" t="s">
        <v>36</v>
      </c>
      <c r="O780" t="s">
        <v>37</v>
      </c>
      <c r="P780" t="s">
        <v>356</v>
      </c>
      <c r="Q780" t="s">
        <v>39</v>
      </c>
      <c r="R780" t="s">
        <v>40</v>
      </c>
      <c r="S780">
        <v>0</v>
      </c>
      <c r="U780" t="s">
        <v>41</v>
      </c>
      <c r="V780" t="s">
        <v>42</v>
      </c>
      <c r="X780" t="s">
        <v>74</v>
      </c>
      <c r="Y780" t="b">
        <v>0</v>
      </c>
      <c r="Z780" t="b">
        <v>0</v>
      </c>
      <c r="AC780" s="1"/>
      <c r="AF780">
        <v>0</v>
      </c>
      <c r="AG780">
        <v>45</v>
      </c>
      <c r="AH780">
        <v>333</v>
      </c>
      <c r="AI780" s="2">
        <f>Table__192.168.3.138DYLAgingReport[[#This Row],[NetAmount]]-Table__192.168.3.138DYLAgingReport[[#This Row],[Paid]]</f>
        <v>2250</v>
      </c>
    </row>
    <row r="781" spans="1:35">
      <c r="A781" t="s">
        <v>1874</v>
      </c>
      <c r="B781" s="1">
        <v>40974</v>
      </c>
      <c r="C781" s="1">
        <v>41019</v>
      </c>
      <c r="D781" t="s">
        <v>268</v>
      </c>
      <c r="E781">
        <v>55050</v>
      </c>
      <c r="F781">
        <v>8808</v>
      </c>
      <c r="G781">
        <v>0</v>
      </c>
      <c r="H781">
        <v>0</v>
      </c>
      <c r="I781">
        <v>293</v>
      </c>
      <c r="J781">
        <v>63858</v>
      </c>
      <c r="K781" t="s">
        <v>1875</v>
      </c>
      <c r="L781" s="1">
        <v>40975</v>
      </c>
      <c r="N781" t="s">
        <v>36</v>
      </c>
      <c r="O781" t="s">
        <v>37</v>
      </c>
      <c r="P781" t="s">
        <v>405</v>
      </c>
      <c r="Q781" t="s">
        <v>39</v>
      </c>
      <c r="R781" t="s">
        <v>40</v>
      </c>
      <c r="S781">
        <v>0</v>
      </c>
      <c r="U781" t="s">
        <v>41</v>
      </c>
      <c r="V781" t="s">
        <v>42</v>
      </c>
      <c r="X781" t="s">
        <v>74</v>
      </c>
      <c r="Y781" t="b">
        <v>0</v>
      </c>
      <c r="Z781" t="b">
        <v>0</v>
      </c>
      <c r="AB781" t="s">
        <v>542</v>
      </c>
      <c r="AC781" s="1">
        <v>41176</v>
      </c>
      <c r="AF781">
        <v>0</v>
      </c>
      <c r="AG781">
        <v>45</v>
      </c>
      <c r="AH781">
        <v>338</v>
      </c>
      <c r="AI781" s="2">
        <f>Table__192.168.3.138DYLAgingReport[[#This Row],[NetAmount]]-Table__192.168.3.138DYLAgingReport[[#This Row],[Paid]]</f>
        <v>63858</v>
      </c>
    </row>
    <row r="782" spans="1:35">
      <c r="A782" t="s">
        <v>1876</v>
      </c>
      <c r="B782" s="1">
        <v>40984</v>
      </c>
      <c r="C782" s="1">
        <v>41029</v>
      </c>
      <c r="D782" t="s">
        <v>259</v>
      </c>
      <c r="E782">
        <v>8255</v>
      </c>
      <c r="F782">
        <v>1321</v>
      </c>
      <c r="G782">
        <v>0</v>
      </c>
      <c r="H782">
        <v>0</v>
      </c>
      <c r="I782">
        <v>291</v>
      </c>
      <c r="J782">
        <v>9576</v>
      </c>
      <c r="K782" t="s">
        <v>1877</v>
      </c>
      <c r="L782" s="1">
        <v>40977</v>
      </c>
      <c r="N782" t="s">
        <v>36</v>
      </c>
      <c r="O782" t="s">
        <v>37</v>
      </c>
      <c r="P782" t="s">
        <v>396</v>
      </c>
      <c r="Q782" t="s">
        <v>39</v>
      </c>
      <c r="R782" t="s">
        <v>40</v>
      </c>
      <c r="S782">
        <v>0</v>
      </c>
      <c r="U782" t="s">
        <v>41</v>
      </c>
      <c r="V782" t="s">
        <v>42</v>
      </c>
      <c r="X782" t="s">
        <v>74</v>
      </c>
      <c r="Y782" t="b">
        <v>0</v>
      </c>
      <c r="Z782" t="b">
        <v>0</v>
      </c>
      <c r="AC782" s="1"/>
      <c r="AF782">
        <v>0</v>
      </c>
      <c r="AG782">
        <v>45</v>
      </c>
      <c r="AH782">
        <v>336</v>
      </c>
      <c r="AI782" s="2">
        <f>Table__192.168.3.138DYLAgingReport[[#This Row],[NetAmount]]-Table__192.168.3.138DYLAgingReport[[#This Row],[Paid]]</f>
        <v>9576</v>
      </c>
    </row>
    <row r="783" spans="1:35">
      <c r="A783" t="s">
        <v>1878</v>
      </c>
      <c r="B783" s="1">
        <v>40970</v>
      </c>
      <c r="C783" s="1">
        <v>41015</v>
      </c>
      <c r="D783" t="s">
        <v>257</v>
      </c>
      <c r="E783">
        <v>60000</v>
      </c>
      <c r="F783">
        <v>9600</v>
      </c>
      <c r="G783">
        <v>0</v>
      </c>
      <c r="H783">
        <v>0</v>
      </c>
      <c r="I783">
        <v>298</v>
      </c>
      <c r="J783">
        <v>69600</v>
      </c>
      <c r="K783" t="s">
        <v>1879</v>
      </c>
      <c r="L783" s="1">
        <v>40970</v>
      </c>
      <c r="N783" t="s">
        <v>36</v>
      </c>
      <c r="O783" t="s">
        <v>37</v>
      </c>
      <c r="P783" t="s">
        <v>394</v>
      </c>
      <c r="Q783" t="s">
        <v>39</v>
      </c>
      <c r="R783" t="s">
        <v>40</v>
      </c>
      <c r="S783">
        <v>0</v>
      </c>
      <c r="U783" t="s">
        <v>41</v>
      </c>
      <c r="V783" t="s">
        <v>42</v>
      </c>
      <c r="X783" t="s">
        <v>74</v>
      </c>
      <c r="Y783" t="b">
        <v>0</v>
      </c>
      <c r="Z783" t="b">
        <v>0</v>
      </c>
      <c r="AC783" s="1"/>
      <c r="AF783">
        <v>0</v>
      </c>
      <c r="AG783">
        <v>45</v>
      </c>
      <c r="AH783">
        <v>343</v>
      </c>
      <c r="AI783" s="2">
        <f>Table__192.168.3.138DYLAgingReport[[#This Row],[NetAmount]]-Table__192.168.3.138DYLAgingReport[[#This Row],[Paid]]</f>
        <v>69600</v>
      </c>
    </row>
    <row r="784" spans="1:35">
      <c r="A784" t="s">
        <v>1880</v>
      </c>
      <c r="B784" s="1">
        <v>40970</v>
      </c>
      <c r="C784" s="1">
        <v>41015</v>
      </c>
      <c r="D784" t="s">
        <v>257</v>
      </c>
      <c r="E784">
        <v>900</v>
      </c>
      <c r="F784">
        <v>144</v>
      </c>
      <c r="G784">
        <v>0</v>
      </c>
      <c r="H784">
        <v>0</v>
      </c>
      <c r="I784">
        <v>298</v>
      </c>
      <c r="J784">
        <v>1044</v>
      </c>
      <c r="K784" t="s">
        <v>1881</v>
      </c>
      <c r="L784" s="1">
        <v>40970</v>
      </c>
      <c r="N784" t="s">
        <v>36</v>
      </c>
      <c r="O784" t="s">
        <v>37</v>
      </c>
      <c r="P784" t="s">
        <v>394</v>
      </c>
      <c r="Q784" t="s">
        <v>39</v>
      </c>
      <c r="R784" t="s">
        <v>40</v>
      </c>
      <c r="S784">
        <v>0</v>
      </c>
      <c r="U784" t="s">
        <v>41</v>
      </c>
      <c r="V784" t="s">
        <v>42</v>
      </c>
      <c r="X784" t="s">
        <v>74</v>
      </c>
      <c r="Y784" t="b">
        <v>0</v>
      </c>
      <c r="Z784" t="b">
        <v>0</v>
      </c>
      <c r="AC784" s="1"/>
      <c r="AF784">
        <v>0</v>
      </c>
      <c r="AG784">
        <v>45</v>
      </c>
      <c r="AH784">
        <v>343</v>
      </c>
      <c r="AI784" s="2">
        <f>Table__192.168.3.138DYLAgingReport[[#This Row],[NetAmount]]-Table__192.168.3.138DYLAgingReport[[#This Row],[Paid]]</f>
        <v>1044</v>
      </c>
    </row>
    <row r="785" spans="1:35">
      <c r="A785" t="s">
        <v>1882</v>
      </c>
      <c r="B785" s="1">
        <v>40970</v>
      </c>
      <c r="C785" s="1">
        <v>41015</v>
      </c>
      <c r="D785" t="s">
        <v>257</v>
      </c>
      <c r="E785">
        <v>30500</v>
      </c>
      <c r="F785">
        <v>4880</v>
      </c>
      <c r="G785">
        <v>0</v>
      </c>
      <c r="H785">
        <v>0</v>
      </c>
      <c r="I785">
        <v>298</v>
      </c>
      <c r="J785">
        <v>35380</v>
      </c>
      <c r="K785" t="s">
        <v>1883</v>
      </c>
      <c r="L785" s="1">
        <v>40970</v>
      </c>
      <c r="N785" t="s">
        <v>36</v>
      </c>
      <c r="O785" t="s">
        <v>37</v>
      </c>
      <c r="P785" t="s">
        <v>394</v>
      </c>
      <c r="Q785" t="s">
        <v>39</v>
      </c>
      <c r="R785" t="s">
        <v>40</v>
      </c>
      <c r="S785">
        <v>0</v>
      </c>
      <c r="U785" t="s">
        <v>41</v>
      </c>
      <c r="V785" t="s">
        <v>42</v>
      </c>
      <c r="X785" t="s">
        <v>74</v>
      </c>
      <c r="Y785" t="b">
        <v>0</v>
      </c>
      <c r="Z785" t="b">
        <v>0</v>
      </c>
      <c r="AC785" s="1"/>
      <c r="AF785">
        <v>0</v>
      </c>
      <c r="AG785">
        <v>45</v>
      </c>
      <c r="AH785">
        <v>343</v>
      </c>
      <c r="AI785" s="2">
        <f>Table__192.168.3.138DYLAgingReport[[#This Row],[NetAmount]]-Table__192.168.3.138DYLAgingReport[[#This Row],[Paid]]</f>
        <v>35380</v>
      </c>
    </row>
    <row r="786" spans="1:35">
      <c r="A786" t="s">
        <v>1884</v>
      </c>
      <c r="B786" s="1">
        <v>40975</v>
      </c>
      <c r="C786" s="1">
        <v>41020</v>
      </c>
      <c r="D786" t="s">
        <v>257</v>
      </c>
      <c r="E786">
        <v>152500</v>
      </c>
      <c r="F786">
        <v>24400</v>
      </c>
      <c r="G786">
        <v>0</v>
      </c>
      <c r="H786">
        <v>0</v>
      </c>
      <c r="I786">
        <v>293</v>
      </c>
      <c r="J786">
        <v>176900</v>
      </c>
      <c r="K786" t="s">
        <v>1885</v>
      </c>
      <c r="L786" s="1">
        <v>40975</v>
      </c>
      <c r="N786" t="s">
        <v>36</v>
      </c>
      <c r="O786" t="s">
        <v>37</v>
      </c>
      <c r="P786" t="s">
        <v>394</v>
      </c>
      <c r="Q786" t="s">
        <v>39</v>
      </c>
      <c r="R786" t="s">
        <v>40</v>
      </c>
      <c r="S786">
        <v>0</v>
      </c>
      <c r="U786" t="s">
        <v>41</v>
      </c>
      <c r="V786" t="s">
        <v>42</v>
      </c>
      <c r="X786" t="s">
        <v>74</v>
      </c>
      <c r="Y786" t="b">
        <v>0</v>
      </c>
      <c r="Z786" t="b">
        <v>0</v>
      </c>
      <c r="AC786" s="1"/>
      <c r="AF786">
        <v>0</v>
      </c>
      <c r="AG786">
        <v>45</v>
      </c>
      <c r="AH786">
        <v>338</v>
      </c>
      <c r="AI786" s="2">
        <f>Table__192.168.3.138DYLAgingReport[[#This Row],[NetAmount]]-Table__192.168.3.138DYLAgingReport[[#This Row],[Paid]]</f>
        <v>176900</v>
      </c>
    </row>
    <row r="787" spans="1:35">
      <c r="A787" t="s">
        <v>1886</v>
      </c>
      <c r="B787" s="1">
        <v>40976</v>
      </c>
      <c r="C787" s="1">
        <v>41021</v>
      </c>
      <c r="D787" t="s">
        <v>257</v>
      </c>
      <c r="E787">
        <v>152500</v>
      </c>
      <c r="F787">
        <v>24400</v>
      </c>
      <c r="G787">
        <v>0</v>
      </c>
      <c r="H787">
        <v>0</v>
      </c>
      <c r="I787">
        <v>292</v>
      </c>
      <c r="J787">
        <v>176900</v>
      </c>
      <c r="K787" t="s">
        <v>1887</v>
      </c>
      <c r="L787" s="1">
        <v>40976</v>
      </c>
      <c r="N787" t="s">
        <v>36</v>
      </c>
      <c r="O787" t="s">
        <v>37</v>
      </c>
      <c r="P787" t="s">
        <v>394</v>
      </c>
      <c r="Q787" t="s">
        <v>39</v>
      </c>
      <c r="R787" t="s">
        <v>40</v>
      </c>
      <c r="S787">
        <v>0</v>
      </c>
      <c r="U787" t="s">
        <v>41</v>
      </c>
      <c r="V787" t="s">
        <v>42</v>
      </c>
      <c r="X787" t="s">
        <v>74</v>
      </c>
      <c r="Y787" t="b">
        <v>0</v>
      </c>
      <c r="Z787" t="b">
        <v>0</v>
      </c>
      <c r="AC787" s="1"/>
      <c r="AF787">
        <v>0</v>
      </c>
      <c r="AG787">
        <v>45</v>
      </c>
      <c r="AH787">
        <v>337</v>
      </c>
      <c r="AI787" s="2">
        <f>Table__192.168.3.138DYLAgingReport[[#This Row],[NetAmount]]-Table__192.168.3.138DYLAgingReport[[#This Row],[Paid]]</f>
        <v>176900</v>
      </c>
    </row>
    <row r="788" spans="1:35">
      <c r="A788" t="s">
        <v>1888</v>
      </c>
      <c r="B788" s="1">
        <v>40978</v>
      </c>
      <c r="C788" s="1">
        <v>41023</v>
      </c>
      <c r="D788" t="s">
        <v>257</v>
      </c>
      <c r="E788">
        <v>61000</v>
      </c>
      <c r="F788">
        <v>9760</v>
      </c>
      <c r="G788">
        <v>0</v>
      </c>
      <c r="H788">
        <v>0</v>
      </c>
      <c r="I788">
        <v>290</v>
      </c>
      <c r="J788">
        <v>70760</v>
      </c>
      <c r="K788" t="s">
        <v>1889</v>
      </c>
      <c r="L788" s="1">
        <v>40978</v>
      </c>
      <c r="N788" t="s">
        <v>36</v>
      </c>
      <c r="O788" t="s">
        <v>37</v>
      </c>
      <c r="P788" t="s">
        <v>394</v>
      </c>
      <c r="Q788" t="s">
        <v>39</v>
      </c>
      <c r="R788" t="s">
        <v>40</v>
      </c>
      <c r="S788">
        <v>0</v>
      </c>
      <c r="U788" t="s">
        <v>41</v>
      </c>
      <c r="V788" t="s">
        <v>42</v>
      </c>
      <c r="X788" t="s">
        <v>74</v>
      </c>
      <c r="Y788" t="b">
        <v>0</v>
      </c>
      <c r="Z788" t="b">
        <v>0</v>
      </c>
      <c r="AC788" s="1"/>
      <c r="AF788">
        <v>0</v>
      </c>
      <c r="AG788">
        <v>45</v>
      </c>
      <c r="AH788">
        <v>335</v>
      </c>
      <c r="AI788" s="2">
        <f>Table__192.168.3.138DYLAgingReport[[#This Row],[NetAmount]]-Table__192.168.3.138DYLAgingReport[[#This Row],[Paid]]</f>
        <v>70760</v>
      </c>
    </row>
    <row r="789" spans="1:35">
      <c r="A789" t="s">
        <v>1890</v>
      </c>
      <c r="B789" s="1">
        <v>40981</v>
      </c>
      <c r="C789" s="1">
        <v>41026</v>
      </c>
      <c r="D789" t="s">
        <v>257</v>
      </c>
      <c r="E789">
        <v>244000</v>
      </c>
      <c r="F789">
        <v>39040</v>
      </c>
      <c r="G789">
        <v>0</v>
      </c>
      <c r="H789">
        <v>0</v>
      </c>
      <c r="I789">
        <v>287</v>
      </c>
      <c r="J789">
        <v>283040</v>
      </c>
      <c r="K789" t="s">
        <v>1891</v>
      </c>
      <c r="L789" s="1">
        <v>40981</v>
      </c>
      <c r="N789" t="s">
        <v>36</v>
      </c>
      <c r="O789" t="s">
        <v>37</v>
      </c>
      <c r="P789" t="s">
        <v>394</v>
      </c>
      <c r="Q789" t="s">
        <v>39</v>
      </c>
      <c r="R789" t="s">
        <v>40</v>
      </c>
      <c r="S789">
        <v>0</v>
      </c>
      <c r="U789" t="s">
        <v>41</v>
      </c>
      <c r="V789" t="s">
        <v>42</v>
      </c>
      <c r="X789" t="s">
        <v>74</v>
      </c>
      <c r="Y789" t="b">
        <v>0</v>
      </c>
      <c r="Z789" t="b">
        <v>0</v>
      </c>
      <c r="AC789" s="1"/>
      <c r="AF789">
        <v>0</v>
      </c>
      <c r="AG789">
        <v>45</v>
      </c>
      <c r="AH789">
        <v>332</v>
      </c>
      <c r="AI789" s="2">
        <f>Table__192.168.3.138DYLAgingReport[[#This Row],[NetAmount]]-Table__192.168.3.138DYLAgingReport[[#This Row],[Paid]]</f>
        <v>283040</v>
      </c>
    </row>
    <row r="790" spans="1:35">
      <c r="A790" t="s">
        <v>1892</v>
      </c>
      <c r="B790" s="1">
        <v>40983</v>
      </c>
      <c r="C790" s="1">
        <v>41028</v>
      </c>
      <c r="D790" t="s">
        <v>257</v>
      </c>
      <c r="E790">
        <v>396500</v>
      </c>
      <c r="F790">
        <v>63440</v>
      </c>
      <c r="G790">
        <v>0</v>
      </c>
      <c r="H790">
        <v>0</v>
      </c>
      <c r="I790">
        <v>285</v>
      </c>
      <c r="J790">
        <v>459940</v>
      </c>
      <c r="K790" t="s">
        <v>1893</v>
      </c>
      <c r="L790" s="1">
        <v>40983</v>
      </c>
      <c r="N790" t="s">
        <v>36</v>
      </c>
      <c r="O790" t="s">
        <v>37</v>
      </c>
      <c r="P790" t="s">
        <v>394</v>
      </c>
      <c r="Q790" t="s">
        <v>39</v>
      </c>
      <c r="R790" t="s">
        <v>40</v>
      </c>
      <c r="S790">
        <v>0</v>
      </c>
      <c r="U790" t="s">
        <v>41</v>
      </c>
      <c r="V790" t="s">
        <v>42</v>
      </c>
      <c r="X790" t="s">
        <v>74</v>
      </c>
      <c r="Y790" t="b">
        <v>0</v>
      </c>
      <c r="Z790" t="b">
        <v>0</v>
      </c>
      <c r="AC790" s="1"/>
      <c r="AF790">
        <v>0</v>
      </c>
      <c r="AG790">
        <v>45</v>
      </c>
      <c r="AH790">
        <v>330</v>
      </c>
      <c r="AI790" s="2">
        <f>Table__192.168.3.138DYLAgingReport[[#This Row],[NetAmount]]-Table__192.168.3.138DYLAgingReport[[#This Row],[Paid]]</f>
        <v>459940</v>
      </c>
    </row>
    <row r="791" spans="1:35">
      <c r="A791" t="s">
        <v>1894</v>
      </c>
      <c r="B791" s="1">
        <v>40983</v>
      </c>
      <c r="C791" s="1">
        <v>41028</v>
      </c>
      <c r="D791" t="s">
        <v>257</v>
      </c>
      <c r="E791">
        <v>91500</v>
      </c>
      <c r="F791">
        <v>14640</v>
      </c>
      <c r="G791">
        <v>0</v>
      </c>
      <c r="H791">
        <v>0</v>
      </c>
      <c r="I791">
        <v>285</v>
      </c>
      <c r="J791">
        <v>106140</v>
      </c>
      <c r="K791" t="s">
        <v>1895</v>
      </c>
      <c r="L791" s="1">
        <v>40983</v>
      </c>
      <c r="N791" t="s">
        <v>36</v>
      </c>
      <c r="O791" t="s">
        <v>37</v>
      </c>
      <c r="P791" t="s">
        <v>394</v>
      </c>
      <c r="Q791" t="s">
        <v>39</v>
      </c>
      <c r="R791" t="s">
        <v>40</v>
      </c>
      <c r="S791">
        <v>0</v>
      </c>
      <c r="U791" t="s">
        <v>41</v>
      </c>
      <c r="V791" t="s">
        <v>42</v>
      </c>
      <c r="X791" t="s">
        <v>74</v>
      </c>
      <c r="Y791" t="b">
        <v>0</v>
      </c>
      <c r="Z791" t="b">
        <v>0</v>
      </c>
      <c r="AC791" s="1"/>
      <c r="AF791">
        <v>0</v>
      </c>
      <c r="AG791">
        <v>45</v>
      </c>
      <c r="AH791">
        <v>330</v>
      </c>
      <c r="AI791" s="2">
        <f>Table__192.168.3.138DYLAgingReport[[#This Row],[NetAmount]]-Table__192.168.3.138DYLAgingReport[[#This Row],[Paid]]</f>
        <v>106140</v>
      </c>
    </row>
    <row r="792" spans="1:35">
      <c r="A792" t="s">
        <v>1896</v>
      </c>
      <c r="B792" s="1">
        <v>40982</v>
      </c>
      <c r="C792" s="1">
        <v>41027</v>
      </c>
      <c r="D792" t="s">
        <v>189</v>
      </c>
      <c r="E792">
        <v>12380</v>
      </c>
      <c r="F792">
        <v>1981</v>
      </c>
      <c r="G792">
        <v>0</v>
      </c>
      <c r="H792">
        <v>0</v>
      </c>
      <c r="I792">
        <v>287</v>
      </c>
      <c r="J792">
        <v>14361</v>
      </c>
      <c r="K792" t="s">
        <v>1897</v>
      </c>
      <c r="L792" s="1">
        <v>40981</v>
      </c>
      <c r="N792" t="s">
        <v>36</v>
      </c>
      <c r="O792" t="s">
        <v>37</v>
      </c>
      <c r="P792" t="s">
        <v>326</v>
      </c>
      <c r="Q792" t="s">
        <v>39</v>
      </c>
      <c r="R792" t="s">
        <v>40</v>
      </c>
      <c r="S792">
        <v>0</v>
      </c>
      <c r="U792" t="s">
        <v>41</v>
      </c>
      <c r="V792" t="s">
        <v>42</v>
      </c>
      <c r="X792" t="s">
        <v>74</v>
      </c>
      <c r="Y792" t="b">
        <v>0</v>
      </c>
      <c r="Z792" t="b">
        <v>0</v>
      </c>
      <c r="AC792" s="1"/>
      <c r="AF792">
        <v>0</v>
      </c>
      <c r="AG792">
        <v>45</v>
      </c>
      <c r="AH792">
        <v>332</v>
      </c>
      <c r="AI792" s="2">
        <f>Table__192.168.3.138DYLAgingReport[[#This Row],[NetAmount]]-Table__192.168.3.138DYLAgingReport[[#This Row],[Paid]]</f>
        <v>14361</v>
      </c>
    </row>
    <row r="793" spans="1:35">
      <c r="A793" t="s">
        <v>1898</v>
      </c>
      <c r="B793" s="1">
        <v>40977</v>
      </c>
      <c r="C793" s="1">
        <v>41022</v>
      </c>
      <c r="D793" t="s">
        <v>211</v>
      </c>
      <c r="E793">
        <v>6250</v>
      </c>
      <c r="F793">
        <v>0</v>
      </c>
      <c r="G793">
        <v>0</v>
      </c>
      <c r="H793">
        <v>0</v>
      </c>
      <c r="I793">
        <v>279</v>
      </c>
      <c r="J793">
        <v>6250</v>
      </c>
      <c r="K793" t="s">
        <v>1899</v>
      </c>
      <c r="L793" s="1">
        <v>40989</v>
      </c>
      <c r="N793" t="s">
        <v>36</v>
      </c>
      <c r="O793" t="s">
        <v>37</v>
      </c>
      <c r="P793" t="s">
        <v>348</v>
      </c>
      <c r="Q793" t="s">
        <v>39</v>
      </c>
      <c r="R793" t="s">
        <v>40</v>
      </c>
      <c r="S793">
        <v>0</v>
      </c>
      <c r="U793" t="s">
        <v>41</v>
      </c>
      <c r="V793" t="s">
        <v>42</v>
      </c>
      <c r="X793" t="s">
        <v>74</v>
      </c>
      <c r="Y793" t="b">
        <v>0</v>
      </c>
      <c r="Z793" t="b">
        <v>0</v>
      </c>
      <c r="AC793" s="1"/>
      <c r="AF793">
        <v>0</v>
      </c>
      <c r="AG793">
        <v>45</v>
      </c>
      <c r="AH793">
        <v>324</v>
      </c>
      <c r="AI793" s="2">
        <f>Table__192.168.3.138DYLAgingReport[[#This Row],[NetAmount]]-Table__192.168.3.138DYLAgingReport[[#This Row],[Paid]]</f>
        <v>6250</v>
      </c>
    </row>
    <row r="794" spans="1:35">
      <c r="A794" t="s">
        <v>1900</v>
      </c>
      <c r="B794" s="1">
        <v>40983</v>
      </c>
      <c r="C794" s="1">
        <v>41028</v>
      </c>
      <c r="D794" t="s">
        <v>211</v>
      </c>
      <c r="E794">
        <v>6840</v>
      </c>
      <c r="F794">
        <v>0</v>
      </c>
      <c r="G794">
        <v>0</v>
      </c>
      <c r="H794">
        <v>0</v>
      </c>
      <c r="I794">
        <v>279</v>
      </c>
      <c r="J794">
        <v>6840</v>
      </c>
      <c r="K794" t="s">
        <v>1901</v>
      </c>
      <c r="L794" s="1">
        <v>40989</v>
      </c>
      <c r="N794" t="s">
        <v>36</v>
      </c>
      <c r="O794" t="s">
        <v>37</v>
      </c>
      <c r="P794" t="s">
        <v>348</v>
      </c>
      <c r="Q794" t="s">
        <v>39</v>
      </c>
      <c r="R794" t="s">
        <v>40</v>
      </c>
      <c r="S794">
        <v>0</v>
      </c>
      <c r="U794" t="s">
        <v>41</v>
      </c>
      <c r="V794" t="s">
        <v>42</v>
      </c>
      <c r="X794" t="s">
        <v>74</v>
      </c>
      <c r="Y794" t="b">
        <v>0</v>
      </c>
      <c r="Z794" t="b">
        <v>0</v>
      </c>
      <c r="AC794" s="1"/>
      <c r="AF794">
        <v>0</v>
      </c>
      <c r="AG794">
        <v>45</v>
      </c>
      <c r="AH794">
        <v>324</v>
      </c>
      <c r="AI794" s="2">
        <f>Table__192.168.3.138DYLAgingReport[[#This Row],[NetAmount]]-Table__192.168.3.138DYLAgingReport[[#This Row],[Paid]]</f>
        <v>6840</v>
      </c>
    </row>
    <row r="795" spans="1:35">
      <c r="A795" t="s">
        <v>1902</v>
      </c>
      <c r="B795" s="1">
        <v>40989</v>
      </c>
      <c r="C795" s="1">
        <v>41034</v>
      </c>
      <c r="D795" t="s">
        <v>268</v>
      </c>
      <c r="E795">
        <v>205000</v>
      </c>
      <c r="F795">
        <v>32800</v>
      </c>
      <c r="G795">
        <v>0</v>
      </c>
      <c r="H795">
        <v>0</v>
      </c>
      <c r="I795">
        <v>278</v>
      </c>
      <c r="J795">
        <v>237800</v>
      </c>
      <c r="K795" t="s">
        <v>1903</v>
      </c>
      <c r="L795" s="1">
        <v>40990</v>
      </c>
      <c r="N795" t="s">
        <v>36</v>
      </c>
      <c r="O795" t="s">
        <v>37</v>
      </c>
      <c r="P795" t="s">
        <v>405</v>
      </c>
      <c r="Q795" t="s">
        <v>39</v>
      </c>
      <c r="R795" t="s">
        <v>40</v>
      </c>
      <c r="S795">
        <v>0</v>
      </c>
      <c r="U795" t="s">
        <v>41</v>
      </c>
      <c r="V795" t="s">
        <v>42</v>
      </c>
      <c r="X795" t="s">
        <v>74</v>
      </c>
      <c r="Y795" t="b">
        <v>0</v>
      </c>
      <c r="Z795" t="b">
        <v>0</v>
      </c>
      <c r="AB795" t="s">
        <v>542</v>
      </c>
      <c r="AC795" s="1">
        <v>41176</v>
      </c>
      <c r="AF795">
        <v>0</v>
      </c>
      <c r="AG795">
        <v>45</v>
      </c>
      <c r="AH795">
        <v>323</v>
      </c>
      <c r="AI795" s="2">
        <f>Table__192.168.3.138DYLAgingReport[[#This Row],[NetAmount]]-Table__192.168.3.138DYLAgingReport[[#This Row],[Paid]]</f>
        <v>237800</v>
      </c>
    </row>
    <row r="796" spans="1:35">
      <c r="A796" t="s">
        <v>1904</v>
      </c>
      <c r="B796" s="1">
        <v>40989</v>
      </c>
      <c r="C796" s="1">
        <v>41034</v>
      </c>
      <c r="D796" t="s">
        <v>219</v>
      </c>
      <c r="E796">
        <v>4900</v>
      </c>
      <c r="F796">
        <v>784</v>
      </c>
      <c r="G796">
        <v>0</v>
      </c>
      <c r="H796">
        <v>0</v>
      </c>
      <c r="I796">
        <v>274</v>
      </c>
      <c r="J796">
        <v>5684</v>
      </c>
      <c r="K796" t="s">
        <v>1905</v>
      </c>
      <c r="L796" s="1">
        <v>40994</v>
      </c>
      <c r="N796" t="s">
        <v>36</v>
      </c>
      <c r="O796" t="s">
        <v>37</v>
      </c>
      <c r="P796" t="s">
        <v>356</v>
      </c>
      <c r="Q796" t="s">
        <v>39</v>
      </c>
      <c r="R796" t="s">
        <v>40</v>
      </c>
      <c r="S796">
        <v>0</v>
      </c>
      <c r="U796" t="s">
        <v>41</v>
      </c>
      <c r="V796" t="s">
        <v>42</v>
      </c>
      <c r="X796" t="s">
        <v>74</v>
      </c>
      <c r="Y796" t="b">
        <v>0</v>
      </c>
      <c r="Z796" t="b">
        <v>0</v>
      </c>
      <c r="AC796" s="1"/>
      <c r="AF796">
        <v>0</v>
      </c>
      <c r="AG796">
        <v>45</v>
      </c>
      <c r="AH796">
        <v>319</v>
      </c>
      <c r="AI796" s="2">
        <f>Table__192.168.3.138DYLAgingReport[[#This Row],[NetAmount]]-Table__192.168.3.138DYLAgingReport[[#This Row],[Paid]]</f>
        <v>5684</v>
      </c>
    </row>
    <row r="797" spans="1:35">
      <c r="A797" t="s">
        <v>1906</v>
      </c>
      <c r="B797" s="1">
        <v>40990</v>
      </c>
      <c r="C797" s="1">
        <v>40990</v>
      </c>
      <c r="D797" t="s">
        <v>236</v>
      </c>
      <c r="E797">
        <v>101736</v>
      </c>
      <c r="F797">
        <v>0</v>
      </c>
      <c r="G797">
        <v>0</v>
      </c>
      <c r="H797">
        <v>0</v>
      </c>
      <c r="I797">
        <v>278</v>
      </c>
      <c r="J797">
        <v>101736</v>
      </c>
      <c r="K797" t="s">
        <v>920</v>
      </c>
      <c r="L797" s="1">
        <v>40990</v>
      </c>
      <c r="M797" t="s">
        <v>1907</v>
      </c>
      <c r="N797" t="s">
        <v>36</v>
      </c>
      <c r="O797" t="s">
        <v>37</v>
      </c>
      <c r="P797" t="s">
        <v>373</v>
      </c>
      <c r="Q797" t="s">
        <v>39</v>
      </c>
      <c r="R797" t="s">
        <v>40</v>
      </c>
      <c r="S797">
        <v>0</v>
      </c>
      <c r="U797" t="s">
        <v>41</v>
      </c>
      <c r="V797" t="s">
        <v>42</v>
      </c>
      <c r="W797" t="s">
        <v>509</v>
      </c>
      <c r="X797" t="s">
        <v>74</v>
      </c>
      <c r="Y797" t="b">
        <v>0</v>
      </c>
      <c r="Z797" t="b">
        <v>0</v>
      </c>
      <c r="AA797" t="b">
        <v>0</v>
      </c>
      <c r="AC797" s="1"/>
      <c r="AF797">
        <v>0</v>
      </c>
      <c r="AG797">
        <v>45</v>
      </c>
      <c r="AH797">
        <v>323</v>
      </c>
      <c r="AI797" s="2">
        <f>Table__192.168.3.138DYLAgingReport[[#This Row],[NetAmount]]-Table__192.168.3.138DYLAgingReport[[#This Row],[Paid]]</f>
        <v>101736</v>
      </c>
    </row>
    <row r="798" spans="1:35">
      <c r="A798" t="s">
        <v>1908</v>
      </c>
      <c r="B798" s="1">
        <v>40990</v>
      </c>
      <c r="C798" s="1">
        <v>41035</v>
      </c>
      <c r="D798" t="s">
        <v>257</v>
      </c>
      <c r="E798">
        <v>4750</v>
      </c>
      <c r="F798">
        <v>760</v>
      </c>
      <c r="G798">
        <v>0</v>
      </c>
      <c r="H798">
        <v>0</v>
      </c>
      <c r="I798">
        <v>279</v>
      </c>
      <c r="J798">
        <v>5510</v>
      </c>
      <c r="K798" t="s">
        <v>1909</v>
      </c>
      <c r="L798" s="1">
        <v>40989</v>
      </c>
      <c r="N798" t="s">
        <v>36</v>
      </c>
      <c r="O798" t="s">
        <v>37</v>
      </c>
      <c r="P798" t="s">
        <v>394</v>
      </c>
      <c r="Q798" t="s">
        <v>39</v>
      </c>
      <c r="R798" t="s">
        <v>40</v>
      </c>
      <c r="S798">
        <v>0</v>
      </c>
      <c r="U798" t="s">
        <v>41</v>
      </c>
      <c r="V798" t="s">
        <v>42</v>
      </c>
      <c r="X798" t="s">
        <v>74</v>
      </c>
      <c r="Y798" t="b">
        <v>0</v>
      </c>
      <c r="Z798" t="b">
        <v>0</v>
      </c>
      <c r="AC798" s="1"/>
      <c r="AF798">
        <v>0</v>
      </c>
      <c r="AG798">
        <v>45</v>
      </c>
      <c r="AH798">
        <v>324</v>
      </c>
      <c r="AI798" s="2">
        <f>Table__192.168.3.138DYLAgingReport[[#This Row],[NetAmount]]-Table__192.168.3.138DYLAgingReport[[#This Row],[Paid]]</f>
        <v>5510</v>
      </c>
    </row>
    <row r="799" spans="1:35">
      <c r="A799" t="s">
        <v>1910</v>
      </c>
      <c r="B799" s="1">
        <v>40990</v>
      </c>
      <c r="C799" s="1">
        <v>41035</v>
      </c>
      <c r="D799" t="s">
        <v>257</v>
      </c>
      <c r="E799">
        <v>183000</v>
      </c>
      <c r="F799">
        <v>29280</v>
      </c>
      <c r="G799">
        <v>0</v>
      </c>
      <c r="H799">
        <v>0</v>
      </c>
      <c r="I799">
        <v>279</v>
      </c>
      <c r="J799">
        <v>212280</v>
      </c>
      <c r="K799" t="s">
        <v>1911</v>
      </c>
      <c r="L799" s="1">
        <v>40989</v>
      </c>
      <c r="N799" t="s">
        <v>36</v>
      </c>
      <c r="O799" t="s">
        <v>37</v>
      </c>
      <c r="P799" t="s">
        <v>394</v>
      </c>
      <c r="Q799" t="s">
        <v>39</v>
      </c>
      <c r="R799" t="s">
        <v>40</v>
      </c>
      <c r="S799">
        <v>0</v>
      </c>
      <c r="U799" t="s">
        <v>41</v>
      </c>
      <c r="V799" t="s">
        <v>42</v>
      </c>
      <c r="X799" t="s">
        <v>74</v>
      </c>
      <c r="Y799" t="b">
        <v>0</v>
      </c>
      <c r="Z799" t="b">
        <v>0</v>
      </c>
      <c r="AC799" s="1"/>
      <c r="AF799">
        <v>0</v>
      </c>
      <c r="AG799">
        <v>45</v>
      </c>
      <c r="AH799">
        <v>324</v>
      </c>
      <c r="AI799" s="2">
        <f>Table__192.168.3.138DYLAgingReport[[#This Row],[NetAmount]]-Table__192.168.3.138DYLAgingReport[[#This Row],[Paid]]</f>
        <v>212280</v>
      </c>
    </row>
    <row r="800" spans="1:35">
      <c r="A800" t="s">
        <v>1912</v>
      </c>
      <c r="B800" s="1">
        <v>40994</v>
      </c>
      <c r="C800" s="1">
        <v>41039</v>
      </c>
      <c r="D800" t="s">
        <v>168</v>
      </c>
      <c r="E800">
        <v>59800</v>
      </c>
      <c r="F800">
        <v>9568</v>
      </c>
      <c r="G800">
        <v>0</v>
      </c>
      <c r="H800">
        <v>0</v>
      </c>
      <c r="I800">
        <v>276</v>
      </c>
      <c r="J800">
        <v>69368</v>
      </c>
      <c r="K800" t="s">
        <v>1913</v>
      </c>
      <c r="L800" s="1">
        <v>40992</v>
      </c>
      <c r="N800" t="s">
        <v>36</v>
      </c>
      <c r="O800" t="s">
        <v>37</v>
      </c>
      <c r="P800" t="s">
        <v>305</v>
      </c>
      <c r="Q800" t="s">
        <v>39</v>
      </c>
      <c r="R800" t="s">
        <v>40</v>
      </c>
      <c r="S800">
        <v>0</v>
      </c>
      <c r="U800" t="s">
        <v>41</v>
      </c>
      <c r="V800" t="s">
        <v>42</v>
      </c>
      <c r="X800" t="s">
        <v>74</v>
      </c>
      <c r="Y800" t="b">
        <v>0</v>
      </c>
      <c r="Z800" t="b">
        <v>0</v>
      </c>
      <c r="AB800" t="s">
        <v>599</v>
      </c>
      <c r="AC800" s="1">
        <v>41080</v>
      </c>
      <c r="AD800" t="s">
        <v>1914</v>
      </c>
      <c r="AE800" t="s">
        <v>600</v>
      </c>
      <c r="AF800">
        <v>69129</v>
      </c>
      <c r="AG800">
        <v>45</v>
      </c>
      <c r="AH800">
        <v>321</v>
      </c>
      <c r="AI800" s="2">
        <f>Table__192.168.3.138DYLAgingReport[[#This Row],[NetAmount]]-Table__192.168.3.138DYLAgingReport[[#This Row],[Paid]]</f>
        <v>239</v>
      </c>
    </row>
    <row r="801" spans="1:35">
      <c r="A801" t="s">
        <v>1915</v>
      </c>
      <c r="B801" s="1">
        <v>40992</v>
      </c>
      <c r="C801" s="1">
        <v>41037</v>
      </c>
      <c r="D801" t="s">
        <v>187</v>
      </c>
      <c r="E801">
        <v>14000</v>
      </c>
      <c r="F801">
        <v>0</v>
      </c>
      <c r="G801">
        <v>0</v>
      </c>
      <c r="H801">
        <v>0</v>
      </c>
      <c r="I801">
        <v>276</v>
      </c>
      <c r="J801">
        <v>14000</v>
      </c>
      <c r="K801" t="s">
        <v>1916</v>
      </c>
      <c r="L801" s="1">
        <v>40992</v>
      </c>
      <c r="N801" t="s">
        <v>36</v>
      </c>
      <c r="O801" t="s">
        <v>37</v>
      </c>
      <c r="P801" t="s">
        <v>324</v>
      </c>
      <c r="Q801" t="s">
        <v>39</v>
      </c>
      <c r="R801" t="s">
        <v>40</v>
      </c>
      <c r="S801">
        <v>0</v>
      </c>
      <c r="U801" t="s">
        <v>41</v>
      </c>
      <c r="V801" t="s">
        <v>42</v>
      </c>
      <c r="X801" t="s">
        <v>74</v>
      </c>
      <c r="Y801" t="b">
        <v>0</v>
      </c>
      <c r="Z801" t="b">
        <v>0</v>
      </c>
      <c r="AC801" s="1"/>
      <c r="AF801">
        <v>0</v>
      </c>
      <c r="AG801">
        <v>45</v>
      </c>
      <c r="AH801">
        <v>321</v>
      </c>
      <c r="AI801" s="2">
        <f>Table__192.168.3.138DYLAgingReport[[#This Row],[NetAmount]]-Table__192.168.3.138DYLAgingReport[[#This Row],[Paid]]</f>
        <v>14000</v>
      </c>
    </row>
    <row r="802" spans="1:35">
      <c r="A802" t="s">
        <v>1917</v>
      </c>
      <c r="B802" s="1">
        <v>40989</v>
      </c>
      <c r="C802" s="1">
        <v>41034</v>
      </c>
      <c r="D802" t="s">
        <v>219</v>
      </c>
      <c r="E802">
        <v>8820</v>
      </c>
      <c r="F802">
        <v>1411</v>
      </c>
      <c r="G802">
        <v>0</v>
      </c>
      <c r="H802">
        <v>0</v>
      </c>
      <c r="I802">
        <v>279</v>
      </c>
      <c r="J802">
        <v>10231</v>
      </c>
      <c r="K802" t="s">
        <v>1918</v>
      </c>
      <c r="L802" s="1">
        <v>40989</v>
      </c>
      <c r="N802" t="s">
        <v>36</v>
      </c>
      <c r="O802" t="s">
        <v>37</v>
      </c>
      <c r="P802" t="s">
        <v>356</v>
      </c>
      <c r="Q802" t="s">
        <v>39</v>
      </c>
      <c r="R802" t="s">
        <v>40</v>
      </c>
      <c r="S802">
        <v>0</v>
      </c>
      <c r="U802" t="s">
        <v>41</v>
      </c>
      <c r="V802" t="s">
        <v>42</v>
      </c>
      <c r="X802" t="s">
        <v>74</v>
      </c>
      <c r="Y802" t="b">
        <v>0</v>
      </c>
      <c r="Z802" t="b">
        <v>0</v>
      </c>
      <c r="AC802" s="1"/>
      <c r="AF802">
        <v>0</v>
      </c>
      <c r="AG802">
        <v>45</v>
      </c>
      <c r="AH802">
        <v>324</v>
      </c>
      <c r="AI802" s="2">
        <f>Table__192.168.3.138DYLAgingReport[[#This Row],[NetAmount]]-Table__192.168.3.138DYLAgingReport[[#This Row],[Paid]]</f>
        <v>10231</v>
      </c>
    </row>
    <row r="803" spans="1:35">
      <c r="A803" t="s">
        <v>1919</v>
      </c>
      <c r="B803" s="1">
        <v>40989</v>
      </c>
      <c r="C803" s="1">
        <v>41034</v>
      </c>
      <c r="D803" t="s">
        <v>219</v>
      </c>
      <c r="E803">
        <v>15280</v>
      </c>
      <c r="F803">
        <v>2444</v>
      </c>
      <c r="G803">
        <v>0</v>
      </c>
      <c r="H803">
        <v>0</v>
      </c>
      <c r="I803">
        <v>279</v>
      </c>
      <c r="J803">
        <v>17724</v>
      </c>
      <c r="K803" t="s">
        <v>1920</v>
      </c>
      <c r="L803" s="1">
        <v>40989</v>
      </c>
      <c r="N803" t="s">
        <v>36</v>
      </c>
      <c r="O803" t="s">
        <v>37</v>
      </c>
      <c r="P803" t="s">
        <v>356</v>
      </c>
      <c r="Q803" t="s">
        <v>39</v>
      </c>
      <c r="R803" t="s">
        <v>40</v>
      </c>
      <c r="S803">
        <v>0</v>
      </c>
      <c r="U803" t="s">
        <v>41</v>
      </c>
      <c r="V803" t="s">
        <v>42</v>
      </c>
      <c r="X803" t="s">
        <v>74</v>
      </c>
      <c r="Y803" t="b">
        <v>0</v>
      </c>
      <c r="Z803" t="b">
        <v>0</v>
      </c>
      <c r="AC803" s="1"/>
      <c r="AF803">
        <v>0</v>
      </c>
      <c r="AG803">
        <v>45</v>
      </c>
      <c r="AH803">
        <v>324</v>
      </c>
      <c r="AI803" s="2">
        <f>Table__192.168.3.138DYLAgingReport[[#This Row],[NetAmount]]-Table__192.168.3.138DYLAgingReport[[#This Row],[Paid]]</f>
        <v>17724</v>
      </c>
    </row>
    <row r="804" spans="1:35">
      <c r="A804" t="s">
        <v>1921</v>
      </c>
      <c r="B804" s="1">
        <v>40994</v>
      </c>
      <c r="C804" s="1">
        <v>41039</v>
      </c>
      <c r="D804" t="s">
        <v>219</v>
      </c>
      <c r="E804">
        <v>21990</v>
      </c>
      <c r="F804">
        <v>3518</v>
      </c>
      <c r="G804">
        <v>0</v>
      </c>
      <c r="H804">
        <v>0</v>
      </c>
      <c r="I804">
        <v>274</v>
      </c>
      <c r="J804">
        <v>25508</v>
      </c>
      <c r="K804" t="s">
        <v>1922</v>
      </c>
      <c r="L804" s="1">
        <v>40994</v>
      </c>
      <c r="N804" t="s">
        <v>36</v>
      </c>
      <c r="O804" t="s">
        <v>37</v>
      </c>
      <c r="P804" t="s">
        <v>356</v>
      </c>
      <c r="Q804" t="s">
        <v>39</v>
      </c>
      <c r="R804" t="s">
        <v>40</v>
      </c>
      <c r="S804">
        <v>0</v>
      </c>
      <c r="U804" t="s">
        <v>41</v>
      </c>
      <c r="V804" t="s">
        <v>42</v>
      </c>
      <c r="X804" t="s">
        <v>74</v>
      </c>
      <c r="Y804" t="b">
        <v>0</v>
      </c>
      <c r="Z804" t="b">
        <v>0</v>
      </c>
      <c r="AC804" s="1"/>
      <c r="AF804">
        <v>0</v>
      </c>
      <c r="AG804">
        <v>45</v>
      </c>
      <c r="AH804">
        <v>319</v>
      </c>
      <c r="AI804" s="2">
        <f>Table__192.168.3.138DYLAgingReport[[#This Row],[NetAmount]]-Table__192.168.3.138DYLAgingReport[[#This Row],[Paid]]</f>
        <v>25508</v>
      </c>
    </row>
    <row r="805" spans="1:35">
      <c r="A805" t="s">
        <v>1923</v>
      </c>
      <c r="B805" s="1">
        <v>40977</v>
      </c>
      <c r="C805" s="1">
        <v>41022</v>
      </c>
      <c r="D805" t="s">
        <v>264</v>
      </c>
      <c r="E805">
        <v>24500</v>
      </c>
      <c r="F805">
        <v>3920</v>
      </c>
      <c r="G805">
        <v>0</v>
      </c>
      <c r="H805">
        <v>0</v>
      </c>
      <c r="I805">
        <v>291</v>
      </c>
      <c r="J805">
        <v>28420</v>
      </c>
      <c r="K805" t="s">
        <v>1924</v>
      </c>
      <c r="L805" s="1">
        <v>40977</v>
      </c>
      <c r="N805" t="s">
        <v>36</v>
      </c>
      <c r="O805" t="s">
        <v>37</v>
      </c>
      <c r="P805" t="s">
        <v>401</v>
      </c>
      <c r="Q805" t="s">
        <v>39</v>
      </c>
      <c r="R805" t="s">
        <v>40</v>
      </c>
      <c r="S805">
        <v>0</v>
      </c>
      <c r="U805" t="s">
        <v>41</v>
      </c>
      <c r="V805" t="s">
        <v>42</v>
      </c>
      <c r="X805" t="s">
        <v>74</v>
      </c>
      <c r="Y805" t="b">
        <v>0</v>
      </c>
      <c r="Z805" t="b">
        <v>0</v>
      </c>
      <c r="AC805" s="1"/>
      <c r="AF805">
        <v>0</v>
      </c>
      <c r="AG805">
        <v>45</v>
      </c>
      <c r="AH805">
        <v>336</v>
      </c>
      <c r="AI805" s="2">
        <f>Table__192.168.3.138DYLAgingReport[[#This Row],[NetAmount]]-Table__192.168.3.138DYLAgingReport[[#This Row],[Paid]]</f>
        <v>28420</v>
      </c>
    </row>
    <row r="806" spans="1:35">
      <c r="A806" t="s">
        <v>1925</v>
      </c>
      <c r="B806" s="1">
        <v>40981</v>
      </c>
      <c r="C806" s="1">
        <v>41026</v>
      </c>
      <c r="D806" t="s">
        <v>257</v>
      </c>
      <c r="E806">
        <v>72500</v>
      </c>
      <c r="F806">
        <v>11600</v>
      </c>
      <c r="G806">
        <v>0</v>
      </c>
      <c r="H806">
        <v>0</v>
      </c>
      <c r="I806">
        <v>287</v>
      </c>
      <c r="J806">
        <v>84100</v>
      </c>
      <c r="K806" t="s">
        <v>1926</v>
      </c>
      <c r="L806" s="1">
        <v>40981</v>
      </c>
      <c r="N806" t="s">
        <v>36</v>
      </c>
      <c r="O806" t="s">
        <v>37</v>
      </c>
      <c r="P806" t="s">
        <v>394</v>
      </c>
      <c r="Q806" t="s">
        <v>39</v>
      </c>
      <c r="R806" t="s">
        <v>40</v>
      </c>
      <c r="S806">
        <v>0</v>
      </c>
      <c r="U806" t="s">
        <v>41</v>
      </c>
      <c r="V806" t="s">
        <v>42</v>
      </c>
      <c r="X806" t="s">
        <v>74</v>
      </c>
      <c r="Y806" t="b">
        <v>0</v>
      </c>
      <c r="Z806" t="b">
        <v>0</v>
      </c>
      <c r="AC806" s="1"/>
      <c r="AF806">
        <v>0</v>
      </c>
      <c r="AG806">
        <v>45</v>
      </c>
      <c r="AH806">
        <v>332</v>
      </c>
      <c r="AI806" s="2">
        <f>Table__192.168.3.138DYLAgingReport[[#This Row],[NetAmount]]-Table__192.168.3.138DYLAgingReport[[#This Row],[Paid]]</f>
        <v>84100</v>
      </c>
    </row>
    <row r="807" spans="1:35">
      <c r="A807" t="s">
        <v>1927</v>
      </c>
      <c r="B807" s="1">
        <v>40996</v>
      </c>
      <c r="C807" s="1">
        <v>41041</v>
      </c>
      <c r="D807" t="s">
        <v>257</v>
      </c>
      <c r="E807">
        <v>91500</v>
      </c>
      <c r="F807">
        <v>14640</v>
      </c>
      <c r="G807">
        <v>0</v>
      </c>
      <c r="H807">
        <v>0</v>
      </c>
      <c r="I807">
        <v>272</v>
      </c>
      <c r="J807">
        <v>106140</v>
      </c>
      <c r="K807" t="s">
        <v>1928</v>
      </c>
      <c r="L807" s="1">
        <v>40996</v>
      </c>
      <c r="N807" t="s">
        <v>36</v>
      </c>
      <c r="O807" t="s">
        <v>37</v>
      </c>
      <c r="P807" t="s">
        <v>394</v>
      </c>
      <c r="Q807" t="s">
        <v>39</v>
      </c>
      <c r="R807" t="s">
        <v>40</v>
      </c>
      <c r="S807">
        <v>0</v>
      </c>
      <c r="U807" t="s">
        <v>41</v>
      </c>
      <c r="V807" t="s">
        <v>42</v>
      </c>
      <c r="X807" t="s">
        <v>74</v>
      </c>
      <c r="Y807" t="b">
        <v>0</v>
      </c>
      <c r="Z807" t="b">
        <v>0</v>
      </c>
      <c r="AC807" s="1"/>
      <c r="AF807">
        <v>0</v>
      </c>
      <c r="AG807">
        <v>45</v>
      </c>
      <c r="AH807">
        <v>317</v>
      </c>
      <c r="AI807" s="2">
        <f>Table__192.168.3.138DYLAgingReport[[#This Row],[NetAmount]]-Table__192.168.3.138DYLAgingReport[[#This Row],[Paid]]</f>
        <v>106140</v>
      </c>
    </row>
    <row r="808" spans="1:35">
      <c r="A808" t="s">
        <v>1929</v>
      </c>
      <c r="B808" s="1">
        <v>40996</v>
      </c>
      <c r="C808" s="1">
        <v>41041</v>
      </c>
      <c r="D808" t="s">
        <v>257</v>
      </c>
      <c r="E808">
        <v>244000</v>
      </c>
      <c r="F808">
        <v>39040</v>
      </c>
      <c r="G808">
        <v>0</v>
      </c>
      <c r="H808">
        <v>0</v>
      </c>
      <c r="I808">
        <v>272</v>
      </c>
      <c r="J808">
        <v>283040</v>
      </c>
      <c r="K808" t="s">
        <v>1930</v>
      </c>
      <c r="L808" s="1">
        <v>40996</v>
      </c>
      <c r="N808" t="s">
        <v>36</v>
      </c>
      <c r="O808" t="s">
        <v>37</v>
      </c>
      <c r="P808" t="s">
        <v>394</v>
      </c>
      <c r="Q808" t="s">
        <v>39</v>
      </c>
      <c r="R808" t="s">
        <v>40</v>
      </c>
      <c r="S808">
        <v>0</v>
      </c>
      <c r="U808" t="s">
        <v>41</v>
      </c>
      <c r="V808" t="s">
        <v>42</v>
      </c>
      <c r="X808" t="s">
        <v>74</v>
      </c>
      <c r="Y808" t="b">
        <v>0</v>
      </c>
      <c r="Z808" t="b">
        <v>0</v>
      </c>
      <c r="AC808" s="1"/>
      <c r="AF808">
        <v>0</v>
      </c>
      <c r="AG808">
        <v>45</v>
      </c>
      <c r="AH808">
        <v>317</v>
      </c>
      <c r="AI808" s="2">
        <f>Table__192.168.3.138DYLAgingReport[[#This Row],[NetAmount]]-Table__192.168.3.138DYLAgingReport[[#This Row],[Paid]]</f>
        <v>283040</v>
      </c>
    </row>
    <row r="809" spans="1:35">
      <c r="A809" t="s">
        <v>1931</v>
      </c>
      <c r="B809" s="1">
        <v>40996</v>
      </c>
      <c r="C809" s="1">
        <v>41041</v>
      </c>
      <c r="D809" t="s">
        <v>217</v>
      </c>
      <c r="E809">
        <v>276800</v>
      </c>
      <c r="F809">
        <v>44288</v>
      </c>
      <c r="G809">
        <v>0</v>
      </c>
      <c r="H809">
        <v>0</v>
      </c>
      <c r="I809">
        <v>280</v>
      </c>
      <c r="J809">
        <v>321088</v>
      </c>
      <c r="K809" t="s">
        <v>1932</v>
      </c>
      <c r="L809" s="1">
        <v>40988</v>
      </c>
      <c r="N809" t="s">
        <v>36</v>
      </c>
      <c r="O809" t="s">
        <v>37</v>
      </c>
      <c r="P809" t="s">
        <v>354</v>
      </c>
      <c r="Q809" t="s">
        <v>39</v>
      </c>
      <c r="R809" t="s">
        <v>40</v>
      </c>
      <c r="S809">
        <v>0</v>
      </c>
      <c r="U809" t="s">
        <v>41</v>
      </c>
      <c r="V809" t="s">
        <v>42</v>
      </c>
      <c r="X809" t="s">
        <v>74</v>
      </c>
      <c r="Y809" t="b">
        <v>0</v>
      </c>
      <c r="Z809" t="b">
        <v>0</v>
      </c>
      <c r="AB809" t="s">
        <v>547</v>
      </c>
      <c r="AC809" s="1">
        <v>41051</v>
      </c>
      <c r="AD809" t="s">
        <v>1933</v>
      </c>
      <c r="AE809" t="s">
        <v>548</v>
      </c>
      <c r="AF809">
        <v>305740</v>
      </c>
      <c r="AG809">
        <v>45</v>
      </c>
      <c r="AH809">
        <v>325</v>
      </c>
      <c r="AI809" s="2">
        <f>Table__192.168.3.138DYLAgingReport[[#This Row],[NetAmount]]-Table__192.168.3.138DYLAgingReport[[#This Row],[Paid]]</f>
        <v>15348</v>
      </c>
    </row>
    <row r="810" spans="1:35">
      <c r="A810" t="s">
        <v>1934</v>
      </c>
      <c r="B810" s="1">
        <v>40977</v>
      </c>
      <c r="C810" s="1">
        <v>41022</v>
      </c>
      <c r="D810" t="s">
        <v>187</v>
      </c>
      <c r="E810">
        <v>20000</v>
      </c>
      <c r="F810">
        <v>0</v>
      </c>
      <c r="G810">
        <v>0</v>
      </c>
      <c r="H810">
        <v>0</v>
      </c>
      <c r="I810">
        <v>291</v>
      </c>
      <c r="J810">
        <v>20000</v>
      </c>
      <c r="K810" t="s">
        <v>1935</v>
      </c>
      <c r="L810" s="1">
        <v>40977</v>
      </c>
      <c r="N810" t="s">
        <v>36</v>
      </c>
      <c r="O810" t="s">
        <v>37</v>
      </c>
      <c r="P810" t="s">
        <v>324</v>
      </c>
      <c r="Q810" t="s">
        <v>39</v>
      </c>
      <c r="R810" t="s">
        <v>40</v>
      </c>
      <c r="S810">
        <v>0</v>
      </c>
      <c r="U810" t="s">
        <v>41</v>
      </c>
      <c r="V810" t="s">
        <v>42</v>
      </c>
      <c r="X810" t="s">
        <v>74</v>
      </c>
      <c r="Y810" t="b">
        <v>0</v>
      </c>
      <c r="Z810" t="b">
        <v>0</v>
      </c>
      <c r="AC810" s="1"/>
      <c r="AF810">
        <v>0</v>
      </c>
      <c r="AG810">
        <v>45</v>
      </c>
      <c r="AH810">
        <v>336</v>
      </c>
      <c r="AI810" s="2">
        <f>Table__192.168.3.138DYLAgingReport[[#This Row],[NetAmount]]-Table__192.168.3.138DYLAgingReport[[#This Row],[Paid]]</f>
        <v>20000</v>
      </c>
    </row>
    <row r="811" spans="1:35">
      <c r="A811" t="s">
        <v>1936</v>
      </c>
      <c r="B811" s="1">
        <v>40999</v>
      </c>
      <c r="C811" s="1">
        <v>41044</v>
      </c>
      <c r="D811" t="s">
        <v>189</v>
      </c>
      <c r="E811">
        <v>10000</v>
      </c>
      <c r="F811">
        <v>1600</v>
      </c>
      <c r="G811">
        <v>0</v>
      </c>
      <c r="H811">
        <v>0</v>
      </c>
      <c r="I811">
        <v>280</v>
      </c>
      <c r="J811">
        <v>11600</v>
      </c>
      <c r="K811" t="s">
        <v>1937</v>
      </c>
      <c r="L811" s="1">
        <v>40988</v>
      </c>
      <c r="N811" t="s">
        <v>36</v>
      </c>
      <c r="O811" t="s">
        <v>37</v>
      </c>
      <c r="P811" t="s">
        <v>326</v>
      </c>
      <c r="Q811" t="s">
        <v>39</v>
      </c>
      <c r="R811" t="s">
        <v>40</v>
      </c>
      <c r="S811">
        <v>0</v>
      </c>
      <c r="U811" t="s">
        <v>41</v>
      </c>
      <c r="V811" t="s">
        <v>42</v>
      </c>
      <c r="X811" t="s">
        <v>74</v>
      </c>
      <c r="Y811" t="b">
        <v>0</v>
      </c>
      <c r="Z811" t="b">
        <v>0</v>
      </c>
      <c r="AC811" s="1"/>
      <c r="AF811">
        <v>0</v>
      </c>
      <c r="AG811">
        <v>45</v>
      </c>
      <c r="AH811">
        <v>325</v>
      </c>
      <c r="AI811" s="2">
        <f>Table__192.168.3.138DYLAgingReport[[#This Row],[NetAmount]]-Table__192.168.3.138DYLAgingReport[[#This Row],[Paid]]</f>
        <v>11600</v>
      </c>
    </row>
    <row r="812" spans="1:35">
      <c r="A812" t="s">
        <v>1938</v>
      </c>
      <c r="B812" s="1">
        <v>40999</v>
      </c>
      <c r="C812" s="1">
        <v>41044</v>
      </c>
      <c r="D812" t="s">
        <v>189</v>
      </c>
      <c r="E812">
        <v>30950</v>
      </c>
      <c r="F812">
        <v>4952</v>
      </c>
      <c r="G812">
        <v>0</v>
      </c>
      <c r="H812">
        <v>0</v>
      </c>
      <c r="I812">
        <v>273</v>
      </c>
      <c r="J812">
        <v>35902</v>
      </c>
      <c r="K812" t="s">
        <v>1939</v>
      </c>
      <c r="L812" s="1">
        <v>40995</v>
      </c>
      <c r="N812" t="s">
        <v>36</v>
      </c>
      <c r="O812" t="s">
        <v>37</v>
      </c>
      <c r="P812" t="s">
        <v>326</v>
      </c>
      <c r="Q812" t="s">
        <v>39</v>
      </c>
      <c r="R812" t="s">
        <v>40</v>
      </c>
      <c r="S812">
        <v>0</v>
      </c>
      <c r="U812" t="s">
        <v>41</v>
      </c>
      <c r="V812" t="s">
        <v>42</v>
      </c>
      <c r="X812" t="s">
        <v>74</v>
      </c>
      <c r="Y812" t="b">
        <v>0</v>
      </c>
      <c r="Z812" t="b">
        <v>0</v>
      </c>
      <c r="AC812" s="1"/>
      <c r="AF812">
        <v>0</v>
      </c>
      <c r="AG812">
        <v>45</v>
      </c>
      <c r="AH812">
        <v>318</v>
      </c>
      <c r="AI812" s="2">
        <f>Table__192.168.3.138DYLAgingReport[[#This Row],[NetAmount]]-Table__192.168.3.138DYLAgingReport[[#This Row],[Paid]]</f>
        <v>35902</v>
      </c>
    </row>
    <row r="813" spans="1:35">
      <c r="A813" t="s">
        <v>82</v>
      </c>
      <c r="B813" s="1">
        <v>40999</v>
      </c>
      <c r="C813" s="1">
        <v>41044</v>
      </c>
      <c r="D813" t="s">
        <v>35</v>
      </c>
      <c r="E813">
        <v>280000</v>
      </c>
      <c r="F813">
        <v>44800</v>
      </c>
      <c r="G813">
        <v>0</v>
      </c>
      <c r="H813">
        <v>0</v>
      </c>
      <c r="I813">
        <v>274</v>
      </c>
      <c r="J813">
        <v>324800</v>
      </c>
      <c r="K813" t="s">
        <v>83</v>
      </c>
      <c r="L813" s="1">
        <v>40994</v>
      </c>
      <c r="N813" t="s">
        <v>36</v>
      </c>
      <c r="O813" t="s">
        <v>37</v>
      </c>
      <c r="P813" t="s">
        <v>38</v>
      </c>
      <c r="Q813" t="s">
        <v>39</v>
      </c>
      <c r="R813" t="s">
        <v>40</v>
      </c>
      <c r="S813">
        <v>0</v>
      </c>
      <c r="U813" t="s">
        <v>41</v>
      </c>
      <c r="V813" t="s">
        <v>42</v>
      </c>
      <c r="X813" t="s">
        <v>74</v>
      </c>
      <c r="Y813" t="b">
        <v>0</v>
      </c>
      <c r="Z813" t="b">
        <v>0</v>
      </c>
      <c r="AB813" t="s">
        <v>46</v>
      </c>
      <c r="AC813" s="1">
        <v>41185</v>
      </c>
      <c r="AD813" t="s">
        <v>84</v>
      </c>
      <c r="AE813" t="s">
        <v>48</v>
      </c>
      <c r="AF813">
        <v>223867</v>
      </c>
      <c r="AG813">
        <v>45</v>
      </c>
      <c r="AH813">
        <v>319</v>
      </c>
      <c r="AI813" s="2">
        <f>Table__192.168.3.138DYLAgingReport[[#This Row],[NetAmount]]-Table__192.168.3.138DYLAgingReport[[#This Row],[Paid]]</f>
        <v>100933</v>
      </c>
    </row>
    <row r="814" spans="1:35">
      <c r="A814" t="s">
        <v>1940</v>
      </c>
      <c r="B814" s="1">
        <v>40999</v>
      </c>
      <c r="C814" s="1">
        <v>40999</v>
      </c>
      <c r="D814" t="s">
        <v>188</v>
      </c>
      <c r="E814">
        <v>11524</v>
      </c>
      <c r="F814">
        <v>1844</v>
      </c>
      <c r="G814">
        <v>0</v>
      </c>
      <c r="H814">
        <v>0</v>
      </c>
      <c r="I814">
        <v>272</v>
      </c>
      <c r="J814">
        <v>13368</v>
      </c>
      <c r="K814" t="s">
        <v>1941</v>
      </c>
      <c r="L814" s="1">
        <v>40996</v>
      </c>
      <c r="N814" t="s">
        <v>36</v>
      </c>
      <c r="O814" t="s">
        <v>37</v>
      </c>
      <c r="P814" t="s">
        <v>325</v>
      </c>
      <c r="Q814" t="s">
        <v>39</v>
      </c>
      <c r="R814" t="s">
        <v>40</v>
      </c>
      <c r="S814">
        <v>0</v>
      </c>
      <c r="U814" t="s">
        <v>41</v>
      </c>
      <c r="V814" t="s">
        <v>42</v>
      </c>
      <c r="X814" t="s">
        <v>74</v>
      </c>
      <c r="Y814" t="b">
        <v>0</v>
      </c>
      <c r="Z814" t="b">
        <v>0</v>
      </c>
      <c r="AC814" s="1"/>
      <c r="AF814">
        <v>0</v>
      </c>
      <c r="AG814">
        <v>45</v>
      </c>
      <c r="AH814">
        <v>317</v>
      </c>
      <c r="AI814" s="2">
        <f>Table__192.168.3.138DYLAgingReport[[#This Row],[NetAmount]]-Table__192.168.3.138DYLAgingReport[[#This Row],[Paid]]</f>
        <v>13368</v>
      </c>
    </row>
    <row r="815" spans="1:35">
      <c r="A815" t="s">
        <v>1942</v>
      </c>
      <c r="B815" s="1">
        <v>40999</v>
      </c>
      <c r="C815" s="1">
        <v>40999</v>
      </c>
      <c r="D815" t="s">
        <v>188</v>
      </c>
      <c r="E815">
        <v>37134</v>
      </c>
      <c r="F815">
        <v>5941</v>
      </c>
      <c r="G815">
        <v>0</v>
      </c>
      <c r="H815">
        <v>0</v>
      </c>
      <c r="I815">
        <v>279</v>
      </c>
      <c r="J815">
        <v>43075</v>
      </c>
      <c r="K815" t="s">
        <v>1943</v>
      </c>
      <c r="L815" s="1">
        <v>40989</v>
      </c>
      <c r="N815" t="s">
        <v>36</v>
      </c>
      <c r="O815" t="s">
        <v>37</v>
      </c>
      <c r="P815" t="s">
        <v>325</v>
      </c>
      <c r="Q815" t="s">
        <v>39</v>
      </c>
      <c r="R815" t="s">
        <v>40</v>
      </c>
      <c r="S815">
        <v>0</v>
      </c>
      <c r="U815" t="s">
        <v>41</v>
      </c>
      <c r="V815" t="s">
        <v>42</v>
      </c>
      <c r="X815" t="s">
        <v>74</v>
      </c>
      <c r="Y815" t="b">
        <v>0</v>
      </c>
      <c r="Z815" t="b">
        <v>0</v>
      </c>
      <c r="AC815" s="1"/>
      <c r="AF815">
        <v>0</v>
      </c>
      <c r="AG815">
        <v>45</v>
      </c>
      <c r="AH815">
        <v>324</v>
      </c>
      <c r="AI815" s="2">
        <f>Table__192.168.3.138DYLAgingReport[[#This Row],[NetAmount]]-Table__192.168.3.138DYLAgingReport[[#This Row],[Paid]]</f>
        <v>43075</v>
      </c>
    </row>
    <row r="816" spans="1:35">
      <c r="A816" t="s">
        <v>1944</v>
      </c>
      <c r="B816" s="1">
        <v>40989</v>
      </c>
      <c r="C816" s="1">
        <v>41034</v>
      </c>
      <c r="D816" t="s">
        <v>268</v>
      </c>
      <c r="E816">
        <v>13086</v>
      </c>
      <c r="F816">
        <v>2094</v>
      </c>
      <c r="G816">
        <v>0</v>
      </c>
      <c r="H816">
        <v>0</v>
      </c>
      <c r="I816">
        <v>279</v>
      </c>
      <c r="J816">
        <v>15180</v>
      </c>
      <c r="K816" t="s">
        <v>1945</v>
      </c>
      <c r="L816" s="1">
        <v>40989</v>
      </c>
      <c r="N816" t="s">
        <v>36</v>
      </c>
      <c r="O816" t="s">
        <v>37</v>
      </c>
      <c r="P816" t="s">
        <v>405</v>
      </c>
      <c r="Q816" t="s">
        <v>39</v>
      </c>
      <c r="R816" t="s">
        <v>40</v>
      </c>
      <c r="S816">
        <v>0</v>
      </c>
      <c r="U816" t="s">
        <v>41</v>
      </c>
      <c r="V816" t="s">
        <v>42</v>
      </c>
      <c r="X816" t="s">
        <v>74</v>
      </c>
      <c r="Y816" t="b">
        <v>0</v>
      </c>
      <c r="Z816" t="b">
        <v>0</v>
      </c>
      <c r="AB816" t="s">
        <v>542</v>
      </c>
      <c r="AC816" s="1">
        <v>41176</v>
      </c>
      <c r="AF816">
        <v>0</v>
      </c>
      <c r="AG816">
        <v>45</v>
      </c>
      <c r="AH816">
        <v>324</v>
      </c>
      <c r="AI816" s="2">
        <f>Table__192.168.3.138DYLAgingReport[[#This Row],[NetAmount]]-Table__192.168.3.138DYLAgingReport[[#This Row],[Paid]]</f>
        <v>15180</v>
      </c>
    </row>
    <row r="817" spans="1:35">
      <c r="A817" t="s">
        <v>1946</v>
      </c>
      <c r="B817" s="1">
        <v>40999</v>
      </c>
      <c r="C817" s="1">
        <v>41044</v>
      </c>
      <c r="D817" t="s">
        <v>259</v>
      </c>
      <c r="E817">
        <v>5949</v>
      </c>
      <c r="F817">
        <v>952</v>
      </c>
      <c r="G817">
        <v>0</v>
      </c>
      <c r="H817">
        <v>0</v>
      </c>
      <c r="I817">
        <v>270</v>
      </c>
      <c r="J817">
        <v>6901</v>
      </c>
      <c r="K817" t="s">
        <v>1947</v>
      </c>
      <c r="L817" s="1">
        <v>40998</v>
      </c>
      <c r="N817" t="s">
        <v>36</v>
      </c>
      <c r="O817" t="s">
        <v>37</v>
      </c>
      <c r="P817" t="s">
        <v>396</v>
      </c>
      <c r="Q817" t="s">
        <v>39</v>
      </c>
      <c r="R817" t="s">
        <v>40</v>
      </c>
      <c r="S817">
        <v>0</v>
      </c>
      <c r="U817" t="s">
        <v>41</v>
      </c>
      <c r="V817" t="s">
        <v>42</v>
      </c>
      <c r="X817" t="s">
        <v>74</v>
      </c>
      <c r="Y817" t="b">
        <v>0</v>
      </c>
      <c r="Z817" t="b">
        <v>0</v>
      </c>
      <c r="AC817" s="1"/>
      <c r="AF817">
        <v>0</v>
      </c>
      <c r="AG817">
        <v>45</v>
      </c>
      <c r="AH817">
        <v>315</v>
      </c>
      <c r="AI817" s="2">
        <f>Table__192.168.3.138DYLAgingReport[[#This Row],[NetAmount]]-Table__192.168.3.138DYLAgingReport[[#This Row],[Paid]]</f>
        <v>6901</v>
      </c>
    </row>
    <row r="818" spans="1:35">
      <c r="A818" t="s">
        <v>1948</v>
      </c>
      <c r="B818" s="1">
        <v>40996</v>
      </c>
      <c r="C818" s="1">
        <v>41041</v>
      </c>
      <c r="D818" t="s">
        <v>569</v>
      </c>
      <c r="E818">
        <v>13600</v>
      </c>
      <c r="F818">
        <v>2176</v>
      </c>
      <c r="G818">
        <v>0</v>
      </c>
      <c r="H818">
        <v>0</v>
      </c>
      <c r="I818">
        <v>272</v>
      </c>
      <c r="J818">
        <v>15776</v>
      </c>
      <c r="K818" t="s">
        <v>1949</v>
      </c>
      <c r="L818" s="1">
        <v>40996</v>
      </c>
      <c r="N818" t="s">
        <v>36</v>
      </c>
      <c r="O818" t="s">
        <v>37</v>
      </c>
      <c r="P818" t="s">
        <v>433</v>
      </c>
      <c r="Q818" t="s">
        <v>39</v>
      </c>
      <c r="R818" t="s">
        <v>40</v>
      </c>
      <c r="S818">
        <v>0</v>
      </c>
      <c r="U818" t="s">
        <v>41</v>
      </c>
      <c r="V818" t="s">
        <v>42</v>
      </c>
      <c r="X818" t="s">
        <v>74</v>
      </c>
      <c r="Y818" t="b">
        <v>0</v>
      </c>
      <c r="Z818" t="b">
        <v>0</v>
      </c>
      <c r="AB818" t="s">
        <v>570</v>
      </c>
      <c r="AC818" s="1">
        <v>41176</v>
      </c>
      <c r="AE818" t="s">
        <v>571</v>
      </c>
      <c r="AF818">
        <v>0</v>
      </c>
      <c r="AG818">
        <v>45</v>
      </c>
      <c r="AH818">
        <v>317</v>
      </c>
      <c r="AI818" s="2">
        <f>Table__192.168.3.138DYLAgingReport[[#This Row],[NetAmount]]-Table__192.168.3.138DYLAgingReport[[#This Row],[Paid]]</f>
        <v>15776</v>
      </c>
    </row>
    <row r="819" spans="1:35">
      <c r="A819" t="s">
        <v>1950</v>
      </c>
      <c r="B819" s="1">
        <v>40998</v>
      </c>
      <c r="C819" s="1">
        <v>41043</v>
      </c>
      <c r="D819" t="s">
        <v>569</v>
      </c>
      <c r="E819">
        <v>21873</v>
      </c>
      <c r="F819">
        <v>3500</v>
      </c>
      <c r="G819">
        <v>0</v>
      </c>
      <c r="H819">
        <v>0</v>
      </c>
      <c r="I819">
        <v>270</v>
      </c>
      <c r="J819">
        <v>25373</v>
      </c>
      <c r="K819" t="s">
        <v>1951</v>
      </c>
      <c r="L819" s="1">
        <v>40998</v>
      </c>
      <c r="N819" t="s">
        <v>36</v>
      </c>
      <c r="O819" t="s">
        <v>37</v>
      </c>
      <c r="P819" t="s">
        <v>433</v>
      </c>
      <c r="Q819" t="s">
        <v>39</v>
      </c>
      <c r="R819" t="s">
        <v>40</v>
      </c>
      <c r="S819">
        <v>0</v>
      </c>
      <c r="U819" t="s">
        <v>41</v>
      </c>
      <c r="V819" t="s">
        <v>42</v>
      </c>
      <c r="X819" t="s">
        <v>74</v>
      </c>
      <c r="Y819" t="b">
        <v>0</v>
      </c>
      <c r="Z819" t="b">
        <v>0</v>
      </c>
      <c r="AB819" t="s">
        <v>570</v>
      </c>
      <c r="AC819" s="1">
        <v>41176</v>
      </c>
      <c r="AE819" t="s">
        <v>571</v>
      </c>
      <c r="AF819">
        <v>0</v>
      </c>
      <c r="AG819">
        <v>45</v>
      </c>
      <c r="AH819">
        <v>315</v>
      </c>
      <c r="AI819" s="2">
        <f>Table__192.168.3.138DYLAgingReport[[#This Row],[NetAmount]]-Table__192.168.3.138DYLAgingReport[[#This Row],[Paid]]</f>
        <v>25373</v>
      </c>
    </row>
    <row r="820" spans="1:35">
      <c r="A820" t="s">
        <v>1952</v>
      </c>
      <c r="B820" s="1">
        <v>40984</v>
      </c>
      <c r="C820" s="1">
        <v>41029</v>
      </c>
      <c r="D820" t="s">
        <v>569</v>
      </c>
      <c r="E820">
        <v>14582</v>
      </c>
      <c r="F820">
        <v>2333</v>
      </c>
      <c r="G820">
        <v>0</v>
      </c>
      <c r="H820">
        <v>0</v>
      </c>
      <c r="I820">
        <v>284</v>
      </c>
      <c r="J820">
        <v>16915</v>
      </c>
      <c r="K820" t="s">
        <v>1953</v>
      </c>
      <c r="L820" s="1">
        <v>40984</v>
      </c>
      <c r="N820" t="s">
        <v>36</v>
      </c>
      <c r="O820" t="s">
        <v>37</v>
      </c>
      <c r="P820" t="s">
        <v>433</v>
      </c>
      <c r="Q820" t="s">
        <v>39</v>
      </c>
      <c r="R820" t="s">
        <v>40</v>
      </c>
      <c r="S820">
        <v>0</v>
      </c>
      <c r="U820" t="s">
        <v>41</v>
      </c>
      <c r="V820" t="s">
        <v>42</v>
      </c>
      <c r="X820" t="s">
        <v>74</v>
      </c>
      <c r="Y820" t="b">
        <v>0</v>
      </c>
      <c r="Z820" t="b">
        <v>0</v>
      </c>
      <c r="AB820" t="s">
        <v>570</v>
      </c>
      <c r="AC820" s="1">
        <v>41176</v>
      </c>
      <c r="AE820" t="s">
        <v>571</v>
      </c>
      <c r="AF820">
        <v>0</v>
      </c>
      <c r="AG820">
        <v>45</v>
      </c>
      <c r="AH820">
        <v>329</v>
      </c>
      <c r="AI820" s="2">
        <f>Table__192.168.3.138DYLAgingReport[[#This Row],[NetAmount]]-Table__192.168.3.138DYLAgingReport[[#This Row],[Paid]]</f>
        <v>16915</v>
      </c>
    </row>
    <row r="821" spans="1:35">
      <c r="A821" t="s">
        <v>1954</v>
      </c>
      <c r="B821" s="1">
        <v>40981</v>
      </c>
      <c r="C821" s="1">
        <v>41026</v>
      </c>
      <c r="D821" t="s">
        <v>569</v>
      </c>
      <c r="E821">
        <v>16040</v>
      </c>
      <c r="F821">
        <v>2566</v>
      </c>
      <c r="G821">
        <v>0</v>
      </c>
      <c r="H821">
        <v>0</v>
      </c>
      <c r="I821">
        <v>287</v>
      </c>
      <c r="J821">
        <v>18606</v>
      </c>
      <c r="K821" t="s">
        <v>1955</v>
      </c>
      <c r="L821" s="1">
        <v>40981</v>
      </c>
      <c r="N821" t="s">
        <v>36</v>
      </c>
      <c r="O821" t="s">
        <v>37</v>
      </c>
      <c r="P821" t="s">
        <v>433</v>
      </c>
      <c r="Q821" t="s">
        <v>39</v>
      </c>
      <c r="R821" t="s">
        <v>40</v>
      </c>
      <c r="S821">
        <v>0</v>
      </c>
      <c r="U821" t="s">
        <v>41</v>
      </c>
      <c r="V821" t="s">
        <v>42</v>
      </c>
      <c r="X821" t="s">
        <v>74</v>
      </c>
      <c r="Y821" t="b">
        <v>0</v>
      </c>
      <c r="Z821" t="b">
        <v>0</v>
      </c>
      <c r="AB821" t="s">
        <v>570</v>
      </c>
      <c r="AC821" s="1">
        <v>41176</v>
      </c>
      <c r="AE821" t="s">
        <v>571</v>
      </c>
      <c r="AF821">
        <v>0</v>
      </c>
      <c r="AG821">
        <v>45</v>
      </c>
      <c r="AH821">
        <v>332</v>
      </c>
      <c r="AI821" s="2">
        <f>Table__192.168.3.138DYLAgingReport[[#This Row],[NetAmount]]-Table__192.168.3.138DYLAgingReport[[#This Row],[Paid]]</f>
        <v>18606</v>
      </c>
    </row>
    <row r="822" spans="1:35">
      <c r="A822" t="s">
        <v>1956</v>
      </c>
      <c r="B822" s="1">
        <v>40990</v>
      </c>
      <c r="C822" s="1">
        <v>41035</v>
      </c>
      <c r="D822" t="s">
        <v>569</v>
      </c>
      <c r="E822">
        <v>75600</v>
      </c>
      <c r="F822">
        <v>12096</v>
      </c>
      <c r="G822">
        <v>0</v>
      </c>
      <c r="H822">
        <v>0</v>
      </c>
      <c r="I822">
        <v>279</v>
      </c>
      <c r="J822">
        <v>87696</v>
      </c>
      <c r="K822" t="s">
        <v>1957</v>
      </c>
      <c r="L822" s="1">
        <v>40989</v>
      </c>
      <c r="N822" t="s">
        <v>36</v>
      </c>
      <c r="O822" t="s">
        <v>37</v>
      </c>
      <c r="P822" t="s">
        <v>433</v>
      </c>
      <c r="Q822" t="s">
        <v>39</v>
      </c>
      <c r="R822" t="s">
        <v>40</v>
      </c>
      <c r="S822">
        <v>0</v>
      </c>
      <c r="U822" t="s">
        <v>41</v>
      </c>
      <c r="V822" t="s">
        <v>42</v>
      </c>
      <c r="X822" t="s">
        <v>74</v>
      </c>
      <c r="Y822" t="b">
        <v>0</v>
      </c>
      <c r="Z822" t="b">
        <v>0</v>
      </c>
      <c r="AB822" t="s">
        <v>607</v>
      </c>
      <c r="AC822" s="1">
        <v>41215</v>
      </c>
      <c r="AE822" t="s">
        <v>608</v>
      </c>
      <c r="AF822">
        <v>0</v>
      </c>
      <c r="AG822">
        <v>45</v>
      </c>
      <c r="AH822">
        <v>324</v>
      </c>
      <c r="AI822" s="2">
        <f>Table__192.168.3.138DYLAgingReport[[#This Row],[NetAmount]]-Table__192.168.3.138DYLAgingReport[[#This Row],[Paid]]</f>
        <v>87696</v>
      </c>
    </row>
    <row r="823" spans="1:35">
      <c r="A823" t="s">
        <v>1958</v>
      </c>
      <c r="B823" s="1">
        <v>40998</v>
      </c>
      <c r="C823" s="1">
        <v>41043</v>
      </c>
      <c r="D823" t="s">
        <v>172</v>
      </c>
      <c r="E823">
        <v>268186</v>
      </c>
      <c r="F823">
        <v>42910</v>
      </c>
      <c r="G823">
        <v>0</v>
      </c>
      <c r="H823">
        <v>0</v>
      </c>
      <c r="I823">
        <v>270</v>
      </c>
      <c r="J823">
        <v>311096</v>
      </c>
      <c r="K823" t="s">
        <v>1959</v>
      </c>
      <c r="L823" s="1">
        <v>40998</v>
      </c>
      <c r="N823" t="s">
        <v>36</v>
      </c>
      <c r="O823" t="s">
        <v>37</v>
      </c>
      <c r="P823" t="s">
        <v>309</v>
      </c>
      <c r="Q823" t="s">
        <v>39</v>
      </c>
      <c r="R823" t="s">
        <v>40</v>
      </c>
      <c r="S823">
        <v>0</v>
      </c>
      <c r="U823" t="s">
        <v>41</v>
      </c>
      <c r="V823" t="s">
        <v>42</v>
      </c>
      <c r="X823" t="s">
        <v>74</v>
      </c>
      <c r="Y823" t="b">
        <v>0</v>
      </c>
      <c r="Z823" t="b">
        <v>0</v>
      </c>
      <c r="AB823" t="s">
        <v>582</v>
      </c>
      <c r="AC823" s="1">
        <v>41296</v>
      </c>
      <c r="AF823">
        <v>0</v>
      </c>
      <c r="AG823">
        <v>45</v>
      </c>
      <c r="AH823">
        <v>315</v>
      </c>
      <c r="AI823" s="2">
        <f>Table__192.168.3.138DYLAgingReport[[#This Row],[NetAmount]]-Table__192.168.3.138DYLAgingReport[[#This Row],[Paid]]</f>
        <v>311096</v>
      </c>
    </row>
    <row r="824" spans="1:35">
      <c r="A824" t="s">
        <v>1960</v>
      </c>
      <c r="B824" s="1">
        <v>40978</v>
      </c>
      <c r="C824" s="1">
        <v>41023</v>
      </c>
      <c r="D824" t="s">
        <v>172</v>
      </c>
      <c r="E824">
        <v>57000</v>
      </c>
      <c r="F824">
        <v>9120</v>
      </c>
      <c r="G824">
        <v>0</v>
      </c>
      <c r="H824">
        <v>0</v>
      </c>
      <c r="I824">
        <v>288</v>
      </c>
      <c r="J824">
        <v>66120</v>
      </c>
      <c r="K824" t="s">
        <v>1961</v>
      </c>
      <c r="L824" s="1">
        <v>40980</v>
      </c>
      <c r="N824" t="s">
        <v>36</v>
      </c>
      <c r="O824" t="s">
        <v>37</v>
      </c>
      <c r="P824" t="s">
        <v>309</v>
      </c>
      <c r="Q824" t="s">
        <v>39</v>
      </c>
      <c r="R824" t="s">
        <v>40</v>
      </c>
      <c r="S824">
        <v>0</v>
      </c>
      <c r="U824" t="s">
        <v>41</v>
      </c>
      <c r="V824" t="s">
        <v>42</v>
      </c>
      <c r="X824" t="s">
        <v>74</v>
      </c>
      <c r="Y824" t="b">
        <v>0</v>
      </c>
      <c r="Z824" t="b">
        <v>0</v>
      </c>
      <c r="AB824" t="s">
        <v>582</v>
      </c>
      <c r="AC824" s="1">
        <v>41296</v>
      </c>
      <c r="AF824">
        <v>0</v>
      </c>
      <c r="AG824">
        <v>45</v>
      </c>
      <c r="AH824">
        <v>333</v>
      </c>
      <c r="AI824" s="2">
        <f>Table__192.168.3.138DYLAgingReport[[#This Row],[NetAmount]]-Table__192.168.3.138DYLAgingReport[[#This Row],[Paid]]</f>
        <v>66120</v>
      </c>
    </row>
    <row r="825" spans="1:35">
      <c r="A825" t="s">
        <v>1962</v>
      </c>
      <c r="B825" s="1">
        <v>40999</v>
      </c>
      <c r="C825" s="1">
        <v>41044</v>
      </c>
      <c r="D825" t="s">
        <v>189</v>
      </c>
      <c r="E825">
        <v>10000</v>
      </c>
      <c r="F825">
        <v>1600</v>
      </c>
      <c r="G825">
        <v>0</v>
      </c>
      <c r="H825">
        <v>0</v>
      </c>
      <c r="I825">
        <v>270</v>
      </c>
      <c r="J825">
        <v>11600</v>
      </c>
      <c r="K825" t="s">
        <v>1963</v>
      </c>
      <c r="L825" s="1">
        <v>40998</v>
      </c>
      <c r="N825" t="s">
        <v>36</v>
      </c>
      <c r="O825" t="s">
        <v>37</v>
      </c>
      <c r="P825" t="s">
        <v>326</v>
      </c>
      <c r="Q825" t="s">
        <v>39</v>
      </c>
      <c r="R825" t="s">
        <v>40</v>
      </c>
      <c r="S825">
        <v>0</v>
      </c>
      <c r="U825" t="s">
        <v>41</v>
      </c>
      <c r="V825" t="s">
        <v>42</v>
      </c>
      <c r="X825" t="s">
        <v>74</v>
      </c>
      <c r="Y825" t="b">
        <v>0</v>
      </c>
      <c r="Z825" t="b">
        <v>0</v>
      </c>
      <c r="AC825" s="1"/>
      <c r="AF825">
        <v>0</v>
      </c>
      <c r="AG825">
        <v>45</v>
      </c>
      <c r="AH825">
        <v>315</v>
      </c>
      <c r="AI825" s="2">
        <f>Table__192.168.3.138DYLAgingReport[[#This Row],[NetAmount]]-Table__192.168.3.138DYLAgingReport[[#This Row],[Paid]]</f>
        <v>11600</v>
      </c>
    </row>
    <row r="826" spans="1:35">
      <c r="A826" t="s">
        <v>1964</v>
      </c>
      <c r="B826" s="1">
        <v>40999</v>
      </c>
      <c r="C826" s="1">
        <v>41044</v>
      </c>
      <c r="D826" t="s">
        <v>189</v>
      </c>
      <c r="E826">
        <v>24760</v>
      </c>
      <c r="F826">
        <v>3962</v>
      </c>
      <c r="G826">
        <v>0</v>
      </c>
      <c r="H826">
        <v>0</v>
      </c>
      <c r="I826">
        <v>270</v>
      </c>
      <c r="J826">
        <v>28722</v>
      </c>
      <c r="K826" t="s">
        <v>1965</v>
      </c>
      <c r="L826" s="1">
        <v>40998</v>
      </c>
      <c r="N826" t="s">
        <v>36</v>
      </c>
      <c r="O826" t="s">
        <v>37</v>
      </c>
      <c r="P826" t="s">
        <v>326</v>
      </c>
      <c r="Q826" t="s">
        <v>39</v>
      </c>
      <c r="R826" t="s">
        <v>40</v>
      </c>
      <c r="S826">
        <v>0</v>
      </c>
      <c r="U826" t="s">
        <v>41</v>
      </c>
      <c r="V826" t="s">
        <v>42</v>
      </c>
      <c r="X826" t="s">
        <v>74</v>
      </c>
      <c r="Y826" t="b">
        <v>0</v>
      </c>
      <c r="Z826" t="b">
        <v>0</v>
      </c>
      <c r="AC826" s="1"/>
      <c r="AF826">
        <v>0</v>
      </c>
      <c r="AG826">
        <v>45</v>
      </c>
      <c r="AH826">
        <v>315</v>
      </c>
      <c r="AI826" s="2">
        <f>Table__192.168.3.138DYLAgingReport[[#This Row],[NetAmount]]-Table__192.168.3.138DYLAgingReport[[#This Row],[Paid]]</f>
        <v>28722</v>
      </c>
    </row>
    <row r="827" spans="1:35">
      <c r="A827" t="s">
        <v>1966</v>
      </c>
      <c r="B827" s="1">
        <v>40999</v>
      </c>
      <c r="C827" s="1">
        <v>40999</v>
      </c>
      <c r="D827" t="s">
        <v>276</v>
      </c>
      <c r="E827">
        <v>2760000</v>
      </c>
      <c r="F827">
        <v>441600</v>
      </c>
      <c r="G827">
        <v>0</v>
      </c>
      <c r="H827">
        <v>0</v>
      </c>
      <c r="I827">
        <v>285</v>
      </c>
      <c r="J827">
        <v>3201600</v>
      </c>
      <c r="K827" t="s">
        <v>1967</v>
      </c>
      <c r="L827" s="1">
        <v>40983</v>
      </c>
      <c r="N827" t="s">
        <v>36</v>
      </c>
      <c r="O827" t="s">
        <v>37</v>
      </c>
      <c r="P827" t="s">
        <v>413</v>
      </c>
      <c r="Q827" t="s">
        <v>39</v>
      </c>
      <c r="R827" t="s">
        <v>40</v>
      </c>
      <c r="S827">
        <v>0</v>
      </c>
      <c r="U827" t="s">
        <v>41</v>
      </c>
      <c r="V827" t="s">
        <v>42</v>
      </c>
      <c r="X827" t="s">
        <v>74</v>
      </c>
      <c r="Y827" t="b">
        <v>0</v>
      </c>
      <c r="Z827" t="b">
        <v>0</v>
      </c>
      <c r="AB827" t="s">
        <v>1968</v>
      </c>
      <c r="AC827" s="1">
        <v>41129</v>
      </c>
      <c r="AD827" t="s">
        <v>1969</v>
      </c>
      <c r="AE827" t="s">
        <v>1970</v>
      </c>
      <c r="AF827">
        <v>2550434</v>
      </c>
      <c r="AG827">
        <v>45</v>
      </c>
      <c r="AH827">
        <v>330</v>
      </c>
      <c r="AI827" s="2">
        <f>Table__192.168.3.138DYLAgingReport[[#This Row],[NetAmount]]-Table__192.168.3.138DYLAgingReport[[#This Row],[Paid]]</f>
        <v>651166</v>
      </c>
    </row>
    <row r="828" spans="1:35">
      <c r="A828" t="s">
        <v>1971</v>
      </c>
      <c r="B828" s="1">
        <v>40999</v>
      </c>
      <c r="C828" s="1">
        <v>41044</v>
      </c>
      <c r="D828" t="s">
        <v>219</v>
      </c>
      <c r="E828">
        <v>1662</v>
      </c>
      <c r="F828">
        <v>266</v>
      </c>
      <c r="G828">
        <v>0</v>
      </c>
      <c r="H828">
        <v>0</v>
      </c>
      <c r="I828">
        <v>270</v>
      </c>
      <c r="J828">
        <v>1928</v>
      </c>
      <c r="K828" t="s">
        <v>1972</v>
      </c>
      <c r="L828" s="1">
        <v>40998</v>
      </c>
      <c r="N828" t="s">
        <v>36</v>
      </c>
      <c r="O828" t="s">
        <v>37</v>
      </c>
      <c r="P828" t="s">
        <v>356</v>
      </c>
      <c r="Q828" t="s">
        <v>39</v>
      </c>
      <c r="R828" t="s">
        <v>40</v>
      </c>
      <c r="S828">
        <v>0</v>
      </c>
      <c r="U828" t="s">
        <v>41</v>
      </c>
      <c r="V828" t="s">
        <v>42</v>
      </c>
      <c r="X828" t="s">
        <v>74</v>
      </c>
      <c r="Y828" t="b">
        <v>0</v>
      </c>
      <c r="Z828" t="b">
        <v>0</v>
      </c>
      <c r="AC828" s="1"/>
      <c r="AF828">
        <v>0</v>
      </c>
      <c r="AG828">
        <v>45</v>
      </c>
      <c r="AH828">
        <v>315</v>
      </c>
      <c r="AI828" s="2">
        <f>Table__192.168.3.138DYLAgingReport[[#This Row],[NetAmount]]-Table__192.168.3.138DYLAgingReport[[#This Row],[Paid]]</f>
        <v>1928</v>
      </c>
    </row>
    <row r="829" spans="1:35">
      <c r="A829" t="s">
        <v>1973</v>
      </c>
      <c r="B829" s="1">
        <v>40999</v>
      </c>
      <c r="C829" s="1">
        <v>41044</v>
      </c>
      <c r="D829" t="s">
        <v>219</v>
      </c>
      <c r="E829">
        <v>2870</v>
      </c>
      <c r="F829">
        <v>459</v>
      </c>
      <c r="G829">
        <v>0</v>
      </c>
      <c r="H829">
        <v>0</v>
      </c>
      <c r="I829">
        <v>270</v>
      </c>
      <c r="J829">
        <v>3329</v>
      </c>
      <c r="K829" t="s">
        <v>1974</v>
      </c>
      <c r="L829" s="1">
        <v>40998</v>
      </c>
      <c r="N829" t="s">
        <v>36</v>
      </c>
      <c r="O829" t="s">
        <v>37</v>
      </c>
      <c r="P829" t="s">
        <v>356</v>
      </c>
      <c r="Q829" t="s">
        <v>39</v>
      </c>
      <c r="R829" t="s">
        <v>40</v>
      </c>
      <c r="S829">
        <v>0</v>
      </c>
      <c r="U829" t="s">
        <v>41</v>
      </c>
      <c r="V829" t="s">
        <v>42</v>
      </c>
      <c r="X829" t="s">
        <v>74</v>
      </c>
      <c r="Y829" t="b">
        <v>0</v>
      </c>
      <c r="Z829" t="b">
        <v>0</v>
      </c>
      <c r="AC829" s="1"/>
      <c r="AF829">
        <v>0</v>
      </c>
      <c r="AG829">
        <v>45</v>
      </c>
      <c r="AH829">
        <v>315</v>
      </c>
      <c r="AI829" s="2">
        <f>Table__192.168.3.138DYLAgingReport[[#This Row],[NetAmount]]-Table__192.168.3.138DYLAgingReport[[#This Row],[Paid]]</f>
        <v>3329</v>
      </c>
    </row>
    <row r="830" spans="1:35">
      <c r="A830" t="s">
        <v>1975</v>
      </c>
      <c r="B830" s="1">
        <v>40994</v>
      </c>
      <c r="C830" s="1">
        <v>41039</v>
      </c>
      <c r="D830" t="s">
        <v>219</v>
      </c>
      <c r="E830">
        <v>26925</v>
      </c>
      <c r="F830">
        <v>4308</v>
      </c>
      <c r="G830">
        <v>0</v>
      </c>
      <c r="H830">
        <v>0</v>
      </c>
      <c r="I830">
        <v>274</v>
      </c>
      <c r="J830">
        <v>31233</v>
      </c>
      <c r="K830" t="s">
        <v>1976</v>
      </c>
      <c r="L830" s="1">
        <v>40994</v>
      </c>
      <c r="N830" t="s">
        <v>36</v>
      </c>
      <c r="O830" t="s">
        <v>37</v>
      </c>
      <c r="P830" t="s">
        <v>356</v>
      </c>
      <c r="Q830" t="s">
        <v>39</v>
      </c>
      <c r="R830" t="s">
        <v>40</v>
      </c>
      <c r="S830">
        <v>0</v>
      </c>
      <c r="U830" t="s">
        <v>41</v>
      </c>
      <c r="V830" t="s">
        <v>42</v>
      </c>
      <c r="X830" t="s">
        <v>74</v>
      </c>
      <c r="Y830" t="b">
        <v>0</v>
      </c>
      <c r="Z830" t="b">
        <v>0</v>
      </c>
      <c r="AC830" s="1"/>
      <c r="AF830">
        <v>0</v>
      </c>
      <c r="AG830">
        <v>45</v>
      </c>
      <c r="AH830">
        <v>319</v>
      </c>
      <c r="AI830" s="2">
        <f>Table__192.168.3.138DYLAgingReport[[#This Row],[NetAmount]]-Table__192.168.3.138DYLAgingReport[[#This Row],[Paid]]</f>
        <v>31233</v>
      </c>
    </row>
    <row r="831" spans="1:35">
      <c r="A831" t="s">
        <v>1977</v>
      </c>
      <c r="B831" s="1">
        <v>40984</v>
      </c>
      <c r="C831" s="1">
        <v>41029</v>
      </c>
      <c r="D831" t="s">
        <v>172</v>
      </c>
      <c r="E831">
        <v>91200</v>
      </c>
      <c r="F831">
        <v>14592</v>
      </c>
      <c r="G831">
        <v>0</v>
      </c>
      <c r="H831">
        <v>0</v>
      </c>
      <c r="I831">
        <v>280</v>
      </c>
      <c r="J831">
        <v>105792</v>
      </c>
      <c r="K831" t="s">
        <v>1978</v>
      </c>
      <c r="L831" s="1">
        <v>40988</v>
      </c>
      <c r="N831" t="s">
        <v>36</v>
      </c>
      <c r="O831" t="s">
        <v>37</v>
      </c>
      <c r="P831" t="s">
        <v>309</v>
      </c>
      <c r="Q831" t="s">
        <v>39</v>
      </c>
      <c r="R831" t="s">
        <v>40</v>
      </c>
      <c r="S831">
        <v>0</v>
      </c>
      <c r="U831" t="s">
        <v>41</v>
      </c>
      <c r="V831" t="s">
        <v>42</v>
      </c>
      <c r="X831" t="s">
        <v>74</v>
      </c>
      <c r="Y831" t="b">
        <v>0</v>
      </c>
      <c r="Z831" t="b">
        <v>0</v>
      </c>
      <c r="AB831" t="s">
        <v>582</v>
      </c>
      <c r="AC831" s="1">
        <v>41296</v>
      </c>
      <c r="AF831">
        <v>0</v>
      </c>
      <c r="AG831">
        <v>45</v>
      </c>
      <c r="AH831">
        <v>325</v>
      </c>
      <c r="AI831" s="2">
        <f>Table__192.168.3.138DYLAgingReport[[#This Row],[NetAmount]]-Table__192.168.3.138DYLAgingReport[[#This Row],[Paid]]</f>
        <v>105792</v>
      </c>
    </row>
    <row r="832" spans="1:35">
      <c r="A832" t="s">
        <v>1979</v>
      </c>
      <c r="B832" s="1">
        <v>40999</v>
      </c>
      <c r="C832" s="1">
        <v>41044</v>
      </c>
      <c r="D832" t="s">
        <v>172</v>
      </c>
      <c r="E832">
        <v>104294</v>
      </c>
      <c r="F832">
        <v>16687</v>
      </c>
      <c r="G832">
        <v>0</v>
      </c>
      <c r="H832">
        <v>0</v>
      </c>
      <c r="I832">
        <v>269</v>
      </c>
      <c r="J832">
        <v>120981</v>
      </c>
      <c r="K832" t="s">
        <v>1980</v>
      </c>
      <c r="L832" s="1">
        <v>40999</v>
      </c>
      <c r="N832" t="s">
        <v>36</v>
      </c>
      <c r="O832" t="s">
        <v>37</v>
      </c>
      <c r="P832" t="s">
        <v>309</v>
      </c>
      <c r="Q832" t="s">
        <v>39</v>
      </c>
      <c r="R832" t="s">
        <v>40</v>
      </c>
      <c r="S832">
        <v>0</v>
      </c>
      <c r="U832" t="s">
        <v>41</v>
      </c>
      <c r="V832" t="s">
        <v>42</v>
      </c>
      <c r="X832" t="s">
        <v>74</v>
      </c>
      <c r="Y832" t="b">
        <v>0</v>
      </c>
      <c r="Z832" t="b">
        <v>0</v>
      </c>
      <c r="AB832" t="s">
        <v>582</v>
      </c>
      <c r="AC832" s="1">
        <v>41296</v>
      </c>
      <c r="AF832">
        <v>0</v>
      </c>
      <c r="AG832">
        <v>45</v>
      </c>
      <c r="AH832">
        <v>314</v>
      </c>
      <c r="AI832" s="2">
        <f>Table__192.168.3.138DYLAgingReport[[#This Row],[NetAmount]]-Table__192.168.3.138DYLAgingReport[[#This Row],[Paid]]</f>
        <v>120981</v>
      </c>
    </row>
    <row r="833" spans="1:35">
      <c r="A833" t="s">
        <v>1981</v>
      </c>
      <c r="B833" s="1">
        <v>40999</v>
      </c>
      <c r="C833" s="1">
        <v>41044</v>
      </c>
      <c r="D833" t="s">
        <v>268</v>
      </c>
      <c r="E833">
        <v>119200</v>
      </c>
      <c r="F833">
        <v>19072</v>
      </c>
      <c r="G833">
        <v>0</v>
      </c>
      <c r="H833">
        <v>0</v>
      </c>
      <c r="I833">
        <v>270</v>
      </c>
      <c r="J833">
        <v>138272</v>
      </c>
      <c r="K833" t="s">
        <v>1982</v>
      </c>
      <c r="L833" s="1">
        <v>40998</v>
      </c>
      <c r="N833" t="s">
        <v>36</v>
      </c>
      <c r="O833" t="s">
        <v>37</v>
      </c>
      <c r="P833" t="s">
        <v>405</v>
      </c>
      <c r="Q833" t="s">
        <v>39</v>
      </c>
      <c r="R833" t="s">
        <v>40</v>
      </c>
      <c r="S833">
        <v>0</v>
      </c>
      <c r="U833" t="s">
        <v>41</v>
      </c>
      <c r="V833" t="s">
        <v>42</v>
      </c>
      <c r="X833" t="s">
        <v>74</v>
      </c>
      <c r="Y833" t="b">
        <v>0</v>
      </c>
      <c r="Z833" t="b">
        <v>0</v>
      </c>
      <c r="AB833" t="s">
        <v>542</v>
      </c>
      <c r="AC833" s="1">
        <v>41176</v>
      </c>
      <c r="AF833">
        <v>0</v>
      </c>
      <c r="AG833">
        <v>45</v>
      </c>
      <c r="AH833">
        <v>315</v>
      </c>
      <c r="AI833" s="2">
        <f>Table__192.168.3.138DYLAgingReport[[#This Row],[NetAmount]]-Table__192.168.3.138DYLAgingReport[[#This Row],[Paid]]</f>
        <v>138272</v>
      </c>
    </row>
    <row r="834" spans="1:35">
      <c r="A834" t="s">
        <v>1983</v>
      </c>
      <c r="B834" s="1">
        <v>40999</v>
      </c>
      <c r="C834" s="1">
        <v>41044</v>
      </c>
      <c r="D834" t="s">
        <v>268</v>
      </c>
      <c r="E834">
        <v>26172</v>
      </c>
      <c r="F834">
        <v>4188</v>
      </c>
      <c r="G834">
        <v>0</v>
      </c>
      <c r="H834">
        <v>0</v>
      </c>
      <c r="I834">
        <v>270</v>
      </c>
      <c r="J834">
        <v>30360</v>
      </c>
      <c r="K834" t="s">
        <v>1984</v>
      </c>
      <c r="L834" s="1">
        <v>40998</v>
      </c>
      <c r="N834" t="s">
        <v>36</v>
      </c>
      <c r="O834" t="s">
        <v>37</v>
      </c>
      <c r="P834" t="s">
        <v>405</v>
      </c>
      <c r="Q834" t="s">
        <v>39</v>
      </c>
      <c r="R834" t="s">
        <v>40</v>
      </c>
      <c r="S834">
        <v>0</v>
      </c>
      <c r="U834" t="s">
        <v>41</v>
      </c>
      <c r="V834" t="s">
        <v>42</v>
      </c>
      <c r="X834" t="s">
        <v>74</v>
      </c>
      <c r="Y834" t="b">
        <v>0</v>
      </c>
      <c r="Z834" t="b">
        <v>0</v>
      </c>
      <c r="AB834" t="s">
        <v>542</v>
      </c>
      <c r="AC834" s="1">
        <v>41176</v>
      </c>
      <c r="AF834">
        <v>0</v>
      </c>
      <c r="AG834">
        <v>45</v>
      </c>
      <c r="AH834">
        <v>315</v>
      </c>
      <c r="AI834" s="2">
        <f>Table__192.168.3.138DYLAgingReport[[#This Row],[NetAmount]]-Table__192.168.3.138DYLAgingReport[[#This Row],[Paid]]</f>
        <v>30360</v>
      </c>
    </row>
    <row r="835" spans="1:35">
      <c r="A835" t="s">
        <v>1985</v>
      </c>
      <c r="B835" s="1">
        <v>40981</v>
      </c>
      <c r="C835" s="1">
        <v>41011</v>
      </c>
      <c r="D835" t="s">
        <v>246</v>
      </c>
      <c r="E835">
        <v>609000</v>
      </c>
      <c r="F835">
        <v>97440</v>
      </c>
      <c r="G835">
        <v>0</v>
      </c>
      <c r="H835">
        <v>0</v>
      </c>
      <c r="I835">
        <v>272</v>
      </c>
      <c r="J835">
        <v>706440</v>
      </c>
      <c r="K835" t="s">
        <v>1986</v>
      </c>
      <c r="L835" s="1">
        <v>40996</v>
      </c>
      <c r="N835" t="s">
        <v>36</v>
      </c>
      <c r="O835" t="s">
        <v>37</v>
      </c>
      <c r="P835" t="s">
        <v>383</v>
      </c>
      <c r="Q835" t="s">
        <v>39</v>
      </c>
      <c r="R835" t="s">
        <v>40</v>
      </c>
      <c r="S835">
        <v>0</v>
      </c>
      <c r="U835" t="s">
        <v>41</v>
      </c>
      <c r="V835" t="s">
        <v>42</v>
      </c>
      <c r="X835" t="s">
        <v>74</v>
      </c>
      <c r="Y835" t="b">
        <v>0</v>
      </c>
      <c r="Z835" t="b">
        <v>0</v>
      </c>
      <c r="AC835" s="1"/>
      <c r="AF835">
        <v>0</v>
      </c>
      <c r="AG835">
        <v>45</v>
      </c>
      <c r="AH835">
        <v>317</v>
      </c>
      <c r="AI835" s="2">
        <f>Table__192.168.3.138DYLAgingReport[[#This Row],[NetAmount]]-Table__192.168.3.138DYLAgingReport[[#This Row],[Paid]]</f>
        <v>706440</v>
      </c>
    </row>
    <row r="836" spans="1:35">
      <c r="A836" t="s">
        <v>85</v>
      </c>
      <c r="B836" s="1">
        <v>40999</v>
      </c>
      <c r="C836" s="1">
        <v>41044</v>
      </c>
      <c r="D836" t="s">
        <v>35</v>
      </c>
      <c r="E836">
        <v>400000</v>
      </c>
      <c r="F836">
        <v>64000</v>
      </c>
      <c r="G836">
        <v>0</v>
      </c>
      <c r="H836">
        <v>0</v>
      </c>
      <c r="I836">
        <v>269</v>
      </c>
      <c r="J836">
        <v>464000</v>
      </c>
      <c r="K836" t="s">
        <v>86</v>
      </c>
      <c r="L836" s="1">
        <v>40999</v>
      </c>
      <c r="N836" t="s">
        <v>36</v>
      </c>
      <c r="O836" t="s">
        <v>37</v>
      </c>
      <c r="P836" t="s">
        <v>38</v>
      </c>
      <c r="Q836" t="s">
        <v>39</v>
      </c>
      <c r="R836" t="s">
        <v>40</v>
      </c>
      <c r="S836">
        <v>0</v>
      </c>
      <c r="U836" t="s">
        <v>41</v>
      </c>
      <c r="V836" t="s">
        <v>42</v>
      </c>
      <c r="X836" t="s">
        <v>74</v>
      </c>
      <c r="Y836" t="b">
        <v>0</v>
      </c>
      <c r="Z836" t="b">
        <v>0</v>
      </c>
      <c r="AB836" t="s">
        <v>46</v>
      </c>
      <c r="AC836" s="1">
        <v>41185</v>
      </c>
      <c r="AD836" t="s">
        <v>87</v>
      </c>
      <c r="AE836" t="s">
        <v>48</v>
      </c>
      <c r="AF836">
        <v>433296</v>
      </c>
      <c r="AG836">
        <v>45</v>
      </c>
      <c r="AH836">
        <v>314</v>
      </c>
      <c r="AI836" s="2">
        <f>Table__192.168.3.138DYLAgingReport[[#This Row],[NetAmount]]-Table__192.168.3.138DYLAgingReport[[#This Row],[Paid]]</f>
        <v>30704</v>
      </c>
    </row>
    <row r="837" spans="1:35">
      <c r="A837" t="s">
        <v>1987</v>
      </c>
      <c r="B837" s="1">
        <v>40979</v>
      </c>
      <c r="C837" s="1">
        <v>41024</v>
      </c>
      <c r="D837" t="s">
        <v>569</v>
      </c>
      <c r="E837">
        <v>169775</v>
      </c>
      <c r="F837">
        <v>27164</v>
      </c>
      <c r="G837">
        <v>0</v>
      </c>
      <c r="H837">
        <v>0</v>
      </c>
      <c r="I837">
        <v>290</v>
      </c>
      <c r="J837">
        <v>196939</v>
      </c>
      <c r="K837" t="s">
        <v>1988</v>
      </c>
      <c r="L837" s="1">
        <v>40978</v>
      </c>
      <c r="N837" t="s">
        <v>36</v>
      </c>
      <c r="O837" t="s">
        <v>37</v>
      </c>
      <c r="P837" t="s">
        <v>433</v>
      </c>
      <c r="Q837" t="s">
        <v>39</v>
      </c>
      <c r="R837" t="s">
        <v>40</v>
      </c>
      <c r="S837">
        <v>0</v>
      </c>
      <c r="U837" t="s">
        <v>41</v>
      </c>
      <c r="V837" t="s">
        <v>42</v>
      </c>
      <c r="X837" t="s">
        <v>74</v>
      </c>
      <c r="Y837" t="b">
        <v>0</v>
      </c>
      <c r="Z837" t="b">
        <v>0</v>
      </c>
      <c r="AB837" t="s">
        <v>570</v>
      </c>
      <c r="AC837" s="1">
        <v>41176</v>
      </c>
      <c r="AD837" t="s">
        <v>1989</v>
      </c>
      <c r="AE837" t="s">
        <v>571</v>
      </c>
      <c r="AF837">
        <v>138558</v>
      </c>
      <c r="AG837">
        <v>45</v>
      </c>
      <c r="AH837">
        <v>335</v>
      </c>
      <c r="AI837" s="2">
        <f>Table__192.168.3.138DYLAgingReport[[#This Row],[NetAmount]]-Table__192.168.3.138DYLAgingReport[[#This Row],[Paid]]</f>
        <v>58381</v>
      </c>
    </row>
    <row r="838" spans="1:35">
      <c r="A838" t="s">
        <v>1990</v>
      </c>
      <c r="B838" s="1">
        <v>40998</v>
      </c>
      <c r="C838" s="1">
        <v>41043</v>
      </c>
      <c r="D838" t="s">
        <v>569</v>
      </c>
      <c r="E838">
        <v>211703</v>
      </c>
      <c r="F838">
        <v>33872</v>
      </c>
      <c r="G838">
        <v>0</v>
      </c>
      <c r="H838">
        <v>0</v>
      </c>
      <c r="I838">
        <v>270</v>
      </c>
      <c r="J838">
        <v>245575</v>
      </c>
      <c r="K838" t="s">
        <v>1991</v>
      </c>
      <c r="L838" s="1">
        <v>40998</v>
      </c>
      <c r="N838" t="s">
        <v>36</v>
      </c>
      <c r="O838" t="s">
        <v>37</v>
      </c>
      <c r="P838" t="s">
        <v>433</v>
      </c>
      <c r="Q838" t="s">
        <v>39</v>
      </c>
      <c r="R838" t="s">
        <v>40</v>
      </c>
      <c r="S838">
        <v>0</v>
      </c>
      <c r="U838" t="s">
        <v>41</v>
      </c>
      <c r="V838" t="s">
        <v>42</v>
      </c>
      <c r="X838" t="s">
        <v>74</v>
      </c>
      <c r="Y838" t="b">
        <v>0</v>
      </c>
      <c r="Z838" t="b">
        <v>0</v>
      </c>
      <c r="AB838" t="s">
        <v>607</v>
      </c>
      <c r="AC838" s="1">
        <v>41215</v>
      </c>
      <c r="AD838" t="s">
        <v>1992</v>
      </c>
      <c r="AE838" t="s">
        <v>608</v>
      </c>
      <c r="AF838">
        <v>114139</v>
      </c>
      <c r="AG838">
        <v>45</v>
      </c>
      <c r="AH838">
        <v>315</v>
      </c>
      <c r="AI838" s="2">
        <f>Table__192.168.3.138DYLAgingReport[[#This Row],[NetAmount]]-Table__192.168.3.138DYLAgingReport[[#This Row],[Paid]]</f>
        <v>131436</v>
      </c>
    </row>
    <row r="839" spans="1:35">
      <c r="A839" t="s">
        <v>1993</v>
      </c>
      <c r="B839" s="1">
        <v>40999</v>
      </c>
      <c r="C839" s="1">
        <v>40999</v>
      </c>
      <c r="D839" t="s">
        <v>285</v>
      </c>
      <c r="E839">
        <v>1963000</v>
      </c>
      <c r="F839">
        <v>314080</v>
      </c>
      <c r="G839">
        <v>0</v>
      </c>
      <c r="H839">
        <v>0</v>
      </c>
      <c r="I839">
        <v>284</v>
      </c>
      <c r="J839">
        <v>2277080</v>
      </c>
      <c r="K839" t="s">
        <v>1994</v>
      </c>
      <c r="L839" s="1">
        <v>40999</v>
      </c>
      <c r="N839" t="s">
        <v>36</v>
      </c>
      <c r="O839" t="s">
        <v>37</v>
      </c>
      <c r="P839" t="s">
        <v>422</v>
      </c>
      <c r="Q839" t="s">
        <v>39</v>
      </c>
      <c r="R839" t="s">
        <v>40</v>
      </c>
      <c r="S839">
        <v>0</v>
      </c>
      <c r="U839" t="s">
        <v>41</v>
      </c>
      <c r="V839" t="s">
        <v>42</v>
      </c>
      <c r="X839" t="s">
        <v>74</v>
      </c>
      <c r="Y839" t="b">
        <v>0</v>
      </c>
      <c r="Z839" t="b">
        <v>0</v>
      </c>
      <c r="AB839" t="s">
        <v>1995</v>
      </c>
      <c r="AC839" s="1">
        <v>41031</v>
      </c>
      <c r="AD839" t="s">
        <v>1996</v>
      </c>
      <c r="AE839" t="s">
        <v>1997</v>
      </c>
      <c r="AF839">
        <v>2274605</v>
      </c>
      <c r="AG839">
        <v>30</v>
      </c>
      <c r="AH839">
        <v>314</v>
      </c>
      <c r="AI839" s="2">
        <f>Table__192.168.3.138DYLAgingReport[[#This Row],[NetAmount]]-Table__192.168.3.138DYLAgingReport[[#This Row],[Paid]]</f>
        <v>2475</v>
      </c>
    </row>
    <row r="840" spans="1:35">
      <c r="A840" t="s">
        <v>1998</v>
      </c>
      <c r="B840" s="1">
        <v>40981</v>
      </c>
      <c r="C840" s="1">
        <v>41026</v>
      </c>
      <c r="D840" t="s">
        <v>569</v>
      </c>
      <c r="E840">
        <v>5100</v>
      </c>
      <c r="F840">
        <v>816</v>
      </c>
      <c r="G840">
        <v>0</v>
      </c>
      <c r="H840">
        <v>0</v>
      </c>
      <c r="I840">
        <v>287</v>
      </c>
      <c r="J840">
        <v>5916</v>
      </c>
      <c r="K840" t="s">
        <v>1999</v>
      </c>
      <c r="L840" s="1">
        <v>40981</v>
      </c>
      <c r="N840" t="s">
        <v>36</v>
      </c>
      <c r="O840" t="s">
        <v>37</v>
      </c>
      <c r="P840" t="s">
        <v>433</v>
      </c>
      <c r="Q840" t="s">
        <v>39</v>
      </c>
      <c r="R840" t="s">
        <v>40</v>
      </c>
      <c r="S840">
        <v>0</v>
      </c>
      <c r="U840" t="s">
        <v>41</v>
      </c>
      <c r="V840" t="s">
        <v>42</v>
      </c>
      <c r="X840" t="s">
        <v>74</v>
      </c>
      <c r="Y840" t="b">
        <v>0</v>
      </c>
      <c r="Z840" t="b">
        <v>0</v>
      </c>
      <c r="AB840" t="s">
        <v>570</v>
      </c>
      <c r="AC840" s="1">
        <v>41176</v>
      </c>
      <c r="AE840" t="s">
        <v>571</v>
      </c>
      <c r="AF840">
        <v>0</v>
      </c>
      <c r="AG840">
        <v>45</v>
      </c>
      <c r="AH840">
        <v>332</v>
      </c>
      <c r="AI840" s="2">
        <f>Table__192.168.3.138DYLAgingReport[[#This Row],[NetAmount]]-Table__192.168.3.138DYLAgingReport[[#This Row],[Paid]]</f>
        <v>5916</v>
      </c>
    </row>
    <row r="841" spans="1:35">
      <c r="A841" t="s">
        <v>2000</v>
      </c>
      <c r="B841" s="1">
        <v>40999</v>
      </c>
      <c r="C841" s="1">
        <v>41044</v>
      </c>
      <c r="D841" t="s">
        <v>569</v>
      </c>
      <c r="E841">
        <v>15275</v>
      </c>
      <c r="F841">
        <v>2444</v>
      </c>
      <c r="G841">
        <v>0</v>
      </c>
      <c r="H841">
        <v>0</v>
      </c>
      <c r="I841">
        <v>270</v>
      </c>
      <c r="J841">
        <v>17719</v>
      </c>
      <c r="K841" t="s">
        <v>2001</v>
      </c>
      <c r="L841" s="1">
        <v>40998</v>
      </c>
      <c r="N841" t="s">
        <v>36</v>
      </c>
      <c r="O841" t="s">
        <v>37</v>
      </c>
      <c r="P841" t="s">
        <v>433</v>
      </c>
      <c r="Q841" t="s">
        <v>39</v>
      </c>
      <c r="R841" t="s">
        <v>40</v>
      </c>
      <c r="S841">
        <v>0</v>
      </c>
      <c r="U841" t="s">
        <v>41</v>
      </c>
      <c r="V841" t="s">
        <v>42</v>
      </c>
      <c r="X841" t="s">
        <v>74</v>
      </c>
      <c r="Y841" t="b">
        <v>0</v>
      </c>
      <c r="Z841" t="b">
        <v>0</v>
      </c>
      <c r="AB841" t="s">
        <v>607</v>
      </c>
      <c r="AC841" s="1">
        <v>41215</v>
      </c>
      <c r="AE841" t="s">
        <v>608</v>
      </c>
      <c r="AF841">
        <v>0</v>
      </c>
      <c r="AG841">
        <v>45</v>
      </c>
      <c r="AH841">
        <v>315</v>
      </c>
      <c r="AI841" s="2">
        <f>Table__192.168.3.138DYLAgingReport[[#This Row],[NetAmount]]-Table__192.168.3.138DYLAgingReport[[#This Row],[Paid]]</f>
        <v>17719</v>
      </c>
    </row>
    <row r="842" spans="1:35">
      <c r="A842" t="s">
        <v>2002</v>
      </c>
      <c r="B842" s="1">
        <v>40990</v>
      </c>
      <c r="C842" s="1">
        <v>41035</v>
      </c>
      <c r="D842" t="s">
        <v>569</v>
      </c>
      <c r="E842">
        <v>302887</v>
      </c>
      <c r="F842">
        <v>48462</v>
      </c>
      <c r="G842">
        <v>0</v>
      </c>
      <c r="H842">
        <v>0</v>
      </c>
      <c r="I842">
        <v>279</v>
      </c>
      <c r="J842">
        <v>351349</v>
      </c>
      <c r="K842" t="s">
        <v>2003</v>
      </c>
      <c r="L842" s="1">
        <v>40989</v>
      </c>
      <c r="N842" t="s">
        <v>36</v>
      </c>
      <c r="O842" t="s">
        <v>37</v>
      </c>
      <c r="P842" t="s">
        <v>433</v>
      </c>
      <c r="Q842" t="s">
        <v>39</v>
      </c>
      <c r="R842" t="s">
        <v>40</v>
      </c>
      <c r="S842">
        <v>0</v>
      </c>
      <c r="U842" t="s">
        <v>41</v>
      </c>
      <c r="V842" t="s">
        <v>42</v>
      </c>
      <c r="X842" t="s">
        <v>74</v>
      </c>
      <c r="Y842" t="b">
        <v>0</v>
      </c>
      <c r="Z842" t="b">
        <v>0</v>
      </c>
      <c r="AB842" t="s">
        <v>570</v>
      </c>
      <c r="AC842" s="1">
        <v>41176</v>
      </c>
      <c r="AD842" t="s">
        <v>2004</v>
      </c>
      <c r="AE842" t="s">
        <v>571</v>
      </c>
      <c r="AF842">
        <v>66137</v>
      </c>
      <c r="AG842">
        <v>45</v>
      </c>
      <c r="AH842">
        <v>324</v>
      </c>
      <c r="AI842" s="2">
        <f>Table__192.168.3.138DYLAgingReport[[#This Row],[NetAmount]]-Table__192.168.3.138DYLAgingReport[[#This Row],[Paid]]</f>
        <v>285212</v>
      </c>
    </row>
    <row r="843" spans="1:35">
      <c r="A843" t="s">
        <v>2005</v>
      </c>
      <c r="B843" s="1">
        <v>40999</v>
      </c>
      <c r="C843" s="1">
        <v>41044</v>
      </c>
      <c r="D843" t="s">
        <v>569</v>
      </c>
      <c r="E843">
        <v>6625</v>
      </c>
      <c r="F843">
        <v>1060</v>
      </c>
      <c r="G843">
        <v>0</v>
      </c>
      <c r="H843">
        <v>0</v>
      </c>
      <c r="I843">
        <v>298</v>
      </c>
      <c r="J843">
        <v>7685</v>
      </c>
      <c r="K843" t="s">
        <v>2006</v>
      </c>
      <c r="L843" s="1">
        <v>40970</v>
      </c>
      <c r="N843" t="s">
        <v>36</v>
      </c>
      <c r="O843" t="s">
        <v>37</v>
      </c>
      <c r="P843" t="s">
        <v>433</v>
      </c>
      <c r="Q843" t="s">
        <v>39</v>
      </c>
      <c r="R843" t="s">
        <v>40</v>
      </c>
      <c r="S843">
        <v>0</v>
      </c>
      <c r="U843" t="s">
        <v>41</v>
      </c>
      <c r="V843" t="s">
        <v>42</v>
      </c>
      <c r="X843" t="s">
        <v>74</v>
      </c>
      <c r="Y843" t="b">
        <v>0</v>
      </c>
      <c r="Z843" t="b">
        <v>0</v>
      </c>
      <c r="AB843" t="s">
        <v>570</v>
      </c>
      <c r="AC843" s="1">
        <v>41176</v>
      </c>
      <c r="AE843" t="s">
        <v>571</v>
      </c>
      <c r="AF843">
        <v>0</v>
      </c>
      <c r="AG843">
        <v>45</v>
      </c>
      <c r="AH843">
        <v>343</v>
      </c>
      <c r="AI843" s="2">
        <f>Table__192.168.3.138DYLAgingReport[[#This Row],[NetAmount]]-Table__192.168.3.138DYLAgingReport[[#This Row],[Paid]]</f>
        <v>7685</v>
      </c>
    </row>
    <row r="844" spans="1:35">
      <c r="A844" t="s">
        <v>2007</v>
      </c>
      <c r="B844" s="1">
        <v>40983</v>
      </c>
      <c r="C844" s="1">
        <v>41028</v>
      </c>
      <c r="D844" t="s">
        <v>259</v>
      </c>
      <c r="E844">
        <v>826</v>
      </c>
      <c r="F844">
        <v>132</v>
      </c>
      <c r="G844">
        <v>0</v>
      </c>
      <c r="H844">
        <v>0</v>
      </c>
      <c r="I844">
        <v>285</v>
      </c>
      <c r="J844">
        <v>958</v>
      </c>
      <c r="K844" t="s">
        <v>2008</v>
      </c>
      <c r="L844" s="1">
        <v>40983</v>
      </c>
      <c r="N844" t="s">
        <v>36</v>
      </c>
      <c r="O844" t="s">
        <v>37</v>
      </c>
      <c r="P844" t="s">
        <v>396</v>
      </c>
      <c r="Q844" t="s">
        <v>39</v>
      </c>
      <c r="R844" t="s">
        <v>40</v>
      </c>
      <c r="S844">
        <v>0</v>
      </c>
      <c r="U844" t="s">
        <v>41</v>
      </c>
      <c r="V844" t="s">
        <v>42</v>
      </c>
      <c r="X844" t="s">
        <v>74</v>
      </c>
      <c r="Y844" t="b">
        <v>0</v>
      </c>
      <c r="Z844" t="b">
        <v>0</v>
      </c>
      <c r="AC844" s="1"/>
      <c r="AF844">
        <v>0</v>
      </c>
      <c r="AG844">
        <v>45</v>
      </c>
      <c r="AH844">
        <v>330</v>
      </c>
      <c r="AI844" s="2">
        <f>Table__192.168.3.138DYLAgingReport[[#This Row],[NetAmount]]-Table__192.168.3.138DYLAgingReport[[#This Row],[Paid]]</f>
        <v>958</v>
      </c>
    </row>
    <row r="845" spans="1:35">
      <c r="A845" t="s">
        <v>2009</v>
      </c>
      <c r="B845" s="1">
        <v>41002</v>
      </c>
      <c r="C845" s="1">
        <v>41047</v>
      </c>
      <c r="D845" t="s">
        <v>180</v>
      </c>
      <c r="E845">
        <v>16101</v>
      </c>
      <c r="F845">
        <v>2576</v>
      </c>
      <c r="G845">
        <v>0</v>
      </c>
      <c r="H845">
        <v>0</v>
      </c>
      <c r="I845">
        <v>266</v>
      </c>
      <c r="J845">
        <v>18677</v>
      </c>
      <c r="K845" t="s">
        <v>2010</v>
      </c>
      <c r="L845" s="1">
        <v>41002</v>
      </c>
      <c r="N845" t="s">
        <v>36</v>
      </c>
      <c r="O845" t="s">
        <v>37</v>
      </c>
      <c r="P845" t="s">
        <v>317</v>
      </c>
      <c r="Q845" t="s">
        <v>39</v>
      </c>
      <c r="R845" t="s">
        <v>40</v>
      </c>
      <c r="S845">
        <v>0</v>
      </c>
      <c r="U845" t="s">
        <v>41</v>
      </c>
      <c r="V845" t="s">
        <v>42</v>
      </c>
      <c r="X845" t="s">
        <v>74</v>
      </c>
      <c r="Y845" t="b">
        <v>0</v>
      </c>
      <c r="Z845" t="b">
        <v>0</v>
      </c>
      <c r="AB845" t="s">
        <v>2011</v>
      </c>
      <c r="AC845" s="1">
        <v>41061</v>
      </c>
      <c r="AD845" t="s">
        <v>2012</v>
      </c>
      <c r="AE845" t="s">
        <v>1282</v>
      </c>
      <c r="AF845">
        <v>5632</v>
      </c>
      <c r="AG845">
        <v>45</v>
      </c>
      <c r="AH845">
        <v>311</v>
      </c>
      <c r="AI845" s="2">
        <f>Table__192.168.3.138DYLAgingReport[[#This Row],[NetAmount]]-Table__192.168.3.138DYLAgingReport[[#This Row],[Paid]]</f>
        <v>13045</v>
      </c>
    </row>
    <row r="846" spans="1:35">
      <c r="A846" t="s">
        <v>2013</v>
      </c>
      <c r="B846" s="1">
        <v>41010</v>
      </c>
      <c r="C846" s="1">
        <v>41040</v>
      </c>
      <c r="D846" t="s">
        <v>251</v>
      </c>
      <c r="E846">
        <v>352440</v>
      </c>
      <c r="F846">
        <v>56390</v>
      </c>
      <c r="G846">
        <v>0</v>
      </c>
      <c r="H846">
        <v>0</v>
      </c>
      <c r="I846">
        <v>256</v>
      </c>
      <c r="J846">
        <v>408830</v>
      </c>
      <c r="K846" t="s">
        <v>2014</v>
      </c>
      <c r="L846" s="1">
        <v>41012</v>
      </c>
      <c r="N846" t="s">
        <v>36</v>
      </c>
      <c r="O846" t="s">
        <v>37</v>
      </c>
      <c r="P846" t="s">
        <v>388</v>
      </c>
      <c r="Q846" t="s">
        <v>39</v>
      </c>
      <c r="R846" t="s">
        <v>40</v>
      </c>
      <c r="S846">
        <v>0</v>
      </c>
      <c r="U846" t="s">
        <v>41</v>
      </c>
      <c r="V846" t="s">
        <v>42</v>
      </c>
      <c r="X846" t="s">
        <v>74</v>
      </c>
      <c r="Y846" t="b">
        <v>0</v>
      </c>
      <c r="Z846" t="b">
        <v>0</v>
      </c>
      <c r="AB846" t="s">
        <v>615</v>
      </c>
      <c r="AC846" s="1">
        <v>41185</v>
      </c>
      <c r="AD846" t="s">
        <v>2015</v>
      </c>
      <c r="AE846" t="s">
        <v>616</v>
      </c>
      <c r="AF846">
        <v>382588</v>
      </c>
      <c r="AG846">
        <v>45</v>
      </c>
      <c r="AH846">
        <v>301</v>
      </c>
      <c r="AI846" s="2">
        <f>Table__192.168.3.138DYLAgingReport[[#This Row],[NetAmount]]-Table__192.168.3.138DYLAgingReport[[#This Row],[Paid]]</f>
        <v>26242</v>
      </c>
    </row>
    <row r="847" spans="1:35">
      <c r="A847" t="s">
        <v>2016</v>
      </c>
      <c r="B847" s="1">
        <v>41009</v>
      </c>
      <c r="C847" s="1">
        <v>41054</v>
      </c>
      <c r="D847" t="s">
        <v>239</v>
      </c>
      <c r="E847">
        <v>340630</v>
      </c>
      <c r="F847">
        <v>54500</v>
      </c>
      <c r="G847">
        <v>0</v>
      </c>
      <c r="H847">
        <v>0</v>
      </c>
      <c r="I847">
        <v>259</v>
      </c>
      <c r="J847">
        <v>395130</v>
      </c>
      <c r="K847" t="s">
        <v>2017</v>
      </c>
      <c r="L847" s="1">
        <v>41009</v>
      </c>
      <c r="N847" t="s">
        <v>36</v>
      </c>
      <c r="O847" t="s">
        <v>37</v>
      </c>
      <c r="P847" t="s">
        <v>376</v>
      </c>
      <c r="Q847" t="s">
        <v>39</v>
      </c>
      <c r="R847" t="s">
        <v>40</v>
      </c>
      <c r="S847">
        <v>0</v>
      </c>
      <c r="U847" t="s">
        <v>41</v>
      </c>
      <c r="V847" t="s">
        <v>42</v>
      </c>
      <c r="X847" t="s">
        <v>74</v>
      </c>
      <c r="Y847" t="b">
        <v>0</v>
      </c>
      <c r="Z847" t="b">
        <v>0</v>
      </c>
      <c r="AB847" t="s">
        <v>533</v>
      </c>
      <c r="AC847" s="1">
        <v>41018</v>
      </c>
      <c r="AD847" t="s">
        <v>2018</v>
      </c>
      <c r="AE847" t="s">
        <v>535</v>
      </c>
      <c r="AF847">
        <v>321355</v>
      </c>
      <c r="AG847">
        <v>45</v>
      </c>
      <c r="AH847">
        <v>304</v>
      </c>
      <c r="AI847" s="2">
        <f>Table__192.168.3.138DYLAgingReport[[#This Row],[NetAmount]]-Table__192.168.3.138DYLAgingReport[[#This Row],[Paid]]</f>
        <v>73775</v>
      </c>
    </row>
    <row r="848" spans="1:35">
      <c r="A848" t="s">
        <v>2019</v>
      </c>
      <c r="B848" s="1">
        <v>41002</v>
      </c>
      <c r="C848" s="1">
        <v>41047</v>
      </c>
      <c r="D848" t="s">
        <v>172</v>
      </c>
      <c r="E848">
        <v>117331</v>
      </c>
      <c r="F848">
        <v>18773</v>
      </c>
      <c r="G848">
        <v>0</v>
      </c>
      <c r="H848">
        <v>0</v>
      </c>
      <c r="I848">
        <v>260</v>
      </c>
      <c r="J848">
        <v>136104</v>
      </c>
      <c r="K848" t="s">
        <v>2020</v>
      </c>
      <c r="L848" s="1">
        <v>41008</v>
      </c>
      <c r="N848" t="s">
        <v>36</v>
      </c>
      <c r="O848" t="s">
        <v>37</v>
      </c>
      <c r="P848" t="s">
        <v>309</v>
      </c>
      <c r="Q848" t="s">
        <v>39</v>
      </c>
      <c r="R848" t="s">
        <v>40</v>
      </c>
      <c r="S848">
        <v>0</v>
      </c>
      <c r="U848" t="s">
        <v>41</v>
      </c>
      <c r="V848" t="s">
        <v>42</v>
      </c>
      <c r="X848" t="s">
        <v>74</v>
      </c>
      <c r="Y848" t="b">
        <v>0</v>
      </c>
      <c r="Z848" t="b">
        <v>0</v>
      </c>
      <c r="AC848" s="1"/>
      <c r="AF848">
        <v>0</v>
      </c>
      <c r="AG848">
        <v>45</v>
      </c>
      <c r="AH848">
        <v>305</v>
      </c>
      <c r="AI848" s="2">
        <f>Table__192.168.3.138DYLAgingReport[[#This Row],[NetAmount]]-Table__192.168.3.138DYLAgingReport[[#This Row],[Paid]]</f>
        <v>136104</v>
      </c>
    </row>
    <row r="849" spans="1:35">
      <c r="A849" t="s">
        <v>2021</v>
      </c>
      <c r="B849" s="1">
        <v>41004</v>
      </c>
      <c r="C849" s="1">
        <v>41049</v>
      </c>
      <c r="D849" t="s">
        <v>259</v>
      </c>
      <c r="E849">
        <v>7932</v>
      </c>
      <c r="F849">
        <v>1269</v>
      </c>
      <c r="G849">
        <v>0</v>
      </c>
      <c r="H849">
        <v>0</v>
      </c>
      <c r="I849">
        <v>265</v>
      </c>
      <c r="J849">
        <v>9201</v>
      </c>
      <c r="K849" t="s">
        <v>2022</v>
      </c>
      <c r="L849" s="1">
        <v>41003</v>
      </c>
      <c r="N849" t="s">
        <v>36</v>
      </c>
      <c r="O849" t="s">
        <v>37</v>
      </c>
      <c r="P849" t="s">
        <v>396</v>
      </c>
      <c r="Q849" t="s">
        <v>39</v>
      </c>
      <c r="R849" t="s">
        <v>40</v>
      </c>
      <c r="S849">
        <v>0</v>
      </c>
      <c r="U849" t="s">
        <v>41</v>
      </c>
      <c r="V849" t="s">
        <v>42</v>
      </c>
      <c r="X849" t="s">
        <v>74</v>
      </c>
      <c r="Y849" t="b">
        <v>0</v>
      </c>
      <c r="Z849" t="b">
        <v>0</v>
      </c>
      <c r="AC849" s="1"/>
      <c r="AF849">
        <v>0</v>
      </c>
      <c r="AG849">
        <v>45</v>
      </c>
      <c r="AH849">
        <v>310</v>
      </c>
      <c r="AI849" s="2">
        <f>Table__192.168.3.138DYLAgingReport[[#This Row],[NetAmount]]-Table__192.168.3.138DYLAgingReport[[#This Row],[Paid]]</f>
        <v>9201</v>
      </c>
    </row>
    <row r="850" spans="1:35">
      <c r="A850" t="s">
        <v>2023</v>
      </c>
      <c r="B850" s="1">
        <v>41005</v>
      </c>
      <c r="C850" s="1">
        <v>41050</v>
      </c>
      <c r="D850" t="s">
        <v>259</v>
      </c>
      <c r="E850">
        <v>9915</v>
      </c>
      <c r="F850">
        <v>1586</v>
      </c>
      <c r="G850">
        <v>0</v>
      </c>
      <c r="H850">
        <v>0</v>
      </c>
      <c r="I850">
        <v>263</v>
      </c>
      <c r="J850">
        <v>11501</v>
      </c>
      <c r="K850" t="s">
        <v>2024</v>
      </c>
      <c r="L850" s="1">
        <v>41005</v>
      </c>
      <c r="N850" t="s">
        <v>36</v>
      </c>
      <c r="O850" t="s">
        <v>37</v>
      </c>
      <c r="P850" t="s">
        <v>396</v>
      </c>
      <c r="Q850" t="s">
        <v>39</v>
      </c>
      <c r="R850" t="s">
        <v>40</v>
      </c>
      <c r="S850">
        <v>0</v>
      </c>
      <c r="U850" t="s">
        <v>41</v>
      </c>
      <c r="V850" t="s">
        <v>42</v>
      </c>
      <c r="X850" t="s">
        <v>74</v>
      </c>
      <c r="Y850" t="b">
        <v>0</v>
      </c>
      <c r="Z850" t="b">
        <v>0</v>
      </c>
      <c r="AC850" s="1"/>
      <c r="AF850">
        <v>0</v>
      </c>
      <c r="AG850">
        <v>45</v>
      </c>
      <c r="AH850">
        <v>308</v>
      </c>
      <c r="AI850" s="2">
        <f>Table__192.168.3.138DYLAgingReport[[#This Row],[NetAmount]]-Table__192.168.3.138DYLAgingReport[[#This Row],[Paid]]</f>
        <v>11501</v>
      </c>
    </row>
    <row r="851" spans="1:35">
      <c r="A851" t="s">
        <v>2025</v>
      </c>
      <c r="B851" s="1">
        <v>41004</v>
      </c>
      <c r="C851" s="1">
        <v>41049</v>
      </c>
      <c r="D851" t="s">
        <v>270</v>
      </c>
      <c r="E851">
        <v>17500</v>
      </c>
      <c r="F851">
        <v>2800</v>
      </c>
      <c r="G851">
        <v>0</v>
      </c>
      <c r="H851">
        <v>0</v>
      </c>
      <c r="I851">
        <v>279</v>
      </c>
      <c r="J851">
        <v>20300</v>
      </c>
      <c r="K851" t="s">
        <v>2026</v>
      </c>
      <c r="L851" s="1">
        <v>41004</v>
      </c>
      <c r="N851" t="s">
        <v>36</v>
      </c>
      <c r="O851" t="s">
        <v>37</v>
      </c>
      <c r="P851" t="s">
        <v>407</v>
      </c>
      <c r="Q851" t="s">
        <v>39</v>
      </c>
      <c r="R851" t="s">
        <v>40</v>
      </c>
      <c r="S851">
        <v>0</v>
      </c>
      <c r="U851" t="s">
        <v>41</v>
      </c>
      <c r="V851" t="s">
        <v>42</v>
      </c>
      <c r="X851" t="s">
        <v>74</v>
      </c>
      <c r="Y851" t="b">
        <v>0</v>
      </c>
      <c r="Z851" t="b">
        <v>0</v>
      </c>
      <c r="AB851" t="s">
        <v>2027</v>
      </c>
      <c r="AC851" s="1">
        <v>41225</v>
      </c>
      <c r="AF851">
        <v>0</v>
      </c>
      <c r="AG851">
        <v>30</v>
      </c>
      <c r="AH851">
        <v>309</v>
      </c>
      <c r="AI851" s="2">
        <f>Table__192.168.3.138DYLAgingReport[[#This Row],[NetAmount]]-Table__192.168.3.138DYLAgingReport[[#This Row],[Paid]]</f>
        <v>20300</v>
      </c>
    </row>
    <row r="852" spans="1:35">
      <c r="A852" t="s">
        <v>2028</v>
      </c>
      <c r="B852" s="1">
        <v>41005</v>
      </c>
      <c r="C852" s="1">
        <v>41050</v>
      </c>
      <c r="D852" t="s">
        <v>270</v>
      </c>
      <c r="E852">
        <v>17500</v>
      </c>
      <c r="F852">
        <v>2800</v>
      </c>
      <c r="G852">
        <v>0</v>
      </c>
      <c r="H852">
        <v>0</v>
      </c>
      <c r="I852">
        <v>278</v>
      </c>
      <c r="J852">
        <v>20300</v>
      </c>
      <c r="K852" t="s">
        <v>2029</v>
      </c>
      <c r="L852" s="1">
        <v>41005</v>
      </c>
      <c r="N852" t="s">
        <v>36</v>
      </c>
      <c r="O852" t="s">
        <v>37</v>
      </c>
      <c r="P852" t="s">
        <v>407</v>
      </c>
      <c r="Q852" t="s">
        <v>39</v>
      </c>
      <c r="R852" t="s">
        <v>40</v>
      </c>
      <c r="S852">
        <v>0</v>
      </c>
      <c r="U852" t="s">
        <v>41</v>
      </c>
      <c r="V852" t="s">
        <v>42</v>
      </c>
      <c r="X852" t="s">
        <v>74</v>
      </c>
      <c r="Y852" t="b">
        <v>0</v>
      </c>
      <c r="Z852" t="b">
        <v>0</v>
      </c>
      <c r="AB852" t="s">
        <v>2027</v>
      </c>
      <c r="AC852" s="1">
        <v>41225</v>
      </c>
      <c r="AF852">
        <v>0</v>
      </c>
      <c r="AG852">
        <v>30</v>
      </c>
      <c r="AH852">
        <v>308</v>
      </c>
      <c r="AI852" s="2">
        <f>Table__192.168.3.138DYLAgingReport[[#This Row],[NetAmount]]-Table__192.168.3.138DYLAgingReport[[#This Row],[Paid]]</f>
        <v>20300</v>
      </c>
    </row>
    <row r="853" spans="1:35">
      <c r="A853" t="s">
        <v>2030</v>
      </c>
      <c r="B853" s="1">
        <v>41006</v>
      </c>
      <c r="C853" s="1">
        <v>41051</v>
      </c>
      <c r="D853" t="s">
        <v>270</v>
      </c>
      <c r="E853">
        <v>17500</v>
      </c>
      <c r="F853">
        <v>2800</v>
      </c>
      <c r="G853">
        <v>0</v>
      </c>
      <c r="H853">
        <v>0</v>
      </c>
      <c r="I853">
        <v>277</v>
      </c>
      <c r="J853">
        <v>20300</v>
      </c>
      <c r="K853" t="s">
        <v>2031</v>
      </c>
      <c r="L853" s="1">
        <v>41006</v>
      </c>
      <c r="N853" t="s">
        <v>36</v>
      </c>
      <c r="O853" t="s">
        <v>37</v>
      </c>
      <c r="P853" t="s">
        <v>407</v>
      </c>
      <c r="Q853" t="s">
        <v>39</v>
      </c>
      <c r="R853" t="s">
        <v>40</v>
      </c>
      <c r="S853">
        <v>0</v>
      </c>
      <c r="U853" t="s">
        <v>41</v>
      </c>
      <c r="V853" t="s">
        <v>42</v>
      </c>
      <c r="X853" t="s">
        <v>74</v>
      </c>
      <c r="Y853" t="b">
        <v>0</v>
      </c>
      <c r="Z853" t="b">
        <v>0</v>
      </c>
      <c r="AB853" t="s">
        <v>2027</v>
      </c>
      <c r="AC853" s="1">
        <v>41225</v>
      </c>
      <c r="AF853">
        <v>0</v>
      </c>
      <c r="AG853">
        <v>30</v>
      </c>
      <c r="AH853">
        <v>307</v>
      </c>
      <c r="AI853" s="2">
        <f>Table__192.168.3.138DYLAgingReport[[#This Row],[NetAmount]]-Table__192.168.3.138DYLAgingReport[[#This Row],[Paid]]</f>
        <v>20300</v>
      </c>
    </row>
    <row r="854" spans="1:35">
      <c r="A854" t="s">
        <v>2032</v>
      </c>
      <c r="B854" s="1">
        <v>41008</v>
      </c>
      <c r="C854" s="1">
        <v>41053</v>
      </c>
      <c r="D854" t="s">
        <v>270</v>
      </c>
      <c r="E854">
        <v>17500</v>
      </c>
      <c r="F854">
        <v>2800</v>
      </c>
      <c r="G854">
        <v>0</v>
      </c>
      <c r="H854">
        <v>0</v>
      </c>
      <c r="I854">
        <v>275</v>
      </c>
      <c r="J854">
        <v>20300</v>
      </c>
      <c r="K854" t="s">
        <v>2033</v>
      </c>
      <c r="L854" s="1">
        <v>41008</v>
      </c>
      <c r="N854" t="s">
        <v>36</v>
      </c>
      <c r="O854" t="s">
        <v>37</v>
      </c>
      <c r="P854" t="s">
        <v>407</v>
      </c>
      <c r="Q854" t="s">
        <v>39</v>
      </c>
      <c r="R854" t="s">
        <v>40</v>
      </c>
      <c r="S854">
        <v>0</v>
      </c>
      <c r="U854" t="s">
        <v>41</v>
      </c>
      <c r="V854" t="s">
        <v>42</v>
      </c>
      <c r="X854" t="s">
        <v>74</v>
      </c>
      <c r="Y854" t="b">
        <v>0</v>
      </c>
      <c r="Z854" t="b">
        <v>0</v>
      </c>
      <c r="AB854" t="s">
        <v>2027</v>
      </c>
      <c r="AC854" s="1">
        <v>41225</v>
      </c>
      <c r="AF854">
        <v>0</v>
      </c>
      <c r="AG854">
        <v>30</v>
      </c>
      <c r="AH854">
        <v>305</v>
      </c>
      <c r="AI854" s="2">
        <f>Table__192.168.3.138DYLAgingReport[[#This Row],[NetAmount]]-Table__192.168.3.138DYLAgingReport[[#This Row],[Paid]]</f>
        <v>20300</v>
      </c>
    </row>
    <row r="855" spans="1:35">
      <c r="A855" t="s">
        <v>2034</v>
      </c>
      <c r="B855" s="1">
        <v>41003</v>
      </c>
      <c r="C855" s="1">
        <v>41048</v>
      </c>
      <c r="D855" t="s">
        <v>205</v>
      </c>
      <c r="E855">
        <v>663300</v>
      </c>
      <c r="F855">
        <v>106128</v>
      </c>
      <c r="G855">
        <v>0</v>
      </c>
      <c r="H855">
        <v>0</v>
      </c>
      <c r="I855">
        <v>266</v>
      </c>
      <c r="J855">
        <v>769428</v>
      </c>
      <c r="K855" t="s">
        <v>2035</v>
      </c>
      <c r="L855" s="1">
        <v>41002</v>
      </c>
      <c r="N855" t="s">
        <v>36</v>
      </c>
      <c r="O855" t="s">
        <v>37</v>
      </c>
      <c r="P855" t="s">
        <v>342</v>
      </c>
      <c r="Q855" t="s">
        <v>39</v>
      </c>
      <c r="R855" t="s">
        <v>40</v>
      </c>
      <c r="S855">
        <v>0</v>
      </c>
      <c r="U855" t="s">
        <v>41</v>
      </c>
      <c r="V855" t="s">
        <v>42</v>
      </c>
      <c r="X855" t="s">
        <v>74</v>
      </c>
      <c r="Y855" t="b">
        <v>0</v>
      </c>
      <c r="Z855" t="b">
        <v>0</v>
      </c>
      <c r="AC855" s="1"/>
      <c r="AF855">
        <v>0</v>
      </c>
      <c r="AG855">
        <v>45</v>
      </c>
      <c r="AH855">
        <v>311</v>
      </c>
      <c r="AI855" s="2">
        <f>Table__192.168.3.138DYLAgingReport[[#This Row],[NetAmount]]-Table__192.168.3.138DYLAgingReport[[#This Row],[Paid]]</f>
        <v>769428</v>
      </c>
    </row>
    <row r="856" spans="1:35">
      <c r="A856" t="s">
        <v>2036</v>
      </c>
      <c r="B856" s="1">
        <v>41006</v>
      </c>
      <c r="C856" s="1">
        <v>41051</v>
      </c>
      <c r="D856" t="s">
        <v>194</v>
      </c>
      <c r="E856">
        <v>536</v>
      </c>
      <c r="F856">
        <v>86</v>
      </c>
      <c r="G856">
        <v>0</v>
      </c>
      <c r="H856">
        <v>0</v>
      </c>
      <c r="I856">
        <v>262</v>
      </c>
      <c r="J856">
        <v>622</v>
      </c>
      <c r="K856" t="s">
        <v>1604</v>
      </c>
      <c r="L856" s="1">
        <v>41006</v>
      </c>
      <c r="N856" t="s">
        <v>36</v>
      </c>
      <c r="O856" t="s">
        <v>37</v>
      </c>
      <c r="P856" t="s">
        <v>331</v>
      </c>
      <c r="Q856" t="s">
        <v>39</v>
      </c>
      <c r="R856" t="s">
        <v>40</v>
      </c>
      <c r="S856">
        <v>0</v>
      </c>
      <c r="U856" t="s">
        <v>41</v>
      </c>
      <c r="V856" t="s">
        <v>42</v>
      </c>
      <c r="X856" t="s">
        <v>74</v>
      </c>
      <c r="Y856" t="b">
        <v>0</v>
      </c>
      <c r="Z856" t="b">
        <v>0</v>
      </c>
      <c r="AC856" s="1"/>
      <c r="AF856">
        <v>0</v>
      </c>
      <c r="AG856">
        <v>45</v>
      </c>
      <c r="AH856">
        <v>307</v>
      </c>
      <c r="AI856" s="2">
        <f>Table__192.168.3.138DYLAgingReport[[#This Row],[NetAmount]]-Table__192.168.3.138DYLAgingReport[[#This Row],[Paid]]</f>
        <v>622</v>
      </c>
    </row>
    <row r="857" spans="1:35">
      <c r="A857" t="s">
        <v>2037</v>
      </c>
      <c r="B857" s="1">
        <v>41016</v>
      </c>
      <c r="C857" s="1">
        <v>41061</v>
      </c>
      <c r="D857" t="s">
        <v>166</v>
      </c>
      <c r="E857">
        <v>43750</v>
      </c>
      <c r="F857">
        <v>7000</v>
      </c>
      <c r="G857">
        <v>0</v>
      </c>
      <c r="H857">
        <v>0</v>
      </c>
      <c r="I857">
        <v>255</v>
      </c>
      <c r="J857">
        <v>50750</v>
      </c>
      <c r="K857" t="s">
        <v>2038</v>
      </c>
      <c r="L857" s="1">
        <v>41013</v>
      </c>
      <c r="N857" t="s">
        <v>36</v>
      </c>
      <c r="O857" t="s">
        <v>37</v>
      </c>
      <c r="P857" t="s">
        <v>303</v>
      </c>
      <c r="Q857" t="s">
        <v>39</v>
      </c>
      <c r="R857" t="s">
        <v>40</v>
      </c>
      <c r="S857">
        <v>0</v>
      </c>
      <c r="U857" t="s">
        <v>41</v>
      </c>
      <c r="V857" t="s">
        <v>42</v>
      </c>
      <c r="X857" t="s">
        <v>74</v>
      </c>
      <c r="Y857" t="b">
        <v>0</v>
      </c>
      <c r="Z857" t="b">
        <v>0</v>
      </c>
      <c r="AB857" t="s">
        <v>2039</v>
      </c>
      <c r="AC857" s="1">
        <v>41269</v>
      </c>
      <c r="AF857">
        <v>0</v>
      </c>
      <c r="AG857">
        <v>45</v>
      </c>
      <c r="AH857">
        <v>300</v>
      </c>
      <c r="AI857" s="2">
        <f>Table__192.168.3.138DYLAgingReport[[#This Row],[NetAmount]]-Table__192.168.3.138DYLAgingReport[[#This Row],[Paid]]</f>
        <v>50750</v>
      </c>
    </row>
    <row r="858" spans="1:35">
      <c r="A858" t="s">
        <v>2040</v>
      </c>
      <c r="B858" s="1">
        <v>41005</v>
      </c>
      <c r="C858" s="1">
        <v>41050</v>
      </c>
      <c r="D858" t="s">
        <v>268</v>
      </c>
      <c r="E858">
        <v>164000</v>
      </c>
      <c r="F858">
        <v>26240</v>
      </c>
      <c r="G858">
        <v>0</v>
      </c>
      <c r="H858">
        <v>0</v>
      </c>
      <c r="I858">
        <v>262</v>
      </c>
      <c r="J858">
        <v>190240</v>
      </c>
      <c r="K858" t="s">
        <v>2041</v>
      </c>
      <c r="L858" s="1">
        <v>41006</v>
      </c>
      <c r="N858" t="s">
        <v>36</v>
      </c>
      <c r="O858" t="s">
        <v>37</v>
      </c>
      <c r="P858" t="s">
        <v>405</v>
      </c>
      <c r="Q858" t="s">
        <v>39</v>
      </c>
      <c r="R858" t="s">
        <v>40</v>
      </c>
      <c r="S858">
        <v>0</v>
      </c>
      <c r="U858" t="s">
        <v>41</v>
      </c>
      <c r="V858" t="s">
        <v>42</v>
      </c>
      <c r="X858" t="s">
        <v>74</v>
      </c>
      <c r="Y858" t="b">
        <v>0</v>
      </c>
      <c r="Z858" t="b">
        <v>0</v>
      </c>
      <c r="AB858" t="s">
        <v>638</v>
      </c>
      <c r="AC858" s="1">
        <v>41219</v>
      </c>
      <c r="AF858">
        <v>0</v>
      </c>
      <c r="AG858">
        <v>45</v>
      </c>
      <c r="AH858">
        <v>307</v>
      </c>
      <c r="AI858" s="2">
        <f>Table__192.168.3.138DYLAgingReport[[#This Row],[NetAmount]]-Table__192.168.3.138DYLAgingReport[[#This Row],[Paid]]</f>
        <v>190240</v>
      </c>
    </row>
    <row r="859" spans="1:35">
      <c r="A859" t="s">
        <v>2042</v>
      </c>
      <c r="B859" s="1">
        <v>41013</v>
      </c>
      <c r="C859" s="1">
        <v>41058</v>
      </c>
      <c r="D859" t="s">
        <v>270</v>
      </c>
      <c r="E859">
        <v>418000</v>
      </c>
      <c r="F859">
        <v>66880</v>
      </c>
      <c r="G859">
        <v>0</v>
      </c>
      <c r="H859">
        <v>0</v>
      </c>
      <c r="I859">
        <v>270</v>
      </c>
      <c r="J859">
        <v>484880</v>
      </c>
      <c r="K859" t="s">
        <v>2043</v>
      </c>
      <c r="L859" s="1">
        <v>41013</v>
      </c>
      <c r="N859" t="s">
        <v>36</v>
      </c>
      <c r="O859" t="s">
        <v>37</v>
      </c>
      <c r="P859" t="s">
        <v>407</v>
      </c>
      <c r="Q859" t="s">
        <v>39</v>
      </c>
      <c r="R859" t="s">
        <v>40</v>
      </c>
      <c r="S859">
        <v>0</v>
      </c>
      <c r="U859" t="s">
        <v>41</v>
      </c>
      <c r="V859" t="s">
        <v>42</v>
      </c>
      <c r="X859" t="s">
        <v>74</v>
      </c>
      <c r="Y859" t="b">
        <v>0</v>
      </c>
      <c r="Z859" t="b">
        <v>0</v>
      </c>
      <c r="AB859" t="s">
        <v>2027</v>
      </c>
      <c r="AC859" s="1">
        <v>41225</v>
      </c>
      <c r="AF859">
        <v>0</v>
      </c>
      <c r="AG859">
        <v>30</v>
      </c>
      <c r="AH859">
        <v>300</v>
      </c>
      <c r="AI859" s="2">
        <f>Table__192.168.3.138DYLAgingReport[[#This Row],[NetAmount]]-Table__192.168.3.138DYLAgingReport[[#This Row],[Paid]]</f>
        <v>484880</v>
      </c>
    </row>
    <row r="860" spans="1:35">
      <c r="A860" t="s">
        <v>2044</v>
      </c>
      <c r="B860" s="1">
        <v>41011</v>
      </c>
      <c r="C860" s="1">
        <v>41056</v>
      </c>
      <c r="D860" t="s">
        <v>270</v>
      </c>
      <c r="E860">
        <v>10500</v>
      </c>
      <c r="F860">
        <v>1680</v>
      </c>
      <c r="G860">
        <v>0</v>
      </c>
      <c r="H860">
        <v>0</v>
      </c>
      <c r="I860">
        <v>272</v>
      </c>
      <c r="J860">
        <v>12180</v>
      </c>
      <c r="K860" t="s">
        <v>2045</v>
      </c>
      <c r="L860" s="1">
        <v>41011</v>
      </c>
      <c r="N860" t="s">
        <v>36</v>
      </c>
      <c r="O860" t="s">
        <v>37</v>
      </c>
      <c r="P860" t="s">
        <v>407</v>
      </c>
      <c r="Q860" t="s">
        <v>39</v>
      </c>
      <c r="R860" t="s">
        <v>40</v>
      </c>
      <c r="S860">
        <v>0</v>
      </c>
      <c r="U860" t="s">
        <v>41</v>
      </c>
      <c r="V860" t="s">
        <v>42</v>
      </c>
      <c r="X860" t="s">
        <v>74</v>
      </c>
      <c r="Y860" t="b">
        <v>0</v>
      </c>
      <c r="Z860" t="b">
        <v>0</v>
      </c>
      <c r="AB860" t="s">
        <v>2027</v>
      </c>
      <c r="AC860" s="1">
        <v>41225</v>
      </c>
      <c r="AF860">
        <v>0</v>
      </c>
      <c r="AG860">
        <v>30</v>
      </c>
      <c r="AH860">
        <v>302</v>
      </c>
      <c r="AI860" s="2">
        <f>Table__192.168.3.138DYLAgingReport[[#This Row],[NetAmount]]-Table__192.168.3.138DYLAgingReport[[#This Row],[Paid]]</f>
        <v>12180</v>
      </c>
    </row>
    <row r="861" spans="1:35">
      <c r="A861" t="s">
        <v>2046</v>
      </c>
      <c r="B861" s="1">
        <v>41013</v>
      </c>
      <c r="C861" s="1">
        <v>41058</v>
      </c>
      <c r="D861" t="s">
        <v>270</v>
      </c>
      <c r="E861">
        <v>17500</v>
      </c>
      <c r="F861">
        <v>2800</v>
      </c>
      <c r="G861">
        <v>0</v>
      </c>
      <c r="H861">
        <v>0</v>
      </c>
      <c r="I861">
        <v>270</v>
      </c>
      <c r="J861">
        <v>20300</v>
      </c>
      <c r="K861" t="s">
        <v>2047</v>
      </c>
      <c r="L861" s="1">
        <v>41013</v>
      </c>
      <c r="N861" t="s">
        <v>36</v>
      </c>
      <c r="O861" t="s">
        <v>37</v>
      </c>
      <c r="P861" t="s">
        <v>407</v>
      </c>
      <c r="Q861" t="s">
        <v>39</v>
      </c>
      <c r="R861" t="s">
        <v>40</v>
      </c>
      <c r="S861">
        <v>0</v>
      </c>
      <c r="U861" t="s">
        <v>41</v>
      </c>
      <c r="V861" t="s">
        <v>42</v>
      </c>
      <c r="X861" t="s">
        <v>74</v>
      </c>
      <c r="Y861" t="b">
        <v>0</v>
      </c>
      <c r="Z861" t="b">
        <v>0</v>
      </c>
      <c r="AB861" t="s">
        <v>2027</v>
      </c>
      <c r="AC861" s="1">
        <v>41225</v>
      </c>
      <c r="AF861">
        <v>0</v>
      </c>
      <c r="AG861">
        <v>30</v>
      </c>
      <c r="AH861">
        <v>300</v>
      </c>
      <c r="AI861" s="2">
        <f>Table__192.168.3.138DYLAgingReport[[#This Row],[NetAmount]]-Table__192.168.3.138DYLAgingReport[[#This Row],[Paid]]</f>
        <v>20300</v>
      </c>
    </row>
    <row r="862" spans="1:35">
      <c r="A862" t="s">
        <v>2048</v>
      </c>
      <c r="B862" s="1">
        <v>41012</v>
      </c>
      <c r="C862" s="1">
        <v>41057</v>
      </c>
      <c r="D862" t="s">
        <v>270</v>
      </c>
      <c r="E862">
        <v>14000</v>
      </c>
      <c r="F862">
        <v>2240</v>
      </c>
      <c r="G862">
        <v>0</v>
      </c>
      <c r="H862">
        <v>0</v>
      </c>
      <c r="I862">
        <v>271</v>
      </c>
      <c r="J862">
        <v>16240</v>
      </c>
      <c r="K862" t="s">
        <v>2049</v>
      </c>
      <c r="L862" s="1">
        <v>41012</v>
      </c>
      <c r="N862" t="s">
        <v>36</v>
      </c>
      <c r="O862" t="s">
        <v>37</v>
      </c>
      <c r="P862" t="s">
        <v>407</v>
      </c>
      <c r="Q862" t="s">
        <v>39</v>
      </c>
      <c r="R862" t="s">
        <v>40</v>
      </c>
      <c r="S862">
        <v>0</v>
      </c>
      <c r="U862" t="s">
        <v>41</v>
      </c>
      <c r="V862" t="s">
        <v>42</v>
      </c>
      <c r="X862" t="s">
        <v>74</v>
      </c>
      <c r="Y862" t="b">
        <v>0</v>
      </c>
      <c r="Z862" t="b">
        <v>0</v>
      </c>
      <c r="AB862" t="s">
        <v>2027</v>
      </c>
      <c r="AC862" s="1">
        <v>41225</v>
      </c>
      <c r="AF862">
        <v>0</v>
      </c>
      <c r="AG862">
        <v>30</v>
      </c>
      <c r="AH862">
        <v>301</v>
      </c>
      <c r="AI862" s="2">
        <f>Table__192.168.3.138DYLAgingReport[[#This Row],[NetAmount]]-Table__192.168.3.138DYLAgingReport[[#This Row],[Paid]]</f>
        <v>16240</v>
      </c>
    </row>
    <row r="863" spans="1:35">
      <c r="A863" t="s">
        <v>2050</v>
      </c>
      <c r="B863" s="1">
        <v>41010</v>
      </c>
      <c r="C863" s="1">
        <v>41055</v>
      </c>
      <c r="D863" t="s">
        <v>270</v>
      </c>
      <c r="E863">
        <v>15750</v>
      </c>
      <c r="F863">
        <v>2520</v>
      </c>
      <c r="G863">
        <v>0</v>
      </c>
      <c r="H863">
        <v>0</v>
      </c>
      <c r="I863">
        <v>273</v>
      </c>
      <c r="J863">
        <v>18270</v>
      </c>
      <c r="K863" t="s">
        <v>991</v>
      </c>
      <c r="L863" s="1">
        <v>41010</v>
      </c>
      <c r="N863" t="s">
        <v>36</v>
      </c>
      <c r="O863" t="s">
        <v>37</v>
      </c>
      <c r="P863" t="s">
        <v>407</v>
      </c>
      <c r="Q863" t="s">
        <v>39</v>
      </c>
      <c r="R863" t="s">
        <v>40</v>
      </c>
      <c r="S863">
        <v>0</v>
      </c>
      <c r="U863" t="s">
        <v>41</v>
      </c>
      <c r="V863" t="s">
        <v>42</v>
      </c>
      <c r="X863" t="s">
        <v>74</v>
      </c>
      <c r="Y863" t="b">
        <v>0</v>
      </c>
      <c r="Z863" t="b">
        <v>0</v>
      </c>
      <c r="AB863" t="s">
        <v>2027</v>
      </c>
      <c r="AC863" s="1">
        <v>41225</v>
      </c>
      <c r="AF863">
        <v>0</v>
      </c>
      <c r="AG863">
        <v>30</v>
      </c>
      <c r="AH863">
        <v>303</v>
      </c>
      <c r="AI863" s="2">
        <f>Table__192.168.3.138DYLAgingReport[[#This Row],[NetAmount]]-Table__192.168.3.138DYLAgingReport[[#This Row],[Paid]]</f>
        <v>18270</v>
      </c>
    </row>
    <row r="864" spans="1:35">
      <c r="A864" t="s">
        <v>2051</v>
      </c>
      <c r="B864" s="1">
        <v>41015</v>
      </c>
      <c r="C864" s="1">
        <v>41060</v>
      </c>
      <c r="D864" t="s">
        <v>270</v>
      </c>
      <c r="E864">
        <v>15750</v>
      </c>
      <c r="F864">
        <v>2520</v>
      </c>
      <c r="G864">
        <v>0</v>
      </c>
      <c r="H864">
        <v>0</v>
      </c>
      <c r="I864">
        <v>268</v>
      </c>
      <c r="J864">
        <v>18270</v>
      </c>
      <c r="K864" t="s">
        <v>2052</v>
      </c>
      <c r="L864" s="1">
        <v>41015</v>
      </c>
      <c r="N864" t="s">
        <v>36</v>
      </c>
      <c r="O864" t="s">
        <v>37</v>
      </c>
      <c r="P864" t="s">
        <v>407</v>
      </c>
      <c r="Q864" t="s">
        <v>39</v>
      </c>
      <c r="R864" t="s">
        <v>40</v>
      </c>
      <c r="S864">
        <v>0</v>
      </c>
      <c r="U864" t="s">
        <v>41</v>
      </c>
      <c r="V864" t="s">
        <v>42</v>
      </c>
      <c r="X864" t="s">
        <v>74</v>
      </c>
      <c r="Y864" t="b">
        <v>0</v>
      </c>
      <c r="Z864" t="b">
        <v>0</v>
      </c>
      <c r="AB864" t="s">
        <v>2027</v>
      </c>
      <c r="AC864" s="1">
        <v>41225</v>
      </c>
      <c r="AF864">
        <v>0</v>
      </c>
      <c r="AG864">
        <v>30</v>
      </c>
      <c r="AH864">
        <v>298</v>
      </c>
      <c r="AI864" s="2">
        <f>Table__192.168.3.138DYLAgingReport[[#This Row],[NetAmount]]-Table__192.168.3.138DYLAgingReport[[#This Row],[Paid]]</f>
        <v>18270</v>
      </c>
    </row>
    <row r="865" spans="1:35">
      <c r="A865" t="s">
        <v>2053</v>
      </c>
      <c r="B865" s="1">
        <v>41012</v>
      </c>
      <c r="C865" s="1">
        <v>41057</v>
      </c>
      <c r="D865" t="s">
        <v>268</v>
      </c>
      <c r="E865">
        <v>25750</v>
      </c>
      <c r="F865">
        <v>4120</v>
      </c>
      <c r="G865">
        <v>0</v>
      </c>
      <c r="H865">
        <v>0</v>
      </c>
      <c r="I865">
        <v>255</v>
      </c>
      <c r="J865">
        <v>29870</v>
      </c>
      <c r="K865" t="s">
        <v>2054</v>
      </c>
      <c r="L865" s="1">
        <v>41013</v>
      </c>
      <c r="N865" t="s">
        <v>36</v>
      </c>
      <c r="O865" t="s">
        <v>37</v>
      </c>
      <c r="P865" t="s">
        <v>405</v>
      </c>
      <c r="Q865" t="s">
        <v>39</v>
      </c>
      <c r="R865" t="s">
        <v>40</v>
      </c>
      <c r="S865">
        <v>0</v>
      </c>
      <c r="U865" t="s">
        <v>41</v>
      </c>
      <c r="V865" t="s">
        <v>42</v>
      </c>
      <c r="X865" t="s">
        <v>74</v>
      </c>
      <c r="Y865" t="b">
        <v>0</v>
      </c>
      <c r="Z865" t="b">
        <v>0</v>
      </c>
      <c r="AB865" t="s">
        <v>638</v>
      </c>
      <c r="AC865" s="1">
        <v>41219</v>
      </c>
      <c r="AF865">
        <v>0</v>
      </c>
      <c r="AG865">
        <v>45</v>
      </c>
      <c r="AH865">
        <v>300</v>
      </c>
      <c r="AI865" s="2">
        <f>Table__192.168.3.138DYLAgingReport[[#This Row],[NetAmount]]-Table__192.168.3.138DYLAgingReport[[#This Row],[Paid]]</f>
        <v>29870</v>
      </c>
    </row>
    <row r="866" spans="1:35">
      <c r="A866" t="s">
        <v>2055</v>
      </c>
      <c r="B866" s="1">
        <v>41015</v>
      </c>
      <c r="C866" s="1">
        <v>41060</v>
      </c>
      <c r="D866" t="s">
        <v>208</v>
      </c>
      <c r="E866">
        <v>484914</v>
      </c>
      <c r="F866">
        <v>77586</v>
      </c>
      <c r="G866">
        <v>0</v>
      </c>
      <c r="H866">
        <v>0</v>
      </c>
      <c r="I866">
        <v>260</v>
      </c>
      <c r="J866">
        <v>562500</v>
      </c>
      <c r="K866" t="s">
        <v>2056</v>
      </c>
      <c r="L866" s="1">
        <v>41008</v>
      </c>
      <c r="N866" t="s">
        <v>36</v>
      </c>
      <c r="O866" t="s">
        <v>37</v>
      </c>
      <c r="P866" t="s">
        <v>345</v>
      </c>
      <c r="Q866" t="s">
        <v>39</v>
      </c>
      <c r="R866" t="s">
        <v>40</v>
      </c>
      <c r="S866">
        <v>0</v>
      </c>
      <c r="U866" t="s">
        <v>41</v>
      </c>
      <c r="V866" t="s">
        <v>42</v>
      </c>
      <c r="X866" t="s">
        <v>74</v>
      </c>
      <c r="Y866" t="b">
        <v>0</v>
      </c>
      <c r="Z866" t="b">
        <v>0</v>
      </c>
      <c r="AB866" t="s">
        <v>604</v>
      </c>
      <c r="AC866" s="1">
        <v>41306</v>
      </c>
      <c r="AD866" t="s">
        <v>5353</v>
      </c>
      <c r="AE866" t="s">
        <v>5338</v>
      </c>
      <c r="AF866">
        <v>278886</v>
      </c>
      <c r="AG866">
        <v>45</v>
      </c>
      <c r="AH866">
        <v>305</v>
      </c>
      <c r="AI866" s="2">
        <f>Table__192.168.3.138DYLAgingReport[[#This Row],[NetAmount]]-Table__192.168.3.138DYLAgingReport[[#This Row],[Paid]]</f>
        <v>283614</v>
      </c>
    </row>
    <row r="867" spans="1:35">
      <c r="A867" t="s">
        <v>2057</v>
      </c>
      <c r="B867" s="1">
        <v>41003</v>
      </c>
      <c r="C867" s="1">
        <v>41048</v>
      </c>
      <c r="D867" t="s">
        <v>569</v>
      </c>
      <c r="E867">
        <v>24789</v>
      </c>
      <c r="F867">
        <v>3966</v>
      </c>
      <c r="G867">
        <v>0</v>
      </c>
      <c r="H867">
        <v>0</v>
      </c>
      <c r="I867">
        <v>265</v>
      </c>
      <c r="J867">
        <v>28755</v>
      </c>
      <c r="K867" t="s">
        <v>2058</v>
      </c>
      <c r="L867" s="1">
        <v>41003</v>
      </c>
      <c r="N867" t="s">
        <v>36</v>
      </c>
      <c r="O867" t="s">
        <v>37</v>
      </c>
      <c r="P867" t="s">
        <v>433</v>
      </c>
      <c r="Q867" t="s">
        <v>39</v>
      </c>
      <c r="R867" t="s">
        <v>40</v>
      </c>
      <c r="S867">
        <v>0</v>
      </c>
      <c r="U867" t="s">
        <v>41</v>
      </c>
      <c r="V867" t="s">
        <v>42</v>
      </c>
      <c r="X867" t="s">
        <v>74</v>
      </c>
      <c r="Y867" t="b">
        <v>0</v>
      </c>
      <c r="Z867" t="b">
        <v>0</v>
      </c>
      <c r="AB867" t="s">
        <v>607</v>
      </c>
      <c r="AC867" s="1">
        <v>41215</v>
      </c>
      <c r="AE867" t="s">
        <v>608</v>
      </c>
      <c r="AF867">
        <v>0</v>
      </c>
      <c r="AG867">
        <v>45</v>
      </c>
      <c r="AH867">
        <v>310</v>
      </c>
      <c r="AI867" s="2">
        <f>Table__192.168.3.138DYLAgingReport[[#This Row],[NetAmount]]-Table__192.168.3.138DYLAgingReport[[#This Row],[Paid]]</f>
        <v>28755</v>
      </c>
    </row>
    <row r="868" spans="1:35">
      <c r="A868" t="s">
        <v>2059</v>
      </c>
      <c r="B868" s="1">
        <v>41003</v>
      </c>
      <c r="C868" s="1">
        <v>41048</v>
      </c>
      <c r="D868" t="s">
        <v>569</v>
      </c>
      <c r="E868">
        <v>75798</v>
      </c>
      <c r="F868">
        <v>12128</v>
      </c>
      <c r="G868">
        <v>0</v>
      </c>
      <c r="H868">
        <v>0</v>
      </c>
      <c r="I868">
        <v>265</v>
      </c>
      <c r="J868">
        <v>87926</v>
      </c>
      <c r="K868" t="s">
        <v>2060</v>
      </c>
      <c r="L868" s="1">
        <v>41003</v>
      </c>
      <c r="N868" t="s">
        <v>36</v>
      </c>
      <c r="O868" t="s">
        <v>37</v>
      </c>
      <c r="P868" t="s">
        <v>433</v>
      </c>
      <c r="Q868" t="s">
        <v>39</v>
      </c>
      <c r="R868" t="s">
        <v>40</v>
      </c>
      <c r="S868">
        <v>0</v>
      </c>
      <c r="U868" t="s">
        <v>41</v>
      </c>
      <c r="V868" t="s">
        <v>42</v>
      </c>
      <c r="X868" t="s">
        <v>74</v>
      </c>
      <c r="Y868" t="b">
        <v>0</v>
      </c>
      <c r="Z868" t="b">
        <v>0</v>
      </c>
      <c r="AB868" t="s">
        <v>607</v>
      </c>
      <c r="AC868" s="1">
        <v>41215</v>
      </c>
      <c r="AE868" t="s">
        <v>608</v>
      </c>
      <c r="AF868">
        <v>0</v>
      </c>
      <c r="AG868">
        <v>45</v>
      </c>
      <c r="AH868">
        <v>310</v>
      </c>
      <c r="AI868" s="2">
        <f>Table__192.168.3.138DYLAgingReport[[#This Row],[NetAmount]]-Table__192.168.3.138DYLAgingReport[[#This Row],[Paid]]</f>
        <v>87926</v>
      </c>
    </row>
    <row r="869" spans="1:35">
      <c r="A869" t="s">
        <v>2061</v>
      </c>
      <c r="B869" s="1">
        <v>41001</v>
      </c>
      <c r="C869" s="1">
        <v>41046</v>
      </c>
      <c r="D869" t="s">
        <v>257</v>
      </c>
      <c r="E869">
        <v>61000</v>
      </c>
      <c r="F869">
        <v>9760</v>
      </c>
      <c r="G869">
        <v>0</v>
      </c>
      <c r="H869">
        <v>0</v>
      </c>
      <c r="I869">
        <v>267</v>
      </c>
      <c r="J869">
        <v>70760</v>
      </c>
      <c r="K869" t="s">
        <v>2062</v>
      </c>
      <c r="L869" s="1">
        <v>41001</v>
      </c>
      <c r="N869" t="s">
        <v>36</v>
      </c>
      <c r="O869" t="s">
        <v>37</v>
      </c>
      <c r="P869" t="s">
        <v>394</v>
      </c>
      <c r="Q869" t="s">
        <v>39</v>
      </c>
      <c r="R869" t="s">
        <v>40</v>
      </c>
      <c r="S869">
        <v>0</v>
      </c>
      <c r="U869" t="s">
        <v>41</v>
      </c>
      <c r="V869" t="s">
        <v>42</v>
      </c>
      <c r="X869" t="s">
        <v>74</v>
      </c>
      <c r="Y869" t="b">
        <v>0</v>
      </c>
      <c r="Z869" t="b">
        <v>0</v>
      </c>
      <c r="AC869" s="1"/>
      <c r="AF869">
        <v>0</v>
      </c>
      <c r="AG869">
        <v>45</v>
      </c>
      <c r="AH869">
        <v>312</v>
      </c>
      <c r="AI869" s="2">
        <f>Table__192.168.3.138DYLAgingReport[[#This Row],[NetAmount]]-Table__192.168.3.138DYLAgingReport[[#This Row],[Paid]]</f>
        <v>70760</v>
      </c>
    </row>
    <row r="870" spans="1:35">
      <c r="A870" t="s">
        <v>2063</v>
      </c>
      <c r="B870" s="1">
        <v>41004</v>
      </c>
      <c r="C870" s="1">
        <v>41049</v>
      </c>
      <c r="D870" t="s">
        <v>257</v>
      </c>
      <c r="E870">
        <v>91500</v>
      </c>
      <c r="F870">
        <v>14640</v>
      </c>
      <c r="G870">
        <v>0</v>
      </c>
      <c r="H870">
        <v>0</v>
      </c>
      <c r="I870">
        <v>264</v>
      </c>
      <c r="J870">
        <v>106140</v>
      </c>
      <c r="K870" t="s">
        <v>2064</v>
      </c>
      <c r="L870" s="1">
        <v>41004</v>
      </c>
      <c r="N870" t="s">
        <v>36</v>
      </c>
      <c r="O870" t="s">
        <v>37</v>
      </c>
      <c r="P870" t="s">
        <v>394</v>
      </c>
      <c r="Q870" t="s">
        <v>39</v>
      </c>
      <c r="R870" t="s">
        <v>40</v>
      </c>
      <c r="S870">
        <v>0</v>
      </c>
      <c r="U870" t="s">
        <v>41</v>
      </c>
      <c r="V870" t="s">
        <v>42</v>
      </c>
      <c r="X870" t="s">
        <v>74</v>
      </c>
      <c r="Y870" t="b">
        <v>0</v>
      </c>
      <c r="Z870" t="b">
        <v>0</v>
      </c>
      <c r="AC870" s="1"/>
      <c r="AF870">
        <v>0</v>
      </c>
      <c r="AG870">
        <v>45</v>
      </c>
      <c r="AH870">
        <v>309</v>
      </c>
      <c r="AI870" s="2">
        <f>Table__192.168.3.138DYLAgingReport[[#This Row],[NetAmount]]-Table__192.168.3.138DYLAgingReport[[#This Row],[Paid]]</f>
        <v>106140</v>
      </c>
    </row>
    <row r="871" spans="1:35">
      <c r="A871" t="s">
        <v>2065</v>
      </c>
      <c r="B871" s="1">
        <v>41008</v>
      </c>
      <c r="C871" s="1">
        <v>41053</v>
      </c>
      <c r="D871" t="s">
        <v>257</v>
      </c>
      <c r="E871">
        <v>91500</v>
      </c>
      <c r="F871">
        <v>14640</v>
      </c>
      <c r="G871">
        <v>0</v>
      </c>
      <c r="H871">
        <v>0</v>
      </c>
      <c r="I871">
        <v>260</v>
      </c>
      <c r="J871">
        <v>106140</v>
      </c>
      <c r="K871" t="s">
        <v>2066</v>
      </c>
      <c r="L871" s="1">
        <v>41008</v>
      </c>
      <c r="N871" t="s">
        <v>36</v>
      </c>
      <c r="O871" t="s">
        <v>37</v>
      </c>
      <c r="P871" t="s">
        <v>394</v>
      </c>
      <c r="Q871" t="s">
        <v>39</v>
      </c>
      <c r="R871" t="s">
        <v>40</v>
      </c>
      <c r="S871">
        <v>0</v>
      </c>
      <c r="U871" t="s">
        <v>41</v>
      </c>
      <c r="V871" t="s">
        <v>42</v>
      </c>
      <c r="X871" t="s">
        <v>74</v>
      </c>
      <c r="Y871" t="b">
        <v>0</v>
      </c>
      <c r="Z871" t="b">
        <v>0</v>
      </c>
      <c r="AC871" s="1"/>
      <c r="AF871">
        <v>0</v>
      </c>
      <c r="AG871">
        <v>45</v>
      </c>
      <c r="AH871">
        <v>305</v>
      </c>
      <c r="AI871" s="2">
        <f>Table__192.168.3.138DYLAgingReport[[#This Row],[NetAmount]]-Table__192.168.3.138DYLAgingReport[[#This Row],[Paid]]</f>
        <v>106140</v>
      </c>
    </row>
    <row r="872" spans="1:35">
      <c r="A872" t="s">
        <v>2067</v>
      </c>
      <c r="B872" s="1">
        <v>41010</v>
      </c>
      <c r="C872" s="1">
        <v>41055</v>
      </c>
      <c r="D872" t="s">
        <v>257</v>
      </c>
      <c r="E872">
        <v>610000</v>
      </c>
      <c r="F872">
        <v>97600</v>
      </c>
      <c r="G872">
        <v>0</v>
      </c>
      <c r="H872">
        <v>0</v>
      </c>
      <c r="I872">
        <v>264</v>
      </c>
      <c r="J872">
        <v>707600</v>
      </c>
      <c r="K872" t="s">
        <v>2068</v>
      </c>
      <c r="L872" s="1">
        <v>41004</v>
      </c>
      <c r="N872" t="s">
        <v>36</v>
      </c>
      <c r="O872" t="s">
        <v>37</v>
      </c>
      <c r="P872" t="s">
        <v>394</v>
      </c>
      <c r="Q872" t="s">
        <v>39</v>
      </c>
      <c r="R872" t="s">
        <v>40</v>
      </c>
      <c r="S872">
        <v>0</v>
      </c>
      <c r="U872" t="s">
        <v>41</v>
      </c>
      <c r="V872" t="s">
        <v>42</v>
      </c>
      <c r="X872" t="s">
        <v>74</v>
      </c>
      <c r="Y872" t="b">
        <v>0</v>
      </c>
      <c r="Z872" t="b">
        <v>0</v>
      </c>
      <c r="AC872" s="1"/>
      <c r="AF872">
        <v>0</v>
      </c>
      <c r="AG872">
        <v>45</v>
      </c>
      <c r="AH872">
        <v>309</v>
      </c>
      <c r="AI872" s="2">
        <f>Table__192.168.3.138DYLAgingReport[[#This Row],[NetAmount]]-Table__192.168.3.138DYLAgingReport[[#This Row],[Paid]]</f>
        <v>707600</v>
      </c>
    </row>
    <row r="873" spans="1:35">
      <c r="A873" t="s">
        <v>2069</v>
      </c>
      <c r="B873" s="1">
        <v>41015</v>
      </c>
      <c r="C873" s="1">
        <v>41060</v>
      </c>
      <c r="D873" t="s">
        <v>257</v>
      </c>
      <c r="E873">
        <v>152500</v>
      </c>
      <c r="F873">
        <v>24400</v>
      </c>
      <c r="G873">
        <v>0</v>
      </c>
      <c r="H873">
        <v>0</v>
      </c>
      <c r="I873">
        <v>253</v>
      </c>
      <c r="J873">
        <v>176900</v>
      </c>
      <c r="K873" t="s">
        <v>856</v>
      </c>
      <c r="L873" s="1">
        <v>41015</v>
      </c>
      <c r="N873" t="s">
        <v>36</v>
      </c>
      <c r="O873" t="s">
        <v>37</v>
      </c>
      <c r="P873" t="s">
        <v>394</v>
      </c>
      <c r="Q873" t="s">
        <v>39</v>
      </c>
      <c r="R873" t="s">
        <v>40</v>
      </c>
      <c r="S873">
        <v>0</v>
      </c>
      <c r="U873" t="s">
        <v>41</v>
      </c>
      <c r="V873" t="s">
        <v>42</v>
      </c>
      <c r="X873" t="s">
        <v>74</v>
      </c>
      <c r="Y873" t="b">
        <v>0</v>
      </c>
      <c r="Z873" t="b">
        <v>0</v>
      </c>
      <c r="AC873" s="1"/>
      <c r="AF873">
        <v>0</v>
      </c>
      <c r="AG873">
        <v>45</v>
      </c>
      <c r="AH873">
        <v>298</v>
      </c>
      <c r="AI873" s="2">
        <f>Table__192.168.3.138DYLAgingReport[[#This Row],[NetAmount]]-Table__192.168.3.138DYLAgingReport[[#This Row],[Paid]]</f>
        <v>176900</v>
      </c>
    </row>
    <row r="874" spans="1:35">
      <c r="A874" t="s">
        <v>2070</v>
      </c>
      <c r="B874" s="1">
        <v>41015</v>
      </c>
      <c r="C874" s="1">
        <v>41060</v>
      </c>
      <c r="D874" t="s">
        <v>257</v>
      </c>
      <c r="E874">
        <v>58000</v>
      </c>
      <c r="F874">
        <v>9280</v>
      </c>
      <c r="G874">
        <v>0</v>
      </c>
      <c r="H874">
        <v>0</v>
      </c>
      <c r="I874">
        <v>253</v>
      </c>
      <c r="J874">
        <v>67280</v>
      </c>
      <c r="K874" t="s">
        <v>2071</v>
      </c>
      <c r="L874" s="1">
        <v>41015</v>
      </c>
      <c r="N874" t="s">
        <v>36</v>
      </c>
      <c r="O874" t="s">
        <v>37</v>
      </c>
      <c r="P874" t="s">
        <v>394</v>
      </c>
      <c r="Q874" t="s">
        <v>39</v>
      </c>
      <c r="R874" t="s">
        <v>40</v>
      </c>
      <c r="S874">
        <v>0</v>
      </c>
      <c r="U874" t="s">
        <v>41</v>
      </c>
      <c r="V874" t="s">
        <v>42</v>
      </c>
      <c r="X874" t="s">
        <v>74</v>
      </c>
      <c r="Y874" t="b">
        <v>0</v>
      </c>
      <c r="Z874" t="b">
        <v>0</v>
      </c>
      <c r="AC874" s="1"/>
      <c r="AF874">
        <v>0</v>
      </c>
      <c r="AG874">
        <v>45</v>
      </c>
      <c r="AH874">
        <v>298</v>
      </c>
      <c r="AI874" s="2">
        <f>Table__192.168.3.138DYLAgingReport[[#This Row],[NetAmount]]-Table__192.168.3.138DYLAgingReport[[#This Row],[Paid]]</f>
        <v>67280</v>
      </c>
    </row>
    <row r="875" spans="1:35">
      <c r="A875" t="s">
        <v>2072</v>
      </c>
      <c r="B875" s="1">
        <v>41023</v>
      </c>
      <c r="C875" s="1">
        <v>41068</v>
      </c>
      <c r="D875" t="s">
        <v>166</v>
      </c>
      <c r="E875">
        <v>61250</v>
      </c>
      <c r="F875">
        <v>9800</v>
      </c>
      <c r="G875">
        <v>0</v>
      </c>
      <c r="H875">
        <v>0</v>
      </c>
      <c r="I875">
        <v>251</v>
      </c>
      <c r="J875">
        <v>71050</v>
      </c>
      <c r="K875" t="s">
        <v>2073</v>
      </c>
      <c r="L875" s="1">
        <v>41017</v>
      </c>
      <c r="N875" t="s">
        <v>36</v>
      </c>
      <c r="O875" t="s">
        <v>37</v>
      </c>
      <c r="P875" t="s">
        <v>303</v>
      </c>
      <c r="Q875" t="s">
        <v>39</v>
      </c>
      <c r="R875" t="s">
        <v>40</v>
      </c>
      <c r="S875">
        <v>0</v>
      </c>
      <c r="U875" t="s">
        <v>41</v>
      </c>
      <c r="V875" t="s">
        <v>42</v>
      </c>
      <c r="X875" t="s">
        <v>74</v>
      </c>
      <c r="Y875" t="b">
        <v>0</v>
      </c>
      <c r="Z875" t="b">
        <v>0</v>
      </c>
      <c r="AB875" t="s">
        <v>2039</v>
      </c>
      <c r="AC875" s="1">
        <v>41269</v>
      </c>
      <c r="AF875">
        <v>0</v>
      </c>
      <c r="AG875">
        <v>45</v>
      </c>
      <c r="AH875">
        <v>296</v>
      </c>
      <c r="AI875" s="2">
        <f>Table__192.168.3.138DYLAgingReport[[#This Row],[NetAmount]]-Table__192.168.3.138DYLAgingReport[[#This Row],[Paid]]</f>
        <v>71050</v>
      </c>
    </row>
    <row r="876" spans="1:35">
      <c r="A876" t="s">
        <v>2074</v>
      </c>
      <c r="B876" s="1">
        <v>41016</v>
      </c>
      <c r="C876" s="1">
        <v>41061</v>
      </c>
      <c r="D876" t="s">
        <v>201</v>
      </c>
      <c r="E876">
        <v>47540</v>
      </c>
      <c r="F876">
        <v>7606</v>
      </c>
      <c r="G876">
        <v>0</v>
      </c>
      <c r="H876">
        <v>0</v>
      </c>
      <c r="I876">
        <v>249</v>
      </c>
      <c r="J876">
        <v>55146</v>
      </c>
      <c r="K876" t="s">
        <v>2075</v>
      </c>
      <c r="L876" s="1">
        <v>41019</v>
      </c>
      <c r="N876" t="s">
        <v>36</v>
      </c>
      <c r="O876" t="s">
        <v>37</v>
      </c>
      <c r="P876" t="s">
        <v>338</v>
      </c>
      <c r="Q876" t="s">
        <v>39</v>
      </c>
      <c r="R876" t="s">
        <v>40</v>
      </c>
      <c r="S876">
        <v>0</v>
      </c>
      <c r="U876" t="s">
        <v>41</v>
      </c>
      <c r="V876" t="s">
        <v>42</v>
      </c>
      <c r="X876" t="s">
        <v>74</v>
      </c>
      <c r="Y876" t="b">
        <v>0</v>
      </c>
      <c r="Z876" t="b">
        <v>0</v>
      </c>
      <c r="AB876" t="s">
        <v>485</v>
      </c>
      <c r="AC876" s="1">
        <v>41236</v>
      </c>
      <c r="AF876">
        <v>0</v>
      </c>
      <c r="AG876">
        <v>45</v>
      </c>
      <c r="AH876">
        <v>294</v>
      </c>
      <c r="AI876" s="2">
        <f>Table__192.168.3.138DYLAgingReport[[#This Row],[NetAmount]]-Table__192.168.3.138DYLAgingReport[[#This Row],[Paid]]</f>
        <v>55146</v>
      </c>
    </row>
    <row r="877" spans="1:35">
      <c r="A877" t="s">
        <v>2076</v>
      </c>
      <c r="B877" s="1">
        <v>41019</v>
      </c>
      <c r="C877" s="1">
        <v>41064</v>
      </c>
      <c r="D877" t="s">
        <v>288</v>
      </c>
      <c r="E877">
        <v>8490</v>
      </c>
      <c r="F877">
        <v>1358</v>
      </c>
      <c r="G877">
        <v>0</v>
      </c>
      <c r="H877">
        <v>0</v>
      </c>
      <c r="I877">
        <v>248</v>
      </c>
      <c r="J877">
        <v>9848</v>
      </c>
      <c r="K877" t="s">
        <v>2077</v>
      </c>
      <c r="L877" s="1">
        <v>41020</v>
      </c>
      <c r="N877" t="s">
        <v>36</v>
      </c>
      <c r="O877" t="s">
        <v>37</v>
      </c>
      <c r="P877" t="s">
        <v>425</v>
      </c>
      <c r="Q877" t="s">
        <v>39</v>
      </c>
      <c r="R877" t="s">
        <v>40</v>
      </c>
      <c r="S877">
        <v>0</v>
      </c>
      <c r="U877" t="s">
        <v>41</v>
      </c>
      <c r="V877" t="s">
        <v>42</v>
      </c>
      <c r="X877" t="s">
        <v>74</v>
      </c>
      <c r="Y877" t="b">
        <v>0</v>
      </c>
      <c r="Z877" t="b">
        <v>0</v>
      </c>
      <c r="AC877" s="1"/>
      <c r="AF877">
        <v>0</v>
      </c>
      <c r="AG877">
        <v>45</v>
      </c>
      <c r="AH877">
        <v>293</v>
      </c>
      <c r="AI877" s="2">
        <f>Table__192.168.3.138DYLAgingReport[[#This Row],[NetAmount]]-Table__192.168.3.138DYLAgingReport[[#This Row],[Paid]]</f>
        <v>9848</v>
      </c>
    </row>
    <row r="878" spans="1:35">
      <c r="A878" t="s">
        <v>2078</v>
      </c>
      <c r="B878" s="1">
        <v>41003</v>
      </c>
      <c r="C878" s="1">
        <v>41048</v>
      </c>
      <c r="D878" t="s">
        <v>288</v>
      </c>
      <c r="E878">
        <v>60232</v>
      </c>
      <c r="F878">
        <v>9637</v>
      </c>
      <c r="G878">
        <v>0</v>
      </c>
      <c r="H878">
        <v>0</v>
      </c>
      <c r="I878">
        <v>265</v>
      </c>
      <c r="J878">
        <v>69869</v>
      </c>
      <c r="K878" t="s">
        <v>2079</v>
      </c>
      <c r="L878" s="1">
        <v>41003</v>
      </c>
      <c r="N878" t="s">
        <v>36</v>
      </c>
      <c r="O878" t="s">
        <v>37</v>
      </c>
      <c r="P878" t="s">
        <v>425</v>
      </c>
      <c r="Q878" t="s">
        <v>39</v>
      </c>
      <c r="R878" t="s">
        <v>40</v>
      </c>
      <c r="S878">
        <v>0</v>
      </c>
      <c r="U878" t="s">
        <v>41</v>
      </c>
      <c r="V878" t="s">
        <v>42</v>
      </c>
      <c r="X878" t="s">
        <v>74</v>
      </c>
      <c r="Y878" t="b">
        <v>0</v>
      </c>
      <c r="Z878" t="b">
        <v>0</v>
      </c>
      <c r="AC878" s="1"/>
      <c r="AF878">
        <v>0</v>
      </c>
      <c r="AG878">
        <v>45</v>
      </c>
      <c r="AH878">
        <v>310</v>
      </c>
      <c r="AI878" s="2">
        <f>Table__192.168.3.138DYLAgingReport[[#This Row],[NetAmount]]-Table__192.168.3.138DYLAgingReport[[#This Row],[Paid]]</f>
        <v>69869</v>
      </c>
    </row>
    <row r="879" spans="1:35">
      <c r="A879" t="s">
        <v>2080</v>
      </c>
      <c r="B879" s="1">
        <v>41013</v>
      </c>
      <c r="C879" s="1">
        <v>41058</v>
      </c>
      <c r="D879" t="s">
        <v>288</v>
      </c>
      <c r="E879">
        <v>20179</v>
      </c>
      <c r="F879">
        <v>3229</v>
      </c>
      <c r="G879">
        <v>0</v>
      </c>
      <c r="H879">
        <v>0</v>
      </c>
      <c r="I879">
        <v>255</v>
      </c>
      <c r="J879">
        <v>23408</v>
      </c>
      <c r="K879" t="s">
        <v>2081</v>
      </c>
      <c r="L879" s="1">
        <v>41013</v>
      </c>
      <c r="N879" t="s">
        <v>36</v>
      </c>
      <c r="O879" t="s">
        <v>37</v>
      </c>
      <c r="P879" t="s">
        <v>425</v>
      </c>
      <c r="Q879" t="s">
        <v>39</v>
      </c>
      <c r="R879" t="s">
        <v>40</v>
      </c>
      <c r="S879">
        <v>0</v>
      </c>
      <c r="U879" t="s">
        <v>41</v>
      </c>
      <c r="V879" t="s">
        <v>42</v>
      </c>
      <c r="X879" t="s">
        <v>74</v>
      </c>
      <c r="Y879" t="b">
        <v>0</v>
      </c>
      <c r="Z879" t="b">
        <v>0</v>
      </c>
      <c r="AC879" s="1"/>
      <c r="AF879">
        <v>0</v>
      </c>
      <c r="AG879">
        <v>45</v>
      </c>
      <c r="AH879">
        <v>300</v>
      </c>
      <c r="AI879" s="2">
        <f>Table__192.168.3.138DYLAgingReport[[#This Row],[NetAmount]]-Table__192.168.3.138DYLAgingReport[[#This Row],[Paid]]</f>
        <v>23408</v>
      </c>
    </row>
    <row r="880" spans="1:35">
      <c r="A880" t="s">
        <v>2082</v>
      </c>
      <c r="B880" s="1">
        <v>41020</v>
      </c>
      <c r="C880" s="1">
        <v>41065</v>
      </c>
      <c r="D880" t="s">
        <v>201</v>
      </c>
      <c r="E880">
        <v>47540</v>
      </c>
      <c r="F880">
        <v>7606</v>
      </c>
      <c r="G880">
        <v>0</v>
      </c>
      <c r="H880">
        <v>0</v>
      </c>
      <c r="I880">
        <v>248</v>
      </c>
      <c r="J880">
        <v>55146</v>
      </c>
      <c r="K880" t="s">
        <v>2083</v>
      </c>
      <c r="L880" s="1">
        <v>41020</v>
      </c>
      <c r="N880" t="s">
        <v>36</v>
      </c>
      <c r="O880" t="s">
        <v>37</v>
      </c>
      <c r="P880" t="s">
        <v>338</v>
      </c>
      <c r="Q880" t="s">
        <v>39</v>
      </c>
      <c r="R880" t="s">
        <v>40</v>
      </c>
      <c r="S880">
        <v>0</v>
      </c>
      <c r="U880" t="s">
        <v>41</v>
      </c>
      <c r="V880" t="s">
        <v>42</v>
      </c>
      <c r="X880" t="s">
        <v>74</v>
      </c>
      <c r="Y880" t="b">
        <v>0</v>
      </c>
      <c r="Z880" t="b">
        <v>0</v>
      </c>
      <c r="AB880" t="s">
        <v>485</v>
      </c>
      <c r="AC880" s="1">
        <v>41236</v>
      </c>
      <c r="AF880">
        <v>0</v>
      </c>
      <c r="AG880">
        <v>45</v>
      </c>
      <c r="AH880">
        <v>293</v>
      </c>
      <c r="AI880" s="2">
        <f>Table__192.168.3.138DYLAgingReport[[#This Row],[NetAmount]]-Table__192.168.3.138DYLAgingReport[[#This Row],[Paid]]</f>
        <v>55146</v>
      </c>
    </row>
    <row r="881" spans="1:35">
      <c r="A881" t="s">
        <v>2084</v>
      </c>
      <c r="B881" s="1">
        <v>41022</v>
      </c>
      <c r="C881" s="1">
        <v>41067</v>
      </c>
      <c r="D881" t="s">
        <v>201</v>
      </c>
      <c r="E881">
        <v>35655</v>
      </c>
      <c r="F881">
        <v>5705</v>
      </c>
      <c r="G881">
        <v>0</v>
      </c>
      <c r="H881">
        <v>0</v>
      </c>
      <c r="I881">
        <v>246</v>
      </c>
      <c r="J881">
        <v>41360</v>
      </c>
      <c r="K881" t="s">
        <v>2085</v>
      </c>
      <c r="L881" s="1">
        <v>41022</v>
      </c>
      <c r="N881" t="s">
        <v>36</v>
      </c>
      <c r="O881" t="s">
        <v>37</v>
      </c>
      <c r="P881" t="s">
        <v>338</v>
      </c>
      <c r="Q881" t="s">
        <v>39</v>
      </c>
      <c r="R881" t="s">
        <v>40</v>
      </c>
      <c r="S881">
        <v>0</v>
      </c>
      <c r="U881" t="s">
        <v>41</v>
      </c>
      <c r="V881" t="s">
        <v>42</v>
      </c>
      <c r="X881" t="s">
        <v>74</v>
      </c>
      <c r="Y881" t="b">
        <v>0</v>
      </c>
      <c r="Z881" t="b">
        <v>0</v>
      </c>
      <c r="AB881" t="s">
        <v>485</v>
      </c>
      <c r="AC881" s="1">
        <v>41236</v>
      </c>
      <c r="AF881">
        <v>0</v>
      </c>
      <c r="AG881">
        <v>45</v>
      </c>
      <c r="AH881">
        <v>291</v>
      </c>
      <c r="AI881" s="2">
        <f>Table__192.168.3.138DYLAgingReport[[#This Row],[NetAmount]]-Table__192.168.3.138DYLAgingReport[[#This Row],[Paid]]</f>
        <v>41360</v>
      </c>
    </row>
    <row r="882" spans="1:35">
      <c r="A882" t="s">
        <v>2086</v>
      </c>
      <c r="B882" s="1">
        <v>41018</v>
      </c>
      <c r="C882" s="1">
        <v>41063</v>
      </c>
      <c r="D882" t="s">
        <v>201</v>
      </c>
      <c r="E882">
        <v>71310</v>
      </c>
      <c r="F882">
        <v>11410</v>
      </c>
      <c r="G882">
        <v>0</v>
      </c>
      <c r="H882">
        <v>0</v>
      </c>
      <c r="I882">
        <v>250</v>
      </c>
      <c r="J882">
        <v>82720</v>
      </c>
      <c r="K882" t="s">
        <v>2087</v>
      </c>
      <c r="L882" s="1">
        <v>41018</v>
      </c>
      <c r="N882" t="s">
        <v>36</v>
      </c>
      <c r="O882" t="s">
        <v>37</v>
      </c>
      <c r="P882" t="s">
        <v>338</v>
      </c>
      <c r="Q882" t="s">
        <v>39</v>
      </c>
      <c r="R882" t="s">
        <v>40</v>
      </c>
      <c r="S882">
        <v>0</v>
      </c>
      <c r="U882" t="s">
        <v>41</v>
      </c>
      <c r="V882" t="s">
        <v>42</v>
      </c>
      <c r="X882" t="s">
        <v>74</v>
      </c>
      <c r="Y882" t="b">
        <v>0</v>
      </c>
      <c r="Z882" t="b">
        <v>0</v>
      </c>
      <c r="AB882" t="s">
        <v>485</v>
      </c>
      <c r="AC882" s="1">
        <v>41236</v>
      </c>
      <c r="AF882">
        <v>0</v>
      </c>
      <c r="AG882">
        <v>45</v>
      </c>
      <c r="AH882">
        <v>295</v>
      </c>
      <c r="AI882" s="2">
        <f>Table__192.168.3.138DYLAgingReport[[#This Row],[NetAmount]]-Table__192.168.3.138DYLAgingReport[[#This Row],[Paid]]</f>
        <v>82720</v>
      </c>
    </row>
    <row r="883" spans="1:35">
      <c r="A883" t="s">
        <v>2088</v>
      </c>
      <c r="B883" s="1">
        <v>41009</v>
      </c>
      <c r="C883" s="1">
        <v>41054</v>
      </c>
      <c r="D883" t="s">
        <v>569</v>
      </c>
      <c r="E883">
        <v>10600</v>
      </c>
      <c r="F883">
        <v>1696</v>
      </c>
      <c r="G883">
        <v>0</v>
      </c>
      <c r="H883">
        <v>0</v>
      </c>
      <c r="I883">
        <v>259</v>
      </c>
      <c r="J883">
        <v>12296</v>
      </c>
      <c r="K883" t="s">
        <v>2089</v>
      </c>
      <c r="L883" s="1">
        <v>41009</v>
      </c>
      <c r="N883" t="s">
        <v>36</v>
      </c>
      <c r="O883" t="s">
        <v>37</v>
      </c>
      <c r="P883" t="s">
        <v>433</v>
      </c>
      <c r="Q883" t="s">
        <v>39</v>
      </c>
      <c r="R883" t="s">
        <v>40</v>
      </c>
      <c r="S883">
        <v>0</v>
      </c>
      <c r="U883" t="s">
        <v>41</v>
      </c>
      <c r="V883" t="s">
        <v>42</v>
      </c>
      <c r="X883" t="s">
        <v>74</v>
      </c>
      <c r="Y883" t="b">
        <v>0</v>
      </c>
      <c r="Z883" t="b">
        <v>0</v>
      </c>
      <c r="AB883" t="s">
        <v>607</v>
      </c>
      <c r="AC883" s="1">
        <v>41215</v>
      </c>
      <c r="AE883" t="s">
        <v>608</v>
      </c>
      <c r="AF883">
        <v>0</v>
      </c>
      <c r="AG883">
        <v>45</v>
      </c>
      <c r="AH883">
        <v>304</v>
      </c>
      <c r="AI883" s="2">
        <f>Table__192.168.3.138DYLAgingReport[[#This Row],[NetAmount]]-Table__192.168.3.138DYLAgingReport[[#This Row],[Paid]]</f>
        <v>12296</v>
      </c>
    </row>
    <row r="884" spans="1:35">
      <c r="A884" t="s">
        <v>2090</v>
      </c>
      <c r="B884" s="1">
        <v>41012</v>
      </c>
      <c r="C884" s="1">
        <v>41057</v>
      </c>
      <c r="D884" t="s">
        <v>569</v>
      </c>
      <c r="E884">
        <v>20100</v>
      </c>
      <c r="F884">
        <v>3216</v>
      </c>
      <c r="G884">
        <v>0</v>
      </c>
      <c r="H884">
        <v>0</v>
      </c>
      <c r="I884">
        <v>256</v>
      </c>
      <c r="J884">
        <v>23316</v>
      </c>
      <c r="K884" t="s">
        <v>2091</v>
      </c>
      <c r="L884" s="1">
        <v>41012</v>
      </c>
      <c r="N884" t="s">
        <v>36</v>
      </c>
      <c r="O884" t="s">
        <v>37</v>
      </c>
      <c r="P884" t="s">
        <v>433</v>
      </c>
      <c r="Q884" t="s">
        <v>39</v>
      </c>
      <c r="R884" t="s">
        <v>40</v>
      </c>
      <c r="S884">
        <v>0</v>
      </c>
      <c r="U884" t="s">
        <v>41</v>
      </c>
      <c r="V884" t="s">
        <v>42</v>
      </c>
      <c r="X884" t="s">
        <v>74</v>
      </c>
      <c r="Y884" t="b">
        <v>0</v>
      </c>
      <c r="Z884" t="b">
        <v>0</v>
      </c>
      <c r="AB884" t="s">
        <v>607</v>
      </c>
      <c r="AC884" s="1">
        <v>41215</v>
      </c>
      <c r="AE884" t="s">
        <v>608</v>
      </c>
      <c r="AF884">
        <v>0</v>
      </c>
      <c r="AG884">
        <v>45</v>
      </c>
      <c r="AH884">
        <v>301</v>
      </c>
      <c r="AI884" s="2">
        <f>Table__192.168.3.138DYLAgingReport[[#This Row],[NetAmount]]-Table__192.168.3.138DYLAgingReport[[#This Row],[Paid]]</f>
        <v>23316</v>
      </c>
    </row>
    <row r="885" spans="1:35">
      <c r="A885" t="s">
        <v>2092</v>
      </c>
      <c r="B885" s="1">
        <v>41015</v>
      </c>
      <c r="C885" s="1">
        <v>41060</v>
      </c>
      <c r="D885" t="s">
        <v>569</v>
      </c>
      <c r="E885">
        <v>19582</v>
      </c>
      <c r="F885">
        <v>3133</v>
      </c>
      <c r="G885">
        <v>0</v>
      </c>
      <c r="H885">
        <v>0</v>
      </c>
      <c r="I885">
        <v>255</v>
      </c>
      <c r="J885">
        <v>22715</v>
      </c>
      <c r="K885" t="s">
        <v>2093</v>
      </c>
      <c r="L885" s="1">
        <v>41013</v>
      </c>
      <c r="N885" t="s">
        <v>36</v>
      </c>
      <c r="O885" t="s">
        <v>37</v>
      </c>
      <c r="P885" t="s">
        <v>433</v>
      </c>
      <c r="Q885" t="s">
        <v>39</v>
      </c>
      <c r="R885" t="s">
        <v>40</v>
      </c>
      <c r="S885">
        <v>0</v>
      </c>
      <c r="U885" t="s">
        <v>41</v>
      </c>
      <c r="V885" t="s">
        <v>42</v>
      </c>
      <c r="X885" t="s">
        <v>74</v>
      </c>
      <c r="Y885" t="b">
        <v>0</v>
      </c>
      <c r="Z885" t="b">
        <v>0</v>
      </c>
      <c r="AB885" t="s">
        <v>607</v>
      </c>
      <c r="AC885" s="1">
        <v>41215</v>
      </c>
      <c r="AE885" t="s">
        <v>608</v>
      </c>
      <c r="AF885">
        <v>0</v>
      </c>
      <c r="AG885">
        <v>45</v>
      </c>
      <c r="AH885">
        <v>300</v>
      </c>
      <c r="AI885" s="2">
        <f>Table__192.168.3.138DYLAgingReport[[#This Row],[NetAmount]]-Table__192.168.3.138DYLAgingReport[[#This Row],[Paid]]</f>
        <v>22715</v>
      </c>
    </row>
    <row r="886" spans="1:35">
      <c r="A886" t="s">
        <v>2094</v>
      </c>
      <c r="B886" s="1">
        <v>41018</v>
      </c>
      <c r="C886" s="1">
        <v>41063</v>
      </c>
      <c r="D886" t="s">
        <v>569</v>
      </c>
      <c r="E886">
        <v>5108</v>
      </c>
      <c r="F886">
        <v>817</v>
      </c>
      <c r="G886">
        <v>0</v>
      </c>
      <c r="H886">
        <v>0</v>
      </c>
      <c r="I886">
        <v>251</v>
      </c>
      <c r="J886">
        <v>5925</v>
      </c>
      <c r="K886" t="s">
        <v>2095</v>
      </c>
      <c r="L886" s="1">
        <v>41017</v>
      </c>
      <c r="N886" t="s">
        <v>36</v>
      </c>
      <c r="O886" t="s">
        <v>37</v>
      </c>
      <c r="P886" t="s">
        <v>433</v>
      </c>
      <c r="Q886" t="s">
        <v>39</v>
      </c>
      <c r="R886" t="s">
        <v>40</v>
      </c>
      <c r="S886">
        <v>0</v>
      </c>
      <c r="U886" t="s">
        <v>41</v>
      </c>
      <c r="V886" t="s">
        <v>42</v>
      </c>
      <c r="X886" t="s">
        <v>74</v>
      </c>
      <c r="Y886" t="b">
        <v>0</v>
      </c>
      <c r="Z886" t="b">
        <v>0</v>
      </c>
      <c r="AB886" t="s">
        <v>607</v>
      </c>
      <c r="AC886" s="1">
        <v>41215</v>
      </c>
      <c r="AE886" t="s">
        <v>608</v>
      </c>
      <c r="AF886">
        <v>0</v>
      </c>
      <c r="AG886">
        <v>45</v>
      </c>
      <c r="AH886">
        <v>296</v>
      </c>
      <c r="AI886" s="2">
        <f>Table__192.168.3.138DYLAgingReport[[#This Row],[NetAmount]]-Table__192.168.3.138DYLAgingReport[[#This Row],[Paid]]</f>
        <v>5925</v>
      </c>
    </row>
    <row r="887" spans="1:35">
      <c r="A887" t="s">
        <v>2096</v>
      </c>
      <c r="B887" s="1">
        <v>41015</v>
      </c>
      <c r="C887" s="1">
        <v>41060</v>
      </c>
      <c r="D887" t="s">
        <v>569</v>
      </c>
      <c r="E887">
        <v>241409</v>
      </c>
      <c r="F887">
        <v>38625</v>
      </c>
      <c r="G887">
        <v>0</v>
      </c>
      <c r="H887">
        <v>0</v>
      </c>
      <c r="I887">
        <v>253</v>
      </c>
      <c r="J887">
        <v>280034</v>
      </c>
      <c r="K887" t="s">
        <v>2097</v>
      </c>
      <c r="L887" s="1">
        <v>41015</v>
      </c>
      <c r="N887" t="s">
        <v>36</v>
      </c>
      <c r="O887" t="s">
        <v>37</v>
      </c>
      <c r="P887" t="s">
        <v>433</v>
      </c>
      <c r="Q887" t="s">
        <v>39</v>
      </c>
      <c r="R887" t="s">
        <v>40</v>
      </c>
      <c r="S887">
        <v>0</v>
      </c>
      <c r="U887" t="s">
        <v>41</v>
      </c>
      <c r="V887" t="s">
        <v>42</v>
      </c>
      <c r="X887" t="s">
        <v>74</v>
      </c>
      <c r="Y887" t="b">
        <v>0</v>
      </c>
      <c r="Z887" t="b">
        <v>0</v>
      </c>
      <c r="AB887" t="s">
        <v>607</v>
      </c>
      <c r="AC887" s="1">
        <v>41215</v>
      </c>
      <c r="AE887" t="s">
        <v>608</v>
      </c>
      <c r="AF887">
        <v>0</v>
      </c>
      <c r="AG887">
        <v>45</v>
      </c>
      <c r="AH887">
        <v>298</v>
      </c>
      <c r="AI887" s="2">
        <f>Table__192.168.3.138DYLAgingReport[[#This Row],[NetAmount]]-Table__192.168.3.138DYLAgingReport[[#This Row],[Paid]]</f>
        <v>280034</v>
      </c>
    </row>
    <row r="888" spans="1:35">
      <c r="A888" t="s">
        <v>2098</v>
      </c>
      <c r="B888" s="1">
        <v>41015</v>
      </c>
      <c r="C888" s="1">
        <v>41060</v>
      </c>
      <c r="D888" t="s">
        <v>569</v>
      </c>
      <c r="E888">
        <v>35705</v>
      </c>
      <c r="F888">
        <v>5713</v>
      </c>
      <c r="G888">
        <v>0</v>
      </c>
      <c r="H888">
        <v>0</v>
      </c>
      <c r="I888">
        <v>253</v>
      </c>
      <c r="J888">
        <v>41418</v>
      </c>
      <c r="K888" t="s">
        <v>2099</v>
      </c>
      <c r="L888" s="1">
        <v>41015</v>
      </c>
      <c r="N888" t="s">
        <v>36</v>
      </c>
      <c r="O888" t="s">
        <v>37</v>
      </c>
      <c r="P888" t="s">
        <v>433</v>
      </c>
      <c r="Q888" t="s">
        <v>39</v>
      </c>
      <c r="R888" t="s">
        <v>40</v>
      </c>
      <c r="S888">
        <v>0</v>
      </c>
      <c r="U888" t="s">
        <v>41</v>
      </c>
      <c r="V888" t="s">
        <v>42</v>
      </c>
      <c r="X888" t="s">
        <v>74</v>
      </c>
      <c r="Y888" t="b">
        <v>0</v>
      </c>
      <c r="Z888" t="b">
        <v>0</v>
      </c>
      <c r="AB888" t="s">
        <v>607</v>
      </c>
      <c r="AC888" s="1">
        <v>41215</v>
      </c>
      <c r="AE888" t="s">
        <v>608</v>
      </c>
      <c r="AF888">
        <v>0</v>
      </c>
      <c r="AG888">
        <v>45</v>
      </c>
      <c r="AH888">
        <v>298</v>
      </c>
      <c r="AI888" s="2">
        <f>Table__192.168.3.138DYLAgingReport[[#This Row],[NetAmount]]-Table__192.168.3.138DYLAgingReport[[#This Row],[Paid]]</f>
        <v>41418</v>
      </c>
    </row>
    <row r="889" spans="1:35">
      <c r="A889" t="s">
        <v>2100</v>
      </c>
      <c r="B889" s="1">
        <v>41011</v>
      </c>
      <c r="C889" s="1">
        <v>41056</v>
      </c>
      <c r="D889" t="s">
        <v>172</v>
      </c>
      <c r="E889">
        <v>93120</v>
      </c>
      <c r="F889">
        <v>14899</v>
      </c>
      <c r="G889">
        <v>0</v>
      </c>
      <c r="H889">
        <v>0</v>
      </c>
      <c r="I889">
        <v>253</v>
      </c>
      <c r="J889">
        <v>108019</v>
      </c>
      <c r="K889" t="s">
        <v>2101</v>
      </c>
      <c r="L889" s="1">
        <v>41015</v>
      </c>
      <c r="N889" t="s">
        <v>36</v>
      </c>
      <c r="O889" t="s">
        <v>37</v>
      </c>
      <c r="P889" t="s">
        <v>309</v>
      </c>
      <c r="Q889" t="s">
        <v>39</v>
      </c>
      <c r="R889" t="s">
        <v>40</v>
      </c>
      <c r="S889">
        <v>0</v>
      </c>
      <c r="U889" t="s">
        <v>41</v>
      </c>
      <c r="V889" t="s">
        <v>42</v>
      </c>
      <c r="X889" t="s">
        <v>74</v>
      </c>
      <c r="Y889" t="b">
        <v>0</v>
      </c>
      <c r="Z889" t="b">
        <v>0</v>
      </c>
      <c r="AC889" s="1"/>
      <c r="AF889">
        <v>0</v>
      </c>
      <c r="AG889">
        <v>45</v>
      </c>
      <c r="AH889">
        <v>298</v>
      </c>
      <c r="AI889" s="2">
        <f>Table__192.168.3.138DYLAgingReport[[#This Row],[NetAmount]]-Table__192.168.3.138DYLAgingReport[[#This Row],[Paid]]</f>
        <v>108019</v>
      </c>
    </row>
    <row r="890" spans="1:35">
      <c r="A890" t="s">
        <v>2102</v>
      </c>
      <c r="B890" s="1">
        <v>41025</v>
      </c>
      <c r="C890" s="1">
        <v>41070</v>
      </c>
      <c r="D890" t="s">
        <v>250</v>
      </c>
      <c r="E890">
        <v>638400</v>
      </c>
      <c r="F890">
        <v>102144</v>
      </c>
      <c r="G890">
        <v>0</v>
      </c>
      <c r="H890">
        <v>0</v>
      </c>
      <c r="I890">
        <v>243</v>
      </c>
      <c r="J890">
        <v>740544</v>
      </c>
      <c r="K890" t="s">
        <v>2103</v>
      </c>
      <c r="L890" s="1">
        <v>41025</v>
      </c>
      <c r="N890" t="s">
        <v>36</v>
      </c>
      <c r="O890" t="s">
        <v>37</v>
      </c>
      <c r="P890" t="s">
        <v>387</v>
      </c>
      <c r="Q890" t="s">
        <v>39</v>
      </c>
      <c r="R890" t="s">
        <v>40</v>
      </c>
      <c r="S890">
        <v>0</v>
      </c>
      <c r="U890" t="s">
        <v>41</v>
      </c>
      <c r="V890" t="s">
        <v>42</v>
      </c>
      <c r="X890" t="s">
        <v>74</v>
      </c>
      <c r="Y890" t="b">
        <v>0</v>
      </c>
      <c r="Z890" t="b">
        <v>0</v>
      </c>
      <c r="AB890" t="s">
        <v>2104</v>
      </c>
      <c r="AC890" s="1"/>
      <c r="AD890" t="s">
        <v>2105</v>
      </c>
      <c r="AF890">
        <v>714021</v>
      </c>
      <c r="AG890">
        <v>45</v>
      </c>
      <c r="AH890">
        <v>288</v>
      </c>
      <c r="AI890" s="2">
        <f>Table__192.168.3.138DYLAgingReport[[#This Row],[NetAmount]]-Table__192.168.3.138DYLAgingReport[[#This Row],[Paid]]</f>
        <v>26523</v>
      </c>
    </row>
    <row r="891" spans="1:35">
      <c r="A891" t="s">
        <v>2106</v>
      </c>
      <c r="B891" s="1">
        <v>41024</v>
      </c>
      <c r="C891" s="1">
        <v>41069</v>
      </c>
      <c r="D891" t="s">
        <v>268</v>
      </c>
      <c r="E891">
        <v>71800</v>
      </c>
      <c r="F891">
        <v>11488</v>
      </c>
      <c r="G891">
        <v>0</v>
      </c>
      <c r="H891">
        <v>0</v>
      </c>
      <c r="I891">
        <v>243</v>
      </c>
      <c r="J891">
        <v>83288</v>
      </c>
      <c r="K891" t="s">
        <v>2107</v>
      </c>
      <c r="L891" s="1">
        <v>41025</v>
      </c>
      <c r="N891" t="s">
        <v>36</v>
      </c>
      <c r="O891" t="s">
        <v>37</v>
      </c>
      <c r="P891" t="s">
        <v>405</v>
      </c>
      <c r="Q891" t="s">
        <v>39</v>
      </c>
      <c r="R891" t="s">
        <v>40</v>
      </c>
      <c r="S891">
        <v>0</v>
      </c>
      <c r="U891" t="s">
        <v>41</v>
      </c>
      <c r="V891" t="s">
        <v>42</v>
      </c>
      <c r="X891" t="s">
        <v>74</v>
      </c>
      <c r="Y891" t="b">
        <v>0</v>
      </c>
      <c r="Z891" t="b">
        <v>0</v>
      </c>
      <c r="AB891" t="s">
        <v>638</v>
      </c>
      <c r="AC891" s="1">
        <v>41219</v>
      </c>
      <c r="AF891">
        <v>0</v>
      </c>
      <c r="AG891">
        <v>45</v>
      </c>
      <c r="AH891">
        <v>288</v>
      </c>
      <c r="AI891" s="2">
        <f>Table__192.168.3.138DYLAgingReport[[#This Row],[NetAmount]]-Table__192.168.3.138DYLAgingReport[[#This Row],[Paid]]</f>
        <v>83288</v>
      </c>
    </row>
    <row r="892" spans="1:35">
      <c r="A892" t="s">
        <v>2108</v>
      </c>
      <c r="B892" s="1">
        <v>40969</v>
      </c>
      <c r="C892" s="1">
        <v>41014</v>
      </c>
      <c r="D892" t="s">
        <v>214</v>
      </c>
      <c r="E892">
        <v>62500</v>
      </c>
      <c r="F892">
        <v>0</v>
      </c>
      <c r="G892">
        <v>0</v>
      </c>
      <c r="H892">
        <v>0</v>
      </c>
      <c r="I892">
        <v>269</v>
      </c>
      <c r="J892">
        <v>62500</v>
      </c>
      <c r="K892" t="s">
        <v>2109</v>
      </c>
      <c r="L892" s="1">
        <v>40999</v>
      </c>
      <c r="N892" t="s">
        <v>36</v>
      </c>
      <c r="O892" t="s">
        <v>37</v>
      </c>
      <c r="P892" t="s">
        <v>351</v>
      </c>
      <c r="Q892" t="s">
        <v>39</v>
      </c>
      <c r="R892" t="s">
        <v>40</v>
      </c>
      <c r="S892">
        <v>0</v>
      </c>
      <c r="U892" t="s">
        <v>41</v>
      </c>
      <c r="V892" t="s">
        <v>42</v>
      </c>
      <c r="X892" t="s">
        <v>74</v>
      </c>
      <c r="Y892" t="b">
        <v>0</v>
      </c>
      <c r="Z892" t="b">
        <v>0</v>
      </c>
      <c r="AC892" s="1"/>
      <c r="AF892">
        <v>0</v>
      </c>
      <c r="AG892">
        <v>45</v>
      </c>
      <c r="AH892">
        <v>314</v>
      </c>
      <c r="AI892" s="2">
        <f>Table__192.168.3.138DYLAgingReport[[#This Row],[NetAmount]]-Table__192.168.3.138DYLAgingReport[[#This Row],[Paid]]</f>
        <v>62500</v>
      </c>
    </row>
    <row r="893" spans="1:35">
      <c r="A893" t="s">
        <v>2110</v>
      </c>
      <c r="B893" s="1">
        <v>41013</v>
      </c>
      <c r="C893" s="1">
        <v>41058</v>
      </c>
      <c r="D893" t="s">
        <v>211</v>
      </c>
      <c r="E893">
        <v>11500</v>
      </c>
      <c r="F893">
        <v>0</v>
      </c>
      <c r="G893">
        <v>0</v>
      </c>
      <c r="H893">
        <v>0</v>
      </c>
      <c r="I893">
        <v>241</v>
      </c>
      <c r="J893">
        <v>11500</v>
      </c>
      <c r="K893" t="s">
        <v>2111</v>
      </c>
      <c r="L893" s="1">
        <v>41027</v>
      </c>
      <c r="N893" t="s">
        <v>36</v>
      </c>
      <c r="O893" t="s">
        <v>37</v>
      </c>
      <c r="P893" t="s">
        <v>348</v>
      </c>
      <c r="Q893" t="s">
        <v>39</v>
      </c>
      <c r="R893" t="s">
        <v>40</v>
      </c>
      <c r="S893">
        <v>0</v>
      </c>
      <c r="U893" t="s">
        <v>41</v>
      </c>
      <c r="V893" t="s">
        <v>42</v>
      </c>
      <c r="X893" t="s">
        <v>74</v>
      </c>
      <c r="Y893" t="b">
        <v>0</v>
      </c>
      <c r="Z893" t="b">
        <v>0</v>
      </c>
      <c r="AC893" s="1"/>
      <c r="AF893">
        <v>0</v>
      </c>
      <c r="AG893">
        <v>45</v>
      </c>
      <c r="AH893">
        <v>286</v>
      </c>
      <c r="AI893" s="2">
        <f>Table__192.168.3.138DYLAgingReport[[#This Row],[NetAmount]]-Table__192.168.3.138DYLAgingReport[[#This Row],[Paid]]</f>
        <v>11500</v>
      </c>
    </row>
    <row r="894" spans="1:35">
      <c r="A894" t="s">
        <v>2112</v>
      </c>
      <c r="B894" s="1">
        <v>41027</v>
      </c>
      <c r="C894" s="1">
        <v>41072</v>
      </c>
      <c r="D894" t="s">
        <v>211</v>
      </c>
      <c r="E894">
        <v>12782</v>
      </c>
      <c r="F894">
        <v>0</v>
      </c>
      <c r="G894">
        <v>0</v>
      </c>
      <c r="H894">
        <v>0</v>
      </c>
      <c r="I894">
        <v>241</v>
      </c>
      <c r="J894">
        <v>12782</v>
      </c>
      <c r="K894" t="s">
        <v>2113</v>
      </c>
      <c r="L894" s="1">
        <v>41027</v>
      </c>
      <c r="N894" t="s">
        <v>36</v>
      </c>
      <c r="O894" t="s">
        <v>37</v>
      </c>
      <c r="P894" t="s">
        <v>348</v>
      </c>
      <c r="Q894" t="s">
        <v>39</v>
      </c>
      <c r="R894" t="s">
        <v>40</v>
      </c>
      <c r="S894">
        <v>0</v>
      </c>
      <c r="U894" t="s">
        <v>41</v>
      </c>
      <c r="V894" t="s">
        <v>42</v>
      </c>
      <c r="X894" t="s">
        <v>74</v>
      </c>
      <c r="Y894" t="b">
        <v>0</v>
      </c>
      <c r="Z894" t="b">
        <v>0</v>
      </c>
      <c r="AC894" s="1"/>
      <c r="AF894">
        <v>0</v>
      </c>
      <c r="AG894">
        <v>45</v>
      </c>
      <c r="AH894">
        <v>286</v>
      </c>
      <c r="AI894" s="2">
        <f>Table__192.168.3.138DYLAgingReport[[#This Row],[NetAmount]]-Table__192.168.3.138DYLAgingReport[[#This Row],[Paid]]</f>
        <v>12782</v>
      </c>
    </row>
    <row r="895" spans="1:35">
      <c r="A895" t="s">
        <v>2114</v>
      </c>
      <c r="B895" s="1">
        <v>41025</v>
      </c>
      <c r="C895" s="1">
        <v>41070</v>
      </c>
      <c r="D895" t="s">
        <v>201</v>
      </c>
      <c r="E895">
        <v>47540</v>
      </c>
      <c r="F895">
        <v>7606</v>
      </c>
      <c r="G895">
        <v>0</v>
      </c>
      <c r="H895">
        <v>0</v>
      </c>
      <c r="I895">
        <v>243</v>
      </c>
      <c r="J895">
        <v>55146</v>
      </c>
      <c r="K895" t="s">
        <v>2115</v>
      </c>
      <c r="L895" s="1">
        <v>41025</v>
      </c>
      <c r="N895" t="s">
        <v>36</v>
      </c>
      <c r="O895" t="s">
        <v>37</v>
      </c>
      <c r="P895" t="s">
        <v>338</v>
      </c>
      <c r="Q895" t="s">
        <v>39</v>
      </c>
      <c r="R895" t="s">
        <v>40</v>
      </c>
      <c r="S895">
        <v>0</v>
      </c>
      <c r="U895" t="s">
        <v>41</v>
      </c>
      <c r="V895" t="s">
        <v>42</v>
      </c>
      <c r="X895" t="s">
        <v>74</v>
      </c>
      <c r="Y895" t="b">
        <v>0</v>
      </c>
      <c r="Z895" t="b">
        <v>0</v>
      </c>
      <c r="AB895" t="s">
        <v>485</v>
      </c>
      <c r="AC895" s="1">
        <v>41236</v>
      </c>
      <c r="AF895">
        <v>0</v>
      </c>
      <c r="AG895">
        <v>45</v>
      </c>
      <c r="AH895">
        <v>288</v>
      </c>
      <c r="AI895" s="2">
        <f>Table__192.168.3.138DYLAgingReport[[#This Row],[NetAmount]]-Table__192.168.3.138DYLAgingReport[[#This Row],[Paid]]</f>
        <v>55146</v>
      </c>
    </row>
    <row r="896" spans="1:35">
      <c r="A896" t="s">
        <v>2116</v>
      </c>
      <c r="B896" s="1">
        <v>41029</v>
      </c>
      <c r="C896" s="1">
        <v>41074</v>
      </c>
      <c r="D896" t="s">
        <v>201</v>
      </c>
      <c r="E896">
        <v>38032</v>
      </c>
      <c r="F896">
        <v>6085</v>
      </c>
      <c r="G896">
        <v>0</v>
      </c>
      <c r="H896">
        <v>0</v>
      </c>
      <c r="I896">
        <v>242</v>
      </c>
      <c r="J896">
        <v>44117</v>
      </c>
      <c r="K896" t="s">
        <v>2117</v>
      </c>
      <c r="L896" s="1">
        <v>41026</v>
      </c>
      <c r="N896" t="s">
        <v>36</v>
      </c>
      <c r="O896" t="s">
        <v>37</v>
      </c>
      <c r="P896" t="s">
        <v>338</v>
      </c>
      <c r="Q896" t="s">
        <v>39</v>
      </c>
      <c r="R896" t="s">
        <v>40</v>
      </c>
      <c r="S896">
        <v>0</v>
      </c>
      <c r="U896" t="s">
        <v>41</v>
      </c>
      <c r="V896" t="s">
        <v>42</v>
      </c>
      <c r="X896" t="s">
        <v>74</v>
      </c>
      <c r="Y896" t="b">
        <v>0</v>
      </c>
      <c r="Z896" t="b">
        <v>0</v>
      </c>
      <c r="AB896" t="s">
        <v>485</v>
      </c>
      <c r="AC896" s="1">
        <v>41236</v>
      </c>
      <c r="AF896">
        <v>0</v>
      </c>
      <c r="AG896">
        <v>45</v>
      </c>
      <c r="AH896">
        <v>287</v>
      </c>
      <c r="AI896" s="2">
        <f>Table__192.168.3.138DYLAgingReport[[#This Row],[NetAmount]]-Table__192.168.3.138DYLAgingReport[[#This Row],[Paid]]</f>
        <v>44117</v>
      </c>
    </row>
    <row r="897" spans="1:35">
      <c r="A897" t="s">
        <v>2118</v>
      </c>
      <c r="B897" s="1">
        <v>41029</v>
      </c>
      <c r="C897" s="1">
        <v>41074</v>
      </c>
      <c r="D897" t="s">
        <v>288</v>
      </c>
      <c r="E897">
        <v>6760</v>
      </c>
      <c r="F897">
        <v>1082</v>
      </c>
      <c r="G897">
        <v>0</v>
      </c>
      <c r="H897">
        <v>0</v>
      </c>
      <c r="I897">
        <v>239</v>
      </c>
      <c r="J897">
        <v>7842</v>
      </c>
      <c r="K897" t="s">
        <v>2119</v>
      </c>
      <c r="L897" s="1">
        <v>41029</v>
      </c>
      <c r="N897" t="s">
        <v>36</v>
      </c>
      <c r="O897" t="s">
        <v>37</v>
      </c>
      <c r="P897" t="s">
        <v>425</v>
      </c>
      <c r="Q897" t="s">
        <v>39</v>
      </c>
      <c r="R897" t="s">
        <v>40</v>
      </c>
      <c r="S897">
        <v>0</v>
      </c>
      <c r="U897" t="s">
        <v>41</v>
      </c>
      <c r="V897" t="s">
        <v>42</v>
      </c>
      <c r="X897" t="s">
        <v>74</v>
      </c>
      <c r="Y897" t="b">
        <v>0</v>
      </c>
      <c r="Z897" t="b">
        <v>0</v>
      </c>
      <c r="AC897" s="1"/>
      <c r="AF897">
        <v>0</v>
      </c>
      <c r="AG897">
        <v>45</v>
      </c>
      <c r="AH897">
        <v>284</v>
      </c>
      <c r="AI897" s="2">
        <f>Table__192.168.3.138DYLAgingReport[[#This Row],[NetAmount]]-Table__192.168.3.138DYLAgingReport[[#This Row],[Paid]]</f>
        <v>7842</v>
      </c>
    </row>
    <row r="898" spans="1:35">
      <c r="A898" t="s">
        <v>2120</v>
      </c>
      <c r="B898" s="1">
        <v>41010</v>
      </c>
      <c r="C898" s="1">
        <v>41055</v>
      </c>
      <c r="D898" t="s">
        <v>288</v>
      </c>
      <c r="E898">
        <v>17400</v>
      </c>
      <c r="F898">
        <v>2784</v>
      </c>
      <c r="G898">
        <v>0</v>
      </c>
      <c r="H898">
        <v>0</v>
      </c>
      <c r="I898">
        <v>255</v>
      </c>
      <c r="J898">
        <v>20184</v>
      </c>
      <c r="K898" t="s">
        <v>2121</v>
      </c>
      <c r="L898" s="1">
        <v>41013</v>
      </c>
      <c r="N898" t="s">
        <v>36</v>
      </c>
      <c r="O898" t="s">
        <v>37</v>
      </c>
      <c r="P898" t="s">
        <v>425</v>
      </c>
      <c r="Q898" t="s">
        <v>39</v>
      </c>
      <c r="R898" t="s">
        <v>40</v>
      </c>
      <c r="S898">
        <v>0</v>
      </c>
      <c r="U898" t="s">
        <v>41</v>
      </c>
      <c r="V898" t="s">
        <v>42</v>
      </c>
      <c r="X898" t="s">
        <v>74</v>
      </c>
      <c r="Y898" t="b">
        <v>0</v>
      </c>
      <c r="Z898" t="b">
        <v>0</v>
      </c>
      <c r="AC898" s="1"/>
      <c r="AF898">
        <v>0</v>
      </c>
      <c r="AG898">
        <v>45</v>
      </c>
      <c r="AH898">
        <v>300</v>
      </c>
      <c r="AI898" s="2">
        <f>Table__192.168.3.138DYLAgingReport[[#This Row],[NetAmount]]-Table__192.168.3.138DYLAgingReport[[#This Row],[Paid]]</f>
        <v>20184</v>
      </c>
    </row>
    <row r="899" spans="1:35">
      <c r="A899" t="s">
        <v>2122</v>
      </c>
      <c r="B899" s="1">
        <v>41026</v>
      </c>
      <c r="C899" s="1">
        <v>41071</v>
      </c>
      <c r="D899" t="s">
        <v>257</v>
      </c>
      <c r="E899">
        <v>60100</v>
      </c>
      <c r="F899">
        <v>9616</v>
      </c>
      <c r="G899">
        <v>0</v>
      </c>
      <c r="H899">
        <v>0</v>
      </c>
      <c r="I899">
        <v>242</v>
      </c>
      <c r="J899">
        <v>69716</v>
      </c>
      <c r="K899" t="s">
        <v>2123</v>
      </c>
      <c r="L899" s="1">
        <v>41026</v>
      </c>
      <c r="N899" t="s">
        <v>36</v>
      </c>
      <c r="O899" t="s">
        <v>37</v>
      </c>
      <c r="P899" t="s">
        <v>394</v>
      </c>
      <c r="Q899" t="s">
        <v>39</v>
      </c>
      <c r="R899" t="s">
        <v>40</v>
      </c>
      <c r="S899">
        <v>0</v>
      </c>
      <c r="U899" t="s">
        <v>41</v>
      </c>
      <c r="V899" t="s">
        <v>42</v>
      </c>
      <c r="X899" t="s">
        <v>74</v>
      </c>
      <c r="Y899" t="b">
        <v>0</v>
      </c>
      <c r="Z899" t="b">
        <v>0</v>
      </c>
      <c r="AC899" s="1"/>
      <c r="AF899">
        <v>0</v>
      </c>
      <c r="AG899">
        <v>45</v>
      </c>
      <c r="AH899">
        <v>287</v>
      </c>
      <c r="AI899" s="2">
        <f>Table__192.168.3.138DYLAgingReport[[#This Row],[NetAmount]]-Table__192.168.3.138DYLAgingReport[[#This Row],[Paid]]</f>
        <v>69716</v>
      </c>
    </row>
    <row r="900" spans="1:35">
      <c r="A900" t="s">
        <v>2124</v>
      </c>
      <c r="B900" s="1">
        <v>41009</v>
      </c>
      <c r="C900" s="1">
        <v>41054</v>
      </c>
      <c r="D900" t="s">
        <v>569</v>
      </c>
      <c r="E900">
        <v>9338</v>
      </c>
      <c r="F900">
        <v>1494</v>
      </c>
      <c r="G900">
        <v>0</v>
      </c>
      <c r="H900">
        <v>0</v>
      </c>
      <c r="I900">
        <v>259</v>
      </c>
      <c r="J900">
        <v>10832</v>
      </c>
      <c r="K900" t="s">
        <v>2125</v>
      </c>
      <c r="L900" s="1">
        <v>41009</v>
      </c>
      <c r="N900" t="s">
        <v>36</v>
      </c>
      <c r="O900" t="s">
        <v>37</v>
      </c>
      <c r="P900" t="s">
        <v>433</v>
      </c>
      <c r="Q900" t="s">
        <v>39</v>
      </c>
      <c r="R900" t="s">
        <v>40</v>
      </c>
      <c r="S900">
        <v>0</v>
      </c>
      <c r="U900" t="s">
        <v>41</v>
      </c>
      <c r="V900" t="s">
        <v>42</v>
      </c>
      <c r="X900" t="s">
        <v>74</v>
      </c>
      <c r="Y900" t="b">
        <v>0</v>
      </c>
      <c r="Z900" t="b">
        <v>0</v>
      </c>
      <c r="AB900" t="s">
        <v>607</v>
      </c>
      <c r="AC900" s="1">
        <v>41215</v>
      </c>
      <c r="AE900" t="s">
        <v>608</v>
      </c>
      <c r="AF900">
        <v>0</v>
      </c>
      <c r="AG900">
        <v>45</v>
      </c>
      <c r="AH900">
        <v>304</v>
      </c>
      <c r="AI900" s="2">
        <f>Table__192.168.3.138DYLAgingReport[[#This Row],[NetAmount]]-Table__192.168.3.138DYLAgingReport[[#This Row],[Paid]]</f>
        <v>10832</v>
      </c>
    </row>
    <row r="901" spans="1:35">
      <c r="A901" t="s">
        <v>2126</v>
      </c>
      <c r="B901" s="1">
        <v>41015</v>
      </c>
      <c r="C901" s="1">
        <v>41060</v>
      </c>
      <c r="D901" t="s">
        <v>569</v>
      </c>
      <c r="E901">
        <v>78307</v>
      </c>
      <c r="F901">
        <v>12529</v>
      </c>
      <c r="G901">
        <v>0</v>
      </c>
      <c r="H901">
        <v>0</v>
      </c>
      <c r="I901">
        <v>255</v>
      </c>
      <c r="J901">
        <v>90836</v>
      </c>
      <c r="K901" t="s">
        <v>2127</v>
      </c>
      <c r="L901" s="1">
        <v>41013</v>
      </c>
      <c r="N901" t="s">
        <v>36</v>
      </c>
      <c r="O901" t="s">
        <v>37</v>
      </c>
      <c r="P901" t="s">
        <v>433</v>
      </c>
      <c r="Q901" t="s">
        <v>39</v>
      </c>
      <c r="R901" t="s">
        <v>40</v>
      </c>
      <c r="S901">
        <v>0</v>
      </c>
      <c r="U901" t="s">
        <v>41</v>
      </c>
      <c r="V901" t="s">
        <v>42</v>
      </c>
      <c r="X901" t="s">
        <v>74</v>
      </c>
      <c r="Y901" t="b">
        <v>0</v>
      </c>
      <c r="Z901" t="b">
        <v>0</v>
      </c>
      <c r="AB901" t="s">
        <v>607</v>
      </c>
      <c r="AC901" s="1">
        <v>41215</v>
      </c>
      <c r="AE901" t="s">
        <v>608</v>
      </c>
      <c r="AF901">
        <v>0</v>
      </c>
      <c r="AG901">
        <v>45</v>
      </c>
      <c r="AH901">
        <v>300</v>
      </c>
      <c r="AI901" s="2">
        <f>Table__192.168.3.138DYLAgingReport[[#This Row],[NetAmount]]-Table__192.168.3.138DYLAgingReport[[#This Row],[Paid]]</f>
        <v>90836</v>
      </c>
    </row>
    <row r="902" spans="1:35">
      <c r="A902" t="s">
        <v>2128</v>
      </c>
      <c r="B902" s="1">
        <v>41016</v>
      </c>
      <c r="C902" s="1">
        <v>41061</v>
      </c>
      <c r="D902" t="s">
        <v>569</v>
      </c>
      <c r="E902">
        <v>127811</v>
      </c>
      <c r="F902">
        <v>20450</v>
      </c>
      <c r="G902">
        <v>0</v>
      </c>
      <c r="H902">
        <v>0</v>
      </c>
      <c r="I902">
        <v>253</v>
      </c>
      <c r="J902">
        <v>148261</v>
      </c>
      <c r="K902" t="s">
        <v>1293</v>
      </c>
      <c r="L902" s="1">
        <v>41015</v>
      </c>
      <c r="N902" t="s">
        <v>36</v>
      </c>
      <c r="O902" t="s">
        <v>37</v>
      </c>
      <c r="P902" t="s">
        <v>433</v>
      </c>
      <c r="Q902" t="s">
        <v>39</v>
      </c>
      <c r="R902" t="s">
        <v>40</v>
      </c>
      <c r="S902">
        <v>0</v>
      </c>
      <c r="U902" t="s">
        <v>41</v>
      </c>
      <c r="V902" t="s">
        <v>42</v>
      </c>
      <c r="X902" t="s">
        <v>74</v>
      </c>
      <c r="Y902" t="b">
        <v>0</v>
      </c>
      <c r="Z902" t="b">
        <v>0</v>
      </c>
      <c r="AB902" t="s">
        <v>607</v>
      </c>
      <c r="AC902" s="1">
        <v>41215</v>
      </c>
      <c r="AE902" t="s">
        <v>608</v>
      </c>
      <c r="AF902">
        <v>0</v>
      </c>
      <c r="AG902">
        <v>45</v>
      </c>
      <c r="AH902">
        <v>298</v>
      </c>
      <c r="AI902" s="2">
        <f>Table__192.168.3.138DYLAgingReport[[#This Row],[NetAmount]]-Table__192.168.3.138DYLAgingReport[[#This Row],[Paid]]</f>
        <v>148261</v>
      </c>
    </row>
    <row r="903" spans="1:35">
      <c r="A903" t="s">
        <v>2129</v>
      </c>
      <c r="B903" s="1">
        <v>41018</v>
      </c>
      <c r="C903" s="1">
        <v>41063</v>
      </c>
      <c r="D903" t="s">
        <v>569</v>
      </c>
      <c r="E903">
        <v>17725</v>
      </c>
      <c r="F903">
        <v>2836</v>
      </c>
      <c r="G903">
        <v>0</v>
      </c>
      <c r="H903">
        <v>0</v>
      </c>
      <c r="I903">
        <v>251</v>
      </c>
      <c r="J903">
        <v>20561</v>
      </c>
      <c r="K903" t="s">
        <v>2130</v>
      </c>
      <c r="L903" s="1">
        <v>41017</v>
      </c>
      <c r="N903" t="s">
        <v>36</v>
      </c>
      <c r="O903" t="s">
        <v>37</v>
      </c>
      <c r="P903" t="s">
        <v>433</v>
      </c>
      <c r="Q903" t="s">
        <v>39</v>
      </c>
      <c r="R903" t="s">
        <v>40</v>
      </c>
      <c r="S903">
        <v>0</v>
      </c>
      <c r="U903" t="s">
        <v>41</v>
      </c>
      <c r="V903" t="s">
        <v>42</v>
      </c>
      <c r="X903" t="s">
        <v>74</v>
      </c>
      <c r="Y903" t="b">
        <v>0</v>
      </c>
      <c r="Z903" t="b">
        <v>0</v>
      </c>
      <c r="AB903" t="s">
        <v>607</v>
      </c>
      <c r="AC903" s="1">
        <v>41215</v>
      </c>
      <c r="AE903" t="s">
        <v>608</v>
      </c>
      <c r="AF903">
        <v>0</v>
      </c>
      <c r="AG903">
        <v>45</v>
      </c>
      <c r="AH903">
        <v>296</v>
      </c>
      <c r="AI903" s="2">
        <f>Table__192.168.3.138DYLAgingReport[[#This Row],[NetAmount]]-Table__192.168.3.138DYLAgingReport[[#This Row],[Paid]]</f>
        <v>20561</v>
      </c>
    </row>
    <row r="904" spans="1:35">
      <c r="A904" t="s">
        <v>2131</v>
      </c>
      <c r="B904" s="1">
        <v>41019</v>
      </c>
      <c r="C904" s="1">
        <v>41064</v>
      </c>
      <c r="D904" t="s">
        <v>569</v>
      </c>
      <c r="E904">
        <v>263471</v>
      </c>
      <c r="F904">
        <v>42156</v>
      </c>
      <c r="G904">
        <v>0</v>
      </c>
      <c r="H904">
        <v>0</v>
      </c>
      <c r="I904">
        <v>250</v>
      </c>
      <c r="J904">
        <v>305627</v>
      </c>
      <c r="K904" t="s">
        <v>2132</v>
      </c>
      <c r="L904" s="1">
        <v>41018</v>
      </c>
      <c r="N904" t="s">
        <v>36</v>
      </c>
      <c r="O904" t="s">
        <v>37</v>
      </c>
      <c r="P904" t="s">
        <v>433</v>
      </c>
      <c r="Q904" t="s">
        <v>39</v>
      </c>
      <c r="R904" t="s">
        <v>40</v>
      </c>
      <c r="S904">
        <v>0</v>
      </c>
      <c r="U904" t="s">
        <v>41</v>
      </c>
      <c r="V904" t="s">
        <v>42</v>
      </c>
      <c r="X904" t="s">
        <v>74</v>
      </c>
      <c r="Y904" t="b">
        <v>0</v>
      </c>
      <c r="Z904" t="b">
        <v>0</v>
      </c>
      <c r="AB904" t="s">
        <v>607</v>
      </c>
      <c r="AC904" s="1">
        <v>41215</v>
      </c>
      <c r="AE904" t="s">
        <v>608</v>
      </c>
      <c r="AF904">
        <v>0</v>
      </c>
      <c r="AG904">
        <v>45</v>
      </c>
      <c r="AH904">
        <v>295</v>
      </c>
      <c r="AI904" s="2">
        <f>Table__192.168.3.138DYLAgingReport[[#This Row],[NetAmount]]-Table__192.168.3.138DYLAgingReport[[#This Row],[Paid]]</f>
        <v>305627</v>
      </c>
    </row>
    <row r="905" spans="1:35">
      <c r="A905" t="s">
        <v>2133</v>
      </c>
      <c r="B905" s="1">
        <v>41020</v>
      </c>
      <c r="C905" s="1">
        <v>41065</v>
      </c>
      <c r="D905" t="s">
        <v>569</v>
      </c>
      <c r="E905">
        <v>151000</v>
      </c>
      <c r="F905">
        <v>24160</v>
      </c>
      <c r="G905">
        <v>0</v>
      </c>
      <c r="H905">
        <v>0</v>
      </c>
      <c r="I905">
        <v>249</v>
      </c>
      <c r="J905">
        <v>175160</v>
      </c>
      <c r="K905" t="s">
        <v>1314</v>
      </c>
      <c r="L905" s="1">
        <v>41019</v>
      </c>
      <c r="N905" t="s">
        <v>36</v>
      </c>
      <c r="O905" t="s">
        <v>37</v>
      </c>
      <c r="P905" t="s">
        <v>433</v>
      </c>
      <c r="Q905" t="s">
        <v>39</v>
      </c>
      <c r="R905" t="s">
        <v>40</v>
      </c>
      <c r="S905">
        <v>0</v>
      </c>
      <c r="U905" t="s">
        <v>41</v>
      </c>
      <c r="V905" t="s">
        <v>42</v>
      </c>
      <c r="X905" t="s">
        <v>74</v>
      </c>
      <c r="Y905" t="b">
        <v>0</v>
      </c>
      <c r="Z905" t="b">
        <v>0</v>
      </c>
      <c r="AB905" t="s">
        <v>607</v>
      </c>
      <c r="AC905" s="1">
        <v>41215</v>
      </c>
      <c r="AE905" t="s">
        <v>608</v>
      </c>
      <c r="AF905">
        <v>0</v>
      </c>
      <c r="AG905">
        <v>45</v>
      </c>
      <c r="AH905">
        <v>294</v>
      </c>
      <c r="AI905" s="2">
        <f>Table__192.168.3.138DYLAgingReport[[#This Row],[NetAmount]]-Table__192.168.3.138DYLAgingReport[[#This Row],[Paid]]</f>
        <v>175160</v>
      </c>
    </row>
    <row r="906" spans="1:35">
      <c r="A906" t="s">
        <v>2134</v>
      </c>
      <c r="B906" s="1">
        <v>41006</v>
      </c>
      <c r="C906" s="1">
        <v>41051</v>
      </c>
      <c r="D906" t="s">
        <v>192</v>
      </c>
      <c r="E906">
        <v>64260</v>
      </c>
      <c r="F906">
        <v>10282</v>
      </c>
      <c r="G906">
        <v>0</v>
      </c>
      <c r="H906">
        <v>0</v>
      </c>
      <c r="I906">
        <v>262</v>
      </c>
      <c r="J906">
        <v>74542</v>
      </c>
      <c r="K906" t="s">
        <v>2135</v>
      </c>
      <c r="L906" s="1">
        <v>41006</v>
      </c>
      <c r="N906" t="s">
        <v>36</v>
      </c>
      <c r="O906" t="s">
        <v>37</v>
      </c>
      <c r="P906" t="s">
        <v>329</v>
      </c>
      <c r="Q906" t="s">
        <v>39</v>
      </c>
      <c r="R906" t="s">
        <v>40</v>
      </c>
      <c r="S906">
        <v>0</v>
      </c>
      <c r="U906" t="s">
        <v>41</v>
      </c>
      <c r="V906" t="s">
        <v>42</v>
      </c>
      <c r="X906" t="s">
        <v>74</v>
      </c>
      <c r="Y906" t="b">
        <v>0</v>
      </c>
      <c r="Z906" t="b">
        <v>0</v>
      </c>
      <c r="AC906" s="1"/>
      <c r="AF906">
        <v>0</v>
      </c>
      <c r="AG906">
        <v>45</v>
      </c>
      <c r="AH906">
        <v>307</v>
      </c>
      <c r="AI906" s="2">
        <f>Table__192.168.3.138DYLAgingReport[[#This Row],[NetAmount]]-Table__192.168.3.138DYLAgingReport[[#This Row],[Paid]]</f>
        <v>74542</v>
      </c>
    </row>
    <row r="907" spans="1:35">
      <c r="A907" t="s">
        <v>2136</v>
      </c>
      <c r="B907" s="1">
        <v>41010</v>
      </c>
      <c r="C907" s="1">
        <v>41055</v>
      </c>
      <c r="D907" t="s">
        <v>569</v>
      </c>
      <c r="E907">
        <v>6450</v>
      </c>
      <c r="F907">
        <v>1032</v>
      </c>
      <c r="G907">
        <v>0</v>
      </c>
      <c r="H907">
        <v>0</v>
      </c>
      <c r="I907">
        <v>258</v>
      </c>
      <c r="J907">
        <v>7482</v>
      </c>
      <c r="K907" t="s">
        <v>2137</v>
      </c>
      <c r="L907" s="1">
        <v>41010</v>
      </c>
      <c r="N907" t="s">
        <v>36</v>
      </c>
      <c r="O907" t="s">
        <v>37</v>
      </c>
      <c r="P907" t="s">
        <v>433</v>
      </c>
      <c r="Q907" t="s">
        <v>39</v>
      </c>
      <c r="R907" t="s">
        <v>40</v>
      </c>
      <c r="S907">
        <v>0</v>
      </c>
      <c r="U907" t="s">
        <v>41</v>
      </c>
      <c r="V907" t="s">
        <v>42</v>
      </c>
      <c r="X907" t="s">
        <v>74</v>
      </c>
      <c r="Y907" t="b">
        <v>0</v>
      </c>
      <c r="Z907" t="b">
        <v>0</v>
      </c>
      <c r="AB907" t="s">
        <v>607</v>
      </c>
      <c r="AC907" s="1">
        <v>41215</v>
      </c>
      <c r="AE907" t="s">
        <v>608</v>
      </c>
      <c r="AF907">
        <v>0</v>
      </c>
      <c r="AG907">
        <v>45</v>
      </c>
      <c r="AH907">
        <v>303</v>
      </c>
      <c r="AI907" s="2">
        <f>Table__192.168.3.138DYLAgingReport[[#This Row],[NetAmount]]-Table__192.168.3.138DYLAgingReport[[#This Row],[Paid]]</f>
        <v>7482</v>
      </c>
    </row>
    <row r="908" spans="1:35">
      <c r="A908" t="s">
        <v>2138</v>
      </c>
      <c r="B908" s="1">
        <v>41026</v>
      </c>
      <c r="C908" s="1">
        <v>41071</v>
      </c>
      <c r="D908" t="s">
        <v>259</v>
      </c>
      <c r="E908">
        <v>8466</v>
      </c>
      <c r="F908">
        <v>1354</v>
      </c>
      <c r="G908">
        <v>0</v>
      </c>
      <c r="H908">
        <v>0</v>
      </c>
      <c r="I908">
        <v>248</v>
      </c>
      <c r="J908">
        <v>9820</v>
      </c>
      <c r="K908" t="s">
        <v>2139</v>
      </c>
      <c r="L908" s="1">
        <v>41020</v>
      </c>
      <c r="N908" t="s">
        <v>36</v>
      </c>
      <c r="O908" t="s">
        <v>37</v>
      </c>
      <c r="P908" t="s">
        <v>396</v>
      </c>
      <c r="Q908" t="s">
        <v>39</v>
      </c>
      <c r="R908" t="s">
        <v>40</v>
      </c>
      <c r="S908">
        <v>0</v>
      </c>
      <c r="U908" t="s">
        <v>41</v>
      </c>
      <c r="V908" t="s">
        <v>42</v>
      </c>
      <c r="X908" t="s">
        <v>74</v>
      </c>
      <c r="Y908" t="b">
        <v>0</v>
      </c>
      <c r="Z908" t="b">
        <v>0</v>
      </c>
      <c r="AC908" s="1"/>
      <c r="AF908">
        <v>0</v>
      </c>
      <c r="AG908">
        <v>45</v>
      </c>
      <c r="AH908">
        <v>293</v>
      </c>
      <c r="AI908" s="2">
        <f>Table__192.168.3.138DYLAgingReport[[#This Row],[NetAmount]]-Table__192.168.3.138DYLAgingReport[[#This Row],[Paid]]</f>
        <v>9820</v>
      </c>
    </row>
    <row r="909" spans="1:35">
      <c r="A909" t="s">
        <v>2140</v>
      </c>
      <c r="B909" s="1">
        <v>41024</v>
      </c>
      <c r="C909" s="1">
        <v>41069</v>
      </c>
      <c r="D909" t="s">
        <v>270</v>
      </c>
      <c r="E909">
        <v>390500</v>
      </c>
      <c r="F909">
        <v>62480</v>
      </c>
      <c r="G909">
        <v>0</v>
      </c>
      <c r="H909">
        <v>0</v>
      </c>
      <c r="I909">
        <v>259</v>
      </c>
      <c r="J909">
        <v>452980</v>
      </c>
      <c r="K909" t="s">
        <v>2141</v>
      </c>
      <c r="L909" s="1">
        <v>41024</v>
      </c>
      <c r="N909" t="s">
        <v>36</v>
      </c>
      <c r="O909" t="s">
        <v>37</v>
      </c>
      <c r="P909" t="s">
        <v>407</v>
      </c>
      <c r="Q909" t="s">
        <v>39</v>
      </c>
      <c r="R909" t="s">
        <v>40</v>
      </c>
      <c r="S909">
        <v>0</v>
      </c>
      <c r="U909" t="s">
        <v>41</v>
      </c>
      <c r="V909" t="s">
        <v>42</v>
      </c>
      <c r="X909" t="s">
        <v>74</v>
      </c>
      <c r="Y909" t="b">
        <v>0</v>
      </c>
      <c r="Z909" t="b">
        <v>0</v>
      </c>
      <c r="AB909" t="s">
        <v>2027</v>
      </c>
      <c r="AC909" s="1">
        <v>41225</v>
      </c>
      <c r="AF909">
        <v>0</v>
      </c>
      <c r="AG909">
        <v>30</v>
      </c>
      <c r="AH909">
        <v>289</v>
      </c>
      <c r="AI909" s="2">
        <f>Table__192.168.3.138DYLAgingReport[[#This Row],[NetAmount]]-Table__192.168.3.138DYLAgingReport[[#This Row],[Paid]]</f>
        <v>452980</v>
      </c>
    </row>
    <row r="910" spans="1:35">
      <c r="A910" t="s">
        <v>2142</v>
      </c>
      <c r="B910" s="1">
        <v>41029</v>
      </c>
      <c r="C910" s="1">
        <v>41074</v>
      </c>
      <c r="D910" t="s">
        <v>202</v>
      </c>
      <c r="E910">
        <v>3344</v>
      </c>
      <c r="F910">
        <v>535</v>
      </c>
      <c r="G910">
        <v>0</v>
      </c>
      <c r="H910">
        <v>0</v>
      </c>
      <c r="I910">
        <v>241</v>
      </c>
      <c r="J910">
        <v>3879</v>
      </c>
      <c r="K910" t="s">
        <v>2143</v>
      </c>
      <c r="L910" s="1">
        <v>41027</v>
      </c>
      <c r="N910" t="s">
        <v>36</v>
      </c>
      <c r="O910" t="s">
        <v>37</v>
      </c>
      <c r="P910" t="s">
        <v>339</v>
      </c>
      <c r="Q910" t="s">
        <v>39</v>
      </c>
      <c r="R910" t="s">
        <v>40</v>
      </c>
      <c r="S910">
        <v>0</v>
      </c>
      <c r="U910" t="s">
        <v>41</v>
      </c>
      <c r="V910" t="s">
        <v>42</v>
      </c>
      <c r="X910" t="s">
        <v>74</v>
      </c>
      <c r="Y910" t="b">
        <v>0</v>
      </c>
      <c r="Z910" t="b">
        <v>0</v>
      </c>
      <c r="AC910" s="1"/>
      <c r="AF910">
        <v>0</v>
      </c>
      <c r="AG910">
        <v>45</v>
      </c>
      <c r="AH910">
        <v>286</v>
      </c>
      <c r="AI910" s="2">
        <f>Table__192.168.3.138DYLAgingReport[[#This Row],[NetAmount]]-Table__192.168.3.138DYLAgingReport[[#This Row],[Paid]]</f>
        <v>3879</v>
      </c>
    </row>
    <row r="911" spans="1:35">
      <c r="A911" t="s">
        <v>2144</v>
      </c>
      <c r="B911" s="1">
        <v>41029</v>
      </c>
      <c r="C911" s="1">
        <v>41074</v>
      </c>
      <c r="D911" t="s">
        <v>273</v>
      </c>
      <c r="E911">
        <v>2002000</v>
      </c>
      <c r="F911">
        <v>320320</v>
      </c>
      <c r="G911">
        <v>0</v>
      </c>
      <c r="H911">
        <v>0</v>
      </c>
      <c r="I911">
        <v>243</v>
      </c>
      <c r="J911">
        <v>2322320</v>
      </c>
      <c r="K911" t="s">
        <v>2145</v>
      </c>
      <c r="L911" s="1">
        <v>41025</v>
      </c>
      <c r="N911" t="s">
        <v>36</v>
      </c>
      <c r="O911" t="s">
        <v>37</v>
      </c>
      <c r="P911" t="s">
        <v>410</v>
      </c>
      <c r="Q911" t="s">
        <v>39</v>
      </c>
      <c r="R911" t="s">
        <v>40</v>
      </c>
      <c r="S911">
        <v>0</v>
      </c>
      <c r="U911" t="s">
        <v>41</v>
      </c>
      <c r="V911" t="s">
        <v>42</v>
      </c>
      <c r="X911" t="s">
        <v>74</v>
      </c>
      <c r="Y911" t="b">
        <v>0</v>
      </c>
      <c r="Z911" t="b">
        <v>0</v>
      </c>
      <c r="AB911" t="s">
        <v>620</v>
      </c>
      <c r="AC911" s="1">
        <v>41124</v>
      </c>
      <c r="AD911" t="s">
        <v>2146</v>
      </c>
      <c r="AE911" t="s">
        <v>621</v>
      </c>
      <c r="AF911">
        <v>1880091</v>
      </c>
      <c r="AG911">
        <v>45</v>
      </c>
      <c r="AH911">
        <v>288</v>
      </c>
      <c r="AI911" s="2">
        <f>Table__192.168.3.138DYLAgingReport[[#This Row],[NetAmount]]-Table__192.168.3.138DYLAgingReport[[#This Row],[Paid]]</f>
        <v>442229</v>
      </c>
    </row>
    <row r="912" spans="1:35">
      <c r="A912" t="s">
        <v>2147</v>
      </c>
      <c r="B912" s="1">
        <v>41029</v>
      </c>
      <c r="C912" s="1">
        <v>41074</v>
      </c>
      <c r="D912" t="s">
        <v>201</v>
      </c>
      <c r="E912">
        <v>47540</v>
      </c>
      <c r="F912">
        <v>7606</v>
      </c>
      <c r="G912">
        <v>0</v>
      </c>
      <c r="H912">
        <v>0</v>
      </c>
      <c r="I912">
        <v>239</v>
      </c>
      <c r="J912">
        <v>55146</v>
      </c>
      <c r="K912" t="s">
        <v>2148</v>
      </c>
      <c r="L912" s="1">
        <v>41029</v>
      </c>
      <c r="N912" t="s">
        <v>36</v>
      </c>
      <c r="O912" t="s">
        <v>37</v>
      </c>
      <c r="P912" t="s">
        <v>338</v>
      </c>
      <c r="Q912" t="s">
        <v>39</v>
      </c>
      <c r="R912" t="s">
        <v>40</v>
      </c>
      <c r="S912">
        <v>0</v>
      </c>
      <c r="U912" t="s">
        <v>41</v>
      </c>
      <c r="V912" t="s">
        <v>42</v>
      </c>
      <c r="X912" t="s">
        <v>74</v>
      </c>
      <c r="Y912" t="b">
        <v>0</v>
      </c>
      <c r="Z912" t="b">
        <v>0</v>
      </c>
      <c r="AB912" t="s">
        <v>485</v>
      </c>
      <c r="AC912" s="1">
        <v>41236</v>
      </c>
      <c r="AF912">
        <v>0</v>
      </c>
      <c r="AG912">
        <v>45</v>
      </c>
      <c r="AH912">
        <v>284</v>
      </c>
      <c r="AI912" s="2">
        <f>Table__192.168.3.138DYLAgingReport[[#This Row],[NetAmount]]-Table__192.168.3.138DYLAgingReport[[#This Row],[Paid]]</f>
        <v>55146</v>
      </c>
    </row>
    <row r="913" spans="1:35">
      <c r="A913" t="s">
        <v>2149</v>
      </c>
      <c r="B913" s="1">
        <v>41029</v>
      </c>
      <c r="C913" s="1">
        <v>41074</v>
      </c>
      <c r="D913" t="s">
        <v>172</v>
      </c>
      <c r="E913">
        <v>63322</v>
      </c>
      <c r="F913">
        <v>10131</v>
      </c>
      <c r="G913">
        <v>0</v>
      </c>
      <c r="H913">
        <v>0</v>
      </c>
      <c r="I913">
        <v>239</v>
      </c>
      <c r="J913">
        <v>73453</v>
      </c>
      <c r="K913" t="s">
        <v>2150</v>
      </c>
      <c r="L913" s="1">
        <v>41029</v>
      </c>
      <c r="N913" t="s">
        <v>36</v>
      </c>
      <c r="O913" t="s">
        <v>37</v>
      </c>
      <c r="P913" t="s">
        <v>309</v>
      </c>
      <c r="Q913" t="s">
        <v>39</v>
      </c>
      <c r="R913" t="s">
        <v>40</v>
      </c>
      <c r="S913">
        <v>0</v>
      </c>
      <c r="U913" t="s">
        <v>41</v>
      </c>
      <c r="V913" t="s">
        <v>42</v>
      </c>
      <c r="X913" t="s">
        <v>74</v>
      </c>
      <c r="Y913" t="b">
        <v>0</v>
      </c>
      <c r="Z913" t="b">
        <v>0</v>
      </c>
      <c r="AC913" s="1"/>
      <c r="AF913">
        <v>0</v>
      </c>
      <c r="AG913">
        <v>45</v>
      </c>
      <c r="AH913">
        <v>284</v>
      </c>
      <c r="AI913" s="2">
        <f>Table__192.168.3.138DYLAgingReport[[#This Row],[NetAmount]]-Table__192.168.3.138DYLAgingReport[[#This Row],[Paid]]</f>
        <v>73453</v>
      </c>
    </row>
    <row r="914" spans="1:35">
      <c r="A914" t="s">
        <v>2151</v>
      </c>
      <c r="B914" s="1">
        <v>41029</v>
      </c>
      <c r="C914" s="1">
        <v>41074</v>
      </c>
      <c r="D914" t="s">
        <v>569</v>
      </c>
      <c r="E914">
        <v>78150</v>
      </c>
      <c r="F914">
        <v>12504</v>
      </c>
      <c r="G914">
        <v>0</v>
      </c>
      <c r="H914">
        <v>0</v>
      </c>
      <c r="I914">
        <v>239</v>
      </c>
      <c r="J914">
        <v>90654</v>
      </c>
      <c r="K914" t="s">
        <v>2152</v>
      </c>
      <c r="L914" s="1">
        <v>41029</v>
      </c>
      <c r="N914" t="s">
        <v>36</v>
      </c>
      <c r="O914" t="s">
        <v>37</v>
      </c>
      <c r="P914" t="s">
        <v>433</v>
      </c>
      <c r="Q914" t="s">
        <v>39</v>
      </c>
      <c r="R914" t="s">
        <v>40</v>
      </c>
      <c r="S914">
        <v>0</v>
      </c>
      <c r="U914" t="s">
        <v>41</v>
      </c>
      <c r="V914" t="s">
        <v>42</v>
      </c>
      <c r="X914" t="s">
        <v>74</v>
      </c>
      <c r="Y914" t="b">
        <v>0</v>
      </c>
      <c r="Z914" t="b">
        <v>0</v>
      </c>
      <c r="AB914" t="s">
        <v>607</v>
      </c>
      <c r="AC914" s="1">
        <v>41215</v>
      </c>
      <c r="AE914" t="s">
        <v>608</v>
      </c>
      <c r="AF914">
        <v>0</v>
      </c>
      <c r="AG914">
        <v>45</v>
      </c>
      <c r="AH914">
        <v>284</v>
      </c>
      <c r="AI914" s="2">
        <f>Table__192.168.3.138DYLAgingReport[[#This Row],[NetAmount]]-Table__192.168.3.138DYLAgingReport[[#This Row],[Paid]]</f>
        <v>90654</v>
      </c>
    </row>
    <row r="915" spans="1:35">
      <c r="A915" t="s">
        <v>2153</v>
      </c>
      <c r="B915" s="1">
        <v>41024</v>
      </c>
      <c r="C915" s="1">
        <v>41069</v>
      </c>
      <c r="D915" t="s">
        <v>569</v>
      </c>
      <c r="E915">
        <v>45875</v>
      </c>
      <c r="F915">
        <v>7340</v>
      </c>
      <c r="G915">
        <v>0</v>
      </c>
      <c r="H915">
        <v>0</v>
      </c>
      <c r="I915">
        <v>244</v>
      </c>
      <c r="J915">
        <v>53215</v>
      </c>
      <c r="K915" t="s">
        <v>2154</v>
      </c>
      <c r="L915" s="1">
        <v>41024</v>
      </c>
      <c r="N915" t="s">
        <v>36</v>
      </c>
      <c r="O915" t="s">
        <v>37</v>
      </c>
      <c r="P915" t="s">
        <v>433</v>
      </c>
      <c r="Q915" t="s">
        <v>39</v>
      </c>
      <c r="R915" t="s">
        <v>40</v>
      </c>
      <c r="S915">
        <v>0</v>
      </c>
      <c r="U915" t="s">
        <v>41</v>
      </c>
      <c r="V915" t="s">
        <v>42</v>
      </c>
      <c r="X915" t="s">
        <v>74</v>
      </c>
      <c r="Y915" t="b">
        <v>0</v>
      </c>
      <c r="Z915" t="b">
        <v>0</v>
      </c>
      <c r="AB915" t="s">
        <v>607</v>
      </c>
      <c r="AC915" s="1">
        <v>41215</v>
      </c>
      <c r="AE915" t="s">
        <v>608</v>
      </c>
      <c r="AF915">
        <v>0</v>
      </c>
      <c r="AG915">
        <v>45</v>
      </c>
      <c r="AH915">
        <v>289</v>
      </c>
      <c r="AI915" s="2">
        <f>Table__192.168.3.138DYLAgingReport[[#This Row],[NetAmount]]-Table__192.168.3.138DYLAgingReport[[#This Row],[Paid]]</f>
        <v>53215</v>
      </c>
    </row>
    <row r="916" spans="1:35">
      <c r="A916" t="s">
        <v>2155</v>
      </c>
      <c r="B916" s="1">
        <v>41022</v>
      </c>
      <c r="C916" s="1">
        <v>41067</v>
      </c>
      <c r="D916" t="s">
        <v>569</v>
      </c>
      <c r="E916">
        <v>112150</v>
      </c>
      <c r="F916">
        <v>17944</v>
      </c>
      <c r="G916">
        <v>0</v>
      </c>
      <c r="H916">
        <v>0</v>
      </c>
      <c r="I916">
        <v>246</v>
      </c>
      <c r="J916">
        <v>130094</v>
      </c>
      <c r="K916" t="s">
        <v>2156</v>
      </c>
      <c r="L916" s="1">
        <v>41022</v>
      </c>
      <c r="N916" t="s">
        <v>36</v>
      </c>
      <c r="O916" t="s">
        <v>37</v>
      </c>
      <c r="P916" t="s">
        <v>433</v>
      </c>
      <c r="Q916" t="s">
        <v>39</v>
      </c>
      <c r="R916" t="s">
        <v>40</v>
      </c>
      <c r="S916">
        <v>0</v>
      </c>
      <c r="U916" t="s">
        <v>41</v>
      </c>
      <c r="V916" t="s">
        <v>42</v>
      </c>
      <c r="X916" t="s">
        <v>74</v>
      </c>
      <c r="Y916" t="b">
        <v>0</v>
      </c>
      <c r="Z916" t="b">
        <v>0</v>
      </c>
      <c r="AB916" t="s">
        <v>607</v>
      </c>
      <c r="AC916" s="1">
        <v>41215</v>
      </c>
      <c r="AE916" t="s">
        <v>608</v>
      </c>
      <c r="AF916">
        <v>0</v>
      </c>
      <c r="AG916">
        <v>45</v>
      </c>
      <c r="AH916">
        <v>291</v>
      </c>
      <c r="AI916" s="2">
        <f>Table__192.168.3.138DYLAgingReport[[#This Row],[NetAmount]]-Table__192.168.3.138DYLAgingReport[[#This Row],[Paid]]</f>
        <v>130094</v>
      </c>
    </row>
    <row r="917" spans="1:35">
      <c r="A917" t="s">
        <v>2157</v>
      </c>
      <c r="B917" s="1">
        <v>41029</v>
      </c>
      <c r="C917" s="1">
        <v>41074</v>
      </c>
      <c r="D917" t="s">
        <v>268</v>
      </c>
      <c r="E917">
        <v>102500</v>
      </c>
      <c r="F917">
        <v>16400</v>
      </c>
      <c r="G917">
        <v>0</v>
      </c>
      <c r="H917">
        <v>0</v>
      </c>
      <c r="I917">
        <v>239</v>
      </c>
      <c r="J917">
        <v>118900</v>
      </c>
      <c r="K917" t="s">
        <v>2158</v>
      </c>
      <c r="L917" s="1">
        <v>41029</v>
      </c>
      <c r="N917" t="s">
        <v>36</v>
      </c>
      <c r="O917" t="s">
        <v>37</v>
      </c>
      <c r="P917" t="s">
        <v>405</v>
      </c>
      <c r="Q917" t="s">
        <v>39</v>
      </c>
      <c r="R917" t="s">
        <v>40</v>
      </c>
      <c r="S917">
        <v>0</v>
      </c>
      <c r="U917" t="s">
        <v>41</v>
      </c>
      <c r="V917" t="s">
        <v>42</v>
      </c>
      <c r="X917" t="s">
        <v>74</v>
      </c>
      <c r="Y917" t="b">
        <v>0</v>
      </c>
      <c r="Z917" t="b">
        <v>0</v>
      </c>
      <c r="AB917" t="s">
        <v>638</v>
      </c>
      <c r="AC917" s="1">
        <v>41219</v>
      </c>
      <c r="AF917">
        <v>0</v>
      </c>
      <c r="AG917">
        <v>45</v>
      </c>
      <c r="AH917">
        <v>284</v>
      </c>
      <c r="AI917" s="2">
        <f>Table__192.168.3.138DYLAgingReport[[#This Row],[NetAmount]]-Table__192.168.3.138DYLAgingReport[[#This Row],[Paid]]</f>
        <v>118900</v>
      </c>
    </row>
    <row r="918" spans="1:35">
      <c r="A918" t="s">
        <v>2159</v>
      </c>
      <c r="B918" s="1">
        <v>41024</v>
      </c>
      <c r="C918" s="1">
        <v>41069</v>
      </c>
      <c r="D918" t="s">
        <v>288</v>
      </c>
      <c r="E918">
        <v>18977</v>
      </c>
      <c r="F918">
        <v>3035</v>
      </c>
      <c r="G918">
        <v>0</v>
      </c>
      <c r="H918">
        <v>0</v>
      </c>
      <c r="I918">
        <v>245</v>
      </c>
      <c r="J918">
        <v>22012</v>
      </c>
      <c r="K918" t="s">
        <v>2160</v>
      </c>
      <c r="L918" s="1">
        <v>41023</v>
      </c>
      <c r="N918" t="s">
        <v>36</v>
      </c>
      <c r="O918" t="s">
        <v>37</v>
      </c>
      <c r="P918" t="s">
        <v>425</v>
      </c>
      <c r="Q918" t="s">
        <v>39</v>
      </c>
      <c r="R918" t="s">
        <v>40</v>
      </c>
      <c r="S918">
        <v>0</v>
      </c>
      <c r="U918" t="s">
        <v>41</v>
      </c>
      <c r="V918" t="s">
        <v>42</v>
      </c>
      <c r="X918" t="s">
        <v>74</v>
      </c>
      <c r="Y918" t="b">
        <v>0</v>
      </c>
      <c r="Z918" t="b">
        <v>0</v>
      </c>
      <c r="AC918" s="1"/>
      <c r="AF918">
        <v>0</v>
      </c>
      <c r="AG918">
        <v>45</v>
      </c>
      <c r="AH918">
        <v>290</v>
      </c>
      <c r="AI918" s="2">
        <f>Table__192.168.3.138DYLAgingReport[[#This Row],[NetAmount]]-Table__192.168.3.138DYLAgingReport[[#This Row],[Paid]]</f>
        <v>22012</v>
      </c>
    </row>
    <row r="919" spans="1:35">
      <c r="A919" t="s">
        <v>2161</v>
      </c>
      <c r="B919" s="1">
        <v>41004</v>
      </c>
      <c r="C919" s="1">
        <v>41049</v>
      </c>
      <c r="D919" t="s">
        <v>276</v>
      </c>
      <c r="E919">
        <v>7250</v>
      </c>
      <c r="F919">
        <v>1160</v>
      </c>
      <c r="G919">
        <v>0</v>
      </c>
      <c r="H919">
        <v>0</v>
      </c>
      <c r="I919">
        <v>264</v>
      </c>
      <c r="J919">
        <v>8410</v>
      </c>
      <c r="K919" t="s">
        <v>2162</v>
      </c>
      <c r="L919" s="1">
        <v>41004</v>
      </c>
      <c r="N919" t="s">
        <v>36</v>
      </c>
      <c r="O919" t="s">
        <v>37</v>
      </c>
      <c r="P919" t="s">
        <v>413</v>
      </c>
      <c r="Q919" t="s">
        <v>39</v>
      </c>
      <c r="R919" t="s">
        <v>40</v>
      </c>
      <c r="S919">
        <v>0</v>
      </c>
      <c r="U919" t="s">
        <v>41</v>
      </c>
      <c r="V919" t="s">
        <v>42</v>
      </c>
      <c r="X919" t="s">
        <v>74</v>
      </c>
      <c r="Y919" t="b">
        <v>0</v>
      </c>
      <c r="Z919" t="b">
        <v>0</v>
      </c>
      <c r="AB919" t="s">
        <v>2163</v>
      </c>
      <c r="AC919" s="1">
        <v>41163</v>
      </c>
      <c r="AE919" t="s">
        <v>2164</v>
      </c>
      <c r="AF919">
        <v>0</v>
      </c>
      <c r="AG919">
        <v>45</v>
      </c>
      <c r="AH919">
        <v>309</v>
      </c>
      <c r="AI919" s="2">
        <f>Table__192.168.3.138DYLAgingReport[[#This Row],[NetAmount]]-Table__192.168.3.138DYLAgingReport[[#This Row],[Paid]]</f>
        <v>8410</v>
      </c>
    </row>
    <row r="920" spans="1:35">
      <c r="A920" t="s">
        <v>2165</v>
      </c>
      <c r="B920" s="1">
        <v>41022</v>
      </c>
      <c r="C920" s="1">
        <v>41067</v>
      </c>
      <c r="D920" t="s">
        <v>569</v>
      </c>
      <c r="E920">
        <v>12024</v>
      </c>
      <c r="F920">
        <v>1924</v>
      </c>
      <c r="G920">
        <v>0</v>
      </c>
      <c r="H920">
        <v>0</v>
      </c>
      <c r="I920">
        <v>246</v>
      </c>
      <c r="J920">
        <v>13948</v>
      </c>
      <c r="K920" t="s">
        <v>2166</v>
      </c>
      <c r="L920" s="1">
        <v>41022</v>
      </c>
      <c r="N920" t="s">
        <v>36</v>
      </c>
      <c r="O920" t="s">
        <v>37</v>
      </c>
      <c r="P920" t="s">
        <v>433</v>
      </c>
      <c r="Q920" t="s">
        <v>39</v>
      </c>
      <c r="R920" t="s">
        <v>40</v>
      </c>
      <c r="S920">
        <v>0</v>
      </c>
      <c r="U920" t="s">
        <v>41</v>
      </c>
      <c r="V920" t="s">
        <v>42</v>
      </c>
      <c r="X920" t="s">
        <v>74</v>
      </c>
      <c r="Y920" t="b">
        <v>0</v>
      </c>
      <c r="Z920" t="b">
        <v>0</v>
      </c>
      <c r="AB920" t="s">
        <v>607</v>
      </c>
      <c r="AC920" s="1">
        <v>41215</v>
      </c>
      <c r="AE920" t="s">
        <v>608</v>
      </c>
      <c r="AF920">
        <v>0</v>
      </c>
      <c r="AG920">
        <v>45</v>
      </c>
      <c r="AH920">
        <v>291</v>
      </c>
      <c r="AI920" s="2">
        <f>Table__192.168.3.138DYLAgingReport[[#This Row],[NetAmount]]-Table__192.168.3.138DYLAgingReport[[#This Row],[Paid]]</f>
        <v>13948</v>
      </c>
    </row>
    <row r="921" spans="1:35">
      <c r="A921" t="s">
        <v>2167</v>
      </c>
      <c r="B921" s="1">
        <v>41020</v>
      </c>
      <c r="C921" s="1">
        <v>41065</v>
      </c>
      <c r="D921" t="s">
        <v>569</v>
      </c>
      <c r="E921">
        <v>58800</v>
      </c>
      <c r="F921">
        <v>9408</v>
      </c>
      <c r="G921">
        <v>0</v>
      </c>
      <c r="H921">
        <v>0</v>
      </c>
      <c r="I921">
        <v>249</v>
      </c>
      <c r="J921">
        <v>68208</v>
      </c>
      <c r="K921" t="s">
        <v>1307</v>
      </c>
      <c r="L921" s="1">
        <v>41019</v>
      </c>
      <c r="N921" t="s">
        <v>36</v>
      </c>
      <c r="O921" t="s">
        <v>37</v>
      </c>
      <c r="P921" t="s">
        <v>433</v>
      </c>
      <c r="Q921" t="s">
        <v>39</v>
      </c>
      <c r="R921" t="s">
        <v>40</v>
      </c>
      <c r="S921">
        <v>0</v>
      </c>
      <c r="U921" t="s">
        <v>41</v>
      </c>
      <c r="V921" t="s">
        <v>42</v>
      </c>
      <c r="X921" t="s">
        <v>74</v>
      </c>
      <c r="Y921" t="b">
        <v>0</v>
      </c>
      <c r="Z921" t="b">
        <v>0</v>
      </c>
      <c r="AB921" t="s">
        <v>607</v>
      </c>
      <c r="AC921" s="1">
        <v>41215</v>
      </c>
      <c r="AE921" t="s">
        <v>608</v>
      </c>
      <c r="AF921">
        <v>0</v>
      </c>
      <c r="AG921">
        <v>45</v>
      </c>
      <c r="AH921">
        <v>294</v>
      </c>
      <c r="AI921" s="2">
        <f>Table__192.168.3.138DYLAgingReport[[#This Row],[NetAmount]]-Table__192.168.3.138DYLAgingReport[[#This Row],[Paid]]</f>
        <v>68208</v>
      </c>
    </row>
    <row r="922" spans="1:35">
      <c r="A922" t="s">
        <v>2168</v>
      </c>
      <c r="B922" s="1">
        <v>41027</v>
      </c>
      <c r="C922" s="1">
        <v>41072</v>
      </c>
      <c r="D922" t="s">
        <v>569</v>
      </c>
      <c r="E922">
        <v>221000</v>
      </c>
      <c r="F922">
        <v>35360</v>
      </c>
      <c r="G922">
        <v>0</v>
      </c>
      <c r="H922">
        <v>0</v>
      </c>
      <c r="I922">
        <v>241</v>
      </c>
      <c r="J922">
        <v>256360</v>
      </c>
      <c r="K922" t="s">
        <v>2169</v>
      </c>
      <c r="L922" s="1">
        <v>41027</v>
      </c>
      <c r="N922" t="s">
        <v>36</v>
      </c>
      <c r="O922" t="s">
        <v>37</v>
      </c>
      <c r="P922" t="s">
        <v>433</v>
      </c>
      <c r="Q922" t="s">
        <v>39</v>
      </c>
      <c r="R922" t="s">
        <v>40</v>
      </c>
      <c r="S922">
        <v>0</v>
      </c>
      <c r="U922" t="s">
        <v>41</v>
      </c>
      <c r="V922" t="s">
        <v>42</v>
      </c>
      <c r="X922" t="s">
        <v>74</v>
      </c>
      <c r="Y922" t="b">
        <v>0</v>
      </c>
      <c r="Z922" t="b">
        <v>0</v>
      </c>
      <c r="AB922" t="s">
        <v>607</v>
      </c>
      <c r="AC922" s="1">
        <v>41215</v>
      </c>
      <c r="AE922" t="s">
        <v>608</v>
      </c>
      <c r="AF922">
        <v>0</v>
      </c>
      <c r="AG922">
        <v>45</v>
      </c>
      <c r="AH922">
        <v>286</v>
      </c>
      <c r="AI922" s="2">
        <f>Table__192.168.3.138DYLAgingReport[[#This Row],[NetAmount]]-Table__192.168.3.138DYLAgingReport[[#This Row],[Paid]]</f>
        <v>256360</v>
      </c>
    </row>
    <row r="923" spans="1:35">
      <c r="A923" t="s">
        <v>2170</v>
      </c>
      <c r="B923" s="1">
        <v>41029</v>
      </c>
      <c r="C923" s="1">
        <v>41074</v>
      </c>
      <c r="D923" t="s">
        <v>569</v>
      </c>
      <c r="E923">
        <v>39200</v>
      </c>
      <c r="F923">
        <v>6272</v>
      </c>
      <c r="G923">
        <v>0</v>
      </c>
      <c r="H923">
        <v>0</v>
      </c>
      <c r="I923">
        <v>239</v>
      </c>
      <c r="J923">
        <v>45472</v>
      </c>
      <c r="K923" t="s">
        <v>2171</v>
      </c>
      <c r="L923" s="1">
        <v>41029</v>
      </c>
      <c r="N923" t="s">
        <v>36</v>
      </c>
      <c r="O923" t="s">
        <v>37</v>
      </c>
      <c r="P923" t="s">
        <v>433</v>
      </c>
      <c r="Q923" t="s">
        <v>39</v>
      </c>
      <c r="R923" t="s">
        <v>40</v>
      </c>
      <c r="S923">
        <v>0</v>
      </c>
      <c r="U923" t="s">
        <v>41</v>
      </c>
      <c r="V923" t="s">
        <v>42</v>
      </c>
      <c r="X923" t="s">
        <v>74</v>
      </c>
      <c r="Y923" t="b">
        <v>0</v>
      </c>
      <c r="Z923" t="b">
        <v>0</v>
      </c>
      <c r="AB923" t="s">
        <v>607</v>
      </c>
      <c r="AC923" s="1">
        <v>41215</v>
      </c>
      <c r="AE923" t="s">
        <v>608</v>
      </c>
      <c r="AF923">
        <v>0</v>
      </c>
      <c r="AG923">
        <v>45</v>
      </c>
      <c r="AH923">
        <v>284</v>
      </c>
      <c r="AI923" s="2">
        <f>Table__192.168.3.138DYLAgingReport[[#This Row],[NetAmount]]-Table__192.168.3.138DYLAgingReport[[#This Row],[Paid]]</f>
        <v>45472</v>
      </c>
    </row>
    <row r="924" spans="1:35">
      <c r="A924" t="s">
        <v>2172</v>
      </c>
      <c r="B924" s="1">
        <v>41005</v>
      </c>
      <c r="C924" s="1">
        <v>41050</v>
      </c>
      <c r="D924" t="s">
        <v>569</v>
      </c>
      <c r="E924">
        <v>18675</v>
      </c>
      <c r="F924">
        <v>2988</v>
      </c>
      <c r="G924">
        <v>0</v>
      </c>
      <c r="H924">
        <v>0</v>
      </c>
      <c r="I924">
        <v>263</v>
      </c>
      <c r="J924">
        <v>21663</v>
      </c>
      <c r="K924" t="s">
        <v>2173</v>
      </c>
      <c r="L924" s="1">
        <v>41005</v>
      </c>
      <c r="N924" t="s">
        <v>36</v>
      </c>
      <c r="O924" t="s">
        <v>37</v>
      </c>
      <c r="P924" t="s">
        <v>433</v>
      </c>
      <c r="Q924" t="s">
        <v>39</v>
      </c>
      <c r="R924" t="s">
        <v>40</v>
      </c>
      <c r="S924">
        <v>0</v>
      </c>
      <c r="U924" t="s">
        <v>41</v>
      </c>
      <c r="V924" t="s">
        <v>42</v>
      </c>
      <c r="X924" t="s">
        <v>74</v>
      </c>
      <c r="Y924" t="b">
        <v>0</v>
      </c>
      <c r="Z924" t="b">
        <v>0</v>
      </c>
      <c r="AB924" t="s">
        <v>607</v>
      </c>
      <c r="AC924" s="1">
        <v>41215</v>
      </c>
      <c r="AE924" t="s">
        <v>608</v>
      </c>
      <c r="AF924">
        <v>0</v>
      </c>
      <c r="AG924">
        <v>45</v>
      </c>
      <c r="AH924">
        <v>308</v>
      </c>
      <c r="AI924" s="2">
        <f>Table__192.168.3.138DYLAgingReport[[#This Row],[NetAmount]]-Table__192.168.3.138DYLAgingReport[[#This Row],[Paid]]</f>
        <v>21663</v>
      </c>
    </row>
    <row r="925" spans="1:35">
      <c r="A925" t="s">
        <v>2174</v>
      </c>
      <c r="B925" s="1">
        <v>41019</v>
      </c>
      <c r="C925" s="1">
        <v>41064</v>
      </c>
      <c r="D925" t="s">
        <v>172</v>
      </c>
      <c r="E925">
        <v>57000</v>
      </c>
      <c r="F925">
        <v>9120</v>
      </c>
      <c r="G925">
        <v>0</v>
      </c>
      <c r="H925">
        <v>0</v>
      </c>
      <c r="I925">
        <v>239</v>
      </c>
      <c r="J925">
        <v>66120</v>
      </c>
      <c r="K925" t="s">
        <v>2175</v>
      </c>
      <c r="L925" s="1">
        <v>41029</v>
      </c>
      <c r="N925" t="s">
        <v>36</v>
      </c>
      <c r="O925" t="s">
        <v>37</v>
      </c>
      <c r="P925" t="s">
        <v>309</v>
      </c>
      <c r="Q925" t="s">
        <v>39</v>
      </c>
      <c r="R925" t="s">
        <v>40</v>
      </c>
      <c r="S925">
        <v>0</v>
      </c>
      <c r="U925" t="s">
        <v>41</v>
      </c>
      <c r="V925" t="s">
        <v>42</v>
      </c>
      <c r="X925" t="s">
        <v>74</v>
      </c>
      <c r="Y925" t="b">
        <v>0</v>
      </c>
      <c r="Z925" t="b">
        <v>0</v>
      </c>
      <c r="AC925" s="1"/>
      <c r="AF925">
        <v>0</v>
      </c>
      <c r="AG925">
        <v>45</v>
      </c>
      <c r="AH925">
        <v>284</v>
      </c>
      <c r="AI925" s="2">
        <f>Table__192.168.3.138DYLAgingReport[[#This Row],[NetAmount]]-Table__192.168.3.138DYLAgingReport[[#This Row],[Paid]]</f>
        <v>66120</v>
      </c>
    </row>
    <row r="926" spans="1:35">
      <c r="A926" t="s">
        <v>2176</v>
      </c>
      <c r="B926" s="1">
        <v>41013</v>
      </c>
      <c r="C926" s="1">
        <v>41058</v>
      </c>
      <c r="D926" t="s">
        <v>190</v>
      </c>
      <c r="E926">
        <v>1501</v>
      </c>
      <c r="F926">
        <v>240</v>
      </c>
      <c r="G926">
        <v>0</v>
      </c>
      <c r="H926">
        <v>0</v>
      </c>
      <c r="I926">
        <v>255</v>
      </c>
      <c r="J926">
        <v>1741</v>
      </c>
      <c r="K926" t="s">
        <v>1478</v>
      </c>
      <c r="L926" s="1">
        <v>41013</v>
      </c>
      <c r="M926" t="s">
        <v>5354</v>
      </c>
      <c r="N926" t="s">
        <v>36</v>
      </c>
      <c r="O926" t="s">
        <v>37</v>
      </c>
      <c r="P926" t="s">
        <v>327</v>
      </c>
      <c r="Q926" t="s">
        <v>39</v>
      </c>
      <c r="R926" t="s">
        <v>40</v>
      </c>
      <c r="S926">
        <v>0</v>
      </c>
      <c r="U926" t="s">
        <v>41</v>
      </c>
      <c r="V926" t="s">
        <v>42</v>
      </c>
      <c r="W926" t="s">
        <v>5337</v>
      </c>
      <c r="X926" t="s">
        <v>74</v>
      </c>
      <c r="Y926" t="b">
        <v>0</v>
      </c>
      <c r="Z926" t="b">
        <v>0</v>
      </c>
      <c r="AA926" t="b">
        <v>0</v>
      </c>
      <c r="AC926" s="1"/>
      <c r="AF926">
        <v>0</v>
      </c>
      <c r="AG926">
        <v>45</v>
      </c>
      <c r="AH926">
        <v>300</v>
      </c>
      <c r="AI926" s="2">
        <f>Table__192.168.3.138DYLAgingReport[[#This Row],[NetAmount]]-Table__192.168.3.138DYLAgingReport[[#This Row],[Paid]]</f>
        <v>1741</v>
      </c>
    </row>
    <row r="927" spans="1:35">
      <c r="A927" t="s">
        <v>2177</v>
      </c>
      <c r="B927" s="1">
        <v>41029</v>
      </c>
      <c r="C927" s="1">
        <v>41074</v>
      </c>
      <c r="D927" t="s">
        <v>208</v>
      </c>
      <c r="E927">
        <v>229322</v>
      </c>
      <c r="F927">
        <v>36692</v>
      </c>
      <c r="G927">
        <v>0</v>
      </c>
      <c r="H927">
        <v>0</v>
      </c>
      <c r="I927">
        <v>245</v>
      </c>
      <c r="J927">
        <v>266014</v>
      </c>
      <c r="K927" t="s">
        <v>2178</v>
      </c>
      <c r="L927" s="1">
        <v>41023</v>
      </c>
      <c r="N927" t="s">
        <v>36</v>
      </c>
      <c r="O927" t="s">
        <v>37</v>
      </c>
      <c r="P927" t="s">
        <v>345</v>
      </c>
      <c r="Q927" t="s">
        <v>39</v>
      </c>
      <c r="R927" t="s">
        <v>40</v>
      </c>
      <c r="S927">
        <v>0</v>
      </c>
      <c r="U927" t="s">
        <v>41</v>
      </c>
      <c r="V927" t="s">
        <v>42</v>
      </c>
      <c r="X927" t="s">
        <v>74</v>
      </c>
      <c r="Y927" t="b">
        <v>0</v>
      </c>
      <c r="Z927" t="b">
        <v>0</v>
      </c>
      <c r="AB927" t="s">
        <v>604</v>
      </c>
      <c r="AC927" s="1">
        <v>41306</v>
      </c>
      <c r="AD927" t="s">
        <v>5353</v>
      </c>
      <c r="AE927" t="s">
        <v>5338</v>
      </c>
      <c r="AF927">
        <v>140559</v>
      </c>
      <c r="AG927">
        <v>45</v>
      </c>
      <c r="AH927">
        <v>290</v>
      </c>
      <c r="AI927" s="2">
        <f>Table__192.168.3.138DYLAgingReport[[#This Row],[NetAmount]]-Table__192.168.3.138DYLAgingReport[[#This Row],[Paid]]</f>
        <v>125455</v>
      </c>
    </row>
    <row r="928" spans="1:35">
      <c r="A928" t="s">
        <v>2179</v>
      </c>
      <c r="B928" s="1">
        <v>41029</v>
      </c>
      <c r="C928" s="1">
        <v>41074</v>
      </c>
      <c r="D928" t="s">
        <v>208</v>
      </c>
      <c r="E928">
        <v>139435</v>
      </c>
      <c r="F928">
        <v>22310</v>
      </c>
      <c r="G928">
        <v>0</v>
      </c>
      <c r="H928">
        <v>0</v>
      </c>
      <c r="I928">
        <v>255</v>
      </c>
      <c r="J928">
        <v>161745</v>
      </c>
      <c r="K928" t="s">
        <v>2180</v>
      </c>
      <c r="L928" s="1">
        <v>41013</v>
      </c>
      <c r="N928" t="s">
        <v>36</v>
      </c>
      <c r="O928" t="s">
        <v>37</v>
      </c>
      <c r="P928" t="s">
        <v>345</v>
      </c>
      <c r="Q928" t="s">
        <v>39</v>
      </c>
      <c r="R928" t="s">
        <v>40</v>
      </c>
      <c r="S928">
        <v>0</v>
      </c>
      <c r="U928" t="s">
        <v>41</v>
      </c>
      <c r="V928" t="s">
        <v>42</v>
      </c>
      <c r="X928" t="s">
        <v>74</v>
      </c>
      <c r="Y928" t="b">
        <v>0</v>
      </c>
      <c r="Z928" t="b">
        <v>0</v>
      </c>
      <c r="AB928" t="s">
        <v>604</v>
      </c>
      <c r="AC928" s="1">
        <v>41306</v>
      </c>
      <c r="AE928" t="s">
        <v>5338</v>
      </c>
      <c r="AF928">
        <v>0</v>
      </c>
      <c r="AG928">
        <v>45</v>
      </c>
      <c r="AH928">
        <v>300</v>
      </c>
      <c r="AI928" s="2">
        <f>Table__192.168.3.138DYLAgingReport[[#This Row],[NetAmount]]-Table__192.168.3.138DYLAgingReport[[#This Row],[Paid]]</f>
        <v>161745</v>
      </c>
    </row>
    <row r="929" spans="1:35">
      <c r="A929" t="s">
        <v>2181</v>
      </c>
      <c r="B929" s="1">
        <v>41029</v>
      </c>
      <c r="C929" s="1">
        <v>41074</v>
      </c>
      <c r="D929" t="s">
        <v>208</v>
      </c>
      <c r="E929">
        <v>218838</v>
      </c>
      <c r="F929">
        <v>35014</v>
      </c>
      <c r="G929">
        <v>0</v>
      </c>
      <c r="H929">
        <v>0</v>
      </c>
      <c r="I929">
        <v>243</v>
      </c>
      <c r="J929">
        <v>253852</v>
      </c>
      <c r="K929" t="s">
        <v>2182</v>
      </c>
      <c r="L929" s="1">
        <v>41025</v>
      </c>
      <c r="N929" t="s">
        <v>36</v>
      </c>
      <c r="O929" t="s">
        <v>37</v>
      </c>
      <c r="P929" t="s">
        <v>345</v>
      </c>
      <c r="Q929" t="s">
        <v>39</v>
      </c>
      <c r="R929" t="s">
        <v>40</v>
      </c>
      <c r="S929">
        <v>0</v>
      </c>
      <c r="U929" t="s">
        <v>41</v>
      </c>
      <c r="V929" t="s">
        <v>42</v>
      </c>
      <c r="X929" t="s">
        <v>74</v>
      </c>
      <c r="Y929" t="b">
        <v>0</v>
      </c>
      <c r="Z929" t="b">
        <v>0</v>
      </c>
      <c r="AB929" t="s">
        <v>604</v>
      </c>
      <c r="AC929" s="1">
        <v>41306</v>
      </c>
      <c r="AE929" t="s">
        <v>5338</v>
      </c>
      <c r="AF929">
        <v>0</v>
      </c>
      <c r="AG929">
        <v>45</v>
      </c>
      <c r="AH929">
        <v>288</v>
      </c>
      <c r="AI929" s="2">
        <f>Table__192.168.3.138DYLAgingReport[[#This Row],[NetAmount]]-Table__192.168.3.138DYLAgingReport[[#This Row],[Paid]]</f>
        <v>253852</v>
      </c>
    </row>
    <row r="930" spans="1:35">
      <c r="A930" t="s">
        <v>2183</v>
      </c>
      <c r="B930" s="1">
        <v>41029</v>
      </c>
      <c r="C930" s="1">
        <v>41074</v>
      </c>
      <c r="D930" t="s">
        <v>208</v>
      </c>
      <c r="E930">
        <v>328661</v>
      </c>
      <c r="F930">
        <v>52587</v>
      </c>
      <c r="G930">
        <v>0</v>
      </c>
      <c r="H930">
        <v>0</v>
      </c>
      <c r="I930">
        <v>243</v>
      </c>
      <c r="J930">
        <v>381248</v>
      </c>
      <c r="K930" t="s">
        <v>2184</v>
      </c>
      <c r="L930" s="1">
        <v>41025</v>
      </c>
      <c r="N930" t="s">
        <v>36</v>
      </c>
      <c r="O930" t="s">
        <v>37</v>
      </c>
      <c r="P930" t="s">
        <v>345</v>
      </c>
      <c r="Q930" t="s">
        <v>39</v>
      </c>
      <c r="R930" t="s">
        <v>40</v>
      </c>
      <c r="S930">
        <v>0</v>
      </c>
      <c r="U930" t="s">
        <v>41</v>
      </c>
      <c r="V930" t="s">
        <v>42</v>
      </c>
      <c r="X930" t="s">
        <v>74</v>
      </c>
      <c r="Y930" t="b">
        <v>0</v>
      </c>
      <c r="Z930" t="b">
        <v>0</v>
      </c>
      <c r="AB930" t="s">
        <v>604</v>
      </c>
      <c r="AC930" s="1">
        <v>41306</v>
      </c>
      <c r="AE930" t="s">
        <v>5338</v>
      </c>
      <c r="AF930">
        <v>0</v>
      </c>
      <c r="AG930">
        <v>45</v>
      </c>
      <c r="AH930">
        <v>288</v>
      </c>
      <c r="AI930" s="2">
        <f>Table__192.168.3.138DYLAgingReport[[#This Row],[NetAmount]]-Table__192.168.3.138DYLAgingReport[[#This Row],[Paid]]</f>
        <v>381248</v>
      </c>
    </row>
    <row r="931" spans="1:35">
      <c r="A931" t="s">
        <v>2185</v>
      </c>
      <c r="B931" s="1">
        <v>41003</v>
      </c>
      <c r="C931" s="1">
        <v>41048</v>
      </c>
      <c r="D931" t="s">
        <v>288</v>
      </c>
      <c r="E931">
        <v>19385</v>
      </c>
      <c r="F931">
        <v>3102</v>
      </c>
      <c r="G931">
        <v>0</v>
      </c>
      <c r="H931">
        <v>0</v>
      </c>
      <c r="I931">
        <v>265</v>
      </c>
      <c r="J931">
        <v>22487</v>
      </c>
      <c r="K931" t="s">
        <v>2186</v>
      </c>
      <c r="L931" s="1">
        <v>41003</v>
      </c>
      <c r="N931" t="s">
        <v>36</v>
      </c>
      <c r="O931" t="s">
        <v>37</v>
      </c>
      <c r="P931" t="s">
        <v>425</v>
      </c>
      <c r="Q931" t="s">
        <v>39</v>
      </c>
      <c r="R931" t="s">
        <v>40</v>
      </c>
      <c r="S931">
        <v>0</v>
      </c>
      <c r="U931" t="s">
        <v>41</v>
      </c>
      <c r="V931" t="s">
        <v>42</v>
      </c>
      <c r="X931" t="s">
        <v>74</v>
      </c>
      <c r="Y931" t="b">
        <v>0</v>
      </c>
      <c r="Z931" t="b">
        <v>0</v>
      </c>
      <c r="AC931" s="1"/>
      <c r="AF931">
        <v>0</v>
      </c>
      <c r="AG931">
        <v>45</v>
      </c>
      <c r="AH931">
        <v>310</v>
      </c>
      <c r="AI931" s="2">
        <f>Table__192.168.3.138DYLAgingReport[[#This Row],[NetAmount]]-Table__192.168.3.138DYLAgingReport[[#This Row],[Paid]]</f>
        <v>22487</v>
      </c>
    </row>
    <row r="932" spans="1:35">
      <c r="A932" t="s">
        <v>2187</v>
      </c>
      <c r="B932" s="1">
        <v>41029</v>
      </c>
      <c r="C932" s="1">
        <v>41074</v>
      </c>
      <c r="D932" t="s">
        <v>288</v>
      </c>
      <c r="E932">
        <v>6840</v>
      </c>
      <c r="F932">
        <v>1095</v>
      </c>
      <c r="G932">
        <v>0</v>
      </c>
      <c r="H932">
        <v>0</v>
      </c>
      <c r="I932">
        <v>265</v>
      </c>
      <c r="J932">
        <v>7935</v>
      </c>
      <c r="K932" t="s">
        <v>2188</v>
      </c>
      <c r="L932" s="1">
        <v>41003</v>
      </c>
      <c r="N932" t="s">
        <v>36</v>
      </c>
      <c r="O932" t="s">
        <v>37</v>
      </c>
      <c r="P932" t="s">
        <v>425</v>
      </c>
      <c r="Q932" t="s">
        <v>39</v>
      </c>
      <c r="R932" t="s">
        <v>40</v>
      </c>
      <c r="S932">
        <v>0</v>
      </c>
      <c r="U932" t="s">
        <v>41</v>
      </c>
      <c r="V932" t="s">
        <v>42</v>
      </c>
      <c r="X932" t="s">
        <v>74</v>
      </c>
      <c r="Y932" t="b">
        <v>0</v>
      </c>
      <c r="Z932" t="b">
        <v>0</v>
      </c>
      <c r="AC932" s="1"/>
      <c r="AF932">
        <v>0</v>
      </c>
      <c r="AG932">
        <v>45</v>
      </c>
      <c r="AH932">
        <v>310</v>
      </c>
      <c r="AI932" s="2">
        <f>Table__192.168.3.138DYLAgingReport[[#This Row],[NetAmount]]-Table__192.168.3.138DYLAgingReport[[#This Row],[Paid]]</f>
        <v>7935</v>
      </c>
    </row>
    <row r="933" spans="1:35">
      <c r="A933" t="s">
        <v>2189</v>
      </c>
      <c r="B933" s="1">
        <v>41029</v>
      </c>
      <c r="C933" s="1">
        <v>41074</v>
      </c>
      <c r="D933" t="s">
        <v>288</v>
      </c>
      <c r="E933">
        <v>78364</v>
      </c>
      <c r="F933">
        <v>12539</v>
      </c>
      <c r="G933">
        <v>0</v>
      </c>
      <c r="H933">
        <v>0</v>
      </c>
      <c r="I933">
        <v>251</v>
      </c>
      <c r="J933">
        <v>90903</v>
      </c>
      <c r="K933" t="s">
        <v>2190</v>
      </c>
      <c r="L933" s="1">
        <v>41017</v>
      </c>
      <c r="N933" t="s">
        <v>36</v>
      </c>
      <c r="O933" t="s">
        <v>37</v>
      </c>
      <c r="P933" t="s">
        <v>425</v>
      </c>
      <c r="Q933" t="s">
        <v>39</v>
      </c>
      <c r="R933" t="s">
        <v>40</v>
      </c>
      <c r="S933">
        <v>0</v>
      </c>
      <c r="U933" t="s">
        <v>41</v>
      </c>
      <c r="V933" t="s">
        <v>42</v>
      </c>
      <c r="X933" t="s">
        <v>74</v>
      </c>
      <c r="Y933" t="b">
        <v>0</v>
      </c>
      <c r="Z933" t="b">
        <v>0</v>
      </c>
      <c r="AC933" s="1"/>
      <c r="AF933">
        <v>0</v>
      </c>
      <c r="AG933">
        <v>45</v>
      </c>
      <c r="AH933">
        <v>296</v>
      </c>
      <c r="AI933" s="2">
        <f>Table__192.168.3.138DYLAgingReport[[#This Row],[NetAmount]]-Table__192.168.3.138DYLAgingReport[[#This Row],[Paid]]</f>
        <v>90903</v>
      </c>
    </row>
    <row r="934" spans="1:35">
      <c r="A934" t="s">
        <v>2191</v>
      </c>
      <c r="B934" s="1">
        <v>41029</v>
      </c>
      <c r="C934" s="1">
        <v>41074</v>
      </c>
      <c r="D934" t="s">
        <v>288</v>
      </c>
      <c r="E934">
        <v>4275</v>
      </c>
      <c r="F934">
        <v>684</v>
      </c>
      <c r="G934">
        <v>0</v>
      </c>
      <c r="H934">
        <v>0</v>
      </c>
      <c r="I934">
        <v>239</v>
      </c>
      <c r="J934">
        <v>4959</v>
      </c>
      <c r="K934" t="s">
        <v>2192</v>
      </c>
      <c r="L934" s="1">
        <v>41029</v>
      </c>
      <c r="N934" t="s">
        <v>36</v>
      </c>
      <c r="O934" t="s">
        <v>37</v>
      </c>
      <c r="P934" t="s">
        <v>425</v>
      </c>
      <c r="Q934" t="s">
        <v>39</v>
      </c>
      <c r="R934" t="s">
        <v>40</v>
      </c>
      <c r="S934">
        <v>0</v>
      </c>
      <c r="U934" t="s">
        <v>41</v>
      </c>
      <c r="V934" t="s">
        <v>42</v>
      </c>
      <c r="X934" t="s">
        <v>74</v>
      </c>
      <c r="Y934" t="b">
        <v>0</v>
      </c>
      <c r="Z934" t="b">
        <v>0</v>
      </c>
      <c r="AC934" s="1"/>
      <c r="AF934">
        <v>0</v>
      </c>
      <c r="AG934">
        <v>45</v>
      </c>
      <c r="AH934">
        <v>284</v>
      </c>
      <c r="AI934" s="2">
        <f>Table__192.168.3.138DYLAgingReport[[#This Row],[NetAmount]]-Table__192.168.3.138DYLAgingReport[[#This Row],[Paid]]</f>
        <v>4959</v>
      </c>
    </row>
    <row r="935" spans="1:35">
      <c r="A935" t="s">
        <v>2193</v>
      </c>
      <c r="B935" s="1">
        <v>41029</v>
      </c>
      <c r="C935" s="1">
        <v>41074</v>
      </c>
      <c r="D935" t="s">
        <v>569</v>
      </c>
      <c r="E935">
        <v>37725</v>
      </c>
      <c r="F935">
        <v>6036</v>
      </c>
      <c r="G935">
        <v>0</v>
      </c>
      <c r="H935">
        <v>0</v>
      </c>
      <c r="I935">
        <v>242</v>
      </c>
      <c r="J935">
        <v>43761</v>
      </c>
      <c r="K935" t="s">
        <v>1167</v>
      </c>
      <c r="L935" s="1">
        <v>41026</v>
      </c>
      <c r="N935" t="s">
        <v>36</v>
      </c>
      <c r="O935" t="s">
        <v>37</v>
      </c>
      <c r="P935" t="s">
        <v>433</v>
      </c>
      <c r="Q935" t="s">
        <v>39</v>
      </c>
      <c r="R935" t="s">
        <v>40</v>
      </c>
      <c r="S935">
        <v>0</v>
      </c>
      <c r="U935" t="s">
        <v>41</v>
      </c>
      <c r="V935" t="s">
        <v>42</v>
      </c>
      <c r="X935" t="s">
        <v>74</v>
      </c>
      <c r="Y935" t="b">
        <v>0</v>
      </c>
      <c r="Z935" t="b">
        <v>0</v>
      </c>
      <c r="AB935" t="s">
        <v>607</v>
      </c>
      <c r="AC935" s="1">
        <v>41215</v>
      </c>
      <c r="AE935" t="s">
        <v>608</v>
      </c>
      <c r="AF935">
        <v>0</v>
      </c>
      <c r="AG935">
        <v>45</v>
      </c>
      <c r="AH935">
        <v>287</v>
      </c>
      <c r="AI935" s="2">
        <f>Table__192.168.3.138DYLAgingReport[[#This Row],[NetAmount]]-Table__192.168.3.138DYLAgingReport[[#This Row],[Paid]]</f>
        <v>43761</v>
      </c>
    </row>
    <row r="936" spans="1:35">
      <c r="A936" t="s">
        <v>2194</v>
      </c>
      <c r="B936" s="1">
        <v>41019</v>
      </c>
      <c r="C936" s="1">
        <v>41064</v>
      </c>
      <c r="D936" t="s">
        <v>569</v>
      </c>
      <c r="E936">
        <v>4000</v>
      </c>
      <c r="F936">
        <v>640</v>
      </c>
      <c r="G936">
        <v>0</v>
      </c>
      <c r="H936">
        <v>0</v>
      </c>
      <c r="I936">
        <v>250</v>
      </c>
      <c r="J936">
        <v>4640</v>
      </c>
      <c r="K936" t="s">
        <v>2195</v>
      </c>
      <c r="L936" s="1">
        <v>41018</v>
      </c>
      <c r="N936" t="s">
        <v>36</v>
      </c>
      <c r="O936" t="s">
        <v>37</v>
      </c>
      <c r="P936" t="s">
        <v>433</v>
      </c>
      <c r="Q936" t="s">
        <v>39</v>
      </c>
      <c r="R936" t="s">
        <v>40</v>
      </c>
      <c r="S936">
        <v>0</v>
      </c>
      <c r="U936" t="s">
        <v>41</v>
      </c>
      <c r="V936" t="s">
        <v>42</v>
      </c>
      <c r="X936" t="s">
        <v>74</v>
      </c>
      <c r="Y936" t="b">
        <v>0</v>
      </c>
      <c r="Z936" t="b">
        <v>0</v>
      </c>
      <c r="AB936" t="s">
        <v>607</v>
      </c>
      <c r="AC936" s="1">
        <v>41215</v>
      </c>
      <c r="AE936" t="s">
        <v>608</v>
      </c>
      <c r="AF936">
        <v>0</v>
      </c>
      <c r="AG936">
        <v>45</v>
      </c>
      <c r="AH936">
        <v>295</v>
      </c>
      <c r="AI936" s="2">
        <f>Table__192.168.3.138DYLAgingReport[[#This Row],[NetAmount]]-Table__192.168.3.138DYLAgingReport[[#This Row],[Paid]]</f>
        <v>4640</v>
      </c>
    </row>
    <row r="937" spans="1:35">
      <c r="A937" t="s">
        <v>2196</v>
      </c>
      <c r="B937" s="1">
        <v>41013</v>
      </c>
      <c r="C937" s="1">
        <v>41058</v>
      </c>
      <c r="D937" t="s">
        <v>211</v>
      </c>
      <c r="E937">
        <v>34100</v>
      </c>
      <c r="F937">
        <v>0</v>
      </c>
      <c r="G937">
        <v>0</v>
      </c>
      <c r="H937">
        <v>0</v>
      </c>
      <c r="I937">
        <v>241</v>
      </c>
      <c r="J937">
        <v>34100</v>
      </c>
      <c r="K937" t="s">
        <v>2197</v>
      </c>
      <c r="L937" s="1">
        <v>41027</v>
      </c>
      <c r="N937" t="s">
        <v>36</v>
      </c>
      <c r="O937" t="s">
        <v>37</v>
      </c>
      <c r="P937" t="s">
        <v>348</v>
      </c>
      <c r="Q937" t="s">
        <v>39</v>
      </c>
      <c r="R937" t="s">
        <v>40</v>
      </c>
      <c r="S937">
        <v>0</v>
      </c>
      <c r="U937" t="s">
        <v>41</v>
      </c>
      <c r="V937" t="s">
        <v>42</v>
      </c>
      <c r="X937" t="s">
        <v>74</v>
      </c>
      <c r="Y937" t="b">
        <v>0</v>
      </c>
      <c r="Z937" t="b">
        <v>0</v>
      </c>
      <c r="AC937" s="1"/>
      <c r="AF937">
        <v>0</v>
      </c>
      <c r="AG937">
        <v>45</v>
      </c>
      <c r="AH937">
        <v>286</v>
      </c>
      <c r="AI937" s="2">
        <f>Table__192.168.3.138DYLAgingReport[[#This Row],[NetAmount]]-Table__192.168.3.138DYLAgingReport[[#This Row],[Paid]]</f>
        <v>34100</v>
      </c>
    </row>
    <row r="938" spans="1:35">
      <c r="A938" t="s">
        <v>2198</v>
      </c>
      <c r="B938" s="1">
        <v>41020</v>
      </c>
      <c r="C938" s="1">
        <v>41065</v>
      </c>
      <c r="D938" t="s">
        <v>257</v>
      </c>
      <c r="E938">
        <v>518500</v>
      </c>
      <c r="F938">
        <v>82960</v>
      </c>
      <c r="G938">
        <v>0</v>
      </c>
      <c r="H938">
        <v>0</v>
      </c>
      <c r="I938">
        <v>248</v>
      </c>
      <c r="J938">
        <v>601460</v>
      </c>
      <c r="K938" t="s">
        <v>2199</v>
      </c>
      <c r="L938" s="1">
        <v>41020</v>
      </c>
      <c r="N938" t="s">
        <v>36</v>
      </c>
      <c r="O938" t="s">
        <v>37</v>
      </c>
      <c r="P938" t="s">
        <v>394</v>
      </c>
      <c r="Q938" t="s">
        <v>39</v>
      </c>
      <c r="R938" t="s">
        <v>40</v>
      </c>
      <c r="S938">
        <v>0</v>
      </c>
      <c r="U938" t="s">
        <v>41</v>
      </c>
      <c r="V938" t="s">
        <v>42</v>
      </c>
      <c r="X938" t="s">
        <v>74</v>
      </c>
      <c r="Y938" t="b">
        <v>0</v>
      </c>
      <c r="Z938" t="b">
        <v>0</v>
      </c>
      <c r="AC938" s="1"/>
      <c r="AF938">
        <v>0</v>
      </c>
      <c r="AG938">
        <v>45</v>
      </c>
      <c r="AH938">
        <v>293</v>
      </c>
      <c r="AI938" s="2">
        <f>Table__192.168.3.138DYLAgingReport[[#This Row],[NetAmount]]-Table__192.168.3.138DYLAgingReport[[#This Row],[Paid]]</f>
        <v>601460</v>
      </c>
    </row>
    <row r="939" spans="1:35">
      <c r="A939" t="s">
        <v>2200</v>
      </c>
      <c r="B939" s="1">
        <v>41028</v>
      </c>
      <c r="C939" s="1">
        <v>41073</v>
      </c>
      <c r="D939" t="s">
        <v>247</v>
      </c>
      <c r="E939">
        <v>5800000</v>
      </c>
      <c r="F939">
        <v>928000</v>
      </c>
      <c r="G939">
        <v>0</v>
      </c>
      <c r="H939">
        <v>0</v>
      </c>
      <c r="I939">
        <v>257</v>
      </c>
      <c r="J939">
        <v>6728000</v>
      </c>
      <c r="K939" t="s">
        <v>2201</v>
      </c>
      <c r="L939" s="1">
        <v>41011</v>
      </c>
      <c r="N939" t="s">
        <v>36</v>
      </c>
      <c r="O939" t="s">
        <v>37</v>
      </c>
      <c r="P939" t="s">
        <v>384</v>
      </c>
      <c r="Q939" t="s">
        <v>39</v>
      </c>
      <c r="R939" t="s">
        <v>40</v>
      </c>
      <c r="S939">
        <v>0</v>
      </c>
      <c r="U939" t="s">
        <v>41</v>
      </c>
      <c r="V939" t="s">
        <v>42</v>
      </c>
      <c r="X939" t="s">
        <v>74</v>
      </c>
      <c r="Y939" t="b">
        <v>0</v>
      </c>
      <c r="Z939" t="b">
        <v>0</v>
      </c>
      <c r="AB939" t="s">
        <v>1575</v>
      </c>
      <c r="AC939" s="1">
        <v>41099</v>
      </c>
      <c r="AD939" t="s">
        <v>2202</v>
      </c>
      <c r="AE939" t="s">
        <v>1577</v>
      </c>
      <c r="AF939">
        <v>6282127</v>
      </c>
      <c r="AG939">
        <v>45</v>
      </c>
      <c r="AH939">
        <v>302</v>
      </c>
      <c r="AI939" s="2">
        <f>Table__192.168.3.138DYLAgingReport[[#This Row],[NetAmount]]-Table__192.168.3.138DYLAgingReport[[#This Row],[Paid]]</f>
        <v>445873</v>
      </c>
    </row>
    <row r="940" spans="1:35">
      <c r="A940" t="s">
        <v>2203</v>
      </c>
      <c r="B940" s="1">
        <v>41029</v>
      </c>
      <c r="C940" s="1">
        <v>41074</v>
      </c>
      <c r="D940" t="s">
        <v>276</v>
      </c>
      <c r="E940">
        <v>3450000</v>
      </c>
      <c r="F940">
        <v>552000</v>
      </c>
      <c r="G940">
        <v>0</v>
      </c>
      <c r="H940">
        <v>0</v>
      </c>
      <c r="I940">
        <v>249</v>
      </c>
      <c r="J940">
        <v>4002000</v>
      </c>
      <c r="K940" t="s">
        <v>2204</v>
      </c>
      <c r="L940" s="1">
        <v>41019</v>
      </c>
      <c r="N940" t="s">
        <v>36</v>
      </c>
      <c r="O940" t="s">
        <v>37</v>
      </c>
      <c r="P940" t="s">
        <v>413</v>
      </c>
      <c r="Q940" t="s">
        <v>39</v>
      </c>
      <c r="R940" t="s">
        <v>40</v>
      </c>
      <c r="S940">
        <v>0</v>
      </c>
      <c r="U940" t="s">
        <v>41</v>
      </c>
      <c r="V940" t="s">
        <v>42</v>
      </c>
      <c r="X940" t="s">
        <v>74</v>
      </c>
      <c r="Y940" t="b">
        <v>0</v>
      </c>
      <c r="Z940" t="b">
        <v>0</v>
      </c>
      <c r="AB940" t="s">
        <v>2163</v>
      </c>
      <c r="AC940" s="1">
        <v>41163</v>
      </c>
      <c r="AD940" t="s">
        <v>2205</v>
      </c>
      <c r="AE940" t="s">
        <v>2164</v>
      </c>
      <c r="AF940">
        <v>2247640</v>
      </c>
      <c r="AG940">
        <v>45</v>
      </c>
      <c r="AH940">
        <v>294</v>
      </c>
      <c r="AI940" s="2">
        <f>Table__192.168.3.138DYLAgingReport[[#This Row],[NetAmount]]-Table__192.168.3.138DYLAgingReport[[#This Row],[Paid]]</f>
        <v>1754360</v>
      </c>
    </row>
    <row r="941" spans="1:35">
      <c r="A941" t="s">
        <v>2206</v>
      </c>
      <c r="B941" s="1">
        <v>41029</v>
      </c>
      <c r="C941" s="1">
        <v>41074</v>
      </c>
      <c r="D941" t="s">
        <v>569</v>
      </c>
      <c r="E941">
        <v>72275</v>
      </c>
      <c r="F941">
        <v>11564</v>
      </c>
      <c r="G941">
        <v>0</v>
      </c>
      <c r="H941">
        <v>0</v>
      </c>
      <c r="I941">
        <v>243</v>
      </c>
      <c r="J941">
        <v>83839</v>
      </c>
      <c r="K941" t="s">
        <v>2207</v>
      </c>
      <c r="L941" s="1">
        <v>41025</v>
      </c>
      <c r="N941" t="s">
        <v>36</v>
      </c>
      <c r="O941" t="s">
        <v>37</v>
      </c>
      <c r="P941" t="s">
        <v>433</v>
      </c>
      <c r="Q941" t="s">
        <v>39</v>
      </c>
      <c r="R941" t="s">
        <v>40</v>
      </c>
      <c r="S941">
        <v>0</v>
      </c>
      <c r="U941" t="s">
        <v>41</v>
      </c>
      <c r="V941" t="s">
        <v>42</v>
      </c>
      <c r="X941" t="s">
        <v>74</v>
      </c>
      <c r="Y941" t="b">
        <v>0</v>
      </c>
      <c r="Z941" t="b">
        <v>0</v>
      </c>
      <c r="AB941" t="s">
        <v>607</v>
      </c>
      <c r="AC941" s="1">
        <v>41215</v>
      </c>
      <c r="AE941" t="s">
        <v>608</v>
      </c>
      <c r="AF941">
        <v>0</v>
      </c>
      <c r="AG941">
        <v>45</v>
      </c>
      <c r="AH941">
        <v>288</v>
      </c>
      <c r="AI941" s="2">
        <f>Table__192.168.3.138DYLAgingReport[[#This Row],[NetAmount]]-Table__192.168.3.138DYLAgingReport[[#This Row],[Paid]]</f>
        <v>83839</v>
      </c>
    </row>
    <row r="942" spans="1:35">
      <c r="A942" t="s">
        <v>2208</v>
      </c>
      <c r="B942" s="1">
        <v>41029</v>
      </c>
      <c r="C942" s="1">
        <v>41074</v>
      </c>
      <c r="D942" t="s">
        <v>257</v>
      </c>
      <c r="E942">
        <v>213500</v>
      </c>
      <c r="F942">
        <v>34160</v>
      </c>
      <c r="G942">
        <v>0</v>
      </c>
      <c r="H942">
        <v>0</v>
      </c>
      <c r="I942">
        <v>248</v>
      </c>
      <c r="J942">
        <v>247660</v>
      </c>
      <c r="K942" t="s">
        <v>2209</v>
      </c>
      <c r="L942" s="1">
        <v>41020</v>
      </c>
      <c r="N942" t="s">
        <v>36</v>
      </c>
      <c r="O942" t="s">
        <v>37</v>
      </c>
      <c r="P942" t="s">
        <v>394</v>
      </c>
      <c r="Q942" t="s">
        <v>39</v>
      </c>
      <c r="R942" t="s">
        <v>40</v>
      </c>
      <c r="S942">
        <v>0</v>
      </c>
      <c r="U942" t="s">
        <v>41</v>
      </c>
      <c r="V942" t="s">
        <v>42</v>
      </c>
      <c r="X942" t="s">
        <v>74</v>
      </c>
      <c r="Y942" t="b">
        <v>0</v>
      </c>
      <c r="Z942" t="b">
        <v>0</v>
      </c>
      <c r="AC942" s="1"/>
      <c r="AF942">
        <v>0</v>
      </c>
      <c r="AG942">
        <v>45</v>
      </c>
      <c r="AH942">
        <v>293</v>
      </c>
      <c r="AI942" s="2">
        <f>Table__192.168.3.138DYLAgingReport[[#This Row],[NetAmount]]-Table__192.168.3.138DYLAgingReport[[#This Row],[Paid]]</f>
        <v>247660</v>
      </c>
    </row>
    <row r="943" spans="1:35">
      <c r="A943" t="s">
        <v>2210</v>
      </c>
      <c r="B943" s="1">
        <v>41029</v>
      </c>
      <c r="C943" s="1">
        <v>41074</v>
      </c>
      <c r="D943" t="s">
        <v>208</v>
      </c>
      <c r="E943">
        <v>263591</v>
      </c>
      <c r="F943">
        <v>42175</v>
      </c>
      <c r="G943">
        <v>0</v>
      </c>
      <c r="H943">
        <v>0</v>
      </c>
      <c r="I943">
        <v>255</v>
      </c>
      <c r="J943">
        <v>305766</v>
      </c>
      <c r="K943" t="s">
        <v>2211</v>
      </c>
      <c r="L943" s="1">
        <v>41013</v>
      </c>
      <c r="N943" t="s">
        <v>36</v>
      </c>
      <c r="O943" t="s">
        <v>37</v>
      </c>
      <c r="P943" t="s">
        <v>345</v>
      </c>
      <c r="Q943" t="s">
        <v>39</v>
      </c>
      <c r="R943" t="s">
        <v>40</v>
      </c>
      <c r="S943">
        <v>0</v>
      </c>
      <c r="U943" t="s">
        <v>41</v>
      </c>
      <c r="V943" t="s">
        <v>42</v>
      </c>
      <c r="X943" t="s">
        <v>74</v>
      </c>
      <c r="Y943" t="b">
        <v>0</v>
      </c>
      <c r="Z943" t="b">
        <v>0</v>
      </c>
      <c r="AB943" t="s">
        <v>604</v>
      </c>
      <c r="AC943" s="1">
        <v>41306</v>
      </c>
      <c r="AE943" t="s">
        <v>5338</v>
      </c>
      <c r="AF943">
        <v>0</v>
      </c>
      <c r="AG943">
        <v>45</v>
      </c>
      <c r="AH943">
        <v>300</v>
      </c>
      <c r="AI943" s="2">
        <f>Table__192.168.3.138DYLAgingReport[[#This Row],[NetAmount]]-Table__192.168.3.138DYLAgingReport[[#This Row],[Paid]]</f>
        <v>305766</v>
      </c>
    </row>
    <row r="944" spans="1:35">
      <c r="A944" t="s">
        <v>2212</v>
      </c>
      <c r="B944" s="1">
        <v>41029</v>
      </c>
      <c r="C944" s="1">
        <v>41074</v>
      </c>
      <c r="D944" t="s">
        <v>172</v>
      </c>
      <c r="E944">
        <v>114000</v>
      </c>
      <c r="F944">
        <v>18240</v>
      </c>
      <c r="G944">
        <v>0</v>
      </c>
      <c r="H944">
        <v>0</v>
      </c>
      <c r="I944">
        <v>252</v>
      </c>
      <c r="J944">
        <v>132240</v>
      </c>
      <c r="L944" s="1">
        <v>41016</v>
      </c>
      <c r="N944" t="s">
        <v>36</v>
      </c>
      <c r="O944" t="s">
        <v>37</v>
      </c>
      <c r="P944" t="s">
        <v>309</v>
      </c>
      <c r="Q944" t="s">
        <v>39</v>
      </c>
      <c r="R944" t="s">
        <v>40</v>
      </c>
      <c r="S944">
        <v>0</v>
      </c>
      <c r="U944" t="s">
        <v>41</v>
      </c>
      <c r="V944" t="s">
        <v>42</v>
      </c>
      <c r="X944" t="s">
        <v>74</v>
      </c>
      <c r="Y944" t="b">
        <v>0</v>
      </c>
      <c r="Z944" t="b">
        <v>0</v>
      </c>
      <c r="AC944" s="1"/>
      <c r="AF944">
        <v>0</v>
      </c>
      <c r="AG944">
        <v>45</v>
      </c>
      <c r="AH944">
        <v>297</v>
      </c>
      <c r="AI944" s="2">
        <f>Table__192.168.3.138DYLAgingReport[[#This Row],[NetAmount]]-Table__192.168.3.138DYLAgingReport[[#This Row],[Paid]]</f>
        <v>132240</v>
      </c>
    </row>
    <row r="945" spans="1:35">
      <c r="A945" t="s">
        <v>2213</v>
      </c>
      <c r="B945" s="1">
        <v>40918</v>
      </c>
      <c r="C945" s="1">
        <v>40963</v>
      </c>
      <c r="D945" t="s">
        <v>193</v>
      </c>
      <c r="E945">
        <v>3172</v>
      </c>
      <c r="F945">
        <v>508</v>
      </c>
      <c r="G945">
        <v>0</v>
      </c>
      <c r="H945">
        <v>0</v>
      </c>
      <c r="I945">
        <v>350</v>
      </c>
      <c r="J945">
        <v>3680</v>
      </c>
      <c r="K945" t="s">
        <v>2214</v>
      </c>
      <c r="L945" s="1">
        <v>40918</v>
      </c>
      <c r="N945" t="s">
        <v>36</v>
      </c>
      <c r="O945" t="s">
        <v>37</v>
      </c>
      <c r="P945" t="s">
        <v>330</v>
      </c>
      <c r="Q945" t="s">
        <v>39</v>
      </c>
      <c r="R945" t="s">
        <v>40</v>
      </c>
      <c r="S945">
        <v>0</v>
      </c>
      <c r="U945" t="s">
        <v>41</v>
      </c>
      <c r="V945" t="s">
        <v>42</v>
      </c>
      <c r="X945" t="s">
        <v>74</v>
      </c>
      <c r="Y945" t="b">
        <v>0</v>
      </c>
      <c r="Z945" t="b">
        <v>0</v>
      </c>
      <c r="AC945" s="1"/>
      <c r="AF945">
        <v>0</v>
      </c>
      <c r="AG945">
        <v>45</v>
      </c>
      <c r="AH945">
        <v>395</v>
      </c>
      <c r="AI945" s="2">
        <f>Table__192.168.3.138DYLAgingReport[[#This Row],[NetAmount]]-Table__192.168.3.138DYLAgingReport[[#This Row],[Paid]]</f>
        <v>3680</v>
      </c>
    </row>
    <row r="946" spans="1:35">
      <c r="A946" t="s">
        <v>2215</v>
      </c>
      <c r="B946" s="1">
        <v>41043</v>
      </c>
      <c r="C946" s="1">
        <v>41088</v>
      </c>
      <c r="D946" t="s">
        <v>259</v>
      </c>
      <c r="E946">
        <v>21472</v>
      </c>
      <c r="F946">
        <v>3435</v>
      </c>
      <c r="G946">
        <v>0</v>
      </c>
      <c r="H946">
        <v>0</v>
      </c>
      <c r="I946">
        <v>232</v>
      </c>
      <c r="J946">
        <v>24907</v>
      </c>
      <c r="K946" t="s">
        <v>2216</v>
      </c>
      <c r="L946" s="1">
        <v>41036</v>
      </c>
      <c r="N946" t="s">
        <v>36</v>
      </c>
      <c r="O946" t="s">
        <v>37</v>
      </c>
      <c r="P946" t="s">
        <v>396</v>
      </c>
      <c r="Q946" t="s">
        <v>39</v>
      </c>
      <c r="R946" t="s">
        <v>40</v>
      </c>
      <c r="S946">
        <v>0</v>
      </c>
      <c r="U946" t="s">
        <v>41</v>
      </c>
      <c r="V946" t="s">
        <v>42</v>
      </c>
      <c r="X946" t="s">
        <v>74</v>
      </c>
      <c r="Y946" t="b">
        <v>0</v>
      </c>
      <c r="Z946" t="b">
        <v>0</v>
      </c>
      <c r="AC946" s="1"/>
      <c r="AF946">
        <v>0</v>
      </c>
      <c r="AG946">
        <v>45</v>
      </c>
      <c r="AH946">
        <v>277</v>
      </c>
      <c r="AI946" s="2">
        <f>Table__192.168.3.138DYLAgingReport[[#This Row],[NetAmount]]-Table__192.168.3.138DYLAgingReport[[#This Row],[Paid]]</f>
        <v>24907</v>
      </c>
    </row>
    <row r="947" spans="1:35">
      <c r="A947" t="s">
        <v>2217</v>
      </c>
      <c r="B947" s="1">
        <v>41043</v>
      </c>
      <c r="C947" s="1">
        <v>41088</v>
      </c>
      <c r="D947" t="s">
        <v>259</v>
      </c>
      <c r="E947">
        <v>18927</v>
      </c>
      <c r="F947">
        <v>3028</v>
      </c>
      <c r="G947">
        <v>0</v>
      </c>
      <c r="H947">
        <v>0</v>
      </c>
      <c r="I947">
        <v>229</v>
      </c>
      <c r="J947">
        <v>21955</v>
      </c>
      <c r="K947" t="s">
        <v>2218</v>
      </c>
      <c r="L947" s="1">
        <v>41039</v>
      </c>
      <c r="N947" t="s">
        <v>36</v>
      </c>
      <c r="O947" t="s">
        <v>37</v>
      </c>
      <c r="P947" t="s">
        <v>396</v>
      </c>
      <c r="Q947" t="s">
        <v>39</v>
      </c>
      <c r="R947" t="s">
        <v>40</v>
      </c>
      <c r="S947">
        <v>0</v>
      </c>
      <c r="U947" t="s">
        <v>41</v>
      </c>
      <c r="V947" t="s">
        <v>42</v>
      </c>
      <c r="X947" t="s">
        <v>74</v>
      </c>
      <c r="Y947" t="b">
        <v>0</v>
      </c>
      <c r="Z947" t="b">
        <v>0</v>
      </c>
      <c r="AC947" s="1"/>
      <c r="AF947">
        <v>0</v>
      </c>
      <c r="AG947">
        <v>45</v>
      </c>
      <c r="AH947">
        <v>274</v>
      </c>
      <c r="AI947" s="2">
        <f>Table__192.168.3.138DYLAgingReport[[#This Row],[NetAmount]]-Table__192.168.3.138DYLAgingReport[[#This Row],[Paid]]</f>
        <v>21955</v>
      </c>
    </row>
    <row r="948" spans="1:35">
      <c r="A948" t="s">
        <v>2219</v>
      </c>
      <c r="B948" s="1">
        <v>41043</v>
      </c>
      <c r="C948" s="1">
        <v>41088</v>
      </c>
      <c r="D948" t="s">
        <v>205</v>
      </c>
      <c r="E948">
        <v>330000</v>
      </c>
      <c r="F948">
        <v>52800</v>
      </c>
      <c r="G948">
        <v>0</v>
      </c>
      <c r="H948">
        <v>0</v>
      </c>
      <c r="I948">
        <v>232</v>
      </c>
      <c r="J948">
        <v>382800</v>
      </c>
      <c r="K948" t="s">
        <v>2220</v>
      </c>
      <c r="L948" s="1">
        <v>41036</v>
      </c>
      <c r="N948" t="s">
        <v>36</v>
      </c>
      <c r="O948" t="s">
        <v>37</v>
      </c>
      <c r="P948" t="s">
        <v>342</v>
      </c>
      <c r="Q948" t="s">
        <v>39</v>
      </c>
      <c r="R948" t="s">
        <v>40</v>
      </c>
      <c r="S948">
        <v>0</v>
      </c>
      <c r="U948" t="s">
        <v>41</v>
      </c>
      <c r="V948" t="s">
        <v>42</v>
      </c>
      <c r="X948" t="s">
        <v>74</v>
      </c>
      <c r="Y948" t="b">
        <v>0</v>
      </c>
      <c r="Z948" t="b">
        <v>0</v>
      </c>
      <c r="AC948" s="1"/>
      <c r="AF948">
        <v>0</v>
      </c>
      <c r="AG948">
        <v>45</v>
      </c>
      <c r="AH948">
        <v>277</v>
      </c>
      <c r="AI948" s="2">
        <f>Table__192.168.3.138DYLAgingReport[[#This Row],[NetAmount]]-Table__192.168.3.138DYLAgingReport[[#This Row],[Paid]]</f>
        <v>382800</v>
      </c>
    </row>
    <row r="949" spans="1:35">
      <c r="A949" t="s">
        <v>2221</v>
      </c>
      <c r="B949" s="1">
        <v>41043</v>
      </c>
      <c r="C949" s="1">
        <v>41088</v>
      </c>
      <c r="D949" t="s">
        <v>205</v>
      </c>
      <c r="E949">
        <v>561000</v>
      </c>
      <c r="F949">
        <v>89760</v>
      </c>
      <c r="G949">
        <v>0</v>
      </c>
      <c r="H949">
        <v>0</v>
      </c>
      <c r="I949">
        <v>228</v>
      </c>
      <c r="J949">
        <v>650760</v>
      </c>
      <c r="K949" t="s">
        <v>2222</v>
      </c>
      <c r="L949" s="1">
        <v>41040</v>
      </c>
      <c r="N949" t="s">
        <v>36</v>
      </c>
      <c r="O949" t="s">
        <v>37</v>
      </c>
      <c r="P949" t="s">
        <v>342</v>
      </c>
      <c r="Q949" t="s">
        <v>39</v>
      </c>
      <c r="R949" t="s">
        <v>40</v>
      </c>
      <c r="S949">
        <v>0</v>
      </c>
      <c r="U949" t="s">
        <v>41</v>
      </c>
      <c r="V949" t="s">
        <v>42</v>
      </c>
      <c r="X949" t="s">
        <v>74</v>
      </c>
      <c r="Y949" t="b">
        <v>0</v>
      </c>
      <c r="Z949" t="b">
        <v>0</v>
      </c>
      <c r="AC949" s="1"/>
      <c r="AF949">
        <v>0</v>
      </c>
      <c r="AG949">
        <v>45</v>
      </c>
      <c r="AH949">
        <v>273</v>
      </c>
      <c r="AI949" s="2">
        <f>Table__192.168.3.138DYLAgingReport[[#This Row],[NetAmount]]-Table__192.168.3.138DYLAgingReport[[#This Row],[Paid]]</f>
        <v>650760</v>
      </c>
    </row>
    <row r="950" spans="1:35">
      <c r="A950" t="s">
        <v>2223</v>
      </c>
      <c r="B950" s="1">
        <v>41038</v>
      </c>
      <c r="C950" s="1">
        <v>41083</v>
      </c>
      <c r="D950" t="s">
        <v>208</v>
      </c>
      <c r="E950">
        <v>18610</v>
      </c>
      <c r="F950">
        <v>2978</v>
      </c>
      <c r="G950">
        <v>0</v>
      </c>
      <c r="H950">
        <v>0</v>
      </c>
      <c r="I950">
        <v>236</v>
      </c>
      <c r="J950">
        <v>21588</v>
      </c>
      <c r="K950" t="s">
        <v>2224</v>
      </c>
      <c r="L950" s="1">
        <v>41032</v>
      </c>
      <c r="N950" t="s">
        <v>36</v>
      </c>
      <c r="O950" t="s">
        <v>37</v>
      </c>
      <c r="P950" t="s">
        <v>345</v>
      </c>
      <c r="Q950" t="s">
        <v>39</v>
      </c>
      <c r="R950" t="s">
        <v>40</v>
      </c>
      <c r="S950">
        <v>0</v>
      </c>
      <c r="U950" t="s">
        <v>41</v>
      </c>
      <c r="V950" t="s">
        <v>42</v>
      </c>
      <c r="X950" t="s">
        <v>74</v>
      </c>
      <c r="Y950" t="b">
        <v>0</v>
      </c>
      <c r="Z950" t="b">
        <v>0</v>
      </c>
      <c r="AC950" s="1"/>
      <c r="AF950">
        <v>0</v>
      </c>
      <c r="AG950">
        <v>45</v>
      </c>
      <c r="AH950">
        <v>281</v>
      </c>
      <c r="AI950" s="2">
        <f>Table__192.168.3.138DYLAgingReport[[#This Row],[NetAmount]]-Table__192.168.3.138DYLAgingReport[[#This Row],[Paid]]</f>
        <v>21588</v>
      </c>
    </row>
    <row r="951" spans="1:35">
      <c r="A951" t="s">
        <v>2225</v>
      </c>
      <c r="B951" s="1">
        <v>41043</v>
      </c>
      <c r="C951" s="1">
        <v>41088</v>
      </c>
      <c r="D951" t="s">
        <v>208</v>
      </c>
      <c r="E951">
        <v>2560</v>
      </c>
      <c r="F951">
        <v>410</v>
      </c>
      <c r="G951">
        <v>0</v>
      </c>
      <c r="H951">
        <v>0</v>
      </c>
      <c r="I951">
        <v>235</v>
      </c>
      <c r="J951">
        <v>2970</v>
      </c>
      <c r="K951" t="s">
        <v>2226</v>
      </c>
      <c r="L951" s="1">
        <v>41033</v>
      </c>
      <c r="N951" t="s">
        <v>36</v>
      </c>
      <c r="O951" t="s">
        <v>37</v>
      </c>
      <c r="P951" t="s">
        <v>345</v>
      </c>
      <c r="Q951" t="s">
        <v>39</v>
      </c>
      <c r="R951" t="s">
        <v>40</v>
      </c>
      <c r="S951">
        <v>0</v>
      </c>
      <c r="U951" t="s">
        <v>41</v>
      </c>
      <c r="V951" t="s">
        <v>42</v>
      </c>
      <c r="X951" t="s">
        <v>74</v>
      </c>
      <c r="Y951" t="b">
        <v>0</v>
      </c>
      <c r="Z951" t="b">
        <v>0</v>
      </c>
      <c r="AC951" s="1"/>
      <c r="AF951">
        <v>0</v>
      </c>
      <c r="AG951">
        <v>45</v>
      </c>
      <c r="AH951">
        <v>280</v>
      </c>
      <c r="AI951" s="2">
        <f>Table__192.168.3.138DYLAgingReport[[#This Row],[NetAmount]]-Table__192.168.3.138DYLAgingReport[[#This Row],[Paid]]</f>
        <v>2970</v>
      </c>
    </row>
    <row r="952" spans="1:35">
      <c r="A952" t="s">
        <v>2227</v>
      </c>
      <c r="B952" s="1">
        <v>41043</v>
      </c>
      <c r="C952" s="1">
        <v>41088</v>
      </c>
      <c r="D952" t="s">
        <v>187</v>
      </c>
      <c r="E952">
        <v>45680</v>
      </c>
      <c r="F952">
        <v>0</v>
      </c>
      <c r="G952">
        <v>0</v>
      </c>
      <c r="H952">
        <v>0</v>
      </c>
      <c r="I952">
        <v>235</v>
      </c>
      <c r="J952">
        <v>45680</v>
      </c>
      <c r="K952" t="s">
        <v>2228</v>
      </c>
      <c r="L952" s="1">
        <v>41033</v>
      </c>
      <c r="N952" t="s">
        <v>36</v>
      </c>
      <c r="O952" t="s">
        <v>37</v>
      </c>
      <c r="P952" t="s">
        <v>324</v>
      </c>
      <c r="Q952" t="s">
        <v>39</v>
      </c>
      <c r="R952" t="s">
        <v>40</v>
      </c>
      <c r="S952">
        <v>0</v>
      </c>
      <c r="U952" t="s">
        <v>41</v>
      </c>
      <c r="V952" t="s">
        <v>42</v>
      </c>
      <c r="X952" t="s">
        <v>74</v>
      </c>
      <c r="Y952" t="b">
        <v>0</v>
      </c>
      <c r="Z952" t="b">
        <v>0</v>
      </c>
      <c r="AC952" s="1"/>
      <c r="AF952">
        <v>0</v>
      </c>
      <c r="AG952">
        <v>45</v>
      </c>
      <c r="AH952">
        <v>280</v>
      </c>
      <c r="AI952" s="2">
        <f>Table__192.168.3.138DYLAgingReport[[#This Row],[NetAmount]]-Table__192.168.3.138DYLAgingReport[[#This Row],[Paid]]</f>
        <v>45680</v>
      </c>
    </row>
    <row r="953" spans="1:35">
      <c r="A953" t="s">
        <v>2229</v>
      </c>
      <c r="B953" s="1">
        <v>41043</v>
      </c>
      <c r="C953" s="1">
        <v>41088</v>
      </c>
      <c r="D953" t="s">
        <v>187</v>
      </c>
      <c r="E953">
        <v>43090</v>
      </c>
      <c r="F953">
        <v>0</v>
      </c>
      <c r="G953">
        <v>0</v>
      </c>
      <c r="H953">
        <v>0</v>
      </c>
      <c r="I953">
        <v>230</v>
      </c>
      <c r="J953">
        <v>43090</v>
      </c>
      <c r="K953" t="s">
        <v>2230</v>
      </c>
      <c r="L953" s="1">
        <v>41038</v>
      </c>
      <c r="N953" t="s">
        <v>36</v>
      </c>
      <c r="O953" t="s">
        <v>37</v>
      </c>
      <c r="P953" t="s">
        <v>324</v>
      </c>
      <c r="Q953" t="s">
        <v>39</v>
      </c>
      <c r="R953" t="s">
        <v>40</v>
      </c>
      <c r="S953">
        <v>0</v>
      </c>
      <c r="U953" t="s">
        <v>41</v>
      </c>
      <c r="V953" t="s">
        <v>42</v>
      </c>
      <c r="X953" t="s">
        <v>74</v>
      </c>
      <c r="Y953" t="b">
        <v>0</v>
      </c>
      <c r="Z953" t="b">
        <v>0</v>
      </c>
      <c r="AC953" s="1"/>
      <c r="AF953">
        <v>0</v>
      </c>
      <c r="AG953">
        <v>45</v>
      </c>
      <c r="AH953">
        <v>275</v>
      </c>
      <c r="AI953" s="2">
        <f>Table__192.168.3.138DYLAgingReport[[#This Row],[NetAmount]]-Table__192.168.3.138DYLAgingReport[[#This Row],[Paid]]</f>
        <v>43090</v>
      </c>
    </row>
    <row r="954" spans="1:35">
      <c r="A954" t="s">
        <v>2231</v>
      </c>
      <c r="B954" s="1">
        <v>41038</v>
      </c>
      <c r="C954" s="1">
        <v>41083</v>
      </c>
      <c r="D954" t="s">
        <v>251</v>
      </c>
      <c r="E954">
        <v>241040</v>
      </c>
      <c r="F954">
        <v>38566</v>
      </c>
      <c r="G954">
        <v>0</v>
      </c>
      <c r="H954">
        <v>0</v>
      </c>
      <c r="I954">
        <v>229</v>
      </c>
      <c r="J954">
        <v>279606</v>
      </c>
      <c r="K954" t="s">
        <v>2232</v>
      </c>
      <c r="L954" s="1">
        <v>41039</v>
      </c>
      <c r="N954" t="s">
        <v>36</v>
      </c>
      <c r="O954" t="s">
        <v>37</v>
      </c>
      <c r="P954" t="s">
        <v>388</v>
      </c>
      <c r="Q954" t="s">
        <v>39</v>
      </c>
      <c r="R954" t="s">
        <v>40</v>
      </c>
      <c r="S954">
        <v>0</v>
      </c>
      <c r="U954" t="s">
        <v>41</v>
      </c>
      <c r="V954" t="s">
        <v>42</v>
      </c>
      <c r="X954" t="s">
        <v>74</v>
      </c>
      <c r="Y954" t="b">
        <v>0</v>
      </c>
      <c r="Z954" t="b">
        <v>0</v>
      </c>
      <c r="AB954" t="s">
        <v>615</v>
      </c>
      <c r="AC954" s="1">
        <v>41185</v>
      </c>
      <c r="AD954" t="s">
        <v>2233</v>
      </c>
      <c r="AE954" t="s">
        <v>616</v>
      </c>
      <c r="AF954">
        <v>48372</v>
      </c>
      <c r="AG954">
        <v>45</v>
      </c>
      <c r="AH954">
        <v>274</v>
      </c>
      <c r="AI954" s="2">
        <f>Table__192.168.3.138DYLAgingReport[[#This Row],[NetAmount]]-Table__192.168.3.138DYLAgingReport[[#This Row],[Paid]]</f>
        <v>231234</v>
      </c>
    </row>
    <row r="955" spans="1:35">
      <c r="A955" t="s">
        <v>2234</v>
      </c>
      <c r="B955" s="1">
        <v>41041</v>
      </c>
      <c r="C955" s="1">
        <v>41086</v>
      </c>
      <c r="D955" t="s">
        <v>251</v>
      </c>
      <c r="E955">
        <v>292300</v>
      </c>
      <c r="F955">
        <v>46768</v>
      </c>
      <c r="G955">
        <v>0</v>
      </c>
      <c r="H955">
        <v>0</v>
      </c>
      <c r="I955">
        <v>225</v>
      </c>
      <c r="J955">
        <v>339068</v>
      </c>
      <c r="K955" t="s">
        <v>2235</v>
      </c>
      <c r="L955" s="1">
        <v>41043</v>
      </c>
      <c r="N955" t="s">
        <v>36</v>
      </c>
      <c r="O955" t="s">
        <v>37</v>
      </c>
      <c r="P955" t="s">
        <v>388</v>
      </c>
      <c r="Q955" t="s">
        <v>39</v>
      </c>
      <c r="R955" t="s">
        <v>40</v>
      </c>
      <c r="S955">
        <v>0</v>
      </c>
      <c r="U955" t="s">
        <v>41</v>
      </c>
      <c r="V955" t="s">
        <v>42</v>
      </c>
      <c r="X955" t="s">
        <v>74</v>
      </c>
      <c r="Y955" t="b">
        <v>0</v>
      </c>
      <c r="Z955" t="b">
        <v>0</v>
      </c>
      <c r="AB955" t="s">
        <v>615</v>
      </c>
      <c r="AC955" s="1">
        <v>41185</v>
      </c>
      <c r="AD955" t="s">
        <v>2236</v>
      </c>
      <c r="AE955" t="s">
        <v>616</v>
      </c>
      <c r="AF955">
        <v>336915</v>
      </c>
      <c r="AG955">
        <v>45</v>
      </c>
      <c r="AH955">
        <v>270</v>
      </c>
      <c r="AI955" s="2">
        <f>Table__192.168.3.138DYLAgingReport[[#This Row],[NetAmount]]-Table__192.168.3.138DYLAgingReport[[#This Row],[Paid]]</f>
        <v>2153</v>
      </c>
    </row>
    <row r="956" spans="1:35">
      <c r="A956" t="s">
        <v>2237</v>
      </c>
      <c r="B956" s="1">
        <v>41038</v>
      </c>
      <c r="C956" s="1">
        <v>41083</v>
      </c>
      <c r="D956" t="s">
        <v>288</v>
      </c>
      <c r="E956">
        <v>6680</v>
      </c>
      <c r="F956">
        <v>1069</v>
      </c>
      <c r="G956">
        <v>0</v>
      </c>
      <c r="H956">
        <v>0</v>
      </c>
      <c r="I956">
        <v>234</v>
      </c>
      <c r="J956">
        <v>7749</v>
      </c>
      <c r="K956" t="s">
        <v>2238</v>
      </c>
      <c r="L956" s="1">
        <v>41034</v>
      </c>
      <c r="N956" t="s">
        <v>36</v>
      </c>
      <c r="O956" t="s">
        <v>37</v>
      </c>
      <c r="P956" t="s">
        <v>425</v>
      </c>
      <c r="Q956" t="s">
        <v>39</v>
      </c>
      <c r="R956" t="s">
        <v>40</v>
      </c>
      <c r="S956">
        <v>0</v>
      </c>
      <c r="U956" t="s">
        <v>41</v>
      </c>
      <c r="V956" t="s">
        <v>42</v>
      </c>
      <c r="X956" t="s">
        <v>74</v>
      </c>
      <c r="Y956" t="b">
        <v>0</v>
      </c>
      <c r="Z956" t="b">
        <v>0</v>
      </c>
      <c r="AC956" s="1"/>
      <c r="AF956">
        <v>0</v>
      </c>
      <c r="AG956">
        <v>45</v>
      </c>
      <c r="AH956">
        <v>279</v>
      </c>
      <c r="AI956" s="2">
        <f>Table__192.168.3.138DYLAgingReport[[#This Row],[NetAmount]]-Table__192.168.3.138DYLAgingReport[[#This Row],[Paid]]</f>
        <v>7749</v>
      </c>
    </row>
    <row r="957" spans="1:35">
      <c r="A957" t="s">
        <v>2239</v>
      </c>
      <c r="B957" s="1">
        <v>41043</v>
      </c>
      <c r="C957" s="1">
        <v>41088</v>
      </c>
      <c r="D957" t="s">
        <v>288</v>
      </c>
      <c r="E957">
        <v>177994</v>
      </c>
      <c r="F957">
        <v>28479</v>
      </c>
      <c r="G957">
        <v>0</v>
      </c>
      <c r="H957">
        <v>0</v>
      </c>
      <c r="I957">
        <v>234</v>
      </c>
      <c r="J957">
        <v>206473</v>
      </c>
      <c r="K957" t="s">
        <v>2240</v>
      </c>
      <c r="L957" s="1">
        <v>41034</v>
      </c>
      <c r="N957" t="s">
        <v>36</v>
      </c>
      <c r="O957" t="s">
        <v>37</v>
      </c>
      <c r="P957" t="s">
        <v>425</v>
      </c>
      <c r="Q957" t="s">
        <v>39</v>
      </c>
      <c r="R957" t="s">
        <v>40</v>
      </c>
      <c r="S957">
        <v>0</v>
      </c>
      <c r="U957" t="s">
        <v>41</v>
      </c>
      <c r="V957" t="s">
        <v>42</v>
      </c>
      <c r="X957" t="s">
        <v>74</v>
      </c>
      <c r="Y957" t="b">
        <v>0</v>
      </c>
      <c r="Z957" t="b">
        <v>0</v>
      </c>
      <c r="AC957" s="1"/>
      <c r="AF957">
        <v>0</v>
      </c>
      <c r="AG957">
        <v>45</v>
      </c>
      <c r="AH957">
        <v>279</v>
      </c>
      <c r="AI957" s="2">
        <f>Table__192.168.3.138DYLAgingReport[[#This Row],[NetAmount]]-Table__192.168.3.138DYLAgingReport[[#This Row],[Paid]]</f>
        <v>206473</v>
      </c>
    </row>
    <row r="958" spans="1:35">
      <c r="A958" t="s">
        <v>2241</v>
      </c>
      <c r="B958" s="1">
        <v>41038</v>
      </c>
      <c r="C958" s="1">
        <v>41083</v>
      </c>
      <c r="D958" t="s">
        <v>268</v>
      </c>
      <c r="E958">
        <v>102500</v>
      </c>
      <c r="F958">
        <v>16400</v>
      </c>
      <c r="G958">
        <v>0</v>
      </c>
      <c r="H958">
        <v>0</v>
      </c>
      <c r="I958">
        <v>237</v>
      </c>
      <c r="J958">
        <v>118900</v>
      </c>
      <c r="K958" t="s">
        <v>999</v>
      </c>
      <c r="L958" s="1">
        <v>41031</v>
      </c>
      <c r="N958" t="s">
        <v>36</v>
      </c>
      <c r="O958" t="s">
        <v>37</v>
      </c>
      <c r="P958" t="s">
        <v>405</v>
      </c>
      <c r="Q958" t="s">
        <v>39</v>
      </c>
      <c r="R958" t="s">
        <v>40</v>
      </c>
      <c r="S958">
        <v>0</v>
      </c>
      <c r="U958" t="s">
        <v>41</v>
      </c>
      <c r="V958" t="s">
        <v>42</v>
      </c>
      <c r="X958" t="s">
        <v>74</v>
      </c>
      <c r="Y958" t="b">
        <v>0</v>
      </c>
      <c r="Z958" t="b">
        <v>0</v>
      </c>
      <c r="AB958" t="s">
        <v>638</v>
      </c>
      <c r="AC958" s="1">
        <v>41219</v>
      </c>
      <c r="AF958">
        <v>0</v>
      </c>
      <c r="AG958">
        <v>45</v>
      </c>
      <c r="AH958">
        <v>282</v>
      </c>
      <c r="AI958" s="2">
        <f>Table__192.168.3.138DYLAgingReport[[#This Row],[NetAmount]]-Table__192.168.3.138DYLAgingReport[[#This Row],[Paid]]</f>
        <v>118900</v>
      </c>
    </row>
    <row r="959" spans="1:35">
      <c r="A959" t="s">
        <v>2242</v>
      </c>
      <c r="B959" s="1">
        <v>41038</v>
      </c>
      <c r="C959" s="1">
        <v>41083</v>
      </c>
      <c r="D959" t="s">
        <v>268</v>
      </c>
      <c r="E959">
        <v>75100</v>
      </c>
      <c r="F959">
        <v>12016</v>
      </c>
      <c r="G959">
        <v>0</v>
      </c>
      <c r="H959">
        <v>0</v>
      </c>
      <c r="I959">
        <v>237</v>
      </c>
      <c r="J959">
        <v>87116</v>
      </c>
      <c r="K959" t="s">
        <v>2243</v>
      </c>
      <c r="L959" s="1">
        <v>41031</v>
      </c>
      <c r="N959" t="s">
        <v>36</v>
      </c>
      <c r="O959" t="s">
        <v>37</v>
      </c>
      <c r="P959" t="s">
        <v>405</v>
      </c>
      <c r="Q959" t="s">
        <v>39</v>
      </c>
      <c r="R959" t="s">
        <v>40</v>
      </c>
      <c r="S959">
        <v>0</v>
      </c>
      <c r="U959" t="s">
        <v>41</v>
      </c>
      <c r="V959" t="s">
        <v>42</v>
      </c>
      <c r="X959" t="s">
        <v>74</v>
      </c>
      <c r="Y959" t="b">
        <v>0</v>
      </c>
      <c r="Z959" t="b">
        <v>0</v>
      </c>
      <c r="AB959" t="s">
        <v>638</v>
      </c>
      <c r="AC959" s="1">
        <v>41219</v>
      </c>
      <c r="AF959">
        <v>0</v>
      </c>
      <c r="AG959">
        <v>45</v>
      </c>
      <c r="AH959">
        <v>282</v>
      </c>
      <c r="AI959" s="2">
        <f>Table__192.168.3.138DYLAgingReport[[#This Row],[NetAmount]]-Table__192.168.3.138DYLAgingReport[[#This Row],[Paid]]</f>
        <v>87116</v>
      </c>
    </row>
    <row r="960" spans="1:35">
      <c r="A960" t="s">
        <v>2244</v>
      </c>
      <c r="B960" s="1">
        <v>41043</v>
      </c>
      <c r="C960" s="1">
        <v>41088</v>
      </c>
      <c r="D960" t="s">
        <v>268</v>
      </c>
      <c r="E960">
        <v>153400</v>
      </c>
      <c r="F960">
        <v>24544</v>
      </c>
      <c r="G960">
        <v>0</v>
      </c>
      <c r="H960">
        <v>0</v>
      </c>
      <c r="I960">
        <v>234</v>
      </c>
      <c r="J960">
        <v>177944</v>
      </c>
      <c r="K960" t="s">
        <v>2245</v>
      </c>
      <c r="L960" s="1">
        <v>41034</v>
      </c>
      <c r="N960" t="s">
        <v>36</v>
      </c>
      <c r="O960" t="s">
        <v>37</v>
      </c>
      <c r="P960" t="s">
        <v>405</v>
      </c>
      <c r="Q960" t="s">
        <v>39</v>
      </c>
      <c r="R960" t="s">
        <v>40</v>
      </c>
      <c r="S960">
        <v>0</v>
      </c>
      <c r="U960" t="s">
        <v>41</v>
      </c>
      <c r="V960" t="s">
        <v>42</v>
      </c>
      <c r="X960" t="s">
        <v>74</v>
      </c>
      <c r="Y960" t="b">
        <v>0</v>
      </c>
      <c r="Z960" t="b">
        <v>0</v>
      </c>
      <c r="AB960" t="s">
        <v>638</v>
      </c>
      <c r="AC960" s="1">
        <v>41219</v>
      </c>
      <c r="AF960">
        <v>0</v>
      </c>
      <c r="AG960">
        <v>45</v>
      </c>
      <c r="AH960">
        <v>279</v>
      </c>
      <c r="AI960" s="2">
        <f>Table__192.168.3.138DYLAgingReport[[#This Row],[NetAmount]]-Table__192.168.3.138DYLAgingReport[[#This Row],[Paid]]</f>
        <v>177944</v>
      </c>
    </row>
    <row r="961" spans="1:35">
      <c r="A961" t="s">
        <v>2246</v>
      </c>
      <c r="B961" s="1">
        <v>41043</v>
      </c>
      <c r="C961" s="1">
        <v>41088</v>
      </c>
      <c r="D961" t="s">
        <v>268</v>
      </c>
      <c r="E961">
        <v>25750</v>
      </c>
      <c r="F961">
        <v>4120</v>
      </c>
      <c r="G961">
        <v>0</v>
      </c>
      <c r="H961">
        <v>0</v>
      </c>
      <c r="I961">
        <v>230</v>
      </c>
      <c r="J961">
        <v>29870</v>
      </c>
      <c r="K961" t="s">
        <v>2247</v>
      </c>
      <c r="L961" s="1">
        <v>41038</v>
      </c>
      <c r="N961" t="s">
        <v>36</v>
      </c>
      <c r="O961" t="s">
        <v>37</v>
      </c>
      <c r="P961" t="s">
        <v>405</v>
      </c>
      <c r="Q961" t="s">
        <v>39</v>
      </c>
      <c r="R961" t="s">
        <v>40</v>
      </c>
      <c r="S961">
        <v>0</v>
      </c>
      <c r="U961" t="s">
        <v>41</v>
      </c>
      <c r="V961" t="s">
        <v>42</v>
      </c>
      <c r="X961" t="s">
        <v>74</v>
      </c>
      <c r="Y961" t="b">
        <v>0</v>
      </c>
      <c r="Z961" t="b">
        <v>0</v>
      </c>
      <c r="AB961" t="s">
        <v>638</v>
      </c>
      <c r="AC961" s="1">
        <v>41219</v>
      </c>
      <c r="AF961">
        <v>0</v>
      </c>
      <c r="AG961">
        <v>45</v>
      </c>
      <c r="AH961">
        <v>275</v>
      </c>
      <c r="AI961" s="2">
        <f>Table__192.168.3.138DYLAgingReport[[#This Row],[NetAmount]]-Table__192.168.3.138DYLAgingReport[[#This Row],[Paid]]</f>
        <v>29870</v>
      </c>
    </row>
    <row r="962" spans="1:35">
      <c r="A962" t="s">
        <v>2248</v>
      </c>
      <c r="B962" s="1">
        <v>41043</v>
      </c>
      <c r="C962" s="1">
        <v>41088</v>
      </c>
      <c r="D962" t="s">
        <v>268</v>
      </c>
      <c r="E962">
        <v>163200</v>
      </c>
      <c r="F962">
        <v>26112</v>
      </c>
      <c r="G962">
        <v>0</v>
      </c>
      <c r="H962">
        <v>0</v>
      </c>
      <c r="I962">
        <v>231</v>
      </c>
      <c r="J962">
        <v>189312</v>
      </c>
      <c r="K962" t="s">
        <v>2249</v>
      </c>
      <c r="L962" s="1">
        <v>41037</v>
      </c>
      <c r="N962" t="s">
        <v>36</v>
      </c>
      <c r="O962" t="s">
        <v>37</v>
      </c>
      <c r="P962" t="s">
        <v>405</v>
      </c>
      <c r="Q962" t="s">
        <v>39</v>
      </c>
      <c r="R962" t="s">
        <v>40</v>
      </c>
      <c r="S962">
        <v>0</v>
      </c>
      <c r="U962" t="s">
        <v>41</v>
      </c>
      <c r="V962" t="s">
        <v>42</v>
      </c>
      <c r="X962" t="s">
        <v>74</v>
      </c>
      <c r="Y962" t="b">
        <v>0</v>
      </c>
      <c r="Z962" t="b">
        <v>0</v>
      </c>
      <c r="AB962" t="s">
        <v>638</v>
      </c>
      <c r="AC962" s="1">
        <v>41219</v>
      </c>
      <c r="AF962">
        <v>0</v>
      </c>
      <c r="AG962">
        <v>45</v>
      </c>
      <c r="AH962">
        <v>276</v>
      </c>
      <c r="AI962" s="2">
        <f>Table__192.168.3.138DYLAgingReport[[#This Row],[NetAmount]]-Table__192.168.3.138DYLAgingReport[[#This Row],[Paid]]</f>
        <v>189312</v>
      </c>
    </row>
    <row r="963" spans="1:35">
      <c r="A963" t="s">
        <v>2250</v>
      </c>
      <c r="B963" s="1">
        <v>41043</v>
      </c>
      <c r="C963" s="1">
        <v>41088</v>
      </c>
      <c r="D963" t="s">
        <v>172</v>
      </c>
      <c r="E963">
        <v>162029</v>
      </c>
      <c r="F963">
        <v>25925</v>
      </c>
      <c r="G963">
        <v>0</v>
      </c>
      <c r="H963">
        <v>0</v>
      </c>
      <c r="I963">
        <v>225</v>
      </c>
      <c r="J963">
        <v>187954</v>
      </c>
      <c r="K963" t="s">
        <v>2251</v>
      </c>
      <c r="L963" s="1">
        <v>41043</v>
      </c>
      <c r="N963" t="s">
        <v>36</v>
      </c>
      <c r="O963" t="s">
        <v>37</v>
      </c>
      <c r="P963" t="s">
        <v>309</v>
      </c>
      <c r="Q963" t="s">
        <v>39</v>
      </c>
      <c r="R963" t="s">
        <v>40</v>
      </c>
      <c r="S963">
        <v>0</v>
      </c>
      <c r="U963" t="s">
        <v>41</v>
      </c>
      <c r="V963" t="s">
        <v>42</v>
      </c>
      <c r="X963" t="s">
        <v>74</v>
      </c>
      <c r="Y963" t="b">
        <v>0</v>
      </c>
      <c r="Z963" t="b">
        <v>0</v>
      </c>
      <c r="AC963" s="1"/>
      <c r="AF963">
        <v>0</v>
      </c>
      <c r="AG963">
        <v>45</v>
      </c>
      <c r="AH963">
        <v>270</v>
      </c>
      <c r="AI963" s="2">
        <f>Table__192.168.3.138DYLAgingReport[[#This Row],[NetAmount]]-Table__192.168.3.138DYLAgingReport[[#This Row],[Paid]]</f>
        <v>187954</v>
      </c>
    </row>
    <row r="964" spans="1:35">
      <c r="A964" t="s">
        <v>2252</v>
      </c>
      <c r="B964" s="1">
        <v>41038</v>
      </c>
      <c r="C964" s="1">
        <v>41083</v>
      </c>
      <c r="D964" t="s">
        <v>201</v>
      </c>
      <c r="E964">
        <v>52294</v>
      </c>
      <c r="F964">
        <v>8367</v>
      </c>
      <c r="G964">
        <v>0</v>
      </c>
      <c r="H964">
        <v>0</v>
      </c>
      <c r="I964">
        <v>236</v>
      </c>
      <c r="J964">
        <v>60661</v>
      </c>
      <c r="K964" t="s">
        <v>2253</v>
      </c>
      <c r="L964" s="1">
        <v>41032</v>
      </c>
      <c r="N964" t="s">
        <v>36</v>
      </c>
      <c r="O964" t="s">
        <v>37</v>
      </c>
      <c r="P964" t="s">
        <v>338</v>
      </c>
      <c r="Q964" t="s">
        <v>39</v>
      </c>
      <c r="R964" t="s">
        <v>40</v>
      </c>
      <c r="S964">
        <v>0</v>
      </c>
      <c r="U964" t="s">
        <v>41</v>
      </c>
      <c r="V964" t="s">
        <v>42</v>
      </c>
      <c r="X964" t="s">
        <v>74</v>
      </c>
      <c r="Y964" t="b">
        <v>0</v>
      </c>
      <c r="Z964" t="b">
        <v>0</v>
      </c>
      <c r="AB964" t="s">
        <v>485</v>
      </c>
      <c r="AC964" s="1">
        <v>41236</v>
      </c>
      <c r="AF964">
        <v>0</v>
      </c>
      <c r="AG964">
        <v>45</v>
      </c>
      <c r="AH964">
        <v>281</v>
      </c>
      <c r="AI964" s="2">
        <f>Table__192.168.3.138DYLAgingReport[[#This Row],[NetAmount]]-Table__192.168.3.138DYLAgingReport[[#This Row],[Paid]]</f>
        <v>60661</v>
      </c>
    </row>
    <row r="965" spans="1:35">
      <c r="A965" t="s">
        <v>2254</v>
      </c>
      <c r="B965" s="1">
        <v>41043</v>
      </c>
      <c r="C965" s="1">
        <v>41088</v>
      </c>
      <c r="D965" t="s">
        <v>201</v>
      </c>
      <c r="E965">
        <v>47540</v>
      </c>
      <c r="F965">
        <v>7606</v>
      </c>
      <c r="G965">
        <v>0</v>
      </c>
      <c r="H965">
        <v>0</v>
      </c>
      <c r="I965">
        <v>232</v>
      </c>
      <c r="J965">
        <v>55146</v>
      </c>
      <c r="K965" t="s">
        <v>2255</v>
      </c>
      <c r="L965" s="1">
        <v>41036</v>
      </c>
      <c r="N965" t="s">
        <v>36</v>
      </c>
      <c r="O965" t="s">
        <v>37</v>
      </c>
      <c r="P965" t="s">
        <v>338</v>
      </c>
      <c r="Q965" t="s">
        <v>39</v>
      </c>
      <c r="R965" t="s">
        <v>40</v>
      </c>
      <c r="S965">
        <v>0</v>
      </c>
      <c r="U965" t="s">
        <v>41</v>
      </c>
      <c r="V965" t="s">
        <v>42</v>
      </c>
      <c r="X965" t="s">
        <v>74</v>
      </c>
      <c r="Y965" t="b">
        <v>0</v>
      </c>
      <c r="Z965" t="b">
        <v>0</v>
      </c>
      <c r="AB965" t="s">
        <v>485</v>
      </c>
      <c r="AC965" s="1">
        <v>41236</v>
      </c>
      <c r="AF965">
        <v>0</v>
      </c>
      <c r="AG965">
        <v>45</v>
      </c>
      <c r="AH965">
        <v>277</v>
      </c>
      <c r="AI965" s="2">
        <f>Table__192.168.3.138DYLAgingReport[[#This Row],[NetAmount]]-Table__192.168.3.138DYLAgingReport[[#This Row],[Paid]]</f>
        <v>55146</v>
      </c>
    </row>
    <row r="966" spans="1:35">
      <c r="A966" t="s">
        <v>2256</v>
      </c>
      <c r="B966" s="1">
        <v>41043</v>
      </c>
      <c r="C966" s="1">
        <v>41088</v>
      </c>
      <c r="D966" t="s">
        <v>201</v>
      </c>
      <c r="E966">
        <v>47540</v>
      </c>
      <c r="F966">
        <v>7606</v>
      </c>
      <c r="G966">
        <v>0</v>
      </c>
      <c r="H966">
        <v>0</v>
      </c>
      <c r="I966">
        <v>229</v>
      </c>
      <c r="J966">
        <v>55146</v>
      </c>
      <c r="K966" t="s">
        <v>2257</v>
      </c>
      <c r="L966" s="1">
        <v>41039</v>
      </c>
      <c r="N966" t="s">
        <v>36</v>
      </c>
      <c r="O966" t="s">
        <v>37</v>
      </c>
      <c r="P966" t="s">
        <v>338</v>
      </c>
      <c r="Q966" t="s">
        <v>39</v>
      </c>
      <c r="R966" t="s">
        <v>40</v>
      </c>
      <c r="S966">
        <v>0</v>
      </c>
      <c r="U966" t="s">
        <v>41</v>
      </c>
      <c r="V966" t="s">
        <v>42</v>
      </c>
      <c r="X966" t="s">
        <v>74</v>
      </c>
      <c r="Y966" t="b">
        <v>0</v>
      </c>
      <c r="Z966" t="b">
        <v>0</v>
      </c>
      <c r="AB966" t="s">
        <v>485</v>
      </c>
      <c r="AC966" s="1">
        <v>41236</v>
      </c>
      <c r="AF966">
        <v>0</v>
      </c>
      <c r="AG966">
        <v>45</v>
      </c>
      <c r="AH966">
        <v>274</v>
      </c>
      <c r="AI966" s="2">
        <f>Table__192.168.3.138DYLAgingReport[[#This Row],[NetAmount]]-Table__192.168.3.138DYLAgingReport[[#This Row],[Paid]]</f>
        <v>55146</v>
      </c>
    </row>
    <row r="967" spans="1:35">
      <c r="A967" t="s">
        <v>2258</v>
      </c>
      <c r="B967" s="1">
        <v>41043</v>
      </c>
      <c r="C967" s="1">
        <v>41088</v>
      </c>
      <c r="D967" t="s">
        <v>201</v>
      </c>
      <c r="E967">
        <v>67344</v>
      </c>
      <c r="F967">
        <v>10775</v>
      </c>
      <c r="G967">
        <v>0</v>
      </c>
      <c r="H967">
        <v>0</v>
      </c>
      <c r="I967">
        <v>229</v>
      </c>
      <c r="J967">
        <v>78119</v>
      </c>
      <c r="K967" t="s">
        <v>2259</v>
      </c>
      <c r="L967" s="1">
        <v>41039</v>
      </c>
      <c r="N967" t="s">
        <v>36</v>
      </c>
      <c r="O967" t="s">
        <v>37</v>
      </c>
      <c r="P967" t="s">
        <v>338</v>
      </c>
      <c r="Q967" t="s">
        <v>39</v>
      </c>
      <c r="R967" t="s">
        <v>40</v>
      </c>
      <c r="S967">
        <v>0</v>
      </c>
      <c r="U967" t="s">
        <v>41</v>
      </c>
      <c r="V967" t="s">
        <v>42</v>
      </c>
      <c r="X967" t="s">
        <v>74</v>
      </c>
      <c r="Y967" t="b">
        <v>0</v>
      </c>
      <c r="Z967" t="b">
        <v>0</v>
      </c>
      <c r="AB967" t="s">
        <v>485</v>
      </c>
      <c r="AC967" s="1">
        <v>41236</v>
      </c>
      <c r="AF967">
        <v>0</v>
      </c>
      <c r="AG967">
        <v>45</v>
      </c>
      <c r="AH967">
        <v>274</v>
      </c>
      <c r="AI967" s="2">
        <f>Table__192.168.3.138DYLAgingReport[[#This Row],[NetAmount]]-Table__192.168.3.138DYLAgingReport[[#This Row],[Paid]]</f>
        <v>78119</v>
      </c>
    </row>
    <row r="968" spans="1:35">
      <c r="A968" t="s">
        <v>2260</v>
      </c>
      <c r="B968" s="1">
        <v>41044</v>
      </c>
      <c r="C968" s="1">
        <v>41089</v>
      </c>
      <c r="D968" t="s">
        <v>201</v>
      </c>
      <c r="E968">
        <v>61802</v>
      </c>
      <c r="F968">
        <v>9888</v>
      </c>
      <c r="G968">
        <v>0</v>
      </c>
      <c r="H968">
        <v>0</v>
      </c>
      <c r="I968">
        <v>224</v>
      </c>
      <c r="J968">
        <v>71690</v>
      </c>
      <c r="K968" t="s">
        <v>2261</v>
      </c>
      <c r="L968" s="1">
        <v>41044</v>
      </c>
      <c r="N968" t="s">
        <v>36</v>
      </c>
      <c r="O968" t="s">
        <v>37</v>
      </c>
      <c r="P968" t="s">
        <v>338</v>
      </c>
      <c r="Q968" t="s">
        <v>39</v>
      </c>
      <c r="R968" t="s">
        <v>40</v>
      </c>
      <c r="S968">
        <v>0</v>
      </c>
      <c r="U968" t="s">
        <v>41</v>
      </c>
      <c r="V968" t="s">
        <v>42</v>
      </c>
      <c r="X968" t="s">
        <v>74</v>
      </c>
      <c r="Y968" t="b">
        <v>0</v>
      </c>
      <c r="Z968" t="b">
        <v>0</v>
      </c>
      <c r="AB968" t="s">
        <v>485</v>
      </c>
      <c r="AC968" s="1">
        <v>41236</v>
      </c>
      <c r="AF968">
        <v>0</v>
      </c>
      <c r="AG968">
        <v>45</v>
      </c>
      <c r="AH968">
        <v>269</v>
      </c>
      <c r="AI968" s="2">
        <f>Table__192.168.3.138DYLAgingReport[[#This Row],[NetAmount]]-Table__192.168.3.138DYLAgingReport[[#This Row],[Paid]]</f>
        <v>71690</v>
      </c>
    </row>
    <row r="969" spans="1:35">
      <c r="A969" t="s">
        <v>2262</v>
      </c>
      <c r="B969" s="1">
        <v>41043</v>
      </c>
      <c r="C969" s="1">
        <v>41088</v>
      </c>
      <c r="D969" t="s">
        <v>270</v>
      </c>
      <c r="E969">
        <v>297000</v>
      </c>
      <c r="F969">
        <v>47520</v>
      </c>
      <c r="G969">
        <v>0</v>
      </c>
      <c r="H969">
        <v>0</v>
      </c>
      <c r="I969">
        <v>243</v>
      </c>
      <c r="J969">
        <v>344520</v>
      </c>
      <c r="K969" t="s">
        <v>2263</v>
      </c>
      <c r="L969" s="1">
        <v>41040</v>
      </c>
      <c r="N969" t="s">
        <v>36</v>
      </c>
      <c r="O969" t="s">
        <v>37</v>
      </c>
      <c r="P969" t="s">
        <v>407</v>
      </c>
      <c r="Q969" t="s">
        <v>39</v>
      </c>
      <c r="R969" t="s">
        <v>40</v>
      </c>
      <c r="S969">
        <v>0</v>
      </c>
      <c r="U969" t="s">
        <v>41</v>
      </c>
      <c r="V969" t="s">
        <v>42</v>
      </c>
      <c r="X969" t="s">
        <v>74</v>
      </c>
      <c r="Y969" t="b">
        <v>0</v>
      </c>
      <c r="Z969" t="b">
        <v>0</v>
      </c>
      <c r="AC969" s="1"/>
      <c r="AF969">
        <v>0</v>
      </c>
      <c r="AG969">
        <v>30</v>
      </c>
      <c r="AH969">
        <v>273</v>
      </c>
      <c r="AI969" s="2">
        <f>Table__192.168.3.138DYLAgingReport[[#This Row],[NetAmount]]-Table__192.168.3.138DYLAgingReport[[#This Row],[Paid]]</f>
        <v>344520</v>
      </c>
    </row>
    <row r="970" spans="1:35">
      <c r="A970" t="s">
        <v>2264</v>
      </c>
      <c r="B970" s="1">
        <v>41044</v>
      </c>
      <c r="C970" s="1">
        <v>41089</v>
      </c>
      <c r="D970" t="s">
        <v>172</v>
      </c>
      <c r="E970">
        <v>93120</v>
      </c>
      <c r="F970">
        <v>14899</v>
      </c>
      <c r="G970">
        <v>0</v>
      </c>
      <c r="H970">
        <v>0</v>
      </c>
      <c r="I970">
        <v>221</v>
      </c>
      <c r="J970">
        <v>108019</v>
      </c>
      <c r="K970" t="s">
        <v>2265</v>
      </c>
      <c r="L970" s="1">
        <v>41047</v>
      </c>
      <c r="N970" t="s">
        <v>36</v>
      </c>
      <c r="O970" t="s">
        <v>37</v>
      </c>
      <c r="P970" t="s">
        <v>309</v>
      </c>
      <c r="Q970" t="s">
        <v>39</v>
      </c>
      <c r="R970" t="s">
        <v>40</v>
      </c>
      <c r="S970">
        <v>0</v>
      </c>
      <c r="U970" t="s">
        <v>41</v>
      </c>
      <c r="V970" t="s">
        <v>42</v>
      </c>
      <c r="X970" t="s">
        <v>74</v>
      </c>
      <c r="Y970" t="b">
        <v>0</v>
      </c>
      <c r="Z970" t="b">
        <v>0</v>
      </c>
      <c r="AC970" s="1"/>
      <c r="AF970">
        <v>0</v>
      </c>
      <c r="AG970">
        <v>45</v>
      </c>
      <c r="AH970">
        <v>266</v>
      </c>
      <c r="AI970" s="2">
        <f>Table__192.168.3.138DYLAgingReport[[#This Row],[NetAmount]]-Table__192.168.3.138DYLAgingReport[[#This Row],[Paid]]</f>
        <v>108019</v>
      </c>
    </row>
    <row r="971" spans="1:35">
      <c r="A971" t="s">
        <v>2266</v>
      </c>
      <c r="B971" s="1">
        <v>41044</v>
      </c>
      <c r="C971" s="1">
        <v>41089</v>
      </c>
      <c r="D971" t="s">
        <v>187</v>
      </c>
      <c r="E971">
        <v>62360</v>
      </c>
      <c r="F971">
        <v>0</v>
      </c>
      <c r="G971">
        <v>0</v>
      </c>
      <c r="H971">
        <v>0</v>
      </c>
      <c r="I971">
        <v>224</v>
      </c>
      <c r="J971">
        <v>62360</v>
      </c>
      <c r="K971" t="s">
        <v>2267</v>
      </c>
      <c r="L971" s="1">
        <v>41044</v>
      </c>
      <c r="N971" t="s">
        <v>36</v>
      </c>
      <c r="O971" t="s">
        <v>37</v>
      </c>
      <c r="P971" t="s">
        <v>324</v>
      </c>
      <c r="Q971" t="s">
        <v>39</v>
      </c>
      <c r="R971" t="s">
        <v>40</v>
      </c>
      <c r="S971">
        <v>0</v>
      </c>
      <c r="U971" t="s">
        <v>41</v>
      </c>
      <c r="V971" t="s">
        <v>42</v>
      </c>
      <c r="X971" t="s">
        <v>74</v>
      </c>
      <c r="Y971" t="b">
        <v>0</v>
      </c>
      <c r="Z971" t="b">
        <v>0</v>
      </c>
      <c r="AC971" s="1"/>
      <c r="AF971">
        <v>0</v>
      </c>
      <c r="AG971">
        <v>45</v>
      </c>
      <c r="AH971">
        <v>269</v>
      </c>
      <c r="AI971" s="2">
        <f>Table__192.168.3.138DYLAgingReport[[#This Row],[NetAmount]]-Table__192.168.3.138DYLAgingReport[[#This Row],[Paid]]</f>
        <v>62360</v>
      </c>
    </row>
    <row r="972" spans="1:35">
      <c r="A972" t="s">
        <v>2268</v>
      </c>
      <c r="B972" s="1">
        <v>41043</v>
      </c>
      <c r="C972" s="1">
        <v>41088</v>
      </c>
      <c r="D972" t="s">
        <v>167</v>
      </c>
      <c r="E972">
        <v>27641</v>
      </c>
      <c r="F972">
        <v>4422</v>
      </c>
      <c r="G972">
        <v>0</v>
      </c>
      <c r="H972">
        <v>0</v>
      </c>
      <c r="I972">
        <v>228</v>
      </c>
      <c r="J972">
        <v>32063</v>
      </c>
      <c r="K972" t="s">
        <v>2269</v>
      </c>
      <c r="L972" s="1">
        <v>41040</v>
      </c>
      <c r="N972" t="s">
        <v>36</v>
      </c>
      <c r="O972" t="s">
        <v>37</v>
      </c>
      <c r="P972" t="s">
        <v>304</v>
      </c>
      <c r="Q972" t="s">
        <v>39</v>
      </c>
      <c r="R972" t="s">
        <v>40</v>
      </c>
      <c r="S972">
        <v>0</v>
      </c>
      <c r="U972" t="s">
        <v>41</v>
      </c>
      <c r="V972" t="s">
        <v>42</v>
      </c>
      <c r="X972" t="s">
        <v>74</v>
      </c>
      <c r="Y972" t="b">
        <v>0</v>
      </c>
      <c r="Z972" t="b">
        <v>0</v>
      </c>
      <c r="AC972" s="1"/>
      <c r="AF972">
        <v>0</v>
      </c>
      <c r="AG972">
        <v>45</v>
      </c>
      <c r="AH972">
        <v>273</v>
      </c>
      <c r="AI972" s="2">
        <f>Table__192.168.3.138DYLAgingReport[[#This Row],[NetAmount]]-Table__192.168.3.138DYLAgingReport[[#This Row],[Paid]]</f>
        <v>32063</v>
      </c>
    </row>
    <row r="973" spans="1:35">
      <c r="A973" t="s">
        <v>2270</v>
      </c>
      <c r="B973" s="1">
        <v>41043</v>
      </c>
      <c r="C973" s="1">
        <v>41088</v>
      </c>
      <c r="D973" t="s">
        <v>268</v>
      </c>
      <c r="E973">
        <v>88490</v>
      </c>
      <c r="F973">
        <v>14158</v>
      </c>
      <c r="G973">
        <v>0</v>
      </c>
      <c r="H973">
        <v>0</v>
      </c>
      <c r="I973">
        <v>231</v>
      </c>
      <c r="J973">
        <v>102648</v>
      </c>
      <c r="K973" t="s">
        <v>2271</v>
      </c>
      <c r="L973" s="1">
        <v>41037</v>
      </c>
      <c r="N973" t="s">
        <v>36</v>
      </c>
      <c r="O973" t="s">
        <v>37</v>
      </c>
      <c r="P973" t="s">
        <v>405</v>
      </c>
      <c r="Q973" t="s">
        <v>39</v>
      </c>
      <c r="R973" t="s">
        <v>40</v>
      </c>
      <c r="S973">
        <v>0</v>
      </c>
      <c r="U973" t="s">
        <v>41</v>
      </c>
      <c r="V973" t="s">
        <v>42</v>
      </c>
      <c r="X973" t="s">
        <v>74</v>
      </c>
      <c r="Y973" t="b">
        <v>0</v>
      </c>
      <c r="Z973" t="b">
        <v>0</v>
      </c>
      <c r="AB973" t="s">
        <v>638</v>
      </c>
      <c r="AC973" s="1">
        <v>41219</v>
      </c>
      <c r="AF973">
        <v>0</v>
      </c>
      <c r="AG973">
        <v>45</v>
      </c>
      <c r="AH973">
        <v>276</v>
      </c>
      <c r="AI973" s="2">
        <f>Table__192.168.3.138DYLAgingReport[[#This Row],[NetAmount]]-Table__192.168.3.138DYLAgingReport[[#This Row],[Paid]]</f>
        <v>102648</v>
      </c>
    </row>
    <row r="974" spans="1:35">
      <c r="A974" t="s">
        <v>2272</v>
      </c>
      <c r="B974" s="1">
        <v>41046</v>
      </c>
      <c r="C974" s="1">
        <v>41091</v>
      </c>
      <c r="D974" t="s">
        <v>201</v>
      </c>
      <c r="E974">
        <v>30000</v>
      </c>
      <c r="F974">
        <v>4800</v>
      </c>
      <c r="G974">
        <v>0</v>
      </c>
      <c r="H974">
        <v>0</v>
      </c>
      <c r="I974">
        <v>222</v>
      </c>
      <c r="J974">
        <v>34800</v>
      </c>
      <c r="K974" t="s">
        <v>2273</v>
      </c>
      <c r="L974" s="1">
        <v>41046</v>
      </c>
      <c r="N974" t="s">
        <v>36</v>
      </c>
      <c r="O974" t="s">
        <v>37</v>
      </c>
      <c r="P974" t="s">
        <v>338</v>
      </c>
      <c r="Q974" t="s">
        <v>39</v>
      </c>
      <c r="R974" t="s">
        <v>40</v>
      </c>
      <c r="S974">
        <v>0</v>
      </c>
      <c r="U974" t="s">
        <v>41</v>
      </c>
      <c r="V974" t="s">
        <v>42</v>
      </c>
      <c r="X974" t="s">
        <v>74</v>
      </c>
      <c r="Y974" t="b">
        <v>0</v>
      </c>
      <c r="Z974" t="b">
        <v>0</v>
      </c>
      <c r="AB974" t="s">
        <v>485</v>
      </c>
      <c r="AC974" s="1">
        <v>41236</v>
      </c>
      <c r="AF974">
        <v>0</v>
      </c>
      <c r="AG974">
        <v>45</v>
      </c>
      <c r="AH974">
        <v>267</v>
      </c>
      <c r="AI974" s="2">
        <f>Table__192.168.3.138DYLAgingReport[[#This Row],[NetAmount]]-Table__192.168.3.138DYLAgingReport[[#This Row],[Paid]]</f>
        <v>34800</v>
      </c>
    </row>
    <row r="975" spans="1:35">
      <c r="A975" t="s">
        <v>2274</v>
      </c>
      <c r="B975" s="1">
        <v>41044</v>
      </c>
      <c r="C975" s="1">
        <v>41089</v>
      </c>
      <c r="D975" t="s">
        <v>268</v>
      </c>
      <c r="E975">
        <v>205000</v>
      </c>
      <c r="F975">
        <v>32800</v>
      </c>
      <c r="G975">
        <v>0</v>
      </c>
      <c r="H975">
        <v>0</v>
      </c>
      <c r="I975">
        <v>216</v>
      </c>
      <c r="J975">
        <v>237800</v>
      </c>
      <c r="K975" t="s">
        <v>1246</v>
      </c>
      <c r="L975" s="1">
        <v>41052</v>
      </c>
      <c r="N975" t="s">
        <v>36</v>
      </c>
      <c r="O975" t="s">
        <v>37</v>
      </c>
      <c r="P975" t="s">
        <v>405</v>
      </c>
      <c r="Q975" t="s">
        <v>39</v>
      </c>
      <c r="R975" t="s">
        <v>40</v>
      </c>
      <c r="S975">
        <v>0</v>
      </c>
      <c r="U975" t="s">
        <v>41</v>
      </c>
      <c r="V975" t="s">
        <v>42</v>
      </c>
      <c r="X975" t="s">
        <v>74</v>
      </c>
      <c r="Y975" t="b">
        <v>0</v>
      </c>
      <c r="Z975" t="b">
        <v>0</v>
      </c>
      <c r="AB975" t="s">
        <v>638</v>
      </c>
      <c r="AC975" s="1">
        <v>41219</v>
      </c>
      <c r="AF975">
        <v>0</v>
      </c>
      <c r="AG975">
        <v>45</v>
      </c>
      <c r="AH975">
        <v>261</v>
      </c>
      <c r="AI975" s="2">
        <f>Table__192.168.3.138DYLAgingReport[[#This Row],[NetAmount]]-Table__192.168.3.138DYLAgingReport[[#This Row],[Paid]]</f>
        <v>237800</v>
      </c>
    </row>
    <row r="976" spans="1:35">
      <c r="A976" t="s">
        <v>2275</v>
      </c>
      <c r="B976" s="1">
        <v>41051</v>
      </c>
      <c r="C976" s="1">
        <v>41096</v>
      </c>
      <c r="D976" t="s">
        <v>167</v>
      </c>
      <c r="E976">
        <v>3230</v>
      </c>
      <c r="F976">
        <v>517</v>
      </c>
      <c r="G976">
        <v>0</v>
      </c>
      <c r="H976">
        <v>0</v>
      </c>
      <c r="I976">
        <v>217</v>
      </c>
      <c r="J976">
        <v>3747</v>
      </c>
      <c r="K976" t="s">
        <v>2276</v>
      </c>
      <c r="L976" s="1">
        <v>41051</v>
      </c>
      <c r="N976" t="s">
        <v>36</v>
      </c>
      <c r="O976" t="s">
        <v>37</v>
      </c>
      <c r="P976" t="s">
        <v>304</v>
      </c>
      <c r="Q976" t="s">
        <v>39</v>
      </c>
      <c r="R976" t="s">
        <v>40</v>
      </c>
      <c r="S976">
        <v>0</v>
      </c>
      <c r="U976" t="s">
        <v>41</v>
      </c>
      <c r="V976" t="s">
        <v>42</v>
      </c>
      <c r="X976" t="s">
        <v>74</v>
      </c>
      <c r="Y976" t="b">
        <v>0</v>
      </c>
      <c r="Z976" t="b">
        <v>0</v>
      </c>
      <c r="AC976" s="1"/>
      <c r="AF976">
        <v>0</v>
      </c>
      <c r="AG976">
        <v>45</v>
      </c>
      <c r="AH976">
        <v>262</v>
      </c>
      <c r="AI976" s="2">
        <f>Table__192.168.3.138DYLAgingReport[[#This Row],[NetAmount]]-Table__192.168.3.138DYLAgingReport[[#This Row],[Paid]]</f>
        <v>3747</v>
      </c>
    </row>
    <row r="977" spans="1:35">
      <c r="A977" t="s">
        <v>2277</v>
      </c>
      <c r="B977" s="1">
        <v>41043</v>
      </c>
      <c r="C977" s="1">
        <v>41088</v>
      </c>
      <c r="D977" t="s">
        <v>188</v>
      </c>
      <c r="E977">
        <v>39544</v>
      </c>
      <c r="F977">
        <v>6327</v>
      </c>
      <c r="G977">
        <v>0</v>
      </c>
      <c r="H977">
        <v>0</v>
      </c>
      <c r="I977">
        <v>228</v>
      </c>
      <c r="J977">
        <v>45871</v>
      </c>
      <c r="K977" t="s">
        <v>2278</v>
      </c>
      <c r="L977" s="1">
        <v>41040</v>
      </c>
      <c r="N977" t="s">
        <v>36</v>
      </c>
      <c r="O977" t="s">
        <v>37</v>
      </c>
      <c r="P977" t="s">
        <v>325</v>
      </c>
      <c r="Q977" t="s">
        <v>39</v>
      </c>
      <c r="R977" t="s">
        <v>40</v>
      </c>
      <c r="S977">
        <v>0</v>
      </c>
      <c r="U977" t="s">
        <v>41</v>
      </c>
      <c r="V977" t="s">
        <v>42</v>
      </c>
      <c r="X977" t="s">
        <v>74</v>
      </c>
      <c r="Y977" t="b">
        <v>0</v>
      </c>
      <c r="Z977" t="b">
        <v>0</v>
      </c>
      <c r="AC977" s="1"/>
      <c r="AF977">
        <v>0</v>
      </c>
      <c r="AG977">
        <v>45</v>
      </c>
      <c r="AH977">
        <v>273</v>
      </c>
      <c r="AI977" s="2">
        <f>Table__192.168.3.138DYLAgingReport[[#This Row],[NetAmount]]-Table__192.168.3.138DYLAgingReport[[#This Row],[Paid]]</f>
        <v>45871</v>
      </c>
    </row>
    <row r="978" spans="1:35">
      <c r="A978" t="s">
        <v>2279</v>
      </c>
      <c r="B978" s="1">
        <v>41048</v>
      </c>
      <c r="C978" s="1">
        <v>41093</v>
      </c>
      <c r="D978" t="s">
        <v>254</v>
      </c>
      <c r="E978">
        <v>1419000</v>
      </c>
      <c r="F978">
        <v>227040</v>
      </c>
      <c r="G978">
        <v>0</v>
      </c>
      <c r="H978">
        <v>0</v>
      </c>
      <c r="I978">
        <v>228</v>
      </c>
      <c r="J978">
        <v>1646040</v>
      </c>
      <c r="K978" t="s">
        <v>2280</v>
      </c>
      <c r="L978" s="1">
        <v>41040</v>
      </c>
      <c r="N978" t="s">
        <v>36</v>
      </c>
      <c r="O978" t="s">
        <v>37</v>
      </c>
      <c r="P978" t="s">
        <v>391</v>
      </c>
      <c r="Q978" t="s">
        <v>39</v>
      </c>
      <c r="R978" t="s">
        <v>40</v>
      </c>
      <c r="S978">
        <v>0</v>
      </c>
      <c r="U978" t="s">
        <v>41</v>
      </c>
      <c r="V978" t="s">
        <v>42</v>
      </c>
      <c r="X978" t="s">
        <v>74</v>
      </c>
      <c r="Y978" t="b">
        <v>0</v>
      </c>
      <c r="Z978" t="b">
        <v>0</v>
      </c>
      <c r="AB978" t="s">
        <v>2281</v>
      </c>
      <c r="AC978" s="1">
        <v>41124</v>
      </c>
      <c r="AD978" t="s">
        <v>2282</v>
      </c>
      <c r="AE978" t="s">
        <v>2283</v>
      </c>
      <c r="AF978">
        <v>1637237</v>
      </c>
      <c r="AG978">
        <v>45</v>
      </c>
      <c r="AH978">
        <v>273</v>
      </c>
      <c r="AI978" s="2">
        <f>Table__192.168.3.138DYLAgingReport[[#This Row],[NetAmount]]-Table__192.168.3.138DYLAgingReport[[#This Row],[Paid]]</f>
        <v>8803</v>
      </c>
    </row>
    <row r="979" spans="1:35">
      <c r="A979" t="s">
        <v>2284</v>
      </c>
      <c r="B979" s="1">
        <v>41047</v>
      </c>
      <c r="C979" s="1">
        <v>41092</v>
      </c>
      <c r="D979" t="s">
        <v>187</v>
      </c>
      <c r="E979">
        <v>83070</v>
      </c>
      <c r="F979">
        <v>0</v>
      </c>
      <c r="G979">
        <v>0</v>
      </c>
      <c r="H979">
        <v>0</v>
      </c>
      <c r="I979">
        <v>221</v>
      </c>
      <c r="J979">
        <v>83070</v>
      </c>
      <c r="K979" t="s">
        <v>2285</v>
      </c>
      <c r="L979" s="1">
        <v>41047</v>
      </c>
      <c r="N979" t="s">
        <v>36</v>
      </c>
      <c r="O979" t="s">
        <v>37</v>
      </c>
      <c r="P979" t="s">
        <v>324</v>
      </c>
      <c r="Q979" t="s">
        <v>39</v>
      </c>
      <c r="R979" t="s">
        <v>40</v>
      </c>
      <c r="S979">
        <v>0</v>
      </c>
      <c r="U979" t="s">
        <v>41</v>
      </c>
      <c r="V979" t="s">
        <v>42</v>
      </c>
      <c r="X979" t="s">
        <v>74</v>
      </c>
      <c r="Y979" t="b">
        <v>0</v>
      </c>
      <c r="Z979" t="b">
        <v>0</v>
      </c>
      <c r="AC979" s="1"/>
      <c r="AF979">
        <v>0</v>
      </c>
      <c r="AG979">
        <v>45</v>
      </c>
      <c r="AH979">
        <v>266</v>
      </c>
      <c r="AI979" s="2">
        <f>Table__192.168.3.138DYLAgingReport[[#This Row],[NetAmount]]-Table__192.168.3.138DYLAgingReport[[#This Row],[Paid]]</f>
        <v>83070</v>
      </c>
    </row>
    <row r="980" spans="1:35">
      <c r="A980" t="s">
        <v>2286</v>
      </c>
      <c r="B980" s="1">
        <v>41051</v>
      </c>
      <c r="C980" s="1">
        <v>41096</v>
      </c>
      <c r="D980" t="s">
        <v>187</v>
      </c>
      <c r="E980">
        <v>82200</v>
      </c>
      <c r="F980">
        <v>0</v>
      </c>
      <c r="G980">
        <v>0</v>
      </c>
      <c r="H980">
        <v>0</v>
      </c>
      <c r="I980">
        <v>217</v>
      </c>
      <c r="J980">
        <v>82200</v>
      </c>
      <c r="K980" t="s">
        <v>2287</v>
      </c>
      <c r="L980" s="1">
        <v>41051</v>
      </c>
      <c r="N980" t="s">
        <v>36</v>
      </c>
      <c r="O980" t="s">
        <v>37</v>
      </c>
      <c r="P980" t="s">
        <v>324</v>
      </c>
      <c r="Q980" t="s">
        <v>39</v>
      </c>
      <c r="R980" t="s">
        <v>40</v>
      </c>
      <c r="S980">
        <v>0</v>
      </c>
      <c r="U980" t="s">
        <v>41</v>
      </c>
      <c r="V980" t="s">
        <v>42</v>
      </c>
      <c r="X980" t="s">
        <v>74</v>
      </c>
      <c r="Y980" t="b">
        <v>0</v>
      </c>
      <c r="Z980" t="b">
        <v>0</v>
      </c>
      <c r="AC980" s="1"/>
      <c r="AF980">
        <v>0</v>
      </c>
      <c r="AG980">
        <v>45</v>
      </c>
      <c r="AH980">
        <v>262</v>
      </c>
      <c r="AI980" s="2">
        <f>Table__192.168.3.138DYLAgingReport[[#This Row],[NetAmount]]-Table__192.168.3.138DYLAgingReport[[#This Row],[Paid]]</f>
        <v>82200</v>
      </c>
    </row>
    <row r="981" spans="1:35">
      <c r="A981" t="s">
        <v>2288</v>
      </c>
      <c r="B981" s="1">
        <v>41043</v>
      </c>
      <c r="C981" s="1">
        <v>41088</v>
      </c>
      <c r="D981" t="s">
        <v>211</v>
      </c>
      <c r="E981">
        <v>15000</v>
      </c>
      <c r="F981">
        <v>0</v>
      </c>
      <c r="G981">
        <v>0</v>
      </c>
      <c r="H981">
        <v>0</v>
      </c>
      <c r="I981">
        <v>218</v>
      </c>
      <c r="J981">
        <v>15000</v>
      </c>
      <c r="K981" t="s">
        <v>2289</v>
      </c>
      <c r="L981" s="1">
        <v>41050</v>
      </c>
      <c r="N981" t="s">
        <v>36</v>
      </c>
      <c r="O981" t="s">
        <v>37</v>
      </c>
      <c r="P981" t="s">
        <v>348</v>
      </c>
      <c r="Q981" t="s">
        <v>39</v>
      </c>
      <c r="R981" t="s">
        <v>40</v>
      </c>
      <c r="S981">
        <v>0</v>
      </c>
      <c r="U981" t="s">
        <v>41</v>
      </c>
      <c r="V981" t="s">
        <v>42</v>
      </c>
      <c r="X981" t="s">
        <v>74</v>
      </c>
      <c r="Y981" t="b">
        <v>0</v>
      </c>
      <c r="Z981" t="b">
        <v>0</v>
      </c>
      <c r="AC981" s="1"/>
      <c r="AF981">
        <v>0</v>
      </c>
      <c r="AG981">
        <v>45</v>
      </c>
      <c r="AH981">
        <v>263</v>
      </c>
      <c r="AI981" s="2">
        <f>Table__192.168.3.138DYLAgingReport[[#This Row],[NetAmount]]-Table__192.168.3.138DYLAgingReport[[#This Row],[Paid]]</f>
        <v>15000</v>
      </c>
    </row>
    <row r="982" spans="1:35">
      <c r="A982" t="s">
        <v>2290</v>
      </c>
      <c r="B982" s="1">
        <v>41051</v>
      </c>
      <c r="C982" s="1">
        <v>41096</v>
      </c>
      <c r="D982" t="s">
        <v>187</v>
      </c>
      <c r="E982">
        <v>9900</v>
      </c>
      <c r="F982">
        <v>0</v>
      </c>
      <c r="G982">
        <v>0</v>
      </c>
      <c r="H982">
        <v>0</v>
      </c>
      <c r="I982">
        <v>217</v>
      </c>
      <c r="J982">
        <v>9900</v>
      </c>
      <c r="K982" t="s">
        <v>2291</v>
      </c>
      <c r="L982" s="1">
        <v>41051</v>
      </c>
      <c r="N982" t="s">
        <v>36</v>
      </c>
      <c r="O982" t="s">
        <v>37</v>
      </c>
      <c r="P982" t="s">
        <v>324</v>
      </c>
      <c r="Q982" t="s">
        <v>39</v>
      </c>
      <c r="R982" t="s">
        <v>40</v>
      </c>
      <c r="S982">
        <v>0</v>
      </c>
      <c r="U982" t="s">
        <v>41</v>
      </c>
      <c r="V982" t="s">
        <v>42</v>
      </c>
      <c r="X982" t="s">
        <v>74</v>
      </c>
      <c r="Y982" t="b">
        <v>0</v>
      </c>
      <c r="Z982" t="b">
        <v>0</v>
      </c>
      <c r="AC982" s="1"/>
      <c r="AF982">
        <v>0</v>
      </c>
      <c r="AG982">
        <v>45</v>
      </c>
      <c r="AH982">
        <v>262</v>
      </c>
      <c r="AI982" s="2">
        <f>Table__192.168.3.138DYLAgingReport[[#This Row],[NetAmount]]-Table__192.168.3.138DYLAgingReport[[#This Row],[Paid]]</f>
        <v>9900</v>
      </c>
    </row>
    <row r="983" spans="1:35">
      <c r="A983" t="s">
        <v>2292</v>
      </c>
      <c r="B983" s="1">
        <v>41047</v>
      </c>
      <c r="C983" s="1">
        <v>41092</v>
      </c>
      <c r="D983" t="s">
        <v>176</v>
      </c>
      <c r="E983">
        <v>12000</v>
      </c>
      <c r="F983">
        <v>1920</v>
      </c>
      <c r="G983">
        <v>0</v>
      </c>
      <c r="H983">
        <v>0</v>
      </c>
      <c r="I983">
        <v>221</v>
      </c>
      <c r="J983">
        <v>13920</v>
      </c>
      <c r="K983" t="s">
        <v>2293</v>
      </c>
      <c r="L983" s="1">
        <v>41047</v>
      </c>
      <c r="M983" t="s">
        <v>2294</v>
      </c>
      <c r="N983" t="s">
        <v>36</v>
      </c>
      <c r="O983" t="s">
        <v>37</v>
      </c>
      <c r="P983" t="s">
        <v>313</v>
      </c>
      <c r="Q983" t="s">
        <v>39</v>
      </c>
      <c r="R983" t="s">
        <v>40</v>
      </c>
      <c r="S983">
        <v>0</v>
      </c>
      <c r="U983" t="s">
        <v>41</v>
      </c>
      <c r="V983" t="s">
        <v>42</v>
      </c>
      <c r="W983" t="s">
        <v>494</v>
      </c>
      <c r="X983" t="s">
        <v>74</v>
      </c>
      <c r="Y983" t="b">
        <v>0</v>
      </c>
      <c r="Z983" t="b">
        <v>0</v>
      </c>
      <c r="AA983" t="b">
        <v>0</v>
      </c>
      <c r="AC983" s="1"/>
      <c r="AF983">
        <v>0</v>
      </c>
      <c r="AG983">
        <v>45</v>
      </c>
      <c r="AH983">
        <v>266</v>
      </c>
      <c r="AI983" s="2">
        <f>Table__192.168.3.138DYLAgingReport[[#This Row],[NetAmount]]-Table__192.168.3.138DYLAgingReport[[#This Row],[Paid]]</f>
        <v>13920</v>
      </c>
    </row>
    <row r="984" spans="1:35">
      <c r="A984" t="s">
        <v>2295</v>
      </c>
      <c r="B984" s="1">
        <v>41050</v>
      </c>
      <c r="C984" s="1">
        <v>41095</v>
      </c>
      <c r="D984" t="s">
        <v>194</v>
      </c>
      <c r="E984">
        <v>166725</v>
      </c>
      <c r="F984">
        <v>26676</v>
      </c>
      <c r="G984">
        <v>0</v>
      </c>
      <c r="H984">
        <v>0</v>
      </c>
      <c r="I984">
        <v>218</v>
      </c>
      <c r="J984">
        <v>193401</v>
      </c>
      <c r="L984" s="1">
        <v>41050</v>
      </c>
      <c r="M984" t="s">
        <v>2296</v>
      </c>
      <c r="N984" t="s">
        <v>36</v>
      </c>
      <c r="O984" t="s">
        <v>37</v>
      </c>
      <c r="P984" t="s">
        <v>331</v>
      </c>
      <c r="Q984" t="s">
        <v>39</v>
      </c>
      <c r="R984" t="s">
        <v>40</v>
      </c>
      <c r="S984">
        <v>0</v>
      </c>
      <c r="U984" t="s">
        <v>41</v>
      </c>
      <c r="V984" t="s">
        <v>42</v>
      </c>
      <c r="W984" t="s">
        <v>2297</v>
      </c>
      <c r="X984" t="s">
        <v>74</v>
      </c>
      <c r="Y984" t="b">
        <v>0</v>
      </c>
      <c r="Z984" t="b">
        <v>0</v>
      </c>
      <c r="AA984" t="b">
        <v>0</v>
      </c>
      <c r="AC984" s="1"/>
      <c r="AF984">
        <v>0</v>
      </c>
      <c r="AG984">
        <v>45</v>
      </c>
      <c r="AH984">
        <v>263</v>
      </c>
      <c r="AI984" s="2">
        <f>Table__192.168.3.138DYLAgingReport[[#This Row],[NetAmount]]-Table__192.168.3.138DYLAgingReport[[#This Row],[Paid]]</f>
        <v>193401</v>
      </c>
    </row>
    <row r="985" spans="1:35">
      <c r="A985" t="s">
        <v>2298</v>
      </c>
      <c r="B985" s="1">
        <v>41043</v>
      </c>
      <c r="C985" s="1">
        <v>41088</v>
      </c>
      <c r="D985" t="s">
        <v>208</v>
      </c>
      <c r="E985">
        <v>305582</v>
      </c>
      <c r="F985">
        <v>48894</v>
      </c>
      <c r="G985">
        <v>0</v>
      </c>
      <c r="H985">
        <v>0</v>
      </c>
      <c r="I985">
        <v>232</v>
      </c>
      <c r="J985">
        <v>354476</v>
      </c>
      <c r="K985" t="s">
        <v>2299</v>
      </c>
      <c r="L985" s="1">
        <v>41036</v>
      </c>
      <c r="N985" t="s">
        <v>36</v>
      </c>
      <c r="O985" t="s">
        <v>37</v>
      </c>
      <c r="P985" t="s">
        <v>345</v>
      </c>
      <c r="Q985" t="s">
        <v>39</v>
      </c>
      <c r="R985" t="s">
        <v>40</v>
      </c>
      <c r="S985">
        <v>0</v>
      </c>
      <c r="U985" t="s">
        <v>41</v>
      </c>
      <c r="V985" t="s">
        <v>42</v>
      </c>
      <c r="X985" t="s">
        <v>74</v>
      </c>
      <c r="Y985" t="b">
        <v>0</v>
      </c>
      <c r="Z985" t="b">
        <v>0</v>
      </c>
      <c r="AC985" s="1"/>
      <c r="AF985">
        <v>0</v>
      </c>
      <c r="AG985">
        <v>45</v>
      </c>
      <c r="AH985">
        <v>277</v>
      </c>
      <c r="AI985" s="2">
        <f>Table__192.168.3.138DYLAgingReport[[#This Row],[NetAmount]]-Table__192.168.3.138DYLAgingReport[[#This Row],[Paid]]</f>
        <v>354476</v>
      </c>
    </row>
    <row r="986" spans="1:35">
      <c r="A986" t="s">
        <v>2300</v>
      </c>
      <c r="B986" s="1">
        <v>41043</v>
      </c>
      <c r="C986" s="1">
        <v>41088</v>
      </c>
      <c r="D986" t="s">
        <v>208</v>
      </c>
      <c r="E986">
        <v>327382</v>
      </c>
      <c r="F986">
        <v>52381</v>
      </c>
      <c r="G986">
        <v>0</v>
      </c>
      <c r="H986">
        <v>0</v>
      </c>
      <c r="I986">
        <v>230</v>
      </c>
      <c r="J986">
        <v>379763</v>
      </c>
      <c r="K986" t="s">
        <v>2301</v>
      </c>
      <c r="L986" s="1">
        <v>41038</v>
      </c>
      <c r="N986" t="s">
        <v>36</v>
      </c>
      <c r="O986" t="s">
        <v>37</v>
      </c>
      <c r="P986" t="s">
        <v>345</v>
      </c>
      <c r="Q986" t="s">
        <v>39</v>
      </c>
      <c r="R986" t="s">
        <v>40</v>
      </c>
      <c r="S986">
        <v>0</v>
      </c>
      <c r="U986" t="s">
        <v>41</v>
      </c>
      <c r="V986" t="s">
        <v>42</v>
      </c>
      <c r="X986" t="s">
        <v>74</v>
      </c>
      <c r="Y986" t="b">
        <v>0</v>
      </c>
      <c r="Z986" t="b">
        <v>0</v>
      </c>
      <c r="AC986" s="1"/>
      <c r="AF986">
        <v>0</v>
      </c>
      <c r="AG986">
        <v>45</v>
      </c>
      <c r="AH986">
        <v>275</v>
      </c>
      <c r="AI986" s="2">
        <f>Table__192.168.3.138DYLAgingReport[[#This Row],[NetAmount]]-Table__192.168.3.138DYLAgingReport[[#This Row],[Paid]]</f>
        <v>379763</v>
      </c>
    </row>
    <row r="987" spans="1:35">
      <c r="A987" t="s">
        <v>2302</v>
      </c>
      <c r="B987" s="1">
        <v>41044</v>
      </c>
      <c r="C987" s="1">
        <v>41089</v>
      </c>
      <c r="D987" t="s">
        <v>208</v>
      </c>
      <c r="E987">
        <v>80710</v>
      </c>
      <c r="F987">
        <v>12914</v>
      </c>
      <c r="G987">
        <v>0</v>
      </c>
      <c r="H987">
        <v>0</v>
      </c>
      <c r="I987">
        <v>224</v>
      </c>
      <c r="J987">
        <v>93624</v>
      </c>
      <c r="K987" t="s">
        <v>2232</v>
      </c>
      <c r="L987" s="1">
        <v>41044</v>
      </c>
      <c r="N987" t="s">
        <v>36</v>
      </c>
      <c r="O987" t="s">
        <v>37</v>
      </c>
      <c r="P987" t="s">
        <v>345</v>
      </c>
      <c r="Q987" t="s">
        <v>39</v>
      </c>
      <c r="R987" t="s">
        <v>40</v>
      </c>
      <c r="S987">
        <v>0</v>
      </c>
      <c r="U987" t="s">
        <v>41</v>
      </c>
      <c r="V987" t="s">
        <v>42</v>
      </c>
      <c r="X987" t="s">
        <v>74</v>
      </c>
      <c r="Y987" t="b">
        <v>0</v>
      </c>
      <c r="Z987" t="b">
        <v>0</v>
      </c>
      <c r="AC987" s="1"/>
      <c r="AF987">
        <v>0</v>
      </c>
      <c r="AG987">
        <v>45</v>
      </c>
      <c r="AH987">
        <v>269</v>
      </c>
      <c r="AI987" s="2">
        <f>Table__192.168.3.138DYLAgingReport[[#This Row],[NetAmount]]-Table__192.168.3.138DYLAgingReport[[#This Row],[Paid]]</f>
        <v>93624</v>
      </c>
    </row>
    <row r="988" spans="1:35">
      <c r="A988" t="s">
        <v>2303</v>
      </c>
      <c r="B988" s="1">
        <v>41047</v>
      </c>
      <c r="C988" s="1">
        <v>41092</v>
      </c>
      <c r="D988" t="s">
        <v>208</v>
      </c>
      <c r="E988">
        <v>338296</v>
      </c>
      <c r="F988">
        <v>54127</v>
      </c>
      <c r="G988">
        <v>0</v>
      </c>
      <c r="H988">
        <v>0</v>
      </c>
      <c r="I988">
        <v>221</v>
      </c>
      <c r="J988">
        <v>392423</v>
      </c>
      <c r="K988" t="s">
        <v>2304</v>
      </c>
      <c r="L988" s="1">
        <v>41047</v>
      </c>
      <c r="N988" t="s">
        <v>36</v>
      </c>
      <c r="O988" t="s">
        <v>37</v>
      </c>
      <c r="P988" t="s">
        <v>345</v>
      </c>
      <c r="Q988" t="s">
        <v>39</v>
      </c>
      <c r="R988" t="s">
        <v>40</v>
      </c>
      <c r="S988">
        <v>0</v>
      </c>
      <c r="U988" t="s">
        <v>41</v>
      </c>
      <c r="V988" t="s">
        <v>42</v>
      </c>
      <c r="X988" t="s">
        <v>74</v>
      </c>
      <c r="Y988" t="b">
        <v>0</v>
      </c>
      <c r="Z988" t="b">
        <v>0</v>
      </c>
      <c r="AC988" s="1"/>
      <c r="AF988">
        <v>0</v>
      </c>
      <c r="AG988">
        <v>45</v>
      </c>
      <c r="AH988">
        <v>266</v>
      </c>
      <c r="AI988" s="2">
        <f>Table__192.168.3.138DYLAgingReport[[#This Row],[NetAmount]]-Table__192.168.3.138DYLAgingReport[[#This Row],[Paid]]</f>
        <v>392423</v>
      </c>
    </row>
    <row r="989" spans="1:35">
      <c r="A989" t="s">
        <v>2305</v>
      </c>
      <c r="B989" s="1">
        <v>41043</v>
      </c>
      <c r="C989" s="1">
        <v>41088</v>
      </c>
      <c r="D989" t="s">
        <v>257</v>
      </c>
      <c r="E989">
        <v>416000</v>
      </c>
      <c r="F989">
        <v>66560</v>
      </c>
      <c r="G989">
        <v>0</v>
      </c>
      <c r="H989">
        <v>0</v>
      </c>
      <c r="I989">
        <v>231</v>
      </c>
      <c r="J989">
        <v>482560</v>
      </c>
      <c r="K989" t="s">
        <v>2306</v>
      </c>
      <c r="L989" s="1">
        <v>41037</v>
      </c>
      <c r="N989" t="s">
        <v>36</v>
      </c>
      <c r="O989" t="s">
        <v>37</v>
      </c>
      <c r="P989" t="s">
        <v>394</v>
      </c>
      <c r="Q989" t="s">
        <v>39</v>
      </c>
      <c r="R989" t="s">
        <v>40</v>
      </c>
      <c r="S989">
        <v>0</v>
      </c>
      <c r="U989" t="s">
        <v>41</v>
      </c>
      <c r="V989" t="s">
        <v>42</v>
      </c>
      <c r="X989" t="s">
        <v>74</v>
      </c>
      <c r="Y989" t="b">
        <v>0</v>
      </c>
      <c r="Z989" t="b">
        <v>0</v>
      </c>
      <c r="AC989" s="1"/>
      <c r="AF989">
        <v>0</v>
      </c>
      <c r="AG989">
        <v>45</v>
      </c>
      <c r="AH989">
        <v>276</v>
      </c>
      <c r="AI989" s="2">
        <f>Table__192.168.3.138DYLAgingReport[[#This Row],[NetAmount]]-Table__192.168.3.138DYLAgingReport[[#This Row],[Paid]]</f>
        <v>482560</v>
      </c>
    </row>
    <row r="990" spans="1:35">
      <c r="A990" t="s">
        <v>2307</v>
      </c>
      <c r="B990" s="1">
        <v>41043</v>
      </c>
      <c r="C990" s="1">
        <v>41088</v>
      </c>
      <c r="D990" t="s">
        <v>257</v>
      </c>
      <c r="E990">
        <v>288000</v>
      </c>
      <c r="F990">
        <v>46080</v>
      </c>
      <c r="G990">
        <v>0</v>
      </c>
      <c r="H990">
        <v>0</v>
      </c>
      <c r="I990">
        <v>229</v>
      </c>
      <c r="J990">
        <v>334080</v>
      </c>
      <c r="K990" t="s">
        <v>2308</v>
      </c>
      <c r="L990" s="1">
        <v>41039</v>
      </c>
      <c r="N990" t="s">
        <v>36</v>
      </c>
      <c r="O990" t="s">
        <v>37</v>
      </c>
      <c r="P990" t="s">
        <v>394</v>
      </c>
      <c r="Q990" t="s">
        <v>39</v>
      </c>
      <c r="R990" t="s">
        <v>40</v>
      </c>
      <c r="S990">
        <v>0</v>
      </c>
      <c r="U990" t="s">
        <v>41</v>
      </c>
      <c r="V990" t="s">
        <v>42</v>
      </c>
      <c r="X990" t="s">
        <v>74</v>
      </c>
      <c r="Y990" t="b">
        <v>0</v>
      </c>
      <c r="Z990" t="b">
        <v>0</v>
      </c>
      <c r="AC990" s="1"/>
      <c r="AF990">
        <v>0</v>
      </c>
      <c r="AG990">
        <v>45</v>
      </c>
      <c r="AH990">
        <v>274</v>
      </c>
      <c r="AI990" s="2">
        <f>Table__192.168.3.138DYLAgingReport[[#This Row],[NetAmount]]-Table__192.168.3.138DYLAgingReport[[#This Row],[Paid]]</f>
        <v>334080</v>
      </c>
    </row>
    <row r="991" spans="1:35">
      <c r="A991" t="s">
        <v>2309</v>
      </c>
      <c r="B991" s="1">
        <v>41045</v>
      </c>
      <c r="C991" s="1">
        <v>41090</v>
      </c>
      <c r="D991" t="s">
        <v>257</v>
      </c>
      <c r="E991">
        <v>320000</v>
      </c>
      <c r="F991">
        <v>51200</v>
      </c>
      <c r="G991">
        <v>0</v>
      </c>
      <c r="H991">
        <v>0</v>
      </c>
      <c r="I991">
        <v>225</v>
      </c>
      <c r="J991">
        <v>371200</v>
      </c>
      <c r="K991" t="s">
        <v>2310</v>
      </c>
      <c r="L991" s="1">
        <v>41043</v>
      </c>
      <c r="N991" t="s">
        <v>36</v>
      </c>
      <c r="O991" t="s">
        <v>37</v>
      </c>
      <c r="P991" t="s">
        <v>394</v>
      </c>
      <c r="Q991" t="s">
        <v>39</v>
      </c>
      <c r="R991" t="s">
        <v>40</v>
      </c>
      <c r="S991">
        <v>0</v>
      </c>
      <c r="U991" t="s">
        <v>41</v>
      </c>
      <c r="V991" t="s">
        <v>42</v>
      </c>
      <c r="X991" t="s">
        <v>74</v>
      </c>
      <c r="Y991" t="b">
        <v>0</v>
      </c>
      <c r="Z991" t="b">
        <v>0</v>
      </c>
      <c r="AC991" s="1"/>
      <c r="AF991">
        <v>0</v>
      </c>
      <c r="AG991">
        <v>45</v>
      </c>
      <c r="AH991">
        <v>270</v>
      </c>
      <c r="AI991" s="2">
        <f>Table__192.168.3.138DYLAgingReport[[#This Row],[NetAmount]]-Table__192.168.3.138DYLAgingReport[[#This Row],[Paid]]</f>
        <v>371200</v>
      </c>
    </row>
    <row r="992" spans="1:35">
      <c r="A992" t="s">
        <v>2311</v>
      </c>
      <c r="B992" s="1">
        <v>41058</v>
      </c>
      <c r="C992" s="1">
        <v>41103</v>
      </c>
      <c r="D992" t="s">
        <v>257</v>
      </c>
      <c r="E992">
        <v>136925</v>
      </c>
      <c r="F992">
        <v>21908</v>
      </c>
      <c r="G992">
        <v>0</v>
      </c>
      <c r="H992">
        <v>0</v>
      </c>
      <c r="I992">
        <v>230</v>
      </c>
      <c r="J992">
        <v>158833</v>
      </c>
      <c r="K992" t="s">
        <v>1507</v>
      </c>
      <c r="L992" s="1">
        <v>41038</v>
      </c>
      <c r="N992" t="s">
        <v>36</v>
      </c>
      <c r="O992" t="s">
        <v>37</v>
      </c>
      <c r="P992" t="s">
        <v>394</v>
      </c>
      <c r="Q992" t="s">
        <v>39</v>
      </c>
      <c r="R992" t="s">
        <v>40</v>
      </c>
      <c r="S992">
        <v>0</v>
      </c>
      <c r="U992" t="s">
        <v>41</v>
      </c>
      <c r="V992" t="s">
        <v>42</v>
      </c>
      <c r="X992" t="s">
        <v>74</v>
      </c>
      <c r="Y992" t="b">
        <v>0</v>
      </c>
      <c r="Z992" t="b">
        <v>0</v>
      </c>
      <c r="AC992" s="1"/>
      <c r="AF992">
        <v>0</v>
      </c>
      <c r="AG992">
        <v>45</v>
      </c>
      <c r="AH992">
        <v>275</v>
      </c>
      <c r="AI992" s="2">
        <f>Table__192.168.3.138DYLAgingReport[[#This Row],[NetAmount]]-Table__192.168.3.138DYLAgingReport[[#This Row],[Paid]]</f>
        <v>158833</v>
      </c>
    </row>
    <row r="993" spans="1:35">
      <c r="A993" t="s">
        <v>2312</v>
      </c>
      <c r="B993" s="1">
        <v>41051</v>
      </c>
      <c r="C993" s="1">
        <v>41096</v>
      </c>
      <c r="D993" t="s">
        <v>208</v>
      </c>
      <c r="E993">
        <v>754</v>
      </c>
      <c r="F993">
        <v>121</v>
      </c>
      <c r="G993">
        <v>0</v>
      </c>
      <c r="H993">
        <v>0</v>
      </c>
      <c r="I993">
        <v>217</v>
      </c>
      <c r="J993">
        <v>875</v>
      </c>
      <c r="K993" t="s">
        <v>2313</v>
      </c>
      <c r="L993" s="1">
        <v>41051</v>
      </c>
      <c r="N993" t="s">
        <v>36</v>
      </c>
      <c r="O993" t="s">
        <v>37</v>
      </c>
      <c r="P993" t="s">
        <v>345</v>
      </c>
      <c r="Q993" t="s">
        <v>39</v>
      </c>
      <c r="R993" t="s">
        <v>40</v>
      </c>
      <c r="S993">
        <v>0</v>
      </c>
      <c r="U993" t="s">
        <v>41</v>
      </c>
      <c r="V993" t="s">
        <v>42</v>
      </c>
      <c r="X993" t="s">
        <v>74</v>
      </c>
      <c r="Y993" t="b">
        <v>0</v>
      </c>
      <c r="Z993" t="b">
        <v>0</v>
      </c>
      <c r="AC993" s="1"/>
      <c r="AF993">
        <v>0</v>
      </c>
      <c r="AG993">
        <v>45</v>
      </c>
      <c r="AH993">
        <v>262</v>
      </c>
      <c r="AI993" s="2">
        <f>Table__192.168.3.138DYLAgingReport[[#This Row],[NetAmount]]-Table__192.168.3.138DYLAgingReport[[#This Row],[Paid]]</f>
        <v>875</v>
      </c>
    </row>
    <row r="994" spans="1:35">
      <c r="A994" t="s">
        <v>2314</v>
      </c>
      <c r="B994" s="1">
        <v>41051</v>
      </c>
      <c r="C994" s="1">
        <v>41096</v>
      </c>
      <c r="D994" t="s">
        <v>270</v>
      </c>
      <c r="E994">
        <v>396000</v>
      </c>
      <c r="F994">
        <v>63360</v>
      </c>
      <c r="G994">
        <v>0</v>
      </c>
      <c r="H994">
        <v>0</v>
      </c>
      <c r="I994">
        <v>232</v>
      </c>
      <c r="J994">
        <v>459360</v>
      </c>
      <c r="K994" t="s">
        <v>2315</v>
      </c>
      <c r="L994" s="1">
        <v>41051</v>
      </c>
      <c r="N994" t="s">
        <v>36</v>
      </c>
      <c r="O994" t="s">
        <v>37</v>
      </c>
      <c r="P994" t="s">
        <v>407</v>
      </c>
      <c r="Q994" t="s">
        <v>39</v>
      </c>
      <c r="R994" t="s">
        <v>40</v>
      </c>
      <c r="S994">
        <v>0</v>
      </c>
      <c r="U994" t="s">
        <v>41</v>
      </c>
      <c r="V994" t="s">
        <v>42</v>
      </c>
      <c r="X994" t="s">
        <v>74</v>
      </c>
      <c r="Y994" t="b">
        <v>0</v>
      </c>
      <c r="Z994" t="b">
        <v>0</v>
      </c>
      <c r="AC994" s="1"/>
      <c r="AF994">
        <v>0</v>
      </c>
      <c r="AG994">
        <v>30</v>
      </c>
      <c r="AH994">
        <v>262</v>
      </c>
      <c r="AI994" s="2">
        <f>Table__192.168.3.138DYLAgingReport[[#This Row],[NetAmount]]-Table__192.168.3.138DYLAgingReport[[#This Row],[Paid]]</f>
        <v>459360</v>
      </c>
    </row>
    <row r="995" spans="1:35">
      <c r="A995" t="s">
        <v>2316</v>
      </c>
      <c r="B995" s="1">
        <v>41036</v>
      </c>
      <c r="C995" s="1">
        <v>41081</v>
      </c>
      <c r="D995" t="s">
        <v>569</v>
      </c>
      <c r="E995">
        <v>45572</v>
      </c>
      <c r="F995">
        <v>7292</v>
      </c>
      <c r="G995">
        <v>0</v>
      </c>
      <c r="H995">
        <v>0</v>
      </c>
      <c r="I995">
        <v>234</v>
      </c>
      <c r="J995">
        <v>52864</v>
      </c>
      <c r="K995" t="s">
        <v>2317</v>
      </c>
      <c r="L995" s="1">
        <v>41034</v>
      </c>
      <c r="N995" t="s">
        <v>36</v>
      </c>
      <c r="O995" t="s">
        <v>37</v>
      </c>
      <c r="P995" t="s">
        <v>433</v>
      </c>
      <c r="Q995" t="s">
        <v>39</v>
      </c>
      <c r="R995" t="s">
        <v>40</v>
      </c>
      <c r="S995">
        <v>0</v>
      </c>
      <c r="U995" t="s">
        <v>41</v>
      </c>
      <c r="V995" t="s">
        <v>42</v>
      </c>
      <c r="X995" t="s">
        <v>74</v>
      </c>
      <c r="Y995" t="b">
        <v>0</v>
      </c>
      <c r="Z995" t="b">
        <v>0</v>
      </c>
      <c r="AC995" s="1"/>
      <c r="AF995">
        <v>0</v>
      </c>
      <c r="AG995">
        <v>45</v>
      </c>
      <c r="AH995">
        <v>279</v>
      </c>
      <c r="AI995" s="2">
        <f>Table__192.168.3.138DYLAgingReport[[#This Row],[NetAmount]]-Table__192.168.3.138DYLAgingReport[[#This Row],[Paid]]</f>
        <v>52864</v>
      </c>
    </row>
    <row r="996" spans="1:35">
      <c r="A996" t="s">
        <v>2318</v>
      </c>
      <c r="B996" s="1">
        <v>41042</v>
      </c>
      <c r="C996" s="1">
        <v>41087</v>
      </c>
      <c r="D996" t="s">
        <v>569</v>
      </c>
      <c r="E996">
        <v>34997</v>
      </c>
      <c r="F996">
        <v>5600</v>
      </c>
      <c r="G996">
        <v>0</v>
      </c>
      <c r="H996">
        <v>0</v>
      </c>
      <c r="I996">
        <v>227</v>
      </c>
      <c r="J996">
        <v>40597</v>
      </c>
      <c r="K996" t="s">
        <v>2319</v>
      </c>
      <c r="L996" s="1">
        <v>41041</v>
      </c>
      <c r="N996" t="s">
        <v>36</v>
      </c>
      <c r="O996" t="s">
        <v>37</v>
      </c>
      <c r="P996" t="s">
        <v>433</v>
      </c>
      <c r="Q996" t="s">
        <v>39</v>
      </c>
      <c r="R996" t="s">
        <v>40</v>
      </c>
      <c r="S996">
        <v>0</v>
      </c>
      <c r="U996" t="s">
        <v>41</v>
      </c>
      <c r="V996" t="s">
        <v>42</v>
      </c>
      <c r="X996" t="s">
        <v>74</v>
      </c>
      <c r="Y996" t="b">
        <v>0</v>
      </c>
      <c r="Z996" t="b">
        <v>0</v>
      </c>
      <c r="AC996" s="1"/>
      <c r="AF996">
        <v>0</v>
      </c>
      <c r="AG996">
        <v>45</v>
      </c>
      <c r="AH996">
        <v>272</v>
      </c>
      <c r="AI996" s="2">
        <f>Table__192.168.3.138DYLAgingReport[[#This Row],[NetAmount]]-Table__192.168.3.138DYLAgingReport[[#This Row],[Paid]]</f>
        <v>40597</v>
      </c>
    </row>
    <row r="997" spans="1:35">
      <c r="A997" t="s">
        <v>2320</v>
      </c>
      <c r="B997" s="1">
        <v>41042</v>
      </c>
      <c r="C997" s="1">
        <v>41087</v>
      </c>
      <c r="D997" t="s">
        <v>569</v>
      </c>
      <c r="E997">
        <v>117325</v>
      </c>
      <c r="F997">
        <v>18772</v>
      </c>
      <c r="G997">
        <v>0</v>
      </c>
      <c r="H997">
        <v>0</v>
      </c>
      <c r="I997">
        <v>227</v>
      </c>
      <c r="J997">
        <v>136097</v>
      </c>
      <c r="K997" t="s">
        <v>2321</v>
      </c>
      <c r="L997" s="1">
        <v>41041</v>
      </c>
      <c r="N997" t="s">
        <v>36</v>
      </c>
      <c r="O997" t="s">
        <v>37</v>
      </c>
      <c r="P997" t="s">
        <v>433</v>
      </c>
      <c r="Q997" t="s">
        <v>39</v>
      </c>
      <c r="R997" t="s">
        <v>40</v>
      </c>
      <c r="S997">
        <v>0</v>
      </c>
      <c r="U997" t="s">
        <v>41</v>
      </c>
      <c r="V997" t="s">
        <v>42</v>
      </c>
      <c r="X997" t="s">
        <v>74</v>
      </c>
      <c r="Y997" t="b">
        <v>0</v>
      </c>
      <c r="Z997" t="b">
        <v>0</v>
      </c>
      <c r="AC997" s="1"/>
      <c r="AF997">
        <v>0</v>
      </c>
      <c r="AG997">
        <v>45</v>
      </c>
      <c r="AH997">
        <v>272</v>
      </c>
      <c r="AI997" s="2">
        <f>Table__192.168.3.138DYLAgingReport[[#This Row],[NetAmount]]-Table__192.168.3.138DYLAgingReport[[#This Row],[Paid]]</f>
        <v>136097</v>
      </c>
    </row>
    <row r="998" spans="1:35">
      <c r="A998" t="s">
        <v>2322</v>
      </c>
      <c r="B998" s="1">
        <v>41043</v>
      </c>
      <c r="C998" s="1">
        <v>41088</v>
      </c>
      <c r="D998" t="s">
        <v>569</v>
      </c>
      <c r="E998">
        <v>56870</v>
      </c>
      <c r="F998">
        <v>9099</v>
      </c>
      <c r="G998">
        <v>0</v>
      </c>
      <c r="H998">
        <v>0</v>
      </c>
      <c r="I998">
        <v>229</v>
      </c>
      <c r="J998">
        <v>65969</v>
      </c>
      <c r="K998" t="s">
        <v>2323</v>
      </c>
      <c r="L998" s="1">
        <v>41039</v>
      </c>
      <c r="N998" t="s">
        <v>36</v>
      </c>
      <c r="O998" t="s">
        <v>37</v>
      </c>
      <c r="P998" t="s">
        <v>433</v>
      </c>
      <c r="Q998" t="s">
        <v>39</v>
      </c>
      <c r="R998" t="s">
        <v>40</v>
      </c>
      <c r="S998">
        <v>0</v>
      </c>
      <c r="U998" t="s">
        <v>41</v>
      </c>
      <c r="V998" t="s">
        <v>42</v>
      </c>
      <c r="X998" t="s">
        <v>74</v>
      </c>
      <c r="Y998" t="b">
        <v>0</v>
      </c>
      <c r="Z998" t="b">
        <v>0</v>
      </c>
      <c r="AC998" s="1"/>
      <c r="AF998">
        <v>0</v>
      </c>
      <c r="AG998">
        <v>45</v>
      </c>
      <c r="AH998">
        <v>274</v>
      </c>
      <c r="AI998" s="2">
        <f>Table__192.168.3.138DYLAgingReport[[#This Row],[NetAmount]]-Table__192.168.3.138DYLAgingReport[[#This Row],[Paid]]</f>
        <v>65969</v>
      </c>
    </row>
    <row r="999" spans="1:35">
      <c r="A999" t="s">
        <v>2324</v>
      </c>
      <c r="B999" s="1">
        <v>41043</v>
      </c>
      <c r="C999" s="1">
        <v>41088</v>
      </c>
      <c r="D999" t="s">
        <v>569</v>
      </c>
      <c r="E999">
        <v>29164</v>
      </c>
      <c r="F999">
        <v>4666</v>
      </c>
      <c r="G999">
        <v>0</v>
      </c>
      <c r="H999">
        <v>0</v>
      </c>
      <c r="I999">
        <v>230</v>
      </c>
      <c r="J999">
        <v>33830</v>
      </c>
      <c r="K999" t="s">
        <v>2325</v>
      </c>
      <c r="L999" s="1">
        <v>41038</v>
      </c>
      <c r="N999" t="s">
        <v>36</v>
      </c>
      <c r="O999" t="s">
        <v>37</v>
      </c>
      <c r="P999" t="s">
        <v>433</v>
      </c>
      <c r="Q999" t="s">
        <v>39</v>
      </c>
      <c r="R999" t="s">
        <v>40</v>
      </c>
      <c r="S999">
        <v>0</v>
      </c>
      <c r="U999" t="s">
        <v>41</v>
      </c>
      <c r="V999" t="s">
        <v>42</v>
      </c>
      <c r="X999" t="s">
        <v>74</v>
      </c>
      <c r="Y999" t="b">
        <v>0</v>
      </c>
      <c r="Z999" t="b">
        <v>0</v>
      </c>
      <c r="AC999" s="1"/>
      <c r="AF999">
        <v>0</v>
      </c>
      <c r="AG999">
        <v>45</v>
      </c>
      <c r="AH999">
        <v>275</v>
      </c>
      <c r="AI999" s="2">
        <f>Table__192.168.3.138DYLAgingReport[[#This Row],[NetAmount]]-Table__192.168.3.138DYLAgingReport[[#This Row],[Paid]]</f>
        <v>33830</v>
      </c>
    </row>
    <row r="1000" spans="1:35">
      <c r="A1000" t="s">
        <v>2326</v>
      </c>
      <c r="B1000" s="1">
        <v>41053</v>
      </c>
      <c r="C1000" s="1">
        <v>41098</v>
      </c>
      <c r="D1000" t="s">
        <v>190</v>
      </c>
      <c r="E1000">
        <v>9025</v>
      </c>
      <c r="F1000">
        <v>1444</v>
      </c>
      <c r="G1000">
        <v>0</v>
      </c>
      <c r="H1000">
        <v>0</v>
      </c>
      <c r="I1000">
        <v>215</v>
      </c>
      <c r="J1000">
        <v>10469</v>
      </c>
      <c r="K1000" t="s">
        <v>2327</v>
      </c>
      <c r="L1000" s="1">
        <v>41053</v>
      </c>
      <c r="M1000" t="s">
        <v>5355</v>
      </c>
      <c r="N1000" t="s">
        <v>36</v>
      </c>
      <c r="O1000" t="s">
        <v>37</v>
      </c>
      <c r="P1000" t="s">
        <v>327</v>
      </c>
      <c r="Q1000" t="s">
        <v>39</v>
      </c>
      <c r="R1000" t="s">
        <v>40</v>
      </c>
      <c r="S1000">
        <v>0</v>
      </c>
      <c r="U1000" t="s">
        <v>41</v>
      </c>
      <c r="V1000" t="s">
        <v>42</v>
      </c>
      <c r="W1000" t="s">
        <v>5337</v>
      </c>
      <c r="X1000" t="s">
        <v>74</v>
      </c>
      <c r="Y1000" t="b">
        <v>0</v>
      </c>
      <c r="Z1000" t="b">
        <v>0</v>
      </c>
      <c r="AA1000" t="b">
        <v>0</v>
      </c>
      <c r="AC1000" s="1"/>
      <c r="AF1000">
        <v>0</v>
      </c>
      <c r="AG1000">
        <v>45</v>
      </c>
      <c r="AH1000">
        <v>260</v>
      </c>
      <c r="AI1000" s="2">
        <f>Table__192.168.3.138DYLAgingReport[[#This Row],[NetAmount]]-Table__192.168.3.138DYLAgingReport[[#This Row],[Paid]]</f>
        <v>10469</v>
      </c>
    </row>
    <row r="1001" spans="1:35">
      <c r="A1001" t="s">
        <v>2328</v>
      </c>
      <c r="B1001" s="1">
        <v>41052</v>
      </c>
      <c r="C1001" s="1">
        <v>41097</v>
      </c>
      <c r="D1001" t="s">
        <v>257</v>
      </c>
      <c r="E1001">
        <v>288000</v>
      </c>
      <c r="F1001">
        <v>46080</v>
      </c>
      <c r="G1001">
        <v>0</v>
      </c>
      <c r="H1001">
        <v>0</v>
      </c>
      <c r="I1001">
        <v>216</v>
      </c>
      <c r="J1001">
        <v>334080</v>
      </c>
      <c r="K1001" t="s">
        <v>2329</v>
      </c>
      <c r="L1001" s="1">
        <v>41052</v>
      </c>
      <c r="N1001" t="s">
        <v>36</v>
      </c>
      <c r="O1001" t="s">
        <v>37</v>
      </c>
      <c r="P1001" t="s">
        <v>394</v>
      </c>
      <c r="Q1001" t="s">
        <v>39</v>
      </c>
      <c r="R1001" t="s">
        <v>40</v>
      </c>
      <c r="S1001">
        <v>0</v>
      </c>
      <c r="U1001" t="s">
        <v>41</v>
      </c>
      <c r="V1001" t="s">
        <v>42</v>
      </c>
      <c r="X1001" t="s">
        <v>74</v>
      </c>
      <c r="Y1001" t="b">
        <v>0</v>
      </c>
      <c r="Z1001" t="b">
        <v>0</v>
      </c>
      <c r="AC1001" s="1"/>
      <c r="AF1001">
        <v>0</v>
      </c>
      <c r="AG1001">
        <v>45</v>
      </c>
      <c r="AH1001">
        <v>261</v>
      </c>
      <c r="AI1001" s="2">
        <f>Table__192.168.3.138DYLAgingReport[[#This Row],[NetAmount]]-Table__192.168.3.138DYLAgingReport[[#This Row],[Paid]]</f>
        <v>334080</v>
      </c>
    </row>
    <row r="1002" spans="1:35">
      <c r="A1002" t="s">
        <v>2330</v>
      </c>
      <c r="B1002" s="1">
        <v>41050</v>
      </c>
      <c r="C1002" s="1">
        <v>41095</v>
      </c>
      <c r="D1002" t="s">
        <v>257</v>
      </c>
      <c r="E1002">
        <v>256000</v>
      </c>
      <c r="F1002">
        <v>40960</v>
      </c>
      <c r="G1002">
        <v>0</v>
      </c>
      <c r="H1002">
        <v>0</v>
      </c>
      <c r="I1002">
        <v>218</v>
      </c>
      <c r="J1002">
        <v>296960</v>
      </c>
      <c r="K1002" t="s">
        <v>2331</v>
      </c>
      <c r="L1002" s="1">
        <v>41050</v>
      </c>
      <c r="N1002" t="s">
        <v>36</v>
      </c>
      <c r="O1002" t="s">
        <v>37</v>
      </c>
      <c r="P1002" t="s">
        <v>394</v>
      </c>
      <c r="Q1002" t="s">
        <v>39</v>
      </c>
      <c r="R1002" t="s">
        <v>40</v>
      </c>
      <c r="S1002">
        <v>0</v>
      </c>
      <c r="U1002" t="s">
        <v>41</v>
      </c>
      <c r="V1002" t="s">
        <v>42</v>
      </c>
      <c r="X1002" t="s">
        <v>74</v>
      </c>
      <c r="Y1002" t="b">
        <v>0</v>
      </c>
      <c r="Z1002" t="b">
        <v>0</v>
      </c>
      <c r="AC1002" s="1"/>
      <c r="AF1002">
        <v>0</v>
      </c>
      <c r="AG1002">
        <v>45</v>
      </c>
      <c r="AH1002">
        <v>263</v>
      </c>
      <c r="AI1002" s="2">
        <f>Table__192.168.3.138DYLAgingReport[[#This Row],[NetAmount]]-Table__192.168.3.138DYLAgingReport[[#This Row],[Paid]]</f>
        <v>296960</v>
      </c>
    </row>
    <row r="1003" spans="1:35">
      <c r="A1003" t="s">
        <v>2332</v>
      </c>
      <c r="B1003" s="1">
        <v>41055</v>
      </c>
      <c r="C1003" s="1">
        <v>41100</v>
      </c>
      <c r="D1003" t="s">
        <v>166</v>
      </c>
      <c r="E1003">
        <v>52500</v>
      </c>
      <c r="F1003">
        <v>8400</v>
      </c>
      <c r="G1003">
        <v>0</v>
      </c>
      <c r="H1003">
        <v>0</v>
      </c>
      <c r="I1003">
        <v>220</v>
      </c>
      <c r="J1003">
        <v>60900</v>
      </c>
      <c r="K1003" t="s">
        <v>2333</v>
      </c>
      <c r="L1003" s="1">
        <v>41048</v>
      </c>
      <c r="N1003" t="s">
        <v>36</v>
      </c>
      <c r="O1003" t="s">
        <v>37</v>
      </c>
      <c r="P1003" t="s">
        <v>303</v>
      </c>
      <c r="Q1003" t="s">
        <v>39</v>
      </c>
      <c r="R1003" t="s">
        <v>40</v>
      </c>
      <c r="S1003">
        <v>0</v>
      </c>
      <c r="U1003" t="s">
        <v>41</v>
      </c>
      <c r="V1003" t="s">
        <v>42</v>
      </c>
      <c r="X1003" t="s">
        <v>74</v>
      </c>
      <c r="Y1003" t="b">
        <v>0</v>
      </c>
      <c r="Z1003" t="b">
        <v>0</v>
      </c>
      <c r="AB1003" t="s">
        <v>2039</v>
      </c>
      <c r="AC1003" s="1">
        <v>41269</v>
      </c>
      <c r="AF1003">
        <v>0</v>
      </c>
      <c r="AG1003">
        <v>45</v>
      </c>
      <c r="AH1003">
        <v>265</v>
      </c>
      <c r="AI1003" s="2">
        <f>Table__192.168.3.138DYLAgingReport[[#This Row],[NetAmount]]-Table__192.168.3.138DYLAgingReport[[#This Row],[Paid]]</f>
        <v>60900</v>
      </c>
    </row>
    <row r="1004" spans="1:35">
      <c r="A1004" t="s">
        <v>2334</v>
      </c>
      <c r="B1004" s="1">
        <v>41055</v>
      </c>
      <c r="C1004" s="1">
        <v>41100</v>
      </c>
      <c r="D1004" t="s">
        <v>194</v>
      </c>
      <c r="E1004">
        <v>24600</v>
      </c>
      <c r="F1004">
        <v>3936</v>
      </c>
      <c r="G1004">
        <v>0</v>
      </c>
      <c r="H1004">
        <v>0</v>
      </c>
      <c r="I1004">
        <v>211</v>
      </c>
      <c r="J1004">
        <v>28536</v>
      </c>
      <c r="K1004" t="s">
        <v>2335</v>
      </c>
      <c r="L1004" s="1">
        <v>41057</v>
      </c>
      <c r="M1004" t="s">
        <v>2336</v>
      </c>
      <c r="N1004" t="s">
        <v>36</v>
      </c>
      <c r="O1004" t="s">
        <v>37</v>
      </c>
      <c r="P1004" t="s">
        <v>331</v>
      </c>
      <c r="Q1004" t="s">
        <v>39</v>
      </c>
      <c r="R1004" t="s">
        <v>40</v>
      </c>
      <c r="S1004">
        <v>0</v>
      </c>
      <c r="U1004" t="s">
        <v>41</v>
      </c>
      <c r="V1004" t="s">
        <v>42</v>
      </c>
      <c r="W1004" t="s">
        <v>2297</v>
      </c>
      <c r="X1004" t="s">
        <v>74</v>
      </c>
      <c r="Y1004" t="b">
        <v>0</v>
      </c>
      <c r="Z1004" t="b">
        <v>0</v>
      </c>
      <c r="AA1004" t="b">
        <v>0</v>
      </c>
      <c r="AC1004" s="1"/>
      <c r="AF1004">
        <v>0</v>
      </c>
      <c r="AG1004">
        <v>45</v>
      </c>
      <c r="AH1004">
        <v>256</v>
      </c>
      <c r="AI1004" s="2">
        <f>Table__192.168.3.138DYLAgingReport[[#This Row],[NetAmount]]-Table__192.168.3.138DYLAgingReport[[#This Row],[Paid]]</f>
        <v>28536</v>
      </c>
    </row>
    <row r="1005" spans="1:35">
      <c r="A1005" t="s">
        <v>2337</v>
      </c>
      <c r="B1005" s="1">
        <v>41055</v>
      </c>
      <c r="C1005" s="1">
        <v>41100</v>
      </c>
      <c r="D1005" t="s">
        <v>194</v>
      </c>
      <c r="E1005">
        <v>84450</v>
      </c>
      <c r="F1005">
        <v>13512</v>
      </c>
      <c r="G1005">
        <v>0</v>
      </c>
      <c r="H1005">
        <v>0</v>
      </c>
      <c r="I1005">
        <v>211</v>
      </c>
      <c r="J1005">
        <v>97962</v>
      </c>
      <c r="K1005" t="s">
        <v>2338</v>
      </c>
      <c r="L1005" s="1">
        <v>41057</v>
      </c>
      <c r="M1005" t="s">
        <v>2339</v>
      </c>
      <c r="N1005" t="s">
        <v>36</v>
      </c>
      <c r="O1005" t="s">
        <v>37</v>
      </c>
      <c r="P1005" t="s">
        <v>331</v>
      </c>
      <c r="Q1005" t="s">
        <v>39</v>
      </c>
      <c r="R1005" t="s">
        <v>40</v>
      </c>
      <c r="S1005">
        <v>0</v>
      </c>
      <c r="U1005" t="s">
        <v>41</v>
      </c>
      <c r="V1005" t="s">
        <v>42</v>
      </c>
      <c r="W1005" t="s">
        <v>2297</v>
      </c>
      <c r="X1005" t="s">
        <v>74</v>
      </c>
      <c r="Y1005" t="b">
        <v>0</v>
      </c>
      <c r="Z1005" t="b">
        <v>0</v>
      </c>
      <c r="AA1005" t="b">
        <v>0</v>
      </c>
      <c r="AC1005" s="1"/>
      <c r="AF1005">
        <v>0</v>
      </c>
      <c r="AG1005">
        <v>45</v>
      </c>
      <c r="AH1005">
        <v>256</v>
      </c>
      <c r="AI1005" s="2">
        <f>Table__192.168.3.138DYLAgingReport[[#This Row],[NetAmount]]-Table__192.168.3.138DYLAgingReport[[#This Row],[Paid]]</f>
        <v>97962</v>
      </c>
    </row>
    <row r="1006" spans="1:35">
      <c r="A1006" t="s">
        <v>2340</v>
      </c>
      <c r="B1006" s="1">
        <v>41053</v>
      </c>
      <c r="C1006" s="1">
        <v>41098</v>
      </c>
      <c r="D1006" t="s">
        <v>172</v>
      </c>
      <c r="E1006">
        <v>44698</v>
      </c>
      <c r="F1006">
        <v>7152</v>
      </c>
      <c r="G1006">
        <v>0</v>
      </c>
      <c r="H1006">
        <v>0</v>
      </c>
      <c r="I1006">
        <v>214</v>
      </c>
      <c r="J1006">
        <v>51850</v>
      </c>
      <c r="K1006" t="s">
        <v>2341</v>
      </c>
      <c r="L1006" s="1">
        <v>41054</v>
      </c>
      <c r="N1006" t="s">
        <v>36</v>
      </c>
      <c r="O1006" t="s">
        <v>37</v>
      </c>
      <c r="P1006" t="s">
        <v>309</v>
      </c>
      <c r="Q1006" t="s">
        <v>39</v>
      </c>
      <c r="R1006" t="s">
        <v>40</v>
      </c>
      <c r="S1006">
        <v>0</v>
      </c>
      <c r="U1006" t="s">
        <v>41</v>
      </c>
      <c r="V1006" t="s">
        <v>42</v>
      </c>
      <c r="X1006" t="s">
        <v>74</v>
      </c>
      <c r="Y1006" t="b">
        <v>0</v>
      </c>
      <c r="Z1006" t="b">
        <v>0</v>
      </c>
      <c r="AC1006" s="1"/>
      <c r="AF1006">
        <v>0</v>
      </c>
      <c r="AG1006">
        <v>45</v>
      </c>
      <c r="AH1006">
        <v>259</v>
      </c>
      <c r="AI1006" s="2">
        <f>Table__192.168.3.138DYLAgingReport[[#This Row],[NetAmount]]-Table__192.168.3.138DYLAgingReport[[#This Row],[Paid]]</f>
        <v>51850</v>
      </c>
    </row>
    <row r="1007" spans="1:35">
      <c r="A1007" t="s">
        <v>2342</v>
      </c>
      <c r="B1007" s="1">
        <v>41045</v>
      </c>
      <c r="C1007" s="1">
        <v>41090</v>
      </c>
      <c r="D1007" t="s">
        <v>208</v>
      </c>
      <c r="E1007">
        <v>390</v>
      </c>
      <c r="F1007">
        <v>62</v>
      </c>
      <c r="G1007">
        <v>0</v>
      </c>
      <c r="H1007">
        <v>0</v>
      </c>
      <c r="I1007">
        <v>223</v>
      </c>
      <c r="J1007">
        <v>452</v>
      </c>
      <c r="K1007" t="s">
        <v>2343</v>
      </c>
      <c r="L1007" s="1">
        <v>41045</v>
      </c>
      <c r="N1007" t="s">
        <v>36</v>
      </c>
      <c r="O1007" t="s">
        <v>37</v>
      </c>
      <c r="P1007" t="s">
        <v>345</v>
      </c>
      <c r="Q1007" t="s">
        <v>39</v>
      </c>
      <c r="R1007" t="s">
        <v>40</v>
      </c>
      <c r="S1007">
        <v>0</v>
      </c>
      <c r="U1007" t="s">
        <v>41</v>
      </c>
      <c r="V1007" t="s">
        <v>42</v>
      </c>
      <c r="X1007" t="s">
        <v>74</v>
      </c>
      <c r="Y1007" t="b">
        <v>0</v>
      </c>
      <c r="Z1007" t="b">
        <v>0</v>
      </c>
      <c r="AC1007" s="1"/>
      <c r="AF1007">
        <v>0</v>
      </c>
      <c r="AG1007">
        <v>45</v>
      </c>
      <c r="AH1007">
        <v>268</v>
      </c>
      <c r="AI1007" s="2">
        <f>Table__192.168.3.138DYLAgingReport[[#This Row],[NetAmount]]-Table__192.168.3.138DYLAgingReport[[#This Row],[Paid]]</f>
        <v>452</v>
      </c>
    </row>
    <row r="1008" spans="1:35">
      <c r="A1008" t="s">
        <v>2344</v>
      </c>
      <c r="B1008" s="1">
        <v>41051</v>
      </c>
      <c r="C1008" s="1">
        <v>41096</v>
      </c>
      <c r="D1008" t="s">
        <v>208</v>
      </c>
      <c r="E1008">
        <v>780</v>
      </c>
      <c r="F1008">
        <v>125</v>
      </c>
      <c r="G1008">
        <v>0</v>
      </c>
      <c r="H1008">
        <v>0</v>
      </c>
      <c r="I1008">
        <v>217</v>
      </c>
      <c r="J1008">
        <v>905</v>
      </c>
      <c r="K1008" t="s">
        <v>2345</v>
      </c>
      <c r="L1008" s="1">
        <v>41051</v>
      </c>
      <c r="N1008" t="s">
        <v>36</v>
      </c>
      <c r="O1008" t="s">
        <v>37</v>
      </c>
      <c r="P1008" t="s">
        <v>345</v>
      </c>
      <c r="Q1008" t="s">
        <v>39</v>
      </c>
      <c r="R1008" t="s">
        <v>40</v>
      </c>
      <c r="S1008">
        <v>0</v>
      </c>
      <c r="U1008" t="s">
        <v>41</v>
      </c>
      <c r="V1008" t="s">
        <v>42</v>
      </c>
      <c r="X1008" t="s">
        <v>74</v>
      </c>
      <c r="Y1008" t="b">
        <v>0</v>
      </c>
      <c r="Z1008" t="b">
        <v>0</v>
      </c>
      <c r="AC1008" s="1"/>
      <c r="AF1008">
        <v>0</v>
      </c>
      <c r="AG1008">
        <v>45</v>
      </c>
      <c r="AH1008">
        <v>262</v>
      </c>
      <c r="AI1008" s="2">
        <f>Table__192.168.3.138DYLAgingReport[[#This Row],[NetAmount]]-Table__192.168.3.138DYLAgingReport[[#This Row],[Paid]]</f>
        <v>905</v>
      </c>
    </row>
    <row r="1009" spans="1:35">
      <c r="A1009" t="s">
        <v>2346</v>
      </c>
      <c r="B1009" s="1">
        <v>41059</v>
      </c>
      <c r="C1009" s="1">
        <v>41104</v>
      </c>
      <c r="D1009" t="s">
        <v>288</v>
      </c>
      <c r="E1009">
        <v>1940</v>
      </c>
      <c r="F1009">
        <v>310</v>
      </c>
      <c r="G1009">
        <v>0</v>
      </c>
      <c r="H1009">
        <v>0</v>
      </c>
      <c r="I1009">
        <v>210</v>
      </c>
      <c r="J1009">
        <v>2250</v>
      </c>
      <c r="K1009" t="s">
        <v>2347</v>
      </c>
      <c r="L1009" s="1">
        <v>41058</v>
      </c>
      <c r="N1009" t="s">
        <v>36</v>
      </c>
      <c r="O1009" t="s">
        <v>37</v>
      </c>
      <c r="P1009" t="s">
        <v>425</v>
      </c>
      <c r="Q1009" t="s">
        <v>39</v>
      </c>
      <c r="R1009" t="s">
        <v>40</v>
      </c>
      <c r="S1009">
        <v>0</v>
      </c>
      <c r="U1009" t="s">
        <v>41</v>
      </c>
      <c r="V1009" t="s">
        <v>42</v>
      </c>
      <c r="X1009" t="s">
        <v>74</v>
      </c>
      <c r="Y1009" t="b">
        <v>0</v>
      </c>
      <c r="Z1009" t="b">
        <v>0</v>
      </c>
      <c r="AC1009" s="1"/>
      <c r="AF1009">
        <v>0</v>
      </c>
      <c r="AG1009">
        <v>45</v>
      </c>
      <c r="AH1009">
        <v>255</v>
      </c>
      <c r="AI1009" s="2">
        <f>Table__192.168.3.138DYLAgingReport[[#This Row],[NetAmount]]-Table__192.168.3.138DYLAgingReport[[#This Row],[Paid]]</f>
        <v>2250</v>
      </c>
    </row>
    <row r="1010" spans="1:35">
      <c r="A1010" t="s">
        <v>2348</v>
      </c>
      <c r="B1010" s="1">
        <v>41045</v>
      </c>
      <c r="C1010" s="1">
        <v>41090</v>
      </c>
      <c r="D1010" t="s">
        <v>288</v>
      </c>
      <c r="E1010">
        <v>2995</v>
      </c>
      <c r="F1010">
        <v>479</v>
      </c>
      <c r="G1010">
        <v>0</v>
      </c>
      <c r="H1010">
        <v>0</v>
      </c>
      <c r="I1010">
        <v>228</v>
      </c>
      <c r="J1010">
        <v>3474</v>
      </c>
      <c r="K1010" t="s">
        <v>2349</v>
      </c>
      <c r="L1010" s="1">
        <v>41040</v>
      </c>
      <c r="N1010" t="s">
        <v>36</v>
      </c>
      <c r="O1010" t="s">
        <v>37</v>
      </c>
      <c r="P1010" t="s">
        <v>425</v>
      </c>
      <c r="Q1010" t="s">
        <v>39</v>
      </c>
      <c r="R1010" t="s">
        <v>40</v>
      </c>
      <c r="S1010">
        <v>0</v>
      </c>
      <c r="U1010" t="s">
        <v>41</v>
      </c>
      <c r="V1010" t="s">
        <v>42</v>
      </c>
      <c r="X1010" t="s">
        <v>74</v>
      </c>
      <c r="Y1010" t="b">
        <v>0</v>
      </c>
      <c r="Z1010" t="b">
        <v>0</v>
      </c>
      <c r="AC1010" s="1"/>
      <c r="AF1010">
        <v>0</v>
      </c>
      <c r="AG1010">
        <v>45</v>
      </c>
      <c r="AH1010">
        <v>273</v>
      </c>
      <c r="AI1010" s="2">
        <f>Table__192.168.3.138DYLAgingReport[[#This Row],[NetAmount]]-Table__192.168.3.138DYLAgingReport[[#This Row],[Paid]]</f>
        <v>3474</v>
      </c>
    </row>
    <row r="1011" spans="1:35">
      <c r="A1011" t="s">
        <v>2350</v>
      </c>
      <c r="B1011" s="1">
        <v>41059</v>
      </c>
      <c r="C1011" s="1">
        <v>41104</v>
      </c>
      <c r="D1011" t="s">
        <v>188</v>
      </c>
      <c r="E1011">
        <v>876</v>
      </c>
      <c r="F1011">
        <v>140</v>
      </c>
      <c r="G1011">
        <v>0</v>
      </c>
      <c r="H1011">
        <v>0</v>
      </c>
      <c r="I1011">
        <v>209</v>
      </c>
      <c r="J1011">
        <v>1016</v>
      </c>
      <c r="K1011" t="s">
        <v>2351</v>
      </c>
      <c r="L1011" s="1">
        <v>41059</v>
      </c>
      <c r="N1011" t="s">
        <v>36</v>
      </c>
      <c r="O1011" t="s">
        <v>37</v>
      </c>
      <c r="P1011" t="s">
        <v>325</v>
      </c>
      <c r="Q1011" t="s">
        <v>39</v>
      </c>
      <c r="R1011" t="s">
        <v>40</v>
      </c>
      <c r="S1011">
        <v>0</v>
      </c>
      <c r="U1011" t="s">
        <v>41</v>
      </c>
      <c r="V1011" t="s">
        <v>42</v>
      </c>
      <c r="X1011" t="s">
        <v>74</v>
      </c>
      <c r="Y1011" t="b">
        <v>0</v>
      </c>
      <c r="Z1011" t="b">
        <v>0</v>
      </c>
      <c r="AC1011" s="1"/>
      <c r="AF1011">
        <v>0</v>
      </c>
      <c r="AG1011">
        <v>45</v>
      </c>
      <c r="AH1011">
        <v>254</v>
      </c>
      <c r="AI1011" s="2">
        <f>Table__192.168.3.138DYLAgingReport[[#This Row],[NetAmount]]-Table__192.168.3.138DYLAgingReport[[#This Row],[Paid]]</f>
        <v>1016</v>
      </c>
    </row>
    <row r="1012" spans="1:35">
      <c r="A1012" t="s">
        <v>2352</v>
      </c>
      <c r="B1012" s="1">
        <v>41055</v>
      </c>
      <c r="C1012" s="1">
        <v>41100</v>
      </c>
      <c r="D1012" t="s">
        <v>569</v>
      </c>
      <c r="E1012">
        <v>75798</v>
      </c>
      <c r="F1012">
        <v>12128</v>
      </c>
      <c r="G1012">
        <v>0</v>
      </c>
      <c r="H1012">
        <v>0</v>
      </c>
      <c r="I1012">
        <v>214</v>
      </c>
      <c r="J1012">
        <v>87926</v>
      </c>
      <c r="K1012" t="s">
        <v>2353</v>
      </c>
      <c r="L1012" s="1">
        <v>41054</v>
      </c>
      <c r="N1012" t="s">
        <v>36</v>
      </c>
      <c r="O1012" t="s">
        <v>37</v>
      </c>
      <c r="P1012" t="s">
        <v>433</v>
      </c>
      <c r="Q1012" t="s">
        <v>39</v>
      </c>
      <c r="R1012" t="s">
        <v>40</v>
      </c>
      <c r="S1012">
        <v>0</v>
      </c>
      <c r="U1012" t="s">
        <v>41</v>
      </c>
      <c r="V1012" t="s">
        <v>42</v>
      </c>
      <c r="X1012" t="s">
        <v>74</v>
      </c>
      <c r="Y1012" t="b">
        <v>0</v>
      </c>
      <c r="Z1012" t="b">
        <v>0</v>
      </c>
      <c r="AC1012" s="1"/>
      <c r="AF1012">
        <v>0</v>
      </c>
      <c r="AG1012">
        <v>45</v>
      </c>
      <c r="AH1012">
        <v>259</v>
      </c>
      <c r="AI1012" s="2">
        <f>Table__192.168.3.138DYLAgingReport[[#This Row],[NetAmount]]-Table__192.168.3.138DYLAgingReport[[#This Row],[Paid]]</f>
        <v>87926</v>
      </c>
    </row>
    <row r="1013" spans="1:35">
      <c r="A1013" t="s">
        <v>2354</v>
      </c>
      <c r="B1013" s="1">
        <v>41051</v>
      </c>
      <c r="C1013" s="1">
        <v>41096</v>
      </c>
      <c r="D1013" t="s">
        <v>201</v>
      </c>
      <c r="E1013">
        <v>28524</v>
      </c>
      <c r="F1013">
        <v>4564</v>
      </c>
      <c r="G1013">
        <v>0</v>
      </c>
      <c r="H1013">
        <v>0</v>
      </c>
      <c r="I1013">
        <v>217</v>
      </c>
      <c r="J1013">
        <v>33088</v>
      </c>
      <c r="K1013" t="s">
        <v>887</v>
      </c>
      <c r="L1013" s="1">
        <v>41051</v>
      </c>
      <c r="N1013" t="s">
        <v>36</v>
      </c>
      <c r="O1013" t="s">
        <v>37</v>
      </c>
      <c r="P1013" t="s">
        <v>338</v>
      </c>
      <c r="Q1013" t="s">
        <v>39</v>
      </c>
      <c r="R1013" t="s">
        <v>40</v>
      </c>
      <c r="S1013">
        <v>0</v>
      </c>
      <c r="U1013" t="s">
        <v>41</v>
      </c>
      <c r="V1013" t="s">
        <v>42</v>
      </c>
      <c r="X1013" t="s">
        <v>74</v>
      </c>
      <c r="Y1013" t="b">
        <v>0</v>
      </c>
      <c r="Z1013" t="b">
        <v>0</v>
      </c>
      <c r="AB1013" t="s">
        <v>485</v>
      </c>
      <c r="AC1013" s="1">
        <v>41236</v>
      </c>
      <c r="AF1013">
        <v>0</v>
      </c>
      <c r="AG1013">
        <v>45</v>
      </c>
      <c r="AH1013">
        <v>262</v>
      </c>
      <c r="AI1013" s="2">
        <f>Table__192.168.3.138DYLAgingReport[[#This Row],[NetAmount]]-Table__192.168.3.138DYLAgingReport[[#This Row],[Paid]]</f>
        <v>33088</v>
      </c>
    </row>
    <row r="1014" spans="1:35">
      <c r="A1014" t="s">
        <v>2355</v>
      </c>
      <c r="B1014" s="1">
        <v>41059</v>
      </c>
      <c r="C1014" s="1">
        <v>41104</v>
      </c>
      <c r="D1014" t="s">
        <v>172</v>
      </c>
      <c r="E1014">
        <v>48422</v>
      </c>
      <c r="F1014">
        <v>7748</v>
      </c>
      <c r="G1014">
        <v>0</v>
      </c>
      <c r="H1014">
        <v>0</v>
      </c>
      <c r="I1014">
        <v>208</v>
      </c>
      <c r="J1014">
        <v>56170</v>
      </c>
      <c r="K1014" t="s">
        <v>2356</v>
      </c>
      <c r="L1014" s="1">
        <v>41060</v>
      </c>
      <c r="N1014" t="s">
        <v>36</v>
      </c>
      <c r="O1014" t="s">
        <v>37</v>
      </c>
      <c r="P1014" t="s">
        <v>309</v>
      </c>
      <c r="Q1014" t="s">
        <v>39</v>
      </c>
      <c r="R1014" t="s">
        <v>40</v>
      </c>
      <c r="S1014">
        <v>0</v>
      </c>
      <c r="U1014" t="s">
        <v>41</v>
      </c>
      <c r="V1014" t="s">
        <v>42</v>
      </c>
      <c r="X1014" t="s">
        <v>74</v>
      </c>
      <c r="Y1014" t="b">
        <v>0</v>
      </c>
      <c r="Z1014" t="b">
        <v>0</v>
      </c>
      <c r="AC1014" s="1"/>
      <c r="AF1014">
        <v>0</v>
      </c>
      <c r="AG1014">
        <v>45</v>
      </c>
      <c r="AH1014">
        <v>253</v>
      </c>
      <c r="AI1014" s="2">
        <f>Table__192.168.3.138DYLAgingReport[[#This Row],[NetAmount]]-Table__192.168.3.138DYLAgingReport[[#This Row],[Paid]]</f>
        <v>56170</v>
      </c>
    </row>
    <row r="1015" spans="1:35">
      <c r="A1015" t="s">
        <v>2357</v>
      </c>
      <c r="B1015" s="1">
        <v>41057</v>
      </c>
      <c r="C1015" s="1">
        <v>41102</v>
      </c>
      <c r="D1015" t="s">
        <v>268</v>
      </c>
      <c r="E1015">
        <v>205000</v>
      </c>
      <c r="F1015">
        <v>32800</v>
      </c>
      <c r="G1015">
        <v>0</v>
      </c>
      <c r="H1015">
        <v>0</v>
      </c>
      <c r="I1015">
        <v>210</v>
      </c>
      <c r="J1015">
        <v>237800</v>
      </c>
      <c r="K1015" t="s">
        <v>2358</v>
      </c>
      <c r="L1015" s="1">
        <v>41058</v>
      </c>
      <c r="N1015" t="s">
        <v>36</v>
      </c>
      <c r="O1015" t="s">
        <v>37</v>
      </c>
      <c r="P1015" t="s">
        <v>405</v>
      </c>
      <c r="Q1015" t="s">
        <v>39</v>
      </c>
      <c r="R1015" t="s">
        <v>40</v>
      </c>
      <c r="S1015">
        <v>0</v>
      </c>
      <c r="U1015" t="s">
        <v>41</v>
      </c>
      <c r="V1015" t="s">
        <v>42</v>
      </c>
      <c r="X1015" t="s">
        <v>74</v>
      </c>
      <c r="Y1015" t="b">
        <v>0</v>
      </c>
      <c r="Z1015" t="b">
        <v>0</v>
      </c>
      <c r="AB1015" t="s">
        <v>638</v>
      </c>
      <c r="AC1015" s="1">
        <v>41219</v>
      </c>
      <c r="AF1015">
        <v>0</v>
      </c>
      <c r="AG1015">
        <v>45</v>
      </c>
      <c r="AH1015">
        <v>255</v>
      </c>
      <c r="AI1015" s="2">
        <f>Table__192.168.3.138DYLAgingReport[[#This Row],[NetAmount]]-Table__192.168.3.138DYLAgingReport[[#This Row],[Paid]]</f>
        <v>237800</v>
      </c>
    </row>
    <row r="1016" spans="1:35">
      <c r="A1016" t="s">
        <v>2359</v>
      </c>
      <c r="B1016" s="1">
        <v>41055</v>
      </c>
      <c r="C1016" s="1">
        <v>41100</v>
      </c>
      <c r="D1016" t="s">
        <v>187</v>
      </c>
      <c r="E1016">
        <v>84830</v>
      </c>
      <c r="F1016">
        <v>0</v>
      </c>
      <c r="G1016">
        <v>0</v>
      </c>
      <c r="H1016">
        <v>0</v>
      </c>
      <c r="I1016">
        <v>213</v>
      </c>
      <c r="J1016">
        <v>84830</v>
      </c>
      <c r="K1016" t="s">
        <v>2360</v>
      </c>
      <c r="L1016" s="1">
        <v>41055</v>
      </c>
      <c r="N1016" t="s">
        <v>36</v>
      </c>
      <c r="O1016" t="s">
        <v>37</v>
      </c>
      <c r="P1016" t="s">
        <v>324</v>
      </c>
      <c r="Q1016" t="s">
        <v>39</v>
      </c>
      <c r="R1016" t="s">
        <v>40</v>
      </c>
      <c r="S1016">
        <v>0</v>
      </c>
      <c r="U1016" t="s">
        <v>41</v>
      </c>
      <c r="V1016" t="s">
        <v>42</v>
      </c>
      <c r="X1016" t="s">
        <v>74</v>
      </c>
      <c r="Y1016" t="b">
        <v>0</v>
      </c>
      <c r="Z1016" t="b">
        <v>0</v>
      </c>
      <c r="AC1016" s="1"/>
      <c r="AF1016">
        <v>0</v>
      </c>
      <c r="AG1016">
        <v>45</v>
      </c>
      <c r="AH1016">
        <v>258</v>
      </c>
      <c r="AI1016" s="2">
        <f>Table__192.168.3.138DYLAgingReport[[#This Row],[NetAmount]]-Table__192.168.3.138DYLAgingReport[[#This Row],[Paid]]</f>
        <v>84830</v>
      </c>
    </row>
    <row r="1017" spans="1:35">
      <c r="A1017" t="s">
        <v>2361</v>
      </c>
      <c r="B1017" s="1">
        <v>41055</v>
      </c>
      <c r="C1017" s="1">
        <v>41100</v>
      </c>
      <c r="D1017" t="s">
        <v>208</v>
      </c>
      <c r="E1017">
        <v>15000</v>
      </c>
      <c r="F1017">
        <v>2400</v>
      </c>
      <c r="G1017">
        <v>0</v>
      </c>
      <c r="H1017">
        <v>0</v>
      </c>
      <c r="I1017">
        <v>213</v>
      </c>
      <c r="J1017">
        <v>17400</v>
      </c>
      <c r="K1017" t="s">
        <v>2362</v>
      </c>
      <c r="L1017" s="1">
        <v>41055</v>
      </c>
      <c r="N1017" t="s">
        <v>36</v>
      </c>
      <c r="O1017" t="s">
        <v>37</v>
      </c>
      <c r="P1017" t="s">
        <v>345</v>
      </c>
      <c r="Q1017" t="s">
        <v>39</v>
      </c>
      <c r="R1017" t="s">
        <v>40</v>
      </c>
      <c r="S1017">
        <v>0</v>
      </c>
      <c r="U1017" t="s">
        <v>41</v>
      </c>
      <c r="V1017" t="s">
        <v>42</v>
      </c>
      <c r="X1017" t="s">
        <v>74</v>
      </c>
      <c r="Y1017" t="b">
        <v>0</v>
      </c>
      <c r="Z1017" t="b">
        <v>0</v>
      </c>
      <c r="AC1017" s="1"/>
      <c r="AF1017">
        <v>0</v>
      </c>
      <c r="AG1017">
        <v>45</v>
      </c>
      <c r="AH1017">
        <v>258</v>
      </c>
      <c r="AI1017" s="2">
        <f>Table__192.168.3.138DYLAgingReport[[#This Row],[NetAmount]]-Table__192.168.3.138DYLAgingReport[[#This Row],[Paid]]</f>
        <v>17400</v>
      </c>
    </row>
    <row r="1018" spans="1:35">
      <c r="A1018" t="s">
        <v>2363</v>
      </c>
      <c r="B1018" s="1">
        <v>41053</v>
      </c>
      <c r="C1018" s="1">
        <v>41098</v>
      </c>
      <c r="D1018" t="s">
        <v>208</v>
      </c>
      <c r="E1018">
        <v>362007</v>
      </c>
      <c r="F1018">
        <v>57921</v>
      </c>
      <c r="G1018">
        <v>0</v>
      </c>
      <c r="H1018">
        <v>0</v>
      </c>
      <c r="I1018">
        <v>215</v>
      </c>
      <c r="J1018">
        <v>419928</v>
      </c>
      <c r="K1018" t="s">
        <v>2364</v>
      </c>
      <c r="L1018" s="1">
        <v>41053</v>
      </c>
      <c r="N1018" t="s">
        <v>36</v>
      </c>
      <c r="O1018" t="s">
        <v>37</v>
      </c>
      <c r="P1018" t="s">
        <v>345</v>
      </c>
      <c r="Q1018" t="s">
        <v>39</v>
      </c>
      <c r="R1018" t="s">
        <v>40</v>
      </c>
      <c r="S1018">
        <v>0</v>
      </c>
      <c r="U1018" t="s">
        <v>41</v>
      </c>
      <c r="V1018" t="s">
        <v>42</v>
      </c>
      <c r="X1018" t="s">
        <v>74</v>
      </c>
      <c r="Y1018" t="b">
        <v>0</v>
      </c>
      <c r="Z1018" t="b">
        <v>0</v>
      </c>
      <c r="AC1018" s="1"/>
      <c r="AF1018">
        <v>0</v>
      </c>
      <c r="AG1018">
        <v>45</v>
      </c>
      <c r="AH1018">
        <v>260</v>
      </c>
      <c r="AI1018" s="2">
        <f>Table__192.168.3.138DYLAgingReport[[#This Row],[NetAmount]]-Table__192.168.3.138DYLAgingReport[[#This Row],[Paid]]</f>
        <v>419928</v>
      </c>
    </row>
    <row r="1019" spans="1:35">
      <c r="A1019" t="s">
        <v>2365</v>
      </c>
      <c r="B1019" s="1">
        <v>41058</v>
      </c>
      <c r="C1019" s="1">
        <v>41103</v>
      </c>
      <c r="D1019" t="s">
        <v>208</v>
      </c>
      <c r="E1019">
        <v>58675</v>
      </c>
      <c r="F1019">
        <v>9388</v>
      </c>
      <c r="G1019">
        <v>0</v>
      </c>
      <c r="H1019">
        <v>0</v>
      </c>
      <c r="I1019">
        <v>210</v>
      </c>
      <c r="J1019">
        <v>68063</v>
      </c>
      <c r="K1019" t="s">
        <v>2366</v>
      </c>
      <c r="L1019" s="1">
        <v>41058</v>
      </c>
      <c r="N1019" t="s">
        <v>36</v>
      </c>
      <c r="O1019" t="s">
        <v>37</v>
      </c>
      <c r="P1019" t="s">
        <v>345</v>
      </c>
      <c r="Q1019" t="s">
        <v>39</v>
      </c>
      <c r="R1019" t="s">
        <v>40</v>
      </c>
      <c r="S1019">
        <v>0</v>
      </c>
      <c r="U1019" t="s">
        <v>41</v>
      </c>
      <c r="V1019" t="s">
        <v>42</v>
      </c>
      <c r="X1019" t="s">
        <v>74</v>
      </c>
      <c r="Y1019" t="b">
        <v>0</v>
      </c>
      <c r="Z1019" t="b">
        <v>0</v>
      </c>
      <c r="AC1019" s="1"/>
      <c r="AF1019">
        <v>0</v>
      </c>
      <c r="AG1019">
        <v>45</v>
      </c>
      <c r="AH1019">
        <v>255</v>
      </c>
      <c r="AI1019" s="2">
        <f>Table__192.168.3.138DYLAgingReport[[#This Row],[NetAmount]]-Table__192.168.3.138DYLAgingReport[[#This Row],[Paid]]</f>
        <v>68063</v>
      </c>
    </row>
    <row r="1020" spans="1:35">
      <c r="A1020" t="s">
        <v>2367</v>
      </c>
      <c r="B1020" s="1">
        <v>41060</v>
      </c>
      <c r="C1020" s="1">
        <v>41105</v>
      </c>
      <c r="D1020" t="s">
        <v>569</v>
      </c>
      <c r="E1020">
        <v>80829</v>
      </c>
      <c r="F1020">
        <v>12933</v>
      </c>
      <c r="G1020">
        <v>0</v>
      </c>
      <c r="H1020">
        <v>0</v>
      </c>
      <c r="I1020">
        <v>224</v>
      </c>
      <c r="J1020">
        <v>93762</v>
      </c>
      <c r="K1020" t="s">
        <v>2368</v>
      </c>
      <c r="L1020" s="1">
        <v>41044</v>
      </c>
      <c r="N1020" t="s">
        <v>36</v>
      </c>
      <c r="O1020" t="s">
        <v>37</v>
      </c>
      <c r="P1020" t="s">
        <v>433</v>
      </c>
      <c r="Q1020" t="s">
        <v>39</v>
      </c>
      <c r="R1020" t="s">
        <v>40</v>
      </c>
      <c r="S1020">
        <v>0</v>
      </c>
      <c r="U1020" t="s">
        <v>41</v>
      </c>
      <c r="V1020" t="s">
        <v>42</v>
      </c>
      <c r="X1020" t="s">
        <v>74</v>
      </c>
      <c r="Y1020" t="b">
        <v>0</v>
      </c>
      <c r="Z1020" t="b">
        <v>0</v>
      </c>
      <c r="AC1020" s="1"/>
      <c r="AF1020">
        <v>0</v>
      </c>
      <c r="AG1020">
        <v>45</v>
      </c>
      <c r="AH1020">
        <v>269</v>
      </c>
      <c r="AI1020" s="2">
        <f>Table__192.168.3.138DYLAgingReport[[#This Row],[NetAmount]]-Table__192.168.3.138DYLAgingReport[[#This Row],[Paid]]</f>
        <v>93762</v>
      </c>
    </row>
    <row r="1021" spans="1:35">
      <c r="A1021" t="s">
        <v>2369</v>
      </c>
      <c r="B1021" s="1">
        <v>41060</v>
      </c>
      <c r="C1021" s="1">
        <v>41105</v>
      </c>
      <c r="D1021" t="s">
        <v>569</v>
      </c>
      <c r="E1021">
        <v>4000</v>
      </c>
      <c r="F1021">
        <v>640</v>
      </c>
      <c r="G1021">
        <v>0</v>
      </c>
      <c r="H1021">
        <v>0</v>
      </c>
      <c r="I1021">
        <v>224</v>
      </c>
      <c r="J1021">
        <v>4640</v>
      </c>
      <c r="K1021" t="s">
        <v>2370</v>
      </c>
      <c r="L1021" s="1">
        <v>41044</v>
      </c>
      <c r="N1021" t="s">
        <v>36</v>
      </c>
      <c r="O1021" t="s">
        <v>37</v>
      </c>
      <c r="P1021" t="s">
        <v>433</v>
      </c>
      <c r="Q1021" t="s">
        <v>39</v>
      </c>
      <c r="R1021" t="s">
        <v>40</v>
      </c>
      <c r="S1021">
        <v>0</v>
      </c>
      <c r="U1021" t="s">
        <v>41</v>
      </c>
      <c r="V1021" t="s">
        <v>42</v>
      </c>
      <c r="X1021" t="s">
        <v>74</v>
      </c>
      <c r="Y1021" t="b">
        <v>0</v>
      </c>
      <c r="Z1021" t="b">
        <v>0</v>
      </c>
      <c r="AC1021" s="1"/>
      <c r="AF1021">
        <v>0</v>
      </c>
      <c r="AG1021">
        <v>45</v>
      </c>
      <c r="AH1021">
        <v>269</v>
      </c>
      <c r="AI1021" s="2">
        <f>Table__192.168.3.138DYLAgingReport[[#This Row],[NetAmount]]-Table__192.168.3.138DYLAgingReport[[#This Row],[Paid]]</f>
        <v>4640</v>
      </c>
    </row>
    <row r="1022" spans="1:35">
      <c r="A1022" t="s">
        <v>2371</v>
      </c>
      <c r="B1022" s="1">
        <v>41060</v>
      </c>
      <c r="C1022" s="1">
        <v>41105</v>
      </c>
      <c r="D1022" t="s">
        <v>569</v>
      </c>
      <c r="E1022">
        <v>30375</v>
      </c>
      <c r="F1022">
        <v>4860</v>
      </c>
      <c r="G1022">
        <v>0</v>
      </c>
      <c r="H1022">
        <v>0</v>
      </c>
      <c r="I1022">
        <v>216</v>
      </c>
      <c r="J1022">
        <v>35235</v>
      </c>
      <c r="K1022" t="s">
        <v>2372</v>
      </c>
      <c r="L1022" s="1">
        <v>41052</v>
      </c>
      <c r="N1022" t="s">
        <v>36</v>
      </c>
      <c r="O1022" t="s">
        <v>37</v>
      </c>
      <c r="P1022" t="s">
        <v>433</v>
      </c>
      <c r="Q1022" t="s">
        <v>39</v>
      </c>
      <c r="R1022" t="s">
        <v>40</v>
      </c>
      <c r="S1022">
        <v>0</v>
      </c>
      <c r="U1022" t="s">
        <v>41</v>
      </c>
      <c r="V1022" t="s">
        <v>42</v>
      </c>
      <c r="X1022" t="s">
        <v>74</v>
      </c>
      <c r="Y1022" t="b">
        <v>0</v>
      </c>
      <c r="Z1022" t="b">
        <v>0</v>
      </c>
      <c r="AC1022" s="1"/>
      <c r="AF1022">
        <v>0</v>
      </c>
      <c r="AG1022">
        <v>45</v>
      </c>
      <c r="AH1022">
        <v>261</v>
      </c>
      <c r="AI1022" s="2">
        <f>Table__192.168.3.138DYLAgingReport[[#This Row],[NetAmount]]-Table__192.168.3.138DYLAgingReport[[#This Row],[Paid]]</f>
        <v>35235</v>
      </c>
    </row>
    <row r="1023" spans="1:35">
      <c r="A1023" t="s">
        <v>2373</v>
      </c>
      <c r="B1023" s="1">
        <v>41055</v>
      </c>
      <c r="C1023" s="1">
        <v>41100</v>
      </c>
      <c r="D1023" t="s">
        <v>569</v>
      </c>
      <c r="E1023">
        <v>18350</v>
      </c>
      <c r="F1023">
        <v>2936</v>
      </c>
      <c r="G1023">
        <v>0</v>
      </c>
      <c r="H1023">
        <v>0</v>
      </c>
      <c r="I1023">
        <v>214</v>
      </c>
      <c r="J1023">
        <v>21286</v>
      </c>
      <c r="K1023" t="s">
        <v>2374</v>
      </c>
      <c r="L1023" s="1">
        <v>41054</v>
      </c>
      <c r="N1023" t="s">
        <v>36</v>
      </c>
      <c r="O1023" t="s">
        <v>37</v>
      </c>
      <c r="P1023" t="s">
        <v>433</v>
      </c>
      <c r="Q1023" t="s">
        <v>39</v>
      </c>
      <c r="R1023" t="s">
        <v>40</v>
      </c>
      <c r="S1023">
        <v>0</v>
      </c>
      <c r="U1023" t="s">
        <v>41</v>
      </c>
      <c r="V1023" t="s">
        <v>42</v>
      </c>
      <c r="X1023" t="s">
        <v>74</v>
      </c>
      <c r="Y1023" t="b">
        <v>0</v>
      </c>
      <c r="Z1023" t="b">
        <v>0</v>
      </c>
      <c r="AC1023" s="1"/>
      <c r="AF1023">
        <v>0</v>
      </c>
      <c r="AG1023">
        <v>45</v>
      </c>
      <c r="AH1023">
        <v>259</v>
      </c>
      <c r="AI1023" s="2">
        <f>Table__192.168.3.138DYLAgingReport[[#This Row],[NetAmount]]-Table__192.168.3.138DYLAgingReport[[#This Row],[Paid]]</f>
        <v>21286</v>
      </c>
    </row>
    <row r="1024" spans="1:35">
      <c r="A1024" t="s">
        <v>2375</v>
      </c>
      <c r="B1024" s="1">
        <v>41060</v>
      </c>
      <c r="C1024" s="1">
        <v>41105</v>
      </c>
      <c r="D1024" t="s">
        <v>569</v>
      </c>
      <c r="E1024">
        <v>26500</v>
      </c>
      <c r="F1024">
        <v>4240</v>
      </c>
      <c r="G1024">
        <v>0</v>
      </c>
      <c r="H1024">
        <v>0</v>
      </c>
      <c r="I1024">
        <v>215</v>
      </c>
      <c r="J1024">
        <v>30740</v>
      </c>
      <c r="K1024" t="s">
        <v>2376</v>
      </c>
      <c r="L1024" s="1">
        <v>41053</v>
      </c>
      <c r="N1024" t="s">
        <v>36</v>
      </c>
      <c r="O1024" t="s">
        <v>37</v>
      </c>
      <c r="P1024" t="s">
        <v>433</v>
      </c>
      <c r="Q1024" t="s">
        <v>39</v>
      </c>
      <c r="R1024" t="s">
        <v>40</v>
      </c>
      <c r="S1024">
        <v>0</v>
      </c>
      <c r="U1024" t="s">
        <v>41</v>
      </c>
      <c r="V1024" t="s">
        <v>42</v>
      </c>
      <c r="X1024" t="s">
        <v>74</v>
      </c>
      <c r="Y1024" t="b">
        <v>0</v>
      </c>
      <c r="Z1024" t="b">
        <v>0</v>
      </c>
      <c r="AC1024" s="1"/>
      <c r="AF1024">
        <v>0</v>
      </c>
      <c r="AG1024">
        <v>45</v>
      </c>
      <c r="AH1024">
        <v>260</v>
      </c>
      <c r="AI1024" s="2">
        <f>Table__192.168.3.138DYLAgingReport[[#This Row],[NetAmount]]-Table__192.168.3.138DYLAgingReport[[#This Row],[Paid]]</f>
        <v>30740</v>
      </c>
    </row>
    <row r="1025" spans="1:35">
      <c r="A1025" t="s">
        <v>2377</v>
      </c>
      <c r="B1025" s="1">
        <v>41060</v>
      </c>
      <c r="C1025" s="1">
        <v>41105</v>
      </c>
      <c r="D1025" t="s">
        <v>569</v>
      </c>
      <c r="E1025">
        <v>24800</v>
      </c>
      <c r="F1025">
        <v>3968</v>
      </c>
      <c r="G1025">
        <v>0</v>
      </c>
      <c r="H1025">
        <v>0</v>
      </c>
      <c r="I1025">
        <v>217</v>
      </c>
      <c r="J1025">
        <v>28768</v>
      </c>
      <c r="K1025" t="s">
        <v>2378</v>
      </c>
      <c r="L1025" s="1">
        <v>41051</v>
      </c>
      <c r="N1025" t="s">
        <v>36</v>
      </c>
      <c r="O1025" t="s">
        <v>37</v>
      </c>
      <c r="P1025" t="s">
        <v>433</v>
      </c>
      <c r="Q1025" t="s">
        <v>39</v>
      </c>
      <c r="R1025" t="s">
        <v>40</v>
      </c>
      <c r="S1025">
        <v>0</v>
      </c>
      <c r="U1025" t="s">
        <v>41</v>
      </c>
      <c r="V1025" t="s">
        <v>42</v>
      </c>
      <c r="X1025" t="s">
        <v>74</v>
      </c>
      <c r="Y1025" t="b">
        <v>0</v>
      </c>
      <c r="Z1025" t="b">
        <v>0</v>
      </c>
      <c r="AC1025" s="1"/>
      <c r="AF1025">
        <v>0</v>
      </c>
      <c r="AG1025">
        <v>45</v>
      </c>
      <c r="AH1025">
        <v>262</v>
      </c>
      <c r="AI1025" s="2">
        <f>Table__192.168.3.138DYLAgingReport[[#This Row],[NetAmount]]-Table__192.168.3.138DYLAgingReport[[#This Row],[Paid]]</f>
        <v>28768</v>
      </c>
    </row>
    <row r="1026" spans="1:35">
      <c r="A1026" t="s">
        <v>2379</v>
      </c>
      <c r="B1026" s="1">
        <v>41060</v>
      </c>
      <c r="C1026" s="1">
        <v>41105</v>
      </c>
      <c r="D1026" t="s">
        <v>569</v>
      </c>
      <c r="E1026">
        <v>4000</v>
      </c>
      <c r="F1026">
        <v>640</v>
      </c>
      <c r="G1026">
        <v>0</v>
      </c>
      <c r="H1026">
        <v>0</v>
      </c>
      <c r="I1026">
        <v>218</v>
      </c>
      <c r="J1026">
        <v>4640</v>
      </c>
      <c r="K1026" t="s">
        <v>2380</v>
      </c>
      <c r="L1026" s="1">
        <v>41050</v>
      </c>
      <c r="N1026" t="s">
        <v>36</v>
      </c>
      <c r="O1026" t="s">
        <v>37</v>
      </c>
      <c r="P1026" t="s">
        <v>433</v>
      </c>
      <c r="Q1026" t="s">
        <v>39</v>
      </c>
      <c r="R1026" t="s">
        <v>40</v>
      </c>
      <c r="S1026">
        <v>0</v>
      </c>
      <c r="U1026" t="s">
        <v>41</v>
      </c>
      <c r="V1026" t="s">
        <v>42</v>
      </c>
      <c r="X1026" t="s">
        <v>74</v>
      </c>
      <c r="Y1026" t="b">
        <v>0</v>
      </c>
      <c r="Z1026" t="b">
        <v>0</v>
      </c>
      <c r="AC1026" s="1"/>
      <c r="AF1026">
        <v>0</v>
      </c>
      <c r="AG1026">
        <v>45</v>
      </c>
      <c r="AH1026">
        <v>263</v>
      </c>
      <c r="AI1026" s="2">
        <f>Table__192.168.3.138DYLAgingReport[[#This Row],[NetAmount]]-Table__192.168.3.138DYLAgingReport[[#This Row],[Paid]]</f>
        <v>4640</v>
      </c>
    </row>
    <row r="1027" spans="1:35">
      <c r="A1027" t="s">
        <v>2381</v>
      </c>
      <c r="B1027" s="1">
        <v>41046</v>
      </c>
      <c r="C1027" s="1">
        <v>41091</v>
      </c>
      <c r="D1027" t="s">
        <v>569</v>
      </c>
      <c r="E1027">
        <v>34997</v>
      </c>
      <c r="F1027">
        <v>5600</v>
      </c>
      <c r="G1027">
        <v>0</v>
      </c>
      <c r="H1027">
        <v>0</v>
      </c>
      <c r="I1027">
        <v>222</v>
      </c>
      <c r="J1027">
        <v>40597</v>
      </c>
      <c r="K1027" t="s">
        <v>2382</v>
      </c>
      <c r="L1027" s="1">
        <v>41046</v>
      </c>
      <c r="N1027" t="s">
        <v>36</v>
      </c>
      <c r="O1027" t="s">
        <v>37</v>
      </c>
      <c r="P1027" t="s">
        <v>433</v>
      </c>
      <c r="Q1027" t="s">
        <v>39</v>
      </c>
      <c r="R1027" t="s">
        <v>40</v>
      </c>
      <c r="S1027">
        <v>0</v>
      </c>
      <c r="U1027" t="s">
        <v>41</v>
      </c>
      <c r="V1027" t="s">
        <v>42</v>
      </c>
      <c r="X1027" t="s">
        <v>74</v>
      </c>
      <c r="Y1027" t="b">
        <v>0</v>
      </c>
      <c r="Z1027" t="b">
        <v>0</v>
      </c>
      <c r="AC1027" s="1"/>
      <c r="AF1027">
        <v>0</v>
      </c>
      <c r="AG1027">
        <v>45</v>
      </c>
      <c r="AH1027">
        <v>267</v>
      </c>
      <c r="AI1027" s="2">
        <f>Table__192.168.3.138DYLAgingReport[[#This Row],[NetAmount]]-Table__192.168.3.138DYLAgingReport[[#This Row],[Paid]]</f>
        <v>40597</v>
      </c>
    </row>
    <row r="1028" spans="1:35">
      <c r="A1028" t="s">
        <v>2383</v>
      </c>
      <c r="B1028" s="1">
        <v>41060</v>
      </c>
      <c r="C1028" s="1">
        <v>41105</v>
      </c>
      <c r="D1028" t="s">
        <v>569</v>
      </c>
      <c r="E1028">
        <v>24625</v>
      </c>
      <c r="F1028">
        <v>3940</v>
      </c>
      <c r="G1028">
        <v>0</v>
      </c>
      <c r="H1028">
        <v>0</v>
      </c>
      <c r="I1028">
        <v>222</v>
      </c>
      <c r="J1028">
        <v>28565</v>
      </c>
      <c r="K1028" t="s">
        <v>2384</v>
      </c>
      <c r="L1028" s="1">
        <v>41046</v>
      </c>
      <c r="N1028" t="s">
        <v>36</v>
      </c>
      <c r="O1028" t="s">
        <v>37</v>
      </c>
      <c r="P1028" t="s">
        <v>433</v>
      </c>
      <c r="Q1028" t="s">
        <v>39</v>
      </c>
      <c r="R1028" t="s">
        <v>40</v>
      </c>
      <c r="S1028">
        <v>0</v>
      </c>
      <c r="U1028" t="s">
        <v>41</v>
      </c>
      <c r="V1028" t="s">
        <v>42</v>
      </c>
      <c r="X1028" t="s">
        <v>74</v>
      </c>
      <c r="Y1028" t="b">
        <v>0</v>
      </c>
      <c r="Z1028" t="b">
        <v>0</v>
      </c>
      <c r="AC1028" s="1"/>
      <c r="AF1028">
        <v>0</v>
      </c>
      <c r="AG1028">
        <v>45</v>
      </c>
      <c r="AH1028">
        <v>267</v>
      </c>
      <c r="AI1028" s="2">
        <f>Table__192.168.3.138DYLAgingReport[[#This Row],[NetAmount]]-Table__192.168.3.138DYLAgingReport[[#This Row],[Paid]]</f>
        <v>28565</v>
      </c>
    </row>
    <row r="1029" spans="1:35">
      <c r="A1029" t="s">
        <v>2385</v>
      </c>
      <c r="B1029" s="1">
        <v>41060</v>
      </c>
      <c r="C1029" s="1">
        <v>41105</v>
      </c>
      <c r="D1029" t="s">
        <v>569</v>
      </c>
      <c r="E1029">
        <v>10000</v>
      </c>
      <c r="F1029">
        <v>1600</v>
      </c>
      <c r="G1029">
        <v>0</v>
      </c>
      <c r="H1029">
        <v>0</v>
      </c>
      <c r="I1029">
        <v>223</v>
      </c>
      <c r="J1029">
        <v>11600</v>
      </c>
      <c r="K1029" t="s">
        <v>2386</v>
      </c>
      <c r="L1029" s="1">
        <v>41045</v>
      </c>
      <c r="N1029" t="s">
        <v>36</v>
      </c>
      <c r="O1029" t="s">
        <v>37</v>
      </c>
      <c r="P1029" t="s">
        <v>433</v>
      </c>
      <c r="Q1029" t="s">
        <v>39</v>
      </c>
      <c r="R1029" t="s">
        <v>40</v>
      </c>
      <c r="S1029">
        <v>0</v>
      </c>
      <c r="U1029" t="s">
        <v>41</v>
      </c>
      <c r="V1029" t="s">
        <v>42</v>
      </c>
      <c r="X1029" t="s">
        <v>74</v>
      </c>
      <c r="Y1029" t="b">
        <v>0</v>
      </c>
      <c r="Z1029" t="b">
        <v>0</v>
      </c>
      <c r="AC1029" s="1"/>
      <c r="AF1029">
        <v>0</v>
      </c>
      <c r="AG1029">
        <v>45</v>
      </c>
      <c r="AH1029">
        <v>268</v>
      </c>
      <c r="AI1029" s="2">
        <f>Table__192.168.3.138DYLAgingReport[[#This Row],[NetAmount]]-Table__192.168.3.138DYLAgingReport[[#This Row],[Paid]]</f>
        <v>11600</v>
      </c>
    </row>
    <row r="1030" spans="1:35">
      <c r="A1030" t="s">
        <v>2387</v>
      </c>
      <c r="B1030" s="1">
        <v>41060</v>
      </c>
      <c r="C1030" s="1">
        <v>41105</v>
      </c>
      <c r="D1030" t="s">
        <v>569</v>
      </c>
      <c r="E1030">
        <v>35350</v>
      </c>
      <c r="F1030">
        <v>5656</v>
      </c>
      <c r="G1030">
        <v>0</v>
      </c>
      <c r="H1030">
        <v>0</v>
      </c>
      <c r="I1030">
        <v>223</v>
      </c>
      <c r="J1030">
        <v>41006</v>
      </c>
      <c r="K1030" t="s">
        <v>2388</v>
      </c>
      <c r="L1030" s="1">
        <v>41045</v>
      </c>
      <c r="N1030" t="s">
        <v>36</v>
      </c>
      <c r="O1030" t="s">
        <v>37</v>
      </c>
      <c r="P1030" t="s">
        <v>433</v>
      </c>
      <c r="Q1030" t="s">
        <v>39</v>
      </c>
      <c r="R1030" t="s">
        <v>40</v>
      </c>
      <c r="S1030">
        <v>0</v>
      </c>
      <c r="U1030" t="s">
        <v>41</v>
      </c>
      <c r="V1030" t="s">
        <v>42</v>
      </c>
      <c r="X1030" t="s">
        <v>74</v>
      </c>
      <c r="Y1030" t="b">
        <v>0</v>
      </c>
      <c r="Z1030" t="b">
        <v>0</v>
      </c>
      <c r="AC1030" s="1"/>
      <c r="AF1030">
        <v>0</v>
      </c>
      <c r="AG1030">
        <v>45</v>
      </c>
      <c r="AH1030">
        <v>268</v>
      </c>
      <c r="AI1030" s="2">
        <f>Table__192.168.3.138DYLAgingReport[[#This Row],[NetAmount]]-Table__192.168.3.138DYLAgingReport[[#This Row],[Paid]]</f>
        <v>41006</v>
      </c>
    </row>
    <row r="1031" spans="1:35">
      <c r="A1031" t="s">
        <v>2389</v>
      </c>
      <c r="B1031" s="1">
        <v>41060</v>
      </c>
      <c r="C1031" s="1">
        <v>41105</v>
      </c>
      <c r="D1031" t="s">
        <v>569</v>
      </c>
      <c r="E1031">
        <v>20730</v>
      </c>
      <c r="F1031">
        <v>3317</v>
      </c>
      <c r="G1031">
        <v>0</v>
      </c>
      <c r="H1031">
        <v>0</v>
      </c>
      <c r="I1031">
        <v>219</v>
      </c>
      <c r="J1031">
        <v>24047</v>
      </c>
      <c r="L1031" s="1">
        <v>41049</v>
      </c>
      <c r="N1031" t="s">
        <v>36</v>
      </c>
      <c r="O1031" t="s">
        <v>37</v>
      </c>
      <c r="P1031" t="s">
        <v>433</v>
      </c>
      <c r="Q1031" t="s">
        <v>39</v>
      </c>
      <c r="R1031" t="s">
        <v>40</v>
      </c>
      <c r="S1031">
        <v>0</v>
      </c>
      <c r="U1031" t="s">
        <v>41</v>
      </c>
      <c r="V1031" t="s">
        <v>42</v>
      </c>
      <c r="X1031" t="s">
        <v>74</v>
      </c>
      <c r="Y1031" t="b">
        <v>0</v>
      </c>
      <c r="Z1031" t="b">
        <v>0</v>
      </c>
      <c r="AC1031" s="1"/>
      <c r="AF1031">
        <v>0</v>
      </c>
      <c r="AG1031">
        <v>45</v>
      </c>
      <c r="AH1031">
        <v>264</v>
      </c>
      <c r="AI1031" s="2">
        <f>Table__192.168.3.138DYLAgingReport[[#This Row],[NetAmount]]-Table__192.168.3.138DYLAgingReport[[#This Row],[Paid]]</f>
        <v>24047</v>
      </c>
    </row>
    <row r="1032" spans="1:35">
      <c r="A1032" t="s">
        <v>2390</v>
      </c>
      <c r="B1032" s="1">
        <v>41060</v>
      </c>
      <c r="C1032" s="1">
        <v>41105</v>
      </c>
      <c r="D1032" t="s">
        <v>569</v>
      </c>
      <c r="E1032">
        <v>23749</v>
      </c>
      <c r="F1032">
        <v>3800</v>
      </c>
      <c r="G1032">
        <v>0</v>
      </c>
      <c r="H1032">
        <v>0</v>
      </c>
      <c r="I1032">
        <v>215</v>
      </c>
      <c r="J1032">
        <v>27549</v>
      </c>
      <c r="K1032" t="s">
        <v>2391</v>
      </c>
      <c r="L1032" s="1">
        <v>41053</v>
      </c>
      <c r="N1032" t="s">
        <v>36</v>
      </c>
      <c r="O1032" t="s">
        <v>37</v>
      </c>
      <c r="P1032" t="s">
        <v>433</v>
      </c>
      <c r="Q1032" t="s">
        <v>39</v>
      </c>
      <c r="R1032" t="s">
        <v>40</v>
      </c>
      <c r="S1032">
        <v>0</v>
      </c>
      <c r="U1032" t="s">
        <v>41</v>
      </c>
      <c r="V1032" t="s">
        <v>42</v>
      </c>
      <c r="X1032" t="s">
        <v>74</v>
      </c>
      <c r="Y1032" t="b">
        <v>0</v>
      </c>
      <c r="Z1032" t="b">
        <v>0</v>
      </c>
      <c r="AC1032" s="1"/>
      <c r="AF1032">
        <v>0</v>
      </c>
      <c r="AG1032">
        <v>45</v>
      </c>
      <c r="AH1032">
        <v>260</v>
      </c>
      <c r="AI1032" s="2">
        <f>Table__192.168.3.138DYLAgingReport[[#This Row],[NetAmount]]-Table__192.168.3.138DYLAgingReport[[#This Row],[Paid]]</f>
        <v>27549</v>
      </c>
    </row>
    <row r="1033" spans="1:35">
      <c r="A1033" t="s">
        <v>2392</v>
      </c>
      <c r="B1033" s="1">
        <v>41060</v>
      </c>
      <c r="C1033" s="1">
        <v>41105</v>
      </c>
      <c r="D1033" t="s">
        <v>569</v>
      </c>
      <c r="E1033">
        <v>23000</v>
      </c>
      <c r="F1033">
        <v>3680</v>
      </c>
      <c r="G1033">
        <v>0</v>
      </c>
      <c r="H1033">
        <v>0</v>
      </c>
      <c r="I1033">
        <v>217</v>
      </c>
      <c r="J1033">
        <v>26680</v>
      </c>
      <c r="K1033" t="s">
        <v>2393</v>
      </c>
      <c r="L1033" s="1">
        <v>41051</v>
      </c>
      <c r="N1033" t="s">
        <v>36</v>
      </c>
      <c r="O1033" t="s">
        <v>37</v>
      </c>
      <c r="P1033" t="s">
        <v>433</v>
      </c>
      <c r="Q1033" t="s">
        <v>39</v>
      </c>
      <c r="R1033" t="s">
        <v>40</v>
      </c>
      <c r="S1033">
        <v>0</v>
      </c>
      <c r="U1033" t="s">
        <v>41</v>
      </c>
      <c r="V1033" t="s">
        <v>42</v>
      </c>
      <c r="X1033" t="s">
        <v>74</v>
      </c>
      <c r="Y1033" t="b">
        <v>0</v>
      </c>
      <c r="Z1033" t="b">
        <v>0</v>
      </c>
      <c r="AC1033" s="1"/>
      <c r="AF1033">
        <v>0</v>
      </c>
      <c r="AG1033">
        <v>45</v>
      </c>
      <c r="AH1033">
        <v>262</v>
      </c>
      <c r="AI1033" s="2">
        <f>Table__192.168.3.138DYLAgingReport[[#This Row],[NetAmount]]-Table__192.168.3.138DYLAgingReport[[#This Row],[Paid]]</f>
        <v>26680</v>
      </c>
    </row>
    <row r="1034" spans="1:35">
      <c r="A1034" t="s">
        <v>2394</v>
      </c>
      <c r="B1034" s="1">
        <v>41060</v>
      </c>
      <c r="C1034" s="1">
        <v>41105</v>
      </c>
      <c r="D1034" t="s">
        <v>569</v>
      </c>
      <c r="E1034">
        <v>40873</v>
      </c>
      <c r="F1034">
        <v>6540</v>
      </c>
      <c r="G1034">
        <v>0</v>
      </c>
      <c r="H1034">
        <v>0</v>
      </c>
      <c r="I1034">
        <v>220</v>
      </c>
      <c r="J1034">
        <v>47413</v>
      </c>
      <c r="K1034" t="s">
        <v>2395</v>
      </c>
      <c r="L1034" s="1">
        <v>41048</v>
      </c>
      <c r="N1034" t="s">
        <v>36</v>
      </c>
      <c r="O1034" t="s">
        <v>37</v>
      </c>
      <c r="P1034" t="s">
        <v>433</v>
      </c>
      <c r="Q1034" t="s">
        <v>39</v>
      </c>
      <c r="R1034" t="s">
        <v>40</v>
      </c>
      <c r="S1034">
        <v>0</v>
      </c>
      <c r="U1034" t="s">
        <v>41</v>
      </c>
      <c r="V1034" t="s">
        <v>42</v>
      </c>
      <c r="X1034" t="s">
        <v>74</v>
      </c>
      <c r="Y1034" t="b">
        <v>0</v>
      </c>
      <c r="Z1034" t="b">
        <v>0</v>
      </c>
      <c r="AC1034" s="1"/>
      <c r="AF1034">
        <v>0</v>
      </c>
      <c r="AG1034">
        <v>45</v>
      </c>
      <c r="AH1034">
        <v>265</v>
      </c>
      <c r="AI1034" s="2">
        <f>Table__192.168.3.138DYLAgingReport[[#This Row],[NetAmount]]-Table__192.168.3.138DYLAgingReport[[#This Row],[Paid]]</f>
        <v>47413</v>
      </c>
    </row>
    <row r="1035" spans="1:35">
      <c r="A1035" t="s">
        <v>2396</v>
      </c>
      <c r="B1035" s="1">
        <v>41060</v>
      </c>
      <c r="C1035" s="1">
        <v>41105</v>
      </c>
      <c r="D1035" t="s">
        <v>569</v>
      </c>
      <c r="E1035">
        <v>17000</v>
      </c>
      <c r="F1035">
        <v>2720</v>
      </c>
      <c r="G1035">
        <v>0</v>
      </c>
      <c r="H1035">
        <v>0</v>
      </c>
      <c r="I1035">
        <v>221</v>
      </c>
      <c r="J1035">
        <v>19720</v>
      </c>
      <c r="K1035" t="s">
        <v>2397</v>
      </c>
      <c r="L1035" s="1">
        <v>41047</v>
      </c>
      <c r="N1035" t="s">
        <v>36</v>
      </c>
      <c r="O1035" t="s">
        <v>37</v>
      </c>
      <c r="P1035" t="s">
        <v>433</v>
      </c>
      <c r="Q1035" t="s">
        <v>39</v>
      </c>
      <c r="R1035" t="s">
        <v>40</v>
      </c>
      <c r="S1035">
        <v>0</v>
      </c>
      <c r="U1035" t="s">
        <v>41</v>
      </c>
      <c r="V1035" t="s">
        <v>42</v>
      </c>
      <c r="X1035" t="s">
        <v>74</v>
      </c>
      <c r="Y1035" t="b">
        <v>0</v>
      </c>
      <c r="Z1035" t="b">
        <v>0</v>
      </c>
      <c r="AC1035" s="1"/>
      <c r="AF1035">
        <v>0</v>
      </c>
      <c r="AG1035">
        <v>45</v>
      </c>
      <c r="AH1035">
        <v>266</v>
      </c>
      <c r="AI1035" s="2">
        <f>Table__192.168.3.138DYLAgingReport[[#This Row],[NetAmount]]-Table__192.168.3.138DYLAgingReport[[#This Row],[Paid]]</f>
        <v>19720</v>
      </c>
    </row>
    <row r="1036" spans="1:35">
      <c r="A1036" t="s">
        <v>2398</v>
      </c>
      <c r="B1036" s="1">
        <v>41060</v>
      </c>
      <c r="C1036" s="1">
        <v>41105</v>
      </c>
      <c r="D1036" t="s">
        <v>569</v>
      </c>
      <c r="E1036">
        <v>19000</v>
      </c>
      <c r="F1036">
        <v>3040</v>
      </c>
      <c r="G1036">
        <v>0</v>
      </c>
      <c r="H1036">
        <v>0</v>
      </c>
      <c r="I1036">
        <v>222</v>
      </c>
      <c r="J1036">
        <v>22040</v>
      </c>
      <c r="K1036" t="s">
        <v>2399</v>
      </c>
      <c r="L1036" s="1">
        <v>41046</v>
      </c>
      <c r="N1036" t="s">
        <v>36</v>
      </c>
      <c r="O1036" t="s">
        <v>37</v>
      </c>
      <c r="P1036" t="s">
        <v>433</v>
      </c>
      <c r="Q1036" t="s">
        <v>39</v>
      </c>
      <c r="R1036" t="s">
        <v>40</v>
      </c>
      <c r="S1036">
        <v>0</v>
      </c>
      <c r="U1036" t="s">
        <v>41</v>
      </c>
      <c r="V1036" t="s">
        <v>42</v>
      </c>
      <c r="X1036" t="s">
        <v>74</v>
      </c>
      <c r="Y1036" t="b">
        <v>0</v>
      </c>
      <c r="Z1036" t="b">
        <v>0</v>
      </c>
      <c r="AC1036" s="1"/>
      <c r="AF1036">
        <v>0</v>
      </c>
      <c r="AG1036">
        <v>45</v>
      </c>
      <c r="AH1036">
        <v>267</v>
      </c>
      <c r="AI1036" s="2">
        <f>Table__192.168.3.138DYLAgingReport[[#This Row],[NetAmount]]-Table__192.168.3.138DYLAgingReport[[#This Row],[Paid]]</f>
        <v>22040</v>
      </c>
    </row>
    <row r="1037" spans="1:35">
      <c r="A1037" t="s">
        <v>2400</v>
      </c>
      <c r="B1037" s="1">
        <v>41043</v>
      </c>
      <c r="C1037" s="1">
        <v>41088</v>
      </c>
      <c r="D1037" t="s">
        <v>569</v>
      </c>
      <c r="E1037">
        <v>55376</v>
      </c>
      <c r="F1037">
        <v>8860</v>
      </c>
      <c r="G1037">
        <v>0</v>
      </c>
      <c r="H1037">
        <v>0</v>
      </c>
      <c r="I1037">
        <v>229</v>
      </c>
      <c r="J1037">
        <v>64236</v>
      </c>
      <c r="K1037" t="s">
        <v>2401</v>
      </c>
      <c r="L1037" s="1">
        <v>41039</v>
      </c>
      <c r="N1037" t="s">
        <v>36</v>
      </c>
      <c r="O1037" t="s">
        <v>37</v>
      </c>
      <c r="P1037" t="s">
        <v>433</v>
      </c>
      <c r="Q1037" t="s">
        <v>39</v>
      </c>
      <c r="R1037" t="s">
        <v>40</v>
      </c>
      <c r="S1037">
        <v>0</v>
      </c>
      <c r="U1037" t="s">
        <v>41</v>
      </c>
      <c r="V1037" t="s">
        <v>42</v>
      </c>
      <c r="X1037" t="s">
        <v>74</v>
      </c>
      <c r="Y1037" t="b">
        <v>0</v>
      </c>
      <c r="Z1037" t="b">
        <v>0</v>
      </c>
      <c r="AC1037" s="1"/>
      <c r="AF1037">
        <v>0</v>
      </c>
      <c r="AG1037">
        <v>45</v>
      </c>
      <c r="AH1037">
        <v>274</v>
      </c>
      <c r="AI1037" s="2">
        <f>Table__192.168.3.138DYLAgingReport[[#This Row],[NetAmount]]-Table__192.168.3.138DYLAgingReport[[#This Row],[Paid]]</f>
        <v>64236</v>
      </c>
    </row>
    <row r="1038" spans="1:35">
      <c r="A1038" t="s">
        <v>2402</v>
      </c>
      <c r="B1038" s="1">
        <v>41057</v>
      </c>
      <c r="C1038" s="1">
        <v>41102</v>
      </c>
      <c r="D1038" t="s">
        <v>236</v>
      </c>
      <c r="E1038">
        <v>7483</v>
      </c>
      <c r="F1038">
        <v>0</v>
      </c>
      <c r="G1038">
        <v>0</v>
      </c>
      <c r="H1038">
        <v>0</v>
      </c>
      <c r="I1038">
        <v>211</v>
      </c>
      <c r="J1038">
        <v>7483</v>
      </c>
      <c r="K1038" t="s">
        <v>1017</v>
      </c>
      <c r="L1038" s="1">
        <v>41057</v>
      </c>
      <c r="N1038" t="s">
        <v>36</v>
      </c>
      <c r="O1038" t="s">
        <v>37</v>
      </c>
      <c r="P1038" t="s">
        <v>373</v>
      </c>
      <c r="Q1038" t="s">
        <v>39</v>
      </c>
      <c r="R1038" t="s">
        <v>40</v>
      </c>
      <c r="S1038">
        <v>0</v>
      </c>
      <c r="U1038" t="s">
        <v>41</v>
      </c>
      <c r="V1038" t="s">
        <v>42</v>
      </c>
      <c r="X1038" t="s">
        <v>74</v>
      </c>
      <c r="Y1038" t="b">
        <v>0</v>
      </c>
      <c r="Z1038" t="b">
        <v>0</v>
      </c>
      <c r="AC1038" s="1"/>
      <c r="AF1038">
        <v>0</v>
      </c>
      <c r="AG1038">
        <v>45</v>
      </c>
      <c r="AH1038">
        <v>256</v>
      </c>
      <c r="AI1038" s="2">
        <f>Table__192.168.3.138DYLAgingReport[[#This Row],[NetAmount]]-Table__192.168.3.138DYLAgingReport[[#This Row],[Paid]]</f>
        <v>7483</v>
      </c>
    </row>
    <row r="1039" spans="1:35">
      <c r="A1039" t="s">
        <v>2403</v>
      </c>
      <c r="B1039" s="1">
        <v>41059</v>
      </c>
      <c r="C1039" s="1">
        <v>41104</v>
      </c>
      <c r="D1039" t="s">
        <v>288</v>
      </c>
      <c r="E1039">
        <v>25002</v>
      </c>
      <c r="F1039">
        <v>4000</v>
      </c>
      <c r="G1039">
        <v>0</v>
      </c>
      <c r="H1039">
        <v>0</v>
      </c>
      <c r="I1039">
        <v>209</v>
      </c>
      <c r="J1039">
        <v>29002</v>
      </c>
      <c r="K1039" t="s">
        <v>1783</v>
      </c>
      <c r="L1039" s="1">
        <v>41059</v>
      </c>
      <c r="N1039" t="s">
        <v>36</v>
      </c>
      <c r="O1039" t="s">
        <v>37</v>
      </c>
      <c r="P1039" t="s">
        <v>425</v>
      </c>
      <c r="Q1039" t="s">
        <v>39</v>
      </c>
      <c r="R1039" t="s">
        <v>40</v>
      </c>
      <c r="S1039">
        <v>0</v>
      </c>
      <c r="U1039" t="s">
        <v>41</v>
      </c>
      <c r="V1039" t="s">
        <v>42</v>
      </c>
      <c r="X1039" t="s">
        <v>74</v>
      </c>
      <c r="Y1039" t="b">
        <v>0</v>
      </c>
      <c r="Z1039" t="b">
        <v>0</v>
      </c>
      <c r="AC1039" s="1"/>
      <c r="AF1039">
        <v>0</v>
      </c>
      <c r="AG1039">
        <v>45</v>
      </c>
      <c r="AH1039">
        <v>254</v>
      </c>
      <c r="AI1039" s="2">
        <f>Table__192.168.3.138DYLAgingReport[[#This Row],[NetAmount]]-Table__192.168.3.138DYLAgingReport[[#This Row],[Paid]]</f>
        <v>29002</v>
      </c>
    </row>
    <row r="1040" spans="1:35">
      <c r="A1040" t="s">
        <v>2404</v>
      </c>
      <c r="B1040" s="1">
        <v>41060</v>
      </c>
      <c r="C1040" s="1">
        <v>41105</v>
      </c>
      <c r="D1040" t="s">
        <v>268</v>
      </c>
      <c r="E1040">
        <v>6300</v>
      </c>
      <c r="F1040">
        <v>1008</v>
      </c>
      <c r="G1040">
        <v>0</v>
      </c>
      <c r="H1040">
        <v>0</v>
      </c>
      <c r="I1040">
        <v>213</v>
      </c>
      <c r="J1040">
        <v>7308</v>
      </c>
      <c r="K1040" t="s">
        <v>2306</v>
      </c>
      <c r="L1040" s="1">
        <v>41055</v>
      </c>
      <c r="N1040" t="s">
        <v>36</v>
      </c>
      <c r="O1040" t="s">
        <v>37</v>
      </c>
      <c r="P1040" t="s">
        <v>405</v>
      </c>
      <c r="Q1040" t="s">
        <v>39</v>
      </c>
      <c r="R1040" t="s">
        <v>40</v>
      </c>
      <c r="S1040">
        <v>0</v>
      </c>
      <c r="U1040" t="s">
        <v>41</v>
      </c>
      <c r="V1040" t="s">
        <v>42</v>
      </c>
      <c r="X1040" t="s">
        <v>74</v>
      </c>
      <c r="Y1040" t="b">
        <v>0</v>
      </c>
      <c r="Z1040" t="b">
        <v>0</v>
      </c>
      <c r="AB1040" t="s">
        <v>638</v>
      </c>
      <c r="AC1040" s="1">
        <v>41219</v>
      </c>
      <c r="AF1040">
        <v>0</v>
      </c>
      <c r="AG1040">
        <v>45</v>
      </c>
      <c r="AH1040">
        <v>258</v>
      </c>
      <c r="AI1040" s="2">
        <f>Table__192.168.3.138DYLAgingReport[[#This Row],[NetAmount]]-Table__192.168.3.138DYLAgingReport[[#This Row],[Paid]]</f>
        <v>7308</v>
      </c>
    </row>
    <row r="1041" spans="1:35">
      <c r="A1041" t="s">
        <v>2405</v>
      </c>
      <c r="B1041" s="1">
        <v>41060</v>
      </c>
      <c r="C1041" s="1">
        <v>41105</v>
      </c>
      <c r="D1041" t="s">
        <v>202</v>
      </c>
      <c r="E1041">
        <v>96183</v>
      </c>
      <c r="F1041">
        <v>15389</v>
      </c>
      <c r="G1041">
        <v>0</v>
      </c>
      <c r="H1041">
        <v>0</v>
      </c>
      <c r="I1041">
        <v>209</v>
      </c>
      <c r="J1041">
        <v>111572</v>
      </c>
      <c r="K1041" t="s">
        <v>2370</v>
      </c>
      <c r="L1041" s="1">
        <v>41059</v>
      </c>
      <c r="N1041" t="s">
        <v>36</v>
      </c>
      <c r="O1041" t="s">
        <v>37</v>
      </c>
      <c r="P1041" t="s">
        <v>339</v>
      </c>
      <c r="Q1041" t="s">
        <v>39</v>
      </c>
      <c r="R1041" t="s">
        <v>40</v>
      </c>
      <c r="S1041">
        <v>0</v>
      </c>
      <c r="U1041" t="s">
        <v>41</v>
      </c>
      <c r="V1041" t="s">
        <v>42</v>
      </c>
      <c r="X1041" t="s">
        <v>74</v>
      </c>
      <c r="Y1041" t="b">
        <v>0</v>
      </c>
      <c r="Z1041" t="b">
        <v>0</v>
      </c>
      <c r="AC1041" s="1"/>
      <c r="AF1041">
        <v>0</v>
      </c>
      <c r="AG1041">
        <v>45</v>
      </c>
      <c r="AH1041">
        <v>254</v>
      </c>
      <c r="AI1041" s="2">
        <f>Table__192.168.3.138DYLAgingReport[[#This Row],[NetAmount]]-Table__192.168.3.138DYLAgingReport[[#This Row],[Paid]]</f>
        <v>111572</v>
      </c>
    </row>
    <row r="1042" spans="1:35">
      <c r="A1042" t="s">
        <v>2406</v>
      </c>
      <c r="B1042" s="1">
        <v>41060</v>
      </c>
      <c r="C1042" s="1">
        <v>41105</v>
      </c>
      <c r="D1042" t="s">
        <v>194</v>
      </c>
      <c r="E1042">
        <v>12300</v>
      </c>
      <c r="F1042">
        <v>1968</v>
      </c>
      <c r="G1042">
        <v>0</v>
      </c>
      <c r="H1042">
        <v>0</v>
      </c>
      <c r="I1042">
        <v>208</v>
      </c>
      <c r="J1042">
        <v>14268</v>
      </c>
      <c r="K1042" t="s">
        <v>2407</v>
      </c>
      <c r="L1042" s="1">
        <v>41060</v>
      </c>
      <c r="M1042" t="s">
        <v>2408</v>
      </c>
      <c r="N1042" t="s">
        <v>36</v>
      </c>
      <c r="O1042" t="s">
        <v>37</v>
      </c>
      <c r="P1042" t="s">
        <v>331</v>
      </c>
      <c r="Q1042" t="s">
        <v>39</v>
      </c>
      <c r="R1042" t="s">
        <v>40</v>
      </c>
      <c r="S1042">
        <v>0</v>
      </c>
      <c r="U1042" t="s">
        <v>41</v>
      </c>
      <c r="V1042" t="s">
        <v>42</v>
      </c>
      <c r="W1042" t="s">
        <v>2297</v>
      </c>
      <c r="X1042" t="s">
        <v>74</v>
      </c>
      <c r="Y1042" t="b">
        <v>0</v>
      </c>
      <c r="Z1042" t="b">
        <v>0</v>
      </c>
      <c r="AA1042" t="b">
        <v>0</v>
      </c>
      <c r="AC1042" s="1"/>
      <c r="AF1042">
        <v>0</v>
      </c>
      <c r="AG1042">
        <v>45</v>
      </c>
      <c r="AH1042">
        <v>253</v>
      </c>
      <c r="AI1042" s="2">
        <f>Table__192.168.3.138DYLAgingReport[[#This Row],[NetAmount]]-Table__192.168.3.138DYLAgingReport[[#This Row],[Paid]]</f>
        <v>14268</v>
      </c>
    </row>
    <row r="1043" spans="1:35">
      <c r="A1043" t="s">
        <v>2409</v>
      </c>
      <c r="B1043" s="1">
        <v>41057</v>
      </c>
      <c r="C1043" s="1">
        <v>41102</v>
      </c>
      <c r="D1043" t="s">
        <v>208</v>
      </c>
      <c r="E1043">
        <v>390</v>
      </c>
      <c r="F1043">
        <v>62</v>
      </c>
      <c r="G1043">
        <v>0</v>
      </c>
      <c r="H1043">
        <v>0</v>
      </c>
      <c r="I1043">
        <v>211</v>
      </c>
      <c r="J1043">
        <v>452</v>
      </c>
      <c r="K1043" t="s">
        <v>2410</v>
      </c>
      <c r="L1043" s="1">
        <v>41057</v>
      </c>
      <c r="N1043" t="s">
        <v>36</v>
      </c>
      <c r="O1043" t="s">
        <v>37</v>
      </c>
      <c r="P1043" t="s">
        <v>345</v>
      </c>
      <c r="Q1043" t="s">
        <v>39</v>
      </c>
      <c r="R1043" t="s">
        <v>40</v>
      </c>
      <c r="S1043">
        <v>0</v>
      </c>
      <c r="U1043" t="s">
        <v>41</v>
      </c>
      <c r="V1043" t="s">
        <v>42</v>
      </c>
      <c r="X1043" t="s">
        <v>74</v>
      </c>
      <c r="Y1043" t="b">
        <v>0</v>
      </c>
      <c r="Z1043" t="b">
        <v>0</v>
      </c>
      <c r="AC1043" s="1"/>
      <c r="AF1043">
        <v>0</v>
      </c>
      <c r="AG1043">
        <v>45</v>
      </c>
      <c r="AH1043">
        <v>256</v>
      </c>
      <c r="AI1043" s="2">
        <f>Table__192.168.3.138DYLAgingReport[[#This Row],[NetAmount]]-Table__192.168.3.138DYLAgingReport[[#This Row],[Paid]]</f>
        <v>452</v>
      </c>
    </row>
    <row r="1044" spans="1:35">
      <c r="A1044" t="s">
        <v>2411</v>
      </c>
      <c r="B1044" s="1">
        <v>41057</v>
      </c>
      <c r="C1044" s="1">
        <v>41102</v>
      </c>
      <c r="D1044" t="s">
        <v>208</v>
      </c>
      <c r="E1044">
        <v>129389</v>
      </c>
      <c r="F1044">
        <v>20702</v>
      </c>
      <c r="G1044">
        <v>0</v>
      </c>
      <c r="H1044">
        <v>0</v>
      </c>
      <c r="I1044">
        <v>211</v>
      </c>
      <c r="J1044">
        <v>150091</v>
      </c>
      <c r="K1044" t="s">
        <v>2412</v>
      </c>
      <c r="L1044" s="1">
        <v>41057</v>
      </c>
      <c r="N1044" t="s">
        <v>36</v>
      </c>
      <c r="O1044" t="s">
        <v>37</v>
      </c>
      <c r="P1044" t="s">
        <v>345</v>
      </c>
      <c r="Q1044" t="s">
        <v>39</v>
      </c>
      <c r="R1044" t="s">
        <v>40</v>
      </c>
      <c r="S1044">
        <v>0</v>
      </c>
      <c r="U1044" t="s">
        <v>41</v>
      </c>
      <c r="V1044" t="s">
        <v>42</v>
      </c>
      <c r="X1044" t="s">
        <v>74</v>
      </c>
      <c r="Y1044" t="b">
        <v>0</v>
      </c>
      <c r="Z1044" t="b">
        <v>0</v>
      </c>
      <c r="AC1044" s="1"/>
      <c r="AF1044">
        <v>0</v>
      </c>
      <c r="AG1044">
        <v>45</v>
      </c>
      <c r="AH1044">
        <v>256</v>
      </c>
      <c r="AI1044" s="2">
        <f>Table__192.168.3.138DYLAgingReport[[#This Row],[NetAmount]]-Table__192.168.3.138DYLAgingReport[[#This Row],[Paid]]</f>
        <v>150091</v>
      </c>
    </row>
    <row r="1045" spans="1:35">
      <c r="A1045" t="s">
        <v>2413</v>
      </c>
      <c r="B1045" s="1">
        <v>41060</v>
      </c>
      <c r="C1045" s="1">
        <v>41105</v>
      </c>
      <c r="D1045" t="s">
        <v>208</v>
      </c>
      <c r="E1045">
        <v>349498</v>
      </c>
      <c r="F1045">
        <v>55920</v>
      </c>
      <c r="G1045">
        <v>0</v>
      </c>
      <c r="H1045">
        <v>0</v>
      </c>
      <c r="I1045">
        <v>220</v>
      </c>
      <c r="J1045">
        <v>405418</v>
      </c>
      <c r="K1045" t="s">
        <v>2414</v>
      </c>
      <c r="L1045" s="1">
        <v>41048</v>
      </c>
      <c r="N1045" t="s">
        <v>36</v>
      </c>
      <c r="O1045" t="s">
        <v>37</v>
      </c>
      <c r="P1045" t="s">
        <v>345</v>
      </c>
      <c r="Q1045" t="s">
        <v>39</v>
      </c>
      <c r="R1045" t="s">
        <v>40</v>
      </c>
      <c r="S1045">
        <v>0</v>
      </c>
      <c r="U1045" t="s">
        <v>41</v>
      </c>
      <c r="V1045" t="s">
        <v>42</v>
      </c>
      <c r="X1045" t="s">
        <v>74</v>
      </c>
      <c r="Y1045" t="b">
        <v>0</v>
      </c>
      <c r="Z1045" t="b">
        <v>0</v>
      </c>
      <c r="AC1045" s="1"/>
      <c r="AF1045">
        <v>0</v>
      </c>
      <c r="AG1045">
        <v>45</v>
      </c>
      <c r="AH1045">
        <v>265</v>
      </c>
      <c r="AI1045" s="2">
        <f>Table__192.168.3.138DYLAgingReport[[#This Row],[NetAmount]]-Table__192.168.3.138DYLAgingReport[[#This Row],[Paid]]</f>
        <v>405418</v>
      </c>
    </row>
    <row r="1046" spans="1:35">
      <c r="A1046" t="s">
        <v>2415</v>
      </c>
      <c r="B1046" s="1">
        <v>41059</v>
      </c>
      <c r="C1046" s="1">
        <v>41104</v>
      </c>
      <c r="D1046" t="s">
        <v>168</v>
      </c>
      <c r="E1046">
        <v>175800</v>
      </c>
      <c r="F1046">
        <v>28128</v>
      </c>
      <c r="G1046">
        <v>0</v>
      </c>
      <c r="H1046">
        <v>0</v>
      </c>
      <c r="I1046">
        <v>209</v>
      </c>
      <c r="J1046">
        <v>203928</v>
      </c>
      <c r="K1046" t="s">
        <v>2416</v>
      </c>
      <c r="L1046" s="1">
        <v>41059</v>
      </c>
      <c r="N1046" t="s">
        <v>36</v>
      </c>
      <c r="O1046" t="s">
        <v>37</v>
      </c>
      <c r="P1046" t="s">
        <v>305</v>
      </c>
      <c r="Q1046" t="s">
        <v>39</v>
      </c>
      <c r="R1046" t="s">
        <v>40</v>
      </c>
      <c r="S1046">
        <v>0</v>
      </c>
      <c r="U1046" t="s">
        <v>41</v>
      </c>
      <c r="V1046" t="s">
        <v>42</v>
      </c>
      <c r="X1046" t="s">
        <v>74</v>
      </c>
      <c r="Y1046" t="b">
        <v>0</v>
      </c>
      <c r="Z1046" t="b">
        <v>0</v>
      </c>
      <c r="AB1046" t="s">
        <v>961</v>
      </c>
      <c r="AC1046" s="1">
        <v>41291</v>
      </c>
      <c r="AD1046" t="s">
        <v>2417</v>
      </c>
      <c r="AE1046" t="s">
        <v>962</v>
      </c>
      <c r="AF1046">
        <v>203354</v>
      </c>
      <c r="AG1046">
        <v>45</v>
      </c>
      <c r="AH1046">
        <v>254</v>
      </c>
      <c r="AI1046" s="2">
        <f>Table__192.168.3.138DYLAgingReport[[#This Row],[NetAmount]]-Table__192.168.3.138DYLAgingReport[[#This Row],[Paid]]</f>
        <v>574</v>
      </c>
    </row>
    <row r="1047" spans="1:35">
      <c r="A1047" t="s">
        <v>2418</v>
      </c>
      <c r="B1047" s="1">
        <v>41044</v>
      </c>
      <c r="C1047" s="1">
        <v>41089</v>
      </c>
      <c r="D1047" t="s">
        <v>201</v>
      </c>
      <c r="E1047">
        <v>19500</v>
      </c>
      <c r="F1047">
        <v>3120</v>
      </c>
      <c r="G1047">
        <v>0</v>
      </c>
      <c r="H1047">
        <v>0</v>
      </c>
      <c r="I1047">
        <v>224</v>
      </c>
      <c r="J1047">
        <v>22620</v>
      </c>
      <c r="K1047" t="s">
        <v>2419</v>
      </c>
      <c r="L1047" s="1">
        <v>41044</v>
      </c>
      <c r="N1047" t="s">
        <v>36</v>
      </c>
      <c r="O1047" t="s">
        <v>37</v>
      </c>
      <c r="P1047" t="s">
        <v>338</v>
      </c>
      <c r="Q1047" t="s">
        <v>39</v>
      </c>
      <c r="R1047" t="s">
        <v>40</v>
      </c>
      <c r="S1047">
        <v>0</v>
      </c>
      <c r="U1047" t="s">
        <v>41</v>
      </c>
      <c r="V1047" t="s">
        <v>42</v>
      </c>
      <c r="X1047" t="s">
        <v>74</v>
      </c>
      <c r="Y1047" t="b">
        <v>0</v>
      </c>
      <c r="Z1047" t="b">
        <v>0</v>
      </c>
      <c r="AB1047" t="s">
        <v>485</v>
      </c>
      <c r="AC1047" s="1">
        <v>41236</v>
      </c>
      <c r="AF1047">
        <v>0</v>
      </c>
      <c r="AG1047">
        <v>45</v>
      </c>
      <c r="AH1047">
        <v>269</v>
      </c>
      <c r="AI1047" s="2">
        <f>Table__192.168.3.138DYLAgingReport[[#This Row],[NetAmount]]-Table__192.168.3.138DYLAgingReport[[#This Row],[Paid]]</f>
        <v>22620</v>
      </c>
    </row>
    <row r="1048" spans="1:35">
      <c r="A1048" t="s">
        <v>2420</v>
      </c>
      <c r="B1048" s="1">
        <v>41060</v>
      </c>
      <c r="C1048" s="1">
        <v>41105</v>
      </c>
      <c r="D1048" t="s">
        <v>201</v>
      </c>
      <c r="E1048">
        <v>8125</v>
      </c>
      <c r="F1048">
        <v>1300</v>
      </c>
      <c r="G1048">
        <v>0</v>
      </c>
      <c r="H1048">
        <v>0</v>
      </c>
      <c r="I1048">
        <v>211</v>
      </c>
      <c r="J1048">
        <v>9425</v>
      </c>
      <c r="K1048" t="s">
        <v>2421</v>
      </c>
      <c r="L1048" s="1">
        <v>41057</v>
      </c>
      <c r="N1048" t="s">
        <v>36</v>
      </c>
      <c r="O1048" t="s">
        <v>37</v>
      </c>
      <c r="P1048" t="s">
        <v>338</v>
      </c>
      <c r="Q1048" t="s">
        <v>39</v>
      </c>
      <c r="R1048" t="s">
        <v>40</v>
      </c>
      <c r="S1048">
        <v>0</v>
      </c>
      <c r="U1048" t="s">
        <v>41</v>
      </c>
      <c r="V1048" t="s">
        <v>42</v>
      </c>
      <c r="X1048" t="s">
        <v>74</v>
      </c>
      <c r="Y1048" t="b">
        <v>0</v>
      </c>
      <c r="Z1048" t="b">
        <v>0</v>
      </c>
      <c r="AB1048" t="s">
        <v>485</v>
      </c>
      <c r="AC1048" s="1">
        <v>41236</v>
      </c>
      <c r="AF1048">
        <v>0</v>
      </c>
      <c r="AG1048">
        <v>45</v>
      </c>
      <c r="AH1048">
        <v>256</v>
      </c>
      <c r="AI1048" s="2">
        <f>Table__192.168.3.138DYLAgingReport[[#This Row],[NetAmount]]-Table__192.168.3.138DYLAgingReport[[#This Row],[Paid]]</f>
        <v>9425</v>
      </c>
    </row>
    <row r="1049" spans="1:35">
      <c r="A1049" t="s">
        <v>2422</v>
      </c>
      <c r="B1049" s="1">
        <v>41060</v>
      </c>
      <c r="C1049" s="1">
        <v>41105</v>
      </c>
      <c r="D1049" t="s">
        <v>201</v>
      </c>
      <c r="E1049">
        <v>9750</v>
      </c>
      <c r="F1049">
        <v>1560</v>
      </c>
      <c r="G1049">
        <v>0</v>
      </c>
      <c r="H1049">
        <v>0</v>
      </c>
      <c r="I1049">
        <v>217</v>
      </c>
      <c r="J1049">
        <v>11310</v>
      </c>
      <c r="K1049" t="s">
        <v>2423</v>
      </c>
      <c r="L1049" s="1">
        <v>41051</v>
      </c>
      <c r="N1049" t="s">
        <v>36</v>
      </c>
      <c r="O1049" t="s">
        <v>37</v>
      </c>
      <c r="P1049" t="s">
        <v>338</v>
      </c>
      <c r="Q1049" t="s">
        <v>39</v>
      </c>
      <c r="R1049" t="s">
        <v>40</v>
      </c>
      <c r="S1049">
        <v>0</v>
      </c>
      <c r="U1049" t="s">
        <v>41</v>
      </c>
      <c r="V1049" t="s">
        <v>42</v>
      </c>
      <c r="X1049" t="s">
        <v>74</v>
      </c>
      <c r="Y1049" t="b">
        <v>0</v>
      </c>
      <c r="Z1049" t="b">
        <v>0</v>
      </c>
      <c r="AB1049" t="s">
        <v>485</v>
      </c>
      <c r="AC1049" s="1">
        <v>41236</v>
      </c>
      <c r="AF1049">
        <v>0</v>
      </c>
      <c r="AG1049">
        <v>45</v>
      </c>
      <c r="AH1049">
        <v>262</v>
      </c>
      <c r="AI1049" s="2">
        <f>Table__192.168.3.138DYLAgingReport[[#This Row],[NetAmount]]-Table__192.168.3.138DYLAgingReport[[#This Row],[Paid]]</f>
        <v>11310</v>
      </c>
    </row>
    <row r="1050" spans="1:35">
      <c r="A1050" t="s">
        <v>2424</v>
      </c>
      <c r="B1050" s="1">
        <v>41060</v>
      </c>
      <c r="C1050" s="1">
        <v>41105</v>
      </c>
      <c r="D1050" t="s">
        <v>208</v>
      </c>
      <c r="E1050">
        <v>175836</v>
      </c>
      <c r="F1050">
        <v>28135</v>
      </c>
      <c r="G1050">
        <v>0</v>
      </c>
      <c r="H1050">
        <v>0</v>
      </c>
      <c r="I1050">
        <v>230</v>
      </c>
      <c r="J1050">
        <v>203971</v>
      </c>
      <c r="K1050" t="s">
        <v>2425</v>
      </c>
      <c r="L1050" s="1">
        <v>41038</v>
      </c>
      <c r="N1050" t="s">
        <v>36</v>
      </c>
      <c r="O1050" t="s">
        <v>37</v>
      </c>
      <c r="P1050" t="s">
        <v>345</v>
      </c>
      <c r="Q1050" t="s">
        <v>39</v>
      </c>
      <c r="R1050" t="s">
        <v>40</v>
      </c>
      <c r="S1050">
        <v>0</v>
      </c>
      <c r="U1050" t="s">
        <v>41</v>
      </c>
      <c r="V1050" t="s">
        <v>42</v>
      </c>
      <c r="X1050" t="s">
        <v>74</v>
      </c>
      <c r="Y1050" t="b">
        <v>0</v>
      </c>
      <c r="Z1050" t="b">
        <v>0</v>
      </c>
      <c r="AC1050" s="1"/>
      <c r="AF1050">
        <v>0</v>
      </c>
      <c r="AG1050">
        <v>45</v>
      </c>
      <c r="AH1050">
        <v>275</v>
      </c>
      <c r="AI1050" s="2">
        <f>Table__192.168.3.138DYLAgingReport[[#This Row],[NetAmount]]-Table__192.168.3.138DYLAgingReport[[#This Row],[Paid]]</f>
        <v>203971</v>
      </c>
    </row>
    <row r="1051" spans="1:35">
      <c r="A1051" t="s">
        <v>2426</v>
      </c>
      <c r="B1051" s="1">
        <v>41060</v>
      </c>
      <c r="C1051" s="1">
        <v>41105</v>
      </c>
      <c r="D1051" t="s">
        <v>208</v>
      </c>
      <c r="E1051">
        <v>97489</v>
      </c>
      <c r="F1051">
        <v>15598</v>
      </c>
      <c r="G1051">
        <v>0</v>
      </c>
      <c r="H1051">
        <v>0</v>
      </c>
      <c r="I1051">
        <v>217</v>
      </c>
      <c r="J1051">
        <v>113087</v>
      </c>
      <c r="K1051" t="s">
        <v>2427</v>
      </c>
      <c r="L1051" s="1">
        <v>41051</v>
      </c>
      <c r="N1051" t="s">
        <v>36</v>
      </c>
      <c r="O1051" t="s">
        <v>37</v>
      </c>
      <c r="P1051" t="s">
        <v>345</v>
      </c>
      <c r="Q1051" t="s">
        <v>39</v>
      </c>
      <c r="R1051" t="s">
        <v>40</v>
      </c>
      <c r="S1051">
        <v>0</v>
      </c>
      <c r="U1051" t="s">
        <v>41</v>
      </c>
      <c r="V1051" t="s">
        <v>42</v>
      </c>
      <c r="X1051" t="s">
        <v>74</v>
      </c>
      <c r="Y1051" t="b">
        <v>0</v>
      </c>
      <c r="Z1051" t="b">
        <v>0</v>
      </c>
      <c r="AC1051" s="1"/>
      <c r="AF1051">
        <v>0</v>
      </c>
      <c r="AG1051">
        <v>45</v>
      </c>
      <c r="AH1051">
        <v>262</v>
      </c>
      <c r="AI1051" s="2">
        <f>Table__192.168.3.138DYLAgingReport[[#This Row],[NetAmount]]-Table__192.168.3.138DYLAgingReport[[#This Row],[Paid]]</f>
        <v>113087</v>
      </c>
    </row>
    <row r="1052" spans="1:35">
      <c r="A1052" t="s">
        <v>2428</v>
      </c>
      <c r="B1052" s="1">
        <v>41060</v>
      </c>
      <c r="C1052" s="1">
        <v>41105</v>
      </c>
      <c r="D1052" t="s">
        <v>187</v>
      </c>
      <c r="E1052">
        <v>134990</v>
      </c>
      <c r="F1052">
        <v>0</v>
      </c>
      <c r="G1052">
        <v>0</v>
      </c>
      <c r="H1052">
        <v>0</v>
      </c>
      <c r="I1052">
        <v>208</v>
      </c>
      <c r="J1052">
        <v>134990</v>
      </c>
      <c r="K1052" t="s">
        <v>1015</v>
      </c>
      <c r="L1052" s="1">
        <v>41060</v>
      </c>
      <c r="N1052" t="s">
        <v>36</v>
      </c>
      <c r="O1052" t="s">
        <v>37</v>
      </c>
      <c r="P1052" t="s">
        <v>324</v>
      </c>
      <c r="Q1052" t="s">
        <v>39</v>
      </c>
      <c r="R1052" t="s">
        <v>40</v>
      </c>
      <c r="S1052">
        <v>0</v>
      </c>
      <c r="U1052" t="s">
        <v>41</v>
      </c>
      <c r="V1052" t="s">
        <v>42</v>
      </c>
      <c r="X1052" t="s">
        <v>74</v>
      </c>
      <c r="Y1052" t="b">
        <v>0</v>
      </c>
      <c r="Z1052" t="b">
        <v>0</v>
      </c>
      <c r="AC1052" s="1"/>
      <c r="AF1052">
        <v>0</v>
      </c>
      <c r="AG1052">
        <v>45</v>
      </c>
      <c r="AH1052">
        <v>253</v>
      </c>
      <c r="AI1052" s="2">
        <f>Table__192.168.3.138DYLAgingReport[[#This Row],[NetAmount]]-Table__192.168.3.138DYLAgingReport[[#This Row],[Paid]]</f>
        <v>134990</v>
      </c>
    </row>
    <row r="1053" spans="1:35">
      <c r="A1053" t="s">
        <v>2429</v>
      </c>
      <c r="B1053" s="1">
        <v>41060</v>
      </c>
      <c r="C1053" s="1">
        <v>41105</v>
      </c>
      <c r="D1053" t="s">
        <v>268</v>
      </c>
      <c r="E1053">
        <v>143750</v>
      </c>
      <c r="F1053">
        <v>23000</v>
      </c>
      <c r="G1053">
        <v>0</v>
      </c>
      <c r="H1053">
        <v>0</v>
      </c>
      <c r="I1053">
        <v>210</v>
      </c>
      <c r="J1053">
        <v>166750</v>
      </c>
      <c r="K1053" t="s">
        <v>842</v>
      </c>
      <c r="L1053" s="1">
        <v>41058</v>
      </c>
      <c r="N1053" t="s">
        <v>36</v>
      </c>
      <c r="O1053" t="s">
        <v>37</v>
      </c>
      <c r="P1053" t="s">
        <v>405</v>
      </c>
      <c r="Q1053" t="s">
        <v>39</v>
      </c>
      <c r="R1053" t="s">
        <v>40</v>
      </c>
      <c r="S1053">
        <v>0</v>
      </c>
      <c r="U1053" t="s">
        <v>41</v>
      </c>
      <c r="V1053" t="s">
        <v>42</v>
      </c>
      <c r="X1053" t="s">
        <v>74</v>
      </c>
      <c r="Y1053" t="b">
        <v>0</v>
      </c>
      <c r="Z1053" t="b">
        <v>0</v>
      </c>
      <c r="AB1053" t="s">
        <v>638</v>
      </c>
      <c r="AC1053" s="1">
        <v>41219</v>
      </c>
      <c r="AF1053">
        <v>0</v>
      </c>
      <c r="AG1053">
        <v>45</v>
      </c>
      <c r="AH1053">
        <v>255</v>
      </c>
      <c r="AI1053" s="2">
        <f>Table__192.168.3.138DYLAgingReport[[#This Row],[NetAmount]]-Table__192.168.3.138DYLAgingReport[[#This Row],[Paid]]</f>
        <v>166750</v>
      </c>
    </row>
    <row r="1054" spans="1:35">
      <c r="A1054" t="s">
        <v>2430</v>
      </c>
      <c r="B1054" s="1">
        <v>41060</v>
      </c>
      <c r="C1054" s="1">
        <v>41105</v>
      </c>
      <c r="D1054" t="s">
        <v>268</v>
      </c>
      <c r="E1054">
        <v>22800</v>
      </c>
      <c r="F1054">
        <v>3648</v>
      </c>
      <c r="G1054">
        <v>0</v>
      </c>
      <c r="H1054">
        <v>0</v>
      </c>
      <c r="I1054">
        <v>210</v>
      </c>
      <c r="J1054">
        <v>26448</v>
      </c>
      <c r="K1054" t="s">
        <v>2431</v>
      </c>
      <c r="L1054" s="1">
        <v>41058</v>
      </c>
      <c r="N1054" t="s">
        <v>36</v>
      </c>
      <c r="O1054" t="s">
        <v>37</v>
      </c>
      <c r="P1054" t="s">
        <v>405</v>
      </c>
      <c r="Q1054" t="s">
        <v>39</v>
      </c>
      <c r="R1054" t="s">
        <v>40</v>
      </c>
      <c r="S1054">
        <v>0</v>
      </c>
      <c r="U1054" t="s">
        <v>41</v>
      </c>
      <c r="V1054" t="s">
        <v>42</v>
      </c>
      <c r="X1054" t="s">
        <v>74</v>
      </c>
      <c r="Y1054" t="b">
        <v>0</v>
      </c>
      <c r="Z1054" t="b">
        <v>0</v>
      </c>
      <c r="AB1054" t="s">
        <v>638</v>
      </c>
      <c r="AC1054" s="1">
        <v>41219</v>
      </c>
      <c r="AF1054">
        <v>0</v>
      </c>
      <c r="AG1054">
        <v>45</v>
      </c>
      <c r="AH1054">
        <v>255</v>
      </c>
      <c r="AI1054" s="2">
        <f>Table__192.168.3.138DYLAgingReport[[#This Row],[NetAmount]]-Table__192.168.3.138DYLAgingReport[[#This Row],[Paid]]</f>
        <v>26448</v>
      </c>
    </row>
    <row r="1055" spans="1:35">
      <c r="A1055" t="s">
        <v>2432</v>
      </c>
      <c r="B1055" s="1">
        <v>41060</v>
      </c>
      <c r="C1055" s="1">
        <v>41105</v>
      </c>
      <c r="D1055" t="s">
        <v>288</v>
      </c>
      <c r="E1055">
        <v>11860</v>
      </c>
      <c r="F1055">
        <v>1898</v>
      </c>
      <c r="G1055">
        <v>0</v>
      </c>
      <c r="H1055">
        <v>0</v>
      </c>
      <c r="I1055">
        <v>213</v>
      </c>
      <c r="J1055">
        <v>13758</v>
      </c>
      <c r="K1055" t="s">
        <v>2433</v>
      </c>
      <c r="L1055" s="1">
        <v>41055</v>
      </c>
      <c r="N1055" t="s">
        <v>36</v>
      </c>
      <c r="O1055" t="s">
        <v>37</v>
      </c>
      <c r="P1055" t="s">
        <v>425</v>
      </c>
      <c r="Q1055" t="s">
        <v>39</v>
      </c>
      <c r="R1055" t="s">
        <v>40</v>
      </c>
      <c r="S1055">
        <v>0</v>
      </c>
      <c r="U1055" t="s">
        <v>41</v>
      </c>
      <c r="V1055" t="s">
        <v>42</v>
      </c>
      <c r="X1055" t="s">
        <v>74</v>
      </c>
      <c r="Y1055" t="b">
        <v>0</v>
      </c>
      <c r="Z1055" t="b">
        <v>0</v>
      </c>
      <c r="AC1055" s="1"/>
      <c r="AF1055">
        <v>0</v>
      </c>
      <c r="AG1055">
        <v>45</v>
      </c>
      <c r="AH1055">
        <v>258</v>
      </c>
      <c r="AI1055" s="2">
        <f>Table__192.168.3.138DYLAgingReport[[#This Row],[NetAmount]]-Table__192.168.3.138DYLAgingReport[[#This Row],[Paid]]</f>
        <v>13758</v>
      </c>
    </row>
    <row r="1056" spans="1:35">
      <c r="A1056" t="s">
        <v>2434</v>
      </c>
      <c r="B1056" s="1">
        <v>41060</v>
      </c>
      <c r="C1056" s="1">
        <v>41105</v>
      </c>
      <c r="D1056" t="s">
        <v>288</v>
      </c>
      <c r="E1056">
        <v>30060</v>
      </c>
      <c r="F1056">
        <v>4810</v>
      </c>
      <c r="G1056">
        <v>0</v>
      </c>
      <c r="H1056">
        <v>0</v>
      </c>
      <c r="I1056">
        <v>208</v>
      </c>
      <c r="J1056">
        <v>34870</v>
      </c>
      <c r="K1056" t="s">
        <v>2435</v>
      </c>
      <c r="L1056" s="1">
        <v>41060</v>
      </c>
      <c r="N1056" t="s">
        <v>36</v>
      </c>
      <c r="O1056" t="s">
        <v>37</v>
      </c>
      <c r="P1056" t="s">
        <v>425</v>
      </c>
      <c r="Q1056" t="s">
        <v>39</v>
      </c>
      <c r="R1056" t="s">
        <v>40</v>
      </c>
      <c r="S1056">
        <v>0</v>
      </c>
      <c r="U1056" t="s">
        <v>41</v>
      </c>
      <c r="V1056" t="s">
        <v>42</v>
      </c>
      <c r="X1056" t="s">
        <v>74</v>
      </c>
      <c r="Y1056" t="b">
        <v>0</v>
      </c>
      <c r="Z1056" t="b">
        <v>0</v>
      </c>
      <c r="AC1056" s="1"/>
      <c r="AF1056">
        <v>0</v>
      </c>
      <c r="AG1056">
        <v>45</v>
      </c>
      <c r="AH1056">
        <v>253</v>
      </c>
      <c r="AI1056" s="2">
        <f>Table__192.168.3.138DYLAgingReport[[#This Row],[NetAmount]]-Table__192.168.3.138DYLAgingReport[[#This Row],[Paid]]</f>
        <v>34870</v>
      </c>
    </row>
    <row r="1057" spans="1:35">
      <c r="A1057" t="s">
        <v>2436</v>
      </c>
      <c r="B1057" s="1">
        <v>41060</v>
      </c>
      <c r="C1057" s="1">
        <v>41105</v>
      </c>
      <c r="D1057" t="s">
        <v>288</v>
      </c>
      <c r="E1057">
        <v>7250</v>
      </c>
      <c r="F1057">
        <v>1160</v>
      </c>
      <c r="G1057">
        <v>0</v>
      </c>
      <c r="H1057">
        <v>0</v>
      </c>
      <c r="I1057">
        <v>211</v>
      </c>
      <c r="J1057">
        <v>8410</v>
      </c>
      <c r="K1057" t="s">
        <v>2437</v>
      </c>
      <c r="L1057" s="1">
        <v>41057</v>
      </c>
      <c r="N1057" t="s">
        <v>36</v>
      </c>
      <c r="O1057" t="s">
        <v>37</v>
      </c>
      <c r="P1057" t="s">
        <v>425</v>
      </c>
      <c r="Q1057" t="s">
        <v>39</v>
      </c>
      <c r="R1057" t="s">
        <v>40</v>
      </c>
      <c r="S1057">
        <v>0</v>
      </c>
      <c r="U1057" t="s">
        <v>41</v>
      </c>
      <c r="V1057" t="s">
        <v>42</v>
      </c>
      <c r="X1057" t="s">
        <v>74</v>
      </c>
      <c r="Y1057" t="b">
        <v>0</v>
      </c>
      <c r="Z1057" t="b">
        <v>0</v>
      </c>
      <c r="AC1057" s="1"/>
      <c r="AF1057">
        <v>0</v>
      </c>
      <c r="AG1057">
        <v>45</v>
      </c>
      <c r="AH1057">
        <v>256</v>
      </c>
      <c r="AI1057" s="2">
        <f>Table__192.168.3.138DYLAgingReport[[#This Row],[NetAmount]]-Table__192.168.3.138DYLAgingReport[[#This Row],[Paid]]</f>
        <v>8410</v>
      </c>
    </row>
    <row r="1058" spans="1:35">
      <c r="A1058" t="s">
        <v>2438</v>
      </c>
      <c r="B1058" s="1">
        <v>41060</v>
      </c>
      <c r="C1058" s="1">
        <v>41105</v>
      </c>
      <c r="D1058" t="s">
        <v>257</v>
      </c>
      <c r="E1058">
        <v>47775</v>
      </c>
      <c r="F1058">
        <v>7644</v>
      </c>
      <c r="G1058">
        <v>0</v>
      </c>
      <c r="H1058">
        <v>0</v>
      </c>
      <c r="I1058">
        <v>218</v>
      </c>
      <c r="J1058">
        <v>55419</v>
      </c>
      <c r="K1058" t="s">
        <v>2439</v>
      </c>
      <c r="L1058" s="1">
        <v>41050</v>
      </c>
      <c r="N1058" t="s">
        <v>36</v>
      </c>
      <c r="O1058" t="s">
        <v>37</v>
      </c>
      <c r="P1058" t="s">
        <v>394</v>
      </c>
      <c r="Q1058" t="s">
        <v>39</v>
      </c>
      <c r="R1058" t="s">
        <v>40</v>
      </c>
      <c r="S1058">
        <v>0</v>
      </c>
      <c r="U1058" t="s">
        <v>41</v>
      </c>
      <c r="V1058" t="s">
        <v>42</v>
      </c>
      <c r="X1058" t="s">
        <v>74</v>
      </c>
      <c r="Y1058" t="b">
        <v>0</v>
      </c>
      <c r="Z1058" t="b">
        <v>0</v>
      </c>
      <c r="AC1058" s="1"/>
      <c r="AF1058">
        <v>0</v>
      </c>
      <c r="AG1058">
        <v>45</v>
      </c>
      <c r="AH1058">
        <v>263</v>
      </c>
      <c r="AI1058" s="2">
        <f>Table__192.168.3.138DYLAgingReport[[#This Row],[NetAmount]]-Table__192.168.3.138DYLAgingReport[[#This Row],[Paid]]</f>
        <v>55419</v>
      </c>
    </row>
    <row r="1059" spans="1:35">
      <c r="A1059" t="s">
        <v>2440</v>
      </c>
      <c r="B1059" s="1">
        <v>41060</v>
      </c>
      <c r="C1059" s="1">
        <v>41105</v>
      </c>
      <c r="D1059" t="s">
        <v>184</v>
      </c>
      <c r="E1059">
        <v>81023</v>
      </c>
      <c r="F1059">
        <v>12963</v>
      </c>
      <c r="G1059">
        <v>0</v>
      </c>
      <c r="H1059">
        <v>0</v>
      </c>
      <c r="I1059">
        <v>210</v>
      </c>
      <c r="J1059">
        <v>93986</v>
      </c>
      <c r="K1059" t="s">
        <v>1011</v>
      </c>
      <c r="L1059" s="1">
        <v>41058</v>
      </c>
      <c r="M1059" t="s">
        <v>2441</v>
      </c>
      <c r="N1059" t="s">
        <v>36</v>
      </c>
      <c r="O1059" t="s">
        <v>37</v>
      </c>
      <c r="P1059" t="s">
        <v>321</v>
      </c>
      <c r="Q1059" t="s">
        <v>39</v>
      </c>
      <c r="R1059" t="s">
        <v>40</v>
      </c>
      <c r="S1059">
        <v>0</v>
      </c>
      <c r="U1059" t="s">
        <v>41</v>
      </c>
      <c r="V1059" t="s">
        <v>42</v>
      </c>
      <c r="W1059" t="s">
        <v>1013</v>
      </c>
      <c r="X1059" t="s">
        <v>74</v>
      </c>
      <c r="Y1059" t="b">
        <v>0</v>
      </c>
      <c r="Z1059" t="b">
        <v>0</v>
      </c>
      <c r="AA1059" t="b">
        <v>0</v>
      </c>
      <c r="AC1059" s="1"/>
      <c r="AF1059">
        <v>0</v>
      </c>
      <c r="AG1059">
        <v>45</v>
      </c>
      <c r="AH1059">
        <v>255</v>
      </c>
      <c r="AI1059" s="2">
        <f>Table__192.168.3.138DYLAgingReport[[#This Row],[NetAmount]]-Table__192.168.3.138DYLAgingReport[[#This Row],[Paid]]</f>
        <v>93986</v>
      </c>
    </row>
    <row r="1060" spans="1:35">
      <c r="A1060" t="s">
        <v>2442</v>
      </c>
      <c r="B1060" s="1">
        <v>41060</v>
      </c>
      <c r="C1060" s="1">
        <v>41105</v>
      </c>
      <c r="D1060" t="s">
        <v>569</v>
      </c>
      <c r="E1060">
        <v>38873</v>
      </c>
      <c r="F1060">
        <v>6220</v>
      </c>
      <c r="G1060">
        <v>0</v>
      </c>
      <c r="H1060">
        <v>0</v>
      </c>
      <c r="I1060">
        <v>216</v>
      </c>
      <c r="J1060">
        <v>45093</v>
      </c>
      <c r="K1060" t="s">
        <v>2443</v>
      </c>
      <c r="L1060" s="1">
        <v>41052</v>
      </c>
      <c r="N1060" t="s">
        <v>36</v>
      </c>
      <c r="O1060" t="s">
        <v>37</v>
      </c>
      <c r="P1060" t="s">
        <v>433</v>
      </c>
      <c r="Q1060" t="s">
        <v>39</v>
      </c>
      <c r="R1060" t="s">
        <v>40</v>
      </c>
      <c r="S1060">
        <v>0</v>
      </c>
      <c r="U1060" t="s">
        <v>41</v>
      </c>
      <c r="V1060" t="s">
        <v>42</v>
      </c>
      <c r="X1060" t="s">
        <v>74</v>
      </c>
      <c r="Y1060" t="b">
        <v>0</v>
      </c>
      <c r="Z1060" t="b">
        <v>0</v>
      </c>
      <c r="AC1060" s="1"/>
      <c r="AF1060">
        <v>0</v>
      </c>
      <c r="AG1060">
        <v>45</v>
      </c>
      <c r="AH1060">
        <v>261</v>
      </c>
      <c r="AI1060" s="2">
        <f>Table__192.168.3.138DYLAgingReport[[#This Row],[NetAmount]]-Table__192.168.3.138DYLAgingReport[[#This Row],[Paid]]</f>
        <v>45093</v>
      </c>
    </row>
    <row r="1061" spans="1:35">
      <c r="A1061" t="s">
        <v>2444</v>
      </c>
      <c r="B1061" s="1">
        <v>41060</v>
      </c>
      <c r="C1061" s="1">
        <v>41105</v>
      </c>
      <c r="D1061" t="s">
        <v>569</v>
      </c>
      <c r="E1061">
        <v>34250</v>
      </c>
      <c r="F1061">
        <v>5480</v>
      </c>
      <c r="G1061">
        <v>0</v>
      </c>
      <c r="H1061">
        <v>0</v>
      </c>
      <c r="I1061">
        <v>229</v>
      </c>
      <c r="J1061">
        <v>39730</v>
      </c>
      <c r="K1061" t="s">
        <v>2445</v>
      </c>
      <c r="L1061" s="1">
        <v>41039</v>
      </c>
      <c r="N1061" t="s">
        <v>36</v>
      </c>
      <c r="O1061" t="s">
        <v>37</v>
      </c>
      <c r="P1061" t="s">
        <v>433</v>
      </c>
      <c r="Q1061" t="s">
        <v>39</v>
      </c>
      <c r="R1061" t="s">
        <v>40</v>
      </c>
      <c r="S1061">
        <v>0</v>
      </c>
      <c r="U1061" t="s">
        <v>41</v>
      </c>
      <c r="V1061" t="s">
        <v>42</v>
      </c>
      <c r="X1061" t="s">
        <v>74</v>
      </c>
      <c r="Y1061" t="b">
        <v>0</v>
      </c>
      <c r="Z1061" t="b">
        <v>0</v>
      </c>
      <c r="AC1061" s="1"/>
      <c r="AF1061">
        <v>0</v>
      </c>
      <c r="AG1061">
        <v>45</v>
      </c>
      <c r="AH1061">
        <v>274</v>
      </c>
      <c r="AI1061" s="2">
        <f>Table__192.168.3.138DYLAgingReport[[#This Row],[NetAmount]]-Table__192.168.3.138DYLAgingReport[[#This Row],[Paid]]</f>
        <v>39730</v>
      </c>
    </row>
    <row r="1062" spans="1:35">
      <c r="A1062" t="s">
        <v>2446</v>
      </c>
      <c r="B1062" s="1">
        <v>41060</v>
      </c>
      <c r="C1062" s="1">
        <v>41105</v>
      </c>
      <c r="D1062" t="s">
        <v>569</v>
      </c>
      <c r="E1062">
        <v>45875</v>
      </c>
      <c r="F1062">
        <v>7340</v>
      </c>
      <c r="G1062">
        <v>0</v>
      </c>
      <c r="H1062">
        <v>0</v>
      </c>
      <c r="I1062">
        <v>229</v>
      </c>
      <c r="J1062">
        <v>53215</v>
      </c>
      <c r="K1062" t="s">
        <v>2447</v>
      </c>
      <c r="L1062" s="1">
        <v>41039</v>
      </c>
      <c r="N1062" t="s">
        <v>36</v>
      </c>
      <c r="O1062" t="s">
        <v>37</v>
      </c>
      <c r="P1062" t="s">
        <v>433</v>
      </c>
      <c r="Q1062" t="s">
        <v>39</v>
      </c>
      <c r="R1062" t="s">
        <v>40</v>
      </c>
      <c r="S1062">
        <v>0</v>
      </c>
      <c r="U1062" t="s">
        <v>41</v>
      </c>
      <c r="V1062" t="s">
        <v>42</v>
      </c>
      <c r="X1062" t="s">
        <v>74</v>
      </c>
      <c r="Y1062" t="b">
        <v>0</v>
      </c>
      <c r="Z1062" t="b">
        <v>0</v>
      </c>
      <c r="AC1062" s="1"/>
      <c r="AF1062">
        <v>0</v>
      </c>
      <c r="AG1062">
        <v>45</v>
      </c>
      <c r="AH1062">
        <v>274</v>
      </c>
      <c r="AI1062" s="2">
        <f>Table__192.168.3.138DYLAgingReport[[#This Row],[NetAmount]]-Table__192.168.3.138DYLAgingReport[[#This Row],[Paid]]</f>
        <v>53215</v>
      </c>
    </row>
    <row r="1063" spans="1:35">
      <c r="A1063" t="s">
        <v>2448</v>
      </c>
      <c r="B1063" s="1">
        <v>41060</v>
      </c>
      <c r="C1063" s="1">
        <v>41105</v>
      </c>
      <c r="D1063" t="s">
        <v>238</v>
      </c>
      <c r="E1063">
        <v>105000</v>
      </c>
      <c r="F1063">
        <v>16800</v>
      </c>
      <c r="G1063">
        <v>0</v>
      </c>
      <c r="H1063">
        <v>0</v>
      </c>
      <c r="I1063">
        <v>208</v>
      </c>
      <c r="J1063">
        <v>121800</v>
      </c>
      <c r="K1063" t="s">
        <v>2449</v>
      </c>
      <c r="L1063" s="1">
        <v>41060</v>
      </c>
      <c r="N1063" t="s">
        <v>36</v>
      </c>
      <c r="O1063" t="s">
        <v>37</v>
      </c>
      <c r="P1063" t="s">
        <v>375</v>
      </c>
      <c r="Q1063" t="s">
        <v>39</v>
      </c>
      <c r="R1063" t="s">
        <v>40</v>
      </c>
      <c r="S1063">
        <v>0</v>
      </c>
      <c r="U1063" t="s">
        <v>41</v>
      </c>
      <c r="V1063" t="s">
        <v>42</v>
      </c>
      <c r="X1063" t="s">
        <v>74</v>
      </c>
      <c r="Y1063" t="b">
        <v>0</v>
      </c>
      <c r="Z1063" t="b">
        <v>0</v>
      </c>
      <c r="AB1063" t="s">
        <v>721</v>
      </c>
      <c r="AC1063" s="1">
        <v>41191</v>
      </c>
      <c r="AD1063" t="s">
        <v>2450</v>
      </c>
      <c r="AE1063" t="s">
        <v>722</v>
      </c>
      <c r="AF1063">
        <v>312</v>
      </c>
      <c r="AG1063">
        <v>45</v>
      </c>
      <c r="AH1063">
        <v>253</v>
      </c>
      <c r="AI1063" s="2">
        <f>Table__192.168.3.138DYLAgingReport[[#This Row],[NetAmount]]-Table__192.168.3.138DYLAgingReport[[#This Row],[Paid]]</f>
        <v>121488</v>
      </c>
    </row>
    <row r="1064" spans="1:35">
      <c r="A1064" t="s">
        <v>2451</v>
      </c>
      <c r="B1064" s="1">
        <v>41060</v>
      </c>
      <c r="C1064" s="1">
        <v>41105</v>
      </c>
      <c r="D1064" t="s">
        <v>238</v>
      </c>
      <c r="E1064">
        <v>106000</v>
      </c>
      <c r="F1064">
        <v>16960</v>
      </c>
      <c r="G1064">
        <v>0</v>
      </c>
      <c r="H1064">
        <v>0</v>
      </c>
      <c r="I1064">
        <v>209</v>
      </c>
      <c r="J1064">
        <v>122960</v>
      </c>
      <c r="K1064" t="s">
        <v>2452</v>
      </c>
      <c r="L1064" s="1">
        <v>41059</v>
      </c>
      <c r="N1064" t="s">
        <v>36</v>
      </c>
      <c r="O1064" t="s">
        <v>37</v>
      </c>
      <c r="P1064" t="s">
        <v>375</v>
      </c>
      <c r="Q1064" t="s">
        <v>39</v>
      </c>
      <c r="R1064" t="s">
        <v>40</v>
      </c>
      <c r="S1064">
        <v>0</v>
      </c>
      <c r="U1064" t="s">
        <v>41</v>
      </c>
      <c r="V1064" t="s">
        <v>42</v>
      </c>
      <c r="X1064" t="s">
        <v>74</v>
      </c>
      <c r="Y1064" t="b">
        <v>0</v>
      </c>
      <c r="Z1064" t="b">
        <v>0</v>
      </c>
      <c r="AB1064" t="s">
        <v>721</v>
      </c>
      <c r="AC1064" s="1">
        <v>41191</v>
      </c>
      <c r="AE1064" t="s">
        <v>722</v>
      </c>
      <c r="AF1064">
        <v>0</v>
      </c>
      <c r="AG1064">
        <v>45</v>
      </c>
      <c r="AH1064">
        <v>254</v>
      </c>
      <c r="AI1064" s="2">
        <f>Table__192.168.3.138DYLAgingReport[[#This Row],[NetAmount]]-Table__192.168.3.138DYLAgingReport[[#This Row],[Paid]]</f>
        <v>122960</v>
      </c>
    </row>
    <row r="1065" spans="1:35">
      <c r="A1065" t="s">
        <v>92</v>
      </c>
      <c r="B1065" s="1">
        <v>41060</v>
      </c>
      <c r="C1065" s="1">
        <v>41105</v>
      </c>
      <c r="D1065" t="s">
        <v>35</v>
      </c>
      <c r="E1065">
        <v>280000</v>
      </c>
      <c r="F1065">
        <v>44800</v>
      </c>
      <c r="G1065">
        <v>0</v>
      </c>
      <c r="H1065">
        <v>0</v>
      </c>
      <c r="I1065">
        <v>210</v>
      </c>
      <c r="J1065">
        <v>324800</v>
      </c>
      <c r="K1065" t="s">
        <v>93</v>
      </c>
      <c r="L1065" s="1">
        <v>41058</v>
      </c>
      <c r="N1065" t="s">
        <v>36</v>
      </c>
      <c r="O1065" t="s">
        <v>37</v>
      </c>
      <c r="P1065" t="s">
        <v>38</v>
      </c>
      <c r="Q1065" t="s">
        <v>39</v>
      </c>
      <c r="R1065" t="s">
        <v>40</v>
      </c>
      <c r="S1065">
        <v>0</v>
      </c>
      <c r="U1065" t="s">
        <v>41</v>
      </c>
      <c r="V1065" t="s">
        <v>42</v>
      </c>
      <c r="X1065" t="s">
        <v>74</v>
      </c>
      <c r="Y1065" t="b">
        <v>0</v>
      </c>
      <c r="Z1065" t="b">
        <v>0</v>
      </c>
      <c r="AB1065" t="s">
        <v>89</v>
      </c>
      <c r="AC1065" s="1">
        <v>41244</v>
      </c>
      <c r="AD1065" t="s">
        <v>5356</v>
      </c>
      <c r="AE1065" t="s">
        <v>90</v>
      </c>
      <c r="AF1065">
        <v>164304</v>
      </c>
      <c r="AG1065">
        <v>45</v>
      </c>
      <c r="AH1065">
        <v>255</v>
      </c>
      <c r="AI1065" s="2">
        <f>Table__192.168.3.138DYLAgingReport[[#This Row],[NetAmount]]-Table__192.168.3.138DYLAgingReport[[#This Row],[Paid]]</f>
        <v>160496</v>
      </c>
    </row>
    <row r="1066" spans="1:35">
      <c r="A1066" t="s">
        <v>2453</v>
      </c>
      <c r="B1066" s="1">
        <v>41047</v>
      </c>
      <c r="C1066" s="1">
        <v>41092</v>
      </c>
      <c r="D1066" t="s">
        <v>211</v>
      </c>
      <c r="E1066">
        <v>57822</v>
      </c>
      <c r="F1066">
        <v>0</v>
      </c>
      <c r="G1066">
        <v>0</v>
      </c>
      <c r="H1066">
        <v>0</v>
      </c>
      <c r="I1066">
        <v>218</v>
      </c>
      <c r="J1066">
        <v>57822</v>
      </c>
      <c r="K1066" t="s">
        <v>2454</v>
      </c>
      <c r="L1066" s="1">
        <v>41050</v>
      </c>
      <c r="N1066" t="s">
        <v>36</v>
      </c>
      <c r="O1066" t="s">
        <v>37</v>
      </c>
      <c r="P1066" t="s">
        <v>348</v>
      </c>
      <c r="Q1066" t="s">
        <v>39</v>
      </c>
      <c r="R1066" t="s">
        <v>40</v>
      </c>
      <c r="S1066">
        <v>0</v>
      </c>
      <c r="U1066" t="s">
        <v>41</v>
      </c>
      <c r="V1066" t="s">
        <v>42</v>
      </c>
      <c r="X1066" t="s">
        <v>74</v>
      </c>
      <c r="Y1066" t="b">
        <v>0</v>
      </c>
      <c r="Z1066" t="b">
        <v>0</v>
      </c>
      <c r="AC1066" s="1"/>
      <c r="AF1066">
        <v>0</v>
      </c>
      <c r="AG1066">
        <v>45</v>
      </c>
      <c r="AH1066">
        <v>263</v>
      </c>
      <c r="AI1066" s="2">
        <f>Table__192.168.3.138DYLAgingReport[[#This Row],[NetAmount]]-Table__192.168.3.138DYLAgingReport[[#This Row],[Paid]]</f>
        <v>57822</v>
      </c>
    </row>
    <row r="1067" spans="1:35">
      <c r="A1067" t="s">
        <v>2455</v>
      </c>
      <c r="B1067" s="1">
        <v>41060</v>
      </c>
      <c r="C1067" s="1">
        <v>41105</v>
      </c>
      <c r="D1067" t="s">
        <v>202</v>
      </c>
      <c r="E1067">
        <v>7446</v>
      </c>
      <c r="F1067">
        <v>1191</v>
      </c>
      <c r="G1067">
        <v>0</v>
      </c>
      <c r="H1067">
        <v>0</v>
      </c>
      <c r="I1067">
        <v>241</v>
      </c>
      <c r="J1067">
        <v>8637</v>
      </c>
      <c r="K1067" t="s">
        <v>2456</v>
      </c>
      <c r="L1067" s="1">
        <v>41027</v>
      </c>
      <c r="N1067" t="s">
        <v>36</v>
      </c>
      <c r="O1067" t="s">
        <v>37</v>
      </c>
      <c r="P1067" t="s">
        <v>339</v>
      </c>
      <c r="Q1067" t="s">
        <v>39</v>
      </c>
      <c r="R1067" t="s">
        <v>40</v>
      </c>
      <c r="S1067">
        <v>0</v>
      </c>
      <c r="U1067" t="s">
        <v>41</v>
      </c>
      <c r="V1067" t="s">
        <v>42</v>
      </c>
      <c r="X1067" t="s">
        <v>74</v>
      </c>
      <c r="Y1067" t="b">
        <v>0</v>
      </c>
      <c r="Z1067" t="b">
        <v>0</v>
      </c>
      <c r="AC1067" s="1"/>
      <c r="AF1067">
        <v>0</v>
      </c>
      <c r="AG1067">
        <v>45</v>
      </c>
      <c r="AH1067">
        <v>286</v>
      </c>
      <c r="AI1067" s="2">
        <f>Table__192.168.3.138DYLAgingReport[[#This Row],[NetAmount]]-Table__192.168.3.138DYLAgingReport[[#This Row],[Paid]]</f>
        <v>8637</v>
      </c>
    </row>
    <row r="1068" spans="1:35">
      <c r="A1068" t="s">
        <v>2457</v>
      </c>
      <c r="B1068" s="1">
        <v>41010</v>
      </c>
      <c r="C1068" s="1">
        <v>41055</v>
      </c>
      <c r="D1068" t="s">
        <v>214</v>
      </c>
      <c r="E1068">
        <v>107250</v>
      </c>
      <c r="F1068">
        <v>0</v>
      </c>
      <c r="G1068">
        <v>0</v>
      </c>
      <c r="H1068">
        <v>0</v>
      </c>
      <c r="I1068">
        <v>239</v>
      </c>
      <c r="J1068">
        <v>107250</v>
      </c>
      <c r="K1068" t="s">
        <v>2458</v>
      </c>
      <c r="L1068" s="1">
        <v>41029</v>
      </c>
      <c r="M1068" t="s">
        <v>2459</v>
      </c>
      <c r="N1068" t="s">
        <v>36</v>
      </c>
      <c r="O1068" t="s">
        <v>37</v>
      </c>
      <c r="P1068" t="s">
        <v>351</v>
      </c>
      <c r="Q1068" t="s">
        <v>39</v>
      </c>
      <c r="R1068" t="s">
        <v>40</v>
      </c>
      <c r="S1068">
        <v>0</v>
      </c>
      <c r="U1068" t="s">
        <v>41</v>
      </c>
      <c r="V1068" t="s">
        <v>42</v>
      </c>
      <c r="W1068" t="s">
        <v>2460</v>
      </c>
      <c r="X1068" t="s">
        <v>74</v>
      </c>
      <c r="Y1068" t="b">
        <v>0</v>
      </c>
      <c r="Z1068" t="b">
        <v>0</v>
      </c>
      <c r="AA1068" t="b">
        <v>0</v>
      </c>
      <c r="AC1068" s="1"/>
      <c r="AF1068">
        <v>0</v>
      </c>
      <c r="AG1068">
        <v>45</v>
      </c>
      <c r="AH1068">
        <v>284</v>
      </c>
      <c r="AI1068" s="2">
        <f>Table__192.168.3.138DYLAgingReport[[#This Row],[NetAmount]]-Table__192.168.3.138DYLAgingReport[[#This Row],[Paid]]</f>
        <v>107250</v>
      </c>
    </row>
    <row r="1069" spans="1:35">
      <c r="A1069" t="s">
        <v>2461</v>
      </c>
      <c r="B1069" s="1">
        <v>41058</v>
      </c>
      <c r="C1069" s="1">
        <v>41103</v>
      </c>
      <c r="D1069" t="s">
        <v>247</v>
      </c>
      <c r="E1069">
        <v>5845000</v>
      </c>
      <c r="F1069">
        <v>935200</v>
      </c>
      <c r="G1069">
        <v>0</v>
      </c>
      <c r="H1069">
        <v>0</v>
      </c>
      <c r="I1069">
        <v>213</v>
      </c>
      <c r="J1069">
        <v>6780200</v>
      </c>
      <c r="K1069" t="s">
        <v>2462</v>
      </c>
      <c r="L1069" s="1">
        <v>41055</v>
      </c>
      <c r="N1069" t="s">
        <v>36</v>
      </c>
      <c r="O1069" t="s">
        <v>37</v>
      </c>
      <c r="P1069" t="s">
        <v>384</v>
      </c>
      <c r="Q1069" t="s">
        <v>39</v>
      </c>
      <c r="R1069" t="s">
        <v>40</v>
      </c>
      <c r="S1069">
        <v>0</v>
      </c>
      <c r="U1069" t="s">
        <v>41</v>
      </c>
      <c r="V1069" t="s">
        <v>42</v>
      </c>
      <c r="X1069" t="s">
        <v>74</v>
      </c>
      <c r="Y1069" t="b">
        <v>0</v>
      </c>
      <c r="Z1069" t="b">
        <v>0</v>
      </c>
      <c r="AB1069" t="s">
        <v>2463</v>
      </c>
      <c r="AC1069" s="1">
        <v>41151</v>
      </c>
      <c r="AD1069" t="s">
        <v>5357</v>
      </c>
      <c r="AE1069" t="s">
        <v>1577</v>
      </c>
      <c r="AF1069">
        <v>6381816</v>
      </c>
      <c r="AG1069">
        <v>45</v>
      </c>
      <c r="AH1069">
        <v>258</v>
      </c>
      <c r="AI1069" s="2">
        <f>Table__192.168.3.138DYLAgingReport[[#This Row],[NetAmount]]-Table__192.168.3.138DYLAgingReport[[#This Row],[Paid]]</f>
        <v>398384</v>
      </c>
    </row>
    <row r="1070" spans="1:35">
      <c r="A1070" t="s">
        <v>2464</v>
      </c>
      <c r="B1070" s="1">
        <v>41060</v>
      </c>
      <c r="C1070" s="1">
        <v>41105</v>
      </c>
      <c r="D1070" t="s">
        <v>569</v>
      </c>
      <c r="E1070">
        <v>30000</v>
      </c>
      <c r="F1070">
        <v>4800</v>
      </c>
      <c r="G1070">
        <v>0</v>
      </c>
      <c r="H1070">
        <v>0</v>
      </c>
      <c r="I1070">
        <v>213</v>
      </c>
      <c r="J1070">
        <v>34800</v>
      </c>
      <c r="K1070" t="s">
        <v>2465</v>
      </c>
      <c r="L1070" s="1">
        <v>41055</v>
      </c>
      <c r="N1070" t="s">
        <v>36</v>
      </c>
      <c r="O1070" t="s">
        <v>37</v>
      </c>
      <c r="P1070" t="s">
        <v>433</v>
      </c>
      <c r="Q1070" t="s">
        <v>39</v>
      </c>
      <c r="R1070" t="s">
        <v>40</v>
      </c>
      <c r="S1070">
        <v>0</v>
      </c>
      <c r="U1070" t="s">
        <v>41</v>
      </c>
      <c r="V1070" t="s">
        <v>42</v>
      </c>
      <c r="X1070" t="s">
        <v>74</v>
      </c>
      <c r="Y1070" t="b">
        <v>0</v>
      </c>
      <c r="Z1070" t="b">
        <v>0</v>
      </c>
      <c r="AC1070" s="1"/>
      <c r="AF1070">
        <v>0</v>
      </c>
      <c r="AG1070">
        <v>45</v>
      </c>
      <c r="AH1070">
        <v>258</v>
      </c>
      <c r="AI1070" s="2">
        <f>Table__192.168.3.138DYLAgingReport[[#This Row],[NetAmount]]-Table__192.168.3.138DYLAgingReport[[#This Row],[Paid]]</f>
        <v>34800</v>
      </c>
    </row>
    <row r="1071" spans="1:35">
      <c r="A1071" t="s">
        <v>2466</v>
      </c>
      <c r="B1071" s="1">
        <v>41060</v>
      </c>
      <c r="C1071" s="1">
        <v>41105</v>
      </c>
      <c r="D1071" t="s">
        <v>569</v>
      </c>
      <c r="E1071">
        <v>52548</v>
      </c>
      <c r="F1071">
        <v>8408</v>
      </c>
      <c r="G1071">
        <v>0</v>
      </c>
      <c r="H1071">
        <v>0</v>
      </c>
      <c r="I1071">
        <v>210</v>
      </c>
      <c r="J1071">
        <v>60956</v>
      </c>
      <c r="K1071" t="s">
        <v>2467</v>
      </c>
      <c r="L1071" s="1">
        <v>41058</v>
      </c>
      <c r="N1071" t="s">
        <v>36</v>
      </c>
      <c r="O1071" t="s">
        <v>37</v>
      </c>
      <c r="P1071" t="s">
        <v>433</v>
      </c>
      <c r="Q1071" t="s">
        <v>39</v>
      </c>
      <c r="R1071" t="s">
        <v>40</v>
      </c>
      <c r="S1071">
        <v>0</v>
      </c>
      <c r="U1071" t="s">
        <v>41</v>
      </c>
      <c r="V1071" t="s">
        <v>42</v>
      </c>
      <c r="X1071" t="s">
        <v>74</v>
      </c>
      <c r="Y1071" t="b">
        <v>0</v>
      </c>
      <c r="Z1071" t="b">
        <v>0</v>
      </c>
      <c r="AC1071" s="1"/>
      <c r="AF1071">
        <v>0</v>
      </c>
      <c r="AG1071">
        <v>45</v>
      </c>
      <c r="AH1071">
        <v>255</v>
      </c>
      <c r="AI1071" s="2">
        <f>Table__192.168.3.138DYLAgingReport[[#This Row],[NetAmount]]-Table__192.168.3.138DYLAgingReport[[#This Row],[Paid]]</f>
        <v>60956</v>
      </c>
    </row>
    <row r="1072" spans="1:35">
      <c r="A1072" t="s">
        <v>2468</v>
      </c>
      <c r="B1072" s="1">
        <v>41060.426562499997</v>
      </c>
      <c r="C1072" s="1">
        <v>41105.426562499997</v>
      </c>
      <c r="D1072" t="s">
        <v>569</v>
      </c>
      <c r="E1072">
        <v>33300</v>
      </c>
      <c r="F1072">
        <v>5328</v>
      </c>
      <c r="G1072">
        <v>0</v>
      </c>
      <c r="H1072">
        <v>0</v>
      </c>
      <c r="I1072">
        <v>208</v>
      </c>
      <c r="J1072">
        <v>38628</v>
      </c>
      <c r="K1072" t="s">
        <v>2469</v>
      </c>
      <c r="L1072" s="1">
        <v>41060</v>
      </c>
      <c r="N1072" t="s">
        <v>36</v>
      </c>
      <c r="O1072" t="s">
        <v>37</v>
      </c>
      <c r="P1072" t="s">
        <v>433</v>
      </c>
      <c r="Q1072" t="s">
        <v>39</v>
      </c>
      <c r="R1072" t="s">
        <v>40</v>
      </c>
      <c r="S1072">
        <v>0</v>
      </c>
      <c r="U1072" t="s">
        <v>41</v>
      </c>
      <c r="V1072" t="s">
        <v>42</v>
      </c>
      <c r="X1072" t="s">
        <v>74</v>
      </c>
      <c r="Y1072" t="b">
        <v>0</v>
      </c>
      <c r="Z1072" t="b">
        <v>0</v>
      </c>
      <c r="AC1072" s="1"/>
      <c r="AF1072">
        <v>0</v>
      </c>
      <c r="AG1072">
        <v>45</v>
      </c>
      <c r="AH1072">
        <v>253</v>
      </c>
      <c r="AI1072" s="2">
        <f>Table__192.168.3.138DYLAgingReport[[#This Row],[NetAmount]]-Table__192.168.3.138DYLAgingReport[[#This Row],[Paid]]</f>
        <v>38628</v>
      </c>
    </row>
    <row r="1073" spans="1:35">
      <c r="A1073" t="s">
        <v>2470</v>
      </c>
      <c r="B1073" s="1">
        <v>41060.471620370372</v>
      </c>
      <c r="C1073" s="1">
        <v>41105.471620370372</v>
      </c>
      <c r="D1073" t="s">
        <v>569</v>
      </c>
      <c r="E1073">
        <v>30622</v>
      </c>
      <c r="F1073">
        <v>4900</v>
      </c>
      <c r="G1073">
        <v>0</v>
      </c>
      <c r="H1073">
        <v>0</v>
      </c>
      <c r="I1073">
        <v>208</v>
      </c>
      <c r="J1073">
        <v>35522</v>
      </c>
      <c r="K1073" t="s">
        <v>2471</v>
      </c>
      <c r="L1073" s="1">
        <v>41060</v>
      </c>
      <c r="N1073" t="s">
        <v>36</v>
      </c>
      <c r="O1073" t="s">
        <v>37</v>
      </c>
      <c r="P1073" t="s">
        <v>433</v>
      </c>
      <c r="Q1073" t="s">
        <v>39</v>
      </c>
      <c r="R1073" t="s">
        <v>40</v>
      </c>
      <c r="S1073">
        <v>0</v>
      </c>
      <c r="U1073" t="s">
        <v>41</v>
      </c>
      <c r="V1073" t="s">
        <v>42</v>
      </c>
      <c r="X1073" t="s">
        <v>74</v>
      </c>
      <c r="Y1073" t="b">
        <v>0</v>
      </c>
      <c r="Z1073" t="b">
        <v>0</v>
      </c>
      <c r="AC1073" s="1"/>
      <c r="AF1073">
        <v>0</v>
      </c>
      <c r="AG1073">
        <v>45</v>
      </c>
      <c r="AH1073">
        <v>253</v>
      </c>
      <c r="AI1073" s="2">
        <f>Table__192.168.3.138DYLAgingReport[[#This Row],[NetAmount]]-Table__192.168.3.138DYLAgingReport[[#This Row],[Paid]]</f>
        <v>35522</v>
      </c>
    </row>
    <row r="1074" spans="1:35">
      <c r="A1074" t="s">
        <v>2472</v>
      </c>
      <c r="B1074" s="1">
        <v>41060.471620370372</v>
      </c>
      <c r="C1074" s="1">
        <v>41105.471620370372</v>
      </c>
      <c r="D1074" t="s">
        <v>569</v>
      </c>
      <c r="E1074">
        <v>53951</v>
      </c>
      <c r="F1074">
        <v>8632</v>
      </c>
      <c r="G1074">
        <v>0</v>
      </c>
      <c r="H1074">
        <v>0</v>
      </c>
      <c r="I1074">
        <v>208</v>
      </c>
      <c r="J1074">
        <v>62583</v>
      </c>
      <c r="K1074" t="s">
        <v>2473</v>
      </c>
      <c r="L1074" s="1">
        <v>41060</v>
      </c>
      <c r="N1074" t="s">
        <v>36</v>
      </c>
      <c r="O1074" t="s">
        <v>37</v>
      </c>
      <c r="P1074" t="s">
        <v>433</v>
      </c>
      <c r="Q1074" t="s">
        <v>39</v>
      </c>
      <c r="R1074" t="s">
        <v>40</v>
      </c>
      <c r="S1074">
        <v>0</v>
      </c>
      <c r="U1074" t="s">
        <v>41</v>
      </c>
      <c r="V1074" t="s">
        <v>42</v>
      </c>
      <c r="X1074" t="s">
        <v>74</v>
      </c>
      <c r="Y1074" t="b">
        <v>0</v>
      </c>
      <c r="Z1074" t="b">
        <v>0</v>
      </c>
      <c r="AC1074" s="1"/>
      <c r="AF1074">
        <v>0</v>
      </c>
      <c r="AG1074">
        <v>45</v>
      </c>
      <c r="AH1074">
        <v>253</v>
      </c>
      <c r="AI1074" s="2">
        <f>Table__192.168.3.138DYLAgingReport[[#This Row],[NetAmount]]-Table__192.168.3.138DYLAgingReport[[#This Row],[Paid]]</f>
        <v>62583</v>
      </c>
    </row>
    <row r="1075" spans="1:35">
      <c r="A1075" t="s">
        <v>2474</v>
      </c>
      <c r="B1075" s="1">
        <v>41060.663807870369</v>
      </c>
      <c r="C1075" s="1">
        <v>41105.663807870369</v>
      </c>
      <c r="D1075" t="s">
        <v>569</v>
      </c>
      <c r="E1075">
        <v>40225</v>
      </c>
      <c r="F1075">
        <v>6436</v>
      </c>
      <c r="G1075">
        <v>0</v>
      </c>
      <c r="H1075">
        <v>0</v>
      </c>
      <c r="I1075">
        <v>216</v>
      </c>
      <c r="J1075">
        <v>46661</v>
      </c>
      <c r="K1075" t="s">
        <v>2475</v>
      </c>
      <c r="L1075" s="1">
        <v>41052</v>
      </c>
      <c r="N1075" t="s">
        <v>36</v>
      </c>
      <c r="O1075" t="s">
        <v>37</v>
      </c>
      <c r="P1075" t="s">
        <v>433</v>
      </c>
      <c r="Q1075" t="s">
        <v>39</v>
      </c>
      <c r="R1075" t="s">
        <v>40</v>
      </c>
      <c r="S1075">
        <v>0</v>
      </c>
      <c r="U1075" t="s">
        <v>41</v>
      </c>
      <c r="V1075" t="s">
        <v>42</v>
      </c>
      <c r="X1075" t="s">
        <v>74</v>
      </c>
      <c r="Y1075" t="b">
        <v>0</v>
      </c>
      <c r="Z1075" t="b">
        <v>0</v>
      </c>
      <c r="AC1075" s="1"/>
      <c r="AF1075">
        <v>0</v>
      </c>
      <c r="AG1075">
        <v>45</v>
      </c>
      <c r="AH1075">
        <v>261</v>
      </c>
      <c r="AI1075" s="2">
        <f>Table__192.168.3.138DYLAgingReport[[#This Row],[NetAmount]]-Table__192.168.3.138DYLAgingReport[[#This Row],[Paid]]</f>
        <v>46661</v>
      </c>
    </row>
    <row r="1076" spans="1:35">
      <c r="A1076" t="s">
        <v>2476</v>
      </c>
      <c r="B1076" s="1">
        <v>41060.471620370372</v>
      </c>
      <c r="C1076" s="1">
        <v>41105.471620370372</v>
      </c>
      <c r="D1076" t="s">
        <v>569</v>
      </c>
      <c r="E1076">
        <v>27166</v>
      </c>
      <c r="F1076">
        <v>4347</v>
      </c>
      <c r="G1076">
        <v>0</v>
      </c>
      <c r="H1076">
        <v>0</v>
      </c>
      <c r="I1076">
        <v>208</v>
      </c>
      <c r="J1076">
        <v>31513</v>
      </c>
      <c r="L1076" s="1">
        <v>41060</v>
      </c>
      <c r="N1076" t="s">
        <v>36</v>
      </c>
      <c r="O1076" t="s">
        <v>37</v>
      </c>
      <c r="P1076" t="s">
        <v>433</v>
      </c>
      <c r="Q1076" t="s">
        <v>39</v>
      </c>
      <c r="R1076" t="s">
        <v>40</v>
      </c>
      <c r="S1076">
        <v>0</v>
      </c>
      <c r="U1076" t="s">
        <v>41</v>
      </c>
      <c r="V1076" t="s">
        <v>42</v>
      </c>
      <c r="X1076" t="s">
        <v>74</v>
      </c>
      <c r="Y1076" t="b">
        <v>0</v>
      </c>
      <c r="Z1076" t="b">
        <v>0</v>
      </c>
      <c r="AC1076" s="1"/>
      <c r="AF1076">
        <v>0</v>
      </c>
      <c r="AG1076">
        <v>45</v>
      </c>
      <c r="AH1076">
        <v>253</v>
      </c>
      <c r="AI1076" s="2">
        <f>Table__192.168.3.138DYLAgingReport[[#This Row],[NetAmount]]-Table__192.168.3.138DYLAgingReport[[#This Row],[Paid]]</f>
        <v>31513</v>
      </c>
    </row>
    <row r="1077" spans="1:35">
      <c r="A1077" t="s">
        <v>2477</v>
      </c>
      <c r="B1077" s="1">
        <v>41060.663807870369</v>
      </c>
      <c r="C1077" s="1">
        <v>41105.663807870369</v>
      </c>
      <c r="D1077" t="s">
        <v>569</v>
      </c>
      <c r="E1077">
        <v>73746</v>
      </c>
      <c r="F1077">
        <v>11799</v>
      </c>
      <c r="G1077">
        <v>0</v>
      </c>
      <c r="H1077">
        <v>0</v>
      </c>
      <c r="I1077">
        <v>214</v>
      </c>
      <c r="J1077">
        <v>85545</v>
      </c>
      <c r="K1077" t="s">
        <v>2478</v>
      </c>
      <c r="L1077" s="1">
        <v>41054</v>
      </c>
      <c r="N1077" t="s">
        <v>36</v>
      </c>
      <c r="O1077" t="s">
        <v>37</v>
      </c>
      <c r="P1077" t="s">
        <v>433</v>
      </c>
      <c r="Q1077" t="s">
        <v>39</v>
      </c>
      <c r="R1077" t="s">
        <v>40</v>
      </c>
      <c r="S1077">
        <v>0</v>
      </c>
      <c r="U1077" t="s">
        <v>41</v>
      </c>
      <c r="V1077" t="s">
        <v>42</v>
      </c>
      <c r="X1077" t="s">
        <v>74</v>
      </c>
      <c r="Y1077" t="b">
        <v>0</v>
      </c>
      <c r="Z1077" t="b">
        <v>0</v>
      </c>
      <c r="AC1077" s="1"/>
      <c r="AF1077">
        <v>0</v>
      </c>
      <c r="AG1077">
        <v>45</v>
      </c>
      <c r="AH1077">
        <v>259</v>
      </c>
      <c r="AI1077" s="2">
        <f>Table__192.168.3.138DYLAgingReport[[#This Row],[NetAmount]]-Table__192.168.3.138DYLAgingReport[[#This Row],[Paid]]</f>
        <v>85545</v>
      </c>
    </row>
    <row r="1078" spans="1:35">
      <c r="A1078" t="s">
        <v>2479</v>
      </c>
      <c r="B1078" s="1">
        <v>41060.35297453704</v>
      </c>
      <c r="C1078" s="1">
        <v>41105.35297453704</v>
      </c>
      <c r="D1078" t="s">
        <v>569</v>
      </c>
      <c r="E1078">
        <v>44775</v>
      </c>
      <c r="F1078">
        <v>7164</v>
      </c>
      <c r="G1078">
        <v>0</v>
      </c>
      <c r="H1078">
        <v>0</v>
      </c>
      <c r="I1078">
        <v>213</v>
      </c>
      <c r="J1078">
        <v>51939</v>
      </c>
      <c r="K1078" t="s">
        <v>2480</v>
      </c>
      <c r="L1078" s="1">
        <v>41055</v>
      </c>
      <c r="N1078" t="s">
        <v>36</v>
      </c>
      <c r="O1078" t="s">
        <v>37</v>
      </c>
      <c r="P1078" t="s">
        <v>433</v>
      </c>
      <c r="Q1078" t="s">
        <v>39</v>
      </c>
      <c r="R1078" t="s">
        <v>40</v>
      </c>
      <c r="S1078">
        <v>0</v>
      </c>
      <c r="U1078" t="s">
        <v>41</v>
      </c>
      <c r="V1078" t="s">
        <v>42</v>
      </c>
      <c r="X1078" t="s">
        <v>74</v>
      </c>
      <c r="Y1078" t="b">
        <v>0</v>
      </c>
      <c r="Z1078" t="b">
        <v>0</v>
      </c>
      <c r="AC1078" s="1"/>
      <c r="AF1078">
        <v>0</v>
      </c>
      <c r="AG1078">
        <v>45</v>
      </c>
      <c r="AH1078">
        <v>258</v>
      </c>
      <c r="AI1078" s="2">
        <f>Table__192.168.3.138DYLAgingReport[[#This Row],[NetAmount]]-Table__192.168.3.138DYLAgingReport[[#This Row],[Paid]]</f>
        <v>51939</v>
      </c>
    </row>
    <row r="1079" spans="1:35">
      <c r="A1079" t="s">
        <v>2481</v>
      </c>
      <c r="B1079" s="1">
        <v>41060.663807870369</v>
      </c>
      <c r="C1079" s="1">
        <v>41105.663807870369</v>
      </c>
      <c r="D1079" t="s">
        <v>273</v>
      </c>
      <c r="E1079">
        <v>2256000</v>
      </c>
      <c r="F1079">
        <v>360960</v>
      </c>
      <c r="G1079">
        <v>0</v>
      </c>
      <c r="H1079">
        <v>0</v>
      </c>
      <c r="I1079">
        <v>213</v>
      </c>
      <c r="J1079">
        <v>2616960</v>
      </c>
      <c r="K1079" t="s">
        <v>2482</v>
      </c>
      <c r="L1079" s="1">
        <v>41055</v>
      </c>
      <c r="N1079" t="s">
        <v>36</v>
      </c>
      <c r="O1079" t="s">
        <v>37</v>
      </c>
      <c r="P1079" t="s">
        <v>410</v>
      </c>
      <c r="Q1079" t="s">
        <v>39</v>
      </c>
      <c r="R1079" t="s">
        <v>40</v>
      </c>
      <c r="S1079">
        <v>0</v>
      </c>
      <c r="U1079" t="s">
        <v>41</v>
      </c>
      <c r="V1079" t="s">
        <v>42</v>
      </c>
      <c r="X1079" t="s">
        <v>74</v>
      </c>
      <c r="Y1079" t="b">
        <v>0</v>
      </c>
      <c r="Z1079" t="b">
        <v>0</v>
      </c>
      <c r="AB1079" t="s">
        <v>2483</v>
      </c>
      <c r="AC1079" s="1">
        <v>41291</v>
      </c>
      <c r="AD1079" t="s">
        <v>2484</v>
      </c>
      <c r="AE1079" t="s">
        <v>2485</v>
      </c>
      <c r="AF1079">
        <v>98220</v>
      </c>
      <c r="AG1079">
        <v>45</v>
      </c>
      <c r="AH1079">
        <v>258</v>
      </c>
      <c r="AI1079" s="2">
        <f>Table__192.168.3.138DYLAgingReport[[#This Row],[NetAmount]]-Table__192.168.3.138DYLAgingReport[[#This Row],[Paid]]</f>
        <v>2518740</v>
      </c>
    </row>
    <row r="1080" spans="1:35">
      <c r="A1080" t="s">
        <v>94</v>
      </c>
      <c r="B1080" s="1">
        <v>41060.471620370372</v>
      </c>
      <c r="C1080" s="1">
        <v>41105.471620370372</v>
      </c>
      <c r="D1080" t="s">
        <v>35</v>
      </c>
      <c r="E1080">
        <v>320000</v>
      </c>
      <c r="F1080">
        <v>51200</v>
      </c>
      <c r="G1080">
        <v>0</v>
      </c>
      <c r="H1080">
        <v>0</v>
      </c>
      <c r="I1080">
        <v>211</v>
      </c>
      <c r="J1080">
        <v>371200</v>
      </c>
      <c r="K1080" t="s">
        <v>95</v>
      </c>
      <c r="L1080" s="1">
        <v>41057</v>
      </c>
      <c r="N1080" t="s">
        <v>36</v>
      </c>
      <c r="O1080" t="s">
        <v>37</v>
      </c>
      <c r="P1080" t="s">
        <v>38</v>
      </c>
      <c r="Q1080" t="s">
        <v>39</v>
      </c>
      <c r="R1080" t="s">
        <v>40</v>
      </c>
      <c r="S1080">
        <v>0</v>
      </c>
      <c r="U1080" t="s">
        <v>41</v>
      </c>
      <c r="V1080" t="s">
        <v>42</v>
      </c>
      <c r="X1080" t="s">
        <v>74</v>
      </c>
      <c r="Y1080" t="b">
        <v>0</v>
      </c>
      <c r="Z1080" t="b">
        <v>0</v>
      </c>
      <c r="AB1080" t="s">
        <v>89</v>
      </c>
      <c r="AC1080" s="1">
        <v>41244</v>
      </c>
      <c r="AE1080" t="s">
        <v>90</v>
      </c>
      <c r="AF1080">
        <v>0</v>
      </c>
      <c r="AG1080">
        <v>45</v>
      </c>
      <c r="AH1080">
        <v>256</v>
      </c>
      <c r="AI1080" s="2">
        <f>Table__192.168.3.138DYLAgingReport[[#This Row],[NetAmount]]-Table__192.168.3.138DYLAgingReport[[#This Row],[Paid]]</f>
        <v>371200</v>
      </c>
    </row>
    <row r="1081" spans="1:35">
      <c r="A1081" t="s">
        <v>2486</v>
      </c>
      <c r="B1081" s="1">
        <v>41060.663807870369</v>
      </c>
      <c r="C1081" s="1">
        <v>41105.663807870369</v>
      </c>
      <c r="D1081" t="s">
        <v>254</v>
      </c>
      <c r="E1081">
        <v>1518000</v>
      </c>
      <c r="F1081">
        <v>242880</v>
      </c>
      <c r="G1081">
        <v>0</v>
      </c>
      <c r="H1081">
        <v>0</v>
      </c>
      <c r="I1081">
        <v>210</v>
      </c>
      <c r="J1081">
        <v>1760880</v>
      </c>
      <c r="K1081" t="s">
        <v>2487</v>
      </c>
      <c r="L1081" s="1">
        <v>41058</v>
      </c>
      <c r="N1081" t="s">
        <v>36</v>
      </c>
      <c r="O1081" t="s">
        <v>37</v>
      </c>
      <c r="P1081" t="s">
        <v>391</v>
      </c>
      <c r="Q1081" t="s">
        <v>39</v>
      </c>
      <c r="R1081" t="s">
        <v>40</v>
      </c>
      <c r="S1081">
        <v>0</v>
      </c>
      <c r="U1081" t="s">
        <v>41</v>
      </c>
      <c r="V1081" t="s">
        <v>42</v>
      </c>
      <c r="X1081" t="s">
        <v>74</v>
      </c>
      <c r="Y1081" t="b">
        <v>0</v>
      </c>
      <c r="Z1081" t="b">
        <v>0</v>
      </c>
      <c r="AB1081" t="s">
        <v>2488</v>
      </c>
      <c r="AC1081" s="1">
        <v>41218</v>
      </c>
      <c r="AD1081" t="s">
        <v>2489</v>
      </c>
      <c r="AE1081" t="s">
        <v>823</v>
      </c>
      <c r="AF1081">
        <v>1685698</v>
      </c>
      <c r="AG1081">
        <v>45</v>
      </c>
      <c r="AH1081">
        <v>255</v>
      </c>
      <c r="AI1081" s="2">
        <f>Table__192.168.3.138DYLAgingReport[[#This Row],[NetAmount]]-Table__192.168.3.138DYLAgingReport[[#This Row],[Paid]]</f>
        <v>75182</v>
      </c>
    </row>
    <row r="1082" spans="1:35">
      <c r="A1082" t="s">
        <v>2490</v>
      </c>
      <c r="B1082" s="1">
        <v>41060.426562499997</v>
      </c>
      <c r="C1082" s="1">
        <v>41105.426562499997</v>
      </c>
      <c r="D1082" t="s">
        <v>202</v>
      </c>
      <c r="E1082">
        <v>1120</v>
      </c>
      <c r="F1082">
        <v>179</v>
      </c>
      <c r="G1082">
        <v>0</v>
      </c>
      <c r="H1082">
        <v>0</v>
      </c>
      <c r="I1082">
        <v>211</v>
      </c>
      <c r="J1082">
        <v>1299</v>
      </c>
      <c r="K1082" t="s">
        <v>2491</v>
      </c>
      <c r="L1082" s="1">
        <v>41057</v>
      </c>
      <c r="N1082" t="s">
        <v>36</v>
      </c>
      <c r="O1082" t="s">
        <v>37</v>
      </c>
      <c r="P1082" t="s">
        <v>339</v>
      </c>
      <c r="Q1082" t="s">
        <v>39</v>
      </c>
      <c r="R1082" t="s">
        <v>40</v>
      </c>
      <c r="S1082">
        <v>0</v>
      </c>
      <c r="U1082" t="s">
        <v>41</v>
      </c>
      <c r="V1082" t="s">
        <v>42</v>
      </c>
      <c r="X1082" t="s">
        <v>74</v>
      </c>
      <c r="Y1082" t="b">
        <v>0</v>
      </c>
      <c r="Z1082" t="b">
        <v>0</v>
      </c>
      <c r="AC1082" s="1"/>
      <c r="AF1082">
        <v>0</v>
      </c>
      <c r="AG1082">
        <v>45</v>
      </c>
      <c r="AH1082">
        <v>256</v>
      </c>
      <c r="AI1082" s="2">
        <f>Table__192.168.3.138DYLAgingReport[[#This Row],[NetAmount]]-Table__192.168.3.138DYLAgingReport[[#This Row],[Paid]]</f>
        <v>1299</v>
      </c>
    </row>
    <row r="1083" spans="1:35">
      <c r="A1083" t="s">
        <v>2492</v>
      </c>
      <c r="B1083" s="1">
        <v>41060.426562499997</v>
      </c>
      <c r="C1083" s="1">
        <v>41105.426562499997</v>
      </c>
      <c r="D1083" t="s">
        <v>202</v>
      </c>
      <c r="E1083">
        <v>162795</v>
      </c>
      <c r="F1083">
        <v>26047</v>
      </c>
      <c r="G1083">
        <v>0</v>
      </c>
      <c r="H1083">
        <v>0</v>
      </c>
      <c r="I1083">
        <v>211</v>
      </c>
      <c r="J1083">
        <v>188842</v>
      </c>
      <c r="K1083" t="s">
        <v>2493</v>
      </c>
      <c r="L1083" s="1">
        <v>41057</v>
      </c>
      <c r="N1083" t="s">
        <v>36</v>
      </c>
      <c r="O1083" t="s">
        <v>37</v>
      </c>
      <c r="P1083" t="s">
        <v>339</v>
      </c>
      <c r="Q1083" t="s">
        <v>39</v>
      </c>
      <c r="R1083" t="s">
        <v>40</v>
      </c>
      <c r="S1083">
        <v>0</v>
      </c>
      <c r="U1083" t="s">
        <v>41</v>
      </c>
      <c r="V1083" t="s">
        <v>42</v>
      </c>
      <c r="X1083" t="s">
        <v>74</v>
      </c>
      <c r="Y1083" t="b">
        <v>0</v>
      </c>
      <c r="Z1083" t="b">
        <v>0</v>
      </c>
      <c r="AC1083" s="1"/>
      <c r="AF1083">
        <v>0</v>
      </c>
      <c r="AG1083">
        <v>45</v>
      </c>
      <c r="AH1083">
        <v>256</v>
      </c>
      <c r="AI1083" s="2">
        <f>Table__192.168.3.138DYLAgingReport[[#This Row],[NetAmount]]-Table__192.168.3.138DYLAgingReport[[#This Row],[Paid]]</f>
        <v>188842</v>
      </c>
    </row>
    <row r="1084" spans="1:35">
      <c r="A1084" t="s">
        <v>2494</v>
      </c>
      <c r="B1084" s="1">
        <v>41060.663807870369</v>
      </c>
      <c r="C1084" s="1">
        <v>41105.663807870369</v>
      </c>
      <c r="D1084" t="s">
        <v>569</v>
      </c>
      <c r="E1084">
        <v>49498</v>
      </c>
      <c r="F1084">
        <v>7920</v>
      </c>
      <c r="G1084">
        <v>0</v>
      </c>
      <c r="H1084">
        <v>0</v>
      </c>
      <c r="I1084">
        <v>211</v>
      </c>
      <c r="J1084">
        <v>57418</v>
      </c>
      <c r="K1084" t="s">
        <v>2495</v>
      </c>
      <c r="L1084" s="1">
        <v>41057</v>
      </c>
      <c r="N1084" t="s">
        <v>36</v>
      </c>
      <c r="O1084" t="s">
        <v>37</v>
      </c>
      <c r="P1084" t="s">
        <v>433</v>
      </c>
      <c r="Q1084" t="s">
        <v>39</v>
      </c>
      <c r="R1084" t="s">
        <v>40</v>
      </c>
      <c r="S1084">
        <v>0</v>
      </c>
      <c r="U1084" t="s">
        <v>41</v>
      </c>
      <c r="V1084" t="s">
        <v>42</v>
      </c>
      <c r="X1084" t="s">
        <v>74</v>
      </c>
      <c r="Y1084" t="b">
        <v>0</v>
      </c>
      <c r="Z1084" t="b">
        <v>0</v>
      </c>
      <c r="AC1084" s="1"/>
      <c r="AF1084">
        <v>0</v>
      </c>
      <c r="AG1084">
        <v>45</v>
      </c>
      <c r="AH1084">
        <v>256</v>
      </c>
      <c r="AI1084" s="2">
        <f>Table__192.168.3.138DYLAgingReport[[#This Row],[NetAmount]]-Table__192.168.3.138DYLAgingReport[[#This Row],[Paid]]</f>
        <v>57418</v>
      </c>
    </row>
    <row r="1085" spans="1:35">
      <c r="A1085" t="s">
        <v>2496</v>
      </c>
      <c r="B1085" s="1">
        <v>41060.35297453704</v>
      </c>
      <c r="C1085" s="1">
        <v>41105.35297453704</v>
      </c>
      <c r="D1085" t="s">
        <v>569</v>
      </c>
      <c r="E1085">
        <v>15500</v>
      </c>
      <c r="F1085">
        <v>2480</v>
      </c>
      <c r="G1085">
        <v>0</v>
      </c>
      <c r="H1085">
        <v>0</v>
      </c>
      <c r="I1085">
        <v>209</v>
      </c>
      <c r="J1085">
        <v>17980</v>
      </c>
      <c r="K1085" t="s">
        <v>2497</v>
      </c>
      <c r="L1085" s="1">
        <v>41059</v>
      </c>
      <c r="N1085" t="s">
        <v>36</v>
      </c>
      <c r="O1085" t="s">
        <v>37</v>
      </c>
      <c r="P1085" t="s">
        <v>433</v>
      </c>
      <c r="Q1085" t="s">
        <v>39</v>
      </c>
      <c r="R1085" t="s">
        <v>40</v>
      </c>
      <c r="S1085">
        <v>0</v>
      </c>
      <c r="U1085" t="s">
        <v>41</v>
      </c>
      <c r="V1085" t="s">
        <v>42</v>
      </c>
      <c r="X1085" t="s">
        <v>74</v>
      </c>
      <c r="Y1085" t="b">
        <v>0</v>
      </c>
      <c r="Z1085" t="b">
        <v>0</v>
      </c>
      <c r="AC1085" s="1"/>
      <c r="AF1085">
        <v>0</v>
      </c>
      <c r="AG1085">
        <v>45</v>
      </c>
      <c r="AH1085">
        <v>254</v>
      </c>
      <c r="AI1085" s="2">
        <f>Table__192.168.3.138DYLAgingReport[[#This Row],[NetAmount]]-Table__192.168.3.138DYLAgingReport[[#This Row],[Paid]]</f>
        <v>17980</v>
      </c>
    </row>
    <row r="1086" spans="1:35">
      <c r="A1086" t="s">
        <v>2498</v>
      </c>
      <c r="B1086" s="1">
        <v>41060.35297453704</v>
      </c>
      <c r="C1086" s="1">
        <v>41105.35297453704</v>
      </c>
      <c r="D1086" t="s">
        <v>569</v>
      </c>
      <c r="E1086">
        <v>55981</v>
      </c>
      <c r="F1086">
        <v>8957</v>
      </c>
      <c r="G1086">
        <v>0</v>
      </c>
      <c r="H1086">
        <v>0</v>
      </c>
      <c r="I1086">
        <v>209</v>
      </c>
      <c r="J1086">
        <v>64938</v>
      </c>
      <c r="K1086" t="s">
        <v>2499</v>
      </c>
      <c r="L1086" s="1">
        <v>41059</v>
      </c>
      <c r="N1086" t="s">
        <v>36</v>
      </c>
      <c r="O1086" t="s">
        <v>37</v>
      </c>
      <c r="P1086" t="s">
        <v>433</v>
      </c>
      <c r="Q1086" t="s">
        <v>39</v>
      </c>
      <c r="R1086" t="s">
        <v>40</v>
      </c>
      <c r="S1086">
        <v>0</v>
      </c>
      <c r="U1086" t="s">
        <v>41</v>
      </c>
      <c r="V1086" t="s">
        <v>42</v>
      </c>
      <c r="X1086" t="s">
        <v>74</v>
      </c>
      <c r="Y1086" t="b">
        <v>0</v>
      </c>
      <c r="Z1086" t="b">
        <v>0</v>
      </c>
      <c r="AC1086" s="1"/>
      <c r="AF1086">
        <v>0</v>
      </c>
      <c r="AG1086">
        <v>45</v>
      </c>
      <c r="AH1086">
        <v>254</v>
      </c>
      <c r="AI1086" s="2">
        <f>Table__192.168.3.138DYLAgingReport[[#This Row],[NetAmount]]-Table__192.168.3.138DYLAgingReport[[#This Row],[Paid]]</f>
        <v>64938</v>
      </c>
    </row>
    <row r="1087" spans="1:35">
      <c r="A1087" t="s">
        <v>2500</v>
      </c>
      <c r="B1087" s="1">
        <v>41060</v>
      </c>
      <c r="C1087" s="1">
        <v>41105</v>
      </c>
      <c r="D1087" t="s">
        <v>276</v>
      </c>
      <c r="E1087">
        <v>97000</v>
      </c>
      <c r="F1087">
        <v>15520</v>
      </c>
      <c r="G1087">
        <v>0</v>
      </c>
      <c r="H1087">
        <v>0</v>
      </c>
      <c r="I1087">
        <v>231</v>
      </c>
      <c r="J1087">
        <v>112520</v>
      </c>
      <c r="K1087" t="s">
        <v>2501</v>
      </c>
      <c r="L1087" s="1">
        <v>41037</v>
      </c>
      <c r="N1087" t="s">
        <v>36</v>
      </c>
      <c r="O1087" t="s">
        <v>37</v>
      </c>
      <c r="P1087" t="s">
        <v>413</v>
      </c>
      <c r="Q1087" t="s">
        <v>39</v>
      </c>
      <c r="R1087" t="s">
        <v>40</v>
      </c>
      <c r="S1087">
        <v>0</v>
      </c>
      <c r="U1087" t="s">
        <v>41</v>
      </c>
      <c r="V1087" t="s">
        <v>42</v>
      </c>
      <c r="X1087" t="s">
        <v>74</v>
      </c>
      <c r="Y1087" t="b">
        <v>0</v>
      </c>
      <c r="Z1087" t="b">
        <v>0</v>
      </c>
      <c r="AB1087" t="s">
        <v>932</v>
      </c>
      <c r="AC1087" s="1">
        <v>41298</v>
      </c>
      <c r="AF1087">
        <v>0</v>
      </c>
      <c r="AG1087">
        <v>45</v>
      </c>
      <c r="AH1087">
        <v>276</v>
      </c>
      <c r="AI1087" s="2">
        <f>Table__192.168.3.138DYLAgingReport[[#This Row],[NetAmount]]-Table__192.168.3.138DYLAgingReport[[#This Row],[Paid]]</f>
        <v>112520</v>
      </c>
    </row>
    <row r="1088" spans="1:35">
      <c r="A1088" t="s">
        <v>2502</v>
      </c>
      <c r="B1088" s="1">
        <v>41060</v>
      </c>
      <c r="C1088" s="1">
        <v>41105</v>
      </c>
      <c r="D1088" t="s">
        <v>288</v>
      </c>
      <c r="E1088">
        <v>23010</v>
      </c>
      <c r="F1088">
        <v>3682</v>
      </c>
      <c r="G1088">
        <v>0</v>
      </c>
      <c r="H1088">
        <v>0</v>
      </c>
      <c r="I1088">
        <v>230</v>
      </c>
      <c r="J1088">
        <v>26692</v>
      </c>
      <c r="K1088" t="s">
        <v>940</v>
      </c>
      <c r="L1088" s="1">
        <v>41038</v>
      </c>
      <c r="N1088" t="s">
        <v>36</v>
      </c>
      <c r="O1088" t="s">
        <v>37</v>
      </c>
      <c r="P1088" t="s">
        <v>425</v>
      </c>
      <c r="Q1088" t="s">
        <v>39</v>
      </c>
      <c r="R1088" t="s">
        <v>40</v>
      </c>
      <c r="S1088">
        <v>0</v>
      </c>
      <c r="U1088" t="s">
        <v>41</v>
      </c>
      <c r="V1088" t="s">
        <v>42</v>
      </c>
      <c r="X1088" t="s">
        <v>74</v>
      </c>
      <c r="Y1088" t="b">
        <v>0</v>
      </c>
      <c r="Z1088" t="b">
        <v>0</v>
      </c>
      <c r="AC1088" s="1"/>
      <c r="AF1088">
        <v>0</v>
      </c>
      <c r="AG1088">
        <v>45</v>
      </c>
      <c r="AH1088">
        <v>275</v>
      </c>
      <c r="AI1088" s="2">
        <f>Table__192.168.3.138DYLAgingReport[[#This Row],[NetAmount]]-Table__192.168.3.138DYLAgingReport[[#This Row],[Paid]]</f>
        <v>26692</v>
      </c>
    </row>
    <row r="1089" spans="1:35">
      <c r="A1089" t="s">
        <v>2503</v>
      </c>
      <c r="B1089" s="1">
        <v>41020</v>
      </c>
      <c r="C1089" s="1">
        <v>41065</v>
      </c>
      <c r="D1089" t="s">
        <v>172</v>
      </c>
      <c r="E1089">
        <v>57000</v>
      </c>
      <c r="F1089">
        <v>9120</v>
      </c>
      <c r="G1089">
        <v>0</v>
      </c>
      <c r="H1089">
        <v>0</v>
      </c>
      <c r="I1089">
        <v>230</v>
      </c>
      <c r="J1089">
        <v>66120</v>
      </c>
      <c r="K1089" t="s">
        <v>2504</v>
      </c>
      <c r="L1089" s="1">
        <v>41038</v>
      </c>
      <c r="N1089" t="s">
        <v>36</v>
      </c>
      <c r="O1089" t="s">
        <v>37</v>
      </c>
      <c r="P1089" t="s">
        <v>309</v>
      </c>
      <c r="Q1089" t="s">
        <v>39</v>
      </c>
      <c r="R1089" t="s">
        <v>40</v>
      </c>
      <c r="S1089">
        <v>0</v>
      </c>
      <c r="U1089" t="s">
        <v>41</v>
      </c>
      <c r="V1089" t="s">
        <v>42</v>
      </c>
      <c r="X1089" t="s">
        <v>74</v>
      </c>
      <c r="Y1089" t="b">
        <v>0</v>
      </c>
      <c r="Z1089" t="b">
        <v>0</v>
      </c>
      <c r="AC1089" s="1"/>
      <c r="AF1089">
        <v>0</v>
      </c>
      <c r="AG1089">
        <v>45</v>
      </c>
      <c r="AH1089">
        <v>275</v>
      </c>
      <c r="AI1089" s="2">
        <f>Table__192.168.3.138DYLAgingReport[[#This Row],[NetAmount]]-Table__192.168.3.138DYLAgingReport[[#This Row],[Paid]]</f>
        <v>66120</v>
      </c>
    </row>
    <row r="1090" spans="1:35">
      <c r="A1090" t="s">
        <v>2505</v>
      </c>
      <c r="B1090" s="1">
        <v>41013</v>
      </c>
      <c r="C1090" s="1">
        <v>41058</v>
      </c>
      <c r="D1090" t="s">
        <v>172</v>
      </c>
      <c r="E1090">
        <v>24211</v>
      </c>
      <c r="F1090">
        <v>3874</v>
      </c>
      <c r="G1090">
        <v>0</v>
      </c>
      <c r="H1090">
        <v>0</v>
      </c>
      <c r="I1090">
        <v>230</v>
      </c>
      <c r="J1090">
        <v>28085</v>
      </c>
      <c r="K1090" t="s">
        <v>2506</v>
      </c>
      <c r="L1090" s="1">
        <v>41038</v>
      </c>
      <c r="N1090" t="s">
        <v>36</v>
      </c>
      <c r="O1090" t="s">
        <v>37</v>
      </c>
      <c r="P1090" t="s">
        <v>309</v>
      </c>
      <c r="Q1090" t="s">
        <v>39</v>
      </c>
      <c r="R1090" t="s">
        <v>40</v>
      </c>
      <c r="S1090">
        <v>0</v>
      </c>
      <c r="U1090" t="s">
        <v>41</v>
      </c>
      <c r="V1090" t="s">
        <v>42</v>
      </c>
      <c r="X1090" t="s">
        <v>74</v>
      </c>
      <c r="Y1090" t="b">
        <v>0</v>
      </c>
      <c r="Z1090" t="b">
        <v>0</v>
      </c>
      <c r="AC1090" s="1"/>
      <c r="AF1090">
        <v>0</v>
      </c>
      <c r="AG1090">
        <v>45</v>
      </c>
      <c r="AH1090">
        <v>275</v>
      </c>
      <c r="AI1090" s="2">
        <f>Table__192.168.3.138DYLAgingReport[[#This Row],[NetAmount]]-Table__192.168.3.138DYLAgingReport[[#This Row],[Paid]]</f>
        <v>28085</v>
      </c>
    </row>
    <row r="1091" spans="1:35">
      <c r="A1091" t="s">
        <v>2507</v>
      </c>
      <c r="B1091" s="1">
        <v>41066</v>
      </c>
      <c r="C1091" s="1">
        <v>41111</v>
      </c>
      <c r="D1091" t="s">
        <v>193</v>
      </c>
      <c r="E1091">
        <v>90724</v>
      </c>
      <c r="F1091">
        <v>14516</v>
      </c>
      <c r="G1091">
        <v>0</v>
      </c>
      <c r="H1091">
        <v>105238</v>
      </c>
      <c r="I1091">
        <v>207</v>
      </c>
      <c r="J1091">
        <v>105240</v>
      </c>
      <c r="K1091" t="s">
        <v>2508</v>
      </c>
      <c r="L1091" s="1">
        <v>41061</v>
      </c>
      <c r="N1091" t="s">
        <v>36</v>
      </c>
      <c r="O1091" t="s">
        <v>37</v>
      </c>
      <c r="P1091" t="s">
        <v>330</v>
      </c>
      <c r="Q1091" t="s">
        <v>39</v>
      </c>
      <c r="R1091" t="s">
        <v>40</v>
      </c>
      <c r="S1091">
        <v>0</v>
      </c>
      <c r="T1091" t="s">
        <v>2509</v>
      </c>
      <c r="U1091" t="s">
        <v>41</v>
      </c>
      <c r="V1091" t="s">
        <v>42</v>
      </c>
      <c r="X1091" t="s">
        <v>74</v>
      </c>
      <c r="Y1091" t="b">
        <v>0</v>
      </c>
      <c r="Z1091" t="b">
        <v>0</v>
      </c>
      <c r="AC1091" s="1"/>
      <c r="AF1091">
        <v>0</v>
      </c>
      <c r="AG1091">
        <v>45</v>
      </c>
      <c r="AH1091">
        <v>252</v>
      </c>
      <c r="AI1091" s="2">
        <f>Table__192.168.3.138DYLAgingReport[[#This Row],[NetAmount]]-Table__192.168.3.138DYLAgingReport[[#This Row],[Paid]]</f>
        <v>105240</v>
      </c>
    </row>
    <row r="1092" spans="1:35">
      <c r="A1092" t="s">
        <v>2510</v>
      </c>
      <c r="B1092" s="1">
        <v>41065</v>
      </c>
      <c r="C1092" s="1">
        <v>41110</v>
      </c>
      <c r="D1092" t="s">
        <v>187</v>
      </c>
      <c r="E1092">
        <v>51520</v>
      </c>
      <c r="F1092">
        <v>0</v>
      </c>
      <c r="G1092">
        <v>0</v>
      </c>
      <c r="H1092">
        <v>0</v>
      </c>
      <c r="I1092">
        <v>203</v>
      </c>
      <c r="J1092">
        <v>51520</v>
      </c>
      <c r="K1092" t="s">
        <v>2511</v>
      </c>
      <c r="L1092" s="1">
        <v>41065</v>
      </c>
      <c r="N1092" t="s">
        <v>36</v>
      </c>
      <c r="O1092" t="s">
        <v>37</v>
      </c>
      <c r="P1092" t="s">
        <v>324</v>
      </c>
      <c r="Q1092" t="s">
        <v>39</v>
      </c>
      <c r="R1092" t="s">
        <v>40</v>
      </c>
      <c r="S1092">
        <v>0</v>
      </c>
      <c r="U1092" t="s">
        <v>41</v>
      </c>
      <c r="V1092" t="s">
        <v>42</v>
      </c>
      <c r="X1092" t="s">
        <v>74</v>
      </c>
      <c r="Y1092" t="b">
        <v>0</v>
      </c>
      <c r="Z1092" t="b">
        <v>0</v>
      </c>
      <c r="AC1092" s="1"/>
      <c r="AF1092">
        <v>0</v>
      </c>
      <c r="AG1092">
        <v>45</v>
      </c>
      <c r="AH1092">
        <v>248</v>
      </c>
      <c r="AI1092" s="2">
        <f>Table__192.168.3.138DYLAgingReport[[#This Row],[NetAmount]]-Table__192.168.3.138DYLAgingReport[[#This Row],[Paid]]</f>
        <v>51520</v>
      </c>
    </row>
    <row r="1093" spans="1:35">
      <c r="A1093" t="s">
        <v>2512</v>
      </c>
      <c r="B1093" s="1">
        <v>41068</v>
      </c>
      <c r="C1093" s="1">
        <v>41113</v>
      </c>
      <c r="D1093" t="s">
        <v>200</v>
      </c>
      <c r="E1093">
        <v>234500</v>
      </c>
      <c r="F1093">
        <v>37520</v>
      </c>
      <c r="G1093">
        <v>0</v>
      </c>
      <c r="H1093">
        <v>0</v>
      </c>
      <c r="I1093">
        <v>200</v>
      </c>
      <c r="J1093">
        <v>272020</v>
      </c>
      <c r="K1093" t="s">
        <v>2513</v>
      </c>
      <c r="L1093" s="1">
        <v>41068</v>
      </c>
      <c r="N1093" t="s">
        <v>36</v>
      </c>
      <c r="O1093" t="s">
        <v>37</v>
      </c>
      <c r="P1093" t="s">
        <v>337</v>
      </c>
      <c r="Q1093" t="s">
        <v>39</v>
      </c>
      <c r="R1093" t="s">
        <v>40</v>
      </c>
      <c r="S1093">
        <v>0</v>
      </c>
      <c r="U1093" t="s">
        <v>41</v>
      </c>
      <c r="V1093" t="s">
        <v>42</v>
      </c>
      <c r="X1093" t="s">
        <v>74</v>
      </c>
      <c r="Y1093" t="b">
        <v>0</v>
      </c>
      <c r="Z1093" t="b">
        <v>0</v>
      </c>
      <c r="AC1093" s="1"/>
      <c r="AF1093">
        <v>0</v>
      </c>
      <c r="AG1093">
        <v>45</v>
      </c>
      <c r="AH1093">
        <v>245</v>
      </c>
      <c r="AI1093" s="2">
        <f>Table__192.168.3.138DYLAgingReport[[#This Row],[NetAmount]]-Table__192.168.3.138DYLAgingReport[[#This Row],[Paid]]</f>
        <v>272020</v>
      </c>
    </row>
    <row r="1094" spans="1:35">
      <c r="A1094" t="s">
        <v>2514</v>
      </c>
      <c r="B1094" s="1">
        <v>41071</v>
      </c>
      <c r="C1094" s="1">
        <v>41116</v>
      </c>
      <c r="D1094" t="s">
        <v>172</v>
      </c>
      <c r="E1094">
        <v>70771</v>
      </c>
      <c r="F1094">
        <v>11323</v>
      </c>
      <c r="G1094">
        <v>0</v>
      </c>
      <c r="H1094">
        <v>0</v>
      </c>
      <c r="I1094">
        <v>197</v>
      </c>
      <c r="J1094">
        <v>82094</v>
      </c>
      <c r="K1094" t="s">
        <v>2515</v>
      </c>
      <c r="L1094" s="1">
        <v>41071</v>
      </c>
      <c r="N1094" t="s">
        <v>36</v>
      </c>
      <c r="O1094" t="s">
        <v>37</v>
      </c>
      <c r="P1094" t="s">
        <v>309</v>
      </c>
      <c r="Q1094" t="s">
        <v>39</v>
      </c>
      <c r="R1094" t="s">
        <v>40</v>
      </c>
      <c r="S1094">
        <v>0</v>
      </c>
      <c r="U1094" t="s">
        <v>41</v>
      </c>
      <c r="V1094" t="s">
        <v>42</v>
      </c>
      <c r="X1094" t="s">
        <v>74</v>
      </c>
      <c r="Y1094" t="b">
        <v>0</v>
      </c>
      <c r="Z1094" t="b">
        <v>0</v>
      </c>
      <c r="AC1094" s="1"/>
      <c r="AF1094">
        <v>0</v>
      </c>
      <c r="AG1094">
        <v>45</v>
      </c>
      <c r="AH1094">
        <v>242</v>
      </c>
      <c r="AI1094" s="2">
        <f>Table__192.168.3.138DYLAgingReport[[#This Row],[NetAmount]]-Table__192.168.3.138DYLAgingReport[[#This Row],[Paid]]</f>
        <v>82094</v>
      </c>
    </row>
    <row r="1095" spans="1:35">
      <c r="A1095" t="s">
        <v>2516</v>
      </c>
      <c r="B1095" s="1">
        <v>41064</v>
      </c>
      <c r="C1095" s="1">
        <v>41109</v>
      </c>
      <c r="D1095" t="s">
        <v>227</v>
      </c>
      <c r="E1095">
        <v>516000</v>
      </c>
      <c r="F1095">
        <v>82560</v>
      </c>
      <c r="G1095">
        <v>0</v>
      </c>
      <c r="H1095">
        <v>0</v>
      </c>
      <c r="I1095">
        <v>206</v>
      </c>
      <c r="J1095">
        <v>598560</v>
      </c>
      <c r="K1095" t="s">
        <v>2517</v>
      </c>
      <c r="L1095" s="1">
        <v>41062</v>
      </c>
      <c r="N1095" t="s">
        <v>36</v>
      </c>
      <c r="O1095" t="s">
        <v>37</v>
      </c>
      <c r="P1095" t="s">
        <v>364</v>
      </c>
      <c r="Q1095" t="s">
        <v>39</v>
      </c>
      <c r="R1095" t="s">
        <v>40</v>
      </c>
      <c r="S1095">
        <v>0</v>
      </c>
      <c r="U1095" t="s">
        <v>41</v>
      </c>
      <c r="V1095" t="s">
        <v>42</v>
      </c>
      <c r="X1095" t="s">
        <v>74</v>
      </c>
      <c r="Y1095" t="b">
        <v>0</v>
      </c>
      <c r="Z1095" t="b">
        <v>0</v>
      </c>
      <c r="AB1095" t="s">
        <v>708</v>
      </c>
      <c r="AC1095" s="1">
        <v>41297</v>
      </c>
      <c r="AD1095" t="s">
        <v>5358</v>
      </c>
      <c r="AE1095" t="s">
        <v>5359</v>
      </c>
      <c r="AF1095">
        <v>493763</v>
      </c>
      <c r="AG1095">
        <v>45</v>
      </c>
      <c r="AH1095">
        <v>251</v>
      </c>
      <c r="AI1095" s="2">
        <f>Table__192.168.3.138DYLAgingReport[[#This Row],[NetAmount]]-Table__192.168.3.138DYLAgingReport[[#This Row],[Paid]]</f>
        <v>104797</v>
      </c>
    </row>
    <row r="1096" spans="1:35">
      <c r="A1096" t="s">
        <v>2518</v>
      </c>
      <c r="B1096" s="1">
        <v>41065</v>
      </c>
      <c r="C1096" s="1">
        <v>41110</v>
      </c>
      <c r="D1096" t="s">
        <v>227</v>
      </c>
      <c r="E1096">
        <v>591500</v>
      </c>
      <c r="F1096">
        <v>94640</v>
      </c>
      <c r="G1096">
        <v>0</v>
      </c>
      <c r="H1096">
        <v>0</v>
      </c>
      <c r="I1096">
        <v>203</v>
      </c>
      <c r="J1096">
        <v>686140</v>
      </c>
      <c r="K1096" t="s">
        <v>2519</v>
      </c>
      <c r="L1096" s="1">
        <v>41065</v>
      </c>
      <c r="N1096" t="s">
        <v>36</v>
      </c>
      <c r="O1096" t="s">
        <v>37</v>
      </c>
      <c r="P1096" t="s">
        <v>364</v>
      </c>
      <c r="Q1096" t="s">
        <v>39</v>
      </c>
      <c r="R1096" t="s">
        <v>40</v>
      </c>
      <c r="S1096">
        <v>0</v>
      </c>
      <c r="U1096" t="s">
        <v>41</v>
      </c>
      <c r="V1096" t="s">
        <v>42</v>
      </c>
      <c r="X1096" t="s">
        <v>74</v>
      </c>
      <c r="Y1096" t="b">
        <v>0</v>
      </c>
      <c r="Z1096" t="b">
        <v>0</v>
      </c>
      <c r="AB1096" t="s">
        <v>708</v>
      </c>
      <c r="AC1096" s="1">
        <v>41297</v>
      </c>
      <c r="AE1096" t="s">
        <v>5359</v>
      </c>
      <c r="AF1096">
        <v>0</v>
      </c>
      <c r="AG1096">
        <v>45</v>
      </c>
      <c r="AH1096">
        <v>248</v>
      </c>
      <c r="AI1096" s="2">
        <f>Table__192.168.3.138DYLAgingReport[[#This Row],[NetAmount]]-Table__192.168.3.138DYLAgingReport[[#This Row],[Paid]]</f>
        <v>686140</v>
      </c>
    </row>
    <row r="1097" spans="1:35">
      <c r="A1097" t="s">
        <v>2520</v>
      </c>
      <c r="B1097" s="1">
        <v>41065</v>
      </c>
      <c r="C1097" s="1">
        <v>41110</v>
      </c>
      <c r="D1097" t="s">
        <v>227</v>
      </c>
      <c r="E1097">
        <v>365500</v>
      </c>
      <c r="F1097">
        <v>58480</v>
      </c>
      <c r="G1097">
        <v>0</v>
      </c>
      <c r="H1097">
        <v>0</v>
      </c>
      <c r="I1097">
        <v>203</v>
      </c>
      <c r="J1097">
        <v>423980</v>
      </c>
      <c r="K1097" t="s">
        <v>2521</v>
      </c>
      <c r="L1097" s="1">
        <v>41065</v>
      </c>
      <c r="N1097" t="s">
        <v>36</v>
      </c>
      <c r="O1097" t="s">
        <v>37</v>
      </c>
      <c r="P1097" t="s">
        <v>364</v>
      </c>
      <c r="Q1097" t="s">
        <v>39</v>
      </c>
      <c r="R1097" t="s">
        <v>40</v>
      </c>
      <c r="S1097">
        <v>0</v>
      </c>
      <c r="U1097" t="s">
        <v>41</v>
      </c>
      <c r="V1097" t="s">
        <v>42</v>
      </c>
      <c r="X1097" t="s">
        <v>74</v>
      </c>
      <c r="Y1097" t="b">
        <v>0</v>
      </c>
      <c r="Z1097" t="b">
        <v>0</v>
      </c>
      <c r="AB1097" t="s">
        <v>708</v>
      </c>
      <c r="AC1097" s="1">
        <v>41297</v>
      </c>
      <c r="AE1097" t="s">
        <v>5359</v>
      </c>
      <c r="AF1097">
        <v>0</v>
      </c>
      <c r="AG1097">
        <v>45</v>
      </c>
      <c r="AH1097">
        <v>248</v>
      </c>
      <c r="AI1097" s="2">
        <f>Table__192.168.3.138DYLAgingReport[[#This Row],[NetAmount]]-Table__192.168.3.138DYLAgingReport[[#This Row],[Paid]]</f>
        <v>423980</v>
      </c>
    </row>
    <row r="1098" spans="1:35">
      <c r="A1098" t="s">
        <v>2522</v>
      </c>
      <c r="B1098" s="1">
        <v>41069</v>
      </c>
      <c r="C1098" s="1">
        <v>41114</v>
      </c>
      <c r="D1098" t="s">
        <v>205</v>
      </c>
      <c r="E1098">
        <v>330000</v>
      </c>
      <c r="F1098">
        <v>52800</v>
      </c>
      <c r="G1098">
        <v>0</v>
      </c>
      <c r="H1098">
        <v>0</v>
      </c>
      <c r="I1098">
        <v>200</v>
      </c>
      <c r="J1098">
        <v>382800</v>
      </c>
      <c r="K1098" t="s">
        <v>2523</v>
      </c>
      <c r="L1098" s="1">
        <v>41068</v>
      </c>
      <c r="N1098" t="s">
        <v>36</v>
      </c>
      <c r="O1098" t="s">
        <v>37</v>
      </c>
      <c r="P1098" t="s">
        <v>342</v>
      </c>
      <c r="Q1098" t="s">
        <v>39</v>
      </c>
      <c r="R1098" t="s">
        <v>40</v>
      </c>
      <c r="S1098">
        <v>0</v>
      </c>
      <c r="U1098" t="s">
        <v>41</v>
      </c>
      <c r="V1098" t="s">
        <v>42</v>
      </c>
      <c r="X1098" t="s">
        <v>74</v>
      </c>
      <c r="Y1098" t="b">
        <v>0</v>
      </c>
      <c r="Z1098" t="b">
        <v>0</v>
      </c>
      <c r="AC1098" s="1"/>
      <c r="AF1098">
        <v>0</v>
      </c>
      <c r="AG1098">
        <v>45</v>
      </c>
      <c r="AH1098">
        <v>245</v>
      </c>
      <c r="AI1098" s="2">
        <f>Table__192.168.3.138DYLAgingReport[[#This Row],[NetAmount]]-Table__192.168.3.138DYLAgingReport[[#This Row],[Paid]]</f>
        <v>382800</v>
      </c>
    </row>
    <row r="1099" spans="1:35">
      <c r="A1099" t="s">
        <v>2524</v>
      </c>
      <c r="B1099" s="1">
        <v>41073</v>
      </c>
      <c r="C1099" s="1">
        <v>41118</v>
      </c>
      <c r="D1099" t="s">
        <v>257</v>
      </c>
      <c r="E1099">
        <v>352000</v>
      </c>
      <c r="F1099">
        <v>56320</v>
      </c>
      <c r="G1099">
        <v>0</v>
      </c>
      <c r="H1099">
        <v>0</v>
      </c>
      <c r="I1099">
        <v>197</v>
      </c>
      <c r="J1099">
        <v>408320</v>
      </c>
      <c r="K1099" t="s">
        <v>2525</v>
      </c>
      <c r="L1099" s="1">
        <v>41071</v>
      </c>
      <c r="N1099" t="s">
        <v>36</v>
      </c>
      <c r="O1099" t="s">
        <v>37</v>
      </c>
      <c r="P1099" t="s">
        <v>394</v>
      </c>
      <c r="Q1099" t="s">
        <v>39</v>
      </c>
      <c r="R1099" t="s">
        <v>40</v>
      </c>
      <c r="S1099">
        <v>0</v>
      </c>
      <c r="U1099" t="s">
        <v>41</v>
      </c>
      <c r="V1099" t="s">
        <v>42</v>
      </c>
      <c r="X1099" t="s">
        <v>74</v>
      </c>
      <c r="Y1099" t="b">
        <v>0</v>
      </c>
      <c r="Z1099" t="b">
        <v>0</v>
      </c>
      <c r="AC1099" s="1"/>
      <c r="AF1099">
        <v>0</v>
      </c>
      <c r="AG1099">
        <v>45</v>
      </c>
      <c r="AH1099">
        <v>242</v>
      </c>
      <c r="AI1099" s="2">
        <f>Table__192.168.3.138DYLAgingReport[[#This Row],[NetAmount]]-Table__192.168.3.138DYLAgingReport[[#This Row],[Paid]]</f>
        <v>408320</v>
      </c>
    </row>
    <row r="1100" spans="1:35">
      <c r="A1100" t="s">
        <v>2526</v>
      </c>
      <c r="B1100" s="1">
        <v>41073</v>
      </c>
      <c r="C1100" s="1">
        <v>41118</v>
      </c>
      <c r="D1100" t="s">
        <v>257</v>
      </c>
      <c r="E1100">
        <v>480000</v>
      </c>
      <c r="F1100">
        <v>76800</v>
      </c>
      <c r="G1100">
        <v>0</v>
      </c>
      <c r="H1100">
        <v>0</v>
      </c>
      <c r="I1100">
        <v>197</v>
      </c>
      <c r="J1100">
        <v>556800</v>
      </c>
      <c r="K1100" t="s">
        <v>2527</v>
      </c>
      <c r="L1100" s="1">
        <v>41071</v>
      </c>
      <c r="N1100" t="s">
        <v>36</v>
      </c>
      <c r="O1100" t="s">
        <v>37</v>
      </c>
      <c r="P1100" t="s">
        <v>394</v>
      </c>
      <c r="Q1100" t="s">
        <v>39</v>
      </c>
      <c r="R1100" t="s">
        <v>40</v>
      </c>
      <c r="S1100">
        <v>0</v>
      </c>
      <c r="U1100" t="s">
        <v>41</v>
      </c>
      <c r="V1100" t="s">
        <v>42</v>
      </c>
      <c r="X1100" t="s">
        <v>74</v>
      </c>
      <c r="Y1100" t="b">
        <v>0</v>
      </c>
      <c r="Z1100" t="b">
        <v>0</v>
      </c>
      <c r="AC1100" s="1"/>
      <c r="AF1100">
        <v>0</v>
      </c>
      <c r="AG1100">
        <v>45</v>
      </c>
      <c r="AH1100">
        <v>242</v>
      </c>
      <c r="AI1100" s="2">
        <f>Table__192.168.3.138DYLAgingReport[[#This Row],[NetAmount]]-Table__192.168.3.138DYLAgingReport[[#This Row],[Paid]]</f>
        <v>556800</v>
      </c>
    </row>
    <row r="1101" spans="1:35">
      <c r="A1101" t="s">
        <v>2528</v>
      </c>
      <c r="B1101" s="1">
        <v>41073</v>
      </c>
      <c r="C1101" s="1">
        <v>41118</v>
      </c>
      <c r="D1101" t="s">
        <v>172</v>
      </c>
      <c r="E1101">
        <v>93120</v>
      </c>
      <c r="F1101">
        <v>14899</v>
      </c>
      <c r="G1101">
        <v>0</v>
      </c>
      <c r="H1101">
        <v>0</v>
      </c>
      <c r="I1101">
        <v>190</v>
      </c>
      <c r="J1101">
        <v>108019</v>
      </c>
      <c r="K1101" t="s">
        <v>2529</v>
      </c>
      <c r="L1101" s="1">
        <v>41078</v>
      </c>
      <c r="N1101" t="s">
        <v>36</v>
      </c>
      <c r="O1101" t="s">
        <v>37</v>
      </c>
      <c r="P1101" t="s">
        <v>309</v>
      </c>
      <c r="Q1101" t="s">
        <v>39</v>
      </c>
      <c r="R1101" t="s">
        <v>40</v>
      </c>
      <c r="S1101">
        <v>0</v>
      </c>
      <c r="U1101" t="s">
        <v>41</v>
      </c>
      <c r="V1101" t="s">
        <v>42</v>
      </c>
      <c r="X1101" t="s">
        <v>74</v>
      </c>
      <c r="Y1101" t="b">
        <v>0</v>
      </c>
      <c r="Z1101" t="b">
        <v>0</v>
      </c>
      <c r="AC1101" s="1"/>
      <c r="AF1101">
        <v>0</v>
      </c>
      <c r="AG1101">
        <v>45</v>
      </c>
      <c r="AH1101">
        <v>235</v>
      </c>
      <c r="AI1101" s="2">
        <f>Table__192.168.3.138DYLAgingReport[[#This Row],[NetAmount]]-Table__192.168.3.138DYLAgingReport[[#This Row],[Paid]]</f>
        <v>108019</v>
      </c>
    </row>
    <row r="1102" spans="1:35">
      <c r="A1102" t="s">
        <v>2530</v>
      </c>
      <c r="B1102" s="1">
        <v>41072</v>
      </c>
      <c r="C1102" s="1">
        <v>41117</v>
      </c>
      <c r="D1102" t="s">
        <v>187</v>
      </c>
      <c r="E1102">
        <v>5500</v>
      </c>
      <c r="F1102">
        <v>0</v>
      </c>
      <c r="G1102">
        <v>0</v>
      </c>
      <c r="H1102">
        <v>0</v>
      </c>
      <c r="I1102">
        <v>193</v>
      </c>
      <c r="J1102">
        <v>5500</v>
      </c>
      <c r="K1102" t="s">
        <v>2531</v>
      </c>
      <c r="L1102" s="1">
        <v>41075</v>
      </c>
      <c r="N1102" t="s">
        <v>36</v>
      </c>
      <c r="O1102" t="s">
        <v>37</v>
      </c>
      <c r="P1102" t="s">
        <v>324</v>
      </c>
      <c r="Q1102" t="s">
        <v>39</v>
      </c>
      <c r="R1102" t="s">
        <v>40</v>
      </c>
      <c r="S1102">
        <v>0</v>
      </c>
      <c r="U1102" t="s">
        <v>41</v>
      </c>
      <c r="V1102" t="s">
        <v>42</v>
      </c>
      <c r="X1102" t="s">
        <v>74</v>
      </c>
      <c r="Y1102" t="b">
        <v>0</v>
      </c>
      <c r="Z1102" t="b">
        <v>0</v>
      </c>
      <c r="AC1102" s="1"/>
      <c r="AF1102">
        <v>0</v>
      </c>
      <c r="AG1102">
        <v>45</v>
      </c>
      <c r="AH1102">
        <v>238</v>
      </c>
      <c r="AI1102" s="2">
        <f>Table__192.168.3.138DYLAgingReport[[#This Row],[NetAmount]]-Table__192.168.3.138DYLAgingReport[[#This Row],[Paid]]</f>
        <v>5500</v>
      </c>
    </row>
    <row r="1103" spans="1:35">
      <c r="A1103" t="s">
        <v>2532</v>
      </c>
      <c r="B1103" s="1">
        <v>41071</v>
      </c>
      <c r="C1103" s="1">
        <v>41116</v>
      </c>
      <c r="D1103" t="s">
        <v>227</v>
      </c>
      <c r="E1103">
        <v>117000</v>
      </c>
      <c r="F1103">
        <v>18720</v>
      </c>
      <c r="G1103">
        <v>0</v>
      </c>
      <c r="H1103">
        <v>0</v>
      </c>
      <c r="I1103">
        <v>197</v>
      </c>
      <c r="J1103">
        <v>135720</v>
      </c>
      <c r="K1103" t="s">
        <v>2533</v>
      </c>
      <c r="L1103" s="1">
        <v>41071</v>
      </c>
      <c r="N1103" t="s">
        <v>36</v>
      </c>
      <c r="O1103" t="s">
        <v>37</v>
      </c>
      <c r="P1103" t="s">
        <v>364</v>
      </c>
      <c r="Q1103" t="s">
        <v>39</v>
      </c>
      <c r="R1103" t="s">
        <v>40</v>
      </c>
      <c r="S1103">
        <v>0</v>
      </c>
      <c r="U1103" t="s">
        <v>41</v>
      </c>
      <c r="V1103" t="s">
        <v>42</v>
      </c>
      <c r="X1103" t="s">
        <v>74</v>
      </c>
      <c r="Y1103" t="b">
        <v>0</v>
      </c>
      <c r="Z1103" t="b">
        <v>0</v>
      </c>
      <c r="AB1103" t="s">
        <v>708</v>
      </c>
      <c r="AC1103" s="1">
        <v>41297</v>
      </c>
      <c r="AE1103" t="s">
        <v>5359</v>
      </c>
      <c r="AF1103">
        <v>0</v>
      </c>
      <c r="AG1103">
        <v>45</v>
      </c>
      <c r="AH1103">
        <v>242</v>
      </c>
      <c r="AI1103" s="2">
        <f>Table__192.168.3.138DYLAgingReport[[#This Row],[NetAmount]]-Table__192.168.3.138DYLAgingReport[[#This Row],[Paid]]</f>
        <v>135720</v>
      </c>
    </row>
    <row r="1104" spans="1:35">
      <c r="A1104" t="s">
        <v>2534</v>
      </c>
      <c r="B1104" s="1">
        <v>41074</v>
      </c>
      <c r="C1104" s="1">
        <v>41119</v>
      </c>
      <c r="D1104" t="s">
        <v>288</v>
      </c>
      <c r="E1104">
        <v>6840</v>
      </c>
      <c r="F1104">
        <v>1094</v>
      </c>
      <c r="G1104">
        <v>0</v>
      </c>
      <c r="H1104">
        <v>0</v>
      </c>
      <c r="I1104">
        <v>194</v>
      </c>
      <c r="J1104">
        <v>7934</v>
      </c>
      <c r="K1104" t="s">
        <v>2535</v>
      </c>
      <c r="L1104" s="1">
        <v>41074</v>
      </c>
      <c r="N1104" t="s">
        <v>36</v>
      </c>
      <c r="O1104" t="s">
        <v>37</v>
      </c>
      <c r="P1104" t="s">
        <v>425</v>
      </c>
      <c r="Q1104" t="s">
        <v>39</v>
      </c>
      <c r="R1104" t="s">
        <v>40</v>
      </c>
      <c r="S1104">
        <v>0</v>
      </c>
      <c r="U1104" t="s">
        <v>41</v>
      </c>
      <c r="V1104" t="s">
        <v>42</v>
      </c>
      <c r="X1104" t="s">
        <v>74</v>
      </c>
      <c r="Y1104" t="b">
        <v>0</v>
      </c>
      <c r="Z1104" t="b">
        <v>0</v>
      </c>
      <c r="AC1104" s="1"/>
      <c r="AF1104">
        <v>0</v>
      </c>
      <c r="AG1104">
        <v>45</v>
      </c>
      <c r="AH1104">
        <v>239</v>
      </c>
      <c r="AI1104" s="2">
        <f>Table__192.168.3.138DYLAgingReport[[#This Row],[NetAmount]]-Table__192.168.3.138DYLAgingReport[[#This Row],[Paid]]</f>
        <v>7934</v>
      </c>
    </row>
    <row r="1105" spans="1:35">
      <c r="A1105" t="s">
        <v>2536</v>
      </c>
      <c r="B1105" s="1">
        <v>41076</v>
      </c>
      <c r="C1105" s="1">
        <v>41121</v>
      </c>
      <c r="D1105" t="s">
        <v>208</v>
      </c>
      <c r="E1105">
        <v>79030</v>
      </c>
      <c r="F1105">
        <v>12645</v>
      </c>
      <c r="G1105">
        <v>0</v>
      </c>
      <c r="H1105">
        <v>0</v>
      </c>
      <c r="I1105">
        <v>193</v>
      </c>
      <c r="J1105">
        <v>91675</v>
      </c>
      <c r="K1105" t="s">
        <v>2537</v>
      </c>
      <c r="L1105" s="1">
        <v>41075</v>
      </c>
      <c r="N1105" t="s">
        <v>36</v>
      </c>
      <c r="O1105" t="s">
        <v>37</v>
      </c>
      <c r="P1105" t="s">
        <v>345</v>
      </c>
      <c r="Q1105" t="s">
        <v>39</v>
      </c>
      <c r="R1105" t="s">
        <v>40</v>
      </c>
      <c r="S1105">
        <v>0</v>
      </c>
      <c r="U1105" t="s">
        <v>41</v>
      </c>
      <c r="V1105" t="s">
        <v>42</v>
      </c>
      <c r="X1105" t="s">
        <v>74</v>
      </c>
      <c r="Y1105" t="b">
        <v>0</v>
      </c>
      <c r="Z1105" t="b">
        <v>0</v>
      </c>
      <c r="AC1105" s="1"/>
      <c r="AF1105">
        <v>0</v>
      </c>
      <c r="AG1105">
        <v>45</v>
      </c>
      <c r="AH1105">
        <v>238</v>
      </c>
      <c r="AI1105" s="2">
        <f>Table__192.168.3.138DYLAgingReport[[#This Row],[NetAmount]]-Table__192.168.3.138DYLAgingReport[[#This Row],[Paid]]</f>
        <v>91675</v>
      </c>
    </row>
    <row r="1106" spans="1:35">
      <c r="A1106" t="s">
        <v>2538</v>
      </c>
      <c r="B1106" s="1">
        <v>41074</v>
      </c>
      <c r="C1106" s="1">
        <v>41119</v>
      </c>
      <c r="D1106" t="s">
        <v>201</v>
      </c>
      <c r="E1106">
        <v>28060</v>
      </c>
      <c r="F1106">
        <v>4490</v>
      </c>
      <c r="G1106">
        <v>0</v>
      </c>
      <c r="H1106">
        <v>0</v>
      </c>
      <c r="I1106">
        <v>194</v>
      </c>
      <c r="J1106">
        <v>32550</v>
      </c>
      <c r="K1106" t="s">
        <v>2539</v>
      </c>
      <c r="L1106" s="1">
        <v>41074</v>
      </c>
      <c r="N1106" t="s">
        <v>36</v>
      </c>
      <c r="O1106" t="s">
        <v>37</v>
      </c>
      <c r="P1106" t="s">
        <v>338</v>
      </c>
      <c r="Q1106" t="s">
        <v>39</v>
      </c>
      <c r="R1106" t="s">
        <v>40</v>
      </c>
      <c r="S1106">
        <v>0</v>
      </c>
      <c r="U1106" t="s">
        <v>41</v>
      </c>
      <c r="V1106" t="s">
        <v>42</v>
      </c>
      <c r="X1106" t="s">
        <v>74</v>
      </c>
      <c r="Y1106" t="b">
        <v>0</v>
      </c>
      <c r="Z1106" t="b">
        <v>0</v>
      </c>
      <c r="AB1106" t="s">
        <v>485</v>
      </c>
      <c r="AC1106" s="1">
        <v>41236</v>
      </c>
      <c r="AF1106">
        <v>0</v>
      </c>
      <c r="AG1106">
        <v>45</v>
      </c>
      <c r="AH1106">
        <v>239</v>
      </c>
      <c r="AI1106" s="2">
        <f>Table__192.168.3.138DYLAgingReport[[#This Row],[NetAmount]]-Table__192.168.3.138DYLAgingReport[[#This Row],[Paid]]</f>
        <v>32550</v>
      </c>
    </row>
    <row r="1107" spans="1:35">
      <c r="A1107" t="s">
        <v>2540</v>
      </c>
      <c r="B1107" s="1">
        <v>41076</v>
      </c>
      <c r="C1107" s="1">
        <v>41121</v>
      </c>
      <c r="D1107" t="s">
        <v>257</v>
      </c>
      <c r="E1107">
        <v>480000</v>
      </c>
      <c r="F1107">
        <v>76800</v>
      </c>
      <c r="G1107">
        <v>0</v>
      </c>
      <c r="H1107">
        <v>0</v>
      </c>
      <c r="I1107">
        <v>192</v>
      </c>
      <c r="J1107">
        <v>556800</v>
      </c>
      <c r="K1107" t="s">
        <v>2541</v>
      </c>
      <c r="L1107" s="1">
        <v>41076</v>
      </c>
      <c r="N1107" t="s">
        <v>36</v>
      </c>
      <c r="O1107" t="s">
        <v>37</v>
      </c>
      <c r="P1107" t="s">
        <v>394</v>
      </c>
      <c r="Q1107" t="s">
        <v>39</v>
      </c>
      <c r="R1107" t="s">
        <v>40</v>
      </c>
      <c r="S1107">
        <v>0</v>
      </c>
      <c r="U1107" t="s">
        <v>41</v>
      </c>
      <c r="V1107" t="s">
        <v>42</v>
      </c>
      <c r="X1107" t="s">
        <v>74</v>
      </c>
      <c r="Y1107" t="b">
        <v>0</v>
      </c>
      <c r="Z1107" t="b">
        <v>0</v>
      </c>
      <c r="AC1107" s="1"/>
      <c r="AF1107">
        <v>0</v>
      </c>
      <c r="AG1107">
        <v>45</v>
      </c>
      <c r="AH1107">
        <v>237</v>
      </c>
      <c r="AI1107" s="2">
        <f>Table__192.168.3.138DYLAgingReport[[#This Row],[NetAmount]]-Table__192.168.3.138DYLAgingReport[[#This Row],[Paid]]</f>
        <v>556800</v>
      </c>
    </row>
    <row r="1108" spans="1:35">
      <c r="A1108" t="s">
        <v>2542</v>
      </c>
      <c r="B1108" s="1">
        <v>41076</v>
      </c>
      <c r="C1108" s="1">
        <v>41121</v>
      </c>
      <c r="D1108" t="s">
        <v>172</v>
      </c>
      <c r="E1108">
        <v>93120</v>
      </c>
      <c r="F1108">
        <v>14899</v>
      </c>
      <c r="G1108">
        <v>0</v>
      </c>
      <c r="H1108">
        <v>0</v>
      </c>
      <c r="I1108">
        <v>190</v>
      </c>
      <c r="J1108">
        <v>108019</v>
      </c>
      <c r="K1108" t="s">
        <v>2543</v>
      </c>
      <c r="L1108" s="1">
        <v>41078</v>
      </c>
      <c r="N1108" t="s">
        <v>36</v>
      </c>
      <c r="O1108" t="s">
        <v>37</v>
      </c>
      <c r="P1108" t="s">
        <v>309</v>
      </c>
      <c r="Q1108" t="s">
        <v>39</v>
      </c>
      <c r="R1108" t="s">
        <v>40</v>
      </c>
      <c r="S1108">
        <v>0</v>
      </c>
      <c r="U1108" t="s">
        <v>41</v>
      </c>
      <c r="V1108" t="s">
        <v>42</v>
      </c>
      <c r="X1108" t="s">
        <v>74</v>
      </c>
      <c r="Y1108" t="b">
        <v>0</v>
      </c>
      <c r="Z1108" t="b">
        <v>0</v>
      </c>
      <c r="AC1108" s="1"/>
      <c r="AF1108">
        <v>0</v>
      </c>
      <c r="AG1108">
        <v>45</v>
      </c>
      <c r="AH1108">
        <v>235</v>
      </c>
      <c r="AI1108" s="2">
        <f>Table__192.168.3.138DYLAgingReport[[#This Row],[NetAmount]]-Table__192.168.3.138DYLAgingReport[[#This Row],[Paid]]</f>
        <v>108019</v>
      </c>
    </row>
    <row r="1109" spans="1:35">
      <c r="A1109" t="s">
        <v>2544</v>
      </c>
      <c r="B1109" s="1">
        <v>41067</v>
      </c>
      <c r="C1109" s="1">
        <v>41112</v>
      </c>
      <c r="D1109" t="s">
        <v>187</v>
      </c>
      <c r="E1109">
        <v>54730</v>
      </c>
      <c r="F1109">
        <v>0</v>
      </c>
      <c r="G1109">
        <v>0</v>
      </c>
      <c r="H1109">
        <v>0</v>
      </c>
      <c r="I1109">
        <v>201</v>
      </c>
      <c r="J1109">
        <v>54730</v>
      </c>
      <c r="K1109" t="s">
        <v>846</v>
      </c>
      <c r="L1109" s="1">
        <v>41067</v>
      </c>
      <c r="N1109" t="s">
        <v>36</v>
      </c>
      <c r="O1109" t="s">
        <v>37</v>
      </c>
      <c r="P1109" t="s">
        <v>324</v>
      </c>
      <c r="Q1109" t="s">
        <v>39</v>
      </c>
      <c r="R1109" t="s">
        <v>40</v>
      </c>
      <c r="S1109">
        <v>0</v>
      </c>
      <c r="U1109" t="s">
        <v>41</v>
      </c>
      <c r="V1109" t="s">
        <v>42</v>
      </c>
      <c r="X1109" t="s">
        <v>74</v>
      </c>
      <c r="Y1109" t="b">
        <v>0</v>
      </c>
      <c r="Z1109" t="b">
        <v>0</v>
      </c>
      <c r="AC1109" s="1"/>
      <c r="AF1109">
        <v>0</v>
      </c>
      <c r="AG1109">
        <v>45</v>
      </c>
      <c r="AH1109">
        <v>246</v>
      </c>
      <c r="AI1109" s="2">
        <f>Table__192.168.3.138DYLAgingReport[[#This Row],[NetAmount]]-Table__192.168.3.138DYLAgingReport[[#This Row],[Paid]]</f>
        <v>54730</v>
      </c>
    </row>
    <row r="1110" spans="1:35">
      <c r="A1110" t="s">
        <v>2545</v>
      </c>
      <c r="B1110" s="1">
        <v>41075</v>
      </c>
      <c r="C1110" s="1">
        <v>41120</v>
      </c>
      <c r="D1110" t="s">
        <v>227</v>
      </c>
      <c r="E1110">
        <v>220000</v>
      </c>
      <c r="F1110">
        <v>35200</v>
      </c>
      <c r="G1110">
        <v>0</v>
      </c>
      <c r="H1110">
        <v>0</v>
      </c>
      <c r="I1110">
        <v>193</v>
      </c>
      <c r="J1110">
        <v>255200</v>
      </c>
      <c r="K1110" t="s">
        <v>2546</v>
      </c>
      <c r="L1110" s="1">
        <v>41075</v>
      </c>
      <c r="N1110" t="s">
        <v>36</v>
      </c>
      <c r="O1110" t="s">
        <v>37</v>
      </c>
      <c r="P1110" t="s">
        <v>364</v>
      </c>
      <c r="Q1110" t="s">
        <v>39</v>
      </c>
      <c r="R1110" t="s">
        <v>40</v>
      </c>
      <c r="S1110">
        <v>0</v>
      </c>
      <c r="U1110" t="s">
        <v>41</v>
      </c>
      <c r="V1110" t="s">
        <v>42</v>
      </c>
      <c r="X1110" t="s">
        <v>74</v>
      </c>
      <c r="Y1110" t="b">
        <v>0</v>
      </c>
      <c r="Z1110" t="b">
        <v>0</v>
      </c>
      <c r="AB1110" t="s">
        <v>708</v>
      </c>
      <c r="AC1110" s="1">
        <v>41297</v>
      </c>
      <c r="AE1110" t="s">
        <v>5359</v>
      </c>
      <c r="AF1110">
        <v>0</v>
      </c>
      <c r="AG1110">
        <v>45</v>
      </c>
      <c r="AH1110">
        <v>238</v>
      </c>
      <c r="AI1110" s="2">
        <f>Table__192.168.3.138DYLAgingReport[[#This Row],[NetAmount]]-Table__192.168.3.138DYLAgingReport[[#This Row],[Paid]]</f>
        <v>255200</v>
      </c>
    </row>
    <row r="1111" spans="1:35">
      <c r="A1111" t="s">
        <v>2547</v>
      </c>
      <c r="B1111" s="1">
        <v>41078</v>
      </c>
      <c r="C1111" s="1">
        <v>41123</v>
      </c>
      <c r="D1111" t="s">
        <v>288</v>
      </c>
      <c r="E1111">
        <v>13780</v>
      </c>
      <c r="F1111">
        <v>2205</v>
      </c>
      <c r="G1111">
        <v>0</v>
      </c>
      <c r="H1111">
        <v>0</v>
      </c>
      <c r="I1111">
        <v>193</v>
      </c>
      <c r="J1111">
        <v>15985</v>
      </c>
      <c r="K1111" t="s">
        <v>2548</v>
      </c>
      <c r="L1111" s="1">
        <v>41075</v>
      </c>
      <c r="N1111" t="s">
        <v>36</v>
      </c>
      <c r="O1111" t="s">
        <v>37</v>
      </c>
      <c r="P1111" t="s">
        <v>425</v>
      </c>
      <c r="Q1111" t="s">
        <v>39</v>
      </c>
      <c r="R1111" t="s">
        <v>40</v>
      </c>
      <c r="S1111">
        <v>0</v>
      </c>
      <c r="U1111" t="s">
        <v>41</v>
      </c>
      <c r="V1111" t="s">
        <v>42</v>
      </c>
      <c r="X1111" t="s">
        <v>74</v>
      </c>
      <c r="Y1111" t="b">
        <v>0</v>
      </c>
      <c r="Z1111" t="b">
        <v>0</v>
      </c>
      <c r="AC1111" s="1"/>
      <c r="AF1111">
        <v>0</v>
      </c>
      <c r="AG1111">
        <v>45</v>
      </c>
      <c r="AH1111">
        <v>238</v>
      </c>
      <c r="AI1111" s="2">
        <f>Table__192.168.3.138DYLAgingReport[[#This Row],[NetAmount]]-Table__192.168.3.138DYLAgingReport[[#This Row],[Paid]]</f>
        <v>15985</v>
      </c>
    </row>
    <row r="1112" spans="1:35">
      <c r="A1112" t="s">
        <v>2549</v>
      </c>
      <c r="B1112" s="1">
        <v>41076</v>
      </c>
      <c r="C1112" s="1">
        <v>41121</v>
      </c>
      <c r="D1112" t="s">
        <v>207</v>
      </c>
      <c r="E1112">
        <v>15453</v>
      </c>
      <c r="F1112">
        <v>2473</v>
      </c>
      <c r="G1112">
        <v>0</v>
      </c>
      <c r="H1112">
        <v>0</v>
      </c>
      <c r="I1112">
        <v>199</v>
      </c>
      <c r="J1112">
        <v>17926</v>
      </c>
      <c r="K1112" t="s">
        <v>2550</v>
      </c>
      <c r="L1112" s="1">
        <v>41069</v>
      </c>
      <c r="N1112" t="s">
        <v>36</v>
      </c>
      <c r="O1112" t="s">
        <v>37</v>
      </c>
      <c r="P1112" t="s">
        <v>344</v>
      </c>
      <c r="Q1112" t="s">
        <v>39</v>
      </c>
      <c r="R1112" t="s">
        <v>40</v>
      </c>
      <c r="S1112">
        <v>0</v>
      </c>
      <c r="U1112" t="s">
        <v>41</v>
      </c>
      <c r="V1112" t="s">
        <v>42</v>
      </c>
      <c r="X1112" t="s">
        <v>74</v>
      </c>
      <c r="Y1112" t="b">
        <v>0</v>
      </c>
      <c r="Z1112" t="b">
        <v>0</v>
      </c>
      <c r="AB1112" t="s">
        <v>644</v>
      </c>
      <c r="AC1112" s="1">
        <v>41227</v>
      </c>
      <c r="AD1112" t="s">
        <v>2551</v>
      </c>
      <c r="AE1112" t="s">
        <v>645</v>
      </c>
      <c r="AF1112">
        <v>2392</v>
      </c>
      <c r="AG1112">
        <v>45</v>
      </c>
      <c r="AH1112">
        <v>244</v>
      </c>
      <c r="AI1112" s="2">
        <f>Table__192.168.3.138DYLAgingReport[[#This Row],[NetAmount]]-Table__192.168.3.138DYLAgingReport[[#This Row],[Paid]]</f>
        <v>15534</v>
      </c>
    </row>
    <row r="1113" spans="1:35">
      <c r="A1113" t="s">
        <v>2552</v>
      </c>
      <c r="B1113" s="1">
        <v>41078</v>
      </c>
      <c r="C1113" s="1">
        <v>41123</v>
      </c>
      <c r="D1113" t="s">
        <v>207</v>
      </c>
      <c r="E1113">
        <v>28884</v>
      </c>
      <c r="F1113">
        <v>4621</v>
      </c>
      <c r="G1113">
        <v>0</v>
      </c>
      <c r="H1113">
        <v>0</v>
      </c>
      <c r="I1113">
        <v>196</v>
      </c>
      <c r="J1113">
        <v>33505</v>
      </c>
      <c r="K1113" t="s">
        <v>2553</v>
      </c>
      <c r="L1113" s="1">
        <v>41072</v>
      </c>
      <c r="N1113" t="s">
        <v>36</v>
      </c>
      <c r="O1113" t="s">
        <v>37</v>
      </c>
      <c r="P1113" t="s">
        <v>344</v>
      </c>
      <c r="Q1113" t="s">
        <v>39</v>
      </c>
      <c r="R1113" t="s">
        <v>40</v>
      </c>
      <c r="S1113">
        <v>0</v>
      </c>
      <c r="U1113" t="s">
        <v>41</v>
      </c>
      <c r="V1113" t="s">
        <v>42</v>
      </c>
      <c r="X1113" t="s">
        <v>74</v>
      </c>
      <c r="Y1113" t="b">
        <v>0</v>
      </c>
      <c r="Z1113" t="b">
        <v>0</v>
      </c>
      <c r="AB1113" t="s">
        <v>644</v>
      </c>
      <c r="AC1113" s="1">
        <v>41227</v>
      </c>
      <c r="AE1113" t="s">
        <v>645</v>
      </c>
      <c r="AF1113">
        <v>0</v>
      </c>
      <c r="AG1113">
        <v>45</v>
      </c>
      <c r="AH1113">
        <v>241</v>
      </c>
      <c r="AI1113" s="2">
        <f>Table__192.168.3.138DYLAgingReport[[#This Row],[NetAmount]]-Table__192.168.3.138DYLAgingReport[[#This Row],[Paid]]</f>
        <v>33505</v>
      </c>
    </row>
    <row r="1114" spans="1:35">
      <c r="A1114" t="s">
        <v>2554</v>
      </c>
      <c r="B1114" s="1">
        <v>41075</v>
      </c>
      <c r="C1114" s="1">
        <v>41120</v>
      </c>
      <c r="D1114" t="s">
        <v>268</v>
      </c>
      <c r="E1114">
        <v>143500</v>
      </c>
      <c r="F1114">
        <v>22960</v>
      </c>
      <c r="G1114">
        <v>0</v>
      </c>
      <c r="H1114">
        <v>0</v>
      </c>
      <c r="I1114">
        <v>193</v>
      </c>
      <c r="J1114">
        <v>166460</v>
      </c>
      <c r="K1114" t="s">
        <v>2555</v>
      </c>
      <c r="L1114" s="1">
        <v>41075</v>
      </c>
      <c r="N1114" t="s">
        <v>36</v>
      </c>
      <c r="O1114" t="s">
        <v>37</v>
      </c>
      <c r="P1114" t="s">
        <v>405</v>
      </c>
      <c r="Q1114" t="s">
        <v>39</v>
      </c>
      <c r="R1114" t="s">
        <v>40</v>
      </c>
      <c r="S1114">
        <v>0</v>
      </c>
      <c r="U1114" t="s">
        <v>41</v>
      </c>
      <c r="V1114" t="s">
        <v>42</v>
      </c>
      <c r="X1114" t="s">
        <v>74</v>
      </c>
      <c r="Y1114" t="b">
        <v>0</v>
      </c>
      <c r="Z1114" t="b">
        <v>0</v>
      </c>
      <c r="AC1114" s="1"/>
      <c r="AF1114">
        <v>0</v>
      </c>
      <c r="AG1114">
        <v>45</v>
      </c>
      <c r="AH1114">
        <v>238</v>
      </c>
      <c r="AI1114" s="2">
        <f>Table__192.168.3.138DYLAgingReport[[#This Row],[NetAmount]]-Table__192.168.3.138DYLAgingReport[[#This Row],[Paid]]</f>
        <v>166460</v>
      </c>
    </row>
    <row r="1115" spans="1:35">
      <c r="A1115" t="s">
        <v>2556</v>
      </c>
      <c r="B1115" s="1">
        <v>41073</v>
      </c>
      <c r="C1115" s="1">
        <v>41118</v>
      </c>
      <c r="D1115" t="s">
        <v>166</v>
      </c>
      <c r="E1115">
        <v>175000</v>
      </c>
      <c r="F1115">
        <v>28000</v>
      </c>
      <c r="G1115">
        <v>0</v>
      </c>
      <c r="H1115">
        <v>0</v>
      </c>
      <c r="I1115">
        <v>199</v>
      </c>
      <c r="J1115">
        <v>203000</v>
      </c>
      <c r="K1115" t="s">
        <v>2557</v>
      </c>
      <c r="L1115" s="1">
        <v>41069</v>
      </c>
      <c r="N1115" t="s">
        <v>36</v>
      </c>
      <c r="O1115" t="s">
        <v>37</v>
      </c>
      <c r="P1115" t="s">
        <v>303</v>
      </c>
      <c r="Q1115" t="s">
        <v>39</v>
      </c>
      <c r="R1115" t="s">
        <v>40</v>
      </c>
      <c r="S1115">
        <v>0</v>
      </c>
      <c r="U1115" t="s">
        <v>41</v>
      </c>
      <c r="V1115" t="s">
        <v>42</v>
      </c>
      <c r="X1115" t="s">
        <v>74</v>
      </c>
      <c r="Y1115" t="b">
        <v>0</v>
      </c>
      <c r="Z1115" t="b">
        <v>0</v>
      </c>
      <c r="AB1115" t="s">
        <v>2039</v>
      </c>
      <c r="AC1115" s="1">
        <v>41269</v>
      </c>
      <c r="AF1115">
        <v>0</v>
      </c>
      <c r="AG1115">
        <v>45</v>
      </c>
      <c r="AH1115">
        <v>244</v>
      </c>
      <c r="AI1115" s="2">
        <f>Table__192.168.3.138DYLAgingReport[[#This Row],[NetAmount]]-Table__192.168.3.138DYLAgingReport[[#This Row],[Paid]]</f>
        <v>203000</v>
      </c>
    </row>
    <row r="1116" spans="1:35">
      <c r="A1116" t="s">
        <v>2558</v>
      </c>
      <c r="B1116" s="1">
        <v>41073</v>
      </c>
      <c r="C1116" s="1">
        <v>41118</v>
      </c>
      <c r="D1116" t="s">
        <v>166</v>
      </c>
      <c r="E1116">
        <v>7900</v>
      </c>
      <c r="F1116">
        <v>1264</v>
      </c>
      <c r="G1116">
        <v>0</v>
      </c>
      <c r="H1116">
        <v>0</v>
      </c>
      <c r="I1116">
        <v>199</v>
      </c>
      <c r="J1116">
        <v>9164</v>
      </c>
      <c r="K1116" t="s">
        <v>2559</v>
      </c>
      <c r="L1116" s="1">
        <v>41069</v>
      </c>
      <c r="N1116" t="s">
        <v>36</v>
      </c>
      <c r="O1116" t="s">
        <v>37</v>
      </c>
      <c r="P1116" t="s">
        <v>303</v>
      </c>
      <c r="Q1116" t="s">
        <v>39</v>
      </c>
      <c r="R1116" t="s">
        <v>40</v>
      </c>
      <c r="S1116">
        <v>0</v>
      </c>
      <c r="U1116" t="s">
        <v>41</v>
      </c>
      <c r="V1116" t="s">
        <v>42</v>
      </c>
      <c r="X1116" t="s">
        <v>74</v>
      </c>
      <c r="Y1116" t="b">
        <v>0</v>
      </c>
      <c r="Z1116" t="b">
        <v>0</v>
      </c>
      <c r="AC1116" s="1"/>
      <c r="AF1116">
        <v>0</v>
      </c>
      <c r="AG1116">
        <v>45</v>
      </c>
      <c r="AH1116">
        <v>244</v>
      </c>
      <c r="AI1116" s="2">
        <f>Table__192.168.3.138DYLAgingReport[[#This Row],[NetAmount]]-Table__192.168.3.138DYLAgingReport[[#This Row],[Paid]]</f>
        <v>9164</v>
      </c>
    </row>
    <row r="1117" spans="1:35">
      <c r="A1117" t="s">
        <v>2560</v>
      </c>
      <c r="B1117" s="1">
        <v>41076</v>
      </c>
      <c r="C1117" s="1">
        <v>41121</v>
      </c>
      <c r="D1117" t="s">
        <v>166</v>
      </c>
      <c r="E1117">
        <v>3500</v>
      </c>
      <c r="F1117">
        <v>560</v>
      </c>
      <c r="G1117">
        <v>0</v>
      </c>
      <c r="H1117">
        <v>0</v>
      </c>
      <c r="I1117">
        <v>199</v>
      </c>
      <c r="J1117">
        <v>4060</v>
      </c>
      <c r="K1117" t="s">
        <v>2561</v>
      </c>
      <c r="L1117" s="1">
        <v>41069</v>
      </c>
      <c r="N1117" t="s">
        <v>36</v>
      </c>
      <c r="O1117" t="s">
        <v>37</v>
      </c>
      <c r="P1117" t="s">
        <v>303</v>
      </c>
      <c r="Q1117" t="s">
        <v>39</v>
      </c>
      <c r="R1117" t="s">
        <v>40</v>
      </c>
      <c r="S1117">
        <v>0</v>
      </c>
      <c r="U1117" t="s">
        <v>41</v>
      </c>
      <c r="V1117" t="s">
        <v>42</v>
      </c>
      <c r="X1117" t="s">
        <v>74</v>
      </c>
      <c r="Y1117" t="b">
        <v>0</v>
      </c>
      <c r="Z1117" t="b">
        <v>0</v>
      </c>
      <c r="AC1117" s="1"/>
      <c r="AF1117">
        <v>0</v>
      </c>
      <c r="AG1117">
        <v>45</v>
      </c>
      <c r="AH1117">
        <v>244</v>
      </c>
      <c r="AI1117" s="2">
        <f>Table__192.168.3.138DYLAgingReport[[#This Row],[NetAmount]]-Table__192.168.3.138DYLAgingReport[[#This Row],[Paid]]</f>
        <v>4060</v>
      </c>
    </row>
    <row r="1118" spans="1:35">
      <c r="A1118" t="s">
        <v>2562</v>
      </c>
      <c r="B1118" s="1">
        <v>41076</v>
      </c>
      <c r="C1118" s="1">
        <v>41121</v>
      </c>
      <c r="D1118" t="s">
        <v>166</v>
      </c>
      <c r="E1118">
        <v>19750</v>
      </c>
      <c r="F1118">
        <v>3160</v>
      </c>
      <c r="G1118">
        <v>0</v>
      </c>
      <c r="H1118">
        <v>0</v>
      </c>
      <c r="I1118">
        <v>195</v>
      </c>
      <c r="J1118">
        <v>22910</v>
      </c>
      <c r="K1118" t="s">
        <v>1452</v>
      </c>
      <c r="L1118" s="1">
        <v>41073</v>
      </c>
      <c r="N1118" t="s">
        <v>36</v>
      </c>
      <c r="O1118" t="s">
        <v>37</v>
      </c>
      <c r="P1118" t="s">
        <v>303</v>
      </c>
      <c r="Q1118" t="s">
        <v>39</v>
      </c>
      <c r="R1118" t="s">
        <v>40</v>
      </c>
      <c r="S1118">
        <v>0</v>
      </c>
      <c r="U1118" t="s">
        <v>41</v>
      </c>
      <c r="V1118" t="s">
        <v>42</v>
      </c>
      <c r="X1118" t="s">
        <v>74</v>
      </c>
      <c r="Y1118" t="b">
        <v>0</v>
      </c>
      <c r="Z1118" t="b">
        <v>0</v>
      </c>
      <c r="AC1118" s="1"/>
      <c r="AF1118">
        <v>0</v>
      </c>
      <c r="AG1118">
        <v>45</v>
      </c>
      <c r="AH1118">
        <v>240</v>
      </c>
      <c r="AI1118" s="2">
        <f>Table__192.168.3.138DYLAgingReport[[#This Row],[NetAmount]]-Table__192.168.3.138DYLAgingReport[[#This Row],[Paid]]</f>
        <v>22910</v>
      </c>
    </row>
    <row r="1119" spans="1:35">
      <c r="A1119" t="s">
        <v>2563</v>
      </c>
      <c r="B1119" s="1">
        <v>41076</v>
      </c>
      <c r="C1119" s="1">
        <v>41121</v>
      </c>
      <c r="D1119" t="s">
        <v>166</v>
      </c>
      <c r="E1119">
        <v>19750</v>
      </c>
      <c r="F1119">
        <v>3160</v>
      </c>
      <c r="G1119">
        <v>0</v>
      </c>
      <c r="H1119">
        <v>0</v>
      </c>
      <c r="I1119">
        <v>195</v>
      </c>
      <c r="J1119">
        <v>22910</v>
      </c>
      <c r="K1119" t="s">
        <v>1047</v>
      </c>
      <c r="L1119" s="1">
        <v>41073</v>
      </c>
      <c r="N1119" t="s">
        <v>36</v>
      </c>
      <c r="O1119" t="s">
        <v>37</v>
      </c>
      <c r="P1119" t="s">
        <v>303</v>
      </c>
      <c r="Q1119" t="s">
        <v>39</v>
      </c>
      <c r="R1119" t="s">
        <v>40</v>
      </c>
      <c r="S1119">
        <v>0</v>
      </c>
      <c r="U1119" t="s">
        <v>41</v>
      </c>
      <c r="V1119" t="s">
        <v>42</v>
      </c>
      <c r="X1119" t="s">
        <v>74</v>
      </c>
      <c r="Y1119" t="b">
        <v>0</v>
      </c>
      <c r="Z1119" t="b">
        <v>0</v>
      </c>
      <c r="AC1119" s="1"/>
      <c r="AF1119">
        <v>0</v>
      </c>
      <c r="AG1119">
        <v>45</v>
      </c>
      <c r="AH1119">
        <v>240</v>
      </c>
      <c r="AI1119" s="2">
        <f>Table__192.168.3.138DYLAgingReport[[#This Row],[NetAmount]]-Table__192.168.3.138DYLAgingReport[[#This Row],[Paid]]</f>
        <v>22910</v>
      </c>
    </row>
    <row r="1120" spans="1:35">
      <c r="A1120" t="s">
        <v>2564</v>
      </c>
      <c r="B1120" s="1">
        <v>41058</v>
      </c>
      <c r="C1120" s="1">
        <v>41103</v>
      </c>
      <c r="D1120" t="s">
        <v>187</v>
      </c>
      <c r="E1120">
        <v>124260</v>
      </c>
      <c r="F1120">
        <v>0</v>
      </c>
      <c r="G1120">
        <v>0</v>
      </c>
      <c r="H1120">
        <v>0</v>
      </c>
      <c r="I1120">
        <v>208</v>
      </c>
      <c r="J1120">
        <v>124260</v>
      </c>
      <c r="K1120" t="s">
        <v>2565</v>
      </c>
      <c r="L1120" s="1">
        <v>41060</v>
      </c>
      <c r="N1120" t="s">
        <v>36</v>
      </c>
      <c r="O1120" t="s">
        <v>37</v>
      </c>
      <c r="P1120" t="s">
        <v>324</v>
      </c>
      <c r="Q1120" t="s">
        <v>39</v>
      </c>
      <c r="R1120" t="s">
        <v>40</v>
      </c>
      <c r="S1120">
        <v>0</v>
      </c>
      <c r="U1120" t="s">
        <v>41</v>
      </c>
      <c r="V1120" t="s">
        <v>42</v>
      </c>
      <c r="X1120" t="s">
        <v>74</v>
      </c>
      <c r="Y1120" t="b">
        <v>0</v>
      </c>
      <c r="Z1120" t="b">
        <v>0</v>
      </c>
      <c r="AC1120" s="1"/>
      <c r="AF1120">
        <v>0</v>
      </c>
      <c r="AG1120">
        <v>45</v>
      </c>
      <c r="AH1120">
        <v>253</v>
      </c>
      <c r="AI1120" s="2">
        <f>Table__192.168.3.138DYLAgingReport[[#This Row],[NetAmount]]-Table__192.168.3.138DYLAgingReport[[#This Row],[Paid]]</f>
        <v>124260</v>
      </c>
    </row>
    <row r="1121" spans="1:35">
      <c r="A1121" t="s">
        <v>2566</v>
      </c>
      <c r="B1121" s="1">
        <v>41078</v>
      </c>
      <c r="C1121" s="1">
        <v>41123</v>
      </c>
      <c r="D1121" t="s">
        <v>227</v>
      </c>
      <c r="E1121">
        <v>39000</v>
      </c>
      <c r="F1121">
        <v>6240</v>
      </c>
      <c r="G1121">
        <v>0</v>
      </c>
      <c r="H1121">
        <v>0</v>
      </c>
      <c r="I1121">
        <v>190</v>
      </c>
      <c r="J1121">
        <v>45240</v>
      </c>
      <c r="K1121" t="s">
        <v>2567</v>
      </c>
      <c r="L1121" s="1">
        <v>41078</v>
      </c>
      <c r="N1121" t="s">
        <v>36</v>
      </c>
      <c r="O1121" t="s">
        <v>37</v>
      </c>
      <c r="P1121" t="s">
        <v>364</v>
      </c>
      <c r="Q1121" t="s">
        <v>39</v>
      </c>
      <c r="R1121" t="s">
        <v>40</v>
      </c>
      <c r="S1121">
        <v>0</v>
      </c>
      <c r="U1121" t="s">
        <v>41</v>
      </c>
      <c r="V1121" t="s">
        <v>42</v>
      </c>
      <c r="X1121" t="s">
        <v>74</v>
      </c>
      <c r="Y1121" t="b">
        <v>0</v>
      </c>
      <c r="Z1121" t="b">
        <v>0</v>
      </c>
      <c r="AB1121" t="s">
        <v>708</v>
      </c>
      <c r="AC1121" s="1">
        <v>41297</v>
      </c>
      <c r="AE1121" t="s">
        <v>5359</v>
      </c>
      <c r="AF1121">
        <v>0</v>
      </c>
      <c r="AG1121">
        <v>45</v>
      </c>
      <c r="AH1121">
        <v>235</v>
      </c>
      <c r="AI1121" s="2">
        <f>Table__192.168.3.138DYLAgingReport[[#This Row],[NetAmount]]-Table__192.168.3.138DYLAgingReport[[#This Row],[Paid]]</f>
        <v>45240</v>
      </c>
    </row>
    <row r="1122" spans="1:35">
      <c r="A1122" t="s">
        <v>2568</v>
      </c>
      <c r="B1122" s="1">
        <v>41057</v>
      </c>
      <c r="C1122" s="1">
        <v>41102</v>
      </c>
      <c r="D1122" t="s">
        <v>201</v>
      </c>
      <c r="E1122">
        <v>33111</v>
      </c>
      <c r="F1122">
        <v>5298</v>
      </c>
      <c r="G1122">
        <v>0</v>
      </c>
      <c r="H1122">
        <v>0</v>
      </c>
      <c r="I1122">
        <v>211</v>
      </c>
      <c r="J1122">
        <v>38409</v>
      </c>
      <c r="K1122" t="s">
        <v>2569</v>
      </c>
      <c r="L1122" s="1">
        <v>41057</v>
      </c>
      <c r="N1122" t="s">
        <v>36</v>
      </c>
      <c r="O1122" t="s">
        <v>37</v>
      </c>
      <c r="P1122" t="s">
        <v>338</v>
      </c>
      <c r="Q1122" t="s">
        <v>39</v>
      </c>
      <c r="R1122" t="s">
        <v>40</v>
      </c>
      <c r="S1122">
        <v>0</v>
      </c>
      <c r="U1122" t="s">
        <v>41</v>
      </c>
      <c r="V1122" t="s">
        <v>42</v>
      </c>
      <c r="X1122" t="s">
        <v>74</v>
      </c>
      <c r="Y1122" t="b">
        <v>0</v>
      </c>
      <c r="Z1122" t="b">
        <v>0</v>
      </c>
      <c r="AB1122" t="s">
        <v>485</v>
      </c>
      <c r="AC1122" s="1">
        <v>41236</v>
      </c>
      <c r="AF1122">
        <v>0</v>
      </c>
      <c r="AG1122">
        <v>45</v>
      </c>
      <c r="AH1122">
        <v>256</v>
      </c>
      <c r="AI1122" s="2">
        <f>Table__192.168.3.138DYLAgingReport[[#This Row],[NetAmount]]-Table__192.168.3.138DYLAgingReport[[#This Row],[Paid]]</f>
        <v>38409</v>
      </c>
    </row>
    <row r="1123" spans="1:35">
      <c r="A1123" t="s">
        <v>2570</v>
      </c>
      <c r="B1123" s="1">
        <v>41074</v>
      </c>
      <c r="C1123" s="1">
        <v>41119</v>
      </c>
      <c r="D1123" t="s">
        <v>232</v>
      </c>
      <c r="E1123">
        <v>42325</v>
      </c>
      <c r="F1123">
        <v>6772</v>
      </c>
      <c r="G1123">
        <v>0</v>
      </c>
      <c r="H1123">
        <v>0</v>
      </c>
      <c r="I1123">
        <v>194</v>
      </c>
      <c r="J1123">
        <v>49097</v>
      </c>
      <c r="K1123" t="s">
        <v>2571</v>
      </c>
      <c r="L1123" s="1">
        <v>41074</v>
      </c>
      <c r="M1123" t="s">
        <v>5360</v>
      </c>
      <c r="N1123" t="s">
        <v>36</v>
      </c>
      <c r="O1123" t="s">
        <v>37</v>
      </c>
      <c r="P1123" t="s">
        <v>369</v>
      </c>
      <c r="Q1123" t="s">
        <v>39</v>
      </c>
      <c r="R1123" t="s">
        <v>40</v>
      </c>
      <c r="S1123">
        <v>0</v>
      </c>
      <c r="U1123" t="s">
        <v>41</v>
      </c>
      <c r="V1123" t="s">
        <v>42</v>
      </c>
      <c r="W1123" t="s">
        <v>5343</v>
      </c>
      <c r="X1123" t="s">
        <v>74</v>
      </c>
      <c r="Y1123" t="b">
        <v>0</v>
      </c>
      <c r="Z1123" t="b">
        <v>0</v>
      </c>
      <c r="AA1123" t="b">
        <v>0</v>
      </c>
      <c r="AC1123" s="1"/>
      <c r="AF1123">
        <v>0</v>
      </c>
      <c r="AG1123">
        <v>45</v>
      </c>
      <c r="AH1123">
        <v>239</v>
      </c>
      <c r="AI1123" s="2">
        <f>Table__192.168.3.138DYLAgingReport[[#This Row],[NetAmount]]-Table__192.168.3.138DYLAgingReport[[#This Row],[Paid]]</f>
        <v>49097</v>
      </c>
    </row>
    <row r="1124" spans="1:35">
      <c r="A1124" t="s">
        <v>2572</v>
      </c>
      <c r="B1124" s="1">
        <v>41064</v>
      </c>
      <c r="C1124" s="1">
        <v>41109</v>
      </c>
      <c r="D1124" t="s">
        <v>232</v>
      </c>
      <c r="E1124">
        <v>307244</v>
      </c>
      <c r="F1124">
        <v>49159</v>
      </c>
      <c r="G1124">
        <v>0</v>
      </c>
      <c r="H1124">
        <v>0</v>
      </c>
      <c r="I1124">
        <v>204</v>
      </c>
      <c r="J1124">
        <v>356403</v>
      </c>
      <c r="K1124" t="s">
        <v>2573</v>
      </c>
      <c r="L1124" s="1">
        <v>41064</v>
      </c>
      <c r="N1124" t="s">
        <v>36</v>
      </c>
      <c r="O1124" t="s">
        <v>37</v>
      </c>
      <c r="P1124" t="s">
        <v>369</v>
      </c>
      <c r="Q1124" t="s">
        <v>39</v>
      </c>
      <c r="R1124" t="s">
        <v>40</v>
      </c>
      <c r="S1124">
        <v>0</v>
      </c>
      <c r="U1124" t="s">
        <v>41</v>
      </c>
      <c r="V1124" t="s">
        <v>42</v>
      </c>
      <c r="X1124" t="s">
        <v>74</v>
      </c>
      <c r="Y1124" t="b">
        <v>0</v>
      </c>
      <c r="Z1124" t="b">
        <v>0</v>
      </c>
      <c r="AC1124" s="1"/>
      <c r="AF1124">
        <v>0</v>
      </c>
      <c r="AG1124">
        <v>45</v>
      </c>
      <c r="AH1124">
        <v>249</v>
      </c>
      <c r="AI1124" s="2">
        <f>Table__192.168.3.138DYLAgingReport[[#This Row],[NetAmount]]-Table__192.168.3.138DYLAgingReport[[#This Row],[Paid]]</f>
        <v>356403</v>
      </c>
    </row>
    <row r="1125" spans="1:35">
      <c r="A1125" t="s">
        <v>2574</v>
      </c>
      <c r="B1125" s="1">
        <v>41079</v>
      </c>
      <c r="C1125" s="1">
        <v>41124</v>
      </c>
      <c r="D1125" t="s">
        <v>166</v>
      </c>
      <c r="E1125">
        <v>39500</v>
      </c>
      <c r="F1125">
        <v>6320</v>
      </c>
      <c r="G1125">
        <v>0</v>
      </c>
      <c r="H1125">
        <v>0</v>
      </c>
      <c r="I1125">
        <v>192</v>
      </c>
      <c r="J1125">
        <v>45820</v>
      </c>
      <c r="K1125" t="s">
        <v>2575</v>
      </c>
      <c r="L1125" s="1">
        <v>41076</v>
      </c>
      <c r="N1125" t="s">
        <v>36</v>
      </c>
      <c r="O1125" t="s">
        <v>37</v>
      </c>
      <c r="P1125" t="s">
        <v>303</v>
      </c>
      <c r="Q1125" t="s">
        <v>39</v>
      </c>
      <c r="R1125" t="s">
        <v>40</v>
      </c>
      <c r="S1125">
        <v>0</v>
      </c>
      <c r="U1125" t="s">
        <v>41</v>
      </c>
      <c r="V1125" t="s">
        <v>42</v>
      </c>
      <c r="X1125" t="s">
        <v>74</v>
      </c>
      <c r="Y1125" t="b">
        <v>0</v>
      </c>
      <c r="Z1125" t="b">
        <v>0</v>
      </c>
      <c r="AC1125" s="1"/>
      <c r="AF1125">
        <v>0</v>
      </c>
      <c r="AG1125">
        <v>45</v>
      </c>
      <c r="AH1125">
        <v>237</v>
      </c>
      <c r="AI1125" s="2">
        <f>Table__192.168.3.138DYLAgingReport[[#This Row],[NetAmount]]-Table__192.168.3.138DYLAgingReport[[#This Row],[Paid]]</f>
        <v>45820</v>
      </c>
    </row>
    <row r="1126" spans="1:35">
      <c r="A1126" t="s">
        <v>2576</v>
      </c>
      <c r="B1126" s="1">
        <v>41076</v>
      </c>
      <c r="C1126" s="1">
        <v>41121</v>
      </c>
      <c r="D1126" t="s">
        <v>202</v>
      </c>
      <c r="E1126">
        <v>39035</v>
      </c>
      <c r="F1126">
        <v>6246</v>
      </c>
      <c r="G1126">
        <v>0</v>
      </c>
      <c r="H1126">
        <v>0</v>
      </c>
      <c r="I1126">
        <v>197</v>
      </c>
      <c r="J1126">
        <v>45281</v>
      </c>
      <c r="K1126" t="s">
        <v>2577</v>
      </c>
      <c r="L1126" s="1">
        <v>41071</v>
      </c>
      <c r="N1126" t="s">
        <v>36</v>
      </c>
      <c r="O1126" t="s">
        <v>37</v>
      </c>
      <c r="P1126" t="s">
        <v>339</v>
      </c>
      <c r="Q1126" t="s">
        <v>39</v>
      </c>
      <c r="R1126" t="s">
        <v>40</v>
      </c>
      <c r="S1126">
        <v>0</v>
      </c>
      <c r="U1126" t="s">
        <v>41</v>
      </c>
      <c r="V1126" t="s">
        <v>42</v>
      </c>
      <c r="X1126" t="s">
        <v>74</v>
      </c>
      <c r="Y1126" t="b">
        <v>0</v>
      </c>
      <c r="Z1126" t="b">
        <v>0</v>
      </c>
      <c r="AC1126" s="1"/>
      <c r="AF1126">
        <v>0</v>
      </c>
      <c r="AG1126">
        <v>45</v>
      </c>
      <c r="AH1126">
        <v>242</v>
      </c>
      <c r="AI1126" s="2">
        <f>Table__192.168.3.138DYLAgingReport[[#This Row],[NetAmount]]-Table__192.168.3.138DYLAgingReport[[#This Row],[Paid]]</f>
        <v>45281</v>
      </c>
    </row>
    <row r="1127" spans="1:35">
      <c r="A1127" t="s">
        <v>2578</v>
      </c>
      <c r="B1127" s="1">
        <v>41080</v>
      </c>
      <c r="C1127" s="1">
        <v>41125</v>
      </c>
      <c r="D1127" t="s">
        <v>167</v>
      </c>
      <c r="E1127">
        <v>23586</v>
      </c>
      <c r="F1127">
        <v>3774</v>
      </c>
      <c r="G1127">
        <v>0</v>
      </c>
      <c r="H1127">
        <v>0</v>
      </c>
      <c r="I1127">
        <v>194</v>
      </c>
      <c r="J1127">
        <v>27360</v>
      </c>
      <c r="K1127" t="s">
        <v>2579</v>
      </c>
      <c r="L1127" s="1">
        <v>41074</v>
      </c>
      <c r="N1127" t="s">
        <v>36</v>
      </c>
      <c r="O1127" t="s">
        <v>37</v>
      </c>
      <c r="P1127" t="s">
        <v>304</v>
      </c>
      <c r="Q1127" t="s">
        <v>39</v>
      </c>
      <c r="R1127" t="s">
        <v>40</v>
      </c>
      <c r="S1127">
        <v>0</v>
      </c>
      <c r="U1127" t="s">
        <v>41</v>
      </c>
      <c r="V1127" t="s">
        <v>42</v>
      </c>
      <c r="X1127" t="s">
        <v>74</v>
      </c>
      <c r="Y1127" t="b">
        <v>0</v>
      </c>
      <c r="Z1127" t="b">
        <v>0</v>
      </c>
      <c r="AC1127" s="1"/>
      <c r="AF1127">
        <v>0</v>
      </c>
      <c r="AG1127">
        <v>45</v>
      </c>
      <c r="AH1127">
        <v>239</v>
      </c>
      <c r="AI1127" s="2">
        <f>Table__192.168.3.138DYLAgingReport[[#This Row],[NetAmount]]-Table__192.168.3.138DYLAgingReport[[#This Row],[Paid]]</f>
        <v>27360</v>
      </c>
    </row>
    <row r="1128" spans="1:35">
      <c r="A1128" t="s">
        <v>2580</v>
      </c>
      <c r="B1128" s="1">
        <v>41069</v>
      </c>
      <c r="C1128" s="1">
        <v>41114</v>
      </c>
      <c r="D1128" t="s">
        <v>190</v>
      </c>
      <c r="E1128">
        <v>106926</v>
      </c>
      <c r="F1128">
        <v>17108</v>
      </c>
      <c r="G1128">
        <v>0</v>
      </c>
      <c r="H1128">
        <v>0</v>
      </c>
      <c r="I1128">
        <v>199</v>
      </c>
      <c r="J1128">
        <v>124034</v>
      </c>
      <c r="K1128" t="s">
        <v>2107</v>
      </c>
      <c r="L1128" s="1">
        <v>41069</v>
      </c>
      <c r="N1128" t="s">
        <v>36</v>
      </c>
      <c r="O1128" t="s">
        <v>37</v>
      </c>
      <c r="P1128" t="s">
        <v>327</v>
      </c>
      <c r="Q1128" t="s">
        <v>39</v>
      </c>
      <c r="R1128" t="s">
        <v>40</v>
      </c>
      <c r="S1128">
        <v>0</v>
      </c>
      <c r="U1128" t="s">
        <v>41</v>
      </c>
      <c r="V1128" t="s">
        <v>42</v>
      </c>
      <c r="X1128" t="s">
        <v>74</v>
      </c>
      <c r="Y1128" t="b">
        <v>0</v>
      </c>
      <c r="Z1128" t="b">
        <v>0</v>
      </c>
      <c r="AC1128" s="1"/>
      <c r="AF1128">
        <v>0</v>
      </c>
      <c r="AG1128">
        <v>45</v>
      </c>
      <c r="AH1128">
        <v>244</v>
      </c>
      <c r="AI1128" s="2">
        <f>Table__192.168.3.138DYLAgingReport[[#This Row],[NetAmount]]-Table__192.168.3.138DYLAgingReport[[#This Row],[Paid]]</f>
        <v>124034</v>
      </c>
    </row>
    <row r="1129" spans="1:35">
      <c r="A1129" t="s">
        <v>2581</v>
      </c>
      <c r="B1129" s="1">
        <v>41069</v>
      </c>
      <c r="C1129" s="1">
        <v>41114</v>
      </c>
      <c r="D1129" t="s">
        <v>190</v>
      </c>
      <c r="E1129">
        <v>17500</v>
      </c>
      <c r="F1129">
        <v>2800</v>
      </c>
      <c r="G1129">
        <v>0</v>
      </c>
      <c r="H1129">
        <v>0</v>
      </c>
      <c r="I1129">
        <v>199</v>
      </c>
      <c r="J1129">
        <v>20300</v>
      </c>
      <c r="K1129" t="s">
        <v>2582</v>
      </c>
      <c r="L1129" s="1">
        <v>41069</v>
      </c>
      <c r="M1129" t="s">
        <v>5361</v>
      </c>
      <c r="N1129" t="s">
        <v>36</v>
      </c>
      <c r="O1129" t="s">
        <v>37</v>
      </c>
      <c r="P1129" t="s">
        <v>327</v>
      </c>
      <c r="Q1129" t="s">
        <v>39</v>
      </c>
      <c r="R1129" t="s">
        <v>40</v>
      </c>
      <c r="S1129">
        <v>0</v>
      </c>
      <c r="U1129" t="s">
        <v>41</v>
      </c>
      <c r="V1129" t="s">
        <v>42</v>
      </c>
      <c r="W1129" t="s">
        <v>5337</v>
      </c>
      <c r="X1129" t="s">
        <v>74</v>
      </c>
      <c r="Y1129" t="b">
        <v>0</v>
      </c>
      <c r="Z1129" t="b">
        <v>0</v>
      </c>
      <c r="AA1129" t="b">
        <v>0</v>
      </c>
      <c r="AC1129" s="1"/>
      <c r="AF1129">
        <v>0</v>
      </c>
      <c r="AG1129">
        <v>45</v>
      </c>
      <c r="AH1129">
        <v>244</v>
      </c>
      <c r="AI1129" s="2">
        <f>Table__192.168.3.138DYLAgingReport[[#This Row],[NetAmount]]-Table__192.168.3.138DYLAgingReport[[#This Row],[Paid]]</f>
        <v>20300</v>
      </c>
    </row>
    <row r="1130" spans="1:35">
      <c r="A1130" t="s">
        <v>2583</v>
      </c>
      <c r="B1130" s="1">
        <v>41078</v>
      </c>
      <c r="C1130" s="1">
        <v>41123</v>
      </c>
      <c r="D1130" t="s">
        <v>190</v>
      </c>
      <c r="E1130">
        <v>24500</v>
      </c>
      <c r="F1130">
        <v>3920</v>
      </c>
      <c r="G1130">
        <v>0</v>
      </c>
      <c r="H1130">
        <v>0</v>
      </c>
      <c r="I1130">
        <v>190</v>
      </c>
      <c r="J1130">
        <v>28420</v>
      </c>
      <c r="K1130" t="s">
        <v>2158</v>
      </c>
      <c r="L1130" s="1">
        <v>41078</v>
      </c>
      <c r="M1130" t="s">
        <v>5362</v>
      </c>
      <c r="N1130" t="s">
        <v>36</v>
      </c>
      <c r="O1130" t="s">
        <v>37</v>
      </c>
      <c r="P1130" t="s">
        <v>327</v>
      </c>
      <c r="Q1130" t="s">
        <v>39</v>
      </c>
      <c r="R1130" t="s">
        <v>40</v>
      </c>
      <c r="S1130">
        <v>0</v>
      </c>
      <c r="U1130" t="s">
        <v>41</v>
      </c>
      <c r="V1130" t="s">
        <v>42</v>
      </c>
      <c r="W1130" t="s">
        <v>5337</v>
      </c>
      <c r="X1130" t="s">
        <v>74</v>
      </c>
      <c r="Y1130" t="b">
        <v>0</v>
      </c>
      <c r="Z1130" t="b">
        <v>0</v>
      </c>
      <c r="AA1130" t="b">
        <v>0</v>
      </c>
      <c r="AC1130" s="1"/>
      <c r="AF1130">
        <v>0</v>
      </c>
      <c r="AG1130">
        <v>45</v>
      </c>
      <c r="AH1130">
        <v>235</v>
      </c>
      <c r="AI1130" s="2">
        <f>Table__192.168.3.138DYLAgingReport[[#This Row],[NetAmount]]-Table__192.168.3.138DYLAgingReport[[#This Row],[Paid]]</f>
        <v>28420</v>
      </c>
    </row>
    <row r="1131" spans="1:35">
      <c r="A1131" t="s">
        <v>2584</v>
      </c>
      <c r="B1131" s="1">
        <v>41086</v>
      </c>
      <c r="C1131" s="1">
        <v>41131</v>
      </c>
      <c r="D1131" t="s">
        <v>190</v>
      </c>
      <c r="E1131">
        <v>450</v>
      </c>
      <c r="F1131">
        <v>72</v>
      </c>
      <c r="G1131">
        <v>0</v>
      </c>
      <c r="H1131">
        <v>0</v>
      </c>
      <c r="I1131">
        <v>200</v>
      </c>
      <c r="J1131">
        <v>522</v>
      </c>
      <c r="K1131" t="s">
        <v>2585</v>
      </c>
      <c r="L1131" s="1">
        <v>41068</v>
      </c>
      <c r="M1131" t="s">
        <v>5363</v>
      </c>
      <c r="N1131" t="s">
        <v>36</v>
      </c>
      <c r="O1131" t="s">
        <v>37</v>
      </c>
      <c r="P1131" t="s">
        <v>327</v>
      </c>
      <c r="Q1131" t="s">
        <v>39</v>
      </c>
      <c r="R1131" t="s">
        <v>40</v>
      </c>
      <c r="S1131">
        <v>0</v>
      </c>
      <c r="U1131" t="s">
        <v>41</v>
      </c>
      <c r="V1131" t="s">
        <v>42</v>
      </c>
      <c r="W1131" t="s">
        <v>5337</v>
      </c>
      <c r="X1131" t="s">
        <v>74</v>
      </c>
      <c r="Y1131" t="b">
        <v>0</v>
      </c>
      <c r="Z1131" t="b">
        <v>0</v>
      </c>
      <c r="AA1131" t="b">
        <v>0</v>
      </c>
      <c r="AC1131" s="1"/>
      <c r="AF1131">
        <v>0</v>
      </c>
      <c r="AG1131">
        <v>45</v>
      </c>
      <c r="AH1131">
        <v>245</v>
      </c>
      <c r="AI1131" s="2">
        <f>Table__192.168.3.138DYLAgingReport[[#This Row],[NetAmount]]-Table__192.168.3.138DYLAgingReport[[#This Row],[Paid]]</f>
        <v>522</v>
      </c>
    </row>
    <row r="1132" spans="1:35">
      <c r="A1132" t="s">
        <v>2586</v>
      </c>
      <c r="B1132" s="1">
        <v>41068</v>
      </c>
      <c r="C1132" s="1">
        <v>41113</v>
      </c>
      <c r="D1132" t="s">
        <v>259</v>
      </c>
      <c r="E1132">
        <v>42558</v>
      </c>
      <c r="F1132">
        <v>6809</v>
      </c>
      <c r="G1132">
        <v>0</v>
      </c>
      <c r="H1132">
        <v>0</v>
      </c>
      <c r="I1132">
        <v>200</v>
      </c>
      <c r="J1132">
        <v>49367</v>
      </c>
      <c r="K1132" t="s">
        <v>2587</v>
      </c>
      <c r="L1132" s="1">
        <v>41068</v>
      </c>
      <c r="N1132" t="s">
        <v>36</v>
      </c>
      <c r="O1132" t="s">
        <v>37</v>
      </c>
      <c r="P1132" t="s">
        <v>396</v>
      </c>
      <c r="Q1132" t="s">
        <v>39</v>
      </c>
      <c r="R1132" t="s">
        <v>40</v>
      </c>
      <c r="S1132">
        <v>0</v>
      </c>
      <c r="U1132" t="s">
        <v>41</v>
      </c>
      <c r="V1132" t="s">
        <v>42</v>
      </c>
      <c r="X1132" t="s">
        <v>74</v>
      </c>
      <c r="Y1132" t="b">
        <v>0</v>
      </c>
      <c r="Z1132" t="b">
        <v>0</v>
      </c>
      <c r="AC1132" s="1"/>
      <c r="AF1132">
        <v>0</v>
      </c>
      <c r="AG1132">
        <v>45</v>
      </c>
      <c r="AH1132">
        <v>245</v>
      </c>
      <c r="AI1132" s="2">
        <f>Table__192.168.3.138DYLAgingReport[[#This Row],[NetAmount]]-Table__192.168.3.138DYLAgingReport[[#This Row],[Paid]]</f>
        <v>49367</v>
      </c>
    </row>
    <row r="1133" spans="1:35">
      <c r="A1133" t="s">
        <v>2588</v>
      </c>
      <c r="B1133" s="1">
        <v>41085</v>
      </c>
      <c r="C1133" s="1">
        <v>41130</v>
      </c>
      <c r="D1133" t="s">
        <v>232</v>
      </c>
      <c r="E1133">
        <v>55126</v>
      </c>
      <c r="F1133">
        <v>8820</v>
      </c>
      <c r="G1133">
        <v>0</v>
      </c>
      <c r="H1133">
        <v>0</v>
      </c>
      <c r="I1133">
        <v>183</v>
      </c>
      <c r="J1133">
        <v>63946</v>
      </c>
      <c r="K1133" t="s">
        <v>2589</v>
      </c>
      <c r="L1133" s="1">
        <v>41085</v>
      </c>
      <c r="N1133" t="s">
        <v>36</v>
      </c>
      <c r="O1133" t="s">
        <v>37</v>
      </c>
      <c r="P1133" t="s">
        <v>369</v>
      </c>
      <c r="Q1133" t="s">
        <v>39</v>
      </c>
      <c r="R1133" t="s">
        <v>40</v>
      </c>
      <c r="S1133">
        <v>0</v>
      </c>
      <c r="U1133" t="s">
        <v>41</v>
      </c>
      <c r="V1133" t="s">
        <v>42</v>
      </c>
      <c r="X1133" t="s">
        <v>74</v>
      </c>
      <c r="Y1133" t="b">
        <v>0</v>
      </c>
      <c r="Z1133" t="b">
        <v>0</v>
      </c>
      <c r="AC1133" s="1"/>
      <c r="AF1133">
        <v>0</v>
      </c>
      <c r="AG1133">
        <v>45</v>
      </c>
      <c r="AH1133">
        <v>228</v>
      </c>
      <c r="AI1133" s="2">
        <f>Table__192.168.3.138DYLAgingReport[[#This Row],[NetAmount]]-Table__192.168.3.138DYLAgingReport[[#This Row],[Paid]]</f>
        <v>63946</v>
      </c>
    </row>
    <row r="1134" spans="1:35">
      <c r="A1134" t="s">
        <v>2590</v>
      </c>
      <c r="B1134" s="1">
        <v>41083</v>
      </c>
      <c r="C1134" s="1">
        <v>41128</v>
      </c>
      <c r="D1134" t="s">
        <v>166</v>
      </c>
      <c r="E1134">
        <v>55300</v>
      </c>
      <c r="F1134">
        <v>8848</v>
      </c>
      <c r="G1134">
        <v>0</v>
      </c>
      <c r="H1134">
        <v>0</v>
      </c>
      <c r="I1134">
        <v>188</v>
      </c>
      <c r="J1134">
        <v>64148</v>
      </c>
      <c r="K1134" t="s">
        <v>1007</v>
      </c>
      <c r="L1134" s="1">
        <v>41080</v>
      </c>
      <c r="N1134" t="s">
        <v>36</v>
      </c>
      <c r="O1134" t="s">
        <v>37</v>
      </c>
      <c r="P1134" t="s">
        <v>303</v>
      </c>
      <c r="Q1134" t="s">
        <v>39</v>
      </c>
      <c r="R1134" t="s">
        <v>40</v>
      </c>
      <c r="S1134">
        <v>0</v>
      </c>
      <c r="U1134" t="s">
        <v>41</v>
      </c>
      <c r="V1134" t="s">
        <v>42</v>
      </c>
      <c r="X1134" t="s">
        <v>74</v>
      </c>
      <c r="Y1134" t="b">
        <v>0</v>
      </c>
      <c r="Z1134" t="b">
        <v>0</v>
      </c>
      <c r="AC1134" s="1"/>
      <c r="AF1134">
        <v>0</v>
      </c>
      <c r="AG1134">
        <v>45</v>
      </c>
      <c r="AH1134">
        <v>233</v>
      </c>
      <c r="AI1134" s="2">
        <f>Table__192.168.3.138DYLAgingReport[[#This Row],[NetAmount]]-Table__192.168.3.138DYLAgingReport[[#This Row],[Paid]]</f>
        <v>64148</v>
      </c>
    </row>
    <row r="1135" spans="1:35">
      <c r="A1135" t="s">
        <v>2591</v>
      </c>
      <c r="B1135" s="1">
        <v>41071</v>
      </c>
      <c r="C1135" s="1">
        <v>41116</v>
      </c>
      <c r="D1135" t="s">
        <v>286</v>
      </c>
      <c r="E1135">
        <v>110000</v>
      </c>
      <c r="F1135">
        <v>17600</v>
      </c>
      <c r="G1135">
        <v>0</v>
      </c>
      <c r="H1135">
        <v>0</v>
      </c>
      <c r="I1135">
        <v>187</v>
      </c>
      <c r="J1135">
        <v>127600</v>
      </c>
      <c r="K1135" t="s">
        <v>2592</v>
      </c>
      <c r="L1135" s="1">
        <v>41081</v>
      </c>
      <c r="N1135" t="s">
        <v>36</v>
      </c>
      <c r="O1135" t="s">
        <v>37</v>
      </c>
      <c r="P1135" t="s">
        <v>423</v>
      </c>
      <c r="Q1135" t="s">
        <v>39</v>
      </c>
      <c r="R1135" t="s">
        <v>40</v>
      </c>
      <c r="S1135">
        <v>0</v>
      </c>
      <c r="U1135" t="s">
        <v>41</v>
      </c>
      <c r="V1135" t="s">
        <v>42</v>
      </c>
      <c r="X1135" t="s">
        <v>74</v>
      </c>
      <c r="Y1135" t="b">
        <v>0</v>
      </c>
      <c r="Z1135" t="b">
        <v>0</v>
      </c>
      <c r="AB1135" t="s">
        <v>2593</v>
      </c>
      <c r="AC1135" s="1">
        <v>41281</v>
      </c>
      <c r="AF1135">
        <v>0</v>
      </c>
      <c r="AG1135">
        <v>45</v>
      </c>
      <c r="AH1135">
        <v>232</v>
      </c>
      <c r="AI1135" s="2">
        <f>Table__192.168.3.138DYLAgingReport[[#This Row],[NetAmount]]-Table__192.168.3.138DYLAgingReport[[#This Row],[Paid]]</f>
        <v>127600</v>
      </c>
    </row>
    <row r="1136" spans="1:35">
      <c r="A1136" t="s">
        <v>2594</v>
      </c>
      <c r="B1136" s="1">
        <v>41081</v>
      </c>
      <c r="C1136" s="1">
        <v>41126</v>
      </c>
      <c r="D1136" t="s">
        <v>286</v>
      </c>
      <c r="E1136">
        <v>81450</v>
      </c>
      <c r="F1136">
        <v>13032</v>
      </c>
      <c r="G1136">
        <v>0</v>
      </c>
      <c r="H1136">
        <v>0</v>
      </c>
      <c r="I1136">
        <v>187</v>
      </c>
      <c r="J1136">
        <v>94482</v>
      </c>
      <c r="K1136" t="s">
        <v>2595</v>
      </c>
      <c r="L1136" s="1">
        <v>41081</v>
      </c>
      <c r="N1136" t="s">
        <v>36</v>
      </c>
      <c r="O1136" t="s">
        <v>37</v>
      </c>
      <c r="P1136" t="s">
        <v>423</v>
      </c>
      <c r="Q1136" t="s">
        <v>39</v>
      </c>
      <c r="R1136" t="s">
        <v>40</v>
      </c>
      <c r="S1136">
        <v>0</v>
      </c>
      <c r="U1136" t="s">
        <v>41</v>
      </c>
      <c r="V1136" t="s">
        <v>42</v>
      </c>
      <c r="X1136" t="s">
        <v>74</v>
      </c>
      <c r="Y1136" t="b">
        <v>0</v>
      </c>
      <c r="Z1136" t="b">
        <v>0</v>
      </c>
      <c r="AB1136" t="s">
        <v>2593</v>
      </c>
      <c r="AC1136" s="1">
        <v>41281</v>
      </c>
      <c r="AF1136">
        <v>0</v>
      </c>
      <c r="AG1136">
        <v>45</v>
      </c>
      <c r="AH1136">
        <v>232</v>
      </c>
      <c r="AI1136" s="2">
        <f>Table__192.168.3.138DYLAgingReport[[#This Row],[NetAmount]]-Table__192.168.3.138DYLAgingReport[[#This Row],[Paid]]</f>
        <v>94482</v>
      </c>
    </row>
    <row r="1137" spans="1:35">
      <c r="A1137" t="s">
        <v>2596</v>
      </c>
      <c r="B1137" s="1">
        <v>41086</v>
      </c>
      <c r="C1137" s="1">
        <v>41131</v>
      </c>
      <c r="D1137" t="s">
        <v>194</v>
      </c>
      <c r="E1137">
        <v>102500</v>
      </c>
      <c r="F1137">
        <v>16400</v>
      </c>
      <c r="G1137">
        <v>0</v>
      </c>
      <c r="H1137">
        <v>0</v>
      </c>
      <c r="I1137">
        <v>182</v>
      </c>
      <c r="J1137">
        <v>118900</v>
      </c>
      <c r="K1137" t="s">
        <v>2597</v>
      </c>
      <c r="L1137" s="1">
        <v>41086</v>
      </c>
      <c r="N1137" t="s">
        <v>36</v>
      </c>
      <c r="O1137" t="s">
        <v>37</v>
      </c>
      <c r="P1137" t="s">
        <v>331</v>
      </c>
      <c r="Q1137" t="s">
        <v>39</v>
      </c>
      <c r="R1137" t="s">
        <v>40</v>
      </c>
      <c r="S1137">
        <v>0</v>
      </c>
      <c r="U1137" t="s">
        <v>41</v>
      </c>
      <c r="V1137" t="s">
        <v>42</v>
      </c>
      <c r="X1137" t="s">
        <v>74</v>
      </c>
      <c r="Y1137" t="b">
        <v>0</v>
      </c>
      <c r="Z1137" t="b">
        <v>0</v>
      </c>
      <c r="AC1137" s="1"/>
      <c r="AF1137">
        <v>0</v>
      </c>
      <c r="AG1137">
        <v>45</v>
      </c>
      <c r="AH1137">
        <v>227</v>
      </c>
      <c r="AI1137" s="2">
        <f>Table__192.168.3.138DYLAgingReport[[#This Row],[NetAmount]]-Table__192.168.3.138DYLAgingReport[[#This Row],[Paid]]</f>
        <v>118900</v>
      </c>
    </row>
    <row r="1138" spans="1:35">
      <c r="A1138" t="s">
        <v>2598</v>
      </c>
      <c r="B1138" s="1">
        <v>41086</v>
      </c>
      <c r="C1138" s="1">
        <v>41131</v>
      </c>
      <c r="D1138" t="s">
        <v>194</v>
      </c>
      <c r="E1138">
        <v>128250</v>
      </c>
      <c r="F1138">
        <v>20520</v>
      </c>
      <c r="G1138">
        <v>0</v>
      </c>
      <c r="H1138">
        <v>0</v>
      </c>
      <c r="I1138">
        <v>182</v>
      </c>
      <c r="J1138">
        <v>148770</v>
      </c>
      <c r="K1138" t="s">
        <v>2599</v>
      </c>
      <c r="L1138" s="1">
        <v>41086</v>
      </c>
      <c r="N1138" t="s">
        <v>36</v>
      </c>
      <c r="O1138" t="s">
        <v>37</v>
      </c>
      <c r="P1138" t="s">
        <v>331</v>
      </c>
      <c r="Q1138" t="s">
        <v>39</v>
      </c>
      <c r="R1138" t="s">
        <v>40</v>
      </c>
      <c r="S1138">
        <v>0</v>
      </c>
      <c r="U1138" t="s">
        <v>41</v>
      </c>
      <c r="V1138" t="s">
        <v>42</v>
      </c>
      <c r="X1138" t="s">
        <v>74</v>
      </c>
      <c r="Y1138" t="b">
        <v>0</v>
      </c>
      <c r="Z1138" t="b">
        <v>0</v>
      </c>
      <c r="AC1138" s="1"/>
      <c r="AF1138">
        <v>0</v>
      </c>
      <c r="AG1138">
        <v>45</v>
      </c>
      <c r="AH1138">
        <v>227</v>
      </c>
      <c r="AI1138" s="2">
        <f>Table__192.168.3.138DYLAgingReport[[#This Row],[NetAmount]]-Table__192.168.3.138DYLAgingReport[[#This Row],[Paid]]</f>
        <v>148770</v>
      </c>
    </row>
    <row r="1139" spans="1:35">
      <c r="A1139" t="s">
        <v>2600</v>
      </c>
      <c r="B1139" s="1">
        <v>41086</v>
      </c>
      <c r="C1139" s="1">
        <v>41131</v>
      </c>
      <c r="D1139" t="s">
        <v>257</v>
      </c>
      <c r="E1139">
        <v>21000</v>
      </c>
      <c r="F1139">
        <v>3360</v>
      </c>
      <c r="G1139">
        <v>0</v>
      </c>
      <c r="H1139">
        <v>0</v>
      </c>
      <c r="I1139">
        <v>196</v>
      </c>
      <c r="J1139">
        <v>24360</v>
      </c>
      <c r="K1139" t="s">
        <v>2601</v>
      </c>
      <c r="L1139" s="1">
        <v>41072</v>
      </c>
      <c r="N1139" t="s">
        <v>36</v>
      </c>
      <c r="O1139" t="s">
        <v>37</v>
      </c>
      <c r="P1139" t="s">
        <v>394</v>
      </c>
      <c r="Q1139" t="s">
        <v>39</v>
      </c>
      <c r="R1139" t="s">
        <v>40</v>
      </c>
      <c r="S1139">
        <v>0</v>
      </c>
      <c r="U1139" t="s">
        <v>41</v>
      </c>
      <c r="V1139" t="s">
        <v>42</v>
      </c>
      <c r="X1139" t="s">
        <v>74</v>
      </c>
      <c r="Y1139" t="b">
        <v>0</v>
      </c>
      <c r="Z1139" t="b">
        <v>0</v>
      </c>
      <c r="AC1139" s="1"/>
      <c r="AF1139">
        <v>0</v>
      </c>
      <c r="AG1139">
        <v>45</v>
      </c>
      <c r="AH1139">
        <v>241</v>
      </c>
      <c r="AI1139" s="2">
        <f>Table__192.168.3.138DYLAgingReport[[#This Row],[NetAmount]]-Table__192.168.3.138DYLAgingReport[[#This Row],[Paid]]</f>
        <v>24360</v>
      </c>
    </row>
    <row r="1140" spans="1:35">
      <c r="A1140" t="s">
        <v>2602</v>
      </c>
      <c r="B1140" s="1">
        <v>41086</v>
      </c>
      <c r="C1140" s="1">
        <v>41131</v>
      </c>
      <c r="D1140" t="s">
        <v>257</v>
      </c>
      <c r="E1140">
        <v>40000</v>
      </c>
      <c r="F1140">
        <v>6400</v>
      </c>
      <c r="G1140">
        <v>0</v>
      </c>
      <c r="H1140">
        <v>0</v>
      </c>
      <c r="I1140">
        <v>196</v>
      </c>
      <c r="J1140">
        <v>46400</v>
      </c>
      <c r="K1140" t="s">
        <v>2603</v>
      </c>
      <c r="L1140" s="1">
        <v>41072</v>
      </c>
      <c r="N1140" t="s">
        <v>36</v>
      </c>
      <c r="O1140" t="s">
        <v>37</v>
      </c>
      <c r="P1140" t="s">
        <v>394</v>
      </c>
      <c r="Q1140" t="s">
        <v>39</v>
      </c>
      <c r="R1140" t="s">
        <v>40</v>
      </c>
      <c r="S1140">
        <v>0</v>
      </c>
      <c r="U1140" t="s">
        <v>41</v>
      </c>
      <c r="V1140" t="s">
        <v>42</v>
      </c>
      <c r="X1140" t="s">
        <v>74</v>
      </c>
      <c r="Y1140" t="b">
        <v>0</v>
      </c>
      <c r="Z1140" t="b">
        <v>0</v>
      </c>
      <c r="AC1140" s="1"/>
      <c r="AF1140">
        <v>0</v>
      </c>
      <c r="AG1140">
        <v>45</v>
      </c>
      <c r="AH1140">
        <v>241</v>
      </c>
      <c r="AI1140" s="2">
        <f>Table__192.168.3.138DYLAgingReport[[#This Row],[NetAmount]]-Table__192.168.3.138DYLAgingReport[[#This Row],[Paid]]</f>
        <v>46400</v>
      </c>
    </row>
    <row r="1141" spans="1:35">
      <c r="A1141" t="s">
        <v>2604</v>
      </c>
      <c r="B1141" s="1">
        <v>41086</v>
      </c>
      <c r="C1141" s="1">
        <v>41131</v>
      </c>
      <c r="D1141" t="s">
        <v>257</v>
      </c>
      <c r="E1141">
        <v>63000</v>
      </c>
      <c r="F1141">
        <v>10080</v>
      </c>
      <c r="G1141">
        <v>0</v>
      </c>
      <c r="H1141">
        <v>0</v>
      </c>
      <c r="I1141">
        <v>196</v>
      </c>
      <c r="J1141">
        <v>73080</v>
      </c>
      <c r="K1141" t="s">
        <v>2605</v>
      </c>
      <c r="L1141" s="1">
        <v>41072</v>
      </c>
      <c r="N1141" t="s">
        <v>36</v>
      </c>
      <c r="O1141" t="s">
        <v>37</v>
      </c>
      <c r="P1141" t="s">
        <v>394</v>
      </c>
      <c r="Q1141" t="s">
        <v>39</v>
      </c>
      <c r="R1141" t="s">
        <v>40</v>
      </c>
      <c r="S1141">
        <v>0</v>
      </c>
      <c r="U1141" t="s">
        <v>41</v>
      </c>
      <c r="V1141" t="s">
        <v>42</v>
      </c>
      <c r="X1141" t="s">
        <v>74</v>
      </c>
      <c r="Y1141" t="b">
        <v>0</v>
      </c>
      <c r="Z1141" t="b">
        <v>0</v>
      </c>
      <c r="AC1141" s="1"/>
      <c r="AF1141">
        <v>0</v>
      </c>
      <c r="AG1141">
        <v>45</v>
      </c>
      <c r="AH1141">
        <v>241</v>
      </c>
      <c r="AI1141" s="2">
        <f>Table__192.168.3.138DYLAgingReport[[#This Row],[NetAmount]]-Table__192.168.3.138DYLAgingReport[[#This Row],[Paid]]</f>
        <v>73080</v>
      </c>
    </row>
    <row r="1142" spans="1:35">
      <c r="A1142" t="s">
        <v>2606</v>
      </c>
      <c r="B1142" s="1">
        <v>41086</v>
      </c>
      <c r="C1142" s="1">
        <v>41131</v>
      </c>
      <c r="D1142" t="s">
        <v>257</v>
      </c>
      <c r="E1142">
        <v>40000</v>
      </c>
      <c r="F1142">
        <v>6400</v>
      </c>
      <c r="G1142">
        <v>0</v>
      </c>
      <c r="H1142">
        <v>0</v>
      </c>
      <c r="I1142">
        <v>196</v>
      </c>
      <c r="J1142">
        <v>46400</v>
      </c>
      <c r="K1142" t="s">
        <v>2607</v>
      </c>
      <c r="L1142" s="1">
        <v>41072</v>
      </c>
      <c r="N1142" t="s">
        <v>36</v>
      </c>
      <c r="O1142" t="s">
        <v>37</v>
      </c>
      <c r="P1142" t="s">
        <v>394</v>
      </c>
      <c r="Q1142" t="s">
        <v>39</v>
      </c>
      <c r="R1142" t="s">
        <v>40</v>
      </c>
      <c r="S1142">
        <v>0</v>
      </c>
      <c r="U1142" t="s">
        <v>41</v>
      </c>
      <c r="V1142" t="s">
        <v>42</v>
      </c>
      <c r="X1142" t="s">
        <v>74</v>
      </c>
      <c r="Y1142" t="b">
        <v>0</v>
      </c>
      <c r="Z1142" t="b">
        <v>0</v>
      </c>
      <c r="AC1142" s="1"/>
      <c r="AF1142">
        <v>0</v>
      </c>
      <c r="AG1142">
        <v>45</v>
      </c>
      <c r="AH1142">
        <v>241</v>
      </c>
      <c r="AI1142" s="2">
        <f>Table__192.168.3.138DYLAgingReport[[#This Row],[NetAmount]]-Table__192.168.3.138DYLAgingReport[[#This Row],[Paid]]</f>
        <v>46400</v>
      </c>
    </row>
    <row r="1143" spans="1:35">
      <c r="A1143" t="s">
        <v>2608</v>
      </c>
      <c r="B1143" s="1">
        <v>41086</v>
      </c>
      <c r="C1143" s="1">
        <v>41131</v>
      </c>
      <c r="D1143" t="s">
        <v>257</v>
      </c>
      <c r="E1143">
        <v>900</v>
      </c>
      <c r="F1143">
        <v>144</v>
      </c>
      <c r="G1143">
        <v>0</v>
      </c>
      <c r="H1143">
        <v>0</v>
      </c>
      <c r="I1143">
        <v>196</v>
      </c>
      <c r="J1143">
        <v>1044</v>
      </c>
      <c r="K1143" t="s">
        <v>2609</v>
      </c>
      <c r="L1143" s="1">
        <v>41072</v>
      </c>
      <c r="N1143" t="s">
        <v>36</v>
      </c>
      <c r="O1143" t="s">
        <v>37</v>
      </c>
      <c r="P1143" t="s">
        <v>394</v>
      </c>
      <c r="Q1143" t="s">
        <v>39</v>
      </c>
      <c r="R1143" t="s">
        <v>40</v>
      </c>
      <c r="S1143">
        <v>0</v>
      </c>
      <c r="U1143" t="s">
        <v>41</v>
      </c>
      <c r="V1143" t="s">
        <v>42</v>
      </c>
      <c r="X1143" t="s">
        <v>74</v>
      </c>
      <c r="Y1143" t="b">
        <v>0</v>
      </c>
      <c r="Z1143" t="b">
        <v>0</v>
      </c>
      <c r="AC1143" s="1"/>
      <c r="AF1143">
        <v>0</v>
      </c>
      <c r="AG1143">
        <v>45</v>
      </c>
      <c r="AH1143">
        <v>241</v>
      </c>
      <c r="AI1143" s="2">
        <f>Table__192.168.3.138DYLAgingReport[[#This Row],[NetAmount]]-Table__192.168.3.138DYLAgingReport[[#This Row],[Paid]]</f>
        <v>1044</v>
      </c>
    </row>
    <row r="1144" spans="1:35">
      <c r="A1144" t="s">
        <v>2610</v>
      </c>
      <c r="B1144" s="1">
        <v>41087</v>
      </c>
      <c r="C1144" s="1">
        <v>41132</v>
      </c>
      <c r="D1144" t="s">
        <v>238</v>
      </c>
      <c r="E1144">
        <v>158030</v>
      </c>
      <c r="F1144">
        <v>25285</v>
      </c>
      <c r="G1144">
        <v>0</v>
      </c>
      <c r="H1144">
        <v>0</v>
      </c>
      <c r="I1144">
        <v>232</v>
      </c>
      <c r="J1144">
        <v>183315</v>
      </c>
      <c r="K1144" t="s">
        <v>2611</v>
      </c>
      <c r="L1144" s="1">
        <v>41036</v>
      </c>
      <c r="N1144" t="s">
        <v>36</v>
      </c>
      <c r="O1144" t="s">
        <v>37</v>
      </c>
      <c r="P1144" t="s">
        <v>375</v>
      </c>
      <c r="Q1144" t="s">
        <v>39</v>
      </c>
      <c r="R1144" t="s">
        <v>40</v>
      </c>
      <c r="S1144">
        <v>0</v>
      </c>
      <c r="U1144" t="s">
        <v>41</v>
      </c>
      <c r="V1144" t="s">
        <v>42</v>
      </c>
      <c r="X1144" t="s">
        <v>74</v>
      </c>
      <c r="Y1144" t="b">
        <v>0</v>
      </c>
      <c r="Z1144" t="b">
        <v>0</v>
      </c>
      <c r="AB1144" t="s">
        <v>721</v>
      </c>
      <c r="AC1144" s="1">
        <v>41191</v>
      </c>
      <c r="AE1144" t="s">
        <v>722</v>
      </c>
      <c r="AF1144">
        <v>0</v>
      </c>
      <c r="AG1144">
        <v>45</v>
      </c>
      <c r="AH1144">
        <v>277</v>
      </c>
      <c r="AI1144" s="2">
        <f>Table__192.168.3.138DYLAgingReport[[#This Row],[NetAmount]]-Table__192.168.3.138DYLAgingReport[[#This Row],[Paid]]</f>
        <v>183315</v>
      </c>
    </row>
    <row r="1145" spans="1:35">
      <c r="A1145" t="s">
        <v>2612</v>
      </c>
      <c r="B1145" s="1">
        <v>41070</v>
      </c>
      <c r="C1145" s="1">
        <v>41115</v>
      </c>
      <c r="D1145" t="s">
        <v>238</v>
      </c>
      <c r="E1145">
        <v>66000</v>
      </c>
      <c r="F1145">
        <v>10560</v>
      </c>
      <c r="G1145">
        <v>0</v>
      </c>
      <c r="H1145">
        <v>0</v>
      </c>
      <c r="I1145">
        <v>230</v>
      </c>
      <c r="J1145">
        <v>76560</v>
      </c>
      <c r="K1145" t="s">
        <v>1875</v>
      </c>
      <c r="L1145" s="1">
        <v>41038</v>
      </c>
      <c r="N1145" t="s">
        <v>36</v>
      </c>
      <c r="O1145" t="s">
        <v>37</v>
      </c>
      <c r="P1145" t="s">
        <v>375</v>
      </c>
      <c r="Q1145" t="s">
        <v>39</v>
      </c>
      <c r="R1145" t="s">
        <v>40</v>
      </c>
      <c r="S1145">
        <v>0</v>
      </c>
      <c r="U1145" t="s">
        <v>41</v>
      </c>
      <c r="V1145" t="s">
        <v>42</v>
      </c>
      <c r="X1145" t="s">
        <v>74</v>
      </c>
      <c r="Y1145" t="b">
        <v>0</v>
      </c>
      <c r="Z1145" t="b">
        <v>0</v>
      </c>
      <c r="AB1145" t="s">
        <v>721</v>
      </c>
      <c r="AC1145" s="1">
        <v>41191</v>
      </c>
      <c r="AE1145" t="s">
        <v>722</v>
      </c>
      <c r="AF1145">
        <v>0</v>
      </c>
      <c r="AG1145">
        <v>45</v>
      </c>
      <c r="AH1145">
        <v>275</v>
      </c>
      <c r="AI1145" s="2">
        <f>Table__192.168.3.138DYLAgingReport[[#This Row],[NetAmount]]-Table__192.168.3.138DYLAgingReport[[#This Row],[Paid]]</f>
        <v>76560</v>
      </c>
    </row>
    <row r="1146" spans="1:35">
      <c r="A1146" t="s">
        <v>96</v>
      </c>
      <c r="B1146" s="1">
        <v>41082</v>
      </c>
      <c r="C1146" s="1">
        <v>41127</v>
      </c>
      <c r="D1146" t="s">
        <v>35</v>
      </c>
      <c r="E1146">
        <v>360000</v>
      </c>
      <c r="F1146">
        <v>57600</v>
      </c>
      <c r="G1146">
        <v>0</v>
      </c>
      <c r="H1146">
        <v>0</v>
      </c>
      <c r="I1146">
        <v>189</v>
      </c>
      <c r="J1146">
        <v>417600</v>
      </c>
      <c r="K1146" t="s">
        <v>97</v>
      </c>
      <c r="L1146" s="1">
        <v>41079</v>
      </c>
      <c r="N1146" t="s">
        <v>36</v>
      </c>
      <c r="O1146" t="s">
        <v>37</v>
      </c>
      <c r="P1146" t="s">
        <v>38</v>
      </c>
      <c r="Q1146" t="s">
        <v>39</v>
      </c>
      <c r="R1146" t="s">
        <v>40</v>
      </c>
      <c r="S1146">
        <v>0</v>
      </c>
      <c r="U1146" t="s">
        <v>41</v>
      </c>
      <c r="V1146" t="s">
        <v>42</v>
      </c>
      <c r="X1146" t="s">
        <v>74</v>
      </c>
      <c r="Y1146" t="b">
        <v>0</v>
      </c>
      <c r="Z1146" t="b">
        <v>0</v>
      </c>
      <c r="AC1146" s="1"/>
      <c r="AF1146">
        <v>0</v>
      </c>
      <c r="AG1146">
        <v>45</v>
      </c>
      <c r="AH1146">
        <v>234</v>
      </c>
      <c r="AI1146" s="2">
        <f>Table__192.168.3.138DYLAgingReport[[#This Row],[NetAmount]]-Table__192.168.3.138DYLAgingReport[[#This Row],[Paid]]</f>
        <v>417600</v>
      </c>
    </row>
    <row r="1147" spans="1:35">
      <c r="A1147" t="s">
        <v>2613</v>
      </c>
      <c r="B1147" s="1">
        <v>41085</v>
      </c>
      <c r="C1147" s="1">
        <v>41130</v>
      </c>
      <c r="D1147" t="s">
        <v>227</v>
      </c>
      <c r="E1147">
        <v>85500</v>
      </c>
      <c r="F1147">
        <v>13680</v>
      </c>
      <c r="G1147">
        <v>0</v>
      </c>
      <c r="H1147">
        <v>0</v>
      </c>
      <c r="I1147">
        <v>183</v>
      </c>
      <c r="J1147">
        <v>99180</v>
      </c>
      <c r="K1147" t="s">
        <v>2614</v>
      </c>
      <c r="L1147" s="1">
        <v>41085</v>
      </c>
      <c r="N1147" t="s">
        <v>36</v>
      </c>
      <c r="O1147" t="s">
        <v>37</v>
      </c>
      <c r="P1147" t="s">
        <v>364</v>
      </c>
      <c r="Q1147" t="s">
        <v>39</v>
      </c>
      <c r="R1147" t="s">
        <v>40</v>
      </c>
      <c r="S1147">
        <v>0</v>
      </c>
      <c r="U1147" t="s">
        <v>41</v>
      </c>
      <c r="V1147" t="s">
        <v>42</v>
      </c>
      <c r="X1147" t="s">
        <v>74</v>
      </c>
      <c r="Y1147" t="b">
        <v>0</v>
      </c>
      <c r="Z1147" t="b">
        <v>0</v>
      </c>
      <c r="AB1147" t="s">
        <v>708</v>
      </c>
      <c r="AC1147" s="1">
        <v>41297</v>
      </c>
      <c r="AE1147" t="s">
        <v>5359</v>
      </c>
      <c r="AF1147">
        <v>0</v>
      </c>
      <c r="AG1147">
        <v>45</v>
      </c>
      <c r="AH1147">
        <v>228</v>
      </c>
      <c r="AI1147" s="2">
        <f>Table__192.168.3.138DYLAgingReport[[#This Row],[NetAmount]]-Table__192.168.3.138DYLAgingReport[[#This Row],[Paid]]</f>
        <v>99180</v>
      </c>
    </row>
    <row r="1148" spans="1:35">
      <c r="A1148" t="s">
        <v>2615</v>
      </c>
      <c r="B1148" s="1">
        <v>41081</v>
      </c>
      <c r="C1148" s="1">
        <v>41126</v>
      </c>
      <c r="D1148" t="s">
        <v>227</v>
      </c>
      <c r="E1148">
        <v>149000</v>
      </c>
      <c r="F1148">
        <v>23840</v>
      </c>
      <c r="G1148">
        <v>0</v>
      </c>
      <c r="H1148">
        <v>0</v>
      </c>
      <c r="I1148">
        <v>183</v>
      </c>
      <c r="J1148">
        <v>172840</v>
      </c>
      <c r="K1148" t="s">
        <v>2616</v>
      </c>
      <c r="L1148" s="1">
        <v>41085</v>
      </c>
      <c r="N1148" t="s">
        <v>36</v>
      </c>
      <c r="O1148" t="s">
        <v>37</v>
      </c>
      <c r="P1148" t="s">
        <v>364</v>
      </c>
      <c r="Q1148" t="s">
        <v>39</v>
      </c>
      <c r="R1148" t="s">
        <v>40</v>
      </c>
      <c r="S1148">
        <v>0</v>
      </c>
      <c r="U1148" t="s">
        <v>41</v>
      </c>
      <c r="V1148" t="s">
        <v>42</v>
      </c>
      <c r="X1148" t="s">
        <v>74</v>
      </c>
      <c r="Y1148" t="b">
        <v>0</v>
      </c>
      <c r="Z1148" t="b">
        <v>0</v>
      </c>
      <c r="AB1148" t="s">
        <v>708</v>
      </c>
      <c r="AC1148" s="1">
        <v>41297</v>
      </c>
      <c r="AE1148" t="s">
        <v>5359</v>
      </c>
      <c r="AF1148">
        <v>0</v>
      </c>
      <c r="AG1148">
        <v>45</v>
      </c>
      <c r="AH1148">
        <v>228</v>
      </c>
      <c r="AI1148" s="2">
        <f>Table__192.168.3.138DYLAgingReport[[#This Row],[NetAmount]]-Table__192.168.3.138DYLAgingReport[[#This Row],[Paid]]</f>
        <v>172840</v>
      </c>
    </row>
    <row r="1149" spans="1:35">
      <c r="A1149" t="s">
        <v>2617</v>
      </c>
      <c r="B1149" s="1">
        <v>41086</v>
      </c>
      <c r="C1149" s="1">
        <v>41131</v>
      </c>
      <c r="D1149" t="s">
        <v>227</v>
      </c>
      <c r="E1149">
        <v>44050</v>
      </c>
      <c r="F1149">
        <v>7048</v>
      </c>
      <c r="G1149">
        <v>0</v>
      </c>
      <c r="H1149">
        <v>0</v>
      </c>
      <c r="I1149">
        <v>194</v>
      </c>
      <c r="J1149">
        <v>51098</v>
      </c>
      <c r="K1149" t="s">
        <v>2618</v>
      </c>
      <c r="L1149" s="1">
        <v>41074</v>
      </c>
      <c r="N1149" t="s">
        <v>36</v>
      </c>
      <c r="O1149" t="s">
        <v>37</v>
      </c>
      <c r="P1149" t="s">
        <v>364</v>
      </c>
      <c r="Q1149" t="s">
        <v>39</v>
      </c>
      <c r="R1149" t="s">
        <v>40</v>
      </c>
      <c r="S1149">
        <v>0</v>
      </c>
      <c r="U1149" t="s">
        <v>41</v>
      </c>
      <c r="V1149" t="s">
        <v>42</v>
      </c>
      <c r="X1149" t="s">
        <v>74</v>
      </c>
      <c r="Y1149" t="b">
        <v>0</v>
      </c>
      <c r="Z1149" t="b">
        <v>0</v>
      </c>
      <c r="AB1149" t="s">
        <v>708</v>
      </c>
      <c r="AC1149" s="1">
        <v>41297</v>
      </c>
      <c r="AE1149" t="s">
        <v>5359</v>
      </c>
      <c r="AF1149">
        <v>0</v>
      </c>
      <c r="AG1149">
        <v>45</v>
      </c>
      <c r="AH1149">
        <v>239</v>
      </c>
      <c r="AI1149" s="2">
        <f>Table__192.168.3.138DYLAgingReport[[#This Row],[NetAmount]]-Table__192.168.3.138DYLAgingReport[[#This Row],[Paid]]</f>
        <v>51098</v>
      </c>
    </row>
    <row r="1150" spans="1:35">
      <c r="A1150" t="s">
        <v>2619</v>
      </c>
      <c r="B1150" s="1">
        <v>41088</v>
      </c>
      <c r="C1150" s="1">
        <v>41133</v>
      </c>
      <c r="D1150" t="s">
        <v>227</v>
      </c>
      <c r="E1150">
        <v>220000</v>
      </c>
      <c r="F1150">
        <v>35200</v>
      </c>
      <c r="G1150">
        <v>0</v>
      </c>
      <c r="H1150">
        <v>0</v>
      </c>
      <c r="I1150">
        <v>201</v>
      </c>
      <c r="J1150">
        <v>255200</v>
      </c>
      <c r="K1150" t="s">
        <v>2620</v>
      </c>
      <c r="L1150" s="1">
        <v>41067</v>
      </c>
      <c r="N1150" t="s">
        <v>36</v>
      </c>
      <c r="O1150" t="s">
        <v>37</v>
      </c>
      <c r="P1150" t="s">
        <v>364</v>
      </c>
      <c r="Q1150" t="s">
        <v>39</v>
      </c>
      <c r="R1150" t="s">
        <v>40</v>
      </c>
      <c r="S1150">
        <v>0</v>
      </c>
      <c r="U1150" t="s">
        <v>41</v>
      </c>
      <c r="V1150" t="s">
        <v>42</v>
      </c>
      <c r="X1150" t="s">
        <v>74</v>
      </c>
      <c r="Y1150" t="b">
        <v>0</v>
      </c>
      <c r="Z1150" t="b">
        <v>0</v>
      </c>
      <c r="AB1150" t="s">
        <v>708</v>
      </c>
      <c r="AC1150" s="1">
        <v>41297</v>
      </c>
      <c r="AE1150" t="s">
        <v>5359</v>
      </c>
      <c r="AF1150">
        <v>0</v>
      </c>
      <c r="AG1150">
        <v>45</v>
      </c>
      <c r="AH1150">
        <v>246</v>
      </c>
      <c r="AI1150" s="2">
        <f>Table__192.168.3.138DYLAgingReport[[#This Row],[NetAmount]]-Table__192.168.3.138DYLAgingReport[[#This Row],[Paid]]</f>
        <v>255200</v>
      </c>
    </row>
    <row r="1151" spans="1:35">
      <c r="A1151" t="s">
        <v>2621</v>
      </c>
      <c r="B1151" s="1">
        <v>41075</v>
      </c>
      <c r="C1151" s="1">
        <v>41120</v>
      </c>
      <c r="D1151" t="s">
        <v>288</v>
      </c>
      <c r="E1151">
        <v>1746</v>
      </c>
      <c r="F1151">
        <v>279</v>
      </c>
      <c r="G1151">
        <v>0</v>
      </c>
      <c r="H1151">
        <v>0</v>
      </c>
      <c r="I1151">
        <v>189</v>
      </c>
      <c r="J1151">
        <v>2025</v>
      </c>
      <c r="K1151" t="s">
        <v>2622</v>
      </c>
      <c r="L1151" s="1">
        <v>41079</v>
      </c>
      <c r="N1151" t="s">
        <v>36</v>
      </c>
      <c r="O1151" t="s">
        <v>37</v>
      </c>
      <c r="P1151" t="s">
        <v>425</v>
      </c>
      <c r="Q1151" t="s">
        <v>39</v>
      </c>
      <c r="R1151" t="s">
        <v>40</v>
      </c>
      <c r="S1151">
        <v>0</v>
      </c>
      <c r="U1151" t="s">
        <v>41</v>
      </c>
      <c r="V1151" t="s">
        <v>42</v>
      </c>
      <c r="X1151" t="s">
        <v>74</v>
      </c>
      <c r="Y1151" t="b">
        <v>0</v>
      </c>
      <c r="Z1151" t="b">
        <v>0</v>
      </c>
      <c r="AC1151" s="1"/>
      <c r="AF1151">
        <v>0</v>
      </c>
      <c r="AG1151">
        <v>45</v>
      </c>
      <c r="AH1151">
        <v>234</v>
      </c>
      <c r="AI1151" s="2">
        <f>Table__192.168.3.138DYLAgingReport[[#This Row],[NetAmount]]-Table__192.168.3.138DYLAgingReport[[#This Row],[Paid]]</f>
        <v>2025</v>
      </c>
    </row>
    <row r="1152" spans="1:35">
      <c r="A1152" t="s">
        <v>2623</v>
      </c>
      <c r="B1152" s="1">
        <v>41087</v>
      </c>
      <c r="C1152" s="1">
        <v>41132</v>
      </c>
      <c r="D1152" t="s">
        <v>166</v>
      </c>
      <c r="E1152">
        <v>122500</v>
      </c>
      <c r="F1152">
        <v>19600</v>
      </c>
      <c r="G1152">
        <v>0</v>
      </c>
      <c r="H1152">
        <v>0</v>
      </c>
      <c r="I1152">
        <v>195</v>
      </c>
      <c r="J1152">
        <v>142100</v>
      </c>
      <c r="K1152" t="s">
        <v>2624</v>
      </c>
      <c r="L1152" s="1">
        <v>41073</v>
      </c>
      <c r="N1152" t="s">
        <v>36</v>
      </c>
      <c r="O1152" t="s">
        <v>37</v>
      </c>
      <c r="P1152" t="s">
        <v>303</v>
      </c>
      <c r="Q1152" t="s">
        <v>39</v>
      </c>
      <c r="R1152" t="s">
        <v>40</v>
      </c>
      <c r="S1152">
        <v>0</v>
      </c>
      <c r="U1152" t="s">
        <v>41</v>
      </c>
      <c r="V1152" t="s">
        <v>42</v>
      </c>
      <c r="X1152" t="s">
        <v>74</v>
      </c>
      <c r="Y1152" t="b">
        <v>0</v>
      </c>
      <c r="Z1152" t="b">
        <v>0</v>
      </c>
      <c r="AC1152" s="1"/>
      <c r="AF1152">
        <v>0</v>
      </c>
      <c r="AG1152">
        <v>45</v>
      </c>
      <c r="AH1152">
        <v>240</v>
      </c>
      <c r="AI1152" s="2">
        <f>Table__192.168.3.138DYLAgingReport[[#This Row],[NetAmount]]-Table__192.168.3.138DYLAgingReport[[#This Row],[Paid]]</f>
        <v>142100</v>
      </c>
    </row>
    <row r="1153" spans="1:35">
      <c r="A1153" t="s">
        <v>2625</v>
      </c>
      <c r="B1153" s="1">
        <v>41088</v>
      </c>
      <c r="C1153" s="1">
        <v>41133</v>
      </c>
      <c r="D1153" t="s">
        <v>257</v>
      </c>
      <c r="E1153">
        <v>77675</v>
      </c>
      <c r="F1153">
        <v>12428</v>
      </c>
      <c r="G1153">
        <v>0</v>
      </c>
      <c r="H1153">
        <v>0</v>
      </c>
      <c r="I1153">
        <v>197</v>
      </c>
      <c r="J1153">
        <v>90103</v>
      </c>
      <c r="K1153" t="s">
        <v>2626</v>
      </c>
      <c r="L1153" s="1">
        <v>41071</v>
      </c>
      <c r="N1153" t="s">
        <v>36</v>
      </c>
      <c r="O1153" t="s">
        <v>37</v>
      </c>
      <c r="P1153" t="s">
        <v>394</v>
      </c>
      <c r="Q1153" t="s">
        <v>39</v>
      </c>
      <c r="R1153" t="s">
        <v>40</v>
      </c>
      <c r="S1153">
        <v>0</v>
      </c>
      <c r="U1153" t="s">
        <v>41</v>
      </c>
      <c r="V1153" t="s">
        <v>42</v>
      </c>
      <c r="X1153" t="s">
        <v>74</v>
      </c>
      <c r="Y1153" t="b">
        <v>0</v>
      </c>
      <c r="Z1153" t="b">
        <v>0</v>
      </c>
      <c r="AC1153" s="1"/>
      <c r="AF1153">
        <v>0</v>
      </c>
      <c r="AG1153">
        <v>45</v>
      </c>
      <c r="AH1153">
        <v>242</v>
      </c>
      <c r="AI1153" s="2">
        <f>Table__192.168.3.138DYLAgingReport[[#This Row],[NetAmount]]-Table__192.168.3.138DYLAgingReport[[#This Row],[Paid]]</f>
        <v>90103</v>
      </c>
    </row>
    <row r="1154" spans="1:35">
      <c r="A1154" t="s">
        <v>2627</v>
      </c>
      <c r="B1154" s="1">
        <v>41087</v>
      </c>
      <c r="C1154" s="1">
        <v>41132</v>
      </c>
      <c r="D1154" t="s">
        <v>207</v>
      </c>
      <c r="E1154">
        <v>219939</v>
      </c>
      <c r="F1154">
        <v>35190</v>
      </c>
      <c r="G1154">
        <v>0</v>
      </c>
      <c r="H1154">
        <v>0</v>
      </c>
      <c r="I1154">
        <v>187</v>
      </c>
      <c r="J1154">
        <v>255129</v>
      </c>
      <c r="K1154" t="s">
        <v>2628</v>
      </c>
      <c r="L1154" s="1">
        <v>41081</v>
      </c>
      <c r="N1154" t="s">
        <v>36</v>
      </c>
      <c r="O1154" t="s">
        <v>37</v>
      </c>
      <c r="P1154" t="s">
        <v>344</v>
      </c>
      <c r="Q1154" t="s">
        <v>39</v>
      </c>
      <c r="R1154" t="s">
        <v>40</v>
      </c>
      <c r="S1154">
        <v>0</v>
      </c>
      <c r="U1154" t="s">
        <v>41</v>
      </c>
      <c r="V1154" t="s">
        <v>42</v>
      </c>
      <c r="X1154" t="s">
        <v>74</v>
      </c>
      <c r="Y1154" t="b">
        <v>0</v>
      </c>
      <c r="Z1154" t="b">
        <v>0</v>
      </c>
      <c r="AB1154" t="s">
        <v>644</v>
      </c>
      <c r="AC1154" s="1">
        <v>41227</v>
      </c>
      <c r="AE1154" t="s">
        <v>645</v>
      </c>
      <c r="AF1154">
        <v>0</v>
      </c>
      <c r="AG1154">
        <v>45</v>
      </c>
      <c r="AH1154">
        <v>232</v>
      </c>
      <c r="AI1154" s="2">
        <f>Table__192.168.3.138DYLAgingReport[[#This Row],[NetAmount]]-Table__192.168.3.138DYLAgingReport[[#This Row],[Paid]]</f>
        <v>255129</v>
      </c>
    </row>
    <row r="1155" spans="1:35">
      <c r="A1155" t="s">
        <v>2629</v>
      </c>
      <c r="B1155" s="1">
        <v>41060</v>
      </c>
      <c r="C1155" s="1">
        <v>41105</v>
      </c>
      <c r="D1155" t="s">
        <v>214</v>
      </c>
      <c r="E1155">
        <v>480000</v>
      </c>
      <c r="F1155">
        <v>0</v>
      </c>
      <c r="G1155">
        <v>0</v>
      </c>
      <c r="H1155">
        <v>0</v>
      </c>
      <c r="I1155">
        <v>217</v>
      </c>
      <c r="J1155">
        <v>480000</v>
      </c>
      <c r="K1155" t="s">
        <v>2630</v>
      </c>
      <c r="L1155" s="1">
        <v>41051</v>
      </c>
      <c r="N1155" t="s">
        <v>36</v>
      </c>
      <c r="O1155" t="s">
        <v>37</v>
      </c>
      <c r="P1155" t="s">
        <v>351</v>
      </c>
      <c r="Q1155" t="s">
        <v>39</v>
      </c>
      <c r="R1155" t="s">
        <v>40</v>
      </c>
      <c r="S1155">
        <v>0</v>
      </c>
      <c r="U1155" t="s">
        <v>41</v>
      </c>
      <c r="V1155" t="s">
        <v>42</v>
      </c>
      <c r="X1155" t="s">
        <v>74</v>
      </c>
      <c r="Y1155" t="b">
        <v>0</v>
      </c>
      <c r="Z1155" t="b">
        <v>0</v>
      </c>
      <c r="AC1155" s="1"/>
      <c r="AF1155">
        <v>0</v>
      </c>
      <c r="AG1155">
        <v>45</v>
      </c>
      <c r="AH1155">
        <v>262</v>
      </c>
      <c r="AI1155" s="2">
        <f>Table__192.168.3.138DYLAgingReport[[#This Row],[NetAmount]]-Table__192.168.3.138DYLAgingReport[[#This Row],[Paid]]</f>
        <v>480000</v>
      </c>
    </row>
    <row r="1156" spans="1:35">
      <c r="A1156" t="s">
        <v>2631</v>
      </c>
      <c r="B1156" s="1">
        <v>41088</v>
      </c>
      <c r="C1156" s="1">
        <v>41133</v>
      </c>
      <c r="D1156" t="s">
        <v>214</v>
      </c>
      <c r="E1156">
        <v>284800</v>
      </c>
      <c r="F1156">
        <v>0</v>
      </c>
      <c r="G1156">
        <v>0</v>
      </c>
      <c r="H1156">
        <v>0</v>
      </c>
      <c r="I1156">
        <v>218</v>
      </c>
      <c r="J1156">
        <v>284800</v>
      </c>
      <c r="K1156" t="s">
        <v>2630</v>
      </c>
      <c r="L1156" s="1">
        <v>41050</v>
      </c>
      <c r="N1156" t="s">
        <v>36</v>
      </c>
      <c r="O1156" t="s">
        <v>37</v>
      </c>
      <c r="P1156" t="s">
        <v>351</v>
      </c>
      <c r="Q1156" t="s">
        <v>39</v>
      </c>
      <c r="R1156" t="s">
        <v>40</v>
      </c>
      <c r="S1156">
        <v>0</v>
      </c>
      <c r="U1156" t="s">
        <v>41</v>
      </c>
      <c r="V1156" t="s">
        <v>42</v>
      </c>
      <c r="X1156" t="s">
        <v>74</v>
      </c>
      <c r="Y1156" t="b">
        <v>0</v>
      </c>
      <c r="Z1156" t="b">
        <v>0</v>
      </c>
      <c r="AC1156" s="1"/>
      <c r="AF1156">
        <v>0</v>
      </c>
      <c r="AG1156">
        <v>45</v>
      </c>
      <c r="AH1156">
        <v>263</v>
      </c>
      <c r="AI1156" s="2">
        <f>Table__192.168.3.138DYLAgingReport[[#This Row],[NetAmount]]-Table__192.168.3.138DYLAgingReport[[#This Row],[Paid]]</f>
        <v>284800</v>
      </c>
    </row>
    <row r="1157" spans="1:35">
      <c r="A1157" t="s">
        <v>2632</v>
      </c>
      <c r="B1157" s="1">
        <v>41060</v>
      </c>
      <c r="C1157" s="1">
        <v>41105</v>
      </c>
      <c r="D1157" t="s">
        <v>214</v>
      </c>
      <c r="E1157">
        <v>125000</v>
      </c>
      <c r="F1157">
        <v>0</v>
      </c>
      <c r="G1157">
        <v>0</v>
      </c>
      <c r="H1157">
        <v>0</v>
      </c>
      <c r="I1157">
        <v>239</v>
      </c>
      <c r="J1157">
        <v>125000</v>
      </c>
      <c r="K1157" t="s">
        <v>2633</v>
      </c>
      <c r="L1157" s="1">
        <v>41029</v>
      </c>
      <c r="N1157" t="s">
        <v>36</v>
      </c>
      <c r="O1157" t="s">
        <v>37</v>
      </c>
      <c r="P1157" t="s">
        <v>351</v>
      </c>
      <c r="Q1157" t="s">
        <v>39</v>
      </c>
      <c r="R1157" t="s">
        <v>40</v>
      </c>
      <c r="S1157">
        <v>0</v>
      </c>
      <c r="U1157" t="s">
        <v>41</v>
      </c>
      <c r="V1157" t="s">
        <v>42</v>
      </c>
      <c r="X1157" t="s">
        <v>74</v>
      </c>
      <c r="Y1157" t="b">
        <v>0</v>
      </c>
      <c r="Z1157" t="b">
        <v>0</v>
      </c>
      <c r="AC1157" s="1"/>
      <c r="AF1157">
        <v>0</v>
      </c>
      <c r="AG1157">
        <v>45</v>
      </c>
      <c r="AH1157">
        <v>284</v>
      </c>
      <c r="AI1157" s="2">
        <f>Table__192.168.3.138DYLAgingReport[[#This Row],[NetAmount]]-Table__192.168.3.138DYLAgingReport[[#This Row],[Paid]]</f>
        <v>125000</v>
      </c>
    </row>
    <row r="1158" spans="1:35">
      <c r="A1158" t="s">
        <v>2634</v>
      </c>
      <c r="B1158" s="1">
        <v>41060</v>
      </c>
      <c r="C1158" s="1">
        <v>41105</v>
      </c>
      <c r="D1158" t="s">
        <v>214</v>
      </c>
      <c r="E1158">
        <v>180000</v>
      </c>
      <c r="F1158">
        <v>0</v>
      </c>
      <c r="G1158">
        <v>0</v>
      </c>
      <c r="H1158">
        <v>0</v>
      </c>
      <c r="I1158">
        <v>239</v>
      </c>
      <c r="J1158">
        <v>180000</v>
      </c>
      <c r="K1158" t="s">
        <v>2635</v>
      </c>
      <c r="L1158" s="1">
        <v>41029</v>
      </c>
      <c r="N1158" t="s">
        <v>36</v>
      </c>
      <c r="O1158" t="s">
        <v>37</v>
      </c>
      <c r="P1158" t="s">
        <v>351</v>
      </c>
      <c r="Q1158" t="s">
        <v>39</v>
      </c>
      <c r="R1158" t="s">
        <v>40</v>
      </c>
      <c r="S1158">
        <v>0</v>
      </c>
      <c r="U1158" t="s">
        <v>41</v>
      </c>
      <c r="V1158" t="s">
        <v>42</v>
      </c>
      <c r="X1158" t="s">
        <v>74</v>
      </c>
      <c r="Y1158" t="b">
        <v>0</v>
      </c>
      <c r="Z1158" t="b">
        <v>0</v>
      </c>
      <c r="AC1158" s="1"/>
      <c r="AF1158">
        <v>0</v>
      </c>
      <c r="AG1158">
        <v>45</v>
      </c>
      <c r="AH1158">
        <v>284</v>
      </c>
      <c r="AI1158" s="2">
        <f>Table__192.168.3.138DYLAgingReport[[#This Row],[NetAmount]]-Table__192.168.3.138DYLAgingReport[[#This Row],[Paid]]</f>
        <v>180000</v>
      </c>
    </row>
    <row r="1159" spans="1:35">
      <c r="A1159" t="s">
        <v>2636</v>
      </c>
      <c r="B1159" s="1">
        <v>41047</v>
      </c>
      <c r="C1159" s="1">
        <v>41092</v>
      </c>
      <c r="D1159" t="s">
        <v>569</v>
      </c>
      <c r="E1159">
        <v>9500</v>
      </c>
      <c r="F1159">
        <v>1520</v>
      </c>
      <c r="G1159">
        <v>0</v>
      </c>
      <c r="H1159">
        <v>0</v>
      </c>
      <c r="I1159">
        <v>221</v>
      </c>
      <c r="J1159">
        <v>11020</v>
      </c>
      <c r="K1159" t="s">
        <v>2637</v>
      </c>
      <c r="L1159" s="1">
        <v>41047</v>
      </c>
      <c r="N1159" t="s">
        <v>36</v>
      </c>
      <c r="O1159" t="s">
        <v>37</v>
      </c>
      <c r="P1159" t="s">
        <v>433</v>
      </c>
      <c r="Q1159" t="s">
        <v>39</v>
      </c>
      <c r="R1159" t="s">
        <v>40</v>
      </c>
      <c r="S1159">
        <v>0</v>
      </c>
      <c r="U1159" t="s">
        <v>41</v>
      </c>
      <c r="V1159" t="s">
        <v>42</v>
      </c>
      <c r="X1159" t="s">
        <v>74</v>
      </c>
      <c r="Y1159" t="b">
        <v>0</v>
      </c>
      <c r="Z1159" t="b">
        <v>0</v>
      </c>
      <c r="AC1159" s="1"/>
      <c r="AF1159">
        <v>0</v>
      </c>
      <c r="AG1159">
        <v>45</v>
      </c>
      <c r="AH1159">
        <v>266</v>
      </c>
      <c r="AI1159" s="2">
        <f>Table__192.168.3.138DYLAgingReport[[#This Row],[NetAmount]]-Table__192.168.3.138DYLAgingReport[[#This Row],[Paid]]</f>
        <v>11020</v>
      </c>
    </row>
    <row r="1160" spans="1:35">
      <c r="A1160" t="s">
        <v>2638</v>
      </c>
      <c r="B1160" s="1">
        <v>41088</v>
      </c>
      <c r="C1160" s="1">
        <v>41133</v>
      </c>
      <c r="D1160" t="s">
        <v>569</v>
      </c>
      <c r="E1160">
        <v>22600</v>
      </c>
      <c r="F1160">
        <v>3616</v>
      </c>
      <c r="G1160">
        <v>0</v>
      </c>
      <c r="H1160">
        <v>0</v>
      </c>
      <c r="I1160">
        <v>221</v>
      </c>
      <c r="J1160">
        <v>26216</v>
      </c>
      <c r="K1160" t="s">
        <v>2637</v>
      </c>
      <c r="L1160" s="1">
        <v>41047</v>
      </c>
      <c r="N1160" t="s">
        <v>36</v>
      </c>
      <c r="O1160" t="s">
        <v>37</v>
      </c>
      <c r="P1160" t="s">
        <v>433</v>
      </c>
      <c r="Q1160" t="s">
        <v>39</v>
      </c>
      <c r="R1160" t="s">
        <v>40</v>
      </c>
      <c r="S1160">
        <v>0</v>
      </c>
      <c r="U1160" t="s">
        <v>41</v>
      </c>
      <c r="V1160" t="s">
        <v>42</v>
      </c>
      <c r="X1160" t="s">
        <v>74</v>
      </c>
      <c r="Y1160" t="b">
        <v>0</v>
      </c>
      <c r="Z1160" t="b">
        <v>0</v>
      </c>
      <c r="AC1160" s="1"/>
      <c r="AF1160">
        <v>0</v>
      </c>
      <c r="AG1160">
        <v>45</v>
      </c>
      <c r="AH1160">
        <v>266</v>
      </c>
      <c r="AI1160" s="2">
        <f>Table__192.168.3.138DYLAgingReport[[#This Row],[NetAmount]]-Table__192.168.3.138DYLAgingReport[[#This Row],[Paid]]</f>
        <v>26216</v>
      </c>
    </row>
    <row r="1161" spans="1:35">
      <c r="A1161" t="s">
        <v>2639</v>
      </c>
      <c r="B1161" s="1">
        <v>41061</v>
      </c>
      <c r="C1161" s="1">
        <v>41106</v>
      </c>
      <c r="D1161" t="s">
        <v>569</v>
      </c>
      <c r="E1161">
        <v>27350</v>
      </c>
      <c r="F1161">
        <v>4376</v>
      </c>
      <c r="G1161">
        <v>0</v>
      </c>
      <c r="H1161">
        <v>0</v>
      </c>
      <c r="I1161">
        <v>206</v>
      </c>
      <c r="J1161">
        <v>31726</v>
      </c>
      <c r="K1161" t="s">
        <v>2640</v>
      </c>
      <c r="L1161" s="1">
        <v>41062</v>
      </c>
      <c r="N1161" t="s">
        <v>36</v>
      </c>
      <c r="O1161" t="s">
        <v>37</v>
      </c>
      <c r="P1161" t="s">
        <v>433</v>
      </c>
      <c r="Q1161" t="s">
        <v>39</v>
      </c>
      <c r="R1161" t="s">
        <v>40</v>
      </c>
      <c r="S1161">
        <v>0</v>
      </c>
      <c r="U1161" t="s">
        <v>41</v>
      </c>
      <c r="V1161" t="s">
        <v>42</v>
      </c>
      <c r="X1161" t="s">
        <v>74</v>
      </c>
      <c r="Y1161" t="b">
        <v>0</v>
      </c>
      <c r="Z1161" t="b">
        <v>0</v>
      </c>
      <c r="AC1161" s="1"/>
      <c r="AF1161">
        <v>0</v>
      </c>
      <c r="AG1161">
        <v>45</v>
      </c>
      <c r="AH1161">
        <v>251</v>
      </c>
      <c r="AI1161" s="2">
        <f>Table__192.168.3.138DYLAgingReport[[#This Row],[NetAmount]]-Table__192.168.3.138DYLAgingReport[[#This Row],[Paid]]</f>
        <v>31726</v>
      </c>
    </row>
    <row r="1162" spans="1:35">
      <c r="A1162" t="s">
        <v>2641</v>
      </c>
      <c r="B1162" s="1">
        <v>41061</v>
      </c>
      <c r="C1162" s="1">
        <v>41106</v>
      </c>
      <c r="D1162" t="s">
        <v>569</v>
      </c>
      <c r="E1162">
        <v>34124</v>
      </c>
      <c r="F1162">
        <v>5460</v>
      </c>
      <c r="G1162">
        <v>0</v>
      </c>
      <c r="H1162">
        <v>0</v>
      </c>
      <c r="I1162">
        <v>206</v>
      </c>
      <c r="J1162">
        <v>39584</v>
      </c>
      <c r="K1162" t="s">
        <v>2642</v>
      </c>
      <c r="L1162" s="1">
        <v>41062</v>
      </c>
      <c r="N1162" t="s">
        <v>36</v>
      </c>
      <c r="O1162" t="s">
        <v>37</v>
      </c>
      <c r="P1162" t="s">
        <v>433</v>
      </c>
      <c r="Q1162" t="s">
        <v>39</v>
      </c>
      <c r="R1162" t="s">
        <v>40</v>
      </c>
      <c r="S1162">
        <v>0</v>
      </c>
      <c r="U1162" t="s">
        <v>41</v>
      </c>
      <c r="V1162" t="s">
        <v>42</v>
      </c>
      <c r="X1162" t="s">
        <v>74</v>
      </c>
      <c r="Y1162" t="b">
        <v>0</v>
      </c>
      <c r="Z1162" t="b">
        <v>0</v>
      </c>
      <c r="AC1162" s="1"/>
      <c r="AF1162">
        <v>0</v>
      </c>
      <c r="AG1162">
        <v>45</v>
      </c>
      <c r="AH1162">
        <v>251</v>
      </c>
      <c r="AI1162" s="2">
        <f>Table__192.168.3.138DYLAgingReport[[#This Row],[NetAmount]]-Table__192.168.3.138DYLAgingReport[[#This Row],[Paid]]</f>
        <v>39584</v>
      </c>
    </row>
    <row r="1163" spans="1:35">
      <c r="A1163" t="s">
        <v>2643</v>
      </c>
      <c r="B1163" s="1">
        <v>41062</v>
      </c>
      <c r="C1163" s="1">
        <v>41107</v>
      </c>
      <c r="D1163" t="s">
        <v>569</v>
      </c>
      <c r="E1163">
        <v>25749</v>
      </c>
      <c r="F1163">
        <v>4120</v>
      </c>
      <c r="G1163">
        <v>0</v>
      </c>
      <c r="H1163">
        <v>0</v>
      </c>
      <c r="I1163">
        <v>206</v>
      </c>
      <c r="J1163">
        <v>29869</v>
      </c>
      <c r="K1163" t="s">
        <v>2644</v>
      </c>
      <c r="L1163" s="1">
        <v>41062</v>
      </c>
      <c r="N1163" t="s">
        <v>36</v>
      </c>
      <c r="O1163" t="s">
        <v>37</v>
      </c>
      <c r="P1163" t="s">
        <v>433</v>
      </c>
      <c r="Q1163" t="s">
        <v>39</v>
      </c>
      <c r="R1163" t="s">
        <v>40</v>
      </c>
      <c r="S1163">
        <v>0</v>
      </c>
      <c r="U1163" t="s">
        <v>41</v>
      </c>
      <c r="V1163" t="s">
        <v>42</v>
      </c>
      <c r="X1163" t="s">
        <v>74</v>
      </c>
      <c r="Y1163" t="b">
        <v>0</v>
      </c>
      <c r="Z1163" t="b">
        <v>0</v>
      </c>
      <c r="AC1163" s="1"/>
      <c r="AF1163">
        <v>0</v>
      </c>
      <c r="AG1163">
        <v>45</v>
      </c>
      <c r="AH1163">
        <v>251</v>
      </c>
      <c r="AI1163" s="2">
        <f>Table__192.168.3.138DYLAgingReport[[#This Row],[NetAmount]]-Table__192.168.3.138DYLAgingReport[[#This Row],[Paid]]</f>
        <v>29869</v>
      </c>
    </row>
    <row r="1164" spans="1:35">
      <c r="A1164" t="s">
        <v>2645</v>
      </c>
      <c r="B1164" s="1">
        <v>41065</v>
      </c>
      <c r="C1164" s="1">
        <v>41110</v>
      </c>
      <c r="D1164" t="s">
        <v>569</v>
      </c>
      <c r="E1164">
        <v>23375</v>
      </c>
      <c r="F1164">
        <v>3740</v>
      </c>
      <c r="G1164">
        <v>0</v>
      </c>
      <c r="H1164">
        <v>0</v>
      </c>
      <c r="I1164">
        <v>204</v>
      </c>
      <c r="J1164">
        <v>27115</v>
      </c>
      <c r="K1164" t="s">
        <v>2646</v>
      </c>
      <c r="L1164" s="1">
        <v>41064</v>
      </c>
      <c r="N1164" t="s">
        <v>36</v>
      </c>
      <c r="O1164" t="s">
        <v>37</v>
      </c>
      <c r="P1164" t="s">
        <v>433</v>
      </c>
      <c r="Q1164" t="s">
        <v>39</v>
      </c>
      <c r="R1164" t="s">
        <v>40</v>
      </c>
      <c r="S1164">
        <v>0</v>
      </c>
      <c r="U1164" t="s">
        <v>41</v>
      </c>
      <c r="V1164" t="s">
        <v>42</v>
      </c>
      <c r="X1164" t="s">
        <v>74</v>
      </c>
      <c r="Y1164" t="b">
        <v>0</v>
      </c>
      <c r="Z1164" t="b">
        <v>0</v>
      </c>
      <c r="AC1164" s="1"/>
      <c r="AF1164">
        <v>0</v>
      </c>
      <c r="AG1164">
        <v>45</v>
      </c>
      <c r="AH1164">
        <v>249</v>
      </c>
      <c r="AI1164" s="2">
        <f>Table__192.168.3.138DYLAgingReport[[#This Row],[NetAmount]]-Table__192.168.3.138DYLAgingReport[[#This Row],[Paid]]</f>
        <v>27115</v>
      </c>
    </row>
    <row r="1165" spans="1:35">
      <c r="A1165" t="s">
        <v>2647</v>
      </c>
      <c r="B1165" s="1">
        <v>41065</v>
      </c>
      <c r="C1165" s="1">
        <v>41110</v>
      </c>
      <c r="D1165" t="s">
        <v>569</v>
      </c>
      <c r="E1165">
        <v>19000</v>
      </c>
      <c r="F1165">
        <v>3040</v>
      </c>
      <c r="G1165">
        <v>0</v>
      </c>
      <c r="H1165">
        <v>0</v>
      </c>
      <c r="I1165">
        <v>203</v>
      </c>
      <c r="J1165">
        <v>22040</v>
      </c>
      <c r="K1165" t="s">
        <v>2648</v>
      </c>
      <c r="L1165" s="1">
        <v>41065</v>
      </c>
      <c r="N1165" t="s">
        <v>36</v>
      </c>
      <c r="O1165" t="s">
        <v>37</v>
      </c>
      <c r="P1165" t="s">
        <v>433</v>
      </c>
      <c r="Q1165" t="s">
        <v>39</v>
      </c>
      <c r="R1165" t="s">
        <v>40</v>
      </c>
      <c r="S1165">
        <v>0</v>
      </c>
      <c r="U1165" t="s">
        <v>41</v>
      </c>
      <c r="V1165" t="s">
        <v>42</v>
      </c>
      <c r="X1165" t="s">
        <v>74</v>
      </c>
      <c r="Y1165" t="b">
        <v>0</v>
      </c>
      <c r="Z1165" t="b">
        <v>0</v>
      </c>
      <c r="AC1165" s="1"/>
      <c r="AF1165">
        <v>0</v>
      </c>
      <c r="AG1165">
        <v>45</v>
      </c>
      <c r="AH1165">
        <v>248</v>
      </c>
      <c r="AI1165" s="2">
        <f>Table__192.168.3.138DYLAgingReport[[#This Row],[NetAmount]]-Table__192.168.3.138DYLAgingReport[[#This Row],[Paid]]</f>
        <v>22040</v>
      </c>
    </row>
    <row r="1166" spans="1:35">
      <c r="A1166" t="s">
        <v>2649</v>
      </c>
      <c r="B1166" s="1">
        <v>41066</v>
      </c>
      <c r="C1166" s="1">
        <v>41111</v>
      </c>
      <c r="D1166" t="s">
        <v>569</v>
      </c>
      <c r="E1166">
        <v>44000</v>
      </c>
      <c r="F1166">
        <v>7040</v>
      </c>
      <c r="G1166">
        <v>0</v>
      </c>
      <c r="H1166">
        <v>0</v>
      </c>
      <c r="I1166">
        <v>202</v>
      </c>
      <c r="J1166">
        <v>51040</v>
      </c>
      <c r="K1166" t="s">
        <v>2650</v>
      </c>
      <c r="L1166" s="1">
        <v>41066</v>
      </c>
      <c r="N1166" t="s">
        <v>36</v>
      </c>
      <c r="O1166" t="s">
        <v>37</v>
      </c>
      <c r="P1166" t="s">
        <v>433</v>
      </c>
      <c r="Q1166" t="s">
        <v>39</v>
      </c>
      <c r="R1166" t="s">
        <v>40</v>
      </c>
      <c r="S1166">
        <v>0</v>
      </c>
      <c r="U1166" t="s">
        <v>41</v>
      </c>
      <c r="V1166" t="s">
        <v>42</v>
      </c>
      <c r="X1166" t="s">
        <v>74</v>
      </c>
      <c r="Y1166" t="b">
        <v>0</v>
      </c>
      <c r="Z1166" t="b">
        <v>0</v>
      </c>
      <c r="AC1166" s="1"/>
      <c r="AF1166">
        <v>0</v>
      </c>
      <c r="AG1166">
        <v>45</v>
      </c>
      <c r="AH1166">
        <v>247</v>
      </c>
      <c r="AI1166" s="2">
        <f>Table__192.168.3.138DYLAgingReport[[#This Row],[NetAmount]]-Table__192.168.3.138DYLAgingReport[[#This Row],[Paid]]</f>
        <v>51040</v>
      </c>
    </row>
    <row r="1167" spans="1:35">
      <c r="A1167" t="s">
        <v>2651</v>
      </c>
      <c r="B1167" s="1">
        <v>41087</v>
      </c>
      <c r="C1167" s="1">
        <v>41132</v>
      </c>
      <c r="D1167" t="s">
        <v>569</v>
      </c>
      <c r="E1167">
        <v>15000</v>
      </c>
      <c r="F1167">
        <v>2400</v>
      </c>
      <c r="G1167">
        <v>0</v>
      </c>
      <c r="H1167">
        <v>0</v>
      </c>
      <c r="I1167">
        <v>202</v>
      </c>
      <c r="J1167">
        <v>17400</v>
      </c>
      <c r="K1167" t="s">
        <v>2652</v>
      </c>
      <c r="L1167" s="1">
        <v>41066</v>
      </c>
      <c r="N1167" t="s">
        <v>36</v>
      </c>
      <c r="O1167" t="s">
        <v>37</v>
      </c>
      <c r="P1167" t="s">
        <v>433</v>
      </c>
      <c r="Q1167" t="s">
        <v>39</v>
      </c>
      <c r="R1167" t="s">
        <v>40</v>
      </c>
      <c r="S1167">
        <v>0</v>
      </c>
      <c r="U1167" t="s">
        <v>41</v>
      </c>
      <c r="V1167" t="s">
        <v>42</v>
      </c>
      <c r="X1167" t="s">
        <v>74</v>
      </c>
      <c r="Y1167" t="b">
        <v>0</v>
      </c>
      <c r="Z1167" t="b">
        <v>0</v>
      </c>
      <c r="AC1167" s="1"/>
      <c r="AF1167">
        <v>0</v>
      </c>
      <c r="AG1167">
        <v>45</v>
      </c>
      <c r="AH1167">
        <v>247</v>
      </c>
      <c r="AI1167" s="2">
        <f>Table__192.168.3.138DYLAgingReport[[#This Row],[NetAmount]]-Table__192.168.3.138DYLAgingReport[[#This Row],[Paid]]</f>
        <v>17400</v>
      </c>
    </row>
    <row r="1168" spans="1:35">
      <c r="A1168" t="s">
        <v>2653</v>
      </c>
      <c r="B1168" s="1">
        <v>41068</v>
      </c>
      <c r="C1168" s="1">
        <v>41113</v>
      </c>
      <c r="D1168" t="s">
        <v>569</v>
      </c>
      <c r="E1168">
        <v>22075</v>
      </c>
      <c r="F1168">
        <v>3532</v>
      </c>
      <c r="G1168">
        <v>0</v>
      </c>
      <c r="H1168">
        <v>0</v>
      </c>
      <c r="I1168">
        <v>200</v>
      </c>
      <c r="J1168">
        <v>25607</v>
      </c>
      <c r="K1168" t="s">
        <v>2654</v>
      </c>
      <c r="L1168" s="1">
        <v>41068</v>
      </c>
      <c r="N1168" t="s">
        <v>36</v>
      </c>
      <c r="O1168" t="s">
        <v>37</v>
      </c>
      <c r="P1168" t="s">
        <v>433</v>
      </c>
      <c r="Q1168" t="s">
        <v>39</v>
      </c>
      <c r="R1168" t="s">
        <v>40</v>
      </c>
      <c r="S1168">
        <v>0</v>
      </c>
      <c r="U1168" t="s">
        <v>41</v>
      </c>
      <c r="V1168" t="s">
        <v>42</v>
      </c>
      <c r="X1168" t="s">
        <v>74</v>
      </c>
      <c r="Y1168" t="b">
        <v>0</v>
      </c>
      <c r="Z1168" t="b">
        <v>0</v>
      </c>
      <c r="AC1168" s="1"/>
      <c r="AF1168">
        <v>0</v>
      </c>
      <c r="AG1168">
        <v>45</v>
      </c>
      <c r="AH1168">
        <v>245</v>
      </c>
      <c r="AI1168" s="2">
        <f>Table__192.168.3.138DYLAgingReport[[#This Row],[NetAmount]]-Table__192.168.3.138DYLAgingReport[[#This Row],[Paid]]</f>
        <v>25607</v>
      </c>
    </row>
    <row r="1169" spans="1:35">
      <c r="A1169" t="s">
        <v>2655</v>
      </c>
      <c r="B1169" s="1">
        <v>41087</v>
      </c>
      <c r="C1169" s="1">
        <v>41132</v>
      </c>
      <c r="D1169" t="s">
        <v>569</v>
      </c>
      <c r="E1169">
        <v>18675</v>
      </c>
      <c r="F1169">
        <v>2988</v>
      </c>
      <c r="G1169">
        <v>0</v>
      </c>
      <c r="H1169">
        <v>0</v>
      </c>
      <c r="I1169">
        <v>196</v>
      </c>
      <c r="J1169">
        <v>21663</v>
      </c>
      <c r="K1169" t="s">
        <v>2656</v>
      </c>
      <c r="L1169" s="1">
        <v>41072</v>
      </c>
      <c r="N1169" t="s">
        <v>36</v>
      </c>
      <c r="O1169" t="s">
        <v>37</v>
      </c>
      <c r="P1169" t="s">
        <v>433</v>
      </c>
      <c r="Q1169" t="s">
        <v>39</v>
      </c>
      <c r="R1169" t="s">
        <v>40</v>
      </c>
      <c r="S1169">
        <v>0</v>
      </c>
      <c r="U1169" t="s">
        <v>41</v>
      </c>
      <c r="V1169" t="s">
        <v>42</v>
      </c>
      <c r="X1169" t="s">
        <v>74</v>
      </c>
      <c r="Y1169" t="b">
        <v>0</v>
      </c>
      <c r="Z1169" t="b">
        <v>0</v>
      </c>
      <c r="AC1169" s="1"/>
      <c r="AF1169">
        <v>0</v>
      </c>
      <c r="AG1169">
        <v>45</v>
      </c>
      <c r="AH1169">
        <v>241</v>
      </c>
      <c r="AI1169" s="2">
        <f>Table__192.168.3.138DYLAgingReport[[#This Row],[NetAmount]]-Table__192.168.3.138DYLAgingReport[[#This Row],[Paid]]</f>
        <v>21663</v>
      </c>
    </row>
    <row r="1170" spans="1:35">
      <c r="A1170" t="s">
        <v>2657</v>
      </c>
      <c r="B1170" s="1">
        <v>41087</v>
      </c>
      <c r="C1170" s="1">
        <v>41132</v>
      </c>
      <c r="D1170" t="s">
        <v>569</v>
      </c>
      <c r="E1170">
        <v>28875</v>
      </c>
      <c r="F1170">
        <v>4620</v>
      </c>
      <c r="G1170">
        <v>0</v>
      </c>
      <c r="H1170">
        <v>0</v>
      </c>
      <c r="I1170">
        <v>197</v>
      </c>
      <c r="J1170">
        <v>33495</v>
      </c>
      <c r="K1170" t="s">
        <v>2658</v>
      </c>
      <c r="L1170" s="1">
        <v>41071</v>
      </c>
      <c r="N1170" t="s">
        <v>36</v>
      </c>
      <c r="O1170" t="s">
        <v>37</v>
      </c>
      <c r="P1170" t="s">
        <v>433</v>
      </c>
      <c r="Q1170" t="s">
        <v>39</v>
      </c>
      <c r="R1170" t="s">
        <v>40</v>
      </c>
      <c r="S1170">
        <v>0</v>
      </c>
      <c r="U1170" t="s">
        <v>41</v>
      </c>
      <c r="V1170" t="s">
        <v>42</v>
      </c>
      <c r="X1170" t="s">
        <v>74</v>
      </c>
      <c r="Y1170" t="b">
        <v>0</v>
      </c>
      <c r="Z1170" t="b">
        <v>0</v>
      </c>
      <c r="AC1170" s="1"/>
      <c r="AF1170">
        <v>0</v>
      </c>
      <c r="AG1170">
        <v>45</v>
      </c>
      <c r="AH1170">
        <v>242</v>
      </c>
      <c r="AI1170" s="2">
        <f>Table__192.168.3.138DYLAgingReport[[#This Row],[NetAmount]]-Table__192.168.3.138DYLAgingReport[[#This Row],[Paid]]</f>
        <v>33495</v>
      </c>
    </row>
    <row r="1171" spans="1:35">
      <c r="A1171" t="s">
        <v>2659</v>
      </c>
      <c r="B1171" s="1">
        <v>41071</v>
      </c>
      <c r="C1171" s="1">
        <v>41116</v>
      </c>
      <c r="D1171" t="s">
        <v>569</v>
      </c>
      <c r="E1171">
        <v>29749</v>
      </c>
      <c r="F1171">
        <v>4760</v>
      </c>
      <c r="G1171">
        <v>0</v>
      </c>
      <c r="H1171">
        <v>0</v>
      </c>
      <c r="I1171">
        <v>197</v>
      </c>
      <c r="J1171">
        <v>34509</v>
      </c>
      <c r="K1171" t="s">
        <v>2660</v>
      </c>
      <c r="L1171" s="1">
        <v>41071</v>
      </c>
      <c r="N1171" t="s">
        <v>36</v>
      </c>
      <c r="O1171" t="s">
        <v>37</v>
      </c>
      <c r="P1171" t="s">
        <v>433</v>
      </c>
      <c r="Q1171" t="s">
        <v>39</v>
      </c>
      <c r="R1171" t="s">
        <v>40</v>
      </c>
      <c r="S1171">
        <v>0</v>
      </c>
      <c r="U1171" t="s">
        <v>41</v>
      </c>
      <c r="V1171" t="s">
        <v>42</v>
      </c>
      <c r="X1171" t="s">
        <v>74</v>
      </c>
      <c r="Y1171" t="b">
        <v>0</v>
      </c>
      <c r="Z1171" t="b">
        <v>0</v>
      </c>
      <c r="AC1171" s="1"/>
      <c r="AF1171">
        <v>0</v>
      </c>
      <c r="AG1171">
        <v>45</v>
      </c>
      <c r="AH1171">
        <v>242</v>
      </c>
      <c r="AI1171" s="2">
        <f>Table__192.168.3.138DYLAgingReport[[#This Row],[NetAmount]]-Table__192.168.3.138DYLAgingReport[[#This Row],[Paid]]</f>
        <v>34509</v>
      </c>
    </row>
    <row r="1172" spans="1:35">
      <c r="A1172" t="s">
        <v>2661</v>
      </c>
      <c r="B1172" s="1">
        <v>41069</v>
      </c>
      <c r="C1172" s="1">
        <v>41114</v>
      </c>
      <c r="D1172" t="s">
        <v>569</v>
      </c>
      <c r="E1172">
        <v>16275</v>
      </c>
      <c r="F1172">
        <v>2604</v>
      </c>
      <c r="G1172">
        <v>0</v>
      </c>
      <c r="H1172">
        <v>0</v>
      </c>
      <c r="I1172">
        <v>199</v>
      </c>
      <c r="J1172">
        <v>18879</v>
      </c>
      <c r="K1172" t="s">
        <v>2662</v>
      </c>
      <c r="L1172" s="1">
        <v>41069</v>
      </c>
      <c r="N1172" t="s">
        <v>36</v>
      </c>
      <c r="O1172" t="s">
        <v>37</v>
      </c>
      <c r="P1172" t="s">
        <v>433</v>
      </c>
      <c r="Q1172" t="s">
        <v>39</v>
      </c>
      <c r="R1172" t="s">
        <v>40</v>
      </c>
      <c r="S1172">
        <v>0</v>
      </c>
      <c r="U1172" t="s">
        <v>41</v>
      </c>
      <c r="V1172" t="s">
        <v>42</v>
      </c>
      <c r="X1172" t="s">
        <v>74</v>
      </c>
      <c r="Y1172" t="b">
        <v>0</v>
      </c>
      <c r="Z1172" t="b">
        <v>0</v>
      </c>
      <c r="AC1172" s="1"/>
      <c r="AF1172">
        <v>0</v>
      </c>
      <c r="AG1172">
        <v>45</v>
      </c>
      <c r="AH1172">
        <v>244</v>
      </c>
      <c r="AI1172" s="2">
        <f>Table__192.168.3.138DYLAgingReport[[#This Row],[NetAmount]]-Table__192.168.3.138DYLAgingReport[[#This Row],[Paid]]</f>
        <v>18879</v>
      </c>
    </row>
    <row r="1173" spans="1:35">
      <c r="A1173" t="s">
        <v>2663</v>
      </c>
      <c r="B1173" s="1">
        <v>41087</v>
      </c>
      <c r="C1173" s="1">
        <v>41132</v>
      </c>
      <c r="D1173" t="s">
        <v>569</v>
      </c>
      <c r="E1173">
        <v>26500</v>
      </c>
      <c r="F1173">
        <v>4240</v>
      </c>
      <c r="G1173">
        <v>0</v>
      </c>
      <c r="H1173">
        <v>0</v>
      </c>
      <c r="I1173">
        <v>199</v>
      </c>
      <c r="J1173">
        <v>30740</v>
      </c>
      <c r="K1173" t="s">
        <v>2664</v>
      </c>
      <c r="L1173" s="1">
        <v>41069</v>
      </c>
      <c r="N1173" t="s">
        <v>36</v>
      </c>
      <c r="O1173" t="s">
        <v>37</v>
      </c>
      <c r="P1173" t="s">
        <v>433</v>
      </c>
      <c r="Q1173" t="s">
        <v>39</v>
      </c>
      <c r="R1173" t="s">
        <v>40</v>
      </c>
      <c r="S1173">
        <v>0</v>
      </c>
      <c r="U1173" t="s">
        <v>41</v>
      </c>
      <c r="V1173" t="s">
        <v>42</v>
      </c>
      <c r="X1173" t="s">
        <v>74</v>
      </c>
      <c r="Y1173" t="b">
        <v>0</v>
      </c>
      <c r="Z1173" t="b">
        <v>0</v>
      </c>
      <c r="AC1173" s="1"/>
      <c r="AF1173">
        <v>0</v>
      </c>
      <c r="AG1173">
        <v>45</v>
      </c>
      <c r="AH1173">
        <v>244</v>
      </c>
      <c r="AI1173" s="2">
        <f>Table__192.168.3.138DYLAgingReport[[#This Row],[NetAmount]]-Table__192.168.3.138DYLAgingReport[[#This Row],[Paid]]</f>
        <v>30740</v>
      </c>
    </row>
    <row r="1174" spans="1:35">
      <c r="A1174" t="s">
        <v>2665</v>
      </c>
      <c r="B1174" s="1">
        <v>41068</v>
      </c>
      <c r="C1174" s="1">
        <v>41113</v>
      </c>
      <c r="D1174" t="s">
        <v>569</v>
      </c>
      <c r="E1174">
        <v>31991</v>
      </c>
      <c r="F1174">
        <v>5118</v>
      </c>
      <c r="G1174">
        <v>0</v>
      </c>
      <c r="H1174">
        <v>0</v>
      </c>
      <c r="I1174">
        <v>200</v>
      </c>
      <c r="J1174">
        <v>37109</v>
      </c>
      <c r="K1174" t="s">
        <v>2666</v>
      </c>
      <c r="L1174" s="1">
        <v>41068</v>
      </c>
      <c r="N1174" t="s">
        <v>36</v>
      </c>
      <c r="O1174" t="s">
        <v>37</v>
      </c>
      <c r="P1174" t="s">
        <v>433</v>
      </c>
      <c r="Q1174" t="s">
        <v>39</v>
      </c>
      <c r="R1174" t="s">
        <v>40</v>
      </c>
      <c r="S1174">
        <v>0</v>
      </c>
      <c r="U1174" t="s">
        <v>41</v>
      </c>
      <c r="V1174" t="s">
        <v>42</v>
      </c>
      <c r="X1174" t="s">
        <v>74</v>
      </c>
      <c r="Y1174" t="b">
        <v>0</v>
      </c>
      <c r="Z1174" t="b">
        <v>0</v>
      </c>
      <c r="AC1174" s="1"/>
      <c r="AF1174">
        <v>0</v>
      </c>
      <c r="AG1174">
        <v>45</v>
      </c>
      <c r="AH1174">
        <v>245</v>
      </c>
      <c r="AI1174" s="2">
        <f>Table__192.168.3.138DYLAgingReport[[#This Row],[NetAmount]]-Table__192.168.3.138DYLAgingReport[[#This Row],[Paid]]</f>
        <v>37109</v>
      </c>
    </row>
    <row r="1175" spans="1:35">
      <c r="A1175" t="s">
        <v>2667</v>
      </c>
      <c r="B1175" s="1">
        <v>41065</v>
      </c>
      <c r="C1175" s="1">
        <v>41110</v>
      </c>
      <c r="D1175" t="s">
        <v>569</v>
      </c>
      <c r="E1175">
        <v>29425</v>
      </c>
      <c r="F1175">
        <v>4708</v>
      </c>
      <c r="G1175">
        <v>0</v>
      </c>
      <c r="H1175">
        <v>0</v>
      </c>
      <c r="I1175">
        <v>203</v>
      </c>
      <c r="J1175">
        <v>34133</v>
      </c>
      <c r="K1175" t="s">
        <v>2668</v>
      </c>
      <c r="L1175" s="1">
        <v>41065</v>
      </c>
      <c r="N1175" t="s">
        <v>36</v>
      </c>
      <c r="O1175" t="s">
        <v>37</v>
      </c>
      <c r="P1175" t="s">
        <v>433</v>
      </c>
      <c r="Q1175" t="s">
        <v>39</v>
      </c>
      <c r="R1175" t="s">
        <v>40</v>
      </c>
      <c r="S1175">
        <v>0</v>
      </c>
      <c r="U1175" t="s">
        <v>41</v>
      </c>
      <c r="V1175" t="s">
        <v>42</v>
      </c>
      <c r="X1175" t="s">
        <v>74</v>
      </c>
      <c r="Y1175" t="b">
        <v>0</v>
      </c>
      <c r="Z1175" t="b">
        <v>0</v>
      </c>
      <c r="AC1175" s="1"/>
      <c r="AF1175">
        <v>0</v>
      </c>
      <c r="AG1175">
        <v>45</v>
      </c>
      <c r="AH1175">
        <v>248</v>
      </c>
      <c r="AI1175" s="2">
        <f>Table__192.168.3.138DYLAgingReport[[#This Row],[NetAmount]]-Table__192.168.3.138DYLAgingReport[[#This Row],[Paid]]</f>
        <v>34133</v>
      </c>
    </row>
    <row r="1176" spans="1:35">
      <c r="A1176" t="s">
        <v>2669</v>
      </c>
      <c r="B1176" s="1">
        <v>41064</v>
      </c>
      <c r="C1176" s="1">
        <v>41109</v>
      </c>
      <c r="D1176" t="s">
        <v>569</v>
      </c>
      <c r="E1176">
        <v>50070</v>
      </c>
      <c r="F1176">
        <v>8011</v>
      </c>
      <c r="G1176">
        <v>0</v>
      </c>
      <c r="H1176">
        <v>0</v>
      </c>
      <c r="I1176">
        <v>204</v>
      </c>
      <c r="J1176">
        <v>58081</v>
      </c>
      <c r="K1176" t="s">
        <v>2670</v>
      </c>
      <c r="L1176" s="1">
        <v>41064</v>
      </c>
      <c r="N1176" t="s">
        <v>36</v>
      </c>
      <c r="O1176" t="s">
        <v>37</v>
      </c>
      <c r="P1176" t="s">
        <v>433</v>
      </c>
      <c r="Q1176" t="s">
        <v>39</v>
      </c>
      <c r="R1176" t="s">
        <v>40</v>
      </c>
      <c r="S1176">
        <v>0</v>
      </c>
      <c r="U1176" t="s">
        <v>41</v>
      </c>
      <c r="V1176" t="s">
        <v>42</v>
      </c>
      <c r="X1176" t="s">
        <v>74</v>
      </c>
      <c r="Y1176" t="b">
        <v>0</v>
      </c>
      <c r="Z1176" t="b">
        <v>0</v>
      </c>
      <c r="AC1176" s="1"/>
      <c r="AF1176">
        <v>0</v>
      </c>
      <c r="AG1176">
        <v>45</v>
      </c>
      <c r="AH1176">
        <v>249</v>
      </c>
      <c r="AI1176" s="2">
        <f>Table__192.168.3.138DYLAgingReport[[#This Row],[NetAmount]]-Table__192.168.3.138DYLAgingReport[[#This Row],[Paid]]</f>
        <v>58081</v>
      </c>
    </row>
    <row r="1177" spans="1:35">
      <c r="A1177" t="s">
        <v>2671</v>
      </c>
      <c r="B1177" s="1">
        <v>41081</v>
      </c>
      <c r="C1177" s="1">
        <v>41126</v>
      </c>
      <c r="D1177" t="s">
        <v>268</v>
      </c>
      <c r="E1177">
        <v>33300</v>
      </c>
      <c r="F1177">
        <v>5328</v>
      </c>
      <c r="G1177">
        <v>0</v>
      </c>
      <c r="H1177">
        <v>0</v>
      </c>
      <c r="I1177">
        <v>182</v>
      </c>
      <c r="J1177">
        <v>38628</v>
      </c>
      <c r="K1177" t="s">
        <v>2672</v>
      </c>
      <c r="L1177" s="1">
        <v>41086</v>
      </c>
      <c r="N1177" t="s">
        <v>36</v>
      </c>
      <c r="O1177" t="s">
        <v>37</v>
      </c>
      <c r="P1177" t="s">
        <v>405</v>
      </c>
      <c r="Q1177" t="s">
        <v>39</v>
      </c>
      <c r="R1177" t="s">
        <v>40</v>
      </c>
      <c r="S1177">
        <v>0</v>
      </c>
      <c r="U1177" t="s">
        <v>41</v>
      </c>
      <c r="V1177" t="s">
        <v>42</v>
      </c>
      <c r="X1177" t="s">
        <v>74</v>
      </c>
      <c r="Y1177" t="b">
        <v>0</v>
      </c>
      <c r="Z1177" t="b">
        <v>0</v>
      </c>
      <c r="AC1177" s="1"/>
      <c r="AF1177">
        <v>0</v>
      </c>
      <c r="AG1177">
        <v>45</v>
      </c>
      <c r="AH1177">
        <v>227</v>
      </c>
      <c r="AI1177" s="2">
        <f>Table__192.168.3.138DYLAgingReport[[#This Row],[NetAmount]]-Table__192.168.3.138DYLAgingReport[[#This Row],[Paid]]</f>
        <v>38628</v>
      </c>
    </row>
    <row r="1178" spans="1:35">
      <c r="A1178" t="s">
        <v>2673</v>
      </c>
      <c r="B1178" s="1">
        <v>41085</v>
      </c>
      <c r="C1178" s="1">
        <v>41130</v>
      </c>
      <c r="D1178" t="s">
        <v>268</v>
      </c>
      <c r="E1178">
        <v>40050</v>
      </c>
      <c r="F1178">
        <v>6408</v>
      </c>
      <c r="G1178">
        <v>0</v>
      </c>
      <c r="H1178">
        <v>0</v>
      </c>
      <c r="I1178">
        <v>182</v>
      </c>
      <c r="J1178">
        <v>46458</v>
      </c>
      <c r="K1178" t="s">
        <v>2674</v>
      </c>
      <c r="L1178" s="1">
        <v>41086</v>
      </c>
      <c r="N1178" t="s">
        <v>36</v>
      </c>
      <c r="O1178" t="s">
        <v>37</v>
      </c>
      <c r="P1178" t="s">
        <v>405</v>
      </c>
      <c r="Q1178" t="s">
        <v>39</v>
      </c>
      <c r="R1178" t="s">
        <v>40</v>
      </c>
      <c r="S1178">
        <v>0</v>
      </c>
      <c r="U1178" t="s">
        <v>41</v>
      </c>
      <c r="V1178" t="s">
        <v>42</v>
      </c>
      <c r="X1178" t="s">
        <v>74</v>
      </c>
      <c r="Y1178" t="b">
        <v>0</v>
      </c>
      <c r="Z1178" t="b">
        <v>0</v>
      </c>
      <c r="AC1178" s="1"/>
      <c r="AF1178">
        <v>0</v>
      </c>
      <c r="AG1178">
        <v>45</v>
      </c>
      <c r="AH1178">
        <v>227</v>
      </c>
      <c r="AI1178" s="2">
        <f>Table__192.168.3.138DYLAgingReport[[#This Row],[NetAmount]]-Table__192.168.3.138DYLAgingReport[[#This Row],[Paid]]</f>
        <v>46458</v>
      </c>
    </row>
    <row r="1179" spans="1:35">
      <c r="A1179" t="s">
        <v>2675</v>
      </c>
      <c r="B1179" s="1">
        <v>41085</v>
      </c>
      <c r="C1179" s="1">
        <v>41130</v>
      </c>
      <c r="D1179" t="s">
        <v>220</v>
      </c>
      <c r="E1179">
        <v>105600</v>
      </c>
      <c r="F1179">
        <v>16896</v>
      </c>
      <c r="G1179">
        <v>0</v>
      </c>
      <c r="H1179">
        <v>0</v>
      </c>
      <c r="I1179">
        <v>183</v>
      </c>
      <c r="J1179">
        <v>122496</v>
      </c>
      <c r="K1179" t="s">
        <v>2676</v>
      </c>
      <c r="L1179" s="1">
        <v>41085</v>
      </c>
      <c r="N1179" t="s">
        <v>36</v>
      </c>
      <c r="O1179" t="s">
        <v>37</v>
      </c>
      <c r="P1179" t="s">
        <v>357</v>
      </c>
      <c r="Q1179" t="s">
        <v>39</v>
      </c>
      <c r="R1179" t="s">
        <v>40</v>
      </c>
      <c r="S1179">
        <v>0</v>
      </c>
      <c r="U1179" t="s">
        <v>41</v>
      </c>
      <c r="V1179" t="s">
        <v>42</v>
      </c>
      <c r="X1179" t="s">
        <v>74</v>
      </c>
      <c r="Y1179" t="b">
        <v>0</v>
      </c>
      <c r="Z1179" t="b">
        <v>0</v>
      </c>
      <c r="AB1179" t="s">
        <v>2677</v>
      </c>
      <c r="AC1179" s="1">
        <v>41291</v>
      </c>
      <c r="AD1179" t="s">
        <v>2678</v>
      </c>
      <c r="AE1179" t="s">
        <v>529</v>
      </c>
      <c r="AF1179">
        <v>44029</v>
      </c>
      <c r="AG1179">
        <v>45</v>
      </c>
      <c r="AH1179">
        <v>228</v>
      </c>
      <c r="AI1179" s="2">
        <f>Table__192.168.3.138DYLAgingReport[[#This Row],[NetAmount]]-Table__192.168.3.138DYLAgingReport[[#This Row],[Paid]]</f>
        <v>78467</v>
      </c>
    </row>
    <row r="1180" spans="1:35">
      <c r="A1180" t="s">
        <v>2679</v>
      </c>
      <c r="B1180" s="1">
        <v>41085</v>
      </c>
      <c r="C1180" s="1">
        <v>41130</v>
      </c>
      <c r="D1180" t="s">
        <v>220</v>
      </c>
      <c r="E1180">
        <v>46321</v>
      </c>
      <c r="F1180">
        <v>7411</v>
      </c>
      <c r="G1180">
        <v>0</v>
      </c>
      <c r="H1180">
        <v>0</v>
      </c>
      <c r="I1180">
        <v>183</v>
      </c>
      <c r="J1180">
        <v>53732</v>
      </c>
      <c r="K1180" t="s">
        <v>2680</v>
      </c>
      <c r="L1180" s="1">
        <v>41085</v>
      </c>
      <c r="N1180" t="s">
        <v>36</v>
      </c>
      <c r="O1180" t="s">
        <v>37</v>
      </c>
      <c r="P1180" t="s">
        <v>357</v>
      </c>
      <c r="Q1180" t="s">
        <v>39</v>
      </c>
      <c r="R1180" t="s">
        <v>40</v>
      </c>
      <c r="S1180">
        <v>0</v>
      </c>
      <c r="U1180" t="s">
        <v>41</v>
      </c>
      <c r="V1180" t="s">
        <v>42</v>
      </c>
      <c r="X1180" t="s">
        <v>74</v>
      </c>
      <c r="Y1180" t="b">
        <v>0</v>
      </c>
      <c r="Z1180" t="b">
        <v>0</v>
      </c>
      <c r="AB1180" t="s">
        <v>2677</v>
      </c>
      <c r="AC1180" s="1">
        <v>41291</v>
      </c>
      <c r="AE1180" t="s">
        <v>529</v>
      </c>
      <c r="AF1180">
        <v>0</v>
      </c>
      <c r="AG1180">
        <v>45</v>
      </c>
      <c r="AH1180">
        <v>228</v>
      </c>
      <c r="AI1180" s="2">
        <f>Table__192.168.3.138DYLAgingReport[[#This Row],[NetAmount]]-Table__192.168.3.138DYLAgingReport[[#This Row],[Paid]]</f>
        <v>53732</v>
      </c>
    </row>
    <row r="1181" spans="1:35">
      <c r="A1181" t="s">
        <v>2681</v>
      </c>
      <c r="B1181" s="1">
        <v>41085</v>
      </c>
      <c r="C1181" s="1">
        <v>41130</v>
      </c>
      <c r="D1181" t="s">
        <v>220</v>
      </c>
      <c r="E1181">
        <v>8042</v>
      </c>
      <c r="F1181">
        <v>1287</v>
      </c>
      <c r="G1181">
        <v>0</v>
      </c>
      <c r="H1181">
        <v>0</v>
      </c>
      <c r="I1181">
        <v>183</v>
      </c>
      <c r="J1181">
        <v>9329</v>
      </c>
      <c r="K1181" t="s">
        <v>2682</v>
      </c>
      <c r="L1181" s="1">
        <v>41085</v>
      </c>
      <c r="N1181" t="s">
        <v>36</v>
      </c>
      <c r="O1181" t="s">
        <v>37</v>
      </c>
      <c r="P1181" t="s">
        <v>357</v>
      </c>
      <c r="Q1181" t="s">
        <v>39</v>
      </c>
      <c r="R1181" t="s">
        <v>40</v>
      </c>
      <c r="S1181">
        <v>0</v>
      </c>
      <c r="U1181" t="s">
        <v>41</v>
      </c>
      <c r="V1181" t="s">
        <v>42</v>
      </c>
      <c r="X1181" t="s">
        <v>74</v>
      </c>
      <c r="Y1181" t="b">
        <v>0</v>
      </c>
      <c r="Z1181" t="b">
        <v>0</v>
      </c>
      <c r="AB1181" t="s">
        <v>2677</v>
      </c>
      <c r="AC1181" s="1">
        <v>41291</v>
      </c>
      <c r="AE1181" t="s">
        <v>529</v>
      </c>
      <c r="AF1181">
        <v>0</v>
      </c>
      <c r="AG1181">
        <v>45</v>
      </c>
      <c r="AH1181">
        <v>228</v>
      </c>
      <c r="AI1181" s="2">
        <f>Table__192.168.3.138DYLAgingReport[[#This Row],[NetAmount]]-Table__192.168.3.138DYLAgingReport[[#This Row],[Paid]]</f>
        <v>9329</v>
      </c>
    </row>
    <row r="1182" spans="1:35">
      <c r="A1182" t="s">
        <v>2683</v>
      </c>
      <c r="B1182" s="1">
        <v>41079</v>
      </c>
      <c r="C1182" s="1">
        <v>41124</v>
      </c>
      <c r="D1182" t="s">
        <v>220</v>
      </c>
      <c r="E1182">
        <v>236000</v>
      </c>
      <c r="F1182">
        <v>37760</v>
      </c>
      <c r="G1182">
        <v>0</v>
      </c>
      <c r="H1182">
        <v>0</v>
      </c>
      <c r="I1182">
        <v>189</v>
      </c>
      <c r="J1182">
        <v>273760</v>
      </c>
      <c r="K1182" t="s">
        <v>1377</v>
      </c>
      <c r="L1182" s="1">
        <v>41079</v>
      </c>
      <c r="N1182" t="s">
        <v>36</v>
      </c>
      <c r="O1182" t="s">
        <v>37</v>
      </c>
      <c r="P1182" t="s">
        <v>357</v>
      </c>
      <c r="Q1182" t="s">
        <v>39</v>
      </c>
      <c r="R1182" t="s">
        <v>40</v>
      </c>
      <c r="S1182">
        <v>0</v>
      </c>
      <c r="U1182" t="s">
        <v>41</v>
      </c>
      <c r="V1182" t="s">
        <v>42</v>
      </c>
      <c r="X1182" t="s">
        <v>74</v>
      </c>
      <c r="Y1182" t="b">
        <v>0</v>
      </c>
      <c r="Z1182" t="b">
        <v>0</v>
      </c>
      <c r="AB1182" t="s">
        <v>2677</v>
      </c>
      <c r="AC1182" s="1">
        <v>41291</v>
      </c>
      <c r="AE1182" t="s">
        <v>529</v>
      </c>
      <c r="AF1182">
        <v>0</v>
      </c>
      <c r="AG1182">
        <v>45</v>
      </c>
      <c r="AH1182">
        <v>234</v>
      </c>
      <c r="AI1182" s="2">
        <f>Table__192.168.3.138DYLAgingReport[[#This Row],[NetAmount]]-Table__192.168.3.138DYLAgingReport[[#This Row],[Paid]]</f>
        <v>273760</v>
      </c>
    </row>
    <row r="1183" spans="1:35">
      <c r="A1183" t="s">
        <v>2684</v>
      </c>
      <c r="B1183" s="1">
        <v>41082</v>
      </c>
      <c r="C1183" s="1">
        <v>41127</v>
      </c>
      <c r="D1183" t="s">
        <v>239</v>
      </c>
      <c r="E1183">
        <v>249844</v>
      </c>
      <c r="F1183">
        <v>39975</v>
      </c>
      <c r="G1183">
        <v>0</v>
      </c>
      <c r="H1183">
        <v>0</v>
      </c>
      <c r="I1183">
        <v>551</v>
      </c>
      <c r="J1183">
        <v>289819</v>
      </c>
      <c r="K1183" t="s">
        <v>2685</v>
      </c>
      <c r="L1183" s="1">
        <v>40717</v>
      </c>
      <c r="N1183" t="s">
        <v>36</v>
      </c>
      <c r="O1183" t="s">
        <v>37</v>
      </c>
      <c r="P1183" t="s">
        <v>376</v>
      </c>
      <c r="Q1183" t="s">
        <v>39</v>
      </c>
      <c r="R1183" t="s">
        <v>40</v>
      </c>
      <c r="S1183">
        <v>0</v>
      </c>
      <c r="U1183" t="s">
        <v>41</v>
      </c>
      <c r="V1183" t="s">
        <v>42</v>
      </c>
      <c r="X1183" t="s">
        <v>74</v>
      </c>
      <c r="Y1183" t="b">
        <v>0</v>
      </c>
      <c r="Z1183" t="b">
        <v>0</v>
      </c>
      <c r="AB1183" t="s">
        <v>2686</v>
      </c>
      <c r="AC1183" s="1">
        <v>41185</v>
      </c>
      <c r="AD1183" t="s">
        <v>2687</v>
      </c>
      <c r="AE1183" t="s">
        <v>535</v>
      </c>
      <c r="AF1183">
        <v>286713</v>
      </c>
      <c r="AG1183">
        <v>45</v>
      </c>
      <c r="AH1183">
        <v>596</v>
      </c>
      <c r="AI1183" s="2">
        <f>Table__192.168.3.138DYLAgingReport[[#This Row],[NetAmount]]-Table__192.168.3.138DYLAgingReport[[#This Row],[Paid]]</f>
        <v>3106</v>
      </c>
    </row>
    <row r="1184" spans="1:35">
      <c r="A1184" t="s">
        <v>2688</v>
      </c>
      <c r="B1184" s="1">
        <v>41082</v>
      </c>
      <c r="C1184" s="1">
        <v>41127</v>
      </c>
      <c r="D1184" t="s">
        <v>176</v>
      </c>
      <c r="E1184">
        <v>12000</v>
      </c>
      <c r="F1184">
        <v>1920</v>
      </c>
      <c r="G1184">
        <v>0</v>
      </c>
      <c r="H1184">
        <v>0</v>
      </c>
      <c r="I1184">
        <v>186</v>
      </c>
      <c r="J1184">
        <v>13920</v>
      </c>
      <c r="K1184" t="s">
        <v>2689</v>
      </c>
      <c r="L1184" s="1">
        <v>41082</v>
      </c>
      <c r="M1184" t="s">
        <v>2690</v>
      </c>
      <c r="N1184" t="s">
        <v>36</v>
      </c>
      <c r="O1184" t="s">
        <v>37</v>
      </c>
      <c r="P1184" t="s">
        <v>313</v>
      </c>
      <c r="Q1184" t="s">
        <v>39</v>
      </c>
      <c r="R1184" t="s">
        <v>40</v>
      </c>
      <c r="S1184">
        <v>0</v>
      </c>
      <c r="U1184" t="s">
        <v>41</v>
      </c>
      <c r="V1184" t="s">
        <v>42</v>
      </c>
      <c r="W1184" t="s">
        <v>494</v>
      </c>
      <c r="X1184" t="s">
        <v>74</v>
      </c>
      <c r="Y1184" t="b">
        <v>0</v>
      </c>
      <c r="Z1184" t="b">
        <v>0</v>
      </c>
      <c r="AA1184" t="b">
        <v>0</v>
      </c>
      <c r="AC1184" s="1"/>
      <c r="AF1184">
        <v>0</v>
      </c>
      <c r="AG1184">
        <v>45</v>
      </c>
      <c r="AH1184">
        <v>231</v>
      </c>
      <c r="AI1184" s="2">
        <f>Table__192.168.3.138DYLAgingReport[[#This Row],[NetAmount]]-Table__192.168.3.138DYLAgingReport[[#This Row],[Paid]]</f>
        <v>13920</v>
      </c>
    </row>
    <row r="1185" spans="1:35">
      <c r="A1185" t="s">
        <v>2691</v>
      </c>
      <c r="B1185" s="1">
        <v>41088</v>
      </c>
      <c r="C1185" s="1">
        <v>41133</v>
      </c>
      <c r="D1185" t="s">
        <v>220</v>
      </c>
      <c r="E1185">
        <v>103704</v>
      </c>
      <c r="F1185">
        <v>16593</v>
      </c>
      <c r="G1185">
        <v>0</v>
      </c>
      <c r="H1185">
        <v>0</v>
      </c>
      <c r="I1185">
        <v>180</v>
      </c>
      <c r="J1185">
        <v>120297</v>
      </c>
      <c r="K1185" t="s">
        <v>2692</v>
      </c>
      <c r="L1185" s="1">
        <v>41088</v>
      </c>
      <c r="N1185" t="s">
        <v>36</v>
      </c>
      <c r="O1185" t="s">
        <v>37</v>
      </c>
      <c r="P1185" t="s">
        <v>357</v>
      </c>
      <c r="Q1185" t="s">
        <v>39</v>
      </c>
      <c r="R1185" t="s">
        <v>40</v>
      </c>
      <c r="S1185">
        <v>0</v>
      </c>
      <c r="U1185" t="s">
        <v>41</v>
      </c>
      <c r="V1185" t="s">
        <v>42</v>
      </c>
      <c r="X1185" t="s">
        <v>74</v>
      </c>
      <c r="Y1185" t="b">
        <v>0</v>
      </c>
      <c r="Z1185" t="b">
        <v>0</v>
      </c>
      <c r="AB1185" t="s">
        <v>2677</v>
      </c>
      <c r="AC1185" s="1">
        <v>41291</v>
      </c>
      <c r="AE1185" t="s">
        <v>529</v>
      </c>
      <c r="AF1185">
        <v>0</v>
      </c>
      <c r="AG1185">
        <v>45</v>
      </c>
      <c r="AH1185">
        <v>225</v>
      </c>
      <c r="AI1185" s="2">
        <f>Table__192.168.3.138DYLAgingReport[[#This Row],[NetAmount]]-Table__192.168.3.138DYLAgingReport[[#This Row],[Paid]]</f>
        <v>120297</v>
      </c>
    </row>
    <row r="1186" spans="1:35">
      <c r="A1186" t="s">
        <v>2693</v>
      </c>
      <c r="B1186" s="1">
        <v>41087</v>
      </c>
      <c r="C1186" s="1">
        <v>41132</v>
      </c>
      <c r="D1186" t="s">
        <v>227</v>
      </c>
      <c r="E1186">
        <v>220000</v>
      </c>
      <c r="F1186">
        <v>35200</v>
      </c>
      <c r="G1186">
        <v>0</v>
      </c>
      <c r="H1186">
        <v>0</v>
      </c>
      <c r="I1186">
        <v>181</v>
      </c>
      <c r="J1186">
        <v>255200</v>
      </c>
      <c r="K1186" t="s">
        <v>2694</v>
      </c>
      <c r="L1186" s="1">
        <v>41087</v>
      </c>
      <c r="N1186" t="s">
        <v>36</v>
      </c>
      <c r="O1186" t="s">
        <v>37</v>
      </c>
      <c r="P1186" t="s">
        <v>364</v>
      </c>
      <c r="Q1186" t="s">
        <v>39</v>
      </c>
      <c r="R1186" t="s">
        <v>40</v>
      </c>
      <c r="S1186">
        <v>0</v>
      </c>
      <c r="U1186" t="s">
        <v>41</v>
      </c>
      <c r="V1186" t="s">
        <v>42</v>
      </c>
      <c r="X1186" t="s">
        <v>74</v>
      </c>
      <c r="Y1186" t="b">
        <v>0</v>
      </c>
      <c r="Z1186" t="b">
        <v>0</v>
      </c>
      <c r="AB1186" t="s">
        <v>708</v>
      </c>
      <c r="AC1186" s="1">
        <v>41297</v>
      </c>
      <c r="AE1186" t="s">
        <v>5359</v>
      </c>
      <c r="AF1186">
        <v>0</v>
      </c>
      <c r="AG1186">
        <v>45</v>
      </c>
      <c r="AH1186">
        <v>226</v>
      </c>
      <c r="AI1186" s="2">
        <f>Table__192.168.3.138DYLAgingReport[[#This Row],[NetAmount]]-Table__192.168.3.138DYLAgingReport[[#This Row],[Paid]]</f>
        <v>255200</v>
      </c>
    </row>
    <row r="1187" spans="1:35">
      <c r="A1187" t="s">
        <v>98</v>
      </c>
      <c r="B1187" s="1">
        <v>41089</v>
      </c>
      <c r="C1187" s="1">
        <v>41134</v>
      </c>
      <c r="D1187" t="s">
        <v>35</v>
      </c>
      <c r="E1187">
        <v>200000</v>
      </c>
      <c r="F1187">
        <v>32000</v>
      </c>
      <c r="G1187">
        <v>0</v>
      </c>
      <c r="H1187">
        <v>0</v>
      </c>
      <c r="I1187">
        <v>183</v>
      </c>
      <c r="J1187">
        <v>232000</v>
      </c>
      <c r="K1187" t="s">
        <v>99</v>
      </c>
      <c r="L1187" s="1">
        <v>41085</v>
      </c>
      <c r="N1187" t="s">
        <v>36</v>
      </c>
      <c r="O1187" t="s">
        <v>37</v>
      </c>
      <c r="P1187" t="s">
        <v>38</v>
      </c>
      <c r="Q1187" t="s">
        <v>39</v>
      </c>
      <c r="R1187" t="s">
        <v>40</v>
      </c>
      <c r="S1187">
        <v>0</v>
      </c>
      <c r="U1187" t="s">
        <v>41</v>
      </c>
      <c r="V1187" t="s">
        <v>42</v>
      </c>
      <c r="X1187" t="s">
        <v>74</v>
      </c>
      <c r="Y1187" t="b">
        <v>0</v>
      </c>
      <c r="Z1187" t="b">
        <v>0</v>
      </c>
      <c r="AC1187" s="1"/>
      <c r="AF1187">
        <v>0</v>
      </c>
      <c r="AG1187">
        <v>45</v>
      </c>
      <c r="AH1187">
        <v>228</v>
      </c>
      <c r="AI1187" s="2">
        <f>Table__192.168.3.138DYLAgingReport[[#This Row],[NetAmount]]-Table__192.168.3.138DYLAgingReport[[#This Row],[Paid]]</f>
        <v>232000</v>
      </c>
    </row>
    <row r="1188" spans="1:35">
      <c r="A1188" t="s">
        <v>2695</v>
      </c>
      <c r="B1188" s="1">
        <v>41074</v>
      </c>
      <c r="C1188" s="1">
        <v>41119</v>
      </c>
      <c r="D1188" t="s">
        <v>226</v>
      </c>
      <c r="E1188">
        <v>92477</v>
      </c>
      <c r="F1188">
        <v>14797</v>
      </c>
      <c r="G1188">
        <v>0</v>
      </c>
      <c r="H1188">
        <v>0</v>
      </c>
      <c r="I1188">
        <v>183</v>
      </c>
      <c r="J1188">
        <v>107274</v>
      </c>
      <c r="K1188" t="s">
        <v>2696</v>
      </c>
      <c r="L1188" s="1">
        <v>41085</v>
      </c>
      <c r="N1188" t="s">
        <v>36</v>
      </c>
      <c r="O1188" t="s">
        <v>37</v>
      </c>
      <c r="P1188" t="s">
        <v>363</v>
      </c>
      <c r="Q1188" t="s">
        <v>39</v>
      </c>
      <c r="R1188" t="s">
        <v>40</v>
      </c>
      <c r="S1188">
        <v>0</v>
      </c>
      <c r="U1188" t="s">
        <v>41</v>
      </c>
      <c r="V1188" t="s">
        <v>42</v>
      </c>
      <c r="X1188" t="s">
        <v>74</v>
      </c>
      <c r="Y1188" t="b">
        <v>0</v>
      </c>
      <c r="Z1188" t="b">
        <v>0</v>
      </c>
      <c r="AC1188" s="1"/>
      <c r="AF1188">
        <v>0</v>
      </c>
      <c r="AG1188">
        <v>45</v>
      </c>
      <c r="AH1188">
        <v>228</v>
      </c>
      <c r="AI1188" s="2">
        <f>Table__192.168.3.138DYLAgingReport[[#This Row],[NetAmount]]-Table__192.168.3.138DYLAgingReport[[#This Row],[Paid]]</f>
        <v>107274</v>
      </c>
    </row>
    <row r="1189" spans="1:35">
      <c r="A1189" t="s">
        <v>2697</v>
      </c>
      <c r="B1189" s="1">
        <v>41074</v>
      </c>
      <c r="C1189" s="1">
        <v>41119</v>
      </c>
      <c r="D1189" t="s">
        <v>236</v>
      </c>
      <c r="E1189">
        <v>10662</v>
      </c>
      <c r="F1189">
        <v>0</v>
      </c>
      <c r="G1189">
        <v>0</v>
      </c>
      <c r="H1189">
        <v>0</v>
      </c>
      <c r="I1189">
        <v>195</v>
      </c>
      <c r="J1189">
        <v>10662</v>
      </c>
      <c r="K1189" t="s">
        <v>2698</v>
      </c>
      <c r="L1189" s="1">
        <v>41073</v>
      </c>
      <c r="N1189" t="s">
        <v>36</v>
      </c>
      <c r="O1189" t="s">
        <v>37</v>
      </c>
      <c r="P1189" t="s">
        <v>373</v>
      </c>
      <c r="Q1189" t="s">
        <v>39</v>
      </c>
      <c r="R1189" t="s">
        <v>40</v>
      </c>
      <c r="S1189">
        <v>0</v>
      </c>
      <c r="U1189" t="s">
        <v>41</v>
      </c>
      <c r="V1189" t="s">
        <v>42</v>
      </c>
      <c r="X1189" t="s">
        <v>74</v>
      </c>
      <c r="Y1189" t="b">
        <v>0</v>
      </c>
      <c r="Z1189" t="b">
        <v>0</v>
      </c>
      <c r="AC1189" s="1"/>
      <c r="AF1189">
        <v>0</v>
      </c>
      <c r="AG1189">
        <v>45</v>
      </c>
      <c r="AH1189">
        <v>240</v>
      </c>
      <c r="AI1189" s="2">
        <f>Table__192.168.3.138DYLAgingReport[[#This Row],[NetAmount]]-Table__192.168.3.138DYLAgingReport[[#This Row],[Paid]]</f>
        <v>10662</v>
      </c>
    </row>
    <row r="1190" spans="1:35">
      <c r="A1190" t="s">
        <v>2699</v>
      </c>
      <c r="B1190" s="1">
        <v>41090</v>
      </c>
      <c r="C1190" s="1">
        <v>41135</v>
      </c>
      <c r="D1190" t="s">
        <v>187</v>
      </c>
      <c r="E1190">
        <v>2650</v>
      </c>
      <c r="F1190">
        <v>0</v>
      </c>
      <c r="G1190">
        <v>0</v>
      </c>
      <c r="H1190">
        <v>0</v>
      </c>
      <c r="I1190">
        <v>201</v>
      </c>
      <c r="J1190">
        <v>2650</v>
      </c>
      <c r="K1190" t="s">
        <v>2700</v>
      </c>
      <c r="L1190" s="1">
        <v>41067</v>
      </c>
      <c r="N1190" t="s">
        <v>36</v>
      </c>
      <c r="O1190" t="s">
        <v>37</v>
      </c>
      <c r="P1190" t="s">
        <v>324</v>
      </c>
      <c r="Q1190" t="s">
        <v>39</v>
      </c>
      <c r="R1190" t="s">
        <v>40</v>
      </c>
      <c r="S1190">
        <v>0</v>
      </c>
      <c r="U1190" t="s">
        <v>41</v>
      </c>
      <c r="V1190" t="s">
        <v>42</v>
      </c>
      <c r="X1190" t="s">
        <v>74</v>
      </c>
      <c r="Y1190" t="b">
        <v>0</v>
      </c>
      <c r="Z1190" t="b">
        <v>0</v>
      </c>
      <c r="AC1190" s="1"/>
      <c r="AF1190">
        <v>0</v>
      </c>
      <c r="AG1190">
        <v>45</v>
      </c>
      <c r="AH1190">
        <v>246</v>
      </c>
      <c r="AI1190" s="2">
        <f>Table__192.168.3.138DYLAgingReport[[#This Row],[NetAmount]]-Table__192.168.3.138DYLAgingReport[[#This Row],[Paid]]</f>
        <v>2650</v>
      </c>
    </row>
    <row r="1191" spans="1:35">
      <c r="A1191" t="s">
        <v>2701</v>
      </c>
      <c r="B1191" s="1">
        <v>41087</v>
      </c>
      <c r="C1191" s="1">
        <v>41132</v>
      </c>
      <c r="D1191" t="s">
        <v>569</v>
      </c>
      <c r="E1191">
        <v>40800</v>
      </c>
      <c r="F1191">
        <v>6528</v>
      </c>
      <c r="G1191">
        <v>0</v>
      </c>
      <c r="H1191">
        <v>0</v>
      </c>
      <c r="I1191">
        <v>194</v>
      </c>
      <c r="J1191">
        <v>47328</v>
      </c>
      <c r="K1191" t="s">
        <v>2702</v>
      </c>
      <c r="L1191" s="1">
        <v>41074</v>
      </c>
      <c r="N1191" t="s">
        <v>36</v>
      </c>
      <c r="O1191" t="s">
        <v>37</v>
      </c>
      <c r="P1191" t="s">
        <v>433</v>
      </c>
      <c r="Q1191" t="s">
        <v>39</v>
      </c>
      <c r="R1191" t="s">
        <v>40</v>
      </c>
      <c r="S1191">
        <v>0</v>
      </c>
      <c r="U1191" t="s">
        <v>41</v>
      </c>
      <c r="V1191" t="s">
        <v>42</v>
      </c>
      <c r="X1191" t="s">
        <v>74</v>
      </c>
      <c r="Y1191" t="b">
        <v>0</v>
      </c>
      <c r="Z1191" t="b">
        <v>0</v>
      </c>
      <c r="AC1191" s="1"/>
      <c r="AF1191">
        <v>0</v>
      </c>
      <c r="AG1191">
        <v>45</v>
      </c>
      <c r="AH1191">
        <v>239</v>
      </c>
      <c r="AI1191" s="2">
        <f>Table__192.168.3.138DYLAgingReport[[#This Row],[NetAmount]]-Table__192.168.3.138DYLAgingReport[[#This Row],[Paid]]</f>
        <v>47328</v>
      </c>
    </row>
    <row r="1192" spans="1:35">
      <c r="A1192" t="s">
        <v>2703</v>
      </c>
      <c r="B1192" s="1">
        <v>41088</v>
      </c>
      <c r="C1192" s="1">
        <v>41133</v>
      </c>
      <c r="D1192" t="s">
        <v>569</v>
      </c>
      <c r="E1192">
        <v>39750</v>
      </c>
      <c r="F1192">
        <v>6360</v>
      </c>
      <c r="G1192">
        <v>0</v>
      </c>
      <c r="H1192">
        <v>0</v>
      </c>
      <c r="I1192">
        <v>40731</v>
      </c>
      <c r="J1192">
        <v>46110</v>
      </c>
      <c r="K1192" t="s">
        <v>2704</v>
      </c>
      <c r="L1192" s="1">
        <v>537</v>
      </c>
      <c r="N1192" t="s">
        <v>36</v>
      </c>
      <c r="O1192" t="s">
        <v>37</v>
      </c>
      <c r="P1192" t="s">
        <v>433</v>
      </c>
      <c r="Q1192" t="s">
        <v>39</v>
      </c>
      <c r="R1192" t="s">
        <v>40</v>
      </c>
      <c r="S1192">
        <v>0</v>
      </c>
      <c r="U1192" t="s">
        <v>41</v>
      </c>
      <c r="V1192" t="s">
        <v>42</v>
      </c>
      <c r="X1192" t="s">
        <v>74</v>
      </c>
      <c r="Y1192" t="b">
        <v>0</v>
      </c>
      <c r="Z1192" t="b">
        <v>0</v>
      </c>
      <c r="AC1192" s="1"/>
      <c r="AF1192">
        <v>0</v>
      </c>
      <c r="AG1192">
        <v>45</v>
      </c>
      <c r="AH1192">
        <v>40776</v>
      </c>
      <c r="AI1192" s="2">
        <f>Table__192.168.3.138DYLAgingReport[[#This Row],[NetAmount]]-Table__192.168.3.138DYLAgingReport[[#This Row],[Paid]]</f>
        <v>46110</v>
      </c>
    </row>
    <row r="1193" spans="1:35">
      <c r="A1193" t="s">
        <v>2705</v>
      </c>
      <c r="B1193" s="1">
        <v>41076</v>
      </c>
      <c r="C1193" s="1">
        <v>41121</v>
      </c>
      <c r="D1193" t="s">
        <v>569</v>
      </c>
      <c r="E1193">
        <v>51164</v>
      </c>
      <c r="F1193">
        <v>8186</v>
      </c>
      <c r="G1193">
        <v>0</v>
      </c>
      <c r="H1193">
        <v>0</v>
      </c>
      <c r="I1193">
        <v>40735</v>
      </c>
      <c r="J1193">
        <v>59350</v>
      </c>
      <c r="K1193" t="s">
        <v>2706</v>
      </c>
      <c r="L1193" s="1">
        <v>533</v>
      </c>
      <c r="N1193" t="s">
        <v>36</v>
      </c>
      <c r="O1193" t="s">
        <v>37</v>
      </c>
      <c r="P1193" t="s">
        <v>433</v>
      </c>
      <c r="Q1193" t="s">
        <v>39</v>
      </c>
      <c r="R1193" t="s">
        <v>40</v>
      </c>
      <c r="S1193">
        <v>0</v>
      </c>
      <c r="U1193" t="s">
        <v>41</v>
      </c>
      <c r="V1193" t="s">
        <v>42</v>
      </c>
      <c r="X1193" t="s">
        <v>74</v>
      </c>
      <c r="Y1193" t="b">
        <v>0</v>
      </c>
      <c r="Z1193" t="b">
        <v>0</v>
      </c>
      <c r="AC1193" s="1"/>
      <c r="AF1193">
        <v>0</v>
      </c>
      <c r="AG1193">
        <v>45</v>
      </c>
      <c r="AH1193">
        <v>40780</v>
      </c>
      <c r="AI1193" s="2">
        <f>Table__192.168.3.138DYLAgingReport[[#This Row],[NetAmount]]-Table__192.168.3.138DYLAgingReport[[#This Row],[Paid]]</f>
        <v>59350</v>
      </c>
    </row>
    <row r="1194" spans="1:35">
      <c r="A1194" t="s">
        <v>2707</v>
      </c>
      <c r="B1194" s="1">
        <v>41087</v>
      </c>
      <c r="C1194" s="1">
        <v>41132</v>
      </c>
      <c r="D1194" t="s">
        <v>569</v>
      </c>
      <c r="E1194">
        <v>56625</v>
      </c>
      <c r="F1194">
        <v>9060</v>
      </c>
      <c r="G1194">
        <v>0</v>
      </c>
      <c r="H1194">
        <v>0</v>
      </c>
      <c r="I1194">
        <v>190</v>
      </c>
      <c r="J1194">
        <v>65685</v>
      </c>
      <c r="K1194" t="s">
        <v>2708</v>
      </c>
      <c r="L1194" s="1">
        <v>41078</v>
      </c>
      <c r="N1194" t="s">
        <v>36</v>
      </c>
      <c r="O1194" t="s">
        <v>37</v>
      </c>
      <c r="P1194" t="s">
        <v>433</v>
      </c>
      <c r="Q1194" t="s">
        <v>39</v>
      </c>
      <c r="R1194" t="s">
        <v>40</v>
      </c>
      <c r="S1194">
        <v>0</v>
      </c>
      <c r="U1194" t="s">
        <v>41</v>
      </c>
      <c r="V1194" t="s">
        <v>42</v>
      </c>
      <c r="X1194" t="s">
        <v>74</v>
      </c>
      <c r="Y1194" t="b">
        <v>0</v>
      </c>
      <c r="Z1194" t="b">
        <v>0</v>
      </c>
      <c r="AC1194" s="1"/>
      <c r="AF1194">
        <v>0</v>
      </c>
      <c r="AG1194">
        <v>45</v>
      </c>
      <c r="AH1194">
        <v>235</v>
      </c>
      <c r="AI1194" s="2">
        <f>Table__192.168.3.138DYLAgingReport[[#This Row],[NetAmount]]-Table__192.168.3.138DYLAgingReport[[#This Row],[Paid]]</f>
        <v>65685</v>
      </c>
    </row>
    <row r="1195" spans="1:35">
      <c r="A1195" t="s">
        <v>2709</v>
      </c>
      <c r="B1195" s="1">
        <v>41080</v>
      </c>
      <c r="C1195" s="1">
        <v>41125</v>
      </c>
      <c r="D1195" t="s">
        <v>569</v>
      </c>
      <c r="E1195">
        <v>15124</v>
      </c>
      <c r="F1195">
        <v>2420</v>
      </c>
      <c r="G1195">
        <v>0</v>
      </c>
      <c r="H1195">
        <v>0</v>
      </c>
      <c r="I1195">
        <v>188</v>
      </c>
      <c r="J1195">
        <v>17544</v>
      </c>
      <c r="K1195" t="s">
        <v>2710</v>
      </c>
      <c r="L1195" s="1">
        <v>41080</v>
      </c>
      <c r="N1195" t="s">
        <v>36</v>
      </c>
      <c r="O1195" t="s">
        <v>37</v>
      </c>
      <c r="P1195" t="s">
        <v>433</v>
      </c>
      <c r="Q1195" t="s">
        <v>39</v>
      </c>
      <c r="R1195" t="s">
        <v>40</v>
      </c>
      <c r="S1195">
        <v>0</v>
      </c>
      <c r="U1195" t="s">
        <v>41</v>
      </c>
      <c r="V1195" t="s">
        <v>42</v>
      </c>
      <c r="X1195" t="s">
        <v>74</v>
      </c>
      <c r="Y1195" t="b">
        <v>0</v>
      </c>
      <c r="Z1195" t="b">
        <v>0</v>
      </c>
      <c r="AC1195" s="1"/>
      <c r="AF1195">
        <v>0</v>
      </c>
      <c r="AG1195">
        <v>45</v>
      </c>
      <c r="AH1195">
        <v>233</v>
      </c>
      <c r="AI1195" s="2">
        <f>Table__192.168.3.138DYLAgingReport[[#This Row],[NetAmount]]-Table__192.168.3.138DYLAgingReport[[#This Row],[Paid]]</f>
        <v>17544</v>
      </c>
    </row>
    <row r="1196" spans="1:35">
      <c r="A1196" t="s">
        <v>2711</v>
      </c>
      <c r="B1196" s="1">
        <v>41089</v>
      </c>
      <c r="C1196" s="1">
        <v>41134</v>
      </c>
      <c r="D1196" t="s">
        <v>247</v>
      </c>
      <c r="E1196">
        <v>188000</v>
      </c>
      <c r="F1196">
        <v>30080</v>
      </c>
      <c r="G1196">
        <v>0</v>
      </c>
      <c r="H1196">
        <v>0</v>
      </c>
      <c r="I1196">
        <v>185</v>
      </c>
      <c r="J1196">
        <v>218080</v>
      </c>
      <c r="K1196" t="s">
        <v>2712</v>
      </c>
      <c r="L1196" s="1">
        <v>41083</v>
      </c>
      <c r="N1196" t="s">
        <v>36</v>
      </c>
      <c r="O1196" t="s">
        <v>37</v>
      </c>
      <c r="P1196" t="s">
        <v>384</v>
      </c>
      <c r="Q1196" t="s">
        <v>39</v>
      </c>
      <c r="R1196" t="s">
        <v>40</v>
      </c>
      <c r="S1196">
        <v>0</v>
      </c>
      <c r="U1196" t="s">
        <v>41</v>
      </c>
      <c r="V1196" t="s">
        <v>42</v>
      </c>
      <c r="X1196" t="s">
        <v>74</v>
      </c>
      <c r="Y1196" t="b">
        <v>0</v>
      </c>
      <c r="Z1196" t="b">
        <v>0</v>
      </c>
      <c r="AC1196" s="1"/>
      <c r="AF1196">
        <v>0</v>
      </c>
      <c r="AG1196">
        <v>45</v>
      </c>
      <c r="AH1196">
        <v>230</v>
      </c>
      <c r="AI1196" s="2">
        <f>Table__192.168.3.138DYLAgingReport[[#This Row],[NetAmount]]-Table__192.168.3.138DYLAgingReport[[#This Row],[Paid]]</f>
        <v>218080</v>
      </c>
    </row>
    <row r="1197" spans="1:35">
      <c r="A1197" t="s">
        <v>2713</v>
      </c>
      <c r="B1197" s="1">
        <v>41087</v>
      </c>
      <c r="C1197" s="1">
        <v>41132</v>
      </c>
      <c r="D1197" t="s">
        <v>288</v>
      </c>
      <c r="E1197">
        <v>16270</v>
      </c>
      <c r="F1197">
        <v>2603</v>
      </c>
      <c r="G1197">
        <v>0</v>
      </c>
      <c r="H1197">
        <v>0</v>
      </c>
      <c r="I1197">
        <v>188</v>
      </c>
      <c r="J1197">
        <v>18873</v>
      </c>
      <c r="K1197" t="s">
        <v>2714</v>
      </c>
      <c r="L1197" s="1">
        <v>41080</v>
      </c>
      <c r="N1197" t="s">
        <v>36</v>
      </c>
      <c r="O1197" t="s">
        <v>37</v>
      </c>
      <c r="P1197" t="s">
        <v>425</v>
      </c>
      <c r="Q1197" t="s">
        <v>39</v>
      </c>
      <c r="R1197" t="s">
        <v>40</v>
      </c>
      <c r="S1197">
        <v>0</v>
      </c>
      <c r="U1197" t="s">
        <v>41</v>
      </c>
      <c r="V1197" t="s">
        <v>42</v>
      </c>
      <c r="X1197" t="s">
        <v>74</v>
      </c>
      <c r="Y1197" t="b">
        <v>0</v>
      </c>
      <c r="Z1197" t="b">
        <v>0</v>
      </c>
      <c r="AC1197" s="1"/>
      <c r="AF1197">
        <v>0</v>
      </c>
      <c r="AG1197">
        <v>45</v>
      </c>
      <c r="AH1197">
        <v>233</v>
      </c>
      <c r="AI1197" s="2">
        <f>Table__192.168.3.138DYLAgingReport[[#This Row],[NetAmount]]-Table__192.168.3.138DYLAgingReport[[#This Row],[Paid]]</f>
        <v>18873</v>
      </c>
    </row>
    <row r="1198" spans="1:35">
      <c r="A1198" t="s">
        <v>2715</v>
      </c>
      <c r="B1198" s="1">
        <v>41088</v>
      </c>
      <c r="C1198" s="1">
        <v>41133</v>
      </c>
      <c r="D1198" t="s">
        <v>569</v>
      </c>
      <c r="E1198">
        <v>28700</v>
      </c>
      <c r="F1198">
        <v>4592</v>
      </c>
      <c r="G1198">
        <v>0</v>
      </c>
      <c r="H1198">
        <v>0</v>
      </c>
      <c r="I1198">
        <v>192</v>
      </c>
      <c r="J1198">
        <v>33292</v>
      </c>
      <c r="K1198" t="s">
        <v>2716</v>
      </c>
      <c r="L1198" s="1">
        <v>41076</v>
      </c>
      <c r="N1198" t="s">
        <v>36</v>
      </c>
      <c r="O1198" t="s">
        <v>37</v>
      </c>
      <c r="P1198" t="s">
        <v>433</v>
      </c>
      <c r="Q1198" t="s">
        <v>39</v>
      </c>
      <c r="R1198" t="s">
        <v>40</v>
      </c>
      <c r="S1198">
        <v>0</v>
      </c>
      <c r="U1198" t="s">
        <v>41</v>
      </c>
      <c r="V1198" t="s">
        <v>42</v>
      </c>
      <c r="X1198" t="s">
        <v>74</v>
      </c>
      <c r="Y1198" t="b">
        <v>0</v>
      </c>
      <c r="Z1198" t="b">
        <v>0</v>
      </c>
      <c r="AC1198" s="1"/>
      <c r="AF1198">
        <v>0</v>
      </c>
      <c r="AG1198">
        <v>45</v>
      </c>
      <c r="AH1198">
        <v>237</v>
      </c>
      <c r="AI1198" s="2">
        <f>Table__192.168.3.138DYLAgingReport[[#This Row],[NetAmount]]-Table__192.168.3.138DYLAgingReport[[#This Row],[Paid]]</f>
        <v>33292</v>
      </c>
    </row>
    <row r="1199" spans="1:35">
      <c r="A1199" t="s">
        <v>2717</v>
      </c>
      <c r="B1199" s="1">
        <v>41087</v>
      </c>
      <c r="C1199" s="1">
        <v>41132</v>
      </c>
      <c r="D1199" t="s">
        <v>259</v>
      </c>
      <c r="E1199">
        <v>19821</v>
      </c>
      <c r="F1199">
        <v>3171</v>
      </c>
      <c r="G1199">
        <v>0</v>
      </c>
      <c r="H1199">
        <v>0</v>
      </c>
      <c r="I1199">
        <v>188</v>
      </c>
      <c r="J1199">
        <v>22992</v>
      </c>
      <c r="K1199" t="s">
        <v>2718</v>
      </c>
      <c r="L1199" s="1">
        <v>41080</v>
      </c>
      <c r="N1199" t="s">
        <v>36</v>
      </c>
      <c r="O1199" t="s">
        <v>37</v>
      </c>
      <c r="P1199" t="s">
        <v>396</v>
      </c>
      <c r="Q1199" t="s">
        <v>39</v>
      </c>
      <c r="R1199" t="s">
        <v>40</v>
      </c>
      <c r="S1199">
        <v>0</v>
      </c>
      <c r="U1199" t="s">
        <v>41</v>
      </c>
      <c r="V1199" t="s">
        <v>42</v>
      </c>
      <c r="X1199" t="s">
        <v>74</v>
      </c>
      <c r="Y1199" t="b">
        <v>0</v>
      </c>
      <c r="Z1199" t="b">
        <v>0</v>
      </c>
      <c r="AC1199" s="1"/>
      <c r="AF1199">
        <v>0</v>
      </c>
      <c r="AG1199">
        <v>45</v>
      </c>
      <c r="AH1199">
        <v>233</v>
      </c>
      <c r="AI1199" s="2">
        <f>Table__192.168.3.138DYLAgingReport[[#This Row],[NetAmount]]-Table__192.168.3.138DYLAgingReport[[#This Row],[Paid]]</f>
        <v>22992</v>
      </c>
    </row>
    <row r="1200" spans="1:35">
      <c r="A1200" t="s">
        <v>2719</v>
      </c>
      <c r="B1200" s="1">
        <v>41076</v>
      </c>
      <c r="C1200" s="1">
        <v>41121</v>
      </c>
      <c r="D1200" t="s">
        <v>202</v>
      </c>
      <c r="E1200">
        <v>86870</v>
      </c>
      <c r="F1200">
        <v>13899</v>
      </c>
      <c r="G1200">
        <v>0</v>
      </c>
      <c r="H1200">
        <v>0</v>
      </c>
      <c r="I1200">
        <v>197</v>
      </c>
      <c r="J1200">
        <v>100769</v>
      </c>
      <c r="K1200" t="s">
        <v>2499</v>
      </c>
      <c r="L1200" s="1">
        <v>41071</v>
      </c>
      <c r="N1200" t="s">
        <v>36</v>
      </c>
      <c r="O1200" t="s">
        <v>37</v>
      </c>
      <c r="P1200" t="s">
        <v>339</v>
      </c>
      <c r="Q1200" t="s">
        <v>39</v>
      </c>
      <c r="R1200" t="s">
        <v>40</v>
      </c>
      <c r="S1200">
        <v>0</v>
      </c>
      <c r="U1200" t="s">
        <v>41</v>
      </c>
      <c r="V1200" t="s">
        <v>42</v>
      </c>
      <c r="X1200" t="s">
        <v>74</v>
      </c>
      <c r="Y1200" t="b">
        <v>0</v>
      </c>
      <c r="Z1200" t="b">
        <v>0</v>
      </c>
      <c r="AC1200" s="1"/>
      <c r="AF1200">
        <v>0</v>
      </c>
      <c r="AG1200">
        <v>45</v>
      </c>
      <c r="AH1200">
        <v>242</v>
      </c>
      <c r="AI1200" s="2">
        <f>Table__192.168.3.138DYLAgingReport[[#This Row],[NetAmount]]-Table__192.168.3.138DYLAgingReport[[#This Row],[Paid]]</f>
        <v>100769</v>
      </c>
    </row>
    <row r="1201" spans="1:35">
      <c r="A1201" t="s">
        <v>2720</v>
      </c>
      <c r="B1201" s="1">
        <v>41090</v>
      </c>
      <c r="C1201" s="1">
        <v>41135</v>
      </c>
      <c r="D1201" t="s">
        <v>259</v>
      </c>
      <c r="E1201">
        <v>9000</v>
      </c>
      <c r="F1201">
        <v>1440</v>
      </c>
      <c r="G1201">
        <v>0</v>
      </c>
      <c r="H1201">
        <v>0</v>
      </c>
      <c r="I1201">
        <v>181</v>
      </c>
      <c r="J1201">
        <v>10440</v>
      </c>
      <c r="K1201" t="s">
        <v>988</v>
      </c>
      <c r="L1201" s="1">
        <v>41087</v>
      </c>
      <c r="N1201" t="s">
        <v>36</v>
      </c>
      <c r="O1201" t="s">
        <v>37</v>
      </c>
      <c r="P1201" t="s">
        <v>396</v>
      </c>
      <c r="Q1201" t="s">
        <v>39</v>
      </c>
      <c r="R1201" t="s">
        <v>40</v>
      </c>
      <c r="S1201">
        <v>0</v>
      </c>
      <c r="U1201" t="s">
        <v>41</v>
      </c>
      <c r="V1201" t="s">
        <v>42</v>
      </c>
      <c r="X1201" t="s">
        <v>74</v>
      </c>
      <c r="Y1201" t="b">
        <v>0</v>
      </c>
      <c r="Z1201" t="b">
        <v>0</v>
      </c>
      <c r="AC1201" s="1"/>
      <c r="AF1201">
        <v>0</v>
      </c>
      <c r="AG1201">
        <v>45</v>
      </c>
      <c r="AH1201">
        <v>226</v>
      </c>
      <c r="AI1201" s="2">
        <f>Table__192.168.3.138DYLAgingReport[[#This Row],[NetAmount]]-Table__192.168.3.138DYLAgingReport[[#This Row],[Paid]]</f>
        <v>10440</v>
      </c>
    </row>
    <row r="1202" spans="1:35">
      <c r="A1202" t="s">
        <v>2721</v>
      </c>
      <c r="B1202" s="1">
        <v>41086</v>
      </c>
      <c r="C1202" s="1">
        <v>41131</v>
      </c>
      <c r="D1202" t="s">
        <v>288</v>
      </c>
      <c r="E1202">
        <v>18490</v>
      </c>
      <c r="F1202">
        <v>2959</v>
      </c>
      <c r="G1202">
        <v>0</v>
      </c>
      <c r="H1202">
        <v>0</v>
      </c>
      <c r="I1202">
        <v>182</v>
      </c>
      <c r="J1202">
        <v>21449</v>
      </c>
      <c r="K1202" t="s">
        <v>2722</v>
      </c>
      <c r="L1202" s="1">
        <v>41086</v>
      </c>
      <c r="N1202" t="s">
        <v>36</v>
      </c>
      <c r="O1202" t="s">
        <v>37</v>
      </c>
      <c r="P1202" t="s">
        <v>425</v>
      </c>
      <c r="Q1202" t="s">
        <v>39</v>
      </c>
      <c r="R1202" t="s">
        <v>40</v>
      </c>
      <c r="S1202">
        <v>0</v>
      </c>
      <c r="U1202" t="s">
        <v>41</v>
      </c>
      <c r="V1202" t="s">
        <v>42</v>
      </c>
      <c r="X1202" t="s">
        <v>74</v>
      </c>
      <c r="Y1202" t="b">
        <v>0</v>
      </c>
      <c r="Z1202" t="b">
        <v>0</v>
      </c>
      <c r="AC1202" s="1"/>
      <c r="AF1202">
        <v>0</v>
      </c>
      <c r="AG1202">
        <v>45</v>
      </c>
      <c r="AH1202">
        <v>227</v>
      </c>
      <c r="AI1202" s="2">
        <f>Table__192.168.3.138DYLAgingReport[[#This Row],[NetAmount]]-Table__192.168.3.138DYLAgingReport[[#This Row],[Paid]]</f>
        <v>21449</v>
      </c>
    </row>
    <row r="1203" spans="1:35">
      <c r="A1203" t="s">
        <v>2723</v>
      </c>
      <c r="B1203" s="1">
        <v>41090</v>
      </c>
      <c r="C1203" s="1">
        <v>41135</v>
      </c>
      <c r="D1203" t="s">
        <v>227</v>
      </c>
      <c r="E1203">
        <v>253800</v>
      </c>
      <c r="F1203">
        <v>40608</v>
      </c>
      <c r="G1203">
        <v>0</v>
      </c>
      <c r="H1203">
        <v>0</v>
      </c>
      <c r="I1203">
        <v>178</v>
      </c>
      <c r="J1203">
        <v>294408</v>
      </c>
      <c r="K1203" t="s">
        <v>2724</v>
      </c>
      <c r="L1203" s="1">
        <v>41090</v>
      </c>
      <c r="N1203" t="s">
        <v>36</v>
      </c>
      <c r="O1203" t="s">
        <v>37</v>
      </c>
      <c r="P1203" t="s">
        <v>364</v>
      </c>
      <c r="Q1203" t="s">
        <v>39</v>
      </c>
      <c r="R1203" t="s">
        <v>40</v>
      </c>
      <c r="S1203">
        <v>0</v>
      </c>
      <c r="U1203" t="s">
        <v>41</v>
      </c>
      <c r="V1203" t="s">
        <v>42</v>
      </c>
      <c r="X1203" t="s">
        <v>74</v>
      </c>
      <c r="Y1203" t="b">
        <v>0</v>
      </c>
      <c r="Z1203" t="b">
        <v>0</v>
      </c>
      <c r="AB1203" t="s">
        <v>708</v>
      </c>
      <c r="AC1203" s="1">
        <v>41297</v>
      </c>
      <c r="AE1203" t="s">
        <v>5359</v>
      </c>
      <c r="AF1203">
        <v>0</v>
      </c>
      <c r="AG1203">
        <v>45</v>
      </c>
      <c r="AH1203">
        <v>223</v>
      </c>
      <c r="AI1203" s="2">
        <f>Table__192.168.3.138DYLAgingReport[[#This Row],[NetAmount]]-Table__192.168.3.138DYLAgingReport[[#This Row],[Paid]]</f>
        <v>294408</v>
      </c>
    </row>
    <row r="1204" spans="1:35">
      <c r="A1204" t="s">
        <v>2725</v>
      </c>
      <c r="B1204" s="1">
        <v>41074</v>
      </c>
      <c r="C1204" s="1">
        <v>41119</v>
      </c>
      <c r="D1204" t="s">
        <v>227</v>
      </c>
      <c r="E1204">
        <v>540500</v>
      </c>
      <c r="F1204">
        <v>86480</v>
      </c>
      <c r="G1204">
        <v>0</v>
      </c>
      <c r="H1204">
        <v>0</v>
      </c>
      <c r="I1204">
        <v>194</v>
      </c>
      <c r="J1204">
        <v>626980</v>
      </c>
      <c r="K1204" t="s">
        <v>2726</v>
      </c>
      <c r="L1204" s="1">
        <v>41074</v>
      </c>
      <c r="N1204" t="s">
        <v>36</v>
      </c>
      <c r="O1204" t="s">
        <v>37</v>
      </c>
      <c r="P1204" t="s">
        <v>364</v>
      </c>
      <c r="Q1204" t="s">
        <v>39</v>
      </c>
      <c r="R1204" t="s">
        <v>40</v>
      </c>
      <c r="S1204">
        <v>0</v>
      </c>
      <c r="U1204" t="s">
        <v>41</v>
      </c>
      <c r="V1204" t="s">
        <v>42</v>
      </c>
      <c r="X1204" t="s">
        <v>74</v>
      </c>
      <c r="Y1204" t="b">
        <v>0</v>
      </c>
      <c r="Z1204" t="b">
        <v>0</v>
      </c>
      <c r="AB1204" t="s">
        <v>708</v>
      </c>
      <c r="AC1204" s="1">
        <v>41297</v>
      </c>
      <c r="AE1204" t="s">
        <v>5359</v>
      </c>
      <c r="AF1204">
        <v>0</v>
      </c>
      <c r="AG1204">
        <v>45</v>
      </c>
      <c r="AH1204">
        <v>239</v>
      </c>
      <c r="AI1204" s="2">
        <f>Table__192.168.3.138DYLAgingReport[[#This Row],[NetAmount]]-Table__192.168.3.138DYLAgingReport[[#This Row],[Paid]]</f>
        <v>626980</v>
      </c>
    </row>
    <row r="1205" spans="1:35">
      <c r="A1205" t="s">
        <v>2727</v>
      </c>
      <c r="B1205" s="1">
        <v>41090</v>
      </c>
      <c r="C1205" s="1">
        <v>41135</v>
      </c>
      <c r="D1205" t="s">
        <v>207</v>
      </c>
      <c r="E1205">
        <v>318735</v>
      </c>
      <c r="F1205">
        <v>50997</v>
      </c>
      <c r="G1205">
        <v>0</v>
      </c>
      <c r="H1205">
        <v>0</v>
      </c>
      <c r="I1205">
        <v>185</v>
      </c>
      <c r="J1205">
        <v>369732</v>
      </c>
      <c r="K1205" t="s">
        <v>2728</v>
      </c>
      <c r="L1205" s="1">
        <v>41083</v>
      </c>
      <c r="N1205" t="s">
        <v>36</v>
      </c>
      <c r="O1205" t="s">
        <v>37</v>
      </c>
      <c r="P1205" t="s">
        <v>344</v>
      </c>
      <c r="Q1205" t="s">
        <v>39</v>
      </c>
      <c r="R1205" t="s">
        <v>40</v>
      </c>
      <c r="S1205">
        <v>0</v>
      </c>
      <c r="U1205" t="s">
        <v>41</v>
      </c>
      <c r="V1205" t="s">
        <v>42</v>
      </c>
      <c r="X1205" t="s">
        <v>74</v>
      </c>
      <c r="Y1205" t="b">
        <v>0</v>
      </c>
      <c r="Z1205" t="b">
        <v>0</v>
      </c>
      <c r="AB1205" t="s">
        <v>644</v>
      </c>
      <c r="AC1205" s="1">
        <v>41227</v>
      </c>
      <c r="AE1205" t="s">
        <v>645</v>
      </c>
      <c r="AF1205">
        <v>0</v>
      </c>
      <c r="AG1205">
        <v>45</v>
      </c>
      <c r="AH1205">
        <v>230</v>
      </c>
      <c r="AI1205" s="2">
        <f>Table__192.168.3.138DYLAgingReport[[#This Row],[NetAmount]]-Table__192.168.3.138DYLAgingReport[[#This Row],[Paid]]</f>
        <v>369732</v>
      </c>
    </row>
    <row r="1206" spans="1:35">
      <c r="A1206" t="s">
        <v>2729</v>
      </c>
      <c r="B1206" s="1">
        <v>41078</v>
      </c>
      <c r="C1206" s="1">
        <v>41123</v>
      </c>
      <c r="D1206" t="s">
        <v>282</v>
      </c>
      <c r="E1206">
        <v>430000</v>
      </c>
      <c r="F1206">
        <v>68800</v>
      </c>
      <c r="G1206">
        <v>0</v>
      </c>
      <c r="H1206">
        <v>0</v>
      </c>
      <c r="I1206">
        <v>194</v>
      </c>
      <c r="J1206">
        <v>498800</v>
      </c>
      <c r="K1206" t="s">
        <v>2730</v>
      </c>
      <c r="L1206" s="1">
        <v>41074</v>
      </c>
      <c r="N1206" t="s">
        <v>36</v>
      </c>
      <c r="O1206" t="s">
        <v>37</v>
      </c>
      <c r="P1206" t="s">
        <v>419</v>
      </c>
      <c r="Q1206" t="s">
        <v>39</v>
      </c>
      <c r="R1206" t="s">
        <v>40</v>
      </c>
      <c r="S1206">
        <v>0</v>
      </c>
      <c r="U1206" t="s">
        <v>41</v>
      </c>
      <c r="V1206" t="s">
        <v>42</v>
      </c>
      <c r="X1206" t="s">
        <v>74</v>
      </c>
      <c r="Y1206" t="b">
        <v>0</v>
      </c>
      <c r="Z1206" t="b">
        <v>0</v>
      </c>
      <c r="AB1206" t="s">
        <v>2731</v>
      </c>
      <c r="AC1206" s="1">
        <v>41213</v>
      </c>
      <c r="AD1206" t="s">
        <v>2732</v>
      </c>
      <c r="AE1206" t="s">
        <v>2733</v>
      </c>
      <c r="AF1206">
        <v>218432</v>
      </c>
      <c r="AG1206">
        <v>45</v>
      </c>
      <c r="AH1206">
        <v>239</v>
      </c>
      <c r="AI1206" s="2">
        <f>Table__192.168.3.138DYLAgingReport[[#This Row],[NetAmount]]-Table__192.168.3.138DYLAgingReport[[#This Row],[Paid]]</f>
        <v>280368</v>
      </c>
    </row>
    <row r="1207" spans="1:35">
      <c r="A1207" t="s">
        <v>2734</v>
      </c>
      <c r="B1207" s="1">
        <v>41080</v>
      </c>
      <c r="C1207" s="1">
        <v>41125</v>
      </c>
      <c r="D1207" t="s">
        <v>282</v>
      </c>
      <c r="E1207">
        <v>322500</v>
      </c>
      <c r="F1207">
        <v>51600</v>
      </c>
      <c r="G1207">
        <v>0</v>
      </c>
      <c r="H1207">
        <v>0</v>
      </c>
      <c r="I1207">
        <v>188</v>
      </c>
      <c r="J1207">
        <v>374100</v>
      </c>
      <c r="K1207" t="s">
        <v>2735</v>
      </c>
      <c r="L1207" s="1">
        <v>41080</v>
      </c>
      <c r="N1207" t="s">
        <v>36</v>
      </c>
      <c r="O1207" t="s">
        <v>37</v>
      </c>
      <c r="P1207" t="s">
        <v>419</v>
      </c>
      <c r="Q1207" t="s">
        <v>39</v>
      </c>
      <c r="R1207" t="s">
        <v>40</v>
      </c>
      <c r="S1207">
        <v>0</v>
      </c>
      <c r="U1207" t="s">
        <v>41</v>
      </c>
      <c r="V1207" t="s">
        <v>42</v>
      </c>
      <c r="X1207" t="s">
        <v>74</v>
      </c>
      <c r="Y1207" t="b">
        <v>0</v>
      </c>
      <c r="Z1207" t="b">
        <v>0</v>
      </c>
      <c r="AB1207" t="s">
        <v>2731</v>
      </c>
      <c r="AC1207" s="1">
        <v>41213</v>
      </c>
      <c r="AE1207" t="s">
        <v>2733</v>
      </c>
      <c r="AF1207">
        <v>0</v>
      </c>
      <c r="AG1207">
        <v>45</v>
      </c>
      <c r="AH1207">
        <v>233</v>
      </c>
      <c r="AI1207" s="2">
        <f>Table__192.168.3.138DYLAgingReport[[#This Row],[NetAmount]]-Table__192.168.3.138DYLAgingReport[[#This Row],[Paid]]</f>
        <v>374100</v>
      </c>
    </row>
    <row r="1208" spans="1:35">
      <c r="A1208" t="s">
        <v>2736</v>
      </c>
      <c r="B1208" s="1">
        <v>41083</v>
      </c>
      <c r="C1208" s="1">
        <v>41128</v>
      </c>
      <c r="D1208" t="s">
        <v>282</v>
      </c>
      <c r="E1208">
        <v>322500</v>
      </c>
      <c r="F1208">
        <v>51600</v>
      </c>
      <c r="G1208">
        <v>0</v>
      </c>
      <c r="H1208">
        <v>0</v>
      </c>
      <c r="I1208">
        <v>185</v>
      </c>
      <c r="J1208">
        <v>374100</v>
      </c>
      <c r="K1208" t="s">
        <v>2737</v>
      </c>
      <c r="L1208" s="1">
        <v>41083</v>
      </c>
      <c r="N1208" t="s">
        <v>36</v>
      </c>
      <c r="O1208" t="s">
        <v>37</v>
      </c>
      <c r="P1208" t="s">
        <v>419</v>
      </c>
      <c r="Q1208" t="s">
        <v>39</v>
      </c>
      <c r="R1208" t="s">
        <v>40</v>
      </c>
      <c r="S1208">
        <v>0</v>
      </c>
      <c r="U1208" t="s">
        <v>41</v>
      </c>
      <c r="V1208" t="s">
        <v>42</v>
      </c>
      <c r="X1208" t="s">
        <v>74</v>
      </c>
      <c r="Y1208" t="b">
        <v>0</v>
      </c>
      <c r="Z1208" t="b">
        <v>0</v>
      </c>
      <c r="AB1208" t="s">
        <v>2731</v>
      </c>
      <c r="AC1208" s="1">
        <v>41213</v>
      </c>
      <c r="AE1208" t="s">
        <v>2733</v>
      </c>
      <c r="AF1208">
        <v>0</v>
      </c>
      <c r="AG1208">
        <v>45</v>
      </c>
      <c r="AH1208">
        <v>230</v>
      </c>
      <c r="AI1208" s="2">
        <f>Table__192.168.3.138DYLAgingReport[[#This Row],[NetAmount]]-Table__192.168.3.138DYLAgingReport[[#This Row],[Paid]]</f>
        <v>374100</v>
      </c>
    </row>
    <row r="1209" spans="1:35">
      <c r="A1209" t="s">
        <v>2738</v>
      </c>
      <c r="B1209" s="1">
        <v>41090</v>
      </c>
      <c r="C1209" s="1">
        <v>41135</v>
      </c>
      <c r="D1209" t="s">
        <v>569</v>
      </c>
      <c r="E1209">
        <v>19949</v>
      </c>
      <c r="F1209">
        <v>3192</v>
      </c>
      <c r="G1209">
        <v>0</v>
      </c>
      <c r="H1209">
        <v>0</v>
      </c>
      <c r="I1209">
        <v>190</v>
      </c>
      <c r="J1209">
        <v>23141</v>
      </c>
      <c r="K1209" t="s">
        <v>2739</v>
      </c>
      <c r="L1209" s="1">
        <v>41078</v>
      </c>
      <c r="N1209" t="s">
        <v>36</v>
      </c>
      <c r="O1209" t="s">
        <v>37</v>
      </c>
      <c r="P1209" t="s">
        <v>433</v>
      </c>
      <c r="Q1209" t="s">
        <v>39</v>
      </c>
      <c r="R1209" t="s">
        <v>40</v>
      </c>
      <c r="S1209">
        <v>0</v>
      </c>
      <c r="U1209" t="s">
        <v>41</v>
      </c>
      <c r="V1209" t="s">
        <v>42</v>
      </c>
      <c r="X1209" t="s">
        <v>74</v>
      </c>
      <c r="Y1209" t="b">
        <v>0</v>
      </c>
      <c r="Z1209" t="b">
        <v>0</v>
      </c>
      <c r="AC1209" s="1"/>
      <c r="AF1209">
        <v>0</v>
      </c>
      <c r="AG1209">
        <v>45</v>
      </c>
      <c r="AH1209">
        <v>235</v>
      </c>
      <c r="AI1209" s="2">
        <f>Table__192.168.3.138DYLAgingReport[[#This Row],[NetAmount]]-Table__192.168.3.138DYLAgingReport[[#This Row],[Paid]]</f>
        <v>23141</v>
      </c>
    </row>
    <row r="1210" spans="1:35">
      <c r="A1210" t="s">
        <v>2740</v>
      </c>
      <c r="B1210" s="1">
        <v>41090</v>
      </c>
      <c r="C1210" s="1">
        <v>41135</v>
      </c>
      <c r="D1210" t="s">
        <v>190</v>
      </c>
      <c r="E1210">
        <v>55750</v>
      </c>
      <c r="F1210">
        <v>8920</v>
      </c>
      <c r="G1210">
        <v>0</v>
      </c>
      <c r="H1210">
        <v>0</v>
      </c>
      <c r="I1210">
        <v>178</v>
      </c>
      <c r="J1210">
        <v>64670</v>
      </c>
      <c r="K1210" t="s">
        <v>2741</v>
      </c>
      <c r="L1210" s="1">
        <v>41090</v>
      </c>
      <c r="N1210" t="s">
        <v>36</v>
      </c>
      <c r="O1210" t="s">
        <v>37</v>
      </c>
      <c r="P1210" t="s">
        <v>327</v>
      </c>
      <c r="Q1210" t="s">
        <v>39</v>
      </c>
      <c r="R1210" t="s">
        <v>40</v>
      </c>
      <c r="S1210">
        <v>0</v>
      </c>
      <c r="U1210" t="s">
        <v>41</v>
      </c>
      <c r="V1210" t="s">
        <v>42</v>
      </c>
      <c r="X1210" t="s">
        <v>74</v>
      </c>
      <c r="Y1210" t="b">
        <v>0</v>
      </c>
      <c r="Z1210" t="b">
        <v>0</v>
      </c>
      <c r="AC1210" s="1"/>
      <c r="AF1210">
        <v>0</v>
      </c>
      <c r="AG1210">
        <v>45</v>
      </c>
      <c r="AH1210">
        <v>223</v>
      </c>
      <c r="AI1210" s="2">
        <f>Table__192.168.3.138DYLAgingReport[[#This Row],[NetAmount]]-Table__192.168.3.138DYLAgingReport[[#This Row],[Paid]]</f>
        <v>64670</v>
      </c>
    </row>
    <row r="1211" spans="1:35">
      <c r="A1211" t="s">
        <v>100</v>
      </c>
      <c r="B1211" s="1">
        <v>41090</v>
      </c>
      <c r="C1211" s="1">
        <v>41135</v>
      </c>
      <c r="D1211" t="s">
        <v>35</v>
      </c>
      <c r="E1211">
        <v>240000</v>
      </c>
      <c r="F1211">
        <v>38400</v>
      </c>
      <c r="G1211">
        <v>0</v>
      </c>
      <c r="H1211">
        <v>0</v>
      </c>
      <c r="I1211">
        <v>182</v>
      </c>
      <c r="J1211">
        <v>278400</v>
      </c>
      <c r="K1211" t="s">
        <v>101</v>
      </c>
      <c r="L1211" s="1">
        <v>41086</v>
      </c>
      <c r="N1211" t="s">
        <v>36</v>
      </c>
      <c r="O1211" t="s">
        <v>37</v>
      </c>
      <c r="P1211" t="s">
        <v>38</v>
      </c>
      <c r="Q1211" t="s">
        <v>39</v>
      </c>
      <c r="R1211" t="s">
        <v>40</v>
      </c>
      <c r="S1211">
        <v>0</v>
      </c>
      <c r="U1211" t="s">
        <v>41</v>
      </c>
      <c r="V1211" t="s">
        <v>42</v>
      </c>
      <c r="X1211" t="s">
        <v>74</v>
      </c>
      <c r="Y1211" t="b">
        <v>0</v>
      </c>
      <c r="Z1211" t="b">
        <v>0</v>
      </c>
      <c r="AC1211" s="1"/>
      <c r="AF1211">
        <v>0</v>
      </c>
      <c r="AG1211">
        <v>45</v>
      </c>
      <c r="AH1211">
        <v>227</v>
      </c>
      <c r="AI1211" s="2">
        <f>Table__192.168.3.138DYLAgingReport[[#This Row],[NetAmount]]-Table__192.168.3.138DYLAgingReport[[#This Row],[Paid]]</f>
        <v>278400</v>
      </c>
    </row>
    <row r="1212" spans="1:35">
      <c r="A1212" t="s">
        <v>2742</v>
      </c>
      <c r="B1212" s="1">
        <v>41090</v>
      </c>
      <c r="C1212" s="1">
        <v>41135</v>
      </c>
      <c r="D1212" t="s">
        <v>202</v>
      </c>
      <c r="E1212">
        <v>95680</v>
      </c>
      <c r="F1212">
        <v>15309</v>
      </c>
      <c r="G1212">
        <v>0</v>
      </c>
      <c r="H1212">
        <v>0</v>
      </c>
      <c r="I1212">
        <v>182</v>
      </c>
      <c r="J1212">
        <v>110989</v>
      </c>
      <c r="K1212" t="s">
        <v>2743</v>
      </c>
      <c r="L1212" s="1">
        <v>41086</v>
      </c>
      <c r="N1212" t="s">
        <v>36</v>
      </c>
      <c r="O1212" t="s">
        <v>37</v>
      </c>
      <c r="P1212" t="s">
        <v>339</v>
      </c>
      <c r="Q1212" t="s">
        <v>39</v>
      </c>
      <c r="R1212" t="s">
        <v>40</v>
      </c>
      <c r="S1212">
        <v>0</v>
      </c>
      <c r="U1212" t="s">
        <v>41</v>
      </c>
      <c r="V1212" t="s">
        <v>42</v>
      </c>
      <c r="X1212" t="s">
        <v>74</v>
      </c>
      <c r="Y1212" t="b">
        <v>0</v>
      </c>
      <c r="Z1212" t="b">
        <v>0</v>
      </c>
      <c r="AC1212" s="1"/>
      <c r="AF1212">
        <v>0</v>
      </c>
      <c r="AG1212">
        <v>45</v>
      </c>
      <c r="AH1212">
        <v>227</v>
      </c>
      <c r="AI1212" s="2">
        <f>Table__192.168.3.138DYLAgingReport[[#This Row],[NetAmount]]-Table__192.168.3.138DYLAgingReport[[#This Row],[Paid]]</f>
        <v>110989</v>
      </c>
    </row>
    <row r="1213" spans="1:35">
      <c r="A1213" t="s">
        <v>2744</v>
      </c>
      <c r="B1213" s="1">
        <v>41076</v>
      </c>
      <c r="C1213" s="1">
        <v>41121</v>
      </c>
      <c r="D1213" t="s">
        <v>202</v>
      </c>
      <c r="E1213">
        <v>448940</v>
      </c>
      <c r="F1213">
        <v>71830</v>
      </c>
      <c r="G1213">
        <v>0</v>
      </c>
      <c r="H1213">
        <v>0</v>
      </c>
      <c r="I1213">
        <v>197</v>
      </c>
      <c r="J1213">
        <v>520770</v>
      </c>
      <c r="K1213" t="s">
        <v>2745</v>
      </c>
      <c r="L1213" s="1">
        <v>41071</v>
      </c>
      <c r="N1213" t="s">
        <v>36</v>
      </c>
      <c r="O1213" t="s">
        <v>37</v>
      </c>
      <c r="P1213" t="s">
        <v>339</v>
      </c>
      <c r="Q1213" t="s">
        <v>39</v>
      </c>
      <c r="R1213" t="s">
        <v>40</v>
      </c>
      <c r="S1213">
        <v>0</v>
      </c>
      <c r="U1213" t="s">
        <v>41</v>
      </c>
      <c r="V1213" t="s">
        <v>42</v>
      </c>
      <c r="X1213" t="s">
        <v>74</v>
      </c>
      <c r="Y1213" t="b">
        <v>0</v>
      </c>
      <c r="Z1213" t="b">
        <v>0</v>
      </c>
      <c r="AC1213" s="1"/>
      <c r="AF1213">
        <v>0</v>
      </c>
      <c r="AG1213">
        <v>45</v>
      </c>
      <c r="AH1213">
        <v>242</v>
      </c>
      <c r="AI1213" s="2">
        <f>Table__192.168.3.138DYLAgingReport[[#This Row],[NetAmount]]-Table__192.168.3.138DYLAgingReport[[#This Row],[Paid]]</f>
        <v>520770</v>
      </c>
    </row>
    <row r="1214" spans="1:35">
      <c r="A1214" t="s">
        <v>2746</v>
      </c>
      <c r="B1214" s="1">
        <v>41090</v>
      </c>
      <c r="C1214" s="1">
        <v>41135</v>
      </c>
      <c r="D1214" t="s">
        <v>227</v>
      </c>
      <c r="E1214">
        <v>2100</v>
      </c>
      <c r="F1214">
        <v>336</v>
      </c>
      <c r="G1214">
        <v>0</v>
      </c>
      <c r="H1214">
        <v>0</v>
      </c>
      <c r="I1214">
        <v>183</v>
      </c>
      <c r="J1214">
        <v>2436</v>
      </c>
      <c r="K1214" t="s">
        <v>2747</v>
      </c>
      <c r="L1214" s="1">
        <v>41085</v>
      </c>
      <c r="N1214" t="s">
        <v>36</v>
      </c>
      <c r="O1214" t="s">
        <v>37</v>
      </c>
      <c r="P1214" t="s">
        <v>364</v>
      </c>
      <c r="Q1214" t="s">
        <v>39</v>
      </c>
      <c r="R1214" t="s">
        <v>40</v>
      </c>
      <c r="S1214">
        <v>0</v>
      </c>
      <c r="U1214" t="s">
        <v>41</v>
      </c>
      <c r="V1214" t="s">
        <v>42</v>
      </c>
      <c r="X1214" t="s">
        <v>74</v>
      </c>
      <c r="Y1214" t="b">
        <v>0</v>
      </c>
      <c r="Z1214" t="b">
        <v>0</v>
      </c>
      <c r="AB1214" t="s">
        <v>708</v>
      </c>
      <c r="AC1214" s="1">
        <v>41297</v>
      </c>
      <c r="AE1214" t="s">
        <v>5359</v>
      </c>
      <c r="AF1214">
        <v>0</v>
      </c>
      <c r="AG1214">
        <v>45</v>
      </c>
      <c r="AH1214">
        <v>228</v>
      </c>
      <c r="AI1214" s="2">
        <f>Table__192.168.3.138DYLAgingReport[[#This Row],[NetAmount]]-Table__192.168.3.138DYLAgingReport[[#This Row],[Paid]]</f>
        <v>2436</v>
      </c>
    </row>
    <row r="1215" spans="1:35">
      <c r="A1215" t="s">
        <v>2748</v>
      </c>
      <c r="B1215" s="1">
        <v>41088</v>
      </c>
      <c r="C1215" s="1">
        <v>41133</v>
      </c>
      <c r="D1215" t="s">
        <v>268</v>
      </c>
      <c r="E1215">
        <v>93070</v>
      </c>
      <c r="F1215">
        <v>14891</v>
      </c>
      <c r="G1215">
        <v>0</v>
      </c>
      <c r="H1215">
        <v>0</v>
      </c>
      <c r="I1215">
        <v>180</v>
      </c>
      <c r="J1215">
        <v>107961</v>
      </c>
      <c r="K1215" t="s">
        <v>2749</v>
      </c>
      <c r="L1215" s="1">
        <v>41088</v>
      </c>
      <c r="N1215" t="s">
        <v>36</v>
      </c>
      <c r="O1215" t="s">
        <v>37</v>
      </c>
      <c r="P1215" t="s">
        <v>405</v>
      </c>
      <c r="Q1215" t="s">
        <v>39</v>
      </c>
      <c r="R1215" t="s">
        <v>40</v>
      </c>
      <c r="S1215">
        <v>0</v>
      </c>
      <c r="U1215" t="s">
        <v>41</v>
      </c>
      <c r="V1215" t="s">
        <v>42</v>
      </c>
      <c r="X1215" t="s">
        <v>74</v>
      </c>
      <c r="Y1215" t="b">
        <v>0</v>
      </c>
      <c r="Z1215" t="b">
        <v>0</v>
      </c>
      <c r="AC1215" s="1"/>
      <c r="AF1215">
        <v>0</v>
      </c>
      <c r="AG1215">
        <v>45</v>
      </c>
      <c r="AH1215">
        <v>225</v>
      </c>
      <c r="AI1215" s="2">
        <f>Table__192.168.3.138DYLAgingReport[[#This Row],[NetAmount]]-Table__192.168.3.138DYLAgingReport[[#This Row],[Paid]]</f>
        <v>107961</v>
      </c>
    </row>
    <row r="1216" spans="1:35">
      <c r="A1216" t="s">
        <v>2750</v>
      </c>
      <c r="B1216" s="1">
        <v>41072</v>
      </c>
      <c r="C1216" s="1">
        <v>41117</v>
      </c>
      <c r="D1216" t="s">
        <v>211</v>
      </c>
      <c r="E1216">
        <v>13125</v>
      </c>
      <c r="F1216">
        <v>0</v>
      </c>
      <c r="G1216">
        <v>0</v>
      </c>
      <c r="H1216">
        <v>0</v>
      </c>
      <c r="I1216">
        <v>179</v>
      </c>
      <c r="J1216">
        <v>13125</v>
      </c>
      <c r="K1216" t="s">
        <v>2751</v>
      </c>
      <c r="L1216" s="1">
        <v>41089</v>
      </c>
      <c r="N1216" t="s">
        <v>36</v>
      </c>
      <c r="O1216" t="s">
        <v>37</v>
      </c>
      <c r="P1216" t="s">
        <v>348</v>
      </c>
      <c r="Q1216" t="s">
        <v>39</v>
      </c>
      <c r="R1216" t="s">
        <v>40</v>
      </c>
      <c r="S1216">
        <v>0</v>
      </c>
      <c r="U1216" t="s">
        <v>41</v>
      </c>
      <c r="V1216" t="s">
        <v>42</v>
      </c>
      <c r="X1216" t="s">
        <v>74</v>
      </c>
      <c r="Y1216" t="b">
        <v>0</v>
      </c>
      <c r="Z1216" t="b">
        <v>0</v>
      </c>
      <c r="AC1216" s="1"/>
      <c r="AF1216">
        <v>0</v>
      </c>
      <c r="AG1216">
        <v>45</v>
      </c>
      <c r="AH1216">
        <v>224</v>
      </c>
      <c r="AI1216" s="2">
        <f>Table__192.168.3.138DYLAgingReport[[#This Row],[NetAmount]]-Table__192.168.3.138DYLAgingReport[[#This Row],[Paid]]</f>
        <v>13125</v>
      </c>
    </row>
    <row r="1217" spans="1:35">
      <c r="A1217" t="s">
        <v>2752</v>
      </c>
      <c r="B1217" s="1">
        <v>41080</v>
      </c>
      <c r="C1217" s="1">
        <v>41125</v>
      </c>
      <c r="D1217" t="s">
        <v>211</v>
      </c>
      <c r="E1217">
        <v>29604</v>
      </c>
      <c r="F1217">
        <v>0</v>
      </c>
      <c r="G1217">
        <v>0</v>
      </c>
      <c r="H1217">
        <v>0</v>
      </c>
      <c r="I1217">
        <v>179</v>
      </c>
      <c r="J1217">
        <v>29604</v>
      </c>
      <c r="K1217" t="s">
        <v>2753</v>
      </c>
      <c r="L1217" s="1">
        <v>41089</v>
      </c>
      <c r="N1217" t="s">
        <v>36</v>
      </c>
      <c r="O1217" t="s">
        <v>37</v>
      </c>
      <c r="P1217" t="s">
        <v>348</v>
      </c>
      <c r="Q1217" t="s">
        <v>39</v>
      </c>
      <c r="R1217" t="s">
        <v>40</v>
      </c>
      <c r="S1217">
        <v>0</v>
      </c>
      <c r="U1217" t="s">
        <v>41</v>
      </c>
      <c r="V1217" t="s">
        <v>42</v>
      </c>
      <c r="X1217" t="s">
        <v>74</v>
      </c>
      <c r="Y1217" t="b">
        <v>0</v>
      </c>
      <c r="Z1217" t="b">
        <v>0</v>
      </c>
      <c r="AC1217" s="1"/>
      <c r="AF1217">
        <v>0</v>
      </c>
      <c r="AG1217">
        <v>45</v>
      </c>
      <c r="AH1217">
        <v>224</v>
      </c>
      <c r="AI1217" s="2">
        <f>Table__192.168.3.138DYLAgingReport[[#This Row],[NetAmount]]-Table__192.168.3.138DYLAgingReport[[#This Row],[Paid]]</f>
        <v>29604</v>
      </c>
    </row>
    <row r="1218" spans="1:35">
      <c r="A1218" t="s">
        <v>2754</v>
      </c>
      <c r="B1218" s="1">
        <v>41088</v>
      </c>
      <c r="C1218" s="1">
        <v>41133</v>
      </c>
      <c r="D1218" t="s">
        <v>211</v>
      </c>
      <c r="E1218">
        <v>74694</v>
      </c>
      <c r="F1218">
        <v>0</v>
      </c>
      <c r="G1218">
        <v>0</v>
      </c>
      <c r="H1218">
        <v>0</v>
      </c>
      <c r="I1218">
        <v>179</v>
      </c>
      <c r="J1218">
        <v>74694</v>
      </c>
      <c r="K1218" t="s">
        <v>2755</v>
      </c>
      <c r="L1218" s="1">
        <v>41089</v>
      </c>
      <c r="N1218" t="s">
        <v>36</v>
      </c>
      <c r="O1218" t="s">
        <v>37</v>
      </c>
      <c r="P1218" t="s">
        <v>348</v>
      </c>
      <c r="Q1218" t="s">
        <v>39</v>
      </c>
      <c r="R1218" t="s">
        <v>40</v>
      </c>
      <c r="S1218">
        <v>0</v>
      </c>
      <c r="U1218" t="s">
        <v>41</v>
      </c>
      <c r="V1218" t="s">
        <v>42</v>
      </c>
      <c r="X1218" t="s">
        <v>74</v>
      </c>
      <c r="Y1218" t="b">
        <v>0</v>
      </c>
      <c r="Z1218" t="b">
        <v>0</v>
      </c>
      <c r="AC1218" s="1"/>
      <c r="AF1218">
        <v>0</v>
      </c>
      <c r="AG1218">
        <v>45</v>
      </c>
      <c r="AH1218">
        <v>224</v>
      </c>
      <c r="AI1218" s="2">
        <f>Table__192.168.3.138DYLAgingReport[[#This Row],[NetAmount]]-Table__192.168.3.138DYLAgingReport[[#This Row],[Paid]]</f>
        <v>74694</v>
      </c>
    </row>
    <row r="1219" spans="1:35">
      <c r="A1219" t="s">
        <v>2756</v>
      </c>
      <c r="B1219" s="1">
        <v>41072</v>
      </c>
      <c r="C1219" s="1">
        <v>41117</v>
      </c>
      <c r="D1219" t="s">
        <v>211</v>
      </c>
      <c r="E1219">
        <v>52880</v>
      </c>
      <c r="F1219">
        <v>0</v>
      </c>
      <c r="G1219">
        <v>0</v>
      </c>
      <c r="H1219">
        <v>0</v>
      </c>
      <c r="I1219">
        <v>179</v>
      </c>
      <c r="J1219">
        <v>52880</v>
      </c>
      <c r="K1219" t="s">
        <v>2757</v>
      </c>
      <c r="L1219" s="1">
        <v>41089</v>
      </c>
      <c r="N1219" t="s">
        <v>36</v>
      </c>
      <c r="O1219" t="s">
        <v>37</v>
      </c>
      <c r="P1219" t="s">
        <v>348</v>
      </c>
      <c r="Q1219" t="s">
        <v>39</v>
      </c>
      <c r="R1219" t="s">
        <v>40</v>
      </c>
      <c r="S1219">
        <v>0</v>
      </c>
      <c r="U1219" t="s">
        <v>41</v>
      </c>
      <c r="V1219" t="s">
        <v>42</v>
      </c>
      <c r="X1219" t="s">
        <v>74</v>
      </c>
      <c r="Y1219" t="b">
        <v>0</v>
      </c>
      <c r="Z1219" t="b">
        <v>0</v>
      </c>
      <c r="AC1219" s="1"/>
      <c r="AF1219">
        <v>0</v>
      </c>
      <c r="AG1219">
        <v>45</v>
      </c>
      <c r="AH1219">
        <v>224</v>
      </c>
      <c r="AI1219" s="2">
        <f>Table__192.168.3.138DYLAgingReport[[#This Row],[NetAmount]]-Table__192.168.3.138DYLAgingReport[[#This Row],[Paid]]</f>
        <v>52880</v>
      </c>
    </row>
    <row r="1220" spans="1:35">
      <c r="A1220" t="s">
        <v>2758</v>
      </c>
      <c r="B1220" s="1">
        <v>41090</v>
      </c>
      <c r="C1220" s="1">
        <v>41135</v>
      </c>
      <c r="D1220" t="s">
        <v>260</v>
      </c>
      <c r="E1220">
        <v>86580</v>
      </c>
      <c r="F1220">
        <v>13853</v>
      </c>
      <c r="G1220">
        <v>0</v>
      </c>
      <c r="H1220">
        <v>0</v>
      </c>
      <c r="I1220">
        <v>178</v>
      </c>
      <c r="J1220">
        <v>100433</v>
      </c>
      <c r="K1220" t="s">
        <v>2759</v>
      </c>
      <c r="L1220" s="1">
        <v>41090</v>
      </c>
      <c r="N1220" t="s">
        <v>36</v>
      </c>
      <c r="O1220" t="s">
        <v>37</v>
      </c>
      <c r="P1220" t="s">
        <v>397</v>
      </c>
      <c r="Q1220" t="s">
        <v>39</v>
      </c>
      <c r="R1220" t="s">
        <v>40</v>
      </c>
      <c r="S1220">
        <v>0</v>
      </c>
      <c r="U1220" t="s">
        <v>41</v>
      </c>
      <c r="V1220" t="s">
        <v>42</v>
      </c>
      <c r="X1220" t="s">
        <v>74</v>
      </c>
      <c r="Y1220" t="b">
        <v>0</v>
      </c>
      <c r="Z1220" t="b">
        <v>0</v>
      </c>
      <c r="AC1220" s="1"/>
      <c r="AF1220">
        <v>0</v>
      </c>
      <c r="AG1220">
        <v>45</v>
      </c>
      <c r="AH1220">
        <v>223</v>
      </c>
      <c r="AI1220" s="2">
        <f>Table__192.168.3.138DYLAgingReport[[#This Row],[NetAmount]]-Table__192.168.3.138DYLAgingReport[[#This Row],[Paid]]</f>
        <v>100433</v>
      </c>
    </row>
    <row r="1221" spans="1:35">
      <c r="A1221" t="s">
        <v>2760</v>
      </c>
      <c r="B1221" s="1">
        <v>41080</v>
      </c>
      <c r="C1221" s="1">
        <v>41125</v>
      </c>
      <c r="D1221" t="s">
        <v>208</v>
      </c>
      <c r="E1221">
        <v>11760</v>
      </c>
      <c r="F1221">
        <v>1882</v>
      </c>
      <c r="G1221">
        <v>0</v>
      </c>
      <c r="H1221">
        <v>0</v>
      </c>
      <c r="I1221">
        <v>188</v>
      </c>
      <c r="J1221">
        <v>13642</v>
      </c>
      <c r="K1221" t="s">
        <v>2761</v>
      </c>
      <c r="L1221" s="1">
        <v>41080</v>
      </c>
      <c r="N1221" t="s">
        <v>36</v>
      </c>
      <c r="O1221" t="s">
        <v>37</v>
      </c>
      <c r="P1221" t="s">
        <v>345</v>
      </c>
      <c r="Q1221" t="s">
        <v>39</v>
      </c>
      <c r="R1221" t="s">
        <v>40</v>
      </c>
      <c r="S1221">
        <v>0</v>
      </c>
      <c r="U1221" t="s">
        <v>41</v>
      </c>
      <c r="V1221" t="s">
        <v>42</v>
      </c>
      <c r="X1221" t="s">
        <v>74</v>
      </c>
      <c r="Y1221" t="b">
        <v>0</v>
      </c>
      <c r="Z1221" t="b">
        <v>0</v>
      </c>
      <c r="AC1221" s="1"/>
      <c r="AF1221">
        <v>0</v>
      </c>
      <c r="AG1221">
        <v>45</v>
      </c>
      <c r="AH1221">
        <v>233</v>
      </c>
      <c r="AI1221" s="2">
        <f>Table__192.168.3.138DYLAgingReport[[#This Row],[NetAmount]]-Table__192.168.3.138DYLAgingReport[[#This Row],[Paid]]</f>
        <v>13642</v>
      </c>
    </row>
    <row r="1222" spans="1:35">
      <c r="A1222" t="s">
        <v>2762</v>
      </c>
      <c r="B1222" s="1">
        <v>41090</v>
      </c>
      <c r="C1222" s="1">
        <v>41135</v>
      </c>
      <c r="D1222" t="s">
        <v>247</v>
      </c>
      <c r="E1222">
        <v>5567500</v>
      </c>
      <c r="F1222">
        <v>890800</v>
      </c>
      <c r="G1222">
        <v>0</v>
      </c>
      <c r="H1222">
        <v>0</v>
      </c>
      <c r="I1222">
        <v>181</v>
      </c>
      <c r="J1222">
        <v>6458300</v>
      </c>
      <c r="K1222" t="s">
        <v>2763</v>
      </c>
      <c r="L1222" s="1">
        <v>41087</v>
      </c>
      <c r="N1222" t="s">
        <v>36</v>
      </c>
      <c r="O1222" t="s">
        <v>37</v>
      </c>
      <c r="P1222" t="s">
        <v>384</v>
      </c>
      <c r="Q1222" t="s">
        <v>39</v>
      </c>
      <c r="R1222" t="s">
        <v>40</v>
      </c>
      <c r="S1222">
        <v>0</v>
      </c>
      <c r="U1222" t="s">
        <v>41</v>
      </c>
      <c r="V1222" t="s">
        <v>42</v>
      </c>
      <c r="X1222" t="s">
        <v>74</v>
      </c>
      <c r="Y1222" t="b">
        <v>0</v>
      </c>
      <c r="Z1222" t="b">
        <v>0</v>
      </c>
      <c r="AC1222" s="1"/>
      <c r="AF1222">
        <v>0</v>
      </c>
      <c r="AG1222">
        <v>45</v>
      </c>
      <c r="AH1222">
        <v>226</v>
      </c>
      <c r="AI1222" s="2">
        <f>Table__192.168.3.138DYLAgingReport[[#This Row],[NetAmount]]-Table__192.168.3.138DYLAgingReport[[#This Row],[Paid]]</f>
        <v>6458300</v>
      </c>
    </row>
    <row r="1223" spans="1:35">
      <c r="A1223" t="s">
        <v>2764</v>
      </c>
      <c r="B1223" s="1">
        <v>41088</v>
      </c>
      <c r="C1223" s="1">
        <v>41133</v>
      </c>
      <c r="D1223" t="s">
        <v>569</v>
      </c>
      <c r="E1223">
        <v>62498</v>
      </c>
      <c r="F1223">
        <v>10000</v>
      </c>
      <c r="G1223">
        <v>0</v>
      </c>
      <c r="H1223">
        <v>0</v>
      </c>
      <c r="I1223">
        <v>196</v>
      </c>
      <c r="J1223">
        <v>72498</v>
      </c>
      <c r="K1223" t="s">
        <v>2765</v>
      </c>
      <c r="L1223" s="1">
        <v>41072</v>
      </c>
      <c r="N1223" t="s">
        <v>36</v>
      </c>
      <c r="O1223" t="s">
        <v>37</v>
      </c>
      <c r="P1223" t="s">
        <v>433</v>
      </c>
      <c r="Q1223" t="s">
        <v>39</v>
      </c>
      <c r="R1223" t="s">
        <v>40</v>
      </c>
      <c r="S1223">
        <v>0</v>
      </c>
      <c r="U1223" t="s">
        <v>41</v>
      </c>
      <c r="V1223" t="s">
        <v>42</v>
      </c>
      <c r="X1223" t="s">
        <v>74</v>
      </c>
      <c r="Y1223" t="b">
        <v>0</v>
      </c>
      <c r="Z1223" t="b">
        <v>0</v>
      </c>
      <c r="AC1223" s="1"/>
      <c r="AF1223">
        <v>0</v>
      </c>
      <c r="AG1223">
        <v>45</v>
      </c>
      <c r="AH1223">
        <v>241</v>
      </c>
      <c r="AI1223" s="2">
        <f>Table__192.168.3.138DYLAgingReport[[#This Row],[NetAmount]]-Table__192.168.3.138DYLAgingReport[[#This Row],[Paid]]</f>
        <v>72498</v>
      </c>
    </row>
    <row r="1224" spans="1:35">
      <c r="A1224" t="s">
        <v>2766</v>
      </c>
      <c r="B1224" s="1">
        <v>41088</v>
      </c>
      <c r="C1224" s="1">
        <v>41133</v>
      </c>
      <c r="D1224" t="s">
        <v>569</v>
      </c>
      <c r="E1224">
        <v>38699</v>
      </c>
      <c r="F1224">
        <v>6192</v>
      </c>
      <c r="G1224">
        <v>0</v>
      </c>
      <c r="H1224">
        <v>0</v>
      </c>
      <c r="I1224">
        <v>193</v>
      </c>
      <c r="J1224">
        <v>44891</v>
      </c>
      <c r="K1224" t="s">
        <v>2767</v>
      </c>
      <c r="L1224" s="1">
        <v>41075</v>
      </c>
      <c r="N1224" t="s">
        <v>36</v>
      </c>
      <c r="O1224" t="s">
        <v>37</v>
      </c>
      <c r="P1224" t="s">
        <v>433</v>
      </c>
      <c r="Q1224" t="s">
        <v>39</v>
      </c>
      <c r="R1224" t="s">
        <v>40</v>
      </c>
      <c r="S1224">
        <v>0</v>
      </c>
      <c r="U1224" t="s">
        <v>41</v>
      </c>
      <c r="V1224" t="s">
        <v>42</v>
      </c>
      <c r="X1224" t="s">
        <v>74</v>
      </c>
      <c r="Y1224" t="b">
        <v>0</v>
      </c>
      <c r="Z1224" t="b">
        <v>0</v>
      </c>
      <c r="AC1224" s="1"/>
      <c r="AF1224">
        <v>0</v>
      </c>
      <c r="AG1224">
        <v>45</v>
      </c>
      <c r="AH1224">
        <v>238</v>
      </c>
      <c r="AI1224" s="2">
        <f>Table__192.168.3.138DYLAgingReport[[#This Row],[NetAmount]]-Table__192.168.3.138DYLAgingReport[[#This Row],[Paid]]</f>
        <v>44891</v>
      </c>
    </row>
    <row r="1225" spans="1:35">
      <c r="A1225" t="s">
        <v>2768</v>
      </c>
      <c r="B1225" s="1">
        <v>41088</v>
      </c>
      <c r="C1225" s="1">
        <v>41133</v>
      </c>
      <c r="D1225" t="s">
        <v>569</v>
      </c>
      <c r="E1225">
        <v>14130</v>
      </c>
      <c r="F1225">
        <v>2261</v>
      </c>
      <c r="G1225">
        <v>0</v>
      </c>
      <c r="H1225">
        <v>0</v>
      </c>
      <c r="I1225">
        <v>186</v>
      </c>
      <c r="J1225">
        <v>16391</v>
      </c>
      <c r="K1225" t="s">
        <v>2769</v>
      </c>
      <c r="L1225" s="1">
        <v>41082</v>
      </c>
      <c r="N1225" t="s">
        <v>36</v>
      </c>
      <c r="O1225" t="s">
        <v>37</v>
      </c>
      <c r="P1225" t="s">
        <v>433</v>
      </c>
      <c r="Q1225" t="s">
        <v>39</v>
      </c>
      <c r="R1225" t="s">
        <v>40</v>
      </c>
      <c r="S1225">
        <v>0</v>
      </c>
      <c r="U1225" t="s">
        <v>41</v>
      </c>
      <c r="V1225" t="s">
        <v>42</v>
      </c>
      <c r="X1225" t="s">
        <v>74</v>
      </c>
      <c r="Y1225" t="b">
        <v>0</v>
      </c>
      <c r="Z1225" t="b">
        <v>0</v>
      </c>
      <c r="AC1225" s="1"/>
      <c r="AF1225">
        <v>0</v>
      </c>
      <c r="AG1225">
        <v>45</v>
      </c>
      <c r="AH1225">
        <v>231</v>
      </c>
      <c r="AI1225" s="2">
        <f>Table__192.168.3.138DYLAgingReport[[#This Row],[NetAmount]]-Table__192.168.3.138DYLAgingReport[[#This Row],[Paid]]</f>
        <v>16391</v>
      </c>
    </row>
    <row r="1226" spans="1:35">
      <c r="A1226" t="s">
        <v>2770</v>
      </c>
      <c r="B1226" s="1">
        <v>41088</v>
      </c>
      <c r="C1226" s="1">
        <v>41133</v>
      </c>
      <c r="D1226" t="s">
        <v>569</v>
      </c>
      <c r="E1226">
        <v>83022</v>
      </c>
      <c r="F1226">
        <v>13284</v>
      </c>
      <c r="G1226">
        <v>0</v>
      </c>
      <c r="H1226">
        <v>0</v>
      </c>
      <c r="I1226">
        <v>194</v>
      </c>
      <c r="J1226">
        <v>96306</v>
      </c>
      <c r="K1226" t="s">
        <v>2771</v>
      </c>
      <c r="L1226" s="1">
        <v>41074</v>
      </c>
      <c r="N1226" t="s">
        <v>36</v>
      </c>
      <c r="O1226" t="s">
        <v>37</v>
      </c>
      <c r="P1226" t="s">
        <v>433</v>
      </c>
      <c r="Q1226" t="s">
        <v>39</v>
      </c>
      <c r="R1226" t="s">
        <v>40</v>
      </c>
      <c r="S1226">
        <v>0</v>
      </c>
      <c r="U1226" t="s">
        <v>41</v>
      </c>
      <c r="V1226" t="s">
        <v>42</v>
      </c>
      <c r="X1226" t="s">
        <v>74</v>
      </c>
      <c r="Y1226" t="b">
        <v>0</v>
      </c>
      <c r="Z1226" t="b">
        <v>0</v>
      </c>
      <c r="AC1226" s="1"/>
      <c r="AF1226">
        <v>0</v>
      </c>
      <c r="AG1226">
        <v>45</v>
      </c>
      <c r="AH1226">
        <v>239</v>
      </c>
      <c r="AI1226" s="2">
        <f>Table__192.168.3.138DYLAgingReport[[#This Row],[NetAmount]]-Table__192.168.3.138DYLAgingReport[[#This Row],[Paid]]</f>
        <v>96306</v>
      </c>
    </row>
    <row r="1227" spans="1:35">
      <c r="A1227" t="s">
        <v>2772</v>
      </c>
      <c r="B1227" s="1">
        <v>41087</v>
      </c>
      <c r="C1227" s="1">
        <v>41132</v>
      </c>
      <c r="D1227" t="s">
        <v>569</v>
      </c>
      <c r="E1227">
        <v>29850</v>
      </c>
      <c r="F1227">
        <v>4776</v>
      </c>
      <c r="G1227">
        <v>0</v>
      </c>
      <c r="H1227">
        <v>0</v>
      </c>
      <c r="I1227">
        <v>193</v>
      </c>
      <c r="J1227">
        <v>34626</v>
      </c>
      <c r="K1227" t="s">
        <v>2773</v>
      </c>
      <c r="L1227" s="1">
        <v>41075</v>
      </c>
      <c r="N1227" t="s">
        <v>36</v>
      </c>
      <c r="O1227" t="s">
        <v>37</v>
      </c>
      <c r="P1227" t="s">
        <v>433</v>
      </c>
      <c r="Q1227" t="s">
        <v>39</v>
      </c>
      <c r="R1227" t="s">
        <v>40</v>
      </c>
      <c r="S1227">
        <v>0</v>
      </c>
      <c r="U1227" t="s">
        <v>41</v>
      </c>
      <c r="V1227" t="s">
        <v>42</v>
      </c>
      <c r="X1227" t="s">
        <v>74</v>
      </c>
      <c r="Y1227" t="b">
        <v>0</v>
      </c>
      <c r="Z1227" t="b">
        <v>0</v>
      </c>
      <c r="AC1227" s="1"/>
      <c r="AF1227">
        <v>0</v>
      </c>
      <c r="AG1227">
        <v>45</v>
      </c>
      <c r="AH1227">
        <v>238</v>
      </c>
      <c r="AI1227" s="2">
        <f>Table__192.168.3.138DYLAgingReport[[#This Row],[NetAmount]]-Table__192.168.3.138DYLAgingReport[[#This Row],[Paid]]</f>
        <v>34626</v>
      </c>
    </row>
    <row r="1228" spans="1:35">
      <c r="A1228" t="s">
        <v>2774</v>
      </c>
      <c r="B1228" s="1">
        <v>41072</v>
      </c>
      <c r="C1228" s="1">
        <v>41117</v>
      </c>
      <c r="D1228" t="s">
        <v>188</v>
      </c>
      <c r="E1228">
        <v>38800</v>
      </c>
      <c r="F1228">
        <v>6208</v>
      </c>
      <c r="G1228">
        <v>0</v>
      </c>
      <c r="H1228">
        <v>0</v>
      </c>
      <c r="I1228">
        <v>196</v>
      </c>
      <c r="J1228">
        <v>45008</v>
      </c>
      <c r="K1228" t="s">
        <v>2775</v>
      </c>
      <c r="L1228" s="1">
        <v>41072</v>
      </c>
      <c r="N1228" t="s">
        <v>36</v>
      </c>
      <c r="O1228" t="s">
        <v>37</v>
      </c>
      <c r="P1228" t="s">
        <v>325</v>
      </c>
      <c r="Q1228" t="s">
        <v>39</v>
      </c>
      <c r="R1228" t="s">
        <v>40</v>
      </c>
      <c r="S1228">
        <v>0</v>
      </c>
      <c r="U1228" t="s">
        <v>41</v>
      </c>
      <c r="V1228" t="s">
        <v>42</v>
      </c>
      <c r="X1228" t="s">
        <v>74</v>
      </c>
      <c r="Y1228" t="b">
        <v>0</v>
      </c>
      <c r="Z1228" t="b">
        <v>0</v>
      </c>
      <c r="AC1228" s="1"/>
      <c r="AF1228">
        <v>0</v>
      </c>
      <c r="AG1228">
        <v>45</v>
      </c>
      <c r="AH1228">
        <v>241</v>
      </c>
      <c r="AI1228" s="2">
        <f>Table__192.168.3.138DYLAgingReport[[#This Row],[NetAmount]]-Table__192.168.3.138DYLAgingReport[[#This Row],[Paid]]</f>
        <v>45008</v>
      </c>
    </row>
    <row r="1229" spans="1:35">
      <c r="A1229" t="s">
        <v>2776</v>
      </c>
      <c r="B1229" s="1">
        <v>41085</v>
      </c>
      <c r="C1229" s="1">
        <v>41130</v>
      </c>
      <c r="D1229" t="s">
        <v>188</v>
      </c>
      <c r="E1229">
        <v>36706</v>
      </c>
      <c r="F1229">
        <v>5873</v>
      </c>
      <c r="G1229">
        <v>0</v>
      </c>
      <c r="H1229">
        <v>0</v>
      </c>
      <c r="I1229">
        <v>183</v>
      </c>
      <c r="J1229">
        <v>42579</v>
      </c>
      <c r="K1229" t="s">
        <v>2777</v>
      </c>
      <c r="L1229" s="1">
        <v>41085</v>
      </c>
      <c r="N1229" t="s">
        <v>36</v>
      </c>
      <c r="O1229" t="s">
        <v>37</v>
      </c>
      <c r="P1229" t="s">
        <v>325</v>
      </c>
      <c r="Q1229" t="s">
        <v>39</v>
      </c>
      <c r="R1229" t="s">
        <v>40</v>
      </c>
      <c r="S1229">
        <v>0</v>
      </c>
      <c r="U1229" t="s">
        <v>41</v>
      </c>
      <c r="V1229" t="s">
        <v>42</v>
      </c>
      <c r="X1229" t="s">
        <v>74</v>
      </c>
      <c r="Y1229" t="b">
        <v>0</v>
      </c>
      <c r="Z1229" t="b">
        <v>0</v>
      </c>
      <c r="AC1229" s="1"/>
      <c r="AF1229">
        <v>0</v>
      </c>
      <c r="AG1229">
        <v>45</v>
      </c>
      <c r="AH1229">
        <v>228</v>
      </c>
      <c r="AI1229" s="2">
        <f>Table__192.168.3.138DYLAgingReport[[#This Row],[NetAmount]]-Table__192.168.3.138DYLAgingReport[[#This Row],[Paid]]</f>
        <v>42579</v>
      </c>
    </row>
    <row r="1230" spans="1:35">
      <c r="A1230" t="s">
        <v>2778</v>
      </c>
      <c r="B1230" s="1">
        <v>41090</v>
      </c>
      <c r="C1230" s="1">
        <v>41135</v>
      </c>
      <c r="D1230" t="s">
        <v>247</v>
      </c>
      <c r="E1230">
        <v>94000</v>
      </c>
      <c r="F1230">
        <v>15040</v>
      </c>
      <c r="G1230">
        <v>0</v>
      </c>
      <c r="H1230">
        <v>0</v>
      </c>
      <c r="I1230">
        <v>187</v>
      </c>
      <c r="J1230">
        <v>109040</v>
      </c>
      <c r="K1230" t="s">
        <v>2779</v>
      </c>
      <c r="L1230" s="1">
        <v>41081</v>
      </c>
      <c r="N1230" t="s">
        <v>36</v>
      </c>
      <c r="O1230" t="s">
        <v>37</v>
      </c>
      <c r="P1230" t="s">
        <v>384</v>
      </c>
      <c r="Q1230" t="s">
        <v>39</v>
      </c>
      <c r="R1230" t="s">
        <v>40</v>
      </c>
      <c r="S1230">
        <v>0</v>
      </c>
      <c r="U1230" t="s">
        <v>41</v>
      </c>
      <c r="V1230" t="s">
        <v>42</v>
      </c>
      <c r="X1230" t="s">
        <v>74</v>
      </c>
      <c r="Y1230" t="b">
        <v>0</v>
      </c>
      <c r="Z1230" t="b">
        <v>0</v>
      </c>
      <c r="AC1230" s="1"/>
      <c r="AF1230">
        <v>0</v>
      </c>
      <c r="AG1230">
        <v>45</v>
      </c>
      <c r="AH1230">
        <v>232</v>
      </c>
      <c r="AI1230" s="2">
        <f>Table__192.168.3.138DYLAgingReport[[#This Row],[NetAmount]]-Table__192.168.3.138DYLAgingReport[[#This Row],[Paid]]</f>
        <v>109040</v>
      </c>
    </row>
    <row r="1231" spans="1:35">
      <c r="A1231" t="s">
        <v>2780</v>
      </c>
      <c r="B1231" s="1">
        <v>41090</v>
      </c>
      <c r="C1231" s="1">
        <v>41135</v>
      </c>
      <c r="D1231" t="s">
        <v>247</v>
      </c>
      <c r="E1231">
        <v>85660</v>
      </c>
      <c r="F1231">
        <v>13706</v>
      </c>
      <c r="G1231">
        <v>0</v>
      </c>
      <c r="H1231">
        <v>0</v>
      </c>
      <c r="I1231">
        <v>193</v>
      </c>
      <c r="J1231">
        <v>99366</v>
      </c>
      <c r="K1231" t="s">
        <v>2781</v>
      </c>
      <c r="L1231" s="1">
        <v>41075</v>
      </c>
      <c r="N1231" t="s">
        <v>36</v>
      </c>
      <c r="O1231" t="s">
        <v>37</v>
      </c>
      <c r="P1231" t="s">
        <v>384</v>
      </c>
      <c r="Q1231" t="s">
        <v>39</v>
      </c>
      <c r="R1231" t="s">
        <v>40</v>
      </c>
      <c r="S1231">
        <v>0</v>
      </c>
      <c r="U1231" t="s">
        <v>41</v>
      </c>
      <c r="V1231" t="s">
        <v>42</v>
      </c>
      <c r="X1231" t="s">
        <v>74</v>
      </c>
      <c r="Y1231" t="b">
        <v>0</v>
      </c>
      <c r="Z1231" t="b">
        <v>0</v>
      </c>
      <c r="AB1231" t="s">
        <v>699</v>
      </c>
      <c r="AC1231" s="1">
        <v>41218</v>
      </c>
      <c r="AF1231">
        <v>0</v>
      </c>
      <c r="AG1231">
        <v>45</v>
      </c>
      <c r="AH1231">
        <v>238</v>
      </c>
      <c r="AI1231" s="2">
        <f>Table__192.168.3.138DYLAgingReport[[#This Row],[NetAmount]]-Table__192.168.3.138DYLAgingReport[[#This Row],[Paid]]</f>
        <v>99366</v>
      </c>
    </row>
    <row r="1232" spans="1:35">
      <c r="A1232" t="s">
        <v>2782</v>
      </c>
      <c r="B1232" s="1">
        <v>41088</v>
      </c>
      <c r="C1232" s="1">
        <v>41133</v>
      </c>
      <c r="D1232" t="s">
        <v>288</v>
      </c>
      <c r="E1232">
        <v>5820</v>
      </c>
      <c r="F1232">
        <v>931</v>
      </c>
      <c r="G1232">
        <v>0</v>
      </c>
      <c r="H1232">
        <v>0</v>
      </c>
      <c r="I1232">
        <v>179</v>
      </c>
      <c r="J1232">
        <v>6751</v>
      </c>
      <c r="K1232" t="s">
        <v>2783</v>
      </c>
      <c r="L1232" s="1">
        <v>41089</v>
      </c>
      <c r="N1232" t="s">
        <v>36</v>
      </c>
      <c r="O1232" t="s">
        <v>37</v>
      </c>
      <c r="P1232" t="s">
        <v>425</v>
      </c>
      <c r="Q1232" t="s">
        <v>39</v>
      </c>
      <c r="R1232" t="s">
        <v>40</v>
      </c>
      <c r="S1232">
        <v>0</v>
      </c>
      <c r="U1232" t="s">
        <v>41</v>
      </c>
      <c r="V1232" t="s">
        <v>42</v>
      </c>
      <c r="X1232" t="s">
        <v>74</v>
      </c>
      <c r="Y1232" t="b">
        <v>0</v>
      </c>
      <c r="Z1232" t="b">
        <v>0</v>
      </c>
      <c r="AC1232" s="1"/>
      <c r="AF1232">
        <v>0</v>
      </c>
      <c r="AG1232">
        <v>45</v>
      </c>
      <c r="AH1232">
        <v>224</v>
      </c>
      <c r="AI1232" s="2">
        <f>Table__192.168.3.138DYLAgingReport[[#This Row],[NetAmount]]-Table__192.168.3.138DYLAgingReport[[#This Row],[Paid]]</f>
        <v>6751</v>
      </c>
    </row>
    <row r="1233" spans="1:35">
      <c r="A1233" t="s">
        <v>2784</v>
      </c>
      <c r="B1233" s="1">
        <v>41087</v>
      </c>
      <c r="C1233" s="1">
        <v>41132</v>
      </c>
      <c r="D1233" t="s">
        <v>288</v>
      </c>
      <c r="E1233">
        <v>7680</v>
      </c>
      <c r="F1233">
        <v>1229</v>
      </c>
      <c r="G1233">
        <v>0</v>
      </c>
      <c r="H1233">
        <v>0</v>
      </c>
      <c r="I1233">
        <v>179</v>
      </c>
      <c r="J1233">
        <v>8909</v>
      </c>
      <c r="K1233" t="s">
        <v>2785</v>
      </c>
      <c r="L1233" s="1">
        <v>41089</v>
      </c>
      <c r="N1233" t="s">
        <v>36</v>
      </c>
      <c r="O1233" t="s">
        <v>37</v>
      </c>
      <c r="P1233" t="s">
        <v>425</v>
      </c>
      <c r="Q1233" t="s">
        <v>39</v>
      </c>
      <c r="R1233" t="s">
        <v>40</v>
      </c>
      <c r="S1233">
        <v>0</v>
      </c>
      <c r="U1233" t="s">
        <v>41</v>
      </c>
      <c r="V1233" t="s">
        <v>42</v>
      </c>
      <c r="X1233" t="s">
        <v>74</v>
      </c>
      <c r="Y1233" t="b">
        <v>0</v>
      </c>
      <c r="Z1233" t="b">
        <v>0</v>
      </c>
      <c r="AC1233" s="1"/>
      <c r="AF1233">
        <v>0</v>
      </c>
      <c r="AG1233">
        <v>45</v>
      </c>
      <c r="AH1233">
        <v>224</v>
      </c>
      <c r="AI1233" s="2">
        <f>Table__192.168.3.138DYLAgingReport[[#This Row],[NetAmount]]-Table__192.168.3.138DYLAgingReport[[#This Row],[Paid]]</f>
        <v>8909</v>
      </c>
    </row>
    <row r="1234" spans="1:35">
      <c r="A1234" t="s">
        <v>2786</v>
      </c>
      <c r="B1234" s="1">
        <v>41078</v>
      </c>
      <c r="C1234" s="1">
        <v>41123</v>
      </c>
      <c r="D1234" t="s">
        <v>288</v>
      </c>
      <c r="E1234">
        <v>33003</v>
      </c>
      <c r="F1234">
        <v>5280</v>
      </c>
      <c r="G1234">
        <v>0</v>
      </c>
      <c r="H1234">
        <v>0</v>
      </c>
      <c r="I1234">
        <v>201</v>
      </c>
      <c r="J1234">
        <v>38283</v>
      </c>
      <c r="K1234" t="s">
        <v>2787</v>
      </c>
      <c r="L1234" s="1">
        <v>41067</v>
      </c>
      <c r="N1234" t="s">
        <v>36</v>
      </c>
      <c r="O1234" t="s">
        <v>37</v>
      </c>
      <c r="P1234" t="s">
        <v>425</v>
      </c>
      <c r="Q1234" t="s">
        <v>39</v>
      </c>
      <c r="R1234" t="s">
        <v>40</v>
      </c>
      <c r="S1234">
        <v>0</v>
      </c>
      <c r="U1234" t="s">
        <v>41</v>
      </c>
      <c r="V1234" t="s">
        <v>42</v>
      </c>
      <c r="X1234" t="s">
        <v>74</v>
      </c>
      <c r="Y1234" t="b">
        <v>0</v>
      </c>
      <c r="Z1234" t="b">
        <v>0</v>
      </c>
      <c r="AC1234" s="1"/>
      <c r="AF1234">
        <v>0</v>
      </c>
      <c r="AG1234">
        <v>45</v>
      </c>
      <c r="AH1234">
        <v>246</v>
      </c>
      <c r="AI1234" s="2">
        <f>Table__192.168.3.138DYLAgingReport[[#This Row],[NetAmount]]-Table__192.168.3.138DYLAgingReport[[#This Row],[Paid]]</f>
        <v>38283</v>
      </c>
    </row>
    <row r="1235" spans="1:35">
      <c r="A1235" t="s">
        <v>2788</v>
      </c>
      <c r="B1235" s="1">
        <v>41083</v>
      </c>
      <c r="C1235" s="1">
        <v>41128</v>
      </c>
      <c r="D1235" t="s">
        <v>208</v>
      </c>
      <c r="E1235">
        <v>260</v>
      </c>
      <c r="F1235">
        <v>42</v>
      </c>
      <c r="G1235">
        <v>0</v>
      </c>
      <c r="H1235">
        <v>0</v>
      </c>
      <c r="I1235">
        <v>185</v>
      </c>
      <c r="J1235">
        <v>302</v>
      </c>
      <c r="K1235" t="s">
        <v>2789</v>
      </c>
      <c r="L1235" s="1">
        <v>41083</v>
      </c>
      <c r="N1235" t="s">
        <v>36</v>
      </c>
      <c r="O1235" t="s">
        <v>37</v>
      </c>
      <c r="P1235" t="s">
        <v>345</v>
      </c>
      <c r="Q1235" t="s">
        <v>39</v>
      </c>
      <c r="R1235" t="s">
        <v>40</v>
      </c>
      <c r="S1235">
        <v>0</v>
      </c>
      <c r="U1235" t="s">
        <v>41</v>
      </c>
      <c r="V1235" t="s">
        <v>42</v>
      </c>
      <c r="X1235" t="s">
        <v>74</v>
      </c>
      <c r="Y1235" t="b">
        <v>0</v>
      </c>
      <c r="Z1235" t="b">
        <v>0</v>
      </c>
      <c r="AC1235" s="1"/>
      <c r="AF1235">
        <v>0</v>
      </c>
      <c r="AG1235">
        <v>45</v>
      </c>
      <c r="AH1235">
        <v>230</v>
      </c>
      <c r="AI1235" s="2">
        <f>Table__192.168.3.138DYLAgingReport[[#This Row],[NetAmount]]-Table__192.168.3.138DYLAgingReport[[#This Row],[Paid]]</f>
        <v>302</v>
      </c>
    </row>
    <row r="1236" spans="1:35">
      <c r="A1236" t="s">
        <v>2790</v>
      </c>
      <c r="B1236" s="1">
        <v>41083</v>
      </c>
      <c r="C1236" s="1">
        <v>41128</v>
      </c>
      <c r="D1236" t="s">
        <v>208</v>
      </c>
      <c r="E1236">
        <v>10160</v>
      </c>
      <c r="F1236">
        <v>1626</v>
      </c>
      <c r="G1236">
        <v>0</v>
      </c>
      <c r="H1236">
        <v>0</v>
      </c>
      <c r="I1236">
        <v>185</v>
      </c>
      <c r="J1236">
        <v>11786</v>
      </c>
      <c r="K1236" t="s">
        <v>2791</v>
      </c>
      <c r="L1236" s="1">
        <v>41083</v>
      </c>
      <c r="N1236" t="s">
        <v>36</v>
      </c>
      <c r="O1236" t="s">
        <v>37</v>
      </c>
      <c r="P1236" t="s">
        <v>345</v>
      </c>
      <c r="Q1236" t="s">
        <v>39</v>
      </c>
      <c r="R1236" t="s">
        <v>40</v>
      </c>
      <c r="S1236">
        <v>0</v>
      </c>
      <c r="U1236" t="s">
        <v>41</v>
      </c>
      <c r="V1236" t="s">
        <v>42</v>
      </c>
      <c r="X1236" t="s">
        <v>74</v>
      </c>
      <c r="Y1236" t="b">
        <v>0</v>
      </c>
      <c r="Z1236" t="b">
        <v>0</v>
      </c>
      <c r="AC1236" s="1"/>
      <c r="AF1236">
        <v>0</v>
      </c>
      <c r="AG1236">
        <v>45</v>
      </c>
      <c r="AH1236">
        <v>230</v>
      </c>
      <c r="AI1236" s="2">
        <f>Table__192.168.3.138DYLAgingReport[[#This Row],[NetAmount]]-Table__192.168.3.138DYLAgingReport[[#This Row],[Paid]]</f>
        <v>11786</v>
      </c>
    </row>
    <row r="1237" spans="1:35">
      <c r="A1237" t="s">
        <v>2792</v>
      </c>
      <c r="B1237" s="1">
        <v>41090</v>
      </c>
      <c r="C1237" s="1">
        <v>41135</v>
      </c>
      <c r="D1237" t="s">
        <v>257</v>
      </c>
      <c r="E1237">
        <v>2740</v>
      </c>
      <c r="F1237">
        <v>438</v>
      </c>
      <c r="G1237">
        <v>0</v>
      </c>
      <c r="H1237">
        <v>0</v>
      </c>
      <c r="I1237">
        <v>181</v>
      </c>
      <c r="J1237">
        <v>3178</v>
      </c>
      <c r="K1237" t="s">
        <v>2793</v>
      </c>
      <c r="L1237" s="1">
        <v>41087</v>
      </c>
      <c r="N1237" t="s">
        <v>36</v>
      </c>
      <c r="O1237" t="s">
        <v>37</v>
      </c>
      <c r="P1237" t="s">
        <v>394</v>
      </c>
      <c r="Q1237" t="s">
        <v>39</v>
      </c>
      <c r="R1237" t="s">
        <v>40</v>
      </c>
      <c r="S1237">
        <v>0</v>
      </c>
      <c r="U1237" t="s">
        <v>41</v>
      </c>
      <c r="V1237" t="s">
        <v>42</v>
      </c>
      <c r="X1237" t="s">
        <v>74</v>
      </c>
      <c r="Y1237" t="b">
        <v>0</v>
      </c>
      <c r="Z1237" t="b">
        <v>0</v>
      </c>
      <c r="AC1237" s="1"/>
      <c r="AF1237">
        <v>0</v>
      </c>
      <c r="AG1237">
        <v>45</v>
      </c>
      <c r="AH1237">
        <v>226</v>
      </c>
      <c r="AI1237" s="2">
        <f>Table__192.168.3.138DYLAgingReport[[#This Row],[NetAmount]]-Table__192.168.3.138DYLAgingReport[[#This Row],[Paid]]</f>
        <v>3178</v>
      </c>
    </row>
    <row r="1238" spans="1:35">
      <c r="A1238" t="s">
        <v>2794</v>
      </c>
      <c r="B1238" s="1">
        <v>41090</v>
      </c>
      <c r="C1238" s="1">
        <v>41135</v>
      </c>
      <c r="D1238" t="s">
        <v>207</v>
      </c>
      <c r="E1238">
        <v>136493</v>
      </c>
      <c r="F1238">
        <v>21839</v>
      </c>
      <c r="G1238">
        <v>0</v>
      </c>
      <c r="H1238">
        <v>0</v>
      </c>
      <c r="I1238">
        <v>179</v>
      </c>
      <c r="J1238">
        <v>158332</v>
      </c>
      <c r="K1238" t="s">
        <v>2795</v>
      </c>
      <c r="L1238" s="1">
        <v>41089</v>
      </c>
      <c r="N1238" t="s">
        <v>36</v>
      </c>
      <c r="O1238" t="s">
        <v>37</v>
      </c>
      <c r="P1238" t="s">
        <v>344</v>
      </c>
      <c r="Q1238" t="s">
        <v>39</v>
      </c>
      <c r="R1238" t="s">
        <v>40</v>
      </c>
      <c r="S1238">
        <v>0</v>
      </c>
      <c r="U1238" t="s">
        <v>41</v>
      </c>
      <c r="V1238" t="s">
        <v>42</v>
      </c>
      <c r="X1238" t="s">
        <v>74</v>
      </c>
      <c r="Y1238" t="b">
        <v>0</v>
      </c>
      <c r="Z1238" t="b">
        <v>0</v>
      </c>
      <c r="AB1238" t="s">
        <v>644</v>
      </c>
      <c r="AC1238" s="1">
        <v>41227</v>
      </c>
      <c r="AE1238" t="s">
        <v>645</v>
      </c>
      <c r="AF1238">
        <v>0</v>
      </c>
      <c r="AG1238">
        <v>45</v>
      </c>
      <c r="AH1238">
        <v>224</v>
      </c>
      <c r="AI1238" s="2">
        <f>Table__192.168.3.138DYLAgingReport[[#This Row],[NetAmount]]-Table__192.168.3.138DYLAgingReport[[#This Row],[Paid]]</f>
        <v>158332</v>
      </c>
    </row>
    <row r="1239" spans="1:35">
      <c r="A1239" t="s">
        <v>2796</v>
      </c>
      <c r="B1239" s="1">
        <v>41090</v>
      </c>
      <c r="C1239" s="1">
        <v>41135</v>
      </c>
      <c r="D1239" t="s">
        <v>202</v>
      </c>
      <c r="E1239">
        <v>136900</v>
      </c>
      <c r="F1239">
        <v>21904</v>
      </c>
      <c r="G1239">
        <v>0</v>
      </c>
      <c r="H1239">
        <v>0</v>
      </c>
      <c r="I1239">
        <v>197</v>
      </c>
      <c r="J1239">
        <v>158804</v>
      </c>
      <c r="K1239" t="s">
        <v>806</v>
      </c>
      <c r="L1239" s="1">
        <v>41071</v>
      </c>
      <c r="N1239" t="s">
        <v>36</v>
      </c>
      <c r="O1239" t="s">
        <v>37</v>
      </c>
      <c r="P1239" t="s">
        <v>339</v>
      </c>
      <c r="Q1239" t="s">
        <v>39</v>
      </c>
      <c r="R1239" t="s">
        <v>40</v>
      </c>
      <c r="S1239">
        <v>0</v>
      </c>
      <c r="U1239" t="s">
        <v>41</v>
      </c>
      <c r="V1239" t="s">
        <v>42</v>
      </c>
      <c r="X1239" t="s">
        <v>74</v>
      </c>
      <c r="Y1239" t="b">
        <v>0</v>
      </c>
      <c r="Z1239" t="b">
        <v>0</v>
      </c>
      <c r="AC1239" s="1"/>
      <c r="AF1239">
        <v>0</v>
      </c>
      <c r="AG1239">
        <v>45</v>
      </c>
      <c r="AH1239">
        <v>242</v>
      </c>
      <c r="AI1239" s="2">
        <f>Table__192.168.3.138DYLAgingReport[[#This Row],[NetAmount]]-Table__192.168.3.138DYLAgingReport[[#This Row],[Paid]]</f>
        <v>158804</v>
      </c>
    </row>
    <row r="1240" spans="1:35">
      <c r="A1240" t="s">
        <v>2797</v>
      </c>
      <c r="B1240" s="1">
        <v>41090</v>
      </c>
      <c r="C1240" s="1">
        <v>41135</v>
      </c>
      <c r="D1240" t="s">
        <v>202</v>
      </c>
      <c r="E1240">
        <v>69496</v>
      </c>
      <c r="F1240">
        <v>11120</v>
      </c>
      <c r="G1240">
        <v>0</v>
      </c>
      <c r="H1240">
        <v>0</v>
      </c>
      <c r="I1240">
        <v>179</v>
      </c>
      <c r="J1240">
        <v>80616</v>
      </c>
      <c r="K1240" t="s">
        <v>2798</v>
      </c>
      <c r="L1240" s="1">
        <v>41089</v>
      </c>
      <c r="N1240" t="s">
        <v>36</v>
      </c>
      <c r="O1240" t="s">
        <v>37</v>
      </c>
      <c r="P1240" t="s">
        <v>339</v>
      </c>
      <c r="Q1240" t="s">
        <v>39</v>
      </c>
      <c r="R1240" t="s">
        <v>40</v>
      </c>
      <c r="S1240">
        <v>0</v>
      </c>
      <c r="U1240" t="s">
        <v>41</v>
      </c>
      <c r="V1240" t="s">
        <v>42</v>
      </c>
      <c r="X1240" t="s">
        <v>74</v>
      </c>
      <c r="Y1240" t="b">
        <v>0</v>
      </c>
      <c r="Z1240" t="b">
        <v>0</v>
      </c>
      <c r="AC1240" s="1"/>
      <c r="AF1240">
        <v>0</v>
      </c>
      <c r="AG1240">
        <v>45</v>
      </c>
      <c r="AH1240">
        <v>224</v>
      </c>
      <c r="AI1240" s="2">
        <f>Table__192.168.3.138DYLAgingReport[[#This Row],[NetAmount]]-Table__192.168.3.138DYLAgingReport[[#This Row],[Paid]]</f>
        <v>80616</v>
      </c>
    </row>
    <row r="1241" spans="1:35">
      <c r="A1241" t="s">
        <v>2799</v>
      </c>
      <c r="B1241" s="1">
        <v>41087</v>
      </c>
      <c r="C1241" s="1">
        <v>41132</v>
      </c>
      <c r="D1241" t="s">
        <v>569</v>
      </c>
      <c r="E1241">
        <v>39075</v>
      </c>
      <c r="F1241">
        <v>6252</v>
      </c>
      <c r="G1241">
        <v>0</v>
      </c>
      <c r="H1241">
        <v>0</v>
      </c>
      <c r="I1241">
        <v>186</v>
      </c>
      <c r="J1241">
        <v>45327</v>
      </c>
      <c r="K1241" t="s">
        <v>2800</v>
      </c>
      <c r="L1241" s="1">
        <v>41082</v>
      </c>
      <c r="N1241" t="s">
        <v>36</v>
      </c>
      <c r="O1241" t="s">
        <v>37</v>
      </c>
      <c r="P1241" t="s">
        <v>433</v>
      </c>
      <c r="Q1241" t="s">
        <v>39</v>
      </c>
      <c r="R1241" t="s">
        <v>40</v>
      </c>
      <c r="S1241">
        <v>0</v>
      </c>
      <c r="U1241" t="s">
        <v>41</v>
      </c>
      <c r="V1241" t="s">
        <v>42</v>
      </c>
      <c r="X1241" t="s">
        <v>74</v>
      </c>
      <c r="Y1241" t="b">
        <v>0</v>
      </c>
      <c r="Z1241" t="b">
        <v>0</v>
      </c>
      <c r="AC1241" s="1"/>
      <c r="AF1241">
        <v>0</v>
      </c>
      <c r="AG1241">
        <v>45</v>
      </c>
      <c r="AH1241">
        <v>231</v>
      </c>
      <c r="AI1241" s="2">
        <f>Table__192.168.3.138DYLAgingReport[[#This Row],[NetAmount]]-Table__192.168.3.138DYLAgingReport[[#This Row],[Paid]]</f>
        <v>45327</v>
      </c>
    </row>
    <row r="1242" spans="1:35">
      <c r="A1242" t="s">
        <v>2801</v>
      </c>
      <c r="B1242" s="1">
        <v>41090</v>
      </c>
      <c r="C1242" s="1">
        <v>41135</v>
      </c>
      <c r="D1242" t="s">
        <v>202</v>
      </c>
      <c r="E1242">
        <v>5460</v>
      </c>
      <c r="F1242">
        <v>874</v>
      </c>
      <c r="G1242">
        <v>0</v>
      </c>
      <c r="H1242">
        <v>0</v>
      </c>
      <c r="I1242">
        <v>179</v>
      </c>
      <c r="J1242">
        <v>6334</v>
      </c>
      <c r="K1242" t="s">
        <v>2802</v>
      </c>
      <c r="L1242" s="1">
        <v>41089</v>
      </c>
      <c r="N1242" t="s">
        <v>36</v>
      </c>
      <c r="O1242" t="s">
        <v>37</v>
      </c>
      <c r="P1242" t="s">
        <v>339</v>
      </c>
      <c r="Q1242" t="s">
        <v>39</v>
      </c>
      <c r="R1242" t="s">
        <v>40</v>
      </c>
      <c r="S1242">
        <v>0</v>
      </c>
      <c r="U1242" t="s">
        <v>41</v>
      </c>
      <c r="V1242" t="s">
        <v>42</v>
      </c>
      <c r="X1242" t="s">
        <v>74</v>
      </c>
      <c r="Y1242" t="b">
        <v>0</v>
      </c>
      <c r="Z1242" t="b">
        <v>0</v>
      </c>
      <c r="AC1242" s="1"/>
      <c r="AF1242">
        <v>0</v>
      </c>
      <c r="AG1242">
        <v>45</v>
      </c>
      <c r="AH1242">
        <v>224</v>
      </c>
      <c r="AI1242" s="2">
        <f>Table__192.168.3.138DYLAgingReport[[#This Row],[NetAmount]]-Table__192.168.3.138DYLAgingReport[[#This Row],[Paid]]</f>
        <v>6334</v>
      </c>
    </row>
    <row r="1243" spans="1:35">
      <c r="A1243" t="s">
        <v>2803</v>
      </c>
      <c r="B1243" s="1">
        <v>41090</v>
      </c>
      <c r="C1243" s="1">
        <v>41135</v>
      </c>
      <c r="D1243" t="s">
        <v>200</v>
      </c>
      <c r="E1243">
        <v>33500</v>
      </c>
      <c r="F1243">
        <v>5360</v>
      </c>
      <c r="G1243">
        <v>0</v>
      </c>
      <c r="H1243">
        <v>0</v>
      </c>
      <c r="I1243">
        <v>188</v>
      </c>
      <c r="J1243">
        <v>38860</v>
      </c>
      <c r="K1243" t="s">
        <v>2804</v>
      </c>
      <c r="L1243" s="1">
        <v>41080</v>
      </c>
      <c r="N1243" t="s">
        <v>36</v>
      </c>
      <c r="O1243" t="s">
        <v>37</v>
      </c>
      <c r="P1243" t="s">
        <v>337</v>
      </c>
      <c r="Q1243" t="s">
        <v>39</v>
      </c>
      <c r="R1243" t="s">
        <v>40</v>
      </c>
      <c r="S1243">
        <v>0</v>
      </c>
      <c r="U1243" t="s">
        <v>41</v>
      </c>
      <c r="V1243" t="s">
        <v>42</v>
      </c>
      <c r="X1243" t="s">
        <v>74</v>
      </c>
      <c r="Y1243" t="b">
        <v>0</v>
      </c>
      <c r="Z1243" t="b">
        <v>0</v>
      </c>
      <c r="AC1243" s="1"/>
      <c r="AF1243">
        <v>0</v>
      </c>
      <c r="AG1243">
        <v>45</v>
      </c>
      <c r="AH1243">
        <v>233</v>
      </c>
      <c r="AI1243" s="2">
        <f>Table__192.168.3.138DYLAgingReport[[#This Row],[NetAmount]]-Table__192.168.3.138DYLAgingReport[[#This Row],[Paid]]</f>
        <v>38860</v>
      </c>
    </row>
    <row r="1244" spans="1:35">
      <c r="A1244" t="s">
        <v>2805</v>
      </c>
      <c r="B1244" s="1">
        <v>41083</v>
      </c>
      <c r="C1244" s="1">
        <v>41128</v>
      </c>
      <c r="D1244" t="s">
        <v>569</v>
      </c>
      <c r="E1244">
        <v>52331</v>
      </c>
      <c r="F1244">
        <v>8373</v>
      </c>
      <c r="G1244">
        <v>0</v>
      </c>
      <c r="H1244">
        <v>0</v>
      </c>
      <c r="I1244">
        <v>185</v>
      </c>
      <c r="J1244">
        <v>60704</v>
      </c>
      <c r="K1244" t="s">
        <v>2806</v>
      </c>
      <c r="L1244" s="1">
        <v>41083</v>
      </c>
      <c r="N1244" t="s">
        <v>36</v>
      </c>
      <c r="O1244" t="s">
        <v>37</v>
      </c>
      <c r="P1244" t="s">
        <v>433</v>
      </c>
      <c r="Q1244" t="s">
        <v>39</v>
      </c>
      <c r="R1244" t="s">
        <v>40</v>
      </c>
      <c r="S1244">
        <v>0</v>
      </c>
      <c r="U1244" t="s">
        <v>41</v>
      </c>
      <c r="V1244" t="s">
        <v>42</v>
      </c>
      <c r="X1244" t="s">
        <v>74</v>
      </c>
      <c r="Y1244" t="b">
        <v>0</v>
      </c>
      <c r="Z1244" t="b">
        <v>0</v>
      </c>
      <c r="AC1244" s="1"/>
      <c r="AF1244">
        <v>0</v>
      </c>
      <c r="AG1244">
        <v>45</v>
      </c>
      <c r="AH1244">
        <v>230</v>
      </c>
      <c r="AI1244" s="2">
        <f>Table__192.168.3.138DYLAgingReport[[#This Row],[NetAmount]]-Table__192.168.3.138DYLAgingReport[[#This Row],[Paid]]</f>
        <v>60704</v>
      </c>
    </row>
    <row r="1245" spans="1:35">
      <c r="A1245" t="s">
        <v>2807</v>
      </c>
      <c r="B1245" s="1">
        <v>41088</v>
      </c>
      <c r="C1245" s="1">
        <v>41133</v>
      </c>
      <c r="D1245" t="s">
        <v>569</v>
      </c>
      <c r="E1245">
        <v>103735</v>
      </c>
      <c r="F1245">
        <v>16598</v>
      </c>
      <c r="G1245">
        <v>0</v>
      </c>
      <c r="H1245">
        <v>0</v>
      </c>
      <c r="I1245">
        <v>185</v>
      </c>
      <c r="J1245">
        <v>120333</v>
      </c>
      <c r="K1245" t="s">
        <v>2808</v>
      </c>
      <c r="L1245" s="1">
        <v>41083</v>
      </c>
      <c r="N1245" t="s">
        <v>36</v>
      </c>
      <c r="O1245" t="s">
        <v>37</v>
      </c>
      <c r="P1245" t="s">
        <v>433</v>
      </c>
      <c r="Q1245" t="s">
        <v>39</v>
      </c>
      <c r="R1245" t="s">
        <v>40</v>
      </c>
      <c r="S1245">
        <v>0</v>
      </c>
      <c r="U1245" t="s">
        <v>41</v>
      </c>
      <c r="V1245" t="s">
        <v>42</v>
      </c>
      <c r="X1245" t="s">
        <v>74</v>
      </c>
      <c r="Y1245" t="b">
        <v>0</v>
      </c>
      <c r="Z1245" t="b">
        <v>0</v>
      </c>
      <c r="AC1245" s="1"/>
      <c r="AF1245">
        <v>0</v>
      </c>
      <c r="AG1245">
        <v>45</v>
      </c>
      <c r="AH1245">
        <v>230</v>
      </c>
      <c r="AI1245" s="2">
        <f>Table__192.168.3.138DYLAgingReport[[#This Row],[NetAmount]]-Table__192.168.3.138DYLAgingReport[[#This Row],[Paid]]</f>
        <v>120333</v>
      </c>
    </row>
    <row r="1246" spans="1:35">
      <c r="A1246" t="s">
        <v>2809</v>
      </c>
      <c r="B1246" s="1">
        <v>41090</v>
      </c>
      <c r="C1246" s="1">
        <v>41135</v>
      </c>
      <c r="D1246" t="s">
        <v>569</v>
      </c>
      <c r="E1246">
        <v>110060</v>
      </c>
      <c r="F1246">
        <v>17610</v>
      </c>
      <c r="G1246">
        <v>0</v>
      </c>
      <c r="H1246">
        <v>0</v>
      </c>
      <c r="I1246">
        <v>178</v>
      </c>
      <c r="J1246">
        <v>127670</v>
      </c>
      <c r="K1246" t="s">
        <v>2810</v>
      </c>
      <c r="L1246" s="1">
        <v>41090</v>
      </c>
      <c r="N1246" t="s">
        <v>36</v>
      </c>
      <c r="O1246" t="s">
        <v>37</v>
      </c>
      <c r="P1246" t="s">
        <v>433</v>
      </c>
      <c r="Q1246" t="s">
        <v>39</v>
      </c>
      <c r="R1246" t="s">
        <v>40</v>
      </c>
      <c r="S1246">
        <v>0</v>
      </c>
      <c r="U1246" t="s">
        <v>41</v>
      </c>
      <c r="V1246" t="s">
        <v>42</v>
      </c>
      <c r="X1246" t="s">
        <v>74</v>
      </c>
      <c r="Y1246" t="b">
        <v>0</v>
      </c>
      <c r="Z1246" t="b">
        <v>0</v>
      </c>
      <c r="AC1246" s="1"/>
      <c r="AF1246">
        <v>0</v>
      </c>
      <c r="AG1246">
        <v>45</v>
      </c>
      <c r="AH1246">
        <v>223</v>
      </c>
      <c r="AI1246" s="2">
        <f>Table__192.168.3.138DYLAgingReport[[#This Row],[NetAmount]]-Table__192.168.3.138DYLAgingReport[[#This Row],[Paid]]</f>
        <v>127670</v>
      </c>
    </row>
    <row r="1247" spans="1:35">
      <c r="A1247" t="s">
        <v>2811</v>
      </c>
      <c r="B1247" s="1">
        <v>41090</v>
      </c>
      <c r="C1247" s="1">
        <v>41135</v>
      </c>
      <c r="D1247" t="s">
        <v>569</v>
      </c>
      <c r="E1247">
        <v>91375</v>
      </c>
      <c r="F1247">
        <v>14620</v>
      </c>
      <c r="G1247">
        <v>0</v>
      </c>
      <c r="H1247">
        <v>0</v>
      </c>
      <c r="I1247">
        <v>178</v>
      </c>
      <c r="J1247">
        <v>105995</v>
      </c>
      <c r="K1247" t="s">
        <v>2812</v>
      </c>
      <c r="L1247" s="1">
        <v>41090</v>
      </c>
      <c r="N1247" t="s">
        <v>36</v>
      </c>
      <c r="O1247" t="s">
        <v>37</v>
      </c>
      <c r="P1247" t="s">
        <v>433</v>
      </c>
      <c r="Q1247" t="s">
        <v>39</v>
      </c>
      <c r="R1247" t="s">
        <v>40</v>
      </c>
      <c r="S1247">
        <v>0</v>
      </c>
      <c r="U1247" t="s">
        <v>41</v>
      </c>
      <c r="V1247" t="s">
        <v>42</v>
      </c>
      <c r="X1247" t="s">
        <v>74</v>
      </c>
      <c r="Y1247" t="b">
        <v>0</v>
      </c>
      <c r="Z1247" t="b">
        <v>0</v>
      </c>
      <c r="AC1247" s="1"/>
      <c r="AF1247">
        <v>0</v>
      </c>
      <c r="AG1247">
        <v>45</v>
      </c>
      <c r="AH1247">
        <v>223</v>
      </c>
      <c r="AI1247" s="2">
        <f>Table__192.168.3.138DYLAgingReport[[#This Row],[NetAmount]]-Table__192.168.3.138DYLAgingReport[[#This Row],[Paid]]</f>
        <v>105995</v>
      </c>
    </row>
    <row r="1248" spans="1:35">
      <c r="A1248" t="s">
        <v>2813</v>
      </c>
      <c r="B1248" s="1">
        <v>41082</v>
      </c>
      <c r="C1248" s="1">
        <v>41127</v>
      </c>
      <c r="D1248" t="s">
        <v>569</v>
      </c>
      <c r="E1248">
        <v>63250</v>
      </c>
      <c r="F1248">
        <v>10120</v>
      </c>
      <c r="G1248">
        <v>0</v>
      </c>
      <c r="H1248">
        <v>0</v>
      </c>
      <c r="I1248">
        <v>206</v>
      </c>
      <c r="J1248">
        <v>73370</v>
      </c>
      <c r="K1248" t="s">
        <v>2814</v>
      </c>
      <c r="L1248" s="1">
        <v>41062</v>
      </c>
      <c r="N1248" t="s">
        <v>36</v>
      </c>
      <c r="O1248" t="s">
        <v>37</v>
      </c>
      <c r="P1248" t="s">
        <v>433</v>
      </c>
      <c r="Q1248" t="s">
        <v>39</v>
      </c>
      <c r="R1248" t="s">
        <v>40</v>
      </c>
      <c r="S1248">
        <v>0</v>
      </c>
      <c r="U1248" t="s">
        <v>41</v>
      </c>
      <c r="V1248" t="s">
        <v>42</v>
      </c>
      <c r="X1248" t="s">
        <v>74</v>
      </c>
      <c r="Y1248" t="b">
        <v>0</v>
      </c>
      <c r="Z1248" t="b">
        <v>0</v>
      </c>
      <c r="AC1248" s="1"/>
      <c r="AF1248">
        <v>0</v>
      </c>
      <c r="AG1248">
        <v>45</v>
      </c>
      <c r="AH1248">
        <v>251</v>
      </c>
      <c r="AI1248" s="2">
        <f>Table__192.168.3.138DYLAgingReport[[#This Row],[NetAmount]]-Table__192.168.3.138DYLAgingReport[[#This Row],[Paid]]</f>
        <v>73370</v>
      </c>
    </row>
    <row r="1249" spans="1:35">
      <c r="A1249" t="s">
        <v>2815</v>
      </c>
      <c r="B1249" s="1">
        <v>41069</v>
      </c>
      <c r="C1249" s="1">
        <v>41114</v>
      </c>
      <c r="D1249" t="s">
        <v>569</v>
      </c>
      <c r="E1249">
        <v>13620</v>
      </c>
      <c r="F1249">
        <v>2179</v>
      </c>
      <c r="G1249">
        <v>0</v>
      </c>
      <c r="H1249">
        <v>0</v>
      </c>
      <c r="I1249">
        <v>199</v>
      </c>
      <c r="J1249">
        <v>15799</v>
      </c>
      <c r="K1249" t="s">
        <v>2816</v>
      </c>
      <c r="L1249" s="1">
        <v>41069</v>
      </c>
      <c r="N1249" t="s">
        <v>36</v>
      </c>
      <c r="O1249" t="s">
        <v>37</v>
      </c>
      <c r="P1249" t="s">
        <v>433</v>
      </c>
      <c r="Q1249" t="s">
        <v>39</v>
      </c>
      <c r="R1249" t="s">
        <v>40</v>
      </c>
      <c r="S1249">
        <v>0</v>
      </c>
      <c r="U1249" t="s">
        <v>41</v>
      </c>
      <c r="V1249" t="s">
        <v>42</v>
      </c>
      <c r="X1249" t="s">
        <v>74</v>
      </c>
      <c r="Y1249" t="b">
        <v>0</v>
      </c>
      <c r="Z1249" t="b">
        <v>0</v>
      </c>
      <c r="AC1249" s="1"/>
      <c r="AF1249">
        <v>0</v>
      </c>
      <c r="AG1249">
        <v>45</v>
      </c>
      <c r="AH1249">
        <v>244</v>
      </c>
      <c r="AI1249" s="2">
        <f>Table__192.168.3.138DYLAgingReport[[#This Row],[NetAmount]]-Table__192.168.3.138DYLAgingReport[[#This Row],[Paid]]</f>
        <v>15799</v>
      </c>
    </row>
    <row r="1250" spans="1:35">
      <c r="A1250" t="s">
        <v>2817</v>
      </c>
      <c r="B1250" s="1">
        <v>41086</v>
      </c>
      <c r="C1250" s="1">
        <v>41131</v>
      </c>
      <c r="D1250" t="s">
        <v>207</v>
      </c>
      <c r="E1250">
        <v>151</v>
      </c>
      <c r="F1250">
        <v>24</v>
      </c>
      <c r="G1250">
        <v>0</v>
      </c>
      <c r="H1250">
        <v>0</v>
      </c>
      <c r="I1250">
        <v>202</v>
      </c>
      <c r="J1250">
        <v>175</v>
      </c>
      <c r="K1250" t="s">
        <v>2818</v>
      </c>
      <c r="L1250" s="1">
        <v>41066</v>
      </c>
      <c r="N1250" t="s">
        <v>36</v>
      </c>
      <c r="O1250" t="s">
        <v>37</v>
      </c>
      <c r="P1250" t="s">
        <v>344</v>
      </c>
      <c r="Q1250" t="s">
        <v>39</v>
      </c>
      <c r="R1250" t="s">
        <v>40</v>
      </c>
      <c r="S1250">
        <v>0</v>
      </c>
      <c r="U1250" t="s">
        <v>41</v>
      </c>
      <c r="V1250" t="s">
        <v>42</v>
      </c>
      <c r="X1250" t="s">
        <v>74</v>
      </c>
      <c r="Y1250" t="b">
        <v>0</v>
      </c>
      <c r="Z1250" t="b">
        <v>0</v>
      </c>
      <c r="AB1250" t="s">
        <v>644</v>
      </c>
      <c r="AC1250" s="1">
        <v>41227</v>
      </c>
      <c r="AE1250" t="s">
        <v>645</v>
      </c>
      <c r="AF1250">
        <v>0</v>
      </c>
      <c r="AG1250">
        <v>45</v>
      </c>
      <c r="AH1250">
        <v>247</v>
      </c>
      <c r="AI1250" s="2">
        <f>Table__192.168.3.138DYLAgingReport[[#This Row],[NetAmount]]-Table__192.168.3.138DYLAgingReport[[#This Row],[Paid]]</f>
        <v>175</v>
      </c>
    </row>
    <row r="1251" spans="1:35">
      <c r="A1251" t="s">
        <v>2819</v>
      </c>
      <c r="B1251" s="1">
        <v>41090</v>
      </c>
      <c r="C1251" s="1">
        <v>41135</v>
      </c>
      <c r="D1251" t="s">
        <v>288</v>
      </c>
      <c r="E1251">
        <v>79915</v>
      </c>
      <c r="F1251">
        <v>12787</v>
      </c>
      <c r="G1251">
        <v>0</v>
      </c>
      <c r="H1251">
        <v>0</v>
      </c>
      <c r="I1251">
        <v>178</v>
      </c>
      <c r="J1251">
        <v>92702</v>
      </c>
      <c r="K1251" t="s">
        <v>2820</v>
      </c>
      <c r="L1251" s="1">
        <v>41090</v>
      </c>
      <c r="N1251" t="s">
        <v>36</v>
      </c>
      <c r="O1251" t="s">
        <v>37</v>
      </c>
      <c r="P1251" t="s">
        <v>425</v>
      </c>
      <c r="Q1251" t="s">
        <v>39</v>
      </c>
      <c r="R1251" t="s">
        <v>40</v>
      </c>
      <c r="S1251">
        <v>0</v>
      </c>
      <c r="U1251" t="s">
        <v>41</v>
      </c>
      <c r="V1251" t="s">
        <v>42</v>
      </c>
      <c r="X1251" t="s">
        <v>74</v>
      </c>
      <c r="Y1251" t="b">
        <v>0</v>
      </c>
      <c r="Z1251" t="b">
        <v>0</v>
      </c>
      <c r="AC1251" s="1"/>
      <c r="AF1251">
        <v>0</v>
      </c>
      <c r="AG1251">
        <v>45</v>
      </c>
      <c r="AH1251">
        <v>223</v>
      </c>
      <c r="AI1251" s="2">
        <f>Table__192.168.3.138DYLAgingReport[[#This Row],[NetAmount]]-Table__192.168.3.138DYLAgingReport[[#This Row],[Paid]]</f>
        <v>92702</v>
      </c>
    </row>
    <row r="1252" spans="1:35">
      <c r="A1252" t="s">
        <v>2821</v>
      </c>
      <c r="B1252" s="1">
        <v>41090</v>
      </c>
      <c r="C1252" s="1">
        <v>41135</v>
      </c>
      <c r="D1252" t="s">
        <v>288</v>
      </c>
      <c r="E1252">
        <v>10000</v>
      </c>
      <c r="F1252">
        <v>1600</v>
      </c>
      <c r="G1252">
        <v>0</v>
      </c>
      <c r="H1252">
        <v>0</v>
      </c>
      <c r="I1252">
        <v>178</v>
      </c>
      <c r="J1252">
        <v>11600</v>
      </c>
      <c r="K1252" t="s">
        <v>2107</v>
      </c>
      <c r="L1252" s="1">
        <v>41090</v>
      </c>
      <c r="N1252" t="s">
        <v>36</v>
      </c>
      <c r="O1252" t="s">
        <v>37</v>
      </c>
      <c r="P1252" t="s">
        <v>425</v>
      </c>
      <c r="Q1252" t="s">
        <v>39</v>
      </c>
      <c r="R1252" t="s">
        <v>40</v>
      </c>
      <c r="S1252">
        <v>0</v>
      </c>
      <c r="U1252" t="s">
        <v>41</v>
      </c>
      <c r="V1252" t="s">
        <v>42</v>
      </c>
      <c r="X1252" t="s">
        <v>74</v>
      </c>
      <c r="Y1252" t="b">
        <v>0</v>
      </c>
      <c r="Z1252" t="b">
        <v>0</v>
      </c>
      <c r="AC1252" s="1"/>
      <c r="AF1252">
        <v>0</v>
      </c>
      <c r="AG1252">
        <v>45</v>
      </c>
      <c r="AH1252">
        <v>223</v>
      </c>
      <c r="AI1252" s="2">
        <f>Table__192.168.3.138DYLAgingReport[[#This Row],[NetAmount]]-Table__192.168.3.138DYLAgingReport[[#This Row],[Paid]]</f>
        <v>11600</v>
      </c>
    </row>
    <row r="1253" spans="1:35">
      <c r="A1253" t="s">
        <v>2822</v>
      </c>
      <c r="B1253" s="1">
        <v>41043</v>
      </c>
      <c r="C1253" s="1">
        <v>41088</v>
      </c>
      <c r="D1253" t="s">
        <v>236</v>
      </c>
      <c r="E1253">
        <v>17860</v>
      </c>
      <c r="F1253">
        <v>0</v>
      </c>
      <c r="G1253">
        <v>0</v>
      </c>
      <c r="H1253">
        <v>0</v>
      </c>
      <c r="I1253">
        <v>214</v>
      </c>
      <c r="J1253">
        <v>17860</v>
      </c>
      <c r="K1253" t="s">
        <v>2823</v>
      </c>
      <c r="L1253" s="1">
        <v>41054</v>
      </c>
      <c r="N1253" t="s">
        <v>36</v>
      </c>
      <c r="O1253" t="s">
        <v>37</v>
      </c>
      <c r="P1253" t="s">
        <v>373</v>
      </c>
      <c r="Q1253" t="s">
        <v>39</v>
      </c>
      <c r="R1253" t="s">
        <v>40</v>
      </c>
      <c r="S1253">
        <v>0</v>
      </c>
      <c r="U1253" t="s">
        <v>41</v>
      </c>
      <c r="V1253" t="s">
        <v>42</v>
      </c>
      <c r="X1253" t="s">
        <v>74</v>
      </c>
      <c r="Y1253" t="b">
        <v>0</v>
      </c>
      <c r="Z1253" t="b">
        <v>0</v>
      </c>
      <c r="AC1253" s="1"/>
      <c r="AF1253">
        <v>0</v>
      </c>
      <c r="AG1253">
        <v>45</v>
      </c>
      <c r="AH1253">
        <v>259</v>
      </c>
      <c r="AI1253" s="2">
        <f>Table__192.168.3.138DYLAgingReport[[#This Row],[NetAmount]]-Table__192.168.3.138DYLAgingReport[[#This Row],[Paid]]</f>
        <v>17860</v>
      </c>
    </row>
    <row r="1254" spans="1:35">
      <c r="A1254" t="s">
        <v>2824</v>
      </c>
      <c r="B1254" s="1">
        <v>41074</v>
      </c>
      <c r="C1254" s="1">
        <v>41119</v>
      </c>
      <c r="D1254" t="s">
        <v>214</v>
      </c>
      <c r="E1254">
        <v>250000</v>
      </c>
      <c r="F1254">
        <v>0</v>
      </c>
      <c r="G1254">
        <v>0</v>
      </c>
      <c r="H1254">
        <v>0</v>
      </c>
      <c r="I1254">
        <v>206</v>
      </c>
      <c r="J1254">
        <v>250000</v>
      </c>
      <c r="K1254" t="s">
        <v>2825</v>
      </c>
      <c r="L1254" s="1">
        <v>41062</v>
      </c>
      <c r="N1254" t="s">
        <v>36</v>
      </c>
      <c r="O1254" t="s">
        <v>37</v>
      </c>
      <c r="P1254" t="s">
        <v>351</v>
      </c>
      <c r="Q1254" t="s">
        <v>39</v>
      </c>
      <c r="R1254" t="s">
        <v>40</v>
      </c>
      <c r="S1254">
        <v>0</v>
      </c>
      <c r="U1254" t="s">
        <v>41</v>
      </c>
      <c r="V1254" t="s">
        <v>42</v>
      </c>
      <c r="X1254" t="s">
        <v>74</v>
      </c>
      <c r="Y1254" t="b">
        <v>0</v>
      </c>
      <c r="Z1254" t="b">
        <v>0</v>
      </c>
      <c r="AC1254" s="1"/>
      <c r="AF1254">
        <v>0</v>
      </c>
      <c r="AG1254">
        <v>45</v>
      </c>
      <c r="AH1254">
        <v>251</v>
      </c>
      <c r="AI1254" s="2">
        <f>Table__192.168.3.138DYLAgingReport[[#This Row],[NetAmount]]-Table__192.168.3.138DYLAgingReport[[#This Row],[Paid]]</f>
        <v>250000</v>
      </c>
    </row>
    <row r="1255" spans="1:35">
      <c r="A1255" t="s">
        <v>2826</v>
      </c>
      <c r="B1255" s="1">
        <v>41082</v>
      </c>
      <c r="C1255" s="1">
        <v>41127</v>
      </c>
      <c r="D1255" t="s">
        <v>187</v>
      </c>
      <c r="E1255">
        <v>11000</v>
      </c>
      <c r="F1255">
        <v>0</v>
      </c>
      <c r="G1255">
        <v>0</v>
      </c>
      <c r="H1255">
        <v>0</v>
      </c>
      <c r="I1255">
        <v>186</v>
      </c>
      <c r="J1255">
        <v>11000</v>
      </c>
      <c r="K1255" t="s">
        <v>2827</v>
      </c>
      <c r="L1255" s="1">
        <v>41082</v>
      </c>
      <c r="N1255" t="s">
        <v>36</v>
      </c>
      <c r="O1255" t="s">
        <v>37</v>
      </c>
      <c r="P1255" t="s">
        <v>324</v>
      </c>
      <c r="Q1255" t="s">
        <v>39</v>
      </c>
      <c r="R1255" t="s">
        <v>40</v>
      </c>
      <c r="S1255">
        <v>0</v>
      </c>
      <c r="U1255" t="s">
        <v>41</v>
      </c>
      <c r="V1255" t="s">
        <v>42</v>
      </c>
      <c r="X1255" t="s">
        <v>74</v>
      </c>
      <c r="Y1255" t="b">
        <v>0</v>
      </c>
      <c r="Z1255" t="b">
        <v>0</v>
      </c>
      <c r="AC1255" s="1"/>
      <c r="AF1255">
        <v>0</v>
      </c>
      <c r="AG1255">
        <v>45</v>
      </c>
      <c r="AH1255">
        <v>231</v>
      </c>
      <c r="AI1255" s="2">
        <f>Table__192.168.3.138DYLAgingReport[[#This Row],[NetAmount]]-Table__192.168.3.138DYLAgingReport[[#This Row],[Paid]]</f>
        <v>11000</v>
      </c>
    </row>
    <row r="1256" spans="1:35">
      <c r="A1256" t="s">
        <v>2828</v>
      </c>
      <c r="B1256" s="1">
        <v>41086</v>
      </c>
      <c r="C1256" s="1">
        <v>41131</v>
      </c>
      <c r="D1256" t="s">
        <v>187</v>
      </c>
      <c r="E1256">
        <v>11000</v>
      </c>
      <c r="F1256">
        <v>0</v>
      </c>
      <c r="G1256">
        <v>0</v>
      </c>
      <c r="H1256">
        <v>0</v>
      </c>
      <c r="I1256">
        <v>182</v>
      </c>
      <c r="J1256">
        <v>11000</v>
      </c>
      <c r="K1256" t="s">
        <v>2829</v>
      </c>
      <c r="L1256" s="1">
        <v>41086</v>
      </c>
      <c r="N1256" t="s">
        <v>36</v>
      </c>
      <c r="O1256" t="s">
        <v>37</v>
      </c>
      <c r="P1256" t="s">
        <v>324</v>
      </c>
      <c r="Q1256" t="s">
        <v>39</v>
      </c>
      <c r="R1256" t="s">
        <v>40</v>
      </c>
      <c r="S1256">
        <v>0</v>
      </c>
      <c r="U1256" t="s">
        <v>41</v>
      </c>
      <c r="V1256" t="s">
        <v>42</v>
      </c>
      <c r="X1256" t="s">
        <v>74</v>
      </c>
      <c r="Y1256" t="b">
        <v>0</v>
      </c>
      <c r="Z1256" t="b">
        <v>0</v>
      </c>
      <c r="AC1256" s="1"/>
      <c r="AF1256">
        <v>0</v>
      </c>
      <c r="AG1256">
        <v>45</v>
      </c>
      <c r="AH1256">
        <v>227</v>
      </c>
      <c r="AI1256" s="2">
        <f>Table__192.168.3.138DYLAgingReport[[#This Row],[NetAmount]]-Table__192.168.3.138DYLAgingReport[[#This Row],[Paid]]</f>
        <v>11000</v>
      </c>
    </row>
    <row r="1257" spans="1:35">
      <c r="A1257" t="s">
        <v>2830</v>
      </c>
      <c r="B1257" s="1">
        <v>41075</v>
      </c>
      <c r="C1257" s="1">
        <v>41120</v>
      </c>
      <c r="D1257" t="s">
        <v>187</v>
      </c>
      <c r="E1257">
        <v>5500</v>
      </c>
      <c r="F1257">
        <v>0</v>
      </c>
      <c r="G1257">
        <v>0</v>
      </c>
      <c r="H1257">
        <v>0</v>
      </c>
      <c r="I1257">
        <v>197</v>
      </c>
      <c r="J1257">
        <v>5500</v>
      </c>
      <c r="K1257" t="s">
        <v>2831</v>
      </c>
      <c r="L1257" s="1">
        <v>41071</v>
      </c>
      <c r="N1257" t="s">
        <v>36</v>
      </c>
      <c r="O1257" t="s">
        <v>37</v>
      </c>
      <c r="P1257" t="s">
        <v>324</v>
      </c>
      <c r="Q1257" t="s">
        <v>39</v>
      </c>
      <c r="R1257" t="s">
        <v>40</v>
      </c>
      <c r="S1257">
        <v>0</v>
      </c>
      <c r="U1257" t="s">
        <v>41</v>
      </c>
      <c r="V1257" t="s">
        <v>42</v>
      </c>
      <c r="X1257" t="s">
        <v>74</v>
      </c>
      <c r="Y1257" t="b">
        <v>0</v>
      </c>
      <c r="Z1257" t="b">
        <v>0</v>
      </c>
      <c r="AC1257" s="1"/>
      <c r="AF1257">
        <v>0</v>
      </c>
      <c r="AG1257">
        <v>45</v>
      </c>
      <c r="AH1257">
        <v>242</v>
      </c>
      <c r="AI1257" s="2">
        <f>Table__192.168.3.138DYLAgingReport[[#This Row],[NetAmount]]-Table__192.168.3.138DYLAgingReport[[#This Row],[Paid]]</f>
        <v>5500</v>
      </c>
    </row>
    <row r="1258" spans="1:35">
      <c r="A1258" t="s">
        <v>2832</v>
      </c>
      <c r="B1258" s="1">
        <v>41087</v>
      </c>
      <c r="C1258" s="1">
        <v>41132</v>
      </c>
      <c r="D1258" t="s">
        <v>187</v>
      </c>
      <c r="E1258">
        <v>93040</v>
      </c>
      <c r="F1258">
        <v>0</v>
      </c>
      <c r="G1258">
        <v>0</v>
      </c>
      <c r="H1258">
        <v>0</v>
      </c>
      <c r="I1258">
        <v>186</v>
      </c>
      <c r="J1258">
        <v>93040</v>
      </c>
      <c r="K1258" t="s">
        <v>2833</v>
      </c>
      <c r="L1258" s="1">
        <v>41082</v>
      </c>
      <c r="N1258" t="s">
        <v>36</v>
      </c>
      <c r="O1258" t="s">
        <v>37</v>
      </c>
      <c r="P1258" t="s">
        <v>324</v>
      </c>
      <c r="Q1258" t="s">
        <v>39</v>
      </c>
      <c r="R1258" t="s">
        <v>40</v>
      </c>
      <c r="S1258">
        <v>0</v>
      </c>
      <c r="U1258" t="s">
        <v>41</v>
      </c>
      <c r="V1258" t="s">
        <v>42</v>
      </c>
      <c r="X1258" t="s">
        <v>74</v>
      </c>
      <c r="Y1258" t="b">
        <v>0</v>
      </c>
      <c r="Z1258" t="b">
        <v>0</v>
      </c>
      <c r="AC1258" s="1"/>
      <c r="AF1258">
        <v>0</v>
      </c>
      <c r="AG1258">
        <v>45</v>
      </c>
      <c r="AH1258">
        <v>231</v>
      </c>
      <c r="AI1258" s="2">
        <f>Table__192.168.3.138DYLAgingReport[[#This Row],[NetAmount]]-Table__192.168.3.138DYLAgingReport[[#This Row],[Paid]]</f>
        <v>93040</v>
      </c>
    </row>
    <row r="1259" spans="1:35">
      <c r="A1259" t="s">
        <v>2834</v>
      </c>
      <c r="B1259" s="1">
        <v>41086</v>
      </c>
      <c r="C1259" s="1">
        <v>41131</v>
      </c>
      <c r="D1259" t="s">
        <v>187</v>
      </c>
      <c r="E1259">
        <v>56110</v>
      </c>
      <c r="F1259">
        <v>0</v>
      </c>
      <c r="G1259">
        <v>0</v>
      </c>
      <c r="H1259">
        <v>0</v>
      </c>
      <c r="I1259">
        <v>182</v>
      </c>
      <c r="J1259">
        <v>56110</v>
      </c>
      <c r="K1259" t="s">
        <v>2835</v>
      </c>
      <c r="L1259" s="1">
        <v>41086</v>
      </c>
      <c r="N1259" t="s">
        <v>36</v>
      </c>
      <c r="O1259" t="s">
        <v>37</v>
      </c>
      <c r="P1259" t="s">
        <v>324</v>
      </c>
      <c r="Q1259" t="s">
        <v>39</v>
      </c>
      <c r="R1259" t="s">
        <v>40</v>
      </c>
      <c r="S1259">
        <v>0</v>
      </c>
      <c r="U1259" t="s">
        <v>41</v>
      </c>
      <c r="V1259" t="s">
        <v>42</v>
      </c>
      <c r="X1259" t="s">
        <v>74</v>
      </c>
      <c r="Y1259" t="b">
        <v>0</v>
      </c>
      <c r="Z1259" t="b">
        <v>0</v>
      </c>
      <c r="AC1259" s="1"/>
      <c r="AF1259">
        <v>0</v>
      </c>
      <c r="AG1259">
        <v>45</v>
      </c>
      <c r="AH1259">
        <v>227</v>
      </c>
      <c r="AI1259" s="2">
        <f>Table__192.168.3.138DYLAgingReport[[#This Row],[NetAmount]]-Table__192.168.3.138DYLAgingReport[[#This Row],[Paid]]</f>
        <v>56110</v>
      </c>
    </row>
    <row r="1260" spans="1:35">
      <c r="A1260" t="s">
        <v>2836</v>
      </c>
      <c r="B1260" s="1">
        <v>41075</v>
      </c>
      <c r="C1260" s="1">
        <v>41120</v>
      </c>
      <c r="D1260" t="s">
        <v>187</v>
      </c>
      <c r="E1260">
        <v>139560</v>
      </c>
      <c r="F1260">
        <v>0</v>
      </c>
      <c r="G1260">
        <v>0</v>
      </c>
      <c r="H1260">
        <v>0</v>
      </c>
      <c r="I1260">
        <v>193</v>
      </c>
      <c r="J1260">
        <v>139560</v>
      </c>
      <c r="K1260" t="s">
        <v>2837</v>
      </c>
      <c r="L1260" s="1">
        <v>41075</v>
      </c>
      <c r="N1260" t="s">
        <v>36</v>
      </c>
      <c r="O1260" t="s">
        <v>37</v>
      </c>
      <c r="P1260" t="s">
        <v>324</v>
      </c>
      <c r="Q1260" t="s">
        <v>39</v>
      </c>
      <c r="R1260" t="s">
        <v>40</v>
      </c>
      <c r="S1260">
        <v>0</v>
      </c>
      <c r="U1260" t="s">
        <v>41</v>
      </c>
      <c r="V1260" t="s">
        <v>42</v>
      </c>
      <c r="X1260" t="s">
        <v>74</v>
      </c>
      <c r="Y1260" t="b">
        <v>0</v>
      </c>
      <c r="Z1260" t="b">
        <v>0</v>
      </c>
      <c r="AC1260" s="1"/>
      <c r="AF1260">
        <v>0</v>
      </c>
      <c r="AG1260">
        <v>45</v>
      </c>
      <c r="AH1260">
        <v>238</v>
      </c>
      <c r="AI1260" s="2">
        <f>Table__192.168.3.138DYLAgingReport[[#This Row],[NetAmount]]-Table__192.168.3.138DYLAgingReport[[#This Row],[Paid]]</f>
        <v>139560</v>
      </c>
    </row>
    <row r="1261" spans="1:35">
      <c r="A1261" t="s">
        <v>2838</v>
      </c>
      <c r="B1261" s="1">
        <v>41011</v>
      </c>
      <c r="C1261" s="1">
        <v>41056</v>
      </c>
      <c r="D1261" t="s">
        <v>274</v>
      </c>
      <c r="E1261">
        <v>19625</v>
      </c>
      <c r="F1261">
        <v>3140</v>
      </c>
      <c r="G1261">
        <v>0</v>
      </c>
      <c r="H1261">
        <v>0</v>
      </c>
      <c r="I1261">
        <v>120</v>
      </c>
      <c r="J1261">
        <v>22765</v>
      </c>
      <c r="K1261" t="s">
        <v>2839</v>
      </c>
      <c r="L1261" s="1">
        <v>41148</v>
      </c>
      <c r="N1261" t="s">
        <v>36</v>
      </c>
      <c r="O1261" t="s">
        <v>37</v>
      </c>
      <c r="P1261" t="s">
        <v>411</v>
      </c>
      <c r="Q1261" t="s">
        <v>39</v>
      </c>
      <c r="R1261" t="s">
        <v>40</v>
      </c>
      <c r="S1261">
        <v>0</v>
      </c>
      <c r="U1261" t="s">
        <v>41</v>
      </c>
      <c r="V1261" t="s">
        <v>42</v>
      </c>
      <c r="X1261" t="s">
        <v>74</v>
      </c>
      <c r="Y1261" t="b">
        <v>0</v>
      </c>
      <c r="Z1261" t="b">
        <v>0</v>
      </c>
      <c r="AC1261" s="1"/>
      <c r="AF1261">
        <v>0</v>
      </c>
      <c r="AG1261">
        <v>45</v>
      </c>
      <c r="AH1261">
        <v>165</v>
      </c>
      <c r="AI1261" s="2">
        <f>Table__192.168.3.138DYLAgingReport[[#This Row],[NetAmount]]-Table__192.168.3.138DYLAgingReport[[#This Row],[Paid]]</f>
        <v>22765</v>
      </c>
    </row>
    <row r="1262" spans="1:35">
      <c r="A1262" t="s">
        <v>2840</v>
      </c>
      <c r="B1262" s="1">
        <v>41060</v>
      </c>
      <c r="C1262" s="1">
        <v>41105</v>
      </c>
      <c r="D1262" t="s">
        <v>274</v>
      </c>
      <c r="E1262">
        <v>3000</v>
      </c>
      <c r="F1262">
        <v>320</v>
      </c>
      <c r="G1262">
        <v>0</v>
      </c>
      <c r="H1262">
        <v>0</v>
      </c>
      <c r="I1262">
        <v>120</v>
      </c>
      <c r="J1262">
        <v>2320</v>
      </c>
      <c r="K1262" t="s">
        <v>2841</v>
      </c>
      <c r="L1262" s="1">
        <v>41148</v>
      </c>
      <c r="N1262" t="s">
        <v>36</v>
      </c>
      <c r="O1262" t="s">
        <v>37</v>
      </c>
      <c r="P1262" t="s">
        <v>411</v>
      </c>
      <c r="Q1262" t="s">
        <v>39</v>
      </c>
      <c r="R1262" t="s">
        <v>40</v>
      </c>
      <c r="S1262">
        <v>0</v>
      </c>
      <c r="U1262" t="s">
        <v>41</v>
      </c>
      <c r="V1262" t="s">
        <v>42</v>
      </c>
      <c r="X1262" t="s">
        <v>74</v>
      </c>
      <c r="Y1262" t="b">
        <v>0</v>
      </c>
      <c r="Z1262" t="b">
        <v>0</v>
      </c>
      <c r="AC1262" s="1"/>
      <c r="AF1262">
        <v>0</v>
      </c>
      <c r="AG1262">
        <v>45</v>
      </c>
      <c r="AH1262">
        <v>165</v>
      </c>
      <c r="AI1262" s="2">
        <f>Table__192.168.3.138DYLAgingReport[[#This Row],[NetAmount]]-Table__192.168.3.138DYLAgingReport[[#This Row],[Paid]]</f>
        <v>2320</v>
      </c>
    </row>
    <row r="1263" spans="1:35">
      <c r="A1263" t="s">
        <v>2842</v>
      </c>
      <c r="B1263" s="1">
        <v>41101</v>
      </c>
      <c r="C1263" s="1">
        <v>41146</v>
      </c>
      <c r="D1263" t="s">
        <v>167</v>
      </c>
      <c r="E1263">
        <v>21840</v>
      </c>
      <c r="F1263">
        <v>3494</v>
      </c>
      <c r="G1263">
        <v>0</v>
      </c>
      <c r="H1263">
        <v>0</v>
      </c>
      <c r="I1263">
        <v>168</v>
      </c>
      <c r="J1263">
        <v>25334</v>
      </c>
      <c r="K1263" t="s">
        <v>2843</v>
      </c>
      <c r="L1263" s="1">
        <v>41100</v>
      </c>
      <c r="N1263" t="s">
        <v>36</v>
      </c>
      <c r="O1263" t="s">
        <v>37</v>
      </c>
      <c r="P1263" t="s">
        <v>304</v>
      </c>
      <c r="Q1263" t="s">
        <v>39</v>
      </c>
      <c r="R1263" t="s">
        <v>40</v>
      </c>
      <c r="S1263">
        <v>0</v>
      </c>
      <c r="U1263" t="s">
        <v>41</v>
      </c>
      <c r="V1263" t="s">
        <v>42</v>
      </c>
      <c r="X1263" t="s">
        <v>74</v>
      </c>
      <c r="Y1263" t="b">
        <v>0</v>
      </c>
      <c r="Z1263" t="b">
        <v>0</v>
      </c>
      <c r="AC1263" s="1"/>
      <c r="AF1263">
        <v>0</v>
      </c>
      <c r="AG1263">
        <v>45</v>
      </c>
      <c r="AH1263">
        <v>213</v>
      </c>
      <c r="AI1263" s="2">
        <f>Table__192.168.3.138DYLAgingReport[[#This Row],[NetAmount]]-Table__192.168.3.138DYLAgingReport[[#This Row],[Paid]]</f>
        <v>25334</v>
      </c>
    </row>
    <row r="1264" spans="1:35">
      <c r="A1264" t="s">
        <v>2844</v>
      </c>
      <c r="B1264" s="1">
        <v>41095</v>
      </c>
      <c r="C1264" s="1">
        <v>41140</v>
      </c>
      <c r="D1264" t="s">
        <v>227</v>
      </c>
      <c r="E1264">
        <v>430000</v>
      </c>
      <c r="F1264">
        <v>68800</v>
      </c>
      <c r="G1264">
        <v>0</v>
      </c>
      <c r="H1264">
        <v>0</v>
      </c>
      <c r="I1264">
        <v>170</v>
      </c>
      <c r="J1264">
        <v>498800</v>
      </c>
      <c r="K1264" t="s">
        <v>2845</v>
      </c>
      <c r="L1264" s="1">
        <v>41098</v>
      </c>
      <c r="N1264" t="s">
        <v>36</v>
      </c>
      <c r="O1264" t="s">
        <v>37</v>
      </c>
      <c r="P1264" t="s">
        <v>364</v>
      </c>
      <c r="Q1264" t="s">
        <v>39</v>
      </c>
      <c r="R1264" t="s">
        <v>40</v>
      </c>
      <c r="S1264">
        <v>0</v>
      </c>
      <c r="U1264" t="s">
        <v>41</v>
      </c>
      <c r="V1264" t="s">
        <v>42</v>
      </c>
      <c r="X1264" t="s">
        <v>74</v>
      </c>
      <c r="Y1264" t="b">
        <v>0</v>
      </c>
      <c r="Z1264" t="b">
        <v>0</v>
      </c>
      <c r="AC1264" s="1"/>
      <c r="AF1264">
        <v>0</v>
      </c>
      <c r="AG1264">
        <v>45</v>
      </c>
      <c r="AH1264">
        <v>215</v>
      </c>
      <c r="AI1264" s="2">
        <f>Table__192.168.3.138DYLAgingReport[[#This Row],[NetAmount]]-Table__192.168.3.138DYLAgingReport[[#This Row],[Paid]]</f>
        <v>498800</v>
      </c>
    </row>
    <row r="1265" spans="1:35">
      <c r="A1265" t="s">
        <v>2846</v>
      </c>
      <c r="B1265" s="1">
        <v>41104</v>
      </c>
      <c r="C1265" s="1">
        <v>41149</v>
      </c>
      <c r="D1265" t="s">
        <v>205</v>
      </c>
      <c r="E1265">
        <v>165000</v>
      </c>
      <c r="F1265">
        <v>26400</v>
      </c>
      <c r="G1265">
        <v>0</v>
      </c>
      <c r="H1265">
        <v>0</v>
      </c>
      <c r="I1265">
        <v>174</v>
      </c>
      <c r="J1265">
        <v>191400</v>
      </c>
      <c r="K1265" t="s">
        <v>2847</v>
      </c>
      <c r="L1265" s="1">
        <v>41094</v>
      </c>
      <c r="N1265" t="s">
        <v>36</v>
      </c>
      <c r="O1265" t="s">
        <v>37</v>
      </c>
      <c r="P1265" t="s">
        <v>342</v>
      </c>
      <c r="Q1265" t="s">
        <v>39</v>
      </c>
      <c r="R1265" t="s">
        <v>40</v>
      </c>
      <c r="S1265">
        <v>0</v>
      </c>
      <c r="U1265" t="s">
        <v>41</v>
      </c>
      <c r="V1265" t="s">
        <v>42</v>
      </c>
      <c r="X1265" t="s">
        <v>74</v>
      </c>
      <c r="Y1265" t="b">
        <v>0</v>
      </c>
      <c r="Z1265" t="b">
        <v>0</v>
      </c>
      <c r="AC1265" s="1"/>
      <c r="AF1265">
        <v>0</v>
      </c>
      <c r="AG1265">
        <v>45</v>
      </c>
      <c r="AH1265">
        <v>219</v>
      </c>
      <c r="AI1265" s="2">
        <f>Table__192.168.3.138DYLAgingReport[[#This Row],[NetAmount]]-Table__192.168.3.138DYLAgingReport[[#This Row],[Paid]]</f>
        <v>191400</v>
      </c>
    </row>
    <row r="1266" spans="1:35">
      <c r="A1266" t="s">
        <v>2848</v>
      </c>
      <c r="B1266" s="1">
        <v>41099</v>
      </c>
      <c r="C1266" s="1">
        <v>41144</v>
      </c>
      <c r="D1266" t="s">
        <v>176</v>
      </c>
      <c r="E1266">
        <v>18000</v>
      </c>
      <c r="F1266">
        <v>2880</v>
      </c>
      <c r="G1266">
        <v>0</v>
      </c>
      <c r="H1266">
        <v>0</v>
      </c>
      <c r="I1266">
        <v>171</v>
      </c>
      <c r="J1266">
        <v>20880</v>
      </c>
      <c r="K1266" t="s">
        <v>2849</v>
      </c>
      <c r="L1266" s="1">
        <v>41097</v>
      </c>
      <c r="M1266" t="s">
        <v>2850</v>
      </c>
      <c r="N1266" t="s">
        <v>36</v>
      </c>
      <c r="O1266" t="s">
        <v>37</v>
      </c>
      <c r="P1266" t="s">
        <v>313</v>
      </c>
      <c r="Q1266" t="s">
        <v>39</v>
      </c>
      <c r="R1266" t="s">
        <v>40</v>
      </c>
      <c r="S1266">
        <v>0</v>
      </c>
      <c r="U1266" t="s">
        <v>41</v>
      </c>
      <c r="V1266" t="s">
        <v>42</v>
      </c>
      <c r="W1266" t="s">
        <v>494</v>
      </c>
      <c r="X1266" t="s">
        <v>74</v>
      </c>
      <c r="Y1266" t="b">
        <v>0</v>
      </c>
      <c r="Z1266" t="b">
        <v>0</v>
      </c>
      <c r="AA1266" t="b">
        <v>0</v>
      </c>
      <c r="AC1266" s="1"/>
      <c r="AF1266">
        <v>0</v>
      </c>
      <c r="AG1266">
        <v>45</v>
      </c>
      <c r="AH1266">
        <v>216</v>
      </c>
      <c r="AI1266" s="2">
        <f>Table__192.168.3.138DYLAgingReport[[#This Row],[NetAmount]]-Table__192.168.3.138DYLAgingReport[[#This Row],[Paid]]</f>
        <v>20880</v>
      </c>
    </row>
    <row r="1267" spans="1:35">
      <c r="A1267" t="s">
        <v>2851</v>
      </c>
      <c r="B1267" s="1">
        <v>41093</v>
      </c>
      <c r="C1267" s="1">
        <v>41138</v>
      </c>
      <c r="D1267" t="s">
        <v>268</v>
      </c>
      <c r="E1267">
        <v>205000</v>
      </c>
      <c r="F1267">
        <v>32800</v>
      </c>
      <c r="G1267">
        <v>0</v>
      </c>
      <c r="H1267">
        <v>0</v>
      </c>
      <c r="I1267">
        <v>176</v>
      </c>
      <c r="J1267">
        <v>237800</v>
      </c>
      <c r="K1267" t="s">
        <v>925</v>
      </c>
      <c r="L1267" s="1">
        <v>41092</v>
      </c>
      <c r="N1267" t="s">
        <v>36</v>
      </c>
      <c r="O1267" t="s">
        <v>37</v>
      </c>
      <c r="P1267" t="s">
        <v>405</v>
      </c>
      <c r="Q1267" t="s">
        <v>39</v>
      </c>
      <c r="R1267" t="s">
        <v>40</v>
      </c>
      <c r="S1267">
        <v>0</v>
      </c>
      <c r="U1267" t="s">
        <v>41</v>
      </c>
      <c r="V1267" t="s">
        <v>42</v>
      </c>
      <c r="X1267" t="s">
        <v>74</v>
      </c>
      <c r="Y1267" t="b">
        <v>0</v>
      </c>
      <c r="Z1267" t="b">
        <v>0</v>
      </c>
      <c r="AC1267" s="1"/>
      <c r="AF1267">
        <v>0</v>
      </c>
      <c r="AG1267">
        <v>45</v>
      </c>
      <c r="AH1267">
        <v>221</v>
      </c>
      <c r="AI1267" s="2">
        <f>Table__192.168.3.138DYLAgingReport[[#This Row],[NetAmount]]-Table__192.168.3.138DYLAgingReport[[#This Row],[Paid]]</f>
        <v>237800</v>
      </c>
    </row>
    <row r="1268" spans="1:35">
      <c r="A1268" t="s">
        <v>2852</v>
      </c>
      <c r="B1268" s="1">
        <v>41095</v>
      </c>
      <c r="C1268" s="1">
        <v>41140</v>
      </c>
      <c r="D1268" t="s">
        <v>259</v>
      </c>
      <c r="E1268">
        <v>13265</v>
      </c>
      <c r="F1268">
        <v>2122</v>
      </c>
      <c r="G1268">
        <v>0</v>
      </c>
      <c r="H1268">
        <v>0</v>
      </c>
      <c r="I1268">
        <v>173</v>
      </c>
      <c r="J1268">
        <v>15387</v>
      </c>
      <c r="K1268" t="s">
        <v>2853</v>
      </c>
      <c r="L1268" s="1">
        <v>41095</v>
      </c>
      <c r="N1268" t="s">
        <v>36</v>
      </c>
      <c r="O1268" t="s">
        <v>37</v>
      </c>
      <c r="P1268" t="s">
        <v>396</v>
      </c>
      <c r="Q1268" t="s">
        <v>39</v>
      </c>
      <c r="R1268" t="s">
        <v>40</v>
      </c>
      <c r="S1268">
        <v>0</v>
      </c>
      <c r="U1268" t="s">
        <v>41</v>
      </c>
      <c r="V1268" t="s">
        <v>42</v>
      </c>
      <c r="X1268" t="s">
        <v>74</v>
      </c>
      <c r="Y1268" t="b">
        <v>0</v>
      </c>
      <c r="Z1268" t="b">
        <v>0</v>
      </c>
      <c r="AC1268" s="1"/>
      <c r="AF1268">
        <v>0</v>
      </c>
      <c r="AG1268">
        <v>45</v>
      </c>
      <c r="AH1268">
        <v>218</v>
      </c>
      <c r="AI1268" s="2">
        <f>Table__192.168.3.138DYLAgingReport[[#This Row],[NetAmount]]-Table__192.168.3.138DYLAgingReport[[#This Row],[Paid]]</f>
        <v>15387</v>
      </c>
    </row>
    <row r="1269" spans="1:35">
      <c r="A1269" t="s">
        <v>2854</v>
      </c>
      <c r="B1269" s="1">
        <v>41104</v>
      </c>
      <c r="C1269" s="1">
        <v>41149</v>
      </c>
      <c r="D1269" t="s">
        <v>197</v>
      </c>
      <c r="E1269">
        <v>120000</v>
      </c>
      <c r="F1269">
        <v>19200</v>
      </c>
      <c r="G1269">
        <v>0</v>
      </c>
      <c r="H1269">
        <v>0</v>
      </c>
      <c r="I1269">
        <v>171</v>
      </c>
      <c r="J1269">
        <v>139200</v>
      </c>
      <c r="K1269" t="s">
        <v>2855</v>
      </c>
      <c r="L1269" s="1">
        <v>41097</v>
      </c>
      <c r="N1269" t="s">
        <v>36</v>
      </c>
      <c r="O1269" t="s">
        <v>37</v>
      </c>
      <c r="P1269" t="s">
        <v>334</v>
      </c>
      <c r="Q1269" t="s">
        <v>39</v>
      </c>
      <c r="R1269" t="s">
        <v>40</v>
      </c>
      <c r="S1269">
        <v>0</v>
      </c>
      <c r="U1269" t="s">
        <v>41</v>
      </c>
      <c r="V1269" t="s">
        <v>42</v>
      </c>
      <c r="X1269" t="s">
        <v>74</v>
      </c>
      <c r="Y1269" t="b">
        <v>0</v>
      </c>
      <c r="Z1269" t="b">
        <v>0</v>
      </c>
      <c r="AB1269" t="s">
        <v>2856</v>
      </c>
      <c r="AC1269" s="1">
        <v>41227</v>
      </c>
      <c r="AD1269" t="s">
        <v>2857</v>
      </c>
      <c r="AE1269" t="s">
        <v>2858</v>
      </c>
      <c r="AF1269">
        <v>32389</v>
      </c>
      <c r="AG1269">
        <v>45</v>
      </c>
      <c r="AH1269">
        <v>216</v>
      </c>
      <c r="AI1269" s="2">
        <f>Table__192.168.3.138DYLAgingReport[[#This Row],[NetAmount]]-Table__192.168.3.138DYLAgingReport[[#This Row],[Paid]]</f>
        <v>106811</v>
      </c>
    </row>
    <row r="1270" spans="1:35">
      <c r="A1270" t="s">
        <v>2859</v>
      </c>
      <c r="B1270" s="1">
        <v>41101</v>
      </c>
      <c r="C1270" s="1">
        <v>41146</v>
      </c>
      <c r="D1270" t="s">
        <v>227</v>
      </c>
      <c r="E1270">
        <v>322500</v>
      </c>
      <c r="F1270">
        <v>51600</v>
      </c>
      <c r="G1270">
        <v>0</v>
      </c>
      <c r="H1270">
        <v>0</v>
      </c>
      <c r="I1270">
        <v>167</v>
      </c>
      <c r="J1270">
        <v>374100</v>
      </c>
      <c r="K1270" t="s">
        <v>2860</v>
      </c>
      <c r="L1270" s="1">
        <v>41101</v>
      </c>
      <c r="N1270" t="s">
        <v>36</v>
      </c>
      <c r="O1270" t="s">
        <v>37</v>
      </c>
      <c r="P1270" t="s">
        <v>364</v>
      </c>
      <c r="Q1270" t="s">
        <v>39</v>
      </c>
      <c r="R1270" t="s">
        <v>40</v>
      </c>
      <c r="S1270">
        <v>0</v>
      </c>
      <c r="U1270" t="s">
        <v>41</v>
      </c>
      <c r="V1270" t="s">
        <v>42</v>
      </c>
      <c r="X1270" t="s">
        <v>74</v>
      </c>
      <c r="Y1270" t="b">
        <v>0</v>
      </c>
      <c r="Z1270" t="b">
        <v>0</v>
      </c>
      <c r="AC1270" s="1"/>
      <c r="AF1270">
        <v>0</v>
      </c>
      <c r="AG1270">
        <v>45</v>
      </c>
      <c r="AH1270">
        <v>212</v>
      </c>
      <c r="AI1270" s="2">
        <f>Table__192.168.3.138DYLAgingReport[[#This Row],[NetAmount]]-Table__192.168.3.138DYLAgingReport[[#This Row],[Paid]]</f>
        <v>374100</v>
      </c>
    </row>
    <row r="1271" spans="1:35">
      <c r="A1271" t="s">
        <v>2861</v>
      </c>
      <c r="B1271" s="1">
        <v>41109</v>
      </c>
      <c r="C1271" s="1">
        <v>41154</v>
      </c>
      <c r="D1271" t="s">
        <v>220</v>
      </c>
      <c r="E1271">
        <v>248720</v>
      </c>
      <c r="F1271">
        <v>39795</v>
      </c>
      <c r="G1271">
        <v>0</v>
      </c>
      <c r="H1271">
        <v>0</v>
      </c>
      <c r="I1271">
        <v>160</v>
      </c>
      <c r="J1271">
        <v>288515</v>
      </c>
      <c r="K1271" t="s">
        <v>2862</v>
      </c>
      <c r="L1271" s="1">
        <v>41108</v>
      </c>
      <c r="N1271" t="s">
        <v>36</v>
      </c>
      <c r="O1271" t="s">
        <v>37</v>
      </c>
      <c r="P1271" t="s">
        <v>357</v>
      </c>
      <c r="Q1271" t="s">
        <v>39</v>
      </c>
      <c r="R1271" t="s">
        <v>40</v>
      </c>
      <c r="S1271">
        <v>0</v>
      </c>
      <c r="U1271" t="s">
        <v>41</v>
      </c>
      <c r="V1271" t="s">
        <v>42</v>
      </c>
      <c r="X1271" t="s">
        <v>74</v>
      </c>
      <c r="Y1271" t="b">
        <v>0</v>
      </c>
      <c r="Z1271" t="b">
        <v>0</v>
      </c>
      <c r="AC1271" s="1"/>
      <c r="AF1271">
        <v>0</v>
      </c>
      <c r="AG1271">
        <v>45</v>
      </c>
      <c r="AH1271">
        <v>205</v>
      </c>
      <c r="AI1271" s="2">
        <f>Table__192.168.3.138DYLAgingReport[[#This Row],[NetAmount]]-Table__192.168.3.138DYLAgingReport[[#This Row],[Paid]]</f>
        <v>288515</v>
      </c>
    </row>
    <row r="1272" spans="1:35">
      <c r="A1272" t="s">
        <v>2863</v>
      </c>
      <c r="B1272" s="1">
        <v>41095</v>
      </c>
      <c r="C1272" s="1">
        <v>41140</v>
      </c>
      <c r="D1272" t="s">
        <v>220</v>
      </c>
      <c r="E1272">
        <v>12000</v>
      </c>
      <c r="F1272">
        <v>1920</v>
      </c>
      <c r="G1272">
        <v>0</v>
      </c>
      <c r="H1272">
        <v>0</v>
      </c>
      <c r="I1272">
        <v>173</v>
      </c>
      <c r="J1272">
        <v>13920</v>
      </c>
      <c r="K1272" t="s">
        <v>2864</v>
      </c>
      <c r="L1272" s="1">
        <v>41095</v>
      </c>
      <c r="N1272" t="s">
        <v>36</v>
      </c>
      <c r="O1272" t="s">
        <v>37</v>
      </c>
      <c r="P1272" t="s">
        <v>357</v>
      </c>
      <c r="Q1272" t="s">
        <v>39</v>
      </c>
      <c r="R1272" t="s">
        <v>40</v>
      </c>
      <c r="S1272">
        <v>0</v>
      </c>
      <c r="U1272" t="s">
        <v>41</v>
      </c>
      <c r="V1272" t="s">
        <v>42</v>
      </c>
      <c r="X1272" t="s">
        <v>74</v>
      </c>
      <c r="Y1272" t="b">
        <v>0</v>
      </c>
      <c r="Z1272" t="b">
        <v>0</v>
      </c>
      <c r="AC1272" s="1"/>
      <c r="AF1272">
        <v>0</v>
      </c>
      <c r="AG1272">
        <v>45</v>
      </c>
      <c r="AH1272">
        <v>218</v>
      </c>
      <c r="AI1272" s="2">
        <f>Table__192.168.3.138DYLAgingReport[[#This Row],[NetAmount]]-Table__192.168.3.138DYLAgingReport[[#This Row],[Paid]]</f>
        <v>13920</v>
      </c>
    </row>
    <row r="1273" spans="1:35">
      <c r="A1273" t="s">
        <v>2865</v>
      </c>
      <c r="B1273" s="1">
        <v>41103</v>
      </c>
      <c r="C1273" s="1">
        <v>41148</v>
      </c>
      <c r="D1273" t="s">
        <v>194</v>
      </c>
      <c r="E1273">
        <v>27300</v>
      </c>
      <c r="F1273">
        <v>4368</v>
      </c>
      <c r="G1273">
        <v>0</v>
      </c>
      <c r="H1273">
        <v>0</v>
      </c>
      <c r="I1273">
        <v>165</v>
      </c>
      <c r="J1273">
        <v>31668</v>
      </c>
      <c r="K1273" t="s">
        <v>1236</v>
      </c>
      <c r="L1273" s="1">
        <v>41103</v>
      </c>
      <c r="N1273" t="s">
        <v>36</v>
      </c>
      <c r="O1273" t="s">
        <v>37</v>
      </c>
      <c r="P1273" t="s">
        <v>331</v>
      </c>
      <c r="Q1273" t="s">
        <v>39</v>
      </c>
      <c r="R1273" t="s">
        <v>40</v>
      </c>
      <c r="S1273">
        <v>0</v>
      </c>
      <c r="U1273" t="s">
        <v>41</v>
      </c>
      <c r="V1273" t="s">
        <v>42</v>
      </c>
      <c r="X1273" t="s">
        <v>74</v>
      </c>
      <c r="Y1273" t="b">
        <v>0</v>
      </c>
      <c r="Z1273" t="b">
        <v>0</v>
      </c>
      <c r="AC1273" s="1"/>
      <c r="AF1273">
        <v>0</v>
      </c>
      <c r="AG1273">
        <v>45</v>
      </c>
      <c r="AH1273">
        <v>210</v>
      </c>
      <c r="AI1273" s="2">
        <f>Table__192.168.3.138DYLAgingReport[[#This Row],[NetAmount]]-Table__192.168.3.138DYLAgingReport[[#This Row],[Paid]]</f>
        <v>31668</v>
      </c>
    </row>
    <row r="1274" spans="1:35">
      <c r="A1274" t="s">
        <v>2866</v>
      </c>
      <c r="B1274" s="1">
        <v>41103</v>
      </c>
      <c r="C1274" s="1">
        <v>41148</v>
      </c>
      <c r="D1274" t="s">
        <v>194</v>
      </c>
      <c r="E1274">
        <v>45100</v>
      </c>
      <c r="F1274">
        <v>7216</v>
      </c>
      <c r="G1274">
        <v>0</v>
      </c>
      <c r="H1274">
        <v>0</v>
      </c>
      <c r="I1274">
        <v>165</v>
      </c>
      <c r="J1274">
        <v>52316</v>
      </c>
      <c r="K1274" t="s">
        <v>2867</v>
      </c>
      <c r="L1274" s="1">
        <v>41103</v>
      </c>
      <c r="N1274" t="s">
        <v>36</v>
      </c>
      <c r="O1274" t="s">
        <v>37</v>
      </c>
      <c r="P1274" t="s">
        <v>331</v>
      </c>
      <c r="Q1274" t="s">
        <v>39</v>
      </c>
      <c r="R1274" t="s">
        <v>40</v>
      </c>
      <c r="S1274">
        <v>0</v>
      </c>
      <c r="U1274" t="s">
        <v>41</v>
      </c>
      <c r="V1274" t="s">
        <v>42</v>
      </c>
      <c r="X1274" t="s">
        <v>74</v>
      </c>
      <c r="Y1274" t="b">
        <v>0</v>
      </c>
      <c r="Z1274" t="b">
        <v>0</v>
      </c>
      <c r="AC1274" s="1"/>
      <c r="AF1274">
        <v>0</v>
      </c>
      <c r="AG1274">
        <v>45</v>
      </c>
      <c r="AH1274">
        <v>210</v>
      </c>
      <c r="AI1274" s="2">
        <f>Table__192.168.3.138DYLAgingReport[[#This Row],[NetAmount]]-Table__192.168.3.138DYLAgingReport[[#This Row],[Paid]]</f>
        <v>52316</v>
      </c>
    </row>
    <row r="1275" spans="1:35">
      <c r="A1275" t="s">
        <v>2868</v>
      </c>
      <c r="B1275" s="1">
        <v>41107</v>
      </c>
      <c r="C1275" s="1">
        <v>41152</v>
      </c>
      <c r="D1275" t="s">
        <v>202</v>
      </c>
      <c r="E1275">
        <v>33640</v>
      </c>
      <c r="F1275">
        <v>5383</v>
      </c>
      <c r="G1275">
        <v>0</v>
      </c>
      <c r="H1275">
        <v>0</v>
      </c>
      <c r="I1275">
        <v>169</v>
      </c>
      <c r="J1275">
        <v>39023</v>
      </c>
      <c r="K1275" t="s">
        <v>889</v>
      </c>
      <c r="L1275" s="1">
        <v>41099</v>
      </c>
      <c r="N1275" t="s">
        <v>36</v>
      </c>
      <c r="O1275" t="s">
        <v>37</v>
      </c>
      <c r="P1275" t="s">
        <v>339</v>
      </c>
      <c r="Q1275" t="s">
        <v>39</v>
      </c>
      <c r="R1275" t="s">
        <v>40</v>
      </c>
      <c r="S1275">
        <v>0</v>
      </c>
      <c r="U1275" t="s">
        <v>41</v>
      </c>
      <c r="V1275" t="s">
        <v>42</v>
      </c>
      <c r="X1275" t="s">
        <v>74</v>
      </c>
      <c r="Y1275" t="b">
        <v>0</v>
      </c>
      <c r="Z1275" t="b">
        <v>0</v>
      </c>
      <c r="AC1275" s="1"/>
      <c r="AF1275">
        <v>0</v>
      </c>
      <c r="AG1275">
        <v>45</v>
      </c>
      <c r="AH1275">
        <v>214</v>
      </c>
      <c r="AI1275" s="2">
        <f>Table__192.168.3.138DYLAgingReport[[#This Row],[NetAmount]]-Table__192.168.3.138DYLAgingReport[[#This Row],[Paid]]</f>
        <v>39023</v>
      </c>
    </row>
    <row r="1276" spans="1:35">
      <c r="A1276" t="s">
        <v>2869</v>
      </c>
      <c r="B1276" s="1">
        <v>41108</v>
      </c>
      <c r="C1276" s="1">
        <v>41153</v>
      </c>
      <c r="D1276" t="s">
        <v>227</v>
      </c>
      <c r="E1276">
        <v>664800</v>
      </c>
      <c r="F1276">
        <v>106368</v>
      </c>
      <c r="G1276">
        <v>0</v>
      </c>
      <c r="H1276">
        <v>0</v>
      </c>
      <c r="I1276">
        <v>161</v>
      </c>
      <c r="J1276">
        <v>771168</v>
      </c>
      <c r="K1276" t="s">
        <v>895</v>
      </c>
      <c r="L1276" s="1">
        <v>41107</v>
      </c>
      <c r="N1276" t="s">
        <v>36</v>
      </c>
      <c r="O1276" t="s">
        <v>37</v>
      </c>
      <c r="P1276" t="s">
        <v>364</v>
      </c>
      <c r="Q1276" t="s">
        <v>39</v>
      </c>
      <c r="R1276" t="s">
        <v>40</v>
      </c>
      <c r="S1276">
        <v>0</v>
      </c>
      <c r="U1276" t="s">
        <v>41</v>
      </c>
      <c r="V1276" t="s">
        <v>42</v>
      </c>
      <c r="X1276" t="s">
        <v>74</v>
      </c>
      <c r="Y1276" t="b">
        <v>0</v>
      </c>
      <c r="Z1276" t="b">
        <v>0</v>
      </c>
      <c r="AC1276" s="1"/>
      <c r="AF1276">
        <v>0</v>
      </c>
      <c r="AG1276">
        <v>45</v>
      </c>
      <c r="AH1276">
        <v>206</v>
      </c>
      <c r="AI1276" s="2">
        <f>Table__192.168.3.138DYLAgingReport[[#This Row],[NetAmount]]-Table__192.168.3.138DYLAgingReport[[#This Row],[Paid]]</f>
        <v>771168</v>
      </c>
    </row>
    <row r="1277" spans="1:35">
      <c r="A1277" t="s">
        <v>2870</v>
      </c>
      <c r="B1277" s="1">
        <v>41103</v>
      </c>
      <c r="C1277" s="1">
        <v>41148</v>
      </c>
      <c r="D1277" t="s">
        <v>227</v>
      </c>
      <c r="E1277">
        <v>220000</v>
      </c>
      <c r="F1277">
        <v>35200</v>
      </c>
      <c r="G1277">
        <v>0</v>
      </c>
      <c r="H1277">
        <v>0</v>
      </c>
      <c r="I1277">
        <v>165</v>
      </c>
      <c r="J1277">
        <v>255200</v>
      </c>
      <c r="K1277" t="s">
        <v>2871</v>
      </c>
      <c r="L1277" s="1">
        <v>41103</v>
      </c>
      <c r="N1277" t="s">
        <v>36</v>
      </c>
      <c r="O1277" t="s">
        <v>37</v>
      </c>
      <c r="P1277" t="s">
        <v>364</v>
      </c>
      <c r="Q1277" t="s">
        <v>39</v>
      </c>
      <c r="R1277" t="s">
        <v>40</v>
      </c>
      <c r="S1277">
        <v>0</v>
      </c>
      <c r="U1277" t="s">
        <v>41</v>
      </c>
      <c r="V1277" t="s">
        <v>42</v>
      </c>
      <c r="X1277" t="s">
        <v>74</v>
      </c>
      <c r="Y1277" t="b">
        <v>0</v>
      </c>
      <c r="Z1277" t="b">
        <v>0</v>
      </c>
      <c r="AC1277" s="1"/>
      <c r="AF1277">
        <v>0</v>
      </c>
      <c r="AG1277">
        <v>45</v>
      </c>
      <c r="AH1277">
        <v>210</v>
      </c>
      <c r="AI1277" s="2">
        <f>Table__192.168.3.138DYLAgingReport[[#This Row],[NetAmount]]-Table__192.168.3.138DYLAgingReport[[#This Row],[Paid]]</f>
        <v>255200</v>
      </c>
    </row>
    <row r="1278" spans="1:35">
      <c r="A1278" t="s">
        <v>2872</v>
      </c>
      <c r="B1278" s="1">
        <v>41106</v>
      </c>
      <c r="C1278" s="1">
        <v>41151</v>
      </c>
      <c r="D1278" t="s">
        <v>227</v>
      </c>
      <c r="E1278">
        <v>60000</v>
      </c>
      <c r="F1278">
        <v>9600</v>
      </c>
      <c r="G1278">
        <v>0</v>
      </c>
      <c r="H1278">
        <v>0</v>
      </c>
      <c r="I1278">
        <v>164</v>
      </c>
      <c r="J1278">
        <v>69600</v>
      </c>
      <c r="K1278" t="s">
        <v>2873</v>
      </c>
      <c r="L1278" s="1">
        <v>41104</v>
      </c>
      <c r="N1278" t="s">
        <v>36</v>
      </c>
      <c r="O1278" t="s">
        <v>37</v>
      </c>
      <c r="P1278" t="s">
        <v>364</v>
      </c>
      <c r="Q1278" t="s">
        <v>39</v>
      </c>
      <c r="R1278" t="s">
        <v>40</v>
      </c>
      <c r="S1278">
        <v>0</v>
      </c>
      <c r="U1278" t="s">
        <v>41</v>
      </c>
      <c r="V1278" t="s">
        <v>42</v>
      </c>
      <c r="X1278" t="s">
        <v>74</v>
      </c>
      <c r="Y1278" t="b">
        <v>0</v>
      </c>
      <c r="Z1278" t="b">
        <v>0</v>
      </c>
      <c r="AC1278" s="1"/>
      <c r="AF1278">
        <v>0</v>
      </c>
      <c r="AG1278">
        <v>45</v>
      </c>
      <c r="AH1278">
        <v>209</v>
      </c>
      <c r="AI1278" s="2">
        <f>Table__192.168.3.138DYLAgingReport[[#This Row],[NetAmount]]-Table__192.168.3.138DYLAgingReport[[#This Row],[Paid]]</f>
        <v>69600</v>
      </c>
    </row>
    <row r="1279" spans="1:35">
      <c r="A1279" t="s">
        <v>2874</v>
      </c>
      <c r="B1279" s="1">
        <v>41107</v>
      </c>
      <c r="C1279" s="1">
        <v>41152</v>
      </c>
      <c r="D1279" t="s">
        <v>207</v>
      </c>
      <c r="E1279">
        <v>123821</v>
      </c>
      <c r="F1279">
        <v>19812</v>
      </c>
      <c r="G1279">
        <v>0</v>
      </c>
      <c r="H1279">
        <v>0</v>
      </c>
      <c r="I1279">
        <v>168</v>
      </c>
      <c r="J1279">
        <v>143633</v>
      </c>
      <c r="K1279" t="s">
        <v>1021</v>
      </c>
      <c r="L1279" s="1">
        <v>41100</v>
      </c>
      <c r="N1279" t="s">
        <v>36</v>
      </c>
      <c r="O1279" t="s">
        <v>37</v>
      </c>
      <c r="P1279" t="s">
        <v>344</v>
      </c>
      <c r="Q1279" t="s">
        <v>39</v>
      </c>
      <c r="R1279" t="s">
        <v>40</v>
      </c>
      <c r="S1279">
        <v>0</v>
      </c>
      <c r="U1279" t="s">
        <v>41</v>
      </c>
      <c r="V1279" t="s">
        <v>42</v>
      </c>
      <c r="X1279" t="s">
        <v>74</v>
      </c>
      <c r="Y1279" t="b">
        <v>0</v>
      </c>
      <c r="Z1279" t="b">
        <v>0</v>
      </c>
      <c r="AC1279" s="1"/>
      <c r="AF1279">
        <v>0</v>
      </c>
      <c r="AG1279">
        <v>45</v>
      </c>
      <c r="AH1279">
        <v>213</v>
      </c>
      <c r="AI1279" s="2">
        <f>Table__192.168.3.138DYLAgingReport[[#This Row],[NetAmount]]-Table__192.168.3.138DYLAgingReport[[#This Row],[Paid]]</f>
        <v>143633</v>
      </c>
    </row>
    <row r="1280" spans="1:35">
      <c r="A1280" t="s">
        <v>2875</v>
      </c>
      <c r="B1280" s="1">
        <v>41107</v>
      </c>
      <c r="C1280" s="1">
        <v>41152</v>
      </c>
      <c r="D1280" t="s">
        <v>246</v>
      </c>
      <c r="E1280">
        <v>348000</v>
      </c>
      <c r="F1280">
        <v>55680</v>
      </c>
      <c r="G1280">
        <v>0</v>
      </c>
      <c r="H1280">
        <v>0</v>
      </c>
      <c r="I1280">
        <v>166</v>
      </c>
      <c r="J1280">
        <v>403680</v>
      </c>
      <c r="K1280" t="s">
        <v>1216</v>
      </c>
      <c r="L1280" s="1">
        <v>41102</v>
      </c>
      <c r="N1280" t="s">
        <v>36</v>
      </c>
      <c r="O1280" t="s">
        <v>37</v>
      </c>
      <c r="P1280" t="s">
        <v>383</v>
      </c>
      <c r="Q1280" t="s">
        <v>39</v>
      </c>
      <c r="R1280" t="s">
        <v>40</v>
      </c>
      <c r="S1280">
        <v>0</v>
      </c>
      <c r="U1280" t="s">
        <v>41</v>
      </c>
      <c r="V1280" t="s">
        <v>42</v>
      </c>
      <c r="X1280" t="s">
        <v>74</v>
      </c>
      <c r="Y1280" t="b">
        <v>0</v>
      </c>
      <c r="Z1280" t="b">
        <v>0</v>
      </c>
      <c r="AB1280" t="s">
        <v>2876</v>
      </c>
      <c r="AC1280" s="1">
        <v>41204</v>
      </c>
      <c r="AD1280" t="s">
        <v>2877</v>
      </c>
      <c r="AE1280" t="s">
        <v>2878</v>
      </c>
      <c r="AF1280">
        <v>401766</v>
      </c>
      <c r="AG1280">
        <v>45</v>
      </c>
      <c r="AH1280">
        <v>211</v>
      </c>
      <c r="AI1280" s="2">
        <f>Table__192.168.3.138DYLAgingReport[[#This Row],[NetAmount]]-Table__192.168.3.138DYLAgingReport[[#This Row],[Paid]]</f>
        <v>1914</v>
      </c>
    </row>
    <row r="1281" spans="1:35">
      <c r="A1281" t="s">
        <v>2879</v>
      </c>
      <c r="B1281" s="1">
        <v>41106</v>
      </c>
      <c r="C1281" s="1">
        <v>41151</v>
      </c>
      <c r="D1281" t="s">
        <v>201</v>
      </c>
      <c r="E1281">
        <v>14030</v>
      </c>
      <c r="F1281">
        <v>2245</v>
      </c>
      <c r="G1281">
        <v>0</v>
      </c>
      <c r="H1281">
        <v>0</v>
      </c>
      <c r="I1281">
        <v>167</v>
      </c>
      <c r="J1281">
        <v>16275</v>
      </c>
      <c r="K1281" t="s">
        <v>1019</v>
      </c>
      <c r="L1281" s="1">
        <v>41101</v>
      </c>
      <c r="N1281" t="s">
        <v>36</v>
      </c>
      <c r="O1281" t="s">
        <v>37</v>
      </c>
      <c r="P1281" t="s">
        <v>338</v>
      </c>
      <c r="Q1281" t="s">
        <v>39</v>
      </c>
      <c r="R1281" t="s">
        <v>40</v>
      </c>
      <c r="S1281">
        <v>0</v>
      </c>
      <c r="U1281" t="s">
        <v>41</v>
      </c>
      <c r="V1281" t="s">
        <v>42</v>
      </c>
      <c r="X1281" t="s">
        <v>74</v>
      </c>
      <c r="Y1281" t="b">
        <v>0</v>
      </c>
      <c r="Z1281" t="b">
        <v>0</v>
      </c>
      <c r="AB1281" t="s">
        <v>485</v>
      </c>
      <c r="AC1281" s="1">
        <v>41236</v>
      </c>
      <c r="AF1281">
        <v>0</v>
      </c>
      <c r="AG1281">
        <v>45</v>
      </c>
      <c r="AH1281">
        <v>212</v>
      </c>
      <c r="AI1281" s="2">
        <f>Table__192.168.3.138DYLAgingReport[[#This Row],[NetAmount]]-Table__192.168.3.138DYLAgingReport[[#This Row],[Paid]]</f>
        <v>16275</v>
      </c>
    </row>
    <row r="1282" spans="1:35">
      <c r="A1282" t="s">
        <v>2880</v>
      </c>
      <c r="B1282" s="1">
        <v>41095</v>
      </c>
      <c r="C1282" s="1">
        <v>41140</v>
      </c>
      <c r="D1282" t="s">
        <v>174</v>
      </c>
      <c r="E1282">
        <v>39000</v>
      </c>
      <c r="F1282">
        <v>6240</v>
      </c>
      <c r="G1282">
        <v>0</v>
      </c>
      <c r="H1282">
        <v>0</v>
      </c>
      <c r="I1282">
        <v>173</v>
      </c>
      <c r="J1282">
        <v>45240</v>
      </c>
      <c r="K1282" t="s">
        <v>2881</v>
      </c>
      <c r="L1282" s="1">
        <v>41095</v>
      </c>
      <c r="N1282" t="s">
        <v>36</v>
      </c>
      <c r="O1282" t="s">
        <v>37</v>
      </c>
      <c r="P1282" t="s">
        <v>311</v>
      </c>
      <c r="Q1282" t="s">
        <v>39</v>
      </c>
      <c r="R1282" t="s">
        <v>40</v>
      </c>
      <c r="S1282">
        <v>0</v>
      </c>
      <c r="U1282" t="s">
        <v>41</v>
      </c>
      <c r="V1282" t="s">
        <v>42</v>
      </c>
      <c r="X1282" t="s">
        <v>74</v>
      </c>
      <c r="Y1282" t="b">
        <v>0</v>
      </c>
      <c r="Z1282" t="b">
        <v>0</v>
      </c>
      <c r="AC1282" s="1"/>
      <c r="AF1282">
        <v>0</v>
      </c>
      <c r="AG1282">
        <v>45</v>
      </c>
      <c r="AH1282">
        <v>218</v>
      </c>
      <c r="AI1282" s="2">
        <f>Table__192.168.3.138DYLAgingReport[[#This Row],[NetAmount]]-Table__192.168.3.138DYLAgingReport[[#This Row],[Paid]]</f>
        <v>45240</v>
      </c>
    </row>
    <row r="1283" spans="1:35">
      <c r="A1283" t="s">
        <v>2882</v>
      </c>
      <c r="B1283" s="1">
        <v>41103</v>
      </c>
      <c r="C1283" s="1">
        <v>41148</v>
      </c>
      <c r="D1283" t="s">
        <v>174</v>
      </c>
      <c r="E1283">
        <v>96180</v>
      </c>
      <c r="F1283">
        <v>15389</v>
      </c>
      <c r="G1283">
        <v>0</v>
      </c>
      <c r="H1283">
        <v>0</v>
      </c>
      <c r="I1283">
        <v>165</v>
      </c>
      <c r="J1283">
        <v>111569</v>
      </c>
      <c r="K1283" t="s">
        <v>2883</v>
      </c>
      <c r="L1283" s="1">
        <v>41103</v>
      </c>
      <c r="N1283" t="s">
        <v>36</v>
      </c>
      <c r="O1283" t="s">
        <v>37</v>
      </c>
      <c r="P1283" t="s">
        <v>311</v>
      </c>
      <c r="Q1283" t="s">
        <v>39</v>
      </c>
      <c r="R1283" t="s">
        <v>40</v>
      </c>
      <c r="S1283">
        <v>0</v>
      </c>
      <c r="U1283" t="s">
        <v>41</v>
      </c>
      <c r="V1283" t="s">
        <v>42</v>
      </c>
      <c r="X1283" t="s">
        <v>74</v>
      </c>
      <c r="Y1283" t="b">
        <v>0</v>
      </c>
      <c r="Z1283" t="b">
        <v>0</v>
      </c>
      <c r="AC1283" s="1"/>
      <c r="AF1283">
        <v>0</v>
      </c>
      <c r="AG1283">
        <v>45</v>
      </c>
      <c r="AH1283">
        <v>210</v>
      </c>
      <c r="AI1283" s="2">
        <f>Table__192.168.3.138DYLAgingReport[[#This Row],[NetAmount]]-Table__192.168.3.138DYLAgingReport[[#This Row],[Paid]]</f>
        <v>111569</v>
      </c>
    </row>
    <row r="1284" spans="1:35">
      <c r="A1284" t="s">
        <v>2884</v>
      </c>
      <c r="B1284" s="1">
        <v>41106</v>
      </c>
      <c r="C1284" s="1">
        <v>41151</v>
      </c>
      <c r="D1284" t="s">
        <v>174</v>
      </c>
      <c r="E1284">
        <v>226029</v>
      </c>
      <c r="F1284">
        <v>36165</v>
      </c>
      <c r="G1284">
        <v>0</v>
      </c>
      <c r="H1284">
        <v>0</v>
      </c>
      <c r="I1284">
        <v>166</v>
      </c>
      <c r="J1284">
        <v>262194</v>
      </c>
      <c r="K1284" t="s">
        <v>2885</v>
      </c>
      <c r="L1284" s="1">
        <v>41102</v>
      </c>
      <c r="N1284" t="s">
        <v>36</v>
      </c>
      <c r="O1284" t="s">
        <v>37</v>
      </c>
      <c r="P1284" t="s">
        <v>311</v>
      </c>
      <c r="Q1284" t="s">
        <v>39</v>
      </c>
      <c r="R1284" t="s">
        <v>40</v>
      </c>
      <c r="S1284">
        <v>0</v>
      </c>
      <c r="U1284" t="s">
        <v>41</v>
      </c>
      <c r="V1284" t="s">
        <v>42</v>
      </c>
      <c r="X1284" t="s">
        <v>74</v>
      </c>
      <c r="Y1284" t="b">
        <v>0</v>
      </c>
      <c r="Z1284" t="b">
        <v>0</v>
      </c>
      <c r="AC1284" s="1"/>
      <c r="AF1284">
        <v>0</v>
      </c>
      <c r="AG1284">
        <v>45</v>
      </c>
      <c r="AH1284">
        <v>211</v>
      </c>
      <c r="AI1284" s="2">
        <f>Table__192.168.3.138DYLAgingReport[[#This Row],[NetAmount]]-Table__192.168.3.138DYLAgingReport[[#This Row],[Paid]]</f>
        <v>262194</v>
      </c>
    </row>
    <row r="1285" spans="1:35">
      <c r="A1285" t="s">
        <v>2886</v>
      </c>
      <c r="B1285" s="1">
        <v>41109</v>
      </c>
      <c r="C1285" s="1">
        <v>41154</v>
      </c>
      <c r="D1285" t="s">
        <v>174</v>
      </c>
      <c r="E1285">
        <v>28854</v>
      </c>
      <c r="F1285">
        <v>4617</v>
      </c>
      <c r="G1285">
        <v>0</v>
      </c>
      <c r="H1285">
        <v>0</v>
      </c>
      <c r="I1285">
        <v>160</v>
      </c>
      <c r="J1285">
        <v>33471</v>
      </c>
      <c r="K1285" t="s">
        <v>2887</v>
      </c>
      <c r="L1285" s="1">
        <v>41108</v>
      </c>
      <c r="N1285" t="s">
        <v>36</v>
      </c>
      <c r="O1285" t="s">
        <v>37</v>
      </c>
      <c r="P1285" t="s">
        <v>311</v>
      </c>
      <c r="Q1285" t="s">
        <v>39</v>
      </c>
      <c r="R1285" t="s">
        <v>40</v>
      </c>
      <c r="S1285">
        <v>0</v>
      </c>
      <c r="U1285" t="s">
        <v>41</v>
      </c>
      <c r="V1285" t="s">
        <v>42</v>
      </c>
      <c r="X1285" t="s">
        <v>74</v>
      </c>
      <c r="Y1285" t="b">
        <v>0</v>
      </c>
      <c r="Z1285" t="b">
        <v>0</v>
      </c>
      <c r="AC1285" s="1"/>
      <c r="AF1285">
        <v>0</v>
      </c>
      <c r="AG1285">
        <v>45</v>
      </c>
      <c r="AH1285">
        <v>205</v>
      </c>
      <c r="AI1285" s="2">
        <f>Table__192.168.3.138DYLAgingReport[[#This Row],[NetAmount]]-Table__192.168.3.138DYLAgingReport[[#This Row],[Paid]]</f>
        <v>33471</v>
      </c>
    </row>
    <row r="1286" spans="1:35">
      <c r="A1286" t="s">
        <v>2888</v>
      </c>
      <c r="B1286" s="1">
        <v>41109</v>
      </c>
      <c r="C1286" s="1">
        <v>41154</v>
      </c>
      <c r="D1286" t="s">
        <v>174</v>
      </c>
      <c r="E1286">
        <v>122200</v>
      </c>
      <c r="F1286">
        <v>19552</v>
      </c>
      <c r="G1286">
        <v>0</v>
      </c>
      <c r="H1286">
        <v>0</v>
      </c>
      <c r="I1286">
        <v>160</v>
      </c>
      <c r="J1286">
        <v>141752</v>
      </c>
      <c r="K1286" t="s">
        <v>2889</v>
      </c>
      <c r="L1286" s="1">
        <v>41108</v>
      </c>
      <c r="N1286" t="s">
        <v>36</v>
      </c>
      <c r="O1286" t="s">
        <v>37</v>
      </c>
      <c r="P1286" t="s">
        <v>311</v>
      </c>
      <c r="Q1286" t="s">
        <v>39</v>
      </c>
      <c r="R1286" t="s">
        <v>40</v>
      </c>
      <c r="S1286">
        <v>0</v>
      </c>
      <c r="U1286" t="s">
        <v>41</v>
      </c>
      <c r="V1286" t="s">
        <v>42</v>
      </c>
      <c r="X1286" t="s">
        <v>74</v>
      </c>
      <c r="Y1286" t="b">
        <v>0</v>
      </c>
      <c r="Z1286" t="b">
        <v>0</v>
      </c>
      <c r="AC1286" s="1"/>
      <c r="AF1286">
        <v>0</v>
      </c>
      <c r="AG1286">
        <v>45</v>
      </c>
      <c r="AH1286">
        <v>205</v>
      </c>
      <c r="AI1286" s="2">
        <f>Table__192.168.3.138DYLAgingReport[[#This Row],[NetAmount]]-Table__192.168.3.138DYLAgingReport[[#This Row],[Paid]]</f>
        <v>141752</v>
      </c>
    </row>
    <row r="1287" spans="1:35">
      <c r="A1287" t="s">
        <v>2890</v>
      </c>
      <c r="B1287" s="1">
        <v>41109</v>
      </c>
      <c r="C1287" s="1">
        <v>41154</v>
      </c>
      <c r="D1287" t="s">
        <v>227</v>
      </c>
      <c r="E1287">
        <v>234200</v>
      </c>
      <c r="F1287">
        <v>37472</v>
      </c>
      <c r="G1287">
        <v>0</v>
      </c>
      <c r="H1287">
        <v>0</v>
      </c>
      <c r="I1287">
        <v>160</v>
      </c>
      <c r="J1287">
        <v>271672</v>
      </c>
      <c r="K1287" t="s">
        <v>2891</v>
      </c>
      <c r="L1287" s="1">
        <v>41108</v>
      </c>
      <c r="N1287" t="s">
        <v>36</v>
      </c>
      <c r="O1287" t="s">
        <v>37</v>
      </c>
      <c r="P1287" t="s">
        <v>364</v>
      </c>
      <c r="Q1287" t="s">
        <v>39</v>
      </c>
      <c r="R1287" t="s">
        <v>40</v>
      </c>
      <c r="S1287">
        <v>0</v>
      </c>
      <c r="U1287" t="s">
        <v>41</v>
      </c>
      <c r="V1287" t="s">
        <v>42</v>
      </c>
      <c r="X1287" t="s">
        <v>74</v>
      </c>
      <c r="Y1287" t="b">
        <v>0</v>
      </c>
      <c r="Z1287" t="b">
        <v>0</v>
      </c>
      <c r="AC1287" s="1"/>
      <c r="AF1287">
        <v>0</v>
      </c>
      <c r="AG1287">
        <v>45</v>
      </c>
      <c r="AH1287">
        <v>205</v>
      </c>
      <c r="AI1287" s="2">
        <f>Table__192.168.3.138DYLAgingReport[[#This Row],[NetAmount]]-Table__192.168.3.138DYLAgingReport[[#This Row],[Paid]]</f>
        <v>271672</v>
      </c>
    </row>
    <row r="1288" spans="1:35">
      <c r="A1288" t="s">
        <v>2892</v>
      </c>
      <c r="B1288" s="1">
        <v>41093</v>
      </c>
      <c r="C1288" s="1">
        <v>41138</v>
      </c>
      <c r="D1288" t="s">
        <v>268</v>
      </c>
      <c r="E1288">
        <v>13050</v>
      </c>
      <c r="F1288">
        <v>2088</v>
      </c>
      <c r="G1288">
        <v>0</v>
      </c>
      <c r="H1288">
        <v>0</v>
      </c>
      <c r="I1288">
        <v>176</v>
      </c>
      <c r="J1288">
        <v>15138</v>
      </c>
      <c r="K1288" t="s">
        <v>2893</v>
      </c>
      <c r="L1288" s="1">
        <v>41092</v>
      </c>
      <c r="N1288" t="s">
        <v>36</v>
      </c>
      <c r="O1288" t="s">
        <v>37</v>
      </c>
      <c r="P1288" t="s">
        <v>405</v>
      </c>
      <c r="Q1288" t="s">
        <v>39</v>
      </c>
      <c r="R1288" t="s">
        <v>40</v>
      </c>
      <c r="S1288">
        <v>0</v>
      </c>
      <c r="U1288" t="s">
        <v>41</v>
      </c>
      <c r="V1288" t="s">
        <v>42</v>
      </c>
      <c r="X1288" t="s">
        <v>74</v>
      </c>
      <c r="Y1288" t="b">
        <v>0</v>
      </c>
      <c r="Z1288" t="b">
        <v>0</v>
      </c>
      <c r="AC1288" s="1"/>
      <c r="AF1288">
        <v>0</v>
      </c>
      <c r="AG1288">
        <v>45</v>
      </c>
      <c r="AH1288">
        <v>221</v>
      </c>
      <c r="AI1288" s="2">
        <f>Table__192.168.3.138DYLAgingReport[[#This Row],[NetAmount]]-Table__192.168.3.138DYLAgingReport[[#This Row],[Paid]]</f>
        <v>15138</v>
      </c>
    </row>
    <row r="1289" spans="1:35">
      <c r="A1289" t="s">
        <v>2894</v>
      </c>
      <c r="B1289" s="1">
        <v>41094</v>
      </c>
      <c r="C1289" s="1">
        <v>41139</v>
      </c>
      <c r="D1289" t="s">
        <v>227</v>
      </c>
      <c r="E1289">
        <v>36000</v>
      </c>
      <c r="F1289">
        <v>5760</v>
      </c>
      <c r="G1289">
        <v>0</v>
      </c>
      <c r="H1289">
        <v>0</v>
      </c>
      <c r="I1289">
        <v>175</v>
      </c>
      <c r="J1289">
        <v>41760</v>
      </c>
      <c r="K1289" t="s">
        <v>2895</v>
      </c>
      <c r="L1289" s="1">
        <v>41093</v>
      </c>
      <c r="N1289" t="s">
        <v>36</v>
      </c>
      <c r="O1289" t="s">
        <v>37</v>
      </c>
      <c r="P1289" t="s">
        <v>364</v>
      </c>
      <c r="Q1289" t="s">
        <v>39</v>
      </c>
      <c r="R1289" t="s">
        <v>40</v>
      </c>
      <c r="S1289">
        <v>0</v>
      </c>
      <c r="U1289" t="s">
        <v>41</v>
      </c>
      <c r="V1289" t="s">
        <v>42</v>
      </c>
      <c r="X1289" t="s">
        <v>74</v>
      </c>
      <c r="Y1289" t="b">
        <v>0</v>
      </c>
      <c r="Z1289" t="b">
        <v>0</v>
      </c>
      <c r="AC1289" s="1"/>
      <c r="AF1289">
        <v>0</v>
      </c>
      <c r="AG1289">
        <v>45</v>
      </c>
      <c r="AH1289">
        <v>220</v>
      </c>
      <c r="AI1289" s="2">
        <f>Table__192.168.3.138DYLAgingReport[[#This Row],[NetAmount]]-Table__192.168.3.138DYLAgingReport[[#This Row],[Paid]]</f>
        <v>41760</v>
      </c>
    </row>
    <row r="1290" spans="1:35">
      <c r="A1290" t="s">
        <v>2896</v>
      </c>
      <c r="B1290" s="1">
        <v>41110</v>
      </c>
      <c r="C1290" s="1">
        <v>41155</v>
      </c>
      <c r="D1290" t="s">
        <v>167</v>
      </c>
      <c r="E1290">
        <v>11976</v>
      </c>
      <c r="F1290">
        <v>1916</v>
      </c>
      <c r="G1290">
        <v>0</v>
      </c>
      <c r="H1290">
        <v>0</v>
      </c>
      <c r="I1290">
        <v>159</v>
      </c>
      <c r="J1290">
        <v>13892</v>
      </c>
      <c r="K1290" t="s">
        <v>2897</v>
      </c>
      <c r="L1290" s="1">
        <v>41109</v>
      </c>
      <c r="N1290" t="s">
        <v>36</v>
      </c>
      <c r="O1290" t="s">
        <v>37</v>
      </c>
      <c r="P1290" t="s">
        <v>304</v>
      </c>
      <c r="Q1290" t="s">
        <v>39</v>
      </c>
      <c r="R1290" t="s">
        <v>40</v>
      </c>
      <c r="S1290">
        <v>0</v>
      </c>
      <c r="U1290" t="s">
        <v>41</v>
      </c>
      <c r="V1290" t="s">
        <v>42</v>
      </c>
      <c r="X1290" t="s">
        <v>74</v>
      </c>
      <c r="Y1290" t="b">
        <v>0</v>
      </c>
      <c r="Z1290" t="b">
        <v>0</v>
      </c>
      <c r="AC1290" s="1"/>
      <c r="AF1290">
        <v>0</v>
      </c>
      <c r="AG1290">
        <v>45</v>
      </c>
      <c r="AH1290">
        <v>204</v>
      </c>
      <c r="AI1290" s="2">
        <f>Table__192.168.3.138DYLAgingReport[[#This Row],[NetAmount]]-Table__192.168.3.138DYLAgingReport[[#This Row],[Paid]]</f>
        <v>13892</v>
      </c>
    </row>
    <row r="1291" spans="1:35">
      <c r="A1291" t="s">
        <v>2898</v>
      </c>
      <c r="B1291" s="1">
        <v>41110</v>
      </c>
      <c r="C1291" s="1">
        <v>41155</v>
      </c>
      <c r="D1291" t="s">
        <v>227</v>
      </c>
      <c r="E1291">
        <v>69750</v>
      </c>
      <c r="F1291">
        <v>11160</v>
      </c>
      <c r="G1291">
        <v>0</v>
      </c>
      <c r="H1291">
        <v>0</v>
      </c>
      <c r="I1291">
        <v>159</v>
      </c>
      <c r="J1291">
        <v>80910</v>
      </c>
      <c r="K1291" t="s">
        <v>2899</v>
      </c>
      <c r="L1291" s="1">
        <v>41109</v>
      </c>
      <c r="N1291" t="s">
        <v>36</v>
      </c>
      <c r="O1291" t="s">
        <v>37</v>
      </c>
      <c r="P1291" t="s">
        <v>364</v>
      </c>
      <c r="Q1291" t="s">
        <v>39</v>
      </c>
      <c r="R1291" t="s">
        <v>40</v>
      </c>
      <c r="S1291">
        <v>0</v>
      </c>
      <c r="U1291" t="s">
        <v>41</v>
      </c>
      <c r="V1291" t="s">
        <v>42</v>
      </c>
      <c r="X1291" t="s">
        <v>74</v>
      </c>
      <c r="Y1291" t="b">
        <v>0</v>
      </c>
      <c r="Z1291" t="b">
        <v>0</v>
      </c>
      <c r="AC1291" s="1"/>
      <c r="AF1291">
        <v>0</v>
      </c>
      <c r="AG1291">
        <v>45</v>
      </c>
      <c r="AH1291">
        <v>204</v>
      </c>
      <c r="AI1291" s="2">
        <f>Table__192.168.3.138DYLAgingReport[[#This Row],[NetAmount]]-Table__192.168.3.138DYLAgingReport[[#This Row],[Paid]]</f>
        <v>80910</v>
      </c>
    </row>
    <row r="1292" spans="1:35">
      <c r="A1292" t="s">
        <v>2900</v>
      </c>
      <c r="B1292" s="1">
        <v>41115</v>
      </c>
      <c r="C1292" s="1">
        <v>41160</v>
      </c>
      <c r="D1292" t="s">
        <v>246</v>
      </c>
      <c r="E1292">
        <v>617700</v>
      </c>
      <c r="F1292">
        <v>98832</v>
      </c>
      <c r="G1292">
        <v>0</v>
      </c>
      <c r="H1292">
        <v>0</v>
      </c>
      <c r="I1292">
        <v>162</v>
      </c>
      <c r="J1292">
        <v>716532</v>
      </c>
      <c r="K1292" t="s">
        <v>1072</v>
      </c>
      <c r="L1292" s="1">
        <v>41106</v>
      </c>
      <c r="N1292" t="s">
        <v>36</v>
      </c>
      <c r="O1292" t="s">
        <v>37</v>
      </c>
      <c r="P1292" t="s">
        <v>383</v>
      </c>
      <c r="Q1292" t="s">
        <v>39</v>
      </c>
      <c r="R1292" t="s">
        <v>40</v>
      </c>
      <c r="S1292">
        <v>0</v>
      </c>
      <c r="U1292" t="s">
        <v>41</v>
      </c>
      <c r="V1292" t="s">
        <v>42</v>
      </c>
      <c r="X1292" t="s">
        <v>74</v>
      </c>
      <c r="Y1292" t="b">
        <v>0</v>
      </c>
      <c r="Z1292" t="b">
        <v>0</v>
      </c>
      <c r="AB1292" t="s">
        <v>2876</v>
      </c>
      <c r="AC1292" s="1">
        <v>41204</v>
      </c>
      <c r="AD1292" t="s">
        <v>2901</v>
      </c>
      <c r="AE1292" t="s">
        <v>2878</v>
      </c>
      <c r="AF1292">
        <v>709868</v>
      </c>
      <c r="AG1292">
        <v>45</v>
      </c>
      <c r="AH1292">
        <v>207</v>
      </c>
      <c r="AI1292" s="2">
        <f>Table__192.168.3.138DYLAgingReport[[#This Row],[NetAmount]]-Table__192.168.3.138DYLAgingReport[[#This Row],[Paid]]</f>
        <v>6664</v>
      </c>
    </row>
    <row r="1293" spans="1:35">
      <c r="A1293" t="s">
        <v>2902</v>
      </c>
      <c r="B1293" s="1">
        <v>41114</v>
      </c>
      <c r="C1293" s="1">
        <v>41159</v>
      </c>
      <c r="D1293" t="s">
        <v>174</v>
      </c>
      <c r="E1293">
        <v>66300</v>
      </c>
      <c r="F1293">
        <v>10608</v>
      </c>
      <c r="G1293">
        <v>0</v>
      </c>
      <c r="H1293">
        <v>0</v>
      </c>
      <c r="I1293">
        <v>155</v>
      </c>
      <c r="J1293">
        <v>76908</v>
      </c>
      <c r="K1293" t="s">
        <v>1137</v>
      </c>
      <c r="L1293" s="1">
        <v>41113</v>
      </c>
      <c r="N1293" t="s">
        <v>36</v>
      </c>
      <c r="O1293" t="s">
        <v>37</v>
      </c>
      <c r="P1293" t="s">
        <v>311</v>
      </c>
      <c r="Q1293" t="s">
        <v>39</v>
      </c>
      <c r="R1293" t="s">
        <v>40</v>
      </c>
      <c r="S1293">
        <v>0</v>
      </c>
      <c r="U1293" t="s">
        <v>41</v>
      </c>
      <c r="V1293" t="s">
        <v>42</v>
      </c>
      <c r="X1293" t="s">
        <v>74</v>
      </c>
      <c r="Y1293" t="b">
        <v>0</v>
      </c>
      <c r="Z1293" t="b">
        <v>0</v>
      </c>
      <c r="AC1293" s="1"/>
      <c r="AF1293">
        <v>0</v>
      </c>
      <c r="AG1293">
        <v>45</v>
      </c>
      <c r="AH1293">
        <v>200</v>
      </c>
      <c r="AI1293" s="2">
        <f>Table__192.168.3.138DYLAgingReport[[#This Row],[NetAmount]]-Table__192.168.3.138DYLAgingReport[[#This Row],[Paid]]</f>
        <v>76908</v>
      </c>
    </row>
    <row r="1294" spans="1:35">
      <c r="A1294" t="s">
        <v>2903</v>
      </c>
      <c r="B1294" s="1">
        <v>41114</v>
      </c>
      <c r="C1294" s="1">
        <v>41159</v>
      </c>
      <c r="D1294" t="s">
        <v>174</v>
      </c>
      <c r="E1294">
        <v>60046</v>
      </c>
      <c r="F1294">
        <v>9607</v>
      </c>
      <c r="G1294">
        <v>0</v>
      </c>
      <c r="H1294">
        <v>0</v>
      </c>
      <c r="I1294">
        <v>155</v>
      </c>
      <c r="J1294">
        <v>69653</v>
      </c>
      <c r="K1294" t="s">
        <v>968</v>
      </c>
      <c r="L1294" s="1">
        <v>41113</v>
      </c>
      <c r="N1294" t="s">
        <v>36</v>
      </c>
      <c r="O1294" t="s">
        <v>37</v>
      </c>
      <c r="P1294" t="s">
        <v>311</v>
      </c>
      <c r="Q1294" t="s">
        <v>39</v>
      </c>
      <c r="R1294" t="s">
        <v>40</v>
      </c>
      <c r="S1294">
        <v>0</v>
      </c>
      <c r="U1294" t="s">
        <v>41</v>
      </c>
      <c r="V1294" t="s">
        <v>42</v>
      </c>
      <c r="X1294" t="s">
        <v>74</v>
      </c>
      <c r="Y1294" t="b">
        <v>0</v>
      </c>
      <c r="Z1294" t="b">
        <v>0</v>
      </c>
      <c r="AC1294" s="1"/>
      <c r="AF1294">
        <v>0</v>
      </c>
      <c r="AG1294">
        <v>45</v>
      </c>
      <c r="AH1294">
        <v>200</v>
      </c>
      <c r="AI1294" s="2">
        <f>Table__192.168.3.138DYLAgingReport[[#This Row],[NetAmount]]-Table__192.168.3.138DYLAgingReport[[#This Row],[Paid]]</f>
        <v>69653</v>
      </c>
    </row>
    <row r="1295" spans="1:35">
      <c r="A1295" t="s">
        <v>2904</v>
      </c>
      <c r="B1295" s="1">
        <v>41094</v>
      </c>
      <c r="C1295" s="1">
        <v>41139</v>
      </c>
      <c r="D1295" t="s">
        <v>232</v>
      </c>
      <c r="E1295">
        <v>92698</v>
      </c>
      <c r="F1295">
        <v>14832</v>
      </c>
      <c r="G1295">
        <v>0</v>
      </c>
      <c r="H1295">
        <v>0</v>
      </c>
      <c r="I1295">
        <v>174</v>
      </c>
      <c r="J1295">
        <v>107530</v>
      </c>
      <c r="K1295" t="s">
        <v>1218</v>
      </c>
      <c r="L1295" s="1">
        <v>41094</v>
      </c>
      <c r="N1295" t="s">
        <v>36</v>
      </c>
      <c r="O1295" t="s">
        <v>37</v>
      </c>
      <c r="P1295" t="s">
        <v>369</v>
      </c>
      <c r="Q1295" t="s">
        <v>39</v>
      </c>
      <c r="R1295" t="s">
        <v>40</v>
      </c>
      <c r="S1295">
        <v>0</v>
      </c>
      <c r="U1295" t="s">
        <v>41</v>
      </c>
      <c r="V1295" t="s">
        <v>42</v>
      </c>
      <c r="X1295" t="s">
        <v>74</v>
      </c>
      <c r="Y1295" t="b">
        <v>0</v>
      </c>
      <c r="Z1295" t="b">
        <v>0</v>
      </c>
      <c r="AC1295" s="1"/>
      <c r="AF1295">
        <v>0</v>
      </c>
      <c r="AG1295">
        <v>45</v>
      </c>
      <c r="AH1295">
        <v>219</v>
      </c>
      <c r="AI1295" s="2">
        <f>Table__192.168.3.138DYLAgingReport[[#This Row],[NetAmount]]-Table__192.168.3.138DYLAgingReport[[#This Row],[Paid]]</f>
        <v>107530</v>
      </c>
    </row>
    <row r="1296" spans="1:35">
      <c r="A1296" t="s">
        <v>2905</v>
      </c>
      <c r="B1296" s="1">
        <v>41112</v>
      </c>
      <c r="C1296" s="1">
        <v>41157</v>
      </c>
      <c r="D1296" t="s">
        <v>227</v>
      </c>
      <c r="E1296">
        <v>110800</v>
      </c>
      <c r="F1296">
        <v>17728</v>
      </c>
      <c r="G1296">
        <v>0</v>
      </c>
      <c r="H1296">
        <v>0</v>
      </c>
      <c r="I1296">
        <v>157</v>
      </c>
      <c r="J1296">
        <v>128528</v>
      </c>
      <c r="K1296" t="s">
        <v>2906</v>
      </c>
      <c r="L1296" s="1">
        <v>41111</v>
      </c>
      <c r="N1296" t="s">
        <v>36</v>
      </c>
      <c r="O1296" t="s">
        <v>37</v>
      </c>
      <c r="P1296" t="s">
        <v>364</v>
      </c>
      <c r="Q1296" t="s">
        <v>39</v>
      </c>
      <c r="R1296" t="s">
        <v>40</v>
      </c>
      <c r="S1296">
        <v>0</v>
      </c>
      <c r="U1296" t="s">
        <v>41</v>
      </c>
      <c r="V1296" t="s">
        <v>42</v>
      </c>
      <c r="X1296" t="s">
        <v>74</v>
      </c>
      <c r="Y1296" t="b">
        <v>0</v>
      </c>
      <c r="Z1296" t="b">
        <v>0</v>
      </c>
      <c r="AC1296" s="1"/>
      <c r="AF1296">
        <v>0</v>
      </c>
      <c r="AG1296">
        <v>45</v>
      </c>
      <c r="AH1296">
        <v>202</v>
      </c>
      <c r="AI1296" s="2">
        <f>Table__192.168.3.138DYLAgingReport[[#This Row],[NetAmount]]-Table__192.168.3.138DYLAgingReport[[#This Row],[Paid]]</f>
        <v>128528</v>
      </c>
    </row>
    <row r="1297" spans="1:35">
      <c r="A1297" t="s">
        <v>2907</v>
      </c>
      <c r="B1297" s="1">
        <v>41111</v>
      </c>
      <c r="C1297" s="1">
        <v>41156</v>
      </c>
      <c r="D1297" t="s">
        <v>227</v>
      </c>
      <c r="E1297">
        <v>190500</v>
      </c>
      <c r="F1297">
        <v>30480</v>
      </c>
      <c r="G1297">
        <v>0</v>
      </c>
      <c r="H1297">
        <v>0</v>
      </c>
      <c r="I1297">
        <v>158</v>
      </c>
      <c r="J1297">
        <v>220980</v>
      </c>
      <c r="K1297" t="s">
        <v>2908</v>
      </c>
      <c r="L1297" s="1">
        <v>41110</v>
      </c>
      <c r="N1297" t="s">
        <v>36</v>
      </c>
      <c r="O1297" t="s">
        <v>37</v>
      </c>
      <c r="P1297" t="s">
        <v>364</v>
      </c>
      <c r="Q1297" t="s">
        <v>39</v>
      </c>
      <c r="R1297" t="s">
        <v>40</v>
      </c>
      <c r="S1297">
        <v>0</v>
      </c>
      <c r="U1297" t="s">
        <v>41</v>
      </c>
      <c r="V1297" t="s">
        <v>42</v>
      </c>
      <c r="X1297" t="s">
        <v>74</v>
      </c>
      <c r="Y1297" t="b">
        <v>0</v>
      </c>
      <c r="Z1297" t="b">
        <v>0</v>
      </c>
      <c r="AC1297" s="1"/>
      <c r="AF1297">
        <v>0</v>
      </c>
      <c r="AG1297">
        <v>45</v>
      </c>
      <c r="AH1297">
        <v>203</v>
      </c>
      <c r="AI1297" s="2">
        <f>Table__192.168.3.138DYLAgingReport[[#This Row],[NetAmount]]-Table__192.168.3.138DYLAgingReport[[#This Row],[Paid]]</f>
        <v>220980</v>
      </c>
    </row>
    <row r="1298" spans="1:35">
      <c r="A1298" t="s">
        <v>2909</v>
      </c>
      <c r="B1298" s="1">
        <v>41111</v>
      </c>
      <c r="C1298" s="1">
        <v>41156</v>
      </c>
      <c r="D1298" t="s">
        <v>259</v>
      </c>
      <c r="E1298">
        <v>11249</v>
      </c>
      <c r="F1298">
        <v>1800</v>
      </c>
      <c r="G1298">
        <v>0</v>
      </c>
      <c r="H1298">
        <v>0</v>
      </c>
      <c r="I1298">
        <v>158</v>
      </c>
      <c r="J1298">
        <v>13049</v>
      </c>
      <c r="K1298" t="s">
        <v>2910</v>
      </c>
      <c r="L1298" s="1">
        <v>41110</v>
      </c>
      <c r="N1298" t="s">
        <v>36</v>
      </c>
      <c r="O1298" t="s">
        <v>37</v>
      </c>
      <c r="P1298" t="s">
        <v>396</v>
      </c>
      <c r="Q1298" t="s">
        <v>39</v>
      </c>
      <c r="R1298" t="s">
        <v>40</v>
      </c>
      <c r="S1298">
        <v>0</v>
      </c>
      <c r="U1298" t="s">
        <v>41</v>
      </c>
      <c r="V1298" t="s">
        <v>42</v>
      </c>
      <c r="X1298" t="s">
        <v>74</v>
      </c>
      <c r="Y1298" t="b">
        <v>0</v>
      </c>
      <c r="Z1298" t="b">
        <v>0</v>
      </c>
      <c r="AC1298" s="1"/>
      <c r="AF1298">
        <v>0</v>
      </c>
      <c r="AG1298">
        <v>45</v>
      </c>
      <c r="AH1298">
        <v>203</v>
      </c>
      <c r="AI1298" s="2">
        <f>Table__192.168.3.138DYLAgingReport[[#This Row],[NetAmount]]-Table__192.168.3.138DYLAgingReport[[#This Row],[Paid]]</f>
        <v>13049</v>
      </c>
    </row>
    <row r="1299" spans="1:35">
      <c r="A1299" t="s">
        <v>2911</v>
      </c>
      <c r="B1299" s="1">
        <v>41109</v>
      </c>
      <c r="C1299" s="1">
        <v>41109</v>
      </c>
      <c r="D1299" t="s">
        <v>296</v>
      </c>
      <c r="E1299">
        <v>21873</v>
      </c>
      <c r="F1299">
        <v>3500</v>
      </c>
      <c r="G1299">
        <v>0</v>
      </c>
      <c r="H1299">
        <v>0</v>
      </c>
      <c r="I1299">
        <v>160</v>
      </c>
      <c r="J1299">
        <v>25373</v>
      </c>
      <c r="K1299" t="s">
        <v>2912</v>
      </c>
      <c r="L1299" s="1">
        <v>41108</v>
      </c>
      <c r="N1299" t="s">
        <v>36</v>
      </c>
      <c r="O1299" t="s">
        <v>37</v>
      </c>
      <c r="P1299" t="s">
        <v>433</v>
      </c>
      <c r="Q1299" t="s">
        <v>39</v>
      </c>
      <c r="R1299" t="s">
        <v>40</v>
      </c>
      <c r="S1299">
        <v>0</v>
      </c>
      <c r="U1299" t="s">
        <v>41</v>
      </c>
      <c r="V1299" t="s">
        <v>42</v>
      </c>
      <c r="X1299" t="s">
        <v>74</v>
      </c>
      <c r="Y1299" t="b">
        <v>0</v>
      </c>
      <c r="Z1299" t="b">
        <v>0</v>
      </c>
      <c r="AC1299" s="1"/>
      <c r="AF1299">
        <v>0</v>
      </c>
      <c r="AG1299">
        <v>45</v>
      </c>
      <c r="AH1299">
        <v>205</v>
      </c>
      <c r="AI1299" s="2">
        <f>Table__192.168.3.138DYLAgingReport[[#This Row],[NetAmount]]-Table__192.168.3.138DYLAgingReport[[#This Row],[Paid]]</f>
        <v>25373</v>
      </c>
    </row>
    <row r="1300" spans="1:35">
      <c r="A1300" t="s">
        <v>2913</v>
      </c>
      <c r="B1300" s="1">
        <v>41096</v>
      </c>
      <c r="C1300" s="1">
        <v>41141</v>
      </c>
      <c r="D1300" t="s">
        <v>268</v>
      </c>
      <c r="E1300">
        <v>20600</v>
      </c>
      <c r="F1300">
        <v>3296</v>
      </c>
      <c r="G1300">
        <v>0</v>
      </c>
      <c r="H1300">
        <v>0</v>
      </c>
      <c r="I1300">
        <v>164</v>
      </c>
      <c r="J1300">
        <v>23896</v>
      </c>
      <c r="K1300" t="s">
        <v>2914</v>
      </c>
      <c r="L1300" s="1">
        <v>41104</v>
      </c>
      <c r="N1300" t="s">
        <v>36</v>
      </c>
      <c r="O1300" t="s">
        <v>37</v>
      </c>
      <c r="P1300" t="s">
        <v>405</v>
      </c>
      <c r="Q1300" t="s">
        <v>39</v>
      </c>
      <c r="R1300" t="s">
        <v>40</v>
      </c>
      <c r="S1300">
        <v>0</v>
      </c>
      <c r="U1300" t="s">
        <v>41</v>
      </c>
      <c r="V1300" t="s">
        <v>42</v>
      </c>
      <c r="X1300" t="s">
        <v>74</v>
      </c>
      <c r="Y1300" t="b">
        <v>0</v>
      </c>
      <c r="Z1300" t="b">
        <v>0</v>
      </c>
      <c r="AC1300" s="1"/>
      <c r="AF1300">
        <v>0</v>
      </c>
      <c r="AG1300">
        <v>45</v>
      </c>
      <c r="AH1300">
        <v>209</v>
      </c>
      <c r="AI1300" s="2">
        <f>Table__192.168.3.138DYLAgingReport[[#This Row],[NetAmount]]-Table__192.168.3.138DYLAgingReport[[#This Row],[Paid]]</f>
        <v>23896</v>
      </c>
    </row>
    <row r="1301" spans="1:35">
      <c r="A1301" t="s">
        <v>2915</v>
      </c>
      <c r="B1301" s="1">
        <v>41101</v>
      </c>
      <c r="C1301" s="1">
        <v>41146</v>
      </c>
      <c r="D1301" t="s">
        <v>268</v>
      </c>
      <c r="E1301">
        <v>29814</v>
      </c>
      <c r="F1301">
        <v>4770</v>
      </c>
      <c r="G1301">
        <v>0</v>
      </c>
      <c r="H1301">
        <v>0</v>
      </c>
      <c r="I1301">
        <v>164</v>
      </c>
      <c r="J1301">
        <v>34584</v>
      </c>
      <c r="K1301" t="s">
        <v>835</v>
      </c>
      <c r="L1301" s="1">
        <v>41104</v>
      </c>
      <c r="N1301" t="s">
        <v>36</v>
      </c>
      <c r="O1301" t="s">
        <v>37</v>
      </c>
      <c r="P1301" t="s">
        <v>405</v>
      </c>
      <c r="Q1301" t="s">
        <v>39</v>
      </c>
      <c r="R1301" t="s">
        <v>40</v>
      </c>
      <c r="S1301">
        <v>0</v>
      </c>
      <c r="U1301" t="s">
        <v>41</v>
      </c>
      <c r="V1301" t="s">
        <v>42</v>
      </c>
      <c r="X1301" t="s">
        <v>74</v>
      </c>
      <c r="Y1301" t="b">
        <v>0</v>
      </c>
      <c r="Z1301" t="b">
        <v>0</v>
      </c>
      <c r="AC1301" s="1"/>
      <c r="AF1301">
        <v>0</v>
      </c>
      <c r="AG1301">
        <v>45</v>
      </c>
      <c r="AH1301">
        <v>209</v>
      </c>
      <c r="AI1301" s="2">
        <f>Table__192.168.3.138DYLAgingReport[[#This Row],[NetAmount]]-Table__192.168.3.138DYLAgingReport[[#This Row],[Paid]]</f>
        <v>34584</v>
      </c>
    </row>
    <row r="1302" spans="1:35">
      <c r="A1302" t="s">
        <v>2916</v>
      </c>
      <c r="B1302" s="1">
        <v>41112</v>
      </c>
      <c r="C1302" s="1">
        <v>41157</v>
      </c>
      <c r="D1302" t="s">
        <v>170</v>
      </c>
      <c r="E1302">
        <v>114950</v>
      </c>
      <c r="F1302">
        <v>18392</v>
      </c>
      <c r="G1302">
        <v>0</v>
      </c>
      <c r="H1302">
        <v>0</v>
      </c>
      <c r="I1302">
        <v>157</v>
      </c>
      <c r="J1302">
        <v>133342</v>
      </c>
      <c r="K1302" t="s">
        <v>1289</v>
      </c>
      <c r="L1302" s="1">
        <v>41111</v>
      </c>
      <c r="M1302" t="s">
        <v>2917</v>
      </c>
      <c r="N1302" t="s">
        <v>36</v>
      </c>
      <c r="O1302" t="s">
        <v>37</v>
      </c>
      <c r="P1302" t="s">
        <v>307</v>
      </c>
      <c r="Q1302" t="s">
        <v>39</v>
      </c>
      <c r="R1302" t="s">
        <v>40</v>
      </c>
      <c r="S1302">
        <v>0</v>
      </c>
      <c r="U1302" t="s">
        <v>41</v>
      </c>
      <c r="V1302" t="s">
        <v>42</v>
      </c>
      <c r="W1302" t="s">
        <v>966</v>
      </c>
      <c r="X1302" t="s">
        <v>74</v>
      </c>
      <c r="Y1302" t="b">
        <v>0</v>
      </c>
      <c r="Z1302" t="b">
        <v>0</v>
      </c>
      <c r="AA1302" t="b">
        <v>0</v>
      </c>
      <c r="AC1302" s="1"/>
      <c r="AF1302">
        <v>0</v>
      </c>
      <c r="AG1302">
        <v>45</v>
      </c>
      <c r="AH1302">
        <v>202</v>
      </c>
      <c r="AI1302" s="2">
        <f>Table__192.168.3.138DYLAgingReport[[#This Row],[NetAmount]]-Table__192.168.3.138DYLAgingReport[[#This Row],[Paid]]</f>
        <v>133342</v>
      </c>
    </row>
    <row r="1303" spans="1:35">
      <c r="A1303" t="s">
        <v>2918</v>
      </c>
      <c r="B1303" s="1">
        <v>41115</v>
      </c>
      <c r="C1303" s="1">
        <v>41160</v>
      </c>
      <c r="D1303" t="s">
        <v>227</v>
      </c>
      <c r="E1303">
        <v>60000</v>
      </c>
      <c r="F1303">
        <v>9600</v>
      </c>
      <c r="G1303">
        <v>0</v>
      </c>
      <c r="H1303">
        <v>0</v>
      </c>
      <c r="I1303">
        <v>152</v>
      </c>
      <c r="J1303">
        <v>69600</v>
      </c>
      <c r="K1303" t="s">
        <v>2919</v>
      </c>
      <c r="L1303" s="1">
        <v>41116</v>
      </c>
      <c r="N1303" t="s">
        <v>36</v>
      </c>
      <c r="O1303" t="s">
        <v>37</v>
      </c>
      <c r="P1303" t="s">
        <v>364</v>
      </c>
      <c r="Q1303" t="s">
        <v>39</v>
      </c>
      <c r="R1303" t="s">
        <v>40</v>
      </c>
      <c r="S1303">
        <v>0</v>
      </c>
      <c r="U1303" t="s">
        <v>41</v>
      </c>
      <c r="V1303" t="s">
        <v>42</v>
      </c>
      <c r="X1303" t="s">
        <v>74</v>
      </c>
      <c r="Y1303" t="b">
        <v>0</v>
      </c>
      <c r="Z1303" t="b">
        <v>0</v>
      </c>
      <c r="AC1303" s="1"/>
      <c r="AF1303">
        <v>0</v>
      </c>
      <c r="AG1303">
        <v>45</v>
      </c>
      <c r="AH1303">
        <v>197</v>
      </c>
      <c r="AI1303" s="2">
        <f>Table__192.168.3.138DYLAgingReport[[#This Row],[NetAmount]]-Table__192.168.3.138DYLAgingReport[[#This Row],[Paid]]</f>
        <v>69600</v>
      </c>
    </row>
    <row r="1304" spans="1:35">
      <c r="A1304" t="s">
        <v>2920</v>
      </c>
      <c r="B1304" s="1">
        <v>41115</v>
      </c>
      <c r="C1304" s="1">
        <v>41160</v>
      </c>
      <c r="D1304" t="s">
        <v>227</v>
      </c>
      <c r="E1304">
        <v>65163</v>
      </c>
      <c r="F1304">
        <v>10426</v>
      </c>
      <c r="G1304">
        <v>0</v>
      </c>
      <c r="H1304">
        <v>0</v>
      </c>
      <c r="I1304">
        <v>152</v>
      </c>
      <c r="J1304">
        <v>75589</v>
      </c>
      <c r="K1304" t="s">
        <v>2921</v>
      </c>
      <c r="L1304" s="1">
        <v>41116</v>
      </c>
      <c r="N1304" t="s">
        <v>36</v>
      </c>
      <c r="O1304" t="s">
        <v>37</v>
      </c>
      <c r="P1304" t="s">
        <v>364</v>
      </c>
      <c r="Q1304" t="s">
        <v>39</v>
      </c>
      <c r="R1304" t="s">
        <v>40</v>
      </c>
      <c r="S1304">
        <v>0</v>
      </c>
      <c r="U1304" t="s">
        <v>41</v>
      </c>
      <c r="V1304" t="s">
        <v>42</v>
      </c>
      <c r="X1304" t="s">
        <v>74</v>
      </c>
      <c r="Y1304" t="b">
        <v>0</v>
      </c>
      <c r="Z1304" t="b">
        <v>0</v>
      </c>
      <c r="AC1304" s="1"/>
      <c r="AF1304">
        <v>0</v>
      </c>
      <c r="AG1304">
        <v>45</v>
      </c>
      <c r="AH1304">
        <v>197</v>
      </c>
      <c r="AI1304" s="2">
        <f>Table__192.168.3.138DYLAgingReport[[#This Row],[NetAmount]]-Table__192.168.3.138DYLAgingReport[[#This Row],[Paid]]</f>
        <v>75589</v>
      </c>
    </row>
    <row r="1305" spans="1:35">
      <c r="A1305" t="s">
        <v>2922</v>
      </c>
      <c r="B1305" s="1">
        <v>41115</v>
      </c>
      <c r="C1305" s="1">
        <v>41160</v>
      </c>
      <c r="D1305" t="s">
        <v>227</v>
      </c>
      <c r="E1305">
        <v>337000</v>
      </c>
      <c r="F1305">
        <v>53920</v>
      </c>
      <c r="G1305">
        <v>0</v>
      </c>
      <c r="H1305">
        <v>0</v>
      </c>
      <c r="I1305">
        <v>153</v>
      </c>
      <c r="J1305">
        <v>390920</v>
      </c>
      <c r="K1305" t="s">
        <v>2923</v>
      </c>
      <c r="L1305" s="1">
        <v>41115</v>
      </c>
      <c r="N1305" t="s">
        <v>36</v>
      </c>
      <c r="O1305" t="s">
        <v>37</v>
      </c>
      <c r="P1305" t="s">
        <v>364</v>
      </c>
      <c r="Q1305" t="s">
        <v>39</v>
      </c>
      <c r="R1305" t="s">
        <v>40</v>
      </c>
      <c r="S1305">
        <v>0</v>
      </c>
      <c r="U1305" t="s">
        <v>41</v>
      </c>
      <c r="V1305" t="s">
        <v>42</v>
      </c>
      <c r="X1305" t="s">
        <v>74</v>
      </c>
      <c r="Y1305" t="b">
        <v>0</v>
      </c>
      <c r="Z1305" t="b">
        <v>0</v>
      </c>
      <c r="AC1305" s="1"/>
      <c r="AF1305">
        <v>0</v>
      </c>
      <c r="AG1305">
        <v>45</v>
      </c>
      <c r="AH1305">
        <v>198</v>
      </c>
      <c r="AI1305" s="2">
        <f>Table__192.168.3.138DYLAgingReport[[#This Row],[NetAmount]]-Table__192.168.3.138DYLAgingReport[[#This Row],[Paid]]</f>
        <v>390920</v>
      </c>
    </row>
    <row r="1306" spans="1:35">
      <c r="A1306" t="s">
        <v>2924</v>
      </c>
      <c r="B1306" s="1">
        <v>41115</v>
      </c>
      <c r="C1306" s="1">
        <v>41160</v>
      </c>
      <c r="D1306" t="s">
        <v>227</v>
      </c>
      <c r="E1306">
        <v>314750</v>
      </c>
      <c r="F1306">
        <v>50360</v>
      </c>
      <c r="G1306">
        <v>0</v>
      </c>
      <c r="H1306">
        <v>0</v>
      </c>
      <c r="I1306">
        <v>154</v>
      </c>
      <c r="J1306">
        <v>365110</v>
      </c>
      <c r="K1306" t="s">
        <v>2925</v>
      </c>
      <c r="L1306" s="1">
        <v>41114</v>
      </c>
      <c r="N1306" t="s">
        <v>36</v>
      </c>
      <c r="O1306" t="s">
        <v>37</v>
      </c>
      <c r="P1306" t="s">
        <v>364</v>
      </c>
      <c r="Q1306" t="s">
        <v>39</v>
      </c>
      <c r="R1306" t="s">
        <v>40</v>
      </c>
      <c r="S1306">
        <v>0</v>
      </c>
      <c r="U1306" t="s">
        <v>41</v>
      </c>
      <c r="V1306" t="s">
        <v>42</v>
      </c>
      <c r="X1306" t="s">
        <v>74</v>
      </c>
      <c r="Y1306" t="b">
        <v>0</v>
      </c>
      <c r="Z1306" t="b">
        <v>0</v>
      </c>
      <c r="AC1306" s="1"/>
      <c r="AF1306">
        <v>0</v>
      </c>
      <c r="AG1306">
        <v>45</v>
      </c>
      <c r="AH1306">
        <v>199</v>
      </c>
      <c r="AI1306" s="2">
        <f>Table__192.168.3.138DYLAgingReport[[#This Row],[NetAmount]]-Table__192.168.3.138DYLAgingReport[[#This Row],[Paid]]</f>
        <v>365110</v>
      </c>
    </row>
    <row r="1307" spans="1:35">
      <c r="A1307" t="s">
        <v>2926</v>
      </c>
      <c r="B1307" s="1">
        <v>41115</v>
      </c>
      <c r="C1307" s="1">
        <v>41160</v>
      </c>
      <c r="D1307" t="s">
        <v>227</v>
      </c>
      <c r="E1307">
        <v>308000</v>
      </c>
      <c r="F1307">
        <v>49280</v>
      </c>
      <c r="G1307">
        <v>0</v>
      </c>
      <c r="H1307">
        <v>0</v>
      </c>
      <c r="I1307">
        <v>153</v>
      </c>
      <c r="J1307">
        <v>357280</v>
      </c>
      <c r="K1307" t="s">
        <v>2927</v>
      </c>
      <c r="L1307" s="1">
        <v>41115</v>
      </c>
      <c r="N1307" t="s">
        <v>36</v>
      </c>
      <c r="O1307" t="s">
        <v>37</v>
      </c>
      <c r="P1307" t="s">
        <v>364</v>
      </c>
      <c r="Q1307" t="s">
        <v>39</v>
      </c>
      <c r="R1307" t="s">
        <v>40</v>
      </c>
      <c r="S1307">
        <v>0</v>
      </c>
      <c r="U1307" t="s">
        <v>41</v>
      </c>
      <c r="V1307" t="s">
        <v>42</v>
      </c>
      <c r="X1307" t="s">
        <v>74</v>
      </c>
      <c r="Y1307" t="b">
        <v>0</v>
      </c>
      <c r="Z1307" t="b">
        <v>0</v>
      </c>
      <c r="AC1307" s="1"/>
      <c r="AF1307">
        <v>0</v>
      </c>
      <c r="AG1307">
        <v>45</v>
      </c>
      <c r="AH1307">
        <v>198</v>
      </c>
      <c r="AI1307" s="2">
        <f>Table__192.168.3.138DYLAgingReport[[#This Row],[NetAmount]]-Table__192.168.3.138DYLAgingReport[[#This Row],[Paid]]</f>
        <v>357280</v>
      </c>
    </row>
    <row r="1308" spans="1:35">
      <c r="A1308" t="s">
        <v>2928</v>
      </c>
      <c r="B1308" s="1">
        <v>41117</v>
      </c>
      <c r="C1308" s="1">
        <v>41162</v>
      </c>
      <c r="D1308" t="s">
        <v>174</v>
      </c>
      <c r="E1308">
        <v>23823</v>
      </c>
      <c r="F1308">
        <v>3812</v>
      </c>
      <c r="G1308">
        <v>0</v>
      </c>
      <c r="H1308">
        <v>0</v>
      </c>
      <c r="I1308">
        <v>151</v>
      </c>
      <c r="J1308">
        <v>27635</v>
      </c>
      <c r="K1308" t="s">
        <v>2006</v>
      </c>
      <c r="L1308" s="1">
        <v>41117</v>
      </c>
      <c r="N1308" t="s">
        <v>36</v>
      </c>
      <c r="O1308" t="s">
        <v>37</v>
      </c>
      <c r="P1308" t="s">
        <v>311</v>
      </c>
      <c r="Q1308" t="s">
        <v>39</v>
      </c>
      <c r="R1308" t="s">
        <v>40</v>
      </c>
      <c r="S1308">
        <v>0</v>
      </c>
      <c r="U1308" t="s">
        <v>41</v>
      </c>
      <c r="V1308" t="s">
        <v>42</v>
      </c>
      <c r="X1308" t="s">
        <v>74</v>
      </c>
      <c r="Y1308" t="b">
        <v>0</v>
      </c>
      <c r="Z1308" t="b">
        <v>0</v>
      </c>
      <c r="AC1308" s="1"/>
      <c r="AF1308">
        <v>0</v>
      </c>
      <c r="AG1308">
        <v>45</v>
      </c>
      <c r="AH1308">
        <v>196</v>
      </c>
      <c r="AI1308" s="2">
        <f>Table__192.168.3.138DYLAgingReport[[#This Row],[NetAmount]]-Table__192.168.3.138DYLAgingReport[[#This Row],[Paid]]</f>
        <v>27635</v>
      </c>
    </row>
    <row r="1309" spans="1:35">
      <c r="A1309" t="s">
        <v>2929</v>
      </c>
      <c r="B1309" s="1">
        <v>41117</v>
      </c>
      <c r="C1309" s="1">
        <v>41162</v>
      </c>
      <c r="D1309" t="s">
        <v>174</v>
      </c>
      <c r="E1309">
        <v>90300</v>
      </c>
      <c r="F1309">
        <v>14448</v>
      </c>
      <c r="G1309">
        <v>0</v>
      </c>
      <c r="H1309">
        <v>0</v>
      </c>
      <c r="I1309">
        <v>151</v>
      </c>
      <c r="J1309">
        <v>104748</v>
      </c>
      <c r="K1309" t="s">
        <v>870</v>
      </c>
      <c r="L1309" s="1">
        <v>41117</v>
      </c>
      <c r="N1309" t="s">
        <v>36</v>
      </c>
      <c r="O1309" t="s">
        <v>37</v>
      </c>
      <c r="P1309" t="s">
        <v>311</v>
      </c>
      <c r="Q1309" t="s">
        <v>39</v>
      </c>
      <c r="R1309" t="s">
        <v>40</v>
      </c>
      <c r="S1309">
        <v>0</v>
      </c>
      <c r="U1309" t="s">
        <v>41</v>
      </c>
      <c r="V1309" t="s">
        <v>42</v>
      </c>
      <c r="X1309" t="s">
        <v>74</v>
      </c>
      <c r="Y1309" t="b">
        <v>0</v>
      </c>
      <c r="Z1309" t="b">
        <v>0</v>
      </c>
      <c r="AC1309" s="1"/>
      <c r="AF1309">
        <v>0</v>
      </c>
      <c r="AG1309">
        <v>45</v>
      </c>
      <c r="AH1309">
        <v>196</v>
      </c>
      <c r="AI1309" s="2">
        <f>Table__192.168.3.138DYLAgingReport[[#This Row],[NetAmount]]-Table__192.168.3.138DYLAgingReport[[#This Row],[Paid]]</f>
        <v>104748</v>
      </c>
    </row>
    <row r="1310" spans="1:35">
      <c r="A1310" t="s">
        <v>2930</v>
      </c>
      <c r="B1310" s="1">
        <v>41120</v>
      </c>
      <c r="C1310" s="1">
        <v>41165</v>
      </c>
      <c r="D1310" t="s">
        <v>174</v>
      </c>
      <c r="E1310">
        <v>62400</v>
      </c>
      <c r="F1310">
        <v>9984</v>
      </c>
      <c r="G1310">
        <v>0</v>
      </c>
      <c r="H1310">
        <v>0</v>
      </c>
      <c r="I1310">
        <v>148</v>
      </c>
      <c r="J1310">
        <v>72384</v>
      </c>
      <c r="K1310" t="s">
        <v>2931</v>
      </c>
      <c r="L1310" s="1">
        <v>41120</v>
      </c>
      <c r="N1310" t="s">
        <v>36</v>
      </c>
      <c r="O1310" t="s">
        <v>37</v>
      </c>
      <c r="P1310" t="s">
        <v>311</v>
      </c>
      <c r="Q1310" t="s">
        <v>39</v>
      </c>
      <c r="R1310" t="s">
        <v>40</v>
      </c>
      <c r="S1310">
        <v>0</v>
      </c>
      <c r="U1310" t="s">
        <v>41</v>
      </c>
      <c r="V1310" t="s">
        <v>42</v>
      </c>
      <c r="X1310" t="s">
        <v>74</v>
      </c>
      <c r="Y1310" t="b">
        <v>0</v>
      </c>
      <c r="Z1310" t="b">
        <v>0</v>
      </c>
      <c r="AC1310" s="1"/>
      <c r="AF1310">
        <v>0</v>
      </c>
      <c r="AG1310">
        <v>45</v>
      </c>
      <c r="AH1310">
        <v>193</v>
      </c>
      <c r="AI1310" s="2">
        <f>Table__192.168.3.138DYLAgingReport[[#This Row],[NetAmount]]-Table__192.168.3.138DYLAgingReport[[#This Row],[Paid]]</f>
        <v>72384</v>
      </c>
    </row>
    <row r="1311" spans="1:35">
      <c r="A1311" t="s">
        <v>2932</v>
      </c>
      <c r="B1311" s="1">
        <v>41120</v>
      </c>
      <c r="C1311" s="1">
        <v>41165</v>
      </c>
      <c r="D1311" t="s">
        <v>174</v>
      </c>
      <c r="E1311">
        <v>37700</v>
      </c>
      <c r="F1311">
        <v>6032</v>
      </c>
      <c r="G1311">
        <v>0</v>
      </c>
      <c r="H1311">
        <v>0</v>
      </c>
      <c r="I1311">
        <v>148</v>
      </c>
      <c r="J1311">
        <v>43732</v>
      </c>
      <c r="K1311" t="s">
        <v>2933</v>
      </c>
      <c r="L1311" s="1">
        <v>41120</v>
      </c>
      <c r="N1311" t="s">
        <v>36</v>
      </c>
      <c r="O1311" t="s">
        <v>37</v>
      </c>
      <c r="P1311" t="s">
        <v>311</v>
      </c>
      <c r="Q1311" t="s">
        <v>39</v>
      </c>
      <c r="R1311" t="s">
        <v>40</v>
      </c>
      <c r="S1311">
        <v>0</v>
      </c>
      <c r="U1311" t="s">
        <v>41</v>
      </c>
      <c r="V1311" t="s">
        <v>42</v>
      </c>
      <c r="X1311" t="s">
        <v>74</v>
      </c>
      <c r="Y1311" t="b">
        <v>0</v>
      </c>
      <c r="Z1311" t="b">
        <v>0</v>
      </c>
      <c r="AC1311" s="1"/>
      <c r="AF1311">
        <v>0</v>
      </c>
      <c r="AG1311">
        <v>45</v>
      </c>
      <c r="AH1311">
        <v>193</v>
      </c>
      <c r="AI1311" s="2">
        <f>Table__192.168.3.138DYLAgingReport[[#This Row],[NetAmount]]-Table__192.168.3.138DYLAgingReport[[#This Row],[Paid]]</f>
        <v>43732</v>
      </c>
    </row>
    <row r="1312" spans="1:35">
      <c r="A1312" t="s">
        <v>2934</v>
      </c>
      <c r="B1312" s="1">
        <v>41116</v>
      </c>
      <c r="C1312" s="1">
        <v>41161</v>
      </c>
      <c r="D1312" t="s">
        <v>220</v>
      </c>
      <c r="E1312">
        <v>212000</v>
      </c>
      <c r="F1312">
        <v>33920</v>
      </c>
      <c r="G1312">
        <v>0</v>
      </c>
      <c r="H1312">
        <v>0</v>
      </c>
      <c r="I1312">
        <v>148</v>
      </c>
      <c r="J1312">
        <v>245920</v>
      </c>
      <c r="K1312" t="s">
        <v>2263</v>
      </c>
      <c r="L1312" s="1">
        <v>41120</v>
      </c>
      <c r="N1312" t="s">
        <v>36</v>
      </c>
      <c r="O1312" t="s">
        <v>37</v>
      </c>
      <c r="P1312" t="s">
        <v>357</v>
      </c>
      <c r="Q1312" t="s">
        <v>39</v>
      </c>
      <c r="R1312" t="s">
        <v>40</v>
      </c>
      <c r="S1312">
        <v>0</v>
      </c>
      <c r="U1312" t="s">
        <v>41</v>
      </c>
      <c r="V1312" t="s">
        <v>42</v>
      </c>
      <c r="X1312" t="s">
        <v>74</v>
      </c>
      <c r="Y1312" t="b">
        <v>0</v>
      </c>
      <c r="Z1312" t="b">
        <v>0</v>
      </c>
      <c r="AC1312" s="1"/>
      <c r="AF1312">
        <v>0</v>
      </c>
      <c r="AG1312">
        <v>45</v>
      </c>
      <c r="AH1312">
        <v>193</v>
      </c>
      <c r="AI1312" s="2">
        <f>Table__192.168.3.138DYLAgingReport[[#This Row],[NetAmount]]-Table__192.168.3.138DYLAgingReport[[#This Row],[Paid]]</f>
        <v>245920</v>
      </c>
    </row>
    <row r="1313" spans="1:35">
      <c r="A1313" t="s">
        <v>2935</v>
      </c>
      <c r="B1313" s="1">
        <v>41118</v>
      </c>
      <c r="C1313" s="1">
        <v>41163</v>
      </c>
      <c r="D1313" t="s">
        <v>232</v>
      </c>
      <c r="E1313">
        <v>7812</v>
      </c>
      <c r="F1313">
        <v>1250</v>
      </c>
      <c r="G1313">
        <v>0</v>
      </c>
      <c r="H1313">
        <v>0</v>
      </c>
      <c r="I1313">
        <v>150</v>
      </c>
      <c r="J1313">
        <v>9062</v>
      </c>
      <c r="K1313" t="s">
        <v>2936</v>
      </c>
      <c r="L1313" s="1">
        <v>41118</v>
      </c>
      <c r="N1313" t="s">
        <v>36</v>
      </c>
      <c r="O1313" t="s">
        <v>37</v>
      </c>
      <c r="P1313" t="s">
        <v>369</v>
      </c>
      <c r="Q1313" t="s">
        <v>39</v>
      </c>
      <c r="R1313" t="s">
        <v>40</v>
      </c>
      <c r="S1313">
        <v>0</v>
      </c>
      <c r="U1313" t="s">
        <v>41</v>
      </c>
      <c r="V1313" t="s">
        <v>42</v>
      </c>
      <c r="X1313" t="s">
        <v>74</v>
      </c>
      <c r="Y1313" t="b">
        <v>0</v>
      </c>
      <c r="Z1313" t="b">
        <v>0</v>
      </c>
      <c r="AC1313" s="1"/>
      <c r="AF1313">
        <v>0</v>
      </c>
      <c r="AG1313">
        <v>45</v>
      </c>
      <c r="AH1313">
        <v>195</v>
      </c>
      <c r="AI1313" s="2">
        <f>Table__192.168.3.138DYLAgingReport[[#This Row],[NetAmount]]-Table__192.168.3.138DYLAgingReport[[#This Row],[Paid]]</f>
        <v>9062</v>
      </c>
    </row>
    <row r="1314" spans="1:35">
      <c r="A1314" t="s">
        <v>2937</v>
      </c>
      <c r="B1314" s="1">
        <v>41115</v>
      </c>
      <c r="C1314" s="1">
        <v>41160</v>
      </c>
      <c r="D1314" t="s">
        <v>288</v>
      </c>
      <c r="E1314">
        <v>11920</v>
      </c>
      <c r="F1314">
        <v>1907</v>
      </c>
      <c r="G1314">
        <v>0</v>
      </c>
      <c r="H1314">
        <v>0</v>
      </c>
      <c r="I1314">
        <v>154</v>
      </c>
      <c r="J1314">
        <v>13827</v>
      </c>
      <c r="K1314" t="s">
        <v>2938</v>
      </c>
      <c r="L1314" s="1">
        <v>41114</v>
      </c>
      <c r="N1314" t="s">
        <v>36</v>
      </c>
      <c r="O1314" t="s">
        <v>37</v>
      </c>
      <c r="P1314" t="s">
        <v>425</v>
      </c>
      <c r="Q1314" t="s">
        <v>39</v>
      </c>
      <c r="R1314" t="s">
        <v>40</v>
      </c>
      <c r="S1314">
        <v>0</v>
      </c>
      <c r="U1314" t="s">
        <v>41</v>
      </c>
      <c r="V1314" t="s">
        <v>42</v>
      </c>
      <c r="X1314" t="s">
        <v>74</v>
      </c>
      <c r="Y1314" t="b">
        <v>0</v>
      </c>
      <c r="Z1314" t="b">
        <v>0</v>
      </c>
      <c r="AC1314" s="1"/>
      <c r="AF1314">
        <v>0</v>
      </c>
      <c r="AG1314">
        <v>45</v>
      </c>
      <c r="AH1314">
        <v>199</v>
      </c>
      <c r="AI1314" s="2">
        <f>Table__192.168.3.138DYLAgingReport[[#This Row],[NetAmount]]-Table__192.168.3.138DYLAgingReport[[#This Row],[Paid]]</f>
        <v>13827</v>
      </c>
    </row>
    <row r="1315" spans="1:35">
      <c r="A1315" t="s">
        <v>2939</v>
      </c>
      <c r="B1315" s="1">
        <v>41114</v>
      </c>
      <c r="C1315" s="1">
        <v>41159</v>
      </c>
      <c r="D1315" t="s">
        <v>288</v>
      </c>
      <c r="E1315">
        <v>17870</v>
      </c>
      <c r="F1315">
        <v>2859</v>
      </c>
      <c r="G1315">
        <v>0</v>
      </c>
      <c r="H1315">
        <v>0</v>
      </c>
      <c r="I1315">
        <v>173</v>
      </c>
      <c r="J1315">
        <v>20729</v>
      </c>
      <c r="K1315" t="s">
        <v>2940</v>
      </c>
      <c r="L1315" s="1">
        <v>41095</v>
      </c>
      <c r="N1315" t="s">
        <v>36</v>
      </c>
      <c r="O1315" t="s">
        <v>37</v>
      </c>
      <c r="P1315" t="s">
        <v>425</v>
      </c>
      <c r="Q1315" t="s">
        <v>39</v>
      </c>
      <c r="R1315" t="s">
        <v>40</v>
      </c>
      <c r="S1315">
        <v>0</v>
      </c>
      <c r="U1315" t="s">
        <v>41</v>
      </c>
      <c r="V1315" t="s">
        <v>42</v>
      </c>
      <c r="X1315" t="s">
        <v>74</v>
      </c>
      <c r="Y1315" t="b">
        <v>0</v>
      </c>
      <c r="Z1315" t="b">
        <v>0</v>
      </c>
      <c r="AC1315" s="1"/>
      <c r="AF1315">
        <v>0</v>
      </c>
      <c r="AG1315">
        <v>45</v>
      </c>
      <c r="AH1315">
        <v>218</v>
      </c>
      <c r="AI1315" s="2">
        <f>Table__192.168.3.138DYLAgingReport[[#This Row],[NetAmount]]-Table__192.168.3.138DYLAgingReport[[#This Row],[Paid]]</f>
        <v>20729</v>
      </c>
    </row>
    <row r="1316" spans="1:35">
      <c r="A1316" t="s">
        <v>2941</v>
      </c>
      <c r="B1316" s="1">
        <v>41111</v>
      </c>
      <c r="C1316" s="1">
        <v>41156</v>
      </c>
      <c r="D1316" t="s">
        <v>188</v>
      </c>
      <c r="E1316">
        <v>14212</v>
      </c>
      <c r="F1316">
        <v>2274</v>
      </c>
      <c r="G1316">
        <v>0</v>
      </c>
      <c r="H1316">
        <v>0</v>
      </c>
      <c r="I1316">
        <v>160</v>
      </c>
      <c r="J1316">
        <v>16486</v>
      </c>
      <c r="K1316" t="s">
        <v>2942</v>
      </c>
      <c r="L1316" s="1">
        <v>41108</v>
      </c>
      <c r="N1316" t="s">
        <v>36</v>
      </c>
      <c r="O1316" t="s">
        <v>37</v>
      </c>
      <c r="P1316" t="s">
        <v>325</v>
      </c>
      <c r="Q1316" t="s">
        <v>39</v>
      </c>
      <c r="R1316" t="s">
        <v>40</v>
      </c>
      <c r="S1316">
        <v>0</v>
      </c>
      <c r="U1316" t="s">
        <v>41</v>
      </c>
      <c r="V1316" t="s">
        <v>42</v>
      </c>
      <c r="X1316" t="s">
        <v>74</v>
      </c>
      <c r="Y1316" t="b">
        <v>0</v>
      </c>
      <c r="Z1316" t="b">
        <v>0</v>
      </c>
      <c r="AC1316" s="1"/>
      <c r="AF1316">
        <v>0</v>
      </c>
      <c r="AG1316">
        <v>45</v>
      </c>
      <c r="AH1316">
        <v>205</v>
      </c>
      <c r="AI1316" s="2">
        <f>Table__192.168.3.138DYLAgingReport[[#This Row],[NetAmount]]-Table__192.168.3.138DYLAgingReport[[#This Row],[Paid]]</f>
        <v>16486</v>
      </c>
    </row>
    <row r="1317" spans="1:35">
      <c r="A1317" t="s">
        <v>2943</v>
      </c>
      <c r="B1317" s="1">
        <v>41118</v>
      </c>
      <c r="C1317" s="1">
        <v>41163</v>
      </c>
      <c r="D1317" t="s">
        <v>207</v>
      </c>
      <c r="E1317">
        <v>66469</v>
      </c>
      <c r="F1317">
        <v>10635</v>
      </c>
      <c r="G1317">
        <v>0</v>
      </c>
      <c r="H1317">
        <v>0</v>
      </c>
      <c r="I1317">
        <v>155</v>
      </c>
      <c r="J1317">
        <v>77104</v>
      </c>
      <c r="K1317" t="s">
        <v>2944</v>
      </c>
      <c r="L1317" s="1">
        <v>41113</v>
      </c>
      <c r="N1317" t="s">
        <v>36</v>
      </c>
      <c r="O1317" t="s">
        <v>37</v>
      </c>
      <c r="P1317" t="s">
        <v>344</v>
      </c>
      <c r="Q1317" t="s">
        <v>39</v>
      </c>
      <c r="R1317" t="s">
        <v>40</v>
      </c>
      <c r="S1317">
        <v>0</v>
      </c>
      <c r="U1317" t="s">
        <v>41</v>
      </c>
      <c r="V1317" t="s">
        <v>42</v>
      </c>
      <c r="X1317" t="s">
        <v>74</v>
      </c>
      <c r="Y1317" t="b">
        <v>0</v>
      </c>
      <c r="Z1317" t="b">
        <v>0</v>
      </c>
      <c r="AC1317" s="1"/>
      <c r="AF1317">
        <v>0</v>
      </c>
      <c r="AG1317">
        <v>45</v>
      </c>
      <c r="AH1317">
        <v>200</v>
      </c>
      <c r="AI1317" s="2">
        <f>Table__192.168.3.138DYLAgingReport[[#This Row],[NetAmount]]-Table__192.168.3.138DYLAgingReport[[#This Row],[Paid]]</f>
        <v>77104</v>
      </c>
    </row>
    <row r="1318" spans="1:35">
      <c r="A1318" t="s">
        <v>2945</v>
      </c>
      <c r="B1318" s="1">
        <v>41116</v>
      </c>
      <c r="C1318" s="1">
        <v>41161</v>
      </c>
      <c r="D1318" t="s">
        <v>167</v>
      </c>
      <c r="E1318">
        <v>10568</v>
      </c>
      <c r="F1318">
        <v>1691</v>
      </c>
      <c r="G1318">
        <v>0</v>
      </c>
      <c r="H1318">
        <v>0</v>
      </c>
      <c r="I1318">
        <v>152</v>
      </c>
      <c r="J1318">
        <v>12259</v>
      </c>
      <c r="K1318" t="s">
        <v>2946</v>
      </c>
      <c r="L1318" s="1">
        <v>41116</v>
      </c>
      <c r="N1318" t="s">
        <v>36</v>
      </c>
      <c r="O1318" t="s">
        <v>37</v>
      </c>
      <c r="P1318" t="s">
        <v>304</v>
      </c>
      <c r="Q1318" t="s">
        <v>39</v>
      </c>
      <c r="R1318" t="s">
        <v>40</v>
      </c>
      <c r="S1318">
        <v>0</v>
      </c>
      <c r="U1318" t="s">
        <v>41</v>
      </c>
      <c r="V1318" t="s">
        <v>42</v>
      </c>
      <c r="X1318" t="s">
        <v>74</v>
      </c>
      <c r="Y1318" t="b">
        <v>0</v>
      </c>
      <c r="Z1318" t="b">
        <v>0</v>
      </c>
      <c r="AC1318" s="1"/>
      <c r="AF1318">
        <v>0</v>
      </c>
      <c r="AG1318">
        <v>45</v>
      </c>
      <c r="AH1318">
        <v>197</v>
      </c>
      <c r="AI1318" s="2">
        <f>Table__192.168.3.138DYLAgingReport[[#This Row],[NetAmount]]-Table__192.168.3.138DYLAgingReport[[#This Row],[Paid]]</f>
        <v>12259</v>
      </c>
    </row>
    <row r="1319" spans="1:35">
      <c r="A1319" t="s">
        <v>2947</v>
      </c>
      <c r="B1319" s="1">
        <v>41116</v>
      </c>
      <c r="C1319" s="1">
        <v>41161</v>
      </c>
      <c r="D1319" t="s">
        <v>227</v>
      </c>
      <c r="E1319">
        <v>152047</v>
      </c>
      <c r="F1319">
        <v>24327</v>
      </c>
      <c r="G1319">
        <v>0</v>
      </c>
      <c r="H1319">
        <v>0</v>
      </c>
      <c r="I1319">
        <v>151</v>
      </c>
      <c r="J1319">
        <v>176374</v>
      </c>
      <c r="K1319" t="s">
        <v>2948</v>
      </c>
      <c r="L1319" s="1">
        <v>41117</v>
      </c>
      <c r="N1319" t="s">
        <v>36</v>
      </c>
      <c r="O1319" t="s">
        <v>37</v>
      </c>
      <c r="P1319" t="s">
        <v>364</v>
      </c>
      <c r="Q1319" t="s">
        <v>39</v>
      </c>
      <c r="R1319" t="s">
        <v>40</v>
      </c>
      <c r="S1319">
        <v>0</v>
      </c>
      <c r="U1319" t="s">
        <v>41</v>
      </c>
      <c r="V1319" t="s">
        <v>42</v>
      </c>
      <c r="X1319" t="s">
        <v>74</v>
      </c>
      <c r="Y1319" t="b">
        <v>0</v>
      </c>
      <c r="Z1319" t="b">
        <v>0</v>
      </c>
      <c r="AC1319" s="1"/>
      <c r="AF1319">
        <v>0</v>
      </c>
      <c r="AG1319">
        <v>45</v>
      </c>
      <c r="AH1319">
        <v>196</v>
      </c>
      <c r="AI1319" s="2">
        <f>Table__192.168.3.138DYLAgingReport[[#This Row],[NetAmount]]-Table__192.168.3.138DYLAgingReport[[#This Row],[Paid]]</f>
        <v>176374</v>
      </c>
    </row>
    <row r="1320" spans="1:35">
      <c r="A1320" t="s">
        <v>2949</v>
      </c>
      <c r="B1320" s="1">
        <v>41116</v>
      </c>
      <c r="C1320" s="1">
        <v>41161</v>
      </c>
      <c r="D1320" t="s">
        <v>227</v>
      </c>
      <c r="E1320">
        <v>209400</v>
      </c>
      <c r="F1320">
        <v>33504</v>
      </c>
      <c r="G1320">
        <v>0</v>
      </c>
      <c r="H1320">
        <v>0</v>
      </c>
      <c r="I1320">
        <v>151</v>
      </c>
      <c r="J1320">
        <v>242904</v>
      </c>
      <c r="K1320" t="s">
        <v>1062</v>
      </c>
      <c r="L1320" s="1">
        <v>41117</v>
      </c>
      <c r="N1320" t="s">
        <v>36</v>
      </c>
      <c r="O1320" t="s">
        <v>37</v>
      </c>
      <c r="P1320" t="s">
        <v>364</v>
      </c>
      <c r="Q1320" t="s">
        <v>39</v>
      </c>
      <c r="R1320" t="s">
        <v>40</v>
      </c>
      <c r="S1320">
        <v>0</v>
      </c>
      <c r="U1320" t="s">
        <v>41</v>
      </c>
      <c r="V1320" t="s">
        <v>42</v>
      </c>
      <c r="X1320" t="s">
        <v>74</v>
      </c>
      <c r="Y1320" t="b">
        <v>0</v>
      </c>
      <c r="Z1320" t="b">
        <v>0</v>
      </c>
      <c r="AC1320" s="1"/>
      <c r="AF1320">
        <v>0</v>
      </c>
      <c r="AG1320">
        <v>45</v>
      </c>
      <c r="AH1320">
        <v>196</v>
      </c>
      <c r="AI1320" s="2">
        <f>Table__192.168.3.138DYLAgingReport[[#This Row],[NetAmount]]-Table__192.168.3.138DYLAgingReport[[#This Row],[Paid]]</f>
        <v>242904</v>
      </c>
    </row>
    <row r="1321" spans="1:35">
      <c r="A1321" t="s">
        <v>2950</v>
      </c>
      <c r="B1321" s="1">
        <v>41121</v>
      </c>
      <c r="C1321" s="1">
        <v>41166</v>
      </c>
      <c r="D1321" t="s">
        <v>251</v>
      </c>
      <c r="E1321">
        <v>4200</v>
      </c>
      <c r="F1321">
        <v>672</v>
      </c>
      <c r="G1321">
        <v>0</v>
      </c>
      <c r="H1321">
        <v>0</v>
      </c>
      <c r="I1321">
        <v>147</v>
      </c>
      <c r="J1321">
        <v>4872</v>
      </c>
      <c r="K1321" t="s">
        <v>2951</v>
      </c>
      <c r="L1321" s="1">
        <v>41121</v>
      </c>
      <c r="N1321" t="s">
        <v>36</v>
      </c>
      <c r="O1321" t="s">
        <v>37</v>
      </c>
      <c r="P1321" t="s">
        <v>388</v>
      </c>
      <c r="Q1321" t="s">
        <v>39</v>
      </c>
      <c r="R1321" t="s">
        <v>40</v>
      </c>
      <c r="S1321">
        <v>0</v>
      </c>
      <c r="U1321" t="s">
        <v>41</v>
      </c>
      <c r="V1321" t="s">
        <v>42</v>
      </c>
      <c r="X1321" t="s">
        <v>74</v>
      </c>
      <c r="Y1321" t="b">
        <v>0</v>
      </c>
      <c r="Z1321" t="b">
        <v>0</v>
      </c>
      <c r="AB1321" t="s">
        <v>786</v>
      </c>
      <c r="AC1321" s="1">
        <v>41244</v>
      </c>
      <c r="AE1321" t="s">
        <v>616</v>
      </c>
      <c r="AF1321">
        <v>0</v>
      </c>
      <c r="AG1321">
        <v>45</v>
      </c>
      <c r="AH1321">
        <v>192</v>
      </c>
      <c r="AI1321" s="2">
        <f>Table__192.168.3.138DYLAgingReport[[#This Row],[NetAmount]]-Table__192.168.3.138DYLAgingReport[[#This Row],[Paid]]</f>
        <v>4872</v>
      </c>
    </row>
    <row r="1322" spans="1:35">
      <c r="A1322" t="s">
        <v>2952</v>
      </c>
      <c r="B1322" s="1">
        <v>41114</v>
      </c>
      <c r="C1322" s="1">
        <v>41159</v>
      </c>
      <c r="D1322" t="s">
        <v>226</v>
      </c>
      <c r="E1322">
        <v>18750</v>
      </c>
      <c r="F1322">
        <v>3000</v>
      </c>
      <c r="G1322">
        <v>0</v>
      </c>
      <c r="H1322">
        <v>0</v>
      </c>
      <c r="I1322">
        <v>147</v>
      </c>
      <c r="J1322">
        <v>21750</v>
      </c>
      <c r="K1322" t="s">
        <v>2953</v>
      </c>
      <c r="L1322" s="1">
        <v>41121</v>
      </c>
      <c r="N1322" t="s">
        <v>36</v>
      </c>
      <c r="O1322" t="s">
        <v>37</v>
      </c>
      <c r="P1322" t="s">
        <v>363</v>
      </c>
      <c r="Q1322" t="s">
        <v>39</v>
      </c>
      <c r="R1322" t="s">
        <v>40</v>
      </c>
      <c r="S1322">
        <v>0</v>
      </c>
      <c r="U1322" t="s">
        <v>41</v>
      </c>
      <c r="V1322" t="s">
        <v>42</v>
      </c>
      <c r="X1322" t="s">
        <v>74</v>
      </c>
      <c r="Y1322" t="b">
        <v>0</v>
      </c>
      <c r="Z1322" t="b">
        <v>0</v>
      </c>
      <c r="AC1322" s="1"/>
      <c r="AF1322">
        <v>0</v>
      </c>
      <c r="AG1322">
        <v>45</v>
      </c>
      <c r="AH1322">
        <v>192</v>
      </c>
      <c r="AI1322" s="2">
        <f>Table__192.168.3.138DYLAgingReport[[#This Row],[NetAmount]]-Table__192.168.3.138DYLAgingReport[[#This Row],[Paid]]</f>
        <v>21750</v>
      </c>
    </row>
    <row r="1323" spans="1:35">
      <c r="A1323" t="s">
        <v>2954</v>
      </c>
      <c r="B1323" s="1">
        <v>41109</v>
      </c>
      <c r="C1323" s="1">
        <v>41154</v>
      </c>
      <c r="D1323" t="s">
        <v>268</v>
      </c>
      <c r="E1323">
        <v>58045</v>
      </c>
      <c r="F1323">
        <v>9287</v>
      </c>
      <c r="G1323">
        <v>0</v>
      </c>
      <c r="H1323">
        <v>0</v>
      </c>
      <c r="I1323">
        <v>160</v>
      </c>
      <c r="J1323">
        <v>67332</v>
      </c>
      <c r="K1323" t="s">
        <v>2955</v>
      </c>
      <c r="L1323" s="1">
        <v>41108</v>
      </c>
      <c r="N1323" t="s">
        <v>36</v>
      </c>
      <c r="O1323" t="s">
        <v>37</v>
      </c>
      <c r="P1323" t="s">
        <v>405</v>
      </c>
      <c r="Q1323" t="s">
        <v>39</v>
      </c>
      <c r="R1323" t="s">
        <v>40</v>
      </c>
      <c r="S1323">
        <v>0</v>
      </c>
      <c r="U1323" t="s">
        <v>41</v>
      </c>
      <c r="V1323" t="s">
        <v>42</v>
      </c>
      <c r="X1323" t="s">
        <v>74</v>
      </c>
      <c r="Y1323" t="b">
        <v>0</v>
      </c>
      <c r="Z1323" t="b">
        <v>0</v>
      </c>
      <c r="AC1323" s="1"/>
      <c r="AF1323">
        <v>0</v>
      </c>
      <c r="AG1323">
        <v>45</v>
      </c>
      <c r="AH1323">
        <v>205</v>
      </c>
      <c r="AI1323" s="2">
        <f>Table__192.168.3.138DYLAgingReport[[#This Row],[NetAmount]]-Table__192.168.3.138DYLAgingReport[[#This Row],[Paid]]</f>
        <v>67332</v>
      </c>
    </row>
    <row r="1324" spans="1:35">
      <c r="A1324" t="s">
        <v>2956</v>
      </c>
      <c r="B1324" s="1">
        <v>41114</v>
      </c>
      <c r="C1324" s="1">
        <v>41159</v>
      </c>
      <c r="D1324" t="s">
        <v>268</v>
      </c>
      <c r="E1324">
        <v>188200</v>
      </c>
      <c r="F1324">
        <v>30112</v>
      </c>
      <c r="G1324">
        <v>0</v>
      </c>
      <c r="H1324">
        <v>0</v>
      </c>
      <c r="I1324">
        <v>154</v>
      </c>
      <c r="J1324">
        <v>218312</v>
      </c>
      <c r="K1324" t="s">
        <v>2957</v>
      </c>
      <c r="L1324" s="1">
        <v>41114</v>
      </c>
      <c r="N1324" t="s">
        <v>36</v>
      </c>
      <c r="O1324" t="s">
        <v>37</v>
      </c>
      <c r="P1324" t="s">
        <v>405</v>
      </c>
      <c r="Q1324" t="s">
        <v>39</v>
      </c>
      <c r="R1324" t="s">
        <v>40</v>
      </c>
      <c r="S1324">
        <v>0</v>
      </c>
      <c r="U1324" t="s">
        <v>41</v>
      </c>
      <c r="V1324" t="s">
        <v>42</v>
      </c>
      <c r="X1324" t="s">
        <v>74</v>
      </c>
      <c r="Y1324" t="b">
        <v>0</v>
      </c>
      <c r="Z1324" t="b">
        <v>0</v>
      </c>
      <c r="AC1324" s="1"/>
      <c r="AF1324">
        <v>0</v>
      </c>
      <c r="AG1324">
        <v>45</v>
      </c>
      <c r="AH1324">
        <v>199</v>
      </c>
      <c r="AI1324" s="2">
        <f>Table__192.168.3.138DYLAgingReport[[#This Row],[NetAmount]]-Table__192.168.3.138DYLAgingReport[[#This Row],[Paid]]</f>
        <v>218312</v>
      </c>
    </row>
    <row r="1325" spans="1:35">
      <c r="A1325" t="s">
        <v>2958</v>
      </c>
      <c r="B1325" s="1">
        <v>41120</v>
      </c>
      <c r="C1325" s="1">
        <v>41165</v>
      </c>
      <c r="D1325" t="s">
        <v>268</v>
      </c>
      <c r="E1325">
        <v>205000</v>
      </c>
      <c r="F1325">
        <v>32800</v>
      </c>
      <c r="G1325">
        <v>0</v>
      </c>
      <c r="H1325">
        <v>0</v>
      </c>
      <c r="I1325">
        <v>148</v>
      </c>
      <c r="J1325">
        <v>237800</v>
      </c>
      <c r="K1325" t="s">
        <v>2885</v>
      </c>
      <c r="L1325" s="1">
        <v>41120</v>
      </c>
      <c r="N1325" t="s">
        <v>36</v>
      </c>
      <c r="O1325" t="s">
        <v>37</v>
      </c>
      <c r="P1325" t="s">
        <v>405</v>
      </c>
      <c r="Q1325" t="s">
        <v>39</v>
      </c>
      <c r="R1325" t="s">
        <v>40</v>
      </c>
      <c r="S1325">
        <v>0</v>
      </c>
      <c r="U1325" t="s">
        <v>41</v>
      </c>
      <c r="V1325" t="s">
        <v>42</v>
      </c>
      <c r="X1325" t="s">
        <v>74</v>
      </c>
      <c r="Y1325" t="b">
        <v>0</v>
      </c>
      <c r="Z1325" t="b">
        <v>0</v>
      </c>
      <c r="AC1325" s="1"/>
      <c r="AF1325">
        <v>0</v>
      </c>
      <c r="AG1325">
        <v>45</v>
      </c>
      <c r="AH1325">
        <v>193</v>
      </c>
      <c r="AI1325" s="2">
        <f>Table__192.168.3.138DYLAgingReport[[#This Row],[NetAmount]]-Table__192.168.3.138DYLAgingReport[[#This Row],[Paid]]</f>
        <v>237800</v>
      </c>
    </row>
    <row r="1326" spans="1:35">
      <c r="A1326" t="s">
        <v>2959</v>
      </c>
      <c r="B1326" s="1">
        <v>41115</v>
      </c>
      <c r="C1326" s="1">
        <v>41160</v>
      </c>
      <c r="D1326" t="s">
        <v>268</v>
      </c>
      <c r="E1326">
        <v>47559</v>
      </c>
      <c r="F1326">
        <v>7609</v>
      </c>
      <c r="G1326">
        <v>0</v>
      </c>
      <c r="H1326">
        <v>0</v>
      </c>
      <c r="I1326">
        <v>152</v>
      </c>
      <c r="J1326">
        <v>55168</v>
      </c>
      <c r="K1326" t="s">
        <v>2881</v>
      </c>
      <c r="L1326" s="1">
        <v>41116</v>
      </c>
      <c r="N1326" t="s">
        <v>36</v>
      </c>
      <c r="O1326" t="s">
        <v>37</v>
      </c>
      <c r="P1326" t="s">
        <v>405</v>
      </c>
      <c r="Q1326" t="s">
        <v>39</v>
      </c>
      <c r="R1326" t="s">
        <v>40</v>
      </c>
      <c r="S1326">
        <v>0</v>
      </c>
      <c r="U1326" t="s">
        <v>41</v>
      </c>
      <c r="V1326" t="s">
        <v>42</v>
      </c>
      <c r="X1326" t="s">
        <v>74</v>
      </c>
      <c r="Y1326" t="b">
        <v>0</v>
      </c>
      <c r="Z1326" t="b">
        <v>0</v>
      </c>
      <c r="AC1326" s="1"/>
      <c r="AF1326">
        <v>0</v>
      </c>
      <c r="AG1326">
        <v>45</v>
      </c>
      <c r="AH1326">
        <v>197</v>
      </c>
      <c r="AI1326" s="2">
        <f>Table__192.168.3.138DYLAgingReport[[#This Row],[NetAmount]]-Table__192.168.3.138DYLAgingReport[[#This Row],[Paid]]</f>
        <v>55168</v>
      </c>
    </row>
    <row r="1327" spans="1:35">
      <c r="A1327" t="s">
        <v>2960</v>
      </c>
      <c r="B1327" s="1">
        <v>41116</v>
      </c>
      <c r="C1327" s="1">
        <v>41161</v>
      </c>
      <c r="D1327" t="s">
        <v>177</v>
      </c>
      <c r="E1327">
        <v>98600</v>
      </c>
      <c r="F1327">
        <v>15776</v>
      </c>
      <c r="G1327">
        <v>0</v>
      </c>
      <c r="H1327">
        <v>0</v>
      </c>
      <c r="I1327">
        <v>152</v>
      </c>
      <c r="J1327">
        <v>114376</v>
      </c>
      <c r="K1327" t="s">
        <v>2961</v>
      </c>
      <c r="L1327" s="1">
        <v>41116</v>
      </c>
      <c r="N1327" t="s">
        <v>36</v>
      </c>
      <c r="O1327" t="s">
        <v>37</v>
      </c>
      <c r="P1327" t="s">
        <v>314</v>
      </c>
      <c r="Q1327" t="s">
        <v>39</v>
      </c>
      <c r="R1327" t="s">
        <v>40</v>
      </c>
      <c r="S1327">
        <v>0</v>
      </c>
      <c r="U1327" t="s">
        <v>41</v>
      </c>
      <c r="V1327" t="s">
        <v>42</v>
      </c>
      <c r="X1327" t="s">
        <v>74</v>
      </c>
      <c r="Y1327" t="b">
        <v>0</v>
      </c>
      <c r="Z1327" t="b">
        <v>0</v>
      </c>
      <c r="AC1327" s="1"/>
      <c r="AF1327">
        <v>0</v>
      </c>
      <c r="AG1327">
        <v>45</v>
      </c>
      <c r="AH1327">
        <v>197</v>
      </c>
      <c r="AI1327" s="2">
        <f>Table__192.168.3.138DYLAgingReport[[#This Row],[NetAmount]]-Table__192.168.3.138DYLAgingReport[[#This Row],[Paid]]</f>
        <v>114376</v>
      </c>
    </row>
    <row r="1328" spans="1:35">
      <c r="A1328" t="s">
        <v>2962</v>
      </c>
      <c r="B1328" s="1">
        <v>41095</v>
      </c>
      <c r="C1328" s="1">
        <v>41140</v>
      </c>
      <c r="D1328" t="s">
        <v>190</v>
      </c>
      <c r="E1328">
        <v>70150</v>
      </c>
      <c r="F1328">
        <v>11224</v>
      </c>
      <c r="G1328">
        <v>0</v>
      </c>
      <c r="H1328">
        <v>0</v>
      </c>
      <c r="I1328">
        <v>173</v>
      </c>
      <c r="J1328">
        <v>81374</v>
      </c>
      <c r="K1328" t="s">
        <v>993</v>
      </c>
      <c r="L1328" s="1">
        <v>41095</v>
      </c>
      <c r="N1328" t="s">
        <v>36</v>
      </c>
      <c r="O1328" t="s">
        <v>37</v>
      </c>
      <c r="P1328" t="s">
        <v>327</v>
      </c>
      <c r="Q1328" t="s">
        <v>39</v>
      </c>
      <c r="R1328" t="s">
        <v>40</v>
      </c>
      <c r="S1328">
        <v>0</v>
      </c>
      <c r="U1328" t="s">
        <v>41</v>
      </c>
      <c r="V1328" t="s">
        <v>42</v>
      </c>
      <c r="X1328" t="s">
        <v>74</v>
      </c>
      <c r="Y1328" t="b">
        <v>0</v>
      </c>
      <c r="Z1328" t="b">
        <v>0</v>
      </c>
      <c r="AC1328" s="1"/>
      <c r="AF1328">
        <v>0</v>
      </c>
      <c r="AG1328">
        <v>45</v>
      </c>
      <c r="AH1328">
        <v>218</v>
      </c>
      <c r="AI1328" s="2">
        <f>Table__192.168.3.138DYLAgingReport[[#This Row],[NetAmount]]-Table__192.168.3.138DYLAgingReport[[#This Row],[Paid]]</f>
        <v>81374</v>
      </c>
    </row>
    <row r="1329" spans="1:35">
      <c r="A1329" t="s">
        <v>2963</v>
      </c>
      <c r="B1329" s="1">
        <v>41106</v>
      </c>
      <c r="C1329" s="1">
        <v>41151</v>
      </c>
      <c r="D1329" t="s">
        <v>190</v>
      </c>
      <c r="E1329">
        <v>62088</v>
      </c>
      <c r="F1329">
        <v>9934</v>
      </c>
      <c r="G1329">
        <v>0</v>
      </c>
      <c r="H1329">
        <v>0</v>
      </c>
      <c r="I1329">
        <v>166</v>
      </c>
      <c r="J1329">
        <v>72022</v>
      </c>
      <c r="K1329" t="s">
        <v>2249</v>
      </c>
      <c r="L1329" s="1">
        <v>41102</v>
      </c>
      <c r="N1329" t="s">
        <v>36</v>
      </c>
      <c r="O1329" t="s">
        <v>37</v>
      </c>
      <c r="P1329" t="s">
        <v>327</v>
      </c>
      <c r="Q1329" t="s">
        <v>39</v>
      </c>
      <c r="R1329" t="s">
        <v>40</v>
      </c>
      <c r="S1329">
        <v>0</v>
      </c>
      <c r="U1329" t="s">
        <v>41</v>
      </c>
      <c r="V1329" t="s">
        <v>42</v>
      </c>
      <c r="X1329" t="s">
        <v>74</v>
      </c>
      <c r="Y1329" t="b">
        <v>0</v>
      </c>
      <c r="Z1329" t="b">
        <v>0</v>
      </c>
      <c r="AC1329" s="1"/>
      <c r="AF1329">
        <v>0</v>
      </c>
      <c r="AG1329">
        <v>45</v>
      </c>
      <c r="AH1329">
        <v>211</v>
      </c>
      <c r="AI1329" s="2">
        <f>Table__192.168.3.138DYLAgingReport[[#This Row],[NetAmount]]-Table__192.168.3.138DYLAgingReport[[#This Row],[Paid]]</f>
        <v>72022</v>
      </c>
    </row>
    <row r="1330" spans="1:35">
      <c r="A1330" t="s">
        <v>2964</v>
      </c>
      <c r="B1330" s="1">
        <v>41118</v>
      </c>
      <c r="C1330" s="1">
        <v>41163</v>
      </c>
      <c r="D1330" t="s">
        <v>211</v>
      </c>
      <c r="E1330">
        <v>6250</v>
      </c>
      <c r="F1330">
        <v>0</v>
      </c>
      <c r="G1330">
        <v>0</v>
      </c>
      <c r="H1330">
        <v>0</v>
      </c>
      <c r="I1330">
        <v>150</v>
      </c>
      <c r="J1330">
        <v>6250</v>
      </c>
      <c r="K1330" t="s">
        <v>2965</v>
      </c>
      <c r="L1330" s="1">
        <v>41118</v>
      </c>
      <c r="N1330" t="s">
        <v>36</v>
      </c>
      <c r="O1330" t="s">
        <v>37</v>
      </c>
      <c r="P1330" t="s">
        <v>348</v>
      </c>
      <c r="Q1330" t="s">
        <v>39</v>
      </c>
      <c r="R1330" t="s">
        <v>40</v>
      </c>
      <c r="S1330">
        <v>0</v>
      </c>
      <c r="U1330" t="s">
        <v>41</v>
      </c>
      <c r="V1330" t="s">
        <v>42</v>
      </c>
      <c r="X1330" t="s">
        <v>74</v>
      </c>
      <c r="Y1330" t="b">
        <v>0</v>
      </c>
      <c r="Z1330" t="b">
        <v>0</v>
      </c>
      <c r="AC1330" s="1"/>
      <c r="AF1330">
        <v>0</v>
      </c>
      <c r="AG1330">
        <v>45</v>
      </c>
      <c r="AH1330">
        <v>195</v>
      </c>
      <c r="AI1330" s="2">
        <f>Table__192.168.3.138DYLAgingReport[[#This Row],[NetAmount]]-Table__192.168.3.138DYLAgingReport[[#This Row],[Paid]]</f>
        <v>6250</v>
      </c>
    </row>
    <row r="1331" spans="1:35">
      <c r="A1331" t="s">
        <v>2966</v>
      </c>
      <c r="B1331" s="1">
        <v>41118</v>
      </c>
      <c r="C1331" s="1">
        <v>41163</v>
      </c>
      <c r="D1331" t="s">
        <v>211</v>
      </c>
      <c r="E1331">
        <v>22425</v>
      </c>
      <c r="F1331">
        <v>0</v>
      </c>
      <c r="G1331">
        <v>0</v>
      </c>
      <c r="H1331">
        <v>0</v>
      </c>
      <c r="I1331">
        <v>150</v>
      </c>
      <c r="J1331">
        <v>22425</v>
      </c>
      <c r="K1331" t="s">
        <v>2967</v>
      </c>
      <c r="L1331" s="1">
        <v>41118</v>
      </c>
      <c r="N1331" t="s">
        <v>36</v>
      </c>
      <c r="O1331" t="s">
        <v>37</v>
      </c>
      <c r="P1331" t="s">
        <v>348</v>
      </c>
      <c r="Q1331" t="s">
        <v>39</v>
      </c>
      <c r="R1331" t="s">
        <v>40</v>
      </c>
      <c r="S1331">
        <v>0</v>
      </c>
      <c r="U1331" t="s">
        <v>41</v>
      </c>
      <c r="V1331" t="s">
        <v>42</v>
      </c>
      <c r="X1331" t="s">
        <v>74</v>
      </c>
      <c r="Y1331" t="b">
        <v>0</v>
      </c>
      <c r="Z1331" t="b">
        <v>0</v>
      </c>
      <c r="AC1331" s="1"/>
      <c r="AF1331">
        <v>0</v>
      </c>
      <c r="AG1331">
        <v>45</v>
      </c>
      <c r="AH1331">
        <v>195</v>
      </c>
      <c r="AI1331" s="2">
        <f>Table__192.168.3.138DYLAgingReport[[#This Row],[NetAmount]]-Table__192.168.3.138DYLAgingReport[[#This Row],[Paid]]</f>
        <v>22425</v>
      </c>
    </row>
    <row r="1332" spans="1:35">
      <c r="A1332" t="s">
        <v>2968</v>
      </c>
      <c r="B1332" s="1">
        <v>41120</v>
      </c>
      <c r="C1332" s="1">
        <v>41165</v>
      </c>
      <c r="D1332" t="s">
        <v>227</v>
      </c>
      <c r="E1332">
        <v>220000</v>
      </c>
      <c r="F1332">
        <v>35200</v>
      </c>
      <c r="G1332">
        <v>0</v>
      </c>
      <c r="H1332">
        <v>0</v>
      </c>
      <c r="I1332">
        <v>148</v>
      </c>
      <c r="J1332">
        <v>255200</v>
      </c>
      <c r="K1332" t="s">
        <v>2969</v>
      </c>
      <c r="L1332" s="1">
        <v>41120</v>
      </c>
      <c r="N1332" t="s">
        <v>36</v>
      </c>
      <c r="O1332" t="s">
        <v>37</v>
      </c>
      <c r="P1332" t="s">
        <v>364</v>
      </c>
      <c r="Q1332" t="s">
        <v>39</v>
      </c>
      <c r="R1332" t="s">
        <v>40</v>
      </c>
      <c r="S1332">
        <v>0</v>
      </c>
      <c r="U1332" t="s">
        <v>41</v>
      </c>
      <c r="V1332" t="s">
        <v>42</v>
      </c>
      <c r="X1332" t="s">
        <v>74</v>
      </c>
      <c r="Y1332" t="b">
        <v>0</v>
      </c>
      <c r="Z1332" t="b">
        <v>0</v>
      </c>
      <c r="AC1332" s="1"/>
      <c r="AF1332">
        <v>0</v>
      </c>
      <c r="AG1332">
        <v>45</v>
      </c>
      <c r="AH1332">
        <v>193</v>
      </c>
      <c r="AI1332" s="2">
        <f>Table__192.168.3.138DYLAgingReport[[#This Row],[NetAmount]]-Table__192.168.3.138DYLAgingReport[[#This Row],[Paid]]</f>
        <v>255200</v>
      </c>
    </row>
    <row r="1333" spans="1:35">
      <c r="A1333" t="s">
        <v>2970</v>
      </c>
      <c r="B1333" s="1">
        <v>41118</v>
      </c>
      <c r="C1333" s="1">
        <v>41163</v>
      </c>
      <c r="D1333" t="s">
        <v>227</v>
      </c>
      <c r="E1333">
        <v>147500</v>
      </c>
      <c r="F1333">
        <v>23600</v>
      </c>
      <c r="G1333">
        <v>0</v>
      </c>
      <c r="H1333">
        <v>0</v>
      </c>
      <c r="I1333">
        <v>150</v>
      </c>
      <c r="J1333">
        <v>171100</v>
      </c>
      <c r="K1333" t="s">
        <v>2971</v>
      </c>
      <c r="L1333" s="1">
        <v>41118</v>
      </c>
      <c r="N1333" t="s">
        <v>36</v>
      </c>
      <c r="O1333" t="s">
        <v>37</v>
      </c>
      <c r="P1333" t="s">
        <v>364</v>
      </c>
      <c r="Q1333" t="s">
        <v>39</v>
      </c>
      <c r="R1333" t="s">
        <v>40</v>
      </c>
      <c r="S1333">
        <v>0</v>
      </c>
      <c r="U1333" t="s">
        <v>41</v>
      </c>
      <c r="V1333" t="s">
        <v>42</v>
      </c>
      <c r="X1333" t="s">
        <v>74</v>
      </c>
      <c r="Y1333" t="b">
        <v>0</v>
      </c>
      <c r="Z1333" t="b">
        <v>0</v>
      </c>
      <c r="AC1333" s="1"/>
      <c r="AF1333">
        <v>0</v>
      </c>
      <c r="AG1333">
        <v>45</v>
      </c>
      <c r="AH1333">
        <v>195</v>
      </c>
      <c r="AI1333" s="2">
        <f>Table__192.168.3.138DYLAgingReport[[#This Row],[NetAmount]]-Table__192.168.3.138DYLAgingReport[[#This Row],[Paid]]</f>
        <v>171100</v>
      </c>
    </row>
    <row r="1334" spans="1:35">
      <c r="A1334" t="s">
        <v>2972</v>
      </c>
      <c r="B1334" s="1">
        <v>41099</v>
      </c>
      <c r="C1334" s="1">
        <v>41144</v>
      </c>
      <c r="D1334" t="s">
        <v>264</v>
      </c>
      <c r="E1334">
        <v>700000</v>
      </c>
      <c r="F1334">
        <v>112000</v>
      </c>
      <c r="G1334">
        <v>0</v>
      </c>
      <c r="H1334">
        <v>0</v>
      </c>
      <c r="I1334">
        <v>171</v>
      </c>
      <c r="J1334">
        <v>812000</v>
      </c>
      <c r="K1334" t="s">
        <v>905</v>
      </c>
      <c r="L1334" s="1">
        <v>41097</v>
      </c>
      <c r="N1334" t="s">
        <v>36</v>
      </c>
      <c r="O1334" t="s">
        <v>37</v>
      </c>
      <c r="P1334" t="s">
        <v>401</v>
      </c>
      <c r="Q1334" t="s">
        <v>39</v>
      </c>
      <c r="R1334" t="s">
        <v>40</v>
      </c>
      <c r="S1334">
        <v>0</v>
      </c>
      <c r="U1334" t="s">
        <v>41</v>
      </c>
      <c r="V1334" t="s">
        <v>42</v>
      </c>
      <c r="X1334" t="s">
        <v>74</v>
      </c>
      <c r="Y1334" t="b">
        <v>0</v>
      </c>
      <c r="Z1334" t="b">
        <v>0</v>
      </c>
      <c r="AB1334" t="s">
        <v>2973</v>
      </c>
      <c r="AC1334" s="1"/>
      <c r="AD1334" t="s">
        <v>2974</v>
      </c>
      <c r="AF1334">
        <v>432796</v>
      </c>
      <c r="AG1334">
        <v>45</v>
      </c>
      <c r="AH1334">
        <v>216</v>
      </c>
      <c r="AI1334" s="2">
        <f>Table__192.168.3.138DYLAgingReport[[#This Row],[NetAmount]]-Table__192.168.3.138DYLAgingReport[[#This Row],[Paid]]</f>
        <v>379204</v>
      </c>
    </row>
    <row r="1335" spans="1:35">
      <c r="A1335" t="s">
        <v>2975</v>
      </c>
      <c r="B1335" s="1">
        <v>41121</v>
      </c>
      <c r="C1335" s="1">
        <v>41121</v>
      </c>
      <c r="D1335" t="s">
        <v>296</v>
      </c>
      <c r="E1335">
        <v>825</v>
      </c>
      <c r="F1335">
        <v>132</v>
      </c>
      <c r="G1335">
        <v>0</v>
      </c>
      <c r="H1335">
        <v>0</v>
      </c>
      <c r="I1335">
        <v>175</v>
      </c>
      <c r="J1335">
        <v>957</v>
      </c>
      <c r="K1335" t="s">
        <v>2976</v>
      </c>
      <c r="L1335" s="1">
        <v>41093</v>
      </c>
      <c r="N1335" t="s">
        <v>36</v>
      </c>
      <c r="O1335" t="s">
        <v>37</v>
      </c>
      <c r="P1335" t="s">
        <v>433</v>
      </c>
      <c r="Q1335" t="s">
        <v>39</v>
      </c>
      <c r="R1335" t="s">
        <v>40</v>
      </c>
      <c r="S1335">
        <v>0</v>
      </c>
      <c r="U1335" t="s">
        <v>41</v>
      </c>
      <c r="V1335" t="s">
        <v>42</v>
      </c>
      <c r="X1335" t="s">
        <v>74</v>
      </c>
      <c r="Y1335" t="b">
        <v>0</v>
      </c>
      <c r="Z1335" t="b">
        <v>0</v>
      </c>
      <c r="AC1335" s="1"/>
      <c r="AF1335">
        <v>0</v>
      </c>
      <c r="AG1335">
        <v>45</v>
      </c>
      <c r="AH1335">
        <v>220</v>
      </c>
      <c r="AI1335" s="2">
        <f>Table__192.168.3.138DYLAgingReport[[#This Row],[NetAmount]]-Table__192.168.3.138DYLAgingReport[[#This Row],[Paid]]</f>
        <v>957</v>
      </c>
    </row>
    <row r="1336" spans="1:35">
      <c r="A1336" t="s">
        <v>2977</v>
      </c>
      <c r="B1336" s="1">
        <v>41118</v>
      </c>
      <c r="C1336" s="1">
        <v>41118</v>
      </c>
      <c r="D1336" t="s">
        <v>296</v>
      </c>
      <c r="E1336">
        <v>28124</v>
      </c>
      <c r="F1336">
        <v>4500</v>
      </c>
      <c r="G1336">
        <v>0</v>
      </c>
      <c r="H1336">
        <v>0</v>
      </c>
      <c r="I1336">
        <v>153</v>
      </c>
      <c r="J1336">
        <v>32624</v>
      </c>
      <c r="K1336" t="s">
        <v>2978</v>
      </c>
      <c r="L1336" s="1">
        <v>41115</v>
      </c>
      <c r="N1336" t="s">
        <v>36</v>
      </c>
      <c r="O1336" t="s">
        <v>37</v>
      </c>
      <c r="P1336" t="s">
        <v>433</v>
      </c>
      <c r="Q1336" t="s">
        <v>39</v>
      </c>
      <c r="R1336" t="s">
        <v>40</v>
      </c>
      <c r="S1336">
        <v>0</v>
      </c>
      <c r="U1336" t="s">
        <v>41</v>
      </c>
      <c r="V1336" t="s">
        <v>42</v>
      </c>
      <c r="X1336" t="s">
        <v>74</v>
      </c>
      <c r="Y1336" t="b">
        <v>0</v>
      </c>
      <c r="Z1336" t="b">
        <v>0</v>
      </c>
      <c r="AC1336" s="1"/>
      <c r="AF1336">
        <v>0</v>
      </c>
      <c r="AG1336">
        <v>45</v>
      </c>
      <c r="AH1336">
        <v>198</v>
      </c>
      <c r="AI1336" s="2">
        <f>Table__192.168.3.138DYLAgingReport[[#This Row],[NetAmount]]-Table__192.168.3.138DYLAgingReport[[#This Row],[Paid]]</f>
        <v>32624</v>
      </c>
    </row>
    <row r="1337" spans="1:35">
      <c r="A1337" t="s">
        <v>2979</v>
      </c>
      <c r="B1337" s="1">
        <v>41115</v>
      </c>
      <c r="C1337" s="1">
        <v>41115</v>
      </c>
      <c r="D1337" t="s">
        <v>296</v>
      </c>
      <c r="E1337">
        <v>28124</v>
      </c>
      <c r="F1337">
        <v>4500</v>
      </c>
      <c r="G1337">
        <v>0</v>
      </c>
      <c r="H1337">
        <v>0</v>
      </c>
      <c r="I1337">
        <v>169</v>
      </c>
      <c r="J1337">
        <v>32624</v>
      </c>
      <c r="K1337" t="s">
        <v>1034</v>
      </c>
      <c r="L1337" s="1">
        <v>41099</v>
      </c>
      <c r="N1337" t="s">
        <v>36</v>
      </c>
      <c r="O1337" t="s">
        <v>37</v>
      </c>
      <c r="P1337" t="s">
        <v>433</v>
      </c>
      <c r="Q1337" t="s">
        <v>39</v>
      </c>
      <c r="R1337" t="s">
        <v>40</v>
      </c>
      <c r="S1337">
        <v>0</v>
      </c>
      <c r="U1337" t="s">
        <v>41</v>
      </c>
      <c r="V1337" t="s">
        <v>42</v>
      </c>
      <c r="X1337" t="s">
        <v>74</v>
      </c>
      <c r="Y1337" t="b">
        <v>0</v>
      </c>
      <c r="Z1337" t="b">
        <v>0</v>
      </c>
      <c r="AC1337" s="1"/>
      <c r="AF1337">
        <v>0</v>
      </c>
      <c r="AG1337">
        <v>45</v>
      </c>
      <c r="AH1337">
        <v>214</v>
      </c>
      <c r="AI1337" s="2">
        <f>Table__192.168.3.138DYLAgingReport[[#This Row],[NetAmount]]-Table__192.168.3.138DYLAgingReport[[#This Row],[Paid]]</f>
        <v>32624</v>
      </c>
    </row>
    <row r="1338" spans="1:35">
      <c r="A1338" t="s">
        <v>2980</v>
      </c>
      <c r="B1338" s="1">
        <v>41115</v>
      </c>
      <c r="C1338" s="1">
        <v>41160</v>
      </c>
      <c r="D1338" t="s">
        <v>257</v>
      </c>
      <c r="E1338">
        <v>320000</v>
      </c>
      <c r="F1338">
        <v>51200</v>
      </c>
      <c r="G1338">
        <v>0</v>
      </c>
      <c r="H1338">
        <v>0</v>
      </c>
      <c r="I1338">
        <v>154</v>
      </c>
      <c r="J1338">
        <v>371200</v>
      </c>
      <c r="K1338" t="s">
        <v>107</v>
      </c>
      <c r="L1338" s="1">
        <v>41114</v>
      </c>
      <c r="N1338" t="s">
        <v>36</v>
      </c>
      <c r="O1338" t="s">
        <v>37</v>
      </c>
      <c r="P1338" t="s">
        <v>394</v>
      </c>
      <c r="Q1338" t="s">
        <v>39</v>
      </c>
      <c r="R1338" t="s">
        <v>40</v>
      </c>
      <c r="S1338">
        <v>0</v>
      </c>
      <c r="U1338" t="s">
        <v>41</v>
      </c>
      <c r="V1338" t="s">
        <v>42</v>
      </c>
      <c r="X1338" t="s">
        <v>74</v>
      </c>
      <c r="Y1338" t="b">
        <v>0</v>
      </c>
      <c r="Z1338" t="b">
        <v>0</v>
      </c>
      <c r="AC1338" s="1"/>
      <c r="AF1338">
        <v>0</v>
      </c>
      <c r="AG1338">
        <v>45</v>
      </c>
      <c r="AH1338">
        <v>199</v>
      </c>
      <c r="AI1338" s="2">
        <f>Table__192.168.3.138DYLAgingReport[[#This Row],[NetAmount]]-Table__192.168.3.138DYLAgingReport[[#This Row],[Paid]]</f>
        <v>371200</v>
      </c>
    </row>
    <row r="1339" spans="1:35">
      <c r="A1339" t="s">
        <v>2981</v>
      </c>
      <c r="B1339" s="1">
        <v>41121</v>
      </c>
      <c r="C1339" s="1">
        <v>41166</v>
      </c>
      <c r="D1339" t="s">
        <v>227</v>
      </c>
      <c r="E1339">
        <v>26250</v>
      </c>
      <c r="F1339">
        <v>4200</v>
      </c>
      <c r="G1339">
        <v>0</v>
      </c>
      <c r="H1339">
        <v>0</v>
      </c>
      <c r="I1339">
        <v>173</v>
      </c>
      <c r="J1339">
        <v>30450</v>
      </c>
      <c r="K1339" t="s">
        <v>2982</v>
      </c>
      <c r="L1339" s="1">
        <v>41095</v>
      </c>
      <c r="N1339" t="s">
        <v>36</v>
      </c>
      <c r="O1339" t="s">
        <v>37</v>
      </c>
      <c r="P1339" t="s">
        <v>364</v>
      </c>
      <c r="Q1339" t="s">
        <v>39</v>
      </c>
      <c r="R1339" t="s">
        <v>40</v>
      </c>
      <c r="S1339">
        <v>0</v>
      </c>
      <c r="U1339" t="s">
        <v>41</v>
      </c>
      <c r="V1339" t="s">
        <v>42</v>
      </c>
      <c r="X1339" t="s">
        <v>74</v>
      </c>
      <c r="Y1339" t="b">
        <v>0</v>
      </c>
      <c r="Z1339" t="b">
        <v>0</v>
      </c>
      <c r="AC1339" s="1"/>
      <c r="AF1339">
        <v>0</v>
      </c>
      <c r="AG1339">
        <v>45</v>
      </c>
      <c r="AH1339">
        <v>218</v>
      </c>
      <c r="AI1339" s="2">
        <f>Table__192.168.3.138DYLAgingReport[[#This Row],[NetAmount]]-Table__192.168.3.138DYLAgingReport[[#This Row],[Paid]]</f>
        <v>30450</v>
      </c>
    </row>
    <row r="1340" spans="1:35">
      <c r="A1340" t="s">
        <v>2983</v>
      </c>
      <c r="B1340" s="1">
        <v>41120</v>
      </c>
      <c r="C1340" s="1">
        <v>41165</v>
      </c>
      <c r="D1340" t="s">
        <v>246</v>
      </c>
      <c r="E1340">
        <v>783000</v>
      </c>
      <c r="F1340">
        <v>125280</v>
      </c>
      <c r="G1340">
        <v>0</v>
      </c>
      <c r="H1340">
        <v>0</v>
      </c>
      <c r="I1340">
        <v>154</v>
      </c>
      <c r="J1340">
        <v>908280</v>
      </c>
      <c r="K1340" t="s">
        <v>156</v>
      </c>
      <c r="L1340" s="1">
        <v>41114</v>
      </c>
      <c r="N1340" t="s">
        <v>36</v>
      </c>
      <c r="O1340" t="s">
        <v>37</v>
      </c>
      <c r="P1340" t="s">
        <v>383</v>
      </c>
      <c r="Q1340" t="s">
        <v>39</v>
      </c>
      <c r="R1340" t="s">
        <v>40</v>
      </c>
      <c r="S1340">
        <v>0</v>
      </c>
      <c r="U1340" t="s">
        <v>41</v>
      </c>
      <c r="V1340" t="s">
        <v>42</v>
      </c>
      <c r="X1340" t="s">
        <v>74</v>
      </c>
      <c r="Y1340" t="b">
        <v>0</v>
      </c>
      <c r="Z1340" t="b">
        <v>0</v>
      </c>
      <c r="AB1340" t="s">
        <v>2984</v>
      </c>
      <c r="AC1340" s="1">
        <v>41244</v>
      </c>
      <c r="AD1340" t="s">
        <v>2985</v>
      </c>
      <c r="AE1340" t="s">
        <v>2986</v>
      </c>
      <c r="AF1340">
        <v>620212</v>
      </c>
      <c r="AG1340">
        <v>45</v>
      </c>
      <c r="AH1340">
        <v>199</v>
      </c>
      <c r="AI1340" s="2">
        <f>Table__192.168.3.138DYLAgingReport[[#This Row],[NetAmount]]-Table__192.168.3.138DYLAgingReport[[#This Row],[Paid]]</f>
        <v>288068</v>
      </c>
    </row>
    <row r="1341" spans="1:35">
      <c r="A1341" t="s">
        <v>2987</v>
      </c>
      <c r="B1341" s="1">
        <v>41121</v>
      </c>
      <c r="C1341" s="1">
        <v>41166</v>
      </c>
      <c r="D1341" t="s">
        <v>172</v>
      </c>
      <c r="E1341">
        <v>163891</v>
      </c>
      <c r="F1341">
        <v>26223</v>
      </c>
      <c r="G1341">
        <v>0</v>
      </c>
      <c r="H1341">
        <v>0</v>
      </c>
      <c r="I1341">
        <v>147</v>
      </c>
      <c r="J1341">
        <v>190114</v>
      </c>
      <c r="K1341" t="s">
        <v>2988</v>
      </c>
      <c r="L1341" s="1">
        <v>41121</v>
      </c>
      <c r="N1341" t="s">
        <v>36</v>
      </c>
      <c r="O1341" t="s">
        <v>37</v>
      </c>
      <c r="P1341" t="s">
        <v>309</v>
      </c>
      <c r="Q1341" t="s">
        <v>39</v>
      </c>
      <c r="R1341" t="s">
        <v>40</v>
      </c>
      <c r="S1341">
        <v>0</v>
      </c>
      <c r="U1341" t="s">
        <v>41</v>
      </c>
      <c r="V1341" t="s">
        <v>42</v>
      </c>
      <c r="X1341" t="s">
        <v>74</v>
      </c>
      <c r="Y1341" t="b">
        <v>0</v>
      </c>
      <c r="Z1341" t="b">
        <v>0</v>
      </c>
      <c r="AC1341" s="1"/>
      <c r="AF1341">
        <v>0</v>
      </c>
      <c r="AG1341">
        <v>45</v>
      </c>
      <c r="AH1341">
        <v>192</v>
      </c>
      <c r="AI1341" s="2">
        <f>Table__192.168.3.138DYLAgingReport[[#This Row],[NetAmount]]-Table__192.168.3.138DYLAgingReport[[#This Row],[Paid]]</f>
        <v>190114</v>
      </c>
    </row>
    <row r="1342" spans="1:35">
      <c r="A1342" t="s">
        <v>102</v>
      </c>
      <c r="B1342" s="1">
        <v>41100</v>
      </c>
      <c r="C1342" s="1">
        <v>41145</v>
      </c>
      <c r="D1342" t="s">
        <v>35</v>
      </c>
      <c r="E1342">
        <v>320000</v>
      </c>
      <c r="F1342">
        <v>51200</v>
      </c>
      <c r="G1342">
        <v>0</v>
      </c>
      <c r="H1342">
        <v>0</v>
      </c>
      <c r="I1342">
        <v>173</v>
      </c>
      <c r="J1342">
        <v>371200</v>
      </c>
      <c r="K1342" t="s">
        <v>103</v>
      </c>
      <c r="L1342" s="1">
        <v>41095</v>
      </c>
      <c r="N1342" t="s">
        <v>36</v>
      </c>
      <c r="O1342" t="s">
        <v>37</v>
      </c>
      <c r="P1342" t="s">
        <v>38</v>
      </c>
      <c r="Q1342" t="s">
        <v>39</v>
      </c>
      <c r="R1342" t="s">
        <v>40</v>
      </c>
      <c r="S1342">
        <v>0</v>
      </c>
      <c r="U1342" t="s">
        <v>41</v>
      </c>
      <c r="V1342" t="s">
        <v>42</v>
      </c>
      <c r="X1342" t="s">
        <v>74</v>
      </c>
      <c r="Y1342" t="b">
        <v>0</v>
      </c>
      <c r="Z1342" t="b">
        <v>0</v>
      </c>
      <c r="AC1342" s="1"/>
      <c r="AF1342">
        <v>0</v>
      </c>
      <c r="AG1342">
        <v>45</v>
      </c>
      <c r="AH1342">
        <v>218</v>
      </c>
      <c r="AI1342" s="2">
        <f>Table__192.168.3.138DYLAgingReport[[#This Row],[NetAmount]]-Table__192.168.3.138DYLAgingReport[[#This Row],[Paid]]</f>
        <v>371200</v>
      </c>
    </row>
    <row r="1343" spans="1:35">
      <c r="A1343" t="s">
        <v>104</v>
      </c>
      <c r="B1343" s="1">
        <v>41108</v>
      </c>
      <c r="C1343" s="1">
        <v>41153</v>
      </c>
      <c r="D1343" t="s">
        <v>35</v>
      </c>
      <c r="E1343">
        <v>280000</v>
      </c>
      <c r="F1343">
        <v>44800</v>
      </c>
      <c r="G1343">
        <v>0</v>
      </c>
      <c r="H1343">
        <v>0</v>
      </c>
      <c r="I1343">
        <v>164</v>
      </c>
      <c r="J1343">
        <v>324800</v>
      </c>
      <c r="K1343" t="s">
        <v>105</v>
      </c>
      <c r="L1343" s="1">
        <v>41104</v>
      </c>
      <c r="N1343" t="s">
        <v>36</v>
      </c>
      <c r="O1343" t="s">
        <v>37</v>
      </c>
      <c r="P1343" t="s">
        <v>38</v>
      </c>
      <c r="Q1343" t="s">
        <v>39</v>
      </c>
      <c r="R1343" t="s">
        <v>40</v>
      </c>
      <c r="S1343">
        <v>0</v>
      </c>
      <c r="U1343" t="s">
        <v>41</v>
      </c>
      <c r="V1343" t="s">
        <v>42</v>
      </c>
      <c r="X1343" t="s">
        <v>74</v>
      </c>
      <c r="Y1343" t="b">
        <v>0</v>
      </c>
      <c r="Z1343" t="b">
        <v>0</v>
      </c>
      <c r="AC1343" s="1"/>
      <c r="AF1343">
        <v>0</v>
      </c>
      <c r="AG1343">
        <v>45</v>
      </c>
      <c r="AH1343">
        <v>209</v>
      </c>
      <c r="AI1343" s="2">
        <f>Table__192.168.3.138DYLAgingReport[[#This Row],[NetAmount]]-Table__192.168.3.138DYLAgingReport[[#This Row],[Paid]]</f>
        <v>324800</v>
      </c>
    </row>
    <row r="1344" spans="1:35">
      <c r="A1344" t="s">
        <v>106</v>
      </c>
      <c r="B1344" s="1">
        <v>41118</v>
      </c>
      <c r="C1344" s="1">
        <v>41163</v>
      </c>
      <c r="D1344" t="s">
        <v>35</v>
      </c>
      <c r="E1344">
        <v>360000</v>
      </c>
      <c r="F1344">
        <v>57600</v>
      </c>
      <c r="G1344">
        <v>0</v>
      </c>
      <c r="H1344">
        <v>0</v>
      </c>
      <c r="I1344">
        <v>157</v>
      </c>
      <c r="J1344">
        <v>417600</v>
      </c>
      <c r="K1344" t="s">
        <v>107</v>
      </c>
      <c r="L1344" s="1">
        <v>41111</v>
      </c>
      <c r="N1344" t="s">
        <v>36</v>
      </c>
      <c r="O1344" t="s">
        <v>37</v>
      </c>
      <c r="P1344" t="s">
        <v>38</v>
      </c>
      <c r="Q1344" t="s">
        <v>39</v>
      </c>
      <c r="R1344" t="s">
        <v>40</v>
      </c>
      <c r="S1344">
        <v>0</v>
      </c>
      <c r="U1344" t="s">
        <v>41</v>
      </c>
      <c r="V1344" t="s">
        <v>42</v>
      </c>
      <c r="X1344" t="s">
        <v>74</v>
      </c>
      <c r="Y1344" t="b">
        <v>0</v>
      </c>
      <c r="Z1344" t="b">
        <v>0</v>
      </c>
      <c r="AC1344" s="1"/>
      <c r="AF1344">
        <v>0</v>
      </c>
      <c r="AG1344">
        <v>45</v>
      </c>
      <c r="AH1344">
        <v>202</v>
      </c>
      <c r="AI1344" s="2">
        <f>Table__192.168.3.138DYLAgingReport[[#This Row],[NetAmount]]-Table__192.168.3.138DYLAgingReport[[#This Row],[Paid]]</f>
        <v>417600</v>
      </c>
    </row>
    <row r="1345" spans="1:35">
      <c r="A1345" t="s">
        <v>108</v>
      </c>
      <c r="B1345" s="1">
        <v>41118</v>
      </c>
      <c r="C1345" s="1">
        <v>41163</v>
      </c>
      <c r="D1345" t="s">
        <v>35</v>
      </c>
      <c r="E1345">
        <v>240000</v>
      </c>
      <c r="F1345">
        <v>38400</v>
      </c>
      <c r="G1345">
        <v>0</v>
      </c>
      <c r="H1345">
        <v>0</v>
      </c>
      <c r="I1345">
        <v>157</v>
      </c>
      <c r="J1345">
        <v>278400</v>
      </c>
      <c r="K1345" t="s">
        <v>69</v>
      </c>
      <c r="L1345" s="1">
        <v>41111</v>
      </c>
      <c r="N1345" t="s">
        <v>36</v>
      </c>
      <c r="O1345" t="s">
        <v>37</v>
      </c>
      <c r="P1345" t="s">
        <v>38</v>
      </c>
      <c r="Q1345" t="s">
        <v>39</v>
      </c>
      <c r="R1345" t="s">
        <v>40</v>
      </c>
      <c r="S1345">
        <v>0</v>
      </c>
      <c r="U1345" t="s">
        <v>41</v>
      </c>
      <c r="V1345" t="s">
        <v>42</v>
      </c>
      <c r="X1345" t="s">
        <v>74</v>
      </c>
      <c r="Y1345" t="b">
        <v>0</v>
      </c>
      <c r="Z1345" t="b">
        <v>0</v>
      </c>
      <c r="AC1345" s="1"/>
      <c r="AF1345">
        <v>0</v>
      </c>
      <c r="AG1345">
        <v>45</v>
      </c>
      <c r="AH1345">
        <v>202</v>
      </c>
      <c r="AI1345" s="2">
        <f>Table__192.168.3.138DYLAgingReport[[#This Row],[NetAmount]]-Table__192.168.3.138DYLAgingReport[[#This Row],[Paid]]</f>
        <v>278400</v>
      </c>
    </row>
    <row r="1346" spans="1:35">
      <c r="A1346" t="s">
        <v>2989</v>
      </c>
      <c r="B1346" s="1">
        <v>41121.6408912037</v>
      </c>
      <c r="C1346" s="1">
        <v>41166.6408912037</v>
      </c>
      <c r="D1346" t="s">
        <v>232</v>
      </c>
      <c r="E1346">
        <v>82912</v>
      </c>
      <c r="F1346">
        <v>13266</v>
      </c>
      <c r="G1346">
        <v>0</v>
      </c>
      <c r="H1346">
        <v>0</v>
      </c>
      <c r="I1346">
        <v>154</v>
      </c>
      <c r="J1346">
        <v>96178</v>
      </c>
      <c r="K1346" t="s">
        <v>2990</v>
      </c>
      <c r="L1346" s="1">
        <v>41114</v>
      </c>
      <c r="N1346" t="s">
        <v>36</v>
      </c>
      <c r="O1346" t="s">
        <v>37</v>
      </c>
      <c r="P1346" t="s">
        <v>369</v>
      </c>
      <c r="Q1346" t="s">
        <v>39</v>
      </c>
      <c r="R1346" t="s">
        <v>40</v>
      </c>
      <c r="S1346">
        <v>0</v>
      </c>
      <c r="U1346" t="s">
        <v>41</v>
      </c>
      <c r="V1346" t="s">
        <v>42</v>
      </c>
      <c r="X1346" t="s">
        <v>74</v>
      </c>
      <c r="Y1346" t="b">
        <v>0</v>
      </c>
      <c r="Z1346" t="b">
        <v>0</v>
      </c>
      <c r="AC1346" s="1"/>
      <c r="AF1346">
        <v>0</v>
      </c>
      <c r="AG1346">
        <v>45</v>
      </c>
      <c r="AH1346">
        <v>199</v>
      </c>
      <c r="AI1346" s="2">
        <f>Table__192.168.3.138DYLAgingReport[[#This Row],[NetAmount]]-Table__192.168.3.138DYLAgingReport[[#This Row],[Paid]]</f>
        <v>96178</v>
      </c>
    </row>
    <row r="1347" spans="1:35">
      <c r="A1347" t="s">
        <v>2991</v>
      </c>
      <c r="B1347" s="1">
        <v>41121.6408912037</v>
      </c>
      <c r="C1347" s="1">
        <v>41166.6408912037</v>
      </c>
      <c r="D1347" t="s">
        <v>175</v>
      </c>
      <c r="E1347">
        <v>236728</v>
      </c>
      <c r="F1347">
        <v>37876</v>
      </c>
      <c r="G1347">
        <v>0</v>
      </c>
      <c r="H1347">
        <v>0</v>
      </c>
      <c r="I1347">
        <v>154</v>
      </c>
      <c r="J1347">
        <v>274604</v>
      </c>
      <c r="K1347" t="s">
        <v>2992</v>
      </c>
      <c r="L1347" s="1">
        <v>41114</v>
      </c>
      <c r="N1347" t="s">
        <v>36</v>
      </c>
      <c r="O1347" t="s">
        <v>37</v>
      </c>
      <c r="P1347" t="s">
        <v>312</v>
      </c>
      <c r="Q1347" t="s">
        <v>39</v>
      </c>
      <c r="R1347" t="s">
        <v>40</v>
      </c>
      <c r="S1347">
        <v>0</v>
      </c>
      <c r="U1347" t="s">
        <v>41</v>
      </c>
      <c r="V1347" t="s">
        <v>42</v>
      </c>
      <c r="X1347" t="s">
        <v>74</v>
      </c>
      <c r="Y1347" t="b">
        <v>0</v>
      </c>
      <c r="Z1347" t="b">
        <v>0</v>
      </c>
      <c r="AB1347" t="s">
        <v>2993</v>
      </c>
      <c r="AC1347" s="1">
        <v>41302</v>
      </c>
      <c r="AF1347">
        <v>0</v>
      </c>
      <c r="AG1347">
        <v>45</v>
      </c>
      <c r="AH1347">
        <v>199</v>
      </c>
      <c r="AI1347" s="2">
        <f>Table__192.168.3.138DYLAgingReport[[#This Row],[NetAmount]]-Table__192.168.3.138DYLAgingReport[[#This Row],[Paid]]</f>
        <v>274604</v>
      </c>
    </row>
    <row r="1348" spans="1:35">
      <c r="A1348" t="s">
        <v>2994</v>
      </c>
      <c r="B1348" s="1">
        <v>41104</v>
      </c>
      <c r="C1348" s="1">
        <v>41149</v>
      </c>
      <c r="D1348" t="s">
        <v>175</v>
      </c>
      <c r="E1348">
        <v>150600</v>
      </c>
      <c r="F1348">
        <v>24096</v>
      </c>
      <c r="G1348">
        <v>0</v>
      </c>
      <c r="H1348">
        <v>0</v>
      </c>
      <c r="I1348">
        <v>164</v>
      </c>
      <c r="J1348">
        <v>174696</v>
      </c>
      <c r="K1348" t="s">
        <v>2595</v>
      </c>
      <c r="L1348" s="1">
        <v>41104</v>
      </c>
      <c r="N1348" t="s">
        <v>36</v>
      </c>
      <c r="O1348" t="s">
        <v>37</v>
      </c>
      <c r="P1348" t="s">
        <v>312</v>
      </c>
      <c r="Q1348" t="s">
        <v>39</v>
      </c>
      <c r="R1348" t="s">
        <v>40</v>
      </c>
      <c r="S1348">
        <v>0</v>
      </c>
      <c r="U1348" t="s">
        <v>41</v>
      </c>
      <c r="V1348" t="s">
        <v>42</v>
      </c>
      <c r="X1348" t="s">
        <v>74</v>
      </c>
      <c r="Y1348" t="b">
        <v>0</v>
      </c>
      <c r="Z1348" t="b">
        <v>0</v>
      </c>
      <c r="AB1348" t="s">
        <v>2993</v>
      </c>
      <c r="AC1348" s="1">
        <v>41302</v>
      </c>
      <c r="AF1348">
        <v>0</v>
      </c>
      <c r="AG1348">
        <v>45</v>
      </c>
      <c r="AH1348">
        <v>209</v>
      </c>
      <c r="AI1348" s="2">
        <f>Table__192.168.3.138DYLAgingReport[[#This Row],[NetAmount]]-Table__192.168.3.138DYLAgingReport[[#This Row],[Paid]]</f>
        <v>174696</v>
      </c>
    </row>
    <row r="1349" spans="1:35">
      <c r="A1349" t="s">
        <v>2995</v>
      </c>
      <c r="B1349" s="1">
        <v>41121.586631944447</v>
      </c>
      <c r="C1349" s="1">
        <v>41166.586631944447</v>
      </c>
      <c r="D1349" t="s">
        <v>288</v>
      </c>
      <c r="E1349">
        <v>16956</v>
      </c>
      <c r="F1349">
        <v>2714</v>
      </c>
      <c r="G1349">
        <v>0</v>
      </c>
      <c r="H1349">
        <v>0</v>
      </c>
      <c r="I1349">
        <v>153</v>
      </c>
      <c r="J1349">
        <v>19670</v>
      </c>
      <c r="K1349" t="s">
        <v>2996</v>
      </c>
      <c r="L1349" s="1">
        <v>41115</v>
      </c>
      <c r="N1349" t="s">
        <v>36</v>
      </c>
      <c r="O1349" t="s">
        <v>37</v>
      </c>
      <c r="P1349" t="s">
        <v>425</v>
      </c>
      <c r="Q1349" t="s">
        <v>39</v>
      </c>
      <c r="R1349" t="s">
        <v>40</v>
      </c>
      <c r="S1349">
        <v>0</v>
      </c>
      <c r="U1349" t="s">
        <v>41</v>
      </c>
      <c r="V1349" t="s">
        <v>42</v>
      </c>
      <c r="X1349" t="s">
        <v>74</v>
      </c>
      <c r="Y1349" t="b">
        <v>0</v>
      </c>
      <c r="Z1349" t="b">
        <v>0</v>
      </c>
      <c r="AC1349" s="1"/>
      <c r="AF1349">
        <v>0</v>
      </c>
      <c r="AG1349">
        <v>45</v>
      </c>
      <c r="AH1349">
        <v>198</v>
      </c>
      <c r="AI1349" s="2">
        <f>Table__192.168.3.138DYLAgingReport[[#This Row],[NetAmount]]-Table__192.168.3.138DYLAgingReport[[#This Row],[Paid]]</f>
        <v>19670</v>
      </c>
    </row>
    <row r="1350" spans="1:35">
      <c r="A1350" t="s">
        <v>2997</v>
      </c>
      <c r="B1350" s="1">
        <v>41121.418958333335</v>
      </c>
      <c r="C1350" s="1">
        <v>41166.418958333335</v>
      </c>
      <c r="D1350" t="s">
        <v>211</v>
      </c>
      <c r="E1350">
        <v>10385</v>
      </c>
      <c r="F1350">
        <v>0</v>
      </c>
      <c r="G1350">
        <v>0</v>
      </c>
      <c r="H1350">
        <v>0</v>
      </c>
      <c r="I1350">
        <v>150</v>
      </c>
      <c r="J1350">
        <v>10385</v>
      </c>
      <c r="K1350" t="s">
        <v>2998</v>
      </c>
      <c r="L1350" s="1">
        <v>41118</v>
      </c>
      <c r="N1350" t="s">
        <v>36</v>
      </c>
      <c r="O1350" t="s">
        <v>37</v>
      </c>
      <c r="P1350" t="s">
        <v>348</v>
      </c>
      <c r="Q1350" t="s">
        <v>39</v>
      </c>
      <c r="R1350" t="s">
        <v>40</v>
      </c>
      <c r="S1350">
        <v>0</v>
      </c>
      <c r="U1350" t="s">
        <v>41</v>
      </c>
      <c r="V1350" t="s">
        <v>42</v>
      </c>
      <c r="X1350" t="s">
        <v>74</v>
      </c>
      <c r="Y1350" t="b">
        <v>0</v>
      </c>
      <c r="Z1350" t="b">
        <v>0</v>
      </c>
      <c r="AC1350" s="1"/>
      <c r="AF1350">
        <v>0</v>
      </c>
      <c r="AG1350">
        <v>45</v>
      </c>
      <c r="AH1350">
        <v>195</v>
      </c>
      <c r="AI1350" s="2">
        <f>Table__192.168.3.138DYLAgingReport[[#This Row],[NetAmount]]-Table__192.168.3.138DYLAgingReport[[#This Row],[Paid]]</f>
        <v>10385</v>
      </c>
    </row>
    <row r="1351" spans="1:35">
      <c r="A1351" t="s">
        <v>2999</v>
      </c>
      <c r="B1351" s="1">
        <v>41121.586631944447</v>
      </c>
      <c r="C1351" s="1">
        <v>41166.586631944447</v>
      </c>
      <c r="D1351" t="s">
        <v>227</v>
      </c>
      <c r="E1351">
        <v>561000</v>
      </c>
      <c r="F1351">
        <v>89760</v>
      </c>
      <c r="G1351">
        <v>0</v>
      </c>
      <c r="H1351">
        <v>0</v>
      </c>
      <c r="I1351">
        <v>147</v>
      </c>
      <c r="J1351">
        <v>650760</v>
      </c>
      <c r="K1351" t="s">
        <v>3000</v>
      </c>
      <c r="L1351" s="1">
        <v>41121</v>
      </c>
      <c r="N1351" t="s">
        <v>36</v>
      </c>
      <c r="O1351" t="s">
        <v>37</v>
      </c>
      <c r="P1351" t="s">
        <v>364</v>
      </c>
      <c r="Q1351" t="s">
        <v>39</v>
      </c>
      <c r="R1351" t="s">
        <v>40</v>
      </c>
      <c r="S1351">
        <v>0</v>
      </c>
      <c r="U1351" t="s">
        <v>41</v>
      </c>
      <c r="V1351" t="s">
        <v>42</v>
      </c>
      <c r="X1351" t="s">
        <v>74</v>
      </c>
      <c r="Y1351" t="b">
        <v>0</v>
      </c>
      <c r="Z1351" t="b">
        <v>0</v>
      </c>
      <c r="AC1351" s="1"/>
      <c r="AF1351">
        <v>0</v>
      </c>
      <c r="AG1351">
        <v>45</v>
      </c>
      <c r="AH1351">
        <v>192</v>
      </c>
      <c r="AI1351" s="2">
        <f>Table__192.168.3.138DYLAgingReport[[#This Row],[NetAmount]]-Table__192.168.3.138DYLAgingReport[[#This Row],[Paid]]</f>
        <v>650760</v>
      </c>
    </row>
    <row r="1352" spans="1:35">
      <c r="A1352" t="s">
        <v>3001</v>
      </c>
      <c r="B1352" s="1">
        <v>41121.397326388891</v>
      </c>
      <c r="C1352" s="1">
        <v>41166.397326388891</v>
      </c>
      <c r="D1352" t="s">
        <v>197</v>
      </c>
      <c r="E1352">
        <v>42000</v>
      </c>
      <c r="F1352">
        <v>6720</v>
      </c>
      <c r="G1352">
        <v>0</v>
      </c>
      <c r="H1352">
        <v>0</v>
      </c>
      <c r="I1352">
        <v>171</v>
      </c>
      <c r="J1352">
        <v>48720</v>
      </c>
      <c r="K1352" t="s">
        <v>3002</v>
      </c>
      <c r="L1352" s="1">
        <v>41097</v>
      </c>
      <c r="N1352" t="s">
        <v>36</v>
      </c>
      <c r="O1352" t="s">
        <v>37</v>
      </c>
      <c r="P1352" t="s">
        <v>334</v>
      </c>
      <c r="Q1352" t="s">
        <v>39</v>
      </c>
      <c r="R1352" t="s">
        <v>40</v>
      </c>
      <c r="S1352">
        <v>0</v>
      </c>
      <c r="U1352" t="s">
        <v>41</v>
      </c>
      <c r="V1352" t="s">
        <v>42</v>
      </c>
      <c r="X1352" t="s">
        <v>74</v>
      </c>
      <c r="Y1352" t="b">
        <v>0</v>
      </c>
      <c r="Z1352" t="b">
        <v>0</v>
      </c>
      <c r="AB1352" t="s">
        <v>2856</v>
      </c>
      <c r="AC1352" s="1">
        <v>41227</v>
      </c>
      <c r="AE1352" t="s">
        <v>2858</v>
      </c>
      <c r="AF1352">
        <v>0</v>
      </c>
      <c r="AG1352">
        <v>45</v>
      </c>
      <c r="AH1352">
        <v>216</v>
      </c>
      <c r="AI1352" s="2">
        <f>Table__192.168.3.138DYLAgingReport[[#This Row],[NetAmount]]-Table__192.168.3.138DYLAgingReport[[#This Row],[Paid]]</f>
        <v>48720</v>
      </c>
    </row>
    <row r="1353" spans="1:35">
      <c r="A1353" t="s">
        <v>3003</v>
      </c>
      <c r="B1353" s="1">
        <v>41121.418958333335</v>
      </c>
      <c r="C1353" s="1">
        <v>41166.418958333335</v>
      </c>
      <c r="D1353" t="s">
        <v>254</v>
      </c>
      <c r="E1353">
        <v>1150000</v>
      </c>
      <c r="F1353">
        <v>184000</v>
      </c>
      <c r="G1353">
        <v>0</v>
      </c>
      <c r="H1353">
        <v>0</v>
      </c>
      <c r="I1353">
        <v>150</v>
      </c>
      <c r="J1353">
        <v>1334000</v>
      </c>
      <c r="K1353" t="s">
        <v>3004</v>
      </c>
      <c r="L1353" s="1">
        <v>41118</v>
      </c>
      <c r="N1353" t="s">
        <v>36</v>
      </c>
      <c r="O1353" t="s">
        <v>37</v>
      </c>
      <c r="P1353" t="s">
        <v>391</v>
      </c>
      <c r="Q1353" t="s">
        <v>39</v>
      </c>
      <c r="R1353" t="s">
        <v>40</v>
      </c>
      <c r="S1353">
        <v>0</v>
      </c>
      <c r="U1353" t="s">
        <v>41</v>
      </c>
      <c r="V1353" t="s">
        <v>42</v>
      </c>
      <c r="X1353" t="s">
        <v>74</v>
      </c>
      <c r="Y1353" t="b">
        <v>0</v>
      </c>
      <c r="Z1353" t="b">
        <v>0</v>
      </c>
      <c r="AB1353" t="s">
        <v>3005</v>
      </c>
      <c r="AC1353" s="1">
        <v>41256</v>
      </c>
      <c r="AD1353" t="s">
        <v>3006</v>
      </c>
      <c r="AE1353" t="s">
        <v>3007</v>
      </c>
      <c r="AF1353">
        <v>1000500</v>
      </c>
      <c r="AG1353">
        <v>45</v>
      </c>
      <c r="AH1353">
        <v>195</v>
      </c>
      <c r="AI1353" s="2">
        <f>Table__192.168.3.138DYLAgingReport[[#This Row],[NetAmount]]-Table__192.168.3.138DYLAgingReport[[#This Row],[Paid]]</f>
        <v>333500</v>
      </c>
    </row>
    <row r="1354" spans="1:35">
      <c r="A1354" t="s">
        <v>3008</v>
      </c>
      <c r="B1354" s="1">
        <v>41121.399988425925</v>
      </c>
      <c r="C1354" s="1">
        <v>41166.399988425925</v>
      </c>
      <c r="D1354" t="s">
        <v>202</v>
      </c>
      <c r="E1354">
        <v>5572</v>
      </c>
      <c r="F1354">
        <v>892</v>
      </c>
      <c r="G1354">
        <v>0</v>
      </c>
      <c r="H1354">
        <v>0</v>
      </c>
      <c r="I1354">
        <v>169</v>
      </c>
      <c r="J1354">
        <v>6464</v>
      </c>
      <c r="K1354" t="s">
        <v>137</v>
      </c>
      <c r="L1354" s="1">
        <v>41099</v>
      </c>
      <c r="N1354" t="s">
        <v>36</v>
      </c>
      <c r="O1354" t="s">
        <v>37</v>
      </c>
      <c r="P1354" t="s">
        <v>339</v>
      </c>
      <c r="Q1354" t="s">
        <v>39</v>
      </c>
      <c r="R1354" t="s">
        <v>40</v>
      </c>
      <c r="S1354">
        <v>0</v>
      </c>
      <c r="U1354" t="s">
        <v>41</v>
      </c>
      <c r="V1354" t="s">
        <v>42</v>
      </c>
      <c r="X1354" t="s">
        <v>74</v>
      </c>
      <c r="Y1354" t="b">
        <v>0</v>
      </c>
      <c r="Z1354" t="b">
        <v>0</v>
      </c>
      <c r="AC1354" s="1"/>
      <c r="AF1354">
        <v>0</v>
      </c>
      <c r="AG1354">
        <v>45</v>
      </c>
      <c r="AH1354">
        <v>214</v>
      </c>
      <c r="AI1354" s="2">
        <f>Table__192.168.3.138DYLAgingReport[[#This Row],[NetAmount]]-Table__192.168.3.138DYLAgingReport[[#This Row],[Paid]]</f>
        <v>6464</v>
      </c>
    </row>
    <row r="1355" spans="1:35">
      <c r="A1355" t="s">
        <v>3009</v>
      </c>
      <c r="B1355" s="1">
        <v>41121.399988425925</v>
      </c>
      <c r="C1355" s="1">
        <v>41166.399988425925</v>
      </c>
      <c r="D1355" t="s">
        <v>202</v>
      </c>
      <c r="E1355">
        <v>4468</v>
      </c>
      <c r="F1355">
        <v>715</v>
      </c>
      <c r="G1355">
        <v>0</v>
      </c>
      <c r="H1355">
        <v>0</v>
      </c>
      <c r="I1355">
        <v>160</v>
      </c>
      <c r="J1355">
        <v>5183</v>
      </c>
      <c r="K1355" t="s">
        <v>3010</v>
      </c>
      <c r="L1355" s="1">
        <v>41108</v>
      </c>
      <c r="N1355" t="s">
        <v>36</v>
      </c>
      <c r="O1355" t="s">
        <v>37</v>
      </c>
      <c r="P1355" t="s">
        <v>339</v>
      </c>
      <c r="Q1355" t="s">
        <v>39</v>
      </c>
      <c r="R1355" t="s">
        <v>40</v>
      </c>
      <c r="S1355">
        <v>0</v>
      </c>
      <c r="U1355" t="s">
        <v>41</v>
      </c>
      <c r="V1355" t="s">
        <v>42</v>
      </c>
      <c r="X1355" t="s">
        <v>74</v>
      </c>
      <c r="Y1355" t="b">
        <v>0</v>
      </c>
      <c r="Z1355" t="b">
        <v>0</v>
      </c>
      <c r="AC1355" s="1"/>
      <c r="AF1355">
        <v>0</v>
      </c>
      <c r="AG1355">
        <v>45</v>
      </c>
      <c r="AH1355">
        <v>205</v>
      </c>
      <c r="AI1355" s="2">
        <f>Table__192.168.3.138DYLAgingReport[[#This Row],[NetAmount]]-Table__192.168.3.138DYLAgingReport[[#This Row],[Paid]]</f>
        <v>5183</v>
      </c>
    </row>
    <row r="1356" spans="1:35">
      <c r="A1356" t="s">
        <v>3011</v>
      </c>
      <c r="B1356" s="1">
        <v>41121.631388888891</v>
      </c>
      <c r="C1356" s="1">
        <v>41121.631388888891</v>
      </c>
      <c r="D1356" t="s">
        <v>296</v>
      </c>
      <c r="E1356">
        <v>4125</v>
      </c>
      <c r="F1356">
        <v>660</v>
      </c>
      <c r="G1356">
        <v>0</v>
      </c>
      <c r="H1356">
        <v>0</v>
      </c>
      <c r="I1356">
        <v>164</v>
      </c>
      <c r="J1356">
        <v>4785</v>
      </c>
      <c r="K1356" t="s">
        <v>3012</v>
      </c>
      <c r="L1356" s="1">
        <v>41104</v>
      </c>
      <c r="N1356" t="s">
        <v>36</v>
      </c>
      <c r="O1356" t="s">
        <v>37</v>
      </c>
      <c r="P1356" t="s">
        <v>433</v>
      </c>
      <c r="Q1356" t="s">
        <v>39</v>
      </c>
      <c r="R1356" t="s">
        <v>40</v>
      </c>
      <c r="S1356">
        <v>0</v>
      </c>
      <c r="U1356" t="s">
        <v>41</v>
      </c>
      <c r="V1356" t="s">
        <v>42</v>
      </c>
      <c r="X1356" t="s">
        <v>74</v>
      </c>
      <c r="Y1356" t="b">
        <v>0</v>
      </c>
      <c r="Z1356" t="b">
        <v>0</v>
      </c>
      <c r="AC1356" s="1"/>
      <c r="AF1356">
        <v>0</v>
      </c>
      <c r="AG1356">
        <v>45</v>
      </c>
      <c r="AH1356">
        <v>209</v>
      </c>
      <c r="AI1356" s="2">
        <f>Table__192.168.3.138DYLAgingReport[[#This Row],[NetAmount]]-Table__192.168.3.138DYLAgingReport[[#This Row],[Paid]]</f>
        <v>4785</v>
      </c>
    </row>
    <row r="1357" spans="1:35">
      <c r="A1357" t="s">
        <v>109</v>
      </c>
      <c r="B1357" s="1">
        <v>41121.608819444446</v>
      </c>
      <c r="C1357" s="1">
        <v>41166.608819444446</v>
      </c>
      <c r="D1357" t="s">
        <v>35</v>
      </c>
      <c r="E1357">
        <v>240000</v>
      </c>
      <c r="F1357">
        <v>38400</v>
      </c>
      <c r="G1357">
        <v>0</v>
      </c>
      <c r="H1357">
        <v>0</v>
      </c>
      <c r="I1357">
        <v>153</v>
      </c>
      <c r="J1357">
        <v>278400</v>
      </c>
      <c r="K1357" t="s">
        <v>110</v>
      </c>
      <c r="L1357" s="1">
        <v>41115</v>
      </c>
      <c r="N1357" t="s">
        <v>36</v>
      </c>
      <c r="O1357" t="s">
        <v>37</v>
      </c>
      <c r="P1357" t="s">
        <v>38</v>
      </c>
      <c r="Q1357" t="s">
        <v>39</v>
      </c>
      <c r="R1357" t="s">
        <v>40</v>
      </c>
      <c r="S1357">
        <v>0</v>
      </c>
      <c r="U1357" t="s">
        <v>41</v>
      </c>
      <c r="V1357" t="s">
        <v>42</v>
      </c>
      <c r="X1357" t="s">
        <v>74</v>
      </c>
      <c r="Y1357" t="b">
        <v>0</v>
      </c>
      <c r="Z1357" t="b">
        <v>0</v>
      </c>
      <c r="AC1357" s="1"/>
      <c r="AF1357">
        <v>0</v>
      </c>
      <c r="AG1357">
        <v>45</v>
      </c>
      <c r="AH1357">
        <v>198</v>
      </c>
      <c r="AI1357" s="2">
        <f>Table__192.168.3.138DYLAgingReport[[#This Row],[NetAmount]]-Table__192.168.3.138DYLAgingReport[[#This Row],[Paid]]</f>
        <v>278400</v>
      </c>
    </row>
    <row r="1358" spans="1:35">
      <c r="A1358" t="s">
        <v>3013</v>
      </c>
      <c r="B1358" s="1">
        <v>41107</v>
      </c>
      <c r="C1358" s="1">
        <v>41152</v>
      </c>
      <c r="D1358" t="s">
        <v>286</v>
      </c>
      <c r="E1358">
        <v>125600</v>
      </c>
      <c r="F1358">
        <v>20096</v>
      </c>
      <c r="G1358">
        <v>0</v>
      </c>
      <c r="H1358">
        <v>0</v>
      </c>
      <c r="I1358">
        <v>159</v>
      </c>
      <c r="J1358">
        <v>145696</v>
      </c>
      <c r="K1358" t="s">
        <v>42</v>
      </c>
      <c r="L1358" s="1">
        <v>41109</v>
      </c>
      <c r="N1358" t="s">
        <v>36</v>
      </c>
      <c r="O1358" t="s">
        <v>37</v>
      </c>
      <c r="P1358" t="s">
        <v>423</v>
      </c>
      <c r="Q1358" t="s">
        <v>39</v>
      </c>
      <c r="R1358" t="s">
        <v>40</v>
      </c>
      <c r="S1358">
        <v>0</v>
      </c>
      <c r="U1358" t="s">
        <v>41</v>
      </c>
      <c r="V1358" t="s">
        <v>42</v>
      </c>
      <c r="X1358" t="s">
        <v>74</v>
      </c>
      <c r="Y1358" t="b">
        <v>0</v>
      </c>
      <c r="Z1358" t="b">
        <v>0</v>
      </c>
      <c r="AB1358" t="s">
        <v>2593</v>
      </c>
      <c r="AC1358" s="1">
        <v>41281</v>
      </c>
      <c r="AF1358">
        <v>0</v>
      </c>
      <c r="AG1358">
        <v>45</v>
      </c>
      <c r="AH1358">
        <v>204</v>
      </c>
      <c r="AI1358" s="2">
        <f>Table__192.168.3.138DYLAgingReport[[#This Row],[NetAmount]]-Table__192.168.3.138DYLAgingReport[[#This Row],[Paid]]</f>
        <v>145696</v>
      </c>
    </row>
    <row r="1359" spans="1:35">
      <c r="A1359" t="s">
        <v>3014</v>
      </c>
      <c r="B1359" s="1">
        <v>41121.618761574071</v>
      </c>
      <c r="C1359" s="1">
        <v>41166.618761574071</v>
      </c>
      <c r="D1359" t="s">
        <v>187</v>
      </c>
      <c r="E1359">
        <v>365190</v>
      </c>
      <c r="F1359">
        <v>0</v>
      </c>
      <c r="G1359">
        <v>0</v>
      </c>
      <c r="H1359">
        <v>0</v>
      </c>
      <c r="I1359">
        <v>169</v>
      </c>
      <c r="J1359">
        <v>365190</v>
      </c>
      <c r="K1359" t="s">
        <v>3015</v>
      </c>
      <c r="L1359" s="1">
        <v>41099</v>
      </c>
      <c r="N1359" t="s">
        <v>36</v>
      </c>
      <c r="O1359" t="s">
        <v>37</v>
      </c>
      <c r="P1359" t="s">
        <v>324</v>
      </c>
      <c r="Q1359" t="s">
        <v>39</v>
      </c>
      <c r="R1359" t="s">
        <v>40</v>
      </c>
      <c r="S1359">
        <v>0</v>
      </c>
      <c r="U1359" t="s">
        <v>41</v>
      </c>
      <c r="V1359" t="s">
        <v>42</v>
      </c>
      <c r="X1359" t="s">
        <v>74</v>
      </c>
      <c r="Y1359" t="b">
        <v>0</v>
      </c>
      <c r="Z1359" t="b">
        <v>0</v>
      </c>
      <c r="AC1359" s="1"/>
      <c r="AF1359">
        <v>0</v>
      </c>
      <c r="AG1359">
        <v>45</v>
      </c>
      <c r="AH1359">
        <v>214</v>
      </c>
      <c r="AI1359" s="2">
        <f>Table__192.168.3.138DYLAgingReport[[#This Row],[NetAmount]]-Table__192.168.3.138DYLAgingReport[[#This Row],[Paid]]</f>
        <v>365190</v>
      </c>
    </row>
    <row r="1360" spans="1:35">
      <c r="A1360" t="s">
        <v>3016</v>
      </c>
      <c r="B1360" s="1">
        <v>41121.695335648146</v>
      </c>
      <c r="C1360" s="1">
        <v>41166.695335648146</v>
      </c>
      <c r="D1360" t="s">
        <v>194</v>
      </c>
      <c r="E1360">
        <v>4200</v>
      </c>
      <c r="F1360">
        <v>672</v>
      </c>
      <c r="G1360">
        <v>0</v>
      </c>
      <c r="H1360">
        <v>0</v>
      </c>
      <c r="I1360">
        <v>167</v>
      </c>
      <c r="J1360">
        <v>4872</v>
      </c>
      <c r="K1360" t="s">
        <v>3017</v>
      </c>
      <c r="L1360" s="1">
        <v>41101</v>
      </c>
      <c r="N1360" t="s">
        <v>36</v>
      </c>
      <c r="O1360" t="s">
        <v>37</v>
      </c>
      <c r="P1360" t="s">
        <v>331</v>
      </c>
      <c r="Q1360" t="s">
        <v>39</v>
      </c>
      <c r="R1360" t="s">
        <v>40</v>
      </c>
      <c r="S1360">
        <v>0</v>
      </c>
      <c r="U1360" t="s">
        <v>41</v>
      </c>
      <c r="V1360" t="s">
        <v>42</v>
      </c>
      <c r="X1360" t="s">
        <v>74</v>
      </c>
      <c r="Y1360" t="b">
        <v>0</v>
      </c>
      <c r="Z1360" t="b">
        <v>0</v>
      </c>
      <c r="AC1360" s="1"/>
      <c r="AF1360">
        <v>0</v>
      </c>
      <c r="AG1360">
        <v>45</v>
      </c>
      <c r="AH1360">
        <v>212</v>
      </c>
      <c r="AI1360" s="2">
        <f>Table__192.168.3.138DYLAgingReport[[#This Row],[NetAmount]]-Table__192.168.3.138DYLAgingReport[[#This Row],[Paid]]</f>
        <v>4872</v>
      </c>
    </row>
    <row r="1361" spans="1:35">
      <c r="A1361" t="s">
        <v>3018</v>
      </c>
      <c r="B1361" s="1">
        <v>41121.586631944447</v>
      </c>
      <c r="C1361" s="1">
        <v>41121.586631944447</v>
      </c>
      <c r="D1361" t="s">
        <v>296</v>
      </c>
      <c r="E1361">
        <v>26775</v>
      </c>
      <c r="F1361">
        <v>4284</v>
      </c>
      <c r="G1361">
        <v>0</v>
      </c>
      <c r="H1361">
        <v>0</v>
      </c>
      <c r="I1361">
        <v>150</v>
      </c>
      <c r="J1361">
        <v>31059</v>
      </c>
      <c r="K1361" t="s">
        <v>73</v>
      </c>
      <c r="L1361" s="1">
        <v>41118</v>
      </c>
      <c r="N1361" t="s">
        <v>36</v>
      </c>
      <c r="O1361" t="s">
        <v>37</v>
      </c>
      <c r="P1361" t="s">
        <v>433</v>
      </c>
      <c r="Q1361" t="s">
        <v>39</v>
      </c>
      <c r="R1361" t="s">
        <v>40</v>
      </c>
      <c r="S1361">
        <v>0</v>
      </c>
      <c r="U1361" t="s">
        <v>41</v>
      </c>
      <c r="V1361" t="s">
        <v>42</v>
      </c>
      <c r="X1361" t="s">
        <v>74</v>
      </c>
      <c r="Y1361" t="b">
        <v>0</v>
      </c>
      <c r="Z1361" t="b">
        <v>0</v>
      </c>
      <c r="AC1361" s="1"/>
      <c r="AF1361">
        <v>0</v>
      </c>
      <c r="AG1361">
        <v>45</v>
      </c>
      <c r="AH1361">
        <v>195</v>
      </c>
      <c r="AI1361" s="2">
        <f>Table__192.168.3.138DYLAgingReport[[#This Row],[NetAmount]]-Table__192.168.3.138DYLAgingReport[[#This Row],[Paid]]</f>
        <v>31059</v>
      </c>
    </row>
    <row r="1362" spans="1:35">
      <c r="A1362" t="s">
        <v>3019</v>
      </c>
      <c r="B1362" s="1">
        <v>41114</v>
      </c>
      <c r="C1362" s="1">
        <v>41114</v>
      </c>
      <c r="D1362" t="s">
        <v>296</v>
      </c>
      <c r="E1362">
        <v>11550</v>
      </c>
      <c r="F1362">
        <v>1848</v>
      </c>
      <c r="G1362">
        <v>0</v>
      </c>
      <c r="H1362">
        <v>0</v>
      </c>
      <c r="I1362">
        <v>169</v>
      </c>
      <c r="J1362">
        <v>13398</v>
      </c>
      <c r="K1362" t="s">
        <v>86</v>
      </c>
      <c r="L1362" s="1">
        <v>41099</v>
      </c>
      <c r="N1362" t="s">
        <v>36</v>
      </c>
      <c r="O1362" t="s">
        <v>37</v>
      </c>
      <c r="P1362" t="s">
        <v>433</v>
      </c>
      <c r="Q1362" t="s">
        <v>39</v>
      </c>
      <c r="R1362" t="s">
        <v>40</v>
      </c>
      <c r="S1362">
        <v>0</v>
      </c>
      <c r="U1362" t="s">
        <v>41</v>
      </c>
      <c r="V1362" t="s">
        <v>42</v>
      </c>
      <c r="X1362" t="s">
        <v>74</v>
      </c>
      <c r="Y1362" t="b">
        <v>0</v>
      </c>
      <c r="Z1362" t="b">
        <v>0</v>
      </c>
      <c r="AC1362" s="1"/>
      <c r="AF1362">
        <v>0</v>
      </c>
      <c r="AG1362">
        <v>45</v>
      </c>
      <c r="AH1362">
        <v>214</v>
      </c>
      <c r="AI1362" s="2">
        <f>Table__192.168.3.138DYLAgingReport[[#This Row],[NetAmount]]-Table__192.168.3.138DYLAgingReport[[#This Row],[Paid]]</f>
        <v>13398</v>
      </c>
    </row>
    <row r="1363" spans="1:35">
      <c r="A1363" t="s">
        <v>3020</v>
      </c>
      <c r="B1363" s="1">
        <v>41121.397326388891</v>
      </c>
      <c r="C1363" s="1">
        <v>41121.397326388891</v>
      </c>
      <c r="D1363" t="s">
        <v>296</v>
      </c>
      <c r="E1363">
        <v>45573</v>
      </c>
      <c r="F1363">
        <v>7292</v>
      </c>
      <c r="G1363">
        <v>0</v>
      </c>
      <c r="H1363">
        <v>0</v>
      </c>
      <c r="I1363">
        <v>147</v>
      </c>
      <c r="J1363">
        <v>52865</v>
      </c>
      <c r="K1363" t="s">
        <v>3021</v>
      </c>
      <c r="L1363" s="1">
        <v>41121</v>
      </c>
      <c r="N1363" t="s">
        <v>36</v>
      </c>
      <c r="O1363" t="s">
        <v>37</v>
      </c>
      <c r="P1363" t="s">
        <v>433</v>
      </c>
      <c r="Q1363" t="s">
        <v>39</v>
      </c>
      <c r="R1363" t="s">
        <v>40</v>
      </c>
      <c r="S1363">
        <v>0</v>
      </c>
      <c r="U1363" t="s">
        <v>41</v>
      </c>
      <c r="V1363" t="s">
        <v>42</v>
      </c>
      <c r="X1363" t="s">
        <v>74</v>
      </c>
      <c r="Y1363" t="b">
        <v>0</v>
      </c>
      <c r="Z1363" t="b">
        <v>0</v>
      </c>
      <c r="AC1363" s="1"/>
      <c r="AF1363">
        <v>0</v>
      </c>
      <c r="AG1363">
        <v>45</v>
      </c>
      <c r="AH1363">
        <v>192</v>
      </c>
      <c r="AI1363" s="2">
        <f>Table__192.168.3.138DYLAgingReport[[#This Row],[NetAmount]]-Table__192.168.3.138DYLAgingReport[[#This Row],[Paid]]</f>
        <v>52865</v>
      </c>
    </row>
    <row r="1364" spans="1:35">
      <c r="A1364" t="s">
        <v>3022</v>
      </c>
      <c r="B1364" s="1">
        <v>41121.397326388891</v>
      </c>
      <c r="C1364" s="1">
        <v>41121.397326388891</v>
      </c>
      <c r="D1364" t="s">
        <v>296</v>
      </c>
      <c r="E1364">
        <v>37915</v>
      </c>
      <c r="F1364">
        <v>6066</v>
      </c>
      <c r="G1364">
        <v>0</v>
      </c>
      <c r="H1364">
        <v>0</v>
      </c>
      <c r="I1364">
        <v>150</v>
      </c>
      <c r="J1364">
        <v>43981</v>
      </c>
      <c r="K1364" t="s">
        <v>1141</v>
      </c>
      <c r="L1364" s="1">
        <v>41118</v>
      </c>
      <c r="N1364" t="s">
        <v>36</v>
      </c>
      <c r="O1364" t="s">
        <v>37</v>
      </c>
      <c r="P1364" t="s">
        <v>433</v>
      </c>
      <c r="Q1364" t="s">
        <v>39</v>
      </c>
      <c r="R1364" t="s">
        <v>40</v>
      </c>
      <c r="S1364">
        <v>0</v>
      </c>
      <c r="U1364" t="s">
        <v>41</v>
      </c>
      <c r="V1364" t="s">
        <v>42</v>
      </c>
      <c r="X1364" t="s">
        <v>74</v>
      </c>
      <c r="Y1364" t="b">
        <v>0</v>
      </c>
      <c r="Z1364" t="b">
        <v>0</v>
      </c>
      <c r="AC1364" s="1"/>
      <c r="AF1364">
        <v>0</v>
      </c>
      <c r="AG1364">
        <v>45</v>
      </c>
      <c r="AH1364">
        <v>195</v>
      </c>
      <c r="AI1364" s="2">
        <f>Table__192.168.3.138DYLAgingReport[[#This Row],[NetAmount]]-Table__192.168.3.138DYLAgingReport[[#This Row],[Paid]]</f>
        <v>43981</v>
      </c>
    </row>
    <row r="1365" spans="1:35">
      <c r="A1365" t="s">
        <v>3023</v>
      </c>
      <c r="B1365" s="1">
        <v>41110</v>
      </c>
      <c r="C1365" s="1">
        <v>41155</v>
      </c>
      <c r="D1365" t="s">
        <v>227</v>
      </c>
      <c r="E1365">
        <v>63000</v>
      </c>
      <c r="F1365">
        <v>10080</v>
      </c>
      <c r="G1365">
        <v>0</v>
      </c>
      <c r="H1365">
        <v>0</v>
      </c>
      <c r="I1365">
        <v>159</v>
      </c>
      <c r="J1365">
        <v>73080</v>
      </c>
      <c r="K1365" t="s">
        <v>3024</v>
      </c>
      <c r="L1365" s="1">
        <v>41109</v>
      </c>
      <c r="N1365" t="s">
        <v>36</v>
      </c>
      <c r="O1365" t="s">
        <v>37</v>
      </c>
      <c r="P1365" t="s">
        <v>364</v>
      </c>
      <c r="Q1365" t="s">
        <v>39</v>
      </c>
      <c r="R1365" t="s">
        <v>40</v>
      </c>
      <c r="S1365">
        <v>0</v>
      </c>
      <c r="U1365" t="s">
        <v>41</v>
      </c>
      <c r="V1365" t="s">
        <v>42</v>
      </c>
      <c r="X1365" t="s">
        <v>74</v>
      </c>
      <c r="Y1365" t="b">
        <v>0</v>
      </c>
      <c r="Z1365" t="b">
        <v>0</v>
      </c>
      <c r="AC1365" s="1"/>
      <c r="AF1365">
        <v>0</v>
      </c>
      <c r="AG1365">
        <v>45</v>
      </c>
      <c r="AH1365">
        <v>204</v>
      </c>
      <c r="AI1365" s="2">
        <f>Table__192.168.3.138DYLAgingReport[[#This Row],[NetAmount]]-Table__192.168.3.138DYLAgingReport[[#This Row],[Paid]]</f>
        <v>73080</v>
      </c>
    </row>
    <row r="1366" spans="1:35">
      <c r="A1366" t="s">
        <v>3025</v>
      </c>
      <c r="B1366" s="1">
        <v>41121.358715277776</v>
      </c>
      <c r="C1366" s="1">
        <v>41166.358715277776</v>
      </c>
      <c r="D1366" t="s">
        <v>195</v>
      </c>
      <c r="E1366">
        <v>68771</v>
      </c>
      <c r="F1366">
        <v>11005</v>
      </c>
      <c r="G1366">
        <v>0</v>
      </c>
      <c r="H1366">
        <v>0</v>
      </c>
      <c r="I1366">
        <v>161</v>
      </c>
      <c r="J1366">
        <v>79776</v>
      </c>
      <c r="K1366" t="s">
        <v>3026</v>
      </c>
      <c r="L1366" s="1">
        <v>41107</v>
      </c>
      <c r="N1366" t="s">
        <v>36</v>
      </c>
      <c r="O1366" t="s">
        <v>37</v>
      </c>
      <c r="P1366" t="s">
        <v>332</v>
      </c>
      <c r="Q1366" t="s">
        <v>39</v>
      </c>
      <c r="R1366" t="s">
        <v>40</v>
      </c>
      <c r="S1366">
        <v>0</v>
      </c>
      <c r="U1366" t="s">
        <v>41</v>
      </c>
      <c r="V1366" t="s">
        <v>42</v>
      </c>
      <c r="X1366" t="s">
        <v>74</v>
      </c>
      <c r="Y1366" t="b">
        <v>0</v>
      </c>
      <c r="Z1366" t="b">
        <v>0</v>
      </c>
      <c r="AC1366" s="1"/>
      <c r="AF1366">
        <v>0</v>
      </c>
      <c r="AG1366">
        <v>45</v>
      </c>
      <c r="AH1366">
        <v>206</v>
      </c>
      <c r="AI1366" s="2">
        <f>Table__192.168.3.138DYLAgingReport[[#This Row],[NetAmount]]-Table__192.168.3.138DYLAgingReport[[#This Row],[Paid]]</f>
        <v>79776</v>
      </c>
    </row>
    <row r="1367" spans="1:35">
      <c r="A1367" t="s">
        <v>3027</v>
      </c>
      <c r="B1367" s="1">
        <v>41116</v>
      </c>
      <c r="C1367" s="1">
        <v>41161</v>
      </c>
      <c r="D1367" t="s">
        <v>187</v>
      </c>
      <c r="E1367">
        <v>42875</v>
      </c>
      <c r="F1367">
        <v>0</v>
      </c>
      <c r="G1367">
        <v>0</v>
      </c>
      <c r="H1367">
        <v>0</v>
      </c>
      <c r="I1367">
        <v>152</v>
      </c>
      <c r="J1367">
        <v>42875</v>
      </c>
      <c r="K1367" t="s">
        <v>3028</v>
      </c>
      <c r="L1367" s="1">
        <v>41116</v>
      </c>
      <c r="N1367" t="s">
        <v>36</v>
      </c>
      <c r="O1367" t="s">
        <v>37</v>
      </c>
      <c r="P1367" t="s">
        <v>324</v>
      </c>
      <c r="Q1367" t="s">
        <v>39</v>
      </c>
      <c r="R1367" t="s">
        <v>40</v>
      </c>
      <c r="S1367">
        <v>0</v>
      </c>
      <c r="U1367" t="s">
        <v>41</v>
      </c>
      <c r="V1367" t="s">
        <v>42</v>
      </c>
      <c r="X1367" t="s">
        <v>74</v>
      </c>
      <c r="Y1367" t="b">
        <v>0</v>
      </c>
      <c r="Z1367" t="b">
        <v>0</v>
      </c>
      <c r="AC1367" s="1"/>
      <c r="AF1367">
        <v>0</v>
      </c>
      <c r="AG1367">
        <v>45</v>
      </c>
      <c r="AH1367">
        <v>197</v>
      </c>
      <c r="AI1367" s="2">
        <f>Table__192.168.3.138DYLAgingReport[[#This Row],[NetAmount]]-Table__192.168.3.138DYLAgingReport[[#This Row],[Paid]]</f>
        <v>42875</v>
      </c>
    </row>
    <row r="1368" spans="1:35">
      <c r="A1368" t="s">
        <v>3029</v>
      </c>
      <c r="B1368" s="1">
        <v>41104</v>
      </c>
      <c r="C1368" s="1">
        <v>41149</v>
      </c>
      <c r="D1368" t="s">
        <v>238</v>
      </c>
      <c r="E1368">
        <v>105000</v>
      </c>
      <c r="F1368">
        <v>16800</v>
      </c>
      <c r="G1368">
        <v>0</v>
      </c>
      <c r="H1368">
        <v>0</v>
      </c>
      <c r="I1368">
        <v>147</v>
      </c>
      <c r="J1368">
        <v>121800</v>
      </c>
      <c r="K1368" t="s">
        <v>1066</v>
      </c>
      <c r="L1368" s="1">
        <v>41121</v>
      </c>
      <c r="N1368" t="s">
        <v>36</v>
      </c>
      <c r="O1368" t="s">
        <v>37</v>
      </c>
      <c r="P1368" t="s">
        <v>375</v>
      </c>
      <c r="Q1368" t="s">
        <v>39</v>
      </c>
      <c r="R1368" t="s">
        <v>40</v>
      </c>
      <c r="S1368">
        <v>0</v>
      </c>
      <c r="U1368" t="s">
        <v>41</v>
      </c>
      <c r="V1368" t="s">
        <v>42</v>
      </c>
      <c r="X1368" t="s">
        <v>74</v>
      </c>
      <c r="Y1368" t="b">
        <v>0</v>
      </c>
      <c r="Z1368" t="b">
        <v>0</v>
      </c>
      <c r="AC1368" s="1"/>
      <c r="AF1368">
        <v>0</v>
      </c>
      <c r="AG1368">
        <v>45</v>
      </c>
      <c r="AH1368">
        <v>192</v>
      </c>
      <c r="AI1368" s="2">
        <f>Table__192.168.3.138DYLAgingReport[[#This Row],[NetAmount]]-Table__192.168.3.138DYLAgingReport[[#This Row],[Paid]]</f>
        <v>121800</v>
      </c>
    </row>
    <row r="1369" spans="1:35">
      <c r="A1369" t="s">
        <v>3030</v>
      </c>
      <c r="B1369" s="1">
        <v>41121.6408912037</v>
      </c>
      <c r="C1369" s="1">
        <v>41121.6408912037</v>
      </c>
      <c r="D1369" t="s">
        <v>296</v>
      </c>
      <c r="E1369">
        <v>97905</v>
      </c>
      <c r="F1369">
        <v>15665</v>
      </c>
      <c r="G1369">
        <v>0</v>
      </c>
      <c r="H1369">
        <v>0</v>
      </c>
      <c r="I1369">
        <v>147</v>
      </c>
      <c r="J1369">
        <v>113570</v>
      </c>
      <c r="K1369" t="s">
        <v>3031</v>
      </c>
      <c r="L1369" s="1">
        <v>41121</v>
      </c>
      <c r="N1369" t="s">
        <v>36</v>
      </c>
      <c r="O1369" t="s">
        <v>37</v>
      </c>
      <c r="P1369" t="s">
        <v>433</v>
      </c>
      <c r="Q1369" t="s">
        <v>39</v>
      </c>
      <c r="R1369" t="s">
        <v>40</v>
      </c>
      <c r="S1369">
        <v>0</v>
      </c>
      <c r="U1369" t="s">
        <v>41</v>
      </c>
      <c r="V1369" t="s">
        <v>42</v>
      </c>
      <c r="X1369" t="s">
        <v>74</v>
      </c>
      <c r="Y1369" t="b">
        <v>0</v>
      </c>
      <c r="Z1369" t="b">
        <v>0</v>
      </c>
      <c r="AC1369" s="1"/>
      <c r="AF1369">
        <v>0</v>
      </c>
      <c r="AG1369">
        <v>45</v>
      </c>
      <c r="AH1369">
        <v>192</v>
      </c>
      <c r="AI1369" s="2">
        <f>Table__192.168.3.138DYLAgingReport[[#This Row],[NetAmount]]-Table__192.168.3.138DYLAgingReport[[#This Row],[Paid]]</f>
        <v>113570</v>
      </c>
    </row>
    <row r="1370" spans="1:35">
      <c r="A1370" t="s">
        <v>3032</v>
      </c>
      <c r="B1370" s="1">
        <v>41120</v>
      </c>
      <c r="C1370" s="1">
        <v>41165</v>
      </c>
      <c r="D1370" t="s">
        <v>288</v>
      </c>
      <c r="E1370">
        <v>10360</v>
      </c>
      <c r="F1370">
        <v>1658</v>
      </c>
      <c r="G1370">
        <v>0</v>
      </c>
      <c r="H1370">
        <v>0</v>
      </c>
      <c r="I1370">
        <v>148</v>
      </c>
      <c r="J1370">
        <v>12018</v>
      </c>
      <c r="K1370" t="s">
        <v>1252</v>
      </c>
      <c r="L1370" s="1">
        <v>41120</v>
      </c>
      <c r="N1370" t="s">
        <v>36</v>
      </c>
      <c r="O1370" t="s">
        <v>37</v>
      </c>
      <c r="P1370" t="s">
        <v>425</v>
      </c>
      <c r="Q1370" t="s">
        <v>39</v>
      </c>
      <c r="R1370" t="s">
        <v>40</v>
      </c>
      <c r="S1370">
        <v>0</v>
      </c>
      <c r="U1370" t="s">
        <v>41</v>
      </c>
      <c r="V1370" t="s">
        <v>42</v>
      </c>
      <c r="X1370" t="s">
        <v>74</v>
      </c>
      <c r="Y1370" t="b">
        <v>0</v>
      </c>
      <c r="Z1370" t="b">
        <v>0</v>
      </c>
      <c r="AC1370" s="1"/>
      <c r="AF1370">
        <v>0</v>
      </c>
      <c r="AG1370">
        <v>45</v>
      </c>
      <c r="AH1370">
        <v>193</v>
      </c>
      <c r="AI1370" s="2">
        <f>Table__192.168.3.138DYLAgingReport[[#This Row],[NetAmount]]-Table__192.168.3.138DYLAgingReport[[#This Row],[Paid]]</f>
        <v>12018</v>
      </c>
    </row>
    <row r="1371" spans="1:35">
      <c r="A1371" t="s">
        <v>3033</v>
      </c>
      <c r="B1371" s="1">
        <v>41121.541307870371</v>
      </c>
      <c r="C1371" s="1">
        <v>41121.541307870371</v>
      </c>
      <c r="D1371" t="s">
        <v>296</v>
      </c>
      <c r="E1371">
        <v>18312</v>
      </c>
      <c r="F1371">
        <v>2930</v>
      </c>
      <c r="G1371">
        <v>0</v>
      </c>
      <c r="H1371">
        <v>0</v>
      </c>
      <c r="I1371">
        <v>153</v>
      </c>
      <c r="J1371">
        <v>21242</v>
      </c>
      <c r="K1371" t="s">
        <v>3034</v>
      </c>
      <c r="L1371" s="1">
        <v>41115</v>
      </c>
      <c r="N1371" t="s">
        <v>36</v>
      </c>
      <c r="O1371" t="s">
        <v>37</v>
      </c>
      <c r="P1371" t="s">
        <v>433</v>
      </c>
      <c r="Q1371" t="s">
        <v>39</v>
      </c>
      <c r="R1371" t="s">
        <v>40</v>
      </c>
      <c r="S1371">
        <v>0</v>
      </c>
      <c r="U1371" t="s">
        <v>41</v>
      </c>
      <c r="V1371" t="s">
        <v>42</v>
      </c>
      <c r="X1371" t="s">
        <v>74</v>
      </c>
      <c r="Y1371" t="b">
        <v>0</v>
      </c>
      <c r="Z1371" t="b">
        <v>0</v>
      </c>
      <c r="AC1371" s="1"/>
      <c r="AF1371">
        <v>0</v>
      </c>
      <c r="AG1371">
        <v>45</v>
      </c>
      <c r="AH1371">
        <v>198</v>
      </c>
      <c r="AI1371" s="2">
        <f>Table__192.168.3.138DYLAgingReport[[#This Row],[NetAmount]]-Table__192.168.3.138DYLAgingReport[[#This Row],[Paid]]</f>
        <v>21242</v>
      </c>
    </row>
    <row r="1372" spans="1:35">
      <c r="A1372" t="s">
        <v>3035</v>
      </c>
      <c r="B1372" s="1">
        <v>41121.432245370372</v>
      </c>
      <c r="C1372" s="1">
        <v>41166.432245370372</v>
      </c>
      <c r="D1372" t="s">
        <v>187</v>
      </c>
      <c r="E1372">
        <v>28000</v>
      </c>
      <c r="F1372">
        <v>0</v>
      </c>
      <c r="G1372">
        <v>0</v>
      </c>
      <c r="H1372">
        <v>0</v>
      </c>
      <c r="I1372">
        <v>158</v>
      </c>
      <c r="J1372">
        <v>28000</v>
      </c>
      <c r="K1372" t="s">
        <v>3036</v>
      </c>
      <c r="L1372" s="1">
        <v>41110</v>
      </c>
      <c r="N1372" t="s">
        <v>36</v>
      </c>
      <c r="O1372" t="s">
        <v>37</v>
      </c>
      <c r="P1372" t="s">
        <v>324</v>
      </c>
      <c r="Q1372" t="s">
        <v>39</v>
      </c>
      <c r="R1372" t="s">
        <v>40</v>
      </c>
      <c r="S1372">
        <v>0</v>
      </c>
      <c r="U1372" t="s">
        <v>41</v>
      </c>
      <c r="V1372" t="s">
        <v>42</v>
      </c>
      <c r="X1372" t="s">
        <v>74</v>
      </c>
      <c r="Y1372" t="b">
        <v>0</v>
      </c>
      <c r="Z1372" t="b">
        <v>0</v>
      </c>
      <c r="AC1372" s="1"/>
      <c r="AF1372">
        <v>0</v>
      </c>
      <c r="AG1372">
        <v>45</v>
      </c>
      <c r="AH1372">
        <v>203</v>
      </c>
      <c r="AI1372" s="2">
        <f>Table__192.168.3.138DYLAgingReport[[#This Row],[NetAmount]]-Table__192.168.3.138DYLAgingReport[[#This Row],[Paid]]</f>
        <v>28000</v>
      </c>
    </row>
    <row r="1373" spans="1:35">
      <c r="A1373" t="s">
        <v>3037</v>
      </c>
      <c r="B1373" s="1">
        <v>41121.365034722221</v>
      </c>
      <c r="C1373" s="1">
        <v>41166.365034722221</v>
      </c>
      <c r="D1373" t="s">
        <v>175</v>
      </c>
      <c r="E1373">
        <v>255800</v>
      </c>
      <c r="F1373">
        <v>40928</v>
      </c>
      <c r="G1373">
        <v>0</v>
      </c>
      <c r="H1373">
        <v>0</v>
      </c>
      <c r="I1373">
        <v>147</v>
      </c>
      <c r="J1373">
        <v>296728</v>
      </c>
      <c r="K1373" t="s">
        <v>69</v>
      </c>
      <c r="L1373" s="1">
        <v>41121</v>
      </c>
      <c r="N1373" t="s">
        <v>36</v>
      </c>
      <c r="O1373" t="s">
        <v>37</v>
      </c>
      <c r="P1373" t="s">
        <v>312</v>
      </c>
      <c r="Q1373" t="s">
        <v>39</v>
      </c>
      <c r="R1373" t="s">
        <v>40</v>
      </c>
      <c r="S1373">
        <v>0</v>
      </c>
      <c r="U1373" t="s">
        <v>41</v>
      </c>
      <c r="V1373" t="s">
        <v>42</v>
      </c>
      <c r="X1373" t="s">
        <v>74</v>
      </c>
      <c r="Y1373" t="b">
        <v>0</v>
      </c>
      <c r="Z1373" t="b">
        <v>0</v>
      </c>
      <c r="AB1373" t="s">
        <v>2993</v>
      </c>
      <c r="AC1373" s="1">
        <v>41302</v>
      </c>
      <c r="AF1373">
        <v>0</v>
      </c>
      <c r="AG1373">
        <v>45</v>
      </c>
      <c r="AH1373">
        <v>192</v>
      </c>
      <c r="AI1373" s="2">
        <f>Table__192.168.3.138DYLAgingReport[[#This Row],[NetAmount]]-Table__192.168.3.138DYLAgingReport[[#This Row],[Paid]]</f>
        <v>296728</v>
      </c>
    </row>
    <row r="1374" spans="1:35">
      <c r="A1374" t="s">
        <v>3038</v>
      </c>
      <c r="B1374" s="1">
        <v>41121.459282407406</v>
      </c>
      <c r="C1374" s="1">
        <v>41166.459282407406</v>
      </c>
      <c r="D1374" t="s">
        <v>177</v>
      </c>
      <c r="E1374">
        <v>113450</v>
      </c>
      <c r="F1374">
        <v>18152</v>
      </c>
      <c r="G1374">
        <v>0</v>
      </c>
      <c r="H1374">
        <v>0</v>
      </c>
      <c r="I1374">
        <v>169</v>
      </c>
      <c r="J1374">
        <v>131602</v>
      </c>
      <c r="K1374" t="s">
        <v>3039</v>
      </c>
      <c r="L1374" s="1">
        <v>41099</v>
      </c>
      <c r="N1374" t="s">
        <v>36</v>
      </c>
      <c r="O1374" t="s">
        <v>37</v>
      </c>
      <c r="P1374" t="s">
        <v>314</v>
      </c>
      <c r="Q1374" t="s">
        <v>39</v>
      </c>
      <c r="R1374" t="s">
        <v>40</v>
      </c>
      <c r="S1374">
        <v>0</v>
      </c>
      <c r="U1374" t="s">
        <v>41</v>
      </c>
      <c r="V1374" t="s">
        <v>42</v>
      </c>
      <c r="X1374" t="s">
        <v>74</v>
      </c>
      <c r="Y1374" t="b">
        <v>0</v>
      </c>
      <c r="Z1374" t="b">
        <v>0</v>
      </c>
      <c r="AC1374" s="1"/>
      <c r="AF1374">
        <v>0</v>
      </c>
      <c r="AG1374">
        <v>45</v>
      </c>
      <c r="AH1374">
        <v>214</v>
      </c>
      <c r="AI1374" s="2">
        <f>Table__192.168.3.138DYLAgingReport[[#This Row],[NetAmount]]-Table__192.168.3.138DYLAgingReport[[#This Row],[Paid]]</f>
        <v>131602</v>
      </c>
    </row>
    <row r="1375" spans="1:35">
      <c r="A1375" t="s">
        <v>3040</v>
      </c>
      <c r="B1375" s="1">
        <v>41121.618703703702</v>
      </c>
      <c r="C1375" s="1">
        <v>41166.618703703702</v>
      </c>
      <c r="D1375" t="s">
        <v>227</v>
      </c>
      <c r="E1375">
        <v>228500</v>
      </c>
      <c r="F1375">
        <v>36560</v>
      </c>
      <c r="G1375">
        <v>0</v>
      </c>
      <c r="H1375">
        <v>0</v>
      </c>
      <c r="I1375">
        <v>147</v>
      </c>
      <c r="J1375">
        <v>265060</v>
      </c>
      <c r="K1375" t="s">
        <v>3041</v>
      </c>
      <c r="L1375" s="1">
        <v>41121</v>
      </c>
      <c r="N1375" t="s">
        <v>36</v>
      </c>
      <c r="O1375" t="s">
        <v>37</v>
      </c>
      <c r="P1375" t="s">
        <v>364</v>
      </c>
      <c r="Q1375" t="s">
        <v>39</v>
      </c>
      <c r="R1375" t="s">
        <v>40</v>
      </c>
      <c r="S1375">
        <v>0</v>
      </c>
      <c r="U1375" t="s">
        <v>41</v>
      </c>
      <c r="V1375" t="s">
        <v>42</v>
      </c>
      <c r="X1375" t="s">
        <v>74</v>
      </c>
      <c r="Y1375" t="b">
        <v>0</v>
      </c>
      <c r="Z1375" t="b">
        <v>0</v>
      </c>
      <c r="AC1375" s="1"/>
      <c r="AF1375">
        <v>0</v>
      </c>
      <c r="AG1375">
        <v>45</v>
      </c>
      <c r="AH1375">
        <v>192</v>
      </c>
      <c r="AI1375" s="2">
        <f>Table__192.168.3.138DYLAgingReport[[#This Row],[NetAmount]]-Table__192.168.3.138DYLAgingReport[[#This Row],[Paid]]</f>
        <v>265060</v>
      </c>
    </row>
    <row r="1376" spans="1:35">
      <c r="A1376" t="s">
        <v>3042</v>
      </c>
      <c r="B1376" s="1">
        <v>41121.477766203701</v>
      </c>
      <c r="C1376" s="1">
        <v>41166.477766203701</v>
      </c>
      <c r="D1376" t="s">
        <v>207</v>
      </c>
      <c r="E1376">
        <v>17138</v>
      </c>
      <c r="F1376">
        <v>2742</v>
      </c>
      <c r="G1376">
        <v>0</v>
      </c>
      <c r="H1376">
        <v>0</v>
      </c>
      <c r="I1376">
        <v>147</v>
      </c>
      <c r="J1376">
        <v>19880</v>
      </c>
      <c r="K1376" t="s">
        <v>3043</v>
      </c>
      <c r="L1376" s="1">
        <v>41121</v>
      </c>
      <c r="N1376" t="s">
        <v>36</v>
      </c>
      <c r="O1376" t="s">
        <v>37</v>
      </c>
      <c r="P1376" t="s">
        <v>344</v>
      </c>
      <c r="Q1376" t="s">
        <v>39</v>
      </c>
      <c r="R1376" t="s">
        <v>40</v>
      </c>
      <c r="S1376">
        <v>0</v>
      </c>
      <c r="U1376" t="s">
        <v>41</v>
      </c>
      <c r="V1376" t="s">
        <v>42</v>
      </c>
      <c r="X1376" t="s">
        <v>74</v>
      </c>
      <c r="Y1376" t="b">
        <v>0</v>
      </c>
      <c r="Z1376" t="b">
        <v>0</v>
      </c>
      <c r="AC1376" s="1"/>
      <c r="AF1376">
        <v>0</v>
      </c>
      <c r="AG1376">
        <v>45</v>
      </c>
      <c r="AH1376">
        <v>192</v>
      </c>
      <c r="AI1376" s="2">
        <f>Table__192.168.3.138DYLAgingReport[[#This Row],[NetAmount]]-Table__192.168.3.138DYLAgingReport[[#This Row],[Paid]]</f>
        <v>19880</v>
      </c>
    </row>
    <row r="1377" spans="1:35">
      <c r="A1377" t="s">
        <v>3044</v>
      </c>
      <c r="B1377" s="1">
        <v>41121.414351851854</v>
      </c>
      <c r="C1377" s="1">
        <v>41166.414351851854</v>
      </c>
      <c r="D1377" t="s">
        <v>276</v>
      </c>
      <c r="E1377">
        <v>278300</v>
      </c>
      <c r="F1377">
        <v>44528</v>
      </c>
      <c r="G1377">
        <v>0</v>
      </c>
      <c r="H1377">
        <v>0</v>
      </c>
      <c r="I1377">
        <v>174</v>
      </c>
      <c r="J1377">
        <v>322828</v>
      </c>
      <c r="K1377" t="s">
        <v>3045</v>
      </c>
      <c r="L1377" s="1">
        <v>41094</v>
      </c>
      <c r="N1377" t="s">
        <v>36</v>
      </c>
      <c r="O1377" t="s">
        <v>37</v>
      </c>
      <c r="P1377" t="s">
        <v>413</v>
      </c>
      <c r="Q1377" t="s">
        <v>39</v>
      </c>
      <c r="R1377" t="s">
        <v>40</v>
      </c>
      <c r="S1377">
        <v>0</v>
      </c>
      <c r="U1377" t="s">
        <v>41</v>
      </c>
      <c r="V1377" t="s">
        <v>42</v>
      </c>
      <c r="X1377" t="s">
        <v>74</v>
      </c>
      <c r="Y1377" t="b">
        <v>0</v>
      </c>
      <c r="Z1377" t="b">
        <v>0</v>
      </c>
      <c r="AB1377" t="s">
        <v>932</v>
      </c>
      <c r="AC1377" s="1">
        <v>41298</v>
      </c>
      <c r="AF1377">
        <v>0</v>
      </c>
      <c r="AG1377">
        <v>45</v>
      </c>
      <c r="AH1377">
        <v>219</v>
      </c>
      <c r="AI1377" s="2">
        <f>Table__192.168.3.138DYLAgingReport[[#This Row],[NetAmount]]-Table__192.168.3.138DYLAgingReport[[#This Row],[Paid]]</f>
        <v>322828</v>
      </c>
    </row>
    <row r="1378" spans="1:35">
      <c r="A1378" t="s">
        <v>3046</v>
      </c>
      <c r="B1378" s="1">
        <v>41121.540879629632</v>
      </c>
      <c r="C1378" s="1">
        <v>41121.540879629632</v>
      </c>
      <c r="D1378" t="s">
        <v>296</v>
      </c>
      <c r="E1378">
        <v>1375</v>
      </c>
      <c r="F1378">
        <v>220</v>
      </c>
      <c r="G1378">
        <v>0</v>
      </c>
      <c r="H1378">
        <v>0</v>
      </c>
      <c r="I1378">
        <v>169</v>
      </c>
      <c r="J1378">
        <v>1595</v>
      </c>
      <c r="K1378" t="s">
        <v>3047</v>
      </c>
      <c r="L1378" s="1">
        <v>41099</v>
      </c>
      <c r="N1378" t="s">
        <v>36</v>
      </c>
      <c r="O1378" t="s">
        <v>37</v>
      </c>
      <c r="P1378" t="s">
        <v>433</v>
      </c>
      <c r="Q1378" t="s">
        <v>39</v>
      </c>
      <c r="R1378" t="s">
        <v>40</v>
      </c>
      <c r="S1378">
        <v>0</v>
      </c>
      <c r="U1378" t="s">
        <v>41</v>
      </c>
      <c r="V1378" t="s">
        <v>42</v>
      </c>
      <c r="X1378" t="s">
        <v>74</v>
      </c>
      <c r="Y1378" t="b">
        <v>0</v>
      </c>
      <c r="Z1378" t="b">
        <v>0</v>
      </c>
      <c r="AC1378" s="1"/>
      <c r="AF1378">
        <v>0</v>
      </c>
      <c r="AG1378">
        <v>45</v>
      </c>
      <c r="AH1378">
        <v>214</v>
      </c>
      <c r="AI1378" s="2">
        <f>Table__192.168.3.138DYLAgingReport[[#This Row],[NetAmount]]-Table__192.168.3.138DYLAgingReport[[#This Row],[Paid]]</f>
        <v>1595</v>
      </c>
    </row>
    <row r="1379" spans="1:35">
      <c r="A1379" t="s">
        <v>3048</v>
      </c>
      <c r="B1379" s="1">
        <v>41121.540879629632</v>
      </c>
      <c r="C1379" s="1">
        <v>41166.540879629632</v>
      </c>
      <c r="D1379" t="s">
        <v>202</v>
      </c>
      <c r="E1379">
        <v>975</v>
      </c>
      <c r="F1379">
        <v>156</v>
      </c>
      <c r="G1379">
        <v>0</v>
      </c>
      <c r="H1379">
        <v>0</v>
      </c>
      <c r="I1379">
        <v>148</v>
      </c>
      <c r="J1379">
        <v>1131</v>
      </c>
      <c r="K1379" t="s">
        <v>3049</v>
      </c>
      <c r="L1379" s="1">
        <v>41120</v>
      </c>
      <c r="N1379" t="s">
        <v>36</v>
      </c>
      <c r="O1379" t="s">
        <v>37</v>
      </c>
      <c r="P1379" t="s">
        <v>339</v>
      </c>
      <c r="Q1379" t="s">
        <v>39</v>
      </c>
      <c r="R1379" t="s">
        <v>40</v>
      </c>
      <c r="S1379">
        <v>0</v>
      </c>
      <c r="U1379" t="s">
        <v>41</v>
      </c>
      <c r="V1379" t="s">
        <v>42</v>
      </c>
      <c r="X1379" t="s">
        <v>74</v>
      </c>
      <c r="Y1379" t="b">
        <v>0</v>
      </c>
      <c r="Z1379" t="b">
        <v>0</v>
      </c>
      <c r="AC1379" s="1"/>
      <c r="AF1379">
        <v>0</v>
      </c>
      <c r="AG1379">
        <v>45</v>
      </c>
      <c r="AH1379">
        <v>193</v>
      </c>
      <c r="AI1379" s="2">
        <f>Table__192.168.3.138DYLAgingReport[[#This Row],[NetAmount]]-Table__192.168.3.138DYLAgingReport[[#This Row],[Paid]]</f>
        <v>1131</v>
      </c>
    </row>
    <row r="1380" spans="1:35">
      <c r="A1380" t="s">
        <v>3050</v>
      </c>
      <c r="B1380" s="1">
        <v>41121.540879629632</v>
      </c>
      <c r="C1380" s="1">
        <v>41166.540879629632</v>
      </c>
      <c r="D1380" t="s">
        <v>175</v>
      </c>
      <c r="E1380">
        <v>179538</v>
      </c>
      <c r="F1380">
        <v>28726</v>
      </c>
      <c r="G1380">
        <v>0</v>
      </c>
      <c r="H1380">
        <v>0</v>
      </c>
      <c r="I1380">
        <v>159</v>
      </c>
      <c r="J1380">
        <v>208264</v>
      </c>
      <c r="K1380" t="s">
        <v>3051</v>
      </c>
      <c r="L1380" s="1">
        <v>41109</v>
      </c>
      <c r="N1380" t="s">
        <v>36</v>
      </c>
      <c r="O1380" t="s">
        <v>37</v>
      </c>
      <c r="P1380" t="s">
        <v>312</v>
      </c>
      <c r="Q1380" t="s">
        <v>39</v>
      </c>
      <c r="R1380" t="s">
        <v>40</v>
      </c>
      <c r="S1380">
        <v>0</v>
      </c>
      <c r="U1380" t="s">
        <v>41</v>
      </c>
      <c r="V1380" t="s">
        <v>42</v>
      </c>
      <c r="X1380" t="s">
        <v>74</v>
      </c>
      <c r="Y1380" t="b">
        <v>0</v>
      </c>
      <c r="Z1380" t="b">
        <v>0</v>
      </c>
      <c r="AB1380" t="s">
        <v>2993</v>
      </c>
      <c r="AC1380" s="1">
        <v>41302</v>
      </c>
      <c r="AF1380">
        <v>0</v>
      </c>
      <c r="AG1380">
        <v>45</v>
      </c>
      <c r="AH1380">
        <v>204</v>
      </c>
      <c r="AI1380" s="2">
        <f>Table__192.168.3.138DYLAgingReport[[#This Row],[NetAmount]]-Table__192.168.3.138DYLAgingReport[[#This Row],[Paid]]</f>
        <v>208264</v>
      </c>
    </row>
    <row r="1381" spans="1:35">
      <c r="A1381" t="s">
        <v>3052</v>
      </c>
      <c r="B1381" s="1">
        <v>41125</v>
      </c>
      <c r="C1381" s="1">
        <v>41170</v>
      </c>
      <c r="D1381" t="s">
        <v>220</v>
      </c>
      <c r="E1381">
        <v>12000</v>
      </c>
      <c r="F1381">
        <v>1920</v>
      </c>
      <c r="G1381">
        <v>0</v>
      </c>
      <c r="H1381">
        <v>0</v>
      </c>
      <c r="I1381">
        <v>143</v>
      </c>
      <c r="J1381">
        <v>13920</v>
      </c>
      <c r="K1381" t="s">
        <v>3053</v>
      </c>
      <c r="L1381" s="1">
        <v>41125</v>
      </c>
      <c r="N1381" t="s">
        <v>36</v>
      </c>
      <c r="O1381" t="s">
        <v>37</v>
      </c>
      <c r="P1381" t="s">
        <v>357</v>
      </c>
      <c r="Q1381" t="s">
        <v>39</v>
      </c>
      <c r="R1381" t="s">
        <v>40</v>
      </c>
      <c r="S1381">
        <v>0</v>
      </c>
      <c r="U1381" t="s">
        <v>41</v>
      </c>
      <c r="V1381" t="s">
        <v>42</v>
      </c>
      <c r="X1381" t="s">
        <v>74</v>
      </c>
      <c r="Y1381" t="b">
        <v>0</v>
      </c>
      <c r="Z1381" t="b">
        <v>0</v>
      </c>
      <c r="AC1381" s="1"/>
      <c r="AF1381">
        <v>0</v>
      </c>
      <c r="AG1381">
        <v>45</v>
      </c>
      <c r="AH1381">
        <v>188</v>
      </c>
      <c r="AI1381" s="2">
        <f>Table__192.168.3.138DYLAgingReport[[#This Row],[NetAmount]]-Table__192.168.3.138DYLAgingReport[[#This Row],[Paid]]</f>
        <v>13920</v>
      </c>
    </row>
    <row r="1382" spans="1:35">
      <c r="A1382" t="s">
        <v>3054</v>
      </c>
      <c r="B1382" s="1">
        <v>41129</v>
      </c>
      <c r="C1382" s="1">
        <v>41174</v>
      </c>
      <c r="D1382" t="s">
        <v>220</v>
      </c>
      <c r="E1382">
        <v>178200</v>
      </c>
      <c r="F1382">
        <v>28512</v>
      </c>
      <c r="G1382">
        <v>0</v>
      </c>
      <c r="H1382">
        <v>0</v>
      </c>
      <c r="I1382">
        <v>141</v>
      </c>
      <c r="J1382">
        <v>206712</v>
      </c>
      <c r="K1382" t="s">
        <v>3055</v>
      </c>
      <c r="L1382" s="1">
        <v>41127</v>
      </c>
      <c r="N1382" t="s">
        <v>36</v>
      </c>
      <c r="O1382" t="s">
        <v>37</v>
      </c>
      <c r="P1382" t="s">
        <v>357</v>
      </c>
      <c r="Q1382" t="s">
        <v>39</v>
      </c>
      <c r="R1382" t="s">
        <v>40</v>
      </c>
      <c r="S1382">
        <v>0</v>
      </c>
      <c r="U1382" t="s">
        <v>41</v>
      </c>
      <c r="V1382" t="s">
        <v>42</v>
      </c>
      <c r="X1382" t="s">
        <v>74</v>
      </c>
      <c r="Y1382" t="b">
        <v>0</v>
      </c>
      <c r="Z1382" t="b">
        <v>0</v>
      </c>
      <c r="AC1382" s="1"/>
      <c r="AF1382">
        <v>0</v>
      </c>
      <c r="AG1382">
        <v>45</v>
      </c>
      <c r="AH1382">
        <v>186</v>
      </c>
      <c r="AI1382" s="2">
        <f>Table__192.168.3.138DYLAgingReport[[#This Row],[NetAmount]]-Table__192.168.3.138DYLAgingReport[[#This Row],[Paid]]</f>
        <v>206712</v>
      </c>
    </row>
    <row r="1383" spans="1:35">
      <c r="A1383" t="s">
        <v>3056</v>
      </c>
      <c r="B1383" s="1">
        <v>41131</v>
      </c>
      <c r="C1383" s="1">
        <v>41176</v>
      </c>
      <c r="D1383" t="s">
        <v>220</v>
      </c>
      <c r="E1383">
        <v>65000</v>
      </c>
      <c r="F1383">
        <v>10400</v>
      </c>
      <c r="G1383">
        <v>0</v>
      </c>
      <c r="H1383">
        <v>0</v>
      </c>
      <c r="I1383">
        <v>137</v>
      </c>
      <c r="J1383">
        <v>75400</v>
      </c>
      <c r="K1383" t="s">
        <v>3057</v>
      </c>
      <c r="L1383" s="1">
        <v>41131</v>
      </c>
      <c r="N1383" t="s">
        <v>36</v>
      </c>
      <c r="O1383" t="s">
        <v>37</v>
      </c>
      <c r="P1383" t="s">
        <v>357</v>
      </c>
      <c r="Q1383" t="s">
        <v>39</v>
      </c>
      <c r="R1383" t="s">
        <v>40</v>
      </c>
      <c r="S1383">
        <v>0</v>
      </c>
      <c r="U1383" t="s">
        <v>41</v>
      </c>
      <c r="V1383" t="s">
        <v>42</v>
      </c>
      <c r="X1383" t="s">
        <v>74</v>
      </c>
      <c r="Y1383" t="b">
        <v>0</v>
      </c>
      <c r="Z1383" t="b">
        <v>0</v>
      </c>
      <c r="AC1383" s="1"/>
      <c r="AF1383">
        <v>0</v>
      </c>
      <c r="AG1383">
        <v>45</v>
      </c>
      <c r="AH1383">
        <v>182</v>
      </c>
      <c r="AI1383" s="2">
        <f>Table__192.168.3.138DYLAgingReport[[#This Row],[NetAmount]]-Table__192.168.3.138DYLAgingReport[[#This Row],[Paid]]</f>
        <v>75400</v>
      </c>
    </row>
    <row r="1384" spans="1:35">
      <c r="A1384" t="s">
        <v>3058</v>
      </c>
      <c r="B1384" s="1">
        <v>41134</v>
      </c>
      <c r="C1384" s="1">
        <v>41179</v>
      </c>
      <c r="D1384" t="s">
        <v>220</v>
      </c>
      <c r="E1384">
        <v>1795</v>
      </c>
      <c r="F1384">
        <v>287</v>
      </c>
      <c r="G1384">
        <v>0</v>
      </c>
      <c r="H1384">
        <v>0</v>
      </c>
      <c r="I1384">
        <v>134</v>
      </c>
      <c r="J1384">
        <v>2082</v>
      </c>
      <c r="K1384" t="s">
        <v>1145</v>
      </c>
      <c r="L1384" s="1">
        <v>41134</v>
      </c>
      <c r="N1384" t="s">
        <v>36</v>
      </c>
      <c r="O1384" t="s">
        <v>37</v>
      </c>
      <c r="P1384" t="s">
        <v>357</v>
      </c>
      <c r="Q1384" t="s">
        <v>39</v>
      </c>
      <c r="R1384" t="s">
        <v>40</v>
      </c>
      <c r="S1384">
        <v>0</v>
      </c>
      <c r="U1384" t="s">
        <v>41</v>
      </c>
      <c r="V1384" t="s">
        <v>42</v>
      </c>
      <c r="X1384" t="s">
        <v>74</v>
      </c>
      <c r="Y1384" t="b">
        <v>0</v>
      </c>
      <c r="Z1384" t="b">
        <v>0</v>
      </c>
      <c r="AC1384" s="1"/>
      <c r="AF1384">
        <v>0</v>
      </c>
      <c r="AG1384">
        <v>45</v>
      </c>
      <c r="AH1384">
        <v>179</v>
      </c>
      <c r="AI1384" s="2">
        <f>Table__192.168.3.138DYLAgingReport[[#This Row],[NetAmount]]-Table__192.168.3.138DYLAgingReport[[#This Row],[Paid]]</f>
        <v>2082</v>
      </c>
    </row>
    <row r="1385" spans="1:35">
      <c r="A1385" t="s">
        <v>3059</v>
      </c>
      <c r="B1385" s="1">
        <v>41134</v>
      </c>
      <c r="C1385" s="1">
        <v>41179</v>
      </c>
      <c r="D1385" t="s">
        <v>220</v>
      </c>
      <c r="E1385">
        <v>12300</v>
      </c>
      <c r="F1385">
        <v>1968</v>
      </c>
      <c r="G1385">
        <v>0</v>
      </c>
      <c r="H1385">
        <v>0</v>
      </c>
      <c r="I1385">
        <v>132</v>
      </c>
      <c r="J1385">
        <v>14268</v>
      </c>
      <c r="K1385" t="s">
        <v>3060</v>
      </c>
      <c r="L1385" s="1">
        <v>41136</v>
      </c>
      <c r="N1385" t="s">
        <v>36</v>
      </c>
      <c r="O1385" t="s">
        <v>37</v>
      </c>
      <c r="P1385" t="s">
        <v>357</v>
      </c>
      <c r="Q1385" t="s">
        <v>39</v>
      </c>
      <c r="R1385" t="s">
        <v>40</v>
      </c>
      <c r="S1385">
        <v>0</v>
      </c>
      <c r="U1385" t="s">
        <v>41</v>
      </c>
      <c r="V1385" t="s">
        <v>42</v>
      </c>
      <c r="X1385" t="s">
        <v>74</v>
      </c>
      <c r="Y1385" t="b">
        <v>0</v>
      </c>
      <c r="Z1385" t="b">
        <v>0</v>
      </c>
      <c r="AC1385" s="1"/>
      <c r="AF1385">
        <v>0</v>
      </c>
      <c r="AG1385">
        <v>45</v>
      </c>
      <c r="AH1385">
        <v>177</v>
      </c>
      <c r="AI1385" s="2">
        <f>Table__192.168.3.138DYLAgingReport[[#This Row],[NetAmount]]-Table__192.168.3.138DYLAgingReport[[#This Row],[Paid]]</f>
        <v>14268</v>
      </c>
    </row>
    <row r="1386" spans="1:35">
      <c r="A1386" t="s">
        <v>3061</v>
      </c>
      <c r="B1386" s="1">
        <v>41131</v>
      </c>
      <c r="C1386" s="1">
        <v>41176</v>
      </c>
      <c r="D1386" t="s">
        <v>220</v>
      </c>
      <c r="E1386">
        <v>49200</v>
      </c>
      <c r="F1386">
        <v>7872</v>
      </c>
      <c r="G1386">
        <v>0</v>
      </c>
      <c r="H1386">
        <v>0</v>
      </c>
      <c r="I1386">
        <v>132</v>
      </c>
      <c r="J1386">
        <v>57072</v>
      </c>
      <c r="K1386" t="s">
        <v>3062</v>
      </c>
      <c r="L1386" s="1">
        <v>41136</v>
      </c>
      <c r="N1386" t="s">
        <v>36</v>
      </c>
      <c r="O1386" t="s">
        <v>37</v>
      </c>
      <c r="P1386" t="s">
        <v>357</v>
      </c>
      <c r="Q1386" t="s">
        <v>39</v>
      </c>
      <c r="R1386" t="s">
        <v>40</v>
      </c>
      <c r="S1386">
        <v>0</v>
      </c>
      <c r="U1386" t="s">
        <v>41</v>
      </c>
      <c r="V1386" t="s">
        <v>42</v>
      </c>
      <c r="X1386" t="s">
        <v>74</v>
      </c>
      <c r="Y1386" t="b">
        <v>0</v>
      </c>
      <c r="Z1386" t="b">
        <v>0</v>
      </c>
      <c r="AC1386" s="1"/>
      <c r="AF1386">
        <v>0</v>
      </c>
      <c r="AG1386">
        <v>45</v>
      </c>
      <c r="AH1386">
        <v>177</v>
      </c>
      <c r="AI1386" s="2">
        <f>Table__192.168.3.138DYLAgingReport[[#This Row],[NetAmount]]-Table__192.168.3.138DYLAgingReport[[#This Row],[Paid]]</f>
        <v>57072</v>
      </c>
    </row>
    <row r="1387" spans="1:35">
      <c r="A1387" t="s">
        <v>3063</v>
      </c>
      <c r="B1387" s="1">
        <v>41134</v>
      </c>
      <c r="C1387" s="1">
        <v>41179</v>
      </c>
      <c r="D1387" t="s">
        <v>220</v>
      </c>
      <c r="E1387">
        <v>130000</v>
      </c>
      <c r="F1387">
        <v>20800</v>
      </c>
      <c r="G1387">
        <v>0</v>
      </c>
      <c r="H1387">
        <v>0</v>
      </c>
      <c r="I1387">
        <v>134</v>
      </c>
      <c r="J1387">
        <v>150800</v>
      </c>
      <c r="K1387" t="s">
        <v>3064</v>
      </c>
      <c r="L1387" s="1">
        <v>41134</v>
      </c>
      <c r="N1387" t="s">
        <v>36</v>
      </c>
      <c r="O1387" t="s">
        <v>37</v>
      </c>
      <c r="P1387" t="s">
        <v>357</v>
      </c>
      <c r="Q1387" t="s">
        <v>39</v>
      </c>
      <c r="R1387" t="s">
        <v>40</v>
      </c>
      <c r="S1387">
        <v>0</v>
      </c>
      <c r="U1387" t="s">
        <v>41</v>
      </c>
      <c r="V1387" t="s">
        <v>42</v>
      </c>
      <c r="X1387" t="s">
        <v>74</v>
      </c>
      <c r="Y1387" t="b">
        <v>0</v>
      </c>
      <c r="Z1387" t="b">
        <v>0</v>
      </c>
      <c r="AC1387" s="1"/>
      <c r="AF1387">
        <v>0</v>
      </c>
      <c r="AG1387">
        <v>45</v>
      </c>
      <c r="AH1387">
        <v>179</v>
      </c>
      <c r="AI1387" s="2">
        <f>Table__192.168.3.138DYLAgingReport[[#This Row],[NetAmount]]-Table__192.168.3.138DYLAgingReport[[#This Row],[Paid]]</f>
        <v>150800</v>
      </c>
    </row>
    <row r="1388" spans="1:35">
      <c r="A1388" t="s">
        <v>3065</v>
      </c>
      <c r="B1388" s="1">
        <v>41130</v>
      </c>
      <c r="C1388" s="1">
        <v>41175</v>
      </c>
      <c r="D1388" t="s">
        <v>239</v>
      </c>
      <c r="E1388">
        <v>645000</v>
      </c>
      <c r="F1388">
        <v>103200</v>
      </c>
      <c r="G1388">
        <v>0</v>
      </c>
      <c r="H1388">
        <v>0</v>
      </c>
      <c r="I1388">
        <v>140</v>
      </c>
      <c r="J1388">
        <v>748200</v>
      </c>
      <c r="K1388" t="s">
        <v>3066</v>
      </c>
      <c r="L1388" s="1">
        <v>41128</v>
      </c>
      <c r="N1388" t="s">
        <v>36</v>
      </c>
      <c r="O1388" t="s">
        <v>37</v>
      </c>
      <c r="P1388" t="s">
        <v>376</v>
      </c>
      <c r="Q1388" t="s">
        <v>39</v>
      </c>
      <c r="R1388" t="s">
        <v>40</v>
      </c>
      <c r="S1388">
        <v>0</v>
      </c>
      <c r="U1388" t="s">
        <v>41</v>
      </c>
      <c r="V1388" t="s">
        <v>42</v>
      </c>
      <c r="X1388" t="s">
        <v>74</v>
      </c>
      <c r="Y1388" t="b">
        <v>0</v>
      </c>
      <c r="Z1388" t="b">
        <v>0</v>
      </c>
      <c r="AB1388" t="s">
        <v>3067</v>
      </c>
      <c r="AC1388" s="1">
        <v>41218</v>
      </c>
      <c r="AD1388" t="s">
        <v>3068</v>
      </c>
      <c r="AE1388" t="s">
        <v>535</v>
      </c>
      <c r="AF1388">
        <v>519758</v>
      </c>
      <c r="AG1388">
        <v>45</v>
      </c>
      <c r="AH1388">
        <v>185</v>
      </c>
      <c r="AI1388" s="2">
        <f>Table__192.168.3.138DYLAgingReport[[#This Row],[NetAmount]]-Table__192.168.3.138DYLAgingReport[[#This Row],[Paid]]</f>
        <v>228442</v>
      </c>
    </row>
    <row r="1389" spans="1:35">
      <c r="A1389" t="s">
        <v>3069</v>
      </c>
      <c r="B1389" s="1">
        <v>41132</v>
      </c>
      <c r="C1389" s="1">
        <v>41177</v>
      </c>
      <c r="D1389" t="s">
        <v>239</v>
      </c>
      <c r="E1389">
        <v>645000</v>
      </c>
      <c r="F1389">
        <v>103200</v>
      </c>
      <c r="G1389">
        <v>0</v>
      </c>
      <c r="H1389">
        <v>0</v>
      </c>
      <c r="I1389">
        <v>137</v>
      </c>
      <c r="J1389">
        <v>748200</v>
      </c>
      <c r="K1389" t="s">
        <v>3070</v>
      </c>
      <c r="L1389" s="1">
        <v>41131</v>
      </c>
      <c r="N1389" t="s">
        <v>36</v>
      </c>
      <c r="O1389" t="s">
        <v>37</v>
      </c>
      <c r="P1389" t="s">
        <v>376</v>
      </c>
      <c r="Q1389" t="s">
        <v>39</v>
      </c>
      <c r="R1389" t="s">
        <v>40</v>
      </c>
      <c r="S1389">
        <v>0</v>
      </c>
      <c r="U1389" t="s">
        <v>41</v>
      </c>
      <c r="V1389" t="s">
        <v>42</v>
      </c>
      <c r="X1389" t="s">
        <v>74</v>
      </c>
      <c r="Y1389" t="b">
        <v>0</v>
      </c>
      <c r="Z1389" t="b">
        <v>0</v>
      </c>
      <c r="AB1389" t="s">
        <v>3067</v>
      </c>
      <c r="AC1389" s="1">
        <v>41218</v>
      </c>
      <c r="AD1389" t="s">
        <v>3071</v>
      </c>
      <c r="AE1389" t="s">
        <v>535</v>
      </c>
      <c r="AF1389">
        <v>581511</v>
      </c>
      <c r="AG1389">
        <v>45</v>
      </c>
      <c r="AH1389">
        <v>182</v>
      </c>
      <c r="AI1389" s="2">
        <f>Table__192.168.3.138DYLAgingReport[[#This Row],[NetAmount]]-Table__192.168.3.138DYLAgingReport[[#This Row],[Paid]]</f>
        <v>166689</v>
      </c>
    </row>
    <row r="1390" spans="1:35">
      <c r="A1390" t="s">
        <v>3072</v>
      </c>
      <c r="B1390" s="1">
        <v>41129</v>
      </c>
      <c r="C1390" s="1">
        <v>41174</v>
      </c>
      <c r="D1390" t="s">
        <v>227</v>
      </c>
      <c r="E1390">
        <v>361000</v>
      </c>
      <c r="F1390">
        <v>57760</v>
      </c>
      <c r="G1390">
        <v>0</v>
      </c>
      <c r="H1390">
        <v>0</v>
      </c>
      <c r="I1390">
        <v>140</v>
      </c>
      <c r="J1390">
        <v>418760</v>
      </c>
      <c r="K1390" t="s">
        <v>3073</v>
      </c>
      <c r="L1390" s="1">
        <v>41128</v>
      </c>
      <c r="N1390" t="s">
        <v>36</v>
      </c>
      <c r="O1390" t="s">
        <v>37</v>
      </c>
      <c r="P1390" t="s">
        <v>364</v>
      </c>
      <c r="Q1390" t="s">
        <v>39</v>
      </c>
      <c r="R1390" t="s">
        <v>40</v>
      </c>
      <c r="S1390">
        <v>0</v>
      </c>
      <c r="U1390" t="s">
        <v>41</v>
      </c>
      <c r="V1390" t="s">
        <v>42</v>
      </c>
      <c r="X1390" t="s">
        <v>74</v>
      </c>
      <c r="Y1390" t="b">
        <v>0</v>
      </c>
      <c r="Z1390" t="b">
        <v>0</v>
      </c>
      <c r="AC1390" s="1"/>
      <c r="AF1390">
        <v>0</v>
      </c>
      <c r="AG1390">
        <v>45</v>
      </c>
      <c r="AH1390">
        <v>185</v>
      </c>
      <c r="AI1390" s="2">
        <f>Table__192.168.3.138DYLAgingReport[[#This Row],[NetAmount]]-Table__192.168.3.138DYLAgingReport[[#This Row],[Paid]]</f>
        <v>418760</v>
      </c>
    </row>
    <row r="1391" spans="1:35">
      <c r="A1391" t="s">
        <v>3074</v>
      </c>
      <c r="B1391" s="1">
        <v>41130</v>
      </c>
      <c r="C1391" s="1">
        <v>41175</v>
      </c>
      <c r="D1391" t="s">
        <v>227</v>
      </c>
      <c r="E1391">
        <v>203000</v>
      </c>
      <c r="F1391">
        <v>32480</v>
      </c>
      <c r="G1391">
        <v>0</v>
      </c>
      <c r="H1391">
        <v>0</v>
      </c>
      <c r="I1391">
        <v>138</v>
      </c>
      <c r="J1391">
        <v>235480</v>
      </c>
      <c r="K1391" t="s">
        <v>3075</v>
      </c>
      <c r="L1391" s="1">
        <v>41130</v>
      </c>
      <c r="N1391" t="s">
        <v>36</v>
      </c>
      <c r="O1391" t="s">
        <v>37</v>
      </c>
      <c r="P1391" t="s">
        <v>364</v>
      </c>
      <c r="Q1391" t="s">
        <v>39</v>
      </c>
      <c r="R1391" t="s">
        <v>40</v>
      </c>
      <c r="S1391">
        <v>0</v>
      </c>
      <c r="U1391" t="s">
        <v>41</v>
      </c>
      <c r="V1391" t="s">
        <v>42</v>
      </c>
      <c r="X1391" t="s">
        <v>74</v>
      </c>
      <c r="Y1391" t="b">
        <v>0</v>
      </c>
      <c r="Z1391" t="b">
        <v>0</v>
      </c>
      <c r="AC1391" s="1"/>
      <c r="AF1391">
        <v>0</v>
      </c>
      <c r="AG1391">
        <v>45</v>
      </c>
      <c r="AH1391">
        <v>183</v>
      </c>
      <c r="AI1391" s="2">
        <f>Table__192.168.3.138DYLAgingReport[[#This Row],[NetAmount]]-Table__192.168.3.138DYLAgingReport[[#This Row],[Paid]]</f>
        <v>235480</v>
      </c>
    </row>
    <row r="1392" spans="1:35">
      <c r="A1392" t="s">
        <v>3076</v>
      </c>
      <c r="B1392" s="1">
        <v>41120</v>
      </c>
      <c r="C1392" s="1">
        <v>41165</v>
      </c>
      <c r="D1392" t="s">
        <v>187</v>
      </c>
      <c r="E1392">
        <v>10000</v>
      </c>
      <c r="F1392">
        <v>0</v>
      </c>
      <c r="G1392">
        <v>0</v>
      </c>
      <c r="H1392">
        <v>0</v>
      </c>
      <c r="I1392">
        <v>148</v>
      </c>
      <c r="J1392">
        <v>10000</v>
      </c>
      <c r="K1392" t="s">
        <v>3077</v>
      </c>
      <c r="L1392" s="1">
        <v>41120</v>
      </c>
      <c r="N1392" t="s">
        <v>36</v>
      </c>
      <c r="O1392" t="s">
        <v>37</v>
      </c>
      <c r="P1392" t="s">
        <v>324</v>
      </c>
      <c r="Q1392" t="s">
        <v>39</v>
      </c>
      <c r="R1392" t="s">
        <v>40</v>
      </c>
      <c r="S1392">
        <v>0</v>
      </c>
      <c r="U1392" t="s">
        <v>41</v>
      </c>
      <c r="V1392" t="s">
        <v>42</v>
      </c>
      <c r="X1392" t="s">
        <v>74</v>
      </c>
      <c r="Y1392" t="b">
        <v>0</v>
      </c>
      <c r="Z1392" t="b">
        <v>0</v>
      </c>
      <c r="AC1392" s="1"/>
      <c r="AF1392">
        <v>0</v>
      </c>
      <c r="AG1392">
        <v>45</v>
      </c>
      <c r="AH1392">
        <v>193</v>
      </c>
      <c r="AI1392" s="2">
        <f>Table__192.168.3.138DYLAgingReport[[#This Row],[NetAmount]]-Table__192.168.3.138DYLAgingReport[[#This Row],[Paid]]</f>
        <v>10000</v>
      </c>
    </row>
    <row r="1393" spans="1:35">
      <c r="A1393" t="s">
        <v>3078</v>
      </c>
      <c r="B1393" s="1">
        <v>41136</v>
      </c>
      <c r="C1393" s="1">
        <v>41181</v>
      </c>
      <c r="D1393" t="s">
        <v>187</v>
      </c>
      <c r="E1393">
        <v>12840</v>
      </c>
      <c r="F1393">
        <v>0</v>
      </c>
      <c r="G1393">
        <v>0</v>
      </c>
      <c r="H1393">
        <v>0</v>
      </c>
      <c r="I1393">
        <v>132</v>
      </c>
      <c r="J1393">
        <v>12840</v>
      </c>
      <c r="K1393" t="s">
        <v>3079</v>
      </c>
      <c r="L1393" s="1">
        <v>41136</v>
      </c>
      <c r="N1393" t="s">
        <v>36</v>
      </c>
      <c r="O1393" t="s">
        <v>37</v>
      </c>
      <c r="P1393" t="s">
        <v>324</v>
      </c>
      <c r="Q1393" t="s">
        <v>39</v>
      </c>
      <c r="R1393" t="s">
        <v>40</v>
      </c>
      <c r="S1393">
        <v>0</v>
      </c>
      <c r="U1393" t="s">
        <v>41</v>
      </c>
      <c r="V1393" t="s">
        <v>42</v>
      </c>
      <c r="X1393" t="s">
        <v>74</v>
      </c>
      <c r="Y1393" t="b">
        <v>0</v>
      </c>
      <c r="Z1393" t="b">
        <v>0</v>
      </c>
      <c r="AC1393" s="1"/>
      <c r="AF1393">
        <v>0</v>
      </c>
      <c r="AG1393">
        <v>45</v>
      </c>
      <c r="AH1393">
        <v>177</v>
      </c>
      <c r="AI1393" s="2">
        <f>Table__192.168.3.138DYLAgingReport[[#This Row],[NetAmount]]-Table__192.168.3.138DYLAgingReport[[#This Row],[Paid]]</f>
        <v>12840</v>
      </c>
    </row>
    <row r="1394" spans="1:35">
      <c r="A1394" t="s">
        <v>3080</v>
      </c>
      <c r="B1394" s="1">
        <v>41129</v>
      </c>
      <c r="C1394" s="1">
        <v>41174</v>
      </c>
      <c r="D1394" t="s">
        <v>270</v>
      </c>
      <c r="E1394">
        <v>55000</v>
      </c>
      <c r="F1394">
        <v>8800</v>
      </c>
      <c r="G1394">
        <v>0</v>
      </c>
      <c r="H1394">
        <v>0</v>
      </c>
      <c r="I1394">
        <v>155</v>
      </c>
      <c r="J1394">
        <v>63800</v>
      </c>
      <c r="K1394" t="s">
        <v>3081</v>
      </c>
      <c r="L1394" s="1">
        <v>41128</v>
      </c>
      <c r="N1394" t="s">
        <v>36</v>
      </c>
      <c r="O1394" t="s">
        <v>37</v>
      </c>
      <c r="P1394" t="s">
        <v>407</v>
      </c>
      <c r="Q1394" t="s">
        <v>39</v>
      </c>
      <c r="R1394" t="s">
        <v>40</v>
      </c>
      <c r="S1394">
        <v>0</v>
      </c>
      <c r="U1394" t="s">
        <v>41</v>
      </c>
      <c r="V1394" t="s">
        <v>42</v>
      </c>
      <c r="X1394" t="s">
        <v>74</v>
      </c>
      <c r="Y1394" t="b">
        <v>0</v>
      </c>
      <c r="Z1394" t="b">
        <v>0</v>
      </c>
      <c r="AC1394" s="1"/>
      <c r="AF1394">
        <v>0</v>
      </c>
      <c r="AG1394">
        <v>30</v>
      </c>
      <c r="AH1394">
        <v>185</v>
      </c>
      <c r="AI1394" s="2">
        <f>Table__192.168.3.138DYLAgingReport[[#This Row],[NetAmount]]-Table__192.168.3.138DYLAgingReport[[#This Row],[Paid]]</f>
        <v>63800</v>
      </c>
    </row>
    <row r="1395" spans="1:35">
      <c r="A1395" t="s">
        <v>3082</v>
      </c>
      <c r="B1395" s="1">
        <v>41130</v>
      </c>
      <c r="C1395" s="1">
        <v>41175</v>
      </c>
      <c r="D1395" t="s">
        <v>270</v>
      </c>
      <c r="E1395">
        <v>55000</v>
      </c>
      <c r="F1395">
        <v>8800</v>
      </c>
      <c r="G1395">
        <v>0</v>
      </c>
      <c r="H1395">
        <v>0</v>
      </c>
      <c r="I1395">
        <v>153</v>
      </c>
      <c r="J1395">
        <v>63800</v>
      </c>
      <c r="K1395" t="s">
        <v>3083</v>
      </c>
      <c r="L1395" s="1">
        <v>41130</v>
      </c>
      <c r="N1395" t="s">
        <v>36</v>
      </c>
      <c r="O1395" t="s">
        <v>37</v>
      </c>
      <c r="P1395" t="s">
        <v>407</v>
      </c>
      <c r="Q1395" t="s">
        <v>39</v>
      </c>
      <c r="R1395" t="s">
        <v>40</v>
      </c>
      <c r="S1395">
        <v>0</v>
      </c>
      <c r="U1395" t="s">
        <v>41</v>
      </c>
      <c r="V1395" t="s">
        <v>42</v>
      </c>
      <c r="X1395" t="s">
        <v>74</v>
      </c>
      <c r="Y1395" t="b">
        <v>0</v>
      </c>
      <c r="Z1395" t="b">
        <v>0</v>
      </c>
      <c r="AC1395" s="1"/>
      <c r="AF1395">
        <v>0</v>
      </c>
      <c r="AG1395">
        <v>30</v>
      </c>
      <c r="AH1395">
        <v>183</v>
      </c>
      <c r="AI1395" s="2">
        <f>Table__192.168.3.138DYLAgingReport[[#This Row],[NetAmount]]-Table__192.168.3.138DYLAgingReport[[#This Row],[Paid]]</f>
        <v>63800</v>
      </c>
    </row>
    <row r="1396" spans="1:35">
      <c r="A1396" t="s">
        <v>3084</v>
      </c>
      <c r="B1396" s="1">
        <v>41132</v>
      </c>
      <c r="C1396" s="1">
        <v>41177</v>
      </c>
      <c r="D1396" t="s">
        <v>270</v>
      </c>
      <c r="E1396">
        <v>55000</v>
      </c>
      <c r="F1396">
        <v>8800</v>
      </c>
      <c r="G1396">
        <v>0</v>
      </c>
      <c r="H1396">
        <v>0</v>
      </c>
      <c r="I1396">
        <v>151</v>
      </c>
      <c r="J1396">
        <v>63800</v>
      </c>
      <c r="K1396" t="s">
        <v>3085</v>
      </c>
      <c r="L1396" s="1">
        <v>41132</v>
      </c>
      <c r="N1396" t="s">
        <v>36</v>
      </c>
      <c r="O1396" t="s">
        <v>37</v>
      </c>
      <c r="P1396" t="s">
        <v>407</v>
      </c>
      <c r="Q1396" t="s">
        <v>39</v>
      </c>
      <c r="R1396" t="s">
        <v>40</v>
      </c>
      <c r="S1396">
        <v>0</v>
      </c>
      <c r="U1396" t="s">
        <v>41</v>
      </c>
      <c r="V1396" t="s">
        <v>42</v>
      </c>
      <c r="X1396" t="s">
        <v>74</v>
      </c>
      <c r="Y1396" t="b">
        <v>0</v>
      </c>
      <c r="Z1396" t="b">
        <v>0</v>
      </c>
      <c r="AC1396" s="1"/>
      <c r="AF1396">
        <v>0</v>
      </c>
      <c r="AG1396">
        <v>30</v>
      </c>
      <c r="AH1396">
        <v>181</v>
      </c>
      <c r="AI1396" s="2">
        <f>Table__192.168.3.138DYLAgingReport[[#This Row],[NetAmount]]-Table__192.168.3.138DYLAgingReport[[#This Row],[Paid]]</f>
        <v>63800</v>
      </c>
    </row>
    <row r="1397" spans="1:35">
      <c r="A1397" t="s">
        <v>3086</v>
      </c>
      <c r="B1397" s="1">
        <v>41124</v>
      </c>
      <c r="C1397" s="1">
        <v>41169</v>
      </c>
      <c r="D1397" t="s">
        <v>172</v>
      </c>
      <c r="E1397">
        <v>126643</v>
      </c>
      <c r="F1397">
        <v>20263</v>
      </c>
      <c r="G1397">
        <v>0</v>
      </c>
      <c r="H1397">
        <v>0</v>
      </c>
      <c r="I1397">
        <v>137</v>
      </c>
      <c r="J1397">
        <v>146906</v>
      </c>
      <c r="K1397" t="s">
        <v>3087</v>
      </c>
      <c r="L1397" s="1">
        <v>41131</v>
      </c>
      <c r="N1397" t="s">
        <v>36</v>
      </c>
      <c r="O1397" t="s">
        <v>37</v>
      </c>
      <c r="P1397" t="s">
        <v>309</v>
      </c>
      <c r="Q1397" t="s">
        <v>39</v>
      </c>
      <c r="R1397" t="s">
        <v>40</v>
      </c>
      <c r="S1397">
        <v>0</v>
      </c>
      <c r="U1397" t="s">
        <v>41</v>
      </c>
      <c r="V1397" t="s">
        <v>42</v>
      </c>
      <c r="X1397" t="s">
        <v>74</v>
      </c>
      <c r="Y1397" t="b">
        <v>0</v>
      </c>
      <c r="Z1397" t="b">
        <v>0</v>
      </c>
      <c r="AC1397" s="1"/>
      <c r="AF1397">
        <v>0</v>
      </c>
      <c r="AG1397">
        <v>45</v>
      </c>
      <c r="AH1397">
        <v>182</v>
      </c>
      <c r="AI1397" s="2">
        <f>Table__192.168.3.138DYLAgingReport[[#This Row],[NetAmount]]-Table__192.168.3.138DYLAgingReport[[#This Row],[Paid]]</f>
        <v>146906</v>
      </c>
    </row>
    <row r="1398" spans="1:35">
      <c r="A1398" t="s">
        <v>3088</v>
      </c>
      <c r="B1398" s="1">
        <v>41131</v>
      </c>
      <c r="C1398" s="1">
        <v>41176</v>
      </c>
      <c r="D1398" t="s">
        <v>205</v>
      </c>
      <c r="E1398">
        <v>198000</v>
      </c>
      <c r="F1398">
        <v>31680</v>
      </c>
      <c r="G1398">
        <v>0</v>
      </c>
      <c r="H1398">
        <v>0</v>
      </c>
      <c r="I1398">
        <v>138</v>
      </c>
      <c r="J1398">
        <v>229680</v>
      </c>
      <c r="K1398" t="s">
        <v>1181</v>
      </c>
      <c r="L1398" s="1">
        <v>41130</v>
      </c>
      <c r="N1398" t="s">
        <v>36</v>
      </c>
      <c r="O1398" t="s">
        <v>37</v>
      </c>
      <c r="P1398" t="s">
        <v>342</v>
      </c>
      <c r="Q1398" t="s">
        <v>39</v>
      </c>
      <c r="R1398" t="s">
        <v>40</v>
      </c>
      <c r="S1398">
        <v>0</v>
      </c>
      <c r="U1398" t="s">
        <v>41</v>
      </c>
      <c r="V1398" t="s">
        <v>42</v>
      </c>
      <c r="X1398" t="s">
        <v>74</v>
      </c>
      <c r="Y1398" t="b">
        <v>0</v>
      </c>
      <c r="Z1398" t="b">
        <v>0</v>
      </c>
      <c r="AC1398" s="1"/>
      <c r="AF1398">
        <v>0</v>
      </c>
      <c r="AG1398">
        <v>45</v>
      </c>
      <c r="AH1398">
        <v>183</v>
      </c>
      <c r="AI1398" s="2">
        <f>Table__192.168.3.138DYLAgingReport[[#This Row],[NetAmount]]-Table__192.168.3.138DYLAgingReport[[#This Row],[Paid]]</f>
        <v>229680</v>
      </c>
    </row>
    <row r="1399" spans="1:35">
      <c r="A1399" t="s">
        <v>3089</v>
      </c>
      <c r="B1399" s="1">
        <v>41131</v>
      </c>
      <c r="C1399" s="1">
        <v>41176</v>
      </c>
      <c r="D1399" t="s">
        <v>205</v>
      </c>
      <c r="E1399">
        <v>165000</v>
      </c>
      <c r="F1399">
        <v>26400</v>
      </c>
      <c r="G1399">
        <v>0</v>
      </c>
      <c r="H1399">
        <v>0</v>
      </c>
      <c r="I1399">
        <v>138</v>
      </c>
      <c r="J1399">
        <v>191400</v>
      </c>
      <c r="K1399" t="s">
        <v>3090</v>
      </c>
      <c r="L1399" s="1">
        <v>41130</v>
      </c>
      <c r="N1399" t="s">
        <v>36</v>
      </c>
      <c r="O1399" t="s">
        <v>37</v>
      </c>
      <c r="P1399" t="s">
        <v>342</v>
      </c>
      <c r="Q1399" t="s">
        <v>39</v>
      </c>
      <c r="R1399" t="s">
        <v>40</v>
      </c>
      <c r="S1399">
        <v>0</v>
      </c>
      <c r="U1399" t="s">
        <v>41</v>
      </c>
      <c r="V1399" t="s">
        <v>42</v>
      </c>
      <c r="X1399" t="s">
        <v>74</v>
      </c>
      <c r="Y1399" t="b">
        <v>0</v>
      </c>
      <c r="Z1399" t="b">
        <v>0</v>
      </c>
      <c r="AC1399" s="1"/>
      <c r="AF1399">
        <v>0</v>
      </c>
      <c r="AG1399">
        <v>45</v>
      </c>
      <c r="AH1399">
        <v>183</v>
      </c>
      <c r="AI1399" s="2">
        <f>Table__192.168.3.138DYLAgingReport[[#This Row],[NetAmount]]-Table__192.168.3.138DYLAgingReport[[#This Row],[Paid]]</f>
        <v>191400</v>
      </c>
    </row>
    <row r="1400" spans="1:35">
      <c r="A1400" t="s">
        <v>3091</v>
      </c>
      <c r="B1400" s="1">
        <v>41124</v>
      </c>
      <c r="C1400" s="1">
        <v>41169</v>
      </c>
      <c r="D1400" t="s">
        <v>197</v>
      </c>
      <c r="E1400">
        <v>117000</v>
      </c>
      <c r="F1400">
        <v>18720</v>
      </c>
      <c r="G1400">
        <v>0</v>
      </c>
      <c r="H1400">
        <v>0</v>
      </c>
      <c r="I1400">
        <v>139</v>
      </c>
      <c r="J1400">
        <v>135720</v>
      </c>
      <c r="K1400" t="s">
        <v>3092</v>
      </c>
      <c r="L1400" s="1">
        <v>41129</v>
      </c>
      <c r="N1400" t="s">
        <v>36</v>
      </c>
      <c r="O1400" t="s">
        <v>37</v>
      </c>
      <c r="P1400" t="s">
        <v>334</v>
      </c>
      <c r="Q1400" t="s">
        <v>39</v>
      </c>
      <c r="R1400" t="s">
        <v>40</v>
      </c>
      <c r="S1400">
        <v>0</v>
      </c>
      <c r="U1400" t="s">
        <v>41</v>
      </c>
      <c r="V1400" t="s">
        <v>42</v>
      </c>
      <c r="X1400" t="s">
        <v>74</v>
      </c>
      <c r="Y1400" t="b">
        <v>0</v>
      </c>
      <c r="Z1400" t="b">
        <v>0</v>
      </c>
      <c r="AB1400" t="s">
        <v>2856</v>
      </c>
      <c r="AC1400" s="1">
        <v>41227</v>
      </c>
      <c r="AE1400" t="s">
        <v>2858</v>
      </c>
      <c r="AF1400">
        <v>0</v>
      </c>
      <c r="AG1400">
        <v>45</v>
      </c>
      <c r="AH1400">
        <v>184</v>
      </c>
      <c r="AI1400" s="2">
        <f>Table__192.168.3.138DYLAgingReport[[#This Row],[NetAmount]]-Table__192.168.3.138DYLAgingReport[[#This Row],[Paid]]</f>
        <v>135720</v>
      </c>
    </row>
    <row r="1401" spans="1:35">
      <c r="A1401" t="s">
        <v>3093</v>
      </c>
      <c r="B1401" s="1">
        <v>41124</v>
      </c>
      <c r="C1401" s="1">
        <v>41169</v>
      </c>
      <c r="D1401" t="s">
        <v>197</v>
      </c>
      <c r="E1401">
        <v>144000</v>
      </c>
      <c r="F1401">
        <v>23040</v>
      </c>
      <c r="G1401">
        <v>0</v>
      </c>
      <c r="H1401">
        <v>0</v>
      </c>
      <c r="I1401">
        <v>139</v>
      </c>
      <c r="J1401">
        <v>167040</v>
      </c>
      <c r="K1401" t="s">
        <v>3094</v>
      </c>
      <c r="L1401" s="1">
        <v>41129</v>
      </c>
      <c r="N1401" t="s">
        <v>36</v>
      </c>
      <c r="O1401" t="s">
        <v>37</v>
      </c>
      <c r="P1401" t="s">
        <v>334</v>
      </c>
      <c r="Q1401" t="s">
        <v>39</v>
      </c>
      <c r="R1401" t="s">
        <v>40</v>
      </c>
      <c r="S1401">
        <v>0</v>
      </c>
      <c r="U1401" t="s">
        <v>41</v>
      </c>
      <c r="V1401" t="s">
        <v>42</v>
      </c>
      <c r="X1401" t="s">
        <v>74</v>
      </c>
      <c r="Y1401" t="b">
        <v>0</v>
      </c>
      <c r="Z1401" t="b">
        <v>0</v>
      </c>
      <c r="AB1401" t="s">
        <v>2856</v>
      </c>
      <c r="AC1401" s="1">
        <v>41227</v>
      </c>
      <c r="AE1401" t="s">
        <v>2858</v>
      </c>
      <c r="AF1401">
        <v>0</v>
      </c>
      <c r="AG1401">
        <v>45</v>
      </c>
      <c r="AH1401">
        <v>184</v>
      </c>
      <c r="AI1401" s="2">
        <f>Table__192.168.3.138DYLAgingReport[[#This Row],[NetAmount]]-Table__192.168.3.138DYLAgingReport[[#This Row],[Paid]]</f>
        <v>167040</v>
      </c>
    </row>
    <row r="1402" spans="1:35">
      <c r="A1402" t="s">
        <v>3095</v>
      </c>
      <c r="B1402" s="1">
        <v>41132</v>
      </c>
      <c r="C1402" s="1">
        <v>41177</v>
      </c>
      <c r="D1402" t="s">
        <v>197</v>
      </c>
      <c r="E1402">
        <v>210000</v>
      </c>
      <c r="F1402">
        <v>33600</v>
      </c>
      <c r="G1402">
        <v>0</v>
      </c>
      <c r="H1402">
        <v>0</v>
      </c>
      <c r="I1402">
        <v>132</v>
      </c>
      <c r="J1402">
        <v>243600</v>
      </c>
      <c r="K1402" t="s">
        <v>3096</v>
      </c>
      <c r="L1402" s="1">
        <v>41136</v>
      </c>
      <c r="N1402" t="s">
        <v>36</v>
      </c>
      <c r="O1402" t="s">
        <v>37</v>
      </c>
      <c r="P1402" t="s">
        <v>334</v>
      </c>
      <c r="Q1402" t="s">
        <v>39</v>
      </c>
      <c r="R1402" t="s">
        <v>40</v>
      </c>
      <c r="S1402">
        <v>0</v>
      </c>
      <c r="U1402" t="s">
        <v>41</v>
      </c>
      <c r="V1402" t="s">
        <v>42</v>
      </c>
      <c r="X1402" t="s">
        <v>74</v>
      </c>
      <c r="Y1402" t="b">
        <v>0</v>
      </c>
      <c r="Z1402" t="b">
        <v>0</v>
      </c>
      <c r="AB1402" t="s">
        <v>2856</v>
      </c>
      <c r="AC1402" s="1">
        <v>41227</v>
      </c>
      <c r="AE1402" t="s">
        <v>2858</v>
      </c>
      <c r="AF1402">
        <v>0</v>
      </c>
      <c r="AG1402">
        <v>45</v>
      </c>
      <c r="AH1402">
        <v>177</v>
      </c>
      <c r="AI1402" s="2">
        <f>Table__192.168.3.138DYLAgingReport[[#This Row],[NetAmount]]-Table__192.168.3.138DYLAgingReport[[#This Row],[Paid]]</f>
        <v>243600</v>
      </c>
    </row>
    <row r="1403" spans="1:35">
      <c r="A1403" t="s">
        <v>3097</v>
      </c>
      <c r="B1403" s="1">
        <v>41132</v>
      </c>
      <c r="C1403" s="1">
        <v>41177</v>
      </c>
      <c r="D1403" t="s">
        <v>197</v>
      </c>
      <c r="E1403">
        <v>805000</v>
      </c>
      <c r="F1403">
        <v>128800</v>
      </c>
      <c r="G1403">
        <v>0</v>
      </c>
      <c r="H1403">
        <v>0</v>
      </c>
      <c r="I1403">
        <v>132</v>
      </c>
      <c r="J1403">
        <v>933800</v>
      </c>
      <c r="K1403" t="s">
        <v>3098</v>
      </c>
      <c r="L1403" s="1">
        <v>41136</v>
      </c>
      <c r="N1403" t="s">
        <v>36</v>
      </c>
      <c r="O1403" t="s">
        <v>37</v>
      </c>
      <c r="P1403" t="s">
        <v>334</v>
      </c>
      <c r="Q1403" t="s">
        <v>39</v>
      </c>
      <c r="R1403" t="s">
        <v>40</v>
      </c>
      <c r="S1403">
        <v>0</v>
      </c>
      <c r="U1403" t="s">
        <v>41</v>
      </c>
      <c r="V1403" t="s">
        <v>42</v>
      </c>
      <c r="X1403" t="s">
        <v>74</v>
      </c>
      <c r="Y1403" t="b">
        <v>0</v>
      </c>
      <c r="Z1403" t="b">
        <v>0</v>
      </c>
      <c r="AB1403" t="s">
        <v>2856</v>
      </c>
      <c r="AC1403" s="1">
        <v>41227</v>
      </c>
      <c r="AE1403" t="s">
        <v>2858</v>
      </c>
      <c r="AF1403">
        <v>0</v>
      </c>
      <c r="AG1403">
        <v>45</v>
      </c>
      <c r="AH1403">
        <v>177</v>
      </c>
      <c r="AI1403" s="2">
        <f>Table__192.168.3.138DYLAgingReport[[#This Row],[NetAmount]]-Table__192.168.3.138DYLAgingReport[[#This Row],[Paid]]</f>
        <v>933800</v>
      </c>
    </row>
    <row r="1404" spans="1:35">
      <c r="A1404" t="s">
        <v>3099</v>
      </c>
      <c r="B1404" s="1">
        <v>41137</v>
      </c>
      <c r="C1404" s="1">
        <v>41182</v>
      </c>
      <c r="D1404" t="s">
        <v>257</v>
      </c>
      <c r="E1404">
        <v>120</v>
      </c>
      <c r="F1404">
        <v>19</v>
      </c>
      <c r="G1404">
        <v>0</v>
      </c>
      <c r="H1404">
        <v>0</v>
      </c>
      <c r="I1404">
        <v>148</v>
      </c>
      <c r="J1404">
        <v>139</v>
      </c>
      <c r="K1404" t="s">
        <v>129</v>
      </c>
      <c r="L1404" s="1">
        <v>41120</v>
      </c>
      <c r="N1404" t="s">
        <v>36</v>
      </c>
      <c r="O1404" t="s">
        <v>37</v>
      </c>
      <c r="P1404" t="s">
        <v>394</v>
      </c>
      <c r="Q1404" t="s">
        <v>39</v>
      </c>
      <c r="R1404" t="s">
        <v>40</v>
      </c>
      <c r="S1404">
        <v>0</v>
      </c>
      <c r="U1404" t="s">
        <v>41</v>
      </c>
      <c r="V1404" t="s">
        <v>42</v>
      </c>
      <c r="X1404" t="s">
        <v>74</v>
      </c>
      <c r="Y1404" t="b">
        <v>0</v>
      </c>
      <c r="Z1404" t="b">
        <v>0</v>
      </c>
      <c r="AC1404" s="1"/>
      <c r="AF1404">
        <v>0</v>
      </c>
      <c r="AG1404">
        <v>45</v>
      </c>
      <c r="AH1404">
        <v>193</v>
      </c>
      <c r="AI1404" s="2">
        <f>Table__192.168.3.138DYLAgingReport[[#This Row],[NetAmount]]-Table__192.168.3.138DYLAgingReport[[#This Row],[Paid]]</f>
        <v>139</v>
      </c>
    </row>
    <row r="1405" spans="1:35">
      <c r="A1405" t="s">
        <v>3100</v>
      </c>
      <c r="B1405" s="1">
        <v>41131</v>
      </c>
      <c r="C1405" s="1">
        <v>41176</v>
      </c>
      <c r="D1405" t="s">
        <v>288</v>
      </c>
      <c r="E1405">
        <v>25000</v>
      </c>
      <c r="F1405">
        <v>4000</v>
      </c>
      <c r="G1405">
        <v>0</v>
      </c>
      <c r="H1405">
        <v>0</v>
      </c>
      <c r="I1405">
        <v>137</v>
      </c>
      <c r="J1405">
        <v>29000</v>
      </c>
      <c r="K1405" t="s">
        <v>859</v>
      </c>
      <c r="L1405" s="1">
        <v>41131</v>
      </c>
      <c r="N1405" t="s">
        <v>36</v>
      </c>
      <c r="O1405" t="s">
        <v>37</v>
      </c>
      <c r="P1405" t="s">
        <v>425</v>
      </c>
      <c r="Q1405" t="s">
        <v>39</v>
      </c>
      <c r="R1405" t="s">
        <v>40</v>
      </c>
      <c r="S1405">
        <v>0</v>
      </c>
      <c r="U1405" t="s">
        <v>41</v>
      </c>
      <c r="V1405" t="s">
        <v>42</v>
      </c>
      <c r="X1405" t="s">
        <v>74</v>
      </c>
      <c r="Y1405" t="b">
        <v>0</v>
      </c>
      <c r="Z1405" t="b">
        <v>0</v>
      </c>
      <c r="AC1405" s="1"/>
      <c r="AF1405">
        <v>0</v>
      </c>
      <c r="AG1405">
        <v>45</v>
      </c>
      <c r="AH1405">
        <v>182</v>
      </c>
      <c r="AI1405" s="2">
        <f>Table__192.168.3.138DYLAgingReport[[#This Row],[NetAmount]]-Table__192.168.3.138DYLAgingReport[[#This Row],[Paid]]</f>
        <v>29000</v>
      </c>
    </row>
    <row r="1406" spans="1:35">
      <c r="A1406" t="s">
        <v>3101</v>
      </c>
      <c r="B1406" s="1">
        <v>41132</v>
      </c>
      <c r="C1406" s="1">
        <v>41177</v>
      </c>
      <c r="D1406" t="s">
        <v>174</v>
      </c>
      <c r="E1406">
        <v>30305</v>
      </c>
      <c r="F1406">
        <v>4849</v>
      </c>
      <c r="G1406">
        <v>0</v>
      </c>
      <c r="H1406">
        <v>0</v>
      </c>
      <c r="I1406">
        <v>136</v>
      </c>
      <c r="J1406">
        <v>35154</v>
      </c>
      <c r="K1406" t="s">
        <v>3102</v>
      </c>
      <c r="L1406" s="1">
        <v>41132</v>
      </c>
      <c r="N1406" t="s">
        <v>36</v>
      </c>
      <c r="O1406" t="s">
        <v>37</v>
      </c>
      <c r="P1406" t="s">
        <v>311</v>
      </c>
      <c r="Q1406" t="s">
        <v>39</v>
      </c>
      <c r="R1406" t="s">
        <v>40</v>
      </c>
      <c r="S1406">
        <v>0</v>
      </c>
      <c r="U1406" t="s">
        <v>41</v>
      </c>
      <c r="V1406" t="s">
        <v>42</v>
      </c>
      <c r="X1406" t="s">
        <v>74</v>
      </c>
      <c r="Y1406" t="b">
        <v>0</v>
      </c>
      <c r="Z1406" t="b">
        <v>0</v>
      </c>
      <c r="AC1406" s="1"/>
      <c r="AF1406">
        <v>0</v>
      </c>
      <c r="AG1406">
        <v>45</v>
      </c>
      <c r="AH1406">
        <v>181</v>
      </c>
      <c r="AI1406" s="2">
        <f>Table__192.168.3.138DYLAgingReport[[#This Row],[NetAmount]]-Table__192.168.3.138DYLAgingReport[[#This Row],[Paid]]</f>
        <v>35154</v>
      </c>
    </row>
    <row r="1407" spans="1:35">
      <c r="A1407" t="s">
        <v>3103</v>
      </c>
      <c r="B1407" s="1">
        <v>41135</v>
      </c>
      <c r="C1407" s="1">
        <v>41180</v>
      </c>
      <c r="D1407" t="s">
        <v>227</v>
      </c>
      <c r="E1407">
        <v>176000</v>
      </c>
      <c r="F1407">
        <v>28160</v>
      </c>
      <c r="G1407">
        <v>0</v>
      </c>
      <c r="H1407">
        <v>0</v>
      </c>
      <c r="I1407">
        <v>136</v>
      </c>
      <c r="J1407">
        <v>204160</v>
      </c>
      <c r="K1407" t="s">
        <v>3104</v>
      </c>
      <c r="L1407" s="1">
        <v>41132</v>
      </c>
      <c r="N1407" t="s">
        <v>36</v>
      </c>
      <c r="O1407" t="s">
        <v>37</v>
      </c>
      <c r="P1407" t="s">
        <v>364</v>
      </c>
      <c r="Q1407" t="s">
        <v>39</v>
      </c>
      <c r="R1407" t="s">
        <v>40</v>
      </c>
      <c r="S1407">
        <v>0</v>
      </c>
      <c r="U1407" t="s">
        <v>41</v>
      </c>
      <c r="V1407" t="s">
        <v>42</v>
      </c>
      <c r="X1407" t="s">
        <v>74</v>
      </c>
      <c r="Y1407" t="b">
        <v>0</v>
      </c>
      <c r="Z1407" t="b">
        <v>0</v>
      </c>
      <c r="AC1407" s="1"/>
      <c r="AF1407">
        <v>0</v>
      </c>
      <c r="AG1407">
        <v>45</v>
      </c>
      <c r="AH1407">
        <v>181</v>
      </c>
      <c r="AI1407" s="2">
        <f>Table__192.168.3.138DYLAgingReport[[#This Row],[NetAmount]]-Table__192.168.3.138DYLAgingReport[[#This Row],[Paid]]</f>
        <v>204160</v>
      </c>
    </row>
    <row r="1408" spans="1:35">
      <c r="A1408" t="s">
        <v>3105</v>
      </c>
      <c r="B1408" s="1">
        <v>41134</v>
      </c>
      <c r="C1408" s="1">
        <v>41179</v>
      </c>
      <c r="D1408" t="s">
        <v>227</v>
      </c>
      <c r="E1408">
        <v>117000</v>
      </c>
      <c r="F1408">
        <v>18720</v>
      </c>
      <c r="G1408">
        <v>0</v>
      </c>
      <c r="H1408">
        <v>0</v>
      </c>
      <c r="I1408">
        <v>134</v>
      </c>
      <c r="J1408">
        <v>135720</v>
      </c>
      <c r="K1408" t="s">
        <v>3106</v>
      </c>
      <c r="L1408" s="1">
        <v>41134</v>
      </c>
      <c r="N1408" t="s">
        <v>36</v>
      </c>
      <c r="O1408" t="s">
        <v>37</v>
      </c>
      <c r="P1408" t="s">
        <v>364</v>
      </c>
      <c r="Q1408" t="s">
        <v>39</v>
      </c>
      <c r="R1408" t="s">
        <v>40</v>
      </c>
      <c r="S1408">
        <v>0</v>
      </c>
      <c r="U1408" t="s">
        <v>41</v>
      </c>
      <c r="V1408" t="s">
        <v>42</v>
      </c>
      <c r="X1408" t="s">
        <v>74</v>
      </c>
      <c r="Y1408" t="b">
        <v>0</v>
      </c>
      <c r="Z1408" t="b">
        <v>0</v>
      </c>
      <c r="AC1408" s="1"/>
      <c r="AF1408">
        <v>0</v>
      </c>
      <c r="AG1408">
        <v>45</v>
      </c>
      <c r="AH1408">
        <v>179</v>
      </c>
      <c r="AI1408" s="2">
        <f>Table__192.168.3.138DYLAgingReport[[#This Row],[NetAmount]]-Table__192.168.3.138DYLAgingReport[[#This Row],[Paid]]</f>
        <v>135720</v>
      </c>
    </row>
    <row r="1409" spans="1:35">
      <c r="A1409" t="s">
        <v>3107</v>
      </c>
      <c r="B1409" s="1">
        <v>41127</v>
      </c>
      <c r="C1409" s="1">
        <v>41172</v>
      </c>
      <c r="D1409" t="s">
        <v>227</v>
      </c>
      <c r="E1409">
        <v>464000</v>
      </c>
      <c r="F1409">
        <v>74240</v>
      </c>
      <c r="G1409">
        <v>0</v>
      </c>
      <c r="H1409">
        <v>0</v>
      </c>
      <c r="I1409">
        <v>141</v>
      </c>
      <c r="J1409">
        <v>538240</v>
      </c>
      <c r="K1409" t="s">
        <v>3108</v>
      </c>
      <c r="L1409" s="1">
        <v>41127</v>
      </c>
      <c r="N1409" t="s">
        <v>36</v>
      </c>
      <c r="O1409" t="s">
        <v>37</v>
      </c>
      <c r="P1409" t="s">
        <v>364</v>
      </c>
      <c r="Q1409" t="s">
        <v>39</v>
      </c>
      <c r="R1409" t="s">
        <v>40</v>
      </c>
      <c r="S1409">
        <v>0</v>
      </c>
      <c r="U1409" t="s">
        <v>41</v>
      </c>
      <c r="V1409" t="s">
        <v>42</v>
      </c>
      <c r="X1409" t="s">
        <v>74</v>
      </c>
      <c r="Y1409" t="b">
        <v>0</v>
      </c>
      <c r="Z1409" t="b">
        <v>0</v>
      </c>
      <c r="AC1409" s="1"/>
      <c r="AF1409">
        <v>0</v>
      </c>
      <c r="AG1409">
        <v>45</v>
      </c>
      <c r="AH1409">
        <v>186</v>
      </c>
      <c r="AI1409" s="2">
        <f>Table__192.168.3.138DYLAgingReport[[#This Row],[NetAmount]]-Table__192.168.3.138DYLAgingReport[[#This Row],[Paid]]</f>
        <v>538240</v>
      </c>
    </row>
    <row r="1410" spans="1:35">
      <c r="A1410" t="s">
        <v>3109</v>
      </c>
      <c r="B1410" s="1">
        <v>41114</v>
      </c>
      <c r="C1410" s="1">
        <v>41159</v>
      </c>
      <c r="D1410" t="s">
        <v>282</v>
      </c>
      <c r="E1410">
        <v>122400</v>
      </c>
      <c r="F1410">
        <v>19584</v>
      </c>
      <c r="G1410">
        <v>0</v>
      </c>
      <c r="H1410">
        <v>0</v>
      </c>
      <c r="I1410">
        <v>146</v>
      </c>
      <c r="J1410">
        <v>141984</v>
      </c>
      <c r="K1410" t="s">
        <v>1034</v>
      </c>
      <c r="L1410" s="1">
        <v>41122</v>
      </c>
      <c r="N1410" t="s">
        <v>36</v>
      </c>
      <c r="O1410" t="s">
        <v>37</v>
      </c>
      <c r="P1410" t="s">
        <v>419</v>
      </c>
      <c r="Q1410" t="s">
        <v>39</v>
      </c>
      <c r="R1410" t="s">
        <v>40</v>
      </c>
      <c r="S1410">
        <v>0</v>
      </c>
      <c r="U1410" t="s">
        <v>41</v>
      </c>
      <c r="V1410" t="s">
        <v>42</v>
      </c>
      <c r="X1410" t="s">
        <v>74</v>
      </c>
      <c r="Y1410" t="b">
        <v>0</v>
      </c>
      <c r="Z1410" t="b">
        <v>0</v>
      </c>
      <c r="AB1410" t="s">
        <v>936</v>
      </c>
      <c r="AC1410" s="1">
        <v>41297</v>
      </c>
      <c r="AF1410">
        <v>0</v>
      </c>
      <c r="AG1410">
        <v>45</v>
      </c>
      <c r="AH1410">
        <v>191</v>
      </c>
      <c r="AI1410" s="2">
        <f>Table__192.168.3.138DYLAgingReport[[#This Row],[NetAmount]]-Table__192.168.3.138DYLAgingReport[[#This Row],[Paid]]</f>
        <v>141984</v>
      </c>
    </row>
    <row r="1411" spans="1:35">
      <c r="A1411" t="s">
        <v>3110</v>
      </c>
      <c r="B1411" s="1">
        <v>41120</v>
      </c>
      <c r="C1411" s="1">
        <v>41165</v>
      </c>
      <c r="D1411" t="s">
        <v>274</v>
      </c>
      <c r="E1411">
        <v>31400</v>
      </c>
      <c r="F1411">
        <v>5024</v>
      </c>
      <c r="G1411">
        <v>0</v>
      </c>
      <c r="H1411">
        <v>0</v>
      </c>
      <c r="I1411">
        <v>138</v>
      </c>
      <c r="J1411">
        <v>36424</v>
      </c>
      <c r="K1411" t="s">
        <v>1248</v>
      </c>
      <c r="L1411" s="1">
        <v>41130</v>
      </c>
      <c r="N1411" t="s">
        <v>36</v>
      </c>
      <c r="O1411" t="s">
        <v>37</v>
      </c>
      <c r="P1411" t="s">
        <v>411</v>
      </c>
      <c r="Q1411" t="s">
        <v>39</v>
      </c>
      <c r="R1411" t="s">
        <v>40</v>
      </c>
      <c r="S1411">
        <v>0</v>
      </c>
      <c r="U1411" t="s">
        <v>41</v>
      </c>
      <c r="V1411" t="s">
        <v>42</v>
      </c>
      <c r="X1411" t="s">
        <v>74</v>
      </c>
      <c r="Y1411" t="b">
        <v>0</v>
      </c>
      <c r="Z1411" t="b">
        <v>0</v>
      </c>
      <c r="AC1411" s="1"/>
      <c r="AF1411">
        <v>0</v>
      </c>
      <c r="AG1411">
        <v>45</v>
      </c>
      <c r="AH1411">
        <v>183</v>
      </c>
      <c r="AI1411" s="2">
        <f>Table__192.168.3.138DYLAgingReport[[#This Row],[NetAmount]]-Table__192.168.3.138DYLAgingReport[[#This Row],[Paid]]</f>
        <v>36424</v>
      </c>
    </row>
    <row r="1412" spans="1:35">
      <c r="A1412" t="s">
        <v>3111</v>
      </c>
      <c r="B1412" s="1">
        <v>41130</v>
      </c>
      <c r="C1412" s="1">
        <v>41175</v>
      </c>
      <c r="D1412" t="s">
        <v>251</v>
      </c>
      <c r="E1412">
        <v>320200</v>
      </c>
      <c r="F1412">
        <v>51232</v>
      </c>
      <c r="G1412">
        <v>0</v>
      </c>
      <c r="H1412">
        <v>0</v>
      </c>
      <c r="I1412">
        <v>136</v>
      </c>
      <c r="J1412">
        <v>371432</v>
      </c>
      <c r="K1412" t="s">
        <v>3112</v>
      </c>
      <c r="L1412" s="1">
        <v>41132</v>
      </c>
      <c r="N1412" t="s">
        <v>36</v>
      </c>
      <c r="O1412" t="s">
        <v>37</v>
      </c>
      <c r="P1412" t="s">
        <v>388</v>
      </c>
      <c r="Q1412" t="s">
        <v>39</v>
      </c>
      <c r="R1412" t="s">
        <v>40</v>
      </c>
      <c r="S1412">
        <v>0</v>
      </c>
      <c r="U1412" t="s">
        <v>41</v>
      </c>
      <c r="V1412" t="s">
        <v>42</v>
      </c>
      <c r="X1412" t="s">
        <v>74</v>
      </c>
      <c r="Y1412" t="b">
        <v>0</v>
      </c>
      <c r="Z1412" t="b">
        <v>0</v>
      </c>
      <c r="AB1412" t="s">
        <v>786</v>
      </c>
      <c r="AC1412" s="1">
        <v>41244</v>
      </c>
      <c r="AD1412" t="s">
        <v>3113</v>
      </c>
      <c r="AE1412" t="s">
        <v>616</v>
      </c>
      <c r="AF1412">
        <v>227396</v>
      </c>
      <c r="AG1412">
        <v>45</v>
      </c>
      <c r="AH1412">
        <v>181</v>
      </c>
      <c r="AI1412" s="2">
        <f>Table__192.168.3.138DYLAgingReport[[#This Row],[NetAmount]]-Table__192.168.3.138DYLAgingReport[[#This Row],[Paid]]</f>
        <v>144036</v>
      </c>
    </row>
    <row r="1413" spans="1:35">
      <c r="A1413" t="s">
        <v>3114</v>
      </c>
      <c r="B1413" s="1">
        <v>41138</v>
      </c>
      <c r="C1413" s="1">
        <v>41183</v>
      </c>
      <c r="D1413" t="s">
        <v>251</v>
      </c>
      <c r="E1413">
        <v>173200</v>
      </c>
      <c r="F1413">
        <v>27712</v>
      </c>
      <c r="G1413">
        <v>0</v>
      </c>
      <c r="H1413">
        <v>0</v>
      </c>
      <c r="I1413">
        <v>129</v>
      </c>
      <c r="J1413">
        <v>200912</v>
      </c>
      <c r="K1413" t="s">
        <v>3115</v>
      </c>
      <c r="L1413" s="1">
        <v>41139</v>
      </c>
      <c r="N1413" t="s">
        <v>36</v>
      </c>
      <c r="O1413" t="s">
        <v>37</v>
      </c>
      <c r="P1413" t="s">
        <v>388</v>
      </c>
      <c r="Q1413" t="s">
        <v>39</v>
      </c>
      <c r="R1413" t="s">
        <v>40</v>
      </c>
      <c r="S1413">
        <v>0</v>
      </c>
      <c r="U1413" t="s">
        <v>41</v>
      </c>
      <c r="V1413" t="s">
        <v>42</v>
      </c>
      <c r="X1413" t="s">
        <v>74</v>
      </c>
      <c r="Y1413" t="b">
        <v>0</v>
      </c>
      <c r="Z1413" t="b">
        <v>0</v>
      </c>
      <c r="AB1413" t="s">
        <v>786</v>
      </c>
      <c r="AC1413" s="1">
        <v>41244</v>
      </c>
      <c r="AD1413" t="s">
        <v>3116</v>
      </c>
      <c r="AE1413" t="s">
        <v>616</v>
      </c>
      <c r="AF1413">
        <v>165759</v>
      </c>
      <c r="AG1413">
        <v>45</v>
      </c>
      <c r="AH1413">
        <v>174</v>
      </c>
      <c r="AI1413" s="2">
        <f>Table__192.168.3.138DYLAgingReport[[#This Row],[NetAmount]]-Table__192.168.3.138DYLAgingReport[[#This Row],[Paid]]</f>
        <v>35153</v>
      </c>
    </row>
    <row r="1414" spans="1:35">
      <c r="A1414" t="s">
        <v>3117</v>
      </c>
      <c r="B1414" s="1">
        <v>41132</v>
      </c>
      <c r="C1414" s="1">
        <v>41177</v>
      </c>
      <c r="D1414" t="s">
        <v>268</v>
      </c>
      <c r="E1414">
        <v>102500</v>
      </c>
      <c r="F1414">
        <v>16400</v>
      </c>
      <c r="G1414">
        <v>0</v>
      </c>
      <c r="H1414">
        <v>0</v>
      </c>
      <c r="I1414">
        <v>136</v>
      </c>
      <c r="J1414">
        <v>118900</v>
      </c>
      <c r="K1414" t="s">
        <v>3102</v>
      </c>
      <c r="L1414" s="1">
        <v>41132</v>
      </c>
      <c r="N1414" t="s">
        <v>36</v>
      </c>
      <c r="O1414" t="s">
        <v>37</v>
      </c>
      <c r="P1414" t="s">
        <v>405</v>
      </c>
      <c r="Q1414" t="s">
        <v>39</v>
      </c>
      <c r="R1414" t="s">
        <v>40</v>
      </c>
      <c r="S1414">
        <v>0</v>
      </c>
      <c r="U1414" t="s">
        <v>41</v>
      </c>
      <c r="V1414" t="s">
        <v>42</v>
      </c>
      <c r="X1414" t="s">
        <v>74</v>
      </c>
      <c r="Y1414" t="b">
        <v>0</v>
      </c>
      <c r="Z1414" t="b">
        <v>0</v>
      </c>
      <c r="AC1414" s="1"/>
      <c r="AF1414">
        <v>0</v>
      </c>
      <c r="AG1414">
        <v>45</v>
      </c>
      <c r="AH1414">
        <v>181</v>
      </c>
      <c r="AI1414" s="2">
        <f>Table__192.168.3.138DYLAgingReport[[#This Row],[NetAmount]]-Table__192.168.3.138DYLAgingReport[[#This Row],[Paid]]</f>
        <v>118900</v>
      </c>
    </row>
    <row r="1415" spans="1:35">
      <c r="A1415" t="s">
        <v>3118</v>
      </c>
      <c r="B1415" s="1">
        <v>41132</v>
      </c>
      <c r="C1415" s="1">
        <v>41177</v>
      </c>
      <c r="D1415" t="s">
        <v>168</v>
      </c>
      <c r="E1415">
        <v>247540</v>
      </c>
      <c r="F1415">
        <v>39606</v>
      </c>
      <c r="G1415">
        <v>0</v>
      </c>
      <c r="H1415">
        <v>0</v>
      </c>
      <c r="I1415">
        <v>141</v>
      </c>
      <c r="J1415">
        <v>287146</v>
      </c>
      <c r="K1415" t="s">
        <v>3119</v>
      </c>
      <c r="L1415" s="1">
        <v>41127</v>
      </c>
      <c r="N1415" t="s">
        <v>36</v>
      </c>
      <c r="O1415" t="s">
        <v>37</v>
      </c>
      <c r="P1415" t="s">
        <v>305</v>
      </c>
      <c r="Q1415" t="s">
        <v>39</v>
      </c>
      <c r="R1415" t="s">
        <v>40</v>
      </c>
      <c r="S1415">
        <v>0</v>
      </c>
      <c r="U1415" t="s">
        <v>41</v>
      </c>
      <c r="V1415" t="s">
        <v>42</v>
      </c>
      <c r="X1415" t="s">
        <v>74</v>
      </c>
      <c r="Y1415" t="b">
        <v>0</v>
      </c>
      <c r="Z1415" t="b">
        <v>0</v>
      </c>
      <c r="AB1415" t="s">
        <v>961</v>
      </c>
      <c r="AC1415" s="1">
        <v>41291</v>
      </c>
      <c r="AD1415" t="s">
        <v>3120</v>
      </c>
      <c r="AE1415" t="s">
        <v>962</v>
      </c>
      <c r="AF1415">
        <v>273084</v>
      </c>
      <c r="AG1415">
        <v>45</v>
      </c>
      <c r="AH1415">
        <v>186</v>
      </c>
      <c r="AI1415" s="2">
        <f>Table__192.168.3.138DYLAgingReport[[#This Row],[NetAmount]]-Table__192.168.3.138DYLAgingReport[[#This Row],[Paid]]</f>
        <v>14062</v>
      </c>
    </row>
    <row r="1416" spans="1:35">
      <c r="A1416" t="s">
        <v>3121</v>
      </c>
      <c r="B1416" s="1">
        <v>41145</v>
      </c>
      <c r="C1416" s="1">
        <v>41190</v>
      </c>
      <c r="D1416" t="s">
        <v>270</v>
      </c>
      <c r="E1416">
        <v>55000</v>
      </c>
      <c r="F1416">
        <v>8800</v>
      </c>
      <c r="G1416">
        <v>0</v>
      </c>
      <c r="H1416">
        <v>0</v>
      </c>
      <c r="I1416">
        <v>138</v>
      </c>
      <c r="J1416">
        <v>63800</v>
      </c>
      <c r="K1416" t="s">
        <v>91</v>
      </c>
      <c r="L1416" s="1">
        <v>41145</v>
      </c>
      <c r="N1416" t="s">
        <v>36</v>
      </c>
      <c r="O1416" t="s">
        <v>37</v>
      </c>
      <c r="P1416" t="s">
        <v>407</v>
      </c>
      <c r="Q1416" t="s">
        <v>39</v>
      </c>
      <c r="R1416" t="s">
        <v>40</v>
      </c>
      <c r="S1416">
        <v>0</v>
      </c>
      <c r="U1416" t="s">
        <v>41</v>
      </c>
      <c r="V1416" t="s">
        <v>42</v>
      </c>
      <c r="X1416" t="s">
        <v>74</v>
      </c>
      <c r="Y1416" t="b">
        <v>0</v>
      </c>
      <c r="Z1416" t="b">
        <v>0</v>
      </c>
      <c r="AC1416" s="1"/>
      <c r="AF1416">
        <v>0</v>
      </c>
      <c r="AG1416">
        <v>30</v>
      </c>
      <c r="AH1416">
        <v>168</v>
      </c>
      <c r="AI1416" s="2">
        <f>Table__192.168.3.138DYLAgingReport[[#This Row],[NetAmount]]-Table__192.168.3.138DYLAgingReport[[#This Row],[Paid]]</f>
        <v>63800</v>
      </c>
    </row>
    <row r="1417" spans="1:35">
      <c r="A1417" t="s">
        <v>3122</v>
      </c>
      <c r="B1417" s="1">
        <v>41149</v>
      </c>
      <c r="C1417" s="1">
        <v>41194</v>
      </c>
      <c r="D1417" t="s">
        <v>274</v>
      </c>
      <c r="E1417">
        <v>32512</v>
      </c>
      <c r="F1417">
        <v>5202</v>
      </c>
      <c r="G1417">
        <v>0</v>
      </c>
      <c r="H1417">
        <v>0</v>
      </c>
      <c r="I1417">
        <v>138</v>
      </c>
      <c r="J1417">
        <v>37714</v>
      </c>
      <c r="K1417" t="s">
        <v>3123</v>
      </c>
      <c r="L1417" s="1">
        <v>41130</v>
      </c>
      <c r="N1417" t="s">
        <v>36</v>
      </c>
      <c r="O1417" t="s">
        <v>37</v>
      </c>
      <c r="P1417" t="s">
        <v>411</v>
      </c>
      <c r="Q1417" t="s">
        <v>39</v>
      </c>
      <c r="R1417" t="s">
        <v>40</v>
      </c>
      <c r="S1417">
        <v>0</v>
      </c>
      <c r="U1417" t="s">
        <v>41</v>
      </c>
      <c r="V1417" t="s">
        <v>42</v>
      </c>
      <c r="X1417" t="s">
        <v>74</v>
      </c>
      <c r="Y1417" t="b">
        <v>0</v>
      </c>
      <c r="Z1417" t="b">
        <v>0</v>
      </c>
      <c r="AC1417" s="1"/>
      <c r="AF1417">
        <v>0</v>
      </c>
      <c r="AG1417">
        <v>45</v>
      </c>
      <c r="AH1417">
        <v>183</v>
      </c>
      <c r="AI1417" s="2">
        <f>Table__192.168.3.138DYLAgingReport[[#This Row],[NetAmount]]-Table__192.168.3.138DYLAgingReport[[#This Row],[Paid]]</f>
        <v>37714</v>
      </c>
    </row>
    <row r="1418" spans="1:35">
      <c r="A1418" t="s">
        <v>3124</v>
      </c>
      <c r="B1418" s="1">
        <v>41148</v>
      </c>
      <c r="C1418" s="1">
        <v>41193</v>
      </c>
      <c r="D1418" t="s">
        <v>251</v>
      </c>
      <c r="E1418">
        <v>10500</v>
      </c>
      <c r="F1418">
        <v>1680</v>
      </c>
      <c r="G1418">
        <v>0</v>
      </c>
      <c r="H1418">
        <v>0</v>
      </c>
      <c r="I1418">
        <v>129</v>
      </c>
      <c r="J1418">
        <v>12180</v>
      </c>
      <c r="K1418" t="s">
        <v>3125</v>
      </c>
      <c r="L1418" s="1">
        <v>41139</v>
      </c>
      <c r="N1418" t="s">
        <v>36</v>
      </c>
      <c r="O1418" t="s">
        <v>37</v>
      </c>
      <c r="P1418" t="s">
        <v>388</v>
      </c>
      <c r="Q1418" t="s">
        <v>39</v>
      </c>
      <c r="R1418" t="s">
        <v>40</v>
      </c>
      <c r="S1418">
        <v>0</v>
      </c>
      <c r="U1418" t="s">
        <v>41</v>
      </c>
      <c r="V1418" t="s">
        <v>42</v>
      </c>
      <c r="X1418" t="s">
        <v>74</v>
      </c>
      <c r="Y1418" t="b">
        <v>0</v>
      </c>
      <c r="Z1418" t="b">
        <v>0</v>
      </c>
      <c r="AB1418" t="s">
        <v>786</v>
      </c>
      <c r="AC1418" s="1">
        <v>41244</v>
      </c>
      <c r="AE1418" t="s">
        <v>616</v>
      </c>
      <c r="AF1418">
        <v>0</v>
      </c>
      <c r="AG1418">
        <v>45</v>
      </c>
      <c r="AH1418">
        <v>174</v>
      </c>
      <c r="AI1418" s="2">
        <f>Table__192.168.3.138DYLAgingReport[[#This Row],[NetAmount]]-Table__192.168.3.138DYLAgingReport[[#This Row],[Paid]]</f>
        <v>12180</v>
      </c>
    </row>
    <row r="1419" spans="1:35">
      <c r="A1419" t="s">
        <v>3126</v>
      </c>
      <c r="B1419" s="1">
        <v>41136</v>
      </c>
      <c r="C1419" s="1">
        <v>41181</v>
      </c>
      <c r="D1419" t="s">
        <v>227</v>
      </c>
      <c r="E1419">
        <v>375500</v>
      </c>
      <c r="F1419">
        <v>60080</v>
      </c>
      <c r="G1419">
        <v>0</v>
      </c>
      <c r="H1419">
        <v>0</v>
      </c>
      <c r="I1419">
        <v>132</v>
      </c>
      <c r="J1419">
        <v>435580</v>
      </c>
      <c r="K1419" t="s">
        <v>3127</v>
      </c>
      <c r="L1419" s="1">
        <v>41136</v>
      </c>
      <c r="N1419" t="s">
        <v>36</v>
      </c>
      <c r="O1419" t="s">
        <v>37</v>
      </c>
      <c r="P1419" t="s">
        <v>364</v>
      </c>
      <c r="Q1419" t="s">
        <v>39</v>
      </c>
      <c r="R1419" t="s">
        <v>40</v>
      </c>
      <c r="S1419">
        <v>0</v>
      </c>
      <c r="U1419" t="s">
        <v>41</v>
      </c>
      <c r="V1419" t="s">
        <v>42</v>
      </c>
      <c r="X1419" t="s">
        <v>74</v>
      </c>
      <c r="Y1419" t="b">
        <v>0</v>
      </c>
      <c r="Z1419" t="b">
        <v>0</v>
      </c>
      <c r="AC1419" s="1"/>
      <c r="AF1419">
        <v>0</v>
      </c>
      <c r="AG1419">
        <v>45</v>
      </c>
      <c r="AH1419">
        <v>177</v>
      </c>
      <c r="AI1419" s="2">
        <f>Table__192.168.3.138DYLAgingReport[[#This Row],[NetAmount]]-Table__192.168.3.138DYLAgingReport[[#This Row],[Paid]]</f>
        <v>435580</v>
      </c>
    </row>
    <row r="1420" spans="1:35">
      <c r="A1420" t="s">
        <v>3128</v>
      </c>
      <c r="B1420" s="1">
        <v>41136</v>
      </c>
      <c r="C1420" s="1">
        <v>41181</v>
      </c>
      <c r="D1420" t="s">
        <v>227</v>
      </c>
      <c r="E1420">
        <v>63000</v>
      </c>
      <c r="F1420">
        <v>10080</v>
      </c>
      <c r="G1420">
        <v>0</v>
      </c>
      <c r="H1420">
        <v>0</v>
      </c>
      <c r="I1420">
        <v>132</v>
      </c>
      <c r="J1420">
        <v>73080</v>
      </c>
      <c r="K1420" t="s">
        <v>3129</v>
      </c>
      <c r="L1420" s="1">
        <v>41136</v>
      </c>
      <c r="N1420" t="s">
        <v>36</v>
      </c>
      <c r="O1420" t="s">
        <v>37</v>
      </c>
      <c r="P1420" t="s">
        <v>364</v>
      </c>
      <c r="Q1420" t="s">
        <v>39</v>
      </c>
      <c r="R1420" t="s">
        <v>40</v>
      </c>
      <c r="S1420">
        <v>0</v>
      </c>
      <c r="U1420" t="s">
        <v>41</v>
      </c>
      <c r="V1420" t="s">
        <v>42</v>
      </c>
      <c r="X1420" t="s">
        <v>74</v>
      </c>
      <c r="Y1420" t="b">
        <v>0</v>
      </c>
      <c r="Z1420" t="b">
        <v>0</v>
      </c>
      <c r="AC1420" s="1"/>
      <c r="AF1420">
        <v>0</v>
      </c>
      <c r="AG1420">
        <v>45</v>
      </c>
      <c r="AH1420">
        <v>177</v>
      </c>
      <c r="AI1420" s="2">
        <f>Table__192.168.3.138DYLAgingReport[[#This Row],[NetAmount]]-Table__192.168.3.138DYLAgingReport[[#This Row],[Paid]]</f>
        <v>73080</v>
      </c>
    </row>
    <row r="1421" spans="1:35">
      <c r="A1421" t="s">
        <v>3130</v>
      </c>
      <c r="B1421" s="1">
        <v>41137</v>
      </c>
      <c r="C1421" s="1">
        <v>41182</v>
      </c>
      <c r="D1421" t="s">
        <v>227</v>
      </c>
      <c r="E1421">
        <v>399000</v>
      </c>
      <c r="F1421">
        <v>63840</v>
      </c>
      <c r="G1421">
        <v>0</v>
      </c>
      <c r="H1421">
        <v>0</v>
      </c>
      <c r="I1421">
        <v>131</v>
      </c>
      <c r="J1421">
        <v>462840</v>
      </c>
      <c r="K1421" t="s">
        <v>3131</v>
      </c>
      <c r="L1421" s="1">
        <v>41137</v>
      </c>
      <c r="N1421" t="s">
        <v>36</v>
      </c>
      <c r="O1421" t="s">
        <v>37</v>
      </c>
      <c r="P1421" t="s">
        <v>364</v>
      </c>
      <c r="Q1421" t="s">
        <v>39</v>
      </c>
      <c r="R1421" t="s">
        <v>40</v>
      </c>
      <c r="S1421">
        <v>0</v>
      </c>
      <c r="U1421" t="s">
        <v>41</v>
      </c>
      <c r="V1421" t="s">
        <v>42</v>
      </c>
      <c r="X1421" t="s">
        <v>74</v>
      </c>
      <c r="Y1421" t="b">
        <v>0</v>
      </c>
      <c r="Z1421" t="b">
        <v>0</v>
      </c>
      <c r="AC1421" s="1"/>
      <c r="AF1421">
        <v>0</v>
      </c>
      <c r="AG1421">
        <v>45</v>
      </c>
      <c r="AH1421">
        <v>176</v>
      </c>
      <c r="AI1421" s="2">
        <f>Table__192.168.3.138DYLAgingReport[[#This Row],[NetAmount]]-Table__192.168.3.138DYLAgingReport[[#This Row],[Paid]]</f>
        <v>462840</v>
      </c>
    </row>
    <row r="1422" spans="1:35">
      <c r="A1422" t="s">
        <v>3132</v>
      </c>
      <c r="B1422" s="1">
        <v>41146</v>
      </c>
      <c r="C1422" s="1">
        <v>41191</v>
      </c>
      <c r="D1422" t="s">
        <v>227</v>
      </c>
      <c r="E1422">
        <v>27000</v>
      </c>
      <c r="F1422">
        <v>4320</v>
      </c>
      <c r="G1422">
        <v>0</v>
      </c>
      <c r="H1422">
        <v>0</v>
      </c>
      <c r="I1422">
        <v>122</v>
      </c>
      <c r="J1422">
        <v>31320</v>
      </c>
      <c r="K1422" t="s">
        <v>3133</v>
      </c>
      <c r="L1422" s="1">
        <v>41146</v>
      </c>
      <c r="N1422" t="s">
        <v>36</v>
      </c>
      <c r="O1422" t="s">
        <v>37</v>
      </c>
      <c r="P1422" t="s">
        <v>364</v>
      </c>
      <c r="Q1422" t="s">
        <v>39</v>
      </c>
      <c r="R1422" t="s">
        <v>40</v>
      </c>
      <c r="S1422">
        <v>0</v>
      </c>
      <c r="U1422" t="s">
        <v>41</v>
      </c>
      <c r="V1422" t="s">
        <v>42</v>
      </c>
      <c r="X1422" t="s">
        <v>74</v>
      </c>
      <c r="Y1422" t="b">
        <v>0</v>
      </c>
      <c r="Z1422" t="b">
        <v>0</v>
      </c>
      <c r="AC1422" s="1"/>
      <c r="AF1422">
        <v>0</v>
      </c>
      <c r="AG1422">
        <v>45</v>
      </c>
      <c r="AH1422">
        <v>167</v>
      </c>
      <c r="AI1422" s="2">
        <f>Table__192.168.3.138DYLAgingReport[[#This Row],[NetAmount]]-Table__192.168.3.138DYLAgingReport[[#This Row],[Paid]]</f>
        <v>31320</v>
      </c>
    </row>
    <row r="1423" spans="1:35">
      <c r="A1423" t="s">
        <v>3134</v>
      </c>
      <c r="B1423" s="1">
        <v>41146</v>
      </c>
      <c r="C1423" s="1">
        <v>41191</v>
      </c>
      <c r="D1423" t="s">
        <v>227</v>
      </c>
      <c r="E1423">
        <v>43442</v>
      </c>
      <c r="F1423">
        <v>6951</v>
      </c>
      <c r="G1423">
        <v>0</v>
      </c>
      <c r="H1423">
        <v>0</v>
      </c>
      <c r="I1423">
        <v>122</v>
      </c>
      <c r="J1423">
        <v>50393</v>
      </c>
      <c r="K1423" t="s">
        <v>3135</v>
      </c>
      <c r="L1423" s="1">
        <v>41146</v>
      </c>
      <c r="N1423" t="s">
        <v>36</v>
      </c>
      <c r="O1423" t="s">
        <v>37</v>
      </c>
      <c r="P1423" t="s">
        <v>364</v>
      </c>
      <c r="Q1423" t="s">
        <v>39</v>
      </c>
      <c r="R1423" t="s">
        <v>40</v>
      </c>
      <c r="S1423">
        <v>0</v>
      </c>
      <c r="U1423" t="s">
        <v>41</v>
      </c>
      <c r="V1423" t="s">
        <v>42</v>
      </c>
      <c r="X1423" t="s">
        <v>74</v>
      </c>
      <c r="Y1423" t="b">
        <v>0</v>
      </c>
      <c r="Z1423" t="b">
        <v>0</v>
      </c>
      <c r="AC1423" s="1"/>
      <c r="AF1423">
        <v>0</v>
      </c>
      <c r="AG1423">
        <v>45</v>
      </c>
      <c r="AH1423">
        <v>167</v>
      </c>
      <c r="AI1423" s="2">
        <f>Table__192.168.3.138DYLAgingReport[[#This Row],[NetAmount]]-Table__192.168.3.138DYLAgingReport[[#This Row],[Paid]]</f>
        <v>50393</v>
      </c>
    </row>
    <row r="1424" spans="1:35">
      <c r="A1424" t="s">
        <v>3136</v>
      </c>
      <c r="B1424" s="1">
        <v>41146</v>
      </c>
      <c r="C1424" s="1">
        <v>41191</v>
      </c>
      <c r="D1424" t="s">
        <v>227</v>
      </c>
      <c r="E1424">
        <v>52500</v>
      </c>
      <c r="F1424">
        <v>8400</v>
      </c>
      <c r="G1424">
        <v>0</v>
      </c>
      <c r="H1424">
        <v>0</v>
      </c>
      <c r="I1424">
        <v>122</v>
      </c>
      <c r="J1424">
        <v>60900</v>
      </c>
      <c r="K1424" t="s">
        <v>3137</v>
      </c>
      <c r="L1424" s="1">
        <v>41146</v>
      </c>
      <c r="N1424" t="s">
        <v>36</v>
      </c>
      <c r="O1424" t="s">
        <v>37</v>
      </c>
      <c r="P1424" t="s">
        <v>364</v>
      </c>
      <c r="Q1424" t="s">
        <v>39</v>
      </c>
      <c r="R1424" t="s">
        <v>40</v>
      </c>
      <c r="S1424">
        <v>0</v>
      </c>
      <c r="U1424" t="s">
        <v>41</v>
      </c>
      <c r="V1424" t="s">
        <v>42</v>
      </c>
      <c r="X1424" t="s">
        <v>74</v>
      </c>
      <c r="Y1424" t="b">
        <v>0</v>
      </c>
      <c r="Z1424" t="b">
        <v>0</v>
      </c>
      <c r="AC1424" s="1"/>
      <c r="AF1424">
        <v>0</v>
      </c>
      <c r="AG1424">
        <v>45</v>
      </c>
      <c r="AH1424">
        <v>167</v>
      </c>
      <c r="AI1424" s="2">
        <f>Table__192.168.3.138DYLAgingReport[[#This Row],[NetAmount]]-Table__192.168.3.138DYLAgingReport[[#This Row],[Paid]]</f>
        <v>60900</v>
      </c>
    </row>
    <row r="1425" spans="1:35">
      <c r="A1425" t="s">
        <v>3138</v>
      </c>
      <c r="B1425" s="1">
        <v>41124</v>
      </c>
      <c r="C1425" s="1">
        <v>41169</v>
      </c>
      <c r="D1425" t="s">
        <v>257</v>
      </c>
      <c r="E1425">
        <v>224000</v>
      </c>
      <c r="F1425">
        <v>35840</v>
      </c>
      <c r="G1425">
        <v>0</v>
      </c>
      <c r="H1425">
        <v>0</v>
      </c>
      <c r="I1425">
        <v>145</v>
      </c>
      <c r="J1425">
        <v>259840</v>
      </c>
      <c r="K1425" t="s">
        <v>158</v>
      </c>
      <c r="L1425" s="1">
        <v>41123</v>
      </c>
      <c r="N1425" t="s">
        <v>36</v>
      </c>
      <c r="O1425" t="s">
        <v>37</v>
      </c>
      <c r="P1425" t="s">
        <v>394</v>
      </c>
      <c r="Q1425" t="s">
        <v>39</v>
      </c>
      <c r="R1425" t="s">
        <v>40</v>
      </c>
      <c r="S1425">
        <v>0</v>
      </c>
      <c r="U1425" t="s">
        <v>41</v>
      </c>
      <c r="V1425" t="s">
        <v>42</v>
      </c>
      <c r="X1425" t="s">
        <v>74</v>
      </c>
      <c r="Y1425" t="b">
        <v>0</v>
      </c>
      <c r="Z1425" t="b">
        <v>0</v>
      </c>
      <c r="AC1425" s="1"/>
      <c r="AF1425">
        <v>0</v>
      </c>
      <c r="AG1425">
        <v>45</v>
      </c>
      <c r="AH1425">
        <v>190</v>
      </c>
      <c r="AI1425" s="2">
        <f>Table__192.168.3.138DYLAgingReport[[#This Row],[NetAmount]]-Table__192.168.3.138DYLAgingReport[[#This Row],[Paid]]</f>
        <v>259840</v>
      </c>
    </row>
    <row r="1426" spans="1:35">
      <c r="A1426" t="s">
        <v>3139</v>
      </c>
      <c r="B1426" s="1">
        <v>41148</v>
      </c>
      <c r="C1426" s="1">
        <v>41193</v>
      </c>
      <c r="D1426" t="s">
        <v>257</v>
      </c>
      <c r="E1426">
        <v>70200</v>
      </c>
      <c r="F1426">
        <v>11232</v>
      </c>
      <c r="G1426">
        <v>0</v>
      </c>
      <c r="H1426">
        <v>0</v>
      </c>
      <c r="I1426">
        <v>122</v>
      </c>
      <c r="J1426">
        <v>81432</v>
      </c>
      <c r="K1426" t="s">
        <v>830</v>
      </c>
      <c r="L1426" s="1">
        <v>41146</v>
      </c>
      <c r="N1426" t="s">
        <v>36</v>
      </c>
      <c r="O1426" t="s">
        <v>37</v>
      </c>
      <c r="P1426" t="s">
        <v>394</v>
      </c>
      <c r="Q1426" t="s">
        <v>39</v>
      </c>
      <c r="R1426" t="s">
        <v>40</v>
      </c>
      <c r="S1426">
        <v>0</v>
      </c>
      <c r="U1426" t="s">
        <v>41</v>
      </c>
      <c r="V1426" t="s">
        <v>42</v>
      </c>
      <c r="X1426" t="s">
        <v>74</v>
      </c>
      <c r="Y1426" t="b">
        <v>0</v>
      </c>
      <c r="Z1426" t="b">
        <v>0</v>
      </c>
      <c r="AC1426" s="1"/>
      <c r="AF1426">
        <v>0</v>
      </c>
      <c r="AG1426">
        <v>45</v>
      </c>
      <c r="AH1426">
        <v>167</v>
      </c>
      <c r="AI1426" s="2">
        <f>Table__192.168.3.138DYLAgingReport[[#This Row],[NetAmount]]-Table__192.168.3.138DYLAgingReport[[#This Row],[Paid]]</f>
        <v>81432</v>
      </c>
    </row>
    <row r="1427" spans="1:35">
      <c r="A1427" t="s">
        <v>3140</v>
      </c>
      <c r="B1427" s="1">
        <v>41150</v>
      </c>
      <c r="C1427" s="1">
        <v>41195</v>
      </c>
      <c r="D1427" t="s">
        <v>242</v>
      </c>
      <c r="E1427">
        <v>52692</v>
      </c>
      <c r="F1427">
        <v>8431</v>
      </c>
      <c r="G1427">
        <v>0</v>
      </c>
      <c r="H1427">
        <v>0</v>
      </c>
      <c r="I1427">
        <v>131</v>
      </c>
      <c r="J1427">
        <v>61123</v>
      </c>
      <c r="K1427" t="s">
        <v>3141</v>
      </c>
      <c r="L1427" s="1">
        <v>41137</v>
      </c>
      <c r="N1427" t="s">
        <v>36</v>
      </c>
      <c r="O1427" t="s">
        <v>37</v>
      </c>
      <c r="P1427" t="s">
        <v>379</v>
      </c>
      <c r="Q1427" t="s">
        <v>39</v>
      </c>
      <c r="R1427" t="s">
        <v>40</v>
      </c>
      <c r="S1427">
        <v>0</v>
      </c>
      <c r="U1427" t="s">
        <v>41</v>
      </c>
      <c r="V1427" t="s">
        <v>42</v>
      </c>
      <c r="X1427" t="s">
        <v>74</v>
      </c>
      <c r="Y1427" t="b">
        <v>0</v>
      </c>
      <c r="Z1427" t="b">
        <v>0</v>
      </c>
      <c r="AC1427" s="1"/>
      <c r="AF1427">
        <v>0</v>
      </c>
      <c r="AG1427">
        <v>45</v>
      </c>
      <c r="AH1427">
        <v>176</v>
      </c>
      <c r="AI1427" s="2">
        <f>Table__192.168.3.138DYLAgingReport[[#This Row],[NetAmount]]-Table__192.168.3.138DYLAgingReport[[#This Row],[Paid]]</f>
        <v>61123</v>
      </c>
    </row>
    <row r="1428" spans="1:35">
      <c r="A1428" t="s">
        <v>3142</v>
      </c>
      <c r="B1428" s="1">
        <v>41136</v>
      </c>
      <c r="C1428" s="1">
        <v>41136</v>
      </c>
      <c r="D1428" t="s">
        <v>293</v>
      </c>
      <c r="E1428">
        <v>2040000</v>
      </c>
      <c r="F1428">
        <v>326400</v>
      </c>
      <c r="G1428">
        <v>0</v>
      </c>
      <c r="H1428">
        <v>0</v>
      </c>
      <c r="I1428">
        <v>134</v>
      </c>
      <c r="J1428">
        <v>2366400</v>
      </c>
      <c r="K1428" t="s">
        <v>3143</v>
      </c>
      <c r="L1428" s="1">
        <v>41134</v>
      </c>
      <c r="N1428" t="s">
        <v>36</v>
      </c>
      <c r="O1428" t="s">
        <v>37</v>
      </c>
      <c r="P1428" t="s">
        <v>430</v>
      </c>
      <c r="Q1428" t="s">
        <v>39</v>
      </c>
      <c r="R1428" t="s">
        <v>40</v>
      </c>
      <c r="S1428">
        <v>0</v>
      </c>
      <c r="U1428" t="s">
        <v>41</v>
      </c>
      <c r="V1428" t="s">
        <v>42</v>
      </c>
      <c r="X1428" t="s">
        <v>74</v>
      </c>
      <c r="Y1428" t="b">
        <v>0</v>
      </c>
      <c r="Z1428" t="b">
        <v>0</v>
      </c>
      <c r="AB1428" t="s">
        <v>3144</v>
      </c>
      <c r="AC1428" s="1">
        <v>41194</v>
      </c>
      <c r="AD1428" t="s">
        <v>3145</v>
      </c>
      <c r="AE1428" t="s">
        <v>3146</v>
      </c>
      <c r="AF1428">
        <v>2364400</v>
      </c>
      <c r="AG1428">
        <v>45</v>
      </c>
      <c r="AH1428">
        <v>179</v>
      </c>
      <c r="AI1428" s="2">
        <f>Table__192.168.3.138DYLAgingReport[[#This Row],[NetAmount]]-Table__192.168.3.138DYLAgingReport[[#This Row],[Paid]]</f>
        <v>2000</v>
      </c>
    </row>
    <row r="1429" spans="1:35">
      <c r="A1429" t="s">
        <v>3147</v>
      </c>
      <c r="B1429" s="1">
        <v>41137</v>
      </c>
      <c r="C1429" s="1">
        <v>41182</v>
      </c>
      <c r="D1429" t="s">
        <v>174</v>
      </c>
      <c r="E1429">
        <v>55200</v>
      </c>
      <c r="F1429">
        <v>8832</v>
      </c>
      <c r="G1429">
        <v>0</v>
      </c>
      <c r="H1429">
        <v>0</v>
      </c>
      <c r="I1429">
        <v>131</v>
      </c>
      <c r="J1429">
        <v>64032</v>
      </c>
      <c r="K1429" t="s">
        <v>3148</v>
      </c>
      <c r="L1429" s="1">
        <v>41137</v>
      </c>
      <c r="N1429" t="s">
        <v>36</v>
      </c>
      <c r="O1429" t="s">
        <v>37</v>
      </c>
      <c r="P1429" t="s">
        <v>311</v>
      </c>
      <c r="Q1429" t="s">
        <v>39</v>
      </c>
      <c r="R1429" t="s">
        <v>40</v>
      </c>
      <c r="S1429">
        <v>0</v>
      </c>
      <c r="U1429" t="s">
        <v>41</v>
      </c>
      <c r="V1429" t="s">
        <v>42</v>
      </c>
      <c r="X1429" t="s">
        <v>74</v>
      </c>
      <c r="Y1429" t="b">
        <v>0</v>
      </c>
      <c r="Z1429" t="b">
        <v>0</v>
      </c>
      <c r="AC1429" s="1"/>
      <c r="AF1429">
        <v>0</v>
      </c>
      <c r="AG1429">
        <v>45</v>
      </c>
      <c r="AH1429">
        <v>176</v>
      </c>
      <c r="AI1429" s="2">
        <f>Table__192.168.3.138DYLAgingReport[[#This Row],[NetAmount]]-Table__192.168.3.138DYLAgingReport[[#This Row],[Paid]]</f>
        <v>64032</v>
      </c>
    </row>
    <row r="1430" spans="1:35">
      <c r="A1430" t="s">
        <v>3149</v>
      </c>
      <c r="B1430" s="1">
        <v>41138</v>
      </c>
      <c r="C1430" s="1">
        <v>41183</v>
      </c>
      <c r="D1430" t="s">
        <v>220</v>
      </c>
      <c r="E1430">
        <v>1060</v>
      </c>
      <c r="F1430">
        <v>170</v>
      </c>
      <c r="G1430">
        <v>0</v>
      </c>
      <c r="H1430">
        <v>0</v>
      </c>
      <c r="I1430">
        <v>141</v>
      </c>
      <c r="J1430">
        <v>1230</v>
      </c>
      <c r="K1430" t="s">
        <v>922</v>
      </c>
      <c r="L1430" s="1">
        <v>41127</v>
      </c>
      <c r="N1430" t="s">
        <v>36</v>
      </c>
      <c r="O1430" t="s">
        <v>37</v>
      </c>
      <c r="P1430" t="s">
        <v>357</v>
      </c>
      <c r="Q1430" t="s">
        <v>39</v>
      </c>
      <c r="R1430" t="s">
        <v>40</v>
      </c>
      <c r="S1430">
        <v>0</v>
      </c>
      <c r="U1430" t="s">
        <v>41</v>
      </c>
      <c r="V1430" t="s">
        <v>42</v>
      </c>
      <c r="X1430" t="s">
        <v>74</v>
      </c>
      <c r="Y1430" t="b">
        <v>0</v>
      </c>
      <c r="Z1430" t="b">
        <v>0</v>
      </c>
      <c r="AC1430" s="1"/>
      <c r="AF1430">
        <v>0</v>
      </c>
      <c r="AG1430">
        <v>45</v>
      </c>
      <c r="AH1430">
        <v>186</v>
      </c>
      <c r="AI1430" s="2">
        <f>Table__192.168.3.138DYLAgingReport[[#This Row],[NetAmount]]-Table__192.168.3.138DYLAgingReport[[#This Row],[Paid]]</f>
        <v>1230</v>
      </c>
    </row>
    <row r="1431" spans="1:35">
      <c r="A1431" t="s">
        <v>3150</v>
      </c>
      <c r="B1431" s="1">
        <v>41148</v>
      </c>
      <c r="C1431" s="1">
        <v>41193</v>
      </c>
      <c r="D1431" t="s">
        <v>220</v>
      </c>
      <c r="E1431">
        <v>41000</v>
      </c>
      <c r="F1431">
        <v>6560</v>
      </c>
      <c r="G1431">
        <v>0</v>
      </c>
      <c r="H1431">
        <v>0</v>
      </c>
      <c r="I1431">
        <v>132</v>
      </c>
      <c r="J1431">
        <v>47560</v>
      </c>
      <c r="K1431" t="s">
        <v>3151</v>
      </c>
      <c r="L1431" s="1">
        <v>41136</v>
      </c>
      <c r="N1431" t="s">
        <v>36</v>
      </c>
      <c r="O1431" t="s">
        <v>37</v>
      </c>
      <c r="P1431" t="s">
        <v>357</v>
      </c>
      <c r="Q1431" t="s">
        <v>39</v>
      </c>
      <c r="R1431" t="s">
        <v>40</v>
      </c>
      <c r="S1431">
        <v>0</v>
      </c>
      <c r="U1431" t="s">
        <v>41</v>
      </c>
      <c r="V1431" t="s">
        <v>42</v>
      </c>
      <c r="X1431" t="s">
        <v>74</v>
      </c>
      <c r="Y1431" t="b">
        <v>0</v>
      </c>
      <c r="Z1431" t="b">
        <v>0</v>
      </c>
      <c r="AC1431" s="1"/>
      <c r="AF1431">
        <v>0</v>
      </c>
      <c r="AG1431">
        <v>45</v>
      </c>
      <c r="AH1431">
        <v>177</v>
      </c>
      <c r="AI1431" s="2">
        <f>Table__192.168.3.138DYLAgingReport[[#This Row],[NetAmount]]-Table__192.168.3.138DYLAgingReport[[#This Row],[Paid]]</f>
        <v>47560</v>
      </c>
    </row>
    <row r="1432" spans="1:35">
      <c r="A1432" t="s">
        <v>3152</v>
      </c>
      <c r="B1432" s="1">
        <v>41148</v>
      </c>
      <c r="C1432" s="1">
        <v>41193</v>
      </c>
      <c r="D1432" t="s">
        <v>245</v>
      </c>
      <c r="E1432">
        <v>180000</v>
      </c>
      <c r="F1432">
        <v>28800</v>
      </c>
      <c r="G1432">
        <v>0</v>
      </c>
      <c r="H1432">
        <v>0</v>
      </c>
      <c r="I1432">
        <v>191</v>
      </c>
      <c r="J1432">
        <v>208800</v>
      </c>
      <c r="K1432" t="s">
        <v>3153</v>
      </c>
      <c r="L1432" s="1">
        <v>41122</v>
      </c>
      <c r="N1432" t="s">
        <v>36</v>
      </c>
      <c r="O1432" t="s">
        <v>37</v>
      </c>
      <c r="P1432" t="s">
        <v>382</v>
      </c>
      <c r="Q1432" t="s">
        <v>39</v>
      </c>
      <c r="R1432" t="s">
        <v>40</v>
      </c>
      <c r="S1432">
        <v>0</v>
      </c>
      <c r="U1432" t="s">
        <v>41</v>
      </c>
      <c r="V1432" t="s">
        <v>42</v>
      </c>
      <c r="X1432" t="s">
        <v>74</v>
      </c>
      <c r="Y1432" t="b">
        <v>0</v>
      </c>
      <c r="Z1432" t="b">
        <v>0</v>
      </c>
      <c r="AC1432" s="1"/>
      <c r="AF1432">
        <v>0</v>
      </c>
      <c r="AG1432">
        <v>0</v>
      </c>
      <c r="AH1432">
        <v>191</v>
      </c>
      <c r="AI1432" s="2">
        <f>Table__192.168.3.138DYLAgingReport[[#This Row],[NetAmount]]-Table__192.168.3.138DYLAgingReport[[#This Row],[Paid]]</f>
        <v>208800</v>
      </c>
    </row>
    <row r="1433" spans="1:35">
      <c r="A1433" t="s">
        <v>3154</v>
      </c>
      <c r="B1433" s="1">
        <v>41148</v>
      </c>
      <c r="C1433" s="1">
        <v>41193</v>
      </c>
      <c r="D1433" t="s">
        <v>202</v>
      </c>
      <c r="E1433">
        <v>178200</v>
      </c>
      <c r="F1433">
        <v>28512</v>
      </c>
      <c r="G1433">
        <v>0</v>
      </c>
      <c r="H1433">
        <v>0</v>
      </c>
      <c r="I1433">
        <v>143</v>
      </c>
      <c r="J1433">
        <v>206712</v>
      </c>
      <c r="K1433" t="s">
        <v>1049</v>
      </c>
      <c r="L1433" s="1">
        <v>41125</v>
      </c>
      <c r="N1433" t="s">
        <v>36</v>
      </c>
      <c r="O1433" t="s">
        <v>37</v>
      </c>
      <c r="P1433" t="s">
        <v>339</v>
      </c>
      <c r="Q1433" t="s">
        <v>39</v>
      </c>
      <c r="R1433" t="s">
        <v>40</v>
      </c>
      <c r="S1433">
        <v>0</v>
      </c>
      <c r="U1433" t="s">
        <v>41</v>
      </c>
      <c r="V1433" t="s">
        <v>42</v>
      </c>
      <c r="X1433" t="s">
        <v>74</v>
      </c>
      <c r="Y1433" t="b">
        <v>0</v>
      </c>
      <c r="Z1433" t="b">
        <v>0</v>
      </c>
      <c r="AC1433" s="1"/>
      <c r="AF1433">
        <v>0</v>
      </c>
      <c r="AG1433">
        <v>45</v>
      </c>
      <c r="AH1433">
        <v>188</v>
      </c>
      <c r="AI1433" s="2">
        <f>Table__192.168.3.138DYLAgingReport[[#This Row],[NetAmount]]-Table__192.168.3.138DYLAgingReport[[#This Row],[Paid]]</f>
        <v>206712</v>
      </c>
    </row>
    <row r="1434" spans="1:35">
      <c r="A1434" t="s">
        <v>3155</v>
      </c>
      <c r="B1434" s="1">
        <v>41148</v>
      </c>
      <c r="C1434" s="1">
        <v>41193</v>
      </c>
      <c r="D1434" t="s">
        <v>202</v>
      </c>
      <c r="E1434">
        <v>60840</v>
      </c>
      <c r="F1434">
        <v>9734</v>
      </c>
      <c r="G1434">
        <v>0</v>
      </c>
      <c r="H1434">
        <v>0</v>
      </c>
      <c r="I1434">
        <v>143</v>
      </c>
      <c r="J1434">
        <v>70574</v>
      </c>
      <c r="K1434" t="s">
        <v>3156</v>
      </c>
      <c r="L1434" s="1">
        <v>41125</v>
      </c>
      <c r="N1434" t="s">
        <v>36</v>
      </c>
      <c r="O1434" t="s">
        <v>37</v>
      </c>
      <c r="P1434" t="s">
        <v>339</v>
      </c>
      <c r="Q1434" t="s">
        <v>39</v>
      </c>
      <c r="R1434" t="s">
        <v>40</v>
      </c>
      <c r="S1434">
        <v>0</v>
      </c>
      <c r="U1434" t="s">
        <v>41</v>
      </c>
      <c r="V1434" t="s">
        <v>42</v>
      </c>
      <c r="X1434" t="s">
        <v>74</v>
      </c>
      <c r="Y1434" t="b">
        <v>0</v>
      </c>
      <c r="Z1434" t="b">
        <v>0</v>
      </c>
      <c r="AC1434" s="1"/>
      <c r="AF1434">
        <v>0</v>
      </c>
      <c r="AG1434">
        <v>45</v>
      </c>
      <c r="AH1434">
        <v>188</v>
      </c>
      <c r="AI1434" s="2">
        <f>Table__192.168.3.138DYLAgingReport[[#This Row],[NetAmount]]-Table__192.168.3.138DYLAgingReport[[#This Row],[Paid]]</f>
        <v>70574</v>
      </c>
    </row>
    <row r="1435" spans="1:35">
      <c r="A1435" t="s">
        <v>3157</v>
      </c>
      <c r="B1435" s="1">
        <v>41149</v>
      </c>
      <c r="C1435" s="1">
        <v>41194</v>
      </c>
      <c r="D1435" t="s">
        <v>268</v>
      </c>
      <c r="E1435">
        <v>205000</v>
      </c>
      <c r="F1435">
        <v>32800</v>
      </c>
      <c r="G1435">
        <v>0</v>
      </c>
      <c r="H1435">
        <v>0</v>
      </c>
      <c r="I1435">
        <v>119</v>
      </c>
      <c r="J1435">
        <v>237800</v>
      </c>
      <c r="K1435" t="s">
        <v>3158</v>
      </c>
      <c r="L1435" s="1">
        <v>41149</v>
      </c>
      <c r="N1435" t="s">
        <v>36</v>
      </c>
      <c r="O1435" t="s">
        <v>37</v>
      </c>
      <c r="P1435" t="s">
        <v>405</v>
      </c>
      <c r="Q1435" t="s">
        <v>39</v>
      </c>
      <c r="R1435" t="s">
        <v>40</v>
      </c>
      <c r="S1435">
        <v>0</v>
      </c>
      <c r="U1435" t="s">
        <v>41</v>
      </c>
      <c r="V1435" t="s">
        <v>42</v>
      </c>
      <c r="X1435" t="s">
        <v>74</v>
      </c>
      <c r="Y1435" t="b">
        <v>0</v>
      </c>
      <c r="Z1435" t="b">
        <v>0</v>
      </c>
      <c r="AC1435" s="1"/>
      <c r="AF1435">
        <v>0</v>
      </c>
      <c r="AG1435">
        <v>45</v>
      </c>
      <c r="AH1435">
        <v>164</v>
      </c>
      <c r="AI1435" s="2">
        <f>Table__192.168.3.138DYLAgingReport[[#This Row],[NetAmount]]-Table__192.168.3.138DYLAgingReport[[#This Row],[Paid]]</f>
        <v>237800</v>
      </c>
    </row>
    <row r="1436" spans="1:35">
      <c r="A1436" t="s">
        <v>3159</v>
      </c>
      <c r="B1436" s="1">
        <v>41148</v>
      </c>
      <c r="C1436" s="1">
        <v>41193</v>
      </c>
      <c r="D1436" t="s">
        <v>167</v>
      </c>
      <c r="E1436">
        <v>4199</v>
      </c>
      <c r="F1436">
        <v>672</v>
      </c>
      <c r="G1436">
        <v>0</v>
      </c>
      <c r="H1436">
        <v>0</v>
      </c>
      <c r="I1436">
        <v>120</v>
      </c>
      <c r="J1436">
        <v>4871</v>
      </c>
      <c r="K1436" t="s">
        <v>3160</v>
      </c>
      <c r="L1436" s="1">
        <v>41148</v>
      </c>
      <c r="N1436" t="s">
        <v>36</v>
      </c>
      <c r="O1436" t="s">
        <v>37</v>
      </c>
      <c r="P1436" t="s">
        <v>304</v>
      </c>
      <c r="Q1436" t="s">
        <v>39</v>
      </c>
      <c r="R1436" t="s">
        <v>40</v>
      </c>
      <c r="S1436">
        <v>0</v>
      </c>
      <c r="U1436" t="s">
        <v>41</v>
      </c>
      <c r="V1436" t="s">
        <v>42</v>
      </c>
      <c r="X1436" t="s">
        <v>74</v>
      </c>
      <c r="Y1436" t="b">
        <v>0</v>
      </c>
      <c r="Z1436" t="b">
        <v>0</v>
      </c>
      <c r="AC1436" s="1"/>
      <c r="AF1436">
        <v>0</v>
      </c>
      <c r="AG1436">
        <v>45</v>
      </c>
      <c r="AH1436">
        <v>165</v>
      </c>
      <c r="AI1436" s="2">
        <f>Table__192.168.3.138DYLAgingReport[[#This Row],[NetAmount]]-Table__192.168.3.138DYLAgingReport[[#This Row],[Paid]]</f>
        <v>4871</v>
      </c>
    </row>
    <row r="1437" spans="1:35">
      <c r="A1437" t="s">
        <v>3161</v>
      </c>
      <c r="B1437" s="1">
        <v>41151</v>
      </c>
      <c r="C1437" s="1">
        <v>41196</v>
      </c>
      <c r="D1437" t="s">
        <v>174</v>
      </c>
      <c r="E1437">
        <v>13100</v>
      </c>
      <c r="F1437">
        <v>2096</v>
      </c>
      <c r="G1437">
        <v>0</v>
      </c>
      <c r="H1437">
        <v>0</v>
      </c>
      <c r="I1437">
        <v>119</v>
      </c>
      <c r="J1437">
        <v>15196</v>
      </c>
      <c r="K1437" t="s">
        <v>3158</v>
      </c>
      <c r="L1437" s="1">
        <v>41149</v>
      </c>
      <c r="N1437" t="s">
        <v>36</v>
      </c>
      <c r="O1437" t="s">
        <v>37</v>
      </c>
      <c r="P1437" t="s">
        <v>311</v>
      </c>
      <c r="Q1437" t="s">
        <v>39</v>
      </c>
      <c r="R1437" t="s">
        <v>40</v>
      </c>
      <c r="S1437">
        <v>0</v>
      </c>
      <c r="U1437" t="s">
        <v>41</v>
      </c>
      <c r="V1437" t="s">
        <v>42</v>
      </c>
      <c r="X1437" t="s">
        <v>74</v>
      </c>
      <c r="Y1437" t="b">
        <v>0</v>
      </c>
      <c r="Z1437" t="b">
        <v>0</v>
      </c>
      <c r="AC1437" s="1"/>
      <c r="AF1437">
        <v>0</v>
      </c>
      <c r="AG1437">
        <v>45</v>
      </c>
      <c r="AH1437">
        <v>164</v>
      </c>
      <c r="AI1437" s="2">
        <f>Table__192.168.3.138DYLAgingReport[[#This Row],[NetAmount]]-Table__192.168.3.138DYLAgingReport[[#This Row],[Paid]]</f>
        <v>15196</v>
      </c>
    </row>
    <row r="1438" spans="1:35">
      <c r="A1438" t="s">
        <v>3162</v>
      </c>
      <c r="B1438" s="1">
        <v>41151</v>
      </c>
      <c r="C1438" s="1">
        <v>41196</v>
      </c>
      <c r="D1438" t="s">
        <v>174</v>
      </c>
      <c r="E1438">
        <v>50345</v>
      </c>
      <c r="F1438">
        <v>8055</v>
      </c>
      <c r="G1438">
        <v>0</v>
      </c>
      <c r="H1438">
        <v>0</v>
      </c>
      <c r="I1438">
        <v>136</v>
      </c>
      <c r="J1438">
        <v>58400</v>
      </c>
      <c r="K1438" t="s">
        <v>3163</v>
      </c>
      <c r="L1438" s="1">
        <v>41132</v>
      </c>
      <c r="N1438" t="s">
        <v>36</v>
      </c>
      <c r="O1438" t="s">
        <v>37</v>
      </c>
      <c r="P1438" t="s">
        <v>311</v>
      </c>
      <c r="Q1438" t="s">
        <v>39</v>
      </c>
      <c r="R1438" t="s">
        <v>40</v>
      </c>
      <c r="S1438">
        <v>0</v>
      </c>
      <c r="U1438" t="s">
        <v>41</v>
      </c>
      <c r="V1438" t="s">
        <v>42</v>
      </c>
      <c r="X1438" t="s">
        <v>74</v>
      </c>
      <c r="Y1438" t="b">
        <v>0</v>
      </c>
      <c r="Z1438" t="b">
        <v>0</v>
      </c>
      <c r="AC1438" s="1"/>
      <c r="AF1438">
        <v>0</v>
      </c>
      <c r="AG1438">
        <v>45</v>
      </c>
      <c r="AH1438">
        <v>181</v>
      </c>
      <c r="AI1438" s="2">
        <f>Table__192.168.3.138DYLAgingReport[[#This Row],[NetAmount]]-Table__192.168.3.138DYLAgingReport[[#This Row],[Paid]]</f>
        <v>58400</v>
      </c>
    </row>
    <row r="1439" spans="1:35">
      <c r="A1439" t="s">
        <v>3164</v>
      </c>
      <c r="B1439" s="1">
        <v>41152</v>
      </c>
      <c r="C1439" s="1">
        <v>41197</v>
      </c>
      <c r="D1439" t="s">
        <v>172</v>
      </c>
      <c r="E1439">
        <v>93120</v>
      </c>
      <c r="F1439">
        <v>14899</v>
      </c>
      <c r="G1439">
        <v>0</v>
      </c>
      <c r="H1439">
        <v>0</v>
      </c>
      <c r="I1439">
        <v>119</v>
      </c>
      <c r="J1439">
        <v>108019</v>
      </c>
      <c r="K1439" t="s">
        <v>3165</v>
      </c>
      <c r="L1439" s="1">
        <v>41149</v>
      </c>
      <c r="N1439" t="s">
        <v>36</v>
      </c>
      <c r="O1439" t="s">
        <v>37</v>
      </c>
      <c r="P1439" t="s">
        <v>309</v>
      </c>
      <c r="Q1439" t="s">
        <v>39</v>
      </c>
      <c r="R1439" t="s">
        <v>40</v>
      </c>
      <c r="S1439">
        <v>0</v>
      </c>
      <c r="U1439" t="s">
        <v>41</v>
      </c>
      <c r="V1439" t="s">
        <v>42</v>
      </c>
      <c r="X1439" t="s">
        <v>74</v>
      </c>
      <c r="Y1439" t="b">
        <v>0</v>
      </c>
      <c r="Z1439" t="b">
        <v>0</v>
      </c>
      <c r="AC1439" s="1"/>
      <c r="AF1439">
        <v>0</v>
      </c>
      <c r="AG1439">
        <v>45</v>
      </c>
      <c r="AH1439">
        <v>164</v>
      </c>
      <c r="AI1439" s="2">
        <f>Table__192.168.3.138DYLAgingReport[[#This Row],[NetAmount]]-Table__192.168.3.138DYLAgingReport[[#This Row],[Paid]]</f>
        <v>108019</v>
      </c>
    </row>
    <row r="1440" spans="1:35">
      <c r="A1440" t="s">
        <v>3166</v>
      </c>
      <c r="B1440" s="1">
        <v>41146</v>
      </c>
      <c r="C1440" s="1">
        <v>41191</v>
      </c>
      <c r="D1440" t="s">
        <v>270</v>
      </c>
      <c r="E1440">
        <v>38500</v>
      </c>
      <c r="F1440">
        <v>6160</v>
      </c>
      <c r="G1440">
        <v>0</v>
      </c>
      <c r="H1440">
        <v>0</v>
      </c>
      <c r="I1440">
        <v>137</v>
      </c>
      <c r="J1440">
        <v>44660</v>
      </c>
      <c r="K1440" t="s">
        <v>97</v>
      </c>
      <c r="L1440" s="1">
        <v>41146</v>
      </c>
      <c r="N1440" t="s">
        <v>36</v>
      </c>
      <c r="O1440" t="s">
        <v>37</v>
      </c>
      <c r="P1440" t="s">
        <v>407</v>
      </c>
      <c r="Q1440" t="s">
        <v>39</v>
      </c>
      <c r="R1440" t="s">
        <v>40</v>
      </c>
      <c r="S1440">
        <v>0</v>
      </c>
      <c r="U1440" t="s">
        <v>41</v>
      </c>
      <c r="V1440" t="s">
        <v>42</v>
      </c>
      <c r="X1440" t="s">
        <v>74</v>
      </c>
      <c r="Y1440" t="b">
        <v>0</v>
      </c>
      <c r="Z1440" t="b">
        <v>0</v>
      </c>
      <c r="AC1440" s="1"/>
      <c r="AF1440">
        <v>0</v>
      </c>
      <c r="AG1440">
        <v>30</v>
      </c>
      <c r="AH1440">
        <v>167</v>
      </c>
      <c r="AI1440" s="2">
        <f>Table__192.168.3.138DYLAgingReport[[#This Row],[NetAmount]]-Table__192.168.3.138DYLAgingReport[[#This Row],[Paid]]</f>
        <v>44660</v>
      </c>
    </row>
    <row r="1441" spans="1:35">
      <c r="A1441" t="s">
        <v>3167</v>
      </c>
      <c r="B1441" s="1">
        <v>41145</v>
      </c>
      <c r="C1441" s="1">
        <v>41190</v>
      </c>
      <c r="D1441" t="s">
        <v>168</v>
      </c>
      <c r="E1441">
        <v>228540</v>
      </c>
      <c r="F1441">
        <v>36566</v>
      </c>
      <c r="G1441">
        <v>0</v>
      </c>
      <c r="H1441">
        <v>0</v>
      </c>
      <c r="I1441">
        <v>123</v>
      </c>
      <c r="J1441">
        <v>265106</v>
      </c>
      <c r="K1441" t="s">
        <v>3168</v>
      </c>
      <c r="L1441" s="1">
        <v>41145</v>
      </c>
      <c r="N1441" t="s">
        <v>36</v>
      </c>
      <c r="O1441" t="s">
        <v>37</v>
      </c>
      <c r="P1441" t="s">
        <v>305</v>
      </c>
      <c r="Q1441" t="s">
        <v>39</v>
      </c>
      <c r="R1441" t="s">
        <v>40</v>
      </c>
      <c r="S1441">
        <v>0</v>
      </c>
      <c r="U1441" t="s">
        <v>41</v>
      </c>
      <c r="V1441" t="s">
        <v>42</v>
      </c>
      <c r="X1441" t="s">
        <v>74</v>
      </c>
      <c r="Y1441" t="b">
        <v>0</v>
      </c>
      <c r="Z1441" t="b">
        <v>0</v>
      </c>
      <c r="AB1441" t="s">
        <v>961</v>
      </c>
      <c r="AC1441" s="1">
        <v>41291</v>
      </c>
      <c r="AE1441" t="s">
        <v>962</v>
      </c>
      <c r="AF1441">
        <v>0</v>
      </c>
      <c r="AG1441">
        <v>45</v>
      </c>
      <c r="AH1441">
        <v>168</v>
      </c>
      <c r="AI1441" s="2">
        <f>Table__192.168.3.138DYLAgingReport[[#This Row],[NetAmount]]-Table__192.168.3.138DYLAgingReport[[#This Row],[Paid]]</f>
        <v>265106</v>
      </c>
    </row>
    <row r="1442" spans="1:35">
      <c r="A1442" t="s">
        <v>3169</v>
      </c>
      <c r="B1442" s="1">
        <v>41138</v>
      </c>
      <c r="C1442" s="1">
        <v>41183</v>
      </c>
      <c r="D1442" t="s">
        <v>168</v>
      </c>
      <c r="E1442">
        <v>29825</v>
      </c>
      <c r="F1442">
        <v>4772</v>
      </c>
      <c r="G1442">
        <v>0</v>
      </c>
      <c r="H1442">
        <v>0</v>
      </c>
      <c r="I1442">
        <v>139</v>
      </c>
      <c r="J1442">
        <v>34597</v>
      </c>
      <c r="K1442" t="s">
        <v>1106</v>
      </c>
      <c r="L1442" s="1">
        <v>41129</v>
      </c>
      <c r="N1442" t="s">
        <v>36</v>
      </c>
      <c r="O1442" t="s">
        <v>37</v>
      </c>
      <c r="P1442" t="s">
        <v>305</v>
      </c>
      <c r="Q1442" t="s">
        <v>39</v>
      </c>
      <c r="R1442" t="s">
        <v>40</v>
      </c>
      <c r="S1442">
        <v>0</v>
      </c>
      <c r="U1442" t="s">
        <v>41</v>
      </c>
      <c r="V1442" t="s">
        <v>42</v>
      </c>
      <c r="X1442" t="s">
        <v>74</v>
      </c>
      <c r="Y1442" t="b">
        <v>0</v>
      </c>
      <c r="Z1442" t="b">
        <v>0</v>
      </c>
      <c r="AB1442" t="s">
        <v>961</v>
      </c>
      <c r="AC1442" s="1">
        <v>41291</v>
      </c>
      <c r="AE1442" t="s">
        <v>962</v>
      </c>
      <c r="AF1442">
        <v>0</v>
      </c>
      <c r="AG1442">
        <v>45</v>
      </c>
      <c r="AH1442">
        <v>184</v>
      </c>
      <c r="AI1442" s="2">
        <f>Table__192.168.3.138DYLAgingReport[[#This Row],[NetAmount]]-Table__192.168.3.138DYLAgingReport[[#This Row],[Paid]]</f>
        <v>34597</v>
      </c>
    </row>
    <row r="1443" spans="1:35">
      <c r="A1443" t="s">
        <v>3170</v>
      </c>
      <c r="B1443" s="1">
        <v>41138</v>
      </c>
      <c r="C1443" s="1">
        <v>41183</v>
      </c>
      <c r="D1443" t="s">
        <v>227</v>
      </c>
      <c r="E1443">
        <v>90000</v>
      </c>
      <c r="F1443">
        <v>14400</v>
      </c>
      <c r="G1443">
        <v>0</v>
      </c>
      <c r="H1443">
        <v>0</v>
      </c>
      <c r="I1443">
        <v>146</v>
      </c>
      <c r="J1443">
        <v>104400</v>
      </c>
      <c r="K1443" t="s">
        <v>3171</v>
      </c>
      <c r="L1443" s="1">
        <v>41122</v>
      </c>
      <c r="N1443" t="s">
        <v>36</v>
      </c>
      <c r="O1443" t="s">
        <v>37</v>
      </c>
      <c r="P1443" t="s">
        <v>364</v>
      </c>
      <c r="Q1443" t="s">
        <v>39</v>
      </c>
      <c r="R1443" t="s">
        <v>40</v>
      </c>
      <c r="S1443">
        <v>0</v>
      </c>
      <c r="U1443" t="s">
        <v>41</v>
      </c>
      <c r="V1443" t="s">
        <v>42</v>
      </c>
      <c r="X1443" t="s">
        <v>74</v>
      </c>
      <c r="Y1443" t="b">
        <v>0</v>
      </c>
      <c r="Z1443" t="b">
        <v>0</v>
      </c>
      <c r="AC1443" s="1"/>
      <c r="AF1443">
        <v>0</v>
      </c>
      <c r="AG1443">
        <v>45</v>
      </c>
      <c r="AH1443">
        <v>191</v>
      </c>
      <c r="AI1443" s="2">
        <f>Table__192.168.3.138DYLAgingReport[[#This Row],[NetAmount]]-Table__192.168.3.138DYLAgingReport[[#This Row],[Paid]]</f>
        <v>104400</v>
      </c>
    </row>
    <row r="1444" spans="1:35">
      <c r="A1444" t="s">
        <v>3172</v>
      </c>
      <c r="B1444" s="1">
        <v>41145</v>
      </c>
      <c r="C1444" s="1">
        <v>41190</v>
      </c>
      <c r="D1444" t="s">
        <v>220</v>
      </c>
      <c r="E1444">
        <v>130000</v>
      </c>
      <c r="F1444">
        <v>20800</v>
      </c>
      <c r="G1444">
        <v>0</v>
      </c>
      <c r="H1444">
        <v>0</v>
      </c>
      <c r="I1444">
        <v>129</v>
      </c>
      <c r="J1444">
        <v>150800</v>
      </c>
      <c r="K1444" t="s">
        <v>3173</v>
      </c>
      <c r="L1444" s="1">
        <v>41139</v>
      </c>
      <c r="N1444" t="s">
        <v>36</v>
      </c>
      <c r="O1444" t="s">
        <v>37</v>
      </c>
      <c r="P1444" t="s">
        <v>357</v>
      </c>
      <c r="Q1444" t="s">
        <v>39</v>
      </c>
      <c r="R1444" t="s">
        <v>40</v>
      </c>
      <c r="S1444">
        <v>0</v>
      </c>
      <c r="U1444" t="s">
        <v>41</v>
      </c>
      <c r="V1444" t="s">
        <v>42</v>
      </c>
      <c r="X1444" t="s">
        <v>74</v>
      </c>
      <c r="Y1444" t="b">
        <v>0</v>
      </c>
      <c r="Z1444" t="b">
        <v>0</v>
      </c>
      <c r="AC1444" s="1"/>
      <c r="AF1444">
        <v>0</v>
      </c>
      <c r="AG1444">
        <v>45</v>
      </c>
      <c r="AH1444">
        <v>174</v>
      </c>
      <c r="AI1444" s="2">
        <f>Table__192.168.3.138DYLAgingReport[[#This Row],[NetAmount]]-Table__192.168.3.138DYLAgingReport[[#This Row],[Paid]]</f>
        <v>150800</v>
      </c>
    </row>
    <row r="1445" spans="1:35">
      <c r="A1445" t="s">
        <v>3174</v>
      </c>
      <c r="B1445" s="1">
        <v>41149</v>
      </c>
      <c r="C1445" s="1">
        <v>41194</v>
      </c>
      <c r="D1445" t="s">
        <v>220</v>
      </c>
      <c r="E1445">
        <v>130000</v>
      </c>
      <c r="F1445">
        <v>20800</v>
      </c>
      <c r="G1445">
        <v>0</v>
      </c>
      <c r="H1445">
        <v>0</v>
      </c>
      <c r="I1445">
        <v>119</v>
      </c>
      <c r="J1445">
        <v>150800</v>
      </c>
      <c r="K1445" t="s">
        <v>3175</v>
      </c>
      <c r="L1445" s="1">
        <v>41149</v>
      </c>
      <c r="N1445" t="s">
        <v>36</v>
      </c>
      <c r="O1445" t="s">
        <v>37</v>
      </c>
      <c r="P1445" t="s">
        <v>357</v>
      </c>
      <c r="Q1445" t="s">
        <v>39</v>
      </c>
      <c r="R1445" t="s">
        <v>40</v>
      </c>
      <c r="S1445">
        <v>0</v>
      </c>
      <c r="U1445" t="s">
        <v>41</v>
      </c>
      <c r="V1445" t="s">
        <v>42</v>
      </c>
      <c r="X1445" t="s">
        <v>74</v>
      </c>
      <c r="Y1445" t="b">
        <v>0</v>
      </c>
      <c r="Z1445" t="b">
        <v>0</v>
      </c>
      <c r="AC1445" s="1"/>
      <c r="AF1445">
        <v>0</v>
      </c>
      <c r="AG1445">
        <v>45</v>
      </c>
      <c r="AH1445">
        <v>164</v>
      </c>
      <c r="AI1445" s="2">
        <f>Table__192.168.3.138DYLAgingReport[[#This Row],[NetAmount]]-Table__192.168.3.138DYLAgingReport[[#This Row],[Paid]]</f>
        <v>150800</v>
      </c>
    </row>
    <row r="1446" spans="1:35">
      <c r="A1446" t="s">
        <v>3176</v>
      </c>
      <c r="B1446" s="1">
        <v>41149</v>
      </c>
      <c r="C1446" s="1">
        <v>41194</v>
      </c>
      <c r="D1446" t="s">
        <v>197</v>
      </c>
      <c r="E1446">
        <v>700000</v>
      </c>
      <c r="F1446">
        <v>112000</v>
      </c>
      <c r="G1446">
        <v>0</v>
      </c>
      <c r="H1446">
        <v>0</v>
      </c>
      <c r="I1446">
        <v>139</v>
      </c>
      <c r="J1446">
        <v>812000</v>
      </c>
      <c r="K1446" t="s">
        <v>3177</v>
      </c>
      <c r="L1446" s="1">
        <v>41129</v>
      </c>
      <c r="N1446" t="s">
        <v>36</v>
      </c>
      <c r="O1446" t="s">
        <v>37</v>
      </c>
      <c r="P1446" t="s">
        <v>334</v>
      </c>
      <c r="Q1446" t="s">
        <v>39</v>
      </c>
      <c r="R1446" t="s">
        <v>40</v>
      </c>
      <c r="S1446">
        <v>0</v>
      </c>
      <c r="U1446" t="s">
        <v>41</v>
      </c>
      <c r="V1446" t="s">
        <v>42</v>
      </c>
      <c r="X1446" t="s">
        <v>74</v>
      </c>
      <c r="Y1446" t="b">
        <v>0</v>
      </c>
      <c r="Z1446" t="b">
        <v>0</v>
      </c>
      <c r="AB1446" t="s">
        <v>2856</v>
      </c>
      <c r="AC1446" s="1">
        <v>41227</v>
      </c>
      <c r="AE1446" t="s">
        <v>2858</v>
      </c>
      <c r="AF1446">
        <v>0</v>
      </c>
      <c r="AG1446">
        <v>45</v>
      </c>
      <c r="AH1446">
        <v>184</v>
      </c>
      <c r="AI1446" s="2">
        <f>Table__192.168.3.138DYLAgingReport[[#This Row],[NetAmount]]-Table__192.168.3.138DYLAgingReport[[#This Row],[Paid]]</f>
        <v>812000</v>
      </c>
    </row>
    <row r="1447" spans="1:35">
      <c r="A1447" t="s">
        <v>3178</v>
      </c>
      <c r="B1447" s="1">
        <v>41149</v>
      </c>
      <c r="C1447" s="1">
        <v>41194</v>
      </c>
      <c r="D1447" t="s">
        <v>197</v>
      </c>
      <c r="E1447">
        <v>140000</v>
      </c>
      <c r="F1447">
        <v>22400</v>
      </c>
      <c r="G1447">
        <v>0</v>
      </c>
      <c r="H1447">
        <v>0</v>
      </c>
      <c r="I1447">
        <v>139</v>
      </c>
      <c r="J1447">
        <v>162400</v>
      </c>
      <c r="K1447" t="s">
        <v>3179</v>
      </c>
      <c r="L1447" s="1">
        <v>41129</v>
      </c>
      <c r="N1447" t="s">
        <v>36</v>
      </c>
      <c r="O1447" t="s">
        <v>37</v>
      </c>
      <c r="P1447" t="s">
        <v>334</v>
      </c>
      <c r="Q1447" t="s">
        <v>39</v>
      </c>
      <c r="R1447" t="s">
        <v>40</v>
      </c>
      <c r="S1447">
        <v>0</v>
      </c>
      <c r="U1447" t="s">
        <v>41</v>
      </c>
      <c r="V1447" t="s">
        <v>42</v>
      </c>
      <c r="X1447" t="s">
        <v>74</v>
      </c>
      <c r="Y1447" t="b">
        <v>0</v>
      </c>
      <c r="Z1447" t="b">
        <v>0</v>
      </c>
      <c r="AB1447" t="s">
        <v>2856</v>
      </c>
      <c r="AC1447" s="1">
        <v>41227</v>
      </c>
      <c r="AE1447" t="s">
        <v>2858</v>
      </c>
      <c r="AF1447">
        <v>0</v>
      </c>
      <c r="AG1447">
        <v>45</v>
      </c>
      <c r="AH1447">
        <v>184</v>
      </c>
      <c r="AI1447" s="2">
        <f>Table__192.168.3.138DYLAgingReport[[#This Row],[NetAmount]]-Table__192.168.3.138DYLAgingReport[[#This Row],[Paid]]</f>
        <v>162400</v>
      </c>
    </row>
    <row r="1448" spans="1:35">
      <c r="A1448" t="s">
        <v>3180</v>
      </c>
      <c r="B1448" s="1">
        <v>41152.580023148148</v>
      </c>
      <c r="C1448" s="1">
        <v>41197.580023148148</v>
      </c>
      <c r="D1448" t="s">
        <v>172</v>
      </c>
      <c r="E1448">
        <v>78221</v>
      </c>
      <c r="F1448">
        <v>12515</v>
      </c>
      <c r="G1448">
        <v>0</v>
      </c>
      <c r="H1448">
        <v>0</v>
      </c>
      <c r="I1448">
        <v>116</v>
      </c>
      <c r="J1448">
        <v>90736</v>
      </c>
      <c r="K1448" t="s">
        <v>1110</v>
      </c>
      <c r="L1448" s="1">
        <v>41152</v>
      </c>
      <c r="N1448" t="s">
        <v>36</v>
      </c>
      <c r="O1448" t="s">
        <v>37</v>
      </c>
      <c r="P1448" t="s">
        <v>309</v>
      </c>
      <c r="Q1448" t="s">
        <v>39</v>
      </c>
      <c r="R1448" t="s">
        <v>40</v>
      </c>
      <c r="S1448">
        <v>0</v>
      </c>
      <c r="U1448" t="s">
        <v>41</v>
      </c>
      <c r="V1448" t="s">
        <v>42</v>
      </c>
      <c r="X1448" t="s">
        <v>74</v>
      </c>
      <c r="Y1448" t="b">
        <v>0</v>
      </c>
      <c r="Z1448" t="b">
        <v>0</v>
      </c>
      <c r="AC1448" s="1"/>
      <c r="AF1448">
        <v>0</v>
      </c>
      <c r="AG1448">
        <v>45</v>
      </c>
      <c r="AH1448">
        <v>161</v>
      </c>
      <c r="AI1448" s="2">
        <f>Table__192.168.3.138DYLAgingReport[[#This Row],[NetAmount]]-Table__192.168.3.138DYLAgingReport[[#This Row],[Paid]]</f>
        <v>90736</v>
      </c>
    </row>
    <row r="1449" spans="1:35">
      <c r="A1449" t="s">
        <v>3181</v>
      </c>
      <c r="B1449" s="1">
        <v>41152.386261574073</v>
      </c>
      <c r="C1449" s="1">
        <v>41197.386261574073</v>
      </c>
      <c r="D1449" t="s">
        <v>184</v>
      </c>
      <c r="E1449">
        <v>13540</v>
      </c>
      <c r="F1449">
        <v>2166</v>
      </c>
      <c r="G1449">
        <v>0</v>
      </c>
      <c r="H1449">
        <v>0</v>
      </c>
      <c r="I1449">
        <v>120</v>
      </c>
      <c r="J1449">
        <v>15706</v>
      </c>
      <c r="K1449" t="s">
        <v>1167</v>
      </c>
      <c r="L1449" s="1">
        <v>41148</v>
      </c>
      <c r="M1449" t="s">
        <v>3182</v>
      </c>
      <c r="N1449" t="s">
        <v>36</v>
      </c>
      <c r="O1449" t="s">
        <v>37</v>
      </c>
      <c r="P1449" t="s">
        <v>321</v>
      </c>
      <c r="Q1449" t="s">
        <v>39</v>
      </c>
      <c r="R1449" t="s">
        <v>40</v>
      </c>
      <c r="S1449">
        <v>0</v>
      </c>
      <c r="U1449" t="s">
        <v>41</v>
      </c>
      <c r="V1449" t="s">
        <v>42</v>
      </c>
      <c r="W1449" t="s">
        <v>1013</v>
      </c>
      <c r="X1449" t="s">
        <v>74</v>
      </c>
      <c r="Y1449" t="b">
        <v>0</v>
      </c>
      <c r="Z1449" t="b">
        <v>0</v>
      </c>
      <c r="AA1449" t="b">
        <v>0</v>
      </c>
      <c r="AC1449" s="1"/>
      <c r="AF1449">
        <v>0</v>
      </c>
      <c r="AG1449">
        <v>45</v>
      </c>
      <c r="AH1449">
        <v>165</v>
      </c>
      <c r="AI1449" s="2">
        <f>Table__192.168.3.138DYLAgingReport[[#This Row],[NetAmount]]-Table__192.168.3.138DYLAgingReport[[#This Row],[Paid]]</f>
        <v>15706</v>
      </c>
    </row>
    <row r="1450" spans="1:35">
      <c r="A1450" t="s">
        <v>3183</v>
      </c>
      <c r="B1450" s="1">
        <v>41151</v>
      </c>
      <c r="C1450" s="1">
        <v>41196</v>
      </c>
      <c r="D1450" t="s">
        <v>243</v>
      </c>
      <c r="E1450">
        <v>105888</v>
      </c>
      <c r="F1450">
        <v>0</v>
      </c>
      <c r="G1450">
        <v>0</v>
      </c>
      <c r="H1450">
        <v>0</v>
      </c>
      <c r="I1450">
        <v>117</v>
      </c>
      <c r="J1450">
        <v>105888</v>
      </c>
      <c r="K1450" t="s">
        <v>3184</v>
      </c>
      <c r="L1450" s="1">
        <v>41151</v>
      </c>
      <c r="M1450" t="s">
        <v>3185</v>
      </c>
      <c r="N1450" t="s">
        <v>36</v>
      </c>
      <c r="O1450" t="s">
        <v>37</v>
      </c>
      <c r="P1450" t="s">
        <v>380</v>
      </c>
      <c r="Q1450" t="s">
        <v>39</v>
      </c>
      <c r="R1450" t="s">
        <v>40</v>
      </c>
      <c r="S1450">
        <v>0</v>
      </c>
      <c r="U1450" t="s">
        <v>41</v>
      </c>
      <c r="V1450" t="s">
        <v>42</v>
      </c>
      <c r="W1450" t="s">
        <v>819</v>
      </c>
      <c r="X1450" t="s">
        <v>74</v>
      </c>
      <c r="Y1450" t="b">
        <v>0</v>
      </c>
      <c r="Z1450" t="b">
        <v>0</v>
      </c>
      <c r="AA1450" t="b">
        <v>0</v>
      </c>
      <c r="AC1450" s="1"/>
      <c r="AF1450">
        <v>0</v>
      </c>
      <c r="AG1450">
        <v>45</v>
      </c>
      <c r="AH1450">
        <v>162</v>
      </c>
      <c r="AI1450" s="2">
        <f>Table__192.168.3.138DYLAgingReport[[#This Row],[NetAmount]]-Table__192.168.3.138DYLAgingReport[[#This Row],[Paid]]</f>
        <v>105888</v>
      </c>
    </row>
    <row r="1451" spans="1:35">
      <c r="A1451" t="s">
        <v>3186</v>
      </c>
      <c r="B1451" s="1">
        <v>41152.386261574073</v>
      </c>
      <c r="C1451" s="1">
        <v>41197.386261574073</v>
      </c>
      <c r="D1451" t="s">
        <v>174</v>
      </c>
      <c r="E1451">
        <v>13100</v>
      </c>
      <c r="F1451">
        <v>2096</v>
      </c>
      <c r="G1451">
        <v>0</v>
      </c>
      <c r="H1451">
        <v>0</v>
      </c>
      <c r="I1451">
        <v>129</v>
      </c>
      <c r="J1451">
        <v>15196</v>
      </c>
      <c r="K1451" t="s">
        <v>3187</v>
      </c>
      <c r="L1451" s="1">
        <v>41139</v>
      </c>
      <c r="N1451" t="s">
        <v>36</v>
      </c>
      <c r="O1451" t="s">
        <v>37</v>
      </c>
      <c r="P1451" t="s">
        <v>311</v>
      </c>
      <c r="Q1451" t="s">
        <v>39</v>
      </c>
      <c r="R1451" t="s">
        <v>40</v>
      </c>
      <c r="S1451">
        <v>0</v>
      </c>
      <c r="U1451" t="s">
        <v>41</v>
      </c>
      <c r="V1451" t="s">
        <v>42</v>
      </c>
      <c r="X1451" t="s">
        <v>74</v>
      </c>
      <c r="Y1451" t="b">
        <v>0</v>
      </c>
      <c r="Z1451" t="b">
        <v>0</v>
      </c>
      <c r="AC1451" s="1"/>
      <c r="AF1451">
        <v>0</v>
      </c>
      <c r="AG1451">
        <v>45</v>
      </c>
      <c r="AH1451">
        <v>174</v>
      </c>
      <c r="AI1451" s="2">
        <f>Table__192.168.3.138DYLAgingReport[[#This Row],[NetAmount]]-Table__192.168.3.138DYLAgingReport[[#This Row],[Paid]]</f>
        <v>15196</v>
      </c>
    </row>
    <row r="1452" spans="1:35">
      <c r="A1452" t="s">
        <v>3188</v>
      </c>
      <c r="B1452" s="1">
        <v>41134</v>
      </c>
      <c r="C1452" s="1">
        <v>41179</v>
      </c>
      <c r="D1452" t="s">
        <v>201</v>
      </c>
      <c r="E1452">
        <v>50508</v>
      </c>
      <c r="F1452">
        <v>8081</v>
      </c>
      <c r="G1452">
        <v>0</v>
      </c>
      <c r="H1452">
        <v>0</v>
      </c>
      <c r="I1452">
        <v>134</v>
      </c>
      <c r="J1452">
        <v>58589</v>
      </c>
      <c r="K1452" t="s">
        <v>1177</v>
      </c>
      <c r="L1452" s="1">
        <v>41134</v>
      </c>
      <c r="N1452" t="s">
        <v>36</v>
      </c>
      <c r="O1452" t="s">
        <v>37</v>
      </c>
      <c r="P1452" t="s">
        <v>338</v>
      </c>
      <c r="Q1452" t="s">
        <v>39</v>
      </c>
      <c r="R1452" t="s">
        <v>40</v>
      </c>
      <c r="S1452">
        <v>0</v>
      </c>
      <c r="U1452" t="s">
        <v>41</v>
      </c>
      <c r="V1452" t="s">
        <v>42</v>
      </c>
      <c r="X1452" t="s">
        <v>74</v>
      </c>
      <c r="Y1452" t="b">
        <v>0</v>
      </c>
      <c r="Z1452" t="b">
        <v>0</v>
      </c>
      <c r="AB1452" t="s">
        <v>485</v>
      </c>
      <c r="AC1452" s="1">
        <v>41236</v>
      </c>
      <c r="AF1452">
        <v>0</v>
      </c>
      <c r="AG1452">
        <v>45</v>
      </c>
      <c r="AH1452">
        <v>179</v>
      </c>
      <c r="AI1452" s="2">
        <f>Table__192.168.3.138DYLAgingReport[[#This Row],[NetAmount]]-Table__192.168.3.138DYLAgingReport[[#This Row],[Paid]]</f>
        <v>58589</v>
      </c>
    </row>
    <row r="1453" spans="1:35">
      <c r="A1453" t="s">
        <v>3189</v>
      </c>
      <c r="B1453" s="1">
        <v>41148</v>
      </c>
      <c r="C1453" s="1">
        <v>41193</v>
      </c>
      <c r="D1453" t="s">
        <v>270</v>
      </c>
      <c r="E1453">
        <v>55000</v>
      </c>
      <c r="F1453">
        <v>8800</v>
      </c>
      <c r="G1453">
        <v>0</v>
      </c>
      <c r="H1453">
        <v>0</v>
      </c>
      <c r="I1453">
        <v>135</v>
      </c>
      <c r="J1453">
        <v>63800</v>
      </c>
      <c r="K1453" t="s">
        <v>3190</v>
      </c>
      <c r="L1453" s="1">
        <v>41148</v>
      </c>
      <c r="N1453" t="s">
        <v>36</v>
      </c>
      <c r="O1453" t="s">
        <v>37</v>
      </c>
      <c r="P1453" t="s">
        <v>407</v>
      </c>
      <c r="Q1453" t="s">
        <v>39</v>
      </c>
      <c r="R1453" t="s">
        <v>40</v>
      </c>
      <c r="S1453">
        <v>0</v>
      </c>
      <c r="U1453" t="s">
        <v>41</v>
      </c>
      <c r="V1453" t="s">
        <v>42</v>
      </c>
      <c r="X1453" t="s">
        <v>74</v>
      </c>
      <c r="Y1453" t="b">
        <v>0</v>
      </c>
      <c r="Z1453" t="b">
        <v>0</v>
      </c>
      <c r="AC1453" s="1"/>
      <c r="AF1453">
        <v>0</v>
      </c>
      <c r="AG1453">
        <v>30</v>
      </c>
      <c r="AH1453">
        <v>165</v>
      </c>
      <c r="AI1453" s="2">
        <f>Table__192.168.3.138DYLAgingReport[[#This Row],[NetAmount]]-Table__192.168.3.138DYLAgingReport[[#This Row],[Paid]]</f>
        <v>63800</v>
      </c>
    </row>
    <row r="1454" spans="1:35">
      <c r="A1454" t="s">
        <v>3191</v>
      </c>
      <c r="B1454" s="1">
        <v>41150</v>
      </c>
      <c r="C1454" s="1">
        <v>41195</v>
      </c>
      <c r="D1454" t="s">
        <v>270</v>
      </c>
      <c r="E1454">
        <v>55000</v>
      </c>
      <c r="F1454">
        <v>8800</v>
      </c>
      <c r="G1454">
        <v>0</v>
      </c>
      <c r="H1454">
        <v>0</v>
      </c>
      <c r="I1454">
        <v>133</v>
      </c>
      <c r="J1454">
        <v>63800</v>
      </c>
      <c r="K1454" t="s">
        <v>69</v>
      </c>
      <c r="L1454" s="1">
        <v>41150</v>
      </c>
      <c r="N1454" t="s">
        <v>36</v>
      </c>
      <c r="O1454" t="s">
        <v>37</v>
      </c>
      <c r="P1454" t="s">
        <v>407</v>
      </c>
      <c r="Q1454" t="s">
        <v>39</v>
      </c>
      <c r="R1454" t="s">
        <v>40</v>
      </c>
      <c r="S1454">
        <v>0</v>
      </c>
      <c r="U1454" t="s">
        <v>41</v>
      </c>
      <c r="V1454" t="s">
        <v>42</v>
      </c>
      <c r="X1454" t="s">
        <v>74</v>
      </c>
      <c r="Y1454" t="b">
        <v>0</v>
      </c>
      <c r="Z1454" t="b">
        <v>0</v>
      </c>
      <c r="AC1454" s="1"/>
      <c r="AF1454">
        <v>0</v>
      </c>
      <c r="AG1454">
        <v>30</v>
      </c>
      <c r="AH1454">
        <v>163</v>
      </c>
      <c r="AI1454" s="2">
        <f>Table__192.168.3.138DYLAgingReport[[#This Row],[NetAmount]]-Table__192.168.3.138DYLAgingReport[[#This Row],[Paid]]</f>
        <v>63800</v>
      </c>
    </row>
    <row r="1455" spans="1:35">
      <c r="A1455" t="s">
        <v>3192</v>
      </c>
      <c r="B1455" s="1">
        <v>41152.580023148148</v>
      </c>
      <c r="C1455" s="1">
        <v>41197.580023148148</v>
      </c>
      <c r="D1455" t="s">
        <v>270</v>
      </c>
      <c r="E1455">
        <v>55000</v>
      </c>
      <c r="F1455">
        <v>8800</v>
      </c>
      <c r="G1455">
        <v>0</v>
      </c>
      <c r="H1455">
        <v>0</v>
      </c>
      <c r="I1455">
        <v>131</v>
      </c>
      <c r="J1455">
        <v>63800</v>
      </c>
      <c r="K1455" t="s">
        <v>114</v>
      </c>
      <c r="L1455" s="1">
        <v>41152</v>
      </c>
      <c r="N1455" t="s">
        <v>36</v>
      </c>
      <c r="O1455" t="s">
        <v>37</v>
      </c>
      <c r="P1455" t="s">
        <v>407</v>
      </c>
      <c r="Q1455" t="s">
        <v>39</v>
      </c>
      <c r="R1455" t="s">
        <v>40</v>
      </c>
      <c r="S1455">
        <v>0</v>
      </c>
      <c r="U1455" t="s">
        <v>41</v>
      </c>
      <c r="V1455" t="s">
        <v>42</v>
      </c>
      <c r="X1455" t="s">
        <v>74</v>
      </c>
      <c r="Y1455" t="b">
        <v>0</v>
      </c>
      <c r="Z1455" t="b">
        <v>0</v>
      </c>
      <c r="AC1455" s="1"/>
      <c r="AF1455">
        <v>0</v>
      </c>
      <c r="AG1455">
        <v>30</v>
      </c>
      <c r="AH1455">
        <v>161</v>
      </c>
      <c r="AI1455" s="2">
        <f>Table__192.168.3.138DYLAgingReport[[#This Row],[NetAmount]]-Table__192.168.3.138DYLAgingReport[[#This Row],[Paid]]</f>
        <v>63800</v>
      </c>
    </row>
    <row r="1456" spans="1:35">
      <c r="A1456" t="s">
        <v>3193</v>
      </c>
      <c r="B1456" s="1">
        <v>41138</v>
      </c>
      <c r="C1456" s="1">
        <v>41183</v>
      </c>
      <c r="D1456" t="s">
        <v>282</v>
      </c>
      <c r="E1456">
        <v>64500</v>
      </c>
      <c r="F1456">
        <v>10320</v>
      </c>
      <c r="G1456">
        <v>0</v>
      </c>
      <c r="H1456">
        <v>0</v>
      </c>
      <c r="I1456">
        <v>130</v>
      </c>
      <c r="J1456">
        <v>74820</v>
      </c>
      <c r="K1456" t="s">
        <v>3194</v>
      </c>
      <c r="L1456" s="1">
        <v>41138</v>
      </c>
      <c r="N1456" t="s">
        <v>36</v>
      </c>
      <c r="O1456" t="s">
        <v>37</v>
      </c>
      <c r="P1456" t="s">
        <v>419</v>
      </c>
      <c r="Q1456" t="s">
        <v>39</v>
      </c>
      <c r="R1456" t="s">
        <v>40</v>
      </c>
      <c r="S1456">
        <v>0</v>
      </c>
      <c r="U1456" t="s">
        <v>41</v>
      </c>
      <c r="V1456" t="s">
        <v>42</v>
      </c>
      <c r="X1456" t="s">
        <v>74</v>
      </c>
      <c r="Y1456" t="b">
        <v>0</v>
      </c>
      <c r="Z1456" t="b">
        <v>0</v>
      </c>
      <c r="AB1456" t="s">
        <v>936</v>
      </c>
      <c r="AC1456" s="1">
        <v>41297</v>
      </c>
      <c r="AF1456">
        <v>0</v>
      </c>
      <c r="AG1456">
        <v>45</v>
      </c>
      <c r="AH1456">
        <v>175</v>
      </c>
      <c r="AI1456" s="2">
        <f>Table__192.168.3.138DYLAgingReport[[#This Row],[NetAmount]]-Table__192.168.3.138DYLAgingReport[[#This Row],[Paid]]</f>
        <v>74820</v>
      </c>
    </row>
    <row r="1457" spans="1:35">
      <c r="A1457" t="s">
        <v>3195</v>
      </c>
      <c r="B1457" s="1">
        <v>41151</v>
      </c>
      <c r="C1457" s="1">
        <v>41196</v>
      </c>
      <c r="D1457" t="s">
        <v>227</v>
      </c>
      <c r="E1457">
        <v>337000</v>
      </c>
      <c r="F1457">
        <v>53920</v>
      </c>
      <c r="G1457">
        <v>0</v>
      </c>
      <c r="H1457">
        <v>0</v>
      </c>
      <c r="I1457">
        <v>117</v>
      </c>
      <c r="J1457">
        <v>390920</v>
      </c>
      <c r="K1457" t="s">
        <v>3196</v>
      </c>
      <c r="L1457" s="1">
        <v>41151</v>
      </c>
      <c r="N1457" t="s">
        <v>36</v>
      </c>
      <c r="O1457" t="s">
        <v>37</v>
      </c>
      <c r="P1457" t="s">
        <v>364</v>
      </c>
      <c r="Q1457" t="s">
        <v>39</v>
      </c>
      <c r="R1457" t="s">
        <v>40</v>
      </c>
      <c r="S1457">
        <v>0</v>
      </c>
      <c r="U1457" t="s">
        <v>41</v>
      </c>
      <c r="V1457" t="s">
        <v>42</v>
      </c>
      <c r="X1457" t="s">
        <v>74</v>
      </c>
      <c r="Y1457" t="b">
        <v>0</v>
      </c>
      <c r="Z1457" t="b">
        <v>0</v>
      </c>
      <c r="AC1457" s="1"/>
      <c r="AF1457">
        <v>0</v>
      </c>
      <c r="AG1457">
        <v>45</v>
      </c>
      <c r="AH1457">
        <v>162</v>
      </c>
      <c r="AI1457" s="2">
        <f>Table__192.168.3.138DYLAgingReport[[#This Row],[NetAmount]]-Table__192.168.3.138DYLAgingReport[[#This Row],[Paid]]</f>
        <v>390920</v>
      </c>
    </row>
    <row r="1458" spans="1:35">
      <c r="A1458" t="s">
        <v>3197</v>
      </c>
      <c r="B1458" s="1">
        <v>41152.580023148148</v>
      </c>
      <c r="C1458" s="1">
        <v>41197.580023148148</v>
      </c>
      <c r="D1458" t="s">
        <v>227</v>
      </c>
      <c r="E1458">
        <v>379400</v>
      </c>
      <c r="F1458">
        <v>60704</v>
      </c>
      <c r="G1458">
        <v>0</v>
      </c>
      <c r="H1458">
        <v>0</v>
      </c>
      <c r="I1458">
        <v>116</v>
      </c>
      <c r="J1458">
        <v>440104</v>
      </c>
      <c r="K1458" t="s">
        <v>3198</v>
      </c>
      <c r="L1458" s="1">
        <v>41152</v>
      </c>
      <c r="N1458" t="s">
        <v>36</v>
      </c>
      <c r="O1458" t="s">
        <v>37</v>
      </c>
      <c r="P1458" t="s">
        <v>364</v>
      </c>
      <c r="Q1458" t="s">
        <v>39</v>
      </c>
      <c r="R1458" t="s">
        <v>40</v>
      </c>
      <c r="S1458">
        <v>0</v>
      </c>
      <c r="U1458" t="s">
        <v>41</v>
      </c>
      <c r="V1458" t="s">
        <v>42</v>
      </c>
      <c r="X1458" t="s">
        <v>74</v>
      </c>
      <c r="Y1458" t="b">
        <v>0</v>
      </c>
      <c r="Z1458" t="b">
        <v>0</v>
      </c>
      <c r="AC1458" s="1"/>
      <c r="AF1458">
        <v>0</v>
      </c>
      <c r="AG1458">
        <v>45</v>
      </c>
      <c r="AH1458">
        <v>161</v>
      </c>
      <c r="AI1458" s="2">
        <f>Table__192.168.3.138DYLAgingReport[[#This Row],[NetAmount]]-Table__192.168.3.138DYLAgingReport[[#This Row],[Paid]]</f>
        <v>440104</v>
      </c>
    </row>
    <row r="1459" spans="1:35">
      <c r="A1459" t="s">
        <v>3199</v>
      </c>
      <c r="B1459" s="1">
        <v>41152.580023148148</v>
      </c>
      <c r="C1459" s="1">
        <v>41197.580023148148</v>
      </c>
      <c r="D1459" t="s">
        <v>227</v>
      </c>
      <c r="E1459">
        <v>144750</v>
      </c>
      <c r="F1459">
        <v>23160</v>
      </c>
      <c r="G1459">
        <v>0</v>
      </c>
      <c r="H1459">
        <v>0</v>
      </c>
      <c r="I1459">
        <v>116</v>
      </c>
      <c r="J1459">
        <v>167910</v>
      </c>
      <c r="K1459" t="s">
        <v>3200</v>
      </c>
      <c r="L1459" s="1">
        <v>41152</v>
      </c>
      <c r="N1459" t="s">
        <v>36</v>
      </c>
      <c r="O1459" t="s">
        <v>37</v>
      </c>
      <c r="P1459" t="s">
        <v>364</v>
      </c>
      <c r="Q1459" t="s">
        <v>39</v>
      </c>
      <c r="R1459" t="s">
        <v>40</v>
      </c>
      <c r="S1459">
        <v>0</v>
      </c>
      <c r="U1459" t="s">
        <v>41</v>
      </c>
      <c r="V1459" t="s">
        <v>42</v>
      </c>
      <c r="X1459" t="s">
        <v>74</v>
      </c>
      <c r="Y1459" t="b">
        <v>0</v>
      </c>
      <c r="Z1459" t="b">
        <v>0</v>
      </c>
      <c r="AC1459" s="1"/>
      <c r="AF1459">
        <v>0</v>
      </c>
      <c r="AG1459">
        <v>45</v>
      </c>
      <c r="AH1459">
        <v>161</v>
      </c>
      <c r="AI1459" s="2">
        <f>Table__192.168.3.138DYLAgingReport[[#This Row],[NetAmount]]-Table__192.168.3.138DYLAgingReport[[#This Row],[Paid]]</f>
        <v>167910</v>
      </c>
    </row>
    <row r="1460" spans="1:35">
      <c r="A1460" t="s">
        <v>3201</v>
      </c>
      <c r="B1460" s="1">
        <v>41152.580023148148</v>
      </c>
      <c r="C1460" s="1">
        <v>41197.580023148148</v>
      </c>
      <c r="D1460" t="s">
        <v>177</v>
      </c>
      <c r="E1460">
        <v>116000</v>
      </c>
      <c r="F1460">
        <v>18560</v>
      </c>
      <c r="G1460">
        <v>0</v>
      </c>
      <c r="H1460">
        <v>0</v>
      </c>
      <c r="I1460">
        <v>117</v>
      </c>
      <c r="J1460">
        <v>134560</v>
      </c>
      <c r="K1460" t="s">
        <v>3202</v>
      </c>
      <c r="L1460" s="1">
        <v>41151</v>
      </c>
      <c r="N1460" t="s">
        <v>36</v>
      </c>
      <c r="O1460" t="s">
        <v>37</v>
      </c>
      <c r="P1460" t="s">
        <v>314</v>
      </c>
      <c r="Q1460" t="s">
        <v>39</v>
      </c>
      <c r="R1460" t="s">
        <v>40</v>
      </c>
      <c r="S1460">
        <v>0</v>
      </c>
      <c r="U1460" t="s">
        <v>41</v>
      </c>
      <c r="V1460" t="s">
        <v>42</v>
      </c>
      <c r="X1460" t="s">
        <v>74</v>
      </c>
      <c r="Y1460" t="b">
        <v>0</v>
      </c>
      <c r="Z1460" t="b">
        <v>0</v>
      </c>
      <c r="AC1460" s="1"/>
      <c r="AF1460">
        <v>0</v>
      </c>
      <c r="AG1460">
        <v>45</v>
      </c>
      <c r="AH1460">
        <v>162</v>
      </c>
      <c r="AI1460" s="2">
        <f>Table__192.168.3.138DYLAgingReport[[#This Row],[NetAmount]]-Table__192.168.3.138DYLAgingReport[[#This Row],[Paid]]</f>
        <v>134560</v>
      </c>
    </row>
    <row r="1461" spans="1:35">
      <c r="A1461" t="s">
        <v>3203</v>
      </c>
      <c r="B1461" s="1">
        <v>41134</v>
      </c>
      <c r="C1461" s="1">
        <v>41179</v>
      </c>
      <c r="D1461" t="s">
        <v>177</v>
      </c>
      <c r="E1461">
        <v>34800</v>
      </c>
      <c r="F1461">
        <v>5568</v>
      </c>
      <c r="G1461">
        <v>0</v>
      </c>
      <c r="H1461">
        <v>0</v>
      </c>
      <c r="I1461">
        <v>134</v>
      </c>
      <c r="J1461">
        <v>40368</v>
      </c>
      <c r="K1461" t="s">
        <v>3204</v>
      </c>
      <c r="L1461" s="1">
        <v>41134</v>
      </c>
      <c r="N1461" t="s">
        <v>36</v>
      </c>
      <c r="O1461" t="s">
        <v>37</v>
      </c>
      <c r="P1461" t="s">
        <v>314</v>
      </c>
      <c r="Q1461" t="s">
        <v>39</v>
      </c>
      <c r="R1461" t="s">
        <v>40</v>
      </c>
      <c r="S1461">
        <v>0</v>
      </c>
      <c r="U1461" t="s">
        <v>41</v>
      </c>
      <c r="V1461" t="s">
        <v>42</v>
      </c>
      <c r="X1461" t="s">
        <v>74</v>
      </c>
      <c r="Y1461" t="b">
        <v>0</v>
      </c>
      <c r="Z1461" t="b">
        <v>0</v>
      </c>
      <c r="AC1461" s="1"/>
      <c r="AF1461">
        <v>0</v>
      </c>
      <c r="AG1461">
        <v>45</v>
      </c>
      <c r="AH1461">
        <v>179</v>
      </c>
      <c r="AI1461" s="2">
        <f>Table__192.168.3.138DYLAgingReport[[#This Row],[NetAmount]]-Table__192.168.3.138DYLAgingReport[[#This Row],[Paid]]</f>
        <v>40368</v>
      </c>
    </row>
    <row r="1462" spans="1:35">
      <c r="A1462" t="s">
        <v>3205</v>
      </c>
      <c r="B1462" s="1">
        <v>41134</v>
      </c>
      <c r="C1462" s="1">
        <v>41179</v>
      </c>
      <c r="D1462" t="s">
        <v>177</v>
      </c>
      <c r="E1462">
        <v>58000</v>
      </c>
      <c r="F1462">
        <v>9280</v>
      </c>
      <c r="G1462">
        <v>0</v>
      </c>
      <c r="H1462">
        <v>0</v>
      </c>
      <c r="I1462">
        <v>134</v>
      </c>
      <c r="J1462">
        <v>67280</v>
      </c>
      <c r="K1462" t="s">
        <v>3206</v>
      </c>
      <c r="L1462" s="1">
        <v>41134</v>
      </c>
      <c r="N1462" t="s">
        <v>36</v>
      </c>
      <c r="O1462" t="s">
        <v>37</v>
      </c>
      <c r="P1462" t="s">
        <v>314</v>
      </c>
      <c r="Q1462" t="s">
        <v>39</v>
      </c>
      <c r="R1462" t="s">
        <v>40</v>
      </c>
      <c r="S1462">
        <v>0</v>
      </c>
      <c r="U1462" t="s">
        <v>41</v>
      </c>
      <c r="V1462" t="s">
        <v>42</v>
      </c>
      <c r="X1462" t="s">
        <v>74</v>
      </c>
      <c r="Y1462" t="b">
        <v>0</v>
      </c>
      <c r="Z1462" t="b">
        <v>0</v>
      </c>
      <c r="AC1462" s="1"/>
      <c r="AF1462">
        <v>0</v>
      </c>
      <c r="AG1462">
        <v>45</v>
      </c>
      <c r="AH1462">
        <v>179</v>
      </c>
      <c r="AI1462" s="2">
        <f>Table__192.168.3.138DYLAgingReport[[#This Row],[NetAmount]]-Table__192.168.3.138DYLAgingReport[[#This Row],[Paid]]</f>
        <v>67280</v>
      </c>
    </row>
    <row r="1463" spans="1:35">
      <c r="A1463" t="s">
        <v>3207</v>
      </c>
      <c r="B1463" s="1">
        <v>41138</v>
      </c>
      <c r="C1463" s="1">
        <v>41183</v>
      </c>
      <c r="D1463" t="s">
        <v>175</v>
      </c>
      <c r="E1463">
        <v>1000</v>
      </c>
      <c r="F1463">
        <v>160</v>
      </c>
      <c r="G1463">
        <v>0</v>
      </c>
      <c r="H1463">
        <v>0</v>
      </c>
      <c r="I1463">
        <v>141</v>
      </c>
      <c r="J1463">
        <v>1160</v>
      </c>
      <c r="K1463" t="s">
        <v>62</v>
      </c>
      <c r="L1463" s="1">
        <v>41127</v>
      </c>
      <c r="N1463" t="s">
        <v>36</v>
      </c>
      <c r="O1463" t="s">
        <v>37</v>
      </c>
      <c r="P1463" t="s">
        <v>312</v>
      </c>
      <c r="Q1463" t="s">
        <v>39</v>
      </c>
      <c r="R1463" t="s">
        <v>40</v>
      </c>
      <c r="S1463">
        <v>0</v>
      </c>
      <c r="U1463" t="s">
        <v>41</v>
      </c>
      <c r="V1463" t="s">
        <v>42</v>
      </c>
      <c r="X1463" t="s">
        <v>74</v>
      </c>
      <c r="Y1463" t="b">
        <v>0</v>
      </c>
      <c r="Z1463" t="b">
        <v>0</v>
      </c>
      <c r="AC1463" s="1"/>
      <c r="AF1463">
        <v>0</v>
      </c>
      <c r="AG1463">
        <v>45</v>
      </c>
      <c r="AH1463">
        <v>186</v>
      </c>
      <c r="AI1463" s="2">
        <f>Table__192.168.3.138DYLAgingReport[[#This Row],[NetAmount]]-Table__192.168.3.138DYLAgingReport[[#This Row],[Paid]]</f>
        <v>1160</v>
      </c>
    </row>
    <row r="1464" spans="1:35">
      <c r="A1464" t="s">
        <v>3208</v>
      </c>
      <c r="B1464" s="1">
        <v>41152.580023148148</v>
      </c>
      <c r="C1464" s="1">
        <v>41197.580023148148</v>
      </c>
      <c r="D1464" t="s">
        <v>175</v>
      </c>
      <c r="E1464">
        <v>135500</v>
      </c>
      <c r="F1464">
        <v>21680</v>
      </c>
      <c r="G1464">
        <v>0</v>
      </c>
      <c r="H1464">
        <v>0</v>
      </c>
      <c r="I1464">
        <v>117</v>
      </c>
      <c r="J1464">
        <v>157180</v>
      </c>
      <c r="K1464" t="s">
        <v>3209</v>
      </c>
      <c r="L1464" s="1">
        <v>41151</v>
      </c>
      <c r="N1464" t="s">
        <v>36</v>
      </c>
      <c r="O1464" t="s">
        <v>37</v>
      </c>
      <c r="P1464" t="s">
        <v>312</v>
      </c>
      <c r="Q1464" t="s">
        <v>39</v>
      </c>
      <c r="R1464" t="s">
        <v>40</v>
      </c>
      <c r="S1464">
        <v>0</v>
      </c>
      <c r="U1464" t="s">
        <v>41</v>
      </c>
      <c r="V1464" t="s">
        <v>42</v>
      </c>
      <c r="X1464" t="s">
        <v>74</v>
      </c>
      <c r="Y1464" t="b">
        <v>0</v>
      </c>
      <c r="Z1464" t="b">
        <v>0</v>
      </c>
      <c r="AC1464" s="1"/>
      <c r="AF1464">
        <v>0</v>
      </c>
      <c r="AG1464">
        <v>45</v>
      </c>
      <c r="AH1464">
        <v>162</v>
      </c>
      <c r="AI1464" s="2">
        <f>Table__192.168.3.138DYLAgingReport[[#This Row],[NetAmount]]-Table__192.168.3.138DYLAgingReport[[#This Row],[Paid]]</f>
        <v>157180</v>
      </c>
    </row>
    <row r="1465" spans="1:35">
      <c r="A1465" t="s">
        <v>3210</v>
      </c>
      <c r="B1465" s="1">
        <v>41152.386261574073</v>
      </c>
      <c r="C1465" s="1">
        <v>41197.386261574073</v>
      </c>
      <c r="D1465" t="s">
        <v>175</v>
      </c>
      <c r="E1465">
        <v>113750</v>
      </c>
      <c r="F1465">
        <v>18200</v>
      </c>
      <c r="G1465">
        <v>0</v>
      </c>
      <c r="H1465">
        <v>0</v>
      </c>
      <c r="I1465">
        <v>124</v>
      </c>
      <c r="J1465">
        <v>131950</v>
      </c>
      <c r="K1465" t="s">
        <v>160</v>
      </c>
      <c r="L1465" s="1">
        <v>41144</v>
      </c>
      <c r="N1465" t="s">
        <v>36</v>
      </c>
      <c r="O1465" t="s">
        <v>37</v>
      </c>
      <c r="P1465" t="s">
        <v>312</v>
      </c>
      <c r="Q1465" t="s">
        <v>39</v>
      </c>
      <c r="R1465" t="s">
        <v>40</v>
      </c>
      <c r="S1465">
        <v>0</v>
      </c>
      <c r="U1465" t="s">
        <v>41</v>
      </c>
      <c r="V1465" t="s">
        <v>42</v>
      </c>
      <c r="X1465" t="s">
        <v>74</v>
      </c>
      <c r="Y1465" t="b">
        <v>0</v>
      </c>
      <c r="Z1465" t="b">
        <v>0</v>
      </c>
      <c r="AC1465" s="1"/>
      <c r="AF1465">
        <v>0</v>
      </c>
      <c r="AG1465">
        <v>45</v>
      </c>
      <c r="AH1465">
        <v>169</v>
      </c>
      <c r="AI1465" s="2">
        <f>Table__192.168.3.138DYLAgingReport[[#This Row],[NetAmount]]-Table__192.168.3.138DYLAgingReport[[#This Row],[Paid]]</f>
        <v>131950</v>
      </c>
    </row>
    <row r="1466" spans="1:35">
      <c r="A1466" t="s">
        <v>3211</v>
      </c>
      <c r="B1466" s="1">
        <v>41150</v>
      </c>
      <c r="C1466" s="1">
        <v>41195</v>
      </c>
      <c r="D1466" t="s">
        <v>175</v>
      </c>
      <c r="E1466">
        <v>117640</v>
      </c>
      <c r="F1466">
        <v>18822</v>
      </c>
      <c r="G1466">
        <v>0</v>
      </c>
      <c r="H1466">
        <v>0</v>
      </c>
      <c r="I1466">
        <v>134</v>
      </c>
      <c r="J1466">
        <v>136462</v>
      </c>
      <c r="K1466" t="s">
        <v>143</v>
      </c>
      <c r="L1466" s="1">
        <v>41134</v>
      </c>
      <c r="N1466" t="s">
        <v>36</v>
      </c>
      <c r="O1466" t="s">
        <v>37</v>
      </c>
      <c r="P1466" t="s">
        <v>312</v>
      </c>
      <c r="Q1466" t="s">
        <v>39</v>
      </c>
      <c r="R1466" t="s">
        <v>40</v>
      </c>
      <c r="S1466">
        <v>0</v>
      </c>
      <c r="U1466" t="s">
        <v>41</v>
      </c>
      <c r="V1466" t="s">
        <v>42</v>
      </c>
      <c r="X1466" t="s">
        <v>74</v>
      </c>
      <c r="Y1466" t="b">
        <v>0</v>
      </c>
      <c r="Z1466" t="b">
        <v>0</v>
      </c>
      <c r="AC1466" s="1"/>
      <c r="AF1466">
        <v>0</v>
      </c>
      <c r="AG1466">
        <v>45</v>
      </c>
      <c r="AH1466">
        <v>179</v>
      </c>
      <c r="AI1466" s="2">
        <f>Table__192.168.3.138DYLAgingReport[[#This Row],[NetAmount]]-Table__192.168.3.138DYLAgingReport[[#This Row],[Paid]]</f>
        <v>136462</v>
      </c>
    </row>
    <row r="1467" spans="1:35">
      <c r="A1467" t="s">
        <v>3212</v>
      </c>
      <c r="B1467" s="1">
        <v>41148</v>
      </c>
      <c r="C1467" s="1">
        <v>41193</v>
      </c>
      <c r="D1467" t="s">
        <v>175</v>
      </c>
      <c r="E1467">
        <v>89750</v>
      </c>
      <c r="F1467">
        <v>14360</v>
      </c>
      <c r="G1467">
        <v>0</v>
      </c>
      <c r="H1467">
        <v>0</v>
      </c>
      <c r="I1467">
        <v>120</v>
      </c>
      <c r="J1467">
        <v>104110</v>
      </c>
      <c r="K1467" t="s">
        <v>3213</v>
      </c>
      <c r="L1467" s="1">
        <v>41148</v>
      </c>
      <c r="N1467" t="s">
        <v>36</v>
      </c>
      <c r="O1467" t="s">
        <v>37</v>
      </c>
      <c r="P1467" t="s">
        <v>312</v>
      </c>
      <c r="Q1467" t="s">
        <v>39</v>
      </c>
      <c r="R1467" t="s">
        <v>40</v>
      </c>
      <c r="S1467">
        <v>0</v>
      </c>
      <c r="U1467" t="s">
        <v>41</v>
      </c>
      <c r="V1467" t="s">
        <v>42</v>
      </c>
      <c r="X1467" t="s">
        <v>74</v>
      </c>
      <c r="Y1467" t="b">
        <v>0</v>
      </c>
      <c r="Z1467" t="b">
        <v>0</v>
      </c>
      <c r="AC1467" s="1"/>
      <c r="AF1467">
        <v>0</v>
      </c>
      <c r="AG1467">
        <v>45</v>
      </c>
      <c r="AH1467">
        <v>165</v>
      </c>
      <c r="AI1467" s="2">
        <f>Table__192.168.3.138DYLAgingReport[[#This Row],[NetAmount]]-Table__192.168.3.138DYLAgingReport[[#This Row],[Paid]]</f>
        <v>104110</v>
      </c>
    </row>
    <row r="1468" spans="1:35">
      <c r="A1468" t="s">
        <v>3214</v>
      </c>
      <c r="B1468" s="1">
        <v>41149</v>
      </c>
      <c r="C1468" s="1">
        <v>41194</v>
      </c>
      <c r="D1468" t="s">
        <v>175</v>
      </c>
      <c r="E1468">
        <v>204080</v>
      </c>
      <c r="F1468">
        <v>32653</v>
      </c>
      <c r="G1468">
        <v>0</v>
      </c>
      <c r="H1468">
        <v>0</v>
      </c>
      <c r="I1468">
        <v>130</v>
      </c>
      <c r="J1468">
        <v>236733</v>
      </c>
      <c r="K1468" t="s">
        <v>3215</v>
      </c>
      <c r="L1468" s="1">
        <v>41138</v>
      </c>
      <c r="N1468" t="s">
        <v>36</v>
      </c>
      <c r="O1468" t="s">
        <v>37</v>
      </c>
      <c r="P1468" t="s">
        <v>312</v>
      </c>
      <c r="Q1468" t="s">
        <v>39</v>
      </c>
      <c r="R1468" t="s">
        <v>40</v>
      </c>
      <c r="S1468">
        <v>0</v>
      </c>
      <c r="U1468" t="s">
        <v>41</v>
      </c>
      <c r="V1468" t="s">
        <v>42</v>
      </c>
      <c r="X1468" t="s">
        <v>74</v>
      </c>
      <c r="Y1468" t="b">
        <v>0</v>
      </c>
      <c r="Z1468" t="b">
        <v>0</v>
      </c>
      <c r="AC1468" s="1"/>
      <c r="AF1468">
        <v>0</v>
      </c>
      <c r="AG1468">
        <v>45</v>
      </c>
      <c r="AH1468">
        <v>175</v>
      </c>
      <c r="AI1468" s="2">
        <f>Table__192.168.3.138DYLAgingReport[[#This Row],[NetAmount]]-Table__192.168.3.138DYLAgingReport[[#This Row],[Paid]]</f>
        <v>236733</v>
      </c>
    </row>
    <row r="1469" spans="1:35">
      <c r="A1469" t="s">
        <v>3216</v>
      </c>
      <c r="B1469" s="1">
        <v>41130</v>
      </c>
      <c r="C1469" s="1">
        <v>41175</v>
      </c>
      <c r="D1469" t="s">
        <v>175</v>
      </c>
      <c r="E1469">
        <v>71550</v>
      </c>
      <c r="F1469">
        <v>11448</v>
      </c>
      <c r="G1469">
        <v>0</v>
      </c>
      <c r="H1469">
        <v>0</v>
      </c>
      <c r="I1469">
        <v>139</v>
      </c>
      <c r="J1469">
        <v>82998</v>
      </c>
      <c r="K1469" t="s">
        <v>67</v>
      </c>
      <c r="L1469" s="1">
        <v>41129</v>
      </c>
      <c r="N1469" t="s">
        <v>36</v>
      </c>
      <c r="O1469" t="s">
        <v>37</v>
      </c>
      <c r="P1469" t="s">
        <v>312</v>
      </c>
      <c r="Q1469" t="s">
        <v>39</v>
      </c>
      <c r="R1469" t="s">
        <v>40</v>
      </c>
      <c r="S1469">
        <v>0</v>
      </c>
      <c r="U1469" t="s">
        <v>41</v>
      </c>
      <c r="V1469" t="s">
        <v>42</v>
      </c>
      <c r="X1469" t="s">
        <v>74</v>
      </c>
      <c r="Y1469" t="b">
        <v>0</v>
      </c>
      <c r="Z1469" t="b">
        <v>0</v>
      </c>
      <c r="AB1469" t="s">
        <v>2993</v>
      </c>
      <c r="AC1469" s="1">
        <v>41302</v>
      </c>
      <c r="AF1469">
        <v>0</v>
      </c>
      <c r="AG1469">
        <v>45</v>
      </c>
      <c r="AH1469">
        <v>184</v>
      </c>
      <c r="AI1469" s="2">
        <f>Table__192.168.3.138DYLAgingReport[[#This Row],[NetAmount]]-Table__192.168.3.138DYLAgingReport[[#This Row],[Paid]]</f>
        <v>82998</v>
      </c>
    </row>
    <row r="1470" spans="1:35">
      <c r="A1470" t="s">
        <v>3217</v>
      </c>
      <c r="B1470" s="1">
        <v>41134</v>
      </c>
      <c r="C1470" s="1">
        <v>41179</v>
      </c>
      <c r="D1470" t="s">
        <v>175</v>
      </c>
      <c r="E1470">
        <v>156215</v>
      </c>
      <c r="F1470">
        <v>24994</v>
      </c>
      <c r="G1470">
        <v>0</v>
      </c>
      <c r="H1470">
        <v>0</v>
      </c>
      <c r="I1470">
        <v>136</v>
      </c>
      <c r="J1470">
        <v>181209</v>
      </c>
      <c r="K1470" t="s">
        <v>135</v>
      </c>
      <c r="L1470" s="1">
        <v>41132</v>
      </c>
      <c r="N1470" t="s">
        <v>36</v>
      </c>
      <c r="O1470" t="s">
        <v>37</v>
      </c>
      <c r="P1470" t="s">
        <v>312</v>
      </c>
      <c r="Q1470" t="s">
        <v>39</v>
      </c>
      <c r="R1470" t="s">
        <v>40</v>
      </c>
      <c r="S1470">
        <v>0</v>
      </c>
      <c r="U1470" t="s">
        <v>41</v>
      </c>
      <c r="V1470" t="s">
        <v>42</v>
      </c>
      <c r="X1470" t="s">
        <v>74</v>
      </c>
      <c r="Y1470" t="b">
        <v>0</v>
      </c>
      <c r="Z1470" t="b">
        <v>0</v>
      </c>
      <c r="AC1470" s="1"/>
      <c r="AF1470">
        <v>0</v>
      </c>
      <c r="AG1470">
        <v>45</v>
      </c>
      <c r="AH1470">
        <v>181</v>
      </c>
      <c r="AI1470" s="2">
        <f>Table__192.168.3.138DYLAgingReport[[#This Row],[NetAmount]]-Table__192.168.3.138DYLAgingReport[[#This Row],[Paid]]</f>
        <v>181209</v>
      </c>
    </row>
    <row r="1471" spans="1:35">
      <c r="A1471" t="s">
        <v>3218</v>
      </c>
      <c r="B1471" s="1">
        <v>41152</v>
      </c>
      <c r="C1471" s="1">
        <v>41197</v>
      </c>
      <c r="D1471" t="s">
        <v>242</v>
      </c>
      <c r="E1471">
        <v>139626</v>
      </c>
      <c r="F1471">
        <v>22340</v>
      </c>
      <c r="G1471">
        <v>0</v>
      </c>
      <c r="H1471">
        <v>0</v>
      </c>
      <c r="I1471">
        <v>116</v>
      </c>
      <c r="J1471">
        <v>161966</v>
      </c>
      <c r="K1471" t="s">
        <v>816</v>
      </c>
      <c r="L1471" s="1">
        <v>41152</v>
      </c>
      <c r="N1471" t="s">
        <v>36</v>
      </c>
      <c r="O1471" t="s">
        <v>37</v>
      </c>
      <c r="P1471" t="s">
        <v>379</v>
      </c>
      <c r="Q1471" t="s">
        <v>39</v>
      </c>
      <c r="R1471" t="s">
        <v>40</v>
      </c>
      <c r="S1471">
        <v>0</v>
      </c>
      <c r="U1471" t="s">
        <v>41</v>
      </c>
      <c r="V1471" t="s">
        <v>42</v>
      </c>
      <c r="X1471" t="s">
        <v>74</v>
      </c>
      <c r="Y1471" t="b">
        <v>0</v>
      </c>
      <c r="Z1471" t="b">
        <v>0</v>
      </c>
      <c r="AB1471" t="s">
        <v>3219</v>
      </c>
      <c r="AC1471" s="1">
        <v>41296</v>
      </c>
      <c r="AF1471">
        <v>0</v>
      </c>
      <c r="AG1471">
        <v>45</v>
      </c>
      <c r="AH1471">
        <v>161</v>
      </c>
      <c r="AI1471" s="2">
        <f>Table__192.168.3.138DYLAgingReport[[#This Row],[NetAmount]]-Table__192.168.3.138DYLAgingReport[[#This Row],[Paid]]</f>
        <v>161966</v>
      </c>
    </row>
    <row r="1472" spans="1:35">
      <c r="A1472" t="s">
        <v>3220</v>
      </c>
      <c r="B1472" s="1">
        <v>41152.387013888889</v>
      </c>
      <c r="C1472" s="1">
        <v>41197.387013888889</v>
      </c>
      <c r="D1472" t="s">
        <v>242</v>
      </c>
      <c r="E1472">
        <v>70330</v>
      </c>
      <c r="F1472">
        <v>11253</v>
      </c>
      <c r="G1472">
        <v>0</v>
      </c>
      <c r="H1472">
        <v>0</v>
      </c>
      <c r="I1472">
        <v>120</v>
      </c>
      <c r="J1472">
        <v>81583</v>
      </c>
      <c r="K1472" t="s">
        <v>3221</v>
      </c>
      <c r="L1472" s="1">
        <v>41148</v>
      </c>
      <c r="N1472" t="s">
        <v>36</v>
      </c>
      <c r="O1472" t="s">
        <v>37</v>
      </c>
      <c r="P1472" t="s">
        <v>379</v>
      </c>
      <c r="Q1472" t="s">
        <v>39</v>
      </c>
      <c r="R1472" t="s">
        <v>40</v>
      </c>
      <c r="S1472">
        <v>0</v>
      </c>
      <c r="U1472" t="s">
        <v>41</v>
      </c>
      <c r="V1472" t="s">
        <v>42</v>
      </c>
      <c r="X1472" t="s">
        <v>74</v>
      </c>
      <c r="Y1472" t="b">
        <v>0</v>
      </c>
      <c r="Z1472" t="b">
        <v>0</v>
      </c>
      <c r="AB1472" t="s">
        <v>3219</v>
      </c>
      <c r="AC1472" s="1">
        <v>41296</v>
      </c>
      <c r="AF1472">
        <v>0</v>
      </c>
      <c r="AG1472">
        <v>45</v>
      </c>
      <c r="AH1472">
        <v>165</v>
      </c>
      <c r="AI1472" s="2">
        <f>Table__192.168.3.138DYLAgingReport[[#This Row],[NetAmount]]-Table__192.168.3.138DYLAgingReport[[#This Row],[Paid]]</f>
        <v>81583</v>
      </c>
    </row>
    <row r="1473" spans="1:35">
      <c r="A1473" t="s">
        <v>111</v>
      </c>
      <c r="B1473" s="1">
        <v>41130</v>
      </c>
      <c r="C1473" s="1">
        <v>41175</v>
      </c>
      <c r="D1473" t="s">
        <v>35</v>
      </c>
      <c r="E1473">
        <v>240000</v>
      </c>
      <c r="F1473">
        <v>38400</v>
      </c>
      <c r="G1473">
        <v>0</v>
      </c>
      <c r="H1473">
        <v>0</v>
      </c>
      <c r="I1473">
        <v>145</v>
      </c>
      <c r="J1473">
        <v>278400</v>
      </c>
      <c r="K1473" t="s">
        <v>112</v>
      </c>
      <c r="L1473" s="1">
        <v>41123</v>
      </c>
      <c r="N1473" t="s">
        <v>36</v>
      </c>
      <c r="O1473" t="s">
        <v>37</v>
      </c>
      <c r="P1473" t="s">
        <v>38</v>
      </c>
      <c r="Q1473" t="s">
        <v>39</v>
      </c>
      <c r="R1473" t="s">
        <v>40</v>
      </c>
      <c r="S1473">
        <v>0</v>
      </c>
      <c r="U1473" t="s">
        <v>41</v>
      </c>
      <c r="V1473" t="s">
        <v>42</v>
      </c>
      <c r="X1473" t="s">
        <v>74</v>
      </c>
      <c r="Y1473" t="b">
        <v>0</v>
      </c>
      <c r="Z1473" t="b">
        <v>0</v>
      </c>
      <c r="AC1473" s="1"/>
      <c r="AF1473">
        <v>0</v>
      </c>
      <c r="AG1473">
        <v>45</v>
      </c>
      <c r="AH1473">
        <v>190</v>
      </c>
      <c r="AI1473" s="2">
        <f>Table__192.168.3.138DYLAgingReport[[#This Row],[NetAmount]]-Table__192.168.3.138DYLAgingReport[[#This Row],[Paid]]</f>
        <v>278400</v>
      </c>
    </row>
    <row r="1474" spans="1:35">
      <c r="A1474" t="s">
        <v>113</v>
      </c>
      <c r="B1474" s="1">
        <v>41131</v>
      </c>
      <c r="C1474" s="1">
        <v>41176</v>
      </c>
      <c r="D1474" t="s">
        <v>35</v>
      </c>
      <c r="E1474">
        <v>240000</v>
      </c>
      <c r="F1474">
        <v>38400</v>
      </c>
      <c r="G1474">
        <v>0</v>
      </c>
      <c r="H1474">
        <v>0</v>
      </c>
      <c r="I1474">
        <v>143</v>
      </c>
      <c r="J1474">
        <v>278400</v>
      </c>
      <c r="K1474" t="s">
        <v>114</v>
      </c>
      <c r="L1474" s="1">
        <v>41125</v>
      </c>
      <c r="N1474" t="s">
        <v>36</v>
      </c>
      <c r="O1474" t="s">
        <v>37</v>
      </c>
      <c r="P1474" t="s">
        <v>38</v>
      </c>
      <c r="Q1474" t="s">
        <v>39</v>
      </c>
      <c r="R1474" t="s">
        <v>40</v>
      </c>
      <c r="S1474">
        <v>0</v>
      </c>
      <c r="U1474" t="s">
        <v>41</v>
      </c>
      <c r="V1474" t="s">
        <v>42</v>
      </c>
      <c r="X1474" t="s">
        <v>74</v>
      </c>
      <c r="Y1474" t="b">
        <v>0</v>
      </c>
      <c r="Z1474" t="b">
        <v>0</v>
      </c>
      <c r="AC1474" s="1"/>
      <c r="AF1474">
        <v>0</v>
      </c>
      <c r="AG1474">
        <v>45</v>
      </c>
      <c r="AH1474">
        <v>188</v>
      </c>
      <c r="AI1474" s="2">
        <f>Table__192.168.3.138DYLAgingReport[[#This Row],[NetAmount]]-Table__192.168.3.138DYLAgingReport[[#This Row],[Paid]]</f>
        <v>278400</v>
      </c>
    </row>
    <row r="1475" spans="1:35">
      <c r="A1475" t="s">
        <v>115</v>
      </c>
      <c r="B1475" s="1">
        <v>41134</v>
      </c>
      <c r="C1475" s="1">
        <v>41179</v>
      </c>
      <c r="D1475" t="s">
        <v>35</v>
      </c>
      <c r="E1475">
        <v>320000</v>
      </c>
      <c r="F1475">
        <v>51200</v>
      </c>
      <c r="G1475">
        <v>0</v>
      </c>
      <c r="H1475">
        <v>0</v>
      </c>
      <c r="I1475">
        <v>137</v>
      </c>
      <c r="J1475">
        <v>371200</v>
      </c>
      <c r="K1475" t="s">
        <v>116</v>
      </c>
      <c r="L1475" s="1">
        <v>41131</v>
      </c>
      <c r="N1475" t="s">
        <v>36</v>
      </c>
      <c r="O1475" t="s">
        <v>37</v>
      </c>
      <c r="P1475" t="s">
        <v>38</v>
      </c>
      <c r="Q1475" t="s">
        <v>39</v>
      </c>
      <c r="R1475" t="s">
        <v>40</v>
      </c>
      <c r="S1475">
        <v>0</v>
      </c>
      <c r="U1475" t="s">
        <v>41</v>
      </c>
      <c r="V1475" t="s">
        <v>42</v>
      </c>
      <c r="X1475" t="s">
        <v>74</v>
      </c>
      <c r="Y1475" t="b">
        <v>0</v>
      </c>
      <c r="Z1475" t="b">
        <v>0</v>
      </c>
      <c r="AC1475" s="1"/>
      <c r="AF1475">
        <v>0</v>
      </c>
      <c r="AG1475">
        <v>45</v>
      </c>
      <c r="AH1475">
        <v>182</v>
      </c>
      <c r="AI1475" s="2">
        <f>Table__192.168.3.138DYLAgingReport[[#This Row],[NetAmount]]-Table__192.168.3.138DYLAgingReport[[#This Row],[Paid]]</f>
        <v>371200</v>
      </c>
    </row>
    <row r="1476" spans="1:35">
      <c r="A1476" t="s">
        <v>117</v>
      </c>
      <c r="B1476" s="1">
        <v>41151</v>
      </c>
      <c r="C1476" s="1">
        <v>41196</v>
      </c>
      <c r="D1476" t="s">
        <v>35</v>
      </c>
      <c r="E1476">
        <v>280000</v>
      </c>
      <c r="F1476">
        <v>44800</v>
      </c>
      <c r="G1476">
        <v>0</v>
      </c>
      <c r="H1476">
        <v>0</v>
      </c>
      <c r="I1476">
        <v>124</v>
      </c>
      <c r="J1476">
        <v>324800</v>
      </c>
      <c r="K1476" t="s">
        <v>118</v>
      </c>
      <c r="L1476" s="1">
        <v>41144</v>
      </c>
      <c r="N1476" t="s">
        <v>36</v>
      </c>
      <c r="O1476" t="s">
        <v>37</v>
      </c>
      <c r="P1476" t="s">
        <v>38</v>
      </c>
      <c r="Q1476" t="s">
        <v>39</v>
      </c>
      <c r="R1476" t="s">
        <v>40</v>
      </c>
      <c r="S1476">
        <v>0</v>
      </c>
      <c r="U1476" t="s">
        <v>41</v>
      </c>
      <c r="V1476" t="s">
        <v>42</v>
      </c>
      <c r="X1476" t="s">
        <v>74</v>
      </c>
      <c r="Y1476" t="b">
        <v>0</v>
      </c>
      <c r="Z1476" t="b">
        <v>0</v>
      </c>
      <c r="AC1476" s="1"/>
      <c r="AF1476">
        <v>0</v>
      </c>
      <c r="AG1476">
        <v>45</v>
      </c>
      <c r="AH1476">
        <v>169</v>
      </c>
      <c r="AI1476" s="2">
        <f>Table__192.168.3.138DYLAgingReport[[#This Row],[NetAmount]]-Table__192.168.3.138DYLAgingReport[[#This Row],[Paid]]</f>
        <v>324800</v>
      </c>
    </row>
    <row r="1477" spans="1:35">
      <c r="A1477" t="s">
        <v>119</v>
      </c>
      <c r="B1477" s="1">
        <v>41152</v>
      </c>
      <c r="C1477" s="1">
        <v>41197</v>
      </c>
      <c r="D1477" t="s">
        <v>35</v>
      </c>
      <c r="E1477">
        <v>240000</v>
      </c>
      <c r="F1477">
        <v>38400</v>
      </c>
      <c r="G1477">
        <v>0</v>
      </c>
      <c r="H1477">
        <v>0</v>
      </c>
      <c r="I1477">
        <v>122</v>
      </c>
      <c r="J1477">
        <v>278400</v>
      </c>
      <c r="K1477" t="s">
        <v>120</v>
      </c>
      <c r="L1477" s="1">
        <v>41146</v>
      </c>
      <c r="N1477" t="s">
        <v>36</v>
      </c>
      <c r="O1477" t="s">
        <v>37</v>
      </c>
      <c r="P1477" t="s">
        <v>38</v>
      </c>
      <c r="Q1477" t="s">
        <v>39</v>
      </c>
      <c r="R1477" t="s">
        <v>40</v>
      </c>
      <c r="S1477">
        <v>0</v>
      </c>
      <c r="U1477" t="s">
        <v>41</v>
      </c>
      <c r="V1477" t="s">
        <v>42</v>
      </c>
      <c r="X1477" t="s">
        <v>74</v>
      </c>
      <c r="Y1477" t="b">
        <v>0</v>
      </c>
      <c r="Z1477" t="b">
        <v>0</v>
      </c>
      <c r="AC1477" s="1"/>
      <c r="AF1477">
        <v>0</v>
      </c>
      <c r="AG1477">
        <v>45</v>
      </c>
      <c r="AH1477">
        <v>167</v>
      </c>
      <c r="AI1477" s="2">
        <f>Table__192.168.3.138DYLAgingReport[[#This Row],[NetAmount]]-Table__192.168.3.138DYLAgingReport[[#This Row],[Paid]]</f>
        <v>278400</v>
      </c>
    </row>
    <row r="1478" spans="1:35">
      <c r="A1478" t="s">
        <v>3222</v>
      </c>
      <c r="B1478" s="1">
        <v>41117</v>
      </c>
      <c r="C1478" s="1">
        <v>41162</v>
      </c>
      <c r="D1478" t="s">
        <v>268</v>
      </c>
      <c r="E1478">
        <v>81394</v>
      </c>
      <c r="F1478">
        <v>13023</v>
      </c>
      <c r="G1478">
        <v>0</v>
      </c>
      <c r="H1478">
        <v>0</v>
      </c>
      <c r="I1478">
        <v>140</v>
      </c>
      <c r="J1478">
        <v>94417</v>
      </c>
      <c r="K1478" t="s">
        <v>1137</v>
      </c>
      <c r="L1478" s="1">
        <v>41128</v>
      </c>
      <c r="N1478" t="s">
        <v>36</v>
      </c>
      <c r="O1478" t="s">
        <v>37</v>
      </c>
      <c r="P1478" t="s">
        <v>405</v>
      </c>
      <c r="Q1478" t="s">
        <v>39</v>
      </c>
      <c r="R1478" t="s">
        <v>40</v>
      </c>
      <c r="S1478">
        <v>0</v>
      </c>
      <c r="U1478" t="s">
        <v>41</v>
      </c>
      <c r="V1478" t="s">
        <v>42</v>
      </c>
      <c r="X1478" t="s">
        <v>74</v>
      </c>
      <c r="Y1478" t="b">
        <v>0</v>
      </c>
      <c r="Z1478" t="b">
        <v>0</v>
      </c>
      <c r="AC1478" s="1"/>
      <c r="AF1478">
        <v>0</v>
      </c>
      <c r="AG1478">
        <v>45</v>
      </c>
      <c r="AH1478">
        <v>185</v>
      </c>
      <c r="AI1478" s="2">
        <f>Table__192.168.3.138DYLAgingReport[[#This Row],[NetAmount]]-Table__192.168.3.138DYLAgingReport[[#This Row],[Paid]]</f>
        <v>94417</v>
      </c>
    </row>
    <row r="1479" spans="1:35">
      <c r="A1479" t="s">
        <v>3223</v>
      </c>
      <c r="B1479" s="1">
        <v>41152</v>
      </c>
      <c r="C1479" s="1">
        <v>41197</v>
      </c>
      <c r="D1479" t="s">
        <v>268</v>
      </c>
      <c r="E1479">
        <v>34800</v>
      </c>
      <c r="F1479">
        <v>5568</v>
      </c>
      <c r="G1479">
        <v>0</v>
      </c>
      <c r="H1479">
        <v>0</v>
      </c>
      <c r="I1479">
        <v>140</v>
      </c>
      <c r="J1479">
        <v>40368</v>
      </c>
      <c r="K1479" t="s">
        <v>1137</v>
      </c>
      <c r="L1479" s="1">
        <v>41128</v>
      </c>
      <c r="N1479" t="s">
        <v>36</v>
      </c>
      <c r="O1479" t="s">
        <v>37</v>
      </c>
      <c r="P1479" t="s">
        <v>405</v>
      </c>
      <c r="Q1479" t="s">
        <v>39</v>
      </c>
      <c r="R1479" t="s">
        <v>40</v>
      </c>
      <c r="S1479">
        <v>0</v>
      </c>
      <c r="U1479" t="s">
        <v>41</v>
      </c>
      <c r="V1479" t="s">
        <v>42</v>
      </c>
      <c r="X1479" t="s">
        <v>74</v>
      </c>
      <c r="Y1479" t="b">
        <v>0</v>
      </c>
      <c r="Z1479" t="b">
        <v>0</v>
      </c>
      <c r="AC1479" s="1"/>
      <c r="AF1479">
        <v>0</v>
      </c>
      <c r="AG1479">
        <v>45</v>
      </c>
      <c r="AH1479">
        <v>185</v>
      </c>
      <c r="AI1479" s="2">
        <f>Table__192.168.3.138DYLAgingReport[[#This Row],[NetAmount]]-Table__192.168.3.138DYLAgingReport[[#This Row],[Paid]]</f>
        <v>40368</v>
      </c>
    </row>
    <row r="1480" spans="1:35">
      <c r="A1480" t="s">
        <v>3224</v>
      </c>
      <c r="B1480" s="1">
        <v>41152</v>
      </c>
      <c r="C1480" s="1">
        <v>41197</v>
      </c>
      <c r="D1480" t="s">
        <v>286</v>
      </c>
      <c r="E1480">
        <v>21850</v>
      </c>
      <c r="F1480">
        <v>3496</v>
      </c>
      <c r="G1480">
        <v>0</v>
      </c>
      <c r="H1480">
        <v>0</v>
      </c>
      <c r="I1480">
        <v>116</v>
      </c>
      <c r="J1480">
        <v>25346</v>
      </c>
      <c r="K1480" t="s">
        <v>83</v>
      </c>
      <c r="L1480" s="1">
        <v>41152</v>
      </c>
      <c r="N1480" t="s">
        <v>36</v>
      </c>
      <c r="O1480" t="s">
        <v>37</v>
      </c>
      <c r="P1480" t="s">
        <v>423</v>
      </c>
      <c r="Q1480" t="s">
        <v>39</v>
      </c>
      <c r="R1480" t="s">
        <v>40</v>
      </c>
      <c r="S1480">
        <v>0</v>
      </c>
      <c r="U1480" t="s">
        <v>41</v>
      </c>
      <c r="V1480" t="s">
        <v>42</v>
      </c>
      <c r="X1480" t="s">
        <v>74</v>
      </c>
      <c r="Y1480" t="b">
        <v>0</v>
      </c>
      <c r="Z1480" t="b">
        <v>0</v>
      </c>
      <c r="AC1480" s="1"/>
      <c r="AF1480">
        <v>0</v>
      </c>
      <c r="AG1480">
        <v>45</v>
      </c>
      <c r="AH1480">
        <v>161</v>
      </c>
      <c r="AI1480" s="2">
        <f>Table__192.168.3.138DYLAgingReport[[#This Row],[NetAmount]]-Table__192.168.3.138DYLAgingReport[[#This Row],[Paid]]</f>
        <v>25346</v>
      </c>
    </row>
    <row r="1481" spans="1:35">
      <c r="A1481" t="s">
        <v>3225</v>
      </c>
      <c r="B1481" s="1">
        <v>41152.386261574073</v>
      </c>
      <c r="C1481" s="1">
        <v>41197.386261574073</v>
      </c>
      <c r="D1481" t="s">
        <v>207</v>
      </c>
      <c r="E1481">
        <v>54840</v>
      </c>
      <c r="F1481">
        <v>8774</v>
      </c>
      <c r="G1481">
        <v>0</v>
      </c>
      <c r="H1481">
        <v>0</v>
      </c>
      <c r="I1481">
        <v>132</v>
      </c>
      <c r="J1481">
        <v>63614</v>
      </c>
      <c r="K1481" t="s">
        <v>1121</v>
      </c>
      <c r="L1481" s="1">
        <v>41136</v>
      </c>
      <c r="N1481" t="s">
        <v>36</v>
      </c>
      <c r="O1481" t="s">
        <v>37</v>
      </c>
      <c r="P1481" t="s">
        <v>344</v>
      </c>
      <c r="Q1481" t="s">
        <v>39</v>
      </c>
      <c r="R1481" t="s">
        <v>40</v>
      </c>
      <c r="S1481">
        <v>0</v>
      </c>
      <c r="U1481" t="s">
        <v>41</v>
      </c>
      <c r="V1481" t="s">
        <v>42</v>
      </c>
      <c r="X1481" t="s">
        <v>74</v>
      </c>
      <c r="Y1481" t="b">
        <v>0</v>
      </c>
      <c r="Z1481" t="b">
        <v>0</v>
      </c>
      <c r="AC1481" s="1"/>
      <c r="AF1481">
        <v>0</v>
      </c>
      <c r="AG1481">
        <v>45</v>
      </c>
      <c r="AH1481">
        <v>177</v>
      </c>
      <c r="AI1481" s="2">
        <f>Table__192.168.3.138DYLAgingReport[[#This Row],[NetAmount]]-Table__192.168.3.138DYLAgingReport[[#This Row],[Paid]]</f>
        <v>63614</v>
      </c>
    </row>
    <row r="1482" spans="1:35">
      <c r="A1482" t="s">
        <v>3226</v>
      </c>
      <c r="B1482" s="1">
        <v>41152.354953703703</v>
      </c>
      <c r="C1482" s="1">
        <v>41197.354953703703</v>
      </c>
      <c r="D1482" t="s">
        <v>232</v>
      </c>
      <c r="E1482">
        <v>62375</v>
      </c>
      <c r="F1482">
        <v>9980</v>
      </c>
      <c r="G1482">
        <v>0</v>
      </c>
      <c r="H1482">
        <v>0</v>
      </c>
      <c r="I1482">
        <v>141</v>
      </c>
      <c r="J1482">
        <v>72355</v>
      </c>
      <c r="K1482" t="s">
        <v>1064</v>
      </c>
      <c r="L1482" s="1">
        <v>41127</v>
      </c>
      <c r="N1482" t="s">
        <v>36</v>
      </c>
      <c r="O1482" t="s">
        <v>37</v>
      </c>
      <c r="P1482" t="s">
        <v>369</v>
      </c>
      <c r="Q1482" t="s">
        <v>39</v>
      </c>
      <c r="R1482" t="s">
        <v>40</v>
      </c>
      <c r="S1482">
        <v>0</v>
      </c>
      <c r="U1482" t="s">
        <v>41</v>
      </c>
      <c r="V1482" t="s">
        <v>42</v>
      </c>
      <c r="X1482" t="s">
        <v>74</v>
      </c>
      <c r="Y1482" t="b">
        <v>0</v>
      </c>
      <c r="Z1482" t="b">
        <v>0</v>
      </c>
      <c r="AC1482" s="1"/>
      <c r="AF1482">
        <v>0</v>
      </c>
      <c r="AG1482">
        <v>45</v>
      </c>
      <c r="AH1482">
        <v>186</v>
      </c>
      <c r="AI1482" s="2">
        <f>Table__192.168.3.138DYLAgingReport[[#This Row],[NetAmount]]-Table__192.168.3.138DYLAgingReport[[#This Row],[Paid]]</f>
        <v>72355</v>
      </c>
    </row>
    <row r="1483" spans="1:35">
      <c r="A1483" t="s">
        <v>3227</v>
      </c>
      <c r="B1483" s="1">
        <v>41152.725277777776</v>
      </c>
      <c r="C1483" s="1">
        <v>41197.725277777776</v>
      </c>
      <c r="D1483" t="s">
        <v>227</v>
      </c>
      <c r="E1483">
        <v>73500</v>
      </c>
      <c r="F1483">
        <v>11760</v>
      </c>
      <c r="G1483">
        <v>0</v>
      </c>
      <c r="H1483">
        <v>0</v>
      </c>
      <c r="I1483">
        <v>132</v>
      </c>
      <c r="J1483">
        <v>85260</v>
      </c>
      <c r="K1483" t="s">
        <v>3228</v>
      </c>
      <c r="L1483" s="1">
        <v>41136</v>
      </c>
      <c r="N1483" t="s">
        <v>36</v>
      </c>
      <c r="O1483" t="s">
        <v>37</v>
      </c>
      <c r="P1483" t="s">
        <v>364</v>
      </c>
      <c r="Q1483" t="s">
        <v>39</v>
      </c>
      <c r="R1483" t="s">
        <v>40</v>
      </c>
      <c r="S1483">
        <v>0</v>
      </c>
      <c r="U1483" t="s">
        <v>41</v>
      </c>
      <c r="V1483" t="s">
        <v>42</v>
      </c>
      <c r="X1483" t="s">
        <v>74</v>
      </c>
      <c r="Y1483" t="b">
        <v>0</v>
      </c>
      <c r="Z1483" t="b">
        <v>0</v>
      </c>
      <c r="AC1483" s="1"/>
      <c r="AF1483">
        <v>0</v>
      </c>
      <c r="AG1483">
        <v>45</v>
      </c>
      <c r="AH1483">
        <v>177</v>
      </c>
      <c r="AI1483" s="2">
        <f>Table__192.168.3.138DYLAgingReport[[#This Row],[NetAmount]]-Table__192.168.3.138DYLAgingReport[[#This Row],[Paid]]</f>
        <v>85260</v>
      </c>
    </row>
    <row r="1484" spans="1:35">
      <c r="A1484" t="s">
        <v>3229</v>
      </c>
      <c r="B1484" s="1">
        <v>41152.725277777776</v>
      </c>
      <c r="C1484" s="1">
        <v>41197.725277777776</v>
      </c>
      <c r="D1484" t="s">
        <v>227</v>
      </c>
      <c r="E1484">
        <v>217210</v>
      </c>
      <c r="F1484">
        <v>34754</v>
      </c>
      <c r="G1484">
        <v>0</v>
      </c>
      <c r="H1484">
        <v>0</v>
      </c>
      <c r="I1484">
        <v>116</v>
      </c>
      <c r="J1484">
        <v>251964</v>
      </c>
      <c r="K1484" t="s">
        <v>3230</v>
      </c>
      <c r="L1484" s="1">
        <v>41152</v>
      </c>
      <c r="N1484" t="s">
        <v>36</v>
      </c>
      <c r="O1484" t="s">
        <v>37</v>
      </c>
      <c r="P1484" t="s">
        <v>364</v>
      </c>
      <c r="Q1484" t="s">
        <v>39</v>
      </c>
      <c r="R1484" t="s">
        <v>40</v>
      </c>
      <c r="S1484">
        <v>0</v>
      </c>
      <c r="U1484" t="s">
        <v>41</v>
      </c>
      <c r="V1484" t="s">
        <v>42</v>
      </c>
      <c r="X1484" t="s">
        <v>74</v>
      </c>
      <c r="Y1484" t="b">
        <v>0</v>
      </c>
      <c r="Z1484" t="b">
        <v>0</v>
      </c>
      <c r="AC1484" s="1"/>
      <c r="AF1484">
        <v>0</v>
      </c>
      <c r="AG1484">
        <v>45</v>
      </c>
      <c r="AH1484">
        <v>161</v>
      </c>
      <c r="AI1484" s="2">
        <f>Table__192.168.3.138DYLAgingReport[[#This Row],[NetAmount]]-Table__192.168.3.138DYLAgingReport[[#This Row],[Paid]]</f>
        <v>251964</v>
      </c>
    </row>
    <row r="1485" spans="1:35">
      <c r="A1485" t="s">
        <v>3231</v>
      </c>
      <c r="B1485" s="1">
        <v>41152.516493055555</v>
      </c>
      <c r="C1485" s="1">
        <v>41197.516493055555</v>
      </c>
      <c r="D1485" t="s">
        <v>174</v>
      </c>
      <c r="E1485">
        <v>22847</v>
      </c>
      <c r="F1485">
        <v>3656</v>
      </c>
      <c r="G1485">
        <v>0</v>
      </c>
      <c r="H1485">
        <v>0</v>
      </c>
      <c r="I1485">
        <v>131</v>
      </c>
      <c r="J1485">
        <v>26503</v>
      </c>
      <c r="K1485" t="s">
        <v>3232</v>
      </c>
      <c r="L1485" s="1">
        <v>41137</v>
      </c>
      <c r="N1485" t="s">
        <v>36</v>
      </c>
      <c r="O1485" t="s">
        <v>37</v>
      </c>
      <c r="P1485" t="s">
        <v>311</v>
      </c>
      <c r="Q1485" t="s">
        <v>39</v>
      </c>
      <c r="R1485" t="s">
        <v>40</v>
      </c>
      <c r="S1485">
        <v>0</v>
      </c>
      <c r="U1485" t="s">
        <v>41</v>
      </c>
      <c r="V1485" t="s">
        <v>42</v>
      </c>
      <c r="X1485" t="s">
        <v>74</v>
      </c>
      <c r="Y1485" t="b">
        <v>0</v>
      </c>
      <c r="Z1485" t="b">
        <v>0</v>
      </c>
      <c r="AC1485" s="1"/>
      <c r="AF1485">
        <v>0</v>
      </c>
      <c r="AG1485">
        <v>45</v>
      </c>
      <c r="AH1485">
        <v>176</v>
      </c>
      <c r="AI1485" s="2">
        <f>Table__192.168.3.138DYLAgingReport[[#This Row],[NetAmount]]-Table__192.168.3.138DYLAgingReport[[#This Row],[Paid]]</f>
        <v>26503</v>
      </c>
    </row>
    <row r="1486" spans="1:35">
      <c r="A1486" t="s">
        <v>3233</v>
      </c>
      <c r="B1486" s="1">
        <v>41152</v>
      </c>
      <c r="C1486" s="1">
        <v>41197</v>
      </c>
      <c r="D1486" t="s">
        <v>257</v>
      </c>
      <c r="E1486">
        <v>320000</v>
      </c>
      <c r="F1486">
        <v>51200</v>
      </c>
      <c r="G1486">
        <v>0</v>
      </c>
      <c r="H1486">
        <v>0</v>
      </c>
      <c r="I1486">
        <v>145</v>
      </c>
      <c r="J1486">
        <v>371200</v>
      </c>
      <c r="K1486" t="s">
        <v>3234</v>
      </c>
      <c r="L1486" s="1">
        <v>41123</v>
      </c>
      <c r="N1486" t="s">
        <v>36</v>
      </c>
      <c r="O1486" t="s">
        <v>37</v>
      </c>
      <c r="P1486" t="s">
        <v>394</v>
      </c>
      <c r="Q1486" t="s">
        <v>39</v>
      </c>
      <c r="R1486" t="s">
        <v>40</v>
      </c>
      <c r="S1486">
        <v>0</v>
      </c>
      <c r="U1486" t="s">
        <v>41</v>
      </c>
      <c r="V1486" t="s">
        <v>42</v>
      </c>
      <c r="X1486" t="s">
        <v>74</v>
      </c>
      <c r="Y1486" t="b">
        <v>0</v>
      </c>
      <c r="Z1486" t="b">
        <v>0</v>
      </c>
      <c r="AC1486" s="1"/>
      <c r="AF1486">
        <v>0</v>
      </c>
      <c r="AG1486">
        <v>45</v>
      </c>
      <c r="AH1486">
        <v>190</v>
      </c>
      <c r="AI1486" s="2">
        <f>Table__192.168.3.138DYLAgingReport[[#This Row],[NetAmount]]-Table__192.168.3.138DYLAgingReport[[#This Row],[Paid]]</f>
        <v>371200</v>
      </c>
    </row>
    <row r="1487" spans="1:35">
      <c r="A1487" t="s">
        <v>3235</v>
      </c>
      <c r="B1487" s="1">
        <v>41152</v>
      </c>
      <c r="C1487" s="1">
        <v>41197</v>
      </c>
      <c r="D1487" t="s">
        <v>194</v>
      </c>
      <c r="E1487">
        <v>33600</v>
      </c>
      <c r="F1487">
        <v>5376</v>
      </c>
      <c r="G1487">
        <v>0</v>
      </c>
      <c r="H1487">
        <v>0</v>
      </c>
      <c r="I1487">
        <v>129</v>
      </c>
      <c r="J1487">
        <v>38976</v>
      </c>
      <c r="K1487" t="s">
        <v>3236</v>
      </c>
      <c r="L1487" s="1">
        <v>41139</v>
      </c>
      <c r="N1487" t="s">
        <v>36</v>
      </c>
      <c r="O1487" t="s">
        <v>37</v>
      </c>
      <c r="P1487" t="s">
        <v>331</v>
      </c>
      <c r="Q1487" t="s">
        <v>39</v>
      </c>
      <c r="R1487" t="s">
        <v>40</v>
      </c>
      <c r="S1487">
        <v>0</v>
      </c>
      <c r="U1487" t="s">
        <v>41</v>
      </c>
      <c r="V1487" t="s">
        <v>42</v>
      </c>
      <c r="X1487" t="s">
        <v>74</v>
      </c>
      <c r="Y1487" t="b">
        <v>0</v>
      </c>
      <c r="Z1487" t="b">
        <v>0</v>
      </c>
      <c r="AC1487" s="1"/>
      <c r="AF1487">
        <v>0</v>
      </c>
      <c r="AG1487">
        <v>45</v>
      </c>
      <c r="AH1487">
        <v>174</v>
      </c>
      <c r="AI1487" s="2">
        <f>Table__192.168.3.138DYLAgingReport[[#This Row],[NetAmount]]-Table__192.168.3.138DYLAgingReport[[#This Row],[Paid]]</f>
        <v>38976</v>
      </c>
    </row>
    <row r="1488" spans="1:35">
      <c r="A1488" t="s">
        <v>3237</v>
      </c>
      <c r="B1488" s="1">
        <v>41152.336296296293</v>
      </c>
      <c r="C1488" s="1">
        <v>41197.336296296293</v>
      </c>
      <c r="D1488" t="s">
        <v>194</v>
      </c>
      <c r="E1488">
        <v>106875</v>
      </c>
      <c r="F1488">
        <v>17100</v>
      </c>
      <c r="G1488">
        <v>0</v>
      </c>
      <c r="H1488">
        <v>0</v>
      </c>
      <c r="I1488">
        <v>129</v>
      </c>
      <c r="J1488">
        <v>123975</v>
      </c>
      <c r="K1488" t="s">
        <v>3238</v>
      </c>
      <c r="L1488" s="1">
        <v>41139</v>
      </c>
      <c r="N1488" t="s">
        <v>36</v>
      </c>
      <c r="O1488" t="s">
        <v>37</v>
      </c>
      <c r="P1488" t="s">
        <v>331</v>
      </c>
      <c r="Q1488" t="s">
        <v>39</v>
      </c>
      <c r="R1488" t="s">
        <v>40</v>
      </c>
      <c r="S1488">
        <v>0</v>
      </c>
      <c r="U1488" t="s">
        <v>41</v>
      </c>
      <c r="V1488" t="s">
        <v>42</v>
      </c>
      <c r="X1488" t="s">
        <v>74</v>
      </c>
      <c r="Y1488" t="b">
        <v>0</v>
      </c>
      <c r="Z1488" t="b">
        <v>0</v>
      </c>
      <c r="AC1488" s="1"/>
      <c r="AF1488">
        <v>0</v>
      </c>
      <c r="AG1488">
        <v>45</v>
      </c>
      <c r="AH1488">
        <v>174</v>
      </c>
      <c r="AI1488" s="2">
        <f>Table__192.168.3.138DYLAgingReport[[#This Row],[NetAmount]]-Table__192.168.3.138DYLAgingReport[[#This Row],[Paid]]</f>
        <v>123975</v>
      </c>
    </row>
    <row r="1489" spans="1:35">
      <c r="A1489" t="s">
        <v>3239</v>
      </c>
      <c r="B1489" s="1">
        <v>41152.354953703703</v>
      </c>
      <c r="C1489" s="1">
        <v>41197.354953703703</v>
      </c>
      <c r="D1489" t="s">
        <v>187</v>
      </c>
      <c r="E1489">
        <v>85500</v>
      </c>
      <c r="F1489">
        <v>0</v>
      </c>
      <c r="G1489">
        <v>0</v>
      </c>
      <c r="H1489">
        <v>0</v>
      </c>
      <c r="I1489">
        <v>132</v>
      </c>
      <c r="J1489">
        <v>85500</v>
      </c>
      <c r="K1489" t="s">
        <v>3240</v>
      </c>
      <c r="L1489" s="1">
        <v>41136</v>
      </c>
      <c r="N1489" t="s">
        <v>36</v>
      </c>
      <c r="O1489" t="s">
        <v>37</v>
      </c>
      <c r="P1489" t="s">
        <v>324</v>
      </c>
      <c r="Q1489" t="s">
        <v>39</v>
      </c>
      <c r="R1489" t="s">
        <v>40</v>
      </c>
      <c r="S1489">
        <v>0</v>
      </c>
      <c r="U1489" t="s">
        <v>41</v>
      </c>
      <c r="V1489" t="s">
        <v>42</v>
      </c>
      <c r="X1489" t="s">
        <v>74</v>
      </c>
      <c r="Y1489" t="b">
        <v>0</v>
      </c>
      <c r="Z1489" t="b">
        <v>0</v>
      </c>
      <c r="AC1489" s="1"/>
      <c r="AF1489">
        <v>0</v>
      </c>
      <c r="AG1489">
        <v>45</v>
      </c>
      <c r="AH1489">
        <v>177</v>
      </c>
      <c r="AI1489" s="2">
        <f>Table__192.168.3.138DYLAgingReport[[#This Row],[NetAmount]]-Table__192.168.3.138DYLAgingReport[[#This Row],[Paid]]</f>
        <v>85500</v>
      </c>
    </row>
    <row r="1490" spans="1:35">
      <c r="A1490" t="s">
        <v>3241</v>
      </c>
      <c r="B1490" s="1">
        <v>41152</v>
      </c>
      <c r="C1490" s="1">
        <v>41197</v>
      </c>
      <c r="D1490" t="s">
        <v>187</v>
      </c>
      <c r="E1490">
        <v>1000</v>
      </c>
      <c r="F1490">
        <v>0</v>
      </c>
      <c r="G1490">
        <v>0</v>
      </c>
      <c r="H1490">
        <v>0</v>
      </c>
      <c r="I1490">
        <v>182</v>
      </c>
      <c r="J1490">
        <v>1000</v>
      </c>
      <c r="K1490" t="s">
        <v>2835</v>
      </c>
      <c r="L1490" s="1">
        <v>41086</v>
      </c>
      <c r="N1490" t="s">
        <v>36</v>
      </c>
      <c r="O1490" t="s">
        <v>37</v>
      </c>
      <c r="P1490" t="s">
        <v>324</v>
      </c>
      <c r="Q1490" t="s">
        <v>39</v>
      </c>
      <c r="R1490" t="s">
        <v>40</v>
      </c>
      <c r="S1490">
        <v>0</v>
      </c>
      <c r="U1490" t="s">
        <v>41</v>
      </c>
      <c r="V1490" t="s">
        <v>42</v>
      </c>
      <c r="X1490" t="s">
        <v>74</v>
      </c>
      <c r="Y1490" t="b">
        <v>0</v>
      </c>
      <c r="Z1490" t="b">
        <v>0</v>
      </c>
      <c r="AC1490" s="1"/>
      <c r="AF1490">
        <v>0</v>
      </c>
      <c r="AG1490">
        <v>45</v>
      </c>
      <c r="AH1490">
        <v>227</v>
      </c>
      <c r="AI1490" s="2">
        <f>Table__192.168.3.138DYLAgingReport[[#This Row],[NetAmount]]-Table__192.168.3.138DYLAgingReport[[#This Row],[Paid]]</f>
        <v>1000</v>
      </c>
    </row>
    <row r="1491" spans="1:35">
      <c r="A1491" t="s">
        <v>3242</v>
      </c>
      <c r="B1491" s="1">
        <v>41152</v>
      </c>
      <c r="C1491" s="1">
        <v>41197</v>
      </c>
      <c r="D1491" t="s">
        <v>187</v>
      </c>
      <c r="E1491">
        <v>4000</v>
      </c>
      <c r="F1491">
        <v>0</v>
      </c>
      <c r="G1491">
        <v>0</v>
      </c>
      <c r="H1491">
        <v>0</v>
      </c>
      <c r="I1491">
        <v>193</v>
      </c>
      <c r="J1491">
        <v>4000</v>
      </c>
      <c r="K1491" t="s">
        <v>2837</v>
      </c>
      <c r="L1491" s="1">
        <v>41075</v>
      </c>
      <c r="N1491" t="s">
        <v>36</v>
      </c>
      <c r="O1491" t="s">
        <v>37</v>
      </c>
      <c r="P1491" t="s">
        <v>324</v>
      </c>
      <c r="Q1491" t="s">
        <v>39</v>
      </c>
      <c r="R1491" t="s">
        <v>40</v>
      </c>
      <c r="S1491">
        <v>0</v>
      </c>
      <c r="U1491" t="s">
        <v>41</v>
      </c>
      <c r="V1491" t="s">
        <v>42</v>
      </c>
      <c r="X1491" t="s">
        <v>74</v>
      </c>
      <c r="Y1491" t="b">
        <v>0</v>
      </c>
      <c r="Z1491" t="b">
        <v>0</v>
      </c>
      <c r="AC1491" s="1"/>
      <c r="AF1491">
        <v>0</v>
      </c>
      <c r="AG1491">
        <v>45</v>
      </c>
      <c r="AH1491">
        <v>238</v>
      </c>
      <c r="AI1491" s="2">
        <f>Table__192.168.3.138DYLAgingReport[[#This Row],[NetAmount]]-Table__192.168.3.138DYLAgingReport[[#This Row],[Paid]]</f>
        <v>4000</v>
      </c>
    </row>
    <row r="1492" spans="1:35">
      <c r="A1492" t="s">
        <v>3243</v>
      </c>
      <c r="B1492" s="1">
        <v>41152.386261574073</v>
      </c>
      <c r="C1492" s="1">
        <v>41197.386261574073</v>
      </c>
      <c r="D1492" t="s">
        <v>242</v>
      </c>
      <c r="E1492">
        <v>228065</v>
      </c>
      <c r="F1492">
        <v>36490</v>
      </c>
      <c r="G1492">
        <v>0</v>
      </c>
      <c r="H1492">
        <v>0</v>
      </c>
      <c r="I1492">
        <v>131</v>
      </c>
      <c r="J1492">
        <v>264555</v>
      </c>
      <c r="K1492" t="s">
        <v>3244</v>
      </c>
      <c r="L1492" s="1">
        <v>41137</v>
      </c>
      <c r="N1492" t="s">
        <v>36</v>
      </c>
      <c r="O1492" t="s">
        <v>37</v>
      </c>
      <c r="P1492" t="s">
        <v>379</v>
      </c>
      <c r="Q1492" t="s">
        <v>39</v>
      </c>
      <c r="R1492" t="s">
        <v>40</v>
      </c>
      <c r="S1492">
        <v>0</v>
      </c>
      <c r="U1492" t="s">
        <v>41</v>
      </c>
      <c r="V1492" t="s">
        <v>42</v>
      </c>
      <c r="X1492" t="s">
        <v>74</v>
      </c>
      <c r="Y1492" t="b">
        <v>0</v>
      </c>
      <c r="Z1492" t="b">
        <v>0</v>
      </c>
      <c r="AB1492" t="s">
        <v>3219</v>
      </c>
      <c r="AC1492" s="1">
        <v>41296</v>
      </c>
      <c r="AF1492">
        <v>0</v>
      </c>
      <c r="AG1492">
        <v>45</v>
      </c>
      <c r="AH1492">
        <v>176</v>
      </c>
      <c r="AI1492" s="2">
        <f>Table__192.168.3.138DYLAgingReport[[#This Row],[NetAmount]]-Table__192.168.3.138DYLAgingReport[[#This Row],[Paid]]</f>
        <v>264555</v>
      </c>
    </row>
    <row r="1493" spans="1:35">
      <c r="A1493" t="s">
        <v>3245</v>
      </c>
      <c r="B1493" s="1">
        <v>41152.725277777776</v>
      </c>
      <c r="C1493" s="1">
        <v>41197.725277777776</v>
      </c>
      <c r="D1493" t="s">
        <v>175</v>
      </c>
      <c r="E1493">
        <v>89324</v>
      </c>
      <c r="F1493">
        <v>14292</v>
      </c>
      <c r="G1493">
        <v>0</v>
      </c>
      <c r="H1493">
        <v>0</v>
      </c>
      <c r="I1493">
        <v>116</v>
      </c>
      <c r="J1493">
        <v>103616</v>
      </c>
      <c r="K1493" t="s">
        <v>3246</v>
      </c>
      <c r="L1493" s="1">
        <v>41152</v>
      </c>
      <c r="N1493" t="s">
        <v>36</v>
      </c>
      <c r="O1493" t="s">
        <v>37</v>
      </c>
      <c r="P1493" t="s">
        <v>312</v>
      </c>
      <c r="Q1493" t="s">
        <v>39</v>
      </c>
      <c r="R1493" t="s">
        <v>40</v>
      </c>
      <c r="S1493">
        <v>0</v>
      </c>
      <c r="U1493" t="s">
        <v>41</v>
      </c>
      <c r="V1493" t="s">
        <v>42</v>
      </c>
      <c r="X1493" t="s">
        <v>74</v>
      </c>
      <c r="Y1493" t="b">
        <v>0</v>
      </c>
      <c r="Z1493" t="b">
        <v>0</v>
      </c>
      <c r="AC1493" s="1"/>
      <c r="AF1493">
        <v>0</v>
      </c>
      <c r="AG1493">
        <v>45</v>
      </c>
      <c r="AH1493">
        <v>161</v>
      </c>
      <c r="AI1493" s="2">
        <f>Table__192.168.3.138DYLAgingReport[[#This Row],[NetAmount]]-Table__192.168.3.138DYLAgingReport[[#This Row],[Paid]]</f>
        <v>103616</v>
      </c>
    </row>
    <row r="1494" spans="1:35">
      <c r="A1494" t="s">
        <v>3247</v>
      </c>
      <c r="B1494" s="1">
        <v>41145</v>
      </c>
      <c r="C1494" s="1">
        <v>41190</v>
      </c>
      <c r="D1494" t="s">
        <v>175</v>
      </c>
      <c r="E1494">
        <v>3500</v>
      </c>
      <c r="F1494">
        <v>560</v>
      </c>
      <c r="G1494">
        <v>0</v>
      </c>
      <c r="H1494">
        <v>0</v>
      </c>
      <c r="I1494">
        <v>123</v>
      </c>
      <c r="J1494">
        <v>4060</v>
      </c>
      <c r="K1494" t="s">
        <v>158</v>
      </c>
      <c r="L1494" s="1">
        <v>41145</v>
      </c>
      <c r="N1494" t="s">
        <v>36</v>
      </c>
      <c r="O1494" t="s">
        <v>37</v>
      </c>
      <c r="P1494" t="s">
        <v>312</v>
      </c>
      <c r="Q1494" t="s">
        <v>39</v>
      </c>
      <c r="R1494" t="s">
        <v>40</v>
      </c>
      <c r="S1494">
        <v>0</v>
      </c>
      <c r="U1494" t="s">
        <v>41</v>
      </c>
      <c r="V1494" t="s">
        <v>42</v>
      </c>
      <c r="X1494" t="s">
        <v>74</v>
      </c>
      <c r="Y1494" t="b">
        <v>0</v>
      </c>
      <c r="Z1494" t="b">
        <v>0</v>
      </c>
      <c r="AC1494" s="1"/>
      <c r="AF1494">
        <v>0</v>
      </c>
      <c r="AG1494">
        <v>45</v>
      </c>
      <c r="AH1494">
        <v>168</v>
      </c>
      <c r="AI1494" s="2">
        <f>Table__192.168.3.138DYLAgingReport[[#This Row],[NetAmount]]-Table__192.168.3.138DYLAgingReport[[#This Row],[Paid]]</f>
        <v>4060</v>
      </c>
    </row>
    <row r="1495" spans="1:35">
      <c r="A1495" t="s">
        <v>3248</v>
      </c>
      <c r="B1495" s="1">
        <v>41152.537326388891</v>
      </c>
      <c r="C1495" s="1">
        <v>41197.537326388891</v>
      </c>
      <c r="D1495" t="s">
        <v>242</v>
      </c>
      <c r="E1495">
        <v>49250</v>
      </c>
      <c r="F1495">
        <v>7880</v>
      </c>
      <c r="G1495">
        <v>0</v>
      </c>
      <c r="H1495">
        <v>0</v>
      </c>
      <c r="I1495">
        <v>120</v>
      </c>
      <c r="J1495">
        <v>57130</v>
      </c>
      <c r="K1495" t="s">
        <v>3249</v>
      </c>
      <c r="L1495" s="1">
        <v>41148</v>
      </c>
      <c r="N1495" t="s">
        <v>36</v>
      </c>
      <c r="O1495" t="s">
        <v>37</v>
      </c>
      <c r="P1495" t="s">
        <v>379</v>
      </c>
      <c r="Q1495" t="s">
        <v>39</v>
      </c>
      <c r="R1495" t="s">
        <v>40</v>
      </c>
      <c r="S1495">
        <v>0</v>
      </c>
      <c r="U1495" t="s">
        <v>41</v>
      </c>
      <c r="V1495" t="s">
        <v>42</v>
      </c>
      <c r="X1495" t="s">
        <v>74</v>
      </c>
      <c r="Y1495" t="b">
        <v>0</v>
      </c>
      <c r="Z1495" t="b">
        <v>0</v>
      </c>
      <c r="AB1495" t="s">
        <v>3219</v>
      </c>
      <c r="AC1495" s="1">
        <v>41296</v>
      </c>
      <c r="AF1495">
        <v>0</v>
      </c>
      <c r="AG1495">
        <v>45</v>
      </c>
      <c r="AH1495">
        <v>165</v>
      </c>
      <c r="AI1495" s="2">
        <f>Table__192.168.3.138DYLAgingReport[[#This Row],[NetAmount]]-Table__192.168.3.138DYLAgingReport[[#This Row],[Paid]]</f>
        <v>57130</v>
      </c>
    </row>
    <row r="1496" spans="1:35">
      <c r="A1496" t="s">
        <v>3250</v>
      </c>
      <c r="B1496" s="1">
        <v>41148</v>
      </c>
      <c r="C1496" s="1">
        <v>41148</v>
      </c>
      <c r="D1496" t="s">
        <v>296</v>
      </c>
      <c r="E1496">
        <v>19825</v>
      </c>
      <c r="F1496">
        <v>3172</v>
      </c>
      <c r="G1496">
        <v>0</v>
      </c>
      <c r="H1496">
        <v>0</v>
      </c>
      <c r="I1496">
        <v>141</v>
      </c>
      <c r="J1496">
        <v>22997</v>
      </c>
      <c r="K1496" t="s">
        <v>3251</v>
      </c>
      <c r="L1496" s="1">
        <v>41127</v>
      </c>
      <c r="N1496" t="s">
        <v>36</v>
      </c>
      <c r="O1496" t="s">
        <v>37</v>
      </c>
      <c r="P1496" t="s">
        <v>433</v>
      </c>
      <c r="Q1496" t="s">
        <v>39</v>
      </c>
      <c r="R1496" t="s">
        <v>40</v>
      </c>
      <c r="S1496">
        <v>0</v>
      </c>
      <c r="U1496" t="s">
        <v>41</v>
      </c>
      <c r="V1496" t="s">
        <v>42</v>
      </c>
      <c r="X1496" t="s">
        <v>74</v>
      </c>
      <c r="Y1496" t="b">
        <v>0</v>
      </c>
      <c r="Z1496" t="b">
        <v>0</v>
      </c>
      <c r="AC1496" s="1"/>
      <c r="AF1496">
        <v>0</v>
      </c>
      <c r="AG1496">
        <v>45</v>
      </c>
      <c r="AH1496">
        <v>186</v>
      </c>
      <c r="AI1496" s="2">
        <f>Table__192.168.3.138DYLAgingReport[[#This Row],[NetAmount]]-Table__192.168.3.138DYLAgingReport[[#This Row],[Paid]]</f>
        <v>22997</v>
      </c>
    </row>
    <row r="1497" spans="1:35">
      <c r="A1497" t="s">
        <v>3252</v>
      </c>
      <c r="B1497" s="1">
        <v>41150</v>
      </c>
      <c r="C1497" s="1">
        <v>41150</v>
      </c>
      <c r="D1497" t="s">
        <v>296</v>
      </c>
      <c r="E1497">
        <v>17045</v>
      </c>
      <c r="F1497">
        <v>2727</v>
      </c>
      <c r="G1497">
        <v>0</v>
      </c>
      <c r="H1497">
        <v>0</v>
      </c>
      <c r="I1497">
        <v>139</v>
      </c>
      <c r="J1497">
        <v>19772</v>
      </c>
      <c r="K1497" t="s">
        <v>3253</v>
      </c>
      <c r="L1497" s="1">
        <v>41129</v>
      </c>
      <c r="N1497" t="s">
        <v>36</v>
      </c>
      <c r="O1497" t="s">
        <v>37</v>
      </c>
      <c r="P1497" t="s">
        <v>433</v>
      </c>
      <c r="Q1497" t="s">
        <v>39</v>
      </c>
      <c r="R1497" t="s">
        <v>40</v>
      </c>
      <c r="S1497">
        <v>0</v>
      </c>
      <c r="U1497" t="s">
        <v>41</v>
      </c>
      <c r="V1497" t="s">
        <v>42</v>
      </c>
      <c r="X1497" t="s">
        <v>74</v>
      </c>
      <c r="Y1497" t="b">
        <v>0</v>
      </c>
      <c r="Z1497" t="b">
        <v>0</v>
      </c>
      <c r="AC1497" s="1"/>
      <c r="AF1497">
        <v>0</v>
      </c>
      <c r="AG1497">
        <v>45</v>
      </c>
      <c r="AH1497">
        <v>184</v>
      </c>
      <c r="AI1497" s="2">
        <f>Table__192.168.3.138DYLAgingReport[[#This Row],[NetAmount]]-Table__192.168.3.138DYLAgingReport[[#This Row],[Paid]]</f>
        <v>19772</v>
      </c>
    </row>
    <row r="1498" spans="1:35">
      <c r="A1498" t="s">
        <v>3254</v>
      </c>
      <c r="B1498" s="1">
        <v>41146</v>
      </c>
      <c r="C1498" s="1">
        <v>41146</v>
      </c>
      <c r="D1498" t="s">
        <v>296</v>
      </c>
      <c r="E1498">
        <v>4750</v>
      </c>
      <c r="F1498">
        <v>760</v>
      </c>
      <c r="G1498">
        <v>0</v>
      </c>
      <c r="H1498">
        <v>0</v>
      </c>
      <c r="I1498">
        <v>122</v>
      </c>
      <c r="J1498">
        <v>5510</v>
      </c>
      <c r="K1498" t="s">
        <v>1542</v>
      </c>
      <c r="L1498" s="1">
        <v>41146</v>
      </c>
      <c r="N1498" t="s">
        <v>36</v>
      </c>
      <c r="O1498" t="s">
        <v>37</v>
      </c>
      <c r="P1498" t="s">
        <v>433</v>
      </c>
      <c r="Q1498" t="s">
        <v>39</v>
      </c>
      <c r="R1498" t="s">
        <v>40</v>
      </c>
      <c r="S1498">
        <v>0</v>
      </c>
      <c r="U1498" t="s">
        <v>41</v>
      </c>
      <c r="V1498" t="s">
        <v>42</v>
      </c>
      <c r="X1498" t="s">
        <v>74</v>
      </c>
      <c r="Y1498" t="b">
        <v>0</v>
      </c>
      <c r="Z1498" t="b">
        <v>0</v>
      </c>
      <c r="AC1498" s="1"/>
      <c r="AF1498">
        <v>0</v>
      </c>
      <c r="AG1498">
        <v>45</v>
      </c>
      <c r="AH1498">
        <v>167</v>
      </c>
      <c r="AI1498" s="2">
        <f>Table__192.168.3.138DYLAgingReport[[#This Row],[NetAmount]]-Table__192.168.3.138DYLAgingReport[[#This Row],[Paid]]</f>
        <v>5510</v>
      </c>
    </row>
    <row r="1499" spans="1:35">
      <c r="A1499" t="s">
        <v>3255</v>
      </c>
      <c r="B1499" s="1">
        <v>41145</v>
      </c>
      <c r="C1499" s="1">
        <v>41145</v>
      </c>
      <c r="D1499" t="s">
        <v>296</v>
      </c>
      <c r="E1499">
        <v>7125</v>
      </c>
      <c r="F1499">
        <v>1140</v>
      </c>
      <c r="G1499">
        <v>0</v>
      </c>
      <c r="H1499">
        <v>0</v>
      </c>
      <c r="I1499">
        <v>129</v>
      </c>
      <c r="J1499">
        <v>8265</v>
      </c>
      <c r="K1499" t="s">
        <v>1517</v>
      </c>
      <c r="L1499" s="1">
        <v>41139</v>
      </c>
      <c r="N1499" t="s">
        <v>36</v>
      </c>
      <c r="O1499" t="s">
        <v>37</v>
      </c>
      <c r="P1499" t="s">
        <v>433</v>
      </c>
      <c r="Q1499" t="s">
        <v>39</v>
      </c>
      <c r="R1499" t="s">
        <v>40</v>
      </c>
      <c r="S1499">
        <v>0</v>
      </c>
      <c r="U1499" t="s">
        <v>41</v>
      </c>
      <c r="V1499" t="s">
        <v>42</v>
      </c>
      <c r="X1499" t="s">
        <v>74</v>
      </c>
      <c r="Y1499" t="b">
        <v>0</v>
      </c>
      <c r="Z1499" t="b">
        <v>0</v>
      </c>
      <c r="AC1499" s="1"/>
      <c r="AF1499">
        <v>0</v>
      </c>
      <c r="AG1499">
        <v>45</v>
      </c>
      <c r="AH1499">
        <v>174</v>
      </c>
      <c r="AI1499" s="2">
        <f>Table__192.168.3.138DYLAgingReport[[#This Row],[NetAmount]]-Table__192.168.3.138DYLAgingReport[[#This Row],[Paid]]</f>
        <v>8265</v>
      </c>
    </row>
    <row r="1500" spans="1:35">
      <c r="A1500" t="s">
        <v>3256</v>
      </c>
      <c r="B1500" s="1">
        <v>41152.516493055555</v>
      </c>
      <c r="C1500" s="1">
        <v>41152.516493055555</v>
      </c>
      <c r="D1500" t="s">
        <v>296</v>
      </c>
      <c r="E1500">
        <v>15124</v>
      </c>
      <c r="F1500">
        <v>2420</v>
      </c>
      <c r="G1500">
        <v>0</v>
      </c>
      <c r="H1500">
        <v>0</v>
      </c>
      <c r="I1500">
        <v>116</v>
      </c>
      <c r="J1500">
        <v>17544</v>
      </c>
      <c r="K1500" t="s">
        <v>861</v>
      </c>
      <c r="L1500" s="1">
        <v>41152</v>
      </c>
      <c r="N1500" t="s">
        <v>36</v>
      </c>
      <c r="O1500" t="s">
        <v>37</v>
      </c>
      <c r="P1500" t="s">
        <v>433</v>
      </c>
      <c r="Q1500" t="s">
        <v>39</v>
      </c>
      <c r="R1500" t="s">
        <v>40</v>
      </c>
      <c r="S1500">
        <v>0</v>
      </c>
      <c r="U1500" t="s">
        <v>41</v>
      </c>
      <c r="V1500" t="s">
        <v>42</v>
      </c>
      <c r="X1500" t="s">
        <v>74</v>
      </c>
      <c r="Y1500" t="b">
        <v>0</v>
      </c>
      <c r="Z1500" t="b">
        <v>0</v>
      </c>
      <c r="AC1500" s="1"/>
      <c r="AF1500">
        <v>0</v>
      </c>
      <c r="AG1500">
        <v>45</v>
      </c>
      <c r="AH1500">
        <v>161</v>
      </c>
      <c r="AI1500" s="2">
        <f>Table__192.168.3.138DYLAgingReport[[#This Row],[NetAmount]]-Table__192.168.3.138DYLAgingReport[[#This Row],[Paid]]</f>
        <v>17544</v>
      </c>
    </row>
    <row r="1501" spans="1:35">
      <c r="A1501" t="s">
        <v>3257</v>
      </c>
      <c r="B1501" s="1">
        <v>41132</v>
      </c>
      <c r="C1501" s="1">
        <v>41132</v>
      </c>
      <c r="D1501" t="s">
        <v>296</v>
      </c>
      <c r="E1501">
        <v>13124</v>
      </c>
      <c r="F1501">
        <v>2100</v>
      </c>
      <c r="G1501">
        <v>0</v>
      </c>
      <c r="H1501">
        <v>0</v>
      </c>
      <c r="I1501">
        <v>141</v>
      </c>
      <c r="J1501">
        <v>15224</v>
      </c>
      <c r="K1501" t="s">
        <v>3258</v>
      </c>
      <c r="L1501" s="1">
        <v>41127</v>
      </c>
      <c r="N1501" t="s">
        <v>36</v>
      </c>
      <c r="O1501" t="s">
        <v>37</v>
      </c>
      <c r="P1501" t="s">
        <v>433</v>
      </c>
      <c r="Q1501" t="s">
        <v>39</v>
      </c>
      <c r="R1501" t="s">
        <v>40</v>
      </c>
      <c r="S1501">
        <v>0</v>
      </c>
      <c r="U1501" t="s">
        <v>41</v>
      </c>
      <c r="V1501" t="s">
        <v>42</v>
      </c>
      <c r="X1501" t="s">
        <v>74</v>
      </c>
      <c r="Y1501" t="b">
        <v>0</v>
      </c>
      <c r="Z1501" t="b">
        <v>0</v>
      </c>
      <c r="AC1501" s="1"/>
      <c r="AF1501">
        <v>0</v>
      </c>
      <c r="AG1501">
        <v>45</v>
      </c>
      <c r="AH1501">
        <v>186</v>
      </c>
      <c r="AI1501" s="2">
        <f>Table__192.168.3.138DYLAgingReport[[#This Row],[NetAmount]]-Table__192.168.3.138DYLAgingReport[[#This Row],[Paid]]</f>
        <v>15224</v>
      </c>
    </row>
    <row r="1502" spans="1:35">
      <c r="A1502" t="s">
        <v>3259</v>
      </c>
      <c r="B1502" s="1">
        <v>41152.725277777776</v>
      </c>
      <c r="C1502" s="1">
        <v>41152.725277777776</v>
      </c>
      <c r="D1502" t="s">
        <v>296</v>
      </c>
      <c r="E1502">
        <v>9000</v>
      </c>
      <c r="F1502">
        <v>1440</v>
      </c>
      <c r="G1502">
        <v>0</v>
      </c>
      <c r="H1502">
        <v>0</v>
      </c>
      <c r="I1502">
        <v>118</v>
      </c>
      <c r="J1502">
        <v>10440</v>
      </c>
      <c r="K1502" t="s">
        <v>1494</v>
      </c>
      <c r="L1502" s="1">
        <v>41150</v>
      </c>
      <c r="N1502" t="s">
        <v>36</v>
      </c>
      <c r="O1502" t="s">
        <v>37</v>
      </c>
      <c r="P1502" t="s">
        <v>433</v>
      </c>
      <c r="Q1502" t="s">
        <v>39</v>
      </c>
      <c r="R1502" t="s">
        <v>40</v>
      </c>
      <c r="S1502">
        <v>0</v>
      </c>
      <c r="U1502" t="s">
        <v>41</v>
      </c>
      <c r="V1502" t="s">
        <v>42</v>
      </c>
      <c r="X1502" t="s">
        <v>74</v>
      </c>
      <c r="Y1502" t="b">
        <v>0</v>
      </c>
      <c r="Z1502" t="b">
        <v>0</v>
      </c>
      <c r="AC1502" s="1"/>
      <c r="AF1502">
        <v>0</v>
      </c>
      <c r="AG1502">
        <v>45</v>
      </c>
      <c r="AH1502">
        <v>163</v>
      </c>
      <c r="AI1502" s="2">
        <f>Table__192.168.3.138DYLAgingReport[[#This Row],[NetAmount]]-Table__192.168.3.138DYLAgingReport[[#This Row],[Paid]]</f>
        <v>10440</v>
      </c>
    </row>
    <row r="1503" spans="1:35">
      <c r="A1503" t="s">
        <v>3260</v>
      </c>
      <c r="B1503" s="1">
        <v>41148</v>
      </c>
      <c r="C1503" s="1">
        <v>41148</v>
      </c>
      <c r="D1503" t="s">
        <v>296</v>
      </c>
      <c r="E1503">
        <v>11749</v>
      </c>
      <c r="F1503">
        <v>1880</v>
      </c>
      <c r="G1503">
        <v>0</v>
      </c>
      <c r="H1503">
        <v>0</v>
      </c>
      <c r="I1503">
        <v>129</v>
      </c>
      <c r="J1503">
        <v>13629</v>
      </c>
      <c r="K1503" t="s">
        <v>3261</v>
      </c>
      <c r="L1503" s="1">
        <v>41139</v>
      </c>
      <c r="N1503" t="s">
        <v>36</v>
      </c>
      <c r="O1503" t="s">
        <v>37</v>
      </c>
      <c r="P1503" t="s">
        <v>433</v>
      </c>
      <c r="Q1503" t="s">
        <v>39</v>
      </c>
      <c r="R1503" t="s">
        <v>40</v>
      </c>
      <c r="S1503">
        <v>0</v>
      </c>
      <c r="U1503" t="s">
        <v>41</v>
      </c>
      <c r="V1503" t="s">
        <v>42</v>
      </c>
      <c r="X1503" t="s">
        <v>74</v>
      </c>
      <c r="Y1503" t="b">
        <v>0</v>
      </c>
      <c r="Z1503" t="b">
        <v>0</v>
      </c>
      <c r="AC1503" s="1"/>
      <c r="AF1503">
        <v>0</v>
      </c>
      <c r="AG1503">
        <v>45</v>
      </c>
      <c r="AH1503">
        <v>174</v>
      </c>
      <c r="AI1503" s="2">
        <f>Table__192.168.3.138DYLAgingReport[[#This Row],[NetAmount]]-Table__192.168.3.138DYLAgingReport[[#This Row],[Paid]]</f>
        <v>13629</v>
      </c>
    </row>
    <row r="1504" spans="1:35">
      <c r="A1504" t="s">
        <v>3262</v>
      </c>
      <c r="B1504" s="1">
        <v>41148</v>
      </c>
      <c r="C1504" s="1">
        <v>41148</v>
      </c>
      <c r="D1504" t="s">
        <v>296</v>
      </c>
      <c r="E1504">
        <v>18500</v>
      </c>
      <c r="F1504">
        <v>2960</v>
      </c>
      <c r="G1504">
        <v>0</v>
      </c>
      <c r="H1504">
        <v>0</v>
      </c>
      <c r="I1504">
        <v>144</v>
      </c>
      <c r="J1504">
        <v>21460</v>
      </c>
      <c r="K1504" t="s">
        <v>3263</v>
      </c>
      <c r="L1504" s="1">
        <v>41124</v>
      </c>
      <c r="N1504" t="s">
        <v>36</v>
      </c>
      <c r="O1504" t="s">
        <v>37</v>
      </c>
      <c r="P1504" t="s">
        <v>433</v>
      </c>
      <c r="Q1504" t="s">
        <v>39</v>
      </c>
      <c r="R1504" t="s">
        <v>40</v>
      </c>
      <c r="S1504">
        <v>0</v>
      </c>
      <c r="U1504" t="s">
        <v>41</v>
      </c>
      <c r="V1504" t="s">
        <v>42</v>
      </c>
      <c r="X1504" t="s">
        <v>74</v>
      </c>
      <c r="Y1504" t="b">
        <v>0</v>
      </c>
      <c r="Z1504" t="b">
        <v>0</v>
      </c>
      <c r="AC1504" s="1"/>
      <c r="AF1504">
        <v>0</v>
      </c>
      <c r="AG1504">
        <v>45</v>
      </c>
      <c r="AH1504">
        <v>189</v>
      </c>
      <c r="AI1504" s="2">
        <f>Table__192.168.3.138DYLAgingReport[[#This Row],[NetAmount]]-Table__192.168.3.138DYLAgingReport[[#This Row],[Paid]]</f>
        <v>21460</v>
      </c>
    </row>
    <row r="1505" spans="1:35">
      <c r="A1505" t="s">
        <v>3264</v>
      </c>
      <c r="B1505" s="1">
        <v>41124</v>
      </c>
      <c r="C1505" s="1">
        <v>41124</v>
      </c>
      <c r="D1505" t="s">
        <v>296</v>
      </c>
      <c r="E1505">
        <v>47605</v>
      </c>
      <c r="F1505">
        <v>7617</v>
      </c>
      <c r="G1505">
        <v>0</v>
      </c>
      <c r="H1505">
        <v>0</v>
      </c>
      <c r="I1505">
        <v>145</v>
      </c>
      <c r="J1505">
        <v>55222</v>
      </c>
      <c r="K1505" t="s">
        <v>3265</v>
      </c>
      <c r="L1505" s="1">
        <v>41123</v>
      </c>
      <c r="N1505" t="s">
        <v>36</v>
      </c>
      <c r="O1505" t="s">
        <v>37</v>
      </c>
      <c r="P1505" t="s">
        <v>433</v>
      </c>
      <c r="Q1505" t="s">
        <v>39</v>
      </c>
      <c r="R1505" t="s">
        <v>40</v>
      </c>
      <c r="S1505">
        <v>0</v>
      </c>
      <c r="U1505" t="s">
        <v>41</v>
      </c>
      <c r="V1505" t="s">
        <v>42</v>
      </c>
      <c r="X1505" t="s">
        <v>74</v>
      </c>
      <c r="Y1505" t="b">
        <v>0</v>
      </c>
      <c r="Z1505" t="b">
        <v>0</v>
      </c>
      <c r="AC1505" s="1"/>
      <c r="AF1505">
        <v>0</v>
      </c>
      <c r="AG1505">
        <v>45</v>
      </c>
      <c r="AH1505">
        <v>190</v>
      </c>
      <c r="AI1505" s="2">
        <f>Table__192.168.3.138DYLAgingReport[[#This Row],[NetAmount]]-Table__192.168.3.138DYLAgingReport[[#This Row],[Paid]]</f>
        <v>55222</v>
      </c>
    </row>
    <row r="1506" spans="1:35">
      <c r="A1506" t="s">
        <v>3266</v>
      </c>
      <c r="B1506" s="1">
        <v>41149</v>
      </c>
      <c r="C1506" s="1">
        <v>41194</v>
      </c>
      <c r="D1506" t="s">
        <v>168</v>
      </c>
      <c r="E1506">
        <v>228540</v>
      </c>
      <c r="F1506">
        <v>36566</v>
      </c>
      <c r="G1506">
        <v>0</v>
      </c>
      <c r="H1506">
        <v>0</v>
      </c>
      <c r="I1506">
        <v>119</v>
      </c>
      <c r="J1506">
        <v>265106</v>
      </c>
      <c r="K1506" t="s">
        <v>3267</v>
      </c>
      <c r="L1506" s="1">
        <v>41149</v>
      </c>
      <c r="N1506" t="s">
        <v>36</v>
      </c>
      <c r="O1506" t="s">
        <v>37</v>
      </c>
      <c r="P1506" t="s">
        <v>305</v>
      </c>
      <c r="Q1506" t="s">
        <v>39</v>
      </c>
      <c r="R1506" t="s">
        <v>40</v>
      </c>
      <c r="S1506">
        <v>0</v>
      </c>
      <c r="U1506" t="s">
        <v>41</v>
      </c>
      <c r="V1506" t="s">
        <v>42</v>
      </c>
      <c r="X1506" t="s">
        <v>74</v>
      </c>
      <c r="Y1506" t="b">
        <v>0</v>
      </c>
      <c r="Z1506" t="b">
        <v>0</v>
      </c>
      <c r="AB1506" t="s">
        <v>961</v>
      </c>
      <c r="AC1506" s="1">
        <v>41291</v>
      </c>
      <c r="AE1506" t="s">
        <v>962</v>
      </c>
      <c r="AF1506">
        <v>0</v>
      </c>
      <c r="AG1506">
        <v>45</v>
      </c>
      <c r="AH1506">
        <v>164</v>
      </c>
      <c r="AI1506" s="2">
        <f>Table__192.168.3.138DYLAgingReport[[#This Row],[NetAmount]]-Table__192.168.3.138DYLAgingReport[[#This Row],[Paid]]</f>
        <v>265106</v>
      </c>
    </row>
    <row r="1507" spans="1:35">
      <c r="A1507" t="s">
        <v>3268</v>
      </c>
      <c r="B1507" s="1">
        <v>41150</v>
      </c>
      <c r="C1507" s="1">
        <v>41195</v>
      </c>
      <c r="D1507" t="s">
        <v>168</v>
      </c>
      <c r="E1507">
        <v>35160</v>
      </c>
      <c r="F1507">
        <v>5626</v>
      </c>
      <c r="G1507">
        <v>0</v>
      </c>
      <c r="H1507">
        <v>0</v>
      </c>
      <c r="I1507">
        <v>118</v>
      </c>
      <c r="J1507">
        <v>40786</v>
      </c>
      <c r="K1507" t="s">
        <v>3269</v>
      </c>
      <c r="L1507" s="1">
        <v>41150</v>
      </c>
      <c r="N1507" t="s">
        <v>36</v>
      </c>
      <c r="O1507" t="s">
        <v>37</v>
      </c>
      <c r="P1507" t="s">
        <v>305</v>
      </c>
      <c r="Q1507" t="s">
        <v>39</v>
      </c>
      <c r="R1507" t="s">
        <v>40</v>
      </c>
      <c r="S1507">
        <v>0</v>
      </c>
      <c r="U1507" t="s">
        <v>41</v>
      </c>
      <c r="V1507" t="s">
        <v>42</v>
      </c>
      <c r="X1507" t="s">
        <v>74</v>
      </c>
      <c r="Y1507" t="b">
        <v>0</v>
      </c>
      <c r="Z1507" t="b">
        <v>0</v>
      </c>
      <c r="AB1507" t="s">
        <v>961</v>
      </c>
      <c r="AC1507" s="1">
        <v>41291</v>
      </c>
      <c r="AE1507" t="s">
        <v>962</v>
      </c>
      <c r="AF1507">
        <v>0</v>
      </c>
      <c r="AG1507">
        <v>45</v>
      </c>
      <c r="AH1507">
        <v>163</v>
      </c>
      <c r="AI1507" s="2">
        <f>Table__192.168.3.138DYLAgingReport[[#This Row],[NetAmount]]-Table__192.168.3.138DYLAgingReport[[#This Row],[Paid]]</f>
        <v>40786</v>
      </c>
    </row>
    <row r="1508" spans="1:35">
      <c r="A1508" t="s">
        <v>3270</v>
      </c>
      <c r="B1508" s="1">
        <v>41130</v>
      </c>
      <c r="C1508" s="1">
        <v>41175</v>
      </c>
      <c r="D1508" t="s">
        <v>190</v>
      </c>
      <c r="E1508">
        <v>5432</v>
      </c>
      <c r="F1508">
        <v>869</v>
      </c>
      <c r="G1508">
        <v>0</v>
      </c>
      <c r="H1508">
        <v>0</v>
      </c>
      <c r="I1508">
        <v>138</v>
      </c>
      <c r="J1508">
        <v>6301</v>
      </c>
      <c r="K1508" t="s">
        <v>3271</v>
      </c>
      <c r="L1508" s="1">
        <v>41130</v>
      </c>
      <c r="N1508" t="s">
        <v>36</v>
      </c>
      <c r="O1508" t="s">
        <v>37</v>
      </c>
      <c r="P1508" t="s">
        <v>327</v>
      </c>
      <c r="Q1508" t="s">
        <v>39</v>
      </c>
      <c r="R1508" t="s">
        <v>40</v>
      </c>
      <c r="S1508">
        <v>0</v>
      </c>
      <c r="U1508" t="s">
        <v>41</v>
      </c>
      <c r="V1508" t="s">
        <v>42</v>
      </c>
      <c r="X1508" t="s">
        <v>74</v>
      </c>
      <c r="Y1508" t="b">
        <v>0</v>
      </c>
      <c r="Z1508" t="b">
        <v>0</v>
      </c>
      <c r="AC1508" s="1"/>
      <c r="AF1508">
        <v>0</v>
      </c>
      <c r="AG1508">
        <v>45</v>
      </c>
      <c r="AH1508">
        <v>183</v>
      </c>
      <c r="AI1508" s="2">
        <f>Table__192.168.3.138DYLAgingReport[[#This Row],[NetAmount]]-Table__192.168.3.138DYLAgingReport[[#This Row],[Paid]]</f>
        <v>6301</v>
      </c>
    </row>
    <row r="1509" spans="1:35">
      <c r="A1509" t="s">
        <v>3272</v>
      </c>
      <c r="B1509" s="1">
        <v>41138</v>
      </c>
      <c r="C1509" s="1">
        <v>41183</v>
      </c>
      <c r="D1509" t="s">
        <v>190</v>
      </c>
      <c r="E1509">
        <v>1125</v>
      </c>
      <c r="F1509">
        <v>180</v>
      </c>
      <c r="G1509">
        <v>0</v>
      </c>
      <c r="H1509">
        <v>0</v>
      </c>
      <c r="I1509">
        <v>141</v>
      </c>
      <c r="J1509">
        <v>1305</v>
      </c>
      <c r="K1509" t="s">
        <v>3273</v>
      </c>
      <c r="L1509" s="1">
        <v>41127</v>
      </c>
      <c r="N1509" t="s">
        <v>36</v>
      </c>
      <c r="O1509" t="s">
        <v>37</v>
      </c>
      <c r="P1509" t="s">
        <v>327</v>
      </c>
      <c r="Q1509" t="s">
        <v>39</v>
      </c>
      <c r="R1509" t="s">
        <v>40</v>
      </c>
      <c r="S1509">
        <v>0</v>
      </c>
      <c r="U1509" t="s">
        <v>41</v>
      </c>
      <c r="V1509" t="s">
        <v>42</v>
      </c>
      <c r="X1509" t="s">
        <v>74</v>
      </c>
      <c r="Y1509" t="b">
        <v>0</v>
      </c>
      <c r="Z1509" t="b">
        <v>0</v>
      </c>
      <c r="AC1509" s="1"/>
      <c r="AF1509">
        <v>0</v>
      </c>
      <c r="AG1509">
        <v>45</v>
      </c>
      <c r="AH1509">
        <v>186</v>
      </c>
      <c r="AI1509" s="2">
        <f>Table__192.168.3.138DYLAgingReport[[#This Row],[NetAmount]]-Table__192.168.3.138DYLAgingReport[[#This Row],[Paid]]</f>
        <v>1305</v>
      </c>
    </row>
    <row r="1510" spans="1:35">
      <c r="A1510" t="s">
        <v>3274</v>
      </c>
      <c r="B1510" s="1">
        <v>41137</v>
      </c>
      <c r="C1510" s="1">
        <v>41182</v>
      </c>
      <c r="D1510" t="s">
        <v>190</v>
      </c>
      <c r="E1510">
        <v>147400</v>
      </c>
      <c r="F1510">
        <v>23584</v>
      </c>
      <c r="G1510">
        <v>0</v>
      </c>
      <c r="H1510">
        <v>0</v>
      </c>
      <c r="I1510">
        <v>131</v>
      </c>
      <c r="J1510">
        <v>170984</v>
      </c>
      <c r="K1510" t="s">
        <v>3275</v>
      </c>
      <c r="L1510" s="1">
        <v>41137</v>
      </c>
      <c r="N1510" t="s">
        <v>36</v>
      </c>
      <c r="O1510" t="s">
        <v>37</v>
      </c>
      <c r="P1510" t="s">
        <v>327</v>
      </c>
      <c r="Q1510" t="s">
        <v>39</v>
      </c>
      <c r="R1510" t="s">
        <v>40</v>
      </c>
      <c r="S1510">
        <v>0</v>
      </c>
      <c r="U1510" t="s">
        <v>41</v>
      </c>
      <c r="V1510" t="s">
        <v>42</v>
      </c>
      <c r="X1510" t="s">
        <v>74</v>
      </c>
      <c r="Y1510" t="b">
        <v>0</v>
      </c>
      <c r="Z1510" t="b">
        <v>0</v>
      </c>
      <c r="AC1510" s="1"/>
      <c r="AF1510">
        <v>0</v>
      </c>
      <c r="AG1510">
        <v>45</v>
      </c>
      <c r="AH1510">
        <v>176</v>
      </c>
      <c r="AI1510" s="2">
        <f>Table__192.168.3.138DYLAgingReport[[#This Row],[NetAmount]]-Table__192.168.3.138DYLAgingReport[[#This Row],[Paid]]</f>
        <v>170984</v>
      </c>
    </row>
    <row r="1511" spans="1:35">
      <c r="A1511" t="s">
        <v>3276</v>
      </c>
      <c r="B1511" s="1">
        <v>41130</v>
      </c>
      <c r="C1511" s="1">
        <v>41175</v>
      </c>
      <c r="D1511" t="s">
        <v>190</v>
      </c>
      <c r="E1511">
        <v>95825</v>
      </c>
      <c r="F1511">
        <v>15332</v>
      </c>
      <c r="G1511">
        <v>0</v>
      </c>
      <c r="H1511">
        <v>0</v>
      </c>
      <c r="I1511">
        <v>138</v>
      </c>
      <c r="J1511">
        <v>111157</v>
      </c>
      <c r="K1511" t="s">
        <v>842</v>
      </c>
      <c r="L1511" s="1">
        <v>41130</v>
      </c>
      <c r="N1511" t="s">
        <v>36</v>
      </c>
      <c r="O1511" t="s">
        <v>37</v>
      </c>
      <c r="P1511" t="s">
        <v>327</v>
      </c>
      <c r="Q1511" t="s">
        <v>39</v>
      </c>
      <c r="R1511" t="s">
        <v>40</v>
      </c>
      <c r="S1511">
        <v>0</v>
      </c>
      <c r="U1511" t="s">
        <v>41</v>
      </c>
      <c r="V1511" t="s">
        <v>42</v>
      </c>
      <c r="X1511" t="s">
        <v>74</v>
      </c>
      <c r="Y1511" t="b">
        <v>0</v>
      </c>
      <c r="Z1511" t="b">
        <v>0</v>
      </c>
      <c r="AC1511" s="1"/>
      <c r="AF1511">
        <v>0</v>
      </c>
      <c r="AG1511">
        <v>45</v>
      </c>
      <c r="AH1511">
        <v>183</v>
      </c>
      <c r="AI1511" s="2">
        <f>Table__192.168.3.138DYLAgingReport[[#This Row],[NetAmount]]-Table__192.168.3.138DYLAgingReport[[#This Row],[Paid]]</f>
        <v>111157</v>
      </c>
    </row>
    <row r="1512" spans="1:35">
      <c r="A1512" t="s">
        <v>3277</v>
      </c>
      <c r="B1512" s="1">
        <v>41146</v>
      </c>
      <c r="C1512" s="1">
        <v>41191</v>
      </c>
      <c r="D1512" t="s">
        <v>187</v>
      </c>
      <c r="E1512">
        <v>36000</v>
      </c>
      <c r="F1512">
        <v>0</v>
      </c>
      <c r="G1512">
        <v>0</v>
      </c>
      <c r="H1512">
        <v>0</v>
      </c>
      <c r="I1512">
        <v>122</v>
      </c>
      <c r="J1512">
        <v>36000</v>
      </c>
      <c r="K1512" t="s">
        <v>3278</v>
      </c>
      <c r="L1512" s="1">
        <v>41146</v>
      </c>
      <c r="N1512" t="s">
        <v>36</v>
      </c>
      <c r="O1512" t="s">
        <v>37</v>
      </c>
      <c r="P1512" t="s">
        <v>324</v>
      </c>
      <c r="Q1512" t="s">
        <v>39</v>
      </c>
      <c r="R1512" t="s">
        <v>40</v>
      </c>
      <c r="S1512">
        <v>0</v>
      </c>
      <c r="U1512" t="s">
        <v>41</v>
      </c>
      <c r="V1512" t="s">
        <v>42</v>
      </c>
      <c r="X1512" t="s">
        <v>74</v>
      </c>
      <c r="Y1512" t="b">
        <v>0</v>
      </c>
      <c r="Z1512" t="b">
        <v>0</v>
      </c>
      <c r="AC1512" s="1"/>
      <c r="AF1512">
        <v>0</v>
      </c>
      <c r="AG1512">
        <v>45</v>
      </c>
      <c r="AH1512">
        <v>167</v>
      </c>
      <c r="AI1512" s="2">
        <f>Table__192.168.3.138DYLAgingReport[[#This Row],[NetAmount]]-Table__192.168.3.138DYLAgingReport[[#This Row],[Paid]]</f>
        <v>36000</v>
      </c>
    </row>
    <row r="1513" spans="1:35">
      <c r="A1513" t="s">
        <v>3279</v>
      </c>
      <c r="B1513" s="1">
        <v>41152.580023148148</v>
      </c>
      <c r="C1513" s="1">
        <v>41197.580023148148</v>
      </c>
      <c r="D1513" t="s">
        <v>187</v>
      </c>
      <c r="E1513">
        <v>28890</v>
      </c>
      <c r="F1513">
        <v>0</v>
      </c>
      <c r="G1513">
        <v>0</v>
      </c>
      <c r="H1513">
        <v>0</v>
      </c>
      <c r="I1513">
        <v>117</v>
      </c>
      <c r="J1513">
        <v>28890</v>
      </c>
      <c r="K1513" t="s">
        <v>3280</v>
      </c>
      <c r="L1513" s="1">
        <v>41151</v>
      </c>
      <c r="N1513" t="s">
        <v>36</v>
      </c>
      <c r="O1513" t="s">
        <v>37</v>
      </c>
      <c r="P1513" t="s">
        <v>324</v>
      </c>
      <c r="Q1513" t="s">
        <v>39</v>
      </c>
      <c r="R1513" t="s">
        <v>40</v>
      </c>
      <c r="S1513">
        <v>0</v>
      </c>
      <c r="U1513" t="s">
        <v>41</v>
      </c>
      <c r="V1513" t="s">
        <v>42</v>
      </c>
      <c r="X1513" t="s">
        <v>74</v>
      </c>
      <c r="Y1513" t="b">
        <v>0</v>
      </c>
      <c r="Z1513" t="b">
        <v>0</v>
      </c>
      <c r="AC1513" s="1"/>
      <c r="AF1513">
        <v>0</v>
      </c>
      <c r="AG1513">
        <v>45</v>
      </c>
      <c r="AH1513">
        <v>162</v>
      </c>
      <c r="AI1513" s="2">
        <f>Table__192.168.3.138DYLAgingReport[[#This Row],[NetAmount]]-Table__192.168.3.138DYLAgingReport[[#This Row],[Paid]]</f>
        <v>28890</v>
      </c>
    </row>
    <row r="1514" spans="1:35">
      <c r="A1514" t="s">
        <v>3281</v>
      </c>
      <c r="B1514" s="1">
        <v>41152.580023148148</v>
      </c>
      <c r="C1514" s="1">
        <v>41197.580023148148</v>
      </c>
      <c r="D1514" t="s">
        <v>187</v>
      </c>
      <c r="E1514">
        <v>34000</v>
      </c>
      <c r="F1514">
        <v>0</v>
      </c>
      <c r="G1514">
        <v>0</v>
      </c>
      <c r="H1514">
        <v>0</v>
      </c>
      <c r="I1514">
        <v>117</v>
      </c>
      <c r="J1514">
        <v>34000</v>
      </c>
      <c r="K1514" t="s">
        <v>3282</v>
      </c>
      <c r="L1514" s="1">
        <v>41151</v>
      </c>
      <c r="N1514" t="s">
        <v>36</v>
      </c>
      <c r="O1514" t="s">
        <v>37</v>
      </c>
      <c r="P1514" t="s">
        <v>324</v>
      </c>
      <c r="Q1514" t="s">
        <v>39</v>
      </c>
      <c r="R1514" t="s">
        <v>40</v>
      </c>
      <c r="S1514">
        <v>0</v>
      </c>
      <c r="U1514" t="s">
        <v>41</v>
      </c>
      <c r="V1514" t="s">
        <v>42</v>
      </c>
      <c r="X1514" t="s">
        <v>74</v>
      </c>
      <c r="Y1514" t="b">
        <v>0</v>
      </c>
      <c r="Z1514" t="b">
        <v>0</v>
      </c>
      <c r="AC1514" s="1"/>
      <c r="AF1514">
        <v>0</v>
      </c>
      <c r="AG1514">
        <v>45</v>
      </c>
      <c r="AH1514">
        <v>162</v>
      </c>
      <c r="AI1514" s="2">
        <f>Table__192.168.3.138DYLAgingReport[[#This Row],[NetAmount]]-Table__192.168.3.138DYLAgingReport[[#This Row],[Paid]]</f>
        <v>34000</v>
      </c>
    </row>
    <row r="1515" spans="1:35">
      <c r="A1515" t="s">
        <v>121</v>
      </c>
      <c r="B1515" s="1">
        <v>41152</v>
      </c>
      <c r="C1515" s="1">
        <v>41197</v>
      </c>
      <c r="D1515" t="s">
        <v>35</v>
      </c>
      <c r="E1515">
        <v>320000</v>
      </c>
      <c r="F1515">
        <v>51200</v>
      </c>
      <c r="G1515">
        <v>0</v>
      </c>
      <c r="H1515">
        <v>0</v>
      </c>
      <c r="I1515">
        <v>119</v>
      </c>
      <c r="J1515">
        <v>371200</v>
      </c>
      <c r="K1515" t="s">
        <v>122</v>
      </c>
      <c r="L1515" s="1">
        <v>41149</v>
      </c>
      <c r="N1515" t="s">
        <v>36</v>
      </c>
      <c r="O1515" t="s">
        <v>37</v>
      </c>
      <c r="P1515" t="s">
        <v>38</v>
      </c>
      <c r="Q1515" t="s">
        <v>39</v>
      </c>
      <c r="R1515" t="s">
        <v>40</v>
      </c>
      <c r="S1515">
        <v>0</v>
      </c>
      <c r="U1515" t="s">
        <v>41</v>
      </c>
      <c r="V1515" t="s">
        <v>42</v>
      </c>
      <c r="X1515" t="s">
        <v>74</v>
      </c>
      <c r="Y1515" t="b">
        <v>0</v>
      </c>
      <c r="Z1515" t="b">
        <v>0</v>
      </c>
      <c r="AC1515" s="1"/>
      <c r="AF1515">
        <v>0</v>
      </c>
      <c r="AG1515">
        <v>45</v>
      </c>
      <c r="AH1515">
        <v>164</v>
      </c>
      <c r="AI1515" s="2">
        <f>Table__192.168.3.138DYLAgingReport[[#This Row],[NetAmount]]-Table__192.168.3.138DYLAgingReport[[#This Row],[Paid]]</f>
        <v>371200</v>
      </c>
    </row>
    <row r="1516" spans="1:35">
      <c r="A1516" t="s">
        <v>123</v>
      </c>
      <c r="B1516" s="1">
        <v>41152</v>
      </c>
      <c r="C1516" s="1">
        <v>41197</v>
      </c>
      <c r="D1516" t="s">
        <v>35</v>
      </c>
      <c r="E1516">
        <v>73500</v>
      </c>
      <c r="F1516">
        <v>11760</v>
      </c>
      <c r="G1516">
        <v>0</v>
      </c>
      <c r="H1516">
        <v>0</v>
      </c>
      <c r="I1516">
        <v>119</v>
      </c>
      <c r="J1516">
        <v>85260</v>
      </c>
      <c r="K1516" t="s">
        <v>62</v>
      </c>
      <c r="L1516" s="1">
        <v>41149</v>
      </c>
      <c r="N1516" t="s">
        <v>36</v>
      </c>
      <c r="O1516" t="s">
        <v>37</v>
      </c>
      <c r="P1516" t="s">
        <v>38</v>
      </c>
      <c r="Q1516" t="s">
        <v>39</v>
      </c>
      <c r="R1516" t="s">
        <v>40</v>
      </c>
      <c r="S1516">
        <v>0</v>
      </c>
      <c r="U1516" t="s">
        <v>41</v>
      </c>
      <c r="V1516" t="s">
        <v>42</v>
      </c>
      <c r="X1516" t="s">
        <v>74</v>
      </c>
      <c r="Y1516" t="b">
        <v>0</v>
      </c>
      <c r="Z1516" t="b">
        <v>0</v>
      </c>
      <c r="AC1516" s="1"/>
      <c r="AF1516">
        <v>0</v>
      </c>
      <c r="AG1516">
        <v>45</v>
      </c>
      <c r="AH1516">
        <v>164</v>
      </c>
      <c r="AI1516" s="2">
        <f>Table__192.168.3.138DYLAgingReport[[#This Row],[NetAmount]]-Table__192.168.3.138DYLAgingReport[[#This Row],[Paid]]</f>
        <v>85260</v>
      </c>
    </row>
    <row r="1517" spans="1:35">
      <c r="A1517" t="s">
        <v>3283</v>
      </c>
      <c r="B1517" s="1">
        <v>41152</v>
      </c>
      <c r="C1517" s="1">
        <v>41197</v>
      </c>
      <c r="D1517" t="s">
        <v>220</v>
      </c>
      <c r="E1517">
        <v>208000</v>
      </c>
      <c r="F1517">
        <v>33280</v>
      </c>
      <c r="G1517">
        <v>0</v>
      </c>
      <c r="H1517">
        <v>0</v>
      </c>
      <c r="I1517">
        <v>116</v>
      </c>
      <c r="J1517">
        <v>241280</v>
      </c>
      <c r="K1517" t="s">
        <v>3284</v>
      </c>
      <c r="L1517" s="1">
        <v>41152</v>
      </c>
      <c r="N1517" t="s">
        <v>36</v>
      </c>
      <c r="O1517" t="s">
        <v>37</v>
      </c>
      <c r="P1517" t="s">
        <v>357</v>
      </c>
      <c r="Q1517" t="s">
        <v>39</v>
      </c>
      <c r="R1517" t="s">
        <v>40</v>
      </c>
      <c r="S1517">
        <v>0</v>
      </c>
      <c r="U1517" t="s">
        <v>41</v>
      </c>
      <c r="V1517" t="s">
        <v>42</v>
      </c>
      <c r="X1517" t="s">
        <v>74</v>
      </c>
      <c r="Y1517" t="b">
        <v>0</v>
      </c>
      <c r="Z1517" t="b">
        <v>0</v>
      </c>
      <c r="AC1517" s="1"/>
      <c r="AF1517">
        <v>0</v>
      </c>
      <c r="AG1517">
        <v>45</v>
      </c>
      <c r="AH1517">
        <v>161</v>
      </c>
      <c r="AI1517" s="2">
        <f>Table__192.168.3.138DYLAgingReport[[#This Row],[NetAmount]]-Table__192.168.3.138DYLAgingReport[[#This Row],[Paid]]</f>
        <v>241280</v>
      </c>
    </row>
    <row r="1518" spans="1:35">
      <c r="A1518" t="s">
        <v>3285</v>
      </c>
      <c r="B1518" s="1">
        <v>41152</v>
      </c>
      <c r="C1518" s="1">
        <v>41197</v>
      </c>
      <c r="D1518" t="s">
        <v>238</v>
      </c>
      <c r="E1518">
        <v>3350</v>
      </c>
      <c r="F1518">
        <v>536</v>
      </c>
      <c r="G1518">
        <v>0</v>
      </c>
      <c r="H1518">
        <v>0</v>
      </c>
      <c r="I1518">
        <v>130</v>
      </c>
      <c r="J1518">
        <v>3886</v>
      </c>
      <c r="K1518" t="s">
        <v>3286</v>
      </c>
      <c r="L1518" s="1">
        <v>41138</v>
      </c>
      <c r="N1518" t="s">
        <v>36</v>
      </c>
      <c r="O1518" t="s">
        <v>37</v>
      </c>
      <c r="P1518" t="s">
        <v>375</v>
      </c>
      <c r="Q1518" t="s">
        <v>39</v>
      </c>
      <c r="R1518" t="s">
        <v>40</v>
      </c>
      <c r="S1518">
        <v>0</v>
      </c>
      <c r="U1518" t="s">
        <v>41</v>
      </c>
      <c r="V1518" t="s">
        <v>42</v>
      </c>
      <c r="X1518" t="s">
        <v>74</v>
      </c>
      <c r="Y1518" t="b">
        <v>0</v>
      </c>
      <c r="Z1518" t="b">
        <v>0</v>
      </c>
      <c r="AC1518" s="1"/>
      <c r="AF1518">
        <v>0</v>
      </c>
      <c r="AG1518">
        <v>45</v>
      </c>
      <c r="AH1518">
        <v>175</v>
      </c>
      <c r="AI1518" s="2">
        <f>Table__192.168.3.138DYLAgingReport[[#This Row],[NetAmount]]-Table__192.168.3.138DYLAgingReport[[#This Row],[Paid]]</f>
        <v>3886</v>
      </c>
    </row>
    <row r="1519" spans="1:35">
      <c r="A1519" t="s">
        <v>3287</v>
      </c>
      <c r="B1519" s="1">
        <v>41152.386261574073</v>
      </c>
      <c r="C1519" s="1">
        <v>41197.386261574073</v>
      </c>
      <c r="D1519" t="s">
        <v>246</v>
      </c>
      <c r="E1519">
        <v>1479000</v>
      </c>
      <c r="F1519">
        <v>236640</v>
      </c>
      <c r="G1519">
        <v>0</v>
      </c>
      <c r="H1519">
        <v>0</v>
      </c>
      <c r="I1519">
        <v>135</v>
      </c>
      <c r="J1519">
        <v>1715640</v>
      </c>
      <c r="K1519" t="s">
        <v>3288</v>
      </c>
      <c r="L1519" s="1">
        <v>41133</v>
      </c>
      <c r="N1519" t="s">
        <v>36</v>
      </c>
      <c r="O1519" t="s">
        <v>37</v>
      </c>
      <c r="P1519" t="s">
        <v>383</v>
      </c>
      <c r="Q1519" t="s">
        <v>39</v>
      </c>
      <c r="R1519" t="s">
        <v>40</v>
      </c>
      <c r="S1519">
        <v>0</v>
      </c>
      <c r="U1519" t="s">
        <v>41</v>
      </c>
      <c r="V1519" t="s">
        <v>42</v>
      </c>
      <c r="X1519" t="s">
        <v>74</v>
      </c>
      <c r="Y1519" t="b">
        <v>0</v>
      </c>
      <c r="Z1519" t="b">
        <v>0</v>
      </c>
      <c r="AB1519" t="s">
        <v>906</v>
      </c>
      <c r="AC1519" s="1">
        <v>41249</v>
      </c>
      <c r="AD1519" t="s">
        <v>3289</v>
      </c>
      <c r="AE1519" t="s">
        <v>907</v>
      </c>
      <c r="AF1519">
        <v>98234</v>
      </c>
      <c r="AG1519">
        <v>45</v>
      </c>
      <c r="AH1519">
        <v>180</v>
      </c>
      <c r="AI1519" s="2">
        <f>Table__192.168.3.138DYLAgingReport[[#This Row],[NetAmount]]-Table__192.168.3.138DYLAgingReport[[#This Row],[Paid]]</f>
        <v>1617406</v>
      </c>
    </row>
    <row r="1520" spans="1:35">
      <c r="A1520" t="s">
        <v>3290</v>
      </c>
      <c r="B1520" s="1">
        <v>41132</v>
      </c>
      <c r="C1520" s="1">
        <v>41177</v>
      </c>
      <c r="D1520" t="s">
        <v>216</v>
      </c>
      <c r="E1520">
        <v>57600</v>
      </c>
      <c r="F1520">
        <v>9216</v>
      </c>
      <c r="G1520">
        <v>0</v>
      </c>
      <c r="H1520">
        <v>0</v>
      </c>
      <c r="I1520">
        <v>152</v>
      </c>
      <c r="J1520">
        <v>66816</v>
      </c>
      <c r="K1520" t="s">
        <v>3291</v>
      </c>
      <c r="L1520" s="1">
        <v>41131</v>
      </c>
      <c r="M1520" t="s">
        <v>3292</v>
      </c>
      <c r="N1520" t="s">
        <v>36</v>
      </c>
      <c r="O1520" t="s">
        <v>37</v>
      </c>
      <c r="P1520" t="s">
        <v>353</v>
      </c>
      <c r="Q1520" t="s">
        <v>39</v>
      </c>
      <c r="R1520" t="s">
        <v>40</v>
      </c>
      <c r="S1520">
        <v>0</v>
      </c>
      <c r="U1520" t="s">
        <v>41</v>
      </c>
      <c r="V1520" t="s">
        <v>42</v>
      </c>
      <c r="W1520" t="s">
        <v>766</v>
      </c>
      <c r="X1520" t="s">
        <v>74</v>
      </c>
      <c r="Y1520" t="b">
        <v>0</v>
      </c>
      <c r="Z1520" t="b">
        <v>0</v>
      </c>
      <c r="AA1520" t="b">
        <v>0</v>
      </c>
      <c r="AC1520" s="1"/>
      <c r="AF1520">
        <v>0</v>
      </c>
      <c r="AG1520">
        <v>30</v>
      </c>
      <c r="AH1520">
        <v>182</v>
      </c>
      <c r="AI1520" s="2">
        <f>Table__192.168.3.138DYLAgingReport[[#This Row],[NetAmount]]-Table__192.168.3.138DYLAgingReport[[#This Row],[Paid]]</f>
        <v>66816</v>
      </c>
    </row>
    <row r="1521" spans="1:35">
      <c r="A1521" t="s">
        <v>3293</v>
      </c>
      <c r="B1521" s="1">
        <v>41121</v>
      </c>
      <c r="C1521" s="1">
        <v>41166</v>
      </c>
      <c r="D1521" t="s">
        <v>214</v>
      </c>
      <c r="E1521">
        <v>80000</v>
      </c>
      <c r="F1521">
        <v>0</v>
      </c>
      <c r="G1521">
        <v>0</v>
      </c>
      <c r="H1521">
        <v>0</v>
      </c>
      <c r="I1521">
        <v>159</v>
      </c>
      <c r="J1521">
        <v>80000</v>
      </c>
      <c r="K1521" t="s">
        <v>3294</v>
      </c>
      <c r="L1521" s="1">
        <v>41109</v>
      </c>
      <c r="N1521" t="s">
        <v>36</v>
      </c>
      <c r="O1521" t="s">
        <v>37</v>
      </c>
      <c r="P1521" t="s">
        <v>351</v>
      </c>
      <c r="Q1521" t="s">
        <v>39</v>
      </c>
      <c r="R1521" t="s">
        <v>40</v>
      </c>
      <c r="S1521">
        <v>0</v>
      </c>
      <c r="U1521" t="s">
        <v>41</v>
      </c>
      <c r="V1521" t="s">
        <v>42</v>
      </c>
      <c r="X1521" t="s">
        <v>74</v>
      </c>
      <c r="Y1521" t="b">
        <v>0</v>
      </c>
      <c r="Z1521" t="b">
        <v>0</v>
      </c>
      <c r="AC1521" s="1"/>
      <c r="AF1521">
        <v>0</v>
      </c>
      <c r="AG1521">
        <v>45</v>
      </c>
      <c r="AH1521">
        <v>204</v>
      </c>
      <c r="AI1521" s="2">
        <f>Table__192.168.3.138DYLAgingReport[[#This Row],[NetAmount]]-Table__192.168.3.138DYLAgingReport[[#This Row],[Paid]]</f>
        <v>80000</v>
      </c>
    </row>
    <row r="1522" spans="1:35">
      <c r="A1522" t="s">
        <v>3295</v>
      </c>
      <c r="B1522" s="1">
        <v>41152.725277777776</v>
      </c>
      <c r="C1522" s="1">
        <v>41197.725277777776</v>
      </c>
      <c r="D1522" t="s">
        <v>242</v>
      </c>
      <c r="E1522">
        <v>143076</v>
      </c>
      <c r="F1522">
        <v>22893</v>
      </c>
      <c r="G1522">
        <v>0</v>
      </c>
      <c r="H1522">
        <v>0</v>
      </c>
      <c r="I1522">
        <v>116</v>
      </c>
      <c r="J1522">
        <v>165969</v>
      </c>
      <c r="K1522" t="s">
        <v>816</v>
      </c>
      <c r="L1522" s="1">
        <v>41152</v>
      </c>
      <c r="N1522" t="s">
        <v>36</v>
      </c>
      <c r="O1522" t="s">
        <v>37</v>
      </c>
      <c r="P1522" t="s">
        <v>379</v>
      </c>
      <c r="Q1522" t="s">
        <v>39</v>
      </c>
      <c r="R1522" t="s">
        <v>40</v>
      </c>
      <c r="S1522">
        <v>0</v>
      </c>
      <c r="U1522" t="s">
        <v>41</v>
      </c>
      <c r="V1522" t="s">
        <v>42</v>
      </c>
      <c r="X1522" t="s">
        <v>74</v>
      </c>
      <c r="Y1522" t="b">
        <v>0</v>
      </c>
      <c r="Z1522" t="b">
        <v>0</v>
      </c>
      <c r="AB1522" t="s">
        <v>3219</v>
      </c>
      <c r="AC1522" s="1">
        <v>41296</v>
      </c>
      <c r="AF1522">
        <v>0</v>
      </c>
      <c r="AG1522">
        <v>45</v>
      </c>
      <c r="AH1522">
        <v>161</v>
      </c>
      <c r="AI1522" s="2">
        <f>Table__192.168.3.138DYLAgingReport[[#This Row],[NetAmount]]-Table__192.168.3.138DYLAgingReport[[#This Row],[Paid]]</f>
        <v>165969</v>
      </c>
    </row>
    <row r="1523" spans="1:35">
      <c r="A1523" t="s">
        <v>3296</v>
      </c>
      <c r="B1523" s="1">
        <v>41118</v>
      </c>
      <c r="C1523" s="1">
        <v>41163</v>
      </c>
      <c r="D1523" t="s">
        <v>286</v>
      </c>
      <c r="E1523">
        <v>32000</v>
      </c>
      <c r="F1523">
        <v>5120</v>
      </c>
      <c r="G1523">
        <v>0</v>
      </c>
      <c r="H1523">
        <v>0</v>
      </c>
      <c r="I1523">
        <v>120</v>
      </c>
      <c r="J1523">
        <v>37120</v>
      </c>
      <c r="K1523" t="s">
        <v>938</v>
      </c>
      <c r="L1523" s="1">
        <v>41148</v>
      </c>
      <c r="N1523" t="s">
        <v>36</v>
      </c>
      <c r="O1523" t="s">
        <v>37</v>
      </c>
      <c r="P1523" t="s">
        <v>423</v>
      </c>
      <c r="Q1523" t="s">
        <v>39</v>
      </c>
      <c r="R1523" t="s">
        <v>40</v>
      </c>
      <c r="S1523">
        <v>0</v>
      </c>
      <c r="U1523" t="s">
        <v>41</v>
      </c>
      <c r="V1523" t="s">
        <v>42</v>
      </c>
      <c r="X1523" t="s">
        <v>74</v>
      </c>
      <c r="Y1523" t="b">
        <v>0</v>
      </c>
      <c r="Z1523" t="b">
        <v>0</v>
      </c>
      <c r="AC1523" s="1"/>
      <c r="AF1523">
        <v>0</v>
      </c>
      <c r="AG1523">
        <v>45</v>
      </c>
      <c r="AH1523">
        <v>165</v>
      </c>
      <c r="AI1523" s="2">
        <f>Table__192.168.3.138DYLAgingReport[[#This Row],[NetAmount]]-Table__192.168.3.138DYLAgingReport[[#This Row],[Paid]]</f>
        <v>37120</v>
      </c>
    </row>
    <row r="1524" spans="1:35">
      <c r="A1524" t="s">
        <v>3297</v>
      </c>
      <c r="B1524" s="1">
        <v>41148</v>
      </c>
      <c r="C1524" s="1">
        <v>41193</v>
      </c>
      <c r="D1524" t="s">
        <v>286</v>
      </c>
      <c r="E1524">
        <v>62110</v>
      </c>
      <c r="F1524">
        <v>9938</v>
      </c>
      <c r="G1524">
        <v>0</v>
      </c>
      <c r="H1524">
        <v>0</v>
      </c>
      <c r="I1524">
        <v>120</v>
      </c>
      <c r="J1524">
        <v>72048</v>
      </c>
      <c r="K1524" t="s">
        <v>938</v>
      </c>
      <c r="L1524" s="1">
        <v>41148</v>
      </c>
      <c r="N1524" t="s">
        <v>36</v>
      </c>
      <c r="O1524" t="s">
        <v>37</v>
      </c>
      <c r="P1524" t="s">
        <v>423</v>
      </c>
      <c r="Q1524" t="s">
        <v>39</v>
      </c>
      <c r="R1524" t="s">
        <v>40</v>
      </c>
      <c r="S1524">
        <v>0</v>
      </c>
      <c r="U1524" t="s">
        <v>41</v>
      </c>
      <c r="V1524" t="s">
        <v>42</v>
      </c>
      <c r="X1524" t="s">
        <v>74</v>
      </c>
      <c r="Y1524" t="b">
        <v>0</v>
      </c>
      <c r="Z1524" t="b">
        <v>0</v>
      </c>
      <c r="AC1524" s="1"/>
      <c r="AF1524">
        <v>0</v>
      </c>
      <c r="AG1524">
        <v>45</v>
      </c>
      <c r="AH1524">
        <v>165</v>
      </c>
      <c r="AI1524" s="2">
        <f>Table__192.168.3.138DYLAgingReport[[#This Row],[NetAmount]]-Table__192.168.3.138DYLAgingReport[[#This Row],[Paid]]</f>
        <v>72048</v>
      </c>
    </row>
    <row r="1525" spans="1:35">
      <c r="A1525" t="s">
        <v>3298</v>
      </c>
      <c r="B1525" s="1">
        <v>41152.725277777776</v>
      </c>
      <c r="C1525" s="1">
        <v>41197.725277777776</v>
      </c>
      <c r="D1525" t="s">
        <v>281</v>
      </c>
      <c r="E1525">
        <v>56410</v>
      </c>
      <c r="F1525">
        <v>0</v>
      </c>
      <c r="G1525">
        <v>0</v>
      </c>
      <c r="H1525">
        <v>0</v>
      </c>
      <c r="I1525">
        <v>116</v>
      </c>
      <c r="J1525">
        <v>56410</v>
      </c>
      <c r="K1525" t="s">
        <v>3299</v>
      </c>
      <c r="L1525" s="1">
        <v>41152</v>
      </c>
      <c r="N1525" t="s">
        <v>36</v>
      </c>
      <c r="O1525" t="s">
        <v>37</v>
      </c>
      <c r="P1525" t="s">
        <v>418</v>
      </c>
      <c r="Q1525" t="s">
        <v>39</v>
      </c>
      <c r="R1525" t="s">
        <v>40</v>
      </c>
      <c r="S1525">
        <v>0</v>
      </c>
      <c r="U1525" t="s">
        <v>41</v>
      </c>
      <c r="V1525" t="s">
        <v>42</v>
      </c>
      <c r="X1525" t="s">
        <v>74</v>
      </c>
      <c r="Y1525" t="b">
        <v>0</v>
      </c>
      <c r="Z1525" t="b">
        <v>0</v>
      </c>
      <c r="AB1525" t="s">
        <v>3300</v>
      </c>
      <c r="AC1525" s="1">
        <v>41296</v>
      </c>
      <c r="AF1525">
        <v>0</v>
      </c>
      <c r="AG1525">
        <v>45</v>
      </c>
      <c r="AH1525">
        <v>161</v>
      </c>
      <c r="AI1525" s="2">
        <f>Table__192.168.3.138DYLAgingReport[[#This Row],[NetAmount]]-Table__192.168.3.138DYLAgingReport[[#This Row],[Paid]]</f>
        <v>56410</v>
      </c>
    </row>
    <row r="1526" spans="1:35">
      <c r="A1526" t="s">
        <v>3301</v>
      </c>
      <c r="B1526" s="1">
        <v>41152</v>
      </c>
      <c r="C1526" s="1">
        <v>41197</v>
      </c>
      <c r="D1526" t="s">
        <v>247</v>
      </c>
      <c r="E1526">
        <v>64750</v>
      </c>
      <c r="F1526">
        <v>10360</v>
      </c>
      <c r="G1526">
        <v>0</v>
      </c>
      <c r="H1526">
        <v>0</v>
      </c>
      <c r="I1526">
        <v>143</v>
      </c>
      <c r="J1526">
        <v>75110</v>
      </c>
      <c r="K1526" t="s">
        <v>3302</v>
      </c>
      <c r="L1526" s="1">
        <v>41125</v>
      </c>
      <c r="N1526" t="s">
        <v>36</v>
      </c>
      <c r="O1526" t="s">
        <v>37</v>
      </c>
      <c r="P1526" t="s">
        <v>384</v>
      </c>
      <c r="Q1526" t="s">
        <v>39</v>
      </c>
      <c r="R1526" t="s">
        <v>40</v>
      </c>
      <c r="S1526">
        <v>0</v>
      </c>
      <c r="U1526" t="s">
        <v>41</v>
      </c>
      <c r="V1526" t="s">
        <v>42</v>
      </c>
      <c r="X1526" t="s">
        <v>74</v>
      </c>
      <c r="Y1526" t="b">
        <v>0</v>
      </c>
      <c r="Z1526" t="b">
        <v>0</v>
      </c>
      <c r="AC1526" s="1"/>
      <c r="AF1526">
        <v>0</v>
      </c>
      <c r="AG1526">
        <v>45</v>
      </c>
      <c r="AH1526">
        <v>188</v>
      </c>
      <c r="AI1526" s="2">
        <f>Table__192.168.3.138DYLAgingReport[[#This Row],[NetAmount]]-Table__192.168.3.138DYLAgingReport[[#This Row],[Paid]]</f>
        <v>75110</v>
      </c>
    </row>
    <row r="1527" spans="1:35">
      <c r="A1527" t="s">
        <v>3303</v>
      </c>
      <c r="B1527" s="1">
        <v>41152</v>
      </c>
      <c r="C1527" s="1">
        <v>41197</v>
      </c>
      <c r="D1527" t="s">
        <v>227</v>
      </c>
      <c r="E1527">
        <v>50100</v>
      </c>
      <c r="F1527">
        <v>8016</v>
      </c>
      <c r="G1527">
        <v>0</v>
      </c>
      <c r="H1527">
        <v>0</v>
      </c>
      <c r="I1527">
        <v>138</v>
      </c>
      <c r="J1527">
        <v>58116</v>
      </c>
      <c r="K1527" t="s">
        <v>3304</v>
      </c>
      <c r="L1527" s="1">
        <v>41130</v>
      </c>
      <c r="N1527" t="s">
        <v>36</v>
      </c>
      <c r="O1527" t="s">
        <v>37</v>
      </c>
      <c r="P1527" t="s">
        <v>364</v>
      </c>
      <c r="Q1527" t="s">
        <v>39</v>
      </c>
      <c r="R1527" t="s">
        <v>40</v>
      </c>
      <c r="S1527">
        <v>0</v>
      </c>
      <c r="U1527" t="s">
        <v>41</v>
      </c>
      <c r="V1527" t="s">
        <v>42</v>
      </c>
      <c r="X1527" t="s">
        <v>74</v>
      </c>
      <c r="Y1527" t="b">
        <v>0</v>
      </c>
      <c r="Z1527" t="b">
        <v>0</v>
      </c>
      <c r="AC1527" s="1"/>
      <c r="AF1527">
        <v>0</v>
      </c>
      <c r="AG1527">
        <v>45</v>
      </c>
      <c r="AH1527">
        <v>183</v>
      </c>
      <c r="AI1527" s="2">
        <f>Table__192.168.3.138DYLAgingReport[[#This Row],[NetAmount]]-Table__192.168.3.138DYLAgingReport[[#This Row],[Paid]]</f>
        <v>58116</v>
      </c>
    </row>
    <row r="1528" spans="1:35">
      <c r="A1528" t="s">
        <v>3305</v>
      </c>
      <c r="B1528" s="1">
        <v>41145</v>
      </c>
      <c r="C1528" s="1">
        <v>41190</v>
      </c>
      <c r="D1528" t="s">
        <v>227</v>
      </c>
      <c r="E1528">
        <v>257250</v>
      </c>
      <c r="F1528">
        <v>41160</v>
      </c>
      <c r="G1528">
        <v>0</v>
      </c>
      <c r="H1528">
        <v>0</v>
      </c>
      <c r="I1528">
        <v>146</v>
      </c>
      <c r="J1528">
        <v>298410</v>
      </c>
      <c r="K1528" t="s">
        <v>3306</v>
      </c>
      <c r="L1528" s="1">
        <v>41122</v>
      </c>
      <c r="N1528" t="s">
        <v>36</v>
      </c>
      <c r="O1528" t="s">
        <v>37</v>
      </c>
      <c r="P1528" t="s">
        <v>364</v>
      </c>
      <c r="Q1528" t="s">
        <v>39</v>
      </c>
      <c r="R1528" t="s">
        <v>40</v>
      </c>
      <c r="S1528">
        <v>0</v>
      </c>
      <c r="U1528" t="s">
        <v>41</v>
      </c>
      <c r="V1528" t="s">
        <v>42</v>
      </c>
      <c r="X1528" t="s">
        <v>74</v>
      </c>
      <c r="Y1528" t="b">
        <v>0</v>
      </c>
      <c r="Z1528" t="b">
        <v>0</v>
      </c>
      <c r="AC1528" s="1"/>
      <c r="AF1528">
        <v>0</v>
      </c>
      <c r="AG1528">
        <v>45</v>
      </c>
      <c r="AH1528">
        <v>191</v>
      </c>
      <c r="AI1528" s="2">
        <f>Table__192.168.3.138DYLAgingReport[[#This Row],[NetAmount]]-Table__192.168.3.138DYLAgingReport[[#This Row],[Paid]]</f>
        <v>298410</v>
      </c>
    </row>
    <row r="1529" spans="1:35">
      <c r="A1529" t="s">
        <v>3307</v>
      </c>
      <c r="B1529" s="1">
        <v>41152</v>
      </c>
      <c r="C1529" s="1">
        <v>41197</v>
      </c>
      <c r="D1529" t="s">
        <v>227</v>
      </c>
      <c r="E1529">
        <v>900</v>
      </c>
      <c r="F1529">
        <v>144</v>
      </c>
      <c r="G1529">
        <v>0</v>
      </c>
      <c r="H1529">
        <v>0</v>
      </c>
      <c r="I1529">
        <v>130</v>
      </c>
      <c r="J1529">
        <v>1044</v>
      </c>
      <c r="K1529" t="s">
        <v>3308</v>
      </c>
      <c r="L1529" s="1">
        <v>41138</v>
      </c>
      <c r="N1529" t="s">
        <v>36</v>
      </c>
      <c r="O1529" t="s">
        <v>37</v>
      </c>
      <c r="P1529" t="s">
        <v>364</v>
      </c>
      <c r="Q1529" t="s">
        <v>39</v>
      </c>
      <c r="R1529" t="s">
        <v>40</v>
      </c>
      <c r="S1529">
        <v>0</v>
      </c>
      <c r="U1529" t="s">
        <v>41</v>
      </c>
      <c r="V1529" t="s">
        <v>42</v>
      </c>
      <c r="X1529" t="s">
        <v>74</v>
      </c>
      <c r="Y1529" t="b">
        <v>0</v>
      </c>
      <c r="Z1529" t="b">
        <v>0</v>
      </c>
      <c r="AC1529" s="1"/>
      <c r="AF1529">
        <v>0</v>
      </c>
      <c r="AG1529">
        <v>45</v>
      </c>
      <c r="AH1529">
        <v>175</v>
      </c>
      <c r="AI1529" s="2">
        <f>Table__192.168.3.138DYLAgingReport[[#This Row],[NetAmount]]-Table__192.168.3.138DYLAgingReport[[#This Row],[Paid]]</f>
        <v>1044</v>
      </c>
    </row>
    <row r="1530" spans="1:35">
      <c r="A1530" t="s">
        <v>3309</v>
      </c>
      <c r="B1530" s="1">
        <v>41152.631643518522</v>
      </c>
      <c r="C1530" s="1">
        <v>41197.631643518522</v>
      </c>
      <c r="D1530" t="s">
        <v>175</v>
      </c>
      <c r="E1530">
        <v>127300</v>
      </c>
      <c r="F1530">
        <v>20368</v>
      </c>
      <c r="G1530">
        <v>0</v>
      </c>
      <c r="H1530">
        <v>0</v>
      </c>
      <c r="I1530">
        <v>140</v>
      </c>
      <c r="J1530">
        <v>147668</v>
      </c>
      <c r="K1530" t="s">
        <v>3310</v>
      </c>
      <c r="L1530" s="1">
        <v>41128</v>
      </c>
      <c r="N1530" t="s">
        <v>36</v>
      </c>
      <c r="O1530" t="s">
        <v>37</v>
      </c>
      <c r="P1530" t="s">
        <v>312</v>
      </c>
      <c r="Q1530" t="s">
        <v>39</v>
      </c>
      <c r="R1530" t="s">
        <v>40</v>
      </c>
      <c r="S1530">
        <v>0</v>
      </c>
      <c r="U1530" t="s">
        <v>41</v>
      </c>
      <c r="V1530" t="s">
        <v>42</v>
      </c>
      <c r="X1530" t="s">
        <v>74</v>
      </c>
      <c r="Y1530" t="b">
        <v>0</v>
      </c>
      <c r="Z1530" t="b">
        <v>0</v>
      </c>
      <c r="AC1530" s="1"/>
      <c r="AF1530">
        <v>0</v>
      </c>
      <c r="AG1530">
        <v>45</v>
      </c>
      <c r="AH1530">
        <v>185</v>
      </c>
      <c r="AI1530" s="2">
        <f>Table__192.168.3.138DYLAgingReport[[#This Row],[NetAmount]]-Table__192.168.3.138DYLAgingReport[[#This Row],[Paid]]</f>
        <v>147668</v>
      </c>
    </row>
    <row r="1531" spans="1:35">
      <c r="A1531" t="s">
        <v>3311</v>
      </c>
      <c r="B1531" s="1">
        <v>41152.693761574075</v>
      </c>
      <c r="C1531" s="1">
        <v>41152.693761574075</v>
      </c>
      <c r="D1531" t="s">
        <v>296</v>
      </c>
      <c r="E1531">
        <v>17160</v>
      </c>
      <c r="F1531">
        <v>2746</v>
      </c>
      <c r="G1531">
        <v>0</v>
      </c>
      <c r="H1531">
        <v>0</v>
      </c>
      <c r="I1531">
        <v>139</v>
      </c>
      <c r="J1531">
        <v>19906</v>
      </c>
      <c r="K1531" t="s">
        <v>957</v>
      </c>
      <c r="L1531" s="1">
        <v>41129</v>
      </c>
      <c r="N1531" t="s">
        <v>36</v>
      </c>
      <c r="O1531" t="s">
        <v>37</v>
      </c>
      <c r="P1531" t="s">
        <v>433</v>
      </c>
      <c r="Q1531" t="s">
        <v>39</v>
      </c>
      <c r="R1531" t="s">
        <v>40</v>
      </c>
      <c r="S1531">
        <v>0</v>
      </c>
      <c r="U1531" t="s">
        <v>41</v>
      </c>
      <c r="V1531" t="s">
        <v>42</v>
      </c>
      <c r="X1531" t="s">
        <v>74</v>
      </c>
      <c r="Y1531" t="b">
        <v>0</v>
      </c>
      <c r="Z1531" t="b">
        <v>0</v>
      </c>
      <c r="AC1531" s="1"/>
      <c r="AF1531">
        <v>0</v>
      </c>
      <c r="AG1531">
        <v>45</v>
      </c>
      <c r="AH1531">
        <v>184</v>
      </c>
      <c r="AI1531" s="2">
        <f>Table__192.168.3.138DYLAgingReport[[#This Row],[NetAmount]]-Table__192.168.3.138DYLAgingReport[[#This Row],[Paid]]</f>
        <v>19906</v>
      </c>
    </row>
    <row r="1532" spans="1:35">
      <c r="A1532" t="s">
        <v>3312</v>
      </c>
      <c r="B1532" s="1">
        <v>41152.652662037035</v>
      </c>
      <c r="C1532" s="1">
        <v>41152.652662037035</v>
      </c>
      <c r="D1532" t="s">
        <v>296</v>
      </c>
      <c r="E1532">
        <v>9000</v>
      </c>
      <c r="F1532">
        <v>1440</v>
      </c>
      <c r="G1532">
        <v>0</v>
      </c>
      <c r="H1532">
        <v>0</v>
      </c>
      <c r="I1532">
        <v>119</v>
      </c>
      <c r="J1532">
        <v>10440</v>
      </c>
      <c r="K1532" t="s">
        <v>1572</v>
      </c>
      <c r="L1532" s="1">
        <v>41149</v>
      </c>
      <c r="N1532" t="s">
        <v>36</v>
      </c>
      <c r="O1532" t="s">
        <v>37</v>
      </c>
      <c r="P1532" t="s">
        <v>433</v>
      </c>
      <c r="Q1532" t="s">
        <v>39</v>
      </c>
      <c r="R1532" t="s">
        <v>40</v>
      </c>
      <c r="S1532">
        <v>0</v>
      </c>
      <c r="U1532" t="s">
        <v>41</v>
      </c>
      <c r="V1532" t="s">
        <v>42</v>
      </c>
      <c r="X1532" t="s">
        <v>74</v>
      </c>
      <c r="Y1532" t="b">
        <v>0</v>
      </c>
      <c r="Z1532" t="b">
        <v>0</v>
      </c>
      <c r="AC1532" s="1"/>
      <c r="AF1532">
        <v>0</v>
      </c>
      <c r="AG1532">
        <v>45</v>
      </c>
      <c r="AH1532">
        <v>164</v>
      </c>
      <c r="AI1532" s="2">
        <f>Table__192.168.3.138DYLAgingReport[[#This Row],[NetAmount]]-Table__192.168.3.138DYLAgingReport[[#This Row],[Paid]]</f>
        <v>10440</v>
      </c>
    </row>
    <row r="1533" spans="1:35">
      <c r="A1533" t="s">
        <v>3313</v>
      </c>
      <c r="B1533" s="1">
        <v>41152.516493055555</v>
      </c>
      <c r="C1533" s="1">
        <v>41197.516493055555</v>
      </c>
      <c r="D1533" t="s">
        <v>268</v>
      </c>
      <c r="E1533">
        <v>108300</v>
      </c>
      <c r="F1533">
        <v>17328</v>
      </c>
      <c r="G1533">
        <v>0</v>
      </c>
      <c r="H1533">
        <v>0</v>
      </c>
      <c r="I1533">
        <v>116</v>
      </c>
      <c r="J1533">
        <v>125628</v>
      </c>
      <c r="K1533" t="s">
        <v>3314</v>
      </c>
      <c r="L1533" s="1">
        <v>41152</v>
      </c>
      <c r="N1533" t="s">
        <v>36</v>
      </c>
      <c r="O1533" t="s">
        <v>37</v>
      </c>
      <c r="P1533" t="s">
        <v>405</v>
      </c>
      <c r="Q1533" t="s">
        <v>39</v>
      </c>
      <c r="R1533" t="s">
        <v>40</v>
      </c>
      <c r="S1533">
        <v>0</v>
      </c>
      <c r="U1533" t="s">
        <v>41</v>
      </c>
      <c r="V1533" t="s">
        <v>42</v>
      </c>
      <c r="X1533" t="s">
        <v>74</v>
      </c>
      <c r="Y1533" t="b">
        <v>0</v>
      </c>
      <c r="Z1533" t="b">
        <v>0</v>
      </c>
      <c r="AC1533" s="1"/>
      <c r="AF1533">
        <v>0</v>
      </c>
      <c r="AG1533">
        <v>45</v>
      </c>
      <c r="AH1533">
        <v>161</v>
      </c>
      <c r="AI1533" s="2">
        <f>Table__192.168.3.138DYLAgingReport[[#This Row],[NetAmount]]-Table__192.168.3.138DYLAgingReport[[#This Row],[Paid]]</f>
        <v>125628</v>
      </c>
    </row>
    <row r="1534" spans="1:35">
      <c r="A1534" t="s">
        <v>3315</v>
      </c>
      <c r="B1534" s="1">
        <v>41152.636388888888</v>
      </c>
      <c r="C1534" s="1">
        <v>41197.636388888888</v>
      </c>
      <c r="D1534" t="s">
        <v>281</v>
      </c>
      <c r="E1534">
        <v>221482</v>
      </c>
      <c r="F1534">
        <v>0</v>
      </c>
      <c r="G1534">
        <v>0</v>
      </c>
      <c r="H1534">
        <v>0</v>
      </c>
      <c r="I1534">
        <v>131</v>
      </c>
      <c r="J1534">
        <v>221482</v>
      </c>
      <c r="K1534" t="s">
        <v>3316</v>
      </c>
      <c r="L1534" s="1">
        <v>41137</v>
      </c>
      <c r="N1534" t="s">
        <v>36</v>
      </c>
      <c r="O1534" t="s">
        <v>37</v>
      </c>
      <c r="P1534" t="s">
        <v>418</v>
      </c>
      <c r="Q1534" t="s">
        <v>39</v>
      </c>
      <c r="R1534" t="s">
        <v>40</v>
      </c>
      <c r="S1534">
        <v>0</v>
      </c>
      <c r="U1534" t="s">
        <v>41</v>
      </c>
      <c r="V1534" t="s">
        <v>42</v>
      </c>
      <c r="X1534" t="s">
        <v>74</v>
      </c>
      <c r="Y1534" t="b">
        <v>0</v>
      </c>
      <c r="Z1534" t="b">
        <v>0</v>
      </c>
      <c r="AB1534" t="s">
        <v>3300</v>
      </c>
      <c r="AC1534" s="1">
        <v>41296</v>
      </c>
      <c r="AF1534">
        <v>0</v>
      </c>
      <c r="AG1534">
        <v>45</v>
      </c>
      <c r="AH1534">
        <v>176</v>
      </c>
      <c r="AI1534" s="2">
        <f>Table__192.168.3.138DYLAgingReport[[#This Row],[NetAmount]]-Table__192.168.3.138DYLAgingReport[[#This Row],[Paid]]</f>
        <v>221482</v>
      </c>
    </row>
    <row r="1535" spans="1:35">
      <c r="A1535" t="s">
        <v>3317</v>
      </c>
      <c r="B1535" s="1">
        <v>41130</v>
      </c>
      <c r="C1535" s="1">
        <v>41175</v>
      </c>
      <c r="D1535" t="s">
        <v>196</v>
      </c>
      <c r="E1535">
        <v>1136000</v>
      </c>
      <c r="F1535">
        <v>181760</v>
      </c>
      <c r="G1535">
        <v>0</v>
      </c>
      <c r="H1535">
        <v>0</v>
      </c>
      <c r="I1535">
        <v>158</v>
      </c>
      <c r="J1535">
        <v>1317760</v>
      </c>
      <c r="K1535" t="s">
        <v>3318</v>
      </c>
      <c r="L1535" s="1">
        <v>41125</v>
      </c>
      <c r="N1535" t="s">
        <v>36</v>
      </c>
      <c r="O1535" t="s">
        <v>37</v>
      </c>
      <c r="P1535" t="s">
        <v>333</v>
      </c>
      <c r="Q1535" t="s">
        <v>39</v>
      </c>
      <c r="R1535" t="s">
        <v>40</v>
      </c>
      <c r="S1535">
        <v>0</v>
      </c>
      <c r="U1535" t="s">
        <v>41</v>
      </c>
      <c r="V1535" t="s">
        <v>42</v>
      </c>
      <c r="X1535" t="s">
        <v>74</v>
      </c>
      <c r="Y1535" t="b">
        <v>0</v>
      </c>
      <c r="Z1535" t="b">
        <v>0</v>
      </c>
      <c r="AB1535" t="s">
        <v>884</v>
      </c>
      <c r="AC1535" s="1">
        <v>41279</v>
      </c>
      <c r="AD1535" t="s">
        <v>5364</v>
      </c>
      <c r="AE1535" t="s">
        <v>885</v>
      </c>
      <c r="AF1535">
        <v>524889</v>
      </c>
      <c r="AG1535">
        <v>30</v>
      </c>
      <c r="AH1535">
        <v>188</v>
      </c>
      <c r="AI1535" s="2">
        <f>Table__192.168.3.138DYLAgingReport[[#This Row],[NetAmount]]-Table__192.168.3.138DYLAgingReport[[#This Row],[Paid]]</f>
        <v>792871</v>
      </c>
    </row>
    <row r="1536" spans="1:35">
      <c r="A1536" t="s">
        <v>3319</v>
      </c>
      <c r="B1536" s="1">
        <v>41152.435925925929</v>
      </c>
      <c r="C1536" s="1">
        <v>41152.435925925929</v>
      </c>
      <c r="D1536" t="s">
        <v>296</v>
      </c>
      <c r="E1536">
        <v>16124</v>
      </c>
      <c r="F1536">
        <v>2580</v>
      </c>
      <c r="G1536">
        <v>0</v>
      </c>
      <c r="H1536">
        <v>0</v>
      </c>
      <c r="I1536">
        <v>116</v>
      </c>
      <c r="J1536">
        <v>18704</v>
      </c>
      <c r="K1536" t="s">
        <v>3320</v>
      </c>
      <c r="L1536" s="1">
        <v>41152</v>
      </c>
      <c r="N1536" t="s">
        <v>36</v>
      </c>
      <c r="O1536" t="s">
        <v>37</v>
      </c>
      <c r="P1536" t="s">
        <v>433</v>
      </c>
      <c r="Q1536" t="s">
        <v>39</v>
      </c>
      <c r="R1536" t="s">
        <v>40</v>
      </c>
      <c r="S1536">
        <v>0</v>
      </c>
      <c r="U1536" t="s">
        <v>41</v>
      </c>
      <c r="V1536" t="s">
        <v>42</v>
      </c>
      <c r="X1536" t="s">
        <v>74</v>
      </c>
      <c r="Y1536" t="b">
        <v>0</v>
      </c>
      <c r="Z1536" t="b">
        <v>0</v>
      </c>
      <c r="AC1536" s="1"/>
      <c r="AF1536">
        <v>0</v>
      </c>
      <c r="AG1536">
        <v>45</v>
      </c>
      <c r="AH1536">
        <v>161</v>
      </c>
      <c r="AI1536" s="2">
        <f>Table__192.168.3.138DYLAgingReport[[#This Row],[NetAmount]]-Table__192.168.3.138DYLAgingReport[[#This Row],[Paid]]</f>
        <v>18704</v>
      </c>
    </row>
    <row r="1537" spans="1:35">
      <c r="A1537" t="s">
        <v>3321</v>
      </c>
      <c r="B1537" s="1">
        <v>41152.435925925929</v>
      </c>
      <c r="C1537" s="1">
        <v>41152.435925925929</v>
      </c>
      <c r="D1537" t="s">
        <v>296</v>
      </c>
      <c r="E1537">
        <v>16124</v>
      </c>
      <c r="F1537">
        <v>2580</v>
      </c>
      <c r="G1537">
        <v>0</v>
      </c>
      <c r="H1537">
        <v>0</v>
      </c>
      <c r="I1537">
        <v>116</v>
      </c>
      <c r="J1537">
        <v>18704</v>
      </c>
      <c r="K1537" t="s">
        <v>3322</v>
      </c>
      <c r="L1537" s="1">
        <v>41152</v>
      </c>
      <c r="N1537" t="s">
        <v>36</v>
      </c>
      <c r="O1537" t="s">
        <v>37</v>
      </c>
      <c r="P1537" t="s">
        <v>433</v>
      </c>
      <c r="Q1537" t="s">
        <v>39</v>
      </c>
      <c r="R1537" t="s">
        <v>40</v>
      </c>
      <c r="S1537">
        <v>0</v>
      </c>
      <c r="U1537" t="s">
        <v>41</v>
      </c>
      <c r="V1537" t="s">
        <v>42</v>
      </c>
      <c r="X1537" t="s">
        <v>74</v>
      </c>
      <c r="Y1537" t="b">
        <v>0</v>
      </c>
      <c r="Z1537" t="b">
        <v>0</v>
      </c>
      <c r="AC1537" s="1"/>
      <c r="AF1537">
        <v>0</v>
      </c>
      <c r="AG1537">
        <v>45</v>
      </c>
      <c r="AH1537">
        <v>161</v>
      </c>
      <c r="AI1537" s="2">
        <f>Table__192.168.3.138DYLAgingReport[[#This Row],[NetAmount]]-Table__192.168.3.138DYLAgingReport[[#This Row],[Paid]]</f>
        <v>18704</v>
      </c>
    </row>
    <row r="1538" spans="1:35">
      <c r="A1538" t="s">
        <v>3323</v>
      </c>
      <c r="B1538" s="1">
        <v>41162</v>
      </c>
      <c r="C1538" s="1">
        <v>41207</v>
      </c>
      <c r="D1538" t="s">
        <v>227</v>
      </c>
      <c r="E1538">
        <v>519000</v>
      </c>
      <c r="F1538">
        <v>83040</v>
      </c>
      <c r="G1538">
        <v>0</v>
      </c>
      <c r="H1538">
        <v>0</v>
      </c>
      <c r="I1538">
        <v>106</v>
      </c>
      <c r="J1538">
        <v>602040</v>
      </c>
      <c r="K1538" t="s">
        <v>813</v>
      </c>
      <c r="L1538" s="1">
        <v>41162</v>
      </c>
      <c r="N1538" t="s">
        <v>36</v>
      </c>
      <c r="O1538" t="s">
        <v>37</v>
      </c>
      <c r="P1538" t="s">
        <v>364</v>
      </c>
      <c r="Q1538" t="s">
        <v>39</v>
      </c>
      <c r="R1538" t="s">
        <v>40</v>
      </c>
      <c r="S1538">
        <v>0</v>
      </c>
      <c r="U1538" t="s">
        <v>41</v>
      </c>
      <c r="V1538" t="s">
        <v>42</v>
      </c>
      <c r="X1538" t="s">
        <v>74</v>
      </c>
      <c r="Y1538" t="b">
        <v>0</v>
      </c>
      <c r="Z1538" t="b">
        <v>0</v>
      </c>
      <c r="AC1538" s="1"/>
      <c r="AF1538">
        <v>0</v>
      </c>
      <c r="AG1538">
        <v>45</v>
      </c>
      <c r="AH1538">
        <v>151</v>
      </c>
      <c r="AI1538" s="2">
        <f>Table__192.168.3.138DYLAgingReport[[#This Row],[NetAmount]]-Table__192.168.3.138DYLAgingReport[[#This Row],[Paid]]</f>
        <v>602040</v>
      </c>
    </row>
    <row r="1539" spans="1:35">
      <c r="A1539" t="s">
        <v>3324</v>
      </c>
      <c r="B1539" s="1">
        <v>41156</v>
      </c>
      <c r="C1539" s="1">
        <v>41201</v>
      </c>
      <c r="D1539" t="s">
        <v>227</v>
      </c>
      <c r="E1539">
        <v>24000</v>
      </c>
      <c r="F1539">
        <v>3840</v>
      </c>
      <c r="G1539">
        <v>0</v>
      </c>
      <c r="H1539">
        <v>0</v>
      </c>
      <c r="I1539">
        <v>109</v>
      </c>
      <c r="J1539">
        <v>27840</v>
      </c>
      <c r="K1539" t="s">
        <v>3325</v>
      </c>
      <c r="L1539" s="1">
        <v>41159</v>
      </c>
      <c r="N1539" t="s">
        <v>36</v>
      </c>
      <c r="O1539" t="s">
        <v>37</v>
      </c>
      <c r="P1539" t="s">
        <v>364</v>
      </c>
      <c r="Q1539" t="s">
        <v>39</v>
      </c>
      <c r="R1539" t="s">
        <v>40</v>
      </c>
      <c r="S1539">
        <v>0</v>
      </c>
      <c r="U1539" t="s">
        <v>41</v>
      </c>
      <c r="V1539" t="s">
        <v>42</v>
      </c>
      <c r="X1539" t="s">
        <v>74</v>
      </c>
      <c r="Y1539" t="b">
        <v>0</v>
      </c>
      <c r="Z1539" t="b">
        <v>0</v>
      </c>
      <c r="AC1539" s="1"/>
      <c r="AF1539">
        <v>0</v>
      </c>
      <c r="AG1539">
        <v>45</v>
      </c>
      <c r="AH1539">
        <v>154</v>
      </c>
      <c r="AI1539" s="2">
        <f>Table__192.168.3.138DYLAgingReport[[#This Row],[NetAmount]]-Table__192.168.3.138DYLAgingReport[[#This Row],[Paid]]</f>
        <v>27840</v>
      </c>
    </row>
    <row r="1540" spans="1:35">
      <c r="A1540" t="s">
        <v>3326</v>
      </c>
      <c r="B1540" s="1">
        <v>41162</v>
      </c>
      <c r="C1540" s="1">
        <v>41207</v>
      </c>
      <c r="D1540" t="s">
        <v>224</v>
      </c>
      <c r="E1540">
        <v>9150</v>
      </c>
      <c r="F1540">
        <v>1464</v>
      </c>
      <c r="G1540">
        <v>0</v>
      </c>
      <c r="H1540">
        <v>0</v>
      </c>
      <c r="I1540">
        <v>108</v>
      </c>
      <c r="J1540">
        <v>10614</v>
      </c>
      <c r="K1540" t="s">
        <v>3327</v>
      </c>
      <c r="L1540" s="1">
        <v>41160</v>
      </c>
      <c r="N1540" t="s">
        <v>36</v>
      </c>
      <c r="O1540" t="s">
        <v>37</v>
      </c>
      <c r="P1540" t="s">
        <v>361</v>
      </c>
      <c r="Q1540" t="s">
        <v>39</v>
      </c>
      <c r="R1540" t="s">
        <v>40</v>
      </c>
      <c r="S1540">
        <v>0</v>
      </c>
      <c r="U1540" t="s">
        <v>41</v>
      </c>
      <c r="V1540" t="s">
        <v>42</v>
      </c>
      <c r="X1540" t="s">
        <v>74</v>
      </c>
      <c r="Y1540" t="b">
        <v>0</v>
      </c>
      <c r="Z1540" t="b">
        <v>0</v>
      </c>
      <c r="AC1540" s="1"/>
      <c r="AF1540">
        <v>0</v>
      </c>
      <c r="AG1540">
        <v>45</v>
      </c>
      <c r="AH1540">
        <v>153</v>
      </c>
      <c r="AI1540" s="2">
        <f>Table__192.168.3.138DYLAgingReport[[#This Row],[NetAmount]]-Table__192.168.3.138DYLAgingReport[[#This Row],[Paid]]</f>
        <v>10614</v>
      </c>
    </row>
    <row r="1541" spans="1:35">
      <c r="A1541" t="s">
        <v>3328</v>
      </c>
      <c r="B1541" s="1">
        <v>41156</v>
      </c>
      <c r="C1541" s="1">
        <v>41201</v>
      </c>
      <c r="D1541" t="s">
        <v>270</v>
      </c>
      <c r="E1541">
        <v>89100</v>
      </c>
      <c r="F1541">
        <v>14256</v>
      </c>
      <c r="G1541">
        <v>0</v>
      </c>
      <c r="H1541">
        <v>0</v>
      </c>
      <c r="I1541">
        <v>127</v>
      </c>
      <c r="J1541">
        <v>103356</v>
      </c>
      <c r="K1541" t="s">
        <v>62</v>
      </c>
      <c r="L1541" s="1">
        <v>41156</v>
      </c>
      <c r="N1541" t="s">
        <v>36</v>
      </c>
      <c r="O1541" t="s">
        <v>37</v>
      </c>
      <c r="P1541" t="s">
        <v>407</v>
      </c>
      <c r="Q1541" t="s">
        <v>39</v>
      </c>
      <c r="R1541" t="s">
        <v>40</v>
      </c>
      <c r="S1541">
        <v>0</v>
      </c>
      <c r="U1541" t="s">
        <v>41</v>
      </c>
      <c r="V1541" t="s">
        <v>42</v>
      </c>
      <c r="X1541" t="s">
        <v>74</v>
      </c>
      <c r="Y1541" t="b">
        <v>0</v>
      </c>
      <c r="Z1541" t="b">
        <v>0</v>
      </c>
      <c r="AC1541" s="1"/>
      <c r="AF1541">
        <v>0</v>
      </c>
      <c r="AG1541">
        <v>30</v>
      </c>
      <c r="AH1541">
        <v>157</v>
      </c>
      <c r="AI1541" s="2">
        <f>Table__192.168.3.138DYLAgingReport[[#This Row],[NetAmount]]-Table__192.168.3.138DYLAgingReport[[#This Row],[Paid]]</f>
        <v>103356</v>
      </c>
    </row>
    <row r="1542" spans="1:35">
      <c r="A1542" t="s">
        <v>3329</v>
      </c>
      <c r="B1542" s="1">
        <v>41158</v>
      </c>
      <c r="C1542" s="1">
        <v>41203</v>
      </c>
      <c r="D1542" t="s">
        <v>270</v>
      </c>
      <c r="E1542">
        <v>55000</v>
      </c>
      <c r="F1542">
        <v>8800</v>
      </c>
      <c r="G1542">
        <v>0</v>
      </c>
      <c r="H1542">
        <v>0</v>
      </c>
      <c r="I1542">
        <v>125</v>
      </c>
      <c r="J1542">
        <v>63800</v>
      </c>
      <c r="K1542" t="s">
        <v>2912</v>
      </c>
      <c r="L1542" s="1">
        <v>41158</v>
      </c>
      <c r="N1542" t="s">
        <v>36</v>
      </c>
      <c r="O1542" t="s">
        <v>37</v>
      </c>
      <c r="P1542" t="s">
        <v>407</v>
      </c>
      <c r="Q1542" t="s">
        <v>39</v>
      </c>
      <c r="R1542" t="s">
        <v>40</v>
      </c>
      <c r="S1542">
        <v>0</v>
      </c>
      <c r="U1542" t="s">
        <v>41</v>
      </c>
      <c r="V1542" t="s">
        <v>42</v>
      </c>
      <c r="X1542" t="s">
        <v>74</v>
      </c>
      <c r="Y1542" t="b">
        <v>0</v>
      </c>
      <c r="Z1542" t="b">
        <v>0</v>
      </c>
      <c r="AC1542" s="1"/>
      <c r="AF1542">
        <v>0</v>
      </c>
      <c r="AG1542">
        <v>30</v>
      </c>
      <c r="AH1542">
        <v>155</v>
      </c>
      <c r="AI1542" s="2">
        <f>Table__192.168.3.138DYLAgingReport[[#This Row],[NetAmount]]-Table__192.168.3.138DYLAgingReport[[#This Row],[Paid]]</f>
        <v>63800</v>
      </c>
    </row>
    <row r="1543" spans="1:35">
      <c r="A1543" t="s">
        <v>3330</v>
      </c>
      <c r="B1543" s="1">
        <v>41156</v>
      </c>
      <c r="C1543" s="1">
        <v>41201</v>
      </c>
      <c r="D1543" t="s">
        <v>174</v>
      </c>
      <c r="E1543">
        <v>104880</v>
      </c>
      <c r="F1543">
        <v>16781</v>
      </c>
      <c r="G1543">
        <v>0</v>
      </c>
      <c r="H1543">
        <v>0</v>
      </c>
      <c r="I1543">
        <v>113</v>
      </c>
      <c r="J1543">
        <v>121661</v>
      </c>
      <c r="K1543" t="s">
        <v>3314</v>
      </c>
      <c r="L1543" s="1">
        <v>41155</v>
      </c>
      <c r="N1543" t="s">
        <v>36</v>
      </c>
      <c r="O1543" t="s">
        <v>37</v>
      </c>
      <c r="P1543" t="s">
        <v>311</v>
      </c>
      <c r="Q1543" t="s">
        <v>39</v>
      </c>
      <c r="R1543" t="s">
        <v>40</v>
      </c>
      <c r="S1543">
        <v>0</v>
      </c>
      <c r="U1543" t="s">
        <v>41</v>
      </c>
      <c r="V1543" t="s">
        <v>42</v>
      </c>
      <c r="X1543" t="s">
        <v>74</v>
      </c>
      <c r="Y1543" t="b">
        <v>0</v>
      </c>
      <c r="Z1543" t="b">
        <v>0</v>
      </c>
      <c r="AC1543" s="1"/>
      <c r="AF1543">
        <v>0</v>
      </c>
      <c r="AG1543">
        <v>45</v>
      </c>
      <c r="AH1543">
        <v>158</v>
      </c>
      <c r="AI1543" s="2">
        <f>Table__192.168.3.138DYLAgingReport[[#This Row],[NetAmount]]-Table__192.168.3.138DYLAgingReport[[#This Row],[Paid]]</f>
        <v>121661</v>
      </c>
    </row>
    <row r="1544" spans="1:35">
      <c r="A1544" t="s">
        <v>3331</v>
      </c>
      <c r="B1544" s="1">
        <v>41162</v>
      </c>
      <c r="C1544" s="1">
        <v>41207</v>
      </c>
      <c r="D1544" t="s">
        <v>174</v>
      </c>
      <c r="E1544">
        <v>27600</v>
      </c>
      <c r="F1544">
        <v>4416</v>
      </c>
      <c r="G1544">
        <v>0</v>
      </c>
      <c r="H1544">
        <v>0</v>
      </c>
      <c r="I1544">
        <v>108</v>
      </c>
      <c r="J1544">
        <v>32016</v>
      </c>
      <c r="K1544" t="s">
        <v>3332</v>
      </c>
      <c r="L1544" s="1">
        <v>41160</v>
      </c>
      <c r="N1544" t="s">
        <v>36</v>
      </c>
      <c r="O1544" t="s">
        <v>37</v>
      </c>
      <c r="P1544" t="s">
        <v>311</v>
      </c>
      <c r="Q1544" t="s">
        <v>39</v>
      </c>
      <c r="R1544" t="s">
        <v>40</v>
      </c>
      <c r="S1544">
        <v>0</v>
      </c>
      <c r="U1544" t="s">
        <v>41</v>
      </c>
      <c r="V1544" t="s">
        <v>42</v>
      </c>
      <c r="X1544" t="s">
        <v>74</v>
      </c>
      <c r="Y1544" t="b">
        <v>0</v>
      </c>
      <c r="Z1544" t="b">
        <v>0</v>
      </c>
      <c r="AC1544" s="1"/>
      <c r="AF1544">
        <v>0</v>
      </c>
      <c r="AG1544">
        <v>45</v>
      </c>
      <c r="AH1544">
        <v>153</v>
      </c>
      <c r="AI1544" s="2">
        <f>Table__192.168.3.138DYLAgingReport[[#This Row],[NetAmount]]-Table__192.168.3.138DYLAgingReport[[#This Row],[Paid]]</f>
        <v>32016</v>
      </c>
    </row>
    <row r="1545" spans="1:35">
      <c r="A1545" t="s">
        <v>3333</v>
      </c>
      <c r="B1545" s="1">
        <v>41160</v>
      </c>
      <c r="C1545" s="1">
        <v>41205</v>
      </c>
      <c r="D1545" t="s">
        <v>180</v>
      </c>
      <c r="E1545">
        <v>93840</v>
      </c>
      <c r="F1545">
        <v>15014</v>
      </c>
      <c r="G1545">
        <v>0</v>
      </c>
      <c r="H1545">
        <v>0</v>
      </c>
      <c r="I1545">
        <v>108</v>
      </c>
      <c r="J1545">
        <v>108854</v>
      </c>
      <c r="K1545" t="s">
        <v>3334</v>
      </c>
      <c r="L1545" s="1">
        <v>41160</v>
      </c>
      <c r="N1545" t="s">
        <v>36</v>
      </c>
      <c r="O1545" t="s">
        <v>37</v>
      </c>
      <c r="P1545" t="s">
        <v>317</v>
      </c>
      <c r="Q1545" t="s">
        <v>39</v>
      </c>
      <c r="R1545" t="s">
        <v>40</v>
      </c>
      <c r="S1545">
        <v>0</v>
      </c>
      <c r="U1545" t="s">
        <v>41</v>
      </c>
      <c r="V1545" t="s">
        <v>42</v>
      </c>
      <c r="X1545" t="s">
        <v>74</v>
      </c>
      <c r="Y1545" t="b">
        <v>0</v>
      </c>
      <c r="Z1545" t="b">
        <v>0</v>
      </c>
      <c r="AB1545" t="s">
        <v>797</v>
      </c>
      <c r="AC1545" s="1">
        <v>41305</v>
      </c>
      <c r="AE1545" t="s">
        <v>798</v>
      </c>
      <c r="AF1545">
        <v>0</v>
      </c>
      <c r="AG1545">
        <v>45</v>
      </c>
      <c r="AH1545">
        <v>153</v>
      </c>
      <c r="AI1545" s="2">
        <f>Table__192.168.3.138DYLAgingReport[[#This Row],[NetAmount]]-Table__192.168.3.138DYLAgingReport[[#This Row],[Paid]]</f>
        <v>108854</v>
      </c>
    </row>
    <row r="1546" spans="1:35">
      <c r="A1546" t="s">
        <v>3335</v>
      </c>
      <c r="B1546" s="1">
        <v>41160</v>
      </c>
      <c r="C1546" s="1">
        <v>41205</v>
      </c>
      <c r="D1546" t="s">
        <v>180</v>
      </c>
      <c r="E1546">
        <v>53970</v>
      </c>
      <c r="F1546">
        <v>8635</v>
      </c>
      <c r="G1546">
        <v>0</v>
      </c>
      <c r="H1546">
        <v>0</v>
      </c>
      <c r="I1546">
        <v>108</v>
      </c>
      <c r="J1546">
        <v>62605</v>
      </c>
      <c r="K1546" t="s">
        <v>3336</v>
      </c>
      <c r="L1546" s="1">
        <v>41160</v>
      </c>
      <c r="N1546" t="s">
        <v>36</v>
      </c>
      <c r="O1546" t="s">
        <v>37</v>
      </c>
      <c r="P1546" t="s">
        <v>317</v>
      </c>
      <c r="Q1546" t="s">
        <v>39</v>
      </c>
      <c r="R1546" t="s">
        <v>40</v>
      </c>
      <c r="S1546">
        <v>0</v>
      </c>
      <c r="U1546" t="s">
        <v>41</v>
      </c>
      <c r="V1546" t="s">
        <v>42</v>
      </c>
      <c r="X1546" t="s">
        <v>74</v>
      </c>
      <c r="Y1546" t="b">
        <v>0</v>
      </c>
      <c r="Z1546" t="b">
        <v>0</v>
      </c>
      <c r="AB1546" t="s">
        <v>797</v>
      </c>
      <c r="AC1546" s="1">
        <v>41305</v>
      </c>
      <c r="AE1546" t="s">
        <v>798</v>
      </c>
      <c r="AF1546">
        <v>0</v>
      </c>
      <c r="AG1546">
        <v>45</v>
      </c>
      <c r="AH1546">
        <v>153</v>
      </c>
      <c r="AI1546" s="2">
        <f>Table__192.168.3.138DYLAgingReport[[#This Row],[NetAmount]]-Table__192.168.3.138DYLAgingReport[[#This Row],[Paid]]</f>
        <v>62605</v>
      </c>
    </row>
    <row r="1547" spans="1:35">
      <c r="A1547" t="s">
        <v>3337</v>
      </c>
      <c r="B1547" s="1">
        <v>41158</v>
      </c>
      <c r="C1547" s="1">
        <v>41203</v>
      </c>
      <c r="D1547" t="s">
        <v>168</v>
      </c>
      <c r="E1547">
        <v>228540</v>
      </c>
      <c r="F1547">
        <v>36566</v>
      </c>
      <c r="G1547">
        <v>0</v>
      </c>
      <c r="H1547">
        <v>0</v>
      </c>
      <c r="I1547">
        <v>110</v>
      </c>
      <c r="J1547">
        <v>265106</v>
      </c>
      <c r="K1547" t="s">
        <v>3338</v>
      </c>
      <c r="L1547" s="1">
        <v>41158</v>
      </c>
      <c r="N1547" t="s">
        <v>36</v>
      </c>
      <c r="O1547" t="s">
        <v>37</v>
      </c>
      <c r="P1547" t="s">
        <v>305</v>
      </c>
      <c r="Q1547" t="s">
        <v>39</v>
      </c>
      <c r="R1547" t="s">
        <v>40</v>
      </c>
      <c r="S1547">
        <v>0</v>
      </c>
      <c r="U1547" t="s">
        <v>41</v>
      </c>
      <c r="V1547" t="s">
        <v>42</v>
      </c>
      <c r="X1547" t="s">
        <v>74</v>
      </c>
      <c r="Y1547" t="b">
        <v>0</v>
      </c>
      <c r="Z1547" t="b">
        <v>0</v>
      </c>
      <c r="AB1547" t="s">
        <v>961</v>
      </c>
      <c r="AC1547" s="1">
        <v>41291</v>
      </c>
      <c r="AE1547" t="s">
        <v>962</v>
      </c>
      <c r="AF1547">
        <v>0</v>
      </c>
      <c r="AG1547">
        <v>45</v>
      </c>
      <c r="AH1547">
        <v>155</v>
      </c>
      <c r="AI1547" s="2">
        <f>Table__192.168.3.138DYLAgingReport[[#This Row],[NetAmount]]-Table__192.168.3.138DYLAgingReport[[#This Row],[Paid]]</f>
        <v>265106</v>
      </c>
    </row>
    <row r="1548" spans="1:35">
      <c r="A1548" t="s">
        <v>3339</v>
      </c>
      <c r="B1548" s="1">
        <v>41156</v>
      </c>
      <c r="C1548" s="1">
        <v>41201</v>
      </c>
      <c r="D1548" t="s">
        <v>276</v>
      </c>
      <c r="E1548">
        <v>113000</v>
      </c>
      <c r="F1548">
        <v>18080</v>
      </c>
      <c r="G1548">
        <v>0</v>
      </c>
      <c r="H1548">
        <v>0</v>
      </c>
      <c r="I1548">
        <v>113</v>
      </c>
      <c r="J1548">
        <v>131080</v>
      </c>
      <c r="K1548" t="s">
        <v>3340</v>
      </c>
      <c r="L1548" s="1">
        <v>41155</v>
      </c>
      <c r="N1548" t="s">
        <v>36</v>
      </c>
      <c r="O1548" t="s">
        <v>37</v>
      </c>
      <c r="P1548" t="s">
        <v>413</v>
      </c>
      <c r="Q1548" t="s">
        <v>39</v>
      </c>
      <c r="R1548" t="s">
        <v>40</v>
      </c>
      <c r="S1548">
        <v>0</v>
      </c>
      <c r="U1548" t="s">
        <v>41</v>
      </c>
      <c r="V1548" t="s">
        <v>42</v>
      </c>
      <c r="X1548" t="s">
        <v>74</v>
      </c>
      <c r="Y1548" t="b">
        <v>0</v>
      </c>
      <c r="Z1548" t="b">
        <v>0</v>
      </c>
      <c r="AB1548" t="s">
        <v>932</v>
      </c>
      <c r="AC1548" s="1">
        <v>41298</v>
      </c>
      <c r="AF1548">
        <v>0</v>
      </c>
      <c r="AG1548">
        <v>45</v>
      </c>
      <c r="AH1548">
        <v>158</v>
      </c>
      <c r="AI1548" s="2">
        <f>Table__192.168.3.138DYLAgingReport[[#This Row],[NetAmount]]-Table__192.168.3.138DYLAgingReport[[#This Row],[Paid]]</f>
        <v>131080</v>
      </c>
    </row>
    <row r="1549" spans="1:35">
      <c r="A1549" t="s">
        <v>3341</v>
      </c>
      <c r="B1549" s="1">
        <v>41156</v>
      </c>
      <c r="C1549" s="1">
        <v>41201</v>
      </c>
      <c r="D1549" t="s">
        <v>276</v>
      </c>
      <c r="E1549">
        <v>113000</v>
      </c>
      <c r="F1549">
        <v>18080</v>
      </c>
      <c r="G1549">
        <v>0</v>
      </c>
      <c r="H1549">
        <v>0</v>
      </c>
      <c r="I1549">
        <v>112</v>
      </c>
      <c r="J1549">
        <v>131080</v>
      </c>
      <c r="K1549" t="s">
        <v>3342</v>
      </c>
      <c r="L1549" s="1">
        <v>41156</v>
      </c>
      <c r="N1549" t="s">
        <v>36</v>
      </c>
      <c r="O1549" t="s">
        <v>37</v>
      </c>
      <c r="P1549" t="s">
        <v>413</v>
      </c>
      <c r="Q1549" t="s">
        <v>39</v>
      </c>
      <c r="R1549" t="s">
        <v>40</v>
      </c>
      <c r="S1549">
        <v>0</v>
      </c>
      <c r="U1549" t="s">
        <v>41</v>
      </c>
      <c r="V1549" t="s">
        <v>42</v>
      </c>
      <c r="X1549" t="s">
        <v>74</v>
      </c>
      <c r="Y1549" t="b">
        <v>0</v>
      </c>
      <c r="Z1549" t="b">
        <v>0</v>
      </c>
      <c r="AB1549" t="s">
        <v>932</v>
      </c>
      <c r="AC1549" s="1">
        <v>41298</v>
      </c>
      <c r="AF1549">
        <v>0</v>
      </c>
      <c r="AG1549">
        <v>45</v>
      </c>
      <c r="AH1549">
        <v>157</v>
      </c>
      <c r="AI1549" s="2">
        <f>Table__192.168.3.138DYLAgingReport[[#This Row],[NetAmount]]-Table__192.168.3.138DYLAgingReport[[#This Row],[Paid]]</f>
        <v>131080</v>
      </c>
    </row>
    <row r="1550" spans="1:35">
      <c r="A1550" t="s">
        <v>3343</v>
      </c>
      <c r="B1550" s="1">
        <v>41164</v>
      </c>
      <c r="C1550" s="1">
        <v>41209</v>
      </c>
      <c r="D1550" t="s">
        <v>227</v>
      </c>
      <c r="E1550">
        <v>176000</v>
      </c>
      <c r="F1550">
        <v>28160</v>
      </c>
      <c r="G1550">
        <v>0</v>
      </c>
      <c r="H1550">
        <v>0</v>
      </c>
      <c r="I1550">
        <v>104</v>
      </c>
      <c r="J1550">
        <v>204160</v>
      </c>
      <c r="K1550" t="s">
        <v>3344</v>
      </c>
      <c r="L1550" s="1">
        <v>41164</v>
      </c>
      <c r="N1550" t="s">
        <v>36</v>
      </c>
      <c r="O1550" t="s">
        <v>37</v>
      </c>
      <c r="P1550" t="s">
        <v>364</v>
      </c>
      <c r="Q1550" t="s">
        <v>39</v>
      </c>
      <c r="R1550" t="s">
        <v>40</v>
      </c>
      <c r="S1550">
        <v>0</v>
      </c>
      <c r="U1550" t="s">
        <v>41</v>
      </c>
      <c r="V1550" t="s">
        <v>42</v>
      </c>
      <c r="X1550" t="s">
        <v>74</v>
      </c>
      <c r="Y1550" t="b">
        <v>0</v>
      </c>
      <c r="Z1550" t="b">
        <v>0</v>
      </c>
      <c r="AC1550" s="1"/>
      <c r="AF1550">
        <v>0</v>
      </c>
      <c r="AG1550">
        <v>45</v>
      </c>
      <c r="AH1550">
        <v>149</v>
      </c>
      <c r="AI1550" s="2">
        <f>Table__192.168.3.138DYLAgingReport[[#This Row],[NetAmount]]-Table__192.168.3.138DYLAgingReport[[#This Row],[Paid]]</f>
        <v>204160</v>
      </c>
    </row>
    <row r="1551" spans="1:35">
      <c r="A1551" t="s">
        <v>3345</v>
      </c>
      <c r="B1551" s="1">
        <v>41166</v>
      </c>
      <c r="C1551" s="1">
        <v>41211</v>
      </c>
      <c r="D1551" t="s">
        <v>194</v>
      </c>
      <c r="E1551">
        <v>179550</v>
      </c>
      <c r="F1551">
        <v>28728</v>
      </c>
      <c r="G1551">
        <v>0</v>
      </c>
      <c r="H1551">
        <v>0</v>
      </c>
      <c r="I1551">
        <v>102</v>
      </c>
      <c r="J1551">
        <v>208278</v>
      </c>
      <c r="K1551" t="s">
        <v>883</v>
      </c>
      <c r="L1551" s="1">
        <v>41166</v>
      </c>
      <c r="N1551" t="s">
        <v>36</v>
      </c>
      <c r="O1551" t="s">
        <v>37</v>
      </c>
      <c r="P1551" t="s">
        <v>331</v>
      </c>
      <c r="Q1551" t="s">
        <v>39</v>
      </c>
      <c r="R1551" t="s">
        <v>40</v>
      </c>
      <c r="S1551">
        <v>0</v>
      </c>
      <c r="U1551" t="s">
        <v>41</v>
      </c>
      <c r="V1551" t="s">
        <v>42</v>
      </c>
      <c r="X1551" t="s">
        <v>74</v>
      </c>
      <c r="Y1551" t="b">
        <v>0</v>
      </c>
      <c r="Z1551" t="b">
        <v>0</v>
      </c>
      <c r="AC1551" s="1"/>
      <c r="AF1551">
        <v>0</v>
      </c>
      <c r="AG1551">
        <v>45</v>
      </c>
      <c r="AH1551">
        <v>147</v>
      </c>
      <c r="AI1551" s="2">
        <f>Table__192.168.3.138DYLAgingReport[[#This Row],[NetAmount]]-Table__192.168.3.138DYLAgingReport[[#This Row],[Paid]]</f>
        <v>208278</v>
      </c>
    </row>
    <row r="1552" spans="1:35">
      <c r="A1552" t="s">
        <v>3346</v>
      </c>
      <c r="B1552" s="1">
        <v>41138</v>
      </c>
      <c r="C1552" s="1">
        <v>41183</v>
      </c>
      <c r="D1552" t="s">
        <v>166</v>
      </c>
      <c r="E1552">
        <v>17500</v>
      </c>
      <c r="F1552">
        <v>2800</v>
      </c>
      <c r="G1552">
        <v>0</v>
      </c>
      <c r="H1552">
        <v>0</v>
      </c>
      <c r="I1552">
        <v>139</v>
      </c>
      <c r="J1552">
        <v>20300</v>
      </c>
      <c r="K1552" t="s">
        <v>1153</v>
      </c>
      <c r="L1552" s="1">
        <v>41129</v>
      </c>
      <c r="N1552" t="s">
        <v>36</v>
      </c>
      <c r="O1552" t="s">
        <v>37</v>
      </c>
      <c r="P1552" t="s">
        <v>303</v>
      </c>
      <c r="Q1552" t="s">
        <v>39</v>
      </c>
      <c r="R1552" t="s">
        <v>40</v>
      </c>
      <c r="S1552">
        <v>0</v>
      </c>
      <c r="U1552" t="s">
        <v>41</v>
      </c>
      <c r="V1552" t="s">
        <v>42</v>
      </c>
      <c r="X1552" t="s">
        <v>74</v>
      </c>
      <c r="Y1552" t="b">
        <v>0</v>
      </c>
      <c r="Z1552" t="b">
        <v>0</v>
      </c>
      <c r="AC1552" s="1"/>
      <c r="AF1552">
        <v>0</v>
      </c>
      <c r="AG1552">
        <v>45</v>
      </c>
      <c r="AH1552">
        <v>184</v>
      </c>
      <c r="AI1552" s="2">
        <f>Table__192.168.3.138DYLAgingReport[[#This Row],[NetAmount]]-Table__192.168.3.138DYLAgingReport[[#This Row],[Paid]]</f>
        <v>20300</v>
      </c>
    </row>
    <row r="1553" spans="1:35">
      <c r="A1553" t="s">
        <v>3347</v>
      </c>
      <c r="B1553" s="1">
        <v>41138</v>
      </c>
      <c r="C1553" s="1">
        <v>41183</v>
      </c>
      <c r="D1553" t="s">
        <v>166</v>
      </c>
      <c r="E1553">
        <v>1975</v>
      </c>
      <c r="F1553">
        <v>316</v>
      </c>
      <c r="G1553">
        <v>0</v>
      </c>
      <c r="H1553">
        <v>0</v>
      </c>
      <c r="I1553">
        <v>139</v>
      </c>
      <c r="J1553">
        <v>2291</v>
      </c>
      <c r="K1553" t="s">
        <v>833</v>
      </c>
      <c r="L1553" s="1">
        <v>41129</v>
      </c>
      <c r="N1553" t="s">
        <v>36</v>
      </c>
      <c r="O1553" t="s">
        <v>37</v>
      </c>
      <c r="P1553" t="s">
        <v>303</v>
      </c>
      <c r="Q1553" t="s">
        <v>39</v>
      </c>
      <c r="R1553" t="s">
        <v>40</v>
      </c>
      <c r="S1553">
        <v>0</v>
      </c>
      <c r="U1553" t="s">
        <v>41</v>
      </c>
      <c r="V1553" t="s">
        <v>42</v>
      </c>
      <c r="X1553" t="s">
        <v>74</v>
      </c>
      <c r="Y1553" t="b">
        <v>0</v>
      </c>
      <c r="Z1553" t="b">
        <v>0</v>
      </c>
      <c r="AC1553" s="1"/>
      <c r="AF1553">
        <v>0</v>
      </c>
      <c r="AG1553">
        <v>45</v>
      </c>
      <c r="AH1553">
        <v>184</v>
      </c>
      <c r="AI1553" s="2">
        <f>Table__192.168.3.138DYLAgingReport[[#This Row],[NetAmount]]-Table__192.168.3.138DYLAgingReport[[#This Row],[Paid]]</f>
        <v>2291</v>
      </c>
    </row>
    <row r="1554" spans="1:35">
      <c r="A1554" t="s">
        <v>3348</v>
      </c>
      <c r="B1554" s="1">
        <v>41148</v>
      </c>
      <c r="C1554" s="1">
        <v>41193</v>
      </c>
      <c r="D1554" t="s">
        <v>211</v>
      </c>
      <c r="E1554">
        <v>6250</v>
      </c>
      <c r="F1554">
        <v>0</v>
      </c>
      <c r="G1554">
        <v>0</v>
      </c>
      <c r="H1554">
        <v>0</v>
      </c>
      <c r="I1554">
        <v>116</v>
      </c>
      <c r="J1554">
        <v>6250</v>
      </c>
      <c r="K1554" t="s">
        <v>3349</v>
      </c>
      <c r="L1554" s="1">
        <v>41152</v>
      </c>
      <c r="N1554" t="s">
        <v>36</v>
      </c>
      <c r="O1554" t="s">
        <v>37</v>
      </c>
      <c r="P1554" t="s">
        <v>348</v>
      </c>
      <c r="Q1554" t="s">
        <v>39</v>
      </c>
      <c r="R1554" t="s">
        <v>40</v>
      </c>
      <c r="S1554">
        <v>0</v>
      </c>
      <c r="U1554" t="s">
        <v>41</v>
      </c>
      <c r="V1554" t="s">
        <v>42</v>
      </c>
      <c r="X1554" t="s">
        <v>74</v>
      </c>
      <c r="Y1554" t="b">
        <v>0</v>
      </c>
      <c r="Z1554" t="b">
        <v>0</v>
      </c>
      <c r="AC1554" s="1"/>
      <c r="AF1554">
        <v>0</v>
      </c>
      <c r="AG1554">
        <v>45</v>
      </c>
      <c r="AH1554">
        <v>161</v>
      </c>
      <c r="AI1554" s="2">
        <f>Table__192.168.3.138DYLAgingReport[[#This Row],[NetAmount]]-Table__192.168.3.138DYLAgingReport[[#This Row],[Paid]]</f>
        <v>6250</v>
      </c>
    </row>
    <row r="1555" spans="1:35">
      <c r="A1555" t="s">
        <v>3350</v>
      </c>
      <c r="B1555" s="1">
        <v>41145</v>
      </c>
      <c r="C1555" s="1">
        <v>41190</v>
      </c>
      <c r="D1555" t="s">
        <v>200</v>
      </c>
      <c r="E1555">
        <v>201000</v>
      </c>
      <c r="F1555">
        <v>32160</v>
      </c>
      <c r="G1555">
        <v>0</v>
      </c>
      <c r="H1555">
        <v>0</v>
      </c>
      <c r="I1555">
        <v>123</v>
      </c>
      <c r="J1555">
        <v>233160</v>
      </c>
      <c r="K1555" t="s">
        <v>3351</v>
      </c>
      <c r="L1555" s="1">
        <v>41145</v>
      </c>
      <c r="N1555" t="s">
        <v>36</v>
      </c>
      <c r="O1555" t="s">
        <v>37</v>
      </c>
      <c r="P1555" t="s">
        <v>337</v>
      </c>
      <c r="Q1555" t="s">
        <v>39</v>
      </c>
      <c r="R1555" t="s">
        <v>40</v>
      </c>
      <c r="S1555">
        <v>0</v>
      </c>
      <c r="U1555" t="s">
        <v>41</v>
      </c>
      <c r="V1555" t="s">
        <v>42</v>
      </c>
      <c r="X1555" t="s">
        <v>74</v>
      </c>
      <c r="Y1555" t="b">
        <v>0</v>
      </c>
      <c r="Z1555" t="b">
        <v>0</v>
      </c>
      <c r="AC1555" s="1"/>
      <c r="AF1555">
        <v>0</v>
      </c>
      <c r="AG1555">
        <v>45</v>
      </c>
      <c r="AH1555">
        <v>168</v>
      </c>
      <c r="AI1555" s="2">
        <f>Table__192.168.3.138DYLAgingReport[[#This Row],[NetAmount]]-Table__192.168.3.138DYLAgingReport[[#This Row],[Paid]]</f>
        <v>233160</v>
      </c>
    </row>
    <row r="1556" spans="1:35">
      <c r="A1556" t="s">
        <v>3352</v>
      </c>
      <c r="B1556" s="1">
        <v>41166</v>
      </c>
      <c r="C1556" s="1">
        <v>41211</v>
      </c>
      <c r="D1556" t="s">
        <v>180</v>
      </c>
      <c r="E1556">
        <v>64764</v>
      </c>
      <c r="F1556">
        <v>10362</v>
      </c>
      <c r="G1556">
        <v>0</v>
      </c>
      <c r="H1556">
        <v>0</v>
      </c>
      <c r="I1556">
        <v>102</v>
      </c>
      <c r="J1556">
        <v>75126</v>
      </c>
      <c r="K1556" t="s">
        <v>1856</v>
      </c>
      <c r="L1556" s="1">
        <v>41166</v>
      </c>
      <c r="N1556" t="s">
        <v>36</v>
      </c>
      <c r="O1556" t="s">
        <v>37</v>
      </c>
      <c r="P1556" t="s">
        <v>317</v>
      </c>
      <c r="Q1556" t="s">
        <v>39</v>
      </c>
      <c r="R1556" t="s">
        <v>40</v>
      </c>
      <c r="S1556">
        <v>0</v>
      </c>
      <c r="U1556" t="s">
        <v>41</v>
      </c>
      <c r="V1556" t="s">
        <v>42</v>
      </c>
      <c r="X1556" t="s">
        <v>74</v>
      </c>
      <c r="Y1556" t="b">
        <v>0</v>
      </c>
      <c r="Z1556" t="b">
        <v>0</v>
      </c>
      <c r="AB1556" t="s">
        <v>797</v>
      </c>
      <c r="AC1556" s="1">
        <v>41305</v>
      </c>
      <c r="AE1556" t="s">
        <v>798</v>
      </c>
      <c r="AF1556">
        <v>0</v>
      </c>
      <c r="AG1556">
        <v>45</v>
      </c>
      <c r="AH1556">
        <v>147</v>
      </c>
      <c r="AI1556" s="2">
        <f>Table__192.168.3.138DYLAgingReport[[#This Row],[NetAmount]]-Table__192.168.3.138DYLAgingReport[[#This Row],[Paid]]</f>
        <v>75126</v>
      </c>
    </row>
    <row r="1557" spans="1:35">
      <c r="A1557" t="s">
        <v>3353</v>
      </c>
      <c r="B1557" s="1">
        <v>41159</v>
      </c>
      <c r="C1557" s="1">
        <v>41204</v>
      </c>
      <c r="D1557" t="s">
        <v>193</v>
      </c>
      <c r="E1557">
        <v>91197</v>
      </c>
      <c r="F1557">
        <v>14591</v>
      </c>
      <c r="G1557">
        <v>0</v>
      </c>
      <c r="H1557">
        <v>0</v>
      </c>
      <c r="I1557">
        <v>109</v>
      </c>
      <c r="J1557">
        <v>105788</v>
      </c>
      <c r="K1557" t="s">
        <v>3354</v>
      </c>
      <c r="L1557" s="1">
        <v>41159</v>
      </c>
      <c r="N1557" t="s">
        <v>36</v>
      </c>
      <c r="O1557" t="s">
        <v>37</v>
      </c>
      <c r="P1557" t="s">
        <v>330</v>
      </c>
      <c r="Q1557" t="s">
        <v>39</v>
      </c>
      <c r="R1557" t="s">
        <v>40</v>
      </c>
      <c r="S1557">
        <v>0</v>
      </c>
      <c r="U1557" t="s">
        <v>41</v>
      </c>
      <c r="V1557" t="s">
        <v>42</v>
      </c>
      <c r="X1557" t="s">
        <v>74</v>
      </c>
      <c r="Y1557" t="b">
        <v>0</v>
      </c>
      <c r="Z1557" t="b">
        <v>0</v>
      </c>
      <c r="AC1557" s="1"/>
      <c r="AF1557">
        <v>0</v>
      </c>
      <c r="AG1557">
        <v>45</v>
      </c>
      <c r="AH1557">
        <v>154</v>
      </c>
      <c r="AI1557" s="2">
        <f>Table__192.168.3.138DYLAgingReport[[#This Row],[NetAmount]]-Table__192.168.3.138DYLAgingReport[[#This Row],[Paid]]</f>
        <v>105788</v>
      </c>
    </row>
    <row r="1558" spans="1:35">
      <c r="A1558" t="s">
        <v>3355</v>
      </c>
      <c r="B1558" s="1">
        <v>41152.725277777776</v>
      </c>
      <c r="C1558" s="1">
        <v>41197.725277777776</v>
      </c>
      <c r="D1558" t="s">
        <v>193</v>
      </c>
      <c r="E1558">
        <v>47585</v>
      </c>
      <c r="F1558">
        <v>7613</v>
      </c>
      <c r="G1558">
        <v>0</v>
      </c>
      <c r="H1558">
        <v>0</v>
      </c>
      <c r="I1558">
        <v>116</v>
      </c>
      <c r="J1558">
        <v>55198</v>
      </c>
      <c r="K1558" t="s">
        <v>3356</v>
      </c>
      <c r="L1558" s="1">
        <v>41152</v>
      </c>
      <c r="N1558" t="s">
        <v>36</v>
      </c>
      <c r="O1558" t="s">
        <v>37</v>
      </c>
      <c r="P1558" t="s">
        <v>330</v>
      </c>
      <c r="Q1558" t="s">
        <v>39</v>
      </c>
      <c r="R1558" t="s">
        <v>40</v>
      </c>
      <c r="S1558">
        <v>0</v>
      </c>
      <c r="U1558" t="s">
        <v>41</v>
      </c>
      <c r="V1558" t="s">
        <v>42</v>
      </c>
      <c r="X1558" t="s">
        <v>74</v>
      </c>
      <c r="Y1558" t="b">
        <v>0</v>
      </c>
      <c r="Z1558" t="b">
        <v>0</v>
      </c>
      <c r="AC1558" s="1"/>
      <c r="AF1558">
        <v>0</v>
      </c>
      <c r="AG1558">
        <v>45</v>
      </c>
      <c r="AH1558">
        <v>161</v>
      </c>
      <c r="AI1558" s="2">
        <f>Table__192.168.3.138DYLAgingReport[[#This Row],[NetAmount]]-Table__192.168.3.138DYLAgingReport[[#This Row],[Paid]]</f>
        <v>55198</v>
      </c>
    </row>
    <row r="1559" spans="1:35">
      <c r="A1559" t="s">
        <v>3357</v>
      </c>
      <c r="B1559" s="1">
        <v>41162</v>
      </c>
      <c r="C1559" s="1">
        <v>41207</v>
      </c>
      <c r="D1559" t="s">
        <v>220</v>
      </c>
      <c r="E1559">
        <v>130000</v>
      </c>
      <c r="F1559">
        <v>20800</v>
      </c>
      <c r="G1559">
        <v>0</v>
      </c>
      <c r="H1559">
        <v>0</v>
      </c>
      <c r="I1559">
        <v>108</v>
      </c>
      <c r="J1559">
        <v>150800</v>
      </c>
      <c r="K1559" t="s">
        <v>3358</v>
      </c>
      <c r="L1559" s="1">
        <v>41160</v>
      </c>
      <c r="N1559" t="s">
        <v>36</v>
      </c>
      <c r="O1559" t="s">
        <v>37</v>
      </c>
      <c r="P1559" t="s">
        <v>357</v>
      </c>
      <c r="Q1559" t="s">
        <v>39</v>
      </c>
      <c r="R1559" t="s">
        <v>40</v>
      </c>
      <c r="S1559">
        <v>0</v>
      </c>
      <c r="U1559" t="s">
        <v>41</v>
      </c>
      <c r="V1559" t="s">
        <v>42</v>
      </c>
      <c r="X1559" t="s">
        <v>74</v>
      </c>
      <c r="Y1559" t="b">
        <v>0</v>
      </c>
      <c r="Z1559" t="b">
        <v>0</v>
      </c>
      <c r="AC1559" s="1"/>
      <c r="AF1559">
        <v>0</v>
      </c>
      <c r="AG1559">
        <v>45</v>
      </c>
      <c r="AH1559">
        <v>153</v>
      </c>
      <c r="AI1559" s="2">
        <f>Table__192.168.3.138DYLAgingReport[[#This Row],[NetAmount]]-Table__192.168.3.138DYLAgingReport[[#This Row],[Paid]]</f>
        <v>150800</v>
      </c>
    </row>
    <row r="1560" spans="1:35">
      <c r="A1560" t="s">
        <v>3359</v>
      </c>
      <c r="B1560" s="1">
        <v>41165</v>
      </c>
      <c r="C1560" s="1">
        <v>41210</v>
      </c>
      <c r="D1560" t="s">
        <v>220</v>
      </c>
      <c r="E1560">
        <v>33000</v>
      </c>
      <c r="F1560">
        <v>5280</v>
      </c>
      <c r="G1560">
        <v>0</v>
      </c>
      <c r="H1560">
        <v>0</v>
      </c>
      <c r="I1560">
        <v>103</v>
      </c>
      <c r="J1560">
        <v>38280</v>
      </c>
      <c r="K1560" t="s">
        <v>3360</v>
      </c>
      <c r="L1560" s="1">
        <v>41165</v>
      </c>
      <c r="N1560" t="s">
        <v>36</v>
      </c>
      <c r="O1560" t="s">
        <v>37</v>
      </c>
      <c r="P1560" t="s">
        <v>357</v>
      </c>
      <c r="Q1560" t="s">
        <v>39</v>
      </c>
      <c r="R1560" t="s">
        <v>40</v>
      </c>
      <c r="S1560">
        <v>0</v>
      </c>
      <c r="U1560" t="s">
        <v>41</v>
      </c>
      <c r="V1560" t="s">
        <v>42</v>
      </c>
      <c r="X1560" t="s">
        <v>74</v>
      </c>
      <c r="Y1560" t="b">
        <v>0</v>
      </c>
      <c r="Z1560" t="b">
        <v>0</v>
      </c>
      <c r="AC1560" s="1"/>
      <c r="AF1560">
        <v>0</v>
      </c>
      <c r="AG1560">
        <v>45</v>
      </c>
      <c r="AH1560">
        <v>148</v>
      </c>
      <c r="AI1560" s="2">
        <f>Table__192.168.3.138DYLAgingReport[[#This Row],[NetAmount]]-Table__192.168.3.138DYLAgingReport[[#This Row],[Paid]]</f>
        <v>38280</v>
      </c>
    </row>
    <row r="1561" spans="1:35">
      <c r="A1561" t="s">
        <v>3361</v>
      </c>
      <c r="B1561" s="1">
        <v>41166</v>
      </c>
      <c r="C1561" s="1">
        <v>41211</v>
      </c>
      <c r="D1561" t="s">
        <v>220</v>
      </c>
      <c r="E1561">
        <v>130000</v>
      </c>
      <c r="F1561">
        <v>20800</v>
      </c>
      <c r="G1561">
        <v>0</v>
      </c>
      <c r="H1561">
        <v>0</v>
      </c>
      <c r="I1561">
        <v>102</v>
      </c>
      <c r="J1561">
        <v>150800</v>
      </c>
      <c r="K1561" t="s">
        <v>3362</v>
      </c>
      <c r="L1561" s="1">
        <v>41166</v>
      </c>
      <c r="N1561" t="s">
        <v>36</v>
      </c>
      <c r="O1561" t="s">
        <v>37</v>
      </c>
      <c r="P1561" t="s">
        <v>357</v>
      </c>
      <c r="Q1561" t="s">
        <v>39</v>
      </c>
      <c r="R1561" t="s">
        <v>40</v>
      </c>
      <c r="S1561">
        <v>0</v>
      </c>
      <c r="U1561" t="s">
        <v>41</v>
      </c>
      <c r="V1561" t="s">
        <v>42</v>
      </c>
      <c r="X1561" t="s">
        <v>74</v>
      </c>
      <c r="Y1561" t="b">
        <v>0</v>
      </c>
      <c r="Z1561" t="b">
        <v>0</v>
      </c>
      <c r="AC1561" s="1"/>
      <c r="AF1561">
        <v>0</v>
      </c>
      <c r="AG1561">
        <v>45</v>
      </c>
      <c r="AH1561">
        <v>147</v>
      </c>
      <c r="AI1561" s="2">
        <f>Table__192.168.3.138DYLAgingReport[[#This Row],[NetAmount]]-Table__192.168.3.138DYLAgingReport[[#This Row],[Paid]]</f>
        <v>150800</v>
      </c>
    </row>
    <row r="1562" spans="1:35">
      <c r="A1562" t="s">
        <v>3363</v>
      </c>
      <c r="B1562" s="1">
        <v>41165</v>
      </c>
      <c r="C1562" s="1">
        <v>41210</v>
      </c>
      <c r="D1562" t="s">
        <v>224</v>
      </c>
      <c r="E1562">
        <v>12660</v>
      </c>
      <c r="F1562">
        <v>2026</v>
      </c>
      <c r="G1562">
        <v>0</v>
      </c>
      <c r="H1562">
        <v>0</v>
      </c>
      <c r="I1562">
        <v>106</v>
      </c>
      <c r="J1562">
        <v>14686</v>
      </c>
      <c r="K1562" t="s">
        <v>3364</v>
      </c>
      <c r="L1562" s="1">
        <v>41162</v>
      </c>
      <c r="N1562" t="s">
        <v>36</v>
      </c>
      <c r="O1562" t="s">
        <v>37</v>
      </c>
      <c r="P1562" t="s">
        <v>361</v>
      </c>
      <c r="Q1562" t="s">
        <v>39</v>
      </c>
      <c r="R1562" t="s">
        <v>40</v>
      </c>
      <c r="S1562">
        <v>0</v>
      </c>
      <c r="U1562" t="s">
        <v>41</v>
      </c>
      <c r="V1562" t="s">
        <v>42</v>
      </c>
      <c r="X1562" t="s">
        <v>74</v>
      </c>
      <c r="Y1562" t="b">
        <v>0</v>
      </c>
      <c r="Z1562" t="b">
        <v>0</v>
      </c>
      <c r="AC1562" s="1"/>
      <c r="AF1562">
        <v>0</v>
      </c>
      <c r="AG1562">
        <v>45</v>
      </c>
      <c r="AH1562">
        <v>151</v>
      </c>
      <c r="AI1562" s="2">
        <f>Table__192.168.3.138DYLAgingReport[[#This Row],[NetAmount]]-Table__192.168.3.138DYLAgingReport[[#This Row],[Paid]]</f>
        <v>14686</v>
      </c>
    </row>
    <row r="1563" spans="1:35">
      <c r="A1563" t="s">
        <v>3365</v>
      </c>
      <c r="B1563" s="1">
        <v>41166</v>
      </c>
      <c r="C1563" s="1">
        <v>41211</v>
      </c>
      <c r="D1563" t="s">
        <v>224</v>
      </c>
      <c r="E1563">
        <v>96978</v>
      </c>
      <c r="F1563">
        <v>15516</v>
      </c>
      <c r="G1563">
        <v>0</v>
      </c>
      <c r="H1563">
        <v>0</v>
      </c>
      <c r="I1563">
        <v>106</v>
      </c>
      <c r="J1563">
        <v>112494</v>
      </c>
      <c r="K1563" t="s">
        <v>811</v>
      </c>
      <c r="L1563" s="1">
        <v>41162</v>
      </c>
      <c r="N1563" t="s">
        <v>36</v>
      </c>
      <c r="O1563" t="s">
        <v>37</v>
      </c>
      <c r="P1563" t="s">
        <v>361</v>
      </c>
      <c r="Q1563" t="s">
        <v>39</v>
      </c>
      <c r="R1563" t="s">
        <v>40</v>
      </c>
      <c r="S1563">
        <v>0</v>
      </c>
      <c r="U1563" t="s">
        <v>41</v>
      </c>
      <c r="V1563" t="s">
        <v>42</v>
      </c>
      <c r="X1563" t="s">
        <v>74</v>
      </c>
      <c r="Y1563" t="b">
        <v>0</v>
      </c>
      <c r="Z1563" t="b">
        <v>0</v>
      </c>
      <c r="AC1563" s="1"/>
      <c r="AF1563">
        <v>0</v>
      </c>
      <c r="AG1563">
        <v>45</v>
      </c>
      <c r="AH1563">
        <v>151</v>
      </c>
      <c r="AI1563" s="2">
        <f>Table__192.168.3.138DYLAgingReport[[#This Row],[NetAmount]]-Table__192.168.3.138DYLAgingReport[[#This Row],[Paid]]</f>
        <v>112494</v>
      </c>
    </row>
    <row r="1564" spans="1:35">
      <c r="A1564" t="s">
        <v>3366</v>
      </c>
      <c r="B1564" s="1">
        <v>41167</v>
      </c>
      <c r="C1564" s="1">
        <v>41212</v>
      </c>
      <c r="D1564" t="s">
        <v>227</v>
      </c>
      <c r="E1564">
        <v>237500</v>
      </c>
      <c r="F1564">
        <v>38000</v>
      </c>
      <c r="G1564">
        <v>0</v>
      </c>
      <c r="H1564">
        <v>0</v>
      </c>
      <c r="I1564">
        <v>99</v>
      </c>
      <c r="J1564">
        <v>275500</v>
      </c>
      <c r="K1564" t="s">
        <v>3367</v>
      </c>
      <c r="L1564" s="1">
        <v>41169</v>
      </c>
      <c r="N1564" t="s">
        <v>36</v>
      </c>
      <c r="O1564" t="s">
        <v>37</v>
      </c>
      <c r="P1564" t="s">
        <v>364</v>
      </c>
      <c r="Q1564" t="s">
        <v>39</v>
      </c>
      <c r="R1564" t="s">
        <v>40</v>
      </c>
      <c r="S1564">
        <v>0</v>
      </c>
      <c r="U1564" t="s">
        <v>41</v>
      </c>
      <c r="V1564" t="s">
        <v>42</v>
      </c>
      <c r="X1564" t="s">
        <v>74</v>
      </c>
      <c r="Y1564" t="b">
        <v>0</v>
      </c>
      <c r="Z1564" t="b">
        <v>0</v>
      </c>
      <c r="AC1564" s="1"/>
      <c r="AF1564">
        <v>0</v>
      </c>
      <c r="AG1564">
        <v>45</v>
      </c>
      <c r="AH1564">
        <v>144</v>
      </c>
      <c r="AI1564" s="2">
        <f>Table__192.168.3.138DYLAgingReport[[#This Row],[NetAmount]]-Table__192.168.3.138DYLAgingReport[[#This Row],[Paid]]</f>
        <v>275500</v>
      </c>
    </row>
    <row r="1565" spans="1:35">
      <c r="A1565" t="s">
        <v>3368</v>
      </c>
      <c r="B1565" s="1">
        <v>41169</v>
      </c>
      <c r="C1565" s="1">
        <v>41214</v>
      </c>
      <c r="D1565" t="s">
        <v>227</v>
      </c>
      <c r="E1565">
        <v>130800</v>
      </c>
      <c r="F1565">
        <v>20928</v>
      </c>
      <c r="G1565">
        <v>0</v>
      </c>
      <c r="H1565">
        <v>0</v>
      </c>
      <c r="I1565">
        <v>98</v>
      </c>
      <c r="J1565">
        <v>151728</v>
      </c>
      <c r="K1565" t="s">
        <v>3369</v>
      </c>
      <c r="L1565" s="1">
        <v>41170</v>
      </c>
      <c r="N1565" t="s">
        <v>36</v>
      </c>
      <c r="O1565" t="s">
        <v>37</v>
      </c>
      <c r="P1565" t="s">
        <v>364</v>
      </c>
      <c r="Q1565" t="s">
        <v>39</v>
      </c>
      <c r="R1565" t="s">
        <v>40</v>
      </c>
      <c r="S1565">
        <v>0</v>
      </c>
      <c r="U1565" t="s">
        <v>41</v>
      </c>
      <c r="V1565" t="s">
        <v>42</v>
      </c>
      <c r="X1565" t="s">
        <v>74</v>
      </c>
      <c r="Y1565" t="b">
        <v>0</v>
      </c>
      <c r="Z1565" t="b">
        <v>0</v>
      </c>
      <c r="AC1565" s="1"/>
      <c r="AF1565">
        <v>0</v>
      </c>
      <c r="AG1565">
        <v>45</v>
      </c>
      <c r="AH1565">
        <v>143</v>
      </c>
      <c r="AI1565" s="2">
        <f>Table__192.168.3.138DYLAgingReport[[#This Row],[NetAmount]]-Table__192.168.3.138DYLAgingReport[[#This Row],[Paid]]</f>
        <v>151728</v>
      </c>
    </row>
    <row r="1566" spans="1:35">
      <c r="A1566" t="s">
        <v>3370</v>
      </c>
      <c r="B1566" s="1">
        <v>41155</v>
      </c>
      <c r="C1566" s="1">
        <v>41200</v>
      </c>
      <c r="D1566" t="s">
        <v>180</v>
      </c>
      <c r="E1566">
        <v>24540</v>
      </c>
      <c r="F1566">
        <v>3926</v>
      </c>
      <c r="G1566">
        <v>0</v>
      </c>
      <c r="H1566">
        <v>0</v>
      </c>
      <c r="I1566">
        <v>113</v>
      </c>
      <c r="J1566">
        <v>28466</v>
      </c>
      <c r="K1566" t="s">
        <v>3371</v>
      </c>
      <c r="L1566" s="1">
        <v>41155</v>
      </c>
      <c r="N1566" t="s">
        <v>36</v>
      </c>
      <c r="O1566" t="s">
        <v>37</v>
      </c>
      <c r="P1566" t="s">
        <v>317</v>
      </c>
      <c r="Q1566" t="s">
        <v>39</v>
      </c>
      <c r="R1566" t="s">
        <v>40</v>
      </c>
      <c r="S1566">
        <v>0</v>
      </c>
      <c r="U1566" t="s">
        <v>41</v>
      </c>
      <c r="V1566" t="s">
        <v>42</v>
      </c>
      <c r="X1566" t="s">
        <v>74</v>
      </c>
      <c r="Y1566" t="b">
        <v>0</v>
      </c>
      <c r="Z1566" t="b">
        <v>0</v>
      </c>
      <c r="AB1566" t="s">
        <v>797</v>
      </c>
      <c r="AC1566" s="1">
        <v>41305</v>
      </c>
      <c r="AE1566" t="s">
        <v>798</v>
      </c>
      <c r="AF1566">
        <v>0</v>
      </c>
      <c r="AG1566">
        <v>45</v>
      </c>
      <c r="AH1566">
        <v>158</v>
      </c>
      <c r="AI1566" s="2">
        <f>Table__192.168.3.138DYLAgingReport[[#This Row],[NetAmount]]-Table__192.168.3.138DYLAgingReport[[#This Row],[Paid]]</f>
        <v>28466</v>
      </c>
    </row>
    <row r="1567" spans="1:35">
      <c r="A1567" t="s">
        <v>3372</v>
      </c>
      <c r="B1567" s="1">
        <v>41155</v>
      </c>
      <c r="C1567" s="1">
        <v>41200</v>
      </c>
      <c r="D1567" t="s">
        <v>180</v>
      </c>
      <c r="E1567">
        <v>53185</v>
      </c>
      <c r="F1567">
        <v>8510</v>
      </c>
      <c r="G1567">
        <v>0</v>
      </c>
      <c r="H1567">
        <v>0</v>
      </c>
      <c r="I1567">
        <v>113</v>
      </c>
      <c r="J1567">
        <v>61695</v>
      </c>
      <c r="K1567" t="s">
        <v>3373</v>
      </c>
      <c r="L1567" s="1">
        <v>41155</v>
      </c>
      <c r="N1567" t="s">
        <v>36</v>
      </c>
      <c r="O1567" t="s">
        <v>37</v>
      </c>
      <c r="P1567" t="s">
        <v>317</v>
      </c>
      <c r="Q1567" t="s">
        <v>39</v>
      </c>
      <c r="R1567" t="s">
        <v>40</v>
      </c>
      <c r="S1567">
        <v>0</v>
      </c>
      <c r="U1567" t="s">
        <v>41</v>
      </c>
      <c r="V1567" t="s">
        <v>42</v>
      </c>
      <c r="X1567" t="s">
        <v>74</v>
      </c>
      <c r="Y1567" t="b">
        <v>0</v>
      </c>
      <c r="Z1567" t="b">
        <v>0</v>
      </c>
      <c r="AB1567" t="s">
        <v>797</v>
      </c>
      <c r="AC1567" s="1">
        <v>41305</v>
      </c>
      <c r="AE1567" t="s">
        <v>798</v>
      </c>
      <c r="AF1567">
        <v>0</v>
      </c>
      <c r="AG1567">
        <v>45</v>
      </c>
      <c r="AH1567">
        <v>158</v>
      </c>
      <c r="AI1567" s="2">
        <f>Table__192.168.3.138DYLAgingReport[[#This Row],[NetAmount]]-Table__192.168.3.138DYLAgingReport[[#This Row],[Paid]]</f>
        <v>61695</v>
      </c>
    </row>
    <row r="1568" spans="1:35">
      <c r="A1568" t="s">
        <v>3374</v>
      </c>
      <c r="B1568" s="1">
        <v>41156</v>
      </c>
      <c r="C1568" s="1">
        <v>41201</v>
      </c>
      <c r="D1568" t="s">
        <v>242</v>
      </c>
      <c r="E1568">
        <v>73372</v>
      </c>
      <c r="F1568">
        <v>11740</v>
      </c>
      <c r="G1568">
        <v>0</v>
      </c>
      <c r="H1568">
        <v>0</v>
      </c>
      <c r="I1568">
        <v>112</v>
      </c>
      <c r="J1568">
        <v>85112</v>
      </c>
      <c r="K1568" t="s">
        <v>3375</v>
      </c>
      <c r="L1568" s="1">
        <v>41156</v>
      </c>
      <c r="N1568" t="s">
        <v>36</v>
      </c>
      <c r="O1568" t="s">
        <v>37</v>
      </c>
      <c r="P1568" t="s">
        <v>379</v>
      </c>
      <c r="Q1568" t="s">
        <v>39</v>
      </c>
      <c r="R1568" t="s">
        <v>40</v>
      </c>
      <c r="S1568">
        <v>0</v>
      </c>
      <c r="U1568" t="s">
        <v>41</v>
      </c>
      <c r="V1568" t="s">
        <v>42</v>
      </c>
      <c r="X1568" t="s">
        <v>74</v>
      </c>
      <c r="Y1568" t="b">
        <v>0</v>
      </c>
      <c r="Z1568" t="b">
        <v>0</v>
      </c>
      <c r="AC1568" s="1"/>
      <c r="AF1568">
        <v>0</v>
      </c>
      <c r="AG1568">
        <v>45</v>
      </c>
      <c r="AH1568">
        <v>157</v>
      </c>
      <c r="AI1568" s="2">
        <f>Table__192.168.3.138DYLAgingReport[[#This Row],[NetAmount]]-Table__192.168.3.138DYLAgingReport[[#This Row],[Paid]]</f>
        <v>85112</v>
      </c>
    </row>
    <row r="1569" spans="1:35">
      <c r="A1569" t="s">
        <v>3376</v>
      </c>
      <c r="B1569" s="1">
        <v>41156</v>
      </c>
      <c r="C1569" s="1">
        <v>41201</v>
      </c>
      <c r="D1569" t="s">
        <v>242</v>
      </c>
      <c r="E1569">
        <v>73260</v>
      </c>
      <c r="F1569">
        <v>11722</v>
      </c>
      <c r="G1569">
        <v>0</v>
      </c>
      <c r="H1569">
        <v>0</v>
      </c>
      <c r="I1569">
        <v>112</v>
      </c>
      <c r="J1569">
        <v>84982</v>
      </c>
      <c r="K1569" t="s">
        <v>3377</v>
      </c>
      <c r="L1569" s="1">
        <v>41156</v>
      </c>
      <c r="N1569" t="s">
        <v>36</v>
      </c>
      <c r="O1569" t="s">
        <v>37</v>
      </c>
      <c r="P1569" t="s">
        <v>379</v>
      </c>
      <c r="Q1569" t="s">
        <v>39</v>
      </c>
      <c r="R1569" t="s">
        <v>40</v>
      </c>
      <c r="S1569">
        <v>0</v>
      </c>
      <c r="U1569" t="s">
        <v>41</v>
      </c>
      <c r="V1569" t="s">
        <v>42</v>
      </c>
      <c r="X1569" t="s">
        <v>74</v>
      </c>
      <c r="Y1569" t="b">
        <v>0</v>
      </c>
      <c r="Z1569" t="b">
        <v>0</v>
      </c>
      <c r="AC1569" s="1"/>
      <c r="AF1569">
        <v>0</v>
      </c>
      <c r="AG1569">
        <v>45</v>
      </c>
      <c r="AH1569">
        <v>157</v>
      </c>
      <c r="AI1569" s="2">
        <f>Table__192.168.3.138DYLAgingReport[[#This Row],[NetAmount]]-Table__192.168.3.138DYLAgingReport[[#This Row],[Paid]]</f>
        <v>84982</v>
      </c>
    </row>
    <row r="1570" spans="1:35">
      <c r="A1570" t="s">
        <v>3378</v>
      </c>
      <c r="B1570" s="1">
        <v>41156</v>
      </c>
      <c r="C1570" s="1">
        <v>41201</v>
      </c>
      <c r="D1570" t="s">
        <v>242</v>
      </c>
      <c r="E1570">
        <v>92958</v>
      </c>
      <c r="F1570">
        <v>14874</v>
      </c>
      <c r="G1570">
        <v>0</v>
      </c>
      <c r="H1570">
        <v>0</v>
      </c>
      <c r="I1570">
        <v>112</v>
      </c>
      <c r="J1570">
        <v>107832</v>
      </c>
      <c r="K1570" t="s">
        <v>3379</v>
      </c>
      <c r="L1570" s="1">
        <v>41156</v>
      </c>
      <c r="N1570" t="s">
        <v>36</v>
      </c>
      <c r="O1570" t="s">
        <v>37</v>
      </c>
      <c r="P1570" t="s">
        <v>379</v>
      </c>
      <c r="Q1570" t="s">
        <v>39</v>
      </c>
      <c r="R1570" t="s">
        <v>40</v>
      </c>
      <c r="S1570">
        <v>0</v>
      </c>
      <c r="U1570" t="s">
        <v>41</v>
      </c>
      <c r="V1570" t="s">
        <v>42</v>
      </c>
      <c r="X1570" t="s">
        <v>74</v>
      </c>
      <c r="Y1570" t="b">
        <v>0</v>
      </c>
      <c r="Z1570" t="b">
        <v>0</v>
      </c>
      <c r="AC1570" s="1"/>
      <c r="AF1570">
        <v>0</v>
      </c>
      <c r="AG1570">
        <v>45</v>
      </c>
      <c r="AH1570">
        <v>157</v>
      </c>
      <c r="AI1570" s="2">
        <f>Table__192.168.3.138DYLAgingReport[[#This Row],[NetAmount]]-Table__192.168.3.138DYLAgingReport[[#This Row],[Paid]]</f>
        <v>107832</v>
      </c>
    </row>
    <row r="1571" spans="1:35">
      <c r="A1571" t="s">
        <v>3380</v>
      </c>
      <c r="B1571" s="1">
        <v>41157</v>
      </c>
      <c r="C1571" s="1">
        <v>41202</v>
      </c>
      <c r="D1571" t="s">
        <v>242</v>
      </c>
      <c r="E1571">
        <v>6660</v>
      </c>
      <c r="F1571">
        <v>1066</v>
      </c>
      <c r="G1571">
        <v>0</v>
      </c>
      <c r="H1571">
        <v>0</v>
      </c>
      <c r="I1571">
        <v>112</v>
      </c>
      <c r="J1571">
        <v>7726</v>
      </c>
      <c r="K1571" t="s">
        <v>3381</v>
      </c>
      <c r="L1571" s="1">
        <v>41156</v>
      </c>
      <c r="N1571" t="s">
        <v>36</v>
      </c>
      <c r="O1571" t="s">
        <v>37</v>
      </c>
      <c r="P1571" t="s">
        <v>379</v>
      </c>
      <c r="Q1571" t="s">
        <v>39</v>
      </c>
      <c r="R1571" t="s">
        <v>40</v>
      </c>
      <c r="S1571">
        <v>0</v>
      </c>
      <c r="U1571" t="s">
        <v>41</v>
      </c>
      <c r="V1571" t="s">
        <v>42</v>
      </c>
      <c r="X1571" t="s">
        <v>74</v>
      </c>
      <c r="Y1571" t="b">
        <v>0</v>
      </c>
      <c r="Z1571" t="b">
        <v>0</v>
      </c>
      <c r="AC1571" s="1"/>
      <c r="AF1571">
        <v>0</v>
      </c>
      <c r="AG1571">
        <v>45</v>
      </c>
      <c r="AH1571">
        <v>157</v>
      </c>
      <c r="AI1571" s="2">
        <f>Table__192.168.3.138DYLAgingReport[[#This Row],[NetAmount]]-Table__192.168.3.138DYLAgingReport[[#This Row],[Paid]]</f>
        <v>7726</v>
      </c>
    </row>
    <row r="1572" spans="1:35">
      <c r="A1572" t="s">
        <v>3382</v>
      </c>
      <c r="B1572" s="1">
        <v>41164</v>
      </c>
      <c r="C1572" s="1">
        <v>41209</v>
      </c>
      <c r="D1572" t="s">
        <v>242</v>
      </c>
      <c r="E1572">
        <v>12340</v>
      </c>
      <c r="F1572">
        <v>1974</v>
      </c>
      <c r="G1572">
        <v>0</v>
      </c>
      <c r="H1572">
        <v>0</v>
      </c>
      <c r="I1572">
        <v>104</v>
      </c>
      <c r="J1572">
        <v>14314</v>
      </c>
      <c r="K1572" t="s">
        <v>3383</v>
      </c>
      <c r="L1572" s="1">
        <v>41164</v>
      </c>
      <c r="N1572" t="s">
        <v>36</v>
      </c>
      <c r="O1572" t="s">
        <v>37</v>
      </c>
      <c r="P1572" t="s">
        <v>379</v>
      </c>
      <c r="Q1572" t="s">
        <v>39</v>
      </c>
      <c r="R1572" t="s">
        <v>40</v>
      </c>
      <c r="S1572">
        <v>0</v>
      </c>
      <c r="U1572" t="s">
        <v>41</v>
      </c>
      <c r="V1572" t="s">
        <v>42</v>
      </c>
      <c r="X1572" t="s">
        <v>74</v>
      </c>
      <c r="Y1572" t="b">
        <v>0</v>
      </c>
      <c r="Z1572" t="b">
        <v>0</v>
      </c>
      <c r="AC1572" s="1"/>
      <c r="AF1572">
        <v>0</v>
      </c>
      <c r="AG1572">
        <v>45</v>
      </c>
      <c r="AH1572">
        <v>149</v>
      </c>
      <c r="AI1572" s="2">
        <f>Table__192.168.3.138DYLAgingReport[[#This Row],[NetAmount]]-Table__192.168.3.138DYLAgingReport[[#This Row],[Paid]]</f>
        <v>14314</v>
      </c>
    </row>
    <row r="1573" spans="1:35">
      <c r="A1573" t="s">
        <v>3384</v>
      </c>
      <c r="B1573" s="1">
        <v>41165</v>
      </c>
      <c r="C1573" s="1">
        <v>41210</v>
      </c>
      <c r="D1573" t="s">
        <v>242</v>
      </c>
      <c r="E1573">
        <v>189666</v>
      </c>
      <c r="F1573">
        <v>30347</v>
      </c>
      <c r="G1573">
        <v>0</v>
      </c>
      <c r="H1573">
        <v>0</v>
      </c>
      <c r="I1573">
        <v>103</v>
      </c>
      <c r="J1573">
        <v>220013</v>
      </c>
      <c r="K1573" t="s">
        <v>3385</v>
      </c>
      <c r="L1573" s="1">
        <v>41165</v>
      </c>
      <c r="N1573" t="s">
        <v>36</v>
      </c>
      <c r="O1573" t="s">
        <v>37</v>
      </c>
      <c r="P1573" t="s">
        <v>379</v>
      </c>
      <c r="Q1573" t="s">
        <v>39</v>
      </c>
      <c r="R1573" t="s">
        <v>40</v>
      </c>
      <c r="S1573">
        <v>0</v>
      </c>
      <c r="U1573" t="s">
        <v>41</v>
      </c>
      <c r="V1573" t="s">
        <v>42</v>
      </c>
      <c r="X1573" t="s">
        <v>74</v>
      </c>
      <c r="Y1573" t="b">
        <v>0</v>
      </c>
      <c r="Z1573" t="b">
        <v>0</v>
      </c>
      <c r="AC1573" s="1"/>
      <c r="AF1573">
        <v>0</v>
      </c>
      <c r="AG1573">
        <v>45</v>
      </c>
      <c r="AH1573">
        <v>148</v>
      </c>
      <c r="AI1573" s="2">
        <f>Table__192.168.3.138DYLAgingReport[[#This Row],[NetAmount]]-Table__192.168.3.138DYLAgingReport[[#This Row],[Paid]]</f>
        <v>220013</v>
      </c>
    </row>
    <row r="1574" spans="1:35">
      <c r="A1574" t="s">
        <v>3386</v>
      </c>
      <c r="B1574" s="1">
        <v>41169</v>
      </c>
      <c r="C1574" s="1">
        <v>41214</v>
      </c>
      <c r="D1574" t="s">
        <v>242</v>
      </c>
      <c r="E1574">
        <v>5200</v>
      </c>
      <c r="F1574">
        <v>832</v>
      </c>
      <c r="G1574">
        <v>0</v>
      </c>
      <c r="H1574">
        <v>0</v>
      </c>
      <c r="I1574">
        <v>99</v>
      </c>
      <c r="J1574">
        <v>6032</v>
      </c>
      <c r="K1574" t="s">
        <v>3387</v>
      </c>
      <c r="L1574" s="1">
        <v>41169</v>
      </c>
      <c r="N1574" t="s">
        <v>36</v>
      </c>
      <c r="O1574" t="s">
        <v>37</v>
      </c>
      <c r="P1574" t="s">
        <v>379</v>
      </c>
      <c r="Q1574" t="s">
        <v>39</v>
      </c>
      <c r="R1574" t="s">
        <v>40</v>
      </c>
      <c r="S1574">
        <v>0</v>
      </c>
      <c r="U1574" t="s">
        <v>41</v>
      </c>
      <c r="V1574" t="s">
        <v>42</v>
      </c>
      <c r="X1574" t="s">
        <v>74</v>
      </c>
      <c r="Y1574" t="b">
        <v>0</v>
      </c>
      <c r="Z1574" t="b">
        <v>0</v>
      </c>
      <c r="AC1574" s="1"/>
      <c r="AF1574">
        <v>0</v>
      </c>
      <c r="AG1574">
        <v>45</v>
      </c>
      <c r="AH1574">
        <v>144</v>
      </c>
      <c r="AI1574" s="2">
        <f>Table__192.168.3.138DYLAgingReport[[#This Row],[NetAmount]]-Table__192.168.3.138DYLAgingReport[[#This Row],[Paid]]</f>
        <v>6032</v>
      </c>
    </row>
    <row r="1575" spans="1:35">
      <c r="A1575" t="s">
        <v>3388</v>
      </c>
      <c r="B1575" s="1">
        <v>41162</v>
      </c>
      <c r="C1575" s="1">
        <v>41207</v>
      </c>
      <c r="D1575" t="s">
        <v>224</v>
      </c>
      <c r="E1575">
        <v>148968</v>
      </c>
      <c r="F1575">
        <v>23835</v>
      </c>
      <c r="G1575">
        <v>0</v>
      </c>
      <c r="H1575">
        <v>0</v>
      </c>
      <c r="I1575">
        <v>108</v>
      </c>
      <c r="J1575">
        <v>172803</v>
      </c>
      <c r="K1575" t="s">
        <v>3389</v>
      </c>
      <c r="L1575" s="1">
        <v>41160</v>
      </c>
      <c r="N1575" t="s">
        <v>36</v>
      </c>
      <c r="O1575" t="s">
        <v>37</v>
      </c>
      <c r="P1575" t="s">
        <v>361</v>
      </c>
      <c r="Q1575" t="s">
        <v>39</v>
      </c>
      <c r="R1575" t="s">
        <v>40</v>
      </c>
      <c r="S1575">
        <v>0</v>
      </c>
      <c r="U1575" t="s">
        <v>41</v>
      </c>
      <c r="V1575" t="s">
        <v>42</v>
      </c>
      <c r="X1575" t="s">
        <v>74</v>
      </c>
      <c r="Y1575" t="b">
        <v>0</v>
      </c>
      <c r="Z1575" t="b">
        <v>0</v>
      </c>
      <c r="AC1575" s="1"/>
      <c r="AF1575">
        <v>0</v>
      </c>
      <c r="AG1575">
        <v>45</v>
      </c>
      <c r="AH1575">
        <v>153</v>
      </c>
      <c r="AI1575" s="2">
        <f>Table__192.168.3.138DYLAgingReport[[#This Row],[NetAmount]]-Table__192.168.3.138DYLAgingReport[[#This Row],[Paid]]</f>
        <v>172803</v>
      </c>
    </row>
    <row r="1576" spans="1:35">
      <c r="A1576" t="s">
        <v>3390</v>
      </c>
      <c r="B1576" s="1">
        <v>41167</v>
      </c>
      <c r="C1576" s="1">
        <v>41212</v>
      </c>
      <c r="D1576" t="s">
        <v>270</v>
      </c>
      <c r="E1576">
        <v>82500</v>
      </c>
      <c r="F1576">
        <v>13200</v>
      </c>
      <c r="G1576">
        <v>0</v>
      </c>
      <c r="H1576">
        <v>0</v>
      </c>
      <c r="I1576">
        <v>116</v>
      </c>
      <c r="J1576">
        <v>95700</v>
      </c>
      <c r="K1576" t="s">
        <v>71</v>
      </c>
      <c r="L1576" s="1">
        <v>41167</v>
      </c>
      <c r="N1576" t="s">
        <v>36</v>
      </c>
      <c r="O1576" t="s">
        <v>37</v>
      </c>
      <c r="P1576" t="s">
        <v>407</v>
      </c>
      <c r="Q1576" t="s">
        <v>39</v>
      </c>
      <c r="R1576" t="s">
        <v>40</v>
      </c>
      <c r="S1576">
        <v>0</v>
      </c>
      <c r="U1576" t="s">
        <v>41</v>
      </c>
      <c r="V1576" t="s">
        <v>42</v>
      </c>
      <c r="X1576" t="s">
        <v>74</v>
      </c>
      <c r="Y1576" t="b">
        <v>0</v>
      </c>
      <c r="Z1576" t="b">
        <v>0</v>
      </c>
      <c r="AC1576" s="1"/>
      <c r="AF1576">
        <v>0</v>
      </c>
      <c r="AG1576">
        <v>30</v>
      </c>
      <c r="AH1576">
        <v>146</v>
      </c>
      <c r="AI1576" s="2">
        <f>Table__192.168.3.138DYLAgingReport[[#This Row],[NetAmount]]-Table__192.168.3.138DYLAgingReport[[#This Row],[Paid]]</f>
        <v>95700</v>
      </c>
    </row>
    <row r="1577" spans="1:35">
      <c r="A1577" t="s">
        <v>3391</v>
      </c>
      <c r="B1577" s="1">
        <v>41160</v>
      </c>
      <c r="C1577" s="1">
        <v>41160</v>
      </c>
      <c r="D1577" t="s">
        <v>296</v>
      </c>
      <c r="E1577">
        <v>3000</v>
      </c>
      <c r="F1577">
        <v>480</v>
      </c>
      <c r="G1577">
        <v>0</v>
      </c>
      <c r="H1577">
        <v>0</v>
      </c>
      <c r="I1577">
        <v>109</v>
      </c>
      <c r="J1577">
        <v>3480</v>
      </c>
      <c r="K1577" t="s">
        <v>3392</v>
      </c>
      <c r="L1577" s="1">
        <v>41159</v>
      </c>
      <c r="N1577" t="s">
        <v>36</v>
      </c>
      <c r="O1577" t="s">
        <v>37</v>
      </c>
      <c r="P1577" t="s">
        <v>433</v>
      </c>
      <c r="Q1577" t="s">
        <v>39</v>
      </c>
      <c r="R1577" t="s">
        <v>40</v>
      </c>
      <c r="S1577">
        <v>0</v>
      </c>
      <c r="U1577" t="s">
        <v>41</v>
      </c>
      <c r="V1577" t="s">
        <v>42</v>
      </c>
      <c r="X1577" t="s">
        <v>74</v>
      </c>
      <c r="Y1577" t="b">
        <v>0</v>
      </c>
      <c r="Z1577" t="b">
        <v>0</v>
      </c>
      <c r="AC1577" s="1"/>
      <c r="AF1577">
        <v>0</v>
      </c>
      <c r="AG1577">
        <v>45</v>
      </c>
      <c r="AH1577">
        <v>154</v>
      </c>
      <c r="AI1577" s="2">
        <f>Table__192.168.3.138DYLAgingReport[[#This Row],[NetAmount]]-Table__192.168.3.138DYLAgingReport[[#This Row],[Paid]]</f>
        <v>3480</v>
      </c>
    </row>
    <row r="1578" spans="1:35">
      <c r="A1578" t="s">
        <v>3393</v>
      </c>
      <c r="B1578" s="1">
        <v>41160</v>
      </c>
      <c r="C1578" s="1">
        <v>41160</v>
      </c>
      <c r="D1578" t="s">
        <v>296</v>
      </c>
      <c r="E1578">
        <v>7125</v>
      </c>
      <c r="F1578">
        <v>1140</v>
      </c>
      <c r="G1578">
        <v>0</v>
      </c>
      <c r="H1578">
        <v>0</v>
      </c>
      <c r="I1578">
        <v>110</v>
      </c>
      <c r="J1578">
        <v>8265</v>
      </c>
      <c r="K1578" t="s">
        <v>3238</v>
      </c>
      <c r="L1578" s="1">
        <v>41158</v>
      </c>
      <c r="N1578" t="s">
        <v>36</v>
      </c>
      <c r="O1578" t="s">
        <v>37</v>
      </c>
      <c r="P1578" t="s">
        <v>433</v>
      </c>
      <c r="Q1578" t="s">
        <v>39</v>
      </c>
      <c r="R1578" t="s">
        <v>40</v>
      </c>
      <c r="S1578">
        <v>0</v>
      </c>
      <c r="U1578" t="s">
        <v>41</v>
      </c>
      <c r="V1578" t="s">
        <v>42</v>
      </c>
      <c r="X1578" t="s">
        <v>74</v>
      </c>
      <c r="Y1578" t="b">
        <v>0</v>
      </c>
      <c r="Z1578" t="b">
        <v>0</v>
      </c>
      <c r="AC1578" s="1"/>
      <c r="AF1578">
        <v>0</v>
      </c>
      <c r="AG1578">
        <v>45</v>
      </c>
      <c r="AH1578">
        <v>155</v>
      </c>
      <c r="AI1578" s="2">
        <f>Table__192.168.3.138DYLAgingReport[[#This Row],[NetAmount]]-Table__192.168.3.138DYLAgingReport[[#This Row],[Paid]]</f>
        <v>8265</v>
      </c>
    </row>
    <row r="1579" spans="1:35">
      <c r="A1579" t="s">
        <v>3394</v>
      </c>
      <c r="B1579" s="1">
        <v>41162</v>
      </c>
      <c r="C1579" s="1">
        <v>41162</v>
      </c>
      <c r="D1579" t="s">
        <v>296</v>
      </c>
      <c r="E1579">
        <v>4750</v>
      </c>
      <c r="F1579">
        <v>760</v>
      </c>
      <c r="G1579">
        <v>0</v>
      </c>
      <c r="H1579">
        <v>0</v>
      </c>
      <c r="I1579">
        <v>106</v>
      </c>
      <c r="J1579">
        <v>5510</v>
      </c>
      <c r="K1579" t="s">
        <v>3395</v>
      </c>
      <c r="L1579" s="1">
        <v>41162</v>
      </c>
      <c r="N1579" t="s">
        <v>36</v>
      </c>
      <c r="O1579" t="s">
        <v>37</v>
      </c>
      <c r="P1579" t="s">
        <v>433</v>
      </c>
      <c r="Q1579" t="s">
        <v>39</v>
      </c>
      <c r="R1579" t="s">
        <v>40</v>
      </c>
      <c r="S1579">
        <v>0</v>
      </c>
      <c r="U1579" t="s">
        <v>41</v>
      </c>
      <c r="V1579" t="s">
        <v>42</v>
      </c>
      <c r="X1579" t="s">
        <v>74</v>
      </c>
      <c r="Y1579" t="b">
        <v>0</v>
      </c>
      <c r="Z1579" t="b">
        <v>0</v>
      </c>
      <c r="AC1579" s="1"/>
      <c r="AF1579">
        <v>0</v>
      </c>
      <c r="AG1579">
        <v>45</v>
      </c>
      <c r="AH1579">
        <v>151</v>
      </c>
      <c r="AI1579" s="2">
        <f>Table__192.168.3.138DYLAgingReport[[#This Row],[NetAmount]]-Table__192.168.3.138DYLAgingReport[[#This Row],[Paid]]</f>
        <v>5510</v>
      </c>
    </row>
    <row r="1580" spans="1:35">
      <c r="A1580" t="s">
        <v>3396</v>
      </c>
      <c r="B1580" s="1">
        <v>41164</v>
      </c>
      <c r="C1580" s="1">
        <v>41164</v>
      </c>
      <c r="D1580" t="s">
        <v>296</v>
      </c>
      <c r="E1580">
        <v>7125</v>
      </c>
      <c r="F1580">
        <v>1140</v>
      </c>
      <c r="G1580">
        <v>0</v>
      </c>
      <c r="H1580">
        <v>0</v>
      </c>
      <c r="I1580">
        <v>105</v>
      </c>
      <c r="J1580">
        <v>8265</v>
      </c>
      <c r="K1580" t="s">
        <v>3397</v>
      </c>
      <c r="L1580" s="1">
        <v>41163</v>
      </c>
      <c r="N1580" t="s">
        <v>36</v>
      </c>
      <c r="O1580" t="s">
        <v>37</v>
      </c>
      <c r="P1580" t="s">
        <v>433</v>
      </c>
      <c r="Q1580" t="s">
        <v>39</v>
      </c>
      <c r="R1580" t="s">
        <v>40</v>
      </c>
      <c r="S1580">
        <v>0</v>
      </c>
      <c r="U1580" t="s">
        <v>41</v>
      </c>
      <c r="V1580" t="s">
        <v>42</v>
      </c>
      <c r="X1580" t="s">
        <v>74</v>
      </c>
      <c r="Y1580" t="b">
        <v>0</v>
      </c>
      <c r="Z1580" t="b">
        <v>0</v>
      </c>
      <c r="AC1580" s="1"/>
      <c r="AF1580">
        <v>0</v>
      </c>
      <c r="AG1580">
        <v>45</v>
      </c>
      <c r="AH1580">
        <v>150</v>
      </c>
      <c r="AI1580" s="2">
        <f>Table__192.168.3.138DYLAgingReport[[#This Row],[NetAmount]]-Table__192.168.3.138DYLAgingReport[[#This Row],[Paid]]</f>
        <v>8265</v>
      </c>
    </row>
    <row r="1581" spans="1:35">
      <c r="A1581" t="s">
        <v>3398</v>
      </c>
      <c r="B1581" s="1">
        <v>41167</v>
      </c>
      <c r="C1581" s="1">
        <v>41212</v>
      </c>
      <c r="D1581" t="s">
        <v>268</v>
      </c>
      <c r="E1581">
        <v>29000</v>
      </c>
      <c r="F1581">
        <v>4640</v>
      </c>
      <c r="G1581">
        <v>0</v>
      </c>
      <c r="H1581">
        <v>0</v>
      </c>
      <c r="I1581">
        <v>101</v>
      </c>
      <c r="J1581">
        <v>33640</v>
      </c>
      <c r="K1581" t="s">
        <v>3399</v>
      </c>
      <c r="L1581" s="1">
        <v>41167</v>
      </c>
      <c r="N1581" t="s">
        <v>36</v>
      </c>
      <c r="O1581" t="s">
        <v>37</v>
      </c>
      <c r="P1581" t="s">
        <v>405</v>
      </c>
      <c r="Q1581" t="s">
        <v>39</v>
      </c>
      <c r="R1581" t="s">
        <v>40</v>
      </c>
      <c r="S1581">
        <v>0</v>
      </c>
      <c r="U1581" t="s">
        <v>41</v>
      </c>
      <c r="V1581" t="s">
        <v>42</v>
      </c>
      <c r="X1581" t="s">
        <v>74</v>
      </c>
      <c r="Y1581" t="b">
        <v>0</v>
      </c>
      <c r="Z1581" t="b">
        <v>0</v>
      </c>
      <c r="AC1581" s="1"/>
      <c r="AF1581">
        <v>0</v>
      </c>
      <c r="AG1581">
        <v>45</v>
      </c>
      <c r="AH1581">
        <v>146</v>
      </c>
      <c r="AI1581" s="2">
        <f>Table__192.168.3.138DYLAgingReport[[#This Row],[NetAmount]]-Table__192.168.3.138DYLAgingReport[[#This Row],[Paid]]</f>
        <v>33640</v>
      </c>
    </row>
    <row r="1582" spans="1:35">
      <c r="A1582" t="s">
        <v>3400</v>
      </c>
      <c r="B1582" s="1">
        <v>41167</v>
      </c>
      <c r="C1582" s="1">
        <v>41167</v>
      </c>
      <c r="D1582" t="s">
        <v>296</v>
      </c>
      <c r="E1582">
        <v>4750</v>
      </c>
      <c r="F1582">
        <v>760</v>
      </c>
      <c r="G1582">
        <v>0</v>
      </c>
      <c r="H1582">
        <v>0</v>
      </c>
      <c r="I1582">
        <v>101</v>
      </c>
      <c r="J1582">
        <v>5510</v>
      </c>
      <c r="K1582" t="s">
        <v>3401</v>
      </c>
      <c r="L1582" s="1">
        <v>41167</v>
      </c>
      <c r="N1582" t="s">
        <v>36</v>
      </c>
      <c r="O1582" t="s">
        <v>37</v>
      </c>
      <c r="P1582" t="s">
        <v>433</v>
      </c>
      <c r="Q1582" t="s">
        <v>39</v>
      </c>
      <c r="R1582" t="s">
        <v>40</v>
      </c>
      <c r="S1582">
        <v>0</v>
      </c>
      <c r="U1582" t="s">
        <v>41</v>
      </c>
      <c r="V1582" t="s">
        <v>42</v>
      </c>
      <c r="X1582" t="s">
        <v>74</v>
      </c>
      <c r="Y1582" t="b">
        <v>0</v>
      </c>
      <c r="Z1582" t="b">
        <v>0</v>
      </c>
      <c r="AC1582" s="1"/>
      <c r="AF1582">
        <v>0</v>
      </c>
      <c r="AG1582">
        <v>45</v>
      </c>
      <c r="AH1582">
        <v>146</v>
      </c>
      <c r="AI1582" s="2">
        <f>Table__192.168.3.138DYLAgingReport[[#This Row],[NetAmount]]-Table__192.168.3.138DYLAgingReport[[#This Row],[Paid]]</f>
        <v>5510</v>
      </c>
    </row>
    <row r="1583" spans="1:35">
      <c r="A1583" t="s">
        <v>3402</v>
      </c>
      <c r="B1583" s="1">
        <v>41165</v>
      </c>
      <c r="C1583" s="1">
        <v>41165</v>
      </c>
      <c r="D1583" t="s">
        <v>296</v>
      </c>
      <c r="E1583">
        <v>3000</v>
      </c>
      <c r="F1583">
        <v>480</v>
      </c>
      <c r="G1583">
        <v>0</v>
      </c>
      <c r="H1583">
        <v>0</v>
      </c>
      <c r="I1583">
        <v>104</v>
      </c>
      <c r="J1583">
        <v>3480</v>
      </c>
      <c r="K1583" t="s">
        <v>944</v>
      </c>
      <c r="L1583" s="1">
        <v>41164</v>
      </c>
      <c r="N1583" t="s">
        <v>36</v>
      </c>
      <c r="O1583" t="s">
        <v>37</v>
      </c>
      <c r="P1583" t="s">
        <v>433</v>
      </c>
      <c r="Q1583" t="s">
        <v>39</v>
      </c>
      <c r="R1583" t="s">
        <v>40</v>
      </c>
      <c r="S1583">
        <v>0</v>
      </c>
      <c r="U1583" t="s">
        <v>41</v>
      </c>
      <c r="V1583" t="s">
        <v>42</v>
      </c>
      <c r="X1583" t="s">
        <v>74</v>
      </c>
      <c r="Y1583" t="b">
        <v>0</v>
      </c>
      <c r="Z1583" t="b">
        <v>0</v>
      </c>
      <c r="AC1583" s="1"/>
      <c r="AF1583">
        <v>0</v>
      </c>
      <c r="AG1583">
        <v>45</v>
      </c>
      <c r="AH1583">
        <v>149</v>
      </c>
      <c r="AI1583" s="2">
        <f>Table__192.168.3.138DYLAgingReport[[#This Row],[NetAmount]]-Table__192.168.3.138DYLAgingReport[[#This Row],[Paid]]</f>
        <v>3480</v>
      </c>
    </row>
    <row r="1584" spans="1:35">
      <c r="A1584" t="s">
        <v>3403</v>
      </c>
      <c r="B1584" s="1">
        <v>41153</v>
      </c>
      <c r="C1584" s="1">
        <v>41198</v>
      </c>
      <c r="D1584" t="s">
        <v>214</v>
      </c>
      <c r="E1584">
        <v>110000</v>
      </c>
      <c r="F1584">
        <v>0</v>
      </c>
      <c r="G1584">
        <v>0</v>
      </c>
      <c r="H1584">
        <v>0</v>
      </c>
      <c r="I1584">
        <v>154</v>
      </c>
      <c r="J1584">
        <v>110000</v>
      </c>
      <c r="K1584" t="s">
        <v>3404</v>
      </c>
      <c r="L1584" s="1">
        <v>41114</v>
      </c>
      <c r="N1584" t="s">
        <v>36</v>
      </c>
      <c r="O1584" t="s">
        <v>37</v>
      </c>
      <c r="P1584" t="s">
        <v>351</v>
      </c>
      <c r="Q1584" t="s">
        <v>39</v>
      </c>
      <c r="R1584" t="s">
        <v>40</v>
      </c>
      <c r="S1584">
        <v>0</v>
      </c>
      <c r="U1584" t="s">
        <v>41</v>
      </c>
      <c r="V1584" t="s">
        <v>42</v>
      </c>
      <c r="X1584" t="s">
        <v>74</v>
      </c>
      <c r="Y1584" t="b">
        <v>0</v>
      </c>
      <c r="Z1584" t="b">
        <v>0</v>
      </c>
      <c r="AC1584" s="1"/>
      <c r="AF1584">
        <v>0</v>
      </c>
      <c r="AG1584">
        <v>45</v>
      </c>
      <c r="AH1584">
        <v>199</v>
      </c>
      <c r="AI1584" s="2">
        <f>Table__192.168.3.138DYLAgingReport[[#This Row],[NetAmount]]-Table__192.168.3.138DYLAgingReport[[#This Row],[Paid]]</f>
        <v>110000</v>
      </c>
    </row>
    <row r="1585" spans="1:35">
      <c r="A1585" t="s">
        <v>3405</v>
      </c>
      <c r="B1585" s="1">
        <v>41176</v>
      </c>
      <c r="C1585" s="1">
        <v>41221</v>
      </c>
      <c r="D1585" t="s">
        <v>187</v>
      </c>
      <c r="E1585">
        <v>1060</v>
      </c>
      <c r="F1585">
        <v>0</v>
      </c>
      <c r="G1585">
        <v>0</v>
      </c>
      <c r="H1585">
        <v>0</v>
      </c>
      <c r="I1585">
        <v>92</v>
      </c>
      <c r="J1585">
        <v>1060</v>
      </c>
      <c r="K1585" t="s">
        <v>3406</v>
      </c>
      <c r="L1585" s="1">
        <v>41176</v>
      </c>
      <c r="N1585" t="s">
        <v>36</v>
      </c>
      <c r="O1585" t="s">
        <v>37</v>
      </c>
      <c r="P1585" t="s">
        <v>324</v>
      </c>
      <c r="Q1585" t="s">
        <v>39</v>
      </c>
      <c r="R1585" t="s">
        <v>40</v>
      </c>
      <c r="S1585">
        <v>0</v>
      </c>
      <c r="U1585" t="s">
        <v>41</v>
      </c>
      <c r="V1585" t="s">
        <v>42</v>
      </c>
      <c r="X1585" t="s">
        <v>74</v>
      </c>
      <c r="Y1585" t="b">
        <v>0</v>
      </c>
      <c r="Z1585" t="b">
        <v>0</v>
      </c>
      <c r="AC1585" s="1"/>
      <c r="AF1585">
        <v>0</v>
      </c>
      <c r="AG1585">
        <v>45</v>
      </c>
      <c r="AH1585">
        <v>137</v>
      </c>
      <c r="AI1585" s="2">
        <f>Table__192.168.3.138DYLAgingReport[[#This Row],[NetAmount]]-Table__192.168.3.138DYLAgingReport[[#This Row],[Paid]]</f>
        <v>1060</v>
      </c>
    </row>
    <row r="1586" spans="1:35">
      <c r="A1586" t="s">
        <v>3407</v>
      </c>
      <c r="B1586" s="1">
        <v>41164</v>
      </c>
      <c r="C1586" s="1">
        <v>41209</v>
      </c>
      <c r="D1586" t="s">
        <v>187</v>
      </c>
      <c r="E1586">
        <v>59260</v>
      </c>
      <c r="F1586">
        <v>0</v>
      </c>
      <c r="G1586">
        <v>0</v>
      </c>
      <c r="H1586">
        <v>0</v>
      </c>
      <c r="I1586">
        <v>104</v>
      </c>
      <c r="J1586">
        <v>59260</v>
      </c>
      <c r="K1586" t="s">
        <v>3408</v>
      </c>
      <c r="L1586" s="1">
        <v>41164</v>
      </c>
      <c r="N1586" t="s">
        <v>36</v>
      </c>
      <c r="O1586" t="s">
        <v>37</v>
      </c>
      <c r="P1586" t="s">
        <v>324</v>
      </c>
      <c r="Q1586" t="s">
        <v>39</v>
      </c>
      <c r="R1586" t="s">
        <v>40</v>
      </c>
      <c r="S1586">
        <v>0</v>
      </c>
      <c r="U1586" t="s">
        <v>41</v>
      </c>
      <c r="V1586" t="s">
        <v>42</v>
      </c>
      <c r="X1586" t="s">
        <v>74</v>
      </c>
      <c r="Y1586" t="b">
        <v>0</v>
      </c>
      <c r="Z1586" t="b">
        <v>0</v>
      </c>
      <c r="AC1586" s="1"/>
      <c r="AF1586">
        <v>0</v>
      </c>
      <c r="AG1586">
        <v>45</v>
      </c>
      <c r="AH1586">
        <v>149</v>
      </c>
      <c r="AI1586" s="2">
        <f>Table__192.168.3.138DYLAgingReport[[#This Row],[NetAmount]]-Table__192.168.3.138DYLAgingReport[[#This Row],[Paid]]</f>
        <v>59260</v>
      </c>
    </row>
    <row r="1587" spans="1:35">
      <c r="A1587" t="s">
        <v>3409</v>
      </c>
      <c r="B1587" s="1">
        <v>41176</v>
      </c>
      <c r="C1587" s="1">
        <v>41221</v>
      </c>
      <c r="D1587" t="s">
        <v>187</v>
      </c>
      <c r="E1587">
        <v>29680</v>
      </c>
      <c r="F1587">
        <v>0</v>
      </c>
      <c r="G1587">
        <v>0</v>
      </c>
      <c r="H1587">
        <v>0</v>
      </c>
      <c r="I1587">
        <v>92</v>
      </c>
      <c r="J1587">
        <v>29680</v>
      </c>
      <c r="K1587" t="s">
        <v>3410</v>
      </c>
      <c r="L1587" s="1">
        <v>41176</v>
      </c>
      <c r="N1587" t="s">
        <v>36</v>
      </c>
      <c r="O1587" t="s">
        <v>37</v>
      </c>
      <c r="P1587" t="s">
        <v>324</v>
      </c>
      <c r="Q1587" t="s">
        <v>39</v>
      </c>
      <c r="R1587" t="s">
        <v>40</v>
      </c>
      <c r="S1587">
        <v>0</v>
      </c>
      <c r="U1587" t="s">
        <v>41</v>
      </c>
      <c r="V1587" t="s">
        <v>42</v>
      </c>
      <c r="X1587" t="s">
        <v>74</v>
      </c>
      <c r="Y1587" t="b">
        <v>0</v>
      </c>
      <c r="Z1587" t="b">
        <v>0</v>
      </c>
      <c r="AC1587" s="1"/>
      <c r="AF1587">
        <v>0</v>
      </c>
      <c r="AG1587">
        <v>45</v>
      </c>
      <c r="AH1587">
        <v>137</v>
      </c>
      <c r="AI1587" s="2">
        <f>Table__192.168.3.138DYLAgingReport[[#This Row],[NetAmount]]-Table__192.168.3.138DYLAgingReport[[#This Row],[Paid]]</f>
        <v>29680</v>
      </c>
    </row>
    <row r="1588" spans="1:35">
      <c r="A1588" t="s">
        <v>3411</v>
      </c>
      <c r="B1588" s="1">
        <v>41173</v>
      </c>
      <c r="C1588" s="1">
        <v>41218</v>
      </c>
      <c r="D1588" t="s">
        <v>187</v>
      </c>
      <c r="E1588">
        <v>108410</v>
      </c>
      <c r="F1588">
        <v>0</v>
      </c>
      <c r="G1588">
        <v>0</v>
      </c>
      <c r="H1588">
        <v>0</v>
      </c>
      <c r="I1588">
        <v>96</v>
      </c>
      <c r="J1588">
        <v>108410</v>
      </c>
      <c r="K1588" t="s">
        <v>3412</v>
      </c>
      <c r="L1588" s="1">
        <v>41172</v>
      </c>
      <c r="N1588" t="s">
        <v>36</v>
      </c>
      <c r="O1588" t="s">
        <v>37</v>
      </c>
      <c r="P1588" t="s">
        <v>324</v>
      </c>
      <c r="Q1588" t="s">
        <v>39</v>
      </c>
      <c r="R1588" t="s">
        <v>40</v>
      </c>
      <c r="S1588">
        <v>0</v>
      </c>
      <c r="U1588" t="s">
        <v>41</v>
      </c>
      <c r="V1588" t="s">
        <v>42</v>
      </c>
      <c r="X1588" t="s">
        <v>74</v>
      </c>
      <c r="Y1588" t="b">
        <v>0</v>
      </c>
      <c r="Z1588" t="b">
        <v>0</v>
      </c>
      <c r="AC1588" s="1"/>
      <c r="AF1588">
        <v>0</v>
      </c>
      <c r="AG1588">
        <v>45</v>
      </c>
      <c r="AH1588">
        <v>141</v>
      </c>
      <c r="AI1588" s="2">
        <f>Table__192.168.3.138DYLAgingReport[[#This Row],[NetAmount]]-Table__192.168.3.138DYLAgingReport[[#This Row],[Paid]]</f>
        <v>108410</v>
      </c>
    </row>
    <row r="1589" spans="1:35">
      <c r="A1589" t="s">
        <v>3413</v>
      </c>
      <c r="B1589" s="1">
        <v>41162</v>
      </c>
      <c r="C1589" s="1">
        <v>41207</v>
      </c>
      <c r="D1589" t="s">
        <v>254</v>
      </c>
      <c r="E1589">
        <v>1550000</v>
      </c>
      <c r="F1589">
        <v>248000</v>
      </c>
      <c r="G1589">
        <v>0</v>
      </c>
      <c r="H1589">
        <v>0</v>
      </c>
      <c r="I1589">
        <v>110</v>
      </c>
      <c r="J1589">
        <v>1798000</v>
      </c>
      <c r="K1589" t="s">
        <v>917</v>
      </c>
      <c r="L1589" s="1">
        <v>41158</v>
      </c>
      <c r="N1589" t="s">
        <v>36</v>
      </c>
      <c r="O1589" t="s">
        <v>37</v>
      </c>
      <c r="P1589" t="s">
        <v>391</v>
      </c>
      <c r="Q1589" t="s">
        <v>39</v>
      </c>
      <c r="R1589" t="s">
        <v>40</v>
      </c>
      <c r="S1589">
        <v>0</v>
      </c>
      <c r="U1589" t="s">
        <v>41</v>
      </c>
      <c r="V1589" t="s">
        <v>42</v>
      </c>
      <c r="X1589" t="s">
        <v>74</v>
      </c>
      <c r="Y1589" t="b">
        <v>0</v>
      </c>
      <c r="Z1589" t="b">
        <v>0</v>
      </c>
      <c r="AB1589" t="s">
        <v>3414</v>
      </c>
      <c r="AC1589" s="1">
        <v>41291</v>
      </c>
      <c r="AD1589" t="s">
        <v>3415</v>
      </c>
      <c r="AE1589" t="s">
        <v>823</v>
      </c>
      <c r="AF1589">
        <v>611194</v>
      </c>
      <c r="AG1589">
        <v>45</v>
      </c>
      <c r="AH1589">
        <v>155</v>
      </c>
      <c r="AI1589" s="2">
        <f>Table__192.168.3.138DYLAgingReport[[#This Row],[NetAmount]]-Table__192.168.3.138DYLAgingReport[[#This Row],[Paid]]</f>
        <v>1186806</v>
      </c>
    </row>
    <row r="1590" spans="1:35">
      <c r="A1590" t="s">
        <v>3416</v>
      </c>
      <c r="B1590" s="1">
        <v>41174</v>
      </c>
      <c r="C1590" s="1">
        <v>41174</v>
      </c>
      <c r="D1590" t="s">
        <v>296</v>
      </c>
      <c r="E1590">
        <v>8749</v>
      </c>
      <c r="F1590">
        <v>1400</v>
      </c>
      <c r="G1590">
        <v>0</v>
      </c>
      <c r="H1590">
        <v>0</v>
      </c>
      <c r="I1590">
        <v>94</v>
      </c>
      <c r="J1590">
        <v>10149</v>
      </c>
      <c r="K1590" t="s">
        <v>3417</v>
      </c>
      <c r="L1590" s="1">
        <v>41174</v>
      </c>
      <c r="N1590" t="s">
        <v>36</v>
      </c>
      <c r="O1590" t="s">
        <v>37</v>
      </c>
      <c r="P1590" t="s">
        <v>433</v>
      </c>
      <c r="Q1590" t="s">
        <v>39</v>
      </c>
      <c r="R1590" t="s">
        <v>40</v>
      </c>
      <c r="S1590">
        <v>0</v>
      </c>
      <c r="U1590" t="s">
        <v>41</v>
      </c>
      <c r="V1590" t="s">
        <v>42</v>
      </c>
      <c r="X1590" t="s">
        <v>74</v>
      </c>
      <c r="Y1590" t="b">
        <v>0</v>
      </c>
      <c r="Z1590" t="b">
        <v>0</v>
      </c>
      <c r="AC1590" s="1"/>
      <c r="AF1590">
        <v>0</v>
      </c>
      <c r="AG1590">
        <v>45</v>
      </c>
      <c r="AH1590">
        <v>139</v>
      </c>
      <c r="AI1590" s="2">
        <f>Table__192.168.3.138DYLAgingReport[[#This Row],[NetAmount]]-Table__192.168.3.138DYLAgingReport[[#This Row],[Paid]]</f>
        <v>10149</v>
      </c>
    </row>
    <row r="1591" spans="1:35">
      <c r="A1591" t="s">
        <v>3418</v>
      </c>
      <c r="B1591" s="1">
        <v>41170</v>
      </c>
      <c r="C1591" s="1">
        <v>41215</v>
      </c>
      <c r="D1591" t="s">
        <v>227</v>
      </c>
      <c r="E1591">
        <v>139200</v>
      </c>
      <c r="F1591">
        <v>22272</v>
      </c>
      <c r="G1591">
        <v>0</v>
      </c>
      <c r="H1591">
        <v>0</v>
      </c>
      <c r="I1591">
        <v>98</v>
      </c>
      <c r="J1591">
        <v>161472</v>
      </c>
      <c r="K1591" t="s">
        <v>3419</v>
      </c>
      <c r="L1591" s="1">
        <v>41170</v>
      </c>
      <c r="N1591" t="s">
        <v>36</v>
      </c>
      <c r="O1591" t="s">
        <v>37</v>
      </c>
      <c r="P1591" t="s">
        <v>364</v>
      </c>
      <c r="Q1591" t="s">
        <v>39</v>
      </c>
      <c r="R1591" t="s">
        <v>40</v>
      </c>
      <c r="S1591">
        <v>0</v>
      </c>
      <c r="U1591" t="s">
        <v>41</v>
      </c>
      <c r="V1591" t="s">
        <v>42</v>
      </c>
      <c r="X1591" t="s">
        <v>74</v>
      </c>
      <c r="Y1591" t="b">
        <v>0</v>
      </c>
      <c r="Z1591" t="b">
        <v>0</v>
      </c>
      <c r="AC1591" s="1"/>
      <c r="AF1591">
        <v>0</v>
      </c>
      <c r="AG1591">
        <v>45</v>
      </c>
      <c r="AH1591">
        <v>143</v>
      </c>
      <c r="AI1591" s="2">
        <f>Table__192.168.3.138DYLAgingReport[[#This Row],[NetAmount]]-Table__192.168.3.138DYLAgingReport[[#This Row],[Paid]]</f>
        <v>161472</v>
      </c>
    </row>
    <row r="1592" spans="1:35">
      <c r="A1592" t="s">
        <v>3420</v>
      </c>
      <c r="B1592" s="1">
        <v>41173</v>
      </c>
      <c r="C1592" s="1">
        <v>41218</v>
      </c>
      <c r="D1592" t="s">
        <v>227</v>
      </c>
      <c r="E1592">
        <v>51000</v>
      </c>
      <c r="F1592">
        <v>8160</v>
      </c>
      <c r="G1592">
        <v>0</v>
      </c>
      <c r="H1592">
        <v>0</v>
      </c>
      <c r="I1592">
        <v>96</v>
      </c>
      <c r="J1592">
        <v>59160</v>
      </c>
      <c r="K1592" t="s">
        <v>3421</v>
      </c>
      <c r="L1592" s="1">
        <v>41172</v>
      </c>
      <c r="N1592" t="s">
        <v>36</v>
      </c>
      <c r="O1592" t="s">
        <v>37</v>
      </c>
      <c r="P1592" t="s">
        <v>364</v>
      </c>
      <c r="Q1592" t="s">
        <v>39</v>
      </c>
      <c r="R1592" t="s">
        <v>40</v>
      </c>
      <c r="S1592">
        <v>0</v>
      </c>
      <c r="U1592" t="s">
        <v>41</v>
      </c>
      <c r="V1592" t="s">
        <v>42</v>
      </c>
      <c r="X1592" t="s">
        <v>74</v>
      </c>
      <c r="Y1592" t="b">
        <v>0</v>
      </c>
      <c r="Z1592" t="b">
        <v>0</v>
      </c>
      <c r="AC1592" s="1"/>
      <c r="AF1592">
        <v>0</v>
      </c>
      <c r="AG1592">
        <v>45</v>
      </c>
      <c r="AH1592">
        <v>141</v>
      </c>
      <c r="AI1592" s="2">
        <f>Table__192.168.3.138DYLAgingReport[[#This Row],[NetAmount]]-Table__192.168.3.138DYLAgingReport[[#This Row],[Paid]]</f>
        <v>59160</v>
      </c>
    </row>
    <row r="1593" spans="1:35">
      <c r="A1593" t="s">
        <v>3422</v>
      </c>
      <c r="B1593" s="1">
        <v>41176</v>
      </c>
      <c r="C1593" s="1">
        <v>41221</v>
      </c>
      <c r="D1593" t="s">
        <v>268</v>
      </c>
      <c r="E1593">
        <v>102500</v>
      </c>
      <c r="F1593">
        <v>16400</v>
      </c>
      <c r="G1593">
        <v>0</v>
      </c>
      <c r="H1593">
        <v>0</v>
      </c>
      <c r="I1593">
        <v>94</v>
      </c>
      <c r="J1593">
        <v>118900</v>
      </c>
      <c r="K1593" t="s">
        <v>1086</v>
      </c>
      <c r="L1593" s="1">
        <v>41174</v>
      </c>
      <c r="N1593" t="s">
        <v>36</v>
      </c>
      <c r="O1593" t="s">
        <v>37</v>
      </c>
      <c r="P1593" t="s">
        <v>405</v>
      </c>
      <c r="Q1593" t="s">
        <v>39</v>
      </c>
      <c r="R1593" t="s">
        <v>40</v>
      </c>
      <c r="S1593">
        <v>0</v>
      </c>
      <c r="U1593" t="s">
        <v>41</v>
      </c>
      <c r="V1593" t="s">
        <v>42</v>
      </c>
      <c r="X1593" t="s">
        <v>74</v>
      </c>
      <c r="Y1593" t="b">
        <v>0</v>
      </c>
      <c r="Z1593" t="b">
        <v>0</v>
      </c>
      <c r="AC1593" s="1"/>
      <c r="AF1593">
        <v>0</v>
      </c>
      <c r="AG1593">
        <v>45</v>
      </c>
      <c r="AH1593">
        <v>139</v>
      </c>
      <c r="AI1593" s="2">
        <f>Table__192.168.3.138DYLAgingReport[[#This Row],[NetAmount]]-Table__192.168.3.138DYLAgingReport[[#This Row],[Paid]]</f>
        <v>118900</v>
      </c>
    </row>
    <row r="1594" spans="1:35">
      <c r="A1594" t="s">
        <v>3423</v>
      </c>
      <c r="B1594" s="1">
        <v>41165</v>
      </c>
      <c r="C1594" s="1">
        <v>41210</v>
      </c>
      <c r="D1594" t="s">
        <v>276</v>
      </c>
      <c r="E1594">
        <v>1195000</v>
      </c>
      <c r="F1594">
        <v>191200</v>
      </c>
      <c r="G1594">
        <v>0</v>
      </c>
      <c r="H1594">
        <v>0</v>
      </c>
      <c r="I1594">
        <v>103</v>
      </c>
      <c r="J1594">
        <v>1386200</v>
      </c>
      <c r="K1594" t="s">
        <v>931</v>
      </c>
      <c r="L1594" s="1">
        <v>41165</v>
      </c>
      <c r="N1594" t="s">
        <v>36</v>
      </c>
      <c r="O1594" t="s">
        <v>37</v>
      </c>
      <c r="P1594" t="s">
        <v>413</v>
      </c>
      <c r="Q1594" t="s">
        <v>39</v>
      </c>
      <c r="R1594" t="s">
        <v>40</v>
      </c>
      <c r="S1594">
        <v>0</v>
      </c>
      <c r="U1594" t="s">
        <v>41</v>
      </c>
      <c r="V1594" t="s">
        <v>42</v>
      </c>
      <c r="X1594" t="s">
        <v>74</v>
      </c>
      <c r="Y1594" t="b">
        <v>0</v>
      </c>
      <c r="Z1594" t="b">
        <v>0</v>
      </c>
      <c r="AB1594" t="s">
        <v>932</v>
      </c>
      <c r="AC1594" s="1">
        <v>41298</v>
      </c>
      <c r="AF1594">
        <v>0</v>
      </c>
      <c r="AG1594">
        <v>45</v>
      </c>
      <c r="AH1594">
        <v>148</v>
      </c>
      <c r="AI1594" s="2">
        <f>Table__192.168.3.138DYLAgingReport[[#This Row],[NetAmount]]-Table__192.168.3.138DYLAgingReport[[#This Row],[Paid]]</f>
        <v>1386200</v>
      </c>
    </row>
    <row r="1595" spans="1:35">
      <c r="A1595" t="s">
        <v>3424</v>
      </c>
      <c r="B1595" s="1">
        <v>41156</v>
      </c>
      <c r="C1595" s="1">
        <v>41201</v>
      </c>
      <c r="D1595" t="s">
        <v>242</v>
      </c>
      <c r="E1595">
        <v>91692</v>
      </c>
      <c r="F1595">
        <v>14671</v>
      </c>
      <c r="G1595">
        <v>0</v>
      </c>
      <c r="H1595">
        <v>0</v>
      </c>
      <c r="I1595">
        <v>112</v>
      </c>
      <c r="J1595">
        <v>106363</v>
      </c>
      <c r="K1595" t="s">
        <v>3425</v>
      </c>
      <c r="L1595" s="1">
        <v>41156</v>
      </c>
      <c r="N1595" t="s">
        <v>36</v>
      </c>
      <c r="O1595" t="s">
        <v>37</v>
      </c>
      <c r="P1595" t="s">
        <v>379</v>
      </c>
      <c r="Q1595" t="s">
        <v>39</v>
      </c>
      <c r="R1595" t="s">
        <v>40</v>
      </c>
      <c r="S1595">
        <v>0</v>
      </c>
      <c r="U1595" t="s">
        <v>41</v>
      </c>
      <c r="V1595" t="s">
        <v>42</v>
      </c>
      <c r="X1595" t="s">
        <v>74</v>
      </c>
      <c r="Y1595" t="b">
        <v>0</v>
      </c>
      <c r="Z1595" t="b">
        <v>0</v>
      </c>
      <c r="AC1595" s="1"/>
      <c r="AF1595">
        <v>0</v>
      </c>
      <c r="AG1595">
        <v>45</v>
      </c>
      <c r="AH1595">
        <v>157</v>
      </c>
      <c r="AI1595" s="2">
        <f>Table__192.168.3.138DYLAgingReport[[#This Row],[NetAmount]]-Table__192.168.3.138DYLAgingReport[[#This Row],[Paid]]</f>
        <v>106363</v>
      </c>
    </row>
    <row r="1596" spans="1:35">
      <c r="A1596" t="s">
        <v>3426</v>
      </c>
      <c r="B1596" s="1">
        <v>41162</v>
      </c>
      <c r="C1596" s="1">
        <v>41207</v>
      </c>
      <c r="D1596" t="s">
        <v>242</v>
      </c>
      <c r="E1596">
        <v>38050</v>
      </c>
      <c r="F1596">
        <v>6087</v>
      </c>
      <c r="G1596">
        <v>0</v>
      </c>
      <c r="H1596">
        <v>0</v>
      </c>
      <c r="I1596">
        <v>106</v>
      </c>
      <c r="J1596">
        <v>44137</v>
      </c>
      <c r="K1596" t="s">
        <v>3427</v>
      </c>
      <c r="L1596" s="1">
        <v>41162</v>
      </c>
      <c r="N1596" t="s">
        <v>36</v>
      </c>
      <c r="O1596" t="s">
        <v>37</v>
      </c>
      <c r="P1596" t="s">
        <v>379</v>
      </c>
      <c r="Q1596" t="s">
        <v>39</v>
      </c>
      <c r="R1596" t="s">
        <v>40</v>
      </c>
      <c r="S1596">
        <v>0</v>
      </c>
      <c r="U1596" t="s">
        <v>41</v>
      </c>
      <c r="V1596" t="s">
        <v>42</v>
      </c>
      <c r="X1596" t="s">
        <v>74</v>
      </c>
      <c r="Y1596" t="b">
        <v>0</v>
      </c>
      <c r="Z1596" t="b">
        <v>0</v>
      </c>
      <c r="AC1596" s="1"/>
      <c r="AF1596">
        <v>0</v>
      </c>
      <c r="AG1596">
        <v>45</v>
      </c>
      <c r="AH1596">
        <v>151</v>
      </c>
      <c r="AI1596" s="2">
        <f>Table__192.168.3.138DYLAgingReport[[#This Row],[NetAmount]]-Table__192.168.3.138DYLAgingReport[[#This Row],[Paid]]</f>
        <v>44137</v>
      </c>
    </row>
    <row r="1597" spans="1:35">
      <c r="A1597" t="s">
        <v>3428</v>
      </c>
      <c r="B1597" s="1">
        <v>41165</v>
      </c>
      <c r="C1597" s="1">
        <v>41210</v>
      </c>
      <c r="D1597" t="s">
        <v>242</v>
      </c>
      <c r="E1597">
        <v>33965</v>
      </c>
      <c r="F1597">
        <v>5434</v>
      </c>
      <c r="G1597">
        <v>0</v>
      </c>
      <c r="H1597">
        <v>0</v>
      </c>
      <c r="I1597">
        <v>103</v>
      </c>
      <c r="J1597">
        <v>39399</v>
      </c>
      <c r="K1597" t="s">
        <v>3429</v>
      </c>
      <c r="L1597" s="1">
        <v>41165</v>
      </c>
      <c r="N1597" t="s">
        <v>36</v>
      </c>
      <c r="O1597" t="s">
        <v>37</v>
      </c>
      <c r="P1597" t="s">
        <v>379</v>
      </c>
      <c r="Q1597" t="s">
        <v>39</v>
      </c>
      <c r="R1597" t="s">
        <v>40</v>
      </c>
      <c r="S1597">
        <v>0</v>
      </c>
      <c r="U1597" t="s">
        <v>41</v>
      </c>
      <c r="V1597" t="s">
        <v>42</v>
      </c>
      <c r="X1597" t="s">
        <v>74</v>
      </c>
      <c r="Y1597" t="b">
        <v>0</v>
      </c>
      <c r="Z1597" t="b">
        <v>0</v>
      </c>
      <c r="AC1597" s="1"/>
      <c r="AF1597">
        <v>0</v>
      </c>
      <c r="AG1597">
        <v>45</v>
      </c>
      <c r="AH1597">
        <v>148</v>
      </c>
      <c r="AI1597" s="2">
        <f>Table__192.168.3.138DYLAgingReport[[#This Row],[NetAmount]]-Table__192.168.3.138DYLAgingReport[[#This Row],[Paid]]</f>
        <v>39399</v>
      </c>
    </row>
    <row r="1598" spans="1:35">
      <c r="A1598" t="s">
        <v>3430</v>
      </c>
      <c r="B1598" s="1">
        <v>41169</v>
      </c>
      <c r="C1598" s="1">
        <v>41214</v>
      </c>
      <c r="D1598" t="s">
        <v>242</v>
      </c>
      <c r="E1598">
        <v>29220</v>
      </c>
      <c r="F1598">
        <v>4676</v>
      </c>
      <c r="G1598">
        <v>0</v>
      </c>
      <c r="H1598">
        <v>0</v>
      </c>
      <c r="I1598">
        <v>99</v>
      </c>
      <c r="J1598">
        <v>33896</v>
      </c>
      <c r="K1598" t="s">
        <v>3431</v>
      </c>
      <c r="L1598" s="1">
        <v>41169</v>
      </c>
      <c r="N1598" t="s">
        <v>36</v>
      </c>
      <c r="O1598" t="s">
        <v>37</v>
      </c>
      <c r="P1598" t="s">
        <v>379</v>
      </c>
      <c r="Q1598" t="s">
        <v>39</v>
      </c>
      <c r="R1598" t="s">
        <v>40</v>
      </c>
      <c r="S1598">
        <v>0</v>
      </c>
      <c r="U1598" t="s">
        <v>41</v>
      </c>
      <c r="V1598" t="s">
        <v>42</v>
      </c>
      <c r="X1598" t="s">
        <v>74</v>
      </c>
      <c r="Y1598" t="b">
        <v>0</v>
      </c>
      <c r="Z1598" t="b">
        <v>0</v>
      </c>
      <c r="AC1598" s="1"/>
      <c r="AF1598">
        <v>0</v>
      </c>
      <c r="AG1598">
        <v>45</v>
      </c>
      <c r="AH1598">
        <v>144</v>
      </c>
      <c r="AI1598" s="2">
        <f>Table__192.168.3.138DYLAgingReport[[#This Row],[NetAmount]]-Table__192.168.3.138DYLAgingReport[[#This Row],[Paid]]</f>
        <v>33896</v>
      </c>
    </row>
    <row r="1599" spans="1:35">
      <c r="A1599" t="s">
        <v>3432</v>
      </c>
      <c r="B1599" s="1">
        <v>41177</v>
      </c>
      <c r="C1599" s="1">
        <v>41222</v>
      </c>
      <c r="D1599" t="s">
        <v>286</v>
      </c>
      <c r="E1599">
        <v>99400</v>
      </c>
      <c r="F1599">
        <v>15904</v>
      </c>
      <c r="G1599">
        <v>0</v>
      </c>
      <c r="H1599">
        <v>0</v>
      </c>
      <c r="I1599">
        <v>90</v>
      </c>
      <c r="J1599">
        <v>115304</v>
      </c>
      <c r="K1599" t="s">
        <v>3433</v>
      </c>
      <c r="L1599" s="1">
        <v>41178</v>
      </c>
      <c r="N1599" t="s">
        <v>36</v>
      </c>
      <c r="O1599" t="s">
        <v>37</v>
      </c>
      <c r="P1599" t="s">
        <v>423</v>
      </c>
      <c r="Q1599" t="s">
        <v>39</v>
      </c>
      <c r="R1599" t="s">
        <v>40</v>
      </c>
      <c r="S1599">
        <v>0</v>
      </c>
      <c r="U1599" t="s">
        <v>41</v>
      </c>
      <c r="V1599" t="s">
        <v>42</v>
      </c>
      <c r="X1599" t="s">
        <v>74</v>
      </c>
      <c r="Y1599" t="b">
        <v>0</v>
      </c>
      <c r="Z1599" t="b">
        <v>0</v>
      </c>
      <c r="AC1599" s="1"/>
      <c r="AF1599">
        <v>0</v>
      </c>
      <c r="AG1599">
        <v>45</v>
      </c>
      <c r="AH1599">
        <v>135</v>
      </c>
      <c r="AI1599" s="2">
        <f>Table__192.168.3.138DYLAgingReport[[#This Row],[NetAmount]]-Table__192.168.3.138DYLAgingReport[[#This Row],[Paid]]</f>
        <v>115304</v>
      </c>
    </row>
    <row r="1600" spans="1:35">
      <c r="A1600" t="s">
        <v>3434</v>
      </c>
      <c r="B1600" s="1">
        <v>41176</v>
      </c>
      <c r="C1600" s="1">
        <v>41221</v>
      </c>
      <c r="D1600" t="s">
        <v>194</v>
      </c>
      <c r="E1600">
        <v>97750</v>
      </c>
      <c r="F1600">
        <v>15640</v>
      </c>
      <c r="G1600">
        <v>0</v>
      </c>
      <c r="H1600">
        <v>0</v>
      </c>
      <c r="I1600">
        <v>92</v>
      </c>
      <c r="J1600">
        <v>113390</v>
      </c>
      <c r="K1600" t="s">
        <v>1401</v>
      </c>
      <c r="L1600" s="1">
        <v>41176</v>
      </c>
      <c r="N1600" t="s">
        <v>36</v>
      </c>
      <c r="O1600" t="s">
        <v>37</v>
      </c>
      <c r="P1600" t="s">
        <v>331</v>
      </c>
      <c r="Q1600" t="s">
        <v>39</v>
      </c>
      <c r="R1600" t="s">
        <v>40</v>
      </c>
      <c r="S1600">
        <v>0</v>
      </c>
      <c r="U1600" t="s">
        <v>41</v>
      </c>
      <c r="V1600" t="s">
        <v>42</v>
      </c>
      <c r="X1600" t="s">
        <v>74</v>
      </c>
      <c r="Y1600" t="b">
        <v>0</v>
      </c>
      <c r="Z1600" t="b">
        <v>0</v>
      </c>
      <c r="AC1600" s="1"/>
      <c r="AF1600">
        <v>0</v>
      </c>
      <c r="AG1600">
        <v>45</v>
      </c>
      <c r="AH1600">
        <v>137</v>
      </c>
      <c r="AI1600" s="2">
        <f>Table__192.168.3.138DYLAgingReport[[#This Row],[NetAmount]]-Table__192.168.3.138DYLAgingReport[[#This Row],[Paid]]</f>
        <v>113390</v>
      </c>
    </row>
    <row r="1601" spans="1:35">
      <c r="A1601" t="s">
        <v>3435</v>
      </c>
      <c r="B1601" s="1">
        <v>41163</v>
      </c>
      <c r="C1601" s="1">
        <v>41208</v>
      </c>
      <c r="D1601" t="s">
        <v>168</v>
      </c>
      <c r="E1601">
        <v>64460</v>
      </c>
      <c r="F1601">
        <v>10314</v>
      </c>
      <c r="G1601">
        <v>0</v>
      </c>
      <c r="H1601">
        <v>0</v>
      </c>
      <c r="I1601">
        <v>105</v>
      </c>
      <c r="J1601">
        <v>74774</v>
      </c>
      <c r="K1601" t="s">
        <v>3436</v>
      </c>
      <c r="L1601" s="1">
        <v>41163</v>
      </c>
      <c r="N1601" t="s">
        <v>36</v>
      </c>
      <c r="O1601" t="s">
        <v>37</v>
      </c>
      <c r="P1601" t="s">
        <v>305</v>
      </c>
      <c r="Q1601" t="s">
        <v>39</v>
      </c>
      <c r="R1601" t="s">
        <v>40</v>
      </c>
      <c r="S1601">
        <v>0</v>
      </c>
      <c r="U1601" t="s">
        <v>41</v>
      </c>
      <c r="V1601" t="s">
        <v>42</v>
      </c>
      <c r="X1601" t="s">
        <v>74</v>
      </c>
      <c r="Y1601" t="b">
        <v>0</v>
      </c>
      <c r="Z1601" t="b">
        <v>0</v>
      </c>
      <c r="AB1601" t="s">
        <v>961</v>
      </c>
      <c r="AC1601" s="1">
        <v>41291</v>
      </c>
      <c r="AE1601" t="s">
        <v>962</v>
      </c>
      <c r="AF1601">
        <v>0</v>
      </c>
      <c r="AG1601">
        <v>45</v>
      </c>
      <c r="AH1601">
        <v>150</v>
      </c>
      <c r="AI1601" s="2">
        <f>Table__192.168.3.138DYLAgingReport[[#This Row],[NetAmount]]-Table__192.168.3.138DYLAgingReport[[#This Row],[Paid]]</f>
        <v>74774</v>
      </c>
    </row>
    <row r="1602" spans="1:35">
      <c r="A1602" t="s">
        <v>3437</v>
      </c>
      <c r="B1602" s="1">
        <v>41166</v>
      </c>
      <c r="C1602" s="1">
        <v>41211</v>
      </c>
      <c r="D1602" t="s">
        <v>227</v>
      </c>
      <c r="E1602">
        <v>9000</v>
      </c>
      <c r="F1602">
        <v>1440</v>
      </c>
      <c r="G1602">
        <v>0</v>
      </c>
      <c r="H1602">
        <v>0</v>
      </c>
      <c r="I1602">
        <v>102</v>
      </c>
      <c r="J1602">
        <v>10440</v>
      </c>
      <c r="K1602" t="s">
        <v>3438</v>
      </c>
      <c r="L1602" s="1">
        <v>41166</v>
      </c>
      <c r="N1602" t="s">
        <v>36</v>
      </c>
      <c r="O1602" t="s">
        <v>37</v>
      </c>
      <c r="P1602" t="s">
        <v>364</v>
      </c>
      <c r="Q1602" t="s">
        <v>39</v>
      </c>
      <c r="R1602" t="s">
        <v>40</v>
      </c>
      <c r="S1602">
        <v>0</v>
      </c>
      <c r="U1602" t="s">
        <v>41</v>
      </c>
      <c r="V1602" t="s">
        <v>42</v>
      </c>
      <c r="X1602" t="s">
        <v>74</v>
      </c>
      <c r="Y1602" t="b">
        <v>0</v>
      </c>
      <c r="Z1602" t="b">
        <v>0</v>
      </c>
      <c r="AC1602" s="1"/>
      <c r="AF1602">
        <v>0</v>
      </c>
      <c r="AG1602">
        <v>45</v>
      </c>
      <c r="AH1602">
        <v>147</v>
      </c>
      <c r="AI1602" s="2">
        <f>Table__192.168.3.138DYLAgingReport[[#This Row],[NetAmount]]-Table__192.168.3.138DYLAgingReport[[#This Row],[Paid]]</f>
        <v>10440</v>
      </c>
    </row>
    <row r="1603" spans="1:35">
      <c r="A1603" t="s">
        <v>3439</v>
      </c>
      <c r="B1603" s="1">
        <v>41176</v>
      </c>
      <c r="C1603" s="1">
        <v>41221</v>
      </c>
      <c r="D1603" t="s">
        <v>227</v>
      </c>
      <c r="E1603">
        <v>150000</v>
      </c>
      <c r="F1603">
        <v>24000</v>
      </c>
      <c r="G1603">
        <v>0</v>
      </c>
      <c r="H1603">
        <v>0</v>
      </c>
      <c r="I1603">
        <v>92</v>
      </c>
      <c r="J1603">
        <v>174000</v>
      </c>
      <c r="K1603" t="s">
        <v>3440</v>
      </c>
      <c r="L1603" s="1">
        <v>41176</v>
      </c>
      <c r="N1603" t="s">
        <v>36</v>
      </c>
      <c r="O1603" t="s">
        <v>37</v>
      </c>
      <c r="P1603" t="s">
        <v>364</v>
      </c>
      <c r="Q1603" t="s">
        <v>39</v>
      </c>
      <c r="R1603" t="s">
        <v>40</v>
      </c>
      <c r="S1603">
        <v>0</v>
      </c>
      <c r="U1603" t="s">
        <v>41</v>
      </c>
      <c r="V1603" t="s">
        <v>42</v>
      </c>
      <c r="X1603" t="s">
        <v>74</v>
      </c>
      <c r="Y1603" t="b">
        <v>0</v>
      </c>
      <c r="Z1603" t="b">
        <v>0</v>
      </c>
      <c r="AC1603" s="1"/>
      <c r="AF1603">
        <v>0</v>
      </c>
      <c r="AG1603">
        <v>45</v>
      </c>
      <c r="AH1603">
        <v>137</v>
      </c>
      <c r="AI1603" s="2">
        <f>Table__192.168.3.138DYLAgingReport[[#This Row],[NetAmount]]-Table__192.168.3.138DYLAgingReport[[#This Row],[Paid]]</f>
        <v>174000</v>
      </c>
    </row>
    <row r="1604" spans="1:35">
      <c r="A1604" t="s">
        <v>3441</v>
      </c>
      <c r="B1604" s="1">
        <v>41166</v>
      </c>
      <c r="C1604" s="1">
        <v>41211</v>
      </c>
      <c r="D1604" t="s">
        <v>232</v>
      </c>
      <c r="E1604">
        <v>250</v>
      </c>
      <c r="F1604">
        <v>40</v>
      </c>
      <c r="G1604">
        <v>0</v>
      </c>
      <c r="H1604">
        <v>0</v>
      </c>
      <c r="I1604">
        <v>103</v>
      </c>
      <c r="J1604">
        <v>290</v>
      </c>
      <c r="K1604" t="s">
        <v>3316</v>
      </c>
      <c r="L1604" s="1">
        <v>41165</v>
      </c>
      <c r="N1604" t="s">
        <v>36</v>
      </c>
      <c r="O1604" t="s">
        <v>37</v>
      </c>
      <c r="P1604" t="s">
        <v>369</v>
      </c>
      <c r="Q1604" t="s">
        <v>39</v>
      </c>
      <c r="R1604" t="s">
        <v>40</v>
      </c>
      <c r="S1604">
        <v>0</v>
      </c>
      <c r="U1604" t="s">
        <v>41</v>
      </c>
      <c r="V1604" t="s">
        <v>42</v>
      </c>
      <c r="X1604" t="s">
        <v>74</v>
      </c>
      <c r="Y1604" t="b">
        <v>0</v>
      </c>
      <c r="Z1604" t="b">
        <v>0</v>
      </c>
      <c r="AC1604" s="1"/>
      <c r="AF1604">
        <v>0</v>
      </c>
      <c r="AG1604">
        <v>45</v>
      </c>
      <c r="AH1604">
        <v>148</v>
      </c>
      <c r="AI1604" s="2">
        <f>Table__192.168.3.138DYLAgingReport[[#This Row],[NetAmount]]-Table__192.168.3.138DYLAgingReport[[#This Row],[Paid]]</f>
        <v>290</v>
      </c>
    </row>
    <row r="1605" spans="1:35">
      <c r="A1605" t="s">
        <v>3442</v>
      </c>
      <c r="B1605" s="1">
        <v>41177</v>
      </c>
      <c r="C1605" s="1">
        <v>41222</v>
      </c>
      <c r="D1605" t="s">
        <v>227</v>
      </c>
      <c r="E1605">
        <v>271000</v>
      </c>
      <c r="F1605">
        <v>43360</v>
      </c>
      <c r="G1605">
        <v>0</v>
      </c>
      <c r="H1605">
        <v>0</v>
      </c>
      <c r="I1605">
        <v>91</v>
      </c>
      <c r="J1605">
        <v>314360</v>
      </c>
      <c r="K1605" t="s">
        <v>3443</v>
      </c>
      <c r="L1605" s="1">
        <v>41177</v>
      </c>
      <c r="N1605" t="s">
        <v>36</v>
      </c>
      <c r="O1605" t="s">
        <v>37</v>
      </c>
      <c r="P1605" t="s">
        <v>364</v>
      </c>
      <c r="Q1605" t="s">
        <v>39</v>
      </c>
      <c r="R1605" t="s">
        <v>40</v>
      </c>
      <c r="S1605">
        <v>0</v>
      </c>
      <c r="U1605" t="s">
        <v>41</v>
      </c>
      <c r="V1605" t="s">
        <v>42</v>
      </c>
      <c r="X1605" t="s">
        <v>74</v>
      </c>
      <c r="Y1605" t="b">
        <v>0</v>
      </c>
      <c r="Z1605" t="b">
        <v>0</v>
      </c>
      <c r="AC1605" s="1"/>
      <c r="AF1605">
        <v>0</v>
      </c>
      <c r="AG1605">
        <v>45</v>
      </c>
      <c r="AH1605">
        <v>136</v>
      </c>
      <c r="AI1605" s="2">
        <f>Table__192.168.3.138DYLAgingReport[[#This Row],[NetAmount]]-Table__192.168.3.138DYLAgingReport[[#This Row],[Paid]]</f>
        <v>314360</v>
      </c>
    </row>
    <row r="1606" spans="1:35">
      <c r="A1606" t="s">
        <v>3444</v>
      </c>
      <c r="B1606" s="1">
        <v>41179</v>
      </c>
      <c r="C1606" s="1">
        <v>41224</v>
      </c>
      <c r="D1606" t="s">
        <v>227</v>
      </c>
      <c r="E1606">
        <v>220000</v>
      </c>
      <c r="F1606">
        <v>35200</v>
      </c>
      <c r="G1606">
        <v>0</v>
      </c>
      <c r="H1606">
        <v>0</v>
      </c>
      <c r="I1606">
        <v>89</v>
      </c>
      <c r="J1606">
        <v>255200</v>
      </c>
      <c r="K1606" t="s">
        <v>3445</v>
      </c>
      <c r="L1606" s="1">
        <v>41179</v>
      </c>
      <c r="N1606" t="s">
        <v>36</v>
      </c>
      <c r="O1606" t="s">
        <v>37</v>
      </c>
      <c r="P1606" t="s">
        <v>364</v>
      </c>
      <c r="Q1606" t="s">
        <v>39</v>
      </c>
      <c r="R1606" t="s">
        <v>40</v>
      </c>
      <c r="S1606">
        <v>0</v>
      </c>
      <c r="U1606" t="s">
        <v>41</v>
      </c>
      <c r="V1606" t="s">
        <v>42</v>
      </c>
      <c r="X1606" t="s">
        <v>74</v>
      </c>
      <c r="Y1606" t="b">
        <v>0</v>
      </c>
      <c r="Z1606" t="b">
        <v>0</v>
      </c>
      <c r="AC1606" s="1"/>
      <c r="AF1606">
        <v>0</v>
      </c>
      <c r="AG1606">
        <v>45</v>
      </c>
      <c r="AH1606">
        <v>134</v>
      </c>
      <c r="AI1606" s="2">
        <f>Table__192.168.3.138DYLAgingReport[[#This Row],[NetAmount]]-Table__192.168.3.138DYLAgingReport[[#This Row],[Paid]]</f>
        <v>255200</v>
      </c>
    </row>
    <row r="1607" spans="1:35">
      <c r="A1607" t="s">
        <v>3446</v>
      </c>
      <c r="B1607" s="1">
        <v>41167</v>
      </c>
      <c r="C1607" s="1">
        <v>41167</v>
      </c>
      <c r="D1607" t="s">
        <v>296</v>
      </c>
      <c r="E1607">
        <v>3700</v>
      </c>
      <c r="F1607">
        <v>592</v>
      </c>
      <c r="G1607">
        <v>0</v>
      </c>
      <c r="H1607">
        <v>0</v>
      </c>
      <c r="I1607">
        <v>101</v>
      </c>
      <c r="J1607">
        <v>4292</v>
      </c>
      <c r="K1607" t="s">
        <v>3447</v>
      </c>
      <c r="L1607" s="1">
        <v>41167</v>
      </c>
      <c r="N1607" t="s">
        <v>36</v>
      </c>
      <c r="O1607" t="s">
        <v>37</v>
      </c>
      <c r="P1607" t="s">
        <v>433</v>
      </c>
      <c r="Q1607" t="s">
        <v>39</v>
      </c>
      <c r="R1607" t="s">
        <v>40</v>
      </c>
      <c r="S1607">
        <v>0</v>
      </c>
      <c r="U1607" t="s">
        <v>41</v>
      </c>
      <c r="V1607" t="s">
        <v>42</v>
      </c>
      <c r="X1607" t="s">
        <v>74</v>
      </c>
      <c r="Y1607" t="b">
        <v>0</v>
      </c>
      <c r="Z1607" t="b">
        <v>0</v>
      </c>
      <c r="AC1607" s="1"/>
      <c r="AF1607">
        <v>0</v>
      </c>
      <c r="AG1607">
        <v>45</v>
      </c>
      <c r="AH1607">
        <v>146</v>
      </c>
      <c r="AI1607" s="2">
        <f>Table__192.168.3.138DYLAgingReport[[#This Row],[NetAmount]]-Table__192.168.3.138DYLAgingReport[[#This Row],[Paid]]</f>
        <v>4292</v>
      </c>
    </row>
    <row r="1608" spans="1:35">
      <c r="A1608" t="s">
        <v>3448</v>
      </c>
      <c r="B1608" s="1">
        <v>41160</v>
      </c>
      <c r="C1608" s="1">
        <v>41205</v>
      </c>
      <c r="D1608" t="s">
        <v>257</v>
      </c>
      <c r="E1608">
        <v>192000</v>
      </c>
      <c r="F1608">
        <v>30720</v>
      </c>
      <c r="G1608">
        <v>0</v>
      </c>
      <c r="H1608">
        <v>0</v>
      </c>
      <c r="I1608">
        <v>109</v>
      </c>
      <c r="J1608">
        <v>222720</v>
      </c>
      <c r="K1608" t="s">
        <v>1559</v>
      </c>
      <c r="L1608" s="1">
        <v>41159</v>
      </c>
      <c r="N1608" t="s">
        <v>36</v>
      </c>
      <c r="O1608" t="s">
        <v>37</v>
      </c>
      <c r="P1608" t="s">
        <v>394</v>
      </c>
      <c r="Q1608" t="s">
        <v>39</v>
      </c>
      <c r="R1608" t="s">
        <v>40</v>
      </c>
      <c r="S1608">
        <v>0</v>
      </c>
      <c r="U1608" t="s">
        <v>41</v>
      </c>
      <c r="V1608" t="s">
        <v>42</v>
      </c>
      <c r="X1608" t="s">
        <v>74</v>
      </c>
      <c r="Y1608" t="b">
        <v>0</v>
      </c>
      <c r="Z1608" t="b">
        <v>0</v>
      </c>
      <c r="AC1608" s="1"/>
      <c r="AF1608">
        <v>0</v>
      </c>
      <c r="AG1608">
        <v>45</v>
      </c>
      <c r="AH1608">
        <v>154</v>
      </c>
      <c r="AI1608" s="2">
        <f>Table__192.168.3.138DYLAgingReport[[#This Row],[NetAmount]]-Table__192.168.3.138DYLAgingReport[[#This Row],[Paid]]</f>
        <v>222720</v>
      </c>
    </row>
    <row r="1609" spans="1:35">
      <c r="A1609" t="s">
        <v>3449</v>
      </c>
      <c r="B1609" s="1">
        <v>41176</v>
      </c>
      <c r="C1609" s="1">
        <v>41221</v>
      </c>
      <c r="D1609" t="s">
        <v>257</v>
      </c>
      <c r="E1609">
        <v>88000</v>
      </c>
      <c r="F1609">
        <v>14080</v>
      </c>
      <c r="G1609">
        <v>0</v>
      </c>
      <c r="H1609">
        <v>0</v>
      </c>
      <c r="I1609">
        <v>92</v>
      </c>
      <c r="J1609">
        <v>102080</v>
      </c>
      <c r="K1609" t="s">
        <v>3450</v>
      </c>
      <c r="L1609" s="1">
        <v>41176</v>
      </c>
      <c r="N1609" t="s">
        <v>36</v>
      </c>
      <c r="O1609" t="s">
        <v>37</v>
      </c>
      <c r="P1609" t="s">
        <v>394</v>
      </c>
      <c r="Q1609" t="s">
        <v>39</v>
      </c>
      <c r="R1609" t="s">
        <v>40</v>
      </c>
      <c r="S1609">
        <v>0</v>
      </c>
      <c r="U1609" t="s">
        <v>41</v>
      </c>
      <c r="V1609" t="s">
        <v>42</v>
      </c>
      <c r="X1609" t="s">
        <v>74</v>
      </c>
      <c r="Y1609" t="b">
        <v>0</v>
      </c>
      <c r="Z1609" t="b">
        <v>0</v>
      </c>
      <c r="AC1609" s="1"/>
      <c r="AF1609">
        <v>0</v>
      </c>
      <c r="AG1609">
        <v>45</v>
      </c>
      <c r="AH1609">
        <v>137</v>
      </c>
      <c r="AI1609" s="2">
        <f>Table__192.168.3.138DYLAgingReport[[#This Row],[NetAmount]]-Table__192.168.3.138DYLAgingReport[[#This Row],[Paid]]</f>
        <v>102080</v>
      </c>
    </row>
    <row r="1610" spans="1:35">
      <c r="A1610" t="s">
        <v>3451</v>
      </c>
      <c r="B1610" s="1">
        <v>41177</v>
      </c>
      <c r="C1610" s="1">
        <v>41222</v>
      </c>
      <c r="D1610" t="s">
        <v>206</v>
      </c>
      <c r="E1610">
        <v>133875</v>
      </c>
      <c r="F1610">
        <v>21420</v>
      </c>
      <c r="G1610">
        <v>0</v>
      </c>
      <c r="H1610">
        <v>0</v>
      </c>
      <c r="I1610">
        <v>87</v>
      </c>
      <c r="J1610">
        <v>155295</v>
      </c>
      <c r="K1610" t="s">
        <v>3397</v>
      </c>
      <c r="L1610" s="1">
        <v>41181</v>
      </c>
      <c r="N1610" t="s">
        <v>36</v>
      </c>
      <c r="O1610" t="s">
        <v>37</v>
      </c>
      <c r="P1610" t="s">
        <v>343</v>
      </c>
      <c r="Q1610" t="s">
        <v>39</v>
      </c>
      <c r="R1610" t="s">
        <v>40</v>
      </c>
      <c r="S1610">
        <v>0</v>
      </c>
      <c r="U1610" t="s">
        <v>41</v>
      </c>
      <c r="V1610" t="s">
        <v>42</v>
      </c>
      <c r="X1610" t="s">
        <v>74</v>
      </c>
      <c r="Y1610" t="b">
        <v>0</v>
      </c>
      <c r="Z1610" t="b">
        <v>0</v>
      </c>
      <c r="AC1610" s="1"/>
      <c r="AF1610">
        <v>0</v>
      </c>
      <c r="AG1610">
        <v>45</v>
      </c>
      <c r="AH1610">
        <v>132</v>
      </c>
      <c r="AI1610" s="2">
        <f>Table__192.168.3.138DYLAgingReport[[#This Row],[NetAmount]]-Table__192.168.3.138DYLAgingReport[[#This Row],[Paid]]</f>
        <v>155295</v>
      </c>
    </row>
    <row r="1611" spans="1:35">
      <c r="A1611" t="s">
        <v>3452</v>
      </c>
      <c r="B1611" s="1">
        <v>41179</v>
      </c>
      <c r="C1611" s="1">
        <v>41224</v>
      </c>
      <c r="D1611" t="s">
        <v>270</v>
      </c>
      <c r="E1611">
        <v>82500</v>
      </c>
      <c r="F1611">
        <v>13200</v>
      </c>
      <c r="G1611">
        <v>0</v>
      </c>
      <c r="H1611">
        <v>0</v>
      </c>
      <c r="I1611">
        <v>104</v>
      </c>
      <c r="J1611">
        <v>95700</v>
      </c>
      <c r="K1611" t="s">
        <v>3453</v>
      </c>
      <c r="L1611" s="1">
        <v>41179</v>
      </c>
      <c r="N1611" t="s">
        <v>36</v>
      </c>
      <c r="O1611" t="s">
        <v>37</v>
      </c>
      <c r="P1611" t="s">
        <v>407</v>
      </c>
      <c r="Q1611" t="s">
        <v>39</v>
      </c>
      <c r="R1611" t="s">
        <v>40</v>
      </c>
      <c r="S1611">
        <v>0</v>
      </c>
      <c r="U1611" t="s">
        <v>41</v>
      </c>
      <c r="V1611" t="s">
        <v>42</v>
      </c>
      <c r="X1611" t="s">
        <v>74</v>
      </c>
      <c r="Y1611" t="b">
        <v>0</v>
      </c>
      <c r="Z1611" t="b">
        <v>0</v>
      </c>
      <c r="AC1611" s="1"/>
      <c r="AF1611">
        <v>0</v>
      </c>
      <c r="AG1611">
        <v>30</v>
      </c>
      <c r="AH1611">
        <v>134</v>
      </c>
      <c r="AI1611" s="2">
        <f>Table__192.168.3.138DYLAgingReport[[#This Row],[NetAmount]]-Table__192.168.3.138DYLAgingReport[[#This Row],[Paid]]</f>
        <v>95700</v>
      </c>
    </row>
    <row r="1612" spans="1:35">
      <c r="A1612" t="s">
        <v>3454</v>
      </c>
      <c r="B1612" s="1">
        <v>41176</v>
      </c>
      <c r="C1612" s="1">
        <v>41221</v>
      </c>
      <c r="D1612" t="s">
        <v>220</v>
      </c>
      <c r="E1612">
        <v>130000</v>
      </c>
      <c r="F1612">
        <v>20800</v>
      </c>
      <c r="G1612">
        <v>0</v>
      </c>
      <c r="H1612">
        <v>0</v>
      </c>
      <c r="I1612">
        <v>92</v>
      </c>
      <c r="J1612">
        <v>150800</v>
      </c>
      <c r="K1612" t="s">
        <v>3455</v>
      </c>
      <c r="L1612" s="1">
        <v>41176</v>
      </c>
      <c r="N1612" t="s">
        <v>36</v>
      </c>
      <c r="O1612" t="s">
        <v>37</v>
      </c>
      <c r="P1612" t="s">
        <v>357</v>
      </c>
      <c r="Q1612" t="s">
        <v>39</v>
      </c>
      <c r="R1612" t="s">
        <v>40</v>
      </c>
      <c r="S1612">
        <v>0</v>
      </c>
      <c r="U1612" t="s">
        <v>41</v>
      </c>
      <c r="V1612" t="s">
        <v>42</v>
      </c>
      <c r="X1612" t="s">
        <v>74</v>
      </c>
      <c r="Y1612" t="b">
        <v>0</v>
      </c>
      <c r="Z1612" t="b">
        <v>0</v>
      </c>
      <c r="AC1612" s="1"/>
      <c r="AF1612">
        <v>0</v>
      </c>
      <c r="AG1612">
        <v>45</v>
      </c>
      <c r="AH1612">
        <v>137</v>
      </c>
      <c r="AI1612" s="2">
        <f>Table__192.168.3.138DYLAgingReport[[#This Row],[NetAmount]]-Table__192.168.3.138DYLAgingReport[[#This Row],[Paid]]</f>
        <v>150800</v>
      </c>
    </row>
    <row r="1613" spans="1:35">
      <c r="A1613" t="s">
        <v>3456</v>
      </c>
      <c r="B1613" s="1">
        <v>41180</v>
      </c>
      <c r="C1613" s="1">
        <v>41225</v>
      </c>
      <c r="D1613" t="s">
        <v>220</v>
      </c>
      <c r="E1613">
        <v>285750</v>
      </c>
      <c r="F1613">
        <v>45720</v>
      </c>
      <c r="G1613">
        <v>0</v>
      </c>
      <c r="H1613">
        <v>0</v>
      </c>
      <c r="I1613">
        <v>89</v>
      </c>
      <c r="J1613">
        <v>331470</v>
      </c>
      <c r="K1613" t="s">
        <v>893</v>
      </c>
      <c r="L1613" s="1">
        <v>41179</v>
      </c>
      <c r="N1613" t="s">
        <v>36</v>
      </c>
      <c r="O1613" t="s">
        <v>37</v>
      </c>
      <c r="P1613" t="s">
        <v>357</v>
      </c>
      <c r="Q1613" t="s">
        <v>39</v>
      </c>
      <c r="R1613" t="s">
        <v>40</v>
      </c>
      <c r="S1613">
        <v>0</v>
      </c>
      <c r="U1613" t="s">
        <v>41</v>
      </c>
      <c r="V1613" t="s">
        <v>42</v>
      </c>
      <c r="X1613" t="s">
        <v>74</v>
      </c>
      <c r="Y1613" t="b">
        <v>0</v>
      </c>
      <c r="Z1613" t="b">
        <v>0</v>
      </c>
      <c r="AC1613" s="1"/>
      <c r="AF1613">
        <v>0</v>
      </c>
      <c r="AG1613">
        <v>45</v>
      </c>
      <c r="AH1613">
        <v>134</v>
      </c>
      <c r="AI1613" s="2">
        <f>Table__192.168.3.138DYLAgingReport[[#This Row],[NetAmount]]-Table__192.168.3.138DYLAgingReport[[#This Row],[Paid]]</f>
        <v>331470</v>
      </c>
    </row>
    <row r="1614" spans="1:35">
      <c r="A1614" t="s">
        <v>3457</v>
      </c>
      <c r="B1614" s="1">
        <v>41181</v>
      </c>
      <c r="C1614" s="1">
        <v>41226</v>
      </c>
      <c r="D1614" t="s">
        <v>220</v>
      </c>
      <c r="E1614">
        <v>52800</v>
      </c>
      <c r="F1614">
        <v>8448</v>
      </c>
      <c r="G1614">
        <v>0</v>
      </c>
      <c r="H1614">
        <v>0</v>
      </c>
      <c r="I1614">
        <v>87</v>
      </c>
      <c r="J1614">
        <v>61248</v>
      </c>
      <c r="K1614" t="s">
        <v>3458</v>
      </c>
      <c r="L1614" s="1">
        <v>41181</v>
      </c>
      <c r="N1614" t="s">
        <v>36</v>
      </c>
      <c r="O1614" t="s">
        <v>37</v>
      </c>
      <c r="P1614" t="s">
        <v>357</v>
      </c>
      <c r="Q1614" t="s">
        <v>39</v>
      </c>
      <c r="R1614" t="s">
        <v>40</v>
      </c>
      <c r="S1614">
        <v>0</v>
      </c>
      <c r="U1614" t="s">
        <v>41</v>
      </c>
      <c r="V1614" t="s">
        <v>42</v>
      </c>
      <c r="X1614" t="s">
        <v>74</v>
      </c>
      <c r="Y1614" t="b">
        <v>0</v>
      </c>
      <c r="Z1614" t="b">
        <v>0</v>
      </c>
      <c r="AC1614" s="1"/>
      <c r="AF1614">
        <v>0</v>
      </c>
      <c r="AG1614">
        <v>45</v>
      </c>
      <c r="AH1614">
        <v>132</v>
      </c>
      <c r="AI1614" s="2">
        <f>Table__192.168.3.138DYLAgingReport[[#This Row],[NetAmount]]-Table__192.168.3.138DYLAgingReport[[#This Row],[Paid]]</f>
        <v>61248</v>
      </c>
    </row>
    <row r="1615" spans="1:35">
      <c r="A1615" t="s">
        <v>3459</v>
      </c>
      <c r="B1615" s="1">
        <v>41181</v>
      </c>
      <c r="C1615" s="1">
        <v>41226</v>
      </c>
      <c r="D1615" t="s">
        <v>220</v>
      </c>
      <c r="E1615">
        <v>130000</v>
      </c>
      <c r="F1615">
        <v>20800</v>
      </c>
      <c r="G1615">
        <v>0</v>
      </c>
      <c r="H1615">
        <v>0</v>
      </c>
      <c r="I1615">
        <v>87</v>
      </c>
      <c r="J1615">
        <v>150800</v>
      </c>
      <c r="K1615" t="s">
        <v>3460</v>
      </c>
      <c r="L1615" s="1">
        <v>41181</v>
      </c>
      <c r="N1615" t="s">
        <v>36</v>
      </c>
      <c r="O1615" t="s">
        <v>37</v>
      </c>
      <c r="P1615" t="s">
        <v>357</v>
      </c>
      <c r="Q1615" t="s">
        <v>39</v>
      </c>
      <c r="R1615" t="s">
        <v>40</v>
      </c>
      <c r="S1615">
        <v>0</v>
      </c>
      <c r="U1615" t="s">
        <v>41</v>
      </c>
      <c r="V1615" t="s">
        <v>42</v>
      </c>
      <c r="X1615" t="s">
        <v>74</v>
      </c>
      <c r="Y1615" t="b">
        <v>0</v>
      </c>
      <c r="Z1615" t="b">
        <v>0</v>
      </c>
      <c r="AC1615" s="1"/>
      <c r="AF1615">
        <v>0</v>
      </c>
      <c r="AG1615">
        <v>45</v>
      </c>
      <c r="AH1615">
        <v>132</v>
      </c>
      <c r="AI1615" s="2">
        <f>Table__192.168.3.138DYLAgingReport[[#This Row],[NetAmount]]-Table__192.168.3.138DYLAgingReport[[#This Row],[Paid]]</f>
        <v>150800</v>
      </c>
    </row>
    <row r="1616" spans="1:35">
      <c r="A1616" t="s">
        <v>3461</v>
      </c>
      <c r="B1616" s="1">
        <v>41178</v>
      </c>
      <c r="C1616" s="1">
        <v>41178</v>
      </c>
      <c r="D1616" t="s">
        <v>296</v>
      </c>
      <c r="E1616">
        <v>5833</v>
      </c>
      <c r="F1616">
        <v>933</v>
      </c>
      <c r="G1616">
        <v>0</v>
      </c>
      <c r="H1616">
        <v>0</v>
      </c>
      <c r="I1616">
        <v>90</v>
      </c>
      <c r="J1616">
        <v>6766</v>
      </c>
      <c r="K1616" t="s">
        <v>3462</v>
      </c>
      <c r="L1616" s="1">
        <v>41178</v>
      </c>
      <c r="N1616" t="s">
        <v>36</v>
      </c>
      <c r="O1616" t="s">
        <v>37</v>
      </c>
      <c r="P1616" t="s">
        <v>433</v>
      </c>
      <c r="Q1616" t="s">
        <v>39</v>
      </c>
      <c r="R1616" t="s">
        <v>40</v>
      </c>
      <c r="S1616">
        <v>0</v>
      </c>
      <c r="U1616" t="s">
        <v>41</v>
      </c>
      <c r="V1616" t="s">
        <v>42</v>
      </c>
      <c r="X1616" t="s">
        <v>74</v>
      </c>
      <c r="Y1616" t="b">
        <v>0</v>
      </c>
      <c r="Z1616" t="b">
        <v>0</v>
      </c>
      <c r="AC1616" s="1"/>
      <c r="AF1616">
        <v>0</v>
      </c>
      <c r="AG1616">
        <v>45</v>
      </c>
      <c r="AH1616">
        <v>135</v>
      </c>
      <c r="AI1616" s="2">
        <f>Table__192.168.3.138DYLAgingReport[[#This Row],[NetAmount]]-Table__192.168.3.138DYLAgingReport[[#This Row],[Paid]]</f>
        <v>6766</v>
      </c>
    </row>
    <row r="1617" spans="1:35">
      <c r="A1617" t="s">
        <v>3463</v>
      </c>
      <c r="B1617" s="1">
        <v>41180</v>
      </c>
      <c r="C1617" s="1">
        <v>41180</v>
      </c>
      <c r="D1617" t="s">
        <v>296</v>
      </c>
      <c r="E1617">
        <v>5833</v>
      </c>
      <c r="F1617">
        <v>933</v>
      </c>
      <c r="G1617">
        <v>0</v>
      </c>
      <c r="H1617">
        <v>0</v>
      </c>
      <c r="I1617">
        <v>89</v>
      </c>
      <c r="J1617">
        <v>6766</v>
      </c>
      <c r="K1617" t="s">
        <v>3464</v>
      </c>
      <c r="L1617" s="1">
        <v>41179</v>
      </c>
      <c r="N1617" t="s">
        <v>36</v>
      </c>
      <c r="O1617" t="s">
        <v>37</v>
      </c>
      <c r="P1617" t="s">
        <v>433</v>
      </c>
      <c r="Q1617" t="s">
        <v>39</v>
      </c>
      <c r="R1617" t="s">
        <v>40</v>
      </c>
      <c r="S1617">
        <v>0</v>
      </c>
      <c r="U1617" t="s">
        <v>41</v>
      </c>
      <c r="V1617" t="s">
        <v>42</v>
      </c>
      <c r="X1617" t="s">
        <v>74</v>
      </c>
      <c r="Y1617" t="b">
        <v>0</v>
      </c>
      <c r="Z1617" t="b">
        <v>0</v>
      </c>
      <c r="AC1617" s="1"/>
      <c r="AF1617">
        <v>0</v>
      </c>
      <c r="AG1617">
        <v>45</v>
      </c>
      <c r="AH1617">
        <v>134</v>
      </c>
      <c r="AI1617" s="2">
        <f>Table__192.168.3.138DYLAgingReport[[#This Row],[NetAmount]]-Table__192.168.3.138DYLAgingReport[[#This Row],[Paid]]</f>
        <v>6766</v>
      </c>
    </row>
    <row r="1618" spans="1:35">
      <c r="A1618" t="s">
        <v>3465</v>
      </c>
      <c r="B1618" s="1">
        <v>41180</v>
      </c>
      <c r="C1618" s="1">
        <v>41225</v>
      </c>
      <c r="D1618" t="s">
        <v>227</v>
      </c>
      <c r="E1618">
        <v>711000</v>
      </c>
      <c r="F1618">
        <v>113760</v>
      </c>
      <c r="G1618">
        <v>0</v>
      </c>
      <c r="H1618">
        <v>0</v>
      </c>
      <c r="I1618">
        <v>88</v>
      </c>
      <c r="J1618">
        <v>824760</v>
      </c>
      <c r="K1618" t="s">
        <v>1198</v>
      </c>
      <c r="L1618" s="1">
        <v>41180</v>
      </c>
      <c r="N1618" t="s">
        <v>36</v>
      </c>
      <c r="O1618" t="s">
        <v>37</v>
      </c>
      <c r="P1618" t="s">
        <v>364</v>
      </c>
      <c r="Q1618" t="s">
        <v>39</v>
      </c>
      <c r="R1618" t="s">
        <v>40</v>
      </c>
      <c r="S1618">
        <v>0</v>
      </c>
      <c r="U1618" t="s">
        <v>41</v>
      </c>
      <c r="V1618" t="s">
        <v>42</v>
      </c>
      <c r="X1618" t="s">
        <v>74</v>
      </c>
      <c r="Y1618" t="b">
        <v>0</v>
      </c>
      <c r="Z1618" t="b">
        <v>0</v>
      </c>
      <c r="AC1618" s="1"/>
      <c r="AF1618">
        <v>0</v>
      </c>
      <c r="AG1618">
        <v>45</v>
      </c>
      <c r="AH1618">
        <v>133</v>
      </c>
      <c r="AI1618" s="2">
        <f>Table__192.168.3.138DYLAgingReport[[#This Row],[NetAmount]]-Table__192.168.3.138DYLAgingReport[[#This Row],[Paid]]</f>
        <v>824760</v>
      </c>
    </row>
    <row r="1619" spans="1:35">
      <c r="A1619" t="s">
        <v>3466</v>
      </c>
      <c r="B1619" s="1">
        <v>41181</v>
      </c>
      <c r="C1619" s="1">
        <v>41226</v>
      </c>
      <c r="D1619" t="s">
        <v>227</v>
      </c>
      <c r="E1619">
        <v>100500</v>
      </c>
      <c r="F1619">
        <v>16080</v>
      </c>
      <c r="G1619">
        <v>0</v>
      </c>
      <c r="H1619">
        <v>0</v>
      </c>
      <c r="I1619">
        <v>87</v>
      </c>
      <c r="J1619">
        <v>116580</v>
      </c>
      <c r="K1619" t="s">
        <v>3467</v>
      </c>
      <c r="L1619" s="1">
        <v>41181</v>
      </c>
      <c r="N1619" t="s">
        <v>36</v>
      </c>
      <c r="O1619" t="s">
        <v>37</v>
      </c>
      <c r="P1619" t="s">
        <v>364</v>
      </c>
      <c r="Q1619" t="s">
        <v>39</v>
      </c>
      <c r="R1619" t="s">
        <v>40</v>
      </c>
      <c r="S1619">
        <v>0</v>
      </c>
      <c r="U1619" t="s">
        <v>41</v>
      </c>
      <c r="V1619" t="s">
        <v>42</v>
      </c>
      <c r="X1619" t="s">
        <v>74</v>
      </c>
      <c r="Y1619" t="b">
        <v>0</v>
      </c>
      <c r="Z1619" t="b">
        <v>0</v>
      </c>
      <c r="AC1619" s="1"/>
      <c r="AF1619">
        <v>0</v>
      </c>
      <c r="AG1619">
        <v>45</v>
      </c>
      <c r="AH1619">
        <v>132</v>
      </c>
      <c r="AI1619" s="2">
        <f>Table__192.168.3.138DYLAgingReport[[#This Row],[NetAmount]]-Table__192.168.3.138DYLAgingReport[[#This Row],[Paid]]</f>
        <v>116580</v>
      </c>
    </row>
    <row r="1620" spans="1:35">
      <c r="A1620" t="s">
        <v>3468</v>
      </c>
      <c r="B1620" s="1">
        <v>41181</v>
      </c>
      <c r="C1620" s="1">
        <v>41226</v>
      </c>
      <c r="D1620" t="s">
        <v>227</v>
      </c>
      <c r="E1620">
        <v>277000</v>
      </c>
      <c r="F1620">
        <v>44320</v>
      </c>
      <c r="G1620">
        <v>0</v>
      </c>
      <c r="H1620">
        <v>0</v>
      </c>
      <c r="I1620">
        <v>87</v>
      </c>
      <c r="J1620">
        <v>321320</v>
      </c>
      <c r="K1620" t="s">
        <v>3469</v>
      </c>
      <c r="L1620" s="1">
        <v>41181</v>
      </c>
      <c r="N1620" t="s">
        <v>36</v>
      </c>
      <c r="O1620" t="s">
        <v>37</v>
      </c>
      <c r="P1620" t="s">
        <v>364</v>
      </c>
      <c r="Q1620" t="s">
        <v>39</v>
      </c>
      <c r="R1620" t="s">
        <v>40</v>
      </c>
      <c r="S1620">
        <v>0</v>
      </c>
      <c r="U1620" t="s">
        <v>41</v>
      </c>
      <c r="V1620" t="s">
        <v>42</v>
      </c>
      <c r="X1620" t="s">
        <v>74</v>
      </c>
      <c r="Y1620" t="b">
        <v>0</v>
      </c>
      <c r="Z1620" t="b">
        <v>0</v>
      </c>
      <c r="AC1620" s="1"/>
      <c r="AF1620">
        <v>0</v>
      </c>
      <c r="AG1620">
        <v>45</v>
      </c>
      <c r="AH1620">
        <v>132</v>
      </c>
      <c r="AI1620" s="2">
        <f>Table__192.168.3.138DYLAgingReport[[#This Row],[NetAmount]]-Table__192.168.3.138DYLAgingReport[[#This Row],[Paid]]</f>
        <v>321320</v>
      </c>
    </row>
    <row r="1621" spans="1:35">
      <c r="A1621" t="s">
        <v>3470</v>
      </c>
      <c r="B1621" s="1">
        <v>41181</v>
      </c>
      <c r="C1621" s="1">
        <v>41226</v>
      </c>
      <c r="D1621" t="s">
        <v>227</v>
      </c>
      <c r="E1621">
        <v>10500</v>
      </c>
      <c r="F1621">
        <v>1680</v>
      </c>
      <c r="G1621">
        <v>0</v>
      </c>
      <c r="H1621">
        <v>0</v>
      </c>
      <c r="I1621">
        <v>87</v>
      </c>
      <c r="J1621">
        <v>12180</v>
      </c>
      <c r="K1621" t="s">
        <v>3471</v>
      </c>
      <c r="L1621" s="1">
        <v>41181</v>
      </c>
      <c r="N1621" t="s">
        <v>36</v>
      </c>
      <c r="O1621" t="s">
        <v>37</v>
      </c>
      <c r="P1621" t="s">
        <v>364</v>
      </c>
      <c r="Q1621" t="s">
        <v>39</v>
      </c>
      <c r="R1621" t="s">
        <v>40</v>
      </c>
      <c r="S1621">
        <v>0</v>
      </c>
      <c r="U1621" t="s">
        <v>41</v>
      </c>
      <c r="V1621" t="s">
        <v>42</v>
      </c>
      <c r="X1621" t="s">
        <v>74</v>
      </c>
      <c r="Y1621" t="b">
        <v>0</v>
      </c>
      <c r="Z1621" t="b">
        <v>0</v>
      </c>
      <c r="AC1621" s="1"/>
      <c r="AF1621">
        <v>0</v>
      </c>
      <c r="AG1621">
        <v>45</v>
      </c>
      <c r="AH1621">
        <v>132</v>
      </c>
      <c r="AI1621" s="2">
        <f>Table__192.168.3.138DYLAgingReport[[#This Row],[NetAmount]]-Table__192.168.3.138DYLAgingReport[[#This Row],[Paid]]</f>
        <v>12180</v>
      </c>
    </row>
    <row r="1622" spans="1:35">
      <c r="A1622" t="s">
        <v>3472</v>
      </c>
      <c r="B1622" s="1">
        <v>41181</v>
      </c>
      <c r="C1622" s="1">
        <v>41226</v>
      </c>
      <c r="D1622" t="s">
        <v>180</v>
      </c>
      <c r="E1622">
        <v>301330</v>
      </c>
      <c r="F1622">
        <v>48213</v>
      </c>
      <c r="G1622">
        <v>0</v>
      </c>
      <c r="H1622">
        <v>0</v>
      </c>
      <c r="I1622">
        <v>87</v>
      </c>
      <c r="J1622">
        <v>349543</v>
      </c>
      <c r="K1622" t="s">
        <v>3473</v>
      </c>
      <c r="L1622" s="1">
        <v>41181</v>
      </c>
      <c r="N1622" t="s">
        <v>36</v>
      </c>
      <c r="O1622" t="s">
        <v>37</v>
      </c>
      <c r="P1622" t="s">
        <v>317</v>
      </c>
      <c r="Q1622" t="s">
        <v>39</v>
      </c>
      <c r="R1622" t="s">
        <v>40</v>
      </c>
      <c r="S1622">
        <v>0</v>
      </c>
      <c r="U1622" t="s">
        <v>41</v>
      </c>
      <c r="V1622" t="s">
        <v>42</v>
      </c>
      <c r="X1622" t="s">
        <v>74</v>
      </c>
      <c r="Y1622" t="b">
        <v>0</v>
      </c>
      <c r="Z1622" t="b">
        <v>0</v>
      </c>
      <c r="AB1622" t="s">
        <v>797</v>
      </c>
      <c r="AC1622" s="1">
        <v>41305</v>
      </c>
      <c r="AE1622" t="s">
        <v>798</v>
      </c>
      <c r="AF1622">
        <v>0</v>
      </c>
      <c r="AG1622">
        <v>45</v>
      </c>
      <c r="AH1622">
        <v>132</v>
      </c>
      <c r="AI1622" s="2">
        <f>Table__192.168.3.138DYLAgingReport[[#This Row],[NetAmount]]-Table__192.168.3.138DYLAgingReport[[#This Row],[Paid]]</f>
        <v>349543</v>
      </c>
    </row>
    <row r="1623" spans="1:35">
      <c r="A1623" t="s">
        <v>3474</v>
      </c>
      <c r="B1623" s="1">
        <v>41178</v>
      </c>
      <c r="C1623" s="1">
        <v>41223</v>
      </c>
      <c r="D1623" t="s">
        <v>180</v>
      </c>
      <c r="E1623">
        <v>224589</v>
      </c>
      <c r="F1623">
        <v>35934</v>
      </c>
      <c r="G1623">
        <v>0</v>
      </c>
      <c r="H1623">
        <v>0</v>
      </c>
      <c r="I1623">
        <v>90</v>
      </c>
      <c r="J1623">
        <v>260523</v>
      </c>
      <c r="K1623" t="s">
        <v>3475</v>
      </c>
      <c r="L1623" s="1">
        <v>41178</v>
      </c>
      <c r="N1623" t="s">
        <v>36</v>
      </c>
      <c r="O1623" t="s">
        <v>37</v>
      </c>
      <c r="P1623" t="s">
        <v>317</v>
      </c>
      <c r="Q1623" t="s">
        <v>39</v>
      </c>
      <c r="R1623" t="s">
        <v>40</v>
      </c>
      <c r="S1623">
        <v>0</v>
      </c>
      <c r="U1623" t="s">
        <v>41</v>
      </c>
      <c r="V1623" t="s">
        <v>42</v>
      </c>
      <c r="X1623" t="s">
        <v>74</v>
      </c>
      <c r="Y1623" t="b">
        <v>0</v>
      </c>
      <c r="Z1623" t="b">
        <v>0</v>
      </c>
      <c r="AB1623" t="s">
        <v>797</v>
      </c>
      <c r="AC1623" s="1">
        <v>41305</v>
      </c>
      <c r="AE1623" t="s">
        <v>798</v>
      </c>
      <c r="AF1623">
        <v>0</v>
      </c>
      <c r="AG1623">
        <v>45</v>
      </c>
      <c r="AH1623">
        <v>135</v>
      </c>
      <c r="AI1623" s="2">
        <f>Table__192.168.3.138DYLAgingReport[[#This Row],[NetAmount]]-Table__192.168.3.138DYLAgingReport[[#This Row],[Paid]]</f>
        <v>260523</v>
      </c>
    </row>
    <row r="1624" spans="1:35">
      <c r="A1624" t="s">
        <v>3476</v>
      </c>
      <c r="B1624" s="1">
        <v>41181</v>
      </c>
      <c r="C1624" s="1">
        <v>41226</v>
      </c>
      <c r="D1624" t="s">
        <v>224</v>
      </c>
      <c r="E1624">
        <v>97610</v>
      </c>
      <c r="F1624">
        <v>15618</v>
      </c>
      <c r="G1624">
        <v>0</v>
      </c>
      <c r="H1624">
        <v>0</v>
      </c>
      <c r="I1624">
        <v>91</v>
      </c>
      <c r="J1624">
        <v>113228</v>
      </c>
      <c r="K1624" t="s">
        <v>3477</v>
      </c>
      <c r="L1624" s="1">
        <v>41177</v>
      </c>
      <c r="N1624" t="s">
        <v>36</v>
      </c>
      <c r="O1624" t="s">
        <v>37</v>
      </c>
      <c r="P1624" t="s">
        <v>361</v>
      </c>
      <c r="Q1624" t="s">
        <v>39</v>
      </c>
      <c r="R1624" t="s">
        <v>40</v>
      </c>
      <c r="S1624">
        <v>0</v>
      </c>
      <c r="U1624" t="s">
        <v>41</v>
      </c>
      <c r="V1624" t="s">
        <v>42</v>
      </c>
      <c r="X1624" t="s">
        <v>74</v>
      </c>
      <c r="Y1624" t="b">
        <v>0</v>
      </c>
      <c r="Z1624" t="b">
        <v>0</v>
      </c>
      <c r="AC1624" s="1"/>
      <c r="AF1624">
        <v>0</v>
      </c>
      <c r="AG1624">
        <v>45</v>
      </c>
      <c r="AH1624">
        <v>136</v>
      </c>
      <c r="AI1624" s="2">
        <f>Table__192.168.3.138DYLAgingReport[[#This Row],[NetAmount]]-Table__192.168.3.138DYLAgingReport[[#This Row],[Paid]]</f>
        <v>113228</v>
      </c>
    </row>
    <row r="1625" spans="1:35">
      <c r="A1625" t="s">
        <v>3478</v>
      </c>
      <c r="B1625" s="1">
        <v>41181</v>
      </c>
      <c r="C1625" s="1">
        <v>41226</v>
      </c>
      <c r="D1625" t="s">
        <v>270</v>
      </c>
      <c r="E1625">
        <v>29700</v>
      </c>
      <c r="F1625">
        <v>4752</v>
      </c>
      <c r="G1625">
        <v>0</v>
      </c>
      <c r="H1625">
        <v>0</v>
      </c>
      <c r="I1625">
        <v>102</v>
      </c>
      <c r="J1625">
        <v>34452</v>
      </c>
      <c r="K1625" t="s">
        <v>3479</v>
      </c>
      <c r="L1625" s="1">
        <v>41181</v>
      </c>
      <c r="N1625" t="s">
        <v>36</v>
      </c>
      <c r="O1625" t="s">
        <v>37</v>
      </c>
      <c r="P1625" t="s">
        <v>407</v>
      </c>
      <c r="Q1625" t="s">
        <v>39</v>
      </c>
      <c r="R1625" t="s">
        <v>40</v>
      </c>
      <c r="S1625">
        <v>0</v>
      </c>
      <c r="U1625" t="s">
        <v>41</v>
      </c>
      <c r="V1625" t="s">
        <v>42</v>
      </c>
      <c r="X1625" t="s">
        <v>74</v>
      </c>
      <c r="Y1625" t="b">
        <v>0</v>
      </c>
      <c r="Z1625" t="b">
        <v>0</v>
      </c>
      <c r="AC1625" s="1"/>
      <c r="AF1625">
        <v>0</v>
      </c>
      <c r="AG1625">
        <v>30</v>
      </c>
      <c r="AH1625">
        <v>132</v>
      </c>
      <c r="AI1625" s="2">
        <f>Table__192.168.3.138DYLAgingReport[[#This Row],[NetAmount]]-Table__192.168.3.138DYLAgingReport[[#This Row],[Paid]]</f>
        <v>34452</v>
      </c>
    </row>
    <row r="1626" spans="1:35">
      <c r="A1626" t="s">
        <v>3480</v>
      </c>
      <c r="B1626" s="1">
        <v>41177</v>
      </c>
      <c r="C1626" s="1">
        <v>41222</v>
      </c>
      <c r="D1626" t="s">
        <v>202</v>
      </c>
      <c r="E1626">
        <v>176800</v>
      </c>
      <c r="F1626">
        <v>28288</v>
      </c>
      <c r="G1626">
        <v>0</v>
      </c>
      <c r="H1626">
        <v>0</v>
      </c>
      <c r="I1626">
        <v>91</v>
      </c>
      <c r="J1626">
        <v>205088</v>
      </c>
      <c r="K1626" t="s">
        <v>3481</v>
      </c>
      <c r="L1626" s="1">
        <v>41177</v>
      </c>
      <c r="N1626" t="s">
        <v>36</v>
      </c>
      <c r="O1626" t="s">
        <v>37</v>
      </c>
      <c r="P1626" t="s">
        <v>339</v>
      </c>
      <c r="Q1626" t="s">
        <v>39</v>
      </c>
      <c r="R1626" t="s">
        <v>40</v>
      </c>
      <c r="S1626">
        <v>0</v>
      </c>
      <c r="U1626" t="s">
        <v>41</v>
      </c>
      <c r="V1626" t="s">
        <v>42</v>
      </c>
      <c r="X1626" t="s">
        <v>74</v>
      </c>
      <c r="Y1626" t="b">
        <v>0</v>
      </c>
      <c r="Z1626" t="b">
        <v>0</v>
      </c>
      <c r="AC1626" s="1"/>
      <c r="AF1626">
        <v>0</v>
      </c>
      <c r="AG1626">
        <v>45</v>
      </c>
      <c r="AH1626">
        <v>136</v>
      </c>
      <c r="AI1626" s="2">
        <f>Table__192.168.3.138DYLAgingReport[[#This Row],[NetAmount]]-Table__192.168.3.138DYLAgingReport[[#This Row],[Paid]]</f>
        <v>205088</v>
      </c>
    </row>
    <row r="1627" spans="1:35">
      <c r="A1627" t="s">
        <v>3482</v>
      </c>
      <c r="B1627" s="1">
        <v>41180</v>
      </c>
      <c r="C1627" s="1">
        <v>41225</v>
      </c>
      <c r="D1627" t="s">
        <v>282</v>
      </c>
      <c r="E1627">
        <v>215000</v>
      </c>
      <c r="F1627">
        <v>34400</v>
      </c>
      <c r="G1627">
        <v>0</v>
      </c>
      <c r="H1627">
        <v>0</v>
      </c>
      <c r="I1627">
        <v>88</v>
      </c>
      <c r="J1627">
        <v>249400</v>
      </c>
      <c r="K1627" t="s">
        <v>150</v>
      </c>
      <c r="L1627" s="1">
        <v>41180</v>
      </c>
      <c r="N1627" t="s">
        <v>36</v>
      </c>
      <c r="O1627" t="s">
        <v>37</v>
      </c>
      <c r="P1627" t="s">
        <v>419</v>
      </c>
      <c r="Q1627" t="s">
        <v>39</v>
      </c>
      <c r="R1627" t="s">
        <v>40</v>
      </c>
      <c r="S1627">
        <v>0</v>
      </c>
      <c r="U1627" t="s">
        <v>41</v>
      </c>
      <c r="V1627" t="s">
        <v>42</v>
      </c>
      <c r="X1627" t="s">
        <v>74</v>
      </c>
      <c r="Y1627" t="b">
        <v>0</v>
      </c>
      <c r="Z1627" t="b">
        <v>0</v>
      </c>
      <c r="AB1627" t="s">
        <v>936</v>
      </c>
      <c r="AC1627" s="1">
        <v>41297</v>
      </c>
      <c r="AF1627">
        <v>0</v>
      </c>
      <c r="AG1627">
        <v>45</v>
      </c>
      <c r="AH1627">
        <v>133</v>
      </c>
      <c r="AI1627" s="2">
        <f>Table__192.168.3.138DYLAgingReport[[#This Row],[NetAmount]]-Table__192.168.3.138DYLAgingReport[[#This Row],[Paid]]</f>
        <v>249400</v>
      </c>
    </row>
    <row r="1628" spans="1:35">
      <c r="A1628" t="s">
        <v>3483</v>
      </c>
      <c r="B1628" s="1">
        <v>41181</v>
      </c>
      <c r="C1628" s="1">
        <v>41226</v>
      </c>
      <c r="D1628" t="s">
        <v>282</v>
      </c>
      <c r="E1628">
        <v>215000</v>
      </c>
      <c r="F1628">
        <v>34400</v>
      </c>
      <c r="G1628">
        <v>0</v>
      </c>
      <c r="H1628">
        <v>0</v>
      </c>
      <c r="I1628">
        <v>87</v>
      </c>
      <c r="J1628">
        <v>249400</v>
      </c>
      <c r="K1628" t="s">
        <v>156</v>
      </c>
      <c r="L1628" s="1">
        <v>41181</v>
      </c>
      <c r="N1628" t="s">
        <v>36</v>
      </c>
      <c r="O1628" t="s">
        <v>37</v>
      </c>
      <c r="P1628" t="s">
        <v>419</v>
      </c>
      <c r="Q1628" t="s">
        <v>39</v>
      </c>
      <c r="R1628" t="s">
        <v>40</v>
      </c>
      <c r="S1628">
        <v>0</v>
      </c>
      <c r="U1628" t="s">
        <v>41</v>
      </c>
      <c r="V1628" t="s">
        <v>42</v>
      </c>
      <c r="X1628" t="s">
        <v>74</v>
      </c>
      <c r="Y1628" t="b">
        <v>0</v>
      </c>
      <c r="Z1628" t="b">
        <v>0</v>
      </c>
      <c r="AB1628" t="s">
        <v>936</v>
      </c>
      <c r="AC1628" s="1">
        <v>41297</v>
      </c>
      <c r="AF1628">
        <v>0</v>
      </c>
      <c r="AG1628">
        <v>45</v>
      </c>
      <c r="AH1628">
        <v>132</v>
      </c>
      <c r="AI1628" s="2">
        <f>Table__192.168.3.138DYLAgingReport[[#This Row],[NetAmount]]-Table__192.168.3.138DYLAgingReport[[#This Row],[Paid]]</f>
        <v>249400</v>
      </c>
    </row>
    <row r="1629" spans="1:35">
      <c r="A1629" t="s">
        <v>3484</v>
      </c>
      <c r="B1629" s="1">
        <v>41180</v>
      </c>
      <c r="C1629" s="1">
        <v>41225</v>
      </c>
      <c r="D1629" t="s">
        <v>200</v>
      </c>
      <c r="E1629">
        <v>268000</v>
      </c>
      <c r="F1629">
        <v>42880</v>
      </c>
      <c r="G1629">
        <v>0</v>
      </c>
      <c r="H1629">
        <v>0</v>
      </c>
      <c r="I1629">
        <v>88</v>
      </c>
      <c r="J1629">
        <v>310880</v>
      </c>
      <c r="K1629" t="s">
        <v>3485</v>
      </c>
      <c r="L1629" s="1">
        <v>41180</v>
      </c>
      <c r="N1629" t="s">
        <v>36</v>
      </c>
      <c r="O1629" t="s">
        <v>37</v>
      </c>
      <c r="P1629" t="s">
        <v>337</v>
      </c>
      <c r="Q1629" t="s">
        <v>39</v>
      </c>
      <c r="R1629" t="s">
        <v>40</v>
      </c>
      <c r="S1629">
        <v>0</v>
      </c>
      <c r="U1629" t="s">
        <v>41</v>
      </c>
      <c r="V1629" t="s">
        <v>42</v>
      </c>
      <c r="X1629" t="s">
        <v>74</v>
      </c>
      <c r="Y1629" t="b">
        <v>0</v>
      </c>
      <c r="Z1629" t="b">
        <v>0</v>
      </c>
      <c r="AC1629" s="1"/>
      <c r="AF1629">
        <v>0</v>
      </c>
      <c r="AG1629">
        <v>45</v>
      </c>
      <c r="AH1629">
        <v>133</v>
      </c>
      <c r="AI1629" s="2">
        <f>Table__192.168.3.138DYLAgingReport[[#This Row],[NetAmount]]-Table__192.168.3.138DYLAgingReport[[#This Row],[Paid]]</f>
        <v>310880</v>
      </c>
    </row>
    <row r="1630" spans="1:35">
      <c r="A1630" t="s">
        <v>3486</v>
      </c>
      <c r="B1630" s="1">
        <v>41172</v>
      </c>
      <c r="C1630" s="1">
        <v>41217</v>
      </c>
      <c r="D1630" t="s">
        <v>177</v>
      </c>
      <c r="E1630">
        <v>116000</v>
      </c>
      <c r="F1630">
        <v>18560</v>
      </c>
      <c r="G1630">
        <v>0</v>
      </c>
      <c r="H1630">
        <v>0</v>
      </c>
      <c r="I1630">
        <v>96</v>
      </c>
      <c r="J1630">
        <v>134560</v>
      </c>
      <c r="K1630" t="s">
        <v>3487</v>
      </c>
      <c r="L1630" s="1">
        <v>41172</v>
      </c>
      <c r="N1630" t="s">
        <v>36</v>
      </c>
      <c r="O1630" t="s">
        <v>37</v>
      </c>
      <c r="P1630" t="s">
        <v>314</v>
      </c>
      <c r="Q1630" t="s">
        <v>39</v>
      </c>
      <c r="R1630" t="s">
        <v>40</v>
      </c>
      <c r="S1630">
        <v>0</v>
      </c>
      <c r="U1630" t="s">
        <v>41</v>
      </c>
      <c r="V1630" t="s">
        <v>42</v>
      </c>
      <c r="X1630" t="s">
        <v>74</v>
      </c>
      <c r="Y1630" t="b">
        <v>0</v>
      </c>
      <c r="Z1630" t="b">
        <v>0</v>
      </c>
      <c r="AC1630" s="1"/>
      <c r="AF1630">
        <v>0</v>
      </c>
      <c r="AG1630">
        <v>45</v>
      </c>
      <c r="AH1630">
        <v>141</v>
      </c>
      <c r="AI1630" s="2">
        <f>Table__192.168.3.138DYLAgingReport[[#This Row],[NetAmount]]-Table__192.168.3.138DYLAgingReport[[#This Row],[Paid]]</f>
        <v>134560</v>
      </c>
    </row>
    <row r="1631" spans="1:35">
      <c r="A1631" t="s">
        <v>3488</v>
      </c>
      <c r="B1631" s="1">
        <v>41156</v>
      </c>
      <c r="C1631" s="1">
        <v>41201</v>
      </c>
      <c r="D1631" t="s">
        <v>175</v>
      </c>
      <c r="E1631">
        <v>77390</v>
      </c>
      <c r="F1631">
        <v>12382</v>
      </c>
      <c r="G1631">
        <v>0</v>
      </c>
      <c r="H1631">
        <v>0</v>
      </c>
      <c r="I1631">
        <v>113</v>
      </c>
      <c r="J1631">
        <v>89772</v>
      </c>
      <c r="K1631" t="s">
        <v>1141</v>
      </c>
      <c r="L1631" s="1">
        <v>41155</v>
      </c>
      <c r="N1631" t="s">
        <v>36</v>
      </c>
      <c r="O1631" t="s">
        <v>37</v>
      </c>
      <c r="P1631" t="s">
        <v>312</v>
      </c>
      <c r="Q1631" t="s">
        <v>39</v>
      </c>
      <c r="R1631" t="s">
        <v>40</v>
      </c>
      <c r="S1631">
        <v>0</v>
      </c>
      <c r="U1631" t="s">
        <v>41</v>
      </c>
      <c r="V1631" t="s">
        <v>42</v>
      </c>
      <c r="X1631" t="s">
        <v>74</v>
      </c>
      <c r="Y1631" t="b">
        <v>0</v>
      </c>
      <c r="Z1631" t="b">
        <v>0</v>
      </c>
      <c r="AC1631" s="1"/>
      <c r="AF1631">
        <v>0</v>
      </c>
      <c r="AG1631">
        <v>45</v>
      </c>
      <c r="AH1631">
        <v>158</v>
      </c>
      <c r="AI1631" s="2">
        <f>Table__192.168.3.138DYLAgingReport[[#This Row],[NetAmount]]-Table__192.168.3.138DYLAgingReport[[#This Row],[Paid]]</f>
        <v>89772</v>
      </c>
    </row>
    <row r="1632" spans="1:35">
      <c r="A1632" t="s">
        <v>3489</v>
      </c>
      <c r="B1632" s="1">
        <v>41158</v>
      </c>
      <c r="C1632" s="1">
        <v>41203</v>
      </c>
      <c r="D1632" t="s">
        <v>175</v>
      </c>
      <c r="E1632">
        <v>81250</v>
      </c>
      <c r="F1632">
        <v>13000</v>
      </c>
      <c r="G1632">
        <v>0</v>
      </c>
      <c r="H1632">
        <v>0</v>
      </c>
      <c r="I1632">
        <v>110</v>
      </c>
      <c r="J1632">
        <v>94250</v>
      </c>
      <c r="K1632" t="s">
        <v>3490</v>
      </c>
      <c r="L1632" s="1">
        <v>41158</v>
      </c>
      <c r="N1632" t="s">
        <v>36</v>
      </c>
      <c r="O1632" t="s">
        <v>37</v>
      </c>
      <c r="P1632" t="s">
        <v>312</v>
      </c>
      <c r="Q1632" t="s">
        <v>39</v>
      </c>
      <c r="R1632" t="s">
        <v>40</v>
      </c>
      <c r="S1632">
        <v>0</v>
      </c>
      <c r="U1632" t="s">
        <v>41</v>
      </c>
      <c r="V1632" t="s">
        <v>42</v>
      </c>
      <c r="X1632" t="s">
        <v>74</v>
      </c>
      <c r="Y1632" t="b">
        <v>0</v>
      </c>
      <c r="Z1632" t="b">
        <v>0</v>
      </c>
      <c r="AC1632" s="1"/>
      <c r="AF1632">
        <v>0</v>
      </c>
      <c r="AG1632">
        <v>45</v>
      </c>
      <c r="AH1632">
        <v>155</v>
      </c>
      <c r="AI1632" s="2">
        <f>Table__192.168.3.138DYLAgingReport[[#This Row],[NetAmount]]-Table__192.168.3.138DYLAgingReport[[#This Row],[Paid]]</f>
        <v>94250</v>
      </c>
    </row>
    <row r="1633" spans="1:35">
      <c r="A1633" t="s">
        <v>3491</v>
      </c>
      <c r="B1633" s="1">
        <v>41162</v>
      </c>
      <c r="C1633" s="1">
        <v>41207</v>
      </c>
      <c r="D1633" t="s">
        <v>175</v>
      </c>
      <c r="E1633">
        <v>99390</v>
      </c>
      <c r="F1633">
        <v>15902</v>
      </c>
      <c r="G1633">
        <v>0</v>
      </c>
      <c r="H1633">
        <v>0</v>
      </c>
      <c r="I1633">
        <v>108</v>
      </c>
      <c r="J1633">
        <v>115292</v>
      </c>
      <c r="K1633" t="s">
        <v>3492</v>
      </c>
      <c r="L1633" s="1">
        <v>41160</v>
      </c>
      <c r="N1633" t="s">
        <v>36</v>
      </c>
      <c r="O1633" t="s">
        <v>37</v>
      </c>
      <c r="P1633" t="s">
        <v>312</v>
      </c>
      <c r="Q1633" t="s">
        <v>39</v>
      </c>
      <c r="R1633" t="s">
        <v>40</v>
      </c>
      <c r="S1633">
        <v>0</v>
      </c>
      <c r="U1633" t="s">
        <v>41</v>
      </c>
      <c r="V1633" t="s">
        <v>42</v>
      </c>
      <c r="X1633" t="s">
        <v>74</v>
      </c>
      <c r="Y1633" t="b">
        <v>0</v>
      </c>
      <c r="Z1633" t="b">
        <v>0</v>
      </c>
      <c r="AC1633" s="1"/>
      <c r="AF1633">
        <v>0</v>
      </c>
      <c r="AG1633">
        <v>45</v>
      </c>
      <c r="AH1633">
        <v>153</v>
      </c>
      <c r="AI1633" s="2">
        <f>Table__192.168.3.138DYLAgingReport[[#This Row],[NetAmount]]-Table__192.168.3.138DYLAgingReport[[#This Row],[Paid]]</f>
        <v>115292</v>
      </c>
    </row>
    <row r="1634" spans="1:35">
      <c r="A1634" t="s">
        <v>3493</v>
      </c>
      <c r="B1634" s="1">
        <v>41163</v>
      </c>
      <c r="C1634" s="1">
        <v>41208</v>
      </c>
      <c r="D1634" t="s">
        <v>175</v>
      </c>
      <c r="E1634">
        <v>7424</v>
      </c>
      <c r="F1634">
        <v>1188</v>
      </c>
      <c r="G1634">
        <v>0</v>
      </c>
      <c r="H1634">
        <v>0</v>
      </c>
      <c r="I1634">
        <v>105</v>
      </c>
      <c r="J1634">
        <v>8612</v>
      </c>
      <c r="K1634" t="s">
        <v>3494</v>
      </c>
      <c r="L1634" s="1">
        <v>41163</v>
      </c>
      <c r="N1634" t="s">
        <v>36</v>
      </c>
      <c r="O1634" t="s">
        <v>37</v>
      </c>
      <c r="P1634" t="s">
        <v>312</v>
      </c>
      <c r="Q1634" t="s">
        <v>39</v>
      </c>
      <c r="R1634" t="s">
        <v>40</v>
      </c>
      <c r="S1634">
        <v>0</v>
      </c>
      <c r="U1634" t="s">
        <v>41</v>
      </c>
      <c r="V1634" t="s">
        <v>42</v>
      </c>
      <c r="X1634" t="s">
        <v>74</v>
      </c>
      <c r="Y1634" t="b">
        <v>0</v>
      </c>
      <c r="Z1634" t="b">
        <v>0</v>
      </c>
      <c r="AC1634" s="1"/>
      <c r="AF1634">
        <v>0</v>
      </c>
      <c r="AG1634">
        <v>45</v>
      </c>
      <c r="AH1634">
        <v>150</v>
      </c>
      <c r="AI1634" s="2">
        <f>Table__192.168.3.138DYLAgingReport[[#This Row],[NetAmount]]-Table__192.168.3.138DYLAgingReport[[#This Row],[Paid]]</f>
        <v>8612</v>
      </c>
    </row>
    <row r="1635" spans="1:35">
      <c r="A1635" t="s">
        <v>3495</v>
      </c>
      <c r="B1635" s="1">
        <v>41173</v>
      </c>
      <c r="C1635" s="1">
        <v>41218</v>
      </c>
      <c r="D1635" t="s">
        <v>175</v>
      </c>
      <c r="E1635">
        <v>150948</v>
      </c>
      <c r="F1635">
        <v>24152</v>
      </c>
      <c r="G1635">
        <v>0</v>
      </c>
      <c r="H1635">
        <v>0</v>
      </c>
      <c r="I1635">
        <v>96</v>
      </c>
      <c r="J1635">
        <v>175100</v>
      </c>
      <c r="K1635" t="s">
        <v>3263</v>
      </c>
      <c r="L1635" s="1">
        <v>41172</v>
      </c>
      <c r="N1635" t="s">
        <v>36</v>
      </c>
      <c r="O1635" t="s">
        <v>37</v>
      </c>
      <c r="P1635" t="s">
        <v>312</v>
      </c>
      <c r="Q1635" t="s">
        <v>39</v>
      </c>
      <c r="R1635" t="s">
        <v>40</v>
      </c>
      <c r="S1635">
        <v>0</v>
      </c>
      <c r="U1635" t="s">
        <v>41</v>
      </c>
      <c r="V1635" t="s">
        <v>42</v>
      </c>
      <c r="X1635" t="s">
        <v>74</v>
      </c>
      <c r="Y1635" t="b">
        <v>0</v>
      </c>
      <c r="Z1635" t="b">
        <v>0</v>
      </c>
      <c r="AC1635" s="1"/>
      <c r="AF1635">
        <v>0</v>
      </c>
      <c r="AG1635">
        <v>45</v>
      </c>
      <c r="AH1635">
        <v>141</v>
      </c>
      <c r="AI1635" s="2">
        <f>Table__192.168.3.138DYLAgingReport[[#This Row],[NetAmount]]-Table__192.168.3.138DYLAgingReport[[#This Row],[Paid]]</f>
        <v>175100</v>
      </c>
    </row>
    <row r="1636" spans="1:35">
      <c r="A1636" t="s">
        <v>3496</v>
      </c>
      <c r="B1636" s="1">
        <v>41165</v>
      </c>
      <c r="C1636" s="1">
        <v>41210</v>
      </c>
      <c r="D1636" t="s">
        <v>175</v>
      </c>
      <c r="E1636">
        <v>104000</v>
      </c>
      <c r="F1636">
        <v>16640</v>
      </c>
      <c r="G1636">
        <v>0</v>
      </c>
      <c r="H1636">
        <v>0</v>
      </c>
      <c r="I1636">
        <v>103</v>
      </c>
      <c r="J1636">
        <v>120640</v>
      </c>
      <c r="K1636" t="s">
        <v>3497</v>
      </c>
      <c r="L1636" s="1">
        <v>41165</v>
      </c>
      <c r="N1636" t="s">
        <v>36</v>
      </c>
      <c r="O1636" t="s">
        <v>37</v>
      </c>
      <c r="P1636" t="s">
        <v>312</v>
      </c>
      <c r="Q1636" t="s">
        <v>39</v>
      </c>
      <c r="R1636" t="s">
        <v>40</v>
      </c>
      <c r="S1636">
        <v>0</v>
      </c>
      <c r="U1636" t="s">
        <v>41</v>
      </c>
      <c r="V1636" t="s">
        <v>42</v>
      </c>
      <c r="X1636" t="s">
        <v>74</v>
      </c>
      <c r="Y1636" t="b">
        <v>0</v>
      </c>
      <c r="Z1636" t="b">
        <v>0</v>
      </c>
      <c r="AC1636" s="1"/>
      <c r="AF1636">
        <v>0</v>
      </c>
      <c r="AG1636">
        <v>45</v>
      </c>
      <c r="AH1636">
        <v>148</v>
      </c>
      <c r="AI1636" s="2">
        <f>Table__192.168.3.138DYLAgingReport[[#This Row],[NetAmount]]-Table__192.168.3.138DYLAgingReport[[#This Row],[Paid]]</f>
        <v>120640</v>
      </c>
    </row>
    <row r="1637" spans="1:35">
      <c r="A1637" t="s">
        <v>3498</v>
      </c>
      <c r="B1637" s="1">
        <v>41177</v>
      </c>
      <c r="C1637" s="1">
        <v>41222</v>
      </c>
      <c r="D1637" t="s">
        <v>243</v>
      </c>
      <c r="E1637">
        <v>87915</v>
      </c>
      <c r="F1637">
        <v>0</v>
      </c>
      <c r="G1637">
        <v>0</v>
      </c>
      <c r="H1637">
        <v>0</v>
      </c>
      <c r="I1637">
        <v>86</v>
      </c>
      <c r="J1637">
        <v>87915</v>
      </c>
      <c r="K1637" t="s">
        <v>3499</v>
      </c>
      <c r="L1637" s="1">
        <v>41182</v>
      </c>
      <c r="N1637" t="s">
        <v>36</v>
      </c>
      <c r="O1637" t="s">
        <v>37</v>
      </c>
      <c r="P1637" t="s">
        <v>380</v>
      </c>
      <c r="Q1637" t="s">
        <v>39</v>
      </c>
      <c r="R1637" t="s">
        <v>40</v>
      </c>
      <c r="S1637">
        <v>0</v>
      </c>
      <c r="U1637" t="s">
        <v>41</v>
      </c>
      <c r="V1637" t="s">
        <v>42</v>
      </c>
      <c r="X1637" t="s">
        <v>74</v>
      </c>
      <c r="Y1637" t="b">
        <v>0</v>
      </c>
      <c r="Z1637" t="b">
        <v>0</v>
      </c>
      <c r="AC1637" s="1"/>
      <c r="AF1637">
        <v>0</v>
      </c>
      <c r="AG1637">
        <v>45</v>
      </c>
      <c r="AH1637">
        <v>131</v>
      </c>
      <c r="AI1637" s="2">
        <f>Table__192.168.3.138DYLAgingReport[[#This Row],[NetAmount]]-Table__192.168.3.138DYLAgingReport[[#This Row],[Paid]]</f>
        <v>87915</v>
      </c>
    </row>
    <row r="1638" spans="1:35">
      <c r="A1638" t="s">
        <v>3500</v>
      </c>
      <c r="B1638" s="1">
        <v>41181</v>
      </c>
      <c r="C1638" s="1">
        <v>41226</v>
      </c>
      <c r="D1638" t="s">
        <v>258</v>
      </c>
      <c r="E1638">
        <v>49280</v>
      </c>
      <c r="F1638">
        <v>7885</v>
      </c>
      <c r="G1638">
        <v>0</v>
      </c>
      <c r="H1638">
        <v>0</v>
      </c>
      <c r="I1638">
        <v>87</v>
      </c>
      <c r="J1638">
        <v>57165</v>
      </c>
      <c r="K1638" t="s">
        <v>3501</v>
      </c>
      <c r="L1638" s="1">
        <v>41181</v>
      </c>
      <c r="N1638" t="s">
        <v>36</v>
      </c>
      <c r="O1638" t="s">
        <v>37</v>
      </c>
      <c r="P1638" t="s">
        <v>395</v>
      </c>
      <c r="Q1638" t="s">
        <v>39</v>
      </c>
      <c r="R1638" t="s">
        <v>40</v>
      </c>
      <c r="S1638">
        <v>0</v>
      </c>
      <c r="U1638" t="s">
        <v>41</v>
      </c>
      <c r="V1638" t="s">
        <v>42</v>
      </c>
      <c r="X1638" t="s">
        <v>74</v>
      </c>
      <c r="Y1638" t="b">
        <v>0</v>
      </c>
      <c r="Z1638" t="b">
        <v>0</v>
      </c>
      <c r="AC1638" s="1"/>
      <c r="AF1638">
        <v>0</v>
      </c>
      <c r="AG1638">
        <v>45</v>
      </c>
      <c r="AH1638">
        <v>132</v>
      </c>
      <c r="AI1638" s="2">
        <f>Table__192.168.3.138DYLAgingReport[[#This Row],[NetAmount]]-Table__192.168.3.138DYLAgingReport[[#This Row],[Paid]]</f>
        <v>57165</v>
      </c>
    </row>
    <row r="1639" spans="1:35">
      <c r="A1639" t="s">
        <v>3502</v>
      </c>
      <c r="B1639" s="1">
        <v>41180</v>
      </c>
      <c r="C1639" s="1">
        <v>41225</v>
      </c>
      <c r="D1639" t="s">
        <v>258</v>
      </c>
      <c r="E1639">
        <v>49482</v>
      </c>
      <c r="F1639">
        <v>7917</v>
      </c>
      <c r="G1639">
        <v>0</v>
      </c>
      <c r="H1639">
        <v>0</v>
      </c>
      <c r="I1639">
        <v>89</v>
      </c>
      <c r="J1639">
        <v>57399</v>
      </c>
      <c r="K1639" t="s">
        <v>951</v>
      </c>
      <c r="L1639" s="1">
        <v>41179</v>
      </c>
      <c r="M1639" t="s">
        <v>10779</v>
      </c>
      <c r="N1639" t="s">
        <v>36</v>
      </c>
      <c r="O1639" t="s">
        <v>37</v>
      </c>
      <c r="P1639" t="s">
        <v>395</v>
      </c>
      <c r="Q1639" t="s">
        <v>39</v>
      </c>
      <c r="R1639" t="s">
        <v>40</v>
      </c>
      <c r="S1639">
        <v>0</v>
      </c>
      <c r="U1639" t="s">
        <v>41</v>
      </c>
      <c r="V1639" t="s">
        <v>42</v>
      </c>
      <c r="X1639" t="s">
        <v>74</v>
      </c>
      <c r="Y1639" t="b">
        <v>0</v>
      </c>
      <c r="Z1639" t="b">
        <v>0</v>
      </c>
      <c r="AA1639" t="b">
        <v>0</v>
      </c>
      <c r="AC1639" s="1"/>
      <c r="AF1639">
        <v>0</v>
      </c>
      <c r="AG1639">
        <v>45</v>
      </c>
      <c r="AH1639">
        <v>134</v>
      </c>
      <c r="AI1639" s="2">
        <f>Table__192.168.3.138DYLAgingReport[[#This Row],[NetAmount]]-Table__192.168.3.138DYLAgingReport[[#This Row],[Paid]]</f>
        <v>57399</v>
      </c>
    </row>
    <row r="1640" spans="1:35">
      <c r="A1640" t="s">
        <v>3503</v>
      </c>
      <c r="B1640" s="1">
        <v>41181</v>
      </c>
      <c r="C1640" s="1">
        <v>41226</v>
      </c>
      <c r="D1640" t="s">
        <v>246</v>
      </c>
      <c r="E1640">
        <v>1305000</v>
      </c>
      <c r="F1640">
        <v>208800</v>
      </c>
      <c r="G1640">
        <v>0</v>
      </c>
      <c r="H1640">
        <v>0</v>
      </c>
      <c r="I1640">
        <v>96</v>
      </c>
      <c r="J1640">
        <v>1513800</v>
      </c>
      <c r="K1640" t="s">
        <v>3504</v>
      </c>
      <c r="L1640" s="1">
        <v>41172</v>
      </c>
      <c r="N1640" t="s">
        <v>36</v>
      </c>
      <c r="O1640" t="s">
        <v>37</v>
      </c>
      <c r="P1640" t="s">
        <v>383</v>
      </c>
      <c r="Q1640" t="s">
        <v>39</v>
      </c>
      <c r="R1640" t="s">
        <v>40</v>
      </c>
      <c r="S1640">
        <v>0</v>
      </c>
      <c r="U1640" t="s">
        <v>41</v>
      </c>
      <c r="V1640" t="s">
        <v>42</v>
      </c>
      <c r="X1640" t="s">
        <v>74</v>
      </c>
      <c r="Y1640" t="b">
        <v>0</v>
      </c>
      <c r="Z1640" t="b">
        <v>0</v>
      </c>
      <c r="AB1640" t="s">
        <v>3505</v>
      </c>
      <c r="AC1640" s="1">
        <v>41298</v>
      </c>
      <c r="AF1640">
        <v>0</v>
      </c>
      <c r="AG1640">
        <v>45</v>
      </c>
      <c r="AH1640">
        <v>141</v>
      </c>
      <c r="AI1640" s="2">
        <f>Table__192.168.3.138DYLAgingReport[[#This Row],[NetAmount]]-Table__192.168.3.138DYLAgingReport[[#This Row],[Paid]]</f>
        <v>1513800</v>
      </c>
    </row>
    <row r="1641" spans="1:35">
      <c r="A1641" t="s">
        <v>124</v>
      </c>
      <c r="B1641" s="1">
        <v>41168</v>
      </c>
      <c r="C1641" s="1">
        <v>41213</v>
      </c>
      <c r="D1641" t="s">
        <v>35</v>
      </c>
      <c r="E1641">
        <v>240000</v>
      </c>
      <c r="F1641">
        <v>38400</v>
      </c>
      <c r="G1641">
        <v>0</v>
      </c>
      <c r="H1641">
        <v>0</v>
      </c>
      <c r="I1641">
        <v>105</v>
      </c>
      <c r="J1641">
        <v>278400</v>
      </c>
      <c r="K1641" t="s">
        <v>125</v>
      </c>
      <c r="L1641" s="1">
        <v>41163</v>
      </c>
      <c r="N1641" t="s">
        <v>36</v>
      </c>
      <c r="O1641" t="s">
        <v>37</v>
      </c>
      <c r="P1641" t="s">
        <v>38</v>
      </c>
      <c r="Q1641" t="s">
        <v>39</v>
      </c>
      <c r="R1641" t="s">
        <v>40</v>
      </c>
      <c r="S1641">
        <v>0</v>
      </c>
      <c r="U1641" t="s">
        <v>41</v>
      </c>
      <c r="V1641" t="s">
        <v>42</v>
      </c>
      <c r="X1641" t="s">
        <v>74</v>
      </c>
      <c r="Y1641" t="b">
        <v>0</v>
      </c>
      <c r="Z1641" t="b">
        <v>0</v>
      </c>
      <c r="AC1641" s="1"/>
      <c r="AF1641">
        <v>0</v>
      </c>
      <c r="AG1641">
        <v>45</v>
      </c>
      <c r="AH1641">
        <v>150</v>
      </c>
      <c r="AI1641" s="2">
        <f>Table__192.168.3.138DYLAgingReport[[#This Row],[NetAmount]]-Table__192.168.3.138DYLAgingReport[[#This Row],[Paid]]</f>
        <v>278400</v>
      </c>
    </row>
    <row r="1642" spans="1:35">
      <c r="A1642" t="s">
        <v>126</v>
      </c>
      <c r="B1642" s="1">
        <v>41179</v>
      </c>
      <c r="C1642" s="1">
        <v>41224</v>
      </c>
      <c r="D1642" t="s">
        <v>35</v>
      </c>
      <c r="E1642">
        <v>240000</v>
      </c>
      <c r="F1642">
        <v>38400</v>
      </c>
      <c r="G1642">
        <v>0</v>
      </c>
      <c r="H1642">
        <v>0</v>
      </c>
      <c r="I1642">
        <v>99</v>
      </c>
      <c r="J1642">
        <v>278400</v>
      </c>
      <c r="K1642" t="s">
        <v>64</v>
      </c>
      <c r="L1642" s="1">
        <v>41169</v>
      </c>
      <c r="N1642" t="s">
        <v>36</v>
      </c>
      <c r="O1642" t="s">
        <v>37</v>
      </c>
      <c r="P1642" t="s">
        <v>38</v>
      </c>
      <c r="Q1642" t="s">
        <v>39</v>
      </c>
      <c r="R1642" t="s">
        <v>40</v>
      </c>
      <c r="S1642">
        <v>0</v>
      </c>
      <c r="U1642" t="s">
        <v>41</v>
      </c>
      <c r="V1642" t="s">
        <v>42</v>
      </c>
      <c r="X1642" t="s">
        <v>74</v>
      </c>
      <c r="Y1642" t="b">
        <v>0</v>
      </c>
      <c r="Z1642" t="b">
        <v>0</v>
      </c>
      <c r="AC1642" s="1"/>
      <c r="AF1642">
        <v>0</v>
      </c>
      <c r="AG1642">
        <v>45</v>
      </c>
      <c r="AH1642">
        <v>144</v>
      </c>
      <c r="AI1642" s="2">
        <f>Table__192.168.3.138DYLAgingReport[[#This Row],[NetAmount]]-Table__192.168.3.138DYLAgingReport[[#This Row],[Paid]]</f>
        <v>278400</v>
      </c>
    </row>
    <row r="1643" spans="1:35">
      <c r="A1643" t="s">
        <v>127</v>
      </c>
      <c r="B1643" s="1">
        <v>41179</v>
      </c>
      <c r="C1643" s="1">
        <v>41224</v>
      </c>
      <c r="D1643" t="s">
        <v>35</v>
      </c>
      <c r="E1643">
        <v>200000</v>
      </c>
      <c r="F1643">
        <v>32000</v>
      </c>
      <c r="G1643">
        <v>0</v>
      </c>
      <c r="H1643">
        <v>0</v>
      </c>
      <c r="I1643">
        <v>89</v>
      </c>
      <c r="J1643">
        <v>232000</v>
      </c>
      <c r="K1643" t="s">
        <v>67</v>
      </c>
      <c r="L1643" s="1">
        <v>41179</v>
      </c>
      <c r="N1643" t="s">
        <v>36</v>
      </c>
      <c r="O1643" t="s">
        <v>37</v>
      </c>
      <c r="P1643" t="s">
        <v>38</v>
      </c>
      <c r="Q1643" t="s">
        <v>39</v>
      </c>
      <c r="R1643" t="s">
        <v>40</v>
      </c>
      <c r="S1643">
        <v>0</v>
      </c>
      <c r="U1643" t="s">
        <v>41</v>
      </c>
      <c r="V1643" t="s">
        <v>42</v>
      </c>
      <c r="X1643" t="s">
        <v>74</v>
      </c>
      <c r="Y1643" t="b">
        <v>0</v>
      </c>
      <c r="Z1643" t="b">
        <v>0</v>
      </c>
      <c r="AC1643" s="1"/>
      <c r="AF1643">
        <v>0</v>
      </c>
      <c r="AG1643">
        <v>45</v>
      </c>
      <c r="AH1643">
        <v>134</v>
      </c>
      <c r="AI1643" s="2">
        <f>Table__192.168.3.138DYLAgingReport[[#This Row],[NetAmount]]-Table__192.168.3.138DYLAgingReport[[#This Row],[Paid]]</f>
        <v>232000</v>
      </c>
    </row>
    <row r="1644" spans="1:35">
      <c r="A1644" t="s">
        <v>128</v>
      </c>
      <c r="B1644" s="1">
        <v>41181</v>
      </c>
      <c r="C1644" s="1">
        <v>41226</v>
      </c>
      <c r="D1644" t="s">
        <v>35</v>
      </c>
      <c r="E1644">
        <v>320000</v>
      </c>
      <c r="F1644">
        <v>51200</v>
      </c>
      <c r="G1644">
        <v>0</v>
      </c>
      <c r="H1644">
        <v>0</v>
      </c>
      <c r="I1644">
        <v>94</v>
      </c>
      <c r="J1644">
        <v>371200</v>
      </c>
      <c r="K1644" t="s">
        <v>129</v>
      </c>
      <c r="L1644" s="1">
        <v>41174</v>
      </c>
      <c r="N1644" t="s">
        <v>36</v>
      </c>
      <c r="O1644" t="s">
        <v>37</v>
      </c>
      <c r="P1644" t="s">
        <v>38</v>
      </c>
      <c r="Q1644" t="s">
        <v>39</v>
      </c>
      <c r="R1644" t="s">
        <v>40</v>
      </c>
      <c r="S1644">
        <v>0</v>
      </c>
      <c r="U1644" t="s">
        <v>41</v>
      </c>
      <c r="V1644" t="s">
        <v>42</v>
      </c>
      <c r="X1644" t="s">
        <v>74</v>
      </c>
      <c r="Y1644" t="b">
        <v>0</v>
      </c>
      <c r="Z1644" t="b">
        <v>0</v>
      </c>
      <c r="AC1644" s="1"/>
      <c r="AF1644">
        <v>0</v>
      </c>
      <c r="AG1644">
        <v>45</v>
      </c>
      <c r="AH1644">
        <v>139</v>
      </c>
      <c r="AI1644" s="2">
        <f>Table__192.168.3.138DYLAgingReport[[#This Row],[NetAmount]]-Table__192.168.3.138DYLAgingReport[[#This Row],[Paid]]</f>
        <v>371200</v>
      </c>
    </row>
    <row r="1645" spans="1:35">
      <c r="A1645" t="s">
        <v>3506</v>
      </c>
      <c r="B1645" s="1">
        <v>41180</v>
      </c>
      <c r="C1645" s="1">
        <v>41180</v>
      </c>
      <c r="D1645" t="s">
        <v>297</v>
      </c>
      <c r="E1645">
        <v>37500</v>
      </c>
      <c r="F1645">
        <v>6000</v>
      </c>
      <c r="G1645">
        <v>0</v>
      </c>
      <c r="H1645">
        <v>0</v>
      </c>
      <c r="I1645">
        <v>90</v>
      </c>
      <c r="J1645">
        <v>43500</v>
      </c>
      <c r="K1645" t="s">
        <v>3507</v>
      </c>
      <c r="L1645" s="1">
        <v>41178</v>
      </c>
      <c r="N1645" t="s">
        <v>36</v>
      </c>
      <c r="O1645" t="s">
        <v>37</v>
      </c>
      <c r="P1645" t="s">
        <v>434</v>
      </c>
      <c r="Q1645" t="s">
        <v>39</v>
      </c>
      <c r="R1645" t="s">
        <v>40</v>
      </c>
      <c r="S1645">
        <v>0</v>
      </c>
      <c r="U1645" t="s">
        <v>41</v>
      </c>
      <c r="V1645" t="s">
        <v>42</v>
      </c>
      <c r="X1645" t="s">
        <v>74</v>
      </c>
      <c r="Y1645" t="b">
        <v>0</v>
      </c>
      <c r="Z1645" t="b">
        <v>0</v>
      </c>
      <c r="AB1645" t="s">
        <v>947</v>
      </c>
      <c r="AC1645" s="1">
        <v>41263</v>
      </c>
      <c r="AF1645">
        <v>0</v>
      </c>
      <c r="AG1645">
        <v>45</v>
      </c>
      <c r="AH1645">
        <v>135</v>
      </c>
      <c r="AI1645" s="2">
        <f>Table__192.168.3.138DYLAgingReport[[#This Row],[NetAmount]]-Table__192.168.3.138DYLAgingReport[[#This Row],[Paid]]</f>
        <v>43500</v>
      </c>
    </row>
    <row r="1646" spans="1:35">
      <c r="A1646" t="s">
        <v>3508</v>
      </c>
      <c r="B1646" s="1">
        <v>41181</v>
      </c>
      <c r="C1646" s="1">
        <v>41181</v>
      </c>
      <c r="D1646" t="s">
        <v>297</v>
      </c>
      <c r="E1646">
        <v>37500</v>
      </c>
      <c r="F1646">
        <v>6000</v>
      </c>
      <c r="G1646">
        <v>0</v>
      </c>
      <c r="H1646">
        <v>0</v>
      </c>
      <c r="I1646">
        <v>88</v>
      </c>
      <c r="J1646">
        <v>43500</v>
      </c>
      <c r="K1646" t="s">
        <v>946</v>
      </c>
      <c r="L1646" s="1">
        <v>41180</v>
      </c>
      <c r="N1646" t="s">
        <v>36</v>
      </c>
      <c r="O1646" t="s">
        <v>37</v>
      </c>
      <c r="P1646" t="s">
        <v>434</v>
      </c>
      <c r="Q1646" t="s">
        <v>39</v>
      </c>
      <c r="R1646" t="s">
        <v>40</v>
      </c>
      <c r="S1646">
        <v>0</v>
      </c>
      <c r="U1646" t="s">
        <v>41</v>
      </c>
      <c r="V1646" t="s">
        <v>42</v>
      </c>
      <c r="X1646" t="s">
        <v>74</v>
      </c>
      <c r="Y1646" t="b">
        <v>0</v>
      </c>
      <c r="Z1646" t="b">
        <v>0</v>
      </c>
      <c r="AB1646" t="s">
        <v>947</v>
      </c>
      <c r="AC1646" s="1">
        <v>41263</v>
      </c>
      <c r="AF1646">
        <v>0</v>
      </c>
      <c r="AG1646">
        <v>45</v>
      </c>
      <c r="AH1646">
        <v>133</v>
      </c>
      <c r="AI1646" s="2">
        <f>Table__192.168.3.138DYLAgingReport[[#This Row],[NetAmount]]-Table__192.168.3.138DYLAgingReport[[#This Row],[Paid]]</f>
        <v>43500</v>
      </c>
    </row>
    <row r="1647" spans="1:35">
      <c r="A1647" t="s">
        <v>3509</v>
      </c>
      <c r="B1647" s="1">
        <v>41178</v>
      </c>
      <c r="C1647" s="1">
        <v>41223</v>
      </c>
      <c r="D1647" t="s">
        <v>197</v>
      </c>
      <c r="E1647">
        <v>140000</v>
      </c>
      <c r="F1647">
        <v>22400</v>
      </c>
      <c r="G1647">
        <v>0</v>
      </c>
      <c r="H1647">
        <v>0</v>
      </c>
      <c r="I1647">
        <v>87</v>
      </c>
      <c r="J1647">
        <v>162400</v>
      </c>
      <c r="K1647" t="s">
        <v>3510</v>
      </c>
      <c r="L1647" s="1">
        <v>41181</v>
      </c>
      <c r="N1647" t="s">
        <v>36</v>
      </c>
      <c r="O1647" t="s">
        <v>37</v>
      </c>
      <c r="P1647" t="s">
        <v>334</v>
      </c>
      <c r="Q1647" t="s">
        <v>39</v>
      </c>
      <c r="R1647" t="s">
        <v>40</v>
      </c>
      <c r="S1647">
        <v>0</v>
      </c>
      <c r="U1647" t="s">
        <v>41</v>
      </c>
      <c r="V1647" t="s">
        <v>42</v>
      </c>
      <c r="X1647" t="s">
        <v>74</v>
      </c>
      <c r="Y1647" t="b">
        <v>0</v>
      </c>
      <c r="Z1647" t="b">
        <v>0</v>
      </c>
      <c r="AC1647" s="1"/>
      <c r="AF1647">
        <v>0</v>
      </c>
      <c r="AG1647">
        <v>45</v>
      </c>
      <c r="AH1647">
        <v>132</v>
      </c>
      <c r="AI1647" s="2">
        <f>Table__192.168.3.138DYLAgingReport[[#This Row],[NetAmount]]-Table__192.168.3.138DYLAgingReport[[#This Row],[Paid]]</f>
        <v>162400</v>
      </c>
    </row>
    <row r="1648" spans="1:35">
      <c r="A1648" t="s">
        <v>3511</v>
      </c>
      <c r="B1648" s="1">
        <v>41164</v>
      </c>
      <c r="C1648" s="1">
        <v>41209</v>
      </c>
      <c r="D1648" t="s">
        <v>190</v>
      </c>
      <c r="E1648">
        <v>4656</v>
      </c>
      <c r="F1648">
        <v>745</v>
      </c>
      <c r="G1648">
        <v>0</v>
      </c>
      <c r="H1648">
        <v>0</v>
      </c>
      <c r="I1648">
        <v>104</v>
      </c>
      <c r="J1648">
        <v>5401</v>
      </c>
      <c r="K1648" t="s">
        <v>2308</v>
      </c>
      <c r="L1648" s="1">
        <v>41164</v>
      </c>
      <c r="N1648" t="s">
        <v>36</v>
      </c>
      <c r="O1648" t="s">
        <v>37</v>
      </c>
      <c r="P1648" t="s">
        <v>327</v>
      </c>
      <c r="Q1648" t="s">
        <v>39</v>
      </c>
      <c r="R1648" t="s">
        <v>40</v>
      </c>
      <c r="S1648">
        <v>0</v>
      </c>
      <c r="U1648" t="s">
        <v>41</v>
      </c>
      <c r="V1648" t="s">
        <v>42</v>
      </c>
      <c r="X1648" t="s">
        <v>74</v>
      </c>
      <c r="Y1648" t="b">
        <v>0</v>
      </c>
      <c r="Z1648" t="b">
        <v>0</v>
      </c>
      <c r="AC1648" s="1"/>
      <c r="AF1648">
        <v>0</v>
      </c>
      <c r="AG1648">
        <v>45</v>
      </c>
      <c r="AH1648">
        <v>149</v>
      </c>
      <c r="AI1648" s="2">
        <f>Table__192.168.3.138DYLAgingReport[[#This Row],[NetAmount]]-Table__192.168.3.138DYLAgingReport[[#This Row],[Paid]]</f>
        <v>5401</v>
      </c>
    </row>
    <row r="1649" spans="1:35">
      <c r="A1649" t="s">
        <v>3512</v>
      </c>
      <c r="B1649" s="1">
        <v>41164</v>
      </c>
      <c r="C1649" s="1">
        <v>41209</v>
      </c>
      <c r="D1649" t="s">
        <v>191</v>
      </c>
      <c r="E1649">
        <v>100500</v>
      </c>
      <c r="F1649">
        <v>16080</v>
      </c>
      <c r="G1649">
        <v>0</v>
      </c>
      <c r="H1649">
        <v>0</v>
      </c>
      <c r="I1649">
        <v>104</v>
      </c>
      <c r="J1649">
        <v>116580</v>
      </c>
      <c r="K1649" t="s">
        <v>2561</v>
      </c>
      <c r="L1649" s="1">
        <v>41164</v>
      </c>
      <c r="N1649" t="s">
        <v>36</v>
      </c>
      <c r="O1649" t="s">
        <v>37</v>
      </c>
      <c r="P1649" t="s">
        <v>328</v>
      </c>
      <c r="Q1649" t="s">
        <v>39</v>
      </c>
      <c r="R1649" t="s">
        <v>40</v>
      </c>
      <c r="S1649">
        <v>0</v>
      </c>
      <c r="U1649" t="s">
        <v>41</v>
      </c>
      <c r="V1649" t="s">
        <v>42</v>
      </c>
      <c r="X1649" t="s">
        <v>74</v>
      </c>
      <c r="Y1649" t="b">
        <v>0</v>
      </c>
      <c r="Z1649" t="b">
        <v>0</v>
      </c>
      <c r="AC1649" s="1"/>
      <c r="AF1649">
        <v>0</v>
      </c>
      <c r="AG1649">
        <v>45</v>
      </c>
      <c r="AH1649">
        <v>149</v>
      </c>
      <c r="AI1649" s="2">
        <f>Table__192.168.3.138DYLAgingReport[[#This Row],[NetAmount]]-Table__192.168.3.138DYLAgingReport[[#This Row],[Paid]]</f>
        <v>116580</v>
      </c>
    </row>
    <row r="1650" spans="1:35">
      <c r="A1650" t="s">
        <v>3513</v>
      </c>
      <c r="B1650" s="1">
        <v>41177</v>
      </c>
      <c r="C1650" s="1">
        <v>41222</v>
      </c>
      <c r="D1650" t="s">
        <v>191</v>
      </c>
      <c r="E1650">
        <v>100500</v>
      </c>
      <c r="F1650">
        <v>16080</v>
      </c>
      <c r="G1650">
        <v>0</v>
      </c>
      <c r="H1650">
        <v>0</v>
      </c>
      <c r="I1650">
        <v>91</v>
      </c>
      <c r="J1650">
        <v>116580</v>
      </c>
      <c r="K1650" t="s">
        <v>1047</v>
      </c>
      <c r="L1650" s="1">
        <v>41177</v>
      </c>
      <c r="N1650" t="s">
        <v>36</v>
      </c>
      <c r="O1650" t="s">
        <v>37</v>
      </c>
      <c r="P1650" t="s">
        <v>328</v>
      </c>
      <c r="Q1650" t="s">
        <v>39</v>
      </c>
      <c r="R1650" t="s">
        <v>40</v>
      </c>
      <c r="S1650">
        <v>0</v>
      </c>
      <c r="U1650" t="s">
        <v>41</v>
      </c>
      <c r="V1650" t="s">
        <v>42</v>
      </c>
      <c r="X1650" t="s">
        <v>74</v>
      </c>
      <c r="Y1650" t="b">
        <v>0</v>
      </c>
      <c r="Z1650" t="b">
        <v>0</v>
      </c>
      <c r="AC1650" s="1"/>
      <c r="AF1650">
        <v>0</v>
      </c>
      <c r="AG1650">
        <v>45</v>
      </c>
      <c r="AH1650">
        <v>136</v>
      </c>
      <c r="AI1650" s="2">
        <f>Table__192.168.3.138DYLAgingReport[[#This Row],[NetAmount]]-Table__192.168.3.138DYLAgingReport[[#This Row],[Paid]]</f>
        <v>116580</v>
      </c>
    </row>
    <row r="1651" spans="1:35">
      <c r="A1651" t="s">
        <v>3514</v>
      </c>
      <c r="B1651" s="1">
        <v>41178</v>
      </c>
      <c r="C1651" s="1">
        <v>41223</v>
      </c>
      <c r="D1651" t="s">
        <v>174</v>
      </c>
      <c r="E1651">
        <v>113100</v>
      </c>
      <c r="F1651">
        <v>18096</v>
      </c>
      <c r="G1651">
        <v>0</v>
      </c>
      <c r="H1651">
        <v>0</v>
      </c>
      <c r="I1651">
        <v>90</v>
      </c>
      <c r="J1651">
        <v>131196</v>
      </c>
      <c r="K1651" t="s">
        <v>3515</v>
      </c>
      <c r="L1651" s="1">
        <v>41178</v>
      </c>
      <c r="N1651" t="s">
        <v>36</v>
      </c>
      <c r="O1651" t="s">
        <v>37</v>
      </c>
      <c r="P1651" t="s">
        <v>311</v>
      </c>
      <c r="Q1651" t="s">
        <v>39</v>
      </c>
      <c r="R1651" t="s">
        <v>40</v>
      </c>
      <c r="S1651">
        <v>0</v>
      </c>
      <c r="U1651" t="s">
        <v>41</v>
      </c>
      <c r="V1651" t="s">
        <v>42</v>
      </c>
      <c r="X1651" t="s">
        <v>74</v>
      </c>
      <c r="Y1651" t="b">
        <v>0</v>
      </c>
      <c r="Z1651" t="b">
        <v>0</v>
      </c>
      <c r="AC1651" s="1"/>
      <c r="AF1651">
        <v>0</v>
      </c>
      <c r="AG1651">
        <v>45</v>
      </c>
      <c r="AH1651">
        <v>135</v>
      </c>
      <c r="AI1651" s="2">
        <f>Table__192.168.3.138DYLAgingReport[[#This Row],[NetAmount]]-Table__192.168.3.138DYLAgingReport[[#This Row],[Paid]]</f>
        <v>131196</v>
      </c>
    </row>
    <row r="1652" spans="1:35">
      <c r="A1652" t="s">
        <v>3516</v>
      </c>
      <c r="B1652" s="1">
        <v>41181</v>
      </c>
      <c r="C1652" s="1">
        <v>41226</v>
      </c>
      <c r="D1652" t="s">
        <v>281</v>
      </c>
      <c r="E1652">
        <v>272102</v>
      </c>
      <c r="F1652">
        <v>0</v>
      </c>
      <c r="G1652">
        <v>0</v>
      </c>
      <c r="H1652">
        <v>0</v>
      </c>
      <c r="I1652">
        <v>87</v>
      </c>
      <c r="J1652">
        <v>272102</v>
      </c>
      <c r="K1652" t="s">
        <v>3517</v>
      </c>
      <c r="L1652" s="1">
        <v>41181</v>
      </c>
      <c r="N1652" t="s">
        <v>36</v>
      </c>
      <c r="O1652" t="s">
        <v>37</v>
      </c>
      <c r="P1652" t="s">
        <v>418</v>
      </c>
      <c r="Q1652" t="s">
        <v>39</v>
      </c>
      <c r="R1652" t="s">
        <v>40</v>
      </c>
      <c r="S1652">
        <v>0</v>
      </c>
      <c r="U1652" t="s">
        <v>41</v>
      </c>
      <c r="V1652" t="s">
        <v>42</v>
      </c>
      <c r="X1652" t="s">
        <v>74</v>
      </c>
      <c r="Y1652" t="b">
        <v>0</v>
      </c>
      <c r="Z1652" t="b">
        <v>0</v>
      </c>
      <c r="AC1652" s="1"/>
      <c r="AF1652">
        <v>0</v>
      </c>
      <c r="AG1652">
        <v>45</v>
      </c>
      <c r="AH1652">
        <v>132</v>
      </c>
      <c r="AI1652" s="2">
        <f>Table__192.168.3.138DYLAgingReport[[#This Row],[NetAmount]]-Table__192.168.3.138DYLAgingReport[[#This Row],[Paid]]</f>
        <v>272102</v>
      </c>
    </row>
    <row r="1653" spans="1:35">
      <c r="A1653" t="s">
        <v>3518</v>
      </c>
      <c r="B1653" s="1">
        <v>41181</v>
      </c>
      <c r="C1653" s="1">
        <v>41226</v>
      </c>
      <c r="D1653" t="s">
        <v>224</v>
      </c>
      <c r="E1653">
        <v>10860</v>
      </c>
      <c r="F1653">
        <v>1737</v>
      </c>
      <c r="G1653">
        <v>0</v>
      </c>
      <c r="H1653">
        <v>0</v>
      </c>
      <c r="I1653">
        <v>91</v>
      </c>
      <c r="J1653">
        <v>12597</v>
      </c>
      <c r="K1653" t="s">
        <v>3519</v>
      </c>
      <c r="L1653" s="1">
        <v>41177</v>
      </c>
      <c r="N1653" t="s">
        <v>36</v>
      </c>
      <c r="O1653" t="s">
        <v>37</v>
      </c>
      <c r="P1653" t="s">
        <v>361</v>
      </c>
      <c r="Q1653" t="s">
        <v>39</v>
      </c>
      <c r="R1653" t="s">
        <v>40</v>
      </c>
      <c r="S1653">
        <v>0</v>
      </c>
      <c r="U1653" t="s">
        <v>41</v>
      </c>
      <c r="V1653" t="s">
        <v>42</v>
      </c>
      <c r="X1653" t="s">
        <v>74</v>
      </c>
      <c r="Y1653" t="b">
        <v>0</v>
      </c>
      <c r="Z1653" t="b">
        <v>0</v>
      </c>
      <c r="AC1653" s="1"/>
      <c r="AF1653">
        <v>0</v>
      </c>
      <c r="AG1653">
        <v>45</v>
      </c>
      <c r="AH1653">
        <v>136</v>
      </c>
      <c r="AI1653" s="2">
        <f>Table__192.168.3.138DYLAgingReport[[#This Row],[NetAmount]]-Table__192.168.3.138DYLAgingReport[[#This Row],[Paid]]</f>
        <v>12597</v>
      </c>
    </row>
    <row r="1654" spans="1:35">
      <c r="A1654" t="s">
        <v>3520</v>
      </c>
      <c r="B1654" s="1">
        <v>41177</v>
      </c>
      <c r="C1654" s="1">
        <v>41222</v>
      </c>
      <c r="D1654" t="s">
        <v>257</v>
      </c>
      <c r="E1654">
        <v>166600</v>
      </c>
      <c r="F1654">
        <v>26656</v>
      </c>
      <c r="G1654">
        <v>0</v>
      </c>
      <c r="H1654">
        <v>0</v>
      </c>
      <c r="I1654">
        <v>91</v>
      </c>
      <c r="J1654">
        <v>193256</v>
      </c>
      <c r="K1654" t="s">
        <v>3521</v>
      </c>
      <c r="L1654" s="1">
        <v>41177</v>
      </c>
      <c r="N1654" t="s">
        <v>36</v>
      </c>
      <c r="O1654" t="s">
        <v>37</v>
      </c>
      <c r="P1654" t="s">
        <v>394</v>
      </c>
      <c r="Q1654" t="s">
        <v>39</v>
      </c>
      <c r="R1654" t="s">
        <v>40</v>
      </c>
      <c r="S1654">
        <v>0</v>
      </c>
      <c r="U1654" t="s">
        <v>41</v>
      </c>
      <c r="V1654" t="s">
        <v>42</v>
      </c>
      <c r="X1654" t="s">
        <v>74</v>
      </c>
      <c r="Y1654" t="b">
        <v>0</v>
      </c>
      <c r="Z1654" t="b">
        <v>0</v>
      </c>
      <c r="AC1654" s="1"/>
      <c r="AF1654">
        <v>0</v>
      </c>
      <c r="AG1654">
        <v>45</v>
      </c>
      <c r="AH1654">
        <v>136</v>
      </c>
      <c r="AI1654" s="2">
        <f>Table__192.168.3.138DYLAgingReport[[#This Row],[NetAmount]]-Table__192.168.3.138DYLAgingReport[[#This Row],[Paid]]</f>
        <v>193256</v>
      </c>
    </row>
    <row r="1655" spans="1:35">
      <c r="A1655" t="s">
        <v>3522</v>
      </c>
      <c r="B1655" s="1">
        <v>41179</v>
      </c>
      <c r="C1655" s="1">
        <v>41224</v>
      </c>
      <c r="D1655" t="s">
        <v>175</v>
      </c>
      <c r="E1655">
        <v>143500</v>
      </c>
      <c r="F1655">
        <v>22960</v>
      </c>
      <c r="G1655">
        <v>0</v>
      </c>
      <c r="H1655">
        <v>0</v>
      </c>
      <c r="I1655">
        <v>89</v>
      </c>
      <c r="J1655">
        <v>166460</v>
      </c>
      <c r="K1655" t="s">
        <v>3523</v>
      </c>
      <c r="L1655" s="1">
        <v>41179</v>
      </c>
      <c r="N1655" t="s">
        <v>36</v>
      </c>
      <c r="O1655" t="s">
        <v>37</v>
      </c>
      <c r="P1655" t="s">
        <v>312</v>
      </c>
      <c r="Q1655" t="s">
        <v>39</v>
      </c>
      <c r="R1655" t="s">
        <v>40</v>
      </c>
      <c r="S1655">
        <v>0</v>
      </c>
      <c r="U1655" t="s">
        <v>41</v>
      </c>
      <c r="V1655" t="s">
        <v>42</v>
      </c>
      <c r="X1655" t="s">
        <v>74</v>
      </c>
      <c r="Y1655" t="b">
        <v>0</v>
      </c>
      <c r="Z1655" t="b">
        <v>0</v>
      </c>
      <c r="AC1655" s="1"/>
      <c r="AF1655">
        <v>0</v>
      </c>
      <c r="AG1655">
        <v>45</v>
      </c>
      <c r="AH1655">
        <v>134</v>
      </c>
      <c r="AI1655" s="2">
        <f>Table__192.168.3.138DYLAgingReport[[#This Row],[NetAmount]]-Table__192.168.3.138DYLAgingReport[[#This Row],[Paid]]</f>
        <v>166460</v>
      </c>
    </row>
    <row r="1656" spans="1:35">
      <c r="A1656" t="s">
        <v>3524</v>
      </c>
      <c r="B1656" s="1">
        <v>41176</v>
      </c>
      <c r="C1656" s="1">
        <v>41221</v>
      </c>
      <c r="D1656" t="s">
        <v>175</v>
      </c>
      <c r="E1656">
        <v>152650</v>
      </c>
      <c r="F1656">
        <v>24424</v>
      </c>
      <c r="G1656">
        <v>0</v>
      </c>
      <c r="H1656">
        <v>0</v>
      </c>
      <c r="I1656">
        <v>92</v>
      </c>
      <c r="J1656">
        <v>177074</v>
      </c>
      <c r="K1656" t="s">
        <v>3525</v>
      </c>
      <c r="L1656" s="1">
        <v>41176</v>
      </c>
      <c r="N1656" t="s">
        <v>36</v>
      </c>
      <c r="O1656" t="s">
        <v>37</v>
      </c>
      <c r="P1656" t="s">
        <v>312</v>
      </c>
      <c r="Q1656" t="s">
        <v>39</v>
      </c>
      <c r="R1656" t="s">
        <v>40</v>
      </c>
      <c r="S1656">
        <v>0</v>
      </c>
      <c r="U1656" t="s">
        <v>41</v>
      </c>
      <c r="V1656" t="s">
        <v>42</v>
      </c>
      <c r="X1656" t="s">
        <v>74</v>
      </c>
      <c r="Y1656" t="b">
        <v>0</v>
      </c>
      <c r="Z1656" t="b">
        <v>0</v>
      </c>
      <c r="AC1656" s="1"/>
      <c r="AF1656">
        <v>0</v>
      </c>
      <c r="AG1656">
        <v>45</v>
      </c>
      <c r="AH1656">
        <v>137</v>
      </c>
      <c r="AI1656" s="2">
        <f>Table__192.168.3.138DYLAgingReport[[#This Row],[NetAmount]]-Table__192.168.3.138DYLAgingReport[[#This Row],[Paid]]</f>
        <v>177074</v>
      </c>
    </row>
    <row r="1657" spans="1:35">
      <c r="A1657" t="s">
        <v>3526</v>
      </c>
      <c r="B1657" s="1">
        <v>41169</v>
      </c>
      <c r="C1657" s="1">
        <v>41214</v>
      </c>
      <c r="D1657" t="s">
        <v>175</v>
      </c>
      <c r="E1657">
        <v>178050</v>
      </c>
      <c r="F1657">
        <v>28488</v>
      </c>
      <c r="G1657">
        <v>0</v>
      </c>
      <c r="H1657">
        <v>0</v>
      </c>
      <c r="I1657">
        <v>99</v>
      </c>
      <c r="J1657">
        <v>206538</v>
      </c>
      <c r="K1657" t="s">
        <v>3527</v>
      </c>
      <c r="L1657" s="1">
        <v>41169</v>
      </c>
      <c r="N1657" t="s">
        <v>36</v>
      </c>
      <c r="O1657" t="s">
        <v>37</v>
      </c>
      <c r="P1657" t="s">
        <v>312</v>
      </c>
      <c r="Q1657" t="s">
        <v>39</v>
      </c>
      <c r="R1657" t="s">
        <v>40</v>
      </c>
      <c r="S1657">
        <v>0</v>
      </c>
      <c r="U1657" t="s">
        <v>41</v>
      </c>
      <c r="V1657" t="s">
        <v>42</v>
      </c>
      <c r="X1657" t="s">
        <v>74</v>
      </c>
      <c r="Y1657" t="b">
        <v>0</v>
      </c>
      <c r="Z1657" t="b">
        <v>0</v>
      </c>
      <c r="AC1657" s="1"/>
      <c r="AF1657">
        <v>0</v>
      </c>
      <c r="AG1657">
        <v>45</v>
      </c>
      <c r="AH1657">
        <v>144</v>
      </c>
      <c r="AI1657" s="2">
        <f>Table__192.168.3.138DYLAgingReport[[#This Row],[NetAmount]]-Table__192.168.3.138DYLAgingReport[[#This Row],[Paid]]</f>
        <v>206538</v>
      </c>
    </row>
    <row r="1658" spans="1:35">
      <c r="A1658" t="s">
        <v>3528</v>
      </c>
      <c r="B1658" s="1">
        <v>41179</v>
      </c>
      <c r="C1658" s="1">
        <v>41224</v>
      </c>
      <c r="D1658" t="s">
        <v>242</v>
      </c>
      <c r="E1658">
        <v>35340</v>
      </c>
      <c r="F1658">
        <v>5654</v>
      </c>
      <c r="G1658">
        <v>0</v>
      </c>
      <c r="H1658">
        <v>0</v>
      </c>
      <c r="I1658">
        <v>88</v>
      </c>
      <c r="J1658">
        <v>40994</v>
      </c>
      <c r="K1658" t="s">
        <v>1210</v>
      </c>
      <c r="L1658" s="1">
        <v>41180</v>
      </c>
      <c r="N1658" t="s">
        <v>36</v>
      </c>
      <c r="O1658" t="s">
        <v>37</v>
      </c>
      <c r="P1658" t="s">
        <v>379</v>
      </c>
      <c r="Q1658" t="s">
        <v>39</v>
      </c>
      <c r="R1658" t="s">
        <v>40</v>
      </c>
      <c r="S1658">
        <v>0</v>
      </c>
      <c r="U1658" t="s">
        <v>41</v>
      </c>
      <c r="V1658" t="s">
        <v>42</v>
      </c>
      <c r="X1658" t="s">
        <v>74</v>
      </c>
      <c r="Y1658" t="b">
        <v>0</v>
      </c>
      <c r="Z1658" t="b">
        <v>0</v>
      </c>
      <c r="AC1658" s="1"/>
      <c r="AF1658">
        <v>0</v>
      </c>
      <c r="AG1658">
        <v>45</v>
      </c>
      <c r="AH1658">
        <v>133</v>
      </c>
      <c r="AI1658" s="2">
        <f>Table__192.168.3.138DYLAgingReport[[#This Row],[NetAmount]]-Table__192.168.3.138DYLAgingReport[[#This Row],[Paid]]</f>
        <v>40994</v>
      </c>
    </row>
    <row r="1659" spans="1:35">
      <c r="A1659" t="s">
        <v>3529</v>
      </c>
      <c r="B1659" s="1">
        <v>41181</v>
      </c>
      <c r="C1659" s="1">
        <v>41226</v>
      </c>
      <c r="D1659" t="s">
        <v>242</v>
      </c>
      <c r="E1659">
        <v>103634</v>
      </c>
      <c r="F1659">
        <v>16582</v>
      </c>
      <c r="G1659">
        <v>0</v>
      </c>
      <c r="H1659">
        <v>0</v>
      </c>
      <c r="I1659">
        <v>87</v>
      </c>
      <c r="J1659">
        <v>120216</v>
      </c>
      <c r="K1659" t="s">
        <v>3530</v>
      </c>
      <c r="L1659" s="1">
        <v>41181</v>
      </c>
      <c r="N1659" t="s">
        <v>36</v>
      </c>
      <c r="O1659" t="s">
        <v>37</v>
      </c>
      <c r="P1659" t="s">
        <v>379</v>
      </c>
      <c r="Q1659" t="s">
        <v>39</v>
      </c>
      <c r="R1659" t="s">
        <v>40</v>
      </c>
      <c r="S1659">
        <v>0</v>
      </c>
      <c r="U1659" t="s">
        <v>41</v>
      </c>
      <c r="V1659" t="s">
        <v>42</v>
      </c>
      <c r="X1659" t="s">
        <v>74</v>
      </c>
      <c r="Y1659" t="b">
        <v>0</v>
      </c>
      <c r="Z1659" t="b">
        <v>0</v>
      </c>
      <c r="AC1659" s="1"/>
      <c r="AF1659">
        <v>0</v>
      </c>
      <c r="AG1659">
        <v>45</v>
      </c>
      <c r="AH1659">
        <v>132</v>
      </c>
      <c r="AI1659" s="2">
        <f>Table__192.168.3.138DYLAgingReport[[#This Row],[NetAmount]]-Table__192.168.3.138DYLAgingReport[[#This Row],[Paid]]</f>
        <v>120216</v>
      </c>
    </row>
    <row r="1660" spans="1:35">
      <c r="A1660" t="s">
        <v>3531</v>
      </c>
      <c r="B1660" s="1">
        <v>41177</v>
      </c>
      <c r="C1660" s="1">
        <v>41222</v>
      </c>
      <c r="D1660" t="s">
        <v>242</v>
      </c>
      <c r="E1660">
        <v>53207</v>
      </c>
      <c r="F1660">
        <v>8513</v>
      </c>
      <c r="G1660">
        <v>0</v>
      </c>
      <c r="H1660">
        <v>0</v>
      </c>
      <c r="I1660">
        <v>91</v>
      </c>
      <c r="J1660">
        <v>61720</v>
      </c>
      <c r="K1660" t="s">
        <v>3532</v>
      </c>
      <c r="L1660" s="1">
        <v>41177</v>
      </c>
      <c r="N1660" t="s">
        <v>36</v>
      </c>
      <c r="O1660" t="s">
        <v>37</v>
      </c>
      <c r="P1660" t="s">
        <v>379</v>
      </c>
      <c r="Q1660" t="s">
        <v>39</v>
      </c>
      <c r="R1660" t="s">
        <v>40</v>
      </c>
      <c r="S1660">
        <v>0</v>
      </c>
      <c r="U1660" t="s">
        <v>41</v>
      </c>
      <c r="V1660" t="s">
        <v>42</v>
      </c>
      <c r="X1660" t="s">
        <v>74</v>
      </c>
      <c r="Y1660" t="b">
        <v>0</v>
      </c>
      <c r="Z1660" t="b">
        <v>0</v>
      </c>
      <c r="AC1660" s="1"/>
      <c r="AF1660">
        <v>0</v>
      </c>
      <c r="AG1660">
        <v>45</v>
      </c>
      <c r="AH1660">
        <v>136</v>
      </c>
      <c r="AI1660" s="2">
        <f>Table__192.168.3.138DYLAgingReport[[#This Row],[NetAmount]]-Table__192.168.3.138DYLAgingReport[[#This Row],[Paid]]</f>
        <v>61720</v>
      </c>
    </row>
    <row r="1661" spans="1:35">
      <c r="A1661" t="s">
        <v>3533</v>
      </c>
      <c r="B1661" s="1">
        <v>41177</v>
      </c>
      <c r="C1661" s="1">
        <v>41222</v>
      </c>
      <c r="D1661" t="s">
        <v>225</v>
      </c>
      <c r="E1661">
        <v>51168</v>
      </c>
      <c r="F1661">
        <v>0</v>
      </c>
      <c r="G1661">
        <v>0</v>
      </c>
      <c r="H1661">
        <v>0</v>
      </c>
      <c r="I1661">
        <v>91</v>
      </c>
      <c r="J1661">
        <v>51168</v>
      </c>
      <c r="K1661" t="s">
        <v>1682</v>
      </c>
      <c r="L1661" s="1">
        <v>41177</v>
      </c>
      <c r="N1661" t="s">
        <v>36</v>
      </c>
      <c r="O1661" t="s">
        <v>37</v>
      </c>
      <c r="P1661" t="s">
        <v>362</v>
      </c>
      <c r="Q1661" t="s">
        <v>39</v>
      </c>
      <c r="R1661" t="s">
        <v>40</v>
      </c>
      <c r="S1661">
        <v>0</v>
      </c>
      <c r="U1661" t="s">
        <v>41</v>
      </c>
      <c r="V1661" t="s">
        <v>42</v>
      </c>
      <c r="X1661" t="s">
        <v>74</v>
      </c>
      <c r="Y1661" t="b">
        <v>0</v>
      </c>
      <c r="Z1661" t="b">
        <v>0</v>
      </c>
      <c r="AC1661" s="1"/>
      <c r="AF1661">
        <v>0</v>
      </c>
      <c r="AG1661">
        <v>45</v>
      </c>
      <c r="AH1661">
        <v>136</v>
      </c>
      <c r="AI1661" s="2">
        <f>Table__192.168.3.138DYLAgingReport[[#This Row],[NetAmount]]-Table__192.168.3.138DYLAgingReport[[#This Row],[Paid]]</f>
        <v>51168</v>
      </c>
    </row>
    <row r="1662" spans="1:35">
      <c r="A1662" t="s">
        <v>3534</v>
      </c>
      <c r="B1662" s="1">
        <v>41169</v>
      </c>
      <c r="C1662" s="1">
        <v>41169</v>
      </c>
      <c r="D1662" t="s">
        <v>296</v>
      </c>
      <c r="E1662">
        <v>22442</v>
      </c>
      <c r="F1662">
        <v>3591</v>
      </c>
      <c r="G1662">
        <v>0</v>
      </c>
      <c r="H1662">
        <v>0</v>
      </c>
      <c r="I1662">
        <v>99</v>
      </c>
      <c r="J1662">
        <v>26033</v>
      </c>
      <c r="K1662" t="s">
        <v>3535</v>
      </c>
      <c r="L1662" s="1">
        <v>41169</v>
      </c>
      <c r="N1662" t="s">
        <v>36</v>
      </c>
      <c r="O1662" t="s">
        <v>37</v>
      </c>
      <c r="P1662" t="s">
        <v>433</v>
      </c>
      <c r="Q1662" t="s">
        <v>39</v>
      </c>
      <c r="R1662" t="s">
        <v>40</v>
      </c>
      <c r="S1662">
        <v>0</v>
      </c>
      <c r="U1662" t="s">
        <v>41</v>
      </c>
      <c r="V1662" t="s">
        <v>42</v>
      </c>
      <c r="X1662" t="s">
        <v>74</v>
      </c>
      <c r="Y1662" t="b">
        <v>0</v>
      </c>
      <c r="Z1662" t="b">
        <v>0</v>
      </c>
      <c r="AC1662" s="1"/>
      <c r="AF1662">
        <v>0</v>
      </c>
      <c r="AG1662">
        <v>45</v>
      </c>
      <c r="AH1662">
        <v>144</v>
      </c>
      <c r="AI1662" s="2">
        <f>Table__192.168.3.138DYLAgingReport[[#This Row],[NetAmount]]-Table__192.168.3.138DYLAgingReport[[#This Row],[Paid]]</f>
        <v>26033</v>
      </c>
    </row>
    <row r="1663" spans="1:35">
      <c r="A1663" t="s">
        <v>3536</v>
      </c>
      <c r="B1663" s="1">
        <v>41182</v>
      </c>
      <c r="C1663" s="1">
        <v>41227</v>
      </c>
      <c r="D1663" t="s">
        <v>193</v>
      </c>
      <c r="E1663">
        <v>43380</v>
      </c>
      <c r="F1663">
        <v>6940</v>
      </c>
      <c r="G1663">
        <v>0</v>
      </c>
      <c r="H1663">
        <v>0</v>
      </c>
      <c r="I1663">
        <v>115</v>
      </c>
      <c r="J1663">
        <v>50320</v>
      </c>
      <c r="K1663" t="s">
        <v>3537</v>
      </c>
      <c r="L1663" s="1">
        <v>41153</v>
      </c>
      <c r="N1663" t="s">
        <v>36</v>
      </c>
      <c r="O1663" t="s">
        <v>37</v>
      </c>
      <c r="P1663" t="s">
        <v>330</v>
      </c>
      <c r="Q1663" t="s">
        <v>39</v>
      </c>
      <c r="R1663" t="s">
        <v>40</v>
      </c>
      <c r="S1663">
        <v>0</v>
      </c>
      <c r="U1663" t="s">
        <v>41</v>
      </c>
      <c r="V1663" t="s">
        <v>42</v>
      </c>
      <c r="X1663" t="s">
        <v>74</v>
      </c>
      <c r="Y1663" t="b">
        <v>0</v>
      </c>
      <c r="Z1663" t="b">
        <v>0</v>
      </c>
      <c r="AC1663" s="1"/>
      <c r="AF1663">
        <v>0</v>
      </c>
      <c r="AG1663">
        <v>45</v>
      </c>
      <c r="AH1663">
        <v>160</v>
      </c>
      <c r="AI1663" s="2">
        <f>Table__192.168.3.138DYLAgingReport[[#This Row],[NetAmount]]-Table__192.168.3.138DYLAgingReport[[#This Row],[Paid]]</f>
        <v>50320</v>
      </c>
    </row>
    <row r="1664" spans="1:35">
      <c r="A1664" t="s">
        <v>3538</v>
      </c>
      <c r="B1664" s="1">
        <v>41182</v>
      </c>
      <c r="C1664" s="1">
        <v>41227</v>
      </c>
      <c r="D1664" t="s">
        <v>193</v>
      </c>
      <c r="E1664">
        <v>30415</v>
      </c>
      <c r="F1664">
        <v>4867</v>
      </c>
      <c r="G1664">
        <v>0</v>
      </c>
      <c r="H1664">
        <v>0</v>
      </c>
      <c r="I1664">
        <v>109</v>
      </c>
      <c r="J1664">
        <v>35282</v>
      </c>
      <c r="K1664" t="s">
        <v>3539</v>
      </c>
      <c r="L1664" s="1">
        <v>41159</v>
      </c>
      <c r="N1664" t="s">
        <v>36</v>
      </c>
      <c r="O1664" t="s">
        <v>37</v>
      </c>
      <c r="P1664" t="s">
        <v>330</v>
      </c>
      <c r="Q1664" t="s">
        <v>39</v>
      </c>
      <c r="R1664" t="s">
        <v>40</v>
      </c>
      <c r="S1664">
        <v>0</v>
      </c>
      <c r="U1664" t="s">
        <v>41</v>
      </c>
      <c r="V1664" t="s">
        <v>42</v>
      </c>
      <c r="X1664" t="s">
        <v>74</v>
      </c>
      <c r="Y1664" t="b">
        <v>0</v>
      </c>
      <c r="Z1664" t="b">
        <v>0</v>
      </c>
      <c r="AC1664" s="1"/>
      <c r="AF1664">
        <v>0</v>
      </c>
      <c r="AG1664">
        <v>45</v>
      </c>
      <c r="AH1664">
        <v>154</v>
      </c>
      <c r="AI1664" s="2">
        <f>Table__192.168.3.138DYLAgingReport[[#This Row],[NetAmount]]-Table__192.168.3.138DYLAgingReport[[#This Row],[Paid]]</f>
        <v>35282</v>
      </c>
    </row>
    <row r="1665" spans="1:35">
      <c r="A1665" t="s">
        <v>3540</v>
      </c>
      <c r="B1665" s="1">
        <v>41164</v>
      </c>
      <c r="C1665" s="1">
        <v>41209</v>
      </c>
      <c r="D1665" t="s">
        <v>190</v>
      </c>
      <c r="E1665">
        <v>62800</v>
      </c>
      <c r="F1665">
        <v>10048</v>
      </c>
      <c r="G1665">
        <v>0</v>
      </c>
      <c r="H1665">
        <v>0</v>
      </c>
      <c r="I1665">
        <v>104</v>
      </c>
      <c r="J1665">
        <v>72848</v>
      </c>
      <c r="K1665" t="s">
        <v>1116</v>
      </c>
      <c r="L1665" s="1">
        <v>41164</v>
      </c>
      <c r="N1665" t="s">
        <v>36</v>
      </c>
      <c r="O1665" t="s">
        <v>37</v>
      </c>
      <c r="P1665" t="s">
        <v>327</v>
      </c>
      <c r="Q1665" t="s">
        <v>39</v>
      </c>
      <c r="R1665" t="s">
        <v>40</v>
      </c>
      <c r="S1665">
        <v>0</v>
      </c>
      <c r="U1665" t="s">
        <v>41</v>
      </c>
      <c r="V1665" t="s">
        <v>42</v>
      </c>
      <c r="X1665" t="s">
        <v>74</v>
      </c>
      <c r="Y1665" t="b">
        <v>0</v>
      </c>
      <c r="Z1665" t="b">
        <v>0</v>
      </c>
      <c r="AC1665" s="1"/>
      <c r="AF1665">
        <v>0</v>
      </c>
      <c r="AG1665">
        <v>45</v>
      </c>
      <c r="AH1665">
        <v>149</v>
      </c>
      <c r="AI1665" s="2">
        <f>Table__192.168.3.138DYLAgingReport[[#This Row],[NetAmount]]-Table__192.168.3.138DYLAgingReport[[#This Row],[Paid]]</f>
        <v>72848</v>
      </c>
    </row>
    <row r="1666" spans="1:35">
      <c r="A1666" t="s">
        <v>3541</v>
      </c>
      <c r="B1666" s="1">
        <v>41180</v>
      </c>
      <c r="C1666" s="1">
        <v>41225</v>
      </c>
      <c r="D1666" t="s">
        <v>232</v>
      </c>
      <c r="E1666">
        <v>3125</v>
      </c>
      <c r="F1666">
        <v>500</v>
      </c>
      <c r="G1666">
        <v>0</v>
      </c>
      <c r="H1666">
        <v>0</v>
      </c>
      <c r="I1666">
        <v>88</v>
      </c>
      <c r="J1666">
        <v>3625</v>
      </c>
      <c r="K1666" t="s">
        <v>3299</v>
      </c>
      <c r="L1666" s="1">
        <v>41180</v>
      </c>
      <c r="N1666" t="s">
        <v>36</v>
      </c>
      <c r="O1666" t="s">
        <v>37</v>
      </c>
      <c r="P1666" t="s">
        <v>369</v>
      </c>
      <c r="Q1666" t="s">
        <v>39</v>
      </c>
      <c r="R1666" t="s">
        <v>40</v>
      </c>
      <c r="S1666">
        <v>0</v>
      </c>
      <c r="U1666" t="s">
        <v>41</v>
      </c>
      <c r="V1666" t="s">
        <v>42</v>
      </c>
      <c r="X1666" t="s">
        <v>74</v>
      </c>
      <c r="Y1666" t="b">
        <v>0</v>
      </c>
      <c r="Z1666" t="b">
        <v>0</v>
      </c>
      <c r="AC1666" s="1"/>
      <c r="AF1666">
        <v>0</v>
      </c>
      <c r="AG1666">
        <v>45</v>
      </c>
      <c r="AH1666">
        <v>133</v>
      </c>
      <c r="AI1666" s="2">
        <f>Table__192.168.3.138DYLAgingReport[[#This Row],[NetAmount]]-Table__192.168.3.138DYLAgingReport[[#This Row],[Paid]]</f>
        <v>3625</v>
      </c>
    </row>
    <row r="1667" spans="1:35">
      <c r="A1667" t="s">
        <v>3542</v>
      </c>
      <c r="B1667" s="1">
        <v>41179</v>
      </c>
      <c r="C1667" s="1">
        <v>41224</v>
      </c>
      <c r="D1667" t="s">
        <v>197</v>
      </c>
      <c r="E1667">
        <v>750000</v>
      </c>
      <c r="F1667">
        <v>120000</v>
      </c>
      <c r="G1667">
        <v>0</v>
      </c>
      <c r="H1667">
        <v>0</v>
      </c>
      <c r="I1667">
        <v>87</v>
      </c>
      <c r="J1667">
        <v>870000</v>
      </c>
      <c r="K1667" t="s">
        <v>3543</v>
      </c>
      <c r="L1667" s="1">
        <v>41181</v>
      </c>
      <c r="N1667" t="s">
        <v>36</v>
      </c>
      <c r="O1667" t="s">
        <v>37</v>
      </c>
      <c r="P1667" t="s">
        <v>334</v>
      </c>
      <c r="Q1667" t="s">
        <v>39</v>
      </c>
      <c r="R1667" t="s">
        <v>40</v>
      </c>
      <c r="S1667">
        <v>0</v>
      </c>
      <c r="U1667" t="s">
        <v>41</v>
      </c>
      <c r="V1667" t="s">
        <v>42</v>
      </c>
      <c r="X1667" t="s">
        <v>74</v>
      </c>
      <c r="Y1667" t="b">
        <v>0</v>
      </c>
      <c r="Z1667" t="b">
        <v>0</v>
      </c>
      <c r="AC1667" s="1"/>
      <c r="AF1667">
        <v>0</v>
      </c>
      <c r="AG1667">
        <v>45</v>
      </c>
      <c r="AH1667">
        <v>132</v>
      </c>
      <c r="AI1667" s="2">
        <f>Table__192.168.3.138DYLAgingReport[[#This Row],[NetAmount]]-Table__192.168.3.138DYLAgingReport[[#This Row],[Paid]]</f>
        <v>870000</v>
      </c>
    </row>
    <row r="1668" spans="1:35">
      <c r="A1668" t="s">
        <v>3544</v>
      </c>
      <c r="B1668" s="1">
        <v>41181</v>
      </c>
      <c r="C1668" s="1">
        <v>41226</v>
      </c>
      <c r="D1668" t="s">
        <v>241</v>
      </c>
      <c r="E1668">
        <v>112270</v>
      </c>
      <c r="F1668">
        <v>17963</v>
      </c>
      <c r="G1668">
        <v>0</v>
      </c>
      <c r="H1668">
        <v>0</v>
      </c>
      <c r="I1668">
        <v>88</v>
      </c>
      <c r="J1668">
        <v>130233</v>
      </c>
      <c r="K1668" t="s">
        <v>3545</v>
      </c>
      <c r="L1668" s="1">
        <v>41180</v>
      </c>
      <c r="N1668" t="s">
        <v>36</v>
      </c>
      <c r="O1668" t="s">
        <v>37</v>
      </c>
      <c r="P1668" t="s">
        <v>378</v>
      </c>
      <c r="Q1668" t="s">
        <v>39</v>
      </c>
      <c r="R1668" t="s">
        <v>40</v>
      </c>
      <c r="S1668">
        <v>0</v>
      </c>
      <c r="U1668" t="s">
        <v>41</v>
      </c>
      <c r="V1668" t="s">
        <v>42</v>
      </c>
      <c r="X1668" t="s">
        <v>74</v>
      </c>
      <c r="Y1668" t="b">
        <v>0</v>
      </c>
      <c r="Z1668" t="b">
        <v>0</v>
      </c>
      <c r="AC1668" s="1"/>
      <c r="AF1668">
        <v>0</v>
      </c>
      <c r="AG1668">
        <v>45</v>
      </c>
      <c r="AH1668">
        <v>133</v>
      </c>
      <c r="AI1668" s="2">
        <f>Table__192.168.3.138DYLAgingReport[[#This Row],[NetAmount]]-Table__192.168.3.138DYLAgingReport[[#This Row],[Paid]]</f>
        <v>130233</v>
      </c>
    </row>
    <row r="1669" spans="1:35">
      <c r="A1669" t="s">
        <v>3546</v>
      </c>
      <c r="B1669" s="1">
        <v>41162</v>
      </c>
      <c r="C1669" s="1">
        <v>41207</v>
      </c>
      <c r="D1669" t="s">
        <v>224</v>
      </c>
      <c r="E1669">
        <v>11100</v>
      </c>
      <c r="F1669">
        <v>1584</v>
      </c>
      <c r="G1669">
        <v>0</v>
      </c>
      <c r="H1669">
        <v>0</v>
      </c>
      <c r="I1669">
        <v>41266</v>
      </c>
      <c r="J1669">
        <v>11484</v>
      </c>
      <c r="K1669" t="s">
        <v>3547</v>
      </c>
      <c r="L1669" s="1">
        <v>2</v>
      </c>
      <c r="N1669" t="s">
        <v>36</v>
      </c>
      <c r="O1669" t="s">
        <v>37</v>
      </c>
      <c r="P1669" t="s">
        <v>361</v>
      </c>
      <c r="Q1669" t="s">
        <v>39</v>
      </c>
      <c r="R1669" t="s">
        <v>40</v>
      </c>
      <c r="S1669">
        <v>0</v>
      </c>
      <c r="U1669" t="s">
        <v>41</v>
      </c>
      <c r="V1669" t="s">
        <v>42</v>
      </c>
      <c r="X1669" t="s">
        <v>74</v>
      </c>
      <c r="Y1669" t="b">
        <v>0</v>
      </c>
      <c r="Z1669" t="b">
        <v>0</v>
      </c>
      <c r="AC1669" s="1"/>
      <c r="AF1669">
        <v>0</v>
      </c>
      <c r="AG1669">
        <v>45</v>
      </c>
      <c r="AH1669">
        <v>41311</v>
      </c>
      <c r="AI1669" s="2">
        <f>Table__192.168.3.138DYLAgingReport[[#This Row],[NetAmount]]-Table__192.168.3.138DYLAgingReport[[#This Row],[Paid]]</f>
        <v>11484</v>
      </c>
    </row>
    <row r="1670" spans="1:35">
      <c r="A1670" t="s">
        <v>3548</v>
      </c>
      <c r="B1670" s="1">
        <v>41182</v>
      </c>
      <c r="C1670" s="1">
        <v>41182</v>
      </c>
      <c r="D1670" t="s">
        <v>295</v>
      </c>
      <c r="E1670">
        <v>120000</v>
      </c>
      <c r="F1670">
        <v>0</v>
      </c>
      <c r="G1670">
        <v>0</v>
      </c>
      <c r="H1670">
        <v>0</v>
      </c>
      <c r="I1670">
        <v>194</v>
      </c>
      <c r="J1670">
        <v>120000</v>
      </c>
      <c r="K1670" t="s">
        <v>3549</v>
      </c>
      <c r="L1670" s="1">
        <v>41074</v>
      </c>
      <c r="N1670" t="s">
        <v>36</v>
      </c>
      <c r="O1670" t="s">
        <v>37</v>
      </c>
      <c r="P1670" t="s">
        <v>432</v>
      </c>
      <c r="Q1670" t="s">
        <v>39</v>
      </c>
      <c r="R1670" t="s">
        <v>40</v>
      </c>
      <c r="S1670">
        <v>0</v>
      </c>
      <c r="U1670" t="s">
        <v>41</v>
      </c>
      <c r="V1670" t="s">
        <v>42</v>
      </c>
      <c r="X1670" t="s">
        <v>74</v>
      </c>
      <c r="Y1670" t="b">
        <v>0</v>
      </c>
      <c r="Z1670" t="b">
        <v>0</v>
      </c>
      <c r="AC1670" s="1"/>
      <c r="AF1670">
        <v>0</v>
      </c>
      <c r="AG1670">
        <v>45</v>
      </c>
      <c r="AH1670">
        <v>239</v>
      </c>
      <c r="AI1670" s="2">
        <f>Table__192.168.3.138DYLAgingReport[[#This Row],[NetAmount]]-Table__192.168.3.138DYLAgingReport[[#This Row],[Paid]]</f>
        <v>120000</v>
      </c>
    </row>
    <row r="1671" spans="1:35">
      <c r="A1671" t="s">
        <v>3550</v>
      </c>
      <c r="B1671" s="1">
        <v>41153</v>
      </c>
      <c r="C1671" s="1">
        <v>41153</v>
      </c>
      <c r="D1671" t="s">
        <v>295</v>
      </c>
      <c r="E1671">
        <v>160000</v>
      </c>
      <c r="F1671">
        <v>0</v>
      </c>
      <c r="G1671">
        <v>0</v>
      </c>
      <c r="H1671">
        <v>0</v>
      </c>
      <c r="I1671">
        <v>132</v>
      </c>
      <c r="J1671">
        <v>160000</v>
      </c>
      <c r="K1671" t="s">
        <v>118</v>
      </c>
      <c r="L1671" s="1">
        <v>41136</v>
      </c>
      <c r="N1671" t="s">
        <v>36</v>
      </c>
      <c r="O1671" t="s">
        <v>37</v>
      </c>
      <c r="P1671" t="s">
        <v>432</v>
      </c>
      <c r="Q1671" t="s">
        <v>39</v>
      </c>
      <c r="R1671" t="s">
        <v>40</v>
      </c>
      <c r="S1671">
        <v>0</v>
      </c>
      <c r="U1671" t="s">
        <v>41</v>
      </c>
      <c r="V1671" t="s">
        <v>42</v>
      </c>
      <c r="X1671" t="s">
        <v>74</v>
      </c>
      <c r="Y1671" t="b">
        <v>0</v>
      </c>
      <c r="Z1671" t="b">
        <v>0</v>
      </c>
      <c r="AC1671" s="1"/>
      <c r="AF1671">
        <v>0</v>
      </c>
      <c r="AG1671">
        <v>45</v>
      </c>
      <c r="AH1671">
        <v>177</v>
      </c>
      <c r="AI1671" s="2">
        <f>Table__192.168.3.138DYLAgingReport[[#This Row],[NetAmount]]-Table__192.168.3.138DYLAgingReport[[#This Row],[Paid]]</f>
        <v>160000</v>
      </c>
    </row>
    <row r="1672" spans="1:35">
      <c r="A1672" t="s">
        <v>3551</v>
      </c>
      <c r="B1672" s="1">
        <v>41194</v>
      </c>
      <c r="C1672" s="1">
        <v>41239</v>
      </c>
      <c r="D1672" t="s">
        <v>227</v>
      </c>
      <c r="E1672">
        <v>62250</v>
      </c>
      <c r="F1672">
        <v>9960</v>
      </c>
      <c r="G1672">
        <v>0</v>
      </c>
      <c r="H1672">
        <v>0</v>
      </c>
      <c r="I1672">
        <v>75</v>
      </c>
      <c r="J1672">
        <v>72210</v>
      </c>
      <c r="K1672" t="s">
        <v>3552</v>
      </c>
      <c r="L1672" s="1">
        <v>41193</v>
      </c>
      <c r="N1672" t="s">
        <v>36</v>
      </c>
      <c r="O1672" t="s">
        <v>37</v>
      </c>
      <c r="P1672" t="s">
        <v>364</v>
      </c>
      <c r="Q1672" t="s">
        <v>39</v>
      </c>
      <c r="R1672" t="s">
        <v>40</v>
      </c>
      <c r="S1672">
        <v>0</v>
      </c>
      <c r="U1672" t="s">
        <v>41</v>
      </c>
      <c r="V1672" t="s">
        <v>42</v>
      </c>
      <c r="X1672" t="s">
        <v>74</v>
      </c>
      <c r="Y1672" t="b">
        <v>0</v>
      </c>
      <c r="Z1672" t="b">
        <v>0</v>
      </c>
      <c r="AC1672" s="1"/>
      <c r="AF1672">
        <v>0</v>
      </c>
      <c r="AG1672">
        <v>45</v>
      </c>
      <c r="AH1672">
        <v>120</v>
      </c>
      <c r="AI1672" s="2">
        <f>Table__192.168.3.138DYLAgingReport[[#This Row],[NetAmount]]-Table__192.168.3.138DYLAgingReport[[#This Row],[Paid]]</f>
        <v>72210</v>
      </c>
    </row>
    <row r="1673" spans="1:35">
      <c r="A1673" t="s">
        <v>3553</v>
      </c>
      <c r="B1673" s="1">
        <v>41188</v>
      </c>
      <c r="C1673" s="1">
        <v>41233</v>
      </c>
      <c r="D1673" t="s">
        <v>239</v>
      </c>
      <c r="E1673">
        <v>340630</v>
      </c>
      <c r="F1673">
        <v>54501</v>
      </c>
      <c r="G1673">
        <v>0</v>
      </c>
      <c r="H1673">
        <v>0</v>
      </c>
      <c r="I1673">
        <v>80</v>
      </c>
      <c r="J1673">
        <v>395131</v>
      </c>
      <c r="K1673" t="s">
        <v>3554</v>
      </c>
      <c r="L1673" s="1">
        <v>41188</v>
      </c>
      <c r="N1673" t="s">
        <v>36</v>
      </c>
      <c r="O1673" t="s">
        <v>37</v>
      </c>
      <c r="P1673" t="s">
        <v>376</v>
      </c>
      <c r="Q1673" t="s">
        <v>39</v>
      </c>
      <c r="R1673" t="s">
        <v>40</v>
      </c>
      <c r="S1673">
        <v>0</v>
      </c>
      <c r="U1673" t="s">
        <v>41</v>
      </c>
      <c r="V1673" t="s">
        <v>42</v>
      </c>
      <c r="X1673" t="s">
        <v>74</v>
      </c>
      <c r="Y1673" t="b">
        <v>0</v>
      </c>
      <c r="Z1673" t="b">
        <v>0</v>
      </c>
      <c r="AB1673" t="s">
        <v>901</v>
      </c>
      <c r="AC1673" s="1">
        <v>41247</v>
      </c>
      <c r="AD1673" t="s">
        <v>3555</v>
      </c>
      <c r="AE1673" t="s">
        <v>535</v>
      </c>
      <c r="AF1673">
        <v>327010</v>
      </c>
      <c r="AG1673">
        <v>45</v>
      </c>
      <c r="AH1673">
        <v>125</v>
      </c>
      <c r="AI1673" s="2">
        <f>Table__192.168.3.138DYLAgingReport[[#This Row],[NetAmount]]-Table__192.168.3.138DYLAgingReport[[#This Row],[Paid]]</f>
        <v>68121</v>
      </c>
    </row>
    <row r="1674" spans="1:35">
      <c r="A1674" t="s">
        <v>3556</v>
      </c>
      <c r="B1674" s="1">
        <v>41186</v>
      </c>
      <c r="C1674" s="1">
        <v>41231</v>
      </c>
      <c r="D1674" t="s">
        <v>227</v>
      </c>
      <c r="E1674">
        <v>60000</v>
      </c>
      <c r="F1674">
        <v>9600</v>
      </c>
      <c r="G1674">
        <v>0</v>
      </c>
      <c r="H1674">
        <v>0</v>
      </c>
      <c r="I1674">
        <v>83</v>
      </c>
      <c r="J1674">
        <v>69600</v>
      </c>
      <c r="K1674" t="s">
        <v>3557</v>
      </c>
      <c r="L1674" s="1">
        <v>41185</v>
      </c>
      <c r="N1674" t="s">
        <v>36</v>
      </c>
      <c r="O1674" t="s">
        <v>37</v>
      </c>
      <c r="P1674" t="s">
        <v>364</v>
      </c>
      <c r="Q1674" t="s">
        <v>39</v>
      </c>
      <c r="R1674" t="s">
        <v>40</v>
      </c>
      <c r="S1674">
        <v>0</v>
      </c>
      <c r="U1674" t="s">
        <v>41</v>
      </c>
      <c r="V1674" t="s">
        <v>42</v>
      </c>
      <c r="X1674" t="s">
        <v>74</v>
      </c>
      <c r="Y1674" t="b">
        <v>0</v>
      </c>
      <c r="Z1674" t="b">
        <v>0</v>
      </c>
      <c r="AC1674" s="1"/>
      <c r="AF1674">
        <v>0</v>
      </c>
      <c r="AG1674">
        <v>45</v>
      </c>
      <c r="AH1674">
        <v>128</v>
      </c>
      <c r="AI1674" s="2">
        <f>Table__192.168.3.138DYLAgingReport[[#This Row],[NetAmount]]-Table__192.168.3.138DYLAgingReport[[#This Row],[Paid]]</f>
        <v>69600</v>
      </c>
    </row>
    <row r="1675" spans="1:35">
      <c r="A1675" t="s">
        <v>3558</v>
      </c>
      <c r="B1675" s="1">
        <v>41187</v>
      </c>
      <c r="C1675" s="1">
        <v>41232</v>
      </c>
      <c r="D1675" t="s">
        <v>227</v>
      </c>
      <c r="E1675">
        <v>60000</v>
      </c>
      <c r="F1675">
        <v>9600</v>
      </c>
      <c r="G1675">
        <v>0</v>
      </c>
      <c r="H1675">
        <v>0</v>
      </c>
      <c r="I1675">
        <v>80</v>
      </c>
      <c r="J1675">
        <v>69600</v>
      </c>
      <c r="K1675" t="s">
        <v>3559</v>
      </c>
      <c r="L1675" s="1">
        <v>41188</v>
      </c>
      <c r="N1675" t="s">
        <v>36</v>
      </c>
      <c r="O1675" t="s">
        <v>37</v>
      </c>
      <c r="P1675" t="s">
        <v>364</v>
      </c>
      <c r="Q1675" t="s">
        <v>39</v>
      </c>
      <c r="R1675" t="s">
        <v>40</v>
      </c>
      <c r="S1675">
        <v>0</v>
      </c>
      <c r="U1675" t="s">
        <v>41</v>
      </c>
      <c r="V1675" t="s">
        <v>42</v>
      </c>
      <c r="X1675" t="s">
        <v>74</v>
      </c>
      <c r="Y1675" t="b">
        <v>0</v>
      </c>
      <c r="Z1675" t="b">
        <v>0</v>
      </c>
      <c r="AC1675" s="1"/>
      <c r="AF1675">
        <v>0</v>
      </c>
      <c r="AG1675">
        <v>45</v>
      </c>
      <c r="AH1675">
        <v>125</v>
      </c>
      <c r="AI1675" s="2">
        <f>Table__192.168.3.138DYLAgingReport[[#This Row],[NetAmount]]-Table__192.168.3.138DYLAgingReport[[#This Row],[Paid]]</f>
        <v>69600</v>
      </c>
    </row>
    <row r="1676" spans="1:35">
      <c r="A1676" t="s">
        <v>3560</v>
      </c>
      <c r="B1676" s="1">
        <v>41191</v>
      </c>
      <c r="C1676" s="1">
        <v>41236</v>
      </c>
      <c r="D1676" t="s">
        <v>197</v>
      </c>
      <c r="E1676">
        <v>350000</v>
      </c>
      <c r="F1676">
        <v>56000</v>
      </c>
      <c r="G1676">
        <v>0</v>
      </c>
      <c r="H1676">
        <v>0</v>
      </c>
      <c r="I1676">
        <v>73</v>
      </c>
      <c r="J1676">
        <v>406000</v>
      </c>
      <c r="K1676" t="s">
        <v>3561</v>
      </c>
      <c r="L1676" s="1">
        <v>41195</v>
      </c>
      <c r="N1676" t="s">
        <v>36</v>
      </c>
      <c r="O1676" t="s">
        <v>37</v>
      </c>
      <c r="P1676" t="s">
        <v>334</v>
      </c>
      <c r="Q1676" t="s">
        <v>39</v>
      </c>
      <c r="R1676" t="s">
        <v>40</v>
      </c>
      <c r="S1676">
        <v>0</v>
      </c>
      <c r="U1676" t="s">
        <v>41</v>
      </c>
      <c r="V1676" t="s">
        <v>42</v>
      </c>
      <c r="X1676" t="s">
        <v>74</v>
      </c>
      <c r="Y1676" t="b">
        <v>0</v>
      </c>
      <c r="Z1676" t="b">
        <v>0</v>
      </c>
      <c r="AC1676" s="1"/>
      <c r="AF1676">
        <v>0</v>
      </c>
      <c r="AG1676">
        <v>45</v>
      </c>
      <c r="AH1676">
        <v>118</v>
      </c>
      <c r="AI1676" s="2">
        <f>Table__192.168.3.138DYLAgingReport[[#This Row],[NetAmount]]-Table__192.168.3.138DYLAgingReport[[#This Row],[Paid]]</f>
        <v>406000</v>
      </c>
    </row>
    <row r="1677" spans="1:35">
      <c r="A1677" t="s">
        <v>3562</v>
      </c>
      <c r="B1677" s="1">
        <v>41184</v>
      </c>
      <c r="C1677" s="1">
        <v>41229</v>
      </c>
      <c r="D1677" t="s">
        <v>220</v>
      </c>
      <c r="E1677">
        <v>24750</v>
      </c>
      <c r="F1677">
        <v>3960</v>
      </c>
      <c r="G1677">
        <v>0</v>
      </c>
      <c r="H1677">
        <v>0</v>
      </c>
      <c r="I1677">
        <v>65</v>
      </c>
      <c r="J1677">
        <v>28710</v>
      </c>
      <c r="K1677" t="s">
        <v>3563</v>
      </c>
      <c r="L1677" s="1">
        <v>41203</v>
      </c>
      <c r="N1677" t="s">
        <v>36</v>
      </c>
      <c r="O1677" t="s">
        <v>37</v>
      </c>
      <c r="P1677" t="s">
        <v>357</v>
      </c>
      <c r="Q1677" t="s">
        <v>39</v>
      </c>
      <c r="R1677" t="s">
        <v>40</v>
      </c>
      <c r="S1677">
        <v>0</v>
      </c>
      <c r="U1677" t="s">
        <v>41</v>
      </c>
      <c r="V1677" t="s">
        <v>42</v>
      </c>
      <c r="X1677" t="s">
        <v>74</v>
      </c>
      <c r="Y1677" t="b">
        <v>0</v>
      </c>
      <c r="Z1677" t="b">
        <v>0</v>
      </c>
      <c r="AC1677" s="1"/>
      <c r="AF1677">
        <v>0</v>
      </c>
      <c r="AG1677">
        <v>45</v>
      </c>
      <c r="AH1677">
        <v>110</v>
      </c>
      <c r="AI1677" s="2">
        <f>Table__192.168.3.138DYLAgingReport[[#This Row],[NetAmount]]-Table__192.168.3.138DYLAgingReport[[#This Row],[Paid]]</f>
        <v>28710</v>
      </c>
    </row>
    <row r="1678" spans="1:35">
      <c r="A1678" t="s">
        <v>3564</v>
      </c>
      <c r="B1678" s="1">
        <v>41188</v>
      </c>
      <c r="C1678" s="1">
        <v>41233</v>
      </c>
      <c r="D1678" t="s">
        <v>220</v>
      </c>
      <c r="E1678">
        <v>28050</v>
      </c>
      <c r="F1678">
        <v>4488</v>
      </c>
      <c r="G1678">
        <v>0</v>
      </c>
      <c r="H1678">
        <v>0</v>
      </c>
      <c r="I1678">
        <v>84</v>
      </c>
      <c r="J1678">
        <v>32538</v>
      </c>
      <c r="K1678" t="s">
        <v>3565</v>
      </c>
      <c r="L1678" s="1">
        <v>41184</v>
      </c>
      <c r="N1678" t="s">
        <v>36</v>
      </c>
      <c r="O1678" t="s">
        <v>37</v>
      </c>
      <c r="P1678" t="s">
        <v>357</v>
      </c>
      <c r="Q1678" t="s">
        <v>39</v>
      </c>
      <c r="R1678" t="s">
        <v>40</v>
      </c>
      <c r="S1678">
        <v>0</v>
      </c>
      <c r="U1678" t="s">
        <v>41</v>
      </c>
      <c r="V1678" t="s">
        <v>42</v>
      </c>
      <c r="X1678" t="s">
        <v>74</v>
      </c>
      <c r="Y1678" t="b">
        <v>0</v>
      </c>
      <c r="Z1678" t="b">
        <v>0</v>
      </c>
      <c r="AC1678" s="1"/>
      <c r="AF1678">
        <v>0</v>
      </c>
      <c r="AG1678">
        <v>45</v>
      </c>
      <c r="AH1678">
        <v>129</v>
      </c>
      <c r="AI1678" s="2">
        <f>Table__192.168.3.138DYLAgingReport[[#This Row],[NetAmount]]-Table__192.168.3.138DYLAgingReport[[#This Row],[Paid]]</f>
        <v>32538</v>
      </c>
    </row>
    <row r="1679" spans="1:35">
      <c r="A1679" t="s">
        <v>3566</v>
      </c>
      <c r="B1679" s="1">
        <v>41190</v>
      </c>
      <c r="C1679" s="1">
        <v>41235</v>
      </c>
      <c r="D1679" t="s">
        <v>220</v>
      </c>
      <c r="E1679">
        <v>46200</v>
      </c>
      <c r="F1679">
        <v>7392</v>
      </c>
      <c r="G1679">
        <v>0</v>
      </c>
      <c r="H1679">
        <v>0</v>
      </c>
      <c r="I1679">
        <v>78</v>
      </c>
      <c r="J1679">
        <v>53592</v>
      </c>
      <c r="K1679" t="s">
        <v>2315</v>
      </c>
      <c r="L1679" s="1">
        <v>41190</v>
      </c>
      <c r="N1679" t="s">
        <v>36</v>
      </c>
      <c r="O1679" t="s">
        <v>37</v>
      </c>
      <c r="P1679" t="s">
        <v>357</v>
      </c>
      <c r="Q1679" t="s">
        <v>39</v>
      </c>
      <c r="R1679" t="s">
        <v>40</v>
      </c>
      <c r="S1679">
        <v>0</v>
      </c>
      <c r="U1679" t="s">
        <v>41</v>
      </c>
      <c r="V1679" t="s">
        <v>42</v>
      </c>
      <c r="X1679" t="s">
        <v>74</v>
      </c>
      <c r="Y1679" t="b">
        <v>0</v>
      </c>
      <c r="Z1679" t="b">
        <v>0</v>
      </c>
      <c r="AC1679" s="1"/>
      <c r="AF1679">
        <v>0</v>
      </c>
      <c r="AG1679">
        <v>45</v>
      </c>
      <c r="AH1679">
        <v>123</v>
      </c>
      <c r="AI1679" s="2">
        <f>Table__192.168.3.138DYLAgingReport[[#This Row],[NetAmount]]-Table__192.168.3.138DYLAgingReport[[#This Row],[Paid]]</f>
        <v>53592</v>
      </c>
    </row>
    <row r="1680" spans="1:35">
      <c r="A1680" t="s">
        <v>3567</v>
      </c>
      <c r="B1680" s="1">
        <v>41191</v>
      </c>
      <c r="C1680" s="1">
        <v>41236</v>
      </c>
      <c r="D1680" t="s">
        <v>220</v>
      </c>
      <c r="E1680">
        <v>130000</v>
      </c>
      <c r="F1680">
        <v>20800</v>
      </c>
      <c r="G1680">
        <v>0</v>
      </c>
      <c r="H1680">
        <v>0</v>
      </c>
      <c r="I1680">
        <v>77</v>
      </c>
      <c r="J1680">
        <v>150800</v>
      </c>
      <c r="K1680" t="s">
        <v>3568</v>
      </c>
      <c r="L1680" s="1">
        <v>41191</v>
      </c>
      <c r="N1680" t="s">
        <v>36</v>
      </c>
      <c r="O1680" t="s">
        <v>37</v>
      </c>
      <c r="P1680" t="s">
        <v>357</v>
      </c>
      <c r="Q1680" t="s">
        <v>39</v>
      </c>
      <c r="R1680" t="s">
        <v>40</v>
      </c>
      <c r="S1680">
        <v>0</v>
      </c>
      <c r="U1680" t="s">
        <v>41</v>
      </c>
      <c r="V1680" t="s">
        <v>42</v>
      </c>
      <c r="X1680" t="s">
        <v>74</v>
      </c>
      <c r="Y1680" t="b">
        <v>0</v>
      </c>
      <c r="Z1680" t="b">
        <v>0</v>
      </c>
      <c r="AC1680" s="1"/>
      <c r="AF1680">
        <v>0</v>
      </c>
      <c r="AG1680">
        <v>45</v>
      </c>
      <c r="AH1680">
        <v>122</v>
      </c>
      <c r="AI1680" s="2">
        <f>Table__192.168.3.138DYLAgingReport[[#This Row],[NetAmount]]-Table__192.168.3.138DYLAgingReport[[#This Row],[Paid]]</f>
        <v>150800</v>
      </c>
    </row>
    <row r="1681" spans="1:35">
      <c r="A1681" t="s">
        <v>3569</v>
      </c>
      <c r="B1681" s="1">
        <v>41194</v>
      </c>
      <c r="C1681" s="1">
        <v>41239</v>
      </c>
      <c r="D1681" t="s">
        <v>220</v>
      </c>
      <c r="E1681">
        <v>158650</v>
      </c>
      <c r="F1681">
        <v>25384</v>
      </c>
      <c r="G1681">
        <v>0</v>
      </c>
      <c r="H1681">
        <v>0</v>
      </c>
      <c r="I1681">
        <v>75</v>
      </c>
      <c r="J1681">
        <v>184034</v>
      </c>
      <c r="K1681" t="s">
        <v>3570</v>
      </c>
      <c r="L1681" s="1">
        <v>41193</v>
      </c>
      <c r="N1681" t="s">
        <v>36</v>
      </c>
      <c r="O1681" t="s">
        <v>37</v>
      </c>
      <c r="P1681" t="s">
        <v>357</v>
      </c>
      <c r="Q1681" t="s">
        <v>39</v>
      </c>
      <c r="R1681" t="s">
        <v>40</v>
      </c>
      <c r="S1681">
        <v>0</v>
      </c>
      <c r="U1681" t="s">
        <v>41</v>
      </c>
      <c r="V1681" t="s">
        <v>42</v>
      </c>
      <c r="X1681" t="s">
        <v>74</v>
      </c>
      <c r="Y1681" t="b">
        <v>0</v>
      </c>
      <c r="Z1681" t="b">
        <v>0</v>
      </c>
      <c r="AC1681" s="1"/>
      <c r="AF1681">
        <v>0</v>
      </c>
      <c r="AG1681">
        <v>45</v>
      </c>
      <c r="AH1681">
        <v>120</v>
      </c>
      <c r="AI1681" s="2">
        <f>Table__192.168.3.138DYLAgingReport[[#This Row],[NetAmount]]-Table__192.168.3.138DYLAgingReport[[#This Row],[Paid]]</f>
        <v>184034</v>
      </c>
    </row>
    <row r="1682" spans="1:35">
      <c r="A1682" t="s">
        <v>3571</v>
      </c>
      <c r="B1682" s="1">
        <v>41195</v>
      </c>
      <c r="C1682" s="1">
        <v>41240</v>
      </c>
      <c r="D1682" t="s">
        <v>220</v>
      </c>
      <c r="E1682">
        <v>52800</v>
      </c>
      <c r="F1682">
        <v>8448</v>
      </c>
      <c r="G1682">
        <v>0</v>
      </c>
      <c r="H1682">
        <v>0</v>
      </c>
      <c r="I1682">
        <v>73</v>
      </c>
      <c r="J1682">
        <v>61248</v>
      </c>
      <c r="K1682" t="s">
        <v>3572</v>
      </c>
      <c r="L1682" s="1">
        <v>41195</v>
      </c>
      <c r="N1682" t="s">
        <v>36</v>
      </c>
      <c r="O1682" t="s">
        <v>37</v>
      </c>
      <c r="P1682" t="s">
        <v>357</v>
      </c>
      <c r="Q1682" t="s">
        <v>39</v>
      </c>
      <c r="R1682" t="s">
        <v>40</v>
      </c>
      <c r="S1682">
        <v>0</v>
      </c>
      <c r="U1682" t="s">
        <v>41</v>
      </c>
      <c r="V1682" t="s">
        <v>42</v>
      </c>
      <c r="X1682" t="s">
        <v>74</v>
      </c>
      <c r="Y1682" t="b">
        <v>0</v>
      </c>
      <c r="Z1682" t="b">
        <v>0</v>
      </c>
      <c r="AC1682" s="1"/>
      <c r="AF1682">
        <v>0</v>
      </c>
      <c r="AG1682">
        <v>45</v>
      </c>
      <c r="AH1682">
        <v>118</v>
      </c>
      <c r="AI1682" s="2">
        <f>Table__192.168.3.138DYLAgingReport[[#This Row],[NetAmount]]-Table__192.168.3.138DYLAgingReport[[#This Row],[Paid]]</f>
        <v>61248</v>
      </c>
    </row>
    <row r="1683" spans="1:35">
      <c r="A1683" t="s">
        <v>3573</v>
      </c>
      <c r="B1683" s="1">
        <v>41190</v>
      </c>
      <c r="C1683" s="1">
        <v>41235</v>
      </c>
      <c r="D1683" t="s">
        <v>251</v>
      </c>
      <c r="E1683">
        <v>190000</v>
      </c>
      <c r="F1683">
        <v>30400</v>
      </c>
      <c r="G1683">
        <v>0</v>
      </c>
      <c r="H1683">
        <v>0</v>
      </c>
      <c r="I1683">
        <v>76</v>
      </c>
      <c r="J1683">
        <v>220400</v>
      </c>
      <c r="K1683" t="s">
        <v>3574</v>
      </c>
      <c r="L1683" s="1">
        <v>41192</v>
      </c>
      <c r="N1683" t="s">
        <v>36</v>
      </c>
      <c r="O1683" t="s">
        <v>37</v>
      </c>
      <c r="P1683" t="s">
        <v>388</v>
      </c>
      <c r="Q1683" t="s">
        <v>39</v>
      </c>
      <c r="R1683" t="s">
        <v>40</v>
      </c>
      <c r="S1683">
        <v>0</v>
      </c>
      <c r="U1683" t="s">
        <v>41</v>
      </c>
      <c r="V1683" t="s">
        <v>42</v>
      </c>
      <c r="X1683" t="s">
        <v>74</v>
      </c>
      <c r="Y1683" t="b">
        <v>0</v>
      </c>
      <c r="Z1683" t="b">
        <v>0</v>
      </c>
      <c r="AB1683" t="s">
        <v>3575</v>
      </c>
      <c r="AC1683" s="1">
        <v>41291</v>
      </c>
      <c r="AD1683" t="s">
        <v>3576</v>
      </c>
      <c r="AE1683" t="s">
        <v>616</v>
      </c>
      <c r="AF1683">
        <v>56329</v>
      </c>
      <c r="AG1683">
        <v>45</v>
      </c>
      <c r="AH1683">
        <v>121</v>
      </c>
      <c r="AI1683" s="2">
        <f>Table__192.168.3.138DYLAgingReport[[#This Row],[NetAmount]]-Table__192.168.3.138DYLAgingReport[[#This Row],[Paid]]</f>
        <v>164071</v>
      </c>
    </row>
    <row r="1684" spans="1:35">
      <c r="A1684" t="s">
        <v>3577</v>
      </c>
      <c r="B1684" s="1">
        <v>41188</v>
      </c>
      <c r="C1684" s="1">
        <v>41233</v>
      </c>
      <c r="D1684" t="s">
        <v>264</v>
      </c>
      <c r="E1684">
        <v>700000</v>
      </c>
      <c r="F1684">
        <v>112000</v>
      </c>
      <c r="G1684">
        <v>0</v>
      </c>
      <c r="H1684">
        <v>0</v>
      </c>
      <c r="I1684">
        <v>80</v>
      </c>
      <c r="J1684">
        <v>812000</v>
      </c>
      <c r="K1684" t="s">
        <v>3578</v>
      </c>
      <c r="L1684" s="1">
        <v>41188</v>
      </c>
      <c r="N1684" t="s">
        <v>36</v>
      </c>
      <c r="O1684" t="s">
        <v>37</v>
      </c>
      <c r="P1684" t="s">
        <v>401</v>
      </c>
      <c r="Q1684" t="s">
        <v>39</v>
      </c>
      <c r="R1684" t="s">
        <v>40</v>
      </c>
      <c r="S1684">
        <v>0</v>
      </c>
      <c r="U1684" t="s">
        <v>41</v>
      </c>
      <c r="V1684" t="s">
        <v>42</v>
      </c>
      <c r="X1684" t="s">
        <v>74</v>
      </c>
      <c r="Y1684" t="b">
        <v>0</v>
      </c>
      <c r="Z1684" t="b">
        <v>0</v>
      </c>
      <c r="AB1684" t="s">
        <v>3579</v>
      </c>
      <c r="AC1684" s="1">
        <v>41247</v>
      </c>
      <c r="AE1684" t="s">
        <v>3580</v>
      </c>
      <c r="AF1684">
        <v>0</v>
      </c>
      <c r="AG1684">
        <v>45</v>
      </c>
      <c r="AH1684">
        <v>125</v>
      </c>
      <c r="AI1684" s="2">
        <f>Table__192.168.3.138DYLAgingReport[[#This Row],[NetAmount]]-Table__192.168.3.138DYLAgingReport[[#This Row],[Paid]]</f>
        <v>812000</v>
      </c>
    </row>
    <row r="1685" spans="1:35">
      <c r="A1685" t="s">
        <v>3581</v>
      </c>
      <c r="B1685" s="1">
        <v>41190</v>
      </c>
      <c r="C1685" s="1">
        <v>41235</v>
      </c>
      <c r="D1685" t="s">
        <v>270</v>
      </c>
      <c r="E1685">
        <v>59400</v>
      </c>
      <c r="F1685">
        <v>9504</v>
      </c>
      <c r="G1685">
        <v>0</v>
      </c>
      <c r="H1685">
        <v>0</v>
      </c>
      <c r="I1685">
        <v>93</v>
      </c>
      <c r="J1685">
        <v>68904</v>
      </c>
      <c r="K1685" t="s">
        <v>3490</v>
      </c>
      <c r="L1685" s="1">
        <v>41190</v>
      </c>
      <c r="N1685" t="s">
        <v>36</v>
      </c>
      <c r="O1685" t="s">
        <v>37</v>
      </c>
      <c r="P1685" t="s">
        <v>407</v>
      </c>
      <c r="Q1685" t="s">
        <v>39</v>
      </c>
      <c r="R1685" t="s">
        <v>40</v>
      </c>
      <c r="S1685">
        <v>0</v>
      </c>
      <c r="U1685" t="s">
        <v>41</v>
      </c>
      <c r="V1685" t="s">
        <v>42</v>
      </c>
      <c r="X1685" t="s">
        <v>74</v>
      </c>
      <c r="Y1685" t="b">
        <v>0</v>
      </c>
      <c r="Z1685" t="b">
        <v>0</v>
      </c>
      <c r="AC1685" s="1"/>
      <c r="AF1685">
        <v>0</v>
      </c>
      <c r="AG1685">
        <v>30</v>
      </c>
      <c r="AH1685">
        <v>123</v>
      </c>
      <c r="AI1685" s="2">
        <f>Table__192.168.3.138DYLAgingReport[[#This Row],[NetAmount]]-Table__192.168.3.138DYLAgingReport[[#This Row],[Paid]]</f>
        <v>68904</v>
      </c>
    </row>
    <row r="1686" spans="1:35">
      <c r="A1686" t="s">
        <v>3582</v>
      </c>
      <c r="B1686" s="1">
        <v>41186</v>
      </c>
      <c r="C1686" s="1">
        <v>41231</v>
      </c>
      <c r="D1686" t="s">
        <v>270</v>
      </c>
      <c r="E1686">
        <v>89100</v>
      </c>
      <c r="F1686">
        <v>14256</v>
      </c>
      <c r="G1686">
        <v>0</v>
      </c>
      <c r="H1686">
        <v>0</v>
      </c>
      <c r="I1686">
        <v>97</v>
      </c>
      <c r="J1686">
        <v>103356</v>
      </c>
      <c r="K1686" t="s">
        <v>3583</v>
      </c>
      <c r="L1686" s="1">
        <v>41186</v>
      </c>
      <c r="N1686" t="s">
        <v>36</v>
      </c>
      <c r="O1686" t="s">
        <v>37</v>
      </c>
      <c r="P1686" t="s">
        <v>407</v>
      </c>
      <c r="Q1686" t="s">
        <v>39</v>
      </c>
      <c r="R1686" t="s">
        <v>40</v>
      </c>
      <c r="S1686">
        <v>0</v>
      </c>
      <c r="U1686" t="s">
        <v>41</v>
      </c>
      <c r="V1686" t="s">
        <v>42</v>
      </c>
      <c r="X1686" t="s">
        <v>74</v>
      </c>
      <c r="Y1686" t="b">
        <v>0</v>
      </c>
      <c r="Z1686" t="b">
        <v>0</v>
      </c>
      <c r="AC1686" s="1"/>
      <c r="AF1686">
        <v>0</v>
      </c>
      <c r="AG1686">
        <v>30</v>
      </c>
      <c r="AH1686">
        <v>127</v>
      </c>
      <c r="AI1686" s="2">
        <f>Table__192.168.3.138DYLAgingReport[[#This Row],[NetAmount]]-Table__192.168.3.138DYLAgingReport[[#This Row],[Paid]]</f>
        <v>103356</v>
      </c>
    </row>
    <row r="1687" spans="1:35">
      <c r="A1687" t="s">
        <v>3584</v>
      </c>
      <c r="B1687" s="1">
        <v>41190</v>
      </c>
      <c r="C1687" s="1">
        <v>41235</v>
      </c>
      <c r="D1687" t="s">
        <v>180</v>
      </c>
      <c r="E1687">
        <v>5025</v>
      </c>
      <c r="F1687">
        <v>804</v>
      </c>
      <c r="G1687">
        <v>0</v>
      </c>
      <c r="H1687">
        <v>0</v>
      </c>
      <c r="I1687">
        <v>76</v>
      </c>
      <c r="J1687">
        <v>5829</v>
      </c>
      <c r="K1687" t="s">
        <v>3585</v>
      </c>
      <c r="L1687" s="1">
        <v>41192</v>
      </c>
      <c r="N1687" t="s">
        <v>36</v>
      </c>
      <c r="O1687" t="s">
        <v>37</v>
      </c>
      <c r="P1687" t="s">
        <v>317</v>
      </c>
      <c r="Q1687" t="s">
        <v>39</v>
      </c>
      <c r="R1687" t="s">
        <v>40</v>
      </c>
      <c r="S1687">
        <v>0</v>
      </c>
      <c r="U1687" t="s">
        <v>41</v>
      </c>
      <c r="V1687" t="s">
        <v>42</v>
      </c>
      <c r="X1687" t="s">
        <v>74</v>
      </c>
      <c r="Y1687" t="b">
        <v>0</v>
      </c>
      <c r="Z1687" t="b">
        <v>0</v>
      </c>
      <c r="AB1687" t="s">
        <v>797</v>
      </c>
      <c r="AC1687" s="1">
        <v>41305</v>
      </c>
      <c r="AE1687" t="s">
        <v>798</v>
      </c>
      <c r="AF1687">
        <v>0</v>
      </c>
      <c r="AG1687">
        <v>45</v>
      </c>
      <c r="AH1687">
        <v>121</v>
      </c>
      <c r="AI1687" s="2">
        <f>Table__192.168.3.138DYLAgingReport[[#This Row],[NetAmount]]-Table__192.168.3.138DYLAgingReport[[#This Row],[Paid]]</f>
        <v>5829</v>
      </c>
    </row>
    <row r="1688" spans="1:35">
      <c r="A1688" t="s">
        <v>3586</v>
      </c>
      <c r="B1688" s="1">
        <v>41188</v>
      </c>
      <c r="C1688" s="1">
        <v>41233</v>
      </c>
      <c r="D1688" t="s">
        <v>250</v>
      </c>
      <c r="E1688">
        <v>340000</v>
      </c>
      <c r="F1688">
        <v>54400</v>
      </c>
      <c r="G1688">
        <v>0</v>
      </c>
      <c r="H1688">
        <v>0</v>
      </c>
      <c r="I1688">
        <v>80</v>
      </c>
      <c r="J1688">
        <v>394400</v>
      </c>
      <c r="K1688" t="s">
        <v>3587</v>
      </c>
      <c r="L1688" s="1">
        <v>41188</v>
      </c>
      <c r="N1688" t="s">
        <v>36</v>
      </c>
      <c r="O1688" t="s">
        <v>37</v>
      </c>
      <c r="P1688" t="s">
        <v>387</v>
      </c>
      <c r="Q1688" t="s">
        <v>39</v>
      </c>
      <c r="R1688" t="s">
        <v>40</v>
      </c>
      <c r="S1688">
        <v>0</v>
      </c>
      <c r="U1688" t="s">
        <v>41</v>
      </c>
      <c r="V1688" t="s">
        <v>42</v>
      </c>
      <c r="X1688" t="s">
        <v>74</v>
      </c>
      <c r="Y1688" t="b">
        <v>0</v>
      </c>
      <c r="Z1688" t="b">
        <v>0</v>
      </c>
      <c r="AB1688" t="s">
        <v>3588</v>
      </c>
      <c r="AC1688" s="1">
        <v>41247</v>
      </c>
      <c r="AD1688" t="s">
        <v>3589</v>
      </c>
      <c r="AE1688" t="s">
        <v>3590</v>
      </c>
      <c r="AF1688">
        <v>374343</v>
      </c>
      <c r="AG1688">
        <v>45</v>
      </c>
      <c r="AH1688">
        <v>125</v>
      </c>
      <c r="AI1688" s="2">
        <f>Table__192.168.3.138DYLAgingReport[[#This Row],[NetAmount]]-Table__192.168.3.138DYLAgingReport[[#This Row],[Paid]]</f>
        <v>20057</v>
      </c>
    </row>
    <row r="1689" spans="1:35">
      <c r="A1689" t="s">
        <v>3591</v>
      </c>
      <c r="B1689" s="1">
        <v>41186</v>
      </c>
      <c r="C1689" s="1">
        <v>41231</v>
      </c>
      <c r="D1689" t="s">
        <v>242</v>
      </c>
      <c r="E1689">
        <v>126648</v>
      </c>
      <c r="F1689">
        <v>20263</v>
      </c>
      <c r="G1689">
        <v>0</v>
      </c>
      <c r="H1689">
        <v>0</v>
      </c>
      <c r="I1689">
        <v>82</v>
      </c>
      <c r="J1689">
        <v>146911</v>
      </c>
      <c r="K1689" t="s">
        <v>3592</v>
      </c>
      <c r="L1689" s="1">
        <v>41186</v>
      </c>
      <c r="N1689" t="s">
        <v>36</v>
      </c>
      <c r="O1689" t="s">
        <v>37</v>
      </c>
      <c r="P1689" t="s">
        <v>379</v>
      </c>
      <c r="Q1689" t="s">
        <v>39</v>
      </c>
      <c r="R1689" t="s">
        <v>40</v>
      </c>
      <c r="S1689">
        <v>0</v>
      </c>
      <c r="U1689" t="s">
        <v>41</v>
      </c>
      <c r="V1689" t="s">
        <v>42</v>
      </c>
      <c r="X1689" t="s">
        <v>74</v>
      </c>
      <c r="Y1689" t="b">
        <v>0</v>
      </c>
      <c r="Z1689" t="b">
        <v>0</v>
      </c>
      <c r="AC1689" s="1"/>
      <c r="AF1689">
        <v>0</v>
      </c>
      <c r="AG1689">
        <v>45</v>
      </c>
      <c r="AH1689">
        <v>127</v>
      </c>
      <c r="AI1689" s="2">
        <f>Table__192.168.3.138DYLAgingReport[[#This Row],[NetAmount]]-Table__192.168.3.138DYLAgingReport[[#This Row],[Paid]]</f>
        <v>146911</v>
      </c>
    </row>
    <row r="1690" spans="1:35">
      <c r="A1690" t="s">
        <v>3593</v>
      </c>
      <c r="B1690" s="1">
        <v>41186</v>
      </c>
      <c r="C1690" s="1">
        <v>41231</v>
      </c>
      <c r="D1690" t="s">
        <v>242</v>
      </c>
      <c r="E1690">
        <v>82280</v>
      </c>
      <c r="F1690">
        <v>13165</v>
      </c>
      <c r="G1690">
        <v>0</v>
      </c>
      <c r="H1690">
        <v>0</v>
      </c>
      <c r="I1690">
        <v>82</v>
      </c>
      <c r="J1690">
        <v>95445</v>
      </c>
      <c r="K1690" t="s">
        <v>3594</v>
      </c>
      <c r="L1690" s="1">
        <v>41186</v>
      </c>
      <c r="N1690" t="s">
        <v>36</v>
      </c>
      <c r="O1690" t="s">
        <v>37</v>
      </c>
      <c r="P1690" t="s">
        <v>379</v>
      </c>
      <c r="Q1690" t="s">
        <v>39</v>
      </c>
      <c r="R1690" t="s">
        <v>40</v>
      </c>
      <c r="S1690">
        <v>0</v>
      </c>
      <c r="U1690" t="s">
        <v>41</v>
      </c>
      <c r="V1690" t="s">
        <v>42</v>
      </c>
      <c r="X1690" t="s">
        <v>74</v>
      </c>
      <c r="Y1690" t="b">
        <v>0</v>
      </c>
      <c r="Z1690" t="b">
        <v>0</v>
      </c>
      <c r="AC1690" s="1"/>
      <c r="AF1690">
        <v>0</v>
      </c>
      <c r="AG1690">
        <v>45</v>
      </c>
      <c r="AH1690">
        <v>127</v>
      </c>
      <c r="AI1690" s="2">
        <f>Table__192.168.3.138DYLAgingReport[[#This Row],[NetAmount]]-Table__192.168.3.138DYLAgingReport[[#This Row],[Paid]]</f>
        <v>95445</v>
      </c>
    </row>
    <row r="1691" spans="1:35">
      <c r="A1691" t="s">
        <v>3595</v>
      </c>
      <c r="B1691" s="1">
        <v>41191</v>
      </c>
      <c r="C1691" s="1">
        <v>41236</v>
      </c>
      <c r="D1691" t="s">
        <v>242</v>
      </c>
      <c r="E1691">
        <v>7070</v>
      </c>
      <c r="F1691">
        <v>1131</v>
      </c>
      <c r="G1691">
        <v>0</v>
      </c>
      <c r="H1691">
        <v>0</v>
      </c>
      <c r="I1691">
        <v>77</v>
      </c>
      <c r="J1691">
        <v>8201</v>
      </c>
      <c r="K1691" t="s">
        <v>3596</v>
      </c>
      <c r="L1691" s="1">
        <v>41191</v>
      </c>
      <c r="N1691" t="s">
        <v>36</v>
      </c>
      <c r="O1691" t="s">
        <v>37</v>
      </c>
      <c r="P1691" t="s">
        <v>379</v>
      </c>
      <c r="Q1691" t="s">
        <v>39</v>
      </c>
      <c r="R1691" t="s">
        <v>40</v>
      </c>
      <c r="S1691">
        <v>0</v>
      </c>
      <c r="U1691" t="s">
        <v>41</v>
      </c>
      <c r="V1691" t="s">
        <v>42</v>
      </c>
      <c r="X1691" t="s">
        <v>74</v>
      </c>
      <c r="Y1691" t="b">
        <v>0</v>
      </c>
      <c r="Z1691" t="b">
        <v>0</v>
      </c>
      <c r="AC1691" s="1"/>
      <c r="AF1691">
        <v>0</v>
      </c>
      <c r="AG1691">
        <v>45</v>
      </c>
      <c r="AH1691">
        <v>122</v>
      </c>
      <c r="AI1691" s="2">
        <f>Table__192.168.3.138DYLAgingReport[[#This Row],[NetAmount]]-Table__192.168.3.138DYLAgingReport[[#This Row],[Paid]]</f>
        <v>8201</v>
      </c>
    </row>
    <row r="1692" spans="1:35">
      <c r="A1692" t="s">
        <v>3597</v>
      </c>
      <c r="B1692" s="1">
        <v>41181</v>
      </c>
      <c r="C1692" s="1">
        <v>41226</v>
      </c>
      <c r="D1692" t="s">
        <v>187</v>
      </c>
      <c r="E1692">
        <v>59630</v>
      </c>
      <c r="F1692">
        <v>0</v>
      </c>
      <c r="G1692">
        <v>0</v>
      </c>
      <c r="H1692">
        <v>0</v>
      </c>
      <c r="I1692">
        <v>88</v>
      </c>
      <c r="J1692">
        <v>59630</v>
      </c>
      <c r="K1692" t="s">
        <v>3598</v>
      </c>
      <c r="L1692" s="1">
        <v>41180</v>
      </c>
      <c r="N1692" t="s">
        <v>36</v>
      </c>
      <c r="O1692" t="s">
        <v>37</v>
      </c>
      <c r="P1692" t="s">
        <v>324</v>
      </c>
      <c r="Q1692" t="s">
        <v>39</v>
      </c>
      <c r="R1692" t="s">
        <v>40</v>
      </c>
      <c r="S1692">
        <v>0</v>
      </c>
      <c r="U1692" t="s">
        <v>41</v>
      </c>
      <c r="V1692" t="s">
        <v>42</v>
      </c>
      <c r="X1692" t="s">
        <v>74</v>
      </c>
      <c r="Y1692" t="b">
        <v>0</v>
      </c>
      <c r="Z1692" t="b">
        <v>0</v>
      </c>
      <c r="AC1692" s="1"/>
      <c r="AF1692">
        <v>0</v>
      </c>
      <c r="AG1692">
        <v>45</v>
      </c>
      <c r="AH1692">
        <v>133</v>
      </c>
      <c r="AI1692" s="2">
        <f>Table__192.168.3.138DYLAgingReport[[#This Row],[NetAmount]]-Table__192.168.3.138DYLAgingReport[[#This Row],[Paid]]</f>
        <v>59630</v>
      </c>
    </row>
    <row r="1693" spans="1:35">
      <c r="A1693" t="s">
        <v>3599</v>
      </c>
      <c r="B1693" s="1">
        <v>41180</v>
      </c>
      <c r="C1693" s="1">
        <v>41180</v>
      </c>
      <c r="D1693" t="s">
        <v>296</v>
      </c>
      <c r="E1693">
        <v>22442</v>
      </c>
      <c r="F1693">
        <v>3591</v>
      </c>
      <c r="G1693">
        <v>0</v>
      </c>
      <c r="H1693">
        <v>0</v>
      </c>
      <c r="I1693">
        <v>89</v>
      </c>
      <c r="J1693">
        <v>26033</v>
      </c>
      <c r="K1693" t="s">
        <v>3600</v>
      </c>
      <c r="L1693" s="1">
        <v>41179</v>
      </c>
      <c r="N1693" t="s">
        <v>36</v>
      </c>
      <c r="O1693" t="s">
        <v>37</v>
      </c>
      <c r="P1693" t="s">
        <v>433</v>
      </c>
      <c r="Q1693" t="s">
        <v>39</v>
      </c>
      <c r="R1693" t="s">
        <v>40</v>
      </c>
      <c r="S1693">
        <v>0</v>
      </c>
      <c r="U1693" t="s">
        <v>41</v>
      </c>
      <c r="V1693" t="s">
        <v>42</v>
      </c>
      <c r="X1693" t="s">
        <v>74</v>
      </c>
      <c r="Y1693" t="b">
        <v>0</v>
      </c>
      <c r="Z1693" t="b">
        <v>0</v>
      </c>
      <c r="AC1693" s="1"/>
      <c r="AF1693">
        <v>0</v>
      </c>
      <c r="AG1693">
        <v>45</v>
      </c>
      <c r="AH1693">
        <v>134</v>
      </c>
      <c r="AI1693" s="2">
        <f>Table__192.168.3.138DYLAgingReport[[#This Row],[NetAmount]]-Table__192.168.3.138DYLAgingReport[[#This Row],[Paid]]</f>
        <v>26033</v>
      </c>
    </row>
    <row r="1694" spans="1:35">
      <c r="A1694" t="s">
        <v>3601</v>
      </c>
      <c r="B1694" s="1">
        <v>41162</v>
      </c>
      <c r="C1694" s="1">
        <v>41162</v>
      </c>
      <c r="D1694" t="s">
        <v>296</v>
      </c>
      <c r="E1694">
        <v>3000</v>
      </c>
      <c r="F1694">
        <v>480</v>
      </c>
      <c r="G1694">
        <v>0</v>
      </c>
      <c r="H1694">
        <v>0</v>
      </c>
      <c r="I1694">
        <v>106</v>
      </c>
      <c r="J1694">
        <v>3480</v>
      </c>
      <c r="K1694" t="s">
        <v>883</v>
      </c>
      <c r="L1694" s="1">
        <v>41162</v>
      </c>
      <c r="N1694" t="s">
        <v>36</v>
      </c>
      <c r="O1694" t="s">
        <v>37</v>
      </c>
      <c r="P1694" t="s">
        <v>433</v>
      </c>
      <c r="Q1694" t="s">
        <v>39</v>
      </c>
      <c r="R1694" t="s">
        <v>40</v>
      </c>
      <c r="S1694">
        <v>0</v>
      </c>
      <c r="U1694" t="s">
        <v>41</v>
      </c>
      <c r="V1694" t="s">
        <v>42</v>
      </c>
      <c r="X1694" t="s">
        <v>74</v>
      </c>
      <c r="Y1694" t="b">
        <v>0</v>
      </c>
      <c r="Z1694" t="b">
        <v>0</v>
      </c>
      <c r="AC1694" s="1"/>
      <c r="AF1694">
        <v>0</v>
      </c>
      <c r="AG1694">
        <v>45</v>
      </c>
      <c r="AH1694">
        <v>151</v>
      </c>
      <c r="AI1694" s="2">
        <f>Table__192.168.3.138DYLAgingReport[[#This Row],[NetAmount]]-Table__192.168.3.138DYLAgingReport[[#This Row],[Paid]]</f>
        <v>3480</v>
      </c>
    </row>
    <row r="1695" spans="1:35">
      <c r="A1695" t="s">
        <v>3602</v>
      </c>
      <c r="B1695" s="1">
        <v>41178</v>
      </c>
      <c r="C1695" s="1">
        <v>41178</v>
      </c>
      <c r="D1695" t="s">
        <v>296</v>
      </c>
      <c r="E1695">
        <v>8150</v>
      </c>
      <c r="F1695">
        <v>1304</v>
      </c>
      <c r="G1695">
        <v>0</v>
      </c>
      <c r="H1695">
        <v>0</v>
      </c>
      <c r="I1695">
        <v>90</v>
      </c>
      <c r="J1695">
        <v>9454</v>
      </c>
      <c r="K1695" t="s">
        <v>3603</v>
      </c>
      <c r="L1695" s="1">
        <v>41178</v>
      </c>
      <c r="N1695" t="s">
        <v>36</v>
      </c>
      <c r="O1695" t="s">
        <v>37</v>
      </c>
      <c r="P1695" t="s">
        <v>433</v>
      </c>
      <c r="Q1695" t="s">
        <v>39</v>
      </c>
      <c r="R1695" t="s">
        <v>40</v>
      </c>
      <c r="S1695">
        <v>0</v>
      </c>
      <c r="U1695" t="s">
        <v>41</v>
      </c>
      <c r="V1695" t="s">
        <v>42</v>
      </c>
      <c r="X1695" t="s">
        <v>74</v>
      </c>
      <c r="Y1695" t="b">
        <v>0</v>
      </c>
      <c r="Z1695" t="b">
        <v>0</v>
      </c>
      <c r="AC1695" s="1"/>
      <c r="AF1695">
        <v>0</v>
      </c>
      <c r="AG1695">
        <v>45</v>
      </c>
      <c r="AH1695">
        <v>135</v>
      </c>
      <c r="AI1695" s="2">
        <f>Table__192.168.3.138DYLAgingReport[[#This Row],[NetAmount]]-Table__192.168.3.138DYLAgingReport[[#This Row],[Paid]]</f>
        <v>9454</v>
      </c>
    </row>
    <row r="1696" spans="1:35">
      <c r="A1696" t="s">
        <v>3604</v>
      </c>
      <c r="B1696" s="1">
        <v>41165</v>
      </c>
      <c r="C1696" s="1">
        <v>41165</v>
      </c>
      <c r="D1696" t="s">
        <v>296</v>
      </c>
      <c r="E1696">
        <v>31563</v>
      </c>
      <c r="F1696">
        <v>4978</v>
      </c>
      <c r="G1696">
        <v>0</v>
      </c>
      <c r="H1696">
        <v>0</v>
      </c>
      <c r="I1696">
        <v>104</v>
      </c>
      <c r="J1696">
        <v>36091</v>
      </c>
      <c r="K1696" t="s">
        <v>3605</v>
      </c>
      <c r="L1696" s="1">
        <v>41164</v>
      </c>
      <c r="N1696" t="s">
        <v>36</v>
      </c>
      <c r="O1696" t="s">
        <v>37</v>
      </c>
      <c r="P1696" t="s">
        <v>433</v>
      </c>
      <c r="Q1696" t="s">
        <v>39</v>
      </c>
      <c r="R1696" t="s">
        <v>40</v>
      </c>
      <c r="S1696">
        <v>0</v>
      </c>
      <c r="U1696" t="s">
        <v>41</v>
      </c>
      <c r="V1696" t="s">
        <v>42</v>
      </c>
      <c r="X1696" t="s">
        <v>74</v>
      </c>
      <c r="Y1696" t="b">
        <v>0</v>
      </c>
      <c r="Z1696" t="b">
        <v>0</v>
      </c>
      <c r="AC1696" s="1"/>
      <c r="AF1696">
        <v>0</v>
      </c>
      <c r="AG1696">
        <v>45</v>
      </c>
      <c r="AH1696">
        <v>149</v>
      </c>
      <c r="AI1696" s="2">
        <f>Table__192.168.3.138DYLAgingReport[[#This Row],[NetAmount]]-Table__192.168.3.138DYLAgingReport[[#This Row],[Paid]]</f>
        <v>36091</v>
      </c>
    </row>
    <row r="1697" spans="1:35">
      <c r="A1697" t="s">
        <v>3606</v>
      </c>
      <c r="B1697" s="1">
        <v>41190</v>
      </c>
      <c r="C1697" s="1">
        <v>41235</v>
      </c>
      <c r="D1697" t="s">
        <v>254</v>
      </c>
      <c r="E1697">
        <v>1580000</v>
      </c>
      <c r="F1697">
        <v>252800</v>
      </c>
      <c r="G1697">
        <v>0</v>
      </c>
      <c r="H1697">
        <v>0</v>
      </c>
      <c r="I1697">
        <v>82</v>
      </c>
      <c r="J1697">
        <v>1832800</v>
      </c>
      <c r="K1697" t="s">
        <v>3607</v>
      </c>
      <c r="L1697" s="1">
        <v>41186</v>
      </c>
      <c r="N1697" t="s">
        <v>36</v>
      </c>
      <c r="O1697" t="s">
        <v>37</v>
      </c>
      <c r="P1697" t="s">
        <v>391</v>
      </c>
      <c r="Q1697" t="s">
        <v>39</v>
      </c>
      <c r="R1697" t="s">
        <v>40</v>
      </c>
      <c r="S1697">
        <v>0</v>
      </c>
      <c r="U1697" t="s">
        <v>41</v>
      </c>
      <c r="V1697" t="s">
        <v>42</v>
      </c>
      <c r="X1697" t="s">
        <v>74</v>
      </c>
      <c r="Y1697" t="b">
        <v>0</v>
      </c>
      <c r="Z1697" t="b">
        <v>0</v>
      </c>
      <c r="AB1697" t="s">
        <v>918</v>
      </c>
      <c r="AC1697" s="1">
        <v>41298</v>
      </c>
      <c r="AF1697">
        <v>0</v>
      </c>
      <c r="AG1697">
        <v>45</v>
      </c>
      <c r="AH1697">
        <v>127</v>
      </c>
      <c r="AI1697" s="2">
        <f>Table__192.168.3.138DYLAgingReport[[#This Row],[NetAmount]]-Table__192.168.3.138DYLAgingReport[[#This Row],[Paid]]</f>
        <v>1832800</v>
      </c>
    </row>
    <row r="1698" spans="1:35">
      <c r="A1698" t="s">
        <v>3608</v>
      </c>
      <c r="B1698" s="1">
        <v>41195</v>
      </c>
      <c r="C1698" s="1">
        <v>41240</v>
      </c>
      <c r="D1698" t="s">
        <v>202</v>
      </c>
      <c r="E1698">
        <v>58672</v>
      </c>
      <c r="F1698">
        <v>9387</v>
      </c>
      <c r="G1698">
        <v>0</v>
      </c>
      <c r="H1698">
        <v>0</v>
      </c>
      <c r="I1698">
        <v>76</v>
      </c>
      <c r="J1698">
        <v>68059</v>
      </c>
      <c r="K1698" t="s">
        <v>3609</v>
      </c>
      <c r="L1698" s="1">
        <v>41192</v>
      </c>
      <c r="N1698" t="s">
        <v>36</v>
      </c>
      <c r="O1698" t="s">
        <v>37</v>
      </c>
      <c r="P1698" t="s">
        <v>339</v>
      </c>
      <c r="Q1698" t="s">
        <v>39</v>
      </c>
      <c r="R1698" t="s">
        <v>40</v>
      </c>
      <c r="S1698">
        <v>0</v>
      </c>
      <c r="U1698" t="s">
        <v>41</v>
      </c>
      <c r="V1698" t="s">
        <v>42</v>
      </c>
      <c r="X1698" t="s">
        <v>74</v>
      </c>
      <c r="Y1698" t="b">
        <v>0</v>
      </c>
      <c r="Z1698" t="b">
        <v>0</v>
      </c>
      <c r="AC1698" s="1"/>
      <c r="AF1698">
        <v>0</v>
      </c>
      <c r="AG1698">
        <v>45</v>
      </c>
      <c r="AH1698">
        <v>121</v>
      </c>
      <c r="AI1698" s="2">
        <f>Table__192.168.3.138DYLAgingReport[[#This Row],[NetAmount]]-Table__192.168.3.138DYLAgingReport[[#This Row],[Paid]]</f>
        <v>68059</v>
      </c>
    </row>
    <row r="1699" spans="1:35">
      <c r="A1699" t="s">
        <v>3610</v>
      </c>
      <c r="B1699" s="1">
        <v>41186</v>
      </c>
      <c r="C1699" s="1">
        <v>41231</v>
      </c>
      <c r="D1699" t="s">
        <v>187</v>
      </c>
      <c r="E1699">
        <v>32100</v>
      </c>
      <c r="F1699">
        <v>0</v>
      </c>
      <c r="G1699">
        <v>0</v>
      </c>
      <c r="H1699">
        <v>0</v>
      </c>
      <c r="I1699">
        <v>82</v>
      </c>
      <c r="J1699">
        <v>32100</v>
      </c>
      <c r="K1699" t="s">
        <v>3611</v>
      </c>
      <c r="L1699" s="1">
        <v>41186</v>
      </c>
      <c r="N1699" t="s">
        <v>36</v>
      </c>
      <c r="O1699" t="s">
        <v>37</v>
      </c>
      <c r="P1699" t="s">
        <v>324</v>
      </c>
      <c r="Q1699" t="s">
        <v>39</v>
      </c>
      <c r="R1699" t="s">
        <v>40</v>
      </c>
      <c r="S1699">
        <v>0</v>
      </c>
      <c r="U1699" t="s">
        <v>41</v>
      </c>
      <c r="V1699" t="s">
        <v>42</v>
      </c>
      <c r="X1699" t="s">
        <v>74</v>
      </c>
      <c r="Y1699" t="b">
        <v>0</v>
      </c>
      <c r="Z1699" t="b">
        <v>0</v>
      </c>
      <c r="AC1699" s="1"/>
      <c r="AF1699">
        <v>0</v>
      </c>
      <c r="AG1699">
        <v>45</v>
      </c>
      <c r="AH1699">
        <v>127</v>
      </c>
      <c r="AI1699" s="2">
        <f>Table__192.168.3.138DYLAgingReport[[#This Row],[NetAmount]]-Table__192.168.3.138DYLAgingReport[[#This Row],[Paid]]</f>
        <v>32100</v>
      </c>
    </row>
    <row r="1700" spans="1:35">
      <c r="A1700" t="s">
        <v>3612</v>
      </c>
      <c r="B1700" s="1">
        <v>41192</v>
      </c>
      <c r="C1700" s="1">
        <v>41237</v>
      </c>
      <c r="D1700" t="s">
        <v>174</v>
      </c>
      <c r="E1700">
        <v>43600</v>
      </c>
      <c r="F1700">
        <v>6976</v>
      </c>
      <c r="G1700">
        <v>0</v>
      </c>
      <c r="H1700">
        <v>0</v>
      </c>
      <c r="I1700">
        <v>77</v>
      </c>
      <c r="J1700">
        <v>50576</v>
      </c>
      <c r="K1700" t="s">
        <v>3613</v>
      </c>
      <c r="L1700" s="1">
        <v>41191</v>
      </c>
      <c r="N1700" t="s">
        <v>36</v>
      </c>
      <c r="O1700" t="s">
        <v>37</v>
      </c>
      <c r="P1700" t="s">
        <v>311</v>
      </c>
      <c r="Q1700" t="s">
        <v>39</v>
      </c>
      <c r="R1700" t="s">
        <v>40</v>
      </c>
      <c r="S1700">
        <v>0</v>
      </c>
      <c r="U1700" t="s">
        <v>41</v>
      </c>
      <c r="V1700" t="s">
        <v>42</v>
      </c>
      <c r="X1700" t="s">
        <v>74</v>
      </c>
      <c r="Y1700" t="b">
        <v>0</v>
      </c>
      <c r="Z1700" t="b">
        <v>0</v>
      </c>
      <c r="AC1700" s="1"/>
      <c r="AF1700">
        <v>0</v>
      </c>
      <c r="AG1700">
        <v>45</v>
      </c>
      <c r="AH1700">
        <v>122</v>
      </c>
      <c r="AI1700" s="2">
        <f>Table__192.168.3.138DYLAgingReport[[#This Row],[NetAmount]]-Table__192.168.3.138DYLAgingReport[[#This Row],[Paid]]</f>
        <v>50576</v>
      </c>
    </row>
    <row r="1701" spans="1:35">
      <c r="A1701" t="s">
        <v>3614</v>
      </c>
      <c r="B1701" s="1">
        <v>41187</v>
      </c>
      <c r="C1701" s="1">
        <v>41232</v>
      </c>
      <c r="D1701" t="s">
        <v>174</v>
      </c>
      <c r="E1701">
        <v>46000</v>
      </c>
      <c r="F1701">
        <v>7360</v>
      </c>
      <c r="G1701">
        <v>0</v>
      </c>
      <c r="H1701">
        <v>0</v>
      </c>
      <c r="I1701">
        <v>81</v>
      </c>
      <c r="J1701">
        <v>53360</v>
      </c>
      <c r="K1701" t="s">
        <v>3615</v>
      </c>
      <c r="L1701" s="1">
        <v>41187</v>
      </c>
      <c r="N1701" t="s">
        <v>36</v>
      </c>
      <c r="O1701" t="s">
        <v>37</v>
      </c>
      <c r="P1701" t="s">
        <v>311</v>
      </c>
      <c r="Q1701" t="s">
        <v>39</v>
      </c>
      <c r="R1701" t="s">
        <v>40</v>
      </c>
      <c r="S1701">
        <v>0</v>
      </c>
      <c r="U1701" t="s">
        <v>41</v>
      </c>
      <c r="V1701" t="s">
        <v>42</v>
      </c>
      <c r="X1701" t="s">
        <v>74</v>
      </c>
      <c r="Y1701" t="b">
        <v>0</v>
      </c>
      <c r="Z1701" t="b">
        <v>0</v>
      </c>
      <c r="AC1701" s="1"/>
      <c r="AF1701">
        <v>0</v>
      </c>
      <c r="AG1701">
        <v>45</v>
      </c>
      <c r="AH1701">
        <v>126</v>
      </c>
      <c r="AI1701" s="2">
        <f>Table__192.168.3.138DYLAgingReport[[#This Row],[NetAmount]]-Table__192.168.3.138DYLAgingReport[[#This Row],[Paid]]</f>
        <v>53360</v>
      </c>
    </row>
    <row r="1702" spans="1:35">
      <c r="A1702" t="s">
        <v>3616</v>
      </c>
      <c r="B1702" s="1">
        <v>41195</v>
      </c>
      <c r="C1702" s="1">
        <v>41240</v>
      </c>
      <c r="D1702" t="s">
        <v>174</v>
      </c>
      <c r="E1702">
        <v>48000</v>
      </c>
      <c r="F1702">
        <v>7680</v>
      </c>
      <c r="G1702">
        <v>0</v>
      </c>
      <c r="H1702">
        <v>0</v>
      </c>
      <c r="I1702">
        <v>75</v>
      </c>
      <c r="J1702">
        <v>55680</v>
      </c>
      <c r="K1702" t="s">
        <v>3617</v>
      </c>
      <c r="L1702" s="1">
        <v>41193</v>
      </c>
      <c r="N1702" t="s">
        <v>36</v>
      </c>
      <c r="O1702" t="s">
        <v>37</v>
      </c>
      <c r="P1702" t="s">
        <v>311</v>
      </c>
      <c r="Q1702" t="s">
        <v>39</v>
      </c>
      <c r="R1702" t="s">
        <v>40</v>
      </c>
      <c r="S1702">
        <v>0</v>
      </c>
      <c r="U1702" t="s">
        <v>41</v>
      </c>
      <c r="V1702" t="s">
        <v>42</v>
      </c>
      <c r="X1702" t="s">
        <v>74</v>
      </c>
      <c r="Y1702" t="b">
        <v>0</v>
      </c>
      <c r="Z1702" t="b">
        <v>0</v>
      </c>
      <c r="AC1702" s="1"/>
      <c r="AF1702">
        <v>0</v>
      </c>
      <c r="AG1702">
        <v>45</v>
      </c>
      <c r="AH1702">
        <v>120</v>
      </c>
      <c r="AI1702" s="2">
        <f>Table__192.168.3.138DYLAgingReport[[#This Row],[NetAmount]]-Table__192.168.3.138DYLAgingReport[[#This Row],[Paid]]</f>
        <v>55680</v>
      </c>
    </row>
    <row r="1703" spans="1:35">
      <c r="A1703" t="s">
        <v>3618</v>
      </c>
      <c r="B1703" s="1">
        <v>41196</v>
      </c>
      <c r="C1703" s="1">
        <v>41241</v>
      </c>
      <c r="D1703" t="s">
        <v>251</v>
      </c>
      <c r="E1703">
        <v>144720</v>
      </c>
      <c r="F1703">
        <v>23155</v>
      </c>
      <c r="G1703">
        <v>0</v>
      </c>
      <c r="H1703">
        <v>0</v>
      </c>
      <c r="I1703">
        <v>71</v>
      </c>
      <c r="J1703">
        <v>167875</v>
      </c>
      <c r="K1703" t="s">
        <v>3619</v>
      </c>
      <c r="L1703" s="1">
        <v>41197</v>
      </c>
      <c r="N1703" t="s">
        <v>36</v>
      </c>
      <c r="O1703" t="s">
        <v>37</v>
      </c>
      <c r="P1703" t="s">
        <v>388</v>
      </c>
      <c r="Q1703" t="s">
        <v>39</v>
      </c>
      <c r="R1703" t="s">
        <v>40</v>
      </c>
      <c r="S1703">
        <v>0</v>
      </c>
      <c r="U1703" t="s">
        <v>41</v>
      </c>
      <c r="V1703" t="s">
        <v>42</v>
      </c>
      <c r="X1703" t="s">
        <v>74</v>
      </c>
      <c r="Y1703" t="b">
        <v>0</v>
      </c>
      <c r="Z1703" t="b">
        <v>0</v>
      </c>
      <c r="AB1703" t="s">
        <v>915</v>
      </c>
      <c r="AC1703" s="1">
        <v>41275</v>
      </c>
      <c r="AF1703">
        <v>0</v>
      </c>
      <c r="AG1703">
        <v>45</v>
      </c>
      <c r="AH1703">
        <v>116</v>
      </c>
      <c r="AI1703" s="2">
        <f>Table__192.168.3.138DYLAgingReport[[#This Row],[NetAmount]]-Table__192.168.3.138DYLAgingReport[[#This Row],[Paid]]</f>
        <v>167875</v>
      </c>
    </row>
    <row r="1704" spans="1:35">
      <c r="A1704" t="s">
        <v>3620</v>
      </c>
      <c r="B1704" s="1">
        <v>41197</v>
      </c>
      <c r="C1704" s="1">
        <v>41242</v>
      </c>
      <c r="D1704" t="s">
        <v>220</v>
      </c>
      <c r="E1704">
        <v>178900</v>
      </c>
      <c r="F1704">
        <v>28624</v>
      </c>
      <c r="G1704">
        <v>0</v>
      </c>
      <c r="H1704">
        <v>0</v>
      </c>
      <c r="I1704">
        <v>71</v>
      </c>
      <c r="J1704">
        <v>207524</v>
      </c>
      <c r="K1704" t="s">
        <v>1193</v>
      </c>
      <c r="L1704" s="1">
        <v>41197</v>
      </c>
      <c r="N1704" t="s">
        <v>36</v>
      </c>
      <c r="O1704" t="s">
        <v>37</v>
      </c>
      <c r="P1704" t="s">
        <v>357</v>
      </c>
      <c r="Q1704" t="s">
        <v>39</v>
      </c>
      <c r="R1704" t="s">
        <v>40</v>
      </c>
      <c r="S1704">
        <v>0</v>
      </c>
      <c r="U1704" t="s">
        <v>41</v>
      </c>
      <c r="V1704" t="s">
        <v>42</v>
      </c>
      <c r="X1704" t="s">
        <v>74</v>
      </c>
      <c r="Y1704" t="b">
        <v>0</v>
      </c>
      <c r="Z1704" t="b">
        <v>0</v>
      </c>
      <c r="AC1704" s="1"/>
      <c r="AF1704">
        <v>0</v>
      </c>
      <c r="AG1704">
        <v>45</v>
      </c>
      <c r="AH1704">
        <v>116</v>
      </c>
      <c r="AI1704" s="2">
        <f>Table__192.168.3.138DYLAgingReport[[#This Row],[NetAmount]]-Table__192.168.3.138DYLAgingReport[[#This Row],[Paid]]</f>
        <v>207524</v>
      </c>
    </row>
    <row r="1705" spans="1:35">
      <c r="A1705" t="s">
        <v>3621</v>
      </c>
      <c r="B1705" s="1">
        <v>41197</v>
      </c>
      <c r="C1705" s="1">
        <v>41242</v>
      </c>
      <c r="D1705" t="s">
        <v>227</v>
      </c>
      <c r="E1705">
        <v>142500</v>
      </c>
      <c r="F1705">
        <v>22800</v>
      </c>
      <c r="G1705">
        <v>0</v>
      </c>
      <c r="H1705">
        <v>0</v>
      </c>
      <c r="I1705">
        <v>71</v>
      </c>
      <c r="J1705">
        <v>165300</v>
      </c>
      <c r="K1705" t="s">
        <v>3622</v>
      </c>
      <c r="L1705" s="1">
        <v>41197</v>
      </c>
      <c r="N1705" t="s">
        <v>36</v>
      </c>
      <c r="O1705" t="s">
        <v>37</v>
      </c>
      <c r="P1705" t="s">
        <v>364</v>
      </c>
      <c r="Q1705" t="s">
        <v>39</v>
      </c>
      <c r="R1705" t="s">
        <v>40</v>
      </c>
      <c r="S1705">
        <v>0</v>
      </c>
      <c r="U1705" t="s">
        <v>41</v>
      </c>
      <c r="V1705" t="s">
        <v>42</v>
      </c>
      <c r="X1705" t="s">
        <v>74</v>
      </c>
      <c r="Y1705" t="b">
        <v>0</v>
      </c>
      <c r="Z1705" t="b">
        <v>0</v>
      </c>
      <c r="AC1705" s="1"/>
      <c r="AF1705">
        <v>0</v>
      </c>
      <c r="AG1705">
        <v>45</v>
      </c>
      <c r="AH1705">
        <v>116</v>
      </c>
      <c r="AI1705" s="2">
        <f>Table__192.168.3.138DYLAgingReport[[#This Row],[NetAmount]]-Table__192.168.3.138DYLAgingReport[[#This Row],[Paid]]</f>
        <v>165300</v>
      </c>
    </row>
    <row r="1706" spans="1:35">
      <c r="A1706" t="s">
        <v>3623</v>
      </c>
      <c r="B1706" s="1">
        <v>41192</v>
      </c>
      <c r="C1706" s="1">
        <v>41237</v>
      </c>
      <c r="D1706" t="s">
        <v>270</v>
      </c>
      <c r="E1706">
        <v>89100</v>
      </c>
      <c r="F1706">
        <v>14256</v>
      </c>
      <c r="G1706">
        <v>0</v>
      </c>
      <c r="H1706">
        <v>0</v>
      </c>
      <c r="I1706">
        <v>91</v>
      </c>
      <c r="J1706">
        <v>103356</v>
      </c>
      <c r="K1706" t="s">
        <v>3492</v>
      </c>
      <c r="L1706" s="1">
        <v>41192</v>
      </c>
      <c r="N1706" t="s">
        <v>36</v>
      </c>
      <c r="O1706" t="s">
        <v>37</v>
      </c>
      <c r="P1706" t="s">
        <v>407</v>
      </c>
      <c r="Q1706" t="s">
        <v>39</v>
      </c>
      <c r="R1706" t="s">
        <v>40</v>
      </c>
      <c r="S1706">
        <v>0</v>
      </c>
      <c r="U1706" t="s">
        <v>41</v>
      </c>
      <c r="V1706" t="s">
        <v>42</v>
      </c>
      <c r="X1706" t="s">
        <v>74</v>
      </c>
      <c r="Y1706" t="b">
        <v>0</v>
      </c>
      <c r="Z1706" t="b">
        <v>0</v>
      </c>
      <c r="AC1706" s="1"/>
      <c r="AF1706">
        <v>0</v>
      </c>
      <c r="AG1706">
        <v>30</v>
      </c>
      <c r="AH1706">
        <v>121</v>
      </c>
      <c r="AI1706" s="2">
        <f>Table__192.168.3.138DYLAgingReport[[#This Row],[NetAmount]]-Table__192.168.3.138DYLAgingReport[[#This Row],[Paid]]</f>
        <v>103356</v>
      </c>
    </row>
    <row r="1707" spans="1:35">
      <c r="A1707" t="s">
        <v>3624</v>
      </c>
      <c r="B1707" s="1">
        <v>41194</v>
      </c>
      <c r="C1707" s="1">
        <v>41239</v>
      </c>
      <c r="D1707" t="s">
        <v>270</v>
      </c>
      <c r="E1707">
        <v>39600</v>
      </c>
      <c r="F1707">
        <v>6336</v>
      </c>
      <c r="G1707">
        <v>0</v>
      </c>
      <c r="H1707">
        <v>0</v>
      </c>
      <c r="I1707">
        <v>89</v>
      </c>
      <c r="J1707">
        <v>45936</v>
      </c>
      <c r="K1707" t="s">
        <v>3021</v>
      </c>
      <c r="L1707" s="1">
        <v>41194</v>
      </c>
      <c r="N1707" t="s">
        <v>36</v>
      </c>
      <c r="O1707" t="s">
        <v>37</v>
      </c>
      <c r="P1707" t="s">
        <v>407</v>
      </c>
      <c r="Q1707" t="s">
        <v>39</v>
      </c>
      <c r="R1707" t="s">
        <v>40</v>
      </c>
      <c r="S1707">
        <v>0</v>
      </c>
      <c r="U1707" t="s">
        <v>41</v>
      </c>
      <c r="V1707" t="s">
        <v>42</v>
      </c>
      <c r="X1707" t="s">
        <v>74</v>
      </c>
      <c r="Y1707" t="b">
        <v>0</v>
      </c>
      <c r="Z1707" t="b">
        <v>0</v>
      </c>
      <c r="AC1707" s="1"/>
      <c r="AF1707">
        <v>0</v>
      </c>
      <c r="AG1707">
        <v>30</v>
      </c>
      <c r="AH1707">
        <v>119</v>
      </c>
      <c r="AI1707" s="2">
        <f>Table__192.168.3.138DYLAgingReport[[#This Row],[NetAmount]]-Table__192.168.3.138DYLAgingReport[[#This Row],[Paid]]</f>
        <v>45936</v>
      </c>
    </row>
    <row r="1708" spans="1:35">
      <c r="A1708" t="s">
        <v>3625</v>
      </c>
      <c r="B1708" s="1">
        <v>41195</v>
      </c>
      <c r="C1708" s="1">
        <v>41240</v>
      </c>
      <c r="D1708" t="s">
        <v>270</v>
      </c>
      <c r="E1708">
        <v>39600</v>
      </c>
      <c r="F1708">
        <v>6336</v>
      </c>
      <c r="G1708">
        <v>0</v>
      </c>
      <c r="H1708">
        <v>0</v>
      </c>
      <c r="I1708">
        <v>88</v>
      </c>
      <c r="J1708">
        <v>45936</v>
      </c>
      <c r="K1708" t="s">
        <v>3626</v>
      </c>
      <c r="L1708" s="1">
        <v>41195</v>
      </c>
      <c r="N1708" t="s">
        <v>36</v>
      </c>
      <c r="O1708" t="s">
        <v>37</v>
      </c>
      <c r="P1708" t="s">
        <v>407</v>
      </c>
      <c r="Q1708" t="s">
        <v>39</v>
      </c>
      <c r="R1708" t="s">
        <v>40</v>
      </c>
      <c r="S1708">
        <v>0</v>
      </c>
      <c r="U1708" t="s">
        <v>41</v>
      </c>
      <c r="V1708" t="s">
        <v>42</v>
      </c>
      <c r="X1708" t="s">
        <v>74</v>
      </c>
      <c r="Y1708" t="b">
        <v>0</v>
      </c>
      <c r="Z1708" t="b">
        <v>0</v>
      </c>
      <c r="AC1708" s="1"/>
      <c r="AF1708">
        <v>0</v>
      </c>
      <c r="AG1708">
        <v>30</v>
      </c>
      <c r="AH1708">
        <v>118</v>
      </c>
      <c r="AI1708" s="2">
        <f>Table__192.168.3.138DYLAgingReport[[#This Row],[NetAmount]]-Table__192.168.3.138DYLAgingReport[[#This Row],[Paid]]</f>
        <v>45936</v>
      </c>
    </row>
    <row r="1709" spans="1:35">
      <c r="A1709" t="s">
        <v>3627</v>
      </c>
      <c r="B1709" s="1">
        <v>41186</v>
      </c>
      <c r="C1709" s="1">
        <v>41231</v>
      </c>
      <c r="D1709" t="s">
        <v>183</v>
      </c>
      <c r="E1709">
        <v>35400</v>
      </c>
      <c r="F1709">
        <v>5664</v>
      </c>
      <c r="G1709">
        <v>0</v>
      </c>
      <c r="H1709">
        <v>0</v>
      </c>
      <c r="I1709">
        <v>83</v>
      </c>
      <c r="J1709">
        <v>41064</v>
      </c>
      <c r="K1709" t="s">
        <v>1165</v>
      </c>
      <c r="L1709" s="1">
        <v>41185</v>
      </c>
      <c r="N1709" t="s">
        <v>36</v>
      </c>
      <c r="O1709" t="s">
        <v>37</v>
      </c>
      <c r="P1709" t="s">
        <v>320</v>
      </c>
      <c r="Q1709" t="s">
        <v>39</v>
      </c>
      <c r="R1709" t="s">
        <v>40</v>
      </c>
      <c r="S1709">
        <v>0</v>
      </c>
      <c r="U1709" t="s">
        <v>41</v>
      </c>
      <c r="V1709" t="s">
        <v>42</v>
      </c>
      <c r="X1709" t="s">
        <v>74</v>
      </c>
      <c r="Y1709" t="b">
        <v>0</v>
      </c>
      <c r="Z1709" t="b">
        <v>0</v>
      </c>
      <c r="AC1709" s="1"/>
      <c r="AF1709">
        <v>0</v>
      </c>
      <c r="AG1709">
        <v>45</v>
      </c>
      <c r="AH1709">
        <v>128</v>
      </c>
      <c r="AI1709" s="2">
        <f>Table__192.168.3.138DYLAgingReport[[#This Row],[NetAmount]]-Table__192.168.3.138DYLAgingReport[[#This Row],[Paid]]</f>
        <v>41064</v>
      </c>
    </row>
    <row r="1710" spans="1:35">
      <c r="A1710" t="s">
        <v>3628</v>
      </c>
      <c r="B1710" s="1">
        <v>41190</v>
      </c>
      <c r="C1710" s="1">
        <v>41235</v>
      </c>
      <c r="D1710" t="s">
        <v>183</v>
      </c>
      <c r="E1710">
        <v>35400</v>
      </c>
      <c r="F1710">
        <v>5664</v>
      </c>
      <c r="G1710">
        <v>0</v>
      </c>
      <c r="H1710">
        <v>0</v>
      </c>
      <c r="I1710">
        <v>78</v>
      </c>
      <c r="J1710">
        <v>41064</v>
      </c>
      <c r="K1710" t="s">
        <v>878</v>
      </c>
      <c r="L1710" s="1">
        <v>41190</v>
      </c>
      <c r="N1710" t="s">
        <v>36</v>
      </c>
      <c r="O1710" t="s">
        <v>37</v>
      </c>
      <c r="P1710" t="s">
        <v>320</v>
      </c>
      <c r="Q1710" t="s">
        <v>39</v>
      </c>
      <c r="R1710" t="s">
        <v>40</v>
      </c>
      <c r="S1710">
        <v>0</v>
      </c>
      <c r="U1710" t="s">
        <v>41</v>
      </c>
      <c r="V1710" t="s">
        <v>42</v>
      </c>
      <c r="X1710" t="s">
        <v>74</v>
      </c>
      <c r="Y1710" t="b">
        <v>0</v>
      </c>
      <c r="Z1710" t="b">
        <v>0</v>
      </c>
      <c r="AC1710" s="1"/>
      <c r="AF1710">
        <v>0</v>
      </c>
      <c r="AG1710">
        <v>45</v>
      </c>
      <c r="AH1710">
        <v>123</v>
      </c>
      <c r="AI1710" s="2">
        <f>Table__192.168.3.138DYLAgingReport[[#This Row],[NetAmount]]-Table__192.168.3.138DYLAgingReport[[#This Row],[Paid]]</f>
        <v>41064</v>
      </c>
    </row>
    <row r="1711" spans="1:35">
      <c r="A1711" t="s">
        <v>3629</v>
      </c>
      <c r="B1711" s="1">
        <v>41195</v>
      </c>
      <c r="C1711" s="1">
        <v>41240</v>
      </c>
      <c r="D1711" t="s">
        <v>183</v>
      </c>
      <c r="E1711">
        <v>70800</v>
      </c>
      <c r="F1711">
        <v>11328</v>
      </c>
      <c r="G1711">
        <v>0</v>
      </c>
      <c r="H1711">
        <v>0</v>
      </c>
      <c r="I1711">
        <v>73</v>
      </c>
      <c r="J1711">
        <v>82128</v>
      </c>
      <c r="K1711" t="s">
        <v>3630</v>
      </c>
      <c r="L1711" s="1">
        <v>41195</v>
      </c>
      <c r="N1711" t="s">
        <v>36</v>
      </c>
      <c r="O1711" t="s">
        <v>37</v>
      </c>
      <c r="P1711" t="s">
        <v>320</v>
      </c>
      <c r="Q1711" t="s">
        <v>39</v>
      </c>
      <c r="R1711" t="s">
        <v>40</v>
      </c>
      <c r="S1711">
        <v>0</v>
      </c>
      <c r="U1711" t="s">
        <v>41</v>
      </c>
      <c r="V1711" t="s">
        <v>42</v>
      </c>
      <c r="X1711" t="s">
        <v>74</v>
      </c>
      <c r="Y1711" t="b">
        <v>0</v>
      </c>
      <c r="Z1711" t="b">
        <v>0</v>
      </c>
      <c r="AC1711" s="1"/>
      <c r="AF1711">
        <v>0</v>
      </c>
      <c r="AG1711">
        <v>45</v>
      </c>
      <c r="AH1711">
        <v>118</v>
      </c>
      <c r="AI1711" s="2">
        <f>Table__192.168.3.138DYLAgingReport[[#This Row],[NetAmount]]-Table__192.168.3.138DYLAgingReport[[#This Row],[Paid]]</f>
        <v>82128</v>
      </c>
    </row>
    <row r="1712" spans="1:35">
      <c r="A1712" t="s">
        <v>3631</v>
      </c>
      <c r="B1712" s="1">
        <v>41183</v>
      </c>
      <c r="C1712" s="1">
        <v>41228</v>
      </c>
      <c r="D1712" t="s">
        <v>258</v>
      </c>
      <c r="E1712">
        <v>3266</v>
      </c>
      <c r="F1712">
        <v>523</v>
      </c>
      <c r="G1712">
        <v>0</v>
      </c>
      <c r="H1712">
        <v>0</v>
      </c>
      <c r="I1712">
        <v>85</v>
      </c>
      <c r="J1712">
        <v>3789</v>
      </c>
      <c r="K1712" t="s">
        <v>3632</v>
      </c>
      <c r="L1712" s="1">
        <v>41183</v>
      </c>
      <c r="N1712" t="s">
        <v>36</v>
      </c>
      <c r="O1712" t="s">
        <v>37</v>
      </c>
      <c r="P1712" t="s">
        <v>395</v>
      </c>
      <c r="Q1712" t="s">
        <v>39</v>
      </c>
      <c r="R1712" t="s">
        <v>40</v>
      </c>
      <c r="S1712">
        <v>0</v>
      </c>
      <c r="U1712" t="s">
        <v>41</v>
      </c>
      <c r="V1712" t="s">
        <v>42</v>
      </c>
      <c r="X1712" t="s">
        <v>74</v>
      </c>
      <c r="Y1712" t="b">
        <v>0</v>
      </c>
      <c r="Z1712" t="b">
        <v>0</v>
      </c>
      <c r="AC1712" s="1"/>
      <c r="AF1712">
        <v>0</v>
      </c>
      <c r="AG1712">
        <v>45</v>
      </c>
      <c r="AH1712">
        <v>130</v>
      </c>
      <c r="AI1712" s="2">
        <f>Table__192.168.3.138DYLAgingReport[[#This Row],[NetAmount]]-Table__192.168.3.138DYLAgingReport[[#This Row],[Paid]]</f>
        <v>3789</v>
      </c>
    </row>
    <row r="1713" spans="1:35">
      <c r="A1713" t="s">
        <v>3633</v>
      </c>
      <c r="B1713" s="1">
        <v>41192</v>
      </c>
      <c r="C1713" s="1">
        <v>41237</v>
      </c>
      <c r="D1713" t="s">
        <v>258</v>
      </c>
      <c r="E1713">
        <v>91231</v>
      </c>
      <c r="F1713">
        <v>14597</v>
      </c>
      <c r="G1713">
        <v>0</v>
      </c>
      <c r="H1713">
        <v>0</v>
      </c>
      <c r="I1713">
        <v>76</v>
      </c>
      <c r="J1713">
        <v>105828</v>
      </c>
      <c r="K1713" t="s">
        <v>3634</v>
      </c>
      <c r="L1713" s="1">
        <v>41192</v>
      </c>
      <c r="N1713" t="s">
        <v>36</v>
      </c>
      <c r="O1713" t="s">
        <v>37</v>
      </c>
      <c r="P1713" t="s">
        <v>395</v>
      </c>
      <c r="Q1713" t="s">
        <v>39</v>
      </c>
      <c r="R1713" t="s">
        <v>40</v>
      </c>
      <c r="S1713">
        <v>0</v>
      </c>
      <c r="U1713" t="s">
        <v>41</v>
      </c>
      <c r="V1713" t="s">
        <v>42</v>
      </c>
      <c r="X1713" t="s">
        <v>74</v>
      </c>
      <c r="Y1713" t="b">
        <v>0</v>
      </c>
      <c r="Z1713" t="b">
        <v>0</v>
      </c>
      <c r="AC1713" s="1"/>
      <c r="AF1713">
        <v>0</v>
      </c>
      <c r="AG1713">
        <v>45</v>
      </c>
      <c r="AH1713">
        <v>121</v>
      </c>
      <c r="AI1713" s="2">
        <f>Table__192.168.3.138DYLAgingReport[[#This Row],[NetAmount]]-Table__192.168.3.138DYLAgingReport[[#This Row],[Paid]]</f>
        <v>105828</v>
      </c>
    </row>
    <row r="1714" spans="1:35">
      <c r="A1714" t="s">
        <v>3635</v>
      </c>
      <c r="B1714" s="1">
        <v>41199</v>
      </c>
      <c r="C1714" s="1">
        <v>41244</v>
      </c>
      <c r="D1714" t="s">
        <v>258</v>
      </c>
      <c r="E1714">
        <v>55618</v>
      </c>
      <c r="F1714">
        <v>8899</v>
      </c>
      <c r="G1714">
        <v>0</v>
      </c>
      <c r="H1714">
        <v>0</v>
      </c>
      <c r="I1714">
        <v>69</v>
      </c>
      <c r="J1714">
        <v>64517</v>
      </c>
      <c r="K1714" t="s">
        <v>3636</v>
      </c>
      <c r="L1714" s="1">
        <v>41199</v>
      </c>
      <c r="N1714" t="s">
        <v>36</v>
      </c>
      <c r="O1714" t="s">
        <v>37</v>
      </c>
      <c r="P1714" t="s">
        <v>395</v>
      </c>
      <c r="Q1714" t="s">
        <v>39</v>
      </c>
      <c r="R1714" t="s">
        <v>40</v>
      </c>
      <c r="S1714">
        <v>0</v>
      </c>
      <c r="U1714" t="s">
        <v>41</v>
      </c>
      <c r="V1714" t="s">
        <v>42</v>
      </c>
      <c r="X1714" t="s">
        <v>74</v>
      </c>
      <c r="Y1714" t="b">
        <v>0</v>
      </c>
      <c r="Z1714" t="b">
        <v>0</v>
      </c>
      <c r="AC1714" s="1"/>
      <c r="AF1714">
        <v>0</v>
      </c>
      <c r="AG1714">
        <v>45</v>
      </c>
      <c r="AH1714">
        <v>114</v>
      </c>
      <c r="AI1714" s="2">
        <f>Table__192.168.3.138DYLAgingReport[[#This Row],[NetAmount]]-Table__192.168.3.138DYLAgingReport[[#This Row],[Paid]]</f>
        <v>64517</v>
      </c>
    </row>
    <row r="1715" spans="1:35">
      <c r="A1715" t="s">
        <v>3637</v>
      </c>
      <c r="B1715" s="1">
        <v>41194</v>
      </c>
      <c r="C1715" s="1">
        <v>41239</v>
      </c>
      <c r="D1715" t="s">
        <v>180</v>
      </c>
      <c r="E1715">
        <v>180725</v>
      </c>
      <c r="F1715">
        <v>28916</v>
      </c>
      <c r="G1715">
        <v>0</v>
      </c>
      <c r="H1715">
        <v>0</v>
      </c>
      <c r="I1715">
        <v>73</v>
      </c>
      <c r="J1715">
        <v>209641</v>
      </c>
      <c r="K1715" t="s">
        <v>3638</v>
      </c>
      <c r="L1715" s="1">
        <v>41195</v>
      </c>
      <c r="N1715" t="s">
        <v>36</v>
      </c>
      <c r="O1715" t="s">
        <v>37</v>
      </c>
      <c r="P1715" t="s">
        <v>317</v>
      </c>
      <c r="Q1715" t="s">
        <v>39</v>
      </c>
      <c r="R1715" t="s">
        <v>40</v>
      </c>
      <c r="S1715">
        <v>0</v>
      </c>
      <c r="U1715" t="s">
        <v>41</v>
      </c>
      <c r="V1715" t="s">
        <v>42</v>
      </c>
      <c r="X1715" t="s">
        <v>74</v>
      </c>
      <c r="Y1715" t="b">
        <v>0</v>
      </c>
      <c r="Z1715" t="b">
        <v>0</v>
      </c>
      <c r="AB1715" t="s">
        <v>797</v>
      </c>
      <c r="AC1715" s="1">
        <v>41305</v>
      </c>
      <c r="AE1715" t="s">
        <v>798</v>
      </c>
      <c r="AF1715">
        <v>0</v>
      </c>
      <c r="AG1715">
        <v>45</v>
      </c>
      <c r="AH1715">
        <v>118</v>
      </c>
      <c r="AI1715" s="2">
        <f>Table__192.168.3.138DYLAgingReport[[#This Row],[NetAmount]]-Table__192.168.3.138DYLAgingReport[[#This Row],[Paid]]</f>
        <v>209641</v>
      </c>
    </row>
    <row r="1716" spans="1:35">
      <c r="A1716" t="s">
        <v>3639</v>
      </c>
      <c r="B1716" s="1">
        <v>41199</v>
      </c>
      <c r="C1716" s="1">
        <v>41244</v>
      </c>
      <c r="D1716" t="s">
        <v>180</v>
      </c>
      <c r="E1716">
        <v>21524</v>
      </c>
      <c r="F1716">
        <v>3444</v>
      </c>
      <c r="G1716">
        <v>0</v>
      </c>
      <c r="H1716">
        <v>0</v>
      </c>
      <c r="I1716">
        <v>69</v>
      </c>
      <c r="J1716">
        <v>24968</v>
      </c>
      <c r="K1716" t="s">
        <v>3640</v>
      </c>
      <c r="L1716" s="1">
        <v>41199</v>
      </c>
      <c r="N1716" t="s">
        <v>36</v>
      </c>
      <c r="O1716" t="s">
        <v>37</v>
      </c>
      <c r="P1716" t="s">
        <v>317</v>
      </c>
      <c r="Q1716" t="s">
        <v>39</v>
      </c>
      <c r="R1716" t="s">
        <v>40</v>
      </c>
      <c r="S1716">
        <v>0</v>
      </c>
      <c r="U1716" t="s">
        <v>41</v>
      </c>
      <c r="V1716" t="s">
        <v>42</v>
      </c>
      <c r="X1716" t="s">
        <v>74</v>
      </c>
      <c r="Y1716" t="b">
        <v>0</v>
      </c>
      <c r="Z1716" t="b">
        <v>0</v>
      </c>
      <c r="AB1716" t="s">
        <v>3641</v>
      </c>
      <c r="AC1716" s="1">
        <v>41247</v>
      </c>
      <c r="AD1716" t="s">
        <v>3642</v>
      </c>
      <c r="AE1716" t="s">
        <v>759</v>
      </c>
      <c r="AF1716">
        <v>9636</v>
      </c>
      <c r="AG1716">
        <v>45</v>
      </c>
      <c r="AH1716">
        <v>114</v>
      </c>
      <c r="AI1716" s="2">
        <f>Table__192.168.3.138DYLAgingReport[[#This Row],[NetAmount]]-Table__192.168.3.138DYLAgingReport[[#This Row],[Paid]]</f>
        <v>15332</v>
      </c>
    </row>
    <row r="1717" spans="1:35">
      <c r="A1717" t="s">
        <v>3643</v>
      </c>
      <c r="B1717" s="1">
        <v>41197</v>
      </c>
      <c r="C1717" s="1">
        <v>41242</v>
      </c>
      <c r="D1717" t="s">
        <v>180</v>
      </c>
      <c r="E1717">
        <v>182958</v>
      </c>
      <c r="F1717">
        <v>29273</v>
      </c>
      <c r="G1717">
        <v>0</v>
      </c>
      <c r="H1717">
        <v>0</v>
      </c>
      <c r="I1717">
        <v>71</v>
      </c>
      <c r="J1717">
        <v>212231</v>
      </c>
      <c r="K1717" t="s">
        <v>3644</v>
      </c>
      <c r="L1717" s="1">
        <v>41197</v>
      </c>
      <c r="N1717" t="s">
        <v>36</v>
      </c>
      <c r="O1717" t="s">
        <v>37</v>
      </c>
      <c r="P1717" t="s">
        <v>317</v>
      </c>
      <c r="Q1717" t="s">
        <v>39</v>
      </c>
      <c r="R1717" t="s">
        <v>40</v>
      </c>
      <c r="S1717">
        <v>0</v>
      </c>
      <c r="U1717" t="s">
        <v>41</v>
      </c>
      <c r="V1717" t="s">
        <v>42</v>
      </c>
      <c r="X1717" t="s">
        <v>74</v>
      </c>
      <c r="Y1717" t="b">
        <v>0</v>
      </c>
      <c r="Z1717" t="b">
        <v>0</v>
      </c>
      <c r="AB1717" t="s">
        <v>797</v>
      </c>
      <c r="AC1717" s="1">
        <v>41305</v>
      </c>
      <c r="AE1717" t="s">
        <v>798</v>
      </c>
      <c r="AF1717">
        <v>0</v>
      </c>
      <c r="AG1717">
        <v>45</v>
      </c>
      <c r="AH1717">
        <v>116</v>
      </c>
      <c r="AI1717" s="2">
        <f>Table__192.168.3.138DYLAgingReport[[#This Row],[NetAmount]]-Table__192.168.3.138DYLAgingReport[[#This Row],[Paid]]</f>
        <v>212231</v>
      </c>
    </row>
    <row r="1718" spans="1:35">
      <c r="A1718" t="s">
        <v>3645</v>
      </c>
      <c r="B1718" s="1">
        <v>41192</v>
      </c>
      <c r="C1718" s="1">
        <v>41237</v>
      </c>
      <c r="D1718" t="s">
        <v>180</v>
      </c>
      <c r="E1718">
        <v>310748</v>
      </c>
      <c r="F1718">
        <v>49720</v>
      </c>
      <c r="G1718">
        <v>0</v>
      </c>
      <c r="H1718">
        <v>0</v>
      </c>
      <c r="I1718">
        <v>76</v>
      </c>
      <c r="J1718">
        <v>360468</v>
      </c>
      <c r="K1718" t="s">
        <v>3646</v>
      </c>
      <c r="L1718" s="1">
        <v>41192</v>
      </c>
      <c r="N1718" t="s">
        <v>36</v>
      </c>
      <c r="O1718" t="s">
        <v>37</v>
      </c>
      <c r="P1718" t="s">
        <v>317</v>
      </c>
      <c r="Q1718" t="s">
        <v>39</v>
      </c>
      <c r="R1718" t="s">
        <v>40</v>
      </c>
      <c r="S1718">
        <v>0</v>
      </c>
      <c r="U1718" t="s">
        <v>41</v>
      </c>
      <c r="V1718" t="s">
        <v>42</v>
      </c>
      <c r="X1718" t="s">
        <v>74</v>
      </c>
      <c r="Y1718" t="b">
        <v>0</v>
      </c>
      <c r="Z1718" t="b">
        <v>0</v>
      </c>
      <c r="AB1718" t="s">
        <v>797</v>
      </c>
      <c r="AC1718" s="1">
        <v>41305</v>
      </c>
      <c r="AE1718" t="s">
        <v>798</v>
      </c>
      <c r="AF1718">
        <v>0</v>
      </c>
      <c r="AG1718">
        <v>45</v>
      </c>
      <c r="AH1718">
        <v>121</v>
      </c>
      <c r="AI1718" s="2">
        <f>Table__192.168.3.138DYLAgingReport[[#This Row],[NetAmount]]-Table__192.168.3.138DYLAgingReport[[#This Row],[Paid]]</f>
        <v>360468</v>
      </c>
    </row>
    <row r="1719" spans="1:35">
      <c r="A1719" t="s">
        <v>3647</v>
      </c>
      <c r="B1719" s="1">
        <v>41184</v>
      </c>
      <c r="C1719" s="1">
        <v>41229</v>
      </c>
      <c r="D1719" t="s">
        <v>257</v>
      </c>
      <c r="E1719">
        <v>3000</v>
      </c>
      <c r="F1719">
        <v>480</v>
      </c>
      <c r="G1719">
        <v>0</v>
      </c>
      <c r="H1719">
        <v>0</v>
      </c>
      <c r="I1719">
        <v>84</v>
      </c>
      <c r="J1719">
        <v>3480</v>
      </c>
      <c r="K1719" t="s">
        <v>3648</v>
      </c>
      <c r="L1719" s="1">
        <v>41184</v>
      </c>
      <c r="N1719" t="s">
        <v>36</v>
      </c>
      <c r="O1719" t="s">
        <v>37</v>
      </c>
      <c r="P1719" t="s">
        <v>394</v>
      </c>
      <c r="Q1719" t="s">
        <v>39</v>
      </c>
      <c r="R1719" t="s">
        <v>40</v>
      </c>
      <c r="S1719">
        <v>0</v>
      </c>
      <c r="U1719" t="s">
        <v>41</v>
      </c>
      <c r="V1719" t="s">
        <v>42</v>
      </c>
      <c r="X1719" t="s">
        <v>74</v>
      </c>
      <c r="Y1719" t="b">
        <v>0</v>
      </c>
      <c r="Z1719" t="b">
        <v>0</v>
      </c>
      <c r="AC1719" s="1"/>
      <c r="AF1719">
        <v>0</v>
      </c>
      <c r="AG1719">
        <v>45</v>
      </c>
      <c r="AH1719">
        <v>129</v>
      </c>
      <c r="AI1719" s="2">
        <f>Table__192.168.3.138DYLAgingReport[[#This Row],[NetAmount]]-Table__192.168.3.138DYLAgingReport[[#This Row],[Paid]]</f>
        <v>3480</v>
      </c>
    </row>
    <row r="1720" spans="1:35">
      <c r="A1720" t="s">
        <v>3649</v>
      </c>
      <c r="B1720" s="1">
        <v>41195</v>
      </c>
      <c r="C1720" s="1">
        <v>41240</v>
      </c>
      <c r="D1720" t="s">
        <v>257</v>
      </c>
      <c r="E1720">
        <v>160000</v>
      </c>
      <c r="F1720">
        <v>25600</v>
      </c>
      <c r="G1720">
        <v>0</v>
      </c>
      <c r="H1720">
        <v>0</v>
      </c>
      <c r="I1720">
        <v>73</v>
      </c>
      <c r="J1720">
        <v>185600</v>
      </c>
      <c r="K1720" t="s">
        <v>3650</v>
      </c>
      <c r="L1720" s="1">
        <v>41195</v>
      </c>
      <c r="N1720" t="s">
        <v>36</v>
      </c>
      <c r="O1720" t="s">
        <v>37</v>
      </c>
      <c r="P1720" t="s">
        <v>394</v>
      </c>
      <c r="Q1720" t="s">
        <v>39</v>
      </c>
      <c r="R1720" t="s">
        <v>40</v>
      </c>
      <c r="S1720">
        <v>0</v>
      </c>
      <c r="U1720" t="s">
        <v>41</v>
      </c>
      <c r="V1720" t="s">
        <v>42</v>
      </c>
      <c r="X1720" t="s">
        <v>74</v>
      </c>
      <c r="Y1720" t="b">
        <v>0</v>
      </c>
      <c r="Z1720" t="b">
        <v>0</v>
      </c>
      <c r="AC1720" s="1"/>
      <c r="AF1720">
        <v>0</v>
      </c>
      <c r="AG1720">
        <v>45</v>
      </c>
      <c r="AH1720">
        <v>118</v>
      </c>
      <c r="AI1720" s="2">
        <f>Table__192.168.3.138DYLAgingReport[[#This Row],[NetAmount]]-Table__192.168.3.138DYLAgingReport[[#This Row],[Paid]]</f>
        <v>185600</v>
      </c>
    </row>
    <row r="1721" spans="1:35">
      <c r="A1721" t="s">
        <v>3651</v>
      </c>
      <c r="B1721" s="1">
        <v>41195</v>
      </c>
      <c r="C1721" s="1">
        <v>41240</v>
      </c>
      <c r="D1721" t="s">
        <v>257</v>
      </c>
      <c r="E1721">
        <v>9550</v>
      </c>
      <c r="F1721">
        <v>1528</v>
      </c>
      <c r="G1721">
        <v>0</v>
      </c>
      <c r="H1721">
        <v>0</v>
      </c>
      <c r="I1721">
        <v>73</v>
      </c>
      <c r="J1721">
        <v>11078</v>
      </c>
      <c r="K1721" t="s">
        <v>3652</v>
      </c>
      <c r="L1721" s="1">
        <v>41195</v>
      </c>
      <c r="N1721" t="s">
        <v>36</v>
      </c>
      <c r="O1721" t="s">
        <v>37</v>
      </c>
      <c r="P1721" t="s">
        <v>394</v>
      </c>
      <c r="Q1721" t="s">
        <v>39</v>
      </c>
      <c r="R1721" t="s">
        <v>40</v>
      </c>
      <c r="S1721">
        <v>0</v>
      </c>
      <c r="U1721" t="s">
        <v>41</v>
      </c>
      <c r="V1721" t="s">
        <v>42</v>
      </c>
      <c r="X1721" t="s">
        <v>74</v>
      </c>
      <c r="Y1721" t="b">
        <v>0</v>
      </c>
      <c r="Z1721" t="b">
        <v>0</v>
      </c>
      <c r="AC1721" s="1"/>
      <c r="AF1721">
        <v>0</v>
      </c>
      <c r="AG1721">
        <v>45</v>
      </c>
      <c r="AH1721">
        <v>118</v>
      </c>
      <c r="AI1721" s="2">
        <f>Table__192.168.3.138DYLAgingReport[[#This Row],[NetAmount]]-Table__192.168.3.138DYLAgingReport[[#This Row],[Paid]]</f>
        <v>11078</v>
      </c>
    </row>
    <row r="1722" spans="1:35">
      <c r="A1722" t="s">
        <v>3653</v>
      </c>
      <c r="B1722" s="1">
        <v>41192</v>
      </c>
      <c r="C1722" s="1">
        <v>41237</v>
      </c>
      <c r="D1722" t="s">
        <v>251</v>
      </c>
      <c r="E1722">
        <v>173100</v>
      </c>
      <c r="F1722">
        <v>27696</v>
      </c>
      <c r="G1722">
        <v>0</v>
      </c>
      <c r="H1722">
        <v>0</v>
      </c>
      <c r="I1722">
        <v>74</v>
      </c>
      <c r="J1722">
        <v>200796</v>
      </c>
      <c r="K1722" t="s">
        <v>3654</v>
      </c>
      <c r="L1722" s="1">
        <v>41194</v>
      </c>
      <c r="N1722" t="s">
        <v>36</v>
      </c>
      <c r="O1722" t="s">
        <v>37</v>
      </c>
      <c r="P1722" t="s">
        <v>388</v>
      </c>
      <c r="Q1722" t="s">
        <v>39</v>
      </c>
      <c r="R1722" t="s">
        <v>40</v>
      </c>
      <c r="S1722">
        <v>0</v>
      </c>
      <c r="U1722" t="s">
        <v>41</v>
      </c>
      <c r="V1722" t="s">
        <v>42</v>
      </c>
      <c r="X1722" t="s">
        <v>74</v>
      </c>
      <c r="Y1722" t="b">
        <v>0</v>
      </c>
      <c r="Z1722" t="b">
        <v>0</v>
      </c>
      <c r="AB1722" t="s">
        <v>915</v>
      </c>
      <c r="AC1722" s="1">
        <v>41275</v>
      </c>
      <c r="AF1722">
        <v>0</v>
      </c>
      <c r="AG1722">
        <v>45</v>
      </c>
      <c r="AH1722">
        <v>119</v>
      </c>
      <c r="AI1722" s="2">
        <f>Table__192.168.3.138DYLAgingReport[[#This Row],[NetAmount]]-Table__192.168.3.138DYLAgingReport[[#This Row],[Paid]]</f>
        <v>200796</v>
      </c>
    </row>
    <row r="1723" spans="1:35">
      <c r="A1723" t="s">
        <v>3655</v>
      </c>
      <c r="B1723" s="1">
        <v>41200</v>
      </c>
      <c r="C1723" s="1">
        <v>41245</v>
      </c>
      <c r="D1723" t="s">
        <v>270</v>
      </c>
      <c r="E1723">
        <v>55000</v>
      </c>
      <c r="F1723">
        <v>8800</v>
      </c>
      <c r="G1723">
        <v>0</v>
      </c>
      <c r="H1723">
        <v>0</v>
      </c>
      <c r="I1723">
        <v>83</v>
      </c>
      <c r="J1723">
        <v>63800</v>
      </c>
      <c r="K1723" t="s">
        <v>3656</v>
      </c>
      <c r="L1723" s="1">
        <v>41200</v>
      </c>
      <c r="N1723" t="s">
        <v>36</v>
      </c>
      <c r="O1723" t="s">
        <v>37</v>
      </c>
      <c r="P1723" t="s">
        <v>407</v>
      </c>
      <c r="Q1723" t="s">
        <v>39</v>
      </c>
      <c r="R1723" t="s">
        <v>40</v>
      </c>
      <c r="S1723">
        <v>0</v>
      </c>
      <c r="U1723" t="s">
        <v>41</v>
      </c>
      <c r="V1723" t="s">
        <v>42</v>
      </c>
      <c r="X1723" t="s">
        <v>74</v>
      </c>
      <c r="Y1723" t="b">
        <v>0</v>
      </c>
      <c r="Z1723" t="b">
        <v>0</v>
      </c>
      <c r="AC1723" s="1"/>
      <c r="AF1723">
        <v>0</v>
      </c>
      <c r="AG1723">
        <v>30</v>
      </c>
      <c r="AH1723">
        <v>113</v>
      </c>
      <c r="AI1723" s="2">
        <f>Table__192.168.3.138DYLAgingReport[[#This Row],[NetAmount]]-Table__192.168.3.138DYLAgingReport[[#This Row],[Paid]]</f>
        <v>63800</v>
      </c>
    </row>
    <row r="1724" spans="1:35">
      <c r="A1724" t="s">
        <v>3657</v>
      </c>
      <c r="B1724" s="1">
        <v>41198</v>
      </c>
      <c r="C1724" s="1">
        <v>41243</v>
      </c>
      <c r="D1724" t="s">
        <v>251</v>
      </c>
      <c r="E1724">
        <v>219140</v>
      </c>
      <c r="F1724">
        <v>35062</v>
      </c>
      <c r="G1724">
        <v>0</v>
      </c>
      <c r="H1724">
        <v>0</v>
      </c>
      <c r="I1724">
        <v>68</v>
      </c>
      <c r="J1724">
        <v>254202</v>
      </c>
      <c r="K1724" t="s">
        <v>3658</v>
      </c>
      <c r="L1724" s="1">
        <v>41200</v>
      </c>
      <c r="N1724" t="s">
        <v>36</v>
      </c>
      <c r="O1724" t="s">
        <v>37</v>
      </c>
      <c r="P1724" t="s">
        <v>388</v>
      </c>
      <c r="Q1724" t="s">
        <v>39</v>
      </c>
      <c r="R1724" t="s">
        <v>40</v>
      </c>
      <c r="S1724">
        <v>0</v>
      </c>
      <c r="U1724" t="s">
        <v>41</v>
      </c>
      <c r="V1724" t="s">
        <v>42</v>
      </c>
      <c r="X1724" t="s">
        <v>74</v>
      </c>
      <c r="Y1724" t="b">
        <v>0</v>
      </c>
      <c r="Z1724" t="b">
        <v>0</v>
      </c>
      <c r="AB1724" t="s">
        <v>915</v>
      </c>
      <c r="AC1724" s="1">
        <v>41275</v>
      </c>
      <c r="AF1724">
        <v>0</v>
      </c>
      <c r="AG1724">
        <v>45</v>
      </c>
      <c r="AH1724">
        <v>113</v>
      </c>
      <c r="AI1724" s="2">
        <f>Table__192.168.3.138DYLAgingReport[[#This Row],[NetAmount]]-Table__192.168.3.138DYLAgingReport[[#This Row],[Paid]]</f>
        <v>254202</v>
      </c>
    </row>
    <row r="1725" spans="1:35">
      <c r="A1725" t="s">
        <v>3659</v>
      </c>
      <c r="B1725" s="1">
        <v>41187</v>
      </c>
      <c r="C1725" s="1">
        <v>41232</v>
      </c>
      <c r="D1725" t="s">
        <v>282</v>
      </c>
      <c r="E1725">
        <v>215000</v>
      </c>
      <c r="F1725">
        <v>34400</v>
      </c>
      <c r="G1725">
        <v>0</v>
      </c>
      <c r="H1725">
        <v>0</v>
      </c>
      <c r="I1725">
        <v>81</v>
      </c>
      <c r="J1725">
        <v>249400</v>
      </c>
      <c r="K1725" t="s">
        <v>3660</v>
      </c>
      <c r="L1725" s="1">
        <v>41187</v>
      </c>
      <c r="N1725" t="s">
        <v>36</v>
      </c>
      <c r="O1725" t="s">
        <v>37</v>
      </c>
      <c r="P1725" t="s">
        <v>419</v>
      </c>
      <c r="Q1725" t="s">
        <v>39</v>
      </c>
      <c r="R1725" t="s">
        <v>40</v>
      </c>
      <c r="S1725">
        <v>0</v>
      </c>
      <c r="U1725" t="s">
        <v>41</v>
      </c>
      <c r="V1725" t="s">
        <v>42</v>
      </c>
      <c r="X1725" t="s">
        <v>74</v>
      </c>
      <c r="Y1725" t="b">
        <v>0</v>
      </c>
      <c r="Z1725" t="b">
        <v>0</v>
      </c>
      <c r="AB1725" t="s">
        <v>936</v>
      </c>
      <c r="AC1725" s="1">
        <v>41297</v>
      </c>
      <c r="AF1725">
        <v>0</v>
      </c>
      <c r="AG1725">
        <v>45</v>
      </c>
      <c r="AH1725">
        <v>126</v>
      </c>
      <c r="AI1725" s="2">
        <f>Table__192.168.3.138DYLAgingReport[[#This Row],[NetAmount]]-Table__192.168.3.138DYLAgingReport[[#This Row],[Paid]]</f>
        <v>249400</v>
      </c>
    </row>
    <row r="1726" spans="1:35">
      <c r="A1726" t="s">
        <v>3661</v>
      </c>
      <c r="B1726" s="1">
        <v>41191</v>
      </c>
      <c r="C1726" s="1">
        <v>41236</v>
      </c>
      <c r="D1726" t="s">
        <v>282</v>
      </c>
      <c r="E1726">
        <v>322500</v>
      </c>
      <c r="F1726">
        <v>51600</v>
      </c>
      <c r="G1726">
        <v>0</v>
      </c>
      <c r="H1726">
        <v>0</v>
      </c>
      <c r="I1726">
        <v>77</v>
      </c>
      <c r="J1726">
        <v>374100</v>
      </c>
      <c r="K1726" t="s">
        <v>3662</v>
      </c>
      <c r="L1726" s="1">
        <v>41191</v>
      </c>
      <c r="N1726" t="s">
        <v>36</v>
      </c>
      <c r="O1726" t="s">
        <v>37</v>
      </c>
      <c r="P1726" t="s">
        <v>419</v>
      </c>
      <c r="Q1726" t="s">
        <v>39</v>
      </c>
      <c r="R1726" t="s">
        <v>40</v>
      </c>
      <c r="S1726">
        <v>0</v>
      </c>
      <c r="U1726" t="s">
        <v>41</v>
      </c>
      <c r="V1726" t="s">
        <v>42</v>
      </c>
      <c r="X1726" t="s">
        <v>74</v>
      </c>
      <c r="Y1726" t="b">
        <v>0</v>
      </c>
      <c r="Z1726" t="b">
        <v>0</v>
      </c>
      <c r="AB1726" t="s">
        <v>936</v>
      </c>
      <c r="AC1726" s="1">
        <v>41297</v>
      </c>
      <c r="AF1726">
        <v>0</v>
      </c>
      <c r="AG1726">
        <v>45</v>
      </c>
      <c r="AH1726">
        <v>122</v>
      </c>
      <c r="AI1726" s="2">
        <f>Table__192.168.3.138DYLAgingReport[[#This Row],[NetAmount]]-Table__192.168.3.138DYLAgingReport[[#This Row],[Paid]]</f>
        <v>374100</v>
      </c>
    </row>
    <row r="1727" spans="1:35">
      <c r="A1727" t="s">
        <v>3663</v>
      </c>
      <c r="B1727" s="1">
        <v>41195</v>
      </c>
      <c r="C1727" s="1">
        <v>41240</v>
      </c>
      <c r="D1727" t="s">
        <v>282</v>
      </c>
      <c r="E1727">
        <v>215000</v>
      </c>
      <c r="F1727">
        <v>34400</v>
      </c>
      <c r="G1727">
        <v>0</v>
      </c>
      <c r="H1727">
        <v>0</v>
      </c>
      <c r="I1727">
        <v>73</v>
      </c>
      <c r="J1727">
        <v>249400</v>
      </c>
      <c r="K1727" t="s">
        <v>3246</v>
      </c>
      <c r="L1727" s="1">
        <v>41195</v>
      </c>
      <c r="N1727" t="s">
        <v>36</v>
      </c>
      <c r="O1727" t="s">
        <v>37</v>
      </c>
      <c r="P1727" t="s">
        <v>419</v>
      </c>
      <c r="Q1727" t="s">
        <v>39</v>
      </c>
      <c r="R1727" t="s">
        <v>40</v>
      </c>
      <c r="S1727">
        <v>0</v>
      </c>
      <c r="U1727" t="s">
        <v>41</v>
      </c>
      <c r="V1727" t="s">
        <v>42</v>
      </c>
      <c r="X1727" t="s">
        <v>74</v>
      </c>
      <c r="Y1727" t="b">
        <v>0</v>
      </c>
      <c r="Z1727" t="b">
        <v>0</v>
      </c>
      <c r="AB1727" t="s">
        <v>936</v>
      </c>
      <c r="AC1727" s="1">
        <v>41297</v>
      </c>
      <c r="AF1727">
        <v>0</v>
      </c>
      <c r="AG1727">
        <v>45</v>
      </c>
      <c r="AH1727">
        <v>118</v>
      </c>
      <c r="AI1727" s="2">
        <f>Table__192.168.3.138DYLAgingReport[[#This Row],[NetAmount]]-Table__192.168.3.138DYLAgingReport[[#This Row],[Paid]]</f>
        <v>249400</v>
      </c>
    </row>
    <row r="1728" spans="1:35">
      <c r="A1728" t="s">
        <v>3664</v>
      </c>
      <c r="B1728" s="1">
        <v>41199</v>
      </c>
      <c r="C1728" s="1">
        <v>41244</v>
      </c>
      <c r="D1728" t="s">
        <v>282</v>
      </c>
      <c r="E1728">
        <v>215000</v>
      </c>
      <c r="F1728">
        <v>34400</v>
      </c>
      <c r="G1728">
        <v>0</v>
      </c>
      <c r="H1728">
        <v>0</v>
      </c>
      <c r="I1728">
        <v>69</v>
      </c>
      <c r="J1728">
        <v>249400</v>
      </c>
      <c r="K1728" t="s">
        <v>3583</v>
      </c>
      <c r="L1728" s="1">
        <v>41199</v>
      </c>
      <c r="N1728" t="s">
        <v>36</v>
      </c>
      <c r="O1728" t="s">
        <v>37</v>
      </c>
      <c r="P1728" t="s">
        <v>419</v>
      </c>
      <c r="Q1728" t="s">
        <v>39</v>
      </c>
      <c r="R1728" t="s">
        <v>40</v>
      </c>
      <c r="S1728">
        <v>0</v>
      </c>
      <c r="U1728" t="s">
        <v>41</v>
      </c>
      <c r="V1728" t="s">
        <v>42</v>
      </c>
      <c r="X1728" t="s">
        <v>74</v>
      </c>
      <c r="Y1728" t="b">
        <v>0</v>
      </c>
      <c r="Z1728" t="b">
        <v>0</v>
      </c>
      <c r="AB1728" t="s">
        <v>936</v>
      </c>
      <c r="AC1728" s="1">
        <v>41297</v>
      </c>
      <c r="AF1728">
        <v>0</v>
      </c>
      <c r="AG1728">
        <v>45</v>
      </c>
      <c r="AH1728">
        <v>114</v>
      </c>
      <c r="AI1728" s="2">
        <f>Table__192.168.3.138DYLAgingReport[[#This Row],[NetAmount]]-Table__192.168.3.138DYLAgingReport[[#This Row],[Paid]]</f>
        <v>249400</v>
      </c>
    </row>
    <row r="1729" spans="1:35">
      <c r="A1729" t="s">
        <v>3665</v>
      </c>
      <c r="B1729" s="1">
        <v>41199</v>
      </c>
      <c r="C1729" s="1">
        <v>41244</v>
      </c>
      <c r="D1729" t="s">
        <v>197</v>
      </c>
      <c r="E1729">
        <v>8400</v>
      </c>
      <c r="F1729">
        <v>1344</v>
      </c>
      <c r="G1729">
        <v>0</v>
      </c>
      <c r="H1729">
        <v>0</v>
      </c>
      <c r="I1729">
        <v>64</v>
      </c>
      <c r="J1729">
        <v>9744</v>
      </c>
      <c r="K1729" t="s">
        <v>3666</v>
      </c>
      <c r="L1729" s="1">
        <v>41204</v>
      </c>
      <c r="N1729" t="s">
        <v>36</v>
      </c>
      <c r="O1729" t="s">
        <v>37</v>
      </c>
      <c r="P1729" t="s">
        <v>334</v>
      </c>
      <c r="Q1729" t="s">
        <v>39</v>
      </c>
      <c r="R1729" t="s">
        <v>40</v>
      </c>
      <c r="S1729">
        <v>0</v>
      </c>
      <c r="U1729" t="s">
        <v>41</v>
      </c>
      <c r="V1729" t="s">
        <v>42</v>
      </c>
      <c r="X1729" t="s">
        <v>74</v>
      </c>
      <c r="Y1729" t="b">
        <v>0</v>
      </c>
      <c r="Z1729" t="b">
        <v>0</v>
      </c>
      <c r="AC1729" s="1"/>
      <c r="AF1729">
        <v>0</v>
      </c>
      <c r="AG1729">
        <v>45</v>
      </c>
      <c r="AH1729">
        <v>109</v>
      </c>
      <c r="AI1729" s="2">
        <f>Table__192.168.3.138DYLAgingReport[[#This Row],[NetAmount]]-Table__192.168.3.138DYLAgingReport[[#This Row],[Paid]]</f>
        <v>9744</v>
      </c>
    </row>
    <row r="1730" spans="1:35">
      <c r="A1730" t="s">
        <v>3667</v>
      </c>
      <c r="B1730" s="1">
        <v>41195</v>
      </c>
      <c r="C1730" s="1">
        <v>41240</v>
      </c>
      <c r="D1730" t="s">
        <v>276</v>
      </c>
      <c r="E1730">
        <v>58000</v>
      </c>
      <c r="F1730">
        <v>9280</v>
      </c>
      <c r="G1730">
        <v>0</v>
      </c>
      <c r="H1730">
        <v>0</v>
      </c>
      <c r="I1730">
        <v>73</v>
      </c>
      <c r="J1730">
        <v>67280</v>
      </c>
      <c r="K1730" t="s">
        <v>1094</v>
      </c>
      <c r="L1730" s="1">
        <v>41195</v>
      </c>
      <c r="N1730" t="s">
        <v>36</v>
      </c>
      <c r="O1730" t="s">
        <v>37</v>
      </c>
      <c r="P1730" t="s">
        <v>413</v>
      </c>
      <c r="Q1730" t="s">
        <v>39</v>
      </c>
      <c r="R1730" t="s">
        <v>40</v>
      </c>
      <c r="S1730">
        <v>0</v>
      </c>
      <c r="U1730" t="s">
        <v>41</v>
      </c>
      <c r="V1730" t="s">
        <v>42</v>
      </c>
      <c r="X1730" t="s">
        <v>74</v>
      </c>
      <c r="Y1730" t="b">
        <v>0</v>
      </c>
      <c r="Z1730" t="b">
        <v>0</v>
      </c>
      <c r="AC1730" s="1"/>
      <c r="AF1730">
        <v>0</v>
      </c>
      <c r="AG1730">
        <v>45</v>
      </c>
      <c r="AH1730">
        <v>118</v>
      </c>
      <c r="AI1730" s="2">
        <f>Table__192.168.3.138DYLAgingReport[[#This Row],[NetAmount]]-Table__192.168.3.138DYLAgingReport[[#This Row],[Paid]]</f>
        <v>67280</v>
      </c>
    </row>
    <row r="1731" spans="1:35">
      <c r="A1731" t="s">
        <v>3668</v>
      </c>
      <c r="B1731" s="1">
        <v>41202</v>
      </c>
      <c r="C1731" s="1">
        <v>41247</v>
      </c>
      <c r="D1731" t="s">
        <v>257</v>
      </c>
      <c r="E1731">
        <v>83200</v>
      </c>
      <c r="F1731">
        <v>13312</v>
      </c>
      <c r="G1731">
        <v>0</v>
      </c>
      <c r="H1731">
        <v>0</v>
      </c>
      <c r="I1731">
        <v>66</v>
      </c>
      <c r="J1731">
        <v>96512</v>
      </c>
      <c r="K1731" t="s">
        <v>3600</v>
      </c>
      <c r="L1731" s="1">
        <v>41202</v>
      </c>
      <c r="N1731" t="s">
        <v>36</v>
      </c>
      <c r="O1731" t="s">
        <v>37</v>
      </c>
      <c r="P1731" t="s">
        <v>394</v>
      </c>
      <c r="Q1731" t="s">
        <v>39</v>
      </c>
      <c r="R1731" t="s">
        <v>40</v>
      </c>
      <c r="S1731">
        <v>0</v>
      </c>
      <c r="U1731" t="s">
        <v>41</v>
      </c>
      <c r="V1731" t="s">
        <v>42</v>
      </c>
      <c r="X1731" t="s">
        <v>74</v>
      </c>
      <c r="Y1731" t="b">
        <v>0</v>
      </c>
      <c r="Z1731" t="b">
        <v>0</v>
      </c>
      <c r="AC1731" s="1"/>
      <c r="AF1731">
        <v>0</v>
      </c>
      <c r="AG1731">
        <v>45</v>
      </c>
      <c r="AH1731">
        <v>111</v>
      </c>
      <c r="AI1731" s="2">
        <f>Table__192.168.3.138DYLAgingReport[[#This Row],[NetAmount]]-Table__192.168.3.138DYLAgingReport[[#This Row],[Paid]]</f>
        <v>96512</v>
      </c>
    </row>
    <row r="1732" spans="1:35">
      <c r="A1732" t="s">
        <v>3669</v>
      </c>
      <c r="B1732" s="1">
        <v>41199</v>
      </c>
      <c r="C1732" s="1">
        <v>41244</v>
      </c>
      <c r="D1732" t="s">
        <v>254</v>
      </c>
      <c r="E1732">
        <v>1580000</v>
      </c>
      <c r="F1732">
        <v>252800</v>
      </c>
      <c r="G1732">
        <v>0</v>
      </c>
      <c r="H1732">
        <v>0</v>
      </c>
      <c r="I1732">
        <v>74</v>
      </c>
      <c r="J1732">
        <v>1832800</v>
      </c>
      <c r="K1732" t="s">
        <v>3670</v>
      </c>
      <c r="L1732" s="1">
        <v>41194</v>
      </c>
      <c r="N1732" t="s">
        <v>36</v>
      </c>
      <c r="O1732" t="s">
        <v>37</v>
      </c>
      <c r="P1732" t="s">
        <v>391</v>
      </c>
      <c r="Q1732" t="s">
        <v>39</v>
      </c>
      <c r="R1732" t="s">
        <v>40</v>
      </c>
      <c r="S1732">
        <v>0</v>
      </c>
      <c r="U1732" t="s">
        <v>41</v>
      </c>
      <c r="V1732" t="s">
        <v>42</v>
      </c>
      <c r="X1732" t="s">
        <v>74</v>
      </c>
      <c r="Y1732" t="b">
        <v>0</v>
      </c>
      <c r="Z1732" t="b">
        <v>0</v>
      </c>
      <c r="AB1732" t="s">
        <v>918</v>
      </c>
      <c r="AC1732" s="1">
        <v>41298</v>
      </c>
      <c r="AF1732">
        <v>0</v>
      </c>
      <c r="AG1732">
        <v>45</v>
      </c>
      <c r="AH1732">
        <v>119</v>
      </c>
      <c r="AI1732" s="2">
        <f>Table__192.168.3.138DYLAgingReport[[#This Row],[NetAmount]]-Table__192.168.3.138DYLAgingReport[[#This Row],[Paid]]</f>
        <v>1832800</v>
      </c>
    </row>
    <row r="1733" spans="1:35">
      <c r="A1733" t="s">
        <v>3671</v>
      </c>
      <c r="B1733" s="1">
        <v>41198</v>
      </c>
      <c r="C1733" s="1">
        <v>41243</v>
      </c>
      <c r="D1733" t="s">
        <v>227</v>
      </c>
      <c r="E1733">
        <v>21500</v>
      </c>
      <c r="F1733">
        <v>3440</v>
      </c>
      <c r="G1733">
        <v>0</v>
      </c>
      <c r="H1733">
        <v>0</v>
      </c>
      <c r="I1733">
        <v>70</v>
      </c>
      <c r="J1733">
        <v>24940</v>
      </c>
      <c r="K1733" t="s">
        <v>3672</v>
      </c>
      <c r="L1733" s="1">
        <v>41198</v>
      </c>
      <c r="N1733" t="s">
        <v>36</v>
      </c>
      <c r="O1733" t="s">
        <v>37</v>
      </c>
      <c r="P1733" t="s">
        <v>364</v>
      </c>
      <c r="Q1733" t="s">
        <v>39</v>
      </c>
      <c r="R1733" t="s">
        <v>40</v>
      </c>
      <c r="S1733">
        <v>0</v>
      </c>
      <c r="U1733" t="s">
        <v>41</v>
      </c>
      <c r="V1733" t="s">
        <v>42</v>
      </c>
      <c r="X1733" t="s">
        <v>74</v>
      </c>
      <c r="Y1733" t="b">
        <v>0</v>
      </c>
      <c r="Z1733" t="b">
        <v>0</v>
      </c>
      <c r="AC1733" s="1"/>
      <c r="AF1733">
        <v>0</v>
      </c>
      <c r="AG1733">
        <v>45</v>
      </c>
      <c r="AH1733">
        <v>115</v>
      </c>
      <c r="AI1733" s="2">
        <f>Table__192.168.3.138DYLAgingReport[[#This Row],[NetAmount]]-Table__192.168.3.138DYLAgingReport[[#This Row],[Paid]]</f>
        <v>24940</v>
      </c>
    </row>
    <row r="1734" spans="1:35">
      <c r="A1734" t="s">
        <v>3673</v>
      </c>
      <c r="B1734" s="1">
        <v>41198</v>
      </c>
      <c r="C1734" s="1">
        <v>41243</v>
      </c>
      <c r="D1734" t="s">
        <v>227</v>
      </c>
      <c r="E1734">
        <v>60750</v>
      </c>
      <c r="F1734">
        <v>9720</v>
      </c>
      <c r="G1734">
        <v>0</v>
      </c>
      <c r="H1734">
        <v>0</v>
      </c>
      <c r="I1734">
        <v>70</v>
      </c>
      <c r="J1734">
        <v>70470</v>
      </c>
      <c r="K1734" t="s">
        <v>3674</v>
      </c>
      <c r="L1734" s="1">
        <v>41198</v>
      </c>
      <c r="N1734" t="s">
        <v>36</v>
      </c>
      <c r="O1734" t="s">
        <v>37</v>
      </c>
      <c r="P1734" t="s">
        <v>364</v>
      </c>
      <c r="Q1734" t="s">
        <v>39</v>
      </c>
      <c r="R1734" t="s">
        <v>40</v>
      </c>
      <c r="S1734">
        <v>0</v>
      </c>
      <c r="U1734" t="s">
        <v>41</v>
      </c>
      <c r="V1734" t="s">
        <v>42</v>
      </c>
      <c r="X1734" t="s">
        <v>74</v>
      </c>
      <c r="Y1734" t="b">
        <v>0</v>
      </c>
      <c r="Z1734" t="b">
        <v>0</v>
      </c>
      <c r="AC1734" s="1"/>
      <c r="AF1734">
        <v>0</v>
      </c>
      <c r="AG1734">
        <v>45</v>
      </c>
      <c r="AH1734">
        <v>115</v>
      </c>
      <c r="AI1734" s="2">
        <f>Table__192.168.3.138DYLAgingReport[[#This Row],[NetAmount]]-Table__192.168.3.138DYLAgingReport[[#This Row],[Paid]]</f>
        <v>70470</v>
      </c>
    </row>
    <row r="1735" spans="1:35">
      <c r="A1735" t="s">
        <v>3675</v>
      </c>
      <c r="B1735" s="1">
        <v>41199</v>
      </c>
      <c r="C1735" s="1">
        <v>41244</v>
      </c>
      <c r="D1735" t="s">
        <v>227</v>
      </c>
      <c r="E1735">
        <v>164000</v>
      </c>
      <c r="F1735">
        <v>26240</v>
      </c>
      <c r="G1735">
        <v>0</v>
      </c>
      <c r="H1735">
        <v>0</v>
      </c>
      <c r="I1735">
        <v>69</v>
      </c>
      <c r="J1735">
        <v>190240</v>
      </c>
      <c r="K1735" t="s">
        <v>3676</v>
      </c>
      <c r="L1735" s="1">
        <v>41199</v>
      </c>
      <c r="N1735" t="s">
        <v>36</v>
      </c>
      <c r="O1735" t="s">
        <v>37</v>
      </c>
      <c r="P1735" t="s">
        <v>364</v>
      </c>
      <c r="Q1735" t="s">
        <v>39</v>
      </c>
      <c r="R1735" t="s">
        <v>40</v>
      </c>
      <c r="S1735">
        <v>0</v>
      </c>
      <c r="U1735" t="s">
        <v>41</v>
      </c>
      <c r="V1735" t="s">
        <v>42</v>
      </c>
      <c r="X1735" t="s">
        <v>74</v>
      </c>
      <c r="Y1735" t="b">
        <v>0</v>
      </c>
      <c r="Z1735" t="b">
        <v>0</v>
      </c>
      <c r="AC1735" s="1"/>
      <c r="AF1735">
        <v>0</v>
      </c>
      <c r="AG1735">
        <v>45</v>
      </c>
      <c r="AH1735">
        <v>114</v>
      </c>
      <c r="AI1735" s="2">
        <f>Table__192.168.3.138DYLAgingReport[[#This Row],[NetAmount]]-Table__192.168.3.138DYLAgingReport[[#This Row],[Paid]]</f>
        <v>190240</v>
      </c>
    </row>
    <row r="1736" spans="1:35">
      <c r="A1736" t="s">
        <v>3677</v>
      </c>
      <c r="B1736" s="1">
        <v>41201</v>
      </c>
      <c r="C1736" s="1">
        <v>41246</v>
      </c>
      <c r="D1736" t="s">
        <v>227</v>
      </c>
      <c r="E1736">
        <v>110000</v>
      </c>
      <c r="F1736">
        <v>17600</v>
      </c>
      <c r="G1736">
        <v>0</v>
      </c>
      <c r="H1736">
        <v>0</v>
      </c>
      <c r="I1736">
        <v>68</v>
      </c>
      <c r="J1736">
        <v>127600</v>
      </c>
      <c r="K1736" t="s">
        <v>3678</v>
      </c>
      <c r="L1736" s="1">
        <v>41200</v>
      </c>
      <c r="N1736" t="s">
        <v>36</v>
      </c>
      <c r="O1736" t="s">
        <v>37</v>
      </c>
      <c r="P1736" t="s">
        <v>364</v>
      </c>
      <c r="Q1736" t="s">
        <v>39</v>
      </c>
      <c r="R1736" t="s">
        <v>40</v>
      </c>
      <c r="S1736">
        <v>0</v>
      </c>
      <c r="U1736" t="s">
        <v>41</v>
      </c>
      <c r="V1736" t="s">
        <v>42</v>
      </c>
      <c r="X1736" t="s">
        <v>74</v>
      </c>
      <c r="Y1736" t="b">
        <v>0</v>
      </c>
      <c r="Z1736" t="b">
        <v>0</v>
      </c>
      <c r="AC1736" s="1"/>
      <c r="AF1736">
        <v>0</v>
      </c>
      <c r="AG1736">
        <v>45</v>
      </c>
      <c r="AH1736">
        <v>113</v>
      </c>
      <c r="AI1736" s="2">
        <f>Table__192.168.3.138DYLAgingReport[[#This Row],[NetAmount]]-Table__192.168.3.138DYLAgingReport[[#This Row],[Paid]]</f>
        <v>127600</v>
      </c>
    </row>
    <row r="1737" spans="1:35">
      <c r="A1737" t="s">
        <v>3679</v>
      </c>
      <c r="B1737" s="1">
        <v>41201</v>
      </c>
      <c r="C1737" s="1">
        <v>41246</v>
      </c>
      <c r="D1737" t="s">
        <v>227</v>
      </c>
      <c r="E1737">
        <v>99750</v>
      </c>
      <c r="F1737">
        <v>15960</v>
      </c>
      <c r="G1737">
        <v>0</v>
      </c>
      <c r="H1737">
        <v>0</v>
      </c>
      <c r="I1737">
        <v>67</v>
      </c>
      <c r="J1737">
        <v>115710</v>
      </c>
      <c r="K1737" t="s">
        <v>3680</v>
      </c>
      <c r="L1737" s="1">
        <v>41201</v>
      </c>
      <c r="N1737" t="s">
        <v>36</v>
      </c>
      <c r="O1737" t="s">
        <v>37</v>
      </c>
      <c r="P1737" t="s">
        <v>364</v>
      </c>
      <c r="Q1737" t="s">
        <v>39</v>
      </c>
      <c r="R1737" t="s">
        <v>40</v>
      </c>
      <c r="S1737">
        <v>0</v>
      </c>
      <c r="U1737" t="s">
        <v>41</v>
      </c>
      <c r="V1737" t="s">
        <v>42</v>
      </c>
      <c r="X1737" t="s">
        <v>74</v>
      </c>
      <c r="Y1737" t="b">
        <v>0</v>
      </c>
      <c r="Z1737" t="b">
        <v>0</v>
      </c>
      <c r="AC1737" s="1"/>
      <c r="AF1737">
        <v>0</v>
      </c>
      <c r="AG1737">
        <v>45</v>
      </c>
      <c r="AH1737">
        <v>112</v>
      </c>
      <c r="AI1737" s="2">
        <f>Table__192.168.3.138DYLAgingReport[[#This Row],[NetAmount]]-Table__192.168.3.138DYLAgingReport[[#This Row],[Paid]]</f>
        <v>115710</v>
      </c>
    </row>
    <row r="1738" spans="1:35">
      <c r="A1738" t="s">
        <v>3681</v>
      </c>
      <c r="B1738" s="1">
        <v>41201</v>
      </c>
      <c r="C1738" s="1">
        <v>41246</v>
      </c>
      <c r="D1738" t="s">
        <v>227</v>
      </c>
      <c r="E1738">
        <v>110000</v>
      </c>
      <c r="F1738">
        <v>17600</v>
      </c>
      <c r="G1738">
        <v>0</v>
      </c>
      <c r="H1738">
        <v>0</v>
      </c>
      <c r="I1738">
        <v>67</v>
      </c>
      <c r="J1738">
        <v>127600</v>
      </c>
      <c r="K1738" t="s">
        <v>3682</v>
      </c>
      <c r="L1738" s="1">
        <v>41201</v>
      </c>
      <c r="N1738" t="s">
        <v>36</v>
      </c>
      <c r="O1738" t="s">
        <v>37</v>
      </c>
      <c r="P1738" t="s">
        <v>364</v>
      </c>
      <c r="Q1738" t="s">
        <v>39</v>
      </c>
      <c r="R1738" t="s">
        <v>40</v>
      </c>
      <c r="S1738">
        <v>0</v>
      </c>
      <c r="U1738" t="s">
        <v>41</v>
      </c>
      <c r="V1738" t="s">
        <v>42</v>
      </c>
      <c r="X1738" t="s">
        <v>74</v>
      </c>
      <c r="Y1738" t="b">
        <v>0</v>
      </c>
      <c r="Z1738" t="b">
        <v>0</v>
      </c>
      <c r="AC1738" s="1"/>
      <c r="AF1738">
        <v>0</v>
      </c>
      <c r="AG1738">
        <v>45</v>
      </c>
      <c r="AH1738">
        <v>112</v>
      </c>
      <c r="AI1738" s="2">
        <f>Table__192.168.3.138DYLAgingReport[[#This Row],[NetAmount]]-Table__192.168.3.138DYLAgingReport[[#This Row],[Paid]]</f>
        <v>127600</v>
      </c>
    </row>
    <row r="1739" spans="1:35">
      <c r="A1739" t="s">
        <v>3683</v>
      </c>
      <c r="B1739" s="1">
        <v>41202</v>
      </c>
      <c r="C1739" s="1">
        <v>41247</v>
      </c>
      <c r="D1739" t="s">
        <v>227</v>
      </c>
      <c r="E1739">
        <v>105000</v>
      </c>
      <c r="F1739">
        <v>16800</v>
      </c>
      <c r="G1739">
        <v>0</v>
      </c>
      <c r="H1739">
        <v>0</v>
      </c>
      <c r="I1739">
        <v>66</v>
      </c>
      <c r="J1739">
        <v>121800</v>
      </c>
      <c r="K1739" t="s">
        <v>3684</v>
      </c>
      <c r="L1739" s="1">
        <v>41202</v>
      </c>
      <c r="N1739" t="s">
        <v>36</v>
      </c>
      <c r="O1739" t="s">
        <v>37</v>
      </c>
      <c r="P1739" t="s">
        <v>364</v>
      </c>
      <c r="Q1739" t="s">
        <v>39</v>
      </c>
      <c r="R1739" t="s">
        <v>40</v>
      </c>
      <c r="S1739">
        <v>0</v>
      </c>
      <c r="U1739" t="s">
        <v>41</v>
      </c>
      <c r="V1739" t="s">
        <v>42</v>
      </c>
      <c r="X1739" t="s">
        <v>74</v>
      </c>
      <c r="Y1739" t="b">
        <v>0</v>
      </c>
      <c r="Z1739" t="b">
        <v>0</v>
      </c>
      <c r="AC1739" s="1"/>
      <c r="AF1739">
        <v>0</v>
      </c>
      <c r="AG1739">
        <v>45</v>
      </c>
      <c r="AH1739">
        <v>111</v>
      </c>
      <c r="AI1739" s="2">
        <f>Table__192.168.3.138DYLAgingReport[[#This Row],[NetAmount]]-Table__192.168.3.138DYLAgingReport[[#This Row],[Paid]]</f>
        <v>121800</v>
      </c>
    </row>
    <row r="1740" spans="1:35">
      <c r="A1740" t="s">
        <v>3685</v>
      </c>
      <c r="B1740" s="1">
        <v>41204</v>
      </c>
      <c r="C1740" s="1">
        <v>41249</v>
      </c>
      <c r="D1740" t="s">
        <v>227</v>
      </c>
      <c r="E1740">
        <v>258000</v>
      </c>
      <c r="F1740">
        <v>41280</v>
      </c>
      <c r="G1740">
        <v>0</v>
      </c>
      <c r="H1740">
        <v>0</v>
      </c>
      <c r="I1740">
        <v>64</v>
      </c>
      <c r="J1740">
        <v>299280</v>
      </c>
      <c r="K1740" t="s">
        <v>3686</v>
      </c>
      <c r="L1740" s="1">
        <v>41204</v>
      </c>
      <c r="N1740" t="s">
        <v>36</v>
      </c>
      <c r="O1740" t="s">
        <v>37</v>
      </c>
      <c r="P1740" t="s">
        <v>364</v>
      </c>
      <c r="Q1740" t="s">
        <v>39</v>
      </c>
      <c r="R1740" t="s">
        <v>40</v>
      </c>
      <c r="S1740">
        <v>0</v>
      </c>
      <c r="U1740" t="s">
        <v>41</v>
      </c>
      <c r="V1740" t="s">
        <v>42</v>
      </c>
      <c r="X1740" t="s">
        <v>74</v>
      </c>
      <c r="Y1740" t="b">
        <v>0</v>
      </c>
      <c r="Z1740" t="b">
        <v>0</v>
      </c>
      <c r="AC1740" s="1"/>
      <c r="AF1740">
        <v>0</v>
      </c>
      <c r="AG1740">
        <v>45</v>
      </c>
      <c r="AH1740">
        <v>109</v>
      </c>
      <c r="AI1740" s="2">
        <f>Table__192.168.3.138DYLAgingReport[[#This Row],[NetAmount]]-Table__192.168.3.138DYLAgingReport[[#This Row],[Paid]]</f>
        <v>299280</v>
      </c>
    </row>
    <row r="1741" spans="1:35">
      <c r="A1741" t="s">
        <v>3687</v>
      </c>
      <c r="B1741" s="1">
        <v>41204</v>
      </c>
      <c r="C1741" s="1">
        <v>41204</v>
      </c>
      <c r="D1741" t="s">
        <v>293</v>
      </c>
      <c r="E1741">
        <v>340000</v>
      </c>
      <c r="F1741">
        <v>54400</v>
      </c>
      <c r="G1741">
        <v>0</v>
      </c>
      <c r="H1741">
        <v>0</v>
      </c>
      <c r="I1741">
        <v>67</v>
      </c>
      <c r="J1741">
        <v>394400</v>
      </c>
      <c r="K1741" t="s">
        <v>3688</v>
      </c>
      <c r="L1741" s="1">
        <v>41201</v>
      </c>
      <c r="N1741" t="s">
        <v>36</v>
      </c>
      <c r="O1741" t="s">
        <v>37</v>
      </c>
      <c r="P1741" t="s">
        <v>430</v>
      </c>
      <c r="Q1741" t="s">
        <v>39</v>
      </c>
      <c r="R1741" t="s">
        <v>40</v>
      </c>
      <c r="S1741">
        <v>0</v>
      </c>
      <c r="U1741" t="s">
        <v>41</v>
      </c>
      <c r="V1741" t="s">
        <v>42</v>
      </c>
      <c r="X1741" t="s">
        <v>74</v>
      </c>
      <c r="Y1741" t="b">
        <v>0</v>
      </c>
      <c r="Z1741" t="b">
        <v>0</v>
      </c>
      <c r="AB1741" t="s">
        <v>3689</v>
      </c>
      <c r="AC1741" s="1">
        <v>41283</v>
      </c>
      <c r="AD1741" t="s">
        <v>3690</v>
      </c>
      <c r="AE1741" t="s">
        <v>3146</v>
      </c>
      <c r="AF1741">
        <v>98025</v>
      </c>
      <c r="AG1741">
        <v>45</v>
      </c>
      <c r="AH1741">
        <v>112</v>
      </c>
      <c r="AI1741" s="2">
        <f>Table__192.168.3.138DYLAgingReport[[#This Row],[NetAmount]]-Table__192.168.3.138DYLAgingReport[[#This Row],[Paid]]</f>
        <v>296375</v>
      </c>
    </row>
    <row r="1742" spans="1:35">
      <c r="A1742" t="s">
        <v>3691</v>
      </c>
      <c r="B1742" s="1">
        <v>41190</v>
      </c>
      <c r="C1742" s="1">
        <v>41235</v>
      </c>
      <c r="D1742" t="s">
        <v>224</v>
      </c>
      <c r="E1742">
        <v>118279</v>
      </c>
      <c r="F1742">
        <v>18924</v>
      </c>
      <c r="G1742">
        <v>0</v>
      </c>
      <c r="H1742">
        <v>0</v>
      </c>
      <c r="I1742">
        <v>80</v>
      </c>
      <c r="J1742">
        <v>137203</v>
      </c>
      <c r="K1742" t="s">
        <v>3692</v>
      </c>
      <c r="L1742" s="1">
        <v>41188</v>
      </c>
      <c r="N1742" t="s">
        <v>36</v>
      </c>
      <c r="O1742" t="s">
        <v>37</v>
      </c>
      <c r="P1742" t="s">
        <v>361</v>
      </c>
      <c r="Q1742" t="s">
        <v>39</v>
      </c>
      <c r="R1742" t="s">
        <v>40</v>
      </c>
      <c r="S1742">
        <v>0</v>
      </c>
      <c r="U1742" t="s">
        <v>41</v>
      </c>
      <c r="V1742" t="s">
        <v>42</v>
      </c>
      <c r="X1742" t="s">
        <v>74</v>
      </c>
      <c r="Y1742" t="b">
        <v>0</v>
      </c>
      <c r="Z1742" t="b">
        <v>0</v>
      </c>
      <c r="AC1742" s="1"/>
      <c r="AF1742">
        <v>0</v>
      </c>
      <c r="AG1742">
        <v>45</v>
      </c>
      <c r="AH1742">
        <v>125</v>
      </c>
      <c r="AI1742" s="2">
        <f>Table__192.168.3.138DYLAgingReport[[#This Row],[NetAmount]]-Table__192.168.3.138DYLAgingReport[[#This Row],[Paid]]</f>
        <v>137203</v>
      </c>
    </row>
    <row r="1743" spans="1:35">
      <c r="A1743" t="s">
        <v>3693</v>
      </c>
      <c r="B1743" s="1">
        <v>41195</v>
      </c>
      <c r="C1743" s="1">
        <v>41240</v>
      </c>
      <c r="D1743" t="s">
        <v>232</v>
      </c>
      <c r="E1743">
        <v>130750</v>
      </c>
      <c r="F1743">
        <v>20920</v>
      </c>
      <c r="G1743">
        <v>0</v>
      </c>
      <c r="H1743">
        <v>0</v>
      </c>
      <c r="I1743">
        <v>73</v>
      </c>
      <c r="J1743">
        <v>151670</v>
      </c>
      <c r="K1743" t="s">
        <v>3694</v>
      </c>
      <c r="L1743" s="1">
        <v>41195</v>
      </c>
      <c r="N1743" t="s">
        <v>36</v>
      </c>
      <c r="O1743" t="s">
        <v>37</v>
      </c>
      <c r="P1743" t="s">
        <v>369</v>
      </c>
      <c r="Q1743" t="s">
        <v>39</v>
      </c>
      <c r="R1743" t="s">
        <v>40</v>
      </c>
      <c r="S1743">
        <v>0</v>
      </c>
      <c r="U1743" t="s">
        <v>41</v>
      </c>
      <c r="V1743" t="s">
        <v>42</v>
      </c>
      <c r="X1743" t="s">
        <v>74</v>
      </c>
      <c r="Y1743" t="b">
        <v>0</v>
      </c>
      <c r="Z1743" t="b">
        <v>0</v>
      </c>
      <c r="AC1743" s="1"/>
      <c r="AF1743">
        <v>0</v>
      </c>
      <c r="AG1743">
        <v>45</v>
      </c>
      <c r="AH1743">
        <v>118</v>
      </c>
      <c r="AI1743" s="2">
        <f>Table__192.168.3.138DYLAgingReport[[#This Row],[NetAmount]]-Table__192.168.3.138DYLAgingReport[[#This Row],[Paid]]</f>
        <v>151670</v>
      </c>
    </row>
    <row r="1744" spans="1:35">
      <c r="A1744" t="s">
        <v>3695</v>
      </c>
      <c r="B1744" s="1">
        <v>41202</v>
      </c>
      <c r="C1744" s="1">
        <v>41247</v>
      </c>
      <c r="D1744" t="s">
        <v>183</v>
      </c>
      <c r="E1744">
        <v>61950</v>
      </c>
      <c r="F1744">
        <v>9912</v>
      </c>
      <c r="G1744">
        <v>0</v>
      </c>
      <c r="H1744">
        <v>0</v>
      </c>
      <c r="I1744">
        <v>66</v>
      </c>
      <c r="J1744">
        <v>71862</v>
      </c>
      <c r="K1744" t="s">
        <v>3696</v>
      </c>
      <c r="L1744" s="1">
        <v>41202</v>
      </c>
      <c r="N1744" t="s">
        <v>36</v>
      </c>
      <c r="O1744" t="s">
        <v>37</v>
      </c>
      <c r="P1744" t="s">
        <v>320</v>
      </c>
      <c r="Q1744" t="s">
        <v>39</v>
      </c>
      <c r="R1744" t="s">
        <v>40</v>
      </c>
      <c r="S1744">
        <v>0</v>
      </c>
      <c r="U1744" t="s">
        <v>41</v>
      </c>
      <c r="V1744" t="s">
        <v>42</v>
      </c>
      <c r="X1744" t="s">
        <v>74</v>
      </c>
      <c r="Y1744" t="b">
        <v>0</v>
      </c>
      <c r="Z1744" t="b">
        <v>0</v>
      </c>
      <c r="AC1744" s="1"/>
      <c r="AF1744">
        <v>0</v>
      </c>
      <c r="AG1744">
        <v>45</v>
      </c>
      <c r="AH1744">
        <v>111</v>
      </c>
      <c r="AI1744" s="2">
        <f>Table__192.168.3.138DYLAgingReport[[#This Row],[NetAmount]]-Table__192.168.3.138DYLAgingReport[[#This Row],[Paid]]</f>
        <v>71862</v>
      </c>
    </row>
    <row r="1745" spans="1:35">
      <c r="A1745" t="s">
        <v>3697</v>
      </c>
      <c r="B1745" s="1">
        <v>41191</v>
      </c>
      <c r="C1745" s="1">
        <v>41236</v>
      </c>
      <c r="D1745" t="s">
        <v>220</v>
      </c>
      <c r="E1745">
        <v>52371</v>
      </c>
      <c r="F1745">
        <v>8379</v>
      </c>
      <c r="G1745">
        <v>0</v>
      </c>
      <c r="H1745">
        <v>0</v>
      </c>
      <c r="I1745">
        <v>70</v>
      </c>
      <c r="J1745">
        <v>60750</v>
      </c>
      <c r="K1745" t="s">
        <v>1126</v>
      </c>
      <c r="L1745" s="1">
        <v>41198</v>
      </c>
      <c r="N1745" t="s">
        <v>36</v>
      </c>
      <c r="O1745" t="s">
        <v>37</v>
      </c>
      <c r="P1745" t="s">
        <v>357</v>
      </c>
      <c r="Q1745" t="s">
        <v>39</v>
      </c>
      <c r="R1745" t="s">
        <v>40</v>
      </c>
      <c r="S1745">
        <v>0</v>
      </c>
      <c r="U1745" t="s">
        <v>41</v>
      </c>
      <c r="V1745" t="s">
        <v>42</v>
      </c>
      <c r="X1745" t="s">
        <v>74</v>
      </c>
      <c r="Y1745" t="b">
        <v>0</v>
      </c>
      <c r="Z1745" t="b">
        <v>0</v>
      </c>
      <c r="AC1745" s="1"/>
      <c r="AF1745">
        <v>0</v>
      </c>
      <c r="AG1745">
        <v>45</v>
      </c>
      <c r="AH1745">
        <v>115</v>
      </c>
      <c r="AI1745" s="2">
        <f>Table__192.168.3.138DYLAgingReport[[#This Row],[NetAmount]]-Table__192.168.3.138DYLAgingReport[[#This Row],[Paid]]</f>
        <v>60750</v>
      </c>
    </row>
    <row r="1746" spans="1:35">
      <c r="A1746" t="s">
        <v>3698</v>
      </c>
      <c r="B1746" s="1">
        <v>41198</v>
      </c>
      <c r="C1746" s="1">
        <v>41243</v>
      </c>
      <c r="D1746" t="s">
        <v>220</v>
      </c>
      <c r="E1746">
        <v>130000</v>
      </c>
      <c r="F1746">
        <v>20800</v>
      </c>
      <c r="G1746">
        <v>0</v>
      </c>
      <c r="H1746">
        <v>0</v>
      </c>
      <c r="I1746">
        <v>70</v>
      </c>
      <c r="J1746">
        <v>150800</v>
      </c>
      <c r="K1746" t="s">
        <v>3699</v>
      </c>
      <c r="L1746" s="1">
        <v>41198</v>
      </c>
      <c r="N1746" t="s">
        <v>36</v>
      </c>
      <c r="O1746" t="s">
        <v>37</v>
      </c>
      <c r="P1746" t="s">
        <v>357</v>
      </c>
      <c r="Q1746" t="s">
        <v>39</v>
      </c>
      <c r="R1746" t="s">
        <v>40</v>
      </c>
      <c r="S1746">
        <v>0</v>
      </c>
      <c r="U1746" t="s">
        <v>41</v>
      </c>
      <c r="V1746" t="s">
        <v>42</v>
      </c>
      <c r="X1746" t="s">
        <v>74</v>
      </c>
      <c r="Y1746" t="b">
        <v>0</v>
      </c>
      <c r="Z1746" t="b">
        <v>0</v>
      </c>
      <c r="AC1746" s="1"/>
      <c r="AF1746">
        <v>0</v>
      </c>
      <c r="AG1746">
        <v>45</v>
      </c>
      <c r="AH1746">
        <v>115</v>
      </c>
      <c r="AI1746" s="2">
        <f>Table__192.168.3.138DYLAgingReport[[#This Row],[NetAmount]]-Table__192.168.3.138DYLAgingReport[[#This Row],[Paid]]</f>
        <v>150800</v>
      </c>
    </row>
    <row r="1747" spans="1:35">
      <c r="A1747" t="s">
        <v>3700</v>
      </c>
      <c r="B1747" s="1">
        <v>41201</v>
      </c>
      <c r="C1747" s="1">
        <v>41246</v>
      </c>
      <c r="D1747" t="s">
        <v>220</v>
      </c>
      <c r="E1747">
        <v>197650</v>
      </c>
      <c r="F1747">
        <v>31624</v>
      </c>
      <c r="G1747">
        <v>0</v>
      </c>
      <c r="H1747">
        <v>0</v>
      </c>
      <c r="I1747">
        <v>68</v>
      </c>
      <c r="J1747">
        <v>229274</v>
      </c>
      <c r="K1747" t="s">
        <v>3701</v>
      </c>
      <c r="L1747" s="1">
        <v>41200</v>
      </c>
      <c r="N1747" t="s">
        <v>36</v>
      </c>
      <c r="O1747" t="s">
        <v>37</v>
      </c>
      <c r="P1747" t="s">
        <v>357</v>
      </c>
      <c r="Q1747" t="s">
        <v>39</v>
      </c>
      <c r="R1747" t="s">
        <v>40</v>
      </c>
      <c r="S1747">
        <v>0</v>
      </c>
      <c r="U1747" t="s">
        <v>41</v>
      </c>
      <c r="V1747" t="s">
        <v>42</v>
      </c>
      <c r="X1747" t="s">
        <v>74</v>
      </c>
      <c r="Y1747" t="b">
        <v>0</v>
      </c>
      <c r="Z1747" t="b">
        <v>0</v>
      </c>
      <c r="AC1747" s="1"/>
      <c r="AF1747">
        <v>0</v>
      </c>
      <c r="AG1747">
        <v>45</v>
      </c>
      <c r="AH1747">
        <v>113</v>
      </c>
      <c r="AI1747" s="2">
        <f>Table__192.168.3.138DYLAgingReport[[#This Row],[NetAmount]]-Table__192.168.3.138DYLAgingReport[[#This Row],[Paid]]</f>
        <v>229274</v>
      </c>
    </row>
    <row r="1748" spans="1:35">
      <c r="A1748" t="s">
        <v>3702</v>
      </c>
      <c r="B1748" s="1">
        <v>41197</v>
      </c>
      <c r="C1748" s="1">
        <v>41242</v>
      </c>
      <c r="D1748" t="s">
        <v>168</v>
      </c>
      <c r="E1748">
        <v>630000</v>
      </c>
      <c r="F1748">
        <v>100800</v>
      </c>
      <c r="G1748">
        <v>0</v>
      </c>
      <c r="H1748">
        <v>0</v>
      </c>
      <c r="I1748">
        <v>71</v>
      </c>
      <c r="J1748">
        <v>730800</v>
      </c>
      <c r="K1748" t="s">
        <v>1155</v>
      </c>
      <c r="L1748" s="1">
        <v>41197</v>
      </c>
      <c r="N1748" t="s">
        <v>36</v>
      </c>
      <c r="O1748" t="s">
        <v>37</v>
      </c>
      <c r="P1748" t="s">
        <v>305</v>
      </c>
      <c r="Q1748" t="s">
        <v>39</v>
      </c>
      <c r="R1748" t="s">
        <v>40</v>
      </c>
      <c r="S1748">
        <v>0</v>
      </c>
      <c r="U1748" t="s">
        <v>41</v>
      </c>
      <c r="V1748" t="s">
        <v>42</v>
      </c>
      <c r="X1748" t="s">
        <v>74</v>
      </c>
      <c r="Y1748" t="b">
        <v>0</v>
      </c>
      <c r="Z1748" t="b">
        <v>0</v>
      </c>
      <c r="AB1748" t="s">
        <v>961</v>
      </c>
      <c r="AC1748" s="1">
        <v>41291</v>
      </c>
      <c r="AE1748" t="s">
        <v>962</v>
      </c>
      <c r="AF1748">
        <v>0</v>
      </c>
      <c r="AG1748">
        <v>45</v>
      </c>
      <c r="AH1748">
        <v>116</v>
      </c>
      <c r="AI1748" s="2">
        <f>Table__192.168.3.138DYLAgingReport[[#This Row],[NetAmount]]-Table__192.168.3.138DYLAgingReport[[#This Row],[Paid]]</f>
        <v>730800</v>
      </c>
    </row>
    <row r="1749" spans="1:35">
      <c r="A1749" t="s">
        <v>3703</v>
      </c>
      <c r="B1749" s="1">
        <v>41199</v>
      </c>
      <c r="C1749" s="1">
        <v>41244</v>
      </c>
      <c r="D1749" t="s">
        <v>180</v>
      </c>
      <c r="E1749">
        <v>86520</v>
      </c>
      <c r="F1749">
        <v>13843</v>
      </c>
      <c r="G1749">
        <v>0</v>
      </c>
      <c r="H1749">
        <v>0</v>
      </c>
      <c r="I1749">
        <v>71</v>
      </c>
      <c r="J1749">
        <v>100363</v>
      </c>
      <c r="K1749" t="s">
        <v>3704</v>
      </c>
      <c r="L1749" s="1">
        <v>41197</v>
      </c>
      <c r="N1749" t="s">
        <v>36</v>
      </c>
      <c r="O1749" t="s">
        <v>37</v>
      </c>
      <c r="P1749" t="s">
        <v>317</v>
      </c>
      <c r="Q1749" t="s">
        <v>39</v>
      </c>
      <c r="R1749" t="s">
        <v>40</v>
      </c>
      <c r="S1749">
        <v>0</v>
      </c>
      <c r="U1749" t="s">
        <v>41</v>
      </c>
      <c r="V1749" t="s">
        <v>42</v>
      </c>
      <c r="X1749" t="s">
        <v>74</v>
      </c>
      <c r="Y1749" t="b">
        <v>0</v>
      </c>
      <c r="Z1749" t="b">
        <v>0</v>
      </c>
      <c r="AB1749" t="s">
        <v>797</v>
      </c>
      <c r="AC1749" s="1">
        <v>41305</v>
      </c>
      <c r="AE1749" t="s">
        <v>798</v>
      </c>
      <c r="AF1749">
        <v>0</v>
      </c>
      <c r="AG1749">
        <v>45</v>
      </c>
      <c r="AH1749">
        <v>116</v>
      </c>
      <c r="AI1749" s="2">
        <f>Table__192.168.3.138DYLAgingReport[[#This Row],[NetAmount]]-Table__192.168.3.138DYLAgingReport[[#This Row],[Paid]]</f>
        <v>100363</v>
      </c>
    </row>
    <row r="1750" spans="1:35">
      <c r="A1750" t="s">
        <v>3705</v>
      </c>
      <c r="B1750" s="1">
        <v>41200</v>
      </c>
      <c r="C1750" s="1">
        <v>41245</v>
      </c>
      <c r="D1750" t="s">
        <v>285</v>
      </c>
      <c r="E1750">
        <v>1305000</v>
      </c>
      <c r="F1750">
        <v>208800</v>
      </c>
      <c r="G1750">
        <v>0</v>
      </c>
      <c r="H1750">
        <v>0</v>
      </c>
      <c r="I1750">
        <v>78</v>
      </c>
      <c r="J1750">
        <v>1513800</v>
      </c>
      <c r="K1750" t="s">
        <v>3706</v>
      </c>
      <c r="L1750" s="1">
        <v>41205</v>
      </c>
      <c r="N1750" t="s">
        <v>36</v>
      </c>
      <c r="O1750" t="s">
        <v>37</v>
      </c>
      <c r="P1750" t="s">
        <v>422</v>
      </c>
      <c r="Q1750" t="s">
        <v>39</v>
      </c>
      <c r="R1750" t="s">
        <v>40</v>
      </c>
      <c r="S1750">
        <v>0</v>
      </c>
      <c r="U1750" t="s">
        <v>41</v>
      </c>
      <c r="V1750" t="s">
        <v>42</v>
      </c>
      <c r="X1750" t="s">
        <v>74</v>
      </c>
      <c r="Y1750" t="b">
        <v>0</v>
      </c>
      <c r="Z1750" t="b">
        <v>0</v>
      </c>
      <c r="AB1750" t="s">
        <v>954</v>
      </c>
      <c r="AC1750" s="1">
        <v>41279</v>
      </c>
      <c r="AD1750" t="s">
        <v>5365</v>
      </c>
      <c r="AE1750" t="s">
        <v>955</v>
      </c>
      <c r="AF1750">
        <v>804510</v>
      </c>
      <c r="AG1750">
        <v>30</v>
      </c>
      <c r="AH1750">
        <v>108</v>
      </c>
      <c r="AI1750" s="2">
        <f>Table__192.168.3.138DYLAgingReport[[#This Row],[NetAmount]]-Table__192.168.3.138DYLAgingReport[[#This Row],[Paid]]</f>
        <v>709290</v>
      </c>
    </row>
    <row r="1751" spans="1:35">
      <c r="A1751" t="s">
        <v>3707</v>
      </c>
      <c r="B1751" s="1">
        <v>41204</v>
      </c>
      <c r="C1751" s="1">
        <v>41249</v>
      </c>
      <c r="D1751" t="s">
        <v>206</v>
      </c>
      <c r="E1751">
        <v>312375</v>
      </c>
      <c r="F1751">
        <v>49980</v>
      </c>
      <c r="G1751">
        <v>0</v>
      </c>
      <c r="H1751">
        <v>0</v>
      </c>
      <c r="I1751">
        <v>61</v>
      </c>
      <c r="J1751">
        <v>362355</v>
      </c>
      <c r="K1751" t="s">
        <v>3708</v>
      </c>
      <c r="L1751" s="1">
        <v>41207</v>
      </c>
      <c r="N1751" t="s">
        <v>36</v>
      </c>
      <c r="O1751" t="s">
        <v>37</v>
      </c>
      <c r="P1751" t="s">
        <v>343</v>
      </c>
      <c r="Q1751" t="s">
        <v>39</v>
      </c>
      <c r="R1751" t="s">
        <v>40</v>
      </c>
      <c r="S1751">
        <v>0</v>
      </c>
      <c r="U1751" t="s">
        <v>41</v>
      </c>
      <c r="V1751" t="s">
        <v>42</v>
      </c>
      <c r="X1751" t="s">
        <v>74</v>
      </c>
      <c r="Y1751" t="b">
        <v>0</v>
      </c>
      <c r="Z1751" t="b">
        <v>0</v>
      </c>
      <c r="AB1751" t="s">
        <v>3709</v>
      </c>
      <c r="AC1751" s="1">
        <v>41304</v>
      </c>
      <c r="AF1751">
        <v>0</v>
      </c>
      <c r="AG1751">
        <v>45</v>
      </c>
      <c r="AH1751">
        <v>106</v>
      </c>
      <c r="AI1751" s="2">
        <f>Table__192.168.3.138DYLAgingReport[[#This Row],[NetAmount]]-Table__192.168.3.138DYLAgingReport[[#This Row],[Paid]]</f>
        <v>362355</v>
      </c>
    </row>
    <row r="1752" spans="1:35">
      <c r="A1752" t="s">
        <v>3710</v>
      </c>
      <c r="B1752" s="1">
        <v>41204</v>
      </c>
      <c r="C1752" s="1">
        <v>41249</v>
      </c>
      <c r="D1752" t="s">
        <v>270</v>
      </c>
      <c r="E1752">
        <v>44000</v>
      </c>
      <c r="F1752">
        <v>7040</v>
      </c>
      <c r="G1752">
        <v>0</v>
      </c>
      <c r="H1752">
        <v>0</v>
      </c>
      <c r="I1752">
        <v>79</v>
      </c>
      <c r="J1752">
        <v>51040</v>
      </c>
      <c r="K1752" t="s">
        <v>3711</v>
      </c>
      <c r="L1752" s="1">
        <v>41204</v>
      </c>
      <c r="N1752" t="s">
        <v>36</v>
      </c>
      <c r="O1752" t="s">
        <v>37</v>
      </c>
      <c r="P1752" t="s">
        <v>407</v>
      </c>
      <c r="Q1752" t="s">
        <v>39</v>
      </c>
      <c r="R1752" t="s">
        <v>40</v>
      </c>
      <c r="S1752">
        <v>0</v>
      </c>
      <c r="U1752" t="s">
        <v>41</v>
      </c>
      <c r="V1752" t="s">
        <v>42</v>
      </c>
      <c r="X1752" t="s">
        <v>74</v>
      </c>
      <c r="Y1752" t="b">
        <v>0</v>
      </c>
      <c r="Z1752" t="b">
        <v>0</v>
      </c>
      <c r="AC1752" s="1"/>
      <c r="AF1752">
        <v>0</v>
      </c>
      <c r="AG1752">
        <v>30</v>
      </c>
      <c r="AH1752">
        <v>109</v>
      </c>
      <c r="AI1752" s="2">
        <f>Table__192.168.3.138DYLAgingReport[[#This Row],[NetAmount]]-Table__192.168.3.138DYLAgingReport[[#This Row],[Paid]]</f>
        <v>51040</v>
      </c>
    </row>
    <row r="1753" spans="1:35">
      <c r="A1753" t="s">
        <v>3712</v>
      </c>
      <c r="B1753" s="1">
        <v>41202</v>
      </c>
      <c r="C1753" s="1">
        <v>41247</v>
      </c>
      <c r="D1753" t="s">
        <v>270</v>
      </c>
      <c r="E1753">
        <v>35200</v>
      </c>
      <c r="F1753">
        <v>5632</v>
      </c>
      <c r="G1753">
        <v>0</v>
      </c>
      <c r="H1753">
        <v>0</v>
      </c>
      <c r="I1753">
        <v>81</v>
      </c>
      <c r="J1753">
        <v>40832</v>
      </c>
      <c r="K1753" t="s">
        <v>3713</v>
      </c>
      <c r="L1753" s="1">
        <v>41202</v>
      </c>
      <c r="N1753" t="s">
        <v>36</v>
      </c>
      <c r="O1753" t="s">
        <v>37</v>
      </c>
      <c r="P1753" t="s">
        <v>407</v>
      </c>
      <c r="Q1753" t="s">
        <v>39</v>
      </c>
      <c r="R1753" t="s">
        <v>40</v>
      </c>
      <c r="S1753">
        <v>0</v>
      </c>
      <c r="U1753" t="s">
        <v>41</v>
      </c>
      <c r="V1753" t="s">
        <v>42</v>
      </c>
      <c r="X1753" t="s">
        <v>74</v>
      </c>
      <c r="Y1753" t="b">
        <v>0</v>
      </c>
      <c r="Z1753" t="b">
        <v>0</v>
      </c>
      <c r="AC1753" s="1"/>
      <c r="AF1753">
        <v>0</v>
      </c>
      <c r="AG1753">
        <v>30</v>
      </c>
      <c r="AH1753">
        <v>111</v>
      </c>
      <c r="AI1753" s="2">
        <f>Table__192.168.3.138DYLAgingReport[[#This Row],[NetAmount]]-Table__192.168.3.138DYLAgingReport[[#This Row],[Paid]]</f>
        <v>40832</v>
      </c>
    </row>
    <row r="1754" spans="1:35">
      <c r="A1754" t="s">
        <v>3714</v>
      </c>
      <c r="B1754" s="1">
        <v>41201</v>
      </c>
      <c r="C1754" s="1">
        <v>41246</v>
      </c>
      <c r="D1754" t="s">
        <v>270</v>
      </c>
      <c r="E1754">
        <v>36300</v>
      </c>
      <c r="F1754">
        <v>5808</v>
      </c>
      <c r="G1754">
        <v>0</v>
      </c>
      <c r="H1754">
        <v>0</v>
      </c>
      <c r="I1754">
        <v>82</v>
      </c>
      <c r="J1754">
        <v>42108</v>
      </c>
      <c r="K1754" t="s">
        <v>3715</v>
      </c>
      <c r="L1754" s="1">
        <v>41201</v>
      </c>
      <c r="N1754" t="s">
        <v>36</v>
      </c>
      <c r="O1754" t="s">
        <v>37</v>
      </c>
      <c r="P1754" t="s">
        <v>407</v>
      </c>
      <c r="Q1754" t="s">
        <v>39</v>
      </c>
      <c r="R1754" t="s">
        <v>40</v>
      </c>
      <c r="S1754">
        <v>0</v>
      </c>
      <c r="U1754" t="s">
        <v>41</v>
      </c>
      <c r="V1754" t="s">
        <v>42</v>
      </c>
      <c r="X1754" t="s">
        <v>74</v>
      </c>
      <c r="Y1754" t="b">
        <v>0</v>
      </c>
      <c r="Z1754" t="b">
        <v>0</v>
      </c>
      <c r="AC1754" s="1"/>
      <c r="AF1754">
        <v>0</v>
      </c>
      <c r="AG1754">
        <v>30</v>
      </c>
      <c r="AH1754">
        <v>112</v>
      </c>
      <c r="AI1754" s="2">
        <f>Table__192.168.3.138DYLAgingReport[[#This Row],[NetAmount]]-Table__192.168.3.138DYLAgingReport[[#This Row],[Paid]]</f>
        <v>42108</v>
      </c>
    </row>
    <row r="1755" spans="1:35">
      <c r="A1755" t="s">
        <v>3716</v>
      </c>
      <c r="B1755" s="1">
        <v>41195</v>
      </c>
      <c r="C1755" s="1">
        <v>41240</v>
      </c>
      <c r="D1755" t="s">
        <v>242</v>
      </c>
      <c r="E1755">
        <v>83888</v>
      </c>
      <c r="F1755">
        <v>13422</v>
      </c>
      <c r="G1755">
        <v>0</v>
      </c>
      <c r="H1755">
        <v>0</v>
      </c>
      <c r="I1755">
        <v>73</v>
      </c>
      <c r="J1755">
        <v>97310</v>
      </c>
      <c r="K1755" t="s">
        <v>3717</v>
      </c>
      <c r="L1755" s="1">
        <v>41195</v>
      </c>
      <c r="N1755" t="s">
        <v>36</v>
      </c>
      <c r="O1755" t="s">
        <v>37</v>
      </c>
      <c r="P1755" t="s">
        <v>379</v>
      </c>
      <c r="Q1755" t="s">
        <v>39</v>
      </c>
      <c r="R1755" t="s">
        <v>40</v>
      </c>
      <c r="S1755">
        <v>0</v>
      </c>
      <c r="U1755" t="s">
        <v>41</v>
      </c>
      <c r="V1755" t="s">
        <v>42</v>
      </c>
      <c r="X1755" t="s">
        <v>74</v>
      </c>
      <c r="Y1755" t="b">
        <v>0</v>
      </c>
      <c r="Z1755" t="b">
        <v>0</v>
      </c>
      <c r="AC1755" s="1"/>
      <c r="AF1755">
        <v>0</v>
      </c>
      <c r="AG1755">
        <v>45</v>
      </c>
      <c r="AH1755">
        <v>118</v>
      </c>
      <c r="AI1755" s="2">
        <f>Table__192.168.3.138DYLAgingReport[[#This Row],[NetAmount]]-Table__192.168.3.138DYLAgingReport[[#This Row],[Paid]]</f>
        <v>97310</v>
      </c>
    </row>
    <row r="1756" spans="1:35">
      <c r="A1756" t="s">
        <v>3718</v>
      </c>
      <c r="B1756" s="1">
        <v>41195</v>
      </c>
      <c r="C1756" s="1">
        <v>41240</v>
      </c>
      <c r="D1756" t="s">
        <v>242</v>
      </c>
      <c r="E1756">
        <v>131702</v>
      </c>
      <c r="F1756">
        <v>21072</v>
      </c>
      <c r="G1756">
        <v>0</v>
      </c>
      <c r="H1756">
        <v>0</v>
      </c>
      <c r="I1756">
        <v>73</v>
      </c>
      <c r="J1756">
        <v>152774</v>
      </c>
      <c r="K1756" t="s">
        <v>3719</v>
      </c>
      <c r="L1756" s="1">
        <v>41195</v>
      </c>
      <c r="N1756" t="s">
        <v>36</v>
      </c>
      <c r="O1756" t="s">
        <v>37</v>
      </c>
      <c r="P1756" t="s">
        <v>379</v>
      </c>
      <c r="Q1756" t="s">
        <v>39</v>
      </c>
      <c r="R1756" t="s">
        <v>40</v>
      </c>
      <c r="S1756">
        <v>0</v>
      </c>
      <c r="U1756" t="s">
        <v>41</v>
      </c>
      <c r="V1756" t="s">
        <v>42</v>
      </c>
      <c r="X1756" t="s">
        <v>74</v>
      </c>
      <c r="Y1756" t="b">
        <v>0</v>
      </c>
      <c r="Z1756" t="b">
        <v>0</v>
      </c>
      <c r="AC1756" s="1"/>
      <c r="AF1756">
        <v>0</v>
      </c>
      <c r="AG1756">
        <v>45</v>
      </c>
      <c r="AH1756">
        <v>118</v>
      </c>
      <c r="AI1756" s="2">
        <f>Table__192.168.3.138DYLAgingReport[[#This Row],[NetAmount]]-Table__192.168.3.138DYLAgingReport[[#This Row],[Paid]]</f>
        <v>152774</v>
      </c>
    </row>
    <row r="1757" spans="1:35">
      <c r="A1757" t="s">
        <v>3720</v>
      </c>
      <c r="B1757" s="1">
        <v>41186</v>
      </c>
      <c r="C1757" s="1">
        <v>41231</v>
      </c>
      <c r="D1757" t="s">
        <v>242</v>
      </c>
      <c r="E1757">
        <v>75605</v>
      </c>
      <c r="F1757">
        <v>12097</v>
      </c>
      <c r="G1757">
        <v>0</v>
      </c>
      <c r="H1757">
        <v>0</v>
      </c>
      <c r="I1757">
        <v>82</v>
      </c>
      <c r="J1757">
        <v>87702</v>
      </c>
      <c r="K1757" t="s">
        <v>3721</v>
      </c>
      <c r="L1757" s="1">
        <v>41186</v>
      </c>
      <c r="N1757" t="s">
        <v>36</v>
      </c>
      <c r="O1757" t="s">
        <v>37</v>
      </c>
      <c r="P1757" t="s">
        <v>379</v>
      </c>
      <c r="Q1757" t="s">
        <v>39</v>
      </c>
      <c r="R1757" t="s">
        <v>40</v>
      </c>
      <c r="S1757">
        <v>0</v>
      </c>
      <c r="U1757" t="s">
        <v>41</v>
      </c>
      <c r="V1757" t="s">
        <v>42</v>
      </c>
      <c r="X1757" t="s">
        <v>74</v>
      </c>
      <c r="Y1757" t="b">
        <v>0</v>
      </c>
      <c r="Z1757" t="b">
        <v>0</v>
      </c>
      <c r="AC1757" s="1"/>
      <c r="AF1757">
        <v>0</v>
      </c>
      <c r="AG1757">
        <v>45</v>
      </c>
      <c r="AH1757">
        <v>127</v>
      </c>
      <c r="AI1757" s="2">
        <f>Table__192.168.3.138DYLAgingReport[[#This Row],[NetAmount]]-Table__192.168.3.138DYLAgingReport[[#This Row],[Paid]]</f>
        <v>87702</v>
      </c>
    </row>
    <row r="1758" spans="1:35">
      <c r="A1758" t="s">
        <v>3723</v>
      </c>
      <c r="B1758" s="1">
        <v>41200</v>
      </c>
      <c r="C1758" s="1">
        <v>41245</v>
      </c>
      <c r="D1758" t="s">
        <v>190</v>
      </c>
      <c r="E1758">
        <v>8750</v>
      </c>
      <c r="F1758">
        <v>1400</v>
      </c>
      <c r="G1758">
        <v>0</v>
      </c>
      <c r="H1758">
        <v>0</v>
      </c>
      <c r="I1758">
        <v>68</v>
      </c>
      <c r="J1758">
        <v>10150</v>
      </c>
      <c r="K1758" t="s">
        <v>3724</v>
      </c>
      <c r="L1758" s="1">
        <v>41200</v>
      </c>
      <c r="N1758" t="s">
        <v>36</v>
      </c>
      <c r="O1758" t="s">
        <v>37</v>
      </c>
      <c r="P1758" t="s">
        <v>327</v>
      </c>
      <c r="Q1758" t="s">
        <v>39</v>
      </c>
      <c r="R1758" t="s">
        <v>40</v>
      </c>
      <c r="S1758">
        <v>0</v>
      </c>
      <c r="U1758" t="s">
        <v>41</v>
      </c>
      <c r="V1758" t="s">
        <v>42</v>
      </c>
      <c r="X1758" t="s">
        <v>74</v>
      </c>
      <c r="Y1758" t="b">
        <v>0</v>
      </c>
      <c r="Z1758" t="b">
        <v>0</v>
      </c>
      <c r="AC1758" s="1"/>
      <c r="AF1758">
        <v>0</v>
      </c>
      <c r="AG1758">
        <v>45</v>
      </c>
      <c r="AH1758">
        <v>113</v>
      </c>
      <c r="AI1758" s="2">
        <f>Table__192.168.3.138DYLAgingReport[[#This Row],[NetAmount]]-Table__192.168.3.138DYLAgingReport[[#This Row],[Paid]]</f>
        <v>10150</v>
      </c>
    </row>
    <row r="1759" spans="1:35">
      <c r="A1759" t="s">
        <v>3725</v>
      </c>
      <c r="B1759" s="1">
        <v>41194</v>
      </c>
      <c r="C1759" s="1">
        <v>41239</v>
      </c>
      <c r="D1759" t="s">
        <v>191</v>
      </c>
      <c r="E1759">
        <v>100500</v>
      </c>
      <c r="F1759">
        <v>16080</v>
      </c>
      <c r="G1759">
        <v>0</v>
      </c>
      <c r="H1759">
        <v>0</v>
      </c>
      <c r="I1759">
        <v>74</v>
      </c>
      <c r="J1759">
        <v>116580</v>
      </c>
      <c r="K1759" t="s">
        <v>3726</v>
      </c>
      <c r="L1759" s="1">
        <v>41194</v>
      </c>
      <c r="N1759" t="s">
        <v>36</v>
      </c>
      <c r="O1759" t="s">
        <v>37</v>
      </c>
      <c r="P1759" t="s">
        <v>328</v>
      </c>
      <c r="Q1759" t="s">
        <v>39</v>
      </c>
      <c r="R1759" t="s">
        <v>40</v>
      </c>
      <c r="S1759">
        <v>0</v>
      </c>
      <c r="U1759" t="s">
        <v>41</v>
      </c>
      <c r="V1759" t="s">
        <v>42</v>
      </c>
      <c r="X1759" t="s">
        <v>74</v>
      </c>
      <c r="Y1759" t="b">
        <v>0</v>
      </c>
      <c r="Z1759" t="b">
        <v>0</v>
      </c>
      <c r="AC1759" s="1"/>
      <c r="AF1759">
        <v>0</v>
      </c>
      <c r="AG1759">
        <v>45</v>
      </c>
      <c r="AH1759">
        <v>119</v>
      </c>
      <c r="AI1759" s="2">
        <f>Table__192.168.3.138DYLAgingReport[[#This Row],[NetAmount]]-Table__192.168.3.138DYLAgingReport[[#This Row],[Paid]]</f>
        <v>116580</v>
      </c>
    </row>
    <row r="1760" spans="1:35">
      <c r="A1760" t="s">
        <v>3727</v>
      </c>
      <c r="B1760" s="1">
        <v>41200</v>
      </c>
      <c r="C1760" s="1">
        <v>41245</v>
      </c>
      <c r="D1760" t="s">
        <v>191</v>
      </c>
      <c r="E1760">
        <v>100500</v>
      </c>
      <c r="F1760">
        <v>16080</v>
      </c>
      <c r="G1760">
        <v>0</v>
      </c>
      <c r="H1760">
        <v>0</v>
      </c>
      <c r="I1760">
        <v>68</v>
      </c>
      <c r="J1760">
        <v>116580</v>
      </c>
      <c r="K1760" t="s">
        <v>3728</v>
      </c>
      <c r="L1760" s="1">
        <v>41200</v>
      </c>
      <c r="N1760" t="s">
        <v>36</v>
      </c>
      <c r="O1760" t="s">
        <v>37</v>
      </c>
      <c r="P1760" t="s">
        <v>328</v>
      </c>
      <c r="Q1760" t="s">
        <v>39</v>
      </c>
      <c r="R1760" t="s">
        <v>40</v>
      </c>
      <c r="S1760">
        <v>0</v>
      </c>
      <c r="U1760" t="s">
        <v>41</v>
      </c>
      <c r="V1760" t="s">
        <v>42</v>
      </c>
      <c r="X1760" t="s">
        <v>74</v>
      </c>
      <c r="Y1760" t="b">
        <v>0</v>
      </c>
      <c r="Z1760" t="b">
        <v>0</v>
      </c>
      <c r="AC1760" s="1"/>
      <c r="AF1760">
        <v>0</v>
      </c>
      <c r="AG1760">
        <v>45</v>
      </c>
      <c r="AH1760">
        <v>113</v>
      </c>
      <c r="AI1760" s="2">
        <f>Table__192.168.3.138DYLAgingReport[[#This Row],[NetAmount]]-Table__192.168.3.138DYLAgingReport[[#This Row],[Paid]]</f>
        <v>116580</v>
      </c>
    </row>
    <row r="1761" spans="1:35">
      <c r="A1761" t="s">
        <v>3729</v>
      </c>
      <c r="B1761" s="1">
        <v>41204</v>
      </c>
      <c r="C1761" s="1">
        <v>41249</v>
      </c>
      <c r="D1761" t="s">
        <v>177</v>
      </c>
      <c r="E1761">
        <v>5800</v>
      </c>
      <c r="F1761">
        <v>928</v>
      </c>
      <c r="G1761">
        <v>0</v>
      </c>
      <c r="H1761">
        <v>0</v>
      </c>
      <c r="I1761">
        <v>64</v>
      </c>
      <c r="J1761">
        <v>6728</v>
      </c>
      <c r="K1761" t="s">
        <v>3730</v>
      </c>
      <c r="L1761" s="1">
        <v>41204</v>
      </c>
      <c r="N1761" t="s">
        <v>36</v>
      </c>
      <c r="O1761" t="s">
        <v>37</v>
      </c>
      <c r="P1761" t="s">
        <v>314</v>
      </c>
      <c r="Q1761" t="s">
        <v>39</v>
      </c>
      <c r="R1761" t="s">
        <v>40</v>
      </c>
      <c r="S1761">
        <v>0</v>
      </c>
      <c r="U1761" t="s">
        <v>41</v>
      </c>
      <c r="V1761" t="s">
        <v>42</v>
      </c>
      <c r="X1761" t="s">
        <v>74</v>
      </c>
      <c r="Y1761" t="b">
        <v>0</v>
      </c>
      <c r="Z1761" t="b">
        <v>0</v>
      </c>
      <c r="AC1761" s="1"/>
      <c r="AF1761">
        <v>0</v>
      </c>
      <c r="AG1761">
        <v>45</v>
      </c>
      <c r="AH1761">
        <v>109</v>
      </c>
      <c r="AI1761" s="2">
        <f>Table__192.168.3.138DYLAgingReport[[#This Row],[NetAmount]]-Table__192.168.3.138DYLAgingReport[[#This Row],[Paid]]</f>
        <v>6728</v>
      </c>
    </row>
    <row r="1762" spans="1:35">
      <c r="A1762" t="s">
        <v>3731</v>
      </c>
      <c r="B1762" s="1">
        <v>41198</v>
      </c>
      <c r="C1762" s="1">
        <v>41243</v>
      </c>
      <c r="D1762" t="s">
        <v>271</v>
      </c>
      <c r="E1762">
        <v>83340</v>
      </c>
      <c r="F1762">
        <v>13334</v>
      </c>
      <c r="G1762">
        <v>0</v>
      </c>
      <c r="H1762">
        <v>0</v>
      </c>
      <c r="I1762">
        <v>70</v>
      </c>
      <c r="J1762">
        <v>96674</v>
      </c>
      <c r="K1762" t="s">
        <v>3732</v>
      </c>
      <c r="L1762" s="1">
        <v>41198</v>
      </c>
      <c r="N1762" t="s">
        <v>36</v>
      </c>
      <c r="O1762" t="s">
        <v>37</v>
      </c>
      <c r="P1762" t="s">
        <v>408</v>
      </c>
      <c r="Q1762" t="s">
        <v>39</v>
      </c>
      <c r="R1762" t="s">
        <v>40</v>
      </c>
      <c r="S1762">
        <v>0</v>
      </c>
      <c r="U1762" t="s">
        <v>41</v>
      </c>
      <c r="V1762" t="s">
        <v>42</v>
      </c>
      <c r="X1762" t="s">
        <v>74</v>
      </c>
      <c r="Y1762" t="b">
        <v>0</v>
      </c>
      <c r="Z1762" t="b">
        <v>0</v>
      </c>
      <c r="AB1762" t="s">
        <v>3733</v>
      </c>
      <c r="AC1762" s="1">
        <v>41290</v>
      </c>
      <c r="AD1762" t="s">
        <v>3734</v>
      </c>
      <c r="AE1762" t="s">
        <v>3735</v>
      </c>
      <c r="AF1762">
        <v>95875</v>
      </c>
      <c r="AG1762">
        <v>45</v>
      </c>
      <c r="AH1762">
        <v>115</v>
      </c>
      <c r="AI1762" s="2">
        <f>Table__192.168.3.138DYLAgingReport[[#This Row],[NetAmount]]-Table__192.168.3.138DYLAgingReport[[#This Row],[Paid]]</f>
        <v>799</v>
      </c>
    </row>
    <row r="1763" spans="1:35">
      <c r="A1763" t="s">
        <v>3736</v>
      </c>
      <c r="B1763" s="1">
        <v>41199</v>
      </c>
      <c r="C1763" s="1">
        <v>41244</v>
      </c>
      <c r="D1763" t="s">
        <v>271</v>
      </c>
      <c r="E1763">
        <v>89572</v>
      </c>
      <c r="F1763">
        <v>14332</v>
      </c>
      <c r="G1763">
        <v>0</v>
      </c>
      <c r="H1763">
        <v>0</v>
      </c>
      <c r="I1763">
        <v>69</v>
      </c>
      <c r="J1763">
        <v>103904</v>
      </c>
      <c r="K1763" t="s">
        <v>1540</v>
      </c>
      <c r="L1763" s="1">
        <v>41199</v>
      </c>
      <c r="N1763" t="s">
        <v>36</v>
      </c>
      <c r="O1763" t="s">
        <v>37</v>
      </c>
      <c r="P1763" t="s">
        <v>408</v>
      </c>
      <c r="Q1763" t="s">
        <v>39</v>
      </c>
      <c r="R1763" t="s">
        <v>40</v>
      </c>
      <c r="S1763">
        <v>0</v>
      </c>
      <c r="U1763" t="s">
        <v>41</v>
      </c>
      <c r="V1763" t="s">
        <v>42</v>
      </c>
      <c r="X1763" t="s">
        <v>74</v>
      </c>
      <c r="Y1763" t="b">
        <v>0</v>
      </c>
      <c r="Z1763" t="b">
        <v>0</v>
      </c>
      <c r="AB1763" t="s">
        <v>3737</v>
      </c>
      <c r="AC1763" s="1">
        <v>41311</v>
      </c>
      <c r="AF1763">
        <v>0</v>
      </c>
      <c r="AG1763">
        <v>45</v>
      </c>
      <c r="AH1763">
        <v>114</v>
      </c>
      <c r="AI1763" s="2">
        <f>Table__192.168.3.138DYLAgingReport[[#This Row],[NetAmount]]-Table__192.168.3.138DYLAgingReport[[#This Row],[Paid]]</f>
        <v>103904</v>
      </c>
    </row>
    <row r="1764" spans="1:35">
      <c r="A1764" t="s">
        <v>3738</v>
      </c>
      <c r="B1764" s="1">
        <v>41201</v>
      </c>
      <c r="C1764" s="1">
        <v>41246</v>
      </c>
      <c r="D1764" t="s">
        <v>271</v>
      </c>
      <c r="E1764">
        <v>90608</v>
      </c>
      <c r="F1764">
        <v>14497</v>
      </c>
      <c r="G1764">
        <v>0</v>
      </c>
      <c r="H1764">
        <v>0</v>
      </c>
      <c r="I1764">
        <v>67</v>
      </c>
      <c r="J1764">
        <v>105105</v>
      </c>
      <c r="K1764" t="s">
        <v>1332</v>
      </c>
      <c r="L1764" s="1">
        <v>41201</v>
      </c>
      <c r="N1764" t="s">
        <v>36</v>
      </c>
      <c r="O1764" t="s">
        <v>37</v>
      </c>
      <c r="P1764" t="s">
        <v>408</v>
      </c>
      <c r="Q1764" t="s">
        <v>39</v>
      </c>
      <c r="R1764" t="s">
        <v>40</v>
      </c>
      <c r="S1764">
        <v>0</v>
      </c>
      <c r="U1764" t="s">
        <v>41</v>
      </c>
      <c r="V1764" t="s">
        <v>42</v>
      </c>
      <c r="X1764" t="s">
        <v>74</v>
      </c>
      <c r="Y1764" t="b">
        <v>0</v>
      </c>
      <c r="Z1764" t="b">
        <v>0</v>
      </c>
      <c r="AB1764" t="s">
        <v>3737</v>
      </c>
      <c r="AC1764" s="1">
        <v>41311</v>
      </c>
      <c r="AF1764">
        <v>0</v>
      </c>
      <c r="AG1764">
        <v>45</v>
      </c>
      <c r="AH1764">
        <v>112</v>
      </c>
      <c r="AI1764" s="2">
        <f>Table__192.168.3.138DYLAgingReport[[#This Row],[NetAmount]]-Table__192.168.3.138DYLAgingReport[[#This Row],[Paid]]</f>
        <v>105105</v>
      </c>
    </row>
    <row r="1765" spans="1:35">
      <c r="A1765" t="s">
        <v>3739</v>
      </c>
      <c r="B1765" s="1">
        <v>41202</v>
      </c>
      <c r="C1765" s="1">
        <v>41247</v>
      </c>
      <c r="D1765" t="s">
        <v>271</v>
      </c>
      <c r="E1765">
        <v>59600</v>
      </c>
      <c r="F1765">
        <v>9536</v>
      </c>
      <c r="G1765">
        <v>0</v>
      </c>
      <c r="H1765">
        <v>0</v>
      </c>
      <c r="I1765">
        <v>66</v>
      </c>
      <c r="J1765">
        <v>69136</v>
      </c>
      <c r="K1765" t="s">
        <v>1550</v>
      </c>
      <c r="L1765" s="1">
        <v>41202</v>
      </c>
      <c r="N1765" t="s">
        <v>36</v>
      </c>
      <c r="O1765" t="s">
        <v>37</v>
      </c>
      <c r="P1765" t="s">
        <v>408</v>
      </c>
      <c r="Q1765" t="s">
        <v>39</v>
      </c>
      <c r="R1765" t="s">
        <v>40</v>
      </c>
      <c r="S1765">
        <v>0</v>
      </c>
      <c r="U1765" t="s">
        <v>41</v>
      </c>
      <c r="V1765" t="s">
        <v>42</v>
      </c>
      <c r="X1765" t="s">
        <v>74</v>
      </c>
      <c r="Y1765" t="b">
        <v>0</v>
      </c>
      <c r="Z1765" t="b">
        <v>0</v>
      </c>
      <c r="AB1765" t="s">
        <v>3737</v>
      </c>
      <c r="AC1765" s="1">
        <v>41311</v>
      </c>
      <c r="AF1765">
        <v>0</v>
      </c>
      <c r="AG1765">
        <v>45</v>
      </c>
      <c r="AH1765">
        <v>111</v>
      </c>
      <c r="AI1765" s="2">
        <f>Table__192.168.3.138DYLAgingReport[[#This Row],[NetAmount]]-Table__192.168.3.138DYLAgingReport[[#This Row],[Paid]]</f>
        <v>69136</v>
      </c>
    </row>
    <row r="1766" spans="1:35">
      <c r="A1766" t="s">
        <v>3740</v>
      </c>
      <c r="B1766" s="1">
        <v>41204</v>
      </c>
      <c r="C1766" s="1">
        <v>41249</v>
      </c>
      <c r="D1766" t="s">
        <v>271</v>
      </c>
      <c r="E1766">
        <v>60500</v>
      </c>
      <c r="F1766">
        <v>9680</v>
      </c>
      <c r="G1766">
        <v>0</v>
      </c>
      <c r="H1766">
        <v>0</v>
      </c>
      <c r="I1766">
        <v>64</v>
      </c>
      <c r="J1766">
        <v>70180</v>
      </c>
      <c r="K1766" t="s">
        <v>1542</v>
      </c>
      <c r="L1766" s="1">
        <v>41204</v>
      </c>
      <c r="N1766" t="s">
        <v>36</v>
      </c>
      <c r="O1766" t="s">
        <v>37</v>
      </c>
      <c r="P1766" t="s">
        <v>408</v>
      </c>
      <c r="Q1766" t="s">
        <v>39</v>
      </c>
      <c r="R1766" t="s">
        <v>40</v>
      </c>
      <c r="S1766">
        <v>0</v>
      </c>
      <c r="U1766" t="s">
        <v>41</v>
      </c>
      <c r="V1766" t="s">
        <v>42</v>
      </c>
      <c r="X1766" t="s">
        <v>74</v>
      </c>
      <c r="Y1766" t="b">
        <v>0</v>
      </c>
      <c r="Z1766" t="b">
        <v>0</v>
      </c>
      <c r="AB1766" t="s">
        <v>3737</v>
      </c>
      <c r="AC1766" s="1">
        <v>41311</v>
      </c>
      <c r="AF1766">
        <v>0</v>
      </c>
      <c r="AG1766">
        <v>45</v>
      </c>
      <c r="AH1766">
        <v>109</v>
      </c>
      <c r="AI1766" s="2">
        <f>Table__192.168.3.138DYLAgingReport[[#This Row],[NetAmount]]-Table__192.168.3.138DYLAgingReport[[#This Row],[Paid]]</f>
        <v>70180</v>
      </c>
    </row>
    <row r="1767" spans="1:35">
      <c r="A1767" t="s">
        <v>3741</v>
      </c>
      <c r="B1767" s="1">
        <v>41204</v>
      </c>
      <c r="C1767" s="1">
        <v>41249</v>
      </c>
      <c r="D1767" t="s">
        <v>271</v>
      </c>
      <c r="E1767">
        <v>43920</v>
      </c>
      <c r="F1767">
        <v>7027</v>
      </c>
      <c r="G1767">
        <v>0</v>
      </c>
      <c r="H1767">
        <v>0</v>
      </c>
      <c r="I1767">
        <v>64</v>
      </c>
      <c r="J1767">
        <v>50947</v>
      </c>
      <c r="K1767" t="s">
        <v>1548</v>
      </c>
      <c r="L1767" s="1">
        <v>41204</v>
      </c>
      <c r="N1767" t="s">
        <v>36</v>
      </c>
      <c r="O1767" t="s">
        <v>37</v>
      </c>
      <c r="P1767" t="s">
        <v>408</v>
      </c>
      <c r="Q1767" t="s">
        <v>39</v>
      </c>
      <c r="R1767" t="s">
        <v>40</v>
      </c>
      <c r="S1767">
        <v>0</v>
      </c>
      <c r="U1767" t="s">
        <v>41</v>
      </c>
      <c r="V1767" t="s">
        <v>42</v>
      </c>
      <c r="X1767" t="s">
        <v>74</v>
      </c>
      <c r="Y1767" t="b">
        <v>0</v>
      </c>
      <c r="Z1767" t="b">
        <v>0</v>
      </c>
      <c r="AB1767" t="s">
        <v>3737</v>
      </c>
      <c r="AC1767" s="1">
        <v>41311</v>
      </c>
      <c r="AF1767">
        <v>0</v>
      </c>
      <c r="AG1767">
        <v>45</v>
      </c>
      <c r="AH1767">
        <v>109</v>
      </c>
      <c r="AI1767" s="2">
        <f>Table__192.168.3.138DYLAgingReport[[#This Row],[NetAmount]]-Table__192.168.3.138DYLAgingReport[[#This Row],[Paid]]</f>
        <v>50947</v>
      </c>
    </row>
    <row r="1768" spans="1:35">
      <c r="A1768" t="s">
        <v>3742</v>
      </c>
      <c r="B1768" s="1">
        <v>41205</v>
      </c>
      <c r="C1768" s="1">
        <v>41250</v>
      </c>
      <c r="D1768" t="s">
        <v>271</v>
      </c>
      <c r="E1768">
        <v>71600</v>
      </c>
      <c r="F1768">
        <v>11456</v>
      </c>
      <c r="G1768">
        <v>0</v>
      </c>
      <c r="H1768">
        <v>0</v>
      </c>
      <c r="I1768">
        <v>63</v>
      </c>
      <c r="J1768">
        <v>83056</v>
      </c>
      <c r="K1768" t="s">
        <v>1546</v>
      </c>
      <c r="L1768" s="1">
        <v>41205</v>
      </c>
      <c r="N1768" t="s">
        <v>36</v>
      </c>
      <c r="O1768" t="s">
        <v>37</v>
      </c>
      <c r="P1768" t="s">
        <v>408</v>
      </c>
      <c r="Q1768" t="s">
        <v>39</v>
      </c>
      <c r="R1768" t="s">
        <v>40</v>
      </c>
      <c r="S1768">
        <v>0</v>
      </c>
      <c r="U1768" t="s">
        <v>41</v>
      </c>
      <c r="V1768" t="s">
        <v>42</v>
      </c>
      <c r="X1768" t="s">
        <v>74</v>
      </c>
      <c r="Y1768" t="b">
        <v>0</v>
      </c>
      <c r="Z1768" t="b">
        <v>0</v>
      </c>
      <c r="AB1768" t="s">
        <v>3737</v>
      </c>
      <c r="AC1768" s="1">
        <v>41311</v>
      </c>
      <c r="AF1768">
        <v>0</v>
      </c>
      <c r="AG1768">
        <v>45</v>
      </c>
      <c r="AH1768">
        <v>108</v>
      </c>
      <c r="AI1768" s="2">
        <f>Table__192.168.3.138DYLAgingReport[[#This Row],[NetAmount]]-Table__192.168.3.138DYLAgingReport[[#This Row],[Paid]]</f>
        <v>83056</v>
      </c>
    </row>
    <row r="1769" spans="1:35">
      <c r="A1769" t="s">
        <v>3743</v>
      </c>
      <c r="B1769" s="1">
        <v>41206</v>
      </c>
      <c r="C1769" s="1">
        <v>41251</v>
      </c>
      <c r="D1769" t="s">
        <v>271</v>
      </c>
      <c r="E1769">
        <v>22972</v>
      </c>
      <c r="F1769">
        <v>3675</v>
      </c>
      <c r="G1769">
        <v>0</v>
      </c>
      <c r="H1769">
        <v>0</v>
      </c>
      <c r="I1769">
        <v>62</v>
      </c>
      <c r="J1769">
        <v>26647</v>
      </c>
      <c r="K1769" t="s">
        <v>1241</v>
      </c>
      <c r="L1769" s="1">
        <v>41206</v>
      </c>
      <c r="N1769" t="s">
        <v>36</v>
      </c>
      <c r="O1769" t="s">
        <v>37</v>
      </c>
      <c r="P1769" t="s">
        <v>408</v>
      </c>
      <c r="Q1769" t="s">
        <v>39</v>
      </c>
      <c r="R1769" t="s">
        <v>40</v>
      </c>
      <c r="S1769">
        <v>0</v>
      </c>
      <c r="U1769" t="s">
        <v>41</v>
      </c>
      <c r="V1769" t="s">
        <v>42</v>
      </c>
      <c r="X1769" t="s">
        <v>74</v>
      </c>
      <c r="Y1769" t="b">
        <v>0</v>
      </c>
      <c r="Z1769" t="b">
        <v>0</v>
      </c>
      <c r="AB1769" t="s">
        <v>3737</v>
      </c>
      <c r="AC1769" s="1">
        <v>41311</v>
      </c>
      <c r="AF1769">
        <v>0</v>
      </c>
      <c r="AG1769">
        <v>45</v>
      </c>
      <c r="AH1769">
        <v>107</v>
      </c>
      <c r="AI1769" s="2">
        <f>Table__192.168.3.138DYLAgingReport[[#This Row],[NetAmount]]-Table__192.168.3.138DYLAgingReport[[#This Row],[Paid]]</f>
        <v>26647</v>
      </c>
    </row>
    <row r="1770" spans="1:35">
      <c r="A1770" t="s">
        <v>3744</v>
      </c>
      <c r="B1770" s="1">
        <v>41190</v>
      </c>
      <c r="C1770" s="1">
        <v>41235</v>
      </c>
      <c r="D1770" t="s">
        <v>242</v>
      </c>
      <c r="E1770">
        <v>11520</v>
      </c>
      <c r="F1770">
        <v>1843</v>
      </c>
      <c r="G1770">
        <v>0</v>
      </c>
      <c r="H1770">
        <v>0</v>
      </c>
      <c r="I1770">
        <v>78</v>
      </c>
      <c r="J1770">
        <v>13363</v>
      </c>
      <c r="K1770" t="s">
        <v>3745</v>
      </c>
      <c r="L1770" s="1">
        <v>41190</v>
      </c>
      <c r="N1770" t="s">
        <v>36</v>
      </c>
      <c r="O1770" t="s">
        <v>37</v>
      </c>
      <c r="P1770" t="s">
        <v>379</v>
      </c>
      <c r="Q1770" t="s">
        <v>39</v>
      </c>
      <c r="R1770" t="s">
        <v>40</v>
      </c>
      <c r="S1770">
        <v>0</v>
      </c>
      <c r="U1770" t="s">
        <v>41</v>
      </c>
      <c r="V1770" t="s">
        <v>42</v>
      </c>
      <c r="X1770" t="s">
        <v>74</v>
      </c>
      <c r="Y1770" t="b">
        <v>0</v>
      </c>
      <c r="Z1770" t="b">
        <v>0</v>
      </c>
      <c r="AC1770" s="1"/>
      <c r="AF1770">
        <v>0</v>
      </c>
      <c r="AG1770">
        <v>45</v>
      </c>
      <c r="AH1770">
        <v>123</v>
      </c>
      <c r="AI1770" s="2">
        <f>Table__192.168.3.138DYLAgingReport[[#This Row],[NetAmount]]-Table__192.168.3.138DYLAgingReport[[#This Row],[Paid]]</f>
        <v>13363</v>
      </c>
    </row>
    <row r="1771" spans="1:35">
      <c r="A1771" t="s">
        <v>3746</v>
      </c>
      <c r="B1771" s="1">
        <v>41191</v>
      </c>
      <c r="C1771" s="1">
        <v>41236</v>
      </c>
      <c r="D1771" t="s">
        <v>242</v>
      </c>
      <c r="E1771">
        <v>7049</v>
      </c>
      <c r="F1771">
        <v>1128</v>
      </c>
      <c r="G1771">
        <v>0</v>
      </c>
      <c r="H1771">
        <v>0</v>
      </c>
      <c r="I1771">
        <v>77</v>
      </c>
      <c r="J1771">
        <v>8177</v>
      </c>
      <c r="K1771" t="s">
        <v>3747</v>
      </c>
      <c r="L1771" s="1">
        <v>41191</v>
      </c>
      <c r="N1771" t="s">
        <v>36</v>
      </c>
      <c r="O1771" t="s">
        <v>37</v>
      </c>
      <c r="P1771" t="s">
        <v>379</v>
      </c>
      <c r="Q1771" t="s">
        <v>39</v>
      </c>
      <c r="R1771" t="s">
        <v>40</v>
      </c>
      <c r="S1771">
        <v>0</v>
      </c>
      <c r="U1771" t="s">
        <v>41</v>
      </c>
      <c r="V1771" t="s">
        <v>42</v>
      </c>
      <c r="X1771" t="s">
        <v>74</v>
      </c>
      <c r="Y1771" t="b">
        <v>0</v>
      </c>
      <c r="Z1771" t="b">
        <v>0</v>
      </c>
      <c r="AC1771" s="1"/>
      <c r="AF1771">
        <v>0</v>
      </c>
      <c r="AG1771">
        <v>45</v>
      </c>
      <c r="AH1771">
        <v>122</v>
      </c>
      <c r="AI1771" s="2">
        <f>Table__192.168.3.138DYLAgingReport[[#This Row],[NetAmount]]-Table__192.168.3.138DYLAgingReport[[#This Row],[Paid]]</f>
        <v>8177</v>
      </c>
    </row>
    <row r="1772" spans="1:35">
      <c r="A1772" t="s">
        <v>3748</v>
      </c>
      <c r="B1772" s="1">
        <v>41197</v>
      </c>
      <c r="C1772" s="1">
        <v>41242</v>
      </c>
      <c r="D1772" t="s">
        <v>242</v>
      </c>
      <c r="E1772">
        <v>3784</v>
      </c>
      <c r="F1772">
        <v>605</v>
      </c>
      <c r="G1772">
        <v>0</v>
      </c>
      <c r="H1772">
        <v>0</v>
      </c>
      <c r="I1772">
        <v>71</v>
      </c>
      <c r="J1772">
        <v>4389</v>
      </c>
      <c r="K1772" t="s">
        <v>3749</v>
      </c>
      <c r="L1772" s="1">
        <v>41197</v>
      </c>
      <c r="N1772" t="s">
        <v>36</v>
      </c>
      <c r="O1772" t="s">
        <v>37</v>
      </c>
      <c r="P1772" t="s">
        <v>379</v>
      </c>
      <c r="Q1772" t="s">
        <v>39</v>
      </c>
      <c r="R1772" t="s">
        <v>40</v>
      </c>
      <c r="S1772">
        <v>0</v>
      </c>
      <c r="U1772" t="s">
        <v>41</v>
      </c>
      <c r="V1772" t="s">
        <v>42</v>
      </c>
      <c r="X1772" t="s">
        <v>74</v>
      </c>
      <c r="Y1772" t="b">
        <v>0</v>
      </c>
      <c r="Z1772" t="b">
        <v>0</v>
      </c>
      <c r="AC1772" s="1"/>
      <c r="AF1772">
        <v>0</v>
      </c>
      <c r="AG1772">
        <v>45</v>
      </c>
      <c r="AH1772">
        <v>116</v>
      </c>
      <c r="AI1772" s="2">
        <f>Table__192.168.3.138DYLAgingReport[[#This Row],[NetAmount]]-Table__192.168.3.138DYLAgingReport[[#This Row],[Paid]]</f>
        <v>4389</v>
      </c>
    </row>
    <row r="1773" spans="1:35">
      <c r="A1773" t="s">
        <v>3750</v>
      </c>
      <c r="B1773" s="1">
        <v>41198</v>
      </c>
      <c r="C1773" s="1">
        <v>41243</v>
      </c>
      <c r="D1773" t="s">
        <v>242</v>
      </c>
      <c r="E1773">
        <v>9306</v>
      </c>
      <c r="F1773">
        <v>1489</v>
      </c>
      <c r="G1773">
        <v>0</v>
      </c>
      <c r="H1773">
        <v>0</v>
      </c>
      <c r="I1773">
        <v>71</v>
      </c>
      <c r="J1773">
        <v>10795</v>
      </c>
      <c r="K1773" t="s">
        <v>3751</v>
      </c>
      <c r="L1773" s="1">
        <v>41197</v>
      </c>
      <c r="N1773" t="s">
        <v>36</v>
      </c>
      <c r="O1773" t="s">
        <v>37</v>
      </c>
      <c r="P1773" t="s">
        <v>379</v>
      </c>
      <c r="Q1773" t="s">
        <v>39</v>
      </c>
      <c r="R1773" t="s">
        <v>40</v>
      </c>
      <c r="S1773">
        <v>0</v>
      </c>
      <c r="U1773" t="s">
        <v>41</v>
      </c>
      <c r="V1773" t="s">
        <v>42</v>
      </c>
      <c r="X1773" t="s">
        <v>74</v>
      </c>
      <c r="Y1773" t="b">
        <v>0</v>
      </c>
      <c r="Z1773" t="b">
        <v>0</v>
      </c>
      <c r="AC1773" s="1"/>
      <c r="AF1773">
        <v>0</v>
      </c>
      <c r="AG1773">
        <v>45</v>
      </c>
      <c r="AH1773">
        <v>116</v>
      </c>
      <c r="AI1773" s="2">
        <f>Table__192.168.3.138DYLAgingReport[[#This Row],[NetAmount]]-Table__192.168.3.138DYLAgingReport[[#This Row],[Paid]]</f>
        <v>10795</v>
      </c>
    </row>
    <row r="1774" spans="1:35">
      <c r="A1774" t="s">
        <v>3752</v>
      </c>
      <c r="B1774" s="1">
        <v>41199</v>
      </c>
      <c r="C1774" s="1">
        <v>41244</v>
      </c>
      <c r="D1774" t="s">
        <v>242</v>
      </c>
      <c r="E1774">
        <v>62686</v>
      </c>
      <c r="F1774">
        <v>10029</v>
      </c>
      <c r="G1774">
        <v>0</v>
      </c>
      <c r="H1774">
        <v>0</v>
      </c>
      <c r="I1774">
        <v>70</v>
      </c>
      <c r="J1774">
        <v>72715</v>
      </c>
      <c r="K1774" t="s">
        <v>3753</v>
      </c>
      <c r="L1774" s="1">
        <v>41198</v>
      </c>
      <c r="N1774" t="s">
        <v>36</v>
      </c>
      <c r="O1774" t="s">
        <v>37</v>
      </c>
      <c r="P1774" t="s">
        <v>379</v>
      </c>
      <c r="Q1774" t="s">
        <v>39</v>
      </c>
      <c r="R1774" t="s">
        <v>40</v>
      </c>
      <c r="S1774">
        <v>0</v>
      </c>
      <c r="U1774" t="s">
        <v>41</v>
      </c>
      <c r="V1774" t="s">
        <v>42</v>
      </c>
      <c r="X1774" t="s">
        <v>74</v>
      </c>
      <c r="Y1774" t="b">
        <v>0</v>
      </c>
      <c r="Z1774" t="b">
        <v>0</v>
      </c>
      <c r="AC1774" s="1"/>
      <c r="AF1774">
        <v>0</v>
      </c>
      <c r="AG1774">
        <v>45</v>
      </c>
      <c r="AH1774">
        <v>115</v>
      </c>
      <c r="AI1774" s="2">
        <f>Table__192.168.3.138DYLAgingReport[[#This Row],[NetAmount]]-Table__192.168.3.138DYLAgingReport[[#This Row],[Paid]]</f>
        <v>72715</v>
      </c>
    </row>
    <row r="1775" spans="1:35">
      <c r="A1775" t="s">
        <v>3754</v>
      </c>
      <c r="B1775" s="1">
        <v>41199</v>
      </c>
      <c r="C1775" s="1">
        <v>41244</v>
      </c>
      <c r="D1775" t="s">
        <v>242</v>
      </c>
      <c r="E1775">
        <v>44774</v>
      </c>
      <c r="F1775">
        <v>7164</v>
      </c>
      <c r="G1775">
        <v>0</v>
      </c>
      <c r="H1775">
        <v>0</v>
      </c>
      <c r="I1775">
        <v>69</v>
      </c>
      <c r="J1775">
        <v>51938</v>
      </c>
      <c r="K1775" t="s">
        <v>3755</v>
      </c>
      <c r="L1775" s="1">
        <v>41199</v>
      </c>
      <c r="N1775" t="s">
        <v>36</v>
      </c>
      <c r="O1775" t="s">
        <v>37</v>
      </c>
      <c r="P1775" t="s">
        <v>379</v>
      </c>
      <c r="Q1775" t="s">
        <v>39</v>
      </c>
      <c r="R1775" t="s">
        <v>40</v>
      </c>
      <c r="S1775">
        <v>0</v>
      </c>
      <c r="U1775" t="s">
        <v>41</v>
      </c>
      <c r="V1775" t="s">
        <v>42</v>
      </c>
      <c r="X1775" t="s">
        <v>74</v>
      </c>
      <c r="Y1775" t="b">
        <v>0</v>
      </c>
      <c r="Z1775" t="b">
        <v>0</v>
      </c>
      <c r="AC1775" s="1"/>
      <c r="AF1775">
        <v>0</v>
      </c>
      <c r="AG1775">
        <v>45</v>
      </c>
      <c r="AH1775">
        <v>114</v>
      </c>
      <c r="AI1775" s="2">
        <f>Table__192.168.3.138DYLAgingReport[[#This Row],[NetAmount]]-Table__192.168.3.138DYLAgingReport[[#This Row],[Paid]]</f>
        <v>51938</v>
      </c>
    </row>
    <row r="1776" spans="1:35">
      <c r="A1776" t="s">
        <v>3756</v>
      </c>
      <c r="B1776" s="1">
        <v>41199</v>
      </c>
      <c r="C1776" s="1">
        <v>41244</v>
      </c>
      <c r="D1776" t="s">
        <v>242</v>
      </c>
      <c r="E1776">
        <v>2754</v>
      </c>
      <c r="F1776">
        <v>440</v>
      </c>
      <c r="G1776">
        <v>0</v>
      </c>
      <c r="H1776">
        <v>0</v>
      </c>
      <c r="I1776">
        <v>74</v>
      </c>
      <c r="J1776">
        <v>3194</v>
      </c>
      <c r="K1776" t="s">
        <v>3757</v>
      </c>
      <c r="L1776" s="1">
        <v>41194</v>
      </c>
      <c r="N1776" t="s">
        <v>36</v>
      </c>
      <c r="O1776" t="s">
        <v>37</v>
      </c>
      <c r="P1776" t="s">
        <v>379</v>
      </c>
      <c r="Q1776" t="s">
        <v>39</v>
      </c>
      <c r="R1776" t="s">
        <v>40</v>
      </c>
      <c r="S1776">
        <v>0</v>
      </c>
      <c r="U1776" t="s">
        <v>41</v>
      </c>
      <c r="V1776" t="s">
        <v>42</v>
      </c>
      <c r="X1776" t="s">
        <v>74</v>
      </c>
      <c r="Y1776" t="b">
        <v>0</v>
      </c>
      <c r="Z1776" t="b">
        <v>0</v>
      </c>
      <c r="AC1776" s="1"/>
      <c r="AF1776">
        <v>0</v>
      </c>
      <c r="AG1776">
        <v>45</v>
      </c>
      <c r="AH1776">
        <v>119</v>
      </c>
      <c r="AI1776" s="2">
        <f>Table__192.168.3.138DYLAgingReport[[#This Row],[NetAmount]]-Table__192.168.3.138DYLAgingReport[[#This Row],[Paid]]</f>
        <v>3194</v>
      </c>
    </row>
    <row r="1777" spans="1:35">
      <c r="A1777" t="s">
        <v>3758</v>
      </c>
      <c r="B1777" s="1">
        <v>41202</v>
      </c>
      <c r="C1777" s="1">
        <v>41247</v>
      </c>
      <c r="D1777" t="s">
        <v>242</v>
      </c>
      <c r="E1777">
        <v>14050</v>
      </c>
      <c r="F1777">
        <v>2248</v>
      </c>
      <c r="G1777">
        <v>0</v>
      </c>
      <c r="H1777">
        <v>0</v>
      </c>
      <c r="I1777">
        <v>66</v>
      </c>
      <c r="J1777">
        <v>16298</v>
      </c>
      <c r="K1777" t="s">
        <v>3759</v>
      </c>
      <c r="L1777" s="1">
        <v>41202</v>
      </c>
      <c r="N1777" t="s">
        <v>36</v>
      </c>
      <c r="O1777" t="s">
        <v>37</v>
      </c>
      <c r="P1777" t="s">
        <v>379</v>
      </c>
      <c r="Q1777" t="s">
        <v>39</v>
      </c>
      <c r="R1777" t="s">
        <v>40</v>
      </c>
      <c r="S1777">
        <v>0</v>
      </c>
      <c r="U1777" t="s">
        <v>41</v>
      </c>
      <c r="V1777" t="s">
        <v>42</v>
      </c>
      <c r="X1777" t="s">
        <v>74</v>
      </c>
      <c r="Y1777" t="b">
        <v>0</v>
      </c>
      <c r="Z1777" t="b">
        <v>0</v>
      </c>
      <c r="AC1777" s="1"/>
      <c r="AF1777">
        <v>0</v>
      </c>
      <c r="AG1777">
        <v>45</v>
      </c>
      <c r="AH1777">
        <v>111</v>
      </c>
      <c r="AI1777" s="2">
        <f>Table__192.168.3.138DYLAgingReport[[#This Row],[NetAmount]]-Table__192.168.3.138DYLAgingReport[[#This Row],[Paid]]</f>
        <v>16298</v>
      </c>
    </row>
    <row r="1778" spans="1:35">
      <c r="A1778" t="s">
        <v>3760</v>
      </c>
      <c r="B1778" s="1">
        <v>41205</v>
      </c>
      <c r="C1778" s="1">
        <v>41250</v>
      </c>
      <c r="D1778" t="s">
        <v>242</v>
      </c>
      <c r="E1778">
        <v>6936</v>
      </c>
      <c r="F1778">
        <v>1110</v>
      </c>
      <c r="G1778">
        <v>0</v>
      </c>
      <c r="H1778">
        <v>0</v>
      </c>
      <c r="I1778">
        <v>63</v>
      </c>
      <c r="J1778">
        <v>8046</v>
      </c>
      <c r="K1778" t="s">
        <v>3761</v>
      </c>
      <c r="L1778" s="1">
        <v>41205</v>
      </c>
      <c r="N1778" t="s">
        <v>36</v>
      </c>
      <c r="O1778" t="s">
        <v>37</v>
      </c>
      <c r="P1778" t="s">
        <v>379</v>
      </c>
      <c r="Q1778" t="s">
        <v>39</v>
      </c>
      <c r="R1778" t="s">
        <v>40</v>
      </c>
      <c r="S1778">
        <v>0</v>
      </c>
      <c r="U1778" t="s">
        <v>41</v>
      </c>
      <c r="V1778" t="s">
        <v>42</v>
      </c>
      <c r="X1778" t="s">
        <v>74</v>
      </c>
      <c r="Y1778" t="b">
        <v>0</v>
      </c>
      <c r="Z1778" t="b">
        <v>0</v>
      </c>
      <c r="AC1778" s="1"/>
      <c r="AF1778">
        <v>0</v>
      </c>
      <c r="AG1778">
        <v>45</v>
      </c>
      <c r="AH1778">
        <v>108</v>
      </c>
      <c r="AI1778" s="2">
        <f>Table__192.168.3.138DYLAgingReport[[#This Row],[NetAmount]]-Table__192.168.3.138DYLAgingReport[[#This Row],[Paid]]</f>
        <v>8046</v>
      </c>
    </row>
    <row r="1779" spans="1:35">
      <c r="A1779" t="s">
        <v>3762</v>
      </c>
      <c r="B1779" s="1">
        <v>41205</v>
      </c>
      <c r="C1779" s="1">
        <v>41250</v>
      </c>
      <c r="D1779" t="s">
        <v>242</v>
      </c>
      <c r="E1779">
        <v>24604</v>
      </c>
      <c r="F1779">
        <v>3937</v>
      </c>
      <c r="G1779">
        <v>0</v>
      </c>
      <c r="H1779">
        <v>0</v>
      </c>
      <c r="I1779">
        <v>63</v>
      </c>
      <c r="J1779">
        <v>28541</v>
      </c>
      <c r="K1779" t="s">
        <v>3763</v>
      </c>
      <c r="L1779" s="1">
        <v>41205</v>
      </c>
      <c r="N1779" t="s">
        <v>36</v>
      </c>
      <c r="O1779" t="s">
        <v>37</v>
      </c>
      <c r="P1779" t="s">
        <v>379</v>
      </c>
      <c r="Q1779" t="s">
        <v>39</v>
      </c>
      <c r="R1779" t="s">
        <v>40</v>
      </c>
      <c r="S1779">
        <v>0</v>
      </c>
      <c r="U1779" t="s">
        <v>41</v>
      </c>
      <c r="V1779" t="s">
        <v>42</v>
      </c>
      <c r="X1779" t="s">
        <v>74</v>
      </c>
      <c r="Y1779" t="b">
        <v>0</v>
      </c>
      <c r="Z1779" t="b">
        <v>0</v>
      </c>
      <c r="AC1779" s="1"/>
      <c r="AF1779">
        <v>0</v>
      </c>
      <c r="AG1779">
        <v>45</v>
      </c>
      <c r="AH1779">
        <v>108</v>
      </c>
      <c r="AI1779" s="2">
        <f>Table__192.168.3.138DYLAgingReport[[#This Row],[NetAmount]]-Table__192.168.3.138DYLAgingReport[[#This Row],[Paid]]</f>
        <v>28541</v>
      </c>
    </row>
    <row r="1780" spans="1:35">
      <c r="A1780" t="s">
        <v>3764</v>
      </c>
      <c r="B1780" s="1">
        <v>41184</v>
      </c>
      <c r="C1780" s="1">
        <v>41229</v>
      </c>
      <c r="D1780" t="s">
        <v>242</v>
      </c>
      <c r="E1780">
        <v>27020</v>
      </c>
      <c r="F1780">
        <v>4323</v>
      </c>
      <c r="G1780">
        <v>0</v>
      </c>
      <c r="H1780">
        <v>0</v>
      </c>
      <c r="I1780">
        <v>84</v>
      </c>
      <c r="J1780">
        <v>31343</v>
      </c>
      <c r="K1780" t="s">
        <v>3765</v>
      </c>
      <c r="L1780" s="1">
        <v>41184</v>
      </c>
      <c r="N1780" t="s">
        <v>36</v>
      </c>
      <c r="O1780" t="s">
        <v>37</v>
      </c>
      <c r="P1780" t="s">
        <v>379</v>
      </c>
      <c r="Q1780" t="s">
        <v>39</v>
      </c>
      <c r="R1780" t="s">
        <v>40</v>
      </c>
      <c r="S1780">
        <v>0</v>
      </c>
      <c r="U1780" t="s">
        <v>41</v>
      </c>
      <c r="V1780" t="s">
        <v>42</v>
      </c>
      <c r="X1780" t="s">
        <v>74</v>
      </c>
      <c r="Y1780" t="b">
        <v>0</v>
      </c>
      <c r="Z1780" t="b">
        <v>0</v>
      </c>
      <c r="AC1780" s="1"/>
      <c r="AF1780">
        <v>0</v>
      </c>
      <c r="AG1780">
        <v>45</v>
      </c>
      <c r="AH1780">
        <v>129</v>
      </c>
      <c r="AI1780" s="2">
        <f>Table__192.168.3.138DYLAgingReport[[#This Row],[NetAmount]]-Table__192.168.3.138DYLAgingReport[[#This Row],[Paid]]</f>
        <v>31343</v>
      </c>
    </row>
    <row r="1781" spans="1:35">
      <c r="A1781" t="s">
        <v>3766</v>
      </c>
      <c r="B1781" s="1">
        <v>41204</v>
      </c>
      <c r="C1781" s="1">
        <v>41249</v>
      </c>
      <c r="D1781" t="s">
        <v>285</v>
      </c>
      <c r="E1781">
        <v>1740000</v>
      </c>
      <c r="F1781">
        <v>278400</v>
      </c>
      <c r="G1781">
        <v>0</v>
      </c>
      <c r="H1781">
        <v>0</v>
      </c>
      <c r="I1781">
        <v>76</v>
      </c>
      <c r="J1781">
        <v>2018400</v>
      </c>
      <c r="K1781" t="s">
        <v>3767</v>
      </c>
      <c r="L1781" s="1">
        <v>41207</v>
      </c>
      <c r="N1781" t="s">
        <v>36</v>
      </c>
      <c r="O1781" t="s">
        <v>37</v>
      </c>
      <c r="P1781" t="s">
        <v>422</v>
      </c>
      <c r="Q1781" t="s">
        <v>39</v>
      </c>
      <c r="R1781" t="s">
        <v>40</v>
      </c>
      <c r="S1781">
        <v>0</v>
      </c>
      <c r="U1781" t="s">
        <v>41</v>
      </c>
      <c r="V1781" t="s">
        <v>42</v>
      </c>
      <c r="X1781" t="s">
        <v>74</v>
      </c>
      <c r="Y1781" t="b">
        <v>0</v>
      </c>
      <c r="Z1781" t="b">
        <v>0</v>
      </c>
      <c r="AB1781" t="s">
        <v>954</v>
      </c>
      <c r="AC1781" s="1">
        <v>41279</v>
      </c>
      <c r="AE1781" t="s">
        <v>955</v>
      </c>
      <c r="AF1781">
        <v>0</v>
      </c>
      <c r="AG1781">
        <v>30</v>
      </c>
      <c r="AH1781">
        <v>106</v>
      </c>
      <c r="AI1781" s="2">
        <f>Table__192.168.3.138DYLAgingReport[[#This Row],[NetAmount]]-Table__192.168.3.138DYLAgingReport[[#This Row],[Paid]]</f>
        <v>2018400</v>
      </c>
    </row>
    <row r="1782" spans="1:35">
      <c r="A1782" t="s">
        <v>3768</v>
      </c>
      <c r="B1782" s="1">
        <v>41206</v>
      </c>
      <c r="C1782" s="1">
        <v>41251</v>
      </c>
      <c r="D1782" t="s">
        <v>167</v>
      </c>
      <c r="E1782">
        <v>47588</v>
      </c>
      <c r="F1782">
        <v>7614</v>
      </c>
      <c r="G1782">
        <v>0</v>
      </c>
      <c r="H1782">
        <v>0</v>
      </c>
      <c r="I1782">
        <v>62</v>
      </c>
      <c r="J1782">
        <v>55202</v>
      </c>
      <c r="K1782" t="s">
        <v>3769</v>
      </c>
      <c r="L1782" s="1">
        <v>41206</v>
      </c>
      <c r="N1782" t="s">
        <v>36</v>
      </c>
      <c r="O1782" t="s">
        <v>37</v>
      </c>
      <c r="P1782" t="s">
        <v>304</v>
      </c>
      <c r="Q1782" t="s">
        <v>39</v>
      </c>
      <c r="R1782" t="s">
        <v>40</v>
      </c>
      <c r="S1782">
        <v>0</v>
      </c>
      <c r="U1782" t="s">
        <v>41</v>
      </c>
      <c r="V1782" t="s">
        <v>42</v>
      </c>
      <c r="X1782" t="s">
        <v>74</v>
      </c>
      <c r="Y1782" t="b">
        <v>0</v>
      </c>
      <c r="Z1782" t="b">
        <v>0</v>
      </c>
      <c r="AC1782" s="1"/>
      <c r="AF1782">
        <v>0</v>
      </c>
      <c r="AG1782">
        <v>45</v>
      </c>
      <c r="AH1782">
        <v>107</v>
      </c>
      <c r="AI1782" s="2">
        <f>Table__192.168.3.138DYLAgingReport[[#This Row],[NetAmount]]-Table__192.168.3.138DYLAgingReport[[#This Row],[Paid]]</f>
        <v>55202</v>
      </c>
    </row>
    <row r="1783" spans="1:35">
      <c r="A1783" t="s">
        <v>3770</v>
      </c>
      <c r="B1783" s="1">
        <v>41204</v>
      </c>
      <c r="C1783" s="1">
        <v>41249</v>
      </c>
      <c r="D1783" t="s">
        <v>257</v>
      </c>
      <c r="E1783">
        <v>80000</v>
      </c>
      <c r="F1783">
        <v>12800</v>
      </c>
      <c r="G1783">
        <v>0</v>
      </c>
      <c r="H1783">
        <v>0</v>
      </c>
      <c r="I1783">
        <v>64</v>
      </c>
      <c r="J1783">
        <v>92800</v>
      </c>
      <c r="K1783" t="s">
        <v>3771</v>
      </c>
      <c r="L1783" s="1">
        <v>41204</v>
      </c>
      <c r="N1783" t="s">
        <v>36</v>
      </c>
      <c r="O1783" t="s">
        <v>37</v>
      </c>
      <c r="P1783" t="s">
        <v>394</v>
      </c>
      <c r="Q1783" t="s">
        <v>39</v>
      </c>
      <c r="R1783" t="s">
        <v>40</v>
      </c>
      <c r="S1783">
        <v>0</v>
      </c>
      <c r="U1783" t="s">
        <v>41</v>
      </c>
      <c r="V1783" t="s">
        <v>42</v>
      </c>
      <c r="X1783" t="s">
        <v>74</v>
      </c>
      <c r="Y1783" t="b">
        <v>0</v>
      </c>
      <c r="Z1783" t="b">
        <v>0</v>
      </c>
      <c r="AC1783" s="1"/>
      <c r="AF1783">
        <v>0</v>
      </c>
      <c r="AG1783">
        <v>45</v>
      </c>
      <c r="AH1783">
        <v>109</v>
      </c>
      <c r="AI1783" s="2">
        <f>Table__192.168.3.138DYLAgingReport[[#This Row],[NetAmount]]-Table__192.168.3.138DYLAgingReport[[#This Row],[Paid]]</f>
        <v>92800</v>
      </c>
    </row>
    <row r="1784" spans="1:35">
      <c r="A1784" t="s">
        <v>3772</v>
      </c>
      <c r="B1784" s="1">
        <v>41205</v>
      </c>
      <c r="C1784" s="1">
        <v>41250</v>
      </c>
      <c r="D1784" t="s">
        <v>220</v>
      </c>
      <c r="E1784">
        <v>326000</v>
      </c>
      <c r="F1784">
        <v>52160</v>
      </c>
      <c r="G1784">
        <v>0</v>
      </c>
      <c r="H1784">
        <v>0</v>
      </c>
      <c r="I1784">
        <v>63</v>
      </c>
      <c r="J1784">
        <v>378160</v>
      </c>
      <c r="K1784" t="s">
        <v>3773</v>
      </c>
      <c r="L1784" s="1">
        <v>41205</v>
      </c>
      <c r="N1784" t="s">
        <v>36</v>
      </c>
      <c r="O1784" t="s">
        <v>37</v>
      </c>
      <c r="P1784" t="s">
        <v>357</v>
      </c>
      <c r="Q1784" t="s">
        <v>39</v>
      </c>
      <c r="R1784" t="s">
        <v>40</v>
      </c>
      <c r="S1784">
        <v>0</v>
      </c>
      <c r="U1784" t="s">
        <v>41</v>
      </c>
      <c r="V1784" t="s">
        <v>42</v>
      </c>
      <c r="X1784" t="s">
        <v>74</v>
      </c>
      <c r="Y1784" t="b">
        <v>0</v>
      </c>
      <c r="Z1784" t="b">
        <v>0</v>
      </c>
      <c r="AC1784" s="1"/>
      <c r="AF1784">
        <v>0</v>
      </c>
      <c r="AG1784">
        <v>45</v>
      </c>
      <c r="AH1784">
        <v>108</v>
      </c>
      <c r="AI1784" s="2">
        <f>Table__192.168.3.138DYLAgingReport[[#This Row],[NetAmount]]-Table__192.168.3.138DYLAgingReport[[#This Row],[Paid]]</f>
        <v>378160</v>
      </c>
    </row>
    <row r="1785" spans="1:35">
      <c r="A1785" t="s">
        <v>3774</v>
      </c>
      <c r="B1785" s="1">
        <v>41207</v>
      </c>
      <c r="C1785" s="1">
        <v>41252</v>
      </c>
      <c r="D1785" t="s">
        <v>220</v>
      </c>
      <c r="E1785">
        <v>147500</v>
      </c>
      <c r="F1785">
        <v>23600</v>
      </c>
      <c r="G1785">
        <v>0</v>
      </c>
      <c r="H1785">
        <v>0</v>
      </c>
      <c r="I1785">
        <v>61</v>
      </c>
      <c r="J1785">
        <v>171100</v>
      </c>
      <c r="K1785" t="s">
        <v>3775</v>
      </c>
      <c r="L1785" s="1">
        <v>41207</v>
      </c>
      <c r="N1785" t="s">
        <v>36</v>
      </c>
      <c r="O1785" t="s">
        <v>37</v>
      </c>
      <c r="P1785" t="s">
        <v>357</v>
      </c>
      <c r="Q1785" t="s">
        <v>39</v>
      </c>
      <c r="R1785" t="s">
        <v>40</v>
      </c>
      <c r="S1785">
        <v>0</v>
      </c>
      <c r="U1785" t="s">
        <v>41</v>
      </c>
      <c r="V1785" t="s">
        <v>42</v>
      </c>
      <c r="X1785" t="s">
        <v>74</v>
      </c>
      <c r="Y1785" t="b">
        <v>0</v>
      </c>
      <c r="Z1785" t="b">
        <v>0</v>
      </c>
      <c r="AC1785" s="1"/>
      <c r="AF1785">
        <v>0</v>
      </c>
      <c r="AG1785">
        <v>45</v>
      </c>
      <c r="AH1785">
        <v>106</v>
      </c>
      <c r="AI1785" s="2">
        <f>Table__192.168.3.138DYLAgingReport[[#This Row],[NetAmount]]-Table__192.168.3.138DYLAgingReport[[#This Row],[Paid]]</f>
        <v>171100</v>
      </c>
    </row>
    <row r="1786" spans="1:35">
      <c r="A1786" t="s">
        <v>3776</v>
      </c>
      <c r="B1786" s="1">
        <v>41201</v>
      </c>
      <c r="C1786" s="1">
        <v>41246</v>
      </c>
      <c r="D1786" t="s">
        <v>251</v>
      </c>
      <c r="E1786">
        <v>134500</v>
      </c>
      <c r="F1786">
        <v>21520</v>
      </c>
      <c r="G1786">
        <v>0</v>
      </c>
      <c r="H1786">
        <v>0</v>
      </c>
      <c r="I1786">
        <v>68</v>
      </c>
      <c r="J1786">
        <v>156020</v>
      </c>
      <c r="K1786" t="s">
        <v>3777</v>
      </c>
      <c r="L1786" s="1">
        <v>41200</v>
      </c>
      <c r="N1786" t="s">
        <v>36</v>
      </c>
      <c r="O1786" t="s">
        <v>37</v>
      </c>
      <c r="P1786" t="s">
        <v>388</v>
      </c>
      <c r="Q1786" t="s">
        <v>39</v>
      </c>
      <c r="R1786" t="s">
        <v>40</v>
      </c>
      <c r="S1786">
        <v>0</v>
      </c>
      <c r="U1786" t="s">
        <v>41</v>
      </c>
      <c r="V1786" t="s">
        <v>42</v>
      </c>
      <c r="X1786" t="s">
        <v>74</v>
      </c>
      <c r="Y1786" t="b">
        <v>0</v>
      </c>
      <c r="Z1786" t="b">
        <v>0</v>
      </c>
      <c r="AB1786" t="s">
        <v>915</v>
      </c>
      <c r="AC1786" s="1">
        <v>41275</v>
      </c>
      <c r="AF1786">
        <v>0</v>
      </c>
      <c r="AG1786">
        <v>45</v>
      </c>
      <c r="AH1786">
        <v>113</v>
      </c>
      <c r="AI1786" s="2">
        <f>Table__192.168.3.138DYLAgingReport[[#This Row],[NetAmount]]-Table__192.168.3.138DYLAgingReport[[#This Row],[Paid]]</f>
        <v>156020</v>
      </c>
    </row>
    <row r="1787" spans="1:35">
      <c r="A1787" t="s">
        <v>3778</v>
      </c>
      <c r="B1787" s="1">
        <v>41207</v>
      </c>
      <c r="C1787" s="1">
        <v>41252</v>
      </c>
      <c r="D1787" t="s">
        <v>251</v>
      </c>
      <c r="E1787">
        <v>176550</v>
      </c>
      <c r="F1787">
        <v>28248</v>
      </c>
      <c r="G1787">
        <v>0</v>
      </c>
      <c r="H1787">
        <v>0</v>
      </c>
      <c r="I1787">
        <v>56</v>
      </c>
      <c r="J1787">
        <v>204798</v>
      </c>
      <c r="K1787" t="s">
        <v>3779</v>
      </c>
      <c r="L1787" s="1">
        <v>41212</v>
      </c>
      <c r="N1787" t="s">
        <v>36</v>
      </c>
      <c r="O1787" t="s">
        <v>37</v>
      </c>
      <c r="P1787" t="s">
        <v>388</v>
      </c>
      <c r="Q1787" t="s">
        <v>39</v>
      </c>
      <c r="R1787" t="s">
        <v>40</v>
      </c>
      <c r="S1787">
        <v>0</v>
      </c>
      <c r="U1787" t="s">
        <v>41</v>
      </c>
      <c r="V1787" t="s">
        <v>42</v>
      </c>
      <c r="X1787" t="s">
        <v>74</v>
      </c>
      <c r="Y1787" t="b">
        <v>0</v>
      </c>
      <c r="Z1787" t="b">
        <v>0</v>
      </c>
      <c r="AB1787" t="s">
        <v>915</v>
      </c>
      <c r="AC1787" s="1">
        <v>41275</v>
      </c>
      <c r="AF1787">
        <v>0</v>
      </c>
      <c r="AG1787">
        <v>45</v>
      </c>
      <c r="AH1787">
        <v>101</v>
      </c>
      <c r="AI1787" s="2">
        <f>Table__192.168.3.138DYLAgingReport[[#This Row],[NetAmount]]-Table__192.168.3.138DYLAgingReport[[#This Row],[Paid]]</f>
        <v>204798</v>
      </c>
    </row>
    <row r="1788" spans="1:35">
      <c r="A1788" t="s">
        <v>3780</v>
      </c>
      <c r="B1788" s="1">
        <v>41213</v>
      </c>
      <c r="C1788" s="1">
        <v>41258</v>
      </c>
      <c r="D1788" t="s">
        <v>251</v>
      </c>
      <c r="E1788">
        <v>111040</v>
      </c>
      <c r="F1788">
        <v>17766</v>
      </c>
      <c r="G1788">
        <v>0</v>
      </c>
      <c r="H1788">
        <v>0</v>
      </c>
      <c r="I1788">
        <v>55</v>
      </c>
      <c r="J1788">
        <v>128806</v>
      </c>
      <c r="K1788" t="s">
        <v>3781</v>
      </c>
      <c r="L1788" s="1">
        <v>41213</v>
      </c>
      <c r="N1788" t="s">
        <v>36</v>
      </c>
      <c r="O1788" t="s">
        <v>37</v>
      </c>
      <c r="P1788" t="s">
        <v>388</v>
      </c>
      <c r="Q1788" t="s">
        <v>39</v>
      </c>
      <c r="R1788" t="s">
        <v>40</v>
      </c>
      <c r="S1788">
        <v>0</v>
      </c>
      <c r="U1788" t="s">
        <v>41</v>
      </c>
      <c r="V1788" t="s">
        <v>42</v>
      </c>
      <c r="X1788" t="s">
        <v>74</v>
      </c>
      <c r="Y1788" t="b">
        <v>0</v>
      </c>
      <c r="Z1788" t="b">
        <v>0</v>
      </c>
      <c r="AB1788" t="s">
        <v>915</v>
      </c>
      <c r="AC1788" s="1">
        <v>41275</v>
      </c>
      <c r="AF1788">
        <v>0</v>
      </c>
      <c r="AG1788">
        <v>45</v>
      </c>
      <c r="AH1788">
        <v>100</v>
      </c>
      <c r="AI1788" s="2">
        <f>Table__192.168.3.138DYLAgingReport[[#This Row],[NetAmount]]-Table__192.168.3.138DYLAgingReport[[#This Row],[Paid]]</f>
        <v>128806</v>
      </c>
    </row>
    <row r="1789" spans="1:35">
      <c r="A1789" t="s">
        <v>3782</v>
      </c>
      <c r="B1789" s="1">
        <v>41207</v>
      </c>
      <c r="C1789" s="1">
        <v>41252</v>
      </c>
      <c r="D1789" t="s">
        <v>270</v>
      </c>
      <c r="E1789">
        <v>55000</v>
      </c>
      <c r="F1789">
        <v>8800</v>
      </c>
      <c r="G1789">
        <v>0</v>
      </c>
      <c r="H1789">
        <v>0</v>
      </c>
      <c r="I1789">
        <v>76</v>
      </c>
      <c r="J1789">
        <v>63800</v>
      </c>
      <c r="K1789" t="s">
        <v>3783</v>
      </c>
      <c r="L1789" s="1">
        <v>41207</v>
      </c>
      <c r="N1789" t="s">
        <v>36</v>
      </c>
      <c r="O1789" t="s">
        <v>37</v>
      </c>
      <c r="P1789" t="s">
        <v>407</v>
      </c>
      <c r="Q1789" t="s">
        <v>39</v>
      </c>
      <c r="R1789" t="s">
        <v>40</v>
      </c>
      <c r="S1789">
        <v>0</v>
      </c>
      <c r="U1789" t="s">
        <v>41</v>
      </c>
      <c r="V1789" t="s">
        <v>42</v>
      </c>
      <c r="X1789" t="s">
        <v>74</v>
      </c>
      <c r="Y1789" t="b">
        <v>0</v>
      </c>
      <c r="Z1789" t="b">
        <v>0</v>
      </c>
      <c r="AC1789" s="1"/>
      <c r="AF1789">
        <v>0</v>
      </c>
      <c r="AG1789">
        <v>30</v>
      </c>
      <c r="AH1789">
        <v>106</v>
      </c>
      <c r="AI1789" s="2">
        <f>Table__192.168.3.138DYLAgingReport[[#This Row],[NetAmount]]-Table__192.168.3.138DYLAgingReport[[#This Row],[Paid]]</f>
        <v>63800</v>
      </c>
    </row>
    <row r="1790" spans="1:35">
      <c r="A1790" t="s">
        <v>3784</v>
      </c>
      <c r="B1790" s="1">
        <v>41205</v>
      </c>
      <c r="C1790" s="1">
        <v>41250</v>
      </c>
      <c r="D1790" t="s">
        <v>270</v>
      </c>
      <c r="E1790">
        <v>44000</v>
      </c>
      <c r="F1790">
        <v>7040</v>
      </c>
      <c r="G1790">
        <v>0</v>
      </c>
      <c r="H1790">
        <v>0</v>
      </c>
      <c r="I1790">
        <v>78</v>
      </c>
      <c r="J1790">
        <v>51040</v>
      </c>
      <c r="K1790" t="s">
        <v>3785</v>
      </c>
      <c r="L1790" s="1">
        <v>41205</v>
      </c>
      <c r="N1790" t="s">
        <v>36</v>
      </c>
      <c r="O1790" t="s">
        <v>37</v>
      </c>
      <c r="P1790" t="s">
        <v>407</v>
      </c>
      <c r="Q1790" t="s">
        <v>39</v>
      </c>
      <c r="R1790" t="s">
        <v>40</v>
      </c>
      <c r="S1790">
        <v>0</v>
      </c>
      <c r="U1790" t="s">
        <v>41</v>
      </c>
      <c r="V1790" t="s">
        <v>42</v>
      </c>
      <c r="X1790" t="s">
        <v>74</v>
      </c>
      <c r="Y1790" t="b">
        <v>0</v>
      </c>
      <c r="Z1790" t="b">
        <v>0</v>
      </c>
      <c r="AC1790" s="1"/>
      <c r="AF1790">
        <v>0</v>
      </c>
      <c r="AG1790">
        <v>30</v>
      </c>
      <c r="AH1790">
        <v>108</v>
      </c>
      <c r="AI1790" s="2">
        <f>Table__192.168.3.138DYLAgingReport[[#This Row],[NetAmount]]-Table__192.168.3.138DYLAgingReport[[#This Row],[Paid]]</f>
        <v>51040</v>
      </c>
    </row>
    <row r="1791" spans="1:35">
      <c r="A1791" t="s">
        <v>3786</v>
      </c>
      <c r="B1791" s="1">
        <v>41213</v>
      </c>
      <c r="C1791" s="1">
        <v>41258</v>
      </c>
      <c r="D1791" t="s">
        <v>282</v>
      </c>
      <c r="E1791">
        <v>215000</v>
      </c>
      <c r="F1791">
        <v>34400</v>
      </c>
      <c r="G1791">
        <v>0</v>
      </c>
      <c r="H1791">
        <v>0</v>
      </c>
      <c r="I1791">
        <v>55</v>
      </c>
      <c r="J1791">
        <v>249400</v>
      </c>
      <c r="K1791" t="s">
        <v>1435</v>
      </c>
      <c r="L1791" s="1">
        <v>41213</v>
      </c>
      <c r="N1791" t="s">
        <v>36</v>
      </c>
      <c r="O1791" t="s">
        <v>37</v>
      </c>
      <c r="P1791" t="s">
        <v>419</v>
      </c>
      <c r="Q1791" t="s">
        <v>39</v>
      </c>
      <c r="R1791" t="s">
        <v>40</v>
      </c>
      <c r="S1791">
        <v>0</v>
      </c>
      <c r="U1791" t="s">
        <v>41</v>
      </c>
      <c r="V1791" t="s">
        <v>42</v>
      </c>
      <c r="X1791" t="s">
        <v>74</v>
      </c>
      <c r="Y1791" t="b">
        <v>0</v>
      </c>
      <c r="Z1791" t="b">
        <v>0</v>
      </c>
      <c r="AB1791" t="s">
        <v>936</v>
      </c>
      <c r="AC1791" s="1">
        <v>41297</v>
      </c>
      <c r="AF1791">
        <v>0</v>
      </c>
      <c r="AG1791">
        <v>45</v>
      </c>
      <c r="AH1791">
        <v>100</v>
      </c>
      <c r="AI1791" s="2">
        <f>Table__192.168.3.138DYLAgingReport[[#This Row],[NetAmount]]-Table__192.168.3.138DYLAgingReport[[#This Row],[Paid]]</f>
        <v>249400</v>
      </c>
    </row>
    <row r="1792" spans="1:35">
      <c r="A1792" t="s">
        <v>3787</v>
      </c>
      <c r="B1792" s="1">
        <v>41206</v>
      </c>
      <c r="C1792" s="1">
        <v>41251</v>
      </c>
      <c r="D1792" t="s">
        <v>227</v>
      </c>
      <c r="E1792">
        <v>217500</v>
      </c>
      <c r="F1792">
        <v>34800</v>
      </c>
      <c r="G1792">
        <v>0</v>
      </c>
      <c r="H1792">
        <v>0</v>
      </c>
      <c r="I1792">
        <v>63</v>
      </c>
      <c r="J1792">
        <v>252300</v>
      </c>
      <c r="K1792" t="s">
        <v>3788</v>
      </c>
      <c r="L1792" s="1">
        <v>41205</v>
      </c>
      <c r="N1792" t="s">
        <v>36</v>
      </c>
      <c r="O1792" t="s">
        <v>37</v>
      </c>
      <c r="P1792" t="s">
        <v>364</v>
      </c>
      <c r="Q1792" t="s">
        <v>39</v>
      </c>
      <c r="R1792" t="s">
        <v>40</v>
      </c>
      <c r="S1792">
        <v>0</v>
      </c>
      <c r="U1792" t="s">
        <v>41</v>
      </c>
      <c r="V1792" t="s">
        <v>42</v>
      </c>
      <c r="X1792" t="s">
        <v>74</v>
      </c>
      <c r="Y1792" t="b">
        <v>0</v>
      </c>
      <c r="Z1792" t="b">
        <v>0</v>
      </c>
      <c r="AC1792" s="1"/>
      <c r="AF1792">
        <v>0</v>
      </c>
      <c r="AG1792">
        <v>45</v>
      </c>
      <c r="AH1792">
        <v>108</v>
      </c>
      <c r="AI1792" s="2">
        <f>Table__192.168.3.138DYLAgingReport[[#This Row],[NetAmount]]-Table__192.168.3.138DYLAgingReport[[#This Row],[Paid]]</f>
        <v>252300</v>
      </c>
    </row>
    <row r="1793" spans="1:35">
      <c r="A1793" t="s">
        <v>3789</v>
      </c>
      <c r="B1793" s="1">
        <v>41206</v>
      </c>
      <c r="C1793" s="1">
        <v>41251</v>
      </c>
      <c r="D1793" t="s">
        <v>227</v>
      </c>
      <c r="E1793">
        <v>290500</v>
      </c>
      <c r="F1793">
        <v>46480</v>
      </c>
      <c r="G1793">
        <v>0</v>
      </c>
      <c r="H1793">
        <v>0</v>
      </c>
      <c r="I1793">
        <v>62</v>
      </c>
      <c r="J1793">
        <v>336980</v>
      </c>
      <c r="K1793" t="s">
        <v>3790</v>
      </c>
      <c r="L1793" s="1">
        <v>41206</v>
      </c>
      <c r="N1793" t="s">
        <v>36</v>
      </c>
      <c r="O1793" t="s">
        <v>37</v>
      </c>
      <c r="P1793" t="s">
        <v>364</v>
      </c>
      <c r="Q1793" t="s">
        <v>39</v>
      </c>
      <c r="R1793" t="s">
        <v>40</v>
      </c>
      <c r="S1793">
        <v>0</v>
      </c>
      <c r="U1793" t="s">
        <v>41</v>
      </c>
      <c r="V1793" t="s">
        <v>42</v>
      </c>
      <c r="X1793" t="s">
        <v>74</v>
      </c>
      <c r="Y1793" t="b">
        <v>0</v>
      </c>
      <c r="Z1793" t="b">
        <v>0</v>
      </c>
      <c r="AC1793" s="1"/>
      <c r="AF1793">
        <v>0</v>
      </c>
      <c r="AG1793">
        <v>45</v>
      </c>
      <c r="AH1793">
        <v>107</v>
      </c>
      <c r="AI1793" s="2">
        <f>Table__192.168.3.138DYLAgingReport[[#This Row],[NetAmount]]-Table__192.168.3.138DYLAgingReport[[#This Row],[Paid]]</f>
        <v>336980</v>
      </c>
    </row>
    <row r="1794" spans="1:35">
      <c r="A1794" t="s">
        <v>3791</v>
      </c>
      <c r="B1794" s="1">
        <v>41207</v>
      </c>
      <c r="C1794" s="1">
        <v>41252</v>
      </c>
      <c r="D1794" t="s">
        <v>227</v>
      </c>
      <c r="E1794">
        <v>825000</v>
      </c>
      <c r="F1794">
        <v>132000</v>
      </c>
      <c r="G1794">
        <v>0</v>
      </c>
      <c r="H1794">
        <v>0</v>
      </c>
      <c r="I1794">
        <v>61</v>
      </c>
      <c r="J1794">
        <v>957000</v>
      </c>
      <c r="K1794" t="s">
        <v>3792</v>
      </c>
      <c r="L1794" s="1">
        <v>41207</v>
      </c>
      <c r="N1794" t="s">
        <v>36</v>
      </c>
      <c r="O1794" t="s">
        <v>37</v>
      </c>
      <c r="P1794" t="s">
        <v>364</v>
      </c>
      <c r="Q1794" t="s">
        <v>39</v>
      </c>
      <c r="R1794" t="s">
        <v>40</v>
      </c>
      <c r="S1794">
        <v>0</v>
      </c>
      <c r="U1794" t="s">
        <v>41</v>
      </c>
      <c r="V1794" t="s">
        <v>42</v>
      </c>
      <c r="X1794" t="s">
        <v>74</v>
      </c>
      <c r="Y1794" t="b">
        <v>0</v>
      </c>
      <c r="Z1794" t="b">
        <v>0</v>
      </c>
      <c r="AC1794" s="1"/>
      <c r="AF1794">
        <v>0</v>
      </c>
      <c r="AG1794">
        <v>45</v>
      </c>
      <c r="AH1794">
        <v>106</v>
      </c>
      <c r="AI1794" s="2">
        <f>Table__192.168.3.138DYLAgingReport[[#This Row],[NetAmount]]-Table__192.168.3.138DYLAgingReport[[#This Row],[Paid]]</f>
        <v>957000</v>
      </c>
    </row>
    <row r="1795" spans="1:35">
      <c r="A1795" t="s">
        <v>3793</v>
      </c>
      <c r="B1795" s="1">
        <v>41212</v>
      </c>
      <c r="C1795" s="1">
        <v>41257</v>
      </c>
      <c r="D1795" t="s">
        <v>227</v>
      </c>
      <c r="E1795">
        <v>198500</v>
      </c>
      <c r="F1795">
        <v>31760</v>
      </c>
      <c r="G1795">
        <v>0</v>
      </c>
      <c r="H1795">
        <v>0</v>
      </c>
      <c r="I1795">
        <v>56</v>
      </c>
      <c r="J1795">
        <v>230260</v>
      </c>
      <c r="K1795" t="s">
        <v>3794</v>
      </c>
      <c r="L1795" s="1">
        <v>41212</v>
      </c>
      <c r="N1795" t="s">
        <v>36</v>
      </c>
      <c r="O1795" t="s">
        <v>37</v>
      </c>
      <c r="P1795" t="s">
        <v>364</v>
      </c>
      <c r="Q1795" t="s">
        <v>39</v>
      </c>
      <c r="R1795" t="s">
        <v>40</v>
      </c>
      <c r="S1795">
        <v>0</v>
      </c>
      <c r="U1795" t="s">
        <v>41</v>
      </c>
      <c r="V1795" t="s">
        <v>42</v>
      </c>
      <c r="X1795" t="s">
        <v>74</v>
      </c>
      <c r="Y1795" t="b">
        <v>0</v>
      </c>
      <c r="Z1795" t="b">
        <v>0</v>
      </c>
      <c r="AC1795" s="1"/>
      <c r="AF1795">
        <v>0</v>
      </c>
      <c r="AG1795">
        <v>45</v>
      </c>
      <c r="AH1795">
        <v>101</v>
      </c>
      <c r="AI1795" s="2">
        <f>Table__192.168.3.138DYLAgingReport[[#This Row],[NetAmount]]-Table__192.168.3.138DYLAgingReport[[#This Row],[Paid]]</f>
        <v>230260</v>
      </c>
    </row>
    <row r="1796" spans="1:35">
      <c r="A1796" t="s">
        <v>3795</v>
      </c>
      <c r="B1796" s="1">
        <v>41213</v>
      </c>
      <c r="C1796" s="1">
        <v>41258</v>
      </c>
      <c r="D1796" t="s">
        <v>227</v>
      </c>
      <c r="E1796">
        <v>493000</v>
      </c>
      <c r="F1796">
        <v>78880</v>
      </c>
      <c r="G1796">
        <v>0</v>
      </c>
      <c r="H1796">
        <v>0</v>
      </c>
      <c r="I1796">
        <v>55</v>
      </c>
      <c r="J1796">
        <v>571880</v>
      </c>
      <c r="K1796" t="s">
        <v>3796</v>
      </c>
      <c r="L1796" s="1">
        <v>41213</v>
      </c>
      <c r="N1796" t="s">
        <v>36</v>
      </c>
      <c r="O1796" t="s">
        <v>37</v>
      </c>
      <c r="P1796" t="s">
        <v>364</v>
      </c>
      <c r="Q1796" t="s">
        <v>39</v>
      </c>
      <c r="R1796" t="s">
        <v>40</v>
      </c>
      <c r="S1796">
        <v>0</v>
      </c>
      <c r="U1796" t="s">
        <v>41</v>
      </c>
      <c r="V1796" t="s">
        <v>42</v>
      </c>
      <c r="X1796" t="s">
        <v>74</v>
      </c>
      <c r="Y1796" t="b">
        <v>0</v>
      </c>
      <c r="Z1796" t="b">
        <v>0</v>
      </c>
      <c r="AC1796" s="1"/>
      <c r="AF1796">
        <v>0</v>
      </c>
      <c r="AG1796">
        <v>45</v>
      </c>
      <c r="AH1796">
        <v>100</v>
      </c>
      <c r="AI1796" s="2">
        <f>Table__192.168.3.138DYLAgingReport[[#This Row],[NetAmount]]-Table__192.168.3.138DYLAgingReport[[#This Row],[Paid]]</f>
        <v>571880</v>
      </c>
    </row>
    <row r="1797" spans="1:35">
      <c r="A1797" t="s">
        <v>3797</v>
      </c>
      <c r="B1797" s="1">
        <v>41206</v>
      </c>
      <c r="C1797" s="1">
        <v>41251</v>
      </c>
      <c r="D1797" t="s">
        <v>258</v>
      </c>
      <c r="E1797">
        <v>31000</v>
      </c>
      <c r="F1797">
        <v>4960</v>
      </c>
      <c r="G1797">
        <v>0</v>
      </c>
      <c r="H1797">
        <v>0</v>
      </c>
      <c r="I1797">
        <v>62</v>
      </c>
      <c r="J1797">
        <v>35960</v>
      </c>
      <c r="K1797" t="s">
        <v>3798</v>
      </c>
      <c r="L1797" s="1">
        <v>41206</v>
      </c>
      <c r="N1797" t="s">
        <v>36</v>
      </c>
      <c r="O1797" t="s">
        <v>37</v>
      </c>
      <c r="P1797" t="s">
        <v>395</v>
      </c>
      <c r="Q1797" t="s">
        <v>39</v>
      </c>
      <c r="R1797" t="s">
        <v>40</v>
      </c>
      <c r="S1797">
        <v>0</v>
      </c>
      <c r="U1797" t="s">
        <v>41</v>
      </c>
      <c r="V1797" t="s">
        <v>42</v>
      </c>
      <c r="X1797" t="s">
        <v>74</v>
      </c>
      <c r="Y1797" t="b">
        <v>0</v>
      </c>
      <c r="Z1797" t="b">
        <v>0</v>
      </c>
      <c r="AC1797" s="1"/>
      <c r="AF1797">
        <v>0</v>
      </c>
      <c r="AG1797">
        <v>45</v>
      </c>
      <c r="AH1797">
        <v>107</v>
      </c>
      <c r="AI1797" s="2">
        <f>Table__192.168.3.138DYLAgingReport[[#This Row],[NetAmount]]-Table__192.168.3.138DYLAgingReport[[#This Row],[Paid]]</f>
        <v>35960</v>
      </c>
    </row>
    <row r="1798" spans="1:35">
      <c r="A1798" t="s">
        <v>3799</v>
      </c>
      <c r="B1798" s="1">
        <v>41213</v>
      </c>
      <c r="C1798" s="1">
        <v>41258</v>
      </c>
      <c r="D1798" t="s">
        <v>258</v>
      </c>
      <c r="E1798">
        <v>21700</v>
      </c>
      <c r="F1798">
        <v>3472</v>
      </c>
      <c r="G1798">
        <v>0</v>
      </c>
      <c r="H1798">
        <v>0</v>
      </c>
      <c r="I1798">
        <v>55</v>
      </c>
      <c r="J1798">
        <v>25172</v>
      </c>
      <c r="K1798" t="s">
        <v>3800</v>
      </c>
      <c r="L1798" s="1">
        <v>41213</v>
      </c>
      <c r="N1798" t="s">
        <v>36</v>
      </c>
      <c r="O1798" t="s">
        <v>37</v>
      </c>
      <c r="P1798" t="s">
        <v>395</v>
      </c>
      <c r="Q1798" t="s">
        <v>39</v>
      </c>
      <c r="R1798" t="s">
        <v>40</v>
      </c>
      <c r="S1798">
        <v>0</v>
      </c>
      <c r="U1798" t="s">
        <v>41</v>
      </c>
      <c r="V1798" t="s">
        <v>42</v>
      </c>
      <c r="X1798" t="s">
        <v>74</v>
      </c>
      <c r="Y1798" t="b">
        <v>0</v>
      </c>
      <c r="Z1798" t="b">
        <v>0</v>
      </c>
      <c r="AC1798" s="1"/>
      <c r="AF1798">
        <v>0</v>
      </c>
      <c r="AG1798">
        <v>45</v>
      </c>
      <c r="AH1798">
        <v>100</v>
      </c>
      <c r="AI1798" s="2">
        <f>Table__192.168.3.138DYLAgingReport[[#This Row],[NetAmount]]-Table__192.168.3.138DYLAgingReport[[#This Row],[Paid]]</f>
        <v>25172</v>
      </c>
    </row>
    <row r="1799" spans="1:35">
      <c r="A1799" t="s">
        <v>3801</v>
      </c>
      <c r="B1799" s="1">
        <v>41205</v>
      </c>
      <c r="C1799" s="1">
        <v>41250</v>
      </c>
      <c r="D1799" t="s">
        <v>258</v>
      </c>
      <c r="E1799">
        <v>69057</v>
      </c>
      <c r="F1799">
        <v>11049</v>
      </c>
      <c r="G1799">
        <v>0</v>
      </c>
      <c r="H1799">
        <v>0</v>
      </c>
      <c r="I1799">
        <v>63</v>
      </c>
      <c r="J1799">
        <v>80106</v>
      </c>
      <c r="K1799" t="s">
        <v>3802</v>
      </c>
      <c r="L1799" s="1">
        <v>41205</v>
      </c>
      <c r="N1799" t="s">
        <v>36</v>
      </c>
      <c r="O1799" t="s">
        <v>37</v>
      </c>
      <c r="P1799" t="s">
        <v>395</v>
      </c>
      <c r="Q1799" t="s">
        <v>39</v>
      </c>
      <c r="R1799" t="s">
        <v>40</v>
      </c>
      <c r="S1799">
        <v>0</v>
      </c>
      <c r="U1799" t="s">
        <v>41</v>
      </c>
      <c r="V1799" t="s">
        <v>42</v>
      </c>
      <c r="X1799" t="s">
        <v>74</v>
      </c>
      <c r="Y1799" t="b">
        <v>0</v>
      </c>
      <c r="Z1799" t="b">
        <v>0</v>
      </c>
      <c r="AC1799" s="1"/>
      <c r="AF1799">
        <v>0</v>
      </c>
      <c r="AG1799">
        <v>45</v>
      </c>
      <c r="AH1799">
        <v>108</v>
      </c>
      <c r="AI1799" s="2">
        <f>Table__192.168.3.138DYLAgingReport[[#This Row],[NetAmount]]-Table__192.168.3.138DYLAgingReport[[#This Row],[Paid]]</f>
        <v>80106</v>
      </c>
    </row>
    <row r="1800" spans="1:35">
      <c r="A1800" t="s">
        <v>3803</v>
      </c>
      <c r="B1800" s="1">
        <v>41201</v>
      </c>
      <c r="C1800" s="1">
        <v>41246</v>
      </c>
      <c r="D1800" t="s">
        <v>258</v>
      </c>
      <c r="E1800">
        <v>97453</v>
      </c>
      <c r="F1800">
        <v>15592</v>
      </c>
      <c r="G1800">
        <v>0</v>
      </c>
      <c r="H1800">
        <v>0</v>
      </c>
      <c r="I1800">
        <v>68</v>
      </c>
      <c r="J1800">
        <v>113045</v>
      </c>
      <c r="K1800" t="s">
        <v>3804</v>
      </c>
      <c r="L1800" s="1">
        <v>41200</v>
      </c>
      <c r="N1800" t="s">
        <v>36</v>
      </c>
      <c r="O1800" t="s">
        <v>37</v>
      </c>
      <c r="P1800" t="s">
        <v>395</v>
      </c>
      <c r="Q1800" t="s">
        <v>39</v>
      </c>
      <c r="R1800" t="s">
        <v>40</v>
      </c>
      <c r="S1800">
        <v>0</v>
      </c>
      <c r="U1800" t="s">
        <v>41</v>
      </c>
      <c r="V1800" t="s">
        <v>42</v>
      </c>
      <c r="X1800" t="s">
        <v>74</v>
      </c>
      <c r="Y1800" t="b">
        <v>0</v>
      </c>
      <c r="Z1800" t="b">
        <v>0</v>
      </c>
      <c r="AC1800" s="1"/>
      <c r="AF1800">
        <v>0</v>
      </c>
      <c r="AG1800">
        <v>45</v>
      </c>
      <c r="AH1800">
        <v>113</v>
      </c>
      <c r="AI1800" s="2">
        <f>Table__192.168.3.138DYLAgingReport[[#This Row],[NetAmount]]-Table__192.168.3.138DYLAgingReport[[#This Row],[Paid]]</f>
        <v>113045</v>
      </c>
    </row>
    <row r="1801" spans="1:35">
      <c r="A1801" t="s">
        <v>3805</v>
      </c>
      <c r="B1801" s="1">
        <v>41213</v>
      </c>
      <c r="C1801" s="1">
        <v>41258</v>
      </c>
      <c r="D1801" t="s">
        <v>202</v>
      </c>
      <c r="E1801">
        <v>6300</v>
      </c>
      <c r="F1801">
        <v>1008</v>
      </c>
      <c r="G1801">
        <v>0</v>
      </c>
      <c r="H1801">
        <v>0</v>
      </c>
      <c r="I1801">
        <v>55</v>
      </c>
      <c r="J1801">
        <v>7308</v>
      </c>
      <c r="K1801" t="s">
        <v>3806</v>
      </c>
      <c r="L1801" s="1">
        <v>41213</v>
      </c>
      <c r="N1801" t="s">
        <v>36</v>
      </c>
      <c r="O1801" t="s">
        <v>37</v>
      </c>
      <c r="P1801" t="s">
        <v>339</v>
      </c>
      <c r="Q1801" t="s">
        <v>39</v>
      </c>
      <c r="R1801" t="s">
        <v>40</v>
      </c>
      <c r="S1801">
        <v>0</v>
      </c>
      <c r="U1801" t="s">
        <v>41</v>
      </c>
      <c r="V1801" t="s">
        <v>42</v>
      </c>
      <c r="X1801" t="s">
        <v>74</v>
      </c>
      <c r="Y1801" t="b">
        <v>0</v>
      </c>
      <c r="Z1801" t="b">
        <v>0</v>
      </c>
      <c r="AC1801" s="1"/>
      <c r="AF1801">
        <v>0</v>
      </c>
      <c r="AG1801">
        <v>45</v>
      </c>
      <c r="AH1801">
        <v>100</v>
      </c>
      <c r="AI1801" s="2">
        <f>Table__192.168.3.138DYLAgingReport[[#This Row],[NetAmount]]-Table__192.168.3.138DYLAgingReport[[#This Row],[Paid]]</f>
        <v>7308</v>
      </c>
    </row>
    <row r="1802" spans="1:35">
      <c r="A1802" t="s">
        <v>3807</v>
      </c>
      <c r="B1802" s="1">
        <v>41200</v>
      </c>
      <c r="C1802" s="1">
        <v>41245</v>
      </c>
      <c r="D1802" t="s">
        <v>276</v>
      </c>
      <c r="E1802">
        <v>1200000</v>
      </c>
      <c r="F1802">
        <v>192000</v>
      </c>
      <c r="G1802">
        <v>0</v>
      </c>
      <c r="H1802">
        <v>0</v>
      </c>
      <c r="I1802">
        <v>68</v>
      </c>
      <c r="J1802">
        <v>1392000</v>
      </c>
      <c r="K1802" t="s">
        <v>3808</v>
      </c>
      <c r="L1802" s="1">
        <v>41200</v>
      </c>
      <c r="N1802" t="s">
        <v>36</v>
      </c>
      <c r="O1802" t="s">
        <v>37</v>
      </c>
      <c r="P1802" t="s">
        <v>413</v>
      </c>
      <c r="Q1802" t="s">
        <v>39</v>
      </c>
      <c r="R1802" t="s">
        <v>40</v>
      </c>
      <c r="S1802">
        <v>0</v>
      </c>
      <c r="U1802" t="s">
        <v>41</v>
      </c>
      <c r="V1802" t="s">
        <v>42</v>
      </c>
      <c r="X1802" t="s">
        <v>74</v>
      </c>
      <c r="Y1802" t="b">
        <v>0</v>
      </c>
      <c r="Z1802" t="b">
        <v>0</v>
      </c>
      <c r="AC1802" s="1"/>
      <c r="AF1802">
        <v>0</v>
      </c>
      <c r="AG1802">
        <v>45</v>
      </c>
      <c r="AH1802">
        <v>113</v>
      </c>
      <c r="AI1802" s="2">
        <f>Table__192.168.3.138DYLAgingReport[[#This Row],[NetAmount]]-Table__192.168.3.138DYLAgingReport[[#This Row],[Paid]]</f>
        <v>1392000</v>
      </c>
    </row>
    <row r="1803" spans="1:35">
      <c r="A1803" t="s">
        <v>3809</v>
      </c>
      <c r="B1803" s="1">
        <v>41203</v>
      </c>
      <c r="C1803" s="1">
        <v>41248</v>
      </c>
      <c r="D1803" t="s">
        <v>276</v>
      </c>
      <c r="E1803">
        <v>1440000</v>
      </c>
      <c r="F1803">
        <v>230400</v>
      </c>
      <c r="G1803">
        <v>0</v>
      </c>
      <c r="H1803">
        <v>0</v>
      </c>
      <c r="I1803">
        <v>66</v>
      </c>
      <c r="J1803">
        <v>1670400</v>
      </c>
      <c r="K1803" t="s">
        <v>3810</v>
      </c>
      <c r="L1803" s="1">
        <v>41202</v>
      </c>
      <c r="N1803" t="s">
        <v>36</v>
      </c>
      <c r="O1803" t="s">
        <v>37</v>
      </c>
      <c r="P1803" t="s">
        <v>413</v>
      </c>
      <c r="Q1803" t="s">
        <v>39</v>
      </c>
      <c r="R1803" t="s">
        <v>40</v>
      </c>
      <c r="S1803">
        <v>0</v>
      </c>
      <c r="U1803" t="s">
        <v>41</v>
      </c>
      <c r="V1803" t="s">
        <v>42</v>
      </c>
      <c r="X1803" t="s">
        <v>74</v>
      </c>
      <c r="Y1803" t="b">
        <v>0</v>
      </c>
      <c r="Z1803" t="b">
        <v>0</v>
      </c>
      <c r="AC1803" s="1"/>
      <c r="AF1803">
        <v>0</v>
      </c>
      <c r="AG1803">
        <v>45</v>
      </c>
      <c r="AH1803">
        <v>111</v>
      </c>
      <c r="AI1803" s="2">
        <f>Table__192.168.3.138DYLAgingReport[[#This Row],[NetAmount]]-Table__192.168.3.138DYLAgingReport[[#This Row],[Paid]]</f>
        <v>1670400</v>
      </c>
    </row>
    <row r="1804" spans="1:35">
      <c r="A1804" t="s">
        <v>3811</v>
      </c>
      <c r="B1804" s="1">
        <v>41199</v>
      </c>
      <c r="C1804" s="1">
        <v>41244</v>
      </c>
      <c r="D1804" t="s">
        <v>183</v>
      </c>
      <c r="E1804">
        <v>30400</v>
      </c>
      <c r="F1804">
        <v>4864</v>
      </c>
      <c r="G1804">
        <v>0</v>
      </c>
      <c r="H1804">
        <v>0</v>
      </c>
      <c r="I1804">
        <v>69</v>
      </c>
      <c r="J1804">
        <v>35264</v>
      </c>
      <c r="K1804" t="s">
        <v>3812</v>
      </c>
      <c r="L1804" s="1">
        <v>41199</v>
      </c>
      <c r="N1804" t="s">
        <v>36</v>
      </c>
      <c r="O1804" t="s">
        <v>37</v>
      </c>
      <c r="P1804" t="s">
        <v>320</v>
      </c>
      <c r="Q1804" t="s">
        <v>39</v>
      </c>
      <c r="R1804" t="s">
        <v>40</v>
      </c>
      <c r="S1804">
        <v>0</v>
      </c>
      <c r="U1804" t="s">
        <v>41</v>
      </c>
      <c r="V1804" t="s">
        <v>42</v>
      </c>
      <c r="X1804" t="s">
        <v>74</v>
      </c>
      <c r="Y1804" t="b">
        <v>0</v>
      </c>
      <c r="Z1804" t="b">
        <v>0</v>
      </c>
      <c r="AC1804" s="1"/>
      <c r="AF1804">
        <v>0</v>
      </c>
      <c r="AG1804">
        <v>45</v>
      </c>
      <c r="AH1804">
        <v>114</v>
      </c>
      <c r="AI1804" s="2">
        <f>Table__192.168.3.138DYLAgingReport[[#This Row],[NetAmount]]-Table__192.168.3.138DYLAgingReport[[#This Row],[Paid]]</f>
        <v>35264</v>
      </c>
    </row>
    <row r="1805" spans="1:35">
      <c r="A1805" t="s">
        <v>3813</v>
      </c>
      <c r="B1805" s="1">
        <v>41212</v>
      </c>
      <c r="C1805" s="1">
        <v>41257</v>
      </c>
      <c r="D1805" t="s">
        <v>183</v>
      </c>
      <c r="E1805">
        <v>73750</v>
      </c>
      <c r="F1805">
        <v>11800</v>
      </c>
      <c r="G1805">
        <v>0</v>
      </c>
      <c r="H1805">
        <v>0</v>
      </c>
      <c r="I1805">
        <v>56</v>
      </c>
      <c r="J1805">
        <v>85550</v>
      </c>
      <c r="K1805" t="s">
        <v>3814</v>
      </c>
      <c r="L1805" s="1">
        <v>41212</v>
      </c>
      <c r="N1805" t="s">
        <v>36</v>
      </c>
      <c r="O1805" t="s">
        <v>37</v>
      </c>
      <c r="P1805" t="s">
        <v>320</v>
      </c>
      <c r="Q1805" t="s">
        <v>39</v>
      </c>
      <c r="R1805" t="s">
        <v>40</v>
      </c>
      <c r="S1805">
        <v>0</v>
      </c>
      <c r="U1805" t="s">
        <v>41</v>
      </c>
      <c r="V1805" t="s">
        <v>42</v>
      </c>
      <c r="X1805" t="s">
        <v>74</v>
      </c>
      <c r="Y1805" t="b">
        <v>0</v>
      </c>
      <c r="Z1805" t="b">
        <v>0</v>
      </c>
      <c r="AC1805" s="1"/>
      <c r="AF1805">
        <v>0</v>
      </c>
      <c r="AG1805">
        <v>45</v>
      </c>
      <c r="AH1805">
        <v>101</v>
      </c>
      <c r="AI1805" s="2">
        <f>Table__192.168.3.138DYLAgingReport[[#This Row],[NetAmount]]-Table__192.168.3.138DYLAgingReport[[#This Row],[Paid]]</f>
        <v>85550</v>
      </c>
    </row>
    <row r="1806" spans="1:35">
      <c r="A1806" t="s">
        <v>3815</v>
      </c>
      <c r="B1806" s="1">
        <v>41199</v>
      </c>
      <c r="C1806" s="1">
        <v>41244</v>
      </c>
      <c r="D1806" t="s">
        <v>183</v>
      </c>
      <c r="E1806">
        <v>76346</v>
      </c>
      <c r="F1806">
        <v>12215</v>
      </c>
      <c r="G1806">
        <v>0</v>
      </c>
      <c r="H1806">
        <v>0</v>
      </c>
      <c r="I1806">
        <v>73</v>
      </c>
      <c r="J1806">
        <v>88561</v>
      </c>
      <c r="K1806" t="s">
        <v>1044</v>
      </c>
      <c r="L1806" s="1">
        <v>41195</v>
      </c>
      <c r="N1806" t="s">
        <v>36</v>
      </c>
      <c r="O1806" t="s">
        <v>37</v>
      </c>
      <c r="P1806" t="s">
        <v>320</v>
      </c>
      <c r="Q1806" t="s">
        <v>39</v>
      </c>
      <c r="R1806" t="s">
        <v>40</v>
      </c>
      <c r="S1806">
        <v>0</v>
      </c>
      <c r="U1806" t="s">
        <v>41</v>
      </c>
      <c r="V1806" t="s">
        <v>42</v>
      </c>
      <c r="X1806" t="s">
        <v>74</v>
      </c>
      <c r="Y1806" t="b">
        <v>0</v>
      </c>
      <c r="Z1806" t="b">
        <v>0</v>
      </c>
      <c r="AC1806" s="1"/>
      <c r="AF1806">
        <v>0</v>
      </c>
      <c r="AG1806">
        <v>45</v>
      </c>
      <c r="AH1806">
        <v>118</v>
      </c>
      <c r="AI1806" s="2">
        <f>Table__192.168.3.138DYLAgingReport[[#This Row],[NetAmount]]-Table__192.168.3.138DYLAgingReport[[#This Row],[Paid]]</f>
        <v>88561</v>
      </c>
    </row>
    <row r="1807" spans="1:35">
      <c r="A1807" t="s">
        <v>3816</v>
      </c>
      <c r="B1807" s="1">
        <v>41204</v>
      </c>
      <c r="C1807" s="1">
        <v>41249</v>
      </c>
      <c r="D1807" t="s">
        <v>183</v>
      </c>
      <c r="E1807">
        <v>38500</v>
      </c>
      <c r="F1807">
        <v>6160</v>
      </c>
      <c r="G1807">
        <v>0</v>
      </c>
      <c r="H1807">
        <v>0</v>
      </c>
      <c r="I1807">
        <v>66</v>
      </c>
      <c r="J1807">
        <v>44660</v>
      </c>
      <c r="K1807" t="s">
        <v>3817</v>
      </c>
      <c r="L1807" s="1">
        <v>41202</v>
      </c>
      <c r="N1807" t="s">
        <v>36</v>
      </c>
      <c r="O1807" t="s">
        <v>37</v>
      </c>
      <c r="P1807" t="s">
        <v>320</v>
      </c>
      <c r="Q1807" t="s">
        <v>39</v>
      </c>
      <c r="R1807" t="s">
        <v>40</v>
      </c>
      <c r="S1807">
        <v>0</v>
      </c>
      <c r="U1807" t="s">
        <v>41</v>
      </c>
      <c r="V1807" t="s">
        <v>42</v>
      </c>
      <c r="X1807" t="s">
        <v>74</v>
      </c>
      <c r="Y1807" t="b">
        <v>0</v>
      </c>
      <c r="Z1807" t="b">
        <v>0</v>
      </c>
      <c r="AC1807" s="1"/>
      <c r="AF1807">
        <v>0</v>
      </c>
      <c r="AG1807">
        <v>45</v>
      </c>
      <c r="AH1807">
        <v>111</v>
      </c>
      <c r="AI1807" s="2">
        <f>Table__192.168.3.138DYLAgingReport[[#This Row],[NetAmount]]-Table__192.168.3.138DYLAgingReport[[#This Row],[Paid]]</f>
        <v>44660</v>
      </c>
    </row>
    <row r="1808" spans="1:35">
      <c r="A1808" t="s">
        <v>3818</v>
      </c>
      <c r="B1808" s="1">
        <v>41207</v>
      </c>
      <c r="C1808" s="1">
        <v>41252</v>
      </c>
      <c r="D1808" t="s">
        <v>225</v>
      </c>
      <c r="E1808">
        <v>53136</v>
      </c>
      <c r="F1808">
        <v>0</v>
      </c>
      <c r="G1808">
        <v>0</v>
      </c>
      <c r="H1808">
        <v>0</v>
      </c>
      <c r="I1808">
        <v>61</v>
      </c>
      <c r="J1808">
        <v>53136</v>
      </c>
      <c r="K1808" t="s">
        <v>3819</v>
      </c>
      <c r="L1808" s="1">
        <v>41207</v>
      </c>
      <c r="N1808" t="s">
        <v>36</v>
      </c>
      <c r="O1808" t="s">
        <v>37</v>
      </c>
      <c r="P1808" t="s">
        <v>362</v>
      </c>
      <c r="Q1808" t="s">
        <v>39</v>
      </c>
      <c r="R1808" t="s">
        <v>40</v>
      </c>
      <c r="S1808">
        <v>0</v>
      </c>
      <c r="U1808" t="s">
        <v>41</v>
      </c>
      <c r="V1808" t="s">
        <v>42</v>
      </c>
      <c r="X1808" t="s">
        <v>74</v>
      </c>
      <c r="Y1808" t="b">
        <v>0</v>
      </c>
      <c r="Z1808" t="b">
        <v>0</v>
      </c>
      <c r="AC1808" s="1"/>
      <c r="AF1808">
        <v>0</v>
      </c>
      <c r="AG1808">
        <v>45</v>
      </c>
      <c r="AH1808">
        <v>106</v>
      </c>
      <c r="AI1808" s="2">
        <f>Table__192.168.3.138DYLAgingReport[[#This Row],[NetAmount]]-Table__192.168.3.138DYLAgingReport[[#This Row],[Paid]]</f>
        <v>53136</v>
      </c>
    </row>
    <row r="1809" spans="1:35">
      <c r="A1809" t="s">
        <v>3820</v>
      </c>
      <c r="B1809" s="1">
        <v>41208</v>
      </c>
      <c r="C1809" s="1">
        <v>41253</v>
      </c>
      <c r="D1809" t="s">
        <v>246</v>
      </c>
      <c r="E1809">
        <v>565500</v>
      </c>
      <c r="F1809">
        <v>90480</v>
      </c>
      <c r="G1809">
        <v>0</v>
      </c>
      <c r="H1809">
        <v>0</v>
      </c>
      <c r="I1809">
        <v>66</v>
      </c>
      <c r="J1809">
        <v>655980</v>
      </c>
      <c r="K1809" t="s">
        <v>3821</v>
      </c>
      <c r="L1809" s="1">
        <v>41202</v>
      </c>
      <c r="N1809" t="s">
        <v>36</v>
      </c>
      <c r="O1809" t="s">
        <v>37</v>
      </c>
      <c r="P1809" t="s">
        <v>383</v>
      </c>
      <c r="Q1809" t="s">
        <v>39</v>
      </c>
      <c r="R1809" t="s">
        <v>40</v>
      </c>
      <c r="S1809">
        <v>0</v>
      </c>
      <c r="U1809" t="s">
        <v>41</v>
      </c>
      <c r="V1809" t="s">
        <v>42</v>
      </c>
      <c r="X1809" t="s">
        <v>74</v>
      </c>
      <c r="Y1809" t="b">
        <v>0</v>
      </c>
      <c r="Z1809" t="b">
        <v>0</v>
      </c>
      <c r="AB1809" t="s">
        <v>3505</v>
      </c>
      <c r="AC1809" s="1">
        <v>41298</v>
      </c>
      <c r="AF1809">
        <v>0</v>
      </c>
      <c r="AG1809">
        <v>45</v>
      </c>
      <c r="AH1809">
        <v>111</v>
      </c>
      <c r="AI1809" s="2">
        <f>Table__192.168.3.138DYLAgingReport[[#This Row],[NetAmount]]-Table__192.168.3.138DYLAgingReport[[#This Row],[Paid]]</f>
        <v>655980</v>
      </c>
    </row>
    <row r="1810" spans="1:35">
      <c r="A1810" t="s">
        <v>3822</v>
      </c>
      <c r="B1810" s="1">
        <v>41206</v>
      </c>
      <c r="C1810" s="1">
        <v>41251</v>
      </c>
      <c r="D1810" t="s">
        <v>243</v>
      </c>
      <c r="E1810">
        <v>64205</v>
      </c>
      <c r="F1810">
        <v>0</v>
      </c>
      <c r="G1810">
        <v>0</v>
      </c>
      <c r="H1810">
        <v>0</v>
      </c>
      <c r="I1810">
        <v>66</v>
      </c>
      <c r="J1810">
        <v>64205</v>
      </c>
      <c r="K1810" t="s">
        <v>3823</v>
      </c>
      <c r="L1810" s="1">
        <v>41202</v>
      </c>
      <c r="N1810" t="s">
        <v>36</v>
      </c>
      <c r="O1810" t="s">
        <v>37</v>
      </c>
      <c r="P1810" t="s">
        <v>380</v>
      </c>
      <c r="Q1810" t="s">
        <v>39</v>
      </c>
      <c r="R1810" t="s">
        <v>40</v>
      </c>
      <c r="S1810">
        <v>0</v>
      </c>
      <c r="U1810" t="s">
        <v>41</v>
      </c>
      <c r="V1810" t="s">
        <v>42</v>
      </c>
      <c r="X1810" t="s">
        <v>74</v>
      </c>
      <c r="Y1810" t="b">
        <v>0</v>
      </c>
      <c r="Z1810" t="b">
        <v>0</v>
      </c>
      <c r="AC1810" s="1"/>
      <c r="AF1810">
        <v>0</v>
      </c>
      <c r="AG1810">
        <v>45</v>
      </c>
      <c r="AH1810">
        <v>111</v>
      </c>
      <c r="AI1810" s="2">
        <f>Table__192.168.3.138DYLAgingReport[[#This Row],[NetAmount]]-Table__192.168.3.138DYLAgingReport[[#This Row],[Paid]]</f>
        <v>64205</v>
      </c>
    </row>
    <row r="1811" spans="1:35">
      <c r="A1811" t="s">
        <v>3824</v>
      </c>
      <c r="B1811" s="1">
        <v>41213</v>
      </c>
      <c r="C1811" s="1">
        <v>41258</v>
      </c>
      <c r="D1811" t="s">
        <v>221</v>
      </c>
      <c r="E1811">
        <v>1125</v>
      </c>
      <c r="F1811">
        <v>0</v>
      </c>
      <c r="G1811">
        <v>0</v>
      </c>
      <c r="H1811">
        <v>0</v>
      </c>
      <c r="I1811">
        <v>56</v>
      </c>
      <c r="J1811">
        <v>1125</v>
      </c>
      <c r="K1811" t="s">
        <v>3825</v>
      </c>
      <c r="L1811" s="1">
        <v>41212</v>
      </c>
      <c r="M1811" t="s">
        <v>3826</v>
      </c>
      <c r="N1811" t="s">
        <v>36</v>
      </c>
      <c r="O1811" t="s">
        <v>37</v>
      </c>
      <c r="P1811" t="s">
        <v>358</v>
      </c>
      <c r="Q1811" t="s">
        <v>39</v>
      </c>
      <c r="R1811" t="s">
        <v>40</v>
      </c>
      <c r="S1811">
        <v>0</v>
      </c>
      <c r="U1811" t="s">
        <v>41</v>
      </c>
      <c r="V1811" t="s">
        <v>42</v>
      </c>
      <c r="W1811" t="s">
        <v>3827</v>
      </c>
      <c r="X1811" t="s">
        <v>74</v>
      </c>
      <c r="Y1811" t="b">
        <v>0</v>
      </c>
      <c r="Z1811" t="b">
        <v>0</v>
      </c>
      <c r="AA1811" t="b">
        <v>0</v>
      </c>
      <c r="AC1811" s="1"/>
      <c r="AF1811">
        <v>0</v>
      </c>
      <c r="AG1811">
        <v>45</v>
      </c>
      <c r="AH1811">
        <v>101</v>
      </c>
      <c r="AI1811" s="2">
        <f>Table__192.168.3.138DYLAgingReport[[#This Row],[NetAmount]]-Table__192.168.3.138DYLAgingReport[[#This Row],[Paid]]</f>
        <v>1125</v>
      </c>
    </row>
    <row r="1812" spans="1:35">
      <c r="A1812" t="s">
        <v>3828</v>
      </c>
      <c r="B1812" s="1">
        <v>41212</v>
      </c>
      <c r="C1812" s="1">
        <v>41257</v>
      </c>
      <c r="D1812" t="s">
        <v>231</v>
      </c>
      <c r="E1812">
        <v>406080</v>
      </c>
      <c r="F1812">
        <v>64973</v>
      </c>
      <c r="G1812">
        <v>0</v>
      </c>
      <c r="H1812">
        <v>0</v>
      </c>
      <c r="I1812">
        <v>56</v>
      </c>
      <c r="J1812">
        <v>471053</v>
      </c>
      <c r="K1812" t="s">
        <v>3829</v>
      </c>
      <c r="L1812" s="1">
        <v>41212</v>
      </c>
      <c r="N1812" t="s">
        <v>36</v>
      </c>
      <c r="O1812" t="s">
        <v>37</v>
      </c>
      <c r="P1812" t="s">
        <v>368</v>
      </c>
      <c r="Q1812" t="s">
        <v>39</v>
      </c>
      <c r="R1812" t="s">
        <v>40</v>
      </c>
      <c r="S1812">
        <v>0</v>
      </c>
      <c r="U1812" t="s">
        <v>41</v>
      </c>
      <c r="V1812" t="s">
        <v>42</v>
      </c>
      <c r="X1812" t="s">
        <v>74</v>
      </c>
      <c r="Y1812" t="b">
        <v>0</v>
      </c>
      <c r="Z1812" t="b">
        <v>0</v>
      </c>
      <c r="AB1812" t="s">
        <v>3830</v>
      </c>
      <c r="AC1812" s="1">
        <v>41302</v>
      </c>
      <c r="AF1812">
        <v>0</v>
      </c>
      <c r="AG1812">
        <v>45</v>
      </c>
      <c r="AH1812">
        <v>101</v>
      </c>
      <c r="AI1812" s="2">
        <f>Table__192.168.3.138DYLAgingReport[[#This Row],[NetAmount]]-Table__192.168.3.138DYLAgingReport[[#This Row],[Paid]]</f>
        <v>471053</v>
      </c>
    </row>
    <row r="1813" spans="1:35">
      <c r="A1813" t="s">
        <v>3831</v>
      </c>
      <c r="B1813" s="1">
        <v>41212</v>
      </c>
      <c r="C1813" s="1">
        <v>41257</v>
      </c>
      <c r="D1813" t="s">
        <v>231</v>
      </c>
      <c r="E1813">
        <v>355320</v>
      </c>
      <c r="F1813">
        <v>56851</v>
      </c>
      <c r="G1813">
        <v>0</v>
      </c>
      <c r="H1813">
        <v>0</v>
      </c>
      <c r="I1813">
        <v>56</v>
      </c>
      <c r="J1813">
        <v>412171</v>
      </c>
      <c r="K1813" t="s">
        <v>3832</v>
      </c>
      <c r="L1813" s="1">
        <v>41212</v>
      </c>
      <c r="N1813" t="s">
        <v>36</v>
      </c>
      <c r="O1813" t="s">
        <v>37</v>
      </c>
      <c r="P1813" t="s">
        <v>368</v>
      </c>
      <c r="Q1813" t="s">
        <v>39</v>
      </c>
      <c r="R1813" t="s">
        <v>40</v>
      </c>
      <c r="S1813">
        <v>0</v>
      </c>
      <c r="U1813" t="s">
        <v>41</v>
      </c>
      <c r="V1813" t="s">
        <v>42</v>
      </c>
      <c r="X1813" t="s">
        <v>74</v>
      </c>
      <c r="Y1813" t="b">
        <v>0</v>
      </c>
      <c r="Z1813" t="b">
        <v>0</v>
      </c>
      <c r="AB1813" t="s">
        <v>3830</v>
      </c>
      <c r="AC1813" s="1">
        <v>41302</v>
      </c>
      <c r="AF1813">
        <v>0</v>
      </c>
      <c r="AG1813">
        <v>45</v>
      </c>
      <c r="AH1813">
        <v>101</v>
      </c>
      <c r="AI1813" s="2">
        <f>Table__192.168.3.138DYLAgingReport[[#This Row],[NetAmount]]-Table__192.168.3.138DYLAgingReport[[#This Row],[Paid]]</f>
        <v>412171</v>
      </c>
    </row>
    <row r="1814" spans="1:35">
      <c r="A1814" t="s">
        <v>130</v>
      </c>
      <c r="B1814" s="1">
        <v>41204</v>
      </c>
      <c r="C1814" s="1">
        <v>41249</v>
      </c>
      <c r="D1814" t="s">
        <v>35</v>
      </c>
      <c r="E1814">
        <v>200000</v>
      </c>
      <c r="F1814">
        <v>32000</v>
      </c>
      <c r="G1814">
        <v>0</v>
      </c>
      <c r="H1814">
        <v>0</v>
      </c>
      <c r="I1814">
        <v>64</v>
      </c>
      <c r="J1814">
        <v>232000</v>
      </c>
      <c r="K1814" t="s">
        <v>131</v>
      </c>
      <c r="L1814" s="1">
        <v>41204</v>
      </c>
      <c r="N1814" t="s">
        <v>36</v>
      </c>
      <c r="O1814" t="s">
        <v>37</v>
      </c>
      <c r="P1814" t="s">
        <v>38</v>
      </c>
      <c r="Q1814" t="s">
        <v>39</v>
      </c>
      <c r="R1814" t="s">
        <v>40</v>
      </c>
      <c r="S1814">
        <v>0</v>
      </c>
      <c r="U1814" t="s">
        <v>41</v>
      </c>
      <c r="V1814" t="s">
        <v>42</v>
      </c>
      <c r="X1814" t="s">
        <v>74</v>
      </c>
      <c r="Y1814" t="b">
        <v>0</v>
      </c>
      <c r="Z1814" t="b">
        <v>0</v>
      </c>
      <c r="AC1814" s="1"/>
      <c r="AF1814">
        <v>0</v>
      </c>
      <c r="AG1814">
        <v>45</v>
      </c>
      <c r="AH1814">
        <v>109</v>
      </c>
      <c r="AI1814" s="2">
        <f>Table__192.168.3.138DYLAgingReport[[#This Row],[NetAmount]]-Table__192.168.3.138DYLAgingReport[[#This Row],[Paid]]</f>
        <v>232000</v>
      </c>
    </row>
    <row r="1815" spans="1:35">
      <c r="A1815" t="s">
        <v>132</v>
      </c>
      <c r="B1815" s="1">
        <v>41208</v>
      </c>
      <c r="C1815" s="1">
        <v>41253</v>
      </c>
      <c r="D1815" t="s">
        <v>35</v>
      </c>
      <c r="E1815">
        <v>320000</v>
      </c>
      <c r="F1815">
        <v>51200</v>
      </c>
      <c r="G1815">
        <v>0</v>
      </c>
      <c r="H1815">
        <v>0</v>
      </c>
      <c r="I1815">
        <v>67</v>
      </c>
      <c r="J1815">
        <v>371200</v>
      </c>
      <c r="K1815" t="s">
        <v>133</v>
      </c>
      <c r="L1815" s="1">
        <v>41201</v>
      </c>
      <c r="N1815" t="s">
        <v>36</v>
      </c>
      <c r="O1815" t="s">
        <v>37</v>
      </c>
      <c r="P1815" t="s">
        <v>38</v>
      </c>
      <c r="Q1815" t="s">
        <v>39</v>
      </c>
      <c r="R1815" t="s">
        <v>40</v>
      </c>
      <c r="S1815">
        <v>0</v>
      </c>
      <c r="U1815" t="s">
        <v>41</v>
      </c>
      <c r="V1815" t="s">
        <v>42</v>
      </c>
      <c r="X1815" t="s">
        <v>74</v>
      </c>
      <c r="Y1815" t="b">
        <v>0</v>
      </c>
      <c r="Z1815" t="b">
        <v>0</v>
      </c>
      <c r="AC1815" s="1"/>
      <c r="AF1815">
        <v>0</v>
      </c>
      <c r="AG1815">
        <v>45</v>
      </c>
      <c r="AH1815">
        <v>112</v>
      </c>
      <c r="AI1815" s="2">
        <f>Table__192.168.3.138DYLAgingReport[[#This Row],[NetAmount]]-Table__192.168.3.138DYLAgingReport[[#This Row],[Paid]]</f>
        <v>371200</v>
      </c>
    </row>
    <row r="1816" spans="1:35">
      <c r="A1816" t="s">
        <v>134</v>
      </c>
      <c r="B1816" s="1">
        <v>41213</v>
      </c>
      <c r="C1816" s="1">
        <v>41258</v>
      </c>
      <c r="D1816" t="s">
        <v>35</v>
      </c>
      <c r="E1816">
        <v>210000</v>
      </c>
      <c r="F1816">
        <v>33600</v>
      </c>
      <c r="G1816">
        <v>0</v>
      </c>
      <c r="H1816">
        <v>0</v>
      </c>
      <c r="I1816">
        <v>63</v>
      </c>
      <c r="J1816">
        <v>243600</v>
      </c>
      <c r="K1816" t="s">
        <v>135</v>
      </c>
      <c r="L1816" s="1">
        <v>41205</v>
      </c>
      <c r="N1816" t="s">
        <v>36</v>
      </c>
      <c r="O1816" t="s">
        <v>37</v>
      </c>
      <c r="P1816" t="s">
        <v>38</v>
      </c>
      <c r="Q1816" t="s">
        <v>39</v>
      </c>
      <c r="R1816" t="s">
        <v>40</v>
      </c>
      <c r="S1816">
        <v>0</v>
      </c>
      <c r="U1816" t="s">
        <v>41</v>
      </c>
      <c r="V1816" t="s">
        <v>42</v>
      </c>
      <c r="X1816" t="s">
        <v>74</v>
      </c>
      <c r="Y1816" t="b">
        <v>0</v>
      </c>
      <c r="Z1816" t="b">
        <v>0</v>
      </c>
      <c r="AC1816" s="1"/>
      <c r="AF1816">
        <v>0</v>
      </c>
      <c r="AG1816">
        <v>45</v>
      </c>
      <c r="AH1816">
        <v>108</v>
      </c>
      <c r="AI1816" s="2">
        <f>Table__192.168.3.138DYLAgingReport[[#This Row],[NetAmount]]-Table__192.168.3.138DYLAgingReport[[#This Row],[Paid]]</f>
        <v>243600</v>
      </c>
    </row>
    <row r="1817" spans="1:35">
      <c r="A1817" t="s">
        <v>3833</v>
      </c>
      <c r="B1817" s="1">
        <v>41197</v>
      </c>
      <c r="C1817" s="1">
        <v>41242</v>
      </c>
      <c r="D1817" t="s">
        <v>214</v>
      </c>
      <c r="E1817">
        <v>135000</v>
      </c>
      <c r="F1817">
        <v>0</v>
      </c>
      <c r="G1817">
        <v>0</v>
      </c>
      <c r="H1817">
        <v>0</v>
      </c>
      <c r="I1817">
        <v>63</v>
      </c>
      <c r="J1817">
        <v>135000</v>
      </c>
      <c r="K1817" t="s">
        <v>105</v>
      </c>
      <c r="L1817" s="1">
        <v>41205</v>
      </c>
      <c r="N1817" t="s">
        <v>36</v>
      </c>
      <c r="O1817" t="s">
        <v>37</v>
      </c>
      <c r="P1817" t="s">
        <v>351</v>
      </c>
      <c r="Q1817" t="s">
        <v>39</v>
      </c>
      <c r="R1817" t="s">
        <v>40</v>
      </c>
      <c r="S1817">
        <v>0</v>
      </c>
      <c r="U1817" t="s">
        <v>41</v>
      </c>
      <c r="V1817" t="s">
        <v>42</v>
      </c>
      <c r="X1817" t="s">
        <v>74</v>
      </c>
      <c r="Y1817" t="b">
        <v>0</v>
      </c>
      <c r="Z1817" t="b">
        <v>0</v>
      </c>
      <c r="AC1817" s="1"/>
      <c r="AF1817">
        <v>0</v>
      </c>
      <c r="AG1817">
        <v>45</v>
      </c>
      <c r="AH1817">
        <v>108</v>
      </c>
      <c r="AI1817" s="2">
        <f>Table__192.168.3.138DYLAgingReport[[#This Row],[NetAmount]]-Table__192.168.3.138DYLAgingReport[[#This Row],[Paid]]</f>
        <v>135000</v>
      </c>
    </row>
    <row r="1818" spans="1:35">
      <c r="A1818" t="s">
        <v>3834</v>
      </c>
      <c r="B1818" s="1">
        <v>41204</v>
      </c>
      <c r="C1818" s="1">
        <v>41249</v>
      </c>
      <c r="D1818" t="s">
        <v>257</v>
      </c>
      <c r="E1818">
        <v>24000</v>
      </c>
      <c r="F1818">
        <v>3840</v>
      </c>
      <c r="G1818">
        <v>0</v>
      </c>
      <c r="H1818">
        <v>0</v>
      </c>
      <c r="I1818">
        <v>64</v>
      </c>
      <c r="J1818">
        <v>27840</v>
      </c>
      <c r="K1818" t="s">
        <v>3835</v>
      </c>
      <c r="L1818" s="1">
        <v>41204</v>
      </c>
      <c r="N1818" t="s">
        <v>36</v>
      </c>
      <c r="O1818" t="s">
        <v>37</v>
      </c>
      <c r="P1818" t="s">
        <v>394</v>
      </c>
      <c r="Q1818" t="s">
        <v>39</v>
      </c>
      <c r="R1818" t="s">
        <v>40</v>
      </c>
      <c r="S1818">
        <v>0</v>
      </c>
      <c r="U1818" t="s">
        <v>41</v>
      </c>
      <c r="V1818" t="s">
        <v>42</v>
      </c>
      <c r="X1818" t="s">
        <v>74</v>
      </c>
      <c r="Y1818" t="b">
        <v>0</v>
      </c>
      <c r="Z1818" t="b">
        <v>0</v>
      </c>
      <c r="AC1818" s="1"/>
      <c r="AF1818">
        <v>0</v>
      </c>
      <c r="AG1818">
        <v>45</v>
      </c>
      <c r="AH1818">
        <v>109</v>
      </c>
      <c r="AI1818" s="2">
        <f>Table__192.168.3.138DYLAgingReport[[#This Row],[NetAmount]]-Table__192.168.3.138DYLAgingReport[[#This Row],[Paid]]</f>
        <v>27840</v>
      </c>
    </row>
    <row r="1819" spans="1:35">
      <c r="A1819" t="s">
        <v>3836</v>
      </c>
      <c r="B1819" s="1">
        <v>41207</v>
      </c>
      <c r="C1819" s="1">
        <v>41252</v>
      </c>
      <c r="D1819" t="s">
        <v>271</v>
      </c>
      <c r="E1819">
        <v>47150</v>
      </c>
      <c r="F1819">
        <v>7544</v>
      </c>
      <c r="G1819">
        <v>0</v>
      </c>
      <c r="H1819">
        <v>0</v>
      </c>
      <c r="I1819">
        <v>61</v>
      </c>
      <c r="J1819">
        <v>54694</v>
      </c>
      <c r="K1819" t="s">
        <v>1559</v>
      </c>
      <c r="L1819" s="1">
        <v>41207</v>
      </c>
      <c r="N1819" t="s">
        <v>36</v>
      </c>
      <c r="O1819" t="s">
        <v>37</v>
      </c>
      <c r="P1819" t="s">
        <v>408</v>
      </c>
      <c r="Q1819" t="s">
        <v>39</v>
      </c>
      <c r="R1819" t="s">
        <v>40</v>
      </c>
      <c r="S1819">
        <v>0</v>
      </c>
      <c r="U1819" t="s">
        <v>41</v>
      </c>
      <c r="V1819" t="s">
        <v>42</v>
      </c>
      <c r="X1819" t="s">
        <v>74</v>
      </c>
      <c r="Y1819" t="b">
        <v>0</v>
      </c>
      <c r="Z1819" t="b">
        <v>0</v>
      </c>
      <c r="AB1819" t="s">
        <v>3737</v>
      </c>
      <c r="AC1819" s="1">
        <v>41311</v>
      </c>
      <c r="AF1819">
        <v>0</v>
      </c>
      <c r="AG1819">
        <v>45</v>
      </c>
      <c r="AH1819">
        <v>106</v>
      </c>
      <c r="AI1819" s="2">
        <f>Table__192.168.3.138DYLAgingReport[[#This Row],[NetAmount]]-Table__192.168.3.138DYLAgingReport[[#This Row],[Paid]]</f>
        <v>54694</v>
      </c>
    </row>
    <row r="1820" spans="1:35">
      <c r="A1820" t="s">
        <v>3837</v>
      </c>
      <c r="B1820" s="1">
        <v>41194</v>
      </c>
      <c r="C1820" s="1">
        <v>41239</v>
      </c>
      <c r="D1820" t="s">
        <v>271</v>
      </c>
      <c r="E1820">
        <v>46200</v>
      </c>
      <c r="F1820">
        <v>7392</v>
      </c>
      <c r="G1820">
        <v>0</v>
      </c>
      <c r="H1820">
        <v>0</v>
      </c>
      <c r="I1820">
        <v>75</v>
      </c>
      <c r="J1820">
        <v>53592</v>
      </c>
      <c r="K1820" t="s">
        <v>1536</v>
      </c>
      <c r="L1820" s="1">
        <v>41193</v>
      </c>
      <c r="N1820" t="s">
        <v>36</v>
      </c>
      <c r="O1820" t="s">
        <v>37</v>
      </c>
      <c r="P1820" t="s">
        <v>408</v>
      </c>
      <c r="Q1820" t="s">
        <v>39</v>
      </c>
      <c r="R1820" t="s">
        <v>40</v>
      </c>
      <c r="S1820">
        <v>0</v>
      </c>
      <c r="U1820" t="s">
        <v>41</v>
      </c>
      <c r="V1820" t="s">
        <v>42</v>
      </c>
      <c r="X1820" t="s">
        <v>74</v>
      </c>
      <c r="Y1820" t="b">
        <v>0</v>
      </c>
      <c r="Z1820" t="b">
        <v>0</v>
      </c>
      <c r="AB1820" t="s">
        <v>3737</v>
      </c>
      <c r="AC1820" s="1">
        <v>41311</v>
      </c>
      <c r="AF1820">
        <v>0</v>
      </c>
      <c r="AG1820">
        <v>45</v>
      </c>
      <c r="AH1820">
        <v>120</v>
      </c>
      <c r="AI1820" s="2">
        <f>Table__192.168.3.138DYLAgingReport[[#This Row],[NetAmount]]-Table__192.168.3.138DYLAgingReport[[#This Row],[Paid]]</f>
        <v>53592</v>
      </c>
    </row>
    <row r="1821" spans="1:35">
      <c r="A1821" t="s">
        <v>3838</v>
      </c>
      <c r="B1821" s="1">
        <v>41184</v>
      </c>
      <c r="C1821" s="1">
        <v>41229</v>
      </c>
      <c r="D1821" t="s">
        <v>271</v>
      </c>
      <c r="E1821">
        <v>14784</v>
      </c>
      <c r="F1821">
        <v>2365</v>
      </c>
      <c r="G1821">
        <v>0</v>
      </c>
      <c r="H1821">
        <v>0</v>
      </c>
      <c r="I1821">
        <v>84</v>
      </c>
      <c r="J1821">
        <v>17149</v>
      </c>
      <c r="K1821" t="s">
        <v>1088</v>
      </c>
      <c r="L1821" s="1">
        <v>41184</v>
      </c>
      <c r="M1821" t="s">
        <v>3839</v>
      </c>
      <c r="N1821" t="s">
        <v>36</v>
      </c>
      <c r="O1821" t="s">
        <v>37</v>
      </c>
      <c r="P1821" t="s">
        <v>408</v>
      </c>
      <c r="Q1821" t="s">
        <v>39</v>
      </c>
      <c r="R1821" t="s">
        <v>40</v>
      </c>
      <c r="S1821">
        <v>0</v>
      </c>
      <c r="U1821" t="s">
        <v>41</v>
      </c>
      <c r="V1821" t="s">
        <v>42</v>
      </c>
      <c r="W1821" t="s">
        <v>929</v>
      </c>
      <c r="X1821" t="s">
        <v>74</v>
      </c>
      <c r="Y1821" t="b">
        <v>0</v>
      </c>
      <c r="Z1821" t="b">
        <v>0</v>
      </c>
      <c r="AA1821" t="b">
        <v>0</v>
      </c>
      <c r="AC1821" s="1"/>
      <c r="AF1821">
        <v>0</v>
      </c>
      <c r="AG1821">
        <v>45</v>
      </c>
      <c r="AH1821">
        <v>129</v>
      </c>
      <c r="AI1821" s="2">
        <f>Table__192.168.3.138DYLAgingReport[[#This Row],[NetAmount]]-Table__192.168.3.138DYLAgingReport[[#This Row],[Paid]]</f>
        <v>17149</v>
      </c>
    </row>
    <row r="1822" spans="1:35">
      <c r="A1822" t="s">
        <v>3840</v>
      </c>
      <c r="B1822" s="1">
        <v>41194</v>
      </c>
      <c r="C1822" s="1">
        <v>41239</v>
      </c>
      <c r="D1822" t="s">
        <v>242</v>
      </c>
      <c r="E1822">
        <v>5750</v>
      </c>
      <c r="F1822">
        <v>920</v>
      </c>
      <c r="G1822">
        <v>0</v>
      </c>
      <c r="H1822">
        <v>0</v>
      </c>
      <c r="I1822">
        <v>75</v>
      </c>
      <c r="J1822">
        <v>6670</v>
      </c>
      <c r="K1822" t="s">
        <v>3841</v>
      </c>
      <c r="L1822" s="1">
        <v>41193</v>
      </c>
      <c r="N1822" t="s">
        <v>36</v>
      </c>
      <c r="O1822" t="s">
        <v>37</v>
      </c>
      <c r="P1822" t="s">
        <v>379</v>
      </c>
      <c r="Q1822" t="s">
        <v>39</v>
      </c>
      <c r="R1822" t="s">
        <v>40</v>
      </c>
      <c r="S1822">
        <v>0</v>
      </c>
      <c r="U1822" t="s">
        <v>41</v>
      </c>
      <c r="V1822" t="s">
        <v>42</v>
      </c>
      <c r="X1822" t="s">
        <v>74</v>
      </c>
      <c r="Y1822" t="b">
        <v>0</v>
      </c>
      <c r="Z1822" t="b">
        <v>0</v>
      </c>
      <c r="AC1822" s="1"/>
      <c r="AF1822">
        <v>0</v>
      </c>
      <c r="AG1822">
        <v>45</v>
      </c>
      <c r="AH1822">
        <v>120</v>
      </c>
      <c r="AI1822" s="2">
        <f>Table__192.168.3.138DYLAgingReport[[#This Row],[NetAmount]]-Table__192.168.3.138DYLAgingReport[[#This Row],[Paid]]</f>
        <v>6670</v>
      </c>
    </row>
    <row r="1823" spans="1:35">
      <c r="A1823" t="s">
        <v>3842</v>
      </c>
      <c r="B1823" s="1">
        <v>41201</v>
      </c>
      <c r="C1823" s="1">
        <v>41246</v>
      </c>
      <c r="D1823" t="s">
        <v>197</v>
      </c>
      <c r="E1823">
        <v>1260000</v>
      </c>
      <c r="F1823">
        <v>201600</v>
      </c>
      <c r="G1823">
        <v>0</v>
      </c>
      <c r="H1823">
        <v>0</v>
      </c>
      <c r="I1823">
        <v>64</v>
      </c>
      <c r="J1823">
        <v>1461600</v>
      </c>
      <c r="K1823" t="s">
        <v>3843</v>
      </c>
      <c r="L1823" s="1">
        <v>41204</v>
      </c>
      <c r="N1823" t="s">
        <v>36</v>
      </c>
      <c r="O1823" t="s">
        <v>37</v>
      </c>
      <c r="P1823" t="s">
        <v>334</v>
      </c>
      <c r="Q1823" t="s">
        <v>39</v>
      </c>
      <c r="R1823" t="s">
        <v>40</v>
      </c>
      <c r="S1823">
        <v>0</v>
      </c>
      <c r="U1823" t="s">
        <v>41</v>
      </c>
      <c r="V1823" t="s">
        <v>42</v>
      </c>
      <c r="X1823" t="s">
        <v>74</v>
      </c>
      <c r="Y1823" t="b">
        <v>0</v>
      </c>
      <c r="Z1823" t="b">
        <v>0</v>
      </c>
      <c r="AC1823" s="1"/>
      <c r="AF1823">
        <v>0</v>
      </c>
      <c r="AG1823">
        <v>45</v>
      </c>
      <c r="AH1823">
        <v>109</v>
      </c>
      <c r="AI1823" s="2">
        <f>Table__192.168.3.138DYLAgingReport[[#This Row],[NetAmount]]-Table__192.168.3.138DYLAgingReport[[#This Row],[Paid]]</f>
        <v>1461600</v>
      </c>
    </row>
    <row r="1824" spans="1:35">
      <c r="A1824" t="s">
        <v>3844</v>
      </c>
      <c r="B1824" s="1">
        <v>41194</v>
      </c>
      <c r="C1824" s="1">
        <v>41239</v>
      </c>
      <c r="D1824" t="s">
        <v>224</v>
      </c>
      <c r="E1824">
        <v>20520</v>
      </c>
      <c r="F1824">
        <v>3284</v>
      </c>
      <c r="G1824">
        <v>0</v>
      </c>
      <c r="H1824">
        <v>0</v>
      </c>
      <c r="I1824">
        <v>76</v>
      </c>
      <c r="J1824">
        <v>23804</v>
      </c>
      <c r="K1824" t="s">
        <v>3845</v>
      </c>
      <c r="L1824" s="1">
        <v>41192</v>
      </c>
      <c r="N1824" t="s">
        <v>36</v>
      </c>
      <c r="O1824" t="s">
        <v>37</v>
      </c>
      <c r="P1824" t="s">
        <v>361</v>
      </c>
      <c r="Q1824" t="s">
        <v>39</v>
      </c>
      <c r="R1824" t="s">
        <v>40</v>
      </c>
      <c r="S1824">
        <v>0</v>
      </c>
      <c r="U1824" t="s">
        <v>41</v>
      </c>
      <c r="V1824" t="s">
        <v>42</v>
      </c>
      <c r="X1824" t="s">
        <v>74</v>
      </c>
      <c r="Y1824" t="b">
        <v>0</v>
      </c>
      <c r="Z1824" t="b">
        <v>0</v>
      </c>
      <c r="AC1824" s="1"/>
      <c r="AF1824">
        <v>0</v>
      </c>
      <c r="AG1824">
        <v>45</v>
      </c>
      <c r="AH1824">
        <v>121</v>
      </c>
      <c r="AI1824" s="2">
        <f>Table__192.168.3.138DYLAgingReport[[#This Row],[NetAmount]]-Table__192.168.3.138DYLAgingReport[[#This Row],[Paid]]</f>
        <v>23804</v>
      </c>
    </row>
    <row r="1825" spans="1:35">
      <c r="A1825" t="s">
        <v>3846</v>
      </c>
      <c r="B1825" s="1">
        <v>41208</v>
      </c>
      <c r="C1825" s="1">
        <v>41253</v>
      </c>
      <c r="D1825" t="s">
        <v>279</v>
      </c>
      <c r="E1825">
        <v>260500</v>
      </c>
      <c r="F1825">
        <v>41680</v>
      </c>
      <c r="G1825">
        <v>0</v>
      </c>
      <c r="H1825">
        <v>0</v>
      </c>
      <c r="I1825">
        <v>66</v>
      </c>
      <c r="J1825">
        <v>302180</v>
      </c>
      <c r="K1825" t="s">
        <v>3847</v>
      </c>
      <c r="L1825" s="1">
        <v>41202</v>
      </c>
      <c r="N1825" t="s">
        <v>36</v>
      </c>
      <c r="O1825" t="s">
        <v>37</v>
      </c>
      <c r="P1825" t="s">
        <v>416</v>
      </c>
      <c r="Q1825" t="s">
        <v>39</v>
      </c>
      <c r="R1825" t="s">
        <v>40</v>
      </c>
      <c r="S1825">
        <v>0</v>
      </c>
      <c r="U1825" t="s">
        <v>41</v>
      </c>
      <c r="V1825" t="s">
        <v>42</v>
      </c>
      <c r="X1825" t="s">
        <v>74</v>
      </c>
      <c r="Y1825" t="b">
        <v>0</v>
      </c>
      <c r="Z1825" t="b">
        <v>0</v>
      </c>
      <c r="AB1825" t="s">
        <v>3848</v>
      </c>
      <c r="AC1825" s="1">
        <v>41281</v>
      </c>
      <c r="AF1825">
        <v>0</v>
      </c>
      <c r="AG1825">
        <v>45</v>
      </c>
      <c r="AH1825">
        <v>111</v>
      </c>
      <c r="AI1825" s="2">
        <f>Table__192.168.3.138DYLAgingReport[[#This Row],[NetAmount]]-Table__192.168.3.138DYLAgingReport[[#This Row],[Paid]]</f>
        <v>302180</v>
      </c>
    </row>
    <row r="1826" spans="1:35">
      <c r="A1826" t="s">
        <v>3849</v>
      </c>
      <c r="B1826" s="1">
        <v>41188</v>
      </c>
      <c r="C1826" s="1">
        <v>41233</v>
      </c>
      <c r="D1826" t="s">
        <v>174</v>
      </c>
      <c r="E1826">
        <v>19472</v>
      </c>
      <c r="F1826">
        <v>3116</v>
      </c>
      <c r="G1826">
        <v>0</v>
      </c>
      <c r="H1826">
        <v>0</v>
      </c>
      <c r="I1826">
        <v>80</v>
      </c>
      <c r="J1826">
        <v>22588</v>
      </c>
      <c r="K1826" t="s">
        <v>3850</v>
      </c>
      <c r="L1826" s="1">
        <v>41188</v>
      </c>
      <c r="N1826" t="s">
        <v>36</v>
      </c>
      <c r="O1826" t="s">
        <v>37</v>
      </c>
      <c r="P1826" t="s">
        <v>311</v>
      </c>
      <c r="Q1826" t="s">
        <v>39</v>
      </c>
      <c r="R1826" t="s">
        <v>40</v>
      </c>
      <c r="S1826">
        <v>0</v>
      </c>
      <c r="U1826" t="s">
        <v>41</v>
      </c>
      <c r="V1826" t="s">
        <v>42</v>
      </c>
      <c r="X1826" t="s">
        <v>74</v>
      </c>
      <c r="Y1826" t="b">
        <v>0</v>
      </c>
      <c r="Z1826" t="b">
        <v>0</v>
      </c>
      <c r="AC1826" s="1"/>
      <c r="AF1826">
        <v>0</v>
      </c>
      <c r="AG1826">
        <v>45</v>
      </c>
      <c r="AH1826">
        <v>125</v>
      </c>
      <c r="AI1826" s="2">
        <f>Table__192.168.3.138DYLAgingReport[[#This Row],[NetAmount]]-Table__192.168.3.138DYLAgingReport[[#This Row],[Paid]]</f>
        <v>22588</v>
      </c>
    </row>
    <row r="1827" spans="1:35">
      <c r="A1827" t="s">
        <v>3851</v>
      </c>
      <c r="B1827" s="1">
        <v>41213</v>
      </c>
      <c r="C1827" s="1">
        <v>41258</v>
      </c>
      <c r="D1827" t="s">
        <v>174</v>
      </c>
      <c r="E1827">
        <v>58500</v>
      </c>
      <c r="F1827">
        <v>9360</v>
      </c>
      <c r="G1827">
        <v>0</v>
      </c>
      <c r="H1827">
        <v>0</v>
      </c>
      <c r="I1827">
        <v>55</v>
      </c>
      <c r="J1827">
        <v>67860</v>
      </c>
      <c r="K1827" t="s">
        <v>3852</v>
      </c>
      <c r="L1827" s="1">
        <v>41213</v>
      </c>
      <c r="N1827" t="s">
        <v>36</v>
      </c>
      <c r="O1827" t="s">
        <v>37</v>
      </c>
      <c r="P1827" t="s">
        <v>311</v>
      </c>
      <c r="Q1827" t="s">
        <v>39</v>
      </c>
      <c r="R1827" t="s">
        <v>40</v>
      </c>
      <c r="S1827">
        <v>0</v>
      </c>
      <c r="U1827" t="s">
        <v>41</v>
      </c>
      <c r="V1827" t="s">
        <v>42</v>
      </c>
      <c r="X1827" t="s">
        <v>74</v>
      </c>
      <c r="Y1827" t="b">
        <v>0</v>
      </c>
      <c r="Z1827" t="b">
        <v>0</v>
      </c>
      <c r="AC1827" s="1"/>
      <c r="AF1827">
        <v>0</v>
      </c>
      <c r="AG1827">
        <v>45</v>
      </c>
      <c r="AH1827">
        <v>100</v>
      </c>
      <c r="AI1827" s="2">
        <f>Table__192.168.3.138DYLAgingReport[[#This Row],[NetAmount]]-Table__192.168.3.138DYLAgingReport[[#This Row],[Paid]]</f>
        <v>67860</v>
      </c>
    </row>
    <row r="1828" spans="1:35">
      <c r="A1828" t="s">
        <v>3853</v>
      </c>
      <c r="B1828" s="1">
        <v>41206</v>
      </c>
      <c r="C1828" s="1">
        <v>41251</v>
      </c>
      <c r="D1828" t="s">
        <v>174</v>
      </c>
      <c r="E1828">
        <v>94560</v>
      </c>
      <c r="F1828">
        <v>15129</v>
      </c>
      <c r="G1828">
        <v>0</v>
      </c>
      <c r="H1828">
        <v>0</v>
      </c>
      <c r="I1828">
        <v>64</v>
      </c>
      <c r="J1828">
        <v>109689</v>
      </c>
      <c r="K1828" t="s">
        <v>3854</v>
      </c>
      <c r="L1828" s="1">
        <v>41204</v>
      </c>
      <c r="N1828" t="s">
        <v>36</v>
      </c>
      <c r="O1828" t="s">
        <v>37</v>
      </c>
      <c r="P1828" t="s">
        <v>311</v>
      </c>
      <c r="Q1828" t="s">
        <v>39</v>
      </c>
      <c r="R1828" t="s">
        <v>40</v>
      </c>
      <c r="S1828">
        <v>0</v>
      </c>
      <c r="U1828" t="s">
        <v>41</v>
      </c>
      <c r="V1828" t="s">
        <v>42</v>
      </c>
      <c r="X1828" t="s">
        <v>74</v>
      </c>
      <c r="Y1828" t="b">
        <v>0</v>
      </c>
      <c r="Z1828" t="b">
        <v>0</v>
      </c>
      <c r="AC1828" s="1"/>
      <c r="AF1828">
        <v>0</v>
      </c>
      <c r="AG1828">
        <v>45</v>
      </c>
      <c r="AH1828">
        <v>109</v>
      </c>
      <c r="AI1828" s="2">
        <f>Table__192.168.3.138DYLAgingReport[[#This Row],[NetAmount]]-Table__192.168.3.138DYLAgingReport[[#This Row],[Paid]]</f>
        <v>109689</v>
      </c>
    </row>
    <row r="1829" spans="1:35">
      <c r="A1829" t="s">
        <v>3855</v>
      </c>
      <c r="B1829" s="1">
        <v>41213</v>
      </c>
      <c r="C1829" s="1">
        <v>41258</v>
      </c>
      <c r="D1829" t="s">
        <v>174</v>
      </c>
      <c r="E1829">
        <v>50700</v>
      </c>
      <c r="F1829">
        <v>8112</v>
      </c>
      <c r="G1829">
        <v>0</v>
      </c>
      <c r="H1829">
        <v>0</v>
      </c>
      <c r="I1829">
        <v>61</v>
      </c>
      <c r="J1829">
        <v>58812</v>
      </c>
      <c r="K1829" t="s">
        <v>3856</v>
      </c>
      <c r="L1829" s="1">
        <v>41207</v>
      </c>
      <c r="N1829" t="s">
        <v>36</v>
      </c>
      <c r="O1829" t="s">
        <v>37</v>
      </c>
      <c r="P1829" t="s">
        <v>311</v>
      </c>
      <c r="Q1829" t="s">
        <v>39</v>
      </c>
      <c r="R1829" t="s">
        <v>40</v>
      </c>
      <c r="S1829">
        <v>0</v>
      </c>
      <c r="U1829" t="s">
        <v>41</v>
      </c>
      <c r="V1829" t="s">
        <v>42</v>
      </c>
      <c r="X1829" t="s">
        <v>74</v>
      </c>
      <c r="Y1829" t="b">
        <v>0</v>
      </c>
      <c r="Z1829" t="b">
        <v>0</v>
      </c>
      <c r="AC1829" s="1"/>
      <c r="AF1829">
        <v>0</v>
      </c>
      <c r="AG1829">
        <v>45</v>
      </c>
      <c r="AH1829">
        <v>106</v>
      </c>
      <c r="AI1829" s="2">
        <f>Table__192.168.3.138DYLAgingReport[[#This Row],[NetAmount]]-Table__192.168.3.138DYLAgingReport[[#This Row],[Paid]]</f>
        <v>58812</v>
      </c>
    </row>
    <row r="1830" spans="1:35">
      <c r="A1830" t="s">
        <v>3857</v>
      </c>
      <c r="B1830" s="1">
        <v>41188</v>
      </c>
      <c r="C1830" s="1">
        <v>41188</v>
      </c>
      <c r="D1830" t="s">
        <v>291</v>
      </c>
      <c r="E1830">
        <v>77850</v>
      </c>
      <c r="F1830">
        <v>12456</v>
      </c>
      <c r="G1830">
        <v>0</v>
      </c>
      <c r="H1830">
        <v>0</v>
      </c>
      <c r="I1830">
        <v>81</v>
      </c>
      <c r="J1830">
        <v>90306</v>
      </c>
      <c r="K1830" t="s">
        <v>3858</v>
      </c>
      <c r="L1830" s="1">
        <v>41187</v>
      </c>
      <c r="N1830" t="s">
        <v>36</v>
      </c>
      <c r="O1830" t="s">
        <v>37</v>
      </c>
      <c r="P1830" t="s">
        <v>428</v>
      </c>
      <c r="Q1830" t="s">
        <v>39</v>
      </c>
      <c r="R1830" t="s">
        <v>40</v>
      </c>
      <c r="S1830">
        <v>0</v>
      </c>
      <c r="U1830" t="s">
        <v>41</v>
      </c>
      <c r="V1830" t="s">
        <v>42</v>
      </c>
      <c r="X1830" t="s">
        <v>74</v>
      </c>
      <c r="Y1830" t="b">
        <v>0</v>
      </c>
      <c r="Z1830" t="b">
        <v>0</v>
      </c>
      <c r="AB1830" t="s">
        <v>3859</v>
      </c>
      <c r="AC1830" s="1">
        <v>41214</v>
      </c>
      <c r="AD1830" t="s">
        <v>3860</v>
      </c>
      <c r="AE1830" t="s">
        <v>3861</v>
      </c>
      <c r="AF1830">
        <v>90236</v>
      </c>
      <c r="AG1830">
        <v>45</v>
      </c>
      <c r="AH1830">
        <v>126</v>
      </c>
      <c r="AI1830" s="2">
        <f>Table__192.168.3.138DYLAgingReport[[#This Row],[NetAmount]]-Table__192.168.3.138DYLAgingReport[[#This Row],[Paid]]</f>
        <v>70</v>
      </c>
    </row>
    <row r="1831" spans="1:35">
      <c r="A1831" t="s">
        <v>3862</v>
      </c>
      <c r="B1831" s="1">
        <v>41194</v>
      </c>
      <c r="C1831" s="1">
        <v>41194</v>
      </c>
      <c r="D1831" t="s">
        <v>289</v>
      </c>
      <c r="E1831">
        <v>102400</v>
      </c>
      <c r="F1831">
        <v>16384</v>
      </c>
      <c r="G1831">
        <v>0</v>
      </c>
      <c r="H1831">
        <v>0</v>
      </c>
      <c r="I1831">
        <v>74</v>
      </c>
      <c r="J1831">
        <v>118784</v>
      </c>
      <c r="K1831" t="s">
        <v>3863</v>
      </c>
      <c r="L1831" s="1">
        <v>41194</v>
      </c>
      <c r="M1831" t="s">
        <v>3864</v>
      </c>
      <c r="N1831" t="s">
        <v>36</v>
      </c>
      <c r="O1831" t="s">
        <v>37</v>
      </c>
      <c r="P1831" t="s">
        <v>426</v>
      </c>
      <c r="Q1831" t="s">
        <v>39</v>
      </c>
      <c r="R1831" t="s">
        <v>40</v>
      </c>
      <c r="S1831">
        <v>0</v>
      </c>
      <c r="U1831" t="s">
        <v>41</v>
      </c>
      <c r="V1831" t="s">
        <v>42</v>
      </c>
      <c r="W1831" t="s">
        <v>1256</v>
      </c>
      <c r="X1831" t="s">
        <v>74</v>
      </c>
      <c r="Y1831" t="b">
        <v>0</v>
      </c>
      <c r="Z1831" t="b">
        <v>0</v>
      </c>
      <c r="AA1831" t="b">
        <v>0</v>
      </c>
      <c r="AC1831" s="1"/>
      <c r="AF1831">
        <v>0</v>
      </c>
      <c r="AG1831">
        <v>45</v>
      </c>
      <c r="AH1831">
        <v>119</v>
      </c>
      <c r="AI1831" s="2">
        <f>Table__192.168.3.138DYLAgingReport[[#This Row],[NetAmount]]-Table__192.168.3.138DYLAgingReport[[#This Row],[Paid]]</f>
        <v>118784</v>
      </c>
    </row>
    <row r="1832" spans="1:35">
      <c r="A1832" t="s">
        <v>3865</v>
      </c>
      <c r="B1832" s="1">
        <v>41213</v>
      </c>
      <c r="C1832" s="1">
        <v>41258</v>
      </c>
      <c r="D1832" t="s">
        <v>231</v>
      </c>
      <c r="E1832">
        <v>203040</v>
      </c>
      <c r="F1832">
        <v>32487</v>
      </c>
      <c r="G1832">
        <v>0</v>
      </c>
      <c r="H1832">
        <v>0</v>
      </c>
      <c r="I1832">
        <v>55</v>
      </c>
      <c r="J1832">
        <v>235527</v>
      </c>
      <c r="K1832" t="s">
        <v>3866</v>
      </c>
      <c r="L1832" s="1">
        <v>41213</v>
      </c>
      <c r="N1832" t="s">
        <v>36</v>
      </c>
      <c r="O1832" t="s">
        <v>37</v>
      </c>
      <c r="P1832" t="s">
        <v>368</v>
      </c>
      <c r="Q1832" t="s">
        <v>39</v>
      </c>
      <c r="R1832" t="s">
        <v>40</v>
      </c>
      <c r="S1832">
        <v>0</v>
      </c>
      <c r="U1832" t="s">
        <v>41</v>
      </c>
      <c r="V1832" t="s">
        <v>42</v>
      </c>
      <c r="X1832" t="s">
        <v>74</v>
      </c>
      <c r="Y1832" t="b">
        <v>0</v>
      </c>
      <c r="Z1832" t="b">
        <v>0</v>
      </c>
      <c r="AB1832" t="s">
        <v>3830</v>
      </c>
      <c r="AC1832" s="1">
        <v>41302</v>
      </c>
      <c r="AF1832">
        <v>0</v>
      </c>
      <c r="AG1832">
        <v>45</v>
      </c>
      <c r="AH1832">
        <v>100</v>
      </c>
      <c r="AI1832" s="2">
        <f>Table__192.168.3.138DYLAgingReport[[#This Row],[NetAmount]]-Table__192.168.3.138DYLAgingReport[[#This Row],[Paid]]</f>
        <v>235527</v>
      </c>
    </row>
    <row r="1833" spans="1:35">
      <c r="A1833" t="s">
        <v>3867</v>
      </c>
      <c r="B1833" s="1">
        <v>41183</v>
      </c>
      <c r="C1833" s="1">
        <v>41228</v>
      </c>
      <c r="D1833" t="s">
        <v>175</v>
      </c>
      <c r="E1833">
        <v>162250</v>
      </c>
      <c r="F1833">
        <v>25960</v>
      </c>
      <c r="G1833">
        <v>0</v>
      </c>
      <c r="H1833">
        <v>0</v>
      </c>
      <c r="I1833">
        <v>85</v>
      </c>
      <c r="J1833">
        <v>188210</v>
      </c>
      <c r="K1833" t="s">
        <v>3253</v>
      </c>
      <c r="L1833" s="1">
        <v>41183</v>
      </c>
      <c r="N1833" t="s">
        <v>36</v>
      </c>
      <c r="O1833" t="s">
        <v>37</v>
      </c>
      <c r="P1833" t="s">
        <v>312</v>
      </c>
      <c r="Q1833" t="s">
        <v>39</v>
      </c>
      <c r="R1833" t="s">
        <v>40</v>
      </c>
      <c r="S1833">
        <v>0</v>
      </c>
      <c r="U1833" t="s">
        <v>41</v>
      </c>
      <c r="V1833" t="s">
        <v>42</v>
      </c>
      <c r="X1833" t="s">
        <v>74</v>
      </c>
      <c r="Y1833" t="b">
        <v>0</v>
      </c>
      <c r="Z1833" t="b">
        <v>0</v>
      </c>
      <c r="AC1833" s="1"/>
      <c r="AF1833">
        <v>0</v>
      </c>
      <c r="AG1833">
        <v>45</v>
      </c>
      <c r="AH1833">
        <v>130</v>
      </c>
      <c r="AI1833" s="2">
        <f>Table__192.168.3.138DYLAgingReport[[#This Row],[NetAmount]]-Table__192.168.3.138DYLAgingReport[[#This Row],[Paid]]</f>
        <v>188210</v>
      </c>
    </row>
    <row r="1834" spans="1:35">
      <c r="A1834" t="s">
        <v>3868</v>
      </c>
      <c r="B1834" s="1">
        <v>41187</v>
      </c>
      <c r="C1834" s="1">
        <v>41232</v>
      </c>
      <c r="D1834" t="s">
        <v>175</v>
      </c>
      <c r="E1834">
        <v>174980</v>
      </c>
      <c r="F1834">
        <v>27997</v>
      </c>
      <c r="G1834">
        <v>0</v>
      </c>
      <c r="H1834">
        <v>0</v>
      </c>
      <c r="I1834">
        <v>81</v>
      </c>
      <c r="J1834">
        <v>202977</v>
      </c>
      <c r="K1834" t="s">
        <v>3869</v>
      </c>
      <c r="L1834" s="1">
        <v>41187</v>
      </c>
      <c r="N1834" t="s">
        <v>36</v>
      </c>
      <c r="O1834" t="s">
        <v>37</v>
      </c>
      <c r="P1834" t="s">
        <v>312</v>
      </c>
      <c r="Q1834" t="s">
        <v>39</v>
      </c>
      <c r="R1834" t="s">
        <v>40</v>
      </c>
      <c r="S1834">
        <v>0</v>
      </c>
      <c r="U1834" t="s">
        <v>41</v>
      </c>
      <c r="V1834" t="s">
        <v>42</v>
      </c>
      <c r="X1834" t="s">
        <v>74</v>
      </c>
      <c r="Y1834" t="b">
        <v>0</v>
      </c>
      <c r="Z1834" t="b">
        <v>0</v>
      </c>
      <c r="AC1834" s="1"/>
      <c r="AF1834">
        <v>0</v>
      </c>
      <c r="AG1834">
        <v>45</v>
      </c>
      <c r="AH1834">
        <v>126</v>
      </c>
      <c r="AI1834" s="2">
        <f>Table__192.168.3.138DYLAgingReport[[#This Row],[NetAmount]]-Table__192.168.3.138DYLAgingReport[[#This Row],[Paid]]</f>
        <v>202977</v>
      </c>
    </row>
    <row r="1835" spans="1:35">
      <c r="A1835" t="s">
        <v>3870</v>
      </c>
      <c r="B1835" s="1">
        <v>41192</v>
      </c>
      <c r="C1835" s="1">
        <v>41237</v>
      </c>
      <c r="D1835" t="s">
        <v>175</v>
      </c>
      <c r="E1835">
        <v>201500</v>
      </c>
      <c r="F1835">
        <v>32240</v>
      </c>
      <c r="G1835">
        <v>0</v>
      </c>
      <c r="H1835">
        <v>0</v>
      </c>
      <c r="I1835">
        <v>76</v>
      </c>
      <c r="J1835">
        <v>233740</v>
      </c>
      <c r="K1835" t="s">
        <v>1500</v>
      </c>
      <c r="L1835" s="1">
        <v>41192</v>
      </c>
      <c r="N1835" t="s">
        <v>36</v>
      </c>
      <c r="O1835" t="s">
        <v>37</v>
      </c>
      <c r="P1835" t="s">
        <v>312</v>
      </c>
      <c r="Q1835" t="s">
        <v>39</v>
      </c>
      <c r="R1835" t="s">
        <v>40</v>
      </c>
      <c r="S1835">
        <v>0</v>
      </c>
      <c r="U1835" t="s">
        <v>41</v>
      </c>
      <c r="V1835" t="s">
        <v>42</v>
      </c>
      <c r="X1835" t="s">
        <v>74</v>
      </c>
      <c r="Y1835" t="b">
        <v>0</v>
      </c>
      <c r="Z1835" t="b">
        <v>0</v>
      </c>
      <c r="AC1835" s="1"/>
      <c r="AF1835">
        <v>0</v>
      </c>
      <c r="AG1835">
        <v>45</v>
      </c>
      <c r="AH1835">
        <v>121</v>
      </c>
      <c r="AI1835" s="2">
        <f>Table__192.168.3.138DYLAgingReport[[#This Row],[NetAmount]]-Table__192.168.3.138DYLAgingReport[[#This Row],[Paid]]</f>
        <v>233740</v>
      </c>
    </row>
    <row r="1836" spans="1:35">
      <c r="A1836" t="s">
        <v>3871</v>
      </c>
      <c r="B1836" s="1">
        <v>41206</v>
      </c>
      <c r="C1836" s="1">
        <v>41251</v>
      </c>
      <c r="D1836" t="s">
        <v>175</v>
      </c>
      <c r="E1836">
        <v>214500</v>
      </c>
      <c r="F1836">
        <v>34320</v>
      </c>
      <c r="G1836">
        <v>0</v>
      </c>
      <c r="H1836">
        <v>0</v>
      </c>
      <c r="I1836">
        <v>62</v>
      </c>
      <c r="J1836">
        <v>248820</v>
      </c>
      <c r="K1836" t="s">
        <v>1542</v>
      </c>
      <c r="L1836" s="1">
        <v>41206</v>
      </c>
      <c r="N1836" t="s">
        <v>36</v>
      </c>
      <c r="O1836" t="s">
        <v>37</v>
      </c>
      <c r="P1836" t="s">
        <v>312</v>
      </c>
      <c r="Q1836" t="s">
        <v>39</v>
      </c>
      <c r="R1836" t="s">
        <v>40</v>
      </c>
      <c r="S1836">
        <v>0</v>
      </c>
      <c r="U1836" t="s">
        <v>41</v>
      </c>
      <c r="V1836" t="s">
        <v>42</v>
      </c>
      <c r="X1836" t="s">
        <v>74</v>
      </c>
      <c r="Y1836" t="b">
        <v>0</v>
      </c>
      <c r="Z1836" t="b">
        <v>0</v>
      </c>
      <c r="AC1836" s="1"/>
      <c r="AF1836">
        <v>0</v>
      </c>
      <c r="AG1836">
        <v>45</v>
      </c>
      <c r="AH1836">
        <v>107</v>
      </c>
      <c r="AI1836" s="2">
        <f>Table__192.168.3.138DYLAgingReport[[#This Row],[NetAmount]]-Table__192.168.3.138DYLAgingReport[[#This Row],[Paid]]</f>
        <v>248820</v>
      </c>
    </row>
    <row r="1837" spans="1:35">
      <c r="A1837" t="s">
        <v>3872</v>
      </c>
      <c r="B1837" s="1">
        <v>41197</v>
      </c>
      <c r="C1837" s="1">
        <v>41242</v>
      </c>
      <c r="D1837" t="s">
        <v>175</v>
      </c>
      <c r="E1837">
        <v>255600</v>
      </c>
      <c r="F1837">
        <v>40896</v>
      </c>
      <c r="G1837">
        <v>0</v>
      </c>
      <c r="H1837">
        <v>0</v>
      </c>
      <c r="I1837">
        <v>71</v>
      </c>
      <c r="J1837">
        <v>296496</v>
      </c>
      <c r="K1837" t="s">
        <v>1515</v>
      </c>
      <c r="L1837" s="1">
        <v>41197</v>
      </c>
      <c r="N1837" t="s">
        <v>36</v>
      </c>
      <c r="O1837" t="s">
        <v>37</v>
      </c>
      <c r="P1837" t="s">
        <v>312</v>
      </c>
      <c r="Q1837" t="s">
        <v>39</v>
      </c>
      <c r="R1837" t="s">
        <v>40</v>
      </c>
      <c r="S1837">
        <v>0</v>
      </c>
      <c r="U1837" t="s">
        <v>41</v>
      </c>
      <c r="V1837" t="s">
        <v>42</v>
      </c>
      <c r="X1837" t="s">
        <v>74</v>
      </c>
      <c r="Y1837" t="b">
        <v>0</v>
      </c>
      <c r="Z1837" t="b">
        <v>0</v>
      </c>
      <c r="AC1837" s="1"/>
      <c r="AF1837">
        <v>0</v>
      </c>
      <c r="AG1837">
        <v>45</v>
      </c>
      <c r="AH1837">
        <v>116</v>
      </c>
      <c r="AI1837" s="2">
        <f>Table__192.168.3.138DYLAgingReport[[#This Row],[NetAmount]]-Table__192.168.3.138DYLAgingReport[[#This Row],[Paid]]</f>
        <v>296496</v>
      </c>
    </row>
    <row r="1838" spans="1:35">
      <c r="A1838" t="s">
        <v>3873</v>
      </c>
      <c r="B1838" s="1">
        <v>41213</v>
      </c>
      <c r="C1838" s="1">
        <v>41258</v>
      </c>
      <c r="D1838" t="s">
        <v>208</v>
      </c>
      <c r="E1838">
        <v>3328</v>
      </c>
      <c r="F1838">
        <v>533</v>
      </c>
      <c r="G1838">
        <v>0</v>
      </c>
      <c r="H1838">
        <v>3859.72</v>
      </c>
      <c r="I1838">
        <v>55</v>
      </c>
      <c r="J1838">
        <v>3860.72</v>
      </c>
      <c r="K1838" t="s">
        <v>3874</v>
      </c>
      <c r="L1838" s="1">
        <v>41213</v>
      </c>
      <c r="N1838" t="s">
        <v>36</v>
      </c>
      <c r="O1838" t="s">
        <v>37</v>
      </c>
      <c r="P1838" t="s">
        <v>345</v>
      </c>
      <c r="Q1838" t="s">
        <v>39</v>
      </c>
      <c r="R1838" t="s">
        <v>40</v>
      </c>
      <c r="S1838">
        <v>0</v>
      </c>
      <c r="T1838" t="s">
        <v>3875</v>
      </c>
      <c r="U1838" t="s">
        <v>41</v>
      </c>
      <c r="V1838" t="s">
        <v>42</v>
      </c>
      <c r="X1838" t="s">
        <v>74</v>
      </c>
      <c r="Y1838" t="b">
        <v>0</v>
      </c>
      <c r="Z1838" t="b">
        <v>0</v>
      </c>
      <c r="AC1838" s="1"/>
      <c r="AF1838">
        <v>0</v>
      </c>
      <c r="AG1838">
        <v>45</v>
      </c>
      <c r="AH1838">
        <v>100</v>
      </c>
      <c r="AI1838" s="2">
        <f>Table__192.168.3.138DYLAgingReport[[#This Row],[NetAmount]]-Table__192.168.3.138DYLAgingReport[[#This Row],[Paid]]</f>
        <v>3860.72</v>
      </c>
    </row>
    <row r="1839" spans="1:35">
      <c r="A1839" t="s">
        <v>3876</v>
      </c>
      <c r="B1839" s="1">
        <v>41213</v>
      </c>
      <c r="C1839" s="1">
        <v>41258</v>
      </c>
      <c r="D1839" t="s">
        <v>194</v>
      </c>
      <c r="E1839">
        <v>82221</v>
      </c>
      <c r="F1839">
        <v>13153</v>
      </c>
      <c r="G1839">
        <v>0</v>
      </c>
      <c r="H1839">
        <v>0</v>
      </c>
      <c r="I1839">
        <v>55</v>
      </c>
      <c r="J1839">
        <v>95358</v>
      </c>
      <c r="K1839" t="s">
        <v>3877</v>
      </c>
      <c r="L1839" s="1">
        <v>41213</v>
      </c>
      <c r="N1839" t="s">
        <v>36</v>
      </c>
      <c r="O1839" t="s">
        <v>37</v>
      </c>
      <c r="P1839" t="s">
        <v>331</v>
      </c>
      <c r="Q1839" t="s">
        <v>39</v>
      </c>
      <c r="R1839" t="s">
        <v>40</v>
      </c>
      <c r="S1839">
        <v>0</v>
      </c>
      <c r="U1839" t="s">
        <v>41</v>
      </c>
      <c r="V1839" t="s">
        <v>42</v>
      </c>
      <c r="X1839" t="s">
        <v>74</v>
      </c>
      <c r="Y1839" t="b">
        <v>0</v>
      </c>
      <c r="Z1839" t="b">
        <v>0</v>
      </c>
      <c r="AC1839" s="1"/>
      <c r="AF1839">
        <v>0</v>
      </c>
      <c r="AG1839">
        <v>45</v>
      </c>
      <c r="AH1839">
        <v>100</v>
      </c>
      <c r="AI1839" s="2">
        <f>Table__192.168.3.138DYLAgingReport[[#This Row],[NetAmount]]-Table__192.168.3.138DYLAgingReport[[#This Row],[Paid]]</f>
        <v>95358</v>
      </c>
    </row>
    <row r="1840" spans="1:35">
      <c r="A1840" t="s">
        <v>3878</v>
      </c>
      <c r="B1840" s="1">
        <v>41194</v>
      </c>
      <c r="C1840" s="1">
        <v>41239</v>
      </c>
      <c r="D1840" t="s">
        <v>194</v>
      </c>
      <c r="E1840">
        <v>170785</v>
      </c>
      <c r="F1840">
        <v>27326</v>
      </c>
      <c r="G1840">
        <v>0</v>
      </c>
      <c r="H1840">
        <v>0</v>
      </c>
      <c r="I1840">
        <v>75</v>
      </c>
      <c r="J1840">
        <v>198111</v>
      </c>
      <c r="K1840" t="s">
        <v>3879</v>
      </c>
      <c r="L1840" s="1">
        <v>41193</v>
      </c>
      <c r="N1840" t="s">
        <v>36</v>
      </c>
      <c r="O1840" t="s">
        <v>37</v>
      </c>
      <c r="P1840" t="s">
        <v>331</v>
      </c>
      <c r="Q1840" t="s">
        <v>39</v>
      </c>
      <c r="R1840" t="s">
        <v>40</v>
      </c>
      <c r="S1840">
        <v>0</v>
      </c>
      <c r="U1840" t="s">
        <v>41</v>
      </c>
      <c r="V1840" t="s">
        <v>42</v>
      </c>
      <c r="X1840" t="s">
        <v>74</v>
      </c>
      <c r="Y1840" t="b">
        <v>0</v>
      </c>
      <c r="Z1840" t="b">
        <v>0</v>
      </c>
      <c r="AC1840" s="1"/>
      <c r="AF1840">
        <v>0</v>
      </c>
      <c r="AG1840">
        <v>45</v>
      </c>
      <c r="AH1840">
        <v>120</v>
      </c>
      <c r="AI1840" s="2">
        <f>Table__192.168.3.138DYLAgingReport[[#This Row],[NetAmount]]-Table__192.168.3.138DYLAgingReport[[#This Row],[Paid]]</f>
        <v>198111</v>
      </c>
    </row>
    <row r="1841" spans="1:35">
      <c r="A1841" t="s">
        <v>3880</v>
      </c>
      <c r="B1841" s="1">
        <v>41207</v>
      </c>
      <c r="C1841" s="1">
        <v>41252</v>
      </c>
      <c r="D1841" t="s">
        <v>263</v>
      </c>
      <c r="E1841">
        <v>155500</v>
      </c>
      <c r="F1841">
        <v>24880</v>
      </c>
      <c r="G1841">
        <v>0</v>
      </c>
      <c r="H1841">
        <v>0</v>
      </c>
      <c r="I1841">
        <v>56</v>
      </c>
      <c r="J1841">
        <v>180380</v>
      </c>
      <c r="K1841" t="s">
        <v>1082</v>
      </c>
      <c r="L1841" s="1">
        <v>41212</v>
      </c>
      <c r="N1841" t="s">
        <v>36</v>
      </c>
      <c r="O1841" t="s">
        <v>37</v>
      </c>
      <c r="P1841" t="s">
        <v>400</v>
      </c>
      <c r="Q1841" t="s">
        <v>39</v>
      </c>
      <c r="R1841" t="s">
        <v>40</v>
      </c>
      <c r="S1841">
        <v>0</v>
      </c>
      <c r="U1841" t="s">
        <v>41</v>
      </c>
      <c r="V1841" t="s">
        <v>42</v>
      </c>
      <c r="X1841" t="s">
        <v>74</v>
      </c>
      <c r="Y1841" t="b">
        <v>0</v>
      </c>
      <c r="Z1841" t="b">
        <v>0</v>
      </c>
      <c r="AC1841" s="1"/>
      <c r="AF1841">
        <v>0</v>
      </c>
      <c r="AG1841">
        <v>45</v>
      </c>
      <c r="AH1841">
        <v>101</v>
      </c>
      <c r="AI1841" s="2">
        <f>Table__192.168.3.138DYLAgingReport[[#This Row],[NetAmount]]-Table__192.168.3.138DYLAgingReport[[#This Row],[Paid]]</f>
        <v>180380</v>
      </c>
    </row>
    <row r="1842" spans="1:35">
      <c r="A1842" t="s">
        <v>3881</v>
      </c>
      <c r="B1842" s="1">
        <v>41213</v>
      </c>
      <c r="C1842" s="1">
        <v>41258</v>
      </c>
      <c r="D1842" t="s">
        <v>224</v>
      </c>
      <c r="E1842">
        <v>341228</v>
      </c>
      <c r="F1842">
        <v>54596</v>
      </c>
      <c r="G1842">
        <v>0</v>
      </c>
      <c r="H1842">
        <v>0</v>
      </c>
      <c r="I1842">
        <v>61</v>
      </c>
      <c r="J1842">
        <v>395824</v>
      </c>
      <c r="K1842" t="s">
        <v>1060</v>
      </c>
      <c r="L1842" s="1">
        <v>41207</v>
      </c>
      <c r="N1842" t="s">
        <v>36</v>
      </c>
      <c r="O1842" t="s">
        <v>37</v>
      </c>
      <c r="P1842" t="s">
        <v>361</v>
      </c>
      <c r="Q1842" t="s">
        <v>39</v>
      </c>
      <c r="R1842" t="s">
        <v>40</v>
      </c>
      <c r="S1842">
        <v>0</v>
      </c>
      <c r="U1842" t="s">
        <v>41</v>
      </c>
      <c r="V1842" t="s">
        <v>42</v>
      </c>
      <c r="X1842" t="s">
        <v>74</v>
      </c>
      <c r="Y1842" t="b">
        <v>0</v>
      </c>
      <c r="Z1842" t="b">
        <v>0</v>
      </c>
      <c r="AC1842" s="1"/>
      <c r="AF1842">
        <v>0</v>
      </c>
      <c r="AG1842">
        <v>45</v>
      </c>
      <c r="AH1842">
        <v>106</v>
      </c>
      <c r="AI1842" s="2">
        <f>Table__192.168.3.138DYLAgingReport[[#This Row],[NetAmount]]-Table__192.168.3.138DYLAgingReport[[#This Row],[Paid]]</f>
        <v>395824</v>
      </c>
    </row>
    <row r="1843" spans="1:35">
      <c r="A1843" t="s">
        <v>3882</v>
      </c>
      <c r="B1843" s="1">
        <v>41213</v>
      </c>
      <c r="C1843" s="1">
        <v>41258</v>
      </c>
      <c r="D1843" t="s">
        <v>227</v>
      </c>
      <c r="E1843">
        <v>47250</v>
      </c>
      <c r="F1843">
        <v>7560</v>
      </c>
      <c r="G1843">
        <v>0</v>
      </c>
      <c r="H1843">
        <v>0</v>
      </c>
      <c r="I1843">
        <v>71</v>
      </c>
      <c r="J1843">
        <v>54810</v>
      </c>
      <c r="K1843" t="s">
        <v>3883</v>
      </c>
      <c r="L1843" s="1">
        <v>41197</v>
      </c>
      <c r="N1843" t="s">
        <v>36</v>
      </c>
      <c r="O1843" t="s">
        <v>37</v>
      </c>
      <c r="P1843" t="s">
        <v>364</v>
      </c>
      <c r="Q1843" t="s">
        <v>39</v>
      </c>
      <c r="R1843" t="s">
        <v>40</v>
      </c>
      <c r="S1843">
        <v>0</v>
      </c>
      <c r="U1843" t="s">
        <v>41</v>
      </c>
      <c r="V1843" t="s">
        <v>42</v>
      </c>
      <c r="X1843" t="s">
        <v>74</v>
      </c>
      <c r="Y1843" t="b">
        <v>0</v>
      </c>
      <c r="Z1843" t="b">
        <v>0</v>
      </c>
      <c r="AC1843" s="1"/>
      <c r="AF1843">
        <v>0</v>
      </c>
      <c r="AG1843">
        <v>45</v>
      </c>
      <c r="AH1843">
        <v>116</v>
      </c>
      <c r="AI1843" s="2">
        <f>Table__192.168.3.138DYLAgingReport[[#This Row],[NetAmount]]-Table__192.168.3.138DYLAgingReport[[#This Row],[Paid]]</f>
        <v>54810</v>
      </c>
    </row>
    <row r="1844" spans="1:35">
      <c r="A1844" t="s">
        <v>3884</v>
      </c>
      <c r="B1844" s="1">
        <v>41207</v>
      </c>
      <c r="C1844" s="1">
        <v>41252</v>
      </c>
      <c r="D1844" t="s">
        <v>286</v>
      </c>
      <c r="E1844">
        <v>105560</v>
      </c>
      <c r="F1844">
        <v>16890</v>
      </c>
      <c r="G1844">
        <v>0</v>
      </c>
      <c r="H1844">
        <v>0</v>
      </c>
      <c r="I1844">
        <v>55</v>
      </c>
      <c r="J1844">
        <v>122450</v>
      </c>
      <c r="K1844" t="s">
        <v>1092</v>
      </c>
      <c r="L1844" s="1">
        <v>41213</v>
      </c>
      <c r="N1844" t="s">
        <v>36</v>
      </c>
      <c r="O1844" t="s">
        <v>37</v>
      </c>
      <c r="P1844" t="s">
        <v>423</v>
      </c>
      <c r="Q1844" t="s">
        <v>39</v>
      </c>
      <c r="R1844" t="s">
        <v>40</v>
      </c>
      <c r="S1844">
        <v>0</v>
      </c>
      <c r="U1844" t="s">
        <v>41</v>
      </c>
      <c r="V1844" t="s">
        <v>42</v>
      </c>
      <c r="X1844" t="s">
        <v>74</v>
      </c>
      <c r="Y1844" t="b">
        <v>0</v>
      </c>
      <c r="Z1844" t="b">
        <v>0</v>
      </c>
      <c r="AC1844" s="1"/>
      <c r="AF1844">
        <v>0</v>
      </c>
      <c r="AG1844">
        <v>45</v>
      </c>
      <c r="AH1844">
        <v>100</v>
      </c>
      <c r="AI1844" s="2">
        <f>Table__192.168.3.138DYLAgingReport[[#This Row],[NetAmount]]-Table__192.168.3.138DYLAgingReport[[#This Row],[Paid]]</f>
        <v>122450</v>
      </c>
    </row>
    <row r="1845" spans="1:35">
      <c r="A1845" t="s">
        <v>3885</v>
      </c>
      <c r="B1845" s="1">
        <v>41188</v>
      </c>
      <c r="C1845" s="1">
        <v>41233</v>
      </c>
      <c r="D1845" t="s">
        <v>257</v>
      </c>
      <c r="E1845">
        <v>86400</v>
      </c>
      <c r="F1845">
        <v>13824</v>
      </c>
      <c r="G1845">
        <v>0</v>
      </c>
      <c r="H1845">
        <v>0</v>
      </c>
      <c r="I1845">
        <v>80</v>
      </c>
      <c r="J1845">
        <v>100224</v>
      </c>
      <c r="K1845" t="s">
        <v>3886</v>
      </c>
      <c r="L1845" s="1">
        <v>41188</v>
      </c>
      <c r="N1845" t="s">
        <v>36</v>
      </c>
      <c r="O1845" t="s">
        <v>37</v>
      </c>
      <c r="P1845" t="s">
        <v>394</v>
      </c>
      <c r="Q1845" t="s">
        <v>39</v>
      </c>
      <c r="R1845" t="s">
        <v>40</v>
      </c>
      <c r="S1845">
        <v>0</v>
      </c>
      <c r="U1845" t="s">
        <v>41</v>
      </c>
      <c r="V1845" t="s">
        <v>42</v>
      </c>
      <c r="X1845" t="s">
        <v>74</v>
      </c>
      <c r="Y1845" t="b">
        <v>0</v>
      </c>
      <c r="Z1845" t="b">
        <v>0</v>
      </c>
      <c r="AC1845" s="1"/>
      <c r="AF1845">
        <v>0</v>
      </c>
      <c r="AG1845">
        <v>45</v>
      </c>
      <c r="AH1845">
        <v>125</v>
      </c>
      <c r="AI1845" s="2">
        <f>Table__192.168.3.138DYLAgingReport[[#This Row],[NetAmount]]-Table__192.168.3.138DYLAgingReport[[#This Row],[Paid]]</f>
        <v>100224</v>
      </c>
    </row>
    <row r="1846" spans="1:35">
      <c r="A1846" t="s">
        <v>3887</v>
      </c>
      <c r="B1846" s="1">
        <v>41184</v>
      </c>
      <c r="C1846" s="1">
        <v>41229</v>
      </c>
      <c r="D1846" t="s">
        <v>271</v>
      </c>
      <c r="E1846">
        <v>85500</v>
      </c>
      <c r="F1846">
        <v>13680</v>
      </c>
      <c r="G1846">
        <v>0</v>
      </c>
      <c r="H1846">
        <v>0</v>
      </c>
      <c r="I1846">
        <v>84</v>
      </c>
      <c r="J1846">
        <v>99180</v>
      </c>
      <c r="K1846" t="s">
        <v>1500</v>
      </c>
      <c r="L1846" s="1">
        <v>41184</v>
      </c>
      <c r="M1846" t="s">
        <v>3888</v>
      </c>
      <c r="N1846" t="s">
        <v>36</v>
      </c>
      <c r="O1846" t="s">
        <v>37</v>
      </c>
      <c r="P1846" t="s">
        <v>408</v>
      </c>
      <c r="Q1846" t="s">
        <v>39</v>
      </c>
      <c r="R1846" t="s">
        <v>40</v>
      </c>
      <c r="S1846">
        <v>0</v>
      </c>
      <c r="U1846" t="s">
        <v>41</v>
      </c>
      <c r="V1846" t="s">
        <v>42</v>
      </c>
      <c r="W1846" t="s">
        <v>929</v>
      </c>
      <c r="X1846" t="s">
        <v>74</v>
      </c>
      <c r="Y1846" t="b">
        <v>0</v>
      </c>
      <c r="Z1846" t="b">
        <v>0</v>
      </c>
      <c r="AA1846" t="b">
        <v>0</v>
      </c>
      <c r="AC1846" s="1"/>
      <c r="AF1846">
        <v>0</v>
      </c>
      <c r="AG1846">
        <v>45</v>
      </c>
      <c r="AH1846">
        <v>129</v>
      </c>
      <c r="AI1846" s="2">
        <f>Table__192.168.3.138DYLAgingReport[[#This Row],[NetAmount]]-Table__192.168.3.138DYLAgingReport[[#This Row],[Paid]]</f>
        <v>99180</v>
      </c>
    </row>
    <row r="1847" spans="1:35">
      <c r="A1847" t="s">
        <v>3889</v>
      </c>
      <c r="B1847" s="1">
        <v>41187</v>
      </c>
      <c r="C1847" s="1">
        <v>41232</v>
      </c>
      <c r="D1847" t="s">
        <v>271</v>
      </c>
      <c r="E1847">
        <v>84400</v>
      </c>
      <c r="F1847">
        <v>13504</v>
      </c>
      <c r="G1847">
        <v>0</v>
      </c>
      <c r="H1847">
        <v>0</v>
      </c>
      <c r="I1847">
        <v>82</v>
      </c>
      <c r="J1847">
        <v>97904</v>
      </c>
      <c r="K1847" t="s">
        <v>1521</v>
      </c>
      <c r="L1847" s="1">
        <v>41186</v>
      </c>
      <c r="N1847" t="s">
        <v>36</v>
      </c>
      <c r="O1847" t="s">
        <v>37</v>
      </c>
      <c r="P1847" t="s">
        <v>408</v>
      </c>
      <c r="Q1847" t="s">
        <v>39</v>
      </c>
      <c r="R1847" t="s">
        <v>40</v>
      </c>
      <c r="S1847">
        <v>0</v>
      </c>
      <c r="U1847" t="s">
        <v>41</v>
      </c>
      <c r="V1847" t="s">
        <v>42</v>
      </c>
      <c r="X1847" t="s">
        <v>74</v>
      </c>
      <c r="Y1847" t="b">
        <v>0</v>
      </c>
      <c r="Z1847" t="b">
        <v>0</v>
      </c>
      <c r="AB1847" t="s">
        <v>3737</v>
      </c>
      <c r="AC1847" s="1">
        <v>41311</v>
      </c>
      <c r="AF1847">
        <v>0</v>
      </c>
      <c r="AG1847">
        <v>45</v>
      </c>
      <c r="AH1847">
        <v>127</v>
      </c>
      <c r="AI1847" s="2">
        <f>Table__192.168.3.138DYLAgingReport[[#This Row],[NetAmount]]-Table__192.168.3.138DYLAgingReport[[#This Row],[Paid]]</f>
        <v>97904</v>
      </c>
    </row>
    <row r="1848" spans="1:35">
      <c r="A1848" t="s">
        <v>3890</v>
      </c>
      <c r="B1848" s="1">
        <v>41192</v>
      </c>
      <c r="C1848" s="1">
        <v>41237</v>
      </c>
      <c r="D1848" t="s">
        <v>242</v>
      </c>
      <c r="E1848">
        <v>98180</v>
      </c>
      <c r="F1848">
        <v>15709</v>
      </c>
      <c r="G1848">
        <v>0</v>
      </c>
      <c r="H1848">
        <v>0</v>
      </c>
      <c r="I1848">
        <v>76</v>
      </c>
      <c r="J1848">
        <v>113889</v>
      </c>
      <c r="K1848" t="s">
        <v>3891</v>
      </c>
      <c r="L1848" s="1">
        <v>41192</v>
      </c>
      <c r="N1848" t="s">
        <v>36</v>
      </c>
      <c r="O1848" t="s">
        <v>37</v>
      </c>
      <c r="P1848" t="s">
        <v>379</v>
      </c>
      <c r="Q1848" t="s">
        <v>39</v>
      </c>
      <c r="R1848" t="s">
        <v>40</v>
      </c>
      <c r="S1848">
        <v>0</v>
      </c>
      <c r="U1848" t="s">
        <v>41</v>
      </c>
      <c r="V1848" t="s">
        <v>42</v>
      </c>
      <c r="X1848" t="s">
        <v>74</v>
      </c>
      <c r="Y1848" t="b">
        <v>0</v>
      </c>
      <c r="Z1848" t="b">
        <v>0</v>
      </c>
      <c r="AC1848" s="1"/>
      <c r="AF1848">
        <v>0</v>
      </c>
      <c r="AG1848">
        <v>45</v>
      </c>
      <c r="AH1848">
        <v>121</v>
      </c>
      <c r="AI1848" s="2">
        <f>Table__192.168.3.138DYLAgingReport[[#This Row],[NetAmount]]-Table__192.168.3.138DYLAgingReport[[#This Row],[Paid]]</f>
        <v>113889</v>
      </c>
    </row>
    <row r="1849" spans="1:35">
      <c r="A1849" t="s">
        <v>3892</v>
      </c>
      <c r="B1849" s="1">
        <v>41190</v>
      </c>
      <c r="C1849" s="1">
        <v>41235</v>
      </c>
      <c r="D1849" t="s">
        <v>224</v>
      </c>
      <c r="E1849">
        <v>36671</v>
      </c>
      <c r="F1849">
        <v>5867</v>
      </c>
      <c r="G1849">
        <v>0</v>
      </c>
      <c r="H1849">
        <v>0</v>
      </c>
      <c r="I1849">
        <v>80</v>
      </c>
      <c r="J1849">
        <v>42538</v>
      </c>
      <c r="K1849" t="s">
        <v>3893</v>
      </c>
      <c r="L1849" s="1">
        <v>41188</v>
      </c>
      <c r="N1849" t="s">
        <v>36</v>
      </c>
      <c r="O1849" t="s">
        <v>37</v>
      </c>
      <c r="P1849" t="s">
        <v>361</v>
      </c>
      <c r="Q1849" t="s">
        <v>39</v>
      </c>
      <c r="R1849" t="s">
        <v>40</v>
      </c>
      <c r="S1849">
        <v>0</v>
      </c>
      <c r="U1849" t="s">
        <v>41</v>
      </c>
      <c r="V1849" t="s">
        <v>42</v>
      </c>
      <c r="X1849" t="s">
        <v>74</v>
      </c>
      <c r="Y1849" t="b">
        <v>0</v>
      </c>
      <c r="Z1849" t="b">
        <v>0</v>
      </c>
      <c r="AC1849" s="1"/>
      <c r="AF1849">
        <v>0</v>
      </c>
      <c r="AG1849">
        <v>45</v>
      </c>
      <c r="AH1849">
        <v>125</v>
      </c>
      <c r="AI1849" s="2">
        <f>Table__192.168.3.138DYLAgingReport[[#This Row],[NetAmount]]-Table__192.168.3.138DYLAgingReport[[#This Row],[Paid]]</f>
        <v>42538</v>
      </c>
    </row>
    <row r="1850" spans="1:35">
      <c r="A1850" t="s">
        <v>3894</v>
      </c>
      <c r="B1850" s="1">
        <v>41205</v>
      </c>
      <c r="C1850" s="1">
        <v>41250</v>
      </c>
      <c r="D1850" t="s">
        <v>251</v>
      </c>
      <c r="E1850">
        <v>238300</v>
      </c>
      <c r="F1850">
        <v>38128</v>
      </c>
      <c r="G1850">
        <v>0</v>
      </c>
      <c r="H1850">
        <v>0</v>
      </c>
      <c r="I1850">
        <v>62</v>
      </c>
      <c r="J1850">
        <v>276428</v>
      </c>
      <c r="K1850" t="s">
        <v>3895</v>
      </c>
      <c r="L1850" s="1">
        <v>41206</v>
      </c>
      <c r="N1850" t="s">
        <v>36</v>
      </c>
      <c r="O1850" t="s">
        <v>37</v>
      </c>
      <c r="P1850" t="s">
        <v>388</v>
      </c>
      <c r="Q1850" t="s">
        <v>39</v>
      </c>
      <c r="R1850" t="s">
        <v>40</v>
      </c>
      <c r="S1850">
        <v>0</v>
      </c>
      <c r="U1850" t="s">
        <v>41</v>
      </c>
      <c r="V1850" t="s">
        <v>42</v>
      </c>
      <c r="X1850" t="s">
        <v>74</v>
      </c>
      <c r="Y1850" t="b">
        <v>0</v>
      </c>
      <c r="Z1850" t="b">
        <v>0</v>
      </c>
      <c r="AB1850" t="s">
        <v>915</v>
      </c>
      <c r="AC1850" s="1">
        <v>41275</v>
      </c>
      <c r="AF1850">
        <v>0</v>
      </c>
      <c r="AG1850">
        <v>45</v>
      </c>
      <c r="AH1850">
        <v>107</v>
      </c>
      <c r="AI1850" s="2">
        <f>Table__192.168.3.138DYLAgingReport[[#This Row],[NetAmount]]-Table__192.168.3.138DYLAgingReport[[#This Row],[Paid]]</f>
        <v>276428</v>
      </c>
    </row>
    <row r="1851" spans="1:35">
      <c r="A1851" t="s">
        <v>3896</v>
      </c>
      <c r="B1851" s="1">
        <v>41201</v>
      </c>
      <c r="C1851" s="1">
        <v>41246</v>
      </c>
      <c r="D1851" t="s">
        <v>175</v>
      </c>
      <c r="E1851">
        <v>146250</v>
      </c>
      <c r="F1851">
        <v>23400</v>
      </c>
      <c r="G1851">
        <v>0</v>
      </c>
      <c r="H1851">
        <v>0</v>
      </c>
      <c r="I1851">
        <v>67</v>
      </c>
      <c r="J1851">
        <v>169650</v>
      </c>
      <c r="K1851" t="s">
        <v>1536</v>
      </c>
      <c r="L1851" s="1">
        <v>41201</v>
      </c>
      <c r="N1851" t="s">
        <v>36</v>
      </c>
      <c r="O1851" t="s">
        <v>37</v>
      </c>
      <c r="P1851" t="s">
        <v>312</v>
      </c>
      <c r="Q1851" t="s">
        <v>39</v>
      </c>
      <c r="R1851" t="s">
        <v>40</v>
      </c>
      <c r="S1851">
        <v>0</v>
      </c>
      <c r="U1851" t="s">
        <v>41</v>
      </c>
      <c r="V1851" t="s">
        <v>42</v>
      </c>
      <c r="X1851" t="s">
        <v>74</v>
      </c>
      <c r="Y1851" t="b">
        <v>0</v>
      </c>
      <c r="Z1851" t="b">
        <v>0</v>
      </c>
      <c r="AC1851" s="1"/>
      <c r="AF1851">
        <v>0</v>
      </c>
      <c r="AG1851">
        <v>45</v>
      </c>
      <c r="AH1851">
        <v>112</v>
      </c>
      <c r="AI1851" s="2">
        <f>Table__192.168.3.138DYLAgingReport[[#This Row],[NetAmount]]-Table__192.168.3.138DYLAgingReport[[#This Row],[Paid]]</f>
        <v>169650</v>
      </c>
    </row>
    <row r="1852" spans="1:35">
      <c r="A1852" t="s">
        <v>3897</v>
      </c>
      <c r="B1852" s="1">
        <v>41207</v>
      </c>
      <c r="C1852" s="1">
        <v>41252</v>
      </c>
      <c r="D1852" t="s">
        <v>253</v>
      </c>
      <c r="E1852">
        <v>133742</v>
      </c>
      <c r="F1852">
        <v>21399</v>
      </c>
      <c r="G1852">
        <v>0</v>
      </c>
      <c r="H1852">
        <v>0</v>
      </c>
      <c r="I1852">
        <v>55</v>
      </c>
      <c r="J1852">
        <v>155141</v>
      </c>
      <c r="K1852" t="s">
        <v>3898</v>
      </c>
      <c r="L1852" s="1">
        <v>41213</v>
      </c>
      <c r="N1852" t="s">
        <v>36</v>
      </c>
      <c r="O1852" t="s">
        <v>37</v>
      </c>
      <c r="P1852" t="s">
        <v>390</v>
      </c>
      <c r="Q1852" t="s">
        <v>39</v>
      </c>
      <c r="R1852" t="s">
        <v>40</v>
      </c>
      <c r="S1852">
        <v>0</v>
      </c>
      <c r="U1852" t="s">
        <v>41</v>
      </c>
      <c r="V1852" t="s">
        <v>42</v>
      </c>
      <c r="X1852" t="s">
        <v>74</v>
      </c>
      <c r="Y1852" t="b">
        <v>0</v>
      </c>
      <c r="Z1852" t="b">
        <v>0</v>
      </c>
      <c r="AB1852" t="s">
        <v>3899</v>
      </c>
      <c r="AC1852" s="1">
        <v>41296</v>
      </c>
      <c r="AF1852">
        <v>0</v>
      </c>
      <c r="AG1852">
        <v>45</v>
      </c>
      <c r="AH1852">
        <v>100</v>
      </c>
      <c r="AI1852" s="2">
        <f>Table__192.168.3.138DYLAgingReport[[#This Row],[NetAmount]]-Table__192.168.3.138DYLAgingReport[[#This Row],[Paid]]</f>
        <v>155141</v>
      </c>
    </row>
    <row r="1853" spans="1:35">
      <c r="A1853" t="s">
        <v>3900</v>
      </c>
      <c r="B1853" s="1">
        <v>41197</v>
      </c>
      <c r="C1853" s="1">
        <v>41242</v>
      </c>
      <c r="D1853" t="s">
        <v>257</v>
      </c>
      <c r="E1853">
        <v>40000</v>
      </c>
      <c r="F1853">
        <v>6400</v>
      </c>
      <c r="G1853">
        <v>0</v>
      </c>
      <c r="H1853">
        <v>0</v>
      </c>
      <c r="I1853">
        <v>68</v>
      </c>
      <c r="J1853">
        <v>46400</v>
      </c>
      <c r="K1853" t="s">
        <v>995</v>
      </c>
      <c r="L1853" s="1">
        <v>41200</v>
      </c>
      <c r="N1853" t="s">
        <v>36</v>
      </c>
      <c r="O1853" t="s">
        <v>37</v>
      </c>
      <c r="P1853" t="s">
        <v>394</v>
      </c>
      <c r="Q1853" t="s">
        <v>39</v>
      </c>
      <c r="R1853" t="s">
        <v>40</v>
      </c>
      <c r="S1853">
        <v>0</v>
      </c>
      <c r="U1853" t="s">
        <v>41</v>
      </c>
      <c r="V1853" t="s">
        <v>42</v>
      </c>
      <c r="X1853" t="s">
        <v>74</v>
      </c>
      <c r="Y1853" t="b">
        <v>0</v>
      </c>
      <c r="Z1853" t="b">
        <v>0</v>
      </c>
      <c r="AC1853" s="1"/>
      <c r="AF1853">
        <v>0</v>
      </c>
      <c r="AG1853">
        <v>45</v>
      </c>
      <c r="AH1853">
        <v>113</v>
      </c>
      <c r="AI1853" s="2">
        <f>Table__192.168.3.138DYLAgingReport[[#This Row],[NetAmount]]-Table__192.168.3.138DYLAgingReport[[#This Row],[Paid]]</f>
        <v>46400</v>
      </c>
    </row>
    <row r="1854" spans="1:35">
      <c r="A1854" t="s">
        <v>3901</v>
      </c>
      <c r="B1854" s="1">
        <v>41213</v>
      </c>
      <c r="C1854" s="1">
        <v>41258</v>
      </c>
      <c r="D1854" t="s">
        <v>174</v>
      </c>
      <c r="E1854">
        <v>33000</v>
      </c>
      <c r="F1854">
        <v>5280</v>
      </c>
      <c r="G1854">
        <v>0</v>
      </c>
      <c r="H1854">
        <v>0</v>
      </c>
      <c r="I1854">
        <v>55</v>
      </c>
      <c r="J1854">
        <v>38280</v>
      </c>
      <c r="K1854" t="s">
        <v>1037</v>
      </c>
      <c r="L1854" s="1">
        <v>41213</v>
      </c>
      <c r="N1854" t="s">
        <v>36</v>
      </c>
      <c r="O1854" t="s">
        <v>37</v>
      </c>
      <c r="P1854" t="s">
        <v>311</v>
      </c>
      <c r="Q1854" t="s">
        <v>39</v>
      </c>
      <c r="R1854" t="s">
        <v>40</v>
      </c>
      <c r="S1854">
        <v>0</v>
      </c>
      <c r="U1854" t="s">
        <v>41</v>
      </c>
      <c r="V1854" t="s">
        <v>42</v>
      </c>
      <c r="X1854" t="s">
        <v>74</v>
      </c>
      <c r="Y1854" t="b">
        <v>0</v>
      </c>
      <c r="Z1854" t="b">
        <v>0</v>
      </c>
      <c r="AC1854" s="1"/>
      <c r="AF1854">
        <v>0</v>
      </c>
      <c r="AG1854">
        <v>45</v>
      </c>
      <c r="AH1854">
        <v>100</v>
      </c>
      <c r="AI1854" s="2">
        <f>Table__192.168.3.138DYLAgingReport[[#This Row],[NetAmount]]-Table__192.168.3.138DYLAgingReport[[#This Row],[Paid]]</f>
        <v>38280</v>
      </c>
    </row>
    <row r="1855" spans="1:35">
      <c r="A1855" t="s">
        <v>3902</v>
      </c>
      <c r="B1855" s="1">
        <v>41206</v>
      </c>
      <c r="C1855" s="1">
        <v>41251</v>
      </c>
      <c r="D1855" t="s">
        <v>174</v>
      </c>
      <c r="E1855">
        <v>13794</v>
      </c>
      <c r="F1855">
        <v>2207</v>
      </c>
      <c r="G1855">
        <v>0</v>
      </c>
      <c r="H1855">
        <v>0</v>
      </c>
      <c r="I1855">
        <v>62</v>
      </c>
      <c r="J1855">
        <v>16001</v>
      </c>
      <c r="K1855" t="s">
        <v>3903</v>
      </c>
      <c r="L1855" s="1">
        <v>41206</v>
      </c>
      <c r="N1855" t="s">
        <v>36</v>
      </c>
      <c r="O1855" t="s">
        <v>37</v>
      </c>
      <c r="P1855" t="s">
        <v>311</v>
      </c>
      <c r="Q1855" t="s">
        <v>39</v>
      </c>
      <c r="R1855" t="s">
        <v>40</v>
      </c>
      <c r="S1855">
        <v>0</v>
      </c>
      <c r="U1855" t="s">
        <v>41</v>
      </c>
      <c r="V1855" t="s">
        <v>42</v>
      </c>
      <c r="X1855" t="s">
        <v>74</v>
      </c>
      <c r="Y1855" t="b">
        <v>0</v>
      </c>
      <c r="Z1855" t="b">
        <v>0</v>
      </c>
      <c r="AC1855" s="1"/>
      <c r="AF1855">
        <v>0</v>
      </c>
      <c r="AG1855">
        <v>45</v>
      </c>
      <c r="AH1855">
        <v>107</v>
      </c>
      <c r="AI1855" s="2">
        <f>Table__192.168.3.138DYLAgingReport[[#This Row],[NetAmount]]-Table__192.168.3.138DYLAgingReport[[#This Row],[Paid]]</f>
        <v>16001</v>
      </c>
    </row>
    <row r="1856" spans="1:35">
      <c r="A1856" t="s">
        <v>3904</v>
      </c>
      <c r="B1856" s="1">
        <v>41199</v>
      </c>
      <c r="C1856" s="1">
        <v>41244</v>
      </c>
      <c r="D1856" t="s">
        <v>174</v>
      </c>
      <c r="E1856">
        <v>37500</v>
      </c>
      <c r="F1856">
        <v>6000</v>
      </c>
      <c r="G1856">
        <v>0</v>
      </c>
      <c r="H1856">
        <v>0</v>
      </c>
      <c r="I1856">
        <v>69</v>
      </c>
      <c r="J1856">
        <v>43500</v>
      </c>
      <c r="K1856" t="s">
        <v>3905</v>
      </c>
      <c r="L1856" s="1">
        <v>41199</v>
      </c>
      <c r="N1856" t="s">
        <v>36</v>
      </c>
      <c r="O1856" t="s">
        <v>37</v>
      </c>
      <c r="P1856" t="s">
        <v>311</v>
      </c>
      <c r="Q1856" t="s">
        <v>39</v>
      </c>
      <c r="R1856" t="s">
        <v>40</v>
      </c>
      <c r="S1856">
        <v>0</v>
      </c>
      <c r="U1856" t="s">
        <v>41</v>
      </c>
      <c r="V1856" t="s">
        <v>42</v>
      </c>
      <c r="X1856" t="s">
        <v>74</v>
      </c>
      <c r="Y1856" t="b">
        <v>0</v>
      </c>
      <c r="Z1856" t="b">
        <v>0</v>
      </c>
      <c r="AC1856" s="1"/>
      <c r="AF1856">
        <v>0</v>
      </c>
      <c r="AG1856">
        <v>45</v>
      </c>
      <c r="AH1856">
        <v>114</v>
      </c>
      <c r="AI1856" s="2">
        <f>Table__192.168.3.138DYLAgingReport[[#This Row],[NetAmount]]-Table__192.168.3.138DYLAgingReport[[#This Row],[Paid]]</f>
        <v>43500</v>
      </c>
    </row>
    <row r="1857" spans="1:35">
      <c r="A1857" t="s">
        <v>3906</v>
      </c>
      <c r="B1857" s="1">
        <v>41204</v>
      </c>
      <c r="C1857" s="1">
        <v>41249</v>
      </c>
      <c r="D1857" t="s">
        <v>174</v>
      </c>
      <c r="E1857">
        <v>59900</v>
      </c>
      <c r="F1857">
        <v>9584</v>
      </c>
      <c r="G1857">
        <v>0</v>
      </c>
      <c r="H1857">
        <v>0</v>
      </c>
      <c r="I1857">
        <v>66</v>
      </c>
      <c r="J1857">
        <v>69484</v>
      </c>
      <c r="K1857" t="s">
        <v>3907</v>
      </c>
      <c r="L1857" s="1">
        <v>41202</v>
      </c>
      <c r="N1857" t="s">
        <v>36</v>
      </c>
      <c r="O1857" t="s">
        <v>37</v>
      </c>
      <c r="P1857" t="s">
        <v>311</v>
      </c>
      <c r="Q1857" t="s">
        <v>39</v>
      </c>
      <c r="R1857" t="s">
        <v>40</v>
      </c>
      <c r="S1857">
        <v>0</v>
      </c>
      <c r="U1857" t="s">
        <v>41</v>
      </c>
      <c r="V1857" t="s">
        <v>42</v>
      </c>
      <c r="X1857" t="s">
        <v>74</v>
      </c>
      <c r="Y1857" t="b">
        <v>0</v>
      </c>
      <c r="Z1857" t="b">
        <v>0</v>
      </c>
      <c r="AC1857" s="1"/>
      <c r="AF1857">
        <v>0</v>
      </c>
      <c r="AG1857">
        <v>45</v>
      </c>
      <c r="AH1857">
        <v>111</v>
      </c>
      <c r="AI1857" s="2">
        <f>Table__192.168.3.138DYLAgingReport[[#This Row],[NetAmount]]-Table__192.168.3.138DYLAgingReport[[#This Row],[Paid]]</f>
        <v>69484</v>
      </c>
    </row>
    <row r="1858" spans="1:35">
      <c r="A1858" t="s">
        <v>3908</v>
      </c>
      <c r="B1858" s="1">
        <v>41206</v>
      </c>
      <c r="C1858" s="1">
        <v>41251</v>
      </c>
      <c r="D1858" t="s">
        <v>186</v>
      </c>
      <c r="E1858">
        <v>1700</v>
      </c>
      <c r="F1858">
        <v>272</v>
      </c>
      <c r="G1858">
        <v>0</v>
      </c>
      <c r="H1858">
        <v>0</v>
      </c>
      <c r="I1858">
        <v>62</v>
      </c>
      <c r="J1858">
        <v>1972</v>
      </c>
      <c r="K1858" t="s">
        <v>2827</v>
      </c>
      <c r="L1858" s="1">
        <v>41206</v>
      </c>
      <c r="N1858" t="s">
        <v>36</v>
      </c>
      <c r="O1858" t="s">
        <v>37</v>
      </c>
      <c r="P1858" t="s">
        <v>323</v>
      </c>
      <c r="Q1858" t="s">
        <v>39</v>
      </c>
      <c r="R1858" t="s">
        <v>40</v>
      </c>
      <c r="S1858">
        <v>0</v>
      </c>
      <c r="U1858" t="s">
        <v>41</v>
      </c>
      <c r="V1858" t="s">
        <v>42</v>
      </c>
      <c r="X1858" t="s">
        <v>74</v>
      </c>
      <c r="Y1858" t="b">
        <v>0</v>
      </c>
      <c r="Z1858" t="b">
        <v>0</v>
      </c>
      <c r="AC1858" s="1"/>
      <c r="AF1858">
        <v>0</v>
      </c>
      <c r="AG1858">
        <v>45</v>
      </c>
      <c r="AH1858">
        <v>107</v>
      </c>
      <c r="AI1858" s="2">
        <f>Table__192.168.3.138DYLAgingReport[[#This Row],[NetAmount]]-Table__192.168.3.138DYLAgingReport[[#This Row],[Paid]]</f>
        <v>1972</v>
      </c>
    </row>
    <row r="1859" spans="1:35">
      <c r="A1859" t="s">
        <v>3909</v>
      </c>
      <c r="B1859" s="1">
        <v>41184</v>
      </c>
      <c r="C1859" s="1">
        <v>41229</v>
      </c>
      <c r="D1859" t="s">
        <v>270</v>
      </c>
      <c r="E1859">
        <v>29700</v>
      </c>
      <c r="F1859">
        <v>4752</v>
      </c>
      <c r="G1859">
        <v>0</v>
      </c>
      <c r="H1859">
        <v>0</v>
      </c>
      <c r="I1859">
        <v>99</v>
      </c>
      <c r="J1859">
        <v>34452</v>
      </c>
      <c r="K1859" t="s">
        <v>3246</v>
      </c>
      <c r="L1859" s="1">
        <v>41184</v>
      </c>
      <c r="N1859" t="s">
        <v>36</v>
      </c>
      <c r="O1859" t="s">
        <v>37</v>
      </c>
      <c r="P1859" t="s">
        <v>407</v>
      </c>
      <c r="Q1859" t="s">
        <v>39</v>
      </c>
      <c r="R1859" t="s">
        <v>40</v>
      </c>
      <c r="S1859">
        <v>0</v>
      </c>
      <c r="U1859" t="s">
        <v>41</v>
      </c>
      <c r="V1859" t="s">
        <v>42</v>
      </c>
      <c r="X1859" t="s">
        <v>74</v>
      </c>
      <c r="Y1859" t="b">
        <v>0</v>
      </c>
      <c r="Z1859" t="b">
        <v>0</v>
      </c>
      <c r="AC1859" s="1"/>
      <c r="AF1859">
        <v>0</v>
      </c>
      <c r="AG1859">
        <v>30</v>
      </c>
      <c r="AH1859">
        <v>129</v>
      </c>
      <c r="AI1859" s="2">
        <f>Table__192.168.3.138DYLAgingReport[[#This Row],[NetAmount]]-Table__192.168.3.138DYLAgingReport[[#This Row],[Paid]]</f>
        <v>34452</v>
      </c>
    </row>
    <row r="1860" spans="1:35">
      <c r="A1860" t="s">
        <v>3910</v>
      </c>
      <c r="B1860" s="1">
        <v>41198</v>
      </c>
      <c r="C1860" s="1">
        <v>41243</v>
      </c>
      <c r="D1860" t="s">
        <v>285</v>
      </c>
      <c r="E1860">
        <v>47650</v>
      </c>
      <c r="F1860">
        <v>7624</v>
      </c>
      <c r="G1860">
        <v>0</v>
      </c>
      <c r="H1860">
        <v>0</v>
      </c>
      <c r="I1860">
        <v>85</v>
      </c>
      <c r="J1860">
        <v>55274</v>
      </c>
      <c r="K1860" t="s">
        <v>3911</v>
      </c>
      <c r="L1860" s="1">
        <v>41198</v>
      </c>
      <c r="N1860" t="s">
        <v>36</v>
      </c>
      <c r="O1860" t="s">
        <v>37</v>
      </c>
      <c r="P1860" t="s">
        <v>422</v>
      </c>
      <c r="Q1860" t="s">
        <v>39</v>
      </c>
      <c r="R1860" t="s">
        <v>40</v>
      </c>
      <c r="S1860">
        <v>0</v>
      </c>
      <c r="U1860" t="s">
        <v>41</v>
      </c>
      <c r="V1860" t="s">
        <v>42</v>
      </c>
      <c r="X1860" t="s">
        <v>74</v>
      </c>
      <c r="Y1860" t="b">
        <v>0</v>
      </c>
      <c r="Z1860" t="b">
        <v>0</v>
      </c>
      <c r="AB1860" t="s">
        <v>954</v>
      </c>
      <c r="AC1860" s="1">
        <v>41279</v>
      </c>
      <c r="AD1860" t="s">
        <v>5365</v>
      </c>
      <c r="AE1860" t="s">
        <v>955</v>
      </c>
      <c r="AF1860">
        <v>43941</v>
      </c>
      <c r="AG1860">
        <v>30</v>
      </c>
      <c r="AH1860">
        <v>115</v>
      </c>
      <c r="AI1860" s="2">
        <f>Table__192.168.3.138DYLAgingReport[[#This Row],[NetAmount]]-Table__192.168.3.138DYLAgingReport[[#This Row],[Paid]]</f>
        <v>11333</v>
      </c>
    </row>
    <row r="1861" spans="1:35">
      <c r="A1861" t="s">
        <v>3912</v>
      </c>
      <c r="B1861" s="1">
        <v>41203</v>
      </c>
      <c r="C1861" s="1">
        <v>41203</v>
      </c>
      <c r="D1861" t="s">
        <v>297</v>
      </c>
      <c r="E1861">
        <v>64800</v>
      </c>
      <c r="F1861">
        <v>10368</v>
      </c>
      <c r="G1861">
        <v>0</v>
      </c>
      <c r="H1861">
        <v>0</v>
      </c>
      <c r="I1861">
        <v>65</v>
      </c>
      <c r="J1861">
        <v>75168</v>
      </c>
      <c r="K1861" t="s">
        <v>3913</v>
      </c>
      <c r="L1861" s="1">
        <v>41203</v>
      </c>
      <c r="N1861" t="s">
        <v>36</v>
      </c>
      <c r="O1861" t="s">
        <v>37</v>
      </c>
      <c r="P1861" t="s">
        <v>434</v>
      </c>
      <c r="Q1861" t="s">
        <v>39</v>
      </c>
      <c r="R1861" t="s">
        <v>40</v>
      </c>
      <c r="S1861">
        <v>0</v>
      </c>
      <c r="U1861" t="s">
        <v>41</v>
      </c>
      <c r="V1861" t="s">
        <v>42</v>
      </c>
      <c r="X1861" t="s">
        <v>74</v>
      </c>
      <c r="Y1861" t="b">
        <v>0</v>
      </c>
      <c r="Z1861" t="b">
        <v>0</v>
      </c>
      <c r="AB1861" t="s">
        <v>947</v>
      </c>
      <c r="AC1861" s="1">
        <v>41263</v>
      </c>
      <c r="AF1861">
        <v>0</v>
      </c>
      <c r="AG1861">
        <v>45</v>
      </c>
      <c r="AH1861">
        <v>110</v>
      </c>
      <c r="AI1861" s="2">
        <f>Table__192.168.3.138DYLAgingReport[[#This Row],[NetAmount]]-Table__192.168.3.138DYLAgingReport[[#This Row],[Paid]]</f>
        <v>75168</v>
      </c>
    </row>
    <row r="1862" spans="1:35">
      <c r="A1862" t="s">
        <v>3914</v>
      </c>
      <c r="B1862" s="1">
        <v>41195</v>
      </c>
      <c r="C1862" s="1">
        <v>41195</v>
      </c>
      <c r="D1862" t="s">
        <v>297</v>
      </c>
      <c r="E1862">
        <v>81000</v>
      </c>
      <c r="F1862">
        <v>12960</v>
      </c>
      <c r="G1862">
        <v>0</v>
      </c>
      <c r="H1862">
        <v>0</v>
      </c>
      <c r="I1862">
        <v>85</v>
      </c>
      <c r="J1862">
        <v>93960</v>
      </c>
      <c r="K1862" t="s">
        <v>3915</v>
      </c>
      <c r="L1862" s="1">
        <v>41183</v>
      </c>
      <c r="N1862" t="s">
        <v>36</v>
      </c>
      <c r="O1862" t="s">
        <v>37</v>
      </c>
      <c r="P1862" t="s">
        <v>434</v>
      </c>
      <c r="Q1862" t="s">
        <v>39</v>
      </c>
      <c r="R1862" t="s">
        <v>40</v>
      </c>
      <c r="S1862">
        <v>0</v>
      </c>
      <c r="U1862" t="s">
        <v>41</v>
      </c>
      <c r="V1862" t="s">
        <v>42</v>
      </c>
      <c r="X1862" t="s">
        <v>74</v>
      </c>
      <c r="Y1862" t="b">
        <v>0</v>
      </c>
      <c r="Z1862" t="b">
        <v>0</v>
      </c>
      <c r="AB1862" t="s">
        <v>947</v>
      </c>
      <c r="AC1862" s="1">
        <v>41263</v>
      </c>
      <c r="AF1862">
        <v>0</v>
      </c>
      <c r="AG1862">
        <v>45</v>
      </c>
      <c r="AH1862">
        <v>130</v>
      </c>
      <c r="AI1862" s="2">
        <f>Table__192.168.3.138DYLAgingReport[[#This Row],[NetAmount]]-Table__192.168.3.138DYLAgingReport[[#This Row],[Paid]]</f>
        <v>93960</v>
      </c>
    </row>
    <row r="1863" spans="1:35">
      <c r="A1863" t="s">
        <v>3916</v>
      </c>
      <c r="B1863" s="1">
        <v>41213</v>
      </c>
      <c r="C1863" s="1">
        <v>41258</v>
      </c>
      <c r="D1863" t="s">
        <v>224</v>
      </c>
      <c r="E1863">
        <v>32745</v>
      </c>
      <c r="F1863">
        <v>5239</v>
      </c>
      <c r="G1863">
        <v>0</v>
      </c>
      <c r="H1863">
        <v>0</v>
      </c>
      <c r="I1863">
        <v>61</v>
      </c>
      <c r="J1863">
        <v>37984</v>
      </c>
      <c r="K1863" t="s">
        <v>3917</v>
      </c>
      <c r="L1863" s="1">
        <v>41207</v>
      </c>
      <c r="N1863" t="s">
        <v>36</v>
      </c>
      <c r="O1863" t="s">
        <v>37</v>
      </c>
      <c r="P1863" t="s">
        <v>361</v>
      </c>
      <c r="Q1863" t="s">
        <v>39</v>
      </c>
      <c r="R1863" t="s">
        <v>40</v>
      </c>
      <c r="S1863">
        <v>0</v>
      </c>
      <c r="U1863" t="s">
        <v>41</v>
      </c>
      <c r="V1863" t="s">
        <v>42</v>
      </c>
      <c r="X1863" t="s">
        <v>74</v>
      </c>
      <c r="Y1863" t="b">
        <v>0</v>
      </c>
      <c r="Z1863" t="b">
        <v>0</v>
      </c>
      <c r="AC1863" s="1"/>
      <c r="AF1863">
        <v>0</v>
      </c>
      <c r="AG1863">
        <v>45</v>
      </c>
      <c r="AH1863">
        <v>106</v>
      </c>
      <c r="AI1863" s="2">
        <f>Table__192.168.3.138DYLAgingReport[[#This Row],[NetAmount]]-Table__192.168.3.138DYLAgingReport[[#This Row],[Paid]]</f>
        <v>37984</v>
      </c>
    </row>
    <row r="1864" spans="1:35">
      <c r="A1864" t="s">
        <v>3918</v>
      </c>
      <c r="B1864" s="1">
        <v>41206</v>
      </c>
      <c r="C1864" s="1">
        <v>41251</v>
      </c>
      <c r="D1864" t="s">
        <v>281</v>
      </c>
      <c r="E1864">
        <v>103778</v>
      </c>
      <c r="F1864">
        <v>0</v>
      </c>
      <c r="G1864">
        <v>0</v>
      </c>
      <c r="H1864">
        <v>0</v>
      </c>
      <c r="I1864">
        <v>56</v>
      </c>
      <c r="J1864">
        <v>103778</v>
      </c>
      <c r="K1864" t="s">
        <v>3919</v>
      </c>
      <c r="L1864" s="1">
        <v>41212</v>
      </c>
      <c r="N1864" t="s">
        <v>36</v>
      </c>
      <c r="O1864" t="s">
        <v>37</v>
      </c>
      <c r="P1864" t="s">
        <v>418</v>
      </c>
      <c r="Q1864" t="s">
        <v>39</v>
      </c>
      <c r="R1864" t="s">
        <v>40</v>
      </c>
      <c r="S1864">
        <v>0</v>
      </c>
      <c r="U1864" t="s">
        <v>41</v>
      </c>
      <c r="V1864" t="s">
        <v>42</v>
      </c>
      <c r="X1864" t="s">
        <v>74</v>
      </c>
      <c r="Y1864" t="b">
        <v>0</v>
      </c>
      <c r="Z1864" t="b">
        <v>0</v>
      </c>
      <c r="AC1864" s="1"/>
      <c r="AF1864">
        <v>0</v>
      </c>
      <c r="AG1864">
        <v>45</v>
      </c>
      <c r="AH1864">
        <v>101</v>
      </c>
      <c r="AI1864" s="2">
        <f>Table__192.168.3.138DYLAgingReport[[#This Row],[NetAmount]]-Table__192.168.3.138DYLAgingReport[[#This Row],[Paid]]</f>
        <v>103778</v>
      </c>
    </row>
    <row r="1865" spans="1:35">
      <c r="A1865" t="s">
        <v>3920</v>
      </c>
      <c r="B1865" s="1">
        <v>41174</v>
      </c>
      <c r="C1865" s="1">
        <v>41219</v>
      </c>
      <c r="D1865" t="s">
        <v>249</v>
      </c>
      <c r="E1865">
        <v>196680</v>
      </c>
      <c r="F1865">
        <v>0</v>
      </c>
      <c r="G1865">
        <v>0</v>
      </c>
      <c r="H1865">
        <v>0</v>
      </c>
      <c r="I1865">
        <v>63</v>
      </c>
      <c r="J1865">
        <v>196680</v>
      </c>
      <c r="K1865" t="s">
        <v>3921</v>
      </c>
      <c r="L1865" s="1">
        <v>41205</v>
      </c>
      <c r="M1865" t="s">
        <v>3922</v>
      </c>
      <c r="N1865" t="s">
        <v>36</v>
      </c>
      <c r="O1865" t="s">
        <v>37</v>
      </c>
      <c r="P1865" t="s">
        <v>386</v>
      </c>
      <c r="Q1865" t="s">
        <v>39</v>
      </c>
      <c r="R1865" t="s">
        <v>40</v>
      </c>
      <c r="S1865">
        <v>0</v>
      </c>
      <c r="U1865" t="s">
        <v>41</v>
      </c>
      <c r="V1865" t="s">
        <v>42</v>
      </c>
      <c r="W1865" t="s">
        <v>3923</v>
      </c>
      <c r="X1865" t="s">
        <v>74</v>
      </c>
      <c r="Y1865" t="b">
        <v>0</v>
      </c>
      <c r="Z1865" t="b">
        <v>0</v>
      </c>
      <c r="AA1865" t="b">
        <v>0</v>
      </c>
      <c r="AC1865" s="1"/>
      <c r="AF1865">
        <v>0</v>
      </c>
      <c r="AG1865">
        <v>45</v>
      </c>
      <c r="AH1865">
        <v>108</v>
      </c>
      <c r="AI1865" s="2">
        <f>Table__192.168.3.138DYLAgingReport[[#This Row],[NetAmount]]-Table__192.168.3.138DYLAgingReport[[#This Row],[Paid]]</f>
        <v>196680</v>
      </c>
    </row>
    <row r="1866" spans="1:35">
      <c r="A1866" t="s">
        <v>3924</v>
      </c>
      <c r="B1866" s="1">
        <v>41204</v>
      </c>
      <c r="C1866" s="1">
        <v>41249</v>
      </c>
      <c r="D1866" t="s">
        <v>249</v>
      </c>
      <c r="E1866">
        <v>479050</v>
      </c>
      <c r="F1866">
        <v>0</v>
      </c>
      <c r="G1866">
        <v>0</v>
      </c>
      <c r="H1866">
        <v>0</v>
      </c>
      <c r="I1866">
        <v>63</v>
      </c>
      <c r="J1866">
        <v>479050</v>
      </c>
      <c r="K1866" t="s">
        <v>3925</v>
      </c>
      <c r="L1866" s="1">
        <v>41205</v>
      </c>
      <c r="M1866" t="s">
        <v>3926</v>
      </c>
      <c r="N1866" t="s">
        <v>36</v>
      </c>
      <c r="O1866" t="s">
        <v>37</v>
      </c>
      <c r="P1866" t="s">
        <v>386</v>
      </c>
      <c r="Q1866" t="s">
        <v>39</v>
      </c>
      <c r="R1866" t="s">
        <v>40</v>
      </c>
      <c r="S1866">
        <v>0</v>
      </c>
      <c r="U1866" t="s">
        <v>41</v>
      </c>
      <c r="V1866" t="s">
        <v>42</v>
      </c>
      <c r="W1866" t="s">
        <v>3923</v>
      </c>
      <c r="X1866" t="s">
        <v>74</v>
      </c>
      <c r="Y1866" t="b">
        <v>0</v>
      </c>
      <c r="Z1866" t="b">
        <v>0</v>
      </c>
      <c r="AA1866" t="b">
        <v>0</v>
      </c>
      <c r="AC1866" s="1"/>
      <c r="AF1866">
        <v>0</v>
      </c>
      <c r="AG1866">
        <v>45</v>
      </c>
      <c r="AH1866">
        <v>108</v>
      </c>
      <c r="AI1866" s="2">
        <f>Table__192.168.3.138DYLAgingReport[[#This Row],[NetAmount]]-Table__192.168.3.138DYLAgingReport[[#This Row],[Paid]]</f>
        <v>479050</v>
      </c>
    </row>
    <row r="1867" spans="1:35">
      <c r="A1867" t="s">
        <v>3927</v>
      </c>
      <c r="B1867" s="1">
        <v>41163</v>
      </c>
      <c r="C1867" s="1">
        <v>41208</v>
      </c>
      <c r="D1867" t="s">
        <v>249</v>
      </c>
      <c r="E1867">
        <v>230037</v>
      </c>
      <c r="F1867">
        <v>0</v>
      </c>
      <c r="G1867">
        <v>0</v>
      </c>
      <c r="H1867">
        <v>0</v>
      </c>
      <c r="I1867">
        <v>102</v>
      </c>
      <c r="J1867">
        <v>230037</v>
      </c>
      <c r="K1867" t="s">
        <v>3928</v>
      </c>
      <c r="L1867" s="1">
        <v>41166</v>
      </c>
      <c r="M1867" t="s">
        <v>3929</v>
      </c>
      <c r="N1867" t="s">
        <v>36</v>
      </c>
      <c r="O1867" t="s">
        <v>37</v>
      </c>
      <c r="P1867" t="s">
        <v>386</v>
      </c>
      <c r="Q1867" t="s">
        <v>39</v>
      </c>
      <c r="R1867" t="s">
        <v>40</v>
      </c>
      <c r="S1867">
        <v>0</v>
      </c>
      <c r="U1867" t="s">
        <v>41</v>
      </c>
      <c r="V1867" t="s">
        <v>42</v>
      </c>
      <c r="W1867" t="s">
        <v>3923</v>
      </c>
      <c r="X1867" t="s">
        <v>74</v>
      </c>
      <c r="Y1867" t="b">
        <v>0</v>
      </c>
      <c r="Z1867" t="b">
        <v>0</v>
      </c>
      <c r="AA1867" t="b">
        <v>0</v>
      </c>
      <c r="AC1867" s="1"/>
      <c r="AF1867">
        <v>0</v>
      </c>
      <c r="AG1867">
        <v>45</v>
      </c>
      <c r="AH1867">
        <v>147</v>
      </c>
      <c r="AI1867" s="2">
        <f>Table__192.168.3.138DYLAgingReport[[#This Row],[NetAmount]]-Table__192.168.3.138DYLAgingReport[[#This Row],[Paid]]</f>
        <v>230037</v>
      </c>
    </row>
    <row r="1868" spans="1:35">
      <c r="A1868" t="s">
        <v>3930</v>
      </c>
      <c r="B1868" s="1">
        <v>41182</v>
      </c>
      <c r="C1868" s="1">
        <v>41182</v>
      </c>
      <c r="D1868" t="s">
        <v>291</v>
      </c>
      <c r="E1868">
        <v>44650</v>
      </c>
      <c r="F1868">
        <v>7144</v>
      </c>
      <c r="G1868">
        <v>0</v>
      </c>
      <c r="H1868">
        <v>0</v>
      </c>
      <c r="I1868">
        <v>86</v>
      </c>
      <c r="J1868">
        <v>51794</v>
      </c>
      <c r="K1868" t="s">
        <v>3931</v>
      </c>
      <c r="L1868" s="1">
        <v>41182</v>
      </c>
      <c r="M1868" t="s">
        <v>3932</v>
      </c>
      <c r="N1868" t="s">
        <v>36</v>
      </c>
      <c r="O1868" t="s">
        <v>37</v>
      </c>
      <c r="P1868" t="s">
        <v>428</v>
      </c>
      <c r="Q1868" t="s">
        <v>39</v>
      </c>
      <c r="R1868" t="s">
        <v>40</v>
      </c>
      <c r="S1868">
        <v>0</v>
      </c>
      <c r="U1868" t="s">
        <v>41</v>
      </c>
      <c r="V1868" t="s">
        <v>42</v>
      </c>
      <c r="W1868" t="s">
        <v>792</v>
      </c>
      <c r="X1868" t="s">
        <v>74</v>
      </c>
      <c r="Y1868" t="b">
        <v>0</v>
      </c>
      <c r="Z1868" t="b">
        <v>0</v>
      </c>
      <c r="AA1868" t="b">
        <v>0</v>
      </c>
      <c r="AC1868" s="1"/>
      <c r="AF1868">
        <v>0</v>
      </c>
      <c r="AG1868">
        <v>45</v>
      </c>
      <c r="AH1868">
        <v>131</v>
      </c>
      <c r="AI1868" s="2">
        <f>Table__192.168.3.138DYLAgingReport[[#This Row],[NetAmount]]-Table__192.168.3.138DYLAgingReport[[#This Row],[Paid]]</f>
        <v>51794</v>
      </c>
    </row>
    <row r="1869" spans="1:35">
      <c r="A1869" t="s">
        <v>3933</v>
      </c>
      <c r="B1869" s="1">
        <v>41182</v>
      </c>
      <c r="C1869" s="1">
        <v>41182</v>
      </c>
      <c r="D1869" t="s">
        <v>291</v>
      </c>
      <c r="E1869">
        <v>46160</v>
      </c>
      <c r="F1869">
        <v>7386</v>
      </c>
      <c r="G1869">
        <v>0</v>
      </c>
      <c r="H1869">
        <v>0</v>
      </c>
      <c r="I1869">
        <v>87</v>
      </c>
      <c r="J1869">
        <v>53546</v>
      </c>
      <c r="K1869" t="s">
        <v>3934</v>
      </c>
      <c r="L1869" s="1">
        <v>41181</v>
      </c>
      <c r="M1869" t="s">
        <v>3935</v>
      </c>
      <c r="N1869" t="s">
        <v>36</v>
      </c>
      <c r="O1869" t="s">
        <v>37</v>
      </c>
      <c r="P1869" t="s">
        <v>428</v>
      </c>
      <c r="Q1869" t="s">
        <v>39</v>
      </c>
      <c r="R1869" t="s">
        <v>40</v>
      </c>
      <c r="S1869">
        <v>0</v>
      </c>
      <c r="U1869" t="s">
        <v>41</v>
      </c>
      <c r="V1869" t="s">
        <v>42</v>
      </c>
      <c r="W1869" t="s">
        <v>792</v>
      </c>
      <c r="X1869" t="s">
        <v>74</v>
      </c>
      <c r="Y1869" t="b">
        <v>0</v>
      </c>
      <c r="Z1869" t="b">
        <v>0</v>
      </c>
      <c r="AA1869" t="b">
        <v>0</v>
      </c>
      <c r="AC1869" s="1"/>
      <c r="AF1869">
        <v>0</v>
      </c>
      <c r="AG1869">
        <v>45</v>
      </c>
      <c r="AH1869">
        <v>132</v>
      </c>
      <c r="AI1869" s="2">
        <f>Table__192.168.3.138DYLAgingReport[[#This Row],[NetAmount]]-Table__192.168.3.138DYLAgingReport[[#This Row],[Paid]]</f>
        <v>53546</v>
      </c>
    </row>
    <row r="1870" spans="1:35">
      <c r="A1870" t="s">
        <v>3936</v>
      </c>
      <c r="B1870" s="1">
        <v>41223</v>
      </c>
      <c r="C1870" s="1">
        <v>41268</v>
      </c>
      <c r="D1870" t="s">
        <v>202</v>
      </c>
      <c r="E1870">
        <v>156705</v>
      </c>
      <c r="F1870">
        <v>25073</v>
      </c>
      <c r="G1870">
        <v>0</v>
      </c>
      <c r="H1870">
        <v>0</v>
      </c>
      <c r="I1870">
        <v>49</v>
      </c>
      <c r="J1870">
        <v>181778</v>
      </c>
      <c r="K1870" t="s">
        <v>3937</v>
      </c>
      <c r="L1870" s="1">
        <v>41219</v>
      </c>
      <c r="N1870" t="s">
        <v>36</v>
      </c>
      <c r="O1870" t="s">
        <v>37</v>
      </c>
      <c r="P1870" t="s">
        <v>339</v>
      </c>
      <c r="Q1870" t="s">
        <v>39</v>
      </c>
      <c r="R1870" t="s">
        <v>40</v>
      </c>
      <c r="S1870">
        <v>0</v>
      </c>
      <c r="U1870" t="s">
        <v>41</v>
      </c>
      <c r="V1870" t="s">
        <v>42</v>
      </c>
      <c r="X1870" t="s">
        <v>74</v>
      </c>
      <c r="Y1870" t="b">
        <v>0</v>
      </c>
      <c r="Z1870" t="b">
        <v>0</v>
      </c>
      <c r="AC1870" s="1"/>
      <c r="AF1870">
        <v>0</v>
      </c>
      <c r="AG1870">
        <v>45</v>
      </c>
      <c r="AH1870">
        <v>94</v>
      </c>
      <c r="AI1870" s="2">
        <f>Table__192.168.3.138DYLAgingReport[[#This Row],[NetAmount]]-Table__192.168.3.138DYLAgingReport[[#This Row],[Paid]]</f>
        <v>181778</v>
      </c>
    </row>
    <row r="1871" spans="1:35">
      <c r="A1871" t="s">
        <v>3938</v>
      </c>
      <c r="B1871" s="1">
        <v>41219</v>
      </c>
      <c r="C1871" s="1">
        <v>41264</v>
      </c>
      <c r="D1871" t="s">
        <v>227</v>
      </c>
      <c r="E1871">
        <v>60000</v>
      </c>
      <c r="F1871">
        <v>9600</v>
      </c>
      <c r="G1871">
        <v>0</v>
      </c>
      <c r="H1871">
        <v>0</v>
      </c>
      <c r="I1871">
        <v>49</v>
      </c>
      <c r="J1871">
        <v>69600</v>
      </c>
      <c r="K1871" t="s">
        <v>3939</v>
      </c>
      <c r="L1871" s="1">
        <v>41219</v>
      </c>
      <c r="N1871" t="s">
        <v>36</v>
      </c>
      <c r="O1871" t="s">
        <v>37</v>
      </c>
      <c r="P1871" t="s">
        <v>364</v>
      </c>
      <c r="Q1871" t="s">
        <v>39</v>
      </c>
      <c r="R1871" t="s">
        <v>40</v>
      </c>
      <c r="S1871">
        <v>0</v>
      </c>
      <c r="U1871" t="s">
        <v>41</v>
      </c>
      <c r="V1871" t="s">
        <v>42</v>
      </c>
      <c r="X1871" t="s">
        <v>74</v>
      </c>
      <c r="Y1871" t="b">
        <v>0</v>
      </c>
      <c r="Z1871" t="b">
        <v>0</v>
      </c>
      <c r="AC1871" s="1"/>
      <c r="AF1871">
        <v>0</v>
      </c>
      <c r="AG1871">
        <v>45</v>
      </c>
      <c r="AH1871">
        <v>94</v>
      </c>
      <c r="AI1871" s="2">
        <f>Table__192.168.3.138DYLAgingReport[[#This Row],[NetAmount]]-Table__192.168.3.138DYLAgingReport[[#This Row],[Paid]]</f>
        <v>69600</v>
      </c>
    </row>
    <row r="1872" spans="1:35">
      <c r="A1872" t="s">
        <v>3940</v>
      </c>
      <c r="B1872" s="1">
        <v>41219</v>
      </c>
      <c r="C1872" s="1">
        <v>41219</v>
      </c>
      <c r="D1872" t="s">
        <v>296</v>
      </c>
      <c r="E1872">
        <v>17457</v>
      </c>
      <c r="F1872">
        <v>2793</v>
      </c>
      <c r="G1872">
        <v>0</v>
      </c>
      <c r="H1872">
        <v>0</v>
      </c>
      <c r="I1872">
        <v>50</v>
      </c>
      <c r="J1872">
        <v>20250</v>
      </c>
      <c r="K1872" t="s">
        <v>3941</v>
      </c>
      <c r="L1872" s="1">
        <v>41218</v>
      </c>
      <c r="N1872" t="s">
        <v>36</v>
      </c>
      <c r="O1872" t="s">
        <v>37</v>
      </c>
      <c r="P1872" t="s">
        <v>433</v>
      </c>
      <c r="Q1872" t="s">
        <v>39</v>
      </c>
      <c r="R1872" t="s">
        <v>40</v>
      </c>
      <c r="S1872">
        <v>0</v>
      </c>
      <c r="U1872" t="s">
        <v>41</v>
      </c>
      <c r="V1872" t="s">
        <v>42</v>
      </c>
      <c r="X1872" t="s">
        <v>74</v>
      </c>
      <c r="Y1872" t="b">
        <v>0</v>
      </c>
      <c r="Z1872" t="b">
        <v>0</v>
      </c>
      <c r="AC1872" s="1"/>
      <c r="AF1872">
        <v>0</v>
      </c>
      <c r="AG1872">
        <v>45</v>
      </c>
      <c r="AH1872">
        <v>95</v>
      </c>
      <c r="AI1872" s="2">
        <f>Table__192.168.3.138DYLAgingReport[[#This Row],[NetAmount]]-Table__192.168.3.138DYLAgingReport[[#This Row],[Paid]]</f>
        <v>20250</v>
      </c>
    </row>
    <row r="1873" spans="1:35">
      <c r="A1873" t="s">
        <v>3942</v>
      </c>
      <c r="B1873" s="1">
        <v>41221</v>
      </c>
      <c r="C1873" s="1">
        <v>41221</v>
      </c>
      <c r="D1873" t="s">
        <v>291</v>
      </c>
      <c r="E1873">
        <v>11000</v>
      </c>
      <c r="F1873">
        <v>1760</v>
      </c>
      <c r="G1873">
        <v>0</v>
      </c>
      <c r="H1873">
        <v>0</v>
      </c>
      <c r="I1873">
        <v>48</v>
      </c>
      <c r="J1873">
        <v>12760</v>
      </c>
      <c r="K1873" t="s">
        <v>3943</v>
      </c>
      <c r="L1873" s="1">
        <v>41220</v>
      </c>
      <c r="N1873" t="s">
        <v>36</v>
      </c>
      <c r="O1873" t="s">
        <v>37</v>
      </c>
      <c r="P1873" t="s">
        <v>428</v>
      </c>
      <c r="Q1873" t="s">
        <v>39</v>
      </c>
      <c r="R1873" t="s">
        <v>40</v>
      </c>
      <c r="S1873">
        <v>0</v>
      </c>
      <c r="U1873" t="s">
        <v>41</v>
      </c>
      <c r="V1873" t="s">
        <v>42</v>
      </c>
      <c r="X1873" t="s">
        <v>74</v>
      </c>
      <c r="Y1873" t="b">
        <v>0</v>
      </c>
      <c r="Z1873" t="b">
        <v>0</v>
      </c>
      <c r="AC1873" s="1"/>
      <c r="AF1873">
        <v>0</v>
      </c>
      <c r="AG1873">
        <v>45</v>
      </c>
      <c r="AH1873">
        <v>93</v>
      </c>
      <c r="AI1873" s="2">
        <f>Table__192.168.3.138DYLAgingReport[[#This Row],[NetAmount]]-Table__192.168.3.138DYLAgingReport[[#This Row],[Paid]]</f>
        <v>12760</v>
      </c>
    </row>
    <row r="1874" spans="1:35">
      <c r="A1874" t="s">
        <v>3944</v>
      </c>
      <c r="B1874" s="1">
        <v>41220</v>
      </c>
      <c r="C1874" s="1">
        <v>41265</v>
      </c>
      <c r="D1874" t="s">
        <v>168</v>
      </c>
      <c r="E1874">
        <v>58600</v>
      </c>
      <c r="F1874">
        <v>9376</v>
      </c>
      <c r="G1874">
        <v>0</v>
      </c>
      <c r="H1874">
        <v>0</v>
      </c>
      <c r="I1874">
        <v>48</v>
      </c>
      <c r="J1874">
        <v>67976</v>
      </c>
      <c r="K1874" t="s">
        <v>3945</v>
      </c>
      <c r="L1874" s="1">
        <v>41220</v>
      </c>
      <c r="N1874" t="s">
        <v>36</v>
      </c>
      <c r="O1874" t="s">
        <v>37</v>
      </c>
      <c r="P1874" t="s">
        <v>305</v>
      </c>
      <c r="Q1874" t="s">
        <v>39</v>
      </c>
      <c r="R1874" t="s">
        <v>40</v>
      </c>
      <c r="S1874">
        <v>0</v>
      </c>
      <c r="U1874" t="s">
        <v>41</v>
      </c>
      <c r="V1874" t="s">
        <v>42</v>
      </c>
      <c r="X1874" t="s">
        <v>74</v>
      </c>
      <c r="Y1874" t="b">
        <v>0</v>
      </c>
      <c r="Z1874" t="b">
        <v>0</v>
      </c>
      <c r="AB1874" t="s">
        <v>961</v>
      </c>
      <c r="AC1874" s="1">
        <v>41291</v>
      </c>
      <c r="AE1874" t="s">
        <v>962</v>
      </c>
      <c r="AF1874">
        <v>0</v>
      </c>
      <c r="AG1874">
        <v>45</v>
      </c>
      <c r="AH1874">
        <v>93</v>
      </c>
      <c r="AI1874" s="2">
        <f>Table__192.168.3.138DYLAgingReport[[#This Row],[NetAmount]]-Table__192.168.3.138DYLAgingReport[[#This Row],[Paid]]</f>
        <v>67976</v>
      </c>
    </row>
    <row r="1875" spans="1:35">
      <c r="A1875" t="s">
        <v>3946</v>
      </c>
      <c r="B1875" s="1">
        <v>41219</v>
      </c>
      <c r="C1875" s="1">
        <v>41219</v>
      </c>
      <c r="D1875" t="s">
        <v>293</v>
      </c>
      <c r="E1875">
        <v>508500</v>
      </c>
      <c r="F1875">
        <v>81360</v>
      </c>
      <c r="G1875">
        <v>0</v>
      </c>
      <c r="H1875">
        <v>0</v>
      </c>
      <c r="I1875">
        <v>49</v>
      </c>
      <c r="J1875">
        <v>589860</v>
      </c>
      <c r="K1875" t="s">
        <v>3947</v>
      </c>
      <c r="L1875" s="1">
        <v>41219</v>
      </c>
      <c r="N1875" t="s">
        <v>36</v>
      </c>
      <c r="O1875" t="s">
        <v>37</v>
      </c>
      <c r="P1875" t="s">
        <v>430</v>
      </c>
      <c r="Q1875" t="s">
        <v>39</v>
      </c>
      <c r="R1875" t="s">
        <v>40</v>
      </c>
      <c r="S1875">
        <v>0</v>
      </c>
      <c r="U1875" t="s">
        <v>41</v>
      </c>
      <c r="V1875" t="s">
        <v>42</v>
      </c>
      <c r="X1875" t="s">
        <v>74</v>
      </c>
      <c r="Y1875" t="b">
        <v>0</v>
      </c>
      <c r="Z1875" t="b">
        <v>0</v>
      </c>
      <c r="AB1875" t="s">
        <v>3689</v>
      </c>
      <c r="AC1875" s="1">
        <v>41283</v>
      </c>
      <c r="AE1875" t="s">
        <v>3146</v>
      </c>
      <c r="AF1875">
        <v>0</v>
      </c>
      <c r="AG1875">
        <v>45</v>
      </c>
      <c r="AH1875">
        <v>94</v>
      </c>
      <c r="AI1875" s="2">
        <f>Table__192.168.3.138DYLAgingReport[[#This Row],[NetAmount]]-Table__192.168.3.138DYLAgingReport[[#This Row],[Paid]]</f>
        <v>589860</v>
      </c>
    </row>
    <row r="1876" spans="1:35">
      <c r="A1876" t="s">
        <v>3948</v>
      </c>
      <c r="B1876" s="1">
        <v>41220</v>
      </c>
      <c r="C1876" s="1">
        <v>41265</v>
      </c>
      <c r="D1876" t="s">
        <v>249</v>
      </c>
      <c r="E1876">
        <v>1700</v>
      </c>
      <c r="F1876">
        <v>0</v>
      </c>
      <c r="G1876">
        <v>0</v>
      </c>
      <c r="H1876">
        <v>0</v>
      </c>
      <c r="I1876">
        <v>48</v>
      </c>
      <c r="J1876">
        <v>1700</v>
      </c>
      <c r="K1876" t="s">
        <v>3949</v>
      </c>
      <c r="L1876" s="1">
        <v>41220</v>
      </c>
      <c r="N1876" t="s">
        <v>36</v>
      </c>
      <c r="O1876" t="s">
        <v>37</v>
      </c>
      <c r="P1876" t="s">
        <v>386</v>
      </c>
      <c r="Q1876" t="s">
        <v>39</v>
      </c>
      <c r="R1876" t="s">
        <v>40</v>
      </c>
      <c r="S1876">
        <v>0</v>
      </c>
      <c r="U1876" t="s">
        <v>41</v>
      </c>
      <c r="V1876" t="s">
        <v>42</v>
      </c>
      <c r="X1876" t="s">
        <v>74</v>
      </c>
      <c r="Y1876" t="b">
        <v>0</v>
      </c>
      <c r="Z1876" t="b">
        <v>0</v>
      </c>
      <c r="AC1876" s="1"/>
      <c r="AF1876">
        <v>0</v>
      </c>
      <c r="AG1876">
        <v>45</v>
      </c>
      <c r="AH1876">
        <v>93</v>
      </c>
      <c r="AI1876" s="2">
        <f>Table__192.168.3.138DYLAgingReport[[#This Row],[NetAmount]]-Table__192.168.3.138DYLAgingReport[[#This Row],[Paid]]</f>
        <v>1700</v>
      </c>
    </row>
    <row r="1877" spans="1:35">
      <c r="A1877" t="s">
        <v>3950</v>
      </c>
      <c r="B1877" s="1">
        <v>41206</v>
      </c>
      <c r="C1877" s="1">
        <v>41251</v>
      </c>
      <c r="D1877" t="s">
        <v>172</v>
      </c>
      <c r="E1877">
        <v>2760</v>
      </c>
      <c r="F1877">
        <v>442</v>
      </c>
      <c r="G1877">
        <v>0</v>
      </c>
      <c r="H1877">
        <v>0</v>
      </c>
      <c r="I1877">
        <v>47</v>
      </c>
      <c r="J1877">
        <v>3202</v>
      </c>
      <c r="K1877" t="s">
        <v>3951</v>
      </c>
      <c r="L1877" s="1">
        <v>41221</v>
      </c>
      <c r="N1877" t="s">
        <v>36</v>
      </c>
      <c r="O1877" t="s">
        <v>37</v>
      </c>
      <c r="P1877" t="s">
        <v>309</v>
      </c>
      <c r="Q1877" t="s">
        <v>39</v>
      </c>
      <c r="R1877" t="s">
        <v>40</v>
      </c>
      <c r="S1877">
        <v>0</v>
      </c>
      <c r="U1877" t="s">
        <v>41</v>
      </c>
      <c r="V1877" t="s">
        <v>42</v>
      </c>
      <c r="X1877" t="s">
        <v>74</v>
      </c>
      <c r="Y1877" t="b">
        <v>0</v>
      </c>
      <c r="Z1877" t="b">
        <v>0</v>
      </c>
      <c r="AC1877" s="1"/>
      <c r="AF1877">
        <v>0</v>
      </c>
      <c r="AG1877">
        <v>45</v>
      </c>
      <c r="AH1877">
        <v>92</v>
      </c>
      <c r="AI1877" s="2">
        <f>Table__192.168.3.138DYLAgingReport[[#This Row],[NetAmount]]-Table__192.168.3.138DYLAgingReport[[#This Row],[Paid]]</f>
        <v>3202</v>
      </c>
    </row>
    <row r="1878" spans="1:35">
      <c r="A1878" t="s">
        <v>3952</v>
      </c>
      <c r="B1878" s="1">
        <v>41214</v>
      </c>
      <c r="C1878" s="1">
        <v>41259</v>
      </c>
      <c r="D1878" t="s">
        <v>167</v>
      </c>
      <c r="E1878">
        <v>2094</v>
      </c>
      <c r="F1878">
        <v>335</v>
      </c>
      <c r="G1878">
        <v>0</v>
      </c>
      <c r="H1878">
        <v>0</v>
      </c>
      <c r="I1878">
        <v>55</v>
      </c>
      <c r="J1878">
        <v>2429</v>
      </c>
      <c r="K1878" t="s">
        <v>3953</v>
      </c>
      <c r="L1878" s="1">
        <v>41213</v>
      </c>
      <c r="N1878" t="s">
        <v>36</v>
      </c>
      <c r="O1878" t="s">
        <v>37</v>
      </c>
      <c r="P1878" t="s">
        <v>304</v>
      </c>
      <c r="Q1878" t="s">
        <v>39</v>
      </c>
      <c r="R1878" t="s">
        <v>40</v>
      </c>
      <c r="S1878">
        <v>0</v>
      </c>
      <c r="U1878" t="s">
        <v>41</v>
      </c>
      <c r="V1878" t="s">
        <v>42</v>
      </c>
      <c r="X1878" t="s">
        <v>74</v>
      </c>
      <c r="Y1878" t="b">
        <v>0</v>
      </c>
      <c r="Z1878" t="b">
        <v>0</v>
      </c>
      <c r="AC1878" s="1"/>
      <c r="AF1878">
        <v>0</v>
      </c>
      <c r="AG1878">
        <v>45</v>
      </c>
      <c r="AH1878">
        <v>100</v>
      </c>
      <c r="AI1878" s="2">
        <f>Table__192.168.3.138DYLAgingReport[[#This Row],[NetAmount]]-Table__192.168.3.138DYLAgingReport[[#This Row],[Paid]]</f>
        <v>2429</v>
      </c>
    </row>
    <row r="1879" spans="1:35">
      <c r="A1879" t="s">
        <v>3954</v>
      </c>
      <c r="B1879" s="1">
        <v>41221</v>
      </c>
      <c r="C1879" s="1">
        <v>41266</v>
      </c>
      <c r="D1879" t="s">
        <v>194</v>
      </c>
      <c r="E1879">
        <v>12600</v>
      </c>
      <c r="F1879">
        <v>2016</v>
      </c>
      <c r="G1879">
        <v>0</v>
      </c>
      <c r="H1879">
        <v>0</v>
      </c>
      <c r="I1879">
        <v>25</v>
      </c>
      <c r="J1879">
        <v>14616</v>
      </c>
      <c r="K1879" t="s">
        <v>2573</v>
      </c>
      <c r="L1879" s="1">
        <v>41243</v>
      </c>
      <c r="N1879" t="s">
        <v>36</v>
      </c>
      <c r="O1879" t="s">
        <v>37</v>
      </c>
      <c r="P1879" t="s">
        <v>331</v>
      </c>
      <c r="Q1879" t="s">
        <v>39</v>
      </c>
      <c r="R1879" t="s">
        <v>40</v>
      </c>
      <c r="S1879">
        <v>0</v>
      </c>
      <c r="U1879" t="s">
        <v>41</v>
      </c>
      <c r="V1879" t="s">
        <v>42</v>
      </c>
      <c r="X1879" t="s">
        <v>74</v>
      </c>
      <c r="Y1879" t="b">
        <v>0</v>
      </c>
      <c r="Z1879" t="b">
        <v>0</v>
      </c>
      <c r="AC1879" s="1"/>
      <c r="AF1879">
        <v>0</v>
      </c>
      <c r="AG1879">
        <v>45</v>
      </c>
      <c r="AH1879">
        <v>70</v>
      </c>
      <c r="AI1879" s="2">
        <f>Table__192.168.3.138DYLAgingReport[[#This Row],[NetAmount]]-Table__192.168.3.138DYLAgingReport[[#This Row],[Paid]]</f>
        <v>14616</v>
      </c>
    </row>
    <row r="1880" spans="1:35">
      <c r="A1880" t="s">
        <v>3955</v>
      </c>
      <c r="B1880" s="1">
        <v>41220</v>
      </c>
      <c r="C1880" s="1">
        <v>41220</v>
      </c>
      <c r="D1880" t="s">
        <v>294</v>
      </c>
      <c r="E1880">
        <v>511000</v>
      </c>
      <c r="F1880">
        <v>0</v>
      </c>
      <c r="G1880">
        <v>0</v>
      </c>
      <c r="H1880">
        <v>0</v>
      </c>
      <c r="I1880">
        <v>48</v>
      </c>
      <c r="J1880">
        <v>511000</v>
      </c>
      <c r="K1880" t="s">
        <v>3956</v>
      </c>
      <c r="L1880" s="1">
        <v>41220</v>
      </c>
      <c r="N1880" t="s">
        <v>36</v>
      </c>
      <c r="O1880" t="s">
        <v>37</v>
      </c>
      <c r="P1880" t="s">
        <v>431</v>
      </c>
      <c r="Q1880" t="s">
        <v>39</v>
      </c>
      <c r="R1880" t="s">
        <v>40</v>
      </c>
      <c r="S1880">
        <v>0</v>
      </c>
      <c r="U1880" t="s">
        <v>41</v>
      </c>
      <c r="V1880" t="s">
        <v>42</v>
      </c>
      <c r="X1880" t="s">
        <v>74</v>
      </c>
      <c r="Y1880" t="b">
        <v>0</v>
      </c>
      <c r="Z1880" t="b">
        <v>0</v>
      </c>
      <c r="AB1880" t="s">
        <v>3957</v>
      </c>
      <c r="AC1880" s="1">
        <v>41278</v>
      </c>
      <c r="AF1880">
        <v>0</v>
      </c>
      <c r="AG1880">
        <v>45</v>
      </c>
      <c r="AH1880">
        <v>93</v>
      </c>
      <c r="AI1880" s="2">
        <f>Table__192.168.3.138DYLAgingReport[[#This Row],[NetAmount]]-Table__192.168.3.138DYLAgingReport[[#This Row],[Paid]]</f>
        <v>511000</v>
      </c>
    </row>
    <row r="1881" spans="1:35">
      <c r="A1881" t="s">
        <v>3958</v>
      </c>
      <c r="B1881" s="1">
        <v>41214</v>
      </c>
      <c r="C1881" s="1">
        <v>41259</v>
      </c>
      <c r="D1881" t="s">
        <v>197</v>
      </c>
      <c r="E1881">
        <v>13200</v>
      </c>
      <c r="F1881">
        <v>2112</v>
      </c>
      <c r="G1881">
        <v>0</v>
      </c>
      <c r="H1881">
        <v>0</v>
      </c>
      <c r="I1881">
        <v>48</v>
      </c>
      <c r="J1881">
        <v>15312</v>
      </c>
      <c r="K1881" t="s">
        <v>3959</v>
      </c>
      <c r="L1881" s="1">
        <v>41220</v>
      </c>
      <c r="N1881" t="s">
        <v>36</v>
      </c>
      <c r="O1881" t="s">
        <v>37</v>
      </c>
      <c r="P1881" t="s">
        <v>334</v>
      </c>
      <c r="Q1881" t="s">
        <v>39</v>
      </c>
      <c r="R1881" t="s">
        <v>40</v>
      </c>
      <c r="S1881">
        <v>0</v>
      </c>
      <c r="U1881" t="s">
        <v>41</v>
      </c>
      <c r="V1881" t="s">
        <v>42</v>
      </c>
      <c r="X1881" t="s">
        <v>74</v>
      </c>
      <c r="Y1881" t="b">
        <v>0</v>
      </c>
      <c r="Z1881" t="b">
        <v>0</v>
      </c>
      <c r="AC1881" s="1"/>
      <c r="AF1881">
        <v>0</v>
      </c>
      <c r="AG1881">
        <v>45</v>
      </c>
      <c r="AH1881">
        <v>93</v>
      </c>
      <c r="AI1881" s="2">
        <f>Table__192.168.3.138DYLAgingReport[[#This Row],[NetAmount]]-Table__192.168.3.138DYLAgingReport[[#This Row],[Paid]]</f>
        <v>15312</v>
      </c>
    </row>
    <row r="1882" spans="1:35">
      <c r="A1882" t="s">
        <v>3960</v>
      </c>
      <c r="B1882" s="1">
        <v>41220</v>
      </c>
      <c r="C1882" s="1">
        <v>41265</v>
      </c>
      <c r="D1882" t="s">
        <v>285</v>
      </c>
      <c r="E1882">
        <v>858000</v>
      </c>
      <c r="F1882">
        <v>137280</v>
      </c>
      <c r="G1882">
        <v>0</v>
      </c>
      <c r="H1882">
        <v>0</v>
      </c>
      <c r="I1882">
        <v>67</v>
      </c>
      <c r="J1882">
        <v>995280</v>
      </c>
      <c r="K1882" t="s">
        <v>3961</v>
      </c>
      <c r="L1882" s="1">
        <v>41216</v>
      </c>
      <c r="N1882" t="s">
        <v>36</v>
      </c>
      <c r="O1882" t="s">
        <v>37</v>
      </c>
      <c r="P1882" t="s">
        <v>422</v>
      </c>
      <c r="Q1882" t="s">
        <v>39</v>
      </c>
      <c r="R1882" t="s">
        <v>40</v>
      </c>
      <c r="S1882">
        <v>0</v>
      </c>
      <c r="U1882" t="s">
        <v>41</v>
      </c>
      <c r="V1882" t="s">
        <v>42</v>
      </c>
      <c r="X1882" t="s">
        <v>74</v>
      </c>
      <c r="Y1882" t="b">
        <v>0</v>
      </c>
      <c r="Z1882" t="b">
        <v>0</v>
      </c>
      <c r="AB1882" t="s">
        <v>954</v>
      </c>
      <c r="AC1882" s="1">
        <v>41279</v>
      </c>
      <c r="AD1882" t="s">
        <v>3962</v>
      </c>
      <c r="AE1882" t="s">
        <v>955</v>
      </c>
      <c r="AF1882">
        <v>963221</v>
      </c>
      <c r="AG1882">
        <v>30</v>
      </c>
      <c r="AH1882">
        <v>97</v>
      </c>
      <c r="AI1882" s="2">
        <f>Table__192.168.3.138DYLAgingReport[[#This Row],[NetAmount]]-Table__192.168.3.138DYLAgingReport[[#This Row],[Paid]]</f>
        <v>32059</v>
      </c>
    </row>
    <row r="1883" spans="1:35">
      <c r="A1883" t="s">
        <v>3963</v>
      </c>
      <c r="B1883" s="1">
        <v>41220</v>
      </c>
      <c r="C1883" s="1">
        <v>41265</v>
      </c>
      <c r="D1883" t="s">
        <v>285</v>
      </c>
      <c r="E1883">
        <v>882000</v>
      </c>
      <c r="F1883">
        <v>141120</v>
      </c>
      <c r="G1883">
        <v>0</v>
      </c>
      <c r="H1883">
        <v>0</v>
      </c>
      <c r="I1883">
        <v>67</v>
      </c>
      <c r="J1883">
        <v>1023120</v>
      </c>
      <c r="K1883" t="s">
        <v>3964</v>
      </c>
      <c r="L1883" s="1">
        <v>41216</v>
      </c>
      <c r="N1883" t="s">
        <v>36</v>
      </c>
      <c r="O1883" t="s">
        <v>37</v>
      </c>
      <c r="P1883" t="s">
        <v>422</v>
      </c>
      <c r="Q1883" t="s">
        <v>39</v>
      </c>
      <c r="R1883" t="s">
        <v>40</v>
      </c>
      <c r="S1883">
        <v>0</v>
      </c>
      <c r="U1883" t="s">
        <v>41</v>
      </c>
      <c r="V1883" t="s">
        <v>42</v>
      </c>
      <c r="X1883" t="s">
        <v>74</v>
      </c>
      <c r="Y1883" t="b">
        <v>0</v>
      </c>
      <c r="Z1883" t="b">
        <v>0</v>
      </c>
      <c r="AB1883" t="s">
        <v>1099</v>
      </c>
      <c r="AC1883" s="1">
        <v>41296</v>
      </c>
      <c r="AF1883">
        <v>0</v>
      </c>
      <c r="AG1883">
        <v>30</v>
      </c>
      <c r="AH1883">
        <v>97</v>
      </c>
      <c r="AI1883" s="2">
        <f>Table__192.168.3.138DYLAgingReport[[#This Row],[NetAmount]]-Table__192.168.3.138DYLAgingReport[[#This Row],[Paid]]</f>
        <v>1023120</v>
      </c>
    </row>
    <row r="1884" spans="1:35">
      <c r="A1884" t="s">
        <v>3965</v>
      </c>
      <c r="B1884" s="1">
        <v>41218</v>
      </c>
      <c r="C1884" s="1">
        <v>41263</v>
      </c>
      <c r="D1884" t="s">
        <v>251</v>
      </c>
      <c r="E1884">
        <v>180540</v>
      </c>
      <c r="F1884">
        <v>28886</v>
      </c>
      <c r="G1884">
        <v>0</v>
      </c>
      <c r="H1884">
        <v>0</v>
      </c>
      <c r="I1884">
        <v>48</v>
      </c>
      <c r="J1884">
        <v>209426</v>
      </c>
      <c r="K1884" t="s">
        <v>3966</v>
      </c>
      <c r="L1884" s="1">
        <v>41220</v>
      </c>
      <c r="N1884" t="s">
        <v>36</v>
      </c>
      <c r="O1884" t="s">
        <v>37</v>
      </c>
      <c r="P1884" t="s">
        <v>388</v>
      </c>
      <c r="Q1884" t="s">
        <v>39</v>
      </c>
      <c r="R1884" t="s">
        <v>40</v>
      </c>
      <c r="S1884">
        <v>0</v>
      </c>
      <c r="U1884" t="s">
        <v>41</v>
      </c>
      <c r="V1884" t="s">
        <v>42</v>
      </c>
      <c r="X1884" t="s">
        <v>74</v>
      </c>
      <c r="Y1884" t="b">
        <v>0</v>
      </c>
      <c r="Z1884" t="b">
        <v>0</v>
      </c>
      <c r="AC1884" s="1"/>
      <c r="AF1884">
        <v>0</v>
      </c>
      <c r="AG1884">
        <v>45</v>
      </c>
      <c r="AH1884">
        <v>93</v>
      </c>
      <c r="AI1884" s="2">
        <f>Table__192.168.3.138DYLAgingReport[[#This Row],[NetAmount]]-Table__192.168.3.138DYLAgingReport[[#This Row],[Paid]]</f>
        <v>209426</v>
      </c>
    </row>
    <row r="1885" spans="1:35">
      <c r="A1885" t="s">
        <v>3967</v>
      </c>
      <c r="B1885" s="1">
        <v>41221</v>
      </c>
      <c r="C1885" s="1">
        <v>41266</v>
      </c>
      <c r="D1885" t="s">
        <v>270</v>
      </c>
      <c r="E1885">
        <v>27500</v>
      </c>
      <c r="F1885">
        <v>4400</v>
      </c>
      <c r="G1885">
        <v>0</v>
      </c>
      <c r="H1885">
        <v>0</v>
      </c>
      <c r="I1885">
        <v>62</v>
      </c>
      <c r="J1885">
        <v>31900</v>
      </c>
      <c r="K1885" t="s">
        <v>1236</v>
      </c>
      <c r="L1885" s="1">
        <v>41221</v>
      </c>
      <c r="N1885" t="s">
        <v>36</v>
      </c>
      <c r="O1885" t="s">
        <v>37</v>
      </c>
      <c r="P1885" t="s">
        <v>407</v>
      </c>
      <c r="Q1885" t="s">
        <v>39</v>
      </c>
      <c r="R1885" t="s">
        <v>40</v>
      </c>
      <c r="S1885">
        <v>0</v>
      </c>
      <c r="U1885" t="s">
        <v>41</v>
      </c>
      <c r="V1885" t="s">
        <v>42</v>
      </c>
      <c r="X1885" t="s">
        <v>74</v>
      </c>
      <c r="Y1885" t="b">
        <v>0</v>
      </c>
      <c r="Z1885" t="b">
        <v>0</v>
      </c>
      <c r="AC1885" s="1"/>
      <c r="AF1885">
        <v>0</v>
      </c>
      <c r="AG1885">
        <v>30</v>
      </c>
      <c r="AH1885">
        <v>92</v>
      </c>
      <c r="AI1885" s="2">
        <f>Table__192.168.3.138DYLAgingReport[[#This Row],[NetAmount]]-Table__192.168.3.138DYLAgingReport[[#This Row],[Paid]]</f>
        <v>31900</v>
      </c>
    </row>
    <row r="1886" spans="1:35">
      <c r="A1886" t="s">
        <v>3968</v>
      </c>
      <c r="B1886" s="1">
        <v>41227</v>
      </c>
      <c r="C1886" s="1">
        <v>41227</v>
      </c>
      <c r="D1886" t="s">
        <v>296</v>
      </c>
      <c r="E1886">
        <v>11875</v>
      </c>
      <c r="F1886">
        <v>1900</v>
      </c>
      <c r="G1886">
        <v>0</v>
      </c>
      <c r="H1886">
        <v>0</v>
      </c>
      <c r="I1886">
        <v>42</v>
      </c>
      <c r="J1886">
        <v>13775</v>
      </c>
      <c r="K1886" t="s">
        <v>3358</v>
      </c>
      <c r="L1886" s="1">
        <v>41226</v>
      </c>
      <c r="N1886" t="s">
        <v>36</v>
      </c>
      <c r="O1886" t="s">
        <v>37</v>
      </c>
      <c r="P1886" t="s">
        <v>433</v>
      </c>
      <c r="Q1886" t="s">
        <v>39</v>
      </c>
      <c r="R1886" t="s">
        <v>40</v>
      </c>
      <c r="S1886">
        <v>0</v>
      </c>
      <c r="U1886" t="s">
        <v>41</v>
      </c>
      <c r="V1886" t="s">
        <v>42</v>
      </c>
      <c r="X1886" t="s">
        <v>74</v>
      </c>
      <c r="Y1886" t="b">
        <v>0</v>
      </c>
      <c r="Z1886" t="b">
        <v>0</v>
      </c>
      <c r="AC1886" s="1"/>
      <c r="AF1886">
        <v>0</v>
      </c>
      <c r="AG1886">
        <v>45</v>
      </c>
      <c r="AH1886">
        <v>87</v>
      </c>
      <c r="AI1886" s="2">
        <f>Table__192.168.3.138DYLAgingReport[[#This Row],[NetAmount]]-Table__192.168.3.138DYLAgingReport[[#This Row],[Paid]]</f>
        <v>13775</v>
      </c>
    </row>
    <row r="1887" spans="1:35">
      <c r="A1887" t="s">
        <v>3969</v>
      </c>
      <c r="B1887" s="1">
        <v>41225</v>
      </c>
      <c r="C1887" s="1">
        <v>41270</v>
      </c>
      <c r="D1887" t="s">
        <v>197</v>
      </c>
      <c r="E1887">
        <v>220000</v>
      </c>
      <c r="F1887">
        <v>35200</v>
      </c>
      <c r="G1887">
        <v>0</v>
      </c>
      <c r="H1887">
        <v>0</v>
      </c>
      <c r="I1887">
        <v>42</v>
      </c>
      <c r="J1887">
        <v>255200</v>
      </c>
      <c r="K1887" t="s">
        <v>3970</v>
      </c>
      <c r="L1887" s="1">
        <v>41226</v>
      </c>
      <c r="N1887" t="s">
        <v>36</v>
      </c>
      <c r="O1887" t="s">
        <v>37</v>
      </c>
      <c r="P1887" t="s">
        <v>334</v>
      </c>
      <c r="Q1887" t="s">
        <v>39</v>
      </c>
      <c r="R1887" t="s">
        <v>40</v>
      </c>
      <c r="S1887">
        <v>0</v>
      </c>
      <c r="U1887" t="s">
        <v>41</v>
      </c>
      <c r="V1887" t="s">
        <v>42</v>
      </c>
      <c r="X1887" t="s">
        <v>74</v>
      </c>
      <c r="Y1887" t="b">
        <v>0</v>
      </c>
      <c r="Z1887" t="b">
        <v>0</v>
      </c>
      <c r="AC1887" s="1"/>
      <c r="AF1887">
        <v>0</v>
      </c>
      <c r="AG1887">
        <v>45</v>
      </c>
      <c r="AH1887">
        <v>87</v>
      </c>
      <c r="AI1887" s="2">
        <f>Table__192.168.3.138DYLAgingReport[[#This Row],[NetAmount]]-Table__192.168.3.138DYLAgingReport[[#This Row],[Paid]]</f>
        <v>255200</v>
      </c>
    </row>
    <row r="1888" spans="1:35">
      <c r="A1888" t="s">
        <v>3971</v>
      </c>
      <c r="B1888" s="1">
        <v>41226</v>
      </c>
      <c r="C1888" s="1">
        <v>41271</v>
      </c>
      <c r="D1888" t="s">
        <v>227</v>
      </c>
      <c r="E1888">
        <v>39000</v>
      </c>
      <c r="F1888">
        <v>6240</v>
      </c>
      <c r="G1888">
        <v>0</v>
      </c>
      <c r="H1888">
        <v>0</v>
      </c>
      <c r="I1888">
        <v>42</v>
      </c>
      <c r="J1888">
        <v>45240</v>
      </c>
      <c r="K1888" t="s">
        <v>3972</v>
      </c>
      <c r="L1888" s="1">
        <v>41226</v>
      </c>
      <c r="N1888" t="s">
        <v>36</v>
      </c>
      <c r="O1888" t="s">
        <v>37</v>
      </c>
      <c r="P1888" t="s">
        <v>364</v>
      </c>
      <c r="Q1888" t="s">
        <v>39</v>
      </c>
      <c r="R1888" t="s">
        <v>40</v>
      </c>
      <c r="S1888">
        <v>0</v>
      </c>
      <c r="U1888" t="s">
        <v>41</v>
      </c>
      <c r="V1888" t="s">
        <v>42</v>
      </c>
      <c r="X1888" t="s">
        <v>74</v>
      </c>
      <c r="Y1888" t="b">
        <v>0</v>
      </c>
      <c r="Z1888" t="b">
        <v>0</v>
      </c>
      <c r="AC1888" s="1"/>
      <c r="AF1888">
        <v>0</v>
      </c>
      <c r="AG1888">
        <v>45</v>
      </c>
      <c r="AH1888">
        <v>87</v>
      </c>
      <c r="AI1888" s="2">
        <f>Table__192.168.3.138DYLAgingReport[[#This Row],[NetAmount]]-Table__192.168.3.138DYLAgingReport[[#This Row],[Paid]]</f>
        <v>45240</v>
      </c>
    </row>
    <row r="1889" spans="1:35">
      <c r="A1889" t="s">
        <v>3973</v>
      </c>
      <c r="B1889" s="1">
        <v>41227</v>
      </c>
      <c r="C1889" s="1">
        <v>41272</v>
      </c>
      <c r="D1889" t="s">
        <v>180</v>
      </c>
      <c r="E1889">
        <v>69278</v>
      </c>
      <c r="F1889">
        <v>11084</v>
      </c>
      <c r="G1889">
        <v>0</v>
      </c>
      <c r="H1889">
        <v>0</v>
      </c>
      <c r="I1889">
        <v>41</v>
      </c>
      <c r="J1889">
        <v>80362</v>
      </c>
      <c r="K1889" t="s">
        <v>3974</v>
      </c>
      <c r="L1889" s="1">
        <v>41227</v>
      </c>
      <c r="N1889" t="s">
        <v>36</v>
      </c>
      <c r="O1889" t="s">
        <v>37</v>
      </c>
      <c r="P1889" t="s">
        <v>317</v>
      </c>
      <c r="Q1889" t="s">
        <v>39</v>
      </c>
      <c r="R1889" t="s">
        <v>40</v>
      </c>
      <c r="S1889">
        <v>0</v>
      </c>
      <c r="U1889" t="s">
        <v>41</v>
      </c>
      <c r="V1889" t="s">
        <v>42</v>
      </c>
      <c r="X1889" t="s">
        <v>74</v>
      </c>
      <c r="Y1889" t="b">
        <v>0</v>
      </c>
      <c r="Z1889" t="b">
        <v>0</v>
      </c>
      <c r="AC1889" s="1"/>
      <c r="AF1889">
        <v>0</v>
      </c>
      <c r="AG1889">
        <v>45</v>
      </c>
      <c r="AH1889">
        <v>86</v>
      </c>
      <c r="AI1889" s="2">
        <f>Table__192.168.3.138DYLAgingReport[[#This Row],[NetAmount]]-Table__192.168.3.138DYLAgingReport[[#This Row],[Paid]]</f>
        <v>80362</v>
      </c>
    </row>
    <row r="1890" spans="1:35">
      <c r="A1890" t="s">
        <v>3975</v>
      </c>
      <c r="B1890" s="1">
        <v>41227</v>
      </c>
      <c r="C1890" s="1">
        <v>41272</v>
      </c>
      <c r="D1890" t="s">
        <v>180</v>
      </c>
      <c r="E1890">
        <v>308993</v>
      </c>
      <c r="F1890">
        <v>49439</v>
      </c>
      <c r="G1890">
        <v>0</v>
      </c>
      <c r="H1890">
        <v>0</v>
      </c>
      <c r="I1890">
        <v>41</v>
      </c>
      <c r="J1890">
        <v>358432</v>
      </c>
      <c r="K1890" t="s">
        <v>3976</v>
      </c>
      <c r="L1890" s="1">
        <v>41227</v>
      </c>
      <c r="N1890" t="s">
        <v>36</v>
      </c>
      <c r="O1890" t="s">
        <v>37</v>
      </c>
      <c r="P1890" t="s">
        <v>317</v>
      </c>
      <c r="Q1890" t="s">
        <v>39</v>
      </c>
      <c r="R1890" t="s">
        <v>40</v>
      </c>
      <c r="S1890">
        <v>0</v>
      </c>
      <c r="U1890" t="s">
        <v>41</v>
      </c>
      <c r="V1890" t="s">
        <v>42</v>
      </c>
      <c r="X1890" t="s">
        <v>74</v>
      </c>
      <c r="Y1890" t="b">
        <v>0</v>
      </c>
      <c r="Z1890" t="b">
        <v>0</v>
      </c>
      <c r="AC1890" s="1"/>
      <c r="AF1890">
        <v>0</v>
      </c>
      <c r="AG1890">
        <v>45</v>
      </c>
      <c r="AH1890">
        <v>86</v>
      </c>
      <c r="AI1890" s="2">
        <f>Table__192.168.3.138DYLAgingReport[[#This Row],[NetAmount]]-Table__192.168.3.138DYLAgingReport[[#This Row],[Paid]]</f>
        <v>358432</v>
      </c>
    </row>
    <row r="1891" spans="1:35">
      <c r="A1891" t="s">
        <v>3977</v>
      </c>
      <c r="B1891" s="1">
        <v>41223</v>
      </c>
      <c r="C1891" s="1">
        <v>41268</v>
      </c>
      <c r="D1891" t="s">
        <v>180</v>
      </c>
      <c r="E1891">
        <v>14900</v>
      </c>
      <c r="F1891">
        <v>2384</v>
      </c>
      <c r="G1891">
        <v>0</v>
      </c>
      <c r="H1891">
        <v>0</v>
      </c>
      <c r="I1891">
        <v>45</v>
      </c>
      <c r="J1891">
        <v>17284</v>
      </c>
      <c r="K1891" t="s">
        <v>1160</v>
      </c>
      <c r="L1891" s="1">
        <v>41223</v>
      </c>
      <c r="N1891" t="s">
        <v>36</v>
      </c>
      <c r="O1891" t="s">
        <v>37</v>
      </c>
      <c r="P1891" t="s">
        <v>317</v>
      </c>
      <c r="Q1891" t="s">
        <v>39</v>
      </c>
      <c r="R1891" t="s">
        <v>40</v>
      </c>
      <c r="S1891">
        <v>0</v>
      </c>
      <c r="U1891" t="s">
        <v>41</v>
      </c>
      <c r="V1891" t="s">
        <v>42</v>
      </c>
      <c r="X1891" t="s">
        <v>74</v>
      </c>
      <c r="Y1891" t="b">
        <v>0</v>
      </c>
      <c r="Z1891" t="b">
        <v>0</v>
      </c>
      <c r="AC1891" s="1"/>
      <c r="AF1891">
        <v>0</v>
      </c>
      <c r="AG1891">
        <v>45</v>
      </c>
      <c r="AH1891">
        <v>90</v>
      </c>
      <c r="AI1891" s="2">
        <f>Table__192.168.3.138DYLAgingReport[[#This Row],[NetAmount]]-Table__192.168.3.138DYLAgingReport[[#This Row],[Paid]]</f>
        <v>17284</v>
      </c>
    </row>
    <row r="1892" spans="1:35">
      <c r="A1892" t="s">
        <v>3978</v>
      </c>
      <c r="B1892" s="1">
        <v>41223</v>
      </c>
      <c r="C1892" s="1">
        <v>41268</v>
      </c>
      <c r="D1892" t="s">
        <v>180</v>
      </c>
      <c r="E1892">
        <v>238458</v>
      </c>
      <c r="F1892">
        <v>38153</v>
      </c>
      <c r="G1892">
        <v>0</v>
      </c>
      <c r="H1892">
        <v>0</v>
      </c>
      <c r="I1892">
        <v>45</v>
      </c>
      <c r="J1892">
        <v>276611</v>
      </c>
      <c r="K1892" t="s">
        <v>3979</v>
      </c>
      <c r="L1892" s="1">
        <v>41223</v>
      </c>
      <c r="N1892" t="s">
        <v>36</v>
      </c>
      <c r="O1892" t="s">
        <v>37</v>
      </c>
      <c r="P1892" t="s">
        <v>317</v>
      </c>
      <c r="Q1892" t="s">
        <v>39</v>
      </c>
      <c r="R1892" t="s">
        <v>40</v>
      </c>
      <c r="S1892">
        <v>0</v>
      </c>
      <c r="U1892" t="s">
        <v>41</v>
      </c>
      <c r="V1892" t="s">
        <v>42</v>
      </c>
      <c r="X1892" t="s">
        <v>74</v>
      </c>
      <c r="Y1892" t="b">
        <v>0</v>
      </c>
      <c r="Z1892" t="b">
        <v>0</v>
      </c>
      <c r="AC1892" s="1"/>
      <c r="AF1892">
        <v>0</v>
      </c>
      <c r="AG1892">
        <v>45</v>
      </c>
      <c r="AH1892">
        <v>90</v>
      </c>
      <c r="AI1892" s="2">
        <f>Table__192.168.3.138DYLAgingReport[[#This Row],[NetAmount]]-Table__192.168.3.138DYLAgingReport[[#This Row],[Paid]]</f>
        <v>276611</v>
      </c>
    </row>
    <row r="1893" spans="1:35">
      <c r="A1893" t="s">
        <v>3980</v>
      </c>
      <c r="B1893" s="1">
        <v>41221</v>
      </c>
      <c r="C1893" s="1">
        <v>41266</v>
      </c>
      <c r="D1893" t="s">
        <v>174</v>
      </c>
      <c r="E1893">
        <v>61915</v>
      </c>
      <c r="F1893">
        <v>9906</v>
      </c>
      <c r="G1893">
        <v>0</v>
      </c>
      <c r="H1893">
        <v>0</v>
      </c>
      <c r="I1893">
        <v>47</v>
      </c>
      <c r="J1893">
        <v>71821</v>
      </c>
      <c r="K1893" t="s">
        <v>3981</v>
      </c>
      <c r="L1893" s="1">
        <v>41221</v>
      </c>
      <c r="N1893" t="s">
        <v>36</v>
      </c>
      <c r="O1893" t="s">
        <v>37</v>
      </c>
      <c r="P1893" t="s">
        <v>311</v>
      </c>
      <c r="Q1893" t="s">
        <v>39</v>
      </c>
      <c r="R1893" t="s">
        <v>40</v>
      </c>
      <c r="S1893">
        <v>0</v>
      </c>
      <c r="U1893" t="s">
        <v>41</v>
      </c>
      <c r="V1893" t="s">
        <v>42</v>
      </c>
      <c r="X1893" t="s">
        <v>74</v>
      </c>
      <c r="Y1893" t="b">
        <v>0</v>
      </c>
      <c r="Z1893" t="b">
        <v>0</v>
      </c>
      <c r="AC1893" s="1"/>
      <c r="AF1893">
        <v>0</v>
      </c>
      <c r="AG1893">
        <v>45</v>
      </c>
      <c r="AH1893">
        <v>92</v>
      </c>
      <c r="AI1893" s="2">
        <f>Table__192.168.3.138DYLAgingReport[[#This Row],[NetAmount]]-Table__192.168.3.138DYLAgingReport[[#This Row],[Paid]]</f>
        <v>71821</v>
      </c>
    </row>
    <row r="1894" spans="1:35">
      <c r="A1894" t="s">
        <v>3982</v>
      </c>
      <c r="B1894" s="1">
        <v>41225</v>
      </c>
      <c r="C1894" s="1">
        <v>41255</v>
      </c>
      <c r="D1894" t="s">
        <v>181</v>
      </c>
      <c r="E1894">
        <v>62640</v>
      </c>
      <c r="F1894">
        <v>10022</v>
      </c>
      <c r="G1894">
        <v>0</v>
      </c>
      <c r="H1894">
        <v>0</v>
      </c>
      <c r="I1894">
        <v>62</v>
      </c>
      <c r="J1894">
        <v>72662</v>
      </c>
      <c r="K1894" t="s">
        <v>3983</v>
      </c>
      <c r="L1894" s="1">
        <v>41221</v>
      </c>
      <c r="M1894" t="s">
        <v>3984</v>
      </c>
      <c r="N1894" t="s">
        <v>36</v>
      </c>
      <c r="O1894" t="s">
        <v>37</v>
      </c>
      <c r="P1894" t="s">
        <v>318</v>
      </c>
      <c r="Q1894" t="s">
        <v>39</v>
      </c>
      <c r="R1894" t="s">
        <v>40</v>
      </c>
      <c r="S1894">
        <v>0</v>
      </c>
      <c r="U1894" t="s">
        <v>41</v>
      </c>
      <c r="V1894" t="s">
        <v>42</v>
      </c>
      <c r="W1894" t="s">
        <v>876</v>
      </c>
      <c r="X1894" t="s">
        <v>74</v>
      </c>
      <c r="Y1894" t="b">
        <v>0</v>
      </c>
      <c r="Z1894" t="b">
        <v>0</v>
      </c>
      <c r="AA1894" t="b">
        <v>0</v>
      </c>
      <c r="AC1894" s="1"/>
      <c r="AF1894">
        <v>0</v>
      </c>
      <c r="AG1894">
        <v>30</v>
      </c>
      <c r="AH1894">
        <v>92</v>
      </c>
      <c r="AI1894" s="2">
        <f>Table__192.168.3.138DYLAgingReport[[#This Row],[NetAmount]]-Table__192.168.3.138DYLAgingReport[[#This Row],[Paid]]</f>
        <v>72662</v>
      </c>
    </row>
    <row r="1895" spans="1:35">
      <c r="A1895" t="s">
        <v>3985</v>
      </c>
      <c r="B1895" s="1">
        <v>41219</v>
      </c>
      <c r="C1895" s="1">
        <v>41264</v>
      </c>
      <c r="D1895" t="s">
        <v>220</v>
      </c>
      <c r="E1895">
        <v>123000</v>
      </c>
      <c r="F1895">
        <v>19680</v>
      </c>
      <c r="G1895">
        <v>0</v>
      </c>
      <c r="H1895">
        <v>0</v>
      </c>
      <c r="I1895">
        <v>50</v>
      </c>
      <c r="J1895">
        <v>142680</v>
      </c>
      <c r="K1895" t="s">
        <v>3986</v>
      </c>
      <c r="L1895" s="1">
        <v>41218</v>
      </c>
      <c r="N1895" t="s">
        <v>36</v>
      </c>
      <c r="O1895" t="s">
        <v>37</v>
      </c>
      <c r="P1895" t="s">
        <v>357</v>
      </c>
      <c r="Q1895" t="s">
        <v>39</v>
      </c>
      <c r="R1895" t="s">
        <v>40</v>
      </c>
      <c r="S1895">
        <v>0</v>
      </c>
      <c r="U1895" t="s">
        <v>41</v>
      </c>
      <c r="V1895" t="s">
        <v>42</v>
      </c>
      <c r="X1895" t="s">
        <v>74</v>
      </c>
      <c r="Y1895" t="b">
        <v>0</v>
      </c>
      <c r="Z1895" t="b">
        <v>0</v>
      </c>
      <c r="AC1895" s="1"/>
      <c r="AF1895">
        <v>0</v>
      </c>
      <c r="AG1895">
        <v>45</v>
      </c>
      <c r="AH1895">
        <v>95</v>
      </c>
      <c r="AI1895" s="2">
        <f>Table__192.168.3.138DYLAgingReport[[#This Row],[NetAmount]]-Table__192.168.3.138DYLAgingReport[[#This Row],[Paid]]</f>
        <v>142680</v>
      </c>
    </row>
    <row r="1896" spans="1:35">
      <c r="A1896" t="s">
        <v>3987</v>
      </c>
      <c r="B1896" s="1">
        <v>41225</v>
      </c>
      <c r="C1896" s="1">
        <v>41270</v>
      </c>
      <c r="D1896" t="s">
        <v>220</v>
      </c>
      <c r="E1896">
        <v>343100</v>
      </c>
      <c r="F1896">
        <v>54896</v>
      </c>
      <c r="G1896">
        <v>0</v>
      </c>
      <c r="H1896">
        <v>0</v>
      </c>
      <c r="I1896">
        <v>43</v>
      </c>
      <c r="J1896">
        <v>397996</v>
      </c>
      <c r="K1896" t="s">
        <v>3988</v>
      </c>
      <c r="L1896" s="1">
        <v>41225</v>
      </c>
      <c r="N1896" t="s">
        <v>36</v>
      </c>
      <c r="O1896" t="s">
        <v>37</v>
      </c>
      <c r="P1896" t="s">
        <v>357</v>
      </c>
      <c r="Q1896" t="s">
        <v>39</v>
      </c>
      <c r="R1896" t="s">
        <v>40</v>
      </c>
      <c r="S1896">
        <v>0</v>
      </c>
      <c r="U1896" t="s">
        <v>41</v>
      </c>
      <c r="V1896" t="s">
        <v>42</v>
      </c>
      <c r="X1896" t="s">
        <v>74</v>
      </c>
      <c r="Y1896" t="b">
        <v>0</v>
      </c>
      <c r="Z1896" t="b">
        <v>0</v>
      </c>
      <c r="AC1896" s="1"/>
      <c r="AF1896">
        <v>0</v>
      </c>
      <c r="AG1896">
        <v>45</v>
      </c>
      <c r="AH1896">
        <v>88</v>
      </c>
      <c r="AI1896" s="2">
        <f>Table__192.168.3.138DYLAgingReport[[#This Row],[NetAmount]]-Table__192.168.3.138DYLAgingReport[[#This Row],[Paid]]</f>
        <v>397996</v>
      </c>
    </row>
    <row r="1897" spans="1:35">
      <c r="A1897" t="s">
        <v>3989</v>
      </c>
      <c r="B1897" s="1">
        <v>41228</v>
      </c>
      <c r="C1897" s="1">
        <v>41273</v>
      </c>
      <c r="D1897" t="s">
        <v>220</v>
      </c>
      <c r="E1897">
        <v>183400</v>
      </c>
      <c r="F1897">
        <v>29344</v>
      </c>
      <c r="G1897">
        <v>0</v>
      </c>
      <c r="H1897">
        <v>0</v>
      </c>
      <c r="I1897">
        <v>40</v>
      </c>
      <c r="J1897">
        <v>212744</v>
      </c>
      <c r="K1897" t="s">
        <v>3990</v>
      </c>
      <c r="L1897" s="1">
        <v>41228</v>
      </c>
      <c r="N1897" t="s">
        <v>36</v>
      </c>
      <c r="O1897" t="s">
        <v>37</v>
      </c>
      <c r="P1897" t="s">
        <v>357</v>
      </c>
      <c r="Q1897" t="s">
        <v>39</v>
      </c>
      <c r="R1897" t="s">
        <v>40</v>
      </c>
      <c r="S1897">
        <v>0</v>
      </c>
      <c r="U1897" t="s">
        <v>41</v>
      </c>
      <c r="V1897" t="s">
        <v>42</v>
      </c>
      <c r="X1897" t="s">
        <v>74</v>
      </c>
      <c r="Y1897" t="b">
        <v>0</v>
      </c>
      <c r="Z1897" t="b">
        <v>0</v>
      </c>
      <c r="AC1897" s="1"/>
      <c r="AF1897">
        <v>0</v>
      </c>
      <c r="AG1897">
        <v>45</v>
      </c>
      <c r="AH1897">
        <v>85</v>
      </c>
      <c r="AI1897" s="2">
        <f>Table__192.168.3.138DYLAgingReport[[#This Row],[NetAmount]]-Table__192.168.3.138DYLAgingReport[[#This Row],[Paid]]</f>
        <v>212744</v>
      </c>
    </row>
    <row r="1898" spans="1:35">
      <c r="A1898" t="s">
        <v>3991</v>
      </c>
      <c r="B1898" s="1">
        <v>41228</v>
      </c>
      <c r="C1898" s="1">
        <v>41273</v>
      </c>
      <c r="D1898" t="s">
        <v>220</v>
      </c>
      <c r="E1898">
        <v>20741</v>
      </c>
      <c r="F1898">
        <v>3318</v>
      </c>
      <c r="G1898">
        <v>0</v>
      </c>
      <c r="H1898">
        <v>0</v>
      </c>
      <c r="I1898">
        <v>40</v>
      </c>
      <c r="J1898">
        <v>24059</v>
      </c>
      <c r="K1898" t="s">
        <v>3992</v>
      </c>
      <c r="L1898" s="1">
        <v>41228</v>
      </c>
      <c r="N1898" t="s">
        <v>36</v>
      </c>
      <c r="O1898" t="s">
        <v>37</v>
      </c>
      <c r="P1898" t="s">
        <v>357</v>
      </c>
      <c r="Q1898" t="s">
        <v>39</v>
      </c>
      <c r="R1898" t="s">
        <v>40</v>
      </c>
      <c r="S1898">
        <v>0</v>
      </c>
      <c r="U1898" t="s">
        <v>41</v>
      </c>
      <c r="V1898" t="s">
        <v>42</v>
      </c>
      <c r="X1898" t="s">
        <v>74</v>
      </c>
      <c r="Y1898" t="b">
        <v>0</v>
      </c>
      <c r="Z1898" t="b">
        <v>0</v>
      </c>
      <c r="AC1898" s="1"/>
      <c r="AF1898">
        <v>0</v>
      </c>
      <c r="AG1898">
        <v>45</v>
      </c>
      <c r="AH1898">
        <v>85</v>
      </c>
      <c r="AI1898" s="2">
        <f>Table__192.168.3.138DYLAgingReport[[#This Row],[NetAmount]]-Table__192.168.3.138DYLAgingReport[[#This Row],[Paid]]</f>
        <v>24059</v>
      </c>
    </row>
    <row r="1899" spans="1:35">
      <c r="A1899" t="s">
        <v>3993</v>
      </c>
      <c r="B1899" s="1">
        <v>41224</v>
      </c>
      <c r="C1899" s="1">
        <v>41269</v>
      </c>
      <c r="D1899" t="s">
        <v>251</v>
      </c>
      <c r="E1899">
        <v>176600</v>
      </c>
      <c r="F1899">
        <v>28256</v>
      </c>
      <c r="G1899">
        <v>0</v>
      </c>
      <c r="H1899">
        <v>0</v>
      </c>
      <c r="I1899">
        <v>43</v>
      </c>
      <c r="J1899">
        <v>204856</v>
      </c>
      <c r="K1899" t="s">
        <v>3994</v>
      </c>
      <c r="L1899" s="1">
        <v>41225</v>
      </c>
      <c r="N1899" t="s">
        <v>36</v>
      </c>
      <c r="O1899" t="s">
        <v>37</v>
      </c>
      <c r="P1899" t="s">
        <v>388</v>
      </c>
      <c r="Q1899" t="s">
        <v>39</v>
      </c>
      <c r="R1899" t="s">
        <v>40</v>
      </c>
      <c r="S1899">
        <v>0</v>
      </c>
      <c r="U1899" t="s">
        <v>41</v>
      </c>
      <c r="V1899" t="s">
        <v>42</v>
      </c>
      <c r="X1899" t="s">
        <v>74</v>
      </c>
      <c r="Y1899" t="b">
        <v>0</v>
      </c>
      <c r="Z1899" t="b">
        <v>0</v>
      </c>
      <c r="AC1899" s="1"/>
      <c r="AF1899">
        <v>0</v>
      </c>
      <c r="AG1899">
        <v>45</v>
      </c>
      <c r="AH1899">
        <v>88</v>
      </c>
      <c r="AI1899" s="2">
        <f>Table__192.168.3.138DYLAgingReport[[#This Row],[NetAmount]]-Table__192.168.3.138DYLAgingReport[[#This Row],[Paid]]</f>
        <v>204856</v>
      </c>
    </row>
    <row r="1900" spans="1:35">
      <c r="A1900" t="s">
        <v>3995</v>
      </c>
      <c r="B1900" s="1">
        <v>41225</v>
      </c>
      <c r="C1900" s="1">
        <v>41270</v>
      </c>
      <c r="D1900" t="s">
        <v>232</v>
      </c>
      <c r="E1900">
        <v>186554</v>
      </c>
      <c r="F1900">
        <v>29849</v>
      </c>
      <c r="G1900">
        <v>0</v>
      </c>
      <c r="H1900">
        <v>0</v>
      </c>
      <c r="I1900">
        <v>43</v>
      </c>
      <c r="J1900">
        <v>216403</v>
      </c>
      <c r="K1900" t="s">
        <v>3996</v>
      </c>
      <c r="L1900" s="1">
        <v>41225</v>
      </c>
      <c r="N1900" t="s">
        <v>36</v>
      </c>
      <c r="O1900" t="s">
        <v>37</v>
      </c>
      <c r="P1900" t="s">
        <v>369</v>
      </c>
      <c r="Q1900" t="s">
        <v>39</v>
      </c>
      <c r="R1900" t="s">
        <v>40</v>
      </c>
      <c r="S1900">
        <v>0</v>
      </c>
      <c r="U1900" t="s">
        <v>41</v>
      </c>
      <c r="V1900" t="s">
        <v>42</v>
      </c>
      <c r="X1900" t="s">
        <v>74</v>
      </c>
      <c r="Y1900" t="b">
        <v>0</v>
      </c>
      <c r="Z1900" t="b">
        <v>0</v>
      </c>
      <c r="AC1900" s="1"/>
      <c r="AF1900">
        <v>0</v>
      </c>
      <c r="AG1900">
        <v>45</v>
      </c>
      <c r="AH1900">
        <v>88</v>
      </c>
      <c r="AI1900" s="2">
        <f>Table__192.168.3.138DYLAgingReport[[#This Row],[NetAmount]]-Table__192.168.3.138DYLAgingReport[[#This Row],[Paid]]</f>
        <v>216403</v>
      </c>
    </row>
    <row r="1901" spans="1:35">
      <c r="A1901" t="s">
        <v>3997</v>
      </c>
      <c r="B1901" s="1">
        <v>41225</v>
      </c>
      <c r="C1901" s="1">
        <v>41270</v>
      </c>
      <c r="D1901" t="s">
        <v>232</v>
      </c>
      <c r="E1901">
        <v>2500</v>
      </c>
      <c r="F1901">
        <v>400</v>
      </c>
      <c r="G1901">
        <v>0</v>
      </c>
      <c r="H1901">
        <v>0</v>
      </c>
      <c r="I1901">
        <v>47</v>
      </c>
      <c r="J1901">
        <v>2900</v>
      </c>
      <c r="K1901" t="s">
        <v>3915</v>
      </c>
      <c r="L1901" s="1">
        <v>41221</v>
      </c>
      <c r="N1901" t="s">
        <v>36</v>
      </c>
      <c r="O1901" t="s">
        <v>37</v>
      </c>
      <c r="P1901" t="s">
        <v>369</v>
      </c>
      <c r="Q1901" t="s">
        <v>39</v>
      </c>
      <c r="R1901" t="s">
        <v>40</v>
      </c>
      <c r="S1901">
        <v>0</v>
      </c>
      <c r="U1901" t="s">
        <v>41</v>
      </c>
      <c r="V1901" t="s">
        <v>42</v>
      </c>
      <c r="X1901" t="s">
        <v>74</v>
      </c>
      <c r="Y1901" t="b">
        <v>0</v>
      </c>
      <c r="Z1901" t="b">
        <v>0</v>
      </c>
      <c r="AC1901" s="1"/>
      <c r="AF1901">
        <v>0</v>
      </c>
      <c r="AG1901">
        <v>45</v>
      </c>
      <c r="AH1901">
        <v>92</v>
      </c>
      <c r="AI1901" s="2">
        <f>Table__192.168.3.138DYLAgingReport[[#This Row],[NetAmount]]-Table__192.168.3.138DYLAgingReport[[#This Row],[Paid]]</f>
        <v>2900</v>
      </c>
    </row>
    <row r="1902" spans="1:35">
      <c r="A1902" t="s">
        <v>3998</v>
      </c>
      <c r="B1902" s="1">
        <v>41218</v>
      </c>
      <c r="C1902" s="1">
        <v>41263</v>
      </c>
      <c r="D1902" t="s">
        <v>232</v>
      </c>
      <c r="E1902">
        <v>625</v>
      </c>
      <c r="F1902">
        <v>100</v>
      </c>
      <c r="G1902">
        <v>0</v>
      </c>
      <c r="H1902">
        <v>0</v>
      </c>
      <c r="I1902">
        <v>52</v>
      </c>
      <c r="J1902">
        <v>725</v>
      </c>
      <c r="K1902" t="s">
        <v>3999</v>
      </c>
      <c r="L1902" s="1">
        <v>41216</v>
      </c>
      <c r="N1902" t="s">
        <v>36</v>
      </c>
      <c r="O1902" t="s">
        <v>37</v>
      </c>
      <c r="P1902" t="s">
        <v>369</v>
      </c>
      <c r="Q1902" t="s">
        <v>39</v>
      </c>
      <c r="R1902" t="s">
        <v>40</v>
      </c>
      <c r="S1902">
        <v>0</v>
      </c>
      <c r="U1902" t="s">
        <v>41</v>
      </c>
      <c r="V1902" t="s">
        <v>42</v>
      </c>
      <c r="X1902" t="s">
        <v>74</v>
      </c>
      <c r="Y1902" t="b">
        <v>0</v>
      </c>
      <c r="Z1902" t="b">
        <v>0</v>
      </c>
      <c r="AC1902" s="1"/>
      <c r="AF1902">
        <v>0</v>
      </c>
      <c r="AG1902">
        <v>45</v>
      </c>
      <c r="AH1902">
        <v>97</v>
      </c>
      <c r="AI1902" s="2">
        <f>Table__192.168.3.138DYLAgingReport[[#This Row],[NetAmount]]-Table__192.168.3.138DYLAgingReport[[#This Row],[Paid]]</f>
        <v>725</v>
      </c>
    </row>
    <row r="1903" spans="1:35">
      <c r="A1903" t="s">
        <v>4000</v>
      </c>
      <c r="B1903" s="1">
        <v>41221</v>
      </c>
      <c r="C1903" s="1">
        <v>41266</v>
      </c>
      <c r="D1903" t="s">
        <v>257</v>
      </c>
      <c r="E1903">
        <v>64000</v>
      </c>
      <c r="F1903">
        <v>10240</v>
      </c>
      <c r="G1903">
        <v>0</v>
      </c>
      <c r="H1903">
        <v>0</v>
      </c>
      <c r="I1903">
        <v>47</v>
      </c>
      <c r="J1903">
        <v>74240</v>
      </c>
      <c r="K1903" t="s">
        <v>4001</v>
      </c>
      <c r="L1903" s="1">
        <v>41221</v>
      </c>
      <c r="N1903" t="s">
        <v>36</v>
      </c>
      <c r="O1903" t="s">
        <v>37</v>
      </c>
      <c r="P1903" t="s">
        <v>394</v>
      </c>
      <c r="Q1903" t="s">
        <v>39</v>
      </c>
      <c r="R1903" t="s">
        <v>40</v>
      </c>
      <c r="S1903">
        <v>0</v>
      </c>
      <c r="U1903" t="s">
        <v>41</v>
      </c>
      <c r="V1903" t="s">
        <v>42</v>
      </c>
      <c r="X1903" t="s">
        <v>74</v>
      </c>
      <c r="Y1903" t="b">
        <v>0</v>
      </c>
      <c r="Z1903" t="b">
        <v>0</v>
      </c>
      <c r="AC1903" s="1"/>
      <c r="AF1903">
        <v>0</v>
      </c>
      <c r="AG1903">
        <v>45</v>
      </c>
      <c r="AH1903">
        <v>92</v>
      </c>
      <c r="AI1903" s="2">
        <f>Table__192.168.3.138DYLAgingReport[[#This Row],[NetAmount]]-Table__192.168.3.138DYLAgingReport[[#This Row],[Paid]]</f>
        <v>74240</v>
      </c>
    </row>
    <row r="1904" spans="1:35">
      <c r="A1904" t="s">
        <v>4002</v>
      </c>
      <c r="B1904" s="1">
        <v>41225</v>
      </c>
      <c r="C1904" s="1">
        <v>41270</v>
      </c>
      <c r="D1904" t="s">
        <v>257</v>
      </c>
      <c r="E1904">
        <v>64000</v>
      </c>
      <c r="F1904">
        <v>10240</v>
      </c>
      <c r="G1904">
        <v>0</v>
      </c>
      <c r="H1904">
        <v>0</v>
      </c>
      <c r="I1904">
        <v>46</v>
      </c>
      <c r="J1904">
        <v>74240</v>
      </c>
      <c r="K1904" t="s">
        <v>2575</v>
      </c>
      <c r="L1904" s="1">
        <v>41222</v>
      </c>
      <c r="N1904" t="s">
        <v>36</v>
      </c>
      <c r="O1904" t="s">
        <v>37</v>
      </c>
      <c r="P1904" t="s">
        <v>394</v>
      </c>
      <c r="Q1904" t="s">
        <v>39</v>
      </c>
      <c r="R1904" t="s">
        <v>40</v>
      </c>
      <c r="S1904">
        <v>0</v>
      </c>
      <c r="U1904" t="s">
        <v>41</v>
      </c>
      <c r="V1904" t="s">
        <v>42</v>
      </c>
      <c r="X1904" t="s">
        <v>74</v>
      </c>
      <c r="Y1904" t="b">
        <v>0</v>
      </c>
      <c r="Z1904" t="b">
        <v>0</v>
      </c>
      <c r="AC1904" s="1"/>
      <c r="AF1904">
        <v>0</v>
      </c>
      <c r="AG1904">
        <v>45</v>
      </c>
      <c r="AH1904">
        <v>91</v>
      </c>
      <c r="AI1904" s="2">
        <f>Table__192.168.3.138DYLAgingReport[[#This Row],[NetAmount]]-Table__192.168.3.138DYLAgingReport[[#This Row],[Paid]]</f>
        <v>74240</v>
      </c>
    </row>
    <row r="1905" spans="1:35">
      <c r="A1905" t="s">
        <v>4003</v>
      </c>
      <c r="B1905" s="1">
        <v>41226</v>
      </c>
      <c r="C1905" s="1">
        <v>41271</v>
      </c>
      <c r="D1905" t="s">
        <v>257</v>
      </c>
      <c r="E1905">
        <v>64000</v>
      </c>
      <c r="F1905">
        <v>10240</v>
      </c>
      <c r="G1905">
        <v>0</v>
      </c>
      <c r="H1905">
        <v>0</v>
      </c>
      <c r="I1905">
        <v>42</v>
      </c>
      <c r="J1905">
        <v>74240</v>
      </c>
      <c r="K1905" t="s">
        <v>4004</v>
      </c>
      <c r="L1905" s="1">
        <v>41226</v>
      </c>
      <c r="N1905" t="s">
        <v>36</v>
      </c>
      <c r="O1905" t="s">
        <v>37</v>
      </c>
      <c r="P1905" t="s">
        <v>394</v>
      </c>
      <c r="Q1905" t="s">
        <v>39</v>
      </c>
      <c r="R1905" t="s">
        <v>40</v>
      </c>
      <c r="S1905">
        <v>0</v>
      </c>
      <c r="U1905" t="s">
        <v>41</v>
      </c>
      <c r="V1905" t="s">
        <v>42</v>
      </c>
      <c r="X1905" t="s">
        <v>74</v>
      </c>
      <c r="Y1905" t="b">
        <v>0</v>
      </c>
      <c r="Z1905" t="b">
        <v>0</v>
      </c>
      <c r="AC1905" s="1"/>
      <c r="AF1905">
        <v>0</v>
      </c>
      <c r="AG1905">
        <v>45</v>
      </c>
      <c r="AH1905">
        <v>87</v>
      </c>
      <c r="AI1905" s="2">
        <f>Table__192.168.3.138DYLAgingReport[[#This Row],[NetAmount]]-Table__192.168.3.138DYLAgingReport[[#This Row],[Paid]]</f>
        <v>74240</v>
      </c>
    </row>
    <row r="1906" spans="1:35">
      <c r="A1906" t="s">
        <v>4005</v>
      </c>
      <c r="B1906" s="1">
        <v>41228</v>
      </c>
      <c r="C1906" s="1">
        <v>41273</v>
      </c>
      <c r="D1906" t="s">
        <v>257</v>
      </c>
      <c r="E1906">
        <v>64000</v>
      </c>
      <c r="F1906">
        <v>10240</v>
      </c>
      <c r="G1906">
        <v>0</v>
      </c>
      <c r="H1906">
        <v>0</v>
      </c>
      <c r="I1906">
        <v>40</v>
      </c>
      <c r="J1906">
        <v>74240</v>
      </c>
      <c r="K1906" t="s">
        <v>4006</v>
      </c>
      <c r="L1906" s="1">
        <v>41228</v>
      </c>
      <c r="N1906" t="s">
        <v>36</v>
      </c>
      <c r="O1906" t="s">
        <v>37</v>
      </c>
      <c r="P1906" t="s">
        <v>394</v>
      </c>
      <c r="Q1906" t="s">
        <v>39</v>
      </c>
      <c r="R1906" t="s">
        <v>40</v>
      </c>
      <c r="S1906">
        <v>0</v>
      </c>
      <c r="U1906" t="s">
        <v>41</v>
      </c>
      <c r="V1906" t="s">
        <v>42</v>
      </c>
      <c r="X1906" t="s">
        <v>74</v>
      </c>
      <c r="Y1906" t="b">
        <v>0</v>
      </c>
      <c r="Z1906" t="b">
        <v>0</v>
      </c>
      <c r="AC1906" s="1"/>
      <c r="AF1906">
        <v>0</v>
      </c>
      <c r="AG1906">
        <v>45</v>
      </c>
      <c r="AH1906">
        <v>85</v>
      </c>
      <c r="AI1906" s="2">
        <f>Table__192.168.3.138DYLAgingReport[[#This Row],[NetAmount]]-Table__192.168.3.138DYLAgingReport[[#This Row],[Paid]]</f>
        <v>74240</v>
      </c>
    </row>
    <row r="1907" spans="1:35">
      <c r="A1907" t="s">
        <v>4007</v>
      </c>
      <c r="B1907" s="1">
        <v>41219</v>
      </c>
      <c r="C1907" s="1">
        <v>41219</v>
      </c>
      <c r="D1907" t="s">
        <v>290</v>
      </c>
      <c r="E1907">
        <v>3840</v>
      </c>
      <c r="F1907">
        <v>614</v>
      </c>
      <c r="G1907">
        <v>0</v>
      </c>
      <c r="H1907">
        <v>0</v>
      </c>
      <c r="I1907">
        <v>49</v>
      </c>
      <c r="J1907">
        <v>4454</v>
      </c>
      <c r="K1907" t="s">
        <v>4008</v>
      </c>
      <c r="L1907" s="1">
        <v>41219</v>
      </c>
      <c r="M1907" t="s">
        <v>5366</v>
      </c>
      <c r="N1907" t="s">
        <v>36</v>
      </c>
      <c r="O1907" t="s">
        <v>37</v>
      </c>
      <c r="P1907" t="s">
        <v>427</v>
      </c>
      <c r="Q1907" t="s">
        <v>39</v>
      </c>
      <c r="R1907" t="s">
        <v>40</v>
      </c>
      <c r="S1907">
        <v>0</v>
      </c>
      <c r="U1907" t="s">
        <v>41</v>
      </c>
      <c r="V1907" t="s">
        <v>42</v>
      </c>
      <c r="W1907" t="s">
        <v>5367</v>
      </c>
      <c r="X1907" t="s">
        <v>74</v>
      </c>
      <c r="Y1907" t="b">
        <v>0</v>
      </c>
      <c r="Z1907" t="b">
        <v>0</v>
      </c>
      <c r="AA1907" t="b">
        <v>0</v>
      </c>
      <c r="AC1907" s="1"/>
      <c r="AF1907">
        <v>0</v>
      </c>
      <c r="AG1907">
        <v>45</v>
      </c>
      <c r="AH1907">
        <v>94</v>
      </c>
      <c r="AI1907" s="2">
        <f>Table__192.168.3.138DYLAgingReport[[#This Row],[NetAmount]]-Table__192.168.3.138DYLAgingReport[[#This Row],[Paid]]</f>
        <v>4454</v>
      </c>
    </row>
    <row r="1908" spans="1:35">
      <c r="A1908" t="s">
        <v>4009</v>
      </c>
      <c r="B1908" s="1">
        <v>41219</v>
      </c>
      <c r="C1908" s="1">
        <v>41219</v>
      </c>
      <c r="D1908" t="s">
        <v>290</v>
      </c>
      <c r="E1908">
        <v>1800</v>
      </c>
      <c r="F1908">
        <v>288</v>
      </c>
      <c r="G1908">
        <v>0</v>
      </c>
      <c r="H1908">
        <v>0</v>
      </c>
      <c r="I1908">
        <v>49</v>
      </c>
      <c r="J1908">
        <v>2088</v>
      </c>
      <c r="K1908" t="s">
        <v>4010</v>
      </c>
      <c r="L1908" s="1">
        <v>41219</v>
      </c>
      <c r="M1908" t="s">
        <v>5368</v>
      </c>
      <c r="N1908" t="s">
        <v>36</v>
      </c>
      <c r="O1908" t="s">
        <v>37</v>
      </c>
      <c r="P1908" t="s">
        <v>427</v>
      </c>
      <c r="Q1908" t="s">
        <v>39</v>
      </c>
      <c r="R1908" t="s">
        <v>40</v>
      </c>
      <c r="S1908">
        <v>0</v>
      </c>
      <c r="U1908" t="s">
        <v>41</v>
      </c>
      <c r="V1908" t="s">
        <v>42</v>
      </c>
      <c r="W1908" t="s">
        <v>5367</v>
      </c>
      <c r="X1908" t="s">
        <v>74</v>
      </c>
      <c r="Y1908" t="b">
        <v>0</v>
      </c>
      <c r="Z1908" t="b">
        <v>0</v>
      </c>
      <c r="AA1908" t="b">
        <v>0</v>
      </c>
      <c r="AC1908" s="1"/>
      <c r="AF1908">
        <v>0</v>
      </c>
      <c r="AG1908">
        <v>45</v>
      </c>
      <c r="AH1908">
        <v>94</v>
      </c>
      <c r="AI1908" s="2">
        <f>Table__192.168.3.138DYLAgingReport[[#This Row],[NetAmount]]-Table__192.168.3.138DYLAgingReport[[#This Row],[Paid]]</f>
        <v>2088</v>
      </c>
    </row>
    <row r="1909" spans="1:35">
      <c r="A1909" t="s">
        <v>4011</v>
      </c>
      <c r="B1909" s="1">
        <v>41221</v>
      </c>
      <c r="C1909" s="1">
        <v>41221</v>
      </c>
      <c r="D1909" t="s">
        <v>290</v>
      </c>
      <c r="E1909">
        <v>9600</v>
      </c>
      <c r="F1909">
        <v>1536</v>
      </c>
      <c r="G1909">
        <v>0</v>
      </c>
      <c r="H1909">
        <v>0</v>
      </c>
      <c r="I1909">
        <v>47</v>
      </c>
      <c r="J1909">
        <v>11136</v>
      </c>
      <c r="K1909" t="s">
        <v>4012</v>
      </c>
      <c r="L1909" s="1">
        <v>41221</v>
      </c>
      <c r="M1909" t="s">
        <v>5369</v>
      </c>
      <c r="N1909" t="s">
        <v>36</v>
      </c>
      <c r="O1909" t="s">
        <v>37</v>
      </c>
      <c r="P1909" t="s">
        <v>427</v>
      </c>
      <c r="Q1909" t="s">
        <v>39</v>
      </c>
      <c r="R1909" t="s">
        <v>40</v>
      </c>
      <c r="S1909">
        <v>0</v>
      </c>
      <c r="U1909" t="s">
        <v>41</v>
      </c>
      <c r="V1909" t="s">
        <v>42</v>
      </c>
      <c r="W1909" t="s">
        <v>5367</v>
      </c>
      <c r="X1909" t="s">
        <v>74</v>
      </c>
      <c r="Y1909" t="b">
        <v>0</v>
      </c>
      <c r="Z1909" t="b">
        <v>0</v>
      </c>
      <c r="AA1909" t="b">
        <v>0</v>
      </c>
      <c r="AC1909" s="1"/>
      <c r="AF1909">
        <v>0</v>
      </c>
      <c r="AG1909">
        <v>45</v>
      </c>
      <c r="AH1909">
        <v>92</v>
      </c>
      <c r="AI1909" s="2">
        <f>Table__192.168.3.138DYLAgingReport[[#This Row],[NetAmount]]-Table__192.168.3.138DYLAgingReport[[#This Row],[Paid]]</f>
        <v>11136</v>
      </c>
    </row>
    <row r="1910" spans="1:35">
      <c r="A1910" t="s">
        <v>4013</v>
      </c>
      <c r="B1910" s="1">
        <v>41225</v>
      </c>
      <c r="C1910" s="1">
        <v>41225</v>
      </c>
      <c r="D1910" t="s">
        <v>290</v>
      </c>
      <c r="E1910">
        <v>16000</v>
      </c>
      <c r="F1910">
        <v>2560</v>
      </c>
      <c r="G1910">
        <v>0</v>
      </c>
      <c r="H1910">
        <v>0</v>
      </c>
      <c r="I1910">
        <v>43</v>
      </c>
      <c r="J1910">
        <v>18560</v>
      </c>
      <c r="K1910" t="s">
        <v>4014</v>
      </c>
      <c r="L1910" s="1">
        <v>41225</v>
      </c>
      <c r="M1910" t="s">
        <v>5370</v>
      </c>
      <c r="N1910" t="s">
        <v>36</v>
      </c>
      <c r="O1910" t="s">
        <v>37</v>
      </c>
      <c r="P1910" t="s">
        <v>427</v>
      </c>
      <c r="Q1910" t="s">
        <v>39</v>
      </c>
      <c r="R1910" t="s">
        <v>40</v>
      </c>
      <c r="S1910">
        <v>0</v>
      </c>
      <c r="U1910" t="s">
        <v>41</v>
      </c>
      <c r="V1910" t="s">
        <v>42</v>
      </c>
      <c r="W1910" t="s">
        <v>5367</v>
      </c>
      <c r="X1910" t="s">
        <v>74</v>
      </c>
      <c r="Y1910" t="b">
        <v>0</v>
      </c>
      <c r="Z1910" t="b">
        <v>0</v>
      </c>
      <c r="AA1910" t="b">
        <v>0</v>
      </c>
      <c r="AC1910" s="1"/>
      <c r="AF1910">
        <v>0</v>
      </c>
      <c r="AG1910">
        <v>45</v>
      </c>
      <c r="AH1910">
        <v>88</v>
      </c>
      <c r="AI1910" s="2">
        <f>Table__192.168.3.138DYLAgingReport[[#This Row],[NetAmount]]-Table__192.168.3.138DYLAgingReport[[#This Row],[Paid]]</f>
        <v>18560</v>
      </c>
    </row>
    <row r="1911" spans="1:35">
      <c r="A1911" t="s">
        <v>4015</v>
      </c>
      <c r="B1911" s="1">
        <v>41228</v>
      </c>
      <c r="C1911" s="1">
        <v>41273</v>
      </c>
      <c r="D1911" t="s">
        <v>231</v>
      </c>
      <c r="E1911">
        <v>327600</v>
      </c>
      <c r="F1911">
        <v>52416</v>
      </c>
      <c r="G1911">
        <v>0</v>
      </c>
      <c r="H1911">
        <v>0</v>
      </c>
      <c r="I1911">
        <v>40</v>
      </c>
      <c r="J1911">
        <v>380016</v>
      </c>
      <c r="K1911" t="s">
        <v>4016</v>
      </c>
      <c r="L1911" s="1">
        <v>41228</v>
      </c>
      <c r="N1911" t="s">
        <v>36</v>
      </c>
      <c r="O1911" t="s">
        <v>37</v>
      </c>
      <c r="P1911" t="s">
        <v>368</v>
      </c>
      <c r="Q1911" t="s">
        <v>39</v>
      </c>
      <c r="R1911" t="s">
        <v>40</v>
      </c>
      <c r="S1911">
        <v>0</v>
      </c>
      <c r="U1911" t="s">
        <v>41</v>
      </c>
      <c r="V1911" t="s">
        <v>42</v>
      </c>
      <c r="X1911" t="s">
        <v>74</v>
      </c>
      <c r="Y1911" t="b">
        <v>0</v>
      </c>
      <c r="Z1911" t="b">
        <v>0</v>
      </c>
      <c r="AC1911" s="1"/>
      <c r="AF1911">
        <v>0</v>
      </c>
      <c r="AG1911">
        <v>45</v>
      </c>
      <c r="AH1911">
        <v>85</v>
      </c>
      <c r="AI1911" s="2">
        <f>Table__192.168.3.138DYLAgingReport[[#This Row],[NetAmount]]-Table__192.168.3.138DYLAgingReport[[#This Row],[Paid]]</f>
        <v>380016</v>
      </c>
    </row>
    <row r="1912" spans="1:35">
      <c r="A1912" t="s">
        <v>4017</v>
      </c>
      <c r="B1912" s="1">
        <v>41194</v>
      </c>
      <c r="C1912" s="1">
        <v>41239</v>
      </c>
      <c r="D1912" t="s">
        <v>275</v>
      </c>
      <c r="E1912">
        <v>69440</v>
      </c>
      <c r="F1912">
        <v>0</v>
      </c>
      <c r="G1912">
        <v>0</v>
      </c>
      <c r="H1912">
        <v>0</v>
      </c>
      <c r="I1912">
        <v>75</v>
      </c>
      <c r="J1912">
        <v>69440</v>
      </c>
      <c r="K1912" t="s">
        <v>1226</v>
      </c>
      <c r="L1912" s="1">
        <v>41193</v>
      </c>
      <c r="N1912" t="s">
        <v>36</v>
      </c>
      <c r="O1912" t="s">
        <v>37</v>
      </c>
      <c r="P1912" t="s">
        <v>412</v>
      </c>
      <c r="Q1912" t="s">
        <v>39</v>
      </c>
      <c r="R1912" t="s">
        <v>40</v>
      </c>
      <c r="S1912">
        <v>0</v>
      </c>
      <c r="U1912" t="s">
        <v>41</v>
      </c>
      <c r="V1912" t="s">
        <v>42</v>
      </c>
      <c r="X1912" t="s">
        <v>74</v>
      </c>
      <c r="Y1912" t="b">
        <v>0</v>
      </c>
      <c r="Z1912" t="b">
        <v>0</v>
      </c>
      <c r="AC1912" s="1"/>
      <c r="AF1912">
        <v>0</v>
      </c>
      <c r="AG1912">
        <v>45</v>
      </c>
      <c r="AH1912">
        <v>120</v>
      </c>
      <c r="AI1912" s="2">
        <f>Table__192.168.3.138DYLAgingReport[[#This Row],[NetAmount]]-Table__192.168.3.138DYLAgingReport[[#This Row],[Paid]]</f>
        <v>69440</v>
      </c>
    </row>
    <row r="1913" spans="1:35">
      <c r="A1913" t="s">
        <v>4018</v>
      </c>
      <c r="B1913" s="1">
        <v>41207</v>
      </c>
      <c r="C1913" s="1">
        <v>41252</v>
      </c>
      <c r="D1913" t="s">
        <v>268</v>
      </c>
      <c r="E1913">
        <v>12900</v>
      </c>
      <c r="F1913">
        <v>2064</v>
      </c>
      <c r="G1913">
        <v>0</v>
      </c>
      <c r="H1913">
        <v>0</v>
      </c>
      <c r="I1913">
        <v>46</v>
      </c>
      <c r="J1913">
        <v>14964</v>
      </c>
      <c r="K1913" t="s">
        <v>4019</v>
      </c>
      <c r="L1913" s="1">
        <v>41222</v>
      </c>
      <c r="N1913" t="s">
        <v>36</v>
      </c>
      <c r="O1913" t="s">
        <v>37</v>
      </c>
      <c r="P1913" t="s">
        <v>405</v>
      </c>
      <c r="Q1913" t="s">
        <v>39</v>
      </c>
      <c r="R1913" t="s">
        <v>40</v>
      </c>
      <c r="S1913">
        <v>0</v>
      </c>
      <c r="U1913" t="s">
        <v>41</v>
      </c>
      <c r="V1913" t="s">
        <v>42</v>
      </c>
      <c r="X1913" t="s">
        <v>74</v>
      </c>
      <c r="Y1913" t="b">
        <v>0</v>
      </c>
      <c r="Z1913" t="b">
        <v>0</v>
      </c>
      <c r="AC1913" s="1"/>
      <c r="AF1913">
        <v>0</v>
      </c>
      <c r="AG1913">
        <v>45</v>
      </c>
      <c r="AH1913">
        <v>91</v>
      </c>
      <c r="AI1913" s="2">
        <f>Table__192.168.3.138DYLAgingReport[[#This Row],[NetAmount]]-Table__192.168.3.138DYLAgingReport[[#This Row],[Paid]]</f>
        <v>14964</v>
      </c>
    </row>
    <row r="1914" spans="1:35">
      <c r="A1914" t="s">
        <v>4020</v>
      </c>
      <c r="B1914" s="1">
        <v>41223</v>
      </c>
      <c r="C1914" s="1">
        <v>41268</v>
      </c>
      <c r="D1914" t="s">
        <v>171</v>
      </c>
      <c r="E1914">
        <v>3600</v>
      </c>
      <c r="F1914">
        <v>576</v>
      </c>
      <c r="G1914">
        <v>0</v>
      </c>
      <c r="H1914">
        <v>0</v>
      </c>
      <c r="I1914">
        <v>45</v>
      </c>
      <c r="J1914">
        <v>4176</v>
      </c>
      <c r="K1914" t="s">
        <v>4021</v>
      </c>
      <c r="L1914" s="1">
        <v>41223</v>
      </c>
      <c r="M1914" t="s">
        <v>4022</v>
      </c>
      <c r="N1914" t="s">
        <v>36</v>
      </c>
      <c r="O1914" t="s">
        <v>37</v>
      </c>
      <c r="P1914" t="s">
        <v>308</v>
      </c>
      <c r="Q1914" t="s">
        <v>39</v>
      </c>
      <c r="R1914" t="s">
        <v>40</v>
      </c>
      <c r="S1914">
        <v>0</v>
      </c>
      <c r="U1914" t="s">
        <v>41</v>
      </c>
      <c r="V1914" t="s">
        <v>42</v>
      </c>
      <c r="W1914" t="s">
        <v>4023</v>
      </c>
      <c r="X1914" t="s">
        <v>74</v>
      </c>
      <c r="Y1914" t="b">
        <v>0</v>
      </c>
      <c r="Z1914" t="b">
        <v>0</v>
      </c>
      <c r="AA1914" t="b">
        <v>0</v>
      </c>
      <c r="AC1914" s="1"/>
      <c r="AF1914">
        <v>0</v>
      </c>
      <c r="AG1914">
        <v>45</v>
      </c>
      <c r="AH1914">
        <v>90</v>
      </c>
      <c r="AI1914" s="2">
        <f>Table__192.168.3.138DYLAgingReport[[#This Row],[NetAmount]]-Table__192.168.3.138DYLAgingReport[[#This Row],[Paid]]</f>
        <v>4176</v>
      </c>
    </row>
    <row r="1915" spans="1:35">
      <c r="A1915" t="s">
        <v>4024</v>
      </c>
      <c r="B1915" s="1">
        <v>41225</v>
      </c>
      <c r="C1915" s="1">
        <v>41270</v>
      </c>
      <c r="D1915" t="s">
        <v>220</v>
      </c>
      <c r="E1915">
        <v>34568</v>
      </c>
      <c r="F1915">
        <v>5531</v>
      </c>
      <c r="G1915">
        <v>0</v>
      </c>
      <c r="H1915">
        <v>0</v>
      </c>
      <c r="I1915">
        <v>43</v>
      </c>
      <c r="J1915">
        <v>40099</v>
      </c>
      <c r="K1915" t="s">
        <v>4025</v>
      </c>
      <c r="L1915" s="1">
        <v>41225</v>
      </c>
      <c r="N1915" t="s">
        <v>36</v>
      </c>
      <c r="O1915" t="s">
        <v>37</v>
      </c>
      <c r="P1915" t="s">
        <v>357</v>
      </c>
      <c r="Q1915" t="s">
        <v>39</v>
      </c>
      <c r="R1915" t="s">
        <v>40</v>
      </c>
      <c r="S1915">
        <v>0</v>
      </c>
      <c r="U1915" t="s">
        <v>41</v>
      </c>
      <c r="V1915" t="s">
        <v>42</v>
      </c>
      <c r="X1915" t="s">
        <v>74</v>
      </c>
      <c r="Y1915" t="b">
        <v>0</v>
      </c>
      <c r="Z1915" t="b">
        <v>0</v>
      </c>
      <c r="AC1915" s="1"/>
      <c r="AF1915">
        <v>0</v>
      </c>
      <c r="AG1915">
        <v>45</v>
      </c>
      <c r="AH1915">
        <v>88</v>
      </c>
      <c r="AI1915" s="2">
        <f>Table__192.168.3.138DYLAgingReport[[#This Row],[NetAmount]]-Table__192.168.3.138DYLAgingReport[[#This Row],[Paid]]</f>
        <v>40099</v>
      </c>
    </row>
    <row r="1916" spans="1:35">
      <c r="A1916" t="s">
        <v>4026</v>
      </c>
      <c r="B1916" s="1">
        <v>41226</v>
      </c>
      <c r="C1916" s="1">
        <v>41271</v>
      </c>
      <c r="D1916" t="s">
        <v>249</v>
      </c>
      <c r="E1916">
        <v>19113</v>
      </c>
      <c r="F1916">
        <v>0</v>
      </c>
      <c r="G1916">
        <v>0</v>
      </c>
      <c r="H1916">
        <v>0</v>
      </c>
      <c r="I1916">
        <v>40</v>
      </c>
      <c r="J1916">
        <v>19113</v>
      </c>
      <c r="K1916" t="s">
        <v>4027</v>
      </c>
      <c r="L1916" s="1">
        <v>41228</v>
      </c>
      <c r="N1916" t="s">
        <v>36</v>
      </c>
      <c r="O1916" t="s">
        <v>37</v>
      </c>
      <c r="P1916" t="s">
        <v>386</v>
      </c>
      <c r="Q1916" t="s">
        <v>39</v>
      </c>
      <c r="R1916" t="s">
        <v>40</v>
      </c>
      <c r="S1916">
        <v>0</v>
      </c>
      <c r="U1916" t="s">
        <v>41</v>
      </c>
      <c r="V1916" t="s">
        <v>42</v>
      </c>
      <c r="X1916" t="s">
        <v>74</v>
      </c>
      <c r="Y1916" t="b">
        <v>0</v>
      </c>
      <c r="Z1916" t="b">
        <v>0</v>
      </c>
      <c r="AC1916" s="1"/>
      <c r="AF1916">
        <v>0</v>
      </c>
      <c r="AG1916">
        <v>45</v>
      </c>
      <c r="AH1916">
        <v>85</v>
      </c>
      <c r="AI1916" s="2">
        <f>Table__192.168.3.138DYLAgingReport[[#This Row],[NetAmount]]-Table__192.168.3.138DYLAgingReport[[#This Row],[Paid]]</f>
        <v>19113</v>
      </c>
    </row>
    <row r="1917" spans="1:35">
      <c r="A1917" t="s">
        <v>4028</v>
      </c>
      <c r="B1917" s="1">
        <v>41228</v>
      </c>
      <c r="C1917" s="1">
        <v>41273</v>
      </c>
      <c r="D1917" t="s">
        <v>239</v>
      </c>
      <c r="E1917">
        <v>645000</v>
      </c>
      <c r="F1917">
        <v>103200</v>
      </c>
      <c r="G1917">
        <v>0</v>
      </c>
      <c r="H1917">
        <v>0</v>
      </c>
      <c r="I1917">
        <v>41</v>
      </c>
      <c r="J1917">
        <v>748200</v>
      </c>
      <c r="K1917" t="s">
        <v>4029</v>
      </c>
      <c r="L1917" s="1">
        <v>41227</v>
      </c>
      <c r="N1917" t="s">
        <v>36</v>
      </c>
      <c r="O1917" t="s">
        <v>37</v>
      </c>
      <c r="P1917" t="s">
        <v>376</v>
      </c>
      <c r="Q1917" t="s">
        <v>39</v>
      </c>
      <c r="R1917" t="s">
        <v>40</v>
      </c>
      <c r="S1917">
        <v>0</v>
      </c>
      <c r="U1917" t="s">
        <v>41</v>
      </c>
      <c r="V1917" t="s">
        <v>42</v>
      </c>
      <c r="X1917" t="s">
        <v>74</v>
      </c>
      <c r="Y1917" t="b">
        <v>0</v>
      </c>
      <c r="Z1917" t="b">
        <v>0</v>
      </c>
      <c r="AB1917" t="s">
        <v>4030</v>
      </c>
      <c r="AC1917" s="1">
        <v>41275</v>
      </c>
      <c r="AD1917" t="s">
        <v>4031</v>
      </c>
      <c r="AE1917" t="s">
        <v>535</v>
      </c>
      <c r="AF1917">
        <v>738675</v>
      </c>
      <c r="AG1917">
        <v>45</v>
      </c>
      <c r="AH1917">
        <v>86</v>
      </c>
      <c r="AI1917" s="2">
        <f>Table__192.168.3.138DYLAgingReport[[#This Row],[NetAmount]]-Table__192.168.3.138DYLAgingReport[[#This Row],[Paid]]</f>
        <v>9525</v>
      </c>
    </row>
    <row r="1918" spans="1:35">
      <c r="A1918" t="s">
        <v>4032</v>
      </c>
      <c r="B1918" s="1">
        <v>41228</v>
      </c>
      <c r="C1918" s="1">
        <v>41273</v>
      </c>
      <c r="D1918" t="s">
        <v>197</v>
      </c>
      <c r="E1918">
        <v>245000</v>
      </c>
      <c r="F1918">
        <v>39200</v>
      </c>
      <c r="G1918">
        <v>0</v>
      </c>
      <c r="H1918">
        <v>0</v>
      </c>
      <c r="I1918">
        <v>38</v>
      </c>
      <c r="J1918">
        <v>284200</v>
      </c>
      <c r="K1918" t="s">
        <v>4033</v>
      </c>
      <c r="L1918" s="1">
        <v>41230</v>
      </c>
      <c r="N1918" t="s">
        <v>36</v>
      </c>
      <c r="O1918" t="s">
        <v>37</v>
      </c>
      <c r="P1918" t="s">
        <v>334</v>
      </c>
      <c r="Q1918" t="s">
        <v>39</v>
      </c>
      <c r="R1918" t="s">
        <v>40</v>
      </c>
      <c r="S1918">
        <v>0</v>
      </c>
      <c r="U1918" t="s">
        <v>41</v>
      </c>
      <c r="V1918" t="s">
        <v>42</v>
      </c>
      <c r="X1918" t="s">
        <v>74</v>
      </c>
      <c r="Y1918" t="b">
        <v>0</v>
      </c>
      <c r="Z1918" t="b">
        <v>0</v>
      </c>
      <c r="AC1918" s="1"/>
      <c r="AF1918">
        <v>0</v>
      </c>
      <c r="AG1918">
        <v>45</v>
      </c>
      <c r="AH1918">
        <v>83</v>
      </c>
      <c r="AI1918" s="2">
        <f>Table__192.168.3.138DYLAgingReport[[#This Row],[NetAmount]]-Table__192.168.3.138DYLAgingReport[[#This Row],[Paid]]</f>
        <v>284200</v>
      </c>
    </row>
    <row r="1919" spans="1:35">
      <c r="A1919" t="s">
        <v>4034</v>
      </c>
      <c r="B1919" s="1">
        <v>41228</v>
      </c>
      <c r="C1919" s="1">
        <v>41273</v>
      </c>
      <c r="D1919" t="s">
        <v>197</v>
      </c>
      <c r="E1919">
        <v>105000</v>
      </c>
      <c r="F1919">
        <v>16800</v>
      </c>
      <c r="G1919">
        <v>0</v>
      </c>
      <c r="H1919">
        <v>0</v>
      </c>
      <c r="I1919">
        <v>38</v>
      </c>
      <c r="J1919">
        <v>121800</v>
      </c>
      <c r="K1919" t="s">
        <v>4035</v>
      </c>
      <c r="L1919" s="1">
        <v>41230</v>
      </c>
      <c r="N1919" t="s">
        <v>36</v>
      </c>
      <c r="O1919" t="s">
        <v>37</v>
      </c>
      <c r="P1919" t="s">
        <v>334</v>
      </c>
      <c r="Q1919" t="s">
        <v>39</v>
      </c>
      <c r="R1919" t="s">
        <v>40</v>
      </c>
      <c r="S1919">
        <v>0</v>
      </c>
      <c r="U1919" t="s">
        <v>41</v>
      </c>
      <c r="V1919" t="s">
        <v>42</v>
      </c>
      <c r="X1919" t="s">
        <v>74</v>
      </c>
      <c r="Y1919" t="b">
        <v>0</v>
      </c>
      <c r="Z1919" t="b">
        <v>0</v>
      </c>
      <c r="AC1919" s="1"/>
      <c r="AF1919">
        <v>0</v>
      </c>
      <c r="AG1919">
        <v>45</v>
      </c>
      <c r="AH1919">
        <v>83</v>
      </c>
      <c r="AI1919" s="2">
        <f>Table__192.168.3.138DYLAgingReport[[#This Row],[NetAmount]]-Table__192.168.3.138DYLAgingReport[[#This Row],[Paid]]</f>
        <v>121800</v>
      </c>
    </row>
    <row r="1920" spans="1:35">
      <c r="A1920" t="s">
        <v>4036</v>
      </c>
      <c r="B1920" s="1">
        <v>41229</v>
      </c>
      <c r="C1920" s="1">
        <v>41274</v>
      </c>
      <c r="D1920" t="s">
        <v>264</v>
      </c>
      <c r="E1920">
        <v>700000</v>
      </c>
      <c r="F1920">
        <v>112000</v>
      </c>
      <c r="G1920">
        <v>0</v>
      </c>
      <c r="H1920">
        <v>0</v>
      </c>
      <c r="I1920">
        <v>40</v>
      </c>
      <c r="J1920">
        <v>812000</v>
      </c>
      <c r="K1920" t="s">
        <v>4037</v>
      </c>
      <c r="L1920" s="1">
        <v>41228</v>
      </c>
      <c r="N1920" t="s">
        <v>36</v>
      </c>
      <c r="O1920" t="s">
        <v>37</v>
      </c>
      <c r="P1920" t="s">
        <v>401</v>
      </c>
      <c r="Q1920" t="s">
        <v>39</v>
      </c>
      <c r="R1920" t="s">
        <v>40</v>
      </c>
      <c r="S1920">
        <v>0</v>
      </c>
      <c r="U1920" t="s">
        <v>41</v>
      </c>
      <c r="V1920" t="s">
        <v>42</v>
      </c>
      <c r="X1920" t="s">
        <v>74</v>
      </c>
      <c r="Y1920" t="b">
        <v>0</v>
      </c>
      <c r="Z1920" t="b">
        <v>0</v>
      </c>
      <c r="AB1920" t="s">
        <v>1230</v>
      </c>
      <c r="AC1920" s="1"/>
      <c r="AF1920">
        <v>0</v>
      </c>
      <c r="AG1920">
        <v>45</v>
      </c>
      <c r="AH1920">
        <v>85</v>
      </c>
      <c r="AI1920" s="2">
        <f>Table__192.168.3.138DYLAgingReport[[#This Row],[NetAmount]]-Table__192.168.3.138DYLAgingReport[[#This Row],[Paid]]</f>
        <v>812000</v>
      </c>
    </row>
    <row r="1921" spans="1:35">
      <c r="A1921" t="s">
        <v>4038</v>
      </c>
      <c r="B1921" s="1">
        <v>41229</v>
      </c>
      <c r="C1921" s="1">
        <v>41274</v>
      </c>
      <c r="D1921" t="s">
        <v>259</v>
      </c>
      <c r="E1921">
        <v>3206</v>
      </c>
      <c r="F1921">
        <v>513</v>
      </c>
      <c r="G1921">
        <v>0</v>
      </c>
      <c r="H1921">
        <v>0</v>
      </c>
      <c r="I1921">
        <v>40</v>
      </c>
      <c r="J1921">
        <v>3719</v>
      </c>
      <c r="K1921" t="s">
        <v>4039</v>
      </c>
      <c r="L1921" s="1">
        <v>41228</v>
      </c>
      <c r="N1921" t="s">
        <v>36</v>
      </c>
      <c r="O1921" t="s">
        <v>37</v>
      </c>
      <c r="P1921" t="s">
        <v>396</v>
      </c>
      <c r="Q1921" t="s">
        <v>39</v>
      </c>
      <c r="R1921" t="s">
        <v>40</v>
      </c>
      <c r="S1921">
        <v>0</v>
      </c>
      <c r="U1921" t="s">
        <v>41</v>
      </c>
      <c r="V1921" t="s">
        <v>42</v>
      </c>
      <c r="X1921" t="s">
        <v>74</v>
      </c>
      <c r="Y1921" t="b">
        <v>0</v>
      </c>
      <c r="Z1921" t="b">
        <v>0</v>
      </c>
      <c r="AC1921" s="1"/>
      <c r="AF1921">
        <v>0</v>
      </c>
      <c r="AG1921">
        <v>45</v>
      </c>
      <c r="AH1921">
        <v>85</v>
      </c>
      <c r="AI1921" s="2">
        <f>Table__192.168.3.138DYLAgingReport[[#This Row],[NetAmount]]-Table__192.168.3.138DYLAgingReport[[#This Row],[Paid]]</f>
        <v>3719</v>
      </c>
    </row>
    <row r="1922" spans="1:35">
      <c r="A1922" t="s">
        <v>4040</v>
      </c>
      <c r="B1922" s="1">
        <v>41229</v>
      </c>
      <c r="C1922" s="1">
        <v>41274</v>
      </c>
      <c r="D1922" t="s">
        <v>197</v>
      </c>
      <c r="E1922">
        <v>315000</v>
      </c>
      <c r="F1922">
        <v>50400</v>
      </c>
      <c r="G1922">
        <v>0</v>
      </c>
      <c r="H1922">
        <v>0</v>
      </c>
      <c r="I1922">
        <v>38</v>
      </c>
      <c r="J1922">
        <v>365400</v>
      </c>
      <c r="K1922" t="s">
        <v>4041</v>
      </c>
      <c r="L1922" s="1">
        <v>41230</v>
      </c>
      <c r="N1922" t="s">
        <v>36</v>
      </c>
      <c r="O1922" t="s">
        <v>37</v>
      </c>
      <c r="P1922" t="s">
        <v>334</v>
      </c>
      <c r="Q1922" t="s">
        <v>39</v>
      </c>
      <c r="R1922" t="s">
        <v>40</v>
      </c>
      <c r="S1922">
        <v>0</v>
      </c>
      <c r="U1922" t="s">
        <v>41</v>
      </c>
      <c r="V1922" t="s">
        <v>42</v>
      </c>
      <c r="X1922" t="s">
        <v>74</v>
      </c>
      <c r="Y1922" t="b">
        <v>0</v>
      </c>
      <c r="Z1922" t="b">
        <v>0</v>
      </c>
      <c r="AC1922" s="1"/>
      <c r="AF1922">
        <v>0</v>
      </c>
      <c r="AG1922">
        <v>45</v>
      </c>
      <c r="AH1922">
        <v>83</v>
      </c>
      <c r="AI1922" s="2">
        <f>Table__192.168.3.138DYLAgingReport[[#This Row],[NetAmount]]-Table__192.168.3.138DYLAgingReport[[#This Row],[Paid]]</f>
        <v>365400</v>
      </c>
    </row>
    <row r="1923" spans="1:35">
      <c r="A1923" t="s">
        <v>4042</v>
      </c>
      <c r="B1923" s="1">
        <v>41229</v>
      </c>
      <c r="C1923" s="1">
        <v>41274</v>
      </c>
      <c r="D1923" t="s">
        <v>197</v>
      </c>
      <c r="E1923">
        <v>105000</v>
      </c>
      <c r="F1923">
        <v>16800</v>
      </c>
      <c r="G1923">
        <v>0</v>
      </c>
      <c r="H1923">
        <v>0</v>
      </c>
      <c r="I1923">
        <v>38</v>
      </c>
      <c r="J1923">
        <v>121800</v>
      </c>
      <c r="K1923" t="s">
        <v>4043</v>
      </c>
      <c r="L1923" s="1">
        <v>41230</v>
      </c>
      <c r="N1923" t="s">
        <v>36</v>
      </c>
      <c r="O1923" t="s">
        <v>37</v>
      </c>
      <c r="P1923" t="s">
        <v>334</v>
      </c>
      <c r="Q1923" t="s">
        <v>39</v>
      </c>
      <c r="R1923" t="s">
        <v>40</v>
      </c>
      <c r="S1923">
        <v>0</v>
      </c>
      <c r="U1923" t="s">
        <v>41</v>
      </c>
      <c r="V1923" t="s">
        <v>42</v>
      </c>
      <c r="X1923" t="s">
        <v>74</v>
      </c>
      <c r="Y1923" t="b">
        <v>0</v>
      </c>
      <c r="Z1923" t="b">
        <v>0</v>
      </c>
      <c r="AC1923" s="1"/>
      <c r="AF1923">
        <v>0</v>
      </c>
      <c r="AG1923">
        <v>45</v>
      </c>
      <c r="AH1923">
        <v>83</v>
      </c>
      <c r="AI1923" s="2">
        <f>Table__192.168.3.138DYLAgingReport[[#This Row],[NetAmount]]-Table__192.168.3.138DYLAgingReport[[#This Row],[Paid]]</f>
        <v>121800</v>
      </c>
    </row>
    <row r="1924" spans="1:35">
      <c r="A1924" t="s">
        <v>4044</v>
      </c>
      <c r="B1924" s="1">
        <v>41220</v>
      </c>
      <c r="C1924" s="1">
        <v>41220</v>
      </c>
      <c r="D1924" t="s">
        <v>291</v>
      </c>
      <c r="E1924">
        <v>26575</v>
      </c>
      <c r="F1924">
        <v>4252</v>
      </c>
      <c r="G1924">
        <v>0</v>
      </c>
      <c r="H1924">
        <v>0</v>
      </c>
      <c r="I1924">
        <v>49</v>
      </c>
      <c r="J1924">
        <v>30827</v>
      </c>
      <c r="K1924" t="s">
        <v>4045</v>
      </c>
      <c r="L1924" s="1">
        <v>41219</v>
      </c>
      <c r="N1924" t="s">
        <v>36</v>
      </c>
      <c r="O1924" t="s">
        <v>37</v>
      </c>
      <c r="P1924" t="s">
        <v>428</v>
      </c>
      <c r="Q1924" t="s">
        <v>39</v>
      </c>
      <c r="R1924" t="s">
        <v>40</v>
      </c>
      <c r="S1924">
        <v>0</v>
      </c>
      <c r="U1924" t="s">
        <v>41</v>
      </c>
      <c r="V1924" t="s">
        <v>42</v>
      </c>
      <c r="X1924" t="s">
        <v>74</v>
      </c>
      <c r="Y1924" t="b">
        <v>0</v>
      </c>
      <c r="Z1924" t="b">
        <v>0</v>
      </c>
      <c r="AC1924" s="1"/>
      <c r="AF1924">
        <v>0</v>
      </c>
      <c r="AG1924">
        <v>45</v>
      </c>
      <c r="AH1924">
        <v>94</v>
      </c>
      <c r="AI1924" s="2">
        <f>Table__192.168.3.138DYLAgingReport[[#This Row],[NetAmount]]-Table__192.168.3.138DYLAgingReport[[#This Row],[Paid]]</f>
        <v>30827</v>
      </c>
    </row>
    <row r="1925" spans="1:35">
      <c r="A1925" t="s">
        <v>4046</v>
      </c>
      <c r="B1925" s="1">
        <v>41219</v>
      </c>
      <c r="C1925" s="1">
        <v>41219</v>
      </c>
      <c r="D1925" t="s">
        <v>291</v>
      </c>
      <c r="E1925">
        <v>52500</v>
      </c>
      <c r="F1925">
        <v>8400</v>
      </c>
      <c r="G1925">
        <v>0</v>
      </c>
      <c r="H1925">
        <v>0</v>
      </c>
      <c r="I1925">
        <v>50</v>
      </c>
      <c r="J1925">
        <v>60900</v>
      </c>
      <c r="K1925" t="s">
        <v>4047</v>
      </c>
      <c r="L1925" s="1">
        <v>41218</v>
      </c>
      <c r="N1925" t="s">
        <v>36</v>
      </c>
      <c r="O1925" t="s">
        <v>37</v>
      </c>
      <c r="P1925" t="s">
        <v>428</v>
      </c>
      <c r="Q1925" t="s">
        <v>39</v>
      </c>
      <c r="R1925" t="s">
        <v>40</v>
      </c>
      <c r="S1925">
        <v>0</v>
      </c>
      <c r="U1925" t="s">
        <v>41</v>
      </c>
      <c r="V1925" t="s">
        <v>42</v>
      </c>
      <c r="X1925" t="s">
        <v>74</v>
      </c>
      <c r="Y1925" t="b">
        <v>0</v>
      </c>
      <c r="Z1925" t="b">
        <v>0</v>
      </c>
      <c r="AC1925" s="1"/>
      <c r="AF1925">
        <v>0</v>
      </c>
      <c r="AG1925">
        <v>45</v>
      </c>
      <c r="AH1925">
        <v>95</v>
      </c>
      <c r="AI1925" s="2">
        <f>Table__192.168.3.138DYLAgingReport[[#This Row],[NetAmount]]-Table__192.168.3.138DYLAgingReport[[#This Row],[Paid]]</f>
        <v>60900</v>
      </c>
    </row>
    <row r="1926" spans="1:35">
      <c r="A1926" t="s">
        <v>4048</v>
      </c>
      <c r="B1926" s="1">
        <v>41215</v>
      </c>
      <c r="C1926" s="1">
        <v>41215</v>
      </c>
      <c r="D1926" t="s">
        <v>291</v>
      </c>
      <c r="E1926">
        <v>31575</v>
      </c>
      <c r="F1926">
        <v>5052</v>
      </c>
      <c r="G1926">
        <v>0</v>
      </c>
      <c r="H1926">
        <v>0</v>
      </c>
      <c r="I1926">
        <v>54</v>
      </c>
      <c r="J1926">
        <v>36627</v>
      </c>
      <c r="K1926" t="s">
        <v>4049</v>
      </c>
      <c r="L1926" s="1">
        <v>41214</v>
      </c>
      <c r="N1926" t="s">
        <v>36</v>
      </c>
      <c r="O1926" t="s">
        <v>37</v>
      </c>
      <c r="P1926" t="s">
        <v>428</v>
      </c>
      <c r="Q1926" t="s">
        <v>39</v>
      </c>
      <c r="R1926" t="s">
        <v>40</v>
      </c>
      <c r="S1926">
        <v>0</v>
      </c>
      <c r="U1926" t="s">
        <v>41</v>
      </c>
      <c r="V1926" t="s">
        <v>42</v>
      </c>
      <c r="X1926" t="s">
        <v>74</v>
      </c>
      <c r="Y1926" t="b">
        <v>0</v>
      </c>
      <c r="Z1926" t="b">
        <v>0</v>
      </c>
      <c r="AC1926" s="1"/>
      <c r="AF1926">
        <v>0</v>
      </c>
      <c r="AG1926">
        <v>45</v>
      </c>
      <c r="AH1926">
        <v>99</v>
      </c>
      <c r="AI1926" s="2">
        <f>Table__192.168.3.138DYLAgingReport[[#This Row],[NetAmount]]-Table__192.168.3.138DYLAgingReport[[#This Row],[Paid]]</f>
        <v>36627</v>
      </c>
    </row>
    <row r="1927" spans="1:35">
      <c r="A1927" t="s">
        <v>4050</v>
      </c>
      <c r="B1927" s="1">
        <v>41228</v>
      </c>
      <c r="C1927" s="1">
        <v>41228</v>
      </c>
      <c r="D1927" t="s">
        <v>291</v>
      </c>
      <c r="E1927">
        <v>19550</v>
      </c>
      <c r="F1927">
        <v>3128</v>
      </c>
      <c r="G1927">
        <v>0</v>
      </c>
      <c r="H1927">
        <v>0</v>
      </c>
      <c r="I1927">
        <v>41</v>
      </c>
      <c r="J1927">
        <v>22678</v>
      </c>
      <c r="K1927" t="s">
        <v>4051</v>
      </c>
      <c r="L1927" s="1">
        <v>41227</v>
      </c>
      <c r="N1927" t="s">
        <v>36</v>
      </c>
      <c r="O1927" t="s">
        <v>37</v>
      </c>
      <c r="P1927" t="s">
        <v>428</v>
      </c>
      <c r="Q1927" t="s">
        <v>39</v>
      </c>
      <c r="R1927" t="s">
        <v>40</v>
      </c>
      <c r="S1927">
        <v>0</v>
      </c>
      <c r="U1927" t="s">
        <v>41</v>
      </c>
      <c r="V1927" t="s">
        <v>42</v>
      </c>
      <c r="X1927" t="s">
        <v>74</v>
      </c>
      <c r="Y1927" t="b">
        <v>0</v>
      </c>
      <c r="Z1927" t="b">
        <v>0</v>
      </c>
      <c r="AC1927" s="1"/>
      <c r="AF1927">
        <v>0</v>
      </c>
      <c r="AG1927">
        <v>45</v>
      </c>
      <c r="AH1927">
        <v>86</v>
      </c>
      <c r="AI1927" s="2">
        <f>Table__192.168.3.138DYLAgingReport[[#This Row],[NetAmount]]-Table__192.168.3.138DYLAgingReport[[#This Row],[Paid]]</f>
        <v>22678</v>
      </c>
    </row>
    <row r="1928" spans="1:35">
      <c r="A1928" t="s">
        <v>4052</v>
      </c>
      <c r="B1928" s="1">
        <v>41229</v>
      </c>
      <c r="C1928" s="1">
        <v>41229</v>
      </c>
      <c r="D1928" t="s">
        <v>291</v>
      </c>
      <c r="E1928">
        <v>20575</v>
      </c>
      <c r="F1928">
        <v>3292</v>
      </c>
      <c r="G1928">
        <v>0</v>
      </c>
      <c r="H1928">
        <v>0</v>
      </c>
      <c r="I1928">
        <v>40</v>
      </c>
      <c r="J1928">
        <v>23867</v>
      </c>
      <c r="K1928" t="s">
        <v>4053</v>
      </c>
      <c r="L1928" s="1">
        <v>41228</v>
      </c>
      <c r="N1928" t="s">
        <v>36</v>
      </c>
      <c r="O1928" t="s">
        <v>37</v>
      </c>
      <c r="P1928" t="s">
        <v>428</v>
      </c>
      <c r="Q1928" t="s">
        <v>39</v>
      </c>
      <c r="R1928" t="s">
        <v>40</v>
      </c>
      <c r="S1928">
        <v>0</v>
      </c>
      <c r="U1928" t="s">
        <v>41</v>
      </c>
      <c r="V1928" t="s">
        <v>42</v>
      </c>
      <c r="X1928" t="s">
        <v>74</v>
      </c>
      <c r="Y1928" t="b">
        <v>0</v>
      </c>
      <c r="Z1928" t="b">
        <v>0</v>
      </c>
      <c r="AC1928" s="1"/>
      <c r="AF1928">
        <v>0</v>
      </c>
      <c r="AG1928">
        <v>45</v>
      </c>
      <c r="AH1928">
        <v>85</v>
      </c>
      <c r="AI1928" s="2">
        <f>Table__192.168.3.138DYLAgingReport[[#This Row],[NetAmount]]-Table__192.168.3.138DYLAgingReport[[#This Row],[Paid]]</f>
        <v>23867</v>
      </c>
    </row>
    <row r="1929" spans="1:35">
      <c r="A1929" t="s">
        <v>4054</v>
      </c>
      <c r="B1929" s="1">
        <v>41226</v>
      </c>
      <c r="C1929" s="1">
        <v>41226</v>
      </c>
      <c r="D1929" t="s">
        <v>291</v>
      </c>
      <c r="E1929">
        <v>11750</v>
      </c>
      <c r="F1929">
        <v>1880</v>
      </c>
      <c r="G1929">
        <v>0</v>
      </c>
      <c r="H1929">
        <v>0</v>
      </c>
      <c r="I1929">
        <v>42</v>
      </c>
      <c r="J1929">
        <v>13630</v>
      </c>
      <c r="K1929" t="s">
        <v>4055</v>
      </c>
      <c r="L1929" s="1">
        <v>41226</v>
      </c>
      <c r="N1929" t="s">
        <v>36</v>
      </c>
      <c r="O1929" t="s">
        <v>37</v>
      </c>
      <c r="P1929" t="s">
        <v>428</v>
      </c>
      <c r="Q1929" t="s">
        <v>39</v>
      </c>
      <c r="R1929" t="s">
        <v>40</v>
      </c>
      <c r="S1929">
        <v>0</v>
      </c>
      <c r="U1929" t="s">
        <v>41</v>
      </c>
      <c r="V1929" t="s">
        <v>42</v>
      </c>
      <c r="X1929" t="s">
        <v>74</v>
      </c>
      <c r="Y1929" t="b">
        <v>0</v>
      </c>
      <c r="Z1929" t="b">
        <v>0</v>
      </c>
      <c r="AC1929" s="1"/>
      <c r="AF1929">
        <v>0</v>
      </c>
      <c r="AG1929">
        <v>45</v>
      </c>
      <c r="AH1929">
        <v>87</v>
      </c>
      <c r="AI1929" s="2">
        <f>Table__192.168.3.138DYLAgingReport[[#This Row],[NetAmount]]-Table__192.168.3.138DYLAgingReport[[#This Row],[Paid]]</f>
        <v>13630</v>
      </c>
    </row>
    <row r="1930" spans="1:35">
      <c r="A1930" t="s">
        <v>4056</v>
      </c>
      <c r="B1930" s="1">
        <v>41230</v>
      </c>
      <c r="C1930" s="1">
        <v>41275</v>
      </c>
      <c r="D1930" t="s">
        <v>239</v>
      </c>
      <c r="E1930">
        <v>204378</v>
      </c>
      <c r="F1930">
        <v>32700</v>
      </c>
      <c r="G1930">
        <v>0</v>
      </c>
      <c r="H1930">
        <v>0</v>
      </c>
      <c r="I1930">
        <v>38</v>
      </c>
      <c r="J1930">
        <v>237078</v>
      </c>
      <c r="K1930" t="s">
        <v>4057</v>
      </c>
      <c r="L1930" s="1">
        <v>41230</v>
      </c>
      <c r="N1930" t="s">
        <v>36</v>
      </c>
      <c r="O1930" t="s">
        <v>37</v>
      </c>
      <c r="P1930" t="s">
        <v>376</v>
      </c>
      <c r="Q1930" t="s">
        <v>39</v>
      </c>
      <c r="R1930" t="s">
        <v>40</v>
      </c>
      <c r="S1930">
        <v>0</v>
      </c>
      <c r="U1930" t="s">
        <v>41</v>
      </c>
      <c r="V1930" t="s">
        <v>42</v>
      </c>
      <c r="X1930" t="s">
        <v>74</v>
      </c>
      <c r="Y1930" t="b">
        <v>0</v>
      </c>
      <c r="Z1930" t="b">
        <v>0</v>
      </c>
      <c r="AC1930" s="1"/>
      <c r="AF1930">
        <v>0</v>
      </c>
      <c r="AG1930">
        <v>45</v>
      </c>
      <c r="AH1930">
        <v>83</v>
      </c>
      <c r="AI1930" s="2">
        <f>Table__192.168.3.138DYLAgingReport[[#This Row],[NetAmount]]-Table__192.168.3.138DYLAgingReport[[#This Row],[Paid]]</f>
        <v>237078</v>
      </c>
    </row>
    <row r="1931" spans="1:35">
      <c r="A1931" t="s">
        <v>4058</v>
      </c>
      <c r="B1931" s="1">
        <v>41229</v>
      </c>
      <c r="C1931" s="1">
        <v>41274</v>
      </c>
      <c r="D1931" t="s">
        <v>257</v>
      </c>
      <c r="E1931">
        <v>29100</v>
      </c>
      <c r="F1931">
        <v>4656</v>
      </c>
      <c r="G1931">
        <v>0</v>
      </c>
      <c r="H1931">
        <v>0</v>
      </c>
      <c r="I1931">
        <v>40</v>
      </c>
      <c r="J1931">
        <v>33756</v>
      </c>
      <c r="K1931" t="s">
        <v>4059</v>
      </c>
      <c r="L1931" s="1">
        <v>41228</v>
      </c>
      <c r="N1931" t="s">
        <v>36</v>
      </c>
      <c r="O1931" t="s">
        <v>37</v>
      </c>
      <c r="P1931" t="s">
        <v>394</v>
      </c>
      <c r="Q1931" t="s">
        <v>39</v>
      </c>
      <c r="R1931" t="s">
        <v>40</v>
      </c>
      <c r="S1931">
        <v>0</v>
      </c>
      <c r="U1931" t="s">
        <v>41</v>
      </c>
      <c r="V1931" t="s">
        <v>42</v>
      </c>
      <c r="X1931" t="s">
        <v>74</v>
      </c>
      <c r="Y1931" t="b">
        <v>0</v>
      </c>
      <c r="Z1931" t="b">
        <v>0</v>
      </c>
      <c r="AC1931" s="1"/>
      <c r="AF1931">
        <v>0</v>
      </c>
      <c r="AG1931">
        <v>45</v>
      </c>
      <c r="AH1931">
        <v>85</v>
      </c>
      <c r="AI1931" s="2">
        <f>Table__192.168.3.138DYLAgingReport[[#This Row],[NetAmount]]-Table__192.168.3.138DYLAgingReport[[#This Row],[Paid]]</f>
        <v>33756</v>
      </c>
    </row>
    <row r="1932" spans="1:35">
      <c r="A1932" t="s">
        <v>4060</v>
      </c>
      <c r="B1932" s="1">
        <v>41229</v>
      </c>
      <c r="C1932" s="1">
        <v>41274</v>
      </c>
      <c r="D1932" t="s">
        <v>257</v>
      </c>
      <c r="E1932">
        <v>64000</v>
      </c>
      <c r="F1932">
        <v>10240</v>
      </c>
      <c r="G1932">
        <v>0</v>
      </c>
      <c r="H1932">
        <v>0</v>
      </c>
      <c r="I1932">
        <v>38</v>
      </c>
      <c r="J1932">
        <v>74240</v>
      </c>
      <c r="K1932" t="s">
        <v>4061</v>
      </c>
      <c r="L1932" s="1">
        <v>41230</v>
      </c>
      <c r="N1932" t="s">
        <v>36</v>
      </c>
      <c r="O1932" t="s">
        <v>37</v>
      </c>
      <c r="P1932" t="s">
        <v>394</v>
      </c>
      <c r="Q1932" t="s">
        <v>39</v>
      </c>
      <c r="R1932" t="s">
        <v>40</v>
      </c>
      <c r="S1932">
        <v>0</v>
      </c>
      <c r="U1932" t="s">
        <v>41</v>
      </c>
      <c r="V1932" t="s">
        <v>42</v>
      </c>
      <c r="X1932" t="s">
        <v>74</v>
      </c>
      <c r="Y1932" t="b">
        <v>0</v>
      </c>
      <c r="Z1932" t="b">
        <v>0</v>
      </c>
      <c r="AC1932" s="1"/>
      <c r="AF1932">
        <v>0</v>
      </c>
      <c r="AG1932">
        <v>45</v>
      </c>
      <c r="AH1932">
        <v>83</v>
      </c>
      <c r="AI1932" s="2">
        <f>Table__192.168.3.138DYLAgingReport[[#This Row],[NetAmount]]-Table__192.168.3.138DYLAgingReport[[#This Row],[Paid]]</f>
        <v>74240</v>
      </c>
    </row>
    <row r="1933" spans="1:35">
      <c r="A1933" t="s">
        <v>4062</v>
      </c>
      <c r="B1933" s="1">
        <v>41225</v>
      </c>
      <c r="C1933" s="1">
        <v>41270</v>
      </c>
      <c r="D1933" t="s">
        <v>257</v>
      </c>
      <c r="E1933">
        <v>96000</v>
      </c>
      <c r="F1933">
        <v>15360</v>
      </c>
      <c r="G1933">
        <v>0</v>
      </c>
      <c r="H1933">
        <v>0</v>
      </c>
      <c r="I1933">
        <v>46</v>
      </c>
      <c r="J1933">
        <v>111360</v>
      </c>
      <c r="K1933" t="s">
        <v>3728</v>
      </c>
      <c r="L1933" s="1">
        <v>41222</v>
      </c>
      <c r="N1933" t="s">
        <v>36</v>
      </c>
      <c r="O1933" t="s">
        <v>37</v>
      </c>
      <c r="P1933" t="s">
        <v>394</v>
      </c>
      <c r="Q1933" t="s">
        <v>39</v>
      </c>
      <c r="R1933" t="s">
        <v>40</v>
      </c>
      <c r="S1933">
        <v>0</v>
      </c>
      <c r="U1933" t="s">
        <v>41</v>
      </c>
      <c r="V1933" t="s">
        <v>42</v>
      </c>
      <c r="X1933" t="s">
        <v>74</v>
      </c>
      <c r="Y1933" t="b">
        <v>0</v>
      </c>
      <c r="Z1933" t="b">
        <v>0</v>
      </c>
      <c r="AC1933" s="1"/>
      <c r="AF1933">
        <v>0</v>
      </c>
      <c r="AG1933">
        <v>45</v>
      </c>
      <c r="AH1933">
        <v>91</v>
      </c>
      <c r="AI1933" s="2">
        <f>Table__192.168.3.138DYLAgingReport[[#This Row],[NetAmount]]-Table__192.168.3.138DYLAgingReport[[#This Row],[Paid]]</f>
        <v>111360</v>
      </c>
    </row>
    <row r="1934" spans="1:35">
      <c r="A1934" t="s">
        <v>4063</v>
      </c>
      <c r="B1934" s="1">
        <v>41230</v>
      </c>
      <c r="C1934" s="1">
        <v>41230</v>
      </c>
      <c r="D1934" t="s">
        <v>293</v>
      </c>
      <c r="E1934">
        <v>680000</v>
      </c>
      <c r="F1934">
        <v>108800</v>
      </c>
      <c r="G1934">
        <v>0</v>
      </c>
      <c r="H1934">
        <v>0</v>
      </c>
      <c r="I1934">
        <v>38</v>
      </c>
      <c r="J1934">
        <v>788800</v>
      </c>
      <c r="K1934" t="s">
        <v>4064</v>
      </c>
      <c r="L1934" s="1">
        <v>41230</v>
      </c>
      <c r="N1934" t="s">
        <v>36</v>
      </c>
      <c r="O1934" t="s">
        <v>37</v>
      </c>
      <c r="P1934" t="s">
        <v>430</v>
      </c>
      <c r="Q1934" t="s">
        <v>39</v>
      </c>
      <c r="R1934" t="s">
        <v>40</v>
      </c>
      <c r="S1934">
        <v>0</v>
      </c>
      <c r="U1934" t="s">
        <v>41</v>
      </c>
      <c r="V1934" t="s">
        <v>42</v>
      </c>
      <c r="X1934" t="s">
        <v>74</v>
      </c>
      <c r="Y1934" t="b">
        <v>0</v>
      </c>
      <c r="Z1934" t="b">
        <v>0</v>
      </c>
      <c r="AB1934" t="s">
        <v>3689</v>
      </c>
      <c r="AC1934" s="1">
        <v>41283</v>
      </c>
      <c r="AE1934" t="s">
        <v>3146</v>
      </c>
      <c r="AF1934">
        <v>0</v>
      </c>
      <c r="AG1934">
        <v>45</v>
      </c>
      <c r="AH1934">
        <v>83</v>
      </c>
      <c r="AI1934" s="2">
        <f>Table__192.168.3.138DYLAgingReport[[#This Row],[NetAmount]]-Table__192.168.3.138DYLAgingReport[[#This Row],[Paid]]</f>
        <v>788800</v>
      </c>
    </row>
    <row r="1935" spans="1:35">
      <c r="A1935" t="s">
        <v>4065</v>
      </c>
      <c r="B1935" s="1">
        <v>41232</v>
      </c>
      <c r="C1935" s="1">
        <v>41262</v>
      </c>
      <c r="D1935" t="s">
        <v>270</v>
      </c>
      <c r="E1935">
        <v>55000</v>
      </c>
      <c r="F1935">
        <v>8800</v>
      </c>
      <c r="G1935">
        <v>0</v>
      </c>
      <c r="H1935">
        <v>0</v>
      </c>
      <c r="I1935">
        <v>51</v>
      </c>
      <c r="J1935">
        <v>63800</v>
      </c>
      <c r="K1935" t="s">
        <v>1088</v>
      </c>
      <c r="L1935" s="1">
        <v>41232</v>
      </c>
      <c r="N1935" t="s">
        <v>36</v>
      </c>
      <c r="O1935" t="s">
        <v>37</v>
      </c>
      <c r="P1935" t="s">
        <v>407</v>
      </c>
      <c r="Q1935" t="s">
        <v>39</v>
      </c>
      <c r="R1935" t="s">
        <v>40</v>
      </c>
      <c r="S1935">
        <v>0</v>
      </c>
      <c r="U1935" t="s">
        <v>41</v>
      </c>
      <c r="V1935" t="s">
        <v>42</v>
      </c>
      <c r="X1935" t="s">
        <v>74</v>
      </c>
      <c r="Y1935" t="b">
        <v>0</v>
      </c>
      <c r="Z1935" t="b">
        <v>0</v>
      </c>
      <c r="AC1935" s="1"/>
      <c r="AF1935">
        <v>0</v>
      </c>
      <c r="AG1935">
        <v>30</v>
      </c>
      <c r="AH1935">
        <v>81</v>
      </c>
      <c r="AI1935" s="2">
        <f>Table__192.168.3.138DYLAgingReport[[#This Row],[NetAmount]]-Table__192.168.3.138DYLAgingReport[[#This Row],[Paid]]</f>
        <v>63800</v>
      </c>
    </row>
    <row r="1936" spans="1:35">
      <c r="A1936" t="s">
        <v>4066</v>
      </c>
      <c r="B1936" s="1">
        <v>41215</v>
      </c>
      <c r="C1936" s="1">
        <v>41260</v>
      </c>
      <c r="D1936" t="s">
        <v>258</v>
      </c>
      <c r="E1936">
        <v>41850</v>
      </c>
      <c r="F1936">
        <v>6696</v>
      </c>
      <c r="G1936">
        <v>0</v>
      </c>
      <c r="H1936">
        <v>0</v>
      </c>
      <c r="I1936">
        <v>54</v>
      </c>
      <c r="J1936">
        <v>48546</v>
      </c>
      <c r="K1936" t="s">
        <v>1078</v>
      </c>
      <c r="L1936" s="1">
        <v>41214</v>
      </c>
      <c r="N1936" t="s">
        <v>36</v>
      </c>
      <c r="O1936" t="s">
        <v>37</v>
      </c>
      <c r="P1936" t="s">
        <v>395</v>
      </c>
      <c r="Q1936" t="s">
        <v>39</v>
      </c>
      <c r="R1936" t="s">
        <v>40</v>
      </c>
      <c r="S1936">
        <v>0</v>
      </c>
      <c r="U1936" t="s">
        <v>41</v>
      </c>
      <c r="V1936" t="s">
        <v>42</v>
      </c>
      <c r="X1936" t="s">
        <v>74</v>
      </c>
      <c r="Y1936" t="b">
        <v>0</v>
      </c>
      <c r="Z1936" t="b">
        <v>0</v>
      </c>
      <c r="AC1936" s="1"/>
      <c r="AF1936">
        <v>0</v>
      </c>
      <c r="AG1936">
        <v>45</v>
      </c>
      <c r="AH1936">
        <v>99</v>
      </c>
      <c r="AI1936" s="2">
        <f>Table__192.168.3.138DYLAgingReport[[#This Row],[NetAmount]]-Table__192.168.3.138DYLAgingReport[[#This Row],[Paid]]</f>
        <v>48546</v>
      </c>
    </row>
    <row r="1937" spans="1:35">
      <c r="A1937" t="s">
        <v>4067</v>
      </c>
      <c r="B1937" s="1">
        <v>41228</v>
      </c>
      <c r="C1937" s="1">
        <v>41273</v>
      </c>
      <c r="D1937" t="s">
        <v>227</v>
      </c>
      <c r="E1937">
        <v>90000</v>
      </c>
      <c r="F1937">
        <v>14400</v>
      </c>
      <c r="G1937">
        <v>0</v>
      </c>
      <c r="H1937">
        <v>0</v>
      </c>
      <c r="I1937">
        <v>40</v>
      </c>
      <c r="J1937">
        <v>104400</v>
      </c>
      <c r="K1937" t="s">
        <v>4068</v>
      </c>
      <c r="L1937" s="1">
        <v>41228</v>
      </c>
      <c r="N1937" t="s">
        <v>36</v>
      </c>
      <c r="O1937" t="s">
        <v>37</v>
      </c>
      <c r="P1937" t="s">
        <v>364</v>
      </c>
      <c r="Q1937" t="s">
        <v>39</v>
      </c>
      <c r="R1937" t="s">
        <v>40</v>
      </c>
      <c r="S1937">
        <v>0</v>
      </c>
      <c r="U1937" t="s">
        <v>41</v>
      </c>
      <c r="V1937" t="s">
        <v>42</v>
      </c>
      <c r="X1937" t="s">
        <v>74</v>
      </c>
      <c r="Y1937" t="b">
        <v>0</v>
      </c>
      <c r="Z1937" t="b">
        <v>0</v>
      </c>
      <c r="AC1937" s="1"/>
      <c r="AF1937">
        <v>0</v>
      </c>
      <c r="AG1937">
        <v>45</v>
      </c>
      <c r="AH1937">
        <v>85</v>
      </c>
      <c r="AI1937" s="2">
        <f>Table__192.168.3.138DYLAgingReport[[#This Row],[NetAmount]]-Table__192.168.3.138DYLAgingReport[[#This Row],[Paid]]</f>
        <v>104400</v>
      </c>
    </row>
    <row r="1938" spans="1:35">
      <c r="A1938" t="s">
        <v>4069</v>
      </c>
      <c r="B1938" s="1">
        <v>41230</v>
      </c>
      <c r="C1938" s="1">
        <v>41275</v>
      </c>
      <c r="D1938" t="s">
        <v>227</v>
      </c>
      <c r="E1938">
        <v>430000</v>
      </c>
      <c r="F1938">
        <v>68800</v>
      </c>
      <c r="G1938">
        <v>0</v>
      </c>
      <c r="H1938">
        <v>0</v>
      </c>
      <c r="I1938">
        <v>38</v>
      </c>
      <c r="J1938">
        <v>498800</v>
      </c>
      <c r="K1938" t="s">
        <v>4070</v>
      </c>
      <c r="L1938" s="1">
        <v>41230</v>
      </c>
      <c r="N1938" t="s">
        <v>36</v>
      </c>
      <c r="O1938" t="s">
        <v>37</v>
      </c>
      <c r="P1938" t="s">
        <v>364</v>
      </c>
      <c r="Q1938" t="s">
        <v>39</v>
      </c>
      <c r="R1938" t="s">
        <v>40</v>
      </c>
      <c r="S1938">
        <v>0</v>
      </c>
      <c r="U1938" t="s">
        <v>41</v>
      </c>
      <c r="V1938" t="s">
        <v>42</v>
      </c>
      <c r="X1938" t="s">
        <v>74</v>
      </c>
      <c r="Y1938" t="b">
        <v>0</v>
      </c>
      <c r="Z1938" t="b">
        <v>0</v>
      </c>
      <c r="AC1938" s="1"/>
      <c r="AF1938">
        <v>0</v>
      </c>
      <c r="AG1938">
        <v>45</v>
      </c>
      <c r="AH1938">
        <v>83</v>
      </c>
      <c r="AI1938" s="2">
        <f>Table__192.168.3.138DYLAgingReport[[#This Row],[NetAmount]]-Table__192.168.3.138DYLAgingReport[[#This Row],[Paid]]</f>
        <v>498800</v>
      </c>
    </row>
    <row r="1939" spans="1:35">
      <c r="A1939" t="s">
        <v>4071</v>
      </c>
      <c r="B1939" s="1">
        <v>41216</v>
      </c>
      <c r="C1939" s="1">
        <v>41261</v>
      </c>
      <c r="D1939" t="s">
        <v>271</v>
      </c>
      <c r="E1939">
        <v>89700</v>
      </c>
      <c r="F1939">
        <v>14352</v>
      </c>
      <c r="G1939">
        <v>0</v>
      </c>
      <c r="H1939">
        <v>0</v>
      </c>
      <c r="I1939">
        <v>53</v>
      </c>
      <c r="J1939">
        <v>104052</v>
      </c>
      <c r="K1939" t="s">
        <v>1570</v>
      </c>
      <c r="L1939" s="1">
        <v>41215</v>
      </c>
      <c r="N1939" t="s">
        <v>36</v>
      </c>
      <c r="O1939" t="s">
        <v>37</v>
      </c>
      <c r="P1939" t="s">
        <v>408</v>
      </c>
      <c r="Q1939" t="s">
        <v>39</v>
      </c>
      <c r="R1939" t="s">
        <v>40</v>
      </c>
      <c r="S1939">
        <v>0</v>
      </c>
      <c r="U1939" t="s">
        <v>41</v>
      </c>
      <c r="V1939" t="s">
        <v>42</v>
      </c>
      <c r="X1939" t="s">
        <v>74</v>
      </c>
      <c r="Y1939" t="b">
        <v>0</v>
      </c>
      <c r="Z1939" t="b">
        <v>0</v>
      </c>
      <c r="AB1939" t="s">
        <v>3737</v>
      </c>
      <c r="AC1939" s="1">
        <v>41311</v>
      </c>
      <c r="AF1939">
        <v>0</v>
      </c>
      <c r="AG1939">
        <v>45</v>
      </c>
      <c r="AH1939">
        <v>98</v>
      </c>
      <c r="AI1939" s="2">
        <f>Table__192.168.3.138DYLAgingReport[[#This Row],[NetAmount]]-Table__192.168.3.138DYLAgingReport[[#This Row],[Paid]]</f>
        <v>104052</v>
      </c>
    </row>
    <row r="1940" spans="1:35">
      <c r="A1940" t="s">
        <v>4072</v>
      </c>
      <c r="B1940" s="1">
        <v>41219</v>
      </c>
      <c r="C1940" s="1">
        <v>41264</v>
      </c>
      <c r="D1940" t="s">
        <v>271</v>
      </c>
      <c r="E1940">
        <v>26796</v>
      </c>
      <c r="F1940">
        <v>4287</v>
      </c>
      <c r="G1940">
        <v>0</v>
      </c>
      <c r="H1940">
        <v>0</v>
      </c>
      <c r="I1940">
        <v>49</v>
      </c>
      <c r="J1940">
        <v>31083</v>
      </c>
      <c r="K1940" t="s">
        <v>1602</v>
      </c>
      <c r="L1940" s="1">
        <v>41219</v>
      </c>
      <c r="N1940" t="s">
        <v>36</v>
      </c>
      <c r="O1940" t="s">
        <v>37</v>
      </c>
      <c r="P1940" t="s">
        <v>408</v>
      </c>
      <c r="Q1940" t="s">
        <v>39</v>
      </c>
      <c r="R1940" t="s">
        <v>40</v>
      </c>
      <c r="S1940">
        <v>0</v>
      </c>
      <c r="U1940" t="s">
        <v>41</v>
      </c>
      <c r="V1940" t="s">
        <v>42</v>
      </c>
      <c r="X1940" t="s">
        <v>74</v>
      </c>
      <c r="Y1940" t="b">
        <v>0</v>
      </c>
      <c r="Z1940" t="b">
        <v>0</v>
      </c>
      <c r="AB1940" t="s">
        <v>3737</v>
      </c>
      <c r="AC1940" s="1">
        <v>41311</v>
      </c>
      <c r="AF1940">
        <v>0</v>
      </c>
      <c r="AG1940">
        <v>45</v>
      </c>
      <c r="AH1940">
        <v>94</v>
      </c>
      <c r="AI1940" s="2">
        <f>Table__192.168.3.138DYLAgingReport[[#This Row],[NetAmount]]-Table__192.168.3.138DYLAgingReport[[#This Row],[Paid]]</f>
        <v>31083</v>
      </c>
    </row>
    <row r="1941" spans="1:35">
      <c r="A1941" t="s">
        <v>4073</v>
      </c>
      <c r="B1941" s="1">
        <v>41219</v>
      </c>
      <c r="C1941" s="1">
        <v>41264</v>
      </c>
      <c r="D1941" t="s">
        <v>271</v>
      </c>
      <c r="E1941">
        <v>66940</v>
      </c>
      <c r="F1941">
        <v>10710</v>
      </c>
      <c r="G1941">
        <v>0</v>
      </c>
      <c r="H1941">
        <v>0</v>
      </c>
      <c r="I1941">
        <v>49</v>
      </c>
      <c r="J1941">
        <v>77650</v>
      </c>
      <c r="K1941" t="s">
        <v>1572</v>
      </c>
      <c r="L1941" s="1">
        <v>41219</v>
      </c>
      <c r="N1941" t="s">
        <v>36</v>
      </c>
      <c r="O1941" t="s">
        <v>37</v>
      </c>
      <c r="P1941" t="s">
        <v>408</v>
      </c>
      <c r="Q1941" t="s">
        <v>39</v>
      </c>
      <c r="R1941" t="s">
        <v>40</v>
      </c>
      <c r="S1941">
        <v>0</v>
      </c>
      <c r="U1941" t="s">
        <v>41</v>
      </c>
      <c r="V1941" t="s">
        <v>42</v>
      </c>
      <c r="X1941" t="s">
        <v>74</v>
      </c>
      <c r="Y1941" t="b">
        <v>0</v>
      </c>
      <c r="Z1941" t="b">
        <v>0</v>
      </c>
      <c r="AB1941" t="s">
        <v>3737</v>
      </c>
      <c r="AC1941" s="1">
        <v>41311</v>
      </c>
      <c r="AF1941">
        <v>0</v>
      </c>
      <c r="AG1941">
        <v>45</v>
      </c>
      <c r="AH1941">
        <v>94</v>
      </c>
      <c r="AI1941" s="2">
        <f>Table__192.168.3.138DYLAgingReport[[#This Row],[NetAmount]]-Table__192.168.3.138DYLAgingReport[[#This Row],[Paid]]</f>
        <v>77650</v>
      </c>
    </row>
    <row r="1942" spans="1:35">
      <c r="A1942" t="s">
        <v>4074</v>
      </c>
      <c r="B1942" s="1">
        <v>41220</v>
      </c>
      <c r="C1942" s="1">
        <v>41265</v>
      </c>
      <c r="D1942" t="s">
        <v>271</v>
      </c>
      <c r="E1942">
        <v>24948</v>
      </c>
      <c r="F1942">
        <v>3992</v>
      </c>
      <c r="G1942">
        <v>0</v>
      </c>
      <c r="H1942">
        <v>0</v>
      </c>
      <c r="I1942">
        <v>48</v>
      </c>
      <c r="J1942">
        <v>28940</v>
      </c>
      <c r="K1942" t="s">
        <v>4075</v>
      </c>
      <c r="L1942" s="1">
        <v>41220</v>
      </c>
      <c r="N1942" t="s">
        <v>36</v>
      </c>
      <c r="O1942" t="s">
        <v>37</v>
      </c>
      <c r="P1942" t="s">
        <v>408</v>
      </c>
      <c r="Q1942" t="s">
        <v>39</v>
      </c>
      <c r="R1942" t="s">
        <v>40</v>
      </c>
      <c r="S1942">
        <v>0</v>
      </c>
      <c r="U1942" t="s">
        <v>41</v>
      </c>
      <c r="V1942" t="s">
        <v>42</v>
      </c>
      <c r="X1942" t="s">
        <v>74</v>
      </c>
      <c r="Y1942" t="b">
        <v>0</v>
      </c>
      <c r="Z1942" t="b">
        <v>0</v>
      </c>
      <c r="AC1942" s="1"/>
      <c r="AF1942">
        <v>0</v>
      </c>
      <c r="AG1942">
        <v>45</v>
      </c>
      <c r="AH1942">
        <v>93</v>
      </c>
      <c r="AI1942" s="2">
        <f>Table__192.168.3.138DYLAgingReport[[#This Row],[NetAmount]]-Table__192.168.3.138DYLAgingReport[[#This Row],[Paid]]</f>
        <v>28940</v>
      </c>
    </row>
    <row r="1943" spans="1:35">
      <c r="A1943" t="s">
        <v>4076</v>
      </c>
      <c r="B1943" s="1">
        <v>41225</v>
      </c>
      <c r="C1943" s="1">
        <v>41270</v>
      </c>
      <c r="D1943" t="s">
        <v>271</v>
      </c>
      <c r="E1943">
        <v>89570</v>
      </c>
      <c r="F1943">
        <v>14331</v>
      </c>
      <c r="G1943">
        <v>0</v>
      </c>
      <c r="H1943">
        <v>0</v>
      </c>
      <c r="I1943">
        <v>43</v>
      </c>
      <c r="J1943">
        <v>103901</v>
      </c>
      <c r="K1943" t="s">
        <v>4077</v>
      </c>
      <c r="L1943" s="1">
        <v>41225</v>
      </c>
      <c r="N1943" t="s">
        <v>36</v>
      </c>
      <c r="O1943" t="s">
        <v>37</v>
      </c>
      <c r="P1943" t="s">
        <v>408</v>
      </c>
      <c r="Q1943" t="s">
        <v>39</v>
      </c>
      <c r="R1943" t="s">
        <v>40</v>
      </c>
      <c r="S1943">
        <v>0</v>
      </c>
      <c r="U1943" t="s">
        <v>41</v>
      </c>
      <c r="V1943" t="s">
        <v>42</v>
      </c>
      <c r="X1943" t="s">
        <v>74</v>
      </c>
      <c r="Y1943" t="b">
        <v>0</v>
      </c>
      <c r="Z1943" t="b">
        <v>0</v>
      </c>
      <c r="AC1943" s="1"/>
      <c r="AF1943">
        <v>0</v>
      </c>
      <c r="AG1943">
        <v>45</v>
      </c>
      <c r="AH1943">
        <v>88</v>
      </c>
      <c r="AI1943" s="2">
        <f>Table__192.168.3.138DYLAgingReport[[#This Row],[NetAmount]]-Table__192.168.3.138DYLAgingReport[[#This Row],[Paid]]</f>
        <v>103901</v>
      </c>
    </row>
    <row r="1944" spans="1:35">
      <c r="A1944" t="s">
        <v>4078</v>
      </c>
      <c r="B1944" s="1">
        <v>41220</v>
      </c>
      <c r="C1944" s="1">
        <v>41265</v>
      </c>
      <c r="D1944" t="s">
        <v>271</v>
      </c>
      <c r="E1944">
        <v>7400</v>
      </c>
      <c r="F1944">
        <v>1184</v>
      </c>
      <c r="G1944">
        <v>0</v>
      </c>
      <c r="H1944">
        <v>0</v>
      </c>
      <c r="I1944">
        <v>48</v>
      </c>
      <c r="J1944">
        <v>8584</v>
      </c>
      <c r="K1944" t="s">
        <v>1604</v>
      </c>
      <c r="L1944" s="1">
        <v>41220</v>
      </c>
      <c r="N1944" t="s">
        <v>36</v>
      </c>
      <c r="O1944" t="s">
        <v>37</v>
      </c>
      <c r="P1944" t="s">
        <v>408</v>
      </c>
      <c r="Q1944" t="s">
        <v>39</v>
      </c>
      <c r="R1944" t="s">
        <v>40</v>
      </c>
      <c r="S1944">
        <v>0</v>
      </c>
      <c r="U1944" t="s">
        <v>41</v>
      </c>
      <c r="V1944" t="s">
        <v>42</v>
      </c>
      <c r="X1944" t="s">
        <v>74</v>
      </c>
      <c r="Y1944" t="b">
        <v>0</v>
      </c>
      <c r="Z1944" t="b">
        <v>0</v>
      </c>
      <c r="AC1944" s="1"/>
      <c r="AF1944">
        <v>0</v>
      </c>
      <c r="AG1944">
        <v>45</v>
      </c>
      <c r="AH1944">
        <v>93</v>
      </c>
      <c r="AI1944" s="2">
        <f>Table__192.168.3.138DYLAgingReport[[#This Row],[NetAmount]]-Table__192.168.3.138DYLAgingReport[[#This Row],[Paid]]</f>
        <v>8584</v>
      </c>
    </row>
    <row r="1945" spans="1:35">
      <c r="A1945" t="s">
        <v>4079</v>
      </c>
      <c r="B1945" s="1">
        <v>41223</v>
      </c>
      <c r="C1945" s="1">
        <v>41268</v>
      </c>
      <c r="D1945" t="s">
        <v>271</v>
      </c>
      <c r="E1945">
        <v>14800</v>
      </c>
      <c r="F1945">
        <v>2368</v>
      </c>
      <c r="G1945">
        <v>0</v>
      </c>
      <c r="H1945">
        <v>0</v>
      </c>
      <c r="I1945">
        <v>32</v>
      </c>
      <c r="J1945">
        <v>17168</v>
      </c>
      <c r="K1945" t="s">
        <v>3565</v>
      </c>
      <c r="L1945" s="1">
        <v>41236</v>
      </c>
      <c r="N1945" t="s">
        <v>36</v>
      </c>
      <c r="O1945" t="s">
        <v>37</v>
      </c>
      <c r="P1945" t="s">
        <v>408</v>
      </c>
      <c r="Q1945" t="s">
        <v>39</v>
      </c>
      <c r="R1945" t="s">
        <v>40</v>
      </c>
      <c r="S1945">
        <v>0</v>
      </c>
      <c r="U1945" t="s">
        <v>41</v>
      </c>
      <c r="V1945" t="s">
        <v>42</v>
      </c>
      <c r="X1945" t="s">
        <v>74</v>
      </c>
      <c r="Y1945" t="b">
        <v>0</v>
      </c>
      <c r="Z1945" t="b">
        <v>0</v>
      </c>
      <c r="AC1945" s="1"/>
      <c r="AF1945">
        <v>0</v>
      </c>
      <c r="AG1945">
        <v>45</v>
      </c>
      <c r="AH1945">
        <v>77</v>
      </c>
      <c r="AI1945" s="2">
        <f>Table__192.168.3.138DYLAgingReport[[#This Row],[NetAmount]]-Table__192.168.3.138DYLAgingReport[[#This Row],[Paid]]</f>
        <v>17168</v>
      </c>
    </row>
    <row r="1946" spans="1:35">
      <c r="A1946" t="s">
        <v>4080</v>
      </c>
      <c r="B1946" s="1">
        <v>41232</v>
      </c>
      <c r="C1946" s="1">
        <v>41232</v>
      </c>
      <c r="D1946" t="s">
        <v>289</v>
      </c>
      <c r="E1946">
        <v>121600</v>
      </c>
      <c r="F1946">
        <v>19456</v>
      </c>
      <c r="G1946">
        <v>0</v>
      </c>
      <c r="H1946">
        <v>0</v>
      </c>
      <c r="I1946">
        <v>27</v>
      </c>
      <c r="J1946">
        <v>141056</v>
      </c>
      <c r="K1946" t="s">
        <v>4081</v>
      </c>
      <c r="L1946" s="1">
        <v>41241</v>
      </c>
      <c r="N1946" t="s">
        <v>36</v>
      </c>
      <c r="O1946" t="s">
        <v>37</v>
      </c>
      <c r="P1946" t="s">
        <v>426</v>
      </c>
      <c r="Q1946" t="s">
        <v>39</v>
      </c>
      <c r="R1946" t="s">
        <v>40</v>
      </c>
      <c r="S1946">
        <v>0</v>
      </c>
      <c r="U1946" t="s">
        <v>41</v>
      </c>
      <c r="V1946" t="s">
        <v>42</v>
      </c>
      <c r="X1946" t="s">
        <v>74</v>
      </c>
      <c r="Y1946" t="b">
        <v>0</v>
      </c>
      <c r="Z1946" t="b">
        <v>0</v>
      </c>
      <c r="AC1946" s="1"/>
      <c r="AF1946">
        <v>0</v>
      </c>
      <c r="AG1946">
        <v>45</v>
      </c>
      <c r="AH1946">
        <v>72</v>
      </c>
      <c r="AI1946" s="2">
        <f>Table__192.168.3.138DYLAgingReport[[#This Row],[NetAmount]]-Table__192.168.3.138DYLAgingReport[[#This Row],[Paid]]</f>
        <v>141056</v>
      </c>
    </row>
    <row r="1947" spans="1:35">
      <c r="A1947" t="s">
        <v>4082</v>
      </c>
      <c r="B1947" s="1">
        <v>41216</v>
      </c>
      <c r="C1947" s="1">
        <v>41261</v>
      </c>
      <c r="D1947" t="s">
        <v>231</v>
      </c>
      <c r="E1947">
        <v>355320</v>
      </c>
      <c r="F1947">
        <v>56851</v>
      </c>
      <c r="G1947">
        <v>0</v>
      </c>
      <c r="H1947">
        <v>0</v>
      </c>
      <c r="I1947">
        <v>52</v>
      </c>
      <c r="J1947">
        <v>412171</v>
      </c>
      <c r="K1947" t="s">
        <v>4006</v>
      </c>
      <c r="L1947" s="1">
        <v>41216</v>
      </c>
      <c r="N1947" t="s">
        <v>36</v>
      </c>
      <c r="O1947" t="s">
        <v>37</v>
      </c>
      <c r="P1947" t="s">
        <v>368</v>
      </c>
      <c r="Q1947" t="s">
        <v>39</v>
      </c>
      <c r="R1947" t="s">
        <v>40</v>
      </c>
      <c r="S1947">
        <v>0</v>
      </c>
      <c r="U1947" t="s">
        <v>41</v>
      </c>
      <c r="V1947" t="s">
        <v>42</v>
      </c>
      <c r="X1947" t="s">
        <v>74</v>
      </c>
      <c r="Y1947" t="b">
        <v>0</v>
      </c>
      <c r="Z1947" t="b">
        <v>0</v>
      </c>
      <c r="AC1947" s="1"/>
      <c r="AF1947">
        <v>0</v>
      </c>
      <c r="AG1947">
        <v>45</v>
      </c>
      <c r="AH1947">
        <v>97</v>
      </c>
      <c r="AI1947" s="2">
        <f>Table__192.168.3.138DYLAgingReport[[#This Row],[NetAmount]]-Table__192.168.3.138DYLAgingReport[[#This Row],[Paid]]</f>
        <v>412171</v>
      </c>
    </row>
    <row r="1948" spans="1:35">
      <c r="A1948" t="s">
        <v>4083</v>
      </c>
      <c r="B1948" s="1">
        <v>41223</v>
      </c>
      <c r="C1948" s="1">
        <v>41268</v>
      </c>
      <c r="D1948" t="s">
        <v>231</v>
      </c>
      <c r="E1948">
        <v>406080</v>
      </c>
      <c r="F1948">
        <v>64973</v>
      </c>
      <c r="G1948">
        <v>0</v>
      </c>
      <c r="H1948">
        <v>0</v>
      </c>
      <c r="I1948">
        <v>45</v>
      </c>
      <c r="J1948">
        <v>471053</v>
      </c>
      <c r="K1948" t="s">
        <v>4084</v>
      </c>
      <c r="L1948" s="1">
        <v>41223</v>
      </c>
      <c r="N1948" t="s">
        <v>36</v>
      </c>
      <c r="O1948" t="s">
        <v>37</v>
      </c>
      <c r="P1948" t="s">
        <v>368</v>
      </c>
      <c r="Q1948" t="s">
        <v>39</v>
      </c>
      <c r="R1948" t="s">
        <v>40</v>
      </c>
      <c r="S1948">
        <v>0</v>
      </c>
      <c r="U1948" t="s">
        <v>41</v>
      </c>
      <c r="V1948" t="s">
        <v>42</v>
      </c>
      <c r="X1948" t="s">
        <v>74</v>
      </c>
      <c r="Y1948" t="b">
        <v>0</v>
      </c>
      <c r="Z1948" t="b">
        <v>0</v>
      </c>
      <c r="AC1948" s="1"/>
      <c r="AF1948">
        <v>0</v>
      </c>
      <c r="AG1948">
        <v>45</v>
      </c>
      <c r="AH1948">
        <v>90</v>
      </c>
      <c r="AI1948" s="2">
        <f>Table__192.168.3.138DYLAgingReport[[#This Row],[NetAmount]]-Table__192.168.3.138DYLAgingReport[[#This Row],[Paid]]</f>
        <v>471053</v>
      </c>
    </row>
    <row r="1949" spans="1:35">
      <c r="A1949" t="s">
        <v>4085</v>
      </c>
      <c r="B1949" s="1">
        <v>41216</v>
      </c>
      <c r="C1949" s="1">
        <v>41261</v>
      </c>
      <c r="D1949" t="s">
        <v>282</v>
      </c>
      <c r="E1949">
        <v>31280</v>
      </c>
      <c r="F1949">
        <v>5005</v>
      </c>
      <c r="G1949">
        <v>0</v>
      </c>
      <c r="H1949">
        <v>0</v>
      </c>
      <c r="I1949">
        <v>52</v>
      </c>
      <c r="J1949">
        <v>36285</v>
      </c>
      <c r="K1949" t="s">
        <v>3715</v>
      </c>
      <c r="L1949" s="1">
        <v>41216</v>
      </c>
      <c r="N1949" t="s">
        <v>36</v>
      </c>
      <c r="O1949" t="s">
        <v>37</v>
      </c>
      <c r="P1949" t="s">
        <v>419</v>
      </c>
      <c r="Q1949" t="s">
        <v>39</v>
      </c>
      <c r="R1949" t="s">
        <v>40</v>
      </c>
      <c r="S1949">
        <v>0</v>
      </c>
      <c r="U1949" t="s">
        <v>41</v>
      </c>
      <c r="V1949" t="s">
        <v>42</v>
      </c>
      <c r="X1949" t="s">
        <v>74</v>
      </c>
      <c r="Y1949" t="b">
        <v>0</v>
      </c>
      <c r="Z1949" t="b">
        <v>0</v>
      </c>
      <c r="AC1949" s="1"/>
      <c r="AF1949">
        <v>0</v>
      </c>
      <c r="AG1949">
        <v>45</v>
      </c>
      <c r="AH1949">
        <v>97</v>
      </c>
      <c r="AI1949" s="2">
        <f>Table__192.168.3.138DYLAgingReport[[#This Row],[NetAmount]]-Table__192.168.3.138DYLAgingReport[[#This Row],[Paid]]</f>
        <v>36285</v>
      </c>
    </row>
    <row r="1950" spans="1:35">
      <c r="A1950" t="s">
        <v>4086</v>
      </c>
      <c r="B1950" s="1">
        <v>41216</v>
      </c>
      <c r="C1950" s="1">
        <v>41261</v>
      </c>
      <c r="D1950" t="s">
        <v>282</v>
      </c>
      <c r="E1950">
        <v>225000</v>
      </c>
      <c r="F1950">
        <v>36000</v>
      </c>
      <c r="G1950">
        <v>0</v>
      </c>
      <c r="H1950">
        <v>0</v>
      </c>
      <c r="I1950">
        <v>52</v>
      </c>
      <c r="J1950">
        <v>261000</v>
      </c>
      <c r="K1950" t="s">
        <v>3527</v>
      </c>
      <c r="L1950" s="1">
        <v>41216</v>
      </c>
      <c r="N1950" t="s">
        <v>36</v>
      </c>
      <c r="O1950" t="s">
        <v>37</v>
      </c>
      <c r="P1950" t="s">
        <v>419</v>
      </c>
      <c r="Q1950" t="s">
        <v>39</v>
      </c>
      <c r="R1950" t="s">
        <v>40</v>
      </c>
      <c r="S1950">
        <v>0</v>
      </c>
      <c r="U1950" t="s">
        <v>41</v>
      </c>
      <c r="V1950" t="s">
        <v>42</v>
      </c>
      <c r="X1950" t="s">
        <v>74</v>
      </c>
      <c r="Y1950" t="b">
        <v>0</v>
      </c>
      <c r="Z1950" t="b">
        <v>0</v>
      </c>
      <c r="AC1950" s="1"/>
      <c r="AF1950">
        <v>0</v>
      </c>
      <c r="AG1950">
        <v>45</v>
      </c>
      <c r="AH1950">
        <v>97</v>
      </c>
      <c r="AI1950" s="2">
        <f>Table__192.168.3.138DYLAgingReport[[#This Row],[NetAmount]]-Table__192.168.3.138DYLAgingReport[[#This Row],[Paid]]</f>
        <v>261000</v>
      </c>
    </row>
    <row r="1951" spans="1:35">
      <c r="A1951" t="s">
        <v>4087</v>
      </c>
      <c r="B1951" s="1">
        <v>41219</v>
      </c>
      <c r="C1951" s="1">
        <v>41264</v>
      </c>
      <c r="D1951" t="s">
        <v>282</v>
      </c>
      <c r="E1951">
        <v>225000</v>
      </c>
      <c r="F1951">
        <v>36000</v>
      </c>
      <c r="G1951">
        <v>0</v>
      </c>
      <c r="H1951">
        <v>0</v>
      </c>
      <c r="I1951">
        <v>49</v>
      </c>
      <c r="J1951">
        <v>261000</v>
      </c>
      <c r="K1951" t="s">
        <v>3263</v>
      </c>
      <c r="L1951" s="1">
        <v>41219</v>
      </c>
      <c r="N1951" t="s">
        <v>36</v>
      </c>
      <c r="O1951" t="s">
        <v>37</v>
      </c>
      <c r="P1951" t="s">
        <v>419</v>
      </c>
      <c r="Q1951" t="s">
        <v>39</v>
      </c>
      <c r="R1951" t="s">
        <v>40</v>
      </c>
      <c r="S1951">
        <v>0</v>
      </c>
      <c r="U1951" t="s">
        <v>41</v>
      </c>
      <c r="V1951" t="s">
        <v>42</v>
      </c>
      <c r="X1951" t="s">
        <v>74</v>
      </c>
      <c r="Y1951" t="b">
        <v>0</v>
      </c>
      <c r="Z1951" t="b">
        <v>0</v>
      </c>
      <c r="AC1951" s="1"/>
      <c r="AF1951">
        <v>0</v>
      </c>
      <c r="AG1951">
        <v>45</v>
      </c>
      <c r="AH1951">
        <v>94</v>
      </c>
      <c r="AI1951" s="2">
        <f>Table__192.168.3.138DYLAgingReport[[#This Row],[NetAmount]]-Table__192.168.3.138DYLAgingReport[[#This Row],[Paid]]</f>
        <v>261000</v>
      </c>
    </row>
    <row r="1952" spans="1:35">
      <c r="A1952" t="s">
        <v>4088</v>
      </c>
      <c r="B1952" s="1">
        <v>41223</v>
      </c>
      <c r="C1952" s="1">
        <v>41268</v>
      </c>
      <c r="D1952" t="s">
        <v>282</v>
      </c>
      <c r="E1952">
        <v>225000</v>
      </c>
      <c r="F1952">
        <v>36000</v>
      </c>
      <c r="G1952">
        <v>0</v>
      </c>
      <c r="H1952">
        <v>0</v>
      </c>
      <c r="I1952">
        <v>45</v>
      </c>
      <c r="J1952">
        <v>261000</v>
      </c>
      <c r="K1952" t="s">
        <v>4089</v>
      </c>
      <c r="L1952" s="1">
        <v>41223</v>
      </c>
      <c r="N1952" t="s">
        <v>36</v>
      </c>
      <c r="O1952" t="s">
        <v>37</v>
      </c>
      <c r="P1952" t="s">
        <v>419</v>
      </c>
      <c r="Q1952" t="s">
        <v>39</v>
      </c>
      <c r="R1952" t="s">
        <v>40</v>
      </c>
      <c r="S1952">
        <v>0</v>
      </c>
      <c r="U1952" t="s">
        <v>41</v>
      </c>
      <c r="V1952" t="s">
        <v>42</v>
      </c>
      <c r="X1952" t="s">
        <v>74</v>
      </c>
      <c r="Y1952" t="b">
        <v>0</v>
      </c>
      <c r="Z1952" t="b">
        <v>0</v>
      </c>
      <c r="AC1952" s="1"/>
      <c r="AF1952">
        <v>0</v>
      </c>
      <c r="AG1952">
        <v>45</v>
      </c>
      <c r="AH1952">
        <v>90</v>
      </c>
      <c r="AI1952" s="2">
        <f>Table__192.168.3.138DYLAgingReport[[#This Row],[NetAmount]]-Table__192.168.3.138DYLAgingReport[[#This Row],[Paid]]</f>
        <v>261000</v>
      </c>
    </row>
    <row r="1953" spans="1:35">
      <c r="A1953" t="s">
        <v>4090</v>
      </c>
      <c r="B1953" s="1">
        <v>41230</v>
      </c>
      <c r="C1953" s="1">
        <v>41275</v>
      </c>
      <c r="D1953" t="s">
        <v>282</v>
      </c>
      <c r="E1953">
        <v>225000</v>
      </c>
      <c r="F1953">
        <v>36000</v>
      </c>
      <c r="G1953">
        <v>0</v>
      </c>
      <c r="H1953">
        <v>0</v>
      </c>
      <c r="I1953">
        <v>38</v>
      </c>
      <c r="J1953">
        <v>261000</v>
      </c>
      <c r="K1953" t="s">
        <v>3251</v>
      </c>
      <c r="L1953" s="1">
        <v>41230</v>
      </c>
      <c r="N1953" t="s">
        <v>36</v>
      </c>
      <c r="O1953" t="s">
        <v>37</v>
      </c>
      <c r="P1953" t="s">
        <v>419</v>
      </c>
      <c r="Q1953" t="s">
        <v>39</v>
      </c>
      <c r="R1953" t="s">
        <v>40</v>
      </c>
      <c r="S1953">
        <v>0</v>
      </c>
      <c r="U1953" t="s">
        <v>41</v>
      </c>
      <c r="V1953" t="s">
        <v>42</v>
      </c>
      <c r="X1953" t="s">
        <v>74</v>
      </c>
      <c r="Y1953" t="b">
        <v>0</v>
      </c>
      <c r="Z1953" t="b">
        <v>0</v>
      </c>
      <c r="AC1953" s="1"/>
      <c r="AF1953">
        <v>0</v>
      </c>
      <c r="AG1953">
        <v>45</v>
      </c>
      <c r="AH1953">
        <v>83</v>
      </c>
      <c r="AI1953" s="2">
        <f>Table__192.168.3.138DYLAgingReport[[#This Row],[NetAmount]]-Table__192.168.3.138DYLAgingReport[[#This Row],[Paid]]</f>
        <v>261000</v>
      </c>
    </row>
    <row r="1954" spans="1:35">
      <c r="A1954" t="s">
        <v>4091</v>
      </c>
      <c r="B1954" s="1">
        <v>41233</v>
      </c>
      <c r="C1954" s="1">
        <v>41278</v>
      </c>
      <c r="D1954" t="s">
        <v>282</v>
      </c>
      <c r="E1954">
        <v>225000</v>
      </c>
      <c r="F1954">
        <v>36000</v>
      </c>
      <c r="G1954">
        <v>0</v>
      </c>
      <c r="H1954">
        <v>0</v>
      </c>
      <c r="I1954">
        <v>35</v>
      </c>
      <c r="J1954">
        <v>261000</v>
      </c>
      <c r="K1954" t="s">
        <v>934</v>
      </c>
      <c r="L1954" s="1">
        <v>41233</v>
      </c>
      <c r="N1954" t="s">
        <v>36</v>
      </c>
      <c r="O1954" t="s">
        <v>37</v>
      </c>
      <c r="P1954" t="s">
        <v>419</v>
      </c>
      <c r="Q1954" t="s">
        <v>39</v>
      </c>
      <c r="R1954" t="s">
        <v>40</v>
      </c>
      <c r="S1954">
        <v>0</v>
      </c>
      <c r="U1954" t="s">
        <v>41</v>
      </c>
      <c r="V1954" t="s">
        <v>42</v>
      </c>
      <c r="X1954" t="s">
        <v>74</v>
      </c>
      <c r="Y1954" t="b">
        <v>0</v>
      </c>
      <c r="Z1954" t="b">
        <v>0</v>
      </c>
      <c r="AC1954" s="1"/>
      <c r="AF1954">
        <v>0</v>
      </c>
      <c r="AG1954">
        <v>45</v>
      </c>
      <c r="AH1954">
        <v>80</v>
      </c>
      <c r="AI1954" s="2">
        <f>Table__192.168.3.138DYLAgingReport[[#This Row],[NetAmount]]-Table__192.168.3.138DYLAgingReport[[#This Row],[Paid]]</f>
        <v>261000</v>
      </c>
    </row>
    <row r="1955" spans="1:35">
      <c r="A1955" t="s">
        <v>4092</v>
      </c>
      <c r="B1955" s="1">
        <v>41235</v>
      </c>
      <c r="C1955" s="1">
        <v>41280</v>
      </c>
      <c r="D1955" t="s">
        <v>207</v>
      </c>
      <c r="E1955">
        <v>6868</v>
      </c>
      <c r="F1955">
        <v>1099</v>
      </c>
      <c r="G1955">
        <v>0</v>
      </c>
      <c r="H1955">
        <v>0</v>
      </c>
      <c r="I1955">
        <v>36</v>
      </c>
      <c r="J1955">
        <v>7967</v>
      </c>
      <c r="K1955" t="s">
        <v>4093</v>
      </c>
      <c r="L1955" s="1">
        <v>41232</v>
      </c>
      <c r="N1955" t="s">
        <v>36</v>
      </c>
      <c r="O1955" t="s">
        <v>37</v>
      </c>
      <c r="P1955" t="s">
        <v>344</v>
      </c>
      <c r="Q1955" t="s">
        <v>39</v>
      </c>
      <c r="R1955" t="s">
        <v>40</v>
      </c>
      <c r="S1955">
        <v>0</v>
      </c>
      <c r="U1955" t="s">
        <v>41</v>
      </c>
      <c r="V1955" t="s">
        <v>42</v>
      </c>
      <c r="X1955" t="s">
        <v>74</v>
      </c>
      <c r="Y1955" t="b">
        <v>0</v>
      </c>
      <c r="Z1955" t="b">
        <v>0</v>
      </c>
      <c r="AB1955" t="s">
        <v>735</v>
      </c>
      <c r="AC1955" s="1">
        <v>41255</v>
      </c>
      <c r="AF1955">
        <v>0</v>
      </c>
      <c r="AG1955">
        <v>45</v>
      </c>
      <c r="AH1955">
        <v>81</v>
      </c>
      <c r="AI1955" s="2">
        <f>Table__192.168.3.138DYLAgingReport[[#This Row],[NetAmount]]-Table__192.168.3.138DYLAgingReport[[#This Row],[Paid]]</f>
        <v>7967</v>
      </c>
    </row>
    <row r="1956" spans="1:35">
      <c r="A1956" t="s">
        <v>4094</v>
      </c>
      <c r="B1956" s="1">
        <v>41232</v>
      </c>
      <c r="C1956" s="1">
        <v>41277</v>
      </c>
      <c r="D1956" t="s">
        <v>228</v>
      </c>
      <c r="E1956">
        <v>204000</v>
      </c>
      <c r="F1956">
        <v>32640</v>
      </c>
      <c r="G1956">
        <v>0</v>
      </c>
      <c r="H1956">
        <v>0</v>
      </c>
      <c r="I1956">
        <v>40</v>
      </c>
      <c r="J1956">
        <v>236640</v>
      </c>
      <c r="K1956" t="s">
        <v>3194</v>
      </c>
      <c r="L1956" s="1">
        <v>41228</v>
      </c>
      <c r="N1956" t="s">
        <v>36</v>
      </c>
      <c r="O1956" t="s">
        <v>37</v>
      </c>
      <c r="P1956" t="s">
        <v>365</v>
      </c>
      <c r="Q1956" t="s">
        <v>39</v>
      </c>
      <c r="R1956" t="s">
        <v>40</v>
      </c>
      <c r="S1956">
        <v>0</v>
      </c>
      <c r="U1956" t="s">
        <v>41</v>
      </c>
      <c r="V1956" t="s">
        <v>42</v>
      </c>
      <c r="X1956" t="s">
        <v>74</v>
      </c>
      <c r="Y1956" t="b">
        <v>0</v>
      </c>
      <c r="Z1956" t="b">
        <v>0</v>
      </c>
      <c r="AB1956" t="s">
        <v>4095</v>
      </c>
      <c r="AC1956" s="1">
        <v>41247</v>
      </c>
      <c r="AD1956" t="s">
        <v>4096</v>
      </c>
      <c r="AE1956" t="s">
        <v>4097</v>
      </c>
      <c r="AF1956">
        <v>74999</v>
      </c>
      <c r="AG1956">
        <v>45</v>
      </c>
      <c r="AH1956">
        <v>85</v>
      </c>
      <c r="AI1956" s="2">
        <f>Table__192.168.3.138DYLAgingReport[[#This Row],[NetAmount]]-Table__192.168.3.138DYLAgingReport[[#This Row],[Paid]]</f>
        <v>161641</v>
      </c>
    </row>
    <row r="1957" spans="1:35">
      <c r="A1957" t="s">
        <v>4098</v>
      </c>
      <c r="B1957" s="1">
        <v>41232</v>
      </c>
      <c r="C1957" s="1">
        <v>41277</v>
      </c>
      <c r="D1957" t="s">
        <v>228</v>
      </c>
      <c r="E1957">
        <v>13000</v>
      </c>
      <c r="F1957">
        <v>2080</v>
      </c>
      <c r="G1957">
        <v>0</v>
      </c>
      <c r="H1957">
        <v>0</v>
      </c>
      <c r="I1957">
        <v>40</v>
      </c>
      <c r="J1957">
        <v>15080</v>
      </c>
      <c r="K1957" t="s">
        <v>964</v>
      </c>
      <c r="L1957" s="1">
        <v>41228</v>
      </c>
      <c r="N1957" t="s">
        <v>36</v>
      </c>
      <c r="O1957" t="s">
        <v>37</v>
      </c>
      <c r="P1957" t="s">
        <v>365</v>
      </c>
      <c r="Q1957" t="s">
        <v>39</v>
      </c>
      <c r="R1957" t="s">
        <v>40</v>
      </c>
      <c r="S1957">
        <v>0</v>
      </c>
      <c r="U1957" t="s">
        <v>41</v>
      </c>
      <c r="V1957" t="s">
        <v>42</v>
      </c>
      <c r="X1957" t="s">
        <v>74</v>
      </c>
      <c r="Y1957" t="b">
        <v>0</v>
      </c>
      <c r="Z1957" t="b">
        <v>0</v>
      </c>
      <c r="AB1957" t="s">
        <v>4095</v>
      </c>
      <c r="AC1957" s="1">
        <v>41247</v>
      </c>
      <c r="AE1957" t="s">
        <v>4097</v>
      </c>
      <c r="AF1957">
        <v>0</v>
      </c>
      <c r="AG1957">
        <v>45</v>
      </c>
      <c r="AH1957">
        <v>85</v>
      </c>
      <c r="AI1957" s="2">
        <f>Table__192.168.3.138DYLAgingReport[[#This Row],[NetAmount]]-Table__192.168.3.138DYLAgingReport[[#This Row],[Paid]]</f>
        <v>15080</v>
      </c>
    </row>
    <row r="1958" spans="1:35">
      <c r="A1958" t="s">
        <v>4099</v>
      </c>
      <c r="B1958" s="1">
        <v>41235</v>
      </c>
      <c r="C1958" s="1">
        <v>41280</v>
      </c>
      <c r="D1958" t="s">
        <v>271</v>
      </c>
      <c r="E1958">
        <v>120020</v>
      </c>
      <c r="F1958">
        <v>19203</v>
      </c>
      <c r="G1958">
        <v>0</v>
      </c>
      <c r="H1958">
        <v>0</v>
      </c>
      <c r="I1958">
        <v>33</v>
      </c>
      <c r="J1958">
        <v>139223</v>
      </c>
      <c r="K1958" t="s">
        <v>3563</v>
      </c>
      <c r="L1958" s="1">
        <v>41235</v>
      </c>
      <c r="N1958" t="s">
        <v>36</v>
      </c>
      <c r="O1958" t="s">
        <v>37</v>
      </c>
      <c r="P1958" t="s">
        <v>408</v>
      </c>
      <c r="Q1958" t="s">
        <v>39</v>
      </c>
      <c r="R1958" t="s">
        <v>40</v>
      </c>
      <c r="S1958">
        <v>0</v>
      </c>
      <c r="U1958" t="s">
        <v>41</v>
      </c>
      <c r="V1958" t="s">
        <v>42</v>
      </c>
      <c r="X1958" t="s">
        <v>74</v>
      </c>
      <c r="Y1958" t="b">
        <v>0</v>
      </c>
      <c r="Z1958" t="b">
        <v>0</v>
      </c>
      <c r="AC1958" s="1"/>
      <c r="AF1958">
        <v>0</v>
      </c>
      <c r="AG1958">
        <v>45</v>
      </c>
      <c r="AH1958">
        <v>78</v>
      </c>
      <c r="AI1958" s="2">
        <f>Table__192.168.3.138DYLAgingReport[[#This Row],[NetAmount]]-Table__192.168.3.138DYLAgingReport[[#This Row],[Paid]]</f>
        <v>139223</v>
      </c>
    </row>
    <row r="1959" spans="1:35">
      <c r="A1959" t="s">
        <v>4100</v>
      </c>
      <c r="B1959" s="1">
        <v>41220</v>
      </c>
      <c r="C1959" s="1">
        <v>41265</v>
      </c>
      <c r="D1959" t="s">
        <v>277</v>
      </c>
      <c r="E1959">
        <v>150000</v>
      </c>
      <c r="F1959">
        <v>0</v>
      </c>
      <c r="G1959">
        <v>0</v>
      </c>
      <c r="H1959">
        <v>0</v>
      </c>
      <c r="I1959">
        <v>37</v>
      </c>
      <c r="J1959">
        <v>150000</v>
      </c>
      <c r="K1959" t="s">
        <v>4101</v>
      </c>
      <c r="L1959" s="1">
        <v>41231</v>
      </c>
      <c r="M1959" t="s">
        <v>4102</v>
      </c>
      <c r="N1959" t="s">
        <v>36</v>
      </c>
      <c r="O1959" t="s">
        <v>37</v>
      </c>
      <c r="P1959" t="s">
        <v>414</v>
      </c>
      <c r="Q1959" t="s">
        <v>39</v>
      </c>
      <c r="R1959" t="s">
        <v>40</v>
      </c>
      <c r="S1959">
        <v>0</v>
      </c>
      <c r="U1959" t="s">
        <v>41</v>
      </c>
      <c r="V1959" t="s">
        <v>42</v>
      </c>
      <c r="W1959" t="s">
        <v>4103</v>
      </c>
      <c r="X1959" t="s">
        <v>74</v>
      </c>
      <c r="Y1959" t="b">
        <v>0</v>
      </c>
      <c r="Z1959" t="b">
        <v>0</v>
      </c>
      <c r="AA1959" t="b">
        <v>0</v>
      </c>
      <c r="AC1959" s="1"/>
      <c r="AF1959">
        <v>0</v>
      </c>
      <c r="AG1959">
        <v>45</v>
      </c>
      <c r="AH1959">
        <v>82</v>
      </c>
      <c r="AI1959" s="2">
        <f>Table__192.168.3.138DYLAgingReport[[#This Row],[NetAmount]]-Table__192.168.3.138DYLAgingReport[[#This Row],[Paid]]</f>
        <v>150000</v>
      </c>
    </row>
    <row r="1960" spans="1:35">
      <c r="A1960" t="s">
        <v>4104</v>
      </c>
      <c r="B1960" s="1">
        <v>41234</v>
      </c>
      <c r="C1960" s="1">
        <v>41279</v>
      </c>
      <c r="D1960" t="s">
        <v>221</v>
      </c>
      <c r="E1960">
        <v>17598</v>
      </c>
      <c r="F1960">
        <v>0</v>
      </c>
      <c r="G1960">
        <v>0</v>
      </c>
      <c r="H1960">
        <v>0</v>
      </c>
      <c r="I1960">
        <v>28</v>
      </c>
      <c r="J1960">
        <v>17598</v>
      </c>
      <c r="K1960" t="s">
        <v>4105</v>
      </c>
      <c r="L1960" s="1">
        <v>41240</v>
      </c>
      <c r="M1960" t="s">
        <v>4106</v>
      </c>
      <c r="N1960" t="s">
        <v>36</v>
      </c>
      <c r="O1960" t="s">
        <v>37</v>
      </c>
      <c r="P1960" t="s">
        <v>358</v>
      </c>
      <c r="Q1960" t="s">
        <v>39</v>
      </c>
      <c r="R1960" t="s">
        <v>40</v>
      </c>
      <c r="S1960">
        <v>0</v>
      </c>
      <c r="U1960" t="s">
        <v>41</v>
      </c>
      <c r="V1960" t="s">
        <v>42</v>
      </c>
      <c r="W1960" t="s">
        <v>3827</v>
      </c>
      <c r="X1960" t="s">
        <v>74</v>
      </c>
      <c r="Y1960" t="b">
        <v>0</v>
      </c>
      <c r="Z1960" t="b">
        <v>0</v>
      </c>
      <c r="AA1960" t="b">
        <v>0</v>
      </c>
      <c r="AC1960" s="1"/>
      <c r="AF1960">
        <v>0</v>
      </c>
      <c r="AG1960">
        <v>45</v>
      </c>
      <c r="AH1960">
        <v>73</v>
      </c>
      <c r="AI1960" s="2">
        <f>Table__192.168.3.138DYLAgingReport[[#This Row],[NetAmount]]-Table__192.168.3.138DYLAgingReport[[#This Row],[Paid]]</f>
        <v>17598</v>
      </c>
    </row>
    <row r="1961" spans="1:35">
      <c r="A1961" t="s">
        <v>4107</v>
      </c>
      <c r="B1961" s="1">
        <v>41232</v>
      </c>
      <c r="C1961" s="1">
        <v>41277</v>
      </c>
      <c r="D1961" t="s">
        <v>257</v>
      </c>
      <c r="E1961">
        <v>64000</v>
      </c>
      <c r="F1961">
        <v>10240</v>
      </c>
      <c r="G1961">
        <v>0</v>
      </c>
      <c r="H1961">
        <v>0</v>
      </c>
      <c r="I1961">
        <v>36</v>
      </c>
      <c r="J1961">
        <v>74240</v>
      </c>
      <c r="K1961" t="s">
        <v>4108</v>
      </c>
      <c r="L1961" s="1">
        <v>41232</v>
      </c>
      <c r="N1961" t="s">
        <v>36</v>
      </c>
      <c r="O1961" t="s">
        <v>37</v>
      </c>
      <c r="P1961" t="s">
        <v>394</v>
      </c>
      <c r="Q1961" t="s">
        <v>39</v>
      </c>
      <c r="R1961" t="s">
        <v>40</v>
      </c>
      <c r="S1961">
        <v>0</v>
      </c>
      <c r="U1961" t="s">
        <v>41</v>
      </c>
      <c r="V1961" t="s">
        <v>42</v>
      </c>
      <c r="X1961" t="s">
        <v>74</v>
      </c>
      <c r="Y1961" t="b">
        <v>0</v>
      </c>
      <c r="Z1961" t="b">
        <v>0</v>
      </c>
      <c r="AC1961" s="1"/>
      <c r="AF1961">
        <v>0</v>
      </c>
      <c r="AG1961">
        <v>45</v>
      </c>
      <c r="AH1961">
        <v>81</v>
      </c>
      <c r="AI1961" s="2">
        <f>Table__192.168.3.138DYLAgingReport[[#This Row],[NetAmount]]-Table__192.168.3.138DYLAgingReport[[#This Row],[Paid]]</f>
        <v>74240</v>
      </c>
    </row>
    <row r="1962" spans="1:35">
      <c r="A1962" t="s">
        <v>4109</v>
      </c>
      <c r="B1962" s="1">
        <v>41234</v>
      </c>
      <c r="C1962" s="1">
        <v>41279</v>
      </c>
      <c r="D1962" t="s">
        <v>257</v>
      </c>
      <c r="E1962">
        <v>51200</v>
      </c>
      <c r="F1962">
        <v>8192</v>
      </c>
      <c r="G1962">
        <v>0</v>
      </c>
      <c r="H1962">
        <v>0</v>
      </c>
      <c r="I1962">
        <v>34</v>
      </c>
      <c r="J1962">
        <v>59392</v>
      </c>
      <c r="K1962" t="s">
        <v>4110</v>
      </c>
      <c r="L1962" s="1">
        <v>41234</v>
      </c>
      <c r="N1962" t="s">
        <v>36</v>
      </c>
      <c r="O1962" t="s">
        <v>37</v>
      </c>
      <c r="P1962" t="s">
        <v>394</v>
      </c>
      <c r="Q1962" t="s">
        <v>39</v>
      </c>
      <c r="R1962" t="s">
        <v>40</v>
      </c>
      <c r="S1962">
        <v>0</v>
      </c>
      <c r="U1962" t="s">
        <v>41</v>
      </c>
      <c r="V1962" t="s">
        <v>42</v>
      </c>
      <c r="X1962" t="s">
        <v>74</v>
      </c>
      <c r="Y1962" t="b">
        <v>0</v>
      </c>
      <c r="Z1962" t="b">
        <v>0</v>
      </c>
      <c r="AC1962" s="1"/>
      <c r="AF1962">
        <v>0</v>
      </c>
      <c r="AG1962">
        <v>45</v>
      </c>
      <c r="AH1962">
        <v>79</v>
      </c>
      <c r="AI1962" s="2">
        <f>Table__192.168.3.138DYLAgingReport[[#This Row],[NetAmount]]-Table__192.168.3.138DYLAgingReport[[#This Row],[Paid]]</f>
        <v>59392</v>
      </c>
    </row>
    <row r="1963" spans="1:35">
      <c r="A1963" t="s">
        <v>4111</v>
      </c>
      <c r="B1963" s="1">
        <v>41235</v>
      </c>
      <c r="C1963" s="1">
        <v>41280</v>
      </c>
      <c r="D1963" t="s">
        <v>257</v>
      </c>
      <c r="E1963">
        <v>128000</v>
      </c>
      <c r="F1963">
        <v>20480</v>
      </c>
      <c r="G1963">
        <v>0</v>
      </c>
      <c r="H1963">
        <v>0</v>
      </c>
      <c r="I1963">
        <v>33</v>
      </c>
      <c r="J1963">
        <v>148480</v>
      </c>
      <c r="K1963" t="s">
        <v>4112</v>
      </c>
      <c r="L1963" s="1">
        <v>41235</v>
      </c>
      <c r="N1963" t="s">
        <v>36</v>
      </c>
      <c r="O1963" t="s">
        <v>37</v>
      </c>
      <c r="P1963" t="s">
        <v>394</v>
      </c>
      <c r="Q1963" t="s">
        <v>39</v>
      </c>
      <c r="R1963" t="s">
        <v>40</v>
      </c>
      <c r="S1963">
        <v>0</v>
      </c>
      <c r="U1963" t="s">
        <v>41</v>
      </c>
      <c r="V1963" t="s">
        <v>42</v>
      </c>
      <c r="X1963" t="s">
        <v>74</v>
      </c>
      <c r="Y1963" t="b">
        <v>0</v>
      </c>
      <c r="Z1963" t="b">
        <v>0</v>
      </c>
      <c r="AC1963" s="1"/>
      <c r="AF1963">
        <v>0</v>
      </c>
      <c r="AG1963">
        <v>45</v>
      </c>
      <c r="AH1963">
        <v>78</v>
      </c>
      <c r="AI1963" s="2">
        <f>Table__192.168.3.138DYLAgingReport[[#This Row],[NetAmount]]-Table__192.168.3.138DYLAgingReport[[#This Row],[Paid]]</f>
        <v>148480</v>
      </c>
    </row>
    <row r="1964" spans="1:35">
      <c r="A1964" t="s">
        <v>4113</v>
      </c>
      <c r="B1964" s="1">
        <v>41239</v>
      </c>
      <c r="C1964" s="1">
        <v>41284</v>
      </c>
      <c r="D1964" t="s">
        <v>257</v>
      </c>
      <c r="E1964">
        <v>64000</v>
      </c>
      <c r="F1964">
        <v>10240</v>
      </c>
      <c r="G1964">
        <v>0</v>
      </c>
      <c r="H1964">
        <v>0</v>
      </c>
      <c r="I1964">
        <v>32</v>
      </c>
      <c r="J1964">
        <v>74240</v>
      </c>
      <c r="K1964" t="s">
        <v>1260</v>
      </c>
      <c r="L1964" s="1">
        <v>41236</v>
      </c>
      <c r="N1964" t="s">
        <v>36</v>
      </c>
      <c r="O1964" t="s">
        <v>37</v>
      </c>
      <c r="P1964" t="s">
        <v>394</v>
      </c>
      <c r="Q1964" t="s">
        <v>39</v>
      </c>
      <c r="R1964" t="s">
        <v>40</v>
      </c>
      <c r="S1964">
        <v>0</v>
      </c>
      <c r="U1964" t="s">
        <v>41</v>
      </c>
      <c r="V1964" t="s">
        <v>42</v>
      </c>
      <c r="X1964" t="s">
        <v>74</v>
      </c>
      <c r="Y1964" t="b">
        <v>0</v>
      </c>
      <c r="Z1964" t="b">
        <v>0</v>
      </c>
      <c r="AC1964" s="1"/>
      <c r="AF1964">
        <v>0</v>
      </c>
      <c r="AG1964">
        <v>45</v>
      </c>
      <c r="AH1964">
        <v>77</v>
      </c>
      <c r="AI1964" s="2">
        <f>Table__192.168.3.138DYLAgingReport[[#This Row],[NetAmount]]-Table__192.168.3.138DYLAgingReport[[#This Row],[Paid]]</f>
        <v>74240</v>
      </c>
    </row>
    <row r="1965" spans="1:35">
      <c r="A1965" t="s">
        <v>4114</v>
      </c>
      <c r="B1965" s="1">
        <v>41232</v>
      </c>
      <c r="C1965" s="1">
        <v>41277</v>
      </c>
      <c r="D1965" t="s">
        <v>227</v>
      </c>
      <c r="E1965">
        <v>132000</v>
      </c>
      <c r="F1965">
        <v>21120</v>
      </c>
      <c r="G1965">
        <v>0</v>
      </c>
      <c r="H1965">
        <v>0</v>
      </c>
      <c r="I1965">
        <v>36</v>
      </c>
      <c r="J1965">
        <v>153120</v>
      </c>
      <c r="K1965" t="s">
        <v>4115</v>
      </c>
      <c r="L1965" s="1">
        <v>41232</v>
      </c>
      <c r="N1965" t="s">
        <v>36</v>
      </c>
      <c r="O1965" t="s">
        <v>37</v>
      </c>
      <c r="P1965" t="s">
        <v>364</v>
      </c>
      <c r="Q1965" t="s">
        <v>39</v>
      </c>
      <c r="R1965" t="s">
        <v>40</v>
      </c>
      <c r="S1965">
        <v>0</v>
      </c>
      <c r="U1965" t="s">
        <v>41</v>
      </c>
      <c r="V1965" t="s">
        <v>42</v>
      </c>
      <c r="X1965" t="s">
        <v>74</v>
      </c>
      <c r="Y1965" t="b">
        <v>0</v>
      </c>
      <c r="Z1965" t="b">
        <v>0</v>
      </c>
      <c r="AC1965" s="1"/>
      <c r="AF1965">
        <v>0</v>
      </c>
      <c r="AG1965">
        <v>45</v>
      </c>
      <c r="AH1965">
        <v>81</v>
      </c>
      <c r="AI1965" s="2">
        <f>Table__192.168.3.138DYLAgingReport[[#This Row],[NetAmount]]-Table__192.168.3.138DYLAgingReport[[#This Row],[Paid]]</f>
        <v>153120</v>
      </c>
    </row>
    <row r="1966" spans="1:35">
      <c r="A1966" t="s">
        <v>4116</v>
      </c>
      <c r="B1966" s="1">
        <v>41233</v>
      </c>
      <c r="C1966" s="1">
        <v>41278</v>
      </c>
      <c r="D1966" t="s">
        <v>227</v>
      </c>
      <c r="E1966">
        <v>79500</v>
      </c>
      <c r="F1966">
        <v>12720</v>
      </c>
      <c r="G1966">
        <v>0</v>
      </c>
      <c r="H1966">
        <v>0</v>
      </c>
      <c r="I1966">
        <v>35</v>
      </c>
      <c r="J1966">
        <v>92220</v>
      </c>
      <c r="K1966" t="s">
        <v>4117</v>
      </c>
      <c r="L1966" s="1">
        <v>41233</v>
      </c>
      <c r="N1966" t="s">
        <v>36</v>
      </c>
      <c r="O1966" t="s">
        <v>37</v>
      </c>
      <c r="P1966" t="s">
        <v>364</v>
      </c>
      <c r="Q1966" t="s">
        <v>39</v>
      </c>
      <c r="R1966" t="s">
        <v>40</v>
      </c>
      <c r="S1966">
        <v>0</v>
      </c>
      <c r="U1966" t="s">
        <v>41</v>
      </c>
      <c r="V1966" t="s">
        <v>42</v>
      </c>
      <c r="X1966" t="s">
        <v>74</v>
      </c>
      <c r="Y1966" t="b">
        <v>0</v>
      </c>
      <c r="Z1966" t="b">
        <v>0</v>
      </c>
      <c r="AC1966" s="1"/>
      <c r="AF1966">
        <v>0</v>
      </c>
      <c r="AG1966">
        <v>45</v>
      </c>
      <c r="AH1966">
        <v>80</v>
      </c>
      <c r="AI1966" s="2">
        <f>Table__192.168.3.138DYLAgingReport[[#This Row],[NetAmount]]-Table__192.168.3.138DYLAgingReport[[#This Row],[Paid]]</f>
        <v>92220</v>
      </c>
    </row>
    <row r="1967" spans="1:35">
      <c r="A1967" t="s">
        <v>4118</v>
      </c>
      <c r="B1967" s="1">
        <v>41235</v>
      </c>
      <c r="C1967" s="1">
        <v>41280</v>
      </c>
      <c r="D1967" t="s">
        <v>227</v>
      </c>
      <c r="E1967">
        <v>141000</v>
      </c>
      <c r="F1967">
        <v>22560</v>
      </c>
      <c r="G1967">
        <v>0</v>
      </c>
      <c r="H1967">
        <v>0</v>
      </c>
      <c r="I1967">
        <v>33</v>
      </c>
      <c r="J1967">
        <v>163560</v>
      </c>
      <c r="K1967" t="s">
        <v>4119</v>
      </c>
      <c r="L1967" s="1">
        <v>41235</v>
      </c>
      <c r="N1967" t="s">
        <v>36</v>
      </c>
      <c r="O1967" t="s">
        <v>37</v>
      </c>
      <c r="P1967" t="s">
        <v>364</v>
      </c>
      <c r="Q1967" t="s">
        <v>39</v>
      </c>
      <c r="R1967" t="s">
        <v>40</v>
      </c>
      <c r="S1967">
        <v>0</v>
      </c>
      <c r="U1967" t="s">
        <v>41</v>
      </c>
      <c r="V1967" t="s">
        <v>42</v>
      </c>
      <c r="X1967" t="s">
        <v>74</v>
      </c>
      <c r="Y1967" t="b">
        <v>0</v>
      </c>
      <c r="Z1967" t="b">
        <v>0</v>
      </c>
      <c r="AC1967" s="1"/>
      <c r="AF1967">
        <v>0</v>
      </c>
      <c r="AG1967">
        <v>45</v>
      </c>
      <c r="AH1967">
        <v>78</v>
      </c>
      <c r="AI1967" s="2">
        <f>Table__192.168.3.138DYLAgingReport[[#This Row],[NetAmount]]-Table__192.168.3.138DYLAgingReport[[#This Row],[Paid]]</f>
        <v>163560</v>
      </c>
    </row>
    <row r="1968" spans="1:35">
      <c r="A1968" t="s">
        <v>4120</v>
      </c>
      <c r="B1968" s="1">
        <v>41239</v>
      </c>
      <c r="C1968" s="1">
        <v>41284</v>
      </c>
      <c r="D1968" t="s">
        <v>227</v>
      </c>
      <c r="E1968">
        <v>51000</v>
      </c>
      <c r="F1968">
        <v>8160</v>
      </c>
      <c r="G1968">
        <v>0</v>
      </c>
      <c r="H1968">
        <v>0</v>
      </c>
      <c r="I1968">
        <v>29</v>
      </c>
      <c r="J1968">
        <v>59160</v>
      </c>
      <c r="K1968" t="s">
        <v>4121</v>
      </c>
      <c r="L1968" s="1">
        <v>41239</v>
      </c>
      <c r="N1968" t="s">
        <v>36</v>
      </c>
      <c r="O1968" t="s">
        <v>37</v>
      </c>
      <c r="P1968" t="s">
        <v>364</v>
      </c>
      <c r="Q1968" t="s">
        <v>39</v>
      </c>
      <c r="R1968" t="s">
        <v>40</v>
      </c>
      <c r="S1968">
        <v>0</v>
      </c>
      <c r="U1968" t="s">
        <v>41</v>
      </c>
      <c r="V1968" t="s">
        <v>42</v>
      </c>
      <c r="X1968" t="s">
        <v>74</v>
      </c>
      <c r="Y1968" t="b">
        <v>0</v>
      </c>
      <c r="Z1968" t="b">
        <v>0</v>
      </c>
      <c r="AC1968" s="1"/>
      <c r="AF1968">
        <v>0</v>
      </c>
      <c r="AG1968">
        <v>45</v>
      </c>
      <c r="AH1968">
        <v>74</v>
      </c>
      <c r="AI1968" s="2">
        <f>Table__192.168.3.138DYLAgingReport[[#This Row],[NetAmount]]-Table__192.168.3.138DYLAgingReport[[#This Row],[Paid]]</f>
        <v>59160</v>
      </c>
    </row>
    <row r="1969" spans="1:35">
      <c r="A1969" t="s">
        <v>4122</v>
      </c>
      <c r="B1969" s="1">
        <v>41229</v>
      </c>
      <c r="C1969" s="1">
        <v>41259</v>
      </c>
      <c r="D1969" t="s">
        <v>285</v>
      </c>
      <c r="E1969">
        <v>725000</v>
      </c>
      <c r="F1969">
        <v>116000</v>
      </c>
      <c r="G1969">
        <v>0</v>
      </c>
      <c r="H1969">
        <v>0</v>
      </c>
      <c r="I1969">
        <v>50</v>
      </c>
      <c r="J1969">
        <v>841000</v>
      </c>
      <c r="K1969" t="s">
        <v>4123</v>
      </c>
      <c r="L1969" s="1">
        <v>41233</v>
      </c>
      <c r="N1969" t="s">
        <v>36</v>
      </c>
      <c r="O1969" t="s">
        <v>37</v>
      </c>
      <c r="P1969" t="s">
        <v>422</v>
      </c>
      <c r="Q1969" t="s">
        <v>39</v>
      </c>
      <c r="R1969" t="s">
        <v>40</v>
      </c>
      <c r="S1969">
        <v>0</v>
      </c>
      <c r="U1969" t="s">
        <v>41</v>
      </c>
      <c r="V1969" t="s">
        <v>42</v>
      </c>
      <c r="X1969" t="s">
        <v>74</v>
      </c>
      <c r="Y1969" t="b">
        <v>0</v>
      </c>
      <c r="Z1969" t="b">
        <v>0</v>
      </c>
      <c r="AB1969" t="s">
        <v>1099</v>
      </c>
      <c r="AC1969" s="1">
        <v>41296</v>
      </c>
      <c r="AF1969">
        <v>0</v>
      </c>
      <c r="AG1969">
        <v>30</v>
      </c>
      <c r="AH1969">
        <v>80</v>
      </c>
      <c r="AI1969" s="2">
        <f>Table__192.168.3.138DYLAgingReport[[#This Row],[NetAmount]]-Table__192.168.3.138DYLAgingReport[[#This Row],[Paid]]</f>
        <v>841000</v>
      </c>
    </row>
    <row r="1970" spans="1:35">
      <c r="A1970" t="s">
        <v>4124</v>
      </c>
      <c r="B1970" s="1">
        <v>41229</v>
      </c>
      <c r="C1970" s="1">
        <v>41259</v>
      </c>
      <c r="D1970" t="s">
        <v>285</v>
      </c>
      <c r="E1970">
        <v>1015000</v>
      </c>
      <c r="F1970">
        <v>162400</v>
      </c>
      <c r="G1970">
        <v>0</v>
      </c>
      <c r="H1970">
        <v>0</v>
      </c>
      <c r="I1970">
        <v>50</v>
      </c>
      <c r="J1970">
        <v>1177400</v>
      </c>
      <c r="K1970" t="s">
        <v>4125</v>
      </c>
      <c r="L1970" s="1">
        <v>41233</v>
      </c>
      <c r="N1970" t="s">
        <v>36</v>
      </c>
      <c r="O1970" t="s">
        <v>37</v>
      </c>
      <c r="P1970" t="s">
        <v>422</v>
      </c>
      <c r="Q1970" t="s">
        <v>39</v>
      </c>
      <c r="R1970" t="s">
        <v>40</v>
      </c>
      <c r="S1970">
        <v>0</v>
      </c>
      <c r="U1970" t="s">
        <v>41</v>
      </c>
      <c r="V1970" t="s">
        <v>42</v>
      </c>
      <c r="X1970" t="s">
        <v>74</v>
      </c>
      <c r="Y1970" t="b">
        <v>0</v>
      </c>
      <c r="Z1970" t="b">
        <v>0</v>
      </c>
      <c r="AB1970" t="s">
        <v>1099</v>
      </c>
      <c r="AC1970" s="1">
        <v>41296</v>
      </c>
      <c r="AF1970">
        <v>0</v>
      </c>
      <c r="AG1970">
        <v>30</v>
      </c>
      <c r="AH1970">
        <v>80</v>
      </c>
      <c r="AI1970" s="2">
        <f>Table__192.168.3.138DYLAgingReport[[#This Row],[NetAmount]]-Table__192.168.3.138DYLAgingReport[[#This Row],[Paid]]</f>
        <v>1177400</v>
      </c>
    </row>
    <row r="1971" spans="1:35">
      <c r="A1971" t="s">
        <v>4126</v>
      </c>
      <c r="B1971" s="1">
        <v>41232</v>
      </c>
      <c r="C1971" s="1">
        <v>41232</v>
      </c>
      <c r="D1971" t="s">
        <v>290</v>
      </c>
      <c r="E1971">
        <v>35550</v>
      </c>
      <c r="F1971">
        <v>5688</v>
      </c>
      <c r="G1971">
        <v>0</v>
      </c>
      <c r="H1971">
        <v>0</v>
      </c>
      <c r="I1971">
        <v>36</v>
      </c>
      <c r="J1971">
        <v>41238</v>
      </c>
      <c r="K1971" t="s">
        <v>4127</v>
      </c>
      <c r="L1971" s="1">
        <v>41232</v>
      </c>
      <c r="M1971" t="s">
        <v>5371</v>
      </c>
      <c r="N1971" t="s">
        <v>36</v>
      </c>
      <c r="O1971" t="s">
        <v>37</v>
      </c>
      <c r="P1971" t="s">
        <v>427</v>
      </c>
      <c r="Q1971" t="s">
        <v>39</v>
      </c>
      <c r="R1971" t="s">
        <v>40</v>
      </c>
      <c r="S1971">
        <v>0</v>
      </c>
      <c r="U1971" t="s">
        <v>41</v>
      </c>
      <c r="V1971" t="s">
        <v>42</v>
      </c>
      <c r="W1971" t="s">
        <v>5367</v>
      </c>
      <c r="X1971" t="s">
        <v>74</v>
      </c>
      <c r="Y1971" t="b">
        <v>0</v>
      </c>
      <c r="Z1971" t="b">
        <v>0</v>
      </c>
      <c r="AA1971" t="b">
        <v>0</v>
      </c>
      <c r="AC1971" s="1"/>
      <c r="AF1971">
        <v>0</v>
      </c>
      <c r="AG1971">
        <v>45</v>
      </c>
      <c r="AH1971">
        <v>81</v>
      </c>
      <c r="AI1971" s="2">
        <f>Table__192.168.3.138DYLAgingReport[[#This Row],[NetAmount]]-Table__192.168.3.138DYLAgingReport[[#This Row],[Paid]]</f>
        <v>41238</v>
      </c>
    </row>
    <row r="1972" spans="1:35">
      <c r="A1972" t="s">
        <v>4128</v>
      </c>
      <c r="B1972" s="1">
        <v>41221</v>
      </c>
      <c r="C1972" s="1">
        <v>41266</v>
      </c>
      <c r="D1972" t="s">
        <v>211</v>
      </c>
      <c r="E1972">
        <v>2970</v>
      </c>
      <c r="F1972">
        <v>0</v>
      </c>
      <c r="G1972">
        <v>0</v>
      </c>
      <c r="H1972">
        <v>0</v>
      </c>
      <c r="I1972">
        <v>40</v>
      </c>
      <c r="J1972">
        <v>2970</v>
      </c>
      <c r="K1972" t="s">
        <v>4129</v>
      </c>
      <c r="L1972" s="1">
        <v>41228</v>
      </c>
      <c r="N1972" t="s">
        <v>36</v>
      </c>
      <c r="O1972" t="s">
        <v>37</v>
      </c>
      <c r="P1972" t="s">
        <v>348</v>
      </c>
      <c r="Q1972" t="s">
        <v>39</v>
      </c>
      <c r="R1972" t="s">
        <v>40</v>
      </c>
      <c r="S1972">
        <v>0</v>
      </c>
      <c r="U1972" t="s">
        <v>41</v>
      </c>
      <c r="V1972" t="s">
        <v>42</v>
      </c>
      <c r="X1972" t="s">
        <v>74</v>
      </c>
      <c r="Y1972" t="b">
        <v>0</v>
      </c>
      <c r="Z1972" t="b">
        <v>0</v>
      </c>
      <c r="AC1972" s="1"/>
      <c r="AF1972">
        <v>0</v>
      </c>
      <c r="AG1972">
        <v>45</v>
      </c>
      <c r="AH1972">
        <v>85</v>
      </c>
      <c r="AI1972" s="2">
        <f>Table__192.168.3.138DYLAgingReport[[#This Row],[NetAmount]]-Table__192.168.3.138DYLAgingReport[[#This Row],[Paid]]</f>
        <v>2970</v>
      </c>
    </row>
    <row r="1973" spans="1:35">
      <c r="A1973" t="s">
        <v>4130</v>
      </c>
      <c r="B1973" s="1">
        <v>41233</v>
      </c>
      <c r="C1973" s="1">
        <v>41278</v>
      </c>
      <c r="D1973" t="s">
        <v>183</v>
      </c>
      <c r="E1973">
        <v>156350</v>
      </c>
      <c r="F1973">
        <v>25016</v>
      </c>
      <c r="G1973">
        <v>0</v>
      </c>
      <c r="H1973">
        <v>0</v>
      </c>
      <c r="I1973">
        <v>35</v>
      </c>
      <c r="J1973">
        <v>181366</v>
      </c>
      <c r="K1973" t="s">
        <v>4131</v>
      </c>
      <c r="L1973" s="1">
        <v>41233</v>
      </c>
      <c r="N1973" t="s">
        <v>36</v>
      </c>
      <c r="O1973" t="s">
        <v>37</v>
      </c>
      <c r="P1973" t="s">
        <v>320</v>
      </c>
      <c r="Q1973" t="s">
        <v>39</v>
      </c>
      <c r="R1973" t="s">
        <v>40</v>
      </c>
      <c r="S1973">
        <v>0</v>
      </c>
      <c r="U1973" t="s">
        <v>41</v>
      </c>
      <c r="V1973" t="s">
        <v>42</v>
      </c>
      <c r="X1973" t="s">
        <v>74</v>
      </c>
      <c r="Y1973" t="b">
        <v>0</v>
      </c>
      <c r="Z1973" t="b">
        <v>0</v>
      </c>
      <c r="AC1973" s="1"/>
      <c r="AF1973">
        <v>0</v>
      </c>
      <c r="AG1973">
        <v>45</v>
      </c>
      <c r="AH1973">
        <v>80</v>
      </c>
      <c r="AI1973" s="2">
        <f>Table__192.168.3.138DYLAgingReport[[#This Row],[NetAmount]]-Table__192.168.3.138DYLAgingReport[[#This Row],[Paid]]</f>
        <v>181366</v>
      </c>
    </row>
    <row r="1974" spans="1:35">
      <c r="A1974" t="s">
        <v>4132</v>
      </c>
      <c r="B1974" s="1">
        <v>41233</v>
      </c>
      <c r="C1974" s="1">
        <v>41278</v>
      </c>
      <c r="D1974" t="s">
        <v>242</v>
      </c>
      <c r="E1974">
        <v>160936</v>
      </c>
      <c r="F1974">
        <v>25750</v>
      </c>
      <c r="G1974">
        <v>0</v>
      </c>
      <c r="H1974">
        <v>0</v>
      </c>
      <c r="I1974">
        <v>35</v>
      </c>
      <c r="J1974">
        <v>186686</v>
      </c>
      <c r="K1974" t="s">
        <v>4133</v>
      </c>
      <c r="L1974" s="1">
        <v>41233</v>
      </c>
      <c r="N1974" t="s">
        <v>36</v>
      </c>
      <c r="O1974" t="s">
        <v>37</v>
      </c>
      <c r="P1974" t="s">
        <v>379</v>
      </c>
      <c r="Q1974" t="s">
        <v>39</v>
      </c>
      <c r="R1974" t="s">
        <v>40</v>
      </c>
      <c r="S1974">
        <v>0</v>
      </c>
      <c r="U1974" t="s">
        <v>41</v>
      </c>
      <c r="V1974" t="s">
        <v>42</v>
      </c>
      <c r="X1974" t="s">
        <v>74</v>
      </c>
      <c r="Y1974" t="b">
        <v>0</v>
      </c>
      <c r="Z1974" t="b">
        <v>0</v>
      </c>
      <c r="AC1974" s="1"/>
      <c r="AF1974">
        <v>0</v>
      </c>
      <c r="AG1974">
        <v>45</v>
      </c>
      <c r="AH1974">
        <v>80</v>
      </c>
      <c r="AI1974" s="2">
        <f>Table__192.168.3.138DYLAgingReport[[#This Row],[NetAmount]]-Table__192.168.3.138DYLAgingReport[[#This Row],[Paid]]</f>
        <v>186686</v>
      </c>
    </row>
    <row r="1975" spans="1:35">
      <c r="A1975" t="s">
        <v>4134</v>
      </c>
      <c r="B1975" s="1">
        <v>41233</v>
      </c>
      <c r="C1975" s="1">
        <v>41278</v>
      </c>
      <c r="D1975" t="s">
        <v>220</v>
      </c>
      <c r="E1975">
        <v>31111</v>
      </c>
      <c r="F1975">
        <v>4978</v>
      </c>
      <c r="G1975">
        <v>0</v>
      </c>
      <c r="H1975">
        <v>0</v>
      </c>
      <c r="I1975">
        <v>35</v>
      </c>
      <c r="J1975">
        <v>36089</v>
      </c>
      <c r="K1975" t="s">
        <v>4135</v>
      </c>
      <c r="L1975" s="1">
        <v>41233</v>
      </c>
      <c r="N1975" t="s">
        <v>36</v>
      </c>
      <c r="O1975" t="s">
        <v>37</v>
      </c>
      <c r="P1975" t="s">
        <v>357</v>
      </c>
      <c r="Q1975" t="s">
        <v>39</v>
      </c>
      <c r="R1975" t="s">
        <v>40</v>
      </c>
      <c r="S1975">
        <v>0</v>
      </c>
      <c r="U1975" t="s">
        <v>41</v>
      </c>
      <c r="V1975" t="s">
        <v>42</v>
      </c>
      <c r="X1975" t="s">
        <v>74</v>
      </c>
      <c r="Y1975" t="b">
        <v>0</v>
      </c>
      <c r="Z1975" t="b">
        <v>0</v>
      </c>
      <c r="AC1975" s="1"/>
      <c r="AF1975">
        <v>0</v>
      </c>
      <c r="AG1975">
        <v>45</v>
      </c>
      <c r="AH1975">
        <v>80</v>
      </c>
      <c r="AI1975" s="2">
        <f>Table__192.168.3.138DYLAgingReport[[#This Row],[NetAmount]]-Table__192.168.3.138DYLAgingReport[[#This Row],[Paid]]</f>
        <v>36089</v>
      </c>
    </row>
    <row r="1976" spans="1:35">
      <c r="A1976" t="s">
        <v>4136</v>
      </c>
      <c r="B1976" s="1">
        <v>41233</v>
      </c>
      <c r="C1976" s="1">
        <v>41278</v>
      </c>
      <c r="D1976" t="s">
        <v>220</v>
      </c>
      <c r="E1976">
        <v>163000</v>
      </c>
      <c r="F1976">
        <v>26080</v>
      </c>
      <c r="G1976">
        <v>0</v>
      </c>
      <c r="H1976">
        <v>0</v>
      </c>
      <c r="I1976">
        <v>35</v>
      </c>
      <c r="J1976">
        <v>189080</v>
      </c>
      <c r="K1976" t="s">
        <v>4137</v>
      </c>
      <c r="L1976" s="1">
        <v>41233</v>
      </c>
      <c r="N1976" t="s">
        <v>36</v>
      </c>
      <c r="O1976" t="s">
        <v>37</v>
      </c>
      <c r="P1976" t="s">
        <v>357</v>
      </c>
      <c r="Q1976" t="s">
        <v>39</v>
      </c>
      <c r="R1976" t="s">
        <v>40</v>
      </c>
      <c r="S1976">
        <v>0</v>
      </c>
      <c r="U1976" t="s">
        <v>41</v>
      </c>
      <c r="V1976" t="s">
        <v>42</v>
      </c>
      <c r="X1976" t="s">
        <v>74</v>
      </c>
      <c r="Y1976" t="b">
        <v>0</v>
      </c>
      <c r="Z1976" t="b">
        <v>0</v>
      </c>
      <c r="AC1976" s="1"/>
      <c r="AF1976">
        <v>0</v>
      </c>
      <c r="AG1976">
        <v>45</v>
      </c>
      <c r="AH1976">
        <v>80</v>
      </c>
      <c r="AI1976" s="2">
        <f>Table__192.168.3.138DYLAgingReport[[#This Row],[NetAmount]]-Table__192.168.3.138DYLAgingReport[[#This Row],[Paid]]</f>
        <v>189080</v>
      </c>
    </row>
    <row r="1977" spans="1:35">
      <c r="A1977" t="s">
        <v>4138</v>
      </c>
      <c r="B1977" s="1">
        <v>41235</v>
      </c>
      <c r="C1977" s="1">
        <v>41280</v>
      </c>
      <c r="D1977" t="s">
        <v>220</v>
      </c>
      <c r="E1977">
        <v>179500</v>
      </c>
      <c r="F1977">
        <v>28720</v>
      </c>
      <c r="G1977">
        <v>0</v>
      </c>
      <c r="H1977">
        <v>0</v>
      </c>
      <c r="I1977">
        <v>33</v>
      </c>
      <c r="J1977">
        <v>208220</v>
      </c>
      <c r="K1977" t="s">
        <v>1250</v>
      </c>
      <c r="L1977" s="1">
        <v>41235</v>
      </c>
      <c r="N1977" t="s">
        <v>36</v>
      </c>
      <c r="O1977" t="s">
        <v>37</v>
      </c>
      <c r="P1977" t="s">
        <v>357</v>
      </c>
      <c r="Q1977" t="s">
        <v>39</v>
      </c>
      <c r="R1977" t="s">
        <v>40</v>
      </c>
      <c r="S1977">
        <v>0</v>
      </c>
      <c r="U1977" t="s">
        <v>41</v>
      </c>
      <c r="V1977" t="s">
        <v>42</v>
      </c>
      <c r="X1977" t="s">
        <v>74</v>
      </c>
      <c r="Y1977" t="b">
        <v>0</v>
      </c>
      <c r="Z1977" t="b">
        <v>0</v>
      </c>
      <c r="AC1977" s="1"/>
      <c r="AF1977">
        <v>0</v>
      </c>
      <c r="AG1977">
        <v>45</v>
      </c>
      <c r="AH1977">
        <v>78</v>
      </c>
      <c r="AI1977" s="2">
        <f>Table__192.168.3.138DYLAgingReport[[#This Row],[NetAmount]]-Table__192.168.3.138DYLAgingReport[[#This Row],[Paid]]</f>
        <v>208220</v>
      </c>
    </row>
    <row r="1978" spans="1:35">
      <c r="A1978" t="s">
        <v>4139</v>
      </c>
      <c r="B1978" s="1">
        <v>41235</v>
      </c>
      <c r="C1978" s="1">
        <v>41280</v>
      </c>
      <c r="D1978" t="s">
        <v>232</v>
      </c>
      <c r="E1978">
        <v>2500</v>
      </c>
      <c r="F1978">
        <v>400</v>
      </c>
      <c r="G1978">
        <v>0</v>
      </c>
      <c r="H1978">
        <v>0</v>
      </c>
      <c r="I1978">
        <v>33</v>
      </c>
      <c r="J1978">
        <v>2900</v>
      </c>
      <c r="K1978" t="s">
        <v>3823</v>
      </c>
      <c r="L1978" s="1">
        <v>41235</v>
      </c>
      <c r="N1978" t="s">
        <v>36</v>
      </c>
      <c r="O1978" t="s">
        <v>37</v>
      </c>
      <c r="P1978" t="s">
        <v>369</v>
      </c>
      <c r="Q1978" t="s">
        <v>39</v>
      </c>
      <c r="R1978" t="s">
        <v>40</v>
      </c>
      <c r="S1978">
        <v>0</v>
      </c>
      <c r="U1978" t="s">
        <v>41</v>
      </c>
      <c r="V1978" t="s">
        <v>42</v>
      </c>
      <c r="X1978" t="s">
        <v>74</v>
      </c>
      <c r="Y1978" t="b">
        <v>0</v>
      </c>
      <c r="Z1978" t="b">
        <v>0</v>
      </c>
      <c r="AC1978" s="1"/>
      <c r="AF1978">
        <v>0</v>
      </c>
      <c r="AG1978">
        <v>45</v>
      </c>
      <c r="AH1978">
        <v>78</v>
      </c>
      <c r="AI1978" s="2">
        <f>Table__192.168.3.138DYLAgingReport[[#This Row],[NetAmount]]-Table__192.168.3.138DYLAgingReport[[#This Row],[Paid]]</f>
        <v>2900</v>
      </c>
    </row>
    <row r="1979" spans="1:35">
      <c r="A1979" t="s">
        <v>4140</v>
      </c>
      <c r="B1979" s="1">
        <v>41235</v>
      </c>
      <c r="C1979" s="1">
        <v>41280</v>
      </c>
      <c r="D1979" t="s">
        <v>194</v>
      </c>
      <c r="E1979">
        <v>167262</v>
      </c>
      <c r="F1979">
        <v>26762</v>
      </c>
      <c r="G1979">
        <v>0</v>
      </c>
      <c r="H1979">
        <v>0</v>
      </c>
      <c r="I1979">
        <v>31</v>
      </c>
      <c r="J1979">
        <v>194024</v>
      </c>
      <c r="K1979" t="s">
        <v>3397</v>
      </c>
      <c r="L1979" s="1">
        <v>41237</v>
      </c>
      <c r="N1979" t="s">
        <v>36</v>
      </c>
      <c r="O1979" t="s">
        <v>37</v>
      </c>
      <c r="P1979" t="s">
        <v>331</v>
      </c>
      <c r="Q1979" t="s">
        <v>39</v>
      </c>
      <c r="R1979" t="s">
        <v>40</v>
      </c>
      <c r="S1979">
        <v>0</v>
      </c>
      <c r="U1979" t="s">
        <v>41</v>
      </c>
      <c r="V1979" t="s">
        <v>42</v>
      </c>
      <c r="X1979" t="s">
        <v>74</v>
      </c>
      <c r="Y1979" t="b">
        <v>0</v>
      </c>
      <c r="Z1979" t="b">
        <v>0</v>
      </c>
      <c r="AC1979" s="1"/>
      <c r="AF1979">
        <v>0</v>
      </c>
      <c r="AG1979">
        <v>45</v>
      </c>
      <c r="AH1979">
        <v>76</v>
      </c>
      <c r="AI1979" s="2">
        <f>Table__192.168.3.138DYLAgingReport[[#This Row],[NetAmount]]-Table__192.168.3.138DYLAgingReport[[#This Row],[Paid]]</f>
        <v>194024</v>
      </c>
    </row>
    <row r="1980" spans="1:35">
      <c r="A1980" t="s">
        <v>4141</v>
      </c>
      <c r="B1980" s="1">
        <v>41218</v>
      </c>
      <c r="C1980" s="1">
        <v>41263</v>
      </c>
      <c r="D1980" t="s">
        <v>226</v>
      </c>
      <c r="E1980">
        <v>9075</v>
      </c>
      <c r="F1980">
        <v>1452</v>
      </c>
      <c r="G1980">
        <v>0</v>
      </c>
      <c r="H1980">
        <v>0</v>
      </c>
      <c r="I1980">
        <v>40</v>
      </c>
      <c r="J1980">
        <v>10527</v>
      </c>
      <c r="K1980" t="s">
        <v>4142</v>
      </c>
      <c r="L1980" s="1">
        <v>41228</v>
      </c>
      <c r="N1980" t="s">
        <v>36</v>
      </c>
      <c r="O1980" t="s">
        <v>37</v>
      </c>
      <c r="P1980" t="s">
        <v>363</v>
      </c>
      <c r="Q1980" t="s">
        <v>39</v>
      </c>
      <c r="R1980" t="s">
        <v>40</v>
      </c>
      <c r="S1980">
        <v>0</v>
      </c>
      <c r="U1980" t="s">
        <v>41</v>
      </c>
      <c r="V1980" t="s">
        <v>42</v>
      </c>
      <c r="X1980" t="s">
        <v>74</v>
      </c>
      <c r="Y1980" t="b">
        <v>0</v>
      </c>
      <c r="Z1980" t="b">
        <v>0</v>
      </c>
      <c r="AC1980" s="1"/>
      <c r="AF1980">
        <v>0</v>
      </c>
      <c r="AG1980">
        <v>45</v>
      </c>
      <c r="AH1980">
        <v>85</v>
      </c>
      <c r="AI1980" s="2">
        <f>Table__192.168.3.138DYLAgingReport[[#This Row],[NetAmount]]-Table__192.168.3.138DYLAgingReport[[#This Row],[Paid]]</f>
        <v>10527</v>
      </c>
    </row>
    <row r="1981" spans="1:35">
      <c r="A1981" t="s">
        <v>4143</v>
      </c>
      <c r="B1981" s="1">
        <v>41235</v>
      </c>
      <c r="C1981" s="1">
        <v>41280</v>
      </c>
      <c r="D1981" t="s">
        <v>264</v>
      </c>
      <c r="E1981">
        <v>700000</v>
      </c>
      <c r="F1981">
        <v>112000</v>
      </c>
      <c r="G1981">
        <v>0</v>
      </c>
      <c r="H1981">
        <v>0</v>
      </c>
      <c r="I1981">
        <v>34</v>
      </c>
      <c r="J1981">
        <v>812000</v>
      </c>
      <c r="K1981" t="s">
        <v>4144</v>
      </c>
      <c r="L1981" s="1">
        <v>41234</v>
      </c>
      <c r="N1981" t="s">
        <v>36</v>
      </c>
      <c r="O1981" t="s">
        <v>37</v>
      </c>
      <c r="P1981" t="s">
        <v>401</v>
      </c>
      <c r="Q1981" t="s">
        <v>39</v>
      </c>
      <c r="R1981" t="s">
        <v>40</v>
      </c>
      <c r="S1981">
        <v>0</v>
      </c>
      <c r="U1981" t="s">
        <v>41</v>
      </c>
      <c r="V1981" t="s">
        <v>42</v>
      </c>
      <c r="X1981" t="s">
        <v>74</v>
      </c>
      <c r="Y1981" t="b">
        <v>0</v>
      </c>
      <c r="Z1981" t="b">
        <v>0</v>
      </c>
      <c r="AB1981" t="s">
        <v>1230</v>
      </c>
      <c r="AC1981" s="1"/>
      <c r="AF1981">
        <v>0</v>
      </c>
      <c r="AG1981">
        <v>45</v>
      </c>
      <c r="AH1981">
        <v>79</v>
      </c>
      <c r="AI1981" s="2">
        <f>Table__192.168.3.138DYLAgingReport[[#This Row],[NetAmount]]-Table__192.168.3.138DYLAgingReport[[#This Row],[Paid]]</f>
        <v>812000</v>
      </c>
    </row>
    <row r="1982" spans="1:35">
      <c r="A1982" t="s">
        <v>4145</v>
      </c>
      <c r="B1982" s="1">
        <v>41234</v>
      </c>
      <c r="C1982" s="1">
        <v>41279</v>
      </c>
      <c r="D1982" t="s">
        <v>224</v>
      </c>
      <c r="E1982">
        <v>2820</v>
      </c>
      <c r="F1982">
        <v>451</v>
      </c>
      <c r="G1982">
        <v>0</v>
      </c>
      <c r="H1982">
        <v>0</v>
      </c>
      <c r="I1982">
        <v>47</v>
      </c>
      <c r="J1982">
        <v>3271</v>
      </c>
      <c r="K1982" t="s">
        <v>4146</v>
      </c>
      <c r="L1982" s="1">
        <v>41221</v>
      </c>
      <c r="N1982" t="s">
        <v>36</v>
      </c>
      <c r="O1982" t="s">
        <v>37</v>
      </c>
      <c r="P1982" t="s">
        <v>361</v>
      </c>
      <c r="Q1982" t="s">
        <v>39</v>
      </c>
      <c r="R1982" t="s">
        <v>40</v>
      </c>
      <c r="S1982">
        <v>0</v>
      </c>
      <c r="U1982" t="s">
        <v>41</v>
      </c>
      <c r="V1982" t="s">
        <v>42</v>
      </c>
      <c r="X1982" t="s">
        <v>74</v>
      </c>
      <c r="Y1982" t="b">
        <v>0</v>
      </c>
      <c r="Z1982" t="b">
        <v>0</v>
      </c>
      <c r="AC1982" s="1"/>
      <c r="AF1982">
        <v>0</v>
      </c>
      <c r="AG1982">
        <v>45</v>
      </c>
      <c r="AH1982">
        <v>92</v>
      </c>
      <c r="AI1982" s="2">
        <f>Table__192.168.3.138DYLAgingReport[[#This Row],[NetAmount]]-Table__192.168.3.138DYLAgingReport[[#This Row],[Paid]]</f>
        <v>3271</v>
      </c>
    </row>
    <row r="1983" spans="1:35">
      <c r="A1983" t="s">
        <v>4147</v>
      </c>
      <c r="B1983" s="1">
        <v>41234</v>
      </c>
      <c r="C1983" s="1">
        <v>41279</v>
      </c>
      <c r="D1983" t="s">
        <v>224</v>
      </c>
      <c r="E1983">
        <v>10200</v>
      </c>
      <c r="F1983">
        <v>1632</v>
      </c>
      <c r="G1983">
        <v>0</v>
      </c>
      <c r="H1983">
        <v>0</v>
      </c>
      <c r="I1983">
        <v>47</v>
      </c>
      <c r="J1983">
        <v>11832</v>
      </c>
      <c r="K1983" t="s">
        <v>4148</v>
      </c>
      <c r="L1983" s="1">
        <v>41221</v>
      </c>
      <c r="N1983" t="s">
        <v>36</v>
      </c>
      <c r="O1983" t="s">
        <v>37</v>
      </c>
      <c r="P1983" t="s">
        <v>361</v>
      </c>
      <c r="Q1983" t="s">
        <v>39</v>
      </c>
      <c r="R1983" t="s">
        <v>40</v>
      </c>
      <c r="S1983">
        <v>0</v>
      </c>
      <c r="U1983" t="s">
        <v>41</v>
      </c>
      <c r="V1983" t="s">
        <v>42</v>
      </c>
      <c r="X1983" t="s">
        <v>74</v>
      </c>
      <c r="Y1983" t="b">
        <v>0</v>
      </c>
      <c r="Z1983" t="b">
        <v>0</v>
      </c>
      <c r="AC1983" s="1"/>
      <c r="AF1983">
        <v>0</v>
      </c>
      <c r="AG1983">
        <v>45</v>
      </c>
      <c r="AH1983">
        <v>92</v>
      </c>
      <c r="AI1983" s="2">
        <f>Table__192.168.3.138DYLAgingReport[[#This Row],[NetAmount]]-Table__192.168.3.138DYLAgingReport[[#This Row],[Paid]]</f>
        <v>11832</v>
      </c>
    </row>
    <row r="1984" spans="1:35">
      <c r="A1984" t="s">
        <v>4149</v>
      </c>
      <c r="B1984" s="1">
        <v>41234</v>
      </c>
      <c r="C1984" s="1">
        <v>41279</v>
      </c>
      <c r="D1984" t="s">
        <v>224</v>
      </c>
      <c r="E1984">
        <v>153128</v>
      </c>
      <c r="F1984">
        <v>24500</v>
      </c>
      <c r="G1984">
        <v>0</v>
      </c>
      <c r="H1984">
        <v>0</v>
      </c>
      <c r="I1984">
        <v>47</v>
      </c>
      <c r="J1984">
        <v>177628</v>
      </c>
      <c r="K1984" t="s">
        <v>4150</v>
      </c>
      <c r="L1984" s="1">
        <v>41221</v>
      </c>
      <c r="N1984" t="s">
        <v>36</v>
      </c>
      <c r="O1984" t="s">
        <v>37</v>
      </c>
      <c r="P1984" t="s">
        <v>361</v>
      </c>
      <c r="Q1984" t="s">
        <v>39</v>
      </c>
      <c r="R1984" t="s">
        <v>40</v>
      </c>
      <c r="S1984">
        <v>0</v>
      </c>
      <c r="U1984" t="s">
        <v>41</v>
      </c>
      <c r="V1984" t="s">
        <v>42</v>
      </c>
      <c r="X1984" t="s">
        <v>74</v>
      </c>
      <c r="Y1984" t="b">
        <v>0</v>
      </c>
      <c r="Z1984" t="b">
        <v>0</v>
      </c>
      <c r="AC1984" s="1"/>
      <c r="AF1984">
        <v>0</v>
      </c>
      <c r="AG1984">
        <v>45</v>
      </c>
      <c r="AH1984">
        <v>92</v>
      </c>
      <c r="AI1984" s="2">
        <f>Table__192.168.3.138DYLAgingReport[[#This Row],[NetAmount]]-Table__192.168.3.138DYLAgingReport[[#This Row],[Paid]]</f>
        <v>177628</v>
      </c>
    </row>
    <row r="1985" spans="1:35">
      <c r="A1985" t="s">
        <v>4151</v>
      </c>
      <c r="B1985" s="1">
        <v>41235</v>
      </c>
      <c r="C1985" s="1">
        <v>41280</v>
      </c>
      <c r="D1985" t="s">
        <v>231</v>
      </c>
      <c r="E1985">
        <v>327600</v>
      </c>
      <c r="F1985">
        <v>52416</v>
      </c>
      <c r="G1985">
        <v>0</v>
      </c>
      <c r="H1985">
        <v>0</v>
      </c>
      <c r="I1985">
        <v>33</v>
      </c>
      <c r="J1985">
        <v>380016</v>
      </c>
      <c r="K1985" t="s">
        <v>4152</v>
      </c>
      <c r="L1985" s="1">
        <v>41235</v>
      </c>
      <c r="N1985" t="s">
        <v>36</v>
      </c>
      <c r="O1985" t="s">
        <v>37</v>
      </c>
      <c r="P1985" t="s">
        <v>368</v>
      </c>
      <c r="Q1985" t="s">
        <v>39</v>
      </c>
      <c r="R1985" t="s">
        <v>40</v>
      </c>
      <c r="S1985">
        <v>0</v>
      </c>
      <c r="U1985" t="s">
        <v>41</v>
      </c>
      <c r="V1985" t="s">
        <v>42</v>
      </c>
      <c r="X1985" t="s">
        <v>74</v>
      </c>
      <c r="Y1985" t="b">
        <v>0</v>
      </c>
      <c r="Z1985" t="b">
        <v>0</v>
      </c>
      <c r="AC1985" s="1"/>
      <c r="AF1985">
        <v>0</v>
      </c>
      <c r="AG1985">
        <v>45</v>
      </c>
      <c r="AH1985">
        <v>78</v>
      </c>
      <c r="AI1985" s="2">
        <f>Table__192.168.3.138DYLAgingReport[[#This Row],[NetAmount]]-Table__192.168.3.138DYLAgingReport[[#This Row],[Paid]]</f>
        <v>380016</v>
      </c>
    </row>
    <row r="1986" spans="1:35">
      <c r="A1986" t="s">
        <v>4153</v>
      </c>
      <c r="B1986" s="1">
        <v>41216</v>
      </c>
      <c r="C1986" s="1">
        <v>41261</v>
      </c>
      <c r="D1986" t="s">
        <v>175</v>
      </c>
      <c r="E1986">
        <v>195000</v>
      </c>
      <c r="F1986">
        <v>31200</v>
      </c>
      <c r="G1986">
        <v>0</v>
      </c>
      <c r="H1986">
        <v>0</v>
      </c>
      <c r="I1986">
        <v>25</v>
      </c>
      <c r="J1986">
        <v>226200</v>
      </c>
      <c r="K1986" t="s">
        <v>4154</v>
      </c>
      <c r="L1986" s="1">
        <v>41243</v>
      </c>
      <c r="N1986" t="s">
        <v>36</v>
      </c>
      <c r="O1986" t="s">
        <v>37</v>
      </c>
      <c r="P1986" t="s">
        <v>312</v>
      </c>
      <c r="Q1986" t="s">
        <v>39</v>
      </c>
      <c r="R1986" t="s">
        <v>40</v>
      </c>
      <c r="S1986">
        <v>0</v>
      </c>
      <c r="U1986" t="s">
        <v>41</v>
      </c>
      <c r="V1986" t="s">
        <v>42</v>
      </c>
      <c r="X1986" t="s">
        <v>74</v>
      </c>
      <c r="Y1986" t="b">
        <v>0</v>
      </c>
      <c r="Z1986" t="b">
        <v>0</v>
      </c>
      <c r="AC1986" s="1"/>
      <c r="AF1986">
        <v>0</v>
      </c>
      <c r="AG1986">
        <v>45</v>
      </c>
      <c r="AH1986">
        <v>70</v>
      </c>
      <c r="AI1986" s="2">
        <f>Table__192.168.3.138DYLAgingReport[[#This Row],[NetAmount]]-Table__192.168.3.138DYLAgingReport[[#This Row],[Paid]]</f>
        <v>226200</v>
      </c>
    </row>
    <row r="1987" spans="1:35">
      <c r="A1987" t="s">
        <v>4155</v>
      </c>
      <c r="B1987" s="1">
        <v>41228</v>
      </c>
      <c r="C1987" s="1">
        <v>41273</v>
      </c>
      <c r="D1987" t="s">
        <v>175</v>
      </c>
      <c r="E1987">
        <v>2800</v>
      </c>
      <c r="F1987">
        <v>448</v>
      </c>
      <c r="G1987">
        <v>0</v>
      </c>
      <c r="H1987">
        <v>0</v>
      </c>
      <c r="I1987">
        <v>40</v>
      </c>
      <c r="J1987">
        <v>3248</v>
      </c>
      <c r="K1987" t="s">
        <v>1494</v>
      </c>
      <c r="L1987" s="1">
        <v>41228</v>
      </c>
      <c r="N1987" t="s">
        <v>36</v>
      </c>
      <c r="O1987" t="s">
        <v>37</v>
      </c>
      <c r="P1987" t="s">
        <v>312</v>
      </c>
      <c r="Q1987" t="s">
        <v>39</v>
      </c>
      <c r="R1987" t="s">
        <v>40</v>
      </c>
      <c r="S1987">
        <v>0</v>
      </c>
      <c r="U1987" t="s">
        <v>41</v>
      </c>
      <c r="V1987" t="s">
        <v>42</v>
      </c>
      <c r="X1987" t="s">
        <v>74</v>
      </c>
      <c r="Y1987" t="b">
        <v>0</v>
      </c>
      <c r="Z1987" t="b">
        <v>0</v>
      </c>
      <c r="AC1987" s="1"/>
      <c r="AF1987">
        <v>0</v>
      </c>
      <c r="AG1987">
        <v>45</v>
      </c>
      <c r="AH1987">
        <v>85</v>
      </c>
      <c r="AI1987" s="2">
        <f>Table__192.168.3.138DYLAgingReport[[#This Row],[NetAmount]]-Table__192.168.3.138DYLAgingReport[[#This Row],[Paid]]</f>
        <v>3248</v>
      </c>
    </row>
    <row r="1988" spans="1:35">
      <c r="A1988" t="s">
        <v>4156</v>
      </c>
      <c r="B1988" s="1">
        <v>41225</v>
      </c>
      <c r="C1988" s="1">
        <v>41270</v>
      </c>
      <c r="D1988" t="s">
        <v>175</v>
      </c>
      <c r="E1988">
        <v>260000</v>
      </c>
      <c r="F1988">
        <v>41600</v>
      </c>
      <c r="G1988">
        <v>0</v>
      </c>
      <c r="H1988">
        <v>0</v>
      </c>
      <c r="I1988">
        <v>43</v>
      </c>
      <c r="J1988">
        <v>301600</v>
      </c>
      <c r="K1988" t="s">
        <v>4157</v>
      </c>
      <c r="L1988" s="1">
        <v>41225</v>
      </c>
      <c r="N1988" t="s">
        <v>36</v>
      </c>
      <c r="O1988" t="s">
        <v>37</v>
      </c>
      <c r="P1988" t="s">
        <v>312</v>
      </c>
      <c r="Q1988" t="s">
        <v>39</v>
      </c>
      <c r="R1988" t="s">
        <v>40</v>
      </c>
      <c r="S1988">
        <v>0</v>
      </c>
      <c r="U1988" t="s">
        <v>41</v>
      </c>
      <c r="V1988" t="s">
        <v>42</v>
      </c>
      <c r="X1988" t="s">
        <v>74</v>
      </c>
      <c r="Y1988" t="b">
        <v>0</v>
      </c>
      <c r="Z1988" t="b">
        <v>0</v>
      </c>
      <c r="AC1988" s="1"/>
      <c r="AF1988">
        <v>0</v>
      </c>
      <c r="AG1988">
        <v>45</v>
      </c>
      <c r="AH1988">
        <v>88</v>
      </c>
      <c r="AI1988" s="2">
        <f>Table__192.168.3.138DYLAgingReport[[#This Row],[NetAmount]]-Table__192.168.3.138DYLAgingReport[[#This Row],[Paid]]</f>
        <v>301600</v>
      </c>
    </row>
    <row r="1989" spans="1:35">
      <c r="A1989" t="s">
        <v>4158</v>
      </c>
      <c r="B1989" s="1">
        <v>41242</v>
      </c>
      <c r="C1989" s="1">
        <v>41287</v>
      </c>
      <c r="D1989" t="s">
        <v>175</v>
      </c>
      <c r="E1989">
        <v>297690</v>
      </c>
      <c r="F1989">
        <v>47630</v>
      </c>
      <c r="G1989">
        <v>0</v>
      </c>
      <c r="H1989">
        <v>0</v>
      </c>
      <c r="I1989">
        <v>26</v>
      </c>
      <c r="J1989">
        <v>345320</v>
      </c>
      <c r="K1989" t="s">
        <v>2867</v>
      </c>
      <c r="L1989" s="1">
        <v>41242</v>
      </c>
      <c r="N1989" t="s">
        <v>36</v>
      </c>
      <c r="O1989" t="s">
        <v>37</v>
      </c>
      <c r="P1989" t="s">
        <v>312</v>
      </c>
      <c r="Q1989" t="s">
        <v>39</v>
      </c>
      <c r="R1989" t="s">
        <v>40</v>
      </c>
      <c r="S1989">
        <v>0</v>
      </c>
      <c r="U1989" t="s">
        <v>41</v>
      </c>
      <c r="V1989" t="s">
        <v>42</v>
      </c>
      <c r="X1989" t="s">
        <v>74</v>
      </c>
      <c r="Y1989" t="b">
        <v>0</v>
      </c>
      <c r="Z1989" t="b">
        <v>0</v>
      </c>
      <c r="AC1989" s="1"/>
      <c r="AF1989">
        <v>0</v>
      </c>
      <c r="AG1989">
        <v>45</v>
      </c>
      <c r="AH1989">
        <v>71</v>
      </c>
      <c r="AI1989" s="2">
        <f>Table__192.168.3.138DYLAgingReport[[#This Row],[NetAmount]]-Table__192.168.3.138DYLAgingReport[[#This Row],[Paid]]</f>
        <v>345320</v>
      </c>
    </row>
    <row r="1990" spans="1:35">
      <c r="A1990" t="s">
        <v>4159</v>
      </c>
      <c r="B1990" s="1">
        <v>41239</v>
      </c>
      <c r="C1990" s="1">
        <v>41284</v>
      </c>
      <c r="D1990" t="s">
        <v>258</v>
      </c>
      <c r="E1990">
        <v>78827</v>
      </c>
      <c r="F1990">
        <v>12612</v>
      </c>
      <c r="G1990">
        <v>0</v>
      </c>
      <c r="H1990">
        <v>0</v>
      </c>
      <c r="I1990">
        <v>29</v>
      </c>
      <c r="J1990">
        <v>91439</v>
      </c>
      <c r="K1990" t="s">
        <v>4160</v>
      </c>
      <c r="L1990" s="1">
        <v>41239</v>
      </c>
      <c r="N1990" t="s">
        <v>36</v>
      </c>
      <c r="O1990" t="s">
        <v>37</v>
      </c>
      <c r="P1990" t="s">
        <v>395</v>
      </c>
      <c r="Q1990" t="s">
        <v>39</v>
      </c>
      <c r="R1990" t="s">
        <v>40</v>
      </c>
      <c r="S1990">
        <v>0</v>
      </c>
      <c r="U1990" t="s">
        <v>41</v>
      </c>
      <c r="V1990" t="s">
        <v>42</v>
      </c>
      <c r="X1990" t="s">
        <v>74</v>
      </c>
      <c r="Y1990" t="b">
        <v>0</v>
      </c>
      <c r="Z1990" t="b">
        <v>0</v>
      </c>
      <c r="AC1990" s="1"/>
      <c r="AF1990">
        <v>0</v>
      </c>
      <c r="AG1990">
        <v>45</v>
      </c>
      <c r="AH1990">
        <v>74</v>
      </c>
      <c r="AI1990" s="2">
        <f>Table__192.168.3.138DYLAgingReport[[#This Row],[NetAmount]]-Table__192.168.3.138DYLAgingReport[[#This Row],[Paid]]</f>
        <v>91439</v>
      </c>
    </row>
    <row r="1991" spans="1:35">
      <c r="A1991" t="s">
        <v>4161</v>
      </c>
      <c r="B1991" s="1">
        <v>41241</v>
      </c>
      <c r="C1991" s="1">
        <v>41286</v>
      </c>
      <c r="D1991" t="s">
        <v>258</v>
      </c>
      <c r="E1991">
        <v>32656</v>
      </c>
      <c r="F1991">
        <v>5225</v>
      </c>
      <c r="G1991">
        <v>0</v>
      </c>
      <c r="H1991">
        <v>0</v>
      </c>
      <c r="I1991">
        <v>27</v>
      </c>
      <c r="J1991">
        <v>37881</v>
      </c>
      <c r="K1991" t="s">
        <v>1044</v>
      </c>
      <c r="L1991" s="1">
        <v>41241</v>
      </c>
      <c r="N1991" t="s">
        <v>36</v>
      </c>
      <c r="O1991" t="s">
        <v>37</v>
      </c>
      <c r="P1991" t="s">
        <v>395</v>
      </c>
      <c r="Q1991" t="s">
        <v>39</v>
      </c>
      <c r="R1991" t="s">
        <v>40</v>
      </c>
      <c r="S1991">
        <v>0</v>
      </c>
      <c r="U1991" t="s">
        <v>41</v>
      </c>
      <c r="V1991" t="s">
        <v>42</v>
      </c>
      <c r="X1991" t="s">
        <v>74</v>
      </c>
      <c r="Y1991" t="b">
        <v>0</v>
      </c>
      <c r="Z1991" t="b">
        <v>0</v>
      </c>
      <c r="AC1991" s="1"/>
      <c r="AF1991">
        <v>0</v>
      </c>
      <c r="AG1991">
        <v>45</v>
      </c>
      <c r="AH1991">
        <v>72</v>
      </c>
      <c r="AI1991" s="2">
        <f>Table__192.168.3.138DYLAgingReport[[#This Row],[NetAmount]]-Table__192.168.3.138DYLAgingReport[[#This Row],[Paid]]</f>
        <v>37881</v>
      </c>
    </row>
    <row r="1992" spans="1:35">
      <c r="A1992" t="s">
        <v>4162</v>
      </c>
      <c r="B1992" s="1">
        <v>41239</v>
      </c>
      <c r="C1992" s="1">
        <v>41284</v>
      </c>
      <c r="D1992" t="s">
        <v>263</v>
      </c>
      <c r="E1992">
        <v>271974</v>
      </c>
      <c r="F1992">
        <v>43516</v>
      </c>
      <c r="G1992">
        <v>0</v>
      </c>
      <c r="H1992">
        <v>0</v>
      </c>
      <c r="I1992">
        <v>28</v>
      </c>
      <c r="J1992">
        <v>315490</v>
      </c>
      <c r="K1992" t="s">
        <v>4163</v>
      </c>
      <c r="L1992" s="1">
        <v>41240</v>
      </c>
      <c r="N1992" t="s">
        <v>36</v>
      </c>
      <c r="O1992" t="s">
        <v>37</v>
      </c>
      <c r="P1992" t="s">
        <v>400</v>
      </c>
      <c r="Q1992" t="s">
        <v>39</v>
      </c>
      <c r="R1992" t="s">
        <v>40</v>
      </c>
      <c r="S1992">
        <v>0</v>
      </c>
      <c r="U1992" t="s">
        <v>41</v>
      </c>
      <c r="V1992" t="s">
        <v>42</v>
      </c>
      <c r="X1992" t="s">
        <v>74</v>
      </c>
      <c r="Y1992" t="b">
        <v>0</v>
      </c>
      <c r="Z1992" t="b">
        <v>0</v>
      </c>
      <c r="AC1992" s="1"/>
      <c r="AF1992">
        <v>0</v>
      </c>
      <c r="AG1992">
        <v>45</v>
      </c>
      <c r="AH1992">
        <v>73</v>
      </c>
      <c r="AI1992" s="2">
        <f>Table__192.168.3.138DYLAgingReport[[#This Row],[NetAmount]]-Table__192.168.3.138DYLAgingReport[[#This Row],[Paid]]</f>
        <v>315490</v>
      </c>
    </row>
    <row r="1993" spans="1:35">
      <c r="A1993" t="s">
        <v>4164</v>
      </c>
      <c r="B1993" s="1">
        <v>41242</v>
      </c>
      <c r="C1993" s="1">
        <v>41287</v>
      </c>
      <c r="D1993" t="s">
        <v>263</v>
      </c>
      <c r="E1993">
        <v>125154</v>
      </c>
      <c r="F1993">
        <v>20025</v>
      </c>
      <c r="G1993">
        <v>0</v>
      </c>
      <c r="H1993">
        <v>0</v>
      </c>
      <c r="I1993">
        <v>26</v>
      </c>
      <c r="J1993">
        <v>145179</v>
      </c>
      <c r="K1993" t="s">
        <v>4165</v>
      </c>
      <c r="L1993" s="1">
        <v>41242</v>
      </c>
      <c r="N1993" t="s">
        <v>36</v>
      </c>
      <c r="O1993" t="s">
        <v>37</v>
      </c>
      <c r="P1993" t="s">
        <v>400</v>
      </c>
      <c r="Q1993" t="s">
        <v>39</v>
      </c>
      <c r="R1993" t="s">
        <v>40</v>
      </c>
      <c r="S1993">
        <v>0</v>
      </c>
      <c r="U1993" t="s">
        <v>41</v>
      </c>
      <c r="V1993" t="s">
        <v>42</v>
      </c>
      <c r="X1993" t="s">
        <v>74</v>
      </c>
      <c r="Y1993" t="b">
        <v>0</v>
      </c>
      <c r="Z1993" t="b">
        <v>0</v>
      </c>
      <c r="AC1993" s="1"/>
      <c r="AF1993">
        <v>0</v>
      </c>
      <c r="AG1993">
        <v>45</v>
      </c>
      <c r="AH1993">
        <v>71</v>
      </c>
      <c r="AI1993" s="2">
        <f>Table__192.168.3.138DYLAgingReport[[#This Row],[NetAmount]]-Table__192.168.3.138DYLAgingReport[[#This Row],[Paid]]</f>
        <v>145179</v>
      </c>
    </row>
    <row r="1994" spans="1:35">
      <c r="A1994" t="s">
        <v>4166</v>
      </c>
      <c r="B1994" s="1">
        <v>41235</v>
      </c>
      <c r="C1994" s="1">
        <v>41235</v>
      </c>
      <c r="D1994" t="s">
        <v>293</v>
      </c>
      <c r="E1994">
        <v>1360000</v>
      </c>
      <c r="F1994">
        <v>217600</v>
      </c>
      <c r="G1994">
        <v>0</v>
      </c>
      <c r="H1994">
        <v>0</v>
      </c>
      <c r="I1994">
        <v>35</v>
      </c>
      <c r="J1994">
        <v>1577600</v>
      </c>
      <c r="K1994" t="s">
        <v>4167</v>
      </c>
      <c r="L1994" s="1">
        <v>41233</v>
      </c>
      <c r="N1994" t="s">
        <v>36</v>
      </c>
      <c r="O1994" t="s">
        <v>37</v>
      </c>
      <c r="P1994" t="s">
        <v>430</v>
      </c>
      <c r="Q1994" t="s">
        <v>39</v>
      </c>
      <c r="R1994" t="s">
        <v>40</v>
      </c>
      <c r="S1994">
        <v>0</v>
      </c>
      <c r="U1994" t="s">
        <v>41</v>
      </c>
      <c r="V1994" t="s">
        <v>42</v>
      </c>
      <c r="X1994" t="s">
        <v>74</v>
      </c>
      <c r="Y1994" t="b">
        <v>0</v>
      </c>
      <c r="Z1994" t="b">
        <v>0</v>
      </c>
      <c r="AB1994" t="s">
        <v>3689</v>
      </c>
      <c r="AC1994" s="1">
        <v>41283</v>
      </c>
      <c r="AE1994" t="s">
        <v>3146</v>
      </c>
      <c r="AF1994">
        <v>0</v>
      </c>
      <c r="AG1994">
        <v>45</v>
      </c>
      <c r="AH1994">
        <v>80</v>
      </c>
      <c r="AI1994" s="2">
        <f>Table__192.168.3.138DYLAgingReport[[#This Row],[NetAmount]]-Table__192.168.3.138DYLAgingReport[[#This Row],[Paid]]</f>
        <v>1577600</v>
      </c>
    </row>
    <row r="1995" spans="1:35">
      <c r="A1995" t="s">
        <v>4168</v>
      </c>
      <c r="B1995" s="1">
        <v>41228</v>
      </c>
      <c r="C1995" s="1">
        <v>41273</v>
      </c>
      <c r="D1995" t="s">
        <v>282</v>
      </c>
      <c r="E1995">
        <v>225000</v>
      </c>
      <c r="F1995">
        <v>36000</v>
      </c>
      <c r="G1995">
        <v>0</v>
      </c>
      <c r="H1995">
        <v>0</v>
      </c>
      <c r="I1995">
        <v>40</v>
      </c>
      <c r="J1995">
        <v>261000</v>
      </c>
      <c r="K1995" t="s">
        <v>3525</v>
      </c>
      <c r="L1995" s="1">
        <v>41228</v>
      </c>
      <c r="N1995" t="s">
        <v>36</v>
      </c>
      <c r="O1995" t="s">
        <v>37</v>
      </c>
      <c r="P1995" t="s">
        <v>419</v>
      </c>
      <c r="Q1995" t="s">
        <v>39</v>
      </c>
      <c r="R1995" t="s">
        <v>40</v>
      </c>
      <c r="S1995">
        <v>0</v>
      </c>
      <c r="U1995" t="s">
        <v>41</v>
      </c>
      <c r="V1995" t="s">
        <v>42</v>
      </c>
      <c r="X1995" t="s">
        <v>74</v>
      </c>
      <c r="Y1995" t="b">
        <v>0</v>
      </c>
      <c r="Z1995" t="b">
        <v>0</v>
      </c>
      <c r="AC1995" s="1"/>
      <c r="AF1995">
        <v>0</v>
      </c>
      <c r="AG1995">
        <v>45</v>
      </c>
      <c r="AH1995">
        <v>85</v>
      </c>
      <c r="AI1995" s="2">
        <f>Table__192.168.3.138DYLAgingReport[[#This Row],[NetAmount]]-Table__192.168.3.138DYLAgingReport[[#This Row],[Paid]]</f>
        <v>261000</v>
      </c>
    </row>
    <row r="1996" spans="1:35">
      <c r="A1996" t="s">
        <v>4169</v>
      </c>
      <c r="B1996" s="1">
        <v>41241</v>
      </c>
      <c r="C1996" s="1">
        <v>41286</v>
      </c>
      <c r="D1996" t="s">
        <v>257</v>
      </c>
      <c r="E1996">
        <v>64000</v>
      </c>
      <c r="F1996">
        <v>10240</v>
      </c>
      <c r="G1996">
        <v>0</v>
      </c>
      <c r="H1996">
        <v>0</v>
      </c>
      <c r="I1996">
        <v>27</v>
      </c>
      <c r="J1996">
        <v>74240</v>
      </c>
      <c r="K1996" t="s">
        <v>4170</v>
      </c>
      <c r="L1996" s="1">
        <v>41241</v>
      </c>
      <c r="N1996" t="s">
        <v>36</v>
      </c>
      <c r="O1996" t="s">
        <v>37</v>
      </c>
      <c r="P1996" t="s">
        <v>394</v>
      </c>
      <c r="Q1996" t="s">
        <v>39</v>
      </c>
      <c r="R1996" t="s">
        <v>40</v>
      </c>
      <c r="S1996">
        <v>0</v>
      </c>
      <c r="U1996" t="s">
        <v>41</v>
      </c>
      <c r="V1996" t="s">
        <v>42</v>
      </c>
      <c r="X1996" t="s">
        <v>74</v>
      </c>
      <c r="Y1996" t="b">
        <v>0</v>
      </c>
      <c r="Z1996" t="b">
        <v>0</v>
      </c>
      <c r="AC1996" s="1"/>
      <c r="AF1996">
        <v>0</v>
      </c>
      <c r="AG1996">
        <v>45</v>
      </c>
      <c r="AH1996">
        <v>72</v>
      </c>
      <c r="AI1996" s="2">
        <f>Table__192.168.3.138DYLAgingReport[[#This Row],[NetAmount]]-Table__192.168.3.138DYLAgingReport[[#This Row],[Paid]]</f>
        <v>74240</v>
      </c>
    </row>
    <row r="1997" spans="1:35">
      <c r="A1997" t="s">
        <v>4171</v>
      </c>
      <c r="B1997" s="1">
        <v>41242</v>
      </c>
      <c r="C1997" s="1">
        <v>41287</v>
      </c>
      <c r="D1997" t="s">
        <v>197</v>
      </c>
      <c r="E1997">
        <v>70000</v>
      </c>
      <c r="F1997">
        <v>11200</v>
      </c>
      <c r="G1997">
        <v>0</v>
      </c>
      <c r="H1997">
        <v>0</v>
      </c>
      <c r="I1997">
        <v>26</v>
      </c>
      <c r="J1997">
        <v>81200</v>
      </c>
      <c r="K1997" t="s">
        <v>4172</v>
      </c>
      <c r="L1997" s="1">
        <v>41242</v>
      </c>
      <c r="N1997" t="s">
        <v>36</v>
      </c>
      <c r="O1997" t="s">
        <v>37</v>
      </c>
      <c r="P1997" t="s">
        <v>334</v>
      </c>
      <c r="Q1997" t="s">
        <v>39</v>
      </c>
      <c r="R1997" t="s">
        <v>40</v>
      </c>
      <c r="S1997">
        <v>0</v>
      </c>
      <c r="U1997" t="s">
        <v>41</v>
      </c>
      <c r="V1997" t="s">
        <v>42</v>
      </c>
      <c r="X1997" t="s">
        <v>74</v>
      </c>
      <c r="Y1997" t="b">
        <v>0</v>
      </c>
      <c r="Z1997" t="b">
        <v>0</v>
      </c>
      <c r="AC1997" s="1"/>
      <c r="AF1997">
        <v>0</v>
      </c>
      <c r="AG1997">
        <v>45</v>
      </c>
      <c r="AH1997">
        <v>71</v>
      </c>
      <c r="AI1997" s="2">
        <f>Table__192.168.3.138DYLAgingReport[[#This Row],[NetAmount]]-Table__192.168.3.138DYLAgingReport[[#This Row],[Paid]]</f>
        <v>81200</v>
      </c>
    </row>
    <row r="1998" spans="1:35">
      <c r="A1998" t="s">
        <v>4173</v>
      </c>
      <c r="B1998" s="1">
        <v>41242</v>
      </c>
      <c r="C1998" s="1">
        <v>41287</v>
      </c>
      <c r="D1998" t="s">
        <v>197</v>
      </c>
      <c r="E1998">
        <v>630000</v>
      </c>
      <c r="F1998">
        <v>100800</v>
      </c>
      <c r="G1998">
        <v>0</v>
      </c>
      <c r="H1998">
        <v>0</v>
      </c>
      <c r="I1998">
        <v>26</v>
      </c>
      <c r="J1998">
        <v>730800</v>
      </c>
      <c r="K1998" t="s">
        <v>4174</v>
      </c>
      <c r="L1998" s="1">
        <v>41242</v>
      </c>
      <c r="N1998" t="s">
        <v>36</v>
      </c>
      <c r="O1998" t="s">
        <v>37</v>
      </c>
      <c r="P1998" t="s">
        <v>334</v>
      </c>
      <c r="Q1998" t="s">
        <v>39</v>
      </c>
      <c r="R1998" t="s">
        <v>40</v>
      </c>
      <c r="S1998">
        <v>0</v>
      </c>
      <c r="U1998" t="s">
        <v>41</v>
      </c>
      <c r="V1998" t="s">
        <v>42</v>
      </c>
      <c r="X1998" t="s">
        <v>74</v>
      </c>
      <c r="Y1998" t="b">
        <v>0</v>
      </c>
      <c r="Z1998" t="b">
        <v>0</v>
      </c>
      <c r="AC1998" s="1"/>
      <c r="AF1998">
        <v>0</v>
      </c>
      <c r="AG1998">
        <v>45</v>
      </c>
      <c r="AH1998">
        <v>71</v>
      </c>
      <c r="AI1998" s="2">
        <f>Table__192.168.3.138DYLAgingReport[[#This Row],[NetAmount]]-Table__192.168.3.138DYLAgingReport[[#This Row],[Paid]]</f>
        <v>730800</v>
      </c>
    </row>
    <row r="1999" spans="1:35">
      <c r="A1999" t="s">
        <v>4175</v>
      </c>
      <c r="B1999" s="1">
        <v>41241</v>
      </c>
      <c r="C1999" s="1">
        <v>41286</v>
      </c>
      <c r="D1999" t="s">
        <v>197</v>
      </c>
      <c r="E1999">
        <v>700000</v>
      </c>
      <c r="F1999">
        <v>112000</v>
      </c>
      <c r="G1999">
        <v>0</v>
      </c>
      <c r="H1999">
        <v>0</v>
      </c>
      <c r="I1999">
        <v>26</v>
      </c>
      <c r="J1999">
        <v>812000</v>
      </c>
      <c r="K1999" t="s">
        <v>4176</v>
      </c>
      <c r="L1999" s="1">
        <v>41242</v>
      </c>
      <c r="N1999" t="s">
        <v>36</v>
      </c>
      <c r="O1999" t="s">
        <v>37</v>
      </c>
      <c r="P1999" t="s">
        <v>334</v>
      </c>
      <c r="Q1999" t="s">
        <v>39</v>
      </c>
      <c r="R1999" t="s">
        <v>40</v>
      </c>
      <c r="S1999">
        <v>0</v>
      </c>
      <c r="U1999" t="s">
        <v>41</v>
      </c>
      <c r="V1999" t="s">
        <v>42</v>
      </c>
      <c r="X1999" t="s">
        <v>74</v>
      </c>
      <c r="Y1999" t="b">
        <v>0</v>
      </c>
      <c r="Z1999" t="b">
        <v>0</v>
      </c>
      <c r="AC1999" s="1"/>
      <c r="AF1999">
        <v>0</v>
      </c>
      <c r="AG1999">
        <v>45</v>
      </c>
      <c r="AH1999">
        <v>71</v>
      </c>
      <c r="AI1999" s="2">
        <f>Table__192.168.3.138DYLAgingReport[[#This Row],[NetAmount]]-Table__192.168.3.138DYLAgingReport[[#This Row],[Paid]]</f>
        <v>812000</v>
      </c>
    </row>
    <row r="2000" spans="1:35">
      <c r="A2000" t="s">
        <v>4177</v>
      </c>
      <c r="B2000" s="1">
        <v>41240</v>
      </c>
      <c r="C2000" s="1">
        <v>41285</v>
      </c>
      <c r="D2000" t="s">
        <v>197</v>
      </c>
      <c r="E2000">
        <v>175000</v>
      </c>
      <c r="F2000">
        <v>28000</v>
      </c>
      <c r="G2000">
        <v>0</v>
      </c>
      <c r="H2000">
        <v>0</v>
      </c>
      <c r="I2000">
        <v>28</v>
      </c>
      <c r="J2000">
        <v>203000</v>
      </c>
      <c r="K2000" t="s">
        <v>4178</v>
      </c>
      <c r="L2000" s="1">
        <v>41240</v>
      </c>
      <c r="N2000" t="s">
        <v>36</v>
      </c>
      <c r="O2000" t="s">
        <v>37</v>
      </c>
      <c r="P2000" t="s">
        <v>334</v>
      </c>
      <c r="Q2000" t="s">
        <v>39</v>
      </c>
      <c r="R2000" t="s">
        <v>40</v>
      </c>
      <c r="S2000">
        <v>0</v>
      </c>
      <c r="U2000" t="s">
        <v>41</v>
      </c>
      <c r="V2000" t="s">
        <v>42</v>
      </c>
      <c r="X2000" t="s">
        <v>74</v>
      </c>
      <c r="Y2000" t="b">
        <v>0</v>
      </c>
      <c r="Z2000" t="b">
        <v>0</v>
      </c>
      <c r="AC2000" s="1"/>
      <c r="AF2000">
        <v>0</v>
      </c>
      <c r="AG2000">
        <v>45</v>
      </c>
      <c r="AH2000">
        <v>73</v>
      </c>
      <c r="AI2000" s="2">
        <f>Table__192.168.3.138DYLAgingReport[[#This Row],[NetAmount]]-Table__192.168.3.138DYLAgingReport[[#This Row],[Paid]]</f>
        <v>203000</v>
      </c>
    </row>
    <row r="2001" spans="1:35">
      <c r="A2001" t="s">
        <v>4179</v>
      </c>
      <c r="B2001" s="1">
        <v>41243</v>
      </c>
      <c r="C2001" s="1">
        <v>41288</v>
      </c>
      <c r="D2001" t="s">
        <v>220</v>
      </c>
      <c r="E2001">
        <v>56100</v>
      </c>
      <c r="F2001">
        <v>8976</v>
      </c>
      <c r="G2001">
        <v>0</v>
      </c>
      <c r="H2001">
        <v>0</v>
      </c>
      <c r="I2001">
        <v>25</v>
      </c>
      <c r="J2001">
        <v>65076</v>
      </c>
      <c r="K2001" t="s">
        <v>4180</v>
      </c>
      <c r="L2001" s="1">
        <v>41243</v>
      </c>
      <c r="N2001" t="s">
        <v>36</v>
      </c>
      <c r="O2001" t="s">
        <v>37</v>
      </c>
      <c r="P2001" t="s">
        <v>357</v>
      </c>
      <c r="Q2001" t="s">
        <v>39</v>
      </c>
      <c r="R2001" t="s">
        <v>40</v>
      </c>
      <c r="S2001">
        <v>0</v>
      </c>
      <c r="U2001" t="s">
        <v>41</v>
      </c>
      <c r="V2001" t="s">
        <v>42</v>
      </c>
      <c r="X2001" t="s">
        <v>74</v>
      </c>
      <c r="Y2001" t="b">
        <v>0</v>
      </c>
      <c r="Z2001" t="b">
        <v>0</v>
      </c>
      <c r="AC2001" s="1"/>
      <c r="AF2001">
        <v>0</v>
      </c>
      <c r="AG2001">
        <v>45</v>
      </c>
      <c r="AH2001">
        <v>70</v>
      </c>
      <c r="AI2001" s="2">
        <f>Table__192.168.3.138DYLAgingReport[[#This Row],[NetAmount]]-Table__192.168.3.138DYLAgingReport[[#This Row],[Paid]]</f>
        <v>65076</v>
      </c>
    </row>
    <row r="2002" spans="1:35">
      <c r="A2002" t="s">
        <v>4181</v>
      </c>
      <c r="B2002" s="1">
        <v>41242</v>
      </c>
      <c r="C2002" s="1">
        <v>41287</v>
      </c>
      <c r="D2002" t="s">
        <v>183</v>
      </c>
      <c r="E2002">
        <v>53100</v>
      </c>
      <c r="F2002">
        <v>8496</v>
      </c>
      <c r="G2002">
        <v>0</v>
      </c>
      <c r="H2002">
        <v>0</v>
      </c>
      <c r="I2002">
        <v>26</v>
      </c>
      <c r="J2002">
        <v>61596</v>
      </c>
      <c r="K2002" t="s">
        <v>4182</v>
      </c>
      <c r="L2002" s="1">
        <v>41242</v>
      </c>
      <c r="N2002" t="s">
        <v>36</v>
      </c>
      <c r="O2002" t="s">
        <v>37</v>
      </c>
      <c r="P2002" t="s">
        <v>320</v>
      </c>
      <c r="Q2002" t="s">
        <v>39</v>
      </c>
      <c r="R2002" t="s">
        <v>40</v>
      </c>
      <c r="S2002">
        <v>0</v>
      </c>
      <c r="U2002" t="s">
        <v>41</v>
      </c>
      <c r="V2002" t="s">
        <v>42</v>
      </c>
      <c r="X2002" t="s">
        <v>74</v>
      </c>
      <c r="Y2002" t="b">
        <v>0</v>
      </c>
      <c r="Z2002" t="b">
        <v>0</v>
      </c>
      <c r="AC2002" s="1"/>
      <c r="AF2002">
        <v>0</v>
      </c>
      <c r="AG2002">
        <v>45</v>
      </c>
      <c r="AH2002">
        <v>71</v>
      </c>
      <c r="AI2002" s="2">
        <f>Table__192.168.3.138DYLAgingReport[[#This Row],[NetAmount]]-Table__192.168.3.138DYLAgingReport[[#This Row],[Paid]]</f>
        <v>61596</v>
      </c>
    </row>
    <row r="2003" spans="1:35">
      <c r="A2003" t="s">
        <v>4183</v>
      </c>
      <c r="B2003" s="1">
        <v>41241</v>
      </c>
      <c r="C2003" s="1">
        <v>41241</v>
      </c>
      <c r="D2003" t="s">
        <v>298</v>
      </c>
      <c r="E2003">
        <v>389250</v>
      </c>
      <c r="F2003">
        <v>62280</v>
      </c>
      <c r="G2003">
        <v>0</v>
      </c>
      <c r="H2003">
        <v>0</v>
      </c>
      <c r="I2003">
        <v>26</v>
      </c>
      <c r="J2003">
        <v>451530</v>
      </c>
      <c r="K2003" t="s">
        <v>1267</v>
      </c>
      <c r="L2003" s="1">
        <v>41242</v>
      </c>
      <c r="N2003" t="s">
        <v>36</v>
      </c>
      <c r="O2003" t="s">
        <v>37</v>
      </c>
      <c r="P2003" t="s">
        <v>435</v>
      </c>
      <c r="Q2003" t="s">
        <v>39</v>
      </c>
      <c r="R2003" t="s">
        <v>40</v>
      </c>
      <c r="S2003">
        <v>0</v>
      </c>
      <c r="U2003" t="s">
        <v>41</v>
      </c>
      <c r="V2003" t="s">
        <v>42</v>
      </c>
      <c r="X2003" t="s">
        <v>74</v>
      </c>
      <c r="Y2003" t="b">
        <v>0</v>
      </c>
      <c r="Z2003" t="b">
        <v>0</v>
      </c>
      <c r="AC2003" s="1"/>
      <c r="AF2003">
        <v>0</v>
      </c>
      <c r="AG2003">
        <v>45</v>
      </c>
      <c r="AH2003">
        <v>71</v>
      </c>
      <c r="AI2003" s="2">
        <f>Table__192.168.3.138DYLAgingReport[[#This Row],[NetAmount]]-Table__192.168.3.138DYLAgingReport[[#This Row],[Paid]]</f>
        <v>451530</v>
      </c>
    </row>
    <row r="2004" spans="1:35">
      <c r="A2004" t="s">
        <v>4184</v>
      </c>
      <c r="B2004" s="1">
        <v>41240</v>
      </c>
      <c r="C2004" s="1">
        <v>41285</v>
      </c>
      <c r="D2004" t="s">
        <v>228</v>
      </c>
      <c r="E2004">
        <v>362100</v>
      </c>
      <c r="F2004">
        <v>57936</v>
      </c>
      <c r="G2004">
        <v>0</v>
      </c>
      <c r="H2004">
        <v>0</v>
      </c>
      <c r="I2004">
        <v>33</v>
      </c>
      <c r="J2004">
        <v>420036</v>
      </c>
      <c r="K2004" t="s">
        <v>2992</v>
      </c>
      <c r="L2004" s="1">
        <v>41235</v>
      </c>
      <c r="N2004" t="s">
        <v>36</v>
      </c>
      <c r="O2004" t="s">
        <v>37</v>
      </c>
      <c r="P2004" t="s">
        <v>365</v>
      </c>
      <c r="Q2004" t="s">
        <v>39</v>
      </c>
      <c r="R2004" t="s">
        <v>40</v>
      </c>
      <c r="S2004">
        <v>0</v>
      </c>
      <c r="U2004" t="s">
        <v>41</v>
      </c>
      <c r="V2004" t="s">
        <v>42</v>
      </c>
      <c r="X2004" t="s">
        <v>74</v>
      </c>
      <c r="Y2004" t="b">
        <v>0</v>
      </c>
      <c r="Z2004" t="b">
        <v>0</v>
      </c>
      <c r="AC2004" s="1"/>
      <c r="AF2004">
        <v>0</v>
      </c>
      <c r="AG2004">
        <v>45</v>
      </c>
      <c r="AH2004">
        <v>78</v>
      </c>
      <c r="AI2004" s="2">
        <f>Table__192.168.3.138DYLAgingReport[[#This Row],[NetAmount]]-Table__192.168.3.138DYLAgingReport[[#This Row],[Paid]]</f>
        <v>420036</v>
      </c>
    </row>
    <row r="2005" spans="1:35">
      <c r="A2005" t="s">
        <v>4185</v>
      </c>
      <c r="B2005" s="1">
        <v>41240</v>
      </c>
      <c r="C2005" s="1">
        <v>41285</v>
      </c>
      <c r="D2005" t="s">
        <v>246</v>
      </c>
      <c r="E2005">
        <v>870000</v>
      </c>
      <c r="F2005">
        <v>139200</v>
      </c>
      <c r="G2005">
        <v>0</v>
      </c>
      <c r="H2005">
        <v>0</v>
      </c>
      <c r="I2005">
        <v>33</v>
      </c>
      <c r="J2005">
        <v>1009200</v>
      </c>
      <c r="K2005" t="s">
        <v>4186</v>
      </c>
      <c r="L2005" s="1">
        <v>41235</v>
      </c>
      <c r="N2005" t="s">
        <v>36</v>
      </c>
      <c r="O2005" t="s">
        <v>37</v>
      </c>
      <c r="P2005" t="s">
        <v>383</v>
      </c>
      <c r="Q2005" t="s">
        <v>39</v>
      </c>
      <c r="R2005" t="s">
        <v>40</v>
      </c>
      <c r="S2005">
        <v>0</v>
      </c>
      <c r="U2005" t="s">
        <v>41</v>
      </c>
      <c r="V2005" t="s">
        <v>42</v>
      </c>
      <c r="X2005" t="s">
        <v>74</v>
      </c>
      <c r="Y2005" t="b">
        <v>0</v>
      </c>
      <c r="Z2005" t="b">
        <v>0</v>
      </c>
      <c r="AC2005" s="1"/>
      <c r="AF2005">
        <v>0</v>
      </c>
      <c r="AG2005">
        <v>45</v>
      </c>
      <c r="AH2005">
        <v>78</v>
      </c>
      <c r="AI2005" s="2">
        <f>Table__192.168.3.138DYLAgingReport[[#This Row],[NetAmount]]-Table__192.168.3.138DYLAgingReport[[#This Row],[Paid]]</f>
        <v>1009200</v>
      </c>
    </row>
    <row r="2006" spans="1:35">
      <c r="A2006" t="s">
        <v>4187</v>
      </c>
      <c r="B2006" s="1">
        <v>41242</v>
      </c>
      <c r="C2006" s="1">
        <v>41287</v>
      </c>
      <c r="D2006" t="s">
        <v>174</v>
      </c>
      <c r="E2006">
        <v>31200</v>
      </c>
      <c r="F2006">
        <v>4992</v>
      </c>
      <c r="G2006">
        <v>0</v>
      </c>
      <c r="H2006">
        <v>0</v>
      </c>
      <c r="I2006">
        <v>34</v>
      </c>
      <c r="J2006">
        <v>36192</v>
      </c>
      <c r="K2006" t="s">
        <v>4188</v>
      </c>
      <c r="L2006" s="1">
        <v>41234</v>
      </c>
      <c r="N2006" t="s">
        <v>36</v>
      </c>
      <c r="O2006" t="s">
        <v>37</v>
      </c>
      <c r="P2006" t="s">
        <v>311</v>
      </c>
      <c r="Q2006" t="s">
        <v>39</v>
      </c>
      <c r="R2006" t="s">
        <v>40</v>
      </c>
      <c r="S2006">
        <v>0</v>
      </c>
      <c r="U2006" t="s">
        <v>41</v>
      </c>
      <c r="V2006" t="s">
        <v>42</v>
      </c>
      <c r="X2006" t="s">
        <v>74</v>
      </c>
      <c r="Y2006" t="b">
        <v>0</v>
      </c>
      <c r="Z2006" t="b">
        <v>0</v>
      </c>
      <c r="AC2006" s="1"/>
      <c r="AF2006">
        <v>0</v>
      </c>
      <c r="AG2006">
        <v>45</v>
      </c>
      <c r="AH2006">
        <v>79</v>
      </c>
      <c r="AI2006" s="2">
        <f>Table__192.168.3.138DYLAgingReport[[#This Row],[NetAmount]]-Table__192.168.3.138DYLAgingReport[[#This Row],[Paid]]</f>
        <v>36192</v>
      </c>
    </row>
    <row r="2007" spans="1:35">
      <c r="A2007" t="s">
        <v>4189</v>
      </c>
      <c r="B2007" s="1">
        <v>41235</v>
      </c>
      <c r="C2007" s="1">
        <v>41280</v>
      </c>
      <c r="D2007" t="s">
        <v>174</v>
      </c>
      <c r="E2007">
        <v>5075</v>
      </c>
      <c r="F2007">
        <v>812</v>
      </c>
      <c r="G2007">
        <v>0</v>
      </c>
      <c r="H2007">
        <v>0</v>
      </c>
      <c r="I2007">
        <v>33</v>
      </c>
      <c r="J2007">
        <v>5887</v>
      </c>
      <c r="K2007" t="s">
        <v>4190</v>
      </c>
      <c r="L2007" s="1">
        <v>41235</v>
      </c>
      <c r="N2007" t="s">
        <v>36</v>
      </c>
      <c r="O2007" t="s">
        <v>37</v>
      </c>
      <c r="P2007" t="s">
        <v>311</v>
      </c>
      <c r="Q2007" t="s">
        <v>39</v>
      </c>
      <c r="R2007" t="s">
        <v>40</v>
      </c>
      <c r="S2007">
        <v>0</v>
      </c>
      <c r="U2007" t="s">
        <v>41</v>
      </c>
      <c r="V2007" t="s">
        <v>42</v>
      </c>
      <c r="X2007" t="s">
        <v>74</v>
      </c>
      <c r="Y2007" t="b">
        <v>0</v>
      </c>
      <c r="Z2007" t="b">
        <v>0</v>
      </c>
      <c r="AC2007" s="1"/>
      <c r="AF2007">
        <v>0</v>
      </c>
      <c r="AG2007">
        <v>45</v>
      </c>
      <c r="AH2007">
        <v>78</v>
      </c>
      <c r="AI2007" s="2">
        <f>Table__192.168.3.138DYLAgingReport[[#This Row],[NetAmount]]-Table__192.168.3.138DYLAgingReport[[#This Row],[Paid]]</f>
        <v>5887</v>
      </c>
    </row>
    <row r="2008" spans="1:35">
      <c r="A2008" t="s">
        <v>4191</v>
      </c>
      <c r="B2008" s="1">
        <v>41235</v>
      </c>
      <c r="C2008" s="1">
        <v>41280</v>
      </c>
      <c r="D2008" t="s">
        <v>277</v>
      </c>
      <c r="E2008">
        <v>130500</v>
      </c>
      <c r="F2008">
        <v>0</v>
      </c>
      <c r="G2008">
        <v>0</v>
      </c>
      <c r="H2008">
        <v>0</v>
      </c>
      <c r="I2008">
        <v>33</v>
      </c>
      <c r="J2008">
        <v>130500</v>
      </c>
      <c r="K2008" t="s">
        <v>2635</v>
      </c>
      <c r="L2008" s="1">
        <v>41235</v>
      </c>
      <c r="M2008" t="s">
        <v>4192</v>
      </c>
      <c r="N2008" t="s">
        <v>36</v>
      </c>
      <c r="O2008" t="s">
        <v>37</v>
      </c>
      <c r="P2008" t="s">
        <v>414</v>
      </c>
      <c r="Q2008" t="s">
        <v>39</v>
      </c>
      <c r="R2008" t="s">
        <v>40</v>
      </c>
      <c r="S2008">
        <v>0</v>
      </c>
      <c r="U2008" t="s">
        <v>41</v>
      </c>
      <c r="V2008" t="s">
        <v>42</v>
      </c>
      <c r="W2008" t="s">
        <v>4193</v>
      </c>
      <c r="X2008" t="s">
        <v>74</v>
      </c>
      <c r="Y2008" t="b">
        <v>0</v>
      </c>
      <c r="Z2008" t="b">
        <v>0</v>
      </c>
      <c r="AA2008" t="b">
        <v>0</v>
      </c>
      <c r="AC2008" s="1"/>
      <c r="AF2008">
        <v>0</v>
      </c>
      <c r="AG2008">
        <v>45</v>
      </c>
      <c r="AH2008">
        <v>78</v>
      </c>
      <c r="AI2008" s="2">
        <f>Table__192.168.3.138DYLAgingReport[[#This Row],[NetAmount]]-Table__192.168.3.138DYLAgingReport[[#This Row],[Paid]]</f>
        <v>130500</v>
      </c>
    </row>
    <row r="2009" spans="1:35">
      <c r="A2009" t="s">
        <v>4194</v>
      </c>
      <c r="B2009" s="1">
        <v>41234</v>
      </c>
      <c r="C2009" s="1">
        <v>41279</v>
      </c>
      <c r="D2009" t="s">
        <v>277</v>
      </c>
      <c r="E2009">
        <v>120000</v>
      </c>
      <c r="F2009">
        <v>0</v>
      </c>
      <c r="G2009">
        <v>0</v>
      </c>
      <c r="H2009">
        <v>0</v>
      </c>
      <c r="I2009">
        <v>34</v>
      </c>
      <c r="J2009">
        <v>120000</v>
      </c>
      <c r="K2009" t="s">
        <v>2006</v>
      </c>
      <c r="L2009" s="1">
        <v>41234</v>
      </c>
      <c r="M2009" t="s">
        <v>4195</v>
      </c>
      <c r="N2009" t="s">
        <v>36</v>
      </c>
      <c r="O2009" t="s">
        <v>37</v>
      </c>
      <c r="P2009" t="s">
        <v>414</v>
      </c>
      <c r="Q2009" t="s">
        <v>39</v>
      </c>
      <c r="R2009" t="s">
        <v>40</v>
      </c>
      <c r="S2009">
        <v>0</v>
      </c>
      <c r="U2009" t="s">
        <v>41</v>
      </c>
      <c r="V2009" t="s">
        <v>42</v>
      </c>
      <c r="W2009" t="s">
        <v>4196</v>
      </c>
      <c r="X2009" t="s">
        <v>74</v>
      </c>
      <c r="Y2009" t="b">
        <v>0</v>
      </c>
      <c r="Z2009" t="b">
        <v>0</v>
      </c>
      <c r="AA2009" t="b">
        <v>0</v>
      </c>
      <c r="AC2009" s="1"/>
      <c r="AF2009">
        <v>0</v>
      </c>
      <c r="AG2009">
        <v>45</v>
      </c>
      <c r="AH2009">
        <v>79</v>
      </c>
      <c r="AI2009" s="2">
        <f>Table__192.168.3.138DYLAgingReport[[#This Row],[NetAmount]]-Table__192.168.3.138DYLAgingReport[[#This Row],[Paid]]</f>
        <v>120000</v>
      </c>
    </row>
    <row r="2010" spans="1:35">
      <c r="A2010" t="s">
        <v>4197</v>
      </c>
      <c r="B2010" s="1">
        <v>41241</v>
      </c>
      <c r="C2010" s="1">
        <v>41286</v>
      </c>
      <c r="D2010" t="s">
        <v>227</v>
      </c>
      <c r="E2010">
        <v>171000</v>
      </c>
      <c r="F2010">
        <v>27360</v>
      </c>
      <c r="G2010">
        <v>0</v>
      </c>
      <c r="H2010">
        <v>0</v>
      </c>
      <c r="I2010">
        <v>27</v>
      </c>
      <c r="J2010">
        <v>198360</v>
      </c>
      <c r="K2010" t="s">
        <v>4198</v>
      </c>
      <c r="L2010" s="1">
        <v>41241</v>
      </c>
      <c r="N2010" t="s">
        <v>36</v>
      </c>
      <c r="O2010" t="s">
        <v>37</v>
      </c>
      <c r="P2010" t="s">
        <v>364</v>
      </c>
      <c r="Q2010" t="s">
        <v>39</v>
      </c>
      <c r="R2010" t="s">
        <v>40</v>
      </c>
      <c r="S2010">
        <v>0</v>
      </c>
      <c r="U2010" t="s">
        <v>41</v>
      </c>
      <c r="V2010" t="s">
        <v>42</v>
      </c>
      <c r="X2010" t="s">
        <v>74</v>
      </c>
      <c r="Y2010" t="b">
        <v>0</v>
      </c>
      <c r="Z2010" t="b">
        <v>0</v>
      </c>
      <c r="AC2010" s="1"/>
      <c r="AF2010">
        <v>0</v>
      </c>
      <c r="AG2010">
        <v>45</v>
      </c>
      <c r="AH2010">
        <v>72</v>
      </c>
      <c r="AI2010" s="2">
        <f>Table__192.168.3.138DYLAgingReport[[#This Row],[NetAmount]]-Table__192.168.3.138DYLAgingReport[[#This Row],[Paid]]</f>
        <v>198360</v>
      </c>
    </row>
    <row r="2011" spans="1:35">
      <c r="A2011" t="s">
        <v>4199</v>
      </c>
      <c r="B2011" s="1">
        <v>41242</v>
      </c>
      <c r="C2011" s="1">
        <v>41287</v>
      </c>
      <c r="D2011" t="s">
        <v>227</v>
      </c>
      <c r="E2011">
        <v>279500</v>
      </c>
      <c r="F2011">
        <v>44720</v>
      </c>
      <c r="G2011">
        <v>0</v>
      </c>
      <c r="H2011">
        <v>0</v>
      </c>
      <c r="I2011">
        <v>26</v>
      </c>
      <c r="J2011">
        <v>324220</v>
      </c>
      <c r="K2011" t="s">
        <v>4200</v>
      </c>
      <c r="L2011" s="1">
        <v>41242</v>
      </c>
      <c r="N2011" t="s">
        <v>36</v>
      </c>
      <c r="O2011" t="s">
        <v>37</v>
      </c>
      <c r="P2011" t="s">
        <v>364</v>
      </c>
      <c r="Q2011" t="s">
        <v>39</v>
      </c>
      <c r="R2011" t="s">
        <v>40</v>
      </c>
      <c r="S2011">
        <v>0</v>
      </c>
      <c r="U2011" t="s">
        <v>41</v>
      </c>
      <c r="V2011" t="s">
        <v>42</v>
      </c>
      <c r="X2011" t="s">
        <v>74</v>
      </c>
      <c r="Y2011" t="b">
        <v>0</v>
      </c>
      <c r="Z2011" t="b">
        <v>0</v>
      </c>
      <c r="AC2011" s="1"/>
      <c r="AF2011">
        <v>0</v>
      </c>
      <c r="AG2011">
        <v>45</v>
      </c>
      <c r="AH2011">
        <v>71</v>
      </c>
      <c r="AI2011" s="2">
        <f>Table__192.168.3.138DYLAgingReport[[#This Row],[NetAmount]]-Table__192.168.3.138DYLAgingReport[[#This Row],[Paid]]</f>
        <v>324220</v>
      </c>
    </row>
    <row r="2012" spans="1:35">
      <c r="A2012" t="s">
        <v>4201</v>
      </c>
      <c r="B2012" s="1">
        <v>41240</v>
      </c>
      <c r="C2012" s="1">
        <v>41285</v>
      </c>
      <c r="D2012" t="s">
        <v>227</v>
      </c>
      <c r="E2012">
        <v>364500</v>
      </c>
      <c r="F2012">
        <v>58320</v>
      </c>
      <c r="G2012">
        <v>0</v>
      </c>
      <c r="H2012">
        <v>0</v>
      </c>
      <c r="I2012">
        <v>29</v>
      </c>
      <c r="J2012">
        <v>422820</v>
      </c>
      <c r="K2012" t="s">
        <v>4202</v>
      </c>
      <c r="L2012" s="1">
        <v>41239</v>
      </c>
      <c r="N2012" t="s">
        <v>36</v>
      </c>
      <c r="O2012" t="s">
        <v>37</v>
      </c>
      <c r="P2012" t="s">
        <v>364</v>
      </c>
      <c r="Q2012" t="s">
        <v>39</v>
      </c>
      <c r="R2012" t="s">
        <v>40</v>
      </c>
      <c r="S2012">
        <v>0</v>
      </c>
      <c r="U2012" t="s">
        <v>41</v>
      </c>
      <c r="V2012" t="s">
        <v>42</v>
      </c>
      <c r="X2012" t="s">
        <v>74</v>
      </c>
      <c r="Y2012" t="b">
        <v>0</v>
      </c>
      <c r="Z2012" t="b">
        <v>0</v>
      </c>
      <c r="AC2012" s="1"/>
      <c r="AF2012">
        <v>0</v>
      </c>
      <c r="AG2012">
        <v>45</v>
      </c>
      <c r="AH2012">
        <v>74</v>
      </c>
      <c r="AI2012" s="2">
        <f>Table__192.168.3.138DYLAgingReport[[#This Row],[NetAmount]]-Table__192.168.3.138DYLAgingReport[[#This Row],[Paid]]</f>
        <v>422820</v>
      </c>
    </row>
    <row r="2013" spans="1:35">
      <c r="A2013" t="s">
        <v>4203</v>
      </c>
      <c r="B2013" s="1">
        <v>41241</v>
      </c>
      <c r="C2013" s="1">
        <v>41286</v>
      </c>
      <c r="D2013" t="s">
        <v>238</v>
      </c>
      <c r="E2013">
        <v>35000</v>
      </c>
      <c r="F2013">
        <v>5600</v>
      </c>
      <c r="G2013">
        <v>0</v>
      </c>
      <c r="H2013">
        <v>0</v>
      </c>
      <c r="I2013">
        <v>34</v>
      </c>
      <c r="J2013">
        <v>40600</v>
      </c>
      <c r="K2013" t="s">
        <v>1204</v>
      </c>
      <c r="L2013" s="1">
        <v>41234</v>
      </c>
      <c r="N2013" t="s">
        <v>36</v>
      </c>
      <c r="O2013" t="s">
        <v>37</v>
      </c>
      <c r="P2013" t="s">
        <v>375</v>
      </c>
      <c r="Q2013" t="s">
        <v>39</v>
      </c>
      <c r="R2013" t="s">
        <v>40</v>
      </c>
      <c r="S2013">
        <v>0</v>
      </c>
      <c r="U2013" t="s">
        <v>41</v>
      </c>
      <c r="V2013" t="s">
        <v>42</v>
      </c>
      <c r="X2013" t="s">
        <v>74</v>
      </c>
      <c r="Y2013" t="b">
        <v>0</v>
      </c>
      <c r="Z2013" t="b">
        <v>0</v>
      </c>
      <c r="AC2013" s="1"/>
      <c r="AF2013">
        <v>0</v>
      </c>
      <c r="AG2013">
        <v>45</v>
      </c>
      <c r="AH2013">
        <v>79</v>
      </c>
      <c r="AI2013" s="2">
        <f>Table__192.168.3.138DYLAgingReport[[#This Row],[NetAmount]]-Table__192.168.3.138DYLAgingReport[[#This Row],[Paid]]</f>
        <v>40600</v>
      </c>
    </row>
    <row r="2014" spans="1:35">
      <c r="A2014" t="s">
        <v>4204</v>
      </c>
      <c r="B2014" s="1">
        <v>41234</v>
      </c>
      <c r="C2014" s="1">
        <v>41279</v>
      </c>
      <c r="D2014" t="s">
        <v>283</v>
      </c>
      <c r="E2014">
        <v>1311200</v>
      </c>
      <c r="F2014">
        <v>209792</v>
      </c>
      <c r="G2014">
        <v>0</v>
      </c>
      <c r="H2014">
        <v>0</v>
      </c>
      <c r="I2014">
        <v>38</v>
      </c>
      <c r="J2014">
        <v>1520992</v>
      </c>
      <c r="K2014" t="s">
        <v>4205</v>
      </c>
      <c r="L2014" s="1">
        <v>41230</v>
      </c>
      <c r="N2014" t="s">
        <v>36</v>
      </c>
      <c r="O2014" t="s">
        <v>37</v>
      </c>
      <c r="P2014" t="s">
        <v>420</v>
      </c>
      <c r="Q2014" t="s">
        <v>39</v>
      </c>
      <c r="R2014" t="s">
        <v>40</v>
      </c>
      <c r="S2014">
        <v>0</v>
      </c>
      <c r="U2014" t="s">
        <v>41</v>
      </c>
      <c r="V2014" t="s">
        <v>42</v>
      </c>
      <c r="X2014" t="s">
        <v>74</v>
      </c>
      <c r="Y2014" t="b">
        <v>0</v>
      </c>
      <c r="Z2014" t="b">
        <v>0</v>
      </c>
      <c r="AC2014" s="1"/>
      <c r="AF2014">
        <v>0</v>
      </c>
      <c r="AG2014">
        <v>45</v>
      </c>
      <c r="AH2014">
        <v>83</v>
      </c>
      <c r="AI2014" s="2">
        <f>Table__192.168.3.138DYLAgingReport[[#This Row],[NetAmount]]-Table__192.168.3.138DYLAgingReport[[#This Row],[Paid]]</f>
        <v>1520992</v>
      </c>
    </row>
    <row r="2015" spans="1:35">
      <c r="A2015" t="s">
        <v>4206</v>
      </c>
      <c r="B2015" s="1">
        <v>41243</v>
      </c>
      <c r="C2015" s="1">
        <v>41288</v>
      </c>
      <c r="D2015" t="s">
        <v>266</v>
      </c>
      <c r="E2015">
        <v>216000</v>
      </c>
      <c r="F2015">
        <v>34560</v>
      </c>
      <c r="G2015">
        <v>0</v>
      </c>
      <c r="H2015">
        <v>0</v>
      </c>
      <c r="I2015">
        <v>29</v>
      </c>
      <c r="J2015">
        <v>250560</v>
      </c>
      <c r="K2015" t="s">
        <v>4207</v>
      </c>
      <c r="L2015" s="1">
        <v>41239</v>
      </c>
      <c r="N2015" t="s">
        <v>36</v>
      </c>
      <c r="O2015" t="s">
        <v>37</v>
      </c>
      <c r="P2015" t="s">
        <v>403</v>
      </c>
      <c r="Q2015" t="s">
        <v>39</v>
      </c>
      <c r="R2015" t="s">
        <v>40</v>
      </c>
      <c r="S2015">
        <v>0</v>
      </c>
      <c r="U2015" t="s">
        <v>41</v>
      </c>
      <c r="V2015" t="s">
        <v>42</v>
      </c>
      <c r="X2015" t="s">
        <v>74</v>
      </c>
      <c r="Y2015" t="b">
        <v>0</v>
      </c>
      <c r="Z2015" t="b">
        <v>0</v>
      </c>
      <c r="AB2015" t="s">
        <v>4208</v>
      </c>
      <c r="AC2015" s="1">
        <v>41296</v>
      </c>
      <c r="AF2015">
        <v>0</v>
      </c>
      <c r="AG2015">
        <v>45</v>
      </c>
      <c r="AH2015">
        <v>74</v>
      </c>
      <c r="AI2015" s="2">
        <f>Table__192.168.3.138DYLAgingReport[[#This Row],[NetAmount]]-Table__192.168.3.138DYLAgingReport[[#This Row],[Paid]]</f>
        <v>250560</v>
      </c>
    </row>
    <row r="2016" spans="1:35">
      <c r="A2016" t="s">
        <v>4209</v>
      </c>
      <c r="B2016" s="1">
        <v>41234</v>
      </c>
      <c r="C2016" s="1">
        <v>41234</v>
      </c>
      <c r="D2016" t="s">
        <v>291</v>
      </c>
      <c r="E2016">
        <v>29280</v>
      </c>
      <c r="F2016">
        <v>4685</v>
      </c>
      <c r="G2016">
        <v>0</v>
      </c>
      <c r="H2016">
        <v>0</v>
      </c>
      <c r="I2016">
        <v>36</v>
      </c>
      <c r="J2016">
        <v>33965</v>
      </c>
      <c r="K2016" t="s">
        <v>4210</v>
      </c>
      <c r="L2016" s="1">
        <v>41232</v>
      </c>
      <c r="N2016" t="s">
        <v>36</v>
      </c>
      <c r="O2016" t="s">
        <v>37</v>
      </c>
      <c r="P2016" t="s">
        <v>428</v>
      </c>
      <c r="Q2016" t="s">
        <v>39</v>
      </c>
      <c r="R2016" t="s">
        <v>40</v>
      </c>
      <c r="S2016">
        <v>0</v>
      </c>
      <c r="U2016" t="s">
        <v>41</v>
      </c>
      <c r="V2016" t="s">
        <v>42</v>
      </c>
      <c r="X2016" t="s">
        <v>74</v>
      </c>
      <c r="Y2016" t="b">
        <v>0</v>
      </c>
      <c r="Z2016" t="b">
        <v>0</v>
      </c>
      <c r="AC2016" s="1"/>
      <c r="AF2016">
        <v>0</v>
      </c>
      <c r="AG2016">
        <v>45</v>
      </c>
      <c r="AH2016">
        <v>81</v>
      </c>
      <c r="AI2016" s="2">
        <f>Table__192.168.3.138DYLAgingReport[[#This Row],[NetAmount]]-Table__192.168.3.138DYLAgingReport[[#This Row],[Paid]]</f>
        <v>33965</v>
      </c>
    </row>
    <row r="2017" spans="1:35">
      <c r="A2017" t="s">
        <v>4211</v>
      </c>
      <c r="B2017" s="1">
        <v>41243</v>
      </c>
      <c r="C2017" s="1">
        <v>41288</v>
      </c>
      <c r="D2017" t="s">
        <v>239</v>
      </c>
      <c r="E2017">
        <v>340630</v>
      </c>
      <c r="F2017">
        <v>54501</v>
      </c>
      <c r="G2017">
        <v>0</v>
      </c>
      <c r="H2017">
        <v>0</v>
      </c>
      <c r="I2017">
        <v>25</v>
      </c>
      <c r="J2017">
        <v>395131</v>
      </c>
      <c r="K2017" t="s">
        <v>4212</v>
      </c>
      <c r="L2017" s="1">
        <v>41243</v>
      </c>
      <c r="N2017" t="s">
        <v>36</v>
      </c>
      <c r="O2017" t="s">
        <v>37</v>
      </c>
      <c r="P2017" t="s">
        <v>376</v>
      </c>
      <c r="Q2017" t="s">
        <v>39</v>
      </c>
      <c r="R2017" t="s">
        <v>40</v>
      </c>
      <c r="S2017">
        <v>0</v>
      </c>
      <c r="U2017" t="s">
        <v>41</v>
      </c>
      <c r="V2017" t="s">
        <v>42</v>
      </c>
      <c r="X2017" t="s">
        <v>74</v>
      </c>
      <c r="Y2017" t="b">
        <v>0</v>
      </c>
      <c r="Z2017" t="b">
        <v>0</v>
      </c>
      <c r="AC2017" s="1"/>
      <c r="AF2017">
        <v>0</v>
      </c>
      <c r="AG2017">
        <v>45</v>
      </c>
      <c r="AH2017">
        <v>70</v>
      </c>
      <c r="AI2017" s="2">
        <f>Table__192.168.3.138DYLAgingReport[[#This Row],[NetAmount]]-Table__192.168.3.138DYLAgingReport[[#This Row],[Paid]]</f>
        <v>395131</v>
      </c>
    </row>
    <row r="2018" spans="1:35">
      <c r="A2018" t="s">
        <v>4213</v>
      </c>
      <c r="B2018" s="1">
        <v>41242</v>
      </c>
      <c r="C2018" s="1">
        <v>41287</v>
      </c>
      <c r="D2018" t="s">
        <v>239</v>
      </c>
      <c r="E2018">
        <v>340630</v>
      </c>
      <c r="F2018">
        <v>54500</v>
      </c>
      <c r="G2018">
        <v>0</v>
      </c>
      <c r="H2018">
        <v>0</v>
      </c>
      <c r="I2018">
        <v>26</v>
      </c>
      <c r="J2018">
        <v>395130</v>
      </c>
      <c r="K2018" t="s">
        <v>4214</v>
      </c>
      <c r="L2018" s="1">
        <v>41242</v>
      </c>
      <c r="N2018" t="s">
        <v>36</v>
      </c>
      <c r="O2018" t="s">
        <v>37</v>
      </c>
      <c r="P2018" t="s">
        <v>376</v>
      </c>
      <c r="Q2018" t="s">
        <v>39</v>
      </c>
      <c r="R2018" t="s">
        <v>40</v>
      </c>
      <c r="S2018">
        <v>0</v>
      </c>
      <c r="U2018" t="s">
        <v>41</v>
      </c>
      <c r="V2018" t="s">
        <v>42</v>
      </c>
      <c r="X2018" t="s">
        <v>74</v>
      </c>
      <c r="Y2018" t="b">
        <v>0</v>
      </c>
      <c r="Z2018" t="b">
        <v>0</v>
      </c>
      <c r="AC2018" s="1"/>
      <c r="AF2018">
        <v>0</v>
      </c>
      <c r="AG2018">
        <v>45</v>
      </c>
      <c r="AH2018">
        <v>71</v>
      </c>
      <c r="AI2018" s="2">
        <f>Table__192.168.3.138DYLAgingReport[[#This Row],[NetAmount]]-Table__192.168.3.138DYLAgingReport[[#This Row],[Paid]]</f>
        <v>395130</v>
      </c>
    </row>
    <row r="2019" spans="1:35">
      <c r="A2019" t="s">
        <v>4215</v>
      </c>
      <c r="B2019" s="1">
        <v>41233</v>
      </c>
      <c r="C2019" s="1">
        <v>41278</v>
      </c>
      <c r="D2019" t="s">
        <v>239</v>
      </c>
      <c r="E2019">
        <v>204378</v>
      </c>
      <c r="F2019">
        <v>32700</v>
      </c>
      <c r="G2019">
        <v>0</v>
      </c>
      <c r="H2019">
        <v>0</v>
      </c>
      <c r="I2019">
        <v>36</v>
      </c>
      <c r="J2019">
        <v>237078</v>
      </c>
      <c r="K2019" t="s">
        <v>4216</v>
      </c>
      <c r="L2019" s="1">
        <v>41232</v>
      </c>
      <c r="N2019" t="s">
        <v>36</v>
      </c>
      <c r="O2019" t="s">
        <v>37</v>
      </c>
      <c r="P2019" t="s">
        <v>376</v>
      </c>
      <c r="Q2019" t="s">
        <v>39</v>
      </c>
      <c r="R2019" t="s">
        <v>40</v>
      </c>
      <c r="S2019">
        <v>0</v>
      </c>
      <c r="U2019" t="s">
        <v>41</v>
      </c>
      <c r="V2019" t="s">
        <v>42</v>
      </c>
      <c r="X2019" t="s">
        <v>74</v>
      </c>
      <c r="Y2019" t="b">
        <v>0</v>
      </c>
      <c r="Z2019" t="b">
        <v>0</v>
      </c>
      <c r="AC2019" s="1"/>
      <c r="AF2019">
        <v>0</v>
      </c>
      <c r="AG2019">
        <v>45</v>
      </c>
      <c r="AH2019">
        <v>81</v>
      </c>
      <c r="AI2019" s="2">
        <f>Table__192.168.3.138DYLAgingReport[[#This Row],[NetAmount]]-Table__192.168.3.138DYLAgingReport[[#This Row],[Paid]]</f>
        <v>237078</v>
      </c>
    </row>
    <row r="2020" spans="1:35">
      <c r="A2020" t="s">
        <v>4217</v>
      </c>
      <c r="B2020" s="1">
        <v>41239</v>
      </c>
      <c r="C2020" s="1">
        <v>41284</v>
      </c>
      <c r="D2020" t="s">
        <v>231</v>
      </c>
      <c r="E2020">
        <v>327600</v>
      </c>
      <c r="F2020">
        <v>52416</v>
      </c>
      <c r="G2020">
        <v>0</v>
      </c>
      <c r="H2020">
        <v>0</v>
      </c>
      <c r="I2020">
        <v>29</v>
      </c>
      <c r="J2020">
        <v>380016</v>
      </c>
      <c r="K2020" t="s">
        <v>4218</v>
      </c>
      <c r="L2020" s="1">
        <v>41239</v>
      </c>
      <c r="N2020" t="s">
        <v>36</v>
      </c>
      <c r="O2020" t="s">
        <v>37</v>
      </c>
      <c r="P2020" t="s">
        <v>368</v>
      </c>
      <c r="Q2020" t="s">
        <v>39</v>
      </c>
      <c r="R2020" t="s">
        <v>40</v>
      </c>
      <c r="S2020">
        <v>0</v>
      </c>
      <c r="U2020" t="s">
        <v>41</v>
      </c>
      <c r="V2020" t="s">
        <v>42</v>
      </c>
      <c r="X2020" t="s">
        <v>74</v>
      </c>
      <c r="Y2020" t="b">
        <v>0</v>
      </c>
      <c r="Z2020" t="b">
        <v>0</v>
      </c>
      <c r="AC2020" s="1"/>
      <c r="AF2020">
        <v>0</v>
      </c>
      <c r="AG2020">
        <v>45</v>
      </c>
      <c r="AH2020">
        <v>74</v>
      </c>
      <c r="AI2020" s="2">
        <f>Table__192.168.3.138DYLAgingReport[[#This Row],[NetAmount]]-Table__192.168.3.138DYLAgingReport[[#This Row],[Paid]]</f>
        <v>380016</v>
      </c>
    </row>
    <row r="2021" spans="1:35">
      <c r="A2021" t="s">
        <v>4219</v>
      </c>
      <c r="B2021" s="1">
        <v>41240</v>
      </c>
      <c r="C2021" s="1">
        <v>41285</v>
      </c>
      <c r="D2021" t="s">
        <v>231</v>
      </c>
      <c r="E2021">
        <v>280800</v>
      </c>
      <c r="F2021">
        <v>44928</v>
      </c>
      <c r="G2021">
        <v>0</v>
      </c>
      <c r="H2021">
        <v>0</v>
      </c>
      <c r="I2021">
        <v>28</v>
      </c>
      <c r="J2021">
        <v>325728</v>
      </c>
      <c r="K2021" t="s">
        <v>4220</v>
      </c>
      <c r="L2021" s="1">
        <v>41240</v>
      </c>
      <c r="N2021" t="s">
        <v>36</v>
      </c>
      <c r="O2021" t="s">
        <v>37</v>
      </c>
      <c r="P2021" t="s">
        <v>368</v>
      </c>
      <c r="Q2021" t="s">
        <v>39</v>
      </c>
      <c r="R2021" t="s">
        <v>40</v>
      </c>
      <c r="S2021">
        <v>0</v>
      </c>
      <c r="U2021" t="s">
        <v>41</v>
      </c>
      <c r="V2021" t="s">
        <v>42</v>
      </c>
      <c r="X2021" t="s">
        <v>74</v>
      </c>
      <c r="Y2021" t="b">
        <v>0</v>
      </c>
      <c r="Z2021" t="b">
        <v>0</v>
      </c>
      <c r="AC2021" s="1"/>
      <c r="AF2021">
        <v>0</v>
      </c>
      <c r="AG2021">
        <v>45</v>
      </c>
      <c r="AH2021">
        <v>73</v>
      </c>
      <c r="AI2021" s="2">
        <f>Table__192.168.3.138DYLAgingReport[[#This Row],[NetAmount]]-Table__192.168.3.138DYLAgingReport[[#This Row],[Paid]]</f>
        <v>325728</v>
      </c>
    </row>
    <row r="2022" spans="1:35">
      <c r="A2022" t="s">
        <v>4221</v>
      </c>
      <c r="B2022" s="1">
        <v>41242</v>
      </c>
      <c r="C2022" s="1">
        <v>41287</v>
      </c>
      <c r="D2022" t="s">
        <v>231</v>
      </c>
      <c r="E2022">
        <v>327600</v>
      </c>
      <c r="F2022">
        <v>52416</v>
      </c>
      <c r="G2022">
        <v>0</v>
      </c>
      <c r="H2022">
        <v>0</v>
      </c>
      <c r="I2022">
        <v>26</v>
      </c>
      <c r="J2022">
        <v>380016</v>
      </c>
      <c r="K2022" t="s">
        <v>4110</v>
      </c>
      <c r="L2022" s="1">
        <v>41242</v>
      </c>
      <c r="N2022" t="s">
        <v>36</v>
      </c>
      <c r="O2022" t="s">
        <v>37</v>
      </c>
      <c r="P2022" t="s">
        <v>368</v>
      </c>
      <c r="Q2022" t="s">
        <v>39</v>
      </c>
      <c r="R2022" t="s">
        <v>40</v>
      </c>
      <c r="S2022">
        <v>0</v>
      </c>
      <c r="U2022" t="s">
        <v>41</v>
      </c>
      <c r="V2022" t="s">
        <v>42</v>
      </c>
      <c r="X2022" t="s">
        <v>74</v>
      </c>
      <c r="Y2022" t="b">
        <v>0</v>
      </c>
      <c r="Z2022" t="b">
        <v>0</v>
      </c>
      <c r="AC2022" s="1"/>
      <c r="AF2022">
        <v>0</v>
      </c>
      <c r="AG2022">
        <v>45</v>
      </c>
      <c r="AH2022">
        <v>71</v>
      </c>
      <c r="AI2022" s="2">
        <f>Table__192.168.3.138DYLAgingReport[[#This Row],[NetAmount]]-Table__192.168.3.138DYLAgingReport[[#This Row],[Paid]]</f>
        <v>380016</v>
      </c>
    </row>
    <row r="2023" spans="1:35">
      <c r="A2023" t="s">
        <v>4222</v>
      </c>
      <c r="B2023" s="1">
        <v>41241</v>
      </c>
      <c r="C2023" s="1">
        <v>41286</v>
      </c>
      <c r="D2023" t="s">
        <v>279</v>
      </c>
      <c r="E2023">
        <v>209725</v>
      </c>
      <c r="F2023">
        <v>33556</v>
      </c>
      <c r="G2023">
        <v>0</v>
      </c>
      <c r="H2023">
        <v>0</v>
      </c>
      <c r="I2023">
        <v>34</v>
      </c>
      <c r="J2023">
        <v>243281</v>
      </c>
      <c r="K2023" t="s">
        <v>957</v>
      </c>
      <c r="L2023" s="1">
        <v>41234</v>
      </c>
      <c r="N2023" t="s">
        <v>36</v>
      </c>
      <c r="O2023" t="s">
        <v>37</v>
      </c>
      <c r="P2023" t="s">
        <v>416</v>
      </c>
      <c r="Q2023" t="s">
        <v>39</v>
      </c>
      <c r="R2023" t="s">
        <v>40</v>
      </c>
      <c r="S2023">
        <v>0</v>
      </c>
      <c r="U2023" t="s">
        <v>41</v>
      </c>
      <c r="V2023" t="s">
        <v>42</v>
      </c>
      <c r="X2023" t="s">
        <v>74</v>
      </c>
      <c r="Y2023" t="b">
        <v>0</v>
      </c>
      <c r="Z2023" t="b">
        <v>0</v>
      </c>
      <c r="AC2023" s="1"/>
      <c r="AF2023">
        <v>0</v>
      </c>
      <c r="AG2023">
        <v>45</v>
      </c>
      <c r="AH2023">
        <v>79</v>
      </c>
      <c r="AI2023" s="2">
        <f>Table__192.168.3.138DYLAgingReport[[#This Row],[NetAmount]]-Table__192.168.3.138DYLAgingReport[[#This Row],[Paid]]</f>
        <v>243281</v>
      </c>
    </row>
    <row r="2024" spans="1:35">
      <c r="A2024" t="s">
        <v>4223</v>
      </c>
      <c r="B2024" s="1">
        <v>41241</v>
      </c>
      <c r="C2024" s="1">
        <v>41286</v>
      </c>
      <c r="D2024" t="s">
        <v>190</v>
      </c>
      <c r="E2024">
        <v>5820</v>
      </c>
      <c r="F2024">
        <v>931</v>
      </c>
      <c r="G2024">
        <v>0</v>
      </c>
      <c r="H2024">
        <v>0</v>
      </c>
      <c r="I2024">
        <v>50</v>
      </c>
      <c r="J2024">
        <v>6751</v>
      </c>
      <c r="K2024" t="s">
        <v>4224</v>
      </c>
      <c r="L2024" s="1">
        <v>41218</v>
      </c>
      <c r="N2024" t="s">
        <v>36</v>
      </c>
      <c r="O2024" t="s">
        <v>37</v>
      </c>
      <c r="P2024" t="s">
        <v>327</v>
      </c>
      <c r="Q2024" t="s">
        <v>39</v>
      </c>
      <c r="R2024" t="s">
        <v>40</v>
      </c>
      <c r="S2024">
        <v>0</v>
      </c>
      <c r="U2024" t="s">
        <v>41</v>
      </c>
      <c r="V2024" t="s">
        <v>42</v>
      </c>
      <c r="X2024" t="s">
        <v>74</v>
      </c>
      <c r="Y2024" t="b">
        <v>0</v>
      </c>
      <c r="Z2024" t="b">
        <v>0</v>
      </c>
      <c r="AC2024" s="1"/>
      <c r="AF2024">
        <v>0</v>
      </c>
      <c r="AG2024">
        <v>45</v>
      </c>
      <c r="AH2024">
        <v>95</v>
      </c>
      <c r="AI2024" s="2">
        <f>Table__192.168.3.138DYLAgingReport[[#This Row],[NetAmount]]-Table__192.168.3.138DYLAgingReport[[#This Row],[Paid]]</f>
        <v>6751</v>
      </c>
    </row>
    <row r="2025" spans="1:35">
      <c r="A2025" t="s">
        <v>4225</v>
      </c>
      <c r="B2025" s="1">
        <v>41241</v>
      </c>
      <c r="C2025" s="1">
        <v>41286</v>
      </c>
      <c r="D2025" t="s">
        <v>190</v>
      </c>
      <c r="E2025">
        <v>10400</v>
      </c>
      <c r="F2025">
        <v>1664</v>
      </c>
      <c r="G2025">
        <v>0</v>
      </c>
      <c r="H2025">
        <v>0</v>
      </c>
      <c r="I2025">
        <v>50</v>
      </c>
      <c r="J2025">
        <v>12064</v>
      </c>
      <c r="K2025" t="s">
        <v>2452</v>
      </c>
      <c r="L2025" s="1">
        <v>41218</v>
      </c>
      <c r="N2025" t="s">
        <v>36</v>
      </c>
      <c r="O2025" t="s">
        <v>37</v>
      </c>
      <c r="P2025" t="s">
        <v>327</v>
      </c>
      <c r="Q2025" t="s">
        <v>39</v>
      </c>
      <c r="R2025" t="s">
        <v>40</v>
      </c>
      <c r="S2025">
        <v>0</v>
      </c>
      <c r="U2025" t="s">
        <v>41</v>
      </c>
      <c r="V2025" t="s">
        <v>42</v>
      </c>
      <c r="X2025" t="s">
        <v>74</v>
      </c>
      <c r="Y2025" t="b">
        <v>0</v>
      </c>
      <c r="Z2025" t="b">
        <v>0</v>
      </c>
      <c r="AC2025" s="1"/>
      <c r="AF2025">
        <v>0</v>
      </c>
      <c r="AG2025">
        <v>45</v>
      </c>
      <c r="AH2025">
        <v>95</v>
      </c>
      <c r="AI2025" s="2">
        <f>Table__192.168.3.138DYLAgingReport[[#This Row],[NetAmount]]-Table__192.168.3.138DYLAgingReport[[#This Row],[Paid]]</f>
        <v>12064</v>
      </c>
    </row>
    <row r="2026" spans="1:35">
      <c r="A2026" t="s">
        <v>4226</v>
      </c>
      <c r="B2026" s="1">
        <v>41225</v>
      </c>
      <c r="C2026" s="1">
        <v>41270</v>
      </c>
      <c r="D2026" t="s">
        <v>191</v>
      </c>
      <c r="E2026">
        <v>49500</v>
      </c>
      <c r="F2026">
        <v>7920</v>
      </c>
      <c r="G2026">
        <v>0</v>
      </c>
      <c r="H2026">
        <v>0</v>
      </c>
      <c r="I2026">
        <v>43</v>
      </c>
      <c r="J2026">
        <v>57420</v>
      </c>
      <c r="K2026" t="s">
        <v>1007</v>
      </c>
      <c r="L2026" s="1">
        <v>41225</v>
      </c>
      <c r="N2026" t="s">
        <v>36</v>
      </c>
      <c r="O2026" t="s">
        <v>37</v>
      </c>
      <c r="P2026" t="s">
        <v>328</v>
      </c>
      <c r="Q2026" t="s">
        <v>39</v>
      </c>
      <c r="R2026" t="s">
        <v>40</v>
      </c>
      <c r="S2026">
        <v>0</v>
      </c>
      <c r="U2026" t="s">
        <v>41</v>
      </c>
      <c r="V2026" t="s">
        <v>42</v>
      </c>
      <c r="X2026" t="s">
        <v>74</v>
      </c>
      <c r="Y2026" t="b">
        <v>0</v>
      </c>
      <c r="Z2026" t="b">
        <v>0</v>
      </c>
      <c r="AC2026" s="1"/>
      <c r="AF2026">
        <v>0</v>
      </c>
      <c r="AG2026">
        <v>45</v>
      </c>
      <c r="AH2026">
        <v>88</v>
      </c>
      <c r="AI2026" s="2">
        <f>Table__192.168.3.138DYLAgingReport[[#This Row],[NetAmount]]-Table__192.168.3.138DYLAgingReport[[#This Row],[Paid]]</f>
        <v>57420</v>
      </c>
    </row>
    <row r="2027" spans="1:35">
      <c r="A2027" t="s">
        <v>4227</v>
      </c>
      <c r="B2027" s="1">
        <v>41228</v>
      </c>
      <c r="C2027" s="1">
        <v>41273</v>
      </c>
      <c r="D2027" t="s">
        <v>191</v>
      </c>
      <c r="E2027">
        <v>55000</v>
      </c>
      <c r="F2027">
        <v>8800</v>
      </c>
      <c r="G2027">
        <v>0</v>
      </c>
      <c r="H2027">
        <v>0</v>
      </c>
      <c r="I2027">
        <v>40</v>
      </c>
      <c r="J2027">
        <v>63800</v>
      </c>
      <c r="K2027" t="s">
        <v>3832</v>
      </c>
      <c r="L2027" s="1">
        <v>41228</v>
      </c>
      <c r="N2027" t="s">
        <v>36</v>
      </c>
      <c r="O2027" t="s">
        <v>37</v>
      </c>
      <c r="P2027" t="s">
        <v>328</v>
      </c>
      <c r="Q2027" t="s">
        <v>39</v>
      </c>
      <c r="R2027" t="s">
        <v>40</v>
      </c>
      <c r="S2027">
        <v>0</v>
      </c>
      <c r="U2027" t="s">
        <v>41</v>
      </c>
      <c r="V2027" t="s">
        <v>42</v>
      </c>
      <c r="X2027" t="s">
        <v>74</v>
      </c>
      <c r="Y2027" t="b">
        <v>0</v>
      </c>
      <c r="Z2027" t="b">
        <v>0</v>
      </c>
      <c r="AC2027" s="1"/>
      <c r="AF2027">
        <v>0</v>
      </c>
      <c r="AG2027">
        <v>45</v>
      </c>
      <c r="AH2027">
        <v>85</v>
      </c>
      <c r="AI2027" s="2">
        <f>Table__192.168.3.138DYLAgingReport[[#This Row],[NetAmount]]-Table__192.168.3.138DYLAgingReport[[#This Row],[Paid]]</f>
        <v>63800</v>
      </c>
    </row>
    <row r="2028" spans="1:35">
      <c r="A2028" t="s">
        <v>4228</v>
      </c>
      <c r="B2028" s="1">
        <v>41235</v>
      </c>
      <c r="C2028" s="1">
        <v>41280</v>
      </c>
      <c r="D2028" t="s">
        <v>191</v>
      </c>
      <c r="E2028">
        <v>146300</v>
      </c>
      <c r="F2028">
        <v>23408</v>
      </c>
      <c r="G2028">
        <v>0</v>
      </c>
      <c r="H2028">
        <v>0</v>
      </c>
      <c r="I2028">
        <v>33</v>
      </c>
      <c r="J2028">
        <v>169708</v>
      </c>
      <c r="K2028" t="s">
        <v>1173</v>
      </c>
      <c r="L2028" s="1">
        <v>41235</v>
      </c>
      <c r="N2028" t="s">
        <v>36</v>
      </c>
      <c r="O2028" t="s">
        <v>37</v>
      </c>
      <c r="P2028" t="s">
        <v>328</v>
      </c>
      <c r="Q2028" t="s">
        <v>39</v>
      </c>
      <c r="R2028" t="s">
        <v>40</v>
      </c>
      <c r="S2028">
        <v>0</v>
      </c>
      <c r="U2028" t="s">
        <v>41</v>
      </c>
      <c r="V2028" t="s">
        <v>42</v>
      </c>
      <c r="X2028" t="s">
        <v>74</v>
      </c>
      <c r="Y2028" t="b">
        <v>0</v>
      </c>
      <c r="Z2028" t="b">
        <v>0</v>
      </c>
      <c r="AC2028" s="1"/>
      <c r="AF2028">
        <v>0</v>
      </c>
      <c r="AG2028">
        <v>45</v>
      </c>
      <c r="AH2028">
        <v>78</v>
      </c>
      <c r="AI2028" s="2">
        <f>Table__192.168.3.138DYLAgingReport[[#This Row],[NetAmount]]-Table__192.168.3.138DYLAgingReport[[#This Row],[Paid]]</f>
        <v>169708</v>
      </c>
    </row>
    <row r="2029" spans="1:35">
      <c r="A2029" t="s">
        <v>4229</v>
      </c>
      <c r="B2029" s="1">
        <v>41236</v>
      </c>
      <c r="C2029" s="1">
        <v>41236</v>
      </c>
      <c r="D2029" t="s">
        <v>290</v>
      </c>
      <c r="E2029">
        <v>16000</v>
      </c>
      <c r="F2029">
        <v>2560</v>
      </c>
      <c r="G2029">
        <v>0</v>
      </c>
      <c r="H2029">
        <v>0</v>
      </c>
      <c r="I2029">
        <v>32</v>
      </c>
      <c r="J2029">
        <v>18560</v>
      </c>
      <c r="K2029" t="s">
        <v>4230</v>
      </c>
      <c r="L2029" s="1">
        <v>41236</v>
      </c>
      <c r="N2029" t="s">
        <v>36</v>
      </c>
      <c r="O2029" t="s">
        <v>37</v>
      </c>
      <c r="P2029" t="s">
        <v>427</v>
      </c>
      <c r="Q2029" t="s">
        <v>39</v>
      </c>
      <c r="R2029" t="s">
        <v>40</v>
      </c>
      <c r="S2029">
        <v>0</v>
      </c>
      <c r="U2029" t="s">
        <v>41</v>
      </c>
      <c r="V2029" t="s">
        <v>42</v>
      </c>
      <c r="X2029" t="s">
        <v>74</v>
      </c>
      <c r="Y2029" t="b">
        <v>0</v>
      </c>
      <c r="Z2029" t="b">
        <v>0</v>
      </c>
      <c r="AC2029" s="1"/>
      <c r="AF2029">
        <v>0</v>
      </c>
      <c r="AG2029">
        <v>45</v>
      </c>
      <c r="AH2029">
        <v>77</v>
      </c>
      <c r="AI2029" s="2">
        <f>Table__192.168.3.138DYLAgingReport[[#This Row],[NetAmount]]-Table__192.168.3.138DYLAgingReport[[#This Row],[Paid]]</f>
        <v>18560</v>
      </c>
    </row>
    <row r="2030" spans="1:35">
      <c r="A2030" t="s">
        <v>4231</v>
      </c>
      <c r="B2030" s="1">
        <v>41241</v>
      </c>
      <c r="C2030" s="1">
        <v>41241</v>
      </c>
      <c r="D2030" t="s">
        <v>290</v>
      </c>
      <c r="E2030">
        <v>16000</v>
      </c>
      <c r="F2030">
        <v>2560</v>
      </c>
      <c r="G2030">
        <v>0</v>
      </c>
      <c r="H2030">
        <v>0</v>
      </c>
      <c r="I2030">
        <v>28</v>
      </c>
      <c r="J2030">
        <v>18560</v>
      </c>
      <c r="K2030" t="s">
        <v>4232</v>
      </c>
      <c r="L2030" s="1">
        <v>41240</v>
      </c>
      <c r="N2030" t="s">
        <v>36</v>
      </c>
      <c r="O2030" t="s">
        <v>37</v>
      </c>
      <c r="P2030" t="s">
        <v>427</v>
      </c>
      <c r="Q2030" t="s">
        <v>39</v>
      </c>
      <c r="R2030" t="s">
        <v>40</v>
      </c>
      <c r="S2030">
        <v>0</v>
      </c>
      <c r="U2030" t="s">
        <v>41</v>
      </c>
      <c r="V2030" t="s">
        <v>42</v>
      </c>
      <c r="X2030" t="s">
        <v>74</v>
      </c>
      <c r="Y2030" t="b">
        <v>0</v>
      </c>
      <c r="Z2030" t="b">
        <v>0</v>
      </c>
      <c r="AC2030" s="1"/>
      <c r="AF2030">
        <v>0</v>
      </c>
      <c r="AG2030">
        <v>45</v>
      </c>
      <c r="AH2030">
        <v>73</v>
      </c>
      <c r="AI2030" s="2">
        <f>Table__192.168.3.138DYLAgingReport[[#This Row],[NetAmount]]-Table__192.168.3.138DYLAgingReport[[#This Row],[Paid]]</f>
        <v>18560</v>
      </c>
    </row>
    <row r="2031" spans="1:35">
      <c r="A2031" t="s">
        <v>4233</v>
      </c>
      <c r="B2031" s="1">
        <v>41243</v>
      </c>
      <c r="C2031" s="1">
        <v>41243</v>
      </c>
      <c r="D2031" t="s">
        <v>290</v>
      </c>
      <c r="E2031">
        <v>9600</v>
      </c>
      <c r="F2031">
        <v>1536</v>
      </c>
      <c r="G2031">
        <v>0</v>
      </c>
      <c r="H2031">
        <v>0</v>
      </c>
      <c r="I2031">
        <v>25</v>
      </c>
      <c r="J2031">
        <v>11136</v>
      </c>
      <c r="K2031" t="s">
        <v>3652</v>
      </c>
      <c r="L2031" s="1">
        <v>41243</v>
      </c>
      <c r="N2031" t="s">
        <v>36</v>
      </c>
      <c r="O2031" t="s">
        <v>37</v>
      </c>
      <c r="P2031" t="s">
        <v>427</v>
      </c>
      <c r="Q2031" t="s">
        <v>39</v>
      </c>
      <c r="R2031" t="s">
        <v>40</v>
      </c>
      <c r="S2031">
        <v>0</v>
      </c>
      <c r="U2031" t="s">
        <v>41</v>
      </c>
      <c r="V2031" t="s">
        <v>42</v>
      </c>
      <c r="X2031" t="s">
        <v>74</v>
      </c>
      <c r="Y2031" t="b">
        <v>0</v>
      </c>
      <c r="Z2031" t="b">
        <v>0</v>
      </c>
      <c r="AC2031" s="1"/>
      <c r="AF2031">
        <v>0</v>
      </c>
      <c r="AG2031">
        <v>45</v>
      </c>
      <c r="AH2031">
        <v>70</v>
      </c>
      <c r="AI2031" s="2">
        <f>Table__192.168.3.138DYLAgingReport[[#This Row],[NetAmount]]-Table__192.168.3.138DYLAgingReport[[#This Row],[Paid]]</f>
        <v>11136</v>
      </c>
    </row>
    <row r="2032" spans="1:35">
      <c r="A2032" t="s">
        <v>4234</v>
      </c>
      <c r="B2032" s="1">
        <v>41232</v>
      </c>
      <c r="C2032" s="1">
        <v>41277</v>
      </c>
      <c r="D2032" t="s">
        <v>253</v>
      </c>
      <c r="E2032">
        <v>332389</v>
      </c>
      <c r="F2032">
        <v>53183</v>
      </c>
      <c r="G2032">
        <v>0</v>
      </c>
      <c r="H2032">
        <v>0</v>
      </c>
      <c r="I2032">
        <v>35</v>
      </c>
      <c r="J2032">
        <v>385572</v>
      </c>
      <c r="K2032" t="s">
        <v>4235</v>
      </c>
      <c r="L2032" s="1">
        <v>41233</v>
      </c>
      <c r="N2032" t="s">
        <v>36</v>
      </c>
      <c r="O2032" t="s">
        <v>37</v>
      </c>
      <c r="P2032" t="s">
        <v>390</v>
      </c>
      <c r="Q2032" t="s">
        <v>39</v>
      </c>
      <c r="R2032" t="s">
        <v>40</v>
      </c>
      <c r="S2032">
        <v>0</v>
      </c>
      <c r="U2032" t="s">
        <v>41</v>
      </c>
      <c r="V2032" t="s">
        <v>42</v>
      </c>
      <c r="X2032" t="s">
        <v>74</v>
      </c>
      <c r="Y2032" t="b">
        <v>0</v>
      </c>
      <c r="Z2032" t="b">
        <v>0</v>
      </c>
      <c r="AB2032" t="s">
        <v>3899</v>
      </c>
      <c r="AC2032" s="1">
        <v>41296</v>
      </c>
      <c r="AF2032">
        <v>0</v>
      </c>
      <c r="AG2032">
        <v>45</v>
      </c>
      <c r="AH2032">
        <v>80</v>
      </c>
      <c r="AI2032" s="2">
        <f>Table__192.168.3.138DYLAgingReport[[#This Row],[NetAmount]]-Table__192.168.3.138DYLAgingReport[[#This Row],[Paid]]</f>
        <v>385572</v>
      </c>
    </row>
    <row r="2033" spans="1:35">
      <c r="A2033" t="s">
        <v>4236</v>
      </c>
      <c r="B2033" s="1">
        <v>41242</v>
      </c>
      <c r="C2033" s="1">
        <v>41287</v>
      </c>
      <c r="D2033" t="s">
        <v>253</v>
      </c>
      <c r="E2033">
        <v>205721</v>
      </c>
      <c r="F2033">
        <v>32916</v>
      </c>
      <c r="G2033">
        <v>0</v>
      </c>
      <c r="H2033">
        <v>0</v>
      </c>
      <c r="I2033">
        <v>26</v>
      </c>
      <c r="J2033">
        <v>238637</v>
      </c>
      <c r="K2033" t="s">
        <v>4237</v>
      </c>
      <c r="L2033" s="1">
        <v>41242</v>
      </c>
      <c r="N2033" t="s">
        <v>36</v>
      </c>
      <c r="O2033" t="s">
        <v>37</v>
      </c>
      <c r="P2033" t="s">
        <v>390</v>
      </c>
      <c r="Q2033" t="s">
        <v>39</v>
      </c>
      <c r="R2033" t="s">
        <v>40</v>
      </c>
      <c r="S2033">
        <v>0</v>
      </c>
      <c r="U2033" t="s">
        <v>41</v>
      </c>
      <c r="V2033" t="s">
        <v>42</v>
      </c>
      <c r="X2033" t="s">
        <v>74</v>
      </c>
      <c r="Y2033" t="b">
        <v>0</v>
      </c>
      <c r="Z2033" t="b">
        <v>0</v>
      </c>
      <c r="AC2033" s="1"/>
      <c r="AF2033">
        <v>0</v>
      </c>
      <c r="AG2033">
        <v>45</v>
      </c>
      <c r="AH2033">
        <v>71</v>
      </c>
      <c r="AI2033" s="2">
        <f>Table__192.168.3.138DYLAgingReport[[#This Row],[NetAmount]]-Table__192.168.3.138DYLAgingReport[[#This Row],[Paid]]</f>
        <v>238637</v>
      </c>
    </row>
    <row r="2034" spans="1:35">
      <c r="A2034" t="s">
        <v>4238</v>
      </c>
      <c r="B2034" s="1">
        <v>41239</v>
      </c>
      <c r="C2034" s="1">
        <v>41284</v>
      </c>
      <c r="D2034" t="s">
        <v>275</v>
      </c>
      <c r="E2034">
        <v>162150</v>
      </c>
      <c r="F2034">
        <v>0</v>
      </c>
      <c r="G2034">
        <v>0</v>
      </c>
      <c r="H2034">
        <v>0</v>
      </c>
      <c r="I2034">
        <v>29</v>
      </c>
      <c r="J2034">
        <v>162150</v>
      </c>
      <c r="K2034" t="s">
        <v>4239</v>
      </c>
      <c r="L2034" s="1">
        <v>41239</v>
      </c>
      <c r="N2034" t="s">
        <v>36</v>
      </c>
      <c r="O2034" t="s">
        <v>37</v>
      </c>
      <c r="P2034" t="s">
        <v>412</v>
      </c>
      <c r="Q2034" t="s">
        <v>39</v>
      </c>
      <c r="R2034" t="s">
        <v>40</v>
      </c>
      <c r="S2034">
        <v>0</v>
      </c>
      <c r="U2034" t="s">
        <v>41</v>
      </c>
      <c r="V2034" t="s">
        <v>42</v>
      </c>
      <c r="X2034" t="s">
        <v>74</v>
      </c>
      <c r="Y2034" t="b">
        <v>0</v>
      </c>
      <c r="Z2034" t="b">
        <v>0</v>
      </c>
      <c r="AC2034" s="1"/>
      <c r="AF2034">
        <v>0</v>
      </c>
      <c r="AG2034">
        <v>45</v>
      </c>
      <c r="AH2034">
        <v>74</v>
      </c>
      <c r="AI2034" s="2">
        <f>Table__192.168.3.138DYLAgingReport[[#This Row],[NetAmount]]-Table__192.168.3.138DYLAgingReport[[#This Row],[Paid]]</f>
        <v>162150</v>
      </c>
    </row>
    <row r="2035" spans="1:35">
      <c r="A2035" t="s">
        <v>4240</v>
      </c>
      <c r="B2035" s="1">
        <v>41243</v>
      </c>
      <c r="C2035" s="1">
        <v>41288</v>
      </c>
      <c r="D2035" t="s">
        <v>264</v>
      </c>
      <c r="E2035">
        <v>700000</v>
      </c>
      <c r="F2035">
        <v>112000</v>
      </c>
      <c r="G2035">
        <v>0</v>
      </c>
      <c r="H2035">
        <v>0</v>
      </c>
      <c r="I2035">
        <v>29</v>
      </c>
      <c r="J2035">
        <v>812000</v>
      </c>
      <c r="K2035" t="s">
        <v>3275</v>
      </c>
      <c r="L2035" s="1">
        <v>41239</v>
      </c>
      <c r="N2035" t="s">
        <v>36</v>
      </c>
      <c r="O2035" t="s">
        <v>37</v>
      </c>
      <c r="P2035" t="s">
        <v>401</v>
      </c>
      <c r="Q2035" t="s">
        <v>39</v>
      </c>
      <c r="R2035" t="s">
        <v>40</v>
      </c>
      <c r="S2035">
        <v>0</v>
      </c>
      <c r="U2035" t="s">
        <v>41</v>
      </c>
      <c r="V2035" t="s">
        <v>42</v>
      </c>
      <c r="X2035" t="s">
        <v>74</v>
      </c>
      <c r="Y2035" t="b">
        <v>0</v>
      </c>
      <c r="Z2035" t="b">
        <v>0</v>
      </c>
      <c r="AB2035" t="s">
        <v>1230</v>
      </c>
      <c r="AC2035" s="1"/>
      <c r="AF2035">
        <v>0</v>
      </c>
      <c r="AG2035">
        <v>45</v>
      </c>
      <c r="AH2035">
        <v>74</v>
      </c>
      <c r="AI2035" s="2">
        <f>Table__192.168.3.138DYLAgingReport[[#This Row],[NetAmount]]-Table__192.168.3.138DYLAgingReport[[#This Row],[Paid]]</f>
        <v>812000</v>
      </c>
    </row>
    <row r="2036" spans="1:35">
      <c r="A2036" t="s">
        <v>4241</v>
      </c>
      <c r="B2036" s="1">
        <v>41242</v>
      </c>
      <c r="C2036" s="1">
        <v>41287</v>
      </c>
      <c r="D2036" t="s">
        <v>220</v>
      </c>
      <c r="E2036">
        <v>204500</v>
      </c>
      <c r="F2036">
        <v>32720</v>
      </c>
      <c r="G2036">
        <v>0</v>
      </c>
      <c r="H2036">
        <v>0</v>
      </c>
      <c r="I2036">
        <v>26</v>
      </c>
      <c r="J2036">
        <v>237220</v>
      </c>
      <c r="K2036" t="s">
        <v>4242</v>
      </c>
      <c r="L2036" s="1">
        <v>41242</v>
      </c>
      <c r="N2036" t="s">
        <v>36</v>
      </c>
      <c r="O2036" t="s">
        <v>37</v>
      </c>
      <c r="P2036" t="s">
        <v>357</v>
      </c>
      <c r="Q2036" t="s">
        <v>39</v>
      </c>
      <c r="R2036" t="s">
        <v>40</v>
      </c>
      <c r="S2036">
        <v>0</v>
      </c>
      <c r="U2036" t="s">
        <v>41</v>
      </c>
      <c r="V2036" t="s">
        <v>42</v>
      </c>
      <c r="X2036" t="s">
        <v>74</v>
      </c>
      <c r="Y2036" t="b">
        <v>0</v>
      </c>
      <c r="Z2036" t="b">
        <v>0</v>
      </c>
      <c r="AC2036" s="1"/>
      <c r="AF2036">
        <v>0</v>
      </c>
      <c r="AG2036">
        <v>45</v>
      </c>
      <c r="AH2036">
        <v>71</v>
      </c>
      <c r="AI2036" s="2">
        <f>Table__192.168.3.138DYLAgingReport[[#This Row],[NetAmount]]-Table__192.168.3.138DYLAgingReport[[#This Row],[Paid]]</f>
        <v>237220</v>
      </c>
    </row>
    <row r="2037" spans="1:35">
      <c r="A2037" t="s">
        <v>4243</v>
      </c>
      <c r="B2037" s="1">
        <v>41241</v>
      </c>
      <c r="C2037" s="1">
        <v>41286</v>
      </c>
      <c r="D2037" t="s">
        <v>224</v>
      </c>
      <c r="E2037">
        <v>107139</v>
      </c>
      <c r="F2037">
        <v>17142</v>
      </c>
      <c r="G2037">
        <v>0</v>
      </c>
      <c r="H2037">
        <v>0</v>
      </c>
      <c r="I2037">
        <v>33</v>
      </c>
      <c r="J2037">
        <v>124281</v>
      </c>
      <c r="K2037" t="s">
        <v>1195</v>
      </c>
      <c r="L2037" s="1">
        <v>41235</v>
      </c>
      <c r="N2037" t="s">
        <v>36</v>
      </c>
      <c r="O2037" t="s">
        <v>37</v>
      </c>
      <c r="P2037" t="s">
        <v>361</v>
      </c>
      <c r="Q2037" t="s">
        <v>39</v>
      </c>
      <c r="R2037" t="s">
        <v>40</v>
      </c>
      <c r="S2037">
        <v>0</v>
      </c>
      <c r="U2037" t="s">
        <v>41</v>
      </c>
      <c r="V2037" t="s">
        <v>42</v>
      </c>
      <c r="X2037" t="s">
        <v>74</v>
      </c>
      <c r="Y2037" t="b">
        <v>0</v>
      </c>
      <c r="Z2037" t="b">
        <v>0</v>
      </c>
      <c r="AC2037" s="1"/>
      <c r="AF2037">
        <v>0</v>
      </c>
      <c r="AG2037">
        <v>45</v>
      </c>
      <c r="AH2037">
        <v>78</v>
      </c>
      <c r="AI2037" s="2">
        <f>Table__192.168.3.138DYLAgingReport[[#This Row],[NetAmount]]-Table__192.168.3.138DYLAgingReport[[#This Row],[Paid]]</f>
        <v>124281</v>
      </c>
    </row>
    <row r="2038" spans="1:35">
      <c r="A2038" t="s">
        <v>4244</v>
      </c>
      <c r="B2038" s="1">
        <v>41242</v>
      </c>
      <c r="C2038" s="1">
        <v>41287</v>
      </c>
      <c r="D2038" t="s">
        <v>224</v>
      </c>
      <c r="E2038">
        <v>219856</v>
      </c>
      <c r="F2038">
        <v>35177</v>
      </c>
      <c r="G2038">
        <v>0</v>
      </c>
      <c r="H2038">
        <v>0</v>
      </c>
      <c r="I2038">
        <v>33</v>
      </c>
      <c r="J2038">
        <v>255033</v>
      </c>
      <c r="K2038" t="s">
        <v>4245</v>
      </c>
      <c r="L2038" s="1">
        <v>41235</v>
      </c>
      <c r="N2038" t="s">
        <v>36</v>
      </c>
      <c r="O2038" t="s">
        <v>37</v>
      </c>
      <c r="P2038" t="s">
        <v>361</v>
      </c>
      <c r="Q2038" t="s">
        <v>39</v>
      </c>
      <c r="R2038" t="s">
        <v>40</v>
      </c>
      <c r="S2038">
        <v>0</v>
      </c>
      <c r="U2038" t="s">
        <v>41</v>
      </c>
      <c r="V2038" t="s">
        <v>42</v>
      </c>
      <c r="X2038" t="s">
        <v>74</v>
      </c>
      <c r="Y2038" t="b">
        <v>0</v>
      </c>
      <c r="Z2038" t="b">
        <v>0</v>
      </c>
      <c r="AC2038" s="1"/>
      <c r="AF2038">
        <v>0</v>
      </c>
      <c r="AG2038">
        <v>45</v>
      </c>
      <c r="AH2038">
        <v>78</v>
      </c>
      <c r="AI2038" s="2">
        <f>Table__192.168.3.138DYLAgingReport[[#This Row],[NetAmount]]-Table__192.168.3.138DYLAgingReport[[#This Row],[Paid]]</f>
        <v>255033</v>
      </c>
    </row>
    <row r="2039" spans="1:35">
      <c r="A2039" t="s">
        <v>4246</v>
      </c>
      <c r="B2039" s="1">
        <v>41243</v>
      </c>
      <c r="C2039" s="1">
        <v>41288</v>
      </c>
      <c r="D2039" t="s">
        <v>224</v>
      </c>
      <c r="E2039">
        <v>207430</v>
      </c>
      <c r="F2039">
        <v>33188</v>
      </c>
      <c r="G2039">
        <v>0</v>
      </c>
      <c r="H2039">
        <v>0</v>
      </c>
      <c r="I2039">
        <v>33</v>
      </c>
      <c r="J2039">
        <v>240618</v>
      </c>
      <c r="K2039" t="s">
        <v>4247</v>
      </c>
      <c r="L2039" s="1">
        <v>41235</v>
      </c>
      <c r="N2039" t="s">
        <v>36</v>
      </c>
      <c r="O2039" t="s">
        <v>37</v>
      </c>
      <c r="P2039" t="s">
        <v>361</v>
      </c>
      <c r="Q2039" t="s">
        <v>39</v>
      </c>
      <c r="R2039" t="s">
        <v>40</v>
      </c>
      <c r="S2039">
        <v>0</v>
      </c>
      <c r="U2039" t="s">
        <v>41</v>
      </c>
      <c r="V2039" t="s">
        <v>42</v>
      </c>
      <c r="X2039" t="s">
        <v>74</v>
      </c>
      <c r="Y2039" t="b">
        <v>0</v>
      </c>
      <c r="Z2039" t="b">
        <v>0</v>
      </c>
      <c r="AC2039" s="1"/>
      <c r="AF2039">
        <v>0</v>
      </c>
      <c r="AG2039">
        <v>45</v>
      </c>
      <c r="AH2039">
        <v>78</v>
      </c>
      <c r="AI2039" s="2">
        <f>Table__192.168.3.138DYLAgingReport[[#This Row],[NetAmount]]-Table__192.168.3.138DYLAgingReport[[#This Row],[Paid]]</f>
        <v>240618</v>
      </c>
    </row>
    <row r="2040" spans="1:35">
      <c r="A2040" t="s">
        <v>4248</v>
      </c>
      <c r="B2040" s="1">
        <v>41243</v>
      </c>
      <c r="C2040" s="1">
        <v>41243</v>
      </c>
      <c r="D2040" t="s">
        <v>296</v>
      </c>
      <c r="E2040">
        <v>1000</v>
      </c>
      <c r="F2040">
        <v>160</v>
      </c>
      <c r="G2040">
        <v>0</v>
      </c>
      <c r="H2040">
        <v>0</v>
      </c>
      <c r="I2040">
        <v>26</v>
      </c>
      <c r="J2040">
        <v>1160</v>
      </c>
      <c r="K2040" t="s">
        <v>4249</v>
      </c>
      <c r="L2040" s="1">
        <v>41242</v>
      </c>
      <c r="N2040" t="s">
        <v>36</v>
      </c>
      <c r="O2040" t="s">
        <v>37</v>
      </c>
      <c r="P2040" t="s">
        <v>433</v>
      </c>
      <c r="Q2040" t="s">
        <v>39</v>
      </c>
      <c r="R2040" t="s">
        <v>40</v>
      </c>
      <c r="S2040">
        <v>0</v>
      </c>
      <c r="U2040" t="s">
        <v>41</v>
      </c>
      <c r="V2040" t="s">
        <v>42</v>
      </c>
      <c r="X2040" t="s">
        <v>74</v>
      </c>
      <c r="Y2040" t="b">
        <v>0</v>
      </c>
      <c r="Z2040" t="b">
        <v>0</v>
      </c>
      <c r="AC2040" s="1"/>
      <c r="AF2040">
        <v>0</v>
      </c>
      <c r="AG2040">
        <v>45</v>
      </c>
      <c r="AH2040">
        <v>71</v>
      </c>
      <c r="AI2040" s="2">
        <f>Table__192.168.3.138DYLAgingReport[[#This Row],[NetAmount]]-Table__192.168.3.138DYLAgingReport[[#This Row],[Paid]]</f>
        <v>1160</v>
      </c>
    </row>
    <row r="2041" spans="1:35">
      <c r="A2041" t="s">
        <v>4250</v>
      </c>
      <c r="B2041" s="1">
        <v>41227</v>
      </c>
      <c r="C2041" s="1">
        <v>41227</v>
      </c>
      <c r="D2041" t="s">
        <v>296</v>
      </c>
      <c r="E2041">
        <v>6800</v>
      </c>
      <c r="F2041">
        <v>1088</v>
      </c>
      <c r="G2041">
        <v>0</v>
      </c>
      <c r="H2041">
        <v>0</v>
      </c>
      <c r="I2041">
        <v>41</v>
      </c>
      <c r="J2041">
        <v>7888</v>
      </c>
      <c r="K2041" t="s">
        <v>3362</v>
      </c>
      <c r="L2041" s="1">
        <v>41227</v>
      </c>
      <c r="N2041" t="s">
        <v>36</v>
      </c>
      <c r="O2041" t="s">
        <v>37</v>
      </c>
      <c r="P2041" t="s">
        <v>433</v>
      </c>
      <c r="Q2041" t="s">
        <v>39</v>
      </c>
      <c r="R2041" t="s">
        <v>40</v>
      </c>
      <c r="S2041">
        <v>0</v>
      </c>
      <c r="U2041" t="s">
        <v>41</v>
      </c>
      <c r="V2041" t="s">
        <v>42</v>
      </c>
      <c r="X2041" t="s">
        <v>74</v>
      </c>
      <c r="Y2041" t="b">
        <v>0</v>
      </c>
      <c r="Z2041" t="b">
        <v>0</v>
      </c>
      <c r="AC2041" s="1"/>
      <c r="AF2041">
        <v>0</v>
      </c>
      <c r="AG2041">
        <v>45</v>
      </c>
      <c r="AH2041">
        <v>86</v>
      </c>
      <c r="AI2041" s="2">
        <f>Table__192.168.3.138DYLAgingReport[[#This Row],[NetAmount]]-Table__192.168.3.138DYLAgingReport[[#This Row],[Paid]]</f>
        <v>7888</v>
      </c>
    </row>
    <row r="2042" spans="1:35">
      <c r="A2042" t="s">
        <v>4251</v>
      </c>
      <c r="B2042" s="1">
        <v>41231</v>
      </c>
      <c r="C2042" s="1">
        <v>41231</v>
      </c>
      <c r="D2042" t="s">
        <v>296</v>
      </c>
      <c r="E2042">
        <v>18675</v>
      </c>
      <c r="F2042">
        <v>2988</v>
      </c>
      <c r="G2042">
        <v>0</v>
      </c>
      <c r="H2042">
        <v>0</v>
      </c>
      <c r="I2042">
        <v>38</v>
      </c>
      <c r="J2042">
        <v>21663</v>
      </c>
      <c r="K2042" t="s">
        <v>1264</v>
      </c>
      <c r="L2042" s="1">
        <v>41230</v>
      </c>
      <c r="N2042" t="s">
        <v>36</v>
      </c>
      <c r="O2042" t="s">
        <v>37</v>
      </c>
      <c r="P2042" t="s">
        <v>433</v>
      </c>
      <c r="Q2042" t="s">
        <v>39</v>
      </c>
      <c r="R2042" t="s">
        <v>40</v>
      </c>
      <c r="S2042">
        <v>0</v>
      </c>
      <c r="U2042" t="s">
        <v>41</v>
      </c>
      <c r="V2042" t="s">
        <v>42</v>
      </c>
      <c r="X2042" t="s">
        <v>74</v>
      </c>
      <c r="Y2042" t="b">
        <v>0</v>
      </c>
      <c r="Z2042" t="b">
        <v>0</v>
      </c>
      <c r="AC2042" s="1"/>
      <c r="AF2042">
        <v>0</v>
      </c>
      <c r="AG2042">
        <v>45</v>
      </c>
      <c r="AH2042">
        <v>83</v>
      </c>
      <c r="AI2042" s="2">
        <f>Table__192.168.3.138DYLAgingReport[[#This Row],[NetAmount]]-Table__192.168.3.138DYLAgingReport[[#This Row],[Paid]]</f>
        <v>21663</v>
      </c>
    </row>
    <row r="2043" spans="1:35">
      <c r="A2043" t="s">
        <v>4252</v>
      </c>
      <c r="B2043" s="1">
        <v>41241</v>
      </c>
      <c r="C2043" s="1">
        <v>41286</v>
      </c>
      <c r="D2043" t="s">
        <v>271</v>
      </c>
      <c r="E2043">
        <v>73200</v>
      </c>
      <c r="F2043">
        <v>11712</v>
      </c>
      <c r="G2043">
        <v>0</v>
      </c>
      <c r="H2043">
        <v>0</v>
      </c>
      <c r="I2043">
        <v>27</v>
      </c>
      <c r="J2043">
        <v>84912</v>
      </c>
      <c r="K2043" t="s">
        <v>3570</v>
      </c>
      <c r="L2043" s="1">
        <v>41241</v>
      </c>
      <c r="N2043" t="s">
        <v>36</v>
      </c>
      <c r="O2043" t="s">
        <v>37</v>
      </c>
      <c r="P2043" t="s">
        <v>408</v>
      </c>
      <c r="Q2043" t="s">
        <v>39</v>
      </c>
      <c r="R2043" t="s">
        <v>40</v>
      </c>
      <c r="S2043">
        <v>0</v>
      </c>
      <c r="U2043" t="s">
        <v>41</v>
      </c>
      <c r="V2043" t="s">
        <v>42</v>
      </c>
      <c r="X2043" t="s">
        <v>74</v>
      </c>
      <c r="Y2043" t="b">
        <v>0</v>
      </c>
      <c r="Z2043" t="b">
        <v>0</v>
      </c>
      <c r="AC2043" s="1"/>
      <c r="AF2043">
        <v>0</v>
      </c>
      <c r="AG2043">
        <v>45</v>
      </c>
      <c r="AH2043">
        <v>72</v>
      </c>
      <c r="AI2043" s="2">
        <f>Table__192.168.3.138DYLAgingReport[[#This Row],[NetAmount]]-Table__192.168.3.138DYLAgingReport[[#This Row],[Paid]]</f>
        <v>84912</v>
      </c>
    </row>
    <row r="2044" spans="1:35">
      <c r="A2044" t="s">
        <v>4253</v>
      </c>
      <c r="B2044" s="1">
        <v>41239</v>
      </c>
      <c r="C2044" s="1">
        <v>41284</v>
      </c>
      <c r="D2044" t="s">
        <v>271</v>
      </c>
      <c r="E2044">
        <v>111250</v>
      </c>
      <c r="F2044">
        <v>17800</v>
      </c>
      <c r="G2044">
        <v>0</v>
      </c>
      <c r="H2044">
        <v>0</v>
      </c>
      <c r="I2044">
        <v>29</v>
      </c>
      <c r="J2044">
        <v>129050</v>
      </c>
      <c r="K2044" t="s">
        <v>2315</v>
      </c>
      <c r="L2044" s="1">
        <v>41239</v>
      </c>
      <c r="N2044" t="s">
        <v>36</v>
      </c>
      <c r="O2044" t="s">
        <v>37</v>
      </c>
      <c r="P2044" t="s">
        <v>408</v>
      </c>
      <c r="Q2044" t="s">
        <v>39</v>
      </c>
      <c r="R2044" t="s">
        <v>40</v>
      </c>
      <c r="S2044">
        <v>0</v>
      </c>
      <c r="U2044" t="s">
        <v>41</v>
      </c>
      <c r="V2044" t="s">
        <v>42</v>
      </c>
      <c r="X2044" t="s">
        <v>74</v>
      </c>
      <c r="Y2044" t="b">
        <v>0</v>
      </c>
      <c r="Z2044" t="b">
        <v>0</v>
      </c>
      <c r="AC2044" s="1"/>
      <c r="AF2044">
        <v>0</v>
      </c>
      <c r="AG2044">
        <v>45</v>
      </c>
      <c r="AH2044">
        <v>74</v>
      </c>
      <c r="AI2044" s="2">
        <f>Table__192.168.3.138DYLAgingReport[[#This Row],[NetAmount]]-Table__192.168.3.138DYLAgingReport[[#This Row],[Paid]]</f>
        <v>129050</v>
      </c>
    </row>
    <row r="2045" spans="1:35">
      <c r="A2045" t="s">
        <v>4254</v>
      </c>
      <c r="B2045" s="1">
        <v>41227</v>
      </c>
      <c r="C2045" s="1">
        <v>41272</v>
      </c>
      <c r="D2045" t="s">
        <v>271</v>
      </c>
      <c r="E2045">
        <v>29720</v>
      </c>
      <c r="F2045">
        <v>4755</v>
      </c>
      <c r="G2045">
        <v>0</v>
      </c>
      <c r="H2045">
        <v>0</v>
      </c>
      <c r="I2045">
        <v>41</v>
      </c>
      <c r="J2045">
        <v>34475</v>
      </c>
      <c r="K2045" t="s">
        <v>3175</v>
      </c>
      <c r="L2045" s="1">
        <v>41227</v>
      </c>
      <c r="N2045" t="s">
        <v>36</v>
      </c>
      <c r="O2045" t="s">
        <v>37</v>
      </c>
      <c r="P2045" t="s">
        <v>408</v>
      </c>
      <c r="Q2045" t="s">
        <v>39</v>
      </c>
      <c r="R2045" t="s">
        <v>40</v>
      </c>
      <c r="S2045">
        <v>0</v>
      </c>
      <c r="U2045" t="s">
        <v>41</v>
      </c>
      <c r="V2045" t="s">
        <v>42</v>
      </c>
      <c r="X2045" t="s">
        <v>74</v>
      </c>
      <c r="Y2045" t="b">
        <v>0</v>
      </c>
      <c r="Z2045" t="b">
        <v>0</v>
      </c>
      <c r="AC2045" s="1"/>
      <c r="AF2045">
        <v>0</v>
      </c>
      <c r="AG2045">
        <v>45</v>
      </c>
      <c r="AH2045">
        <v>86</v>
      </c>
      <c r="AI2045" s="2">
        <f>Table__192.168.3.138DYLAgingReport[[#This Row],[NetAmount]]-Table__192.168.3.138DYLAgingReport[[#This Row],[Paid]]</f>
        <v>34475</v>
      </c>
    </row>
    <row r="2046" spans="1:35">
      <c r="A2046" t="s">
        <v>136</v>
      </c>
      <c r="B2046" s="1">
        <v>41230</v>
      </c>
      <c r="C2046" s="1">
        <v>41275</v>
      </c>
      <c r="D2046" t="s">
        <v>35</v>
      </c>
      <c r="E2046">
        <v>120000</v>
      </c>
      <c r="F2046">
        <v>19200</v>
      </c>
      <c r="G2046">
        <v>0</v>
      </c>
      <c r="H2046">
        <v>0</v>
      </c>
      <c r="I2046">
        <v>41</v>
      </c>
      <c r="J2046">
        <v>139200</v>
      </c>
      <c r="K2046" t="s">
        <v>137</v>
      </c>
      <c r="L2046" s="1">
        <v>41227</v>
      </c>
      <c r="N2046" t="s">
        <v>36</v>
      </c>
      <c r="O2046" t="s">
        <v>37</v>
      </c>
      <c r="P2046" t="s">
        <v>38</v>
      </c>
      <c r="Q2046" t="s">
        <v>39</v>
      </c>
      <c r="R2046" t="s">
        <v>40</v>
      </c>
      <c r="S2046">
        <v>0</v>
      </c>
      <c r="U2046" t="s">
        <v>41</v>
      </c>
      <c r="V2046" t="s">
        <v>42</v>
      </c>
      <c r="X2046" t="s">
        <v>74</v>
      </c>
      <c r="Y2046" t="b">
        <v>0</v>
      </c>
      <c r="Z2046" t="b">
        <v>0</v>
      </c>
      <c r="AC2046" s="1"/>
      <c r="AF2046">
        <v>0</v>
      </c>
      <c r="AG2046">
        <v>45</v>
      </c>
      <c r="AH2046">
        <v>86</v>
      </c>
      <c r="AI2046" s="2">
        <f>Table__192.168.3.138DYLAgingReport[[#This Row],[NetAmount]]-Table__192.168.3.138DYLAgingReport[[#This Row],[Paid]]</f>
        <v>139200</v>
      </c>
    </row>
    <row r="2047" spans="1:35">
      <c r="A2047" t="s">
        <v>138</v>
      </c>
      <c r="B2047" s="1">
        <v>41235</v>
      </c>
      <c r="C2047" s="1">
        <v>41280</v>
      </c>
      <c r="D2047" t="s">
        <v>35</v>
      </c>
      <c r="E2047">
        <v>240000</v>
      </c>
      <c r="F2047">
        <v>38400</v>
      </c>
      <c r="G2047">
        <v>0</v>
      </c>
      <c r="H2047">
        <v>0</v>
      </c>
      <c r="I2047">
        <v>38</v>
      </c>
      <c r="J2047">
        <v>278400</v>
      </c>
      <c r="K2047" t="s">
        <v>139</v>
      </c>
      <c r="L2047" s="1">
        <v>41230</v>
      </c>
      <c r="N2047" t="s">
        <v>36</v>
      </c>
      <c r="O2047" t="s">
        <v>37</v>
      </c>
      <c r="P2047" t="s">
        <v>38</v>
      </c>
      <c r="Q2047" t="s">
        <v>39</v>
      </c>
      <c r="R2047" t="s">
        <v>40</v>
      </c>
      <c r="S2047">
        <v>0</v>
      </c>
      <c r="U2047" t="s">
        <v>41</v>
      </c>
      <c r="V2047" t="s">
        <v>42</v>
      </c>
      <c r="X2047" t="s">
        <v>74</v>
      </c>
      <c r="Y2047" t="b">
        <v>0</v>
      </c>
      <c r="Z2047" t="b">
        <v>0</v>
      </c>
      <c r="AC2047" s="1"/>
      <c r="AF2047">
        <v>0</v>
      </c>
      <c r="AG2047">
        <v>45</v>
      </c>
      <c r="AH2047">
        <v>83</v>
      </c>
      <c r="AI2047" s="2">
        <f>Table__192.168.3.138DYLAgingReport[[#This Row],[NetAmount]]-Table__192.168.3.138DYLAgingReport[[#This Row],[Paid]]</f>
        <v>278400</v>
      </c>
    </row>
    <row r="2048" spans="1:35">
      <c r="A2048" t="s">
        <v>140</v>
      </c>
      <c r="B2048" s="1">
        <v>41240</v>
      </c>
      <c r="C2048" s="1">
        <v>41285</v>
      </c>
      <c r="D2048" t="s">
        <v>35</v>
      </c>
      <c r="E2048">
        <v>240000</v>
      </c>
      <c r="F2048">
        <v>38400</v>
      </c>
      <c r="G2048">
        <v>0</v>
      </c>
      <c r="H2048">
        <v>0</v>
      </c>
      <c r="I2048">
        <v>35</v>
      </c>
      <c r="J2048">
        <v>278400</v>
      </c>
      <c r="K2048" t="s">
        <v>141</v>
      </c>
      <c r="L2048" s="1">
        <v>41233</v>
      </c>
      <c r="N2048" t="s">
        <v>36</v>
      </c>
      <c r="O2048" t="s">
        <v>37</v>
      </c>
      <c r="P2048" t="s">
        <v>38</v>
      </c>
      <c r="Q2048" t="s">
        <v>39</v>
      </c>
      <c r="R2048" t="s">
        <v>40</v>
      </c>
      <c r="S2048">
        <v>0</v>
      </c>
      <c r="U2048" t="s">
        <v>41</v>
      </c>
      <c r="V2048" t="s">
        <v>42</v>
      </c>
      <c r="X2048" t="s">
        <v>74</v>
      </c>
      <c r="Y2048" t="b">
        <v>0</v>
      </c>
      <c r="Z2048" t="b">
        <v>0</v>
      </c>
      <c r="AC2048" s="1"/>
      <c r="AF2048">
        <v>0</v>
      </c>
      <c r="AG2048">
        <v>45</v>
      </c>
      <c r="AH2048">
        <v>80</v>
      </c>
      <c r="AI2048" s="2">
        <f>Table__192.168.3.138DYLAgingReport[[#This Row],[NetAmount]]-Table__192.168.3.138DYLAgingReport[[#This Row],[Paid]]</f>
        <v>278400</v>
      </c>
    </row>
    <row r="2049" spans="1:35">
      <c r="A2049" t="s">
        <v>142</v>
      </c>
      <c r="B2049" s="1">
        <v>41241</v>
      </c>
      <c r="C2049" s="1">
        <v>41286</v>
      </c>
      <c r="D2049" t="s">
        <v>35</v>
      </c>
      <c r="E2049">
        <v>240000</v>
      </c>
      <c r="F2049">
        <v>38400</v>
      </c>
      <c r="G2049">
        <v>0</v>
      </c>
      <c r="H2049">
        <v>0</v>
      </c>
      <c r="I2049">
        <v>33</v>
      </c>
      <c r="J2049">
        <v>278400</v>
      </c>
      <c r="K2049" t="s">
        <v>143</v>
      </c>
      <c r="L2049" s="1">
        <v>41235</v>
      </c>
      <c r="N2049" t="s">
        <v>36</v>
      </c>
      <c r="O2049" t="s">
        <v>37</v>
      </c>
      <c r="P2049" t="s">
        <v>38</v>
      </c>
      <c r="Q2049" t="s">
        <v>39</v>
      </c>
      <c r="R2049" t="s">
        <v>40</v>
      </c>
      <c r="S2049">
        <v>0</v>
      </c>
      <c r="U2049" t="s">
        <v>41</v>
      </c>
      <c r="V2049" t="s">
        <v>42</v>
      </c>
      <c r="X2049" t="s">
        <v>74</v>
      </c>
      <c r="Y2049" t="b">
        <v>0</v>
      </c>
      <c r="Z2049" t="b">
        <v>0</v>
      </c>
      <c r="AC2049" s="1"/>
      <c r="AF2049">
        <v>0</v>
      </c>
      <c r="AG2049">
        <v>45</v>
      </c>
      <c r="AH2049">
        <v>78</v>
      </c>
      <c r="AI2049" s="2">
        <f>Table__192.168.3.138DYLAgingReport[[#This Row],[NetAmount]]-Table__192.168.3.138DYLAgingReport[[#This Row],[Paid]]</f>
        <v>278400</v>
      </c>
    </row>
    <row r="2050" spans="1:35">
      <c r="A2050" t="s">
        <v>144</v>
      </c>
      <c r="B2050" s="1">
        <v>41243</v>
      </c>
      <c r="C2050" s="1">
        <v>41288</v>
      </c>
      <c r="D2050" t="s">
        <v>35</v>
      </c>
      <c r="E2050">
        <v>240000</v>
      </c>
      <c r="F2050">
        <v>38400</v>
      </c>
      <c r="G2050">
        <v>0</v>
      </c>
      <c r="H2050">
        <v>0</v>
      </c>
      <c r="I2050">
        <v>28</v>
      </c>
      <c r="J2050">
        <v>278400</v>
      </c>
      <c r="K2050" t="s">
        <v>145</v>
      </c>
      <c r="L2050" s="1">
        <v>41240</v>
      </c>
      <c r="N2050" t="s">
        <v>36</v>
      </c>
      <c r="O2050" t="s">
        <v>37</v>
      </c>
      <c r="P2050" t="s">
        <v>38</v>
      </c>
      <c r="Q2050" t="s">
        <v>39</v>
      </c>
      <c r="R2050" t="s">
        <v>40</v>
      </c>
      <c r="S2050">
        <v>0</v>
      </c>
      <c r="U2050" t="s">
        <v>41</v>
      </c>
      <c r="V2050" t="s">
        <v>42</v>
      </c>
      <c r="X2050" t="s">
        <v>74</v>
      </c>
      <c r="Y2050" t="b">
        <v>0</v>
      </c>
      <c r="Z2050" t="b">
        <v>0</v>
      </c>
      <c r="AC2050" s="1"/>
      <c r="AF2050">
        <v>0</v>
      </c>
      <c r="AG2050">
        <v>45</v>
      </c>
      <c r="AH2050">
        <v>73</v>
      </c>
      <c r="AI2050" s="2">
        <f>Table__192.168.3.138DYLAgingReport[[#This Row],[NetAmount]]-Table__192.168.3.138DYLAgingReport[[#This Row],[Paid]]</f>
        <v>278400</v>
      </c>
    </row>
    <row r="2051" spans="1:35">
      <c r="A2051" t="s">
        <v>146</v>
      </c>
      <c r="B2051" s="1">
        <v>41243</v>
      </c>
      <c r="C2051" s="1">
        <v>41288</v>
      </c>
      <c r="D2051" t="s">
        <v>35</v>
      </c>
      <c r="E2051">
        <v>320000</v>
      </c>
      <c r="F2051">
        <v>51200</v>
      </c>
      <c r="G2051">
        <v>0</v>
      </c>
      <c r="H2051">
        <v>0</v>
      </c>
      <c r="I2051">
        <v>25</v>
      </c>
      <c r="J2051">
        <v>371200</v>
      </c>
      <c r="K2051" t="s">
        <v>71</v>
      </c>
      <c r="L2051" s="1">
        <v>41243</v>
      </c>
      <c r="N2051" t="s">
        <v>36</v>
      </c>
      <c r="O2051" t="s">
        <v>37</v>
      </c>
      <c r="P2051" t="s">
        <v>38</v>
      </c>
      <c r="Q2051" t="s">
        <v>39</v>
      </c>
      <c r="R2051" t="s">
        <v>40</v>
      </c>
      <c r="S2051">
        <v>0</v>
      </c>
      <c r="U2051" t="s">
        <v>41</v>
      </c>
      <c r="V2051" t="s">
        <v>42</v>
      </c>
      <c r="X2051" t="s">
        <v>74</v>
      </c>
      <c r="Y2051" t="b">
        <v>0</v>
      </c>
      <c r="Z2051" t="b">
        <v>0</v>
      </c>
      <c r="AC2051" s="1"/>
      <c r="AF2051">
        <v>0</v>
      </c>
      <c r="AG2051">
        <v>45</v>
      </c>
      <c r="AH2051">
        <v>70</v>
      </c>
      <c r="AI2051" s="2">
        <f>Table__192.168.3.138DYLAgingReport[[#This Row],[NetAmount]]-Table__192.168.3.138DYLAgingReport[[#This Row],[Paid]]</f>
        <v>371200</v>
      </c>
    </row>
    <row r="2052" spans="1:35">
      <c r="A2052" t="s">
        <v>4255</v>
      </c>
      <c r="B2052" s="1">
        <v>41243</v>
      </c>
      <c r="C2052" s="1">
        <v>41288</v>
      </c>
      <c r="D2052" t="s">
        <v>287</v>
      </c>
      <c r="E2052">
        <v>74112</v>
      </c>
      <c r="F2052">
        <v>11858</v>
      </c>
      <c r="G2052">
        <v>0</v>
      </c>
      <c r="H2052">
        <v>0</v>
      </c>
      <c r="I2052">
        <v>28</v>
      </c>
      <c r="J2052">
        <v>85970</v>
      </c>
      <c r="K2052" t="s">
        <v>3039</v>
      </c>
      <c r="L2052" s="1">
        <v>41240</v>
      </c>
      <c r="N2052" t="s">
        <v>36</v>
      </c>
      <c r="O2052" t="s">
        <v>37</v>
      </c>
      <c r="P2052" t="s">
        <v>424</v>
      </c>
      <c r="Q2052" t="s">
        <v>39</v>
      </c>
      <c r="R2052" t="s">
        <v>40</v>
      </c>
      <c r="S2052">
        <v>0</v>
      </c>
      <c r="U2052" t="s">
        <v>41</v>
      </c>
      <c r="V2052" t="s">
        <v>42</v>
      </c>
      <c r="X2052" t="s">
        <v>74</v>
      </c>
      <c r="Y2052" t="b">
        <v>0</v>
      </c>
      <c r="Z2052" t="b">
        <v>0</v>
      </c>
      <c r="AC2052" s="1"/>
      <c r="AF2052">
        <v>0</v>
      </c>
      <c r="AG2052">
        <v>45</v>
      </c>
      <c r="AH2052">
        <v>73</v>
      </c>
      <c r="AI2052" s="2">
        <f>Table__192.168.3.138DYLAgingReport[[#This Row],[NetAmount]]-Table__192.168.3.138DYLAgingReport[[#This Row],[Paid]]</f>
        <v>85970</v>
      </c>
    </row>
    <row r="2053" spans="1:35">
      <c r="A2053" t="s">
        <v>4256</v>
      </c>
      <c r="B2053" s="1">
        <v>41240</v>
      </c>
      <c r="C2053" s="1">
        <v>41285</v>
      </c>
      <c r="D2053" t="s">
        <v>287</v>
      </c>
      <c r="E2053">
        <v>12000</v>
      </c>
      <c r="F2053">
        <v>1920</v>
      </c>
      <c r="G2053">
        <v>0</v>
      </c>
      <c r="H2053">
        <v>0</v>
      </c>
      <c r="I2053">
        <v>33</v>
      </c>
      <c r="J2053">
        <v>13920</v>
      </c>
      <c r="K2053" t="s">
        <v>4257</v>
      </c>
      <c r="L2053" s="1">
        <v>41235</v>
      </c>
      <c r="N2053" t="s">
        <v>36</v>
      </c>
      <c r="O2053" t="s">
        <v>37</v>
      </c>
      <c r="P2053" t="s">
        <v>424</v>
      </c>
      <c r="Q2053" t="s">
        <v>39</v>
      </c>
      <c r="R2053" t="s">
        <v>40</v>
      </c>
      <c r="S2053">
        <v>0</v>
      </c>
      <c r="U2053" t="s">
        <v>41</v>
      </c>
      <c r="V2053" t="s">
        <v>42</v>
      </c>
      <c r="X2053" t="s">
        <v>74</v>
      </c>
      <c r="Y2053" t="b">
        <v>0</v>
      </c>
      <c r="Z2053" t="b">
        <v>0</v>
      </c>
      <c r="AC2053" s="1"/>
      <c r="AF2053">
        <v>0</v>
      </c>
      <c r="AG2053">
        <v>45</v>
      </c>
      <c r="AH2053">
        <v>78</v>
      </c>
      <c r="AI2053" s="2">
        <f>Table__192.168.3.138DYLAgingReport[[#This Row],[NetAmount]]-Table__192.168.3.138DYLAgingReport[[#This Row],[Paid]]</f>
        <v>13920</v>
      </c>
    </row>
    <row r="2054" spans="1:35">
      <c r="A2054" t="s">
        <v>4258</v>
      </c>
      <c r="B2054" s="1">
        <v>41239</v>
      </c>
      <c r="C2054" s="1">
        <v>41284</v>
      </c>
      <c r="D2054" t="s">
        <v>287</v>
      </c>
      <c r="E2054">
        <v>38500</v>
      </c>
      <c r="F2054">
        <v>6160</v>
      </c>
      <c r="G2054">
        <v>0</v>
      </c>
      <c r="H2054">
        <v>0</v>
      </c>
      <c r="I2054">
        <v>35</v>
      </c>
      <c r="J2054">
        <v>44660</v>
      </c>
      <c r="K2054" t="s">
        <v>4259</v>
      </c>
      <c r="L2054" s="1">
        <v>41233</v>
      </c>
      <c r="N2054" t="s">
        <v>36</v>
      </c>
      <c r="O2054" t="s">
        <v>37</v>
      </c>
      <c r="P2054" t="s">
        <v>424</v>
      </c>
      <c r="Q2054" t="s">
        <v>39</v>
      </c>
      <c r="R2054" t="s">
        <v>40</v>
      </c>
      <c r="S2054">
        <v>0</v>
      </c>
      <c r="U2054" t="s">
        <v>41</v>
      </c>
      <c r="V2054" t="s">
        <v>42</v>
      </c>
      <c r="X2054" t="s">
        <v>74</v>
      </c>
      <c r="Y2054" t="b">
        <v>0</v>
      </c>
      <c r="Z2054" t="b">
        <v>0</v>
      </c>
      <c r="AC2054" s="1"/>
      <c r="AF2054">
        <v>0</v>
      </c>
      <c r="AG2054">
        <v>45</v>
      </c>
      <c r="AH2054">
        <v>80</v>
      </c>
      <c r="AI2054" s="2">
        <f>Table__192.168.3.138DYLAgingReport[[#This Row],[NetAmount]]-Table__192.168.3.138DYLAgingReport[[#This Row],[Paid]]</f>
        <v>44660</v>
      </c>
    </row>
    <row r="2055" spans="1:35">
      <c r="A2055" t="s">
        <v>4260</v>
      </c>
      <c r="B2055" s="1">
        <v>41235</v>
      </c>
      <c r="C2055" s="1">
        <v>41280</v>
      </c>
      <c r="D2055" t="s">
        <v>262</v>
      </c>
      <c r="E2055">
        <v>370000</v>
      </c>
      <c r="F2055">
        <v>59200</v>
      </c>
      <c r="G2055">
        <v>0</v>
      </c>
      <c r="H2055">
        <v>0</v>
      </c>
      <c r="I2055">
        <v>33</v>
      </c>
      <c r="J2055">
        <v>429200</v>
      </c>
      <c r="K2055" t="s">
        <v>3832</v>
      </c>
      <c r="L2055" s="1">
        <v>41235</v>
      </c>
      <c r="N2055" t="s">
        <v>36</v>
      </c>
      <c r="O2055" t="s">
        <v>37</v>
      </c>
      <c r="P2055" t="s">
        <v>399</v>
      </c>
      <c r="Q2055" t="s">
        <v>39</v>
      </c>
      <c r="R2055" t="s">
        <v>40</v>
      </c>
      <c r="S2055">
        <v>0</v>
      </c>
      <c r="U2055" t="s">
        <v>41</v>
      </c>
      <c r="V2055" t="s">
        <v>42</v>
      </c>
      <c r="X2055" t="s">
        <v>74</v>
      </c>
      <c r="Y2055" t="b">
        <v>0</v>
      </c>
      <c r="Z2055" t="b">
        <v>0</v>
      </c>
      <c r="AC2055" s="1"/>
      <c r="AF2055">
        <v>0</v>
      </c>
      <c r="AG2055">
        <v>45</v>
      </c>
      <c r="AH2055">
        <v>78</v>
      </c>
      <c r="AI2055" s="2">
        <f>Table__192.168.3.138DYLAgingReport[[#This Row],[NetAmount]]-Table__192.168.3.138DYLAgingReport[[#This Row],[Paid]]</f>
        <v>429200</v>
      </c>
    </row>
    <row r="2056" spans="1:35">
      <c r="A2056" t="s">
        <v>4261</v>
      </c>
      <c r="B2056" s="1">
        <v>41241</v>
      </c>
      <c r="C2056" s="1">
        <v>41286</v>
      </c>
      <c r="D2056" t="s">
        <v>221</v>
      </c>
      <c r="E2056">
        <v>4625</v>
      </c>
      <c r="F2056">
        <v>0</v>
      </c>
      <c r="G2056">
        <v>0</v>
      </c>
      <c r="H2056">
        <v>0</v>
      </c>
      <c r="I2056">
        <v>26</v>
      </c>
      <c r="J2056">
        <v>4625</v>
      </c>
      <c r="K2056" t="s">
        <v>3401</v>
      </c>
      <c r="L2056" s="1">
        <v>41242</v>
      </c>
      <c r="M2056" t="s">
        <v>4262</v>
      </c>
      <c r="N2056" t="s">
        <v>36</v>
      </c>
      <c r="O2056" t="s">
        <v>37</v>
      </c>
      <c r="P2056" t="s">
        <v>358</v>
      </c>
      <c r="Q2056" t="s">
        <v>39</v>
      </c>
      <c r="R2056" t="s">
        <v>40</v>
      </c>
      <c r="S2056">
        <v>0</v>
      </c>
      <c r="U2056" t="s">
        <v>41</v>
      </c>
      <c r="V2056" t="s">
        <v>42</v>
      </c>
      <c r="W2056" t="s">
        <v>3827</v>
      </c>
      <c r="X2056" t="s">
        <v>74</v>
      </c>
      <c r="Y2056" t="b">
        <v>0</v>
      </c>
      <c r="Z2056" t="b">
        <v>0</v>
      </c>
      <c r="AA2056" t="b">
        <v>0</v>
      </c>
      <c r="AC2056" s="1"/>
      <c r="AF2056">
        <v>0</v>
      </c>
      <c r="AG2056">
        <v>45</v>
      </c>
      <c r="AH2056">
        <v>71</v>
      </c>
      <c r="AI2056" s="2">
        <f>Table__192.168.3.138DYLAgingReport[[#This Row],[NetAmount]]-Table__192.168.3.138DYLAgingReport[[#This Row],[Paid]]</f>
        <v>4625</v>
      </c>
    </row>
    <row r="2057" spans="1:35">
      <c r="A2057" t="s">
        <v>4263</v>
      </c>
      <c r="B2057" s="1">
        <v>41243</v>
      </c>
      <c r="C2057" s="1">
        <v>41288</v>
      </c>
      <c r="D2057" t="s">
        <v>258</v>
      </c>
      <c r="E2057">
        <v>43670</v>
      </c>
      <c r="F2057">
        <v>6987</v>
      </c>
      <c r="G2057">
        <v>0</v>
      </c>
      <c r="H2057">
        <v>0</v>
      </c>
      <c r="I2057">
        <v>25</v>
      </c>
      <c r="J2057">
        <v>50657</v>
      </c>
      <c r="K2057" t="s">
        <v>4264</v>
      </c>
      <c r="L2057" s="1">
        <v>41243</v>
      </c>
      <c r="N2057" t="s">
        <v>36</v>
      </c>
      <c r="O2057" t="s">
        <v>37</v>
      </c>
      <c r="P2057" t="s">
        <v>395</v>
      </c>
      <c r="Q2057" t="s">
        <v>39</v>
      </c>
      <c r="R2057" t="s">
        <v>40</v>
      </c>
      <c r="S2057">
        <v>0</v>
      </c>
      <c r="U2057" t="s">
        <v>41</v>
      </c>
      <c r="V2057" t="s">
        <v>42</v>
      </c>
      <c r="X2057" t="s">
        <v>74</v>
      </c>
      <c r="Y2057" t="b">
        <v>0</v>
      </c>
      <c r="Z2057" t="b">
        <v>0</v>
      </c>
      <c r="AC2057" s="1"/>
      <c r="AF2057">
        <v>0</v>
      </c>
      <c r="AG2057">
        <v>45</v>
      </c>
      <c r="AH2057">
        <v>70</v>
      </c>
      <c r="AI2057" s="2">
        <f>Table__192.168.3.138DYLAgingReport[[#This Row],[NetAmount]]-Table__192.168.3.138DYLAgingReport[[#This Row],[Paid]]</f>
        <v>50657</v>
      </c>
    </row>
    <row r="2058" spans="1:35">
      <c r="A2058" t="s">
        <v>4265</v>
      </c>
      <c r="B2058" s="1">
        <v>41243</v>
      </c>
      <c r="C2058" s="1">
        <v>41288</v>
      </c>
      <c r="D2058" t="s">
        <v>257</v>
      </c>
      <c r="E2058">
        <v>57600</v>
      </c>
      <c r="F2058">
        <v>9216</v>
      </c>
      <c r="G2058">
        <v>0</v>
      </c>
      <c r="H2058">
        <v>0</v>
      </c>
      <c r="I2058">
        <v>25</v>
      </c>
      <c r="J2058">
        <v>66816</v>
      </c>
      <c r="K2058" t="s">
        <v>4266</v>
      </c>
      <c r="L2058" s="1">
        <v>41243</v>
      </c>
      <c r="N2058" t="s">
        <v>36</v>
      </c>
      <c r="O2058" t="s">
        <v>37</v>
      </c>
      <c r="P2058" t="s">
        <v>394</v>
      </c>
      <c r="Q2058" t="s">
        <v>39</v>
      </c>
      <c r="R2058" t="s">
        <v>40</v>
      </c>
      <c r="S2058">
        <v>0</v>
      </c>
      <c r="U2058" t="s">
        <v>41</v>
      </c>
      <c r="V2058" t="s">
        <v>42</v>
      </c>
      <c r="X2058" t="s">
        <v>74</v>
      </c>
      <c r="Y2058" t="b">
        <v>0</v>
      </c>
      <c r="Z2058" t="b">
        <v>0</v>
      </c>
      <c r="AC2058" s="1"/>
      <c r="AF2058">
        <v>0</v>
      </c>
      <c r="AG2058">
        <v>45</v>
      </c>
      <c r="AH2058">
        <v>70</v>
      </c>
      <c r="AI2058" s="2">
        <f>Table__192.168.3.138DYLAgingReport[[#This Row],[NetAmount]]-Table__192.168.3.138DYLAgingReport[[#This Row],[Paid]]</f>
        <v>66816</v>
      </c>
    </row>
    <row r="2059" spans="1:35">
      <c r="A2059" t="s">
        <v>4267</v>
      </c>
      <c r="B2059" s="1">
        <v>41243</v>
      </c>
      <c r="C2059" s="1">
        <v>41288</v>
      </c>
      <c r="D2059" t="s">
        <v>194</v>
      </c>
      <c r="E2059">
        <v>34338</v>
      </c>
      <c r="F2059">
        <v>5494</v>
      </c>
      <c r="G2059">
        <v>0</v>
      </c>
      <c r="H2059">
        <v>0</v>
      </c>
      <c r="I2059">
        <v>25</v>
      </c>
      <c r="J2059">
        <v>39832</v>
      </c>
      <c r="K2059" t="s">
        <v>4268</v>
      </c>
      <c r="L2059" s="1">
        <v>41243</v>
      </c>
      <c r="N2059" t="s">
        <v>36</v>
      </c>
      <c r="O2059" t="s">
        <v>37</v>
      </c>
      <c r="P2059" t="s">
        <v>331</v>
      </c>
      <c r="Q2059" t="s">
        <v>39</v>
      </c>
      <c r="R2059" t="s">
        <v>40</v>
      </c>
      <c r="S2059">
        <v>0</v>
      </c>
      <c r="U2059" t="s">
        <v>41</v>
      </c>
      <c r="V2059" t="s">
        <v>42</v>
      </c>
      <c r="X2059" t="s">
        <v>74</v>
      </c>
      <c r="Y2059" t="b">
        <v>0</v>
      </c>
      <c r="Z2059" t="b">
        <v>0</v>
      </c>
      <c r="AC2059" s="1"/>
      <c r="AF2059">
        <v>0</v>
      </c>
      <c r="AG2059">
        <v>45</v>
      </c>
      <c r="AH2059">
        <v>70</v>
      </c>
      <c r="AI2059" s="2">
        <f>Table__192.168.3.138DYLAgingReport[[#This Row],[NetAmount]]-Table__192.168.3.138DYLAgingReport[[#This Row],[Paid]]</f>
        <v>39832</v>
      </c>
    </row>
    <row r="2060" spans="1:35">
      <c r="A2060" t="s">
        <v>4269</v>
      </c>
      <c r="B2060" s="1">
        <v>41228</v>
      </c>
      <c r="C2060" s="1">
        <v>41273</v>
      </c>
      <c r="D2060" t="s">
        <v>251</v>
      </c>
      <c r="E2060">
        <v>183200</v>
      </c>
      <c r="F2060">
        <v>29312</v>
      </c>
      <c r="G2060">
        <v>0</v>
      </c>
      <c r="H2060">
        <v>0</v>
      </c>
      <c r="I2060">
        <v>39</v>
      </c>
      <c r="J2060">
        <v>212512</v>
      </c>
      <c r="K2060" t="s">
        <v>4270</v>
      </c>
      <c r="L2060" s="1">
        <v>41229</v>
      </c>
      <c r="N2060" t="s">
        <v>36</v>
      </c>
      <c r="O2060" t="s">
        <v>37</v>
      </c>
      <c r="P2060" t="s">
        <v>388</v>
      </c>
      <c r="Q2060" t="s">
        <v>39</v>
      </c>
      <c r="R2060" t="s">
        <v>40</v>
      </c>
      <c r="S2060">
        <v>0</v>
      </c>
      <c r="U2060" t="s">
        <v>41</v>
      </c>
      <c r="V2060" t="s">
        <v>42</v>
      </c>
      <c r="X2060" t="s">
        <v>74</v>
      </c>
      <c r="Y2060" t="b">
        <v>0</v>
      </c>
      <c r="Z2060" t="b">
        <v>0</v>
      </c>
      <c r="AC2060" s="1"/>
      <c r="AF2060">
        <v>0</v>
      </c>
      <c r="AG2060">
        <v>45</v>
      </c>
      <c r="AH2060">
        <v>84</v>
      </c>
      <c r="AI2060" s="2">
        <f>Table__192.168.3.138DYLAgingReport[[#This Row],[NetAmount]]-Table__192.168.3.138DYLAgingReport[[#This Row],[Paid]]</f>
        <v>212512</v>
      </c>
    </row>
    <row r="2061" spans="1:35">
      <c r="A2061" t="s">
        <v>4271</v>
      </c>
      <c r="B2061" s="1">
        <v>41230</v>
      </c>
      <c r="C2061" s="1">
        <v>41275</v>
      </c>
      <c r="D2061" t="s">
        <v>251</v>
      </c>
      <c r="E2061">
        <v>265120</v>
      </c>
      <c r="F2061">
        <v>42419</v>
      </c>
      <c r="G2061">
        <v>0</v>
      </c>
      <c r="H2061">
        <v>0</v>
      </c>
      <c r="I2061">
        <v>36</v>
      </c>
      <c r="J2061">
        <v>307539</v>
      </c>
      <c r="K2061" t="s">
        <v>4272</v>
      </c>
      <c r="L2061" s="1">
        <v>41232</v>
      </c>
      <c r="N2061" t="s">
        <v>36</v>
      </c>
      <c r="O2061" t="s">
        <v>37</v>
      </c>
      <c r="P2061" t="s">
        <v>388</v>
      </c>
      <c r="Q2061" t="s">
        <v>39</v>
      </c>
      <c r="R2061" t="s">
        <v>40</v>
      </c>
      <c r="S2061">
        <v>0</v>
      </c>
      <c r="U2061" t="s">
        <v>41</v>
      </c>
      <c r="V2061" t="s">
        <v>42</v>
      </c>
      <c r="X2061" t="s">
        <v>74</v>
      </c>
      <c r="Y2061" t="b">
        <v>0</v>
      </c>
      <c r="Z2061" t="b">
        <v>0</v>
      </c>
      <c r="AC2061" s="1"/>
      <c r="AF2061">
        <v>0</v>
      </c>
      <c r="AG2061">
        <v>45</v>
      </c>
      <c r="AH2061">
        <v>81</v>
      </c>
      <c r="AI2061" s="2">
        <f>Table__192.168.3.138DYLAgingReport[[#This Row],[NetAmount]]-Table__192.168.3.138DYLAgingReport[[#This Row],[Paid]]</f>
        <v>307539</v>
      </c>
    </row>
    <row r="2062" spans="1:35">
      <c r="A2062" t="s">
        <v>4273</v>
      </c>
      <c r="B2062" s="1">
        <v>41243</v>
      </c>
      <c r="C2062" s="1">
        <v>41288</v>
      </c>
      <c r="D2062" t="s">
        <v>227</v>
      </c>
      <c r="E2062">
        <v>558600</v>
      </c>
      <c r="F2062">
        <v>89376</v>
      </c>
      <c r="G2062">
        <v>0</v>
      </c>
      <c r="H2062">
        <v>0</v>
      </c>
      <c r="I2062">
        <v>25</v>
      </c>
      <c r="J2062">
        <v>647976</v>
      </c>
      <c r="K2062" t="s">
        <v>4274</v>
      </c>
      <c r="L2062" s="1">
        <v>41243</v>
      </c>
      <c r="N2062" t="s">
        <v>36</v>
      </c>
      <c r="O2062" t="s">
        <v>37</v>
      </c>
      <c r="P2062" t="s">
        <v>364</v>
      </c>
      <c r="Q2062" t="s">
        <v>39</v>
      </c>
      <c r="R2062" t="s">
        <v>40</v>
      </c>
      <c r="S2062">
        <v>0</v>
      </c>
      <c r="U2062" t="s">
        <v>41</v>
      </c>
      <c r="V2062" t="s">
        <v>42</v>
      </c>
      <c r="X2062" t="s">
        <v>74</v>
      </c>
      <c r="Y2062" t="b">
        <v>0</v>
      </c>
      <c r="Z2062" t="b">
        <v>0</v>
      </c>
      <c r="AC2062" s="1"/>
      <c r="AF2062">
        <v>0</v>
      </c>
      <c r="AG2062">
        <v>45</v>
      </c>
      <c r="AH2062">
        <v>70</v>
      </c>
      <c r="AI2062" s="2">
        <f>Table__192.168.3.138DYLAgingReport[[#This Row],[NetAmount]]-Table__192.168.3.138DYLAgingReport[[#This Row],[Paid]]</f>
        <v>647976</v>
      </c>
    </row>
    <row r="2063" spans="1:35">
      <c r="A2063" t="s">
        <v>4275</v>
      </c>
      <c r="B2063" s="1">
        <v>41243</v>
      </c>
      <c r="C2063" s="1">
        <v>41288</v>
      </c>
      <c r="D2063" t="s">
        <v>227</v>
      </c>
      <c r="E2063">
        <v>540100</v>
      </c>
      <c r="F2063">
        <v>86416</v>
      </c>
      <c r="G2063">
        <v>0</v>
      </c>
      <c r="H2063">
        <v>0</v>
      </c>
      <c r="I2063">
        <v>25</v>
      </c>
      <c r="J2063">
        <v>626516</v>
      </c>
      <c r="K2063" t="s">
        <v>4276</v>
      </c>
      <c r="L2063" s="1">
        <v>41243</v>
      </c>
      <c r="N2063" t="s">
        <v>36</v>
      </c>
      <c r="O2063" t="s">
        <v>37</v>
      </c>
      <c r="P2063" t="s">
        <v>364</v>
      </c>
      <c r="Q2063" t="s">
        <v>39</v>
      </c>
      <c r="R2063" t="s">
        <v>40</v>
      </c>
      <c r="S2063">
        <v>0</v>
      </c>
      <c r="U2063" t="s">
        <v>41</v>
      </c>
      <c r="V2063" t="s">
        <v>42</v>
      </c>
      <c r="X2063" t="s">
        <v>74</v>
      </c>
      <c r="Y2063" t="b">
        <v>0</v>
      </c>
      <c r="Z2063" t="b">
        <v>0</v>
      </c>
      <c r="AC2063" s="1"/>
      <c r="AF2063">
        <v>0</v>
      </c>
      <c r="AG2063">
        <v>45</v>
      </c>
      <c r="AH2063">
        <v>70</v>
      </c>
      <c r="AI2063" s="2">
        <f>Table__192.168.3.138DYLAgingReport[[#This Row],[NetAmount]]-Table__192.168.3.138DYLAgingReport[[#This Row],[Paid]]</f>
        <v>626516</v>
      </c>
    </row>
    <row r="2064" spans="1:35">
      <c r="A2064" t="s">
        <v>4277</v>
      </c>
      <c r="B2064" s="1">
        <v>41243</v>
      </c>
      <c r="C2064" s="1">
        <v>41288</v>
      </c>
      <c r="D2064" t="s">
        <v>227</v>
      </c>
      <c r="E2064">
        <v>260652</v>
      </c>
      <c r="F2064">
        <v>41704</v>
      </c>
      <c r="G2064">
        <v>0</v>
      </c>
      <c r="H2064">
        <v>0</v>
      </c>
      <c r="I2064">
        <v>25</v>
      </c>
      <c r="J2064">
        <v>302356</v>
      </c>
      <c r="K2064" t="s">
        <v>4278</v>
      </c>
      <c r="L2064" s="1">
        <v>41243</v>
      </c>
      <c r="N2064" t="s">
        <v>36</v>
      </c>
      <c r="O2064" t="s">
        <v>37</v>
      </c>
      <c r="P2064" t="s">
        <v>364</v>
      </c>
      <c r="Q2064" t="s">
        <v>39</v>
      </c>
      <c r="R2064" t="s">
        <v>40</v>
      </c>
      <c r="S2064">
        <v>0</v>
      </c>
      <c r="U2064" t="s">
        <v>41</v>
      </c>
      <c r="V2064" t="s">
        <v>42</v>
      </c>
      <c r="X2064" t="s">
        <v>74</v>
      </c>
      <c r="Y2064" t="b">
        <v>0</v>
      </c>
      <c r="Z2064" t="b">
        <v>0</v>
      </c>
      <c r="AC2064" s="1"/>
      <c r="AF2064">
        <v>0</v>
      </c>
      <c r="AG2064">
        <v>45</v>
      </c>
      <c r="AH2064">
        <v>70</v>
      </c>
      <c r="AI2064" s="2">
        <f>Table__192.168.3.138DYLAgingReport[[#This Row],[NetAmount]]-Table__192.168.3.138DYLAgingReport[[#This Row],[Paid]]</f>
        <v>302356</v>
      </c>
    </row>
    <row r="2065" spans="1:35">
      <c r="A2065" t="s">
        <v>4279</v>
      </c>
      <c r="B2065" s="1">
        <v>41241</v>
      </c>
      <c r="C2065" s="1">
        <v>41286</v>
      </c>
      <c r="D2065" t="s">
        <v>276</v>
      </c>
      <c r="E2065">
        <v>1920000</v>
      </c>
      <c r="F2065">
        <v>307200</v>
      </c>
      <c r="G2065">
        <v>0</v>
      </c>
      <c r="H2065">
        <v>0</v>
      </c>
      <c r="I2065">
        <v>27</v>
      </c>
      <c r="J2065">
        <v>2227200</v>
      </c>
      <c r="K2065" t="s">
        <v>4280</v>
      </c>
      <c r="L2065" s="1">
        <v>41241</v>
      </c>
      <c r="N2065" t="s">
        <v>36</v>
      </c>
      <c r="O2065" t="s">
        <v>37</v>
      </c>
      <c r="P2065" t="s">
        <v>413</v>
      </c>
      <c r="Q2065" t="s">
        <v>39</v>
      </c>
      <c r="R2065" t="s">
        <v>40</v>
      </c>
      <c r="S2065">
        <v>0</v>
      </c>
      <c r="U2065" t="s">
        <v>41</v>
      </c>
      <c r="V2065" t="s">
        <v>42</v>
      </c>
      <c r="X2065" t="s">
        <v>74</v>
      </c>
      <c r="Y2065" t="b">
        <v>0</v>
      </c>
      <c r="Z2065" t="b">
        <v>0</v>
      </c>
      <c r="AC2065" s="1"/>
      <c r="AF2065">
        <v>0</v>
      </c>
      <c r="AG2065">
        <v>45</v>
      </c>
      <c r="AH2065">
        <v>72</v>
      </c>
      <c r="AI2065" s="2">
        <f>Table__192.168.3.138DYLAgingReport[[#This Row],[NetAmount]]-Table__192.168.3.138DYLAgingReport[[#This Row],[Paid]]</f>
        <v>2227200</v>
      </c>
    </row>
    <row r="2066" spans="1:35">
      <c r="A2066" t="s">
        <v>4281</v>
      </c>
      <c r="B2066" s="1">
        <v>41242</v>
      </c>
      <c r="C2066" s="1">
        <v>41242</v>
      </c>
      <c r="D2066" t="s">
        <v>293</v>
      </c>
      <c r="E2066">
        <v>31950</v>
      </c>
      <c r="F2066">
        <v>5112</v>
      </c>
      <c r="G2066">
        <v>0</v>
      </c>
      <c r="H2066">
        <v>0</v>
      </c>
      <c r="I2066">
        <v>26</v>
      </c>
      <c r="J2066">
        <v>37062</v>
      </c>
      <c r="K2066" t="s">
        <v>1833</v>
      </c>
      <c r="L2066" s="1">
        <v>41242</v>
      </c>
      <c r="N2066" t="s">
        <v>36</v>
      </c>
      <c r="O2066" t="s">
        <v>37</v>
      </c>
      <c r="P2066" t="s">
        <v>430</v>
      </c>
      <c r="Q2066" t="s">
        <v>39</v>
      </c>
      <c r="R2066" t="s">
        <v>40</v>
      </c>
      <c r="S2066">
        <v>0</v>
      </c>
      <c r="U2066" t="s">
        <v>41</v>
      </c>
      <c r="V2066" t="s">
        <v>42</v>
      </c>
      <c r="X2066" t="s">
        <v>74</v>
      </c>
      <c r="Y2066" t="b">
        <v>0</v>
      </c>
      <c r="Z2066" t="b">
        <v>0</v>
      </c>
      <c r="AB2066" t="s">
        <v>3689</v>
      </c>
      <c r="AC2066" s="1">
        <v>41283</v>
      </c>
      <c r="AE2066" t="s">
        <v>3146</v>
      </c>
      <c r="AF2066">
        <v>0</v>
      </c>
      <c r="AG2066">
        <v>45</v>
      </c>
      <c r="AH2066">
        <v>71</v>
      </c>
      <c r="AI2066" s="2">
        <f>Table__192.168.3.138DYLAgingReport[[#This Row],[NetAmount]]-Table__192.168.3.138DYLAgingReport[[#This Row],[Paid]]</f>
        <v>37062</v>
      </c>
    </row>
    <row r="2067" spans="1:35">
      <c r="A2067" t="s">
        <v>4282</v>
      </c>
      <c r="B2067" s="1">
        <v>41243</v>
      </c>
      <c r="C2067" s="1">
        <v>41243</v>
      </c>
      <c r="D2067" t="s">
        <v>291</v>
      </c>
      <c r="E2067">
        <v>4680</v>
      </c>
      <c r="F2067">
        <v>749</v>
      </c>
      <c r="G2067">
        <v>0</v>
      </c>
      <c r="H2067">
        <v>0</v>
      </c>
      <c r="I2067">
        <v>25</v>
      </c>
      <c r="J2067">
        <v>5429</v>
      </c>
      <c r="K2067" t="s">
        <v>4283</v>
      </c>
      <c r="L2067" s="1">
        <v>41243</v>
      </c>
      <c r="N2067" t="s">
        <v>36</v>
      </c>
      <c r="O2067" t="s">
        <v>37</v>
      </c>
      <c r="P2067" t="s">
        <v>428</v>
      </c>
      <c r="Q2067" t="s">
        <v>39</v>
      </c>
      <c r="R2067" t="s">
        <v>40</v>
      </c>
      <c r="S2067">
        <v>0</v>
      </c>
      <c r="U2067" t="s">
        <v>41</v>
      </c>
      <c r="V2067" t="s">
        <v>42</v>
      </c>
      <c r="X2067" t="s">
        <v>74</v>
      </c>
      <c r="Y2067" t="b">
        <v>0</v>
      </c>
      <c r="Z2067" t="b">
        <v>0</v>
      </c>
      <c r="AC2067" s="1"/>
      <c r="AF2067">
        <v>0</v>
      </c>
      <c r="AG2067">
        <v>45</v>
      </c>
      <c r="AH2067">
        <v>70</v>
      </c>
      <c r="AI2067" s="2">
        <f>Table__192.168.3.138DYLAgingReport[[#This Row],[NetAmount]]-Table__192.168.3.138DYLAgingReport[[#This Row],[Paid]]</f>
        <v>5429</v>
      </c>
    </row>
    <row r="2068" spans="1:35">
      <c r="A2068" t="s">
        <v>4284</v>
      </c>
      <c r="B2068" s="1">
        <v>41227</v>
      </c>
      <c r="C2068" s="1">
        <v>41227</v>
      </c>
      <c r="D2068" t="s">
        <v>291</v>
      </c>
      <c r="E2068">
        <v>26610</v>
      </c>
      <c r="F2068">
        <v>4258</v>
      </c>
      <c r="G2068">
        <v>0</v>
      </c>
      <c r="H2068">
        <v>0</v>
      </c>
      <c r="I2068">
        <v>42</v>
      </c>
      <c r="J2068">
        <v>30868</v>
      </c>
      <c r="K2068" t="s">
        <v>4285</v>
      </c>
      <c r="L2068" s="1">
        <v>41226</v>
      </c>
      <c r="N2068" t="s">
        <v>36</v>
      </c>
      <c r="O2068" t="s">
        <v>37</v>
      </c>
      <c r="P2068" t="s">
        <v>428</v>
      </c>
      <c r="Q2068" t="s">
        <v>39</v>
      </c>
      <c r="R2068" t="s">
        <v>40</v>
      </c>
      <c r="S2068">
        <v>0</v>
      </c>
      <c r="U2068" t="s">
        <v>41</v>
      </c>
      <c r="V2068" t="s">
        <v>42</v>
      </c>
      <c r="X2068" t="s">
        <v>74</v>
      </c>
      <c r="Y2068" t="b">
        <v>0</v>
      </c>
      <c r="Z2068" t="b">
        <v>0</v>
      </c>
      <c r="AC2068" s="1"/>
      <c r="AF2068">
        <v>0</v>
      </c>
      <c r="AG2068">
        <v>45</v>
      </c>
      <c r="AH2068">
        <v>87</v>
      </c>
      <c r="AI2068" s="2">
        <f>Table__192.168.3.138DYLAgingReport[[#This Row],[NetAmount]]-Table__192.168.3.138DYLAgingReport[[#This Row],[Paid]]</f>
        <v>30868</v>
      </c>
    </row>
    <row r="2069" spans="1:35">
      <c r="A2069" t="s">
        <v>4286</v>
      </c>
      <c r="B2069" s="1">
        <v>41222</v>
      </c>
      <c r="C2069" s="1">
        <v>41222</v>
      </c>
      <c r="D2069" t="s">
        <v>291</v>
      </c>
      <c r="E2069">
        <v>34880</v>
      </c>
      <c r="F2069">
        <v>5581</v>
      </c>
      <c r="G2069">
        <v>0</v>
      </c>
      <c r="H2069">
        <v>0</v>
      </c>
      <c r="I2069">
        <v>48</v>
      </c>
      <c r="J2069">
        <v>40461</v>
      </c>
      <c r="K2069" t="s">
        <v>4287</v>
      </c>
      <c r="L2069" s="1">
        <v>41220</v>
      </c>
      <c r="N2069" t="s">
        <v>36</v>
      </c>
      <c r="O2069" t="s">
        <v>37</v>
      </c>
      <c r="P2069" t="s">
        <v>428</v>
      </c>
      <c r="Q2069" t="s">
        <v>39</v>
      </c>
      <c r="R2069" t="s">
        <v>40</v>
      </c>
      <c r="S2069">
        <v>0</v>
      </c>
      <c r="U2069" t="s">
        <v>41</v>
      </c>
      <c r="V2069" t="s">
        <v>42</v>
      </c>
      <c r="X2069" t="s">
        <v>74</v>
      </c>
      <c r="Y2069" t="b">
        <v>0</v>
      </c>
      <c r="Z2069" t="b">
        <v>0</v>
      </c>
      <c r="AC2069" s="1"/>
      <c r="AF2069">
        <v>0</v>
      </c>
      <c r="AG2069">
        <v>45</v>
      </c>
      <c r="AH2069">
        <v>93</v>
      </c>
      <c r="AI2069" s="2">
        <f>Table__192.168.3.138DYLAgingReport[[#This Row],[NetAmount]]-Table__192.168.3.138DYLAgingReport[[#This Row],[Paid]]</f>
        <v>40461</v>
      </c>
    </row>
    <row r="2070" spans="1:35">
      <c r="A2070" t="s">
        <v>4288</v>
      </c>
      <c r="B2070" s="1">
        <v>41228</v>
      </c>
      <c r="C2070" s="1">
        <v>41273</v>
      </c>
      <c r="D2070" t="s">
        <v>236</v>
      </c>
      <c r="E2070">
        <v>136559</v>
      </c>
      <c r="F2070">
        <v>0</v>
      </c>
      <c r="G2070">
        <v>0</v>
      </c>
      <c r="H2070">
        <v>0</v>
      </c>
      <c r="I2070">
        <v>40</v>
      </c>
      <c r="J2070">
        <v>136559</v>
      </c>
      <c r="K2070" t="s">
        <v>4289</v>
      </c>
      <c r="L2070" s="1">
        <v>41228</v>
      </c>
      <c r="N2070" t="s">
        <v>36</v>
      </c>
      <c r="O2070" t="s">
        <v>37</v>
      </c>
      <c r="P2070" t="s">
        <v>373</v>
      </c>
      <c r="Q2070" t="s">
        <v>39</v>
      </c>
      <c r="R2070" t="s">
        <v>40</v>
      </c>
      <c r="S2070">
        <v>0</v>
      </c>
      <c r="U2070" t="s">
        <v>41</v>
      </c>
      <c r="V2070" t="s">
        <v>42</v>
      </c>
      <c r="X2070" t="s">
        <v>74</v>
      </c>
      <c r="Y2070" t="b">
        <v>0</v>
      </c>
      <c r="Z2070" t="b">
        <v>0</v>
      </c>
      <c r="AC2070" s="1"/>
      <c r="AF2070">
        <v>0</v>
      </c>
      <c r="AG2070">
        <v>45</v>
      </c>
      <c r="AH2070">
        <v>85</v>
      </c>
      <c r="AI2070" s="2">
        <f>Table__192.168.3.138DYLAgingReport[[#This Row],[NetAmount]]-Table__192.168.3.138DYLAgingReport[[#This Row],[Paid]]</f>
        <v>136559</v>
      </c>
    </row>
    <row r="2071" spans="1:35">
      <c r="A2071" t="s">
        <v>4290</v>
      </c>
      <c r="B2071" s="1">
        <v>41243</v>
      </c>
      <c r="C2071" s="1">
        <v>41288</v>
      </c>
      <c r="D2071" t="s">
        <v>206</v>
      </c>
      <c r="E2071">
        <v>210375</v>
      </c>
      <c r="F2071">
        <v>33660</v>
      </c>
      <c r="G2071">
        <v>0</v>
      </c>
      <c r="H2071">
        <v>0</v>
      </c>
      <c r="I2071">
        <v>33</v>
      </c>
      <c r="J2071">
        <v>244035</v>
      </c>
      <c r="K2071" t="s">
        <v>881</v>
      </c>
      <c r="L2071" s="1">
        <v>41235</v>
      </c>
      <c r="N2071" t="s">
        <v>36</v>
      </c>
      <c r="O2071" t="s">
        <v>37</v>
      </c>
      <c r="P2071" t="s">
        <v>343</v>
      </c>
      <c r="Q2071" t="s">
        <v>39</v>
      </c>
      <c r="R2071" t="s">
        <v>40</v>
      </c>
      <c r="S2071">
        <v>0</v>
      </c>
      <c r="U2071" t="s">
        <v>41</v>
      </c>
      <c r="V2071" t="s">
        <v>42</v>
      </c>
      <c r="X2071" t="s">
        <v>74</v>
      </c>
      <c r="Y2071" t="b">
        <v>0</v>
      </c>
      <c r="Z2071" t="b">
        <v>0</v>
      </c>
      <c r="AC2071" s="1"/>
      <c r="AF2071">
        <v>0</v>
      </c>
      <c r="AG2071">
        <v>45</v>
      </c>
      <c r="AH2071">
        <v>78</v>
      </c>
      <c r="AI2071" s="2">
        <f>Table__192.168.3.138DYLAgingReport[[#This Row],[NetAmount]]-Table__192.168.3.138DYLAgingReport[[#This Row],[Paid]]</f>
        <v>244035</v>
      </c>
    </row>
    <row r="2072" spans="1:35">
      <c r="A2072" t="s">
        <v>4291</v>
      </c>
      <c r="B2072" s="1">
        <v>41242</v>
      </c>
      <c r="C2072" s="1">
        <v>41287</v>
      </c>
      <c r="D2072" t="s">
        <v>177</v>
      </c>
      <c r="E2072">
        <v>29000</v>
      </c>
      <c r="F2072">
        <v>4640</v>
      </c>
      <c r="G2072">
        <v>0</v>
      </c>
      <c r="H2072">
        <v>0</v>
      </c>
      <c r="I2072">
        <v>26</v>
      </c>
      <c r="J2072">
        <v>33640</v>
      </c>
      <c r="K2072" t="s">
        <v>3064</v>
      </c>
      <c r="L2072" s="1">
        <v>41242</v>
      </c>
      <c r="N2072" t="s">
        <v>36</v>
      </c>
      <c r="O2072" t="s">
        <v>37</v>
      </c>
      <c r="P2072" t="s">
        <v>314</v>
      </c>
      <c r="Q2072" t="s">
        <v>39</v>
      </c>
      <c r="R2072" t="s">
        <v>40</v>
      </c>
      <c r="S2072">
        <v>0</v>
      </c>
      <c r="U2072" t="s">
        <v>41</v>
      </c>
      <c r="V2072" t="s">
        <v>42</v>
      </c>
      <c r="X2072" t="s">
        <v>74</v>
      </c>
      <c r="Y2072" t="b">
        <v>0</v>
      </c>
      <c r="Z2072" t="b">
        <v>0</v>
      </c>
      <c r="AC2072" s="1"/>
      <c r="AF2072">
        <v>0</v>
      </c>
      <c r="AG2072">
        <v>45</v>
      </c>
      <c r="AH2072">
        <v>71</v>
      </c>
      <c r="AI2072" s="2">
        <f>Table__192.168.3.138DYLAgingReport[[#This Row],[NetAmount]]-Table__192.168.3.138DYLAgingReport[[#This Row],[Paid]]</f>
        <v>33640</v>
      </c>
    </row>
    <row r="2073" spans="1:35">
      <c r="A2073" t="s">
        <v>4292</v>
      </c>
      <c r="B2073" s="1">
        <v>41240</v>
      </c>
      <c r="C2073" s="1">
        <v>41285</v>
      </c>
      <c r="D2073" t="s">
        <v>177</v>
      </c>
      <c r="E2073">
        <v>29000</v>
      </c>
      <c r="F2073">
        <v>4640</v>
      </c>
      <c r="G2073">
        <v>0</v>
      </c>
      <c r="H2073">
        <v>0</v>
      </c>
      <c r="I2073">
        <v>28</v>
      </c>
      <c r="J2073">
        <v>33640</v>
      </c>
      <c r="K2073" t="s">
        <v>3057</v>
      </c>
      <c r="L2073" s="1">
        <v>41240</v>
      </c>
      <c r="N2073" t="s">
        <v>36</v>
      </c>
      <c r="O2073" t="s">
        <v>37</v>
      </c>
      <c r="P2073" t="s">
        <v>314</v>
      </c>
      <c r="Q2073" t="s">
        <v>39</v>
      </c>
      <c r="R2073" t="s">
        <v>40</v>
      </c>
      <c r="S2073">
        <v>0</v>
      </c>
      <c r="U2073" t="s">
        <v>41</v>
      </c>
      <c r="V2073" t="s">
        <v>42</v>
      </c>
      <c r="X2073" t="s">
        <v>74</v>
      </c>
      <c r="Y2073" t="b">
        <v>0</v>
      </c>
      <c r="Z2073" t="b">
        <v>0</v>
      </c>
      <c r="AC2073" s="1"/>
      <c r="AF2073">
        <v>0</v>
      </c>
      <c r="AG2073">
        <v>45</v>
      </c>
      <c r="AH2073">
        <v>73</v>
      </c>
      <c r="AI2073" s="2">
        <f>Table__192.168.3.138DYLAgingReport[[#This Row],[NetAmount]]-Table__192.168.3.138DYLAgingReport[[#This Row],[Paid]]</f>
        <v>33640</v>
      </c>
    </row>
    <row r="2074" spans="1:35">
      <c r="A2074" t="s">
        <v>4293</v>
      </c>
      <c r="B2074" s="1">
        <v>41230</v>
      </c>
      <c r="C2074" s="1">
        <v>41275</v>
      </c>
      <c r="D2074" t="s">
        <v>177</v>
      </c>
      <c r="E2074">
        <v>72210</v>
      </c>
      <c r="F2074">
        <v>11554</v>
      </c>
      <c r="G2074">
        <v>0</v>
      </c>
      <c r="H2074">
        <v>0</v>
      </c>
      <c r="I2074">
        <v>38</v>
      </c>
      <c r="J2074">
        <v>83764</v>
      </c>
      <c r="K2074" t="s">
        <v>3053</v>
      </c>
      <c r="L2074" s="1">
        <v>41230</v>
      </c>
      <c r="N2074" t="s">
        <v>36</v>
      </c>
      <c r="O2074" t="s">
        <v>37</v>
      </c>
      <c r="P2074" t="s">
        <v>314</v>
      </c>
      <c r="Q2074" t="s">
        <v>39</v>
      </c>
      <c r="R2074" t="s">
        <v>40</v>
      </c>
      <c r="S2074">
        <v>0</v>
      </c>
      <c r="U2074" t="s">
        <v>41</v>
      </c>
      <c r="V2074" t="s">
        <v>42</v>
      </c>
      <c r="X2074" t="s">
        <v>74</v>
      </c>
      <c r="Y2074" t="b">
        <v>0</v>
      </c>
      <c r="Z2074" t="b">
        <v>0</v>
      </c>
      <c r="AC2074" s="1"/>
      <c r="AF2074">
        <v>0</v>
      </c>
      <c r="AG2074">
        <v>45</v>
      </c>
      <c r="AH2074">
        <v>83</v>
      </c>
      <c r="AI2074" s="2">
        <f>Table__192.168.3.138DYLAgingReport[[#This Row],[NetAmount]]-Table__192.168.3.138DYLAgingReport[[#This Row],[Paid]]</f>
        <v>83764</v>
      </c>
    </row>
    <row r="2075" spans="1:35">
      <c r="A2075" t="s">
        <v>4294</v>
      </c>
      <c r="B2075" s="1">
        <v>41226</v>
      </c>
      <c r="C2075" s="1">
        <v>41271</v>
      </c>
      <c r="D2075" t="s">
        <v>242</v>
      </c>
      <c r="E2075">
        <v>25405</v>
      </c>
      <c r="F2075">
        <v>4065</v>
      </c>
      <c r="G2075">
        <v>0</v>
      </c>
      <c r="H2075">
        <v>0</v>
      </c>
      <c r="I2075">
        <v>42</v>
      </c>
      <c r="J2075">
        <v>29470</v>
      </c>
      <c r="K2075" t="s">
        <v>4295</v>
      </c>
      <c r="L2075" s="1">
        <v>41226</v>
      </c>
      <c r="N2075" t="s">
        <v>36</v>
      </c>
      <c r="O2075" t="s">
        <v>37</v>
      </c>
      <c r="P2075" t="s">
        <v>379</v>
      </c>
      <c r="Q2075" t="s">
        <v>39</v>
      </c>
      <c r="R2075" t="s">
        <v>40</v>
      </c>
      <c r="S2075">
        <v>0</v>
      </c>
      <c r="U2075" t="s">
        <v>41</v>
      </c>
      <c r="V2075" t="s">
        <v>42</v>
      </c>
      <c r="X2075" t="s">
        <v>74</v>
      </c>
      <c r="Y2075" t="b">
        <v>0</v>
      </c>
      <c r="Z2075" t="b">
        <v>0</v>
      </c>
      <c r="AC2075" s="1"/>
      <c r="AF2075">
        <v>0</v>
      </c>
      <c r="AG2075">
        <v>45</v>
      </c>
      <c r="AH2075">
        <v>87</v>
      </c>
      <c r="AI2075" s="2">
        <f>Table__192.168.3.138DYLAgingReport[[#This Row],[NetAmount]]-Table__192.168.3.138DYLAgingReport[[#This Row],[Paid]]</f>
        <v>29470</v>
      </c>
    </row>
    <row r="2076" spans="1:35">
      <c r="A2076" t="s">
        <v>4296</v>
      </c>
      <c r="B2076" s="1">
        <v>41227</v>
      </c>
      <c r="C2076" s="1">
        <v>41272</v>
      </c>
      <c r="D2076" t="s">
        <v>242</v>
      </c>
      <c r="E2076">
        <v>7608</v>
      </c>
      <c r="F2076">
        <v>1217</v>
      </c>
      <c r="G2076">
        <v>0</v>
      </c>
      <c r="H2076">
        <v>0</v>
      </c>
      <c r="I2076">
        <v>41</v>
      </c>
      <c r="J2076">
        <v>8825</v>
      </c>
      <c r="K2076" t="s">
        <v>4297</v>
      </c>
      <c r="L2076" s="1">
        <v>41227</v>
      </c>
      <c r="N2076" t="s">
        <v>36</v>
      </c>
      <c r="O2076" t="s">
        <v>37</v>
      </c>
      <c r="P2076" t="s">
        <v>379</v>
      </c>
      <c r="Q2076" t="s">
        <v>39</v>
      </c>
      <c r="R2076" t="s">
        <v>40</v>
      </c>
      <c r="S2076">
        <v>0</v>
      </c>
      <c r="U2076" t="s">
        <v>41</v>
      </c>
      <c r="V2076" t="s">
        <v>42</v>
      </c>
      <c r="X2076" t="s">
        <v>74</v>
      </c>
      <c r="Y2076" t="b">
        <v>0</v>
      </c>
      <c r="Z2076" t="b">
        <v>0</v>
      </c>
      <c r="AC2076" s="1"/>
      <c r="AF2076">
        <v>0</v>
      </c>
      <c r="AG2076">
        <v>45</v>
      </c>
      <c r="AH2076">
        <v>86</v>
      </c>
      <c r="AI2076" s="2">
        <f>Table__192.168.3.138DYLAgingReport[[#This Row],[NetAmount]]-Table__192.168.3.138DYLAgingReport[[#This Row],[Paid]]</f>
        <v>8825</v>
      </c>
    </row>
    <row r="2077" spans="1:35">
      <c r="A2077" t="s">
        <v>4298</v>
      </c>
      <c r="B2077" s="1">
        <v>41233</v>
      </c>
      <c r="C2077" s="1">
        <v>41278</v>
      </c>
      <c r="D2077" t="s">
        <v>183</v>
      </c>
      <c r="E2077">
        <v>38500</v>
      </c>
      <c r="F2077">
        <v>6160</v>
      </c>
      <c r="G2077">
        <v>0</v>
      </c>
      <c r="H2077">
        <v>0</v>
      </c>
      <c r="I2077">
        <v>35</v>
      </c>
      <c r="J2077">
        <v>44660</v>
      </c>
      <c r="K2077" t="s">
        <v>4299</v>
      </c>
      <c r="L2077" s="1">
        <v>41233</v>
      </c>
      <c r="N2077" t="s">
        <v>36</v>
      </c>
      <c r="O2077" t="s">
        <v>37</v>
      </c>
      <c r="P2077" t="s">
        <v>320</v>
      </c>
      <c r="Q2077" t="s">
        <v>39</v>
      </c>
      <c r="R2077" t="s">
        <v>40</v>
      </c>
      <c r="S2077">
        <v>0</v>
      </c>
      <c r="U2077" t="s">
        <v>41</v>
      </c>
      <c r="V2077" t="s">
        <v>42</v>
      </c>
      <c r="X2077" t="s">
        <v>74</v>
      </c>
      <c r="Y2077" t="b">
        <v>0</v>
      </c>
      <c r="Z2077" t="b">
        <v>0</v>
      </c>
      <c r="AC2077" s="1"/>
      <c r="AF2077">
        <v>0</v>
      </c>
      <c r="AG2077">
        <v>45</v>
      </c>
      <c r="AH2077">
        <v>80</v>
      </c>
      <c r="AI2077" s="2">
        <f>Table__192.168.3.138DYLAgingReport[[#This Row],[NetAmount]]-Table__192.168.3.138DYLAgingReport[[#This Row],[Paid]]</f>
        <v>44660</v>
      </c>
    </row>
    <row r="2078" spans="1:35">
      <c r="A2078" t="s">
        <v>4300</v>
      </c>
      <c r="B2078" s="1">
        <v>41243</v>
      </c>
      <c r="C2078" s="1">
        <v>41288</v>
      </c>
      <c r="D2078" t="s">
        <v>183</v>
      </c>
      <c r="E2078">
        <v>61950</v>
      </c>
      <c r="F2078">
        <v>9912</v>
      </c>
      <c r="G2078">
        <v>0</v>
      </c>
      <c r="H2078">
        <v>0</v>
      </c>
      <c r="I2078">
        <v>25</v>
      </c>
      <c r="J2078">
        <v>71862</v>
      </c>
      <c r="K2078" t="s">
        <v>4301</v>
      </c>
      <c r="L2078" s="1">
        <v>41243</v>
      </c>
      <c r="N2078" t="s">
        <v>36</v>
      </c>
      <c r="O2078" t="s">
        <v>37</v>
      </c>
      <c r="P2078" t="s">
        <v>320</v>
      </c>
      <c r="Q2078" t="s">
        <v>39</v>
      </c>
      <c r="R2078" t="s">
        <v>40</v>
      </c>
      <c r="S2078">
        <v>0</v>
      </c>
      <c r="U2078" t="s">
        <v>41</v>
      </c>
      <c r="V2078" t="s">
        <v>42</v>
      </c>
      <c r="X2078" t="s">
        <v>74</v>
      </c>
      <c r="Y2078" t="b">
        <v>0</v>
      </c>
      <c r="Z2078" t="b">
        <v>0</v>
      </c>
      <c r="AC2078" s="1"/>
      <c r="AF2078">
        <v>0</v>
      </c>
      <c r="AG2078">
        <v>45</v>
      </c>
      <c r="AH2078">
        <v>70</v>
      </c>
      <c r="AI2078" s="2">
        <f>Table__192.168.3.138DYLAgingReport[[#This Row],[NetAmount]]-Table__192.168.3.138DYLAgingReport[[#This Row],[Paid]]</f>
        <v>71862</v>
      </c>
    </row>
    <row r="2079" spans="1:35">
      <c r="A2079" t="s">
        <v>4302</v>
      </c>
      <c r="B2079" s="1">
        <v>41192</v>
      </c>
      <c r="C2079" s="1">
        <v>41237</v>
      </c>
      <c r="D2079" t="s">
        <v>268</v>
      </c>
      <c r="E2079">
        <v>102500</v>
      </c>
      <c r="F2079">
        <v>16400</v>
      </c>
      <c r="G2079">
        <v>0</v>
      </c>
      <c r="H2079">
        <v>0</v>
      </c>
      <c r="I2079">
        <v>38</v>
      </c>
      <c r="J2079">
        <v>118900</v>
      </c>
      <c r="K2079" t="s">
        <v>1234</v>
      </c>
      <c r="L2079" s="1">
        <v>41230</v>
      </c>
      <c r="N2079" t="s">
        <v>36</v>
      </c>
      <c r="O2079" t="s">
        <v>37</v>
      </c>
      <c r="P2079" t="s">
        <v>405</v>
      </c>
      <c r="Q2079" t="s">
        <v>39</v>
      </c>
      <c r="R2079" t="s">
        <v>40</v>
      </c>
      <c r="S2079">
        <v>0</v>
      </c>
      <c r="U2079" t="s">
        <v>41</v>
      </c>
      <c r="V2079" t="s">
        <v>42</v>
      </c>
      <c r="X2079" t="s">
        <v>74</v>
      </c>
      <c r="Y2079" t="b">
        <v>0</v>
      </c>
      <c r="Z2079" t="b">
        <v>0</v>
      </c>
      <c r="AC2079" s="1"/>
      <c r="AF2079">
        <v>0</v>
      </c>
      <c r="AG2079">
        <v>45</v>
      </c>
      <c r="AH2079">
        <v>83</v>
      </c>
      <c r="AI2079" s="2">
        <f>Table__192.168.3.138DYLAgingReport[[#This Row],[NetAmount]]-Table__192.168.3.138DYLAgingReport[[#This Row],[Paid]]</f>
        <v>118900</v>
      </c>
    </row>
    <row r="2080" spans="1:35">
      <c r="A2080" t="s">
        <v>4303</v>
      </c>
      <c r="B2080" s="1">
        <v>41199</v>
      </c>
      <c r="C2080" s="1">
        <v>41244</v>
      </c>
      <c r="D2080" t="s">
        <v>268</v>
      </c>
      <c r="E2080">
        <v>102500</v>
      </c>
      <c r="F2080">
        <v>16400</v>
      </c>
      <c r="G2080">
        <v>0</v>
      </c>
      <c r="H2080">
        <v>0</v>
      </c>
      <c r="I2080">
        <v>38</v>
      </c>
      <c r="J2080">
        <v>118900</v>
      </c>
      <c r="K2080" t="s">
        <v>4304</v>
      </c>
      <c r="L2080" s="1">
        <v>41230</v>
      </c>
      <c r="N2080" t="s">
        <v>36</v>
      </c>
      <c r="O2080" t="s">
        <v>37</v>
      </c>
      <c r="P2080" t="s">
        <v>405</v>
      </c>
      <c r="Q2080" t="s">
        <v>39</v>
      </c>
      <c r="R2080" t="s">
        <v>40</v>
      </c>
      <c r="S2080">
        <v>0</v>
      </c>
      <c r="U2080" t="s">
        <v>41</v>
      </c>
      <c r="V2080" t="s">
        <v>42</v>
      </c>
      <c r="X2080" t="s">
        <v>74</v>
      </c>
      <c r="Y2080" t="b">
        <v>0</v>
      </c>
      <c r="Z2080" t="b">
        <v>0</v>
      </c>
      <c r="AC2080" s="1"/>
      <c r="AF2080">
        <v>0</v>
      </c>
      <c r="AG2080">
        <v>45</v>
      </c>
      <c r="AH2080">
        <v>83</v>
      </c>
      <c r="AI2080" s="2">
        <f>Table__192.168.3.138DYLAgingReport[[#This Row],[NetAmount]]-Table__192.168.3.138DYLAgingReport[[#This Row],[Paid]]</f>
        <v>118900</v>
      </c>
    </row>
    <row r="2081" spans="1:35">
      <c r="A2081" t="s">
        <v>4305</v>
      </c>
      <c r="B2081" s="1">
        <v>41233</v>
      </c>
      <c r="C2081" s="1">
        <v>41278</v>
      </c>
      <c r="D2081" t="s">
        <v>242</v>
      </c>
      <c r="E2081">
        <v>138656</v>
      </c>
      <c r="F2081">
        <v>22184</v>
      </c>
      <c r="G2081">
        <v>0</v>
      </c>
      <c r="H2081">
        <v>0</v>
      </c>
      <c r="I2081">
        <v>35</v>
      </c>
      <c r="J2081">
        <v>160840</v>
      </c>
      <c r="K2081" t="s">
        <v>4306</v>
      </c>
      <c r="L2081" s="1">
        <v>41233</v>
      </c>
      <c r="N2081" t="s">
        <v>36</v>
      </c>
      <c r="O2081" t="s">
        <v>37</v>
      </c>
      <c r="P2081" t="s">
        <v>379</v>
      </c>
      <c r="Q2081" t="s">
        <v>39</v>
      </c>
      <c r="R2081" t="s">
        <v>40</v>
      </c>
      <c r="S2081">
        <v>0</v>
      </c>
      <c r="U2081" t="s">
        <v>41</v>
      </c>
      <c r="V2081" t="s">
        <v>42</v>
      </c>
      <c r="X2081" t="s">
        <v>74</v>
      </c>
      <c r="Y2081" t="b">
        <v>0</v>
      </c>
      <c r="Z2081" t="b">
        <v>0</v>
      </c>
      <c r="AC2081" s="1"/>
      <c r="AF2081">
        <v>0</v>
      </c>
      <c r="AG2081">
        <v>45</v>
      </c>
      <c r="AH2081">
        <v>80</v>
      </c>
      <c r="AI2081" s="2">
        <f>Table__192.168.3.138DYLAgingReport[[#This Row],[NetAmount]]-Table__192.168.3.138DYLAgingReport[[#This Row],[Paid]]</f>
        <v>160840</v>
      </c>
    </row>
    <row r="2082" spans="1:35">
      <c r="A2082" t="s">
        <v>4307</v>
      </c>
      <c r="B2082" s="1">
        <v>41239</v>
      </c>
      <c r="C2082" s="1">
        <v>41284</v>
      </c>
      <c r="D2082" t="s">
        <v>242</v>
      </c>
      <c r="E2082">
        <v>32586</v>
      </c>
      <c r="F2082">
        <v>5073</v>
      </c>
      <c r="G2082">
        <v>0</v>
      </c>
      <c r="H2082">
        <v>0</v>
      </c>
      <c r="I2082">
        <v>35</v>
      </c>
      <c r="J2082">
        <v>36779</v>
      </c>
      <c r="K2082" t="s">
        <v>4308</v>
      </c>
      <c r="L2082" s="1">
        <v>41233</v>
      </c>
      <c r="N2082" t="s">
        <v>36</v>
      </c>
      <c r="O2082" t="s">
        <v>37</v>
      </c>
      <c r="P2082" t="s">
        <v>379</v>
      </c>
      <c r="Q2082" t="s">
        <v>39</v>
      </c>
      <c r="R2082" t="s">
        <v>40</v>
      </c>
      <c r="S2082">
        <v>0</v>
      </c>
      <c r="U2082" t="s">
        <v>41</v>
      </c>
      <c r="V2082" t="s">
        <v>42</v>
      </c>
      <c r="X2082" t="s">
        <v>74</v>
      </c>
      <c r="Y2082" t="b">
        <v>0</v>
      </c>
      <c r="Z2082" t="b">
        <v>0</v>
      </c>
      <c r="AC2082" s="1"/>
      <c r="AF2082">
        <v>0</v>
      </c>
      <c r="AG2082">
        <v>45</v>
      </c>
      <c r="AH2082">
        <v>80</v>
      </c>
      <c r="AI2082" s="2">
        <f>Table__192.168.3.138DYLAgingReport[[#This Row],[NetAmount]]-Table__192.168.3.138DYLAgingReport[[#This Row],[Paid]]</f>
        <v>36779</v>
      </c>
    </row>
    <row r="2083" spans="1:35">
      <c r="A2083" t="s">
        <v>4309</v>
      </c>
      <c r="B2083" s="1">
        <v>41233</v>
      </c>
      <c r="C2083" s="1">
        <v>41278</v>
      </c>
      <c r="D2083" t="s">
        <v>242</v>
      </c>
      <c r="E2083">
        <v>75994</v>
      </c>
      <c r="F2083">
        <v>12159</v>
      </c>
      <c r="G2083">
        <v>0</v>
      </c>
      <c r="H2083">
        <v>0</v>
      </c>
      <c r="I2083">
        <v>35</v>
      </c>
      <c r="J2083">
        <v>88153</v>
      </c>
      <c r="K2083" t="s">
        <v>4310</v>
      </c>
      <c r="L2083" s="1">
        <v>41233</v>
      </c>
      <c r="N2083" t="s">
        <v>36</v>
      </c>
      <c r="O2083" t="s">
        <v>37</v>
      </c>
      <c r="P2083" t="s">
        <v>379</v>
      </c>
      <c r="Q2083" t="s">
        <v>39</v>
      </c>
      <c r="R2083" t="s">
        <v>40</v>
      </c>
      <c r="S2083">
        <v>0</v>
      </c>
      <c r="U2083" t="s">
        <v>41</v>
      </c>
      <c r="V2083" t="s">
        <v>42</v>
      </c>
      <c r="X2083" t="s">
        <v>74</v>
      </c>
      <c r="Y2083" t="b">
        <v>0</v>
      </c>
      <c r="Z2083" t="b">
        <v>0</v>
      </c>
      <c r="AC2083" s="1"/>
      <c r="AF2083">
        <v>0</v>
      </c>
      <c r="AG2083">
        <v>45</v>
      </c>
      <c r="AH2083">
        <v>80</v>
      </c>
      <c r="AI2083" s="2">
        <f>Table__192.168.3.138DYLAgingReport[[#This Row],[NetAmount]]-Table__192.168.3.138DYLAgingReport[[#This Row],[Paid]]</f>
        <v>88153</v>
      </c>
    </row>
    <row r="2084" spans="1:35">
      <c r="A2084" t="s">
        <v>4311</v>
      </c>
      <c r="B2084" s="1">
        <v>41233</v>
      </c>
      <c r="C2084" s="1">
        <v>41278</v>
      </c>
      <c r="D2084" t="s">
        <v>258</v>
      </c>
      <c r="E2084">
        <v>115775</v>
      </c>
      <c r="F2084">
        <v>18524</v>
      </c>
      <c r="G2084">
        <v>0</v>
      </c>
      <c r="H2084">
        <v>0</v>
      </c>
      <c r="I2084">
        <v>35</v>
      </c>
      <c r="J2084">
        <v>134299</v>
      </c>
      <c r="K2084" t="s">
        <v>4312</v>
      </c>
      <c r="L2084" s="1">
        <v>41233</v>
      </c>
      <c r="N2084" t="s">
        <v>36</v>
      </c>
      <c r="O2084" t="s">
        <v>37</v>
      </c>
      <c r="P2084" t="s">
        <v>395</v>
      </c>
      <c r="Q2084" t="s">
        <v>39</v>
      </c>
      <c r="R2084" t="s">
        <v>40</v>
      </c>
      <c r="S2084">
        <v>0</v>
      </c>
      <c r="U2084" t="s">
        <v>41</v>
      </c>
      <c r="V2084" t="s">
        <v>42</v>
      </c>
      <c r="X2084" t="s">
        <v>74</v>
      </c>
      <c r="Y2084" t="b">
        <v>0</v>
      </c>
      <c r="Z2084" t="b">
        <v>0</v>
      </c>
      <c r="AC2084" s="1"/>
      <c r="AF2084">
        <v>0</v>
      </c>
      <c r="AG2084">
        <v>45</v>
      </c>
      <c r="AH2084">
        <v>80</v>
      </c>
      <c r="AI2084" s="2">
        <f>Table__192.168.3.138DYLAgingReport[[#This Row],[NetAmount]]-Table__192.168.3.138DYLAgingReport[[#This Row],[Paid]]</f>
        <v>134299</v>
      </c>
    </row>
    <row r="2085" spans="1:35">
      <c r="A2085" t="s">
        <v>4313</v>
      </c>
      <c r="B2085" s="1">
        <v>41241</v>
      </c>
      <c r="C2085" s="1">
        <v>41286</v>
      </c>
      <c r="D2085" t="s">
        <v>220</v>
      </c>
      <c r="E2085">
        <v>317100</v>
      </c>
      <c r="F2085">
        <v>50736</v>
      </c>
      <c r="G2085">
        <v>0</v>
      </c>
      <c r="H2085">
        <v>0</v>
      </c>
      <c r="I2085">
        <v>27</v>
      </c>
      <c r="J2085">
        <v>367836</v>
      </c>
      <c r="K2085" t="s">
        <v>4314</v>
      </c>
      <c r="L2085" s="1">
        <v>41241</v>
      </c>
      <c r="N2085" t="s">
        <v>36</v>
      </c>
      <c r="O2085" t="s">
        <v>37</v>
      </c>
      <c r="P2085" t="s">
        <v>357</v>
      </c>
      <c r="Q2085" t="s">
        <v>39</v>
      </c>
      <c r="R2085" t="s">
        <v>40</v>
      </c>
      <c r="S2085">
        <v>0</v>
      </c>
      <c r="U2085" t="s">
        <v>41</v>
      </c>
      <c r="V2085" t="s">
        <v>42</v>
      </c>
      <c r="X2085" t="s">
        <v>74</v>
      </c>
      <c r="Y2085" t="b">
        <v>0</v>
      </c>
      <c r="Z2085" t="b">
        <v>0</v>
      </c>
      <c r="AC2085" s="1"/>
      <c r="AF2085">
        <v>0</v>
      </c>
      <c r="AG2085">
        <v>45</v>
      </c>
      <c r="AH2085">
        <v>72</v>
      </c>
      <c r="AI2085" s="2">
        <f>Table__192.168.3.138DYLAgingReport[[#This Row],[NetAmount]]-Table__192.168.3.138DYLAgingReport[[#This Row],[Paid]]</f>
        <v>367836</v>
      </c>
    </row>
    <row r="2086" spans="1:35">
      <c r="A2086" t="s">
        <v>4315</v>
      </c>
      <c r="B2086" s="1">
        <v>41240</v>
      </c>
      <c r="C2086" s="1">
        <v>41285</v>
      </c>
      <c r="D2086" t="s">
        <v>271</v>
      </c>
      <c r="E2086">
        <v>128036</v>
      </c>
      <c r="F2086">
        <v>20485</v>
      </c>
      <c r="G2086">
        <v>0</v>
      </c>
      <c r="H2086">
        <v>0</v>
      </c>
      <c r="I2086">
        <v>28</v>
      </c>
      <c r="J2086">
        <v>148521</v>
      </c>
      <c r="K2086" t="s">
        <v>3568</v>
      </c>
      <c r="L2086" s="1">
        <v>41240</v>
      </c>
      <c r="N2086" t="s">
        <v>36</v>
      </c>
      <c r="O2086" t="s">
        <v>37</v>
      </c>
      <c r="P2086" t="s">
        <v>408</v>
      </c>
      <c r="Q2086" t="s">
        <v>39</v>
      </c>
      <c r="R2086" t="s">
        <v>40</v>
      </c>
      <c r="S2086">
        <v>0</v>
      </c>
      <c r="U2086" t="s">
        <v>41</v>
      </c>
      <c r="V2086" t="s">
        <v>42</v>
      </c>
      <c r="X2086" t="s">
        <v>74</v>
      </c>
      <c r="Y2086" t="b">
        <v>0</v>
      </c>
      <c r="Z2086" t="b">
        <v>0</v>
      </c>
      <c r="AC2086" s="1"/>
      <c r="AF2086">
        <v>0</v>
      </c>
      <c r="AG2086">
        <v>45</v>
      </c>
      <c r="AH2086">
        <v>73</v>
      </c>
      <c r="AI2086" s="2">
        <f>Table__192.168.3.138DYLAgingReport[[#This Row],[NetAmount]]-Table__192.168.3.138DYLAgingReport[[#This Row],[Paid]]</f>
        <v>148521</v>
      </c>
    </row>
    <row r="2087" spans="1:35">
      <c r="A2087" t="s">
        <v>4316</v>
      </c>
      <c r="B2087" s="1">
        <v>41235</v>
      </c>
      <c r="C2087" s="1">
        <v>41280</v>
      </c>
      <c r="D2087" t="s">
        <v>271</v>
      </c>
      <c r="E2087">
        <v>94234</v>
      </c>
      <c r="F2087">
        <v>15077</v>
      </c>
      <c r="G2087">
        <v>0</v>
      </c>
      <c r="H2087">
        <v>0</v>
      </c>
      <c r="I2087">
        <v>34</v>
      </c>
      <c r="J2087">
        <v>109311</v>
      </c>
      <c r="K2087" t="s">
        <v>3460</v>
      </c>
      <c r="L2087" s="1">
        <v>41234</v>
      </c>
      <c r="N2087" t="s">
        <v>36</v>
      </c>
      <c r="O2087" t="s">
        <v>37</v>
      </c>
      <c r="P2087" t="s">
        <v>408</v>
      </c>
      <c r="Q2087" t="s">
        <v>39</v>
      </c>
      <c r="R2087" t="s">
        <v>40</v>
      </c>
      <c r="S2087">
        <v>0</v>
      </c>
      <c r="U2087" t="s">
        <v>41</v>
      </c>
      <c r="V2087" t="s">
        <v>42</v>
      </c>
      <c r="X2087" t="s">
        <v>74</v>
      </c>
      <c r="Y2087" t="b">
        <v>0</v>
      </c>
      <c r="Z2087" t="b">
        <v>0</v>
      </c>
      <c r="AC2087" s="1"/>
      <c r="AF2087">
        <v>0</v>
      </c>
      <c r="AG2087">
        <v>45</v>
      </c>
      <c r="AH2087">
        <v>79</v>
      </c>
      <c r="AI2087" s="2">
        <f>Table__192.168.3.138DYLAgingReport[[#This Row],[NetAmount]]-Table__192.168.3.138DYLAgingReport[[#This Row],[Paid]]</f>
        <v>109311</v>
      </c>
    </row>
    <row r="2088" spans="1:35">
      <c r="A2088" t="s">
        <v>4317</v>
      </c>
      <c r="B2088" s="1">
        <v>41221</v>
      </c>
      <c r="C2088" s="1">
        <v>41266</v>
      </c>
      <c r="D2088" t="s">
        <v>271</v>
      </c>
      <c r="E2088">
        <v>161160</v>
      </c>
      <c r="F2088">
        <v>25786</v>
      </c>
      <c r="G2088">
        <v>0</v>
      </c>
      <c r="H2088">
        <v>0</v>
      </c>
      <c r="I2088">
        <v>47</v>
      </c>
      <c r="J2088">
        <v>186946</v>
      </c>
      <c r="K2088" t="s">
        <v>4157</v>
      </c>
      <c r="L2088" s="1">
        <v>41221</v>
      </c>
      <c r="N2088" t="s">
        <v>36</v>
      </c>
      <c r="O2088" t="s">
        <v>37</v>
      </c>
      <c r="P2088" t="s">
        <v>408</v>
      </c>
      <c r="Q2088" t="s">
        <v>39</v>
      </c>
      <c r="R2088" t="s">
        <v>40</v>
      </c>
      <c r="S2088">
        <v>0</v>
      </c>
      <c r="U2088" t="s">
        <v>41</v>
      </c>
      <c r="V2088" t="s">
        <v>42</v>
      </c>
      <c r="X2088" t="s">
        <v>74</v>
      </c>
      <c r="Y2088" t="b">
        <v>0</v>
      </c>
      <c r="Z2088" t="b">
        <v>0</v>
      </c>
      <c r="AC2088" s="1"/>
      <c r="AF2088">
        <v>0</v>
      </c>
      <c r="AG2088">
        <v>45</v>
      </c>
      <c r="AH2088">
        <v>92</v>
      </c>
      <c r="AI2088" s="2">
        <f>Table__192.168.3.138DYLAgingReport[[#This Row],[NetAmount]]-Table__192.168.3.138DYLAgingReport[[#This Row],[Paid]]</f>
        <v>186946</v>
      </c>
    </row>
    <row r="2089" spans="1:35">
      <c r="A2089" t="s">
        <v>4318</v>
      </c>
      <c r="B2089" s="1">
        <v>41232</v>
      </c>
      <c r="C2089" s="1">
        <v>41277</v>
      </c>
      <c r="D2089" t="s">
        <v>271</v>
      </c>
      <c r="E2089">
        <v>156928</v>
      </c>
      <c r="F2089">
        <v>25108</v>
      </c>
      <c r="G2089">
        <v>0</v>
      </c>
      <c r="H2089">
        <v>0</v>
      </c>
      <c r="I2089">
        <v>38</v>
      </c>
      <c r="J2089">
        <v>182036</v>
      </c>
      <c r="K2089" t="s">
        <v>3360</v>
      </c>
      <c r="L2089" s="1">
        <v>41230</v>
      </c>
      <c r="N2089" t="s">
        <v>36</v>
      </c>
      <c r="O2089" t="s">
        <v>37</v>
      </c>
      <c r="P2089" t="s">
        <v>408</v>
      </c>
      <c r="Q2089" t="s">
        <v>39</v>
      </c>
      <c r="R2089" t="s">
        <v>40</v>
      </c>
      <c r="S2089">
        <v>0</v>
      </c>
      <c r="U2089" t="s">
        <v>41</v>
      </c>
      <c r="V2089" t="s">
        <v>42</v>
      </c>
      <c r="X2089" t="s">
        <v>74</v>
      </c>
      <c r="Y2089" t="b">
        <v>0</v>
      </c>
      <c r="Z2089" t="b">
        <v>0</v>
      </c>
      <c r="AC2089" s="1"/>
      <c r="AF2089">
        <v>0</v>
      </c>
      <c r="AG2089">
        <v>45</v>
      </c>
      <c r="AH2089">
        <v>83</v>
      </c>
      <c r="AI2089" s="2">
        <f>Table__192.168.3.138DYLAgingReport[[#This Row],[NetAmount]]-Table__192.168.3.138DYLAgingReport[[#This Row],[Paid]]</f>
        <v>182036</v>
      </c>
    </row>
    <row r="2090" spans="1:35">
      <c r="A2090" t="s">
        <v>4319</v>
      </c>
      <c r="B2090" s="1">
        <v>41236</v>
      </c>
      <c r="C2090" s="1">
        <v>41281</v>
      </c>
      <c r="D2090" t="s">
        <v>271</v>
      </c>
      <c r="E2090">
        <v>14800</v>
      </c>
      <c r="F2090">
        <v>2368</v>
      </c>
      <c r="G2090">
        <v>0</v>
      </c>
      <c r="H2090">
        <v>0</v>
      </c>
      <c r="I2090">
        <v>41248</v>
      </c>
      <c r="J2090">
        <v>17168</v>
      </c>
      <c r="K2090" t="s">
        <v>3455</v>
      </c>
      <c r="L2090" s="1">
        <v>20</v>
      </c>
      <c r="M2090" t="s">
        <v>4320</v>
      </c>
      <c r="N2090" t="s">
        <v>36</v>
      </c>
      <c r="O2090" t="s">
        <v>37</v>
      </c>
      <c r="P2090" t="s">
        <v>408</v>
      </c>
      <c r="Q2090" t="s">
        <v>39</v>
      </c>
      <c r="R2090" t="s">
        <v>40</v>
      </c>
      <c r="S2090">
        <v>0</v>
      </c>
      <c r="U2090" t="s">
        <v>41</v>
      </c>
      <c r="V2090" t="s">
        <v>42</v>
      </c>
      <c r="W2090" t="s">
        <v>929</v>
      </c>
      <c r="X2090" t="s">
        <v>74</v>
      </c>
      <c r="Y2090" t="b">
        <v>0</v>
      </c>
      <c r="Z2090" t="b">
        <v>0</v>
      </c>
      <c r="AA2090" t="b">
        <v>0</v>
      </c>
      <c r="AC2090" s="1"/>
      <c r="AF2090">
        <v>0</v>
      </c>
      <c r="AG2090">
        <v>45</v>
      </c>
      <c r="AH2090">
        <v>41293</v>
      </c>
      <c r="AI2090" s="2">
        <f>Table__192.168.3.138DYLAgingReport[[#This Row],[NetAmount]]-Table__192.168.3.138DYLAgingReport[[#This Row],[Paid]]</f>
        <v>17168</v>
      </c>
    </row>
    <row r="2091" spans="1:35">
      <c r="A2091" t="s">
        <v>4321</v>
      </c>
      <c r="B2091" s="1">
        <v>41240</v>
      </c>
      <c r="C2091" s="1">
        <v>41285</v>
      </c>
      <c r="D2091" t="s">
        <v>235</v>
      </c>
      <c r="E2091">
        <v>35500</v>
      </c>
      <c r="F2091">
        <v>0</v>
      </c>
      <c r="G2091">
        <v>0</v>
      </c>
      <c r="H2091">
        <v>0</v>
      </c>
      <c r="I2091">
        <v>28</v>
      </c>
      <c r="J2091">
        <v>35500</v>
      </c>
      <c r="K2091" t="s">
        <v>4322</v>
      </c>
      <c r="L2091" s="1">
        <v>41240</v>
      </c>
      <c r="N2091" t="s">
        <v>36</v>
      </c>
      <c r="O2091" t="s">
        <v>37</v>
      </c>
      <c r="P2091" t="s">
        <v>372</v>
      </c>
      <c r="Q2091" t="s">
        <v>39</v>
      </c>
      <c r="R2091" t="s">
        <v>40</v>
      </c>
      <c r="S2091">
        <v>0</v>
      </c>
      <c r="U2091" t="s">
        <v>41</v>
      </c>
      <c r="V2091" t="s">
        <v>42</v>
      </c>
      <c r="X2091" t="s">
        <v>74</v>
      </c>
      <c r="Y2091" t="b">
        <v>0</v>
      </c>
      <c r="Z2091" t="b">
        <v>0</v>
      </c>
      <c r="AC2091" s="1"/>
      <c r="AF2091">
        <v>0</v>
      </c>
      <c r="AG2091">
        <v>45</v>
      </c>
      <c r="AH2091">
        <v>73</v>
      </c>
      <c r="AI2091" s="2">
        <f>Table__192.168.3.138DYLAgingReport[[#This Row],[NetAmount]]-Table__192.168.3.138DYLAgingReport[[#This Row],[Paid]]</f>
        <v>35500</v>
      </c>
    </row>
    <row r="2092" spans="1:35">
      <c r="A2092" t="s">
        <v>4323</v>
      </c>
      <c r="B2092" s="1">
        <v>41213</v>
      </c>
      <c r="C2092" s="1">
        <v>41258</v>
      </c>
      <c r="D2092" t="s">
        <v>262</v>
      </c>
      <c r="E2092">
        <v>510000</v>
      </c>
      <c r="F2092">
        <v>81600</v>
      </c>
      <c r="G2092">
        <v>0</v>
      </c>
      <c r="H2092">
        <v>0</v>
      </c>
      <c r="I2092">
        <v>69</v>
      </c>
      <c r="J2092">
        <v>591600</v>
      </c>
      <c r="K2092" t="s">
        <v>2561</v>
      </c>
      <c r="L2092" s="1">
        <v>41199</v>
      </c>
      <c r="N2092" t="s">
        <v>36</v>
      </c>
      <c r="O2092" t="s">
        <v>37</v>
      </c>
      <c r="P2092" t="s">
        <v>399</v>
      </c>
      <c r="Q2092" t="s">
        <v>39</v>
      </c>
      <c r="R2092" t="s">
        <v>40</v>
      </c>
      <c r="S2092">
        <v>0</v>
      </c>
      <c r="U2092" t="s">
        <v>41</v>
      </c>
      <c r="V2092" t="s">
        <v>42</v>
      </c>
      <c r="X2092" t="s">
        <v>74</v>
      </c>
      <c r="Y2092" t="b">
        <v>0</v>
      </c>
      <c r="Z2092" t="b">
        <v>0</v>
      </c>
      <c r="AC2092" s="1"/>
      <c r="AF2092">
        <v>0</v>
      </c>
      <c r="AG2092">
        <v>45</v>
      </c>
      <c r="AH2092">
        <v>114</v>
      </c>
      <c r="AI2092" s="2">
        <f>Table__192.168.3.138DYLAgingReport[[#This Row],[NetAmount]]-Table__192.168.3.138DYLAgingReport[[#This Row],[Paid]]</f>
        <v>591600</v>
      </c>
    </row>
    <row r="2093" spans="1:35">
      <c r="A2093" t="s">
        <v>4324</v>
      </c>
      <c r="B2093" s="1">
        <v>41241</v>
      </c>
      <c r="C2093" s="1">
        <v>41286</v>
      </c>
      <c r="D2093" t="s">
        <v>262</v>
      </c>
      <c r="E2093">
        <v>510000</v>
      </c>
      <c r="F2093">
        <v>81600</v>
      </c>
      <c r="G2093">
        <v>0</v>
      </c>
      <c r="H2093">
        <v>0</v>
      </c>
      <c r="I2093">
        <v>27</v>
      </c>
      <c r="J2093">
        <v>591600</v>
      </c>
      <c r="K2093" t="s">
        <v>3866</v>
      </c>
      <c r="L2093" s="1">
        <v>41241</v>
      </c>
      <c r="N2093" t="s">
        <v>36</v>
      </c>
      <c r="O2093" t="s">
        <v>37</v>
      </c>
      <c r="P2093" t="s">
        <v>399</v>
      </c>
      <c r="Q2093" t="s">
        <v>39</v>
      </c>
      <c r="R2093" t="s">
        <v>40</v>
      </c>
      <c r="S2093">
        <v>0</v>
      </c>
      <c r="U2093" t="s">
        <v>41</v>
      </c>
      <c r="V2093" t="s">
        <v>42</v>
      </c>
      <c r="X2093" t="s">
        <v>74</v>
      </c>
      <c r="Y2093" t="b">
        <v>0</v>
      </c>
      <c r="Z2093" t="b">
        <v>0</v>
      </c>
      <c r="AC2093" s="1"/>
      <c r="AF2093">
        <v>0</v>
      </c>
      <c r="AG2093">
        <v>45</v>
      </c>
      <c r="AH2093">
        <v>72</v>
      </c>
      <c r="AI2093" s="2">
        <f>Table__192.168.3.138DYLAgingReport[[#This Row],[NetAmount]]-Table__192.168.3.138DYLAgingReport[[#This Row],[Paid]]</f>
        <v>591600</v>
      </c>
    </row>
    <row r="2094" spans="1:35">
      <c r="A2094" t="s">
        <v>4325</v>
      </c>
      <c r="B2094" s="1">
        <v>41235</v>
      </c>
      <c r="C2094" s="1">
        <v>41280</v>
      </c>
      <c r="D2094" t="s">
        <v>266</v>
      </c>
      <c r="E2094">
        <v>162000</v>
      </c>
      <c r="F2094">
        <v>25920</v>
      </c>
      <c r="G2094">
        <v>0</v>
      </c>
      <c r="H2094">
        <v>0</v>
      </c>
      <c r="I2094">
        <v>38</v>
      </c>
      <c r="J2094">
        <v>187920</v>
      </c>
      <c r="K2094" t="s">
        <v>1232</v>
      </c>
      <c r="L2094" s="1">
        <v>41230</v>
      </c>
      <c r="N2094" t="s">
        <v>36</v>
      </c>
      <c r="O2094" t="s">
        <v>37</v>
      </c>
      <c r="P2094" t="s">
        <v>403</v>
      </c>
      <c r="Q2094" t="s">
        <v>39</v>
      </c>
      <c r="R2094" t="s">
        <v>40</v>
      </c>
      <c r="S2094">
        <v>0</v>
      </c>
      <c r="U2094" t="s">
        <v>41</v>
      </c>
      <c r="V2094" t="s">
        <v>42</v>
      </c>
      <c r="X2094" t="s">
        <v>74</v>
      </c>
      <c r="Y2094" t="b">
        <v>0</v>
      </c>
      <c r="Z2094" t="b">
        <v>0</v>
      </c>
      <c r="AB2094" t="s">
        <v>4208</v>
      </c>
      <c r="AC2094" s="1">
        <v>41296</v>
      </c>
      <c r="AF2094">
        <v>0</v>
      </c>
      <c r="AG2094">
        <v>45</v>
      </c>
      <c r="AH2094">
        <v>83</v>
      </c>
      <c r="AI2094" s="2">
        <f>Table__192.168.3.138DYLAgingReport[[#This Row],[NetAmount]]-Table__192.168.3.138DYLAgingReport[[#This Row],[Paid]]</f>
        <v>187920</v>
      </c>
    </row>
    <row r="2095" spans="1:35">
      <c r="A2095" t="s">
        <v>4326</v>
      </c>
      <c r="B2095" s="1">
        <v>41242</v>
      </c>
      <c r="C2095" s="1">
        <v>41287</v>
      </c>
      <c r="D2095" t="s">
        <v>251</v>
      </c>
      <c r="E2095">
        <v>291450</v>
      </c>
      <c r="F2095">
        <v>46632</v>
      </c>
      <c r="G2095">
        <v>0</v>
      </c>
      <c r="H2095">
        <v>0</v>
      </c>
      <c r="I2095">
        <v>25</v>
      </c>
      <c r="J2095">
        <v>338082</v>
      </c>
      <c r="K2095" t="s">
        <v>4327</v>
      </c>
      <c r="L2095" s="1">
        <v>41243</v>
      </c>
      <c r="N2095" t="s">
        <v>36</v>
      </c>
      <c r="O2095" t="s">
        <v>37</v>
      </c>
      <c r="P2095" t="s">
        <v>388</v>
      </c>
      <c r="Q2095" t="s">
        <v>39</v>
      </c>
      <c r="R2095" t="s">
        <v>40</v>
      </c>
      <c r="S2095">
        <v>0</v>
      </c>
      <c r="U2095" t="s">
        <v>41</v>
      </c>
      <c r="V2095" t="s">
        <v>42</v>
      </c>
      <c r="X2095" t="s">
        <v>74</v>
      </c>
      <c r="Y2095" t="b">
        <v>0</v>
      </c>
      <c r="Z2095" t="b">
        <v>0</v>
      </c>
      <c r="AC2095" s="1"/>
      <c r="AF2095">
        <v>0</v>
      </c>
      <c r="AG2095">
        <v>45</v>
      </c>
      <c r="AH2095">
        <v>70</v>
      </c>
      <c r="AI2095" s="2">
        <f>Table__192.168.3.138DYLAgingReport[[#This Row],[NetAmount]]-Table__192.168.3.138DYLAgingReport[[#This Row],[Paid]]</f>
        <v>338082</v>
      </c>
    </row>
    <row r="2096" spans="1:35">
      <c r="A2096" t="s">
        <v>4328</v>
      </c>
      <c r="B2096" s="1">
        <v>41234</v>
      </c>
      <c r="C2096" s="1">
        <v>41279</v>
      </c>
      <c r="D2096" t="s">
        <v>251</v>
      </c>
      <c r="E2096">
        <v>210750</v>
      </c>
      <c r="F2096">
        <v>33720</v>
      </c>
      <c r="G2096">
        <v>0</v>
      </c>
      <c r="H2096">
        <v>0</v>
      </c>
      <c r="I2096">
        <v>32</v>
      </c>
      <c r="J2096">
        <v>244470</v>
      </c>
      <c r="K2096" t="s">
        <v>4093</v>
      </c>
      <c r="L2096" s="1">
        <v>41236</v>
      </c>
      <c r="N2096" t="s">
        <v>36</v>
      </c>
      <c r="O2096" t="s">
        <v>37</v>
      </c>
      <c r="P2096" t="s">
        <v>388</v>
      </c>
      <c r="Q2096" t="s">
        <v>39</v>
      </c>
      <c r="R2096" t="s">
        <v>40</v>
      </c>
      <c r="S2096">
        <v>0</v>
      </c>
      <c r="U2096" t="s">
        <v>41</v>
      </c>
      <c r="V2096" t="s">
        <v>42</v>
      </c>
      <c r="X2096" t="s">
        <v>74</v>
      </c>
      <c r="Y2096" t="b">
        <v>0</v>
      </c>
      <c r="Z2096" t="b">
        <v>0</v>
      </c>
      <c r="AC2096" s="1"/>
      <c r="AF2096">
        <v>0</v>
      </c>
      <c r="AG2096">
        <v>45</v>
      </c>
      <c r="AH2096">
        <v>77</v>
      </c>
      <c r="AI2096" s="2">
        <f>Table__192.168.3.138DYLAgingReport[[#This Row],[NetAmount]]-Table__192.168.3.138DYLAgingReport[[#This Row],[Paid]]</f>
        <v>244470</v>
      </c>
    </row>
    <row r="2097" spans="1:35">
      <c r="A2097" t="s">
        <v>4329</v>
      </c>
      <c r="B2097" s="1">
        <v>41233</v>
      </c>
      <c r="C2097" s="1">
        <v>41278</v>
      </c>
      <c r="D2097" t="s">
        <v>251</v>
      </c>
      <c r="E2097">
        <v>220040</v>
      </c>
      <c r="F2097">
        <v>35206</v>
      </c>
      <c r="G2097">
        <v>0</v>
      </c>
      <c r="H2097">
        <v>0</v>
      </c>
      <c r="I2097">
        <v>34</v>
      </c>
      <c r="J2097">
        <v>255246</v>
      </c>
      <c r="K2097" t="s">
        <v>4330</v>
      </c>
      <c r="L2097" s="1">
        <v>41234</v>
      </c>
      <c r="N2097" t="s">
        <v>36</v>
      </c>
      <c r="O2097" t="s">
        <v>37</v>
      </c>
      <c r="P2097" t="s">
        <v>388</v>
      </c>
      <c r="Q2097" t="s">
        <v>39</v>
      </c>
      <c r="R2097" t="s">
        <v>40</v>
      </c>
      <c r="S2097">
        <v>0</v>
      </c>
      <c r="U2097" t="s">
        <v>41</v>
      </c>
      <c r="V2097" t="s">
        <v>42</v>
      </c>
      <c r="X2097" t="s">
        <v>74</v>
      </c>
      <c r="Y2097" t="b">
        <v>0</v>
      </c>
      <c r="Z2097" t="b">
        <v>0</v>
      </c>
      <c r="AC2097" s="1"/>
      <c r="AF2097">
        <v>0</v>
      </c>
      <c r="AG2097">
        <v>45</v>
      </c>
      <c r="AH2097">
        <v>79</v>
      </c>
      <c r="AI2097" s="2">
        <f>Table__192.168.3.138DYLAgingReport[[#This Row],[NetAmount]]-Table__192.168.3.138DYLAgingReport[[#This Row],[Paid]]</f>
        <v>255246</v>
      </c>
    </row>
    <row r="2098" spans="1:35">
      <c r="A2098" t="s">
        <v>4331</v>
      </c>
      <c r="B2098" s="1">
        <v>41236</v>
      </c>
      <c r="C2098" s="1">
        <v>41281</v>
      </c>
      <c r="D2098" t="s">
        <v>251</v>
      </c>
      <c r="E2098">
        <v>199840</v>
      </c>
      <c r="F2098">
        <v>31974</v>
      </c>
      <c r="G2098">
        <v>0</v>
      </c>
      <c r="H2098">
        <v>0</v>
      </c>
      <c r="I2098">
        <v>29</v>
      </c>
      <c r="J2098">
        <v>231814</v>
      </c>
      <c r="K2098" t="s">
        <v>4332</v>
      </c>
      <c r="L2098" s="1">
        <v>41239</v>
      </c>
      <c r="N2098" t="s">
        <v>36</v>
      </c>
      <c r="O2098" t="s">
        <v>37</v>
      </c>
      <c r="P2098" t="s">
        <v>388</v>
      </c>
      <c r="Q2098" t="s">
        <v>39</v>
      </c>
      <c r="R2098" t="s">
        <v>40</v>
      </c>
      <c r="S2098">
        <v>0</v>
      </c>
      <c r="U2098" t="s">
        <v>41</v>
      </c>
      <c r="V2098" t="s">
        <v>42</v>
      </c>
      <c r="X2098" t="s">
        <v>74</v>
      </c>
      <c r="Y2098" t="b">
        <v>0</v>
      </c>
      <c r="Z2098" t="b">
        <v>0</v>
      </c>
      <c r="AC2098" s="1"/>
      <c r="AF2098">
        <v>0</v>
      </c>
      <c r="AG2098">
        <v>45</v>
      </c>
      <c r="AH2098">
        <v>74</v>
      </c>
      <c r="AI2098" s="2">
        <f>Table__192.168.3.138DYLAgingReport[[#This Row],[NetAmount]]-Table__192.168.3.138DYLAgingReport[[#This Row],[Paid]]</f>
        <v>231814</v>
      </c>
    </row>
    <row r="2099" spans="1:35">
      <c r="A2099" t="s">
        <v>4333</v>
      </c>
      <c r="B2099" s="1">
        <v>41236</v>
      </c>
      <c r="C2099" s="1">
        <v>41236</v>
      </c>
      <c r="D2099" t="s">
        <v>291</v>
      </c>
      <c r="E2099">
        <v>30700</v>
      </c>
      <c r="F2099">
        <v>4912</v>
      </c>
      <c r="G2099">
        <v>0</v>
      </c>
      <c r="H2099">
        <v>0</v>
      </c>
      <c r="I2099">
        <v>33</v>
      </c>
      <c r="J2099">
        <v>35612</v>
      </c>
      <c r="K2099" t="s">
        <v>4334</v>
      </c>
      <c r="L2099" s="1">
        <v>41235</v>
      </c>
      <c r="N2099" t="s">
        <v>36</v>
      </c>
      <c r="O2099" t="s">
        <v>37</v>
      </c>
      <c r="P2099" t="s">
        <v>428</v>
      </c>
      <c r="Q2099" t="s">
        <v>39</v>
      </c>
      <c r="R2099" t="s">
        <v>40</v>
      </c>
      <c r="S2099">
        <v>0</v>
      </c>
      <c r="U2099" t="s">
        <v>41</v>
      </c>
      <c r="V2099" t="s">
        <v>42</v>
      </c>
      <c r="X2099" t="s">
        <v>74</v>
      </c>
      <c r="Y2099" t="b">
        <v>0</v>
      </c>
      <c r="Z2099" t="b">
        <v>0</v>
      </c>
      <c r="AC2099" s="1"/>
      <c r="AF2099">
        <v>0</v>
      </c>
      <c r="AG2099">
        <v>45</v>
      </c>
      <c r="AH2099">
        <v>78</v>
      </c>
      <c r="AI2099" s="2">
        <f>Table__192.168.3.138DYLAgingReport[[#This Row],[NetAmount]]-Table__192.168.3.138DYLAgingReport[[#This Row],[Paid]]</f>
        <v>35612</v>
      </c>
    </row>
    <row r="2100" spans="1:35">
      <c r="A2100" t="s">
        <v>4335</v>
      </c>
      <c r="B2100" s="1">
        <v>41241</v>
      </c>
      <c r="C2100" s="1">
        <v>41241</v>
      </c>
      <c r="D2100" t="s">
        <v>291</v>
      </c>
      <c r="E2100">
        <v>25100</v>
      </c>
      <c r="F2100">
        <v>4016</v>
      </c>
      <c r="G2100">
        <v>0</v>
      </c>
      <c r="H2100">
        <v>0</v>
      </c>
      <c r="I2100">
        <v>28</v>
      </c>
      <c r="J2100">
        <v>29116</v>
      </c>
      <c r="K2100" t="s">
        <v>1817</v>
      </c>
      <c r="L2100" s="1">
        <v>41240</v>
      </c>
      <c r="N2100" t="s">
        <v>36</v>
      </c>
      <c r="O2100" t="s">
        <v>37</v>
      </c>
      <c r="P2100" t="s">
        <v>428</v>
      </c>
      <c r="Q2100" t="s">
        <v>39</v>
      </c>
      <c r="R2100" t="s">
        <v>40</v>
      </c>
      <c r="S2100">
        <v>0</v>
      </c>
      <c r="U2100" t="s">
        <v>41</v>
      </c>
      <c r="V2100" t="s">
        <v>42</v>
      </c>
      <c r="X2100" t="s">
        <v>74</v>
      </c>
      <c r="Y2100" t="b">
        <v>0</v>
      </c>
      <c r="Z2100" t="b">
        <v>0</v>
      </c>
      <c r="AC2100" s="1"/>
      <c r="AF2100">
        <v>0</v>
      </c>
      <c r="AG2100">
        <v>45</v>
      </c>
      <c r="AH2100">
        <v>73</v>
      </c>
      <c r="AI2100" s="2">
        <f>Table__192.168.3.138DYLAgingReport[[#This Row],[NetAmount]]-Table__192.168.3.138DYLAgingReport[[#This Row],[Paid]]</f>
        <v>29116</v>
      </c>
    </row>
    <row r="2101" spans="1:35">
      <c r="A2101" t="s">
        <v>4336</v>
      </c>
      <c r="B2101" s="1">
        <v>41231</v>
      </c>
      <c r="C2101" s="1">
        <v>41231</v>
      </c>
      <c r="D2101" t="s">
        <v>291</v>
      </c>
      <c r="E2101">
        <v>21500</v>
      </c>
      <c r="F2101">
        <v>3440</v>
      </c>
      <c r="G2101">
        <v>0</v>
      </c>
      <c r="H2101">
        <v>0</v>
      </c>
      <c r="I2101">
        <v>38</v>
      </c>
      <c r="J2101">
        <v>24940</v>
      </c>
      <c r="K2101" t="s">
        <v>4337</v>
      </c>
      <c r="L2101" s="1">
        <v>41230</v>
      </c>
      <c r="N2101" t="s">
        <v>36</v>
      </c>
      <c r="O2101" t="s">
        <v>37</v>
      </c>
      <c r="P2101" t="s">
        <v>428</v>
      </c>
      <c r="Q2101" t="s">
        <v>39</v>
      </c>
      <c r="R2101" t="s">
        <v>40</v>
      </c>
      <c r="S2101">
        <v>0</v>
      </c>
      <c r="U2101" t="s">
        <v>41</v>
      </c>
      <c r="V2101" t="s">
        <v>42</v>
      </c>
      <c r="X2101" t="s">
        <v>74</v>
      </c>
      <c r="Y2101" t="b">
        <v>0</v>
      </c>
      <c r="Z2101" t="b">
        <v>0</v>
      </c>
      <c r="AC2101" s="1"/>
      <c r="AF2101">
        <v>0</v>
      </c>
      <c r="AG2101">
        <v>45</v>
      </c>
      <c r="AH2101">
        <v>83</v>
      </c>
      <c r="AI2101" s="2">
        <f>Table__192.168.3.138DYLAgingReport[[#This Row],[NetAmount]]-Table__192.168.3.138DYLAgingReport[[#This Row],[Paid]]</f>
        <v>24940</v>
      </c>
    </row>
    <row r="2102" spans="1:35">
      <c r="A2102" t="s">
        <v>4338</v>
      </c>
      <c r="B2102" s="1">
        <v>41233</v>
      </c>
      <c r="C2102" s="1">
        <v>41278</v>
      </c>
      <c r="D2102" t="s">
        <v>180</v>
      </c>
      <c r="E2102">
        <v>98880</v>
      </c>
      <c r="F2102">
        <v>15821</v>
      </c>
      <c r="G2102">
        <v>0</v>
      </c>
      <c r="H2102">
        <v>0</v>
      </c>
      <c r="I2102">
        <v>36</v>
      </c>
      <c r="J2102">
        <v>114701</v>
      </c>
      <c r="K2102" t="s">
        <v>4339</v>
      </c>
      <c r="L2102" s="1">
        <v>41232</v>
      </c>
      <c r="N2102" t="s">
        <v>36</v>
      </c>
      <c r="O2102" t="s">
        <v>37</v>
      </c>
      <c r="P2102" t="s">
        <v>317</v>
      </c>
      <c r="Q2102" t="s">
        <v>39</v>
      </c>
      <c r="R2102" t="s">
        <v>40</v>
      </c>
      <c r="S2102">
        <v>0</v>
      </c>
      <c r="U2102" t="s">
        <v>41</v>
      </c>
      <c r="V2102" t="s">
        <v>42</v>
      </c>
      <c r="X2102" t="s">
        <v>74</v>
      </c>
      <c r="Y2102" t="b">
        <v>0</v>
      </c>
      <c r="Z2102" t="b">
        <v>0</v>
      </c>
      <c r="AC2102" s="1"/>
      <c r="AF2102">
        <v>0</v>
      </c>
      <c r="AG2102">
        <v>45</v>
      </c>
      <c r="AH2102">
        <v>81</v>
      </c>
      <c r="AI2102" s="2">
        <f>Table__192.168.3.138DYLAgingReport[[#This Row],[NetAmount]]-Table__192.168.3.138DYLAgingReport[[#This Row],[Paid]]</f>
        <v>114701</v>
      </c>
    </row>
    <row r="2103" spans="1:35">
      <c r="A2103" t="s">
        <v>4340</v>
      </c>
      <c r="B2103" s="1">
        <v>41243</v>
      </c>
      <c r="C2103" s="1">
        <v>41288</v>
      </c>
      <c r="D2103" t="s">
        <v>243</v>
      </c>
      <c r="E2103">
        <v>42510</v>
      </c>
      <c r="F2103">
        <v>0</v>
      </c>
      <c r="G2103">
        <v>0</v>
      </c>
      <c r="H2103">
        <v>0</v>
      </c>
      <c r="I2103">
        <v>25</v>
      </c>
      <c r="J2103">
        <v>42510</v>
      </c>
      <c r="K2103" t="s">
        <v>4341</v>
      </c>
      <c r="L2103" s="1">
        <v>41243</v>
      </c>
      <c r="N2103" t="s">
        <v>36</v>
      </c>
      <c r="O2103" t="s">
        <v>37</v>
      </c>
      <c r="P2103" t="s">
        <v>380</v>
      </c>
      <c r="Q2103" t="s">
        <v>39</v>
      </c>
      <c r="R2103" t="s">
        <v>40</v>
      </c>
      <c r="S2103">
        <v>0</v>
      </c>
      <c r="U2103" t="s">
        <v>41</v>
      </c>
      <c r="V2103" t="s">
        <v>42</v>
      </c>
      <c r="X2103" t="s">
        <v>74</v>
      </c>
      <c r="Y2103" t="b">
        <v>0</v>
      </c>
      <c r="Z2103" t="b">
        <v>0</v>
      </c>
      <c r="AC2103" s="1"/>
      <c r="AF2103">
        <v>0</v>
      </c>
      <c r="AG2103">
        <v>45</v>
      </c>
      <c r="AH2103">
        <v>70</v>
      </c>
      <c r="AI2103" s="2">
        <f>Table__192.168.3.138DYLAgingReport[[#This Row],[NetAmount]]-Table__192.168.3.138DYLAgingReport[[#This Row],[Paid]]</f>
        <v>42510</v>
      </c>
    </row>
    <row r="2104" spans="1:35">
      <c r="A2104" t="s">
        <v>4342</v>
      </c>
      <c r="B2104" s="1">
        <v>41230</v>
      </c>
      <c r="C2104" s="1">
        <v>41275</v>
      </c>
      <c r="D2104" t="s">
        <v>243</v>
      </c>
      <c r="E2104">
        <v>2835</v>
      </c>
      <c r="F2104">
        <v>0</v>
      </c>
      <c r="G2104">
        <v>0</v>
      </c>
      <c r="H2104">
        <v>0</v>
      </c>
      <c r="I2104">
        <v>38</v>
      </c>
      <c r="J2104">
        <v>2835</v>
      </c>
      <c r="K2104" t="s">
        <v>4343</v>
      </c>
      <c r="L2104" s="1">
        <v>41230</v>
      </c>
      <c r="N2104" t="s">
        <v>36</v>
      </c>
      <c r="O2104" t="s">
        <v>37</v>
      </c>
      <c r="P2104" t="s">
        <v>380</v>
      </c>
      <c r="Q2104" t="s">
        <v>39</v>
      </c>
      <c r="R2104" t="s">
        <v>40</v>
      </c>
      <c r="S2104">
        <v>0</v>
      </c>
      <c r="U2104" t="s">
        <v>41</v>
      </c>
      <c r="V2104" t="s">
        <v>42</v>
      </c>
      <c r="X2104" t="s">
        <v>74</v>
      </c>
      <c r="Y2104" t="b">
        <v>0</v>
      </c>
      <c r="Z2104" t="b">
        <v>0</v>
      </c>
      <c r="AC2104" s="1"/>
      <c r="AF2104">
        <v>0</v>
      </c>
      <c r="AG2104">
        <v>45</v>
      </c>
      <c r="AH2104">
        <v>83</v>
      </c>
      <c r="AI2104" s="2">
        <f>Table__192.168.3.138DYLAgingReport[[#This Row],[NetAmount]]-Table__192.168.3.138DYLAgingReport[[#This Row],[Paid]]</f>
        <v>2835</v>
      </c>
    </row>
    <row r="2105" spans="1:35">
      <c r="A2105" t="s">
        <v>4344</v>
      </c>
      <c r="B2105" s="1">
        <v>41235</v>
      </c>
      <c r="C2105" s="1">
        <v>41280</v>
      </c>
      <c r="D2105" t="s">
        <v>208</v>
      </c>
      <c r="E2105">
        <v>11400</v>
      </c>
      <c r="F2105">
        <v>1824</v>
      </c>
      <c r="G2105">
        <v>0</v>
      </c>
      <c r="H2105">
        <v>0</v>
      </c>
      <c r="I2105">
        <v>33</v>
      </c>
      <c r="J2105">
        <v>13224</v>
      </c>
      <c r="K2105" t="s">
        <v>1185</v>
      </c>
      <c r="L2105" s="1">
        <v>41235</v>
      </c>
      <c r="N2105" t="s">
        <v>36</v>
      </c>
      <c r="O2105" t="s">
        <v>37</v>
      </c>
      <c r="P2105" t="s">
        <v>345</v>
      </c>
      <c r="Q2105" t="s">
        <v>39</v>
      </c>
      <c r="R2105" t="s">
        <v>40</v>
      </c>
      <c r="S2105">
        <v>0</v>
      </c>
      <c r="U2105" t="s">
        <v>41</v>
      </c>
      <c r="V2105" t="s">
        <v>42</v>
      </c>
      <c r="X2105" t="s">
        <v>74</v>
      </c>
      <c r="Y2105" t="b">
        <v>0</v>
      </c>
      <c r="Z2105" t="b">
        <v>0</v>
      </c>
      <c r="AC2105" s="1"/>
      <c r="AF2105">
        <v>0</v>
      </c>
      <c r="AG2105">
        <v>45</v>
      </c>
      <c r="AH2105">
        <v>78</v>
      </c>
      <c r="AI2105" s="2">
        <f>Table__192.168.3.138DYLAgingReport[[#This Row],[NetAmount]]-Table__192.168.3.138DYLAgingReport[[#This Row],[Paid]]</f>
        <v>13224</v>
      </c>
    </row>
    <row r="2106" spans="1:35">
      <c r="A2106" t="s">
        <v>4345</v>
      </c>
      <c r="B2106" s="1">
        <v>41239</v>
      </c>
      <c r="C2106" s="1">
        <v>41239</v>
      </c>
      <c r="D2106" t="s">
        <v>296</v>
      </c>
      <c r="E2106">
        <v>14950</v>
      </c>
      <c r="F2106">
        <v>2392</v>
      </c>
      <c r="G2106">
        <v>0</v>
      </c>
      <c r="H2106">
        <v>0</v>
      </c>
      <c r="I2106">
        <v>29</v>
      </c>
      <c r="J2106">
        <v>17342</v>
      </c>
      <c r="K2106" t="s">
        <v>4346</v>
      </c>
      <c r="L2106" s="1">
        <v>41239</v>
      </c>
      <c r="N2106" t="s">
        <v>36</v>
      </c>
      <c r="O2106" t="s">
        <v>37</v>
      </c>
      <c r="P2106" t="s">
        <v>433</v>
      </c>
      <c r="Q2106" t="s">
        <v>39</v>
      </c>
      <c r="R2106" t="s">
        <v>40</v>
      </c>
      <c r="S2106">
        <v>0</v>
      </c>
      <c r="U2106" t="s">
        <v>41</v>
      </c>
      <c r="V2106" t="s">
        <v>42</v>
      </c>
      <c r="X2106" t="s">
        <v>74</v>
      </c>
      <c r="Y2106" t="b">
        <v>0</v>
      </c>
      <c r="Z2106" t="b">
        <v>0</v>
      </c>
      <c r="AC2106" s="1"/>
      <c r="AF2106">
        <v>0</v>
      </c>
      <c r="AG2106">
        <v>45</v>
      </c>
      <c r="AH2106">
        <v>74</v>
      </c>
      <c r="AI2106" s="2">
        <f>Table__192.168.3.138DYLAgingReport[[#This Row],[NetAmount]]-Table__192.168.3.138DYLAgingReport[[#This Row],[Paid]]</f>
        <v>17342</v>
      </c>
    </row>
    <row r="2107" spans="1:35">
      <c r="A2107" t="s">
        <v>4347</v>
      </c>
      <c r="B2107" s="1">
        <v>41229</v>
      </c>
      <c r="C2107" s="1">
        <v>41274</v>
      </c>
      <c r="D2107" t="s">
        <v>175</v>
      </c>
      <c r="E2107">
        <v>4320</v>
      </c>
      <c r="F2107">
        <v>691</v>
      </c>
      <c r="G2107">
        <v>0</v>
      </c>
      <c r="H2107">
        <v>0</v>
      </c>
      <c r="I2107">
        <v>39</v>
      </c>
      <c r="J2107">
        <v>5011</v>
      </c>
      <c r="K2107" t="s">
        <v>4348</v>
      </c>
      <c r="L2107" s="1">
        <v>41229</v>
      </c>
      <c r="N2107" t="s">
        <v>36</v>
      </c>
      <c r="O2107" t="s">
        <v>37</v>
      </c>
      <c r="P2107" t="s">
        <v>312</v>
      </c>
      <c r="Q2107" t="s">
        <v>39</v>
      </c>
      <c r="R2107" t="s">
        <v>40</v>
      </c>
      <c r="S2107">
        <v>0</v>
      </c>
      <c r="U2107" t="s">
        <v>41</v>
      </c>
      <c r="V2107" t="s">
        <v>42</v>
      </c>
      <c r="X2107" t="s">
        <v>74</v>
      </c>
      <c r="Y2107" t="b">
        <v>0</v>
      </c>
      <c r="Z2107" t="b">
        <v>0</v>
      </c>
      <c r="AC2107" s="1"/>
      <c r="AF2107">
        <v>0</v>
      </c>
      <c r="AG2107">
        <v>45</v>
      </c>
      <c r="AH2107">
        <v>84</v>
      </c>
      <c r="AI2107" s="2">
        <f>Table__192.168.3.138DYLAgingReport[[#This Row],[NetAmount]]-Table__192.168.3.138DYLAgingReport[[#This Row],[Paid]]</f>
        <v>5011</v>
      </c>
    </row>
    <row r="2108" spans="1:35">
      <c r="A2108" t="s">
        <v>4349</v>
      </c>
      <c r="B2108" s="1">
        <v>41232</v>
      </c>
      <c r="C2108" s="1">
        <v>41277</v>
      </c>
      <c r="D2108" t="s">
        <v>175</v>
      </c>
      <c r="E2108">
        <v>207800</v>
      </c>
      <c r="F2108">
        <v>33248</v>
      </c>
      <c r="G2108">
        <v>0</v>
      </c>
      <c r="H2108">
        <v>0</v>
      </c>
      <c r="I2108">
        <v>36</v>
      </c>
      <c r="J2108">
        <v>241048</v>
      </c>
      <c r="K2108" t="s">
        <v>891</v>
      </c>
      <c r="L2108" s="1">
        <v>41232</v>
      </c>
      <c r="N2108" t="s">
        <v>36</v>
      </c>
      <c r="O2108" t="s">
        <v>37</v>
      </c>
      <c r="P2108" t="s">
        <v>312</v>
      </c>
      <c r="Q2108" t="s">
        <v>39</v>
      </c>
      <c r="R2108" t="s">
        <v>40</v>
      </c>
      <c r="S2108">
        <v>0</v>
      </c>
      <c r="U2108" t="s">
        <v>41</v>
      </c>
      <c r="V2108" t="s">
        <v>42</v>
      </c>
      <c r="X2108" t="s">
        <v>74</v>
      </c>
      <c r="Y2108" t="b">
        <v>0</v>
      </c>
      <c r="Z2108" t="b">
        <v>0</v>
      </c>
      <c r="AC2108" s="1"/>
      <c r="AF2108">
        <v>0</v>
      </c>
      <c r="AG2108">
        <v>45</v>
      </c>
      <c r="AH2108">
        <v>81</v>
      </c>
      <c r="AI2108" s="2">
        <f>Table__192.168.3.138DYLAgingReport[[#This Row],[NetAmount]]-Table__192.168.3.138DYLAgingReport[[#This Row],[Paid]]</f>
        <v>241048</v>
      </c>
    </row>
    <row r="2109" spans="1:35">
      <c r="A2109" t="s">
        <v>147</v>
      </c>
      <c r="B2109" s="1">
        <v>41232</v>
      </c>
      <c r="C2109" s="1">
        <v>41277</v>
      </c>
      <c r="D2109" t="s">
        <v>35</v>
      </c>
      <c r="E2109">
        <v>120000</v>
      </c>
      <c r="F2109">
        <v>19200</v>
      </c>
      <c r="G2109">
        <v>0</v>
      </c>
      <c r="H2109">
        <v>0</v>
      </c>
      <c r="I2109">
        <v>40</v>
      </c>
      <c r="J2109">
        <v>139200</v>
      </c>
      <c r="K2109" t="s">
        <v>148</v>
      </c>
      <c r="L2109" s="1">
        <v>41228</v>
      </c>
      <c r="N2109" t="s">
        <v>36</v>
      </c>
      <c r="O2109" t="s">
        <v>37</v>
      </c>
      <c r="P2109" t="s">
        <v>38</v>
      </c>
      <c r="Q2109" t="s">
        <v>39</v>
      </c>
      <c r="R2109" t="s">
        <v>40</v>
      </c>
      <c r="S2109">
        <v>0</v>
      </c>
      <c r="U2109" t="s">
        <v>41</v>
      </c>
      <c r="V2109" t="s">
        <v>42</v>
      </c>
      <c r="X2109" t="s">
        <v>74</v>
      </c>
      <c r="Y2109" t="b">
        <v>0</v>
      </c>
      <c r="Z2109" t="b">
        <v>0</v>
      </c>
      <c r="AC2109" s="1"/>
      <c r="AF2109">
        <v>0</v>
      </c>
      <c r="AG2109">
        <v>45</v>
      </c>
      <c r="AH2109">
        <v>85</v>
      </c>
      <c r="AI2109" s="2">
        <f>Table__192.168.3.138DYLAgingReport[[#This Row],[NetAmount]]-Table__192.168.3.138DYLAgingReport[[#This Row],[Paid]]</f>
        <v>139200</v>
      </c>
    </row>
    <row r="2110" spans="1:35">
      <c r="A2110" t="s">
        <v>4350</v>
      </c>
      <c r="B2110" s="1">
        <v>41230</v>
      </c>
      <c r="C2110" s="1">
        <v>41275</v>
      </c>
      <c r="D2110" t="s">
        <v>259</v>
      </c>
      <c r="E2110">
        <v>8164</v>
      </c>
      <c r="F2110">
        <v>1306</v>
      </c>
      <c r="G2110">
        <v>0</v>
      </c>
      <c r="H2110">
        <v>0</v>
      </c>
      <c r="I2110">
        <v>38</v>
      </c>
      <c r="J2110">
        <v>9470</v>
      </c>
      <c r="K2110" t="s">
        <v>4351</v>
      </c>
      <c r="L2110" s="1">
        <v>41230</v>
      </c>
      <c r="N2110" t="s">
        <v>36</v>
      </c>
      <c r="O2110" t="s">
        <v>37</v>
      </c>
      <c r="P2110" t="s">
        <v>396</v>
      </c>
      <c r="Q2110" t="s">
        <v>39</v>
      </c>
      <c r="R2110" t="s">
        <v>40</v>
      </c>
      <c r="S2110">
        <v>0</v>
      </c>
      <c r="U2110" t="s">
        <v>41</v>
      </c>
      <c r="V2110" t="s">
        <v>42</v>
      </c>
      <c r="X2110" t="s">
        <v>74</v>
      </c>
      <c r="Y2110" t="b">
        <v>0</v>
      </c>
      <c r="Z2110" t="b">
        <v>0</v>
      </c>
      <c r="AC2110" s="1"/>
      <c r="AF2110">
        <v>0</v>
      </c>
      <c r="AG2110">
        <v>45</v>
      </c>
      <c r="AH2110">
        <v>83</v>
      </c>
      <c r="AI2110" s="2">
        <f>Table__192.168.3.138DYLAgingReport[[#This Row],[NetAmount]]-Table__192.168.3.138DYLAgingReport[[#This Row],[Paid]]</f>
        <v>9470</v>
      </c>
    </row>
    <row r="2111" spans="1:35">
      <c r="A2111" t="s">
        <v>4352</v>
      </c>
      <c r="B2111" s="1">
        <v>41232</v>
      </c>
      <c r="C2111" s="1">
        <v>41277</v>
      </c>
      <c r="D2111" t="s">
        <v>276</v>
      </c>
      <c r="E2111">
        <v>29000</v>
      </c>
      <c r="F2111">
        <v>4640</v>
      </c>
      <c r="G2111">
        <v>0</v>
      </c>
      <c r="H2111">
        <v>0</v>
      </c>
      <c r="I2111">
        <v>36</v>
      </c>
      <c r="J2111">
        <v>33640</v>
      </c>
      <c r="K2111" t="s">
        <v>4353</v>
      </c>
      <c r="L2111" s="1">
        <v>41232</v>
      </c>
      <c r="N2111" t="s">
        <v>36</v>
      </c>
      <c r="O2111" t="s">
        <v>37</v>
      </c>
      <c r="P2111" t="s">
        <v>413</v>
      </c>
      <c r="Q2111" t="s">
        <v>39</v>
      </c>
      <c r="R2111" t="s">
        <v>40</v>
      </c>
      <c r="S2111">
        <v>0</v>
      </c>
      <c r="U2111" t="s">
        <v>41</v>
      </c>
      <c r="V2111" t="s">
        <v>42</v>
      </c>
      <c r="X2111" t="s">
        <v>74</v>
      </c>
      <c r="Y2111" t="b">
        <v>0</v>
      </c>
      <c r="Z2111" t="b">
        <v>0</v>
      </c>
      <c r="AC2111" s="1"/>
      <c r="AF2111">
        <v>0</v>
      </c>
      <c r="AG2111">
        <v>45</v>
      </c>
      <c r="AH2111">
        <v>81</v>
      </c>
      <c r="AI2111" s="2">
        <f>Table__192.168.3.138DYLAgingReport[[#This Row],[NetAmount]]-Table__192.168.3.138DYLAgingReport[[#This Row],[Paid]]</f>
        <v>33640</v>
      </c>
    </row>
    <row r="2112" spans="1:35">
      <c r="A2112" t="s">
        <v>4354</v>
      </c>
      <c r="B2112" s="1">
        <v>41226</v>
      </c>
      <c r="C2112" s="1">
        <v>41271</v>
      </c>
      <c r="D2112" t="s">
        <v>217</v>
      </c>
      <c r="E2112">
        <v>72910</v>
      </c>
      <c r="F2112">
        <v>11666</v>
      </c>
      <c r="G2112">
        <v>0</v>
      </c>
      <c r="H2112">
        <v>0</v>
      </c>
      <c r="I2112">
        <v>48</v>
      </c>
      <c r="J2112">
        <v>84576</v>
      </c>
      <c r="K2112" t="s">
        <v>4355</v>
      </c>
      <c r="L2112" s="1">
        <v>41220</v>
      </c>
      <c r="N2112" t="s">
        <v>36</v>
      </c>
      <c r="O2112" t="s">
        <v>37</v>
      </c>
      <c r="P2112" t="s">
        <v>354</v>
      </c>
      <c r="Q2112" t="s">
        <v>39</v>
      </c>
      <c r="R2112" t="s">
        <v>40</v>
      </c>
      <c r="S2112">
        <v>0</v>
      </c>
      <c r="U2112" t="s">
        <v>41</v>
      </c>
      <c r="V2112" t="s">
        <v>42</v>
      </c>
      <c r="X2112" t="s">
        <v>74</v>
      </c>
      <c r="Y2112" t="b">
        <v>0</v>
      </c>
      <c r="Z2112" t="b">
        <v>0</v>
      </c>
      <c r="AB2112" t="s">
        <v>4356</v>
      </c>
      <c r="AC2112" s="1">
        <v>41253</v>
      </c>
      <c r="AD2112" t="s">
        <v>4357</v>
      </c>
      <c r="AE2112" t="s">
        <v>4358</v>
      </c>
      <c r="AF2112">
        <v>80225</v>
      </c>
      <c r="AG2112">
        <v>45</v>
      </c>
      <c r="AH2112">
        <v>93</v>
      </c>
      <c r="AI2112" s="2">
        <f>Table__192.168.3.138DYLAgingReport[[#This Row],[NetAmount]]-Table__192.168.3.138DYLAgingReport[[#This Row],[Paid]]</f>
        <v>4351</v>
      </c>
    </row>
    <row r="2113" spans="1:35">
      <c r="A2113" t="s">
        <v>4359</v>
      </c>
      <c r="B2113" s="1">
        <v>41239</v>
      </c>
      <c r="C2113" s="1">
        <v>41284</v>
      </c>
      <c r="D2113" t="s">
        <v>242</v>
      </c>
      <c r="E2113">
        <v>9150</v>
      </c>
      <c r="F2113">
        <v>1464</v>
      </c>
      <c r="G2113">
        <v>0</v>
      </c>
      <c r="H2113">
        <v>0</v>
      </c>
      <c r="I2113">
        <v>29</v>
      </c>
      <c r="J2113">
        <v>10614</v>
      </c>
      <c r="K2113" t="s">
        <v>4360</v>
      </c>
      <c r="L2113" s="1">
        <v>41239</v>
      </c>
      <c r="N2113" t="s">
        <v>36</v>
      </c>
      <c r="O2113" t="s">
        <v>37</v>
      </c>
      <c r="P2113" t="s">
        <v>379</v>
      </c>
      <c r="Q2113" t="s">
        <v>39</v>
      </c>
      <c r="R2113" t="s">
        <v>40</v>
      </c>
      <c r="S2113">
        <v>0</v>
      </c>
      <c r="U2113" t="s">
        <v>41</v>
      </c>
      <c r="V2113" t="s">
        <v>42</v>
      </c>
      <c r="X2113" t="s">
        <v>74</v>
      </c>
      <c r="Y2113" t="b">
        <v>0</v>
      </c>
      <c r="Z2113" t="b">
        <v>0</v>
      </c>
      <c r="AC2113" s="1"/>
      <c r="AF2113">
        <v>0</v>
      </c>
      <c r="AG2113">
        <v>45</v>
      </c>
      <c r="AH2113">
        <v>74</v>
      </c>
      <c r="AI2113" s="2">
        <f>Table__192.168.3.138DYLAgingReport[[#This Row],[NetAmount]]-Table__192.168.3.138DYLAgingReport[[#This Row],[Paid]]</f>
        <v>10614</v>
      </c>
    </row>
    <row r="2114" spans="1:35">
      <c r="A2114" t="s">
        <v>4361</v>
      </c>
      <c r="B2114" s="1">
        <v>41235</v>
      </c>
      <c r="C2114" s="1">
        <v>41280</v>
      </c>
      <c r="D2114" t="s">
        <v>242</v>
      </c>
      <c r="E2114">
        <v>84585</v>
      </c>
      <c r="F2114">
        <v>13534</v>
      </c>
      <c r="G2114">
        <v>0</v>
      </c>
      <c r="H2114">
        <v>0</v>
      </c>
      <c r="I2114">
        <v>33</v>
      </c>
      <c r="J2114">
        <v>98119</v>
      </c>
      <c r="K2114" t="s">
        <v>4362</v>
      </c>
      <c r="L2114" s="1">
        <v>41235</v>
      </c>
      <c r="N2114" t="s">
        <v>36</v>
      </c>
      <c r="O2114" t="s">
        <v>37</v>
      </c>
      <c r="P2114" t="s">
        <v>379</v>
      </c>
      <c r="Q2114" t="s">
        <v>39</v>
      </c>
      <c r="R2114" t="s">
        <v>40</v>
      </c>
      <c r="S2114">
        <v>0</v>
      </c>
      <c r="U2114" t="s">
        <v>41</v>
      </c>
      <c r="V2114" t="s">
        <v>42</v>
      </c>
      <c r="X2114" t="s">
        <v>74</v>
      </c>
      <c r="Y2114" t="b">
        <v>0</v>
      </c>
      <c r="Z2114" t="b">
        <v>0</v>
      </c>
      <c r="AC2114" s="1"/>
      <c r="AF2114">
        <v>0</v>
      </c>
      <c r="AG2114">
        <v>45</v>
      </c>
      <c r="AH2114">
        <v>78</v>
      </c>
      <c r="AI2114" s="2">
        <f>Table__192.168.3.138DYLAgingReport[[#This Row],[NetAmount]]-Table__192.168.3.138DYLAgingReport[[#This Row],[Paid]]</f>
        <v>98119</v>
      </c>
    </row>
    <row r="2115" spans="1:35">
      <c r="A2115" t="s">
        <v>4363</v>
      </c>
      <c r="B2115" s="1">
        <v>41243</v>
      </c>
      <c r="C2115" s="1">
        <v>41243</v>
      </c>
      <c r="D2115" t="s">
        <v>291</v>
      </c>
      <c r="E2115">
        <v>37810</v>
      </c>
      <c r="F2115">
        <v>6049</v>
      </c>
      <c r="G2115">
        <v>0</v>
      </c>
      <c r="H2115">
        <v>0</v>
      </c>
      <c r="I2115">
        <v>25</v>
      </c>
      <c r="J2115">
        <v>43859</v>
      </c>
      <c r="K2115" t="s">
        <v>4364</v>
      </c>
      <c r="L2115" s="1">
        <v>41243</v>
      </c>
      <c r="N2115" t="s">
        <v>36</v>
      </c>
      <c r="O2115" t="s">
        <v>37</v>
      </c>
      <c r="P2115" t="s">
        <v>428</v>
      </c>
      <c r="Q2115" t="s">
        <v>39</v>
      </c>
      <c r="R2115" t="s">
        <v>40</v>
      </c>
      <c r="S2115">
        <v>0</v>
      </c>
      <c r="U2115" t="s">
        <v>41</v>
      </c>
      <c r="V2115" t="s">
        <v>42</v>
      </c>
      <c r="X2115" t="s">
        <v>74</v>
      </c>
      <c r="Y2115" t="b">
        <v>0</v>
      </c>
      <c r="Z2115" t="b">
        <v>0</v>
      </c>
      <c r="AC2115" s="1"/>
      <c r="AF2115">
        <v>0</v>
      </c>
      <c r="AG2115">
        <v>45</v>
      </c>
      <c r="AH2115">
        <v>70</v>
      </c>
      <c r="AI2115" s="2">
        <f>Table__192.168.3.138DYLAgingReport[[#This Row],[NetAmount]]-Table__192.168.3.138DYLAgingReport[[#This Row],[Paid]]</f>
        <v>43859</v>
      </c>
    </row>
    <row r="2116" spans="1:35">
      <c r="A2116" t="s">
        <v>4365</v>
      </c>
      <c r="B2116" s="1">
        <v>41235</v>
      </c>
      <c r="C2116" s="1">
        <v>41235</v>
      </c>
      <c r="D2116" t="s">
        <v>291</v>
      </c>
      <c r="E2116">
        <v>43645</v>
      </c>
      <c r="F2116">
        <v>6939</v>
      </c>
      <c r="G2116">
        <v>0</v>
      </c>
      <c r="H2116">
        <v>0</v>
      </c>
      <c r="I2116">
        <v>33</v>
      </c>
      <c r="J2116">
        <v>50309</v>
      </c>
      <c r="K2116" t="s">
        <v>4366</v>
      </c>
      <c r="L2116" s="1">
        <v>41235</v>
      </c>
      <c r="N2116" t="s">
        <v>36</v>
      </c>
      <c r="O2116" t="s">
        <v>37</v>
      </c>
      <c r="P2116" t="s">
        <v>428</v>
      </c>
      <c r="Q2116" t="s">
        <v>39</v>
      </c>
      <c r="R2116" t="s">
        <v>40</v>
      </c>
      <c r="S2116">
        <v>0</v>
      </c>
      <c r="U2116" t="s">
        <v>41</v>
      </c>
      <c r="V2116" t="s">
        <v>42</v>
      </c>
      <c r="X2116" t="s">
        <v>74</v>
      </c>
      <c r="Y2116" t="b">
        <v>0</v>
      </c>
      <c r="Z2116" t="b">
        <v>0</v>
      </c>
      <c r="AC2116" s="1"/>
      <c r="AF2116">
        <v>0</v>
      </c>
      <c r="AG2116">
        <v>45</v>
      </c>
      <c r="AH2116">
        <v>78</v>
      </c>
      <c r="AI2116" s="2">
        <f>Table__192.168.3.138DYLAgingReport[[#This Row],[NetAmount]]-Table__192.168.3.138DYLAgingReport[[#This Row],[Paid]]</f>
        <v>50309</v>
      </c>
    </row>
    <row r="2117" spans="1:35">
      <c r="A2117" t="s">
        <v>4367</v>
      </c>
      <c r="B2117" s="1">
        <v>41241</v>
      </c>
      <c r="C2117" s="1">
        <v>41286</v>
      </c>
      <c r="D2117" t="s">
        <v>231</v>
      </c>
      <c r="E2117">
        <v>65000</v>
      </c>
      <c r="F2117">
        <v>10400</v>
      </c>
      <c r="G2117">
        <v>0</v>
      </c>
      <c r="H2117">
        <v>0</v>
      </c>
      <c r="I2117">
        <v>47</v>
      </c>
      <c r="J2117">
        <v>75400</v>
      </c>
      <c r="K2117" t="s">
        <v>4368</v>
      </c>
      <c r="L2117" s="1">
        <v>41221</v>
      </c>
      <c r="N2117" t="s">
        <v>36</v>
      </c>
      <c r="O2117" t="s">
        <v>37</v>
      </c>
      <c r="P2117" t="s">
        <v>368</v>
      </c>
      <c r="Q2117" t="s">
        <v>39</v>
      </c>
      <c r="R2117" t="s">
        <v>40</v>
      </c>
      <c r="S2117">
        <v>0</v>
      </c>
      <c r="U2117" t="s">
        <v>41</v>
      </c>
      <c r="V2117" t="s">
        <v>42</v>
      </c>
      <c r="X2117" t="s">
        <v>74</v>
      </c>
      <c r="Y2117" t="b">
        <v>0</v>
      </c>
      <c r="Z2117" t="b">
        <v>0</v>
      </c>
      <c r="AC2117" s="1"/>
      <c r="AF2117">
        <v>0</v>
      </c>
      <c r="AG2117">
        <v>45</v>
      </c>
      <c r="AH2117">
        <v>92</v>
      </c>
      <c r="AI2117" s="2">
        <f>Table__192.168.3.138DYLAgingReport[[#This Row],[NetAmount]]-Table__192.168.3.138DYLAgingReport[[#This Row],[Paid]]</f>
        <v>75400</v>
      </c>
    </row>
    <row r="2118" spans="1:35">
      <c r="A2118" t="s">
        <v>4369</v>
      </c>
      <c r="B2118" s="1">
        <v>41235</v>
      </c>
      <c r="C2118" s="1">
        <v>41280</v>
      </c>
      <c r="D2118" t="s">
        <v>224</v>
      </c>
      <c r="E2118">
        <v>126600</v>
      </c>
      <c r="F2118">
        <v>20256</v>
      </c>
      <c r="G2118">
        <v>0</v>
      </c>
      <c r="H2118">
        <v>0</v>
      </c>
      <c r="I2118">
        <v>33</v>
      </c>
      <c r="J2118">
        <v>146856</v>
      </c>
      <c r="K2118" t="s">
        <v>4370</v>
      </c>
      <c r="L2118" s="1">
        <v>41235</v>
      </c>
      <c r="N2118" t="s">
        <v>36</v>
      </c>
      <c r="O2118" t="s">
        <v>37</v>
      </c>
      <c r="P2118" t="s">
        <v>361</v>
      </c>
      <c r="Q2118" t="s">
        <v>39</v>
      </c>
      <c r="R2118" t="s">
        <v>40</v>
      </c>
      <c r="S2118">
        <v>0</v>
      </c>
      <c r="U2118" t="s">
        <v>41</v>
      </c>
      <c r="V2118" t="s">
        <v>42</v>
      </c>
      <c r="X2118" t="s">
        <v>74</v>
      </c>
      <c r="Y2118" t="b">
        <v>0</v>
      </c>
      <c r="Z2118" t="b">
        <v>0</v>
      </c>
      <c r="AC2118" s="1"/>
      <c r="AF2118">
        <v>0</v>
      </c>
      <c r="AG2118">
        <v>45</v>
      </c>
      <c r="AH2118">
        <v>78</v>
      </c>
      <c r="AI2118" s="2">
        <f>Table__192.168.3.138DYLAgingReport[[#This Row],[NetAmount]]-Table__192.168.3.138DYLAgingReport[[#This Row],[Paid]]</f>
        <v>146856</v>
      </c>
    </row>
    <row r="2119" spans="1:35">
      <c r="A2119" t="s">
        <v>4371</v>
      </c>
      <c r="B2119" s="1">
        <v>41239</v>
      </c>
      <c r="C2119" s="1">
        <v>41284</v>
      </c>
      <c r="D2119" t="s">
        <v>217</v>
      </c>
      <c r="E2119">
        <v>59776</v>
      </c>
      <c r="F2119">
        <v>9565</v>
      </c>
      <c r="G2119">
        <v>0</v>
      </c>
      <c r="H2119">
        <v>0</v>
      </c>
      <c r="I2119">
        <v>40</v>
      </c>
      <c r="J2119">
        <v>69341</v>
      </c>
      <c r="K2119" t="s">
        <v>4372</v>
      </c>
      <c r="L2119" s="1">
        <v>41228</v>
      </c>
      <c r="N2119" t="s">
        <v>36</v>
      </c>
      <c r="O2119" t="s">
        <v>37</v>
      </c>
      <c r="P2119" t="s">
        <v>354</v>
      </c>
      <c r="Q2119" t="s">
        <v>39</v>
      </c>
      <c r="R2119" t="s">
        <v>40</v>
      </c>
      <c r="S2119">
        <v>0</v>
      </c>
      <c r="U2119" t="s">
        <v>41</v>
      </c>
      <c r="V2119" t="s">
        <v>42</v>
      </c>
      <c r="X2119" t="s">
        <v>74</v>
      </c>
      <c r="Y2119" t="b">
        <v>0</v>
      </c>
      <c r="Z2119" t="b">
        <v>0</v>
      </c>
      <c r="AB2119" t="s">
        <v>4356</v>
      </c>
      <c r="AC2119" s="1">
        <v>41253</v>
      </c>
      <c r="AE2119" t="s">
        <v>4358</v>
      </c>
      <c r="AF2119">
        <v>0</v>
      </c>
      <c r="AG2119">
        <v>45</v>
      </c>
      <c r="AH2119">
        <v>85</v>
      </c>
      <c r="AI2119" s="2">
        <f>Table__192.168.3.138DYLAgingReport[[#This Row],[NetAmount]]-Table__192.168.3.138DYLAgingReport[[#This Row],[Paid]]</f>
        <v>69341</v>
      </c>
    </row>
    <row r="2120" spans="1:35">
      <c r="A2120" t="s">
        <v>4373</v>
      </c>
      <c r="B2120" s="1">
        <v>41219</v>
      </c>
      <c r="C2120" s="1">
        <v>41219</v>
      </c>
      <c r="D2120" t="s">
        <v>296</v>
      </c>
      <c r="E2120">
        <v>3200</v>
      </c>
      <c r="F2120">
        <v>512</v>
      </c>
      <c r="G2120">
        <v>0</v>
      </c>
      <c r="H2120">
        <v>0</v>
      </c>
      <c r="I2120">
        <v>50</v>
      </c>
      <c r="J2120">
        <v>3712</v>
      </c>
      <c r="K2120" t="s">
        <v>3206</v>
      </c>
      <c r="L2120" s="1">
        <v>41218</v>
      </c>
      <c r="N2120" t="s">
        <v>36</v>
      </c>
      <c r="O2120" t="s">
        <v>37</v>
      </c>
      <c r="P2120" t="s">
        <v>433</v>
      </c>
      <c r="Q2120" t="s">
        <v>39</v>
      </c>
      <c r="R2120" t="s">
        <v>40</v>
      </c>
      <c r="S2120">
        <v>0</v>
      </c>
      <c r="U2120" t="s">
        <v>41</v>
      </c>
      <c r="V2120" t="s">
        <v>42</v>
      </c>
      <c r="X2120" t="s">
        <v>74</v>
      </c>
      <c r="Y2120" t="b">
        <v>0</v>
      </c>
      <c r="Z2120" t="b">
        <v>0</v>
      </c>
      <c r="AC2120" s="1"/>
      <c r="AF2120">
        <v>0</v>
      </c>
      <c r="AG2120">
        <v>45</v>
      </c>
      <c r="AH2120">
        <v>95</v>
      </c>
      <c r="AI2120" s="2">
        <f>Table__192.168.3.138DYLAgingReport[[#This Row],[NetAmount]]-Table__192.168.3.138DYLAgingReport[[#This Row],[Paid]]</f>
        <v>3712</v>
      </c>
    </row>
    <row r="2121" spans="1:35">
      <c r="A2121" t="s">
        <v>4374</v>
      </c>
      <c r="B2121" s="1">
        <v>41240</v>
      </c>
      <c r="C2121" s="1">
        <v>41240</v>
      </c>
      <c r="D2121" t="s">
        <v>296</v>
      </c>
      <c r="E2121">
        <v>6800</v>
      </c>
      <c r="F2121">
        <v>1088</v>
      </c>
      <c r="G2121">
        <v>0</v>
      </c>
      <c r="H2121">
        <v>0</v>
      </c>
      <c r="I2121">
        <v>28</v>
      </c>
      <c r="J2121">
        <v>7888</v>
      </c>
      <c r="K2121" t="s">
        <v>4375</v>
      </c>
      <c r="L2121" s="1">
        <v>41240</v>
      </c>
      <c r="N2121" t="s">
        <v>36</v>
      </c>
      <c r="O2121" t="s">
        <v>37</v>
      </c>
      <c r="P2121" t="s">
        <v>433</v>
      </c>
      <c r="Q2121" t="s">
        <v>39</v>
      </c>
      <c r="R2121" t="s">
        <v>40</v>
      </c>
      <c r="S2121">
        <v>0</v>
      </c>
      <c r="U2121" t="s">
        <v>41</v>
      </c>
      <c r="V2121" t="s">
        <v>42</v>
      </c>
      <c r="X2121" t="s">
        <v>74</v>
      </c>
      <c r="Y2121" t="b">
        <v>0</v>
      </c>
      <c r="Z2121" t="b">
        <v>0</v>
      </c>
      <c r="AC2121" s="1"/>
      <c r="AF2121">
        <v>0</v>
      </c>
      <c r="AG2121">
        <v>45</v>
      </c>
      <c r="AH2121">
        <v>73</v>
      </c>
      <c r="AI2121" s="2">
        <f>Table__192.168.3.138DYLAgingReport[[#This Row],[NetAmount]]-Table__192.168.3.138DYLAgingReport[[#This Row],[Paid]]</f>
        <v>7888</v>
      </c>
    </row>
    <row r="2122" spans="1:35">
      <c r="A2122" t="s">
        <v>4376</v>
      </c>
      <c r="B2122" s="1">
        <v>41221</v>
      </c>
      <c r="C2122" s="1">
        <v>41266</v>
      </c>
      <c r="D2122" t="s">
        <v>262</v>
      </c>
      <c r="E2122">
        <v>75070</v>
      </c>
      <c r="F2122">
        <v>12000</v>
      </c>
      <c r="G2122">
        <v>70</v>
      </c>
      <c r="H2122">
        <v>0</v>
      </c>
      <c r="I2122">
        <v>43</v>
      </c>
      <c r="J2122">
        <v>87000</v>
      </c>
      <c r="K2122" t="s">
        <v>3728</v>
      </c>
      <c r="L2122" s="1">
        <v>41225</v>
      </c>
      <c r="N2122" t="s">
        <v>36</v>
      </c>
      <c r="O2122" t="s">
        <v>37</v>
      </c>
      <c r="P2122" t="s">
        <v>399</v>
      </c>
      <c r="Q2122" t="s">
        <v>39</v>
      </c>
      <c r="R2122" t="s">
        <v>40</v>
      </c>
      <c r="S2122">
        <v>0</v>
      </c>
      <c r="U2122" t="s">
        <v>41</v>
      </c>
      <c r="V2122" t="s">
        <v>42</v>
      </c>
      <c r="X2122" t="s">
        <v>74</v>
      </c>
      <c r="Y2122" t="b">
        <v>0</v>
      </c>
      <c r="Z2122" t="b">
        <v>0</v>
      </c>
      <c r="AC2122" s="1"/>
      <c r="AF2122">
        <v>0</v>
      </c>
      <c r="AG2122">
        <v>45</v>
      </c>
      <c r="AH2122">
        <v>88</v>
      </c>
      <c r="AI2122" s="2">
        <f>Table__192.168.3.138DYLAgingReport[[#This Row],[NetAmount]]-Table__192.168.3.138DYLAgingReport[[#This Row],[Paid]]</f>
        <v>87000</v>
      </c>
    </row>
    <row r="2123" spans="1:35">
      <c r="A2123" t="s">
        <v>4377</v>
      </c>
      <c r="B2123" s="1">
        <v>41242</v>
      </c>
      <c r="C2123" s="1">
        <v>41287</v>
      </c>
      <c r="D2123" t="s">
        <v>239</v>
      </c>
      <c r="E2123">
        <v>322500</v>
      </c>
      <c r="F2123">
        <v>51600</v>
      </c>
      <c r="G2123">
        <v>0</v>
      </c>
      <c r="H2123">
        <v>0</v>
      </c>
      <c r="I2123">
        <v>26</v>
      </c>
      <c r="J2123">
        <v>374100</v>
      </c>
      <c r="K2123" t="s">
        <v>4378</v>
      </c>
      <c r="L2123" s="1">
        <v>41242</v>
      </c>
      <c r="N2123" t="s">
        <v>36</v>
      </c>
      <c r="O2123" t="s">
        <v>37</v>
      </c>
      <c r="P2123" t="s">
        <v>376</v>
      </c>
      <c r="Q2123" t="s">
        <v>39</v>
      </c>
      <c r="R2123" t="s">
        <v>40</v>
      </c>
      <c r="S2123">
        <v>0</v>
      </c>
      <c r="U2123" t="s">
        <v>41</v>
      </c>
      <c r="V2123" t="s">
        <v>42</v>
      </c>
      <c r="X2123" t="s">
        <v>74</v>
      </c>
      <c r="Y2123" t="b">
        <v>0</v>
      </c>
      <c r="Z2123" t="b">
        <v>0</v>
      </c>
      <c r="AC2123" s="1"/>
      <c r="AF2123">
        <v>0</v>
      </c>
      <c r="AG2123">
        <v>45</v>
      </c>
      <c r="AH2123">
        <v>71</v>
      </c>
      <c r="AI2123" s="2">
        <f>Table__192.168.3.138DYLAgingReport[[#This Row],[NetAmount]]-Table__192.168.3.138DYLAgingReport[[#This Row],[Paid]]</f>
        <v>374100</v>
      </c>
    </row>
    <row r="2124" spans="1:35">
      <c r="A2124" t="s">
        <v>4379</v>
      </c>
      <c r="B2124" s="1">
        <v>41241</v>
      </c>
      <c r="C2124" s="1">
        <v>41286</v>
      </c>
      <c r="D2124" t="s">
        <v>239</v>
      </c>
      <c r="E2124">
        <v>60800</v>
      </c>
      <c r="F2124">
        <v>9600</v>
      </c>
      <c r="G2124">
        <v>0</v>
      </c>
      <c r="H2124">
        <v>0</v>
      </c>
      <c r="I2124">
        <v>36</v>
      </c>
      <c r="J2124">
        <v>69600</v>
      </c>
      <c r="K2124" t="s">
        <v>4380</v>
      </c>
      <c r="L2124" s="1">
        <v>41232</v>
      </c>
      <c r="N2124" t="s">
        <v>36</v>
      </c>
      <c r="O2124" t="s">
        <v>37</v>
      </c>
      <c r="P2124" t="s">
        <v>376</v>
      </c>
      <c r="Q2124" t="s">
        <v>39</v>
      </c>
      <c r="R2124" t="s">
        <v>40</v>
      </c>
      <c r="S2124">
        <v>0</v>
      </c>
      <c r="U2124" t="s">
        <v>41</v>
      </c>
      <c r="V2124" t="s">
        <v>42</v>
      </c>
      <c r="X2124" t="s">
        <v>74</v>
      </c>
      <c r="Y2124" t="b">
        <v>0</v>
      </c>
      <c r="Z2124" t="b">
        <v>0</v>
      </c>
      <c r="AC2124" s="1"/>
      <c r="AF2124">
        <v>0</v>
      </c>
      <c r="AG2124">
        <v>45</v>
      </c>
      <c r="AH2124">
        <v>81</v>
      </c>
      <c r="AI2124" s="2">
        <f>Table__192.168.3.138DYLAgingReport[[#This Row],[NetAmount]]-Table__192.168.3.138DYLAgingReport[[#This Row],[Paid]]</f>
        <v>69600</v>
      </c>
    </row>
    <row r="2125" spans="1:35">
      <c r="A2125" t="s">
        <v>4381</v>
      </c>
      <c r="B2125" s="1">
        <v>41241</v>
      </c>
      <c r="C2125" s="1">
        <v>41286</v>
      </c>
      <c r="D2125" t="s">
        <v>239</v>
      </c>
      <c r="E2125">
        <v>99870</v>
      </c>
      <c r="F2125">
        <v>15979</v>
      </c>
      <c r="G2125">
        <v>0</v>
      </c>
      <c r="H2125">
        <v>0</v>
      </c>
      <c r="I2125">
        <v>38</v>
      </c>
      <c r="J2125">
        <v>115849</v>
      </c>
      <c r="K2125" t="s">
        <v>4382</v>
      </c>
      <c r="L2125" s="1">
        <v>41230</v>
      </c>
      <c r="N2125" t="s">
        <v>36</v>
      </c>
      <c r="O2125" t="s">
        <v>37</v>
      </c>
      <c r="P2125" t="s">
        <v>376</v>
      </c>
      <c r="Q2125" t="s">
        <v>39</v>
      </c>
      <c r="R2125" t="s">
        <v>40</v>
      </c>
      <c r="S2125">
        <v>0</v>
      </c>
      <c r="U2125" t="s">
        <v>41</v>
      </c>
      <c r="V2125" t="s">
        <v>42</v>
      </c>
      <c r="X2125" t="s">
        <v>74</v>
      </c>
      <c r="Y2125" t="b">
        <v>0</v>
      </c>
      <c r="Z2125" t="b">
        <v>0</v>
      </c>
      <c r="AC2125" s="1"/>
      <c r="AF2125">
        <v>0</v>
      </c>
      <c r="AG2125">
        <v>45</v>
      </c>
      <c r="AH2125">
        <v>83</v>
      </c>
      <c r="AI2125" s="2">
        <f>Table__192.168.3.138DYLAgingReport[[#This Row],[NetAmount]]-Table__192.168.3.138DYLAgingReport[[#This Row],[Paid]]</f>
        <v>115849</v>
      </c>
    </row>
    <row r="2126" spans="1:35">
      <c r="A2126" t="s">
        <v>4383</v>
      </c>
      <c r="B2126" s="1">
        <v>41231</v>
      </c>
      <c r="C2126" s="1">
        <v>41276</v>
      </c>
      <c r="D2126" t="s">
        <v>272</v>
      </c>
      <c r="E2126">
        <v>17500</v>
      </c>
      <c r="F2126">
        <v>2800</v>
      </c>
      <c r="G2126">
        <v>0</v>
      </c>
      <c r="H2126">
        <v>0</v>
      </c>
      <c r="I2126">
        <v>40</v>
      </c>
      <c r="J2126">
        <v>20300</v>
      </c>
      <c r="K2126" t="s">
        <v>4384</v>
      </c>
      <c r="L2126" s="1">
        <v>41228</v>
      </c>
      <c r="N2126" t="s">
        <v>36</v>
      </c>
      <c r="O2126" t="s">
        <v>37</v>
      </c>
      <c r="P2126" t="s">
        <v>409</v>
      </c>
      <c r="Q2126" t="s">
        <v>39</v>
      </c>
      <c r="R2126" t="s">
        <v>40</v>
      </c>
      <c r="S2126">
        <v>0</v>
      </c>
      <c r="U2126" t="s">
        <v>41</v>
      </c>
      <c r="V2126" t="s">
        <v>42</v>
      </c>
      <c r="X2126" t="s">
        <v>74</v>
      </c>
      <c r="Y2126" t="b">
        <v>0</v>
      </c>
      <c r="Z2126" t="b">
        <v>0</v>
      </c>
      <c r="AC2126" s="1"/>
      <c r="AF2126">
        <v>0</v>
      </c>
      <c r="AG2126">
        <v>45</v>
      </c>
      <c r="AH2126">
        <v>85</v>
      </c>
      <c r="AI2126" s="2">
        <f>Table__192.168.3.138DYLAgingReport[[#This Row],[NetAmount]]-Table__192.168.3.138DYLAgingReport[[#This Row],[Paid]]</f>
        <v>20300</v>
      </c>
    </row>
    <row r="2127" spans="1:35">
      <c r="A2127" t="s">
        <v>4385</v>
      </c>
      <c r="B2127" s="1">
        <v>41232</v>
      </c>
      <c r="C2127" s="1">
        <v>41277</v>
      </c>
      <c r="D2127" t="s">
        <v>272</v>
      </c>
      <c r="E2127">
        <v>35000</v>
      </c>
      <c r="F2127">
        <v>5600</v>
      </c>
      <c r="G2127">
        <v>0</v>
      </c>
      <c r="H2127">
        <v>0</v>
      </c>
      <c r="I2127">
        <v>39</v>
      </c>
      <c r="J2127">
        <v>40600</v>
      </c>
      <c r="K2127" t="s">
        <v>3251</v>
      </c>
      <c r="L2127" s="1">
        <v>41229</v>
      </c>
      <c r="N2127" t="s">
        <v>36</v>
      </c>
      <c r="O2127" t="s">
        <v>37</v>
      </c>
      <c r="P2127" t="s">
        <v>409</v>
      </c>
      <c r="Q2127" t="s">
        <v>39</v>
      </c>
      <c r="R2127" t="s">
        <v>40</v>
      </c>
      <c r="S2127">
        <v>0</v>
      </c>
      <c r="U2127" t="s">
        <v>41</v>
      </c>
      <c r="V2127" t="s">
        <v>42</v>
      </c>
      <c r="X2127" t="s">
        <v>74</v>
      </c>
      <c r="Y2127" t="b">
        <v>0</v>
      </c>
      <c r="Z2127" t="b">
        <v>0</v>
      </c>
      <c r="AC2127" s="1"/>
      <c r="AF2127">
        <v>0</v>
      </c>
      <c r="AG2127">
        <v>45</v>
      </c>
      <c r="AH2127">
        <v>84</v>
      </c>
      <c r="AI2127" s="2">
        <f>Table__192.168.3.138DYLAgingReport[[#This Row],[NetAmount]]-Table__192.168.3.138DYLAgingReport[[#This Row],[Paid]]</f>
        <v>40600</v>
      </c>
    </row>
    <row r="2128" spans="1:35">
      <c r="A2128" t="s">
        <v>4386</v>
      </c>
      <c r="B2128" s="1">
        <v>41238</v>
      </c>
      <c r="C2128" s="1">
        <v>41283</v>
      </c>
      <c r="D2128" t="s">
        <v>272</v>
      </c>
      <c r="E2128">
        <v>17500</v>
      </c>
      <c r="F2128">
        <v>2800</v>
      </c>
      <c r="G2128">
        <v>0</v>
      </c>
      <c r="H2128">
        <v>0</v>
      </c>
      <c r="I2128">
        <v>33</v>
      </c>
      <c r="J2128">
        <v>20300</v>
      </c>
      <c r="K2128" t="s">
        <v>4387</v>
      </c>
      <c r="L2128" s="1">
        <v>41235</v>
      </c>
      <c r="N2128" t="s">
        <v>36</v>
      </c>
      <c r="O2128" t="s">
        <v>37</v>
      </c>
      <c r="P2128" t="s">
        <v>409</v>
      </c>
      <c r="Q2128" t="s">
        <v>39</v>
      </c>
      <c r="R2128" t="s">
        <v>40</v>
      </c>
      <c r="S2128">
        <v>0</v>
      </c>
      <c r="U2128" t="s">
        <v>41</v>
      </c>
      <c r="V2128" t="s">
        <v>42</v>
      </c>
      <c r="X2128" t="s">
        <v>74</v>
      </c>
      <c r="Y2128" t="b">
        <v>0</v>
      </c>
      <c r="Z2128" t="b">
        <v>0</v>
      </c>
      <c r="AC2128" s="1"/>
      <c r="AF2128">
        <v>0</v>
      </c>
      <c r="AG2128">
        <v>45</v>
      </c>
      <c r="AH2128">
        <v>78</v>
      </c>
      <c r="AI2128" s="2">
        <f>Table__192.168.3.138DYLAgingReport[[#This Row],[NetAmount]]-Table__192.168.3.138DYLAgingReport[[#This Row],[Paid]]</f>
        <v>20300</v>
      </c>
    </row>
    <row r="2129" spans="1:35">
      <c r="A2129" t="s">
        <v>4388</v>
      </c>
      <c r="B2129" s="1">
        <v>41243</v>
      </c>
      <c r="C2129" s="1">
        <v>41288</v>
      </c>
      <c r="D2129" t="s">
        <v>272</v>
      </c>
      <c r="E2129">
        <v>35000</v>
      </c>
      <c r="F2129">
        <v>5600</v>
      </c>
      <c r="G2129">
        <v>0</v>
      </c>
      <c r="H2129">
        <v>0</v>
      </c>
      <c r="I2129">
        <v>28</v>
      </c>
      <c r="J2129">
        <v>40600</v>
      </c>
      <c r="K2129" t="s">
        <v>4389</v>
      </c>
      <c r="L2129" s="1">
        <v>41240</v>
      </c>
      <c r="N2129" t="s">
        <v>36</v>
      </c>
      <c r="O2129" t="s">
        <v>37</v>
      </c>
      <c r="P2129" t="s">
        <v>409</v>
      </c>
      <c r="Q2129" t="s">
        <v>39</v>
      </c>
      <c r="R2129" t="s">
        <v>40</v>
      </c>
      <c r="S2129">
        <v>0</v>
      </c>
      <c r="U2129" t="s">
        <v>41</v>
      </c>
      <c r="V2129" t="s">
        <v>42</v>
      </c>
      <c r="X2129" t="s">
        <v>74</v>
      </c>
      <c r="Y2129" t="b">
        <v>0</v>
      </c>
      <c r="Z2129" t="b">
        <v>0</v>
      </c>
      <c r="AC2129" s="1"/>
      <c r="AF2129">
        <v>0</v>
      </c>
      <c r="AG2129">
        <v>45</v>
      </c>
      <c r="AH2129">
        <v>73</v>
      </c>
      <c r="AI2129" s="2">
        <f>Table__192.168.3.138DYLAgingReport[[#This Row],[NetAmount]]-Table__192.168.3.138DYLAgingReport[[#This Row],[Paid]]</f>
        <v>40600</v>
      </c>
    </row>
    <row r="2130" spans="1:35">
      <c r="A2130" t="s">
        <v>4390</v>
      </c>
      <c r="B2130" s="1">
        <v>41243</v>
      </c>
      <c r="C2130" s="1">
        <v>41273</v>
      </c>
      <c r="D2130" t="s">
        <v>181</v>
      </c>
      <c r="E2130">
        <v>281880</v>
      </c>
      <c r="F2130">
        <v>45101</v>
      </c>
      <c r="G2130">
        <v>0</v>
      </c>
      <c r="H2130">
        <v>0</v>
      </c>
      <c r="I2130">
        <v>51</v>
      </c>
      <c r="J2130">
        <v>326981</v>
      </c>
      <c r="K2130" t="s">
        <v>4391</v>
      </c>
      <c r="L2130" s="1">
        <v>41232</v>
      </c>
      <c r="N2130" t="s">
        <v>36</v>
      </c>
      <c r="O2130" t="s">
        <v>37</v>
      </c>
      <c r="P2130" t="s">
        <v>318</v>
      </c>
      <c r="Q2130" t="s">
        <v>39</v>
      </c>
      <c r="R2130" t="s">
        <v>40</v>
      </c>
      <c r="S2130">
        <v>0</v>
      </c>
      <c r="U2130" t="s">
        <v>41</v>
      </c>
      <c r="V2130" t="s">
        <v>42</v>
      </c>
      <c r="X2130" t="s">
        <v>74</v>
      </c>
      <c r="Y2130" t="b">
        <v>0</v>
      </c>
      <c r="Z2130" t="b">
        <v>0</v>
      </c>
      <c r="AC2130" s="1"/>
      <c r="AF2130">
        <v>0</v>
      </c>
      <c r="AG2130">
        <v>30</v>
      </c>
      <c r="AH2130">
        <v>81</v>
      </c>
      <c r="AI2130" s="2">
        <f>Table__192.168.3.138DYLAgingReport[[#This Row],[NetAmount]]-Table__192.168.3.138DYLAgingReport[[#This Row],[Paid]]</f>
        <v>326981</v>
      </c>
    </row>
    <row r="2131" spans="1:35">
      <c r="A2131" t="s">
        <v>4392</v>
      </c>
      <c r="B2131" s="1">
        <v>41243</v>
      </c>
      <c r="C2131" s="1">
        <v>41273</v>
      </c>
      <c r="D2131" t="s">
        <v>285</v>
      </c>
      <c r="E2131">
        <v>1740000</v>
      </c>
      <c r="F2131">
        <v>278400</v>
      </c>
      <c r="G2131">
        <v>0</v>
      </c>
      <c r="H2131">
        <v>0</v>
      </c>
      <c r="I2131">
        <v>40</v>
      </c>
      <c r="J2131">
        <v>2018400</v>
      </c>
      <c r="K2131" t="s">
        <v>4393</v>
      </c>
      <c r="L2131" s="1">
        <v>41243</v>
      </c>
      <c r="N2131" t="s">
        <v>36</v>
      </c>
      <c r="O2131" t="s">
        <v>37</v>
      </c>
      <c r="P2131" t="s">
        <v>422</v>
      </c>
      <c r="Q2131" t="s">
        <v>39</v>
      </c>
      <c r="R2131" t="s">
        <v>40</v>
      </c>
      <c r="S2131">
        <v>0</v>
      </c>
      <c r="U2131" t="s">
        <v>41</v>
      </c>
      <c r="V2131" t="s">
        <v>42</v>
      </c>
      <c r="X2131" t="s">
        <v>74</v>
      </c>
      <c r="Y2131" t="b">
        <v>0</v>
      </c>
      <c r="Z2131" t="b">
        <v>0</v>
      </c>
      <c r="AB2131" t="s">
        <v>1099</v>
      </c>
      <c r="AC2131" s="1">
        <v>41296</v>
      </c>
      <c r="AF2131">
        <v>0</v>
      </c>
      <c r="AG2131">
        <v>30</v>
      </c>
      <c r="AH2131">
        <v>70</v>
      </c>
      <c r="AI2131" s="2">
        <f>Table__192.168.3.138DYLAgingReport[[#This Row],[NetAmount]]-Table__192.168.3.138DYLAgingReport[[#This Row],[Paid]]</f>
        <v>2018400</v>
      </c>
    </row>
    <row r="2132" spans="1:35">
      <c r="A2132" t="s">
        <v>4394</v>
      </c>
      <c r="B2132" s="1">
        <v>41242</v>
      </c>
      <c r="C2132" s="1">
        <v>41287</v>
      </c>
      <c r="D2132" t="s">
        <v>251</v>
      </c>
      <c r="E2132">
        <v>212800</v>
      </c>
      <c r="F2132">
        <v>34048</v>
      </c>
      <c r="G2132">
        <v>0</v>
      </c>
      <c r="H2132">
        <v>0</v>
      </c>
      <c r="I2132">
        <v>26</v>
      </c>
      <c r="J2132">
        <v>246848</v>
      </c>
      <c r="K2132" t="s">
        <v>4395</v>
      </c>
      <c r="L2132" s="1">
        <v>41242</v>
      </c>
      <c r="N2132" t="s">
        <v>36</v>
      </c>
      <c r="O2132" t="s">
        <v>37</v>
      </c>
      <c r="P2132" t="s">
        <v>388</v>
      </c>
      <c r="Q2132" t="s">
        <v>39</v>
      </c>
      <c r="R2132" t="s">
        <v>40</v>
      </c>
      <c r="S2132">
        <v>0</v>
      </c>
      <c r="U2132" t="s">
        <v>41</v>
      </c>
      <c r="V2132" t="s">
        <v>42</v>
      </c>
      <c r="X2132" t="s">
        <v>74</v>
      </c>
      <c r="Y2132" t="b">
        <v>0</v>
      </c>
      <c r="Z2132" t="b">
        <v>0</v>
      </c>
      <c r="AC2132" s="1"/>
      <c r="AF2132">
        <v>0</v>
      </c>
      <c r="AG2132">
        <v>45</v>
      </c>
      <c r="AH2132">
        <v>71</v>
      </c>
      <c r="AI2132" s="2">
        <f>Table__192.168.3.138DYLAgingReport[[#This Row],[NetAmount]]-Table__192.168.3.138DYLAgingReport[[#This Row],[Paid]]</f>
        <v>246848</v>
      </c>
    </row>
    <row r="2133" spans="1:35">
      <c r="A2133" t="s">
        <v>4396</v>
      </c>
      <c r="B2133" s="1">
        <v>41223</v>
      </c>
      <c r="C2133" s="1">
        <v>41223</v>
      </c>
      <c r="D2133" t="s">
        <v>297</v>
      </c>
      <c r="E2133">
        <v>75000</v>
      </c>
      <c r="F2133">
        <v>12000</v>
      </c>
      <c r="G2133">
        <v>0</v>
      </c>
      <c r="H2133">
        <v>0</v>
      </c>
      <c r="I2133">
        <v>50</v>
      </c>
      <c r="J2133">
        <v>87000</v>
      </c>
      <c r="K2133" t="s">
        <v>3085</v>
      </c>
      <c r="L2133" s="1">
        <v>41218</v>
      </c>
      <c r="N2133" t="s">
        <v>36</v>
      </c>
      <c r="O2133" t="s">
        <v>37</v>
      </c>
      <c r="P2133" t="s">
        <v>434</v>
      </c>
      <c r="Q2133" t="s">
        <v>39</v>
      </c>
      <c r="R2133" t="s">
        <v>40</v>
      </c>
      <c r="S2133">
        <v>0</v>
      </c>
      <c r="U2133" t="s">
        <v>41</v>
      </c>
      <c r="V2133" t="s">
        <v>42</v>
      </c>
      <c r="X2133" t="s">
        <v>74</v>
      </c>
      <c r="Y2133" t="b">
        <v>0</v>
      </c>
      <c r="Z2133" t="b">
        <v>0</v>
      </c>
      <c r="AC2133" s="1"/>
      <c r="AF2133">
        <v>0</v>
      </c>
      <c r="AG2133">
        <v>45</v>
      </c>
      <c r="AH2133">
        <v>95</v>
      </c>
      <c r="AI2133" s="2">
        <f>Table__192.168.3.138DYLAgingReport[[#This Row],[NetAmount]]-Table__192.168.3.138DYLAgingReport[[#This Row],[Paid]]</f>
        <v>87000</v>
      </c>
    </row>
    <row r="2134" spans="1:35">
      <c r="A2134" t="s">
        <v>4397</v>
      </c>
      <c r="B2134" s="1">
        <v>41243</v>
      </c>
      <c r="C2134" s="1">
        <v>41243</v>
      </c>
      <c r="D2134" t="s">
        <v>297</v>
      </c>
      <c r="E2134">
        <v>30000</v>
      </c>
      <c r="F2134">
        <v>4800</v>
      </c>
      <c r="G2134">
        <v>0</v>
      </c>
      <c r="H2134">
        <v>0</v>
      </c>
      <c r="I2134">
        <v>28</v>
      </c>
      <c r="J2134">
        <v>34800</v>
      </c>
      <c r="K2134" t="s">
        <v>88</v>
      </c>
      <c r="L2134" s="1">
        <v>41240</v>
      </c>
      <c r="N2134" t="s">
        <v>36</v>
      </c>
      <c r="O2134" t="s">
        <v>37</v>
      </c>
      <c r="P2134" t="s">
        <v>434</v>
      </c>
      <c r="Q2134" t="s">
        <v>39</v>
      </c>
      <c r="R2134" t="s">
        <v>40</v>
      </c>
      <c r="S2134">
        <v>0</v>
      </c>
      <c r="U2134" t="s">
        <v>41</v>
      </c>
      <c r="V2134" t="s">
        <v>42</v>
      </c>
      <c r="X2134" t="s">
        <v>74</v>
      </c>
      <c r="Y2134" t="b">
        <v>0</v>
      </c>
      <c r="Z2134" t="b">
        <v>0</v>
      </c>
      <c r="AC2134" s="1"/>
      <c r="AF2134">
        <v>0</v>
      </c>
      <c r="AG2134">
        <v>45</v>
      </c>
      <c r="AH2134">
        <v>73</v>
      </c>
      <c r="AI2134" s="2">
        <f>Table__192.168.3.138DYLAgingReport[[#This Row],[NetAmount]]-Table__192.168.3.138DYLAgingReport[[#This Row],[Paid]]</f>
        <v>34800</v>
      </c>
    </row>
    <row r="2135" spans="1:35">
      <c r="A2135" t="s">
        <v>4398</v>
      </c>
      <c r="B2135" s="1">
        <v>41240</v>
      </c>
      <c r="C2135" s="1">
        <v>41240</v>
      </c>
      <c r="D2135" t="s">
        <v>297</v>
      </c>
      <c r="E2135">
        <v>60000</v>
      </c>
      <c r="F2135">
        <v>9600</v>
      </c>
      <c r="G2135">
        <v>0</v>
      </c>
      <c r="H2135">
        <v>0</v>
      </c>
      <c r="I2135">
        <v>28</v>
      </c>
      <c r="J2135">
        <v>69600</v>
      </c>
      <c r="K2135" t="s">
        <v>2992</v>
      </c>
      <c r="L2135" s="1">
        <v>41240</v>
      </c>
      <c r="N2135" t="s">
        <v>36</v>
      </c>
      <c r="O2135" t="s">
        <v>37</v>
      </c>
      <c r="P2135" t="s">
        <v>434</v>
      </c>
      <c r="Q2135" t="s">
        <v>39</v>
      </c>
      <c r="R2135" t="s">
        <v>40</v>
      </c>
      <c r="S2135">
        <v>0</v>
      </c>
      <c r="U2135" t="s">
        <v>41</v>
      </c>
      <c r="V2135" t="s">
        <v>42</v>
      </c>
      <c r="X2135" t="s">
        <v>74</v>
      </c>
      <c r="Y2135" t="b">
        <v>0</v>
      </c>
      <c r="Z2135" t="b">
        <v>0</v>
      </c>
      <c r="AC2135" s="1"/>
      <c r="AF2135">
        <v>0</v>
      </c>
      <c r="AG2135">
        <v>45</v>
      </c>
      <c r="AH2135">
        <v>73</v>
      </c>
      <c r="AI2135" s="2">
        <f>Table__192.168.3.138DYLAgingReport[[#This Row],[NetAmount]]-Table__192.168.3.138DYLAgingReport[[#This Row],[Paid]]</f>
        <v>69600</v>
      </c>
    </row>
    <row r="2136" spans="1:35">
      <c r="A2136" t="s">
        <v>4399</v>
      </c>
      <c r="B2136" s="1">
        <v>41241</v>
      </c>
      <c r="C2136" s="1">
        <v>41286</v>
      </c>
      <c r="D2136" t="s">
        <v>246</v>
      </c>
      <c r="E2136">
        <v>870000</v>
      </c>
      <c r="F2136">
        <v>139200</v>
      </c>
      <c r="G2136">
        <v>0</v>
      </c>
      <c r="H2136">
        <v>0</v>
      </c>
      <c r="I2136">
        <v>35</v>
      </c>
      <c r="J2136">
        <v>1009200</v>
      </c>
      <c r="K2136" t="s">
        <v>4400</v>
      </c>
      <c r="L2136" s="1">
        <v>41233</v>
      </c>
      <c r="N2136" t="s">
        <v>36</v>
      </c>
      <c r="O2136" t="s">
        <v>37</v>
      </c>
      <c r="P2136" t="s">
        <v>383</v>
      </c>
      <c r="Q2136" t="s">
        <v>39</v>
      </c>
      <c r="R2136" t="s">
        <v>40</v>
      </c>
      <c r="S2136">
        <v>0</v>
      </c>
      <c r="U2136" t="s">
        <v>41</v>
      </c>
      <c r="V2136" t="s">
        <v>42</v>
      </c>
      <c r="X2136" t="s">
        <v>74</v>
      </c>
      <c r="Y2136" t="b">
        <v>0</v>
      </c>
      <c r="Z2136" t="b">
        <v>0</v>
      </c>
      <c r="AC2136" s="1"/>
      <c r="AF2136">
        <v>0</v>
      </c>
      <c r="AG2136">
        <v>45</v>
      </c>
      <c r="AH2136">
        <v>80</v>
      </c>
      <c r="AI2136" s="2">
        <f>Table__192.168.3.138DYLAgingReport[[#This Row],[NetAmount]]-Table__192.168.3.138DYLAgingReport[[#This Row],[Paid]]</f>
        <v>1009200</v>
      </c>
    </row>
    <row r="2137" spans="1:35">
      <c r="A2137" t="s">
        <v>4401</v>
      </c>
      <c r="B2137" s="1">
        <v>41241</v>
      </c>
      <c r="C2137" s="1">
        <v>41286</v>
      </c>
      <c r="D2137" t="s">
        <v>286</v>
      </c>
      <c r="E2137">
        <v>38640</v>
      </c>
      <c r="F2137">
        <v>6182</v>
      </c>
      <c r="G2137">
        <v>0</v>
      </c>
      <c r="H2137">
        <v>0</v>
      </c>
      <c r="I2137">
        <v>26</v>
      </c>
      <c r="J2137">
        <v>44822</v>
      </c>
      <c r="K2137" t="s">
        <v>3051</v>
      </c>
      <c r="L2137" s="1">
        <v>41242</v>
      </c>
      <c r="N2137" t="s">
        <v>36</v>
      </c>
      <c r="O2137" t="s">
        <v>37</v>
      </c>
      <c r="P2137" t="s">
        <v>423</v>
      </c>
      <c r="Q2137" t="s">
        <v>39</v>
      </c>
      <c r="R2137" t="s">
        <v>40</v>
      </c>
      <c r="S2137">
        <v>0</v>
      </c>
      <c r="U2137" t="s">
        <v>41</v>
      </c>
      <c r="V2137" t="s">
        <v>42</v>
      </c>
      <c r="X2137" t="s">
        <v>74</v>
      </c>
      <c r="Y2137" t="b">
        <v>0</v>
      </c>
      <c r="Z2137" t="b">
        <v>0</v>
      </c>
      <c r="AC2137" s="1"/>
      <c r="AF2137">
        <v>0</v>
      </c>
      <c r="AG2137">
        <v>45</v>
      </c>
      <c r="AH2137">
        <v>71</v>
      </c>
      <c r="AI2137" s="2">
        <f>Table__192.168.3.138DYLAgingReport[[#This Row],[NetAmount]]-Table__192.168.3.138DYLAgingReport[[#This Row],[Paid]]</f>
        <v>44822</v>
      </c>
    </row>
    <row r="2138" spans="1:35">
      <c r="A2138" t="s">
        <v>4402</v>
      </c>
      <c r="B2138" s="1">
        <v>41229</v>
      </c>
      <c r="C2138" s="1">
        <v>41274</v>
      </c>
      <c r="D2138" t="s">
        <v>242</v>
      </c>
      <c r="E2138">
        <v>5010</v>
      </c>
      <c r="F2138">
        <v>720</v>
      </c>
      <c r="G2138">
        <v>0</v>
      </c>
      <c r="H2138">
        <v>0</v>
      </c>
      <c r="I2138">
        <v>39</v>
      </c>
      <c r="J2138">
        <v>5220</v>
      </c>
      <c r="K2138" t="s">
        <v>4403</v>
      </c>
      <c r="L2138" s="1">
        <v>41229</v>
      </c>
      <c r="N2138" t="s">
        <v>36</v>
      </c>
      <c r="O2138" t="s">
        <v>37</v>
      </c>
      <c r="P2138" t="s">
        <v>379</v>
      </c>
      <c r="Q2138" t="s">
        <v>39</v>
      </c>
      <c r="R2138" t="s">
        <v>40</v>
      </c>
      <c r="S2138">
        <v>0</v>
      </c>
      <c r="U2138" t="s">
        <v>41</v>
      </c>
      <c r="V2138" t="s">
        <v>42</v>
      </c>
      <c r="X2138" t="s">
        <v>74</v>
      </c>
      <c r="Y2138" t="b">
        <v>0</v>
      </c>
      <c r="Z2138" t="b">
        <v>0</v>
      </c>
      <c r="AC2138" s="1"/>
      <c r="AF2138">
        <v>0</v>
      </c>
      <c r="AG2138">
        <v>45</v>
      </c>
      <c r="AH2138">
        <v>84</v>
      </c>
      <c r="AI2138" s="2">
        <f>Table__192.168.3.138DYLAgingReport[[#This Row],[NetAmount]]-Table__192.168.3.138DYLAgingReport[[#This Row],[Paid]]</f>
        <v>5220</v>
      </c>
    </row>
    <row r="2139" spans="1:35">
      <c r="A2139" t="s">
        <v>4404</v>
      </c>
      <c r="B2139" s="1">
        <v>41232</v>
      </c>
      <c r="C2139" s="1">
        <v>41277</v>
      </c>
      <c r="D2139" t="s">
        <v>243</v>
      </c>
      <c r="E2139">
        <v>54555</v>
      </c>
      <c r="F2139">
        <v>0</v>
      </c>
      <c r="G2139">
        <v>0</v>
      </c>
      <c r="H2139">
        <v>0</v>
      </c>
      <c r="I2139">
        <v>38</v>
      </c>
      <c r="J2139">
        <v>54555</v>
      </c>
      <c r="K2139" t="s">
        <v>4405</v>
      </c>
      <c r="L2139" s="1">
        <v>41230</v>
      </c>
      <c r="N2139" t="s">
        <v>36</v>
      </c>
      <c r="O2139" t="s">
        <v>37</v>
      </c>
      <c r="P2139" t="s">
        <v>380</v>
      </c>
      <c r="Q2139" t="s">
        <v>39</v>
      </c>
      <c r="R2139" t="s">
        <v>40</v>
      </c>
      <c r="S2139">
        <v>0</v>
      </c>
      <c r="U2139" t="s">
        <v>41</v>
      </c>
      <c r="V2139" t="s">
        <v>42</v>
      </c>
      <c r="X2139" t="s">
        <v>74</v>
      </c>
      <c r="Y2139" t="b">
        <v>0</v>
      </c>
      <c r="Z2139" t="b">
        <v>0</v>
      </c>
      <c r="AC2139" s="1"/>
      <c r="AF2139">
        <v>0</v>
      </c>
      <c r="AG2139">
        <v>45</v>
      </c>
      <c r="AH2139">
        <v>83</v>
      </c>
      <c r="AI2139" s="2">
        <f>Table__192.168.3.138DYLAgingReport[[#This Row],[NetAmount]]-Table__192.168.3.138DYLAgingReport[[#This Row],[Paid]]</f>
        <v>54555</v>
      </c>
    </row>
    <row r="2140" spans="1:35">
      <c r="A2140" t="s">
        <v>4406</v>
      </c>
      <c r="B2140" s="1">
        <v>41232</v>
      </c>
      <c r="C2140" s="1">
        <v>41277</v>
      </c>
      <c r="D2140" t="s">
        <v>271</v>
      </c>
      <c r="E2140">
        <v>9245</v>
      </c>
      <c r="F2140">
        <v>1479</v>
      </c>
      <c r="G2140">
        <v>0</v>
      </c>
      <c r="H2140">
        <v>0</v>
      </c>
      <c r="I2140">
        <v>36</v>
      </c>
      <c r="J2140">
        <v>10724</v>
      </c>
      <c r="K2140" t="s">
        <v>3362</v>
      </c>
      <c r="L2140" s="1">
        <v>41232</v>
      </c>
      <c r="N2140" t="s">
        <v>36</v>
      </c>
      <c r="O2140" t="s">
        <v>37</v>
      </c>
      <c r="P2140" t="s">
        <v>408</v>
      </c>
      <c r="Q2140" t="s">
        <v>39</v>
      </c>
      <c r="R2140" t="s">
        <v>40</v>
      </c>
      <c r="S2140">
        <v>0</v>
      </c>
      <c r="U2140" t="s">
        <v>41</v>
      </c>
      <c r="V2140" t="s">
        <v>42</v>
      </c>
      <c r="X2140" t="s">
        <v>74</v>
      </c>
      <c r="Y2140" t="b">
        <v>0</v>
      </c>
      <c r="Z2140" t="b">
        <v>0</v>
      </c>
      <c r="AC2140" s="1"/>
      <c r="AF2140">
        <v>0</v>
      </c>
      <c r="AG2140">
        <v>45</v>
      </c>
      <c r="AH2140">
        <v>81</v>
      </c>
      <c r="AI2140" s="2">
        <f>Table__192.168.3.138DYLAgingReport[[#This Row],[NetAmount]]-Table__192.168.3.138DYLAgingReport[[#This Row],[Paid]]</f>
        <v>10724</v>
      </c>
    </row>
    <row r="2141" spans="1:35">
      <c r="A2141" t="s">
        <v>4407</v>
      </c>
      <c r="B2141" s="1">
        <v>41233</v>
      </c>
      <c r="C2141" s="1">
        <v>41278</v>
      </c>
      <c r="D2141" t="s">
        <v>271</v>
      </c>
      <c r="E2141">
        <v>106302</v>
      </c>
      <c r="F2141">
        <v>17008</v>
      </c>
      <c r="G2141">
        <v>0</v>
      </c>
      <c r="H2141">
        <v>0</v>
      </c>
      <c r="I2141">
        <v>35</v>
      </c>
      <c r="J2141">
        <v>123310</v>
      </c>
      <c r="K2141" t="s">
        <v>893</v>
      </c>
      <c r="L2141" s="1">
        <v>41233</v>
      </c>
      <c r="N2141" t="s">
        <v>36</v>
      </c>
      <c r="O2141" t="s">
        <v>37</v>
      </c>
      <c r="P2141" t="s">
        <v>408</v>
      </c>
      <c r="Q2141" t="s">
        <v>39</v>
      </c>
      <c r="R2141" t="s">
        <v>40</v>
      </c>
      <c r="S2141">
        <v>0</v>
      </c>
      <c r="U2141" t="s">
        <v>41</v>
      </c>
      <c r="V2141" t="s">
        <v>42</v>
      </c>
      <c r="X2141" t="s">
        <v>74</v>
      </c>
      <c r="Y2141" t="b">
        <v>0</v>
      </c>
      <c r="Z2141" t="b">
        <v>0</v>
      </c>
      <c r="AC2141" s="1"/>
      <c r="AF2141">
        <v>0</v>
      </c>
      <c r="AG2141">
        <v>45</v>
      </c>
      <c r="AH2141">
        <v>80</v>
      </c>
      <c r="AI2141" s="2">
        <f>Table__192.168.3.138DYLAgingReport[[#This Row],[NetAmount]]-Table__192.168.3.138DYLAgingReport[[#This Row],[Paid]]</f>
        <v>123310</v>
      </c>
    </row>
    <row r="2142" spans="1:35">
      <c r="A2142" t="s">
        <v>4408</v>
      </c>
      <c r="B2142" s="1">
        <v>41229</v>
      </c>
      <c r="C2142" s="1">
        <v>41274</v>
      </c>
      <c r="D2142" t="s">
        <v>271</v>
      </c>
      <c r="E2142">
        <v>78770</v>
      </c>
      <c r="F2142">
        <v>12603</v>
      </c>
      <c r="G2142">
        <v>0</v>
      </c>
      <c r="H2142">
        <v>0</v>
      </c>
      <c r="I2142">
        <v>39</v>
      </c>
      <c r="J2142">
        <v>91373</v>
      </c>
      <c r="K2142" t="s">
        <v>3358</v>
      </c>
      <c r="L2142" s="1">
        <v>41229</v>
      </c>
      <c r="N2142" t="s">
        <v>36</v>
      </c>
      <c r="O2142" t="s">
        <v>37</v>
      </c>
      <c r="P2142" t="s">
        <v>408</v>
      </c>
      <c r="Q2142" t="s">
        <v>39</v>
      </c>
      <c r="R2142" t="s">
        <v>40</v>
      </c>
      <c r="S2142">
        <v>0</v>
      </c>
      <c r="U2142" t="s">
        <v>41</v>
      </c>
      <c r="V2142" t="s">
        <v>42</v>
      </c>
      <c r="X2142" t="s">
        <v>74</v>
      </c>
      <c r="Y2142" t="b">
        <v>0</v>
      </c>
      <c r="Z2142" t="b">
        <v>0</v>
      </c>
      <c r="AC2142" s="1"/>
      <c r="AF2142">
        <v>0</v>
      </c>
      <c r="AG2142">
        <v>45</v>
      </c>
      <c r="AH2142">
        <v>84</v>
      </c>
      <c r="AI2142" s="2">
        <f>Table__192.168.3.138DYLAgingReport[[#This Row],[NetAmount]]-Table__192.168.3.138DYLAgingReport[[#This Row],[Paid]]</f>
        <v>91373</v>
      </c>
    </row>
    <row r="2143" spans="1:35">
      <c r="A2143" t="s">
        <v>4409</v>
      </c>
      <c r="B2143" s="1">
        <v>41226</v>
      </c>
      <c r="C2143" s="1">
        <v>41271</v>
      </c>
      <c r="D2143" t="s">
        <v>271</v>
      </c>
      <c r="E2143">
        <v>52600</v>
      </c>
      <c r="F2143">
        <v>8352</v>
      </c>
      <c r="G2143">
        <v>0</v>
      </c>
      <c r="H2143">
        <v>0</v>
      </c>
      <c r="I2143">
        <v>42</v>
      </c>
      <c r="J2143">
        <v>60552</v>
      </c>
      <c r="K2143" t="s">
        <v>4410</v>
      </c>
      <c r="L2143" s="1">
        <v>41226</v>
      </c>
      <c r="N2143" t="s">
        <v>36</v>
      </c>
      <c r="O2143" t="s">
        <v>37</v>
      </c>
      <c r="P2143" t="s">
        <v>408</v>
      </c>
      <c r="Q2143" t="s">
        <v>39</v>
      </c>
      <c r="R2143" t="s">
        <v>40</v>
      </c>
      <c r="S2143">
        <v>0</v>
      </c>
      <c r="U2143" t="s">
        <v>41</v>
      </c>
      <c r="V2143" t="s">
        <v>42</v>
      </c>
      <c r="X2143" t="s">
        <v>74</v>
      </c>
      <c r="Y2143" t="b">
        <v>0</v>
      </c>
      <c r="Z2143" t="b">
        <v>0</v>
      </c>
      <c r="AC2143" s="1"/>
      <c r="AF2143">
        <v>0</v>
      </c>
      <c r="AG2143">
        <v>45</v>
      </c>
      <c r="AH2143">
        <v>87</v>
      </c>
      <c r="AI2143" s="2">
        <f>Table__192.168.3.138DYLAgingReport[[#This Row],[NetAmount]]-Table__192.168.3.138DYLAgingReport[[#This Row],[Paid]]</f>
        <v>60552</v>
      </c>
    </row>
    <row r="2144" spans="1:35">
      <c r="A2144" t="s">
        <v>4411</v>
      </c>
      <c r="B2144" s="1">
        <v>41243</v>
      </c>
      <c r="C2144" s="1">
        <v>41288</v>
      </c>
      <c r="D2144" t="s">
        <v>175</v>
      </c>
      <c r="E2144">
        <v>107250</v>
      </c>
      <c r="F2144">
        <v>17160</v>
      </c>
      <c r="G2144">
        <v>0</v>
      </c>
      <c r="H2144">
        <v>0</v>
      </c>
      <c r="I2144">
        <v>25</v>
      </c>
      <c r="J2144">
        <v>124410</v>
      </c>
      <c r="K2144" t="s">
        <v>4412</v>
      </c>
      <c r="L2144" s="1">
        <v>41243</v>
      </c>
      <c r="N2144" t="s">
        <v>36</v>
      </c>
      <c r="O2144" t="s">
        <v>37</v>
      </c>
      <c r="P2144" t="s">
        <v>312</v>
      </c>
      <c r="Q2144" t="s">
        <v>39</v>
      </c>
      <c r="R2144" t="s">
        <v>40</v>
      </c>
      <c r="S2144">
        <v>0</v>
      </c>
      <c r="U2144" t="s">
        <v>41</v>
      </c>
      <c r="V2144" t="s">
        <v>42</v>
      </c>
      <c r="X2144" t="s">
        <v>74</v>
      </c>
      <c r="Y2144" t="b">
        <v>0</v>
      </c>
      <c r="Z2144" t="b">
        <v>0</v>
      </c>
      <c r="AC2144" s="1"/>
      <c r="AF2144">
        <v>0</v>
      </c>
      <c r="AG2144">
        <v>45</v>
      </c>
      <c r="AH2144">
        <v>70</v>
      </c>
      <c r="AI2144" s="2">
        <f>Table__192.168.3.138DYLAgingReport[[#This Row],[NetAmount]]-Table__192.168.3.138DYLAgingReport[[#This Row],[Paid]]</f>
        <v>124410</v>
      </c>
    </row>
    <row r="2145" spans="1:35">
      <c r="A2145" t="s">
        <v>4413</v>
      </c>
      <c r="B2145" s="1">
        <v>41230</v>
      </c>
      <c r="C2145" s="1">
        <v>41275</v>
      </c>
      <c r="D2145" t="s">
        <v>225</v>
      </c>
      <c r="E2145">
        <v>32800</v>
      </c>
      <c r="F2145">
        <v>0</v>
      </c>
      <c r="G2145">
        <v>0</v>
      </c>
      <c r="H2145">
        <v>0</v>
      </c>
      <c r="I2145">
        <v>25</v>
      </c>
      <c r="J2145">
        <v>32800</v>
      </c>
      <c r="K2145" t="s">
        <v>4414</v>
      </c>
      <c r="L2145" s="1">
        <v>41243</v>
      </c>
      <c r="N2145" t="s">
        <v>36</v>
      </c>
      <c r="O2145" t="s">
        <v>37</v>
      </c>
      <c r="P2145" t="s">
        <v>362</v>
      </c>
      <c r="Q2145" t="s">
        <v>39</v>
      </c>
      <c r="R2145" t="s">
        <v>40</v>
      </c>
      <c r="S2145">
        <v>0</v>
      </c>
      <c r="U2145" t="s">
        <v>41</v>
      </c>
      <c r="V2145" t="s">
        <v>42</v>
      </c>
      <c r="X2145" t="s">
        <v>74</v>
      </c>
      <c r="Y2145" t="b">
        <v>0</v>
      </c>
      <c r="Z2145" t="b">
        <v>0</v>
      </c>
      <c r="AC2145" s="1"/>
      <c r="AF2145">
        <v>0</v>
      </c>
      <c r="AG2145">
        <v>45</v>
      </c>
      <c r="AH2145">
        <v>70</v>
      </c>
      <c r="AI2145" s="2">
        <f>Table__192.168.3.138DYLAgingReport[[#This Row],[NetAmount]]-Table__192.168.3.138DYLAgingReport[[#This Row],[Paid]]</f>
        <v>32800</v>
      </c>
    </row>
    <row r="2146" spans="1:35">
      <c r="A2146" t="s">
        <v>4415</v>
      </c>
      <c r="B2146" s="1">
        <v>41240</v>
      </c>
      <c r="C2146" s="1">
        <v>41285</v>
      </c>
      <c r="D2146" t="s">
        <v>238</v>
      </c>
      <c r="E2146">
        <v>30000</v>
      </c>
      <c r="F2146">
        <v>4800</v>
      </c>
      <c r="G2146">
        <v>0</v>
      </c>
      <c r="H2146">
        <v>0</v>
      </c>
      <c r="I2146">
        <v>28</v>
      </c>
      <c r="J2146">
        <v>34800</v>
      </c>
      <c r="K2146" t="s">
        <v>4416</v>
      </c>
      <c r="L2146" s="1">
        <v>41240</v>
      </c>
      <c r="N2146" t="s">
        <v>36</v>
      </c>
      <c r="O2146" t="s">
        <v>37</v>
      </c>
      <c r="P2146" t="s">
        <v>375</v>
      </c>
      <c r="Q2146" t="s">
        <v>39</v>
      </c>
      <c r="R2146" t="s">
        <v>40</v>
      </c>
      <c r="S2146">
        <v>0</v>
      </c>
      <c r="U2146" t="s">
        <v>41</v>
      </c>
      <c r="V2146" t="s">
        <v>42</v>
      </c>
      <c r="X2146" t="s">
        <v>74</v>
      </c>
      <c r="Y2146" t="b">
        <v>0</v>
      </c>
      <c r="Z2146" t="b">
        <v>0</v>
      </c>
      <c r="AC2146" s="1"/>
      <c r="AF2146">
        <v>0</v>
      </c>
      <c r="AG2146">
        <v>45</v>
      </c>
      <c r="AH2146">
        <v>73</v>
      </c>
      <c r="AI2146" s="2">
        <f>Table__192.168.3.138DYLAgingReport[[#This Row],[NetAmount]]-Table__192.168.3.138DYLAgingReport[[#This Row],[Paid]]</f>
        <v>34800</v>
      </c>
    </row>
    <row r="2147" spans="1:35">
      <c r="A2147" t="s">
        <v>4417</v>
      </c>
      <c r="B2147" s="1">
        <v>41241</v>
      </c>
      <c r="C2147" s="1">
        <v>41286</v>
      </c>
      <c r="D2147" t="s">
        <v>238</v>
      </c>
      <c r="E2147">
        <v>30000</v>
      </c>
      <c r="F2147">
        <v>4800</v>
      </c>
      <c r="G2147">
        <v>0</v>
      </c>
      <c r="H2147">
        <v>0</v>
      </c>
      <c r="I2147">
        <v>27</v>
      </c>
      <c r="J2147">
        <v>34800</v>
      </c>
      <c r="K2147" t="s">
        <v>4418</v>
      </c>
      <c r="L2147" s="1">
        <v>41241</v>
      </c>
      <c r="N2147" t="s">
        <v>36</v>
      </c>
      <c r="O2147" t="s">
        <v>37</v>
      </c>
      <c r="P2147" t="s">
        <v>375</v>
      </c>
      <c r="Q2147" t="s">
        <v>39</v>
      </c>
      <c r="R2147" t="s">
        <v>40</v>
      </c>
      <c r="S2147">
        <v>0</v>
      </c>
      <c r="U2147" t="s">
        <v>41</v>
      </c>
      <c r="V2147" t="s">
        <v>42</v>
      </c>
      <c r="X2147" t="s">
        <v>74</v>
      </c>
      <c r="Y2147" t="b">
        <v>0</v>
      </c>
      <c r="Z2147" t="b">
        <v>0</v>
      </c>
      <c r="AC2147" s="1"/>
      <c r="AF2147">
        <v>0</v>
      </c>
      <c r="AG2147">
        <v>45</v>
      </c>
      <c r="AH2147">
        <v>72</v>
      </c>
      <c r="AI2147" s="2">
        <f>Table__192.168.3.138DYLAgingReport[[#This Row],[NetAmount]]-Table__192.168.3.138DYLAgingReport[[#This Row],[Paid]]</f>
        <v>34800</v>
      </c>
    </row>
    <row r="2148" spans="1:35">
      <c r="A2148" t="s">
        <v>4419</v>
      </c>
      <c r="B2148" s="1">
        <v>41243</v>
      </c>
      <c r="C2148" s="1">
        <v>41288</v>
      </c>
      <c r="D2148" t="s">
        <v>238</v>
      </c>
      <c r="E2148">
        <v>95000</v>
      </c>
      <c r="F2148">
        <v>15200</v>
      </c>
      <c r="G2148">
        <v>0</v>
      </c>
      <c r="H2148">
        <v>0</v>
      </c>
      <c r="I2148">
        <v>39</v>
      </c>
      <c r="J2148">
        <v>110200</v>
      </c>
      <c r="K2148" t="s">
        <v>4420</v>
      </c>
      <c r="L2148" s="1">
        <v>41229</v>
      </c>
      <c r="N2148" t="s">
        <v>36</v>
      </c>
      <c r="O2148" t="s">
        <v>37</v>
      </c>
      <c r="P2148" t="s">
        <v>375</v>
      </c>
      <c r="Q2148" t="s">
        <v>39</v>
      </c>
      <c r="R2148" t="s">
        <v>40</v>
      </c>
      <c r="S2148">
        <v>0</v>
      </c>
      <c r="U2148" t="s">
        <v>41</v>
      </c>
      <c r="V2148" t="s">
        <v>42</v>
      </c>
      <c r="X2148" t="s">
        <v>74</v>
      </c>
      <c r="Y2148" t="b">
        <v>0</v>
      </c>
      <c r="Z2148" t="b">
        <v>0</v>
      </c>
      <c r="AC2148" s="1"/>
      <c r="AF2148">
        <v>0</v>
      </c>
      <c r="AG2148">
        <v>45</v>
      </c>
      <c r="AH2148">
        <v>84</v>
      </c>
      <c r="AI2148" s="2">
        <f>Table__192.168.3.138DYLAgingReport[[#This Row],[NetAmount]]-Table__192.168.3.138DYLAgingReport[[#This Row],[Paid]]</f>
        <v>110200</v>
      </c>
    </row>
    <row r="2149" spans="1:35">
      <c r="A2149" t="s">
        <v>4421</v>
      </c>
      <c r="B2149" s="1">
        <v>41184</v>
      </c>
      <c r="C2149" s="1">
        <v>41184</v>
      </c>
      <c r="D2149" t="s">
        <v>293</v>
      </c>
      <c r="E2149">
        <v>14302</v>
      </c>
      <c r="F2149">
        <v>2288</v>
      </c>
      <c r="G2149">
        <v>0</v>
      </c>
      <c r="H2149">
        <v>0</v>
      </c>
      <c r="I2149">
        <v>54</v>
      </c>
      <c r="J2149">
        <v>16590</v>
      </c>
      <c r="K2149" t="s">
        <v>4422</v>
      </c>
      <c r="L2149" s="1">
        <v>41214</v>
      </c>
      <c r="N2149" t="s">
        <v>36</v>
      </c>
      <c r="O2149" t="s">
        <v>37</v>
      </c>
      <c r="P2149" t="s">
        <v>430</v>
      </c>
      <c r="Q2149" t="s">
        <v>39</v>
      </c>
      <c r="R2149" t="s">
        <v>40</v>
      </c>
      <c r="S2149">
        <v>0</v>
      </c>
      <c r="U2149" t="s">
        <v>41</v>
      </c>
      <c r="V2149" t="s">
        <v>42</v>
      </c>
      <c r="X2149" t="s">
        <v>74</v>
      </c>
      <c r="Y2149" t="b">
        <v>0</v>
      </c>
      <c r="Z2149" t="b">
        <v>0</v>
      </c>
      <c r="AB2149" t="s">
        <v>3689</v>
      </c>
      <c r="AC2149" s="1">
        <v>41283</v>
      </c>
      <c r="AE2149" t="s">
        <v>3146</v>
      </c>
      <c r="AF2149">
        <v>0</v>
      </c>
      <c r="AG2149">
        <v>45</v>
      </c>
      <c r="AH2149">
        <v>99</v>
      </c>
      <c r="AI2149" s="2">
        <f>Table__192.168.3.138DYLAgingReport[[#This Row],[NetAmount]]-Table__192.168.3.138DYLAgingReport[[#This Row],[Paid]]</f>
        <v>16590</v>
      </c>
    </row>
    <row r="2150" spans="1:35">
      <c r="A2150" t="s">
        <v>4423</v>
      </c>
      <c r="B2150" s="1">
        <v>41228</v>
      </c>
      <c r="C2150" s="1">
        <v>41273</v>
      </c>
      <c r="D2150" t="s">
        <v>208</v>
      </c>
      <c r="E2150">
        <v>41748</v>
      </c>
      <c r="F2150">
        <v>6679</v>
      </c>
      <c r="G2150">
        <v>0</v>
      </c>
      <c r="H2150">
        <v>48427.5</v>
      </c>
      <c r="I2150">
        <v>41</v>
      </c>
      <c r="J2150">
        <v>48426.5</v>
      </c>
      <c r="K2150" t="s">
        <v>4424</v>
      </c>
      <c r="L2150" s="1">
        <v>41227</v>
      </c>
      <c r="N2150" t="s">
        <v>36</v>
      </c>
      <c r="O2150" t="s">
        <v>37</v>
      </c>
      <c r="P2150" t="s">
        <v>345</v>
      </c>
      <c r="Q2150" t="s">
        <v>39</v>
      </c>
      <c r="R2150" t="s">
        <v>40</v>
      </c>
      <c r="S2150">
        <v>0</v>
      </c>
      <c r="T2150" t="s">
        <v>4425</v>
      </c>
      <c r="U2150" t="s">
        <v>41</v>
      </c>
      <c r="V2150" t="s">
        <v>42</v>
      </c>
      <c r="X2150" t="s">
        <v>74</v>
      </c>
      <c r="Y2150" t="b">
        <v>0</v>
      </c>
      <c r="Z2150" t="b">
        <v>0</v>
      </c>
      <c r="AC2150" s="1"/>
      <c r="AF2150">
        <v>0</v>
      </c>
      <c r="AG2150">
        <v>45</v>
      </c>
      <c r="AH2150">
        <v>86</v>
      </c>
      <c r="AI2150" s="2">
        <f>Table__192.168.3.138DYLAgingReport[[#This Row],[NetAmount]]-Table__192.168.3.138DYLAgingReport[[#This Row],[Paid]]</f>
        <v>48426.5</v>
      </c>
    </row>
    <row r="2151" spans="1:35">
      <c r="A2151" t="s">
        <v>4426</v>
      </c>
      <c r="B2151" s="1">
        <v>41234</v>
      </c>
      <c r="C2151" s="1">
        <v>41279</v>
      </c>
      <c r="D2151" t="s">
        <v>254</v>
      </c>
      <c r="E2151">
        <v>1580000</v>
      </c>
      <c r="F2151">
        <v>252800</v>
      </c>
      <c r="G2151">
        <v>0</v>
      </c>
      <c r="H2151">
        <v>0</v>
      </c>
      <c r="I2151">
        <v>41</v>
      </c>
      <c r="J2151">
        <v>1832800</v>
      </c>
      <c r="K2151" t="s">
        <v>4427</v>
      </c>
      <c r="L2151" s="1">
        <v>41227</v>
      </c>
      <c r="N2151" t="s">
        <v>36</v>
      </c>
      <c r="O2151" t="s">
        <v>37</v>
      </c>
      <c r="P2151" t="s">
        <v>391</v>
      </c>
      <c r="Q2151" t="s">
        <v>39</v>
      </c>
      <c r="R2151" t="s">
        <v>40</v>
      </c>
      <c r="S2151">
        <v>0</v>
      </c>
      <c r="U2151" t="s">
        <v>41</v>
      </c>
      <c r="V2151" t="s">
        <v>42</v>
      </c>
      <c r="X2151" t="s">
        <v>74</v>
      </c>
      <c r="Y2151" t="b">
        <v>0</v>
      </c>
      <c r="Z2151" t="b">
        <v>0</v>
      </c>
      <c r="AC2151" s="1"/>
      <c r="AF2151">
        <v>0</v>
      </c>
      <c r="AG2151">
        <v>45</v>
      </c>
      <c r="AH2151">
        <v>86</v>
      </c>
      <c r="AI2151" s="2">
        <f>Table__192.168.3.138DYLAgingReport[[#This Row],[NetAmount]]-Table__192.168.3.138DYLAgingReport[[#This Row],[Paid]]</f>
        <v>1832800</v>
      </c>
    </row>
    <row r="2152" spans="1:35">
      <c r="A2152" t="s">
        <v>4428</v>
      </c>
      <c r="B2152" s="1">
        <v>41239</v>
      </c>
      <c r="C2152" s="1">
        <v>41284</v>
      </c>
      <c r="D2152" t="s">
        <v>254</v>
      </c>
      <c r="E2152">
        <v>110000</v>
      </c>
      <c r="F2152">
        <v>17600</v>
      </c>
      <c r="G2152">
        <v>0</v>
      </c>
      <c r="H2152">
        <v>0</v>
      </c>
      <c r="I2152">
        <v>36</v>
      </c>
      <c r="J2152">
        <v>127600</v>
      </c>
      <c r="K2152" t="s">
        <v>4429</v>
      </c>
      <c r="L2152" s="1">
        <v>41232</v>
      </c>
      <c r="N2152" t="s">
        <v>36</v>
      </c>
      <c r="O2152" t="s">
        <v>37</v>
      </c>
      <c r="P2152" t="s">
        <v>391</v>
      </c>
      <c r="Q2152" t="s">
        <v>39</v>
      </c>
      <c r="R2152" t="s">
        <v>40</v>
      </c>
      <c r="S2152">
        <v>0</v>
      </c>
      <c r="U2152" t="s">
        <v>41</v>
      </c>
      <c r="V2152" t="s">
        <v>42</v>
      </c>
      <c r="X2152" t="s">
        <v>74</v>
      </c>
      <c r="Y2152" t="b">
        <v>0</v>
      </c>
      <c r="Z2152" t="b">
        <v>0</v>
      </c>
      <c r="AC2152" s="1"/>
      <c r="AF2152">
        <v>0</v>
      </c>
      <c r="AG2152">
        <v>45</v>
      </c>
      <c r="AH2152">
        <v>81</v>
      </c>
      <c r="AI2152" s="2">
        <f>Table__192.168.3.138DYLAgingReport[[#This Row],[NetAmount]]-Table__192.168.3.138DYLAgingReport[[#This Row],[Paid]]</f>
        <v>127600</v>
      </c>
    </row>
    <row r="2153" spans="1:35">
      <c r="A2153" t="s">
        <v>4430</v>
      </c>
      <c r="B2153" s="1">
        <v>41243</v>
      </c>
      <c r="C2153" s="1">
        <v>41288</v>
      </c>
      <c r="D2153" t="s">
        <v>254</v>
      </c>
      <c r="E2153">
        <v>1536200</v>
      </c>
      <c r="F2153">
        <v>245792</v>
      </c>
      <c r="G2153">
        <v>0</v>
      </c>
      <c r="H2153">
        <v>0</v>
      </c>
      <c r="I2153">
        <v>33</v>
      </c>
      <c r="J2153">
        <v>1781992</v>
      </c>
      <c r="K2153" t="s">
        <v>1222</v>
      </c>
      <c r="L2153" s="1">
        <v>41235</v>
      </c>
      <c r="N2153" t="s">
        <v>36</v>
      </c>
      <c r="O2153" t="s">
        <v>37</v>
      </c>
      <c r="P2153" t="s">
        <v>391</v>
      </c>
      <c r="Q2153" t="s">
        <v>39</v>
      </c>
      <c r="R2153" t="s">
        <v>40</v>
      </c>
      <c r="S2153">
        <v>0</v>
      </c>
      <c r="U2153" t="s">
        <v>41</v>
      </c>
      <c r="V2153" t="s">
        <v>42</v>
      </c>
      <c r="X2153" t="s">
        <v>74</v>
      </c>
      <c r="Y2153" t="b">
        <v>0</v>
      </c>
      <c r="Z2153" t="b">
        <v>0</v>
      </c>
      <c r="AC2153" s="1"/>
      <c r="AF2153">
        <v>0</v>
      </c>
      <c r="AG2153">
        <v>45</v>
      </c>
      <c r="AH2153">
        <v>78</v>
      </c>
      <c r="AI2153" s="2">
        <f>Table__192.168.3.138DYLAgingReport[[#This Row],[NetAmount]]-Table__192.168.3.138DYLAgingReport[[#This Row],[Paid]]</f>
        <v>1781992</v>
      </c>
    </row>
    <row r="2154" spans="1:35">
      <c r="A2154" t="s">
        <v>4431</v>
      </c>
      <c r="B2154" s="1">
        <v>41239</v>
      </c>
      <c r="C2154" s="1">
        <v>41284</v>
      </c>
      <c r="D2154" t="s">
        <v>175</v>
      </c>
      <c r="E2154">
        <v>426350</v>
      </c>
      <c r="F2154">
        <v>68216</v>
      </c>
      <c r="G2154">
        <v>0</v>
      </c>
      <c r="H2154">
        <v>0</v>
      </c>
      <c r="I2154">
        <v>29</v>
      </c>
      <c r="J2154">
        <v>494566</v>
      </c>
      <c r="K2154" t="s">
        <v>4207</v>
      </c>
      <c r="L2154" s="1">
        <v>41239</v>
      </c>
      <c r="N2154" t="s">
        <v>36</v>
      </c>
      <c r="O2154" t="s">
        <v>37</v>
      </c>
      <c r="P2154" t="s">
        <v>312</v>
      </c>
      <c r="Q2154" t="s">
        <v>39</v>
      </c>
      <c r="R2154" t="s">
        <v>40</v>
      </c>
      <c r="S2154">
        <v>0</v>
      </c>
      <c r="U2154" t="s">
        <v>41</v>
      </c>
      <c r="V2154" t="s">
        <v>42</v>
      </c>
      <c r="X2154" t="s">
        <v>74</v>
      </c>
      <c r="Y2154" t="b">
        <v>0</v>
      </c>
      <c r="Z2154" t="b">
        <v>0</v>
      </c>
      <c r="AC2154" s="1"/>
      <c r="AF2154">
        <v>0</v>
      </c>
      <c r="AG2154">
        <v>45</v>
      </c>
      <c r="AH2154">
        <v>74</v>
      </c>
      <c r="AI2154" s="2">
        <f>Table__192.168.3.138DYLAgingReport[[#This Row],[NetAmount]]-Table__192.168.3.138DYLAgingReport[[#This Row],[Paid]]</f>
        <v>494566</v>
      </c>
    </row>
    <row r="2155" spans="1:35">
      <c r="A2155" t="s">
        <v>4432</v>
      </c>
      <c r="B2155" s="1">
        <v>41220</v>
      </c>
      <c r="C2155" s="1">
        <v>41265</v>
      </c>
      <c r="D2155" t="s">
        <v>271</v>
      </c>
      <c r="E2155">
        <v>113100</v>
      </c>
      <c r="F2155">
        <v>18096</v>
      </c>
      <c r="G2155">
        <v>0</v>
      </c>
      <c r="H2155">
        <v>0</v>
      </c>
      <c r="I2155">
        <v>13</v>
      </c>
      <c r="J2155">
        <v>131196</v>
      </c>
      <c r="K2155" t="s">
        <v>4433</v>
      </c>
      <c r="L2155" s="1">
        <v>41255</v>
      </c>
      <c r="N2155" t="s">
        <v>36</v>
      </c>
      <c r="O2155" t="s">
        <v>37</v>
      </c>
      <c r="P2155" t="s">
        <v>408</v>
      </c>
      <c r="Q2155" t="s">
        <v>39</v>
      </c>
      <c r="R2155" t="s">
        <v>40</v>
      </c>
      <c r="S2155">
        <v>0</v>
      </c>
      <c r="U2155" t="s">
        <v>41</v>
      </c>
      <c r="V2155" t="s">
        <v>42</v>
      </c>
      <c r="X2155" t="s">
        <v>74</v>
      </c>
      <c r="Y2155" t="b">
        <v>0</v>
      </c>
      <c r="Z2155" t="b">
        <v>0</v>
      </c>
      <c r="AB2155" t="s">
        <v>3737</v>
      </c>
      <c r="AC2155" s="1">
        <v>41311</v>
      </c>
      <c r="AF2155">
        <v>0</v>
      </c>
      <c r="AG2155">
        <v>45</v>
      </c>
      <c r="AH2155">
        <v>58</v>
      </c>
      <c r="AI2155" s="2">
        <f>Table__192.168.3.138DYLAgingReport[[#This Row],[NetAmount]]-Table__192.168.3.138DYLAgingReport[[#This Row],[Paid]]</f>
        <v>131196</v>
      </c>
    </row>
    <row r="2156" spans="1:35">
      <c r="A2156" t="s">
        <v>4434</v>
      </c>
      <c r="B2156" s="1">
        <v>41204</v>
      </c>
      <c r="C2156" s="1">
        <v>41249</v>
      </c>
      <c r="D2156" t="s">
        <v>211</v>
      </c>
      <c r="E2156">
        <v>3400</v>
      </c>
      <c r="F2156">
        <v>0</v>
      </c>
      <c r="G2156">
        <v>0</v>
      </c>
      <c r="H2156">
        <v>0</v>
      </c>
      <c r="I2156">
        <v>40</v>
      </c>
      <c r="J2156">
        <v>3400</v>
      </c>
      <c r="K2156" t="s">
        <v>4435</v>
      </c>
      <c r="L2156" s="1">
        <v>41228</v>
      </c>
      <c r="N2156" t="s">
        <v>36</v>
      </c>
      <c r="O2156" t="s">
        <v>37</v>
      </c>
      <c r="P2156" t="s">
        <v>348</v>
      </c>
      <c r="Q2156" t="s">
        <v>39</v>
      </c>
      <c r="R2156" t="s">
        <v>40</v>
      </c>
      <c r="S2156">
        <v>0</v>
      </c>
      <c r="U2156" t="s">
        <v>41</v>
      </c>
      <c r="V2156" t="s">
        <v>42</v>
      </c>
      <c r="X2156" t="s">
        <v>74</v>
      </c>
      <c r="Y2156" t="b">
        <v>0</v>
      </c>
      <c r="Z2156" t="b">
        <v>0</v>
      </c>
      <c r="AC2156" s="1"/>
      <c r="AF2156">
        <v>0</v>
      </c>
      <c r="AG2156">
        <v>45</v>
      </c>
      <c r="AH2156">
        <v>85</v>
      </c>
      <c r="AI2156" s="2">
        <f>Table__192.168.3.138DYLAgingReport[[#This Row],[NetAmount]]-Table__192.168.3.138DYLAgingReport[[#This Row],[Paid]]</f>
        <v>3400</v>
      </c>
    </row>
    <row r="2157" spans="1:35">
      <c r="A2157" t="s">
        <v>4436</v>
      </c>
      <c r="B2157" s="1">
        <v>41223</v>
      </c>
      <c r="C2157" s="1">
        <v>41268</v>
      </c>
      <c r="D2157" t="s">
        <v>211</v>
      </c>
      <c r="E2157">
        <v>9000</v>
      </c>
      <c r="F2157">
        <v>0</v>
      </c>
      <c r="G2157">
        <v>0</v>
      </c>
      <c r="H2157">
        <v>0</v>
      </c>
      <c r="I2157">
        <v>45</v>
      </c>
      <c r="J2157">
        <v>9000</v>
      </c>
      <c r="K2157" t="s">
        <v>4437</v>
      </c>
      <c r="L2157" s="1">
        <v>41223</v>
      </c>
      <c r="N2157" t="s">
        <v>36</v>
      </c>
      <c r="O2157" t="s">
        <v>37</v>
      </c>
      <c r="P2157" t="s">
        <v>348</v>
      </c>
      <c r="Q2157" t="s">
        <v>39</v>
      </c>
      <c r="R2157" t="s">
        <v>40</v>
      </c>
      <c r="S2157">
        <v>0</v>
      </c>
      <c r="U2157" t="s">
        <v>41</v>
      </c>
      <c r="V2157" t="s">
        <v>42</v>
      </c>
      <c r="X2157" t="s">
        <v>74</v>
      </c>
      <c r="Y2157" t="b">
        <v>0</v>
      </c>
      <c r="Z2157" t="b">
        <v>0</v>
      </c>
      <c r="AC2157" s="1"/>
      <c r="AF2157">
        <v>0</v>
      </c>
      <c r="AG2157">
        <v>45</v>
      </c>
      <c r="AH2157">
        <v>90</v>
      </c>
      <c r="AI2157" s="2">
        <f>Table__192.168.3.138DYLAgingReport[[#This Row],[NetAmount]]-Table__192.168.3.138DYLAgingReport[[#This Row],[Paid]]</f>
        <v>9000</v>
      </c>
    </row>
    <row r="2158" spans="1:35">
      <c r="A2158" t="s">
        <v>4438</v>
      </c>
      <c r="B2158" s="1">
        <v>41241</v>
      </c>
      <c r="C2158" s="1">
        <v>41286</v>
      </c>
      <c r="D2158" t="s">
        <v>263</v>
      </c>
      <c r="E2158">
        <v>407074</v>
      </c>
      <c r="F2158">
        <v>65132</v>
      </c>
      <c r="G2158">
        <v>0</v>
      </c>
      <c r="H2158">
        <v>0</v>
      </c>
      <c r="I2158">
        <v>26</v>
      </c>
      <c r="J2158">
        <v>472206</v>
      </c>
      <c r="K2158" t="s">
        <v>2192</v>
      </c>
      <c r="L2158" s="1">
        <v>41242</v>
      </c>
      <c r="N2158" t="s">
        <v>36</v>
      </c>
      <c r="O2158" t="s">
        <v>37</v>
      </c>
      <c r="P2158" t="s">
        <v>400</v>
      </c>
      <c r="Q2158" t="s">
        <v>39</v>
      </c>
      <c r="R2158" t="s">
        <v>40</v>
      </c>
      <c r="S2158">
        <v>0</v>
      </c>
      <c r="U2158" t="s">
        <v>41</v>
      </c>
      <c r="V2158" t="s">
        <v>42</v>
      </c>
      <c r="X2158" t="s">
        <v>74</v>
      </c>
      <c r="Y2158" t="b">
        <v>0</v>
      </c>
      <c r="Z2158" t="b">
        <v>0</v>
      </c>
      <c r="AC2158" s="1"/>
      <c r="AF2158">
        <v>0</v>
      </c>
      <c r="AG2158">
        <v>45</v>
      </c>
      <c r="AH2158">
        <v>71</v>
      </c>
      <c r="AI2158" s="2">
        <f>Table__192.168.3.138DYLAgingReport[[#This Row],[NetAmount]]-Table__192.168.3.138DYLAgingReport[[#This Row],[Paid]]</f>
        <v>472206</v>
      </c>
    </row>
    <row r="2159" spans="1:35">
      <c r="A2159" t="s">
        <v>4439</v>
      </c>
      <c r="B2159" s="1">
        <v>41152</v>
      </c>
      <c r="C2159" s="1">
        <v>41152</v>
      </c>
      <c r="D2159" t="s">
        <v>291</v>
      </c>
      <c r="E2159">
        <v>1925</v>
      </c>
      <c r="F2159">
        <v>308</v>
      </c>
      <c r="G2159">
        <v>0</v>
      </c>
      <c r="H2159">
        <v>0</v>
      </c>
      <c r="I2159">
        <v>184</v>
      </c>
      <c r="J2159">
        <v>2233</v>
      </c>
      <c r="K2159" t="s">
        <v>4440</v>
      </c>
      <c r="L2159" s="1">
        <v>41084</v>
      </c>
      <c r="M2159" t="s">
        <v>4441</v>
      </c>
      <c r="N2159" t="s">
        <v>36</v>
      </c>
      <c r="O2159" t="s">
        <v>37</v>
      </c>
      <c r="P2159" t="s">
        <v>428</v>
      </c>
      <c r="Q2159" t="s">
        <v>39</v>
      </c>
      <c r="R2159" t="s">
        <v>40</v>
      </c>
      <c r="S2159">
        <v>0</v>
      </c>
      <c r="U2159" t="s">
        <v>41</v>
      </c>
      <c r="V2159" t="s">
        <v>42</v>
      </c>
      <c r="W2159" t="s">
        <v>792</v>
      </c>
      <c r="X2159" t="s">
        <v>74</v>
      </c>
      <c r="Y2159" t="b">
        <v>0</v>
      </c>
      <c r="Z2159" t="b">
        <v>0</v>
      </c>
      <c r="AA2159" t="b">
        <v>0</v>
      </c>
      <c r="AC2159" s="1"/>
      <c r="AF2159">
        <v>0</v>
      </c>
      <c r="AG2159">
        <v>45</v>
      </c>
      <c r="AH2159">
        <v>229</v>
      </c>
      <c r="AI2159" s="2">
        <f>Table__192.168.3.138DYLAgingReport[[#This Row],[NetAmount]]-Table__192.168.3.138DYLAgingReport[[#This Row],[Paid]]</f>
        <v>2233</v>
      </c>
    </row>
    <row r="2160" spans="1:35">
      <c r="A2160" t="s">
        <v>4442</v>
      </c>
      <c r="B2160" s="1">
        <v>41212</v>
      </c>
      <c r="C2160" s="1">
        <v>41257</v>
      </c>
      <c r="D2160" t="s">
        <v>187</v>
      </c>
      <c r="E2160">
        <v>38520</v>
      </c>
      <c r="F2160">
        <v>0</v>
      </c>
      <c r="G2160">
        <v>0</v>
      </c>
      <c r="H2160">
        <v>0</v>
      </c>
      <c r="I2160">
        <v>56</v>
      </c>
      <c r="J2160">
        <v>38520</v>
      </c>
      <c r="K2160" t="s">
        <v>4443</v>
      </c>
      <c r="L2160" s="1">
        <v>41212</v>
      </c>
      <c r="N2160" t="s">
        <v>36</v>
      </c>
      <c r="O2160" t="s">
        <v>37</v>
      </c>
      <c r="P2160" t="s">
        <v>324</v>
      </c>
      <c r="Q2160" t="s">
        <v>39</v>
      </c>
      <c r="R2160" t="s">
        <v>40</v>
      </c>
      <c r="S2160">
        <v>0</v>
      </c>
      <c r="U2160" t="s">
        <v>41</v>
      </c>
      <c r="V2160" t="s">
        <v>42</v>
      </c>
      <c r="X2160" t="s">
        <v>74</v>
      </c>
      <c r="Y2160" t="b">
        <v>0</v>
      </c>
      <c r="Z2160" t="b">
        <v>0</v>
      </c>
      <c r="AC2160" s="1"/>
      <c r="AF2160">
        <v>0</v>
      </c>
      <c r="AG2160">
        <v>45</v>
      </c>
      <c r="AH2160">
        <v>101</v>
      </c>
      <c r="AI2160" s="2">
        <f>Table__192.168.3.138DYLAgingReport[[#This Row],[NetAmount]]-Table__192.168.3.138DYLAgingReport[[#This Row],[Paid]]</f>
        <v>38520</v>
      </c>
    </row>
    <row r="2161" spans="1:35">
      <c r="A2161" t="s">
        <v>4444</v>
      </c>
      <c r="B2161" s="1">
        <v>41206</v>
      </c>
      <c r="C2161" s="1">
        <v>41251</v>
      </c>
      <c r="D2161" t="s">
        <v>187</v>
      </c>
      <c r="E2161">
        <v>42750</v>
      </c>
      <c r="F2161">
        <v>0</v>
      </c>
      <c r="G2161">
        <v>0</v>
      </c>
      <c r="H2161">
        <v>0</v>
      </c>
      <c r="I2161">
        <v>62</v>
      </c>
      <c r="J2161">
        <v>42750</v>
      </c>
      <c r="K2161" t="s">
        <v>4445</v>
      </c>
      <c r="L2161" s="1">
        <v>41206</v>
      </c>
      <c r="N2161" t="s">
        <v>36</v>
      </c>
      <c r="O2161" t="s">
        <v>37</v>
      </c>
      <c r="P2161" t="s">
        <v>324</v>
      </c>
      <c r="Q2161" t="s">
        <v>39</v>
      </c>
      <c r="R2161" t="s">
        <v>40</v>
      </c>
      <c r="S2161">
        <v>0</v>
      </c>
      <c r="U2161" t="s">
        <v>41</v>
      </c>
      <c r="V2161" t="s">
        <v>42</v>
      </c>
      <c r="X2161" t="s">
        <v>74</v>
      </c>
      <c r="Y2161" t="b">
        <v>0</v>
      </c>
      <c r="Z2161" t="b">
        <v>0</v>
      </c>
      <c r="AC2161" s="1"/>
      <c r="AF2161">
        <v>0</v>
      </c>
      <c r="AG2161">
        <v>45</v>
      </c>
      <c r="AH2161">
        <v>107</v>
      </c>
      <c r="AI2161" s="2">
        <f>Table__192.168.3.138DYLAgingReport[[#This Row],[NetAmount]]-Table__192.168.3.138DYLAgingReport[[#This Row],[Paid]]</f>
        <v>42750</v>
      </c>
    </row>
    <row r="2162" spans="1:35">
      <c r="A2162" t="s">
        <v>4446</v>
      </c>
      <c r="B2162" s="1">
        <v>41206</v>
      </c>
      <c r="C2162" s="1">
        <v>41251</v>
      </c>
      <c r="D2162" t="s">
        <v>187</v>
      </c>
      <c r="E2162">
        <v>37850</v>
      </c>
      <c r="F2162">
        <v>0</v>
      </c>
      <c r="G2162">
        <v>0</v>
      </c>
      <c r="H2162">
        <v>0</v>
      </c>
      <c r="I2162">
        <v>55</v>
      </c>
      <c r="J2162">
        <v>37850</v>
      </c>
      <c r="K2162" t="s">
        <v>4447</v>
      </c>
      <c r="L2162" s="1">
        <v>41213</v>
      </c>
      <c r="N2162" t="s">
        <v>36</v>
      </c>
      <c r="O2162" t="s">
        <v>37</v>
      </c>
      <c r="P2162" t="s">
        <v>324</v>
      </c>
      <c r="Q2162" t="s">
        <v>39</v>
      </c>
      <c r="R2162" t="s">
        <v>40</v>
      </c>
      <c r="S2162">
        <v>0</v>
      </c>
      <c r="U2162" t="s">
        <v>41</v>
      </c>
      <c r="V2162" t="s">
        <v>42</v>
      </c>
      <c r="X2162" t="s">
        <v>74</v>
      </c>
      <c r="Y2162" t="b">
        <v>0</v>
      </c>
      <c r="Z2162" t="b">
        <v>0</v>
      </c>
      <c r="AC2162" s="1"/>
      <c r="AF2162">
        <v>0</v>
      </c>
      <c r="AG2162">
        <v>45</v>
      </c>
      <c r="AH2162">
        <v>100</v>
      </c>
      <c r="AI2162" s="2">
        <f>Table__192.168.3.138DYLAgingReport[[#This Row],[NetAmount]]-Table__192.168.3.138DYLAgingReport[[#This Row],[Paid]]</f>
        <v>37850</v>
      </c>
    </row>
    <row r="2163" spans="1:35">
      <c r="A2163" t="s">
        <v>4448</v>
      </c>
      <c r="B2163" s="1">
        <v>41207</v>
      </c>
      <c r="C2163" s="1">
        <v>41252</v>
      </c>
      <c r="D2163" t="s">
        <v>187</v>
      </c>
      <c r="E2163">
        <v>33300</v>
      </c>
      <c r="F2163">
        <v>0</v>
      </c>
      <c r="G2163">
        <v>0</v>
      </c>
      <c r="H2163">
        <v>0</v>
      </c>
      <c r="I2163">
        <v>61</v>
      </c>
      <c r="J2163">
        <v>33300</v>
      </c>
      <c r="K2163" t="s">
        <v>4449</v>
      </c>
      <c r="L2163" s="1">
        <v>41207</v>
      </c>
      <c r="N2163" t="s">
        <v>36</v>
      </c>
      <c r="O2163" t="s">
        <v>37</v>
      </c>
      <c r="P2163" t="s">
        <v>324</v>
      </c>
      <c r="Q2163" t="s">
        <v>39</v>
      </c>
      <c r="R2163" t="s">
        <v>40</v>
      </c>
      <c r="S2163">
        <v>0</v>
      </c>
      <c r="U2163" t="s">
        <v>41</v>
      </c>
      <c r="V2163" t="s">
        <v>42</v>
      </c>
      <c r="X2163" t="s">
        <v>74</v>
      </c>
      <c r="Y2163" t="b">
        <v>0</v>
      </c>
      <c r="Z2163" t="b">
        <v>0</v>
      </c>
      <c r="AC2163" s="1"/>
      <c r="AF2163">
        <v>0</v>
      </c>
      <c r="AG2163">
        <v>45</v>
      </c>
      <c r="AH2163">
        <v>106</v>
      </c>
      <c r="AI2163" s="2">
        <f>Table__192.168.3.138DYLAgingReport[[#This Row],[NetAmount]]-Table__192.168.3.138DYLAgingReport[[#This Row],[Paid]]</f>
        <v>33300</v>
      </c>
    </row>
    <row r="2164" spans="1:35">
      <c r="A2164" t="s">
        <v>4450</v>
      </c>
      <c r="B2164" s="1">
        <v>41220</v>
      </c>
      <c r="C2164" s="1">
        <v>41265</v>
      </c>
      <c r="D2164" t="s">
        <v>187</v>
      </c>
      <c r="E2164">
        <v>12000</v>
      </c>
      <c r="F2164">
        <v>0</v>
      </c>
      <c r="G2164">
        <v>0</v>
      </c>
      <c r="H2164">
        <v>0</v>
      </c>
      <c r="I2164">
        <v>48</v>
      </c>
      <c r="J2164">
        <v>12000</v>
      </c>
      <c r="K2164" t="s">
        <v>4451</v>
      </c>
      <c r="L2164" s="1">
        <v>41220</v>
      </c>
      <c r="N2164" t="s">
        <v>36</v>
      </c>
      <c r="O2164" t="s">
        <v>37</v>
      </c>
      <c r="P2164" t="s">
        <v>324</v>
      </c>
      <c r="Q2164" t="s">
        <v>39</v>
      </c>
      <c r="R2164" t="s">
        <v>40</v>
      </c>
      <c r="S2164">
        <v>0</v>
      </c>
      <c r="U2164" t="s">
        <v>41</v>
      </c>
      <c r="V2164" t="s">
        <v>42</v>
      </c>
      <c r="X2164" t="s">
        <v>74</v>
      </c>
      <c r="Y2164" t="b">
        <v>0</v>
      </c>
      <c r="Z2164" t="b">
        <v>0</v>
      </c>
      <c r="AC2164" s="1"/>
      <c r="AF2164">
        <v>0</v>
      </c>
      <c r="AG2164">
        <v>45</v>
      </c>
      <c r="AH2164">
        <v>93</v>
      </c>
      <c r="AI2164" s="2">
        <f>Table__192.168.3.138DYLAgingReport[[#This Row],[NetAmount]]-Table__192.168.3.138DYLAgingReport[[#This Row],[Paid]]</f>
        <v>12000</v>
      </c>
    </row>
    <row r="2165" spans="1:35">
      <c r="A2165" t="s">
        <v>4452</v>
      </c>
      <c r="B2165" s="1">
        <v>41219</v>
      </c>
      <c r="C2165" s="1">
        <v>41264</v>
      </c>
      <c r="D2165" t="s">
        <v>187</v>
      </c>
      <c r="E2165">
        <v>64845</v>
      </c>
      <c r="F2165">
        <v>0</v>
      </c>
      <c r="G2165">
        <v>0</v>
      </c>
      <c r="H2165">
        <v>0</v>
      </c>
      <c r="I2165">
        <v>49</v>
      </c>
      <c r="J2165">
        <v>64845</v>
      </c>
      <c r="K2165" t="s">
        <v>4453</v>
      </c>
      <c r="L2165" s="1">
        <v>41219</v>
      </c>
      <c r="N2165" t="s">
        <v>36</v>
      </c>
      <c r="O2165" t="s">
        <v>37</v>
      </c>
      <c r="P2165" t="s">
        <v>324</v>
      </c>
      <c r="Q2165" t="s">
        <v>39</v>
      </c>
      <c r="R2165" t="s">
        <v>40</v>
      </c>
      <c r="S2165">
        <v>0</v>
      </c>
      <c r="U2165" t="s">
        <v>41</v>
      </c>
      <c r="V2165" t="s">
        <v>42</v>
      </c>
      <c r="X2165" t="s">
        <v>74</v>
      </c>
      <c r="Y2165" t="b">
        <v>0</v>
      </c>
      <c r="Z2165" t="b">
        <v>0</v>
      </c>
      <c r="AC2165" s="1"/>
      <c r="AF2165">
        <v>0</v>
      </c>
      <c r="AG2165">
        <v>45</v>
      </c>
      <c r="AH2165">
        <v>94</v>
      </c>
      <c r="AI2165" s="2">
        <f>Table__192.168.3.138DYLAgingReport[[#This Row],[NetAmount]]-Table__192.168.3.138DYLAgingReport[[#This Row],[Paid]]</f>
        <v>64845</v>
      </c>
    </row>
    <row r="2166" spans="1:35">
      <c r="A2166" t="s">
        <v>4454</v>
      </c>
      <c r="B2166" s="1">
        <v>41229</v>
      </c>
      <c r="C2166" s="1">
        <v>41274</v>
      </c>
      <c r="D2166" t="s">
        <v>187</v>
      </c>
      <c r="E2166">
        <v>38520</v>
      </c>
      <c r="F2166">
        <v>0</v>
      </c>
      <c r="G2166">
        <v>0</v>
      </c>
      <c r="H2166">
        <v>0</v>
      </c>
      <c r="I2166">
        <v>39</v>
      </c>
      <c r="J2166">
        <v>38520</v>
      </c>
      <c r="K2166" t="s">
        <v>4455</v>
      </c>
      <c r="L2166" s="1">
        <v>41229</v>
      </c>
      <c r="N2166" t="s">
        <v>36</v>
      </c>
      <c r="O2166" t="s">
        <v>37</v>
      </c>
      <c r="P2166" t="s">
        <v>324</v>
      </c>
      <c r="Q2166" t="s">
        <v>39</v>
      </c>
      <c r="R2166" t="s">
        <v>40</v>
      </c>
      <c r="S2166">
        <v>0</v>
      </c>
      <c r="U2166" t="s">
        <v>41</v>
      </c>
      <c r="V2166" t="s">
        <v>42</v>
      </c>
      <c r="X2166" t="s">
        <v>74</v>
      </c>
      <c r="Y2166" t="b">
        <v>0</v>
      </c>
      <c r="Z2166" t="b">
        <v>0</v>
      </c>
      <c r="AC2166" s="1"/>
      <c r="AF2166">
        <v>0</v>
      </c>
      <c r="AG2166">
        <v>45</v>
      </c>
      <c r="AH2166">
        <v>84</v>
      </c>
      <c r="AI2166" s="2">
        <f>Table__192.168.3.138DYLAgingReport[[#This Row],[NetAmount]]-Table__192.168.3.138DYLAgingReport[[#This Row],[Paid]]</f>
        <v>38520</v>
      </c>
    </row>
    <row r="2167" spans="1:35">
      <c r="A2167" t="s">
        <v>4456</v>
      </c>
      <c r="B2167" s="1">
        <v>41232</v>
      </c>
      <c r="C2167" s="1">
        <v>41277</v>
      </c>
      <c r="D2167" t="s">
        <v>187</v>
      </c>
      <c r="E2167">
        <v>36000</v>
      </c>
      <c r="F2167">
        <v>0</v>
      </c>
      <c r="G2167">
        <v>0</v>
      </c>
      <c r="H2167">
        <v>0</v>
      </c>
      <c r="I2167">
        <v>36</v>
      </c>
      <c r="J2167">
        <v>36000</v>
      </c>
      <c r="K2167" t="s">
        <v>4457</v>
      </c>
      <c r="L2167" s="1">
        <v>41232</v>
      </c>
      <c r="N2167" t="s">
        <v>36</v>
      </c>
      <c r="O2167" t="s">
        <v>37</v>
      </c>
      <c r="P2167" t="s">
        <v>324</v>
      </c>
      <c r="Q2167" t="s">
        <v>39</v>
      </c>
      <c r="R2167" t="s">
        <v>40</v>
      </c>
      <c r="S2167">
        <v>0</v>
      </c>
      <c r="U2167" t="s">
        <v>41</v>
      </c>
      <c r="V2167" t="s">
        <v>42</v>
      </c>
      <c r="X2167" t="s">
        <v>74</v>
      </c>
      <c r="Y2167" t="b">
        <v>0</v>
      </c>
      <c r="Z2167" t="b">
        <v>0</v>
      </c>
      <c r="AC2167" s="1"/>
      <c r="AF2167">
        <v>0</v>
      </c>
      <c r="AG2167">
        <v>45</v>
      </c>
      <c r="AH2167">
        <v>81</v>
      </c>
      <c r="AI2167" s="2">
        <f>Table__192.168.3.138DYLAgingReport[[#This Row],[NetAmount]]-Table__192.168.3.138DYLAgingReport[[#This Row],[Paid]]</f>
        <v>36000</v>
      </c>
    </row>
    <row r="2168" spans="1:35">
      <c r="A2168" t="s">
        <v>4458</v>
      </c>
      <c r="B2168" s="1">
        <v>41235</v>
      </c>
      <c r="C2168" s="1">
        <v>41280</v>
      </c>
      <c r="D2168" t="s">
        <v>187</v>
      </c>
      <c r="E2168">
        <v>6600</v>
      </c>
      <c r="F2168">
        <v>0</v>
      </c>
      <c r="G2168">
        <v>0</v>
      </c>
      <c r="H2168">
        <v>0</v>
      </c>
      <c r="I2168">
        <v>33</v>
      </c>
      <c r="J2168">
        <v>6600</v>
      </c>
      <c r="K2168" t="s">
        <v>4459</v>
      </c>
      <c r="L2168" s="1">
        <v>41235</v>
      </c>
      <c r="N2168" t="s">
        <v>36</v>
      </c>
      <c r="O2168" t="s">
        <v>37</v>
      </c>
      <c r="P2168" t="s">
        <v>324</v>
      </c>
      <c r="Q2168" t="s">
        <v>39</v>
      </c>
      <c r="R2168" t="s">
        <v>40</v>
      </c>
      <c r="S2168">
        <v>0</v>
      </c>
      <c r="U2168" t="s">
        <v>41</v>
      </c>
      <c r="V2168" t="s">
        <v>42</v>
      </c>
      <c r="X2168" t="s">
        <v>74</v>
      </c>
      <c r="Y2168" t="b">
        <v>0</v>
      </c>
      <c r="Z2168" t="b">
        <v>0</v>
      </c>
      <c r="AC2168" s="1"/>
      <c r="AF2168">
        <v>0</v>
      </c>
      <c r="AG2168">
        <v>45</v>
      </c>
      <c r="AH2168">
        <v>78</v>
      </c>
      <c r="AI2168" s="2">
        <f>Table__192.168.3.138DYLAgingReport[[#This Row],[NetAmount]]-Table__192.168.3.138DYLAgingReport[[#This Row],[Paid]]</f>
        <v>6600</v>
      </c>
    </row>
    <row r="2169" spans="1:35">
      <c r="A2169" t="s">
        <v>4460</v>
      </c>
      <c r="B2169" s="1">
        <v>41235</v>
      </c>
      <c r="C2169" s="1">
        <v>41280</v>
      </c>
      <c r="D2169" t="s">
        <v>187</v>
      </c>
      <c r="E2169">
        <v>20000</v>
      </c>
      <c r="F2169">
        <v>0</v>
      </c>
      <c r="G2169">
        <v>0</v>
      </c>
      <c r="H2169">
        <v>0</v>
      </c>
      <c r="I2169">
        <v>33</v>
      </c>
      <c r="J2169">
        <v>20000</v>
      </c>
      <c r="K2169" t="s">
        <v>4461</v>
      </c>
      <c r="L2169" s="1">
        <v>41235</v>
      </c>
      <c r="N2169" t="s">
        <v>36</v>
      </c>
      <c r="O2169" t="s">
        <v>37</v>
      </c>
      <c r="P2169" t="s">
        <v>324</v>
      </c>
      <c r="Q2169" t="s">
        <v>39</v>
      </c>
      <c r="R2169" t="s">
        <v>40</v>
      </c>
      <c r="S2169">
        <v>0</v>
      </c>
      <c r="U2169" t="s">
        <v>41</v>
      </c>
      <c r="V2169" t="s">
        <v>42</v>
      </c>
      <c r="X2169" t="s">
        <v>74</v>
      </c>
      <c r="Y2169" t="b">
        <v>0</v>
      </c>
      <c r="Z2169" t="b">
        <v>0</v>
      </c>
      <c r="AC2169" s="1"/>
      <c r="AF2169">
        <v>0</v>
      </c>
      <c r="AG2169">
        <v>45</v>
      </c>
      <c r="AH2169">
        <v>78</v>
      </c>
      <c r="AI2169" s="2">
        <f>Table__192.168.3.138DYLAgingReport[[#This Row],[NetAmount]]-Table__192.168.3.138DYLAgingReport[[#This Row],[Paid]]</f>
        <v>20000</v>
      </c>
    </row>
    <row r="2170" spans="1:35">
      <c r="A2170" t="s">
        <v>4462</v>
      </c>
      <c r="B2170" s="1">
        <v>41236</v>
      </c>
      <c r="C2170" s="1">
        <v>41281</v>
      </c>
      <c r="D2170" t="s">
        <v>187</v>
      </c>
      <c r="E2170">
        <v>15000</v>
      </c>
      <c r="F2170">
        <v>0</v>
      </c>
      <c r="G2170">
        <v>0</v>
      </c>
      <c r="H2170">
        <v>0</v>
      </c>
      <c r="I2170">
        <v>32</v>
      </c>
      <c r="J2170">
        <v>15000</v>
      </c>
      <c r="K2170" t="s">
        <v>4463</v>
      </c>
      <c r="L2170" s="1">
        <v>41236</v>
      </c>
      <c r="N2170" t="s">
        <v>36</v>
      </c>
      <c r="O2170" t="s">
        <v>37</v>
      </c>
      <c r="P2170" t="s">
        <v>324</v>
      </c>
      <c r="Q2170" t="s">
        <v>39</v>
      </c>
      <c r="R2170" t="s">
        <v>40</v>
      </c>
      <c r="S2170">
        <v>0</v>
      </c>
      <c r="U2170" t="s">
        <v>41</v>
      </c>
      <c r="V2170" t="s">
        <v>42</v>
      </c>
      <c r="X2170" t="s">
        <v>74</v>
      </c>
      <c r="Y2170" t="b">
        <v>0</v>
      </c>
      <c r="Z2170" t="b">
        <v>0</v>
      </c>
      <c r="AC2170" s="1"/>
      <c r="AF2170">
        <v>0</v>
      </c>
      <c r="AG2170">
        <v>45</v>
      </c>
      <c r="AH2170">
        <v>77</v>
      </c>
      <c r="AI2170" s="2">
        <f>Table__192.168.3.138DYLAgingReport[[#This Row],[NetAmount]]-Table__192.168.3.138DYLAgingReport[[#This Row],[Paid]]</f>
        <v>15000</v>
      </c>
    </row>
    <row r="2171" spans="1:35">
      <c r="A2171" t="s">
        <v>4464</v>
      </c>
      <c r="B2171" s="1">
        <v>41240</v>
      </c>
      <c r="C2171" s="1">
        <v>41285</v>
      </c>
      <c r="D2171" t="s">
        <v>187</v>
      </c>
      <c r="E2171">
        <v>72890</v>
      </c>
      <c r="F2171">
        <v>0</v>
      </c>
      <c r="G2171">
        <v>0</v>
      </c>
      <c r="H2171">
        <v>0</v>
      </c>
      <c r="I2171">
        <v>28</v>
      </c>
      <c r="J2171">
        <v>72890</v>
      </c>
      <c r="K2171" t="s">
        <v>4465</v>
      </c>
      <c r="L2171" s="1">
        <v>41240</v>
      </c>
      <c r="N2171" t="s">
        <v>36</v>
      </c>
      <c r="O2171" t="s">
        <v>37</v>
      </c>
      <c r="P2171" t="s">
        <v>324</v>
      </c>
      <c r="Q2171" t="s">
        <v>39</v>
      </c>
      <c r="R2171" t="s">
        <v>40</v>
      </c>
      <c r="S2171">
        <v>0</v>
      </c>
      <c r="U2171" t="s">
        <v>41</v>
      </c>
      <c r="V2171" t="s">
        <v>42</v>
      </c>
      <c r="X2171" t="s">
        <v>74</v>
      </c>
      <c r="Y2171" t="b">
        <v>0</v>
      </c>
      <c r="Z2171" t="b">
        <v>0</v>
      </c>
      <c r="AC2171" s="1"/>
      <c r="AF2171">
        <v>0</v>
      </c>
      <c r="AG2171">
        <v>45</v>
      </c>
      <c r="AH2171">
        <v>73</v>
      </c>
      <c r="AI2171" s="2">
        <f>Table__192.168.3.138DYLAgingReport[[#This Row],[NetAmount]]-Table__192.168.3.138DYLAgingReport[[#This Row],[Paid]]</f>
        <v>72890</v>
      </c>
    </row>
    <row r="2172" spans="1:35">
      <c r="A2172" t="s">
        <v>4466</v>
      </c>
      <c r="B2172" s="1">
        <v>41242</v>
      </c>
      <c r="C2172" s="1">
        <v>41287</v>
      </c>
      <c r="D2172" t="s">
        <v>187</v>
      </c>
      <c r="E2172">
        <v>3000</v>
      </c>
      <c r="F2172">
        <v>0</v>
      </c>
      <c r="G2172">
        <v>0</v>
      </c>
      <c r="H2172">
        <v>0</v>
      </c>
      <c r="I2172">
        <v>26</v>
      </c>
      <c r="J2172">
        <v>3000</v>
      </c>
      <c r="K2172" t="s">
        <v>4467</v>
      </c>
      <c r="L2172" s="1">
        <v>41242</v>
      </c>
      <c r="N2172" t="s">
        <v>36</v>
      </c>
      <c r="O2172" t="s">
        <v>37</v>
      </c>
      <c r="P2172" t="s">
        <v>324</v>
      </c>
      <c r="Q2172" t="s">
        <v>39</v>
      </c>
      <c r="R2172" t="s">
        <v>40</v>
      </c>
      <c r="S2172">
        <v>0</v>
      </c>
      <c r="U2172" t="s">
        <v>41</v>
      </c>
      <c r="V2172" t="s">
        <v>42</v>
      </c>
      <c r="X2172" t="s">
        <v>74</v>
      </c>
      <c r="Y2172" t="b">
        <v>0</v>
      </c>
      <c r="Z2172" t="b">
        <v>0</v>
      </c>
      <c r="AC2172" s="1"/>
      <c r="AF2172">
        <v>0</v>
      </c>
      <c r="AG2172">
        <v>45</v>
      </c>
      <c r="AH2172">
        <v>71</v>
      </c>
      <c r="AI2172" s="2">
        <f>Table__192.168.3.138DYLAgingReport[[#This Row],[NetAmount]]-Table__192.168.3.138DYLAgingReport[[#This Row],[Paid]]</f>
        <v>3000</v>
      </c>
    </row>
    <row r="2173" spans="1:35">
      <c r="A2173" t="s">
        <v>4468</v>
      </c>
      <c r="B2173" s="1">
        <v>41254</v>
      </c>
      <c r="C2173" s="1">
        <v>41299</v>
      </c>
      <c r="D2173" t="s">
        <v>235</v>
      </c>
      <c r="E2173">
        <v>48250</v>
      </c>
      <c r="F2173">
        <v>0</v>
      </c>
      <c r="G2173">
        <v>0</v>
      </c>
      <c r="H2173">
        <v>0</v>
      </c>
      <c r="I2173">
        <v>11</v>
      </c>
      <c r="J2173">
        <v>48250</v>
      </c>
      <c r="K2173" t="s">
        <v>4469</v>
      </c>
      <c r="L2173" s="1">
        <v>41257</v>
      </c>
      <c r="N2173" t="s">
        <v>36</v>
      </c>
      <c r="O2173" t="s">
        <v>37</v>
      </c>
      <c r="P2173" t="s">
        <v>372</v>
      </c>
      <c r="Q2173" t="s">
        <v>39</v>
      </c>
      <c r="R2173" t="s">
        <v>40</v>
      </c>
      <c r="S2173">
        <v>0</v>
      </c>
      <c r="U2173" t="s">
        <v>41</v>
      </c>
      <c r="V2173" t="s">
        <v>42</v>
      </c>
      <c r="X2173" t="s">
        <v>74</v>
      </c>
      <c r="Y2173" t="b">
        <v>0</v>
      </c>
      <c r="Z2173" t="b">
        <v>0</v>
      </c>
      <c r="AC2173" s="1"/>
      <c r="AF2173">
        <v>0</v>
      </c>
      <c r="AG2173">
        <v>45</v>
      </c>
      <c r="AH2173">
        <v>56</v>
      </c>
      <c r="AI2173" s="2">
        <f>Table__192.168.3.138DYLAgingReport[[#This Row],[NetAmount]]-Table__192.168.3.138DYLAgingReport[[#This Row],[Paid]]</f>
        <v>48250</v>
      </c>
    </row>
    <row r="2174" spans="1:35">
      <c r="A2174" t="s">
        <v>4470</v>
      </c>
      <c r="B2174" s="1">
        <v>41242</v>
      </c>
      <c r="C2174" s="1">
        <v>41287</v>
      </c>
      <c r="D2174" t="s">
        <v>187</v>
      </c>
      <c r="E2174">
        <v>44890</v>
      </c>
      <c r="F2174">
        <v>0</v>
      </c>
      <c r="G2174">
        <v>0</v>
      </c>
      <c r="H2174">
        <v>0</v>
      </c>
      <c r="I2174">
        <v>26</v>
      </c>
      <c r="J2174">
        <v>44890</v>
      </c>
      <c r="K2174" t="s">
        <v>4471</v>
      </c>
      <c r="L2174" s="1">
        <v>41242</v>
      </c>
      <c r="N2174" t="s">
        <v>36</v>
      </c>
      <c r="O2174" t="s">
        <v>37</v>
      </c>
      <c r="P2174" t="s">
        <v>324</v>
      </c>
      <c r="Q2174" t="s">
        <v>39</v>
      </c>
      <c r="R2174" t="s">
        <v>40</v>
      </c>
      <c r="S2174">
        <v>0</v>
      </c>
      <c r="U2174" t="s">
        <v>41</v>
      </c>
      <c r="V2174" t="s">
        <v>42</v>
      </c>
      <c r="X2174" t="s">
        <v>74</v>
      </c>
      <c r="Y2174" t="b">
        <v>0</v>
      </c>
      <c r="Z2174" t="b">
        <v>0</v>
      </c>
      <c r="AC2174" s="1"/>
      <c r="AF2174">
        <v>0</v>
      </c>
      <c r="AG2174">
        <v>45</v>
      </c>
      <c r="AH2174">
        <v>71</v>
      </c>
      <c r="AI2174" s="2">
        <f>Table__192.168.3.138DYLAgingReport[[#This Row],[NetAmount]]-Table__192.168.3.138DYLAgingReport[[#This Row],[Paid]]</f>
        <v>44890</v>
      </c>
    </row>
    <row r="2175" spans="1:35">
      <c r="A2175" t="s">
        <v>4472</v>
      </c>
      <c r="B2175" s="1">
        <v>41243</v>
      </c>
      <c r="C2175" s="1">
        <v>41288</v>
      </c>
      <c r="D2175" t="s">
        <v>187</v>
      </c>
      <c r="E2175">
        <v>50050</v>
      </c>
      <c r="F2175">
        <v>0</v>
      </c>
      <c r="G2175">
        <v>0</v>
      </c>
      <c r="H2175">
        <v>0</v>
      </c>
      <c r="I2175">
        <v>25</v>
      </c>
      <c r="J2175">
        <v>50050</v>
      </c>
      <c r="K2175" t="s">
        <v>4473</v>
      </c>
      <c r="L2175" s="1">
        <v>41243</v>
      </c>
      <c r="N2175" t="s">
        <v>36</v>
      </c>
      <c r="O2175" t="s">
        <v>37</v>
      </c>
      <c r="P2175" t="s">
        <v>324</v>
      </c>
      <c r="Q2175" t="s">
        <v>39</v>
      </c>
      <c r="R2175" t="s">
        <v>40</v>
      </c>
      <c r="S2175">
        <v>0</v>
      </c>
      <c r="U2175" t="s">
        <v>41</v>
      </c>
      <c r="V2175" t="s">
        <v>42</v>
      </c>
      <c r="X2175" t="s">
        <v>74</v>
      </c>
      <c r="Y2175" t="b">
        <v>0</v>
      </c>
      <c r="Z2175" t="b">
        <v>0</v>
      </c>
      <c r="AC2175" s="1"/>
      <c r="AF2175">
        <v>0</v>
      </c>
      <c r="AG2175">
        <v>45</v>
      </c>
      <c r="AH2175">
        <v>70</v>
      </c>
      <c r="AI2175" s="2">
        <f>Table__192.168.3.138DYLAgingReport[[#This Row],[NetAmount]]-Table__192.168.3.138DYLAgingReport[[#This Row],[Paid]]</f>
        <v>50050</v>
      </c>
    </row>
    <row r="2176" spans="1:35">
      <c r="A2176" t="s">
        <v>4474</v>
      </c>
      <c r="B2176" s="1">
        <v>41247</v>
      </c>
      <c r="C2176" s="1">
        <v>41292</v>
      </c>
      <c r="D2176" t="s">
        <v>227</v>
      </c>
      <c r="E2176">
        <v>72000</v>
      </c>
      <c r="F2176">
        <v>11520</v>
      </c>
      <c r="G2176">
        <v>0</v>
      </c>
      <c r="H2176">
        <v>0</v>
      </c>
      <c r="I2176">
        <v>19</v>
      </c>
      <c r="J2176">
        <v>83520</v>
      </c>
      <c r="K2176" t="s">
        <v>4475</v>
      </c>
      <c r="L2176" s="1">
        <v>41249</v>
      </c>
      <c r="N2176" t="s">
        <v>36</v>
      </c>
      <c r="O2176" t="s">
        <v>37</v>
      </c>
      <c r="P2176" t="s">
        <v>364</v>
      </c>
      <c r="Q2176" t="s">
        <v>39</v>
      </c>
      <c r="R2176" t="s">
        <v>40</v>
      </c>
      <c r="S2176">
        <v>0</v>
      </c>
      <c r="U2176" t="s">
        <v>41</v>
      </c>
      <c r="V2176" t="s">
        <v>42</v>
      </c>
      <c r="X2176" t="s">
        <v>74</v>
      </c>
      <c r="Y2176" t="b">
        <v>0</v>
      </c>
      <c r="Z2176" t="b">
        <v>0</v>
      </c>
      <c r="AC2176" s="1"/>
      <c r="AF2176">
        <v>0</v>
      </c>
      <c r="AG2176">
        <v>45</v>
      </c>
      <c r="AH2176">
        <v>64</v>
      </c>
      <c r="AI2176" s="2">
        <f>Table__192.168.3.138DYLAgingReport[[#This Row],[NetAmount]]-Table__192.168.3.138DYLAgingReport[[#This Row],[Paid]]</f>
        <v>83520</v>
      </c>
    </row>
    <row r="2177" spans="1:35">
      <c r="A2177" t="s">
        <v>4476</v>
      </c>
      <c r="B2177" s="1">
        <v>41251</v>
      </c>
      <c r="C2177" s="1">
        <v>41296</v>
      </c>
      <c r="D2177" t="s">
        <v>227</v>
      </c>
      <c r="E2177">
        <v>112500</v>
      </c>
      <c r="F2177">
        <v>18000</v>
      </c>
      <c r="G2177">
        <v>0</v>
      </c>
      <c r="H2177">
        <v>0</v>
      </c>
      <c r="I2177">
        <v>17</v>
      </c>
      <c r="J2177">
        <v>130500</v>
      </c>
      <c r="K2177" t="s">
        <v>4477</v>
      </c>
      <c r="L2177" s="1">
        <v>41251</v>
      </c>
      <c r="N2177" t="s">
        <v>36</v>
      </c>
      <c r="O2177" t="s">
        <v>37</v>
      </c>
      <c r="P2177" t="s">
        <v>364</v>
      </c>
      <c r="Q2177" t="s">
        <v>39</v>
      </c>
      <c r="R2177" t="s">
        <v>40</v>
      </c>
      <c r="S2177">
        <v>0</v>
      </c>
      <c r="U2177" t="s">
        <v>41</v>
      </c>
      <c r="V2177" t="s">
        <v>42</v>
      </c>
      <c r="X2177" t="s">
        <v>74</v>
      </c>
      <c r="Y2177" t="b">
        <v>0</v>
      </c>
      <c r="Z2177" t="b">
        <v>0</v>
      </c>
      <c r="AC2177" s="1"/>
      <c r="AF2177">
        <v>0</v>
      </c>
      <c r="AG2177">
        <v>45</v>
      </c>
      <c r="AH2177">
        <v>62</v>
      </c>
      <c r="AI2177" s="2">
        <f>Table__192.168.3.138DYLAgingReport[[#This Row],[NetAmount]]-Table__192.168.3.138DYLAgingReport[[#This Row],[Paid]]</f>
        <v>130500</v>
      </c>
    </row>
    <row r="2178" spans="1:35">
      <c r="A2178" t="s">
        <v>4478</v>
      </c>
      <c r="B2178" s="1">
        <v>41253</v>
      </c>
      <c r="C2178" s="1">
        <v>41298</v>
      </c>
      <c r="D2178" t="s">
        <v>227</v>
      </c>
      <c r="E2178">
        <v>307500</v>
      </c>
      <c r="F2178">
        <v>49200</v>
      </c>
      <c r="G2178">
        <v>0</v>
      </c>
      <c r="H2178">
        <v>0</v>
      </c>
      <c r="I2178">
        <v>15</v>
      </c>
      <c r="J2178">
        <v>356700</v>
      </c>
      <c r="K2178" t="s">
        <v>4479</v>
      </c>
      <c r="L2178" s="1">
        <v>41253</v>
      </c>
      <c r="N2178" t="s">
        <v>36</v>
      </c>
      <c r="O2178" t="s">
        <v>37</v>
      </c>
      <c r="P2178" t="s">
        <v>364</v>
      </c>
      <c r="Q2178" t="s">
        <v>39</v>
      </c>
      <c r="R2178" t="s">
        <v>40</v>
      </c>
      <c r="S2178">
        <v>0</v>
      </c>
      <c r="U2178" t="s">
        <v>41</v>
      </c>
      <c r="V2178" t="s">
        <v>42</v>
      </c>
      <c r="X2178" t="s">
        <v>74</v>
      </c>
      <c r="Y2178" t="b">
        <v>0</v>
      </c>
      <c r="Z2178" t="b">
        <v>0</v>
      </c>
      <c r="AC2178" s="1"/>
      <c r="AF2178">
        <v>0</v>
      </c>
      <c r="AG2178">
        <v>45</v>
      </c>
      <c r="AH2178">
        <v>60</v>
      </c>
      <c r="AI2178" s="2">
        <f>Table__192.168.3.138DYLAgingReport[[#This Row],[NetAmount]]-Table__192.168.3.138DYLAgingReport[[#This Row],[Paid]]</f>
        <v>356700</v>
      </c>
    </row>
    <row r="2179" spans="1:35">
      <c r="A2179" t="s">
        <v>4480</v>
      </c>
      <c r="B2179" s="1">
        <v>41256</v>
      </c>
      <c r="C2179" s="1">
        <v>41301</v>
      </c>
      <c r="D2179" t="s">
        <v>227</v>
      </c>
      <c r="E2179">
        <v>168000</v>
      </c>
      <c r="F2179">
        <v>26880</v>
      </c>
      <c r="G2179">
        <v>0</v>
      </c>
      <c r="H2179">
        <v>0</v>
      </c>
      <c r="I2179">
        <v>12</v>
      </c>
      <c r="J2179">
        <v>194880</v>
      </c>
      <c r="K2179" t="s">
        <v>4481</v>
      </c>
      <c r="L2179" s="1">
        <v>41256</v>
      </c>
      <c r="N2179" t="s">
        <v>36</v>
      </c>
      <c r="O2179" t="s">
        <v>37</v>
      </c>
      <c r="P2179" t="s">
        <v>364</v>
      </c>
      <c r="Q2179" t="s">
        <v>39</v>
      </c>
      <c r="R2179" t="s">
        <v>40</v>
      </c>
      <c r="S2179">
        <v>0</v>
      </c>
      <c r="U2179" t="s">
        <v>41</v>
      </c>
      <c r="V2179" t="s">
        <v>42</v>
      </c>
      <c r="X2179" t="s">
        <v>74</v>
      </c>
      <c r="Y2179" t="b">
        <v>0</v>
      </c>
      <c r="Z2179" t="b">
        <v>0</v>
      </c>
      <c r="AC2179" s="1"/>
      <c r="AF2179">
        <v>0</v>
      </c>
      <c r="AG2179">
        <v>45</v>
      </c>
      <c r="AH2179">
        <v>57</v>
      </c>
      <c r="AI2179" s="2">
        <f>Table__192.168.3.138DYLAgingReport[[#This Row],[NetAmount]]-Table__192.168.3.138DYLAgingReport[[#This Row],[Paid]]</f>
        <v>194880</v>
      </c>
    </row>
    <row r="2180" spans="1:35">
      <c r="A2180" t="s">
        <v>4482</v>
      </c>
      <c r="B2180" s="1">
        <v>41249</v>
      </c>
      <c r="C2180" s="1">
        <v>41279</v>
      </c>
      <c r="D2180" t="s">
        <v>284</v>
      </c>
      <c r="E2180">
        <v>56200</v>
      </c>
      <c r="F2180">
        <v>0</v>
      </c>
      <c r="G2180">
        <v>0</v>
      </c>
      <c r="H2180">
        <v>0</v>
      </c>
      <c r="I2180">
        <v>34</v>
      </c>
      <c r="J2180">
        <v>56200</v>
      </c>
      <c r="K2180" t="s">
        <v>4483</v>
      </c>
      <c r="L2180" s="1">
        <v>41249</v>
      </c>
      <c r="N2180" t="s">
        <v>36</v>
      </c>
      <c r="O2180" t="s">
        <v>37</v>
      </c>
      <c r="P2180" t="s">
        <v>421</v>
      </c>
      <c r="Q2180" t="s">
        <v>39</v>
      </c>
      <c r="R2180" t="s">
        <v>40</v>
      </c>
      <c r="S2180">
        <v>0</v>
      </c>
      <c r="U2180" t="s">
        <v>41</v>
      </c>
      <c r="V2180" t="s">
        <v>42</v>
      </c>
      <c r="X2180" t="s">
        <v>74</v>
      </c>
      <c r="Y2180" t="b">
        <v>0</v>
      </c>
      <c r="Z2180" t="b">
        <v>0</v>
      </c>
      <c r="AC2180" s="1"/>
      <c r="AF2180">
        <v>0</v>
      </c>
      <c r="AG2180">
        <v>30</v>
      </c>
      <c r="AH2180">
        <v>64</v>
      </c>
      <c r="AI2180" s="2">
        <f>Table__192.168.3.138DYLAgingReport[[#This Row],[NetAmount]]-Table__192.168.3.138DYLAgingReport[[#This Row],[Paid]]</f>
        <v>56200</v>
      </c>
    </row>
    <row r="2181" spans="1:35">
      <c r="A2181" t="s">
        <v>4484</v>
      </c>
      <c r="B2181" s="1">
        <v>41254</v>
      </c>
      <c r="C2181" s="1">
        <v>41284</v>
      </c>
      <c r="D2181" t="s">
        <v>284</v>
      </c>
      <c r="E2181">
        <v>56200</v>
      </c>
      <c r="F2181">
        <v>0</v>
      </c>
      <c r="G2181">
        <v>0</v>
      </c>
      <c r="H2181">
        <v>0</v>
      </c>
      <c r="I2181">
        <v>29</v>
      </c>
      <c r="J2181">
        <v>56200</v>
      </c>
      <c r="K2181" t="s">
        <v>1246</v>
      </c>
      <c r="L2181" s="1">
        <v>41254</v>
      </c>
      <c r="N2181" t="s">
        <v>36</v>
      </c>
      <c r="O2181" t="s">
        <v>37</v>
      </c>
      <c r="P2181" t="s">
        <v>421</v>
      </c>
      <c r="Q2181" t="s">
        <v>39</v>
      </c>
      <c r="R2181" t="s">
        <v>40</v>
      </c>
      <c r="S2181">
        <v>0</v>
      </c>
      <c r="U2181" t="s">
        <v>41</v>
      </c>
      <c r="V2181" t="s">
        <v>42</v>
      </c>
      <c r="X2181" t="s">
        <v>74</v>
      </c>
      <c r="Y2181" t="b">
        <v>0</v>
      </c>
      <c r="Z2181" t="b">
        <v>0</v>
      </c>
      <c r="AC2181" s="1"/>
      <c r="AF2181">
        <v>0</v>
      </c>
      <c r="AG2181">
        <v>30</v>
      </c>
      <c r="AH2181">
        <v>59</v>
      </c>
      <c r="AI2181" s="2">
        <f>Table__192.168.3.138DYLAgingReport[[#This Row],[NetAmount]]-Table__192.168.3.138DYLAgingReport[[#This Row],[Paid]]</f>
        <v>56200</v>
      </c>
    </row>
    <row r="2182" spans="1:35">
      <c r="A2182" t="s">
        <v>4485</v>
      </c>
      <c r="B2182" s="1">
        <v>41247</v>
      </c>
      <c r="C2182" s="1">
        <v>41292</v>
      </c>
      <c r="D2182" t="s">
        <v>258</v>
      </c>
      <c r="E2182">
        <v>21890</v>
      </c>
      <c r="F2182">
        <v>3502</v>
      </c>
      <c r="G2182">
        <v>0</v>
      </c>
      <c r="H2182">
        <v>0</v>
      </c>
      <c r="I2182">
        <v>22</v>
      </c>
      <c r="J2182">
        <v>25392</v>
      </c>
      <c r="K2182" t="s">
        <v>4299</v>
      </c>
      <c r="L2182" s="1">
        <v>41246</v>
      </c>
      <c r="N2182" t="s">
        <v>36</v>
      </c>
      <c r="O2182" t="s">
        <v>37</v>
      </c>
      <c r="P2182" t="s">
        <v>395</v>
      </c>
      <c r="Q2182" t="s">
        <v>39</v>
      </c>
      <c r="R2182" t="s">
        <v>40</v>
      </c>
      <c r="S2182">
        <v>0</v>
      </c>
      <c r="U2182" t="s">
        <v>41</v>
      </c>
      <c r="V2182" t="s">
        <v>42</v>
      </c>
      <c r="X2182" t="s">
        <v>74</v>
      </c>
      <c r="Y2182" t="b">
        <v>0</v>
      </c>
      <c r="Z2182" t="b">
        <v>0</v>
      </c>
      <c r="AC2182" s="1"/>
      <c r="AF2182">
        <v>0</v>
      </c>
      <c r="AG2182">
        <v>45</v>
      </c>
      <c r="AH2182">
        <v>67</v>
      </c>
      <c r="AI2182" s="2">
        <f>Table__192.168.3.138DYLAgingReport[[#This Row],[NetAmount]]-Table__192.168.3.138DYLAgingReport[[#This Row],[Paid]]</f>
        <v>25392</v>
      </c>
    </row>
    <row r="2183" spans="1:35">
      <c r="A2183" t="s">
        <v>4486</v>
      </c>
      <c r="B2183" s="1">
        <v>41249</v>
      </c>
      <c r="C2183" s="1">
        <v>41294</v>
      </c>
      <c r="D2183" t="s">
        <v>258</v>
      </c>
      <c r="E2183">
        <v>41850</v>
      </c>
      <c r="F2183">
        <v>6696</v>
      </c>
      <c r="G2183">
        <v>0</v>
      </c>
      <c r="H2183">
        <v>0</v>
      </c>
      <c r="I2183">
        <v>19</v>
      </c>
      <c r="J2183">
        <v>48546</v>
      </c>
      <c r="K2183" t="s">
        <v>4487</v>
      </c>
      <c r="L2183" s="1">
        <v>41249</v>
      </c>
      <c r="N2183" t="s">
        <v>36</v>
      </c>
      <c r="O2183" t="s">
        <v>37</v>
      </c>
      <c r="P2183" t="s">
        <v>395</v>
      </c>
      <c r="Q2183" t="s">
        <v>39</v>
      </c>
      <c r="R2183" t="s">
        <v>40</v>
      </c>
      <c r="S2183">
        <v>0</v>
      </c>
      <c r="U2183" t="s">
        <v>41</v>
      </c>
      <c r="V2183" t="s">
        <v>42</v>
      </c>
      <c r="X2183" t="s">
        <v>74</v>
      </c>
      <c r="Y2183" t="b">
        <v>0</v>
      </c>
      <c r="Z2183" t="b">
        <v>0</v>
      </c>
      <c r="AC2183" s="1"/>
      <c r="AF2183">
        <v>0</v>
      </c>
      <c r="AG2183">
        <v>45</v>
      </c>
      <c r="AH2183">
        <v>64</v>
      </c>
      <c r="AI2183" s="2">
        <f>Table__192.168.3.138DYLAgingReport[[#This Row],[NetAmount]]-Table__192.168.3.138DYLAgingReport[[#This Row],[Paid]]</f>
        <v>48546</v>
      </c>
    </row>
    <row r="2184" spans="1:35">
      <c r="A2184" t="s">
        <v>4488</v>
      </c>
      <c r="B2184" s="1">
        <v>41251</v>
      </c>
      <c r="C2184" s="1">
        <v>41296</v>
      </c>
      <c r="D2184" t="s">
        <v>258</v>
      </c>
      <c r="E2184">
        <v>68540</v>
      </c>
      <c r="F2184">
        <v>10967</v>
      </c>
      <c r="G2184">
        <v>0</v>
      </c>
      <c r="H2184">
        <v>0</v>
      </c>
      <c r="I2184">
        <v>17</v>
      </c>
      <c r="J2184">
        <v>79507</v>
      </c>
      <c r="K2184" t="s">
        <v>1224</v>
      </c>
      <c r="L2184" s="1">
        <v>41251</v>
      </c>
      <c r="N2184" t="s">
        <v>36</v>
      </c>
      <c r="O2184" t="s">
        <v>37</v>
      </c>
      <c r="P2184" t="s">
        <v>395</v>
      </c>
      <c r="Q2184" t="s">
        <v>39</v>
      </c>
      <c r="R2184" t="s">
        <v>40</v>
      </c>
      <c r="S2184">
        <v>0</v>
      </c>
      <c r="U2184" t="s">
        <v>41</v>
      </c>
      <c r="V2184" t="s">
        <v>42</v>
      </c>
      <c r="X2184" t="s">
        <v>74</v>
      </c>
      <c r="Y2184" t="b">
        <v>0</v>
      </c>
      <c r="Z2184" t="b">
        <v>0</v>
      </c>
      <c r="AC2184" s="1"/>
      <c r="AF2184">
        <v>0</v>
      </c>
      <c r="AG2184">
        <v>45</v>
      </c>
      <c r="AH2184">
        <v>62</v>
      </c>
      <c r="AI2184" s="2">
        <f>Table__192.168.3.138DYLAgingReport[[#This Row],[NetAmount]]-Table__192.168.3.138DYLAgingReport[[#This Row],[Paid]]</f>
        <v>79507</v>
      </c>
    </row>
    <row r="2185" spans="1:35">
      <c r="A2185" t="s">
        <v>4489</v>
      </c>
      <c r="B2185" s="1">
        <v>41254</v>
      </c>
      <c r="C2185" s="1">
        <v>41299</v>
      </c>
      <c r="D2185" t="s">
        <v>258</v>
      </c>
      <c r="E2185">
        <v>59580</v>
      </c>
      <c r="F2185">
        <v>9533</v>
      </c>
      <c r="G2185">
        <v>0</v>
      </c>
      <c r="H2185">
        <v>0</v>
      </c>
      <c r="I2185">
        <v>14</v>
      </c>
      <c r="J2185">
        <v>69113</v>
      </c>
      <c r="K2185" t="s">
        <v>4490</v>
      </c>
      <c r="L2185" s="1">
        <v>41254</v>
      </c>
      <c r="N2185" t="s">
        <v>36</v>
      </c>
      <c r="O2185" t="s">
        <v>37</v>
      </c>
      <c r="P2185" t="s">
        <v>395</v>
      </c>
      <c r="Q2185" t="s">
        <v>39</v>
      </c>
      <c r="R2185" t="s">
        <v>40</v>
      </c>
      <c r="S2185">
        <v>0</v>
      </c>
      <c r="U2185" t="s">
        <v>41</v>
      </c>
      <c r="V2185" t="s">
        <v>42</v>
      </c>
      <c r="X2185" t="s">
        <v>74</v>
      </c>
      <c r="Y2185" t="b">
        <v>0</v>
      </c>
      <c r="Z2185" t="b">
        <v>0</v>
      </c>
      <c r="AC2185" s="1"/>
      <c r="AF2185">
        <v>0</v>
      </c>
      <c r="AG2185">
        <v>45</v>
      </c>
      <c r="AH2185">
        <v>59</v>
      </c>
      <c r="AI2185" s="2">
        <f>Table__192.168.3.138DYLAgingReport[[#This Row],[NetAmount]]-Table__192.168.3.138DYLAgingReport[[#This Row],[Paid]]</f>
        <v>69113</v>
      </c>
    </row>
    <row r="2186" spans="1:35">
      <c r="A2186" t="s">
        <v>4491</v>
      </c>
      <c r="B2186" s="1">
        <v>41255</v>
      </c>
      <c r="C2186" s="1">
        <v>41300</v>
      </c>
      <c r="D2186" t="s">
        <v>263</v>
      </c>
      <c r="E2186">
        <v>506425</v>
      </c>
      <c r="F2186">
        <v>81028</v>
      </c>
      <c r="G2186">
        <v>0</v>
      </c>
      <c r="H2186">
        <v>0</v>
      </c>
      <c r="I2186">
        <v>11</v>
      </c>
      <c r="J2186">
        <v>587453</v>
      </c>
      <c r="K2186" t="s">
        <v>4492</v>
      </c>
      <c r="L2186" s="1">
        <v>41257</v>
      </c>
      <c r="N2186" t="s">
        <v>36</v>
      </c>
      <c r="O2186" t="s">
        <v>37</v>
      </c>
      <c r="P2186" t="s">
        <v>400</v>
      </c>
      <c r="Q2186" t="s">
        <v>39</v>
      </c>
      <c r="R2186" t="s">
        <v>40</v>
      </c>
      <c r="S2186">
        <v>0</v>
      </c>
      <c r="U2186" t="s">
        <v>41</v>
      </c>
      <c r="V2186" t="s">
        <v>42</v>
      </c>
      <c r="X2186" t="s">
        <v>74</v>
      </c>
      <c r="Y2186" t="b">
        <v>0</v>
      </c>
      <c r="Z2186" t="b">
        <v>0</v>
      </c>
      <c r="AC2186" s="1"/>
      <c r="AF2186">
        <v>0</v>
      </c>
      <c r="AG2186">
        <v>45</v>
      </c>
      <c r="AH2186">
        <v>56</v>
      </c>
      <c r="AI2186" s="2">
        <f>Table__192.168.3.138DYLAgingReport[[#This Row],[NetAmount]]-Table__192.168.3.138DYLAgingReport[[#This Row],[Paid]]</f>
        <v>587453</v>
      </c>
    </row>
    <row r="2187" spans="1:35">
      <c r="A2187" t="s">
        <v>4493</v>
      </c>
      <c r="B2187" s="1">
        <v>41255</v>
      </c>
      <c r="C2187" s="1">
        <v>41300</v>
      </c>
      <c r="D2187" t="s">
        <v>253</v>
      </c>
      <c r="E2187">
        <v>586393</v>
      </c>
      <c r="F2187">
        <v>93822</v>
      </c>
      <c r="G2187">
        <v>0</v>
      </c>
      <c r="H2187">
        <v>0</v>
      </c>
      <c r="I2187">
        <v>13</v>
      </c>
      <c r="J2187">
        <v>680215</v>
      </c>
      <c r="K2187" t="s">
        <v>2961</v>
      </c>
      <c r="L2187" s="1">
        <v>41255</v>
      </c>
      <c r="N2187" t="s">
        <v>36</v>
      </c>
      <c r="O2187" t="s">
        <v>37</v>
      </c>
      <c r="P2187" t="s">
        <v>390</v>
      </c>
      <c r="Q2187" t="s">
        <v>39</v>
      </c>
      <c r="R2187" t="s">
        <v>40</v>
      </c>
      <c r="S2187">
        <v>0</v>
      </c>
      <c r="U2187" t="s">
        <v>41</v>
      </c>
      <c r="V2187" t="s">
        <v>42</v>
      </c>
      <c r="X2187" t="s">
        <v>74</v>
      </c>
      <c r="Y2187" t="b">
        <v>0</v>
      </c>
      <c r="Z2187" t="b">
        <v>0</v>
      </c>
      <c r="AC2187" s="1"/>
      <c r="AF2187">
        <v>0</v>
      </c>
      <c r="AG2187">
        <v>45</v>
      </c>
      <c r="AH2187">
        <v>58</v>
      </c>
      <c r="AI2187" s="2">
        <f>Table__192.168.3.138DYLAgingReport[[#This Row],[NetAmount]]-Table__192.168.3.138DYLAgingReport[[#This Row],[Paid]]</f>
        <v>680215</v>
      </c>
    </row>
    <row r="2188" spans="1:35">
      <c r="A2188" t="s">
        <v>4494</v>
      </c>
      <c r="B2188" s="1">
        <v>41253</v>
      </c>
      <c r="C2188" s="1">
        <v>41298</v>
      </c>
      <c r="D2188" t="s">
        <v>220</v>
      </c>
      <c r="E2188">
        <v>326000</v>
      </c>
      <c r="F2188">
        <v>52160</v>
      </c>
      <c r="G2188">
        <v>0</v>
      </c>
      <c r="H2188">
        <v>0</v>
      </c>
      <c r="I2188">
        <v>15</v>
      </c>
      <c r="J2188">
        <v>378160</v>
      </c>
      <c r="K2188" t="s">
        <v>4495</v>
      </c>
      <c r="L2188" s="1">
        <v>41253</v>
      </c>
      <c r="N2188" t="s">
        <v>36</v>
      </c>
      <c r="O2188" t="s">
        <v>37</v>
      </c>
      <c r="P2188" t="s">
        <v>357</v>
      </c>
      <c r="Q2188" t="s">
        <v>39</v>
      </c>
      <c r="R2188" t="s">
        <v>40</v>
      </c>
      <c r="S2188">
        <v>0</v>
      </c>
      <c r="U2188" t="s">
        <v>41</v>
      </c>
      <c r="V2188" t="s">
        <v>42</v>
      </c>
      <c r="X2188" t="s">
        <v>74</v>
      </c>
      <c r="Y2188" t="b">
        <v>0</v>
      </c>
      <c r="Z2188" t="b">
        <v>0</v>
      </c>
      <c r="AC2188" s="1"/>
      <c r="AF2188">
        <v>0</v>
      </c>
      <c r="AG2188">
        <v>45</v>
      </c>
      <c r="AH2188">
        <v>60</v>
      </c>
      <c r="AI2188" s="2">
        <f>Table__192.168.3.138DYLAgingReport[[#This Row],[NetAmount]]-Table__192.168.3.138DYLAgingReport[[#This Row],[Paid]]</f>
        <v>378160</v>
      </c>
    </row>
    <row r="2189" spans="1:35">
      <c r="A2189" t="s">
        <v>4496</v>
      </c>
      <c r="B2189" s="1">
        <v>41254</v>
      </c>
      <c r="C2189" s="1">
        <v>41284</v>
      </c>
      <c r="D2189" t="s">
        <v>270</v>
      </c>
      <c r="E2189">
        <v>27500</v>
      </c>
      <c r="F2189">
        <v>4400</v>
      </c>
      <c r="G2189">
        <v>0</v>
      </c>
      <c r="H2189">
        <v>0</v>
      </c>
      <c r="I2189">
        <v>29</v>
      </c>
      <c r="J2189">
        <v>31900</v>
      </c>
      <c r="K2189" t="s">
        <v>1546</v>
      </c>
      <c r="L2189" s="1">
        <v>41254</v>
      </c>
      <c r="N2189" t="s">
        <v>36</v>
      </c>
      <c r="O2189" t="s">
        <v>37</v>
      </c>
      <c r="P2189" t="s">
        <v>407</v>
      </c>
      <c r="Q2189" t="s">
        <v>39</v>
      </c>
      <c r="R2189" t="s">
        <v>40</v>
      </c>
      <c r="S2189">
        <v>0</v>
      </c>
      <c r="U2189" t="s">
        <v>41</v>
      </c>
      <c r="V2189" t="s">
        <v>42</v>
      </c>
      <c r="X2189" t="s">
        <v>74</v>
      </c>
      <c r="Y2189" t="b">
        <v>0</v>
      </c>
      <c r="Z2189" t="b">
        <v>0</v>
      </c>
      <c r="AC2189" s="1"/>
      <c r="AF2189">
        <v>0</v>
      </c>
      <c r="AG2189">
        <v>30</v>
      </c>
      <c r="AH2189">
        <v>59</v>
      </c>
      <c r="AI2189" s="2">
        <f>Table__192.168.3.138DYLAgingReport[[#This Row],[NetAmount]]-Table__192.168.3.138DYLAgingReport[[#This Row],[Paid]]</f>
        <v>31900</v>
      </c>
    </row>
    <row r="2190" spans="1:35">
      <c r="A2190" t="s">
        <v>4497</v>
      </c>
      <c r="B2190" s="1">
        <v>41257</v>
      </c>
      <c r="C2190" s="1">
        <v>41287</v>
      </c>
      <c r="D2190" t="s">
        <v>270</v>
      </c>
      <c r="E2190">
        <v>27500</v>
      </c>
      <c r="F2190">
        <v>4400</v>
      </c>
      <c r="G2190">
        <v>0</v>
      </c>
      <c r="H2190">
        <v>0</v>
      </c>
      <c r="I2190">
        <v>26</v>
      </c>
      <c r="J2190">
        <v>31900</v>
      </c>
      <c r="K2190" t="s">
        <v>1559</v>
      </c>
      <c r="L2190" s="1">
        <v>41257</v>
      </c>
      <c r="N2190" t="s">
        <v>36</v>
      </c>
      <c r="O2190" t="s">
        <v>37</v>
      </c>
      <c r="P2190" t="s">
        <v>407</v>
      </c>
      <c r="Q2190" t="s">
        <v>39</v>
      </c>
      <c r="R2190" t="s">
        <v>40</v>
      </c>
      <c r="S2190">
        <v>0</v>
      </c>
      <c r="U2190" t="s">
        <v>41</v>
      </c>
      <c r="V2190" t="s">
        <v>42</v>
      </c>
      <c r="X2190" t="s">
        <v>74</v>
      </c>
      <c r="Y2190" t="b">
        <v>0</v>
      </c>
      <c r="Z2190" t="b">
        <v>0</v>
      </c>
      <c r="AC2190" s="1"/>
      <c r="AF2190">
        <v>0</v>
      </c>
      <c r="AG2190">
        <v>30</v>
      </c>
      <c r="AH2190">
        <v>56</v>
      </c>
      <c r="AI2190" s="2">
        <f>Table__192.168.3.138DYLAgingReport[[#This Row],[NetAmount]]-Table__192.168.3.138DYLAgingReport[[#This Row],[Paid]]</f>
        <v>31900</v>
      </c>
    </row>
    <row r="2191" spans="1:35">
      <c r="A2191" t="s">
        <v>4498</v>
      </c>
      <c r="B2191" s="1">
        <v>41257</v>
      </c>
      <c r="C2191" s="1">
        <v>41302</v>
      </c>
      <c r="D2191" t="s">
        <v>266</v>
      </c>
      <c r="E2191">
        <v>216000</v>
      </c>
      <c r="F2191">
        <v>34560</v>
      </c>
      <c r="G2191">
        <v>0</v>
      </c>
      <c r="H2191">
        <v>0</v>
      </c>
      <c r="I2191">
        <v>20</v>
      </c>
      <c r="J2191">
        <v>250560</v>
      </c>
      <c r="K2191" t="s">
        <v>3017</v>
      </c>
      <c r="L2191" s="1">
        <v>41248</v>
      </c>
      <c r="N2191" t="s">
        <v>36</v>
      </c>
      <c r="O2191" t="s">
        <v>37</v>
      </c>
      <c r="P2191" t="s">
        <v>403</v>
      </c>
      <c r="Q2191" t="s">
        <v>39</v>
      </c>
      <c r="R2191" t="s">
        <v>40</v>
      </c>
      <c r="S2191">
        <v>0</v>
      </c>
      <c r="U2191" t="s">
        <v>41</v>
      </c>
      <c r="V2191" t="s">
        <v>42</v>
      </c>
      <c r="X2191" t="s">
        <v>74</v>
      </c>
      <c r="Y2191" t="b">
        <v>0</v>
      </c>
      <c r="Z2191" t="b">
        <v>0</v>
      </c>
      <c r="AC2191" s="1"/>
      <c r="AF2191">
        <v>0</v>
      </c>
      <c r="AG2191">
        <v>45</v>
      </c>
      <c r="AH2191">
        <v>65</v>
      </c>
      <c r="AI2191" s="2">
        <f>Table__192.168.3.138DYLAgingReport[[#This Row],[NetAmount]]-Table__192.168.3.138DYLAgingReport[[#This Row],[Paid]]</f>
        <v>250560</v>
      </c>
    </row>
    <row r="2192" spans="1:35">
      <c r="A2192" t="s">
        <v>4499</v>
      </c>
      <c r="B2192" s="1">
        <v>41247</v>
      </c>
      <c r="C2192" s="1">
        <v>41292</v>
      </c>
      <c r="D2192" t="s">
        <v>264</v>
      </c>
      <c r="E2192">
        <v>700000</v>
      </c>
      <c r="F2192">
        <v>112000</v>
      </c>
      <c r="G2192">
        <v>0</v>
      </c>
      <c r="H2192">
        <v>0</v>
      </c>
      <c r="I2192">
        <v>22</v>
      </c>
      <c r="J2192">
        <v>812000</v>
      </c>
      <c r="K2192" t="s">
        <v>4500</v>
      </c>
      <c r="L2192" s="1">
        <v>41246</v>
      </c>
      <c r="N2192" t="s">
        <v>36</v>
      </c>
      <c r="O2192" t="s">
        <v>37</v>
      </c>
      <c r="P2192" t="s">
        <v>401</v>
      </c>
      <c r="Q2192" t="s">
        <v>39</v>
      </c>
      <c r="R2192" t="s">
        <v>40</v>
      </c>
      <c r="S2192">
        <v>0</v>
      </c>
      <c r="U2192" t="s">
        <v>41</v>
      </c>
      <c r="V2192" t="s">
        <v>42</v>
      </c>
      <c r="X2192" t="s">
        <v>74</v>
      </c>
      <c r="Y2192" t="b">
        <v>0</v>
      </c>
      <c r="Z2192" t="b">
        <v>0</v>
      </c>
      <c r="AB2192" t="s">
        <v>4501</v>
      </c>
      <c r="AC2192" s="1"/>
      <c r="AF2192">
        <v>0</v>
      </c>
      <c r="AG2192">
        <v>45</v>
      </c>
      <c r="AH2192">
        <v>67</v>
      </c>
      <c r="AI2192" s="2">
        <f>Table__192.168.3.138DYLAgingReport[[#This Row],[NetAmount]]-Table__192.168.3.138DYLAgingReport[[#This Row],[Paid]]</f>
        <v>812000</v>
      </c>
    </row>
    <row r="2193" spans="1:35">
      <c r="A2193" t="s">
        <v>4502</v>
      </c>
      <c r="B2193" s="1">
        <v>41247</v>
      </c>
      <c r="C2193" s="1">
        <v>41292</v>
      </c>
      <c r="D2193" t="s">
        <v>187</v>
      </c>
      <c r="E2193">
        <v>12000</v>
      </c>
      <c r="F2193">
        <v>0</v>
      </c>
      <c r="G2193">
        <v>0</v>
      </c>
      <c r="H2193">
        <v>0</v>
      </c>
      <c r="I2193">
        <v>22</v>
      </c>
      <c r="J2193">
        <v>12000</v>
      </c>
      <c r="K2193" t="s">
        <v>4503</v>
      </c>
      <c r="L2193" s="1">
        <v>41246</v>
      </c>
      <c r="N2193" t="s">
        <v>36</v>
      </c>
      <c r="O2193" t="s">
        <v>37</v>
      </c>
      <c r="P2193" t="s">
        <v>324</v>
      </c>
      <c r="Q2193" t="s">
        <v>39</v>
      </c>
      <c r="R2193" t="s">
        <v>40</v>
      </c>
      <c r="S2193">
        <v>0</v>
      </c>
      <c r="U2193" t="s">
        <v>41</v>
      </c>
      <c r="V2193" t="s">
        <v>42</v>
      </c>
      <c r="X2193" t="s">
        <v>74</v>
      </c>
      <c r="Y2193" t="b">
        <v>0</v>
      </c>
      <c r="Z2193" t="b">
        <v>0</v>
      </c>
      <c r="AC2193" s="1"/>
      <c r="AF2193">
        <v>0</v>
      </c>
      <c r="AG2193">
        <v>45</v>
      </c>
      <c r="AH2193">
        <v>67</v>
      </c>
      <c r="AI2193" s="2">
        <f>Table__192.168.3.138DYLAgingReport[[#This Row],[NetAmount]]-Table__192.168.3.138DYLAgingReport[[#This Row],[Paid]]</f>
        <v>12000</v>
      </c>
    </row>
    <row r="2194" spans="1:35">
      <c r="A2194" t="s">
        <v>4504</v>
      </c>
      <c r="B2194" s="1">
        <v>41254</v>
      </c>
      <c r="C2194" s="1">
        <v>41299</v>
      </c>
      <c r="D2194" t="s">
        <v>187</v>
      </c>
      <c r="E2194">
        <v>31860</v>
      </c>
      <c r="F2194">
        <v>0</v>
      </c>
      <c r="G2194">
        <v>0</v>
      </c>
      <c r="H2194">
        <v>0</v>
      </c>
      <c r="I2194">
        <v>14</v>
      </c>
      <c r="J2194">
        <v>31860</v>
      </c>
      <c r="K2194" t="s">
        <v>4505</v>
      </c>
      <c r="L2194" s="1">
        <v>41254</v>
      </c>
      <c r="N2194" t="s">
        <v>36</v>
      </c>
      <c r="O2194" t="s">
        <v>37</v>
      </c>
      <c r="P2194" t="s">
        <v>324</v>
      </c>
      <c r="Q2194" t="s">
        <v>39</v>
      </c>
      <c r="R2194" t="s">
        <v>40</v>
      </c>
      <c r="S2194">
        <v>0</v>
      </c>
      <c r="U2194" t="s">
        <v>41</v>
      </c>
      <c r="V2194" t="s">
        <v>42</v>
      </c>
      <c r="X2194" t="s">
        <v>74</v>
      </c>
      <c r="Y2194" t="b">
        <v>0</v>
      </c>
      <c r="Z2194" t="b">
        <v>0</v>
      </c>
      <c r="AC2194" s="1"/>
      <c r="AF2194">
        <v>0</v>
      </c>
      <c r="AG2194">
        <v>45</v>
      </c>
      <c r="AH2194">
        <v>59</v>
      </c>
      <c r="AI2194" s="2">
        <f>Table__192.168.3.138DYLAgingReport[[#This Row],[NetAmount]]-Table__192.168.3.138DYLAgingReport[[#This Row],[Paid]]</f>
        <v>31860</v>
      </c>
    </row>
    <row r="2195" spans="1:35">
      <c r="A2195" t="s">
        <v>4506</v>
      </c>
      <c r="B2195" s="1">
        <v>41257</v>
      </c>
      <c r="C2195" s="1">
        <v>41302</v>
      </c>
      <c r="D2195" t="s">
        <v>183</v>
      </c>
      <c r="E2195">
        <v>70800</v>
      </c>
      <c r="F2195">
        <v>11328</v>
      </c>
      <c r="G2195">
        <v>0</v>
      </c>
      <c r="H2195">
        <v>0</v>
      </c>
      <c r="I2195">
        <v>11</v>
      </c>
      <c r="J2195">
        <v>82128</v>
      </c>
      <c r="K2195" t="s">
        <v>4507</v>
      </c>
      <c r="L2195" s="1">
        <v>41257</v>
      </c>
      <c r="N2195" t="s">
        <v>36</v>
      </c>
      <c r="O2195" t="s">
        <v>37</v>
      </c>
      <c r="P2195" t="s">
        <v>320</v>
      </c>
      <c r="Q2195" t="s">
        <v>39</v>
      </c>
      <c r="R2195" t="s">
        <v>40</v>
      </c>
      <c r="S2195">
        <v>0</v>
      </c>
      <c r="U2195" t="s">
        <v>41</v>
      </c>
      <c r="V2195" t="s">
        <v>42</v>
      </c>
      <c r="X2195" t="s">
        <v>74</v>
      </c>
      <c r="Y2195" t="b">
        <v>0</v>
      </c>
      <c r="Z2195" t="b">
        <v>0</v>
      </c>
      <c r="AC2195" s="1"/>
      <c r="AF2195">
        <v>0</v>
      </c>
      <c r="AG2195">
        <v>45</v>
      </c>
      <c r="AH2195">
        <v>56</v>
      </c>
      <c r="AI2195" s="2">
        <f>Table__192.168.3.138DYLAgingReport[[#This Row],[NetAmount]]-Table__192.168.3.138DYLAgingReport[[#This Row],[Paid]]</f>
        <v>82128</v>
      </c>
    </row>
    <row r="2196" spans="1:35">
      <c r="A2196" t="s">
        <v>4508</v>
      </c>
      <c r="B2196" s="1">
        <v>41257</v>
      </c>
      <c r="C2196" s="1">
        <v>41257</v>
      </c>
      <c r="D2196" t="s">
        <v>293</v>
      </c>
      <c r="E2196">
        <v>674000</v>
      </c>
      <c r="F2196">
        <v>107840</v>
      </c>
      <c r="G2196">
        <v>0</v>
      </c>
      <c r="H2196">
        <v>0</v>
      </c>
      <c r="I2196">
        <v>14</v>
      </c>
      <c r="J2196">
        <v>781840</v>
      </c>
      <c r="K2196" t="s">
        <v>897</v>
      </c>
      <c r="L2196" s="1">
        <v>41254</v>
      </c>
      <c r="N2196" t="s">
        <v>36</v>
      </c>
      <c r="O2196" t="s">
        <v>37</v>
      </c>
      <c r="P2196" t="s">
        <v>430</v>
      </c>
      <c r="Q2196" t="s">
        <v>39</v>
      </c>
      <c r="R2196" t="s">
        <v>40</v>
      </c>
      <c r="S2196">
        <v>0</v>
      </c>
      <c r="U2196" t="s">
        <v>41</v>
      </c>
      <c r="V2196" t="s">
        <v>42</v>
      </c>
      <c r="X2196" t="s">
        <v>74</v>
      </c>
      <c r="Y2196" t="b">
        <v>0</v>
      </c>
      <c r="Z2196" t="b">
        <v>0</v>
      </c>
      <c r="AC2196" s="1"/>
      <c r="AF2196">
        <v>0</v>
      </c>
      <c r="AG2196">
        <v>45</v>
      </c>
      <c r="AH2196">
        <v>59</v>
      </c>
      <c r="AI2196" s="2">
        <f>Table__192.168.3.138DYLAgingReport[[#This Row],[NetAmount]]-Table__192.168.3.138DYLAgingReport[[#This Row],[Paid]]</f>
        <v>781840</v>
      </c>
    </row>
    <row r="2197" spans="1:35">
      <c r="A2197" t="s">
        <v>4509</v>
      </c>
      <c r="B2197" s="1">
        <v>41246</v>
      </c>
      <c r="C2197" s="1">
        <v>41246</v>
      </c>
      <c r="D2197" t="s">
        <v>293</v>
      </c>
      <c r="E2197">
        <v>1484250</v>
      </c>
      <c r="F2197">
        <v>237480</v>
      </c>
      <c r="G2197">
        <v>0</v>
      </c>
      <c r="H2197">
        <v>0</v>
      </c>
      <c r="I2197">
        <v>24</v>
      </c>
      <c r="J2197">
        <v>1721730</v>
      </c>
      <c r="K2197" t="s">
        <v>4510</v>
      </c>
      <c r="L2197" s="1">
        <v>41244</v>
      </c>
      <c r="N2197" t="s">
        <v>36</v>
      </c>
      <c r="O2197" t="s">
        <v>37</v>
      </c>
      <c r="P2197" t="s">
        <v>430</v>
      </c>
      <c r="Q2197" t="s">
        <v>39</v>
      </c>
      <c r="R2197" t="s">
        <v>40</v>
      </c>
      <c r="S2197">
        <v>0</v>
      </c>
      <c r="U2197" t="s">
        <v>41</v>
      </c>
      <c r="V2197" t="s">
        <v>42</v>
      </c>
      <c r="X2197" t="s">
        <v>74</v>
      </c>
      <c r="Y2197" t="b">
        <v>0</v>
      </c>
      <c r="Z2197" t="b">
        <v>0</v>
      </c>
      <c r="AC2197" s="1"/>
      <c r="AF2197">
        <v>0</v>
      </c>
      <c r="AG2197">
        <v>45</v>
      </c>
      <c r="AH2197">
        <v>69</v>
      </c>
      <c r="AI2197" s="2">
        <f>Table__192.168.3.138DYLAgingReport[[#This Row],[NetAmount]]-Table__192.168.3.138DYLAgingReport[[#This Row],[Paid]]</f>
        <v>1721730</v>
      </c>
    </row>
    <row r="2198" spans="1:35">
      <c r="A2198" t="s">
        <v>4511</v>
      </c>
      <c r="B2198" s="1">
        <v>41256</v>
      </c>
      <c r="C2198" s="1">
        <v>41301</v>
      </c>
      <c r="D2198" t="s">
        <v>194</v>
      </c>
      <c r="E2198">
        <v>12600</v>
      </c>
      <c r="F2198">
        <v>2016</v>
      </c>
      <c r="G2198">
        <v>0</v>
      </c>
      <c r="H2198">
        <v>0</v>
      </c>
      <c r="I2198">
        <v>12</v>
      </c>
      <c r="J2198">
        <v>14616</v>
      </c>
      <c r="K2198" t="s">
        <v>4512</v>
      </c>
      <c r="L2198" s="1">
        <v>41256</v>
      </c>
      <c r="N2198" t="s">
        <v>36</v>
      </c>
      <c r="O2198" t="s">
        <v>37</v>
      </c>
      <c r="P2198" t="s">
        <v>331</v>
      </c>
      <c r="Q2198" t="s">
        <v>39</v>
      </c>
      <c r="R2198" t="s">
        <v>40</v>
      </c>
      <c r="S2198">
        <v>0</v>
      </c>
      <c r="U2198" t="s">
        <v>41</v>
      </c>
      <c r="V2198" t="s">
        <v>42</v>
      </c>
      <c r="X2198" t="s">
        <v>74</v>
      </c>
      <c r="Y2198" t="b">
        <v>0</v>
      </c>
      <c r="Z2198" t="b">
        <v>0</v>
      </c>
      <c r="AC2198" s="1"/>
      <c r="AF2198">
        <v>0</v>
      </c>
      <c r="AG2198">
        <v>45</v>
      </c>
      <c r="AH2198">
        <v>57</v>
      </c>
      <c r="AI2198" s="2">
        <f>Table__192.168.3.138DYLAgingReport[[#This Row],[NetAmount]]-Table__192.168.3.138DYLAgingReport[[#This Row],[Paid]]</f>
        <v>14616</v>
      </c>
    </row>
    <row r="2199" spans="1:35">
      <c r="A2199" t="s">
        <v>4513</v>
      </c>
      <c r="B2199" s="1">
        <v>41247</v>
      </c>
      <c r="C2199" s="1">
        <v>41292</v>
      </c>
      <c r="D2199" t="s">
        <v>280</v>
      </c>
      <c r="E2199">
        <v>9150</v>
      </c>
      <c r="F2199">
        <v>0</v>
      </c>
      <c r="G2199">
        <v>0</v>
      </c>
      <c r="H2199">
        <v>0</v>
      </c>
      <c r="I2199">
        <v>21</v>
      </c>
      <c r="J2199">
        <v>9150</v>
      </c>
      <c r="K2199" t="s">
        <v>4514</v>
      </c>
      <c r="L2199" s="1">
        <v>41247</v>
      </c>
      <c r="N2199" t="s">
        <v>36</v>
      </c>
      <c r="O2199" t="s">
        <v>37</v>
      </c>
      <c r="P2199" t="s">
        <v>417</v>
      </c>
      <c r="Q2199" t="s">
        <v>39</v>
      </c>
      <c r="R2199" t="s">
        <v>40</v>
      </c>
      <c r="S2199">
        <v>0</v>
      </c>
      <c r="U2199" t="s">
        <v>41</v>
      </c>
      <c r="V2199" t="s">
        <v>42</v>
      </c>
      <c r="X2199" t="s">
        <v>74</v>
      </c>
      <c r="Y2199" t="b">
        <v>0</v>
      </c>
      <c r="Z2199" t="b">
        <v>0</v>
      </c>
      <c r="AC2199" s="1"/>
      <c r="AF2199">
        <v>0</v>
      </c>
      <c r="AG2199">
        <v>45</v>
      </c>
      <c r="AH2199">
        <v>66</v>
      </c>
      <c r="AI2199" s="2">
        <f>Table__192.168.3.138DYLAgingReport[[#This Row],[NetAmount]]-Table__192.168.3.138DYLAgingReport[[#This Row],[Paid]]</f>
        <v>9150</v>
      </c>
    </row>
    <row r="2200" spans="1:35">
      <c r="A2200" t="s">
        <v>4515</v>
      </c>
      <c r="B2200" s="1">
        <v>41249</v>
      </c>
      <c r="C2200" s="1">
        <v>41294</v>
      </c>
      <c r="D2200" t="s">
        <v>280</v>
      </c>
      <c r="E2200">
        <v>18300</v>
      </c>
      <c r="F2200">
        <v>0</v>
      </c>
      <c r="G2200">
        <v>0</v>
      </c>
      <c r="H2200">
        <v>0</v>
      </c>
      <c r="I2200">
        <v>18</v>
      </c>
      <c r="J2200">
        <v>18300</v>
      </c>
      <c r="K2200" t="s">
        <v>4516</v>
      </c>
      <c r="L2200" s="1">
        <v>41250</v>
      </c>
      <c r="N2200" t="s">
        <v>36</v>
      </c>
      <c r="O2200" t="s">
        <v>37</v>
      </c>
      <c r="P2200" t="s">
        <v>417</v>
      </c>
      <c r="Q2200" t="s">
        <v>39</v>
      </c>
      <c r="R2200" t="s">
        <v>40</v>
      </c>
      <c r="S2200">
        <v>0</v>
      </c>
      <c r="U2200" t="s">
        <v>41</v>
      </c>
      <c r="V2200" t="s">
        <v>42</v>
      </c>
      <c r="X2200" t="s">
        <v>74</v>
      </c>
      <c r="Y2200" t="b">
        <v>0</v>
      </c>
      <c r="Z2200" t="b">
        <v>0</v>
      </c>
      <c r="AC2200" s="1"/>
      <c r="AF2200">
        <v>0</v>
      </c>
      <c r="AG2200">
        <v>45</v>
      </c>
      <c r="AH2200">
        <v>63</v>
      </c>
      <c r="AI2200" s="2">
        <f>Table__192.168.3.138DYLAgingReport[[#This Row],[NetAmount]]-Table__192.168.3.138DYLAgingReport[[#This Row],[Paid]]</f>
        <v>18300</v>
      </c>
    </row>
    <row r="2201" spans="1:35">
      <c r="A2201" t="s">
        <v>4517</v>
      </c>
      <c r="B2201" s="1">
        <v>41247</v>
      </c>
      <c r="C2201" s="1">
        <v>41292</v>
      </c>
      <c r="D2201" t="s">
        <v>257</v>
      </c>
      <c r="E2201">
        <v>188800</v>
      </c>
      <c r="F2201">
        <v>30208</v>
      </c>
      <c r="G2201">
        <v>0</v>
      </c>
      <c r="H2201">
        <v>0</v>
      </c>
      <c r="I2201">
        <v>21</v>
      </c>
      <c r="J2201">
        <v>219008</v>
      </c>
      <c r="K2201" t="s">
        <v>2735</v>
      </c>
      <c r="L2201" s="1">
        <v>41247</v>
      </c>
      <c r="N2201" t="s">
        <v>36</v>
      </c>
      <c r="O2201" t="s">
        <v>37</v>
      </c>
      <c r="P2201" t="s">
        <v>394</v>
      </c>
      <c r="Q2201" t="s">
        <v>39</v>
      </c>
      <c r="R2201" t="s">
        <v>40</v>
      </c>
      <c r="S2201">
        <v>0</v>
      </c>
      <c r="U2201" t="s">
        <v>41</v>
      </c>
      <c r="V2201" t="s">
        <v>42</v>
      </c>
      <c r="X2201" t="s">
        <v>74</v>
      </c>
      <c r="Y2201" t="b">
        <v>0</v>
      </c>
      <c r="Z2201" t="b">
        <v>0</v>
      </c>
      <c r="AC2201" s="1"/>
      <c r="AF2201">
        <v>0</v>
      </c>
      <c r="AG2201">
        <v>45</v>
      </c>
      <c r="AH2201">
        <v>66</v>
      </c>
      <c r="AI2201" s="2">
        <f>Table__192.168.3.138DYLAgingReport[[#This Row],[NetAmount]]-Table__192.168.3.138DYLAgingReport[[#This Row],[Paid]]</f>
        <v>219008</v>
      </c>
    </row>
    <row r="2202" spans="1:35">
      <c r="A2202" t="s">
        <v>4518</v>
      </c>
      <c r="B2202" s="1">
        <v>41249</v>
      </c>
      <c r="C2202" s="1">
        <v>41294</v>
      </c>
      <c r="D2202" t="s">
        <v>257</v>
      </c>
      <c r="E2202">
        <v>64000</v>
      </c>
      <c r="F2202">
        <v>10240</v>
      </c>
      <c r="G2202">
        <v>0</v>
      </c>
      <c r="H2202">
        <v>0</v>
      </c>
      <c r="I2202">
        <v>19</v>
      </c>
      <c r="J2202">
        <v>74240</v>
      </c>
      <c r="K2202" t="s">
        <v>4519</v>
      </c>
      <c r="L2202" s="1">
        <v>41249</v>
      </c>
      <c r="N2202" t="s">
        <v>36</v>
      </c>
      <c r="O2202" t="s">
        <v>37</v>
      </c>
      <c r="P2202" t="s">
        <v>394</v>
      </c>
      <c r="Q2202" t="s">
        <v>39</v>
      </c>
      <c r="R2202" t="s">
        <v>40</v>
      </c>
      <c r="S2202">
        <v>0</v>
      </c>
      <c r="U2202" t="s">
        <v>41</v>
      </c>
      <c r="V2202" t="s">
        <v>42</v>
      </c>
      <c r="X2202" t="s">
        <v>74</v>
      </c>
      <c r="Y2202" t="b">
        <v>0</v>
      </c>
      <c r="Z2202" t="b">
        <v>0</v>
      </c>
      <c r="AC2202" s="1"/>
      <c r="AF2202">
        <v>0</v>
      </c>
      <c r="AG2202">
        <v>45</v>
      </c>
      <c r="AH2202">
        <v>64</v>
      </c>
      <c r="AI2202" s="2">
        <f>Table__192.168.3.138DYLAgingReport[[#This Row],[NetAmount]]-Table__192.168.3.138DYLAgingReport[[#This Row],[Paid]]</f>
        <v>74240</v>
      </c>
    </row>
    <row r="2203" spans="1:35">
      <c r="A2203" t="s">
        <v>4520</v>
      </c>
      <c r="B2203" s="1">
        <v>41250</v>
      </c>
      <c r="C2203" s="1">
        <v>41295</v>
      </c>
      <c r="D2203" t="s">
        <v>257</v>
      </c>
      <c r="E2203">
        <v>86400</v>
      </c>
      <c r="F2203">
        <v>13824</v>
      </c>
      <c r="G2203">
        <v>0</v>
      </c>
      <c r="H2203">
        <v>0</v>
      </c>
      <c r="I2203">
        <v>18</v>
      </c>
      <c r="J2203">
        <v>100224</v>
      </c>
      <c r="K2203" t="s">
        <v>4521</v>
      </c>
      <c r="L2203" s="1">
        <v>41250</v>
      </c>
      <c r="N2203" t="s">
        <v>36</v>
      </c>
      <c r="O2203" t="s">
        <v>37</v>
      </c>
      <c r="P2203" t="s">
        <v>394</v>
      </c>
      <c r="Q2203" t="s">
        <v>39</v>
      </c>
      <c r="R2203" t="s">
        <v>40</v>
      </c>
      <c r="S2203">
        <v>0</v>
      </c>
      <c r="U2203" t="s">
        <v>41</v>
      </c>
      <c r="V2203" t="s">
        <v>42</v>
      </c>
      <c r="X2203" t="s">
        <v>74</v>
      </c>
      <c r="Y2203" t="b">
        <v>0</v>
      </c>
      <c r="Z2203" t="b">
        <v>0</v>
      </c>
      <c r="AC2203" s="1"/>
      <c r="AF2203">
        <v>0</v>
      </c>
      <c r="AG2203">
        <v>45</v>
      </c>
      <c r="AH2203">
        <v>63</v>
      </c>
      <c r="AI2203" s="2">
        <f>Table__192.168.3.138DYLAgingReport[[#This Row],[NetAmount]]-Table__192.168.3.138DYLAgingReport[[#This Row],[Paid]]</f>
        <v>100224</v>
      </c>
    </row>
    <row r="2204" spans="1:35">
      <c r="A2204" t="s">
        <v>4522</v>
      </c>
      <c r="B2204" s="1">
        <v>41248</v>
      </c>
      <c r="C2204" s="1">
        <v>41293</v>
      </c>
      <c r="D2204" t="s">
        <v>251</v>
      </c>
      <c r="E2204">
        <v>188920</v>
      </c>
      <c r="F2204">
        <v>30227</v>
      </c>
      <c r="G2204">
        <v>0</v>
      </c>
      <c r="H2204">
        <v>0</v>
      </c>
      <c r="I2204">
        <v>20</v>
      </c>
      <c r="J2204">
        <v>219147</v>
      </c>
      <c r="K2204" t="s">
        <v>1218</v>
      </c>
      <c r="L2204" s="1">
        <v>41248</v>
      </c>
      <c r="N2204" t="s">
        <v>36</v>
      </c>
      <c r="O2204" t="s">
        <v>37</v>
      </c>
      <c r="P2204" t="s">
        <v>388</v>
      </c>
      <c r="Q2204" t="s">
        <v>39</v>
      </c>
      <c r="R2204" t="s">
        <v>40</v>
      </c>
      <c r="S2204">
        <v>0</v>
      </c>
      <c r="U2204" t="s">
        <v>41</v>
      </c>
      <c r="V2204" t="s">
        <v>42</v>
      </c>
      <c r="X2204" t="s">
        <v>74</v>
      </c>
      <c r="Y2204" t="b">
        <v>0</v>
      </c>
      <c r="Z2204" t="b">
        <v>0</v>
      </c>
      <c r="AC2204" s="1"/>
      <c r="AF2204">
        <v>0</v>
      </c>
      <c r="AG2204">
        <v>45</v>
      </c>
      <c r="AH2204">
        <v>65</v>
      </c>
      <c r="AI2204" s="2">
        <f>Table__192.168.3.138DYLAgingReport[[#This Row],[NetAmount]]-Table__192.168.3.138DYLAgingReport[[#This Row],[Paid]]</f>
        <v>219147</v>
      </c>
    </row>
    <row r="2205" spans="1:35">
      <c r="A2205" t="s">
        <v>4523</v>
      </c>
      <c r="B2205" s="1">
        <v>41251</v>
      </c>
      <c r="C2205" s="1">
        <v>41296</v>
      </c>
      <c r="D2205" t="s">
        <v>251</v>
      </c>
      <c r="E2205">
        <v>108600</v>
      </c>
      <c r="F2205">
        <v>17376</v>
      </c>
      <c r="G2205">
        <v>0</v>
      </c>
      <c r="H2205">
        <v>0</v>
      </c>
      <c r="I2205">
        <v>17</v>
      </c>
      <c r="J2205">
        <v>125976</v>
      </c>
      <c r="K2205" t="s">
        <v>2976</v>
      </c>
      <c r="L2205" s="1">
        <v>41251</v>
      </c>
      <c r="N2205" t="s">
        <v>36</v>
      </c>
      <c r="O2205" t="s">
        <v>37</v>
      </c>
      <c r="P2205" t="s">
        <v>388</v>
      </c>
      <c r="Q2205" t="s">
        <v>39</v>
      </c>
      <c r="R2205" t="s">
        <v>40</v>
      </c>
      <c r="S2205">
        <v>0</v>
      </c>
      <c r="U2205" t="s">
        <v>41</v>
      </c>
      <c r="V2205" t="s">
        <v>42</v>
      </c>
      <c r="X2205" t="s">
        <v>74</v>
      </c>
      <c r="Y2205" t="b">
        <v>0</v>
      </c>
      <c r="Z2205" t="b">
        <v>0</v>
      </c>
      <c r="AC2205" s="1"/>
      <c r="AF2205">
        <v>0</v>
      </c>
      <c r="AG2205">
        <v>45</v>
      </c>
      <c r="AH2205">
        <v>62</v>
      </c>
      <c r="AI2205" s="2">
        <f>Table__192.168.3.138DYLAgingReport[[#This Row],[NetAmount]]-Table__192.168.3.138DYLAgingReport[[#This Row],[Paid]]</f>
        <v>125976</v>
      </c>
    </row>
    <row r="2206" spans="1:35">
      <c r="A2206" t="s">
        <v>4524</v>
      </c>
      <c r="B2206" s="1">
        <v>41253</v>
      </c>
      <c r="C2206" s="1">
        <v>41298</v>
      </c>
      <c r="D2206" t="s">
        <v>251</v>
      </c>
      <c r="E2206">
        <v>342000</v>
      </c>
      <c r="F2206">
        <v>54720</v>
      </c>
      <c r="G2206">
        <v>0</v>
      </c>
      <c r="H2206">
        <v>0</v>
      </c>
      <c r="I2206">
        <v>13</v>
      </c>
      <c r="J2206">
        <v>396720</v>
      </c>
      <c r="K2206" t="s">
        <v>4525</v>
      </c>
      <c r="L2206" s="1">
        <v>41255</v>
      </c>
      <c r="N2206" t="s">
        <v>36</v>
      </c>
      <c r="O2206" t="s">
        <v>37</v>
      </c>
      <c r="P2206" t="s">
        <v>388</v>
      </c>
      <c r="Q2206" t="s">
        <v>39</v>
      </c>
      <c r="R2206" t="s">
        <v>40</v>
      </c>
      <c r="S2206">
        <v>0</v>
      </c>
      <c r="U2206" t="s">
        <v>41</v>
      </c>
      <c r="V2206" t="s">
        <v>42</v>
      </c>
      <c r="X2206" t="s">
        <v>74</v>
      </c>
      <c r="Y2206" t="b">
        <v>0</v>
      </c>
      <c r="Z2206" t="b">
        <v>0</v>
      </c>
      <c r="AC2206" s="1"/>
      <c r="AF2206">
        <v>0</v>
      </c>
      <c r="AG2206">
        <v>45</v>
      </c>
      <c r="AH2206">
        <v>58</v>
      </c>
      <c r="AI2206" s="2">
        <f>Table__192.168.3.138DYLAgingReport[[#This Row],[NetAmount]]-Table__192.168.3.138DYLAgingReport[[#This Row],[Paid]]</f>
        <v>396720</v>
      </c>
    </row>
    <row r="2207" spans="1:35">
      <c r="A2207" t="s">
        <v>4526</v>
      </c>
      <c r="B2207" s="1">
        <v>41257</v>
      </c>
      <c r="C2207" s="1">
        <v>41302</v>
      </c>
      <c r="D2207" t="s">
        <v>251</v>
      </c>
      <c r="E2207">
        <v>200000</v>
      </c>
      <c r="F2207">
        <v>32000</v>
      </c>
      <c r="G2207">
        <v>0</v>
      </c>
      <c r="H2207">
        <v>0</v>
      </c>
      <c r="I2207">
        <v>10</v>
      </c>
      <c r="J2207">
        <v>232000</v>
      </c>
      <c r="K2207" t="s">
        <v>37</v>
      </c>
      <c r="L2207" s="1">
        <v>41258</v>
      </c>
      <c r="N2207" t="s">
        <v>36</v>
      </c>
      <c r="O2207" t="s">
        <v>37</v>
      </c>
      <c r="P2207" t="s">
        <v>388</v>
      </c>
      <c r="Q2207" t="s">
        <v>39</v>
      </c>
      <c r="R2207" t="s">
        <v>40</v>
      </c>
      <c r="S2207">
        <v>0</v>
      </c>
      <c r="U2207" t="s">
        <v>41</v>
      </c>
      <c r="V2207" t="s">
        <v>42</v>
      </c>
      <c r="X2207" t="s">
        <v>74</v>
      </c>
      <c r="Y2207" t="b">
        <v>0</v>
      </c>
      <c r="Z2207" t="b">
        <v>0</v>
      </c>
      <c r="AC2207" s="1"/>
      <c r="AF2207">
        <v>0</v>
      </c>
      <c r="AG2207">
        <v>45</v>
      </c>
      <c r="AH2207">
        <v>55</v>
      </c>
      <c r="AI2207" s="2">
        <f>Table__192.168.3.138DYLAgingReport[[#This Row],[NetAmount]]-Table__192.168.3.138DYLAgingReport[[#This Row],[Paid]]</f>
        <v>232000</v>
      </c>
    </row>
    <row r="2208" spans="1:35">
      <c r="A2208" t="s">
        <v>4527</v>
      </c>
      <c r="B2208" s="1">
        <v>41259</v>
      </c>
      <c r="C2208" s="1">
        <v>41304</v>
      </c>
      <c r="D2208" t="s">
        <v>251</v>
      </c>
      <c r="E2208">
        <v>86760</v>
      </c>
      <c r="F2208">
        <v>13882</v>
      </c>
      <c r="G2208">
        <v>0</v>
      </c>
      <c r="H2208">
        <v>0</v>
      </c>
      <c r="I2208">
        <v>8</v>
      </c>
      <c r="J2208">
        <v>100642</v>
      </c>
      <c r="K2208" t="s">
        <v>2592</v>
      </c>
      <c r="L2208" s="1">
        <v>41260</v>
      </c>
      <c r="N2208" t="s">
        <v>36</v>
      </c>
      <c r="O2208" t="s">
        <v>37</v>
      </c>
      <c r="P2208" t="s">
        <v>388</v>
      </c>
      <c r="Q2208" t="s">
        <v>39</v>
      </c>
      <c r="R2208" t="s">
        <v>40</v>
      </c>
      <c r="S2208">
        <v>0</v>
      </c>
      <c r="U2208" t="s">
        <v>41</v>
      </c>
      <c r="V2208" t="s">
        <v>42</v>
      </c>
      <c r="X2208" t="s">
        <v>74</v>
      </c>
      <c r="Y2208" t="b">
        <v>0</v>
      </c>
      <c r="Z2208" t="b">
        <v>0</v>
      </c>
      <c r="AC2208" s="1"/>
      <c r="AF2208">
        <v>0</v>
      </c>
      <c r="AG2208">
        <v>45</v>
      </c>
      <c r="AH2208">
        <v>53</v>
      </c>
      <c r="AI2208" s="2">
        <f>Table__192.168.3.138DYLAgingReport[[#This Row],[NetAmount]]-Table__192.168.3.138DYLAgingReport[[#This Row],[Paid]]</f>
        <v>100642</v>
      </c>
    </row>
    <row r="2209" spans="1:35">
      <c r="A2209" t="s">
        <v>4528</v>
      </c>
      <c r="B2209" s="1">
        <v>41251</v>
      </c>
      <c r="C2209" s="1">
        <v>41251</v>
      </c>
      <c r="D2209" t="s">
        <v>291</v>
      </c>
      <c r="E2209">
        <v>9180</v>
      </c>
      <c r="F2209">
        <v>1469</v>
      </c>
      <c r="G2209">
        <v>0</v>
      </c>
      <c r="H2209">
        <v>0</v>
      </c>
      <c r="I2209">
        <v>17</v>
      </c>
      <c r="J2209">
        <v>10649</v>
      </c>
      <c r="K2209" t="s">
        <v>4529</v>
      </c>
      <c r="L2209" s="1">
        <v>41251</v>
      </c>
      <c r="N2209" t="s">
        <v>36</v>
      </c>
      <c r="O2209" t="s">
        <v>37</v>
      </c>
      <c r="P2209" t="s">
        <v>428</v>
      </c>
      <c r="Q2209" t="s">
        <v>39</v>
      </c>
      <c r="R2209" t="s">
        <v>40</v>
      </c>
      <c r="S2209">
        <v>0</v>
      </c>
      <c r="U2209" t="s">
        <v>41</v>
      </c>
      <c r="V2209" t="s">
        <v>42</v>
      </c>
      <c r="X2209" t="s">
        <v>74</v>
      </c>
      <c r="Y2209" t="b">
        <v>0</v>
      </c>
      <c r="Z2209" t="b">
        <v>0</v>
      </c>
      <c r="AC2209" s="1"/>
      <c r="AF2209">
        <v>0</v>
      </c>
      <c r="AG2209">
        <v>45</v>
      </c>
      <c r="AH2209">
        <v>62</v>
      </c>
      <c r="AI2209" s="2">
        <f>Table__192.168.3.138DYLAgingReport[[#This Row],[NetAmount]]-Table__192.168.3.138DYLAgingReport[[#This Row],[Paid]]</f>
        <v>10649</v>
      </c>
    </row>
    <row r="2210" spans="1:35">
      <c r="A2210" t="s">
        <v>4530</v>
      </c>
      <c r="B2210" s="1">
        <v>41260</v>
      </c>
      <c r="C2210" s="1">
        <v>41305</v>
      </c>
      <c r="D2210" t="s">
        <v>272</v>
      </c>
      <c r="E2210">
        <v>87500</v>
      </c>
      <c r="F2210">
        <v>14000</v>
      </c>
      <c r="G2210">
        <v>0</v>
      </c>
      <c r="H2210">
        <v>0</v>
      </c>
      <c r="I2210">
        <v>13</v>
      </c>
      <c r="J2210">
        <v>101500</v>
      </c>
      <c r="K2210" t="s">
        <v>1550</v>
      </c>
      <c r="L2210" s="1">
        <v>41255</v>
      </c>
      <c r="N2210" t="s">
        <v>36</v>
      </c>
      <c r="O2210" t="s">
        <v>37</v>
      </c>
      <c r="P2210" t="s">
        <v>409</v>
      </c>
      <c r="Q2210" t="s">
        <v>39</v>
      </c>
      <c r="R2210" t="s">
        <v>40</v>
      </c>
      <c r="S2210">
        <v>0</v>
      </c>
      <c r="U2210" t="s">
        <v>41</v>
      </c>
      <c r="V2210" t="s">
        <v>42</v>
      </c>
      <c r="X2210" t="s">
        <v>74</v>
      </c>
      <c r="Y2210" t="b">
        <v>0</v>
      </c>
      <c r="Z2210" t="b">
        <v>0</v>
      </c>
      <c r="AC2210" s="1"/>
      <c r="AF2210">
        <v>0</v>
      </c>
      <c r="AG2210">
        <v>45</v>
      </c>
      <c r="AH2210">
        <v>58</v>
      </c>
      <c r="AI2210" s="2">
        <f>Table__192.168.3.138DYLAgingReport[[#This Row],[NetAmount]]-Table__192.168.3.138DYLAgingReport[[#This Row],[Paid]]</f>
        <v>101500</v>
      </c>
    </row>
    <row r="2211" spans="1:35">
      <c r="A2211" t="s">
        <v>4531</v>
      </c>
      <c r="B2211" s="1">
        <v>41251</v>
      </c>
      <c r="C2211" s="1">
        <v>41251</v>
      </c>
      <c r="D2211" t="s">
        <v>298</v>
      </c>
      <c r="E2211">
        <v>250200</v>
      </c>
      <c r="F2211">
        <v>40032</v>
      </c>
      <c r="G2211">
        <v>0</v>
      </c>
      <c r="H2211">
        <v>0</v>
      </c>
      <c r="I2211">
        <v>18</v>
      </c>
      <c r="J2211">
        <v>290232</v>
      </c>
      <c r="K2211" t="s">
        <v>3194</v>
      </c>
      <c r="L2211" s="1">
        <v>41250</v>
      </c>
      <c r="N2211" t="s">
        <v>36</v>
      </c>
      <c r="O2211" t="s">
        <v>37</v>
      </c>
      <c r="P2211" t="s">
        <v>435</v>
      </c>
      <c r="Q2211" t="s">
        <v>39</v>
      </c>
      <c r="R2211" t="s">
        <v>40</v>
      </c>
      <c r="S2211">
        <v>0</v>
      </c>
      <c r="U2211" t="s">
        <v>41</v>
      </c>
      <c r="V2211" t="s">
        <v>42</v>
      </c>
      <c r="X2211" t="s">
        <v>74</v>
      </c>
      <c r="Y2211" t="b">
        <v>0</v>
      </c>
      <c r="Z2211" t="b">
        <v>0</v>
      </c>
      <c r="AC2211" s="1"/>
      <c r="AF2211">
        <v>0</v>
      </c>
      <c r="AG2211">
        <v>45</v>
      </c>
      <c r="AH2211">
        <v>63</v>
      </c>
      <c r="AI2211" s="2">
        <f>Table__192.168.3.138DYLAgingReport[[#This Row],[NetAmount]]-Table__192.168.3.138DYLAgingReport[[#This Row],[Paid]]</f>
        <v>290232</v>
      </c>
    </row>
    <row r="2212" spans="1:35">
      <c r="A2212" t="s">
        <v>4532</v>
      </c>
      <c r="B2212" s="1">
        <v>41253</v>
      </c>
      <c r="C2212" s="1">
        <v>41283</v>
      </c>
      <c r="D2212" t="s">
        <v>181</v>
      </c>
      <c r="E2212">
        <v>156600</v>
      </c>
      <c r="F2212">
        <v>25056</v>
      </c>
      <c r="G2212">
        <v>0</v>
      </c>
      <c r="H2212">
        <v>0</v>
      </c>
      <c r="I2212">
        <v>40</v>
      </c>
      <c r="J2212">
        <v>181656</v>
      </c>
      <c r="K2212" t="s">
        <v>4533</v>
      </c>
      <c r="L2212" s="1">
        <v>41243</v>
      </c>
      <c r="N2212" t="s">
        <v>36</v>
      </c>
      <c r="O2212" t="s">
        <v>37</v>
      </c>
      <c r="P2212" t="s">
        <v>318</v>
      </c>
      <c r="Q2212" t="s">
        <v>39</v>
      </c>
      <c r="R2212" t="s">
        <v>40</v>
      </c>
      <c r="S2212">
        <v>0</v>
      </c>
      <c r="U2212" t="s">
        <v>41</v>
      </c>
      <c r="V2212" t="s">
        <v>42</v>
      </c>
      <c r="X2212" t="s">
        <v>74</v>
      </c>
      <c r="Y2212" t="b">
        <v>0</v>
      </c>
      <c r="Z2212" t="b">
        <v>0</v>
      </c>
      <c r="AC2212" s="1"/>
      <c r="AF2212">
        <v>0</v>
      </c>
      <c r="AG2212">
        <v>30</v>
      </c>
      <c r="AH2212">
        <v>70</v>
      </c>
      <c r="AI2212" s="2">
        <f>Table__192.168.3.138DYLAgingReport[[#This Row],[NetAmount]]-Table__192.168.3.138DYLAgingReport[[#This Row],[Paid]]</f>
        <v>181656</v>
      </c>
    </row>
    <row r="2213" spans="1:35">
      <c r="A2213" t="s">
        <v>4534</v>
      </c>
      <c r="B2213" s="1">
        <v>41247</v>
      </c>
      <c r="C2213" s="1">
        <v>41292</v>
      </c>
      <c r="D2213" t="s">
        <v>221</v>
      </c>
      <c r="E2213">
        <v>9250</v>
      </c>
      <c r="F2213">
        <v>0</v>
      </c>
      <c r="G2213">
        <v>0</v>
      </c>
      <c r="H2213">
        <v>0</v>
      </c>
      <c r="I2213">
        <v>3</v>
      </c>
      <c r="J2213">
        <v>9250</v>
      </c>
      <c r="K2213" t="s">
        <v>3447</v>
      </c>
      <c r="L2213" s="1">
        <v>41265</v>
      </c>
      <c r="N2213" t="s">
        <v>36</v>
      </c>
      <c r="O2213" t="s">
        <v>37</v>
      </c>
      <c r="P2213" t="s">
        <v>358</v>
      </c>
      <c r="Q2213" t="s">
        <v>39</v>
      </c>
      <c r="R2213" t="s">
        <v>40</v>
      </c>
      <c r="S2213">
        <v>0</v>
      </c>
      <c r="U2213" t="s">
        <v>41</v>
      </c>
      <c r="V2213" t="s">
        <v>42</v>
      </c>
      <c r="X2213" t="s">
        <v>74</v>
      </c>
      <c r="Y2213" t="b">
        <v>0</v>
      </c>
      <c r="Z2213" t="b">
        <v>0</v>
      </c>
      <c r="AC2213" s="1"/>
      <c r="AF2213">
        <v>0</v>
      </c>
      <c r="AG2213">
        <v>45</v>
      </c>
      <c r="AH2213">
        <v>48</v>
      </c>
      <c r="AI2213" s="2">
        <f>Table__192.168.3.138DYLAgingReport[[#This Row],[NetAmount]]-Table__192.168.3.138DYLAgingReport[[#This Row],[Paid]]</f>
        <v>9250</v>
      </c>
    </row>
    <row r="2214" spans="1:35">
      <c r="A2214" t="s">
        <v>4535</v>
      </c>
      <c r="B2214" s="1">
        <v>41251</v>
      </c>
      <c r="C2214" s="1">
        <v>41251</v>
      </c>
      <c r="D2214" t="s">
        <v>290</v>
      </c>
      <c r="E2214">
        <v>39100</v>
      </c>
      <c r="F2214">
        <v>6256</v>
      </c>
      <c r="G2214">
        <v>0</v>
      </c>
      <c r="H2214">
        <v>0</v>
      </c>
      <c r="I2214">
        <v>17</v>
      </c>
      <c r="J2214">
        <v>45356</v>
      </c>
      <c r="K2214" t="s">
        <v>4536</v>
      </c>
      <c r="L2214" s="1">
        <v>41251</v>
      </c>
      <c r="N2214" t="s">
        <v>36</v>
      </c>
      <c r="O2214" t="s">
        <v>37</v>
      </c>
      <c r="P2214" t="s">
        <v>427</v>
      </c>
      <c r="Q2214" t="s">
        <v>39</v>
      </c>
      <c r="R2214" t="s">
        <v>40</v>
      </c>
      <c r="S2214">
        <v>0</v>
      </c>
      <c r="U2214" t="s">
        <v>41</v>
      </c>
      <c r="V2214" t="s">
        <v>42</v>
      </c>
      <c r="X2214" t="s">
        <v>74</v>
      </c>
      <c r="Y2214" t="b">
        <v>0</v>
      </c>
      <c r="Z2214" t="b">
        <v>0</v>
      </c>
      <c r="AC2214" s="1"/>
      <c r="AF2214">
        <v>0</v>
      </c>
      <c r="AG2214">
        <v>45</v>
      </c>
      <c r="AH2214">
        <v>62</v>
      </c>
      <c r="AI2214" s="2">
        <f>Table__192.168.3.138DYLAgingReport[[#This Row],[NetAmount]]-Table__192.168.3.138DYLAgingReport[[#This Row],[Paid]]</f>
        <v>45356</v>
      </c>
    </row>
    <row r="2215" spans="1:35">
      <c r="A2215" t="s">
        <v>4537</v>
      </c>
      <c r="B2215" s="1">
        <v>41258</v>
      </c>
      <c r="C2215" s="1">
        <v>41288</v>
      </c>
      <c r="D2215" t="s">
        <v>285</v>
      </c>
      <c r="E2215">
        <v>1450000</v>
      </c>
      <c r="F2215">
        <v>232000</v>
      </c>
      <c r="G2215">
        <v>0</v>
      </c>
      <c r="H2215">
        <v>0</v>
      </c>
      <c r="I2215">
        <v>25</v>
      </c>
      <c r="J2215">
        <v>1682000</v>
      </c>
      <c r="K2215" t="s">
        <v>4538</v>
      </c>
      <c r="L2215" s="1">
        <v>41258</v>
      </c>
      <c r="N2215" t="s">
        <v>36</v>
      </c>
      <c r="O2215" t="s">
        <v>37</v>
      </c>
      <c r="P2215" t="s">
        <v>422</v>
      </c>
      <c r="Q2215" t="s">
        <v>39</v>
      </c>
      <c r="R2215" t="s">
        <v>40</v>
      </c>
      <c r="S2215">
        <v>0</v>
      </c>
      <c r="U2215" t="s">
        <v>41</v>
      </c>
      <c r="V2215" t="s">
        <v>42</v>
      </c>
      <c r="X2215" t="s">
        <v>74</v>
      </c>
      <c r="Y2215" t="b">
        <v>0</v>
      </c>
      <c r="Z2215" t="b">
        <v>0</v>
      </c>
      <c r="AC2215" s="1"/>
      <c r="AF2215">
        <v>0</v>
      </c>
      <c r="AG2215">
        <v>30</v>
      </c>
      <c r="AH2215">
        <v>55</v>
      </c>
      <c r="AI2215" s="2">
        <f>Table__192.168.3.138DYLAgingReport[[#This Row],[NetAmount]]-Table__192.168.3.138DYLAgingReport[[#This Row],[Paid]]</f>
        <v>1682000</v>
      </c>
    </row>
    <row r="2216" spans="1:35">
      <c r="A2216" t="s">
        <v>4539</v>
      </c>
      <c r="B2216" s="1">
        <v>41244</v>
      </c>
      <c r="C2216" s="1">
        <v>41289</v>
      </c>
      <c r="D2216" t="s">
        <v>231</v>
      </c>
      <c r="E2216">
        <v>327600</v>
      </c>
      <c r="F2216">
        <v>52416</v>
      </c>
      <c r="G2216">
        <v>0</v>
      </c>
      <c r="H2216">
        <v>0</v>
      </c>
      <c r="I2216">
        <v>24</v>
      </c>
      <c r="J2216">
        <v>380016</v>
      </c>
      <c r="K2216" t="s">
        <v>4540</v>
      </c>
      <c r="L2216" s="1">
        <v>41244</v>
      </c>
      <c r="N2216" t="s">
        <v>36</v>
      </c>
      <c r="O2216" t="s">
        <v>37</v>
      </c>
      <c r="P2216" t="s">
        <v>368</v>
      </c>
      <c r="Q2216" t="s">
        <v>39</v>
      </c>
      <c r="R2216" t="s">
        <v>40</v>
      </c>
      <c r="S2216">
        <v>0</v>
      </c>
      <c r="U2216" t="s">
        <v>41</v>
      </c>
      <c r="V2216" t="s">
        <v>42</v>
      </c>
      <c r="X2216" t="s">
        <v>74</v>
      </c>
      <c r="Y2216" t="b">
        <v>0</v>
      </c>
      <c r="Z2216" t="b">
        <v>0</v>
      </c>
      <c r="AC2216" s="1"/>
      <c r="AF2216">
        <v>0</v>
      </c>
      <c r="AG2216">
        <v>45</v>
      </c>
      <c r="AH2216">
        <v>69</v>
      </c>
      <c r="AI2216" s="2">
        <f>Table__192.168.3.138DYLAgingReport[[#This Row],[NetAmount]]-Table__192.168.3.138DYLAgingReport[[#This Row],[Paid]]</f>
        <v>380016</v>
      </c>
    </row>
    <row r="2217" spans="1:35">
      <c r="A2217" t="s">
        <v>4541</v>
      </c>
      <c r="B2217" s="1">
        <v>41251</v>
      </c>
      <c r="C2217" s="1">
        <v>41296</v>
      </c>
      <c r="D2217" t="s">
        <v>231</v>
      </c>
      <c r="E2217">
        <v>327600</v>
      </c>
      <c r="F2217">
        <v>52416</v>
      </c>
      <c r="G2217">
        <v>0</v>
      </c>
      <c r="H2217">
        <v>0</v>
      </c>
      <c r="I2217">
        <v>17</v>
      </c>
      <c r="J2217">
        <v>380016</v>
      </c>
      <c r="K2217" t="s">
        <v>4542</v>
      </c>
      <c r="L2217" s="1">
        <v>41251</v>
      </c>
      <c r="N2217" t="s">
        <v>36</v>
      </c>
      <c r="O2217" t="s">
        <v>37</v>
      </c>
      <c r="P2217" t="s">
        <v>368</v>
      </c>
      <c r="Q2217" t="s">
        <v>39</v>
      </c>
      <c r="R2217" t="s">
        <v>40</v>
      </c>
      <c r="S2217">
        <v>0</v>
      </c>
      <c r="U2217" t="s">
        <v>41</v>
      </c>
      <c r="V2217" t="s">
        <v>42</v>
      </c>
      <c r="X2217" t="s">
        <v>74</v>
      </c>
      <c r="Y2217" t="b">
        <v>0</v>
      </c>
      <c r="Z2217" t="b">
        <v>0</v>
      </c>
      <c r="AC2217" s="1"/>
      <c r="AF2217">
        <v>0</v>
      </c>
      <c r="AG2217">
        <v>45</v>
      </c>
      <c r="AH2217">
        <v>62</v>
      </c>
      <c r="AI2217" s="2">
        <f>Table__192.168.3.138DYLAgingReport[[#This Row],[NetAmount]]-Table__192.168.3.138DYLAgingReport[[#This Row],[Paid]]</f>
        <v>380016</v>
      </c>
    </row>
    <row r="2218" spans="1:35">
      <c r="A2218" t="s">
        <v>4543</v>
      </c>
      <c r="B2218" s="1">
        <v>41253</v>
      </c>
      <c r="C2218" s="1">
        <v>41298</v>
      </c>
      <c r="D2218" t="s">
        <v>231</v>
      </c>
      <c r="E2218">
        <v>327600</v>
      </c>
      <c r="F2218">
        <v>52416</v>
      </c>
      <c r="G2218">
        <v>0</v>
      </c>
      <c r="H2218">
        <v>0</v>
      </c>
      <c r="I2218">
        <v>15</v>
      </c>
      <c r="J2218">
        <v>380016</v>
      </c>
      <c r="K2218" t="s">
        <v>4544</v>
      </c>
      <c r="L2218" s="1">
        <v>41253</v>
      </c>
      <c r="N2218" t="s">
        <v>36</v>
      </c>
      <c r="O2218" t="s">
        <v>37</v>
      </c>
      <c r="P2218" t="s">
        <v>368</v>
      </c>
      <c r="Q2218" t="s">
        <v>39</v>
      </c>
      <c r="R2218" t="s">
        <v>40</v>
      </c>
      <c r="S2218">
        <v>0</v>
      </c>
      <c r="U2218" t="s">
        <v>41</v>
      </c>
      <c r="V2218" t="s">
        <v>42</v>
      </c>
      <c r="X2218" t="s">
        <v>74</v>
      </c>
      <c r="Y2218" t="b">
        <v>0</v>
      </c>
      <c r="Z2218" t="b">
        <v>0</v>
      </c>
      <c r="AC2218" s="1"/>
      <c r="AF2218">
        <v>0</v>
      </c>
      <c r="AG2218">
        <v>45</v>
      </c>
      <c r="AH2218">
        <v>60</v>
      </c>
      <c r="AI2218" s="2">
        <f>Table__192.168.3.138DYLAgingReport[[#This Row],[NetAmount]]-Table__192.168.3.138DYLAgingReport[[#This Row],[Paid]]</f>
        <v>380016</v>
      </c>
    </row>
    <row r="2219" spans="1:35">
      <c r="A2219" t="s">
        <v>4545</v>
      </c>
      <c r="B2219" s="1">
        <v>41254</v>
      </c>
      <c r="C2219" s="1">
        <v>41299</v>
      </c>
      <c r="D2219" t="s">
        <v>231</v>
      </c>
      <c r="E2219">
        <v>327600</v>
      </c>
      <c r="F2219">
        <v>52416</v>
      </c>
      <c r="G2219">
        <v>0</v>
      </c>
      <c r="H2219">
        <v>0</v>
      </c>
      <c r="I2219">
        <v>8</v>
      </c>
      <c r="J2219">
        <v>380016</v>
      </c>
      <c r="K2219" t="s">
        <v>4546</v>
      </c>
      <c r="L2219" s="1">
        <v>41260</v>
      </c>
      <c r="N2219" t="s">
        <v>36</v>
      </c>
      <c r="O2219" t="s">
        <v>37</v>
      </c>
      <c r="P2219" t="s">
        <v>368</v>
      </c>
      <c r="Q2219" t="s">
        <v>39</v>
      </c>
      <c r="R2219" t="s">
        <v>40</v>
      </c>
      <c r="S2219">
        <v>0</v>
      </c>
      <c r="U2219" t="s">
        <v>41</v>
      </c>
      <c r="V2219" t="s">
        <v>42</v>
      </c>
      <c r="X2219" t="s">
        <v>74</v>
      </c>
      <c r="Y2219" t="b">
        <v>0</v>
      </c>
      <c r="Z2219" t="b">
        <v>0</v>
      </c>
      <c r="AC2219" s="1"/>
      <c r="AF2219">
        <v>0</v>
      </c>
      <c r="AG2219">
        <v>45</v>
      </c>
      <c r="AH2219">
        <v>53</v>
      </c>
      <c r="AI2219" s="2">
        <f>Table__192.168.3.138DYLAgingReport[[#This Row],[NetAmount]]-Table__192.168.3.138DYLAgingReport[[#This Row],[Paid]]</f>
        <v>380016</v>
      </c>
    </row>
    <row r="2220" spans="1:35">
      <c r="A2220" t="s">
        <v>4547</v>
      </c>
      <c r="B2220" s="1">
        <v>41258</v>
      </c>
      <c r="C2220" s="1">
        <v>41303</v>
      </c>
      <c r="D2220" t="s">
        <v>231</v>
      </c>
      <c r="E2220">
        <v>327600</v>
      </c>
      <c r="F2220">
        <v>52416</v>
      </c>
      <c r="G2220">
        <v>0</v>
      </c>
      <c r="H2220">
        <v>0</v>
      </c>
      <c r="I2220">
        <v>10</v>
      </c>
      <c r="J2220">
        <v>380016</v>
      </c>
      <c r="K2220" t="s">
        <v>833</v>
      </c>
      <c r="L2220" s="1">
        <v>41258</v>
      </c>
      <c r="N2220" t="s">
        <v>36</v>
      </c>
      <c r="O2220" t="s">
        <v>37</v>
      </c>
      <c r="P2220" t="s">
        <v>368</v>
      </c>
      <c r="Q2220" t="s">
        <v>39</v>
      </c>
      <c r="R2220" t="s">
        <v>40</v>
      </c>
      <c r="S2220">
        <v>0</v>
      </c>
      <c r="U2220" t="s">
        <v>41</v>
      </c>
      <c r="V2220" t="s">
        <v>42</v>
      </c>
      <c r="X2220" t="s">
        <v>74</v>
      </c>
      <c r="Y2220" t="b">
        <v>0</v>
      </c>
      <c r="Z2220" t="b">
        <v>0</v>
      </c>
      <c r="AC2220" s="1"/>
      <c r="AF2220">
        <v>0</v>
      </c>
      <c r="AG2220">
        <v>45</v>
      </c>
      <c r="AH2220">
        <v>55</v>
      </c>
      <c r="AI2220" s="2">
        <f>Table__192.168.3.138DYLAgingReport[[#This Row],[NetAmount]]-Table__192.168.3.138DYLAgingReport[[#This Row],[Paid]]</f>
        <v>380016</v>
      </c>
    </row>
    <row r="2221" spans="1:35">
      <c r="A2221" t="s">
        <v>4548</v>
      </c>
      <c r="B2221" s="1">
        <v>41259</v>
      </c>
      <c r="C2221" s="1">
        <v>41304</v>
      </c>
      <c r="D2221" t="s">
        <v>238</v>
      </c>
      <c r="E2221">
        <v>209000</v>
      </c>
      <c r="F2221">
        <v>33440</v>
      </c>
      <c r="G2221">
        <v>0</v>
      </c>
      <c r="H2221">
        <v>0</v>
      </c>
      <c r="I2221">
        <v>18</v>
      </c>
      <c r="J2221">
        <v>242440</v>
      </c>
      <c r="K2221" t="s">
        <v>4549</v>
      </c>
      <c r="L2221" s="1">
        <v>41250</v>
      </c>
      <c r="N2221" t="s">
        <v>36</v>
      </c>
      <c r="O2221" t="s">
        <v>37</v>
      </c>
      <c r="P2221" t="s">
        <v>375</v>
      </c>
      <c r="Q2221" t="s">
        <v>39</v>
      </c>
      <c r="R2221" t="s">
        <v>40</v>
      </c>
      <c r="S2221">
        <v>0</v>
      </c>
      <c r="U2221" t="s">
        <v>41</v>
      </c>
      <c r="V2221" t="s">
        <v>42</v>
      </c>
      <c r="X2221" t="s">
        <v>74</v>
      </c>
      <c r="Y2221" t="b">
        <v>0</v>
      </c>
      <c r="Z2221" t="b">
        <v>0</v>
      </c>
      <c r="AC2221" s="1"/>
      <c r="AF2221">
        <v>0</v>
      </c>
      <c r="AG2221">
        <v>45</v>
      </c>
      <c r="AH2221">
        <v>63</v>
      </c>
      <c r="AI2221" s="2">
        <f>Table__192.168.3.138DYLAgingReport[[#This Row],[NetAmount]]-Table__192.168.3.138DYLAgingReport[[#This Row],[Paid]]</f>
        <v>242440</v>
      </c>
    </row>
    <row r="2222" spans="1:35">
      <c r="A2222" t="s">
        <v>4550</v>
      </c>
      <c r="B2222" s="1">
        <v>41254</v>
      </c>
      <c r="C2222" s="1">
        <v>41299</v>
      </c>
      <c r="D2222" t="s">
        <v>214</v>
      </c>
      <c r="E2222">
        <v>85500</v>
      </c>
      <c r="F2222">
        <v>0</v>
      </c>
      <c r="G2222">
        <v>0</v>
      </c>
      <c r="H2222">
        <v>0</v>
      </c>
      <c r="I2222">
        <v>14</v>
      </c>
      <c r="J2222">
        <v>85500</v>
      </c>
      <c r="K2222" t="s">
        <v>1153</v>
      </c>
      <c r="L2222" s="1">
        <v>41254</v>
      </c>
      <c r="M2222" t="s">
        <v>4551</v>
      </c>
      <c r="N2222" t="s">
        <v>36</v>
      </c>
      <c r="O2222" t="s">
        <v>37</v>
      </c>
      <c r="P2222" t="s">
        <v>351</v>
      </c>
      <c r="Q2222" t="s">
        <v>39</v>
      </c>
      <c r="R2222" t="s">
        <v>40</v>
      </c>
      <c r="S2222">
        <v>0</v>
      </c>
      <c r="U2222" t="s">
        <v>41</v>
      </c>
      <c r="V2222" t="s">
        <v>42</v>
      </c>
      <c r="W2222" t="s">
        <v>4552</v>
      </c>
      <c r="X2222" t="s">
        <v>74</v>
      </c>
      <c r="Y2222" t="b">
        <v>0</v>
      </c>
      <c r="Z2222" t="b">
        <v>0</v>
      </c>
      <c r="AA2222" t="b">
        <v>0</v>
      </c>
      <c r="AC2222" s="1"/>
      <c r="AF2222">
        <v>0</v>
      </c>
      <c r="AG2222">
        <v>45</v>
      </c>
      <c r="AH2222">
        <v>59</v>
      </c>
      <c r="AI2222" s="2">
        <f>Table__192.168.3.138DYLAgingReport[[#This Row],[NetAmount]]-Table__192.168.3.138DYLAgingReport[[#This Row],[Paid]]</f>
        <v>85500</v>
      </c>
    </row>
    <row r="2223" spans="1:35">
      <c r="A2223" t="s">
        <v>4553</v>
      </c>
      <c r="B2223" s="1">
        <v>41248</v>
      </c>
      <c r="C2223" s="1">
        <v>41293</v>
      </c>
      <c r="D2223" t="s">
        <v>208</v>
      </c>
      <c r="E2223">
        <v>30160</v>
      </c>
      <c r="F2223">
        <v>4826</v>
      </c>
      <c r="G2223">
        <v>0</v>
      </c>
      <c r="H2223">
        <v>0</v>
      </c>
      <c r="I2223">
        <v>21</v>
      </c>
      <c r="J2223">
        <v>34986</v>
      </c>
      <c r="K2223" t="s">
        <v>4554</v>
      </c>
      <c r="L2223" s="1">
        <v>41247</v>
      </c>
      <c r="N2223" t="s">
        <v>36</v>
      </c>
      <c r="O2223" t="s">
        <v>37</v>
      </c>
      <c r="P2223" t="s">
        <v>345</v>
      </c>
      <c r="Q2223" t="s">
        <v>39</v>
      </c>
      <c r="R2223" t="s">
        <v>40</v>
      </c>
      <c r="S2223">
        <v>0</v>
      </c>
      <c r="U2223" t="s">
        <v>41</v>
      </c>
      <c r="V2223" t="s">
        <v>42</v>
      </c>
      <c r="X2223" t="s">
        <v>74</v>
      </c>
      <c r="Y2223" t="b">
        <v>0</v>
      </c>
      <c r="Z2223" t="b">
        <v>0</v>
      </c>
      <c r="AB2223" t="s">
        <v>4555</v>
      </c>
      <c r="AC2223" s="1"/>
      <c r="AF2223">
        <v>0</v>
      </c>
      <c r="AG2223">
        <v>45</v>
      </c>
      <c r="AH2223">
        <v>66</v>
      </c>
      <c r="AI2223" s="2">
        <f>Table__192.168.3.138DYLAgingReport[[#This Row],[NetAmount]]-Table__192.168.3.138DYLAgingReport[[#This Row],[Paid]]</f>
        <v>34986</v>
      </c>
    </row>
    <row r="2224" spans="1:35">
      <c r="A2224" t="s">
        <v>4556</v>
      </c>
      <c r="B2224" s="1">
        <v>41248</v>
      </c>
      <c r="C2224" s="1">
        <v>41293</v>
      </c>
      <c r="D2224" t="s">
        <v>208</v>
      </c>
      <c r="E2224">
        <v>3180</v>
      </c>
      <c r="F2224">
        <v>509</v>
      </c>
      <c r="G2224">
        <v>0</v>
      </c>
      <c r="H2224">
        <v>0</v>
      </c>
      <c r="I2224">
        <v>20</v>
      </c>
      <c r="J2224">
        <v>3689</v>
      </c>
      <c r="K2224" t="s">
        <v>4557</v>
      </c>
      <c r="L2224" s="1">
        <v>41248</v>
      </c>
      <c r="N2224" t="s">
        <v>36</v>
      </c>
      <c r="O2224" t="s">
        <v>37</v>
      </c>
      <c r="P2224" t="s">
        <v>345</v>
      </c>
      <c r="Q2224" t="s">
        <v>39</v>
      </c>
      <c r="R2224" t="s">
        <v>40</v>
      </c>
      <c r="S2224">
        <v>0</v>
      </c>
      <c r="U2224" t="s">
        <v>41</v>
      </c>
      <c r="V2224" t="s">
        <v>42</v>
      </c>
      <c r="X2224" t="s">
        <v>74</v>
      </c>
      <c r="Y2224" t="b">
        <v>0</v>
      </c>
      <c r="Z2224" t="b">
        <v>0</v>
      </c>
      <c r="AB2224" t="s">
        <v>4555</v>
      </c>
      <c r="AC2224" s="1"/>
      <c r="AF2224">
        <v>0</v>
      </c>
      <c r="AG2224">
        <v>45</v>
      </c>
      <c r="AH2224">
        <v>65</v>
      </c>
      <c r="AI2224" s="2">
        <f>Table__192.168.3.138DYLAgingReport[[#This Row],[NetAmount]]-Table__192.168.3.138DYLAgingReport[[#This Row],[Paid]]</f>
        <v>3689</v>
      </c>
    </row>
    <row r="2225" spans="1:35">
      <c r="A2225" t="s">
        <v>4558</v>
      </c>
      <c r="B2225" s="1">
        <v>41250</v>
      </c>
      <c r="C2225" s="1">
        <v>41295</v>
      </c>
      <c r="D2225" t="s">
        <v>208</v>
      </c>
      <c r="E2225">
        <v>156406</v>
      </c>
      <c r="F2225">
        <v>25025</v>
      </c>
      <c r="G2225">
        <v>0</v>
      </c>
      <c r="H2225">
        <v>0</v>
      </c>
      <c r="I2225">
        <v>18</v>
      </c>
      <c r="J2225">
        <v>181431</v>
      </c>
      <c r="K2225" t="s">
        <v>4559</v>
      </c>
      <c r="L2225" s="1">
        <v>41250</v>
      </c>
      <c r="N2225" t="s">
        <v>36</v>
      </c>
      <c r="O2225" t="s">
        <v>37</v>
      </c>
      <c r="P2225" t="s">
        <v>345</v>
      </c>
      <c r="Q2225" t="s">
        <v>39</v>
      </c>
      <c r="R2225" t="s">
        <v>40</v>
      </c>
      <c r="S2225">
        <v>0</v>
      </c>
      <c r="U2225" t="s">
        <v>41</v>
      </c>
      <c r="V2225" t="s">
        <v>42</v>
      </c>
      <c r="X2225" t="s">
        <v>74</v>
      </c>
      <c r="Y2225" t="b">
        <v>0</v>
      </c>
      <c r="Z2225" t="b">
        <v>0</v>
      </c>
      <c r="AB2225" t="s">
        <v>4555</v>
      </c>
      <c r="AC2225" s="1"/>
      <c r="AF2225">
        <v>0</v>
      </c>
      <c r="AG2225">
        <v>45</v>
      </c>
      <c r="AH2225">
        <v>63</v>
      </c>
      <c r="AI2225" s="2">
        <f>Table__192.168.3.138DYLAgingReport[[#This Row],[NetAmount]]-Table__192.168.3.138DYLAgingReport[[#This Row],[Paid]]</f>
        <v>181431</v>
      </c>
    </row>
    <row r="2226" spans="1:35">
      <c r="A2226" t="s">
        <v>4560</v>
      </c>
      <c r="B2226" s="1">
        <v>41253</v>
      </c>
      <c r="C2226" s="1">
        <v>41298</v>
      </c>
      <c r="D2226" t="s">
        <v>208</v>
      </c>
      <c r="E2226">
        <v>23448</v>
      </c>
      <c r="F2226">
        <v>3752</v>
      </c>
      <c r="G2226">
        <v>0</v>
      </c>
      <c r="H2226">
        <v>0</v>
      </c>
      <c r="I2226">
        <v>15</v>
      </c>
      <c r="J2226">
        <v>27200</v>
      </c>
      <c r="K2226" t="s">
        <v>4561</v>
      </c>
      <c r="L2226" s="1">
        <v>41253</v>
      </c>
      <c r="N2226" t="s">
        <v>36</v>
      </c>
      <c r="O2226" t="s">
        <v>37</v>
      </c>
      <c r="P2226" t="s">
        <v>345</v>
      </c>
      <c r="Q2226" t="s">
        <v>39</v>
      </c>
      <c r="R2226" t="s">
        <v>40</v>
      </c>
      <c r="S2226">
        <v>0</v>
      </c>
      <c r="U2226" t="s">
        <v>41</v>
      </c>
      <c r="V2226" t="s">
        <v>42</v>
      </c>
      <c r="X2226" t="s">
        <v>74</v>
      </c>
      <c r="Y2226" t="b">
        <v>0</v>
      </c>
      <c r="Z2226" t="b">
        <v>0</v>
      </c>
      <c r="AB2226" t="s">
        <v>4555</v>
      </c>
      <c r="AC2226" s="1"/>
      <c r="AF2226">
        <v>0</v>
      </c>
      <c r="AG2226">
        <v>45</v>
      </c>
      <c r="AH2226">
        <v>60</v>
      </c>
      <c r="AI2226" s="2">
        <f>Table__192.168.3.138DYLAgingReport[[#This Row],[NetAmount]]-Table__192.168.3.138DYLAgingReport[[#This Row],[Paid]]</f>
        <v>27200</v>
      </c>
    </row>
    <row r="2227" spans="1:35">
      <c r="A2227" t="s">
        <v>4562</v>
      </c>
      <c r="B2227" s="1">
        <v>41253</v>
      </c>
      <c r="C2227" s="1">
        <v>41298</v>
      </c>
      <c r="D2227" t="s">
        <v>208</v>
      </c>
      <c r="E2227">
        <v>51810</v>
      </c>
      <c r="F2227">
        <v>8290</v>
      </c>
      <c r="G2227">
        <v>0</v>
      </c>
      <c r="H2227">
        <v>0</v>
      </c>
      <c r="I2227">
        <v>15</v>
      </c>
      <c r="J2227">
        <v>60100</v>
      </c>
      <c r="K2227" t="s">
        <v>4563</v>
      </c>
      <c r="L2227" s="1">
        <v>41253</v>
      </c>
      <c r="N2227" t="s">
        <v>36</v>
      </c>
      <c r="O2227" t="s">
        <v>37</v>
      </c>
      <c r="P2227" t="s">
        <v>345</v>
      </c>
      <c r="Q2227" t="s">
        <v>39</v>
      </c>
      <c r="R2227" t="s">
        <v>40</v>
      </c>
      <c r="S2227">
        <v>0</v>
      </c>
      <c r="U2227" t="s">
        <v>41</v>
      </c>
      <c r="V2227" t="s">
        <v>42</v>
      </c>
      <c r="X2227" t="s">
        <v>74</v>
      </c>
      <c r="Y2227" t="b">
        <v>0</v>
      </c>
      <c r="Z2227" t="b">
        <v>0</v>
      </c>
      <c r="AB2227" t="s">
        <v>4555</v>
      </c>
      <c r="AC2227" s="1"/>
      <c r="AF2227">
        <v>0</v>
      </c>
      <c r="AG2227">
        <v>45</v>
      </c>
      <c r="AH2227">
        <v>60</v>
      </c>
      <c r="AI2227" s="2">
        <f>Table__192.168.3.138DYLAgingReport[[#This Row],[NetAmount]]-Table__192.168.3.138DYLAgingReport[[#This Row],[Paid]]</f>
        <v>60100</v>
      </c>
    </row>
    <row r="2228" spans="1:35">
      <c r="A2228" t="s">
        <v>4564</v>
      </c>
      <c r="B2228" s="1">
        <v>41255</v>
      </c>
      <c r="C2228" s="1">
        <v>41300</v>
      </c>
      <c r="D2228" t="s">
        <v>208</v>
      </c>
      <c r="E2228">
        <v>271595</v>
      </c>
      <c r="F2228">
        <v>43455</v>
      </c>
      <c r="G2228">
        <v>0</v>
      </c>
      <c r="H2228">
        <v>0</v>
      </c>
      <c r="I2228">
        <v>13</v>
      </c>
      <c r="J2228">
        <v>315050</v>
      </c>
      <c r="K2228" t="s">
        <v>4565</v>
      </c>
      <c r="L2228" s="1">
        <v>41255</v>
      </c>
      <c r="N2228" t="s">
        <v>36</v>
      </c>
      <c r="O2228" t="s">
        <v>37</v>
      </c>
      <c r="P2228" t="s">
        <v>345</v>
      </c>
      <c r="Q2228" t="s">
        <v>39</v>
      </c>
      <c r="R2228" t="s">
        <v>40</v>
      </c>
      <c r="S2228">
        <v>0</v>
      </c>
      <c r="U2228" t="s">
        <v>41</v>
      </c>
      <c r="V2228" t="s">
        <v>42</v>
      </c>
      <c r="X2228" t="s">
        <v>74</v>
      </c>
      <c r="Y2228" t="b">
        <v>0</v>
      </c>
      <c r="Z2228" t="b">
        <v>0</v>
      </c>
      <c r="AB2228" t="s">
        <v>4555</v>
      </c>
      <c r="AC2228" s="1"/>
      <c r="AF2228">
        <v>0</v>
      </c>
      <c r="AG2228">
        <v>45</v>
      </c>
      <c r="AH2228">
        <v>58</v>
      </c>
      <c r="AI2228" s="2">
        <f>Table__192.168.3.138DYLAgingReport[[#This Row],[NetAmount]]-Table__192.168.3.138DYLAgingReport[[#This Row],[Paid]]</f>
        <v>315050</v>
      </c>
    </row>
    <row r="2229" spans="1:35">
      <c r="A2229" t="s">
        <v>4566</v>
      </c>
      <c r="B2229" s="1">
        <v>41255</v>
      </c>
      <c r="C2229" s="1">
        <v>41300</v>
      </c>
      <c r="D2229" t="s">
        <v>208</v>
      </c>
      <c r="E2229">
        <v>6988</v>
      </c>
      <c r="F2229">
        <v>1118</v>
      </c>
      <c r="G2229">
        <v>0</v>
      </c>
      <c r="H2229">
        <v>0</v>
      </c>
      <c r="I2229">
        <v>15</v>
      </c>
      <c r="J2229">
        <v>8106</v>
      </c>
      <c r="K2229" t="s">
        <v>4567</v>
      </c>
      <c r="L2229" s="1">
        <v>41253</v>
      </c>
      <c r="N2229" t="s">
        <v>36</v>
      </c>
      <c r="O2229" t="s">
        <v>37</v>
      </c>
      <c r="P2229" t="s">
        <v>345</v>
      </c>
      <c r="Q2229" t="s">
        <v>39</v>
      </c>
      <c r="R2229" t="s">
        <v>40</v>
      </c>
      <c r="S2229">
        <v>0</v>
      </c>
      <c r="U2229" t="s">
        <v>41</v>
      </c>
      <c r="V2229" t="s">
        <v>42</v>
      </c>
      <c r="X2229" t="s">
        <v>74</v>
      </c>
      <c r="Y2229" t="b">
        <v>0</v>
      </c>
      <c r="Z2229" t="b">
        <v>0</v>
      </c>
      <c r="AB2229" t="s">
        <v>4555</v>
      </c>
      <c r="AC2229" s="1"/>
      <c r="AF2229">
        <v>0</v>
      </c>
      <c r="AG2229">
        <v>45</v>
      </c>
      <c r="AH2229">
        <v>60</v>
      </c>
      <c r="AI2229" s="2">
        <f>Table__192.168.3.138DYLAgingReport[[#This Row],[NetAmount]]-Table__192.168.3.138DYLAgingReport[[#This Row],[Paid]]</f>
        <v>8106</v>
      </c>
    </row>
    <row r="2230" spans="1:35">
      <c r="A2230" t="s">
        <v>4568</v>
      </c>
      <c r="B2230" s="1">
        <v>41257</v>
      </c>
      <c r="C2230" s="1">
        <v>41302</v>
      </c>
      <c r="D2230" t="s">
        <v>208</v>
      </c>
      <c r="E2230">
        <v>55489</v>
      </c>
      <c r="F2230">
        <v>8878</v>
      </c>
      <c r="G2230">
        <v>0</v>
      </c>
      <c r="H2230">
        <v>0</v>
      </c>
      <c r="I2230">
        <v>11</v>
      </c>
      <c r="J2230">
        <v>64367</v>
      </c>
      <c r="K2230" t="s">
        <v>4569</v>
      </c>
      <c r="L2230" s="1">
        <v>41257</v>
      </c>
      <c r="N2230" t="s">
        <v>36</v>
      </c>
      <c r="O2230" t="s">
        <v>37</v>
      </c>
      <c r="P2230" t="s">
        <v>345</v>
      </c>
      <c r="Q2230" t="s">
        <v>39</v>
      </c>
      <c r="R2230" t="s">
        <v>40</v>
      </c>
      <c r="S2230">
        <v>0</v>
      </c>
      <c r="U2230" t="s">
        <v>41</v>
      </c>
      <c r="V2230" t="s">
        <v>42</v>
      </c>
      <c r="X2230" t="s">
        <v>74</v>
      </c>
      <c r="Y2230" t="b">
        <v>0</v>
      </c>
      <c r="Z2230" t="b">
        <v>0</v>
      </c>
      <c r="AB2230" t="s">
        <v>4555</v>
      </c>
      <c r="AC2230" s="1"/>
      <c r="AF2230">
        <v>0</v>
      </c>
      <c r="AG2230">
        <v>45</v>
      </c>
      <c r="AH2230">
        <v>56</v>
      </c>
      <c r="AI2230" s="2">
        <f>Table__192.168.3.138DYLAgingReport[[#This Row],[NetAmount]]-Table__192.168.3.138DYLAgingReport[[#This Row],[Paid]]</f>
        <v>64367</v>
      </c>
    </row>
    <row r="2231" spans="1:35">
      <c r="A2231" t="s">
        <v>4570</v>
      </c>
      <c r="B2231" s="1">
        <v>41240</v>
      </c>
      <c r="C2231" s="1">
        <v>41285</v>
      </c>
      <c r="D2231" t="s">
        <v>187</v>
      </c>
      <c r="E2231">
        <v>7560</v>
      </c>
      <c r="F2231">
        <v>0</v>
      </c>
      <c r="G2231">
        <v>0</v>
      </c>
      <c r="H2231">
        <v>0</v>
      </c>
      <c r="I2231">
        <v>28</v>
      </c>
      <c r="J2231">
        <v>7560</v>
      </c>
      <c r="K2231" t="s">
        <v>4571</v>
      </c>
      <c r="L2231" s="1">
        <v>41240</v>
      </c>
      <c r="N2231" t="s">
        <v>36</v>
      </c>
      <c r="O2231" t="s">
        <v>37</v>
      </c>
      <c r="P2231" t="s">
        <v>324</v>
      </c>
      <c r="Q2231" t="s">
        <v>39</v>
      </c>
      <c r="R2231" t="s">
        <v>40</v>
      </c>
      <c r="S2231">
        <v>0</v>
      </c>
      <c r="U2231" t="s">
        <v>41</v>
      </c>
      <c r="V2231" t="s">
        <v>42</v>
      </c>
      <c r="X2231" t="s">
        <v>74</v>
      </c>
      <c r="Y2231" t="b">
        <v>0</v>
      </c>
      <c r="Z2231" t="b">
        <v>0</v>
      </c>
      <c r="AC2231" s="1"/>
      <c r="AF2231">
        <v>0</v>
      </c>
      <c r="AG2231">
        <v>45</v>
      </c>
      <c r="AH2231">
        <v>73</v>
      </c>
      <c r="AI2231" s="2">
        <f>Table__192.168.3.138DYLAgingReport[[#This Row],[NetAmount]]-Table__192.168.3.138DYLAgingReport[[#This Row],[Paid]]</f>
        <v>7560</v>
      </c>
    </row>
    <row r="2232" spans="1:35">
      <c r="A2232" t="s">
        <v>4572</v>
      </c>
      <c r="B2232" s="1">
        <v>41260</v>
      </c>
      <c r="C2232" s="1">
        <v>41305</v>
      </c>
      <c r="D2232" t="s">
        <v>220</v>
      </c>
      <c r="E2232">
        <v>312800</v>
      </c>
      <c r="F2232">
        <v>50048</v>
      </c>
      <c r="G2232">
        <v>0</v>
      </c>
      <c r="H2232">
        <v>0</v>
      </c>
      <c r="I2232">
        <v>8</v>
      </c>
      <c r="J2232">
        <v>362848</v>
      </c>
      <c r="K2232" t="s">
        <v>4573</v>
      </c>
      <c r="L2232" s="1">
        <v>41260</v>
      </c>
      <c r="N2232" t="s">
        <v>36</v>
      </c>
      <c r="O2232" t="s">
        <v>37</v>
      </c>
      <c r="P2232" t="s">
        <v>357</v>
      </c>
      <c r="Q2232" t="s">
        <v>39</v>
      </c>
      <c r="R2232" t="s">
        <v>40</v>
      </c>
      <c r="S2232">
        <v>0</v>
      </c>
      <c r="U2232" t="s">
        <v>41</v>
      </c>
      <c r="V2232" t="s">
        <v>42</v>
      </c>
      <c r="X2232" t="s">
        <v>74</v>
      </c>
      <c r="Y2232" t="b">
        <v>0</v>
      </c>
      <c r="Z2232" t="b">
        <v>0</v>
      </c>
      <c r="AC2232" s="1"/>
      <c r="AF2232">
        <v>0</v>
      </c>
      <c r="AG2232">
        <v>45</v>
      </c>
      <c r="AH2232">
        <v>53</v>
      </c>
      <c r="AI2232" s="2">
        <f>Table__192.168.3.138DYLAgingReport[[#This Row],[NetAmount]]-Table__192.168.3.138DYLAgingReport[[#This Row],[Paid]]</f>
        <v>362848</v>
      </c>
    </row>
    <row r="2233" spans="1:35">
      <c r="A2233" t="s">
        <v>4574</v>
      </c>
      <c r="B2233" s="1">
        <v>41260</v>
      </c>
      <c r="C2233" s="1">
        <v>41305</v>
      </c>
      <c r="D2233" t="s">
        <v>220</v>
      </c>
      <c r="E2233">
        <v>36815</v>
      </c>
      <c r="F2233">
        <v>5890</v>
      </c>
      <c r="G2233">
        <v>0</v>
      </c>
      <c r="H2233">
        <v>0</v>
      </c>
      <c r="I2233">
        <v>8</v>
      </c>
      <c r="J2233">
        <v>42705</v>
      </c>
      <c r="K2233" t="s">
        <v>970</v>
      </c>
      <c r="L2233" s="1">
        <v>41260</v>
      </c>
      <c r="N2233" t="s">
        <v>36</v>
      </c>
      <c r="O2233" t="s">
        <v>37</v>
      </c>
      <c r="P2233" t="s">
        <v>357</v>
      </c>
      <c r="Q2233" t="s">
        <v>39</v>
      </c>
      <c r="R2233" t="s">
        <v>40</v>
      </c>
      <c r="S2233">
        <v>0</v>
      </c>
      <c r="U2233" t="s">
        <v>41</v>
      </c>
      <c r="V2233" t="s">
        <v>42</v>
      </c>
      <c r="X2233" t="s">
        <v>74</v>
      </c>
      <c r="Y2233" t="b">
        <v>0</v>
      </c>
      <c r="Z2233" t="b">
        <v>0</v>
      </c>
      <c r="AC2233" s="1"/>
      <c r="AF2233">
        <v>0</v>
      </c>
      <c r="AG2233">
        <v>45</v>
      </c>
      <c r="AH2233">
        <v>53</v>
      </c>
      <c r="AI2233" s="2">
        <f>Table__192.168.3.138DYLAgingReport[[#This Row],[NetAmount]]-Table__192.168.3.138DYLAgingReport[[#This Row],[Paid]]</f>
        <v>42705</v>
      </c>
    </row>
    <row r="2234" spans="1:35">
      <c r="A2234" t="s">
        <v>4575</v>
      </c>
      <c r="B2234" s="1">
        <v>41262</v>
      </c>
      <c r="C2234" s="1">
        <v>41307</v>
      </c>
      <c r="D2234" t="s">
        <v>251</v>
      </c>
      <c r="E2234">
        <v>200840</v>
      </c>
      <c r="F2234">
        <v>32134</v>
      </c>
      <c r="G2234">
        <v>0</v>
      </c>
      <c r="H2234">
        <v>0</v>
      </c>
      <c r="I2234">
        <v>5</v>
      </c>
      <c r="J2234">
        <v>232974</v>
      </c>
      <c r="K2234" t="s">
        <v>1797</v>
      </c>
      <c r="L2234" s="1">
        <v>41263</v>
      </c>
      <c r="N2234" t="s">
        <v>36</v>
      </c>
      <c r="O2234" t="s">
        <v>37</v>
      </c>
      <c r="P2234" t="s">
        <v>388</v>
      </c>
      <c r="Q2234" t="s">
        <v>39</v>
      </c>
      <c r="R2234" t="s">
        <v>40</v>
      </c>
      <c r="S2234">
        <v>0</v>
      </c>
      <c r="U2234" t="s">
        <v>41</v>
      </c>
      <c r="V2234" t="s">
        <v>42</v>
      </c>
      <c r="X2234" t="s">
        <v>74</v>
      </c>
      <c r="Y2234" t="b">
        <v>0</v>
      </c>
      <c r="Z2234" t="b">
        <v>0</v>
      </c>
      <c r="AC2234" s="1"/>
      <c r="AF2234">
        <v>0</v>
      </c>
      <c r="AG2234">
        <v>45</v>
      </c>
      <c r="AH2234">
        <v>50</v>
      </c>
      <c r="AI2234" s="2">
        <f>Table__192.168.3.138DYLAgingReport[[#This Row],[NetAmount]]-Table__192.168.3.138DYLAgingReport[[#This Row],[Paid]]</f>
        <v>232974</v>
      </c>
    </row>
    <row r="2235" spans="1:35">
      <c r="A2235" t="s">
        <v>4576</v>
      </c>
      <c r="B2235" s="1">
        <v>41260</v>
      </c>
      <c r="C2235" s="1">
        <v>41305</v>
      </c>
      <c r="D2235" t="s">
        <v>231</v>
      </c>
      <c r="E2235">
        <v>327600</v>
      </c>
      <c r="F2235">
        <v>52416</v>
      </c>
      <c r="G2235">
        <v>0</v>
      </c>
      <c r="H2235">
        <v>0</v>
      </c>
      <c r="I2235">
        <v>8</v>
      </c>
      <c r="J2235">
        <v>380016</v>
      </c>
      <c r="K2235" t="s">
        <v>4577</v>
      </c>
      <c r="L2235" s="1">
        <v>41260</v>
      </c>
      <c r="N2235" t="s">
        <v>36</v>
      </c>
      <c r="O2235" t="s">
        <v>37</v>
      </c>
      <c r="P2235" t="s">
        <v>368</v>
      </c>
      <c r="Q2235" t="s">
        <v>39</v>
      </c>
      <c r="R2235" t="s">
        <v>40</v>
      </c>
      <c r="S2235">
        <v>0</v>
      </c>
      <c r="U2235" t="s">
        <v>41</v>
      </c>
      <c r="V2235" t="s">
        <v>42</v>
      </c>
      <c r="X2235" t="s">
        <v>74</v>
      </c>
      <c r="Y2235" t="b">
        <v>0</v>
      </c>
      <c r="Z2235" t="b">
        <v>0</v>
      </c>
      <c r="AC2235" s="1"/>
      <c r="AF2235">
        <v>0</v>
      </c>
      <c r="AG2235">
        <v>45</v>
      </c>
      <c r="AH2235">
        <v>53</v>
      </c>
      <c r="AI2235" s="2">
        <f>Table__192.168.3.138DYLAgingReport[[#This Row],[NetAmount]]-Table__192.168.3.138DYLAgingReport[[#This Row],[Paid]]</f>
        <v>380016</v>
      </c>
    </row>
    <row r="2236" spans="1:35">
      <c r="A2236" t="s">
        <v>4578</v>
      </c>
      <c r="B2236" s="1">
        <v>41250</v>
      </c>
      <c r="C2236" s="1">
        <v>41295</v>
      </c>
      <c r="D2236" t="s">
        <v>236</v>
      </c>
      <c r="E2236">
        <v>31050</v>
      </c>
      <c r="F2236">
        <v>0</v>
      </c>
      <c r="G2236">
        <v>0</v>
      </c>
      <c r="H2236">
        <v>0</v>
      </c>
      <c r="I2236">
        <v>18</v>
      </c>
      <c r="J2236">
        <v>31050</v>
      </c>
      <c r="K2236" t="s">
        <v>4579</v>
      </c>
      <c r="L2236" s="1">
        <v>41250</v>
      </c>
      <c r="N2236" t="s">
        <v>36</v>
      </c>
      <c r="O2236" t="s">
        <v>37</v>
      </c>
      <c r="P2236" t="s">
        <v>373</v>
      </c>
      <c r="Q2236" t="s">
        <v>39</v>
      </c>
      <c r="R2236" t="s">
        <v>40</v>
      </c>
      <c r="S2236">
        <v>0</v>
      </c>
      <c r="U2236" t="s">
        <v>41</v>
      </c>
      <c r="V2236" t="s">
        <v>42</v>
      </c>
      <c r="X2236" t="s">
        <v>74</v>
      </c>
      <c r="Y2236" t="b">
        <v>0</v>
      </c>
      <c r="Z2236" t="b">
        <v>0</v>
      </c>
      <c r="AC2236" s="1"/>
      <c r="AF2236">
        <v>0</v>
      </c>
      <c r="AG2236">
        <v>45</v>
      </c>
      <c r="AH2236">
        <v>63</v>
      </c>
      <c r="AI2236" s="2">
        <f>Table__192.168.3.138DYLAgingReport[[#This Row],[NetAmount]]-Table__192.168.3.138DYLAgingReport[[#This Row],[Paid]]</f>
        <v>31050</v>
      </c>
    </row>
    <row r="2237" spans="1:35">
      <c r="A2237" t="s">
        <v>4580</v>
      </c>
      <c r="B2237" s="1">
        <v>41257</v>
      </c>
      <c r="C2237" s="1">
        <v>41287</v>
      </c>
      <c r="D2237" t="s">
        <v>181</v>
      </c>
      <c r="E2237">
        <v>62640</v>
      </c>
      <c r="F2237">
        <v>10022</v>
      </c>
      <c r="G2237">
        <v>0</v>
      </c>
      <c r="H2237">
        <v>0</v>
      </c>
      <c r="I2237">
        <v>29</v>
      </c>
      <c r="J2237">
        <v>72662</v>
      </c>
      <c r="K2237" t="s">
        <v>4581</v>
      </c>
      <c r="L2237" s="1">
        <v>41254</v>
      </c>
      <c r="N2237" t="s">
        <v>36</v>
      </c>
      <c r="O2237" t="s">
        <v>37</v>
      </c>
      <c r="P2237" t="s">
        <v>318</v>
      </c>
      <c r="Q2237" t="s">
        <v>39</v>
      </c>
      <c r="R2237" t="s">
        <v>40</v>
      </c>
      <c r="S2237">
        <v>0</v>
      </c>
      <c r="U2237" t="s">
        <v>41</v>
      </c>
      <c r="V2237" t="s">
        <v>42</v>
      </c>
      <c r="X2237" t="s">
        <v>74</v>
      </c>
      <c r="Y2237" t="b">
        <v>0</v>
      </c>
      <c r="Z2237" t="b">
        <v>0</v>
      </c>
      <c r="AC2237" s="1"/>
      <c r="AF2237">
        <v>0</v>
      </c>
      <c r="AG2237">
        <v>30</v>
      </c>
      <c r="AH2237">
        <v>59</v>
      </c>
      <c r="AI2237" s="2">
        <f>Table__192.168.3.138DYLAgingReport[[#This Row],[NetAmount]]-Table__192.168.3.138DYLAgingReport[[#This Row],[Paid]]</f>
        <v>72662</v>
      </c>
    </row>
    <row r="2238" spans="1:35">
      <c r="A2238" t="s">
        <v>4582</v>
      </c>
      <c r="B2238" s="1">
        <v>41261</v>
      </c>
      <c r="C2238" s="1">
        <v>41306</v>
      </c>
      <c r="D2238" t="s">
        <v>239</v>
      </c>
      <c r="E2238">
        <v>340630</v>
      </c>
      <c r="F2238">
        <v>54501</v>
      </c>
      <c r="G2238">
        <v>0</v>
      </c>
      <c r="H2238">
        <v>0</v>
      </c>
      <c r="I2238">
        <v>8</v>
      </c>
      <c r="J2238">
        <v>395131</v>
      </c>
      <c r="K2238" t="s">
        <v>4583</v>
      </c>
      <c r="L2238" s="1">
        <v>41260</v>
      </c>
      <c r="N2238" t="s">
        <v>36</v>
      </c>
      <c r="O2238" t="s">
        <v>37</v>
      </c>
      <c r="P2238" t="s">
        <v>376</v>
      </c>
      <c r="Q2238" t="s">
        <v>39</v>
      </c>
      <c r="R2238" t="s">
        <v>40</v>
      </c>
      <c r="S2238">
        <v>0</v>
      </c>
      <c r="U2238" t="s">
        <v>41</v>
      </c>
      <c r="V2238" t="s">
        <v>42</v>
      </c>
      <c r="X2238" t="s">
        <v>74</v>
      </c>
      <c r="Y2238" t="b">
        <v>0</v>
      </c>
      <c r="Z2238" t="b">
        <v>0</v>
      </c>
      <c r="AC2238" s="1"/>
      <c r="AF2238">
        <v>0</v>
      </c>
      <c r="AG2238">
        <v>45</v>
      </c>
      <c r="AH2238">
        <v>53</v>
      </c>
      <c r="AI2238" s="2">
        <f>Table__192.168.3.138DYLAgingReport[[#This Row],[NetAmount]]-Table__192.168.3.138DYLAgingReport[[#This Row],[Paid]]</f>
        <v>395131</v>
      </c>
    </row>
    <row r="2239" spans="1:35">
      <c r="A2239" t="s">
        <v>4584</v>
      </c>
      <c r="B2239" s="1">
        <v>41261</v>
      </c>
      <c r="C2239" s="1">
        <v>41306</v>
      </c>
      <c r="D2239" t="s">
        <v>239</v>
      </c>
      <c r="E2239">
        <v>340630</v>
      </c>
      <c r="F2239">
        <v>54501</v>
      </c>
      <c r="G2239">
        <v>0</v>
      </c>
      <c r="H2239">
        <v>0</v>
      </c>
      <c r="I2239">
        <v>7</v>
      </c>
      <c r="J2239">
        <v>395131</v>
      </c>
      <c r="K2239" t="s">
        <v>4585</v>
      </c>
      <c r="L2239" s="1">
        <v>41261</v>
      </c>
      <c r="N2239" t="s">
        <v>36</v>
      </c>
      <c r="O2239" t="s">
        <v>37</v>
      </c>
      <c r="P2239" t="s">
        <v>376</v>
      </c>
      <c r="Q2239" t="s">
        <v>39</v>
      </c>
      <c r="R2239" t="s">
        <v>40</v>
      </c>
      <c r="S2239">
        <v>0</v>
      </c>
      <c r="U2239" t="s">
        <v>41</v>
      </c>
      <c r="V2239" t="s">
        <v>42</v>
      </c>
      <c r="X2239" t="s">
        <v>74</v>
      </c>
      <c r="Y2239" t="b">
        <v>0</v>
      </c>
      <c r="Z2239" t="b">
        <v>0</v>
      </c>
      <c r="AC2239" s="1"/>
      <c r="AF2239">
        <v>0</v>
      </c>
      <c r="AG2239">
        <v>45</v>
      </c>
      <c r="AH2239">
        <v>52</v>
      </c>
      <c r="AI2239" s="2">
        <f>Table__192.168.3.138DYLAgingReport[[#This Row],[NetAmount]]-Table__192.168.3.138DYLAgingReport[[#This Row],[Paid]]</f>
        <v>395131</v>
      </c>
    </row>
    <row r="2240" spans="1:35">
      <c r="A2240" t="s">
        <v>4586</v>
      </c>
      <c r="B2240" s="1">
        <v>41261</v>
      </c>
      <c r="C2240" s="1">
        <v>41306</v>
      </c>
      <c r="D2240" t="s">
        <v>239</v>
      </c>
      <c r="E2240">
        <v>645000</v>
      </c>
      <c r="F2240">
        <v>103200</v>
      </c>
      <c r="G2240">
        <v>0</v>
      </c>
      <c r="H2240">
        <v>0</v>
      </c>
      <c r="I2240">
        <v>7</v>
      </c>
      <c r="J2240">
        <v>748200</v>
      </c>
      <c r="K2240" t="s">
        <v>4587</v>
      </c>
      <c r="L2240" s="1">
        <v>41261</v>
      </c>
      <c r="N2240" t="s">
        <v>36</v>
      </c>
      <c r="O2240" t="s">
        <v>37</v>
      </c>
      <c r="P2240" t="s">
        <v>376</v>
      </c>
      <c r="Q2240" t="s">
        <v>39</v>
      </c>
      <c r="R2240" t="s">
        <v>40</v>
      </c>
      <c r="S2240">
        <v>0</v>
      </c>
      <c r="U2240" t="s">
        <v>41</v>
      </c>
      <c r="V2240" t="s">
        <v>42</v>
      </c>
      <c r="X2240" t="s">
        <v>74</v>
      </c>
      <c r="Y2240" t="b">
        <v>0</v>
      </c>
      <c r="Z2240" t="b">
        <v>0</v>
      </c>
      <c r="AC2240" s="1"/>
      <c r="AF2240">
        <v>0</v>
      </c>
      <c r="AG2240">
        <v>45</v>
      </c>
      <c r="AH2240">
        <v>52</v>
      </c>
      <c r="AI2240" s="2">
        <f>Table__192.168.3.138DYLAgingReport[[#This Row],[NetAmount]]-Table__192.168.3.138DYLAgingReport[[#This Row],[Paid]]</f>
        <v>748200</v>
      </c>
    </row>
    <row r="2241" spans="1:35">
      <c r="A2241" t="s">
        <v>4588</v>
      </c>
      <c r="B2241" s="1">
        <v>41254</v>
      </c>
      <c r="C2241" s="1">
        <v>41299</v>
      </c>
      <c r="D2241" t="s">
        <v>282</v>
      </c>
      <c r="E2241">
        <v>225000</v>
      </c>
      <c r="F2241">
        <v>36000</v>
      </c>
      <c r="G2241">
        <v>0</v>
      </c>
      <c r="H2241">
        <v>0</v>
      </c>
      <c r="I2241">
        <v>14</v>
      </c>
      <c r="J2241">
        <v>261000</v>
      </c>
      <c r="K2241" t="s">
        <v>4589</v>
      </c>
      <c r="L2241" s="1">
        <v>41254</v>
      </c>
      <c r="N2241" t="s">
        <v>36</v>
      </c>
      <c r="O2241" t="s">
        <v>37</v>
      </c>
      <c r="P2241" t="s">
        <v>419</v>
      </c>
      <c r="Q2241" t="s">
        <v>39</v>
      </c>
      <c r="R2241" t="s">
        <v>40</v>
      </c>
      <c r="S2241">
        <v>0</v>
      </c>
      <c r="U2241" t="s">
        <v>41</v>
      </c>
      <c r="V2241" t="s">
        <v>42</v>
      </c>
      <c r="X2241" t="s">
        <v>74</v>
      </c>
      <c r="Y2241" t="b">
        <v>0</v>
      </c>
      <c r="Z2241" t="b">
        <v>0</v>
      </c>
      <c r="AC2241" s="1"/>
      <c r="AF2241">
        <v>0</v>
      </c>
      <c r="AG2241">
        <v>45</v>
      </c>
      <c r="AH2241">
        <v>59</v>
      </c>
      <c r="AI2241" s="2">
        <f>Table__192.168.3.138DYLAgingReport[[#This Row],[NetAmount]]-Table__192.168.3.138DYLAgingReport[[#This Row],[Paid]]</f>
        <v>261000</v>
      </c>
    </row>
    <row r="2242" spans="1:35">
      <c r="A2242" t="s">
        <v>4590</v>
      </c>
      <c r="B2242" s="1">
        <v>41223</v>
      </c>
      <c r="C2242" s="1">
        <v>41268</v>
      </c>
      <c r="D2242" t="s">
        <v>271</v>
      </c>
      <c r="E2242">
        <v>103520</v>
      </c>
      <c r="F2242">
        <v>16563</v>
      </c>
      <c r="G2242">
        <v>0</v>
      </c>
      <c r="H2242">
        <v>0</v>
      </c>
      <c r="I2242">
        <v>45</v>
      </c>
      <c r="J2242">
        <v>120083</v>
      </c>
      <c r="K2242" t="s">
        <v>4591</v>
      </c>
      <c r="L2242" s="1">
        <v>41223</v>
      </c>
      <c r="N2242" t="s">
        <v>36</v>
      </c>
      <c r="O2242" t="s">
        <v>37</v>
      </c>
      <c r="P2242" t="s">
        <v>408</v>
      </c>
      <c r="Q2242" t="s">
        <v>39</v>
      </c>
      <c r="R2242" t="s">
        <v>40</v>
      </c>
      <c r="S2242">
        <v>0</v>
      </c>
      <c r="U2242" t="s">
        <v>41</v>
      </c>
      <c r="V2242" t="s">
        <v>42</v>
      </c>
      <c r="X2242" t="s">
        <v>74</v>
      </c>
      <c r="Y2242" t="b">
        <v>0</v>
      </c>
      <c r="Z2242" t="b">
        <v>0</v>
      </c>
      <c r="AC2242" s="1"/>
      <c r="AF2242">
        <v>0</v>
      </c>
      <c r="AG2242">
        <v>45</v>
      </c>
      <c r="AH2242">
        <v>90</v>
      </c>
      <c r="AI2242" s="2">
        <f>Table__192.168.3.138DYLAgingReport[[#This Row],[NetAmount]]-Table__192.168.3.138DYLAgingReport[[#This Row],[Paid]]</f>
        <v>120083</v>
      </c>
    </row>
    <row r="2243" spans="1:35">
      <c r="A2243" t="s">
        <v>4592</v>
      </c>
      <c r="B2243" s="1">
        <v>41256</v>
      </c>
      <c r="C2243" s="1">
        <v>41301</v>
      </c>
      <c r="D2243" t="s">
        <v>173</v>
      </c>
      <c r="E2243">
        <v>10356</v>
      </c>
      <c r="F2243">
        <v>1657</v>
      </c>
      <c r="G2243">
        <v>0</v>
      </c>
      <c r="H2243">
        <v>0</v>
      </c>
      <c r="I2243">
        <v>12</v>
      </c>
      <c r="J2243">
        <v>12013</v>
      </c>
      <c r="K2243" t="s">
        <v>4593</v>
      </c>
      <c r="L2243" s="1">
        <v>41256</v>
      </c>
      <c r="N2243" t="s">
        <v>36</v>
      </c>
      <c r="O2243" t="s">
        <v>37</v>
      </c>
      <c r="P2243" t="s">
        <v>310</v>
      </c>
      <c r="Q2243" t="s">
        <v>39</v>
      </c>
      <c r="R2243" t="s">
        <v>40</v>
      </c>
      <c r="S2243">
        <v>0</v>
      </c>
      <c r="U2243" t="s">
        <v>41</v>
      </c>
      <c r="V2243" t="s">
        <v>42</v>
      </c>
      <c r="X2243" t="s">
        <v>74</v>
      </c>
      <c r="Y2243" t="b">
        <v>0</v>
      </c>
      <c r="Z2243" t="b">
        <v>0</v>
      </c>
      <c r="AC2243" s="1"/>
      <c r="AF2243">
        <v>0</v>
      </c>
      <c r="AG2243">
        <v>45</v>
      </c>
      <c r="AH2243">
        <v>57</v>
      </c>
      <c r="AI2243" s="2">
        <f>Table__192.168.3.138DYLAgingReport[[#This Row],[NetAmount]]-Table__192.168.3.138DYLAgingReport[[#This Row],[Paid]]</f>
        <v>12013</v>
      </c>
    </row>
    <row r="2244" spans="1:35">
      <c r="A2244" t="s">
        <v>4594</v>
      </c>
      <c r="B2244" s="1">
        <v>41258</v>
      </c>
      <c r="C2244" s="1">
        <v>41303</v>
      </c>
      <c r="D2244" t="s">
        <v>173</v>
      </c>
      <c r="E2244">
        <v>6600</v>
      </c>
      <c r="F2244">
        <v>1056</v>
      </c>
      <c r="G2244">
        <v>0</v>
      </c>
      <c r="H2244">
        <v>0</v>
      </c>
      <c r="I2244">
        <v>11</v>
      </c>
      <c r="J2244">
        <v>7656</v>
      </c>
      <c r="K2244" t="s">
        <v>4595</v>
      </c>
      <c r="L2244" s="1">
        <v>41257</v>
      </c>
      <c r="N2244" t="s">
        <v>36</v>
      </c>
      <c r="O2244" t="s">
        <v>37</v>
      </c>
      <c r="P2244" t="s">
        <v>310</v>
      </c>
      <c r="Q2244" t="s">
        <v>39</v>
      </c>
      <c r="R2244" t="s">
        <v>40</v>
      </c>
      <c r="S2244">
        <v>0</v>
      </c>
      <c r="U2244" t="s">
        <v>41</v>
      </c>
      <c r="V2244" t="s">
        <v>42</v>
      </c>
      <c r="X2244" t="s">
        <v>74</v>
      </c>
      <c r="Y2244" t="b">
        <v>0</v>
      </c>
      <c r="Z2244" t="b">
        <v>0</v>
      </c>
      <c r="AC2244" s="1"/>
      <c r="AF2244">
        <v>0</v>
      </c>
      <c r="AG2244">
        <v>45</v>
      </c>
      <c r="AH2244">
        <v>56</v>
      </c>
      <c r="AI2244" s="2">
        <f>Table__192.168.3.138DYLAgingReport[[#This Row],[NetAmount]]-Table__192.168.3.138DYLAgingReport[[#This Row],[Paid]]</f>
        <v>7656</v>
      </c>
    </row>
    <row r="2245" spans="1:35">
      <c r="A2245" t="s">
        <v>4596</v>
      </c>
      <c r="B2245" s="1">
        <v>41107</v>
      </c>
      <c r="C2245" s="1">
        <v>41152</v>
      </c>
      <c r="D2245" t="s">
        <v>223</v>
      </c>
      <c r="E2245">
        <v>2500</v>
      </c>
      <c r="F2245">
        <v>0</v>
      </c>
      <c r="G2245">
        <v>0</v>
      </c>
      <c r="H2245">
        <v>0</v>
      </c>
      <c r="I2245">
        <v>173</v>
      </c>
      <c r="J2245">
        <v>2500</v>
      </c>
      <c r="K2245" t="s">
        <v>3996</v>
      </c>
      <c r="L2245" s="1">
        <v>41095</v>
      </c>
      <c r="N2245" t="s">
        <v>36</v>
      </c>
      <c r="O2245" t="s">
        <v>37</v>
      </c>
      <c r="P2245" t="s">
        <v>360</v>
      </c>
      <c r="Q2245" t="s">
        <v>39</v>
      </c>
      <c r="R2245" t="s">
        <v>40</v>
      </c>
      <c r="S2245">
        <v>0</v>
      </c>
      <c r="U2245" t="s">
        <v>41</v>
      </c>
      <c r="V2245" t="s">
        <v>42</v>
      </c>
      <c r="X2245" t="s">
        <v>74</v>
      </c>
      <c r="Y2245" t="b">
        <v>0</v>
      </c>
      <c r="Z2245" t="b">
        <v>0</v>
      </c>
      <c r="AC2245" s="1"/>
      <c r="AF2245">
        <v>0</v>
      </c>
      <c r="AG2245">
        <v>45</v>
      </c>
      <c r="AH2245">
        <v>218</v>
      </c>
      <c r="AI2245" s="2">
        <f>Table__192.168.3.138DYLAgingReport[[#This Row],[NetAmount]]-Table__192.168.3.138DYLAgingReport[[#This Row],[Paid]]</f>
        <v>2500</v>
      </c>
    </row>
    <row r="2246" spans="1:35">
      <c r="A2246" t="s">
        <v>4597</v>
      </c>
      <c r="B2246" s="1">
        <v>41243</v>
      </c>
      <c r="C2246" s="1">
        <v>41288</v>
      </c>
      <c r="D2246" t="s">
        <v>251</v>
      </c>
      <c r="E2246">
        <v>163320</v>
      </c>
      <c r="F2246">
        <v>26131</v>
      </c>
      <c r="G2246">
        <v>0</v>
      </c>
      <c r="H2246">
        <v>0</v>
      </c>
      <c r="I2246">
        <v>25</v>
      </c>
      <c r="J2246">
        <v>189451</v>
      </c>
      <c r="K2246" t="s">
        <v>36</v>
      </c>
      <c r="L2246" s="1">
        <v>41243</v>
      </c>
      <c r="N2246" t="s">
        <v>36</v>
      </c>
      <c r="O2246" t="s">
        <v>37</v>
      </c>
      <c r="P2246" t="s">
        <v>388</v>
      </c>
      <c r="Q2246" t="s">
        <v>39</v>
      </c>
      <c r="R2246" t="s">
        <v>40</v>
      </c>
      <c r="S2246">
        <v>0</v>
      </c>
      <c r="U2246" t="s">
        <v>41</v>
      </c>
      <c r="V2246" t="s">
        <v>42</v>
      </c>
      <c r="X2246" t="s">
        <v>74</v>
      </c>
      <c r="Y2246" t="b">
        <v>0</v>
      </c>
      <c r="Z2246" t="b">
        <v>0</v>
      </c>
      <c r="AC2246" s="1"/>
      <c r="AF2246">
        <v>0</v>
      </c>
      <c r="AG2246">
        <v>45</v>
      </c>
      <c r="AH2246">
        <v>70</v>
      </c>
      <c r="AI2246" s="2">
        <f>Table__192.168.3.138DYLAgingReport[[#This Row],[NetAmount]]-Table__192.168.3.138DYLAgingReport[[#This Row],[Paid]]</f>
        <v>189451</v>
      </c>
    </row>
    <row r="2247" spans="1:35">
      <c r="A2247" t="s">
        <v>4598</v>
      </c>
      <c r="B2247" s="1">
        <v>41235</v>
      </c>
      <c r="C2247" s="1">
        <v>41265</v>
      </c>
      <c r="D2247" t="s">
        <v>196</v>
      </c>
      <c r="E2247">
        <v>1885000</v>
      </c>
      <c r="F2247">
        <v>301600</v>
      </c>
      <c r="G2247">
        <v>0</v>
      </c>
      <c r="H2247">
        <v>0</v>
      </c>
      <c r="I2247">
        <v>49</v>
      </c>
      <c r="J2247">
        <v>2186600</v>
      </c>
      <c r="K2247" t="s">
        <v>4599</v>
      </c>
      <c r="L2247" s="1">
        <v>41234</v>
      </c>
      <c r="N2247" t="s">
        <v>36</v>
      </c>
      <c r="O2247" t="s">
        <v>37</v>
      </c>
      <c r="P2247" t="s">
        <v>333</v>
      </c>
      <c r="Q2247" t="s">
        <v>39</v>
      </c>
      <c r="R2247" t="s">
        <v>40</v>
      </c>
      <c r="S2247">
        <v>0</v>
      </c>
      <c r="U2247" t="s">
        <v>41</v>
      </c>
      <c r="V2247" t="s">
        <v>42</v>
      </c>
      <c r="X2247" t="s">
        <v>74</v>
      </c>
      <c r="Y2247" t="b">
        <v>0</v>
      </c>
      <c r="Z2247" t="b">
        <v>0</v>
      </c>
      <c r="AB2247" t="s">
        <v>884</v>
      </c>
      <c r="AC2247" s="1">
        <v>41279</v>
      </c>
      <c r="AE2247" t="s">
        <v>885</v>
      </c>
      <c r="AF2247">
        <v>0</v>
      </c>
      <c r="AG2247">
        <v>30</v>
      </c>
      <c r="AH2247">
        <v>79</v>
      </c>
      <c r="AI2247" s="2">
        <f>Table__192.168.3.138DYLAgingReport[[#This Row],[NetAmount]]-Table__192.168.3.138DYLAgingReport[[#This Row],[Paid]]</f>
        <v>2186600</v>
      </c>
    </row>
    <row r="2248" spans="1:35">
      <c r="A2248" t="s">
        <v>4600</v>
      </c>
      <c r="B2248" s="1">
        <v>41253</v>
      </c>
      <c r="C2248" s="1">
        <v>41298</v>
      </c>
      <c r="D2248" t="s">
        <v>190</v>
      </c>
      <c r="E2248">
        <v>1940</v>
      </c>
      <c r="F2248">
        <v>310</v>
      </c>
      <c r="G2248">
        <v>0</v>
      </c>
      <c r="H2248">
        <v>0</v>
      </c>
      <c r="I2248">
        <v>15</v>
      </c>
      <c r="J2248">
        <v>2250</v>
      </c>
      <c r="K2248" t="s">
        <v>4601</v>
      </c>
      <c r="L2248" s="1">
        <v>41253</v>
      </c>
      <c r="N2248" t="s">
        <v>36</v>
      </c>
      <c r="O2248" t="s">
        <v>37</v>
      </c>
      <c r="P2248" t="s">
        <v>327</v>
      </c>
      <c r="Q2248" t="s">
        <v>39</v>
      </c>
      <c r="R2248" t="s">
        <v>40</v>
      </c>
      <c r="S2248">
        <v>0</v>
      </c>
      <c r="U2248" t="s">
        <v>41</v>
      </c>
      <c r="V2248" t="s">
        <v>42</v>
      </c>
      <c r="X2248" t="s">
        <v>74</v>
      </c>
      <c r="Y2248" t="b">
        <v>0</v>
      </c>
      <c r="Z2248" t="b">
        <v>0</v>
      </c>
      <c r="AC2248" s="1"/>
      <c r="AF2248">
        <v>0</v>
      </c>
      <c r="AG2248">
        <v>45</v>
      </c>
      <c r="AH2248">
        <v>60</v>
      </c>
      <c r="AI2248" s="2">
        <f>Table__192.168.3.138DYLAgingReport[[#This Row],[NetAmount]]-Table__192.168.3.138DYLAgingReport[[#This Row],[Paid]]</f>
        <v>2250</v>
      </c>
    </row>
    <row r="2249" spans="1:35">
      <c r="A2249" t="s">
        <v>4602</v>
      </c>
      <c r="B2249" s="1">
        <v>41254</v>
      </c>
      <c r="C2249" s="1">
        <v>41299</v>
      </c>
      <c r="D2249" t="s">
        <v>190</v>
      </c>
      <c r="E2249">
        <v>17250</v>
      </c>
      <c r="F2249">
        <v>2760</v>
      </c>
      <c r="G2249">
        <v>0</v>
      </c>
      <c r="H2249">
        <v>0</v>
      </c>
      <c r="I2249">
        <v>15</v>
      </c>
      <c r="J2249">
        <v>20010</v>
      </c>
      <c r="K2249" t="s">
        <v>4603</v>
      </c>
      <c r="L2249" s="1">
        <v>41253</v>
      </c>
      <c r="N2249" t="s">
        <v>36</v>
      </c>
      <c r="O2249" t="s">
        <v>37</v>
      </c>
      <c r="P2249" t="s">
        <v>327</v>
      </c>
      <c r="Q2249" t="s">
        <v>39</v>
      </c>
      <c r="R2249" t="s">
        <v>40</v>
      </c>
      <c r="S2249">
        <v>0</v>
      </c>
      <c r="U2249" t="s">
        <v>41</v>
      </c>
      <c r="V2249" t="s">
        <v>42</v>
      </c>
      <c r="X2249" t="s">
        <v>74</v>
      </c>
      <c r="Y2249" t="b">
        <v>0</v>
      </c>
      <c r="Z2249" t="b">
        <v>0</v>
      </c>
      <c r="AC2249" s="1"/>
      <c r="AF2249">
        <v>0</v>
      </c>
      <c r="AG2249">
        <v>45</v>
      </c>
      <c r="AH2249">
        <v>60</v>
      </c>
      <c r="AI2249" s="2">
        <f>Table__192.168.3.138DYLAgingReport[[#This Row],[NetAmount]]-Table__192.168.3.138DYLAgingReport[[#This Row],[Paid]]</f>
        <v>20010</v>
      </c>
    </row>
    <row r="2250" spans="1:35">
      <c r="A2250" t="s">
        <v>4604</v>
      </c>
      <c r="B2250" s="1">
        <v>41253</v>
      </c>
      <c r="C2250" s="1">
        <v>41298</v>
      </c>
      <c r="D2250" t="s">
        <v>191</v>
      </c>
      <c r="E2250">
        <v>69300</v>
      </c>
      <c r="F2250">
        <v>11088</v>
      </c>
      <c r="G2250">
        <v>0</v>
      </c>
      <c r="H2250">
        <v>0</v>
      </c>
      <c r="I2250">
        <v>15</v>
      </c>
      <c r="J2250">
        <v>80388</v>
      </c>
      <c r="K2250" t="s">
        <v>4605</v>
      </c>
      <c r="L2250" s="1">
        <v>41253</v>
      </c>
      <c r="N2250" t="s">
        <v>36</v>
      </c>
      <c r="O2250" t="s">
        <v>37</v>
      </c>
      <c r="P2250" t="s">
        <v>328</v>
      </c>
      <c r="Q2250" t="s">
        <v>39</v>
      </c>
      <c r="R2250" t="s">
        <v>40</v>
      </c>
      <c r="S2250">
        <v>0</v>
      </c>
      <c r="U2250" t="s">
        <v>41</v>
      </c>
      <c r="V2250" t="s">
        <v>42</v>
      </c>
      <c r="X2250" t="s">
        <v>74</v>
      </c>
      <c r="Y2250" t="b">
        <v>0</v>
      </c>
      <c r="Z2250" t="b">
        <v>0</v>
      </c>
      <c r="AC2250" s="1"/>
      <c r="AF2250">
        <v>0</v>
      </c>
      <c r="AG2250">
        <v>45</v>
      </c>
      <c r="AH2250">
        <v>60</v>
      </c>
      <c r="AI2250" s="2">
        <f>Table__192.168.3.138DYLAgingReport[[#This Row],[NetAmount]]-Table__192.168.3.138DYLAgingReport[[#This Row],[Paid]]</f>
        <v>80388</v>
      </c>
    </row>
    <row r="2251" spans="1:35">
      <c r="A2251" t="s">
        <v>4606</v>
      </c>
      <c r="B2251" s="1">
        <v>41249</v>
      </c>
      <c r="C2251" s="1">
        <v>41279</v>
      </c>
      <c r="D2251" t="s">
        <v>196</v>
      </c>
      <c r="E2251">
        <v>1885000</v>
      </c>
      <c r="F2251">
        <v>301600</v>
      </c>
      <c r="G2251">
        <v>0</v>
      </c>
      <c r="H2251">
        <v>0</v>
      </c>
      <c r="I2251">
        <v>21</v>
      </c>
      <c r="J2251">
        <v>2186600</v>
      </c>
      <c r="K2251" t="s">
        <v>4607</v>
      </c>
      <c r="L2251" s="1">
        <v>41262</v>
      </c>
      <c r="N2251" t="s">
        <v>36</v>
      </c>
      <c r="O2251" t="s">
        <v>37</v>
      </c>
      <c r="P2251" t="s">
        <v>333</v>
      </c>
      <c r="Q2251" t="s">
        <v>39</v>
      </c>
      <c r="R2251" t="s">
        <v>40</v>
      </c>
      <c r="S2251">
        <v>0</v>
      </c>
      <c r="U2251" t="s">
        <v>41</v>
      </c>
      <c r="V2251" t="s">
        <v>42</v>
      </c>
      <c r="X2251" t="s">
        <v>74</v>
      </c>
      <c r="Y2251" t="b">
        <v>0</v>
      </c>
      <c r="Z2251" t="b">
        <v>0</v>
      </c>
      <c r="AC2251" s="1"/>
      <c r="AF2251">
        <v>0</v>
      </c>
      <c r="AG2251">
        <v>30</v>
      </c>
      <c r="AH2251">
        <v>51</v>
      </c>
      <c r="AI2251" s="2">
        <f>Table__192.168.3.138DYLAgingReport[[#This Row],[NetAmount]]-Table__192.168.3.138DYLAgingReport[[#This Row],[Paid]]</f>
        <v>2186600</v>
      </c>
    </row>
    <row r="2252" spans="1:35">
      <c r="A2252" t="s">
        <v>4608</v>
      </c>
      <c r="B2252" s="1">
        <v>41262</v>
      </c>
      <c r="C2252" s="1">
        <v>41292</v>
      </c>
      <c r="D2252" t="s">
        <v>196</v>
      </c>
      <c r="E2252">
        <v>1885000</v>
      </c>
      <c r="F2252">
        <v>301600</v>
      </c>
      <c r="G2252">
        <v>0</v>
      </c>
      <c r="H2252">
        <v>0</v>
      </c>
      <c r="I2252">
        <v>33</v>
      </c>
      <c r="J2252">
        <v>2186600</v>
      </c>
      <c r="K2252" t="s">
        <v>4609</v>
      </c>
      <c r="L2252" s="1">
        <v>41250</v>
      </c>
      <c r="N2252" t="s">
        <v>36</v>
      </c>
      <c r="O2252" t="s">
        <v>37</v>
      </c>
      <c r="P2252" t="s">
        <v>333</v>
      </c>
      <c r="Q2252" t="s">
        <v>39</v>
      </c>
      <c r="R2252" t="s">
        <v>40</v>
      </c>
      <c r="S2252">
        <v>0</v>
      </c>
      <c r="U2252" t="s">
        <v>41</v>
      </c>
      <c r="V2252" t="s">
        <v>42</v>
      </c>
      <c r="X2252" t="s">
        <v>74</v>
      </c>
      <c r="Y2252" t="b">
        <v>0</v>
      </c>
      <c r="Z2252" t="b">
        <v>0</v>
      </c>
      <c r="AC2252" s="1"/>
      <c r="AF2252">
        <v>0</v>
      </c>
      <c r="AG2252">
        <v>30</v>
      </c>
      <c r="AH2252">
        <v>63</v>
      </c>
      <c r="AI2252" s="2">
        <f>Table__192.168.3.138DYLAgingReport[[#This Row],[NetAmount]]-Table__192.168.3.138DYLAgingReport[[#This Row],[Paid]]</f>
        <v>2186600</v>
      </c>
    </row>
    <row r="2253" spans="1:35">
      <c r="A2253" t="s">
        <v>4610</v>
      </c>
      <c r="B2253" s="1">
        <v>41262</v>
      </c>
      <c r="C2253" s="1">
        <v>41307</v>
      </c>
      <c r="D2253" t="s">
        <v>272</v>
      </c>
      <c r="E2253">
        <v>17500</v>
      </c>
      <c r="F2253">
        <v>2800</v>
      </c>
      <c r="G2253">
        <v>0</v>
      </c>
      <c r="H2253">
        <v>0</v>
      </c>
      <c r="I2253">
        <v>8</v>
      </c>
      <c r="J2253">
        <v>20300</v>
      </c>
      <c r="K2253" t="s">
        <v>1241</v>
      </c>
      <c r="L2253" s="1">
        <v>41260</v>
      </c>
      <c r="N2253" t="s">
        <v>36</v>
      </c>
      <c r="O2253" t="s">
        <v>37</v>
      </c>
      <c r="P2253" t="s">
        <v>409</v>
      </c>
      <c r="Q2253" t="s">
        <v>39</v>
      </c>
      <c r="R2253" t="s">
        <v>40</v>
      </c>
      <c r="S2253">
        <v>0</v>
      </c>
      <c r="U2253" t="s">
        <v>41</v>
      </c>
      <c r="V2253" t="s">
        <v>42</v>
      </c>
      <c r="X2253" t="s">
        <v>74</v>
      </c>
      <c r="Y2253" t="b">
        <v>0</v>
      </c>
      <c r="Z2253" t="b">
        <v>0</v>
      </c>
      <c r="AC2253" s="1"/>
      <c r="AF2253">
        <v>0</v>
      </c>
      <c r="AG2253">
        <v>45</v>
      </c>
      <c r="AH2253">
        <v>53</v>
      </c>
      <c r="AI2253" s="2">
        <f>Table__192.168.3.138DYLAgingReport[[#This Row],[NetAmount]]-Table__192.168.3.138DYLAgingReport[[#This Row],[Paid]]</f>
        <v>20300</v>
      </c>
    </row>
    <row r="2254" spans="1:35">
      <c r="A2254" t="s">
        <v>4611</v>
      </c>
      <c r="B2254" s="1">
        <v>41121</v>
      </c>
      <c r="C2254" s="1">
        <v>41166</v>
      </c>
      <c r="D2254" t="s">
        <v>194</v>
      </c>
      <c r="E2254">
        <v>16200</v>
      </c>
      <c r="F2254">
        <v>2592</v>
      </c>
      <c r="G2254">
        <v>0</v>
      </c>
      <c r="H2254">
        <v>0</v>
      </c>
      <c r="I2254">
        <v>173</v>
      </c>
      <c r="J2254">
        <v>18792</v>
      </c>
      <c r="K2254" t="s">
        <v>4612</v>
      </c>
      <c r="L2254" s="1">
        <v>41095</v>
      </c>
      <c r="N2254" t="s">
        <v>36</v>
      </c>
      <c r="O2254" t="s">
        <v>37</v>
      </c>
      <c r="P2254" t="s">
        <v>331</v>
      </c>
      <c r="Q2254" t="s">
        <v>39</v>
      </c>
      <c r="R2254" t="s">
        <v>40</v>
      </c>
      <c r="S2254">
        <v>0</v>
      </c>
      <c r="U2254" t="s">
        <v>41</v>
      </c>
      <c r="V2254" t="s">
        <v>42</v>
      </c>
      <c r="X2254" t="s">
        <v>74</v>
      </c>
      <c r="Y2254" t="b">
        <v>0</v>
      </c>
      <c r="Z2254" t="b">
        <v>0</v>
      </c>
      <c r="AC2254" s="1"/>
      <c r="AF2254">
        <v>0</v>
      </c>
      <c r="AG2254">
        <v>45</v>
      </c>
      <c r="AH2254">
        <v>218</v>
      </c>
      <c r="AI2254" s="2">
        <f>Table__192.168.3.138DYLAgingReport[[#This Row],[NetAmount]]-Table__192.168.3.138DYLAgingReport[[#This Row],[Paid]]</f>
        <v>18792</v>
      </c>
    </row>
    <row r="2255" spans="1:35">
      <c r="A2255" t="s">
        <v>4613</v>
      </c>
      <c r="B2255" s="1">
        <v>41220</v>
      </c>
      <c r="C2255" s="1">
        <v>41265</v>
      </c>
      <c r="D2255" t="s">
        <v>271</v>
      </c>
      <c r="E2255">
        <v>31240</v>
      </c>
      <c r="F2255">
        <v>4998</v>
      </c>
      <c r="G2255">
        <v>0</v>
      </c>
      <c r="H2255">
        <v>0</v>
      </c>
      <c r="I2255">
        <v>13</v>
      </c>
      <c r="J2255">
        <v>36238</v>
      </c>
      <c r="K2255" t="s">
        <v>4433</v>
      </c>
      <c r="L2255" s="1">
        <v>41255</v>
      </c>
      <c r="N2255" t="s">
        <v>36</v>
      </c>
      <c r="O2255" t="s">
        <v>37</v>
      </c>
      <c r="P2255" t="s">
        <v>408</v>
      </c>
      <c r="Q2255" t="s">
        <v>39</v>
      </c>
      <c r="R2255" t="s">
        <v>40</v>
      </c>
      <c r="S2255">
        <v>0</v>
      </c>
      <c r="U2255" t="s">
        <v>41</v>
      </c>
      <c r="V2255" t="s">
        <v>42</v>
      </c>
      <c r="X2255" t="s">
        <v>74</v>
      </c>
      <c r="Y2255" t="b">
        <v>0</v>
      </c>
      <c r="Z2255" t="b">
        <v>0</v>
      </c>
      <c r="AC2255" s="1"/>
      <c r="AF2255">
        <v>0</v>
      </c>
      <c r="AG2255">
        <v>45</v>
      </c>
      <c r="AH2255">
        <v>58</v>
      </c>
      <c r="AI2255" s="2">
        <f>Table__192.168.3.138DYLAgingReport[[#This Row],[NetAmount]]-Table__192.168.3.138DYLAgingReport[[#This Row],[Paid]]</f>
        <v>36238</v>
      </c>
    </row>
    <row r="2256" spans="1:35">
      <c r="A2256" t="s">
        <v>4614</v>
      </c>
      <c r="B2256" s="1">
        <v>41243</v>
      </c>
      <c r="C2256" s="1">
        <v>41288</v>
      </c>
      <c r="D2256" t="s">
        <v>281</v>
      </c>
      <c r="E2256">
        <v>58777</v>
      </c>
      <c r="F2256">
        <v>0</v>
      </c>
      <c r="G2256">
        <v>0</v>
      </c>
      <c r="H2256">
        <v>0</v>
      </c>
      <c r="I2256">
        <v>25</v>
      </c>
      <c r="J2256">
        <v>58777</v>
      </c>
      <c r="K2256" t="s">
        <v>4615</v>
      </c>
      <c r="L2256" s="1">
        <v>41243</v>
      </c>
      <c r="N2256" t="s">
        <v>36</v>
      </c>
      <c r="O2256" t="s">
        <v>37</v>
      </c>
      <c r="P2256" t="s">
        <v>418</v>
      </c>
      <c r="Q2256" t="s">
        <v>39</v>
      </c>
      <c r="R2256" t="s">
        <v>40</v>
      </c>
      <c r="S2256">
        <v>0</v>
      </c>
      <c r="U2256" t="s">
        <v>41</v>
      </c>
      <c r="V2256" t="s">
        <v>42</v>
      </c>
      <c r="X2256" t="s">
        <v>74</v>
      </c>
      <c r="Y2256" t="b">
        <v>0</v>
      </c>
      <c r="Z2256" t="b">
        <v>0</v>
      </c>
      <c r="AC2256" s="1"/>
      <c r="AF2256">
        <v>0</v>
      </c>
      <c r="AG2256">
        <v>45</v>
      </c>
      <c r="AH2256">
        <v>70</v>
      </c>
      <c r="AI2256" s="2">
        <f>Table__192.168.3.138DYLAgingReport[[#This Row],[NetAmount]]-Table__192.168.3.138DYLAgingReport[[#This Row],[Paid]]</f>
        <v>58777</v>
      </c>
    </row>
    <row r="2257" spans="1:35">
      <c r="A2257" t="s">
        <v>4616</v>
      </c>
      <c r="B2257" s="1">
        <v>41233</v>
      </c>
      <c r="C2257" s="1">
        <v>41278</v>
      </c>
      <c r="D2257" t="s">
        <v>268</v>
      </c>
      <c r="E2257">
        <v>4850</v>
      </c>
      <c r="F2257">
        <v>776</v>
      </c>
      <c r="G2257">
        <v>0</v>
      </c>
      <c r="H2257">
        <v>0</v>
      </c>
      <c r="I2257">
        <v>38</v>
      </c>
      <c r="J2257">
        <v>5626</v>
      </c>
      <c r="K2257" t="s">
        <v>4617</v>
      </c>
      <c r="L2257" s="1">
        <v>41230</v>
      </c>
      <c r="N2257" t="s">
        <v>36</v>
      </c>
      <c r="O2257" t="s">
        <v>37</v>
      </c>
      <c r="P2257" t="s">
        <v>405</v>
      </c>
      <c r="Q2257" t="s">
        <v>39</v>
      </c>
      <c r="R2257" t="s">
        <v>40</v>
      </c>
      <c r="S2257">
        <v>0</v>
      </c>
      <c r="U2257" t="s">
        <v>41</v>
      </c>
      <c r="V2257" t="s">
        <v>42</v>
      </c>
      <c r="X2257" t="s">
        <v>74</v>
      </c>
      <c r="Y2257" t="b">
        <v>0</v>
      </c>
      <c r="Z2257" t="b">
        <v>0</v>
      </c>
      <c r="AC2257" s="1"/>
      <c r="AF2257">
        <v>0</v>
      </c>
      <c r="AG2257">
        <v>45</v>
      </c>
      <c r="AH2257">
        <v>83</v>
      </c>
      <c r="AI2257" s="2">
        <f>Table__192.168.3.138DYLAgingReport[[#This Row],[NetAmount]]-Table__192.168.3.138DYLAgingReport[[#This Row],[Paid]]</f>
        <v>5626</v>
      </c>
    </row>
    <row r="2258" spans="1:35">
      <c r="A2258" t="s">
        <v>4618</v>
      </c>
      <c r="B2258" s="1">
        <v>41233</v>
      </c>
      <c r="C2258" s="1">
        <v>41278</v>
      </c>
      <c r="D2258" t="s">
        <v>268</v>
      </c>
      <c r="E2258">
        <v>57100</v>
      </c>
      <c r="F2258">
        <v>9136</v>
      </c>
      <c r="G2258">
        <v>0</v>
      </c>
      <c r="H2258">
        <v>0</v>
      </c>
      <c r="I2258">
        <v>33</v>
      </c>
      <c r="J2258">
        <v>66236</v>
      </c>
      <c r="K2258" t="s">
        <v>4619</v>
      </c>
      <c r="L2258" s="1">
        <v>41235</v>
      </c>
      <c r="N2258" t="s">
        <v>36</v>
      </c>
      <c r="O2258" t="s">
        <v>37</v>
      </c>
      <c r="P2258" t="s">
        <v>405</v>
      </c>
      <c r="Q2258" t="s">
        <v>39</v>
      </c>
      <c r="R2258" t="s">
        <v>40</v>
      </c>
      <c r="S2258">
        <v>0</v>
      </c>
      <c r="U2258" t="s">
        <v>41</v>
      </c>
      <c r="V2258" t="s">
        <v>42</v>
      </c>
      <c r="X2258" t="s">
        <v>74</v>
      </c>
      <c r="Y2258" t="b">
        <v>0</v>
      </c>
      <c r="Z2258" t="b">
        <v>0</v>
      </c>
      <c r="AC2258" s="1"/>
      <c r="AF2258">
        <v>0</v>
      </c>
      <c r="AG2258">
        <v>45</v>
      </c>
      <c r="AH2258">
        <v>78</v>
      </c>
      <c r="AI2258" s="2">
        <f>Table__192.168.3.138DYLAgingReport[[#This Row],[NetAmount]]-Table__192.168.3.138DYLAgingReport[[#This Row],[Paid]]</f>
        <v>66236</v>
      </c>
    </row>
    <row r="2259" spans="1:35">
      <c r="A2259" t="s">
        <v>4620</v>
      </c>
      <c r="B2259" s="1">
        <v>41257</v>
      </c>
      <c r="C2259" s="1">
        <v>41302</v>
      </c>
      <c r="D2259" t="s">
        <v>232</v>
      </c>
      <c r="E2259">
        <v>229645</v>
      </c>
      <c r="F2259">
        <v>36743</v>
      </c>
      <c r="G2259">
        <v>0</v>
      </c>
      <c r="H2259">
        <v>0</v>
      </c>
      <c r="I2259">
        <v>11</v>
      </c>
      <c r="J2259">
        <v>266388</v>
      </c>
      <c r="K2259" t="s">
        <v>4621</v>
      </c>
      <c r="L2259" s="1">
        <v>41257</v>
      </c>
      <c r="N2259" t="s">
        <v>36</v>
      </c>
      <c r="O2259" t="s">
        <v>37</v>
      </c>
      <c r="P2259" t="s">
        <v>369</v>
      </c>
      <c r="Q2259" t="s">
        <v>39</v>
      </c>
      <c r="R2259" t="s">
        <v>40</v>
      </c>
      <c r="S2259">
        <v>0</v>
      </c>
      <c r="U2259" t="s">
        <v>41</v>
      </c>
      <c r="V2259" t="s">
        <v>42</v>
      </c>
      <c r="X2259" t="s">
        <v>74</v>
      </c>
      <c r="Y2259" t="b">
        <v>0</v>
      </c>
      <c r="Z2259" t="b">
        <v>0</v>
      </c>
      <c r="AC2259" s="1"/>
      <c r="AF2259">
        <v>0</v>
      </c>
      <c r="AG2259">
        <v>45</v>
      </c>
      <c r="AH2259">
        <v>56</v>
      </c>
      <c r="AI2259" s="2">
        <f>Table__192.168.3.138DYLAgingReport[[#This Row],[NetAmount]]-Table__192.168.3.138DYLAgingReport[[#This Row],[Paid]]</f>
        <v>266388</v>
      </c>
    </row>
    <row r="2260" spans="1:35">
      <c r="A2260" t="s">
        <v>4622</v>
      </c>
      <c r="B2260" s="1">
        <v>41247</v>
      </c>
      <c r="C2260" s="1">
        <v>41292</v>
      </c>
      <c r="D2260" t="s">
        <v>277</v>
      </c>
      <c r="E2260">
        <v>120000</v>
      </c>
      <c r="F2260">
        <v>0</v>
      </c>
      <c r="G2260">
        <v>0</v>
      </c>
      <c r="H2260">
        <v>0</v>
      </c>
      <c r="I2260">
        <v>24</v>
      </c>
      <c r="J2260">
        <v>120000</v>
      </c>
      <c r="K2260" t="s">
        <v>4623</v>
      </c>
      <c r="L2260" s="1">
        <v>41244</v>
      </c>
      <c r="N2260" t="s">
        <v>36</v>
      </c>
      <c r="O2260" t="s">
        <v>37</v>
      </c>
      <c r="P2260" t="s">
        <v>414</v>
      </c>
      <c r="Q2260" t="s">
        <v>39</v>
      </c>
      <c r="R2260" t="s">
        <v>40</v>
      </c>
      <c r="S2260">
        <v>0</v>
      </c>
      <c r="U2260" t="s">
        <v>41</v>
      </c>
      <c r="V2260" t="s">
        <v>42</v>
      </c>
      <c r="X2260" t="s">
        <v>74</v>
      </c>
      <c r="Y2260" t="b">
        <v>0</v>
      </c>
      <c r="Z2260" t="b">
        <v>0</v>
      </c>
      <c r="AC2260" s="1"/>
      <c r="AF2260">
        <v>0</v>
      </c>
      <c r="AG2260">
        <v>45</v>
      </c>
      <c r="AH2260">
        <v>69</v>
      </c>
      <c r="AI2260" s="2">
        <f>Table__192.168.3.138DYLAgingReport[[#This Row],[NetAmount]]-Table__192.168.3.138DYLAgingReport[[#This Row],[Paid]]</f>
        <v>120000</v>
      </c>
    </row>
    <row r="2261" spans="1:35">
      <c r="A2261" t="s">
        <v>4624</v>
      </c>
      <c r="B2261" s="1">
        <v>41254</v>
      </c>
      <c r="C2261" s="1">
        <v>41299</v>
      </c>
      <c r="D2261" t="s">
        <v>294</v>
      </c>
      <c r="E2261">
        <v>511000</v>
      </c>
      <c r="F2261">
        <v>0</v>
      </c>
      <c r="G2261">
        <v>0</v>
      </c>
      <c r="H2261">
        <v>0</v>
      </c>
      <c r="I2261">
        <v>13</v>
      </c>
      <c r="J2261">
        <v>511000</v>
      </c>
      <c r="K2261" t="s">
        <v>4625</v>
      </c>
      <c r="L2261" s="1">
        <v>41255</v>
      </c>
      <c r="N2261" t="s">
        <v>36</v>
      </c>
      <c r="O2261" t="s">
        <v>37</v>
      </c>
      <c r="P2261" t="s">
        <v>431</v>
      </c>
      <c r="Q2261" t="s">
        <v>39</v>
      </c>
      <c r="R2261" t="s">
        <v>40</v>
      </c>
      <c r="S2261">
        <v>0</v>
      </c>
      <c r="U2261" t="s">
        <v>41</v>
      </c>
      <c r="V2261" t="s">
        <v>42</v>
      </c>
      <c r="X2261" t="s">
        <v>74</v>
      </c>
      <c r="Y2261" t="b">
        <v>0</v>
      </c>
      <c r="Z2261" t="b">
        <v>0</v>
      </c>
      <c r="AC2261" s="1"/>
      <c r="AF2261">
        <v>0</v>
      </c>
      <c r="AG2261">
        <v>45</v>
      </c>
      <c r="AH2261">
        <v>58</v>
      </c>
      <c r="AI2261" s="2">
        <f>Table__192.168.3.138DYLAgingReport[[#This Row],[NetAmount]]-Table__192.168.3.138DYLAgingReport[[#This Row],[Paid]]</f>
        <v>511000</v>
      </c>
    </row>
    <row r="2262" spans="1:35">
      <c r="A2262" t="s">
        <v>4626</v>
      </c>
      <c r="B2262" s="1">
        <v>41121.473796296297</v>
      </c>
      <c r="C2262" s="1">
        <v>41166.473796296297</v>
      </c>
      <c r="D2262" t="s">
        <v>228</v>
      </c>
      <c r="E2262">
        <v>154615</v>
      </c>
      <c r="F2262">
        <v>24738</v>
      </c>
      <c r="G2262">
        <v>0</v>
      </c>
      <c r="H2262">
        <v>0</v>
      </c>
      <c r="I2262">
        <v>202</v>
      </c>
      <c r="J2262">
        <v>179353</v>
      </c>
      <c r="K2262" t="s">
        <v>101</v>
      </c>
      <c r="L2262" s="1">
        <v>41066</v>
      </c>
      <c r="N2262" t="s">
        <v>36</v>
      </c>
      <c r="O2262" t="s">
        <v>37</v>
      </c>
      <c r="P2262" t="s">
        <v>365</v>
      </c>
      <c r="Q2262" t="s">
        <v>39</v>
      </c>
      <c r="R2262" t="s">
        <v>40</v>
      </c>
      <c r="S2262">
        <v>0</v>
      </c>
      <c r="U2262" t="s">
        <v>41</v>
      </c>
      <c r="V2262" t="s">
        <v>42</v>
      </c>
      <c r="X2262" t="s">
        <v>74</v>
      </c>
      <c r="Y2262" t="b">
        <v>0</v>
      </c>
      <c r="Z2262" t="b">
        <v>0</v>
      </c>
      <c r="AC2262" s="1"/>
      <c r="AF2262">
        <v>0</v>
      </c>
      <c r="AG2262">
        <v>45</v>
      </c>
      <c r="AH2262">
        <v>247</v>
      </c>
      <c r="AI2262" s="2">
        <f>Table__192.168.3.138DYLAgingReport[[#This Row],[NetAmount]]-Table__192.168.3.138DYLAgingReport[[#This Row],[Paid]]</f>
        <v>179353</v>
      </c>
    </row>
    <row r="2263" spans="1:35">
      <c r="A2263" t="s">
        <v>4627</v>
      </c>
      <c r="B2263" s="1">
        <v>41265</v>
      </c>
      <c r="C2263" s="1">
        <v>41310</v>
      </c>
      <c r="D2263" t="s">
        <v>220</v>
      </c>
      <c r="E2263">
        <v>315000</v>
      </c>
      <c r="F2263">
        <v>50400</v>
      </c>
      <c r="G2263">
        <v>0</v>
      </c>
      <c r="H2263">
        <v>0</v>
      </c>
      <c r="I2263">
        <v>3</v>
      </c>
      <c r="J2263">
        <v>365400</v>
      </c>
      <c r="K2263" t="s">
        <v>4628</v>
      </c>
      <c r="L2263" s="1">
        <v>41265</v>
      </c>
      <c r="N2263" t="s">
        <v>36</v>
      </c>
      <c r="O2263" t="s">
        <v>37</v>
      </c>
      <c r="P2263" t="s">
        <v>357</v>
      </c>
      <c r="Q2263" t="s">
        <v>39</v>
      </c>
      <c r="R2263" t="s">
        <v>40</v>
      </c>
      <c r="S2263">
        <v>0</v>
      </c>
      <c r="U2263" t="s">
        <v>41</v>
      </c>
      <c r="V2263" t="s">
        <v>42</v>
      </c>
      <c r="X2263" t="s">
        <v>74</v>
      </c>
      <c r="Y2263" t="b">
        <v>0</v>
      </c>
      <c r="Z2263" t="b">
        <v>0</v>
      </c>
      <c r="AC2263" s="1"/>
      <c r="AF2263">
        <v>0</v>
      </c>
      <c r="AG2263">
        <v>45</v>
      </c>
      <c r="AH2263">
        <v>48</v>
      </c>
      <c r="AI2263" s="2">
        <f>Table__192.168.3.138DYLAgingReport[[#This Row],[NetAmount]]-Table__192.168.3.138DYLAgingReport[[#This Row],[Paid]]</f>
        <v>365400</v>
      </c>
    </row>
    <row r="2264" spans="1:35">
      <c r="A2264" t="s">
        <v>4629</v>
      </c>
      <c r="B2264" s="1">
        <v>41271</v>
      </c>
      <c r="C2264" s="1">
        <v>41316</v>
      </c>
      <c r="D2264" t="s">
        <v>220</v>
      </c>
      <c r="E2264">
        <v>373600</v>
      </c>
      <c r="F2264">
        <v>59776</v>
      </c>
      <c r="G2264">
        <v>0</v>
      </c>
      <c r="H2264">
        <v>0</v>
      </c>
      <c r="I2264">
        <v>-3</v>
      </c>
      <c r="J2264">
        <v>433376</v>
      </c>
      <c r="K2264" t="s">
        <v>4630</v>
      </c>
      <c r="L2264" s="1">
        <v>41271</v>
      </c>
      <c r="N2264" t="s">
        <v>36</v>
      </c>
      <c r="O2264" t="s">
        <v>37</v>
      </c>
      <c r="P2264" t="s">
        <v>357</v>
      </c>
      <c r="Q2264" t="s">
        <v>39</v>
      </c>
      <c r="R2264" t="s">
        <v>40</v>
      </c>
      <c r="S2264">
        <v>0</v>
      </c>
      <c r="U2264" t="s">
        <v>41</v>
      </c>
      <c r="V2264" t="s">
        <v>42</v>
      </c>
      <c r="X2264" t="s">
        <v>74</v>
      </c>
      <c r="Y2264" t="b">
        <v>0</v>
      </c>
      <c r="Z2264" t="b">
        <v>0</v>
      </c>
      <c r="AC2264" s="1"/>
      <c r="AF2264">
        <v>0</v>
      </c>
      <c r="AG2264">
        <v>45</v>
      </c>
      <c r="AH2264">
        <v>42</v>
      </c>
      <c r="AI2264" s="2">
        <f>Table__192.168.3.138DYLAgingReport[[#This Row],[NetAmount]]-Table__192.168.3.138DYLAgingReport[[#This Row],[Paid]]</f>
        <v>433376</v>
      </c>
    </row>
    <row r="2265" spans="1:35">
      <c r="A2265" t="s">
        <v>4631</v>
      </c>
      <c r="B2265" s="1">
        <v>41262</v>
      </c>
      <c r="C2265" s="1">
        <v>41292</v>
      </c>
      <c r="D2265" t="s">
        <v>270</v>
      </c>
      <c r="E2265">
        <v>27500</v>
      </c>
      <c r="F2265">
        <v>4400</v>
      </c>
      <c r="G2265">
        <v>0</v>
      </c>
      <c r="H2265">
        <v>0</v>
      </c>
      <c r="I2265">
        <v>21</v>
      </c>
      <c r="J2265">
        <v>31900</v>
      </c>
      <c r="K2265" t="s">
        <v>1604</v>
      </c>
      <c r="L2265" s="1">
        <v>41262</v>
      </c>
      <c r="N2265" t="s">
        <v>36</v>
      </c>
      <c r="O2265" t="s">
        <v>37</v>
      </c>
      <c r="P2265" t="s">
        <v>407</v>
      </c>
      <c r="Q2265" t="s">
        <v>39</v>
      </c>
      <c r="R2265" t="s">
        <v>40</v>
      </c>
      <c r="S2265">
        <v>0</v>
      </c>
      <c r="U2265" t="s">
        <v>41</v>
      </c>
      <c r="V2265" t="s">
        <v>42</v>
      </c>
      <c r="X2265" t="s">
        <v>74</v>
      </c>
      <c r="Y2265" t="b">
        <v>0</v>
      </c>
      <c r="Z2265" t="b">
        <v>0</v>
      </c>
      <c r="AC2265" s="1"/>
      <c r="AF2265">
        <v>0</v>
      </c>
      <c r="AG2265">
        <v>30</v>
      </c>
      <c r="AH2265">
        <v>51</v>
      </c>
      <c r="AI2265" s="2">
        <f>Table__192.168.3.138DYLAgingReport[[#This Row],[NetAmount]]-Table__192.168.3.138DYLAgingReport[[#This Row],[Paid]]</f>
        <v>31900</v>
      </c>
    </row>
    <row r="2266" spans="1:35">
      <c r="A2266" t="s">
        <v>4632</v>
      </c>
      <c r="B2266" s="1">
        <v>41257</v>
      </c>
      <c r="C2266" s="1">
        <v>41302</v>
      </c>
      <c r="D2266" t="s">
        <v>224</v>
      </c>
      <c r="E2266">
        <v>15000</v>
      </c>
      <c r="F2266">
        <v>2400</v>
      </c>
      <c r="G2266">
        <v>0</v>
      </c>
      <c r="H2266">
        <v>0</v>
      </c>
      <c r="I2266">
        <v>17</v>
      </c>
      <c r="J2266">
        <v>17400</v>
      </c>
      <c r="K2266" t="s">
        <v>4633</v>
      </c>
      <c r="L2266" s="1">
        <v>41251</v>
      </c>
      <c r="N2266" t="s">
        <v>36</v>
      </c>
      <c r="O2266" t="s">
        <v>37</v>
      </c>
      <c r="P2266" t="s">
        <v>361</v>
      </c>
      <c r="Q2266" t="s">
        <v>39</v>
      </c>
      <c r="R2266" t="s">
        <v>40</v>
      </c>
      <c r="S2266">
        <v>0</v>
      </c>
      <c r="U2266" t="s">
        <v>41</v>
      </c>
      <c r="V2266" t="s">
        <v>42</v>
      </c>
      <c r="X2266" t="s">
        <v>74</v>
      </c>
      <c r="Y2266" t="b">
        <v>0</v>
      </c>
      <c r="Z2266" t="b">
        <v>0</v>
      </c>
      <c r="AC2266" s="1"/>
      <c r="AF2266">
        <v>0</v>
      </c>
      <c r="AG2266">
        <v>45</v>
      </c>
      <c r="AH2266">
        <v>62</v>
      </c>
      <c r="AI2266" s="2">
        <f>Table__192.168.3.138DYLAgingReport[[#This Row],[NetAmount]]-Table__192.168.3.138DYLAgingReport[[#This Row],[Paid]]</f>
        <v>17400</v>
      </c>
    </row>
    <row r="2267" spans="1:35">
      <c r="A2267" t="s">
        <v>4634</v>
      </c>
      <c r="B2267" s="1">
        <v>41251</v>
      </c>
      <c r="C2267" s="1">
        <v>41296</v>
      </c>
      <c r="D2267" t="s">
        <v>224</v>
      </c>
      <c r="E2267">
        <v>15680</v>
      </c>
      <c r="F2267">
        <v>2509</v>
      </c>
      <c r="G2267">
        <v>0</v>
      </c>
      <c r="H2267">
        <v>0</v>
      </c>
      <c r="I2267">
        <v>19</v>
      </c>
      <c r="J2267">
        <v>18189</v>
      </c>
      <c r="K2267" t="s">
        <v>4635</v>
      </c>
      <c r="L2267" s="1">
        <v>41249</v>
      </c>
      <c r="N2267" t="s">
        <v>36</v>
      </c>
      <c r="O2267" t="s">
        <v>37</v>
      </c>
      <c r="P2267" t="s">
        <v>361</v>
      </c>
      <c r="Q2267" t="s">
        <v>39</v>
      </c>
      <c r="R2267" t="s">
        <v>40</v>
      </c>
      <c r="S2267">
        <v>0</v>
      </c>
      <c r="U2267" t="s">
        <v>41</v>
      </c>
      <c r="V2267" t="s">
        <v>42</v>
      </c>
      <c r="X2267" t="s">
        <v>74</v>
      </c>
      <c r="Y2267" t="b">
        <v>0</v>
      </c>
      <c r="Z2267" t="b">
        <v>0</v>
      </c>
      <c r="AC2267" s="1"/>
      <c r="AF2267">
        <v>0</v>
      </c>
      <c r="AG2267">
        <v>45</v>
      </c>
      <c r="AH2267">
        <v>64</v>
      </c>
      <c r="AI2267" s="2">
        <f>Table__192.168.3.138DYLAgingReport[[#This Row],[NetAmount]]-Table__192.168.3.138DYLAgingReport[[#This Row],[Paid]]</f>
        <v>18189</v>
      </c>
    </row>
    <row r="2268" spans="1:35">
      <c r="A2268" t="s">
        <v>4636</v>
      </c>
      <c r="B2268" s="1">
        <v>41255</v>
      </c>
      <c r="C2268" s="1">
        <v>41300</v>
      </c>
      <c r="D2268" t="s">
        <v>224</v>
      </c>
      <c r="E2268">
        <v>9405</v>
      </c>
      <c r="F2268">
        <v>1505</v>
      </c>
      <c r="G2268">
        <v>0</v>
      </c>
      <c r="H2268">
        <v>0</v>
      </c>
      <c r="I2268">
        <v>19</v>
      </c>
      <c r="J2268">
        <v>10910</v>
      </c>
      <c r="K2268" t="s">
        <v>4637</v>
      </c>
      <c r="L2268" s="1">
        <v>41249</v>
      </c>
      <c r="N2268" t="s">
        <v>36</v>
      </c>
      <c r="O2268" t="s">
        <v>37</v>
      </c>
      <c r="P2268" t="s">
        <v>361</v>
      </c>
      <c r="Q2268" t="s">
        <v>39</v>
      </c>
      <c r="R2268" t="s">
        <v>40</v>
      </c>
      <c r="S2268">
        <v>0</v>
      </c>
      <c r="U2268" t="s">
        <v>41</v>
      </c>
      <c r="V2268" t="s">
        <v>42</v>
      </c>
      <c r="X2268" t="s">
        <v>74</v>
      </c>
      <c r="Y2268" t="b">
        <v>0</v>
      </c>
      <c r="Z2268" t="b">
        <v>0</v>
      </c>
      <c r="AC2268" s="1"/>
      <c r="AF2268">
        <v>0</v>
      </c>
      <c r="AG2268">
        <v>45</v>
      </c>
      <c r="AH2268">
        <v>64</v>
      </c>
      <c r="AI2268" s="2">
        <f>Table__192.168.3.138DYLAgingReport[[#This Row],[NetAmount]]-Table__192.168.3.138DYLAgingReport[[#This Row],[Paid]]</f>
        <v>10910</v>
      </c>
    </row>
    <row r="2269" spans="1:35">
      <c r="A2269" t="s">
        <v>4638</v>
      </c>
      <c r="B2269" s="1">
        <v>41267</v>
      </c>
      <c r="C2269" s="1">
        <v>41312</v>
      </c>
      <c r="D2269" t="s">
        <v>224</v>
      </c>
      <c r="E2269">
        <v>63202</v>
      </c>
      <c r="F2269">
        <v>10112</v>
      </c>
      <c r="G2269">
        <v>0</v>
      </c>
      <c r="H2269">
        <v>0</v>
      </c>
      <c r="I2269">
        <v>3</v>
      </c>
      <c r="J2269">
        <v>73314</v>
      </c>
      <c r="K2269" t="s">
        <v>4639</v>
      </c>
      <c r="L2269" s="1">
        <v>41265</v>
      </c>
      <c r="N2269" t="s">
        <v>36</v>
      </c>
      <c r="O2269" t="s">
        <v>37</v>
      </c>
      <c r="P2269" t="s">
        <v>361</v>
      </c>
      <c r="Q2269" t="s">
        <v>39</v>
      </c>
      <c r="R2269" t="s">
        <v>40</v>
      </c>
      <c r="S2269">
        <v>0</v>
      </c>
      <c r="U2269" t="s">
        <v>41</v>
      </c>
      <c r="V2269" t="s">
        <v>42</v>
      </c>
      <c r="X2269" t="s">
        <v>74</v>
      </c>
      <c r="Y2269" t="b">
        <v>0</v>
      </c>
      <c r="Z2269" t="b">
        <v>0</v>
      </c>
      <c r="AC2269" s="1"/>
      <c r="AF2269">
        <v>0</v>
      </c>
      <c r="AG2269">
        <v>45</v>
      </c>
      <c r="AH2269">
        <v>48</v>
      </c>
      <c r="AI2269" s="2">
        <f>Table__192.168.3.138DYLAgingReport[[#This Row],[NetAmount]]-Table__192.168.3.138DYLAgingReport[[#This Row],[Paid]]</f>
        <v>73314</v>
      </c>
    </row>
    <row r="2270" spans="1:35">
      <c r="A2270" t="s">
        <v>4640</v>
      </c>
      <c r="B2270" s="1">
        <v>41271</v>
      </c>
      <c r="C2270" s="1">
        <v>41316</v>
      </c>
      <c r="D2270" t="s">
        <v>224</v>
      </c>
      <c r="E2270">
        <v>2790</v>
      </c>
      <c r="F2270">
        <v>446</v>
      </c>
      <c r="G2270">
        <v>0</v>
      </c>
      <c r="H2270">
        <v>0</v>
      </c>
      <c r="I2270">
        <v>1</v>
      </c>
      <c r="J2270">
        <v>3236</v>
      </c>
      <c r="K2270" t="s">
        <v>4641</v>
      </c>
      <c r="L2270" s="1">
        <v>41267</v>
      </c>
      <c r="N2270" t="s">
        <v>36</v>
      </c>
      <c r="O2270" t="s">
        <v>37</v>
      </c>
      <c r="P2270" t="s">
        <v>361</v>
      </c>
      <c r="Q2270" t="s">
        <v>39</v>
      </c>
      <c r="R2270" t="s">
        <v>40</v>
      </c>
      <c r="S2270">
        <v>0</v>
      </c>
      <c r="U2270" t="s">
        <v>41</v>
      </c>
      <c r="V2270" t="s">
        <v>42</v>
      </c>
      <c r="X2270" t="s">
        <v>74</v>
      </c>
      <c r="Y2270" t="b">
        <v>0</v>
      </c>
      <c r="Z2270" t="b">
        <v>0</v>
      </c>
      <c r="AC2270" s="1"/>
      <c r="AF2270">
        <v>0</v>
      </c>
      <c r="AG2270">
        <v>45</v>
      </c>
      <c r="AH2270">
        <v>46</v>
      </c>
      <c r="AI2270" s="2">
        <f>Table__192.168.3.138DYLAgingReport[[#This Row],[NetAmount]]-Table__192.168.3.138DYLAgingReport[[#This Row],[Paid]]</f>
        <v>3236</v>
      </c>
    </row>
    <row r="2271" spans="1:35">
      <c r="A2271" t="s">
        <v>4642</v>
      </c>
      <c r="B2271" s="1">
        <v>41270</v>
      </c>
      <c r="C2271" s="1">
        <v>41315</v>
      </c>
      <c r="D2271" t="s">
        <v>167</v>
      </c>
      <c r="E2271">
        <v>3875</v>
      </c>
      <c r="F2271">
        <v>620</v>
      </c>
      <c r="G2271">
        <v>0</v>
      </c>
      <c r="H2271">
        <v>0</v>
      </c>
      <c r="I2271">
        <v>-2</v>
      </c>
      <c r="J2271">
        <v>4495</v>
      </c>
      <c r="K2271" t="s">
        <v>4643</v>
      </c>
      <c r="L2271" s="1">
        <v>41270</v>
      </c>
      <c r="N2271" t="s">
        <v>36</v>
      </c>
      <c r="O2271" t="s">
        <v>37</v>
      </c>
      <c r="P2271" t="s">
        <v>304</v>
      </c>
      <c r="Q2271" t="s">
        <v>39</v>
      </c>
      <c r="R2271" t="s">
        <v>40</v>
      </c>
      <c r="S2271">
        <v>0</v>
      </c>
      <c r="U2271" t="s">
        <v>41</v>
      </c>
      <c r="V2271" t="s">
        <v>42</v>
      </c>
      <c r="X2271" t="s">
        <v>74</v>
      </c>
      <c r="Y2271" t="b">
        <v>0</v>
      </c>
      <c r="Z2271" t="b">
        <v>0</v>
      </c>
      <c r="AC2271" s="1"/>
      <c r="AF2271">
        <v>0</v>
      </c>
      <c r="AG2271">
        <v>45</v>
      </c>
      <c r="AH2271">
        <v>43</v>
      </c>
      <c r="AI2271" s="2">
        <f>Table__192.168.3.138DYLAgingReport[[#This Row],[NetAmount]]-Table__192.168.3.138DYLAgingReport[[#This Row],[Paid]]</f>
        <v>4495</v>
      </c>
    </row>
    <row r="2272" spans="1:35">
      <c r="A2272" t="s">
        <v>4644</v>
      </c>
      <c r="B2272" s="1">
        <v>41256</v>
      </c>
      <c r="C2272" s="1">
        <v>41301</v>
      </c>
      <c r="D2272" t="s">
        <v>254</v>
      </c>
      <c r="E2272">
        <v>1580000</v>
      </c>
      <c r="F2272">
        <v>252800</v>
      </c>
      <c r="G2272">
        <v>0</v>
      </c>
      <c r="H2272">
        <v>0</v>
      </c>
      <c r="I2272">
        <v>18</v>
      </c>
      <c r="J2272">
        <v>1832800</v>
      </c>
      <c r="K2272" t="s">
        <v>4645</v>
      </c>
      <c r="L2272" s="1">
        <v>41250</v>
      </c>
      <c r="N2272" t="s">
        <v>36</v>
      </c>
      <c r="O2272" t="s">
        <v>37</v>
      </c>
      <c r="P2272" t="s">
        <v>391</v>
      </c>
      <c r="Q2272" t="s">
        <v>39</v>
      </c>
      <c r="R2272" t="s">
        <v>40</v>
      </c>
      <c r="S2272">
        <v>0</v>
      </c>
      <c r="U2272" t="s">
        <v>41</v>
      </c>
      <c r="V2272" t="s">
        <v>42</v>
      </c>
      <c r="X2272" t="s">
        <v>74</v>
      </c>
      <c r="Y2272" t="b">
        <v>0</v>
      </c>
      <c r="Z2272" t="b">
        <v>0</v>
      </c>
      <c r="AC2272" s="1"/>
      <c r="AF2272">
        <v>0</v>
      </c>
      <c r="AG2272">
        <v>45</v>
      </c>
      <c r="AH2272">
        <v>63</v>
      </c>
      <c r="AI2272" s="2">
        <f>Table__192.168.3.138DYLAgingReport[[#This Row],[NetAmount]]-Table__192.168.3.138DYLAgingReport[[#This Row],[Paid]]</f>
        <v>1832800</v>
      </c>
    </row>
    <row r="2273" spans="1:35">
      <c r="A2273" t="s">
        <v>4646</v>
      </c>
      <c r="B2273" s="1">
        <v>41260</v>
      </c>
      <c r="C2273" s="1">
        <v>41305</v>
      </c>
      <c r="D2273" t="s">
        <v>174</v>
      </c>
      <c r="E2273">
        <v>126960</v>
      </c>
      <c r="F2273">
        <v>20314</v>
      </c>
      <c r="G2273">
        <v>0</v>
      </c>
      <c r="H2273">
        <v>0</v>
      </c>
      <c r="I2273">
        <v>8</v>
      </c>
      <c r="J2273">
        <v>147274</v>
      </c>
      <c r="K2273" t="s">
        <v>4647</v>
      </c>
      <c r="L2273" s="1">
        <v>41260</v>
      </c>
      <c r="N2273" t="s">
        <v>36</v>
      </c>
      <c r="O2273" t="s">
        <v>37</v>
      </c>
      <c r="P2273" t="s">
        <v>311</v>
      </c>
      <c r="Q2273" t="s">
        <v>39</v>
      </c>
      <c r="R2273" t="s">
        <v>40</v>
      </c>
      <c r="S2273">
        <v>0</v>
      </c>
      <c r="U2273" t="s">
        <v>41</v>
      </c>
      <c r="V2273" t="s">
        <v>42</v>
      </c>
      <c r="X2273" t="s">
        <v>74</v>
      </c>
      <c r="Y2273" t="b">
        <v>0</v>
      </c>
      <c r="Z2273" t="b">
        <v>0</v>
      </c>
      <c r="AC2273" s="1"/>
      <c r="AF2273">
        <v>0</v>
      </c>
      <c r="AG2273">
        <v>45</v>
      </c>
      <c r="AH2273">
        <v>53</v>
      </c>
      <c r="AI2273" s="2">
        <f>Table__192.168.3.138DYLAgingReport[[#This Row],[NetAmount]]-Table__192.168.3.138DYLAgingReport[[#This Row],[Paid]]</f>
        <v>147274</v>
      </c>
    </row>
    <row r="2274" spans="1:35">
      <c r="A2274" t="s">
        <v>4648</v>
      </c>
      <c r="B2274" s="1">
        <v>41270</v>
      </c>
      <c r="C2274" s="1">
        <v>41315</v>
      </c>
      <c r="D2274" t="s">
        <v>174</v>
      </c>
      <c r="E2274">
        <v>101500</v>
      </c>
      <c r="F2274">
        <v>16240</v>
      </c>
      <c r="G2274">
        <v>0</v>
      </c>
      <c r="H2274">
        <v>0</v>
      </c>
      <c r="I2274">
        <v>-2</v>
      </c>
      <c r="J2274">
        <v>117740</v>
      </c>
      <c r="K2274" t="s">
        <v>4649</v>
      </c>
      <c r="L2274" s="1">
        <v>41270</v>
      </c>
      <c r="N2274" t="s">
        <v>36</v>
      </c>
      <c r="O2274" t="s">
        <v>37</v>
      </c>
      <c r="P2274" t="s">
        <v>311</v>
      </c>
      <c r="Q2274" t="s">
        <v>39</v>
      </c>
      <c r="R2274" t="s">
        <v>40</v>
      </c>
      <c r="S2274">
        <v>0</v>
      </c>
      <c r="U2274" t="s">
        <v>41</v>
      </c>
      <c r="V2274" t="s">
        <v>42</v>
      </c>
      <c r="X2274" t="s">
        <v>74</v>
      </c>
      <c r="Y2274" t="b">
        <v>0</v>
      </c>
      <c r="Z2274" t="b">
        <v>0</v>
      </c>
      <c r="AC2274" s="1"/>
      <c r="AF2274">
        <v>0</v>
      </c>
      <c r="AG2274">
        <v>45</v>
      </c>
      <c r="AH2274">
        <v>43</v>
      </c>
      <c r="AI2274" s="2">
        <f>Table__192.168.3.138DYLAgingReport[[#This Row],[NetAmount]]-Table__192.168.3.138DYLAgingReport[[#This Row],[Paid]]</f>
        <v>117740</v>
      </c>
    </row>
    <row r="2275" spans="1:35">
      <c r="A2275" t="s">
        <v>4650</v>
      </c>
      <c r="B2275" s="1">
        <v>41264</v>
      </c>
      <c r="C2275" s="1">
        <v>41309</v>
      </c>
      <c r="D2275" t="s">
        <v>200</v>
      </c>
      <c r="E2275">
        <v>167500</v>
      </c>
      <c r="F2275">
        <v>26800</v>
      </c>
      <c r="G2275">
        <v>0</v>
      </c>
      <c r="H2275">
        <v>0</v>
      </c>
      <c r="I2275">
        <v>4</v>
      </c>
      <c r="J2275">
        <v>194300</v>
      </c>
      <c r="K2275" t="s">
        <v>4651</v>
      </c>
      <c r="L2275" s="1">
        <v>41264</v>
      </c>
      <c r="N2275" t="s">
        <v>36</v>
      </c>
      <c r="O2275" t="s">
        <v>37</v>
      </c>
      <c r="P2275" t="s">
        <v>337</v>
      </c>
      <c r="Q2275" t="s">
        <v>39</v>
      </c>
      <c r="R2275" t="s">
        <v>40</v>
      </c>
      <c r="S2275">
        <v>0</v>
      </c>
      <c r="U2275" t="s">
        <v>41</v>
      </c>
      <c r="V2275" t="s">
        <v>42</v>
      </c>
      <c r="X2275" t="s">
        <v>74</v>
      </c>
      <c r="Y2275" t="b">
        <v>0</v>
      </c>
      <c r="Z2275" t="b">
        <v>0</v>
      </c>
      <c r="AC2275" s="1"/>
      <c r="AF2275">
        <v>0</v>
      </c>
      <c r="AG2275">
        <v>45</v>
      </c>
      <c r="AH2275">
        <v>49</v>
      </c>
      <c r="AI2275" s="2">
        <f>Table__192.168.3.138DYLAgingReport[[#This Row],[NetAmount]]-Table__192.168.3.138DYLAgingReport[[#This Row],[Paid]]</f>
        <v>194300</v>
      </c>
    </row>
    <row r="2276" spans="1:35">
      <c r="A2276" t="s">
        <v>4652</v>
      </c>
      <c r="B2276" s="1">
        <v>41260</v>
      </c>
      <c r="C2276" s="1">
        <v>41305</v>
      </c>
      <c r="D2276" t="s">
        <v>197</v>
      </c>
      <c r="E2276">
        <v>105000</v>
      </c>
      <c r="F2276">
        <v>16800</v>
      </c>
      <c r="G2276">
        <v>0</v>
      </c>
      <c r="H2276">
        <v>0</v>
      </c>
      <c r="I2276">
        <v>6</v>
      </c>
      <c r="J2276">
        <v>121800</v>
      </c>
      <c r="K2276" t="s">
        <v>4653</v>
      </c>
      <c r="L2276" s="1">
        <v>41262</v>
      </c>
      <c r="N2276" t="s">
        <v>36</v>
      </c>
      <c r="O2276" t="s">
        <v>37</v>
      </c>
      <c r="P2276" t="s">
        <v>334</v>
      </c>
      <c r="Q2276" t="s">
        <v>39</v>
      </c>
      <c r="R2276" t="s">
        <v>40</v>
      </c>
      <c r="S2276">
        <v>0</v>
      </c>
      <c r="U2276" t="s">
        <v>41</v>
      </c>
      <c r="V2276" t="s">
        <v>42</v>
      </c>
      <c r="X2276" t="s">
        <v>74</v>
      </c>
      <c r="Y2276" t="b">
        <v>0</v>
      </c>
      <c r="Z2276" t="b">
        <v>0</v>
      </c>
      <c r="AC2276" s="1"/>
      <c r="AF2276">
        <v>0</v>
      </c>
      <c r="AG2276">
        <v>45</v>
      </c>
      <c r="AH2276">
        <v>51</v>
      </c>
      <c r="AI2276" s="2">
        <f>Table__192.168.3.138DYLAgingReport[[#This Row],[NetAmount]]-Table__192.168.3.138DYLAgingReport[[#This Row],[Paid]]</f>
        <v>121800</v>
      </c>
    </row>
    <row r="2277" spans="1:35">
      <c r="A2277" t="s">
        <v>4654</v>
      </c>
      <c r="B2277" s="1">
        <v>41260</v>
      </c>
      <c r="C2277" s="1">
        <v>41305</v>
      </c>
      <c r="D2277" t="s">
        <v>197</v>
      </c>
      <c r="E2277">
        <v>245000</v>
      </c>
      <c r="F2277">
        <v>39200</v>
      </c>
      <c r="G2277">
        <v>0</v>
      </c>
      <c r="H2277">
        <v>0</v>
      </c>
      <c r="I2277">
        <v>6</v>
      </c>
      <c r="J2277">
        <v>284200</v>
      </c>
      <c r="K2277" t="s">
        <v>4655</v>
      </c>
      <c r="L2277" s="1">
        <v>41262</v>
      </c>
      <c r="N2277" t="s">
        <v>36</v>
      </c>
      <c r="O2277" t="s">
        <v>37</v>
      </c>
      <c r="P2277" t="s">
        <v>334</v>
      </c>
      <c r="Q2277" t="s">
        <v>39</v>
      </c>
      <c r="R2277" t="s">
        <v>40</v>
      </c>
      <c r="S2277">
        <v>0</v>
      </c>
      <c r="U2277" t="s">
        <v>41</v>
      </c>
      <c r="V2277" t="s">
        <v>42</v>
      </c>
      <c r="X2277" t="s">
        <v>74</v>
      </c>
      <c r="Y2277" t="b">
        <v>0</v>
      </c>
      <c r="Z2277" t="b">
        <v>0</v>
      </c>
      <c r="AC2277" s="1"/>
      <c r="AF2277">
        <v>0</v>
      </c>
      <c r="AG2277">
        <v>45</v>
      </c>
      <c r="AH2277">
        <v>51</v>
      </c>
      <c r="AI2277" s="2">
        <f>Table__192.168.3.138DYLAgingReport[[#This Row],[NetAmount]]-Table__192.168.3.138DYLAgingReport[[#This Row],[Paid]]</f>
        <v>284200</v>
      </c>
    </row>
    <row r="2278" spans="1:35">
      <c r="A2278" t="s">
        <v>4656</v>
      </c>
      <c r="B2278" s="1">
        <v>41264</v>
      </c>
      <c r="C2278" s="1">
        <v>41309</v>
      </c>
      <c r="D2278" t="s">
        <v>197</v>
      </c>
      <c r="E2278">
        <v>350000</v>
      </c>
      <c r="F2278">
        <v>56000</v>
      </c>
      <c r="G2278">
        <v>0</v>
      </c>
      <c r="H2278">
        <v>0</v>
      </c>
      <c r="I2278">
        <v>1</v>
      </c>
      <c r="J2278">
        <v>406000</v>
      </c>
      <c r="K2278" t="s">
        <v>4657</v>
      </c>
      <c r="L2278" s="1">
        <v>41267</v>
      </c>
      <c r="N2278" t="s">
        <v>36</v>
      </c>
      <c r="O2278" t="s">
        <v>37</v>
      </c>
      <c r="P2278" t="s">
        <v>334</v>
      </c>
      <c r="Q2278" t="s">
        <v>39</v>
      </c>
      <c r="R2278" t="s">
        <v>40</v>
      </c>
      <c r="S2278">
        <v>0</v>
      </c>
      <c r="U2278" t="s">
        <v>41</v>
      </c>
      <c r="V2278" t="s">
        <v>42</v>
      </c>
      <c r="X2278" t="s">
        <v>74</v>
      </c>
      <c r="Y2278" t="b">
        <v>0</v>
      </c>
      <c r="Z2278" t="b">
        <v>0</v>
      </c>
      <c r="AC2278" s="1"/>
      <c r="AF2278">
        <v>0</v>
      </c>
      <c r="AG2278">
        <v>45</v>
      </c>
      <c r="AH2278">
        <v>46</v>
      </c>
      <c r="AI2278" s="2">
        <f>Table__192.168.3.138DYLAgingReport[[#This Row],[NetAmount]]-Table__192.168.3.138DYLAgingReport[[#This Row],[Paid]]</f>
        <v>406000</v>
      </c>
    </row>
    <row r="2279" spans="1:35">
      <c r="A2279" t="s">
        <v>4658</v>
      </c>
      <c r="B2279" s="1">
        <v>41265</v>
      </c>
      <c r="C2279" s="1">
        <v>41310</v>
      </c>
      <c r="D2279" t="s">
        <v>197</v>
      </c>
      <c r="E2279">
        <v>245000</v>
      </c>
      <c r="F2279">
        <v>39200</v>
      </c>
      <c r="G2279">
        <v>0</v>
      </c>
      <c r="H2279">
        <v>0</v>
      </c>
      <c r="I2279">
        <v>1</v>
      </c>
      <c r="J2279">
        <v>284200</v>
      </c>
      <c r="K2279" t="s">
        <v>4659</v>
      </c>
      <c r="L2279" s="1">
        <v>41267</v>
      </c>
      <c r="N2279" t="s">
        <v>36</v>
      </c>
      <c r="O2279" t="s">
        <v>37</v>
      </c>
      <c r="P2279" t="s">
        <v>334</v>
      </c>
      <c r="Q2279" t="s">
        <v>39</v>
      </c>
      <c r="R2279" t="s">
        <v>40</v>
      </c>
      <c r="S2279">
        <v>0</v>
      </c>
      <c r="U2279" t="s">
        <v>41</v>
      </c>
      <c r="V2279" t="s">
        <v>42</v>
      </c>
      <c r="X2279" t="s">
        <v>74</v>
      </c>
      <c r="Y2279" t="b">
        <v>0</v>
      </c>
      <c r="Z2279" t="b">
        <v>0</v>
      </c>
      <c r="AC2279" s="1"/>
      <c r="AF2279">
        <v>0</v>
      </c>
      <c r="AG2279">
        <v>45</v>
      </c>
      <c r="AH2279">
        <v>46</v>
      </c>
      <c r="AI2279" s="2">
        <f>Table__192.168.3.138DYLAgingReport[[#This Row],[NetAmount]]-Table__192.168.3.138DYLAgingReport[[#This Row],[Paid]]</f>
        <v>284200</v>
      </c>
    </row>
    <row r="2280" spans="1:35">
      <c r="A2280" t="s">
        <v>4660</v>
      </c>
      <c r="B2280" s="1">
        <v>41265</v>
      </c>
      <c r="C2280" s="1">
        <v>41310</v>
      </c>
      <c r="D2280" t="s">
        <v>197</v>
      </c>
      <c r="E2280">
        <v>805000</v>
      </c>
      <c r="F2280">
        <v>128800</v>
      </c>
      <c r="G2280">
        <v>0</v>
      </c>
      <c r="H2280">
        <v>0</v>
      </c>
      <c r="I2280">
        <v>1</v>
      </c>
      <c r="J2280">
        <v>933800</v>
      </c>
      <c r="K2280" t="s">
        <v>4661</v>
      </c>
      <c r="L2280" s="1">
        <v>41267</v>
      </c>
      <c r="N2280" t="s">
        <v>36</v>
      </c>
      <c r="O2280" t="s">
        <v>37</v>
      </c>
      <c r="P2280" t="s">
        <v>334</v>
      </c>
      <c r="Q2280" t="s">
        <v>39</v>
      </c>
      <c r="R2280" t="s">
        <v>40</v>
      </c>
      <c r="S2280">
        <v>0</v>
      </c>
      <c r="U2280" t="s">
        <v>41</v>
      </c>
      <c r="V2280" t="s">
        <v>42</v>
      </c>
      <c r="X2280" t="s">
        <v>74</v>
      </c>
      <c r="Y2280" t="b">
        <v>0</v>
      </c>
      <c r="Z2280" t="b">
        <v>0</v>
      </c>
      <c r="AC2280" s="1"/>
      <c r="AF2280">
        <v>0</v>
      </c>
      <c r="AG2280">
        <v>45</v>
      </c>
      <c r="AH2280">
        <v>46</v>
      </c>
      <c r="AI2280" s="2">
        <f>Table__192.168.3.138DYLAgingReport[[#This Row],[NetAmount]]-Table__192.168.3.138DYLAgingReport[[#This Row],[Paid]]</f>
        <v>933800</v>
      </c>
    </row>
    <row r="2281" spans="1:35">
      <c r="A2281" t="s">
        <v>4662</v>
      </c>
      <c r="B2281" s="1">
        <v>41272</v>
      </c>
      <c r="C2281" s="1">
        <v>41317</v>
      </c>
      <c r="D2281" t="s">
        <v>197</v>
      </c>
      <c r="E2281">
        <v>88800</v>
      </c>
      <c r="F2281">
        <v>14208</v>
      </c>
      <c r="G2281">
        <v>0</v>
      </c>
      <c r="H2281">
        <v>0</v>
      </c>
      <c r="I2281">
        <v>-6</v>
      </c>
      <c r="J2281">
        <v>103008</v>
      </c>
      <c r="K2281" t="s">
        <v>4663</v>
      </c>
      <c r="L2281" s="1">
        <v>41274</v>
      </c>
      <c r="N2281" t="s">
        <v>36</v>
      </c>
      <c r="O2281" t="s">
        <v>37</v>
      </c>
      <c r="P2281" t="s">
        <v>334</v>
      </c>
      <c r="Q2281" t="s">
        <v>39</v>
      </c>
      <c r="R2281" t="s">
        <v>40</v>
      </c>
      <c r="S2281">
        <v>0</v>
      </c>
      <c r="U2281" t="s">
        <v>41</v>
      </c>
      <c r="V2281" t="s">
        <v>42</v>
      </c>
      <c r="X2281" t="s">
        <v>74</v>
      </c>
      <c r="Y2281" t="b">
        <v>0</v>
      </c>
      <c r="Z2281" t="b">
        <v>0</v>
      </c>
      <c r="AC2281" s="1"/>
      <c r="AF2281">
        <v>0</v>
      </c>
      <c r="AG2281">
        <v>45</v>
      </c>
      <c r="AH2281">
        <v>39</v>
      </c>
      <c r="AI2281" s="2">
        <f>Table__192.168.3.138DYLAgingReport[[#This Row],[NetAmount]]-Table__192.168.3.138DYLAgingReport[[#This Row],[Paid]]</f>
        <v>103008</v>
      </c>
    </row>
    <row r="2282" spans="1:35">
      <c r="A2282" t="s">
        <v>4664</v>
      </c>
      <c r="B2282" s="1">
        <v>41272</v>
      </c>
      <c r="C2282" s="1">
        <v>41317</v>
      </c>
      <c r="D2282" t="s">
        <v>197</v>
      </c>
      <c r="E2282">
        <v>90000</v>
      </c>
      <c r="F2282">
        <v>14400</v>
      </c>
      <c r="G2282">
        <v>0</v>
      </c>
      <c r="H2282">
        <v>0</v>
      </c>
      <c r="I2282">
        <v>-6</v>
      </c>
      <c r="J2282">
        <v>104400</v>
      </c>
      <c r="K2282" t="s">
        <v>4665</v>
      </c>
      <c r="L2282" s="1">
        <v>41274</v>
      </c>
      <c r="N2282" t="s">
        <v>36</v>
      </c>
      <c r="O2282" t="s">
        <v>37</v>
      </c>
      <c r="P2282" t="s">
        <v>334</v>
      </c>
      <c r="Q2282" t="s">
        <v>39</v>
      </c>
      <c r="R2282" t="s">
        <v>40</v>
      </c>
      <c r="S2282">
        <v>0</v>
      </c>
      <c r="U2282" t="s">
        <v>41</v>
      </c>
      <c r="V2282" t="s">
        <v>42</v>
      </c>
      <c r="X2282" t="s">
        <v>74</v>
      </c>
      <c r="Y2282" t="b">
        <v>0</v>
      </c>
      <c r="Z2282" t="b">
        <v>0</v>
      </c>
      <c r="AC2282" s="1"/>
      <c r="AF2282">
        <v>0</v>
      </c>
      <c r="AG2282">
        <v>45</v>
      </c>
      <c r="AH2282">
        <v>39</v>
      </c>
      <c r="AI2282" s="2">
        <f>Table__192.168.3.138DYLAgingReport[[#This Row],[NetAmount]]-Table__192.168.3.138DYLAgingReport[[#This Row],[Paid]]</f>
        <v>104400</v>
      </c>
    </row>
    <row r="2283" spans="1:35">
      <c r="A2283" t="s">
        <v>4666</v>
      </c>
      <c r="B2283" s="1">
        <v>41272</v>
      </c>
      <c r="C2283" s="1">
        <v>41317</v>
      </c>
      <c r="D2283" t="s">
        <v>197</v>
      </c>
      <c r="E2283">
        <v>162500</v>
      </c>
      <c r="F2283">
        <v>26000</v>
      </c>
      <c r="G2283">
        <v>0</v>
      </c>
      <c r="H2283">
        <v>0</v>
      </c>
      <c r="I2283">
        <v>-6</v>
      </c>
      <c r="J2283">
        <v>188500</v>
      </c>
      <c r="K2283" t="s">
        <v>4667</v>
      </c>
      <c r="L2283" s="1">
        <v>41274</v>
      </c>
      <c r="N2283" t="s">
        <v>36</v>
      </c>
      <c r="O2283" t="s">
        <v>37</v>
      </c>
      <c r="P2283" t="s">
        <v>334</v>
      </c>
      <c r="Q2283" t="s">
        <v>39</v>
      </c>
      <c r="R2283" t="s">
        <v>40</v>
      </c>
      <c r="S2283">
        <v>0</v>
      </c>
      <c r="U2283" t="s">
        <v>41</v>
      </c>
      <c r="V2283" t="s">
        <v>42</v>
      </c>
      <c r="X2283" t="s">
        <v>74</v>
      </c>
      <c r="Y2283" t="b">
        <v>0</v>
      </c>
      <c r="Z2283" t="b">
        <v>0</v>
      </c>
      <c r="AC2283" s="1"/>
      <c r="AF2283">
        <v>0</v>
      </c>
      <c r="AG2283">
        <v>45</v>
      </c>
      <c r="AH2283">
        <v>39</v>
      </c>
      <c r="AI2283" s="2">
        <f>Table__192.168.3.138DYLAgingReport[[#This Row],[NetAmount]]-Table__192.168.3.138DYLAgingReport[[#This Row],[Paid]]</f>
        <v>188500</v>
      </c>
    </row>
    <row r="2284" spans="1:35">
      <c r="A2284" t="s">
        <v>4668</v>
      </c>
      <c r="B2284" s="1">
        <v>41272</v>
      </c>
      <c r="C2284" s="1">
        <v>41317</v>
      </c>
      <c r="D2284" t="s">
        <v>197</v>
      </c>
      <c r="E2284">
        <v>32500</v>
      </c>
      <c r="F2284">
        <v>5200</v>
      </c>
      <c r="G2284">
        <v>0</v>
      </c>
      <c r="H2284">
        <v>0</v>
      </c>
      <c r="I2284">
        <v>-6</v>
      </c>
      <c r="J2284">
        <v>37700</v>
      </c>
      <c r="K2284" t="s">
        <v>4669</v>
      </c>
      <c r="L2284" s="1">
        <v>41274</v>
      </c>
      <c r="N2284" t="s">
        <v>36</v>
      </c>
      <c r="O2284" t="s">
        <v>37</v>
      </c>
      <c r="P2284" t="s">
        <v>334</v>
      </c>
      <c r="Q2284" t="s">
        <v>39</v>
      </c>
      <c r="R2284" t="s">
        <v>40</v>
      </c>
      <c r="S2284">
        <v>0</v>
      </c>
      <c r="U2284" t="s">
        <v>41</v>
      </c>
      <c r="V2284" t="s">
        <v>42</v>
      </c>
      <c r="X2284" t="s">
        <v>74</v>
      </c>
      <c r="Y2284" t="b">
        <v>0</v>
      </c>
      <c r="Z2284" t="b">
        <v>0</v>
      </c>
      <c r="AC2284" s="1"/>
      <c r="AF2284">
        <v>0</v>
      </c>
      <c r="AG2284">
        <v>45</v>
      </c>
      <c r="AH2284">
        <v>39</v>
      </c>
      <c r="AI2284" s="2">
        <f>Table__192.168.3.138DYLAgingReport[[#This Row],[NetAmount]]-Table__192.168.3.138DYLAgingReport[[#This Row],[Paid]]</f>
        <v>37700</v>
      </c>
    </row>
    <row r="2285" spans="1:35">
      <c r="A2285" t="s">
        <v>4670</v>
      </c>
      <c r="B2285" s="1">
        <v>41264</v>
      </c>
      <c r="C2285" s="1">
        <v>41294</v>
      </c>
      <c r="D2285" t="s">
        <v>285</v>
      </c>
      <c r="E2285">
        <v>290000</v>
      </c>
      <c r="F2285">
        <v>46400</v>
      </c>
      <c r="G2285">
        <v>0</v>
      </c>
      <c r="H2285">
        <v>0</v>
      </c>
      <c r="I2285">
        <v>16</v>
      </c>
      <c r="J2285">
        <v>336400</v>
      </c>
      <c r="K2285" t="s">
        <v>4671</v>
      </c>
      <c r="L2285" s="1">
        <v>41267</v>
      </c>
      <c r="N2285" t="s">
        <v>36</v>
      </c>
      <c r="O2285" t="s">
        <v>37</v>
      </c>
      <c r="P2285" t="s">
        <v>422</v>
      </c>
      <c r="Q2285" t="s">
        <v>39</v>
      </c>
      <c r="R2285" t="s">
        <v>40</v>
      </c>
      <c r="S2285">
        <v>0</v>
      </c>
      <c r="U2285" t="s">
        <v>41</v>
      </c>
      <c r="V2285" t="s">
        <v>42</v>
      </c>
      <c r="X2285" t="s">
        <v>74</v>
      </c>
      <c r="Y2285" t="b">
        <v>0</v>
      </c>
      <c r="Z2285" t="b">
        <v>0</v>
      </c>
      <c r="AC2285" s="1"/>
      <c r="AF2285">
        <v>0</v>
      </c>
      <c r="AG2285">
        <v>30</v>
      </c>
      <c r="AH2285">
        <v>46</v>
      </c>
      <c r="AI2285" s="2">
        <f>Table__192.168.3.138DYLAgingReport[[#This Row],[NetAmount]]-Table__192.168.3.138DYLAgingReport[[#This Row],[Paid]]</f>
        <v>336400</v>
      </c>
    </row>
    <row r="2286" spans="1:35">
      <c r="A2286" t="s">
        <v>4672</v>
      </c>
      <c r="B2286" s="1">
        <v>41264</v>
      </c>
      <c r="C2286" s="1">
        <v>41294</v>
      </c>
      <c r="D2286" t="s">
        <v>285</v>
      </c>
      <c r="E2286">
        <v>1450000</v>
      </c>
      <c r="F2286">
        <v>232000</v>
      </c>
      <c r="G2286">
        <v>0</v>
      </c>
      <c r="H2286">
        <v>0</v>
      </c>
      <c r="I2286">
        <v>16</v>
      </c>
      <c r="J2286">
        <v>1682000</v>
      </c>
      <c r="K2286" t="s">
        <v>4673</v>
      </c>
      <c r="L2286" s="1">
        <v>41267</v>
      </c>
      <c r="N2286" t="s">
        <v>36</v>
      </c>
      <c r="O2286" t="s">
        <v>37</v>
      </c>
      <c r="P2286" t="s">
        <v>422</v>
      </c>
      <c r="Q2286" t="s">
        <v>39</v>
      </c>
      <c r="R2286" t="s">
        <v>40</v>
      </c>
      <c r="S2286">
        <v>0</v>
      </c>
      <c r="U2286" t="s">
        <v>41</v>
      </c>
      <c r="V2286" t="s">
        <v>42</v>
      </c>
      <c r="X2286" t="s">
        <v>74</v>
      </c>
      <c r="Y2286" t="b">
        <v>0</v>
      </c>
      <c r="Z2286" t="b">
        <v>0</v>
      </c>
      <c r="AC2286" s="1"/>
      <c r="AF2286">
        <v>0</v>
      </c>
      <c r="AG2286">
        <v>30</v>
      </c>
      <c r="AH2286">
        <v>46</v>
      </c>
      <c r="AI2286" s="2">
        <f>Table__192.168.3.138DYLAgingReport[[#This Row],[NetAmount]]-Table__192.168.3.138DYLAgingReport[[#This Row],[Paid]]</f>
        <v>1682000</v>
      </c>
    </row>
    <row r="2287" spans="1:35">
      <c r="A2287" t="s">
        <v>4674</v>
      </c>
      <c r="B2287" s="1">
        <v>41261</v>
      </c>
      <c r="C2287" s="1">
        <v>41306</v>
      </c>
      <c r="D2287" t="s">
        <v>183</v>
      </c>
      <c r="E2287">
        <v>100300</v>
      </c>
      <c r="F2287">
        <v>16048</v>
      </c>
      <c r="G2287">
        <v>0</v>
      </c>
      <c r="H2287">
        <v>0</v>
      </c>
      <c r="I2287">
        <v>7</v>
      </c>
      <c r="J2287">
        <v>116348</v>
      </c>
      <c r="K2287" t="s">
        <v>1224</v>
      </c>
      <c r="L2287" s="1">
        <v>41261</v>
      </c>
      <c r="N2287" t="s">
        <v>36</v>
      </c>
      <c r="O2287" t="s">
        <v>37</v>
      </c>
      <c r="P2287" t="s">
        <v>320</v>
      </c>
      <c r="Q2287" t="s">
        <v>39</v>
      </c>
      <c r="R2287" t="s">
        <v>40</v>
      </c>
      <c r="S2287">
        <v>0</v>
      </c>
      <c r="U2287" t="s">
        <v>41</v>
      </c>
      <c r="V2287" t="s">
        <v>42</v>
      </c>
      <c r="X2287" t="s">
        <v>74</v>
      </c>
      <c r="Y2287" t="b">
        <v>0</v>
      </c>
      <c r="Z2287" t="b">
        <v>0</v>
      </c>
      <c r="AC2287" s="1"/>
      <c r="AF2287">
        <v>0</v>
      </c>
      <c r="AG2287">
        <v>45</v>
      </c>
      <c r="AH2287">
        <v>52</v>
      </c>
      <c r="AI2287" s="2">
        <f>Table__192.168.3.138DYLAgingReport[[#This Row],[NetAmount]]-Table__192.168.3.138DYLAgingReport[[#This Row],[Paid]]</f>
        <v>116348</v>
      </c>
    </row>
    <row r="2288" spans="1:35">
      <c r="A2288" t="s">
        <v>4675</v>
      </c>
      <c r="B2288" s="1">
        <v>41253</v>
      </c>
      <c r="C2288" s="1">
        <v>41298</v>
      </c>
      <c r="D2288" t="s">
        <v>226</v>
      </c>
      <c r="E2288">
        <v>9900</v>
      </c>
      <c r="F2288">
        <v>1584</v>
      </c>
      <c r="G2288">
        <v>0</v>
      </c>
      <c r="H2288">
        <v>0</v>
      </c>
      <c r="I2288">
        <v>15</v>
      </c>
      <c r="J2288">
        <v>11484</v>
      </c>
      <c r="K2288" t="s">
        <v>4676</v>
      </c>
      <c r="L2288" s="1">
        <v>41253</v>
      </c>
      <c r="N2288" t="s">
        <v>36</v>
      </c>
      <c r="O2288" t="s">
        <v>37</v>
      </c>
      <c r="P2288" t="s">
        <v>363</v>
      </c>
      <c r="Q2288" t="s">
        <v>39</v>
      </c>
      <c r="R2288" t="s">
        <v>40</v>
      </c>
      <c r="S2288">
        <v>0</v>
      </c>
      <c r="U2288" t="s">
        <v>41</v>
      </c>
      <c r="V2288" t="s">
        <v>42</v>
      </c>
      <c r="X2288" t="s">
        <v>74</v>
      </c>
      <c r="Y2288" t="b">
        <v>0</v>
      </c>
      <c r="Z2288" t="b">
        <v>0</v>
      </c>
      <c r="AC2288" s="1"/>
      <c r="AF2288">
        <v>0</v>
      </c>
      <c r="AG2288">
        <v>45</v>
      </c>
      <c r="AH2288">
        <v>60</v>
      </c>
      <c r="AI2288" s="2">
        <f>Table__192.168.3.138DYLAgingReport[[#This Row],[NetAmount]]-Table__192.168.3.138DYLAgingReport[[#This Row],[Paid]]</f>
        <v>11484</v>
      </c>
    </row>
    <row r="2289" spans="1:35">
      <c r="A2289" t="s">
        <v>4677</v>
      </c>
      <c r="B2289" s="1">
        <v>41272</v>
      </c>
      <c r="C2289" s="1">
        <v>41317</v>
      </c>
      <c r="D2289" t="s">
        <v>173</v>
      </c>
      <c r="E2289">
        <v>11000</v>
      </c>
      <c r="F2289">
        <v>1760</v>
      </c>
      <c r="G2289">
        <v>0</v>
      </c>
      <c r="H2289">
        <v>0</v>
      </c>
      <c r="I2289">
        <v>-4</v>
      </c>
      <c r="J2289">
        <v>12760</v>
      </c>
      <c r="K2289" t="s">
        <v>4678</v>
      </c>
      <c r="L2289" s="1">
        <v>41272</v>
      </c>
      <c r="N2289" t="s">
        <v>36</v>
      </c>
      <c r="O2289" t="s">
        <v>37</v>
      </c>
      <c r="P2289" t="s">
        <v>310</v>
      </c>
      <c r="Q2289" t="s">
        <v>39</v>
      </c>
      <c r="R2289" t="s">
        <v>40</v>
      </c>
      <c r="S2289">
        <v>0</v>
      </c>
      <c r="U2289" t="s">
        <v>41</v>
      </c>
      <c r="V2289" t="s">
        <v>42</v>
      </c>
      <c r="X2289" t="s">
        <v>74</v>
      </c>
      <c r="Y2289" t="b">
        <v>0</v>
      </c>
      <c r="Z2289" t="b">
        <v>0</v>
      </c>
      <c r="AC2289" s="1"/>
      <c r="AF2289">
        <v>0</v>
      </c>
      <c r="AG2289">
        <v>45</v>
      </c>
      <c r="AH2289">
        <v>41</v>
      </c>
      <c r="AI2289" s="2">
        <f>Table__192.168.3.138DYLAgingReport[[#This Row],[NetAmount]]-Table__192.168.3.138DYLAgingReport[[#This Row],[Paid]]</f>
        <v>12760</v>
      </c>
    </row>
    <row r="2290" spans="1:35">
      <c r="A2290" t="s">
        <v>4679</v>
      </c>
      <c r="B2290" s="1">
        <v>41271</v>
      </c>
      <c r="C2290" s="1">
        <v>41316</v>
      </c>
      <c r="D2290" t="s">
        <v>173</v>
      </c>
      <c r="E2290">
        <v>30000</v>
      </c>
      <c r="F2290">
        <v>4800</v>
      </c>
      <c r="G2290">
        <v>0</v>
      </c>
      <c r="H2290">
        <v>0</v>
      </c>
      <c r="I2290">
        <v>-3</v>
      </c>
      <c r="J2290">
        <v>34800</v>
      </c>
      <c r="K2290" t="s">
        <v>4680</v>
      </c>
      <c r="L2290" s="1">
        <v>41271</v>
      </c>
      <c r="N2290" t="s">
        <v>36</v>
      </c>
      <c r="O2290" t="s">
        <v>37</v>
      </c>
      <c r="P2290" t="s">
        <v>310</v>
      </c>
      <c r="Q2290" t="s">
        <v>39</v>
      </c>
      <c r="R2290" t="s">
        <v>40</v>
      </c>
      <c r="S2290">
        <v>0</v>
      </c>
      <c r="U2290" t="s">
        <v>41</v>
      </c>
      <c r="V2290" t="s">
        <v>42</v>
      </c>
      <c r="X2290" t="s">
        <v>74</v>
      </c>
      <c r="Y2290" t="b">
        <v>0</v>
      </c>
      <c r="Z2290" t="b">
        <v>0</v>
      </c>
      <c r="AC2290" s="1"/>
      <c r="AF2290">
        <v>0</v>
      </c>
      <c r="AG2290">
        <v>45</v>
      </c>
      <c r="AH2290">
        <v>42</v>
      </c>
      <c r="AI2290" s="2">
        <f>Table__192.168.3.138DYLAgingReport[[#This Row],[NetAmount]]-Table__192.168.3.138DYLAgingReport[[#This Row],[Paid]]</f>
        <v>34800</v>
      </c>
    </row>
    <row r="2291" spans="1:35">
      <c r="A2291" t="s">
        <v>4681</v>
      </c>
      <c r="B2291" s="1">
        <v>41267</v>
      </c>
      <c r="C2291" s="1">
        <v>41312</v>
      </c>
      <c r="D2291" t="s">
        <v>173</v>
      </c>
      <c r="E2291">
        <v>29510</v>
      </c>
      <c r="F2291">
        <v>4722</v>
      </c>
      <c r="G2291">
        <v>0</v>
      </c>
      <c r="H2291">
        <v>0</v>
      </c>
      <c r="I2291">
        <v>1</v>
      </c>
      <c r="J2291">
        <v>34232</v>
      </c>
      <c r="K2291" t="s">
        <v>4682</v>
      </c>
      <c r="L2291" s="1">
        <v>41267</v>
      </c>
      <c r="N2291" t="s">
        <v>36</v>
      </c>
      <c r="O2291" t="s">
        <v>37</v>
      </c>
      <c r="P2291" t="s">
        <v>310</v>
      </c>
      <c r="Q2291" t="s">
        <v>39</v>
      </c>
      <c r="R2291" t="s">
        <v>40</v>
      </c>
      <c r="S2291">
        <v>0</v>
      </c>
      <c r="U2291" t="s">
        <v>41</v>
      </c>
      <c r="V2291" t="s">
        <v>42</v>
      </c>
      <c r="X2291" t="s">
        <v>74</v>
      </c>
      <c r="Y2291" t="b">
        <v>0</v>
      </c>
      <c r="Z2291" t="b">
        <v>0</v>
      </c>
      <c r="AC2291" s="1"/>
      <c r="AF2291">
        <v>0</v>
      </c>
      <c r="AG2291">
        <v>45</v>
      </c>
      <c r="AH2291">
        <v>46</v>
      </c>
      <c r="AI2291" s="2">
        <f>Table__192.168.3.138DYLAgingReport[[#This Row],[NetAmount]]-Table__192.168.3.138DYLAgingReport[[#This Row],[Paid]]</f>
        <v>34232</v>
      </c>
    </row>
    <row r="2292" spans="1:35">
      <c r="A2292" t="s">
        <v>4683</v>
      </c>
      <c r="B2292" s="1">
        <v>41262</v>
      </c>
      <c r="C2292" s="1">
        <v>41307</v>
      </c>
      <c r="D2292" t="s">
        <v>173</v>
      </c>
      <c r="E2292">
        <v>5500</v>
      </c>
      <c r="F2292">
        <v>880</v>
      </c>
      <c r="G2292">
        <v>0</v>
      </c>
      <c r="H2292">
        <v>0</v>
      </c>
      <c r="I2292">
        <v>6</v>
      </c>
      <c r="J2292">
        <v>6380</v>
      </c>
      <c r="K2292" t="s">
        <v>4684</v>
      </c>
      <c r="L2292" s="1">
        <v>41262</v>
      </c>
      <c r="N2292" t="s">
        <v>36</v>
      </c>
      <c r="O2292" t="s">
        <v>37</v>
      </c>
      <c r="P2292" t="s">
        <v>310</v>
      </c>
      <c r="Q2292" t="s">
        <v>39</v>
      </c>
      <c r="R2292" t="s">
        <v>40</v>
      </c>
      <c r="S2292">
        <v>0</v>
      </c>
      <c r="U2292" t="s">
        <v>41</v>
      </c>
      <c r="V2292" t="s">
        <v>42</v>
      </c>
      <c r="X2292" t="s">
        <v>74</v>
      </c>
      <c r="Y2292" t="b">
        <v>0</v>
      </c>
      <c r="Z2292" t="b">
        <v>0</v>
      </c>
      <c r="AC2292" s="1"/>
      <c r="AF2292">
        <v>0</v>
      </c>
      <c r="AG2292">
        <v>45</v>
      </c>
      <c r="AH2292">
        <v>51</v>
      </c>
      <c r="AI2292" s="2">
        <f>Table__192.168.3.138DYLAgingReport[[#This Row],[NetAmount]]-Table__192.168.3.138DYLAgingReport[[#This Row],[Paid]]</f>
        <v>6380</v>
      </c>
    </row>
    <row r="2293" spans="1:35">
      <c r="A2293" t="s">
        <v>4685</v>
      </c>
      <c r="B2293" s="1">
        <v>41262</v>
      </c>
      <c r="C2293" s="1">
        <v>41307</v>
      </c>
      <c r="D2293" t="s">
        <v>209</v>
      </c>
      <c r="E2293">
        <v>792</v>
      </c>
      <c r="F2293">
        <v>0</v>
      </c>
      <c r="G2293">
        <v>0</v>
      </c>
      <c r="H2293">
        <v>0</v>
      </c>
      <c r="I2293">
        <v>6</v>
      </c>
      <c r="J2293">
        <v>792</v>
      </c>
      <c r="K2293" t="s">
        <v>4686</v>
      </c>
      <c r="L2293" s="1">
        <v>41262</v>
      </c>
      <c r="N2293" t="s">
        <v>36</v>
      </c>
      <c r="O2293" t="s">
        <v>37</v>
      </c>
      <c r="P2293" t="s">
        <v>346</v>
      </c>
      <c r="Q2293" t="s">
        <v>39</v>
      </c>
      <c r="R2293" t="s">
        <v>40</v>
      </c>
      <c r="S2293">
        <v>0</v>
      </c>
      <c r="U2293" t="s">
        <v>41</v>
      </c>
      <c r="V2293" t="s">
        <v>42</v>
      </c>
      <c r="X2293" t="s">
        <v>74</v>
      </c>
      <c r="Y2293" t="b">
        <v>0</v>
      </c>
      <c r="Z2293" t="b">
        <v>0</v>
      </c>
      <c r="AC2293" s="1"/>
      <c r="AF2293">
        <v>0</v>
      </c>
      <c r="AG2293">
        <v>45</v>
      </c>
      <c r="AH2293">
        <v>51</v>
      </c>
      <c r="AI2293" s="2">
        <f>Table__192.168.3.138DYLAgingReport[[#This Row],[NetAmount]]-Table__192.168.3.138DYLAgingReport[[#This Row],[Paid]]</f>
        <v>792</v>
      </c>
    </row>
    <row r="2294" spans="1:35">
      <c r="A2294" t="s">
        <v>4687</v>
      </c>
      <c r="B2294" s="1">
        <v>41271</v>
      </c>
      <c r="C2294" s="1">
        <v>41316</v>
      </c>
      <c r="D2294" t="s">
        <v>180</v>
      </c>
      <c r="E2294">
        <v>275861</v>
      </c>
      <c r="F2294">
        <v>44138</v>
      </c>
      <c r="G2294">
        <v>0</v>
      </c>
      <c r="H2294">
        <v>0</v>
      </c>
      <c r="I2294">
        <v>-3</v>
      </c>
      <c r="J2294">
        <v>319999</v>
      </c>
      <c r="K2294" t="s">
        <v>4688</v>
      </c>
      <c r="L2294" s="1">
        <v>41271</v>
      </c>
      <c r="N2294" t="s">
        <v>36</v>
      </c>
      <c r="O2294" t="s">
        <v>37</v>
      </c>
      <c r="P2294" t="s">
        <v>317</v>
      </c>
      <c r="Q2294" t="s">
        <v>39</v>
      </c>
      <c r="R2294" t="s">
        <v>40</v>
      </c>
      <c r="S2294">
        <v>0</v>
      </c>
      <c r="U2294" t="s">
        <v>41</v>
      </c>
      <c r="V2294" t="s">
        <v>42</v>
      </c>
      <c r="X2294" t="s">
        <v>74</v>
      </c>
      <c r="Y2294" t="b">
        <v>0</v>
      </c>
      <c r="Z2294" t="b">
        <v>0</v>
      </c>
      <c r="AC2294" s="1"/>
      <c r="AF2294">
        <v>0</v>
      </c>
      <c r="AG2294">
        <v>45</v>
      </c>
      <c r="AH2294">
        <v>42</v>
      </c>
      <c r="AI2294" s="2">
        <f>Table__192.168.3.138DYLAgingReport[[#This Row],[NetAmount]]-Table__192.168.3.138DYLAgingReport[[#This Row],[Paid]]</f>
        <v>319999</v>
      </c>
    </row>
    <row r="2295" spans="1:35">
      <c r="A2295" t="s">
        <v>4689</v>
      </c>
      <c r="B2295" s="1">
        <v>41265</v>
      </c>
      <c r="C2295" s="1">
        <v>41310</v>
      </c>
      <c r="D2295" t="s">
        <v>180</v>
      </c>
      <c r="E2295">
        <v>446168</v>
      </c>
      <c r="F2295">
        <v>71387</v>
      </c>
      <c r="G2295">
        <v>0</v>
      </c>
      <c r="H2295">
        <v>0</v>
      </c>
      <c r="I2295">
        <v>3</v>
      </c>
      <c r="J2295">
        <v>517555</v>
      </c>
      <c r="K2295" t="s">
        <v>4690</v>
      </c>
      <c r="L2295" s="1">
        <v>41265</v>
      </c>
      <c r="N2295" t="s">
        <v>36</v>
      </c>
      <c r="O2295" t="s">
        <v>37</v>
      </c>
      <c r="P2295" t="s">
        <v>317</v>
      </c>
      <c r="Q2295" t="s">
        <v>39</v>
      </c>
      <c r="R2295" t="s">
        <v>40</v>
      </c>
      <c r="S2295">
        <v>0</v>
      </c>
      <c r="U2295" t="s">
        <v>41</v>
      </c>
      <c r="V2295" t="s">
        <v>42</v>
      </c>
      <c r="X2295" t="s">
        <v>74</v>
      </c>
      <c r="Y2295" t="b">
        <v>0</v>
      </c>
      <c r="Z2295" t="b">
        <v>0</v>
      </c>
      <c r="AC2295" s="1"/>
      <c r="AF2295">
        <v>0</v>
      </c>
      <c r="AG2295">
        <v>45</v>
      </c>
      <c r="AH2295">
        <v>48</v>
      </c>
      <c r="AI2295" s="2">
        <f>Table__192.168.3.138DYLAgingReport[[#This Row],[NetAmount]]-Table__192.168.3.138DYLAgingReport[[#This Row],[Paid]]</f>
        <v>517555</v>
      </c>
    </row>
    <row r="2296" spans="1:35">
      <c r="A2296" t="s">
        <v>4691</v>
      </c>
      <c r="B2296" s="1">
        <v>41265</v>
      </c>
      <c r="C2296" s="1">
        <v>41310</v>
      </c>
      <c r="D2296" t="s">
        <v>232</v>
      </c>
      <c r="E2296">
        <v>100000</v>
      </c>
      <c r="F2296">
        <v>16000</v>
      </c>
      <c r="G2296">
        <v>0</v>
      </c>
      <c r="H2296">
        <v>0</v>
      </c>
      <c r="I2296">
        <v>3</v>
      </c>
      <c r="J2296">
        <v>116000</v>
      </c>
      <c r="K2296" t="s">
        <v>4692</v>
      </c>
      <c r="L2296" s="1">
        <v>41265</v>
      </c>
      <c r="N2296" t="s">
        <v>36</v>
      </c>
      <c r="O2296" t="s">
        <v>37</v>
      </c>
      <c r="P2296" t="s">
        <v>369</v>
      </c>
      <c r="Q2296" t="s">
        <v>39</v>
      </c>
      <c r="R2296" t="s">
        <v>40</v>
      </c>
      <c r="S2296">
        <v>0</v>
      </c>
      <c r="U2296" t="s">
        <v>41</v>
      </c>
      <c r="V2296" t="s">
        <v>42</v>
      </c>
      <c r="X2296" t="s">
        <v>74</v>
      </c>
      <c r="Y2296" t="b">
        <v>0</v>
      </c>
      <c r="Z2296" t="b">
        <v>0</v>
      </c>
      <c r="AC2296" s="1"/>
      <c r="AF2296">
        <v>0</v>
      </c>
      <c r="AG2296">
        <v>45</v>
      </c>
      <c r="AH2296">
        <v>48</v>
      </c>
      <c r="AI2296" s="2">
        <f>Table__192.168.3.138DYLAgingReport[[#This Row],[NetAmount]]-Table__192.168.3.138DYLAgingReport[[#This Row],[Paid]]</f>
        <v>116000</v>
      </c>
    </row>
    <row r="2297" spans="1:35">
      <c r="A2297" t="s">
        <v>4693</v>
      </c>
      <c r="B2297" s="1">
        <v>41260</v>
      </c>
      <c r="C2297" s="1">
        <v>41305</v>
      </c>
      <c r="D2297" t="s">
        <v>277</v>
      </c>
      <c r="E2297">
        <v>145000</v>
      </c>
      <c r="F2297">
        <v>0</v>
      </c>
      <c r="G2297">
        <v>0</v>
      </c>
      <c r="H2297">
        <v>0</v>
      </c>
      <c r="I2297">
        <v>8</v>
      </c>
      <c r="J2297">
        <v>145000</v>
      </c>
      <c r="K2297" t="s">
        <v>4190</v>
      </c>
      <c r="L2297" s="1">
        <v>41260</v>
      </c>
      <c r="N2297" t="s">
        <v>36</v>
      </c>
      <c r="O2297" t="s">
        <v>37</v>
      </c>
      <c r="P2297" t="s">
        <v>414</v>
      </c>
      <c r="Q2297" t="s">
        <v>39</v>
      </c>
      <c r="R2297" t="s">
        <v>40</v>
      </c>
      <c r="S2297">
        <v>0</v>
      </c>
      <c r="U2297" t="s">
        <v>41</v>
      </c>
      <c r="V2297" t="s">
        <v>42</v>
      </c>
      <c r="X2297" t="s">
        <v>74</v>
      </c>
      <c r="Y2297" t="b">
        <v>0</v>
      </c>
      <c r="Z2297" t="b">
        <v>0</v>
      </c>
      <c r="AC2297" s="1"/>
      <c r="AF2297">
        <v>0</v>
      </c>
      <c r="AG2297">
        <v>45</v>
      </c>
      <c r="AH2297">
        <v>53</v>
      </c>
      <c r="AI2297" s="2">
        <f>Table__192.168.3.138DYLAgingReport[[#This Row],[NetAmount]]-Table__192.168.3.138DYLAgingReport[[#This Row],[Paid]]</f>
        <v>145000</v>
      </c>
    </row>
    <row r="2298" spans="1:35">
      <c r="A2298" t="s">
        <v>4694</v>
      </c>
      <c r="B2298" s="1">
        <v>41267</v>
      </c>
      <c r="C2298" s="1">
        <v>41312</v>
      </c>
      <c r="D2298" t="s">
        <v>268</v>
      </c>
      <c r="E2298">
        <v>106500</v>
      </c>
      <c r="F2298">
        <v>17040</v>
      </c>
      <c r="G2298">
        <v>0</v>
      </c>
      <c r="H2298">
        <v>0</v>
      </c>
      <c r="I2298">
        <v>1</v>
      </c>
      <c r="J2298">
        <v>123540</v>
      </c>
      <c r="K2298" t="s">
        <v>4695</v>
      </c>
      <c r="L2298" s="1">
        <v>41267</v>
      </c>
      <c r="N2298" t="s">
        <v>36</v>
      </c>
      <c r="O2298" t="s">
        <v>37</v>
      </c>
      <c r="P2298" t="s">
        <v>405</v>
      </c>
      <c r="Q2298" t="s">
        <v>39</v>
      </c>
      <c r="R2298" t="s">
        <v>40</v>
      </c>
      <c r="S2298">
        <v>0</v>
      </c>
      <c r="U2298" t="s">
        <v>41</v>
      </c>
      <c r="V2298" t="s">
        <v>42</v>
      </c>
      <c r="X2298" t="s">
        <v>74</v>
      </c>
      <c r="Y2298" t="b">
        <v>0</v>
      </c>
      <c r="Z2298" t="b">
        <v>0</v>
      </c>
      <c r="AC2298" s="1"/>
      <c r="AF2298">
        <v>0</v>
      </c>
      <c r="AG2298">
        <v>45</v>
      </c>
      <c r="AH2298">
        <v>46</v>
      </c>
      <c r="AI2298" s="2">
        <f>Table__192.168.3.138DYLAgingReport[[#This Row],[NetAmount]]-Table__192.168.3.138DYLAgingReport[[#This Row],[Paid]]</f>
        <v>123540</v>
      </c>
    </row>
    <row r="2299" spans="1:35">
      <c r="A2299" t="s">
        <v>4696</v>
      </c>
      <c r="B2299" s="1">
        <v>41260</v>
      </c>
      <c r="C2299" s="1">
        <v>41305</v>
      </c>
      <c r="D2299" t="s">
        <v>191</v>
      </c>
      <c r="E2299">
        <v>88000</v>
      </c>
      <c r="F2299">
        <v>14080</v>
      </c>
      <c r="G2299">
        <v>0</v>
      </c>
      <c r="H2299">
        <v>0</v>
      </c>
      <c r="I2299">
        <v>8</v>
      </c>
      <c r="J2299">
        <v>102080</v>
      </c>
      <c r="K2299" t="s">
        <v>4004</v>
      </c>
      <c r="L2299" s="1">
        <v>41260</v>
      </c>
      <c r="N2299" t="s">
        <v>36</v>
      </c>
      <c r="O2299" t="s">
        <v>37</v>
      </c>
      <c r="P2299" t="s">
        <v>328</v>
      </c>
      <c r="Q2299" t="s">
        <v>39</v>
      </c>
      <c r="R2299" t="s">
        <v>40</v>
      </c>
      <c r="S2299">
        <v>0</v>
      </c>
      <c r="U2299" t="s">
        <v>41</v>
      </c>
      <c r="V2299" t="s">
        <v>42</v>
      </c>
      <c r="X2299" t="s">
        <v>74</v>
      </c>
      <c r="Y2299" t="b">
        <v>0</v>
      </c>
      <c r="Z2299" t="b">
        <v>0</v>
      </c>
      <c r="AC2299" s="1"/>
      <c r="AF2299">
        <v>0</v>
      </c>
      <c r="AG2299">
        <v>45</v>
      </c>
      <c r="AH2299">
        <v>53</v>
      </c>
      <c r="AI2299" s="2">
        <f>Table__192.168.3.138DYLAgingReport[[#This Row],[NetAmount]]-Table__192.168.3.138DYLAgingReport[[#This Row],[Paid]]</f>
        <v>102080</v>
      </c>
    </row>
    <row r="2300" spans="1:35">
      <c r="A2300" t="s">
        <v>4697</v>
      </c>
      <c r="B2300" s="1">
        <v>41267</v>
      </c>
      <c r="C2300" s="1">
        <v>41312</v>
      </c>
      <c r="D2300" t="s">
        <v>191</v>
      </c>
      <c r="E2300">
        <v>69300</v>
      </c>
      <c r="F2300">
        <v>11088</v>
      </c>
      <c r="G2300">
        <v>0</v>
      </c>
      <c r="H2300">
        <v>0</v>
      </c>
      <c r="I2300">
        <v>1</v>
      </c>
      <c r="J2300">
        <v>80388</v>
      </c>
      <c r="K2300" t="s">
        <v>4368</v>
      </c>
      <c r="L2300" s="1">
        <v>41267</v>
      </c>
      <c r="N2300" t="s">
        <v>36</v>
      </c>
      <c r="O2300" t="s">
        <v>37</v>
      </c>
      <c r="P2300" t="s">
        <v>328</v>
      </c>
      <c r="Q2300" t="s">
        <v>39</v>
      </c>
      <c r="R2300" t="s">
        <v>40</v>
      </c>
      <c r="S2300">
        <v>0</v>
      </c>
      <c r="U2300" t="s">
        <v>41</v>
      </c>
      <c r="V2300" t="s">
        <v>42</v>
      </c>
      <c r="X2300" t="s">
        <v>74</v>
      </c>
      <c r="Y2300" t="b">
        <v>0</v>
      </c>
      <c r="Z2300" t="b">
        <v>0</v>
      </c>
      <c r="AC2300" s="1"/>
      <c r="AF2300">
        <v>0</v>
      </c>
      <c r="AG2300">
        <v>45</v>
      </c>
      <c r="AH2300">
        <v>46</v>
      </c>
      <c r="AI2300" s="2">
        <f>Table__192.168.3.138DYLAgingReport[[#This Row],[NetAmount]]-Table__192.168.3.138DYLAgingReport[[#This Row],[Paid]]</f>
        <v>80388</v>
      </c>
    </row>
    <row r="2301" spans="1:35">
      <c r="A2301" t="s">
        <v>4698</v>
      </c>
      <c r="B2301" s="1">
        <v>41272</v>
      </c>
      <c r="C2301" s="1">
        <v>41317</v>
      </c>
      <c r="D2301" t="s">
        <v>289</v>
      </c>
      <c r="E2301">
        <v>121600</v>
      </c>
      <c r="F2301">
        <v>19456</v>
      </c>
      <c r="G2301">
        <v>0</v>
      </c>
      <c r="H2301">
        <v>0</v>
      </c>
      <c r="I2301">
        <v>-4</v>
      </c>
      <c r="J2301">
        <v>141056</v>
      </c>
      <c r="K2301" t="s">
        <v>4699</v>
      </c>
      <c r="L2301" s="1">
        <v>41272</v>
      </c>
      <c r="N2301" t="s">
        <v>36</v>
      </c>
      <c r="O2301" t="s">
        <v>37</v>
      </c>
      <c r="P2301" t="s">
        <v>426</v>
      </c>
      <c r="Q2301" t="s">
        <v>39</v>
      </c>
      <c r="R2301" t="s">
        <v>40</v>
      </c>
      <c r="S2301">
        <v>0</v>
      </c>
      <c r="U2301" t="s">
        <v>41</v>
      </c>
      <c r="V2301" t="s">
        <v>42</v>
      </c>
      <c r="X2301" t="s">
        <v>74</v>
      </c>
      <c r="Y2301" t="b">
        <v>0</v>
      </c>
      <c r="Z2301" t="b">
        <v>0</v>
      </c>
      <c r="AC2301" s="1"/>
      <c r="AF2301">
        <v>0</v>
      </c>
      <c r="AG2301">
        <v>45</v>
      </c>
      <c r="AH2301">
        <v>41</v>
      </c>
      <c r="AI2301" s="2">
        <f>Table__192.168.3.138DYLAgingReport[[#This Row],[NetAmount]]-Table__192.168.3.138DYLAgingReport[[#This Row],[Paid]]</f>
        <v>141056</v>
      </c>
    </row>
    <row r="2302" spans="1:35">
      <c r="A2302" t="s">
        <v>4700</v>
      </c>
      <c r="B2302" s="1">
        <v>41265</v>
      </c>
      <c r="C2302" s="1">
        <v>41310</v>
      </c>
      <c r="D2302" t="s">
        <v>225</v>
      </c>
      <c r="E2302">
        <v>28208</v>
      </c>
      <c r="F2302">
        <v>0</v>
      </c>
      <c r="G2302">
        <v>0</v>
      </c>
      <c r="H2302">
        <v>0</v>
      </c>
      <c r="I2302">
        <v>-3</v>
      </c>
      <c r="J2302">
        <v>28208</v>
      </c>
      <c r="K2302" t="s">
        <v>4701</v>
      </c>
      <c r="L2302" s="1">
        <v>41271</v>
      </c>
      <c r="N2302" t="s">
        <v>36</v>
      </c>
      <c r="O2302" t="s">
        <v>37</v>
      </c>
      <c r="P2302" t="s">
        <v>362</v>
      </c>
      <c r="Q2302" t="s">
        <v>39</v>
      </c>
      <c r="R2302" t="s">
        <v>40</v>
      </c>
      <c r="S2302">
        <v>0</v>
      </c>
      <c r="U2302" t="s">
        <v>41</v>
      </c>
      <c r="V2302" t="s">
        <v>42</v>
      </c>
      <c r="X2302" t="s">
        <v>74</v>
      </c>
      <c r="Y2302" t="b">
        <v>0</v>
      </c>
      <c r="Z2302" t="b">
        <v>0</v>
      </c>
      <c r="AC2302" s="1"/>
      <c r="AF2302">
        <v>0</v>
      </c>
      <c r="AG2302">
        <v>45</v>
      </c>
      <c r="AH2302">
        <v>42</v>
      </c>
      <c r="AI2302" s="2">
        <f>Table__192.168.3.138DYLAgingReport[[#This Row],[NetAmount]]-Table__192.168.3.138DYLAgingReport[[#This Row],[Paid]]</f>
        <v>28208</v>
      </c>
    </row>
    <row r="2303" spans="1:35">
      <c r="A2303" t="s">
        <v>4702</v>
      </c>
      <c r="B2303" s="1">
        <v>41267</v>
      </c>
      <c r="C2303" s="1">
        <v>41312</v>
      </c>
      <c r="D2303" t="s">
        <v>203</v>
      </c>
      <c r="E2303">
        <v>56248</v>
      </c>
      <c r="F2303">
        <v>9000</v>
      </c>
      <c r="G2303">
        <v>0</v>
      </c>
      <c r="H2303">
        <v>0</v>
      </c>
      <c r="I2303">
        <v>6</v>
      </c>
      <c r="J2303">
        <v>65248</v>
      </c>
      <c r="K2303" t="s">
        <v>1179</v>
      </c>
      <c r="L2303" s="1">
        <v>41262</v>
      </c>
      <c r="N2303" t="s">
        <v>36</v>
      </c>
      <c r="O2303" t="s">
        <v>37</v>
      </c>
      <c r="P2303" t="s">
        <v>340</v>
      </c>
      <c r="Q2303" t="s">
        <v>39</v>
      </c>
      <c r="R2303" t="s">
        <v>40</v>
      </c>
      <c r="S2303">
        <v>0</v>
      </c>
      <c r="U2303" t="s">
        <v>41</v>
      </c>
      <c r="V2303" t="s">
        <v>42</v>
      </c>
      <c r="X2303" t="s">
        <v>74</v>
      </c>
      <c r="Y2303" t="b">
        <v>0</v>
      </c>
      <c r="Z2303" t="b">
        <v>0</v>
      </c>
      <c r="AC2303" s="1"/>
      <c r="AF2303">
        <v>0</v>
      </c>
      <c r="AG2303">
        <v>45</v>
      </c>
      <c r="AH2303">
        <v>51</v>
      </c>
      <c r="AI2303" s="2">
        <f>Table__192.168.3.138DYLAgingReport[[#This Row],[NetAmount]]-Table__192.168.3.138DYLAgingReport[[#This Row],[Paid]]</f>
        <v>65248</v>
      </c>
    </row>
    <row r="2304" spans="1:35">
      <c r="A2304" t="s">
        <v>4703</v>
      </c>
      <c r="B2304" s="1">
        <v>41271</v>
      </c>
      <c r="C2304" s="1">
        <v>41316</v>
      </c>
      <c r="D2304" t="s">
        <v>243</v>
      </c>
      <c r="E2304">
        <v>83282</v>
      </c>
      <c r="F2304">
        <v>0</v>
      </c>
      <c r="G2304">
        <v>0</v>
      </c>
      <c r="H2304">
        <v>0</v>
      </c>
      <c r="I2304">
        <v>-4</v>
      </c>
      <c r="J2304">
        <v>83282</v>
      </c>
      <c r="K2304" t="s">
        <v>4621</v>
      </c>
      <c r="L2304" s="1">
        <v>41272</v>
      </c>
      <c r="N2304" t="s">
        <v>36</v>
      </c>
      <c r="O2304" t="s">
        <v>37</v>
      </c>
      <c r="P2304" t="s">
        <v>380</v>
      </c>
      <c r="Q2304" t="s">
        <v>39</v>
      </c>
      <c r="R2304" t="s">
        <v>40</v>
      </c>
      <c r="S2304">
        <v>0</v>
      </c>
      <c r="U2304" t="s">
        <v>41</v>
      </c>
      <c r="V2304" t="s">
        <v>42</v>
      </c>
      <c r="X2304" t="s">
        <v>74</v>
      </c>
      <c r="Y2304" t="b">
        <v>0</v>
      </c>
      <c r="Z2304" t="b">
        <v>0</v>
      </c>
      <c r="AC2304" s="1"/>
      <c r="AF2304">
        <v>0</v>
      </c>
      <c r="AG2304">
        <v>45</v>
      </c>
      <c r="AH2304">
        <v>41</v>
      </c>
      <c r="AI2304" s="2">
        <f>Table__192.168.3.138DYLAgingReport[[#This Row],[NetAmount]]-Table__192.168.3.138DYLAgingReport[[#This Row],[Paid]]</f>
        <v>83282</v>
      </c>
    </row>
    <row r="2305" spans="1:35">
      <c r="A2305" t="s">
        <v>4704</v>
      </c>
      <c r="B2305" s="1">
        <v>41247</v>
      </c>
      <c r="C2305" s="1">
        <v>41292</v>
      </c>
      <c r="D2305" t="s">
        <v>257</v>
      </c>
      <c r="E2305">
        <v>2550</v>
      </c>
      <c r="F2305">
        <v>408</v>
      </c>
      <c r="G2305">
        <v>0</v>
      </c>
      <c r="H2305">
        <v>0</v>
      </c>
      <c r="I2305">
        <v>8</v>
      </c>
      <c r="J2305">
        <v>2958</v>
      </c>
      <c r="K2305" t="s">
        <v>991</v>
      </c>
      <c r="L2305" s="1">
        <v>41260</v>
      </c>
      <c r="N2305" t="s">
        <v>36</v>
      </c>
      <c r="O2305" t="s">
        <v>37</v>
      </c>
      <c r="P2305" t="s">
        <v>394</v>
      </c>
      <c r="Q2305" t="s">
        <v>39</v>
      </c>
      <c r="R2305" t="s">
        <v>40</v>
      </c>
      <c r="S2305">
        <v>0</v>
      </c>
      <c r="U2305" t="s">
        <v>41</v>
      </c>
      <c r="V2305" t="s">
        <v>42</v>
      </c>
      <c r="X2305" t="s">
        <v>74</v>
      </c>
      <c r="Y2305" t="b">
        <v>0</v>
      </c>
      <c r="Z2305" t="b">
        <v>0</v>
      </c>
      <c r="AC2305" s="1"/>
      <c r="AF2305">
        <v>0</v>
      </c>
      <c r="AG2305">
        <v>45</v>
      </c>
      <c r="AH2305">
        <v>53</v>
      </c>
      <c r="AI2305" s="2">
        <f>Table__192.168.3.138DYLAgingReport[[#This Row],[NetAmount]]-Table__192.168.3.138DYLAgingReport[[#This Row],[Paid]]</f>
        <v>2958</v>
      </c>
    </row>
    <row r="2306" spans="1:35">
      <c r="A2306" t="s">
        <v>4705</v>
      </c>
      <c r="B2306" s="1">
        <v>41261</v>
      </c>
      <c r="C2306" s="1">
        <v>41306</v>
      </c>
      <c r="D2306" t="s">
        <v>287</v>
      </c>
      <c r="E2306">
        <v>40423</v>
      </c>
      <c r="F2306">
        <v>6468</v>
      </c>
      <c r="G2306">
        <v>0</v>
      </c>
      <c r="H2306">
        <v>0</v>
      </c>
      <c r="I2306">
        <v>12</v>
      </c>
      <c r="J2306">
        <v>46891</v>
      </c>
      <c r="K2306" t="s">
        <v>3988</v>
      </c>
      <c r="L2306" s="1">
        <v>41256</v>
      </c>
      <c r="N2306" t="s">
        <v>36</v>
      </c>
      <c r="O2306" t="s">
        <v>37</v>
      </c>
      <c r="P2306" t="s">
        <v>424</v>
      </c>
      <c r="Q2306" t="s">
        <v>39</v>
      </c>
      <c r="R2306" t="s">
        <v>40</v>
      </c>
      <c r="S2306">
        <v>0</v>
      </c>
      <c r="U2306" t="s">
        <v>41</v>
      </c>
      <c r="V2306" t="s">
        <v>42</v>
      </c>
      <c r="X2306" t="s">
        <v>74</v>
      </c>
      <c r="Y2306" t="b">
        <v>0</v>
      </c>
      <c r="Z2306" t="b">
        <v>0</v>
      </c>
      <c r="AC2306" s="1"/>
      <c r="AF2306">
        <v>0</v>
      </c>
      <c r="AG2306">
        <v>45</v>
      </c>
      <c r="AH2306">
        <v>57</v>
      </c>
      <c r="AI2306" s="2">
        <f>Table__192.168.3.138DYLAgingReport[[#This Row],[NetAmount]]-Table__192.168.3.138DYLAgingReport[[#This Row],[Paid]]</f>
        <v>46891</v>
      </c>
    </row>
    <row r="2307" spans="1:35">
      <c r="A2307" t="s">
        <v>4706</v>
      </c>
      <c r="B2307" s="1">
        <v>41267</v>
      </c>
      <c r="C2307" s="1">
        <v>41312</v>
      </c>
      <c r="D2307" t="s">
        <v>250</v>
      </c>
      <c r="E2307">
        <v>673200</v>
      </c>
      <c r="F2307">
        <v>107712</v>
      </c>
      <c r="G2307">
        <v>0</v>
      </c>
      <c r="H2307">
        <v>0</v>
      </c>
      <c r="I2307">
        <v>1</v>
      </c>
      <c r="J2307">
        <v>780912</v>
      </c>
      <c r="K2307" t="s">
        <v>4368</v>
      </c>
      <c r="L2307" s="1">
        <v>41267</v>
      </c>
      <c r="N2307" t="s">
        <v>36</v>
      </c>
      <c r="O2307" t="s">
        <v>37</v>
      </c>
      <c r="P2307" t="s">
        <v>387</v>
      </c>
      <c r="Q2307" t="s">
        <v>39</v>
      </c>
      <c r="R2307" t="s">
        <v>40</v>
      </c>
      <c r="S2307">
        <v>0</v>
      </c>
      <c r="U2307" t="s">
        <v>41</v>
      </c>
      <c r="V2307" t="s">
        <v>42</v>
      </c>
      <c r="X2307" t="s">
        <v>74</v>
      </c>
      <c r="Y2307" t="b">
        <v>0</v>
      </c>
      <c r="Z2307" t="b">
        <v>0</v>
      </c>
      <c r="AB2307" t="s">
        <v>4707</v>
      </c>
      <c r="AC2307" s="1"/>
      <c r="AF2307">
        <v>0</v>
      </c>
      <c r="AG2307">
        <v>45</v>
      </c>
      <c r="AH2307">
        <v>46</v>
      </c>
      <c r="AI2307" s="2">
        <f>Table__192.168.3.138DYLAgingReport[[#This Row],[NetAmount]]-Table__192.168.3.138DYLAgingReport[[#This Row],[Paid]]</f>
        <v>780912</v>
      </c>
    </row>
    <row r="2308" spans="1:35">
      <c r="A2308" t="s">
        <v>4708</v>
      </c>
      <c r="B2308" s="1">
        <v>41261</v>
      </c>
      <c r="C2308" s="1">
        <v>41306</v>
      </c>
      <c r="D2308" t="s">
        <v>250</v>
      </c>
      <c r="E2308">
        <v>78600</v>
      </c>
      <c r="F2308">
        <v>12576</v>
      </c>
      <c r="G2308">
        <v>0</v>
      </c>
      <c r="H2308">
        <v>0</v>
      </c>
      <c r="I2308">
        <v>10</v>
      </c>
      <c r="J2308">
        <v>91176</v>
      </c>
      <c r="K2308" t="s">
        <v>2624</v>
      </c>
      <c r="L2308" s="1">
        <v>41258</v>
      </c>
      <c r="N2308" t="s">
        <v>36</v>
      </c>
      <c r="O2308" t="s">
        <v>37</v>
      </c>
      <c r="P2308" t="s">
        <v>387</v>
      </c>
      <c r="Q2308" t="s">
        <v>39</v>
      </c>
      <c r="R2308" t="s">
        <v>40</v>
      </c>
      <c r="S2308">
        <v>0</v>
      </c>
      <c r="U2308" t="s">
        <v>41</v>
      </c>
      <c r="V2308" t="s">
        <v>42</v>
      </c>
      <c r="X2308" t="s">
        <v>74</v>
      </c>
      <c r="Y2308" t="b">
        <v>0</v>
      </c>
      <c r="Z2308" t="b">
        <v>0</v>
      </c>
      <c r="AB2308" t="s">
        <v>4707</v>
      </c>
      <c r="AC2308" s="1"/>
      <c r="AF2308">
        <v>0</v>
      </c>
      <c r="AG2308">
        <v>45</v>
      </c>
      <c r="AH2308">
        <v>55</v>
      </c>
      <c r="AI2308" s="2">
        <f>Table__192.168.3.138DYLAgingReport[[#This Row],[NetAmount]]-Table__192.168.3.138DYLAgingReport[[#This Row],[Paid]]</f>
        <v>91176</v>
      </c>
    </row>
    <row r="2309" spans="1:35">
      <c r="A2309" t="s">
        <v>4709</v>
      </c>
      <c r="B2309" s="1">
        <v>41261</v>
      </c>
      <c r="C2309" s="1">
        <v>41306</v>
      </c>
      <c r="D2309" t="s">
        <v>250</v>
      </c>
      <c r="E2309">
        <v>60000</v>
      </c>
      <c r="F2309">
        <v>9600</v>
      </c>
      <c r="G2309">
        <v>0</v>
      </c>
      <c r="H2309">
        <v>0</v>
      </c>
      <c r="I2309">
        <v>10</v>
      </c>
      <c r="J2309">
        <v>69600</v>
      </c>
      <c r="K2309" t="s">
        <v>1047</v>
      </c>
      <c r="L2309" s="1">
        <v>41258</v>
      </c>
      <c r="N2309" t="s">
        <v>36</v>
      </c>
      <c r="O2309" t="s">
        <v>37</v>
      </c>
      <c r="P2309" t="s">
        <v>387</v>
      </c>
      <c r="Q2309" t="s">
        <v>39</v>
      </c>
      <c r="R2309" t="s">
        <v>40</v>
      </c>
      <c r="S2309">
        <v>0</v>
      </c>
      <c r="U2309" t="s">
        <v>41</v>
      </c>
      <c r="V2309" t="s">
        <v>42</v>
      </c>
      <c r="X2309" t="s">
        <v>74</v>
      </c>
      <c r="Y2309" t="b">
        <v>0</v>
      </c>
      <c r="Z2309" t="b">
        <v>0</v>
      </c>
      <c r="AB2309" t="s">
        <v>4707</v>
      </c>
      <c r="AC2309" s="1"/>
      <c r="AF2309">
        <v>0</v>
      </c>
      <c r="AG2309">
        <v>45</v>
      </c>
      <c r="AH2309">
        <v>55</v>
      </c>
      <c r="AI2309" s="2">
        <f>Table__192.168.3.138DYLAgingReport[[#This Row],[NetAmount]]-Table__192.168.3.138DYLAgingReport[[#This Row],[Paid]]</f>
        <v>69600</v>
      </c>
    </row>
    <row r="2310" spans="1:35">
      <c r="A2310" t="s">
        <v>4710</v>
      </c>
      <c r="B2310" s="1">
        <v>41267</v>
      </c>
      <c r="C2310" s="1">
        <v>41312</v>
      </c>
      <c r="D2310" t="s">
        <v>287</v>
      </c>
      <c r="E2310">
        <v>88500</v>
      </c>
      <c r="F2310">
        <v>14160</v>
      </c>
      <c r="G2310">
        <v>0</v>
      </c>
      <c r="H2310">
        <v>0</v>
      </c>
      <c r="I2310">
        <v>11</v>
      </c>
      <c r="J2310">
        <v>102660</v>
      </c>
      <c r="K2310" t="s">
        <v>1250</v>
      </c>
      <c r="L2310" s="1">
        <v>41257</v>
      </c>
      <c r="N2310" t="s">
        <v>36</v>
      </c>
      <c r="O2310" t="s">
        <v>37</v>
      </c>
      <c r="P2310" t="s">
        <v>424</v>
      </c>
      <c r="Q2310" t="s">
        <v>39</v>
      </c>
      <c r="R2310" t="s">
        <v>40</v>
      </c>
      <c r="S2310">
        <v>0</v>
      </c>
      <c r="U2310" t="s">
        <v>41</v>
      </c>
      <c r="V2310" t="s">
        <v>42</v>
      </c>
      <c r="X2310" t="s">
        <v>74</v>
      </c>
      <c r="Y2310" t="b">
        <v>0</v>
      </c>
      <c r="Z2310" t="b">
        <v>0</v>
      </c>
      <c r="AC2310" s="1"/>
      <c r="AF2310">
        <v>0</v>
      </c>
      <c r="AG2310">
        <v>45</v>
      </c>
      <c r="AH2310">
        <v>56</v>
      </c>
      <c r="AI2310" s="2">
        <f>Table__192.168.3.138DYLAgingReport[[#This Row],[NetAmount]]-Table__192.168.3.138DYLAgingReport[[#This Row],[Paid]]</f>
        <v>102660</v>
      </c>
    </row>
    <row r="2311" spans="1:35">
      <c r="A2311" t="s">
        <v>4711</v>
      </c>
      <c r="B2311" s="1">
        <v>41260</v>
      </c>
      <c r="C2311" s="1">
        <v>41305</v>
      </c>
      <c r="D2311" t="s">
        <v>227</v>
      </c>
      <c r="E2311">
        <v>105750</v>
      </c>
      <c r="F2311">
        <v>16920</v>
      </c>
      <c r="G2311">
        <v>0</v>
      </c>
      <c r="H2311">
        <v>0</v>
      </c>
      <c r="I2311">
        <v>8</v>
      </c>
      <c r="J2311">
        <v>122670</v>
      </c>
      <c r="K2311" t="s">
        <v>4712</v>
      </c>
      <c r="L2311" s="1">
        <v>41260</v>
      </c>
      <c r="N2311" t="s">
        <v>36</v>
      </c>
      <c r="O2311" t="s">
        <v>37</v>
      </c>
      <c r="P2311" t="s">
        <v>364</v>
      </c>
      <c r="Q2311" t="s">
        <v>39</v>
      </c>
      <c r="R2311" t="s">
        <v>40</v>
      </c>
      <c r="S2311">
        <v>0</v>
      </c>
      <c r="U2311" t="s">
        <v>41</v>
      </c>
      <c r="V2311" t="s">
        <v>42</v>
      </c>
      <c r="X2311" t="s">
        <v>74</v>
      </c>
      <c r="Y2311" t="b">
        <v>0</v>
      </c>
      <c r="Z2311" t="b">
        <v>0</v>
      </c>
      <c r="AC2311" s="1"/>
      <c r="AF2311">
        <v>0</v>
      </c>
      <c r="AG2311">
        <v>45</v>
      </c>
      <c r="AH2311">
        <v>53</v>
      </c>
      <c r="AI2311" s="2">
        <f>Table__192.168.3.138DYLAgingReport[[#This Row],[NetAmount]]-Table__192.168.3.138DYLAgingReport[[#This Row],[Paid]]</f>
        <v>122670</v>
      </c>
    </row>
    <row r="2312" spans="1:35">
      <c r="A2312" t="s">
        <v>4713</v>
      </c>
      <c r="B2312" s="1">
        <v>41271</v>
      </c>
      <c r="C2312" s="1">
        <v>41316</v>
      </c>
      <c r="D2312" t="s">
        <v>227</v>
      </c>
      <c r="E2312">
        <v>154000</v>
      </c>
      <c r="F2312">
        <v>24640</v>
      </c>
      <c r="G2312">
        <v>0</v>
      </c>
      <c r="H2312">
        <v>0</v>
      </c>
      <c r="I2312">
        <v>-2</v>
      </c>
      <c r="J2312">
        <v>178640</v>
      </c>
      <c r="K2312" t="s">
        <v>4714</v>
      </c>
      <c r="L2312" s="1">
        <v>41270</v>
      </c>
      <c r="N2312" t="s">
        <v>36</v>
      </c>
      <c r="O2312" t="s">
        <v>37</v>
      </c>
      <c r="P2312" t="s">
        <v>364</v>
      </c>
      <c r="Q2312" t="s">
        <v>39</v>
      </c>
      <c r="R2312" t="s">
        <v>40</v>
      </c>
      <c r="S2312">
        <v>0</v>
      </c>
      <c r="U2312" t="s">
        <v>41</v>
      </c>
      <c r="V2312" t="s">
        <v>42</v>
      </c>
      <c r="X2312" t="s">
        <v>74</v>
      </c>
      <c r="Y2312" t="b">
        <v>0</v>
      </c>
      <c r="Z2312" t="b">
        <v>0</v>
      </c>
      <c r="AC2312" s="1"/>
      <c r="AF2312">
        <v>0</v>
      </c>
      <c r="AG2312">
        <v>45</v>
      </c>
      <c r="AH2312">
        <v>43</v>
      </c>
      <c r="AI2312" s="2">
        <f>Table__192.168.3.138DYLAgingReport[[#This Row],[NetAmount]]-Table__192.168.3.138DYLAgingReport[[#This Row],[Paid]]</f>
        <v>178640</v>
      </c>
    </row>
    <row r="2313" spans="1:35">
      <c r="A2313" t="s">
        <v>4715</v>
      </c>
      <c r="B2313" s="1">
        <v>41264</v>
      </c>
      <c r="C2313" s="1">
        <v>41309</v>
      </c>
      <c r="D2313" t="s">
        <v>258</v>
      </c>
      <c r="E2313">
        <v>54420</v>
      </c>
      <c r="F2313">
        <v>8707</v>
      </c>
      <c r="G2313">
        <v>0</v>
      </c>
      <c r="H2313">
        <v>0</v>
      </c>
      <c r="I2313">
        <v>5</v>
      </c>
      <c r="J2313">
        <v>63127</v>
      </c>
      <c r="K2313" t="s">
        <v>4716</v>
      </c>
      <c r="L2313" s="1">
        <v>41263</v>
      </c>
      <c r="N2313" t="s">
        <v>36</v>
      </c>
      <c r="O2313" t="s">
        <v>37</v>
      </c>
      <c r="P2313" t="s">
        <v>395</v>
      </c>
      <c r="Q2313" t="s">
        <v>39</v>
      </c>
      <c r="R2313" t="s">
        <v>40</v>
      </c>
      <c r="S2313">
        <v>0</v>
      </c>
      <c r="U2313" t="s">
        <v>41</v>
      </c>
      <c r="V2313" t="s">
        <v>42</v>
      </c>
      <c r="X2313" t="s">
        <v>74</v>
      </c>
      <c r="Y2313" t="b">
        <v>0</v>
      </c>
      <c r="Z2313" t="b">
        <v>0</v>
      </c>
      <c r="AC2313" s="1"/>
      <c r="AF2313">
        <v>0</v>
      </c>
      <c r="AG2313">
        <v>45</v>
      </c>
      <c r="AH2313">
        <v>50</v>
      </c>
      <c r="AI2313" s="2">
        <f>Table__192.168.3.138DYLAgingReport[[#This Row],[NetAmount]]-Table__192.168.3.138DYLAgingReport[[#This Row],[Paid]]</f>
        <v>63127</v>
      </c>
    </row>
    <row r="2314" spans="1:35">
      <c r="A2314" t="s">
        <v>4717</v>
      </c>
      <c r="B2314" s="1">
        <v>41264</v>
      </c>
      <c r="C2314" s="1">
        <v>41309</v>
      </c>
      <c r="D2314" t="s">
        <v>258</v>
      </c>
      <c r="E2314">
        <v>61220</v>
      </c>
      <c r="F2314">
        <v>9795</v>
      </c>
      <c r="G2314">
        <v>0</v>
      </c>
      <c r="H2314">
        <v>0</v>
      </c>
      <c r="I2314">
        <v>4</v>
      </c>
      <c r="J2314">
        <v>71015</v>
      </c>
      <c r="K2314" t="s">
        <v>1234</v>
      </c>
      <c r="L2314" s="1">
        <v>41264</v>
      </c>
      <c r="N2314" t="s">
        <v>36</v>
      </c>
      <c r="O2314" t="s">
        <v>37</v>
      </c>
      <c r="P2314" t="s">
        <v>395</v>
      </c>
      <c r="Q2314" t="s">
        <v>39</v>
      </c>
      <c r="R2314" t="s">
        <v>40</v>
      </c>
      <c r="S2314">
        <v>0</v>
      </c>
      <c r="U2314" t="s">
        <v>41</v>
      </c>
      <c r="V2314" t="s">
        <v>42</v>
      </c>
      <c r="X2314" t="s">
        <v>74</v>
      </c>
      <c r="Y2314" t="b">
        <v>0</v>
      </c>
      <c r="Z2314" t="b">
        <v>0</v>
      </c>
      <c r="AC2314" s="1"/>
      <c r="AF2314">
        <v>0</v>
      </c>
      <c r="AG2314">
        <v>45</v>
      </c>
      <c r="AH2314">
        <v>49</v>
      </c>
      <c r="AI2314" s="2">
        <f>Table__192.168.3.138DYLAgingReport[[#This Row],[NetAmount]]-Table__192.168.3.138DYLAgingReport[[#This Row],[Paid]]</f>
        <v>71015</v>
      </c>
    </row>
    <row r="2315" spans="1:35">
      <c r="A2315" t="s">
        <v>4718</v>
      </c>
      <c r="B2315" s="1">
        <v>41263</v>
      </c>
      <c r="C2315" s="1">
        <v>41293</v>
      </c>
      <c r="D2315" t="s">
        <v>181</v>
      </c>
      <c r="E2315">
        <v>42000</v>
      </c>
      <c r="F2315">
        <v>6720</v>
      </c>
      <c r="G2315">
        <v>0</v>
      </c>
      <c r="H2315">
        <v>0</v>
      </c>
      <c r="I2315">
        <v>27</v>
      </c>
      <c r="J2315">
        <v>48720</v>
      </c>
      <c r="K2315" t="s">
        <v>4719</v>
      </c>
      <c r="L2315" s="1">
        <v>41256</v>
      </c>
      <c r="N2315" t="s">
        <v>36</v>
      </c>
      <c r="O2315" t="s">
        <v>37</v>
      </c>
      <c r="P2315" t="s">
        <v>318</v>
      </c>
      <c r="Q2315" t="s">
        <v>39</v>
      </c>
      <c r="R2315" t="s">
        <v>40</v>
      </c>
      <c r="S2315">
        <v>0</v>
      </c>
      <c r="U2315" t="s">
        <v>41</v>
      </c>
      <c r="V2315" t="s">
        <v>42</v>
      </c>
      <c r="X2315" t="s">
        <v>74</v>
      </c>
      <c r="Y2315" t="b">
        <v>0</v>
      </c>
      <c r="Z2315" t="b">
        <v>0</v>
      </c>
      <c r="AC2315" s="1"/>
      <c r="AF2315">
        <v>0</v>
      </c>
      <c r="AG2315">
        <v>30</v>
      </c>
      <c r="AH2315">
        <v>57</v>
      </c>
      <c r="AI2315" s="2">
        <f>Table__192.168.3.138DYLAgingReport[[#This Row],[NetAmount]]-Table__192.168.3.138DYLAgingReport[[#This Row],[Paid]]</f>
        <v>48720</v>
      </c>
    </row>
    <row r="2316" spans="1:35">
      <c r="A2316" t="s">
        <v>4720</v>
      </c>
      <c r="B2316" s="1">
        <v>41267</v>
      </c>
      <c r="C2316" s="1">
        <v>41297</v>
      </c>
      <c r="D2316" t="s">
        <v>181</v>
      </c>
      <c r="E2316">
        <v>41760</v>
      </c>
      <c r="F2316">
        <v>6682</v>
      </c>
      <c r="G2316">
        <v>0</v>
      </c>
      <c r="H2316">
        <v>0</v>
      </c>
      <c r="I2316">
        <v>22</v>
      </c>
      <c r="J2316">
        <v>48442</v>
      </c>
      <c r="K2316" t="s">
        <v>4721</v>
      </c>
      <c r="L2316" s="1">
        <v>41261</v>
      </c>
      <c r="N2316" t="s">
        <v>36</v>
      </c>
      <c r="O2316" t="s">
        <v>37</v>
      </c>
      <c r="P2316" t="s">
        <v>318</v>
      </c>
      <c r="Q2316" t="s">
        <v>39</v>
      </c>
      <c r="R2316" t="s">
        <v>40</v>
      </c>
      <c r="S2316">
        <v>0</v>
      </c>
      <c r="U2316" t="s">
        <v>41</v>
      </c>
      <c r="V2316" t="s">
        <v>42</v>
      </c>
      <c r="X2316" t="s">
        <v>74</v>
      </c>
      <c r="Y2316" t="b">
        <v>0</v>
      </c>
      <c r="Z2316" t="b">
        <v>0</v>
      </c>
      <c r="AC2316" s="1"/>
      <c r="AF2316">
        <v>0</v>
      </c>
      <c r="AG2316">
        <v>30</v>
      </c>
      <c r="AH2316">
        <v>52</v>
      </c>
      <c r="AI2316" s="2">
        <f>Table__192.168.3.138DYLAgingReport[[#This Row],[NetAmount]]-Table__192.168.3.138DYLAgingReport[[#This Row],[Paid]]</f>
        <v>48442</v>
      </c>
    </row>
    <row r="2317" spans="1:35">
      <c r="A2317" t="s">
        <v>4722</v>
      </c>
      <c r="B2317" s="1">
        <v>41274</v>
      </c>
      <c r="C2317" s="1">
        <v>41319</v>
      </c>
      <c r="D2317" t="s">
        <v>293</v>
      </c>
      <c r="E2317">
        <v>68000</v>
      </c>
      <c r="F2317">
        <v>10880</v>
      </c>
      <c r="G2317">
        <v>0</v>
      </c>
      <c r="H2317">
        <v>0</v>
      </c>
      <c r="I2317">
        <v>110</v>
      </c>
      <c r="J2317">
        <v>78880</v>
      </c>
      <c r="K2317" t="s">
        <v>4546</v>
      </c>
      <c r="L2317" s="1">
        <v>41158</v>
      </c>
      <c r="N2317" t="s">
        <v>36</v>
      </c>
      <c r="O2317" t="s">
        <v>37</v>
      </c>
      <c r="P2317" t="s">
        <v>430</v>
      </c>
      <c r="Q2317" t="s">
        <v>39</v>
      </c>
      <c r="R2317" t="s">
        <v>40</v>
      </c>
      <c r="S2317">
        <v>0</v>
      </c>
      <c r="U2317" t="s">
        <v>41</v>
      </c>
      <c r="V2317" t="s">
        <v>42</v>
      </c>
      <c r="X2317" t="s">
        <v>74</v>
      </c>
      <c r="Y2317" t="b">
        <v>0</v>
      </c>
      <c r="Z2317" t="b">
        <v>0</v>
      </c>
      <c r="AB2317" t="s">
        <v>3689</v>
      </c>
      <c r="AC2317" s="1">
        <v>41283</v>
      </c>
      <c r="AE2317" t="s">
        <v>3146</v>
      </c>
      <c r="AF2317">
        <v>0</v>
      </c>
      <c r="AG2317">
        <v>45</v>
      </c>
      <c r="AH2317">
        <v>155</v>
      </c>
      <c r="AI2317" s="2">
        <f>Table__192.168.3.138DYLAgingReport[[#This Row],[NetAmount]]-Table__192.168.3.138DYLAgingReport[[#This Row],[Paid]]</f>
        <v>78880</v>
      </c>
    </row>
    <row r="2318" spans="1:35">
      <c r="A2318" t="s">
        <v>4723</v>
      </c>
      <c r="B2318" s="1">
        <v>41235</v>
      </c>
      <c r="C2318" s="1">
        <v>41280</v>
      </c>
      <c r="D2318" t="s">
        <v>291</v>
      </c>
      <c r="E2318">
        <v>19250</v>
      </c>
      <c r="F2318">
        <v>3080</v>
      </c>
      <c r="G2318">
        <v>0</v>
      </c>
      <c r="H2318">
        <v>0</v>
      </c>
      <c r="I2318">
        <v>35</v>
      </c>
      <c r="J2318">
        <v>22330</v>
      </c>
      <c r="K2318" t="s">
        <v>4724</v>
      </c>
      <c r="L2318" s="1">
        <v>41233</v>
      </c>
      <c r="N2318" t="s">
        <v>36</v>
      </c>
      <c r="O2318" t="s">
        <v>37</v>
      </c>
      <c r="P2318" t="s">
        <v>428</v>
      </c>
      <c r="Q2318" t="s">
        <v>39</v>
      </c>
      <c r="R2318" t="s">
        <v>40</v>
      </c>
      <c r="S2318">
        <v>0</v>
      </c>
      <c r="U2318" t="s">
        <v>41</v>
      </c>
      <c r="V2318" t="s">
        <v>42</v>
      </c>
      <c r="X2318" t="s">
        <v>74</v>
      </c>
      <c r="Y2318" t="b">
        <v>0</v>
      </c>
      <c r="Z2318" t="b">
        <v>0</v>
      </c>
      <c r="AC2318" s="1"/>
      <c r="AF2318">
        <v>0</v>
      </c>
      <c r="AG2318">
        <v>45</v>
      </c>
      <c r="AH2318">
        <v>80</v>
      </c>
      <c r="AI2318" s="2">
        <f>Table__192.168.3.138DYLAgingReport[[#This Row],[NetAmount]]-Table__192.168.3.138DYLAgingReport[[#This Row],[Paid]]</f>
        <v>22330</v>
      </c>
    </row>
    <row r="2319" spans="1:35">
      <c r="A2319" t="s">
        <v>4725</v>
      </c>
      <c r="B2319" s="1">
        <v>41244</v>
      </c>
      <c r="C2319" s="1">
        <v>41289</v>
      </c>
      <c r="D2319" t="s">
        <v>291</v>
      </c>
      <c r="E2319">
        <v>36750</v>
      </c>
      <c r="F2319">
        <v>3720</v>
      </c>
      <c r="G2319">
        <v>0</v>
      </c>
      <c r="H2319">
        <v>0</v>
      </c>
      <c r="I2319">
        <v>35</v>
      </c>
      <c r="J2319">
        <v>26970</v>
      </c>
      <c r="K2319" t="s">
        <v>4724</v>
      </c>
      <c r="L2319" s="1">
        <v>41233</v>
      </c>
      <c r="N2319" t="s">
        <v>36</v>
      </c>
      <c r="O2319" t="s">
        <v>37</v>
      </c>
      <c r="P2319" t="s">
        <v>428</v>
      </c>
      <c r="Q2319" t="s">
        <v>39</v>
      </c>
      <c r="R2319" t="s">
        <v>40</v>
      </c>
      <c r="S2319">
        <v>0</v>
      </c>
      <c r="U2319" t="s">
        <v>41</v>
      </c>
      <c r="V2319" t="s">
        <v>42</v>
      </c>
      <c r="X2319" t="s">
        <v>74</v>
      </c>
      <c r="Y2319" t="b">
        <v>0</v>
      </c>
      <c r="Z2319" t="b">
        <v>0</v>
      </c>
      <c r="AC2319" s="1"/>
      <c r="AF2319">
        <v>0</v>
      </c>
      <c r="AG2319">
        <v>45</v>
      </c>
      <c r="AH2319">
        <v>80</v>
      </c>
      <c r="AI2319" s="2">
        <f>Table__192.168.3.138DYLAgingReport[[#This Row],[NetAmount]]-Table__192.168.3.138DYLAgingReport[[#This Row],[Paid]]</f>
        <v>26970</v>
      </c>
    </row>
    <row r="2320" spans="1:35">
      <c r="A2320" t="s">
        <v>4726</v>
      </c>
      <c r="B2320" s="1">
        <v>41216</v>
      </c>
      <c r="C2320" s="1">
        <v>41261</v>
      </c>
      <c r="D2320" t="s">
        <v>291</v>
      </c>
      <c r="E2320">
        <v>4900</v>
      </c>
      <c r="F2320">
        <v>784</v>
      </c>
      <c r="G2320">
        <v>0</v>
      </c>
      <c r="H2320">
        <v>0</v>
      </c>
      <c r="I2320">
        <v>52</v>
      </c>
      <c r="J2320">
        <v>5684</v>
      </c>
      <c r="K2320" t="s">
        <v>4727</v>
      </c>
      <c r="L2320" s="1">
        <v>41216</v>
      </c>
      <c r="N2320" t="s">
        <v>36</v>
      </c>
      <c r="O2320" t="s">
        <v>37</v>
      </c>
      <c r="P2320" t="s">
        <v>428</v>
      </c>
      <c r="Q2320" t="s">
        <v>39</v>
      </c>
      <c r="R2320" t="s">
        <v>40</v>
      </c>
      <c r="S2320">
        <v>0</v>
      </c>
      <c r="U2320" t="s">
        <v>41</v>
      </c>
      <c r="V2320" t="s">
        <v>42</v>
      </c>
      <c r="X2320" t="s">
        <v>74</v>
      </c>
      <c r="Y2320" t="b">
        <v>0</v>
      </c>
      <c r="Z2320" t="b">
        <v>0</v>
      </c>
      <c r="AC2320" s="1"/>
      <c r="AF2320">
        <v>0</v>
      </c>
      <c r="AG2320">
        <v>45</v>
      </c>
      <c r="AH2320">
        <v>97</v>
      </c>
      <c r="AI2320" s="2">
        <f>Table__192.168.3.138DYLAgingReport[[#This Row],[NetAmount]]-Table__192.168.3.138DYLAgingReport[[#This Row],[Paid]]</f>
        <v>5684</v>
      </c>
    </row>
    <row r="2321" spans="1:35">
      <c r="A2321" t="s">
        <v>4728</v>
      </c>
      <c r="B2321" s="1">
        <v>41262</v>
      </c>
      <c r="C2321" s="1">
        <v>41307</v>
      </c>
      <c r="D2321" t="s">
        <v>291</v>
      </c>
      <c r="E2321">
        <v>24600</v>
      </c>
      <c r="F2321">
        <v>3936</v>
      </c>
      <c r="G2321">
        <v>0</v>
      </c>
      <c r="H2321">
        <v>0</v>
      </c>
      <c r="I2321">
        <v>52</v>
      </c>
      <c r="J2321">
        <v>28536</v>
      </c>
      <c r="K2321" t="s">
        <v>4727</v>
      </c>
      <c r="L2321" s="1">
        <v>41216</v>
      </c>
      <c r="N2321" t="s">
        <v>36</v>
      </c>
      <c r="O2321" t="s">
        <v>37</v>
      </c>
      <c r="P2321" t="s">
        <v>428</v>
      </c>
      <c r="Q2321" t="s">
        <v>39</v>
      </c>
      <c r="R2321" t="s">
        <v>40</v>
      </c>
      <c r="S2321">
        <v>0</v>
      </c>
      <c r="U2321" t="s">
        <v>41</v>
      </c>
      <c r="V2321" t="s">
        <v>42</v>
      </c>
      <c r="X2321" t="s">
        <v>74</v>
      </c>
      <c r="Y2321" t="b">
        <v>0</v>
      </c>
      <c r="Z2321" t="b">
        <v>0</v>
      </c>
      <c r="AC2321" s="1"/>
      <c r="AF2321">
        <v>0</v>
      </c>
      <c r="AG2321">
        <v>45</v>
      </c>
      <c r="AH2321">
        <v>97</v>
      </c>
      <c r="AI2321" s="2">
        <f>Table__192.168.3.138DYLAgingReport[[#This Row],[NetAmount]]-Table__192.168.3.138DYLAgingReport[[#This Row],[Paid]]</f>
        <v>28536</v>
      </c>
    </row>
    <row r="2322" spans="1:35">
      <c r="A2322" t="s">
        <v>4729</v>
      </c>
      <c r="B2322" s="1">
        <v>41264</v>
      </c>
      <c r="C2322" s="1">
        <v>41309</v>
      </c>
      <c r="D2322" t="s">
        <v>224</v>
      </c>
      <c r="E2322">
        <v>18850</v>
      </c>
      <c r="F2322">
        <v>3016</v>
      </c>
      <c r="G2322">
        <v>0</v>
      </c>
      <c r="H2322">
        <v>0</v>
      </c>
      <c r="I2322">
        <v>17</v>
      </c>
      <c r="J2322">
        <v>21866</v>
      </c>
      <c r="K2322" t="s">
        <v>4730</v>
      </c>
      <c r="L2322" s="1">
        <v>41251</v>
      </c>
      <c r="N2322" t="s">
        <v>36</v>
      </c>
      <c r="O2322" t="s">
        <v>37</v>
      </c>
      <c r="P2322" t="s">
        <v>361</v>
      </c>
      <c r="Q2322" t="s">
        <v>39</v>
      </c>
      <c r="R2322" t="s">
        <v>40</v>
      </c>
      <c r="S2322">
        <v>0</v>
      </c>
      <c r="U2322" t="s">
        <v>41</v>
      </c>
      <c r="V2322" t="s">
        <v>42</v>
      </c>
      <c r="X2322" t="s">
        <v>74</v>
      </c>
      <c r="Y2322" t="b">
        <v>0</v>
      </c>
      <c r="Z2322" t="b">
        <v>0</v>
      </c>
      <c r="AC2322" s="1"/>
      <c r="AF2322">
        <v>0</v>
      </c>
      <c r="AG2322">
        <v>45</v>
      </c>
      <c r="AH2322">
        <v>62</v>
      </c>
      <c r="AI2322" s="2">
        <f>Table__192.168.3.138DYLAgingReport[[#This Row],[NetAmount]]-Table__192.168.3.138DYLAgingReport[[#This Row],[Paid]]</f>
        <v>21866</v>
      </c>
    </row>
    <row r="2323" spans="1:35">
      <c r="A2323" t="s">
        <v>4731</v>
      </c>
      <c r="B2323" s="1">
        <v>41261</v>
      </c>
      <c r="C2323" s="1">
        <v>41306</v>
      </c>
      <c r="D2323" t="s">
        <v>282</v>
      </c>
      <c r="E2323">
        <v>157500</v>
      </c>
      <c r="F2323">
        <v>25200</v>
      </c>
      <c r="G2323">
        <v>0</v>
      </c>
      <c r="H2323">
        <v>0</v>
      </c>
      <c r="I2323">
        <v>7</v>
      </c>
      <c r="J2323">
        <v>182700</v>
      </c>
      <c r="K2323" t="s">
        <v>1500</v>
      </c>
      <c r="L2323" s="1">
        <v>41261</v>
      </c>
      <c r="N2323" t="s">
        <v>36</v>
      </c>
      <c r="O2323" t="s">
        <v>37</v>
      </c>
      <c r="P2323" t="s">
        <v>419</v>
      </c>
      <c r="Q2323" t="s">
        <v>39</v>
      </c>
      <c r="R2323" t="s">
        <v>40</v>
      </c>
      <c r="S2323">
        <v>0</v>
      </c>
      <c r="U2323" t="s">
        <v>41</v>
      </c>
      <c r="V2323" t="s">
        <v>42</v>
      </c>
      <c r="X2323" t="s">
        <v>74</v>
      </c>
      <c r="Y2323" t="b">
        <v>0</v>
      </c>
      <c r="Z2323" t="b">
        <v>0</v>
      </c>
      <c r="AC2323" s="1"/>
      <c r="AF2323">
        <v>0</v>
      </c>
      <c r="AG2323">
        <v>45</v>
      </c>
      <c r="AH2323">
        <v>52</v>
      </c>
      <c r="AI2323" s="2">
        <f>Table__192.168.3.138DYLAgingReport[[#This Row],[NetAmount]]-Table__192.168.3.138DYLAgingReport[[#This Row],[Paid]]</f>
        <v>182700</v>
      </c>
    </row>
    <row r="2324" spans="1:35">
      <c r="A2324" t="s">
        <v>4732</v>
      </c>
      <c r="B2324" s="1">
        <v>41263</v>
      </c>
      <c r="C2324" s="1">
        <v>41308</v>
      </c>
      <c r="D2324" t="s">
        <v>282</v>
      </c>
      <c r="E2324">
        <v>225000</v>
      </c>
      <c r="F2324">
        <v>36000</v>
      </c>
      <c r="G2324">
        <v>0</v>
      </c>
      <c r="H2324">
        <v>0</v>
      </c>
      <c r="I2324">
        <v>5</v>
      </c>
      <c r="J2324">
        <v>261000</v>
      </c>
      <c r="K2324" t="s">
        <v>1088</v>
      </c>
      <c r="L2324" s="1">
        <v>41263</v>
      </c>
      <c r="N2324" t="s">
        <v>36</v>
      </c>
      <c r="O2324" t="s">
        <v>37</v>
      </c>
      <c r="P2324" t="s">
        <v>419</v>
      </c>
      <c r="Q2324" t="s">
        <v>39</v>
      </c>
      <c r="R2324" t="s">
        <v>40</v>
      </c>
      <c r="S2324">
        <v>0</v>
      </c>
      <c r="U2324" t="s">
        <v>41</v>
      </c>
      <c r="V2324" t="s">
        <v>42</v>
      </c>
      <c r="X2324" t="s">
        <v>74</v>
      </c>
      <c r="Y2324" t="b">
        <v>0</v>
      </c>
      <c r="Z2324" t="b">
        <v>0</v>
      </c>
      <c r="AC2324" s="1"/>
      <c r="AF2324">
        <v>0</v>
      </c>
      <c r="AG2324">
        <v>45</v>
      </c>
      <c r="AH2324">
        <v>50</v>
      </c>
      <c r="AI2324" s="2">
        <f>Table__192.168.3.138DYLAgingReport[[#This Row],[NetAmount]]-Table__192.168.3.138DYLAgingReport[[#This Row],[Paid]]</f>
        <v>261000</v>
      </c>
    </row>
    <row r="2325" spans="1:35">
      <c r="A2325" t="s">
        <v>4733</v>
      </c>
      <c r="B2325" s="1">
        <v>41274</v>
      </c>
      <c r="C2325" s="1">
        <v>41319</v>
      </c>
      <c r="D2325" t="s">
        <v>214</v>
      </c>
      <c r="E2325">
        <v>51956</v>
      </c>
      <c r="F2325">
        <v>0</v>
      </c>
      <c r="G2325">
        <v>0</v>
      </c>
      <c r="H2325">
        <v>0</v>
      </c>
      <c r="I2325">
        <v>-6</v>
      </c>
      <c r="J2325">
        <v>51956</v>
      </c>
      <c r="K2325" t="s">
        <v>4237</v>
      </c>
      <c r="L2325" s="1">
        <v>41274</v>
      </c>
      <c r="N2325" t="s">
        <v>36</v>
      </c>
      <c r="O2325" t="s">
        <v>37</v>
      </c>
      <c r="P2325" t="s">
        <v>351</v>
      </c>
      <c r="Q2325" t="s">
        <v>39</v>
      </c>
      <c r="R2325" t="s">
        <v>40</v>
      </c>
      <c r="S2325">
        <v>0</v>
      </c>
      <c r="U2325" t="s">
        <v>41</v>
      </c>
      <c r="V2325" t="s">
        <v>42</v>
      </c>
      <c r="X2325" t="s">
        <v>74</v>
      </c>
      <c r="Y2325" t="b">
        <v>0</v>
      </c>
      <c r="Z2325" t="b">
        <v>0</v>
      </c>
      <c r="AC2325" s="1"/>
      <c r="AF2325">
        <v>0</v>
      </c>
      <c r="AG2325">
        <v>45</v>
      </c>
      <c r="AH2325">
        <v>39</v>
      </c>
      <c r="AI2325" s="2">
        <f>Table__192.168.3.138DYLAgingReport[[#This Row],[NetAmount]]-Table__192.168.3.138DYLAgingReport[[#This Row],[Paid]]</f>
        <v>51956</v>
      </c>
    </row>
    <row r="2326" spans="1:35">
      <c r="A2326" t="s">
        <v>4734</v>
      </c>
      <c r="B2326" s="1">
        <v>41260</v>
      </c>
      <c r="C2326" s="1">
        <v>41305</v>
      </c>
      <c r="D2326" t="s">
        <v>263</v>
      </c>
      <c r="E2326">
        <v>98700</v>
      </c>
      <c r="F2326">
        <v>15792</v>
      </c>
      <c r="G2326">
        <v>0</v>
      </c>
      <c r="H2326">
        <v>0</v>
      </c>
      <c r="I2326">
        <v>8</v>
      </c>
      <c r="J2326">
        <v>114492</v>
      </c>
      <c r="K2326" t="s">
        <v>4735</v>
      </c>
      <c r="L2326" s="1">
        <v>41260</v>
      </c>
      <c r="N2326" t="s">
        <v>36</v>
      </c>
      <c r="O2326" t="s">
        <v>37</v>
      </c>
      <c r="P2326" t="s">
        <v>400</v>
      </c>
      <c r="Q2326" t="s">
        <v>39</v>
      </c>
      <c r="R2326" t="s">
        <v>40</v>
      </c>
      <c r="S2326">
        <v>0</v>
      </c>
      <c r="U2326" t="s">
        <v>41</v>
      </c>
      <c r="V2326" t="s">
        <v>42</v>
      </c>
      <c r="X2326" t="s">
        <v>74</v>
      </c>
      <c r="Y2326" t="b">
        <v>0</v>
      </c>
      <c r="Z2326" t="b">
        <v>0</v>
      </c>
      <c r="AC2326" s="1"/>
      <c r="AF2326">
        <v>0</v>
      </c>
      <c r="AG2326">
        <v>45</v>
      </c>
      <c r="AH2326">
        <v>53</v>
      </c>
      <c r="AI2326" s="2">
        <f>Table__192.168.3.138DYLAgingReport[[#This Row],[NetAmount]]-Table__192.168.3.138DYLAgingReport[[#This Row],[Paid]]</f>
        <v>114492</v>
      </c>
    </row>
    <row r="2327" spans="1:35">
      <c r="A2327" t="s">
        <v>4736</v>
      </c>
      <c r="B2327" s="1">
        <v>41259</v>
      </c>
      <c r="C2327" s="1">
        <v>41304</v>
      </c>
      <c r="D2327" t="s">
        <v>266</v>
      </c>
      <c r="E2327">
        <v>169800</v>
      </c>
      <c r="F2327">
        <v>27088</v>
      </c>
      <c r="G2327">
        <v>0</v>
      </c>
      <c r="H2327">
        <v>0</v>
      </c>
      <c r="I2327">
        <v>17</v>
      </c>
      <c r="J2327">
        <v>196388</v>
      </c>
      <c r="K2327" t="s">
        <v>4737</v>
      </c>
      <c r="L2327" s="1">
        <v>41251</v>
      </c>
      <c r="N2327" t="s">
        <v>36</v>
      </c>
      <c r="O2327" t="s">
        <v>37</v>
      </c>
      <c r="P2327" t="s">
        <v>403</v>
      </c>
      <c r="Q2327" t="s">
        <v>39</v>
      </c>
      <c r="R2327" t="s">
        <v>40</v>
      </c>
      <c r="S2327">
        <v>0</v>
      </c>
      <c r="U2327" t="s">
        <v>41</v>
      </c>
      <c r="V2327" t="s">
        <v>42</v>
      </c>
      <c r="X2327" t="s">
        <v>74</v>
      </c>
      <c r="Y2327" t="b">
        <v>0</v>
      </c>
      <c r="Z2327" t="b">
        <v>0</v>
      </c>
      <c r="AC2327" s="1"/>
      <c r="AF2327">
        <v>0</v>
      </c>
      <c r="AG2327">
        <v>45</v>
      </c>
      <c r="AH2327">
        <v>62</v>
      </c>
      <c r="AI2327" s="2">
        <f>Table__192.168.3.138DYLAgingReport[[#This Row],[NetAmount]]-Table__192.168.3.138DYLAgingReport[[#This Row],[Paid]]</f>
        <v>196388</v>
      </c>
    </row>
    <row r="2328" spans="1:35">
      <c r="A2328" t="s">
        <v>4738</v>
      </c>
      <c r="B2328" s="1">
        <v>41264</v>
      </c>
      <c r="C2328" s="1">
        <v>41309</v>
      </c>
      <c r="D2328" t="s">
        <v>280</v>
      </c>
      <c r="E2328">
        <v>6100</v>
      </c>
      <c r="F2328">
        <v>0</v>
      </c>
      <c r="G2328">
        <v>0</v>
      </c>
      <c r="H2328">
        <v>0</v>
      </c>
      <c r="I2328">
        <v>5</v>
      </c>
      <c r="J2328">
        <v>6100</v>
      </c>
      <c r="K2328" t="s">
        <v>3083</v>
      </c>
      <c r="L2328" s="1">
        <v>41263</v>
      </c>
      <c r="N2328" t="s">
        <v>36</v>
      </c>
      <c r="O2328" t="s">
        <v>37</v>
      </c>
      <c r="P2328" t="s">
        <v>417</v>
      </c>
      <c r="Q2328" t="s">
        <v>39</v>
      </c>
      <c r="R2328" t="s">
        <v>40</v>
      </c>
      <c r="S2328">
        <v>0</v>
      </c>
      <c r="U2328" t="s">
        <v>41</v>
      </c>
      <c r="V2328" t="s">
        <v>42</v>
      </c>
      <c r="X2328" t="s">
        <v>74</v>
      </c>
      <c r="Y2328" t="b">
        <v>0</v>
      </c>
      <c r="Z2328" t="b">
        <v>0</v>
      </c>
      <c r="AC2328" s="1"/>
      <c r="AF2328">
        <v>0</v>
      </c>
      <c r="AG2328">
        <v>45</v>
      </c>
      <c r="AH2328">
        <v>50</v>
      </c>
      <c r="AI2328" s="2">
        <f>Table__192.168.3.138DYLAgingReport[[#This Row],[NetAmount]]-Table__192.168.3.138DYLAgingReport[[#This Row],[Paid]]</f>
        <v>6100</v>
      </c>
    </row>
    <row r="2329" spans="1:35">
      <c r="A2329" t="s">
        <v>4739</v>
      </c>
      <c r="B2329" s="1">
        <v>41271</v>
      </c>
      <c r="C2329" s="1">
        <v>41316</v>
      </c>
      <c r="D2329" t="s">
        <v>280</v>
      </c>
      <c r="E2329">
        <v>25315</v>
      </c>
      <c r="F2329">
        <v>0</v>
      </c>
      <c r="G2329">
        <v>0</v>
      </c>
      <c r="H2329">
        <v>0</v>
      </c>
      <c r="I2329">
        <v>-3</v>
      </c>
      <c r="J2329">
        <v>25315</v>
      </c>
      <c r="K2329" t="s">
        <v>3823</v>
      </c>
      <c r="L2329" s="1">
        <v>41271</v>
      </c>
      <c r="N2329" t="s">
        <v>36</v>
      </c>
      <c r="O2329" t="s">
        <v>37</v>
      </c>
      <c r="P2329" t="s">
        <v>417</v>
      </c>
      <c r="Q2329" t="s">
        <v>39</v>
      </c>
      <c r="R2329" t="s">
        <v>40</v>
      </c>
      <c r="S2329">
        <v>0</v>
      </c>
      <c r="U2329" t="s">
        <v>41</v>
      </c>
      <c r="V2329" t="s">
        <v>42</v>
      </c>
      <c r="X2329" t="s">
        <v>74</v>
      </c>
      <c r="Y2329" t="b">
        <v>0</v>
      </c>
      <c r="Z2329" t="b">
        <v>0</v>
      </c>
      <c r="AC2329" s="1"/>
      <c r="AF2329">
        <v>0</v>
      </c>
      <c r="AG2329">
        <v>45</v>
      </c>
      <c r="AH2329">
        <v>42</v>
      </c>
      <c r="AI2329" s="2">
        <f>Table__192.168.3.138DYLAgingReport[[#This Row],[NetAmount]]-Table__192.168.3.138DYLAgingReport[[#This Row],[Paid]]</f>
        <v>25315</v>
      </c>
    </row>
    <row r="2330" spans="1:35">
      <c r="A2330" t="s">
        <v>4740</v>
      </c>
      <c r="B2330" s="1">
        <v>41268</v>
      </c>
      <c r="C2330" s="1">
        <v>41313</v>
      </c>
      <c r="D2330" t="s">
        <v>283</v>
      </c>
      <c r="E2330">
        <v>2264800</v>
      </c>
      <c r="F2330">
        <v>362368</v>
      </c>
      <c r="G2330">
        <v>0</v>
      </c>
      <c r="H2330">
        <v>0</v>
      </c>
      <c r="I2330">
        <v>6</v>
      </c>
      <c r="J2330">
        <v>2627168</v>
      </c>
      <c r="K2330" t="s">
        <v>4741</v>
      </c>
      <c r="L2330" s="1">
        <v>41262</v>
      </c>
      <c r="N2330" t="s">
        <v>36</v>
      </c>
      <c r="O2330" t="s">
        <v>37</v>
      </c>
      <c r="P2330" t="s">
        <v>420</v>
      </c>
      <c r="Q2330" t="s">
        <v>39</v>
      </c>
      <c r="R2330" t="s">
        <v>40</v>
      </c>
      <c r="S2330">
        <v>0</v>
      </c>
      <c r="U2330" t="s">
        <v>41</v>
      </c>
      <c r="V2330" t="s">
        <v>42</v>
      </c>
      <c r="X2330" t="s">
        <v>74</v>
      </c>
      <c r="Y2330" t="b">
        <v>0</v>
      </c>
      <c r="Z2330" t="b">
        <v>0</v>
      </c>
      <c r="AC2330" s="1"/>
      <c r="AF2330">
        <v>0</v>
      </c>
      <c r="AG2330">
        <v>45</v>
      </c>
      <c r="AH2330">
        <v>51</v>
      </c>
      <c r="AI2330" s="2">
        <f>Table__192.168.3.138DYLAgingReport[[#This Row],[NetAmount]]-Table__192.168.3.138DYLAgingReport[[#This Row],[Paid]]</f>
        <v>2627168</v>
      </c>
    </row>
    <row r="2331" spans="1:35">
      <c r="A2331" t="s">
        <v>4742</v>
      </c>
      <c r="B2331" s="1">
        <v>41270</v>
      </c>
      <c r="C2331" s="1">
        <v>41315</v>
      </c>
      <c r="D2331" t="s">
        <v>204</v>
      </c>
      <c r="E2331">
        <v>92000</v>
      </c>
      <c r="F2331">
        <v>14720</v>
      </c>
      <c r="G2331">
        <v>0</v>
      </c>
      <c r="H2331">
        <v>0</v>
      </c>
      <c r="I2331">
        <v>7</v>
      </c>
      <c r="J2331">
        <v>106720</v>
      </c>
      <c r="K2331" t="s">
        <v>3397</v>
      </c>
      <c r="L2331" s="1">
        <v>41261</v>
      </c>
      <c r="N2331" t="s">
        <v>36</v>
      </c>
      <c r="O2331" t="s">
        <v>37</v>
      </c>
      <c r="P2331" t="s">
        <v>341</v>
      </c>
      <c r="Q2331" t="s">
        <v>39</v>
      </c>
      <c r="R2331" t="s">
        <v>40</v>
      </c>
      <c r="S2331">
        <v>0</v>
      </c>
      <c r="U2331" t="s">
        <v>41</v>
      </c>
      <c r="V2331" t="s">
        <v>42</v>
      </c>
      <c r="X2331" t="s">
        <v>74</v>
      </c>
      <c r="Y2331" t="b">
        <v>0</v>
      </c>
      <c r="Z2331" t="b">
        <v>0</v>
      </c>
      <c r="AC2331" s="1"/>
      <c r="AF2331">
        <v>0</v>
      </c>
      <c r="AG2331">
        <v>45</v>
      </c>
      <c r="AH2331">
        <v>52</v>
      </c>
      <c r="AI2331" s="2">
        <f>Table__192.168.3.138DYLAgingReport[[#This Row],[NetAmount]]-Table__192.168.3.138DYLAgingReport[[#This Row],[Paid]]</f>
        <v>106720</v>
      </c>
    </row>
    <row r="2332" spans="1:35">
      <c r="A2332" t="s">
        <v>4743</v>
      </c>
      <c r="B2332" s="1">
        <v>41261</v>
      </c>
      <c r="C2332" s="1">
        <v>41306</v>
      </c>
      <c r="D2332" t="s">
        <v>290</v>
      </c>
      <c r="E2332">
        <v>45500</v>
      </c>
      <c r="F2332">
        <v>7280</v>
      </c>
      <c r="G2332">
        <v>0</v>
      </c>
      <c r="H2332">
        <v>0</v>
      </c>
      <c r="I2332">
        <v>7</v>
      </c>
      <c r="J2332">
        <v>52780</v>
      </c>
      <c r="K2332" t="s">
        <v>4744</v>
      </c>
      <c r="L2332" s="1">
        <v>41261</v>
      </c>
      <c r="N2332" t="s">
        <v>36</v>
      </c>
      <c r="O2332" t="s">
        <v>37</v>
      </c>
      <c r="P2332" t="s">
        <v>427</v>
      </c>
      <c r="Q2332" t="s">
        <v>39</v>
      </c>
      <c r="R2332" t="s">
        <v>40</v>
      </c>
      <c r="S2332">
        <v>0</v>
      </c>
      <c r="U2332" t="s">
        <v>41</v>
      </c>
      <c r="V2332" t="s">
        <v>42</v>
      </c>
      <c r="X2332" t="s">
        <v>74</v>
      </c>
      <c r="Y2332" t="b">
        <v>0</v>
      </c>
      <c r="Z2332" t="b">
        <v>0</v>
      </c>
      <c r="AC2332" s="1"/>
      <c r="AF2332">
        <v>0</v>
      </c>
      <c r="AG2332">
        <v>45</v>
      </c>
      <c r="AH2332">
        <v>52</v>
      </c>
      <c r="AI2332" s="2">
        <f>Table__192.168.3.138DYLAgingReport[[#This Row],[NetAmount]]-Table__192.168.3.138DYLAgingReport[[#This Row],[Paid]]</f>
        <v>52780</v>
      </c>
    </row>
    <row r="2333" spans="1:35">
      <c r="A2333" t="s">
        <v>4745</v>
      </c>
      <c r="B2333" s="1">
        <v>41261</v>
      </c>
      <c r="C2333" s="1">
        <v>41306</v>
      </c>
      <c r="D2333" t="s">
        <v>290</v>
      </c>
      <c r="E2333">
        <v>5620</v>
      </c>
      <c r="F2333">
        <v>899</v>
      </c>
      <c r="G2333">
        <v>0</v>
      </c>
      <c r="H2333">
        <v>0</v>
      </c>
      <c r="I2333">
        <v>7</v>
      </c>
      <c r="J2333">
        <v>6519</v>
      </c>
      <c r="K2333" t="s">
        <v>3603</v>
      </c>
      <c r="L2333" s="1">
        <v>41261</v>
      </c>
      <c r="N2333" t="s">
        <v>36</v>
      </c>
      <c r="O2333" t="s">
        <v>37</v>
      </c>
      <c r="P2333" t="s">
        <v>427</v>
      </c>
      <c r="Q2333" t="s">
        <v>39</v>
      </c>
      <c r="R2333" t="s">
        <v>40</v>
      </c>
      <c r="S2333">
        <v>0</v>
      </c>
      <c r="U2333" t="s">
        <v>41</v>
      </c>
      <c r="V2333" t="s">
        <v>42</v>
      </c>
      <c r="X2333" t="s">
        <v>74</v>
      </c>
      <c r="Y2333" t="b">
        <v>0</v>
      </c>
      <c r="Z2333" t="b">
        <v>0</v>
      </c>
      <c r="AC2333" s="1"/>
      <c r="AF2333">
        <v>0</v>
      </c>
      <c r="AG2333">
        <v>45</v>
      </c>
      <c r="AH2333">
        <v>52</v>
      </c>
      <c r="AI2333" s="2">
        <f>Table__192.168.3.138DYLAgingReport[[#This Row],[NetAmount]]-Table__192.168.3.138DYLAgingReport[[#This Row],[Paid]]</f>
        <v>6519</v>
      </c>
    </row>
    <row r="2334" spans="1:35">
      <c r="A2334" t="s">
        <v>4746</v>
      </c>
      <c r="B2334" s="1">
        <v>41267</v>
      </c>
      <c r="C2334" s="1">
        <v>41312</v>
      </c>
      <c r="D2334" t="s">
        <v>290</v>
      </c>
      <c r="E2334">
        <v>24000</v>
      </c>
      <c r="F2334">
        <v>3840</v>
      </c>
      <c r="G2334">
        <v>0</v>
      </c>
      <c r="H2334">
        <v>0</v>
      </c>
      <c r="I2334">
        <v>1</v>
      </c>
      <c r="J2334">
        <v>27840</v>
      </c>
      <c r="K2334" t="s">
        <v>1431</v>
      </c>
      <c r="L2334" s="1">
        <v>41267</v>
      </c>
      <c r="N2334" t="s">
        <v>36</v>
      </c>
      <c r="O2334" t="s">
        <v>37</v>
      </c>
      <c r="P2334" t="s">
        <v>427</v>
      </c>
      <c r="Q2334" t="s">
        <v>39</v>
      </c>
      <c r="R2334" t="s">
        <v>40</v>
      </c>
      <c r="S2334">
        <v>0</v>
      </c>
      <c r="U2334" t="s">
        <v>41</v>
      </c>
      <c r="V2334" t="s">
        <v>42</v>
      </c>
      <c r="X2334" t="s">
        <v>74</v>
      </c>
      <c r="Y2334" t="b">
        <v>0</v>
      </c>
      <c r="Z2334" t="b">
        <v>0</v>
      </c>
      <c r="AC2334" s="1"/>
      <c r="AF2334">
        <v>0</v>
      </c>
      <c r="AG2334">
        <v>45</v>
      </c>
      <c r="AH2334">
        <v>46</v>
      </c>
      <c r="AI2334" s="2">
        <f>Table__192.168.3.138DYLAgingReport[[#This Row],[NetAmount]]-Table__192.168.3.138DYLAgingReport[[#This Row],[Paid]]</f>
        <v>27840</v>
      </c>
    </row>
    <row r="2335" spans="1:35">
      <c r="A2335" t="s">
        <v>4747</v>
      </c>
      <c r="B2335" s="1">
        <v>41248</v>
      </c>
      <c r="C2335" s="1">
        <v>41293</v>
      </c>
      <c r="D2335" t="s">
        <v>297</v>
      </c>
      <c r="E2335">
        <v>30000</v>
      </c>
      <c r="F2335">
        <v>4800</v>
      </c>
      <c r="G2335">
        <v>0</v>
      </c>
      <c r="H2335">
        <v>0</v>
      </c>
      <c r="I2335">
        <v>24</v>
      </c>
      <c r="J2335">
        <v>34800</v>
      </c>
      <c r="K2335" t="s">
        <v>95</v>
      </c>
      <c r="L2335" s="1">
        <v>41244</v>
      </c>
      <c r="N2335" t="s">
        <v>36</v>
      </c>
      <c r="O2335" t="s">
        <v>37</v>
      </c>
      <c r="P2335" t="s">
        <v>434</v>
      </c>
      <c r="Q2335" t="s">
        <v>39</v>
      </c>
      <c r="R2335" t="s">
        <v>40</v>
      </c>
      <c r="S2335">
        <v>0</v>
      </c>
      <c r="U2335" t="s">
        <v>41</v>
      </c>
      <c r="V2335" t="s">
        <v>42</v>
      </c>
      <c r="X2335" t="s">
        <v>74</v>
      </c>
      <c r="Y2335" t="b">
        <v>0</v>
      </c>
      <c r="Z2335" t="b">
        <v>0</v>
      </c>
      <c r="AC2335" s="1"/>
      <c r="AF2335">
        <v>0</v>
      </c>
      <c r="AG2335">
        <v>45</v>
      </c>
      <c r="AH2335">
        <v>69</v>
      </c>
      <c r="AI2335" s="2">
        <f>Table__192.168.3.138DYLAgingReport[[#This Row],[NetAmount]]-Table__192.168.3.138DYLAgingReport[[#This Row],[Paid]]</f>
        <v>34800</v>
      </c>
    </row>
    <row r="2336" spans="1:35">
      <c r="A2336" t="s">
        <v>4748</v>
      </c>
      <c r="B2336" s="1">
        <v>41257</v>
      </c>
      <c r="C2336" s="1">
        <v>41302</v>
      </c>
      <c r="D2336" t="s">
        <v>297</v>
      </c>
      <c r="E2336">
        <v>45000</v>
      </c>
      <c r="F2336">
        <v>7200</v>
      </c>
      <c r="G2336">
        <v>0</v>
      </c>
      <c r="H2336">
        <v>0</v>
      </c>
      <c r="I2336">
        <v>22</v>
      </c>
      <c r="J2336">
        <v>52200</v>
      </c>
      <c r="K2336" t="s">
        <v>91</v>
      </c>
      <c r="L2336" s="1">
        <v>41246</v>
      </c>
      <c r="N2336" t="s">
        <v>36</v>
      </c>
      <c r="O2336" t="s">
        <v>37</v>
      </c>
      <c r="P2336" t="s">
        <v>434</v>
      </c>
      <c r="Q2336" t="s">
        <v>39</v>
      </c>
      <c r="R2336" t="s">
        <v>40</v>
      </c>
      <c r="S2336">
        <v>0</v>
      </c>
      <c r="U2336" t="s">
        <v>41</v>
      </c>
      <c r="V2336" t="s">
        <v>42</v>
      </c>
      <c r="X2336" t="s">
        <v>74</v>
      </c>
      <c r="Y2336" t="b">
        <v>0</v>
      </c>
      <c r="Z2336" t="b">
        <v>0</v>
      </c>
      <c r="AC2336" s="1"/>
      <c r="AF2336">
        <v>0</v>
      </c>
      <c r="AG2336">
        <v>45</v>
      </c>
      <c r="AH2336">
        <v>67</v>
      </c>
      <c r="AI2336" s="2">
        <f>Table__192.168.3.138DYLAgingReport[[#This Row],[NetAmount]]-Table__192.168.3.138DYLAgingReport[[#This Row],[Paid]]</f>
        <v>52200</v>
      </c>
    </row>
    <row r="2337" spans="1:35">
      <c r="A2337" t="s">
        <v>4749</v>
      </c>
      <c r="B2337" s="1">
        <v>41262</v>
      </c>
      <c r="C2337" s="1">
        <v>41307</v>
      </c>
      <c r="D2337" t="s">
        <v>228</v>
      </c>
      <c r="E2337">
        <v>388100</v>
      </c>
      <c r="F2337">
        <v>62096</v>
      </c>
      <c r="G2337">
        <v>0</v>
      </c>
      <c r="H2337">
        <v>0</v>
      </c>
      <c r="I2337">
        <v>11</v>
      </c>
      <c r="J2337">
        <v>450196</v>
      </c>
      <c r="K2337" t="s">
        <v>118</v>
      </c>
      <c r="L2337" s="1">
        <v>41257</v>
      </c>
      <c r="N2337" t="s">
        <v>36</v>
      </c>
      <c r="O2337" t="s">
        <v>37</v>
      </c>
      <c r="P2337" t="s">
        <v>365</v>
      </c>
      <c r="Q2337" t="s">
        <v>39</v>
      </c>
      <c r="R2337" t="s">
        <v>40</v>
      </c>
      <c r="S2337">
        <v>0</v>
      </c>
      <c r="U2337" t="s">
        <v>41</v>
      </c>
      <c r="V2337" t="s">
        <v>42</v>
      </c>
      <c r="X2337" t="s">
        <v>74</v>
      </c>
      <c r="Y2337" t="b">
        <v>0</v>
      </c>
      <c r="Z2337" t="b">
        <v>0</v>
      </c>
      <c r="AC2337" s="1"/>
      <c r="AF2337">
        <v>0</v>
      </c>
      <c r="AG2337">
        <v>45</v>
      </c>
      <c r="AH2337">
        <v>56</v>
      </c>
      <c r="AI2337" s="2">
        <f>Table__192.168.3.138DYLAgingReport[[#This Row],[NetAmount]]-Table__192.168.3.138DYLAgingReport[[#This Row],[Paid]]</f>
        <v>450196</v>
      </c>
    </row>
    <row r="2338" spans="1:35">
      <c r="A2338" t="s">
        <v>4750</v>
      </c>
      <c r="B2338" s="1">
        <v>41271</v>
      </c>
      <c r="C2338" s="1">
        <v>41316</v>
      </c>
      <c r="D2338" t="s">
        <v>203</v>
      </c>
      <c r="E2338">
        <v>14900</v>
      </c>
      <c r="F2338">
        <v>2384</v>
      </c>
      <c r="G2338">
        <v>0</v>
      </c>
      <c r="H2338">
        <v>0</v>
      </c>
      <c r="I2338">
        <v>-6</v>
      </c>
      <c r="J2338">
        <v>17284</v>
      </c>
      <c r="K2338" t="s">
        <v>2633</v>
      </c>
      <c r="L2338" s="1">
        <v>41274</v>
      </c>
      <c r="N2338" t="s">
        <v>36</v>
      </c>
      <c r="O2338" t="s">
        <v>37</v>
      </c>
      <c r="P2338" t="s">
        <v>340</v>
      </c>
      <c r="Q2338" t="s">
        <v>39</v>
      </c>
      <c r="R2338" t="s">
        <v>40</v>
      </c>
      <c r="S2338">
        <v>0</v>
      </c>
      <c r="U2338" t="s">
        <v>41</v>
      </c>
      <c r="V2338" t="s">
        <v>42</v>
      </c>
      <c r="X2338" t="s">
        <v>74</v>
      </c>
      <c r="Y2338" t="b">
        <v>0</v>
      </c>
      <c r="Z2338" t="b">
        <v>0</v>
      </c>
      <c r="AC2338" s="1"/>
      <c r="AF2338">
        <v>0</v>
      </c>
      <c r="AG2338">
        <v>45</v>
      </c>
      <c r="AH2338">
        <v>39</v>
      </c>
      <c r="AI2338" s="2">
        <f>Table__192.168.3.138DYLAgingReport[[#This Row],[NetAmount]]-Table__192.168.3.138DYLAgingReport[[#This Row],[Paid]]</f>
        <v>17284</v>
      </c>
    </row>
    <row r="2339" spans="1:35">
      <c r="A2339" t="s">
        <v>4751</v>
      </c>
      <c r="B2339" s="1">
        <v>41253</v>
      </c>
      <c r="C2339" s="1">
        <v>41298</v>
      </c>
      <c r="D2339" t="s">
        <v>264</v>
      </c>
      <c r="E2339">
        <v>700000</v>
      </c>
      <c r="F2339">
        <v>112000</v>
      </c>
      <c r="G2339">
        <v>0</v>
      </c>
      <c r="H2339">
        <v>0</v>
      </c>
      <c r="I2339">
        <v>17</v>
      </c>
      <c r="J2339">
        <v>812000</v>
      </c>
      <c r="K2339" t="s">
        <v>4752</v>
      </c>
      <c r="L2339" s="1">
        <v>41251</v>
      </c>
      <c r="N2339" t="s">
        <v>36</v>
      </c>
      <c r="O2339" t="s">
        <v>37</v>
      </c>
      <c r="P2339" t="s">
        <v>401</v>
      </c>
      <c r="Q2339" t="s">
        <v>39</v>
      </c>
      <c r="R2339" t="s">
        <v>40</v>
      </c>
      <c r="S2339">
        <v>0</v>
      </c>
      <c r="U2339" t="s">
        <v>41</v>
      </c>
      <c r="V2339" t="s">
        <v>42</v>
      </c>
      <c r="X2339" t="s">
        <v>74</v>
      </c>
      <c r="Y2339" t="b">
        <v>0</v>
      </c>
      <c r="Z2339" t="b">
        <v>0</v>
      </c>
      <c r="AB2339" t="s">
        <v>4501</v>
      </c>
      <c r="AC2339" s="1"/>
      <c r="AF2339">
        <v>0</v>
      </c>
      <c r="AG2339">
        <v>45</v>
      </c>
      <c r="AH2339">
        <v>62</v>
      </c>
      <c r="AI2339" s="2">
        <f>Table__192.168.3.138DYLAgingReport[[#This Row],[NetAmount]]-Table__192.168.3.138DYLAgingReport[[#This Row],[Paid]]</f>
        <v>812000</v>
      </c>
    </row>
    <row r="2340" spans="1:35">
      <c r="A2340" t="s">
        <v>4753</v>
      </c>
      <c r="B2340" s="1">
        <v>41257</v>
      </c>
      <c r="C2340" s="1">
        <v>41302</v>
      </c>
      <c r="D2340" t="s">
        <v>264</v>
      </c>
      <c r="E2340">
        <v>700000</v>
      </c>
      <c r="F2340">
        <v>112000</v>
      </c>
      <c r="G2340">
        <v>0</v>
      </c>
      <c r="H2340">
        <v>0</v>
      </c>
      <c r="I2340">
        <v>12</v>
      </c>
      <c r="J2340">
        <v>812000</v>
      </c>
      <c r="K2340" t="s">
        <v>4754</v>
      </c>
      <c r="L2340" s="1">
        <v>41256</v>
      </c>
      <c r="N2340" t="s">
        <v>36</v>
      </c>
      <c r="O2340" t="s">
        <v>37</v>
      </c>
      <c r="P2340" t="s">
        <v>401</v>
      </c>
      <c r="Q2340" t="s">
        <v>39</v>
      </c>
      <c r="R2340" t="s">
        <v>40</v>
      </c>
      <c r="S2340">
        <v>0</v>
      </c>
      <c r="U2340" t="s">
        <v>41</v>
      </c>
      <c r="V2340" t="s">
        <v>42</v>
      </c>
      <c r="X2340" t="s">
        <v>74</v>
      </c>
      <c r="Y2340" t="b">
        <v>0</v>
      </c>
      <c r="Z2340" t="b">
        <v>0</v>
      </c>
      <c r="AB2340" t="s">
        <v>4501</v>
      </c>
      <c r="AC2340" s="1"/>
      <c r="AF2340">
        <v>0</v>
      </c>
      <c r="AG2340">
        <v>45</v>
      </c>
      <c r="AH2340">
        <v>57</v>
      </c>
      <c r="AI2340" s="2">
        <f>Table__192.168.3.138DYLAgingReport[[#This Row],[NetAmount]]-Table__192.168.3.138DYLAgingReport[[#This Row],[Paid]]</f>
        <v>812000</v>
      </c>
    </row>
    <row r="2341" spans="1:35">
      <c r="A2341" t="s">
        <v>4755</v>
      </c>
      <c r="B2341" s="1">
        <v>41263</v>
      </c>
      <c r="C2341" s="1">
        <v>41308</v>
      </c>
      <c r="D2341" t="s">
        <v>264</v>
      </c>
      <c r="E2341">
        <v>700000</v>
      </c>
      <c r="F2341">
        <v>112000</v>
      </c>
      <c r="G2341">
        <v>0</v>
      </c>
      <c r="H2341">
        <v>0</v>
      </c>
      <c r="I2341">
        <v>6</v>
      </c>
      <c r="J2341">
        <v>812000</v>
      </c>
      <c r="K2341" t="s">
        <v>4756</v>
      </c>
      <c r="L2341" s="1">
        <v>41262</v>
      </c>
      <c r="N2341" t="s">
        <v>36</v>
      </c>
      <c r="O2341" t="s">
        <v>37</v>
      </c>
      <c r="P2341" t="s">
        <v>401</v>
      </c>
      <c r="Q2341" t="s">
        <v>39</v>
      </c>
      <c r="R2341" t="s">
        <v>40</v>
      </c>
      <c r="S2341">
        <v>0</v>
      </c>
      <c r="U2341" t="s">
        <v>41</v>
      </c>
      <c r="V2341" t="s">
        <v>42</v>
      </c>
      <c r="X2341" t="s">
        <v>74</v>
      </c>
      <c r="Y2341" t="b">
        <v>0</v>
      </c>
      <c r="Z2341" t="b">
        <v>0</v>
      </c>
      <c r="AB2341" t="s">
        <v>4501</v>
      </c>
      <c r="AC2341" s="1"/>
      <c r="AF2341">
        <v>0</v>
      </c>
      <c r="AG2341">
        <v>45</v>
      </c>
      <c r="AH2341">
        <v>51</v>
      </c>
      <c r="AI2341" s="2">
        <f>Table__192.168.3.138DYLAgingReport[[#This Row],[NetAmount]]-Table__192.168.3.138DYLAgingReport[[#This Row],[Paid]]</f>
        <v>812000</v>
      </c>
    </row>
    <row r="2342" spans="1:35">
      <c r="A2342" t="s">
        <v>4757</v>
      </c>
      <c r="B2342" s="1">
        <v>41271</v>
      </c>
      <c r="C2342" s="1">
        <v>41316</v>
      </c>
      <c r="D2342" t="s">
        <v>264</v>
      </c>
      <c r="E2342">
        <v>700000</v>
      </c>
      <c r="F2342">
        <v>112000</v>
      </c>
      <c r="G2342">
        <v>0</v>
      </c>
      <c r="H2342">
        <v>0</v>
      </c>
      <c r="I2342">
        <v>-1</v>
      </c>
      <c r="J2342">
        <v>812000</v>
      </c>
      <c r="K2342" t="s">
        <v>4758</v>
      </c>
      <c r="L2342" s="1">
        <v>41269</v>
      </c>
      <c r="N2342" t="s">
        <v>36</v>
      </c>
      <c r="O2342" t="s">
        <v>37</v>
      </c>
      <c r="P2342" t="s">
        <v>401</v>
      </c>
      <c r="Q2342" t="s">
        <v>39</v>
      </c>
      <c r="R2342" t="s">
        <v>40</v>
      </c>
      <c r="S2342">
        <v>0</v>
      </c>
      <c r="U2342" t="s">
        <v>41</v>
      </c>
      <c r="V2342" t="s">
        <v>42</v>
      </c>
      <c r="X2342" t="s">
        <v>74</v>
      </c>
      <c r="Y2342" t="b">
        <v>0</v>
      </c>
      <c r="Z2342" t="b">
        <v>0</v>
      </c>
      <c r="AB2342" t="s">
        <v>4501</v>
      </c>
      <c r="AC2342" s="1"/>
      <c r="AF2342">
        <v>0</v>
      </c>
      <c r="AG2342">
        <v>45</v>
      </c>
      <c r="AH2342">
        <v>44</v>
      </c>
      <c r="AI2342" s="2">
        <f>Table__192.168.3.138DYLAgingReport[[#This Row],[NetAmount]]-Table__192.168.3.138DYLAgingReport[[#This Row],[Paid]]</f>
        <v>812000</v>
      </c>
    </row>
    <row r="2343" spans="1:35">
      <c r="A2343" t="s">
        <v>4759</v>
      </c>
      <c r="B2343" s="1">
        <v>41274</v>
      </c>
      <c r="C2343" s="1">
        <v>41319</v>
      </c>
      <c r="D2343" t="s">
        <v>264</v>
      </c>
      <c r="E2343">
        <v>404600</v>
      </c>
      <c r="F2343">
        <v>64736</v>
      </c>
      <c r="G2343">
        <v>0</v>
      </c>
      <c r="H2343">
        <v>0</v>
      </c>
      <c r="I2343">
        <v>-4</v>
      </c>
      <c r="J2343">
        <v>469336</v>
      </c>
      <c r="K2343" t="s">
        <v>4760</v>
      </c>
      <c r="L2343" s="1">
        <v>41272</v>
      </c>
      <c r="N2343" t="s">
        <v>36</v>
      </c>
      <c r="O2343" t="s">
        <v>37</v>
      </c>
      <c r="P2343" t="s">
        <v>401</v>
      </c>
      <c r="Q2343" t="s">
        <v>39</v>
      </c>
      <c r="R2343" t="s">
        <v>40</v>
      </c>
      <c r="S2343">
        <v>0</v>
      </c>
      <c r="U2343" t="s">
        <v>41</v>
      </c>
      <c r="V2343" t="s">
        <v>42</v>
      </c>
      <c r="X2343" t="s">
        <v>74</v>
      </c>
      <c r="Y2343" t="b">
        <v>0</v>
      </c>
      <c r="Z2343" t="b">
        <v>0</v>
      </c>
      <c r="AB2343" t="s">
        <v>4501</v>
      </c>
      <c r="AC2343" s="1"/>
      <c r="AF2343">
        <v>0</v>
      </c>
      <c r="AG2343">
        <v>45</v>
      </c>
      <c r="AH2343">
        <v>41</v>
      </c>
      <c r="AI2343" s="2">
        <f>Table__192.168.3.138DYLAgingReport[[#This Row],[NetAmount]]-Table__192.168.3.138DYLAgingReport[[#This Row],[Paid]]</f>
        <v>469336</v>
      </c>
    </row>
    <row r="2344" spans="1:35">
      <c r="A2344" t="s">
        <v>4761</v>
      </c>
      <c r="B2344" s="1">
        <v>41263</v>
      </c>
      <c r="C2344" s="1">
        <v>41308</v>
      </c>
      <c r="D2344" t="s">
        <v>231</v>
      </c>
      <c r="E2344">
        <v>327600</v>
      </c>
      <c r="F2344">
        <v>52416</v>
      </c>
      <c r="G2344">
        <v>0</v>
      </c>
      <c r="H2344">
        <v>0</v>
      </c>
      <c r="I2344">
        <v>5</v>
      </c>
      <c r="J2344">
        <v>380016</v>
      </c>
      <c r="K2344" t="s">
        <v>4266</v>
      </c>
      <c r="L2344" s="1">
        <v>41263</v>
      </c>
      <c r="N2344" t="s">
        <v>36</v>
      </c>
      <c r="O2344" t="s">
        <v>37</v>
      </c>
      <c r="P2344" t="s">
        <v>368</v>
      </c>
      <c r="Q2344" t="s">
        <v>39</v>
      </c>
      <c r="R2344" t="s">
        <v>40</v>
      </c>
      <c r="S2344">
        <v>0</v>
      </c>
      <c r="U2344" t="s">
        <v>41</v>
      </c>
      <c r="V2344" t="s">
        <v>42</v>
      </c>
      <c r="X2344" t="s">
        <v>74</v>
      </c>
      <c r="Y2344" t="b">
        <v>0</v>
      </c>
      <c r="Z2344" t="b">
        <v>0</v>
      </c>
      <c r="AC2344" s="1"/>
      <c r="AF2344">
        <v>0</v>
      </c>
      <c r="AG2344">
        <v>45</v>
      </c>
      <c r="AH2344">
        <v>50</v>
      </c>
      <c r="AI2344" s="2">
        <f>Table__192.168.3.138DYLAgingReport[[#This Row],[NetAmount]]-Table__192.168.3.138DYLAgingReport[[#This Row],[Paid]]</f>
        <v>380016</v>
      </c>
    </row>
    <row r="2345" spans="1:35">
      <c r="A2345" t="s">
        <v>4762</v>
      </c>
      <c r="B2345" s="1">
        <v>41264</v>
      </c>
      <c r="C2345" s="1">
        <v>41309</v>
      </c>
      <c r="D2345" t="s">
        <v>231</v>
      </c>
      <c r="E2345">
        <v>241800</v>
      </c>
      <c r="F2345">
        <v>38688</v>
      </c>
      <c r="G2345">
        <v>0</v>
      </c>
      <c r="H2345">
        <v>0</v>
      </c>
      <c r="I2345">
        <v>4</v>
      </c>
      <c r="J2345">
        <v>280488</v>
      </c>
      <c r="K2345" t="s">
        <v>4763</v>
      </c>
      <c r="L2345" s="1">
        <v>41264</v>
      </c>
      <c r="N2345" t="s">
        <v>36</v>
      </c>
      <c r="O2345" t="s">
        <v>37</v>
      </c>
      <c r="P2345" t="s">
        <v>368</v>
      </c>
      <c r="Q2345" t="s">
        <v>39</v>
      </c>
      <c r="R2345" t="s">
        <v>40</v>
      </c>
      <c r="S2345">
        <v>0</v>
      </c>
      <c r="U2345" t="s">
        <v>41</v>
      </c>
      <c r="V2345" t="s">
        <v>42</v>
      </c>
      <c r="X2345" t="s">
        <v>74</v>
      </c>
      <c r="Y2345" t="b">
        <v>0</v>
      </c>
      <c r="Z2345" t="b">
        <v>0</v>
      </c>
      <c r="AC2345" s="1"/>
      <c r="AF2345">
        <v>0</v>
      </c>
      <c r="AG2345">
        <v>45</v>
      </c>
      <c r="AH2345">
        <v>49</v>
      </c>
      <c r="AI2345" s="2">
        <f>Table__192.168.3.138DYLAgingReport[[#This Row],[NetAmount]]-Table__192.168.3.138DYLAgingReport[[#This Row],[Paid]]</f>
        <v>280488</v>
      </c>
    </row>
    <row r="2346" spans="1:35">
      <c r="A2346" t="s">
        <v>4764</v>
      </c>
      <c r="B2346" s="1">
        <v>41262</v>
      </c>
      <c r="C2346" s="1">
        <v>41307</v>
      </c>
      <c r="D2346" t="s">
        <v>171</v>
      </c>
      <c r="E2346">
        <v>7200</v>
      </c>
      <c r="F2346">
        <v>1152</v>
      </c>
      <c r="G2346">
        <v>0</v>
      </c>
      <c r="H2346">
        <v>0</v>
      </c>
      <c r="I2346">
        <v>6</v>
      </c>
      <c r="J2346">
        <v>8352</v>
      </c>
      <c r="K2346" t="s">
        <v>4765</v>
      </c>
      <c r="L2346" s="1">
        <v>41262</v>
      </c>
      <c r="N2346" t="s">
        <v>36</v>
      </c>
      <c r="O2346" t="s">
        <v>37</v>
      </c>
      <c r="P2346" t="s">
        <v>308</v>
      </c>
      <c r="Q2346" t="s">
        <v>39</v>
      </c>
      <c r="R2346" t="s">
        <v>40</v>
      </c>
      <c r="S2346">
        <v>0</v>
      </c>
      <c r="U2346" t="s">
        <v>41</v>
      </c>
      <c r="V2346" t="s">
        <v>42</v>
      </c>
      <c r="X2346" t="s">
        <v>74</v>
      </c>
      <c r="Y2346" t="b">
        <v>0</v>
      </c>
      <c r="Z2346" t="b">
        <v>0</v>
      </c>
      <c r="AC2346" s="1"/>
      <c r="AF2346">
        <v>0</v>
      </c>
      <c r="AG2346">
        <v>45</v>
      </c>
      <c r="AH2346">
        <v>51</v>
      </c>
      <c r="AI2346" s="2">
        <f>Table__192.168.3.138DYLAgingReport[[#This Row],[NetAmount]]-Table__192.168.3.138DYLAgingReport[[#This Row],[Paid]]</f>
        <v>8352</v>
      </c>
    </row>
    <row r="2347" spans="1:35">
      <c r="A2347" t="s">
        <v>4766</v>
      </c>
      <c r="B2347" s="1">
        <v>41264</v>
      </c>
      <c r="C2347" s="1">
        <v>41309</v>
      </c>
      <c r="D2347" t="s">
        <v>170</v>
      </c>
      <c r="E2347">
        <v>83600</v>
      </c>
      <c r="F2347">
        <v>13376</v>
      </c>
      <c r="G2347">
        <v>0</v>
      </c>
      <c r="H2347">
        <v>0</v>
      </c>
      <c r="I2347">
        <v>4</v>
      </c>
      <c r="J2347">
        <v>96976</v>
      </c>
      <c r="K2347" t="s">
        <v>4767</v>
      </c>
      <c r="L2347" s="1">
        <v>41264</v>
      </c>
      <c r="N2347" t="s">
        <v>36</v>
      </c>
      <c r="O2347" t="s">
        <v>37</v>
      </c>
      <c r="P2347" t="s">
        <v>307</v>
      </c>
      <c r="Q2347" t="s">
        <v>39</v>
      </c>
      <c r="R2347" t="s">
        <v>40</v>
      </c>
      <c r="S2347">
        <v>0</v>
      </c>
      <c r="U2347" t="s">
        <v>41</v>
      </c>
      <c r="V2347" t="s">
        <v>42</v>
      </c>
      <c r="X2347" t="s">
        <v>74</v>
      </c>
      <c r="Y2347" t="b">
        <v>0</v>
      </c>
      <c r="Z2347" t="b">
        <v>0</v>
      </c>
      <c r="AC2347" s="1"/>
      <c r="AF2347">
        <v>0</v>
      </c>
      <c r="AG2347">
        <v>45</v>
      </c>
      <c r="AH2347">
        <v>49</v>
      </c>
      <c r="AI2347" s="2">
        <f>Table__192.168.3.138DYLAgingReport[[#This Row],[NetAmount]]-Table__192.168.3.138DYLAgingReport[[#This Row],[Paid]]</f>
        <v>96976</v>
      </c>
    </row>
    <row r="2348" spans="1:35">
      <c r="A2348" t="s">
        <v>4768</v>
      </c>
      <c r="B2348" s="1">
        <v>41262</v>
      </c>
      <c r="C2348" s="1">
        <v>41307</v>
      </c>
      <c r="D2348" t="s">
        <v>169</v>
      </c>
      <c r="E2348">
        <v>190000</v>
      </c>
      <c r="F2348">
        <v>30400</v>
      </c>
      <c r="G2348">
        <v>0</v>
      </c>
      <c r="H2348">
        <v>0</v>
      </c>
      <c r="I2348">
        <v>6</v>
      </c>
      <c r="J2348">
        <v>220400</v>
      </c>
      <c r="K2348" t="s">
        <v>4769</v>
      </c>
      <c r="L2348" s="1">
        <v>41262</v>
      </c>
      <c r="N2348" t="s">
        <v>36</v>
      </c>
      <c r="O2348" t="s">
        <v>37</v>
      </c>
      <c r="P2348" t="s">
        <v>306</v>
      </c>
      <c r="Q2348" t="s">
        <v>39</v>
      </c>
      <c r="R2348" t="s">
        <v>40</v>
      </c>
      <c r="S2348">
        <v>0</v>
      </c>
      <c r="U2348" t="s">
        <v>41</v>
      </c>
      <c r="V2348" t="s">
        <v>42</v>
      </c>
      <c r="X2348" t="s">
        <v>74</v>
      </c>
      <c r="Y2348" t="b">
        <v>0</v>
      </c>
      <c r="Z2348" t="b">
        <v>0</v>
      </c>
      <c r="AC2348" s="1"/>
      <c r="AF2348">
        <v>0</v>
      </c>
      <c r="AG2348">
        <v>45</v>
      </c>
      <c r="AH2348">
        <v>51</v>
      </c>
      <c r="AI2348" s="2">
        <f>Table__192.168.3.138DYLAgingReport[[#This Row],[NetAmount]]-Table__192.168.3.138DYLAgingReport[[#This Row],[Paid]]</f>
        <v>220400</v>
      </c>
    </row>
    <row r="2349" spans="1:35">
      <c r="A2349" t="s">
        <v>4770</v>
      </c>
      <c r="B2349" s="1">
        <v>41249</v>
      </c>
      <c r="C2349" s="1">
        <v>41294</v>
      </c>
      <c r="D2349" t="s">
        <v>271</v>
      </c>
      <c r="E2349">
        <v>875</v>
      </c>
      <c r="F2349">
        <v>140</v>
      </c>
      <c r="G2349">
        <v>0</v>
      </c>
      <c r="H2349">
        <v>0</v>
      </c>
      <c r="I2349">
        <v>19</v>
      </c>
      <c r="J2349">
        <v>1015</v>
      </c>
      <c r="K2349" t="s">
        <v>3572</v>
      </c>
      <c r="L2349" s="1">
        <v>41249</v>
      </c>
      <c r="N2349" t="s">
        <v>36</v>
      </c>
      <c r="O2349" t="s">
        <v>37</v>
      </c>
      <c r="P2349" t="s">
        <v>408</v>
      </c>
      <c r="Q2349" t="s">
        <v>39</v>
      </c>
      <c r="R2349" t="s">
        <v>40</v>
      </c>
      <c r="S2349">
        <v>0</v>
      </c>
      <c r="U2349" t="s">
        <v>41</v>
      </c>
      <c r="V2349" t="s">
        <v>42</v>
      </c>
      <c r="X2349" t="s">
        <v>74</v>
      </c>
      <c r="Y2349" t="b">
        <v>0</v>
      </c>
      <c r="Z2349" t="b">
        <v>0</v>
      </c>
      <c r="AC2349" s="1"/>
      <c r="AF2349">
        <v>0</v>
      </c>
      <c r="AG2349">
        <v>45</v>
      </c>
      <c r="AH2349">
        <v>64</v>
      </c>
      <c r="AI2349" s="2">
        <f>Table__192.168.3.138DYLAgingReport[[#This Row],[NetAmount]]-Table__192.168.3.138DYLAgingReport[[#This Row],[Paid]]</f>
        <v>1015</v>
      </c>
    </row>
    <row r="2350" spans="1:35">
      <c r="A2350" t="s">
        <v>4771</v>
      </c>
      <c r="B2350" s="1">
        <v>41253</v>
      </c>
      <c r="C2350" s="1">
        <v>41298</v>
      </c>
      <c r="D2350" t="s">
        <v>271</v>
      </c>
      <c r="E2350">
        <v>1950</v>
      </c>
      <c r="F2350">
        <v>312</v>
      </c>
      <c r="G2350">
        <v>0</v>
      </c>
      <c r="H2350">
        <v>0</v>
      </c>
      <c r="I2350">
        <v>17</v>
      </c>
      <c r="J2350">
        <v>2262</v>
      </c>
      <c r="K2350" t="s">
        <v>1193</v>
      </c>
      <c r="L2350" s="1">
        <v>41251</v>
      </c>
      <c r="N2350" t="s">
        <v>36</v>
      </c>
      <c r="O2350" t="s">
        <v>37</v>
      </c>
      <c r="P2350" t="s">
        <v>408</v>
      </c>
      <c r="Q2350" t="s">
        <v>39</v>
      </c>
      <c r="R2350" t="s">
        <v>40</v>
      </c>
      <c r="S2350">
        <v>0</v>
      </c>
      <c r="U2350" t="s">
        <v>41</v>
      </c>
      <c r="V2350" t="s">
        <v>42</v>
      </c>
      <c r="X2350" t="s">
        <v>74</v>
      </c>
      <c r="Y2350" t="b">
        <v>0</v>
      </c>
      <c r="Z2350" t="b">
        <v>0</v>
      </c>
      <c r="AC2350" s="1"/>
      <c r="AF2350">
        <v>0</v>
      </c>
      <c r="AG2350">
        <v>45</v>
      </c>
      <c r="AH2350">
        <v>62</v>
      </c>
      <c r="AI2350" s="2">
        <f>Table__192.168.3.138DYLAgingReport[[#This Row],[NetAmount]]-Table__192.168.3.138DYLAgingReport[[#This Row],[Paid]]</f>
        <v>2262</v>
      </c>
    </row>
    <row r="2351" spans="1:35">
      <c r="A2351" t="s">
        <v>4772</v>
      </c>
      <c r="B2351" s="1">
        <v>41254</v>
      </c>
      <c r="C2351" s="1">
        <v>41299</v>
      </c>
      <c r="D2351" t="s">
        <v>271</v>
      </c>
      <c r="E2351">
        <v>43800</v>
      </c>
      <c r="F2351">
        <v>7008</v>
      </c>
      <c r="G2351">
        <v>0</v>
      </c>
      <c r="H2351">
        <v>0</v>
      </c>
      <c r="I2351">
        <v>14</v>
      </c>
      <c r="J2351">
        <v>50808</v>
      </c>
      <c r="K2351" t="s">
        <v>1126</v>
      </c>
      <c r="L2351" s="1">
        <v>41254</v>
      </c>
      <c r="N2351" t="s">
        <v>36</v>
      </c>
      <c r="O2351" t="s">
        <v>37</v>
      </c>
      <c r="P2351" t="s">
        <v>408</v>
      </c>
      <c r="Q2351" t="s">
        <v>39</v>
      </c>
      <c r="R2351" t="s">
        <v>40</v>
      </c>
      <c r="S2351">
        <v>0</v>
      </c>
      <c r="U2351" t="s">
        <v>41</v>
      </c>
      <c r="V2351" t="s">
        <v>42</v>
      </c>
      <c r="X2351" t="s">
        <v>74</v>
      </c>
      <c r="Y2351" t="b">
        <v>0</v>
      </c>
      <c r="Z2351" t="b">
        <v>0</v>
      </c>
      <c r="AC2351" s="1"/>
      <c r="AF2351">
        <v>0</v>
      </c>
      <c r="AG2351">
        <v>45</v>
      </c>
      <c r="AH2351">
        <v>59</v>
      </c>
      <c r="AI2351" s="2">
        <f>Table__192.168.3.138DYLAgingReport[[#This Row],[NetAmount]]-Table__192.168.3.138DYLAgingReport[[#This Row],[Paid]]</f>
        <v>50808</v>
      </c>
    </row>
    <row r="2352" spans="1:35">
      <c r="A2352" t="s">
        <v>4773</v>
      </c>
      <c r="B2352" s="1">
        <v>41254</v>
      </c>
      <c r="C2352" s="1">
        <v>41299</v>
      </c>
      <c r="D2352" t="s">
        <v>271</v>
      </c>
      <c r="E2352">
        <v>20350</v>
      </c>
      <c r="F2352">
        <v>3256</v>
      </c>
      <c r="G2352">
        <v>0</v>
      </c>
      <c r="H2352">
        <v>0</v>
      </c>
      <c r="I2352">
        <v>14</v>
      </c>
      <c r="J2352">
        <v>23606</v>
      </c>
      <c r="K2352" t="s">
        <v>3699</v>
      </c>
      <c r="L2352" s="1">
        <v>41254</v>
      </c>
      <c r="N2352" t="s">
        <v>36</v>
      </c>
      <c r="O2352" t="s">
        <v>37</v>
      </c>
      <c r="P2352" t="s">
        <v>408</v>
      </c>
      <c r="Q2352" t="s">
        <v>39</v>
      </c>
      <c r="R2352" t="s">
        <v>40</v>
      </c>
      <c r="S2352">
        <v>0</v>
      </c>
      <c r="U2352" t="s">
        <v>41</v>
      </c>
      <c r="V2352" t="s">
        <v>42</v>
      </c>
      <c r="X2352" t="s">
        <v>74</v>
      </c>
      <c r="Y2352" t="b">
        <v>0</v>
      </c>
      <c r="Z2352" t="b">
        <v>0</v>
      </c>
      <c r="AC2352" s="1"/>
      <c r="AF2352">
        <v>0</v>
      </c>
      <c r="AG2352">
        <v>45</v>
      </c>
      <c r="AH2352">
        <v>59</v>
      </c>
      <c r="AI2352" s="2">
        <f>Table__192.168.3.138DYLAgingReport[[#This Row],[NetAmount]]-Table__192.168.3.138DYLAgingReport[[#This Row],[Paid]]</f>
        <v>23606</v>
      </c>
    </row>
    <row r="2353" spans="1:35">
      <c r="A2353" t="s">
        <v>4774</v>
      </c>
      <c r="B2353" s="1">
        <v>41255</v>
      </c>
      <c r="C2353" s="1">
        <v>41300</v>
      </c>
      <c r="D2353" t="s">
        <v>271</v>
      </c>
      <c r="E2353">
        <v>49000</v>
      </c>
      <c r="F2353">
        <v>7840</v>
      </c>
      <c r="G2353">
        <v>0</v>
      </c>
      <c r="H2353">
        <v>0</v>
      </c>
      <c r="I2353">
        <v>13</v>
      </c>
      <c r="J2353">
        <v>56840</v>
      </c>
      <c r="K2353" t="s">
        <v>3775</v>
      </c>
      <c r="L2353" s="1">
        <v>41255</v>
      </c>
      <c r="N2353" t="s">
        <v>36</v>
      </c>
      <c r="O2353" t="s">
        <v>37</v>
      </c>
      <c r="P2353" t="s">
        <v>408</v>
      </c>
      <c r="Q2353" t="s">
        <v>39</v>
      </c>
      <c r="R2353" t="s">
        <v>40</v>
      </c>
      <c r="S2353">
        <v>0</v>
      </c>
      <c r="U2353" t="s">
        <v>41</v>
      </c>
      <c r="V2353" t="s">
        <v>42</v>
      </c>
      <c r="X2353" t="s">
        <v>74</v>
      </c>
      <c r="Y2353" t="b">
        <v>0</v>
      </c>
      <c r="Z2353" t="b">
        <v>0</v>
      </c>
      <c r="AC2353" s="1"/>
      <c r="AF2353">
        <v>0</v>
      </c>
      <c r="AG2353">
        <v>45</v>
      </c>
      <c r="AH2353">
        <v>58</v>
      </c>
      <c r="AI2353" s="2">
        <f>Table__192.168.3.138DYLAgingReport[[#This Row],[NetAmount]]-Table__192.168.3.138DYLAgingReport[[#This Row],[Paid]]</f>
        <v>56840</v>
      </c>
    </row>
    <row r="2354" spans="1:35">
      <c r="A2354" t="s">
        <v>4775</v>
      </c>
      <c r="B2354" s="1">
        <v>41255</v>
      </c>
      <c r="C2354" s="1">
        <v>41300</v>
      </c>
      <c r="D2354" t="s">
        <v>271</v>
      </c>
      <c r="E2354">
        <v>88850</v>
      </c>
      <c r="F2354">
        <v>14216</v>
      </c>
      <c r="G2354">
        <v>0</v>
      </c>
      <c r="H2354">
        <v>0</v>
      </c>
      <c r="I2354">
        <v>13</v>
      </c>
      <c r="J2354">
        <v>103066</v>
      </c>
      <c r="K2354" t="s">
        <v>3701</v>
      </c>
      <c r="L2354" s="1">
        <v>41255</v>
      </c>
      <c r="N2354" t="s">
        <v>36</v>
      </c>
      <c r="O2354" t="s">
        <v>37</v>
      </c>
      <c r="P2354" t="s">
        <v>408</v>
      </c>
      <c r="Q2354" t="s">
        <v>39</v>
      </c>
      <c r="R2354" t="s">
        <v>40</v>
      </c>
      <c r="S2354">
        <v>0</v>
      </c>
      <c r="U2354" t="s">
        <v>41</v>
      </c>
      <c r="V2354" t="s">
        <v>42</v>
      </c>
      <c r="X2354" t="s">
        <v>74</v>
      </c>
      <c r="Y2354" t="b">
        <v>0</v>
      </c>
      <c r="Z2354" t="b">
        <v>0</v>
      </c>
      <c r="AC2354" s="1"/>
      <c r="AF2354">
        <v>0</v>
      </c>
      <c r="AG2354">
        <v>45</v>
      </c>
      <c r="AH2354">
        <v>58</v>
      </c>
      <c r="AI2354" s="2">
        <f>Table__192.168.3.138DYLAgingReport[[#This Row],[NetAmount]]-Table__192.168.3.138DYLAgingReport[[#This Row],[Paid]]</f>
        <v>103066</v>
      </c>
    </row>
    <row r="2355" spans="1:35">
      <c r="A2355" t="s">
        <v>4776</v>
      </c>
      <c r="B2355" s="1">
        <v>41256</v>
      </c>
      <c r="C2355" s="1">
        <v>41301</v>
      </c>
      <c r="D2355" t="s">
        <v>271</v>
      </c>
      <c r="E2355">
        <v>129800</v>
      </c>
      <c r="F2355">
        <v>20768</v>
      </c>
      <c r="G2355">
        <v>0</v>
      </c>
      <c r="H2355">
        <v>0</v>
      </c>
      <c r="I2355">
        <v>12</v>
      </c>
      <c r="J2355">
        <v>150568</v>
      </c>
      <c r="K2355" t="s">
        <v>3986</v>
      </c>
      <c r="L2355" s="1">
        <v>41256</v>
      </c>
      <c r="N2355" t="s">
        <v>36</v>
      </c>
      <c r="O2355" t="s">
        <v>37</v>
      </c>
      <c r="P2355" t="s">
        <v>408</v>
      </c>
      <c r="Q2355" t="s">
        <v>39</v>
      </c>
      <c r="R2355" t="s">
        <v>40</v>
      </c>
      <c r="S2355">
        <v>0</v>
      </c>
      <c r="U2355" t="s">
        <v>41</v>
      </c>
      <c r="V2355" t="s">
        <v>42</v>
      </c>
      <c r="X2355" t="s">
        <v>74</v>
      </c>
      <c r="Y2355" t="b">
        <v>0</v>
      </c>
      <c r="Z2355" t="b">
        <v>0</v>
      </c>
      <c r="AC2355" s="1"/>
      <c r="AF2355">
        <v>0</v>
      </c>
      <c r="AG2355">
        <v>45</v>
      </c>
      <c r="AH2355">
        <v>57</v>
      </c>
      <c r="AI2355" s="2">
        <f>Table__192.168.3.138DYLAgingReport[[#This Row],[NetAmount]]-Table__192.168.3.138DYLAgingReport[[#This Row],[Paid]]</f>
        <v>150568</v>
      </c>
    </row>
    <row r="2356" spans="1:35">
      <c r="A2356" t="s">
        <v>4777</v>
      </c>
      <c r="B2356" s="1">
        <v>41260</v>
      </c>
      <c r="C2356" s="1">
        <v>41305</v>
      </c>
      <c r="D2356" t="s">
        <v>271</v>
      </c>
      <c r="E2356">
        <v>51140</v>
      </c>
      <c r="F2356">
        <v>8182</v>
      </c>
      <c r="G2356">
        <v>0</v>
      </c>
      <c r="H2356">
        <v>0</v>
      </c>
      <c r="I2356">
        <v>8</v>
      </c>
      <c r="J2356">
        <v>59322</v>
      </c>
      <c r="K2356" t="s">
        <v>3988</v>
      </c>
      <c r="L2356" s="1">
        <v>41260</v>
      </c>
      <c r="N2356" t="s">
        <v>36</v>
      </c>
      <c r="O2356" t="s">
        <v>37</v>
      </c>
      <c r="P2356" t="s">
        <v>408</v>
      </c>
      <c r="Q2356" t="s">
        <v>39</v>
      </c>
      <c r="R2356" t="s">
        <v>40</v>
      </c>
      <c r="S2356">
        <v>0</v>
      </c>
      <c r="U2356" t="s">
        <v>41</v>
      </c>
      <c r="V2356" t="s">
        <v>42</v>
      </c>
      <c r="X2356" t="s">
        <v>74</v>
      </c>
      <c r="Y2356" t="b">
        <v>0</v>
      </c>
      <c r="Z2356" t="b">
        <v>0</v>
      </c>
      <c r="AC2356" s="1"/>
      <c r="AF2356">
        <v>0</v>
      </c>
      <c r="AG2356">
        <v>45</v>
      </c>
      <c r="AH2356">
        <v>53</v>
      </c>
      <c r="AI2356" s="2">
        <f>Table__192.168.3.138DYLAgingReport[[#This Row],[NetAmount]]-Table__192.168.3.138DYLAgingReport[[#This Row],[Paid]]</f>
        <v>59322</v>
      </c>
    </row>
    <row r="2357" spans="1:35">
      <c r="A2357" t="s">
        <v>4778</v>
      </c>
      <c r="B2357" s="1">
        <v>41261</v>
      </c>
      <c r="C2357" s="1">
        <v>41306</v>
      </c>
      <c r="D2357" t="s">
        <v>271</v>
      </c>
      <c r="E2357">
        <v>104750</v>
      </c>
      <c r="F2357">
        <v>16760</v>
      </c>
      <c r="G2357">
        <v>0</v>
      </c>
      <c r="H2357">
        <v>0</v>
      </c>
      <c r="I2357">
        <v>7</v>
      </c>
      <c r="J2357">
        <v>121510</v>
      </c>
      <c r="K2357" t="s">
        <v>4025</v>
      </c>
      <c r="L2357" s="1">
        <v>41261</v>
      </c>
      <c r="N2357" t="s">
        <v>36</v>
      </c>
      <c r="O2357" t="s">
        <v>37</v>
      </c>
      <c r="P2357" t="s">
        <v>408</v>
      </c>
      <c r="Q2357" t="s">
        <v>39</v>
      </c>
      <c r="R2357" t="s">
        <v>40</v>
      </c>
      <c r="S2357">
        <v>0</v>
      </c>
      <c r="U2357" t="s">
        <v>41</v>
      </c>
      <c r="V2357" t="s">
        <v>42</v>
      </c>
      <c r="X2357" t="s">
        <v>74</v>
      </c>
      <c r="Y2357" t="b">
        <v>0</v>
      </c>
      <c r="Z2357" t="b">
        <v>0</v>
      </c>
      <c r="AC2357" s="1"/>
      <c r="AF2357">
        <v>0</v>
      </c>
      <c r="AG2357">
        <v>45</v>
      </c>
      <c r="AH2357">
        <v>52</v>
      </c>
      <c r="AI2357" s="2">
        <f>Table__192.168.3.138DYLAgingReport[[#This Row],[NetAmount]]-Table__192.168.3.138DYLAgingReport[[#This Row],[Paid]]</f>
        <v>121510</v>
      </c>
    </row>
    <row r="2358" spans="1:35">
      <c r="A2358" t="s">
        <v>4779</v>
      </c>
      <c r="B2358" s="1">
        <v>41264</v>
      </c>
      <c r="C2358" s="1">
        <v>41309</v>
      </c>
      <c r="D2358" t="s">
        <v>271</v>
      </c>
      <c r="E2358">
        <v>57590</v>
      </c>
      <c r="F2358">
        <v>9214</v>
      </c>
      <c r="G2358">
        <v>0</v>
      </c>
      <c r="H2358">
        <v>0</v>
      </c>
      <c r="I2358">
        <v>4</v>
      </c>
      <c r="J2358">
        <v>66804</v>
      </c>
      <c r="K2358" t="s">
        <v>1250</v>
      </c>
      <c r="L2358" s="1">
        <v>41264</v>
      </c>
      <c r="N2358" t="s">
        <v>36</v>
      </c>
      <c r="O2358" t="s">
        <v>37</v>
      </c>
      <c r="P2358" t="s">
        <v>408</v>
      </c>
      <c r="Q2358" t="s">
        <v>39</v>
      </c>
      <c r="R2358" t="s">
        <v>40</v>
      </c>
      <c r="S2358">
        <v>0</v>
      </c>
      <c r="U2358" t="s">
        <v>41</v>
      </c>
      <c r="V2358" t="s">
        <v>42</v>
      </c>
      <c r="X2358" t="s">
        <v>74</v>
      </c>
      <c r="Y2358" t="b">
        <v>0</v>
      </c>
      <c r="Z2358" t="b">
        <v>0</v>
      </c>
      <c r="AC2358" s="1"/>
      <c r="AF2358">
        <v>0</v>
      </c>
      <c r="AG2358">
        <v>45</v>
      </c>
      <c r="AH2358">
        <v>49</v>
      </c>
      <c r="AI2358" s="2">
        <f>Table__192.168.3.138DYLAgingReport[[#This Row],[NetAmount]]-Table__192.168.3.138DYLAgingReport[[#This Row],[Paid]]</f>
        <v>66804</v>
      </c>
    </row>
    <row r="2359" spans="1:35">
      <c r="A2359" t="s">
        <v>4780</v>
      </c>
      <c r="B2359" s="1">
        <v>41265</v>
      </c>
      <c r="C2359" s="1">
        <v>41310</v>
      </c>
      <c r="D2359" t="s">
        <v>271</v>
      </c>
      <c r="E2359">
        <v>102304</v>
      </c>
      <c r="F2359">
        <v>16369</v>
      </c>
      <c r="G2359">
        <v>0</v>
      </c>
      <c r="H2359">
        <v>0</v>
      </c>
      <c r="I2359">
        <v>3</v>
      </c>
      <c r="J2359">
        <v>118673</v>
      </c>
      <c r="K2359" t="s">
        <v>4242</v>
      </c>
      <c r="L2359" s="1">
        <v>41265</v>
      </c>
      <c r="N2359" t="s">
        <v>36</v>
      </c>
      <c r="O2359" t="s">
        <v>37</v>
      </c>
      <c r="P2359" t="s">
        <v>408</v>
      </c>
      <c r="Q2359" t="s">
        <v>39</v>
      </c>
      <c r="R2359" t="s">
        <v>40</v>
      </c>
      <c r="S2359">
        <v>0</v>
      </c>
      <c r="U2359" t="s">
        <v>41</v>
      </c>
      <c r="V2359" t="s">
        <v>42</v>
      </c>
      <c r="X2359" t="s">
        <v>74</v>
      </c>
      <c r="Y2359" t="b">
        <v>0</v>
      </c>
      <c r="Z2359" t="b">
        <v>0</v>
      </c>
      <c r="AC2359" s="1"/>
      <c r="AF2359">
        <v>0</v>
      </c>
      <c r="AG2359">
        <v>45</v>
      </c>
      <c r="AH2359">
        <v>48</v>
      </c>
      <c r="AI2359" s="2">
        <f>Table__192.168.3.138DYLAgingReport[[#This Row],[NetAmount]]-Table__192.168.3.138DYLAgingReport[[#This Row],[Paid]]</f>
        <v>118673</v>
      </c>
    </row>
    <row r="2360" spans="1:35">
      <c r="A2360" t="s">
        <v>4781</v>
      </c>
      <c r="B2360" s="1">
        <v>41270</v>
      </c>
      <c r="C2360" s="1">
        <v>41315</v>
      </c>
      <c r="D2360" t="s">
        <v>271</v>
      </c>
      <c r="E2360">
        <v>93490</v>
      </c>
      <c r="F2360">
        <v>14958</v>
      </c>
      <c r="G2360">
        <v>0</v>
      </c>
      <c r="H2360">
        <v>0</v>
      </c>
      <c r="I2360">
        <v>-2</v>
      </c>
      <c r="J2360">
        <v>108448</v>
      </c>
      <c r="K2360" t="s">
        <v>4573</v>
      </c>
      <c r="L2360" s="1">
        <v>41270</v>
      </c>
      <c r="N2360" t="s">
        <v>36</v>
      </c>
      <c r="O2360" t="s">
        <v>37</v>
      </c>
      <c r="P2360" t="s">
        <v>408</v>
      </c>
      <c r="Q2360" t="s">
        <v>39</v>
      </c>
      <c r="R2360" t="s">
        <v>40</v>
      </c>
      <c r="S2360">
        <v>0</v>
      </c>
      <c r="U2360" t="s">
        <v>41</v>
      </c>
      <c r="V2360" t="s">
        <v>42</v>
      </c>
      <c r="X2360" t="s">
        <v>74</v>
      </c>
      <c r="Y2360" t="b">
        <v>0</v>
      </c>
      <c r="Z2360" t="b">
        <v>0</v>
      </c>
      <c r="AC2360" s="1"/>
      <c r="AF2360">
        <v>0</v>
      </c>
      <c r="AG2360">
        <v>45</v>
      </c>
      <c r="AH2360">
        <v>43</v>
      </c>
      <c r="AI2360" s="2">
        <f>Table__192.168.3.138DYLAgingReport[[#This Row],[NetAmount]]-Table__192.168.3.138DYLAgingReport[[#This Row],[Paid]]</f>
        <v>108448</v>
      </c>
    </row>
    <row r="2361" spans="1:35">
      <c r="A2361" t="s">
        <v>4782</v>
      </c>
      <c r="B2361" s="1">
        <v>41271</v>
      </c>
      <c r="C2361" s="1">
        <v>41316</v>
      </c>
      <c r="D2361" t="s">
        <v>271</v>
      </c>
      <c r="E2361">
        <v>104960</v>
      </c>
      <c r="F2361">
        <v>16794</v>
      </c>
      <c r="G2361">
        <v>0</v>
      </c>
      <c r="H2361">
        <v>0</v>
      </c>
      <c r="I2361">
        <v>-3</v>
      </c>
      <c r="J2361">
        <v>121754</v>
      </c>
      <c r="K2361" t="s">
        <v>970</v>
      </c>
      <c r="L2361" s="1">
        <v>41271</v>
      </c>
      <c r="N2361" t="s">
        <v>36</v>
      </c>
      <c r="O2361" t="s">
        <v>37</v>
      </c>
      <c r="P2361" t="s">
        <v>408</v>
      </c>
      <c r="Q2361" t="s">
        <v>39</v>
      </c>
      <c r="R2361" t="s">
        <v>40</v>
      </c>
      <c r="S2361">
        <v>0</v>
      </c>
      <c r="U2361" t="s">
        <v>41</v>
      </c>
      <c r="V2361" t="s">
        <v>42</v>
      </c>
      <c r="X2361" t="s">
        <v>74</v>
      </c>
      <c r="Y2361" t="b">
        <v>0</v>
      </c>
      <c r="Z2361" t="b">
        <v>0</v>
      </c>
      <c r="AC2361" s="1"/>
      <c r="AF2361">
        <v>0</v>
      </c>
      <c r="AG2361">
        <v>45</v>
      </c>
      <c r="AH2361">
        <v>42</v>
      </c>
      <c r="AI2361" s="2">
        <f>Table__192.168.3.138DYLAgingReport[[#This Row],[NetAmount]]-Table__192.168.3.138DYLAgingReport[[#This Row],[Paid]]</f>
        <v>121754</v>
      </c>
    </row>
    <row r="2362" spans="1:35">
      <c r="A2362" t="s">
        <v>4783</v>
      </c>
      <c r="B2362" s="1">
        <v>41272</v>
      </c>
      <c r="C2362" s="1">
        <v>41317</v>
      </c>
      <c r="D2362" t="s">
        <v>271</v>
      </c>
      <c r="E2362">
        <v>61000</v>
      </c>
      <c r="F2362">
        <v>9760</v>
      </c>
      <c r="G2362">
        <v>0</v>
      </c>
      <c r="H2362">
        <v>0</v>
      </c>
      <c r="I2362">
        <v>-4</v>
      </c>
      <c r="J2362">
        <v>70760</v>
      </c>
      <c r="K2362" t="s">
        <v>4628</v>
      </c>
      <c r="L2362" s="1">
        <v>41272</v>
      </c>
      <c r="N2362" t="s">
        <v>36</v>
      </c>
      <c r="O2362" t="s">
        <v>37</v>
      </c>
      <c r="P2362" t="s">
        <v>408</v>
      </c>
      <c r="Q2362" t="s">
        <v>39</v>
      </c>
      <c r="R2362" t="s">
        <v>40</v>
      </c>
      <c r="S2362">
        <v>0</v>
      </c>
      <c r="U2362" t="s">
        <v>41</v>
      </c>
      <c r="V2362" t="s">
        <v>42</v>
      </c>
      <c r="X2362" t="s">
        <v>74</v>
      </c>
      <c r="Y2362" t="b">
        <v>0</v>
      </c>
      <c r="Z2362" t="b">
        <v>0</v>
      </c>
      <c r="AC2362" s="1"/>
      <c r="AF2362">
        <v>0</v>
      </c>
      <c r="AG2362">
        <v>45</v>
      </c>
      <c r="AH2362">
        <v>41</v>
      </c>
      <c r="AI2362" s="2">
        <f>Table__192.168.3.138DYLAgingReport[[#This Row],[NetAmount]]-Table__192.168.3.138DYLAgingReport[[#This Row],[Paid]]</f>
        <v>70760</v>
      </c>
    </row>
    <row r="2363" spans="1:35">
      <c r="A2363" t="s">
        <v>4784</v>
      </c>
      <c r="B2363" s="1">
        <v>41271</v>
      </c>
      <c r="C2363" s="1">
        <v>41301</v>
      </c>
      <c r="D2363" t="s">
        <v>285</v>
      </c>
      <c r="E2363">
        <v>870000</v>
      </c>
      <c r="F2363">
        <v>139200</v>
      </c>
      <c r="G2363">
        <v>0</v>
      </c>
      <c r="H2363">
        <v>0</v>
      </c>
      <c r="I2363">
        <v>12</v>
      </c>
      <c r="J2363">
        <v>1009200</v>
      </c>
      <c r="K2363" t="s">
        <v>4785</v>
      </c>
      <c r="L2363" s="1">
        <v>41271</v>
      </c>
      <c r="N2363" t="s">
        <v>36</v>
      </c>
      <c r="O2363" t="s">
        <v>37</v>
      </c>
      <c r="P2363" t="s">
        <v>422</v>
      </c>
      <c r="Q2363" t="s">
        <v>39</v>
      </c>
      <c r="R2363" t="s">
        <v>40</v>
      </c>
      <c r="S2363">
        <v>0</v>
      </c>
      <c r="U2363" t="s">
        <v>41</v>
      </c>
      <c r="V2363" t="s">
        <v>42</v>
      </c>
      <c r="X2363" t="s">
        <v>74</v>
      </c>
      <c r="Y2363" t="b">
        <v>0</v>
      </c>
      <c r="Z2363" t="b">
        <v>0</v>
      </c>
      <c r="AC2363" s="1"/>
      <c r="AF2363">
        <v>0</v>
      </c>
      <c r="AG2363">
        <v>30</v>
      </c>
      <c r="AH2363">
        <v>42</v>
      </c>
      <c r="AI2363" s="2">
        <f>Table__192.168.3.138DYLAgingReport[[#This Row],[NetAmount]]-Table__192.168.3.138DYLAgingReport[[#This Row],[Paid]]</f>
        <v>1009200</v>
      </c>
    </row>
    <row r="2364" spans="1:35">
      <c r="A2364" t="s">
        <v>4786</v>
      </c>
      <c r="B2364" s="1">
        <v>41274</v>
      </c>
      <c r="C2364" s="1">
        <v>41319</v>
      </c>
      <c r="D2364" t="s">
        <v>293</v>
      </c>
      <c r="E2364">
        <v>20700</v>
      </c>
      <c r="F2364">
        <v>3312</v>
      </c>
      <c r="G2364">
        <v>0</v>
      </c>
      <c r="H2364">
        <v>0</v>
      </c>
      <c r="I2364">
        <v>-4</v>
      </c>
      <c r="J2364">
        <v>24012</v>
      </c>
      <c r="K2364" t="s">
        <v>4787</v>
      </c>
      <c r="L2364" s="1">
        <v>41272</v>
      </c>
      <c r="N2364" t="s">
        <v>36</v>
      </c>
      <c r="O2364" t="s">
        <v>37</v>
      </c>
      <c r="P2364" t="s">
        <v>430</v>
      </c>
      <c r="Q2364" t="s">
        <v>39</v>
      </c>
      <c r="R2364" t="s">
        <v>40</v>
      </c>
      <c r="S2364">
        <v>0</v>
      </c>
      <c r="U2364" t="s">
        <v>41</v>
      </c>
      <c r="V2364" t="s">
        <v>42</v>
      </c>
      <c r="X2364" t="s">
        <v>74</v>
      </c>
      <c r="Y2364" t="b">
        <v>0</v>
      </c>
      <c r="Z2364" t="b">
        <v>0</v>
      </c>
      <c r="AC2364" s="1"/>
      <c r="AF2364">
        <v>0</v>
      </c>
      <c r="AG2364">
        <v>45</v>
      </c>
      <c r="AH2364">
        <v>41</v>
      </c>
      <c r="AI2364" s="2">
        <f>Table__192.168.3.138DYLAgingReport[[#This Row],[NetAmount]]-Table__192.168.3.138DYLAgingReport[[#This Row],[Paid]]</f>
        <v>24012</v>
      </c>
    </row>
    <row r="2365" spans="1:35">
      <c r="A2365" t="s">
        <v>4788</v>
      </c>
      <c r="B2365" s="1">
        <v>41264</v>
      </c>
      <c r="C2365" s="1">
        <v>41309</v>
      </c>
      <c r="D2365" t="s">
        <v>293</v>
      </c>
      <c r="E2365">
        <v>1564000</v>
      </c>
      <c r="F2365">
        <v>250240</v>
      </c>
      <c r="G2365">
        <v>0</v>
      </c>
      <c r="H2365">
        <v>0</v>
      </c>
      <c r="I2365">
        <v>6</v>
      </c>
      <c r="J2365">
        <v>1814240</v>
      </c>
      <c r="K2365" t="s">
        <v>4789</v>
      </c>
      <c r="L2365" s="1">
        <v>41262</v>
      </c>
      <c r="N2365" t="s">
        <v>36</v>
      </c>
      <c r="O2365" t="s">
        <v>37</v>
      </c>
      <c r="P2365" t="s">
        <v>430</v>
      </c>
      <c r="Q2365" t="s">
        <v>39</v>
      </c>
      <c r="R2365" t="s">
        <v>40</v>
      </c>
      <c r="S2365">
        <v>0</v>
      </c>
      <c r="U2365" t="s">
        <v>41</v>
      </c>
      <c r="V2365" t="s">
        <v>42</v>
      </c>
      <c r="X2365" t="s">
        <v>74</v>
      </c>
      <c r="Y2365" t="b">
        <v>0</v>
      </c>
      <c r="Z2365" t="b">
        <v>0</v>
      </c>
      <c r="AC2365" s="1"/>
      <c r="AF2365">
        <v>0</v>
      </c>
      <c r="AG2365">
        <v>45</v>
      </c>
      <c r="AH2365">
        <v>51</v>
      </c>
      <c r="AI2365" s="2">
        <f>Table__192.168.3.138DYLAgingReport[[#This Row],[NetAmount]]-Table__192.168.3.138DYLAgingReport[[#This Row],[Paid]]</f>
        <v>1814240</v>
      </c>
    </row>
    <row r="2366" spans="1:35">
      <c r="A2366" t="s">
        <v>4790</v>
      </c>
      <c r="B2366" s="1">
        <v>41274</v>
      </c>
      <c r="C2366" s="1">
        <v>41319</v>
      </c>
      <c r="D2366" t="s">
        <v>254</v>
      </c>
      <c r="E2366">
        <v>47000</v>
      </c>
      <c r="F2366">
        <v>7520</v>
      </c>
      <c r="G2366">
        <v>0</v>
      </c>
      <c r="H2366">
        <v>0</v>
      </c>
      <c r="I2366">
        <v>-6</v>
      </c>
      <c r="J2366">
        <v>54520</v>
      </c>
      <c r="K2366" t="s">
        <v>4791</v>
      </c>
      <c r="L2366" s="1">
        <v>41274</v>
      </c>
      <c r="N2366" t="s">
        <v>36</v>
      </c>
      <c r="O2366" t="s">
        <v>37</v>
      </c>
      <c r="P2366" t="s">
        <v>391</v>
      </c>
      <c r="Q2366" t="s">
        <v>39</v>
      </c>
      <c r="R2366" t="s">
        <v>40</v>
      </c>
      <c r="S2366">
        <v>0</v>
      </c>
      <c r="U2366" t="s">
        <v>41</v>
      </c>
      <c r="V2366" t="s">
        <v>42</v>
      </c>
      <c r="X2366" t="s">
        <v>74</v>
      </c>
      <c r="Y2366" t="b">
        <v>0</v>
      </c>
      <c r="Z2366" t="b">
        <v>0</v>
      </c>
      <c r="AC2366" s="1"/>
      <c r="AF2366">
        <v>0</v>
      </c>
      <c r="AG2366">
        <v>45</v>
      </c>
      <c r="AH2366">
        <v>39</v>
      </c>
      <c r="AI2366" s="2">
        <f>Table__192.168.3.138DYLAgingReport[[#This Row],[NetAmount]]-Table__192.168.3.138DYLAgingReport[[#This Row],[Paid]]</f>
        <v>54520</v>
      </c>
    </row>
    <row r="2367" spans="1:35">
      <c r="A2367" t="s">
        <v>4792</v>
      </c>
      <c r="B2367" s="1">
        <v>41266</v>
      </c>
      <c r="C2367" s="1">
        <v>41311</v>
      </c>
      <c r="D2367" t="s">
        <v>254</v>
      </c>
      <c r="E2367">
        <v>1580000</v>
      </c>
      <c r="F2367">
        <v>252800</v>
      </c>
      <c r="G2367">
        <v>0</v>
      </c>
      <c r="H2367">
        <v>0</v>
      </c>
      <c r="I2367">
        <v>6</v>
      </c>
      <c r="J2367">
        <v>1832800</v>
      </c>
      <c r="K2367" t="s">
        <v>4793</v>
      </c>
      <c r="L2367" s="1">
        <v>41262</v>
      </c>
      <c r="N2367" t="s">
        <v>36</v>
      </c>
      <c r="O2367" t="s">
        <v>37</v>
      </c>
      <c r="P2367" t="s">
        <v>391</v>
      </c>
      <c r="Q2367" t="s">
        <v>39</v>
      </c>
      <c r="R2367" t="s">
        <v>40</v>
      </c>
      <c r="S2367">
        <v>0</v>
      </c>
      <c r="U2367" t="s">
        <v>41</v>
      </c>
      <c r="V2367" t="s">
        <v>42</v>
      </c>
      <c r="X2367" t="s">
        <v>74</v>
      </c>
      <c r="Y2367" t="b">
        <v>0</v>
      </c>
      <c r="Z2367" t="b">
        <v>0</v>
      </c>
      <c r="AC2367" s="1"/>
      <c r="AF2367">
        <v>0</v>
      </c>
      <c r="AG2367">
        <v>45</v>
      </c>
      <c r="AH2367">
        <v>51</v>
      </c>
      <c r="AI2367" s="2">
        <f>Table__192.168.3.138DYLAgingReport[[#This Row],[NetAmount]]-Table__192.168.3.138DYLAgingReport[[#This Row],[Paid]]</f>
        <v>1832800</v>
      </c>
    </row>
    <row r="2368" spans="1:35">
      <c r="A2368" t="s">
        <v>4794</v>
      </c>
      <c r="B2368" s="1">
        <v>41265</v>
      </c>
      <c r="C2368" s="1">
        <v>41310</v>
      </c>
      <c r="D2368" t="s">
        <v>251</v>
      </c>
      <c r="E2368">
        <v>117280</v>
      </c>
      <c r="F2368">
        <v>18765</v>
      </c>
      <c r="G2368">
        <v>0</v>
      </c>
      <c r="H2368">
        <v>0</v>
      </c>
      <c r="I2368">
        <v>1</v>
      </c>
      <c r="J2368">
        <v>136045</v>
      </c>
      <c r="K2368" t="s">
        <v>905</v>
      </c>
      <c r="L2368" s="1">
        <v>41267</v>
      </c>
      <c r="N2368" t="s">
        <v>36</v>
      </c>
      <c r="O2368" t="s">
        <v>37</v>
      </c>
      <c r="P2368" t="s">
        <v>388</v>
      </c>
      <c r="Q2368" t="s">
        <v>39</v>
      </c>
      <c r="R2368" t="s">
        <v>40</v>
      </c>
      <c r="S2368">
        <v>0</v>
      </c>
      <c r="U2368" t="s">
        <v>41</v>
      </c>
      <c r="V2368" t="s">
        <v>42</v>
      </c>
      <c r="X2368" t="s">
        <v>74</v>
      </c>
      <c r="Y2368" t="b">
        <v>0</v>
      </c>
      <c r="Z2368" t="b">
        <v>0</v>
      </c>
      <c r="AC2368" s="1"/>
      <c r="AF2368">
        <v>0</v>
      </c>
      <c r="AG2368">
        <v>45</v>
      </c>
      <c r="AH2368">
        <v>46</v>
      </c>
      <c r="AI2368" s="2">
        <f>Table__192.168.3.138DYLAgingReport[[#This Row],[NetAmount]]-Table__192.168.3.138DYLAgingReport[[#This Row],[Paid]]</f>
        <v>136045</v>
      </c>
    </row>
    <row r="2369" spans="1:35">
      <c r="A2369" t="s">
        <v>4795</v>
      </c>
      <c r="B2369" s="1">
        <v>41271</v>
      </c>
      <c r="C2369" s="1">
        <v>41316</v>
      </c>
      <c r="D2369" t="s">
        <v>251</v>
      </c>
      <c r="E2369">
        <v>210080</v>
      </c>
      <c r="F2369">
        <v>33612</v>
      </c>
      <c r="G2369">
        <v>0</v>
      </c>
      <c r="H2369">
        <v>0</v>
      </c>
      <c r="I2369">
        <v>-4</v>
      </c>
      <c r="J2369">
        <v>243692</v>
      </c>
      <c r="K2369" t="s">
        <v>3081</v>
      </c>
      <c r="L2369" s="1">
        <v>41272</v>
      </c>
      <c r="N2369" t="s">
        <v>36</v>
      </c>
      <c r="O2369" t="s">
        <v>37</v>
      </c>
      <c r="P2369" t="s">
        <v>388</v>
      </c>
      <c r="Q2369" t="s">
        <v>39</v>
      </c>
      <c r="R2369" t="s">
        <v>40</v>
      </c>
      <c r="S2369">
        <v>0</v>
      </c>
      <c r="U2369" t="s">
        <v>41</v>
      </c>
      <c r="V2369" t="s">
        <v>42</v>
      </c>
      <c r="X2369" t="s">
        <v>74</v>
      </c>
      <c r="Y2369" t="b">
        <v>0</v>
      </c>
      <c r="Z2369" t="b">
        <v>0</v>
      </c>
      <c r="AC2369" s="1"/>
      <c r="AF2369">
        <v>0</v>
      </c>
      <c r="AG2369">
        <v>45</v>
      </c>
      <c r="AH2369">
        <v>41</v>
      </c>
      <c r="AI2369" s="2">
        <f>Table__192.168.3.138DYLAgingReport[[#This Row],[NetAmount]]-Table__192.168.3.138DYLAgingReport[[#This Row],[Paid]]</f>
        <v>243692</v>
      </c>
    </row>
    <row r="2370" spans="1:35">
      <c r="A2370" t="s">
        <v>4796</v>
      </c>
      <c r="B2370" s="1">
        <v>41264</v>
      </c>
      <c r="C2370" s="1">
        <v>41309</v>
      </c>
      <c r="D2370" t="s">
        <v>251</v>
      </c>
      <c r="E2370">
        <v>223900</v>
      </c>
      <c r="F2370">
        <v>35824</v>
      </c>
      <c r="G2370">
        <v>0</v>
      </c>
      <c r="H2370">
        <v>0</v>
      </c>
      <c r="I2370">
        <v>3</v>
      </c>
      <c r="J2370">
        <v>259724</v>
      </c>
      <c r="K2370" t="s">
        <v>3047</v>
      </c>
      <c r="L2370" s="1">
        <v>41265</v>
      </c>
      <c r="N2370" t="s">
        <v>36</v>
      </c>
      <c r="O2370" t="s">
        <v>37</v>
      </c>
      <c r="P2370" t="s">
        <v>388</v>
      </c>
      <c r="Q2370" t="s">
        <v>39</v>
      </c>
      <c r="R2370" t="s">
        <v>40</v>
      </c>
      <c r="S2370">
        <v>0</v>
      </c>
      <c r="U2370" t="s">
        <v>41</v>
      </c>
      <c r="V2370" t="s">
        <v>42</v>
      </c>
      <c r="X2370" t="s">
        <v>74</v>
      </c>
      <c r="Y2370" t="b">
        <v>0</v>
      </c>
      <c r="Z2370" t="b">
        <v>0</v>
      </c>
      <c r="AC2370" s="1"/>
      <c r="AF2370">
        <v>0</v>
      </c>
      <c r="AG2370">
        <v>45</v>
      </c>
      <c r="AH2370">
        <v>48</v>
      </c>
      <c r="AI2370" s="2">
        <f>Table__192.168.3.138DYLAgingReport[[#This Row],[NetAmount]]-Table__192.168.3.138DYLAgingReport[[#This Row],[Paid]]</f>
        <v>259724</v>
      </c>
    </row>
    <row r="2371" spans="1:35">
      <c r="A2371" t="s">
        <v>4797</v>
      </c>
      <c r="B2371" s="1">
        <v>41270</v>
      </c>
      <c r="C2371" s="1">
        <v>41315</v>
      </c>
      <c r="D2371" t="s">
        <v>231</v>
      </c>
      <c r="E2371">
        <v>46800</v>
      </c>
      <c r="F2371">
        <v>7488</v>
      </c>
      <c r="G2371">
        <v>0</v>
      </c>
      <c r="H2371">
        <v>0</v>
      </c>
      <c r="I2371">
        <v>-2</v>
      </c>
      <c r="J2371">
        <v>54288</v>
      </c>
      <c r="K2371" t="s">
        <v>4798</v>
      </c>
      <c r="L2371" s="1">
        <v>41270</v>
      </c>
      <c r="N2371" t="s">
        <v>36</v>
      </c>
      <c r="O2371" t="s">
        <v>37</v>
      </c>
      <c r="P2371" t="s">
        <v>368</v>
      </c>
      <c r="Q2371" t="s">
        <v>39</v>
      </c>
      <c r="R2371" t="s">
        <v>40</v>
      </c>
      <c r="S2371">
        <v>0</v>
      </c>
      <c r="U2371" t="s">
        <v>41</v>
      </c>
      <c r="V2371" t="s">
        <v>42</v>
      </c>
      <c r="X2371" t="s">
        <v>74</v>
      </c>
      <c r="Y2371" t="b">
        <v>0</v>
      </c>
      <c r="Z2371" t="b">
        <v>0</v>
      </c>
      <c r="AC2371" s="1"/>
      <c r="AF2371">
        <v>0</v>
      </c>
      <c r="AG2371">
        <v>45</v>
      </c>
      <c r="AH2371">
        <v>43</v>
      </c>
      <c r="AI2371" s="2">
        <f>Table__192.168.3.138DYLAgingReport[[#This Row],[NetAmount]]-Table__192.168.3.138DYLAgingReport[[#This Row],[Paid]]</f>
        <v>54288</v>
      </c>
    </row>
    <row r="2372" spans="1:35">
      <c r="A2372" t="s">
        <v>4799</v>
      </c>
      <c r="B2372" s="1">
        <v>41261</v>
      </c>
      <c r="C2372" s="1">
        <v>41306</v>
      </c>
      <c r="D2372" t="s">
        <v>208</v>
      </c>
      <c r="E2372">
        <v>93507</v>
      </c>
      <c r="F2372">
        <v>14961</v>
      </c>
      <c r="G2372">
        <v>0</v>
      </c>
      <c r="H2372">
        <v>0</v>
      </c>
      <c r="I2372">
        <v>7</v>
      </c>
      <c r="J2372">
        <v>108468</v>
      </c>
      <c r="K2372" t="s">
        <v>4800</v>
      </c>
      <c r="L2372" s="1">
        <v>41261</v>
      </c>
      <c r="N2372" t="s">
        <v>36</v>
      </c>
      <c r="O2372" t="s">
        <v>37</v>
      </c>
      <c r="P2372" t="s">
        <v>345</v>
      </c>
      <c r="Q2372" t="s">
        <v>39</v>
      </c>
      <c r="R2372" t="s">
        <v>40</v>
      </c>
      <c r="S2372">
        <v>0</v>
      </c>
      <c r="U2372" t="s">
        <v>41</v>
      </c>
      <c r="V2372" t="s">
        <v>42</v>
      </c>
      <c r="X2372" t="s">
        <v>74</v>
      </c>
      <c r="Y2372" t="b">
        <v>0</v>
      </c>
      <c r="Z2372" t="b">
        <v>0</v>
      </c>
      <c r="AB2372" t="s">
        <v>1186</v>
      </c>
      <c r="AC2372" s="1"/>
      <c r="AF2372">
        <v>0</v>
      </c>
      <c r="AG2372">
        <v>45</v>
      </c>
      <c r="AH2372">
        <v>52</v>
      </c>
      <c r="AI2372" s="2">
        <f>Table__192.168.3.138DYLAgingReport[[#This Row],[NetAmount]]-Table__192.168.3.138DYLAgingReport[[#This Row],[Paid]]</f>
        <v>108468</v>
      </c>
    </row>
    <row r="2373" spans="1:35">
      <c r="A2373" t="s">
        <v>4801</v>
      </c>
      <c r="B2373" s="1">
        <v>41261</v>
      </c>
      <c r="C2373" s="1">
        <v>41306</v>
      </c>
      <c r="D2373" t="s">
        <v>208</v>
      </c>
      <c r="E2373">
        <v>37624</v>
      </c>
      <c r="F2373">
        <v>6020</v>
      </c>
      <c r="G2373">
        <v>0</v>
      </c>
      <c r="H2373">
        <v>0</v>
      </c>
      <c r="I2373">
        <v>7</v>
      </c>
      <c r="J2373">
        <v>43644</v>
      </c>
      <c r="K2373" t="s">
        <v>4802</v>
      </c>
      <c r="L2373" s="1">
        <v>41261</v>
      </c>
      <c r="N2373" t="s">
        <v>36</v>
      </c>
      <c r="O2373" t="s">
        <v>37</v>
      </c>
      <c r="P2373" t="s">
        <v>345</v>
      </c>
      <c r="Q2373" t="s">
        <v>39</v>
      </c>
      <c r="R2373" t="s">
        <v>40</v>
      </c>
      <c r="S2373">
        <v>0</v>
      </c>
      <c r="U2373" t="s">
        <v>41</v>
      </c>
      <c r="V2373" t="s">
        <v>42</v>
      </c>
      <c r="X2373" t="s">
        <v>74</v>
      </c>
      <c r="Y2373" t="b">
        <v>0</v>
      </c>
      <c r="Z2373" t="b">
        <v>0</v>
      </c>
      <c r="AB2373" t="s">
        <v>1186</v>
      </c>
      <c r="AC2373" s="1"/>
      <c r="AF2373">
        <v>0</v>
      </c>
      <c r="AG2373">
        <v>45</v>
      </c>
      <c r="AH2373">
        <v>52</v>
      </c>
      <c r="AI2373" s="2">
        <f>Table__192.168.3.138DYLAgingReport[[#This Row],[NetAmount]]-Table__192.168.3.138DYLAgingReport[[#This Row],[Paid]]</f>
        <v>43644</v>
      </c>
    </row>
    <row r="2374" spans="1:35">
      <c r="A2374" t="s">
        <v>4803</v>
      </c>
      <c r="B2374" s="1">
        <v>41264</v>
      </c>
      <c r="C2374" s="1">
        <v>41309</v>
      </c>
      <c r="D2374" t="s">
        <v>208</v>
      </c>
      <c r="E2374">
        <v>5600</v>
      </c>
      <c r="F2374">
        <v>896</v>
      </c>
      <c r="G2374">
        <v>0</v>
      </c>
      <c r="H2374">
        <v>0</v>
      </c>
      <c r="I2374">
        <v>5</v>
      </c>
      <c r="J2374">
        <v>6496</v>
      </c>
      <c r="K2374" t="s">
        <v>4804</v>
      </c>
      <c r="L2374" s="1">
        <v>41263</v>
      </c>
      <c r="N2374" t="s">
        <v>36</v>
      </c>
      <c r="O2374" t="s">
        <v>37</v>
      </c>
      <c r="P2374" t="s">
        <v>345</v>
      </c>
      <c r="Q2374" t="s">
        <v>39</v>
      </c>
      <c r="R2374" t="s">
        <v>40</v>
      </c>
      <c r="S2374">
        <v>0</v>
      </c>
      <c r="U2374" t="s">
        <v>41</v>
      </c>
      <c r="V2374" t="s">
        <v>42</v>
      </c>
      <c r="X2374" t="s">
        <v>74</v>
      </c>
      <c r="Y2374" t="b">
        <v>0</v>
      </c>
      <c r="Z2374" t="b">
        <v>0</v>
      </c>
      <c r="AB2374" t="s">
        <v>1186</v>
      </c>
      <c r="AC2374" s="1"/>
      <c r="AF2374">
        <v>0</v>
      </c>
      <c r="AG2374">
        <v>45</v>
      </c>
      <c r="AH2374">
        <v>50</v>
      </c>
      <c r="AI2374" s="2">
        <f>Table__192.168.3.138DYLAgingReport[[#This Row],[NetAmount]]-Table__192.168.3.138DYLAgingReport[[#This Row],[Paid]]</f>
        <v>6496</v>
      </c>
    </row>
    <row r="2375" spans="1:35">
      <c r="A2375" t="s">
        <v>4805</v>
      </c>
      <c r="B2375" s="1">
        <v>41268</v>
      </c>
      <c r="C2375" s="1">
        <v>41313</v>
      </c>
      <c r="D2375" t="s">
        <v>208</v>
      </c>
      <c r="E2375">
        <v>8400</v>
      </c>
      <c r="F2375">
        <v>1344</v>
      </c>
      <c r="G2375">
        <v>0</v>
      </c>
      <c r="H2375">
        <v>0</v>
      </c>
      <c r="I2375">
        <v>1</v>
      </c>
      <c r="J2375">
        <v>9744</v>
      </c>
      <c r="K2375" t="s">
        <v>4806</v>
      </c>
      <c r="L2375" s="1">
        <v>41267</v>
      </c>
      <c r="N2375" t="s">
        <v>36</v>
      </c>
      <c r="O2375" t="s">
        <v>37</v>
      </c>
      <c r="P2375" t="s">
        <v>345</v>
      </c>
      <c r="Q2375" t="s">
        <v>39</v>
      </c>
      <c r="R2375" t="s">
        <v>40</v>
      </c>
      <c r="S2375">
        <v>0</v>
      </c>
      <c r="U2375" t="s">
        <v>41</v>
      </c>
      <c r="V2375" t="s">
        <v>42</v>
      </c>
      <c r="X2375" t="s">
        <v>74</v>
      </c>
      <c r="Y2375" t="b">
        <v>0</v>
      </c>
      <c r="Z2375" t="b">
        <v>0</v>
      </c>
      <c r="AB2375" t="s">
        <v>4807</v>
      </c>
      <c r="AC2375" s="1"/>
      <c r="AF2375">
        <v>0</v>
      </c>
      <c r="AG2375">
        <v>45</v>
      </c>
      <c r="AH2375">
        <v>46</v>
      </c>
      <c r="AI2375" s="2">
        <f>Table__192.168.3.138DYLAgingReport[[#This Row],[NetAmount]]-Table__192.168.3.138DYLAgingReport[[#This Row],[Paid]]</f>
        <v>9744</v>
      </c>
    </row>
    <row r="2376" spans="1:35">
      <c r="A2376" t="s">
        <v>4808</v>
      </c>
      <c r="B2376" s="1">
        <v>41268</v>
      </c>
      <c r="C2376" s="1">
        <v>41313</v>
      </c>
      <c r="D2376" t="s">
        <v>208</v>
      </c>
      <c r="E2376">
        <v>40647</v>
      </c>
      <c r="F2376">
        <v>6504</v>
      </c>
      <c r="G2376">
        <v>0</v>
      </c>
      <c r="H2376">
        <v>0</v>
      </c>
      <c r="I2376">
        <v>1</v>
      </c>
      <c r="J2376">
        <v>47151</v>
      </c>
      <c r="K2376" t="s">
        <v>4809</v>
      </c>
      <c r="L2376" s="1">
        <v>41267</v>
      </c>
      <c r="N2376" t="s">
        <v>36</v>
      </c>
      <c r="O2376" t="s">
        <v>37</v>
      </c>
      <c r="P2376" t="s">
        <v>345</v>
      </c>
      <c r="Q2376" t="s">
        <v>39</v>
      </c>
      <c r="R2376" t="s">
        <v>40</v>
      </c>
      <c r="S2376">
        <v>0</v>
      </c>
      <c r="U2376" t="s">
        <v>41</v>
      </c>
      <c r="V2376" t="s">
        <v>42</v>
      </c>
      <c r="X2376" t="s">
        <v>74</v>
      </c>
      <c r="Y2376" t="b">
        <v>0</v>
      </c>
      <c r="Z2376" t="b">
        <v>0</v>
      </c>
      <c r="AB2376" t="s">
        <v>4807</v>
      </c>
      <c r="AC2376" s="1"/>
      <c r="AF2376">
        <v>0</v>
      </c>
      <c r="AG2376">
        <v>45</v>
      </c>
      <c r="AH2376">
        <v>46</v>
      </c>
      <c r="AI2376" s="2">
        <f>Table__192.168.3.138DYLAgingReport[[#This Row],[NetAmount]]-Table__192.168.3.138DYLAgingReport[[#This Row],[Paid]]</f>
        <v>47151</v>
      </c>
    </row>
    <row r="2377" spans="1:35">
      <c r="A2377" t="s">
        <v>4810</v>
      </c>
      <c r="B2377" s="1">
        <v>41251</v>
      </c>
      <c r="C2377" s="1">
        <v>41296</v>
      </c>
      <c r="D2377" t="s">
        <v>234</v>
      </c>
      <c r="E2377">
        <v>335336</v>
      </c>
      <c r="F2377">
        <v>53654</v>
      </c>
      <c r="G2377">
        <v>0</v>
      </c>
      <c r="H2377">
        <v>0</v>
      </c>
      <c r="I2377">
        <v>19</v>
      </c>
      <c r="J2377">
        <v>388990</v>
      </c>
      <c r="K2377" t="s">
        <v>4811</v>
      </c>
      <c r="L2377" s="1">
        <v>41249</v>
      </c>
      <c r="N2377" t="s">
        <v>36</v>
      </c>
      <c r="O2377" t="s">
        <v>37</v>
      </c>
      <c r="P2377" t="s">
        <v>371</v>
      </c>
      <c r="Q2377" t="s">
        <v>39</v>
      </c>
      <c r="R2377" t="s">
        <v>40</v>
      </c>
      <c r="S2377">
        <v>0</v>
      </c>
      <c r="U2377" t="s">
        <v>41</v>
      </c>
      <c r="V2377" t="s">
        <v>42</v>
      </c>
      <c r="X2377" t="s">
        <v>74</v>
      </c>
      <c r="Y2377" t="b">
        <v>0</v>
      </c>
      <c r="Z2377" t="b">
        <v>0</v>
      </c>
      <c r="AB2377" t="s">
        <v>4812</v>
      </c>
      <c r="AC2377" s="1">
        <v>41307</v>
      </c>
      <c r="AF2377">
        <v>0</v>
      </c>
      <c r="AG2377">
        <v>45</v>
      </c>
      <c r="AH2377">
        <v>64</v>
      </c>
      <c r="AI2377" s="2">
        <f>Table__192.168.3.138DYLAgingReport[[#This Row],[NetAmount]]-Table__192.168.3.138DYLAgingReport[[#This Row],[Paid]]</f>
        <v>388990</v>
      </c>
    </row>
    <row r="2378" spans="1:35">
      <c r="A2378" t="s">
        <v>4813</v>
      </c>
      <c r="B2378" s="1">
        <v>41256</v>
      </c>
      <c r="C2378" s="1">
        <v>41301</v>
      </c>
      <c r="D2378" t="s">
        <v>234</v>
      </c>
      <c r="E2378">
        <v>279318</v>
      </c>
      <c r="F2378">
        <v>44691</v>
      </c>
      <c r="G2378">
        <v>0</v>
      </c>
      <c r="H2378">
        <v>0</v>
      </c>
      <c r="I2378">
        <v>13</v>
      </c>
      <c r="J2378">
        <v>324009</v>
      </c>
      <c r="K2378" t="s">
        <v>4814</v>
      </c>
      <c r="L2378" s="1">
        <v>41255</v>
      </c>
      <c r="N2378" t="s">
        <v>36</v>
      </c>
      <c r="O2378" t="s">
        <v>37</v>
      </c>
      <c r="P2378" t="s">
        <v>371</v>
      </c>
      <c r="Q2378" t="s">
        <v>39</v>
      </c>
      <c r="R2378" t="s">
        <v>40</v>
      </c>
      <c r="S2378">
        <v>0</v>
      </c>
      <c r="U2378" t="s">
        <v>41</v>
      </c>
      <c r="V2378" t="s">
        <v>42</v>
      </c>
      <c r="X2378" t="s">
        <v>74</v>
      </c>
      <c r="Y2378" t="b">
        <v>0</v>
      </c>
      <c r="Z2378" t="b">
        <v>0</v>
      </c>
      <c r="AB2378" t="s">
        <v>4812</v>
      </c>
      <c r="AC2378" s="1">
        <v>41307</v>
      </c>
      <c r="AF2378">
        <v>0</v>
      </c>
      <c r="AG2378">
        <v>45</v>
      </c>
      <c r="AH2378">
        <v>58</v>
      </c>
      <c r="AI2378" s="2">
        <f>Table__192.168.3.138DYLAgingReport[[#This Row],[NetAmount]]-Table__192.168.3.138DYLAgingReport[[#This Row],[Paid]]</f>
        <v>324009</v>
      </c>
    </row>
    <row r="2379" spans="1:35">
      <c r="A2379" t="s">
        <v>4815</v>
      </c>
      <c r="B2379" s="1">
        <v>41264</v>
      </c>
      <c r="C2379" s="1">
        <v>41309</v>
      </c>
      <c r="D2379" t="s">
        <v>234</v>
      </c>
      <c r="E2379">
        <v>154182</v>
      </c>
      <c r="F2379">
        <v>24669</v>
      </c>
      <c r="G2379">
        <v>0</v>
      </c>
      <c r="H2379">
        <v>0</v>
      </c>
      <c r="I2379">
        <v>5</v>
      </c>
      <c r="J2379">
        <v>178851</v>
      </c>
      <c r="K2379" t="s">
        <v>4816</v>
      </c>
      <c r="L2379" s="1">
        <v>41263</v>
      </c>
      <c r="N2379" t="s">
        <v>36</v>
      </c>
      <c r="O2379" t="s">
        <v>37</v>
      </c>
      <c r="P2379" t="s">
        <v>371</v>
      </c>
      <c r="Q2379" t="s">
        <v>39</v>
      </c>
      <c r="R2379" t="s">
        <v>40</v>
      </c>
      <c r="S2379">
        <v>0</v>
      </c>
      <c r="U2379" t="s">
        <v>41</v>
      </c>
      <c r="V2379" t="s">
        <v>42</v>
      </c>
      <c r="X2379" t="s">
        <v>74</v>
      </c>
      <c r="Y2379" t="b">
        <v>0</v>
      </c>
      <c r="Z2379" t="b">
        <v>0</v>
      </c>
      <c r="AB2379" t="s">
        <v>4812</v>
      </c>
      <c r="AC2379" s="1">
        <v>41307</v>
      </c>
      <c r="AF2379">
        <v>0</v>
      </c>
      <c r="AG2379">
        <v>45</v>
      </c>
      <c r="AH2379">
        <v>50</v>
      </c>
      <c r="AI2379" s="2">
        <f>Table__192.168.3.138DYLAgingReport[[#This Row],[NetAmount]]-Table__192.168.3.138DYLAgingReport[[#This Row],[Paid]]</f>
        <v>178851</v>
      </c>
    </row>
    <row r="2380" spans="1:35">
      <c r="A2380" t="s">
        <v>4817</v>
      </c>
      <c r="B2380" s="1">
        <v>41268</v>
      </c>
      <c r="C2380" s="1">
        <v>41313</v>
      </c>
      <c r="D2380" t="s">
        <v>234</v>
      </c>
      <c r="E2380">
        <v>211008</v>
      </c>
      <c r="F2380">
        <v>33761</v>
      </c>
      <c r="G2380">
        <v>0</v>
      </c>
      <c r="H2380">
        <v>0</v>
      </c>
      <c r="I2380">
        <v>1</v>
      </c>
      <c r="J2380">
        <v>244769</v>
      </c>
      <c r="K2380" t="s">
        <v>1220</v>
      </c>
      <c r="L2380" s="1">
        <v>41267</v>
      </c>
      <c r="N2380" t="s">
        <v>36</v>
      </c>
      <c r="O2380" t="s">
        <v>37</v>
      </c>
      <c r="P2380" t="s">
        <v>371</v>
      </c>
      <c r="Q2380" t="s">
        <v>39</v>
      </c>
      <c r="R2380" t="s">
        <v>40</v>
      </c>
      <c r="S2380">
        <v>0</v>
      </c>
      <c r="U2380" t="s">
        <v>41</v>
      </c>
      <c r="V2380" t="s">
        <v>42</v>
      </c>
      <c r="X2380" t="s">
        <v>74</v>
      </c>
      <c r="Y2380" t="b">
        <v>0</v>
      </c>
      <c r="Z2380" t="b">
        <v>0</v>
      </c>
      <c r="AC2380" s="1"/>
      <c r="AF2380">
        <v>0</v>
      </c>
      <c r="AG2380">
        <v>45</v>
      </c>
      <c r="AH2380">
        <v>46</v>
      </c>
      <c r="AI2380" s="2">
        <f>Table__192.168.3.138DYLAgingReport[[#This Row],[NetAmount]]-Table__192.168.3.138DYLAgingReport[[#This Row],[Paid]]</f>
        <v>244769</v>
      </c>
    </row>
    <row r="2381" spans="1:35">
      <c r="A2381" t="s">
        <v>4818</v>
      </c>
      <c r="B2381" s="1">
        <v>41248</v>
      </c>
      <c r="C2381" s="1">
        <v>41293</v>
      </c>
      <c r="D2381" t="s">
        <v>175</v>
      </c>
      <c r="E2381">
        <v>4000</v>
      </c>
      <c r="F2381">
        <v>640</v>
      </c>
      <c r="G2381">
        <v>0</v>
      </c>
      <c r="H2381">
        <v>0</v>
      </c>
      <c r="I2381">
        <v>21</v>
      </c>
      <c r="J2381">
        <v>4640</v>
      </c>
      <c r="K2381" t="s">
        <v>3236</v>
      </c>
      <c r="L2381" s="1">
        <v>41247</v>
      </c>
      <c r="N2381" t="s">
        <v>36</v>
      </c>
      <c r="O2381" t="s">
        <v>37</v>
      </c>
      <c r="P2381" t="s">
        <v>312</v>
      </c>
      <c r="Q2381" t="s">
        <v>39</v>
      </c>
      <c r="R2381" t="s">
        <v>40</v>
      </c>
      <c r="S2381">
        <v>0</v>
      </c>
      <c r="U2381" t="s">
        <v>41</v>
      </c>
      <c r="V2381" t="s">
        <v>42</v>
      </c>
      <c r="X2381" t="s">
        <v>74</v>
      </c>
      <c r="Y2381" t="b">
        <v>0</v>
      </c>
      <c r="Z2381" t="b">
        <v>0</v>
      </c>
      <c r="AC2381" s="1"/>
      <c r="AF2381">
        <v>0</v>
      </c>
      <c r="AG2381">
        <v>45</v>
      </c>
      <c r="AH2381">
        <v>66</v>
      </c>
      <c r="AI2381" s="2">
        <f>Table__192.168.3.138DYLAgingReport[[#This Row],[NetAmount]]-Table__192.168.3.138DYLAgingReport[[#This Row],[Paid]]</f>
        <v>4640</v>
      </c>
    </row>
    <row r="2382" spans="1:35">
      <c r="A2382" t="s">
        <v>4819</v>
      </c>
      <c r="B2382" s="1">
        <v>41248</v>
      </c>
      <c r="C2382" s="1">
        <v>41293</v>
      </c>
      <c r="D2382" t="s">
        <v>175</v>
      </c>
      <c r="E2382">
        <v>8000</v>
      </c>
      <c r="F2382">
        <v>1280</v>
      </c>
      <c r="G2382">
        <v>0</v>
      </c>
      <c r="H2382">
        <v>0</v>
      </c>
      <c r="I2382">
        <v>20</v>
      </c>
      <c r="J2382">
        <v>9280</v>
      </c>
      <c r="K2382" t="s">
        <v>3238</v>
      </c>
      <c r="L2382" s="1">
        <v>41248</v>
      </c>
      <c r="N2382" t="s">
        <v>36</v>
      </c>
      <c r="O2382" t="s">
        <v>37</v>
      </c>
      <c r="P2382" t="s">
        <v>312</v>
      </c>
      <c r="Q2382" t="s">
        <v>39</v>
      </c>
      <c r="R2382" t="s">
        <v>40</v>
      </c>
      <c r="S2382">
        <v>0</v>
      </c>
      <c r="U2382" t="s">
        <v>41</v>
      </c>
      <c r="V2382" t="s">
        <v>42</v>
      </c>
      <c r="X2382" t="s">
        <v>74</v>
      </c>
      <c r="Y2382" t="b">
        <v>0</v>
      </c>
      <c r="Z2382" t="b">
        <v>0</v>
      </c>
      <c r="AC2382" s="1"/>
      <c r="AF2382">
        <v>0</v>
      </c>
      <c r="AG2382">
        <v>45</v>
      </c>
      <c r="AH2382">
        <v>65</v>
      </c>
      <c r="AI2382" s="2">
        <f>Table__192.168.3.138DYLAgingReport[[#This Row],[NetAmount]]-Table__192.168.3.138DYLAgingReport[[#This Row],[Paid]]</f>
        <v>9280</v>
      </c>
    </row>
    <row r="2383" spans="1:35">
      <c r="A2383" t="s">
        <v>4820</v>
      </c>
      <c r="B2383" s="1">
        <v>41249</v>
      </c>
      <c r="C2383" s="1">
        <v>41294</v>
      </c>
      <c r="D2383" t="s">
        <v>175</v>
      </c>
      <c r="E2383">
        <v>233100</v>
      </c>
      <c r="F2383">
        <v>37296</v>
      </c>
      <c r="G2383">
        <v>0</v>
      </c>
      <c r="H2383">
        <v>0</v>
      </c>
      <c r="I2383">
        <v>19</v>
      </c>
      <c r="J2383">
        <v>270396</v>
      </c>
      <c r="K2383" t="s">
        <v>3392</v>
      </c>
      <c r="L2383" s="1">
        <v>41249</v>
      </c>
      <c r="N2383" t="s">
        <v>36</v>
      </c>
      <c r="O2383" t="s">
        <v>37</v>
      </c>
      <c r="P2383" t="s">
        <v>312</v>
      </c>
      <c r="Q2383" t="s">
        <v>39</v>
      </c>
      <c r="R2383" t="s">
        <v>40</v>
      </c>
      <c r="S2383">
        <v>0</v>
      </c>
      <c r="U2383" t="s">
        <v>41</v>
      </c>
      <c r="V2383" t="s">
        <v>42</v>
      </c>
      <c r="X2383" t="s">
        <v>74</v>
      </c>
      <c r="Y2383" t="b">
        <v>0</v>
      </c>
      <c r="Z2383" t="b">
        <v>0</v>
      </c>
      <c r="AC2383" s="1"/>
      <c r="AF2383">
        <v>0</v>
      </c>
      <c r="AG2383">
        <v>45</v>
      </c>
      <c r="AH2383">
        <v>64</v>
      </c>
      <c r="AI2383" s="2">
        <f>Table__192.168.3.138DYLAgingReport[[#This Row],[NetAmount]]-Table__192.168.3.138DYLAgingReport[[#This Row],[Paid]]</f>
        <v>270396</v>
      </c>
    </row>
    <row r="2384" spans="1:35">
      <c r="A2384" t="s">
        <v>4821</v>
      </c>
      <c r="B2384" s="1">
        <v>41254</v>
      </c>
      <c r="C2384" s="1">
        <v>41299</v>
      </c>
      <c r="D2384" t="s">
        <v>175</v>
      </c>
      <c r="E2384">
        <v>195000</v>
      </c>
      <c r="F2384">
        <v>31200</v>
      </c>
      <c r="G2384">
        <v>0</v>
      </c>
      <c r="H2384">
        <v>0</v>
      </c>
      <c r="I2384">
        <v>14</v>
      </c>
      <c r="J2384">
        <v>226200</v>
      </c>
      <c r="K2384" t="s">
        <v>3395</v>
      </c>
      <c r="L2384" s="1">
        <v>41254</v>
      </c>
      <c r="N2384" t="s">
        <v>36</v>
      </c>
      <c r="O2384" t="s">
        <v>37</v>
      </c>
      <c r="P2384" t="s">
        <v>312</v>
      </c>
      <c r="Q2384" t="s">
        <v>39</v>
      </c>
      <c r="R2384" t="s">
        <v>40</v>
      </c>
      <c r="S2384">
        <v>0</v>
      </c>
      <c r="U2384" t="s">
        <v>41</v>
      </c>
      <c r="V2384" t="s">
        <v>42</v>
      </c>
      <c r="X2384" t="s">
        <v>74</v>
      </c>
      <c r="Y2384" t="b">
        <v>0</v>
      </c>
      <c r="Z2384" t="b">
        <v>0</v>
      </c>
      <c r="AC2384" s="1"/>
      <c r="AF2384">
        <v>0</v>
      </c>
      <c r="AG2384">
        <v>45</v>
      </c>
      <c r="AH2384">
        <v>59</v>
      </c>
      <c r="AI2384" s="2">
        <f>Table__192.168.3.138DYLAgingReport[[#This Row],[NetAmount]]-Table__192.168.3.138DYLAgingReport[[#This Row],[Paid]]</f>
        <v>226200</v>
      </c>
    </row>
    <row r="2385" spans="1:35">
      <c r="A2385" t="s">
        <v>4822</v>
      </c>
      <c r="B2385" s="1">
        <v>41260</v>
      </c>
      <c r="C2385" s="1">
        <v>41305</v>
      </c>
      <c r="D2385" t="s">
        <v>175</v>
      </c>
      <c r="E2385">
        <v>250250</v>
      </c>
      <c r="F2385">
        <v>40040</v>
      </c>
      <c r="G2385">
        <v>0</v>
      </c>
      <c r="H2385">
        <v>0</v>
      </c>
      <c r="I2385">
        <v>8</v>
      </c>
      <c r="J2385">
        <v>290290</v>
      </c>
      <c r="K2385" t="s">
        <v>3879</v>
      </c>
      <c r="L2385" s="1">
        <v>41260</v>
      </c>
      <c r="N2385" t="s">
        <v>36</v>
      </c>
      <c r="O2385" t="s">
        <v>37</v>
      </c>
      <c r="P2385" t="s">
        <v>312</v>
      </c>
      <c r="Q2385" t="s">
        <v>39</v>
      </c>
      <c r="R2385" t="s">
        <v>40</v>
      </c>
      <c r="S2385">
        <v>0</v>
      </c>
      <c r="U2385" t="s">
        <v>41</v>
      </c>
      <c r="V2385" t="s">
        <v>42</v>
      </c>
      <c r="X2385" t="s">
        <v>74</v>
      </c>
      <c r="Y2385" t="b">
        <v>0</v>
      </c>
      <c r="Z2385" t="b">
        <v>0</v>
      </c>
      <c r="AC2385" s="1"/>
      <c r="AF2385">
        <v>0</v>
      </c>
      <c r="AG2385">
        <v>45</v>
      </c>
      <c r="AH2385">
        <v>53</v>
      </c>
      <c r="AI2385" s="2">
        <f>Table__192.168.3.138DYLAgingReport[[#This Row],[NetAmount]]-Table__192.168.3.138DYLAgingReport[[#This Row],[Paid]]</f>
        <v>290290</v>
      </c>
    </row>
    <row r="2386" spans="1:35">
      <c r="A2386" t="s">
        <v>4823</v>
      </c>
      <c r="B2386" s="1">
        <v>41267</v>
      </c>
      <c r="C2386" s="1">
        <v>41312</v>
      </c>
      <c r="D2386" t="s">
        <v>175</v>
      </c>
      <c r="E2386">
        <v>48750</v>
      </c>
      <c r="F2386">
        <v>7800</v>
      </c>
      <c r="G2386">
        <v>0</v>
      </c>
      <c r="H2386">
        <v>0</v>
      </c>
      <c r="I2386">
        <v>3</v>
      </c>
      <c r="J2386">
        <v>56550</v>
      </c>
      <c r="K2386" t="s">
        <v>4512</v>
      </c>
      <c r="L2386" s="1">
        <v>41265</v>
      </c>
      <c r="N2386" t="s">
        <v>36</v>
      </c>
      <c r="O2386" t="s">
        <v>37</v>
      </c>
      <c r="P2386" t="s">
        <v>312</v>
      </c>
      <c r="Q2386" t="s">
        <v>39</v>
      </c>
      <c r="R2386" t="s">
        <v>40</v>
      </c>
      <c r="S2386">
        <v>0</v>
      </c>
      <c r="U2386" t="s">
        <v>41</v>
      </c>
      <c r="V2386" t="s">
        <v>42</v>
      </c>
      <c r="X2386" t="s">
        <v>74</v>
      </c>
      <c r="Y2386" t="b">
        <v>0</v>
      </c>
      <c r="Z2386" t="b">
        <v>0</v>
      </c>
      <c r="AC2386" s="1"/>
      <c r="AF2386">
        <v>0</v>
      </c>
      <c r="AG2386">
        <v>45</v>
      </c>
      <c r="AH2386">
        <v>48</v>
      </c>
      <c r="AI2386" s="2">
        <f>Table__192.168.3.138DYLAgingReport[[#This Row],[NetAmount]]-Table__192.168.3.138DYLAgingReport[[#This Row],[Paid]]</f>
        <v>56550</v>
      </c>
    </row>
    <row r="2387" spans="1:35">
      <c r="A2387" t="s">
        <v>4824</v>
      </c>
      <c r="B2387" s="1">
        <v>41272</v>
      </c>
      <c r="C2387" s="1">
        <v>41317</v>
      </c>
      <c r="D2387" t="s">
        <v>168</v>
      </c>
      <c r="E2387">
        <v>228540</v>
      </c>
      <c r="F2387">
        <v>36566</v>
      </c>
      <c r="G2387">
        <v>0</v>
      </c>
      <c r="H2387">
        <v>0</v>
      </c>
      <c r="I2387">
        <v>-4</v>
      </c>
      <c r="J2387">
        <v>265106</v>
      </c>
      <c r="K2387" t="s">
        <v>4825</v>
      </c>
      <c r="L2387" s="1">
        <v>41272</v>
      </c>
      <c r="N2387" t="s">
        <v>36</v>
      </c>
      <c r="O2387" t="s">
        <v>37</v>
      </c>
      <c r="P2387" t="s">
        <v>305</v>
      </c>
      <c r="Q2387" t="s">
        <v>39</v>
      </c>
      <c r="R2387" t="s">
        <v>40</v>
      </c>
      <c r="S2387">
        <v>0</v>
      </c>
      <c r="U2387" t="s">
        <v>41</v>
      </c>
      <c r="V2387" t="s">
        <v>42</v>
      </c>
      <c r="X2387" t="s">
        <v>74</v>
      </c>
      <c r="Y2387" t="b">
        <v>0</v>
      </c>
      <c r="Z2387" t="b">
        <v>0</v>
      </c>
      <c r="AB2387" t="s">
        <v>961</v>
      </c>
      <c r="AC2387" s="1">
        <v>41291</v>
      </c>
      <c r="AE2387" t="s">
        <v>962</v>
      </c>
      <c r="AF2387">
        <v>0</v>
      </c>
      <c r="AG2387">
        <v>45</v>
      </c>
      <c r="AH2387">
        <v>41</v>
      </c>
      <c r="AI2387" s="2">
        <f>Table__192.168.3.138DYLAgingReport[[#This Row],[NetAmount]]-Table__192.168.3.138DYLAgingReport[[#This Row],[Paid]]</f>
        <v>265106</v>
      </c>
    </row>
    <row r="2388" spans="1:35">
      <c r="A2388" t="s">
        <v>4826</v>
      </c>
      <c r="B2388" s="1">
        <v>41264</v>
      </c>
      <c r="C2388" s="1">
        <v>41309</v>
      </c>
      <c r="D2388" t="s">
        <v>169</v>
      </c>
      <c r="E2388">
        <v>44000</v>
      </c>
      <c r="F2388">
        <v>7040</v>
      </c>
      <c r="G2388">
        <v>0</v>
      </c>
      <c r="H2388">
        <v>0</v>
      </c>
      <c r="I2388">
        <v>4</v>
      </c>
      <c r="J2388">
        <v>51040</v>
      </c>
      <c r="K2388" t="s">
        <v>4827</v>
      </c>
      <c r="L2388" s="1">
        <v>41264</v>
      </c>
      <c r="N2388" t="s">
        <v>36</v>
      </c>
      <c r="O2388" t="s">
        <v>37</v>
      </c>
      <c r="P2388" t="s">
        <v>306</v>
      </c>
      <c r="Q2388" t="s">
        <v>39</v>
      </c>
      <c r="R2388" t="s">
        <v>40</v>
      </c>
      <c r="S2388">
        <v>0</v>
      </c>
      <c r="U2388" t="s">
        <v>41</v>
      </c>
      <c r="V2388" t="s">
        <v>42</v>
      </c>
      <c r="X2388" t="s">
        <v>74</v>
      </c>
      <c r="Y2388" t="b">
        <v>0</v>
      </c>
      <c r="Z2388" t="b">
        <v>0</v>
      </c>
      <c r="AC2388" s="1"/>
      <c r="AF2388">
        <v>0</v>
      </c>
      <c r="AG2388">
        <v>45</v>
      </c>
      <c r="AH2388">
        <v>49</v>
      </c>
      <c r="AI2388" s="2">
        <f>Table__192.168.3.138DYLAgingReport[[#This Row],[NetAmount]]-Table__192.168.3.138DYLAgingReport[[#This Row],[Paid]]</f>
        <v>51040</v>
      </c>
    </row>
    <row r="2389" spans="1:35">
      <c r="A2389" t="s">
        <v>4828</v>
      </c>
      <c r="B2389" s="1">
        <v>41268</v>
      </c>
      <c r="C2389" s="1">
        <v>41313</v>
      </c>
      <c r="D2389" t="s">
        <v>169</v>
      </c>
      <c r="E2389">
        <v>66000</v>
      </c>
      <c r="F2389">
        <v>10560</v>
      </c>
      <c r="G2389">
        <v>0</v>
      </c>
      <c r="H2389">
        <v>0</v>
      </c>
      <c r="I2389">
        <v>1</v>
      </c>
      <c r="J2389">
        <v>76560</v>
      </c>
      <c r="K2389" t="s">
        <v>4829</v>
      </c>
      <c r="L2389" s="1">
        <v>41267</v>
      </c>
      <c r="N2389" t="s">
        <v>36</v>
      </c>
      <c r="O2389" t="s">
        <v>37</v>
      </c>
      <c r="P2389" t="s">
        <v>306</v>
      </c>
      <c r="Q2389" t="s">
        <v>39</v>
      </c>
      <c r="R2389" t="s">
        <v>40</v>
      </c>
      <c r="S2389">
        <v>0</v>
      </c>
      <c r="U2389" t="s">
        <v>41</v>
      </c>
      <c r="V2389" t="s">
        <v>42</v>
      </c>
      <c r="X2389" t="s">
        <v>74</v>
      </c>
      <c r="Y2389" t="b">
        <v>0</v>
      </c>
      <c r="Z2389" t="b">
        <v>0</v>
      </c>
      <c r="AC2389" s="1"/>
      <c r="AF2389">
        <v>0</v>
      </c>
      <c r="AG2389">
        <v>45</v>
      </c>
      <c r="AH2389">
        <v>46</v>
      </c>
      <c r="AI2389" s="2">
        <f>Table__192.168.3.138DYLAgingReport[[#This Row],[NetAmount]]-Table__192.168.3.138DYLAgingReport[[#This Row],[Paid]]</f>
        <v>76560</v>
      </c>
    </row>
    <row r="2390" spans="1:35">
      <c r="A2390" t="s">
        <v>4830</v>
      </c>
      <c r="B2390" s="1">
        <v>41271</v>
      </c>
      <c r="C2390" s="1">
        <v>41316</v>
      </c>
      <c r="D2390" t="s">
        <v>169</v>
      </c>
      <c r="E2390">
        <v>44000</v>
      </c>
      <c r="F2390">
        <v>7040</v>
      </c>
      <c r="G2390">
        <v>0</v>
      </c>
      <c r="H2390">
        <v>0</v>
      </c>
      <c r="I2390">
        <v>-3</v>
      </c>
      <c r="J2390">
        <v>51040</v>
      </c>
      <c r="K2390" t="s">
        <v>4831</v>
      </c>
      <c r="L2390" s="1">
        <v>41271</v>
      </c>
      <c r="N2390" t="s">
        <v>36</v>
      </c>
      <c r="O2390" t="s">
        <v>37</v>
      </c>
      <c r="P2390" t="s">
        <v>306</v>
      </c>
      <c r="Q2390" t="s">
        <v>39</v>
      </c>
      <c r="R2390" t="s">
        <v>40</v>
      </c>
      <c r="S2390">
        <v>0</v>
      </c>
      <c r="U2390" t="s">
        <v>41</v>
      </c>
      <c r="V2390" t="s">
        <v>42</v>
      </c>
      <c r="X2390" t="s">
        <v>74</v>
      </c>
      <c r="Y2390" t="b">
        <v>0</v>
      </c>
      <c r="Z2390" t="b">
        <v>0</v>
      </c>
      <c r="AC2390" s="1"/>
      <c r="AF2390">
        <v>0</v>
      </c>
      <c r="AG2390">
        <v>45</v>
      </c>
      <c r="AH2390">
        <v>42</v>
      </c>
      <c r="AI2390" s="2">
        <f>Table__192.168.3.138DYLAgingReport[[#This Row],[NetAmount]]-Table__192.168.3.138DYLAgingReport[[#This Row],[Paid]]</f>
        <v>51040</v>
      </c>
    </row>
    <row r="2391" spans="1:35">
      <c r="A2391" t="s">
        <v>4832</v>
      </c>
      <c r="B2391" s="1">
        <v>41247</v>
      </c>
      <c r="C2391" s="1">
        <v>41292</v>
      </c>
      <c r="D2391" t="s">
        <v>177</v>
      </c>
      <c r="E2391">
        <v>23200</v>
      </c>
      <c r="F2391">
        <v>3712</v>
      </c>
      <c r="G2391">
        <v>0</v>
      </c>
      <c r="H2391">
        <v>0</v>
      </c>
      <c r="I2391">
        <v>-3</v>
      </c>
      <c r="J2391">
        <v>26912</v>
      </c>
      <c r="K2391" t="s">
        <v>3151</v>
      </c>
      <c r="L2391" s="1">
        <v>41271</v>
      </c>
      <c r="N2391" t="s">
        <v>36</v>
      </c>
      <c r="O2391" t="s">
        <v>37</v>
      </c>
      <c r="P2391" t="s">
        <v>314</v>
      </c>
      <c r="Q2391" t="s">
        <v>39</v>
      </c>
      <c r="R2391" t="s">
        <v>40</v>
      </c>
      <c r="S2391">
        <v>0</v>
      </c>
      <c r="U2391" t="s">
        <v>41</v>
      </c>
      <c r="V2391" t="s">
        <v>42</v>
      </c>
      <c r="X2391" t="s">
        <v>74</v>
      </c>
      <c r="Y2391" t="b">
        <v>0</v>
      </c>
      <c r="Z2391" t="b">
        <v>0</v>
      </c>
      <c r="AC2391" s="1"/>
      <c r="AF2391">
        <v>0</v>
      </c>
      <c r="AG2391">
        <v>45</v>
      </c>
      <c r="AH2391">
        <v>42</v>
      </c>
      <c r="AI2391" s="2">
        <f>Table__192.168.3.138DYLAgingReport[[#This Row],[NetAmount]]-Table__192.168.3.138DYLAgingReport[[#This Row],[Paid]]</f>
        <v>26912</v>
      </c>
    </row>
    <row r="2392" spans="1:35">
      <c r="A2392" t="s">
        <v>4833</v>
      </c>
      <c r="B2392" s="1">
        <v>41249</v>
      </c>
      <c r="C2392" s="1">
        <v>41294</v>
      </c>
      <c r="D2392" t="s">
        <v>177</v>
      </c>
      <c r="E2392">
        <v>40600</v>
      </c>
      <c r="F2392">
        <v>6496</v>
      </c>
      <c r="G2392">
        <v>0</v>
      </c>
      <c r="H2392">
        <v>0</v>
      </c>
      <c r="I2392">
        <v>19</v>
      </c>
      <c r="J2392">
        <v>47096</v>
      </c>
      <c r="K2392" t="s">
        <v>3062</v>
      </c>
      <c r="L2392" s="1">
        <v>41249</v>
      </c>
      <c r="N2392" t="s">
        <v>36</v>
      </c>
      <c r="O2392" t="s">
        <v>37</v>
      </c>
      <c r="P2392" t="s">
        <v>314</v>
      </c>
      <c r="Q2392" t="s">
        <v>39</v>
      </c>
      <c r="R2392" t="s">
        <v>40</v>
      </c>
      <c r="S2392">
        <v>0</v>
      </c>
      <c r="U2392" t="s">
        <v>41</v>
      </c>
      <c r="V2392" t="s">
        <v>42</v>
      </c>
      <c r="X2392" t="s">
        <v>74</v>
      </c>
      <c r="Y2392" t="b">
        <v>0</v>
      </c>
      <c r="Z2392" t="b">
        <v>0</v>
      </c>
      <c r="AC2392" s="1"/>
      <c r="AF2392">
        <v>0</v>
      </c>
      <c r="AG2392">
        <v>45</v>
      </c>
      <c r="AH2392">
        <v>64</v>
      </c>
      <c r="AI2392" s="2">
        <f>Table__192.168.3.138DYLAgingReport[[#This Row],[NetAmount]]-Table__192.168.3.138DYLAgingReport[[#This Row],[Paid]]</f>
        <v>47096</v>
      </c>
    </row>
    <row r="2393" spans="1:35">
      <c r="A2393" t="s">
        <v>4834</v>
      </c>
      <c r="B2393" s="1">
        <v>41261</v>
      </c>
      <c r="C2393" s="1">
        <v>41306</v>
      </c>
      <c r="D2393" t="s">
        <v>177</v>
      </c>
      <c r="E2393">
        <v>87000</v>
      </c>
      <c r="F2393">
        <v>13920</v>
      </c>
      <c r="G2393">
        <v>0</v>
      </c>
      <c r="H2393">
        <v>0</v>
      </c>
      <c r="I2393">
        <v>7</v>
      </c>
      <c r="J2393">
        <v>100920</v>
      </c>
      <c r="K2393" t="s">
        <v>2633</v>
      </c>
      <c r="L2393" s="1">
        <v>41261</v>
      </c>
      <c r="N2393" t="s">
        <v>36</v>
      </c>
      <c r="O2393" t="s">
        <v>37</v>
      </c>
      <c r="P2393" t="s">
        <v>314</v>
      </c>
      <c r="Q2393" t="s">
        <v>39</v>
      </c>
      <c r="R2393" t="s">
        <v>40</v>
      </c>
      <c r="S2393">
        <v>0</v>
      </c>
      <c r="U2393" t="s">
        <v>41</v>
      </c>
      <c r="V2393" t="s">
        <v>42</v>
      </c>
      <c r="X2393" t="s">
        <v>74</v>
      </c>
      <c r="Y2393" t="b">
        <v>0</v>
      </c>
      <c r="Z2393" t="b">
        <v>0</v>
      </c>
      <c r="AC2393" s="1"/>
      <c r="AF2393">
        <v>0</v>
      </c>
      <c r="AG2393">
        <v>45</v>
      </c>
      <c r="AH2393">
        <v>52</v>
      </c>
      <c r="AI2393" s="2">
        <f>Table__192.168.3.138DYLAgingReport[[#This Row],[NetAmount]]-Table__192.168.3.138DYLAgingReport[[#This Row],[Paid]]</f>
        <v>100920</v>
      </c>
    </row>
    <row r="2394" spans="1:35">
      <c r="A2394" t="s">
        <v>4835</v>
      </c>
      <c r="B2394" s="1">
        <v>41270</v>
      </c>
      <c r="C2394" s="1">
        <v>41315</v>
      </c>
      <c r="D2394" t="s">
        <v>177</v>
      </c>
      <c r="E2394">
        <v>58000</v>
      </c>
      <c r="F2394">
        <v>9280</v>
      </c>
      <c r="G2394">
        <v>0</v>
      </c>
      <c r="H2394">
        <v>0</v>
      </c>
      <c r="I2394">
        <v>-2</v>
      </c>
      <c r="J2394">
        <v>67280</v>
      </c>
      <c r="K2394" t="s">
        <v>4836</v>
      </c>
      <c r="L2394" s="1">
        <v>41270</v>
      </c>
      <c r="N2394" t="s">
        <v>36</v>
      </c>
      <c r="O2394" t="s">
        <v>37</v>
      </c>
      <c r="P2394" t="s">
        <v>314</v>
      </c>
      <c r="Q2394" t="s">
        <v>39</v>
      </c>
      <c r="R2394" t="s">
        <v>40</v>
      </c>
      <c r="S2394">
        <v>0</v>
      </c>
      <c r="U2394" t="s">
        <v>41</v>
      </c>
      <c r="V2394" t="s">
        <v>42</v>
      </c>
      <c r="X2394" t="s">
        <v>74</v>
      </c>
      <c r="Y2394" t="b">
        <v>0</v>
      </c>
      <c r="Z2394" t="b">
        <v>0</v>
      </c>
      <c r="AC2394" s="1"/>
      <c r="AF2394">
        <v>0</v>
      </c>
      <c r="AG2394">
        <v>45</v>
      </c>
      <c r="AH2394">
        <v>43</v>
      </c>
      <c r="AI2394" s="2">
        <f>Table__192.168.3.138DYLAgingReport[[#This Row],[NetAmount]]-Table__192.168.3.138DYLAgingReport[[#This Row],[Paid]]</f>
        <v>67280</v>
      </c>
    </row>
    <row r="2395" spans="1:35">
      <c r="A2395" t="s">
        <v>4837</v>
      </c>
      <c r="B2395" s="1">
        <v>41274</v>
      </c>
      <c r="C2395" s="1">
        <v>41319</v>
      </c>
      <c r="D2395" t="s">
        <v>278</v>
      </c>
      <c r="E2395">
        <v>250000</v>
      </c>
      <c r="F2395">
        <v>40000</v>
      </c>
      <c r="G2395">
        <v>0</v>
      </c>
      <c r="H2395">
        <v>0</v>
      </c>
      <c r="I2395">
        <v>-6</v>
      </c>
      <c r="J2395">
        <v>290000</v>
      </c>
      <c r="K2395" t="s">
        <v>4838</v>
      </c>
      <c r="L2395" s="1">
        <v>41274</v>
      </c>
      <c r="N2395" t="s">
        <v>36</v>
      </c>
      <c r="O2395" t="s">
        <v>37</v>
      </c>
      <c r="P2395" t="s">
        <v>415</v>
      </c>
      <c r="Q2395" t="s">
        <v>39</v>
      </c>
      <c r="R2395" t="s">
        <v>40</v>
      </c>
      <c r="S2395">
        <v>0</v>
      </c>
      <c r="U2395" t="s">
        <v>41</v>
      </c>
      <c r="V2395" t="s">
        <v>42</v>
      </c>
      <c r="X2395" t="s">
        <v>74</v>
      </c>
      <c r="Y2395" t="b">
        <v>0</v>
      </c>
      <c r="Z2395" t="b">
        <v>0</v>
      </c>
      <c r="AC2395" s="1"/>
      <c r="AF2395">
        <v>0</v>
      </c>
      <c r="AG2395">
        <v>45</v>
      </c>
      <c r="AH2395">
        <v>39</v>
      </c>
      <c r="AI2395" s="2">
        <f>Table__192.168.3.138DYLAgingReport[[#This Row],[NetAmount]]-Table__192.168.3.138DYLAgingReport[[#This Row],[Paid]]</f>
        <v>290000</v>
      </c>
    </row>
    <row r="2396" spans="1:35">
      <c r="A2396" t="s">
        <v>4839</v>
      </c>
      <c r="B2396" s="1">
        <v>41274</v>
      </c>
      <c r="C2396" s="1">
        <v>41319</v>
      </c>
      <c r="D2396" t="s">
        <v>168</v>
      </c>
      <c r="E2396">
        <v>26370</v>
      </c>
      <c r="F2396">
        <v>4219</v>
      </c>
      <c r="G2396">
        <v>0</v>
      </c>
      <c r="H2396">
        <v>0</v>
      </c>
      <c r="I2396">
        <v>-6</v>
      </c>
      <c r="J2396">
        <v>30589</v>
      </c>
      <c r="K2396" t="s">
        <v>4840</v>
      </c>
      <c r="L2396" s="1">
        <v>41274</v>
      </c>
      <c r="N2396" t="s">
        <v>36</v>
      </c>
      <c r="O2396" t="s">
        <v>37</v>
      </c>
      <c r="P2396" t="s">
        <v>305</v>
      </c>
      <c r="Q2396" t="s">
        <v>39</v>
      </c>
      <c r="R2396" t="s">
        <v>40</v>
      </c>
      <c r="S2396">
        <v>0</v>
      </c>
      <c r="U2396" t="s">
        <v>41</v>
      </c>
      <c r="V2396" t="s">
        <v>42</v>
      </c>
      <c r="X2396" t="s">
        <v>74</v>
      </c>
      <c r="Y2396" t="b">
        <v>0</v>
      </c>
      <c r="Z2396" t="b">
        <v>0</v>
      </c>
      <c r="AB2396" t="s">
        <v>961</v>
      </c>
      <c r="AC2396" s="1">
        <v>41291</v>
      </c>
      <c r="AE2396" t="s">
        <v>962</v>
      </c>
      <c r="AF2396">
        <v>0</v>
      </c>
      <c r="AG2396">
        <v>45</v>
      </c>
      <c r="AH2396">
        <v>39</v>
      </c>
      <c r="AI2396" s="2">
        <f>Table__192.168.3.138DYLAgingReport[[#This Row],[NetAmount]]-Table__192.168.3.138DYLAgingReport[[#This Row],[Paid]]</f>
        <v>30589</v>
      </c>
    </row>
    <row r="2397" spans="1:35">
      <c r="A2397" t="s">
        <v>4841</v>
      </c>
      <c r="B2397" s="1">
        <v>41274</v>
      </c>
      <c r="C2397" s="1">
        <v>41319</v>
      </c>
      <c r="D2397" t="s">
        <v>168</v>
      </c>
      <c r="E2397">
        <v>23000</v>
      </c>
      <c r="F2397">
        <v>3680</v>
      </c>
      <c r="G2397">
        <v>0</v>
      </c>
      <c r="H2397">
        <v>0</v>
      </c>
      <c r="I2397">
        <v>-6</v>
      </c>
      <c r="J2397">
        <v>26680</v>
      </c>
      <c r="K2397" t="s">
        <v>4842</v>
      </c>
      <c r="L2397" s="1">
        <v>41274</v>
      </c>
      <c r="N2397" t="s">
        <v>36</v>
      </c>
      <c r="O2397" t="s">
        <v>37</v>
      </c>
      <c r="P2397" t="s">
        <v>305</v>
      </c>
      <c r="Q2397" t="s">
        <v>39</v>
      </c>
      <c r="R2397" t="s">
        <v>40</v>
      </c>
      <c r="S2397">
        <v>0</v>
      </c>
      <c r="U2397" t="s">
        <v>41</v>
      </c>
      <c r="V2397" t="s">
        <v>42</v>
      </c>
      <c r="X2397" t="s">
        <v>74</v>
      </c>
      <c r="Y2397" t="b">
        <v>0</v>
      </c>
      <c r="Z2397" t="b">
        <v>0</v>
      </c>
      <c r="AB2397" t="s">
        <v>961</v>
      </c>
      <c r="AC2397" s="1">
        <v>41291</v>
      </c>
      <c r="AE2397" t="s">
        <v>962</v>
      </c>
      <c r="AF2397">
        <v>0</v>
      </c>
      <c r="AG2397">
        <v>45</v>
      </c>
      <c r="AH2397">
        <v>39</v>
      </c>
      <c r="AI2397" s="2">
        <f>Table__192.168.3.138DYLAgingReport[[#This Row],[NetAmount]]-Table__192.168.3.138DYLAgingReport[[#This Row],[Paid]]</f>
        <v>26680</v>
      </c>
    </row>
    <row r="2398" spans="1:35">
      <c r="A2398" t="s">
        <v>4843</v>
      </c>
      <c r="B2398" s="1">
        <v>41274</v>
      </c>
      <c r="C2398" s="1">
        <v>41319</v>
      </c>
      <c r="D2398" t="s">
        <v>220</v>
      </c>
      <c r="E2398">
        <v>138600</v>
      </c>
      <c r="F2398">
        <v>22176</v>
      </c>
      <c r="G2398">
        <v>0</v>
      </c>
      <c r="H2398">
        <v>0</v>
      </c>
      <c r="I2398">
        <v>-6</v>
      </c>
      <c r="J2398">
        <v>160776</v>
      </c>
      <c r="K2398" t="s">
        <v>4844</v>
      </c>
      <c r="L2398" s="1">
        <v>41274</v>
      </c>
      <c r="N2398" t="s">
        <v>36</v>
      </c>
      <c r="O2398" t="s">
        <v>37</v>
      </c>
      <c r="P2398" t="s">
        <v>357</v>
      </c>
      <c r="Q2398" t="s">
        <v>39</v>
      </c>
      <c r="R2398" t="s">
        <v>40</v>
      </c>
      <c r="S2398">
        <v>0</v>
      </c>
      <c r="U2398" t="s">
        <v>41</v>
      </c>
      <c r="V2398" t="s">
        <v>42</v>
      </c>
      <c r="X2398" t="s">
        <v>74</v>
      </c>
      <c r="Y2398" t="b">
        <v>0</v>
      </c>
      <c r="Z2398" t="b">
        <v>0</v>
      </c>
      <c r="AC2398" s="1"/>
      <c r="AF2398">
        <v>0</v>
      </c>
      <c r="AG2398">
        <v>45</v>
      </c>
      <c r="AH2398">
        <v>39</v>
      </c>
      <c r="AI2398" s="2">
        <f>Table__192.168.3.138DYLAgingReport[[#This Row],[NetAmount]]-Table__192.168.3.138DYLAgingReport[[#This Row],[Paid]]</f>
        <v>160776</v>
      </c>
    </row>
    <row r="2399" spans="1:35">
      <c r="A2399" t="s">
        <v>4845</v>
      </c>
      <c r="B2399" s="1">
        <v>41274</v>
      </c>
      <c r="C2399" s="1">
        <v>41319</v>
      </c>
      <c r="D2399" t="s">
        <v>206</v>
      </c>
      <c r="E2399">
        <v>255000</v>
      </c>
      <c r="F2399">
        <v>40800</v>
      </c>
      <c r="G2399">
        <v>0</v>
      </c>
      <c r="H2399">
        <v>0</v>
      </c>
      <c r="I2399">
        <v>-6</v>
      </c>
      <c r="J2399">
        <v>295800</v>
      </c>
      <c r="K2399" t="s">
        <v>3728</v>
      </c>
      <c r="L2399" s="1">
        <v>41274</v>
      </c>
      <c r="N2399" t="s">
        <v>36</v>
      </c>
      <c r="O2399" t="s">
        <v>37</v>
      </c>
      <c r="P2399" t="s">
        <v>343</v>
      </c>
      <c r="Q2399" t="s">
        <v>39</v>
      </c>
      <c r="R2399" t="s">
        <v>40</v>
      </c>
      <c r="S2399">
        <v>0</v>
      </c>
      <c r="U2399" t="s">
        <v>41</v>
      </c>
      <c r="V2399" t="s">
        <v>42</v>
      </c>
      <c r="X2399" t="s">
        <v>74</v>
      </c>
      <c r="Y2399" t="b">
        <v>0</v>
      </c>
      <c r="Z2399" t="b">
        <v>0</v>
      </c>
      <c r="AC2399" s="1"/>
      <c r="AF2399">
        <v>0</v>
      </c>
      <c r="AG2399">
        <v>45</v>
      </c>
      <c r="AH2399">
        <v>39</v>
      </c>
      <c r="AI2399" s="2">
        <f>Table__192.168.3.138DYLAgingReport[[#This Row],[NetAmount]]-Table__192.168.3.138DYLAgingReport[[#This Row],[Paid]]</f>
        <v>295800</v>
      </c>
    </row>
    <row r="2400" spans="1:35">
      <c r="A2400" t="s">
        <v>4846</v>
      </c>
      <c r="B2400" s="1">
        <v>41274</v>
      </c>
      <c r="C2400" s="1">
        <v>41319</v>
      </c>
      <c r="D2400" t="s">
        <v>224</v>
      </c>
      <c r="E2400">
        <v>100496</v>
      </c>
      <c r="F2400">
        <v>16079</v>
      </c>
      <c r="G2400">
        <v>0</v>
      </c>
      <c r="H2400">
        <v>0</v>
      </c>
      <c r="I2400">
        <v>-4</v>
      </c>
      <c r="J2400">
        <v>116575</v>
      </c>
      <c r="K2400" t="s">
        <v>4847</v>
      </c>
      <c r="L2400" s="1">
        <v>41272</v>
      </c>
      <c r="N2400" t="s">
        <v>36</v>
      </c>
      <c r="O2400" t="s">
        <v>37</v>
      </c>
      <c r="P2400" t="s">
        <v>361</v>
      </c>
      <c r="Q2400" t="s">
        <v>39</v>
      </c>
      <c r="R2400" t="s">
        <v>40</v>
      </c>
      <c r="S2400">
        <v>0</v>
      </c>
      <c r="U2400" t="s">
        <v>41</v>
      </c>
      <c r="V2400" t="s">
        <v>42</v>
      </c>
      <c r="X2400" t="s">
        <v>74</v>
      </c>
      <c r="Y2400" t="b">
        <v>0</v>
      </c>
      <c r="Z2400" t="b">
        <v>0</v>
      </c>
      <c r="AC2400" s="1"/>
      <c r="AF2400">
        <v>0</v>
      </c>
      <c r="AG2400">
        <v>45</v>
      </c>
      <c r="AH2400">
        <v>41</v>
      </c>
      <c r="AI2400" s="2">
        <f>Table__192.168.3.138DYLAgingReport[[#This Row],[NetAmount]]-Table__192.168.3.138DYLAgingReport[[#This Row],[Paid]]</f>
        <v>116575</v>
      </c>
    </row>
    <row r="2401" spans="1:35">
      <c r="A2401" t="s">
        <v>4848</v>
      </c>
      <c r="B2401" s="1">
        <v>41263</v>
      </c>
      <c r="C2401" s="1">
        <v>41308</v>
      </c>
      <c r="D2401" t="s">
        <v>224</v>
      </c>
      <c r="E2401">
        <v>63462</v>
      </c>
      <c r="F2401">
        <v>10154</v>
      </c>
      <c r="G2401">
        <v>0</v>
      </c>
      <c r="H2401">
        <v>0</v>
      </c>
      <c r="I2401">
        <v>17</v>
      </c>
      <c r="J2401">
        <v>73616</v>
      </c>
      <c r="K2401" t="s">
        <v>4849</v>
      </c>
      <c r="L2401" s="1">
        <v>41251</v>
      </c>
      <c r="N2401" t="s">
        <v>36</v>
      </c>
      <c r="O2401" t="s">
        <v>37</v>
      </c>
      <c r="P2401" t="s">
        <v>361</v>
      </c>
      <c r="Q2401" t="s">
        <v>39</v>
      </c>
      <c r="R2401" t="s">
        <v>40</v>
      </c>
      <c r="S2401">
        <v>0</v>
      </c>
      <c r="U2401" t="s">
        <v>41</v>
      </c>
      <c r="V2401" t="s">
        <v>42</v>
      </c>
      <c r="X2401" t="s">
        <v>74</v>
      </c>
      <c r="Y2401" t="b">
        <v>0</v>
      </c>
      <c r="Z2401" t="b">
        <v>0</v>
      </c>
      <c r="AC2401" s="1"/>
      <c r="AF2401">
        <v>0</v>
      </c>
      <c r="AG2401">
        <v>45</v>
      </c>
      <c r="AH2401">
        <v>62</v>
      </c>
      <c r="AI2401" s="2">
        <f>Table__192.168.3.138DYLAgingReport[[#This Row],[NetAmount]]-Table__192.168.3.138DYLAgingReport[[#This Row],[Paid]]</f>
        <v>73616</v>
      </c>
    </row>
    <row r="2402" spans="1:35">
      <c r="A2402" t="s">
        <v>4850</v>
      </c>
      <c r="B2402" s="1">
        <v>41274</v>
      </c>
      <c r="C2402" s="1">
        <v>41319</v>
      </c>
      <c r="D2402" t="s">
        <v>174</v>
      </c>
      <c r="E2402">
        <v>46000</v>
      </c>
      <c r="F2402">
        <v>7360</v>
      </c>
      <c r="G2402">
        <v>0</v>
      </c>
      <c r="H2402">
        <v>0</v>
      </c>
      <c r="I2402">
        <v>-4</v>
      </c>
      <c r="J2402">
        <v>53360</v>
      </c>
      <c r="K2402" t="s">
        <v>4851</v>
      </c>
      <c r="L2402" s="1">
        <v>41272</v>
      </c>
      <c r="N2402" t="s">
        <v>36</v>
      </c>
      <c r="O2402" t="s">
        <v>37</v>
      </c>
      <c r="P2402" t="s">
        <v>311</v>
      </c>
      <c r="Q2402" t="s">
        <v>39</v>
      </c>
      <c r="R2402" t="s">
        <v>40</v>
      </c>
      <c r="S2402">
        <v>0</v>
      </c>
      <c r="U2402" t="s">
        <v>41</v>
      </c>
      <c r="V2402" t="s">
        <v>42</v>
      </c>
      <c r="X2402" t="s">
        <v>74</v>
      </c>
      <c r="Y2402" t="b">
        <v>0</v>
      </c>
      <c r="Z2402" t="b">
        <v>0</v>
      </c>
      <c r="AC2402" s="1"/>
      <c r="AF2402">
        <v>0</v>
      </c>
      <c r="AG2402">
        <v>45</v>
      </c>
      <c r="AH2402">
        <v>41</v>
      </c>
      <c r="AI2402" s="2">
        <f>Table__192.168.3.138DYLAgingReport[[#This Row],[NetAmount]]-Table__192.168.3.138DYLAgingReport[[#This Row],[Paid]]</f>
        <v>53360</v>
      </c>
    </row>
    <row r="2403" spans="1:35">
      <c r="A2403" t="s">
        <v>4852</v>
      </c>
      <c r="B2403" s="1">
        <v>41274</v>
      </c>
      <c r="C2403" s="1">
        <v>41319</v>
      </c>
      <c r="D2403" t="s">
        <v>183</v>
      </c>
      <c r="E2403">
        <v>135700</v>
      </c>
      <c r="F2403">
        <v>21712</v>
      </c>
      <c r="G2403">
        <v>0</v>
      </c>
      <c r="H2403">
        <v>0</v>
      </c>
      <c r="I2403">
        <v>-3</v>
      </c>
      <c r="J2403">
        <v>157412</v>
      </c>
      <c r="K2403" t="s">
        <v>4490</v>
      </c>
      <c r="L2403" s="1">
        <v>41271</v>
      </c>
      <c r="N2403" t="s">
        <v>36</v>
      </c>
      <c r="O2403" t="s">
        <v>37</v>
      </c>
      <c r="P2403" t="s">
        <v>320</v>
      </c>
      <c r="Q2403" t="s">
        <v>39</v>
      </c>
      <c r="R2403" t="s">
        <v>40</v>
      </c>
      <c r="S2403">
        <v>0</v>
      </c>
      <c r="U2403" t="s">
        <v>41</v>
      </c>
      <c r="V2403" t="s">
        <v>42</v>
      </c>
      <c r="X2403" t="s">
        <v>74</v>
      </c>
      <c r="Y2403" t="b">
        <v>0</v>
      </c>
      <c r="Z2403" t="b">
        <v>0</v>
      </c>
      <c r="AC2403" s="1"/>
      <c r="AF2403">
        <v>0</v>
      </c>
      <c r="AG2403">
        <v>45</v>
      </c>
      <c r="AH2403">
        <v>42</v>
      </c>
      <c r="AI2403" s="2">
        <f>Table__192.168.3.138DYLAgingReport[[#This Row],[NetAmount]]-Table__192.168.3.138DYLAgingReport[[#This Row],[Paid]]</f>
        <v>157412</v>
      </c>
    </row>
    <row r="2404" spans="1:35">
      <c r="A2404" t="s">
        <v>4853</v>
      </c>
      <c r="B2404" s="1">
        <v>41268</v>
      </c>
      <c r="C2404" s="1">
        <v>41313</v>
      </c>
      <c r="D2404" t="s">
        <v>272</v>
      </c>
      <c r="E2404">
        <v>35000</v>
      </c>
      <c r="F2404">
        <v>5600</v>
      </c>
      <c r="G2404">
        <v>0</v>
      </c>
      <c r="H2404">
        <v>0</v>
      </c>
      <c r="I2404">
        <v>5</v>
      </c>
      <c r="J2404">
        <v>40600</v>
      </c>
      <c r="K2404" t="s">
        <v>4075</v>
      </c>
      <c r="L2404" s="1">
        <v>41263</v>
      </c>
      <c r="N2404" t="s">
        <v>36</v>
      </c>
      <c r="O2404" t="s">
        <v>37</v>
      </c>
      <c r="P2404" t="s">
        <v>409</v>
      </c>
      <c r="Q2404" t="s">
        <v>39</v>
      </c>
      <c r="R2404" t="s">
        <v>40</v>
      </c>
      <c r="S2404">
        <v>0</v>
      </c>
      <c r="U2404" t="s">
        <v>41</v>
      </c>
      <c r="V2404" t="s">
        <v>42</v>
      </c>
      <c r="X2404" t="s">
        <v>74</v>
      </c>
      <c r="Y2404" t="b">
        <v>0</v>
      </c>
      <c r="Z2404" t="b">
        <v>0</v>
      </c>
      <c r="AC2404" s="1"/>
      <c r="AF2404">
        <v>0</v>
      </c>
      <c r="AG2404">
        <v>45</v>
      </c>
      <c r="AH2404">
        <v>50</v>
      </c>
      <c r="AI2404" s="2">
        <f>Table__192.168.3.138DYLAgingReport[[#This Row],[NetAmount]]-Table__192.168.3.138DYLAgingReport[[#This Row],[Paid]]</f>
        <v>40600</v>
      </c>
    </row>
    <row r="2405" spans="1:35">
      <c r="A2405" t="s">
        <v>4854</v>
      </c>
      <c r="B2405" s="1">
        <v>41274</v>
      </c>
      <c r="C2405" s="1">
        <v>41319</v>
      </c>
      <c r="D2405" t="s">
        <v>287</v>
      </c>
      <c r="E2405">
        <v>14500</v>
      </c>
      <c r="F2405">
        <v>2320</v>
      </c>
      <c r="G2405">
        <v>0</v>
      </c>
      <c r="H2405">
        <v>0</v>
      </c>
      <c r="I2405">
        <v>3</v>
      </c>
      <c r="J2405">
        <v>16820</v>
      </c>
      <c r="K2405" t="s">
        <v>4855</v>
      </c>
      <c r="L2405" s="1">
        <v>41265</v>
      </c>
      <c r="N2405" t="s">
        <v>36</v>
      </c>
      <c r="O2405" t="s">
        <v>37</v>
      </c>
      <c r="P2405" t="s">
        <v>424</v>
      </c>
      <c r="Q2405" t="s">
        <v>39</v>
      </c>
      <c r="R2405" t="s">
        <v>40</v>
      </c>
      <c r="S2405">
        <v>0</v>
      </c>
      <c r="U2405" t="s">
        <v>41</v>
      </c>
      <c r="V2405" t="s">
        <v>42</v>
      </c>
      <c r="X2405" t="s">
        <v>74</v>
      </c>
      <c r="Y2405" t="b">
        <v>0</v>
      </c>
      <c r="Z2405" t="b">
        <v>0</v>
      </c>
      <c r="AC2405" s="1"/>
      <c r="AF2405">
        <v>0</v>
      </c>
      <c r="AG2405">
        <v>45</v>
      </c>
      <c r="AH2405">
        <v>48</v>
      </c>
      <c r="AI2405" s="2">
        <f>Table__192.168.3.138DYLAgingReport[[#This Row],[NetAmount]]-Table__192.168.3.138DYLAgingReport[[#This Row],[Paid]]</f>
        <v>16820</v>
      </c>
    </row>
    <row r="2406" spans="1:35">
      <c r="A2406" t="s">
        <v>4856</v>
      </c>
      <c r="B2406" s="1">
        <v>41274</v>
      </c>
      <c r="C2406" s="1">
        <v>41319</v>
      </c>
      <c r="D2406" t="s">
        <v>179</v>
      </c>
      <c r="E2406">
        <v>187200</v>
      </c>
      <c r="F2406">
        <v>29952</v>
      </c>
      <c r="G2406">
        <v>0</v>
      </c>
      <c r="H2406">
        <v>0</v>
      </c>
      <c r="I2406">
        <v>-2</v>
      </c>
      <c r="J2406">
        <v>217152</v>
      </c>
      <c r="K2406" t="s">
        <v>4857</v>
      </c>
      <c r="L2406" s="1">
        <v>41270</v>
      </c>
      <c r="N2406" t="s">
        <v>36</v>
      </c>
      <c r="O2406" t="s">
        <v>37</v>
      </c>
      <c r="P2406" t="s">
        <v>316</v>
      </c>
      <c r="Q2406" t="s">
        <v>39</v>
      </c>
      <c r="R2406" t="s">
        <v>40</v>
      </c>
      <c r="S2406">
        <v>0</v>
      </c>
      <c r="U2406" t="s">
        <v>41</v>
      </c>
      <c r="V2406" t="s">
        <v>42</v>
      </c>
      <c r="X2406" t="s">
        <v>74</v>
      </c>
      <c r="Y2406" t="b">
        <v>0</v>
      </c>
      <c r="Z2406" t="b">
        <v>0</v>
      </c>
      <c r="AC2406" s="1"/>
      <c r="AF2406">
        <v>0</v>
      </c>
      <c r="AG2406">
        <v>45</v>
      </c>
      <c r="AH2406">
        <v>43</v>
      </c>
      <c r="AI2406" s="2">
        <f>Table__192.168.3.138DYLAgingReport[[#This Row],[NetAmount]]-Table__192.168.3.138DYLAgingReport[[#This Row],[Paid]]</f>
        <v>217152</v>
      </c>
    </row>
    <row r="2407" spans="1:35">
      <c r="A2407" t="s">
        <v>4858</v>
      </c>
      <c r="B2407" s="1">
        <v>41256</v>
      </c>
      <c r="C2407" s="1">
        <v>41301</v>
      </c>
      <c r="D2407" t="s">
        <v>194</v>
      </c>
      <c r="E2407">
        <v>147488</v>
      </c>
      <c r="F2407">
        <v>23598</v>
      </c>
      <c r="G2407">
        <v>0</v>
      </c>
      <c r="H2407">
        <v>0</v>
      </c>
      <c r="I2407">
        <v>12</v>
      </c>
      <c r="J2407">
        <v>171086</v>
      </c>
      <c r="K2407" t="s">
        <v>2571</v>
      </c>
      <c r="L2407" s="1">
        <v>41256</v>
      </c>
      <c r="N2407" t="s">
        <v>36</v>
      </c>
      <c r="O2407" t="s">
        <v>37</v>
      </c>
      <c r="P2407" t="s">
        <v>331</v>
      </c>
      <c r="Q2407" t="s">
        <v>39</v>
      </c>
      <c r="R2407" t="s">
        <v>40</v>
      </c>
      <c r="S2407">
        <v>0</v>
      </c>
      <c r="U2407" t="s">
        <v>41</v>
      </c>
      <c r="V2407" t="s">
        <v>42</v>
      </c>
      <c r="X2407" t="s">
        <v>74</v>
      </c>
      <c r="Y2407" t="b">
        <v>0</v>
      </c>
      <c r="Z2407" t="b">
        <v>0</v>
      </c>
      <c r="AC2407" s="1"/>
      <c r="AF2407">
        <v>0</v>
      </c>
      <c r="AG2407">
        <v>45</v>
      </c>
      <c r="AH2407">
        <v>57</v>
      </c>
      <c r="AI2407" s="2">
        <f>Table__192.168.3.138DYLAgingReport[[#This Row],[NetAmount]]-Table__192.168.3.138DYLAgingReport[[#This Row],[Paid]]</f>
        <v>171086</v>
      </c>
    </row>
    <row r="2408" spans="1:35">
      <c r="A2408" t="s">
        <v>4859</v>
      </c>
      <c r="B2408" s="1">
        <v>41272</v>
      </c>
      <c r="C2408" s="1">
        <v>41317</v>
      </c>
      <c r="D2408" t="s">
        <v>194</v>
      </c>
      <c r="E2408">
        <v>151762</v>
      </c>
      <c r="F2408">
        <v>24282</v>
      </c>
      <c r="G2408">
        <v>0</v>
      </c>
      <c r="H2408">
        <v>0</v>
      </c>
      <c r="I2408">
        <v>-6</v>
      </c>
      <c r="J2408">
        <v>176044</v>
      </c>
      <c r="K2408" t="s">
        <v>944</v>
      </c>
      <c r="L2408" s="1">
        <v>41274</v>
      </c>
      <c r="N2408" t="s">
        <v>36</v>
      </c>
      <c r="O2408" t="s">
        <v>37</v>
      </c>
      <c r="P2408" t="s">
        <v>331</v>
      </c>
      <c r="Q2408" t="s">
        <v>39</v>
      </c>
      <c r="R2408" t="s">
        <v>40</v>
      </c>
      <c r="S2408">
        <v>0</v>
      </c>
      <c r="U2408" t="s">
        <v>41</v>
      </c>
      <c r="V2408" t="s">
        <v>42</v>
      </c>
      <c r="X2408" t="s">
        <v>74</v>
      </c>
      <c r="Y2408" t="b">
        <v>0</v>
      </c>
      <c r="Z2408" t="b">
        <v>0</v>
      </c>
      <c r="AC2408" s="1"/>
      <c r="AF2408">
        <v>0</v>
      </c>
      <c r="AG2408">
        <v>45</v>
      </c>
      <c r="AH2408">
        <v>39</v>
      </c>
      <c r="AI2408" s="2">
        <f>Table__192.168.3.138DYLAgingReport[[#This Row],[NetAmount]]-Table__192.168.3.138DYLAgingReport[[#This Row],[Paid]]</f>
        <v>176044</v>
      </c>
    </row>
    <row r="2409" spans="1:35">
      <c r="A2409" t="s">
        <v>4860</v>
      </c>
      <c r="B2409" s="1">
        <v>41266</v>
      </c>
      <c r="C2409" s="1">
        <v>41311</v>
      </c>
      <c r="D2409" t="s">
        <v>275</v>
      </c>
      <c r="E2409">
        <v>94500</v>
      </c>
      <c r="F2409">
        <v>0</v>
      </c>
      <c r="G2409">
        <v>0</v>
      </c>
      <c r="H2409">
        <v>0</v>
      </c>
      <c r="I2409">
        <v>-2</v>
      </c>
      <c r="J2409">
        <v>94500</v>
      </c>
      <c r="K2409" t="s">
        <v>4861</v>
      </c>
      <c r="L2409" s="1">
        <v>41270</v>
      </c>
      <c r="N2409" t="s">
        <v>36</v>
      </c>
      <c r="O2409" t="s">
        <v>37</v>
      </c>
      <c r="P2409" t="s">
        <v>412</v>
      </c>
      <c r="Q2409" t="s">
        <v>39</v>
      </c>
      <c r="R2409" t="s">
        <v>40</v>
      </c>
      <c r="S2409">
        <v>0</v>
      </c>
      <c r="U2409" t="s">
        <v>41</v>
      </c>
      <c r="V2409" t="s">
        <v>42</v>
      </c>
      <c r="X2409" t="s">
        <v>74</v>
      </c>
      <c r="Y2409" t="b">
        <v>0</v>
      </c>
      <c r="Z2409" t="b">
        <v>0</v>
      </c>
      <c r="AC2409" s="1"/>
      <c r="AF2409">
        <v>0</v>
      </c>
      <c r="AG2409">
        <v>45</v>
      </c>
      <c r="AH2409">
        <v>43</v>
      </c>
      <c r="AI2409" s="2">
        <f>Table__192.168.3.138DYLAgingReport[[#This Row],[NetAmount]]-Table__192.168.3.138DYLAgingReport[[#This Row],[Paid]]</f>
        <v>94500</v>
      </c>
    </row>
    <row r="2410" spans="1:35">
      <c r="A2410" t="s">
        <v>4862</v>
      </c>
      <c r="B2410" s="1">
        <v>41260</v>
      </c>
      <c r="C2410" s="1">
        <v>41305</v>
      </c>
      <c r="D2410" t="s">
        <v>275</v>
      </c>
      <c r="E2410">
        <v>40000</v>
      </c>
      <c r="F2410">
        <v>0</v>
      </c>
      <c r="G2410">
        <v>0</v>
      </c>
      <c r="H2410">
        <v>0</v>
      </c>
      <c r="I2410">
        <v>14</v>
      </c>
      <c r="J2410">
        <v>40000</v>
      </c>
      <c r="K2410" t="s">
        <v>1661</v>
      </c>
      <c r="L2410" s="1">
        <v>41254</v>
      </c>
      <c r="N2410" t="s">
        <v>36</v>
      </c>
      <c r="O2410" t="s">
        <v>37</v>
      </c>
      <c r="P2410" t="s">
        <v>412</v>
      </c>
      <c r="Q2410" t="s">
        <v>39</v>
      </c>
      <c r="R2410" t="s">
        <v>40</v>
      </c>
      <c r="S2410">
        <v>0</v>
      </c>
      <c r="U2410" t="s">
        <v>41</v>
      </c>
      <c r="V2410" t="s">
        <v>42</v>
      </c>
      <c r="X2410" t="s">
        <v>74</v>
      </c>
      <c r="Y2410" t="b">
        <v>0</v>
      </c>
      <c r="Z2410" t="b">
        <v>0</v>
      </c>
      <c r="AC2410" s="1"/>
      <c r="AF2410">
        <v>0</v>
      </c>
      <c r="AG2410">
        <v>45</v>
      </c>
      <c r="AH2410">
        <v>59</v>
      </c>
      <c r="AI2410" s="2">
        <f>Table__192.168.3.138DYLAgingReport[[#This Row],[NetAmount]]-Table__192.168.3.138DYLAgingReport[[#This Row],[Paid]]</f>
        <v>40000</v>
      </c>
    </row>
    <row r="2411" spans="1:35">
      <c r="A2411" t="s">
        <v>4863</v>
      </c>
      <c r="B2411" s="1">
        <v>41250</v>
      </c>
      <c r="C2411" s="1">
        <v>41295</v>
      </c>
      <c r="D2411" t="s">
        <v>275</v>
      </c>
      <c r="E2411">
        <v>114400</v>
      </c>
      <c r="F2411">
        <v>0</v>
      </c>
      <c r="G2411">
        <v>0</v>
      </c>
      <c r="H2411">
        <v>0</v>
      </c>
      <c r="I2411">
        <v>18</v>
      </c>
      <c r="J2411">
        <v>114400</v>
      </c>
      <c r="K2411" t="s">
        <v>1606</v>
      </c>
      <c r="L2411" s="1">
        <v>41250</v>
      </c>
      <c r="N2411" t="s">
        <v>36</v>
      </c>
      <c r="O2411" t="s">
        <v>37</v>
      </c>
      <c r="P2411" t="s">
        <v>412</v>
      </c>
      <c r="Q2411" t="s">
        <v>39</v>
      </c>
      <c r="R2411" t="s">
        <v>40</v>
      </c>
      <c r="S2411">
        <v>0</v>
      </c>
      <c r="U2411" t="s">
        <v>41</v>
      </c>
      <c r="V2411" t="s">
        <v>42</v>
      </c>
      <c r="X2411" t="s">
        <v>74</v>
      </c>
      <c r="Y2411" t="b">
        <v>0</v>
      </c>
      <c r="Z2411" t="b">
        <v>0</v>
      </c>
      <c r="AC2411" s="1"/>
      <c r="AF2411">
        <v>0</v>
      </c>
      <c r="AG2411">
        <v>45</v>
      </c>
      <c r="AH2411">
        <v>63</v>
      </c>
      <c r="AI2411" s="2">
        <f>Table__192.168.3.138DYLAgingReport[[#This Row],[NetAmount]]-Table__192.168.3.138DYLAgingReport[[#This Row],[Paid]]</f>
        <v>114400</v>
      </c>
    </row>
    <row r="2412" spans="1:35">
      <c r="A2412" t="s">
        <v>4864</v>
      </c>
      <c r="B2412" s="1">
        <v>41234</v>
      </c>
      <c r="C2412" s="1">
        <v>41279</v>
      </c>
      <c r="D2412" t="s">
        <v>174</v>
      </c>
      <c r="E2412">
        <v>20010</v>
      </c>
      <c r="F2412">
        <v>3202</v>
      </c>
      <c r="G2412">
        <v>0</v>
      </c>
      <c r="H2412">
        <v>0</v>
      </c>
      <c r="I2412">
        <v>34</v>
      </c>
      <c r="J2412">
        <v>23212</v>
      </c>
      <c r="K2412" t="s">
        <v>4865</v>
      </c>
      <c r="L2412" s="1">
        <v>41234</v>
      </c>
      <c r="N2412" t="s">
        <v>36</v>
      </c>
      <c r="O2412" t="s">
        <v>37</v>
      </c>
      <c r="P2412" t="s">
        <v>311</v>
      </c>
      <c r="Q2412" t="s">
        <v>39</v>
      </c>
      <c r="R2412" t="s">
        <v>40</v>
      </c>
      <c r="S2412">
        <v>0</v>
      </c>
      <c r="U2412" t="s">
        <v>41</v>
      </c>
      <c r="V2412" t="s">
        <v>42</v>
      </c>
      <c r="X2412" t="s">
        <v>74</v>
      </c>
      <c r="Y2412" t="b">
        <v>0</v>
      </c>
      <c r="Z2412" t="b">
        <v>0</v>
      </c>
      <c r="AC2412" s="1"/>
      <c r="AF2412">
        <v>0</v>
      </c>
      <c r="AG2412">
        <v>45</v>
      </c>
      <c r="AH2412">
        <v>79</v>
      </c>
      <c r="AI2412" s="2">
        <f>Table__192.168.3.138DYLAgingReport[[#This Row],[NetAmount]]-Table__192.168.3.138DYLAgingReport[[#This Row],[Paid]]</f>
        <v>23212</v>
      </c>
    </row>
    <row r="2413" spans="1:35">
      <c r="A2413" t="s">
        <v>4866</v>
      </c>
      <c r="B2413" s="1">
        <v>41274</v>
      </c>
      <c r="C2413" s="1">
        <v>41319</v>
      </c>
      <c r="D2413" t="s">
        <v>174</v>
      </c>
      <c r="E2413">
        <v>18450</v>
      </c>
      <c r="F2413">
        <v>2952</v>
      </c>
      <c r="G2413">
        <v>0</v>
      </c>
      <c r="H2413">
        <v>0</v>
      </c>
      <c r="I2413">
        <v>34</v>
      </c>
      <c r="J2413">
        <v>21402</v>
      </c>
      <c r="K2413" t="s">
        <v>4865</v>
      </c>
      <c r="L2413" s="1">
        <v>41234</v>
      </c>
      <c r="N2413" t="s">
        <v>36</v>
      </c>
      <c r="O2413" t="s">
        <v>37</v>
      </c>
      <c r="P2413" t="s">
        <v>311</v>
      </c>
      <c r="Q2413" t="s">
        <v>39</v>
      </c>
      <c r="R2413" t="s">
        <v>40</v>
      </c>
      <c r="S2413">
        <v>0</v>
      </c>
      <c r="U2413" t="s">
        <v>41</v>
      </c>
      <c r="V2413" t="s">
        <v>42</v>
      </c>
      <c r="X2413" t="s">
        <v>74</v>
      </c>
      <c r="Y2413" t="b">
        <v>0</v>
      </c>
      <c r="Z2413" t="b">
        <v>0</v>
      </c>
      <c r="AC2413" s="1"/>
      <c r="AF2413">
        <v>0</v>
      </c>
      <c r="AG2413">
        <v>45</v>
      </c>
      <c r="AH2413">
        <v>79</v>
      </c>
      <c r="AI2413" s="2">
        <f>Table__192.168.3.138DYLAgingReport[[#This Row],[NetAmount]]-Table__192.168.3.138DYLAgingReport[[#This Row],[Paid]]</f>
        <v>21402</v>
      </c>
    </row>
    <row r="2414" spans="1:35">
      <c r="A2414" t="s">
        <v>4867</v>
      </c>
      <c r="B2414" s="1">
        <v>41272</v>
      </c>
      <c r="C2414" s="1">
        <v>41317</v>
      </c>
      <c r="D2414" t="s">
        <v>211</v>
      </c>
      <c r="E2414">
        <v>6750</v>
      </c>
      <c r="F2414">
        <v>0</v>
      </c>
      <c r="G2414">
        <v>0</v>
      </c>
      <c r="H2414">
        <v>0</v>
      </c>
      <c r="I2414">
        <v>-4</v>
      </c>
      <c r="J2414">
        <v>6750</v>
      </c>
      <c r="K2414" t="s">
        <v>4868</v>
      </c>
      <c r="L2414" s="1">
        <v>41272</v>
      </c>
      <c r="N2414" t="s">
        <v>36</v>
      </c>
      <c r="O2414" t="s">
        <v>37</v>
      </c>
      <c r="P2414" t="s">
        <v>348</v>
      </c>
      <c r="Q2414" t="s">
        <v>39</v>
      </c>
      <c r="R2414" t="s">
        <v>40</v>
      </c>
      <c r="S2414">
        <v>0</v>
      </c>
      <c r="U2414" t="s">
        <v>41</v>
      </c>
      <c r="V2414" t="s">
        <v>42</v>
      </c>
      <c r="X2414" t="s">
        <v>74</v>
      </c>
      <c r="Y2414" t="b">
        <v>0</v>
      </c>
      <c r="Z2414" t="b">
        <v>0</v>
      </c>
      <c r="AC2414" s="1"/>
      <c r="AF2414">
        <v>0</v>
      </c>
      <c r="AG2414">
        <v>45</v>
      </c>
      <c r="AH2414">
        <v>41</v>
      </c>
      <c r="AI2414" s="2">
        <f>Table__192.168.3.138DYLAgingReport[[#This Row],[NetAmount]]-Table__192.168.3.138DYLAgingReport[[#This Row],[Paid]]</f>
        <v>6750</v>
      </c>
    </row>
    <row r="2415" spans="1:35">
      <c r="A2415" t="s">
        <v>4869</v>
      </c>
      <c r="B2415" s="1">
        <v>41272</v>
      </c>
      <c r="C2415" s="1">
        <v>41317</v>
      </c>
      <c r="D2415" t="s">
        <v>211</v>
      </c>
      <c r="E2415">
        <v>10200</v>
      </c>
      <c r="F2415">
        <v>0</v>
      </c>
      <c r="G2415">
        <v>0</v>
      </c>
      <c r="H2415">
        <v>0</v>
      </c>
      <c r="I2415">
        <v>-4</v>
      </c>
      <c r="J2415">
        <v>10200</v>
      </c>
      <c r="K2415" t="s">
        <v>4870</v>
      </c>
      <c r="L2415" s="1">
        <v>41272</v>
      </c>
      <c r="N2415" t="s">
        <v>36</v>
      </c>
      <c r="O2415" t="s">
        <v>37</v>
      </c>
      <c r="P2415" t="s">
        <v>348</v>
      </c>
      <c r="Q2415" t="s">
        <v>39</v>
      </c>
      <c r="R2415" t="s">
        <v>40</v>
      </c>
      <c r="S2415">
        <v>0</v>
      </c>
      <c r="U2415" t="s">
        <v>41</v>
      </c>
      <c r="V2415" t="s">
        <v>42</v>
      </c>
      <c r="X2415" t="s">
        <v>74</v>
      </c>
      <c r="Y2415" t="b">
        <v>0</v>
      </c>
      <c r="Z2415" t="b">
        <v>0</v>
      </c>
      <c r="AC2415" s="1"/>
      <c r="AF2415">
        <v>0</v>
      </c>
      <c r="AG2415">
        <v>45</v>
      </c>
      <c r="AH2415">
        <v>41</v>
      </c>
      <c r="AI2415" s="2">
        <f>Table__192.168.3.138DYLAgingReport[[#This Row],[NetAmount]]-Table__192.168.3.138DYLAgingReport[[#This Row],[Paid]]</f>
        <v>10200</v>
      </c>
    </row>
    <row r="2416" spans="1:35">
      <c r="A2416" t="s">
        <v>4871</v>
      </c>
      <c r="B2416" s="1">
        <v>41262</v>
      </c>
      <c r="C2416" s="1">
        <v>41307</v>
      </c>
      <c r="D2416" t="s">
        <v>221</v>
      </c>
      <c r="E2416">
        <v>32475</v>
      </c>
      <c r="F2416">
        <v>0</v>
      </c>
      <c r="G2416">
        <v>0</v>
      </c>
      <c r="H2416">
        <v>0</v>
      </c>
      <c r="I2416">
        <v>3</v>
      </c>
      <c r="J2416">
        <v>32475</v>
      </c>
      <c r="K2416" t="s">
        <v>4872</v>
      </c>
      <c r="L2416" s="1">
        <v>41265</v>
      </c>
      <c r="N2416" t="s">
        <v>36</v>
      </c>
      <c r="O2416" t="s">
        <v>37</v>
      </c>
      <c r="P2416" t="s">
        <v>358</v>
      </c>
      <c r="Q2416" t="s">
        <v>39</v>
      </c>
      <c r="R2416" t="s">
        <v>40</v>
      </c>
      <c r="S2416">
        <v>0</v>
      </c>
      <c r="U2416" t="s">
        <v>41</v>
      </c>
      <c r="V2416" t="s">
        <v>42</v>
      </c>
      <c r="X2416" t="s">
        <v>74</v>
      </c>
      <c r="Y2416" t="b">
        <v>0</v>
      </c>
      <c r="Z2416" t="b">
        <v>0</v>
      </c>
      <c r="AC2416" s="1"/>
      <c r="AF2416">
        <v>0</v>
      </c>
      <c r="AG2416">
        <v>45</v>
      </c>
      <c r="AH2416">
        <v>48</v>
      </c>
      <c r="AI2416" s="2">
        <f>Table__192.168.3.138DYLAgingReport[[#This Row],[NetAmount]]-Table__192.168.3.138DYLAgingReport[[#This Row],[Paid]]</f>
        <v>32475</v>
      </c>
    </row>
    <row r="2417" spans="1:35">
      <c r="A2417" t="s">
        <v>4873</v>
      </c>
      <c r="B2417" s="1">
        <v>41274</v>
      </c>
      <c r="C2417" s="1">
        <v>41319</v>
      </c>
      <c r="D2417" t="s">
        <v>228</v>
      </c>
      <c r="E2417">
        <v>219300</v>
      </c>
      <c r="F2417">
        <v>35088</v>
      </c>
      <c r="G2417">
        <v>0</v>
      </c>
      <c r="H2417">
        <v>0</v>
      </c>
      <c r="I2417">
        <v>1</v>
      </c>
      <c r="J2417">
        <v>254388</v>
      </c>
      <c r="K2417" t="s">
        <v>120</v>
      </c>
      <c r="L2417" s="1">
        <v>41267</v>
      </c>
      <c r="N2417" t="s">
        <v>36</v>
      </c>
      <c r="O2417" t="s">
        <v>37</v>
      </c>
      <c r="P2417" t="s">
        <v>365</v>
      </c>
      <c r="Q2417" t="s">
        <v>39</v>
      </c>
      <c r="R2417" t="s">
        <v>40</v>
      </c>
      <c r="S2417">
        <v>0</v>
      </c>
      <c r="U2417" t="s">
        <v>41</v>
      </c>
      <c r="V2417" t="s">
        <v>42</v>
      </c>
      <c r="X2417" t="s">
        <v>74</v>
      </c>
      <c r="Y2417" t="b">
        <v>0</v>
      </c>
      <c r="Z2417" t="b">
        <v>0</v>
      </c>
      <c r="AC2417" s="1"/>
      <c r="AF2417">
        <v>0</v>
      </c>
      <c r="AG2417">
        <v>45</v>
      </c>
      <c r="AH2417">
        <v>46</v>
      </c>
      <c r="AI2417" s="2">
        <f>Table__192.168.3.138DYLAgingReport[[#This Row],[NetAmount]]-Table__192.168.3.138DYLAgingReport[[#This Row],[Paid]]</f>
        <v>254388</v>
      </c>
    </row>
    <row r="2418" spans="1:35">
      <c r="A2418" t="s">
        <v>4874</v>
      </c>
      <c r="B2418" s="1">
        <v>41274</v>
      </c>
      <c r="C2418" s="1">
        <v>41319</v>
      </c>
      <c r="D2418" t="s">
        <v>264</v>
      </c>
      <c r="E2418">
        <v>295400</v>
      </c>
      <c r="F2418">
        <v>47264</v>
      </c>
      <c r="G2418">
        <v>0</v>
      </c>
      <c r="H2418">
        <v>0</v>
      </c>
      <c r="I2418">
        <v>-4</v>
      </c>
      <c r="J2418">
        <v>342664</v>
      </c>
      <c r="K2418" t="s">
        <v>4875</v>
      </c>
      <c r="L2418" s="1">
        <v>41272</v>
      </c>
      <c r="N2418" t="s">
        <v>36</v>
      </c>
      <c r="O2418" t="s">
        <v>37</v>
      </c>
      <c r="P2418" t="s">
        <v>401</v>
      </c>
      <c r="Q2418" t="s">
        <v>39</v>
      </c>
      <c r="R2418" t="s">
        <v>40</v>
      </c>
      <c r="S2418">
        <v>0</v>
      </c>
      <c r="U2418" t="s">
        <v>41</v>
      </c>
      <c r="V2418" t="s">
        <v>42</v>
      </c>
      <c r="X2418" t="s">
        <v>74</v>
      </c>
      <c r="Y2418" t="b">
        <v>0</v>
      </c>
      <c r="Z2418" t="b">
        <v>0</v>
      </c>
      <c r="AB2418" t="s">
        <v>4501</v>
      </c>
      <c r="AC2418" s="1"/>
      <c r="AF2418">
        <v>0</v>
      </c>
      <c r="AG2418">
        <v>45</v>
      </c>
      <c r="AH2418">
        <v>41</v>
      </c>
      <c r="AI2418" s="2">
        <f>Table__192.168.3.138DYLAgingReport[[#This Row],[NetAmount]]-Table__192.168.3.138DYLAgingReport[[#This Row],[Paid]]</f>
        <v>342664</v>
      </c>
    </row>
    <row r="2419" spans="1:35">
      <c r="A2419" t="s">
        <v>4876</v>
      </c>
      <c r="B2419" s="1">
        <v>41274</v>
      </c>
      <c r="C2419" s="1">
        <v>41319</v>
      </c>
      <c r="D2419" t="s">
        <v>271</v>
      </c>
      <c r="E2419">
        <v>97600</v>
      </c>
      <c r="F2419">
        <v>15616</v>
      </c>
      <c r="G2419">
        <v>0</v>
      </c>
      <c r="H2419">
        <v>0</v>
      </c>
      <c r="I2419">
        <v>-6</v>
      </c>
      <c r="J2419">
        <v>113216</v>
      </c>
      <c r="K2419" t="s">
        <v>4630</v>
      </c>
      <c r="L2419" s="1">
        <v>41274</v>
      </c>
      <c r="N2419" t="s">
        <v>36</v>
      </c>
      <c r="O2419" t="s">
        <v>37</v>
      </c>
      <c r="P2419" t="s">
        <v>408</v>
      </c>
      <c r="Q2419" t="s">
        <v>39</v>
      </c>
      <c r="R2419" t="s">
        <v>40</v>
      </c>
      <c r="S2419">
        <v>0</v>
      </c>
      <c r="U2419" t="s">
        <v>41</v>
      </c>
      <c r="V2419" t="s">
        <v>42</v>
      </c>
      <c r="X2419" t="s">
        <v>74</v>
      </c>
      <c r="Y2419" t="b">
        <v>0</v>
      </c>
      <c r="Z2419" t="b">
        <v>0</v>
      </c>
      <c r="AC2419" s="1"/>
      <c r="AF2419">
        <v>0</v>
      </c>
      <c r="AG2419">
        <v>45</v>
      </c>
      <c r="AH2419">
        <v>39</v>
      </c>
      <c r="AI2419" s="2">
        <f>Table__192.168.3.138DYLAgingReport[[#This Row],[NetAmount]]-Table__192.168.3.138DYLAgingReport[[#This Row],[Paid]]</f>
        <v>113216</v>
      </c>
    </row>
    <row r="2420" spans="1:35">
      <c r="A2420" t="s">
        <v>4877</v>
      </c>
      <c r="B2420" s="1">
        <v>41274</v>
      </c>
      <c r="C2420" s="1">
        <v>41319</v>
      </c>
      <c r="D2420" t="s">
        <v>227</v>
      </c>
      <c r="E2420">
        <v>37800</v>
      </c>
      <c r="F2420">
        <v>6048</v>
      </c>
      <c r="G2420">
        <v>0</v>
      </c>
      <c r="H2420">
        <v>0</v>
      </c>
      <c r="I2420">
        <v>-4</v>
      </c>
      <c r="J2420">
        <v>43848</v>
      </c>
      <c r="K2420" t="s">
        <v>4878</v>
      </c>
      <c r="L2420" s="1">
        <v>41272</v>
      </c>
      <c r="N2420" t="s">
        <v>36</v>
      </c>
      <c r="O2420" t="s">
        <v>37</v>
      </c>
      <c r="P2420" t="s">
        <v>364</v>
      </c>
      <c r="Q2420" t="s">
        <v>39</v>
      </c>
      <c r="R2420" t="s">
        <v>40</v>
      </c>
      <c r="S2420">
        <v>0</v>
      </c>
      <c r="U2420" t="s">
        <v>41</v>
      </c>
      <c r="V2420" t="s">
        <v>42</v>
      </c>
      <c r="X2420" t="s">
        <v>74</v>
      </c>
      <c r="Y2420" t="b">
        <v>0</v>
      </c>
      <c r="Z2420" t="b">
        <v>0</v>
      </c>
      <c r="AC2420" s="1"/>
      <c r="AF2420">
        <v>0</v>
      </c>
      <c r="AG2420">
        <v>45</v>
      </c>
      <c r="AH2420">
        <v>41</v>
      </c>
      <c r="AI2420" s="2">
        <f>Table__192.168.3.138DYLAgingReport[[#This Row],[NetAmount]]-Table__192.168.3.138DYLAgingReport[[#This Row],[Paid]]</f>
        <v>43848</v>
      </c>
    </row>
    <row r="2421" spans="1:35">
      <c r="A2421" t="s">
        <v>4879</v>
      </c>
      <c r="B2421" s="1">
        <v>41274</v>
      </c>
      <c r="C2421" s="1">
        <v>41319</v>
      </c>
      <c r="D2421" t="s">
        <v>227</v>
      </c>
      <c r="E2421">
        <v>821000</v>
      </c>
      <c r="F2421">
        <v>131360</v>
      </c>
      <c r="G2421">
        <v>0</v>
      </c>
      <c r="H2421">
        <v>0</v>
      </c>
      <c r="I2421">
        <v>-4</v>
      </c>
      <c r="J2421">
        <v>952360</v>
      </c>
      <c r="K2421" t="s">
        <v>4880</v>
      </c>
      <c r="L2421" s="1">
        <v>41272</v>
      </c>
      <c r="N2421" t="s">
        <v>36</v>
      </c>
      <c r="O2421" t="s">
        <v>37</v>
      </c>
      <c r="P2421" t="s">
        <v>364</v>
      </c>
      <c r="Q2421" t="s">
        <v>39</v>
      </c>
      <c r="R2421" t="s">
        <v>40</v>
      </c>
      <c r="S2421">
        <v>0</v>
      </c>
      <c r="U2421" t="s">
        <v>41</v>
      </c>
      <c r="V2421" t="s">
        <v>42</v>
      </c>
      <c r="X2421" t="s">
        <v>74</v>
      </c>
      <c r="Y2421" t="b">
        <v>0</v>
      </c>
      <c r="Z2421" t="b">
        <v>0</v>
      </c>
      <c r="AC2421" s="1"/>
      <c r="AF2421">
        <v>0</v>
      </c>
      <c r="AG2421">
        <v>45</v>
      </c>
      <c r="AH2421">
        <v>41</v>
      </c>
      <c r="AI2421" s="2">
        <f>Table__192.168.3.138DYLAgingReport[[#This Row],[NetAmount]]-Table__192.168.3.138DYLAgingReport[[#This Row],[Paid]]</f>
        <v>952360</v>
      </c>
    </row>
    <row r="2422" spans="1:35">
      <c r="A2422" t="s">
        <v>4881</v>
      </c>
      <c r="B2422" s="1">
        <v>41267</v>
      </c>
      <c r="C2422" s="1">
        <v>41312</v>
      </c>
      <c r="D2422" t="s">
        <v>227</v>
      </c>
      <c r="E2422">
        <v>182250</v>
      </c>
      <c r="F2422">
        <v>29160</v>
      </c>
      <c r="G2422">
        <v>0</v>
      </c>
      <c r="H2422">
        <v>0</v>
      </c>
      <c r="I2422">
        <v>1</v>
      </c>
      <c r="J2422">
        <v>211410</v>
      </c>
      <c r="K2422" t="s">
        <v>4882</v>
      </c>
      <c r="L2422" s="1">
        <v>41267</v>
      </c>
      <c r="N2422" t="s">
        <v>36</v>
      </c>
      <c r="O2422" t="s">
        <v>37</v>
      </c>
      <c r="P2422" t="s">
        <v>364</v>
      </c>
      <c r="Q2422" t="s">
        <v>39</v>
      </c>
      <c r="R2422" t="s">
        <v>40</v>
      </c>
      <c r="S2422">
        <v>0</v>
      </c>
      <c r="U2422" t="s">
        <v>41</v>
      </c>
      <c r="V2422" t="s">
        <v>42</v>
      </c>
      <c r="X2422" t="s">
        <v>74</v>
      </c>
      <c r="Y2422" t="b">
        <v>0</v>
      </c>
      <c r="Z2422" t="b">
        <v>0</v>
      </c>
      <c r="AC2422" s="1"/>
      <c r="AF2422">
        <v>0</v>
      </c>
      <c r="AG2422">
        <v>45</v>
      </c>
      <c r="AH2422">
        <v>46</v>
      </c>
      <c r="AI2422" s="2">
        <f>Table__192.168.3.138DYLAgingReport[[#This Row],[NetAmount]]-Table__192.168.3.138DYLAgingReport[[#This Row],[Paid]]</f>
        <v>211410</v>
      </c>
    </row>
    <row r="2423" spans="1:35">
      <c r="A2423" t="s">
        <v>4883</v>
      </c>
      <c r="B2423" s="1">
        <v>41246</v>
      </c>
      <c r="C2423" s="1">
        <v>41291</v>
      </c>
      <c r="D2423" t="s">
        <v>173</v>
      </c>
      <c r="E2423">
        <v>12572</v>
      </c>
      <c r="F2423">
        <v>2011</v>
      </c>
      <c r="G2423">
        <v>0</v>
      </c>
      <c r="H2423">
        <v>0</v>
      </c>
      <c r="I2423">
        <v>22</v>
      </c>
      <c r="J2423">
        <v>14583</v>
      </c>
      <c r="K2423" t="s">
        <v>4884</v>
      </c>
      <c r="L2423" s="1">
        <v>41246</v>
      </c>
      <c r="N2423" t="s">
        <v>36</v>
      </c>
      <c r="O2423" t="s">
        <v>37</v>
      </c>
      <c r="P2423" t="s">
        <v>310</v>
      </c>
      <c r="Q2423" t="s">
        <v>39</v>
      </c>
      <c r="R2423" t="s">
        <v>40</v>
      </c>
      <c r="S2423">
        <v>0</v>
      </c>
      <c r="U2423" t="s">
        <v>41</v>
      </c>
      <c r="V2423" t="s">
        <v>42</v>
      </c>
      <c r="X2423" t="s">
        <v>74</v>
      </c>
      <c r="Y2423" t="b">
        <v>0</v>
      </c>
      <c r="Z2423" t="b">
        <v>0</v>
      </c>
      <c r="AC2423" s="1"/>
      <c r="AF2423">
        <v>0</v>
      </c>
      <c r="AG2423">
        <v>45</v>
      </c>
      <c r="AH2423">
        <v>67</v>
      </c>
      <c r="AI2423" s="2">
        <f>Table__192.168.3.138DYLAgingReport[[#This Row],[NetAmount]]-Table__192.168.3.138DYLAgingReport[[#This Row],[Paid]]</f>
        <v>14583</v>
      </c>
    </row>
    <row r="2424" spans="1:35">
      <c r="A2424" t="s">
        <v>4885</v>
      </c>
      <c r="B2424" s="1">
        <v>41249</v>
      </c>
      <c r="C2424" s="1">
        <v>41294</v>
      </c>
      <c r="D2424" t="s">
        <v>173</v>
      </c>
      <c r="E2424">
        <v>1032</v>
      </c>
      <c r="F2424">
        <v>165</v>
      </c>
      <c r="G2424">
        <v>0</v>
      </c>
      <c r="H2424">
        <v>0</v>
      </c>
      <c r="I2424">
        <v>19</v>
      </c>
      <c r="J2424">
        <v>1197</v>
      </c>
      <c r="K2424" t="s">
        <v>3722</v>
      </c>
      <c r="L2424" s="1">
        <v>41249</v>
      </c>
      <c r="N2424" t="s">
        <v>36</v>
      </c>
      <c r="O2424" t="s">
        <v>37</v>
      </c>
      <c r="P2424" t="s">
        <v>310</v>
      </c>
      <c r="Q2424" t="s">
        <v>39</v>
      </c>
      <c r="R2424" t="s">
        <v>40</v>
      </c>
      <c r="S2424">
        <v>0</v>
      </c>
      <c r="U2424" t="s">
        <v>41</v>
      </c>
      <c r="V2424" t="s">
        <v>42</v>
      </c>
      <c r="X2424" t="s">
        <v>74</v>
      </c>
      <c r="Y2424" t="b">
        <v>0</v>
      </c>
      <c r="Z2424" t="b">
        <v>0</v>
      </c>
      <c r="AC2424" s="1"/>
      <c r="AF2424">
        <v>0</v>
      </c>
      <c r="AG2424">
        <v>45</v>
      </c>
      <c r="AH2424">
        <v>64</v>
      </c>
      <c r="AI2424" s="2">
        <f>Table__192.168.3.138DYLAgingReport[[#This Row],[NetAmount]]-Table__192.168.3.138DYLAgingReport[[#This Row],[Paid]]</f>
        <v>1197</v>
      </c>
    </row>
    <row r="2425" spans="1:35">
      <c r="A2425" t="s">
        <v>4886</v>
      </c>
      <c r="B2425" s="1">
        <v>41274</v>
      </c>
      <c r="C2425" s="1">
        <v>41319</v>
      </c>
      <c r="D2425" t="s">
        <v>173</v>
      </c>
      <c r="E2425">
        <v>13088</v>
      </c>
      <c r="F2425">
        <v>2094</v>
      </c>
      <c r="G2425">
        <v>0</v>
      </c>
      <c r="H2425">
        <v>0</v>
      </c>
      <c r="I2425">
        <v>-6</v>
      </c>
      <c r="J2425">
        <v>15182</v>
      </c>
      <c r="K2425" t="s">
        <v>4887</v>
      </c>
      <c r="L2425" s="1">
        <v>41274</v>
      </c>
      <c r="N2425" t="s">
        <v>36</v>
      </c>
      <c r="O2425" t="s">
        <v>37</v>
      </c>
      <c r="P2425" t="s">
        <v>310</v>
      </c>
      <c r="Q2425" t="s">
        <v>39</v>
      </c>
      <c r="R2425" t="s">
        <v>40</v>
      </c>
      <c r="S2425">
        <v>0</v>
      </c>
      <c r="U2425" t="s">
        <v>41</v>
      </c>
      <c r="V2425" t="s">
        <v>42</v>
      </c>
      <c r="X2425" t="s">
        <v>74</v>
      </c>
      <c r="Y2425" t="b">
        <v>0</v>
      </c>
      <c r="Z2425" t="b">
        <v>0</v>
      </c>
      <c r="AC2425" s="1"/>
      <c r="AF2425">
        <v>0</v>
      </c>
      <c r="AG2425">
        <v>45</v>
      </c>
      <c r="AH2425">
        <v>39</v>
      </c>
      <c r="AI2425" s="2">
        <f>Table__192.168.3.138DYLAgingReport[[#This Row],[NetAmount]]-Table__192.168.3.138DYLAgingReport[[#This Row],[Paid]]</f>
        <v>15182</v>
      </c>
    </row>
    <row r="2426" spans="1:35">
      <c r="A2426" t="s">
        <v>4888</v>
      </c>
      <c r="B2426" s="1">
        <v>41274</v>
      </c>
      <c r="C2426" s="1">
        <v>41319</v>
      </c>
      <c r="D2426" t="s">
        <v>208</v>
      </c>
      <c r="E2426">
        <v>5600</v>
      </c>
      <c r="F2426">
        <v>896</v>
      </c>
      <c r="G2426">
        <v>0</v>
      </c>
      <c r="H2426">
        <v>0</v>
      </c>
      <c r="I2426">
        <v>-6</v>
      </c>
      <c r="J2426">
        <v>6496</v>
      </c>
      <c r="K2426" t="s">
        <v>4889</v>
      </c>
      <c r="L2426" s="1">
        <v>41274</v>
      </c>
      <c r="N2426" t="s">
        <v>36</v>
      </c>
      <c r="O2426" t="s">
        <v>37</v>
      </c>
      <c r="P2426" t="s">
        <v>345</v>
      </c>
      <c r="Q2426" t="s">
        <v>39</v>
      </c>
      <c r="R2426" t="s">
        <v>40</v>
      </c>
      <c r="S2426">
        <v>0</v>
      </c>
      <c r="U2426" t="s">
        <v>41</v>
      </c>
      <c r="V2426" t="s">
        <v>42</v>
      </c>
      <c r="X2426" t="s">
        <v>74</v>
      </c>
      <c r="Y2426" t="b">
        <v>0</v>
      </c>
      <c r="Z2426" t="b">
        <v>0</v>
      </c>
      <c r="AB2426" t="s">
        <v>1186</v>
      </c>
      <c r="AC2426" s="1"/>
      <c r="AF2426">
        <v>0</v>
      </c>
      <c r="AG2426">
        <v>45</v>
      </c>
      <c r="AH2426">
        <v>39</v>
      </c>
      <c r="AI2426" s="2">
        <f>Table__192.168.3.138DYLAgingReport[[#This Row],[NetAmount]]-Table__192.168.3.138DYLAgingReport[[#This Row],[Paid]]</f>
        <v>6496</v>
      </c>
    </row>
    <row r="2427" spans="1:35">
      <c r="A2427" t="s">
        <v>4890</v>
      </c>
      <c r="B2427" s="1">
        <v>41249</v>
      </c>
      <c r="C2427" s="1">
        <v>41294</v>
      </c>
      <c r="D2427" t="s">
        <v>208</v>
      </c>
      <c r="E2427">
        <v>146938</v>
      </c>
      <c r="F2427">
        <v>23510</v>
      </c>
      <c r="G2427">
        <v>0</v>
      </c>
      <c r="H2427">
        <v>0</v>
      </c>
      <c r="I2427">
        <v>19</v>
      </c>
      <c r="J2427">
        <v>170448</v>
      </c>
      <c r="K2427" t="s">
        <v>4891</v>
      </c>
      <c r="L2427" s="1">
        <v>41249</v>
      </c>
      <c r="N2427" t="s">
        <v>36</v>
      </c>
      <c r="O2427" t="s">
        <v>37</v>
      </c>
      <c r="P2427" t="s">
        <v>345</v>
      </c>
      <c r="Q2427" t="s">
        <v>39</v>
      </c>
      <c r="R2427" t="s">
        <v>40</v>
      </c>
      <c r="S2427">
        <v>0</v>
      </c>
      <c r="U2427" t="s">
        <v>41</v>
      </c>
      <c r="V2427" t="s">
        <v>42</v>
      </c>
      <c r="X2427" t="s">
        <v>74</v>
      </c>
      <c r="Y2427" t="b">
        <v>0</v>
      </c>
      <c r="Z2427" t="b">
        <v>0</v>
      </c>
      <c r="AB2427" t="s">
        <v>4555</v>
      </c>
      <c r="AC2427" s="1"/>
      <c r="AF2427">
        <v>0</v>
      </c>
      <c r="AG2427">
        <v>45</v>
      </c>
      <c r="AH2427">
        <v>64</v>
      </c>
      <c r="AI2427" s="2">
        <f>Table__192.168.3.138DYLAgingReport[[#This Row],[NetAmount]]-Table__192.168.3.138DYLAgingReport[[#This Row],[Paid]]</f>
        <v>170448</v>
      </c>
    </row>
    <row r="2428" spans="1:35">
      <c r="A2428" t="s">
        <v>4892</v>
      </c>
      <c r="B2428" s="1">
        <v>41270</v>
      </c>
      <c r="C2428" s="1">
        <v>41315</v>
      </c>
      <c r="D2428" t="s">
        <v>208</v>
      </c>
      <c r="E2428">
        <v>6300</v>
      </c>
      <c r="F2428">
        <v>1008</v>
      </c>
      <c r="G2428">
        <v>0</v>
      </c>
      <c r="H2428">
        <v>0</v>
      </c>
      <c r="I2428">
        <v>-2</v>
      </c>
      <c r="J2428">
        <v>7308</v>
      </c>
      <c r="K2428" t="s">
        <v>4893</v>
      </c>
      <c r="L2428" s="1">
        <v>41270</v>
      </c>
      <c r="N2428" t="s">
        <v>36</v>
      </c>
      <c r="O2428" t="s">
        <v>37</v>
      </c>
      <c r="P2428" t="s">
        <v>345</v>
      </c>
      <c r="Q2428" t="s">
        <v>39</v>
      </c>
      <c r="R2428" t="s">
        <v>40</v>
      </c>
      <c r="S2428">
        <v>0</v>
      </c>
      <c r="U2428" t="s">
        <v>41</v>
      </c>
      <c r="V2428" t="s">
        <v>42</v>
      </c>
      <c r="X2428" t="s">
        <v>74</v>
      </c>
      <c r="Y2428" t="b">
        <v>0</v>
      </c>
      <c r="Z2428" t="b">
        <v>0</v>
      </c>
      <c r="AB2428" t="s">
        <v>4807</v>
      </c>
      <c r="AC2428" s="1"/>
      <c r="AF2428">
        <v>0</v>
      </c>
      <c r="AG2428">
        <v>45</v>
      </c>
      <c r="AH2428">
        <v>43</v>
      </c>
      <c r="AI2428" s="2">
        <f>Table__192.168.3.138DYLAgingReport[[#This Row],[NetAmount]]-Table__192.168.3.138DYLAgingReport[[#This Row],[Paid]]</f>
        <v>7308</v>
      </c>
    </row>
    <row r="2429" spans="1:35">
      <c r="A2429" t="s">
        <v>4894</v>
      </c>
      <c r="B2429" s="1">
        <v>41265</v>
      </c>
      <c r="C2429" s="1">
        <v>41310</v>
      </c>
      <c r="D2429" t="s">
        <v>208</v>
      </c>
      <c r="E2429">
        <v>190078</v>
      </c>
      <c r="F2429">
        <v>30412</v>
      </c>
      <c r="G2429">
        <v>0</v>
      </c>
      <c r="H2429">
        <v>0</v>
      </c>
      <c r="I2429">
        <v>3</v>
      </c>
      <c r="J2429">
        <v>220490</v>
      </c>
      <c r="K2429" t="s">
        <v>4895</v>
      </c>
      <c r="L2429" s="1">
        <v>41265</v>
      </c>
      <c r="N2429" t="s">
        <v>36</v>
      </c>
      <c r="O2429" t="s">
        <v>37</v>
      </c>
      <c r="P2429" t="s">
        <v>345</v>
      </c>
      <c r="Q2429" t="s">
        <v>39</v>
      </c>
      <c r="R2429" t="s">
        <v>40</v>
      </c>
      <c r="S2429">
        <v>0</v>
      </c>
      <c r="U2429" t="s">
        <v>41</v>
      </c>
      <c r="V2429" t="s">
        <v>42</v>
      </c>
      <c r="X2429" t="s">
        <v>74</v>
      </c>
      <c r="Y2429" t="b">
        <v>0</v>
      </c>
      <c r="Z2429" t="b">
        <v>0</v>
      </c>
      <c r="AB2429" t="s">
        <v>1186</v>
      </c>
      <c r="AC2429" s="1"/>
      <c r="AF2429">
        <v>0</v>
      </c>
      <c r="AG2429">
        <v>45</v>
      </c>
      <c r="AH2429">
        <v>48</v>
      </c>
      <c r="AI2429" s="2">
        <f>Table__192.168.3.138DYLAgingReport[[#This Row],[NetAmount]]-Table__192.168.3.138DYLAgingReport[[#This Row],[Paid]]</f>
        <v>220490</v>
      </c>
    </row>
    <row r="2430" spans="1:35">
      <c r="A2430" t="s">
        <v>4896</v>
      </c>
      <c r="B2430" s="1">
        <v>41274</v>
      </c>
      <c r="C2430" s="1">
        <v>41319</v>
      </c>
      <c r="D2430" t="s">
        <v>208</v>
      </c>
      <c r="E2430">
        <v>44005</v>
      </c>
      <c r="F2430">
        <v>7041</v>
      </c>
      <c r="G2430">
        <v>0</v>
      </c>
      <c r="H2430">
        <v>0</v>
      </c>
      <c r="I2430">
        <v>-6</v>
      </c>
      <c r="J2430">
        <v>51046</v>
      </c>
      <c r="K2430" t="s">
        <v>4897</v>
      </c>
      <c r="L2430" s="1">
        <v>41274</v>
      </c>
      <c r="N2430" t="s">
        <v>36</v>
      </c>
      <c r="O2430" t="s">
        <v>37</v>
      </c>
      <c r="P2430" t="s">
        <v>345</v>
      </c>
      <c r="Q2430" t="s">
        <v>39</v>
      </c>
      <c r="R2430" t="s">
        <v>40</v>
      </c>
      <c r="S2430">
        <v>0</v>
      </c>
      <c r="U2430" t="s">
        <v>41</v>
      </c>
      <c r="V2430" t="s">
        <v>42</v>
      </c>
      <c r="X2430" t="s">
        <v>74</v>
      </c>
      <c r="Y2430" t="b">
        <v>0</v>
      </c>
      <c r="Z2430" t="b">
        <v>0</v>
      </c>
      <c r="AB2430" t="s">
        <v>4807</v>
      </c>
      <c r="AC2430" s="1"/>
      <c r="AF2430">
        <v>0</v>
      </c>
      <c r="AG2430">
        <v>45</v>
      </c>
      <c r="AH2430">
        <v>39</v>
      </c>
      <c r="AI2430" s="2">
        <f>Table__192.168.3.138DYLAgingReport[[#This Row],[NetAmount]]-Table__192.168.3.138DYLAgingReport[[#This Row],[Paid]]</f>
        <v>51046</v>
      </c>
    </row>
    <row r="2431" spans="1:35">
      <c r="A2431" t="s">
        <v>4898</v>
      </c>
      <c r="B2431" s="1">
        <v>41271</v>
      </c>
      <c r="C2431" s="1">
        <v>41316</v>
      </c>
      <c r="D2431" t="s">
        <v>208</v>
      </c>
      <c r="E2431">
        <v>17500</v>
      </c>
      <c r="F2431">
        <v>2800</v>
      </c>
      <c r="G2431">
        <v>0</v>
      </c>
      <c r="H2431">
        <v>0</v>
      </c>
      <c r="I2431">
        <v>-3</v>
      </c>
      <c r="J2431">
        <v>20300</v>
      </c>
      <c r="K2431" t="s">
        <v>4899</v>
      </c>
      <c r="L2431" s="1">
        <v>41271</v>
      </c>
      <c r="N2431" t="s">
        <v>36</v>
      </c>
      <c r="O2431" t="s">
        <v>37</v>
      </c>
      <c r="P2431" t="s">
        <v>345</v>
      </c>
      <c r="Q2431" t="s">
        <v>39</v>
      </c>
      <c r="R2431" t="s">
        <v>40</v>
      </c>
      <c r="S2431">
        <v>0</v>
      </c>
      <c r="U2431" t="s">
        <v>41</v>
      </c>
      <c r="V2431" t="s">
        <v>42</v>
      </c>
      <c r="X2431" t="s">
        <v>74</v>
      </c>
      <c r="Y2431" t="b">
        <v>0</v>
      </c>
      <c r="Z2431" t="b">
        <v>0</v>
      </c>
      <c r="AB2431" t="s">
        <v>4807</v>
      </c>
      <c r="AC2431" s="1"/>
      <c r="AF2431">
        <v>0</v>
      </c>
      <c r="AG2431">
        <v>45</v>
      </c>
      <c r="AH2431">
        <v>42</v>
      </c>
      <c r="AI2431" s="2">
        <f>Table__192.168.3.138DYLAgingReport[[#This Row],[NetAmount]]-Table__192.168.3.138DYLAgingReport[[#This Row],[Paid]]</f>
        <v>20300</v>
      </c>
    </row>
    <row r="2432" spans="1:35">
      <c r="A2432" t="s">
        <v>4900</v>
      </c>
      <c r="B2432" s="1">
        <v>41272</v>
      </c>
      <c r="C2432" s="1">
        <v>41317</v>
      </c>
      <c r="D2432" t="s">
        <v>208</v>
      </c>
      <c r="E2432">
        <v>12888</v>
      </c>
      <c r="F2432">
        <v>2062</v>
      </c>
      <c r="G2432">
        <v>0</v>
      </c>
      <c r="H2432">
        <v>0</v>
      </c>
      <c r="I2432">
        <v>-4</v>
      </c>
      <c r="J2432">
        <v>14950</v>
      </c>
      <c r="K2432" t="s">
        <v>4901</v>
      </c>
      <c r="L2432" s="1">
        <v>41272</v>
      </c>
      <c r="N2432" t="s">
        <v>36</v>
      </c>
      <c r="O2432" t="s">
        <v>37</v>
      </c>
      <c r="P2432" t="s">
        <v>345</v>
      </c>
      <c r="Q2432" t="s">
        <v>39</v>
      </c>
      <c r="R2432" t="s">
        <v>40</v>
      </c>
      <c r="S2432">
        <v>0</v>
      </c>
      <c r="U2432" t="s">
        <v>41</v>
      </c>
      <c r="V2432" t="s">
        <v>42</v>
      </c>
      <c r="X2432" t="s">
        <v>74</v>
      </c>
      <c r="Y2432" t="b">
        <v>0</v>
      </c>
      <c r="Z2432" t="b">
        <v>0</v>
      </c>
      <c r="AB2432" t="s">
        <v>4807</v>
      </c>
      <c r="AC2432" s="1"/>
      <c r="AF2432">
        <v>0</v>
      </c>
      <c r="AG2432">
        <v>45</v>
      </c>
      <c r="AH2432">
        <v>41</v>
      </c>
      <c r="AI2432" s="2">
        <f>Table__192.168.3.138DYLAgingReport[[#This Row],[NetAmount]]-Table__192.168.3.138DYLAgingReport[[#This Row],[Paid]]</f>
        <v>14950</v>
      </c>
    </row>
    <row r="2433" spans="1:35">
      <c r="A2433" t="s">
        <v>4902</v>
      </c>
      <c r="B2433" s="1">
        <v>41261</v>
      </c>
      <c r="C2433" s="1">
        <v>41306</v>
      </c>
      <c r="D2433" t="s">
        <v>208</v>
      </c>
      <c r="E2433">
        <v>5600</v>
      </c>
      <c r="F2433">
        <v>896</v>
      </c>
      <c r="G2433">
        <v>0</v>
      </c>
      <c r="H2433">
        <v>0</v>
      </c>
      <c r="I2433">
        <v>7</v>
      </c>
      <c r="J2433">
        <v>6496</v>
      </c>
      <c r="K2433" t="s">
        <v>4903</v>
      </c>
      <c r="L2433" s="1">
        <v>41261</v>
      </c>
      <c r="N2433" t="s">
        <v>36</v>
      </c>
      <c r="O2433" t="s">
        <v>37</v>
      </c>
      <c r="P2433" t="s">
        <v>345</v>
      </c>
      <c r="Q2433" t="s">
        <v>39</v>
      </c>
      <c r="R2433" t="s">
        <v>40</v>
      </c>
      <c r="S2433">
        <v>0</v>
      </c>
      <c r="U2433" t="s">
        <v>41</v>
      </c>
      <c r="V2433" t="s">
        <v>42</v>
      </c>
      <c r="X2433" t="s">
        <v>74</v>
      </c>
      <c r="Y2433" t="b">
        <v>0</v>
      </c>
      <c r="Z2433" t="b">
        <v>0</v>
      </c>
      <c r="AB2433" t="s">
        <v>4807</v>
      </c>
      <c r="AC2433" s="1"/>
      <c r="AF2433">
        <v>0</v>
      </c>
      <c r="AG2433">
        <v>45</v>
      </c>
      <c r="AH2433">
        <v>52</v>
      </c>
      <c r="AI2433" s="2">
        <f>Table__192.168.3.138DYLAgingReport[[#This Row],[NetAmount]]-Table__192.168.3.138DYLAgingReport[[#This Row],[Paid]]</f>
        <v>6496</v>
      </c>
    </row>
    <row r="2434" spans="1:35">
      <c r="A2434" t="s">
        <v>4904</v>
      </c>
      <c r="B2434" s="1">
        <v>41267</v>
      </c>
      <c r="C2434" s="1">
        <v>41312</v>
      </c>
      <c r="D2434" t="s">
        <v>253</v>
      </c>
      <c r="E2434">
        <v>316453</v>
      </c>
      <c r="F2434">
        <v>50632</v>
      </c>
      <c r="G2434">
        <v>0</v>
      </c>
      <c r="H2434">
        <v>0</v>
      </c>
      <c r="I2434">
        <v>-2</v>
      </c>
      <c r="J2434">
        <v>367085</v>
      </c>
      <c r="K2434" t="s">
        <v>3941</v>
      </c>
      <c r="L2434" s="1">
        <v>41270</v>
      </c>
      <c r="N2434" t="s">
        <v>36</v>
      </c>
      <c r="O2434" t="s">
        <v>37</v>
      </c>
      <c r="P2434" t="s">
        <v>390</v>
      </c>
      <c r="Q2434" t="s">
        <v>39</v>
      </c>
      <c r="R2434" t="s">
        <v>40</v>
      </c>
      <c r="S2434">
        <v>0</v>
      </c>
      <c r="U2434" t="s">
        <v>41</v>
      </c>
      <c r="V2434" t="s">
        <v>42</v>
      </c>
      <c r="X2434" t="s">
        <v>74</v>
      </c>
      <c r="Y2434" t="b">
        <v>0</v>
      </c>
      <c r="Z2434" t="b">
        <v>0</v>
      </c>
      <c r="AC2434" s="1"/>
      <c r="AF2434">
        <v>0</v>
      </c>
      <c r="AG2434">
        <v>45</v>
      </c>
      <c r="AH2434">
        <v>43</v>
      </c>
      <c r="AI2434" s="2">
        <f>Table__192.168.3.138DYLAgingReport[[#This Row],[NetAmount]]-Table__192.168.3.138DYLAgingReport[[#This Row],[Paid]]</f>
        <v>367085</v>
      </c>
    </row>
    <row r="2435" spans="1:35">
      <c r="A2435" t="s">
        <v>4905</v>
      </c>
      <c r="B2435" s="1">
        <v>41256</v>
      </c>
      <c r="C2435" s="1">
        <v>41301</v>
      </c>
      <c r="D2435" t="s">
        <v>187</v>
      </c>
      <c r="E2435">
        <v>46000</v>
      </c>
      <c r="F2435">
        <v>0</v>
      </c>
      <c r="G2435">
        <v>0</v>
      </c>
      <c r="H2435">
        <v>0</v>
      </c>
      <c r="I2435">
        <v>12</v>
      </c>
      <c r="J2435">
        <v>46000</v>
      </c>
      <c r="K2435" t="s">
        <v>4906</v>
      </c>
      <c r="L2435" s="1">
        <v>41256</v>
      </c>
      <c r="N2435" t="s">
        <v>36</v>
      </c>
      <c r="O2435" t="s">
        <v>37</v>
      </c>
      <c r="P2435" t="s">
        <v>324</v>
      </c>
      <c r="Q2435" t="s">
        <v>39</v>
      </c>
      <c r="R2435" t="s">
        <v>40</v>
      </c>
      <c r="S2435">
        <v>0</v>
      </c>
      <c r="U2435" t="s">
        <v>41</v>
      </c>
      <c r="V2435" t="s">
        <v>42</v>
      </c>
      <c r="X2435" t="s">
        <v>74</v>
      </c>
      <c r="Y2435" t="b">
        <v>0</v>
      </c>
      <c r="Z2435" t="b">
        <v>0</v>
      </c>
      <c r="AC2435" s="1"/>
      <c r="AF2435">
        <v>0</v>
      </c>
      <c r="AG2435">
        <v>45</v>
      </c>
      <c r="AH2435">
        <v>57</v>
      </c>
      <c r="AI2435" s="2">
        <f>Table__192.168.3.138DYLAgingReport[[#This Row],[NetAmount]]-Table__192.168.3.138DYLAgingReport[[#This Row],[Paid]]</f>
        <v>46000</v>
      </c>
    </row>
    <row r="2436" spans="1:35">
      <c r="A2436" t="s">
        <v>4907</v>
      </c>
      <c r="B2436" s="1">
        <v>41251</v>
      </c>
      <c r="C2436" s="1">
        <v>41296</v>
      </c>
      <c r="D2436" t="s">
        <v>187</v>
      </c>
      <c r="E2436">
        <v>61290</v>
      </c>
      <c r="F2436">
        <v>0</v>
      </c>
      <c r="G2436">
        <v>0</v>
      </c>
      <c r="H2436">
        <v>0</v>
      </c>
      <c r="I2436">
        <v>19</v>
      </c>
      <c r="J2436">
        <v>61290</v>
      </c>
      <c r="K2436" t="s">
        <v>4908</v>
      </c>
      <c r="L2436" s="1">
        <v>41249</v>
      </c>
      <c r="N2436" t="s">
        <v>36</v>
      </c>
      <c r="O2436" t="s">
        <v>37</v>
      </c>
      <c r="P2436" t="s">
        <v>324</v>
      </c>
      <c r="Q2436" t="s">
        <v>39</v>
      </c>
      <c r="R2436" t="s">
        <v>40</v>
      </c>
      <c r="S2436">
        <v>0</v>
      </c>
      <c r="U2436" t="s">
        <v>41</v>
      </c>
      <c r="V2436" t="s">
        <v>42</v>
      </c>
      <c r="X2436" t="s">
        <v>74</v>
      </c>
      <c r="Y2436" t="b">
        <v>0</v>
      </c>
      <c r="Z2436" t="b">
        <v>0</v>
      </c>
      <c r="AC2436" s="1"/>
      <c r="AF2436">
        <v>0</v>
      </c>
      <c r="AG2436">
        <v>45</v>
      </c>
      <c r="AH2436">
        <v>64</v>
      </c>
      <c r="AI2436" s="2">
        <f>Table__192.168.3.138DYLAgingReport[[#This Row],[NetAmount]]-Table__192.168.3.138DYLAgingReport[[#This Row],[Paid]]</f>
        <v>61290</v>
      </c>
    </row>
    <row r="2437" spans="1:35">
      <c r="A2437" t="s">
        <v>4909</v>
      </c>
      <c r="B2437" s="1">
        <v>41254</v>
      </c>
      <c r="C2437" s="1">
        <v>41299</v>
      </c>
      <c r="D2437" t="s">
        <v>257</v>
      </c>
      <c r="E2437">
        <v>50850</v>
      </c>
      <c r="F2437">
        <v>8136</v>
      </c>
      <c r="G2437">
        <v>0</v>
      </c>
      <c r="H2437">
        <v>0</v>
      </c>
      <c r="I2437">
        <v>14</v>
      </c>
      <c r="J2437">
        <v>58986</v>
      </c>
      <c r="K2437" t="s">
        <v>2026</v>
      </c>
      <c r="L2437" s="1">
        <v>41254</v>
      </c>
      <c r="N2437" t="s">
        <v>36</v>
      </c>
      <c r="O2437" t="s">
        <v>37</v>
      </c>
      <c r="P2437" t="s">
        <v>394</v>
      </c>
      <c r="Q2437" t="s">
        <v>39</v>
      </c>
      <c r="R2437" t="s">
        <v>40</v>
      </c>
      <c r="S2437">
        <v>0</v>
      </c>
      <c r="U2437" t="s">
        <v>41</v>
      </c>
      <c r="V2437" t="s">
        <v>42</v>
      </c>
      <c r="X2437" t="s">
        <v>74</v>
      </c>
      <c r="Y2437" t="b">
        <v>0</v>
      </c>
      <c r="Z2437" t="b">
        <v>0</v>
      </c>
      <c r="AC2437" s="1"/>
      <c r="AF2437">
        <v>0</v>
      </c>
      <c r="AG2437">
        <v>45</v>
      </c>
      <c r="AH2437">
        <v>59</v>
      </c>
      <c r="AI2437" s="2">
        <f>Table__192.168.3.138DYLAgingReport[[#This Row],[NetAmount]]-Table__192.168.3.138DYLAgingReport[[#This Row],[Paid]]</f>
        <v>58986</v>
      </c>
    </row>
    <row r="2438" spans="1:35">
      <c r="A2438" t="s">
        <v>4910</v>
      </c>
      <c r="B2438" s="1">
        <v>41258</v>
      </c>
      <c r="C2438" s="1">
        <v>41303</v>
      </c>
      <c r="D2438" t="s">
        <v>175</v>
      </c>
      <c r="E2438">
        <v>9600</v>
      </c>
      <c r="F2438">
        <v>1536</v>
      </c>
      <c r="G2438">
        <v>0</v>
      </c>
      <c r="H2438">
        <v>0</v>
      </c>
      <c r="I2438">
        <v>12</v>
      </c>
      <c r="J2438">
        <v>11136</v>
      </c>
      <c r="K2438" t="s">
        <v>3587</v>
      </c>
      <c r="L2438" s="1">
        <v>41256</v>
      </c>
      <c r="N2438" t="s">
        <v>36</v>
      </c>
      <c r="O2438" t="s">
        <v>37</v>
      </c>
      <c r="P2438" t="s">
        <v>312</v>
      </c>
      <c r="Q2438" t="s">
        <v>39</v>
      </c>
      <c r="R2438" t="s">
        <v>40</v>
      </c>
      <c r="S2438">
        <v>0</v>
      </c>
      <c r="U2438" t="s">
        <v>41</v>
      </c>
      <c r="V2438" t="s">
        <v>42</v>
      </c>
      <c r="X2438" t="s">
        <v>74</v>
      </c>
      <c r="Y2438" t="b">
        <v>0</v>
      </c>
      <c r="Z2438" t="b">
        <v>0</v>
      </c>
      <c r="AC2438" s="1"/>
      <c r="AF2438">
        <v>0</v>
      </c>
      <c r="AG2438">
        <v>45</v>
      </c>
      <c r="AH2438">
        <v>57</v>
      </c>
      <c r="AI2438" s="2">
        <f>Table__192.168.3.138DYLAgingReport[[#This Row],[NetAmount]]-Table__192.168.3.138DYLAgingReport[[#This Row],[Paid]]</f>
        <v>11136</v>
      </c>
    </row>
    <row r="2439" spans="1:35">
      <c r="A2439" t="s">
        <v>4911</v>
      </c>
      <c r="B2439" s="1">
        <v>41274</v>
      </c>
      <c r="C2439" s="1">
        <v>41319</v>
      </c>
      <c r="D2439" t="s">
        <v>224</v>
      </c>
      <c r="E2439">
        <v>105988</v>
      </c>
      <c r="F2439">
        <v>16958</v>
      </c>
      <c r="G2439">
        <v>0</v>
      </c>
      <c r="H2439">
        <v>0</v>
      </c>
      <c r="I2439">
        <v>1</v>
      </c>
      <c r="J2439">
        <v>122946</v>
      </c>
      <c r="K2439" t="s">
        <v>4912</v>
      </c>
      <c r="L2439" s="1">
        <v>41267</v>
      </c>
      <c r="N2439" t="s">
        <v>36</v>
      </c>
      <c r="O2439" t="s">
        <v>37</v>
      </c>
      <c r="P2439" t="s">
        <v>361</v>
      </c>
      <c r="Q2439" t="s">
        <v>39</v>
      </c>
      <c r="R2439" t="s">
        <v>40</v>
      </c>
      <c r="S2439">
        <v>0</v>
      </c>
      <c r="U2439" t="s">
        <v>41</v>
      </c>
      <c r="V2439" t="s">
        <v>42</v>
      </c>
      <c r="X2439" t="s">
        <v>74</v>
      </c>
      <c r="Y2439" t="b">
        <v>0</v>
      </c>
      <c r="Z2439" t="b">
        <v>0</v>
      </c>
      <c r="AC2439" s="1"/>
      <c r="AF2439">
        <v>0</v>
      </c>
      <c r="AG2439">
        <v>45</v>
      </c>
      <c r="AH2439">
        <v>46</v>
      </c>
      <c r="AI2439" s="2">
        <f>Table__192.168.3.138DYLAgingReport[[#This Row],[NetAmount]]-Table__192.168.3.138DYLAgingReport[[#This Row],[Paid]]</f>
        <v>122946</v>
      </c>
    </row>
    <row r="2440" spans="1:35">
      <c r="A2440" t="s">
        <v>4913</v>
      </c>
      <c r="B2440" s="1">
        <v>41262</v>
      </c>
      <c r="C2440" s="1">
        <v>41307</v>
      </c>
      <c r="D2440" t="s">
        <v>224</v>
      </c>
      <c r="E2440">
        <v>35000</v>
      </c>
      <c r="F2440">
        <v>5600</v>
      </c>
      <c r="G2440">
        <v>0</v>
      </c>
      <c r="H2440">
        <v>0</v>
      </c>
      <c r="I2440">
        <v>17</v>
      </c>
      <c r="J2440">
        <v>40600</v>
      </c>
      <c r="K2440" t="s">
        <v>4914</v>
      </c>
      <c r="L2440" s="1">
        <v>41251</v>
      </c>
      <c r="N2440" t="s">
        <v>36</v>
      </c>
      <c r="O2440" t="s">
        <v>37</v>
      </c>
      <c r="P2440" t="s">
        <v>361</v>
      </c>
      <c r="Q2440" t="s">
        <v>39</v>
      </c>
      <c r="R2440" t="s">
        <v>40</v>
      </c>
      <c r="S2440">
        <v>0</v>
      </c>
      <c r="U2440" t="s">
        <v>41</v>
      </c>
      <c r="V2440" t="s">
        <v>42</v>
      </c>
      <c r="X2440" t="s">
        <v>74</v>
      </c>
      <c r="Y2440" t="b">
        <v>0</v>
      </c>
      <c r="Z2440" t="b">
        <v>0</v>
      </c>
      <c r="AC2440" s="1"/>
      <c r="AF2440">
        <v>0</v>
      </c>
      <c r="AG2440">
        <v>45</v>
      </c>
      <c r="AH2440">
        <v>62</v>
      </c>
      <c r="AI2440" s="2">
        <f>Table__192.168.3.138DYLAgingReport[[#This Row],[NetAmount]]-Table__192.168.3.138DYLAgingReport[[#This Row],[Paid]]</f>
        <v>40600</v>
      </c>
    </row>
    <row r="2441" spans="1:35">
      <c r="A2441" t="s">
        <v>4915</v>
      </c>
      <c r="B2441" s="1">
        <v>41249</v>
      </c>
      <c r="C2441" s="1">
        <v>41294</v>
      </c>
      <c r="D2441" t="s">
        <v>276</v>
      </c>
      <c r="E2441">
        <v>104000</v>
      </c>
      <c r="F2441">
        <v>16640</v>
      </c>
      <c r="G2441">
        <v>0</v>
      </c>
      <c r="H2441">
        <v>0</v>
      </c>
      <c r="I2441">
        <v>21</v>
      </c>
      <c r="J2441">
        <v>120640</v>
      </c>
      <c r="K2441" t="s">
        <v>4916</v>
      </c>
      <c r="L2441" s="1">
        <v>41247</v>
      </c>
      <c r="N2441" t="s">
        <v>36</v>
      </c>
      <c r="O2441" t="s">
        <v>37</v>
      </c>
      <c r="P2441" t="s">
        <v>413</v>
      </c>
      <c r="Q2441" t="s">
        <v>39</v>
      </c>
      <c r="R2441" t="s">
        <v>40</v>
      </c>
      <c r="S2441">
        <v>0</v>
      </c>
      <c r="U2441" t="s">
        <v>41</v>
      </c>
      <c r="V2441" t="s">
        <v>42</v>
      </c>
      <c r="X2441" t="s">
        <v>74</v>
      </c>
      <c r="Y2441" t="b">
        <v>0</v>
      </c>
      <c r="Z2441" t="b">
        <v>0</v>
      </c>
      <c r="AC2441" s="1"/>
      <c r="AF2441">
        <v>0</v>
      </c>
      <c r="AG2441">
        <v>45</v>
      </c>
      <c r="AH2441">
        <v>66</v>
      </c>
      <c r="AI2441" s="2">
        <f>Table__192.168.3.138DYLAgingReport[[#This Row],[NetAmount]]-Table__192.168.3.138DYLAgingReport[[#This Row],[Paid]]</f>
        <v>120640</v>
      </c>
    </row>
    <row r="2442" spans="1:35">
      <c r="A2442" t="s">
        <v>4917</v>
      </c>
      <c r="B2442" s="1">
        <v>41263</v>
      </c>
      <c r="C2442" s="1">
        <v>41308</v>
      </c>
      <c r="D2442" t="s">
        <v>271</v>
      </c>
      <c r="E2442">
        <v>133260</v>
      </c>
      <c r="F2442">
        <v>21322</v>
      </c>
      <c r="G2442">
        <v>0</v>
      </c>
      <c r="H2442">
        <v>0</v>
      </c>
      <c r="I2442">
        <v>6</v>
      </c>
      <c r="J2442">
        <v>154582</v>
      </c>
      <c r="K2442" t="s">
        <v>3990</v>
      </c>
      <c r="L2442" s="1">
        <v>41262</v>
      </c>
      <c r="N2442" t="s">
        <v>36</v>
      </c>
      <c r="O2442" t="s">
        <v>37</v>
      </c>
      <c r="P2442" t="s">
        <v>408</v>
      </c>
      <c r="Q2442" t="s">
        <v>39</v>
      </c>
      <c r="R2442" t="s">
        <v>40</v>
      </c>
      <c r="S2442">
        <v>0</v>
      </c>
      <c r="U2442" t="s">
        <v>41</v>
      </c>
      <c r="V2442" t="s">
        <v>42</v>
      </c>
      <c r="X2442" t="s">
        <v>74</v>
      </c>
      <c r="Y2442" t="b">
        <v>0</v>
      </c>
      <c r="Z2442" t="b">
        <v>0</v>
      </c>
      <c r="AC2442" s="1"/>
      <c r="AF2442">
        <v>0</v>
      </c>
      <c r="AG2442">
        <v>45</v>
      </c>
      <c r="AH2442">
        <v>51</v>
      </c>
      <c r="AI2442" s="2">
        <f>Table__192.168.3.138DYLAgingReport[[#This Row],[NetAmount]]-Table__192.168.3.138DYLAgingReport[[#This Row],[Paid]]</f>
        <v>154582</v>
      </c>
    </row>
    <row r="2443" spans="1:35">
      <c r="A2443" t="s">
        <v>4918</v>
      </c>
      <c r="B2443" s="1">
        <v>41263</v>
      </c>
      <c r="C2443" s="1">
        <v>41308</v>
      </c>
      <c r="D2443" t="s">
        <v>271</v>
      </c>
      <c r="E2443">
        <v>127010</v>
      </c>
      <c r="F2443">
        <v>20321</v>
      </c>
      <c r="G2443">
        <v>0</v>
      </c>
      <c r="H2443">
        <v>0</v>
      </c>
      <c r="I2443">
        <v>5</v>
      </c>
      <c r="J2443">
        <v>147331</v>
      </c>
      <c r="K2443" t="s">
        <v>4137</v>
      </c>
      <c r="L2443" s="1">
        <v>41263</v>
      </c>
      <c r="N2443" t="s">
        <v>36</v>
      </c>
      <c r="O2443" t="s">
        <v>37</v>
      </c>
      <c r="P2443" t="s">
        <v>408</v>
      </c>
      <c r="Q2443" t="s">
        <v>39</v>
      </c>
      <c r="R2443" t="s">
        <v>40</v>
      </c>
      <c r="S2443">
        <v>0</v>
      </c>
      <c r="U2443" t="s">
        <v>41</v>
      </c>
      <c r="V2443" t="s">
        <v>42</v>
      </c>
      <c r="X2443" t="s">
        <v>74</v>
      </c>
      <c r="Y2443" t="b">
        <v>0</v>
      </c>
      <c r="Z2443" t="b">
        <v>0</v>
      </c>
      <c r="AC2443" s="1"/>
      <c r="AF2443">
        <v>0</v>
      </c>
      <c r="AG2443">
        <v>45</v>
      </c>
      <c r="AH2443">
        <v>50</v>
      </c>
      <c r="AI2443" s="2">
        <f>Table__192.168.3.138DYLAgingReport[[#This Row],[NetAmount]]-Table__192.168.3.138DYLAgingReport[[#This Row],[Paid]]</f>
        <v>147331</v>
      </c>
    </row>
    <row r="2444" spans="1:35">
      <c r="A2444" t="s">
        <v>4919</v>
      </c>
      <c r="B2444" s="1">
        <v>41274</v>
      </c>
      <c r="C2444" s="1">
        <v>41319</v>
      </c>
      <c r="D2444" t="s">
        <v>271</v>
      </c>
      <c r="E2444">
        <v>79270</v>
      </c>
      <c r="F2444">
        <v>12683</v>
      </c>
      <c r="G2444">
        <v>0</v>
      </c>
      <c r="H2444">
        <v>0</v>
      </c>
      <c r="I2444">
        <v>-6</v>
      </c>
      <c r="J2444">
        <v>91953</v>
      </c>
      <c r="K2444" t="s">
        <v>4844</v>
      </c>
      <c r="L2444" s="1">
        <v>41274</v>
      </c>
      <c r="N2444" t="s">
        <v>36</v>
      </c>
      <c r="O2444" t="s">
        <v>37</v>
      </c>
      <c r="P2444" t="s">
        <v>408</v>
      </c>
      <c r="Q2444" t="s">
        <v>39</v>
      </c>
      <c r="R2444" t="s">
        <v>40</v>
      </c>
      <c r="S2444">
        <v>0</v>
      </c>
      <c r="U2444" t="s">
        <v>41</v>
      </c>
      <c r="V2444" t="s">
        <v>42</v>
      </c>
      <c r="X2444" t="s">
        <v>74</v>
      </c>
      <c r="Y2444" t="b">
        <v>0</v>
      </c>
      <c r="Z2444" t="b">
        <v>0</v>
      </c>
      <c r="AC2444" s="1"/>
      <c r="AF2444">
        <v>0</v>
      </c>
      <c r="AG2444">
        <v>45</v>
      </c>
      <c r="AH2444">
        <v>39</v>
      </c>
      <c r="AI2444" s="2">
        <f>Table__192.168.3.138DYLAgingReport[[#This Row],[NetAmount]]-Table__192.168.3.138DYLAgingReport[[#This Row],[Paid]]</f>
        <v>91953</v>
      </c>
    </row>
    <row r="2445" spans="1:35">
      <c r="A2445" t="s">
        <v>4920</v>
      </c>
      <c r="B2445" s="1">
        <v>41267</v>
      </c>
      <c r="C2445" s="1">
        <v>41312</v>
      </c>
      <c r="D2445" t="s">
        <v>271</v>
      </c>
      <c r="E2445">
        <v>78400</v>
      </c>
      <c r="F2445">
        <v>12544</v>
      </c>
      <c r="G2445">
        <v>0</v>
      </c>
      <c r="H2445">
        <v>0</v>
      </c>
      <c r="I2445">
        <v>1</v>
      </c>
      <c r="J2445">
        <v>90944</v>
      </c>
      <c r="K2445" t="s">
        <v>4495</v>
      </c>
      <c r="L2445" s="1">
        <v>41267</v>
      </c>
      <c r="N2445" t="s">
        <v>36</v>
      </c>
      <c r="O2445" t="s">
        <v>37</v>
      </c>
      <c r="P2445" t="s">
        <v>408</v>
      </c>
      <c r="Q2445" t="s">
        <v>39</v>
      </c>
      <c r="R2445" t="s">
        <v>40</v>
      </c>
      <c r="S2445">
        <v>0</v>
      </c>
      <c r="U2445" t="s">
        <v>41</v>
      </c>
      <c r="V2445" t="s">
        <v>42</v>
      </c>
      <c r="X2445" t="s">
        <v>74</v>
      </c>
      <c r="Y2445" t="b">
        <v>0</v>
      </c>
      <c r="Z2445" t="b">
        <v>0</v>
      </c>
      <c r="AC2445" s="1"/>
      <c r="AF2445">
        <v>0</v>
      </c>
      <c r="AG2445">
        <v>45</v>
      </c>
      <c r="AH2445">
        <v>46</v>
      </c>
      <c r="AI2445" s="2">
        <f>Table__192.168.3.138DYLAgingReport[[#This Row],[NetAmount]]-Table__192.168.3.138DYLAgingReport[[#This Row],[Paid]]</f>
        <v>90944</v>
      </c>
    </row>
    <row r="2446" spans="1:35">
      <c r="A2446" t="s">
        <v>4921</v>
      </c>
      <c r="B2446" s="1">
        <v>41267</v>
      </c>
      <c r="C2446" s="1">
        <v>41312</v>
      </c>
      <c r="D2446" t="s">
        <v>271</v>
      </c>
      <c r="E2446">
        <v>129200</v>
      </c>
      <c r="F2446">
        <v>20672</v>
      </c>
      <c r="G2446">
        <v>0</v>
      </c>
      <c r="H2446">
        <v>0</v>
      </c>
      <c r="I2446">
        <v>1</v>
      </c>
      <c r="J2446">
        <v>149872</v>
      </c>
      <c r="K2446" t="s">
        <v>4180</v>
      </c>
      <c r="L2446" s="1">
        <v>41267</v>
      </c>
      <c r="N2446" t="s">
        <v>36</v>
      </c>
      <c r="O2446" t="s">
        <v>37</v>
      </c>
      <c r="P2446" t="s">
        <v>408</v>
      </c>
      <c r="Q2446" t="s">
        <v>39</v>
      </c>
      <c r="R2446" t="s">
        <v>40</v>
      </c>
      <c r="S2446">
        <v>0</v>
      </c>
      <c r="U2446" t="s">
        <v>41</v>
      </c>
      <c r="V2446" t="s">
        <v>42</v>
      </c>
      <c r="X2446" t="s">
        <v>74</v>
      </c>
      <c r="Y2446" t="b">
        <v>0</v>
      </c>
      <c r="Z2446" t="b">
        <v>0</v>
      </c>
      <c r="AC2446" s="1"/>
      <c r="AF2446">
        <v>0</v>
      </c>
      <c r="AG2446">
        <v>45</v>
      </c>
      <c r="AH2446">
        <v>46</v>
      </c>
      <c r="AI2446" s="2">
        <f>Table__192.168.3.138DYLAgingReport[[#This Row],[NetAmount]]-Table__192.168.3.138DYLAgingReport[[#This Row],[Paid]]</f>
        <v>149872</v>
      </c>
    </row>
    <row r="2447" spans="1:35">
      <c r="A2447" t="s">
        <v>4922</v>
      </c>
      <c r="B2447" s="1">
        <v>41267</v>
      </c>
      <c r="C2447" s="1">
        <v>41312</v>
      </c>
      <c r="D2447" t="s">
        <v>271</v>
      </c>
      <c r="E2447">
        <v>139700</v>
      </c>
      <c r="F2447">
        <v>22352</v>
      </c>
      <c r="G2447">
        <v>0</v>
      </c>
      <c r="H2447">
        <v>0</v>
      </c>
      <c r="I2447">
        <v>4</v>
      </c>
      <c r="J2447">
        <v>162052</v>
      </c>
      <c r="K2447" t="s">
        <v>1264</v>
      </c>
      <c r="L2447" s="1">
        <v>41264</v>
      </c>
      <c r="N2447" t="s">
        <v>36</v>
      </c>
      <c r="O2447" t="s">
        <v>37</v>
      </c>
      <c r="P2447" t="s">
        <v>408</v>
      </c>
      <c r="Q2447" t="s">
        <v>39</v>
      </c>
      <c r="R2447" t="s">
        <v>40</v>
      </c>
      <c r="S2447">
        <v>0</v>
      </c>
      <c r="U2447" t="s">
        <v>41</v>
      </c>
      <c r="V2447" t="s">
        <v>42</v>
      </c>
      <c r="X2447" t="s">
        <v>74</v>
      </c>
      <c r="Y2447" t="b">
        <v>0</v>
      </c>
      <c r="Z2447" t="b">
        <v>0</v>
      </c>
      <c r="AC2447" s="1"/>
      <c r="AF2447">
        <v>0</v>
      </c>
      <c r="AG2447">
        <v>45</v>
      </c>
      <c r="AH2447">
        <v>49</v>
      </c>
      <c r="AI2447" s="2">
        <f>Table__192.168.3.138DYLAgingReport[[#This Row],[NetAmount]]-Table__192.168.3.138DYLAgingReport[[#This Row],[Paid]]</f>
        <v>162052</v>
      </c>
    </row>
    <row r="2448" spans="1:35">
      <c r="A2448" t="s">
        <v>4923</v>
      </c>
      <c r="B2448" s="1">
        <v>41264</v>
      </c>
      <c r="C2448" s="1">
        <v>41309</v>
      </c>
      <c r="D2448" t="s">
        <v>271</v>
      </c>
      <c r="E2448">
        <v>139540</v>
      </c>
      <c r="F2448">
        <v>22326</v>
      </c>
      <c r="G2448">
        <v>0</v>
      </c>
      <c r="H2448">
        <v>0</v>
      </c>
      <c r="I2448">
        <v>4</v>
      </c>
      <c r="J2448">
        <v>161866</v>
      </c>
      <c r="K2448" t="s">
        <v>4135</v>
      </c>
      <c r="L2448" s="1">
        <v>41264</v>
      </c>
      <c r="N2448" t="s">
        <v>36</v>
      </c>
      <c r="O2448" t="s">
        <v>37</v>
      </c>
      <c r="P2448" t="s">
        <v>408</v>
      </c>
      <c r="Q2448" t="s">
        <v>39</v>
      </c>
      <c r="R2448" t="s">
        <v>40</v>
      </c>
      <c r="S2448">
        <v>0</v>
      </c>
      <c r="U2448" t="s">
        <v>41</v>
      </c>
      <c r="V2448" t="s">
        <v>42</v>
      </c>
      <c r="X2448" t="s">
        <v>74</v>
      </c>
      <c r="Y2448" t="b">
        <v>0</v>
      </c>
      <c r="Z2448" t="b">
        <v>0</v>
      </c>
      <c r="AC2448" s="1"/>
      <c r="AF2448">
        <v>0</v>
      </c>
      <c r="AG2448">
        <v>45</v>
      </c>
      <c r="AH2448">
        <v>49</v>
      </c>
      <c r="AI2448" s="2">
        <f>Table__192.168.3.138DYLAgingReport[[#This Row],[NetAmount]]-Table__192.168.3.138DYLAgingReport[[#This Row],[Paid]]</f>
        <v>161866</v>
      </c>
    </row>
    <row r="2449" spans="1:35">
      <c r="A2449" t="s">
        <v>4924</v>
      </c>
      <c r="B2449" s="1">
        <v>41272</v>
      </c>
      <c r="C2449" s="1">
        <v>41302</v>
      </c>
      <c r="D2449" t="s">
        <v>285</v>
      </c>
      <c r="E2449">
        <v>870000</v>
      </c>
      <c r="F2449">
        <v>139200</v>
      </c>
      <c r="G2449">
        <v>0</v>
      </c>
      <c r="H2449">
        <v>0</v>
      </c>
      <c r="I2449">
        <v>12</v>
      </c>
      <c r="J2449">
        <v>1009200</v>
      </c>
      <c r="K2449" t="s">
        <v>4925</v>
      </c>
      <c r="L2449" s="1">
        <v>41271</v>
      </c>
      <c r="N2449" t="s">
        <v>36</v>
      </c>
      <c r="O2449" t="s">
        <v>37</v>
      </c>
      <c r="P2449" t="s">
        <v>422</v>
      </c>
      <c r="Q2449" t="s">
        <v>39</v>
      </c>
      <c r="R2449" t="s">
        <v>40</v>
      </c>
      <c r="S2449">
        <v>0</v>
      </c>
      <c r="U2449" t="s">
        <v>41</v>
      </c>
      <c r="V2449" t="s">
        <v>42</v>
      </c>
      <c r="X2449" t="s">
        <v>74</v>
      </c>
      <c r="Y2449" t="b">
        <v>0</v>
      </c>
      <c r="Z2449" t="b">
        <v>0</v>
      </c>
      <c r="AC2449" s="1"/>
      <c r="AF2449">
        <v>0</v>
      </c>
      <c r="AG2449">
        <v>30</v>
      </c>
      <c r="AH2449">
        <v>42</v>
      </c>
      <c r="AI2449" s="2">
        <f>Table__192.168.3.138DYLAgingReport[[#This Row],[NetAmount]]-Table__192.168.3.138DYLAgingReport[[#This Row],[Paid]]</f>
        <v>1009200</v>
      </c>
    </row>
    <row r="2450" spans="1:35">
      <c r="A2450" t="s">
        <v>4926</v>
      </c>
      <c r="B2450" s="1">
        <v>41274</v>
      </c>
      <c r="C2450" s="1">
        <v>41304</v>
      </c>
      <c r="D2450" t="s">
        <v>285</v>
      </c>
      <c r="E2450">
        <v>423345</v>
      </c>
      <c r="F2450">
        <v>67735</v>
      </c>
      <c r="G2450">
        <v>0</v>
      </c>
      <c r="H2450">
        <v>0</v>
      </c>
      <c r="I2450">
        <v>10</v>
      </c>
      <c r="J2450">
        <v>491080</v>
      </c>
      <c r="K2450" t="s">
        <v>4927</v>
      </c>
      <c r="L2450" s="1">
        <v>41273</v>
      </c>
      <c r="N2450" t="s">
        <v>36</v>
      </c>
      <c r="O2450" t="s">
        <v>37</v>
      </c>
      <c r="P2450" t="s">
        <v>422</v>
      </c>
      <c r="Q2450" t="s">
        <v>39</v>
      </c>
      <c r="R2450" t="s">
        <v>40</v>
      </c>
      <c r="S2450">
        <v>0</v>
      </c>
      <c r="U2450" t="s">
        <v>41</v>
      </c>
      <c r="V2450" t="s">
        <v>42</v>
      </c>
      <c r="X2450" t="s">
        <v>74</v>
      </c>
      <c r="Y2450" t="b">
        <v>0</v>
      </c>
      <c r="Z2450" t="b">
        <v>0</v>
      </c>
      <c r="AC2450" s="1"/>
      <c r="AF2450">
        <v>0</v>
      </c>
      <c r="AG2450">
        <v>30</v>
      </c>
      <c r="AH2450">
        <v>40</v>
      </c>
      <c r="AI2450" s="2">
        <f>Table__192.168.3.138DYLAgingReport[[#This Row],[NetAmount]]-Table__192.168.3.138DYLAgingReport[[#This Row],[Paid]]</f>
        <v>491080</v>
      </c>
    </row>
    <row r="2451" spans="1:35">
      <c r="A2451" t="s">
        <v>4928</v>
      </c>
      <c r="B2451" s="1">
        <v>41274</v>
      </c>
      <c r="C2451" s="1">
        <v>41319</v>
      </c>
      <c r="D2451" t="s">
        <v>224</v>
      </c>
      <c r="E2451">
        <v>63250</v>
      </c>
      <c r="F2451">
        <v>10120</v>
      </c>
      <c r="G2451">
        <v>0</v>
      </c>
      <c r="H2451">
        <v>0</v>
      </c>
      <c r="I2451">
        <v>-4</v>
      </c>
      <c r="J2451">
        <v>73370</v>
      </c>
      <c r="K2451" t="s">
        <v>4929</v>
      </c>
      <c r="L2451" s="1">
        <v>41272</v>
      </c>
      <c r="N2451" t="s">
        <v>36</v>
      </c>
      <c r="O2451" t="s">
        <v>37</v>
      </c>
      <c r="P2451" t="s">
        <v>361</v>
      </c>
      <c r="Q2451" t="s">
        <v>39</v>
      </c>
      <c r="R2451" t="s">
        <v>40</v>
      </c>
      <c r="S2451">
        <v>0</v>
      </c>
      <c r="U2451" t="s">
        <v>41</v>
      </c>
      <c r="V2451" t="s">
        <v>42</v>
      </c>
      <c r="X2451" t="s">
        <v>74</v>
      </c>
      <c r="Y2451" t="b">
        <v>0</v>
      </c>
      <c r="Z2451" t="b">
        <v>0</v>
      </c>
      <c r="AC2451" s="1"/>
      <c r="AF2451">
        <v>0</v>
      </c>
      <c r="AG2451">
        <v>45</v>
      </c>
      <c r="AH2451">
        <v>41</v>
      </c>
      <c r="AI2451" s="2">
        <f>Table__192.168.3.138DYLAgingReport[[#This Row],[NetAmount]]-Table__192.168.3.138DYLAgingReport[[#This Row],[Paid]]</f>
        <v>73370</v>
      </c>
    </row>
    <row r="2452" spans="1:35">
      <c r="A2452" t="s">
        <v>4930</v>
      </c>
      <c r="B2452" s="1">
        <v>41262</v>
      </c>
      <c r="C2452" s="1">
        <v>41307</v>
      </c>
      <c r="D2452" t="s">
        <v>298</v>
      </c>
      <c r="E2452">
        <v>264600</v>
      </c>
      <c r="F2452">
        <v>42336</v>
      </c>
      <c r="G2452">
        <v>0</v>
      </c>
      <c r="H2452">
        <v>0</v>
      </c>
      <c r="I2452">
        <v>-3</v>
      </c>
      <c r="J2452">
        <v>306936</v>
      </c>
      <c r="K2452" t="s">
        <v>95</v>
      </c>
      <c r="L2452" s="1">
        <v>41271</v>
      </c>
      <c r="N2452" t="s">
        <v>36</v>
      </c>
      <c r="O2452" t="s">
        <v>37</v>
      </c>
      <c r="P2452" t="s">
        <v>435</v>
      </c>
      <c r="Q2452" t="s">
        <v>39</v>
      </c>
      <c r="R2452" t="s">
        <v>40</v>
      </c>
      <c r="S2452">
        <v>0</v>
      </c>
      <c r="U2452" t="s">
        <v>41</v>
      </c>
      <c r="V2452" t="s">
        <v>42</v>
      </c>
      <c r="X2452" t="s">
        <v>74</v>
      </c>
      <c r="Y2452" t="b">
        <v>0</v>
      </c>
      <c r="Z2452" t="b">
        <v>0</v>
      </c>
      <c r="AC2452" s="1"/>
      <c r="AF2452">
        <v>0</v>
      </c>
      <c r="AG2452">
        <v>45</v>
      </c>
      <c r="AH2452">
        <v>42</v>
      </c>
      <c r="AI2452" s="2">
        <f>Table__192.168.3.138DYLAgingReport[[#This Row],[NetAmount]]-Table__192.168.3.138DYLAgingReport[[#This Row],[Paid]]</f>
        <v>306936</v>
      </c>
    </row>
    <row r="2453" spans="1:35">
      <c r="A2453" t="s">
        <v>4931</v>
      </c>
      <c r="B2453" s="1">
        <v>41274</v>
      </c>
      <c r="C2453" s="1">
        <v>41304</v>
      </c>
      <c r="D2453" t="s">
        <v>181</v>
      </c>
      <c r="E2453">
        <v>302760</v>
      </c>
      <c r="F2453">
        <v>48442</v>
      </c>
      <c r="G2453">
        <v>0</v>
      </c>
      <c r="H2453">
        <v>0</v>
      </c>
      <c r="I2453">
        <v>12</v>
      </c>
      <c r="J2453">
        <v>351202</v>
      </c>
      <c r="K2453" t="s">
        <v>4932</v>
      </c>
      <c r="L2453" s="1">
        <v>41271</v>
      </c>
      <c r="N2453" t="s">
        <v>36</v>
      </c>
      <c r="O2453" t="s">
        <v>37</v>
      </c>
      <c r="P2453" t="s">
        <v>318</v>
      </c>
      <c r="Q2453" t="s">
        <v>39</v>
      </c>
      <c r="R2453" t="s">
        <v>40</v>
      </c>
      <c r="S2453">
        <v>0</v>
      </c>
      <c r="U2453" t="s">
        <v>41</v>
      </c>
      <c r="V2453" t="s">
        <v>42</v>
      </c>
      <c r="X2453" t="s">
        <v>74</v>
      </c>
      <c r="Y2453" t="b">
        <v>0</v>
      </c>
      <c r="Z2453" t="b">
        <v>0</v>
      </c>
      <c r="AC2453" s="1"/>
      <c r="AF2453">
        <v>0</v>
      </c>
      <c r="AG2453">
        <v>30</v>
      </c>
      <c r="AH2453">
        <v>42</v>
      </c>
      <c r="AI2453" s="2">
        <f>Table__192.168.3.138DYLAgingReport[[#This Row],[NetAmount]]-Table__192.168.3.138DYLAgingReport[[#This Row],[Paid]]</f>
        <v>351202</v>
      </c>
    </row>
    <row r="2454" spans="1:35">
      <c r="A2454" t="s">
        <v>4933</v>
      </c>
      <c r="B2454" s="1">
        <v>41274</v>
      </c>
      <c r="C2454" s="1">
        <v>41319</v>
      </c>
      <c r="D2454" t="s">
        <v>251</v>
      </c>
      <c r="E2454">
        <v>134840</v>
      </c>
      <c r="F2454">
        <v>21574</v>
      </c>
      <c r="G2454">
        <v>0</v>
      </c>
      <c r="H2454">
        <v>0</v>
      </c>
      <c r="I2454">
        <v>-6</v>
      </c>
      <c r="J2454">
        <v>156414</v>
      </c>
      <c r="K2454" t="s">
        <v>964</v>
      </c>
      <c r="L2454" s="1">
        <v>41274</v>
      </c>
      <c r="N2454" t="s">
        <v>36</v>
      </c>
      <c r="O2454" t="s">
        <v>37</v>
      </c>
      <c r="P2454" t="s">
        <v>388</v>
      </c>
      <c r="Q2454" t="s">
        <v>39</v>
      </c>
      <c r="R2454" t="s">
        <v>40</v>
      </c>
      <c r="S2454">
        <v>0</v>
      </c>
      <c r="U2454" t="s">
        <v>41</v>
      </c>
      <c r="V2454" t="s">
        <v>42</v>
      </c>
      <c r="X2454" t="s">
        <v>74</v>
      </c>
      <c r="Y2454" t="b">
        <v>0</v>
      </c>
      <c r="Z2454" t="b">
        <v>0</v>
      </c>
      <c r="AC2454" s="1"/>
      <c r="AF2454">
        <v>0</v>
      </c>
      <c r="AG2454">
        <v>45</v>
      </c>
      <c r="AH2454">
        <v>39</v>
      </c>
      <c r="AI2454" s="2">
        <f>Table__192.168.3.138DYLAgingReport[[#This Row],[NetAmount]]-Table__192.168.3.138DYLAgingReport[[#This Row],[Paid]]</f>
        <v>156414</v>
      </c>
    </row>
    <row r="2455" spans="1:35">
      <c r="A2455" t="s">
        <v>4934</v>
      </c>
      <c r="B2455" s="1">
        <v>41274</v>
      </c>
      <c r="C2455" s="1">
        <v>41319</v>
      </c>
      <c r="D2455" t="s">
        <v>251</v>
      </c>
      <c r="E2455">
        <v>127700</v>
      </c>
      <c r="F2455">
        <v>20432</v>
      </c>
      <c r="G2455">
        <v>0</v>
      </c>
      <c r="H2455">
        <v>0</v>
      </c>
      <c r="I2455">
        <v>-3</v>
      </c>
      <c r="J2455">
        <v>148132</v>
      </c>
      <c r="K2455" t="s">
        <v>3051</v>
      </c>
      <c r="L2455" s="1">
        <v>41271</v>
      </c>
      <c r="N2455" t="s">
        <v>36</v>
      </c>
      <c r="O2455" t="s">
        <v>37</v>
      </c>
      <c r="P2455" t="s">
        <v>388</v>
      </c>
      <c r="Q2455" t="s">
        <v>39</v>
      </c>
      <c r="R2455" t="s">
        <v>40</v>
      </c>
      <c r="S2455">
        <v>0</v>
      </c>
      <c r="U2455" t="s">
        <v>41</v>
      </c>
      <c r="V2455" t="s">
        <v>42</v>
      </c>
      <c r="X2455" t="s">
        <v>74</v>
      </c>
      <c r="Y2455" t="b">
        <v>0</v>
      </c>
      <c r="Z2455" t="b">
        <v>0</v>
      </c>
      <c r="AC2455" s="1"/>
      <c r="AF2455">
        <v>0</v>
      </c>
      <c r="AG2455">
        <v>45</v>
      </c>
      <c r="AH2455">
        <v>42</v>
      </c>
      <c r="AI2455" s="2">
        <f>Table__192.168.3.138DYLAgingReport[[#This Row],[NetAmount]]-Table__192.168.3.138DYLAgingReport[[#This Row],[Paid]]</f>
        <v>148132</v>
      </c>
    </row>
    <row r="2456" spans="1:35">
      <c r="A2456" t="s">
        <v>4935</v>
      </c>
      <c r="B2456" s="1">
        <v>41264</v>
      </c>
      <c r="C2456" s="1">
        <v>41309</v>
      </c>
      <c r="D2456" t="s">
        <v>263</v>
      </c>
      <c r="E2456">
        <v>204875</v>
      </c>
      <c r="F2456">
        <v>32780</v>
      </c>
      <c r="G2456">
        <v>0</v>
      </c>
      <c r="H2456">
        <v>0</v>
      </c>
      <c r="I2456">
        <v>4</v>
      </c>
      <c r="J2456">
        <v>237655</v>
      </c>
      <c r="K2456" t="s">
        <v>4936</v>
      </c>
      <c r="L2456" s="1">
        <v>41264</v>
      </c>
      <c r="N2456" t="s">
        <v>36</v>
      </c>
      <c r="O2456" t="s">
        <v>37</v>
      </c>
      <c r="P2456" t="s">
        <v>400</v>
      </c>
      <c r="Q2456" t="s">
        <v>39</v>
      </c>
      <c r="R2456" t="s">
        <v>40</v>
      </c>
      <c r="S2456">
        <v>0</v>
      </c>
      <c r="U2456" t="s">
        <v>41</v>
      </c>
      <c r="V2456" t="s">
        <v>42</v>
      </c>
      <c r="X2456" t="s">
        <v>74</v>
      </c>
      <c r="Y2456" t="b">
        <v>0</v>
      </c>
      <c r="Z2456" t="b">
        <v>0</v>
      </c>
      <c r="AC2456" s="1"/>
      <c r="AF2456">
        <v>0</v>
      </c>
      <c r="AG2456">
        <v>45</v>
      </c>
      <c r="AH2456">
        <v>49</v>
      </c>
      <c r="AI2456" s="2">
        <f>Table__192.168.3.138DYLAgingReport[[#This Row],[NetAmount]]-Table__192.168.3.138DYLAgingReport[[#This Row],[Paid]]</f>
        <v>237655</v>
      </c>
    </row>
    <row r="2457" spans="1:35">
      <c r="A2457" t="s">
        <v>4937</v>
      </c>
      <c r="B2457" s="1">
        <v>41274</v>
      </c>
      <c r="C2457" s="1">
        <v>41319</v>
      </c>
      <c r="D2457" t="s">
        <v>175</v>
      </c>
      <c r="E2457">
        <v>260000</v>
      </c>
      <c r="F2457">
        <v>41600</v>
      </c>
      <c r="G2457">
        <v>0</v>
      </c>
      <c r="H2457">
        <v>0</v>
      </c>
      <c r="I2457">
        <v>-4</v>
      </c>
      <c r="J2457">
        <v>301600</v>
      </c>
      <c r="K2457" t="s">
        <v>2589</v>
      </c>
      <c r="L2457" s="1">
        <v>41272</v>
      </c>
      <c r="N2457" t="s">
        <v>36</v>
      </c>
      <c r="O2457" t="s">
        <v>37</v>
      </c>
      <c r="P2457" t="s">
        <v>312</v>
      </c>
      <c r="Q2457" t="s">
        <v>39</v>
      </c>
      <c r="R2457" t="s">
        <v>40</v>
      </c>
      <c r="S2457">
        <v>0</v>
      </c>
      <c r="U2457" t="s">
        <v>41</v>
      </c>
      <c r="V2457" t="s">
        <v>42</v>
      </c>
      <c r="X2457" t="s">
        <v>74</v>
      </c>
      <c r="Y2457" t="b">
        <v>0</v>
      </c>
      <c r="Z2457" t="b">
        <v>0</v>
      </c>
      <c r="AC2457" s="1"/>
      <c r="AF2457">
        <v>0</v>
      </c>
      <c r="AG2457">
        <v>45</v>
      </c>
      <c r="AH2457">
        <v>41</v>
      </c>
      <c r="AI2457" s="2">
        <f>Table__192.168.3.138DYLAgingReport[[#This Row],[NetAmount]]-Table__192.168.3.138DYLAgingReport[[#This Row],[Paid]]</f>
        <v>301600</v>
      </c>
    </row>
    <row r="2458" spans="1:35">
      <c r="A2458" t="s">
        <v>4938</v>
      </c>
      <c r="B2458" s="1">
        <v>41265</v>
      </c>
      <c r="C2458" s="1">
        <v>41310</v>
      </c>
      <c r="D2458" t="s">
        <v>282</v>
      </c>
      <c r="E2458">
        <v>225000</v>
      </c>
      <c r="F2458">
        <v>36000</v>
      </c>
      <c r="G2458">
        <v>0</v>
      </c>
      <c r="H2458">
        <v>0</v>
      </c>
      <c r="I2458">
        <v>3</v>
      </c>
      <c r="J2458">
        <v>261000</v>
      </c>
      <c r="K2458" t="s">
        <v>1090</v>
      </c>
      <c r="L2458" s="1">
        <v>41265</v>
      </c>
      <c r="N2458" t="s">
        <v>36</v>
      </c>
      <c r="O2458" t="s">
        <v>37</v>
      </c>
      <c r="P2458" t="s">
        <v>419</v>
      </c>
      <c r="Q2458" t="s">
        <v>39</v>
      </c>
      <c r="R2458" t="s">
        <v>40</v>
      </c>
      <c r="S2458">
        <v>0</v>
      </c>
      <c r="U2458" t="s">
        <v>41</v>
      </c>
      <c r="V2458" t="s">
        <v>42</v>
      </c>
      <c r="X2458" t="s">
        <v>74</v>
      </c>
      <c r="Y2458" t="b">
        <v>0</v>
      </c>
      <c r="Z2458" t="b">
        <v>0</v>
      </c>
      <c r="AC2458" s="1"/>
      <c r="AF2458">
        <v>0</v>
      </c>
      <c r="AG2458">
        <v>45</v>
      </c>
      <c r="AH2458">
        <v>48</v>
      </c>
      <c r="AI2458" s="2">
        <f>Table__192.168.3.138DYLAgingReport[[#This Row],[NetAmount]]-Table__192.168.3.138DYLAgingReport[[#This Row],[Paid]]</f>
        <v>261000</v>
      </c>
    </row>
    <row r="2459" spans="1:35">
      <c r="A2459" t="s">
        <v>4939</v>
      </c>
      <c r="B2459" s="1">
        <v>41270</v>
      </c>
      <c r="C2459" s="1">
        <v>41315</v>
      </c>
      <c r="D2459" t="s">
        <v>282</v>
      </c>
      <c r="E2459">
        <v>225000</v>
      </c>
      <c r="F2459">
        <v>36000</v>
      </c>
      <c r="G2459">
        <v>0</v>
      </c>
      <c r="H2459">
        <v>0</v>
      </c>
      <c r="I2459">
        <v>-2</v>
      </c>
      <c r="J2459">
        <v>261000</v>
      </c>
      <c r="K2459" t="s">
        <v>1517</v>
      </c>
      <c r="L2459" s="1">
        <v>41270</v>
      </c>
      <c r="N2459" t="s">
        <v>36</v>
      </c>
      <c r="O2459" t="s">
        <v>37</v>
      </c>
      <c r="P2459" t="s">
        <v>419</v>
      </c>
      <c r="Q2459" t="s">
        <v>39</v>
      </c>
      <c r="R2459" t="s">
        <v>40</v>
      </c>
      <c r="S2459">
        <v>0</v>
      </c>
      <c r="U2459" t="s">
        <v>41</v>
      </c>
      <c r="V2459" t="s">
        <v>42</v>
      </c>
      <c r="X2459" t="s">
        <v>74</v>
      </c>
      <c r="Y2459" t="b">
        <v>0</v>
      </c>
      <c r="Z2459" t="b">
        <v>0</v>
      </c>
      <c r="AC2459" s="1"/>
      <c r="AF2459">
        <v>0</v>
      </c>
      <c r="AG2459">
        <v>45</v>
      </c>
      <c r="AH2459">
        <v>43</v>
      </c>
      <c r="AI2459" s="2">
        <f>Table__192.168.3.138DYLAgingReport[[#This Row],[NetAmount]]-Table__192.168.3.138DYLAgingReport[[#This Row],[Paid]]</f>
        <v>261000</v>
      </c>
    </row>
    <row r="2460" spans="1:35">
      <c r="A2460" t="s">
        <v>4940</v>
      </c>
      <c r="B2460" s="1">
        <v>41270</v>
      </c>
      <c r="C2460" s="1">
        <v>41315</v>
      </c>
      <c r="D2460" t="s">
        <v>286</v>
      </c>
      <c r="E2460">
        <v>39000</v>
      </c>
      <c r="F2460">
        <v>6240</v>
      </c>
      <c r="G2460">
        <v>0</v>
      </c>
      <c r="H2460">
        <v>0</v>
      </c>
      <c r="I2460">
        <v>-4</v>
      </c>
      <c r="J2460">
        <v>45240</v>
      </c>
      <c r="K2460" t="s">
        <v>3085</v>
      </c>
      <c r="L2460" s="1">
        <v>41272</v>
      </c>
      <c r="N2460" t="s">
        <v>36</v>
      </c>
      <c r="O2460" t="s">
        <v>37</v>
      </c>
      <c r="P2460" t="s">
        <v>423</v>
      </c>
      <c r="Q2460" t="s">
        <v>39</v>
      </c>
      <c r="R2460" t="s">
        <v>40</v>
      </c>
      <c r="S2460">
        <v>0</v>
      </c>
      <c r="U2460" t="s">
        <v>41</v>
      </c>
      <c r="V2460" t="s">
        <v>42</v>
      </c>
      <c r="X2460" t="s">
        <v>74</v>
      </c>
      <c r="Y2460" t="b">
        <v>0</v>
      </c>
      <c r="Z2460" t="b">
        <v>0</v>
      </c>
      <c r="AC2460" s="1"/>
      <c r="AF2460">
        <v>0</v>
      </c>
      <c r="AG2460">
        <v>45</v>
      </c>
      <c r="AH2460">
        <v>41</v>
      </c>
      <c r="AI2460" s="2">
        <f>Table__192.168.3.138DYLAgingReport[[#This Row],[NetAmount]]-Table__192.168.3.138DYLAgingReport[[#This Row],[Paid]]</f>
        <v>45240</v>
      </c>
    </row>
    <row r="2461" spans="1:35">
      <c r="A2461" t="s">
        <v>4941</v>
      </c>
      <c r="B2461" s="1">
        <v>41274</v>
      </c>
      <c r="C2461" s="1">
        <v>41319</v>
      </c>
      <c r="D2461" t="s">
        <v>217</v>
      </c>
      <c r="E2461">
        <v>2860</v>
      </c>
      <c r="F2461">
        <v>458</v>
      </c>
      <c r="G2461">
        <v>0</v>
      </c>
      <c r="H2461">
        <v>0</v>
      </c>
      <c r="I2461">
        <v>-4</v>
      </c>
      <c r="J2461">
        <v>3318</v>
      </c>
      <c r="K2461" t="s">
        <v>4942</v>
      </c>
      <c r="L2461" s="1">
        <v>41272</v>
      </c>
      <c r="N2461" t="s">
        <v>36</v>
      </c>
      <c r="O2461" t="s">
        <v>37</v>
      </c>
      <c r="P2461" t="s">
        <v>354</v>
      </c>
      <c r="Q2461" t="s">
        <v>39</v>
      </c>
      <c r="R2461" t="s">
        <v>40</v>
      </c>
      <c r="S2461">
        <v>0</v>
      </c>
      <c r="U2461" t="s">
        <v>41</v>
      </c>
      <c r="V2461" t="s">
        <v>42</v>
      </c>
      <c r="X2461" t="s">
        <v>74</v>
      </c>
      <c r="Y2461" t="b">
        <v>0</v>
      </c>
      <c r="Z2461" t="b">
        <v>0</v>
      </c>
      <c r="AC2461" s="1"/>
      <c r="AF2461">
        <v>0</v>
      </c>
      <c r="AG2461">
        <v>45</v>
      </c>
      <c r="AH2461">
        <v>41</v>
      </c>
      <c r="AI2461" s="2">
        <f>Table__192.168.3.138DYLAgingReport[[#This Row],[NetAmount]]-Table__192.168.3.138DYLAgingReport[[#This Row],[Paid]]</f>
        <v>3318</v>
      </c>
    </row>
    <row r="2462" spans="1:35">
      <c r="A2462" t="s">
        <v>4943</v>
      </c>
      <c r="B2462" s="1">
        <v>41265</v>
      </c>
      <c r="C2462" s="1">
        <v>41310</v>
      </c>
      <c r="D2462" t="s">
        <v>217</v>
      </c>
      <c r="E2462">
        <v>107800</v>
      </c>
      <c r="F2462">
        <v>17248</v>
      </c>
      <c r="G2462">
        <v>0</v>
      </c>
      <c r="H2462">
        <v>0</v>
      </c>
      <c r="I2462">
        <v>8</v>
      </c>
      <c r="J2462">
        <v>125048</v>
      </c>
      <c r="K2462" t="s">
        <v>4944</v>
      </c>
      <c r="L2462" s="1">
        <v>41260</v>
      </c>
      <c r="N2462" t="s">
        <v>36</v>
      </c>
      <c r="O2462" t="s">
        <v>37</v>
      </c>
      <c r="P2462" t="s">
        <v>354</v>
      </c>
      <c r="Q2462" t="s">
        <v>39</v>
      </c>
      <c r="R2462" t="s">
        <v>40</v>
      </c>
      <c r="S2462">
        <v>0</v>
      </c>
      <c r="U2462" t="s">
        <v>41</v>
      </c>
      <c r="V2462" t="s">
        <v>42</v>
      </c>
      <c r="X2462" t="s">
        <v>74</v>
      </c>
      <c r="Y2462" t="b">
        <v>0</v>
      </c>
      <c r="Z2462" t="b">
        <v>0</v>
      </c>
      <c r="AC2462" s="1"/>
      <c r="AF2462">
        <v>0</v>
      </c>
      <c r="AG2462">
        <v>45</v>
      </c>
      <c r="AH2462">
        <v>53</v>
      </c>
      <c r="AI2462" s="2">
        <f>Table__192.168.3.138DYLAgingReport[[#This Row],[NetAmount]]-Table__192.168.3.138DYLAgingReport[[#This Row],[Paid]]</f>
        <v>125048</v>
      </c>
    </row>
    <row r="2463" spans="1:35">
      <c r="A2463" t="s">
        <v>4945</v>
      </c>
      <c r="B2463" s="1">
        <v>41265</v>
      </c>
      <c r="C2463" s="1">
        <v>41310</v>
      </c>
      <c r="D2463" t="s">
        <v>217</v>
      </c>
      <c r="E2463">
        <v>121260</v>
      </c>
      <c r="F2463">
        <v>19402</v>
      </c>
      <c r="G2463">
        <v>0</v>
      </c>
      <c r="H2463">
        <v>0</v>
      </c>
      <c r="I2463">
        <v>8</v>
      </c>
      <c r="J2463">
        <v>140662</v>
      </c>
      <c r="K2463" t="s">
        <v>4944</v>
      </c>
      <c r="L2463" s="1">
        <v>41260</v>
      </c>
      <c r="N2463" t="s">
        <v>36</v>
      </c>
      <c r="O2463" t="s">
        <v>37</v>
      </c>
      <c r="P2463" t="s">
        <v>354</v>
      </c>
      <c r="Q2463" t="s">
        <v>39</v>
      </c>
      <c r="R2463" t="s">
        <v>40</v>
      </c>
      <c r="S2463">
        <v>0</v>
      </c>
      <c r="U2463" t="s">
        <v>41</v>
      </c>
      <c r="V2463" t="s">
        <v>42</v>
      </c>
      <c r="X2463" t="s">
        <v>74</v>
      </c>
      <c r="Y2463" t="b">
        <v>0</v>
      </c>
      <c r="Z2463" t="b">
        <v>0</v>
      </c>
      <c r="AC2463" s="1"/>
      <c r="AF2463">
        <v>0</v>
      </c>
      <c r="AG2463">
        <v>45</v>
      </c>
      <c r="AH2463">
        <v>53</v>
      </c>
      <c r="AI2463" s="2">
        <f>Table__192.168.3.138DYLAgingReport[[#This Row],[NetAmount]]-Table__192.168.3.138DYLAgingReport[[#This Row],[Paid]]</f>
        <v>140662</v>
      </c>
    </row>
    <row r="2464" spans="1:35">
      <c r="A2464" t="s">
        <v>4946</v>
      </c>
      <c r="B2464" s="1">
        <v>41264</v>
      </c>
      <c r="C2464" s="1">
        <v>41309</v>
      </c>
      <c r="D2464" t="s">
        <v>257</v>
      </c>
      <c r="E2464">
        <v>16500</v>
      </c>
      <c r="F2464">
        <v>2640</v>
      </c>
      <c r="G2464">
        <v>0</v>
      </c>
      <c r="H2464">
        <v>0</v>
      </c>
      <c r="I2464">
        <v>-6</v>
      </c>
      <c r="J2464">
        <v>19140</v>
      </c>
      <c r="K2464" t="s">
        <v>3487</v>
      </c>
      <c r="L2464" s="1">
        <v>41274</v>
      </c>
      <c r="N2464" t="s">
        <v>36</v>
      </c>
      <c r="O2464" t="s">
        <v>37</v>
      </c>
      <c r="P2464" t="s">
        <v>394</v>
      </c>
      <c r="Q2464" t="s">
        <v>39</v>
      </c>
      <c r="R2464" t="s">
        <v>40</v>
      </c>
      <c r="S2464">
        <v>0</v>
      </c>
      <c r="U2464" t="s">
        <v>41</v>
      </c>
      <c r="V2464" t="s">
        <v>42</v>
      </c>
      <c r="X2464" t="s">
        <v>74</v>
      </c>
      <c r="Y2464" t="b">
        <v>0</v>
      </c>
      <c r="Z2464" t="b">
        <v>0</v>
      </c>
      <c r="AC2464" s="1"/>
      <c r="AF2464">
        <v>0</v>
      </c>
      <c r="AG2464">
        <v>45</v>
      </c>
      <c r="AH2464">
        <v>39</v>
      </c>
      <c r="AI2464" s="2">
        <f>Table__192.168.3.138DYLAgingReport[[#This Row],[NetAmount]]-Table__192.168.3.138DYLAgingReport[[#This Row],[Paid]]</f>
        <v>19140</v>
      </c>
    </row>
    <row r="2465" spans="1:35">
      <c r="A2465" t="s">
        <v>4947</v>
      </c>
      <c r="B2465" s="1">
        <v>41255</v>
      </c>
      <c r="C2465" s="1">
        <v>41300</v>
      </c>
      <c r="D2465" t="s">
        <v>251</v>
      </c>
      <c r="E2465">
        <v>115120</v>
      </c>
      <c r="F2465">
        <v>18419</v>
      </c>
      <c r="G2465">
        <v>0</v>
      </c>
      <c r="H2465">
        <v>0</v>
      </c>
      <c r="I2465">
        <v>13</v>
      </c>
      <c r="J2465">
        <v>133539</v>
      </c>
      <c r="K2465" t="s">
        <v>69</v>
      </c>
      <c r="L2465" s="1">
        <v>41255</v>
      </c>
      <c r="N2465" t="s">
        <v>36</v>
      </c>
      <c r="O2465" t="s">
        <v>37</v>
      </c>
      <c r="P2465" t="s">
        <v>388</v>
      </c>
      <c r="Q2465" t="s">
        <v>39</v>
      </c>
      <c r="R2465" t="s">
        <v>40</v>
      </c>
      <c r="S2465">
        <v>0</v>
      </c>
      <c r="U2465" t="s">
        <v>41</v>
      </c>
      <c r="V2465" t="s">
        <v>42</v>
      </c>
      <c r="X2465" t="s">
        <v>74</v>
      </c>
      <c r="Y2465" t="b">
        <v>0</v>
      </c>
      <c r="Z2465" t="b">
        <v>0</v>
      </c>
      <c r="AC2465" s="1"/>
      <c r="AF2465">
        <v>0</v>
      </c>
      <c r="AG2465">
        <v>45</v>
      </c>
      <c r="AH2465">
        <v>58</v>
      </c>
      <c r="AI2465" s="2">
        <f>Table__192.168.3.138DYLAgingReport[[#This Row],[NetAmount]]-Table__192.168.3.138DYLAgingReport[[#This Row],[Paid]]</f>
        <v>133539</v>
      </c>
    </row>
    <row r="2466" spans="1:35">
      <c r="A2466" t="s">
        <v>149</v>
      </c>
      <c r="B2466" s="1">
        <v>41262</v>
      </c>
      <c r="C2466" s="1">
        <v>41307</v>
      </c>
      <c r="D2466" t="s">
        <v>35</v>
      </c>
      <c r="E2466">
        <v>200000</v>
      </c>
      <c r="F2466">
        <v>32000</v>
      </c>
      <c r="G2466">
        <v>0</v>
      </c>
      <c r="H2466">
        <v>0</v>
      </c>
      <c r="I2466">
        <v>12</v>
      </c>
      <c r="J2466">
        <v>232000</v>
      </c>
      <c r="K2466" t="s">
        <v>150</v>
      </c>
      <c r="L2466" s="1">
        <v>41256</v>
      </c>
      <c r="N2466" t="s">
        <v>36</v>
      </c>
      <c r="O2466" t="s">
        <v>37</v>
      </c>
      <c r="P2466" t="s">
        <v>38</v>
      </c>
      <c r="Q2466" t="s">
        <v>39</v>
      </c>
      <c r="R2466" t="s">
        <v>40</v>
      </c>
      <c r="S2466">
        <v>0</v>
      </c>
      <c r="U2466" t="s">
        <v>41</v>
      </c>
      <c r="V2466" t="s">
        <v>42</v>
      </c>
      <c r="X2466" t="s">
        <v>74</v>
      </c>
      <c r="Y2466" t="b">
        <v>0</v>
      </c>
      <c r="Z2466" t="b">
        <v>0</v>
      </c>
      <c r="AC2466" s="1"/>
      <c r="AF2466">
        <v>0</v>
      </c>
      <c r="AG2466">
        <v>45</v>
      </c>
      <c r="AH2466">
        <v>57</v>
      </c>
      <c r="AI2466" s="2">
        <f>Table__192.168.3.138DYLAgingReport[[#This Row],[NetAmount]]-Table__192.168.3.138DYLAgingReport[[#This Row],[Paid]]</f>
        <v>232000</v>
      </c>
    </row>
    <row r="2467" spans="1:35">
      <c r="A2467" t="s">
        <v>151</v>
      </c>
      <c r="B2467" s="1">
        <v>41263</v>
      </c>
      <c r="C2467" s="1">
        <v>41308</v>
      </c>
      <c r="D2467" t="s">
        <v>35</v>
      </c>
      <c r="E2467">
        <v>200000</v>
      </c>
      <c r="F2467">
        <v>32000</v>
      </c>
      <c r="G2467">
        <v>0</v>
      </c>
      <c r="H2467">
        <v>0</v>
      </c>
      <c r="I2467">
        <v>10</v>
      </c>
      <c r="J2467">
        <v>232000</v>
      </c>
      <c r="K2467" t="s">
        <v>152</v>
      </c>
      <c r="L2467" s="1">
        <v>41258</v>
      </c>
      <c r="N2467" t="s">
        <v>36</v>
      </c>
      <c r="O2467" t="s">
        <v>37</v>
      </c>
      <c r="P2467" t="s">
        <v>38</v>
      </c>
      <c r="Q2467" t="s">
        <v>39</v>
      </c>
      <c r="R2467" t="s">
        <v>40</v>
      </c>
      <c r="S2467">
        <v>0</v>
      </c>
      <c r="U2467" t="s">
        <v>41</v>
      </c>
      <c r="V2467" t="s">
        <v>42</v>
      </c>
      <c r="X2467" t="s">
        <v>74</v>
      </c>
      <c r="Y2467" t="b">
        <v>0</v>
      </c>
      <c r="Z2467" t="b">
        <v>0</v>
      </c>
      <c r="AC2467" s="1"/>
      <c r="AF2467">
        <v>0</v>
      </c>
      <c r="AG2467">
        <v>45</v>
      </c>
      <c r="AH2467">
        <v>55</v>
      </c>
      <c r="AI2467" s="2">
        <f>Table__192.168.3.138DYLAgingReport[[#This Row],[NetAmount]]-Table__192.168.3.138DYLAgingReport[[#This Row],[Paid]]</f>
        <v>232000</v>
      </c>
    </row>
    <row r="2468" spans="1:35">
      <c r="A2468" t="s">
        <v>153</v>
      </c>
      <c r="B2468" s="1">
        <v>41265</v>
      </c>
      <c r="C2468" s="1">
        <v>41310</v>
      </c>
      <c r="D2468" t="s">
        <v>35</v>
      </c>
      <c r="E2468">
        <v>240000</v>
      </c>
      <c r="F2468">
        <v>38400</v>
      </c>
      <c r="G2468">
        <v>0</v>
      </c>
      <c r="H2468">
        <v>0</v>
      </c>
      <c r="I2468">
        <v>3</v>
      </c>
      <c r="J2468">
        <v>278400</v>
      </c>
      <c r="K2468" t="s">
        <v>154</v>
      </c>
      <c r="L2468" s="1">
        <v>41265</v>
      </c>
      <c r="N2468" t="s">
        <v>36</v>
      </c>
      <c r="O2468" t="s">
        <v>37</v>
      </c>
      <c r="P2468" t="s">
        <v>38</v>
      </c>
      <c r="Q2468" t="s">
        <v>39</v>
      </c>
      <c r="R2468" t="s">
        <v>40</v>
      </c>
      <c r="S2468">
        <v>0</v>
      </c>
      <c r="U2468" t="s">
        <v>41</v>
      </c>
      <c r="V2468" t="s">
        <v>42</v>
      </c>
      <c r="X2468" t="s">
        <v>74</v>
      </c>
      <c r="Y2468" t="b">
        <v>0</v>
      </c>
      <c r="Z2468" t="b">
        <v>0</v>
      </c>
      <c r="AC2468" s="1"/>
      <c r="AF2468">
        <v>0</v>
      </c>
      <c r="AG2468">
        <v>45</v>
      </c>
      <c r="AH2468">
        <v>48</v>
      </c>
      <c r="AI2468" s="2">
        <f>Table__192.168.3.138DYLAgingReport[[#This Row],[NetAmount]]-Table__192.168.3.138DYLAgingReport[[#This Row],[Paid]]</f>
        <v>278400</v>
      </c>
    </row>
    <row r="2469" spans="1:35">
      <c r="A2469" t="s">
        <v>155</v>
      </c>
      <c r="B2469" s="1">
        <v>41266</v>
      </c>
      <c r="C2469" s="1">
        <v>41311</v>
      </c>
      <c r="D2469" t="s">
        <v>35</v>
      </c>
      <c r="E2469">
        <v>240000</v>
      </c>
      <c r="F2469">
        <v>38400</v>
      </c>
      <c r="G2469">
        <v>0</v>
      </c>
      <c r="H2469">
        <v>0</v>
      </c>
      <c r="I2469">
        <v>8</v>
      </c>
      <c r="J2469">
        <v>278400</v>
      </c>
      <c r="K2469" t="s">
        <v>156</v>
      </c>
      <c r="L2469" s="1">
        <v>41260</v>
      </c>
      <c r="N2469" t="s">
        <v>36</v>
      </c>
      <c r="O2469" t="s">
        <v>37</v>
      </c>
      <c r="P2469" t="s">
        <v>38</v>
      </c>
      <c r="Q2469" t="s">
        <v>39</v>
      </c>
      <c r="R2469" t="s">
        <v>40</v>
      </c>
      <c r="S2469">
        <v>0</v>
      </c>
      <c r="U2469" t="s">
        <v>41</v>
      </c>
      <c r="V2469" t="s">
        <v>42</v>
      </c>
      <c r="X2469" t="s">
        <v>74</v>
      </c>
      <c r="Y2469" t="b">
        <v>0</v>
      </c>
      <c r="Z2469" t="b">
        <v>0</v>
      </c>
      <c r="AC2469" s="1"/>
      <c r="AF2469">
        <v>0</v>
      </c>
      <c r="AG2469">
        <v>45</v>
      </c>
      <c r="AH2469">
        <v>53</v>
      </c>
      <c r="AI2469" s="2">
        <f>Table__192.168.3.138DYLAgingReport[[#This Row],[NetAmount]]-Table__192.168.3.138DYLAgingReport[[#This Row],[Paid]]</f>
        <v>278400</v>
      </c>
    </row>
    <row r="2470" spans="1:35">
      <c r="A2470" t="s">
        <v>157</v>
      </c>
      <c r="B2470" s="1">
        <v>41271</v>
      </c>
      <c r="C2470" s="1">
        <v>41316</v>
      </c>
      <c r="D2470" t="s">
        <v>35</v>
      </c>
      <c r="E2470">
        <v>320000</v>
      </c>
      <c r="F2470">
        <v>51200</v>
      </c>
      <c r="G2470">
        <v>0</v>
      </c>
      <c r="H2470">
        <v>0</v>
      </c>
      <c r="I2470">
        <v>-3</v>
      </c>
      <c r="J2470">
        <v>371200</v>
      </c>
      <c r="K2470" t="s">
        <v>158</v>
      </c>
      <c r="L2470" s="1">
        <v>41271</v>
      </c>
      <c r="N2470" t="s">
        <v>36</v>
      </c>
      <c r="O2470" t="s">
        <v>37</v>
      </c>
      <c r="P2470" t="s">
        <v>38</v>
      </c>
      <c r="Q2470" t="s">
        <v>39</v>
      </c>
      <c r="R2470" t="s">
        <v>40</v>
      </c>
      <c r="S2470">
        <v>0</v>
      </c>
      <c r="U2470" t="s">
        <v>41</v>
      </c>
      <c r="V2470" t="s">
        <v>42</v>
      </c>
      <c r="X2470" t="s">
        <v>74</v>
      </c>
      <c r="Y2470" t="b">
        <v>0</v>
      </c>
      <c r="Z2470" t="b">
        <v>0</v>
      </c>
      <c r="AC2470" s="1"/>
      <c r="AF2470">
        <v>0</v>
      </c>
      <c r="AG2470">
        <v>45</v>
      </c>
      <c r="AH2470">
        <v>42</v>
      </c>
      <c r="AI2470" s="2">
        <f>Table__192.168.3.138DYLAgingReport[[#This Row],[NetAmount]]-Table__192.168.3.138DYLAgingReport[[#This Row],[Paid]]</f>
        <v>371200</v>
      </c>
    </row>
    <row r="2471" spans="1:35">
      <c r="A2471" t="s">
        <v>159</v>
      </c>
      <c r="B2471" s="1">
        <v>41274</v>
      </c>
      <c r="C2471" s="1">
        <v>41319</v>
      </c>
      <c r="D2471" t="s">
        <v>35</v>
      </c>
      <c r="E2471">
        <v>130000</v>
      </c>
      <c r="F2471">
        <v>20800</v>
      </c>
      <c r="G2471">
        <v>0</v>
      </c>
      <c r="H2471">
        <v>0</v>
      </c>
      <c r="I2471">
        <v>-1</v>
      </c>
      <c r="J2471">
        <v>150800</v>
      </c>
      <c r="K2471" t="s">
        <v>160</v>
      </c>
      <c r="L2471" s="1">
        <v>41269</v>
      </c>
      <c r="N2471" t="s">
        <v>36</v>
      </c>
      <c r="O2471" t="s">
        <v>37</v>
      </c>
      <c r="P2471" t="s">
        <v>38</v>
      </c>
      <c r="Q2471" t="s">
        <v>39</v>
      </c>
      <c r="R2471" t="s">
        <v>40</v>
      </c>
      <c r="S2471">
        <v>0</v>
      </c>
      <c r="U2471" t="s">
        <v>41</v>
      </c>
      <c r="V2471" t="s">
        <v>42</v>
      </c>
      <c r="X2471" t="s">
        <v>74</v>
      </c>
      <c r="Y2471" t="b">
        <v>0</v>
      </c>
      <c r="Z2471" t="b">
        <v>0</v>
      </c>
      <c r="AC2471" s="1"/>
      <c r="AF2471">
        <v>0</v>
      </c>
      <c r="AG2471">
        <v>45</v>
      </c>
      <c r="AH2471">
        <v>44</v>
      </c>
      <c r="AI2471" s="2">
        <f>Table__192.168.3.138DYLAgingReport[[#This Row],[NetAmount]]-Table__192.168.3.138DYLAgingReport[[#This Row],[Paid]]</f>
        <v>150800</v>
      </c>
    </row>
    <row r="2472" spans="1:35">
      <c r="A2472" t="s">
        <v>161</v>
      </c>
      <c r="B2472" s="1">
        <v>41274</v>
      </c>
      <c r="C2472" s="1">
        <v>41319</v>
      </c>
      <c r="D2472" t="s">
        <v>35</v>
      </c>
      <c r="E2472">
        <v>360000</v>
      </c>
      <c r="F2472">
        <v>57600</v>
      </c>
      <c r="G2472">
        <v>0</v>
      </c>
      <c r="H2472">
        <v>0</v>
      </c>
      <c r="I2472">
        <v>3</v>
      </c>
      <c r="J2472">
        <v>417600</v>
      </c>
      <c r="K2472" t="s">
        <v>162</v>
      </c>
      <c r="L2472" s="1">
        <v>41265</v>
      </c>
      <c r="N2472" t="s">
        <v>36</v>
      </c>
      <c r="O2472" t="s">
        <v>37</v>
      </c>
      <c r="P2472" t="s">
        <v>38</v>
      </c>
      <c r="Q2472" t="s">
        <v>39</v>
      </c>
      <c r="R2472" t="s">
        <v>40</v>
      </c>
      <c r="S2472">
        <v>0</v>
      </c>
      <c r="U2472" t="s">
        <v>41</v>
      </c>
      <c r="V2472" t="s">
        <v>42</v>
      </c>
      <c r="X2472" t="s">
        <v>74</v>
      </c>
      <c r="Y2472" t="b">
        <v>0</v>
      </c>
      <c r="Z2472" t="b">
        <v>0</v>
      </c>
      <c r="AC2472" s="1"/>
      <c r="AF2472">
        <v>0</v>
      </c>
      <c r="AG2472">
        <v>45</v>
      </c>
      <c r="AH2472">
        <v>48</v>
      </c>
      <c r="AI2472" s="2">
        <f>Table__192.168.3.138DYLAgingReport[[#This Row],[NetAmount]]-Table__192.168.3.138DYLAgingReport[[#This Row],[Paid]]</f>
        <v>417600</v>
      </c>
    </row>
    <row r="2473" spans="1:35">
      <c r="A2473" t="s">
        <v>4948</v>
      </c>
      <c r="B2473" s="1">
        <v>41260</v>
      </c>
      <c r="C2473" s="1">
        <v>41305</v>
      </c>
      <c r="D2473" t="s">
        <v>249</v>
      </c>
      <c r="E2473">
        <v>10235</v>
      </c>
      <c r="F2473">
        <v>0</v>
      </c>
      <c r="G2473">
        <v>0</v>
      </c>
      <c r="H2473">
        <v>0</v>
      </c>
      <c r="I2473">
        <v>7</v>
      </c>
      <c r="J2473">
        <v>10235</v>
      </c>
      <c r="K2473" t="s">
        <v>4949</v>
      </c>
      <c r="L2473" s="1">
        <v>41261</v>
      </c>
      <c r="N2473" t="s">
        <v>36</v>
      </c>
      <c r="O2473" t="s">
        <v>37</v>
      </c>
      <c r="P2473" t="s">
        <v>386</v>
      </c>
      <c r="Q2473" t="s">
        <v>39</v>
      </c>
      <c r="R2473" t="s">
        <v>40</v>
      </c>
      <c r="S2473">
        <v>0</v>
      </c>
      <c r="U2473" t="s">
        <v>41</v>
      </c>
      <c r="V2473" t="s">
        <v>42</v>
      </c>
      <c r="X2473" t="s">
        <v>74</v>
      </c>
      <c r="Y2473" t="b">
        <v>0</v>
      </c>
      <c r="Z2473" t="b">
        <v>0</v>
      </c>
      <c r="AC2473" s="1"/>
      <c r="AF2473">
        <v>0</v>
      </c>
      <c r="AG2473">
        <v>45</v>
      </c>
      <c r="AH2473">
        <v>52</v>
      </c>
      <c r="AI2473" s="2">
        <f>Table__192.168.3.138DYLAgingReport[[#This Row],[NetAmount]]-Table__192.168.3.138DYLAgingReport[[#This Row],[Paid]]</f>
        <v>10235</v>
      </c>
    </row>
    <row r="2474" spans="1:35">
      <c r="A2474" t="s">
        <v>4950</v>
      </c>
      <c r="B2474" s="1">
        <v>41250</v>
      </c>
      <c r="C2474" s="1">
        <v>41295</v>
      </c>
      <c r="D2474" t="s">
        <v>249</v>
      </c>
      <c r="E2474">
        <v>630210</v>
      </c>
      <c r="F2474">
        <v>0</v>
      </c>
      <c r="G2474">
        <v>0</v>
      </c>
      <c r="H2474">
        <v>0</v>
      </c>
      <c r="I2474">
        <v>19</v>
      </c>
      <c r="J2474">
        <v>630210</v>
      </c>
      <c r="K2474" t="s">
        <v>4951</v>
      </c>
      <c r="L2474" s="1">
        <v>41249</v>
      </c>
      <c r="N2474" t="s">
        <v>36</v>
      </c>
      <c r="O2474" t="s">
        <v>37</v>
      </c>
      <c r="P2474" t="s">
        <v>386</v>
      </c>
      <c r="Q2474" t="s">
        <v>39</v>
      </c>
      <c r="R2474" t="s">
        <v>40</v>
      </c>
      <c r="S2474">
        <v>0</v>
      </c>
      <c r="U2474" t="s">
        <v>41</v>
      </c>
      <c r="V2474" t="s">
        <v>42</v>
      </c>
      <c r="X2474" t="s">
        <v>74</v>
      </c>
      <c r="Y2474" t="b">
        <v>0</v>
      </c>
      <c r="Z2474" t="b">
        <v>0</v>
      </c>
      <c r="AC2474" s="1"/>
      <c r="AF2474">
        <v>0</v>
      </c>
      <c r="AG2474">
        <v>45</v>
      </c>
      <c r="AH2474">
        <v>64</v>
      </c>
      <c r="AI2474" s="2">
        <f>Table__192.168.3.138DYLAgingReport[[#This Row],[NetAmount]]-Table__192.168.3.138DYLAgingReport[[#This Row],[Paid]]</f>
        <v>630210</v>
      </c>
    </row>
    <row r="2475" spans="1:35">
      <c r="A2475" t="s">
        <v>4952</v>
      </c>
      <c r="B2475" s="1">
        <v>41252</v>
      </c>
      <c r="C2475" s="1">
        <v>41297</v>
      </c>
      <c r="D2475" t="s">
        <v>296</v>
      </c>
      <c r="E2475">
        <v>10170</v>
      </c>
      <c r="F2475">
        <v>1627</v>
      </c>
      <c r="G2475">
        <v>0</v>
      </c>
      <c r="H2475">
        <v>0</v>
      </c>
      <c r="I2475">
        <v>19</v>
      </c>
      <c r="J2475">
        <v>11797</v>
      </c>
      <c r="K2475" t="s">
        <v>4953</v>
      </c>
      <c r="L2475" s="1">
        <v>41249</v>
      </c>
      <c r="N2475" t="s">
        <v>36</v>
      </c>
      <c r="O2475" t="s">
        <v>37</v>
      </c>
      <c r="P2475" t="s">
        <v>433</v>
      </c>
      <c r="Q2475" t="s">
        <v>39</v>
      </c>
      <c r="R2475" t="s">
        <v>40</v>
      </c>
      <c r="S2475">
        <v>0</v>
      </c>
      <c r="U2475" t="s">
        <v>41</v>
      </c>
      <c r="V2475" t="s">
        <v>42</v>
      </c>
      <c r="X2475" t="s">
        <v>74</v>
      </c>
      <c r="Y2475" t="b">
        <v>0</v>
      </c>
      <c r="Z2475" t="b">
        <v>0</v>
      </c>
      <c r="AC2475" s="1"/>
      <c r="AF2475">
        <v>0</v>
      </c>
      <c r="AG2475">
        <v>45</v>
      </c>
      <c r="AH2475">
        <v>64</v>
      </c>
      <c r="AI2475" s="2">
        <f>Table__192.168.3.138DYLAgingReport[[#This Row],[NetAmount]]-Table__192.168.3.138DYLAgingReport[[#This Row],[Paid]]</f>
        <v>11797</v>
      </c>
    </row>
    <row r="2476" spans="1:35">
      <c r="A2476" t="s">
        <v>4954</v>
      </c>
      <c r="B2476" s="1">
        <v>41274</v>
      </c>
      <c r="C2476" s="1">
        <v>41319</v>
      </c>
      <c r="D2476" t="s">
        <v>287</v>
      </c>
      <c r="E2476">
        <v>279308</v>
      </c>
      <c r="F2476">
        <v>44689</v>
      </c>
      <c r="G2476">
        <v>0</v>
      </c>
      <c r="H2476">
        <v>0</v>
      </c>
      <c r="I2476">
        <v>4</v>
      </c>
      <c r="J2476">
        <v>323997</v>
      </c>
      <c r="K2476" t="s">
        <v>1346</v>
      </c>
      <c r="L2476" s="1">
        <v>41264</v>
      </c>
      <c r="N2476" t="s">
        <v>36</v>
      </c>
      <c r="O2476" t="s">
        <v>37</v>
      </c>
      <c r="P2476" t="s">
        <v>424</v>
      </c>
      <c r="Q2476" t="s">
        <v>39</v>
      </c>
      <c r="R2476" t="s">
        <v>40</v>
      </c>
      <c r="S2476">
        <v>0</v>
      </c>
      <c r="U2476" t="s">
        <v>41</v>
      </c>
      <c r="V2476" t="s">
        <v>42</v>
      </c>
      <c r="X2476" t="s">
        <v>74</v>
      </c>
      <c r="Y2476" t="b">
        <v>0</v>
      </c>
      <c r="Z2476" t="b">
        <v>0</v>
      </c>
      <c r="AC2476" s="1"/>
      <c r="AF2476">
        <v>0</v>
      </c>
      <c r="AG2476">
        <v>45</v>
      </c>
      <c r="AH2476">
        <v>49</v>
      </c>
      <c r="AI2476" s="2">
        <f>Table__192.168.3.138DYLAgingReport[[#This Row],[NetAmount]]-Table__192.168.3.138DYLAgingReport[[#This Row],[Paid]]</f>
        <v>323997</v>
      </c>
    </row>
    <row r="2477" spans="1:35">
      <c r="A2477" t="s">
        <v>4955</v>
      </c>
      <c r="B2477" s="1">
        <v>41272</v>
      </c>
      <c r="C2477" s="1">
        <v>41317</v>
      </c>
      <c r="D2477" t="s">
        <v>290</v>
      </c>
      <c r="E2477">
        <v>16000</v>
      </c>
      <c r="F2477">
        <v>2560</v>
      </c>
      <c r="G2477">
        <v>0</v>
      </c>
      <c r="H2477">
        <v>0</v>
      </c>
      <c r="I2477">
        <v>-4</v>
      </c>
      <c r="J2477">
        <v>18560</v>
      </c>
      <c r="K2477" t="s">
        <v>4956</v>
      </c>
      <c r="L2477" s="1">
        <v>41272</v>
      </c>
      <c r="N2477" t="s">
        <v>36</v>
      </c>
      <c r="O2477" t="s">
        <v>37</v>
      </c>
      <c r="P2477" t="s">
        <v>427</v>
      </c>
      <c r="Q2477" t="s">
        <v>39</v>
      </c>
      <c r="R2477" t="s">
        <v>40</v>
      </c>
      <c r="S2477">
        <v>0</v>
      </c>
      <c r="U2477" t="s">
        <v>41</v>
      </c>
      <c r="V2477" t="s">
        <v>42</v>
      </c>
      <c r="X2477" t="s">
        <v>74</v>
      </c>
      <c r="Y2477" t="b">
        <v>0</v>
      </c>
      <c r="Z2477" t="b">
        <v>0</v>
      </c>
      <c r="AC2477" s="1"/>
      <c r="AF2477">
        <v>0</v>
      </c>
      <c r="AG2477">
        <v>45</v>
      </c>
      <c r="AH2477">
        <v>41</v>
      </c>
      <c r="AI2477" s="2">
        <f>Table__192.168.3.138DYLAgingReport[[#This Row],[NetAmount]]-Table__192.168.3.138DYLAgingReport[[#This Row],[Paid]]</f>
        <v>18560</v>
      </c>
    </row>
    <row r="2478" spans="1:35">
      <c r="A2478" t="s">
        <v>4957</v>
      </c>
      <c r="B2478" s="1">
        <v>41271</v>
      </c>
      <c r="C2478" s="1">
        <v>41316</v>
      </c>
      <c r="D2478" t="s">
        <v>298</v>
      </c>
      <c r="E2478">
        <v>72050</v>
      </c>
      <c r="F2478">
        <v>11528</v>
      </c>
      <c r="G2478">
        <v>0</v>
      </c>
      <c r="H2478">
        <v>0</v>
      </c>
      <c r="I2478">
        <v>-6</v>
      </c>
      <c r="J2478">
        <v>83578</v>
      </c>
      <c r="K2478" t="s">
        <v>105</v>
      </c>
      <c r="L2478" s="1">
        <v>41274</v>
      </c>
      <c r="N2478" t="s">
        <v>36</v>
      </c>
      <c r="O2478" t="s">
        <v>37</v>
      </c>
      <c r="P2478" t="s">
        <v>435</v>
      </c>
      <c r="Q2478" t="s">
        <v>39</v>
      </c>
      <c r="R2478" t="s">
        <v>40</v>
      </c>
      <c r="S2478">
        <v>0</v>
      </c>
      <c r="U2478" t="s">
        <v>41</v>
      </c>
      <c r="V2478" t="s">
        <v>42</v>
      </c>
      <c r="X2478" t="s">
        <v>74</v>
      </c>
      <c r="Y2478" t="b">
        <v>0</v>
      </c>
      <c r="Z2478" t="b">
        <v>0</v>
      </c>
      <c r="AC2478" s="1"/>
      <c r="AF2478">
        <v>0</v>
      </c>
      <c r="AG2478">
        <v>45</v>
      </c>
      <c r="AH2478">
        <v>39</v>
      </c>
      <c r="AI2478" s="2">
        <f>Table__192.168.3.138DYLAgingReport[[#This Row],[NetAmount]]-Table__192.168.3.138DYLAgingReport[[#This Row],[Paid]]</f>
        <v>83578</v>
      </c>
    </row>
    <row r="2479" spans="1:35">
      <c r="A2479" t="s">
        <v>4958</v>
      </c>
      <c r="B2479" s="1">
        <v>41272</v>
      </c>
      <c r="C2479" s="1">
        <v>41317</v>
      </c>
      <c r="D2479" t="s">
        <v>229</v>
      </c>
      <c r="E2479">
        <v>2700</v>
      </c>
      <c r="F2479">
        <v>0</v>
      </c>
      <c r="G2479">
        <v>0</v>
      </c>
      <c r="H2479">
        <v>0</v>
      </c>
      <c r="I2479">
        <v>-2</v>
      </c>
      <c r="J2479">
        <v>2700</v>
      </c>
      <c r="K2479" t="s">
        <v>135</v>
      </c>
      <c r="L2479" s="1">
        <v>41270</v>
      </c>
      <c r="M2479" t="s">
        <v>4959</v>
      </c>
      <c r="N2479" t="s">
        <v>36</v>
      </c>
      <c r="O2479" t="s">
        <v>37</v>
      </c>
      <c r="P2479" t="s">
        <v>366</v>
      </c>
      <c r="Q2479" t="s">
        <v>39</v>
      </c>
      <c r="R2479" t="s">
        <v>40</v>
      </c>
      <c r="S2479">
        <v>0</v>
      </c>
      <c r="U2479" t="s">
        <v>41</v>
      </c>
      <c r="V2479" t="s">
        <v>42</v>
      </c>
      <c r="W2479" t="s">
        <v>4960</v>
      </c>
      <c r="X2479" t="s">
        <v>74</v>
      </c>
      <c r="Y2479" t="b">
        <v>0</v>
      </c>
      <c r="Z2479" t="b">
        <v>0</v>
      </c>
      <c r="AA2479" t="b">
        <v>0</v>
      </c>
      <c r="AC2479" s="1"/>
      <c r="AF2479">
        <v>0</v>
      </c>
      <c r="AG2479">
        <v>45</v>
      </c>
      <c r="AH2479">
        <v>43</v>
      </c>
      <c r="AI2479" s="2">
        <f>Table__192.168.3.138DYLAgingReport[[#This Row],[NetAmount]]-Table__192.168.3.138DYLAgingReport[[#This Row],[Paid]]</f>
        <v>2700</v>
      </c>
    </row>
    <row r="2480" spans="1:35">
      <c r="A2480" t="s">
        <v>4961</v>
      </c>
      <c r="B2480" s="1">
        <v>41271</v>
      </c>
      <c r="C2480" s="1">
        <v>41316</v>
      </c>
      <c r="D2480" t="s">
        <v>208</v>
      </c>
      <c r="E2480">
        <v>231916</v>
      </c>
      <c r="F2480">
        <v>37107</v>
      </c>
      <c r="G2480">
        <v>0</v>
      </c>
      <c r="H2480">
        <v>0</v>
      </c>
      <c r="I2480">
        <v>-3</v>
      </c>
      <c r="J2480">
        <v>269023</v>
      </c>
      <c r="K2480" t="s">
        <v>4962</v>
      </c>
      <c r="L2480" s="1">
        <v>41271</v>
      </c>
      <c r="N2480" t="s">
        <v>36</v>
      </c>
      <c r="O2480" t="s">
        <v>37</v>
      </c>
      <c r="P2480" t="s">
        <v>345</v>
      </c>
      <c r="Q2480" t="s">
        <v>39</v>
      </c>
      <c r="R2480" t="s">
        <v>40</v>
      </c>
      <c r="S2480">
        <v>0</v>
      </c>
      <c r="U2480" t="s">
        <v>41</v>
      </c>
      <c r="V2480" t="s">
        <v>42</v>
      </c>
      <c r="X2480" t="s">
        <v>74</v>
      </c>
      <c r="Y2480" t="b">
        <v>0</v>
      </c>
      <c r="Z2480" t="b">
        <v>0</v>
      </c>
      <c r="AB2480" t="s">
        <v>4807</v>
      </c>
      <c r="AC2480" s="1"/>
      <c r="AF2480">
        <v>0</v>
      </c>
      <c r="AG2480">
        <v>45</v>
      </c>
      <c r="AH2480">
        <v>42</v>
      </c>
      <c r="AI2480" s="2">
        <f>Table__192.168.3.138DYLAgingReport[[#This Row],[NetAmount]]-Table__192.168.3.138DYLAgingReport[[#This Row],[Paid]]</f>
        <v>269023</v>
      </c>
    </row>
    <row r="2481" spans="1:35">
      <c r="A2481" t="s">
        <v>4963</v>
      </c>
      <c r="B2481" s="1">
        <v>41272</v>
      </c>
      <c r="C2481" s="1">
        <v>41317</v>
      </c>
      <c r="D2481" t="s">
        <v>211</v>
      </c>
      <c r="E2481">
        <v>1875</v>
      </c>
      <c r="F2481">
        <v>0</v>
      </c>
      <c r="G2481">
        <v>0</v>
      </c>
      <c r="H2481">
        <v>0</v>
      </c>
      <c r="I2481">
        <v>-4</v>
      </c>
      <c r="J2481">
        <v>1875</v>
      </c>
      <c r="K2481" t="s">
        <v>4964</v>
      </c>
      <c r="L2481" s="1">
        <v>41272</v>
      </c>
      <c r="N2481" t="s">
        <v>36</v>
      </c>
      <c r="O2481" t="s">
        <v>37</v>
      </c>
      <c r="P2481" t="s">
        <v>348</v>
      </c>
      <c r="Q2481" t="s">
        <v>39</v>
      </c>
      <c r="R2481" t="s">
        <v>40</v>
      </c>
      <c r="S2481">
        <v>0</v>
      </c>
      <c r="U2481" t="s">
        <v>41</v>
      </c>
      <c r="V2481" t="s">
        <v>42</v>
      </c>
      <c r="X2481" t="s">
        <v>74</v>
      </c>
      <c r="Y2481" t="b">
        <v>0</v>
      </c>
      <c r="Z2481" t="b">
        <v>0</v>
      </c>
      <c r="AC2481" s="1"/>
      <c r="AF2481">
        <v>0</v>
      </c>
      <c r="AG2481">
        <v>45</v>
      </c>
      <c r="AH2481">
        <v>41</v>
      </c>
      <c r="AI2481" s="2">
        <f>Table__192.168.3.138DYLAgingReport[[#This Row],[NetAmount]]-Table__192.168.3.138DYLAgingReport[[#This Row],[Paid]]</f>
        <v>1875</v>
      </c>
    </row>
    <row r="2482" spans="1:35">
      <c r="A2482" t="s">
        <v>4965</v>
      </c>
      <c r="B2482" s="1">
        <v>41255</v>
      </c>
      <c r="C2482" s="1">
        <v>41300</v>
      </c>
      <c r="D2482" t="s">
        <v>224</v>
      </c>
      <c r="E2482">
        <v>130161</v>
      </c>
      <c r="F2482">
        <v>20076</v>
      </c>
      <c r="G2482">
        <v>0</v>
      </c>
      <c r="H2482">
        <v>0</v>
      </c>
      <c r="I2482">
        <v>19</v>
      </c>
      <c r="J2482">
        <v>145550</v>
      </c>
      <c r="K2482" t="s">
        <v>4966</v>
      </c>
      <c r="L2482" s="1">
        <v>41249</v>
      </c>
      <c r="N2482" t="s">
        <v>36</v>
      </c>
      <c r="O2482" t="s">
        <v>37</v>
      </c>
      <c r="P2482" t="s">
        <v>361</v>
      </c>
      <c r="Q2482" t="s">
        <v>39</v>
      </c>
      <c r="R2482" t="s">
        <v>40</v>
      </c>
      <c r="S2482">
        <v>0</v>
      </c>
      <c r="U2482" t="s">
        <v>41</v>
      </c>
      <c r="V2482" t="s">
        <v>42</v>
      </c>
      <c r="X2482" t="s">
        <v>74</v>
      </c>
      <c r="Y2482" t="b">
        <v>0</v>
      </c>
      <c r="Z2482" t="b">
        <v>0</v>
      </c>
      <c r="AC2482" s="1"/>
      <c r="AF2482">
        <v>0</v>
      </c>
      <c r="AG2482">
        <v>45</v>
      </c>
      <c r="AH2482">
        <v>64</v>
      </c>
      <c r="AI2482" s="2">
        <f>Table__192.168.3.138DYLAgingReport[[#This Row],[NetAmount]]-Table__192.168.3.138DYLAgingReport[[#This Row],[Paid]]</f>
        <v>145550</v>
      </c>
    </row>
    <row r="2483" spans="1:35">
      <c r="A2483" t="s">
        <v>4967</v>
      </c>
      <c r="B2483" s="1">
        <v>41274</v>
      </c>
      <c r="C2483" s="1">
        <v>41319</v>
      </c>
      <c r="D2483" t="s">
        <v>234</v>
      </c>
      <c r="E2483">
        <v>382886</v>
      </c>
      <c r="F2483">
        <v>61262</v>
      </c>
      <c r="G2483">
        <v>0</v>
      </c>
      <c r="H2483">
        <v>0</v>
      </c>
      <c r="I2483">
        <v>-6</v>
      </c>
      <c r="J2483">
        <v>444148</v>
      </c>
      <c r="K2483" t="s">
        <v>2031</v>
      </c>
      <c r="L2483" s="1">
        <v>41274</v>
      </c>
      <c r="N2483" t="s">
        <v>36</v>
      </c>
      <c r="O2483" t="s">
        <v>37</v>
      </c>
      <c r="P2483" t="s">
        <v>371</v>
      </c>
      <c r="Q2483" t="s">
        <v>39</v>
      </c>
      <c r="R2483" t="s">
        <v>40</v>
      </c>
      <c r="S2483">
        <v>0</v>
      </c>
      <c r="U2483" t="s">
        <v>41</v>
      </c>
      <c r="V2483" t="s">
        <v>42</v>
      </c>
      <c r="X2483" t="s">
        <v>74</v>
      </c>
      <c r="Y2483" t="b">
        <v>0</v>
      </c>
      <c r="Z2483" t="b">
        <v>0</v>
      </c>
      <c r="AC2483" s="1"/>
      <c r="AF2483">
        <v>0</v>
      </c>
      <c r="AG2483">
        <v>45</v>
      </c>
      <c r="AH2483">
        <v>39</v>
      </c>
      <c r="AI2483" s="2">
        <f>Table__192.168.3.138DYLAgingReport[[#This Row],[NetAmount]]-Table__192.168.3.138DYLAgingReport[[#This Row],[Paid]]</f>
        <v>444148</v>
      </c>
    </row>
    <row r="2484" spans="1:35">
      <c r="A2484" t="s">
        <v>4968</v>
      </c>
      <c r="B2484" s="1">
        <v>41274</v>
      </c>
      <c r="C2484" s="1">
        <v>41319</v>
      </c>
      <c r="D2484" t="s">
        <v>275</v>
      </c>
      <c r="E2484">
        <v>208800</v>
      </c>
      <c r="F2484">
        <v>0</v>
      </c>
      <c r="G2484">
        <v>0</v>
      </c>
      <c r="H2484">
        <v>0</v>
      </c>
      <c r="I2484">
        <v>-6</v>
      </c>
      <c r="J2484">
        <v>208800</v>
      </c>
      <c r="K2484" t="s">
        <v>881</v>
      </c>
      <c r="L2484" s="1">
        <v>41274</v>
      </c>
      <c r="N2484" t="s">
        <v>36</v>
      </c>
      <c r="O2484" t="s">
        <v>37</v>
      </c>
      <c r="P2484" t="s">
        <v>412</v>
      </c>
      <c r="Q2484" t="s">
        <v>39</v>
      </c>
      <c r="R2484" t="s">
        <v>40</v>
      </c>
      <c r="S2484">
        <v>0</v>
      </c>
      <c r="U2484" t="s">
        <v>41</v>
      </c>
      <c r="V2484" t="s">
        <v>42</v>
      </c>
      <c r="X2484" t="s">
        <v>74</v>
      </c>
      <c r="Y2484" t="b">
        <v>0</v>
      </c>
      <c r="Z2484" t="b">
        <v>0</v>
      </c>
      <c r="AC2484" s="1"/>
      <c r="AF2484">
        <v>0</v>
      </c>
      <c r="AG2484">
        <v>45</v>
      </c>
      <c r="AH2484">
        <v>39</v>
      </c>
      <c r="AI2484" s="2">
        <f>Table__192.168.3.138DYLAgingReport[[#This Row],[NetAmount]]-Table__192.168.3.138DYLAgingReport[[#This Row],[Paid]]</f>
        <v>208800</v>
      </c>
    </row>
    <row r="2485" spans="1:35">
      <c r="A2485" t="s">
        <v>4969</v>
      </c>
      <c r="B2485" s="1">
        <v>41271</v>
      </c>
      <c r="C2485" s="1">
        <v>41316</v>
      </c>
      <c r="D2485" t="s">
        <v>279</v>
      </c>
      <c r="E2485">
        <v>316050</v>
      </c>
      <c r="F2485">
        <v>50568</v>
      </c>
      <c r="G2485">
        <v>0</v>
      </c>
      <c r="H2485">
        <v>0</v>
      </c>
      <c r="I2485">
        <v>-3</v>
      </c>
      <c r="J2485">
        <v>366618</v>
      </c>
      <c r="K2485" t="s">
        <v>4387</v>
      </c>
      <c r="L2485" s="1">
        <v>41271</v>
      </c>
      <c r="N2485" t="s">
        <v>36</v>
      </c>
      <c r="O2485" t="s">
        <v>37</v>
      </c>
      <c r="P2485" t="s">
        <v>416</v>
      </c>
      <c r="Q2485" t="s">
        <v>39</v>
      </c>
      <c r="R2485" t="s">
        <v>40</v>
      </c>
      <c r="S2485">
        <v>0</v>
      </c>
      <c r="U2485" t="s">
        <v>41</v>
      </c>
      <c r="V2485" t="s">
        <v>42</v>
      </c>
      <c r="X2485" t="s">
        <v>74</v>
      </c>
      <c r="Y2485" t="b">
        <v>0</v>
      </c>
      <c r="Z2485" t="b">
        <v>0</v>
      </c>
      <c r="AC2485" s="1"/>
      <c r="AF2485">
        <v>0</v>
      </c>
      <c r="AG2485">
        <v>45</v>
      </c>
      <c r="AH2485">
        <v>42</v>
      </c>
      <c r="AI2485" s="2">
        <f>Table__192.168.3.138DYLAgingReport[[#This Row],[NetAmount]]-Table__192.168.3.138DYLAgingReport[[#This Row],[Paid]]</f>
        <v>366618</v>
      </c>
    </row>
    <row r="2486" spans="1:35">
      <c r="A2486" t="s">
        <v>4970</v>
      </c>
      <c r="B2486" s="1">
        <v>41261</v>
      </c>
      <c r="C2486" s="1">
        <v>41306</v>
      </c>
      <c r="D2486" t="s">
        <v>187</v>
      </c>
      <c r="E2486">
        <v>41940</v>
      </c>
      <c r="F2486">
        <v>0</v>
      </c>
      <c r="G2486">
        <v>0</v>
      </c>
      <c r="H2486">
        <v>0</v>
      </c>
      <c r="I2486">
        <v>7</v>
      </c>
      <c r="J2486">
        <v>41940</v>
      </c>
      <c r="K2486" t="s">
        <v>4971</v>
      </c>
      <c r="L2486" s="1">
        <v>41261</v>
      </c>
      <c r="N2486" t="s">
        <v>36</v>
      </c>
      <c r="O2486" t="s">
        <v>37</v>
      </c>
      <c r="P2486" t="s">
        <v>324</v>
      </c>
      <c r="Q2486" t="s">
        <v>39</v>
      </c>
      <c r="R2486" t="s">
        <v>40</v>
      </c>
      <c r="S2486">
        <v>0</v>
      </c>
      <c r="U2486" t="s">
        <v>41</v>
      </c>
      <c r="V2486" t="s">
        <v>42</v>
      </c>
      <c r="X2486" t="s">
        <v>74</v>
      </c>
      <c r="Y2486" t="b">
        <v>0</v>
      </c>
      <c r="Z2486" t="b">
        <v>0</v>
      </c>
      <c r="AC2486" s="1"/>
      <c r="AF2486">
        <v>0</v>
      </c>
      <c r="AG2486">
        <v>45</v>
      </c>
      <c r="AH2486">
        <v>52</v>
      </c>
      <c r="AI2486" s="2">
        <f>Table__192.168.3.138DYLAgingReport[[#This Row],[NetAmount]]-Table__192.168.3.138DYLAgingReport[[#This Row],[Paid]]</f>
        <v>41940</v>
      </c>
    </row>
    <row r="2487" spans="1:35">
      <c r="A2487" t="s">
        <v>4972</v>
      </c>
      <c r="B2487" s="1">
        <v>41264</v>
      </c>
      <c r="C2487" s="1">
        <v>41309</v>
      </c>
      <c r="D2487" t="s">
        <v>187</v>
      </c>
      <c r="E2487">
        <v>30000</v>
      </c>
      <c r="F2487">
        <v>0</v>
      </c>
      <c r="G2487">
        <v>0</v>
      </c>
      <c r="H2487">
        <v>0</v>
      </c>
      <c r="I2487">
        <v>4</v>
      </c>
      <c r="J2487">
        <v>30000</v>
      </c>
      <c r="K2487" t="s">
        <v>4973</v>
      </c>
      <c r="L2487" s="1">
        <v>41264</v>
      </c>
      <c r="N2487" t="s">
        <v>36</v>
      </c>
      <c r="O2487" t="s">
        <v>37</v>
      </c>
      <c r="P2487" t="s">
        <v>324</v>
      </c>
      <c r="Q2487" t="s">
        <v>39</v>
      </c>
      <c r="R2487" t="s">
        <v>40</v>
      </c>
      <c r="S2487">
        <v>0</v>
      </c>
      <c r="U2487" t="s">
        <v>41</v>
      </c>
      <c r="V2487" t="s">
        <v>42</v>
      </c>
      <c r="X2487" t="s">
        <v>74</v>
      </c>
      <c r="Y2487" t="b">
        <v>0</v>
      </c>
      <c r="Z2487" t="b">
        <v>0</v>
      </c>
      <c r="AC2487" s="1"/>
      <c r="AF2487">
        <v>0</v>
      </c>
      <c r="AG2487">
        <v>45</v>
      </c>
      <c r="AH2487">
        <v>49</v>
      </c>
      <c r="AI2487" s="2">
        <f>Table__192.168.3.138DYLAgingReport[[#This Row],[NetAmount]]-Table__192.168.3.138DYLAgingReport[[#This Row],[Paid]]</f>
        <v>30000</v>
      </c>
    </row>
    <row r="2488" spans="1:35">
      <c r="A2488" t="s">
        <v>4974</v>
      </c>
      <c r="B2488" s="1">
        <v>41267</v>
      </c>
      <c r="C2488" s="1">
        <v>41312</v>
      </c>
      <c r="D2488" t="s">
        <v>187</v>
      </c>
      <c r="E2488">
        <v>66790</v>
      </c>
      <c r="F2488">
        <v>0</v>
      </c>
      <c r="G2488">
        <v>0</v>
      </c>
      <c r="H2488">
        <v>0</v>
      </c>
      <c r="I2488">
        <v>1</v>
      </c>
      <c r="J2488">
        <v>66790</v>
      </c>
      <c r="K2488" t="s">
        <v>4975</v>
      </c>
      <c r="L2488" s="1">
        <v>41267</v>
      </c>
      <c r="N2488" t="s">
        <v>36</v>
      </c>
      <c r="O2488" t="s">
        <v>37</v>
      </c>
      <c r="P2488" t="s">
        <v>324</v>
      </c>
      <c r="Q2488" t="s">
        <v>39</v>
      </c>
      <c r="R2488" t="s">
        <v>40</v>
      </c>
      <c r="S2488">
        <v>0</v>
      </c>
      <c r="U2488" t="s">
        <v>41</v>
      </c>
      <c r="V2488" t="s">
        <v>42</v>
      </c>
      <c r="X2488" t="s">
        <v>74</v>
      </c>
      <c r="Y2488" t="b">
        <v>0</v>
      </c>
      <c r="Z2488" t="b">
        <v>0</v>
      </c>
      <c r="AC2488" s="1"/>
      <c r="AF2488">
        <v>0</v>
      </c>
      <c r="AG2488">
        <v>45</v>
      </c>
      <c r="AH2488">
        <v>46</v>
      </c>
      <c r="AI2488" s="2">
        <f>Table__192.168.3.138DYLAgingReport[[#This Row],[NetAmount]]-Table__192.168.3.138DYLAgingReport[[#This Row],[Paid]]</f>
        <v>66790</v>
      </c>
    </row>
    <row r="2489" spans="1:35">
      <c r="A2489" t="s">
        <v>4976</v>
      </c>
      <c r="B2489" s="1">
        <v>41271</v>
      </c>
      <c r="C2489" s="1">
        <v>41316</v>
      </c>
      <c r="D2489" t="s">
        <v>187</v>
      </c>
      <c r="E2489">
        <v>147990</v>
      </c>
      <c r="F2489">
        <v>0</v>
      </c>
      <c r="G2489">
        <v>0</v>
      </c>
      <c r="H2489">
        <v>0</v>
      </c>
      <c r="I2489">
        <v>-3</v>
      </c>
      <c r="J2489">
        <v>147990</v>
      </c>
      <c r="K2489" t="s">
        <v>4977</v>
      </c>
      <c r="L2489" s="1">
        <v>41271</v>
      </c>
      <c r="N2489" t="s">
        <v>36</v>
      </c>
      <c r="O2489" t="s">
        <v>37</v>
      </c>
      <c r="P2489" t="s">
        <v>324</v>
      </c>
      <c r="Q2489" t="s">
        <v>39</v>
      </c>
      <c r="R2489" t="s">
        <v>40</v>
      </c>
      <c r="S2489">
        <v>0</v>
      </c>
      <c r="U2489" t="s">
        <v>41</v>
      </c>
      <c r="V2489" t="s">
        <v>42</v>
      </c>
      <c r="X2489" t="s">
        <v>74</v>
      </c>
      <c r="Y2489" t="b">
        <v>0</v>
      </c>
      <c r="Z2489" t="b">
        <v>0</v>
      </c>
      <c r="AC2489" s="1"/>
      <c r="AF2489">
        <v>0</v>
      </c>
      <c r="AG2489">
        <v>45</v>
      </c>
      <c r="AH2489">
        <v>42</v>
      </c>
      <c r="AI2489" s="2">
        <f>Table__192.168.3.138DYLAgingReport[[#This Row],[NetAmount]]-Table__192.168.3.138DYLAgingReport[[#This Row],[Paid]]</f>
        <v>147990</v>
      </c>
    </row>
    <row r="2490" spans="1:35">
      <c r="A2490" t="s">
        <v>4978</v>
      </c>
      <c r="B2490" s="1">
        <v>41274</v>
      </c>
      <c r="C2490" s="1">
        <v>41319</v>
      </c>
      <c r="D2490" t="s">
        <v>187</v>
      </c>
      <c r="E2490">
        <v>51730</v>
      </c>
      <c r="F2490">
        <v>0</v>
      </c>
      <c r="G2490">
        <v>0</v>
      </c>
      <c r="H2490">
        <v>0</v>
      </c>
      <c r="I2490">
        <v>-6</v>
      </c>
      <c r="J2490">
        <v>51730</v>
      </c>
      <c r="K2490" t="s">
        <v>4979</v>
      </c>
      <c r="L2490" s="1">
        <v>41274</v>
      </c>
      <c r="N2490" t="s">
        <v>36</v>
      </c>
      <c r="O2490" t="s">
        <v>37</v>
      </c>
      <c r="P2490" t="s">
        <v>324</v>
      </c>
      <c r="Q2490" t="s">
        <v>39</v>
      </c>
      <c r="R2490" t="s">
        <v>40</v>
      </c>
      <c r="S2490">
        <v>0</v>
      </c>
      <c r="U2490" t="s">
        <v>41</v>
      </c>
      <c r="V2490" t="s">
        <v>42</v>
      </c>
      <c r="X2490" t="s">
        <v>74</v>
      </c>
      <c r="Y2490" t="b">
        <v>0</v>
      </c>
      <c r="Z2490" t="b">
        <v>0</v>
      </c>
      <c r="AC2490" s="1"/>
      <c r="AF2490">
        <v>0</v>
      </c>
      <c r="AG2490">
        <v>45</v>
      </c>
      <c r="AH2490">
        <v>39</v>
      </c>
      <c r="AI2490" s="2">
        <f>Table__192.168.3.138DYLAgingReport[[#This Row],[NetAmount]]-Table__192.168.3.138DYLAgingReport[[#This Row],[Paid]]</f>
        <v>51730</v>
      </c>
    </row>
    <row r="2491" spans="1:35">
      <c r="A2491" t="s">
        <v>4980</v>
      </c>
      <c r="B2491" s="1">
        <v>41264</v>
      </c>
      <c r="C2491" s="1">
        <v>41309</v>
      </c>
      <c r="D2491" t="s">
        <v>271</v>
      </c>
      <c r="E2491">
        <v>6200</v>
      </c>
      <c r="F2491">
        <v>992</v>
      </c>
      <c r="G2491">
        <v>0</v>
      </c>
      <c r="H2491">
        <v>0</v>
      </c>
      <c r="I2491">
        <v>4</v>
      </c>
      <c r="J2491">
        <v>7192</v>
      </c>
      <c r="K2491" t="s">
        <v>4135</v>
      </c>
      <c r="L2491" s="1">
        <v>41264</v>
      </c>
      <c r="N2491" t="s">
        <v>36</v>
      </c>
      <c r="O2491" t="s">
        <v>37</v>
      </c>
      <c r="P2491" t="s">
        <v>408</v>
      </c>
      <c r="Q2491" t="s">
        <v>39</v>
      </c>
      <c r="R2491" t="s">
        <v>40</v>
      </c>
      <c r="S2491">
        <v>0</v>
      </c>
      <c r="U2491" t="s">
        <v>41</v>
      </c>
      <c r="V2491" t="s">
        <v>42</v>
      </c>
      <c r="X2491" t="s">
        <v>74</v>
      </c>
      <c r="Y2491" t="b">
        <v>0</v>
      </c>
      <c r="Z2491" t="b">
        <v>0</v>
      </c>
      <c r="AC2491" s="1"/>
      <c r="AF2491">
        <v>0</v>
      </c>
      <c r="AG2491">
        <v>45</v>
      </c>
      <c r="AH2491">
        <v>49</v>
      </c>
      <c r="AI2491" s="2">
        <f>Table__192.168.3.138DYLAgingReport[[#This Row],[NetAmount]]-Table__192.168.3.138DYLAgingReport[[#This Row],[Paid]]</f>
        <v>7192</v>
      </c>
    </row>
    <row r="2492" spans="1:35">
      <c r="A2492" t="s">
        <v>4981</v>
      </c>
      <c r="B2492" s="1">
        <v>41271</v>
      </c>
      <c r="C2492" s="1">
        <v>41316</v>
      </c>
      <c r="D2492" t="s">
        <v>253</v>
      </c>
      <c r="E2492">
        <v>86539</v>
      </c>
      <c r="F2492">
        <v>13846</v>
      </c>
      <c r="G2492">
        <v>0</v>
      </c>
      <c r="H2492">
        <v>0</v>
      </c>
      <c r="I2492">
        <v>-6</v>
      </c>
      <c r="J2492">
        <v>100385</v>
      </c>
      <c r="K2492" t="s">
        <v>3204</v>
      </c>
      <c r="L2492" s="1">
        <v>41274</v>
      </c>
      <c r="N2492" t="s">
        <v>36</v>
      </c>
      <c r="O2492" t="s">
        <v>37</v>
      </c>
      <c r="P2492" t="s">
        <v>390</v>
      </c>
      <c r="Q2492" t="s">
        <v>39</v>
      </c>
      <c r="R2492" t="s">
        <v>40</v>
      </c>
      <c r="S2492">
        <v>0</v>
      </c>
      <c r="U2492" t="s">
        <v>41</v>
      </c>
      <c r="V2492" t="s">
        <v>42</v>
      </c>
      <c r="X2492" t="s">
        <v>74</v>
      </c>
      <c r="Y2492" t="b">
        <v>0</v>
      </c>
      <c r="Z2492" t="b">
        <v>0</v>
      </c>
      <c r="AC2492" s="1"/>
      <c r="AF2492">
        <v>0</v>
      </c>
      <c r="AG2492">
        <v>45</v>
      </c>
      <c r="AH2492">
        <v>39</v>
      </c>
      <c r="AI2492" s="2">
        <f>Table__192.168.3.138DYLAgingReport[[#This Row],[NetAmount]]-Table__192.168.3.138DYLAgingReport[[#This Row],[Paid]]</f>
        <v>100385</v>
      </c>
    </row>
    <row r="2493" spans="1:35">
      <c r="A2493" t="s">
        <v>4982</v>
      </c>
      <c r="B2493" s="1">
        <v>41273</v>
      </c>
      <c r="C2493" s="1">
        <v>41318</v>
      </c>
      <c r="D2493" t="s">
        <v>214</v>
      </c>
      <c r="E2493">
        <v>77000</v>
      </c>
      <c r="F2493">
        <v>0</v>
      </c>
      <c r="G2493">
        <v>0</v>
      </c>
      <c r="H2493">
        <v>0</v>
      </c>
      <c r="I2493">
        <v>-6</v>
      </c>
      <c r="J2493">
        <v>77000</v>
      </c>
      <c r="K2493" t="s">
        <v>95</v>
      </c>
      <c r="L2493" s="1">
        <v>41274</v>
      </c>
      <c r="M2493" t="s">
        <v>4983</v>
      </c>
      <c r="N2493" t="s">
        <v>36</v>
      </c>
      <c r="O2493" t="s">
        <v>37</v>
      </c>
      <c r="P2493" t="s">
        <v>351</v>
      </c>
      <c r="Q2493" t="s">
        <v>39</v>
      </c>
      <c r="R2493" t="s">
        <v>40</v>
      </c>
      <c r="S2493">
        <v>0</v>
      </c>
      <c r="U2493" t="s">
        <v>41</v>
      </c>
      <c r="V2493" t="s">
        <v>42</v>
      </c>
      <c r="W2493" t="s">
        <v>4984</v>
      </c>
      <c r="X2493" t="s">
        <v>74</v>
      </c>
      <c r="Y2493" t="b">
        <v>0</v>
      </c>
      <c r="Z2493" t="b">
        <v>0</v>
      </c>
      <c r="AA2493" t="b">
        <v>0</v>
      </c>
      <c r="AC2493" s="1"/>
      <c r="AF2493">
        <v>0</v>
      </c>
      <c r="AG2493">
        <v>45</v>
      </c>
      <c r="AH2493">
        <v>39</v>
      </c>
      <c r="AI2493" s="2">
        <f>Table__192.168.3.138DYLAgingReport[[#This Row],[NetAmount]]-Table__192.168.3.138DYLAgingReport[[#This Row],[Paid]]</f>
        <v>77000</v>
      </c>
    </row>
    <row r="2494" spans="1:35">
      <c r="A2494" t="s">
        <v>4985</v>
      </c>
      <c r="B2494" s="1">
        <v>41240</v>
      </c>
      <c r="C2494" s="1">
        <v>41285</v>
      </c>
      <c r="D2494" t="s">
        <v>187</v>
      </c>
      <c r="E2494">
        <v>7560</v>
      </c>
      <c r="F2494">
        <v>0</v>
      </c>
      <c r="G2494">
        <v>0</v>
      </c>
      <c r="H2494">
        <v>0</v>
      </c>
      <c r="I2494">
        <v>28</v>
      </c>
      <c r="J2494">
        <v>7560</v>
      </c>
      <c r="K2494" t="s">
        <v>4986</v>
      </c>
      <c r="L2494" s="1">
        <v>41240</v>
      </c>
      <c r="N2494" t="s">
        <v>36</v>
      </c>
      <c r="O2494" t="s">
        <v>37</v>
      </c>
      <c r="P2494" t="s">
        <v>324</v>
      </c>
      <c r="Q2494" t="s">
        <v>39</v>
      </c>
      <c r="R2494" t="s">
        <v>40</v>
      </c>
      <c r="S2494">
        <v>0</v>
      </c>
      <c r="U2494" t="s">
        <v>41</v>
      </c>
      <c r="V2494" t="s">
        <v>42</v>
      </c>
      <c r="X2494" t="s">
        <v>74</v>
      </c>
      <c r="Y2494" t="b">
        <v>0</v>
      </c>
      <c r="Z2494" t="b">
        <v>0</v>
      </c>
      <c r="AC2494" s="1"/>
      <c r="AF2494">
        <v>0</v>
      </c>
      <c r="AG2494">
        <v>45</v>
      </c>
      <c r="AH2494">
        <v>73</v>
      </c>
      <c r="AI2494" s="2">
        <f>Table__192.168.3.138DYLAgingReport[[#This Row],[NetAmount]]-Table__192.168.3.138DYLAgingReport[[#This Row],[Paid]]</f>
        <v>7560</v>
      </c>
    </row>
    <row r="2495" spans="1:35">
      <c r="A2495" t="s">
        <v>4987</v>
      </c>
      <c r="B2495" s="1">
        <v>41220</v>
      </c>
      <c r="C2495" s="1">
        <v>41265</v>
      </c>
      <c r="D2495" t="s">
        <v>249</v>
      </c>
      <c r="E2495">
        <v>4730</v>
      </c>
      <c r="F2495">
        <v>0</v>
      </c>
      <c r="G2495">
        <v>0</v>
      </c>
      <c r="H2495">
        <v>0</v>
      </c>
      <c r="I2495">
        <v>21</v>
      </c>
      <c r="J2495">
        <v>4730</v>
      </c>
      <c r="K2495" t="s">
        <v>4988</v>
      </c>
      <c r="L2495" s="1">
        <v>41247</v>
      </c>
      <c r="N2495" t="s">
        <v>36</v>
      </c>
      <c r="O2495" t="s">
        <v>37</v>
      </c>
      <c r="P2495" t="s">
        <v>386</v>
      </c>
      <c r="Q2495" t="s">
        <v>39</v>
      </c>
      <c r="R2495" t="s">
        <v>40</v>
      </c>
      <c r="S2495">
        <v>0</v>
      </c>
      <c r="U2495" t="s">
        <v>41</v>
      </c>
      <c r="V2495" t="s">
        <v>42</v>
      </c>
      <c r="X2495" t="s">
        <v>74</v>
      </c>
      <c r="Y2495" t="b">
        <v>0</v>
      </c>
      <c r="Z2495" t="b">
        <v>0</v>
      </c>
      <c r="AC2495" s="1"/>
      <c r="AF2495">
        <v>0</v>
      </c>
      <c r="AG2495">
        <v>45</v>
      </c>
      <c r="AH2495">
        <v>66</v>
      </c>
      <c r="AI2495" s="2">
        <f>Table__192.168.3.138DYLAgingReport[[#This Row],[NetAmount]]-Table__192.168.3.138DYLAgingReport[[#This Row],[Paid]]</f>
        <v>4730</v>
      </c>
    </row>
    <row r="2496" spans="1:35">
      <c r="A2496" t="s">
        <v>4989</v>
      </c>
      <c r="B2496" s="1">
        <v>41274</v>
      </c>
      <c r="C2496" s="1">
        <v>41319</v>
      </c>
      <c r="D2496" t="s">
        <v>214</v>
      </c>
      <c r="E2496">
        <v>154500</v>
      </c>
      <c r="F2496">
        <v>0</v>
      </c>
      <c r="G2496">
        <v>0</v>
      </c>
      <c r="H2496">
        <v>0</v>
      </c>
      <c r="I2496">
        <v>-3</v>
      </c>
      <c r="J2496">
        <v>154500</v>
      </c>
      <c r="K2496" t="s">
        <v>4990</v>
      </c>
      <c r="L2496" s="1">
        <v>41271</v>
      </c>
      <c r="M2496" t="s">
        <v>4991</v>
      </c>
      <c r="N2496" t="s">
        <v>36</v>
      </c>
      <c r="O2496" t="s">
        <v>37</v>
      </c>
      <c r="P2496" t="s">
        <v>351</v>
      </c>
      <c r="Q2496" t="s">
        <v>39</v>
      </c>
      <c r="R2496" t="s">
        <v>40</v>
      </c>
      <c r="S2496">
        <v>0</v>
      </c>
      <c r="U2496" t="s">
        <v>41</v>
      </c>
      <c r="V2496" t="s">
        <v>42</v>
      </c>
      <c r="W2496" t="s">
        <v>4992</v>
      </c>
      <c r="X2496" t="s">
        <v>74</v>
      </c>
      <c r="Y2496" t="b">
        <v>0</v>
      </c>
      <c r="Z2496" t="b">
        <v>0</v>
      </c>
      <c r="AA2496" t="b">
        <v>0</v>
      </c>
      <c r="AC2496" s="1"/>
      <c r="AF2496">
        <v>0</v>
      </c>
      <c r="AG2496">
        <v>45</v>
      </c>
      <c r="AH2496">
        <v>42</v>
      </c>
      <c r="AI2496" s="2">
        <f>Table__192.168.3.138DYLAgingReport[[#This Row],[NetAmount]]-Table__192.168.3.138DYLAgingReport[[#This Row],[Paid]]</f>
        <v>154500</v>
      </c>
    </row>
    <row r="2497" spans="1:35">
      <c r="A2497" t="s">
        <v>4993</v>
      </c>
      <c r="B2497" s="1">
        <v>41267</v>
      </c>
      <c r="C2497" s="1">
        <v>41312</v>
      </c>
      <c r="D2497" t="s">
        <v>258</v>
      </c>
      <c r="E2497">
        <v>61823</v>
      </c>
      <c r="F2497">
        <v>9892</v>
      </c>
      <c r="G2497">
        <v>0</v>
      </c>
      <c r="H2497">
        <v>0</v>
      </c>
      <c r="I2497">
        <v>1</v>
      </c>
      <c r="J2497">
        <v>71715</v>
      </c>
      <c r="K2497" t="s">
        <v>4994</v>
      </c>
      <c r="L2497" s="1">
        <v>41267</v>
      </c>
      <c r="N2497" t="s">
        <v>36</v>
      </c>
      <c r="O2497" t="s">
        <v>37</v>
      </c>
      <c r="P2497" t="s">
        <v>395</v>
      </c>
      <c r="Q2497" t="s">
        <v>39</v>
      </c>
      <c r="R2497" t="s">
        <v>40</v>
      </c>
      <c r="S2497">
        <v>0</v>
      </c>
      <c r="U2497" t="s">
        <v>41</v>
      </c>
      <c r="V2497" t="s">
        <v>42</v>
      </c>
      <c r="X2497" t="s">
        <v>74</v>
      </c>
      <c r="Y2497" t="b">
        <v>0</v>
      </c>
      <c r="Z2497" t="b">
        <v>0</v>
      </c>
      <c r="AC2497" s="1"/>
      <c r="AF2497">
        <v>0</v>
      </c>
      <c r="AG2497">
        <v>45</v>
      </c>
      <c r="AH2497">
        <v>46</v>
      </c>
      <c r="AI2497" s="2">
        <f>Table__192.168.3.138DYLAgingReport[[#This Row],[NetAmount]]-Table__192.168.3.138DYLAgingReport[[#This Row],[Paid]]</f>
        <v>71715</v>
      </c>
    </row>
    <row r="2498" spans="1:35">
      <c r="A2498" t="s">
        <v>4995</v>
      </c>
      <c r="B2498" s="1">
        <v>41277</v>
      </c>
      <c r="C2498" s="1">
        <v>41322</v>
      </c>
      <c r="D2498" t="s">
        <v>227</v>
      </c>
      <c r="E2498">
        <v>51000</v>
      </c>
      <c r="F2498">
        <v>8160</v>
      </c>
      <c r="G2498">
        <v>0</v>
      </c>
      <c r="H2498">
        <v>0</v>
      </c>
      <c r="I2498">
        <v>-10</v>
      </c>
      <c r="J2498">
        <v>59160</v>
      </c>
      <c r="K2498" t="s">
        <v>4996</v>
      </c>
      <c r="L2498" s="1">
        <v>41278</v>
      </c>
      <c r="N2498" t="s">
        <v>36</v>
      </c>
      <c r="O2498" t="s">
        <v>37</v>
      </c>
      <c r="P2498" t="s">
        <v>364</v>
      </c>
      <c r="Q2498" t="s">
        <v>39</v>
      </c>
      <c r="R2498" t="s">
        <v>40</v>
      </c>
      <c r="S2498">
        <v>0</v>
      </c>
      <c r="U2498" t="s">
        <v>41</v>
      </c>
      <c r="V2498" t="s">
        <v>42</v>
      </c>
      <c r="X2498" t="s">
        <v>74</v>
      </c>
      <c r="Y2498" t="b">
        <v>0</v>
      </c>
      <c r="Z2498" t="b">
        <v>0</v>
      </c>
      <c r="AC2498" s="1"/>
      <c r="AF2498">
        <v>0</v>
      </c>
      <c r="AG2498">
        <v>45</v>
      </c>
      <c r="AH2498">
        <v>35</v>
      </c>
      <c r="AI2498" s="2">
        <f>Table__192.168.3.138DYLAgingReport[[#This Row],[NetAmount]]-Table__192.168.3.138DYLAgingReport[[#This Row],[Paid]]</f>
        <v>59160</v>
      </c>
    </row>
    <row r="2499" spans="1:35">
      <c r="A2499" t="s">
        <v>4997</v>
      </c>
      <c r="B2499" s="1">
        <v>41279</v>
      </c>
      <c r="C2499" s="1">
        <v>41324</v>
      </c>
      <c r="D2499" t="s">
        <v>231</v>
      </c>
      <c r="E2499">
        <v>327600</v>
      </c>
      <c r="F2499">
        <v>52416</v>
      </c>
      <c r="G2499">
        <v>0</v>
      </c>
      <c r="H2499">
        <v>0</v>
      </c>
      <c r="I2499">
        <v>-11</v>
      </c>
      <c r="J2499">
        <v>380016</v>
      </c>
      <c r="K2499" t="s">
        <v>4998</v>
      </c>
      <c r="L2499" s="1">
        <v>41279</v>
      </c>
      <c r="N2499" t="s">
        <v>36</v>
      </c>
      <c r="O2499" t="s">
        <v>37</v>
      </c>
      <c r="P2499" t="s">
        <v>368</v>
      </c>
      <c r="Q2499" t="s">
        <v>39</v>
      </c>
      <c r="R2499" t="s">
        <v>40</v>
      </c>
      <c r="S2499">
        <v>0</v>
      </c>
      <c r="U2499" t="s">
        <v>41</v>
      </c>
      <c r="V2499" t="s">
        <v>42</v>
      </c>
      <c r="X2499" t="s">
        <v>74</v>
      </c>
      <c r="Y2499" t="b">
        <v>0</v>
      </c>
      <c r="Z2499" t="b">
        <v>0</v>
      </c>
      <c r="AC2499" s="1"/>
      <c r="AF2499">
        <v>0</v>
      </c>
      <c r="AG2499">
        <v>45</v>
      </c>
      <c r="AH2499">
        <v>34</v>
      </c>
      <c r="AI2499" s="2">
        <f>Table__192.168.3.138DYLAgingReport[[#This Row],[NetAmount]]-Table__192.168.3.138DYLAgingReport[[#This Row],[Paid]]</f>
        <v>380016</v>
      </c>
    </row>
    <row r="2500" spans="1:35">
      <c r="A2500" t="s">
        <v>4999</v>
      </c>
      <c r="B2500" s="1">
        <v>41283</v>
      </c>
      <c r="C2500" s="1">
        <v>41328</v>
      </c>
      <c r="D2500" t="s">
        <v>227</v>
      </c>
      <c r="E2500">
        <v>99000</v>
      </c>
      <c r="F2500">
        <v>15840</v>
      </c>
      <c r="G2500">
        <v>0</v>
      </c>
      <c r="H2500">
        <v>0</v>
      </c>
      <c r="I2500">
        <v>-14</v>
      </c>
      <c r="J2500">
        <v>114840</v>
      </c>
      <c r="K2500" t="s">
        <v>5000</v>
      </c>
      <c r="L2500" s="1">
        <v>41282</v>
      </c>
      <c r="N2500" t="s">
        <v>36</v>
      </c>
      <c r="O2500" t="s">
        <v>37</v>
      </c>
      <c r="P2500" t="s">
        <v>364</v>
      </c>
      <c r="Q2500" t="s">
        <v>39</v>
      </c>
      <c r="R2500" t="s">
        <v>40</v>
      </c>
      <c r="S2500">
        <v>0</v>
      </c>
      <c r="U2500" t="s">
        <v>41</v>
      </c>
      <c r="V2500" t="s">
        <v>42</v>
      </c>
      <c r="X2500" t="s">
        <v>74</v>
      </c>
      <c r="Y2500" t="b">
        <v>0</v>
      </c>
      <c r="Z2500" t="b">
        <v>0</v>
      </c>
      <c r="AC2500" s="1"/>
      <c r="AF2500">
        <v>0</v>
      </c>
      <c r="AG2500">
        <v>45</v>
      </c>
      <c r="AH2500">
        <v>31</v>
      </c>
      <c r="AI2500" s="2">
        <f>Table__192.168.3.138DYLAgingReport[[#This Row],[NetAmount]]-Table__192.168.3.138DYLAgingReport[[#This Row],[Paid]]</f>
        <v>114840</v>
      </c>
    </row>
    <row r="2501" spans="1:35">
      <c r="A2501" t="s">
        <v>5001</v>
      </c>
      <c r="B2501" s="1">
        <v>41285</v>
      </c>
      <c r="C2501" s="1">
        <v>41330</v>
      </c>
      <c r="D2501" t="s">
        <v>227</v>
      </c>
      <c r="E2501">
        <v>42750</v>
      </c>
      <c r="F2501">
        <v>6840</v>
      </c>
      <c r="G2501">
        <v>0</v>
      </c>
      <c r="H2501">
        <v>0</v>
      </c>
      <c r="I2501">
        <v>-17</v>
      </c>
      <c r="J2501">
        <v>49590</v>
      </c>
      <c r="K2501" t="s">
        <v>5002</v>
      </c>
      <c r="L2501" s="1">
        <v>41285</v>
      </c>
      <c r="N2501" t="s">
        <v>36</v>
      </c>
      <c r="O2501" t="s">
        <v>37</v>
      </c>
      <c r="P2501" t="s">
        <v>364</v>
      </c>
      <c r="Q2501" t="s">
        <v>39</v>
      </c>
      <c r="R2501" t="s">
        <v>40</v>
      </c>
      <c r="S2501">
        <v>0</v>
      </c>
      <c r="U2501" t="s">
        <v>41</v>
      </c>
      <c r="V2501" t="s">
        <v>42</v>
      </c>
      <c r="X2501" t="s">
        <v>74</v>
      </c>
      <c r="Y2501" t="b">
        <v>0</v>
      </c>
      <c r="Z2501" t="b">
        <v>0</v>
      </c>
      <c r="AC2501" s="1"/>
      <c r="AF2501">
        <v>0</v>
      </c>
      <c r="AG2501">
        <v>45</v>
      </c>
      <c r="AH2501">
        <v>28</v>
      </c>
      <c r="AI2501" s="2">
        <f>Table__192.168.3.138DYLAgingReport[[#This Row],[NetAmount]]-Table__192.168.3.138DYLAgingReport[[#This Row],[Paid]]</f>
        <v>49590</v>
      </c>
    </row>
    <row r="2502" spans="1:35">
      <c r="A2502" t="s">
        <v>5003</v>
      </c>
      <c r="B2502" s="1">
        <v>41276</v>
      </c>
      <c r="C2502" s="1">
        <v>41321</v>
      </c>
      <c r="D2502" t="s">
        <v>173</v>
      </c>
      <c r="E2502">
        <v>5394</v>
      </c>
      <c r="F2502">
        <v>863</v>
      </c>
      <c r="G2502">
        <v>0</v>
      </c>
      <c r="H2502">
        <v>0</v>
      </c>
      <c r="I2502">
        <v>-8</v>
      </c>
      <c r="J2502">
        <v>6257</v>
      </c>
      <c r="K2502" t="s">
        <v>5004</v>
      </c>
      <c r="L2502" s="1">
        <v>41276</v>
      </c>
      <c r="N2502" t="s">
        <v>36</v>
      </c>
      <c r="O2502" t="s">
        <v>37</v>
      </c>
      <c r="P2502" t="s">
        <v>310</v>
      </c>
      <c r="Q2502" t="s">
        <v>39</v>
      </c>
      <c r="R2502" t="s">
        <v>40</v>
      </c>
      <c r="S2502">
        <v>0</v>
      </c>
      <c r="U2502" t="s">
        <v>41</v>
      </c>
      <c r="V2502" t="s">
        <v>42</v>
      </c>
      <c r="X2502" t="s">
        <v>74</v>
      </c>
      <c r="Y2502" t="b">
        <v>0</v>
      </c>
      <c r="Z2502" t="b">
        <v>0</v>
      </c>
      <c r="AC2502" s="1"/>
      <c r="AF2502">
        <v>0</v>
      </c>
      <c r="AG2502">
        <v>45</v>
      </c>
      <c r="AH2502">
        <v>37</v>
      </c>
      <c r="AI2502" s="2">
        <f>Table__192.168.3.138DYLAgingReport[[#This Row],[NetAmount]]-Table__192.168.3.138DYLAgingReport[[#This Row],[Paid]]</f>
        <v>6257</v>
      </c>
    </row>
    <row r="2503" spans="1:35">
      <c r="A2503" t="s">
        <v>5005</v>
      </c>
      <c r="B2503" s="1">
        <v>41276</v>
      </c>
      <c r="C2503" s="1">
        <v>41321</v>
      </c>
      <c r="D2503" t="s">
        <v>292</v>
      </c>
      <c r="E2503">
        <v>64800</v>
      </c>
      <c r="F2503">
        <v>10368</v>
      </c>
      <c r="G2503">
        <v>0</v>
      </c>
      <c r="H2503">
        <v>0</v>
      </c>
      <c r="I2503">
        <v>-8</v>
      </c>
      <c r="J2503">
        <v>75168</v>
      </c>
      <c r="K2503" t="s">
        <v>3184</v>
      </c>
      <c r="L2503" s="1">
        <v>41276</v>
      </c>
      <c r="N2503" t="s">
        <v>36</v>
      </c>
      <c r="O2503" t="s">
        <v>37</v>
      </c>
      <c r="P2503" t="s">
        <v>429</v>
      </c>
      <c r="Q2503" t="s">
        <v>39</v>
      </c>
      <c r="R2503" t="s">
        <v>40</v>
      </c>
      <c r="S2503">
        <v>0</v>
      </c>
      <c r="U2503" t="s">
        <v>41</v>
      </c>
      <c r="V2503" t="s">
        <v>42</v>
      </c>
      <c r="X2503" t="s">
        <v>74</v>
      </c>
      <c r="Y2503" t="b">
        <v>0</v>
      </c>
      <c r="Z2503" t="b">
        <v>0</v>
      </c>
      <c r="AC2503" s="1"/>
      <c r="AF2503">
        <v>0</v>
      </c>
      <c r="AG2503">
        <v>45</v>
      </c>
      <c r="AH2503">
        <v>37</v>
      </c>
      <c r="AI2503" s="2">
        <f>Table__192.168.3.138DYLAgingReport[[#This Row],[NetAmount]]-Table__192.168.3.138DYLAgingReport[[#This Row],[Paid]]</f>
        <v>75168</v>
      </c>
    </row>
    <row r="2504" spans="1:35">
      <c r="A2504" t="s">
        <v>5006</v>
      </c>
      <c r="B2504" s="1">
        <v>41282</v>
      </c>
      <c r="C2504" s="1">
        <v>41327</v>
      </c>
      <c r="D2504" t="s">
        <v>292</v>
      </c>
      <c r="E2504">
        <v>129600</v>
      </c>
      <c r="F2504">
        <v>20736</v>
      </c>
      <c r="G2504">
        <v>0</v>
      </c>
      <c r="H2504">
        <v>0</v>
      </c>
      <c r="I2504">
        <v>-14</v>
      </c>
      <c r="J2504">
        <v>150336</v>
      </c>
      <c r="K2504" t="s">
        <v>4872</v>
      </c>
      <c r="L2504" s="1">
        <v>41282</v>
      </c>
      <c r="N2504" t="s">
        <v>36</v>
      </c>
      <c r="O2504" t="s">
        <v>37</v>
      </c>
      <c r="P2504" t="s">
        <v>429</v>
      </c>
      <c r="Q2504" t="s">
        <v>39</v>
      </c>
      <c r="R2504" t="s">
        <v>40</v>
      </c>
      <c r="S2504">
        <v>0</v>
      </c>
      <c r="U2504" t="s">
        <v>41</v>
      </c>
      <c r="V2504" t="s">
        <v>42</v>
      </c>
      <c r="X2504" t="s">
        <v>74</v>
      </c>
      <c r="Y2504" t="b">
        <v>0</v>
      </c>
      <c r="Z2504" t="b">
        <v>0</v>
      </c>
      <c r="AC2504" s="1"/>
      <c r="AF2504">
        <v>0</v>
      </c>
      <c r="AG2504">
        <v>45</v>
      </c>
      <c r="AH2504">
        <v>31</v>
      </c>
      <c r="AI2504" s="2">
        <f>Table__192.168.3.138DYLAgingReport[[#This Row],[NetAmount]]-Table__192.168.3.138DYLAgingReport[[#This Row],[Paid]]</f>
        <v>150336</v>
      </c>
    </row>
    <row r="2505" spans="1:35">
      <c r="A2505" t="s">
        <v>5007</v>
      </c>
      <c r="B2505" s="1">
        <v>41283</v>
      </c>
      <c r="C2505" s="1">
        <v>41313</v>
      </c>
      <c r="D2505" t="s">
        <v>181</v>
      </c>
      <c r="E2505">
        <v>114840</v>
      </c>
      <c r="F2505">
        <v>18374</v>
      </c>
      <c r="G2505">
        <v>0</v>
      </c>
      <c r="H2505">
        <v>0</v>
      </c>
      <c r="I2505">
        <v>10</v>
      </c>
      <c r="J2505">
        <v>133214</v>
      </c>
      <c r="K2505" t="s">
        <v>5008</v>
      </c>
      <c r="L2505" s="1">
        <v>41273</v>
      </c>
      <c r="N2505" t="s">
        <v>36</v>
      </c>
      <c r="O2505" t="s">
        <v>37</v>
      </c>
      <c r="P2505" t="s">
        <v>318</v>
      </c>
      <c r="Q2505" t="s">
        <v>39</v>
      </c>
      <c r="R2505" t="s">
        <v>40</v>
      </c>
      <c r="S2505">
        <v>0</v>
      </c>
      <c r="U2505" t="s">
        <v>41</v>
      </c>
      <c r="V2505" t="s">
        <v>42</v>
      </c>
      <c r="X2505" t="s">
        <v>74</v>
      </c>
      <c r="Y2505" t="b">
        <v>0</v>
      </c>
      <c r="Z2505" t="b">
        <v>0</v>
      </c>
      <c r="AC2505" s="1"/>
      <c r="AF2505">
        <v>0</v>
      </c>
      <c r="AG2505">
        <v>30</v>
      </c>
      <c r="AH2505">
        <v>40</v>
      </c>
      <c r="AI2505" s="2">
        <f>Table__192.168.3.138DYLAgingReport[[#This Row],[NetAmount]]-Table__192.168.3.138DYLAgingReport[[#This Row],[Paid]]</f>
        <v>133214</v>
      </c>
    </row>
    <row r="2506" spans="1:35">
      <c r="A2506" t="s">
        <v>5009</v>
      </c>
      <c r="B2506" s="1">
        <v>41276</v>
      </c>
      <c r="C2506" s="1">
        <v>41321</v>
      </c>
      <c r="D2506" t="s">
        <v>180</v>
      </c>
      <c r="E2506">
        <v>205176</v>
      </c>
      <c r="F2506">
        <v>32828</v>
      </c>
      <c r="G2506">
        <v>0</v>
      </c>
      <c r="H2506">
        <v>0</v>
      </c>
      <c r="I2506">
        <v>-342</v>
      </c>
      <c r="J2506">
        <v>238004</v>
      </c>
      <c r="K2506" t="s">
        <v>5010</v>
      </c>
      <c r="L2506" s="1">
        <v>41610</v>
      </c>
      <c r="N2506" t="s">
        <v>36</v>
      </c>
      <c r="O2506" t="s">
        <v>37</v>
      </c>
      <c r="P2506" t="s">
        <v>317</v>
      </c>
      <c r="Q2506" t="s">
        <v>39</v>
      </c>
      <c r="R2506" t="s">
        <v>40</v>
      </c>
      <c r="S2506">
        <v>0</v>
      </c>
      <c r="U2506" t="s">
        <v>41</v>
      </c>
      <c r="V2506" t="s">
        <v>42</v>
      </c>
      <c r="X2506" t="s">
        <v>74</v>
      </c>
      <c r="Y2506" t="b">
        <v>0</v>
      </c>
      <c r="Z2506" t="b">
        <v>0</v>
      </c>
      <c r="AC2506" s="1"/>
      <c r="AF2506">
        <v>0</v>
      </c>
      <c r="AG2506">
        <v>45</v>
      </c>
      <c r="AH2506">
        <v>-297</v>
      </c>
      <c r="AI2506" s="2">
        <f>Table__192.168.3.138DYLAgingReport[[#This Row],[NetAmount]]-Table__192.168.3.138DYLAgingReport[[#This Row],[Paid]]</f>
        <v>238004</v>
      </c>
    </row>
    <row r="2507" spans="1:35">
      <c r="A2507" t="s">
        <v>5011</v>
      </c>
      <c r="B2507" s="1">
        <v>41279</v>
      </c>
      <c r="C2507" s="1">
        <v>41324</v>
      </c>
      <c r="D2507" t="s">
        <v>180</v>
      </c>
      <c r="E2507">
        <v>155374</v>
      </c>
      <c r="F2507">
        <v>24860</v>
      </c>
      <c r="G2507">
        <v>0</v>
      </c>
      <c r="H2507">
        <v>0</v>
      </c>
      <c r="I2507">
        <v>-11</v>
      </c>
      <c r="J2507">
        <v>180234</v>
      </c>
      <c r="K2507" t="s">
        <v>5012</v>
      </c>
      <c r="L2507" s="1">
        <v>41279</v>
      </c>
      <c r="N2507" t="s">
        <v>36</v>
      </c>
      <c r="O2507" t="s">
        <v>37</v>
      </c>
      <c r="P2507" t="s">
        <v>317</v>
      </c>
      <c r="Q2507" t="s">
        <v>39</v>
      </c>
      <c r="R2507" t="s">
        <v>40</v>
      </c>
      <c r="S2507">
        <v>0</v>
      </c>
      <c r="U2507" t="s">
        <v>41</v>
      </c>
      <c r="V2507" t="s">
        <v>42</v>
      </c>
      <c r="X2507" t="s">
        <v>74</v>
      </c>
      <c r="Y2507" t="b">
        <v>0</v>
      </c>
      <c r="Z2507" t="b">
        <v>0</v>
      </c>
      <c r="AC2507" s="1"/>
      <c r="AF2507">
        <v>0</v>
      </c>
      <c r="AG2507">
        <v>45</v>
      </c>
      <c r="AH2507">
        <v>34</v>
      </c>
      <c r="AI2507" s="2">
        <f>Table__192.168.3.138DYLAgingReport[[#This Row],[NetAmount]]-Table__192.168.3.138DYLAgingReport[[#This Row],[Paid]]</f>
        <v>180234</v>
      </c>
    </row>
    <row r="2508" spans="1:35">
      <c r="A2508" t="s">
        <v>5013</v>
      </c>
      <c r="B2508" s="1">
        <v>41285</v>
      </c>
      <c r="C2508" s="1">
        <v>41330</v>
      </c>
      <c r="D2508" t="s">
        <v>180</v>
      </c>
      <c r="E2508">
        <v>164663</v>
      </c>
      <c r="F2508">
        <v>26346</v>
      </c>
      <c r="G2508">
        <v>0</v>
      </c>
      <c r="H2508">
        <v>0</v>
      </c>
      <c r="I2508">
        <v>-17</v>
      </c>
      <c r="J2508">
        <v>191009</v>
      </c>
      <c r="K2508" t="s">
        <v>5014</v>
      </c>
      <c r="L2508" s="1">
        <v>41285</v>
      </c>
      <c r="N2508" t="s">
        <v>36</v>
      </c>
      <c r="O2508" t="s">
        <v>37</v>
      </c>
      <c r="P2508" t="s">
        <v>317</v>
      </c>
      <c r="Q2508" t="s">
        <v>39</v>
      </c>
      <c r="R2508" t="s">
        <v>40</v>
      </c>
      <c r="S2508">
        <v>0</v>
      </c>
      <c r="U2508" t="s">
        <v>41</v>
      </c>
      <c r="V2508" t="s">
        <v>42</v>
      </c>
      <c r="X2508" t="s">
        <v>74</v>
      </c>
      <c r="Y2508" t="b">
        <v>0</v>
      </c>
      <c r="Z2508" t="b">
        <v>0</v>
      </c>
      <c r="AC2508" s="1"/>
      <c r="AF2508">
        <v>0</v>
      </c>
      <c r="AG2508">
        <v>45</v>
      </c>
      <c r="AH2508">
        <v>28</v>
      </c>
      <c r="AI2508" s="2">
        <f>Table__192.168.3.138DYLAgingReport[[#This Row],[NetAmount]]-Table__192.168.3.138DYLAgingReport[[#This Row],[Paid]]</f>
        <v>191009</v>
      </c>
    </row>
    <row r="2509" spans="1:35">
      <c r="A2509" t="s">
        <v>5015</v>
      </c>
      <c r="B2509" s="1">
        <v>41281</v>
      </c>
      <c r="C2509" s="1">
        <v>41326</v>
      </c>
      <c r="D2509" t="s">
        <v>180</v>
      </c>
      <c r="E2509">
        <v>2082</v>
      </c>
      <c r="F2509">
        <v>333</v>
      </c>
      <c r="G2509">
        <v>0</v>
      </c>
      <c r="H2509">
        <v>0</v>
      </c>
      <c r="I2509">
        <v>-13</v>
      </c>
      <c r="J2509">
        <v>2415</v>
      </c>
      <c r="K2509" t="s">
        <v>5016</v>
      </c>
      <c r="L2509" s="1">
        <v>41281</v>
      </c>
      <c r="N2509" t="s">
        <v>36</v>
      </c>
      <c r="O2509" t="s">
        <v>37</v>
      </c>
      <c r="P2509" t="s">
        <v>317</v>
      </c>
      <c r="Q2509" t="s">
        <v>39</v>
      </c>
      <c r="R2509" t="s">
        <v>40</v>
      </c>
      <c r="S2509">
        <v>0</v>
      </c>
      <c r="U2509" t="s">
        <v>41</v>
      </c>
      <c r="V2509" t="s">
        <v>42</v>
      </c>
      <c r="X2509" t="s">
        <v>74</v>
      </c>
      <c r="Y2509" t="b">
        <v>0</v>
      </c>
      <c r="Z2509" t="b">
        <v>0</v>
      </c>
      <c r="AC2509" s="1"/>
      <c r="AF2509">
        <v>0</v>
      </c>
      <c r="AG2509">
        <v>45</v>
      </c>
      <c r="AH2509">
        <v>32</v>
      </c>
      <c r="AI2509" s="2">
        <f>Table__192.168.3.138DYLAgingReport[[#This Row],[NetAmount]]-Table__192.168.3.138DYLAgingReport[[#This Row],[Paid]]</f>
        <v>2415</v>
      </c>
    </row>
    <row r="2510" spans="1:35">
      <c r="A2510" t="s">
        <v>5017</v>
      </c>
      <c r="B2510" s="1">
        <v>41282</v>
      </c>
      <c r="C2510" s="1">
        <v>41327</v>
      </c>
      <c r="D2510" t="s">
        <v>180</v>
      </c>
      <c r="E2510">
        <v>186939</v>
      </c>
      <c r="F2510">
        <v>29910</v>
      </c>
      <c r="G2510">
        <v>0</v>
      </c>
      <c r="H2510">
        <v>0</v>
      </c>
      <c r="I2510">
        <v>-14</v>
      </c>
      <c r="J2510">
        <v>216849</v>
      </c>
      <c r="K2510" t="s">
        <v>5018</v>
      </c>
      <c r="L2510" s="1">
        <v>41282</v>
      </c>
      <c r="N2510" t="s">
        <v>36</v>
      </c>
      <c r="O2510" t="s">
        <v>37</v>
      </c>
      <c r="P2510" t="s">
        <v>317</v>
      </c>
      <c r="Q2510" t="s">
        <v>39</v>
      </c>
      <c r="R2510" t="s">
        <v>40</v>
      </c>
      <c r="S2510">
        <v>0</v>
      </c>
      <c r="U2510" t="s">
        <v>41</v>
      </c>
      <c r="V2510" t="s">
        <v>42</v>
      </c>
      <c r="X2510" t="s">
        <v>74</v>
      </c>
      <c r="Y2510" t="b">
        <v>0</v>
      </c>
      <c r="Z2510" t="b">
        <v>0</v>
      </c>
      <c r="AC2510" s="1"/>
      <c r="AF2510">
        <v>0</v>
      </c>
      <c r="AG2510">
        <v>45</v>
      </c>
      <c r="AH2510">
        <v>31</v>
      </c>
      <c r="AI2510" s="2">
        <f>Table__192.168.3.138DYLAgingReport[[#This Row],[NetAmount]]-Table__192.168.3.138DYLAgingReport[[#This Row],[Paid]]</f>
        <v>216849</v>
      </c>
    </row>
    <row r="2511" spans="1:35">
      <c r="A2511" t="s">
        <v>5019</v>
      </c>
      <c r="B2511" s="1">
        <v>41283</v>
      </c>
      <c r="C2511" s="1">
        <v>41328</v>
      </c>
      <c r="D2511" t="s">
        <v>239</v>
      </c>
      <c r="E2511">
        <v>322500</v>
      </c>
      <c r="F2511">
        <v>51600</v>
      </c>
      <c r="G2511">
        <v>0</v>
      </c>
      <c r="H2511">
        <v>0</v>
      </c>
      <c r="I2511">
        <v>-15</v>
      </c>
      <c r="J2511">
        <v>374100</v>
      </c>
      <c r="K2511" t="s">
        <v>5020</v>
      </c>
      <c r="L2511" s="1">
        <v>41283</v>
      </c>
      <c r="N2511" t="s">
        <v>36</v>
      </c>
      <c r="O2511" t="s">
        <v>37</v>
      </c>
      <c r="P2511" t="s">
        <v>376</v>
      </c>
      <c r="Q2511" t="s">
        <v>39</v>
      </c>
      <c r="R2511" t="s">
        <v>40</v>
      </c>
      <c r="S2511">
        <v>0</v>
      </c>
      <c r="U2511" t="s">
        <v>41</v>
      </c>
      <c r="V2511" t="s">
        <v>42</v>
      </c>
      <c r="X2511" t="s">
        <v>74</v>
      </c>
      <c r="Y2511" t="b">
        <v>0</v>
      </c>
      <c r="Z2511" t="b">
        <v>0</v>
      </c>
      <c r="AC2511" s="1"/>
      <c r="AF2511">
        <v>0</v>
      </c>
      <c r="AG2511">
        <v>45</v>
      </c>
      <c r="AH2511">
        <v>30</v>
      </c>
      <c r="AI2511" s="2">
        <f>Table__192.168.3.138DYLAgingReport[[#This Row],[NetAmount]]-Table__192.168.3.138DYLAgingReport[[#This Row],[Paid]]</f>
        <v>374100</v>
      </c>
    </row>
    <row r="2512" spans="1:35">
      <c r="A2512" t="s">
        <v>5021</v>
      </c>
      <c r="B2512" s="1">
        <v>41284</v>
      </c>
      <c r="C2512" s="1">
        <v>41329</v>
      </c>
      <c r="D2512" t="s">
        <v>239</v>
      </c>
      <c r="E2512">
        <v>340630</v>
      </c>
      <c r="F2512">
        <v>54501</v>
      </c>
      <c r="G2512">
        <v>0</v>
      </c>
      <c r="H2512">
        <v>0</v>
      </c>
      <c r="I2512">
        <v>-15</v>
      </c>
      <c r="J2512">
        <v>395131</v>
      </c>
      <c r="K2512" t="s">
        <v>5022</v>
      </c>
      <c r="L2512" s="1">
        <v>41283</v>
      </c>
      <c r="N2512" t="s">
        <v>36</v>
      </c>
      <c r="O2512" t="s">
        <v>37</v>
      </c>
      <c r="P2512" t="s">
        <v>376</v>
      </c>
      <c r="Q2512" t="s">
        <v>39</v>
      </c>
      <c r="R2512" t="s">
        <v>40</v>
      </c>
      <c r="S2512">
        <v>0</v>
      </c>
      <c r="U2512" t="s">
        <v>41</v>
      </c>
      <c r="V2512" t="s">
        <v>42</v>
      </c>
      <c r="X2512" t="s">
        <v>74</v>
      </c>
      <c r="Y2512" t="b">
        <v>0</v>
      </c>
      <c r="Z2512" t="b">
        <v>0</v>
      </c>
      <c r="AC2512" s="1"/>
      <c r="AF2512">
        <v>0</v>
      </c>
      <c r="AG2512">
        <v>45</v>
      </c>
      <c r="AH2512">
        <v>30</v>
      </c>
      <c r="AI2512" s="2">
        <f>Table__192.168.3.138DYLAgingReport[[#This Row],[NetAmount]]-Table__192.168.3.138DYLAgingReport[[#This Row],[Paid]]</f>
        <v>395131</v>
      </c>
    </row>
    <row r="2513" spans="1:35">
      <c r="A2513" t="s">
        <v>5023</v>
      </c>
      <c r="B2513" s="1">
        <v>41284</v>
      </c>
      <c r="C2513" s="1">
        <v>41329</v>
      </c>
      <c r="D2513" t="s">
        <v>239</v>
      </c>
      <c r="E2513">
        <v>340630</v>
      </c>
      <c r="F2513">
        <v>54501</v>
      </c>
      <c r="G2513">
        <v>0</v>
      </c>
      <c r="H2513">
        <v>0</v>
      </c>
      <c r="I2513">
        <v>-16</v>
      </c>
      <c r="J2513">
        <v>395131</v>
      </c>
      <c r="K2513" t="s">
        <v>5024</v>
      </c>
      <c r="L2513" s="1">
        <v>41284</v>
      </c>
      <c r="N2513" t="s">
        <v>36</v>
      </c>
      <c r="O2513" t="s">
        <v>37</v>
      </c>
      <c r="P2513" t="s">
        <v>376</v>
      </c>
      <c r="Q2513" t="s">
        <v>39</v>
      </c>
      <c r="R2513" t="s">
        <v>40</v>
      </c>
      <c r="S2513">
        <v>0</v>
      </c>
      <c r="U2513" t="s">
        <v>41</v>
      </c>
      <c r="V2513" t="s">
        <v>42</v>
      </c>
      <c r="X2513" t="s">
        <v>74</v>
      </c>
      <c r="Y2513" t="b">
        <v>0</v>
      </c>
      <c r="Z2513" t="b">
        <v>0</v>
      </c>
      <c r="AC2513" s="1"/>
      <c r="AF2513">
        <v>0</v>
      </c>
      <c r="AG2513">
        <v>45</v>
      </c>
      <c r="AH2513">
        <v>29</v>
      </c>
      <c r="AI2513" s="2">
        <f>Table__192.168.3.138DYLAgingReport[[#This Row],[NetAmount]]-Table__192.168.3.138DYLAgingReport[[#This Row],[Paid]]</f>
        <v>395131</v>
      </c>
    </row>
    <row r="2514" spans="1:35">
      <c r="A2514" t="s">
        <v>5025</v>
      </c>
      <c r="B2514" s="1">
        <v>41278</v>
      </c>
      <c r="C2514" s="1">
        <v>41323</v>
      </c>
      <c r="D2514" t="s">
        <v>301</v>
      </c>
      <c r="E2514">
        <v>154800</v>
      </c>
      <c r="F2514">
        <v>24768</v>
      </c>
      <c r="G2514">
        <v>0</v>
      </c>
      <c r="H2514">
        <v>0</v>
      </c>
      <c r="I2514">
        <v>-10</v>
      </c>
      <c r="J2514">
        <v>179568</v>
      </c>
      <c r="K2514" t="s">
        <v>5026</v>
      </c>
      <c r="L2514" s="1">
        <v>41278</v>
      </c>
      <c r="N2514" t="s">
        <v>36</v>
      </c>
      <c r="O2514" t="s">
        <v>37</v>
      </c>
      <c r="P2514" t="s">
        <v>438</v>
      </c>
      <c r="Q2514" t="s">
        <v>39</v>
      </c>
      <c r="R2514" t="s">
        <v>40</v>
      </c>
      <c r="S2514">
        <v>0</v>
      </c>
      <c r="U2514" t="s">
        <v>41</v>
      </c>
      <c r="V2514" t="s">
        <v>42</v>
      </c>
      <c r="X2514" t="s">
        <v>74</v>
      </c>
      <c r="Y2514" t="b">
        <v>0</v>
      </c>
      <c r="Z2514" t="b">
        <v>0</v>
      </c>
      <c r="AB2514" t="s">
        <v>5027</v>
      </c>
      <c r="AC2514" s="1">
        <v>41307</v>
      </c>
      <c r="AF2514">
        <v>0</v>
      </c>
      <c r="AG2514">
        <v>45</v>
      </c>
      <c r="AH2514">
        <v>35</v>
      </c>
      <c r="AI2514" s="2">
        <f>Table__192.168.3.138DYLAgingReport[[#This Row],[NetAmount]]-Table__192.168.3.138DYLAgingReport[[#This Row],[Paid]]</f>
        <v>179568</v>
      </c>
    </row>
    <row r="2515" spans="1:35">
      <c r="A2515" t="s">
        <v>5028</v>
      </c>
      <c r="B2515" s="1">
        <v>41285</v>
      </c>
      <c r="C2515" s="1">
        <v>41330</v>
      </c>
      <c r="D2515" t="s">
        <v>179</v>
      </c>
      <c r="E2515">
        <v>62400</v>
      </c>
      <c r="F2515">
        <v>9984</v>
      </c>
      <c r="G2515">
        <v>0</v>
      </c>
      <c r="H2515">
        <v>0</v>
      </c>
      <c r="I2515">
        <v>-13</v>
      </c>
      <c r="J2515">
        <v>72384</v>
      </c>
      <c r="K2515" t="s">
        <v>5029</v>
      </c>
      <c r="L2515" s="1">
        <v>41281</v>
      </c>
      <c r="N2515" t="s">
        <v>36</v>
      </c>
      <c r="O2515" t="s">
        <v>37</v>
      </c>
      <c r="P2515" t="s">
        <v>316</v>
      </c>
      <c r="Q2515" t="s">
        <v>39</v>
      </c>
      <c r="R2515" t="s">
        <v>40</v>
      </c>
      <c r="S2515">
        <v>0</v>
      </c>
      <c r="U2515" t="s">
        <v>41</v>
      </c>
      <c r="V2515" t="s">
        <v>42</v>
      </c>
      <c r="X2515" t="s">
        <v>74</v>
      </c>
      <c r="Y2515" t="b">
        <v>0</v>
      </c>
      <c r="Z2515" t="b">
        <v>0</v>
      </c>
      <c r="AC2515" s="1"/>
      <c r="AF2515">
        <v>0</v>
      </c>
      <c r="AG2515">
        <v>45</v>
      </c>
      <c r="AH2515">
        <v>32</v>
      </c>
      <c r="AI2515" s="2">
        <f>Table__192.168.3.138DYLAgingReport[[#This Row],[NetAmount]]-Table__192.168.3.138DYLAgingReport[[#This Row],[Paid]]</f>
        <v>72384</v>
      </c>
    </row>
    <row r="2516" spans="1:35">
      <c r="A2516" t="s">
        <v>5030</v>
      </c>
      <c r="B2516" s="1">
        <v>41287</v>
      </c>
      <c r="C2516" s="1">
        <v>41332</v>
      </c>
      <c r="D2516" t="s">
        <v>179</v>
      </c>
      <c r="E2516">
        <v>62400</v>
      </c>
      <c r="F2516">
        <v>9984</v>
      </c>
      <c r="G2516">
        <v>0</v>
      </c>
      <c r="H2516">
        <v>0</v>
      </c>
      <c r="I2516">
        <v>-15</v>
      </c>
      <c r="J2516">
        <v>72384</v>
      </c>
      <c r="K2516" t="s">
        <v>1893</v>
      </c>
      <c r="L2516" s="1">
        <v>41283</v>
      </c>
      <c r="N2516" t="s">
        <v>36</v>
      </c>
      <c r="O2516" t="s">
        <v>37</v>
      </c>
      <c r="P2516" t="s">
        <v>316</v>
      </c>
      <c r="Q2516" t="s">
        <v>39</v>
      </c>
      <c r="R2516" t="s">
        <v>40</v>
      </c>
      <c r="S2516">
        <v>0</v>
      </c>
      <c r="U2516" t="s">
        <v>41</v>
      </c>
      <c r="V2516" t="s">
        <v>42</v>
      </c>
      <c r="X2516" t="s">
        <v>74</v>
      </c>
      <c r="Y2516" t="b">
        <v>0</v>
      </c>
      <c r="Z2516" t="b">
        <v>0</v>
      </c>
      <c r="AC2516" s="1"/>
      <c r="AF2516">
        <v>0</v>
      </c>
      <c r="AG2516">
        <v>45</v>
      </c>
      <c r="AH2516">
        <v>30</v>
      </c>
      <c r="AI2516" s="2">
        <f>Table__192.168.3.138DYLAgingReport[[#This Row],[NetAmount]]-Table__192.168.3.138DYLAgingReport[[#This Row],[Paid]]</f>
        <v>72384</v>
      </c>
    </row>
    <row r="2517" spans="1:35">
      <c r="A2517" t="s">
        <v>5031</v>
      </c>
      <c r="B2517" s="1">
        <v>41278</v>
      </c>
      <c r="C2517" s="1">
        <v>41323</v>
      </c>
      <c r="D2517" t="s">
        <v>300</v>
      </c>
      <c r="E2517">
        <v>177387</v>
      </c>
      <c r="F2517">
        <v>28382</v>
      </c>
      <c r="G2517">
        <v>0</v>
      </c>
      <c r="H2517">
        <v>0</v>
      </c>
      <c r="I2517">
        <v>-7</v>
      </c>
      <c r="J2517">
        <v>205769</v>
      </c>
      <c r="K2517" t="s">
        <v>36</v>
      </c>
      <c r="L2517" s="1">
        <v>41275</v>
      </c>
      <c r="N2517" t="s">
        <v>36</v>
      </c>
      <c r="O2517" t="s">
        <v>37</v>
      </c>
      <c r="P2517" t="s">
        <v>437</v>
      </c>
      <c r="Q2517" t="s">
        <v>39</v>
      </c>
      <c r="R2517" t="s">
        <v>40</v>
      </c>
      <c r="S2517">
        <v>0</v>
      </c>
      <c r="U2517" t="s">
        <v>41</v>
      </c>
      <c r="V2517" t="s">
        <v>42</v>
      </c>
      <c r="X2517" t="s">
        <v>74</v>
      </c>
      <c r="Y2517" t="b">
        <v>0</v>
      </c>
      <c r="Z2517" t="b">
        <v>0</v>
      </c>
      <c r="AC2517" s="1"/>
      <c r="AF2517">
        <v>0</v>
      </c>
      <c r="AG2517">
        <v>45</v>
      </c>
      <c r="AH2517">
        <v>38</v>
      </c>
      <c r="AI2517" s="2">
        <f>Table__192.168.3.138DYLAgingReport[[#This Row],[NetAmount]]-Table__192.168.3.138DYLAgingReport[[#This Row],[Paid]]</f>
        <v>205769</v>
      </c>
    </row>
    <row r="2518" spans="1:35">
      <c r="A2518" t="s">
        <v>5032</v>
      </c>
      <c r="B2518" s="1">
        <v>41278</v>
      </c>
      <c r="C2518" s="1">
        <v>41323</v>
      </c>
      <c r="D2518" t="s">
        <v>300</v>
      </c>
      <c r="E2518">
        <v>2704</v>
      </c>
      <c r="F2518">
        <v>433</v>
      </c>
      <c r="G2518">
        <v>0</v>
      </c>
      <c r="H2518">
        <v>0</v>
      </c>
      <c r="I2518">
        <v>-10</v>
      </c>
      <c r="J2518">
        <v>3137</v>
      </c>
      <c r="K2518" t="s">
        <v>5033</v>
      </c>
      <c r="L2518" s="1">
        <v>41278</v>
      </c>
      <c r="N2518" t="s">
        <v>36</v>
      </c>
      <c r="O2518" t="s">
        <v>37</v>
      </c>
      <c r="P2518" t="s">
        <v>437</v>
      </c>
      <c r="Q2518" t="s">
        <v>39</v>
      </c>
      <c r="R2518" t="s">
        <v>40</v>
      </c>
      <c r="S2518">
        <v>0</v>
      </c>
      <c r="U2518" t="s">
        <v>41</v>
      </c>
      <c r="V2518" t="s">
        <v>42</v>
      </c>
      <c r="X2518" t="s">
        <v>74</v>
      </c>
      <c r="Y2518" t="b">
        <v>0</v>
      </c>
      <c r="Z2518" t="b">
        <v>0</v>
      </c>
      <c r="AC2518" s="1"/>
      <c r="AF2518">
        <v>0</v>
      </c>
      <c r="AG2518">
        <v>45</v>
      </c>
      <c r="AH2518">
        <v>35</v>
      </c>
      <c r="AI2518" s="2">
        <f>Table__192.168.3.138DYLAgingReport[[#This Row],[NetAmount]]-Table__192.168.3.138DYLAgingReport[[#This Row],[Paid]]</f>
        <v>3137</v>
      </c>
    </row>
    <row r="2519" spans="1:35">
      <c r="A2519" t="s">
        <v>5034</v>
      </c>
      <c r="B2519" s="1">
        <v>41281</v>
      </c>
      <c r="C2519" s="1">
        <v>41326</v>
      </c>
      <c r="D2519" t="s">
        <v>300</v>
      </c>
      <c r="E2519">
        <v>57040</v>
      </c>
      <c r="F2519">
        <v>9126</v>
      </c>
      <c r="G2519">
        <v>0</v>
      </c>
      <c r="H2519">
        <v>0</v>
      </c>
      <c r="I2519">
        <v>-13</v>
      </c>
      <c r="J2519">
        <v>66166</v>
      </c>
      <c r="K2519" t="s">
        <v>2976</v>
      </c>
      <c r="L2519" s="1">
        <v>41281</v>
      </c>
      <c r="N2519" t="s">
        <v>36</v>
      </c>
      <c r="O2519" t="s">
        <v>37</v>
      </c>
      <c r="P2519" t="s">
        <v>437</v>
      </c>
      <c r="Q2519" t="s">
        <v>39</v>
      </c>
      <c r="R2519" t="s">
        <v>40</v>
      </c>
      <c r="S2519">
        <v>0</v>
      </c>
      <c r="U2519" t="s">
        <v>41</v>
      </c>
      <c r="V2519" t="s">
        <v>42</v>
      </c>
      <c r="X2519" t="s">
        <v>74</v>
      </c>
      <c r="Y2519" t="b">
        <v>0</v>
      </c>
      <c r="Z2519" t="b">
        <v>0</v>
      </c>
      <c r="AC2519" s="1"/>
      <c r="AF2519">
        <v>0</v>
      </c>
      <c r="AG2519">
        <v>45</v>
      </c>
      <c r="AH2519">
        <v>32</v>
      </c>
      <c r="AI2519" s="2">
        <f>Table__192.168.3.138DYLAgingReport[[#This Row],[NetAmount]]-Table__192.168.3.138DYLAgingReport[[#This Row],[Paid]]</f>
        <v>66166</v>
      </c>
    </row>
    <row r="2520" spans="1:35">
      <c r="A2520" t="s">
        <v>5035</v>
      </c>
      <c r="B2520" s="1">
        <v>41283</v>
      </c>
      <c r="C2520" s="1">
        <v>41328</v>
      </c>
      <c r="D2520" t="s">
        <v>300</v>
      </c>
      <c r="E2520">
        <v>6500</v>
      </c>
      <c r="F2520">
        <v>1040</v>
      </c>
      <c r="G2520">
        <v>0</v>
      </c>
      <c r="H2520">
        <v>0</v>
      </c>
      <c r="I2520">
        <v>-15</v>
      </c>
      <c r="J2520">
        <v>7540</v>
      </c>
      <c r="K2520" t="s">
        <v>5036</v>
      </c>
      <c r="L2520" s="1">
        <v>41283</v>
      </c>
      <c r="N2520" t="s">
        <v>36</v>
      </c>
      <c r="O2520" t="s">
        <v>37</v>
      </c>
      <c r="P2520" t="s">
        <v>437</v>
      </c>
      <c r="Q2520" t="s">
        <v>39</v>
      </c>
      <c r="R2520" t="s">
        <v>40</v>
      </c>
      <c r="S2520">
        <v>0</v>
      </c>
      <c r="U2520" t="s">
        <v>41</v>
      </c>
      <c r="V2520" t="s">
        <v>42</v>
      </c>
      <c r="X2520" t="s">
        <v>74</v>
      </c>
      <c r="Y2520" t="b">
        <v>0</v>
      </c>
      <c r="Z2520" t="b">
        <v>0</v>
      </c>
      <c r="AC2520" s="1"/>
      <c r="AF2520">
        <v>0</v>
      </c>
      <c r="AG2520">
        <v>45</v>
      </c>
      <c r="AH2520">
        <v>30</v>
      </c>
      <c r="AI2520" s="2">
        <f>Table__192.168.3.138DYLAgingReport[[#This Row],[NetAmount]]-Table__192.168.3.138DYLAgingReport[[#This Row],[Paid]]</f>
        <v>7540</v>
      </c>
    </row>
    <row r="2521" spans="1:35">
      <c r="A2521" t="s">
        <v>5037</v>
      </c>
      <c r="B2521" s="1">
        <v>41283</v>
      </c>
      <c r="C2521" s="1">
        <v>41328</v>
      </c>
      <c r="D2521" t="s">
        <v>300</v>
      </c>
      <c r="E2521">
        <v>58380</v>
      </c>
      <c r="F2521">
        <v>9341</v>
      </c>
      <c r="G2521">
        <v>0</v>
      </c>
      <c r="H2521">
        <v>0</v>
      </c>
      <c r="I2521">
        <v>-15</v>
      </c>
      <c r="J2521">
        <v>67721</v>
      </c>
      <c r="K2521" t="s">
        <v>4525</v>
      </c>
      <c r="L2521" s="1">
        <v>41283</v>
      </c>
      <c r="N2521" t="s">
        <v>36</v>
      </c>
      <c r="O2521" t="s">
        <v>37</v>
      </c>
      <c r="P2521" t="s">
        <v>437</v>
      </c>
      <c r="Q2521" t="s">
        <v>39</v>
      </c>
      <c r="R2521" t="s">
        <v>40</v>
      </c>
      <c r="S2521">
        <v>0</v>
      </c>
      <c r="U2521" t="s">
        <v>41</v>
      </c>
      <c r="V2521" t="s">
        <v>42</v>
      </c>
      <c r="X2521" t="s">
        <v>74</v>
      </c>
      <c r="Y2521" t="b">
        <v>0</v>
      </c>
      <c r="Z2521" t="b">
        <v>0</v>
      </c>
      <c r="AC2521" s="1"/>
      <c r="AF2521">
        <v>0</v>
      </c>
      <c r="AG2521">
        <v>45</v>
      </c>
      <c r="AH2521">
        <v>30</v>
      </c>
      <c r="AI2521" s="2">
        <f>Table__192.168.3.138DYLAgingReport[[#This Row],[NetAmount]]-Table__192.168.3.138DYLAgingReport[[#This Row],[Paid]]</f>
        <v>67721</v>
      </c>
    </row>
    <row r="2522" spans="1:35">
      <c r="A2522" t="s">
        <v>5038</v>
      </c>
      <c r="B2522" s="1">
        <v>41282</v>
      </c>
      <c r="C2522" s="1">
        <v>41327</v>
      </c>
      <c r="D2522" t="s">
        <v>234</v>
      </c>
      <c r="E2522">
        <v>322030</v>
      </c>
      <c r="F2522">
        <v>51524</v>
      </c>
      <c r="G2522">
        <v>0</v>
      </c>
      <c r="H2522">
        <v>0</v>
      </c>
      <c r="I2522">
        <v>-13</v>
      </c>
      <c r="J2522">
        <v>373554</v>
      </c>
      <c r="K2522" t="s">
        <v>4257</v>
      </c>
      <c r="L2522" s="1">
        <v>41281</v>
      </c>
      <c r="N2522" t="s">
        <v>36</v>
      </c>
      <c r="O2522" t="s">
        <v>37</v>
      </c>
      <c r="P2522" t="s">
        <v>371</v>
      </c>
      <c r="Q2522" t="s">
        <v>39</v>
      </c>
      <c r="R2522" t="s">
        <v>40</v>
      </c>
      <c r="S2522">
        <v>0</v>
      </c>
      <c r="U2522" t="s">
        <v>41</v>
      </c>
      <c r="V2522" t="s">
        <v>42</v>
      </c>
      <c r="X2522" t="s">
        <v>74</v>
      </c>
      <c r="Y2522" t="b">
        <v>0</v>
      </c>
      <c r="Z2522" t="b">
        <v>0</v>
      </c>
      <c r="AC2522" s="1"/>
      <c r="AF2522">
        <v>0</v>
      </c>
      <c r="AG2522">
        <v>45</v>
      </c>
      <c r="AH2522">
        <v>32</v>
      </c>
      <c r="AI2522" s="2">
        <f>Table__192.168.3.138DYLAgingReport[[#This Row],[NetAmount]]-Table__192.168.3.138DYLAgingReport[[#This Row],[Paid]]</f>
        <v>373554</v>
      </c>
    </row>
    <row r="2523" spans="1:35">
      <c r="A2523" t="s">
        <v>5039</v>
      </c>
      <c r="B2523" s="1">
        <v>41290</v>
      </c>
      <c r="C2523" s="1">
        <v>41335</v>
      </c>
      <c r="D2523" t="s">
        <v>251</v>
      </c>
      <c r="E2523">
        <v>211480</v>
      </c>
      <c r="F2523">
        <v>33837</v>
      </c>
      <c r="G2523">
        <v>0</v>
      </c>
      <c r="H2523">
        <v>0</v>
      </c>
      <c r="I2523">
        <v>343</v>
      </c>
      <c r="J2523">
        <v>245317</v>
      </c>
      <c r="K2523" t="s">
        <v>141</v>
      </c>
      <c r="L2523" s="1">
        <v>40925</v>
      </c>
      <c r="N2523" t="s">
        <v>36</v>
      </c>
      <c r="O2523" t="s">
        <v>37</v>
      </c>
      <c r="P2523" t="s">
        <v>388</v>
      </c>
      <c r="Q2523" t="s">
        <v>39</v>
      </c>
      <c r="R2523" t="s">
        <v>40</v>
      </c>
      <c r="S2523">
        <v>0</v>
      </c>
      <c r="U2523" t="s">
        <v>41</v>
      </c>
      <c r="V2523" t="s">
        <v>42</v>
      </c>
      <c r="X2523" t="s">
        <v>74</v>
      </c>
      <c r="Y2523" t="b">
        <v>0</v>
      </c>
      <c r="Z2523" t="b">
        <v>0</v>
      </c>
      <c r="AC2523" s="1"/>
      <c r="AF2523">
        <v>0</v>
      </c>
      <c r="AG2523">
        <v>45</v>
      </c>
      <c r="AH2523">
        <v>388</v>
      </c>
      <c r="AI2523" s="2">
        <f>Table__192.168.3.138DYLAgingReport[[#This Row],[NetAmount]]-Table__192.168.3.138DYLAgingReport[[#This Row],[Paid]]</f>
        <v>245317</v>
      </c>
    </row>
    <row r="2524" spans="1:35">
      <c r="A2524" t="s">
        <v>5040</v>
      </c>
      <c r="B2524" s="1">
        <v>41289</v>
      </c>
      <c r="C2524" s="1">
        <v>41334</v>
      </c>
      <c r="D2524" t="s">
        <v>180</v>
      </c>
      <c r="E2524">
        <v>136829</v>
      </c>
      <c r="F2524">
        <v>21893</v>
      </c>
      <c r="G2524">
        <v>0</v>
      </c>
      <c r="H2524">
        <v>0</v>
      </c>
      <c r="I2524">
        <v>-21</v>
      </c>
      <c r="J2524">
        <v>158722</v>
      </c>
      <c r="K2524" t="s">
        <v>5041</v>
      </c>
      <c r="L2524" s="1">
        <v>41289</v>
      </c>
      <c r="N2524" t="s">
        <v>36</v>
      </c>
      <c r="O2524" t="s">
        <v>37</v>
      </c>
      <c r="P2524" t="s">
        <v>317</v>
      </c>
      <c r="Q2524" t="s">
        <v>39</v>
      </c>
      <c r="R2524" t="s">
        <v>40</v>
      </c>
      <c r="S2524">
        <v>0</v>
      </c>
      <c r="U2524" t="s">
        <v>41</v>
      </c>
      <c r="V2524" t="s">
        <v>42</v>
      </c>
      <c r="X2524" t="s">
        <v>74</v>
      </c>
      <c r="Y2524" t="b">
        <v>0</v>
      </c>
      <c r="Z2524" t="b">
        <v>0</v>
      </c>
      <c r="AC2524" s="1"/>
      <c r="AF2524">
        <v>0</v>
      </c>
      <c r="AG2524">
        <v>45</v>
      </c>
      <c r="AH2524">
        <v>24</v>
      </c>
      <c r="AI2524" s="2">
        <f>Table__192.168.3.138DYLAgingReport[[#This Row],[NetAmount]]-Table__192.168.3.138DYLAgingReport[[#This Row],[Paid]]</f>
        <v>158722</v>
      </c>
    </row>
    <row r="2525" spans="1:35">
      <c r="A2525" t="s">
        <v>5042</v>
      </c>
      <c r="B2525" s="1">
        <v>41286</v>
      </c>
      <c r="C2525" s="1">
        <v>41331</v>
      </c>
      <c r="D2525" t="s">
        <v>301</v>
      </c>
      <c r="E2525">
        <v>154800</v>
      </c>
      <c r="F2525">
        <v>24768</v>
      </c>
      <c r="G2525">
        <v>0</v>
      </c>
      <c r="H2525">
        <v>0</v>
      </c>
      <c r="I2525">
        <v>-18</v>
      </c>
      <c r="J2525">
        <v>179568</v>
      </c>
      <c r="K2525" t="s">
        <v>442</v>
      </c>
      <c r="L2525" s="1">
        <v>41286</v>
      </c>
      <c r="N2525" t="s">
        <v>36</v>
      </c>
      <c r="O2525" t="s">
        <v>37</v>
      </c>
      <c r="P2525" t="s">
        <v>438</v>
      </c>
      <c r="Q2525" t="s">
        <v>39</v>
      </c>
      <c r="R2525" t="s">
        <v>40</v>
      </c>
      <c r="S2525">
        <v>0</v>
      </c>
      <c r="U2525" t="s">
        <v>41</v>
      </c>
      <c r="V2525" t="s">
        <v>42</v>
      </c>
      <c r="X2525" t="s">
        <v>74</v>
      </c>
      <c r="Y2525" t="b">
        <v>0</v>
      </c>
      <c r="Z2525" t="b">
        <v>0</v>
      </c>
      <c r="AC2525" s="1"/>
      <c r="AF2525">
        <v>0</v>
      </c>
      <c r="AG2525">
        <v>45</v>
      </c>
      <c r="AH2525">
        <v>27</v>
      </c>
      <c r="AI2525" s="2">
        <f>Table__192.168.3.138DYLAgingReport[[#This Row],[NetAmount]]-Table__192.168.3.138DYLAgingReport[[#This Row],[Paid]]</f>
        <v>179568</v>
      </c>
    </row>
    <row r="2526" spans="1:35">
      <c r="A2526" t="s">
        <v>5043</v>
      </c>
      <c r="B2526" s="1">
        <v>41282</v>
      </c>
      <c r="C2526" s="1">
        <v>41327</v>
      </c>
      <c r="D2526" t="s">
        <v>263</v>
      </c>
      <c r="E2526">
        <v>20049</v>
      </c>
      <c r="F2526">
        <v>3208</v>
      </c>
      <c r="G2526">
        <v>0</v>
      </c>
      <c r="H2526">
        <v>0</v>
      </c>
      <c r="I2526">
        <v>-21</v>
      </c>
      <c r="J2526">
        <v>23257</v>
      </c>
      <c r="K2526" t="s">
        <v>5044</v>
      </c>
      <c r="L2526" s="1">
        <v>41289</v>
      </c>
      <c r="N2526" t="s">
        <v>36</v>
      </c>
      <c r="O2526" t="s">
        <v>37</v>
      </c>
      <c r="P2526" t="s">
        <v>400</v>
      </c>
      <c r="Q2526" t="s">
        <v>39</v>
      </c>
      <c r="R2526" t="s">
        <v>40</v>
      </c>
      <c r="S2526">
        <v>0</v>
      </c>
      <c r="U2526" t="s">
        <v>41</v>
      </c>
      <c r="V2526" t="s">
        <v>42</v>
      </c>
      <c r="X2526" t="s">
        <v>74</v>
      </c>
      <c r="Y2526" t="b">
        <v>0</v>
      </c>
      <c r="Z2526" t="b">
        <v>0</v>
      </c>
      <c r="AC2526" s="1"/>
      <c r="AF2526">
        <v>0</v>
      </c>
      <c r="AG2526">
        <v>45</v>
      </c>
      <c r="AH2526">
        <v>24</v>
      </c>
      <c r="AI2526" s="2">
        <f>Table__192.168.3.138DYLAgingReport[[#This Row],[NetAmount]]-Table__192.168.3.138DYLAgingReport[[#This Row],[Paid]]</f>
        <v>23257</v>
      </c>
    </row>
    <row r="2527" spans="1:35">
      <c r="A2527" t="s">
        <v>5045</v>
      </c>
      <c r="B2527" s="1">
        <v>41283</v>
      </c>
      <c r="C2527" s="1">
        <v>41328</v>
      </c>
      <c r="D2527" t="s">
        <v>263</v>
      </c>
      <c r="E2527">
        <v>541875</v>
      </c>
      <c r="F2527">
        <v>86700</v>
      </c>
      <c r="G2527">
        <v>0</v>
      </c>
      <c r="H2527">
        <v>0</v>
      </c>
      <c r="I2527">
        <v>-21</v>
      </c>
      <c r="J2527">
        <v>628575</v>
      </c>
      <c r="K2527" t="s">
        <v>5046</v>
      </c>
      <c r="L2527" s="1">
        <v>41289</v>
      </c>
      <c r="N2527" t="s">
        <v>36</v>
      </c>
      <c r="O2527" t="s">
        <v>37</v>
      </c>
      <c r="P2527" t="s">
        <v>400</v>
      </c>
      <c r="Q2527" t="s">
        <v>39</v>
      </c>
      <c r="R2527" t="s">
        <v>40</v>
      </c>
      <c r="S2527">
        <v>0</v>
      </c>
      <c r="U2527" t="s">
        <v>41</v>
      </c>
      <c r="V2527" t="s">
        <v>42</v>
      </c>
      <c r="X2527" t="s">
        <v>74</v>
      </c>
      <c r="Y2527" t="b">
        <v>0</v>
      </c>
      <c r="Z2527" t="b">
        <v>0</v>
      </c>
      <c r="AC2527" s="1"/>
      <c r="AF2527">
        <v>0</v>
      </c>
      <c r="AG2527">
        <v>45</v>
      </c>
      <c r="AH2527">
        <v>24</v>
      </c>
      <c r="AI2527" s="2">
        <f>Table__192.168.3.138DYLAgingReport[[#This Row],[NetAmount]]-Table__192.168.3.138DYLAgingReport[[#This Row],[Paid]]</f>
        <v>628575</v>
      </c>
    </row>
    <row r="2528" spans="1:35">
      <c r="A2528" t="s">
        <v>5047</v>
      </c>
      <c r="B2528" s="1">
        <v>41283</v>
      </c>
      <c r="C2528" s="1">
        <v>41328</v>
      </c>
      <c r="D2528" t="s">
        <v>220</v>
      </c>
      <c r="E2528">
        <v>10250</v>
      </c>
      <c r="F2528">
        <v>1640</v>
      </c>
      <c r="G2528">
        <v>0</v>
      </c>
      <c r="H2528">
        <v>0</v>
      </c>
      <c r="I2528">
        <v>-25</v>
      </c>
      <c r="J2528">
        <v>11890</v>
      </c>
      <c r="K2528" t="s">
        <v>5048</v>
      </c>
      <c r="L2528" s="1">
        <v>41293</v>
      </c>
      <c r="N2528" t="s">
        <v>36</v>
      </c>
      <c r="O2528" t="s">
        <v>37</v>
      </c>
      <c r="P2528" t="s">
        <v>357</v>
      </c>
      <c r="Q2528" t="s">
        <v>39</v>
      </c>
      <c r="R2528" t="s">
        <v>40</v>
      </c>
      <c r="S2528">
        <v>0</v>
      </c>
      <c r="U2528" t="s">
        <v>41</v>
      </c>
      <c r="V2528" t="s">
        <v>42</v>
      </c>
      <c r="X2528" t="s">
        <v>74</v>
      </c>
      <c r="Y2528" t="b">
        <v>0</v>
      </c>
      <c r="Z2528" t="b">
        <v>0</v>
      </c>
      <c r="AC2528" s="1"/>
      <c r="AF2528">
        <v>0</v>
      </c>
      <c r="AG2528">
        <v>45</v>
      </c>
      <c r="AH2528">
        <v>20</v>
      </c>
      <c r="AI2528" s="2">
        <f>Table__192.168.3.138DYLAgingReport[[#This Row],[NetAmount]]-Table__192.168.3.138DYLAgingReport[[#This Row],[Paid]]</f>
        <v>11890</v>
      </c>
    </row>
    <row r="2529" spans="1:35">
      <c r="A2529" t="s">
        <v>5049</v>
      </c>
      <c r="B2529" s="1">
        <v>41281</v>
      </c>
      <c r="C2529" s="1">
        <v>41326</v>
      </c>
      <c r="D2529" t="s">
        <v>257</v>
      </c>
      <c r="E2529">
        <v>23350</v>
      </c>
      <c r="F2529">
        <v>3736</v>
      </c>
      <c r="G2529">
        <v>0</v>
      </c>
      <c r="H2529">
        <v>0</v>
      </c>
      <c r="I2529">
        <v>-13</v>
      </c>
      <c r="J2529">
        <v>27086</v>
      </c>
      <c r="K2529" t="s">
        <v>4025</v>
      </c>
      <c r="L2529" s="1">
        <v>41281</v>
      </c>
      <c r="N2529" t="s">
        <v>36</v>
      </c>
      <c r="O2529" t="s">
        <v>37</v>
      </c>
      <c r="P2529" t="s">
        <v>394</v>
      </c>
      <c r="Q2529" t="s">
        <v>39</v>
      </c>
      <c r="R2529" t="s">
        <v>40</v>
      </c>
      <c r="S2529">
        <v>0</v>
      </c>
      <c r="U2529" t="s">
        <v>41</v>
      </c>
      <c r="V2529" t="s">
        <v>42</v>
      </c>
      <c r="X2529" t="s">
        <v>74</v>
      </c>
      <c r="Y2529" t="b">
        <v>0</v>
      </c>
      <c r="Z2529" t="b">
        <v>0</v>
      </c>
      <c r="AC2529" s="1"/>
      <c r="AF2529">
        <v>0</v>
      </c>
      <c r="AG2529">
        <v>45</v>
      </c>
      <c r="AH2529">
        <v>32</v>
      </c>
      <c r="AI2529" s="2">
        <f>Table__192.168.3.138DYLAgingReport[[#This Row],[NetAmount]]-Table__192.168.3.138DYLAgingReport[[#This Row],[Paid]]</f>
        <v>27086</v>
      </c>
    </row>
    <row r="2530" spans="1:35">
      <c r="A2530" t="s">
        <v>5050</v>
      </c>
      <c r="B2530" s="1">
        <v>41290</v>
      </c>
      <c r="C2530" s="1">
        <v>41335</v>
      </c>
      <c r="D2530" t="s">
        <v>257</v>
      </c>
      <c r="E2530">
        <v>384000</v>
      </c>
      <c r="F2530">
        <v>61440</v>
      </c>
      <c r="G2530">
        <v>0</v>
      </c>
      <c r="H2530">
        <v>0</v>
      </c>
      <c r="I2530">
        <v>-22</v>
      </c>
      <c r="J2530">
        <v>445440</v>
      </c>
      <c r="K2530" t="s">
        <v>4630</v>
      </c>
      <c r="L2530" s="1">
        <v>41290</v>
      </c>
      <c r="N2530" t="s">
        <v>36</v>
      </c>
      <c r="O2530" t="s">
        <v>37</v>
      </c>
      <c r="P2530" t="s">
        <v>394</v>
      </c>
      <c r="Q2530" t="s">
        <v>39</v>
      </c>
      <c r="R2530" t="s">
        <v>40</v>
      </c>
      <c r="S2530">
        <v>0</v>
      </c>
      <c r="U2530" t="s">
        <v>41</v>
      </c>
      <c r="V2530" t="s">
        <v>42</v>
      </c>
      <c r="X2530" t="s">
        <v>74</v>
      </c>
      <c r="Y2530" t="b">
        <v>0</v>
      </c>
      <c r="Z2530" t="b">
        <v>0</v>
      </c>
      <c r="AC2530" s="1"/>
      <c r="AF2530">
        <v>0</v>
      </c>
      <c r="AG2530">
        <v>45</v>
      </c>
      <c r="AH2530">
        <v>23</v>
      </c>
      <c r="AI2530" s="2">
        <f>Table__192.168.3.138DYLAgingReport[[#This Row],[NetAmount]]-Table__192.168.3.138DYLAgingReport[[#This Row],[Paid]]</f>
        <v>445440</v>
      </c>
    </row>
    <row r="2531" spans="1:35">
      <c r="A2531" t="s">
        <v>5051</v>
      </c>
      <c r="B2531" s="1">
        <v>41289</v>
      </c>
      <c r="C2531" s="1">
        <v>41334</v>
      </c>
      <c r="D2531" t="s">
        <v>239</v>
      </c>
      <c r="E2531">
        <v>340630</v>
      </c>
      <c r="F2531">
        <v>54501</v>
      </c>
      <c r="G2531">
        <v>0</v>
      </c>
      <c r="H2531">
        <v>0</v>
      </c>
      <c r="I2531">
        <v>-21</v>
      </c>
      <c r="J2531">
        <v>395131</v>
      </c>
      <c r="K2531" t="s">
        <v>5052</v>
      </c>
      <c r="L2531" s="1">
        <v>41289</v>
      </c>
      <c r="N2531" t="s">
        <v>36</v>
      </c>
      <c r="O2531" t="s">
        <v>37</v>
      </c>
      <c r="P2531" t="s">
        <v>376</v>
      </c>
      <c r="Q2531" t="s">
        <v>39</v>
      </c>
      <c r="R2531" t="s">
        <v>40</v>
      </c>
      <c r="S2531">
        <v>0</v>
      </c>
      <c r="U2531" t="s">
        <v>41</v>
      </c>
      <c r="V2531" t="s">
        <v>42</v>
      </c>
      <c r="X2531" t="s">
        <v>74</v>
      </c>
      <c r="Y2531" t="b">
        <v>0</v>
      </c>
      <c r="Z2531" t="b">
        <v>0</v>
      </c>
      <c r="AC2531" s="1"/>
      <c r="AF2531">
        <v>0</v>
      </c>
      <c r="AG2531">
        <v>45</v>
      </c>
      <c r="AH2531">
        <v>24</v>
      </c>
      <c r="AI2531" s="2">
        <f>Table__192.168.3.138DYLAgingReport[[#This Row],[NetAmount]]-Table__192.168.3.138DYLAgingReport[[#This Row],[Paid]]</f>
        <v>395131</v>
      </c>
    </row>
    <row r="2532" spans="1:35">
      <c r="A2532" t="s">
        <v>5053</v>
      </c>
      <c r="B2532" s="1">
        <v>41289</v>
      </c>
      <c r="C2532" s="1">
        <v>41334</v>
      </c>
      <c r="D2532" t="s">
        <v>239</v>
      </c>
      <c r="E2532">
        <v>580500</v>
      </c>
      <c r="F2532">
        <v>92880</v>
      </c>
      <c r="G2532">
        <v>0</v>
      </c>
      <c r="H2532">
        <v>0</v>
      </c>
      <c r="I2532">
        <v>-21</v>
      </c>
      <c r="J2532">
        <v>673380</v>
      </c>
      <c r="K2532" t="s">
        <v>5054</v>
      </c>
      <c r="L2532" s="1">
        <v>41289</v>
      </c>
      <c r="N2532" t="s">
        <v>36</v>
      </c>
      <c r="O2532" t="s">
        <v>37</v>
      </c>
      <c r="P2532" t="s">
        <v>376</v>
      </c>
      <c r="Q2532" t="s">
        <v>39</v>
      </c>
      <c r="R2532" t="s">
        <v>40</v>
      </c>
      <c r="S2532">
        <v>0</v>
      </c>
      <c r="U2532" t="s">
        <v>41</v>
      </c>
      <c r="V2532" t="s">
        <v>42</v>
      </c>
      <c r="X2532" t="s">
        <v>74</v>
      </c>
      <c r="Y2532" t="b">
        <v>0</v>
      </c>
      <c r="Z2532" t="b">
        <v>0</v>
      </c>
      <c r="AC2532" s="1"/>
      <c r="AF2532">
        <v>0</v>
      </c>
      <c r="AG2532">
        <v>45</v>
      </c>
      <c r="AH2532">
        <v>24</v>
      </c>
      <c r="AI2532" s="2">
        <f>Table__192.168.3.138DYLAgingReport[[#This Row],[NetAmount]]-Table__192.168.3.138DYLAgingReport[[#This Row],[Paid]]</f>
        <v>673380</v>
      </c>
    </row>
    <row r="2533" spans="1:35">
      <c r="A2533" t="s">
        <v>5055</v>
      </c>
      <c r="B2533" s="1">
        <v>41289</v>
      </c>
      <c r="C2533" s="1">
        <v>41334</v>
      </c>
      <c r="D2533" t="s">
        <v>220</v>
      </c>
      <c r="E2533">
        <v>283100</v>
      </c>
      <c r="F2533">
        <v>45296</v>
      </c>
      <c r="G2533">
        <v>0</v>
      </c>
      <c r="H2533">
        <v>0</v>
      </c>
      <c r="I2533">
        <v>-21</v>
      </c>
      <c r="J2533">
        <v>328396</v>
      </c>
      <c r="K2533" t="s">
        <v>5056</v>
      </c>
      <c r="L2533" s="1">
        <v>41289</v>
      </c>
      <c r="N2533" t="s">
        <v>36</v>
      </c>
      <c r="O2533" t="s">
        <v>37</v>
      </c>
      <c r="P2533" t="s">
        <v>357</v>
      </c>
      <c r="Q2533" t="s">
        <v>39</v>
      </c>
      <c r="R2533" t="s">
        <v>40</v>
      </c>
      <c r="S2533">
        <v>0</v>
      </c>
      <c r="U2533" t="s">
        <v>41</v>
      </c>
      <c r="V2533" t="s">
        <v>42</v>
      </c>
      <c r="X2533" t="s">
        <v>74</v>
      </c>
      <c r="Y2533" t="b">
        <v>0</v>
      </c>
      <c r="Z2533" t="b">
        <v>0</v>
      </c>
      <c r="AC2533" s="1"/>
      <c r="AF2533">
        <v>0</v>
      </c>
      <c r="AG2533">
        <v>45</v>
      </c>
      <c r="AH2533">
        <v>24</v>
      </c>
      <c r="AI2533" s="2">
        <f>Table__192.168.3.138DYLAgingReport[[#This Row],[NetAmount]]-Table__192.168.3.138DYLAgingReport[[#This Row],[Paid]]</f>
        <v>328396</v>
      </c>
    </row>
    <row r="2534" spans="1:35">
      <c r="A2534" t="s">
        <v>5057</v>
      </c>
      <c r="B2534" s="1">
        <v>41289</v>
      </c>
      <c r="C2534" s="1">
        <v>41334</v>
      </c>
      <c r="D2534" t="s">
        <v>220</v>
      </c>
      <c r="E2534">
        <v>31111</v>
      </c>
      <c r="F2534">
        <v>4978</v>
      </c>
      <c r="G2534">
        <v>0</v>
      </c>
      <c r="H2534">
        <v>0</v>
      </c>
      <c r="I2534">
        <v>-21</v>
      </c>
      <c r="J2534">
        <v>36089</v>
      </c>
      <c r="K2534" t="s">
        <v>5058</v>
      </c>
      <c r="L2534" s="1">
        <v>41289</v>
      </c>
      <c r="N2534" t="s">
        <v>36</v>
      </c>
      <c r="O2534" t="s">
        <v>37</v>
      </c>
      <c r="P2534" t="s">
        <v>357</v>
      </c>
      <c r="Q2534" t="s">
        <v>39</v>
      </c>
      <c r="R2534" t="s">
        <v>40</v>
      </c>
      <c r="S2534">
        <v>0</v>
      </c>
      <c r="U2534" t="s">
        <v>41</v>
      </c>
      <c r="V2534" t="s">
        <v>42</v>
      </c>
      <c r="X2534" t="s">
        <v>74</v>
      </c>
      <c r="Y2534" t="b">
        <v>0</v>
      </c>
      <c r="Z2534" t="b">
        <v>0</v>
      </c>
      <c r="AC2534" s="1"/>
      <c r="AF2534">
        <v>0</v>
      </c>
      <c r="AG2534">
        <v>45</v>
      </c>
      <c r="AH2534">
        <v>24</v>
      </c>
      <c r="AI2534" s="2">
        <f>Table__192.168.3.138DYLAgingReport[[#This Row],[NetAmount]]-Table__192.168.3.138DYLAgingReport[[#This Row],[Paid]]</f>
        <v>36089</v>
      </c>
    </row>
    <row r="2535" spans="1:35">
      <c r="A2535" t="s">
        <v>5059</v>
      </c>
      <c r="B2535" s="1">
        <v>41276</v>
      </c>
      <c r="C2535" s="1">
        <v>41321</v>
      </c>
      <c r="D2535" t="s">
        <v>242</v>
      </c>
      <c r="E2535">
        <v>50741</v>
      </c>
      <c r="F2535">
        <v>8120</v>
      </c>
      <c r="G2535">
        <v>0</v>
      </c>
      <c r="H2535">
        <v>0</v>
      </c>
      <c r="I2535">
        <v>-8</v>
      </c>
      <c r="J2535">
        <v>58861</v>
      </c>
      <c r="K2535" t="s">
        <v>5060</v>
      </c>
      <c r="L2535" s="1">
        <v>41276</v>
      </c>
      <c r="N2535" t="s">
        <v>36</v>
      </c>
      <c r="O2535" t="s">
        <v>37</v>
      </c>
      <c r="P2535" t="s">
        <v>379</v>
      </c>
      <c r="Q2535" t="s">
        <v>39</v>
      </c>
      <c r="R2535" t="s">
        <v>40</v>
      </c>
      <c r="S2535">
        <v>0</v>
      </c>
      <c r="U2535" t="s">
        <v>41</v>
      </c>
      <c r="V2535" t="s">
        <v>42</v>
      </c>
      <c r="X2535" t="s">
        <v>74</v>
      </c>
      <c r="Y2535" t="b">
        <v>0</v>
      </c>
      <c r="Z2535" t="b">
        <v>0</v>
      </c>
      <c r="AC2535" s="1"/>
      <c r="AF2535">
        <v>0</v>
      </c>
      <c r="AG2535">
        <v>45</v>
      </c>
      <c r="AH2535">
        <v>37</v>
      </c>
      <c r="AI2535" s="2">
        <f>Table__192.168.3.138DYLAgingReport[[#This Row],[NetAmount]]-Table__192.168.3.138DYLAgingReport[[#This Row],[Paid]]</f>
        <v>58861</v>
      </c>
    </row>
    <row r="2536" spans="1:35">
      <c r="A2536" t="s">
        <v>5061</v>
      </c>
      <c r="B2536" s="1">
        <v>41276</v>
      </c>
      <c r="C2536" s="1">
        <v>41321</v>
      </c>
      <c r="D2536" t="s">
        <v>242</v>
      </c>
      <c r="E2536">
        <v>35278</v>
      </c>
      <c r="F2536">
        <v>5645</v>
      </c>
      <c r="G2536">
        <v>0</v>
      </c>
      <c r="H2536">
        <v>0</v>
      </c>
      <c r="I2536">
        <v>-8</v>
      </c>
      <c r="J2536">
        <v>40923</v>
      </c>
      <c r="K2536" t="s">
        <v>5062</v>
      </c>
      <c r="L2536" s="1">
        <v>41276</v>
      </c>
      <c r="N2536" t="s">
        <v>36</v>
      </c>
      <c r="O2536" t="s">
        <v>37</v>
      </c>
      <c r="P2536" t="s">
        <v>379</v>
      </c>
      <c r="Q2536" t="s">
        <v>39</v>
      </c>
      <c r="R2536" t="s">
        <v>40</v>
      </c>
      <c r="S2536">
        <v>0</v>
      </c>
      <c r="U2536" t="s">
        <v>41</v>
      </c>
      <c r="V2536" t="s">
        <v>42</v>
      </c>
      <c r="X2536" t="s">
        <v>74</v>
      </c>
      <c r="Y2536" t="b">
        <v>0</v>
      </c>
      <c r="Z2536" t="b">
        <v>0</v>
      </c>
      <c r="AC2536" s="1"/>
      <c r="AF2536">
        <v>0</v>
      </c>
      <c r="AG2536">
        <v>45</v>
      </c>
      <c r="AH2536">
        <v>37</v>
      </c>
      <c r="AI2536" s="2">
        <f>Table__192.168.3.138DYLAgingReport[[#This Row],[NetAmount]]-Table__192.168.3.138DYLAgingReport[[#This Row],[Paid]]</f>
        <v>40923</v>
      </c>
    </row>
    <row r="2537" spans="1:35">
      <c r="A2537" t="s">
        <v>5063</v>
      </c>
      <c r="B2537" s="1">
        <v>41290</v>
      </c>
      <c r="C2537" s="1">
        <v>41335</v>
      </c>
      <c r="D2537" t="s">
        <v>292</v>
      </c>
      <c r="E2537">
        <v>129600</v>
      </c>
      <c r="F2537">
        <v>20736</v>
      </c>
      <c r="G2537">
        <v>0</v>
      </c>
      <c r="H2537">
        <v>0</v>
      </c>
      <c r="I2537">
        <v>-21</v>
      </c>
      <c r="J2537">
        <v>150336</v>
      </c>
      <c r="K2537" t="s">
        <v>5064</v>
      </c>
      <c r="L2537" s="1">
        <v>41289</v>
      </c>
      <c r="M2537" t="s">
        <v>5065</v>
      </c>
      <c r="N2537" t="s">
        <v>36</v>
      </c>
      <c r="O2537" t="s">
        <v>37</v>
      </c>
      <c r="P2537" t="s">
        <v>429</v>
      </c>
      <c r="Q2537" t="s">
        <v>39</v>
      </c>
      <c r="R2537" t="s">
        <v>40</v>
      </c>
      <c r="S2537">
        <v>0</v>
      </c>
      <c r="U2537" t="s">
        <v>41</v>
      </c>
      <c r="V2537" t="s">
        <v>42</v>
      </c>
      <c r="W2537" t="s">
        <v>5066</v>
      </c>
      <c r="X2537" t="s">
        <v>74</v>
      </c>
      <c r="Y2537" t="b">
        <v>0</v>
      </c>
      <c r="Z2537" t="b">
        <v>0</v>
      </c>
      <c r="AA2537" t="b">
        <v>0</v>
      </c>
      <c r="AC2537" s="1"/>
      <c r="AF2537">
        <v>0</v>
      </c>
      <c r="AG2537">
        <v>45</v>
      </c>
      <c r="AH2537">
        <v>24</v>
      </c>
      <c r="AI2537" s="2">
        <f>Table__192.168.3.138DYLAgingReport[[#This Row],[NetAmount]]-Table__192.168.3.138DYLAgingReport[[#This Row],[Paid]]</f>
        <v>150336</v>
      </c>
    </row>
    <row r="2538" spans="1:35">
      <c r="A2538" t="s">
        <v>5067</v>
      </c>
      <c r="B2538" s="1">
        <v>41291</v>
      </c>
      <c r="C2538" s="1">
        <v>41336</v>
      </c>
      <c r="D2538" t="s">
        <v>228</v>
      </c>
      <c r="E2538">
        <v>84500</v>
      </c>
      <c r="F2538">
        <v>13520</v>
      </c>
      <c r="G2538">
        <v>0</v>
      </c>
      <c r="H2538">
        <v>0</v>
      </c>
      <c r="I2538">
        <v>-15</v>
      </c>
      <c r="J2538">
        <v>98020</v>
      </c>
      <c r="K2538" t="s">
        <v>67</v>
      </c>
      <c r="L2538" s="1">
        <v>41283</v>
      </c>
      <c r="N2538" t="s">
        <v>36</v>
      </c>
      <c r="O2538" t="s">
        <v>37</v>
      </c>
      <c r="P2538" t="s">
        <v>365</v>
      </c>
      <c r="Q2538" t="s">
        <v>39</v>
      </c>
      <c r="R2538" t="s">
        <v>40</v>
      </c>
      <c r="S2538">
        <v>0</v>
      </c>
      <c r="U2538" t="s">
        <v>41</v>
      </c>
      <c r="V2538" t="s">
        <v>42</v>
      </c>
      <c r="X2538" t="s">
        <v>74</v>
      </c>
      <c r="Y2538" t="b">
        <v>0</v>
      </c>
      <c r="Z2538" t="b">
        <v>0</v>
      </c>
      <c r="AC2538" s="1"/>
      <c r="AF2538">
        <v>0</v>
      </c>
      <c r="AG2538">
        <v>45</v>
      </c>
      <c r="AH2538">
        <v>30</v>
      </c>
      <c r="AI2538" s="2">
        <f>Table__192.168.3.138DYLAgingReport[[#This Row],[NetAmount]]-Table__192.168.3.138DYLAgingReport[[#This Row],[Paid]]</f>
        <v>98020</v>
      </c>
    </row>
    <row r="2539" spans="1:35">
      <c r="A2539" t="s">
        <v>5068</v>
      </c>
      <c r="B2539" s="1">
        <v>41291</v>
      </c>
      <c r="C2539" s="1">
        <v>41336</v>
      </c>
      <c r="D2539" t="s">
        <v>197</v>
      </c>
      <c r="E2539">
        <v>105000</v>
      </c>
      <c r="F2539">
        <v>16800</v>
      </c>
      <c r="G2539">
        <v>0</v>
      </c>
      <c r="H2539">
        <v>0</v>
      </c>
      <c r="I2539">
        <v>-25</v>
      </c>
      <c r="J2539">
        <v>121800</v>
      </c>
      <c r="K2539" t="s">
        <v>5069</v>
      </c>
      <c r="L2539" s="1">
        <v>41293</v>
      </c>
      <c r="N2539" t="s">
        <v>36</v>
      </c>
      <c r="O2539" t="s">
        <v>37</v>
      </c>
      <c r="P2539" t="s">
        <v>334</v>
      </c>
      <c r="Q2539" t="s">
        <v>39</v>
      </c>
      <c r="R2539" t="s">
        <v>40</v>
      </c>
      <c r="S2539">
        <v>0</v>
      </c>
      <c r="U2539" t="s">
        <v>41</v>
      </c>
      <c r="V2539" t="s">
        <v>42</v>
      </c>
      <c r="X2539" t="s">
        <v>74</v>
      </c>
      <c r="Y2539" t="b">
        <v>0</v>
      </c>
      <c r="Z2539" t="b">
        <v>0</v>
      </c>
      <c r="AC2539" s="1"/>
      <c r="AF2539">
        <v>0</v>
      </c>
      <c r="AG2539">
        <v>45</v>
      </c>
      <c r="AH2539">
        <v>20</v>
      </c>
      <c r="AI2539" s="2">
        <f>Table__192.168.3.138DYLAgingReport[[#This Row],[NetAmount]]-Table__192.168.3.138DYLAgingReport[[#This Row],[Paid]]</f>
        <v>121800</v>
      </c>
    </row>
    <row r="2540" spans="1:35">
      <c r="A2540" t="s">
        <v>5070</v>
      </c>
      <c r="B2540" s="1">
        <v>41283</v>
      </c>
      <c r="C2540" s="1">
        <v>41313</v>
      </c>
      <c r="D2540" t="s">
        <v>285</v>
      </c>
      <c r="E2540">
        <v>870000</v>
      </c>
      <c r="F2540">
        <v>139200</v>
      </c>
      <c r="G2540">
        <v>0</v>
      </c>
      <c r="H2540">
        <v>0</v>
      </c>
      <c r="I2540">
        <v>-1</v>
      </c>
      <c r="J2540">
        <v>1009200</v>
      </c>
      <c r="K2540" t="s">
        <v>5071</v>
      </c>
      <c r="L2540" s="1">
        <v>41284</v>
      </c>
      <c r="N2540" t="s">
        <v>36</v>
      </c>
      <c r="O2540" t="s">
        <v>37</v>
      </c>
      <c r="P2540" t="s">
        <v>422</v>
      </c>
      <c r="Q2540" t="s">
        <v>39</v>
      </c>
      <c r="R2540" t="s">
        <v>40</v>
      </c>
      <c r="S2540">
        <v>0</v>
      </c>
      <c r="U2540" t="s">
        <v>41</v>
      </c>
      <c r="V2540" t="s">
        <v>42</v>
      </c>
      <c r="X2540" t="s">
        <v>74</v>
      </c>
      <c r="Y2540" t="b">
        <v>0</v>
      </c>
      <c r="Z2540" t="b">
        <v>0</v>
      </c>
      <c r="AC2540" s="1"/>
      <c r="AF2540">
        <v>0</v>
      </c>
      <c r="AG2540">
        <v>30</v>
      </c>
      <c r="AH2540">
        <v>29</v>
      </c>
      <c r="AI2540" s="2">
        <f>Table__192.168.3.138DYLAgingReport[[#This Row],[NetAmount]]-Table__192.168.3.138DYLAgingReport[[#This Row],[Paid]]</f>
        <v>1009200</v>
      </c>
    </row>
    <row r="2541" spans="1:35">
      <c r="A2541" t="s">
        <v>5072</v>
      </c>
      <c r="B2541" s="1">
        <v>41291</v>
      </c>
      <c r="C2541" s="1">
        <v>41336</v>
      </c>
      <c r="D2541" t="s">
        <v>242</v>
      </c>
      <c r="E2541">
        <v>163459</v>
      </c>
      <c r="F2541">
        <v>26153</v>
      </c>
      <c r="G2541">
        <v>0</v>
      </c>
      <c r="H2541">
        <v>0</v>
      </c>
      <c r="I2541">
        <v>-22</v>
      </c>
      <c r="J2541">
        <v>189612</v>
      </c>
      <c r="K2541" t="s">
        <v>5073</v>
      </c>
      <c r="L2541" s="1">
        <v>41290</v>
      </c>
      <c r="N2541" t="s">
        <v>36</v>
      </c>
      <c r="O2541" t="s">
        <v>37</v>
      </c>
      <c r="P2541" t="s">
        <v>379</v>
      </c>
      <c r="Q2541" t="s">
        <v>39</v>
      </c>
      <c r="R2541" t="s">
        <v>40</v>
      </c>
      <c r="S2541">
        <v>0</v>
      </c>
      <c r="U2541" t="s">
        <v>41</v>
      </c>
      <c r="V2541" t="s">
        <v>42</v>
      </c>
      <c r="X2541" t="s">
        <v>74</v>
      </c>
      <c r="Y2541" t="b">
        <v>0</v>
      </c>
      <c r="Z2541" t="b">
        <v>0</v>
      </c>
      <c r="AC2541" s="1"/>
      <c r="AF2541">
        <v>0</v>
      </c>
      <c r="AG2541">
        <v>45</v>
      </c>
      <c r="AH2541">
        <v>23</v>
      </c>
      <c r="AI2541" s="2">
        <f>Table__192.168.3.138DYLAgingReport[[#This Row],[NetAmount]]-Table__192.168.3.138DYLAgingReport[[#This Row],[Paid]]</f>
        <v>189612</v>
      </c>
    </row>
    <row r="2542" spans="1:35">
      <c r="A2542" t="s">
        <v>5074</v>
      </c>
      <c r="B2542" s="1">
        <v>41291</v>
      </c>
      <c r="C2542" s="1">
        <v>41321</v>
      </c>
      <c r="D2542" t="s">
        <v>181</v>
      </c>
      <c r="E2542">
        <v>146160</v>
      </c>
      <c r="F2542">
        <v>23386</v>
      </c>
      <c r="G2542">
        <v>0</v>
      </c>
      <c r="H2542">
        <v>0</v>
      </c>
      <c r="I2542">
        <v>-3</v>
      </c>
      <c r="J2542">
        <v>169546</v>
      </c>
      <c r="K2542" t="s">
        <v>5075</v>
      </c>
      <c r="L2542" s="1">
        <v>41286</v>
      </c>
      <c r="N2542" t="s">
        <v>36</v>
      </c>
      <c r="O2542" t="s">
        <v>37</v>
      </c>
      <c r="P2542" t="s">
        <v>318</v>
      </c>
      <c r="Q2542" t="s">
        <v>39</v>
      </c>
      <c r="R2542" t="s">
        <v>40</v>
      </c>
      <c r="S2542">
        <v>0</v>
      </c>
      <c r="U2542" t="s">
        <v>41</v>
      </c>
      <c r="V2542" t="s">
        <v>42</v>
      </c>
      <c r="X2542" t="s">
        <v>74</v>
      </c>
      <c r="Y2542" t="b">
        <v>0</v>
      </c>
      <c r="Z2542" t="b">
        <v>0</v>
      </c>
      <c r="AC2542" s="1"/>
      <c r="AF2542">
        <v>0</v>
      </c>
      <c r="AG2542">
        <v>30</v>
      </c>
      <c r="AH2542">
        <v>27</v>
      </c>
      <c r="AI2542" s="2">
        <f>Table__192.168.3.138DYLAgingReport[[#This Row],[NetAmount]]-Table__192.168.3.138DYLAgingReport[[#This Row],[Paid]]</f>
        <v>169546</v>
      </c>
    </row>
    <row r="2543" spans="1:35">
      <c r="A2543" t="s">
        <v>5076</v>
      </c>
      <c r="B2543" s="1">
        <v>41290</v>
      </c>
      <c r="C2543" s="1">
        <v>41335</v>
      </c>
      <c r="D2543" t="s">
        <v>227</v>
      </c>
      <c r="E2543">
        <v>123000</v>
      </c>
      <c r="F2543">
        <v>19680</v>
      </c>
      <c r="G2543">
        <v>0</v>
      </c>
      <c r="H2543">
        <v>0</v>
      </c>
      <c r="I2543">
        <v>-22</v>
      </c>
      <c r="J2543">
        <v>142680</v>
      </c>
      <c r="K2543" t="s">
        <v>5077</v>
      </c>
      <c r="L2543" s="1">
        <v>41290</v>
      </c>
      <c r="N2543" t="s">
        <v>36</v>
      </c>
      <c r="O2543" t="s">
        <v>37</v>
      </c>
      <c r="P2543" t="s">
        <v>364</v>
      </c>
      <c r="Q2543" t="s">
        <v>39</v>
      </c>
      <c r="R2543" t="s">
        <v>40</v>
      </c>
      <c r="S2543">
        <v>0</v>
      </c>
      <c r="U2543" t="s">
        <v>41</v>
      </c>
      <c r="V2543" t="s">
        <v>42</v>
      </c>
      <c r="X2543" t="s">
        <v>74</v>
      </c>
      <c r="Y2543" t="b">
        <v>0</v>
      </c>
      <c r="Z2543" t="b">
        <v>0</v>
      </c>
      <c r="AC2543" s="1"/>
      <c r="AF2543">
        <v>0</v>
      </c>
      <c r="AG2543">
        <v>45</v>
      </c>
      <c r="AH2543">
        <v>23</v>
      </c>
      <c r="AI2543" s="2">
        <f>Table__192.168.3.138DYLAgingReport[[#This Row],[NetAmount]]-Table__192.168.3.138DYLAgingReport[[#This Row],[Paid]]</f>
        <v>142680</v>
      </c>
    </row>
    <row r="2544" spans="1:35">
      <c r="A2544" t="s">
        <v>5078</v>
      </c>
      <c r="B2544" s="1">
        <v>41288</v>
      </c>
      <c r="C2544" s="1">
        <v>41333</v>
      </c>
      <c r="D2544" t="s">
        <v>262</v>
      </c>
      <c r="E2544">
        <v>1012500</v>
      </c>
      <c r="F2544">
        <v>162000</v>
      </c>
      <c r="G2544">
        <v>0</v>
      </c>
      <c r="H2544">
        <v>0</v>
      </c>
      <c r="I2544">
        <v>-22</v>
      </c>
      <c r="J2544">
        <v>1174500</v>
      </c>
      <c r="K2544" t="s">
        <v>4059</v>
      </c>
      <c r="L2544" s="1">
        <v>41290</v>
      </c>
      <c r="N2544" t="s">
        <v>36</v>
      </c>
      <c r="O2544" t="s">
        <v>37</v>
      </c>
      <c r="P2544" t="s">
        <v>399</v>
      </c>
      <c r="Q2544" t="s">
        <v>39</v>
      </c>
      <c r="R2544" t="s">
        <v>40</v>
      </c>
      <c r="S2544">
        <v>0</v>
      </c>
      <c r="U2544" t="s">
        <v>41</v>
      </c>
      <c r="V2544" t="s">
        <v>42</v>
      </c>
      <c r="X2544" t="s">
        <v>74</v>
      </c>
      <c r="Y2544" t="b">
        <v>0</v>
      </c>
      <c r="Z2544" t="b">
        <v>0</v>
      </c>
      <c r="AC2544" s="1"/>
      <c r="AF2544">
        <v>0</v>
      </c>
      <c r="AG2544">
        <v>45</v>
      </c>
      <c r="AH2544">
        <v>23</v>
      </c>
      <c r="AI2544" s="2">
        <f>Table__192.168.3.138DYLAgingReport[[#This Row],[NetAmount]]-Table__192.168.3.138DYLAgingReport[[#This Row],[Paid]]</f>
        <v>1174500</v>
      </c>
    </row>
    <row r="2545" spans="1:35">
      <c r="A2545" t="s">
        <v>5079</v>
      </c>
      <c r="B2545" s="1">
        <v>41291</v>
      </c>
      <c r="C2545" s="1">
        <v>41336</v>
      </c>
      <c r="D2545" t="s">
        <v>262</v>
      </c>
      <c r="E2545">
        <v>155000</v>
      </c>
      <c r="F2545">
        <v>24800</v>
      </c>
      <c r="G2545">
        <v>0</v>
      </c>
      <c r="H2545">
        <v>0</v>
      </c>
      <c r="I2545">
        <v>36</v>
      </c>
      <c r="J2545">
        <v>179800</v>
      </c>
      <c r="K2545" t="s">
        <v>1200</v>
      </c>
      <c r="L2545" s="1">
        <v>41232</v>
      </c>
      <c r="N2545" t="s">
        <v>36</v>
      </c>
      <c r="O2545" t="s">
        <v>37</v>
      </c>
      <c r="P2545" t="s">
        <v>399</v>
      </c>
      <c r="Q2545" t="s">
        <v>39</v>
      </c>
      <c r="R2545" t="s">
        <v>40</v>
      </c>
      <c r="S2545">
        <v>0</v>
      </c>
      <c r="U2545" t="s">
        <v>41</v>
      </c>
      <c r="V2545" t="s">
        <v>42</v>
      </c>
      <c r="X2545" t="s">
        <v>74</v>
      </c>
      <c r="Y2545" t="b">
        <v>0</v>
      </c>
      <c r="Z2545" t="b">
        <v>0</v>
      </c>
      <c r="AC2545" s="1"/>
      <c r="AF2545">
        <v>0</v>
      </c>
      <c r="AG2545">
        <v>45</v>
      </c>
      <c r="AH2545">
        <v>81</v>
      </c>
      <c r="AI2545" s="2">
        <f>Table__192.168.3.138DYLAgingReport[[#This Row],[NetAmount]]-Table__192.168.3.138DYLAgingReport[[#This Row],[Paid]]</f>
        <v>179800</v>
      </c>
    </row>
    <row r="2546" spans="1:35">
      <c r="A2546" t="s">
        <v>5080</v>
      </c>
      <c r="B2546" s="1">
        <v>41279</v>
      </c>
      <c r="C2546" s="1">
        <v>41324</v>
      </c>
      <c r="D2546" t="s">
        <v>174</v>
      </c>
      <c r="E2546">
        <v>138000</v>
      </c>
      <c r="F2546">
        <v>22080</v>
      </c>
      <c r="G2546">
        <v>0</v>
      </c>
      <c r="H2546">
        <v>0</v>
      </c>
      <c r="I2546">
        <v>-11</v>
      </c>
      <c r="J2546">
        <v>160080</v>
      </c>
      <c r="K2546" t="s">
        <v>5081</v>
      </c>
      <c r="L2546" s="1">
        <v>41279</v>
      </c>
      <c r="N2546" t="s">
        <v>36</v>
      </c>
      <c r="O2546" t="s">
        <v>37</v>
      </c>
      <c r="P2546" t="s">
        <v>311</v>
      </c>
      <c r="Q2546" t="s">
        <v>39</v>
      </c>
      <c r="R2546" t="s">
        <v>40</v>
      </c>
      <c r="S2546">
        <v>0</v>
      </c>
      <c r="U2546" t="s">
        <v>41</v>
      </c>
      <c r="V2546" t="s">
        <v>42</v>
      </c>
      <c r="X2546" t="s">
        <v>74</v>
      </c>
      <c r="Y2546" t="b">
        <v>0</v>
      </c>
      <c r="Z2546" t="b">
        <v>0</v>
      </c>
      <c r="AC2546" s="1"/>
      <c r="AF2546">
        <v>0</v>
      </c>
      <c r="AG2546">
        <v>45</v>
      </c>
      <c r="AH2546">
        <v>34</v>
      </c>
      <c r="AI2546" s="2">
        <f>Table__192.168.3.138DYLAgingReport[[#This Row],[NetAmount]]-Table__192.168.3.138DYLAgingReport[[#This Row],[Paid]]</f>
        <v>160080</v>
      </c>
    </row>
    <row r="2547" spans="1:35">
      <c r="A2547" t="s">
        <v>5082</v>
      </c>
      <c r="B2547" s="1">
        <v>41286</v>
      </c>
      <c r="C2547" s="1">
        <v>41331</v>
      </c>
      <c r="D2547" t="s">
        <v>174</v>
      </c>
      <c r="E2547">
        <v>26250</v>
      </c>
      <c r="F2547">
        <v>4200</v>
      </c>
      <c r="G2547">
        <v>0</v>
      </c>
      <c r="H2547">
        <v>0</v>
      </c>
      <c r="I2547">
        <v>-18</v>
      </c>
      <c r="J2547">
        <v>30450</v>
      </c>
      <c r="K2547" t="s">
        <v>5083</v>
      </c>
      <c r="L2547" s="1">
        <v>41286</v>
      </c>
      <c r="N2547" t="s">
        <v>36</v>
      </c>
      <c r="O2547" t="s">
        <v>37</v>
      </c>
      <c r="P2547" t="s">
        <v>311</v>
      </c>
      <c r="Q2547" t="s">
        <v>39</v>
      </c>
      <c r="R2547" t="s">
        <v>40</v>
      </c>
      <c r="S2547">
        <v>0</v>
      </c>
      <c r="U2547" t="s">
        <v>41</v>
      </c>
      <c r="V2547" t="s">
        <v>42</v>
      </c>
      <c r="X2547" t="s">
        <v>74</v>
      </c>
      <c r="Y2547" t="b">
        <v>0</v>
      </c>
      <c r="Z2547" t="b">
        <v>0</v>
      </c>
      <c r="AC2547" s="1"/>
      <c r="AF2547">
        <v>0</v>
      </c>
      <c r="AG2547">
        <v>45</v>
      </c>
      <c r="AH2547">
        <v>27</v>
      </c>
      <c r="AI2547" s="2">
        <f>Table__192.168.3.138DYLAgingReport[[#This Row],[NetAmount]]-Table__192.168.3.138DYLAgingReport[[#This Row],[Paid]]</f>
        <v>30450</v>
      </c>
    </row>
    <row r="2548" spans="1:35">
      <c r="A2548" t="s">
        <v>5084</v>
      </c>
      <c r="B2548" s="1">
        <v>41291</v>
      </c>
      <c r="C2548" s="1">
        <v>41336</v>
      </c>
      <c r="D2548" t="s">
        <v>239</v>
      </c>
      <c r="E2548">
        <v>340630</v>
      </c>
      <c r="F2548">
        <v>54501</v>
      </c>
      <c r="G2548">
        <v>0</v>
      </c>
      <c r="H2548">
        <v>0</v>
      </c>
      <c r="I2548">
        <v>-23</v>
      </c>
      <c r="J2548">
        <v>395131</v>
      </c>
      <c r="K2548" t="s">
        <v>5085</v>
      </c>
      <c r="L2548" s="1">
        <v>41291</v>
      </c>
      <c r="N2548" t="s">
        <v>36</v>
      </c>
      <c r="O2548" t="s">
        <v>37</v>
      </c>
      <c r="P2548" t="s">
        <v>376</v>
      </c>
      <c r="Q2548" t="s">
        <v>39</v>
      </c>
      <c r="R2548" t="s">
        <v>40</v>
      </c>
      <c r="S2548">
        <v>0</v>
      </c>
      <c r="U2548" t="s">
        <v>41</v>
      </c>
      <c r="V2548" t="s">
        <v>42</v>
      </c>
      <c r="X2548" t="s">
        <v>74</v>
      </c>
      <c r="Y2548" t="b">
        <v>0</v>
      </c>
      <c r="Z2548" t="b">
        <v>0</v>
      </c>
      <c r="AC2548" s="1"/>
      <c r="AF2548">
        <v>0</v>
      </c>
      <c r="AG2548">
        <v>45</v>
      </c>
      <c r="AH2548">
        <v>22</v>
      </c>
      <c r="AI2548" s="2">
        <f>Table__192.168.3.138DYLAgingReport[[#This Row],[NetAmount]]-Table__192.168.3.138DYLAgingReport[[#This Row],[Paid]]</f>
        <v>395131</v>
      </c>
    </row>
    <row r="2549" spans="1:35">
      <c r="A2549" t="s">
        <v>5086</v>
      </c>
      <c r="B2549" s="1">
        <v>41290</v>
      </c>
      <c r="C2549" s="1">
        <v>41335</v>
      </c>
      <c r="D2549" t="s">
        <v>229</v>
      </c>
      <c r="E2549">
        <v>54150</v>
      </c>
      <c r="F2549">
        <v>0</v>
      </c>
      <c r="G2549">
        <v>0</v>
      </c>
      <c r="H2549">
        <v>0</v>
      </c>
      <c r="I2549">
        <v>-6</v>
      </c>
      <c r="J2549">
        <v>54150</v>
      </c>
      <c r="K2549" t="s">
        <v>97</v>
      </c>
      <c r="L2549" s="1">
        <v>41274</v>
      </c>
      <c r="M2549" t="s">
        <v>5087</v>
      </c>
      <c r="N2549" t="s">
        <v>36</v>
      </c>
      <c r="O2549" t="s">
        <v>37</v>
      </c>
      <c r="P2549" t="s">
        <v>366</v>
      </c>
      <c r="Q2549" t="s">
        <v>39</v>
      </c>
      <c r="R2549" t="s">
        <v>40</v>
      </c>
      <c r="S2549">
        <v>0</v>
      </c>
      <c r="U2549" t="s">
        <v>41</v>
      </c>
      <c r="V2549" t="s">
        <v>42</v>
      </c>
      <c r="W2549" t="s">
        <v>5088</v>
      </c>
      <c r="X2549" t="s">
        <v>74</v>
      </c>
      <c r="Y2549" t="b">
        <v>0</v>
      </c>
      <c r="Z2549" t="b">
        <v>0</v>
      </c>
      <c r="AA2549" t="b">
        <v>0</v>
      </c>
      <c r="AC2549" s="1"/>
      <c r="AF2549">
        <v>0</v>
      </c>
      <c r="AG2549">
        <v>45</v>
      </c>
      <c r="AH2549">
        <v>39</v>
      </c>
      <c r="AI2549" s="2">
        <f>Table__192.168.3.138DYLAgingReport[[#This Row],[NetAmount]]-Table__192.168.3.138DYLAgingReport[[#This Row],[Paid]]</f>
        <v>54150</v>
      </c>
    </row>
    <row r="2550" spans="1:35">
      <c r="A2550" t="s">
        <v>5089</v>
      </c>
      <c r="B2550" s="1">
        <v>41276</v>
      </c>
      <c r="C2550" s="1">
        <v>41321</v>
      </c>
      <c r="D2550" t="s">
        <v>242</v>
      </c>
      <c r="E2550">
        <v>31020</v>
      </c>
      <c r="F2550">
        <v>4963</v>
      </c>
      <c r="G2550">
        <v>0</v>
      </c>
      <c r="H2550">
        <v>0</v>
      </c>
      <c r="I2550">
        <v>-8</v>
      </c>
      <c r="J2550">
        <v>35983</v>
      </c>
      <c r="K2550" t="s">
        <v>5090</v>
      </c>
      <c r="L2550" s="1">
        <v>41276</v>
      </c>
      <c r="N2550" t="s">
        <v>36</v>
      </c>
      <c r="O2550" t="s">
        <v>37</v>
      </c>
      <c r="P2550" t="s">
        <v>379</v>
      </c>
      <c r="Q2550" t="s">
        <v>39</v>
      </c>
      <c r="R2550" t="s">
        <v>40</v>
      </c>
      <c r="S2550">
        <v>0</v>
      </c>
      <c r="U2550" t="s">
        <v>41</v>
      </c>
      <c r="V2550" t="s">
        <v>42</v>
      </c>
      <c r="X2550" t="s">
        <v>74</v>
      </c>
      <c r="Y2550" t="b">
        <v>0</v>
      </c>
      <c r="Z2550" t="b">
        <v>0</v>
      </c>
      <c r="AC2550" s="1"/>
      <c r="AF2550">
        <v>0</v>
      </c>
      <c r="AG2550">
        <v>45</v>
      </c>
      <c r="AH2550">
        <v>37</v>
      </c>
      <c r="AI2550" s="2">
        <f>Table__192.168.3.138DYLAgingReport[[#This Row],[NetAmount]]-Table__192.168.3.138DYLAgingReport[[#This Row],[Paid]]</f>
        <v>35983</v>
      </c>
    </row>
    <row r="2551" spans="1:35">
      <c r="A2551" t="s">
        <v>5091</v>
      </c>
      <c r="B2551" s="1">
        <v>41274</v>
      </c>
      <c r="C2551" s="1">
        <v>41319</v>
      </c>
      <c r="D2551" t="s">
        <v>242</v>
      </c>
      <c r="E2551">
        <v>57050</v>
      </c>
      <c r="F2551">
        <v>9127</v>
      </c>
      <c r="G2551">
        <v>0</v>
      </c>
      <c r="H2551">
        <v>0</v>
      </c>
      <c r="I2551">
        <v>-8</v>
      </c>
      <c r="J2551">
        <v>66177</v>
      </c>
      <c r="K2551" t="s">
        <v>5090</v>
      </c>
      <c r="L2551" s="1">
        <v>41276</v>
      </c>
      <c r="N2551" t="s">
        <v>36</v>
      </c>
      <c r="O2551" t="s">
        <v>37</v>
      </c>
      <c r="P2551" t="s">
        <v>379</v>
      </c>
      <c r="Q2551" t="s">
        <v>39</v>
      </c>
      <c r="R2551" t="s">
        <v>40</v>
      </c>
      <c r="S2551">
        <v>0</v>
      </c>
      <c r="U2551" t="s">
        <v>41</v>
      </c>
      <c r="V2551" t="s">
        <v>42</v>
      </c>
      <c r="X2551" t="s">
        <v>74</v>
      </c>
      <c r="Y2551" t="b">
        <v>0</v>
      </c>
      <c r="Z2551" t="b">
        <v>0</v>
      </c>
      <c r="AC2551" s="1"/>
      <c r="AF2551">
        <v>0</v>
      </c>
      <c r="AG2551">
        <v>45</v>
      </c>
      <c r="AH2551">
        <v>37</v>
      </c>
      <c r="AI2551" s="2">
        <f>Table__192.168.3.138DYLAgingReport[[#This Row],[NetAmount]]-Table__192.168.3.138DYLAgingReport[[#This Row],[Paid]]</f>
        <v>66177</v>
      </c>
    </row>
    <row r="2552" spans="1:35">
      <c r="A2552" t="s">
        <v>5092</v>
      </c>
      <c r="B2552" s="1">
        <v>41290</v>
      </c>
      <c r="C2552" s="1">
        <v>41335</v>
      </c>
      <c r="D2552" t="s">
        <v>242</v>
      </c>
      <c r="E2552">
        <v>38290</v>
      </c>
      <c r="F2552">
        <v>6126</v>
      </c>
      <c r="G2552">
        <v>0</v>
      </c>
      <c r="H2552">
        <v>0</v>
      </c>
      <c r="I2552">
        <v>-22</v>
      </c>
      <c r="J2552">
        <v>44416</v>
      </c>
      <c r="K2552" t="s">
        <v>5093</v>
      </c>
      <c r="L2552" s="1">
        <v>41290</v>
      </c>
      <c r="N2552" t="s">
        <v>36</v>
      </c>
      <c r="O2552" t="s">
        <v>37</v>
      </c>
      <c r="P2552" t="s">
        <v>379</v>
      </c>
      <c r="Q2552" t="s">
        <v>39</v>
      </c>
      <c r="R2552" t="s">
        <v>40</v>
      </c>
      <c r="S2552">
        <v>0</v>
      </c>
      <c r="U2552" t="s">
        <v>41</v>
      </c>
      <c r="V2552" t="s">
        <v>42</v>
      </c>
      <c r="X2552" t="s">
        <v>74</v>
      </c>
      <c r="Y2552" t="b">
        <v>0</v>
      </c>
      <c r="Z2552" t="b">
        <v>0</v>
      </c>
      <c r="AC2552" s="1"/>
      <c r="AF2552">
        <v>0</v>
      </c>
      <c r="AG2552">
        <v>45</v>
      </c>
      <c r="AH2552">
        <v>23</v>
      </c>
      <c r="AI2552" s="2">
        <f>Table__192.168.3.138DYLAgingReport[[#This Row],[NetAmount]]-Table__192.168.3.138DYLAgingReport[[#This Row],[Paid]]</f>
        <v>44416</v>
      </c>
    </row>
    <row r="2553" spans="1:35">
      <c r="A2553" t="s">
        <v>5094</v>
      </c>
      <c r="B2553" s="1">
        <v>41291</v>
      </c>
      <c r="C2553" s="1">
        <v>41336</v>
      </c>
      <c r="D2553" t="s">
        <v>253</v>
      </c>
      <c r="E2553">
        <v>483530</v>
      </c>
      <c r="F2553">
        <v>77365</v>
      </c>
      <c r="G2553">
        <v>0</v>
      </c>
      <c r="H2553">
        <v>0</v>
      </c>
      <c r="I2553">
        <v>-27</v>
      </c>
      <c r="J2553">
        <v>560895</v>
      </c>
      <c r="K2553" t="s">
        <v>5095</v>
      </c>
      <c r="L2553" s="1">
        <v>41295</v>
      </c>
      <c r="N2553" t="s">
        <v>36</v>
      </c>
      <c r="O2553" t="s">
        <v>37</v>
      </c>
      <c r="P2553" t="s">
        <v>390</v>
      </c>
      <c r="Q2553" t="s">
        <v>39</v>
      </c>
      <c r="R2553" t="s">
        <v>40</v>
      </c>
      <c r="S2553">
        <v>0</v>
      </c>
      <c r="U2553" t="s">
        <v>41</v>
      </c>
      <c r="V2553" t="s">
        <v>42</v>
      </c>
      <c r="X2553" t="s">
        <v>74</v>
      </c>
      <c r="Y2553" t="b">
        <v>0</v>
      </c>
      <c r="Z2553" t="b">
        <v>0</v>
      </c>
      <c r="AC2553" s="1"/>
      <c r="AF2553">
        <v>0</v>
      </c>
      <c r="AG2553">
        <v>45</v>
      </c>
      <c r="AH2553">
        <v>18</v>
      </c>
      <c r="AI2553" s="2">
        <f>Table__192.168.3.138DYLAgingReport[[#This Row],[NetAmount]]-Table__192.168.3.138DYLAgingReport[[#This Row],[Paid]]</f>
        <v>560895</v>
      </c>
    </row>
    <row r="2554" spans="1:35">
      <c r="A2554" t="s">
        <v>5096</v>
      </c>
      <c r="B2554" s="1">
        <v>41286</v>
      </c>
      <c r="C2554" s="1">
        <v>41331</v>
      </c>
      <c r="D2554" t="s">
        <v>239</v>
      </c>
      <c r="E2554">
        <v>322500</v>
      </c>
      <c r="F2554">
        <v>51600</v>
      </c>
      <c r="G2554">
        <v>0</v>
      </c>
      <c r="H2554">
        <v>0</v>
      </c>
      <c r="I2554">
        <v>-18</v>
      </c>
      <c r="J2554">
        <v>374100</v>
      </c>
      <c r="K2554" t="s">
        <v>5097</v>
      </c>
      <c r="L2554" s="1">
        <v>41286</v>
      </c>
      <c r="N2554" t="s">
        <v>36</v>
      </c>
      <c r="O2554" t="s">
        <v>37</v>
      </c>
      <c r="P2554" t="s">
        <v>376</v>
      </c>
      <c r="Q2554" t="s">
        <v>39</v>
      </c>
      <c r="R2554" t="s">
        <v>40</v>
      </c>
      <c r="S2554">
        <v>0</v>
      </c>
      <c r="U2554" t="s">
        <v>41</v>
      </c>
      <c r="V2554" t="s">
        <v>42</v>
      </c>
      <c r="X2554" t="s">
        <v>74</v>
      </c>
      <c r="Y2554" t="b">
        <v>0</v>
      </c>
      <c r="Z2554" t="b">
        <v>0</v>
      </c>
      <c r="AC2554" s="1"/>
      <c r="AF2554">
        <v>0</v>
      </c>
      <c r="AG2554">
        <v>45</v>
      </c>
      <c r="AH2554">
        <v>27</v>
      </c>
      <c r="AI2554" s="2">
        <f>Table__192.168.3.138DYLAgingReport[[#This Row],[NetAmount]]-Table__192.168.3.138DYLAgingReport[[#This Row],[Paid]]</f>
        <v>374100</v>
      </c>
    </row>
    <row r="2555" spans="1:35">
      <c r="A2555" t="s">
        <v>5098</v>
      </c>
      <c r="B2555" s="1">
        <v>41279</v>
      </c>
      <c r="C2555" s="1">
        <v>41324</v>
      </c>
      <c r="D2555" t="s">
        <v>290</v>
      </c>
      <c r="E2555">
        <v>220</v>
      </c>
      <c r="F2555">
        <v>35</v>
      </c>
      <c r="G2555">
        <v>0</v>
      </c>
      <c r="H2555">
        <v>0</v>
      </c>
      <c r="I2555">
        <v>356</v>
      </c>
      <c r="J2555">
        <v>255</v>
      </c>
      <c r="K2555" t="s">
        <v>3771</v>
      </c>
      <c r="L2555" s="1">
        <v>40912</v>
      </c>
      <c r="N2555" t="s">
        <v>36</v>
      </c>
      <c r="O2555" t="s">
        <v>37</v>
      </c>
      <c r="P2555" t="s">
        <v>427</v>
      </c>
      <c r="Q2555" t="s">
        <v>39</v>
      </c>
      <c r="R2555" t="s">
        <v>40</v>
      </c>
      <c r="S2555">
        <v>0</v>
      </c>
      <c r="U2555" t="s">
        <v>41</v>
      </c>
      <c r="V2555" t="s">
        <v>42</v>
      </c>
      <c r="X2555" t="s">
        <v>74</v>
      </c>
      <c r="Y2555" t="b">
        <v>0</v>
      </c>
      <c r="Z2555" t="b">
        <v>0</v>
      </c>
      <c r="AC2555" s="1"/>
      <c r="AF2555">
        <v>0</v>
      </c>
      <c r="AG2555">
        <v>45</v>
      </c>
      <c r="AH2555">
        <v>401</v>
      </c>
      <c r="AI2555" s="2">
        <f>Table__192.168.3.138DYLAgingReport[[#This Row],[NetAmount]]-Table__192.168.3.138DYLAgingReport[[#This Row],[Paid]]</f>
        <v>255</v>
      </c>
    </row>
    <row r="2556" spans="1:35">
      <c r="A2556" t="s">
        <v>5099</v>
      </c>
      <c r="B2556" s="1">
        <v>41279</v>
      </c>
      <c r="C2556" s="1">
        <v>41324</v>
      </c>
      <c r="D2556" t="s">
        <v>290</v>
      </c>
      <c r="E2556">
        <v>2000</v>
      </c>
      <c r="F2556">
        <v>320</v>
      </c>
      <c r="G2556">
        <v>0</v>
      </c>
      <c r="H2556">
        <v>0</v>
      </c>
      <c r="I2556">
        <v>356</v>
      </c>
      <c r="J2556">
        <v>2320</v>
      </c>
      <c r="K2556" t="s">
        <v>3835</v>
      </c>
      <c r="L2556" s="1">
        <v>40912</v>
      </c>
      <c r="N2556" t="s">
        <v>36</v>
      </c>
      <c r="O2556" t="s">
        <v>37</v>
      </c>
      <c r="P2556" t="s">
        <v>427</v>
      </c>
      <c r="Q2556" t="s">
        <v>39</v>
      </c>
      <c r="R2556" t="s">
        <v>40</v>
      </c>
      <c r="S2556">
        <v>0</v>
      </c>
      <c r="U2556" t="s">
        <v>41</v>
      </c>
      <c r="V2556" t="s">
        <v>42</v>
      </c>
      <c r="X2556" t="s">
        <v>74</v>
      </c>
      <c r="Y2556" t="b">
        <v>0</v>
      </c>
      <c r="Z2556" t="b">
        <v>0</v>
      </c>
      <c r="AC2556" s="1"/>
      <c r="AF2556">
        <v>0</v>
      </c>
      <c r="AG2556">
        <v>45</v>
      </c>
      <c r="AH2556">
        <v>401</v>
      </c>
      <c r="AI2556" s="2">
        <f>Table__192.168.3.138DYLAgingReport[[#This Row],[NetAmount]]-Table__192.168.3.138DYLAgingReport[[#This Row],[Paid]]</f>
        <v>2320</v>
      </c>
    </row>
    <row r="2557" spans="1:35">
      <c r="A2557" t="s">
        <v>5100</v>
      </c>
      <c r="B2557" s="1">
        <v>41281</v>
      </c>
      <c r="C2557" s="1">
        <v>41326</v>
      </c>
      <c r="D2557" t="s">
        <v>290</v>
      </c>
      <c r="E2557">
        <v>25500</v>
      </c>
      <c r="F2557">
        <v>4080</v>
      </c>
      <c r="G2557">
        <v>0</v>
      </c>
      <c r="H2557">
        <v>0</v>
      </c>
      <c r="I2557">
        <v>-13</v>
      </c>
      <c r="J2557">
        <v>29580</v>
      </c>
      <c r="K2557" t="s">
        <v>5101</v>
      </c>
      <c r="L2557" s="1">
        <v>41281</v>
      </c>
      <c r="N2557" t="s">
        <v>36</v>
      </c>
      <c r="O2557" t="s">
        <v>37</v>
      </c>
      <c r="P2557" t="s">
        <v>427</v>
      </c>
      <c r="Q2557" t="s">
        <v>39</v>
      </c>
      <c r="R2557" t="s">
        <v>40</v>
      </c>
      <c r="S2557">
        <v>0</v>
      </c>
      <c r="U2557" t="s">
        <v>41</v>
      </c>
      <c r="V2557" t="s">
        <v>42</v>
      </c>
      <c r="X2557" t="s">
        <v>74</v>
      </c>
      <c r="Y2557" t="b">
        <v>0</v>
      </c>
      <c r="Z2557" t="b">
        <v>0</v>
      </c>
      <c r="AC2557" s="1"/>
      <c r="AF2557">
        <v>0</v>
      </c>
      <c r="AG2557">
        <v>45</v>
      </c>
      <c r="AH2557">
        <v>32</v>
      </c>
      <c r="AI2557" s="2">
        <f>Table__192.168.3.138DYLAgingReport[[#This Row],[NetAmount]]-Table__192.168.3.138DYLAgingReport[[#This Row],[Paid]]</f>
        <v>29580</v>
      </c>
    </row>
    <row r="2558" spans="1:35">
      <c r="A2558" t="s">
        <v>5102</v>
      </c>
      <c r="B2558" s="1">
        <v>41282</v>
      </c>
      <c r="C2558" s="1">
        <v>41327</v>
      </c>
      <c r="D2558" t="s">
        <v>290</v>
      </c>
      <c r="E2558">
        <v>8000</v>
      </c>
      <c r="F2558">
        <v>1280</v>
      </c>
      <c r="G2558">
        <v>0</v>
      </c>
      <c r="H2558">
        <v>0</v>
      </c>
      <c r="I2558">
        <v>-14</v>
      </c>
      <c r="J2558">
        <v>9280</v>
      </c>
      <c r="K2558" t="s">
        <v>5103</v>
      </c>
      <c r="L2558" s="1">
        <v>41282</v>
      </c>
      <c r="N2558" t="s">
        <v>36</v>
      </c>
      <c r="O2558" t="s">
        <v>37</v>
      </c>
      <c r="P2558" t="s">
        <v>427</v>
      </c>
      <c r="Q2558" t="s">
        <v>39</v>
      </c>
      <c r="R2558" t="s">
        <v>40</v>
      </c>
      <c r="S2558">
        <v>0</v>
      </c>
      <c r="U2558" t="s">
        <v>41</v>
      </c>
      <c r="V2558" t="s">
        <v>42</v>
      </c>
      <c r="X2558" t="s">
        <v>74</v>
      </c>
      <c r="Y2558" t="b">
        <v>0</v>
      </c>
      <c r="Z2558" t="b">
        <v>0</v>
      </c>
      <c r="AC2558" s="1"/>
      <c r="AF2558">
        <v>0</v>
      </c>
      <c r="AG2558">
        <v>45</v>
      </c>
      <c r="AH2558">
        <v>31</v>
      </c>
      <c r="AI2558" s="2">
        <f>Table__192.168.3.138DYLAgingReport[[#This Row],[NetAmount]]-Table__192.168.3.138DYLAgingReport[[#This Row],[Paid]]</f>
        <v>9280</v>
      </c>
    </row>
    <row r="2559" spans="1:35">
      <c r="A2559" t="s">
        <v>5104</v>
      </c>
      <c r="B2559" s="1">
        <v>41282</v>
      </c>
      <c r="C2559" s="1">
        <v>41327</v>
      </c>
      <c r="D2559" t="s">
        <v>290</v>
      </c>
      <c r="E2559">
        <v>3300</v>
      </c>
      <c r="F2559">
        <v>528</v>
      </c>
      <c r="G2559">
        <v>0</v>
      </c>
      <c r="H2559">
        <v>0</v>
      </c>
      <c r="I2559">
        <v>-14</v>
      </c>
      <c r="J2559">
        <v>3828</v>
      </c>
      <c r="K2559" t="s">
        <v>5105</v>
      </c>
      <c r="L2559" s="1">
        <v>41282</v>
      </c>
      <c r="N2559" t="s">
        <v>36</v>
      </c>
      <c r="O2559" t="s">
        <v>37</v>
      </c>
      <c r="P2559" t="s">
        <v>427</v>
      </c>
      <c r="Q2559" t="s">
        <v>39</v>
      </c>
      <c r="R2559" t="s">
        <v>40</v>
      </c>
      <c r="S2559">
        <v>0</v>
      </c>
      <c r="U2559" t="s">
        <v>41</v>
      </c>
      <c r="V2559" t="s">
        <v>42</v>
      </c>
      <c r="X2559" t="s">
        <v>74</v>
      </c>
      <c r="Y2559" t="b">
        <v>0</v>
      </c>
      <c r="Z2559" t="b">
        <v>0</v>
      </c>
      <c r="AC2559" s="1"/>
      <c r="AF2559">
        <v>0</v>
      </c>
      <c r="AG2559">
        <v>45</v>
      </c>
      <c r="AH2559">
        <v>31</v>
      </c>
      <c r="AI2559" s="2">
        <f>Table__192.168.3.138DYLAgingReport[[#This Row],[NetAmount]]-Table__192.168.3.138DYLAgingReport[[#This Row],[Paid]]</f>
        <v>3828</v>
      </c>
    </row>
    <row r="2560" spans="1:35">
      <c r="A2560" t="s">
        <v>5106</v>
      </c>
      <c r="B2560" s="1">
        <v>41286</v>
      </c>
      <c r="C2560" s="1">
        <v>41331</v>
      </c>
      <c r="D2560" t="s">
        <v>290</v>
      </c>
      <c r="E2560">
        <v>17500</v>
      </c>
      <c r="F2560">
        <v>2800</v>
      </c>
      <c r="G2560">
        <v>0</v>
      </c>
      <c r="H2560">
        <v>0</v>
      </c>
      <c r="I2560">
        <v>-17</v>
      </c>
      <c r="J2560">
        <v>20300</v>
      </c>
      <c r="K2560" t="s">
        <v>1226</v>
      </c>
      <c r="L2560" s="1">
        <v>41285</v>
      </c>
      <c r="N2560" t="s">
        <v>36</v>
      </c>
      <c r="O2560" t="s">
        <v>37</v>
      </c>
      <c r="P2560" t="s">
        <v>427</v>
      </c>
      <c r="Q2560" t="s">
        <v>39</v>
      </c>
      <c r="R2560" t="s">
        <v>40</v>
      </c>
      <c r="S2560">
        <v>0</v>
      </c>
      <c r="U2560" t="s">
        <v>41</v>
      </c>
      <c r="V2560" t="s">
        <v>42</v>
      </c>
      <c r="X2560" t="s">
        <v>74</v>
      </c>
      <c r="Y2560" t="b">
        <v>0</v>
      </c>
      <c r="Z2560" t="b">
        <v>0</v>
      </c>
      <c r="AC2560" s="1"/>
      <c r="AF2560">
        <v>0</v>
      </c>
      <c r="AG2560">
        <v>45</v>
      </c>
      <c r="AH2560">
        <v>28</v>
      </c>
      <c r="AI2560" s="2">
        <f>Table__192.168.3.138DYLAgingReport[[#This Row],[NetAmount]]-Table__192.168.3.138DYLAgingReport[[#This Row],[Paid]]</f>
        <v>20300</v>
      </c>
    </row>
    <row r="2561" spans="1:35">
      <c r="A2561" t="s">
        <v>5107</v>
      </c>
      <c r="B2561" s="1">
        <v>41290</v>
      </c>
      <c r="C2561" s="1">
        <v>41335</v>
      </c>
      <c r="D2561" t="s">
        <v>290</v>
      </c>
      <c r="E2561">
        <v>29500</v>
      </c>
      <c r="F2561">
        <v>4720</v>
      </c>
      <c r="G2561">
        <v>0</v>
      </c>
      <c r="H2561">
        <v>0</v>
      </c>
      <c r="I2561">
        <v>-21</v>
      </c>
      <c r="J2561">
        <v>34220</v>
      </c>
      <c r="K2561" t="s">
        <v>4239</v>
      </c>
      <c r="L2561" s="1">
        <v>41289</v>
      </c>
      <c r="N2561" t="s">
        <v>36</v>
      </c>
      <c r="O2561" t="s">
        <v>37</v>
      </c>
      <c r="P2561" t="s">
        <v>427</v>
      </c>
      <c r="Q2561" t="s">
        <v>39</v>
      </c>
      <c r="R2561" t="s">
        <v>40</v>
      </c>
      <c r="S2561">
        <v>0</v>
      </c>
      <c r="U2561" t="s">
        <v>41</v>
      </c>
      <c r="V2561" t="s">
        <v>42</v>
      </c>
      <c r="X2561" t="s">
        <v>74</v>
      </c>
      <c r="Y2561" t="b">
        <v>0</v>
      </c>
      <c r="Z2561" t="b">
        <v>0</v>
      </c>
      <c r="AC2561" s="1"/>
      <c r="AF2561">
        <v>0</v>
      </c>
      <c r="AG2561">
        <v>45</v>
      </c>
      <c r="AH2561">
        <v>24</v>
      </c>
      <c r="AI2561" s="2">
        <f>Table__192.168.3.138DYLAgingReport[[#This Row],[NetAmount]]-Table__192.168.3.138DYLAgingReport[[#This Row],[Paid]]</f>
        <v>34220</v>
      </c>
    </row>
    <row r="2562" spans="1:35">
      <c r="A2562" t="s">
        <v>5108</v>
      </c>
      <c r="B2562" s="1">
        <v>41286</v>
      </c>
      <c r="C2562" s="1">
        <v>41316</v>
      </c>
      <c r="D2562" t="s">
        <v>285</v>
      </c>
      <c r="E2562">
        <v>870000</v>
      </c>
      <c r="F2562">
        <v>139200</v>
      </c>
      <c r="G2562">
        <v>0</v>
      </c>
      <c r="H2562">
        <v>0</v>
      </c>
      <c r="I2562">
        <v>-6</v>
      </c>
      <c r="J2562">
        <v>1009200</v>
      </c>
      <c r="K2562" t="s">
        <v>5109</v>
      </c>
      <c r="L2562" s="1">
        <v>41289</v>
      </c>
      <c r="N2562" t="s">
        <v>36</v>
      </c>
      <c r="O2562" t="s">
        <v>37</v>
      </c>
      <c r="P2562" t="s">
        <v>422</v>
      </c>
      <c r="Q2562" t="s">
        <v>39</v>
      </c>
      <c r="R2562" t="s">
        <v>40</v>
      </c>
      <c r="S2562">
        <v>0</v>
      </c>
      <c r="U2562" t="s">
        <v>41</v>
      </c>
      <c r="V2562" t="s">
        <v>42</v>
      </c>
      <c r="X2562" t="s">
        <v>74</v>
      </c>
      <c r="Y2562" t="b">
        <v>0</v>
      </c>
      <c r="Z2562" t="b">
        <v>0</v>
      </c>
      <c r="AC2562" s="1"/>
      <c r="AF2562">
        <v>0</v>
      </c>
      <c r="AG2562">
        <v>30</v>
      </c>
      <c r="AH2562">
        <v>24</v>
      </c>
      <c r="AI2562" s="2">
        <f>Table__192.168.3.138DYLAgingReport[[#This Row],[NetAmount]]-Table__192.168.3.138DYLAgingReport[[#This Row],[Paid]]</f>
        <v>1009200</v>
      </c>
    </row>
    <row r="2563" spans="1:35">
      <c r="A2563" t="s">
        <v>5110</v>
      </c>
      <c r="B2563" s="1">
        <v>41295</v>
      </c>
      <c r="C2563" s="1">
        <v>41340</v>
      </c>
      <c r="D2563" t="s">
        <v>248</v>
      </c>
      <c r="E2563">
        <v>252000</v>
      </c>
      <c r="F2563">
        <v>40320</v>
      </c>
      <c r="G2563">
        <v>0</v>
      </c>
      <c r="H2563">
        <v>0</v>
      </c>
      <c r="I2563">
        <v>-27</v>
      </c>
      <c r="J2563">
        <v>292320</v>
      </c>
      <c r="K2563" t="s">
        <v>2335</v>
      </c>
      <c r="L2563" s="1">
        <v>41295</v>
      </c>
      <c r="N2563" t="s">
        <v>36</v>
      </c>
      <c r="O2563" t="s">
        <v>37</v>
      </c>
      <c r="P2563" t="s">
        <v>385</v>
      </c>
      <c r="Q2563" t="s">
        <v>39</v>
      </c>
      <c r="R2563" t="s">
        <v>40</v>
      </c>
      <c r="S2563">
        <v>0</v>
      </c>
      <c r="U2563" t="s">
        <v>41</v>
      </c>
      <c r="V2563" t="s">
        <v>42</v>
      </c>
      <c r="X2563" t="s">
        <v>74</v>
      </c>
      <c r="Y2563" t="b">
        <v>0</v>
      </c>
      <c r="Z2563" t="b">
        <v>0</v>
      </c>
      <c r="AC2563" s="1"/>
      <c r="AF2563">
        <v>0</v>
      </c>
      <c r="AG2563">
        <v>45</v>
      </c>
      <c r="AH2563">
        <v>18</v>
      </c>
      <c r="AI2563" s="2">
        <f>Table__192.168.3.138DYLAgingReport[[#This Row],[NetAmount]]-Table__192.168.3.138DYLAgingReport[[#This Row],[Paid]]</f>
        <v>292320</v>
      </c>
    </row>
    <row r="2564" spans="1:35">
      <c r="A2564" t="s">
        <v>5111</v>
      </c>
      <c r="B2564" s="1">
        <v>41284</v>
      </c>
      <c r="C2564" s="1">
        <v>41329</v>
      </c>
      <c r="D2564" t="s">
        <v>168</v>
      </c>
      <c r="E2564">
        <v>34500</v>
      </c>
      <c r="F2564">
        <v>5520</v>
      </c>
      <c r="G2564">
        <v>0</v>
      </c>
      <c r="H2564">
        <v>0</v>
      </c>
      <c r="I2564">
        <v>-16</v>
      </c>
      <c r="J2564">
        <v>40020</v>
      </c>
      <c r="K2564" t="s">
        <v>5112</v>
      </c>
      <c r="L2564" s="1">
        <v>41284</v>
      </c>
      <c r="N2564" t="s">
        <v>36</v>
      </c>
      <c r="O2564" t="s">
        <v>37</v>
      </c>
      <c r="P2564" t="s">
        <v>305</v>
      </c>
      <c r="Q2564" t="s">
        <v>39</v>
      </c>
      <c r="R2564" t="s">
        <v>40</v>
      </c>
      <c r="S2564">
        <v>0</v>
      </c>
      <c r="U2564" t="s">
        <v>41</v>
      </c>
      <c r="V2564" t="s">
        <v>42</v>
      </c>
      <c r="X2564" t="s">
        <v>74</v>
      </c>
      <c r="Y2564" t="b">
        <v>0</v>
      </c>
      <c r="Z2564" t="b">
        <v>0</v>
      </c>
      <c r="AC2564" s="1"/>
      <c r="AF2564">
        <v>0</v>
      </c>
      <c r="AG2564">
        <v>45</v>
      </c>
      <c r="AH2564">
        <v>29</v>
      </c>
      <c r="AI2564" s="2">
        <f>Table__192.168.3.138DYLAgingReport[[#This Row],[NetAmount]]-Table__192.168.3.138DYLAgingReport[[#This Row],[Paid]]</f>
        <v>40020</v>
      </c>
    </row>
    <row r="2565" spans="1:35">
      <c r="A2565" t="s">
        <v>5113</v>
      </c>
      <c r="B2565" s="1">
        <v>41291</v>
      </c>
      <c r="C2565" s="1">
        <v>41336</v>
      </c>
      <c r="D2565" t="s">
        <v>168</v>
      </c>
      <c r="E2565">
        <v>409760</v>
      </c>
      <c r="F2565">
        <v>65562</v>
      </c>
      <c r="G2565">
        <v>0</v>
      </c>
      <c r="H2565">
        <v>0</v>
      </c>
      <c r="I2565">
        <v>-23</v>
      </c>
      <c r="J2565">
        <v>475322</v>
      </c>
      <c r="K2565" t="s">
        <v>5114</v>
      </c>
      <c r="L2565" s="1">
        <v>41291</v>
      </c>
      <c r="N2565" t="s">
        <v>36</v>
      </c>
      <c r="O2565" t="s">
        <v>37</v>
      </c>
      <c r="P2565" t="s">
        <v>305</v>
      </c>
      <c r="Q2565" t="s">
        <v>39</v>
      </c>
      <c r="R2565" t="s">
        <v>40</v>
      </c>
      <c r="S2565">
        <v>0</v>
      </c>
      <c r="U2565" t="s">
        <v>41</v>
      </c>
      <c r="V2565" t="s">
        <v>42</v>
      </c>
      <c r="X2565" t="s">
        <v>74</v>
      </c>
      <c r="Y2565" t="b">
        <v>0</v>
      </c>
      <c r="Z2565" t="b">
        <v>0</v>
      </c>
      <c r="AC2565" s="1"/>
      <c r="AF2565">
        <v>0</v>
      </c>
      <c r="AG2565">
        <v>45</v>
      </c>
      <c r="AH2565">
        <v>22</v>
      </c>
      <c r="AI2565" s="2">
        <f>Table__192.168.3.138DYLAgingReport[[#This Row],[NetAmount]]-Table__192.168.3.138DYLAgingReport[[#This Row],[Paid]]</f>
        <v>475322</v>
      </c>
    </row>
    <row r="2566" spans="1:35">
      <c r="A2566" t="s">
        <v>5115</v>
      </c>
      <c r="B2566" s="1">
        <v>41296</v>
      </c>
      <c r="C2566" s="1">
        <v>41341</v>
      </c>
      <c r="D2566" t="s">
        <v>180</v>
      </c>
      <c r="E2566">
        <v>75333</v>
      </c>
      <c r="F2566">
        <v>12053</v>
      </c>
      <c r="G2566">
        <v>0</v>
      </c>
      <c r="H2566">
        <v>0</v>
      </c>
      <c r="I2566">
        <v>-28</v>
      </c>
      <c r="J2566">
        <v>87386</v>
      </c>
      <c r="K2566" t="s">
        <v>5116</v>
      </c>
      <c r="L2566" s="1">
        <v>41296</v>
      </c>
      <c r="N2566" t="s">
        <v>36</v>
      </c>
      <c r="O2566" t="s">
        <v>37</v>
      </c>
      <c r="P2566" t="s">
        <v>317</v>
      </c>
      <c r="Q2566" t="s">
        <v>39</v>
      </c>
      <c r="R2566" t="s">
        <v>40</v>
      </c>
      <c r="S2566">
        <v>0</v>
      </c>
      <c r="U2566" t="s">
        <v>41</v>
      </c>
      <c r="V2566" t="s">
        <v>42</v>
      </c>
      <c r="X2566" t="s">
        <v>74</v>
      </c>
      <c r="Y2566" t="b">
        <v>0</v>
      </c>
      <c r="Z2566" t="b">
        <v>0</v>
      </c>
      <c r="AC2566" s="1"/>
      <c r="AF2566">
        <v>0</v>
      </c>
      <c r="AG2566">
        <v>45</v>
      </c>
      <c r="AH2566">
        <v>17</v>
      </c>
      <c r="AI2566" s="2">
        <f>Table__192.168.3.138DYLAgingReport[[#This Row],[NetAmount]]-Table__192.168.3.138DYLAgingReport[[#This Row],[Paid]]</f>
        <v>87386</v>
      </c>
    </row>
    <row r="2567" spans="1:35">
      <c r="A2567" t="s">
        <v>5117</v>
      </c>
      <c r="B2567" s="1">
        <v>41279</v>
      </c>
      <c r="C2567" s="1">
        <v>41324</v>
      </c>
      <c r="D2567" t="s">
        <v>180</v>
      </c>
      <c r="E2567">
        <v>13173</v>
      </c>
      <c r="F2567">
        <v>2108</v>
      </c>
      <c r="G2567">
        <v>0</v>
      </c>
      <c r="H2567">
        <v>0</v>
      </c>
      <c r="I2567">
        <v>-11</v>
      </c>
      <c r="J2567">
        <v>15281</v>
      </c>
      <c r="K2567" t="s">
        <v>5041</v>
      </c>
      <c r="L2567" s="1">
        <v>41279</v>
      </c>
      <c r="N2567" t="s">
        <v>36</v>
      </c>
      <c r="O2567" t="s">
        <v>37</v>
      </c>
      <c r="P2567" t="s">
        <v>317</v>
      </c>
      <c r="Q2567" t="s">
        <v>39</v>
      </c>
      <c r="R2567" t="s">
        <v>40</v>
      </c>
      <c r="S2567">
        <v>0</v>
      </c>
      <c r="U2567" t="s">
        <v>41</v>
      </c>
      <c r="V2567" t="s">
        <v>42</v>
      </c>
      <c r="X2567" t="s">
        <v>74</v>
      </c>
      <c r="Y2567" t="b">
        <v>0</v>
      </c>
      <c r="Z2567" t="b">
        <v>0</v>
      </c>
      <c r="AC2567" s="1"/>
      <c r="AF2567">
        <v>0</v>
      </c>
      <c r="AG2567">
        <v>45</v>
      </c>
      <c r="AH2567">
        <v>34</v>
      </c>
      <c r="AI2567" s="2">
        <f>Table__192.168.3.138DYLAgingReport[[#This Row],[NetAmount]]-Table__192.168.3.138DYLAgingReport[[#This Row],[Paid]]</f>
        <v>15281</v>
      </c>
    </row>
    <row r="2568" spans="1:35">
      <c r="A2568" t="s">
        <v>5118</v>
      </c>
      <c r="B2568" s="1">
        <v>41289</v>
      </c>
      <c r="C2568" s="1">
        <v>41334</v>
      </c>
      <c r="D2568" t="s">
        <v>242</v>
      </c>
      <c r="E2568">
        <v>25570</v>
      </c>
      <c r="F2568">
        <v>4092</v>
      </c>
      <c r="G2568">
        <v>0</v>
      </c>
      <c r="H2568">
        <v>0</v>
      </c>
      <c r="I2568">
        <v>-20</v>
      </c>
      <c r="J2568">
        <v>29662</v>
      </c>
      <c r="K2568" t="s">
        <v>5119</v>
      </c>
      <c r="L2568" s="1">
        <v>41288</v>
      </c>
      <c r="N2568" t="s">
        <v>36</v>
      </c>
      <c r="O2568" t="s">
        <v>37</v>
      </c>
      <c r="P2568" t="s">
        <v>379</v>
      </c>
      <c r="Q2568" t="s">
        <v>39</v>
      </c>
      <c r="R2568" t="s">
        <v>40</v>
      </c>
      <c r="S2568">
        <v>0</v>
      </c>
      <c r="U2568" t="s">
        <v>41</v>
      </c>
      <c r="V2568" t="s">
        <v>42</v>
      </c>
      <c r="X2568" t="s">
        <v>74</v>
      </c>
      <c r="Y2568" t="b">
        <v>0</v>
      </c>
      <c r="Z2568" t="b">
        <v>0</v>
      </c>
      <c r="AC2568" s="1"/>
      <c r="AF2568">
        <v>0</v>
      </c>
      <c r="AG2568">
        <v>45</v>
      </c>
      <c r="AH2568">
        <v>25</v>
      </c>
      <c r="AI2568" s="2">
        <f>Table__192.168.3.138DYLAgingReport[[#This Row],[NetAmount]]-Table__192.168.3.138DYLAgingReport[[#This Row],[Paid]]</f>
        <v>29662</v>
      </c>
    </row>
    <row r="2569" spans="1:35">
      <c r="A2569" t="s">
        <v>5120</v>
      </c>
      <c r="B2569" s="1">
        <v>41284</v>
      </c>
      <c r="C2569" s="1">
        <v>41329</v>
      </c>
      <c r="D2569" t="s">
        <v>242</v>
      </c>
      <c r="E2569">
        <v>50250</v>
      </c>
      <c r="F2569">
        <v>8040</v>
      </c>
      <c r="G2569">
        <v>0</v>
      </c>
      <c r="H2569">
        <v>0</v>
      </c>
      <c r="I2569">
        <v>-15</v>
      </c>
      <c r="J2569">
        <v>58290</v>
      </c>
      <c r="K2569" t="s">
        <v>5121</v>
      </c>
      <c r="L2569" s="1">
        <v>41283</v>
      </c>
      <c r="N2569" t="s">
        <v>36</v>
      </c>
      <c r="O2569" t="s">
        <v>37</v>
      </c>
      <c r="P2569" t="s">
        <v>379</v>
      </c>
      <c r="Q2569" t="s">
        <v>39</v>
      </c>
      <c r="R2569" t="s">
        <v>40</v>
      </c>
      <c r="S2569">
        <v>0</v>
      </c>
      <c r="U2569" t="s">
        <v>41</v>
      </c>
      <c r="V2569" t="s">
        <v>42</v>
      </c>
      <c r="X2569" t="s">
        <v>74</v>
      </c>
      <c r="Y2569" t="b">
        <v>0</v>
      </c>
      <c r="Z2569" t="b">
        <v>0</v>
      </c>
      <c r="AC2569" s="1"/>
      <c r="AF2569">
        <v>0</v>
      </c>
      <c r="AG2569">
        <v>45</v>
      </c>
      <c r="AH2569">
        <v>30</v>
      </c>
      <c r="AI2569" s="2">
        <f>Table__192.168.3.138DYLAgingReport[[#This Row],[NetAmount]]-Table__192.168.3.138DYLAgingReport[[#This Row],[Paid]]</f>
        <v>58290</v>
      </c>
    </row>
    <row r="2570" spans="1:35">
      <c r="A2570" t="s">
        <v>5122</v>
      </c>
      <c r="B2570" s="1">
        <v>41295</v>
      </c>
      <c r="C2570" s="1">
        <v>41340</v>
      </c>
      <c r="D2570" t="s">
        <v>300</v>
      </c>
      <c r="E2570">
        <v>134072</v>
      </c>
      <c r="F2570">
        <v>21452</v>
      </c>
      <c r="G2570">
        <v>0</v>
      </c>
      <c r="H2570">
        <v>0</v>
      </c>
      <c r="I2570">
        <v>-21</v>
      </c>
      <c r="J2570">
        <v>155524</v>
      </c>
      <c r="K2570" t="s">
        <v>5123</v>
      </c>
      <c r="L2570" s="1">
        <v>41289</v>
      </c>
      <c r="N2570" t="s">
        <v>36</v>
      </c>
      <c r="O2570" t="s">
        <v>37</v>
      </c>
      <c r="P2570" t="s">
        <v>437</v>
      </c>
      <c r="Q2570" t="s">
        <v>39</v>
      </c>
      <c r="R2570" t="s">
        <v>40</v>
      </c>
      <c r="S2570">
        <v>0</v>
      </c>
      <c r="U2570" t="s">
        <v>41</v>
      </c>
      <c r="V2570" t="s">
        <v>42</v>
      </c>
      <c r="X2570" t="s">
        <v>74</v>
      </c>
      <c r="Y2570" t="b">
        <v>0</v>
      </c>
      <c r="Z2570" t="b">
        <v>0</v>
      </c>
      <c r="AC2570" s="1"/>
      <c r="AF2570">
        <v>0</v>
      </c>
      <c r="AG2570">
        <v>45</v>
      </c>
      <c r="AH2570">
        <v>24</v>
      </c>
      <c r="AI2570" s="2">
        <f>Table__192.168.3.138DYLAgingReport[[#This Row],[NetAmount]]-Table__192.168.3.138DYLAgingReport[[#This Row],[Paid]]</f>
        <v>155524</v>
      </c>
    </row>
    <row r="2571" spans="1:35">
      <c r="A2571" t="s">
        <v>5124</v>
      </c>
      <c r="B2571" s="1">
        <v>41291</v>
      </c>
      <c r="C2571" s="1">
        <v>41321</v>
      </c>
      <c r="D2571" t="s">
        <v>196</v>
      </c>
      <c r="E2571">
        <v>870000</v>
      </c>
      <c r="F2571">
        <v>139200</v>
      </c>
      <c r="G2571">
        <v>0</v>
      </c>
      <c r="H2571">
        <v>0</v>
      </c>
      <c r="I2571">
        <v>-9</v>
      </c>
      <c r="J2571">
        <v>1009200</v>
      </c>
      <c r="K2571" t="s">
        <v>5125</v>
      </c>
      <c r="L2571" s="1">
        <v>41292</v>
      </c>
      <c r="N2571" t="s">
        <v>36</v>
      </c>
      <c r="O2571" t="s">
        <v>37</v>
      </c>
      <c r="P2571" t="s">
        <v>333</v>
      </c>
      <c r="Q2571" t="s">
        <v>39</v>
      </c>
      <c r="R2571" t="s">
        <v>40</v>
      </c>
      <c r="S2571">
        <v>0</v>
      </c>
      <c r="U2571" t="s">
        <v>41</v>
      </c>
      <c r="V2571" t="s">
        <v>42</v>
      </c>
      <c r="X2571" t="s">
        <v>74</v>
      </c>
      <c r="Y2571" t="b">
        <v>0</v>
      </c>
      <c r="Z2571" t="b">
        <v>0</v>
      </c>
      <c r="AC2571" s="1"/>
      <c r="AF2571">
        <v>0</v>
      </c>
      <c r="AG2571">
        <v>30</v>
      </c>
      <c r="AH2571">
        <v>21</v>
      </c>
      <c r="AI2571" s="2">
        <f>Table__192.168.3.138DYLAgingReport[[#This Row],[NetAmount]]-Table__192.168.3.138DYLAgingReport[[#This Row],[Paid]]</f>
        <v>1009200</v>
      </c>
    </row>
    <row r="2572" spans="1:35">
      <c r="A2572" t="s">
        <v>5126</v>
      </c>
      <c r="B2572" s="1">
        <v>41295</v>
      </c>
      <c r="C2572" s="1">
        <v>41340</v>
      </c>
      <c r="D2572" t="s">
        <v>301</v>
      </c>
      <c r="E2572">
        <v>119970</v>
      </c>
      <c r="F2572">
        <v>19195</v>
      </c>
      <c r="G2572">
        <v>0</v>
      </c>
      <c r="H2572">
        <v>0</v>
      </c>
      <c r="I2572">
        <v>-27</v>
      </c>
      <c r="J2572">
        <v>139165</v>
      </c>
      <c r="K2572" t="s">
        <v>5127</v>
      </c>
      <c r="L2572" s="1">
        <v>41295</v>
      </c>
      <c r="N2572" t="s">
        <v>36</v>
      </c>
      <c r="O2572" t="s">
        <v>37</v>
      </c>
      <c r="P2572" t="s">
        <v>438</v>
      </c>
      <c r="Q2572" t="s">
        <v>39</v>
      </c>
      <c r="R2572" t="s">
        <v>40</v>
      </c>
      <c r="S2572">
        <v>0</v>
      </c>
      <c r="U2572" t="s">
        <v>41</v>
      </c>
      <c r="V2572" t="s">
        <v>42</v>
      </c>
      <c r="X2572" t="s">
        <v>74</v>
      </c>
      <c r="Y2572" t="b">
        <v>0</v>
      </c>
      <c r="Z2572" t="b">
        <v>0</v>
      </c>
      <c r="AC2572" s="1"/>
      <c r="AF2572">
        <v>0</v>
      </c>
      <c r="AG2572">
        <v>45</v>
      </c>
      <c r="AH2572">
        <v>18</v>
      </c>
      <c r="AI2572" s="2">
        <f>Table__192.168.3.138DYLAgingReport[[#This Row],[NetAmount]]-Table__192.168.3.138DYLAgingReport[[#This Row],[Paid]]</f>
        <v>139165</v>
      </c>
    </row>
    <row r="2573" spans="1:35">
      <c r="A2573" t="s">
        <v>5128</v>
      </c>
      <c r="B2573" s="1">
        <v>41289</v>
      </c>
      <c r="C2573" s="1">
        <v>41334</v>
      </c>
      <c r="D2573" t="s">
        <v>171</v>
      </c>
      <c r="E2573">
        <v>20500</v>
      </c>
      <c r="F2573">
        <v>3280</v>
      </c>
      <c r="G2573">
        <v>0</v>
      </c>
      <c r="H2573">
        <v>0</v>
      </c>
      <c r="I2573">
        <v>-20</v>
      </c>
      <c r="J2573">
        <v>23780</v>
      </c>
      <c r="K2573" t="s">
        <v>5129</v>
      </c>
      <c r="L2573" s="1">
        <v>41288</v>
      </c>
      <c r="N2573" t="s">
        <v>36</v>
      </c>
      <c r="O2573" t="s">
        <v>37</v>
      </c>
      <c r="P2573" t="s">
        <v>308</v>
      </c>
      <c r="Q2573" t="s">
        <v>39</v>
      </c>
      <c r="R2573" t="s">
        <v>40</v>
      </c>
      <c r="S2573">
        <v>0</v>
      </c>
      <c r="U2573" t="s">
        <v>41</v>
      </c>
      <c r="V2573" t="s">
        <v>42</v>
      </c>
      <c r="X2573" t="s">
        <v>74</v>
      </c>
      <c r="Y2573" t="b">
        <v>0</v>
      </c>
      <c r="Z2573" t="b">
        <v>0</v>
      </c>
      <c r="AC2573" s="1"/>
      <c r="AF2573">
        <v>0</v>
      </c>
      <c r="AG2573">
        <v>45</v>
      </c>
      <c r="AH2573">
        <v>25</v>
      </c>
      <c r="AI2573" s="2">
        <f>Table__192.168.3.138DYLAgingReport[[#This Row],[NetAmount]]-Table__192.168.3.138DYLAgingReport[[#This Row],[Paid]]</f>
        <v>23780</v>
      </c>
    </row>
    <row r="2574" spans="1:35">
      <c r="A2574" t="s">
        <v>5130</v>
      </c>
      <c r="B2574" s="1">
        <v>41293</v>
      </c>
      <c r="C2574" s="1">
        <v>41338</v>
      </c>
      <c r="D2574" t="s">
        <v>227</v>
      </c>
      <c r="E2574">
        <v>129000</v>
      </c>
      <c r="F2574">
        <v>20640</v>
      </c>
      <c r="G2574">
        <v>0</v>
      </c>
      <c r="H2574">
        <v>0</v>
      </c>
      <c r="I2574">
        <v>-25</v>
      </c>
      <c r="J2574">
        <v>149640</v>
      </c>
      <c r="K2574" t="s">
        <v>5131</v>
      </c>
      <c r="L2574" s="1">
        <v>41293</v>
      </c>
      <c r="N2574" t="s">
        <v>36</v>
      </c>
      <c r="O2574" t="s">
        <v>37</v>
      </c>
      <c r="P2574" t="s">
        <v>364</v>
      </c>
      <c r="Q2574" t="s">
        <v>39</v>
      </c>
      <c r="R2574" t="s">
        <v>40</v>
      </c>
      <c r="S2574">
        <v>0</v>
      </c>
      <c r="U2574" t="s">
        <v>41</v>
      </c>
      <c r="V2574" t="s">
        <v>42</v>
      </c>
      <c r="X2574" t="s">
        <v>74</v>
      </c>
      <c r="Y2574" t="b">
        <v>0</v>
      </c>
      <c r="Z2574" t="b">
        <v>0</v>
      </c>
      <c r="AC2574" s="1"/>
      <c r="AF2574">
        <v>0</v>
      </c>
      <c r="AG2574">
        <v>45</v>
      </c>
      <c r="AH2574">
        <v>20</v>
      </c>
      <c r="AI2574" s="2">
        <f>Table__192.168.3.138DYLAgingReport[[#This Row],[NetAmount]]-Table__192.168.3.138DYLAgingReport[[#This Row],[Paid]]</f>
        <v>149640</v>
      </c>
    </row>
    <row r="2575" spans="1:35">
      <c r="A2575" t="s">
        <v>5132</v>
      </c>
      <c r="B2575" s="1">
        <v>41296</v>
      </c>
      <c r="C2575" s="1">
        <v>41341</v>
      </c>
      <c r="D2575" t="s">
        <v>292</v>
      </c>
      <c r="E2575">
        <v>43200</v>
      </c>
      <c r="F2575">
        <v>6912</v>
      </c>
      <c r="G2575">
        <v>0</v>
      </c>
      <c r="H2575">
        <v>0</v>
      </c>
      <c r="I2575">
        <v>-28</v>
      </c>
      <c r="J2575">
        <v>50112</v>
      </c>
      <c r="K2575" t="s">
        <v>1565</v>
      </c>
      <c r="L2575" s="1">
        <v>41296</v>
      </c>
      <c r="N2575" t="s">
        <v>36</v>
      </c>
      <c r="O2575" t="s">
        <v>37</v>
      </c>
      <c r="P2575" t="s">
        <v>429</v>
      </c>
      <c r="Q2575" t="s">
        <v>39</v>
      </c>
      <c r="R2575" t="s">
        <v>40</v>
      </c>
      <c r="S2575">
        <v>0</v>
      </c>
      <c r="U2575" t="s">
        <v>41</v>
      </c>
      <c r="V2575" t="s">
        <v>42</v>
      </c>
      <c r="X2575" t="s">
        <v>74</v>
      </c>
      <c r="Y2575" t="b">
        <v>0</v>
      </c>
      <c r="Z2575" t="b">
        <v>0</v>
      </c>
      <c r="AC2575" s="1"/>
      <c r="AF2575">
        <v>0</v>
      </c>
      <c r="AG2575">
        <v>45</v>
      </c>
      <c r="AH2575">
        <v>17</v>
      </c>
      <c r="AI2575" s="2">
        <f>Table__192.168.3.138DYLAgingReport[[#This Row],[NetAmount]]-Table__192.168.3.138DYLAgingReport[[#This Row],[Paid]]</f>
        <v>50112</v>
      </c>
    </row>
    <row r="2576" spans="1:35">
      <c r="A2576" t="s">
        <v>5133</v>
      </c>
      <c r="B2576" s="1">
        <v>41289</v>
      </c>
      <c r="C2576" s="1">
        <v>41334</v>
      </c>
      <c r="D2576" t="s">
        <v>293</v>
      </c>
      <c r="E2576">
        <v>510000</v>
      </c>
      <c r="F2576">
        <v>81600</v>
      </c>
      <c r="G2576">
        <v>0</v>
      </c>
      <c r="H2576">
        <v>0</v>
      </c>
      <c r="I2576">
        <v>-21</v>
      </c>
      <c r="J2576">
        <v>591600</v>
      </c>
      <c r="K2576" t="s">
        <v>5134</v>
      </c>
      <c r="L2576" s="1">
        <v>41289</v>
      </c>
      <c r="N2576" t="s">
        <v>36</v>
      </c>
      <c r="O2576" t="s">
        <v>37</v>
      </c>
      <c r="P2576" t="s">
        <v>430</v>
      </c>
      <c r="Q2576" t="s">
        <v>39</v>
      </c>
      <c r="R2576" t="s">
        <v>40</v>
      </c>
      <c r="S2576">
        <v>0</v>
      </c>
      <c r="U2576" t="s">
        <v>41</v>
      </c>
      <c r="V2576" t="s">
        <v>42</v>
      </c>
      <c r="X2576" t="s">
        <v>74</v>
      </c>
      <c r="Y2576" t="b">
        <v>0</v>
      </c>
      <c r="Z2576" t="b">
        <v>0</v>
      </c>
      <c r="AC2576" s="1"/>
      <c r="AF2576">
        <v>0</v>
      </c>
      <c r="AG2576">
        <v>45</v>
      </c>
      <c r="AH2576">
        <v>24</v>
      </c>
      <c r="AI2576" s="2">
        <f>Table__192.168.3.138DYLAgingReport[[#This Row],[NetAmount]]-Table__192.168.3.138DYLAgingReport[[#This Row],[Paid]]</f>
        <v>591600</v>
      </c>
    </row>
    <row r="2577" spans="1:35">
      <c r="A2577" t="s">
        <v>5135</v>
      </c>
      <c r="B2577" s="1">
        <v>41293</v>
      </c>
      <c r="C2577" s="1">
        <v>41338</v>
      </c>
      <c r="D2577" t="s">
        <v>293</v>
      </c>
      <c r="E2577">
        <v>913500</v>
      </c>
      <c r="F2577">
        <v>146160</v>
      </c>
      <c r="G2577">
        <v>0</v>
      </c>
      <c r="H2577">
        <v>0</v>
      </c>
      <c r="I2577">
        <v>-25</v>
      </c>
      <c r="J2577">
        <v>1059660</v>
      </c>
      <c r="K2577" t="s">
        <v>5136</v>
      </c>
      <c r="L2577" s="1">
        <v>41293</v>
      </c>
      <c r="N2577" t="s">
        <v>36</v>
      </c>
      <c r="O2577" t="s">
        <v>37</v>
      </c>
      <c r="P2577" t="s">
        <v>430</v>
      </c>
      <c r="Q2577" t="s">
        <v>39</v>
      </c>
      <c r="R2577" t="s">
        <v>40</v>
      </c>
      <c r="S2577">
        <v>0</v>
      </c>
      <c r="U2577" t="s">
        <v>41</v>
      </c>
      <c r="V2577" t="s">
        <v>42</v>
      </c>
      <c r="X2577" t="s">
        <v>74</v>
      </c>
      <c r="Y2577" t="b">
        <v>0</v>
      </c>
      <c r="Z2577" t="b">
        <v>0</v>
      </c>
      <c r="AC2577" s="1"/>
      <c r="AF2577">
        <v>0</v>
      </c>
      <c r="AG2577">
        <v>45</v>
      </c>
      <c r="AH2577">
        <v>20</v>
      </c>
      <c r="AI2577" s="2">
        <f>Table__192.168.3.138DYLAgingReport[[#This Row],[NetAmount]]-Table__192.168.3.138DYLAgingReport[[#This Row],[Paid]]</f>
        <v>1059660</v>
      </c>
    </row>
    <row r="2578" spans="1:35">
      <c r="A2578" t="s">
        <v>5137</v>
      </c>
      <c r="B2578" s="1">
        <v>41291</v>
      </c>
      <c r="C2578" s="1">
        <v>41336</v>
      </c>
      <c r="D2578" t="s">
        <v>299</v>
      </c>
      <c r="E2578">
        <v>215000</v>
      </c>
      <c r="F2578">
        <v>34400</v>
      </c>
      <c r="G2578">
        <v>0</v>
      </c>
      <c r="H2578">
        <v>0</v>
      </c>
      <c r="I2578">
        <v>-18</v>
      </c>
      <c r="J2578">
        <v>249400</v>
      </c>
      <c r="K2578" t="s">
        <v>5138</v>
      </c>
      <c r="L2578" s="1">
        <v>41286</v>
      </c>
      <c r="N2578" t="s">
        <v>36</v>
      </c>
      <c r="O2578" t="s">
        <v>37</v>
      </c>
      <c r="P2578" t="s">
        <v>436</v>
      </c>
      <c r="Q2578" t="s">
        <v>39</v>
      </c>
      <c r="R2578" t="s">
        <v>40</v>
      </c>
      <c r="S2578">
        <v>0</v>
      </c>
      <c r="U2578" t="s">
        <v>41</v>
      </c>
      <c r="V2578" t="s">
        <v>42</v>
      </c>
      <c r="X2578" t="s">
        <v>74</v>
      </c>
      <c r="Y2578" t="b">
        <v>0</v>
      </c>
      <c r="Z2578" t="b">
        <v>0</v>
      </c>
      <c r="AC2578" s="1"/>
      <c r="AF2578">
        <v>0</v>
      </c>
      <c r="AG2578">
        <v>45</v>
      </c>
      <c r="AH2578">
        <v>27</v>
      </c>
      <c r="AI2578" s="2">
        <f>Table__192.168.3.138DYLAgingReport[[#This Row],[NetAmount]]-Table__192.168.3.138DYLAgingReport[[#This Row],[Paid]]</f>
        <v>249400</v>
      </c>
    </row>
    <row r="2579" spans="1:35">
      <c r="A2579" t="s">
        <v>5139</v>
      </c>
      <c r="B2579" s="1">
        <v>41293</v>
      </c>
      <c r="C2579" s="1">
        <v>41338</v>
      </c>
      <c r="D2579" t="s">
        <v>299</v>
      </c>
      <c r="E2579">
        <v>129000</v>
      </c>
      <c r="F2579">
        <v>20640</v>
      </c>
      <c r="G2579">
        <v>0</v>
      </c>
      <c r="H2579">
        <v>0</v>
      </c>
      <c r="I2579">
        <v>-23</v>
      </c>
      <c r="J2579">
        <v>149640</v>
      </c>
      <c r="K2579" t="s">
        <v>5140</v>
      </c>
      <c r="L2579" s="1">
        <v>41291</v>
      </c>
      <c r="N2579" t="s">
        <v>36</v>
      </c>
      <c r="O2579" t="s">
        <v>37</v>
      </c>
      <c r="P2579" t="s">
        <v>436</v>
      </c>
      <c r="Q2579" t="s">
        <v>39</v>
      </c>
      <c r="R2579" t="s">
        <v>40</v>
      </c>
      <c r="S2579">
        <v>0</v>
      </c>
      <c r="U2579" t="s">
        <v>41</v>
      </c>
      <c r="V2579" t="s">
        <v>42</v>
      </c>
      <c r="X2579" t="s">
        <v>74</v>
      </c>
      <c r="Y2579" t="b">
        <v>0</v>
      </c>
      <c r="Z2579" t="b">
        <v>0</v>
      </c>
      <c r="AC2579" s="1"/>
      <c r="AF2579">
        <v>0</v>
      </c>
      <c r="AG2579">
        <v>45</v>
      </c>
      <c r="AH2579">
        <v>22</v>
      </c>
      <c r="AI2579" s="2">
        <f>Table__192.168.3.138DYLAgingReport[[#This Row],[NetAmount]]-Table__192.168.3.138DYLAgingReport[[#This Row],[Paid]]</f>
        <v>149640</v>
      </c>
    </row>
    <row r="2580" spans="1:35">
      <c r="A2580" t="s">
        <v>5141</v>
      </c>
      <c r="B2580" s="1">
        <v>41294</v>
      </c>
      <c r="C2580" s="1">
        <v>41339</v>
      </c>
      <c r="D2580" t="s">
        <v>299</v>
      </c>
      <c r="E2580">
        <v>215000</v>
      </c>
      <c r="F2580">
        <v>34400</v>
      </c>
      <c r="G2580">
        <v>0</v>
      </c>
      <c r="H2580">
        <v>0</v>
      </c>
      <c r="I2580">
        <v>-22</v>
      </c>
      <c r="J2580">
        <v>249400</v>
      </c>
      <c r="K2580" t="s">
        <v>5142</v>
      </c>
      <c r="L2580" s="1">
        <v>41290</v>
      </c>
      <c r="N2580" t="s">
        <v>36</v>
      </c>
      <c r="O2580" t="s">
        <v>37</v>
      </c>
      <c r="P2580" t="s">
        <v>436</v>
      </c>
      <c r="Q2580" t="s">
        <v>39</v>
      </c>
      <c r="R2580" t="s">
        <v>40</v>
      </c>
      <c r="S2580">
        <v>0</v>
      </c>
      <c r="U2580" t="s">
        <v>41</v>
      </c>
      <c r="V2580" t="s">
        <v>42</v>
      </c>
      <c r="X2580" t="s">
        <v>74</v>
      </c>
      <c r="Y2580" t="b">
        <v>0</v>
      </c>
      <c r="Z2580" t="b">
        <v>0</v>
      </c>
      <c r="AC2580" s="1"/>
      <c r="AF2580">
        <v>0</v>
      </c>
      <c r="AG2580">
        <v>45</v>
      </c>
      <c r="AH2580">
        <v>23</v>
      </c>
      <c r="AI2580" s="2">
        <f>Table__192.168.3.138DYLAgingReport[[#This Row],[NetAmount]]-Table__192.168.3.138DYLAgingReport[[#This Row],[Paid]]</f>
        <v>249400</v>
      </c>
    </row>
    <row r="2581" spans="1:35">
      <c r="A2581" t="s">
        <v>5143</v>
      </c>
      <c r="B2581" s="1">
        <v>41296</v>
      </c>
      <c r="C2581" s="1">
        <v>41341</v>
      </c>
      <c r="D2581" t="s">
        <v>299</v>
      </c>
      <c r="E2581">
        <v>86000</v>
      </c>
      <c r="F2581">
        <v>13760</v>
      </c>
      <c r="G2581">
        <v>0</v>
      </c>
      <c r="H2581">
        <v>0</v>
      </c>
      <c r="I2581">
        <v>-25</v>
      </c>
      <c r="J2581">
        <v>99760</v>
      </c>
      <c r="K2581" t="s">
        <v>5144</v>
      </c>
      <c r="L2581" s="1">
        <v>41293</v>
      </c>
      <c r="N2581" t="s">
        <v>36</v>
      </c>
      <c r="O2581" t="s">
        <v>37</v>
      </c>
      <c r="P2581" t="s">
        <v>436</v>
      </c>
      <c r="Q2581" t="s">
        <v>39</v>
      </c>
      <c r="R2581" t="s">
        <v>40</v>
      </c>
      <c r="S2581">
        <v>0</v>
      </c>
      <c r="U2581" t="s">
        <v>41</v>
      </c>
      <c r="V2581" t="s">
        <v>42</v>
      </c>
      <c r="X2581" t="s">
        <v>74</v>
      </c>
      <c r="Y2581" t="b">
        <v>0</v>
      </c>
      <c r="Z2581" t="b">
        <v>0</v>
      </c>
      <c r="AC2581" s="1"/>
      <c r="AF2581">
        <v>0</v>
      </c>
      <c r="AG2581">
        <v>45</v>
      </c>
      <c r="AH2581">
        <v>20</v>
      </c>
      <c r="AI2581" s="2">
        <f>Table__192.168.3.138DYLAgingReport[[#This Row],[NetAmount]]-Table__192.168.3.138DYLAgingReport[[#This Row],[Paid]]</f>
        <v>99760</v>
      </c>
    </row>
    <row r="2582" spans="1:35">
      <c r="A2582" t="s">
        <v>5145</v>
      </c>
      <c r="B2582" s="1">
        <v>41285</v>
      </c>
      <c r="C2582" s="1">
        <v>41330</v>
      </c>
      <c r="D2582" t="s">
        <v>224</v>
      </c>
      <c r="E2582">
        <v>2800</v>
      </c>
      <c r="F2582">
        <v>448</v>
      </c>
      <c r="G2582">
        <v>0</v>
      </c>
      <c r="H2582">
        <v>0</v>
      </c>
      <c r="I2582">
        <v>-16</v>
      </c>
      <c r="J2582">
        <v>3248</v>
      </c>
      <c r="K2582" t="s">
        <v>5146</v>
      </c>
      <c r="L2582" s="1">
        <v>41284</v>
      </c>
      <c r="N2582" t="s">
        <v>36</v>
      </c>
      <c r="O2582" t="s">
        <v>37</v>
      </c>
      <c r="P2582" t="s">
        <v>361</v>
      </c>
      <c r="Q2582" t="s">
        <v>39</v>
      </c>
      <c r="R2582" t="s">
        <v>40</v>
      </c>
      <c r="S2582">
        <v>0</v>
      </c>
      <c r="U2582" t="s">
        <v>41</v>
      </c>
      <c r="V2582" t="s">
        <v>42</v>
      </c>
      <c r="X2582" t="s">
        <v>74</v>
      </c>
      <c r="Y2582" t="b">
        <v>0</v>
      </c>
      <c r="Z2582" t="b">
        <v>0</v>
      </c>
      <c r="AC2582" s="1"/>
      <c r="AF2582">
        <v>0</v>
      </c>
      <c r="AG2582">
        <v>45</v>
      </c>
      <c r="AH2582">
        <v>29</v>
      </c>
      <c r="AI2582" s="2">
        <f>Table__192.168.3.138DYLAgingReport[[#This Row],[NetAmount]]-Table__192.168.3.138DYLAgingReport[[#This Row],[Paid]]</f>
        <v>3248</v>
      </c>
    </row>
    <row r="2583" spans="1:35">
      <c r="A2583" t="s">
        <v>5147</v>
      </c>
      <c r="B2583" s="1">
        <v>41283</v>
      </c>
      <c r="C2583" s="1">
        <v>41328</v>
      </c>
      <c r="D2583" t="s">
        <v>173</v>
      </c>
      <c r="E2583">
        <v>39750</v>
      </c>
      <c r="F2583">
        <v>6360</v>
      </c>
      <c r="G2583">
        <v>0</v>
      </c>
      <c r="H2583">
        <v>0</v>
      </c>
      <c r="I2583">
        <v>-15</v>
      </c>
      <c r="J2583">
        <v>46110</v>
      </c>
      <c r="K2583" t="s">
        <v>5148</v>
      </c>
      <c r="L2583" s="1">
        <v>41283</v>
      </c>
      <c r="N2583" t="s">
        <v>36</v>
      </c>
      <c r="O2583" t="s">
        <v>37</v>
      </c>
      <c r="P2583" t="s">
        <v>310</v>
      </c>
      <c r="Q2583" t="s">
        <v>39</v>
      </c>
      <c r="R2583" t="s">
        <v>40</v>
      </c>
      <c r="S2583">
        <v>0</v>
      </c>
      <c r="U2583" t="s">
        <v>41</v>
      </c>
      <c r="V2583" t="s">
        <v>42</v>
      </c>
      <c r="X2583" t="s">
        <v>74</v>
      </c>
      <c r="Y2583" t="b">
        <v>0</v>
      </c>
      <c r="Z2583" t="b">
        <v>0</v>
      </c>
      <c r="AC2583" s="1"/>
      <c r="AF2583">
        <v>0</v>
      </c>
      <c r="AG2583">
        <v>45</v>
      </c>
      <c r="AH2583">
        <v>30</v>
      </c>
      <c r="AI2583" s="2">
        <f>Table__192.168.3.138DYLAgingReport[[#This Row],[NetAmount]]-Table__192.168.3.138DYLAgingReport[[#This Row],[Paid]]</f>
        <v>46110</v>
      </c>
    </row>
    <row r="2584" spans="1:35">
      <c r="A2584" t="s">
        <v>5149</v>
      </c>
      <c r="B2584" s="1">
        <v>41296</v>
      </c>
      <c r="C2584" s="1">
        <v>41341</v>
      </c>
      <c r="D2584" t="s">
        <v>173</v>
      </c>
      <c r="E2584">
        <v>23545</v>
      </c>
      <c r="F2584">
        <v>3767</v>
      </c>
      <c r="G2584">
        <v>0</v>
      </c>
      <c r="H2584">
        <v>0</v>
      </c>
      <c r="I2584">
        <v>-23</v>
      </c>
      <c r="J2584">
        <v>27312</v>
      </c>
      <c r="K2584" t="s">
        <v>5150</v>
      </c>
      <c r="L2584" s="1">
        <v>41291</v>
      </c>
      <c r="N2584" t="s">
        <v>36</v>
      </c>
      <c r="O2584" t="s">
        <v>37</v>
      </c>
      <c r="P2584" t="s">
        <v>310</v>
      </c>
      <c r="Q2584" t="s">
        <v>39</v>
      </c>
      <c r="R2584" t="s">
        <v>40</v>
      </c>
      <c r="S2584">
        <v>0</v>
      </c>
      <c r="U2584" t="s">
        <v>41</v>
      </c>
      <c r="V2584" t="s">
        <v>42</v>
      </c>
      <c r="X2584" t="s">
        <v>74</v>
      </c>
      <c r="Y2584" t="b">
        <v>0</v>
      </c>
      <c r="Z2584" t="b">
        <v>0</v>
      </c>
      <c r="AC2584" s="1"/>
      <c r="AF2584">
        <v>0</v>
      </c>
      <c r="AG2584">
        <v>45</v>
      </c>
      <c r="AH2584">
        <v>22</v>
      </c>
      <c r="AI2584" s="2">
        <f>Table__192.168.3.138DYLAgingReport[[#This Row],[NetAmount]]-Table__192.168.3.138DYLAgingReport[[#This Row],[Paid]]</f>
        <v>27312</v>
      </c>
    </row>
    <row r="2585" spans="1:35">
      <c r="A2585" t="s">
        <v>5151</v>
      </c>
      <c r="B2585" s="1">
        <v>41281</v>
      </c>
      <c r="C2585" s="1">
        <v>41326</v>
      </c>
      <c r="D2585" t="s">
        <v>282</v>
      </c>
      <c r="E2585">
        <v>225000</v>
      </c>
      <c r="F2585">
        <v>36000</v>
      </c>
      <c r="G2585">
        <v>0</v>
      </c>
      <c r="H2585">
        <v>0</v>
      </c>
      <c r="I2585">
        <v>-13</v>
      </c>
      <c r="J2585">
        <v>261000</v>
      </c>
      <c r="K2585" t="s">
        <v>1542</v>
      </c>
      <c r="L2585" s="1">
        <v>41281</v>
      </c>
      <c r="N2585" t="s">
        <v>36</v>
      </c>
      <c r="O2585" t="s">
        <v>37</v>
      </c>
      <c r="P2585" t="s">
        <v>419</v>
      </c>
      <c r="Q2585" t="s">
        <v>39</v>
      </c>
      <c r="R2585" t="s">
        <v>40</v>
      </c>
      <c r="S2585">
        <v>0</v>
      </c>
      <c r="U2585" t="s">
        <v>41</v>
      </c>
      <c r="V2585" t="s">
        <v>42</v>
      </c>
      <c r="X2585" t="s">
        <v>74</v>
      </c>
      <c r="Y2585" t="b">
        <v>0</v>
      </c>
      <c r="Z2585" t="b">
        <v>0</v>
      </c>
      <c r="AC2585" s="1"/>
      <c r="AF2585">
        <v>0</v>
      </c>
      <c r="AG2585">
        <v>45</v>
      </c>
      <c r="AH2585">
        <v>32</v>
      </c>
      <c r="AI2585" s="2">
        <f>Table__192.168.3.138DYLAgingReport[[#This Row],[NetAmount]]-Table__192.168.3.138DYLAgingReport[[#This Row],[Paid]]</f>
        <v>261000</v>
      </c>
    </row>
    <row r="2586" spans="1:35">
      <c r="A2586" t="s">
        <v>5152</v>
      </c>
      <c r="B2586" s="1">
        <v>41286</v>
      </c>
      <c r="C2586" s="1">
        <v>41331</v>
      </c>
      <c r="D2586" t="s">
        <v>282</v>
      </c>
      <c r="E2586">
        <v>225000</v>
      </c>
      <c r="F2586">
        <v>36000</v>
      </c>
      <c r="G2586">
        <v>0</v>
      </c>
      <c r="H2586">
        <v>0</v>
      </c>
      <c r="I2586">
        <v>-18</v>
      </c>
      <c r="J2586">
        <v>261000</v>
      </c>
      <c r="K2586" t="s">
        <v>1572</v>
      </c>
      <c r="L2586" s="1">
        <v>41286</v>
      </c>
      <c r="N2586" t="s">
        <v>36</v>
      </c>
      <c r="O2586" t="s">
        <v>37</v>
      </c>
      <c r="P2586" t="s">
        <v>419</v>
      </c>
      <c r="Q2586" t="s">
        <v>39</v>
      </c>
      <c r="R2586" t="s">
        <v>40</v>
      </c>
      <c r="S2586">
        <v>0</v>
      </c>
      <c r="U2586" t="s">
        <v>41</v>
      </c>
      <c r="V2586" t="s">
        <v>42</v>
      </c>
      <c r="X2586" t="s">
        <v>74</v>
      </c>
      <c r="Y2586" t="b">
        <v>0</v>
      </c>
      <c r="Z2586" t="b">
        <v>0</v>
      </c>
      <c r="AC2586" s="1"/>
      <c r="AF2586">
        <v>0</v>
      </c>
      <c r="AG2586">
        <v>45</v>
      </c>
      <c r="AH2586">
        <v>27</v>
      </c>
      <c r="AI2586" s="2">
        <f>Table__192.168.3.138DYLAgingReport[[#This Row],[NetAmount]]-Table__192.168.3.138DYLAgingReport[[#This Row],[Paid]]</f>
        <v>261000</v>
      </c>
    </row>
    <row r="2587" spans="1:35">
      <c r="A2587" t="s">
        <v>5153</v>
      </c>
      <c r="B2587" s="1">
        <v>41295</v>
      </c>
      <c r="C2587" s="1">
        <v>41340</v>
      </c>
      <c r="D2587" t="s">
        <v>282</v>
      </c>
      <c r="E2587">
        <v>225000</v>
      </c>
      <c r="F2587">
        <v>36000</v>
      </c>
      <c r="G2587">
        <v>0</v>
      </c>
      <c r="H2587">
        <v>0</v>
      </c>
      <c r="I2587">
        <v>-27</v>
      </c>
      <c r="J2587">
        <v>261000</v>
      </c>
      <c r="K2587" t="s">
        <v>4157</v>
      </c>
      <c r="L2587" s="1">
        <v>41295</v>
      </c>
      <c r="N2587" t="s">
        <v>36</v>
      </c>
      <c r="O2587" t="s">
        <v>37</v>
      </c>
      <c r="P2587" t="s">
        <v>419</v>
      </c>
      <c r="Q2587" t="s">
        <v>39</v>
      </c>
      <c r="R2587" t="s">
        <v>40</v>
      </c>
      <c r="S2587">
        <v>0</v>
      </c>
      <c r="U2587" t="s">
        <v>41</v>
      </c>
      <c r="V2587" t="s">
        <v>42</v>
      </c>
      <c r="X2587" t="s">
        <v>74</v>
      </c>
      <c r="Y2587" t="b">
        <v>0</v>
      </c>
      <c r="Z2587" t="b">
        <v>0</v>
      </c>
      <c r="AC2587" s="1"/>
      <c r="AF2587">
        <v>0</v>
      </c>
      <c r="AG2587">
        <v>45</v>
      </c>
      <c r="AH2587">
        <v>18</v>
      </c>
      <c r="AI2587" s="2">
        <f>Table__192.168.3.138DYLAgingReport[[#This Row],[NetAmount]]-Table__192.168.3.138DYLAgingReport[[#This Row],[Paid]]</f>
        <v>261000</v>
      </c>
    </row>
    <row r="2588" spans="1:35">
      <c r="A2588" t="s">
        <v>5154</v>
      </c>
      <c r="B2588" s="1">
        <v>41295</v>
      </c>
      <c r="C2588" s="1">
        <v>41340</v>
      </c>
      <c r="D2588" t="s">
        <v>282</v>
      </c>
      <c r="E2588">
        <v>18360</v>
      </c>
      <c r="F2588">
        <v>2938</v>
      </c>
      <c r="G2588">
        <v>0</v>
      </c>
      <c r="H2588">
        <v>0</v>
      </c>
      <c r="I2588">
        <v>-22</v>
      </c>
      <c r="J2588">
        <v>21298</v>
      </c>
      <c r="K2588" t="s">
        <v>5155</v>
      </c>
      <c r="L2588" s="1">
        <v>41290</v>
      </c>
      <c r="N2588" t="s">
        <v>36</v>
      </c>
      <c r="O2588" t="s">
        <v>37</v>
      </c>
      <c r="P2588" t="s">
        <v>419</v>
      </c>
      <c r="Q2588" t="s">
        <v>39</v>
      </c>
      <c r="R2588" t="s">
        <v>40</v>
      </c>
      <c r="S2588">
        <v>0</v>
      </c>
      <c r="U2588" t="s">
        <v>41</v>
      </c>
      <c r="V2588" t="s">
        <v>42</v>
      </c>
      <c r="X2588" t="s">
        <v>74</v>
      </c>
      <c r="Y2588" t="b">
        <v>0</v>
      </c>
      <c r="Z2588" t="b">
        <v>0</v>
      </c>
      <c r="AC2588" s="1"/>
      <c r="AF2588">
        <v>0</v>
      </c>
      <c r="AG2588">
        <v>45</v>
      </c>
      <c r="AH2588">
        <v>23</v>
      </c>
      <c r="AI2588" s="2">
        <f>Table__192.168.3.138DYLAgingReport[[#This Row],[NetAmount]]-Table__192.168.3.138DYLAgingReport[[#This Row],[Paid]]</f>
        <v>21298</v>
      </c>
    </row>
    <row r="2589" spans="1:35">
      <c r="A2589" t="s">
        <v>5156</v>
      </c>
      <c r="B2589" s="1">
        <v>41298</v>
      </c>
      <c r="C2589" s="1">
        <v>41343</v>
      </c>
      <c r="D2589" t="s">
        <v>227</v>
      </c>
      <c r="E2589">
        <v>142500</v>
      </c>
      <c r="F2589">
        <v>22800</v>
      </c>
      <c r="G2589">
        <v>0</v>
      </c>
      <c r="H2589">
        <v>0</v>
      </c>
      <c r="I2589">
        <v>-29</v>
      </c>
      <c r="J2589">
        <v>165300</v>
      </c>
      <c r="K2589" t="s">
        <v>5157</v>
      </c>
      <c r="L2589" s="1">
        <v>41297</v>
      </c>
      <c r="N2589" t="s">
        <v>36</v>
      </c>
      <c r="O2589" t="s">
        <v>37</v>
      </c>
      <c r="P2589" t="s">
        <v>364</v>
      </c>
      <c r="Q2589" t="s">
        <v>39</v>
      </c>
      <c r="R2589" t="s">
        <v>40</v>
      </c>
      <c r="S2589">
        <v>0</v>
      </c>
      <c r="U2589" t="s">
        <v>41</v>
      </c>
      <c r="V2589" t="s">
        <v>42</v>
      </c>
      <c r="X2589" t="s">
        <v>74</v>
      </c>
      <c r="Y2589" t="b">
        <v>0</v>
      </c>
      <c r="Z2589" t="b">
        <v>0</v>
      </c>
      <c r="AC2589" s="1"/>
      <c r="AF2589">
        <v>0</v>
      </c>
      <c r="AG2589">
        <v>45</v>
      </c>
      <c r="AH2589">
        <v>16</v>
      </c>
      <c r="AI2589" s="2">
        <f>Table__192.168.3.138DYLAgingReport[[#This Row],[NetAmount]]-Table__192.168.3.138DYLAgingReport[[#This Row],[Paid]]</f>
        <v>165300</v>
      </c>
    </row>
    <row r="2590" spans="1:35">
      <c r="A2590" t="s">
        <v>5158</v>
      </c>
      <c r="B2590" s="1">
        <v>41298</v>
      </c>
      <c r="C2590" s="1">
        <v>41343</v>
      </c>
      <c r="D2590" t="s">
        <v>282</v>
      </c>
      <c r="E2590">
        <v>225000</v>
      </c>
      <c r="F2590">
        <v>36000</v>
      </c>
      <c r="G2590">
        <v>0</v>
      </c>
      <c r="H2590">
        <v>0</v>
      </c>
      <c r="I2590">
        <v>-30</v>
      </c>
      <c r="J2590">
        <v>261000</v>
      </c>
      <c r="K2590" t="s">
        <v>1494</v>
      </c>
      <c r="L2590" s="1">
        <v>41298</v>
      </c>
      <c r="N2590" t="s">
        <v>36</v>
      </c>
      <c r="O2590" t="s">
        <v>37</v>
      </c>
      <c r="P2590" t="s">
        <v>419</v>
      </c>
      <c r="Q2590" t="s">
        <v>39</v>
      </c>
      <c r="R2590" t="s">
        <v>40</v>
      </c>
      <c r="S2590">
        <v>0</v>
      </c>
      <c r="U2590" t="s">
        <v>41</v>
      </c>
      <c r="V2590" t="s">
        <v>42</v>
      </c>
      <c r="X2590" t="s">
        <v>74</v>
      </c>
      <c r="Y2590" t="b">
        <v>0</v>
      </c>
      <c r="Z2590" t="b">
        <v>0</v>
      </c>
      <c r="AC2590" s="1"/>
      <c r="AF2590">
        <v>0</v>
      </c>
      <c r="AG2590">
        <v>45</v>
      </c>
      <c r="AH2590">
        <v>15</v>
      </c>
      <c r="AI2590" s="2">
        <f>Table__192.168.3.138DYLAgingReport[[#This Row],[NetAmount]]-Table__192.168.3.138DYLAgingReport[[#This Row],[Paid]]</f>
        <v>261000</v>
      </c>
    </row>
    <row r="2591" spans="1:35">
      <c r="A2591" t="s">
        <v>5159</v>
      </c>
      <c r="B2591" s="1">
        <v>41297</v>
      </c>
      <c r="C2591" s="1">
        <v>41327</v>
      </c>
      <c r="D2591" t="s">
        <v>284</v>
      </c>
      <c r="E2591">
        <v>84300</v>
      </c>
      <c r="F2591">
        <v>0</v>
      </c>
      <c r="G2591">
        <v>0</v>
      </c>
      <c r="H2591">
        <v>0</v>
      </c>
      <c r="I2591">
        <v>-14</v>
      </c>
      <c r="J2591">
        <v>84300</v>
      </c>
      <c r="K2591" t="s">
        <v>3271</v>
      </c>
      <c r="L2591" s="1">
        <v>41297</v>
      </c>
      <c r="N2591" t="s">
        <v>36</v>
      </c>
      <c r="O2591" t="s">
        <v>37</v>
      </c>
      <c r="P2591" t="s">
        <v>421</v>
      </c>
      <c r="Q2591" t="s">
        <v>39</v>
      </c>
      <c r="R2591" t="s">
        <v>40</v>
      </c>
      <c r="S2591">
        <v>0</v>
      </c>
      <c r="U2591" t="s">
        <v>41</v>
      </c>
      <c r="V2591" t="s">
        <v>42</v>
      </c>
      <c r="X2591" t="s">
        <v>74</v>
      </c>
      <c r="Y2591" t="b">
        <v>0</v>
      </c>
      <c r="Z2591" t="b">
        <v>0</v>
      </c>
      <c r="AC2591" s="1"/>
      <c r="AF2591">
        <v>0</v>
      </c>
      <c r="AG2591">
        <v>30</v>
      </c>
      <c r="AH2591">
        <v>16</v>
      </c>
      <c r="AI2591" s="2">
        <f>Table__192.168.3.138DYLAgingReport[[#This Row],[NetAmount]]-Table__192.168.3.138DYLAgingReport[[#This Row],[Paid]]</f>
        <v>84300</v>
      </c>
    </row>
    <row r="2592" spans="1:35">
      <c r="A2592" t="s">
        <v>5160</v>
      </c>
      <c r="B2592" s="1">
        <v>41297</v>
      </c>
      <c r="C2592" s="1">
        <v>41342</v>
      </c>
      <c r="D2592" t="s">
        <v>287</v>
      </c>
      <c r="E2592">
        <v>78000</v>
      </c>
      <c r="F2592">
        <v>12480</v>
      </c>
      <c r="G2592">
        <v>0</v>
      </c>
      <c r="H2592">
        <v>0</v>
      </c>
      <c r="I2592">
        <v>-25</v>
      </c>
      <c r="J2592">
        <v>90480</v>
      </c>
      <c r="K2592" t="s">
        <v>5161</v>
      </c>
      <c r="L2592" s="1">
        <v>41293</v>
      </c>
      <c r="N2592" t="s">
        <v>36</v>
      </c>
      <c r="O2592" t="s">
        <v>37</v>
      </c>
      <c r="P2592" t="s">
        <v>424</v>
      </c>
      <c r="Q2592" t="s">
        <v>39</v>
      </c>
      <c r="R2592" t="s">
        <v>40</v>
      </c>
      <c r="S2592">
        <v>0</v>
      </c>
      <c r="U2592" t="s">
        <v>41</v>
      </c>
      <c r="V2592" t="s">
        <v>42</v>
      </c>
      <c r="X2592" t="s">
        <v>74</v>
      </c>
      <c r="Y2592" t="b">
        <v>0</v>
      </c>
      <c r="Z2592" t="b">
        <v>0</v>
      </c>
      <c r="AC2592" s="1"/>
      <c r="AF2592">
        <v>0</v>
      </c>
      <c r="AG2592">
        <v>45</v>
      </c>
      <c r="AH2592">
        <v>20</v>
      </c>
      <c r="AI2592" s="2">
        <f>Table__192.168.3.138DYLAgingReport[[#This Row],[NetAmount]]-Table__192.168.3.138DYLAgingReport[[#This Row],[Paid]]</f>
        <v>90480</v>
      </c>
    </row>
    <row r="2593" spans="1:35">
      <c r="A2593" t="s">
        <v>5162</v>
      </c>
      <c r="B2593" s="1">
        <v>41298</v>
      </c>
      <c r="C2593" s="1">
        <v>41343</v>
      </c>
      <c r="D2593" t="s">
        <v>208</v>
      </c>
      <c r="E2593">
        <v>467147</v>
      </c>
      <c r="F2593">
        <v>74744</v>
      </c>
      <c r="G2593">
        <v>0</v>
      </c>
      <c r="H2593">
        <v>0</v>
      </c>
      <c r="I2593">
        <v>-29</v>
      </c>
      <c r="J2593">
        <v>541891</v>
      </c>
      <c r="K2593" t="s">
        <v>5163</v>
      </c>
      <c r="L2593" s="1">
        <v>41297</v>
      </c>
      <c r="N2593" t="s">
        <v>36</v>
      </c>
      <c r="O2593" t="s">
        <v>37</v>
      </c>
      <c r="P2593" t="s">
        <v>345</v>
      </c>
      <c r="Q2593" t="s">
        <v>39</v>
      </c>
      <c r="R2593" t="s">
        <v>40</v>
      </c>
      <c r="S2593">
        <v>0</v>
      </c>
      <c r="U2593" t="s">
        <v>41</v>
      </c>
      <c r="V2593" t="s">
        <v>42</v>
      </c>
      <c r="X2593" t="s">
        <v>74</v>
      </c>
      <c r="Y2593" t="b">
        <v>0</v>
      </c>
      <c r="Z2593" t="b">
        <v>0</v>
      </c>
      <c r="AB2593" t="s">
        <v>5164</v>
      </c>
      <c r="AC2593" s="1">
        <v>41311</v>
      </c>
      <c r="AF2593">
        <v>0</v>
      </c>
      <c r="AG2593">
        <v>45</v>
      </c>
      <c r="AH2593">
        <v>16</v>
      </c>
      <c r="AI2593" s="2">
        <f>Table__192.168.3.138DYLAgingReport[[#This Row],[NetAmount]]-Table__192.168.3.138DYLAgingReport[[#This Row],[Paid]]</f>
        <v>541891</v>
      </c>
    </row>
    <row r="2594" spans="1:35">
      <c r="A2594" t="s">
        <v>5165</v>
      </c>
      <c r="B2594" s="1">
        <v>41295</v>
      </c>
      <c r="C2594" s="1">
        <v>41340</v>
      </c>
      <c r="D2594" t="s">
        <v>263</v>
      </c>
      <c r="E2594">
        <v>279500</v>
      </c>
      <c r="F2594">
        <v>44720</v>
      </c>
      <c r="G2594">
        <v>0</v>
      </c>
      <c r="H2594">
        <v>0</v>
      </c>
      <c r="I2594">
        <v>-23</v>
      </c>
      <c r="J2594">
        <v>324220</v>
      </c>
      <c r="K2594" t="s">
        <v>5166</v>
      </c>
      <c r="L2594" s="1">
        <v>41291</v>
      </c>
      <c r="N2594" t="s">
        <v>36</v>
      </c>
      <c r="O2594" t="s">
        <v>37</v>
      </c>
      <c r="P2594" t="s">
        <v>400</v>
      </c>
      <c r="Q2594" t="s">
        <v>39</v>
      </c>
      <c r="R2594" t="s">
        <v>40</v>
      </c>
      <c r="S2594">
        <v>0</v>
      </c>
      <c r="U2594" t="s">
        <v>41</v>
      </c>
      <c r="V2594" t="s">
        <v>42</v>
      </c>
      <c r="X2594" t="s">
        <v>74</v>
      </c>
      <c r="Y2594" t="b">
        <v>0</v>
      </c>
      <c r="Z2594" t="b">
        <v>0</v>
      </c>
      <c r="AC2594" s="1"/>
      <c r="AF2594">
        <v>0</v>
      </c>
      <c r="AG2594">
        <v>45</v>
      </c>
      <c r="AH2594">
        <v>22</v>
      </c>
      <c r="AI2594" s="2">
        <f>Table__192.168.3.138DYLAgingReport[[#This Row],[NetAmount]]-Table__192.168.3.138DYLAgingReport[[#This Row],[Paid]]</f>
        <v>324220</v>
      </c>
    </row>
    <row r="2595" spans="1:35">
      <c r="A2595" t="s">
        <v>5167</v>
      </c>
      <c r="B2595" s="1">
        <v>41291</v>
      </c>
      <c r="C2595" s="1">
        <v>41336</v>
      </c>
      <c r="D2595" t="s">
        <v>231</v>
      </c>
      <c r="E2595">
        <v>327600</v>
      </c>
      <c r="F2595">
        <v>52416</v>
      </c>
      <c r="G2595">
        <v>0</v>
      </c>
      <c r="H2595">
        <v>0</v>
      </c>
      <c r="I2595">
        <v>-23</v>
      </c>
      <c r="J2595">
        <v>380016</v>
      </c>
      <c r="K2595" t="s">
        <v>5168</v>
      </c>
      <c r="L2595" s="1">
        <v>41291</v>
      </c>
      <c r="N2595" t="s">
        <v>36</v>
      </c>
      <c r="O2595" t="s">
        <v>37</v>
      </c>
      <c r="P2595" t="s">
        <v>368</v>
      </c>
      <c r="Q2595" t="s">
        <v>39</v>
      </c>
      <c r="R2595" t="s">
        <v>40</v>
      </c>
      <c r="S2595">
        <v>0</v>
      </c>
      <c r="U2595" t="s">
        <v>41</v>
      </c>
      <c r="V2595" t="s">
        <v>42</v>
      </c>
      <c r="X2595" t="s">
        <v>74</v>
      </c>
      <c r="Y2595" t="b">
        <v>0</v>
      </c>
      <c r="Z2595" t="b">
        <v>0</v>
      </c>
      <c r="AC2595" s="1"/>
      <c r="AF2595">
        <v>0</v>
      </c>
      <c r="AG2595">
        <v>45</v>
      </c>
      <c r="AH2595">
        <v>22</v>
      </c>
      <c r="AI2595" s="2">
        <f>Table__192.168.3.138DYLAgingReport[[#This Row],[NetAmount]]-Table__192.168.3.138DYLAgingReport[[#This Row],[Paid]]</f>
        <v>380016</v>
      </c>
    </row>
    <row r="2596" spans="1:35">
      <c r="A2596" t="s">
        <v>5169</v>
      </c>
      <c r="B2596" s="1">
        <v>41293</v>
      </c>
      <c r="C2596" s="1">
        <v>41338</v>
      </c>
      <c r="D2596" t="s">
        <v>231</v>
      </c>
      <c r="E2596">
        <v>327600</v>
      </c>
      <c r="F2596">
        <v>52416</v>
      </c>
      <c r="G2596">
        <v>0</v>
      </c>
      <c r="H2596">
        <v>0</v>
      </c>
      <c r="I2596">
        <v>-25</v>
      </c>
      <c r="J2596">
        <v>380016</v>
      </c>
      <c r="K2596" t="s">
        <v>5170</v>
      </c>
      <c r="L2596" s="1">
        <v>41293</v>
      </c>
      <c r="N2596" t="s">
        <v>36</v>
      </c>
      <c r="O2596" t="s">
        <v>37</v>
      </c>
      <c r="P2596" t="s">
        <v>368</v>
      </c>
      <c r="Q2596" t="s">
        <v>39</v>
      </c>
      <c r="R2596" t="s">
        <v>40</v>
      </c>
      <c r="S2596">
        <v>0</v>
      </c>
      <c r="U2596" t="s">
        <v>41</v>
      </c>
      <c r="V2596" t="s">
        <v>42</v>
      </c>
      <c r="X2596" t="s">
        <v>74</v>
      </c>
      <c r="Y2596" t="b">
        <v>0</v>
      </c>
      <c r="Z2596" t="b">
        <v>0</v>
      </c>
      <c r="AC2596" s="1"/>
      <c r="AF2596">
        <v>0</v>
      </c>
      <c r="AG2596">
        <v>45</v>
      </c>
      <c r="AH2596">
        <v>20</v>
      </c>
      <c r="AI2596" s="2">
        <f>Table__192.168.3.138DYLAgingReport[[#This Row],[NetAmount]]-Table__192.168.3.138DYLAgingReport[[#This Row],[Paid]]</f>
        <v>380016</v>
      </c>
    </row>
    <row r="2597" spans="1:35">
      <c r="A2597" t="s">
        <v>5171</v>
      </c>
      <c r="B2597" s="1">
        <v>41295</v>
      </c>
      <c r="C2597" s="1">
        <v>41340</v>
      </c>
      <c r="D2597" t="s">
        <v>231</v>
      </c>
      <c r="E2597">
        <v>327600</v>
      </c>
      <c r="F2597">
        <v>52416</v>
      </c>
      <c r="G2597">
        <v>0</v>
      </c>
      <c r="H2597">
        <v>0</v>
      </c>
      <c r="I2597">
        <v>-27</v>
      </c>
      <c r="J2597">
        <v>380016</v>
      </c>
      <c r="K2597" t="s">
        <v>5172</v>
      </c>
      <c r="L2597" s="1">
        <v>41295</v>
      </c>
      <c r="N2597" t="s">
        <v>36</v>
      </c>
      <c r="O2597" t="s">
        <v>37</v>
      </c>
      <c r="P2597" t="s">
        <v>368</v>
      </c>
      <c r="Q2597" t="s">
        <v>39</v>
      </c>
      <c r="R2597" t="s">
        <v>40</v>
      </c>
      <c r="S2597">
        <v>0</v>
      </c>
      <c r="U2597" t="s">
        <v>41</v>
      </c>
      <c r="V2597" t="s">
        <v>42</v>
      </c>
      <c r="X2597" t="s">
        <v>74</v>
      </c>
      <c r="Y2597" t="b">
        <v>0</v>
      </c>
      <c r="Z2597" t="b">
        <v>0</v>
      </c>
      <c r="AC2597" s="1"/>
      <c r="AF2597">
        <v>0</v>
      </c>
      <c r="AG2597">
        <v>45</v>
      </c>
      <c r="AH2597">
        <v>18</v>
      </c>
      <c r="AI2597" s="2">
        <f>Table__192.168.3.138DYLAgingReport[[#This Row],[NetAmount]]-Table__192.168.3.138DYLAgingReport[[#This Row],[Paid]]</f>
        <v>380016</v>
      </c>
    </row>
    <row r="2598" spans="1:35">
      <c r="A2598" t="s">
        <v>5173</v>
      </c>
      <c r="B2598" s="1">
        <v>41290</v>
      </c>
      <c r="C2598" s="1">
        <v>41335</v>
      </c>
      <c r="D2598" t="s">
        <v>231</v>
      </c>
      <c r="E2598">
        <v>326950</v>
      </c>
      <c r="F2598">
        <v>52312</v>
      </c>
      <c r="G2598">
        <v>0</v>
      </c>
      <c r="H2598">
        <v>0</v>
      </c>
      <c r="I2598">
        <v>-22</v>
      </c>
      <c r="J2598">
        <v>379262</v>
      </c>
      <c r="K2598" t="s">
        <v>5174</v>
      </c>
      <c r="L2598" s="1">
        <v>41290</v>
      </c>
      <c r="N2598" t="s">
        <v>36</v>
      </c>
      <c r="O2598" t="s">
        <v>37</v>
      </c>
      <c r="P2598" t="s">
        <v>368</v>
      </c>
      <c r="Q2598" t="s">
        <v>39</v>
      </c>
      <c r="R2598" t="s">
        <v>40</v>
      </c>
      <c r="S2598">
        <v>0</v>
      </c>
      <c r="U2598" t="s">
        <v>41</v>
      </c>
      <c r="V2598" t="s">
        <v>42</v>
      </c>
      <c r="X2598" t="s">
        <v>74</v>
      </c>
      <c r="Y2598" t="b">
        <v>0</v>
      </c>
      <c r="Z2598" t="b">
        <v>0</v>
      </c>
      <c r="AC2598" s="1"/>
      <c r="AF2598">
        <v>0</v>
      </c>
      <c r="AG2598">
        <v>45</v>
      </c>
      <c r="AH2598">
        <v>23</v>
      </c>
      <c r="AI2598" s="2">
        <f>Table__192.168.3.138DYLAgingReport[[#This Row],[NetAmount]]-Table__192.168.3.138DYLAgingReport[[#This Row],[Paid]]</f>
        <v>379262</v>
      </c>
    </row>
    <row r="2599" spans="1:35">
      <c r="A2599" t="s">
        <v>5175</v>
      </c>
      <c r="B2599" s="1">
        <v>41291</v>
      </c>
      <c r="C2599" s="1">
        <v>41336</v>
      </c>
      <c r="D2599" t="s">
        <v>231</v>
      </c>
      <c r="E2599">
        <v>327600</v>
      </c>
      <c r="F2599">
        <v>52416</v>
      </c>
      <c r="G2599">
        <v>0</v>
      </c>
      <c r="H2599">
        <v>0</v>
      </c>
      <c r="I2599">
        <v>-4</v>
      </c>
      <c r="J2599">
        <v>380016</v>
      </c>
      <c r="K2599" t="s">
        <v>5174</v>
      </c>
      <c r="L2599" s="1">
        <v>41272</v>
      </c>
      <c r="N2599" t="s">
        <v>36</v>
      </c>
      <c r="O2599" t="s">
        <v>37</v>
      </c>
      <c r="P2599" t="s">
        <v>368</v>
      </c>
      <c r="Q2599" t="s">
        <v>39</v>
      </c>
      <c r="R2599" t="s">
        <v>40</v>
      </c>
      <c r="S2599">
        <v>0</v>
      </c>
      <c r="U2599" t="s">
        <v>41</v>
      </c>
      <c r="V2599" t="s">
        <v>42</v>
      </c>
      <c r="X2599" t="s">
        <v>74</v>
      </c>
      <c r="Y2599" t="b">
        <v>0</v>
      </c>
      <c r="Z2599" t="b">
        <v>0</v>
      </c>
      <c r="AC2599" s="1"/>
      <c r="AF2599">
        <v>0</v>
      </c>
      <c r="AG2599">
        <v>45</v>
      </c>
      <c r="AH2599">
        <v>41</v>
      </c>
      <c r="AI2599" s="2">
        <f>Table__192.168.3.138DYLAgingReport[[#This Row],[NetAmount]]-Table__192.168.3.138DYLAgingReport[[#This Row],[Paid]]</f>
        <v>380016</v>
      </c>
    </row>
    <row r="2600" spans="1:35">
      <c r="A2600" t="s">
        <v>5176</v>
      </c>
      <c r="B2600" s="1">
        <v>41295</v>
      </c>
      <c r="C2600" s="1">
        <v>41340</v>
      </c>
      <c r="D2600" t="s">
        <v>263</v>
      </c>
      <c r="E2600">
        <v>71000</v>
      </c>
      <c r="F2600">
        <v>11360</v>
      </c>
      <c r="G2600">
        <v>0</v>
      </c>
      <c r="H2600">
        <v>0</v>
      </c>
      <c r="I2600">
        <v>-37</v>
      </c>
      <c r="J2600">
        <v>82360</v>
      </c>
      <c r="K2600" t="s">
        <v>5177</v>
      </c>
      <c r="L2600" s="1">
        <v>41305</v>
      </c>
      <c r="N2600" t="s">
        <v>36</v>
      </c>
      <c r="O2600" t="s">
        <v>37</v>
      </c>
      <c r="P2600" t="s">
        <v>400</v>
      </c>
      <c r="Q2600" t="s">
        <v>39</v>
      </c>
      <c r="R2600" t="s">
        <v>40</v>
      </c>
      <c r="S2600">
        <v>0</v>
      </c>
      <c r="U2600" t="s">
        <v>41</v>
      </c>
      <c r="V2600" t="s">
        <v>42</v>
      </c>
      <c r="X2600" t="s">
        <v>74</v>
      </c>
      <c r="Y2600" t="b">
        <v>0</v>
      </c>
      <c r="Z2600" t="b">
        <v>0</v>
      </c>
      <c r="AC2600" s="1"/>
      <c r="AF2600">
        <v>0</v>
      </c>
      <c r="AG2600">
        <v>45</v>
      </c>
      <c r="AH2600">
        <v>8</v>
      </c>
      <c r="AI2600" s="2">
        <f>Table__192.168.3.138DYLAgingReport[[#This Row],[NetAmount]]-Table__192.168.3.138DYLAgingReport[[#This Row],[Paid]]</f>
        <v>82360</v>
      </c>
    </row>
    <row r="2601" spans="1:35">
      <c r="A2601" t="s">
        <v>5178</v>
      </c>
      <c r="B2601" s="1">
        <v>41285</v>
      </c>
      <c r="C2601" s="1">
        <v>41330</v>
      </c>
      <c r="D2601" t="s">
        <v>209</v>
      </c>
      <c r="E2601">
        <v>363</v>
      </c>
      <c r="F2601">
        <v>0</v>
      </c>
      <c r="G2601">
        <v>0</v>
      </c>
      <c r="H2601">
        <v>0</v>
      </c>
      <c r="I2601">
        <v>-17</v>
      </c>
      <c r="J2601">
        <v>363</v>
      </c>
      <c r="K2601" t="s">
        <v>4544</v>
      </c>
      <c r="L2601" s="1">
        <v>41285</v>
      </c>
      <c r="N2601" t="s">
        <v>36</v>
      </c>
      <c r="O2601" t="s">
        <v>37</v>
      </c>
      <c r="P2601" t="s">
        <v>346</v>
      </c>
      <c r="Q2601" t="s">
        <v>39</v>
      </c>
      <c r="R2601" t="s">
        <v>40</v>
      </c>
      <c r="S2601">
        <v>0</v>
      </c>
      <c r="U2601" t="s">
        <v>41</v>
      </c>
      <c r="V2601" t="s">
        <v>42</v>
      </c>
      <c r="X2601" t="s">
        <v>74</v>
      </c>
      <c r="Y2601" t="b">
        <v>0</v>
      </c>
      <c r="Z2601" t="b">
        <v>0</v>
      </c>
      <c r="AC2601" s="1"/>
      <c r="AF2601">
        <v>0</v>
      </c>
      <c r="AG2601">
        <v>45</v>
      </c>
      <c r="AH2601">
        <v>28</v>
      </c>
      <c r="AI2601" s="2">
        <f>Table__192.168.3.138DYLAgingReport[[#This Row],[NetAmount]]-Table__192.168.3.138DYLAgingReport[[#This Row],[Paid]]</f>
        <v>363</v>
      </c>
    </row>
    <row r="2602" spans="1:35">
      <c r="A2602" t="s">
        <v>5179</v>
      </c>
      <c r="B2602" s="1">
        <v>41296</v>
      </c>
      <c r="C2602" s="1">
        <v>41341</v>
      </c>
      <c r="D2602" t="s">
        <v>209</v>
      </c>
      <c r="E2602">
        <v>37565</v>
      </c>
      <c r="F2602">
        <v>0</v>
      </c>
      <c r="G2602">
        <v>0</v>
      </c>
      <c r="H2602">
        <v>0</v>
      </c>
      <c r="I2602">
        <v>-28</v>
      </c>
      <c r="J2602">
        <v>37565</v>
      </c>
      <c r="K2602" t="s">
        <v>5180</v>
      </c>
      <c r="L2602" s="1">
        <v>41296</v>
      </c>
      <c r="N2602" t="s">
        <v>36</v>
      </c>
      <c r="O2602" t="s">
        <v>37</v>
      </c>
      <c r="P2602" t="s">
        <v>346</v>
      </c>
      <c r="Q2602" t="s">
        <v>39</v>
      </c>
      <c r="R2602" t="s">
        <v>40</v>
      </c>
      <c r="S2602">
        <v>0</v>
      </c>
      <c r="U2602" t="s">
        <v>41</v>
      </c>
      <c r="V2602" t="s">
        <v>42</v>
      </c>
      <c r="X2602" t="s">
        <v>74</v>
      </c>
      <c r="Y2602" t="b">
        <v>0</v>
      </c>
      <c r="Z2602" t="b">
        <v>0</v>
      </c>
      <c r="AC2602" s="1"/>
      <c r="AF2602">
        <v>0</v>
      </c>
      <c r="AG2602">
        <v>45</v>
      </c>
      <c r="AH2602">
        <v>17</v>
      </c>
      <c r="AI2602" s="2">
        <f>Table__192.168.3.138DYLAgingReport[[#This Row],[NetAmount]]-Table__192.168.3.138DYLAgingReport[[#This Row],[Paid]]</f>
        <v>37565</v>
      </c>
    </row>
    <row r="2603" spans="1:35">
      <c r="A2603" t="s">
        <v>5181</v>
      </c>
      <c r="B2603" s="1">
        <v>41293</v>
      </c>
      <c r="C2603" s="1">
        <v>41338</v>
      </c>
      <c r="D2603" t="s">
        <v>183</v>
      </c>
      <c r="E2603">
        <v>106200</v>
      </c>
      <c r="F2603">
        <v>16992</v>
      </c>
      <c r="G2603">
        <v>0</v>
      </c>
      <c r="H2603">
        <v>0</v>
      </c>
      <c r="I2603">
        <v>-25</v>
      </c>
      <c r="J2603">
        <v>123192</v>
      </c>
      <c r="K2603" t="s">
        <v>5182</v>
      </c>
      <c r="L2603" s="1">
        <v>41293</v>
      </c>
      <c r="N2603" t="s">
        <v>36</v>
      </c>
      <c r="O2603" t="s">
        <v>37</v>
      </c>
      <c r="P2603" t="s">
        <v>320</v>
      </c>
      <c r="Q2603" t="s">
        <v>39</v>
      </c>
      <c r="R2603" t="s">
        <v>40</v>
      </c>
      <c r="S2603">
        <v>0</v>
      </c>
      <c r="U2603" t="s">
        <v>41</v>
      </c>
      <c r="V2603" t="s">
        <v>42</v>
      </c>
      <c r="X2603" t="s">
        <v>74</v>
      </c>
      <c r="Y2603" t="b">
        <v>0</v>
      </c>
      <c r="Z2603" t="b">
        <v>0</v>
      </c>
      <c r="AC2603" s="1"/>
      <c r="AF2603">
        <v>0</v>
      </c>
      <c r="AG2603">
        <v>45</v>
      </c>
      <c r="AH2603">
        <v>20</v>
      </c>
      <c r="AI2603" s="2">
        <f>Table__192.168.3.138DYLAgingReport[[#This Row],[NetAmount]]-Table__192.168.3.138DYLAgingReport[[#This Row],[Paid]]</f>
        <v>123192</v>
      </c>
    </row>
    <row r="2604" spans="1:35">
      <c r="A2604" t="s">
        <v>5183</v>
      </c>
      <c r="B2604" s="1">
        <v>41297</v>
      </c>
      <c r="C2604" s="1">
        <v>41342</v>
      </c>
      <c r="D2604" t="s">
        <v>183</v>
      </c>
      <c r="E2604">
        <v>56050</v>
      </c>
      <c r="F2604">
        <v>8968</v>
      </c>
      <c r="G2604">
        <v>0</v>
      </c>
      <c r="H2604">
        <v>0</v>
      </c>
      <c r="I2604">
        <v>-29</v>
      </c>
      <c r="J2604">
        <v>65018</v>
      </c>
      <c r="K2604" t="s">
        <v>5184</v>
      </c>
      <c r="L2604" s="1">
        <v>41297</v>
      </c>
      <c r="N2604" t="s">
        <v>36</v>
      </c>
      <c r="O2604" t="s">
        <v>37</v>
      </c>
      <c r="P2604" t="s">
        <v>320</v>
      </c>
      <c r="Q2604" t="s">
        <v>39</v>
      </c>
      <c r="R2604" t="s">
        <v>40</v>
      </c>
      <c r="S2604">
        <v>0</v>
      </c>
      <c r="U2604" t="s">
        <v>41</v>
      </c>
      <c r="V2604" t="s">
        <v>42</v>
      </c>
      <c r="X2604" t="s">
        <v>74</v>
      </c>
      <c r="Y2604" t="b">
        <v>0</v>
      </c>
      <c r="Z2604" t="b">
        <v>0</v>
      </c>
      <c r="AC2604" s="1"/>
      <c r="AF2604">
        <v>0</v>
      </c>
      <c r="AG2604">
        <v>45</v>
      </c>
      <c r="AH2604">
        <v>16</v>
      </c>
      <c r="AI2604" s="2">
        <f>Table__192.168.3.138DYLAgingReport[[#This Row],[NetAmount]]-Table__192.168.3.138DYLAgingReport[[#This Row],[Paid]]</f>
        <v>65018</v>
      </c>
    </row>
    <row r="2605" spans="1:35">
      <c r="A2605" t="s">
        <v>5185</v>
      </c>
      <c r="B2605" s="1">
        <v>41284</v>
      </c>
      <c r="C2605" s="1">
        <v>41329</v>
      </c>
      <c r="D2605" t="s">
        <v>272</v>
      </c>
      <c r="E2605">
        <v>35000</v>
      </c>
      <c r="F2605">
        <v>5600</v>
      </c>
      <c r="G2605">
        <v>0</v>
      </c>
      <c r="H2605">
        <v>0</v>
      </c>
      <c r="I2605">
        <v>-16</v>
      </c>
      <c r="J2605">
        <v>40600</v>
      </c>
      <c r="K2605" t="s">
        <v>891</v>
      </c>
      <c r="L2605" s="1">
        <v>41284</v>
      </c>
      <c r="N2605" t="s">
        <v>36</v>
      </c>
      <c r="O2605" t="s">
        <v>37</v>
      </c>
      <c r="P2605" t="s">
        <v>409</v>
      </c>
      <c r="Q2605" t="s">
        <v>39</v>
      </c>
      <c r="R2605" t="s">
        <v>40</v>
      </c>
      <c r="S2605">
        <v>0</v>
      </c>
      <c r="U2605" t="s">
        <v>41</v>
      </c>
      <c r="V2605" t="s">
        <v>42</v>
      </c>
      <c r="X2605" t="s">
        <v>74</v>
      </c>
      <c r="Y2605" t="b">
        <v>0</v>
      </c>
      <c r="Z2605" t="b">
        <v>0</v>
      </c>
      <c r="AC2605" s="1"/>
      <c r="AF2605">
        <v>0</v>
      </c>
      <c r="AG2605">
        <v>45</v>
      </c>
      <c r="AH2605">
        <v>29</v>
      </c>
      <c r="AI2605" s="2">
        <f>Table__192.168.3.138DYLAgingReport[[#This Row],[NetAmount]]-Table__192.168.3.138DYLAgingReport[[#This Row],[Paid]]</f>
        <v>40600</v>
      </c>
    </row>
    <row r="2606" spans="1:35">
      <c r="A2606" t="s">
        <v>5186</v>
      </c>
      <c r="B2606" s="1">
        <v>41291</v>
      </c>
      <c r="C2606" s="1">
        <v>41336</v>
      </c>
      <c r="D2606" t="s">
        <v>272</v>
      </c>
      <c r="E2606">
        <v>70000</v>
      </c>
      <c r="F2606">
        <v>11200</v>
      </c>
      <c r="G2606">
        <v>0</v>
      </c>
      <c r="H2606">
        <v>0</v>
      </c>
      <c r="I2606">
        <v>-22</v>
      </c>
      <c r="J2606">
        <v>81200</v>
      </c>
      <c r="K2606" t="s">
        <v>5187</v>
      </c>
      <c r="L2606" s="1">
        <v>41290</v>
      </c>
      <c r="N2606" t="s">
        <v>36</v>
      </c>
      <c r="O2606" t="s">
        <v>37</v>
      </c>
      <c r="P2606" t="s">
        <v>409</v>
      </c>
      <c r="Q2606" t="s">
        <v>39</v>
      </c>
      <c r="R2606" t="s">
        <v>40</v>
      </c>
      <c r="S2606">
        <v>0</v>
      </c>
      <c r="U2606" t="s">
        <v>41</v>
      </c>
      <c r="V2606" t="s">
        <v>42</v>
      </c>
      <c r="X2606" t="s">
        <v>74</v>
      </c>
      <c r="Y2606" t="b">
        <v>0</v>
      </c>
      <c r="Z2606" t="b">
        <v>0</v>
      </c>
      <c r="AC2606" s="1"/>
      <c r="AF2606">
        <v>0</v>
      </c>
      <c r="AG2606">
        <v>45</v>
      </c>
      <c r="AH2606">
        <v>23</v>
      </c>
      <c r="AI2606" s="2">
        <f>Table__192.168.3.138DYLAgingReport[[#This Row],[NetAmount]]-Table__192.168.3.138DYLAgingReport[[#This Row],[Paid]]</f>
        <v>81200</v>
      </c>
    </row>
    <row r="2607" spans="1:35">
      <c r="A2607" t="s">
        <v>5188</v>
      </c>
      <c r="B2607" s="1">
        <v>41296</v>
      </c>
      <c r="C2607" s="1">
        <v>41341</v>
      </c>
      <c r="D2607" t="s">
        <v>227</v>
      </c>
      <c r="E2607">
        <v>143000</v>
      </c>
      <c r="F2607">
        <v>22880</v>
      </c>
      <c r="G2607">
        <v>0</v>
      </c>
      <c r="H2607">
        <v>0</v>
      </c>
      <c r="I2607">
        <v>-28</v>
      </c>
      <c r="J2607">
        <v>165880</v>
      </c>
      <c r="K2607" t="s">
        <v>5189</v>
      </c>
      <c r="L2607" s="1">
        <v>41296</v>
      </c>
      <c r="N2607" t="s">
        <v>36</v>
      </c>
      <c r="O2607" t="s">
        <v>37</v>
      </c>
      <c r="P2607" t="s">
        <v>364</v>
      </c>
      <c r="Q2607" t="s">
        <v>39</v>
      </c>
      <c r="R2607" t="s">
        <v>40</v>
      </c>
      <c r="S2607">
        <v>0</v>
      </c>
      <c r="U2607" t="s">
        <v>41</v>
      </c>
      <c r="V2607" t="s">
        <v>42</v>
      </c>
      <c r="X2607" t="s">
        <v>74</v>
      </c>
      <c r="Y2607" t="b">
        <v>0</v>
      </c>
      <c r="Z2607" t="b">
        <v>0</v>
      </c>
      <c r="AC2607" s="1"/>
      <c r="AF2607">
        <v>0</v>
      </c>
      <c r="AG2607">
        <v>45</v>
      </c>
      <c r="AH2607">
        <v>17</v>
      </c>
      <c r="AI2607" s="2">
        <f>Table__192.168.3.138DYLAgingReport[[#This Row],[NetAmount]]-Table__192.168.3.138DYLAgingReport[[#This Row],[Paid]]</f>
        <v>165880</v>
      </c>
    </row>
    <row r="2608" spans="1:35">
      <c r="A2608" t="s">
        <v>5190</v>
      </c>
      <c r="B2608" s="1">
        <v>41298</v>
      </c>
      <c r="C2608" s="1">
        <v>41343</v>
      </c>
      <c r="D2608" t="s">
        <v>227</v>
      </c>
      <c r="E2608">
        <v>72000</v>
      </c>
      <c r="F2608">
        <v>11520</v>
      </c>
      <c r="G2608">
        <v>0</v>
      </c>
      <c r="H2608">
        <v>0</v>
      </c>
      <c r="I2608">
        <v>-32</v>
      </c>
      <c r="J2608">
        <v>83520</v>
      </c>
      <c r="K2608" t="s">
        <v>5191</v>
      </c>
      <c r="L2608" s="1">
        <v>41300</v>
      </c>
      <c r="N2608" t="s">
        <v>36</v>
      </c>
      <c r="O2608" t="s">
        <v>37</v>
      </c>
      <c r="P2608" t="s">
        <v>364</v>
      </c>
      <c r="Q2608" t="s">
        <v>39</v>
      </c>
      <c r="R2608" t="s">
        <v>40</v>
      </c>
      <c r="S2608">
        <v>0</v>
      </c>
      <c r="U2608" t="s">
        <v>41</v>
      </c>
      <c r="V2608" t="s">
        <v>42</v>
      </c>
      <c r="X2608" t="s">
        <v>74</v>
      </c>
      <c r="Y2608" t="b">
        <v>0</v>
      </c>
      <c r="Z2608" t="b">
        <v>0</v>
      </c>
      <c r="AC2608" s="1"/>
      <c r="AF2608">
        <v>0</v>
      </c>
      <c r="AG2608">
        <v>45</v>
      </c>
      <c r="AH2608">
        <v>13</v>
      </c>
      <c r="AI2608" s="2">
        <f>Table__192.168.3.138DYLAgingReport[[#This Row],[NetAmount]]-Table__192.168.3.138DYLAgingReport[[#This Row],[Paid]]</f>
        <v>83520</v>
      </c>
    </row>
    <row r="2609" spans="1:35">
      <c r="A2609" t="s">
        <v>5192</v>
      </c>
      <c r="B2609" s="1">
        <v>41298</v>
      </c>
      <c r="C2609" s="1">
        <v>41343</v>
      </c>
      <c r="D2609" t="s">
        <v>227</v>
      </c>
      <c r="E2609">
        <v>220000</v>
      </c>
      <c r="F2609">
        <v>35200</v>
      </c>
      <c r="G2609">
        <v>0</v>
      </c>
      <c r="H2609">
        <v>0</v>
      </c>
      <c r="I2609">
        <v>-30</v>
      </c>
      <c r="J2609">
        <v>255200</v>
      </c>
      <c r="K2609" t="s">
        <v>5193</v>
      </c>
      <c r="L2609" s="1">
        <v>41298</v>
      </c>
      <c r="N2609" t="s">
        <v>36</v>
      </c>
      <c r="O2609" t="s">
        <v>37</v>
      </c>
      <c r="P2609" t="s">
        <v>364</v>
      </c>
      <c r="Q2609" t="s">
        <v>39</v>
      </c>
      <c r="R2609" t="s">
        <v>40</v>
      </c>
      <c r="S2609">
        <v>0</v>
      </c>
      <c r="U2609" t="s">
        <v>41</v>
      </c>
      <c r="V2609" t="s">
        <v>42</v>
      </c>
      <c r="X2609" t="s">
        <v>74</v>
      </c>
      <c r="Y2609" t="b">
        <v>0</v>
      </c>
      <c r="Z2609" t="b">
        <v>0</v>
      </c>
      <c r="AC2609" s="1"/>
      <c r="AF2609">
        <v>0</v>
      </c>
      <c r="AG2609">
        <v>45</v>
      </c>
      <c r="AH2609">
        <v>15</v>
      </c>
      <c r="AI2609" s="2">
        <f>Table__192.168.3.138DYLAgingReport[[#This Row],[NetAmount]]-Table__192.168.3.138DYLAgingReport[[#This Row],[Paid]]</f>
        <v>255200</v>
      </c>
    </row>
    <row r="2610" spans="1:35">
      <c r="A2610" t="s">
        <v>5194</v>
      </c>
      <c r="B2610" s="1">
        <v>41300</v>
      </c>
      <c r="C2610" s="1">
        <v>41345</v>
      </c>
      <c r="D2610" t="s">
        <v>227</v>
      </c>
      <c r="E2610">
        <v>112500</v>
      </c>
      <c r="F2610">
        <v>18000</v>
      </c>
      <c r="G2610">
        <v>0</v>
      </c>
      <c r="H2610">
        <v>0</v>
      </c>
      <c r="I2610">
        <v>-32</v>
      </c>
      <c r="J2610">
        <v>130500</v>
      </c>
      <c r="K2610" t="s">
        <v>5195</v>
      </c>
      <c r="L2610" s="1">
        <v>41300</v>
      </c>
      <c r="N2610" t="s">
        <v>36</v>
      </c>
      <c r="O2610" t="s">
        <v>37</v>
      </c>
      <c r="P2610" t="s">
        <v>364</v>
      </c>
      <c r="Q2610" t="s">
        <v>39</v>
      </c>
      <c r="R2610" t="s">
        <v>40</v>
      </c>
      <c r="S2610">
        <v>0</v>
      </c>
      <c r="U2610" t="s">
        <v>41</v>
      </c>
      <c r="V2610" t="s">
        <v>42</v>
      </c>
      <c r="X2610" t="s">
        <v>74</v>
      </c>
      <c r="Y2610" t="b">
        <v>0</v>
      </c>
      <c r="Z2610" t="b">
        <v>0</v>
      </c>
      <c r="AC2610" s="1"/>
      <c r="AF2610">
        <v>0</v>
      </c>
      <c r="AG2610">
        <v>45</v>
      </c>
      <c r="AH2610">
        <v>13</v>
      </c>
      <c r="AI2610" s="2">
        <f>Table__192.168.3.138DYLAgingReport[[#This Row],[NetAmount]]-Table__192.168.3.138DYLAgingReport[[#This Row],[Paid]]</f>
        <v>130500</v>
      </c>
    </row>
    <row r="2611" spans="1:35">
      <c r="A2611" t="s">
        <v>5196</v>
      </c>
      <c r="B2611" s="1">
        <v>41300</v>
      </c>
      <c r="C2611" s="1">
        <v>41345</v>
      </c>
      <c r="D2611" t="s">
        <v>292</v>
      </c>
      <c r="E2611">
        <v>64800</v>
      </c>
      <c r="F2611">
        <v>10368</v>
      </c>
      <c r="G2611">
        <v>0</v>
      </c>
      <c r="H2611">
        <v>0</v>
      </c>
      <c r="I2611">
        <v>-32</v>
      </c>
      <c r="J2611">
        <v>75168</v>
      </c>
      <c r="K2611" t="s">
        <v>3708</v>
      </c>
      <c r="L2611" s="1">
        <v>41300</v>
      </c>
      <c r="N2611" t="s">
        <v>36</v>
      </c>
      <c r="O2611" t="s">
        <v>37</v>
      </c>
      <c r="P2611" t="s">
        <v>429</v>
      </c>
      <c r="Q2611" t="s">
        <v>39</v>
      </c>
      <c r="R2611" t="s">
        <v>40</v>
      </c>
      <c r="S2611">
        <v>0</v>
      </c>
      <c r="U2611" t="s">
        <v>41</v>
      </c>
      <c r="V2611" t="s">
        <v>42</v>
      </c>
      <c r="X2611" t="s">
        <v>74</v>
      </c>
      <c r="Y2611" t="b">
        <v>0</v>
      </c>
      <c r="Z2611" t="b">
        <v>0</v>
      </c>
      <c r="AC2611" s="1"/>
      <c r="AF2611">
        <v>0</v>
      </c>
      <c r="AG2611">
        <v>45</v>
      </c>
      <c r="AH2611">
        <v>13</v>
      </c>
      <c r="AI2611" s="2">
        <f>Table__192.168.3.138DYLAgingReport[[#This Row],[NetAmount]]-Table__192.168.3.138DYLAgingReport[[#This Row],[Paid]]</f>
        <v>75168</v>
      </c>
    </row>
    <row r="2612" spans="1:35">
      <c r="A2612" t="s">
        <v>5197</v>
      </c>
      <c r="B2612" s="1">
        <v>41302</v>
      </c>
      <c r="C2612" s="1">
        <v>41347</v>
      </c>
      <c r="D2612" t="s">
        <v>173</v>
      </c>
      <c r="E2612">
        <v>12599</v>
      </c>
      <c r="F2612">
        <v>2016</v>
      </c>
      <c r="G2612">
        <v>0</v>
      </c>
      <c r="H2612">
        <v>0</v>
      </c>
      <c r="I2612">
        <v>-34</v>
      </c>
      <c r="J2612">
        <v>14615</v>
      </c>
      <c r="K2612" t="s">
        <v>5198</v>
      </c>
      <c r="L2612" s="1">
        <v>41302</v>
      </c>
      <c r="N2612" t="s">
        <v>36</v>
      </c>
      <c r="O2612" t="s">
        <v>37</v>
      </c>
      <c r="P2612" t="s">
        <v>310</v>
      </c>
      <c r="Q2612" t="s">
        <v>39</v>
      </c>
      <c r="R2612" t="s">
        <v>40</v>
      </c>
      <c r="S2612">
        <v>0</v>
      </c>
      <c r="U2612" t="s">
        <v>41</v>
      </c>
      <c r="V2612" t="s">
        <v>42</v>
      </c>
      <c r="X2612" t="s">
        <v>74</v>
      </c>
      <c r="Y2612" t="b">
        <v>0</v>
      </c>
      <c r="Z2612" t="b">
        <v>0</v>
      </c>
      <c r="AC2612" s="1"/>
      <c r="AF2612">
        <v>0</v>
      </c>
      <c r="AG2612">
        <v>45</v>
      </c>
      <c r="AH2612">
        <v>11</v>
      </c>
      <c r="AI2612" s="2">
        <f>Table__192.168.3.138DYLAgingReport[[#This Row],[NetAmount]]-Table__192.168.3.138DYLAgingReport[[#This Row],[Paid]]</f>
        <v>14615</v>
      </c>
    </row>
    <row r="2613" spans="1:35">
      <c r="A2613" t="s">
        <v>5199</v>
      </c>
      <c r="B2613" s="1">
        <v>41302</v>
      </c>
      <c r="C2613" s="1">
        <v>41332</v>
      </c>
      <c r="D2613" t="s">
        <v>284</v>
      </c>
      <c r="E2613">
        <v>56200</v>
      </c>
      <c r="F2613">
        <v>0</v>
      </c>
      <c r="G2613">
        <v>0</v>
      </c>
      <c r="H2613">
        <v>0</v>
      </c>
      <c r="I2613">
        <v>-19</v>
      </c>
      <c r="J2613">
        <v>56200</v>
      </c>
      <c r="K2613" t="s">
        <v>5200</v>
      </c>
      <c r="L2613" s="1">
        <v>41302</v>
      </c>
      <c r="N2613" t="s">
        <v>36</v>
      </c>
      <c r="O2613" t="s">
        <v>37</v>
      </c>
      <c r="P2613" t="s">
        <v>421</v>
      </c>
      <c r="Q2613" t="s">
        <v>39</v>
      </c>
      <c r="R2613" t="s">
        <v>40</v>
      </c>
      <c r="S2613">
        <v>0</v>
      </c>
      <c r="U2613" t="s">
        <v>41</v>
      </c>
      <c r="V2613" t="s">
        <v>42</v>
      </c>
      <c r="X2613" t="s">
        <v>74</v>
      </c>
      <c r="Y2613" t="b">
        <v>0</v>
      </c>
      <c r="Z2613" t="b">
        <v>0</v>
      </c>
      <c r="AC2613" s="1"/>
      <c r="AF2613">
        <v>0</v>
      </c>
      <c r="AG2613">
        <v>30</v>
      </c>
      <c r="AH2613">
        <v>11</v>
      </c>
      <c r="AI2613" s="2">
        <f>Table__192.168.3.138DYLAgingReport[[#This Row],[NetAmount]]-Table__192.168.3.138DYLAgingReport[[#This Row],[Paid]]</f>
        <v>56200</v>
      </c>
    </row>
    <row r="2614" spans="1:35">
      <c r="A2614" t="s">
        <v>5201</v>
      </c>
      <c r="B2614" s="1">
        <v>41278</v>
      </c>
      <c r="C2614" s="1">
        <v>41323</v>
      </c>
      <c r="D2614" t="s">
        <v>190</v>
      </c>
      <c r="E2614">
        <v>55550</v>
      </c>
      <c r="F2614">
        <v>8888</v>
      </c>
      <c r="G2614">
        <v>0</v>
      </c>
      <c r="H2614">
        <v>0</v>
      </c>
      <c r="I2614">
        <v>-11</v>
      </c>
      <c r="J2614">
        <v>64438</v>
      </c>
      <c r="K2614" t="s">
        <v>5202</v>
      </c>
      <c r="L2614" s="1">
        <v>41279</v>
      </c>
      <c r="N2614" t="s">
        <v>36</v>
      </c>
      <c r="O2614" t="s">
        <v>37</v>
      </c>
      <c r="P2614" t="s">
        <v>327</v>
      </c>
      <c r="Q2614" t="s">
        <v>39</v>
      </c>
      <c r="R2614" t="s">
        <v>40</v>
      </c>
      <c r="S2614">
        <v>0</v>
      </c>
      <c r="U2614" t="s">
        <v>41</v>
      </c>
      <c r="V2614" t="s">
        <v>42</v>
      </c>
      <c r="X2614" t="s">
        <v>74</v>
      </c>
      <c r="Y2614" t="b">
        <v>0</v>
      </c>
      <c r="Z2614" t="b">
        <v>0</v>
      </c>
      <c r="AC2614" s="1"/>
      <c r="AF2614">
        <v>0</v>
      </c>
      <c r="AG2614">
        <v>45</v>
      </c>
      <c r="AH2614">
        <v>34</v>
      </c>
      <c r="AI2614" s="2">
        <f>Table__192.168.3.138DYLAgingReport[[#This Row],[NetAmount]]-Table__192.168.3.138DYLAgingReport[[#This Row],[Paid]]</f>
        <v>64438</v>
      </c>
    </row>
    <row r="2615" spans="1:35">
      <c r="A2615" t="s">
        <v>5203</v>
      </c>
      <c r="B2615" s="1">
        <v>41295</v>
      </c>
      <c r="C2615" s="1">
        <v>41340</v>
      </c>
      <c r="D2615" t="s">
        <v>191</v>
      </c>
      <c r="E2615">
        <v>167200</v>
      </c>
      <c r="F2615">
        <v>26752</v>
      </c>
      <c r="G2615">
        <v>0</v>
      </c>
      <c r="H2615">
        <v>0</v>
      </c>
      <c r="I2615">
        <v>-27</v>
      </c>
      <c r="J2615">
        <v>193952</v>
      </c>
      <c r="K2615" t="s">
        <v>5204</v>
      </c>
      <c r="L2615" s="1">
        <v>41295</v>
      </c>
      <c r="N2615" t="s">
        <v>36</v>
      </c>
      <c r="O2615" t="s">
        <v>37</v>
      </c>
      <c r="P2615" t="s">
        <v>328</v>
      </c>
      <c r="Q2615" t="s">
        <v>39</v>
      </c>
      <c r="R2615" t="s">
        <v>40</v>
      </c>
      <c r="S2615">
        <v>0</v>
      </c>
      <c r="U2615" t="s">
        <v>41</v>
      </c>
      <c r="V2615" t="s">
        <v>42</v>
      </c>
      <c r="X2615" t="s">
        <v>74</v>
      </c>
      <c r="Y2615" t="b">
        <v>0</v>
      </c>
      <c r="Z2615" t="b">
        <v>0</v>
      </c>
      <c r="AC2615" s="1"/>
      <c r="AF2615">
        <v>0</v>
      </c>
      <c r="AG2615">
        <v>45</v>
      </c>
      <c r="AH2615">
        <v>18</v>
      </c>
      <c r="AI2615" s="2">
        <f>Table__192.168.3.138DYLAgingReport[[#This Row],[NetAmount]]-Table__192.168.3.138DYLAgingReport[[#This Row],[Paid]]</f>
        <v>193952</v>
      </c>
    </row>
    <row r="2616" spans="1:35">
      <c r="A2616" t="s">
        <v>5205</v>
      </c>
      <c r="B2616" s="1">
        <v>41302</v>
      </c>
      <c r="C2616" s="1">
        <v>41347</v>
      </c>
      <c r="D2616" t="s">
        <v>283</v>
      </c>
      <c r="E2616">
        <v>566200</v>
      </c>
      <c r="F2616">
        <v>90592</v>
      </c>
      <c r="G2616">
        <v>0</v>
      </c>
      <c r="H2616">
        <v>0</v>
      </c>
      <c r="I2616">
        <v>-29</v>
      </c>
      <c r="J2616">
        <v>656792</v>
      </c>
      <c r="K2616" t="s">
        <v>5206</v>
      </c>
      <c r="L2616" s="1">
        <v>41297</v>
      </c>
      <c r="N2616" t="s">
        <v>36</v>
      </c>
      <c r="O2616" t="s">
        <v>37</v>
      </c>
      <c r="P2616" t="s">
        <v>420</v>
      </c>
      <c r="Q2616" t="s">
        <v>39</v>
      </c>
      <c r="R2616" t="s">
        <v>40</v>
      </c>
      <c r="S2616">
        <v>0</v>
      </c>
      <c r="U2616" t="s">
        <v>41</v>
      </c>
      <c r="V2616" t="s">
        <v>42</v>
      </c>
      <c r="X2616" t="s">
        <v>74</v>
      </c>
      <c r="Y2616" t="b">
        <v>0</v>
      </c>
      <c r="Z2616" t="b">
        <v>0</v>
      </c>
      <c r="AC2616" s="1"/>
      <c r="AF2616">
        <v>0</v>
      </c>
      <c r="AG2616">
        <v>45</v>
      </c>
      <c r="AH2616">
        <v>16</v>
      </c>
      <c r="AI2616" s="2">
        <f>Table__192.168.3.138DYLAgingReport[[#This Row],[NetAmount]]-Table__192.168.3.138DYLAgingReport[[#This Row],[Paid]]</f>
        <v>656792</v>
      </c>
    </row>
    <row r="2617" spans="1:35">
      <c r="A2617" t="s">
        <v>5207</v>
      </c>
      <c r="B2617" s="1">
        <v>41302</v>
      </c>
      <c r="C2617" s="1">
        <v>41347</v>
      </c>
      <c r="D2617" t="s">
        <v>283</v>
      </c>
      <c r="E2617">
        <v>566200</v>
      </c>
      <c r="F2617">
        <v>90592</v>
      </c>
      <c r="G2617">
        <v>0</v>
      </c>
      <c r="H2617">
        <v>0</v>
      </c>
      <c r="I2617">
        <v>-29</v>
      </c>
      <c r="J2617">
        <v>656792</v>
      </c>
      <c r="K2617" t="s">
        <v>5208</v>
      </c>
      <c r="L2617" s="1">
        <v>41297</v>
      </c>
      <c r="N2617" t="s">
        <v>36</v>
      </c>
      <c r="O2617" t="s">
        <v>37</v>
      </c>
      <c r="P2617" t="s">
        <v>420</v>
      </c>
      <c r="Q2617" t="s">
        <v>39</v>
      </c>
      <c r="R2617" t="s">
        <v>40</v>
      </c>
      <c r="S2617">
        <v>0</v>
      </c>
      <c r="U2617" t="s">
        <v>41</v>
      </c>
      <c r="V2617" t="s">
        <v>42</v>
      </c>
      <c r="X2617" t="s">
        <v>74</v>
      </c>
      <c r="Y2617" t="b">
        <v>0</v>
      </c>
      <c r="Z2617" t="b">
        <v>0</v>
      </c>
      <c r="AC2617" s="1"/>
      <c r="AF2617">
        <v>0</v>
      </c>
      <c r="AG2617">
        <v>45</v>
      </c>
      <c r="AH2617">
        <v>16</v>
      </c>
      <c r="AI2617" s="2">
        <f>Table__192.168.3.138DYLAgingReport[[#This Row],[NetAmount]]-Table__192.168.3.138DYLAgingReport[[#This Row],[Paid]]</f>
        <v>656792</v>
      </c>
    </row>
    <row r="2618" spans="1:35">
      <c r="A2618" t="s">
        <v>5209</v>
      </c>
      <c r="B2618" s="1">
        <v>41302</v>
      </c>
      <c r="C2618" s="1">
        <v>41347</v>
      </c>
      <c r="D2618" t="s">
        <v>283</v>
      </c>
      <c r="E2618">
        <v>566200</v>
      </c>
      <c r="F2618">
        <v>90592</v>
      </c>
      <c r="G2618">
        <v>0</v>
      </c>
      <c r="H2618">
        <v>0</v>
      </c>
      <c r="I2618">
        <v>-29</v>
      </c>
      <c r="J2618">
        <v>656792</v>
      </c>
      <c r="K2618" t="s">
        <v>5210</v>
      </c>
      <c r="L2618" s="1">
        <v>41297</v>
      </c>
      <c r="N2618" t="s">
        <v>36</v>
      </c>
      <c r="O2618" t="s">
        <v>37</v>
      </c>
      <c r="P2618" t="s">
        <v>420</v>
      </c>
      <c r="Q2618" t="s">
        <v>39</v>
      </c>
      <c r="R2618" t="s">
        <v>40</v>
      </c>
      <c r="S2618">
        <v>0</v>
      </c>
      <c r="U2618" t="s">
        <v>41</v>
      </c>
      <c r="V2618" t="s">
        <v>42</v>
      </c>
      <c r="X2618" t="s">
        <v>74</v>
      </c>
      <c r="Y2618" t="b">
        <v>0</v>
      </c>
      <c r="Z2618" t="b">
        <v>0</v>
      </c>
      <c r="AC2618" s="1"/>
      <c r="AF2618">
        <v>0</v>
      </c>
      <c r="AG2618">
        <v>45</v>
      </c>
      <c r="AH2618">
        <v>16</v>
      </c>
      <c r="AI2618" s="2">
        <f>Table__192.168.3.138DYLAgingReport[[#This Row],[NetAmount]]-Table__192.168.3.138DYLAgingReport[[#This Row],[Paid]]</f>
        <v>656792</v>
      </c>
    </row>
    <row r="2619" spans="1:35">
      <c r="A2619" t="s">
        <v>5211</v>
      </c>
      <c r="B2619" s="1">
        <v>41302</v>
      </c>
      <c r="C2619" s="1">
        <v>41347</v>
      </c>
      <c r="D2619" t="s">
        <v>283</v>
      </c>
      <c r="E2619">
        <v>566200</v>
      </c>
      <c r="F2619">
        <v>90592</v>
      </c>
      <c r="G2619">
        <v>0</v>
      </c>
      <c r="H2619">
        <v>0</v>
      </c>
      <c r="I2619">
        <v>-29</v>
      </c>
      <c r="J2619">
        <v>656792</v>
      </c>
      <c r="K2619" t="s">
        <v>5212</v>
      </c>
      <c r="L2619" s="1">
        <v>41297</v>
      </c>
      <c r="N2619" t="s">
        <v>36</v>
      </c>
      <c r="O2619" t="s">
        <v>37</v>
      </c>
      <c r="P2619" t="s">
        <v>420</v>
      </c>
      <c r="Q2619" t="s">
        <v>39</v>
      </c>
      <c r="R2619" t="s">
        <v>40</v>
      </c>
      <c r="S2619">
        <v>0</v>
      </c>
      <c r="U2619" t="s">
        <v>41</v>
      </c>
      <c r="V2619" t="s">
        <v>42</v>
      </c>
      <c r="X2619" t="s">
        <v>74</v>
      </c>
      <c r="Y2619" t="b">
        <v>0</v>
      </c>
      <c r="Z2619" t="b">
        <v>0</v>
      </c>
      <c r="AC2619" s="1"/>
      <c r="AF2619">
        <v>0</v>
      </c>
      <c r="AG2619">
        <v>45</v>
      </c>
      <c r="AH2619">
        <v>16</v>
      </c>
      <c r="AI2619" s="2">
        <f>Table__192.168.3.138DYLAgingReport[[#This Row],[NetAmount]]-Table__192.168.3.138DYLAgingReport[[#This Row],[Paid]]</f>
        <v>656792</v>
      </c>
    </row>
    <row r="2620" spans="1:35">
      <c r="A2620" t="s">
        <v>5213</v>
      </c>
      <c r="B2620" s="1">
        <v>41298</v>
      </c>
      <c r="C2620" s="1">
        <v>41343</v>
      </c>
      <c r="D2620" t="s">
        <v>208</v>
      </c>
      <c r="E2620">
        <v>2600</v>
      </c>
      <c r="F2620">
        <v>416</v>
      </c>
      <c r="G2620">
        <v>0</v>
      </c>
      <c r="H2620">
        <v>0</v>
      </c>
      <c r="I2620">
        <v>-30</v>
      </c>
      <c r="J2620">
        <v>3016</v>
      </c>
      <c r="K2620" t="s">
        <v>5214</v>
      </c>
      <c r="L2620" s="1">
        <v>41298</v>
      </c>
      <c r="N2620" t="s">
        <v>36</v>
      </c>
      <c r="O2620" t="s">
        <v>37</v>
      </c>
      <c r="P2620" t="s">
        <v>345</v>
      </c>
      <c r="Q2620" t="s">
        <v>39</v>
      </c>
      <c r="R2620" t="s">
        <v>40</v>
      </c>
      <c r="S2620">
        <v>0</v>
      </c>
      <c r="U2620" t="s">
        <v>41</v>
      </c>
      <c r="V2620" t="s">
        <v>42</v>
      </c>
      <c r="X2620" t="s">
        <v>74</v>
      </c>
      <c r="Y2620" t="b">
        <v>0</v>
      </c>
      <c r="Z2620" t="b">
        <v>0</v>
      </c>
      <c r="AB2620" t="s">
        <v>5164</v>
      </c>
      <c r="AC2620" s="1">
        <v>41311</v>
      </c>
      <c r="AF2620">
        <v>0</v>
      </c>
      <c r="AG2620">
        <v>45</v>
      </c>
      <c r="AH2620">
        <v>15</v>
      </c>
      <c r="AI2620" s="2">
        <f>Table__192.168.3.138DYLAgingReport[[#This Row],[NetAmount]]-Table__192.168.3.138DYLAgingReport[[#This Row],[Paid]]</f>
        <v>3016</v>
      </c>
    </row>
    <row r="2621" spans="1:35">
      <c r="A2621" t="s">
        <v>5215</v>
      </c>
      <c r="B2621" s="1">
        <v>41295</v>
      </c>
      <c r="C2621" s="1">
        <v>41340</v>
      </c>
      <c r="D2621" t="s">
        <v>257</v>
      </c>
      <c r="E2621">
        <v>224000</v>
      </c>
      <c r="F2621">
        <v>35840</v>
      </c>
      <c r="G2621">
        <v>0</v>
      </c>
      <c r="H2621">
        <v>0</v>
      </c>
      <c r="I2621">
        <v>-27</v>
      </c>
      <c r="J2621">
        <v>259840</v>
      </c>
      <c r="K2621" t="s">
        <v>5216</v>
      </c>
      <c r="L2621" s="1">
        <v>41295</v>
      </c>
      <c r="N2621" t="s">
        <v>36</v>
      </c>
      <c r="O2621" t="s">
        <v>37</v>
      </c>
      <c r="P2621" t="s">
        <v>394</v>
      </c>
      <c r="Q2621" t="s">
        <v>39</v>
      </c>
      <c r="R2621" t="s">
        <v>40</v>
      </c>
      <c r="S2621">
        <v>0</v>
      </c>
      <c r="U2621" t="s">
        <v>41</v>
      </c>
      <c r="V2621" t="s">
        <v>42</v>
      </c>
      <c r="X2621" t="s">
        <v>74</v>
      </c>
      <c r="Y2621" t="b">
        <v>0</v>
      </c>
      <c r="Z2621" t="b">
        <v>0</v>
      </c>
      <c r="AC2621" s="1"/>
      <c r="AF2621">
        <v>0</v>
      </c>
      <c r="AG2621">
        <v>45</v>
      </c>
      <c r="AH2621">
        <v>18</v>
      </c>
      <c r="AI2621" s="2">
        <f>Table__192.168.3.138DYLAgingReport[[#This Row],[NetAmount]]-Table__192.168.3.138DYLAgingReport[[#This Row],[Paid]]</f>
        <v>259840</v>
      </c>
    </row>
    <row r="2622" spans="1:35">
      <c r="A2622" t="s">
        <v>5217</v>
      </c>
      <c r="B2622" s="1">
        <v>41297</v>
      </c>
      <c r="C2622" s="1">
        <v>41342</v>
      </c>
      <c r="D2622" t="s">
        <v>180</v>
      </c>
      <c r="E2622">
        <v>27600</v>
      </c>
      <c r="F2622">
        <v>4416</v>
      </c>
      <c r="G2622">
        <v>0</v>
      </c>
      <c r="H2622">
        <v>0</v>
      </c>
      <c r="I2622">
        <v>-29</v>
      </c>
      <c r="J2622">
        <v>32016</v>
      </c>
      <c r="K2622" t="s">
        <v>5218</v>
      </c>
      <c r="L2622" s="1">
        <v>41297</v>
      </c>
      <c r="N2622" t="s">
        <v>36</v>
      </c>
      <c r="O2622" t="s">
        <v>37</v>
      </c>
      <c r="P2622" t="s">
        <v>317</v>
      </c>
      <c r="Q2622" t="s">
        <v>39</v>
      </c>
      <c r="R2622" t="s">
        <v>40</v>
      </c>
      <c r="S2622">
        <v>0</v>
      </c>
      <c r="U2622" t="s">
        <v>41</v>
      </c>
      <c r="V2622" t="s">
        <v>42</v>
      </c>
      <c r="X2622" t="s">
        <v>74</v>
      </c>
      <c r="Y2622" t="b">
        <v>0</v>
      </c>
      <c r="Z2622" t="b">
        <v>0</v>
      </c>
      <c r="AC2622" s="1"/>
      <c r="AF2622">
        <v>0</v>
      </c>
      <c r="AG2622">
        <v>45</v>
      </c>
      <c r="AH2622">
        <v>16</v>
      </c>
      <c r="AI2622" s="2">
        <f>Table__192.168.3.138DYLAgingReport[[#This Row],[NetAmount]]-Table__192.168.3.138DYLAgingReport[[#This Row],[Paid]]</f>
        <v>32016</v>
      </c>
    </row>
    <row r="2623" spans="1:35">
      <c r="A2623" t="s">
        <v>5219</v>
      </c>
      <c r="B2623" s="1">
        <v>41300</v>
      </c>
      <c r="C2623" s="1">
        <v>41345</v>
      </c>
      <c r="D2623" t="s">
        <v>299</v>
      </c>
      <c r="E2623">
        <v>215000</v>
      </c>
      <c r="F2623">
        <v>34400</v>
      </c>
      <c r="G2623">
        <v>0</v>
      </c>
      <c r="H2623">
        <v>0</v>
      </c>
      <c r="I2623">
        <v>-28</v>
      </c>
      <c r="J2623">
        <v>249400</v>
      </c>
      <c r="K2623" t="s">
        <v>5220</v>
      </c>
      <c r="L2623" s="1">
        <v>41296</v>
      </c>
      <c r="N2623" t="s">
        <v>36</v>
      </c>
      <c r="O2623" t="s">
        <v>37</v>
      </c>
      <c r="P2623" t="s">
        <v>436</v>
      </c>
      <c r="Q2623" t="s">
        <v>39</v>
      </c>
      <c r="R2623" t="s">
        <v>40</v>
      </c>
      <c r="S2623">
        <v>0</v>
      </c>
      <c r="U2623" t="s">
        <v>41</v>
      </c>
      <c r="V2623" t="s">
        <v>42</v>
      </c>
      <c r="X2623" t="s">
        <v>74</v>
      </c>
      <c r="Y2623" t="b">
        <v>0</v>
      </c>
      <c r="Z2623" t="b">
        <v>0</v>
      </c>
      <c r="AC2623" s="1"/>
      <c r="AF2623">
        <v>0</v>
      </c>
      <c r="AG2623">
        <v>45</v>
      </c>
      <c r="AH2623">
        <v>17</v>
      </c>
      <c r="AI2623" s="2">
        <f>Table__192.168.3.138DYLAgingReport[[#This Row],[NetAmount]]-Table__192.168.3.138DYLAgingReport[[#This Row],[Paid]]</f>
        <v>249400</v>
      </c>
    </row>
    <row r="2624" spans="1:35">
      <c r="A2624" t="s">
        <v>5221</v>
      </c>
      <c r="B2624" s="1">
        <v>41301</v>
      </c>
      <c r="C2624" s="1">
        <v>41346</v>
      </c>
      <c r="D2624" t="s">
        <v>299</v>
      </c>
      <c r="E2624">
        <v>215000</v>
      </c>
      <c r="F2624">
        <v>34400</v>
      </c>
      <c r="G2624">
        <v>0</v>
      </c>
      <c r="H2624">
        <v>0</v>
      </c>
      <c r="I2624">
        <v>-27</v>
      </c>
      <c r="J2624">
        <v>249400</v>
      </c>
      <c r="K2624" t="s">
        <v>5222</v>
      </c>
      <c r="L2624" s="1">
        <v>41295</v>
      </c>
      <c r="N2624" t="s">
        <v>36</v>
      </c>
      <c r="O2624" t="s">
        <v>37</v>
      </c>
      <c r="P2624" t="s">
        <v>436</v>
      </c>
      <c r="Q2624" t="s">
        <v>39</v>
      </c>
      <c r="R2624" t="s">
        <v>40</v>
      </c>
      <c r="S2624">
        <v>0</v>
      </c>
      <c r="U2624" t="s">
        <v>41</v>
      </c>
      <c r="V2624" t="s">
        <v>42</v>
      </c>
      <c r="X2624" t="s">
        <v>74</v>
      </c>
      <c r="Y2624" t="b">
        <v>0</v>
      </c>
      <c r="Z2624" t="b">
        <v>0</v>
      </c>
      <c r="AC2624" s="1"/>
      <c r="AF2624">
        <v>0</v>
      </c>
      <c r="AG2624">
        <v>45</v>
      </c>
      <c r="AH2624">
        <v>18</v>
      </c>
      <c r="AI2624" s="2">
        <f>Table__192.168.3.138DYLAgingReport[[#This Row],[NetAmount]]-Table__192.168.3.138DYLAgingReport[[#This Row],[Paid]]</f>
        <v>249400</v>
      </c>
    </row>
    <row r="2625" spans="1:35">
      <c r="A2625" t="s">
        <v>5223</v>
      </c>
      <c r="B2625" s="1">
        <v>41285</v>
      </c>
      <c r="C2625" s="1">
        <v>41330</v>
      </c>
      <c r="D2625" t="s">
        <v>224</v>
      </c>
      <c r="E2625">
        <v>20520</v>
      </c>
      <c r="F2625">
        <v>3283</v>
      </c>
      <c r="G2625">
        <v>0</v>
      </c>
      <c r="H2625">
        <v>0</v>
      </c>
      <c r="I2625">
        <v>-16</v>
      </c>
      <c r="J2625">
        <v>23803</v>
      </c>
      <c r="K2625" t="s">
        <v>5224</v>
      </c>
      <c r="L2625" s="1">
        <v>41284</v>
      </c>
      <c r="N2625" t="s">
        <v>36</v>
      </c>
      <c r="O2625" t="s">
        <v>37</v>
      </c>
      <c r="P2625" t="s">
        <v>361</v>
      </c>
      <c r="Q2625" t="s">
        <v>39</v>
      </c>
      <c r="R2625" t="s">
        <v>40</v>
      </c>
      <c r="S2625">
        <v>0</v>
      </c>
      <c r="U2625" t="s">
        <v>41</v>
      </c>
      <c r="V2625" t="s">
        <v>42</v>
      </c>
      <c r="X2625" t="s">
        <v>74</v>
      </c>
      <c r="Y2625" t="b">
        <v>0</v>
      </c>
      <c r="Z2625" t="b">
        <v>0</v>
      </c>
      <c r="AC2625" s="1"/>
      <c r="AF2625">
        <v>0</v>
      </c>
      <c r="AG2625">
        <v>45</v>
      </c>
      <c r="AH2625">
        <v>29</v>
      </c>
      <c r="AI2625" s="2">
        <f>Table__192.168.3.138DYLAgingReport[[#This Row],[NetAmount]]-Table__192.168.3.138DYLAgingReport[[#This Row],[Paid]]</f>
        <v>23803</v>
      </c>
    </row>
    <row r="2626" spans="1:35">
      <c r="A2626" t="s">
        <v>5225</v>
      </c>
      <c r="B2626" s="1">
        <v>41285</v>
      </c>
      <c r="C2626" s="1">
        <v>41330</v>
      </c>
      <c r="D2626" t="s">
        <v>224</v>
      </c>
      <c r="E2626">
        <v>71156</v>
      </c>
      <c r="F2626">
        <v>11385</v>
      </c>
      <c r="G2626">
        <v>0</v>
      </c>
      <c r="H2626">
        <v>0</v>
      </c>
      <c r="I2626">
        <v>-16</v>
      </c>
      <c r="J2626">
        <v>82541</v>
      </c>
      <c r="K2626" t="s">
        <v>5226</v>
      </c>
      <c r="L2626" s="1">
        <v>41284</v>
      </c>
      <c r="N2626" t="s">
        <v>36</v>
      </c>
      <c r="O2626" t="s">
        <v>37</v>
      </c>
      <c r="P2626" t="s">
        <v>361</v>
      </c>
      <c r="Q2626" t="s">
        <v>39</v>
      </c>
      <c r="R2626" t="s">
        <v>40</v>
      </c>
      <c r="S2626">
        <v>0</v>
      </c>
      <c r="U2626" t="s">
        <v>41</v>
      </c>
      <c r="V2626" t="s">
        <v>42</v>
      </c>
      <c r="X2626" t="s">
        <v>74</v>
      </c>
      <c r="Y2626" t="b">
        <v>0</v>
      </c>
      <c r="Z2626" t="b">
        <v>0</v>
      </c>
      <c r="AC2626" s="1"/>
      <c r="AF2626">
        <v>0</v>
      </c>
      <c r="AG2626">
        <v>45</v>
      </c>
      <c r="AH2626">
        <v>29</v>
      </c>
      <c r="AI2626" s="2">
        <f>Table__192.168.3.138DYLAgingReport[[#This Row],[NetAmount]]-Table__192.168.3.138DYLAgingReport[[#This Row],[Paid]]</f>
        <v>82541</v>
      </c>
    </row>
    <row r="2627" spans="1:35">
      <c r="A2627" t="s">
        <v>5227</v>
      </c>
      <c r="B2627" s="1">
        <v>41297</v>
      </c>
      <c r="C2627" s="1">
        <v>41342</v>
      </c>
      <c r="D2627" t="s">
        <v>248</v>
      </c>
      <c r="E2627">
        <v>12500</v>
      </c>
      <c r="F2627">
        <v>2000</v>
      </c>
      <c r="G2627">
        <v>0</v>
      </c>
      <c r="H2627">
        <v>0</v>
      </c>
      <c r="I2627">
        <v>-29</v>
      </c>
      <c r="J2627">
        <v>14500</v>
      </c>
      <c r="K2627" t="s">
        <v>2597</v>
      </c>
      <c r="L2627" s="1">
        <v>41297</v>
      </c>
      <c r="N2627" t="s">
        <v>36</v>
      </c>
      <c r="O2627" t="s">
        <v>37</v>
      </c>
      <c r="P2627" t="s">
        <v>385</v>
      </c>
      <c r="Q2627" t="s">
        <v>39</v>
      </c>
      <c r="R2627" t="s">
        <v>40</v>
      </c>
      <c r="S2627">
        <v>0</v>
      </c>
      <c r="U2627" t="s">
        <v>41</v>
      </c>
      <c r="V2627" t="s">
        <v>42</v>
      </c>
      <c r="X2627" t="s">
        <v>74</v>
      </c>
      <c r="Y2627" t="b">
        <v>0</v>
      </c>
      <c r="Z2627" t="b">
        <v>0</v>
      </c>
      <c r="AC2627" s="1"/>
      <c r="AF2627">
        <v>0</v>
      </c>
      <c r="AG2627">
        <v>45</v>
      </c>
      <c r="AH2627">
        <v>16</v>
      </c>
      <c r="AI2627" s="2">
        <f>Table__192.168.3.138DYLAgingReport[[#This Row],[NetAmount]]-Table__192.168.3.138DYLAgingReport[[#This Row],[Paid]]</f>
        <v>14500</v>
      </c>
    </row>
    <row r="2628" spans="1:35">
      <c r="A2628" t="s">
        <v>5228</v>
      </c>
      <c r="B2628" s="1">
        <v>41291</v>
      </c>
      <c r="C2628" s="1">
        <v>41321</v>
      </c>
      <c r="D2628" t="s">
        <v>196</v>
      </c>
      <c r="E2628">
        <v>143055</v>
      </c>
      <c r="F2628">
        <v>22889</v>
      </c>
      <c r="G2628">
        <v>0</v>
      </c>
      <c r="H2628">
        <v>0</v>
      </c>
      <c r="I2628">
        <v>4</v>
      </c>
      <c r="J2628">
        <v>165944</v>
      </c>
      <c r="K2628" t="s">
        <v>5229</v>
      </c>
      <c r="L2628" s="1">
        <v>41279</v>
      </c>
      <c r="N2628" t="s">
        <v>36</v>
      </c>
      <c r="O2628" t="s">
        <v>37</v>
      </c>
      <c r="P2628" t="s">
        <v>333</v>
      </c>
      <c r="Q2628" t="s">
        <v>39</v>
      </c>
      <c r="R2628" t="s">
        <v>40</v>
      </c>
      <c r="S2628">
        <v>0</v>
      </c>
      <c r="U2628" t="s">
        <v>41</v>
      </c>
      <c r="V2628" t="s">
        <v>42</v>
      </c>
      <c r="X2628" t="s">
        <v>74</v>
      </c>
      <c r="Y2628" t="b">
        <v>0</v>
      </c>
      <c r="Z2628" t="b">
        <v>0</v>
      </c>
      <c r="AC2628" s="1"/>
      <c r="AF2628">
        <v>0</v>
      </c>
      <c r="AG2628">
        <v>30</v>
      </c>
      <c r="AH2628">
        <v>34</v>
      </c>
      <c r="AI2628" s="2">
        <f>Table__192.168.3.138DYLAgingReport[[#This Row],[NetAmount]]-Table__192.168.3.138DYLAgingReport[[#This Row],[Paid]]</f>
        <v>165944</v>
      </c>
    </row>
    <row r="2629" spans="1:35">
      <c r="A2629" t="s">
        <v>5230</v>
      </c>
      <c r="B2629" s="1">
        <v>41289</v>
      </c>
      <c r="C2629" s="1">
        <v>41334</v>
      </c>
      <c r="D2629" t="s">
        <v>220</v>
      </c>
      <c r="E2629">
        <v>8257</v>
      </c>
      <c r="F2629">
        <v>1321</v>
      </c>
      <c r="G2629">
        <v>0</v>
      </c>
      <c r="H2629">
        <v>0</v>
      </c>
      <c r="I2629">
        <v>-21</v>
      </c>
      <c r="J2629">
        <v>9578</v>
      </c>
      <c r="K2629" t="s">
        <v>874</v>
      </c>
      <c r="L2629" s="1">
        <v>41289</v>
      </c>
      <c r="N2629" t="s">
        <v>36</v>
      </c>
      <c r="O2629" t="s">
        <v>37</v>
      </c>
      <c r="P2629" t="s">
        <v>357</v>
      </c>
      <c r="Q2629" t="s">
        <v>39</v>
      </c>
      <c r="R2629" t="s">
        <v>40</v>
      </c>
      <c r="S2629">
        <v>0</v>
      </c>
      <c r="U2629" t="s">
        <v>41</v>
      </c>
      <c r="V2629" t="s">
        <v>42</v>
      </c>
      <c r="X2629" t="s">
        <v>74</v>
      </c>
      <c r="Y2629" t="b">
        <v>0</v>
      </c>
      <c r="Z2629" t="b">
        <v>0</v>
      </c>
      <c r="AC2629" s="1"/>
      <c r="AF2629">
        <v>0</v>
      </c>
      <c r="AG2629">
        <v>45</v>
      </c>
      <c r="AH2629">
        <v>24</v>
      </c>
      <c r="AI2629" s="2">
        <f>Table__192.168.3.138DYLAgingReport[[#This Row],[NetAmount]]-Table__192.168.3.138DYLAgingReport[[#This Row],[Paid]]</f>
        <v>9578</v>
      </c>
    </row>
    <row r="2630" spans="1:35">
      <c r="A2630" t="s">
        <v>5231</v>
      </c>
      <c r="B2630" s="1">
        <v>41293</v>
      </c>
      <c r="C2630" s="1">
        <v>41338</v>
      </c>
      <c r="D2630" t="s">
        <v>262</v>
      </c>
      <c r="E2630">
        <v>105000</v>
      </c>
      <c r="F2630">
        <v>16800</v>
      </c>
      <c r="G2630">
        <v>0</v>
      </c>
      <c r="H2630">
        <v>0</v>
      </c>
      <c r="I2630">
        <v>-25</v>
      </c>
      <c r="J2630">
        <v>121800</v>
      </c>
      <c r="K2630" t="s">
        <v>4084</v>
      </c>
      <c r="L2630" s="1">
        <v>41293</v>
      </c>
      <c r="N2630" t="s">
        <v>36</v>
      </c>
      <c r="O2630" t="s">
        <v>37</v>
      </c>
      <c r="P2630" t="s">
        <v>399</v>
      </c>
      <c r="Q2630" t="s">
        <v>39</v>
      </c>
      <c r="R2630" t="s">
        <v>40</v>
      </c>
      <c r="S2630">
        <v>0</v>
      </c>
      <c r="U2630" t="s">
        <v>41</v>
      </c>
      <c r="V2630" t="s">
        <v>42</v>
      </c>
      <c r="X2630" t="s">
        <v>74</v>
      </c>
      <c r="Y2630" t="b">
        <v>0</v>
      </c>
      <c r="Z2630" t="b">
        <v>0</v>
      </c>
      <c r="AC2630" s="1"/>
      <c r="AF2630">
        <v>0</v>
      </c>
      <c r="AG2630">
        <v>45</v>
      </c>
      <c r="AH2630">
        <v>20</v>
      </c>
      <c r="AI2630" s="2">
        <f>Table__192.168.3.138DYLAgingReport[[#This Row],[NetAmount]]-Table__192.168.3.138DYLAgingReport[[#This Row],[Paid]]</f>
        <v>121800</v>
      </c>
    </row>
    <row r="2631" spans="1:35">
      <c r="A2631" t="s">
        <v>5232</v>
      </c>
      <c r="B2631" s="1">
        <v>41302</v>
      </c>
      <c r="C2631" s="1">
        <v>41347</v>
      </c>
      <c r="D2631" t="s">
        <v>229</v>
      </c>
      <c r="E2631">
        <v>19998</v>
      </c>
      <c r="F2631">
        <v>0</v>
      </c>
      <c r="G2631">
        <v>0</v>
      </c>
      <c r="H2631">
        <v>0</v>
      </c>
      <c r="I2631">
        <v>-28</v>
      </c>
      <c r="J2631">
        <v>19998</v>
      </c>
      <c r="K2631" t="s">
        <v>2585</v>
      </c>
      <c r="L2631" s="1">
        <v>41296</v>
      </c>
      <c r="M2631" t="s">
        <v>5233</v>
      </c>
      <c r="N2631" t="s">
        <v>36</v>
      </c>
      <c r="O2631" t="s">
        <v>37</v>
      </c>
      <c r="P2631" t="s">
        <v>366</v>
      </c>
      <c r="Q2631" t="s">
        <v>39</v>
      </c>
      <c r="R2631" t="s">
        <v>40</v>
      </c>
      <c r="S2631">
        <v>0</v>
      </c>
      <c r="U2631" t="s">
        <v>41</v>
      </c>
      <c r="V2631" t="s">
        <v>42</v>
      </c>
      <c r="W2631" t="s">
        <v>5234</v>
      </c>
      <c r="X2631" t="s">
        <v>74</v>
      </c>
      <c r="Y2631" t="b">
        <v>0</v>
      </c>
      <c r="Z2631" t="b">
        <v>0</v>
      </c>
      <c r="AA2631" t="b">
        <v>0</v>
      </c>
      <c r="AC2631" s="1"/>
      <c r="AF2631">
        <v>0</v>
      </c>
      <c r="AG2631">
        <v>45</v>
      </c>
      <c r="AH2631">
        <v>17</v>
      </c>
      <c r="AI2631" s="2">
        <f>Table__192.168.3.138DYLAgingReport[[#This Row],[NetAmount]]-Table__192.168.3.138DYLAgingReport[[#This Row],[Paid]]</f>
        <v>19998</v>
      </c>
    </row>
    <row r="2632" spans="1:35">
      <c r="A2632" t="s">
        <v>5235</v>
      </c>
      <c r="B2632" s="1">
        <v>41282</v>
      </c>
      <c r="C2632" s="1">
        <v>41327</v>
      </c>
      <c r="D2632" t="s">
        <v>266</v>
      </c>
      <c r="E2632">
        <v>250900</v>
      </c>
      <c r="F2632">
        <v>40144</v>
      </c>
      <c r="G2632">
        <v>0</v>
      </c>
      <c r="H2632">
        <v>0</v>
      </c>
      <c r="I2632">
        <v>-7</v>
      </c>
      <c r="J2632">
        <v>291044</v>
      </c>
      <c r="K2632" t="s">
        <v>4412</v>
      </c>
      <c r="L2632" s="1">
        <v>41275</v>
      </c>
      <c r="N2632" t="s">
        <v>36</v>
      </c>
      <c r="O2632" t="s">
        <v>37</v>
      </c>
      <c r="P2632" t="s">
        <v>403</v>
      </c>
      <c r="Q2632" t="s">
        <v>39</v>
      </c>
      <c r="R2632" t="s">
        <v>40</v>
      </c>
      <c r="S2632">
        <v>0</v>
      </c>
      <c r="U2632" t="s">
        <v>41</v>
      </c>
      <c r="V2632" t="s">
        <v>42</v>
      </c>
      <c r="X2632" t="s">
        <v>74</v>
      </c>
      <c r="Y2632" t="b">
        <v>0</v>
      </c>
      <c r="Z2632" t="b">
        <v>0</v>
      </c>
      <c r="AC2632" s="1"/>
      <c r="AF2632">
        <v>0</v>
      </c>
      <c r="AG2632">
        <v>45</v>
      </c>
      <c r="AH2632">
        <v>38</v>
      </c>
      <c r="AI2632" s="2">
        <f>Table__192.168.3.138DYLAgingReport[[#This Row],[NetAmount]]-Table__192.168.3.138DYLAgingReport[[#This Row],[Paid]]</f>
        <v>291044</v>
      </c>
    </row>
    <row r="2633" spans="1:35">
      <c r="A2633" t="s">
        <v>5236</v>
      </c>
      <c r="B2633" s="1">
        <v>41291</v>
      </c>
      <c r="C2633" s="1">
        <v>41336</v>
      </c>
      <c r="D2633" t="s">
        <v>266</v>
      </c>
      <c r="E2633">
        <v>125450</v>
      </c>
      <c r="F2633">
        <v>20072</v>
      </c>
      <c r="G2633">
        <v>0</v>
      </c>
      <c r="H2633">
        <v>0</v>
      </c>
      <c r="I2633">
        <v>-16</v>
      </c>
      <c r="J2633">
        <v>145522</v>
      </c>
      <c r="K2633" t="s">
        <v>3450</v>
      </c>
      <c r="L2633" s="1">
        <v>41284</v>
      </c>
      <c r="N2633" t="s">
        <v>36</v>
      </c>
      <c r="O2633" t="s">
        <v>37</v>
      </c>
      <c r="P2633" t="s">
        <v>403</v>
      </c>
      <c r="Q2633" t="s">
        <v>39</v>
      </c>
      <c r="R2633" t="s">
        <v>40</v>
      </c>
      <c r="S2633">
        <v>0</v>
      </c>
      <c r="U2633" t="s">
        <v>41</v>
      </c>
      <c r="V2633" t="s">
        <v>42</v>
      </c>
      <c r="X2633" t="s">
        <v>74</v>
      </c>
      <c r="Y2633" t="b">
        <v>0</v>
      </c>
      <c r="Z2633" t="b">
        <v>0</v>
      </c>
      <c r="AC2633" s="1"/>
      <c r="AF2633">
        <v>0</v>
      </c>
      <c r="AG2633">
        <v>45</v>
      </c>
      <c r="AH2633">
        <v>29</v>
      </c>
      <c r="AI2633" s="2">
        <f>Table__192.168.3.138DYLAgingReport[[#This Row],[NetAmount]]-Table__192.168.3.138DYLAgingReport[[#This Row],[Paid]]</f>
        <v>145522</v>
      </c>
    </row>
    <row r="2634" spans="1:35">
      <c r="A2634" t="s">
        <v>5237</v>
      </c>
      <c r="B2634" s="1">
        <v>41285</v>
      </c>
      <c r="C2634" s="1">
        <v>41330</v>
      </c>
      <c r="D2634" t="s">
        <v>175</v>
      </c>
      <c r="E2634">
        <v>270600</v>
      </c>
      <c r="F2634">
        <v>43296</v>
      </c>
      <c r="G2634">
        <v>0</v>
      </c>
      <c r="H2634">
        <v>0</v>
      </c>
      <c r="I2634">
        <v>-11</v>
      </c>
      <c r="J2634">
        <v>313896</v>
      </c>
      <c r="K2634" t="s">
        <v>5238</v>
      </c>
      <c r="L2634" s="1">
        <v>41279</v>
      </c>
      <c r="N2634" t="s">
        <v>36</v>
      </c>
      <c r="O2634" t="s">
        <v>37</v>
      </c>
      <c r="P2634" t="s">
        <v>312</v>
      </c>
      <c r="Q2634" t="s">
        <v>39</v>
      </c>
      <c r="R2634" t="s">
        <v>40</v>
      </c>
      <c r="S2634">
        <v>0</v>
      </c>
      <c r="U2634" t="s">
        <v>41</v>
      </c>
      <c r="V2634" t="s">
        <v>42</v>
      </c>
      <c r="X2634" t="s">
        <v>74</v>
      </c>
      <c r="Y2634" t="b">
        <v>0</v>
      </c>
      <c r="Z2634" t="b">
        <v>0</v>
      </c>
      <c r="AC2634" s="1"/>
      <c r="AF2634">
        <v>0</v>
      </c>
      <c r="AG2634">
        <v>45</v>
      </c>
      <c r="AH2634">
        <v>34</v>
      </c>
      <c r="AI2634" s="2">
        <f>Table__192.168.3.138DYLAgingReport[[#This Row],[NetAmount]]-Table__192.168.3.138DYLAgingReport[[#This Row],[Paid]]</f>
        <v>313896</v>
      </c>
    </row>
    <row r="2635" spans="1:35">
      <c r="A2635" t="s">
        <v>5239</v>
      </c>
      <c r="B2635" s="1">
        <v>41296</v>
      </c>
      <c r="C2635" s="1">
        <v>41341</v>
      </c>
      <c r="D2635" t="s">
        <v>175</v>
      </c>
      <c r="E2635">
        <v>227500</v>
      </c>
      <c r="F2635">
        <v>36400</v>
      </c>
      <c r="G2635">
        <v>0</v>
      </c>
      <c r="H2635">
        <v>0</v>
      </c>
      <c r="I2635">
        <v>-28</v>
      </c>
      <c r="J2635">
        <v>263900</v>
      </c>
      <c r="K2635" t="s">
        <v>4127</v>
      </c>
      <c r="L2635" s="1">
        <v>41296</v>
      </c>
      <c r="N2635" t="s">
        <v>36</v>
      </c>
      <c r="O2635" t="s">
        <v>37</v>
      </c>
      <c r="P2635" t="s">
        <v>312</v>
      </c>
      <c r="Q2635" t="s">
        <v>39</v>
      </c>
      <c r="R2635" t="s">
        <v>40</v>
      </c>
      <c r="S2635">
        <v>0</v>
      </c>
      <c r="U2635" t="s">
        <v>41</v>
      </c>
      <c r="V2635" t="s">
        <v>42</v>
      </c>
      <c r="X2635" t="s">
        <v>74</v>
      </c>
      <c r="Y2635" t="b">
        <v>0</v>
      </c>
      <c r="Z2635" t="b">
        <v>0</v>
      </c>
      <c r="AC2635" s="1"/>
      <c r="AF2635">
        <v>0</v>
      </c>
      <c r="AG2635">
        <v>45</v>
      </c>
      <c r="AH2635">
        <v>17</v>
      </c>
      <c r="AI2635" s="2">
        <f>Table__192.168.3.138DYLAgingReport[[#This Row],[NetAmount]]-Table__192.168.3.138DYLAgingReport[[#This Row],[Paid]]</f>
        <v>263900</v>
      </c>
    </row>
    <row r="2636" spans="1:35">
      <c r="A2636" t="s">
        <v>5240</v>
      </c>
      <c r="B2636" s="1">
        <v>41298</v>
      </c>
      <c r="C2636" s="1">
        <v>41343</v>
      </c>
      <c r="D2636" t="s">
        <v>175</v>
      </c>
      <c r="E2636">
        <v>4000</v>
      </c>
      <c r="F2636">
        <v>640</v>
      </c>
      <c r="G2636">
        <v>0</v>
      </c>
      <c r="H2636">
        <v>0</v>
      </c>
      <c r="I2636">
        <v>-29</v>
      </c>
      <c r="J2636">
        <v>4640</v>
      </c>
      <c r="K2636" t="s">
        <v>5241</v>
      </c>
      <c r="L2636" s="1">
        <v>41297</v>
      </c>
      <c r="N2636" t="s">
        <v>36</v>
      </c>
      <c r="O2636" t="s">
        <v>37</v>
      </c>
      <c r="P2636" t="s">
        <v>312</v>
      </c>
      <c r="Q2636" t="s">
        <v>39</v>
      </c>
      <c r="R2636" t="s">
        <v>40</v>
      </c>
      <c r="S2636">
        <v>0</v>
      </c>
      <c r="U2636" t="s">
        <v>41</v>
      </c>
      <c r="V2636" t="s">
        <v>42</v>
      </c>
      <c r="X2636" t="s">
        <v>74</v>
      </c>
      <c r="Y2636" t="b">
        <v>0</v>
      </c>
      <c r="Z2636" t="b">
        <v>0</v>
      </c>
      <c r="AC2636" s="1"/>
      <c r="AF2636">
        <v>0</v>
      </c>
      <c r="AG2636">
        <v>45</v>
      </c>
      <c r="AH2636">
        <v>16</v>
      </c>
      <c r="AI2636" s="2">
        <f>Table__192.168.3.138DYLAgingReport[[#This Row],[NetAmount]]-Table__192.168.3.138DYLAgingReport[[#This Row],[Paid]]</f>
        <v>4640</v>
      </c>
    </row>
    <row r="2637" spans="1:35">
      <c r="A2637" t="s">
        <v>5242</v>
      </c>
      <c r="B2637" s="1">
        <v>41303</v>
      </c>
      <c r="C2637" s="1">
        <v>41348</v>
      </c>
      <c r="D2637" t="s">
        <v>175</v>
      </c>
      <c r="E2637">
        <v>8060</v>
      </c>
      <c r="F2637">
        <v>1290</v>
      </c>
      <c r="G2637">
        <v>0</v>
      </c>
      <c r="H2637">
        <v>0</v>
      </c>
      <c r="I2637">
        <v>-35</v>
      </c>
      <c r="J2637">
        <v>9350</v>
      </c>
      <c r="K2637" t="s">
        <v>1214</v>
      </c>
      <c r="L2637" s="1">
        <v>41303</v>
      </c>
      <c r="N2637" t="s">
        <v>36</v>
      </c>
      <c r="O2637" t="s">
        <v>37</v>
      </c>
      <c r="P2637" t="s">
        <v>312</v>
      </c>
      <c r="Q2637" t="s">
        <v>39</v>
      </c>
      <c r="R2637" t="s">
        <v>40</v>
      </c>
      <c r="S2637">
        <v>0</v>
      </c>
      <c r="U2637" t="s">
        <v>41</v>
      </c>
      <c r="V2637" t="s">
        <v>42</v>
      </c>
      <c r="X2637" t="s">
        <v>74</v>
      </c>
      <c r="Y2637" t="b">
        <v>0</v>
      </c>
      <c r="Z2637" t="b">
        <v>0</v>
      </c>
      <c r="AC2637" s="1"/>
      <c r="AF2637">
        <v>0</v>
      </c>
      <c r="AG2637">
        <v>45</v>
      </c>
      <c r="AH2637">
        <v>10</v>
      </c>
      <c r="AI2637" s="2">
        <f>Table__192.168.3.138DYLAgingReport[[#This Row],[NetAmount]]-Table__192.168.3.138DYLAgingReport[[#This Row],[Paid]]</f>
        <v>9350</v>
      </c>
    </row>
    <row r="2638" spans="1:35">
      <c r="A2638" t="s">
        <v>5243</v>
      </c>
      <c r="B2638" s="1">
        <v>41298</v>
      </c>
      <c r="C2638" s="1">
        <v>41343</v>
      </c>
      <c r="D2638" t="s">
        <v>175</v>
      </c>
      <c r="E2638">
        <v>97500</v>
      </c>
      <c r="F2638">
        <v>15600</v>
      </c>
      <c r="G2638">
        <v>0</v>
      </c>
      <c r="H2638">
        <v>0</v>
      </c>
      <c r="I2638">
        <v>-30</v>
      </c>
      <c r="J2638">
        <v>113100</v>
      </c>
      <c r="K2638" t="s">
        <v>5244</v>
      </c>
      <c r="L2638" s="1">
        <v>41298</v>
      </c>
      <c r="N2638" t="s">
        <v>36</v>
      </c>
      <c r="O2638" t="s">
        <v>37</v>
      </c>
      <c r="P2638" t="s">
        <v>312</v>
      </c>
      <c r="Q2638" t="s">
        <v>39</v>
      </c>
      <c r="R2638" t="s">
        <v>40</v>
      </c>
      <c r="S2638">
        <v>0</v>
      </c>
      <c r="U2638" t="s">
        <v>41</v>
      </c>
      <c r="V2638" t="s">
        <v>42</v>
      </c>
      <c r="X2638" t="s">
        <v>74</v>
      </c>
      <c r="Y2638" t="b">
        <v>0</v>
      </c>
      <c r="Z2638" t="b">
        <v>0</v>
      </c>
      <c r="AC2638" s="1"/>
      <c r="AF2638">
        <v>0</v>
      </c>
      <c r="AG2638">
        <v>45</v>
      </c>
      <c r="AH2638">
        <v>15</v>
      </c>
      <c r="AI2638" s="2">
        <f>Table__192.168.3.138DYLAgingReport[[#This Row],[NetAmount]]-Table__192.168.3.138DYLAgingReport[[#This Row],[Paid]]</f>
        <v>113100</v>
      </c>
    </row>
    <row r="2639" spans="1:35">
      <c r="A2639" t="s">
        <v>5245</v>
      </c>
      <c r="B2639" s="1">
        <v>41302</v>
      </c>
      <c r="C2639" s="1">
        <v>41347</v>
      </c>
      <c r="D2639" t="s">
        <v>169</v>
      </c>
      <c r="E2639">
        <v>112500</v>
      </c>
      <c r="F2639">
        <v>18000</v>
      </c>
      <c r="G2639">
        <v>0</v>
      </c>
      <c r="H2639">
        <v>0</v>
      </c>
      <c r="I2639">
        <v>-34</v>
      </c>
      <c r="J2639">
        <v>130500</v>
      </c>
      <c r="K2639" t="s">
        <v>1478</v>
      </c>
      <c r="L2639" s="1">
        <v>41302</v>
      </c>
      <c r="N2639" t="s">
        <v>36</v>
      </c>
      <c r="O2639" t="s">
        <v>37</v>
      </c>
      <c r="P2639" t="s">
        <v>306</v>
      </c>
      <c r="Q2639" t="s">
        <v>39</v>
      </c>
      <c r="R2639" t="s">
        <v>40</v>
      </c>
      <c r="S2639">
        <v>0</v>
      </c>
      <c r="U2639" t="s">
        <v>41</v>
      </c>
      <c r="V2639" t="s">
        <v>42</v>
      </c>
      <c r="X2639" t="s">
        <v>74</v>
      </c>
      <c r="Y2639" t="b">
        <v>0</v>
      </c>
      <c r="Z2639" t="b">
        <v>0</v>
      </c>
      <c r="AC2639" s="1"/>
      <c r="AF2639">
        <v>0</v>
      </c>
      <c r="AG2639">
        <v>45</v>
      </c>
      <c r="AH2639">
        <v>11</v>
      </c>
      <c r="AI2639" s="2">
        <f>Table__192.168.3.138DYLAgingReport[[#This Row],[NetAmount]]-Table__192.168.3.138DYLAgingReport[[#This Row],[Paid]]</f>
        <v>130500</v>
      </c>
    </row>
    <row r="2640" spans="1:35">
      <c r="A2640" t="s">
        <v>5246</v>
      </c>
      <c r="B2640" s="1">
        <v>41304</v>
      </c>
      <c r="C2640" s="1">
        <v>41349</v>
      </c>
      <c r="D2640" t="s">
        <v>169</v>
      </c>
      <c r="E2640">
        <v>77500</v>
      </c>
      <c r="F2640">
        <v>12400</v>
      </c>
      <c r="G2640">
        <v>0</v>
      </c>
      <c r="H2640">
        <v>0</v>
      </c>
      <c r="I2640">
        <v>-36</v>
      </c>
      <c r="J2640">
        <v>89900</v>
      </c>
      <c r="K2640" t="s">
        <v>5247</v>
      </c>
      <c r="L2640" s="1">
        <v>41304</v>
      </c>
      <c r="N2640" t="s">
        <v>36</v>
      </c>
      <c r="O2640" t="s">
        <v>37</v>
      </c>
      <c r="P2640" t="s">
        <v>306</v>
      </c>
      <c r="Q2640" t="s">
        <v>39</v>
      </c>
      <c r="R2640" t="s">
        <v>40</v>
      </c>
      <c r="S2640">
        <v>0</v>
      </c>
      <c r="U2640" t="s">
        <v>41</v>
      </c>
      <c r="V2640" t="s">
        <v>42</v>
      </c>
      <c r="X2640" t="s">
        <v>74</v>
      </c>
      <c r="Y2640" t="b">
        <v>0</v>
      </c>
      <c r="Z2640" t="b">
        <v>0</v>
      </c>
      <c r="AC2640" s="1"/>
      <c r="AF2640">
        <v>0</v>
      </c>
      <c r="AG2640">
        <v>45</v>
      </c>
      <c r="AH2640">
        <v>9</v>
      </c>
      <c r="AI2640" s="2">
        <f>Table__192.168.3.138DYLAgingReport[[#This Row],[NetAmount]]-Table__192.168.3.138DYLAgingReport[[#This Row],[Paid]]</f>
        <v>89900</v>
      </c>
    </row>
    <row r="2641" spans="1:35">
      <c r="A2641" t="s">
        <v>5248</v>
      </c>
      <c r="B2641" s="1">
        <v>41305</v>
      </c>
      <c r="C2641" s="1">
        <v>41350</v>
      </c>
      <c r="D2641" t="s">
        <v>250</v>
      </c>
      <c r="E2641">
        <v>612400</v>
      </c>
      <c r="F2641">
        <v>97984</v>
      </c>
      <c r="G2641">
        <v>0</v>
      </c>
      <c r="H2641">
        <v>0</v>
      </c>
      <c r="I2641">
        <v>-37</v>
      </c>
      <c r="J2641">
        <v>710384</v>
      </c>
      <c r="K2641" t="s">
        <v>1005</v>
      </c>
      <c r="L2641" s="1">
        <v>41305</v>
      </c>
      <c r="N2641" t="s">
        <v>36</v>
      </c>
      <c r="O2641" t="s">
        <v>37</v>
      </c>
      <c r="P2641" t="s">
        <v>387</v>
      </c>
      <c r="Q2641" t="s">
        <v>39</v>
      </c>
      <c r="R2641" t="s">
        <v>40</v>
      </c>
      <c r="S2641">
        <v>0</v>
      </c>
      <c r="U2641" t="s">
        <v>41</v>
      </c>
      <c r="V2641" t="s">
        <v>42</v>
      </c>
      <c r="X2641" t="s">
        <v>74</v>
      </c>
      <c r="Y2641" t="b">
        <v>0</v>
      </c>
      <c r="Z2641" t="b">
        <v>0</v>
      </c>
      <c r="AB2641" t="s">
        <v>5249</v>
      </c>
      <c r="AC2641" s="1"/>
      <c r="AF2641">
        <v>0</v>
      </c>
      <c r="AG2641">
        <v>45</v>
      </c>
      <c r="AH2641">
        <v>8</v>
      </c>
      <c r="AI2641" s="2">
        <f>Table__192.168.3.138DYLAgingReport[[#This Row],[NetAmount]]-Table__192.168.3.138DYLAgingReport[[#This Row],[Paid]]</f>
        <v>710384</v>
      </c>
    </row>
    <row r="2642" spans="1:35">
      <c r="A2642" t="s">
        <v>5250</v>
      </c>
      <c r="B2642" s="1">
        <v>41303</v>
      </c>
      <c r="C2642" s="1">
        <v>41348</v>
      </c>
      <c r="D2642" t="s">
        <v>227</v>
      </c>
      <c r="E2642">
        <v>69000</v>
      </c>
      <c r="F2642">
        <v>11040</v>
      </c>
      <c r="G2642">
        <v>0</v>
      </c>
      <c r="H2642">
        <v>0</v>
      </c>
      <c r="I2642">
        <v>-35</v>
      </c>
      <c r="J2642">
        <v>80040</v>
      </c>
      <c r="K2642" t="s">
        <v>5251</v>
      </c>
      <c r="L2642" s="1">
        <v>41303</v>
      </c>
      <c r="N2642" t="s">
        <v>36</v>
      </c>
      <c r="O2642" t="s">
        <v>37</v>
      </c>
      <c r="P2642" t="s">
        <v>364</v>
      </c>
      <c r="Q2642" t="s">
        <v>39</v>
      </c>
      <c r="R2642" t="s">
        <v>40</v>
      </c>
      <c r="S2642">
        <v>0</v>
      </c>
      <c r="U2642" t="s">
        <v>41</v>
      </c>
      <c r="V2642" t="s">
        <v>42</v>
      </c>
      <c r="X2642" t="s">
        <v>74</v>
      </c>
      <c r="Y2642" t="b">
        <v>0</v>
      </c>
      <c r="Z2642" t="b">
        <v>0</v>
      </c>
      <c r="AC2642" s="1"/>
      <c r="AF2642">
        <v>0</v>
      </c>
      <c r="AG2642">
        <v>45</v>
      </c>
      <c r="AH2642">
        <v>10</v>
      </c>
      <c r="AI2642" s="2">
        <f>Table__192.168.3.138DYLAgingReport[[#This Row],[NetAmount]]-Table__192.168.3.138DYLAgingReport[[#This Row],[Paid]]</f>
        <v>80040</v>
      </c>
    </row>
    <row r="2643" spans="1:35">
      <c r="A2643" t="s">
        <v>5252</v>
      </c>
      <c r="B2643" s="1">
        <v>41303</v>
      </c>
      <c r="C2643" s="1">
        <v>41348</v>
      </c>
      <c r="D2643" t="s">
        <v>227</v>
      </c>
      <c r="E2643">
        <v>408750</v>
      </c>
      <c r="F2643">
        <v>65400</v>
      </c>
      <c r="G2643">
        <v>0</v>
      </c>
      <c r="H2643">
        <v>0</v>
      </c>
      <c r="I2643">
        <v>-34</v>
      </c>
      <c r="J2643">
        <v>474150</v>
      </c>
      <c r="K2643" t="s">
        <v>5253</v>
      </c>
      <c r="L2643" s="1">
        <v>41302</v>
      </c>
      <c r="N2643" t="s">
        <v>36</v>
      </c>
      <c r="O2643" t="s">
        <v>37</v>
      </c>
      <c r="P2643" t="s">
        <v>364</v>
      </c>
      <c r="Q2643" t="s">
        <v>39</v>
      </c>
      <c r="R2643" t="s">
        <v>40</v>
      </c>
      <c r="S2643">
        <v>0</v>
      </c>
      <c r="U2643" t="s">
        <v>41</v>
      </c>
      <c r="V2643" t="s">
        <v>42</v>
      </c>
      <c r="X2643" t="s">
        <v>74</v>
      </c>
      <c r="Y2643" t="b">
        <v>0</v>
      </c>
      <c r="Z2643" t="b">
        <v>0</v>
      </c>
      <c r="AC2643" s="1"/>
      <c r="AF2643">
        <v>0</v>
      </c>
      <c r="AG2643">
        <v>45</v>
      </c>
      <c r="AH2643">
        <v>11</v>
      </c>
      <c r="AI2643" s="2">
        <f>Table__192.168.3.138DYLAgingReport[[#This Row],[NetAmount]]-Table__192.168.3.138DYLAgingReport[[#This Row],[Paid]]</f>
        <v>474150</v>
      </c>
    </row>
    <row r="2644" spans="1:35">
      <c r="A2644" t="s">
        <v>5254</v>
      </c>
      <c r="B2644" s="1">
        <v>41299</v>
      </c>
      <c r="C2644" s="1">
        <v>41344</v>
      </c>
      <c r="D2644" t="s">
        <v>279</v>
      </c>
      <c r="E2644">
        <v>250525</v>
      </c>
      <c r="F2644">
        <v>40084</v>
      </c>
      <c r="G2644">
        <v>0</v>
      </c>
      <c r="H2644">
        <v>0</v>
      </c>
      <c r="I2644">
        <v>-29</v>
      </c>
      <c r="J2644">
        <v>290609</v>
      </c>
      <c r="K2644" t="s">
        <v>5255</v>
      </c>
      <c r="L2644" s="1">
        <v>41297</v>
      </c>
      <c r="N2644" t="s">
        <v>36</v>
      </c>
      <c r="O2644" t="s">
        <v>37</v>
      </c>
      <c r="P2644" t="s">
        <v>416</v>
      </c>
      <c r="Q2644" t="s">
        <v>39</v>
      </c>
      <c r="R2644" t="s">
        <v>40</v>
      </c>
      <c r="S2644">
        <v>0</v>
      </c>
      <c r="U2644" t="s">
        <v>41</v>
      </c>
      <c r="V2644" t="s">
        <v>42</v>
      </c>
      <c r="X2644" t="s">
        <v>74</v>
      </c>
      <c r="Y2644" t="b">
        <v>0</v>
      </c>
      <c r="Z2644" t="b">
        <v>0</v>
      </c>
      <c r="AC2644" s="1"/>
      <c r="AF2644">
        <v>0</v>
      </c>
      <c r="AG2644">
        <v>45</v>
      </c>
      <c r="AH2644">
        <v>16</v>
      </c>
      <c r="AI2644" s="2">
        <f>Table__192.168.3.138DYLAgingReport[[#This Row],[NetAmount]]-Table__192.168.3.138DYLAgingReport[[#This Row],[Paid]]</f>
        <v>290609</v>
      </c>
    </row>
    <row r="2645" spans="1:35">
      <c r="A2645" t="s">
        <v>5256</v>
      </c>
      <c r="B2645" s="1">
        <v>41304</v>
      </c>
      <c r="C2645" s="1">
        <v>41349</v>
      </c>
      <c r="D2645" t="s">
        <v>229</v>
      </c>
      <c r="E2645">
        <v>9000</v>
      </c>
      <c r="F2645">
        <v>0</v>
      </c>
      <c r="G2645">
        <v>0</v>
      </c>
      <c r="H2645">
        <v>0</v>
      </c>
      <c r="I2645">
        <v>-36</v>
      </c>
      <c r="J2645">
        <v>9000</v>
      </c>
      <c r="K2645" t="s">
        <v>1797</v>
      </c>
      <c r="L2645" s="1">
        <v>41304</v>
      </c>
      <c r="M2645" t="s">
        <v>5257</v>
      </c>
      <c r="N2645" t="s">
        <v>36</v>
      </c>
      <c r="O2645" t="s">
        <v>37</v>
      </c>
      <c r="P2645" t="s">
        <v>366</v>
      </c>
      <c r="Q2645" t="s">
        <v>39</v>
      </c>
      <c r="R2645" t="s">
        <v>40</v>
      </c>
      <c r="S2645">
        <v>0</v>
      </c>
      <c r="U2645" t="s">
        <v>41</v>
      </c>
      <c r="V2645" t="s">
        <v>42</v>
      </c>
      <c r="W2645" t="s">
        <v>5258</v>
      </c>
      <c r="X2645" t="s">
        <v>74</v>
      </c>
      <c r="Y2645" t="b">
        <v>0</v>
      </c>
      <c r="Z2645" t="b">
        <v>0</v>
      </c>
      <c r="AA2645" t="b">
        <v>0</v>
      </c>
      <c r="AC2645" s="1"/>
      <c r="AF2645">
        <v>0</v>
      </c>
      <c r="AG2645">
        <v>45</v>
      </c>
      <c r="AH2645">
        <v>9</v>
      </c>
      <c r="AI2645" s="2">
        <f>Table__192.168.3.138DYLAgingReport[[#This Row],[NetAmount]]-Table__192.168.3.138DYLAgingReport[[#This Row],[Paid]]</f>
        <v>9000</v>
      </c>
    </row>
    <row r="2646" spans="1:35">
      <c r="A2646" t="s">
        <v>5259</v>
      </c>
      <c r="B2646" s="1">
        <v>41295</v>
      </c>
      <c r="C2646" s="1">
        <v>41340</v>
      </c>
      <c r="D2646" t="s">
        <v>290</v>
      </c>
      <c r="E2646">
        <v>21500</v>
      </c>
      <c r="F2646">
        <v>3440</v>
      </c>
      <c r="G2646">
        <v>0</v>
      </c>
      <c r="H2646">
        <v>0</v>
      </c>
      <c r="I2646">
        <v>-27</v>
      </c>
      <c r="J2646">
        <v>24940</v>
      </c>
      <c r="K2646" t="s">
        <v>1661</v>
      </c>
      <c r="L2646" s="1">
        <v>41295</v>
      </c>
      <c r="N2646" t="s">
        <v>36</v>
      </c>
      <c r="O2646" t="s">
        <v>37</v>
      </c>
      <c r="P2646" t="s">
        <v>427</v>
      </c>
      <c r="Q2646" t="s">
        <v>39</v>
      </c>
      <c r="R2646" t="s">
        <v>40</v>
      </c>
      <c r="S2646">
        <v>0</v>
      </c>
      <c r="U2646" t="s">
        <v>41</v>
      </c>
      <c r="V2646" t="s">
        <v>42</v>
      </c>
      <c r="X2646" t="s">
        <v>74</v>
      </c>
      <c r="Y2646" t="b">
        <v>0</v>
      </c>
      <c r="Z2646" t="b">
        <v>0</v>
      </c>
      <c r="AC2646" s="1"/>
      <c r="AF2646">
        <v>0</v>
      </c>
      <c r="AG2646">
        <v>45</v>
      </c>
      <c r="AH2646">
        <v>18</v>
      </c>
      <c r="AI2646" s="2">
        <f>Table__192.168.3.138DYLAgingReport[[#This Row],[NetAmount]]-Table__192.168.3.138DYLAgingReport[[#This Row],[Paid]]</f>
        <v>24940</v>
      </c>
    </row>
    <row r="2647" spans="1:35">
      <c r="A2647" t="s">
        <v>5260</v>
      </c>
      <c r="B2647" s="1">
        <v>41298</v>
      </c>
      <c r="C2647" s="1">
        <v>41343</v>
      </c>
      <c r="D2647" t="s">
        <v>290</v>
      </c>
      <c r="E2647">
        <v>12000</v>
      </c>
      <c r="F2647">
        <v>1920</v>
      </c>
      <c r="G2647">
        <v>0</v>
      </c>
      <c r="H2647">
        <v>0</v>
      </c>
      <c r="I2647">
        <v>-30</v>
      </c>
      <c r="J2647">
        <v>13920</v>
      </c>
      <c r="K2647" t="s">
        <v>5261</v>
      </c>
      <c r="L2647" s="1">
        <v>41298</v>
      </c>
      <c r="N2647" t="s">
        <v>36</v>
      </c>
      <c r="O2647" t="s">
        <v>37</v>
      </c>
      <c r="P2647" t="s">
        <v>427</v>
      </c>
      <c r="Q2647" t="s">
        <v>39</v>
      </c>
      <c r="R2647" t="s">
        <v>40</v>
      </c>
      <c r="S2647">
        <v>0</v>
      </c>
      <c r="U2647" t="s">
        <v>41</v>
      </c>
      <c r="V2647" t="s">
        <v>42</v>
      </c>
      <c r="X2647" t="s">
        <v>74</v>
      </c>
      <c r="Y2647" t="b">
        <v>0</v>
      </c>
      <c r="Z2647" t="b">
        <v>0</v>
      </c>
      <c r="AC2647" s="1"/>
      <c r="AF2647">
        <v>0</v>
      </c>
      <c r="AG2647">
        <v>45</v>
      </c>
      <c r="AH2647">
        <v>15</v>
      </c>
      <c r="AI2647" s="2">
        <f>Table__192.168.3.138DYLAgingReport[[#This Row],[NetAmount]]-Table__192.168.3.138DYLAgingReport[[#This Row],[Paid]]</f>
        <v>13920</v>
      </c>
    </row>
    <row r="2648" spans="1:35">
      <c r="A2648" t="s">
        <v>5262</v>
      </c>
      <c r="B2648" s="1">
        <v>41302</v>
      </c>
      <c r="C2648" s="1">
        <v>41347</v>
      </c>
      <c r="D2648" t="s">
        <v>290</v>
      </c>
      <c r="E2648">
        <v>21340</v>
      </c>
      <c r="F2648">
        <v>3414</v>
      </c>
      <c r="G2648">
        <v>0</v>
      </c>
      <c r="H2648">
        <v>0</v>
      </c>
      <c r="I2648">
        <v>-34</v>
      </c>
      <c r="J2648">
        <v>24754</v>
      </c>
      <c r="K2648" t="s">
        <v>4861</v>
      </c>
      <c r="L2648" s="1">
        <v>41302</v>
      </c>
      <c r="N2648" t="s">
        <v>36</v>
      </c>
      <c r="O2648" t="s">
        <v>37</v>
      </c>
      <c r="P2648" t="s">
        <v>427</v>
      </c>
      <c r="Q2648" t="s">
        <v>39</v>
      </c>
      <c r="R2648" t="s">
        <v>40</v>
      </c>
      <c r="S2648">
        <v>0</v>
      </c>
      <c r="U2648" t="s">
        <v>41</v>
      </c>
      <c r="V2648" t="s">
        <v>42</v>
      </c>
      <c r="X2648" t="s">
        <v>74</v>
      </c>
      <c r="Y2648" t="b">
        <v>0</v>
      </c>
      <c r="Z2648" t="b">
        <v>0</v>
      </c>
      <c r="AC2648" s="1"/>
      <c r="AF2648">
        <v>0</v>
      </c>
      <c r="AG2648">
        <v>45</v>
      </c>
      <c r="AH2648">
        <v>11</v>
      </c>
      <c r="AI2648" s="2">
        <f>Table__192.168.3.138DYLAgingReport[[#This Row],[NetAmount]]-Table__192.168.3.138DYLAgingReport[[#This Row],[Paid]]</f>
        <v>24754</v>
      </c>
    </row>
    <row r="2649" spans="1:35">
      <c r="A2649" t="s">
        <v>5263</v>
      </c>
      <c r="B2649" s="1">
        <v>41302</v>
      </c>
      <c r="C2649" s="1">
        <v>41347</v>
      </c>
      <c r="D2649" t="s">
        <v>232</v>
      </c>
      <c r="E2649">
        <v>232450</v>
      </c>
      <c r="F2649">
        <v>37192</v>
      </c>
      <c r="G2649">
        <v>0</v>
      </c>
      <c r="H2649">
        <v>0</v>
      </c>
      <c r="I2649">
        <v>-34</v>
      </c>
      <c r="J2649">
        <v>269642</v>
      </c>
      <c r="K2649" t="s">
        <v>2953</v>
      </c>
      <c r="L2649" s="1">
        <v>41302</v>
      </c>
      <c r="N2649" t="s">
        <v>36</v>
      </c>
      <c r="O2649" t="s">
        <v>37</v>
      </c>
      <c r="P2649" t="s">
        <v>369</v>
      </c>
      <c r="Q2649" t="s">
        <v>39</v>
      </c>
      <c r="R2649" t="s">
        <v>40</v>
      </c>
      <c r="S2649">
        <v>0</v>
      </c>
      <c r="U2649" t="s">
        <v>41</v>
      </c>
      <c r="V2649" t="s">
        <v>42</v>
      </c>
      <c r="X2649" t="s">
        <v>74</v>
      </c>
      <c r="Y2649" t="b">
        <v>0</v>
      </c>
      <c r="Z2649" t="b">
        <v>0</v>
      </c>
      <c r="AC2649" s="1"/>
      <c r="AF2649">
        <v>0</v>
      </c>
      <c r="AG2649">
        <v>45</v>
      </c>
      <c r="AH2649">
        <v>11</v>
      </c>
      <c r="AI2649" s="2">
        <f>Table__192.168.3.138DYLAgingReport[[#This Row],[NetAmount]]-Table__192.168.3.138DYLAgingReport[[#This Row],[Paid]]</f>
        <v>269642</v>
      </c>
    </row>
    <row r="2650" spans="1:35">
      <c r="A2650" t="s">
        <v>5264</v>
      </c>
      <c r="B2650" s="1">
        <v>41295</v>
      </c>
      <c r="C2650" s="1">
        <v>41340</v>
      </c>
      <c r="D2650" t="s">
        <v>300</v>
      </c>
      <c r="E2650">
        <v>2720</v>
      </c>
      <c r="F2650">
        <v>435</v>
      </c>
      <c r="G2650">
        <v>0</v>
      </c>
      <c r="H2650">
        <v>0</v>
      </c>
      <c r="I2650">
        <v>-37</v>
      </c>
      <c r="J2650">
        <v>3155</v>
      </c>
      <c r="K2650" t="s">
        <v>5265</v>
      </c>
      <c r="L2650" s="1">
        <v>41305</v>
      </c>
      <c r="N2650" t="s">
        <v>36</v>
      </c>
      <c r="O2650" t="s">
        <v>37</v>
      </c>
      <c r="P2650" t="s">
        <v>437</v>
      </c>
      <c r="Q2650" t="s">
        <v>39</v>
      </c>
      <c r="R2650" t="s">
        <v>40</v>
      </c>
      <c r="S2650">
        <v>0</v>
      </c>
      <c r="U2650" t="s">
        <v>41</v>
      </c>
      <c r="V2650" t="s">
        <v>42</v>
      </c>
      <c r="X2650" t="s">
        <v>74</v>
      </c>
      <c r="Y2650" t="b">
        <v>0</v>
      </c>
      <c r="Z2650" t="b">
        <v>0</v>
      </c>
      <c r="AC2650" s="1"/>
      <c r="AF2650">
        <v>0</v>
      </c>
      <c r="AG2650">
        <v>45</v>
      </c>
      <c r="AH2650">
        <v>8</v>
      </c>
      <c r="AI2650" s="2">
        <f>Table__192.168.3.138DYLAgingReport[[#This Row],[NetAmount]]-Table__192.168.3.138DYLAgingReport[[#This Row],[Paid]]</f>
        <v>3155</v>
      </c>
    </row>
    <row r="2651" spans="1:35">
      <c r="A2651" t="s">
        <v>5266</v>
      </c>
      <c r="B2651" s="1">
        <v>41302</v>
      </c>
      <c r="C2651" s="1">
        <v>41347</v>
      </c>
      <c r="D2651" t="s">
        <v>300</v>
      </c>
      <c r="E2651">
        <v>42336</v>
      </c>
      <c r="F2651">
        <v>6774</v>
      </c>
      <c r="G2651">
        <v>0</v>
      </c>
      <c r="H2651">
        <v>0</v>
      </c>
      <c r="I2651">
        <v>-17</v>
      </c>
      <c r="J2651">
        <v>49110</v>
      </c>
      <c r="K2651" t="s">
        <v>5267</v>
      </c>
      <c r="L2651" s="1">
        <v>41285</v>
      </c>
      <c r="N2651" t="s">
        <v>36</v>
      </c>
      <c r="O2651" t="s">
        <v>37</v>
      </c>
      <c r="P2651" t="s">
        <v>437</v>
      </c>
      <c r="Q2651" t="s">
        <v>39</v>
      </c>
      <c r="R2651" t="s">
        <v>40</v>
      </c>
      <c r="S2651">
        <v>0</v>
      </c>
      <c r="U2651" t="s">
        <v>41</v>
      </c>
      <c r="V2651" t="s">
        <v>42</v>
      </c>
      <c r="X2651" t="s">
        <v>74</v>
      </c>
      <c r="Y2651" t="b">
        <v>0</v>
      </c>
      <c r="Z2651" t="b">
        <v>0</v>
      </c>
      <c r="AC2651" s="1"/>
      <c r="AF2651">
        <v>0</v>
      </c>
      <c r="AG2651">
        <v>45</v>
      </c>
      <c r="AH2651">
        <v>28</v>
      </c>
      <c r="AI2651" s="2">
        <f>Table__192.168.3.138DYLAgingReport[[#This Row],[NetAmount]]-Table__192.168.3.138DYLAgingReport[[#This Row],[Paid]]</f>
        <v>49110</v>
      </c>
    </row>
    <row r="2652" spans="1:35">
      <c r="A2652" t="s">
        <v>5268</v>
      </c>
      <c r="B2652" s="1">
        <v>41303</v>
      </c>
      <c r="C2652" s="1">
        <v>41348</v>
      </c>
      <c r="D2652" t="s">
        <v>300</v>
      </c>
      <c r="E2652">
        <v>5122</v>
      </c>
      <c r="F2652">
        <v>820</v>
      </c>
      <c r="G2652">
        <v>0</v>
      </c>
      <c r="H2652">
        <v>0</v>
      </c>
      <c r="I2652">
        <v>-35</v>
      </c>
      <c r="J2652">
        <v>5942</v>
      </c>
      <c r="K2652" t="s">
        <v>1797</v>
      </c>
      <c r="L2652" s="1">
        <v>41303</v>
      </c>
      <c r="N2652" t="s">
        <v>36</v>
      </c>
      <c r="O2652" t="s">
        <v>37</v>
      </c>
      <c r="P2652" t="s">
        <v>437</v>
      </c>
      <c r="Q2652" t="s">
        <v>39</v>
      </c>
      <c r="R2652" t="s">
        <v>40</v>
      </c>
      <c r="S2652">
        <v>0</v>
      </c>
      <c r="U2652" t="s">
        <v>41</v>
      </c>
      <c r="V2652" t="s">
        <v>42</v>
      </c>
      <c r="X2652" t="s">
        <v>74</v>
      </c>
      <c r="Y2652" t="b">
        <v>0</v>
      </c>
      <c r="Z2652" t="b">
        <v>0</v>
      </c>
      <c r="AC2652" s="1"/>
      <c r="AF2652">
        <v>0</v>
      </c>
      <c r="AG2652">
        <v>45</v>
      </c>
      <c r="AH2652">
        <v>10</v>
      </c>
      <c r="AI2652" s="2">
        <f>Table__192.168.3.138DYLAgingReport[[#This Row],[NetAmount]]-Table__192.168.3.138DYLAgingReport[[#This Row],[Paid]]</f>
        <v>5942</v>
      </c>
    </row>
    <row r="2653" spans="1:35">
      <c r="A2653" t="s">
        <v>5269</v>
      </c>
      <c r="B2653" s="1">
        <v>41295</v>
      </c>
      <c r="C2653" s="1">
        <v>41340</v>
      </c>
      <c r="D2653" t="s">
        <v>231</v>
      </c>
      <c r="E2653">
        <v>329550</v>
      </c>
      <c r="F2653">
        <v>52728</v>
      </c>
      <c r="G2653">
        <v>0</v>
      </c>
      <c r="H2653">
        <v>0</v>
      </c>
      <c r="I2653">
        <v>-13</v>
      </c>
      <c r="J2653">
        <v>382278</v>
      </c>
      <c r="K2653" t="s">
        <v>2730</v>
      </c>
      <c r="L2653" s="1">
        <v>41281</v>
      </c>
      <c r="N2653" t="s">
        <v>36</v>
      </c>
      <c r="O2653" t="s">
        <v>37</v>
      </c>
      <c r="P2653" t="s">
        <v>368</v>
      </c>
      <c r="Q2653" t="s">
        <v>39</v>
      </c>
      <c r="R2653" t="s">
        <v>40</v>
      </c>
      <c r="S2653">
        <v>0</v>
      </c>
      <c r="U2653" t="s">
        <v>41</v>
      </c>
      <c r="V2653" t="s">
        <v>42</v>
      </c>
      <c r="X2653" t="s">
        <v>74</v>
      </c>
      <c r="Y2653" t="b">
        <v>0</v>
      </c>
      <c r="Z2653" t="b">
        <v>0</v>
      </c>
      <c r="AC2653" s="1"/>
      <c r="AF2653">
        <v>0</v>
      </c>
      <c r="AG2653">
        <v>45</v>
      </c>
      <c r="AH2653">
        <v>32</v>
      </c>
      <c r="AI2653" s="2">
        <f>Table__192.168.3.138DYLAgingReport[[#This Row],[NetAmount]]-Table__192.168.3.138DYLAgingReport[[#This Row],[Paid]]</f>
        <v>382278</v>
      </c>
    </row>
    <row r="2654" spans="1:35">
      <c r="A2654" t="s">
        <v>5270</v>
      </c>
      <c r="B2654" s="1">
        <v>41290</v>
      </c>
      <c r="C2654" s="1">
        <v>41335</v>
      </c>
      <c r="D2654" t="s">
        <v>231</v>
      </c>
      <c r="E2654">
        <v>46800</v>
      </c>
      <c r="F2654">
        <v>7488</v>
      </c>
      <c r="G2654">
        <v>0</v>
      </c>
      <c r="H2654">
        <v>0</v>
      </c>
      <c r="I2654">
        <v>-22</v>
      </c>
      <c r="J2654">
        <v>54288</v>
      </c>
      <c r="K2654" t="s">
        <v>5271</v>
      </c>
      <c r="L2654" s="1">
        <v>41290</v>
      </c>
      <c r="N2654" t="s">
        <v>36</v>
      </c>
      <c r="O2654" t="s">
        <v>37</v>
      </c>
      <c r="P2654" t="s">
        <v>368</v>
      </c>
      <c r="Q2654" t="s">
        <v>39</v>
      </c>
      <c r="R2654" t="s">
        <v>40</v>
      </c>
      <c r="S2654">
        <v>0</v>
      </c>
      <c r="U2654" t="s">
        <v>41</v>
      </c>
      <c r="V2654" t="s">
        <v>42</v>
      </c>
      <c r="X2654" t="s">
        <v>74</v>
      </c>
      <c r="Y2654" t="b">
        <v>0</v>
      </c>
      <c r="Z2654" t="b">
        <v>0</v>
      </c>
      <c r="AC2654" s="1"/>
      <c r="AF2654">
        <v>0</v>
      </c>
      <c r="AG2654">
        <v>45</v>
      </c>
      <c r="AH2654">
        <v>23</v>
      </c>
      <c r="AI2654" s="2">
        <f>Table__192.168.3.138DYLAgingReport[[#This Row],[NetAmount]]-Table__192.168.3.138DYLAgingReport[[#This Row],[Paid]]</f>
        <v>54288</v>
      </c>
    </row>
    <row r="2655" spans="1:35">
      <c r="A2655" t="s">
        <v>5272</v>
      </c>
      <c r="B2655" s="1">
        <v>41293</v>
      </c>
      <c r="C2655" s="1">
        <v>41338</v>
      </c>
      <c r="D2655" t="s">
        <v>194</v>
      </c>
      <c r="E2655">
        <v>160312</v>
      </c>
      <c r="F2655">
        <v>25650</v>
      </c>
      <c r="G2655">
        <v>0</v>
      </c>
      <c r="H2655">
        <v>0</v>
      </c>
      <c r="I2655">
        <v>-25</v>
      </c>
      <c r="J2655">
        <v>185962</v>
      </c>
      <c r="K2655" t="s">
        <v>5273</v>
      </c>
      <c r="L2655" s="1">
        <v>41293</v>
      </c>
      <c r="N2655" t="s">
        <v>36</v>
      </c>
      <c r="O2655" t="s">
        <v>37</v>
      </c>
      <c r="P2655" t="s">
        <v>331</v>
      </c>
      <c r="Q2655" t="s">
        <v>39</v>
      </c>
      <c r="R2655" t="s">
        <v>40</v>
      </c>
      <c r="S2655">
        <v>0</v>
      </c>
      <c r="U2655" t="s">
        <v>41</v>
      </c>
      <c r="V2655" t="s">
        <v>42</v>
      </c>
      <c r="X2655" t="s">
        <v>74</v>
      </c>
      <c r="Y2655" t="b">
        <v>0</v>
      </c>
      <c r="Z2655" t="b">
        <v>0</v>
      </c>
      <c r="AC2655" s="1"/>
      <c r="AF2655">
        <v>0</v>
      </c>
      <c r="AG2655">
        <v>45</v>
      </c>
      <c r="AH2655">
        <v>20</v>
      </c>
      <c r="AI2655" s="2">
        <f>Table__192.168.3.138DYLAgingReport[[#This Row],[NetAmount]]-Table__192.168.3.138DYLAgingReport[[#This Row],[Paid]]</f>
        <v>185962</v>
      </c>
    </row>
    <row r="2656" spans="1:35">
      <c r="A2656" t="s">
        <v>5274</v>
      </c>
      <c r="B2656" s="1">
        <v>41304</v>
      </c>
      <c r="C2656" s="1">
        <v>41349</v>
      </c>
      <c r="D2656" t="s">
        <v>194</v>
      </c>
      <c r="E2656">
        <v>145275</v>
      </c>
      <c r="F2656">
        <v>23244</v>
      </c>
      <c r="G2656">
        <v>0</v>
      </c>
      <c r="H2656">
        <v>0</v>
      </c>
      <c r="I2656">
        <v>-36</v>
      </c>
      <c r="J2656">
        <v>168519</v>
      </c>
      <c r="K2656" t="s">
        <v>2589</v>
      </c>
      <c r="L2656" s="1">
        <v>41304</v>
      </c>
      <c r="N2656" t="s">
        <v>36</v>
      </c>
      <c r="O2656" t="s">
        <v>37</v>
      </c>
      <c r="P2656" t="s">
        <v>331</v>
      </c>
      <c r="Q2656" t="s">
        <v>39</v>
      </c>
      <c r="R2656" t="s">
        <v>40</v>
      </c>
      <c r="S2656">
        <v>0</v>
      </c>
      <c r="U2656" t="s">
        <v>41</v>
      </c>
      <c r="V2656" t="s">
        <v>42</v>
      </c>
      <c r="X2656" t="s">
        <v>74</v>
      </c>
      <c r="Y2656" t="b">
        <v>0</v>
      </c>
      <c r="Z2656" t="b">
        <v>0</v>
      </c>
      <c r="AC2656" s="1"/>
      <c r="AF2656">
        <v>0</v>
      </c>
      <c r="AG2656">
        <v>45</v>
      </c>
      <c r="AH2656">
        <v>9</v>
      </c>
      <c r="AI2656" s="2">
        <f>Table__192.168.3.138DYLAgingReport[[#This Row],[NetAmount]]-Table__192.168.3.138DYLAgingReport[[#This Row],[Paid]]</f>
        <v>168519</v>
      </c>
    </row>
    <row r="2657" spans="1:35">
      <c r="A2657" t="s">
        <v>5275</v>
      </c>
      <c r="B2657" s="1">
        <v>41304</v>
      </c>
      <c r="C2657" s="1">
        <v>41349</v>
      </c>
      <c r="D2657" t="s">
        <v>263</v>
      </c>
      <c r="E2657">
        <v>22160</v>
      </c>
      <c r="F2657">
        <v>3545</v>
      </c>
      <c r="G2657">
        <v>0</v>
      </c>
      <c r="H2657">
        <v>0</v>
      </c>
      <c r="I2657">
        <v>-37</v>
      </c>
      <c r="J2657">
        <v>25705</v>
      </c>
      <c r="K2657" t="s">
        <v>5276</v>
      </c>
      <c r="L2657" s="1">
        <v>41305</v>
      </c>
      <c r="N2657" t="s">
        <v>36</v>
      </c>
      <c r="O2657" t="s">
        <v>37</v>
      </c>
      <c r="P2657" t="s">
        <v>400</v>
      </c>
      <c r="Q2657" t="s">
        <v>39</v>
      </c>
      <c r="R2657" t="s">
        <v>40</v>
      </c>
      <c r="S2657">
        <v>0</v>
      </c>
      <c r="U2657" t="s">
        <v>41</v>
      </c>
      <c r="V2657" t="s">
        <v>42</v>
      </c>
      <c r="X2657" t="s">
        <v>74</v>
      </c>
      <c r="Y2657" t="b">
        <v>0</v>
      </c>
      <c r="Z2657" t="b">
        <v>0</v>
      </c>
      <c r="AC2657" s="1"/>
      <c r="AF2657">
        <v>0</v>
      </c>
      <c r="AG2657">
        <v>45</v>
      </c>
      <c r="AH2657">
        <v>8</v>
      </c>
      <c r="AI2657" s="2">
        <f>Table__192.168.3.138DYLAgingReport[[#This Row],[NetAmount]]-Table__192.168.3.138DYLAgingReport[[#This Row],[Paid]]</f>
        <v>25705</v>
      </c>
    </row>
    <row r="2658" spans="1:35">
      <c r="A2658" t="s">
        <v>5277</v>
      </c>
      <c r="B2658" s="1">
        <v>41304</v>
      </c>
      <c r="C2658" s="1">
        <v>41349</v>
      </c>
      <c r="D2658" t="s">
        <v>263</v>
      </c>
      <c r="E2658">
        <v>39542</v>
      </c>
      <c r="F2658">
        <v>6327</v>
      </c>
      <c r="G2658">
        <v>0</v>
      </c>
      <c r="H2658">
        <v>0</v>
      </c>
      <c r="I2658">
        <v>-37</v>
      </c>
      <c r="J2658">
        <v>45869</v>
      </c>
      <c r="K2658" t="s">
        <v>5278</v>
      </c>
      <c r="L2658" s="1">
        <v>41305</v>
      </c>
      <c r="N2658" t="s">
        <v>36</v>
      </c>
      <c r="O2658" t="s">
        <v>37</v>
      </c>
      <c r="P2658" t="s">
        <v>400</v>
      </c>
      <c r="Q2658" t="s">
        <v>39</v>
      </c>
      <c r="R2658" t="s">
        <v>40</v>
      </c>
      <c r="S2658">
        <v>0</v>
      </c>
      <c r="U2658" t="s">
        <v>41</v>
      </c>
      <c r="V2658" t="s">
        <v>42</v>
      </c>
      <c r="X2658" t="s">
        <v>74</v>
      </c>
      <c r="Y2658" t="b">
        <v>0</v>
      </c>
      <c r="Z2658" t="b">
        <v>0</v>
      </c>
      <c r="AC2658" s="1"/>
      <c r="AF2658">
        <v>0</v>
      </c>
      <c r="AG2658">
        <v>45</v>
      </c>
      <c r="AH2658">
        <v>8</v>
      </c>
      <c r="AI2658" s="2">
        <f>Table__192.168.3.138DYLAgingReport[[#This Row],[NetAmount]]-Table__192.168.3.138DYLAgingReport[[#This Row],[Paid]]</f>
        <v>45869</v>
      </c>
    </row>
    <row r="2659" spans="1:35">
      <c r="A2659" t="s">
        <v>5279</v>
      </c>
      <c r="B2659" s="1">
        <v>41304</v>
      </c>
      <c r="C2659" s="1">
        <v>41349</v>
      </c>
      <c r="D2659" t="s">
        <v>243</v>
      </c>
      <c r="E2659">
        <v>57975</v>
      </c>
      <c r="F2659">
        <v>0</v>
      </c>
      <c r="G2659">
        <v>0</v>
      </c>
      <c r="H2659">
        <v>0</v>
      </c>
      <c r="I2659">
        <v>-11</v>
      </c>
      <c r="J2659">
        <v>57975</v>
      </c>
      <c r="K2659" t="s">
        <v>5280</v>
      </c>
      <c r="L2659" s="1">
        <v>41279</v>
      </c>
      <c r="N2659" t="s">
        <v>36</v>
      </c>
      <c r="O2659" t="s">
        <v>37</v>
      </c>
      <c r="P2659" t="s">
        <v>380</v>
      </c>
      <c r="Q2659" t="s">
        <v>39</v>
      </c>
      <c r="R2659" t="s">
        <v>40</v>
      </c>
      <c r="S2659">
        <v>0</v>
      </c>
      <c r="U2659" t="s">
        <v>41</v>
      </c>
      <c r="V2659" t="s">
        <v>42</v>
      </c>
      <c r="X2659" t="s">
        <v>74</v>
      </c>
      <c r="Y2659" t="b">
        <v>0</v>
      </c>
      <c r="Z2659" t="b">
        <v>0</v>
      </c>
      <c r="AC2659" s="1"/>
      <c r="AF2659">
        <v>0</v>
      </c>
      <c r="AG2659">
        <v>45</v>
      </c>
      <c r="AH2659">
        <v>34</v>
      </c>
      <c r="AI2659" s="2">
        <f>Table__192.168.3.138DYLAgingReport[[#This Row],[NetAmount]]-Table__192.168.3.138DYLAgingReport[[#This Row],[Paid]]</f>
        <v>57975</v>
      </c>
    </row>
    <row r="2660" spans="1:35">
      <c r="A2660" t="s">
        <v>5281</v>
      </c>
      <c r="B2660" s="1">
        <v>41303</v>
      </c>
      <c r="C2660" s="1">
        <v>41348</v>
      </c>
      <c r="D2660" t="s">
        <v>183</v>
      </c>
      <c r="E2660">
        <v>61950</v>
      </c>
      <c r="F2660">
        <v>9912</v>
      </c>
      <c r="G2660">
        <v>0</v>
      </c>
      <c r="H2660">
        <v>0</v>
      </c>
      <c r="I2660">
        <v>-35</v>
      </c>
      <c r="J2660">
        <v>71862</v>
      </c>
      <c r="K2660" t="s">
        <v>5282</v>
      </c>
      <c r="L2660" s="1">
        <v>41303</v>
      </c>
      <c r="N2660" t="s">
        <v>36</v>
      </c>
      <c r="O2660" t="s">
        <v>37</v>
      </c>
      <c r="P2660" t="s">
        <v>320</v>
      </c>
      <c r="Q2660" t="s">
        <v>39</v>
      </c>
      <c r="R2660" t="s">
        <v>40</v>
      </c>
      <c r="S2660">
        <v>0</v>
      </c>
      <c r="U2660" t="s">
        <v>41</v>
      </c>
      <c r="V2660" t="s">
        <v>42</v>
      </c>
      <c r="X2660" t="s">
        <v>74</v>
      </c>
      <c r="Y2660" t="b">
        <v>0</v>
      </c>
      <c r="Z2660" t="b">
        <v>0</v>
      </c>
      <c r="AC2660" s="1"/>
      <c r="AF2660">
        <v>0</v>
      </c>
      <c r="AG2660">
        <v>45</v>
      </c>
      <c r="AH2660">
        <v>10</v>
      </c>
      <c r="AI2660" s="2">
        <f>Table__192.168.3.138DYLAgingReport[[#This Row],[NetAmount]]-Table__192.168.3.138DYLAgingReport[[#This Row],[Paid]]</f>
        <v>71862</v>
      </c>
    </row>
    <row r="2661" spans="1:35">
      <c r="A2661" t="s">
        <v>5283</v>
      </c>
      <c r="B2661" s="1">
        <v>41304</v>
      </c>
      <c r="C2661" s="1">
        <v>41349</v>
      </c>
      <c r="D2661" t="s">
        <v>299</v>
      </c>
      <c r="E2661">
        <v>215000</v>
      </c>
      <c r="F2661">
        <v>34400</v>
      </c>
      <c r="G2661">
        <v>0</v>
      </c>
      <c r="H2661">
        <v>0</v>
      </c>
      <c r="I2661">
        <v>-30</v>
      </c>
      <c r="J2661">
        <v>249400</v>
      </c>
      <c r="K2661" t="s">
        <v>5284</v>
      </c>
      <c r="L2661" s="1">
        <v>41298</v>
      </c>
      <c r="N2661" t="s">
        <v>36</v>
      </c>
      <c r="O2661" t="s">
        <v>37</v>
      </c>
      <c r="P2661" t="s">
        <v>436</v>
      </c>
      <c r="Q2661" t="s">
        <v>5285</v>
      </c>
      <c r="R2661" t="s">
        <v>5286</v>
      </c>
      <c r="S2661">
        <v>0</v>
      </c>
      <c r="U2661" t="s">
        <v>41</v>
      </c>
      <c r="V2661" t="s">
        <v>42</v>
      </c>
      <c r="X2661" t="s">
        <v>74</v>
      </c>
      <c r="Y2661" t="b">
        <v>0</v>
      </c>
      <c r="Z2661" t="b">
        <v>0</v>
      </c>
      <c r="AC2661" s="1"/>
      <c r="AF2661">
        <v>0</v>
      </c>
      <c r="AG2661">
        <v>45</v>
      </c>
      <c r="AH2661">
        <v>15</v>
      </c>
      <c r="AI2661" s="2">
        <f>Table__192.168.3.138DYLAgingReport[[#This Row],[NetAmount]]-Table__192.168.3.138DYLAgingReport[[#This Row],[Paid]]</f>
        <v>249400</v>
      </c>
    </row>
    <row r="2662" spans="1:35">
      <c r="A2662" t="s">
        <v>5287</v>
      </c>
      <c r="B2662" s="1">
        <v>41301</v>
      </c>
      <c r="C2662" s="1">
        <v>41346</v>
      </c>
      <c r="D2662" t="s">
        <v>299</v>
      </c>
      <c r="E2662">
        <v>215000</v>
      </c>
      <c r="F2662">
        <v>34400</v>
      </c>
      <c r="G2662">
        <v>0</v>
      </c>
      <c r="H2662">
        <v>0</v>
      </c>
      <c r="I2662">
        <v>-29</v>
      </c>
      <c r="J2662">
        <v>249400</v>
      </c>
      <c r="K2662" t="s">
        <v>5288</v>
      </c>
      <c r="L2662" s="1">
        <v>41297</v>
      </c>
      <c r="N2662" t="s">
        <v>36</v>
      </c>
      <c r="O2662" t="s">
        <v>37</v>
      </c>
      <c r="P2662" t="s">
        <v>436</v>
      </c>
      <c r="Q2662" t="s">
        <v>5285</v>
      </c>
      <c r="R2662" t="s">
        <v>5286</v>
      </c>
      <c r="S2662">
        <v>0</v>
      </c>
      <c r="U2662" t="s">
        <v>41</v>
      </c>
      <c r="V2662" t="s">
        <v>42</v>
      </c>
      <c r="X2662" t="s">
        <v>74</v>
      </c>
      <c r="Y2662" t="b">
        <v>0</v>
      </c>
      <c r="Z2662" t="b">
        <v>0</v>
      </c>
      <c r="AC2662" s="1"/>
      <c r="AF2662">
        <v>0</v>
      </c>
      <c r="AG2662">
        <v>45</v>
      </c>
      <c r="AH2662">
        <v>16</v>
      </c>
      <c r="AI2662" s="2">
        <f>Table__192.168.3.138DYLAgingReport[[#This Row],[NetAmount]]-Table__192.168.3.138DYLAgingReport[[#This Row],[Paid]]</f>
        <v>249400</v>
      </c>
    </row>
    <row r="2663" spans="1:35">
      <c r="A2663" t="s">
        <v>5289</v>
      </c>
      <c r="B2663" s="1">
        <v>41303</v>
      </c>
      <c r="C2663" s="1">
        <v>41348</v>
      </c>
      <c r="D2663" t="s">
        <v>179</v>
      </c>
      <c r="E2663">
        <v>171600</v>
      </c>
      <c r="F2663">
        <v>27456</v>
      </c>
      <c r="G2663">
        <v>0</v>
      </c>
      <c r="H2663">
        <v>0</v>
      </c>
      <c r="I2663">
        <v>-32</v>
      </c>
      <c r="J2663">
        <v>199056</v>
      </c>
      <c r="K2663" t="s">
        <v>5290</v>
      </c>
      <c r="L2663" s="1">
        <v>41300</v>
      </c>
      <c r="N2663" t="s">
        <v>36</v>
      </c>
      <c r="O2663" t="s">
        <v>37</v>
      </c>
      <c r="P2663" t="s">
        <v>316</v>
      </c>
      <c r="Q2663" t="s">
        <v>5285</v>
      </c>
      <c r="R2663" t="s">
        <v>5286</v>
      </c>
      <c r="S2663">
        <v>0</v>
      </c>
      <c r="U2663" t="s">
        <v>41</v>
      </c>
      <c r="V2663" t="s">
        <v>42</v>
      </c>
      <c r="X2663" t="s">
        <v>74</v>
      </c>
      <c r="Y2663" t="b">
        <v>0</v>
      </c>
      <c r="Z2663" t="b">
        <v>0</v>
      </c>
      <c r="AC2663" s="1"/>
      <c r="AF2663">
        <v>0</v>
      </c>
      <c r="AG2663">
        <v>45</v>
      </c>
      <c r="AH2663">
        <v>13</v>
      </c>
      <c r="AI2663" s="2">
        <f>Table__192.168.3.138DYLAgingReport[[#This Row],[NetAmount]]-Table__192.168.3.138DYLAgingReport[[#This Row],[Paid]]</f>
        <v>199056</v>
      </c>
    </row>
    <row r="2664" spans="1:35">
      <c r="A2664" t="s">
        <v>5291</v>
      </c>
      <c r="B2664" s="1">
        <v>41297</v>
      </c>
      <c r="C2664" s="1">
        <v>41342</v>
      </c>
      <c r="D2664" t="s">
        <v>220</v>
      </c>
      <c r="E2664">
        <v>219100</v>
      </c>
      <c r="F2664">
        <v>35056</v>
      </c>
      <c r="G2664">
        <v>0</v>
      </c>
      <c r="H2664">
        <v>0</v>
      </c>
      <c r="I2664">
        <v>-29</v>
      </c>
      <c r="J2664">
        <v>254156</v>
      </c>
      <c r="K2664" t="s">
        <v>5292</v>
      </c>
      <c r="L2664" s="1">
        <v>41297</v>
      </c>
      <c r="N2664" t="s">
        <v>36</v>
      </c>
      <c r="O2664" t="s">
        <v>37</v>
      </c>
      <c r="P2664" t="s">
        <v>357</v>
      </c>
      <c r="Q2664" t="s">
        <v>5285</v>
      </c>
      <c r="R2664" t="s">
        <v>5286</v>
      </c>
      <c r="S2664">
        <v>0</v>
      </c>
      <c r="U2664" t="s">
        <v>41</v>
      </c>
      <c r="V2664" t="s">
        <v>42</v>
      </c>
      <c r="X2664" t="s">
        <v>74</v>
      </c>
      <c r="Y2664" t="b">
        <v>0</v>
      </c>
      <c r="Z2664" t="b">
        <v>0</v>
      </c>
      <c r="AC2664" s="1"/>
      <c r="AF2664">
        <v>0</v>
      </c>
      <c r="AG2664">
        <v>45</v>
      </c>
      <c r="AH2664">
        <v>16</v>
      </c>
      <c r="AI2664" s="2">
        <f>Table__192.168.3.138DYLAgingReport[[#This Row],[NetAmount]]-Table__192.168.3.138DYLAgingReport[[#This Row],[Paid]]</f>
        <v>254156</v>
      </c>
    </row>
    <row r="2665" spans="1:35">
      <c r="A2665" t="s">
        <v>5293</v>
      </c>
      <c r="B2665" s="1">
        <v>41297</v>
      </c>
      <c r="C2665" s="1">
        <v>41342</v>
      </c>
      <c r="D2665" t="s">
        <v>220</v>
      </c>
      <c r="E2665">
        <v>51250</v>
      </c>
      <c r="F2665">
        <v>8200</v>
      </c>
      <c r="G2665">
        <v>0</v>
      </c>
      <c r="H2665">
        <v>0</v>
      </c>
      <c r="I2665">
        <v>-29</v>
      </c>
      <c r="J2665">
        <v>59450</v>
      </c>
      <c r="K2665" t="s">
        <v>5294</v>
      </c>
      <c r="L2665" s="1">
        <v>41297</v>
      </c>
      <c r="N2665" t="s">
        <v>36</v>
      </c>
      <c r="O2665" t="s">
        <v>37</v>
      </c>
      <c r="P2665" t="s">
        <v>357</v>
      </c>
      <c r="Q2665" t="s">
        <v>5285</v>
      </c>
      <c r="R2665" t="s">
        <v>5286</v>
      </c>
      <c r="S2665">
        <v>0</v>
      </c>
      <c r="U2665" t="s">
        <v>41</v>
      </c>
      <c r="V2665" t="s">
        <v>42</v>
      </c>
      <c r="X2665" t="s">
        <v>74</v>
      </c>
      <c r="Y2665" t="b">
        <v>0</v>
      </c>
      <c r="Z2665" t="b">
        <v>0</v>
      </c>
      <c r="AC2665" s="1"/>
      <c r="AF2665">
        <v>0</v>
      </c>
      <c r="AG2665">
        <v>45</v>
      </c>
      <c r="AH2665">
        <v>16</v>
      </c>
      <c r="AI2665" s="2">
        <f>Table__192.168.3.138DYLAgingReport[[#This Row],[NetAmount]]-Table__192.168.3.138DYLAgingReport[[#This Row],[Paid]]</f>
        <v>59450</v>
      </c>
    </row>
    <row r="2666" spans="1:35">
      <c r="A2666" t="s">
        <v>5295</v>
      </c>
      <c r="B2666" s="1">
        <v>41298</v>
      </c>
      <c r="C2666" s="1">
        <v>41343</v>
      </c>
      <c r="D2666" t="s">
        <v>220</v>
      </c>
      <c r="E2666">
        <v>42173</v>
      </c>
      <c r="F2666">
        <v>6748</v>
      </c>
      <c r="G2666">
        <v>0</v>
      </c>
      <c r="H2666">
        <v>0</v>
      </c>
      <c r="I2666">
        <v>-29</v>
      </c>
      <c r="J2666">
        <v>48921</v>
      </c>
      <c r="K2666" t="s">
        <v>5296</v>
      </c>
      <c r="L2666" s="1">
        <v>41297</v>
      </c>
      <c r="N2666" t="s">
        <v>36</v>
      </c>
      <c r="O2666" t="s">
        <v>37</v>
      </c>
      <c r="P2666" t="s">
        <v>357</v>
      </c>
      <c r="Q2666" t="s">
        <v>5285</v>
      </c>
      <c r="R2666" t="s">
        <v>5286</v>
      </c>
      <c r="S2666">
        <v>0</v>
      </c>
      <c r="U2666" t="s">
        <v>41</v>
      </c>
      <c r="V2666" t="s">
        <v>42</v>
      </c>
      <c r="X2666" t="s">
        <v>74</v>
      </c>
      <c r="Y2666" t="b">
        <v>0</v>
      </c>
      <c r="Z2666" t="b">
        <v>0</v>
      </c>
      <c r="AC2666" s="1"/>
      <c r="AF2666">
        <v>0</v>
      </c>
      <c r="AG2666">
        <v>45</v>
      </c>
      <c r="AH2666">
        <v>16</v>
      </c>
      <c r="AI2666" s="2">
        <f>Table__192.168.3.138DYLAgingReport[[#This Row],[NetAmount]]-Table__192.168.3.138DYLAgingReport[[#This Row],[Paid]]</f>
        <v>48921</v>
      </c>
    </row>
    <row r="2667" spans="1:35">
      <c r="A2667" t="s">
        <v>5297</v>
      </c>
      <c r="B2667" s="1">
        <v>41303</v>
      </c>
      <c r="C2667" s="1">
        <v>41348</v>
      </c>
      <c r="D2667" t="s">
        <v>220</v>
      </c>
      <c r="E2667">
        <v>213500</v>
      </c>
      <c r="F2667">
        <v>34160</v>
      </c>
      <c r="G2667">
        <v>0</v>
      </c>
      <c r="H2667">
        <v>0</v>
      </c>
      <c r="I2667">
        <v>-35</v>
      </c>
      <c r="J2667">
        <v>247660</v>
      </c>
      <c r="K2667" t="s">
        <v>5298</v>
      </c>
      <c r="L2667" s="1">
        <v>41303</v>
      </c>
      <c r="N2667" t="s">
        <v>36</v>
      </c>
      <c r="O2667" t="s">
        <v>37</v>
      </c>
      <c r="P2667" t="s">
        <v>357</v>
      </c>
      <c r="Q2667" t="s">
        <v>5285</v>
      </c>
      <c r="R2667" t="s">
        <v>5286</v>
      </c>
      <c r="S2667">
        <v>0</v>
      </c>
      <c r="U2667" t="s">
        <v>41</v>
      </c>
      <c r="V2667" t="s">
        <v>42</v>
      </c>
      <c r="X2667" t="s">
        <v>74</v>
      </c>
      <c r="Y2667" t="b">
        <v>0</v>
      </c>
      <c r="Z2667" t="b">
        <v>0</v>
      </c>
      <c r="AC2667" s="1"/>
      <c r="AF2667">
        <v>0</v>
      </c>
      <c r="AG2667">
        <v>45</v>
      </c>
      <c r="AH2667">
        <v>10</v>
      </c>
      <c r="AI2667" s="2">
        <f>Table__192.168.3.138DYLAgingReport[[#This Row],[NetAmount]]-Table__192.168.3.138DYLAgingReport[[#This Row],[Paid]]</f>
        <v>247660</v>
      </c>
    </row>
    <row r="2668" spans="1:35">
      <c r="A2668" t="s">
        <v>5299</v>
      </c>
      <c r="B2668" s="1">
        <v>41295</v>
      </c>
      <c r="C2668" s="1">
        <v>41340</v>
      </c>
      <c r="D2668" t="s">
        <v>173</v>
      </c>
      <c r="E2668">
        <v>8250</v>
      </c>
      <c r="F2668">
        <v>1320</v>
      </c>
      <c r="G2668">
        <v>0</v>
      </c>
      <c r="H2668">
        <v>0</v>
      </c>
      <c r="I2668">
        <v>-27</v>
      </c>
      <c r="J2668">
        <v>9570</v>
      </c>
      <c r="K2668" t="s">
        <v>5300</v>
      </c>
      <c r="L2668" s="1">
        <v>41295</v>
      </c>
      <c r="N2668" t="s">
        <v>36</v>
      </c>
      <c r="O2668" t="s">
        <v>37</v>
      </c>
      <c r="P2668" t="s">
        <v>310</v>
      </c>
      <c r="Q2668" t="s">
        <v>5285</v>
      </c>
      <c r="R2668" t="s">
        <v>5286</v>
      </c>
      <c r="S2668">
        <v>0</v>
      </c>
      <c r="U2668" t="s">
        <v>41</v>
      </c>
      <c r="V2668" t="s">
        <v>42</v>
      </c>
      <c r="X2668" t="s">
        <v>74</v>
      </c>
      <c r="Y2668" t="b">
        <v>0</v>
      </c>
      <c r="Z2668" t="b">
        <v>0</v>
      </c>
      <c r="AC2668" s="1"/>
      <c r="AF2668">
        <v>0</v>
      </c>
      <c r="AG2668">
        <v>45</v>
      </c>
      <c r="AH2668">
        <v>18</v>
      </c>
      <c r="AI2668" s="2">
        <f>Table__192.168.3.138DYLAgingReport[[#This Row],[NetAmount]]-Table__192.168.3.138DYLAgingReport[[#This Row],[Paid]]</f>
        <v>9570</v>
      </c>
    </row>
    <row r="2669" spans="1:35">
      <c r="A2669" t="s">
        <v>5301</v>
      </c>
      <c r="B2669" s="1">
        <v>41303</v>
      </c>
      <c r="C2669" s="1">
        <v>41348</v>
      </c>
      <c r="D2669" t="s">
        <v>203</v>
      </c>
      <c r="E2669">
        <v>43900</v>
      </c>
      <c r="F2669">
        <v>7024</v>
      </c>
      <c r="G2669">
        <v>0</v>
      </c>
      <c r="H2669">
        <v>0</v>
      </c>
      <c r="I2669">
        <v>-35</v>
      </c>
      <c r="J2669">
        <v>50924</v>
      </c>
      <c r="K2669" t="s">
        <v>5302</v>
      </c>
      <c r="L2669" s="1">
        <v>41303</v>
      </c>
      <c r="N2669" t="s">
        <v>36</v>
      </c>
      <c r="O2669" t="s">
        <v>37</v>
      </c>
      <c r="P2669" t="s">
        <v>340</v>
      </c>
      <c r="Q2669" t="s">
        <v>5285</v>
      </c>
      <c r="R2669" t="s">
        <v>5286</v>
      </c>
      <c r="S2669">
        <v>0</v>
      </c>
      <c r="U2669" t="s">
        <v>41</v>
      </c>
      <c r="V2669" t="s">
        <v>42</v>
      </c>
      <c r="X2669" t="s">
        <v>74</v>
      </c>
      <c r="Y2669" t="b">
        <v>0</v>
      </c>
      <c r="Z2669" t="b">
        <v>0</v>
      </c>
      <c r="AC2669" s="1"/>
      <c r="AF2669">
        <v>0</v>
      </c>
      <c r="AG2669">
        <v>45</v>
      </c>
      <c r="AH2669">
        <v>10</v>
      </c>
      <c r="AI2669" s="2">
        <f>Table__192.168.3.138DYLAgingReport[[#This Row],[NetAmount]]-Table__192.168.3.138DYLAgingReport[[#This Row],[Paid]]</f>
        <v>50924</v>
      </c>
    </row>
    <row r="2670" spans="1:35">
      <c r="A2670" t="s">
        <v>5303</v>
      </c>
      <c r="B2670" s="1">
        <v>41296</v>
      </c>
      <c r="C2670" s="1">
        <v>41341</v>
      </c>
      <c r="D2670" t="s">
        <v>293</v>
      </c>
      <c r="E2670">
        <v>51750</v>
      </c>
      <c r="F2670">
        <v>8280</v>
      </c>
      <c r="G2670">
        <v>0</v>
      </c>
      <c r="H2670">
        <v>0</v>
      </c>
      <c r="I2670">
        <v>-28</v>
      </c>
      <c r="J2670">
        <v>60030</v>
      </c>
      <c r="K2670" t="s">
        <v>5304</v>
      </c>
      <c r="L2670" s="1">
        <v>41296</v>
      </c>
      <c r="N2670" t="s">
        <v>36</v>
      </c>
      <c r="O2670" t="s">
        <v>37</v>
      </c>
      <c r="P2670" t="s">
        <v>430</v>
      </c>
      <c r="Q2670" t="s">
        <v>5285</v>
      </c>
      <c r="R2670" t="s">
        <v>5286</v>
      </c>
      <c r="S2670">
        <v>0</v>
      </c>
      <c r="U2670" t="s">
        <v>41</v>
      </c>
      <c r="V2670" t="s">
        <v>42</v>
      </c>
      <c r="X2670" t="s">
        <v>74</v>
      </c>
      <c r="Y2670" t="b">
        <v>0</v>
      </c>
      <c r="Z2670" t="b">
        <v>0</v>
      </c>
      <c r="AC2670" s="1"/>
      <c r="AF2670">
        <v>0</v>
      </c>
      <c r="AG2670">
        <v>45</v>
      </c>
      <c r="AH2670">
        <v>17</v>
      </c>
      <c r="AI2670" s="2">
        <f>Table__192.168.3.138DYLAgingReport[[#This Row],[NetAmount]]-Table__192.168.3.138DYLAgingReport[[#This Row],[Paid]]</f>
        <v>60030</v>
      </c>
    </row>
    <row r="2671" spans="1:35">
      <c r="A2671" t="s">
        <v>5305</v>
      </c>
      <c r="B2671" s="1">
        <v>41294</v>
      </c>
      <c r="C2671" s="1">
        <v>41339</v>
      </c>
      <c r="D2671" t="s">
        <v>208</v>
      </c>
      <c r="E2671">
        <v>1040</v>
      </c>
      <c r="F2671">
        <v>166</v>
      </c>
      <c r="G2671">
        <v>0</v>
      </c>
      <c r="H2671">
        <v>0</v>
      </c>
      <c r="I2671">
        <v>-28</v>
      </c>
      <c r="J2671">
        <v>1206</v>
      </c>
      <c r="K2671" t="s">
        <v>5306</v>
      </c>
      <c r="L2671" s="1">
        <v>41296</v>
      </c>
      <c r="N2671" t="s">
        <v>36</v>
      </c>
      <c r="O2671" t="s">
        <v>37</v>
      </c>
      <c r="P2671" t="s">
        <v>345</v>
      </c>
      <c r="Q2671" t="s">
        <v>5285</v>
      </c>
      <c r="R2671" t="s">
        <v>5286</v>
      </c>
      <c r="S2671">
        <v>0</v>
      </c>
      <c r="U2671" t="s">
        <v>41</v>
      </c>
      <c r="V2671" t="s">
        <v>42</v>
      </c>
      <c r="X2671" t="s">
        <v>74</v>
      </c>
      <c r="Y2671" t="b">
        <v>0</v>
      </c>
      <c r="Z2671" t="b">
        <v>0</v>
      </c>
      <c r="AB2671" t="s">
        <v>5164</v>
      </c>
      <c r="AC2671" s="1">
        <v>41311</v>
      </c>
      <c r="AF2671">
        <v>0</v>
      </c>
      <c r="AG2671">
        <v>45</v>
      </c>
      <c r="AH2671">
        <v>17</v>
      </c>
      <c r="AI2671" s="2">
        <f>Table__192.168.3.138DYLAgingReport[[#This Row],[NetAmount]]-Table__192.168.3.138DYLAgingReport[[#This Row],[Paid]]</f>
        <v>1206</v>
      </c>
    </row>
    <row r="2672" spans="1:35">
      <c r="A2672" t="s">
        <v>5307</v>
      </c>
      <c r="B2672" s="1">
        <v>41295</v>
      </c>
      <c r="C2672" s="1">
        <v>41340</v>
      </c>
      <c r="D2672" t="s">
        <v>224</v>
      </c>
      <c r="E2672">
        <v>10200</v>
      </c>
      <c r="F2672">
        <v>1632</v>
      </c>
      <c r="G2672">
        <v>0</v>
      </c>
      <c r="H2672">
        <v>0</v>
      </c>
      <c r="I2672">
        <v>-16</v>
      </c>
      <c r="J2672">
        <v>11832</v>
      </c>
      <c r="K2672" t="s">
        <v>5308</v>
      </c>
      <c r="L2672" s="1">
        <v>41284</v>
      </c>
      <c r="N2672" t="s">
        <v>36</v>
      </c>
      <c r="O2672" t="s">
        <v>37</v>
      </c>
      <c r="P2672" t="s">
        <v>361</v>
      </c>
      <c r="Q2672" t="s">
        <v>5285</v>
      </c>
      <c r="R2672" t="s">
        <v>5286</v>
      </c>
      <c r="S2672">
        <v>0</v>
      </c>
      <c r="U2672" t="s">
        <v>41</v>
      </c>
      <c r="V2672" t="s">
        <v>42</v>
      </c>
      <c r="X2672" t="s">
        <v>74</v>
      </c>
      <c r="Y2672" t="b">
        <v>0</v>
      </c>
      <c r="Z2672" t="b">
        <v>0</v>
      </c>
      <c r="AC2672" s="1"/>
      <c r="AF2672">
        <v>0</v>
      </c>
      <c r="AG2672">
        <v>45</v>
      </c>
      <c r="AH2672">
        <v>29</v>
      </c>
      <c r="AI2672" s="2">
        <f>Table__192.168.3.138DYLAgingReport[[#This Row],[NetAmount]]-Table__192.168.3.138DYLAgingReport[[#This Row],[Paid]]</f>
        <v>11832</v>
      </c>
    </row>
    <row r="2673" spans="1:35">
      <c r="A2673" t="s">
        <v>5309</v>
      </c>
      <c r="B2673" s="1">
        <v>41302</v>
      </c>
      <c r="C2673" s="1">
        <v>41347</v>
      </c>
      <c r="D2673" t="s">
        <v>224</v>
      </c>
      <c r="E2673">
        <v>19363</v>
      </c>
      <c r="F2673">
        <v>3099</v>
      </c>
      <c r="G2673">
        <v>0</v>
      </c>
      <c r="H2673">
        <v>0</v>
      </c>
      <c r="I2673">
        <v>-16</v>
      </c>
      <c r="J2673">
        <v>22462</v>
      </c>
      <c r="K2673" t="s">
        <v>5310</v>
      </c>
      <c r="L2673" s="1">
        <v>41284</v>
      </c>
      <c r="N2673" t="s">
        <v>36</v>
      </c>
      <c r="O2673" t="s">
        <v>37</v>
      </c>
      <c r="P2673" t="s">
        <v>361</v>
      </c>
      <c r="Q2673" t="s">
        <v>5285</v>
      </c>
      <c r="R2673" t="s">
        <v>5286</v>
      </c>
      <c r="S2673">
        <v>0</v>
      </c>
      <c r="U2673" t="s">
        <v>41</v>
      </c>
      <c r="V2673" t="s">
        <v>42</v>
      </c>
      <c r="X2673" t="s">
        <v>74</v>
      </c>
      <c r="Y2673" t="b">
        <v>0</v>
      </c>
      <c r="Z2673" t="b">
        <v>0</v>
      </c>
      <c r="AC2673" s="1"/>
      <c r="AF2673">
        <v>0</v>
      </c>
      <c r="AG2673">
        <v>45</v>
      </c>
      <c r="AH2673">
        <v>29</v>
      </c>
      <c r="AI2673" s="2">
        <f>Table__192.168.3.138DYLAgingReport[[#This Row],[NetAmount]]-Table__192.168.3.138DYLAgingReport[[#This Row],[Paid]]</f>
        <v>22462</v>
      </c>
    </row>
    <row r="2674" spans="1:35">
      <c r="A2674" t="s">
        <v>5311</v>
      </c>
      <c r="B2674" s="1">
        <v>41304</v>
      </c>
      <c r="C2674" s="1">
        <v>41349</v>
      </c>
      <c r="D2674" t="s">
        <v>226</v>
      </c>
      <c r="E2674">
        <v>15449</v>
      </c>
      <c r="F2674">
        <v>2472</v>
      </c>
      <c r="G2674">
        <v>0</v>
      </c>
      <c r="H2674">
        <v>0</v>
      </c>
      <c r="I2674">
        <v>-34</v>
      </c>
      <c r="J2674">
        <v>17921</v>
      </c>
      <c r="K2674" t="s">
        <v>3153</v>
      </c>
      <c r="L2674" s="1">
        <v>41302</v>
      </c>
      <c r="N2674" t="s">
        <v>36</v>
      </c>
      <c r="O2674" t="s">
        <v>37</v>
      </c>
      <c r="P2674" t="s">
        <v>363</v>
      </c>
      <c r="Q2674" t="s">
        <v>5285</v>
      </c>
      <c r="R2674" t="s">
        <v>5286</v>
      </c>
      <c r="S2674">
        <v>0</v>
      </c>
      <c r="U2674" t="s">
        <v>41</v>
      </c>
      <c r="V2674" t="s">
        <v>42</v>
      </c>
      <c r="X2674" t="s">
        <v>74</v>
      </c>
      <c r="Y2674" t="b">
        <v>0</v>
      </c>
      <c r="Z2674" t="b">
        <v>0</v>
      </c>
      <c r="AC2674" s="1"/>
      <c r="AF2674">
        <v>0</v>
      </c>
      <c r="AG2674">
        <v>45</v>
      </c>
      <c r="AH2674">
        <v>11</v>
      </c>
      <c r="AI2674" s="2">
        <f>Table__192.168.3.138DYLAgingReport[[#This Row],[NetAmount]]-Table__192.168.3.138DYLAgingReport[[#This Row],[Paid]]</f>
        <v>17921</v>
      </c>
    </row>
    <row r="2675" spans="1:35">
      <c r="A2675" t="s">
        <v>5312</v>
      </c>
      <c r="B2675" s="1">
        <v>41296</v>
      </c>
      <c r="C2675" s="1">
        <v>41341</v>
      </c>
      <c r="D2675" t="s">
        <v>273</v>
      </c>
      <c r="E2675">
        <v>1811500</v>
      </c>
      <c r="F2675">
        <v>289840</v>
      </c>
      <c r="G2675">
        <v>0</v>
      </c>
      <c r="H2675">
        <v>0</v>
      </c>
      <c r="I2675">
        <v>-25</v>
      </c>
      <c r="J2675">
        <v>2101340</v>
      </c>
      <c r="K2675" t="s">
        <v>5313</v>
      </c>
      <c r="L2675" s="1">
        <v>41293</v>
      </c>
      <c r="N2675" t="s">
        <v>36</v>
      </c>
      <c r="O2675" t="s">
        <v>37</v>
      </c>
      <c r="P2675" t="s">
        <v>410</v>
      </c>
      <c r="Q2675" t="s">
        <v>5285</v>
      </c>
      <c r="R2675" t="s">
        <v>5286</v>
      </c>
      <c r="S2675">
        <v>0</v>
      </c>
      <c r="U2675" t="s">
        <v>41</v>
      </c>
      <c r="V2675" t="s">
        <v>42</v>
      </c>
      <c r="X2675" t="s">
        <v>74</v>
      </c>
      <c r="Y2675" t="b">
        <v>0</v>
      </c>
      <c r="Z2675" t="b">
        <v>0</v>
      </c>
      <c r="AC2675" s="1"/>
      <c r="AF2675">
        <v>0</v>
      </c>
      <c r="AG2675">
        <v>45</v>
      </c>
      <c r="AH2675">
        <v>20</v>
      </c>
      <c r="AI2675" s="2">
        <f>Table__192.168.3.138DYLAgingReport[[#This Row],[NetAmount]]-Table__192.168.3.138DYLAgingReport[[#This Row],[Paid]]</f>
        <v>2101340</v>
      </c>
    </row>
    <row r="2676" spans="1:35">
      <c r="A2676" t="s">
        <v>5314</v>
      </c>
      <c r="B2676" s="1">
        <v>41294</v>
      </c>
      <c r="C2676" s="1">
        <v>41339</v>
      </c>
      <c r="D2676" t="s">
        <v>221</v>
      </c>
      <c r="E2676">
        <v>3250</v>
      </c>
      <c r="F2676">
        <v>0</v>
      </c>
      <c r="G2676">
        <v>0</v>
      </c>
      <c r="H2676">
        <v>0</v>
      </c>
      <c r="I2676">
        <v>-28</v>
      </c>
      <c r="J2676">
        <v>3250</v>
      </c>
      <c r="K2676" t="s">
        <v>5315</v>
      </c>
      <c r="L2676" s="1">
        <v>41296</v>
      </c>
      <c r="N2676" t="s">
        <v>36</v>
      </c>
      <c r="O2676" t="s">
        <v>37</v>
      </c>
      <c r="P2676" t="s">
        <v>358</v>
      </c>
      <c r="Q2676" t="s">
        <v>5285</v>
      </c>
      <c r="R2676" t="s">
        <v>5286</v>
      </c>
      <c r="S2676">
        <v>0</v>
      </c>
      <c r="U2676" t="s">
        <v>41</v>
      </c>
      <c r="V2676" t="s">
        <v>42</v>
      </c>
      <c r="X2676" t="s">
        <v>74</v>
      </c>
      <c r="Y2676" t="b">
        <v>0</v>
      </c>
      <c r="Z2676" t="b">
        <v>0</v>
      </c>
      <c r="AC2676" s="1"/>
      <c r="AF2676">
        <v>0</v>
      </c>
      <c r="AG2676">
        <v>45</v>
      </c>
      <c r="AH2676">
        <v>17</v>
      </c>
      <c r="AI2676" s="2">
        <f>Table__192.168.3.138DYLAgingReport[[#This Row],[NetAmount]]-Table__192.168.3.138DYLAgingReport[[#This Row],[Paid]]</f>
        <v>3250</v>
      </c>
    </row>
    <row r="2677" spans="1:35">
      <c r="A2677" t="s">
        <v>5316</v>
      </c>
      <c r="B2677" s="1">
        <v>41303</v>
      </c>
      <c r="C2677" s="1">
        <v>41348</v>
      </c>
      <c r="D2677" t="s">
        <v>214</v>
      </c>
      <c r="E2677">
        <v>1750</v>
      </c>
      <c r="F2677">
        <v>0</v>
      </c>
      <c r="G2677">
        <v>0</v>
      </c>
      <c r="H2677">
        <v>0</v>
      </c>
      <c r="I2677">
        <v>-32</v>
      </c>
      <c r="J2677">
        <v>1750</v>
      </c>
      <c r="K2677" t="s">
        <v>2978</v>
      </c>
      <c r="L2677" s="1">
        <v>41300</v>
      </c>
      <c r="N2677" t="s">
        <v>36</v>
      </c>
      <c r="O2677" t="s">
        <v>37</v>
      </c>
      <c r="P2677" t="s">
        <v>351</v>
      </c>
      <c r="Q2677" t="s">
        <v>5285</v>
      </c>
      <c r="R2677" t="s">
        <v>5286</v>
      </c>
      <c r="S2677">
        <v>0</v>
      </c>
      <c r="U2677" t="s">
        <v>41</v>
      </c>
      <c r="V2677" t="s">
        <v>42</v>
      </c>
      <c r="X2677" t="s">
        <v>74</v>
      </c>
      <c r="Y2677" t="b">
        <v>0</v>
      </c>
      <c r="Z2677" t="b">
        <v>0</v>
      </c>
      <c r="AC2677" s="1"/>
      <c r="AF2677">
        <v>0</v>
      </c>
      <c r="AG2677">
        <v>45</v>
      </c>
      <c r="AH2677">
        <v>13</v>
      </c>
      <c r="AI2677" s="2">
        <f>Table__192.168.3.138DYLAgingReport[[#This Row],[NetAmount]]-Table__192.168.3.138DYLAgingReport[[#This Row],[Paid]]</f>
        <v>1750</v>
      </c>
    </row>
    <row r="2678" spans="1:35">
      <c r="A2678" t="s">
        <v>5317</v>
      </c>
      <c r="B2678" s="1">
        <v>41286</v>
      </c>
      <c r="C2678" s="1">
        <v>41331</v>
      </c>
      <c r="D2678" t="s">
        <v>287</v>
      </c>
      <c r="E2678">
        <v>303904</v>
      </c>
      <c r="F2678">
        <v>48625</v>
      </c>
      <c r="G2678">
        <v>0</v>
      </c>
      <c r="H2678">
        <v>0</v>
      </c>
      <c r="I2678">
        <v>-13</v>
      </c>
      <c r="J2678">
        <v>352529</v>
      </c>
      <c r="K2678" t="s">
        <v>5318</v>
      </c>
      <c r="L2678" s="1">
        <v>41281</v>
      </c>
      <c r="N2678" t="s">
        <v>36</v>
      </c>
      <c r="O2678" t="s">
        <v>37</v>
      </c>
      <c r="P2678" t="s">
        <v>424</v>
      </c>
      <c r="Q2678" t="s">
        <v>5285</v>
      </c>
      <c r="R2678" t="s">
        <v>5286</v>
      </c>
      <c r="S2678">
        <v>0</v>
      </c>
      <c r="U2678" t="s">
        <v>41</v>
      </c>
      <c r="V2678" t="s">
        <v>42</v>
      </c>
      <c r="X2678" t="s">
        <v>74</v>
      </c>
      <c r="Y2678" t="b">
        <v>0</v>
      </c>
      <c r="Z2678" t="b">
        <v>0</v>
      </c>
      <c r="AC2678" s="1"/>
      <c r="AF2678">
        <v>0</v>
      </c>
      <c r="AG2678">
        <v>45</v>
      </c>
      <c r="AH2678">
        <v>32</v>
      </c>
      <c r="AI2678" s="2">
        <f>Table__192.168.3.138DYLAgingReport[[#This Row],[NetAmount]]-Table__192.168.3.138DYLAgingReport[[#This Row],[Paid]]</f>
        <v>352529</v>
      </c>
    </row>
    <row r="2679" spans="1:35">
      <c r="A2679" t="s">
        <v>5319</v>
      </c>
      <c r="B2679" s="1">
        <v>41303</v>
      </c>
      <c r="C2679" s="1">
        <v>41348</v>
      </c>
      <c r="D2679" t="s">
        <v>227</v>
      </c>
      <c r="E2679">
        <v>441500</v>
      </c>
      <c r="F2679">
        <v>70640</v>
      </c>
      <c r="G2679">
        <v>0</v>
      </c>
      <c r="H2679">
        <v>0</v>
      </c>
      <c r="I2679">
        <v>-27</v>
      </c>
      <c r="J2679">
        <v>512140</v>
      </c>
      <c r="K2679" t="s">
        <v>5320</v>
      </c>
      <c r="L2679" s="1">
        <v>41295</v>
      </c>
      <c r="N2679" t="s">
        <v>36</v>
      </c>
      <c r="O2679" t="s">
        <v>37</v>
      </c>
      <c r="P2679" t="s">
        <v>364</v>
      </c>
      <c r="Q2679" t="s">
        <v>5285</v>
      </c>
      <c r="R2679" t="s">
        <v>5286</v>
      </c>
      <c r="S2679">
        <v>0</v>
      </c>
      <c r="U2679" t="s">
        <v>41</v>
      </c>
      <c r="V2679" t="s">
        <v>42</v>
      </c>
      <c r="X2679" t="s">
        <v>74</v>
      </c>
      <c r="Y2679" t="b">
        <v>0</v>
      </c>
      <c r="Z2679" t="b">
        <v>0</v>
      </c>
      <c r="AC2679" s="1"/>
      <c r="AF2679">
        <v>0</v>
      </c>
      <c r="AG2679">
        <v>45</v>
      </c>
      <c r="AH2679">
        <v>18</v>
      </c>
      <c r="AI2679" s="2">
        <f>Table__192.168.3.138DYLAgingReport[[#This Row],[NetAmount]]-Table__192.168.3.138DYLAgingReport[[#This Row],[Paid]]</f>
        <v>512140</v>
      </c>
    </row>
    <row r="2680" spans="1:35">
      <c r="A2680" t="s">
        <v>5321</v>
      </c>
      <c r="B2680" s="1">
        <v>41305</v>
      </c>
      <c r="C2680" s="1">
        <v>41350</v>
      </c>
      <c r="D2680" t="s">
        <v>227</v>
      </c>
      <c r="E2680">
        <v>618000</v>
      </c>
      <c r="F2680">
        <v>98880</v>
      </c>
      <c r="G2680">
        <v>0</v>
      </c>
      <c r="H2680">
        <v>0</v>
      </c>
      <c r="I2680">
        <v>-36</v>
      </c>
      <c r="J2680">
        <v>716880</v>
      </c>
      <c r="K2680" t="s">
        <v>5322</v>
      </c>
      <c r="L2680" s="1">
        <v>41304</v>
      </c>
      <c r="N2680" t="s">
        <v>36</v>
      </c>
      <c r="O2680" t="s">
        <v>37</v>
      </c>
      <c r="P2680" t="s">
        <v>364</v>
      </c>
      <c r="Q2680" t="s">
        <v>5285</v>
      </c>
      <c r="R2680" t="s">
        <v>5286</v>
      </c>
      <c r="S2680">
        <v>0</v>
      </c>
      <c r="U2680" t="s">
        <v>41</v>
      </c>
      <c r="V2680" t="s">
        <v>42</v>
      </c>
      <c r="X2680" t="s">
        <v>74</v>
      </c>
      <c r="Y2680" t="b">
        <v>0</v>
      </c>
      <c r="Z2680" t="b">
        <v>0</v>
      </c>
      <c r="AC2680" s="1"/>
      <c r="AF2680">
        <v>0</v>
      </c>
      <c r="AG2680">
        <v>45</v>
      </c>
      <c r="AH2680">
        <v>9</v>
      </c>
      <c r="AI2680" s="2">
        <f>Table__192.168.3.138DYLAgingReport[[#This Row],[NetAmount]]-Table__192.168.3.138DYLAgingReport[[#This Row],[Paid]]</f>
        <v>716880</v>
      </c>
    </row>
    <row r="2681" spans="1:35">
      <c r="A2681" t="s">
        <v>5323</v>
      </c>
      <c r="B2681" s="1">
        <v>41293</v>
      </c>
      <c r="C2681" s="1">
        <v>41338</v>
      </c>
      <c r="D2681" t="s">
        <v>251</v>
      </c>
      <c r="E2681">
        <v>314160</v>
      </c>
      <c r="F2681">
        <v>50266</v>
      </c>
      <c r="G2681">
        <v>0</v>
      </c>
      <c r="H2681">
        <v>0</v>
      </c>
      <c r="I2681">
        <v>-27</v>
      </c>
      <c r="J2681">
        <v>364426</v>
      </c>
      <c r="K2681" t="s">
        <v>160</v>
      </c>
      <c r="L2681" s="1">
        <v>41295</v>
      </c>
      <c r="N2681" t="s">
        <v>36</v>
      </c>
      <c r="O2681" t="s">
        <v>37</v>
      </c>
      <c r="P2681" t="s">
        <v>388</v>
      </c>
      <c r="Q2681" t="s">
        <v>5285</v>
      </c>
      <c r="R2681" t="s">
        <v>5286</v>
      </c>
      <c r="S2681">
        <v>0</v>
      </c>
      <c r="U2681" t="s">
        <v>41</v>
      </c>
      <c r="V2681" t="s">
        <v>42</v>
      </c>
      <c r="X2681" t="s">
        <v>74</v>
      </c>
      <c r="Y2681" t="b">
        <v>0</v>
      </c>
      <c r="Z2681" t="b">
        <v>0</v>
      </c>
      <c r="AC2681" s="1"/>
      <c r="AF2681">
        <v>0</v>
      </c>
      <c r="AG2681">
        <v>45</v>
      </c>
      <c r="AH2681">
        <v>18</v>
      </c>
      <c r="AI2681" s="2">
        <f>Table__192.168.3.138DYLAgingReport[[#This Row],[NetAmount]]-Table__192.168.3.138DYLAgingReport[[#This Row],[Paid]]</f>
        <v>364426</v>
      </c>
    </row>
    <row r="2682" spans="1:35">
      <c r="A2682" t="s">
        <v>5324</v>
      </c>
      <c r="B2682" s="1">
        <v>41304</v>
      </c>
      <c r="C2682" s="1">
        <v>41349</v>
      </c>
      <c r="D2682" t="s">
        <v>251</v>
      </c>
      <c r="E2682">
        <v>221840</v>
      </c>
      <c r="F2682">
        <v>35494</v>
      </c>
      <c r="G2682">
        <v>0</v>
      </c>
      <c r="H2682">
        <v>0</v>
      </c>
      <c r="I2682">
        <v>-34</v>
      </c>
      <c r="J2682">
        <v>257334</v>
      </c>
      <c r="K2682" t="s">
        <v>1112</v>
      </c>
      <c r="L2682" s="1">
        <v>41302</v>
      </c>
      <c r="N2682" t="s">
        <v>36</v>
      </c>
      <c r="O2682" t="s">
        <v>37</v>
      </c>
      <c r="P2682" t="s">
        <v>388</v>
      </c>
      <c r="Q2682" t="s">
        <v>5285</v>
      </c>
      <c r="R2682" t="s">
        <v>5286</v>
      </c>
      <c r="S2682">
        <v>0</v>
      </c>
      <c r="U2682" t="s">
        <v>41</v>
      </c>
      <c r="V2682" t="s">
        <v>42</v>
      </c>
      <c r="X2682" t="s">
        <v>74</v>
      </c>
      <c r="Y2682" t="b">
        <v>0</v>
      </c>
      <c r="Z2682" t="b">
        <v>0</v>
      </c>
      <c r="AC2682" s="1"/>
      <c r="AF2682">
        <v>0</v>
      </c>
      <c r="AG2682">
        <v>45</v>
      </c>
      <c r="AH2682">
        <v>11</v>
      </c>
      <c r="AI2682" s="2">
        <f>Table__192.168.3.138DYLAgingReport[[#This Row],[NetAmount]]-Table__192.168.3.138DYLAgingReport[[#This Row],[Paid]]</f>
        <v>257334</v>
      </c>
    </row>
    <row r="2683" spans="1:35">
      <c r="A2683" t="s">
        <v>5325</v>
      </c>
      <c r="B2683" s="1">
        <v>41305</v>
      </c>
      <c r="C2683" s="1">
        <v>41350</v>
      </c>
      <c r="D2683" t="s">
        <v>251</v>
      </c>
      <c r="E2683">
        <v>136520</v>
      </c>
      <c r="F2683">
        <v>21843</v>
      </c>
      <c r="G2683">
        <v>0</v>
      </c>
      <c r="H2683">
        <v>0</v>
      </c>
      <c r="I2683">
        <v>-16</v>
      </c>
      <c r="J2683">
        <v>158363</v>
      </c>
      <c r="K2683" t="s">
        <v>110</v>
      </c>
      <c r="L2683" s="1">
        <v>41284</v>
      </c>
      <c r="N2683" t="s">
        <v>36</v>
      </c>
      <c r="O2683" t="s">
        <v>37</v>
      </c>
      <c r="P2683" t="s">
        <v>388</v>
      </c>
      <c r="Q2683" t="s">
        <v>5285</v>
      </c>
      <c r="R2683" t="s">
        <v>5286</v>
      </c>
      <c r="S2683">
        <v>0</v>
      </c>
      <c r="U2683" t="s">
        <v>41</v>
      </c>
      <c r="V2683" t="s">
        <v>42</v>
      </c>
      <c r="X2683" t="s">
        <v>74</v>
      </c>
      <c r="Y2683" t="b">
        <v>0</v>
      </c>
      <c r="Z2683" t="b">
        <v>0</v>
      </c>
      <c r="AC2683" s="1"/>
      <c r="AF2683">
        <v>0</v>
      </c>
      <c r="AG2683">
        <v>45</v>
      </c>
      <c r="AH2683">
        <v>29</v>
      </c>
      <c r="AI2683" s="2">
        <f>Table__192.168.3.138DYLAgingReport[[#This Row],[NetAmount]]-Table__192.168.3.138DYLAgingReport[[#This Row],[Paid]]</f>
        <v>158363</v>
      </c>
    </row>
    <row r="2684" spans="1:35">
      <c r="A2684" t="s">
        <v>5331</v>
      </c>
      <c r="B2684" s="1">
        <v>41304</v>
      </c>
      <c r="C2684" s="1">
        <v>41349</v>
      </c>
      <c r="D2684" t="s">
        <v>251</v>
      </c>
      <c r="E2684">
        <v>195630</v>
      </c>
      <c r="F2684">
        <v>31301</v>
      </c>
      <c r="G2684">
        <v>0</v>
      </c>
      <c r="H2684">
        <v>0</v>
      </c>
      <c r="I2684">
        <v>-16</v>
      </c>
      <c r="J2684">
        <v>226931</v>
      </c>
      <c r="K2684" t="s">
        <v>112</v>
      </c>
      <c r="L2684" s="1">
        <v>41284</v>
      </c>
      <c r="N2684" t="s">
        <v>36</v>
      </c>
      <c r="O2684" t="s">
        <v>37</v>
      </c>
      <c r="P2684" t="s">
        <v>388</v>
      </c>
      <c r="Q2684" t="s">
        <v>5285</v>
      </c>
      <c r="R2684" t="s">
        <v>5286</v>
      </c>
      <c r="S2684">
        <v>0</v>
      </c>
      <c r="U2684" t="s">
        <v>41</v>
      </c>
      <c r="V2684" t="s">
        <v>42</v>
      </c>
      <c r="X2684" t="s">
        <v>74</v>
      </c>
      <c r="Y2684" t="b">
        <v>0</v>
      </c>
      <c r="Z2684" t="b">
        <v>0</v>
      </c>
      <c r="AC2684" s="1"/>
      <c r="AF2684">
        <v>0</v>
      </c>
      <c r="AG2684">
        <v>45</v>
      </c>
      <c r="AH2684">
        <v>29</v>
      </c>
      <c r="AI2684" s="2">
        <f>Table__192.168.3.138DYLAgingReport[[#This Row],[NetAmount]]-Table__192.168.3.138DYLAgingReport[[#This Row],[Paid]]</f>
        <v>226931</v>
      </c>
    </row>
    <row r="2685" spans="1:35">
      <c r="A2685" t="s">
        <v>5332</v>
      </c>
      <c r="B2685" s="1">
        <v>41304</v>
      </c>
      <c r="C2685" s="1">
        <v>41349</v>
      </c>
      <c r="D2685" t="s">
        <v>251</v>
      </c>
      <c r="E2685">
        <v>194550</v>
      </c>
      <c r="F2685">
        <v>31128</v>
      </c>
      <c r="G2685">
        <v>0</v>
      </c>
      <c r="H2685">
        <v>0</v>
      </c>
      <c r="I2685">
        <v>-18</v>
      </c>
      <c r="J2685">
        <v>225678</v>
      </c>
      <c r="K2685" t="s">
        <v>133</v>
      </c>
      <c r="L2685" s="1">
        <v>41286</v>
      </c>
      <c r="N2685" t="s">
        <v>36</v>
      </c>
      <c r="O2685" t="s">
        <v>37</v>
      </c>
      <c r="P2685" t="s">
        <v>388</v>
      </c>
      <c r="Q2685" t="s">
        <v>5285</v>
      </c>
      <c r="R2685" t="s">
        <v>5286</v>
      </c>
      <c r="S2685">
        <v>0</v>
      </c>
      <c r="U2685" t="s">
        <v>41</v>
      </c>
      <c r="V2685" t="s">
        <v>42</v>
      </c>
      <c r="X2685" t="s">
        <v>74</v>
      </c>
      <c r="Y2685" t="b">
        <v>0</v>
      </c>
      <c r="Z2685" t="b">
        <v>0</v>
      </c>
      <c r="AC2685" s="1"/>
      <c r="AF2685">
        <v>0</v>
      </c>
      <c r="AG2685">
        <v>45</v>
      </c>
      <c r="AH2685">
        <v>27</v>
      </c>
      <c r="AI2685" s="2">
        <f>Table__192.168.3.138DYLAgingReport[[#This Row],[NetAmount]]-Table__192.168.3.138DYLAgingReport[[#This Row],[Paid]]</f>
        <v>225678</v>
      </c>
    </row>
    <row r="2686" spans="1:35">
      <c r="A2686" t="s">
        <v>5333</v>
      </c>
      <c r="B2686" s="1">
        <v>41304</v>
      </c>
      <c r="C2686" s="1">
        <v>41349</v>
      </c>
      <c r="D2686" t="s">
        <v>251</v>
      </c>
      <c r="E2686">
        <v>133120</v>
      </c>
      <c r="F2686">
        <v>21299</v>
      </c>
      <c r="G2686">
        <v>0</v>
      </c>
      <c r="H2686">
        <v>0</v>
      </c>
      <c r="I2686">
        <v>-18</v>
      </c>
      <c r="J2686">
        <v>154419</v>
      </c>
      <c r="K2686" t="s">
        <v>67</v>
      </c>
      <c r="L2686" s="1">
        <v>41286</v>
      </c>
      <c r="N2686" t="s">
        <v>36</v>
      </c>
      <c r="O2686" t="s">
        <v>37</v>
      </c>
      <c r="P2686" t="s">
        <v>388</v>
      </c>
      <c r="Q2686" t="s">
        <v>5285</v>
      </c>
      <c r="R2686" t="s">
        <v>5286</v>
      </c>
      <c r="S2686">
        <v>0</v>
      </c>
      <c r="U2686" t="s">
        <v>41</v>
      </c>
      <c r="V2686" t="s">
        <v>42</v>
      </c>
      <c r="X2686" t="s">
        <v>74</v>
      </c>
      <c r="Y2686" t="b">
        <v>0</v>
      </c>
      <c r="Z2686" t="b">
        <v>0</v>
      </c>
      <c r="AC2686" s="1"/>
      <c r="AF2686">
        <v>0</v>
      </c>
      <c r="AG2686">
        <v>45</v>
      </c>
      <c r="AH2686">
        <v>27</v>
      </c>
      <c r="AI2686" s="2">
        <f>Table__192.168.3.138DYLAgingReport[[#This Row],[NetAmount]]-Table__192.168.3.138DYLAgingReport[[#This Row],[Paid]]</f>
        <v>154419</v>
      </c>
    </row>
    <row r="2687" spans="1:35">
      <c r="A2687" t="s">
        <v>5334</v>
      </c>
      <c r="B2687" s="1">
        <v>41305</v>
      </c>
      <c r="C2687" s="1">
        <v>41350</v>
      </c>
      <c r="D2687" t="s">
        <v>253</v>
      </c>
      <c r="E2687">
        <v>301637</v>
      </c>
      <c r="F2687">
        <v>48262</v>
      </c>
      <c r="G2687">
        <v>0</v>
      </c>
      <c r="H2687">
        <v>0</v>
      </c>
      <c r="I2687">
        <v>-15</v>
      </c>
      <c r="J2687">
        <v>349899</v>
      </c>
      <c r="K2687" t="s">
        <v>979</v>
      </c>
      <c r="L2687" s="1">
        <v>41283</v>
      </c>
      <c r="N2687" t="s">
        <v>36</v>
      </c>
      <c r="O2687" t="s">
        <v>37</v>
      </c>
      <c r="P2687" t="s">
        <v>390</v>
      </c>
      <c r="Q2687" t="s">
        <v>5285</v>
      </c>
      <c r="R2687" t="s">
        <v>5286</v>
      </c>
      <c r="S2687">
        <v>0</v>
      </c>
      <c r="U2687" t="s">
        <v>41</v>
      </c>
      <c r="V2687" t="s">
        <v>42</v>
      </c>
      <c r="X2687" t="s">
        <v>74</v>
      </c>
      <c r="Y2687" t="b">
        <v>0</v>
      </c>
      <c r="Z2687" t="b">
        <v>0</v>
      </c>
      <c r="AC2687" s="1"/>
      <c r="AF2687">
        <v>0</v>
      </c>
      <c r="AG2687">
        <v>45</v>
      </c>
      <c r="AH2687">
        <v>30</v>
      </c>
      <c r="AI2687" s="2">
        <f>Table__192.168.3.138DYLAgingReport[[#This Row],[NetAmount]]-Table__192.168.3.138DYLAgingReport[[#This Row],[Paid]]</f>
        <v>349899</v>
      </c>
    </row>
    <row r="2688" spans="1:35">
      <c r="A2688" t="s">
        <v>5372</v>
      </c>
      <c r="B2688" s="1">
        <v>41296</v>
      </c>
      <c r="C2688" s="1">
        <v>41341</v>
      </c>
      <c r="D2688" t="s">
        <v>266</v>
      </c>
      <c r="E2688">
        <v>125450</v>
      </c>
      <c r="F2688">
        <v>20072</v>
      </c>
      <c r="G2688">
        <v>0</v>
      </c>
      <c r="H2688">
        <v>0</v>
      </c>
      <c r="I2688">
        <v>-24</v>
      </c>
      <c r="J2688">
        <v>145522</v>
      </c>
      <c r="K2688" t="s">
        <v>1238</v>
      </c>
      <c r="L2688" s="1">
        <v>41292</v>
      </c>
      <c r="N2688" t="s">
        <v>36</v>
      </c>
      <c r="O2688" t="s">
        <v>37</v>
      </c>
      <c r="P2688" t="s">
        <v>403</v>
      </c>
      <c r="Q2688" t="s">
        <v>5285</v>
      </c>
      <c r="R2688" t="s">
        <v>5286</v>
      </c>
      <c r="S2688">
        <v>0</v>
      </c>
      <c r="U2688" t="s">
        <v>41</v>
      </c>
      <c r="V2688" t="s">
        <v>42</v>
      </c>
      <c r="X2688" t="s">
        <v>74</v>
      </c>
      <c r="Y2688" t="b">
        <v>0</v>
      </c>
      <c r="Z2688" t="b">
        <v>0</v>
      </c>
      <c r="AC2688" s="1"/>
      <c r="AF2688">
        <v>0</v>
      </c>
      <c r="AG2688">
        <v>45</v>
      </c>
      <c r="AH2688">
        <v>21</v>
      </c>
      <c r="AI2688" s="2">
        <f>Table__192.168.3.138DYLAgingReport[[#This Row],[NetAmount]]-Table__192.168.3.138DYLAgingReport[[#This Row],[Paid]]</f>
        <v>145522</v>
      </c>
    </row>
    <row r="2689" spans="1:35">
      <c r="A2689" t="s">
        <v>5373</v>
      </c>
      <c r="B2689" s="1">
        <v>41305</v>
      </c>
      <c r="C2689" s="1">
        <v>41350</v>
      </c>
      <c r="D2689" t="s">
        <v>221</v>
      </c>
      <c r="E2689">
        <v>41995</v>
      </c>
      <c r="F2689">
        <v>0</v>
      </c>
      <c r="G2689">
        <v>0</v>
      </c>
      <c r="H2689">
        <v>0</v>
      </c>
      <c r="I2689">
        <v>-28</v>
      </c>
      <c r="J2689">
        <v>41995</v>
      </c>
      <c r="K2689" t="s">
        <v>5238</v>
      </c>
      <c r="L2689" s="1">
        <v>41296</v>
      </c>
      <c r="N2689" t="s">
        <v>36</v>
      </c>
      <c r="O2689" t="s">
        <v>37</v>
      </c>
      <c r="P2689" t="s">
        <v>358</v>
      </c>
      <c r="Q2689" t="s">
        <v>5285</v>
      </c>
      <c r="R2689" t="s">
        <v>5286</v>
      </c>
      <c r="S2689">
        <v>0</v>
      </c>
      <c r="U2689" t="s">
        <v>41</v>
      </c>
      <c r="V2689" t="s">
        <v>42</v>
      </c>
      <c r="X2689" t="s">
        <v>74</v>
      </c>
      <c r="Y2689" t="b">
        <v>0</v>
      </c>
      <c r="Z2689" t="b">
        <v>0</v>
      </c>
      <c r="AC2689" s="1"/>
      <c r="AF2689">
        <v>0</v>
      </c>
      <c r="AG2689">
        <v>45</v>
      </c>
      <c r="AH2689">
        <v>17</v>
      </c>
      <c r="AI2689" s="2">
        <f>Table__192.168.3.138DYLAgingReport[[#This Row],[NetAmount]]-Table__192.168.3.138DYLAgingReport[[#This Row],[Paid]]</f>
        <v>41995</v>
      </c>
    </row>
    <row r="2690" spans="1:35">
      <c r="A2690" t="s">
        <v>5374</v>
      </c>
      <c r="B2690" s="1">
        <v>41303</v>
      </c>
      <c r="C2690" s="1">
        <v>41348</v>
      </c>
      <c r="D2690" t="s">
        <v>242</v>
      </c>
      <c r="E2690">
        <v>3380</v>
      </c>
      <c r="F2690">
        <v>541</v>
      </c>
      <c r="G2690">
        <v>0</v>
      </c>
      <c r="H2690">
        <v>0</v>
      </c>
      <c r="I2690">
        <v>-34</v>
      </c>
      <c r="J2690">
        <v>3921</v>
      </c>
      <c r="K2690" t="s">
        <v>5375</v>
      </c>
      <c r="L2690" s="1">
        <v>41302</v>
      </c>
      <c r="N2690" t="s">
        <v>36</v>
      </c>
      <c r="O2690" t="s">
        <v>37</v>
      </c>
      <c r="P2690" t="s">
        <v>379</v>
      </c>
      <c r="Q2690" t="s">
        <v>5285</v>
      </c>
      <c r="R2690" t="s">
        <v>5286</v>
      </c>
      <c r="S2690">
        <v>0</v>
      </c>
      <c r="U2690" t="s">
        <v>41</v>
      </c>
      <c r="V2690" t="s">
        <v>42</v>
      </c>
      <c r="X2690" t="s">
        <v>74</v>
      </c>
      <c r="Y2690" t="b">
        <v>0</v>
      </c>
      <c r="Z2690" t="b">
        <v>0</v>
      </c>
      <c r="AC2690" s="1"/>
      <c r="AF2690">
        <v>0</v>
      </c>
      <c r="AG2690">
        <v>45</v>
      </c>
      <c r="AH2690">
        <v>11</v>
      </c>
      <c r="AI2690" s="2">
        <f>Table__192.168.3.138DYLAgingReport[[#This Row],[NetAmount]]-Table__192.168.3.138DYLAgingReport[[#This Row],[Paid]]</f>
        <v>3921</v>
      </c>
    </row>
    <row r="2691" spans="1:35">
      <c r="A2691" t="s">
        <v>5376</v>
      </c>
      <c r="B2691" s="1">
        <v>41298</v>
      </c>
      <c r="C2691" s="1">
        <v>41343</v>
      </c>
      <c r="D2691" t="s">
        <v>242</v>
      </c>
      <c r="E2691">
        <v>25870</v>
      </c>
      <c r="F2691">
        <v>4139</v>
      </c>
      <c r="G2691">
        <v>0</v>
      </c>
      <c r="H2691">
        <v>0</v>
      </c>
      <c r="I2691">
        <v>-30</v>
      </c>
      <c r="J2691">
        <v>30009</v>
      </c>
      <c r="K2691" t="s">
        <v>5377</v>
      </c>
      <c r="L2691" s="1">
        <v>41298</v>
      </c>
      <c r="N2691" t="s">
        <v>36</v>
      </c>
      <c r="O2691" t="s">
        <v>37</v>
      </c>
      <c r="P2691" t="s">
        <v>379</v>
      </c>
      <c r="Q2691" t="s">
        <v>5285</v>
      </c>
      <c r="R2691" t="s">
        <v>5286</v>
      </c>
      <c r="S2691">
        <v>0</v>
      </c>
      <c r="U2691" t="s">
        <v>41</v>
      </c>
      <c r="V2691" t="s">
        <v>42</v>
      </c>
      <c r="X2691" t="s">
        <v>74</v>
      </c>
      <c r="Y2691" t="b">
        <v>0</v>
      </c>
      <c r="Z2691" t="b">
        <v>0</v>
      </c>
      <c r="AC2691" s="1"/>
      <c r="AF2691">
        <v>0</v>
      </c>
      <c r="AG2691">
        <v>45</v>
      </c>
      <c r="AH2691">
        <v>15</v>
      </c>
      <c r="AI2691" s="2">
        <f>Table__192.168.3.138DYLAgingReport[[#This Row],[NetAmount]]-Table__192.168.3.138DYLAgingReport[[#This Row],[Paid]]</f>
        <v>30009</v>
      </c>
    </row>
    <row r="2692" spans="1:35">
      <c r="A2692" t="s">
        <v>5378</v>
      </c>
      <c r="B2692" s="1">
        <v>41305</v>
      </c>
      <c r="C2692" s="1">
        <v>41350</v>
      </c>
      <c r="D2692" t="s">
        <v>231</v>
      </c>
      <c r="E2692">
        <v>140400</v>
      </c>
      <c r="F2692">
        <v>22464</v>
      </c>
      <c r="G2692">
        <v>0</v>
      </c>
      <c r="H2692">
        <v>0</v>
      </c>
      <c r="I2692">
        <v>-37</v>
      </c>
      <c r="J2692">
        <v>162864</v>
      </c>
      <c r="K2692" t="s">
        <v>5379</v>
      </c>
      <c r="L2692" s="1">
        <v>41305</v>
      </c>
      <c r="N2692" t="s">
        <v>36</v>
      </c>
      <c r="O2692" t="s">
        <v>37</v>
      </c>
      <c r="P2692" t="s">
        <v>368</v>
      </c>
      <c r="Q2692" t="s">
        <v>5285</v>
      </c>
      <c r="R2692" t="s">
        <v>5286</v>
      </c>
      <c r="S2692">
        <v>0</v>
      </c>
      <c r="U2692" t="s">
        <v>41</v>
      </c>
      <c r="V2692" t="s">
        <v>42</v>
      </c>
      <c r="X2692" t="s">
        <v>74</v>
      </c>
      <c r="Y2692" t="b">
        <v>0</v>
      </c>
      <c r="Z2692" t="b">
        <v>0</v>
      </c>
      <c r="AC2692" s="1"/>
      <c r="AF2692">
        <v>0</v>
      </c>
      <c r="AG2692">
        <v>45</v>
      </c>
      <c r="AH2692">
        <v>8</v>
      </c>
      <c r="AI2692" s="2">
        <f>Table__192.168.3.138DYLAgingReport[[#This Row],[NetAmount]]-Table__192.168.3.138DYLAgingReport[[#This Row],[Paid]]</f>
        <v>162864</v>
      </c>
    </row>
    <row r="2693" spans="1:35">
      <c r="A2693" t="s">
        <v>5380</v>
      </c>
      <c r="B2693" s="1">
        <v>41283</v>
      </c>
      <c r="C2693" s="1">
        <v>41328</v>
      </c>
      <c r="D2693" t="s">
        <v>231</v>
      </c>
      <c r="E2693">
        <v>327600</v>
      </c>
      <c r="F2693">
        <v>52416</v>
      </c>
      <c r="G2693">
        <v>0</v>
      </c>
      <c r="H2693">
        <v>0</v>
      </c>
      <c r="I2693">
        <v>-15</v>
      </c>
      <c r="J2693">
        <v>380016</v>
      </c>
      <c r="K2693" t="s">
        <v>5381</v>
      </c>
      <c r="L2693" s="1">
        <v>41283</v>
      </c>
      <c r="N2693" t="s">
        <v>36</v>
      </c>
      <c r="O2693" t="s">
        <v>37</v>
      </c>
      <c r="P2693" t="s">
        <v>368</v>
      </c>
      <c r="Q2693" t="s">
        <v>5285</v>
      </c>
      <c r="R2693" t="s">
        <v>5286</v>
      </c>
      <c r="S2693">
        <v>0</v>
      </c>
      <c r="U2693" t="s">
        <v>41</v>
      </c>
      <c r="V2693" t="s">
        <v>42</v>
      </c>
      <c r="X2693" t="s">
        <v>74</v>
      </c>
      <c r="Y2693" t="b">
        <v>0</v>
      </c>
      <c r="Z2693" t="b">
        <v>0</v>
      </c>
      <c r="AC2693" s="1"/>
      <c r="AF2693">
        <v>0</v>
      </c>
      <c r="AG2693">
        <v>45</v>
      </c>
      <c r="AH2693">
        <v>30</v>
      </c>
      <c r="AI2693" s="2">
        <f>Table__192.168.3.138DYLAgingReport[[#This Row],[NetAmount]]-Table__192.168.3.138DYLAgingReport[[#This Row],[Paid]]</f>
        <v>380016</v>
      </c>
    </row>
    <row r="2694" spans="1:35">
      <c r="A2694" t="s">
        <v>5382</v>
      </c>
      <c r="B2694" s="1">
        <v>41305</v>
      </c>
      <c r="C2694" s="1">
        <v>41350</v>
      </c>
      <c r="D2694" t="s">
        <v>168</v>
      </c>
      <c r="E2694">
        <v>20510</v>
      </c>
      <c r="F2694">
        <v>3282</v>
      </c>
      <c r="G2694">
        <v>0</v>
      </c>
      <c r="H2694">
        <v>0</v>
      </c>
      <c r="I2694">
        <v>-37</v>
      </c>
      <c r="J2694">
        <v>23792</v>
      </c>
      <c r="K2694" t="s">
        <v>5383</v>
      </c>
      <c r="L2694" s="1">
        <v>41305</v>
      </c>
      <c r="N2694" t="s">
        <v>36</v>
      </c>
      <c r="O2694" t="s">
        <v>37</v>
      </c>
      <c r="P2694" t="s">
        <v>305</v>
      </c>
      <c r="Q2694" t="s">
        <v>5285</v>
      </c>
      <c r="R2694" t="s">
        <v>5286</v>
      </c>
      <c r="S2694">
        <v>0</v>
      </c>
      <c r="U2694" t="s">
        <v>41</v>
      </c>
      <c r="V2694" t="s">
        <v>42</v>
      </c>
      <c r="X2694" t="s">
        <v>74</v>
      </c>
      <c r="Y2694" t="b">
        <v>0</v>
      </c>
      <c r="Z2694" t="b">
        <v>0</v>
      </c>
      <c r="AC2694" s="1"/>
      <c r="AF2694">
        <v>0</v>
      </c>
      <c r="AG2694">
        <v>45</v>
      </c>
      <c r="AH2694">
        <v>8</v>
      </c>
      <c r="AI2694" s="2">
        <f>Table__192.168.3.138DYLAgingReport[[#This Row],[NetAmount]]-Table__192.168.3.138DYLAgingReport[[#This Row],[Paid]]</f>
        <v>23792</v>
      </c>
    </row>
    <row r="2695" spans="1:35">
      <c r="A2695" t="s">
        <v>5384</v>
      </c>
      <c r="B2695" s="1">
        <v>41303</v>
      </c>
      <c r="C2695" s="1">
        <v>41348</v>
      </c>
      <c r="D2695" t="s">
        <v>168</v>
      </c>
      <c r="E2695">
        <v>325230</v>
      </c>
      <c r="F2695">
        <v>52037</v>
      </c>
      <c r="G2695">
        <v>0</v>
      </c>
      <c r="H2695">
        <v>0</v>
      </c>
      <c r="I2695">
        <v>-35</v>
      </c>
      <c r="J2695">
        <v>377267</v>
      </c>
      <c r="K2695" t="s">
        <v>5385</v>
      </c>
      <c r="L2695" s="1">
        <v>41303</v>
      </c>
      <c r="N2695" t="s">
        <v>36</v>
      </c>
      <c r="O2695" t="s">
        <v>37</v>
      </c>
      <c r="P2695" t="s">
        <v>305</v>
      </c>
      <c r="Q2695" t="s">
        <v>5285</v>
      </c>
      <c r="R2695" t="s">
        <v>5286</v>
      </c>
      <c r="S2695">
        <v>0</v>
      </c>
      <c r="U2695" t="s">
        <v>41</v>
      </c>
      <c r="V2695" t="s">
        <v>42</v>
      </c>
      <c r="X2695" t="s">
        <v>74</v>
      </c>
      <c r="Y2695" t="b">
        <v>0</v>
      </c>
      <c r="Z2695" t="b">
        <v>0</v>
      </c>
      <c r="AC2695" s="1"/>
      <c r="AF2695">
        <v>0</v>
      </c>
      <c r="AG2695">
        <v>45</v>
      </c>
      <c r="AH2695">
        <v>10</v>
      </c>
      <c r="AI2695" s="2">
        <f>Table__192.168.3.138DYLAgingReport[[#This Row],[NetAmount]]-Table__192.168.3.138DYLAgingReport[[#This Row],[Paid]]</f>
        <v>377267</v>
      </c>
    </row>
    <row r="2696" spans="1:35">
      <c r="A2696" t="s">
        <v>5386</v>
      </c>
      <c r="B2696" s="1">
        <v>41297</v>
      </c>
      <c r="C2696" s="1">
        <v>41342</v>
      </c>
      <c r="D2696" t="s">
        <v>251</v>
      </c>
      <c r="E2696">
        <v>198440</v>
      </c>
      <c r="F2696">
        <v>31750</v>
      </c>
      <c r="G2696">
        <v>0</v>
      </c>
      <c r="H2696">
        <v>0</v>
      </c>
      <c r="I2696">
        <v>-31</v>
      </c>
      <c r="J2696">
        <v>230190</v>
      </c>
      <c r="K2696" t="s">
        <v>3209</v>
      </c>
      <c r="L2696" s="1">
        <v>41299</v>
      </c>
      <c r="N2696" t="s">
        <v>36</v>
      </c>
      <c r="O2696" t="s">
        <v>37</v>
      </c>
      <c r="P2696" t="s">
        <v>388</v>
      </c>
      <c r="Q2696" t="s">
        <v>5285</v>
      </c>
      <c r="R2696" t="s">
        <v>5286</v>
      </c>
      <c r="S2696">
        <v>0</v>
      </c>
      <c r="U2696" t="s">
        <v>41</v>
      </c>
      <c r="V2696" t="s">
        <v>42</v>
      </c>
      <c r="X2696" t="s">
        <v>74</v>
      </c>
      <c r="Y2696" t="b">
        <v>0</v>
      </c>
      <c r="Z2696" t="b">
        <v>0</v>
      </c>
      <c r="AC2696" s="1"/>
      <c r="AF2696">
        <v>0</v>
      </c>
      <c r="AG2696">
        <v>45</v>
      </c>
      <c r="AH2696">
        <v>14</v>
      </c>
      <c r="AI2696" s="2">
        <f>Table__192.168.3.138DYLAgingReport[[#This Row],[NetAmount]]-Table__192.168.3.138DYLAgingReport[[#This Row],[Paid]]</f>
        <v>230190</v>
      </c>
    </row>
    <row r="2697" spans="1:35">
      <c r="A2697" t="s">
        <v>5387</v>
      </c>
      <c r="B2697" s="1">
        <v>41305</v>
      </c>
      <c r="C2697" s="1">
        <v>41350</v>
      </c>
      <c r="D2697" t="s">
        <v>173</v>
      </c>
      <c r="E2697">
        <v>20230</v>
      </c>
      <c r="F2697">
        <v>3237</v>
      </c>
      <c r="G2697">
        <v>0</v>
      </c>
      <c r="H2697">
        <v>0</v>
      </c>
      <c r="I2697">
        <v>-37</v>
      </c>
      <c r="J2697">
        <v>23467</v>
      </c>
      <c r="K2697" t="s">
        <v>5388</v>
      </c>
      <c r="L2697" s="1">
        <v>41305</v>
      </c>
      <c r="N2697" t="s">
        <v>36</v>
      </c>
      <c r="O2697" t="s">
        <v>37</v>
      </c>
      <c r="P2697" t="s">
        <v>310</v>
      </c>
      <c r="Q2697" t="s">
        <v>5285</v>
      </c>
      <c r="R2697" t="s">
        <v>5286</v>
      </c>
      <c r="S2697">
        <v>0</v>
      </c>
      <c r="U2697" t="s">
        <v>41</v>
      </c>
      <c r="V2697" t="s">
        <v>42</v>
      </c>
      <c r="X2697" t="s">
        <v>74</v>
      </c>
      <c r="Y2697" t="b">
        <v>0</v>
      </c>
      <c r="Z2697" t="b">
        <v>0</v>
      </c>
      <c r="AC2697" s="1"/>
      <c r="AF2697">
        <v>0</v>
      </c>
      <c r="AG2697">
        <v>45</v>
      </c>
      <c r="AH2697">
        <v>8</v>
      </c>
      <c r="AI2697" s="2">
        <f>Table__192.168.3.138DYLAgingReport[[#This Row],[NetAmount]]-Table__192.168.3.138DYLAgingReport[[#This Row],[Paid]]</f>
        <v>23467</v>
      </c>
    </row>
    <row r="2698" spans="1:35">
      <c r="A2698" t="s">
        <v>5389</v>
      </c>
      <c r="B2698" s="1">
        <v>41302</v>
      </c>
      <c r="C2698" s="1">
        <v>41347</v>
      </c>
      <c r="D2698" t="s">
        <v>206</v>
      </c>
      <c r="E2698">
        <v>83250</v>
      </c>
      <c r="F2698">
        <v>13320</v>
      </c>
      <c r="G2698">
        <v>0</v>
      </c>
      <c r="H2698">
        <v>0</v>
      </c>
      <c r="I2698">
        <v>-37</v>
      </c>
      <c r="J2698">
        <v>96570</v>
      </c>
      <c r="K2698" t="s">
        <v>4686</v>
      </c>
      <c r="L2698" s="1">
        <v>41305</v>
      </c>
      <c r="N2698" t="s">
        <v>36</v>
      </c>
      <c r="O2698" t="s">
        <v>37</v>
      </c>
      <c r="P2698" t="s">
        <v>343</v>
      </c>
      <c r="Q2698" t="s">
        <v>5285</v>
      </c>
      <c r="R2698" t="s">
        <v>5286</v>
      </c>
      <c r="S2698">
        <v>0</v>
      </c>
      <c r="U2698" t="s">
        <v>41</v>
      </c>
      <c r="V2698" t="s">
        <v>42</v>
      </c>
      <c r="X2698" t="s">
        <v>74</v>
      </c>
      <c r="Y2698" t="b">
        <v>0</v>
      </c>
      <c r="Z2698" t="b">
        <v>0</v>
      </c>
      <c r="AC2698" s="1"/>
      <c r="AF2698">
        <v>0</v>
      </c>
      <c r="AG2698">
        <v>45</v>
      </c>
      <c r="AH2698">
        <v>8</v>
      </c>
      <c r="AI2698" s="2">
        <f>Table__192.168.3.138DYLAgingReport[[#This Row],[NetAmount]]-Table__192.168.3.138DYLAgingReport[[#This Row],[Paid]]</f>
        <v>96570</v>
      </c>
    </row>
    <row r="2699" spans="1:35">
      <c r="A2699" t="s">
        <v>5390</v>
      </c>
      <c r="B2699" s="1">
        <v>41305</v>
      </c>
      <c r="C2699" s="1">
        <v>41350</v>
      </c>
      <c r="D2699" t="s">
        <v>206</v>
      </c>
      <c r="E2699">
        <v>446250</v>
      </c>
      <c r="F2699">
        <v>71400</v>
      </c>
      <c r="G2699">
        <v>0</v>
      </c>
      <c r="H2699">
        <v>0</v>
      </c>
      <c r="I2699">
        <v>-37</v>
      </c>
      <c r="J2699">
        <v>517650</v>
      </c>
      <c r="K2699" t="s">
        <v>4220</v>
      </c>
      <c r="L2699" s="1">
        <v>41305</v>
      </c>
      <c r="N2699" t="s">
        <v>36</v>
      </c>
      <c r="O2699" t="s">
        <v>37</v>
      </c>
      <c r="P2699" t="s">
        <v>343</v>
      </c>
      <c r="Q2699" t="s">
        <v>5285</v>
      </c>
      <c r="R2699" t="s">
        <v>5286</v>
      </c>
      <c r="S2699">
        <v>0</v>
      </c>
      <c r="U2699" t="s">
        <v>41</v>
      </c>
      <c r="V2699" t="s">
        <v>42</v>
      </c>
      <c r="X2699" t="s">
        <v>74</v>
      </c>
      <c r="Y2699" t="b">
        <v>0</v>
      </c>
      <c r="Z2699" t="b">
        <v>0</v>
      </c>
      <c r="AC2699" s="1"/>
      <c r="AF2699">
        <v>0</v>
      </c>
      <c r="AG2699">
        <v>45</v>
      </c>
      <c r="AH2699">
        <v>8</v>
      </c>
      <c r="AI2699" s="2">
        <f>Table__192.168.3.138DYLAgingReport[[#This Row],[NetAmount]]-Table__192.168.3.138DYLAgingReport[[#This Row],[Paid]]</f>
        <v>517650</v>
      </c>
    </row>
    <row r="2700" spans="1:35">
      <c r="A2700" t="s">
        <v>5391</v>
      </c>
      <c r="B2700" s="1">
        <v>41276</v>
      </c>
      <c r="C2700" s="1">
        <v>41321</v>
      </c>
      <c r="D2700" t="s">
        <v>258</v>
      </c>
      <c r="E2700">
        <v>64967</v>
      </c>
      <c r="F2700">
        <v>10395</v>
      </c>
      <c r="G2700">
        <v>0</v>
      </c>
      <c r="H2700">
        <v>0</v>
      </c>
      <c r="I2700">
        <v>-8</v>
      </c>
      <c r="J2700">
        <v>75362</v>
      </c>
      <c r="K2700" t="s">
        <v>5392</v>
      </c>
      <c r="L2700" s="1">
        <v>41276</v>
      </c>
      <c r="N2700" t="s">
        <v>36</v>
      </c>
      <c r="O2700" t="s">
        <v>37</v>
      </c>
      <c r="P2700" t="s">
        <v>395</v>
      </c>
      <c r="Q2700" t="s">
        <v>5285</v>
      </c>
      <c r="R2700" t="s">
        <v>5286</v>
      </c>
      <c r="S2700">
        <v>0</v>
      </c>
      <c r="U2700" t="s">
        <v>41</v>
      </c>
      <c r="V2700" t="s">
        <v>42</v>
      </c>
      <c r="X2700" t="s">
        <v>74</v>
      </c>
      <c r="Y2700" t="b">
        <v>0</v>
      </c>
      <c r="Z2700" t="b">
        <v>0</v>
      </c>
      <c r="AC2700" s="1"/>
      <c r="AF2700">
        <v>0</v>
      </c>
      <c r="AG2700">
        <v>45</v>
      </c>
      <c r="AH2700">
        <v>37</v>
      </c>
      <c r="AI2700" s="2">
        <f>Table__192.168.3.138DYLAgingReport[[#This Row],[NetAmount]]-Table__192.168.3.138DYLAgingReport[[#This Row],[Paid]]</f>
        <v>75362</v>
      </c>
    </row>
    <row r="2701" spans="1:35">
      <c r="A2701" t="s">
        <v>5393</v>
      </c>
      <c r="B2701" s="1">
        <v>41282</v>
      </c>
      <c r="C2701" s="1">
        <v>41327</v>
      </c>
      <c r="D2701" t="s">
        <v>258</v>
      </c>
      <c r="E2701">
        <v>62123</v>
      </c>
      <c r="F2701">
        <v>9940</v>
      </c>
      <c r="G2701">
        <v>0</v>
      </c>
      <c r="H2701">
        <v>0</v>
      </c>
      <c r="I2701">
        <v>-14</v>
      </c>
      <c r="J2701">
        <v>72063</v>
      </c>
      <c r="K2701" t="s">
        <v>5394</v>
      </c>
      <c r="L2701" s="1">
        <v>41282</v>
      </c>
      <c r="N2701" t="s">
        <v>36</v>
      </c>
      <c r="O2701" t="s">
        <v>37</v>
      </c>
      <c r="P2701" t="s">
        <v>395</v>
      </c>
      <c r="Q2701" t="s">
        <v>5285</v>
      </c>
      <c r="R2701" t="s">
        <v>5286</v>
      </c>
      <c r="S2701">
        <v>0</v>
      </c>
      <c r="U2701" t="s">
        <v>41</v>
      </c>
      <c r="V2701" t="s">
        <v>42</v>
      </c>
      <c r="X2701" t="s">
        <v>74</v>
      </c>
      <c r="Y2701" t="b">
        <v>0</v>
      </c>
      <c r="Z2701" t="b">
        <v>0</v>
      </c>
      <c r="AC2701" s="1"/>
      <c r="AF2701">
        <v>0</v>
      </c>
      <c r="AG2701">
        <v>45</v>
      </c>
      <c r="AH2701">
        <v>31</v>
      </c>
      <c r="AI2701" s="2">
        <f>Table__192.168.3.138DYLAgingReport[[#This Row],[NetAmount]]-Table__192.168.3.138DYLAgingReport[[#This Row],[Paid]]</f>
        <v>72063</v>
      </c>
    </row>
    <row r="2702" spans="1:35">
      <c r="A2702" t="s">
        <v>5395</v>
      </c>
      <c r="B2702" s="1">
        <v>41289</v>
      </c>
      <c r="C2702" s="1">
        <v>41334</v>
      </c>
      <c r="D2702" t="s">
        <v>258</v>
      </c>
      <c r="E2702">
        <v>48723</v>
      </c>
      <c r="F2702">
        <v>7796</v>
      </c>
      <c r="G2702">
        <v>0</v>
      </c>
      <c r="H2702">
        <v>0</v>
      </c>
      <c r="I2702">
        <v>-21</v>
      </c>
      <c r="J2702">
        <v>56519</v>
      </c>
      <c r="K2702" t="s">
        <v>5396</v>
      </c>
      <c r="L2702" s="1">
        <v>41289</v>
      </c>
      <c r="N2702" t="s">
        <v>36</v>
      </c>
      <c r="O2702" t="s">
        <v>37</v>
      </c>
      <c r="P2702" t="s">
        <v>395</v>
      </c>
      <c r="Q2702" t="s">
        <v>5285</v>
      </c>
      <c r="R2702" t="s">
        <v>5286</v>
      </c>
      <c r="S2702">
        <v>0</v>
      </c>
      <c r="U2702" t="s">
        <v>41</v>
      </c>
      <c r="V2702" t="s">
        <v>42</v>
      </c>
      <c r="X2702" t="s">
        <v>74</v>
      </c>
      <c r="Y2702" t="b">
        <v>0</v>
      </c>
      <c r="Z2702" t="b">
        <v>0</v>
      </c>
      <c r="AC2702" s="1"/>
      <c r="AF2702">
        <v>0</v>
      </c>
      <c r="AG2702">
        <v>45</v>
      </c>
      <c r="AH2702">
        <v>24</v>
      </c>
      <c r="AI2702" s="2">
        <f>Table__192.168.3.138DYLAgingReport[[#This Row],[NetAmount]]-Table__192.168.3.138DYLAgingReport[[#This Row],[Paid]]</f>
        <v>56519</v>
      </c>
    </row>
    <row r="2703" spans="1:35">
      <c r="A2703" t="s">
        <v>5397</v>
      </c>
      <c r="B2703" s="1">
        <v>41295</v>
      </c>
      <c r="C2703" s="1">
        <v>41340</v>
      </c>
      <c r="D2703" t="s">
        <v>258</v>
      </c>
      <c r="E2703">
        <v>77200</v>
      </c>
      <c r="F2703">
        <v>12352</v>
      </c>
      <c r="G2703">
        <v>0</v>
      </c>
      <c r="H2703">
        <v>0</v>
      </c>
      <c r="I2703">
        <v>-25</v>
      </c>
      <c r="J2703">
        <v>89552</v>
      </c>
      <c r="K2703" t="s">
        <v>5398</v>
      </c>
      <c r="L2703" s="1">
        <v>41293</v>
      </c>
      <c r="N2703" t="s">
        <v>36</v>
      </c>
      <c r="O2703" t="s">
        <v>37</v>
      </c>
      <c r="P2703" t="s">
        <v>395</v>
      </c>
      <c r="Q2703" t="s">
        <v>5285</v>
      </c>
      <c r="R2703" t="s">
        <v>5286</v>
      </c>
      <c r="S2703">
        <v>0</v>
      </c>
      <c r="U2703" t="s">
        <v>41</v>
      </c>
      <c r="V2703" t="s">
        <v>42</v>
      </c>
      <c r="X2703" t="s">
        <v>74</v>
      </c>
      <c r="Y2703" t="b">
        <v>0</v>
      </c>
      <c r="Z2703" t="b">
        <v>0</v>
      </c>
      <c r="AC2703" s="1"/>
      <c r="AF2703">
        <v>0</v>
      </c>
      <c r="AG2703">
        <v>45</v>
      </c>
      <c r="AH2703">
        <v>20</v>
      </c>
      <c r="AI2703" s="2">
        <f>Table__192.168.3.138DYLAgingReport[[#This Row],[NetAmount]]-Table__192.168.3.138DYLAgingReport[[#This Row],[Paid]]</f>
        <v>89552</v>
      </c>
    </row>
    <row r="2704" spans="1:35">
      <c r="A2704" t="s">
        <v>5399</v>
      </c>
      <c r="B2704" s="1">
        <v>41296</v>
      </c>
      <c r="C2704" s="1">
        <v>41341</v>
      </c>
      <c r="D2704" t="s">
        <v>258</v>
      </c>
      <c r="E2704">
        <v>17050</v>
      </c>
      <c r="F2704">
        <v>2728</v>
      </c>
      <c r="G2704">
        <v>0</v>
      </c>
      <c r="H2704">
        <v>0</v>
      </c>
      <c r="I2704">
        <v>-28</v>
      </c>
      <c r="J2704">
        <v>19778</v>
      </c>
      <c r="K2704" t="s">
        <v>5400</v>
      </c>
      <c r="L2704" s="1">
        <v>41296</v>
      </c>
      <c r="N2704" t="s">
        <v>36</v>
      </c>
      <c r="O2704" t="s">
        <v>37</v>
      </c>
      <c r="P2704" t="s">
        <v>395</v>
      </c>
      <c r="Q2704" t="s">
        <v>5285</v>
      </c>
      <c r="R2704" t="s">
        <v>5286</v>
      </c>
      <c r="S2704">
        <v>0</v>
      </c>
      <c r="U2704" t="s">
        <v>41</v>
      </c>
      <c r="V2704" t="s">
        <v>42</v>
      </c>
      <c r="X2704" t="s">
        <v>74</v>
      </c>
      <c r="Y2704" t="b">
        <v>0</v>
      </c>
      <c r="Z2704" t="b">
        <v>0</v>
      </c>
      <c r="AC2704" s="1"/>
      <c r="AF2704">
        <v>0</v>
      </c>
      <c r="AG2704">
        <v>45</v>
      </c>
      <c r="AH2704">
        <v>17</v>
      </c>
      <c r="AI2704" s="2">
        <f>Table__192.168.3.138DYLAgingReport[[#This Row],[NetAmount]]-Table__192.168.3.138DYLAgingReport[[#This Row],[Paid]]</f>
        <v>19778</v>
      </c>
    </row>
    <row r="2705" spans="1:35">
      <c r="A2705" t="s">
        <v>5401</v>
      </c>
      <c r="B2705" s="1">
        <v>41305</v>
      </c>
      <c r="C2705" s="1">
        <v>41350</v>
      </c>
      <c r="D2705" t="s">
        <v>227</v>
      </c>
      <c r="E2705">
        <v>220000</v>
      </c>
      <c r="F2705">
        <v>35200</v>
      </c>
      <c r="G2705">
        <v>0</v>
      </c>
      <c r="H2705">
        <v>0</v>
      </c>
      <c r="I2705">
        <v>-37</v>
      </c>
      <c r="J2705">
        <v>255200</v>
      </c>
      <c r="K2705" t="s">
        <v>5402</v>
      </c>
      <c r="L2705" s="1">
        <v>41305</v>
      </c>
      <c r="N2705" t="s">
        <v>36</v>
      </c>
      <c r="O2705" t="s">
        <v>37</v>
      </c>
      <c r="P2705" t="s">
        <v>364</v>
      </c>
      <c r="Q2705" t="s">
        <v>5285</v>
      </c>
      <c r="R2705" t="s">
        <v>5286</v>
      </c>
      <c r="S2705">
        <v>0</v>
      </c>
      <c r="U2705" t="s">
        <v>41</v>
      </c>
      <c r="V2705" t="s">
        <v>42</v>
      </c>
      <c r="X2705" t="s">
        <v>74</v>
      </c>
      <c r="Y2705" t="b">
        <v>0</v>
      </c>
      <c r="Z2705" t="b">
        <v>0</v>
      </c>
      <c r="AC2705" s="1"/>
      <c r="AF2705">
        <v>0</v>
      </c>
      <c r="AG2705">
        <v>45</v>
      </c>
      <c r="AH2705">
        <v>8</v>
      </c>
      <c r="AI2705" s="2">
        <f>Table__192.168.3.138DYLAgingReport[[#This Row],[NetAmount]]-Table__192.168.3.138DYLAgingReport[[#This Row],[Paid]]</f>
        <v>255200</v>
      </c>
    </row>
    <row r="2706" spans="1:35">
      <c r="A2706" t="s">
        <v>5403</v>
      </c>
      <c r="B2706" s="1">
        <v>41305</v>
      </c>
      <c r="C2706" s="1">
        <v>41350</v>
      </c>
      <c r="D2706" t="s">
        <v>224</v>
      </c>
      <c r="E2706">
        <v>18387</v>
      </c>
      <c r="F2706">
        <v>2942</v>
      </c>
      <c r="G2706">
        <v>0</v>
      </c>
      <c r="H2706">
        <v>0</v>
      </c>
      <c r="I2706">
        <v>-30</v>
      </c>
      <c r="J2706">
        <v>21329</v>
      </c>
      <c r="K2706" t="s">
        <v>5404</v>
      </c>
      <c r="L2706" s="1">
        <v>41298</v>
      </c>
      <c r="N2706" t="s">
        <v>36</v>
      </c>
      <c r="O2706" t="s">
        <v>37</v>
      </c>
      <c r="P2706" t="s">
        <v>361</v>
      </c>
      <c r="Q2706" t="s">
        <v>5285</v>
      </c>
      <c r="R2706" t="s">
        <v>5286</v>
      </c>
      <c r="S2706">
        <v>0</v>
      </c>
      <c r="U2706" t="s">
        <v>41</v>
      </c>
      <c r="V2706" t="s">
        <v>42</v>
      </c>
      <c r="X2706" t="s">
        <v>74</v>
      </c>
      <c r="Y2706" t="b">
        <v>0</v>
      </c>
      <c r="Z2706" t="b">
        <v>0</v>
      </c>
      <c r="AC2706" s="1"/>
      <c r="AF2706">
        <v>0</v>
      </c>
      <c r="AG2706">
        <v>45</v>
      </c>
      <c r="AH2706">
        <v>15</v>
      </c>
      <c r="AI2706" s="2">
        <f>Table__192.168.3.138DYLAgingReport[[#This Row],[NetAmount]]-Table__192.168.3.138DYLAgingReport[[#This Row],[Paid]]</f>
        <v>21329</v>
      </c>
    </row>
    <row r="2707" spans="1:35">
      <c r="A2707" t="s">
        <v>5405</v>
      </c>
      <c r="B2707" s="1">
        <v>41305</v>
      </c>
      <c r="C2707" s="1">
        <v>41350</v>
      </c>
      <c r="D2707" t="s">
        <v>224</v>
      </c>
      <c r="E2707">
        <v>12747</v>
      </c>
      <c r="F2707">
        <v>2040</v>
      </c>
      <c r="G2707">
        <v>0</v>
      </c>
      <c r="H2707">
        <v>0</v>
      </c>
      <c r="I2707">
        <v>-30</v>
      </c>
      <c r="J2707">
        <v>14787</v>
      </c>
      <c r="K2707" t="s">
        <v>5406</v>
      </c>
      <c r="L2707" s="1">
        <v>41298</v>
      </c>
      <c r="N2707" t="s">
        <v>36</v>
      </c>
      <c r="O2707" t="s">
        <v>37</v>
      </c>
      <c r="P2707" t="s">
        <v>361</v>
      </c>
      <c r="Q2707" t="s">
        <v>5285</v>
      </c>
      <c r="R2707" t="s">
        <v>5286</v>
      </c>
      <c r="S2707">
        <v>0</v>
      </c>
      <c r="U2707" t="s">
        <v>41</v>
      </c>
      <c r="V2707" t="s">
        <v>42</v>
      </c>
      <c r="X2707" t="s">
        <v>74</v>
      </c>
      <c r="Y2707" t="b">
        <v>0</v>
      </c>
      <c r="Z2707" t="b">
        <v>0</v>
      </c>
      <c r="AC2707" s="1"/>
      <c r="AF2707">
        <v>0</v>
      </c>
      <c r="AG2707">
        <v>45</v>
      </c>
      <c r="AH2707">
        <v>15</v>
      </c>
      <c r="AI2707" s="2">
        <f>Table__192.168.3.138DYLAgingReport[[#This Row],[NetAmount]]-Table__192.168.3.138DYLAgingReport[[#This Row],[Paid]]</f>
        <v>14787</v>
      </c>
    </row>
    <row r="2708" spans="1:35">
      <c r="A2708" t="s">
        <v>5407</v>
      </c>
      <c r="B2708" s="1">
        <v>41305</v>
      </c>
      <c r="C2708" s="1">
        <v>41350</v>
      </c>
      <c r="D2708" t="s">
        <v>224</v>
      </c>
      <c r="E2708">
        <v>8790</v>
      </c>
      <c r="F2708">
        <v>1406</v>
      </c>
      <c r="G2708">
        <v>0</v>
      </c>
      <c r="H2708">
        <v>0</v>
      </c>
      <c r="I2708">
        <v>-30</v>
      </c>
      <c r="J2708">
        <v>10196</v>
      </c>
      <c r="K2708" t="s">
        <v>5408</v>
      </c>
      <c r="L2708" s="1">
        <v>41298</v>
      </c>
      <c r="N2708" t="s">
        <v>36</v>
      </c>
      <c r="O2708" t="s">
        <v>37</v>
      </c>
      <c r="P2708" t="s">
        <v>361</v>
      </c>
      <c r="Q2708" t="s">
        <v>5285</v>
      </c>
      <c r="R2708" t="s">
        <v>5286</v>
      </c>
      <c r="S2708">
        <v>0</v>
      </c>
      <c r="U2708" t="s">
        <v>41</v>
      </c>
      <c r="V2708" t="s">
        <v>42</v>
      </c>
      <c r="X2708" t="s">
        <v>74</v>
      </c>
      <c r="Y2708" t="b">
        <v>0</v>
      </c>
      <c r="Z2708" t="b">
        <v>0</v>
      </c>
      <c r="AC2708" s="1"/>
      <c r="AF2708">
        <v>0</v>
      </c>
      <c r="AG2708">
        <v>45</v>
      </c>
      <c r="AH2708">
        <v>15</v>
      </c>
      <c r="AI2708" s="2">
        <f>Table__192.168.3.138DYLAgingReport[[#This Row],[NetAmount]]-Table__192.168.3.138DYLAgingReport[[#This Row],[Paid]]</f>
        <v>10196</v>
      </c>
    </row>
    <row r="2709" spans="1:35">
      <c r="A2709" t="s">
        <v>5409</v>
      </c>
      <c r="B2709" s="1">
        <v>41304</v>
      </c>
      <c r="C2709" s="1">
        <v>41349</v>
      </c>
      <c r="D2709" t="s">
        <v>224</v>
      </c>
      <c r="E2709">
        <v>3080</v>
      </c>
      <c r="F2709">
        <v>493</v>
      </c>
      <c r="G2709">
        <v>0</v>
      </c>
      <c r="H2709">
        <v>0</v>
      </c>
      <c r="I2709">
        <v>-30</v>
      </c>
      <c r="J2709">
        <v>3573</v>
      </c>
      <c r="K2709" t="s">
        <v>5410</v>
      </c>
      <c r="L2709" s="1">
        <v>41298</v>
      </c>
      <c r="N2709" t="s">
        <v>36</v>
      </c>
      <c r="O2709" t="s">
        <v>37</v>
      </c>
      <c r="P2709" t="s">
        <v>361</v>
      </c>
      <c r="Q2709" t="s">
        <v>5285</v>
      </c>
      <c r="R2709" t="s">
        <v>5286</v>
      </c>
      <c r="S2709">
        <v>0</v>
      </c>
      <c r="U2709" t="s">
        <v>41</v>
      </c>
      <c r="V2709" t="s">
        <v>42</v>
      </c>
      <c r="X2709" t="s">
        <v>74</v>
      </c>
      <c r="Y2709" t="b">
        <v>0</v>
      </c>
      <c r="Z2709" t="b">
        <v>0</v>
      </c>
      <c r="AC2709" s="1"/>
      <c r="AF2709">
        <v>0</v>
      </c>
      <c r="AG2709">
        <v>45</v>
      </c>
      <c r="AH2709">
        <v>15</v>
      </c>
      <c r="AI2709" s="2">
        <f>Table__192.168.3.138DYLAgingReport[[#This Row],[NetAmount]]-Table__192.168.3.138DYLAgingReport[[#This Row],[Paid]]</f>
        <v>3573</v>
      </c>
    </row>
    <row r="2710" spans="1:35">
      <c r="A2710" t="s">
        <v>5411</v>
      </c>
      <c r="B2710" s="1">
        <v>41302</v>
      </c>
      <c r="C2710" s="1">
        <v>41347</v>
      </c>
      <c r="D2710" t="s">
        <v>211</v>
      </c>
      <c r="E2710">
        <v>6250</v>
      </c>
      <c r="F2710">
        <v>0</v>
      </c>
      <c r="G2710">
        <v>0</v>
      </c>
      <c r="H2710">
        <v>0</v>
      </c>
      <c r="I2710">
        <v>-37</v>
      </c>
      <c r="J2710">
        <v>6250</v>
      </c>
      <c r="K2710" t="s">
        <v>5412</v>
      </c>
      <c r="L2710" s="1">
        <v>41305</v>
      </c>
      <c r="N2710" t="s">
        <v>36</v>
      </c>
      <c r="O2710" t="s">
        <v>37</v>
      </c>
      <c r="P2710" t="s">
        <v>348</v>
      </c>
      <c r="Q2710" t="s">
        <v>5285</v>
      </c>
      <c r="R2710" t="s">
        <v>5286</v>
      </c>
      <c r="S2710">
        <v>0</v>
      </c>
      <c r="U2710" t="s">
        <v>41</v>
      </c>
      <c r="V2710" t="s">
        <v>42</v>
      </c>
      <c r="X2710" t="s">
        <v>74</v>
      </c>
      <c r="Y2710" t="b">
        <v>0</v>
      </c>
      <c r="Z2710" t="b">
        <v>0</v>
      </c>
      <c r="AC2710" s="1"/>
      <c r="AF2710">
        <v>0</v>
      </c>
      <c r="AG2710">
        <v>45</v>
      </c>
      <c r="AH2710">
        <v>8</v>
      </c>
      <c r="AI2710" s="2">
        <f>Table__192.168.3.138DYLAgingReport[[#This Row],[NetAmount]]-Table__192.168.3.138DYLAgingReport[[#This Row],[Paid]]</f>
        <v>6250</v>
      </c>
    </row>
    <row r="2711" spans="1:35">
      <c r="A2711" t="s">
        <v>5413</v>
      </c>
      <c r="B2711" s="1">
        <v>41302</v>
      </c>
      <c r="C2711" s="1">
        <v>41347</v>
      </c>
      <c r="D2711" t="s">
        <v>211</v>
      </c>
      <c r="E2711">
        <v>9585</v>
      </c>
      <c r="F2711">
        <v>0</v>
      </c>
      <c r="G2711">
        <v>0</v>
      </c>
      <c r="H2711">
        <v>0</v>
      </c>
      <c r="I2711">
        <v>-37</v>
      </c>
      <c r="J2711">
        <v>9585</v>
      </c>
      <c r="K2711" t="s">
        <v>5414</v>
      </c>
      <c r="L2711" s="1">
        <v>41305</v>
      </c>
      <c r="N2711" t="s">
        <v>36</v>
      </c>
      <c r="O2711" t="s">
        <v>37</v>
      </c>
      <c r="P2711" t="s">
        <v>348</v>
      </c>
      <c r="Q2711" t="s">
        <v>5285</v>
      </c>
      <c r="R2711" t="s">
        <v>5286</v>
      </c>
      <c r="S2711">
        <v>0</v>
      </c>
      <c r="U2711" t="s">
        <v>41</v>
      </c>
      <c r="V2711" t="s">
        <v>42</v>
      </c>
      <c r="X2711" t="s">
        <v>74</v>
      </c>
      <c r="Y2711" t="b">
        <v>0</v>
      </c>
      <c r="Z2711" t="b">
        <v>0</v>
      </c>
      <c r="AC2711" s="1"/>
      <c r="AF2711">
        <v>0</v>
      </c>
      <c r="AG2711">
        <v>45</v>
      </c>
      <c r="AH2711">
        <v>8</v>
      </c>
      <c r="AI2711" s="2">
        <f>Table__192.168.3.138DYLAgingReport[[#This Row],[NetAmount]]-Table__192.168.3.138DYLAgingReport[[#This Row],[Paid]]</f>
        <v>9585</v>
      </c>
    </row>
    <row r="2712" spans="1:35">
      <c r="A2712" t="s">
        <v>5415</v>
      </c>
      <c r="B2712" s="1">
        <v>41303</v>
      </c>
      <c r="C2712" s="1">
        <v>41348</v>
      </c>
      <c r="D2712" t="s">
        <v>292</v>
      </c>
      <c r="E2712">
        <v>75600</v>
      </c>
      <c r="F2712">
        <v>12096</v>
      </c>
      <c r="G2712">
        <v>0</v>
      </c>
      <c r="H2712">
        <v>0</v>
      </c>
      <c r="I2712">
        <v>-35</v>
      </c>
      <c r="J2712">
        <v>87696</v>
      </c>
      <c r="K2712" t="s">
        <v>5416</v>
      </c>
      <c r="L2712" s="1">
        <v>41303</v>
      </c>
      <c r="N2712" t="s">
        <v>36</v>
      </c>
      <c r="O2712" t="s">
        <v>37</v>
      </c>
      <c r="P2712" t="s">
        <v>429</v>
      </c>
      <c r="Q2712" t="s">
        <v>5285</v>
      </c>
      <c r="R2712" t="s">
        <v>5286</v>
      </c>
      <c r="S2712">
        <v>0</v>
      </c>
      <c r="U2712" t="s">
        <v>41</v>
      </c>
      <c r="V2712" t="s">
        <v>42</v>
      </c>
      <c r="X2712" t="s">
        <v>74</v>
      </c>
      <c r="Y2712" t="b">
        <v>0</v>
      </c>
      <c r="Z2712" t="b">
        <v>0</v>
      </c>
      <c r="AC2712" s="1"/>
      <c r="AF2712">
        <v>0</v>
      </c>
      <c r="AG2712">
        <v>45</v>
      </c>
      <c r="AH2712">
        <v>10</v>
      </c>
      <c r="AI2712" s="2">
        <f>Table__192.168.3.138DYLAgingReport[[#This Row],[NetAmount]]-Table__192.168.3.138DYLAgingReport[[#This Row],[Paid]]</f>
        <v>87696</v>
      </c>
    </row>
    <row r="2713" spans="1:35">
      <c r="A2713" t="s">
        <v>5417</v>
      </c>
      <c r="B2713" s="1">
        <v>41298</v>
      </c>
      <c r="C2713" s="1">
        <v>41343</v>
      </c>
      <c r="D2713" t="s">
        <v>289</v>
      </c>
      <c r="E2713">
        <v>116800</v>
      </c>
      <c r="F2713">
        <v>18688</v>
      </c>
      <c r="G2713">
        <v>0</v>
      </c>
      <c r="H2713">
        <v>0</v>
      </c>
      <c r="I2713">
        <v>-35</v>
      </c>
      <c r="J2713">
        <v>135488</v>
      </c>
      <c r="K2713" t="s">
        <v>5418</v>
      </c>
      <c r="L2713" s="1">
        <v>41303</v>
      </c>
      <c r="N2713" t="s">
        <v>36</v>
      </c>
      <c r="O2713" t="s">
        <v>37</v>
      </c>
      <c r="P2713" t="s">
        <v>426</v>
      </c>
      <c r="Q2713" t="s">
        <v>5285</v>
      </c>
      <c r="R2713" t="s">
        <v>5286</v>
      </c>
      <c r="S2713">
        <v>0</v>
      </c>
      <c r="U2713" t="s">
        <v>41</v>
      </c>
      <c r="V2713" t="s">
        <v>42</v>
      </c>
      <c r="X2713" t="s">
        <v>74</v>
      </c>
      <c r="Y2713" t="b">
        <v>0</v>
      </c>
      <c r="Z2713" t="b">
        <v>0</v>
      </c>
      <c r="AC2713" s="1"/>
      <c r="AF2713">
        <v>0</v>
      </c>
      <c r="AG2713">
        <v>45</v>
      </c>
      <c r="AH2713">
        <v>10</v>
      </c>
      <c r="AI2713" s="2">
        <f>Table__192.168.3.138DYLAgingReport[[#This Row],[NetAmount]]-Table__192.168.3.138DYLAgingReport[[#This Row],[Paid]]</f>
        <v>135488</v>
      </c>
    </row>
    <row r="2714" spans="1:35">
      <c r="A2714" t="s">
        <v>5419</v>
      </c>
      <c r="B2714" s="1">
        <v>41303</v>
      </c>
      <c r="C2714" s="1">
        <v>41348</v>
      </c>
      <c r="D2714" t="s">
        <v>293</v>
      </c>
      <c r="E2714">
        <v>680000</v>
      </c>
      <c r="F2714">
        <v>108800</v>
      </c>
      <c r="G2714">
        <v>0</v>
      </c>
      <c r="H2714">
        <v>0</v>
      </c>
      <c r="I2714">
        <v>-35</v>
      </c>
      <c r="J2714">
        <v>788800</v>
      </c>
      <c r="K2714" t="s">
        <v>5420</v>
      </c>
      <c r="L2714" s="1">
        <v>41303</v>
      </c>
      <c r="N2714" t="s">
        <v>36</v>
      </c>
      <c r="O2714" t="s">
        <v>37</v>
      </c>
      <c r="P2714" t="s">
        <v>430</v>
      </c>
      <c r="Q2714" t="s">
        <v>5285</v>
      </c>
      <c r="R2714" t="s">
        <v>5286</v>
      </c>
      <c r="S2714">
        <v>0</v>
      </c>
      <c r="U2714" t="s">
        <v>41</v>
      </c>
      <c r="V2714" t="s">
        <v>42</v>
      </c>
      <c r="X2714" t="s">
        <v>74</v>
      </c>
      <c r="Y2714" t="b">
        <v>0</v>
      </c>
      <c r="Z2714" t="b">
        <v>0</v>
      </c>
      <c r="AC2714" s="1"/>
      <c r="AF2714">
        <v>0</v>
      </c>
      <c r="AG2714">
        <v>45</v>
      </c>
      <c r="AH2714">
        <v>10</v>
      </c>
      <c r="AI2714" s="2">
        <f>Table__192.168.3.138DYLAgingReport[[#This Row],[NetAmount]]-Table__192.168.3.138DYLAgingReport[[#This Row],[Paid]]</f>
        <v>788800</v>
      </c>
    </row>
    <row r="2715" spans="1:35">
      <c r="A2715" t="s">
        <v>5421</v>
      </c>
      <c r="B2715" s="1">
        <v>41302</v>
      </c>
      <c r="C2715" s="1">
        <v>41347</v>
      </c>
      <c r="D2715" t="s">
        <v>225</v>
      </c>
      <c r="E2715">
        <v>26896</v>
      </c>
      <c r="F2715">
        <v>0</v>
      </c>
      <c r="G2715">
        <v>0</v>
      </c>
      <c r="H2715">
        <v>0</v>
      </c>
      <c r="I2715">
        <v>-28</v>
      </c>
      <c r="J2715">
        <v>26896</v>
      </c>
      <c r="K2715" t="s">
        <v>5422</v>
      </c>
      <c r="L2715" s="1">
        <v>41296</v>
      </c>
      <c r="N2715" t="s">
        <v>36</v>
      </c>
      <c r="O2715" t="s">
        <v>37</v>
      </c>
      <c r="P2715" t="s">
        <v>362</v>
      </c>
      <c r="Q2715" t="s">
        <v>5285</v>
      </c>
      <c r="R2715" t="s">
        <v>5286</v>
      </c>
      <c r="S2715">
        <v>0</v>
      </c>
      <c r="U2715" t="s">
        <v>41</v>
      </c>
      <c r="V2715" t="s">
        <v>42</v>
      </c>
      <c r="X2715" t="s">
        <v>74</v>
      </c>
      <c r="Y2715" t="b">
        <v>0</v>
      </c>
      <c r="Z2715" t="b">
        <v>0</v>
      </c>
      <c r="AC2715" s="1"/>
      <c r="AF2715">
        <v>0</v>
      </c>
      <c r="AG2715">
        <v>45</v>
      </c>
      <c r="AH2715">
        <v>17</v>
      </c>
      <c r="AI2715" s="2">
        <f>Table__192.168.3.138DYLAgingReport[[#This Row],[NetAmount]]-Table__192.168.3.138DYLAgingReport[[#This Row],[Paid]]</f>
        <v>26896</v>
      </c>
    </row>
    <row r="2716" spans="1:35">
      <c r="A2716" t="s">
        <v>5423</v>
      </c>
      <c r="B2716" s="1">
        <v>41305</v>
      </c>
      <c r="C2716" s="1">
        <v>41335</v>
      </c>
      <c r="D2716" t="s">
        <v>284</v>
      </c>
      <c r="E2716">
        <v>70250</v>
      </c>
      <c r="F2716">
        <v>0</v>
      </c>
      <c r="G2716">
        <v>0</v>
      </c>
      <c r="H2716">
        <v>0</v>
      </c>
      <c r="I2716">
        <v>-22</v>
      </c>
      <c r="J2716">
        <v>70250</v>
      </c>
      <c r="K2716" t="s">
        <v>3275</v>
      </c>
      <c r="L2716" s="1">
        <v>41305</v>
      </c>
      <c r="N2716" t="s">
        <v>36</v>
      </c>
      <c r="O2716" t="s">
        <v>37</v>
      </c>
      <c r="P2716" t="s">
        <v>421</v>
      </c>
      <c r="Q2716" t="s">
        <v>5285</v>
      </c>
      <c r="R2716" t="s">
        <v>5286</v>
      </c>
      <c r="S2716">
        <v>0</v>
      </c>
      <c r="U2716" t="s">
        <v>41</v>
      </c>
      <c r="V2716" t="s">
        <v>42</v>
      </c>
      <c r="X2716" t="s">
        <v>74</v>
      </c>
      <c r="Y2716" t="b">
        <v>0</v>
      </c>
      <c r="Z2716" t="b">
        <v>0</v>
      </c>
      <c r="AC2716" s="1"/>
      <c r="AF2716">
        <v>0</v>
      </c>
      <c r="AG2716">
        <v>30</v>
      </c>
      <c r="AH2716">
        <v>8</v>
      </c>
      <c r="AI2716" s="2">
        <f>Table__192.168.3.138DYLAgingReport[[#This Row],[NetAmount]]-Table__192.168.3.138DYLAgingReport[[#This Row],[Paid]]</f>
        <v>70250</v>
      </c>
    </row>
    <row r="2717" spans="1:35">
      <c r="A2717" t="s">
        <v>5424</v>
      </c>
      <c r="B2717" s="1">
        <v>41296</v>
      </c>
      <c r="C2717" s="1">
        <v>41341</v>
      </c>
      <c r="D2717" t="s">
        <v>197</v>
      </c>
      <c r="E2717">
        <v>245000</v>
      </c>
      <c r="F2717">
        <v>39200</v>
      </c>
      <c r="G2717">
        <v>0</v>
      </c>
      <c r="H2717">
        <v>0</v>
      </c>
      <c r="I2717">
        <v>-28</v>
      </c>
      <c r="J2717">
        <v>284200</v>
      </c>
      <c r="K2717" t="s">
        <v>5425</v>
      </c>
      <c r="L2717" s="1">
        <v>41296</v>
      </c>
      <c r="N2717" t="s">
        <v>36</v>
      </c>
      <c r="O2717" t="s">
        <v>37</v>
      </c>
      <c r="P2717" t="s">
        <v>334</v>
      </c>
      <c r="Q2717" t="s">
        <v>5285</v>
      </c>
      <c r="R2717" t="s">
        <v>5286</v>
      </c>
      <c r="S2717">
        <v>0</v>
      </c>
      <c r="U2717" t="s">
        <v>41</v>
      </c>
      <c r="V2717" t="s">
        <v>42</v>
      </c>
      <c r="X2717" t="s">
        <v>74</v>
      </c>
      <c r="Y2717" t="b">
        <v>0</v>
      </c>
      <c r="Z2717" t="b">
        <v>0</v>
      </c>
      <c r="AC2717" s="1"/>
      <c r="AF2717">
        <v>0</v>
      </c>
      <c r="AG2717">
        <v>45</v>
      </c>
      <c r="AH2717">
        <v>17</v>
      </c>
      <c r="AI2717" s="2">
        <f>Table__192.168.3.138DYLAgingReport[[#This Row],[NetAmount]]-Table__192.168.3.138DYLAgingReport[[#This Row],[Paid]]</f>
        <v>284200</v>
      </c>
    </row>
    <row r="2718" spans="1:35">
      <c r="A2718" t="s">
        <v>5426</v>
      </c>
      <c r="B2718" s="1">
        <v>41296</v>
      </c>
      <c r="C2718" s="1">
        <v>41341</v>
      </c>
      <c r="D2718" t="s">
        <v>197</v>
      </c>
      <c r="E2718">
        <v>1400000</v>
      </c>
      <c r="F2718">
        <v>224000</v>
      </c>
      <c r="G2718">
        <v>0</v>
      </c>
      <c r="H2718">
        <v>0</v>
      </c>
      <c r="I2718">
        <v>-29</v>
      </c>
      <c r="J2718">
        <v>1624000</v>
      </c>
      <c r="K2718" t="s">
        <v>5427</v>
      </c>
      <c r="L2718" s="1">
        <v>41297</v>
      </c>
      <c r="N2718" t="s">
        <v>36</v>
      </c>
      <c r="O2718" t="s">
        <v>37</v>
      </c>
      <c r="P2718" t="s">
        <v>334</v>
      </c>
      <c r="Q2718" t="s">
        <v>5285</v>
      </c>
      <c r="R2718" t="s">
        <v>5286</v>
      </c>
      <c r="S2718">
        <v>0</v>
      </c>
      <c r="U2718" t="s">
        <v>41</v>
      </c>
      <c r="V2718" t="s">
        <v>42</v>
      </c>
      <c r="X2718" t="s">
        <v>74</v>
      </c>
      <c r="Y2718" t="b">
        <v>0</v>
      </c>
      <c r="Z2718" t="b">
        <v>0</v>
      </c>
      <c r="AC2718" s="1"/>
      <c r="AF2718">
        <v>0</v>
      </c>
      <c r="AG2718">
        <v>45</v>
      </c>
      <c r="AH2718">
        <v>16</v>
      </c>
      <c r="AI2718" s="2">
        <f>Table__192.168.3.138DYLAgingReport[[#This Row],[NetAmount]]-Table__192.168.3.138DYLAgingReport[[#This Row],[Paid]]</f>
        <v>1624000</v>
      </c>
    </row>
    <row r="2719" spans="1:35">
      <c r="A2719" t="s">
        <v>5428</v>
      </c>
      <c r="B2719" s="1">
        <v>41303</v>
      </c>
      <c r="C2719" s="1">
        <v>41348</v>
      </c>
      <c r="D2719" t="s">
        <v>197</v>
      </c>
      <c r="E2719">
        <v>90000</v>
      </c>
      <c r="F2719">
        <v>14400</v>
      </c>
      <c r="G2719">
        <v>0</v>
      </c>
      <c r="H2719">
        <v>0</v>
      </c>
      <c r="I2719">
        <v>-36</v>
      </c>
      <c r="J2719">
        <v>104400</v>
      </c>
      <c r="K2719" t="s">
        <v>5429</v>
      </c>
      <c r="L2719" s="1">
        <v>41304</v>
      </c>
      <c r="N2719" t="s">
        <v>36</v>
      </c>
      <c r="O2719" t="s">
        <v>37</v>
      </c>
      <c r="P2719" t="s">
        <v>334</v>
      </c>
      <c r="Q2719" t="s">
        <v>5285</v>
      </c>
      <c r="R2719" t="s">
        <v>5286</v>
      </c>
      <c r="S2719">
        <v>0</v>
      </c>
      <c r="U2719" t="s">
        <v>41</v>
      </c>
      <c r="V2719" t="s">
        <v>42</v>
      </c>
      <c r="X2719" t="s">
        <v>74</v>
      </c>
      <c r="Y2719" t="b">
        <v>0</v>
      </c>
      <c r="Z2719" t="b">
        <v>0</v>
      </c>
      <c r="AC2719" s="1"/>
      <c r="AF2719">
        <v>0</v>
      </c>
      <c r="AG2719">
        <v>45</v>
      </c>
      <c r="AH2719">
        <v>9</v>
      </c>
      <c r="AI2719" s="2">
        <f>Table__192.168.3.138DYLAgingReport[[#This Row],[NetAmount]]-Table__192.168.3.138DYLAgingReport[[#This Row],[Paid]]</f>
        <v>104400</v>
      </c>
    </row>
    <row r="2720" spans="1:35">
      <c r="A2720" t="s">
        <v>5430</v>
      </c>
      <c r="B2720" s="1">
        <v>41303</v>
      </c>
      <c r="C2720" s="1">
        <v>41348</v>
      </c>
      <c r="D2720" t="s">
        <v>197</v>
      </c>
      <c r="E2720">
        <v>65000</v>
      </c>
      <c r="F2720">
        <v>10400</v>
      </c>
      <c r="G2720">
        <v>0</v>
      </c>
      <c r="H2720">
        <v>0</v>
      </c>
      <c r="I2720">
        <v>-36</v>
      </c>
      <c r="J2720">
        <v>75400</v>
      </c>
      <c r="K2720" t="s">
        <v>5431</v>
      </c>
      <c r="L2720" s="1">
        <v>41304</v>
      </c>
      <c r="N2720" t="s">
        <v>36</v>
      </c>
      <c r="O2720" t="s">
        <v>37</v>
      </c>
      <c r="P2720" t="s">
        <v>334</v>
      </c>
      <c r="Q2720" t="s">
        <v>5285</v>
      </c>
      <c r="R2720" t="s">
        <v>5286</v>
      </c>
      <c r="S2720">
        <v>0</v>
      </c>
      <c r="U2720" t="s">
        <v>41</v>
      </c>
      <c r="V2720" t="s">
        <v>42</v>
      </c>
      <c r="X2720" t="s">
        <v>74</v>
      </c>
      <c r="Y2720" t="b">
        <v>0</v>
      </c>
      <c r="Z2720" t="b">
        <v>0</v>
      </c>
      <c r="AC2720" s="1"/>
      <c r="AF2720">
        <v>0</v>
      </c>
      <c r="AG2720">
        <v>45</v>
      </c>
      <c r="AH2720">
        <v>9</v>
      </c>
      <c r="AI2720" s="2">
        <f>Table__192.168.3.138DYLAgingReport[[#This Row],[NetAmount]]-Table__192.168.3.138DYLAgingReport[[#This Row],[Paid]]</f>
        <v>75400</v>
      </c>
    </row>
    <row r="2721" spans="1:35">
      <c r="A2721" t="s">
        <v>5432</v>
      </c>
      <c r="B2721" s="1">
        <v>41303</v>
      </c>
      <c r="C2721" s="1">
        <v>41348</v>
      </c>
      <c r="D2721" t="s">
        <v>197</v>
      </c>
      <c r="E2721">
        <v>15000</v>
      </c>
      <c r="F2721">
        <v>2400</v>
      </c>
      <c r="G2721">
        <v>0</v>
      </c>
      <c r="H2721">
        <v>0</v>
      </c>
      <c r="I2721">
        <v>-36</v>
      </c>
      <c r="J2721">
        <v>17400</v>
      </c>
      <c r="K2721" t="s">
        <v>5433</v>
      </c>
      <c r="L2721" s="1">
        <v>41304</v>
      </c>
      <c r="N2721" t="s">
        <v>36</v>
      </c>
      <c r="O2721" t="s">
        <v>37</v>
      </c>
      <c r="P2721" t="s">
        <v>334</v>
      </c>
      <c r="Q2721" t="s">
        <v>5285</v>
      </c>
      <c r="R2721" t="s">
        <v>5286</v>
      </c>
      <c r="S2721">
        <v>0</v>
      </c>
      <c r="U2721" t="s">
        <v>41</v>
      </c>
      <c r="V2721" t="s">
        <v>42</v>
      </c>
      <c r="X2721" t="s">
        <v>74</v>
      </c>
      <c r="Y2721" t="b">
        <v>0</v>
      </c>
      <c r="Z2721" t="b">
        <v>0</v>
      </c>
      <c r="AC2721" s="1"/>
      <c r="AF2721">
        <v>0</v>
      </c>
      <c r="AG2721">
        <v>45</v>
      </c>
      <c r="AH2721">
        <v>9</v>
      </c>
      <c r="AI2721" s="2">
        <f>Table__192.168.3.138DYLAgingReport[[#This Row],[NetAmount]]-Table__192.168.3.138DYLAgingReport[[#This Row],[Paid]]</f>
        <v>17400</v>
      </c>
    </row>
    <row r="2722" spans="1:35">
      <c r="A2722" t="s">
        <v>5434</v>
      </c>
      <c r="B2722" s="1">
        <v>41303</v>
      </c>
      <c r="C2722" s="1">
        <v>41348</v>
      </c>
      <c r="D2722" t="s">
        <v>197</v>
      </c>
      <c r="E2722">
        <v>28000</v>
      </c>
      <c r="F2722">
        <v>4480</v>
      </c>
      <c r="G2722">
        <v>0</v>
      </c>
      <c r="H2722">
        <v>0</v>
      </c>
      <c r="I2722">
        <v>-36</v>
      </c>
      <c r="J2722">
        <v>32480</v>
      </c>
      <c r="K2722" t="s">
        <v>5435</v>
      </c>
      <c r="L2722" s="1">
        <v>41304</v>
      </c>
      <c r="N2722" t="s">
        <v>36</v>
      </c>
      <c r="O2722" t="s">
        <v>37</v>
      </c>
      <c r="P2722" t="s">
        <v>334</v>
      </c>
      <c r="Q2722" t="s">
        <v>5285</v>
      </c>
      <c r="R2722" t="s">
        <v>5286</v>
      </c>
      <c r="S2722">
        <v>0</v>
      </c>
      <c r="U2722" t="s">
        <v>41</v>
      </c>
      <c r="V2722" t="s">
        <v>42</v>
      </c>
      <c r="X2722" t="s">
        <v>74</v>
      </c>
      <c r="Y2722" t="b">
        <v>0</v>
      </c>
      <c r="Z2722" t="b">
        <v>0</v>
      </c>
      <c r="AC2722" s="1"/>
      <c r="AF2722">
        <v>0</v>
      </c>
      <c r="AG2722">
        <v>45</v>
      </c>
      <c r="AH2722">
        <v>9</v>
      </c>
      <c r="AI2722" s="2">
        <f>Table__192.168.3.138DYLAgingReport[[#This Row],[NetAmount]]-Table__192.168.3.138DYLAgingReport[[#This Row],[Paid]]</f>
        <v>32480</v>
      </c>
    </row>
    <row r="2723" spans="1:35">
      <c r="A2723" t="s">
        <v>5436</v>
      </c>
      <c r="B2723" s="1">
        <v>41303</v>
      </c>
      <c r="C2723" s="1">
        <v>41348</v>
      </c>
      <c r="D2723" t="s">
        <v>197</v>
      </c>
      <c r="E2723">
        <v>32500</v>
      </c>
      <c r="F2723">
        <v>5200</v>
      </c>
      <c r="G2723">
        <v>0</v>
      </c>
      <c r="H2723">
        <v>0</v>
      </c>
      <c r="I2723">
        <v>-36</v>
      </c>
      <c r="J2723">
        <v>37700</v>
      </c>
      <c r="K2723" t="s">
        <v>5437</v>
      </c>
      <c r="L2723" s="1">
        <v>41304</v>
      </c>
      <c r="N2723" t="s">
        <v>36</v>
      </c>
      <c r="O2723" t="s">
        <v>37</v>
      </c>
      <c r="P2723" t="s">
        <v>334</v>
      </c>
      <c r="Q2723" t="s">
        <v>5285</v>
      </c>
      <c r="R2723" t="s">
        <v>5286</v>
      </c>
      <c r="S2723">
        <v>0</v>
      </c>
      <c r="U2723" t="s">
        <v>41</v>
      </c>
      <c r="V2723" t="s">
        <v>42</v>
      </c>
      <c r="X2723" t="s">
        <v>74</v>
      </c>
      <c r="Y2723" t="b">
        <v>0</v>
      </c>
      <c r="Z2723" t="b">
        <v>0</v>
      </c>
      <c r="AC2723" s="1"/>
      <c r="AF2723">
        <v>0</v>
      </c>
      <c r="AG2723">
        <v>45</v>
      </c>
      <c r="AH2723">
        <v>9</v>
      </c>
      <c r="AI2723" s="2">
        <f>Table__192.168.3.138DYLAgingReport[[#This Row],[NetAmount]]-Table__192.168.3.138DYLAgingReport[[#This Row],[Paid]]</f>
        <v>37700</v>
      </c>
    </row>
    <row r="2724" spans="1:35">
      <c r="A2724" t="s">
        <v>5438</v>
      </c>
      <c r="B2724" s="1">
        <v>41305</v>
      </c>
      <c r="C2724" s="1">
        <v>41350</v>
      </c>
      <c r="D2724" t="s">
        <v>263</v>
      </c>
      <c r="E2724">
        <v>3249</v>
      </c>
      <c r="F2724">
        <v>520</v>
      </c>
      <c r="G2724">
        <v>0</v>
      </c>
      <c r="H2724">
        <v>0</v>
      </c>
      <c r="I2724">
        <v>-37</v>
      </c>
      <c r="J2724">
        <v>3769</v>
      </c>
      <c r="K2724" t="s">
        <v>5439</v>
      </c>
      <c r="L2724" s="1">
        <v>41305</v>
      </c>
      <c r="N2724" t="s">
        <v>36</v>
      </c>
      <c r="O2724" t="s">
        <v>37</v>
      </c>
      <c r="P2724" t="s">
        <v>400</v>
      </c>
      <c r="Q2724" t="s">
        <v>5285</v>
      </c>
      <c r="R2724" t="s">
        <v>5286</v>
      </c>
      <c r="S2724">
        <v>0</v>
      </c>
      <c r="U2724" t="s">
        <v>41</v>
      </c>
      <c r="V2724" t="s">
        <v>42</v>
      </c>
      <c r="X2724" t="s">
        <v>74</v>
      </c>
      <c r="Y2724" t="b">
        <v>0</v>
      </c>
      <c r="Z2724" t="b">
        <v>0</v>
      </c>
      <c r="AC2724" s="1"/>
      <c r="AF2724">
        <v>0</v>
      </c>
      <c r="AG2724">
        <v>45</v>
      </c>
      <c r="AH2724">
        <v>8</v>
      </c>
      <c r="AI2724" s="2">
        <f>Table__192.168.3.138DYLAgingReport[[#This Row],[NetAmount]]-Table__192.168.3.138DYLAgingReport[[#This Row],[Paid]]</f>
        <v>3769</v>
      </c>
    </row>
    <row r="2725" spans="1:35">
      <c r="A2725" t="s">
        <v>5440</v>
      </c>
      <c r="B2725" s="1">
        <v>41298</v>
      </c>
      <c r="C2725" s="1">
        <v>41343</v>
      </c>
      <c r="D2725" t="s">
        <v>170</v>
      </c>
      <c r="E2725">
        <v>198550</v>
      </c>
      <c r="F2725">
        <v>31768</v>
      </c>
      <c r="G2725">
        <v>0</v>
      </c>
      <c r="H2725">
        <v>0</v>
      </c>
      <c r="I2725">
        <v>-30</v>
      </c>
      <c r="J2725">
        <v>230318</v>
      </c>
      <c r="K2725" t="s">
        <v>5441</v>
      </c>
      <c r="L2725" s="1">
        <v>41298</v>
      </c>
      <c r="N2725" t="s">
        <v>36</v>
      </c>
      <c r="O2725" t="s">
        <v>37</v>
      </c>
      <c r="P2725" t="s">
        <v>307</v>
      </c>
      <c r="Q2725" t="s">
        <v>5285</v>
      </c>
      <c r="R2725" t="s">
        <v>5286</v>
      </c>
      <c r="S2725">
        <v>0</v>
      </c>
      <c r="U2725" t="s">
        <v>41</v>
      </c>
      <c r="V2725" t="s">
        <v>42</v>
      </c>
      <c r="X2725" t="s">
        <v>74</v>
      </c>
      <c r="Y2725" t="b">
        <v>0</v>
      </c>
      <c r="Z2725" t="b">
        <v>0</v>
      </c>
      <c r="AC2725" s="1"/>
      <c r="AF2725">
        <v>0</v>
      </c>
      <c r="AG2725">
        <v>45</v>
      </c>
      <c r="AH2725">
        <v>15</v>
      </c>
      <c r="AI2725" s="2">
        <f>Table__192.168.3.138DYLAgingReport[[#This Row],[NetAmount]]-Table__192.168.3.138DYLAgingReport[[#This Row],[Paid]]</f>
        <v>230318</v>
      </c>
    </row>
    <row r="2726" spans="1:35">
      <c r="A2726" t="s">
        <v>5442</v>
      </c>
      <c r="B2726" s="1">
        <v>41295</v>
      </c>
      <c r="C2726" s="1">
        <v>41340</v>
      </c>
      <c r="D2726" t="s">
        <v>232</v>
      </c>
      <c r="E2726">
        <v>879</v>
      </c>
      <c r="F2726">
        <v>141</v>
      </c>
      <c r="G2726">
        <v>0</v>
      </c>
      <c r="H2726">
        <v>0</v>
      </c>
      <c r="I2726">
        <v>-23</v>
      </c>
      <c r="J2726">
        <v>1020</v>
      </c>
      <c r="K2726" t="s">
        <v>5443</v>
      </c>
      <c r="L2726" s="1">
        <v>41291</v>
      </c>
      <c r="N2726" t="s">
        <v>36</v>
      </c>
      <c r="O2726" t="s">
        <v>37</v>
      </c>
      <c r="P2726" t="s">
        <v>369</v>
      </c>
      <c r="Q2726" t="s">
        <v>5285</v>
      </c>
      <c r="R2726" t="s">
        <v>5286</v>
      </c>
      <c r="S2726">
        <v>0</v>
      </c>
      <c r="U2726" t="s">
        <v>41</v>
      </c>
      <c r="V2726" t="s">
        <v>42</v>
      </c>
      <c r="X2726" t="s">
        <v>74</v>
      </c>
      <c r="Y2726" t="b">
        <v>0</v>
      </c>
      <c r="Z2726" t="b">
        <v>0</v>
      </c>
      <c r="AC2726" s="1"/>
      <c r="AF2726">
        <v>0</v>
      </c>
      <c r="AG2726">
        <v>45</v>
      </c>
      <c r="AH2726">
        <v>22</v>
      </c>
      <c r="AI2726" s="2">
        <f>Table__192.168.3.138DYLAgingReport[[#This Row],[NetAmount]]-Table__192.168.3.138DYLAgingReport[[#This Row],[Paid]]</f>
        <v>1020</v>
      </c>
    </row>
    <row r="2727" spans="1:35">
      <c r="A2727" t="s">
        <v>5444</v>
      </c>
      <c r="B2727" s="1">
        <v>41298</v>
      </c>
      <c r="C2727" s="1">
        <v>41343</v>
      </c>
      <c r="D2727" t="s">
        <v>180</v>
      </c>
      <c r="E2727">
        <v>70161</v>
      </c>
      <c r="F2727">
        <v>11226</v>
      </c>
      <c r="G2727">
        <v>0</v>
      </c>
      <c r="H2727">
        <v>0</v>
      </c>
      <c r="I2727">
        <v>-30</v>
      </c>
      <c r="J2727">
        <v>81387</v>
      </c>
      <c r="K2727" t="s">
        <v>5445</v>
      </c>
      <c r="L2727" s="1">
        <v>41298</v>
      </c>
      <c r="N2727" t="s">
        <v>36</v>
      </c>
      <c r="O2727" t="s">
        <v>37</v>
      </c>
      <c r="P2727" t="s">
        <v>317</v>
      </c>
      <c r="Q2727" t="s">
        <v>5285</v>
      </c>
      <c r="R2727" t="s">
        <v>5286</v>
      </c>
      <c r="S2727">
        <v>0</v>
      </c>
      <c r="U2727" t="s">
        <v>41</v>
      </c>
      <c r="V2727" t="s">
        <v>42</v>
      </c>
      <c r="X2727" t="s">
        <v>74</v>
      </c>
      <c r="Y2727" t="b">
        <v>0</v>
      </c>
      <c r="Z2727" t="b">
        <v>0</v>
      </c>
      <c r="AC2727" s="1"/>
      <c r="AF2727">
        <v>0</v>
      </c>
      <c r="AG2727">
        <v>45</v>
      </c>
      <c r="AH2727">
        <v>15</v>
      </c>
      <c r="AI2727" s="2">
        <f>Table__192.168.3.138DYLAgingReport[[#This Row],[NetAmount]]-Table__192.168.3.138DYLAgingReport[[#This Row],[Paid]]</f>
        <v>81387</v>
      </c>
    </row>
    <row r="2728" spans="1:35">
      <c r="A2728" t="s">
        <v>5446</v>
      </c>
      <c r="B2728" s="1">
        <v>41300</v>
      </c>
      <c r="C2728" s="1">
        <v>41345</v>
      </c>
      <c r="D2728" t="s">
        <v>214</v>
      </c>
      <c r="E2728">
        <v>2000</v>
      </c>
      <c r="F2728">
        <v>0</v>
      </c>
      <c r="G2728">
        <v>0</v>
      </c>
      <c r="H2728">
        <v>0</v>
      </c>
      <c r="I2728">
        <v>-30</v>
      </c>
      <c r="J2728">
        <v>2000</v>
      </c>
      <c r="K2728" t="s">
        <v>150</v>
      </c>
      <c r="L2728" s="1">
        <v>41298</v>
      </c>
      <c r="N2728" t="s">
        <v>36</v>
      </c>
      <c r="O2728" t="s">
        <v>37</v>
      </c>
      <c r="P2728" t="s">
        <v>351</v>
      </c>
      <c r="Q2728" t="s">
        <v>5285</v>
      </c>
      <c r="R2728" t="s">
        <v>5286</v>
      </c>
      <c r="S2728">
        <v>0</v>
      </c>
      <c r="U2728" t="s">
        <v>41</v>
      </c>
      <c r="V2728" t="s">
        <v>42</v>
      </c>
      <c r="X2728" t="s">
        <v>74</v>
      </c>
      <c r="Y2728" t="b">
        <v>0</v>
      </c>
      <c r="Z2728" t="b">
        <v>0</v>
      </c>
      <c r="AC2728" s="1"/>
      <c r="AF2728">
        <v>0</v>
      </c>
      <c r="AG2728">
        <v>45</v>
      </c>
      <c r="AH2728">
        <v>15</v>
      </c>
      <c r="AI2728" s="2">
        <f>Table__192.168.3.138DYLAgingReport[[#This Row],[NetAmount]]-Table__192.168.3.138DYLAgingReport[[#This Row],[Paid]]</f>
        <v>2000</v>
      </c>
    </row>
    <row r="2729" spans="1:35">
      <c r="A2729" t="s">
        <v>5447</v>
      </c>
      <c r="B2729" s="1">
        <v>41303</v>
      </c>
      <c r="C2729" s="1">
        <v>41348</v>
      </c>
      <c r="D2729" t="s">
        <v>259</v>
      </c>
      <c r="E2729">
        <v>3966</v>
      </c>
      <c r="F2729">
        <v>635</v>
      </c>
      <c r="G2729">
        <v>0</v>
      </c>
      <c r="H2729">
        <v>0</v>
      </c>
      <c r="I2729">
        <v>-32</v>
      </c>
      <c r="J2729">
        <v>4601</v>
      </c>
      <c r="K2729" t="s">
        <v>5448</v>
      </c>
      <c r="L2729" s="1">
        <v>41300</v>
      </c>
      <c r="N2729" t="s">
        <v>36</v>
      </c>
      <c r="O2729" t="s">
        <v>37</v>
      </c>
      <c r="P2729" t="s">
        <v>396</v>
      </c>
      <c r="Q2729" t="s">
        <v>5285</v>
      </c>
      <c r="R2729" t="s">
        <v>5286</v>
      </c>
      <c r="S2729">
        <v>0</v>
      </c>
      <c r="U2729" t="s">
        <v>41</v>
      </c>
      <c r="V2729" t="s">
        <v>42</v>
      </c>
      <c r="X2729" t="s">
        <v>74</v>
      </c>
      <c r="Y2729" t="b">
        <v>0</v>
      </c>
      <c r="Z2729" t="b">
        <v>0</v>
      </c>
      <c r="AC2729" s="1"/>
      <c r="AF2729">
        <v>0</v>
      </c>
      <c r="AG2729">
        <v>45</v>
      </c>
      <c r="AH2729">
        <v>13</v>
      </c>
      <c r="AI2729" s="2">
        <f>Table__192.168.3.138DYLAgingReport[[#This Row],[NetAmount]]-Table__192.168.3.138DYLAgingReport[[#This Row],[Paid]]</f>
        <v>4601</v>
      </c>
    </row>
    <row r="2730" spans="1:35">
      <c r="A2730" t="s">
        <v>5449</v>
      </c>
      <c r="B2730" s="1">
        <v>41297</v>
      </c>
      <c r="C2730" s="1">
        <v>41342</v>
      </c>
      <c r="D2730" t="s">
        <v>272</v>
      </c>
      <c r="E2730">
        <v>17500</v>
      </c>
      <c r="F2730">
        <v>2800</v>
      </c>
      <c r="G2730">
        <v>0</v>
      </c>
      <c r="H2730">
        <v>0</v>
      </c>
      <c r="I2730">
        <v>-27</v>
      </c>
      <c r="J2730">
        <v>20300</v>
      </c>
      <c r="K2730" t="s">
        <v>1236</v>
      </c>
      <c r="L2730" s="1">
        <v>41295</v>
      </c>
      <c r="N2730" t="s">
        <v>36</v>
      </c>
      <c r="O2730" t="s">
        <v>37</v>
      </c>
      <c r="P2730" t="s">
        <v>409</v>
      </c>
      <c r="Q2730" t="s">
        <v>5285</v>
      </c>
      <c r="R2730" t="s">
        <v>5286</v>
      </c>
      <c r="S2730">
        <v>0</v>
      </c>
      <c r="U2730" t="s">
        <v>41</v>
      </c>
      <c r="V2730" t="s">
        <v>42</v>
      </c>
      <c r="X2730" t="s">
        <v>74</v>
      </c>
      <c r="Y2730" t="b">
        <v>0</v>
      </c>
      <c r="Z2730" t="b">
        <v>0</v>
      </c>
      <c r="AC2730" s="1"/>
      <c r="AF2730">
        <v>0</v>
      </c>
      <c r="AG2730">
        <v>45</v>
      </c>
      <c r="AH2730">
        <v>18</v>
      </c>
      <c r="AI2730" s="2">
        <f>Table__192.168.3.138DYLAgingReport[[#This Row],[NetAmount]]-Table__192.168.3.138DYLAgingReport[[#This Row],[Paid]]</f>
        <v>20300</v>
      </c>
    </row>
    <row r="2731" spans="1:35">
      <c r="A2731" t="s">
        <v>5450</v>
      </c>
      <c r="B2731" s="1">
        <v>41305</v>
      </c>
      <c r="C2731" s="1">
        <v>41350</v>
      </c>
      <c r="D2731" t="s">
        <v>220</v>
      </c>
      <c r="E2731">
        <v>135350</v>
      </c>
      <c r="F2731">
        <v>21656</v>
      </c>
      <c r="G2731">
        <v>0</v>
      </c>
      <c r="H2731">
        <v>0</v>
      </c>
      <c r="I2731">
        <v>-37</v>
      </c>
      <c r="J2731">
        <v>157006</v>
      </c>
      <c r="K2731" t="s">
        <v>5451</v>
      </c>
      <c r="L2731" s="1">
        <v>41305</v>
      </c>
      <c r="N2731" t="s">
        <v>36</v>
      </c>
      <c r="O2731" t="s">
        <v>37</v>
      </c>
      <c r="P2731" t="s">
        <v>357</v>
      </c>
      <c r="Q2731" t="s">
        <v>5285</v>
      </c>
      <c r="R2731" t="s">
        <v>5286</v>
      </c>
      <c r="S2731">
        <v>0</v>
      </c>
      <c r="U2731" t="s">
        <v>41</v>
      </c>
      <c r="V2731" t="s">
        <v>42</v>
      </c>
      <c r="X2731" t="s">
        <v>74</v>
      </c>
      <c r="Y2731" t="b">
        <v>0</v>
      </c>
      <c r="Z2731" t="b">
        <v>0</v>
      </c>
      <c r="AC2731" s="1"/>
      <c r="AF2731">
        <v>0</v>
      </c>
      <c r="AG2731">
        <v>45</v>
      </c>
      <c r="AH2731">
        <v>8</v>
      </c>
      <c r="AI2731" s="2">
        <f>Table__192.168.3.138DYLAgingReport[[#This Row],[NetAmount]]-Table__192.168.3.138DYLAgingReport[[#This Row],[Paid]]</f>
        <v>157006</v>
      </c>
    </row>
    <row r="2732" spans="1:35">
      <c r="A2732" t="s">
        <v>5452</v>
      </c>
      <c r="B2732" s="1">
        <v>41305</v>
      </c>
      <c r="C2732" s="1">
        <v>41335</v>
      </c>
      <c r="D2732" t="s">
        <v>181</v>
      </c>
      <c r="E2732">
        <v>313200</v>
      </c>
      <c r="F2732">
        <v>50112</v>
      </c>
      <c r="G2732">
        <v>0</v>
      </c>
      <c r="H2732">
        <v>0</v>
      </c>
      <c r="I2732">
        <v>-18</v>
      </c>
      <c r="J2732">
        <v>363312</v>
      </c>
      <c r="K2732" t="s">
        <v>5453</v>
      </c>
      <c r="L2732" s="1">
        <v>41301</v>
      </c>
      <c r="N2732" t="s">
        <v>36</v>
      </c>
      <c r="O2732" t="s">
        <v>37</v>
      </c>
      <c r="P2732" t="s">
        <v>318</v>
      </c>
      <c r="Q2732" t="s">
        <v>5285</v>
      </c>
      <c r="R2732" t="s">
        <v>5286</v>
      </c>
      <c r="S2732">
        <v>0</v>
      </c>
      <c r="U2732" t="s">
        <v>41</v>
      </c>
      <c r="V2732" t="s">
        <v>42</v>
      </c>
      <c r="X2732" t="s">
        <v>74</v>
      </c>
      <c r="Y2732" t="b">
        <v>0</v>
      </c>
      <c r="Z2732" t="b">
        <v>0</v>
      </c>
      <c r="AC2732" s="1"/>
      <c r="AF2732">
        <v>0</v>
      </c>
      <c r="AG2732">
        <v>30</v>
      </c>
      <c r="AH2732">
        <v>12</v>
      </c>
      <c r="AI2732" s="2">
        <f>Table__192.168.3.138DYLAgingReport[[#This Row],[NetAmount]]-Table__192.168.3.138DYLAgingReport[[#This Row],[Paid]]</f>
        <v>363312</v>
      </c>
    </row>
    <row r="2733" spans="1:35">
      <c r="A2733" t="s">
        <v>5454</v>
      </c>
      <c r="B2733" s="1">
        <v>41305</v>
      </c>
      <c r="C2733" s="1">
        <v>41350</v>
      </c>
      <c r="D2733" t="s">
        <v>234</v>
      </c>
      <c r="E2733">
        <v>406148</v>
      </c>
      <c r="F2733">
        <v>64984</v>
      </c>
      <c r="G2733">
        <v>0</v>
      </c>
      <c r="H2733">
        <v>0</v>
      </c>
      <c r="I2733">
        <v>-37</v>
      </c>
      <c r="J2733">
        <v>471132</v>
      </c>
      <c r="K2733" t="s">
        <v>3898</v>
      </c>
      <c r="L2733" s="1">
        <v>41305</v>
      </c>
      <c r="N2733" t="s">
        <v>36</v>
      </c>
      <c r="O2733" t="s">
        <v>37</v>
      </c>
      <c r="P2733" t="s">
        <v>371</v>
      </c>
      <c r="Q2733" t="s">
        <v>5285</v>
      </c>
      <c r="R2733" t="s">
        <v>5286</v>
      </c>
      <c r="S2733">
        <v>0</v>
      </c>
      <c r="U2733" t="s">
        <v>41</v>
      </c>
      <c r="V2733" t="s">
        <v>42</v>
      </c>
      <c r="X2733" t="s">
        <v>74</v>
      </c>
      <c r="Y2733" t="b">
        <v>0</v>
      </c>
      <c r="Z2733" t="b">
        <v>0</v>
      </c>
      <c r="AC2733" s="1"/>
      <c r="AF2733">
        <v>0</v>
      </c>
      <c r="AG2733">
        <v>45</v>
      </c>
      <c r="AH2733">
        <v>8</v>
      </c>
      <c r="AI2733" s="2">
        <f>Table__192.168.3.138DYLAgingReport[[#This Row],[NetAmount]]-Table__192.168.3.138DYLAgingReport[[#This Row],[Paid]]</f>
        <v>471132</v>
      </c>
    </row>
    <row r="2734" spans="1:35">
      <c r="A2734" t="s">
        <v>5455</v>
      </c>
      <c r="B2734" s="1">
        <v>41298</v>
      </c>
      <c r="C2734" s="1">
        <v>41343</v>
      </c>
      <c r="D2734" t="s">
        <v>234</v>
      </c>
      <c r="E2734">
        <v>288904</v>
      </c>
      <c r="F2734">
        <v>46225</v>
      </c>
      <c r="G2734">
        <v>0</v>
      </c>
      <c r="H2734">
        <v>0</v>
      </c>
      <c r="I2734">
        <v>0</v>
      </c>
      <c r="J2734">
        <v>335129</v>
      </c>
      <c r="L2734" s="1"/>
      <c r="N2734" t="s">
        <v>36</v>
      </c>
      <c r="O2734" t="s">
        <v>37</v>
      </c>
      <c r="P2734" t="s">
        <v>371</v>
      </c>
      <c r="Q2734" t="s">
        <v>5285</v>
      </c>
      <c r="R2734" t="s">
        <v>5286</v>
      </c>
      <c r="S2734">
        <v>0</v>
      </c>
      <c r="U2734" t="s">
        <v>41</v>
      </c>
      <c r="V2734" t="s">
        <v>42</v>
      </c>
      <c r="X2734" t="s">
        <v>74</v>
      </c>
      <c r="Y2734" t="b">
        <v>0</v>
      </c>
      <c r="Z2734" t="b">
        <v>0</v>
      </c>
      <c r="AC2734" s="1"/>
      <c r="AF2734">
        <v>0</v>
      </c>
      <c r="AG2734">
        <v>45</v>
      </c>
      <c r="AI2734" s="2">
        <f>Table__192.168.3.138DYLAgingReport[[#This Row],[NetAmount]]-Table__192.168.3.138DYLAgingReport[[#This Row],[Paid]]</f>
        <v>335129</v>
      </c>
    </row>
    <row r="2735" spans="1:35">
      <c r="A2735" t="s">
        <v>5456</v>
      </c>
      <c r="B2735" s="1">
        <v>41298</v>
      </c>
      <c r="C2735" s="1">
        <v>41343</v>
      </c>
      <c r="D2735" t="s">
        <v>234</v>
      </c>
      <c r="E2735">
        <v>288904</v>
      </c>
      <c r="F2735">
        <v>46225</v>
      </c>
      <c r="G2735">
        <v>0</v>
      </c>
      <c r="H2735">
        <v>0</v>
      </c>
      <c r="I2735">
        <v>-30</v>
      </c>
      <c r="J2735">
        <v>335129</v>
      </c>
      <c r="K2735" t="s">
        <v>1729</v>
      </c>
      <c r="L2735" s="1">
        <v>41298</v>
      </c>
      <c r="N2735" t="s">
        <v>36</v>
      </c>
      <c r="O2735" t="s">
        <v>37</v>
      </c>
      <c r="P2735" t="s">
        <v>371</v>
      </c>
      <c r="Q2735" t="s">
        <v>5285</v>
      </c>
      <c r="R2735" t="s">
        <v>5286</v>
      </c>
      <c r="S2735">
        <v>0</v>
      </c>
      <c r="U2735" t="s">
        <v>41</v>
      </c>
      <c r="V2735" t="s">
        <v>42</v>
      </c>
      <c r="X2735" t="s">
        <v>74</v>
      </c>
      <c r="Y2735" t="b">
        <v>0</v>
      </c>
      <c r="Z2735" t="b">
        <v>0</v>
      </c>
      <c r="AC2735" s="1"/>
      <c r="AF2735">
        <v>0</v>
      </c>
      <c r="AG2735">
        <v>45</v>
      </c>
      <c r="AH2735">
        <v>15</v>
      </c>
      <c r="AI2735" s="2">
        <f>Table__192.168.3.138DYLAgingReport[[#This Row],[NetAmount]]-Table__192.168.3.138DYLAgingReport[[#This Row],[Paid]]</f>
        <v>335129</v>
      </c>
    </row>
  </sheetData>
  <hyperlinks>
    <hyperlink ref="AK1" location="INDEXP" display="Back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3"/>
  <dimension ref="A1:AL289"/>
  <sheetViews>
    <sheetView workbookViewId="0">
      <selection activeCell="AL1" sqref="AK1:AL1"/>
    </sheetView>
  </sheetViews>
  <sheetFormatPr defaultRowHeight="15"/>
  <cols>
    <col min="1" max="1" width="12.5703125" bestFit="1" customWidth="1"/>
    <col min="2" max="2" width="48" hidden="1" customWidth="1"/>
    <col min="3" max="3" width="24.140625" hidden="1" customWidth="1"/>
    <col min="4" max="5" width="14.5703125" hidden="1" customWidth="1"/>
    <col min="6" max="6" width="10.140625" hidden="1" customWidth="1"/>
    <col min="7" max="7" width="9.85546875" hidden="1" customWidth="1"/>
    <col min="8" max="8" width="11" hidden="1" customWidth="1"/>
    <col min="9" max="9" width="10.5703125" hidden="1" customWidth="1"/>
    <col min="10" max="10" width="12.140625" hidden="1" customWidth="1"/>
    <col min="11" max="11" width="13.7109375" bestFit="1" customWidth="1"/>
    <col min="12" max="12" width="18" hidden="1" customWidth="1"/>
    <col min="13" max="13" width="14.5703125" hidden="1" customWidth="1"/>
    <col min="14" max="14" width="21.140625" hidden="1" customWidth="1"/>
    <col min="15" max="15" width="8.7109375" hidden="1" customWidth="1"/>
    <col min="16" max="16" width="8.140625" hidden="1" customWidth="1"/>
    <col min="17" max="17" width="8.5703125" hidden="1" customWidth="1"/>
    <col min="18" max="18" width="18.85546875" hidden="1" customWidth="1"/>
    <col min="19" max="19" width="12.140625" hidden="1" customWidth="1"/>
    <col min="20" max="20" width="22.7109375" hidden="1" customWidth="1"/>
    <col min="21" max="21" width="10.28515625" hidden="1" customWidth="1"/>
    <col min="22" max="23" width="11.28515625" hidden="1" customWidth="1"/>
    <col min="24" max="24" width="11.5703125" hidden="1" customWidth="1"/>
    <col min="25" max="25" width="15.7109375" hidden="1" customWidth="1"/>
    <col min="26" max="26" width="10.28515625" hidden="1" customWidth="1"/>
    <col min="27" max="27" width="14.28515625" hidden="1" customWidth="1"/>
    <col min="28" max="28" width="23.140625" hidden="1" customWidth="1"/>
    <col min="29" max="29" width="14.5703125" hidden="1" customWidth="1"/>
    <col min="30" max="30" width="19.85546875" hidden="1" customWidth="1"/>
    <col min="31" max="31" width="26.85546875" hidden="1" customWidth="1"/>
    <col min="32" max="32" width="8" bestFit="1" customWidth="1"/>
    <col min="33" max="33" width="8.140625" hidden="1" customWidth="1"/>
    <col min="34" max="34" width="7.42578125" bestFit="1" customWidth="1"/>
    <col min="35" max="35" width="14.85546875" bestFit="1" customWidth="1"/>
  </cols>
  <sheetData>
    <row r="1" spans="1:38" ht="22.5">
      <c r="A1" t="s">
        <v>3</v>
      </c>
      <c r="B1" t="s">
        <v>15</v>
      </c>
      <c r="C1" s="12" t="s">
        <v>10781</v>
      </c>
      <c r="D1" t="s">
        <v>1</v>
      </c>
      <c r="E1" t="s">
        <v>2</v>
      </c>
      <c r="F1" t="s">
        <v>4</v>
      </c>
      <c r="G1" t="s">
        <v>5</v>
      </c>
      <c r="H1" t="s">
        <v>6</v>
      </c>
      <c r="I1" t="s">
        <v>7</v>
      </c>
      <c r="J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439</v>
      </c>
      <c r="AK1" s="13" t="s">
        <v>10761</v>
      </c>
      <c r="AL1" t="s">
        <v>10763</v>
      </c>
    </row>
    <row r="2" spans="1:38">
      <c r="A2" t="s">
        <v>5485</v>
      </c>
      <c r="B2" t="s">
        <v>5486</v>
      </c>
      <c r="C2" t="s">
        <v>5549</v>
      </c>
      <c r="D2" s="1">
        <v>40876</v>
      </c>
      <c r="E2" s="1">
        <v>40876</v>
      </c>
      <c r="F2">
        <v>-1419621</v>
      </c>
      <c r="G2">
        <v>0</v>
      </c>
      <c r="H2">
        <v>0</v>
      </c>
      <c r="I2">
        <v>0</v>
      </c>
      <c r="J2">
        <v>0</v>
      </c>
      <c r="K2">
        <v>-1419621</v>
      </c>
      <c r="M2" s="1"/>
      <c r="O2" t="s">
        <v>36</v>
      </c>
      <c r="P2" t="s">
        <v>37</v>
      </c>
      <c r="Q2" t="s">
        <v>39</v>
      </c>
      <c r="R2" t="s">
        <v>40</v>
      </c>
      <c r="S2">
        <v>0</v>
      </c>
      <c r="U2" t="s">
        <v>5550</v>
      </c>
      <c r="V2" t="s">
        <v>1797</v>
      </c>
      <c r="X2" t="s">
        <v>43</v>
      </c>
      <c r="Y2" t="b">
        <v>0</v>
      </c>
      <c r="Z2" t="b">
        <v>0</v>
      </c>
      <c r="AB2" t="s">
        <v>5551</v>
      </c>
      <c r="AC2" s="1">
        <v>40892</v>
      </c>
      <c r="AE2" t="s">
        <v>5552</v>
      </c>
      <c r="AF2">
        <v>0</v>
      </c>
      <c r="AG2">
        <v>45</v>
      </c>
      <c r="AI2" s="2">
        <f>Table__192.168.3.138DYLGSMetaData[[#This Row],[NetAmount]]-Table__192.168.3.138DYLGSMetaData[[#This Row],[Paid]]</f>
        <v>-1419621</v>
      </c>
    </row>
    <row r="3" spans="1:38">
      <c r="A3" t="s">
        <v>5485</v>
      </c>
      <c r="B3" t="s">
        <v>5486</v>
      </c>
      <c r="C3" t="s">
        <v>5553</v>
      </c>
      <c r="D3" s="1">
        <v>40876</v>
      </c>
      <c r="E3" s="1">
        <v>40876</v>
      </c>
      <c r="F3">
        <v>-400000</v>
      </c>
      <c r="G3">
        <v>0</v>
      </c>
      <c r="H3">
        <v>0</v>
      </c>
      <c r="I3">
        <v>0</v>
      </c>
      <c r="J3">
        <v>0</v>
      </c>
      <c r="K3">
        <v>-400000</v>
      </c>
      <c r="M3" s="1"/>
      <c r="O3" t="s">
        <v>36</v>
      </c>
      <c r="P3" t="s">
        <v>37</v>
      </c>
      <c r="Q3" t="s">
        <v>39</v>
      </c>
      <c r="R3" t="s">
        <v>40</v>
      </c>
      <c r="S3">
        <v>0</v>
      </c>
      <c r="U3" t="s">
        <v>5550</v>
      </c>
      <c r="V3" t="s">
        <v>1797</v>
      </c>
      <c r="X3" t="s">
        <v>43</v>
      </c>
      <c r="Y3" t="b">
        <v>0</v>
      </c>
      <c r="Z3" t="b">
        <v>0</v>
      </c>
      <c r="AB3" t="s">
        <v>5551</v>
      </c>
      <c r="AC3" s="1">
        <v>40892</v>
      </c>
      <c r="AE3" t="s">
        <v>5552</v>
      </c>
      <c r="AF3">
        <v>0</v>
      </c>
      <c r="AG3">
        <v>45</v>
      </c>
      <c r="AI3" s="2">
        <f>Table__192.168.3.138DYLGSMetaData[[#This Row],[NetAmount]]-Table__192.168.3.138DYLGSMetaData[[#This Row],[Paid]]</f>
        <v>-400000</v>
      </c>
    </row>
    <row r="4" spans="1:38" hidden="1">
      <c r="A4" t="s">
        <v>5485</v>
      </c>
      <c r="B4" t="s">
        <v>5486</v>
      </c>
      <c r="C4" t="s">
        <v>5554</v>
      </c>
      <c r="D4" s="1">
        <v>41029</v>
      </c>
      <c r="E4" s="1">
        <v>41029</v>
      </c>
      <c r="F4">
        <v>-1555906</v>
      </c>
      <c r="G4">
        <v>0</v>
      </c>
      <c r="H4">
        <v>0</v>
      </c>
      <c r="I4">
        <v>0</v>
      </c>
      <c r="J4">
        <v>0</v>
      </c>
      <c r="K4">
        <v>-1555906</v>
      </c>
      <c r="M4" s="1"/>
      <c r="O4" t="s">
        <v>36</v>
      </c>
      <c r="P4" t="s">
        <v>37</v>
      </c>
      <c r="Q4" t="s">
        <v>39</v>
      </c>
      <c r="R4" t="s">
        <v>40</v>
      </c>
      <c r="S4">
        <v>0</v>
      </c>
      <c r="U4" t="s">
        <v>5550</v>
      </c>
      <c r="V4" t="s">
        <v>1797</v>
      </c>
      <c r="X4" t="s">
        <v>43</v>
      </c>
      <c r="Y4" t="b">
        <v>0</v>
      </c>
      <c r="Z4" t="b">
        <v>0</v>
      </c>
      <c r="AC4" s="1"/>
      <c r="AF4">
        <v>0</v>
      </c>
      <c r="AG4">
        <v>45</v>
      </c>
      <c r="AI4" s="2">
        <f>Table__192.168.3.138DYLGSMetaData[[#This Row],[NetAmount]]-Table__192.168.3.138DYLGSMetaData[[#This Row],[Paid]]</f>
        <v>-1555906</v>
      </c>
    </row>
    <row r="5" spans="1:38" hidden="1">
      <c r="A5" t="s">
        <v>5485</v>
      </c>
      <c r="B5" t="s">
        <v>5486</v>
      </c>
      <c r="C5" t="s">
        <v>5555</v>
      </c>
      <c r="D5" s="1">
        <v>41029</v>
      </c>
      <c r="E5" s="1">
        <v>41029</v>
      </c>
      <c r="F5">
        <v>-400000</v>
      </c>
      <c r="G5">
        <v>0</v>
      </c>
      <c r="H5">
        <v>0</v>
      </c>
      <c r="I5">
        <v>0</v>
      </c>
      <c r="J5">
        <v>0</v>
      </c>
      <c r="K5">
        <v>-400000</v>
      </c>
      <c r="M5" s="1"/>
      <c r="O5" t="s">
        <v>36</v>
      </c>
      <c r="P5" t="s">
        <v>37</v>
      </c>
      <c r="Q5" t="s">
        <v>39</v>
      </c>
      <c r="R5" t="s">
        <v>40</v>
      </c>
      <c r="S5">
        <v>0</v>
      </c>
      <c r="U5" t="s">
        <v>5550</v>
      </c>
      <c r="V5" t="s">
        <v>1797</v>
      </c>
      <c r="X5" t="s">
        <v>43</v>
      </c>
      <c r="Y5" t="b">
        <v>0</v>
      </c>
      <c r="Z5" t="b">
        <v>0</v>
      </c>
      <c r="AC5" s="1"/>
      <c r="AF5">
        <v>0</v>
      </c>
      <c r="AG5">
        <v>45</v>
      </c>
      <c r="AI5" s="2">
        <f>Table__192.168.3.138DYLGSMetaData[[#This Row],[NetAmount]]-Table__192.168.3.138DYLGSMetaData[[#This Row],[Paid]]</f>
        <v>-400000</v>
      </c>
    </row>
    <row r="6" spans="1:38" hidden="1">
      <c r="A6" t="s">
        <v>5485</v>
      </c>
      <c r="B6" t="s">
        <v>5486</v>
      </c>
      <c r="C6" t="s">
        <v>5556</v>
      </c>
      <c r="D6" s="1">
        <v>41273</v>
      </c>
      <c r="E6" s="1">
        <v>41273</v>
      </c>
      <c r="F6">
        <v>-1651562</v>
      </c>
      <c r="G6">
        <v>0</v>
      </c>
      <c r="H6">
        <v>0</v>
      </c>
      <c r="I6">
        <v>0</v>
      </c>
      <c r="J6">
        <v>0</v>
      </c>
      <c r="K6">
        <v>-1651562</v>
      </c>
      <c r="M6" s="1"/>
      <c r="O6" t="s">
        <v>36</v>
      </c>
      <c r="P6" t="s">
        <v>37</v>
      </c>
      <c r="Q6" t="s">
        <v>39</v>
      </c>
      <c r="R6" t="s">
        <v>40</v>
      </c>
      <c r="S6">
        <v>0</v>
      </c>
      <c r="U6" t="s">
        <v>5550</v>
      </c>
      <c r="V6" t="s">
        <v>1797</v>
      </c>
      <c r="X6" t="s">
        <v>43</v>
      </c>
      <c r="Y6" t="b">
        <v>0</v>
      </c>
      <c r="Z6" t="b">
        <v>0</v>
      </c>
      <c r="AB6" t="s">
        <v>5557</v>
      </c>
      <c r="AC6" s="1">
        <v>41278</v>
      </c>
      <c r="AE6" t="s">
        <v>5558</v>
      </c>
      <c r="AF6">
        <v>0</v>
      </c>
      <c r="AG6">
        <v>45</v>
      </c>
      <c r="AI6" s="2">
        <f>Table__192.168.3.138DYLGSMetaData[[#This Row],[NetAmount]]-Table__192.168.3.138DYLGSMetaData[[#This Row],[Paid]]</f>
        <v>-1651562</v>
      </c>
    </row>
    <row r="7" spans="1:38" hidden="1">
      <c r="A7" t="s">
        <v>5485</v>
      </c>
      <c r="B7" t="s">
        <v>5486</v>
      </c>
      <c r="C7" t="s">
        <v>5559</v>
      </c>
      <c r="D7" s="1">
        <v>41274</v>
      </c>
      <c r="E7" s="1">
        <v>41274</v>
      </c>
      <c r="F7">
        <v>-1656956</v>
      </c>
      <c r="G7">
        <v>0</v>
      </c>
      <c r="H7">
        <v>0</v>
      </c>
      <c r="I7">
        <v>0</v>
      </c>
      <c r="J7">
        <v>0</v>
      </c>
      <c r="K7">
        <v>-1656956</v>
      </c>
      <c r="M7" s="1"/>
      <c r="O7" t="s">
        <v>36</v>
      </c>
      <c r="P7" t="s">
        <v>37</v>
      </c>
      <c r="Q7" t="s">
        <v>39</v>
      </c>
      <c r="R7" t="s">
        <v>40</v>
      </c>
      <c r="S7">
        <v>0</v>
      </c>
      <c r="U7" t="s">
        <v>5550</v>
      </c>
      <c r="V7" t="s">
        <v>1797</v>
      </c>
      <c r="X7" t="s">
        <v>43</v>
      </c>
      <c r="Y7" t="b">
        <v>0</v>
      </c>
      <c r="Z7" t="b">
        <v>0</v>
      </c>
      <c r="AB7" t="s">
        <v>5560</v>
      </c>
      <c r="AC7" s="1">
        <v>41305</v>
      </c>
      <c r="AF7">
        <v>0</v>
      </c>
      <c r="AG7">
        <v>45</v>
      </c>
      <c r="AI7" s="2">
        <f>Table__192.168.3.138DYLGSMetaData[[#This Row],[NetAmount]]-Table__192.168.3.138DYLGSMetaData[[#This Row],[Paid]]</f>
        <v>-1656956</v>
      </c>
    </row>
    <row r="8" spans="1:38" hidden="1">
      <c r="A8" t="s">
        <v>5485</v>
      </c>
      <c r="B8" t="s">
        <v>5486</v>
      </c>
      <c r="C8" t="s">
        <v>5561</v>
      </c>
      <c r="D8" s="1">
        <v>41286</v>
      </c>
      <c r="E8" s="1">
        <v>41255</v>
      </c>
      <c r="F8">
        <v>-1656956</v>
      </c>
      <c r="G8">
        <v>0</v>
      </c>
      <c r="H8">
        <v>0</v>
      </c>
      <c r="I8">
        <v>0</v>
      </c>
      <c r="J8">
        <v>0</v>
      </c>
      <c r="K8">
        <v>-1656956</v>
      </c>
      <c r="M8" s="1"/>
      <c r="O8" t="s">
        <v>36</v>
      </c>
      <c r="P8" t="s">
        <v>37</v>
      </c>
      <c r="Q8" t="s">
        <v>39</v>
      </c>
      <c r="R8" t="s">
        <v>40</v>
      </c>
      <c r="S8">
        <v>0</v>
      </c>
      <c r="U8" t="s">
        <v>5550</v>
      </c>
      <c r="V8" t="s">
        <v>1797</v>
      </c>
      <c r="X8" t="s">
        <v>43</v>
      </c>
      <c r="Y8" t="b">
        <v>0</v>
      </c>
      <c r="Z8" t="b">
        <v>0</v>
      </c>
      <c r="AB8" t="s">
        <v>5560</v>
      </c>
      <c r="AC8" s="1">
        <v>41305</v>
      </c>
      <c r="AF8">
        <v>0</v>
      </c>
      <c r="AG8">
        <v>45</v>
      </c>
      <c r="AI8" s="2">
        <f>Table__192.168.3.138DYLGSMetaData[[#This Row],[NetAmount]]-Table__192.168.3.138DYLGSMetaData[[#This Row],[Paid]]</f>
        <v>-1656956</v>
      </c>
    </row>
    <row r="9" spans="1:38" hidden="1">
      <c r="A9" t="s">
        <v>5497</v>
      </c>
      <c r="B9" t="s">
        <v>5498</v>
      </c>
      <c r="C9" t="s">
        <v>5562</v>
      </c>
      <c r="D9" s="1">
        <v>40747</v>
      </c>
      <c r="E9" s="1">
        <v>40777</v>
      </c>
      <c r="F9">
        <v>12202</v>
      </c>
      <c r="G9">
        <v>408</v>
      </c>
      <c r="H9">
        <v>0</v>
      </c>
      <c r="I9">
        <v>0</v>
      </c>
      <c r="J9">
        <v>538</v>
      </c>
      <c r="K9">
        <v>12610</v>
      </c>
      <c r="L9" t="s">
        <v>5563</v>
      </c>
      <c r="M9" s="1">
        <v>40730</v>
      </c>
      <c r="O9" t="s">
        <v>36</v>
      </c>
      <c r="P9" t="s">
        <v>37</v>
      </c>
      <c r="Q9" t="s">
        <v>39</v>
      </c>
      <c r="R9" t="s">
        <v>40</v>
      </c>
      <c r="S9">
        <v>0</v>
      </c>
      <c r="U9" t="s">
        <v>5550</v>
      </c>
      <c r="V9" t="s">
        <v>1797</v>
      </c>
      <c r="X9" t="s">
        <v>74</v>
      </c>
      <c r="Y9" t="b">
        <v>0</v>
      </c>
      <c r="Z9" t="b">
        <v>0</v>
      </c>
      <c r="AC9" s="1"/>
      <c r="AF9">
        <v>0</v>
      </c>
      <c r="AG9">
        <v>45</v>
      </c>
      <c r="AH9">
        <v>583</v>
      </c>
      <c r="AI9" s="2">
        <f>Table__192.168.3.138DYLGSMetaData[[#This Row],[NetAmount]]-Table__192.168.3.138DYLGSMetaData[[#This Row],[Paid]]</f>
        <v>12610</v>
      </c>
    </row>
    <row r="10" spans="1:38" hidden="1">
      <c r="A10" t="s">
        <v>5485</v>
      </c>
      <c r="B10" t="s">
        <v>5486</v>
      </c>
      <c r="C10" t="s">
        <v>5564</v>
      </c>
      <c r="D10" s="1">
        <v>40754</v>
      </c>
      <c r="E10" s="1">
        <v>40784</v>
      </c>
      <c r="F10">
        <v>706789</v>
      </c>
      <c r="G10">
        <v>0</v>
      </c>
      <c r="H10">
        <v>0</v>
      </c>
      <c r="I10">
        <v>0</v>
      </c>
      <c r="J10">
        <v>543</v>
      </c>
      <c r="K10">
        <v>706789</v>
      </c>
      <c r="L10" t="s">
        <v>5565</v>
      </c>
      <c r="M10" s="1">
        <v>40725</v>
      </c>
      <c r="O10" t="s">
        <v>36</v>
      </c>
      <c r="P10" t="s">
        <v>37</v>
      </c>
      <c r="Q10" t="s">
        <v>39</v>
      </c>
      <c r="R10" t="s">
        <v>40</v>
      </c>
      <c r="S10">
        <v>0</v>
      </c>
      <c r="U10" t="s">
        <v>5550</v>
      </c>
      <c r="V10" t="s">
        <v>1797</v>
      </c>
      <c r="X10" t="s">
        <v>74</v>
      </c>
      <c r="Y10" t="b">
        <v>0</v>
      </c>
      <c r="Z10" t="b">
        <v>0</v>
      </c>
      <c r="AB10" t="s">
        <v>5566</v>
      </c>
      <c r="AC10" s="1">
        <v>40777</v>
      </c>
      <c r="AD10" t="s">
        <v>5567</v>
      </c>
      <c r="AE10" t="s">
        <v>5568</v>
      </c>
      <c r="AF10">
        <v>86463</v>
      </c>
      <c r="AG10">
        <v>45</v>
      </c>
      <c r="AH10">
        <v>588</v>
      </c>
      <c r="AI10" s="2">
        <f>Table__192.168.3.138DYLGSMetaData[[#This Row],[NetAmount]]-Table__192.168.3.138DYLGSMetaData[[#This Row],[Paid]]</f>
        <v>620326</v>
      </c>
    </row>
    <row r="11" spans="1:38" hidden="1">
      <c r="A11" t="s">
        <v>5570</v>
      </c>
      <c r="B11" t="s">
        <v>5536</v>
      </c>
      <c r="C11" t="s">
        <v>5569</v>
      </c>
      <c r="D11" s="1">
        <v>40760</v>
      </c>
      <c r="E11" s="1">
        <v>40790</v>
      </c>
      <c r="F11">
        <v>42369</v>
      </c>
      <c r="G11">
        <v>6779</v>
      </c>
      <c r="H11">
        <v>0</v>
      </c>
      <c r="I11">
        <v>0</v>
      </c>
      <c r="J11">
        <v>514</v>
      </c>
      <c r="K11">
        <v>49148</v>
      </c>
      <c r="L11" t="s">
        <v>5571</v>
      </c>
      <c r="M11" s="1">
        <v>40754</v>
      </c>
      <c r="O11" t="s">
        <v>36</v>
      </c>
      <c r="P11" t="s">
        <v>37</v>
      </c>
      <c r="Q11" t="s">
        <v>39</v>
      </c>
      <c r="R11" t="s">
        <v>40</v>
      </c>
      <c r="S11">
        <v>0</v>
      </c>
      <c r="U11" t="s">
        <v>5550</v>
      </c>
      <c r="V11" t="s">
        <v>1797</v>
      </c>
      <c r="X11" t="s">
        <v>74</v>
      </c>
      <c r="Y11" t="b">
        <v>0</v>
      </c>
      <c r="Z11" t="b">
        <v>0</v>
      </c>
      <c r="AC11" s="1"/>
      <c r="AF11">
        <v>0</v>
      </c>
      <c r="AG11">
        <v>45</v>
      </c>
      <c r="AH11">
        <v>559</v>
      </c>
      <c r="AI11" s="2">
        <f>Table__192.168.3.138DYLGSMetaData[[#This Row],[NetAmount]]-Table__192.168.3.138DYLGSMetaData[[#This Row],[Paid]]</f>
        <v>49148</v>
      </c>
    </row>
    <row r="12" spans="1:38" hidden="1">
      <c r="A12" t="s">
        <v>5485</v>
      </c>
      <c r="B12" t="s">
        <v>5486</v>
      </c>
      <c r="C12" t="s">
        <v>5572</v>
      </c>
      <c r="D12" s="1">
        <v>40781</v>
      </c>
      <c r="E12" s="1">
        <v>40811</v>
      </c>
      <c r="F12">
        <v>1091268</v>
      </c>
      <c r="G12">
        <v>0</v>
      </c>
      <c r="H12">
        <v>0</v>
      </c>
      <c r="I12">
        <v>0</v>
      </c>
      <c r="J12">
        <v>498</v>
      </c>
      <c r="K12">
        <v>1091268</v>
      </c>
      <c r="L12" t="s">
        <v>5573</v>
      </c>
      <c r="M12" s="1">
        <v>40770</v>
      </c>
      <c r="O12" t="s">
        <v>36</v>
      </c>
      <c r="P12" t="s">
        <v>37</v>
      </c>
      <c r="Q12" t="s">
        <v>39</v>
      </c>
      <c r="R12" t="s">
        <v>40</v>
      </c>
      <c r="S12">
        <v>0</v>
      </c>
      <c r="U12" t="s">
        <v>5550</v>
      </c>
      <c r="V12" t="s">
        <v>1797</v>
      </c>
      <c r="X12" t="s">
        <v>74</v>
      </c>
      <c r="Y12" t="b">
        <v>0</v>
      </c>
      <c r="Z12" t="b">
        <v>0</v>
      </c>
      <c r="AB12" t="s">
        <v>5574</v>
      </c>
      <c r="AC12" s="1">
        <v>40858</v>
      </c>
      <c r="AD12" t="s">
        <v>5575</v>
      </c>
      <c r="AE12" t="s">
        <v>5576</v>
      </c>
      <c r="AF12">
        <v>1003923</v>
      </c>
      <c r="AG12">
        <v>45</v>
      </c>
      <c r="AH12">
        <v>543</v>
      </c>
      <c r="AI12" s="2">
        <f>Table__192.168.3.138DYLGSMetaData[[#This Row],[NetAmount]]-Table__192.168.3.138DYLGSMetaData[[#This Row],[Paid]]</f>
        <v>87345</v>
      </c>
    </row>
    <row r="13" spans="1:38" hidden="1">
      <c r="A13" t="s">
        <v>5497</v>
      </c>
      <c r="B13" t="s">
        <v>5498</v>
      </c>
      <c r="C13" t="s">
        <v>5577</v>
      </c>
      <c r="D13" s="1">
        <v>40782</v>
      </c>
      <c r="E13" s="1">
        <v>40812</v>
      </c>
      <c r="F13">
        <v>12506</v>
      </c>
      <c r="G13">
        <v>424</v>
      </c>
      <c r="H13">
        <v>0</v>
      </c>
      <c r="I13">
        <v>0</v>
      </c>
      <c r="J13">
        <v>507</v>
      </c>
      <c r="K13">
        <v>12930</v>
      </c>
      <c r="L13" t="s">
        <v>1404</v>
      </c>
      <c r="M13" s="1">
        <v>40761</v>
      </c>
      <c r="O13" t="s">
        <v>36</v>
      </c>
      <c r="P13" t="s">
        <v>37</v>
      </c>
      <c r="Q13" t="s">
        <v>39</v>
      </c>
      <c r="R13" t="s">
        <v>40</v>
      </c>
      <c r="S13">
        <v>0</v>
      </c>
      <c r="U13" t="s">
        <v>5550</v>
      </c>
      <c r="V13" t="s">
        <v>1797</v>
      </c>
      <c r="X13" t="s">
        <v>74</v>
      </c>
      <c r="Y13" t="b">
        <v>0</v>
      </c>
      <c r="Z13" t="b">
        <v>0</v>
      </c>
      <c r="AC13" s="1"/>
      <c r="AF13">
        <v>0</v>
      </c>
      <c r="AG13">
        <v>45</v>
      </c>
      <c r="AH13">
        <v>552</v>
      </c>
      <c r="AI13" s="2">
        <f>Table__192.168.3.138DYLGSMetaData[[#This Row],[NetAmount]]-Table__192.168.3.138DYLGSMetaData[[#This Row],[Paid]]</f>
        <v>12930</v>
      </c>
    </row>
    <row r="14" spans="1:38" hidden="1">
      <c r="A14" t="s">
        <v>5497</v>
      </c>
      <c r="B14" t="s">
        <v>5498</v>
      </c>
      <c r="C14" t="s">
        <v>5578</v>
      </c>
      <c r="D14" s="1">
        <v>40809</v>
      </c>
      <c r="E14" s="1">
        <v>40839</v>
      </c>
      <c r="F14">
        <v>12447</v>
      </c>
      <c r="G14">
        <v>413</v>
      </c>
      <c r="H14">
        <v>0</v>
      </c>
      <c r="I14">
        <v>0</v>
      </c>
      <c r="J14">
        <v>476</v>
      </c>
      <c r="K14">
        <v>12860</v>
      </c>
      <c r="L14" t="s">
        <v>5579</v>
      </c>
      <c r="M14" s="1">
        <v>40792</v>
      </c>
      <c r="O14" t="s">
        <v>36</v>
      </c>
      <c r="P14" t="s">
        <v>37</v>
      </c>
      <c r="Q14" t="s">
        <v>39</v>
      </c>
      <c r="R14" t="s">
        <v>40</v>
      </c>
      <c r="S14">
        <v>0</v>
      </c>
      <c r="U14" t="s">
        <v>5550</v>
      </c>
      <c r="V14" t="s">
        <v>1797</v>
      </c>
      <c r="X14" t="s">
        <v>74</v>
      </c>
      <c r="Y14" t="b">
        <v>0</v>
      </c>
      <c r="Z14" t="b">
        <v>0</v>
      </c>
      <c r="AC14" s="1"/>
      <c r="AF14">
        <v>0</v>
      </c>
      <c r="AG14">
        <v>45</v>
      </c>
      <c r="AH14">
        <v>521</v>
      </c>
      <c r="AI14" s="2">
        <f>Table__192.168.3.138DYLGSMetaData[[#This Row],[NetAmount]]-Table__192.168.3.138DYLGSMetaData[[#This Row],[Paid]]</f>
        <v>12860</v>
      </c>
    </row>
    <row r="15" spans="1:38" hidden="1">
      <c r="A15" t="s">
        <v>5485</v>
      </c>
      <c r="B15" t="s">
        <v>5486</v>
      </c>
      <c r="C15" t="s">
        <v>5580</v>
      </c>
      <c r="D15" s="1">
        <v>40815</v>
      </c>
      <c r="E15" s="1">
        <v>40845</v>
      </c>
      <c r="F15">
        <v>975729</v>
      </c>
      <c r="G15">
        <v>0</v>
      </c>
      <c r="H15">
        <v>0</v>
      </c>
      <c r="I15">
        <v>0</v>
      </c>
      <c r="J15">
        <v>457</v>
      </c>
      <c r="K15">
        <v>975729</v>
      </c>
      <c r="L15" t="s">
        <v>5581</v>
      </c>
      <c r="M15" s="1">
        <v>40811</v>
      </c>
      <c r="O15" t="s">
        <v>36</v>
      </c>
      <c r="P15" t="s">
        <v>37</v>
      </c>
      <c r="Q15" t="s">
        <v>39</v>
      </c>
      <c r="R15" t="s">
        <v>40</v>
      </c>
      <c r="S15">
        <v>0</v>
      </c>
      <c r="U15" t="s">
        <v>5550</v>
      </c>
      <c r="V15" t="s">
        <v>1797</v>
      </c>
      <c r="X15" t="s">
        <v>74</v>
      </c>
      <c r="Y15" t="b">
        <v>0</v>
      </c>
      <c r="Z15" t="b">
        <v>0</v>
      </c>
      <c r="AB15" t="s">
        <v>5582</v>
      </c>
      <c r="AC15" s="1">
        <v>40858</v>
      </c>
      <c r="AD15" t="s">
        <v>5583</v>
      </c>
      <c r="AE15" t="s">
        <v>5584</v>
      </c>
      <c r="AF15">
        <v>813249</v>
      </c>
      <c r="AG15">
        <v>45</v>
      </c>
      <c r="AH15">
        <v>502</v>
      </c>
      <c r="AI15" s="2">
        <f>Table__192.168.3.138DYLGSMetaData[[#This Row],[NetAmount]]-Table__192.168.3.138DYLGSMetaData[[#This Row],[Paid]]</f>
        <v>162480</v>
      </c>
    </row>
    <row r="16" spans="1:38" hidden="1">
      <c r="A16" t="s">
        <v>5497</v>
      </c>
      <c r="B16" t="s">
        <v>5498</v>
      </c>
      <c r="C16" t="s">
        <v>5585</v>
      </c>
      <c r="D16" s="1">
        <v>40842</v>
      </c>
      <c r="E16" s="1">
        <v>40872</v>
      </c>
      <c r="F16">
        <v>12693</v>
      </c>
      <c r="G16">
        <v>457</v>
      </c>
      <c r="H16">
        <v>0</v>
      </c>
      <c r="I16">
        <v>0</v>
      </c>
      <c r="J16">
        <v>446</v>
      </c>
      <c r="K16">
        <v>13150</v>
      </c>
      <c r="L16" t="s">
        <v>5586</v>
      </c>
      <c r="M16" s="1">
        <v>40822</v>
      </c>
      <c r="O16" t="s">
        <v>36</v>
      </c>
      <c r="P16" t="s">
        <v>37</v>
      </c>
      <c r="Q16" t="s">
        <v>39</v>
      </c>
      <c r="R16" t="s">
        <v>40</v>
      </c>
      <c r="S16">
        <v>0</v>
      </c>
      <c r="U16" t="s">
        <v>5550</v>
      </c>
      <c r="V16" t="s">
        <v>1797</v>
      </c>
      <c r="X16" t="s">
        <v>74</v>
      </c>
      <c r="Y16" t="b">
        <v>0</v>
      </c>
      <c r="Z16" t="b">
        <v>0</v>
      </c>
      <c r="AC16" s="1"/>
      <c r="AF16">
        <v>0</v>
      </c>
      <c r="AG16">
        <v>45</v>
      </c>
      <c r="AH16">
        <v>491</v>
      </c>
      <c r="AI16" s="2">
        <f>Table__192.168.3.138DYLGSMetaData[[#This Row],[NetAmount]]-Table__192.168.3.138DYLGSMetaData[[#This Row],[Paid]]</f>
        <v>13150</v>
      </c>
    </row>
    <row r="17" spans="1:35" hidden="1">
      <c r="A17" t="s">
        <v>5497</v>
      </c>
      <c r="B17" t="s">
        <v>5498</v>
      </c>
      <c r="C17" t="s">
        <v>5587</v>
      </c>
      <c r="D17" s="1">
        <v>40877</v>
      </c>
      <c r="E17" s="1">
        <v>40907</v>
      </c>
      <c r="F17">
        <v>12808</v>
      </c>
      <c r="G17">
        <v>422</v>
      </c>
      <c r="H17">
        <v>0</v>
      </c>
      <c r="I17">
        <v>0</v>
      </c>
      <c r="J17">
        <v>416</v>
      </c>
      <c r="K17">
        <v>13230</v>
      </c>
      <c r="L17" t="s">
        <v>5588</v>
      </c>
      <c r="M17" s="1">
        <v>40852</v>
      </c>
      <c r="O17" t="s">
        <v>36</v>
      </c>
      <c r="P17" t="s">
        <v>37</v>
      </c>
      <c r="Q17" t="s">
        <v>39</v>
      </c>
      <c r="R17" t="s">
        <v>40</v>
      </c>
      <c r="S17">
        <v>0</v>
      </c>
      <c r="U17" t="s">
        <v>5550</v>
      </c>
      <c r="V17" t="s">
        <v>1797</v>
      </c>
      <c r="X17" t="s">
        <v>74</v>
      </c>
      <c r="Y17" t="b">
        <v>0</v>
      </c>
      <c r="Z17" t="b">
        <v>0</v>
      </c>
      <c r="AC17" s="1"/>
      <c r="AF17">
        <v>0</v>
      </c>
      <c r="AG17">
        <v>45</v>
      </c>
      <c r="AH17">
        <v>461</v>
      </c>
      <c r="AI17" s="2">
        <f>Table__192.168.3.138DYLGSMetaData[[#This Row],[NetAmount]]-Table__192.168.3.138DYLGSMetaData[[#This Row],[Paid]]</f>
        <v>13230</v>
      </c>
    </row>
    <row r="18" spans="1:35" hidden="1">
      <c r="A18" t="s">
        <v>5485</v>
      </c>
      <c r="B18" t="s">
        <v>5486</v>
      </c>
      <c r="C18" t="s">
        <v>5589</v>
      </c>
      <c r="D18" s="1">
        <v>40876</v>
      </c>
      <c r="E18" s="1">
        <v>40906</v>
      </c>
      <c r="F18">
        <v>1053939</v>
      </c>
      <c r="G18">
        <v>0</v>
      </c>
      <c r="H18">
        <v>0</v>
      </c>
      <c r="I18">
        <v>0</v>
      </c>
      <c r="J18">
        <v>399</v>
      </c>
      <c r="K18">
        <v>1053939</v>
      </c>
      <c r="L18" t="s">
        <v>2458</v>
      </c>
      <c r="M18" s="1">
        <v>40869</v>
      </c>
      <c r="O18" t="s">
        <v>36</v>
      </c>
      <c r="P18" t="s">
        <v>37</v>
      </c>
      <c r="Q18" t="s">
        <v>39</v>
      </c>
      <c r="R18" t="s">
        <v>40</v>
      </c>
      <c r="S18">
        <v>0</v>
      </c>
      <c r="U18" t="s">
        <v>5550</v>
      </c>
      <c r="V18" t="s">
        <v>1797</v>
      </c>
      <c r="X18" t="s">
        <v>74</v>
      </c>
      <c r="Y18" t="b">
        <v>0</v>
      </c>
      <c r="Z18" t="b">
        <v>0</v>
      </c>
      <c r="AB18" t="s">
        <v>5551</v>
      </c>
      <c r="AC18" s="1">
        <v>40892</v>
      </c>
      <c r="AE18" t="s">
        <v>5552</v>
      </c>
      <c r="AF18">
        <v>0</v>
      </c>
      <c r="AG18">
        <v>45</v>
      </c>
      <c r="AH18">
        <v>444</v>
      </c>
      <c r="AI18" s="2">
        <f>Table__192.168.3.138DYLGSMetaData[[#This Row],[NetAmount]]-Table__192.168.3.138DYLGSMetaData[[#This Row],[Paid]]</f>
        <v>1053939</v>
      </c>
    </row>
    <row r="19" spans="1:35" hidden="1">
      <c r="A19" t="s">
        <v>5485</v>
      </c>
      <c r="B19" t="s">
        <v>5486</v>
      </c>
      <c r="C19" t="s">
        <v>5590</v>
      </c>
      <c r="D19" s="1">
        <v>40873</v>
      </c>
      <c r="E19" s="1">
        <v>40903</v>
      </c>
      <c r="F19">
        <v>885292</v>
      </c>
      <c r="G19">
        <v>0</v>
      </c>
      <c r="H19">
        <v>0</v>
      </c>
      <c r="I19">
        <v>0</v>
      </c>
      <c r="J19">
        <v>396</v>
      </c>
      <c r="K19">
        <v>885292</v>
      </c>
      <c r="L19" t="s">
        <v>946</v>
      </c>
      <c r="M19" s="1">
        <v>40872</v>
      </c>
      <c r="O19" t="s">
        <v>36</v>
      </c>
      <c r="P19" t="s">
        <v>37</v>
      </c>
      <c r="Q19" t="s">
        <v>39</v>
      </c>
      <c r="R19" t="s">
        <v>40</v>
      </c>
      <c r="S19">
        <v>0</v>
      </c>
      <c r="U19" t="s">
        <v>5550</v>
      </c>
      <c r="V19" t="s">
        <v>1797</v>
      </c>
      <c r="X19" t="s">
        <v>74</v>
      </c>
      <c r="Y19" t="b">
        <v>0</v>
      </c>
      <c r="Z19" t="b">
        <v>0</v>
      </c>
      <c r="AB19" t="s">
        <v>5551</v>
      </c>
      <c r="AC19" s="1">
        <v>40892</v>
      </c>
      <c r="AD19" t="s">
        <v>5591</v>
      </c>
      <c r="AE19" t="s">
        <v>5552</v>
      </c>
      <c r="AF19">
        <v>119610</v>
      </c>
      <c r="AG19">
        <v>45</v>
      </c>
      <c r="AH19">
        <v>441</v>
      </c>
      <c r="AI19" s="2">
        <f>Table__192.168.3.138DYLGSMetaData[[#This Row],[NetAmount]]-Table__192.168.3.138DYLGSMetaData[[#This Row],[Paid]]</f>
        <v>765682</v>
      </c>
    </row>
    <row r="20" spans="1:35" hidden="1">
      <c r="A20" t="s">
        <v>5497</v>
      </c>
      <c r="B20" t="s">
        <v>5498</v>
      </c>
      <c r="C20" t="s">
        <v>5592</v>
      </c>
      <c r="D20" s="1">
        <v>40896</v>
      </c>
      <c r="E20" s="1">
        <v>40926</v>
      </c>
      <c r="F20">
        <v>13206</v>
      </c>
      <c r="G20">
        <v>404</v>
      </c>
      <c r="H20">
        <v>0</v>
      </c>
      <c r="I20">
        <v>0</v>
      </c>
      <c r="J20">
        <v>386</v>
      </c>
      <c r="K20">
        <v>13610</v>
      </c>
      <c r="L20" t="s">
        <v>5593</v>
      </c>
      <c r="M20" s="1">
        <v>40882</v>
      </c>
      <c r="O20" t="s">
        <v>36</v>
      </c>
      <c r="P20" t="s">
        <v>37</v>
      </c>
      <c r="Q20" t="s">
        <v>39</v>
      </c>
      <c r="R20" t="s">
        <v>40</v>
      </c>
      <c r="S20">
        <v>0</v>
      </c>
      <c r="U20" t="s">
        <v>5550</v>
      </c>
      <c r="V20" t="s">
        <v>1797</v>
      </c>
      <c r="X20" t="s">
        <v>74</v>
      </c>
      <c r="Y20" t="b">
        <v>0</v>
      </c>
      <c r="Z20" t="b">
        <v>0</v>
      </c>
      <c r="AC20" s="1"/>
      <c r="AF20">
        <v>0</v>
      </c>
      <c r="AG20">
        <v>45</v>
      </c>
      <c r="AH20">
        <v>431</v>
      </c>
      <c r="AI20" s="2">
        <f>Table__192.168.3.138DYLGSMetaData[[#This Row],[NetAmount]]-Table__192.168.3.138DYLGSMetaData[[#This Row],[Paid]]</f>
        <v>13610</v>
      </c>
    </row>
    <row r="21" spans="1:35" hidden="1">
      <c r="A21" t="s">
        <v>5501</v>
      </c>
      <c r="B21" t="s">
        <v>5502</v>
      </c>
      <c r="C21" t="s">
        <v>5594</v>
      </c>
      <c r="D21" s="1">
        <v>40899</v>
      </c>
      <c r="E21" s="1">
        <v>40929</v>
      </c>
      <c r="F21">
        <v>209482</v>
      </c>
      <c r="G21">
        <v>35586</v>
      </c>
      <c r="H21">
        <v>0</v>
      </c>
      <c r="I21">
        <v>257999.5</v>
      </c>
      <c r="J21">
        <v>369</v>
      </c>
      <c r="K21">
        <v>257998.5</v>
      </c>
      <c r="L21" t="s">
        <v>5595</v>
      </c>
      <c r="M21" s="1">
        <v>40899</v>
      </c>
      <c r="O21" t="s">
        <v>36</v>
      </c>
      <c r="P21" t="s">
        <v>37</v>
      </c>
      <c r="Q21" t="s">
        <v>39</v>
      </c>
      <c r="R21" t="s">
        <v>40</v>
      </c>
      <c r="S21">
        <v>0</v>
      </c>
      <c r="T21" t="s">
        <v>5596</v>
      </c>
      <c r="U21" t="s">
        <v>5550</v>
      </c>
      <c r="V21" t="s">
        <v>1797</v>
      </c>
      <c r="X21" t="s">
        <v>74</v>
      </c>
      <c r="Y21" t="b">
        <v>0</v>
      </c>
      <c r="Z21" t="b">
        <v>0</v>
      </c>
      <c r="AC21" s="1"/>
      <c r="AF21">
        <v>0</v>
      </c>
      <c r="AG21">
        <v>45</v>
      </c>
      <c r="AH21">
        <v>414</v>
      </c>
      <c r="AI21" s="2">
        <f>Table__192.168.3.138DYLGSMetaData[[#This Row],[NetAmount]]-Table__192.168.3.138DYLGSMetaData[[#This Row],[Paid]]</f>
        <v>257998.5</v>
      </c>
    </row>
    <row r="22" spans="1:35" hidden="1">
      <c r="A22" t="s">
        <v>5497</v>
      </c>
      <c r="B22" t="s">
        <v>5498</v>
      </c>
      <c r="C22" t="s">
        <v>5597</v>
      </c>
      <c r="D22" s="1">
        <v>40927</v>
      </c>
      <c r="E22" s="1">
        <v>40957</v>
      </c>
      <c r="F22">
        <v>12354</v>
      </c>
      <c r="G22">
        <v>396</v>
      </c>
      <c r="H22">
        <v>0</v>
      </c>
      <c r="I22">
        <v>0</v>
      </c>
      <c r="J22">
        <v>354</v>
      </c>
      <c r="K22">
        <v>12750</v>
      </c>
      <c r="L22" t="s">
        <v>5598</v>
      </c>
      <c r="M22" s="1">
        <v>40914</v>
      </c>
      <c r="O22" t="s">
        <v>36</v>
      </c>
      <c r="P22" t="s">
        <v>37</v>
      </c>
      <c r="Q22" t="s">
        <v>39</v>
      </c>
      <c r="R22" t="s">
        <v>40</v>
      </c>
      <c r="S22">
        <v>0</v>
      </c>
      <c r="U22" t="s">
        <v>5550</v>
      </c>
      <c r="V22" t="s">
        <v>1797</v>
      </c>
      <c r="X22" t="s">
        <v>74</v>
      </c>
      <c r="Y22" t="b">
        <v>0</v>
      </c>
      <c r="Z22" t="b">
        <v>0</v>
      </c>
      <c r="AC22" s="1"/>
      <c r="AF22">
        <v>0</v>
      </c>
      <c r="AG22">
        <v>45</v>
      </c>
      <c r="AH22">
        <v>399</v>
      </c>
      <c r="AI22" s="2">
        <f>Table__192.168.3.138DYLGSMetaData[[#This Row],[NetAmount]]-Table__192.168.3.138DYLGSMetaData[[#This Row],[Paid]]</f>
        <v>12750</v>
      </c>
    </row>
    <row r="23" spans="1:35" hidden="1">
      <c r="A23" t="s">
        <v>5485</v>
      </c>
      <c r="B23" t="s">
        <v>5486</v>
      </c>
      <c r="C23" t="s">
        <v>5599</v>
      </c>
      <c r="D23" s="1">
        <v>40908</v>
      </c>
      <c r="E23" s="1">
        <v>40938</v>
      </c>
      <c r="F23">
        <v>1971009</v>
      </c>
      <c r="G23">
        <v>0</v>
      </c>
      <c r="H23">
        <v>0</v>
      </c>
      <c r="I23">
        <v>0</v>
      </c>
      <c r="J23">
        <v>360</v>
      </c>
      <c r="K23">
        <v>1971009</v>
      </c>
      <c r="L23" t="s">
        <v>5600</v>
      </c>
      <c r="M23" s="1">
        <v>40908</v>
      </c>
      <c r="O23" t="s">
        <v>36</v>
      </c>
      <c r="P23" t="s">
        <v>37</v>
      </c>
      <c r="Q23" t="s">
        <v>39</v>
      </c>
      <c r="R23" t="s">
        <v>40</v>
      </c>
      <c r="S23">
        <v>0</v>
      </c>
      <c r="U23" t="s">
        <v>5550</v>
      </c>
      <c r="V23" t="s">
        <v>1797</v>
      </c>
      <c r="X23" t="s">
        <v>74</v>
      </c>
      <c r="Y23" t="b">
        <v>0</v>
      </c>
      <c r="Z23" t="b">
        <v>0</v>
      </c>
      <c r="AB23" t="s">
        <v>5601</v>
      </c>
      <c r="AC23" s="1">
        <v>40971</v>
      </c>
      <c r="AE23" t="s">
        <v>5552</v>
      </c>
      <c r="AF23">
        <v>0</v>
      </c>
      <c r="AG23">
        <v>45</v>
      </c>
      <c r="AH23">
        <v>405</v>
      </c>
      <c r="AI23" s="2">
        <f>Table__192.168.3.138DYLGSMetaData[[#This Row],[NetAmount]]-Table__192.168.3.138DYLGSMetaData[[#This Row],[Paid]]</f>
        <v>1971009</v>
      </c>
    </row>
    <row r="24" spans="1:35" hidden="1">
      <c r="A24" t="s">
        <v>5485</v>
      </c>
      <c r="B24" t="s">
        <v>5486</v>
      </c>
      <c r="C24" t="s">
        <v>5602</v>
      </c>
      <c r="D24" s="1">
        <v>40908</v>
      </c>
      <c r="E24" s="1">
        <v>40938</v>
      </c>
      <c r="F24">
        <v>1206111</v>
      </c>
      <c r="G24">
        <v>0</v>
      </c>
      <c r="H24">
        <v>0</v>
      </c>
      <c r="I24">
        <v>0</v>
      </c>
      <c r="J24">
        <v>360</v>
      </c>
      <c r="K24">
        <v>1206111</v>
      </c>
      <c r="L24" t="s">
        <v>5603</v>
      </c>
      <c r="M24" s="1">
        <v>40908</v>
      </c>
      <c r="O24" t="s">
        <v>36</v>
      </c>
      <c r="P24" t="s">
        <v>37</v>
      </c>
      <c r="Q24" t="s">
        <v>39</v>
      </c>
      <c r="R24" t="s">
        <v>40</v>
      </c>
      <c r="S24">
        <v>0</v>
      </c>
      <c r="U24" t="s">
        <v>5550</v>
      </c>
      <c r="V24" t="s">
        <v>1797</v>
      </c>
      <c r="X24" t="s">
        <v>74</v>
      </c>
      <c r="Y24" t="b">
        <v>0</v>
      </c>
      <c r="Z24" t="b">
        <v>0</v>
      </c>
      <c r="AB24" t="s">
        <v>5601</v>
      </c>
      <c r="AC24" s="1">
        <v>40971</v>
      </c>
      <c r="AD24" t="s">
        <v>5604</v>
      </c>
      <c r="AE24" t="s">
        <v>5552</v>
      </c>
      <c r="AF24">
        <v>455823</v>
      </c>
      <c r="AG24">
        <v>45</v>
      </c>
      <c r="AH24">
        <v>405</v>
      </c>
      <c r="AI24" s="2">
        <f>Table__192.168.3.138DYLGSMetaData[[#This Row],[NetAmount]]-Table__192.168.3.138DYLGSMetaData[[#This Row],[Paid]]</f>
        <v>750288</v>
      </c>
    </row>
    <row r="25" spans="1:35" hidden="1">
      <c r="A25" t="s">
        <v>5485</v>
      </c>
      <c r="B25" t="s">
        <v>5486</v>
      </c>
      <c r="C25" t="s">
        <v>5605</v>
      </c>
      <c r="D25" s="1">
        <v>40939</v>
      </c>
      <c r="E25" s="1">
        <v>40969</v>
      </c>
      <c r="F25">
        <v>1422363</v>
      </c>
      <c r="G25">
        <v>0</v>
      </c>
      <c r="H25">
        <v>0</v>
      </c>
      <c r="I25">
        <v>0</v>
      </c>
      <c r="J25">
        <v>329</v>
      </c>
      <c r="K25">
        <v>1422363</v>
      </c>
      <c r="L25" t="s">
        <v>101</v>
      </c>
      <c r="M25" s="1">
        <v>40939</v>
      </c>
      <c r="O25" t="s">
        <v>36</v>
      </c>
      <c r="P25" t="s">
        <v>37</v>
      </c>
      <c r="Q25" t="s">
        <v>39</v>
      </c>
      <c r="R25" t="s">
        <v>40</v>
      </c>
      <c r="S25">
        <v>0</v>
      </c>
      <c r="U25" t="s">
        <v>5550</v>
      </c>
      <c r="V25" t="s">
        <v>1797</v>
      </c>
      <c r="X25" t="s">
        <v>74</v>
      </c>
      <c r="Y25" t="b">
        <v>0</v>
      </c>
      <c r="Z25" t="b">
        <v>0</v>
      </c>
      <c r="AB25" t="s">
        <v>5606</v>
      </c>
      <c r="AC25" s="1">
        <v>40976</v>
      </c>
      <c r="AD25" t="s">
        <v>5607</v>
      </c>
      <c r="AE25" t="s">
        <v>5608</v>
      </c>
      <c r="AF25">
        <v>955453</v>
      </c>
      <c r="AG25">
        <v>45</v>
      </c>
      <c r="AH25">
        <v>374</v>
      </c>
      <c r="AI25" s="2">
        <f>Table__192.168.3.138DYLGSMetaData[[#This Row],[NetAmount]]-Table__192.168.3.138DYLGSMetaData[[#This Row],[Paid]]</f>
        <v>466910</v>
      </c>
    </row>
    <row r="26" spans="1:35" hidden="1">
      <c r="A26" t="s">
        <v>5485</v>
      </c>
      <c r="B26" t="s">
        <v>5486</v>
      </c>
      <c r="C26" t="s">
        <v>5609</v>
      </c>
      <c r="D26" s="1">
        <v>40939</v>
      </c>
      <c r="E26" s="1">
        <v>40969</v>
      </c>
      <c r="F26">
        <v>1460669</v>
      </c>
      <c r="G26">
        <v>0</v>
      </c>
      <c r="H26">
        <v>0</v>
      </c>
      <c r="I26">
        <v>0</v>
      </c>
      <c r="J26">
        <v>329</v>
      </c>
      <c r="K26">
        <v>1460669</v>
      </c>
      <c r="L26" t="s">
        <v>99</v>
      </c>
      <c r="M26" s="1">
        <v>40939</v>
      </c>
      <c r="O26" t="s">
        <v>36</v>
      </c>
      <c r="P26" t="s">
        <v>37</v>
      </c>
      <c r="Q26" t="s">
        <v>39</v>
      </c>
      <c r="R26" t="s">
        <v>40</v>
      </c>
      <c r="S26">
        <v>0</v>
      </c>
      <c r="U26" t="s">
        <v>5550</v>
      </c>
      <c r="V26" t="s">
        <v>1797</v>
      </c>
      <c r="X26" t="s">
        <v>74</v>
      </c>
      <c r="Y26" t="b">
        <v>0</v>
      </c>
      <c r="Z26" t="b">
        <v>0</v>
      </c>
      <c r="AB26" t="s">
        <v>5606</v>
      </c>
      <c r="AC26" s="1">
        <v>40976</v>
      </c>
      <c r="AD26" t="s">
        <v>5610</v>
      </c>
      <c r="AE26" t="s">
        <v>5608</v>
      </c>
      <c r="AF26">
        <v>1158110</v>
      </c>
      <c r="AG26">
        <v>45</v>
      </c>
      <c r="AH26">
        <v>374</v>
      </c>
      <c r="AI26" s="2">
        <f>Table__192.168.3.138DYLGSMetaData[[#This Row],[NetAmount]]-Table__192.168.3.138DYLGSMetaData[[#This Row],[Paid]]</f>
        <v>302559</v>
      </c>
    </row>
    <row r="27" spans="1:35" hidden="1">
      <c r="A27" t="s">
        <v>5497</v>
      </c>
      <c r="B27" t="s">
        <v>5498</v>
      </c>
      <c r="C27" t="s">
        <v>5611</v>
      </c>
      <c r="D27" s="1">
        <v>40964</v>
      </c>
      <c r="E27" s="1">
        <v>40994</v>
      </c>
      <c r="F27">
        <v>12446</v>
      </c>
      <c r="G27">
        <v>414</v>
      </c>
      <c r="H27">
        <v>0</v>
      </c>
      <c r="I27">
        <v>0</v>
      </c>
      <c r="J27">
        <v>323</v>
      </c>
      <c r="K27">
        <v>12860</v>
      </c>
      <c r="L27" t="s">
        <v>5612</v>
      </c>
      <c r="M27" s="1">
        <v>40945</v>
      </c>
      <c r="O27" t="s">
        <v>36</v>
      </c>
      <c r="P27" t="s">
        <v>37</v>
      </c>
      <c r="Q27" t="s">
        <v>39</v>
      </c>
      <c r="R27" t="s">
        <v>40</v>
      </c>
      <c r="S27">
        <v>0</v>
      </c>
      <c r="U27" t="s">
        <v>5550</v>
      </c>
      <c r="V27" t="s">
        <v>1797</v>
      </c>
      <c r="X27" t="s">
        <v>74</v>
      </c>
      <c r="Y27" t="b">
        <v>0</v>
      </c>
      <c r="Z27" t="b">
        <v>0</v>
      </c>
      <c r="AC27" s="1"/>
      <c r="AF27">
        <v>0</v>
      </c>
      <c r="AG27">
        <v>45</v>
      </c>
      <c r="AH27">
        <v>368</v>
      </c>
      <c r="AI27" s="2">
        <f>Table__192.168.3.138DYLGSMetaData[[#This Row],[NetAmount]]-Table__192.168.3.138DYLGSMetaData[[#This Row],[Paid]]</f>
        <v>12860</v>
      </c>
    </row>
    <row r="28" spans="1:35" hidden="1">
      <c r="A28" t="s">
        <v>5521</v>
      </c>
      <c r="B28" t="s">
        <v>5522</v>
      </c>
      <c r="C28" t="s">
        <v>5613</v>
      </c>
      <c r="D28" s="1">
        <v>40953</v>
      </c>
      <c r="E28" s="1">
        <v>40998</v>
      </c>
      <c r="F28">
        <v>292800</v>
      </c>
      <c r="G28">
        <v>46848</v>
      </c>
      <c r="H28">
        <v>0</v>
      </c>
      <c r="I28">
        <v>0</v>
      </c>
      <c r="J28">
        <v>318</v>
      </c>
      <c r="K28">
        <v>339648</v>
      </c>
      <c r="L28" t="s">
        <v>5614</v>
      </c>
      <c r="M28" s="1">
        <v>40950</v>
      </c>
      <c r="O28" t="s">
        <v>36</v>
      </c>
      <c r="P28" t="s">
        <v>37</v>
      </c>
      <c r="Q28" t="s">
        <v>39</v>
      </c>
      <c r="R28" t="s">
        <v>40</v>
      </c>
      <c r="S28">
        <v>0</v>
      </c>
      <c r="U28" t="s">
        <v>5550</v>
      </c>
      <c r="V28" t="s">
        <v>1797</v>
      </c>
      <c r="X28" t="s">
        <v>74</v>
      </c>
      <c r="Y28" t="b">
        <v>0</v>
      </c>
      <c r="Z28" t="b">
        <v>0</v>
      </c>
      <c r="AB28" t="s">
        <v>5615</v>
      </c>
      <c r="AC28" s="1">
        <v>41233</v>
      </c>
      <c r="AF28">
        <v>0</v>
      </c>
      <c r="AG28">
        <v>45</v>
      </c>
      <c r="AH28">
        <v>363</v>
      </c>
      <c r="AI28" s="2">
        <f>Table__192.168.3.138DYLGSMetaData[[#This Row],[NetAmount]]-Table__192.168.3.138DYLGSMetaData[[#This Row],[Paid]]</f>
        <v>339648</v>
      </c>
    </row>
    <row r="29" spans="1:35" hidden="1">
      <c r="A29" t="s">
        <v>5541</v>
      </c>
      <c r="B29" t="s">
        <v>5542</v>
      </c>
      <c r="C29" t="s">
        <v>5616</v>
      </c>
      <c r="D29" s="1">
        <v>40961</v>
      </c>
      <c r="E29" s="1">
        <v>40961</v>
      </c>
      <c r="F29">
        <v>824520</v>
      </c>
      <c r="G29">
        <v>131923</v>
      </c>
      <c r="H29">
        <v>0</v>
      </c>
      <c r="I29">
        <v>0</v>
      </c>
      <c r="J29">
        <v>307</v>
      </c>
      <c r="K29">
        <v>956443</v>
      </c>
      <c r="L29" t="s">
        <v>5617</v>
      </c>
      <c r="M29" s="1">
        <v>40961</v>
      </c>
      <c r="O29" t="s">
        <v>36</v>
      </c>
      <c r="P29" t="s">
        <v>37</v>
      </c>
      <c r="Q29" t="s">
        <v>39</v>
      </c>
      <c r="R29" t="s">
        <v>40</v>
      </c>
      <c r="S29">
        <v>0</v>
      </c>
      <c r="U29" t="s">
        <v>5550</v>
      </c>
      <c r="V29" t="s">
        <v>1797</v>
      </c>
      <c r="X29" t="s">
        <v>74</v>
      </c>
      <c r="Y29" t="b">
        <v>0</v>
      </c>
      <c r="Z29" t="b">
        <v>0</v>
      </c>
      <c r="AB29" t="s">
        <v>5618</v>
      </c>
      <c r="AC29" s="1">
        <v>41152</v>
      </c>
      <c r="AF29">
        <v>0</v>
      </c>
      <c r="AG29">
        <v>45</v>
      </c>
      <c r="AH29">
        <v>352</v>
      </c>
      <c r="AI29" s="2">
        <f>Table__192.168.3.138DYLGSMetaData[[#This Row],[NetAmount]]-Table__192.168.3.138DYLGSMetaData[[#This Row],[Paid]]</f>
        <v>956443</v>
      </c>
    </row>
    <row r="30" spans="1:35" hidden="1">
      <c r="A30" t="s">
        <v>5541</v>
      </c>
      <c r="B30" t="s">
        <v>5542</v>
      </c>
      <c r="C30" t="s">
        <v>5619</v>
      </c>
      <c r="D30" s="1">
        <v>40963</v>
      </c>
      <c r="E30" s="1">
        <v>40963</v>
      </c>
      <c r="F30">
        <v>394300</v>
      </c>
      <c r="G30">
        <v>63088</v>
      </c>
      <c r="H30">
        <v>0</v>
      </c>
      <c r="I30">
        <v>0</v>
      </c>
      <c r="J30">
        <v>308</v>
      </c>
      <c r="K30">
        <v>457388</v>
      </c>
      <c r="L30" t="s">
        <v>5620</v>
      </c>
      <c r="M30" s="1">
        <v>40960</v>
      </c>
      <c r="O30" t="s">
        <v>36</v>
      </c>
      <c r="P30" t="s">
        <v>37</v>
      </c>
      <c r="Q30" t="s">
        <v>39</v>
      </c>
      <c r="R30" t="s">
        <v>40</v>
      </c>
      <c r="S30">
        <v>0</v>
      </c>
      <c r="U30" t="s">
        <v>5550</v>
      </c>
      <c r="V30" t="s">
        <v>1797</v>
      </c>
      <c r="X30" t="s">
        <v>74</v>
      </c>
      <c r="Y30" t="b">
        <v>0</v>
      </c>
      <c r="Z30" t="b">
        <v>0</v>
      </c>
      <c r="AB30" t="s">
        <v>5618</v>
      </c>
      <c r="AC30" s="1">
        <v>41152</v>
      </c>
      <c r="AF30">
        <v>0</v>
      </c>
      <c r="AG30">
        <v>45</v>
      </c>
      <c r="AH30">
        <v>353</v>
      </c>
      <c r="AI30" s="2">
        <f>Table__192.168.3.138DYLGSMetaData[[#This Row],[NetAmount]]-Table__192.168.3.138DYLGSMetaData[[#This Row],[Paid]]</f>
        <v>457388</v>
      </c>
    </row>
    <row r="31" spans="1:35" hidden="1">
      <c r="A31" t="s">
        <v>5507</v>
      </c>
      <c r="B31" t="s">
        <v>5508</v>
      </c>
      <c r="C31" t="s">
        <v>5621</v>
      </c>
      <c r="D31" s="1">
        <v>40969</v>
      </c>
      <c r="E31" s="1">
        <v>40969</v>
      </c>
      <c r="F31">
        <v>896420</v>
      </c>
      <c r="G31">
        <v>143427</v>
      </c>
      <c r="H31">
        <v>0</v>
      </c>
      <c r="I31">
        <v>0</v>
      </c>
      <c r="J31">
        <v>299</v>
      </c>
      <c r="K31">
        <v>1039847</v>
      </c>
      <c r="L31" t="s">
        <v>5622</v>
      </c>
      <c r="M31" s="1">
        <v>40969</v>
      </c>
      <c r="O31" t="s">
        <v>36</v>
      </c>
      <c r="P31" t="s">
        <v>37</v>
      </c>
      <c r="Q31" t="s">
        <v>39</v>
      </c>
      <c r="R31" t="s">
        <v>40</v>
      </c>
      <c r="S31">
        <v>0</v>
      </c>
      <c r="U31" t="s">
        <v>5550</v>
      </c>
      <c r="V31" t="s">
        <v>1797</v>
      </c>
      <c r="X31" t="s">
        <v>74</v>
      </c>
      <c r="Y31" t="b">
        <v>0</v>
      </c>
      <c r="Z31" t="b">
        <v>0</v>
      </c>
      <c r="AB31" t="s">
        <v>5623</v>
      </c>
      <c r="AC31" s="1"/>
      <c r="AD31" t="s">
        <v>5624</v>
      </c>
      <c r="AF31">
        <v>1034604</v>
      </c>
      <c r="AG31">
        <v>45</v>
      </c>
      <c r="AH31">
        <v>344</v>
      </c>
      <c r="AI31" s="2">
        <f>Table__192.168.3.138DYLGSMetaData[[#This Row],[NetAmount]]-Table__192.168.3.138DYLGSMetaData[[#This Row],[Paid]]</f>
        <v>5243</v>
      </c>
    </row>
    <row r="32" spans="1:35" hidden="1">
      <c r="A32" t="s">
        <v>5541</v>
      </c>
      <c r="B32" t="s">
        <v>5542</v>
      </c>
      <c r="C32" t="s">
        <v>5625</v>
      </c>
      <c r="D32" s="1">
        <v>40967</v>
      </c>
      <c r="E32" s="1">
        <v>40967</v>
      </c>
      <c r="F32">
        <v>15000</v>
      </c>
      <c r="G32">
        <v>2400</v>
      </c>
      <c r="H32">
        <v>0</v>
      </c>
      <c r="I32">
        <v>0</v>
      </c>
      <c r="J32">
        <v>301</v>
      </c>
      <c r="K32">
        <v>17400</v>
      </c>
      <c r="L32" t="s">
        <v>5626</v>
      </c>
      <c r="M32" s="1">
        <v>40967</v>
      </c>
      <c r="O32" t="s">
        <v>36</v>
      </c>
      <c r="P32" t="s">
        <v>37</v>
      </c>
      <c r="Q32" t="s">
        <v>39</v>
      </c>
      <c r="R32" t="s">
        <v>40</v>
      </c>
      <c r="S32">
        <v>0</v>
      </c>
      <c r="U32" t="s">
        <v>5550</v>
      </c>
      <c r="V32" t="s">
        <v>1797</v>
      </c>
      <c r="X32" t="s">
        <v>74</v>
      </c>
      <c r="Y32" t="b">
        <v>0</v>
      </c>
      <c r="Z32" t="b">
        <v>0</v>
      </c>
      <c r="AB32" t="s">
        <v>5618</v>
      </c>
      <c r="AC32" s="1">
        <v>41152</v>
      </c>
      <c r="AF32">
        <v>0</v>
      </c>
      <c r="AG32">
        <v>45</v>
      </c>
      <c r="AH32">
        <v>346</v>
      </c>
      <c r="AI32" s="2">
        <f>Table__192.168.3.138DYLGSMetaData[[#This Row],[NetAmount]]-Table__192.168.3.138DYLGSMetaData[[#This Row],[Paid]]</f>
        <v>17400</v>
      </c>
    </row>
    <row r="33" spans="1:35" hidden="1">
      <c r="A33" t="s">
        <v>5497</v>
      </c>
      <c r="B33" t="s">
        <v>5498</v>
      </c>
      <c r="C33" t="s">
        <v>5627</v>
      </c>
      <c r="D33" s="1">
        <v>40990</v>
      </c>
      <c r="E33" s="1">
        <v>41020</v>
      </c>
      <c r="F33">
        <v>12559</v>
      </c>
      <c r="G33">
        <v>431</v>
      </c>
      <c r="H33">
        <v>0</v>
      </c>
      <c r="I33">
        <v>0</v>
      </c>
      <c r="J33">
        <v>295</v>
      </c>
      <c r="K33">
        <v>12990</v>
      </c>
      <c r="L33" t="s">
        <v>5628</v>
      </c>
      <c r="M33" s="1">
        <v>40973</v>
      </c>
      <c r="O33" t="s">
        <v>36</v>
      </c>
      <c r="P33" t="s">
        <v>37</v>
      </c>
      <c r="Q33" t="s">
        <v>39</v>
      </c>
      <c r="R33" t="s">
        <v>40</v>
      </c>
      <c r="S33">
        <v>0</v>
      </c>
      <c r="U33" t="s">
        <v>5550</v>
      </c>
      <c r="V33" t="s">
        <v>1797</v>
      </c>
      <c r="X33" t="s">
        <v>74</v>
      </c>
      <c r="Y33" t="b">
        <v>0</v>
      </c>
      <c r="Z33" t="b">
        <v>0</v>
      </c>
      <c r="AC33" s="1"/>
      <c r="AF33">
        <v>0</v>
      </c>
      <c r="AG33">
        <v>45</v>
      </c>
      <c r="AH33">
        <v>340</v>
      </c>
      <c r="AI33" s="2">
        <f>Table__192.168.3.138DYLGSMetaData[[#This Row],[NetAmount]]-Table__192.168.3.138DYLGSMetaData[[#This Row],[Paid]]</f>
        <v>12990</v>
      </c>
    </row>
    <row r="34" spans="1:35" hidden="1">
      <c r="A34" t="s">
        <v>5541</v>
      </c>
      <c r="B34" t="s">
        <v>5542</v>
      </c>
      <c r="C34" t="s">
        <v>5629</v>
      </c>
      <c r="D34" s="1">
        <v>40982</v>
      </c>
      <c r="E34" s="1">
        <v>40982</v>
      </c>
      <c r="F34">
        <v>147600</v>
      </c>
      <c r="G34">
        <v>23616</v>
      </c>
      <c r="H34">
        <v>0</v>
      </c>
      <c r="I34">
        <v>0</v>
      </c>
      <c r="J34">
        <v>-444</v>
      </c>
      <c r="K34">
        <v>171216</v>
      </c>
      <c r="L34" t="s">
        <v>5630</v>
      </c>
      <c r="M34" s="1">
        <v>41712</v>
      </c>
      <c r="O34" t="s">
        <v>36</v>
      </c>
      <c r="P34" t="s">
        <v>37</v>
      </c>
      <c r="Q34" t="s">
        <v>39</v>
      </c>
      <c r="R34" t="s">
        <v>40</v>
      </c>
      <c r="S34">
        <v>0</v>
      </c>
      <c r="U34" t="s">
        <v>5550</v>
      </c>
      <c r="V34" t="s">
        <v>1797</v>
      </c>
      <c r="X34" t="s">
        <v>74</v>
      </c>
      <c r="Y34" t="b">
        <v>0</v>
      </c>
      <c r="Z34" t="b">
        <v>0</v>
      </c>
      <c r="AB34" t="s">
        <v>5631</v>
      </c>
      <c r="AC34" s="1">
        <v>41233</v>
      </c>
      <c r="AD34" t="s">
        <v>5632</v>
      </c>
      <c r="AE34" t="s">
        <v>5633</v>
      </c>
      <c r="AF34">
        <v>121406</v>
      </c>
      <c r="AG34">
        <v>45</v>
      </c>
      <c r="AH34">
        <v>-399</v>
      </c>
      <c r="AI34" s="2">
        <f>Table__192.168.3.138DYLGSMetaData[[#This Row],[NetAmount]]-Table__192.168.3.138DYLGSMetaData[[#This Row],[Paid]]</f>
        <v>49810</v>
      </c>
    </row>
    <row r="35" spans="1:35" hidden="1">
      <c r="A35" t="s">
        <v>5535</v>
      </c>
      <c r="B35" t="s">
        <v>5536</v>
      </c>
      <c r="C35" t="s">
        <v>5634</v>
      </c>
      <c r="D35" s="1">
        <v>40990</v>
      </c>
      <c r="E35" s="1">
        <v>40990</v>
      </c>
      <c r="F35">
        <v>154660</v>
      </c>
      <c r="G35">
        <v>24746</v>
      </c>
      <c r="H35">
        <v>0</v>
      </c>
      <c r="I35">
        <v>0</v>
      </c>
      <c r="J35">
        <v>279</v>
      </c>
      <c r="K35">
        <v>179406</v>
      </c>
      <c r="L35" t="s">
        <v>5635</v>
      </c>
      <c r="M35" s="1">
        <v>40989</v>
      </c>
      <c r="O35" t="s">
        <v>36</v>
      </c>
      <c r="P35" t="s">
        <v>37</v>
      </c>
      <c r="Q35" t="s">
        <v>39</v>
      </c>
      <c r="R35" t="s">
        <v>40</v>
      </c>
      <c r="S35">
        <v>0</v>
      </c>
      <c r="U35" t="s">
        <v>5550</v>
      </c>
      <c r="V35" t="s">
        <v>1797</v>
      </c>
      <c r="X35" t="s">
        <v>74</v>
      </c>
      <c r="Y35" t="b">
        <v>0</v>
      </c>
      <c r="Z35" t="b">
        <v>0</v>
      </c>
      <c r="AC35" s="1"/>
      <c r="AF35">
        <v>0</v>
      </c>
      <c r="AG35">
        <v>45</v>
      </c>
      <c r="AH35">
        <v>324</v>
      </c>
      <c r="AI35" s="2">
        <f>Table__192.168.3.138DYLGSMetaData[[#This Row],[NetAmount]]-Table__192.168.3.138DYLGSMetaData[[#This Row],[Paid]]</f>
        <v>179406</v>
      </c>
    </row>
    <row r="36" spans="1:35" hidden="1">
      <c r="A36" t="s">
        <v>5485</v>
      </c>
      <c r="B36" t="s">
        <v>5486</v>
      </c>
      <c r="C36" t="s">
        <v>5636</v>
      </c>
      <c r="D36" s="1">
        <v>40998</v>
      </c>
      <c r="E36" s="1">
        <v>41028</v>
      </c>
      <c r="F36">
        <v>1189029</v>
      </c>
      <c r="G36">
        <v>0</v>
      </c>
      <c r="H36">
        <v>0</v>
      </c>
      <c r="I36">
        <v>0</v>
      </c>
      <c r="J36">
        <v>278</v>
      </c>
      <c r="K36">
        <v>1189029</v>
      </c>
      <c r="L36" t="s">
        <v>116</v>
      </c>
      <c r="M36" s="1">
        <v>40990</v>
      </c>
      <c r="O36" t="s">
        <v>36</v>
      </c>
      <c r="P36" t="s">
        <v>37</v>
      </c>
      <c r="Q36" t="s">
        <v>39</v>
      </c>
      <c r="R36" t="s">
        <v>40</v>
      </c>
      <c r="S36">
        <v>0</v>
      </c>
      <c r="U36" t="s">
        <v>5550</v>
      </c>
      <c r="V36" t="s">
        <v>1797</v>
      </c>
      <c r="X36" t="s">
        <v>74</v>
      </c>
      <c r="Y36" t="b">
        <v>0</v>
      </c>
      <c r="Z36" t="b">
        <v>0</v>
      </c>
      <c r="AB36" t="s">
        <v>5637</v>
      </c>
      <c r="AC36" s="1">
        <v>41044</v>
      </c>
      <c r="AD36" t="s">
        <v>5638</v>
      </c>
      <c r="AE36" t="s">
        <v>5639</v>
      </c>
      <c r="AF36">
        <v>952611</v>
      </c>
      <c r="AG36">
        <v>45</v>
      </c>
      <c r="AH36">
        <v>323</v>
      </c>
      <c r="AI36" s="2">
        <f>Table__192.168.3.138DYLGSMetaData[[#This Row],[NetAmount]]-Table__192.168.3.138DYLGSMetaData[[#This Row],[Paid]]</f>
        <v>236418</v>
      </c>
    </row>
    <row r="37" spans="1:35" hidden="1">
      <c r="A37" t="s">
        <v>5497</v>
      </c>
      <c r="B37" t="s">
        <v>5498</v>
      </c>
      <c r="C37" t="s">
        <v>5640</v>
      </c>
      <c r="D37" s="1">
        <v>41018</v>
      </c>
      <c r="E37" s="1">
        <v>41048</v>
      </c>
      <c r="F37">
        <v>12486</v>
      </c>
      <c r="G37">
        <v>424</v>
      </c>
      <c r="H37">
        <v>0</v>
      </c>
      <c r="I37">
        <v>0</v>
      </c>
      <c r="J37">
        <v>263</v>
      </c>
      <c r="K37">
        <v>12910</v>
      </c>
      <c r="L37" t="s">
        <v>5641</v>
      </c>
      <c r="M37" s="1">
        <v>41005</v>
      </c>
      <c r="O37" t="s">
        <v>36</v>
      </c>
      <c r="P37" t="s">
        <v>37</v>
      </c>
      <c r="Q37" t="s">
        <v>39</v>
      </c>
      <c r="R37" t="s">
        <v>40</v>
      </c>
      <c r="S37">
        <v>0</v>
      </c>
      <c r="U37" t="s">
        <v>5550</v>
      </c>
      <c r="V37" t="s">
        <v>1797</v>
      </c>
      <c r="X37" t="s">
        <v>74</v>
      </c>
      <c r="Y37" t="b">
        <v>0</v>
      </c>
      <c r="Z37" t="b">
        <v>0</v>
      </c>
      <c r="AC37" s="1"/>
      <c r="AF37">
        <v>0</v>
      </c>
      <c r="AG37">
        <v>45</v>
      </c>
      <c r="AH37">
        <v>308</v>
      </c>
      <c r="AI37" s="2">
        <f>Table__192.168.3.138DYLGSMetaData[[#This Row],[NetAmount]]-Table__192.168.3.138DYLGSMetaData[[#This Row],[Paid]]</f>
        <v>12910</v>
      </c>
    </row>
    <row r="38" spans="1:35" hidden="1">
      <c r="A38" t="s">
        <v>5541</v>
      </c>
      <c r="B38" t="s">
        <v>5542</v>
      </c>
      <c r="C38" t="s">
        <v>5642</v>
      </c>
      <c r="D38" s="1">
        <v>41016</v>
      </c>
      <c r="E38" s="1">
        <v>41061</v>
      </c>
      <c r="F38">
        <v>630000</v>
      </c>
      <c r="G38">
        <v>100800</v>
      </c>
      <c r="H38">
        <v>0</v>
      </c>
      <c r="I38">
        <v>0</v>
      </c>
      <c r="J38">
        <v>252</v>
      </c>
      <c r="K38">
        <v>730800</v>
      </c>
      <c r="L38" t="s">
        <v>5643</v>
      </c>
      <c r="M38" s="1">
        <v>41016</v>
      </c>
      <c r="O38" t="s">
        <v>36</v>
      </c>
      <c r="P38" t="s">
        <v>37</v>
      </c>
      <c r="Q38" t="s">
        <v>39</v>
      </c>
      <c r="R38" t="s">
        <v>40</v>
      </c>
      <c r="S38">
        <v>0</v>
      </c>
      <c r="U38" t="s">
        <v>5550</v>
      </c>
      <c r="V38" t="s">
        <v>1797</v>
      </c>
      <c r="X38" t="s">
        <v>74</v>
      </c>
      <c r="Y38" t="b">
        <v>0</v>
      </c>
      <c r="Z38" t="b">
        <v>0</v>
      </c>
      <c r="AC38" s="1"/>
      <c r="AF38">
        <v>0</v>
      </c>
      <c r="AG38">
        <v>45</v>
      </c>
      <c r="AH38">
        <v>297</v>
      </c>
      <c r="AI38" s="2">
        <f>Table__192.168.3.138DYLGSMetaData[[#This Row],[NetAmount]]-Table__192.168.3.138DYLGSMetaData[[#This Row],[Paid]]</f>
        <v>730800</v>
      </c>
    </row>
    <row r="39" spans="1:35" hidden="1">
      <c r="A39" t="s">
        <v>5541</v>
      </c>
      <c r="B39" t="s">
        <v>5542</v>
      </c>
      <c r="C39" t="s">
        <v>5644</v>
      </c>
      <c r="D39" s="1">
        <v>41016</v>
      </c>
      <c r="E39" s="1">
        <v>41061</v>
      </c>
      <c r="F39">
        <v>120000</v>
      </c>
      <c r="G39">
        <v>19200</v>
      </c>
      <c r="H39">
        <v>0</v>
      </c>
      <c r="I39">
        <v>0</v>
      </c>
      <c r="J39">
        <v>252</v>
      </c>
      <c r="K39">
        <v>139200</v>
      </c>
      <c r="L39" t="s">
        <v>5645</v>
      </c>
      <c r="M39" s="1">
        <v>41016</v>
      </c>
      <c r="O39" t="s">
        <v>36</v>
      </c>
      <c r="P39" t="s">
        <v>37</v>
      </c>
      <c r="Q39" t="s">
        <v>39</v>
      </c>
      <c r="R39" t="s">
        <v>40</v>
      </c>
      <c r="S39">
        <v>0</v>
      </c>
      <c r="U39" t="s">
        <v>5550</v>
      </c>
      <c r="V39" t="s">
        <v>1797</v>
      </c>
      <c r="X39" t="s">
        <v>74</v>
      </c>
      <c r="Y39" t="b">
        <v>0</v>
      </c>
      <c r="Z39" t="b">
        <v>0</v>
      </c>
      <c r="AC39" s="1"/>
      <c r="AF39">
        <v>0</v>
      </c>
      <c r="AG39">
        <v>45</v>
      </c>
      <c r="AH39">
        <v>297</v>
      </c>
      <c r="AI39" s="2">
        <f>Table__192.168.3.138DYLGSMetaData[[#This Row],[NetAmount]]-Table__192.168.3.138DYLGSMetaData[[#This Row],[Paid]]</f>
        <v>139200</v>
      </c>
    </row>
    <row r="40" spans="1:35" hidden="1">
      <c r="A40" t="s">
        <v>5541</v>
      </c>
      <c r="B40" t="s">
        <v>5542</v>
      </c>
      <c r="C40" t="s">
        <v>5646</v>
      </c>
      <c r="D40" s="1">
        <v>41018</v>
      </c>
      <c r="E40" s="1">
        <v>41063</v>
      </c>
      <c r="F40">
        <v>342000</v>
      </c>
      <c r="G40">
        <v>54720</v>
      </c>
      <c r="H40">
        <v>0</v>
      </c>
      <c r="I40">
        <v>0</v>
      </c>
      <c r="J40">
        <v>251</v>
      </c>
      <c r="K40">
        <v>396720</v>
      </c>
      <c r="L40" t="s">
        <v>5647</v>
      </c>
      <c r="M40" s="1">
        <v>41017</v>
      </c>
      <c r="O40" t="s">
        <v>36</v>
      </c>
      <c r="P40" t="s">
        <v>37</v>
      </c>
      <c r="Q40" t="s">
        <v>39</v>
      </c>
      <c r="R40" t="s">
        <v>40</v>
      </c>
      <c r="S40">
        <v>0</v>
      </c>
      <c r="U40" t="s">
        <v>5550</v>
      </c>
      <c r="V40" t="s">
        <v>1797</v>
      </c>
      <c r="X40" t="s">
        <v>74</v>
      </c>
      <c r="Y40" t="b">
        <v>0</v>
      </c>
      <c r="Z40" t="b">
        <v>0</v>
      </c>
      <c r="AC40" s="1"/>
      <c r="AF40">
        <v>0</v>
      </c>
      <c r="AG40">
        <v>45</v>
      </c>
      <c r="AH40">
        <v>296</v>
      </c>
      <c r="AI40" s="2">
        <f>Table__192.168.3.138DYLGSMetaData[[#This Row],[NetAmount]]-Table__192.168.3.138DYLGSMetaData[[#This Row],[Paid]]</f>
        <v>396720</v>
      </c>
    </row>
    <row r="41" spans="1:35" hidden="1">
      <c r="A41" t="s">
        <v>5521</v>
      </c>
      <c r="B41" t="s">
        <v>5522</v>
      </c>
      <c r="C41" t="s">
        <v>5648</v>
      </c>
      <c r="D41" s="1">
        <v>41020</v>
      </c>
      <c r="E41" s="1">
        <v>41065</v>
      </c>
      <c r="F41">
        <v>182400</v>
      </c>
      <c r="G41">
        <v>29184</v>
      </c>
      <c r="H41">
        <v>0</v>
      </c>
      <c r="I41">
        <v>0</v>
      </c>
      <c r="J41">
        <v>248</v>
      </c>
      <c r="K41">
        <v>211584</v>
      </c>
      <c r="L41" t="s">
        <v>5649</v>
      </c>
      <c r="M41" s="1">
        <v>41020</v>
      </c>
      <c r="O41" t="s">
        <v>36</v>
      </c>
      <c r="P41" t="s">
        <v>37</v>
      </c>
      <c r="Q41" t="s">
        <v>39</v>
      </c>
      <c r="R41" t="s">
        <v>40</v>
      </c>
      <c r="S41">
        <v>0</v>
      </c>
      <c r="U41" t="s">
        <v>5550</v>
      </c>
      <c r="V41" t="s">
        <v>1797</v>
      </c>
      <c r="X41" t="s">
        <v>74</v>
      </c>
      <c r="Y41" t="b">
        <v>0</v>
      </c>
      <c r="Z41" t="b">
        <v>0</v>
      </c>
      <c r="AB41" t="s">
        <v>5615</v>
      </c>
      <c r="AC41" s="1">
        <v>41233</v>
      </c>
      <c r="AF41">
        <v>0</v>
      </c>
      <c r="AG41">
        <v>45</v>
      </c>
      <c r="AH41">
        <v>293</v>
      </c>
      <c r="AI41" s="2">
        <f>Table__192.168.3.138DYLGSMetaData[[#This Row],[NetAmount]]-Table__192.168.3.138DYLGSMetaData[[#This Row],[Paid]]</f>
        <v>211584</v>
      </c>
    </row>
    <row r="42" spans="1:35" hidden="1">
      <c r="A42" t="s">
        <v>5485</v>
      </c>
      <c r="B42" t="s">
        <v>5486</v>
      </c>
      <c r="C42" t="s">
        <v>5650</v>
      </c>
      <c r="D42" s="1">
        <v>41029</v>
      </c>
      <c r="E42" s="1">
        <v>41074</v>
      </c>
      <c r="F42">
        <v>952611</v>
      </c>
      <c r="G42">
        <v>0</v>
      </c>
      <c r="H42">
        <v>0</v>
      </c>
      <c r="I42">
        <v>0</v>
      </c>
      <c r="J42">
        <v>249</v>
      </c>
      <c r="K42">
        <v>952611</v>
      </c>
      <c r="L42" t="s">
        <v>64</v>
      </c>
      <c r="M42" s="1">
        <v>41019</v>
      </c>
      <c r="O42" t="s">
        <v>36</v>
      </c>
      <c r="P42" t="s">
        <v>37</v>
      </c>
      <c r="Q42" t="s">
        <v>39</v>
      </c>
      <c r="R42" t="s">
        <v>40</v>
      </c>
      <c r="S42">
        <v>0</v>
      </c>
      <c r="U42" t="s">
        <v>5550</v>
      </c>
      <c r="V42" t="s">
        <v>1797</v>
      </c>
      <c r="X42" t="s">
        <v>74</v>
      </c>
      <c r="Y42" t="b">
        <v>0</v>
      </c>
      <c r="Z42" t="b">
        <v>0</v>
      </c>
      <c r="AB42" t="s">
        <v>5651</v>
      </c>
      <c r="AC42" s="1">
        <v>41044</v>
      </c>
      <c r="AD42" t="s">
        <v>5652</v>
      </c>
      <c r="AE42" t="s">
        <v>5639</v>
      </c>
      <c r="AF42">
        <v>950892</v>
      </c>
      <c r="AG42">
        <v>45</v>
      </c>
      <c r="AH42">
        <v>294</v>
      </c>
      <c r="AI42" s="2">
        <f>Table__192.168.3.138DYLGSMetaData[[#This Row],[NetAmount]]-Table__192.168.3.138DYLGSMetaData[[#This Row],[Paid]]</f>
        <v>1719</v>
      </c>
    </row>
    <row r="43" spans="1:35" hidden="1">
      <c r="A43" t="s">
        <v>5479</v>
      </c>
      <c r="B43" t="s">
        <v>5480</v>
      </c>
      <c r="C43" t="s">
        <v>5653</v>
      </c>
      <c r="D43" s="1">
        <v>41024</v>
      </c>
      <c r="E43" s="1">
        <v>41069</v>
      </c>
      <c r="F43">
        <v>70000</v>
      </c>
      <c r="G43">
        <v>0</v>
      </c>
      <c r="H43">
        <v>0</v>
      </c>
      <c r="I43">
        <v>0</v>
      </c>
      <c r="J43">
        <v>244</v>
      </c>
      <c r="K43">
        <v>70000</v>
      </c>
      <c r="L43" t="s">
        <v>5654</v>
      </c>
      <c r="M43" s="1">
        <v>41024</v>
      </c>
      <c r="O43" t="s">
        <v>36</v>
      </c>
      <c r="P43" t="s">
        <v>37</v>
      </c>
      <c r="Q43" t="s">
        <v>39</v>
      </c>
      <c r="R43" t="s">
        <v>40</v>
      </c>
      <c r="S43">
        <v>0</v>
      </c>
      <c r="U43" t="s">
        <v>5550</v>
      </c>
      <c r="V43" t="s">
        <v>1797</v>
      </c>
      <c r="X43" t="s">
        <v>74</v>
      </c>
      <c r="Y43" t="b">
        <v>0</v>
      </c>
      <c r="Z43" t="b">
        <v>0</v>
      </c>
      <c r="AC43" s="1"/>
      <c r="AF43">
        <v>0</v>
      </c>
      <c r="AG43">
        <v>45</v>
      </c>
      <c r="AH43">
        <v>289</v>
      </c>
      <c r="AI43" s="2">
        <f>Table__192.168.3.138DYLGSMetaData[[#This Row],[NetAmount]]-Table__192.168.3.138DYLGSMetaData[[#This Row],[Paid]]</f>
        <v>70000</v>
      </c>
    </row>
    <row r="44" spans="1:35" hidden="1">
      <c r="A44" t="s">
        <v>5479</v>
      </c>
      <c r="B44" t="s">
        <v>5480</v>
      </c>
      <c r="C44" t="s">
        <v>5655</v>
      </c>
      <c r="D44" s="1">
        <v>41045</v>
      </c>
      <c r="E44" s="1">
        <v>41090</v>
      </c>
      <c r="F44">
        <v>70000</v>
      </c>
      <c r="G44">
        <v>0</v>
      </c>
      <c r="H44">
        <v>0</v>
      </c>
      <c r="I44">
        <v>0</v>
      </c>
      <c r="J44">
        <v>223</v>
      </c>
      <c r="K44">
        <v>70000</v>
      </c>
      <c r="L44" t="s">
        <v>5656</v>
      </c>
      <c r="M44" s="1">
        <v>41045</v>
      </c>
      <c r="O44" t="s">
        <v>36</v>
      </c>
      <c r="P44" t="s">
        <v>37</v>
      </c>
      <c r="Q44" t="s">
        <v>39</v>
      </c>
      <c r="R44" t="s">
        <v>40</v>
      </c>
      <c r="S44">
        <v>0</v>
      </c>
      <c r="U44" t="s">
        <v>5550</v>
      </c>
      <c r="V44" t="s">
        <v>1797</v>
      </c>
      <c r="X44" t="s">
        <v>74</v>
      </c>
      <c r="Y44" t="b">
        <v>0</v>
      </c>
      <c r="Z44" t="b">
        <v>0</v>
      </c>
      <c r="AC44" s="1"/>
      <c r="AF44">
        <v>0</v>
      </c>
      <c r="AG44">
        <v>45</v>
      </c>
      <c r="AH44">
        <v>268</v>
      </c>
      <c r="AI44" s="2">
        <f>Table__192.168.3.138DYLGSMetaData[[#This Row],[NetAmount]]-Table__192.168.3.138DYLGSMetaData[[#This Row],[Paid]]</f>
        <v>70000</v>
      </c>
    </row>
    <row r="45" spans="1:35" hidden="1">
      <c r="A45" t="s">
        <v>5525</v>
      </c>
      <c r="B45" t="s">
        <v>5526</v>
      </c>
      <c r="C45" t="s">
        <v>5657</v>
      </c>
      <c r="D45" s="1">
        <v>41045</v>
      </c>
      <c r="E45" s="1">
        <v>41090</v>
      </c>
      <c r="F45">
        <v>17500</v>
      </c>
      <c r="G45">
        <v>2800</v>
      </c>
      <c r="H45">
        <v>0</v>
      </c>
      <c r="I45">
        <v>0</v>
      </c>
      <c r="J45">
        <v>221</v>
      </c>
      <c r="K45">
        <v>20300</v>
      </c>
      <c r="L45" t="s">
        <v>2249</v>
      </c>
      <c r="M45" s="1">
        <v>41047</v>
      </c>
      <c r="N45" t="s">
        <v>5658</v>
      </c>
      <c r="O45" t="s">
        <v>36</v>
      </c>
      <c r="P45" t="s">
        <v>37</v>
      </c>
      <c r="Q45" t="s">
        <v>39</v>
      </c>
      <c r="R45" t="s">
        <v>40</v>
      </c>
      <c r="S45">
        <v>0</v>
      </c>
      <c r="U45" t="s">
        <v>5550</v>
      </c>
      <c r="V45" t="s">
        <v>1797</v>
      </c>
      <c r="W45" t="s">
        <v>5659</v>
      </c>
      <c r="X45" t="s">
        <v>74</v>
      </c>
      <c r="Y45" t="b">
        <v>0</v>
      </c>
      <c r="Z45" t="b">
        <v>0</v>
      </c>
      <c r="AA45" t="b">
        <v>0</v>
      </c>
      <c r="AC45" s="1"/>
      <c r="AF45">
        <v>0</v>
      </c>
      <c r="AG45">
        <v>45</v>
      </c>
      <c r="AH45">
        <v>266</v>
      </c>
      <c r="AI45" s="2">
        <f>Table__192.168.3.138DYLGSMetaData[[#This Row],[NetAmount]]-Table__192.168.3.138DYLGSMetaData[[#This Row],[Paid]]</f>
        <v>20300</v>
      </c>
    </row>
    <row r="46" spans="1:35" hidden="1">
      <c r="A46" t="s">
        <v>5521</v>
      </c>
      <c r="B46" t="s">
        <v>5522</v>
      </c>
      <c r="C46" t="s">
        <v>5660</v>
      </c>
      <c r="D46" s="1">
        <v>41032</v>
      </c>
      <c r="E46" s="1">
        <v>41077</v>
      </c>
      <c r="F46">
        <v>55680</v>
      </c>
      <c r="G46">
        <v>8909</v>
      </c>
      <c r="H46">
        <v>0</v>
      </c>
      <c r="I46">
        <v>0</v>
      </c>
      <c r="J46">
        <v>236</v>
      </c>
      <c r="K46">
        <v>64589</v>
      </c>
      <c r="L46" t="s">
        <v>5661</v>
      </c>
      <c r="M46" s="1">
        <v>41032</v>
      </c>
      <c r="O46" t="s">
        <v>36</v>
      </c>
      <c r="P46" t="s">
        <v>37</v>
      </c>
      <c r="Q46" t="s">
        <v>39</v>
      </c>
      <c r="R46" t="s">
        <v>40</v>
      </c>
      <c r="S46">
        <v>0</v>
      </c>
      <c r="U46" t="s">
        <v>5550</v>
      </c>
      <c r="V46" t="s">
        <v>1797</v>
      </c>
      <c r="X46" t="s">
        <v>74</v>
      </c>
      <c r="Y46" t="b">
        <v>0</v>
      </c>
      <c r="Z46" t="b">
        <v>0</v>
      </c>
      <c r="AB46" t="s">
        <v>5615</v>
      </c>
      <c r="AC46" s="1">
        <v>41233</v>
      </c>
      <c r="AF46">
        <v>0</v>
      </c>
      <c r="AG46">
        <v>45</v>
      </c>
      <c r="AH46">
        <v>281</v>
      </c>
      <c r="AI46" s="2">
        <f>Table__192.168.3.138DYLGSMetaData[[#This Row],[NetAmount]]-Table__192.168.3.138DYLGSMetaData[[#This Row],[Paid]]</f>
        <v>64589</v>
      </c>
    </row>
    <row r="47" spans="1:35" hidden="1">
      <c r="A47" t="s">
        <v>5541</v>
      </c>
      <c r="B47" t="s">
        <v>5542</v>
      </c>
      <c r="C47" t="s">
        <v>5662</v>
      </c>
      <c r="D47" s="1">
        <v>41032</v>
      </c>
      <c r="E47" s="1">
        <v>41077</v>
      </c>
      <c r="F47">
        <v>48000</v>
      </c>
      <c r="G47">
        <v>7680</v>
      </c>
      <c r="H47">
        <v>0</v>
      </c>
      <c r="I47">
        <v>0</v>
      </c>
      <c r="J47">
        <v>236</v>
      </c>
      <c r="K47">
        <v>55680</v>
      </c>
      <c r="L47" t="s">
        <v>5663</v>
      </c>
      <c r="M47" s="1">
        <v>41032</v>
      </c>
      <c r="O47" t="s">
        <v>36</v>
      </c>
      <c r="P47" t="s">
        <v>37</v>
      </c>
      <c r="Q47" t="s">
        <v>39</v>
      </c>
      <c r="R47" t="s">
        <v>40</v>
      </c>
      <c r="S47">
        <v>0</v>
      </c>
      <c r="U47" t="s">
        <v>5550</v>
      </c>
      <c r="V47" t="s">
        <v>1797</v>
      </c>
      <c r="X47" t="s">
        <v>74</v>
      </c>
      <c r="Y47" t="b">
        <v>0</v>
      </c>
      <c r="Z47" t="b">
        <v>0</v>
      </c>
      <c r="AC47" s="1"/>
      <c r="AF47">
        <v>0</v>
      </c>
      <c r="AG47">
        <v>45</v>
      </c>
      <c r="AH47">
        <v>281</v>
      </c>
      <c r="AI47" s="2">
        <f>Table__192.168.3.138DYLGSMetaData[[#This Row],[NetAmount]]-Table__192.168.3.138DYLGSMetaData[[#This Row],[Paid]]</f>
        <v>55680</v>
      </c>
    </row>
    <row r="48" spans="1:35" hidden="1">
      <c r="A48" t="s">
        <v>5541</v>
      </c>
      <c r="B48" t="s">
        <v>5542</v>
      </c>
      <c r="C48" t="s">
        <v>5664</v>
      </c>
      <c r="D48" s="1">
        <v>41051</v>
      </c>
      <c r="E48" s="1">
        <v>41096</v>
      </c>
      <c r="F48">
        <v>60000</v>
      </c>
      <c r="G48">
        <v>9600</v>
      </c>
      <c r="H48">
        <v>0</v>
      </c>
      <c r="I48">
        <v>0</v>
      </c>
      <c r="J48">
        <v>210</v>
      </c>
      <c r="K48">
        <v>69600</v>
      </c>
      <c r="L48" t="s">
        <v>5665</v>
      </c>
      <c r="M48" s="1">
        <v>41058</v>
      </c>
      <c r="O48" t="s">
        <v>36</v>
      </c>
      <c r="P48" t="s">
        <v>37</v>
      </c>
      <c r="Q48" t="s">
        <v>39</v>
      </c>
      <c r="R48" t="s">
        <v>40</v>
      </c>
      <c r="S48">
        <v>0</v>
      </c>
      <c r="U48" t="s">
        <v>5550</v>
      </c>
      <c r="V48" t="s">
        <v>1797</v>
      </c>
      <c r="X48" t="s">
        <v>74</v>
      </c>
      <c r="Y48" t="b">
        <v>0</v>
      </c>
      <c r="Z48" t="b">
        <v>0</v>
      </c>
      <c r="AC48" s="1"/>
      <c r="AF48">
        <v>0</v>
      </c>
      <c r="AG48">
        <v>45</v>
      </c>
      <c r="AH48">
        <v>255</v>
      </c>
      <c r="AI48" s="2">
        <f>Table__192.168.3.138DYLGSMetaData[[#This Row],[NetAmount]]-Table__192.168.3.138DYLGSMetaData[[#This Row],[Paid]]</f>
        <v>69600</v>
      </c>
    </row>
    <row r="49" spans="1:35" hidden="1">
      <c r="A49" t="s">
        <v>5541</v>
      </c>
      <c r="B49" t="s">
        <v>5542</v>
      </c>
      <c r="C49" t="s">
        <v>5666</v>
      </c>
      <c r="D49" s="1">
        <v>41060</v>
      </c>
      <c r="E49" s="1">
        <v>41105</v>
      </c>
      <c r="F49">
        <v>232000</v>
      </c>
      <c r="G49">
        <v>37120</v>
      </c>
      <c r="H49">
        <v>0</v>
      </c>
      <c r="I49">
        <v>0</v>
      </c>
      <c r="J49">
        <v>208</v>
      </c>
      <c r="K49">
        <v>269120</v>
      </c>
      <c r="L49" t="s">
        <v>5667</v>
      </c>
      <c r="M49" s="1">
        <v>41060</v>
      </c>
      <c r="O49" t="s">
        <v>36</v>
      </c>
      <c r="P49" t="s">
        <v>37</v>
      </c>
      <c r="Q49" t="s">
        <v>39</v>
      </c>
      <c r="R49" t="s">
        <v>40</v>
      </c>
      <c r="S49">
        <v>0</v>
      </c>
      <c r="U49" t="s">
        <v>5550</v>
      </c>
      <c r="V49" t="s">
        <v>1797</v>
      </c>
      <c r="X49" t="s">
        <v>74</v>
      </c>
      <c r="Y49" t="b">
        <v>0</v>
      </c>
      <c r="Z49" t="b">
        <v>0</v>
      </c>
      <c r="AC49" s="1"/>
      <c r="AF49">
        <v>0</v>
      </c>
      <c r="AG49">
        <v>45</v>
      </c>
      <c r="AH49">
        <v>253</v>
      </c>
      <c r="AI49" s="2">
        <f>Table__192.168.3.138DYLGSMetaData[[#This Row],[NetAmount]]-Table__192.168.3.138DYLGSMetaData[[#This Row],[Paid]]</f>
        <v>269120</v>
      </c>
    </row>
    <row r="50" spans="1:35" hidden="1">
      <c r="A50" t="s">
        <v>5541</v>
      </c>
      <c r="B50" t="s">
        <v>5542</v>
      </c>
      <c r="C50" t="s">
        <v>5668</v>
      </c>
      <c r="D50" s="1">
        <v>41051</v>
      </c>
      <c r="E50" s="1">
        <v>41096</v>
      </c>
      <c r="F50">
        <v>345900</v>
      </c>
      <c r="G50">
        <v>55344</v>
      </c>
      <c r="H50">
        <v>0</v>
      </c>
      <c r="I50">
        <v>0</v>
      </c>
      <c r="J50">
        <v>217</v>
      </c>
      <c r="K50">
        <v>401244</v>
      </c>
      <c r="L50" t="s">
        <v>5669</v>
      </c>
      <c r="M50" s="1">
        <v>41051</v>
      </c>
      <c r="O50" t="s">
        <v>36</v>
      </c>
      <c r="P50" t="s">
        <v>37</v>
      </c>
      <c r="Q50" t="s">
        <v>39</v>
      </c>
      <c r="R50" t="s">
        <v>40</v>
      </c>
      <c r="S50">
        <v>0</v>
      </c>
      <c r="U50" t="s">
        <v>5550</v>
      </c>
      <c r="V50" t="s">
        <v>1797</v>
      </c>
      <c r="X50" t="s">
        <v>74</v>
      </c>
      <c r="Y50" t="b">
        <v>0</v>
      </c>
      <c r="Z50" t="b">
        <v>0</v>
      </c>
      <c r="AC50" s="1"/>
      <c r="AF50">
        <v>0</v>
      </c>
      <c r="AG50">
        <v>45</v>
      </c>
      <c r="AH50">
        <v>262</v>
      </c>
      <c r="AI50" s="2">
        <f>Table__192.168.3.138DYLGSMetaData[[#This Row],[NetAmount]]-Table__192.168.3.138DYLGSMetaData[[#This Row],[Paid]]</f>
        <v>401244</v>
      </c>
    </row>
    <row r="51" spans="1:35" hidden="1">
      <c r="A51" t="s">
        <v>5541</v>
      </c>
      <c r="B51" t="s">
        <v>5542</v>
      </c>
      <c r="C51" t="s">
        <v>5670</v>
      </c>
      <c r="D51" s="1">
        <v>41057</v>
      </c>
      <c r="E51" s="1">
        <v>41102</v>
      </c>
      <c r="F51">
        <v>433800</v>
      </c>
      <c r="G51">
        <v>69408</v>
      </c>
      <c r="H51">
        <v>0</v>
      </c>
      <c r="I51">
        <v>0</v>
      </c>
      <c r="J51">
        <v>211</v>
      </c>
      <c r="K51">
        <v>503208</v>
      </c>
      <c r="L51" t="s">
        <v>5671</v>
      </c>
      <c r="M51" s="1">
        <v>41057</v>
      </c>
      <c r="O51" t="s">
        <v>36</v>
      </c>
      <c r="P51" t="s">
        <v>37</v>
      </c>
      <c r="Q51" t="s">
        <v>39</v>
      </c>
      <c r="R51" t="s">
        <v>40</v>
      </c>
      <c r="S51">
        <v>0</v>
      </c>
      <c r="U51" t="s">
        <v>5550</v>
      </c>
      <c r="V51" t="s">
        <v>1797</v>
      </c>
      <c r="X51" t="s">
        <v>74</v>
      </c>
      <c r="Y51" t="b">
        <v>0</v>
      </c>
      <c r="Z51" t="b">
        <v>0</v>
      </c>
      <c r="AC51" s="1"/>
      <c r="AF51">
        <v>0</v>
      </c>
      <c r="AG51">
        <v>45</v>
      </c>
      <c r="AH51">
        <v>256</v>
      </c>
      <c r="AI51" s="2">
        <f>Table__192.168.3.138DYLGSMetaData[[#This Row],[NetAmount]]-Table__192.168.3.138DYLGSMetaData[[#This Row],[Paid]]</f>
        <v>503208</v>
      </c>
    </row>
    <row r="52" spans="1:35" hidden="1">
      <c r="A52" t="s">
        <v>5541</v>
      </c>
      <c r="B52" t="s">
        <v>5542</v>
      </c>
      <c r="C52" t="s">
        <v>5672</v>
      </c>
      <c r="D52" s="1">
        <v>41058</v>
      </c>
      <c r="E52" s="1">
        <v>41103</v>
      </c>
      <c r="F52">
        <v>60000</v>
      </c>
      <c r="G52">
        <v>9600</v>
      </c>
      <c r="H52">
        <v>0</v>
      </c>
      <c r="I52">
        <v>0</v>
      </c>
      <c r="J52">
        <v>210</v>
      </c>
      <c r="K52">
        <v>69600</v>
      </c>
      <c r="L52" t="s">
        <v>5673</v>
      </c>
      <c r="M52" s="1">
        <v>41058</v>
      </c>
      <c r="O52" t="s">
        <v>36</v>
      </c>
      <c r="P52" t="s">
        <v>37</v>
      </c>
      <c r="Q52" t="s">
        <v>39</v>
      </c>
      <c r="R52" t="s">
        <v>40</v>
      </c>
      <c r="S52">
        <v>0</v>
      </c>
      <c r="U52" t="s">
        <v>5550</v>
      </c>
      <c r="V52" t="s">
        <v>1797</v>
      </c>
      <c r="X52" t="s">
        <v>74</v>
      </c>
      <c r="Y52" t="b">
        <v>0</v>
      </c>
      <c r="Z52" t="b">
        <v>0</v>
      </c>
      <c r="AC52" s="1"/>
      <c r="AF52">
        <v>0</v>
      </c>
      <c r="AG52">
        <v>45</v>
      </c>
      <c r="AH52">
        <v>255</v>
      </c>
      <c r="AI52" s="2">
        <f>Table__192.168.3.138DYLGSMetaData[[#This Row],[NetAmount]]-Table__192.168.3.138DYLGSMetaData[[#This Row],[Paid]]</f>
        <v>69600</v>
      </c>
    </row>
    <row r="53" spans="1:35" hidden="1">
      <c r="A53" t="s">
        <v>5507</v>
      </c>
      <c r="B53" t="s">
        <v>5508</v>
      </c>
      <c r="C53" t="s">
        <v>5674</v>
      </c>
      <c r="D53" s="1">
        <v>41070</v>
      </c>
      <c r="E53" s="1">
        <v>41115</v>
      </c>
      <c r="F53">
        <v>916405</v>
      </c>
      <c r="G53">
        <v>146625</v>
      </c>
      <c r="H53">
        <v>0</v>
      </c>
      <c r="I53">
        <v>1063000</v>
      </c>
      <c r="J53">
        <v>565</v>
      </c>
      <c r="K53">
        <v>1063030</v>
      </c>
      <c r="L53" t="s">
        <v>5675</v>
      </c>
      <c r="M53" s="1">
        <v>40703</v>
      </c>
      <c r="O53" t="s">
        <v>36</v>
      </c>
      <c r="P53" t="s">
        <v>37</v>
      </c>
      <c r="Q53" t="s">
        <v>39</v>
      </c>
      <c r="R53" t="s">
        <v>40</v>
      </c>
      <c r="S53">
        <v>0</v>
      </c>
      <c r="T53" t="s">
        <v>5676</v>
      </c>
      <c r="U53" t="s">
        <v>5550</v>
      </c>
      <c r="V53" t="s">
        <v>1797</v>
      </c>
      <c r="X53" t="s">
        <v>74</v>
      </c>
      <c r="Y53" t="b">
        <v>0</v>
      </c>
      <c r="Z53" t="b">
        <v>0</v>
      </c>
      <c r="AC53" s="1"/>
      <c r="AF53">
        <v>0</v>
      </c>
      <c r="AG53">
        <v>45</v>
      </c>
      <c r="AH53">
        <v>610</v>
      </c>
      <c r="AI53" s="2">
        <f>Table__192.168.3.138DYLGSMetaData[[#This Row],[NetAmount]]-Table__192.168.3.138DYLGSMetaData[[#This Row],[Paid]]</f>
        <v>1063030</v>
      </c>
    </row>
    <row r="54" spans="1:35" hidden="1">
      <c r="A54" t="s">
        <v>5493</v>
      </c>
      <c r="B54" t="s">
        <v>5494</v>
      </c>
      <c r="C54" t="s">
        <v>5677</v>
      </c>
      <c r="D54" s="1">
        <v>41079</v>
      </c>
      <c r="E54" s="1">
        <v>41124</v>
      </c>
      <c r="F54">
        <v>25770</v>
      </c>
      <c r="G54">
        <v>4123</v>
      </c>
      <c r="H54">
        <v>0</v>
      </c>
      <c r="I54">
        <v>0</v>
      </c>
      <c r="J54">
        <v>189</v>
      </c>
      <c r="K54">
        <v>29893</v>
      </c>
      <c r="L54" t="s">
        <v>5678</v>
      </c>
      <c r="M54" s="1">
        <v>41079</v>
      </c>
      <c r="O54" t="s">
        <v>36</v>
      </c>
      <c r="P54" t="s">
        <v>37</v>
      </c>
      <c r="Q54" t="s">
        <v>39</v>
      </c>
      <c r="R54" t="s">
        <v>40</v>
      </c>
      <c r="S54">
        <v>0</v>
      </c>
      <c r="U54" t="s">
        <v>5550</v>
      </c>
      <c r="V54" t="s">
        <v>1797</v>
      </c>
      <c r="X54" t="s">
        <v>74</v>
      </c>
      <c r="Y54" t="b">
        <v>0</v>
      </c>
      <c r="Z54" t="b">
        <v>0</v>
      </c>
      <c r="AC54" s="1"/>
      <c r="AF54">
        <v>0</v>
      </c>
      <c r="AG54">
        <v>45</v>
      </c>
      <c r="AH54">
        <v>234</v>
      </c>
      <c r="AI54" s="2">
        <f>Table__192.168.3.138DYLGSMetaData[[#This Row],[NetAmount]]-Table__192.168.3.138DYLGSMetaData[[#This Row],[Paid]]</f>
        <v>29893</v>
      </c>
    </row>
    <row r="55" spans="1:35" hidden="1">
      <c r="A55" t="s">
        <v>5497</v>
      </c>
      <c r="B55" t="s">
        <v>5498</v>
      </c>
      <c r="C55" t="s">
        <v>5679</v>
      </c>
      <c r="D55" s="1">
        <v>41086</v>
      </c>
      <c r="E55" s="1">
        <v>41131</v>
      </c>
      <c r="F55">
        <v>12593</v>
      </c>
      <c r="G55">
        <v>437</v>
      </c>
      <c r="H55">
        <v>0</v>
      </c>
      <c r="I55">
        <v>0</v>
      </c>
      <c r="J55">
        <v>202</v>
      </c>
      <c r="K55">
        <v>13030</v>
      </c>
      <c r="L55" t="s">
        <v>5680</v>
      </c>
      <c r="M55" s="1">
        <v>41066</v>
      </c>
      <c r="O55" t="s">
        <v>36</v>
      </c>
      <c r="P55" t="s">
        <v>37</v>
      </c>
      <c r="Q55" t="s">
        <v>39</v>
      </c>
      <c r="R55" t="s">
        <v>40</v>
      </c>
      <c r="S55">
        <v>0</v>
      </c>
      <c r="U55" t="s">
        <v>5550</v>
      </c>
      <c r="V55" t="s">
        <v>1797</v>
      </c>
      <c r="X55" t="s">
        <v>74</v>
      </c>
      <c r="Y55" t="b">
        <v>0</v>
      </c>
      <c r="Z55" t="b">
        <v>0</v>
      </c>
      <c r="AC55" s="1"/>
      <c r="AF55">
        <v>0</v>
      </c>
      <c r="AG55">
        <v>45</v>
      </c>
      <c r="AH55">
        <v>247</v>
      </c>
      <c r="AI55" s="2">
        <f>Table__192.168.3.138DYLGSMetaData[[#This Row],[NetAmount]]-Table__192.168.3.138DYLGSMetaData[[#This Row],[Paid]]</f>
        <v>13030</v>
      </c>
    </row>
    <row r="56" spans="1:35" hidden="1">
      <c r="A56" t="s">
        <v>5471</v>
      </c>
      <c r="B56" t="s">
        <v>5472</v>
      </c>
      <c r="C56" t="s">
        <v>5681</v>
      </c>
      <c r="D56" s="1">
        <v>41086</v>
      </c>
      <c r="E56" s="1">
        <v>41131</v>
      </c>
      <c r="F56">
        <v>127902</v>
      </c>
      <c r="G56">
        <v>17784</v>
      </c>
      <c r="H56">
        <v>0</v>
      </c>
      <c r="I56">
        <v>145603.18</v>
      </c>
      <c r="J56">
        <v>196</v>
      </c>
      <c r="K56">
        <v>145686.18</v>
      </c>
      <c r="L56" t="s">
        <v>5682</v>
      </c>
      <c r="M56" s="1">
        <v>41072</v>
      </c>
      <c r="O56" t="s">
        <v>36</v>
      </c>
      <c r="P56" t="s">
        <v>37</v>
      </c>
      <c r="Q56" t="s">
        <v>39</v>
      </c>
      <c r="R56" t="s">
        <v>40</v>
      </c>
      <c r="S56">
        <v>0</v>
      </c>
      <c r="T56" t="s">
        <v>5683</v>
      </c>
      <c r="U56" t="s">
        <v>5550</v>
      </c>
      <c r="V56" t="s">
        <v>1797</v>
      </c>
      <c r="X56" t="s">
        <v>74</v>
      </c>
      <c r="Y56" t="b">
        <v>0</v>
      </c>
      <c r="Z56" t="b">
        <v>0</v>
      </c>
      <c r="AC56" s="1"/>
      <c r="AF56">
        <v>0</v>
      </c>
      <c r="AG56">
        <v>45</v>
      </c>
      <c r="AH56">
        <v>241</v>
      </c>
      <c r="AI56" s="2">
        <f>Table__192.168.3.138DYLGSMetaData[[#This Row],[NetAmount]]-Table__192.168.3.138DYLGSMetaData[[#This Row],[Paid]]</f>
        <v>145686.18</v>
      </c>
    </row>
    <row r="57" spans="1:35" hidden="1">
      <c r="A57" t="s">
        <v>5497</v>
      </c>
      <c r="B57" t="s">
        <v>5498</v>
      </c>
      <c r="C57" t="s">
        <v>5684</v>
      </c>
      <c r="D57" s="1">
        <v>41060</v>
      </c>
      <c r="E57" s="1">
        <v>41105</v>
      </c>
      <c r="F57">
        <v>12451</v>
      </c>
      <c r="G57">
        <v>419</v>
      </c>
      <c r="H57">
        <v>0</v>
      </c>
      <c r="I57">
        <v>0</v>
      </c>
      <c r="J57">
        <v>234</v>
      </c>
      <c r="K57">
        <v>12870</v>
      </c>
      <c r="L57" t="s">
        <v>5685</v>
      </c>
      <c r="M57" s="1">
        <v>41034</v>
      </c>
      <c r="O57" t="s">
        <v>36</v>
      </c>
      <c r="P57" t="s">
        <v>37</v>
      </c>
      <c r="Q57" t="s">
        <v>39</v>
      </c>
      <c r="R57" t="s">
        <v>40</v>
      </c>
      <c r="S57">
        <v>0</v>
      </c>
      <c r="U57" t="s">
        <v>5550</v>
      </c>
      <c r="V57" t="s">
        <v>1797</v>
      </c>
      <c r="X57" t="s">
        <v>74</v>
      </c>
      <c r="Y57" t="b">
        <v>0</v>
      </c>
      <c r="Z57" t="b">
        <v>0</v>
      </c>
      <c r="AC57" s="1"/>
      <c r="AF57">
        <v>0</v>
      </c>
      <c r="AG57">
        <v>45</v>
      </c>
      <c r="AH57">
        <v>279</v>
      </c>
      <c r="AI57" s="2">
        <f>Table__192.168.3.138DYLGSMetaData[[#This Row],[NetAmount]]-Table__192.168.3.138DYLGSMetaData[[#This Row],[Paid]]</f>
        <v>12870</v>
      </c>
    </row>
    <row r="58" spans="1:35" hidden="1">
      <c r="A58" t="s">
        <v>5521</v>
      </c>
      <c r="B58" t="s">
        <v>5522</v>
      </c>
      <c r="C58" t="s">
        <v>5686</v>
      </c>
      <c r="D58" s="1">
        <v>41086</v>
      </c>
      <c r="E58" s="1">
        <v>41131</v>
      </c>
      <c r="F58">
        <v>79200</v>
      </c>
      <c r="G58">
        <v>12672</v>
      </c>
      <c r="H58">
        <v>0</v>
      </c>
      <c r="I58">
        <v>0</v>
      </c>
      <c r="J58">
        <v>182</v>
      </c>
      <c r="K58">
        <v>91872</v>
      </c>
      <c r="L58" t="s">
        <v>5687</v>
      </c>
      <c r="M58" s="1">
        <v>41086</v>
      </c>
      <c r="O58" t="s">
        <v>36</v>
      </c>
      <c r="P58" t="s">
        <v>37</v>
      </c>
      <c r="Q58" t="s">
        <v>39</v>
      </c>
      <c r="R58" t="s">
        <v>40</v>
      </c>
      <c r="S58">
        <v>0</v>
      </c>
      <c r="U58" t="s">
        <v>5550</v>
      </c>
      <c r="V58" t="s">
        <v>1797</v>
      </c>
      <c r="X58" t="s">
        <v>74</v>
      </c>
      <c r="Y58" t="b">
        <v>0</v>
      </c>
      <c r="Z58" t="b">
        <v>0</v>
      </c>
      <c r="AB58" t="s">
        <v>5615</v>
      </c>
      <c r="AC58" s="1">
        <v>41233</v>
      </c>
      <c r="AF58">
        <v>0</v>
      </c>
      <c r="AG58">
        <v>45</v>
      </c>
      <c r="AH58">
        <v>227</v>
      </c>
      <c r="AI58" s="2">
        <f>Table__192.168.3.138DYLGSMetaData[[#This Row],[NetAmount]]-Table__192.168.3.138DYLGSMetaData[[#This Row],[Paid]]</f>
        <v>91872</v>
      </c>
    </row>
    <row r="59" spans="1:35" hidden="1">
      <c r="A59" t="s">
        <v>5511</v>
      </c>
      <c r="B59" t="s">
        <v>5512</v>
      </c>
      <c r="C59" t="s">
        <v>5688</v>
      </c>
      <c r="D59" s="1">
        <v>41090</v>
      </c>
      <c r="E59" s="1">
        <v>41135</v>
      </c>
      <c r="F59">
        <v>74000</v>
      </c>
      <c r="G59">
        <v>0</v>
      </c>
      <c r="H59">
        <v>0</v>
      </c>
      <c r="I59">
        <v>0</v>
      </c>
      <c r="J59">
        <v>179</v>
      </c>
      <c r="K59">
        <v>74000</v>
      </c>
      <c r="L59" t="s">
        <v>5689</v>
      </c>
      <c r="M59" s="1">
        <v>41089</v>
      </c>
      <c r="N59" t="s">
        <v>5690</v>
      </c>
      <c r="O59" t="s">
        <v>36</v>
      </c>
      <c r="P59" t="s">
        <v>37</v>
      </c>
      <c r="Q59" t="s">
        <v>39</v>
      </c>
      <c r="R59" t="s">
        <v>40</v>
      </c>
      <c r="S59">
        <v>0</v>
      </c>
      <c r="U59" t="s">
        <v>5550</v>
      </c>
      <c r="V59" t="s">
        <v>1797</v>
      </c>
      <c r="W59" t="s">
        <v>5691</v>
      </c>
      <c r="X59" t="s">
        <v>74</v>
      </c>
      <c r="Y59" t="b">
        <v>0</v>
      </c>
      <c r="Z59" t="b">
        <v>0</v>
      </c>
      <c r="AA59" t="b">
        <v>0</v>
      </c>
      <c r="AC59" s="1"/>
      <c r="AF59">
        <v>0</v>
      </c>
      <c r="AG59">
        <v>45</v>
      </c>
      <c r="AH59">
        <v>224</v>
      </c>
      <c r="AI59" s="2">
        <f>Table__192.168.3.138DYLGSMetaData[[#This Row],[NetAmount]]-Table__192.168.3.138DYLGSMetaData[[#This Row],[Paid]]</f>
        <v>74000</v>
      </c>
    </row>
    <row r="60" spans="1:35" hidden="1">
      <c r="A60" t="s">
        <v>5479</v>
      </c>
      <c r="B60" t="s">
        <v>5480</v>
      </c>
      <c r="C60" t="s">
        <v>5692</v>
      </c>
      <c r="D60" s="1">
        <v>41054</v>
      </c>
      <c r="E60" s="1">
        <v>41099</v>
      </c>
      <c r="F60">
        <v>70000</v>
      </c>
      <c r="G60">
        <v>0</v>
      </c>
      <c r="H60">
        <v>0</v>
      </c>
      <c r="I60">
        <v>0</v>
      </c>
      <c r="J60">
        <v>214</v>
      </c>
      <c r="K60">
        <v>70000</v>
      </c>
      <c r="L60" t="s">
        <v>5656</v>
      </c>
      <c r="M60" s="1">
        <v>41054</v>
      </c>
      <c r="O60" t="s">
        <v>36</v>
      </c>
      <c r="P60" t="s">
        <v>37</v>
      </c>
      <c r="Q60" t="s">
        <v>39</v>
      </c>
      <c r="R60" t="s">
        <v>40</v>
      </c>
      <c r="S60">
        <v>0</v>
      </c>
      <c r="U60" t="s">
        <v>5550</v>
      </c>
      <c r="V60" t="s">
        <v>1797</v>
      </c>
      <c r="X60" t="s">
        <v>74</v>
      </c>
      <c r="Y60" t="b">
        <v>0</v>
      </c>
      <c r="Z60" t="b">
        <v>0</v>
      </c>
      <c r="AC60" s="1"/>
      <c r="AF60">
        <v>0</v>
      </c>
      <c r="AG60">
        <v>45</v>
      </c>
      <c r="AH60">
        <v>259</v>
      </c>
      <c r="AI60" s="2">
        <f>Table__192.168.3.138DYLGSMetaData[[#This Row],[NetAmount]]-Table__192.168.3.138DYLGSMetaData[[#This Row],[Paid]]</f>
        <v>70000</v>
      </c>
    </row>
    <row r="61" spans="1:35" hidden="1">
      <c r="A61" t="s">
        <v>5479</v>
      </c>
      <c r="B61" t="s">
        <v>5480</v>
      </c>
      <c r="C61" t="s">
        <v>5693</v>
      </c>
      <c r="D61" s="1">
        <v>41024</v>
      </c>
      <c r="E61" s="1">
        <v>41069</v>
      </c>
      <c r="F61">
        <v>70000</v>
      </c>
      <c r="G61">
        <v>0</v>
      </c>
      <c r="H61">
        <v>0</v>
      </c>
      <c r="I61">
        <v>0</v>
      </c>
      <c r="J61">
        <v>244</v>
      </c>
      <c r="K61">
        <v>70000</v>
      </c>
      <c r="L61" t="s">
        <v>5654</v>
      </c>
      <c r="M61" s="1">
        <v>41024</v>
      </c>
      <c r="O61" t="s">
        <v>36</v>
      </c>
      <c r="P61" t="s">
        <v>37</v>
      </c>
      <c r="Q61" t="s">
        <v>39</v>
      </c>
      <c r="R61" t="s">
        <v>40</v>
      </c>
      <c r="S61">
        <v>0</v>
      </c>
      <c r="U61" t="s">
        <v>5550</v>
      </c>
      <c r="V61" t="s">
        <v>1797</v>
      </c>
      <c r="X61" t="s">
        <v>74</v>
      </c>
      <c r="Y61" t="b">
        <v>0</v>
      </c>
      <c r="Z61" t="b">
        <v>0</v>
      </c>
      <c r="AC61" s="1"/>
      <c r="AF61">
        <v>0</v>
      </c>
      <c r="AG61">
        <v>45</v>
      </c>
      <c r="AH61">
        <v>289</v>
      </c>
      <c r="AI61" s="2">
        <f>Table__192.168.3.138DYLGSMetaData[[#This Row],[NetAmount]]-Table__192.168.3.138DYLGSMetaData[[#This Row],[Paid]]</f>
        <v>70000</v>
      </c>
    </row>
    <row r="62" spans="1:35" hidden="1">
      <c r="A62" t="s">
        <v>5497</v>
      </c>
      <c r="B62" t="s">
        <v>5498</v>
      </c>
      <c r="C62" t="s">
        <v>5694</v>
      </c>
      <c r="D62" s="1">
        <v>41113</v>
      </c>
      <c r="E62" s="1">
        <v>41158</v>
      </c>
      <c r="F62">
        <v>12444</v>
      </c>
      <c r="G62">
        <v>416</v>
      </c>
      <c r="H62">
        <v>0</v>
      </c>
      <c r="I62">
        <v>0</v>
      </c>
      <c r="J62">
        <v>172</v>
      </c>
      <c r="K62">
        <v>12860</v>
      </c>
      <c r="L62" t="s">
        <v>5695</v>
      </c>
      <c r="M62" s="1">
        <v>41096</v>
      </c>
      <c r="O62" t="s">
        <v>36</v>
      </c>
      <c r="P62" t="s">
        <v>37</v>
      </c>
      <c r="Q62" t="s">
        <v>39</v>
      </c>
      <c r="R62" t="s">
        <v>40</v>
      </c>
      <c r="S62">
        <v>0</v>
      </c>
      <c r="U62" t="s">
        <v>5550</v>
      </c>
      <c r="V62" t="s">
        <v>1797</v>
      </c>
      <c r="X62" t="s">
        <v>74</v>
      </c>
      <c r="Y62" t="b">
        <v>0</v>
      </c>
      <c r="Z62" t="b">
        <v>0</v>
      </c>
      <c r="AC62" s="1"/>
      <c r="AF62">
        <v>0</v>
      </c>
      <c r="AG62">
        <v>45</v>
      </c>
      <c r="AH62">
        <v>217</v>
      </c>
      <c r="AI62" s="2">
        <f>Table__192.168.3.138DYLGSMetaData[[#This Row],[NetAmount]]-Table__192.168.3.138DYLGSMetaData[[#This Row],[Paid]]</f>
        <v>12860</v>
      </c>
    </row>
    <row r="63" spans="1:35" hidden="1">
      <c r="A63" t="s">
        <v>5491</v>
      </c>
      <c r="B63" t="s">
        <v>5492</v>
      </c>
      <c r="C63" t="s">
        <v>5696</v>
      </c>
      <c r="D63" s="1">
        <v>41109</v>
      </c>
      <c r="E63" s="1">
        <v>41154</v>
      </c>
      <c r="F63">
        <v>2500</v>
      </c>
      <c r="G63">
        <v>400</v>
      </c>
      <c r="H63">
        <v>0</v>
      </c>
      <c r="I63">
        <v>0</v>
      </c>
      <c r="J63">
        <v>154</v>
      </c>
      <c r="K63">
        <v>2900</v>
      </c>
      <c r="L63" t="s">
        <v>86</v>
      </c>
      <c r="M63" s="1">
        <v>41114</v>
      </c>
      <c r="N63" t="s">
        <v>5697</v>
      </c>
      <c r="O63" t="s">
        <v>36</v>
      </c>
      <c r="P63" t="s">
        <v>37</v>
      </c>
      <c r="Q63" t="s">
        <v>39</v>
      </c>
      <c r="R63" t="s">
        <v>40</v>
      </c>
      <c r="S63">
        <v>0</v>
      </c>
      <c r="U63" t="s">
        <v>5550</v>
      </c>
      <c r="V63" t="s">
        <v>1797</v>
      </c>
      <c r="W63" t="s">
        <v>5698</v>
      </c>
      <c r="X63" t="s">
        <v>74</v>
      </c>
      <c r="Y63" t="b">
        <v>0</v>
      </c>
      <c r="Z63" t="b">
        <v>0</v>
      </c>
      <c r="AA63" t="b">
        <v>0</v>
      </c>
      <c r="AC63" s="1"/>
      <c r="AF63">
        <v>0</v>
      </c>
      <c r="AG63">
        <v>45</v>
      </c>
      <c r="AH63">
        <v>199</v>
      </c>
      <c r="AI63" s="2">
        <f>Table__192.168.3.138DYLGSMetaData[[#This Row],[NetAmount]]-Table__192.168.3.138DYLGSMetaData[[#This Row],[Paid]]</f>
        <v>2900</v>
      </c>
    </row>
    <row r="64" spans="1:35" hidden="1">
      <c r="A64" t="s">
        <v>5521</v>
      </c>
      <c r="B64" t="s">
        <v>5522</v>
      </c>
      <c r="C64" t="s">
        <v>5699</v>
      </c>
      <c r="D64" s="1">
        <v>41107</v>
      </c>
      <c r="E64" s="1">
        <v>41152</v>
      </c>
      <c r="F64">
        <v>61440</v>
      </c>
      <c r="G64">
        <v>9830</v>
      </c>
      <c r="H64">
        <v>0</v>
      </c>
      <c r="I64">
        <v>0</v>
      </c>
      <c r="J64">
        <v>162</v>
      </c>
      <c r="K64">
        <v>71270</v>
      </c>
      <c r="L64" t="s">
        <v>5700</v>
      </c>
      <c r="M64" s="1">
        <v>41106</v>
      </c>
      <c r="O64" t="s">
        <v>36</v>
      </c>
      <c r="P64" t="s">
        <v>37</v>
      </c>
      <c r="Q64" t="s">
        <v>39</v>
      </c>
      <c r="R64" t="s">
        <v>40</v>
      </c>
      <c r="S64">
        <v>0</v>
      </c>
      <c r="U64" t="s">
        <v>5550</v>
      </c>
      <c r="V64" t="s">
        <v>1797</v>
      </c>
      <c r="X64" t="s">
        <v>74</v>
      </c>
      <c r="Y64" t="b">
        <v>0</v>
      </c>
      <c r="Z64" t="b">
        <v>0</v>
      </c>
      <c r="AB64" t="s">
        <v>5615</v>
      </c>
      <c r="AC64" s="1">
        <v>41233</v>
      </c>
      <c r="AF64">
        <v>0</v>
      </c>
      <c r="AG64">
        <v>45</v>
      </c>
      <c r="AH64">
        <v>207</v>
      </c>
      <c r="AI64" s="2">
        <f>Table__192.168.3.138DYLGSMetaData[[#This Row],[NetAmount]]-Table__192.168.3.138DYLGSMetaData[[#This Row],[Paid]]</f>
        <v>71270</v>
      </c>
    </row>
    <row r="65" spans="1:35" hidden="1">
      <c r="A65" t="s">
        <v>5521</v>
      </c>
      <c r="B65" t="s">
        <v>5522</v>
      </c>
      <c r="C65" t="s">
        <v>5701</v>
      </c>
      <c r="D65" s="1">
        <v>41117</v>
      </c>
      <c r="E65" s="1">
        <v>41162</v>
      </c>
      <c r="F65">
        <v>185372</v>
      </c>
      <c r="G65">
        <v>29660</v>
      </c>
      <c r="H65">
        <v>0</v>
      </c>
      <c r="I65">
        <v>0</v>
      </c>
      <c r="J65">
        <v>148</v>
      </c>
      <c r="K65">
        <v>215032</v>
      </c>
      <c r="L65" t="s">
        <v>5702</v>
      </c>
      <c r="M65" s="1">
        <v>41120</v>
      </c>
      <c r="O65" t="s">
        <v>36</v>
      </c>
      <c r="P65" t="s">
        <v>37</v>
      </c>
      <c r="Q65" t="s">
        <v>39</v>
      </c>
      <c r="R65" t="s">
        <v>40</v>
      </c>
      <c r="S65">
        <v>0</v>
      </c>
      <c r="U65" t="s">
        <v>5550</v>
      </c>
      <c r="V65" t="s">
        <v>1797</v>
      </c>
      <c r="X65" t="s">
        <v>74</v>
      </c>
      <c r="Y65" t="b">
        <v>0</v>
      </c>
      <c r="Z65" t="b">
        <v>0</v>
      </c>
      <c r="AB65" t="s">
        <v>5615</v>
      </c>
      <c r="AC65" s="1">
        <v>41233</v>
      </c>
      <c r="AF65">
        <v>0</v>
      </c>
      <c r="AG65">
        <v>45</v>
      </c>
      <c r="AH65">
        <v>193</v>
      </c>
      <c r="AI65" s="2">
        <f>Table__192.168.3.138DYLGSMetaData[[#This Row],[NetAmount]]-Table__192.168.3.138DYLGSMetaData[[#This Row],[Paid]]</f>
        <v>215032</v>
      </c>
    </row>
    <row r="66" spans="1:35" hidden="1">
      <c r="A66" t="s">
        <v>5521</v>
      </c>
      <c r="B66" t="s">
        <v>5522</v>
      </c>
      <c r="C66" t="s">
        <v>5703</v>
      </c>
      <c r="D66" s="1">
        <v>41117</v>
      </c>
      <c r="E66" s="1">
        <v>41162</v>
      </c>
      <c r="F66">
        <v>126360</v>
      </c>
      <c r="G66">
        <v>20218</v>
      </c>
      <c r="H66">
        <v>0</v>
      </c>
      <c r="I66">
        <v>0</v>
      </c>
      <c r="J66">
        <v>151</v>
      </c>
      <c r="K66">
        <v>146578</v>
      </c>
      <c r="L66" t="s">
        <v>5704</v>
      </c>
      <c r="M66" s="1">
        <v>41117</v>
      </c>
      <c r="O66" t="s">
        <v>36</v>
      </c>
      <c r="P66" t="s">
        <v>37</v>
      </c>
      <c r="Q66" t="s">
        <v>39</v>
      </c>
      <c r="R66" t="s">
        <v>40</v>
      </c>
      <c r="S66">
        <v>0</v>
      </c>
      <c r="U66" t="s">
        <v>5550</v>
      </c>
      <c r="V66" t="s">
        <v>1797</v>
      </c>
      <c r="X66" t="s">
        <v>74</v>
      </c>
      <c r="Y66" t="b">
        <v>0</v>
      </c>
      <c r="Z66" t="b">
        <v>0</v>
      </c>
      <c r="AB66" t="s">
        <v>5615</v>
      </c>
      <c r="AC66" s="1">
        <v>41233</v>
      </c>
      <c r="AF66">
        <v>0</v>
      </c>
      <c r="AG66">
        <v>45</v>
      </c>
      <c r="AH66">
        <v>196</v>
      </c>
      <c r="AI66" s="2">
        <f>Table__192.168.3.138DYLGSMetaData[[#This Row],[NetAmount]]-Table__192.168.3.138DYLGSMetaData[[#This Row],[Paid]]</f>
        <v>146578</v>
      </c>
    </row>
    <row r="67" spans="1:35" hidden="1">
      <c r="A67" t="s">
        <v>5541</v>
      </c>
      <c r="B67" t="s">
        <v>5542</v>
      </c>
      <c r="C67" t="s">
        <v>5705</v>
      </c>
      <c r="D67" s="1">
        <v>41096</v>
      </c>
      <c r="E67" s="1">
        <v>41141</v>
      </c>
      <c r="F67">
        <v>208000</v>
      </c>
      <c r="G67">
        <v>33280</v>
      </c>
      <c r="H67">
        <v>0</v>
      </c>
      <c r="I67">
        <v>0</v>
      </c>
      <c r="J67">
        <v>172</v>
      </c>
      <c r="K67">
        <v>241280</v>
      </c>
      <c r="L67" t="s">
        <v>5706</v>
      </c>
      <c r="M67" s="1">
        <v>41096</v>
      </c>
      <c r="O67" t="s">
        <v>36</v>
      </c>
      <c r="P67" t="s">
        <v>37</v>
      </c>
      <c r="Q67" t="s">
        <v>39</v>
      </c>
      <c r="R67" t="s">
        <v>40</v>
      </c>
      <c r="S67">
        <v>0</v>
      </c>
      <c r="U67" t="s">
        <v>5550</v>
      </c>
      <c r="V67" t="s">
        <v>1797</v>
      </c>
      <c r="X67" t="s">
        <v>74</v>
      </c>
      <c r="Y67" t="b">
        <v>0</v>
      </c>
      <c r="Z67" t="b">
        <v>0</v>
      </c>
      <c r="AC67" s="1"/>
      <c r="AF67">
        <v>0</v>
      </c>
      <c r="AG67">
        <v>45</v>
      </c>
      <c r="AH67">
        <v>217</v>
      </c>
      <c r="AI67" s="2">
        <f>Table__192.168.3.138DYLGSMetaData[[#This Row],[NetAmount]]-Table__192.168.3.138DYLGSMetaData[[#This Row],[Paid]]</f>
        <v>241280</v>
      </c>
    </row>
    <row r="68" spans="1:35" hidden="1">
      <c r="A68" t="s">
        <v>5541</v>
      </c>
      <c r="B68" t="s">
        <v>5542</v>
      </c>
      <c r="C68" t="s">
        <v>5707</v>
      </c>
      <c r="D68" s="1">
        <v>41103</v>
      </c>
      <c r="E68" s="1">
        <v>41148</v>
      </c>
      <c r="F68">
        <v>81000</v>
      </c>
      <c r="G68">
        <v>12960</v>
      </c>
      <c r="H68">
        <v>0</v>
      </c>
      <c r="I68">
        <v>0</v>
      </c>
      <c r="J68">
        <v>166</v>
      </c>
      <c r="K68">
        <v>93960</v>
      </c>
      <c r="L68" t="s">
        <v>5708</v>
      </c>
      <c r="M68" s="1">
        <v>41102</v>
      </c>
      <c r="O68" t="s">
        <v>36</v>
      </c>
      <c r="P68" t="s">
        <v>37</v>
      </c>
      <c r="Q68" t="s">
        <v>39</v>
      </c>
      <c r="R68" t="s">
        <v>40</v>
      </c>
      <c r="S68">
        <v>0</v>
      </c>
      <c r="U68" t="s">
        <v>5550</v>
      </c>
      <c r="V68" t="s">
        <v>1797</v>
      </c>
      <c r="X68" t="s">
        <v>74</v>
      </c>
      <c r="Y68" t="b">
        <v>0</v>
      </c>
      <c r="Z68" t="b">
        <v>0</v>
      </c>
      <c r="AC68" s="1"/>
      <c r="AF68">
        <v>0</v>
      </c>
      <c r="AG68">
        <v>45</v>
      </c>
      <c r="AH68">
        <v>211</v>
      </c>
      <c r="AI68" s="2">
        <f>Table__192.168.3.138DYLGSMetaData[[#This Row],[NetAmount]]-Table__192.168.3.138DYLGSMetaData[[#This Row],[Paid]]</f>
        <v>93960</v>
      </c>
    </row>
    <row r="69" spans="1:35" hidden="1">
      <c r="A69" t="s">
        <v>5521</v>
      </c>
      <c r="B69" t="s">
        <v>5522</v>
      </c>
      <c r="C69" t="s">
        <v>5709</v>
      </c>
      <c r="D69" s="1">
        <v>41117</v>
      </c>
      <c r="E69" s="1">
        <v>41162</v>
      </c>
      <c r="F69">
        <v>252840</v>
      </c>
      <c r="G69">
        <v>40455</v>
      </c>
      <c r="H69">
        <v>0</v>
      </c>
      <c r="I69">
        <v>0</v>
      </c>
      <c r="J69">
        <v>152</v>
      </c>
      <c r="K69">
        <v>293295</v>
      </c>
      <c r="L69" t="s">
        <v>5710</v>
      </c>
      <c r="M69" s="1">
        <v>41116</v>
      </c>
      <c r="O69" t="s">
        <v>36</v>
      </c>
      <c r="P69" t="s">
        <v>37</v>
      </c>
      <c r="Q69" t="s">
        <v>39</v>
      </c>
      <c r="R69" t="s">
        <v>40</v>
      </c>
      <c r="S69">
        <v>0</v>
      </c>
      <c r="U69" t="s">
        <v>5550</v>
      </c>
      <c r="V69" t="s">
        <v>1797</v>
      </c>
      <c r="X69" t="s">
        <v>74</v>
      </c>
      <c r="Y69" t="b">
        <v>0</v>
      </c>
      <c r="Z69" t="b">
        <v>0</v>
      </c>
      <c r="AB69" t="s">
        <v>5615</v>
      </c>
      <c r="AC69" s="1">
        <v>41233</v>
      </c>
      <c r="AF69">
        <v>0</v>
      </c>
      <c r="AG69">
        <v>45</v>
      </c>
      <c r="AH69">
        <v>197</v>
      </c>
      <c r="AI69" s="2">
        <f>Table__192.168.3.138DYLGSMetaData[[#This Row],[NetAmount]]-Table__192.168.3.138DYLGSMetaData[[#This Row],[Paid]]</f>
        <v>293295</v>
      </c>
    </row>
    <row r="70" spans="1:35" hidden="1">
      <c r="A70" t="s">
        <v>5541</v>
      </c>
      <c r="B70" t="s">
        <v>5542</v>
      </c>
      <c r="C70" t="s">
        <v>5711</v>
      </c>
      <c r="D70" s="1">
        <v>41121</v>
      </c>
      <c r="E70" s="1">
        <v>41166</v>
      </c>
      <c r="F70">
        <v>32000</v>
      </c>
      <c r="G70">
        <v>5120</v>
      </c>
      <c r="H70">
        <v>0</v>
      </c>
      <c r="I70">
        <v>0</v>
      </c>
      <c r="J70">
        <v>147</v>
      </c>
      <c r="K70">
        <v>37120</v>
      </c>
      <c r="L70" t="s">
        <v>5712</v>
      </c>
      <c r="M70" s="1">
        <v>41121</v>
      </c>
      <c r="O70" t="s">
        <v>36</v>
      </c>
      <c r="P70" t="s">
        <v>37</v>
      </c>
      <c r="Q70" t="s">
        <v>39</v>
      </c>
      <c r="R70" t="s">
        <v>40</v>
      </c>
      <c r="S70">
        <v>0</v>
      </c>
      <c r="U70" t="s">
        <v>5550</v>
      </c>
      <c r="V70" t="s">
        <v>1797</v>
      </c>
      <c r="X70" t="s">
        <v>74</v>
      </c>
      <c r="Y70" t="b">
        <v>0</v>
      </c>
      <c r="Z70" t="b">
        <v>0</v>
      </c>
      <c r="AC70" s="1"/>
      <c r="AF70">
        <v>0</v>
      </c>
      <c r="AG70">
        <v>45</v>
      </c>
      <c r="AH70">
        <v>192</v>
      </c>
      <c r="AI70" s="2">
        <f>Table__192.168.3.138DYLGSMetaData[[#This Row],[NetAmount]]-Table__192.168.3.138DYLGSMetaData[[#This Row],[Paid]]</f>
        <v>37120</v>
      </c>
    </row>
    <row r="71" spans="1:35" hidden="1">
      <c r="A71" t="s">
        <v>5541</v>
      </c>
      <c r="B71" t="s">
        <v>5542</v>
      </c>
      <c r="C71" t="s">
        <v>5713</v>
      </c>
      <c r="D71" s="1">
        <v>41110</v>
      </c>
      <c r="E71" s="1">
        <v>41155</v>
      </c>
      <c r="F71">
        <v>93000</v>
      </c>
      <c r="G71">
        <v>14880</v>
      </c>
      <c r="H71">
        <v>0</v>
      </c>
      <c r="I71">
        <v>0</v>
      </c>
      <c r="J71">
        <v>158</v>
      </c>
      <c r="K71">
        <v>107880</v>
      </c>
      <c r="L71" t="s">
        <v>5714</v>
      </c>
      <c r="M71" s="1">
        <v>41110</v>
      </c>
      <c r="O71" t="s">
        <v>36</v>
      </c>
      <c r="P71" t="s">
        <v>37</v>
      </c>
      <c r="Q71" t="s">
        <v>39</v>
      </c>
      <c r="R71" t="s">
        <v>40</v>
      </c>
      <c r="S71">
        <v>0</v>
      </c>
      <c r="U71" t="s">
        <v>5550</v>
      </c>
      <c r="V71" t="s">
        <v>1797</v>
      </c>
      <c r="X71" t="s">
        <v>74</v>
      </c>
      <c r="Y71" t="b">
        <v>0</v>
      </c>
      <c r="Z71" t="b">
        <v>0</v>
      </c>
      <c r="AC71" s="1"/>
      <c r="AF71">
        <v>0</v>
      </c>
      <c r="AG71">
        <v>45</v>
      </c>
      <c r="AH71">
        <v>203</v>
      </c>
      <c r="AI71" s="2">
        <f>Table__192.168.3.138DYLGSMetaData[[#This Row],[NetAmount]]-Table__192.168.3.138DYLGSMetaData[[#This Row],[Paid]]</f>
        <v>107880</v>
      </c>
    </row>
    <row r="72" spans="1:35" hidden="1">
      <c r="A72" t="s">
        <v>5479</v>
      </c>
      <c r="B72" t="s">
        <v>5480</v>
      </c>
      <c r="C72" t="s">
        <v>5715</v>
      </c>
      <c r="D72" s="1">
        <v>41092</v>
      </c>
      <c r="E72" s="1">
        <v>41137</v>
      </c>
      <c r="F72">
        <v>80000</v>
      </c>
      <c r="G72">
        <v>0</v>
      </c>
      <c r="H72">
        <v>0</v>
      </c>
      <c r="I72">
        <v>0</v>
      </c>
      <c r="J72">
        <v>188</v>
      </c>
      <c r="K72">
        <v>80000</v>
      </c>
      <c r="L72" t="s">
        <v>5716</v>
      </c>
      <c r="M72" s="1">
        <v>41080</v>
      </c>
      <c r="O72" t="s">
        <v>36</v>
      </c>
      <c r="P72" t="s">
        <v>37</v>
      </c>
      <c r="Q72" t="s">
        <v>39</v>
      </c>
      <c r="R72" t="s">
        <v>40</v>
      </c>
      <c r="S72">
        <v>0</v>
      </c>
      <c r="U72" t="s">
        <v>5550</v>
      </c>
      <c r="V72" t="s">
        <v>1797</v>
      </c>
      <c r="X72" t="s">
        <v>74</v>
      </c>
      <c r="Y72" t="b">
        <v>0</v>
      </c>
      <c r="Z72" t="b">
        <v>0</v>
      </c>
      <c r="AC72" s="1"/>
      <c r="AF72">
        <v>0</v>
      </c>
      <c r="AG72">
        <v>45</v>
      </c>
      <c r="AH72">
        <v>233</v>
      </c>
      <c r="AI72" s="2">
        <f>Table__192.168.3.138DYLGSMetaData[[#This Row],[NetAmount]]-Table__192.168.3.138DYLGSMetaData[[#This Row],[Paid]]</f>
        <v>80000</v>
      </c>
    </row>
    <row r="73" spans="1:35" hidden="1">
      <c r="A73" t="s">
        <v>5511</v>
      </c>
      <c r="B73" t="s">
        <v>5512</v>
      </c>
      <c r="C73" t="s">
        <v>5717</v>
      </c>
      <c r="D73" s="1">
        <v>41121</v>
      </c>
      <c r="E73" s="1">
        <v>41166</v>
      </c>
      <c r="F73">
        <v>74000</v>
      </c>
      <c r="G73">
        <v>0</v>
      </c>
      <c r="H73">
        <v>0</v>
      </c>
      <c r="I73">
        <v>0</v>
      </c>
      <c r="J73">
        <v>147</v>
      </c>
      <c r="K73">
        <v>74000</v>
      </c>
      <c r="L73" t="s">
        <v>5168</v>
      </c>
      <c r="M73" s="1">
        <v>41121</v>
      </c>
      <c r="N73" t="s">
        <v>5718</v>
      </c>
      <c r="O73" t="s">
        <v>36</v>
      </c>
      <c r="P73" t="s">
        <v>37</v>
      </c>
      <c r="Q73" t="s">
        <v>39</v>
      </c>
      <c r="R73" t="s">
        <v>40</v>
      </c>
      <c r="S73">
        <v>0</v>
      </c>
      <c r="U73" t="s">
        <v>5550</v>
      </c>
      <c r="V73" t="s">
        <v>1797</v>
      </c>
      <c r="W73" t="s">
        <v>5691</v>
      </c>
      <c r="X73" t="s">
        <v>74</v>
      </c>
      <c r="Y73" t="b">
        <v>0</v>
      </c>
      <c r="Z73" t="b">
        <v>0</v>
      </c>
      <c r="AA73" t="b">
        <v>0</v>
      </c>
      <c r="AC73" s="1"/>
      <c r="AF73">
        <v>0</v>
      </c>
      <c r="AG73">
        <v>45</v>
      </c>
      <c r="AH73">
        <v>192</v>
      </c>
      <c r="AI73" s="2">
        <f>Table__192.168.3.138DYLGSMetaData[[#This Row],[NetAmount]]-Table__192.168.3.138DYLGSMetaData[[#This Row],[Paid]]</f>
        <v>74000</v>
      </c>
    </row>
    <row r="74" spans="1:35" hidden="1">
      <c r="A74" t="s">
        <v>5503</v>
      </c>
      <c r="B74" t="s">
        <v>5504</v>
      </c>
      <c r="C74" t="s">
        <v>5719</v>
      </c>
      <c r="D74" s="1">
        <v>41120</v>
      </c>
      <c r="E74" s="1">
        <v>41165</v>
      </c>
      <c r="F74">
        <v>199000</v>
      </c>
      <c r="G74">
        <v>0</v>
      </c>
      <c r="H74">
        <v>0</v>
      </c>
      <c r="I74">
        <v>0</v>
      </c>
      <c r="J74">
        <v>147</v>
      </c>
      <c r="K74">
        <v>199000</v>
      </c>
      <c r="L74" t="s">
        <v>3202</v>
      </c>
      <c r="M74" s="1">
        <v>41121</v>
      </c>
      <c r="O74" t="s">
        <v>36</v>
      </c>
      <c r="P74" t="s">
        <v>37</v>
      </c>
      <c r="Q74" t="s">
        <v>39</v>
      </c>
      <c r="R74" t="s">
        <v>40</v>
      </c>
      <c r="S74">
        <v>0</v>
      </c>
      <c r="U74" t="s">
        <v>5550</v>
      </c>
      <c r="V74" t="s">
        <v>1797</v>
      </c>
      <c r="X74" t="s">
        <v>74</v>
      </c>
      <c r="Y74" t="b">
        <v>0</v>
      </c>
      <c r="Z74" t="b">
        <v>0</v>
      </c>
      <c r="AC74" s="1"/>
      <c r="AF74">
        <v>0</v>
      </c>
      <c r="AG74">
        <v>45</v>
      </c>
      <c r="AH74">
        <v>192</v>
      </c>
      <c r="AI74" s="2">
        <f>Table__192.168.3.138DYLGSMetaData[[#This Row],[NetAmount]]-Table__192.168.3.138DYLGSMetaData[[#This Row],[Paid]]</f>
        <v>199000</v>
      </c>
    </row>
    <row r="75" spans="1:35" hidden="1">
      <c r="A75" t="s">
        <v>5493</v>
      </c>
      <c r="B75" t="s">
        <v>5494</v>
      </c>
      <c r="C75" t="s">
        <v>5720</v>
      </c>
      <c r="D75" s="1">
        <v>41131</v>
      </c>
      <c r="E75" s="1">
        <v>41176</v>
      </c>
      <c r="F75">
        <v>3120</v>
      </c>
      <c r="G75">
        <v>499</v>
      </c>
      <c r="H75">
        <v>0</v>
      </c>
      <c r="I75">
        <v>0</v>
      </c>
      <c r="J75">
        <v>136</v>
      </c>
      <c r="K75">
        <v>3619</v>
      </c>
      <c r="L75" t="s">
        <v>5721</v>
      </c>
      <c r="M75" s="1">
        <v>41132</v>
      </c>
      <c r="O75" t="s">
        <v>36</v>
      </c>
      <c r="P75" t="s">
        <v>37</v>
      </c>
      <c r="Q75" t="s">
        <v>39</v>
      </c>
      <c r="R75" t="s">
        <v>40</v>
      </c>
      <c r="S75">
        <v>0</v>
      </c>
      <c r="U75" t="s">
        <v>5550</v>
      </c>
      <c r="V75" t="s">
        <v>1797</v>
      </c>
      <c r="X75" t="s">
        <v>74</v>
      </c>
      <c r="Y75" t="b">
        <v>0</v>
      </c>
      <c r="Z75" t="b">
        <v>0</v>
      </c>
      <c r="AC75" s="1"/>
      <c r="AF75">
        <v>0</v>
      </c>
      <c r="AG75">
        <v>45</v>
      </c>
      <c r="AH75">
        <v>181</v>
      </c>
      <c r="AI75" s="2">
        <f>Table__192.168.3.138DYLGSMetaData[[#This Row],[NetAmount]]-Table__192.168.3.138DYLGSMetaData[[#This Row],[Paid]]</f>
        <v>3619</v>
      </c>
    </row>
    <row r="76" spans="1:35" hidden="1">
      <c r="A76" t="s">
        <v>5475</v>
      </c>
      <c r="B76" t="s">
        <v>5476</v>
      </c>
      <c r="C76" t="s">
        <v>5722</v>
      </c>
      <c r="D76" s="1">
        <v>41131</v>
      </c>
      <c r="E76" s="1">
        <v>41176</v>
      </c>
      <c r="F76">
        <v>13280</v>
      </c>
      <c r="G76">
        <v>2125</v>
      </c>
      <c r="H76">
        <v>0</v>
      </c>
      <c r="I76">
        <v>0</v>
      </c>
      <c r="J76">
        <v>138</v>
      </c>
      <c r="K76">
        <v>15405</v>
      </c>
      <c r="L76" t="s">
        <v>1173</v>
      </c>
      <c r="M76" s="1">
        <v>41130</v>
      </c>
      <c r="O76" t="s">
        <v>36</v>
      </c>
      <c r="P76" t="s">
        <v>37</v>
      </c>
      <c r="Q76" t="s">
        <v>39</v>
      </c>
      <c r="R76" t="s">
        <v>40</v>
      </c>
      <c r="S76">
        <v>0</v>
      </c>
      <c r="U76" t="s">
        <v>5550</v>
      </c>
      <c r="V76" t="s">
        <v>1797</v>
      </c>
      <c r="X76" t="s">
        <v>74</v>
      </c>
      <c r="Y76" t="b">
        <v>0</v>
      </c>
      <c r="Z76" t="b">
        <v>0</v>
      </c>
      <c r="AC76" s="1"/>
      <c r="AF76">
        <v>0</v>
      </c>
      <c r="AG76">
        <v>45</v>
      </c>
      <c r="AH76">
        <v>183</v>
      </c>
      <c r="AI76" s="2">
        <f>Table__192.168.3.138DYLGSMetaData[[#This Row],[NetAmount]]-Table__192.168.3.138DYLGSMetaData[[#This Row],[Paid]]</f>
        <v>15405</v>
      </c>
    </row>
    <row r="77" spans="1:35" hidden="1">
      <c r="A77" t="s">
        <v>5489</v>
      </c>
      <c r="B77" t="s">
        <v>5490</v>
      </c>
      <c r="C77" t="s">
        <v>5723</v>
      </c>
      <c r="D77" s="1">
        <v>41125</v>
      </c>
      <c r="E77" s="1">
        <v>41170</v>
      </c>
      <c r="F77">
        <v>40000</v>
      </c>
      <c r="G77">
        <v>6400</v>
      </c>
      <c r="H77">
        <v>0</v>
      </c>
      <c r="I77">
        <v>0</v>
      </c>
      <c r="J77">
        <v>143</v>
      </c>
      <c r="K77">
        <v>46400</v>
      </c>
      <c r="L77" t="s">
        <v>3453</v>
      </c>
      <c r="M77" s="1">
        <v>41125</v>
      </c>
      <c r="O77" t="s">
        <v>36</v>
      </c>
      <c r="P77" t="s">
        <v>37</v>
      </c>
      <c r="Q77" t="s">
        <v>39</v>
      </c>
      <c r="R77" t="s">
        <v>40</v>
      </c>
      <c r="S77">
        <v>0</v>
      </c>
      <c r="U77" t="s">
        <v>5550</v>
      </c>
      <c r="V77" t="s">
        <v>1797</v>
      </c>
      <c r="X77" t="s">
        <v>74</v>
      </c>
      <c r="Y77" t="b">
        <v>0</v>
      </c>
      <c r="Z77" t="b">
        <v>0</v>
      </c>
      <c r="AC77" s="1"/>
      <c r="AF77">
        <v>0</v>
      </c>
      <c r="AG77">
        <v>45</v>
      </c>
      <c r="AH77">
        <v>188</v>
      </c>
      <c r="AI77" s="2">
        <f>Table__192.168.3.138DYLGSMetaData[[#This Row],[NetAmount]]-Table__192.168.3.138DYLGSMetaData[[#This Row],[Paid]]</f>
        <v>46400</v>
      </c>
    </row>
    <row r="78" spans="1:35" hidden="1">
      <c r="A78" t="s">
        <v>5521</v>
      </c>
      <c r="B78" t="s">
        <v>5522</v>
      </c>
      <c r="C78" t="s">
        <v>5724</v>
      </c>
      <c r="D78" s="1">
        <v>41124</v>
      </c>
      <c r="E78" s="1">
        <v>41169</v>
      </c>
      <c r="F78">
        <v>24000</v>
      </c>
      <c r="G78">
        <v>3840</v>
      </c>
      <c r="H78">
        <v>0</v>
      </c>
      <c r="I78">
        <v>0</v>
      </c>
      <c r="J78">
        <v>144</v>
      </c>
      <c r="K78">
        <v>27840</v>
      </c>
      <c r="L78" t="s">
        <v>5725</v>
      </c>
      <c r="M78" s="1">
        <v>41124</v>
      </c>
      <c r="O78" t="s">
        <v>36</v>
      </c>
      <c r="P78" t="s">
        <v>37</v>
      </c>
      <c r="Q78" t="s">
        <v>39</v>
      </c>
      <c r="R78" t="s">
        <v>40</v>
      </c>
      <c r="S78">
        <v>0</v>
      </c>
      <c r="U78" t="s">
        <v>5550</v>
      </c>
      <c r="V78" t="s">
        <v>1797</v>
      </c>
      <c r="X78" t="s">
        <v>74</v>
      </c>
      <c r="Y78" t="b">
        <v>0</v>
      </c>
      <c r="Z78" t="b">
        <v>0</v>
      </c>
      <c r="AB78" t="s">
        <v>5615</v>
      </c>
      <c r="AC78" s="1">
        <v>41233</v>
      </c>
      <c r="AF78">
        <v>0</v>
      </c>
      <c r="AG78">
        <v>45</v>
      </c>
      <c r="AH78">
        <v>189</v>
      </c>
      <c r="AI78" s="2">
        <f>Table__192.168.3.138DYLGSMetaData[[#This Row],[NetAmount]]-Table__192.168.3.138DYLGSMetaData[[#This Row],[Paid]]</f>
        <v>27840</v>
      </c>
    </row>
    <row r="79" spans="1:35" hidden="1">
      <c r="A79" t="s">
        <v>5521</v>
      </c>
      <c r="B79" t="s">
        <v>5522</v>
      </c>
      <c r="C79" t="s">
        <v>5726</v>
      </c>
      <c r="D79" s="1">
        <v>41132</v>
      </c>
      <c r="E79" s="1">
        <v>41177</v>
      </c>
      <c r="F79">
        <v>153000</v>
      </c>
      <c r="G79">
        <v>24480</v>
      </c>
      <c r="H79">
        <v>0</v>
      </c>
      <c r="I79">
        <v>0</v>
      </c>
      <c r="J79">
        <v>138</v>
      </c>
      <c r="K79">
        <v>177480</v>
      </c>
      <c r="L79" t="s">
        <v>5727</v>
      </c>
      <c r="M79" s="1">
        <v>41130</v>
      </c>
      <c r="O79" t="s">
        <v>36</v>
      </c>
      <c r="P79" t="s">
        <v>37</v>
      </c>
      <c r="Q79" t="s">
        <v>39</v>
      </c>
      <c r="R79" t="s">
        <v>40</v>
      </c>
      <c r="S79">
        <v>0</v>
      </c>
      <c r="U79" t="s">
        <v>5550</v>
      </c>
      <c r="V79" t="s">
        <v>1797</v>
      </c>
      <c r="X79" t="s">
        <v>74</v>
      </c>
      <c r="Y79" t="b">
        <v>0</v>
      </c>
      <c r="Z79" t="b">
        <v>0</v>
      </c>
      <c r="AB79" t="s">
        <v>5615</v>
      </c>
      <c r="AC79" s="1">
        <v>41233</v>
      </c>
      <c r="AF79">
        <v>0</v>
      </c>
      <c r="AG79">
        <v>45</v>
      </c>
      <c r="AH79">
        <v>183</v>
      </c>
      <c r="AI79" s="2">
        <f>Table__192.168.3.138DYLGSMetaData[[#This Row],[NetAmount]]-Table__192.168.3.138DYLGSMetaData[[#This Row],[Paid]]</f>
        <v>177480</v>
      </c>
    </row>
    <row r="80" spans="1:35" hidden="1">
      <c r="A80" t="s">
        <v>5521</v>
      </c>
      <c r="B80" t="s">
        <v>5522</v>
      </c>
      <c r="C80" t="s">
        <v>5728</v>
      </c>
      <c r="D80" s="1">
        <v>41130</v>
      </c>
      <c r="E80" s="1">
        <v>41175</v>
      </c>
      <c r="F80">
        <v>109448</v>
      </c>
      <c r="G80">
        <v>17512</v>
      </c>
      <c r="H80">
        <v>0</v>
      </c>
      <c r="I80">
        <v>0</v>
      </c>
      <c r="J80">
        <v>138</v>
      </c>
      <c r="K80">
        <v>126960</v>
      </c>
      <c r="L80" t="s">
        <v>5729</v>
      </c>
      <c r="M80" s="1">
        <v>41130</v>
      </c>
      <c r="O80" t="s">
        <v>36</v>
      </c>
      <c r="P80" t="s">
        <v>37</v>
      </c>
      <c r="Q80" t="s">
        <v>39</v>
      </c>
      <c r="R80" t="s">
        <v>40</v>
      </c>
      <c r="S80">
        <v>0</v>
      </c>
      <c r="U80" t="s">
        <v>5550</v>
      </c>
      <c r="V80" t="s">
        <v>1797</v>
      </c>
      <c r="X80" t="s">
        <v>74</v>
      </c>
      <c r="Y80" t="b">
        <v>0</v>
      </c>
      <c r="Z80" t="b">
        <v>0</v>
      </c>
      <c r="AB80" t="s">
        <v>5615</v>
      </c>
      <c r="AC80" s="1">
        <v>41233</v>
      </c>
      <c r="AF80">
        <v>0</v>
      </c>
      <c r="AG80">
        <v>45</v>
      </c>
      <c r="AH80">
        <v>183</v>
      </c>
      <c r="AI80" s="2">
        <f>Table__192.168.3.138DYLGSMetaData[[#This Row],[NetAmount]]-Table__192.168.3.138DYLGSMetaData[[#This Row],[Paid]]</f>
        <v>126960</v>
      </c>
    </row>
    <row r="81" spans="1:35" hidden="1">
      <c r="A81" t="s">
        <v>5521</v>
      </c>
      <c r="B81" t="s">
        <v>5522</v>
      </c>
      <c r="C81" t="s">
        <v>5730</v>
      </c>
      <c r="D81" s="1">
        <v>41136</v>
      </c>
      <c r="E81" s="1">
        <v>41181</v>
      </c>
      <c r="F81">
        <v>87000</v>
      </c>
      <c r="G81">
        <v>13920</v>
      </c>
      <c r="H81">
        <v>0</v>
      </c>
      <c r="I81">
        <v>0</v>
      </c>
      <c r="J81">
        <v>134</v>
      </c>
      <c r="K81">
        <v>100920</v>
      </c>
      <c r="L81" t="s">
        <v>5731</v>
      </c>
      <c r="M81" s="1">
        <v>41134</v>
      </c>
      <c r="O81" t="s">
        <v>36</v>
      </c>
      <c r="P81" t="s">
        <v>37</v>
      </c>
      <c r="Q81" t="s">
        <v>39</v>
      </c>
      <c r="R81" t="s">
        <v>40</v>
      </c>
      <c r="S81">
        <v>0</v>
      </c>
      <c r="U81" t="s">
        <v>5550</v>
      </c>
      <c r="V81" t="s">
        <v>1797</v>
      </c>
      <c r="X81" t="s">
        <v>74</v>
      </c>
      <c r="Y81" t="b">
        <v>0</v>
      </c>
      <c r="Z81" t="b">
        <v>0</v>
      </c>
      <c r="AB81" t="s">
        <v>5615</v>
      </c>
      <c r="AC81" s="1">
        <v>41233</v>
      </c>
      <c r="AF81">
        <v>0</v>
      </c>
      <c r="AG81">
        <v>45</v>
      </c>
      <c r="AH81">
        <v>179</v>
      </c>
      <c r="AI81" s="2">
        <f>Table__192.168.3.138DYLGSMetaData[[#This Row],[NetAmount]]-Table__192.168.3.138DYLGSMetaData[[#This Row],[Paid]]</f>
        <v>100920</v>
      </c>
    </row>
    <row r="82" spans="1:35" hidden="1">
      <c r="A82" t="s">
        <v>5491</v>
      </c>
      <c r="B82" t="s">
        <v>5492</v>
      </c>
      <c r="C82" t="s">
        <v>5732</v>
      </c>
      <c r="D82" s="1">
        <v>41130</v>
      </c>
      <c r="E82" s="1">
        <v>41175</v>
      </c>
      <c r="F82">
        <v>17300</v>
      </c>
      <c r="G82">
        <v>2768</v>
      </c>
      <c r="H82">
        <v>0</v>
      </c>
      <c r="I82">
        <v>0</v>
      </c>
      <c r="J82">
        <v>138</v>
      </c>
      <c r="K82">
        <v>20068</v>
      </c>
      <c r="L82" t="s">
        <v>3194</v>
      </c>
      <c r="M82" s="1">
        <v>41130</v>
      </c>
      <c r="N82" t="s">
        <v>5733</v>
      </c>
      <c r="O82" t="s">
        <v>36</v>
      </c>
      <c r="P82" t="s">
        <v>37</v>
      </c>
      <c r="Q82" t="s">
        <v>39</v>
      </c>
      <c r="R82" t="s">
        <v>40</v>
      </c>
      <c r="S82">
        <v>0</v>
      </c>
      <c r="U82" t="s">
        <v>5550</v>
      </c>
      <c r="V82" t="s">
        <v>1797</v>
      </c>
      <c r="W82" t="s">
        <v>5698</v>
      </c>
      <c r="X82" t="s">
        <v>74</v>
      </c>
      <c r="Y82" t="b">
        <v>0</v>
      </c>
      <c r="Z82" t="b">
        <v>0</v>
      </c>
      <c r="AA82" t="b">
        <v>0</v>
      </c>
      <c r="AC82" s="1"/>
      <c r="AF82">
        <v>0</v>
      </c>
      <c r="AG82">
        <v>45</v>
      </c>
      <c r="AH82">
        <v>183</v>
      </c>
      <c r="AI82" s="2">
        <f>Table__192.168.3.138DYLGSMetaData[[#This Row],[NetAmount]]-Table__192.168.3.138DYLGSMetaData[[#This Row],[Paid]]</f>
        <v>20068</v>
      </c>
    </row>
    <row r="83" spans="1:35" hidden="1">
      <c r="A83" t="s">
        <v>5525</v>
      </c>
      <c r="B83" t="s">
        <v>5526</v>
      </c>
      <c r="C83" t="s">
        <v>5734</v>
      </c>
      <c r="D83" s="1">
        <v>41130</v>
      </c>
      <c r="E83" s="1">
        <v>41175</v>
      </c>
      <c r="F83">
        <v>17500</v>
      </c>
      <c r="G83">
        <v>2800</v>
      </c>
      <c r="H83">
        <v>0</v>
      </c>
      <c r="I83">
        <v>0</v>
      </c>
      <c r="J83">
        <v>132</v>
      </c>
      <c r="K83">
        <v>20300</v>
      </c>
      <c r="L83" t="s">
        <v>5735</v>
      </c>
      <c r="M83" s="1">
        <v>41136</v>
      </c>
      <c r="N83" t="s">
        <v>5736</v>
      </c>
      <c r="O83" t="s">
        <v>36</v>
      </c>
      <c r="P83" t="s">
        <v>37</v>
      </c>
      <c r="Q83" t="s">
        <v>39</v>
      </c>
      <c r="R83" t="s">
        <v>40</v>
      </c>
      <c r="S83">
        <v>0</v>
      </c>
      <c r="U83" t="s">
        <v>5550</v>
      </c>
      <c r="V83" t="s">
        <v>1797</v>
      </c>
      <c r="W83" t="s">
        <v>5659</v>
      </c>
      <c r="X83" t="s">
        <v>74</v>
      </c>
      <c r="Y83" t="b">
        <v>0</v>
      </c>
      <c r="Z83" t="b">
        <v>0</v>
      </c>
      <c r="AA83" t="b">
        <v>0</v>
      </c>
      <c r="AC83" s="1"/>
      <c r="AF83">
        <v>0</v>
      </c>
      <c r="AG83">
        <v>45</v>
      </c>
      <c r="AH83">
        <v>177</v>
      </c>
      <c r="AI83" s="2">
        <f>Table__192.168.3.138DYLGSMetaData[[#This Row],[NetAmount]]-Table__192.168.3.138DYLGSMetaData[[#This Row],[Paid]]</f>
        <v>20300</v>
      </c>
    </row>
    <row r="84" spans="1:35" hidden="1">
      <c r="A84" t="s">
        <v>5533</v>
      </c>
      <c r="B84" t="s">
        <v>5534</v>
      </c>
      <c r="C84" t="s">
        <v>5737</v>
      </c>
      <c r="D84" s="1">
        <v>41125</v>
      </c>
      <c r="E84" s="1">
        <v>41170</v>
      </c>
      <c r="F84">
        <v>17000</v>
      </c>
      <c r="G84">
        <v>2720</v>
      </c>
      <c r="H84">
        <v>0</v>
      </c>
      <c r="I84">
        <v>0</v>
      </c>
      <c r="J84">
        <v>137</v>
      </c>
      <c r="K84">
        <v>19720</v>
      </c>
      <c r="L84" t="s">
        <v>1544</v>
      </c>
      <c r="M84" s="1">
        <v>41131</v>
      </c>
      <c r="O84" t="s">
        <v>36</v>
      </c>
      <c r="P84" t="s">
        <v>37</v>
      </c>
      <c r="Q84" t="s">
        <v>39</v>
      </c>
      <c r="R84" t="s">
        <v>40</v>
      </c>
      <c r="S84">
        <v>0</v>
      </c>
      <c r="U84" t="s">
        <v>5550</v>
      </c>
      <c r="V84" t="s">
        <v>1797</v>
      </c>
      <c r="X84" t="s">
        <v>74</v>
      </c>
      <c r="Y84" t="b">
        <v>0</v>
      </c>
      <c r="Z84" t="b">
        <v>0</v>
      </c>
      <c r="AC84" s="1"/>
      <c r="AF84">
        <v>0</v>
      </c>
      <c r="AG84">
        <v>45</v>
      </c>
      <c r="AH84">
        <v>182</v>
      </c>
      <c r="AI84" s="2">
        <f>Table__192.168.3.138DYLGSMetaData[[#This Row],[NetAmount]]-Table__192.168.3.138DYLGSMetaData[[#This Row],[Paid]]</f>
        <v>19720</v>
      </c>
    </row>
    <row r="85" spans="1:35" hidden="1">
      <c r="A85" t="s">
        <v>5541</v>
      </c>
      <c r="B85" t="s">
        <v>5542</v>
      </c>
      <c r="C85" t="s">
        <v>5738</v>
      </c>
      <c r="D85" s="1">
        <v>41148</v>
      </c>
      <c r="E85" s="1">
        <v>41193</v>
      </c>
      <c r="F85">
        <v>967100</v>
      </c>
      <c r="G85">
        <v>154736</v>
      </c>
      <c r="H85">
        <v>0</v>
      </c>
      <c r="I85">
        <v>0</v>
      </c>
      <c r="J85">
        <v>120</v>
      </c>
      <c r="K85">
        <v>1121836</v>
      </c>
      <c r="L85" t="s">
        <v>5739</v>
      </c>
      <c r="M85" s="1">
        <v>41148</v>
      </c>
      <c r="O85" t="s">
        <v>36</v>
      </c>
      <c r="P85" t="s">
        <v>37</v>
      </c>
      <c r="Q85" t="s">
        <v>39</v>
      </c>
      <c r="R85" t="s">
        <v>40</v>
      </c>
      <c r="S85">
        <v>0</v>
      </c>
      <c r="U85" t="s">
        <v>5550</v>
      </c>
      <c r="V85" t="s">
        <v>1797</v>
      </c>
      <c r="X85" t="s">
        <v>74</v>
      </c>
      <c r="Y85" t="b">
        <v>0</v>
      </c>
      <c r="Z85" t="b">
        <v>0</v>
      </c>
      <c r="AC85" s="1"/>
      <c r="AF85">
        <v>0</v>
      </c>
      <c r="AG85">
        <v>45</v>
      </c>
      <c r="AH85">
        <v>165</v>
      </c>
      <c r="AI85" s="2">
        <f>Table__192.168.3.138DYLGSMetaData[[#This Row],[NetAmount]]-Table__192.168.3.138DYLGSMetaData[[#This Row],[Paid]]</f>
        <v>1121836</v>
      </c>
    </row>
    <row r="86" spans="1:35" hidden="1">
      <c r="A86" t="s">
        <v>5543</v>
      </c>
      <c r="B86" t="s">
        <v>5544</v>
      </c>
      <c r="C86" t="s">
        <v>5740</v>
      </c>
      <c r="D86" s="1">
        <v>41151</v>
      </c>
      <c r="E86" s="1">
        <v>41196</v>
      </c>
      <c r="F86">
        <v>9000</v>
      </c>
      <c r="G86">
        <v>1440</v>
      </c>
      <c r="H86">
        <v>0</v>
      </c>
      <c r="I86">
        <v>0</v>
      </c>
      <c r="J86">
        <v>118</v>
      </c>
      <c r="K86">
        <v>10440</v>
      </c>
      <c r="L86" t="s">
        <v>4016</v>
      </c>
      <c r="M86" s="1">
        <v>41150</v>
      </c>
      <c r="N86" t="s">
        <v>5741</v>
      </c>
      <c r="O86" t="s">
        <v>36</v>
      </c>
      <c r="P86" t="s">
        <v>37</v>
      </c>
      <c r="Q86" t="s">
        <v>39</v>
      </c>
      <c r="R86" t="s">
        <v>40</v>
      </c>
      <c r="S86">
        <v>0</v>
      </c>
      <c r="U86" t="s">
        <v>5550</v>
      </c>
      <c r="V86" t="s">
        <v>1797</v>
      </c>
      <c r="W86" t="s">
        <v>5742</v>
      </c>
      <c r="X86" t="s">
        <v>74</v>
      </c>
      <c r="Y86" t="b">
        <v>0</v>
      </c>
      <c r="Z86" t="b">
        <v>0</v>
      </c>
      <c r="AA86" t="b">
        <v>0</v>
      </c>
      <c r="AC86" s="1"/>
      <c r="AF86">
        <v>0</v>
      </c>
      <c r="AG86">
        <v>45</v>
      </c>
      <c r="AH86">
        <v>163</v>
      </c>
      <c r="AI86" s="2">
        <f>Table__192.168.3.138DYLGSMetaData[[#This Row],[NetAmount]]-Table__192.168.3.138DYLGSMetaData[[#This Row],[Paid]]</f>
        <v>10440</v>
      </c>
    </row>
    <row r="87" spans="1:35" hidden="1">
      <c r="A87" t="s">
        <v>5541</v>
      </c>
      <c r="B87" t="s">
        <v>5542</v>
      </c>
      <c r="C87" t="s">
        <v>5743</v>
      </c>
      <c r="D87" s="1">
        <v>41128</v>
      </c>
      <c r="E87" s="1">
        <v>41173</v>
      </c>
      <c r="F87">
        <v>155000</v>
      </c>
      <c r="G87">
        <v>24800</v>
      </c>
      <c r="H87">
        <v>0</v>
      </c>
      <c r="I87">
        <v>0</v>
      </c>
      <c r="J87">
        <v>141</v>
      </c>
      <c r="K87">
        <v>179800</v>
      </c>
      <c r="L87" t="s">
        <v>5744</v>
      </c>
      <c r="M87" s="1">
        <v>41127</v>
      </c>
      <c r="O87" t="s">
        <v>36</v>
      </c>
      <c r="P87" t="s">
        <v>37</v>
      </c>
      <c r="Q87" t="s">
        <v>39</v>
      </c>
      <c r="R87" t="s">
        <v>40</v>
      </c>
      <c r="S87">
        <v>0</v>
      </c>
      <c r="U87" t="s">
        <v>5550</v>
      </c>
      <c r="V87" t="s">
        <v>1797</v>
      </c>
      <c r="X87" t="s">
        <v>74</v>
      </c>
      <c r="Y87" t="b">
        <v>0</v>
      </c>
      <c r="Z87" t="b">
        <v>0</v>
      </c>
      <c r="AC87" s="1"/>
      <c r="AF87">
        <v>0</v>
      </c>
      <c r="AG87">
        <v>45</v>
      </c>
      <c r="AH87">
        <v>186</v>
      </c>
      <c r="AI87" s="2">
        <f>Table__192.168.3.138DYLGSMetaData[[#This Row],[NetAmount]]-Table__192.168.3.138DYLGSMetaData[[#This Row],[Paid]]</f>
        <v>179800</v>
      </c>
    </row>
    <row r="88" spans="1:35" hidden="1">
      <c r="A88" t="s">
        <v>5535</v>
      </c>
      <c r="B88" t="s">
        <v>5536</v>
      </c>
      <c r="C88" t="s">
        <v>5745</v>
      </c>
      <c r="D88" s="1">
        <v>41122</v>
      </c>
      <c r="E88" s="1">
        <v>41167</v>
      </c>
      <c r="F88">
        <v>72000</v>
      </c>
      <c r="G88">
        <v>11520</v>
      </c>
      <c r="H88">
        <v>0</v>
      </c>
      <c r="I88">
        <v>0</v>
      </c>
      <c r="J88">
        <v>139</v>
      </c>
      <c r="K88">
        <v>83520</v>
      </c>
      <c r="L88" t="s">
        <v>5571</v>
      </c>
      <c r="M88" s="1">
        <v>41129</v>
      </c>
      <c r="O88" t="s">
        <v>36</v>
      </c>
      <c r="P88" t="s">
        <v>37</v>
      </c>
      <c r="Q88" t="s">
        <v>39</v>
      </c>
      <c r="R88" t="s">
        <v>40</v>
      </c>
      <c r="S88">
        <v>0</v>
      </c>
      <c r="U88" t="s">
        <v>5550</v>
      </c>
      <c r="V88" t="s">
        <v>1797</v>
      </c>
      <c r="X88" t="s">
        <v>74</v>
      </c>
      <c r="Y88" t="b">
        <v>0</v>
      </c>
      <c r="Z88" t="b">
        <v>0</v>
      </c>
      <c r="AC88" s="1"/>
      <c r="AF88">
        <v>0</v>
      </c>
      <c r="AG88">
        <v>45</v>
      </c>
      <c r="AH88">
        <v>184</v>
      </c>
      <c r="AI88" s="2">
        <f>Table__192.168.3.138DYLGSMetaData[[#This Row],[NetAmount]]-Table__192.168.3.138DYLGSMetaData[[#This Row],[Paid]]</f>
        <v>83520</v>
      </c>
    </row>
    <row r="89" spans="1:35" hidden="1">
      <c r="A89" t="s">
        <v>5527</v>
      </c>
      <c r="B89" t="s">
        <v>5528</v>
      </c>
      <c r="C89" t="s">
        <v>5746</v>
      </c>
      <c r="D89" s="1">
        <v>41155</v>
      </c>
      <c r="E89" s="1">
        <v>41200</v>
      </c>
      <c r="F89">
        <v>25000</v>
      </c>
      <c r="G89">
        <v>4000</v>
      </c>
      <c r="H89">
        <v>0</v>
      </c>
      <c r="I89">
        <v>0</v>
      </c>
      <c r="J89">
        <v>117</v>
      </c>
      <c r="K89">
        <v>29000</v>
      </c>
      <c r="L89" t="s">
        <v>5747</v>
      </c>
      <c r="M89" s="1">
        <v>41151</v>
      </c>
      <c r="O89" t="s">
        <v>36</v>
      </c>
      <c r="P89" t="s">
        <v>37</v>
      </c>
      <c r="Q89" t="s">
        <v>39</v>
      </c>
      <c r="R89" t="s">
        <v>40</v>
      </c>
      <c r="S89">
        <v>0</v>
      </c>
      <c r="U89" t="s">
        <v>5550</v>
      </c>
      <c r="V89" t="s">
        <v>1797</v>
      </c>
      <c r="X89" t="s">
        <v>74</v>
      </c>
      <c r="Y89" t="b">
        <v>0</v>
      </c>
      <c r="Z89" t="b">
        <v>0</v>
      </c>
      <c r="AC89" s="1"/>
      <c r="AF89">
        <v>0</v>
      </c>
      <c r="AG89">
        <v>45</v>
      </c>
      <c r="AH89">
        <v>162</v>
      </c>
      <c r="AI89" s="2">
        <f>Table__192.168.3.138DYLGSMetaData[[#This Row],[NetAmount]]-Table__192.168.3.138DYLGSMetaData[[#This Row],[Paid]]</f>
        <v>29000</v>
      </c>
    </row>
    <row r="90" spans="1:35" hidden="1">
      <c r="A90" t="s">
        <v>5503</v>
      </c>
      <c r="B90" t="s">
        <v>5504</v>
      </c>
      <c r="C90" t="s">
        <v>5748</v>
      </c>
      <c r="D90" s="1">
        <v>41136</v>
      </c>
      <c r="E90" s="1">
        <v>41181</v>
      </c>
      <c r="F90">
        <v>5300</v>
      </c>
      <c r="G90">
        <v>0</v>
      </c>
      <c r="H90">
        <v>0</v>
      </c>
      <c r="I90">
        <v>0</v>
      </c>
      <c r="J90">
        <v>116</v>
      </c>
      <c r="K90">
        <v>5300</v>
      </c>
      <c r="L90" t="s">
        <v>3204</v>
      </c>
      <c r="M90" s="1">
        <v>41152</v>
      </c>
      <c r="O90" t="s">
        <v>36</v>
      </c>
      <c r="P90" t="s">
        <v>37</v>
      </c>
      <c r="Q90" t="s">
        <v>39</v>
      </c>
      <c r="R90" t="s">
        <v>40</v>
      </c>
      <c r="S90">
        <v>0</v>
      </c>
      <c r="U90" t="s">
        <v>5550</v>
      </c>
      <c r="V90" t="s">
        <v>1797</v>
      </c>
      <c r="X90" t="s">
        <v>74</v>
      </c>
      <c r="Y90" t="b">
        <v>0</v>
      </c>
      <c r="Z90" t="b">
        <v>0</v>
      </c>
      <c r="AC90" s="1"/>
      <c r="AF90">
        <v>0</v>
      </c>
      <c r="AG90">
        <v>45</v>
      </c>
      <c r="AH90">
        <v>161</v>
      </c>
      <c r="AI90" s="2">
        <f>Table__192.168.3.138DYLGSMetaData[[#This Row],[NetAmount]]-Table__192.168.3.138DYLGSMetaData[[#This Row],[Paid]]</f>
        <v>5300</v>
      </c>
    </row>
    <row r="91" spans="1:35" hidden="1">
      <c r="A91" t="s">
        <v>5503</v>
      </c>
      <c r="B91" t="s">
        <v>5504</v>
      </c>
      <c r="C91" t="s">
        <v>5749</v>
      </c>
      <c r="D91" s="1">
        <v>41152</v>
      </c>
      <c r="E91" s="1">
        <v>41197</v>
      </c>
      <c r="F91">
        <v>62100</v>
      </c>
      <c r="G91">
        <v>0</v>
      </c>
      <c r="H91">
        <v>0</v>
      </c>
      <c r="I91">
        <v>0</v>
      </c>
      <c r="J91">
        <v>116</v>
      </c>
      <c r="K91">
        <v>62100</v>
      </c>
      <c r="L91" t="s">
        <v>3204</v>
      </c>
      <c r="M91" s="1">
        <v>41152</v>
      </c>
      <c r="O91" t="s">
        <v>36</v>
      </c>
      <c r="P91" t="s">
        <v>37</v>
      </c>
      <c r="Q91" t="s">
        <v>39</v>
      </c>
      <c r="R91" t="s">
        <v>40</v>
      </c>
      <c r="S91">
        <v>0</v>
      </c>
      <c r="U91" t="s">
        <v>5550</v>
      </c>
      <c r="V91" t="s">
        <v>1797</v>
      </c>
      <c r="X91" t="s">
        <v>74</v>
      </c>
      <c r="Y91" t="b">
        <v>0</v>
      </c>
      <c r="Z91" t="b">
        <v>0</v>
      </c>
      <c r="AC91" s="1"/>
      <c r="AF91">
        <v>0</v>
      </c>
      <c r="AG91">
        <v>45</v>
      </c>
      <c r="AH91">
        <v>161</v>
      </c>
      <c r="AI91" s="2">
        <f>Table__192.168.3.138DYLGSMetaData[[#This Row],[NetAmount]]-Table__192.168.3.138DYLGSMetaData[[#This Row],[Paid]]</f>
        <v>62100</v>
      </c>
    </row>
    <row r="92" spans="1:35" hidden="1">
      <c r="A92" t="s">
        <v>5483</v>
      </c>
      <c r="B92" t="s">
        <v>5484</v>
      </c>
      <c r="C92" t="s">
        <v>5750</v>
      </c>
      <c r="D92" s="1">
        <v>41152</v>
      </c>
      <c r="E92" s="1">
        <v>41197</v>
      </c>
      <c r="F92">
        <v>12700</v>
      </c>
      <c r="G92">
        <v>0</v>
      </c>
      <c r="H92">
        <v>0</v>
      </c>
      <c r="I92">
        <v>0</v>
      </c>
      <c r="J92">
        <v>116</v>
      </c>
      <c r="K92">
        <v>12700</v>
      </c>
      <c r="L92" t="s">
        <v>5751</v>
      </c>
      <c r="M92" s="1">
        <v>41152</v>
      </c>
      <c r="O92" t="s">
        <v>36</v>
      </c>
      <c r="P92" t="s">
        <v>37</v>
      </c>
      <c r="Q92" t="s">
        <v>39</v>
      </c>
      <c r="R92" t="s">
        <v>40</v>
      </c>
      <c r="S92">
        <v>0</v>
      </c>
      <c r="U92" t="s">
        <v>5550</v>
      </c>
      <c r="V92" t="s">
        <v>1797</v>
      </c>
      <c r="X92" t="s">
        <v>74</v>
      </c>
      <c r="Y92" t="b">
        <v>0</v>
      </c>
      <c r="Z92" t="b">
        <v>0</v>
      </c>
      <c r="AC92" s="1"/>
      <c r="AF92">
        <v>0</v>
      </c>
      <c r="AG92">
        <v>45</v>
      </c>
      <c r="AH92">
        <v>161</v>
      </c>
      <c r="AI92" s="2">
        <f>Table__192.168.3.138DYLGSMetaData[[#This Row],[NetAmount]]-Table__192.168.3.138DYLGSMetaData[[#This Row],[Paid]]</f>
        <v>12700</v>
      </c>
    </row>
    <row r="93" spans="1:35" hidden="1">
      <c r="A93" t="s">
        <v>5511</v>
      </c>
      <c r="B93" t="s">
        <v>5512</v>
      </c>
      <c r="C93" t="s">
        <v>5752</v>
      </c>
      <c r="D93" s="1">
        <v>41152</v>
      </c>
      <c r="E93" s="1">
        <v>41197</v>
      </c>
      <c r="F93">
        <v>74000</v>
      </c>
      <c r="G93">
        <v>0</v>
      </c>
      <c r="H93">
        <v>0</v>
      </c>
      <c r="I93">
        <v>0</v>
      </c>
      <c r="J93">
        <v>116</v>
      </c>
      <c r="K93">
        <v>74000</v>
      </c>
      <c r="L93" t="s">
        <v>5271</v>
      </c>
      <c r="M93" s="1">
        <v>41152</v>
      </c>
      <c r="N93" t="s">
        <v>5753</v>
      </c>
      <c r="O93" t="s">
        <v>36</v>
      </c>
      <c r="P93" t="s">
        <v>37</v>
      </c>
      <c r="Q93" t="s">
        <v>39</v>
      </c>
      <c r="R93" t="s">
        <v>40</v>
      </c>
      <c r="S93">
        <v>0</v>
      </c>
      <c r="U93" t="s">
        <v>5550</v>
      </c>
      <c r="V93" t="s">
        <v>1797</v>
      </c>
      <c r="W93" t="s">
        <v>5691</v>
      </c>
      <c r="X93" t="s">
        <v>74</v>
      </c>
      <c r="Y93" t="b">
        <v>0</v>
      </c>
      <c r="Z93" t="b">
        <v>0</v>
      </c>
      <c r="AA93" t="b">
        <v>0</v>
      </c>
      <c r="AC93" s="1"/>
      <c r="AF93">
        <v>0</v>
      </c>
      <c r="AG93">
        <v>45</v>
      </c>
      <c r="AH93">
        <v>161</v>
      </c>
      <c r="AI93" s="2">
        <f>Table__192.168.3.138DYLGSMetaData[[#This Row],[NetAmount]]-Table__192.168.3.138DYLGSMetaData[[#This Row],[Paid]]</f>
        <v>74000</v>
      </c>
    </row>
    <row r="94" spans="1:35" hidden="1">
      <c r="A94" t="s">
        <v>5529</v>
      </c>
      <c r="B94" t="s">
        <v>5530</v>
      </c>
      <c r="C94" t="s">
        <v>5754</v>
      </c>
      <c r="D94" s="1">
        <v>41153</v>
      </c>
      <c r="E94" s="1">
        <v>41198</v>
      </c>
      <c r="F94">
        <v>11200</v>
      </c>
      <c r="G94">
        <v>0</v>
      </c>
      <c r="H94">
        <v>0</v>
      </c>
      <c r="I94">
        <v>0</v>
      </c>
      <c r="J94">
        <v>116</v>
      </c>
      <c r="K94">
        <v>11200</v>
      </c>
      <c r="L94" t="s">
        <v>3785</v>
      </c>
      <c r="M94" s="1">
        <v>41152</v>
      </c>
      <c r="O94" t="s">
        <v>36</v>
      </c>
      <c r="P94" t="s">
        <v>37</v>
      </c>
      <c r="Q94" t="s">
        <v>39</v>
      </c>
      <c r="R94" t="s">
        <v>40</v>
      </c>
      <c r="S94">
        <v>0</v>
      </c>
      <c r="U94" t="s">
        <v>5550</v>
      </c>
      <c r="V94" t="s">
        <v>1797</v>
      </c>
      <c r="X94" t="s">
        <v>74</v>
      </c>
      <c r="Y94" t="b">
        <v>0</v>
      </c>
      <c r="Z94" t="b">
        <v>0</v>
      </c>
      <c r="AC94" s="1"/>
      <c r="AF94">
        <v>0</v>
      </c>
      <c r="AG94">
        <v>45</v>
      </c>
      <c r="AH94">
        <v>161</v>
      </c>
      <c r="AI94" s="2">
        <f>Table__192.168.3.138DYLGSMetaData[[#This Row],[NetAmount]]-Table__192.168.3.138DYLGSMetaData[[#This Row],[Paid]]</f>
        <v>11200</v>
      </c>
    </row>
    <row r="95" spans="1:35" hidden="1">
      <c r="A95" t="s">
        <v>5529</v>
      </c>
      <c r="B95" t="s">
        <v>5530</v>
      </c>
      <c r="C95" t="s">
        <v>5755</v>
      </c>
      <c r="D95" s="1">
        <v>41153</v>
      </c>
      <c r="E95" s="1">
        <v>41198</v>
      </c>
      <c r="F95">
        <v>231300</v>
      </c>
      <c r="G95">
        <v>0</v>
      </c>
      <c r="H95">
        <v>0</v>
      </c>
      <c r="I95">
        <v>0</v>
      </c>
      <c r="J95">
        <v>116</v>
      </c>
      <c r="K95">
        <v>231300</v>
      </c>
      <c r="L95" t="s">
        <v>5751</v>
      </c>
      <c r="M95" s="1">
        <v>41152</v>
      </c>
      <c r="O95" t="s">
        <v>36</v>
      </c>
      <c r="P95" t="s">
        <v>37</v>
      </c>
      <c r="Q95" t="s">
        <v>39</v>
      </c>
      <c r="R95" t="s">
        <v>40</v>
      </c>
      <c r="S95">
        <v>0</v>
      </c>
      <c r="U95" t="s">
        <v>5550</v>
      </c>
      <c r="V95" t="s">
        <v>1797</v>
      </c>
      <c r="X95" t="s">
        <v>74</v>
      </c>
      <c r="Y95" t="b">
        <v>0</v>
      </c>
      <c r="Z95" t="b">
        <v>0</v>
      </c>
      <c r="AC95" s="1"/>
      <c r="AF95">
        <v>0</v>
      </c>
      <c r="AG95">
        <v>45</v>
      </c>
      <c r="AH95">
        <v>161</v>
      </c>
      <c r="AI95" s="2">
        <f>Table__192.168.3.138DYLGSMetaData[[#This Row],[NetAmount]]-Table__192.168.3.138DYLGSMetaData[[#This Row],[Paid]]</f>
        <v>231300</v>
      </c>
    </row>
    <row r="96" spans="1:35" hidden="1">
      <c r="A96" t="s">
        <v>5523</v>
      </c>
      <c r="B96" t="s">
        <v>5524</v>
      </c>
      <c r="C96" t="s">
        <v>5756</v>
      </c>
      <c r="D96" s="1">
        <v>41155</v>
      </c>
      <c r="E96" s="1">
        <v>41200</v>
      </c>
      <c r="F96">
        <v>31500</v>
      </c>
      <c r="G96">
        <v>5040</v>
      </c>
      <c r="H96">
        <v>0</v>
      </c>
      <c r="I96">
        <v>0</v>
      </c>
      <c r="J96">
        <v>96</v>
      </c>
      <c r="K96">
        <v>36540</v>
      </c>
      <c r="L96" t="s">
        <v>5757</v>
      </c>
      <c r="M96" s="1">
        <v>41172</v>
      </c>
      <c r="N96" t="s">
        <v>5758</v>
      </c>
      <c r="O96" t="s">
        <v>36</v>
      </c>
      <c r="P96" t="s">
        <v>37</v>
      </c>
      <c r="Q96" t="s">
        <v>39</v>
      </c>
      <c r="R96" t="s">
        <v>40</v>
      </c>
      <c r="S96">
        <v>0</v>
      </c>
      <c r="U96" t="s">
        <v>5550</v>
      </c>
      <c r="V96" t="s">
        <v>1797</v>
      </c>
      <c r="W96" t="s">
        <v>5759</v>
      </c>
      <c r="X96" t="s">
        <v>74</v>
      </c>
      <c r="Y96" t="b">
        <v>0</v>
      </c>
      <c r="Z96" t="b">
        <v>0</v>
      </c>
      <c r="AA96" t="b">
        <v>0</v>
      </c>
      <c r="AC96" s="1"/>
      <c r="AF96">
        <v>0</v>
      </c>
      <c r="AG96">
        <v>45</v>
      </c>
      <c r="AH96">
        <v>141</v>
      </c>
      <c r="AI96" s="2">
        <f>Table__192.168.3.138DYLGSMetaData[[#This Row],[NetAmount]]-Table__192.168.3.138DYLGSMetaData[[#This Row],[Paid]]</f>
        <v>36540</v>
      </c>
    </row>
    <row r="97" spans="1:35" hidden="1">
      <c r="A97" t="s">
        <v>5491</v>
      </c>
      <c r="B97" t="s">
        <v>5492</v>
      </c>
      <c r="C97" t="s">
        <v>5760</v>
      </c>
      <c r="D97" s="1">
        <v>41173</v>
      </c>
      <c r="E97" s="1">
        <v>41218</v>
      </c>
      <c r="F97">
        <v>5500</v>
      </c>
      <c r="G97">
        <v>880</v>
      </c>
      <c r="H97">
        <v>0</v>
      </c>
      <c r="I97">
        <v>0</v>
      </c>
      <c r="J97">
        <v>98</v>
      </c>
      <c r="K97">
        <v>6380</v>
      </c>
      <c r="L97" t="s">
        <v>5761</v>
      </c>
      <c r="M97" s="1">
        <v>41170</v>
      </c>
      <c r="O97" t="s">
        <v>36</v>
      </c>
      <c r="P97" t="s">
        <v>37</v>
      </c>
      <c r="Q97" t="s">
        <v>39</v>
      </c>
      <c r="R97" t="s">
        <v>40</v>
      </c>
      <c r="S97">
        <v>0</v>
      </c>
      <c r="U97" t="s">
        <v>5550</v>
      </c>
      <c r="V97" t="s">
        <v>1797</v>
      </c>
      <c r="X97" t="s">
        <v>74</v>
      </c>
      <c r="Y97" t="b">
        <v>0</v>
      </c>
      <c r="Z97" t="b">
        <v>0</v>
      </c>
      <c r="AC97" s="1"/>
      <c r="AF97">
        <v>0</v>
      </c>
      <c r="AG97">
        <v>45</v>
      </c>
      <c r="AH97">
        <v>143</v>
      </c>
      <c r="AI97" s="2">
        <f>Table__192.168.3.138DYLGSMetaData[[#This Row],[NetAmount]]-Table__192.168.3.138DYLGSMetaData[[#This Row],[Paid]]</f>
        <v>6380</v>
      </c>
    </row>
    <row r="98" spans="1:35" hidden="1">
      <c r="A98" t="s">
        <v>5531</v>
      </c>
      <c r="B98" t="s">
        <v>5532</v>
      </c>
      <c r="C98" t="s">
        <v>5762</v>
      </c>
      <c r="D98" s="1">
        <v>41154</v>
      </c>
      <c r="E98" s="1">
        <v>41199</v>
      </c>
      <c r="F98">
        <v>4600</v>
      </c>
      <c r="G98">
        <v>736</v>
      </c>
      <c r="H98">
        <v>0</v>
      </c>
      <c r="I98">
        <v>0</v>
      </c>
      <c r="J98">
        <v>115</v>
      </c>
      <c r="K98">
        <v>5336</v>
      </c>
      <c r="L98" t="s">
        <v>5763</v>
      </c>
      <c r="M98" s="1">
        <v>41153</v>
      </c>
      <c r="N98" t="s">
        <v>5764</v>
      </c>
      <c r="O98" t="s">
        <v>36</v>
      </c>
      <c r="P98" t="s">
        <v>37</v>
      </c>
      <c r="Q98" t="s">
        <v>39</v>
      </c>
      <c r="R98" t="s">
        <v>40</v>
      </c>
      <c r="S98">
        <v>0</v>
      </c>
      <c r="U98" t="s">
        <v>5550</v>
      </c>
      <c r="V98" t="s">
        <v>1797</v>
      </c>
      <c r="W98" t="s">
        <v>5765</v>
      </c>
      <c r="X98" t="s">
        <v>74</v>
      </c>
      <c r="Y98" t="b">
        <v>0</v>
      </c>
      <c r="Z98" t="b">
        <v>0</v>
      </c>
      <c r="AA98" t="b">
        <v>0</v>
      </c>
      <c r="AC98" s="1"/>
      <c r="AF98">
        <v>0</v>
      </c>
      <c r="AG98">
        <v>45</v>
      </c>
      <c r="AH98">
        <v>160</v>
      </c>
      <c r="AI98" s="2">
        <f>Table__192.168.3.138DYLGSMetaData[[#This Row],[NetAmount]]-Table__192.168.3.138DYLGSMetaData[[#This Row],[Paid]]</f>
        <v>5336</v>
      </c>
    </row>
    <row r="99" spans="1:35" hidden="1">
      <c r="A99" t="s">
        <v>5523</v>
      </c>
      <c r="B99" t="s">
        <v>5524</v>
      </c>
      <c r="C99" t="s">
        <v>5766</v>
      </c>
      <c r="D99" s="1">
        <v>41166</v>
      </c>
      <c r="E99" s="1">
        <v>41211</v>
      </c>
      <c r="F99">
        <v>17352</v>
      </c>
      <c r="G99">
        <v>2776</v>
      </c>
      <c r="H99">
        <v>0</v>
      </c>
      <c r="I99">
        <v>0</v>
      </c>
      <c r="J99">
        <v>102</v>
      </c>
      <c r="K99">
        <v>20128</v>
      </c>
      <c r="L99" t="s">
        <v>5767</v>
      </c>
      <c r="M99" s="1">
        <v>41166</v>
      </c>
      <c r="N99" t="s">
        <v>5768</v>
      </c>
      <c r="O99" t="s">
        <v>36</v>
      </c>
      <c r="P99" t="s">
        <v>37</v>
      </c>
      <c r="Q99" t="s">
        <v>39</v>
      </c>
      <c r="R99" t="s">
        <v>40</v>
      </c>
      <c r="S99">
        <v>0</v>
      </c>
      <c r="U99" t="s">
        <v>5550</v>
      </c>
      <c r="V99" t="s">
        <v>1797</v>
      </c>
      <c r="W99" t="s">
        <v>5759</v>
      </c>
      <c r="X99" t="s">
        <v>74</v>
      </c>
      <c r="Y99" t="b">
        <v>0</v>
      </c>
      <c r="Z99" t="b">
        <v>0</v>
      </c>
      <c r="AA99" t="b">
        <v>0</v>
      </c>
      <c r="AC99" s="1"/>
      <c r="AF99">
        <v>0</v>
      </c>
      <c r="AG99">
        <v>45</v>
      </c>
      <c r="AH99">
        <v>147</v>
      </c>
      <c r="AI99" s="2">
        <f>Table__192.168.3.138DYLGSMetaData[[#This Row],[NetAmount]]-Table__192.168.3.138DYLGSMetaData[[#This Row],[Paid]]</f>
        <v>20128</v>
      </c>
    </row>
    <row r="100" spans="1:35" hidden="1">
      <c r="A100" t="s">
        <v>5469</v>
      </c>
      <c r="B100" t="s">
        <v>5470</v>
      </c>
      <c r="C100" t="s">
        <v>5769</v>
      </c>
      <c r="D100" s="1">
        <v>41169</v>
      </c>
      <c r="E100" s="1">
        <v>41214</v>
      </c>
      <c r="F100">
        <v>279500</v>
      </c>
      <c r="G100">
        <v>44720</v>
      </c>
      <c r="H100">
        <v>0</v>
      </c>
      <c r="I100">
        <v>0</v>
      </c>
      <c r="J100">
        <v>99</v>
      </c>
      <c r="K100">
        <v>324220</v>
      </c>
      <c r="L100" t="s">
        <v>4154</v>
      </c>
      <c r="M100" s="1">
        <v>41169</v>
      </c>
      <c r="O100" t="s">
        <v>36</v>
      </c>
      <c r="P100" t="s">
        <v>37</v>
      </c>
      <c r="Q100" t="s">
        <v>39</v>
      </c>
      <c r="R100" t="s">
        <v>40</v>
      </c>
      <c r="S100">
        <v>0</v>
      </c>
      <c r="U100" t="s">
        <v>5550</v>
      </c>
      <c r="V100" t="s">
        <v>1797</v>
      </c>
      <c r="X100" t="s">
        <v>74</v>
      </c>
      <c r="Y100" t="b">
        <v>0</v>
      </c>
      <c r="Z100" t="b">
        <v>0</v>
      </c>
      <c r="AC100" s="1"/>
      <c r="AF100">
        <v>0</v>
      </c>
      <c r="AG100">
        <v>45</v>
      </c>
      <c r="AH100">
        <v>144</v>
      </c>
      <c r="AI100" s="2">
        <f>Table__192.168.3.138DYLGSMetaData[[#This Row],[NetAmount]]-Table__192.168.3.138DYLGSMetaData[[#This Row],[Paid]]</f>
        <v>324220</v>
      </c>
    </row>
    <row r="101" spans="1:35" hidden="1">
      <c r="A101" t="s">
        <v>5537</v>
      </c>
      <c r="B101" t="s">
        <v>5538</v>
      </c>
      <c r="C101" t="s">
        <v>5770</v>
      </c>
      <c r="D101" s="1">
        <v>41163</v>
      </c>
      <c r="E101" s="1">
        <v>41208</v>
      </c>
      <c r="F101">
        <v>29725</v>
      </c>
      <c r="G101">
        <v>4756</v>
      </c>
      <c r="H101">
        <v>0</v>
      </c>
      <c r="I101">
        <v>0</v>
      </c>
      <c r="J101">
        <v>106</v>
      </c>
      <c r="K101">
        <v>34481</v>
      </c>
      <c r="L101" t="s">
        <v>2912</v>
      </c>
      <c r="M101" s="1">
        <v>41162</v>
      </c>
      <c r="O101" t="s">
        <v>36</v>
      </c>
      <c r="P101" t="s">
        <v>37</v>
      </c>
      <c r="Q101" t="s">
        <v>39</v>
      </c>
      <c r="R101" t="s">
        <v>40</v>
      </c>
      <c r="S101">
        <v>0</v>
      </c>
      <c r="U101" t="s">
        <v>5550</v>
      </c>
      <c r="V101" t="s">
        <v>1797</v>
      </c>
      <c r="X101" t="s">
        <v>74</v>
      </c>
      <c r="Y101" t="b">
        <v>0</v>
      </c>
      <c r="Z101" t="b">
        <v>0</v>
      </c>
      <c r="AC101" s="1"/>
      <c r="AF101">
        <v>0</v>
      </c>
      <c r="AG101">
        <v>45</v>
      </c>
      <c r="AH101">
        <v>151</v>
      </c>
      <c r="AI101" s="2">
        <f>Table__192.168.3.138DYLGSMetaData[[#This Row],[NetAmount]]-Table__192.168.3.138DYLGSMetaData[[#This Row],[Paid]]</f>
        <v>34481</v>
      </c>
    </row>
    <row r="102" spans="1:35" hidden="1">
      <c r="A102" t="s">
        <v>5521</v>
      </c>
      <c r="B102" t="s">
        <v>5522</v>
      </c>
      <c r="C102" t="s">
        <v>5771</v>
      </c>
      <c r="D102" s="1">
        <v>41176</v>
      </c>
      <c r="E102" s="1">
        <v>41221</v>
      </c>
      <c r="F102">
        <v>68160</v>
      </c>
      <c r="G102">
        <v>10906</v>
      </c>
      <c r="H102">
        <v>0</v>
      </c>
      <c r="I102">
        <v>0</v>
      </c>
      <c r="J102">
        <v>94</v>
      </c>
      <c r="K102">
        <v>79066</v>
      </c>
      <c r="L102" t="s">
        <v>5772</v>
      </c>
      <c r="M102" s="1">
        <v>41174</v>
      </c>
      <c r="O102" t="s">
        <v>36</v>
      </c>
      <c r="P102" t="s">
        <v>37</v>
      </c>
      <c r="Q102" t="s">
        <v>39</v>
      </c>
      <c r="R102" t="s">
        <v>40</v>
      </c>
      <c r="S102">
        <v>0</v>
      </c>
      <c r="U102" t="s">
        <v>5550</v>
      </c>
      <c r="V102" t="s">
        <v>1797</v>
      </c>
      <c r="X102" t="s">
        <v>74</v>
      </c>
      <c r="Y102" t="b">
        <v>0</v>
      </c>
      <c r="Z102" t="b">
        <v>0</v>
      </c>
      <c r="AB102" t="s">
        <v>5615</v>
      </c>
      <c r="AC102" s="1">
        <v>41233</v>
      </c>
      <c r="AF102">
        <v>0</v>
      </c>
      <c r="AG102">
        <v>45</v>
      </c>
      <c r="AH102">
        <v>139</v>
      </c>
      <c r="AI102" s="2">
        <f>Table__192.168.3.138DYLGSMetaData[[#This Row],[NetAmount]]-Table__192.168.3.138DYLGSMetaData[[#This Row],[Paid]]</f>
        <v>79066</v>
      </c>
    </row>
    <row r="103" spans="1:35" hidden="1">
      <c r="A103" t="s">
        <v>5499</v>
      </c>
      <c r="B103" t="s">
        <v>5500</v>
      </c>
      <c r="C103" t="s">
        <v>5773</v>
      </c>
      <c r="D103" s="1">
        <v>41176</v>
      </c>
      <c r="E103" s="1">
        <v>41221</v>
      </c>
      <c r="F103">
        <v>8850</v>
      </c>
      <c r="G103">
        <v>1416</v>
      </c>
      <c r="H103">
        <v>0</v>
      </c>
      <c r="I103">
        <v>0</v>
      </c>
      <c r="J103">
        <v>96</v>
      </c>
      <c r="K103">
        <v>10266</v>
      </c>
      <c r="L103" t="s">
        <v>5774</v>
      </c>
      <c r="M103" s="1">
        <v>41172</v>
      </c>
      <c r="N103" t="s">
        <v>5775</v>
      </c>
      <c r="O103" t="s">
        <v>36</v>
      </c>
      <c r="P103" t="s">
        <v>37</v>
      </c>
      <c r="Q103" t="s">
        <v>39</v>
      </c>
      <c r="R103" t="s">
        <v>40</v>
      </c>
      <c r="S103">
        <v>0</v>
      </c>
      <c r="U103" t="s">
        <v>5550</v>
      </c>
      <c r="V103" t="s">
        <v>1797</v>
      </c>
      <c r="W103" t="s">
        <v>5776</v>
      </c>
      <c r="X103" t="s">
        <v>74</v>
      </c>
      <c r="Y103" t="b">
        <v>0</v>
      </c>
      <c r="Z103" t="b">
        <v>0</v>
      </c>
      <c r="AA103" t="b">
        <v>0</v>
      </c>
      <c r="AC103" s="1"/>
      <c r="AF103">
        <v>0</v>
      </c>
      <c r="AG103">
        <v>45</v>
      </c>
      <c r="AH103">
        <v>141</v>
      </c>
      <c r="AI103" s="2">
        <f>Table__192.168.3.138DYLGSMetaData[[#This Row],[NetAmount]]-Table__192.168.3.138DYLGSMetaData[[#This Row],[Paid]]</f>
        <v>10266</v>
      </c>
    </row>
    <row r="104" spans="1:35" hidden="1">
      <c r="A104" t="s">
        <v>5543</v>
      </c>
      <c r="B104" t="s">
        <v>5544</v>
      </c>
      <c r="C104" t="s">
        <v>5777</v>
      </c>
      <c r="D104" s="1">
        <v>41177</v>
      </c>
      <c r="E104" s="1">
        <v>41222</v>
      </c>
      <c r="F104">
        <v>80590</v>
      </c>
      <c r="G104">
        <v>12894</v>
      </c>
      <c r="H104">
        <v>0</v>
      </c>
      <c r="I104">
        <v>0</v>
      </c>
      <c r="J104">
        <v>88</v>
      </c>
      <c r="K104">
        <v>93484</v>
      </c>
      <c r="L104" t="s">
        <v>4540</v>
      </c>
      <c r="M104" s="1">
        <v>41180</v>
      </c>
      <c r="N104" t="s">
        <v>5778</v>
      </c>
      <c r="O104" t="s">
        <v>36</v>
      </c>
      <c r="P104" t="s">
        <v>37</v>
      </c>
      <c r="Q104" t="s">
        <v>39</v>
      </c>
      <c r="R104" t="s">
        <v>40</v>
      </c>
      <c r="S104">
        <v>0</v>
      </c>
      <c r="U104" t="s">
        <v>5550</v>
      </c>
      <c r="V104" t="s">
        <v>1797</v>
      </c>
      <c r="W104" t="s">
        <v>5742</v>
      </c>
      <c r="X104" t="s">
        <v>74</v>
      </c>
      <c r="Y104" t="b">
        <v>0</v>
      </c>
      <c r="Z104" t="b">
        <v>0</v>
      </c>
      <c r="AA104" t="b">
        <v>0</v>
      </c>
      <c r="AC104" s="1"/>
      <c r="AF104">
        <v>0</v>
      </c>
      <c r="AG104">
        <v>45</v>
      </c>
      <c r="AH104">
        <v>133</v>
      </c>
      <c r="AI104" s="2">
        <f>Table__192.168.3.138DYLGSMetaData[[#This Row],[NetAmount]]-Table__192.168.3.138DYLGSMetaData[[#This Row],[Paid]]</f>
        <v>93484</v>
      </c>
    </row>
    <row r="105" spans="1:35" hidden="1">
      <c r="A105" t="s">
        <v>5543</v>
      </c>
      <c r="B105" t="s">
        <v>5544</v>
      </c>
      <c r="C105" t="s">
        <v>5779</v>
      </c>
      <c r="D105" s="1">
        <v>41173</v>
      </c>
      <c r="E105" s="1">
        <v>41218</v>
      </c>
      <c r="F105">
        <v>4500</v>
      </c>
      <c r="G105">
        <v>720</v>
      </c>
      <c r="H105">
        <v>0</v>
      </c>
      <c r="I105">
        <v>0</v>
      </c>
      <c r="J105">
        <v>88</v>
      </c>
      <c r="K105">
        <v>5220</v>
      </c>
      <c r="L105" t="s">
        <v>5780</v>
      </c>
      <c r="M105" s="1">
        <v>41180</v>
      </c>
      <c r="O105" t="s">
        <v>36</v>
      </c>
      <c r="P105" t="s">
        <v>37</v>
      </c>
      <c r="Q105" t="s">
        <v>39</v>
      </c>
      <c r="R105" t="s">
        <v>40</v>
      </c>
      <c r="S105">
        <v>0</v>
      </c>
      <c r="U105" t="s">
        <v>5550</v>
      </c>
      <c r="V105" t="s">
        <v>1797</v>
      </c>
      <c r="X105" t="s">
        <v>74</v>
      </c>
      <c r="Y105" t="b">
        <v>0</v>
      </c>
      <c r="Z105" t="b">
        <v>0</v>
      </c>
      <c r="AC105" s="1"/>
      <c r="AF105">
        <v>0</v>
      </c>
      <c r="AG105">
        <v>45</v>
      </c>
      <c r="AH105">
        <v>133</v>
      </c>
      <c r="AI105" s="2">
        <f>Table__192.168.3.138DYLGSMetaData[[#This Row],[NetAmount]]-Table__192.168.3.138DYLGSMetaData[[#This Row],[Paid]]</f>
        <v>5220</v>
      </c>
    </row>
    <row r="106" spans="1:35" hidden="1">
      <c r="A106" t="s">
        <v>5543</v>
      </c>
      <c r="B106" t="s">
        <v>5544</v>
      </c>
      <c r="C106" t="s">
        <v>5781</v>
      </c>
      <c r="D106" s="1">
        <v>41173</v>
      </c>
      <c r="E106" s="1">
        <v>41218</v>
      </c>
      <c r="F106">
        <v>8075</v>
      </c>
      <c r="G106">
        <v>1292</v>
      </c>
      <c r="H106">
        <v>0</v>
      </c>
      <c r="I106">
        <v>0</v>
      </c>
      <c r="J106">
        <v>88</v>
      </c>
      <c r="K106">
        <v>9367</v>
      </c>
      <c r="L106" t="s">
        <v>4112</v>
      </c>
      <c r="M106" s="1">
        <v>41180</v>
      </c>
      <c r="O106" t="s">
        <v>36</v>
      </c>
      <c r="P106" t="s">
        <v>37</v>
      </c>
      <c r="Q106" t="s">
        <v>39</v>
      </c>
      <c r="R106" t="s">
        <v>40</v>
      </c>
      <c r="S106">
        <v>0</v>
      </c>
      <c r="U106" t="s">
        <v>5550</v>
      </c>
      <c r="V106" t="s">
        <v>1797</v>
      </c>
      <c r="X106" t="s">
        <v>74</v>
      </c>
      <c r="Y106" t="b">
        <v>0</v>
      </c>
      <c r="Z106" t="b">
        <v>0</v>
      </c>
      <c r="AC106" s="1"/>
      <c r="AF106">
        <v>0</v>
      </c>
      <c r="AG106">
        <v>45</v>
      </c>
      <c r="AH106">
        <v>133</v>
      </c>
      <c r="AI106" s="2">
        <f>Table__192.168.3.138DYLGSMetaData[[#This Row],[NetAmount]]-Table__192.168.3.138DYLGSMetaData[[#This Row],[Paid]]</f>
        <v>9367</v>
      </c>
    </row>
    <row r="107" spans="1:35" hidden="1">
      <c r="A107" t="s">
        <v>5493</v>
      </c>
      <c r="B107" t="s">
        <v>5494</v>
      </c>
      <c r="C107" t="s">
        <v>5782</v>
      </c>
      <c r="D107" s="1">
        <v>41173</v>
      </c>
      <c r="E107" s="1">
        <v>41218</v>
      </c>
      <c r="F107">
        <v>1750</v>
      </c>
      <c r="G107">
        <v>280</v>
      </c>
      <c r="H107">
        <v>0</v>
      </c>
      <c r="I107">
        <v>0</v>
      </c>
      <c r="J107">
        <v>88</v>
      </c>
      <c r="K107">
        <v>2030</v>
      </c>
      <c r="L107" t="s">
        <v>5783</v>
      </c>
      <c r="M107" s="1">
        <v>41180</v>
      </c>
      <c r="O107" t="s">
        <v>36</v>
      </c>
      <c r="P107" t="s">
        <v>37</v>
      </c>
      <c r="Q107" t="s">
        <v>39</v>
      </c>
      <c r="R107" t="s">
        <v>40</v>
      </c>
      <c r="S107">
        <v>0</v>
      </c>
      <c r="U107" t="s">
        <v>5550</v>
      </c>
      <c r="V107" t="s">
        <v>1797</v>
      </c>
      <c r="X107" t="s">
        <v>74</v>
      </c>
      <c r="Y107" t="b">
        <v>0</v>
      </c>
      <c r="Z107" t="b">
        <v>0</v>
      </c>
      <c r="AC107" s="1"/>
      <c r="AF107">
        <v>0</v>
      </c>
      <c r="AG107">
        <v>45</v>
      </c>
      <c r="AH107">
        <v>133</v>
      </c>
      <c r="AI107" s="2">
        <f>Table__192.168.3.138DYLGSMetaData[[#This Row],[NetAmount]]-Table__192.168.3.138DYLGSMetaData[[#This Row],[Paid]]</f>
        <v>2030</v>
      </c>
    </row>
    <row r="108" spans="1:35" hidden="1">
      <c r="A108" t="s">
        <v>5463</v>
      </c>
      <c r="B108" t="s">
        <v>5464</v>
      </c>
      <c r="C108" t="s">
        <v>5784</v>
      </c>
      <c r="D108" s="1">
        <v>41173</v>
      </c>
      <c r="E108" s="1">
        <v>41218</v>
      </c>
      <c r="F108">
        <v>2900</v>
      </c>
      <c r="G108">
        <v>464</v>
      </c>
      <c r="H108">
        <v>0</v>
      </c>
      <c r="I108">
        <v>0</v>
      </c>
      <c r="J108">
        <v>87</v>
      </c>
      <c r="K108">
        <v>3364</v>
      </c>
      <c r="L108" t="s">
        <v>5785</v>
      </c>
      <c r="M108" s="1">
        <v>41181</v>
      </c>
      <c r="O108" t="s">
        <v>36</v>
      </c>
      <c r="P108" t="s">
        <v>37</v>
      </c>
      <c r="Q108" t="s">
        <v>39</v>
      </c>
      <c r="R108" t="s">
        <v>40</v>
      </c>
      <c r="S108">
        <v>0</v>
      </c>
      <c r="U108" t="s">
        <v>5550</v>
      </c>
      <c r="V108" t="s">
        <v>1797</v>
      </c>
      <c r="X108" t="s">
        <v>74</v>
      </c>
      <c r="Y108" t="b">
        <v>0</v>
      </c>
      <c r="Z108" t="b">
        <v>0</v>
      </c>
      <c r="AC108" s="1"/>
      <c r="AF108">
        <v>0</v>
      </c>
      <c r="AG108">
        <v>45</v>
      </c>
      <c r="AH108">
        <v>132</v>
      </c>
      <c r="AI108" s="2">
        <f>Table__192.168.3.138DYLGSMetaData[[#This Row],[NetAmount]]-Table__192.168.3.138DYLGSMetaData[[#This Row],[Paid]]</f>
        <v>3364</v>
      </c>
    </row>
    <row r="109" spans="1:35" hidden="1">
      <c r="A109" t="s">
        <v>5531</v>
      </c>
      <c r="B109" t="s">
        <v>5532</v>
      </c>
      <c r="C109" t="s">
        <v>5786</v>
      </c>
      <c r="D109" s="1">
        <v>41173</v>
      </c>
      <c r="E109" s="1">
        <v>41218</v>
      </c>
      <c r="F109">
        <v>8300</v>
      </c>
      <c r="G109">
        <v>1328</v>
      </c>
      <c r="H109">
        <v>0</v>
      </c>
      <c r="I109">
        <v>0</v>
      </c>
      <c r="J109">
        <v>88</v>
      </c>
      <c r="K109">
        <v>9628</v>
      </c>
      <c r="L109" t="s">
        <v>5787</v>
      </c>
      <c r="M109" s="1">
        <v>41180</v>
      </c>
      <c r="N109" t="s">
        <v>5788</v>
      </c>
      <c r="O109" t="s">
        <v>36</v>
      </c>
      <c r="P109" t="s">
        <v>37</v>
      </c>
      <c r="Q109" t="s">
        <v>39</v>
      </c>
      <c r="R109" t="s">
        <v>40</v>
      </c>
      <c r="S109">
        <v>0</v>
      </c>
      <c r="U109" t="s">
        <v>5550</v>
      </c>
      <c r="V109" t="s">
        <v>1797</v>
      </c>
      <c r="W109" t="s">
        <v>5765</v>
      </c>
      <c r="X109" t="s">
        <v>74</v>
      </c>
      <c r="Y109" t="b">
        <v>0</v>
      </c>
      <c r="Z109" t="b">
        <v>0</v>
      </c>
      <c r="AA109" t="b">
        <v>0</v>
      </c>
      <c r="AC109" s="1"/>
      <c r="AF109">
        <v>0</v>
      </c>
      <c r="AG109">
        <v>45</v>
      </c>
      <c r="AH109">
        <v>133</v>
      </c>
      <c r="AI109" s="2">
        <f>Table__192.168.3.138DYLGSMetaData[[#This Row],[NetAmount]]-Table__192.168.3.138DYLGSMetaData[[#This Row],[Paid]]</f>
        <v>9628</v>
      </c>
    </row>
    <row r="110" spans="1:35" hidden="1">
      <c r="A110" t="s">
        <v>5541</v>
      </c>
      <c r="B110" t="s">
        <v>5542</v>
      </c>
      <c r="C110" t="s">
        <v>5789</v>
      </c>
      <c r="D110" s="1">
        <v>41183</v>
      </c>
      <c r="E110" s="1">
        <v>41228</v>
      </c>
      <c r="F110">
        <v>155000</v>
      </c>
      <c r="G110">
        <v>24800</v>
      </c>
      <c r="H110">
        <v>0</v>
      </c>
      <c r="I110">
        <v>0</v>
      </c>
      <c r="J110">
        <v>87</v>
      </c>
      <c r="K110">
        <v>179800</v>
      </c>
      <c r="L110" t="s">
        <v>5790</v>
      </c>
      <c r="M110" s="1">
        <v>41181</v>
      </c>
      <c r="O110" t="s">
        <v>36</v>
      </c>
      <c r="P110" t="s">
        <v>37</v>
      </c>
      <c r="Q110" t="s">
        <v>39</v>
      </c>
      <c r="R110" t="s">
        <v>40</v>
      </c>
      <c r="S110">
        <v>0</v>
      </c>
      <c r="U110" t="s">
        <v>5550</v>
      </c>
      <c r="V110" t="s">
        <v>1797</v>
      </c>
      <c r="X110" t="s">
        <v>74</v>
      </c>
      <c r="Y110" t="b">
        <v>0</v>
      </c>
      <c r="Z110" t="b">
        <v>0</v>
      </c>
      <c r="AC110" s="1"/>
      <c r="AF110">
        <v>0</v>
      </c>
      <c r="AG110">
        <v>45</v>
      </c>
      <c r="AH110">
        <v>132</v>
      </c>
      <c r="AI110" s="2">
        <f>Table__192.168.3.138DYLGSMetaData[[#This Row],[NetAmount]]-Table__192.168.3.138DYLGSMetaData[[#This Row],[Paid]]</f>
        <v>179800</v>
      </c>
    </row>
    <row r="111" spans="1:35" hidden="1">
      <c r="A111" t="s">
        <v>5463</v>
      </c>
      <c r="B111" t="s">
        <v>5464</v>
      </c>
      <c r="C111" t="s">
        <v>5791</v>
      </c>
      <c r="D111" s="1">
        <v>41173</v>
      </c>
      <c r="E111" s="1">
        <v>41218</v>
      </c>
      <c r="F111">
        <v>22700</v>
      </c>
      <c r="G111">
        <v>3632</v>
      </c>
      <c r="H111">
        <v>0</v>
      </c>
      <c r="I111">
        <v>0</v>
      </c>
      <c r="J111">
        <v>88</v>
      </c>
      <c r="K111">
        <v>26332</v>
      </c>
      <c r="L111" t="s">
        <v>5792</v>
      </c>
      <c r="M111" s="1">
        <v>41180</v>
      </c>
      <c r="O111" t="s">
        <v>36</v>
      </c>
      <c r="P111" t="s">
        <v>37</v>
      </c>
      <c r="Q111" t="s">
        <v>39</v>
      </c>
      <c r="R111" t="s">
        <v>40</v>
      </c>
      <c r="S111">
        <v>0</v>
      </c>
      <c r="U111" t="s">
        <v>5550</v>
      </c>
      <c r="V111" t="s">
        <v>1797</v>
      </c>
      <c r="X111" t="s">
        <v>74</v>
      </c>
      <c r="Y111" t="b">
        <v>0</v>
      </c>
      <c r="Z111" t="b">
        <v>0</v>
      </c>
      <c r="AC111" s="1"/>
      <c r="AF111">
        <v>0</v>
      </c>
      <c r="AG111">
        <v>45</v>
      </c>
      <c r="AH111">
        <v>133</v>
      </c>
      <c r="AI111" s="2">
        <f>Table__192.168.3.138DYLGSMetaData[[#This Row],[NetAmount]]-Table__192.168.3.138DYLGSMetaData[[#This Row],[Paid]]</f>
        <v>26332</v>
      </c>
    </row>
    <row r="112" spans="1:35" hidden="1">
      <c r="A112" t="s">
        <v>5509</v>
      </c>
      <c r="B112" t="s">
        <v>5510</v>
      </c>
      <c r="C112" t="s">
        <v>5793</v>
      </c>
      <c r="D112" s="1">
        <v>41173</v>
      </c>
      <c r="E112" s="1">
        <v>41218</v>
      </c>
      <c r="F112">
        <v>85500</v>
      </c>
      <c r="G112">
        <v>13680</v>
      </c>
      <c r="H112">
        <v>0</v>
      </c>
      <c r="I112">
        <v>0</v>
      </c>
      <c r="J112">
        <v>97</v>
      </c>
      <c r="K112">
        <v>99180</v>
      </c>
      <c r="L112" t="s">
        <v>5794</v>
      </c>
      <c r="M112" s="1">
        <v>41171</v>
      </c>
      <c r="O112" t="s">
        <v>36</v>
      </c>
      <c r="P112" t="s">
        <v>37</v>
      </c>
      <c r="Q112" t="s">
        <v>39</v>
      </c>
      <c r="R112" t="s">
        <v>40</v>
      </c>
      <c r="S112">
        <v>0</v>
      </c>
      <c r="U112" t="s">
        <v>5550</v>
      </c>
      <c r="V112" t="s">
        <v>1797</v>
      </c>
      <c r="X112" t="s">
        <v>74</v>
      </c>
      <c r="Y112" t="b">
        <v>0</v>
      </c>
      <c r="Z112" t="b">
        <v>0</v>
      </c>
      <c r="AC112" s="1"/>
      <c r="AF112">
        <v>0</v>
      </c>
      <c r="AG112">
        <v>45</v>
      </c>
      <c r="AH112">
        <v>142</v>
      </c>
      <c r="AI112" s="2">
        <f>Table__192.168.3.138DYLGSMetaData[[#This Row],[NetAmount]]-Table__192.168.3.138DYLGSMetaData[[#This Row],[Paid]]</f>
        <v>99180</v>
      </c>
    </row>
    <row r="113" spans="1:35" hidden="1">
      <c r="A113" t="s">
        <v>5527</v>
      </c>
      <c r="B113" t="s">
        <v>5528</v>
      </c>
      <c r="C113" t="s">
        <v>5795</v>
      </c>
      <c r="D113" s="1">
        <v>41162</v>
      </c>
      <c r="E113" s="1">
        <v>41207</v>
      </c>
      <c r="F113">
        <v>21600</v>
      </c>
      <c r="G113">
        <v>3456</v>
      </c>
      <c r="H113">
        <v>0</v>
      </c>
      <c r="I113">
        <v>0</v>
      </c>
      <c r="J113">
        <v>106</v>
      </c>
      <c r="K113">
        <v>25056</v>
      </c>
      <c r="L113" t="s">
        <v>5796</v>
      </c>
      <c r="M113" s="1">
        <v>41162</v>
      </c>
      <c r="O113" t="s">
        <v>36</v>
      </c>
      <c r="P113" t="s">
        <v>37</v>
      </c>
      <c r="Q113" t="s">
        <v>39</v>
      </c>
      <c r="R113" t="s">
        <v>40</v>
      </c>
      <c r="S113">
        <v>0</v>
      </c>
      <c r="U113" t="s">
        <v>5550</v>
      </c>
      <c r="V113" t="s">
        <v>1797</v>
      </c>
      <c r="X113" t="s">
        <v>74</v>
      </c>
      <c r="Y113" t="b">
        <v>0</v>
      </c>
      <c r="Z113" t="b">
        <v>0</v>
      </c>
      <c r="AC113" s="1"/>
      <c r="AF113">
        <v>0</v>
      </c>
      <c r="AG113">
        <v>45</v>
      </c>
      <c r="AH113">
        <v>151</v>
      </c>
      <c r="AI113" s="2">
        <f>Table__192.168.3.138DYLGSMetaData[[#This Row],[NetAmount]]-Table__192.168.3.138DYLGSMetaData[[#This Row],[Paid]]</f>
        <v>25056</v>
      </c>
    </row>
    <row r="114" spans="1:35" hidden="1">
      <c r="A114" t="s">
        <v>5503</v>
      </c>
      <c r="B114" t="s">
        <v>5504</v>
      </c>
      <c r="C114" t="s">
        <v>5797</v>
      </c>
      <c r="D114" s="1">
        <v>41153</v>
      </c>
      <c r="E114" s="1">
        <v>41198</v>
      </c>
      <c r="F114">
        <v>199200</v>
      </c>
      <c r="G114">
        <v>0</v>
      </c>
      <c r="H114">
        <v>0</v>
      </c>
      <c r="I114">
        <v>0</v>
      </c>
      <c r="J114">
        <v>116</v>
      </c>
      <c r="K114">
        <v>199200</v>
      </c>
      <c r="L114" t="s">
        <v>5798</v>
      </c>
      <c r="M114" s="1">
        <v>41152</v>
      </c>
      <c r="O114" t="s">
        <v>36</v>
      </c>
      <c r="P114" t="s">
        <v>37</v>
      </c>
      <c r="Q114" t="s">
        <v>39</v>
      </c>
      <c r="R114" t="s">
        <v>40</v>
      </c>
      <c r="S114">
        <v>0</v>
      </c>
      <c r="U114" t="s">
        <v>5550</v>
      </c>
      <c r="V114" t="s">
        <v>1797</v>
      </c>
      <c r="X114" t="s">
        <v>74</v>
      </c>
      <c r="Y114" t="b">
        <v>0</v>
      </c>
      <c r="Z114" t="b">
        <v>0</v>
      </c>
      <c r="AC114" s="1"/>
      <c r="AF114">
        <v>0</v>
      </c>
      <c r="AG114">
        <v>45</v>
      </c>
      <c r="AH114">
        <v>161</v>
      </c>
      <c r="AI114" s="2">
        <f>Table__192.168.3.138DYLGSMetaData[[#This Row],[NetAmount]]-Table__192.168.3.138DYLGSMetaData[[#This Row],[Paid]]</f>
        <v>199200</v>
      </c>
    </row>
    <row r="115" spans="1:35" hidden="1">
      <c r="A115" t="s">
        <v>5529</v>
      </c>
      <c r="B115" t="s">
        <v>5530</v>
      </c>
      <c r="C115" t="s">
        <v>5799</v>
      </c>
      <c r="D115" s="1">
        <v>41176</v>
      </c>
      <c r="E115" s="1">
        <v>41221</v>
      </c>
      <c r="F115">
        <v>48200</v>
      </c>
      <c r="G115">
        <v>0</v>
      </c>
      <c r="H115">
        <v>0</v>
      </c>
      <c r="I115">
        <v>0</v>
      </c>
      <c r="J115">
        <v>86</v>
      </c>
      <c r="K115">
        <v>48200</v>
      </c>
      <c r="L115" t="s">
        <v>3251</v>
      </c>
      <c r="M115" s="1">
        <v>41182</v>
      </c>
      <c r="O115" t="s">
        <v>36</v>
      </c>
      <c r="P115" t="s">
        <v>37</v>
      </c>
      <c r="Q115" t="s">
        <v>39</v>
      </c>
      <c r="R115" t="s">
        <v>40</v>
      </c>
      <c r="S115">
        <v>0</v>
      </c>
      <c r="U115" t="s">
        <v>5550</v>
      </c>
      <c r="V115" t="s">
        <v>1797</v>
      </c>
      <c r="X115" t="s">
        <v>74</v>
      </c>
      <c r="Y115" t="b">
        <v>0</v>
      </c>
      <c r="Z115" t="b">
        <v>0</v>
      </c>
      <c r="AC115" s="1"/>
      <c r="AF115">
        <v>0</v>
      </c>
      <c r="AG115">
        <v>45</v>
      </c>
      <c r="AH115">
        <v>131</v>
      </c>
      <c r="AI115" s="2">
        <f>Table__192.168.3.138DYLGSMetaData[[#This Row],[NetAmount]]-Table__192.168.3.138DYLGSMetaData[[#This Row],[Paid]]</f>
        <v>48200</v>
      </c>
    </row>
    <row r="116" spans="1:35" hidden="1">
      <c r="A116" t="s">
        <v>5529</v>
      </c>
      <c r="B116" t="s">
        <v>5530</v>
      </c>
      <c r="C116" t="s">
        <v>5800</v>
      </c>
      <c r="D116" s="1">
        <v>41179</v>
      </c>
      <c r="E116" s="1">
        <v>41224</v>
      </c>
      <c r="F116">
        <v>295300</v>
      </c>
      <c r="G116">
        <v>0</v>
      </c>
      <c r="H116">
        <v>0</v>
      </c>
      <c r="I116">
        <v>0</v>
      </c>
      <c r="J116">
        <v>86</v>
      </c>
      <c r="K116">
        <v>295300</v>
      </c>
      <c r="L116" t="s">
        <v>4384</v>
      </c>
      <c r="M116" s="1">
        <v>41182</v>
      </c>
      <c r="O116" t="s">
        <v>36</v>
      </c>
      <c r="P116" t="s">
        <v>37</v>
      </c>
      <c r="Q116" t="s">
        <v>39</v>
      </c>
      <c r="R116" t="s">
        <v>40</v>
      </c>
      <c r="S116">
        <v>0</v>
      </c>
      <c r="U116" t="s">
        <v>5550</v>
      </c>
      <c r="V116" t="s">
        <v>1797</v>
      </c>
      <c r="X116" t="s">
        <v>74</v>
      </c>
      <c r="Y116" t="b">
        <v>0</v>
      </c>
      <c r="Z116" t="b">
        <v>0</v>
      </c>
      <c r="AC116" s="1"/>
      <c r="AF116">
        <v>0</v>
      </c>
      <c r="AG116">
        <v>45</v>
      </c>
      <c r="AH116">
        <v>131</v>
      </c>
      <c r="AI116" s="2">
        <f>Table__192.168.3.138DYLGSMetaData[[#This Row],[NetAmount]]-Table__192.168.3.138DYLGSMetaData[[#This Row],[Paid]]</f>
        <v>295300</v>
      </c>
    </row>
    <row r="117" spans="1:35" hidden="1">
      <c r="A117" t="s">
        <v>5483</v>
      </c>
      <c r="B117" t="s">
        <v>5484</v>
      </c>
      <c r="C117" t="s">
        <v>5801</v>
      </c>
      <c r="D117" s="1">
        <v>41182</v>
      </c>
      <c r="E117" s="1">
        <v>41227</v>
      </c>
      <c r="F117">
        <v>6600</v>
      </c>
      <c r="G117">
        <v>0</v>
      </c>
      <c r="H117">
        <v>0</v>
      </c>
      <c r="I117">
        <v>0</v>
      </c>
      <c r="J117">
        <v>90</v>
      </c>
      <c r="K117">
        <v>6600</v>
      </c>
      <c r="L117" t="s">
        <v>1502</v>
      </c>
      <c r="M117" s="1">
        <v>41178</v>
      </c>
      <c r="O117" t="s">
        <v>36</v>
      </c>
      <c r="P117" t="s">
        <v>37</v>
      </c>
      <c r="Q117" t="s">
        <v>39</v>
      </c>
      <c r="R117" t="s">
        <v>40</v>
      </c>
      <c r="S117">
        <v>0</v>
      </c>
      <c r="U117" t="s">
        <v>5550</v>
      </c>
      <c r="V117" t="s">
        <v>1797</v>
      </c>
      <c r="X117" t="s">
        <v>74</v>
      </c>
      <c r="Y117" t="b">
        <v>0</v>
      </c>
      <c r="Z117" t="b">
        <v>0</v>
      </c>
      <c r="AC117" s="1"/>
      <c r="AF117">
        <v>0</v>
      </c>
      <c r="AG117">
        <v>45</v>
      </c>
      <c r="AH117">
        <v>135</v>
      </c>
      <c r="AI117" s="2">
        <f>Table__192.168.3.138DYLGSMetaData[[#This Row],[NetAmount]]-Table__192.168.3.138DYLGSMetaData[[#This Row],[Paid]]</f>
        <v>6600</v>
      </c>
    </row>
    <row r="118" spans="1:35" hidden="1">
      <c r="A118" t="s">
        <v>5511</v>
      </c>
      <c r="B118" t="s">
        <v>5512</v>
      </c>
      <c r="C118" t="s">
        <v>5802</v>
      </c>
      <c r="D118" s="1">
        <v>41176</v>
      </c>
      <c r="E118" s="1">
        <v>41221</v>
      </c>
      <c r="F118">
        <v>71888</v>
      </c>
      <c r="G118">
        <v>0</v>
      </c>
      <c r="H118">
        <v>0</v>
      </c>
      <c r="I118">
        <v>0</v>
      </c>
      <c r="J118">
        <v>86</v>
      </c>
      <c r="K118">
        <v>71888</v>
      </c>
      <c r="L118" t="s">
        <v>5172</v>
      </c>
      <c r="M118" s="1">
        <v>41182</v>
      </c>
      <c r="N118" t="s">
        <v>5803</v>
      </c>
      <c r="O118" t="s">
        <v>36</v>
      </c>
      <c r="P118" t="s">
        <v>37</v>
      </c>
      <c r="Q118" t="s">
        <v>39</v>
      </c>
      <c r="R118" t="s">
        <v>40</v>
      </c>
      <c r="S118">
        <v>0</v>
      </c>
      <c r="U118" t="s">
        <v>5550</v>
      </c>
      <c r="V118" t="s">
        <v>1797</v>
      </c>
      <c r="W118" t="s">
        <v>5691</v>
      </c>
      <c r="X118" t="s">
        <v>74</v>
      </c>
      <c r="Y118" t="b">
        <v>0</v>
      </c>
      <c r="Z118" t="b">
        <v>0</v>
      </c>
      <c r="AA118" t="b">
        <v>0</v>
      </c>
      <c r="AC118" s="1"/>
      <c r="AF118">
        <v>0</v>
      </c>
      <c r="AG118">
        <v>45</v>
      </c>
      <c r="AH118">
        <v>131</v>
      </c>
      <c r="AI118" s="2">
        <f>Table__192.168.3.138DYLGSMetaData[[#This Row],[NetAmount]]-Table__192.168.3.138DYLGSMetaData[[#This Row],[Paid]]</f>
        <v>71888</v>
      </c>
    </row>
    <row r="119" spans="1:35" hidden="1">
      <c r="A119" t="s">
        <v>5511</v>
      </c>
      <c r="B119" t="s">
        <v>5512</v>
      </c>
      <c r="C119" t="s">
        <v>5804</v>
      </c>
      <c r="D119" s="1">
        <v>41182</v>
      </c>
      <c r="E119" s="1">
        <v>41227</v>
      </c>
      <c r="F119">
        <v>74000</v>
      </c>
      <c r="G119">
        <v>0</v>
      </c>
      <c r="H119">
        <v>0</v>
      </c>
      <c r="I119">
        <v>0</v>
      </c>
      <c r="J119">
        <v>86</v>
      </c>
      <c r="K119">
        <v>74000</v>
      </c>
      <c r="L119" t="s">
        <v>5172</v>
      </c>
      <c r="M119" s="1">
        <v>41182</v>
      </c>
      <c r="N119" t="s">
        <v>5805</v>
      </c>
      <c r="O119" t="s">
        <v>36</v>
      </c>
      <c r="P119" t="s">
        <v>37</v>
      </c>
      <c r="Q119" t="s">
        <v>39</v>
      </c>
      <c r="R119" t="s">
        <v>40</v>
      </c>
      <c r="S119">
        <v>0</v>
      </c>
      <c r="U119" t="s">
        <v>5550</v>
      </c>
      <c r="V119" t="s">
        <v>1797</v>
      </c>
      <c r="W119" t="s">
        <v>5691</v>
      </c>
      <c r="X119" t="s">
        <v>74</v>
      </c>
      <c r="Y119" t="b">
        <v>0</v>
      </c>
      <c r="Z119" t="b">
        <v>0</v>
      </c>
      <c r="AA119" t="b">
        <v>0</v>
      </c>
      <c r="AC119" s="1"/>
      <c r="AF119">
        <v>0</v>
      </c>
      <c r="AG119">
        <v>45</v>
      </c>
      <c r="AH119">
        <v>131</v>
      </c>
      <c r="AI119" s="2">
        <f>Table__192.168.3.138DYLGSMetaData[[#This Row],[NetAmount]]-Table__192.168.3.138DYLGSMetaData[[#This Row],[Paid]]</f>
        <v>74000</v>
      </c>
    </row>
    <row r="120" spans="1:35" hidden="1">
      <c r="A120" t="s">
        <v>5503</v>
      </c>
      <c r="B120" t="s">
        <v>5504</v>
      </c>
      <c r="C120" t="s">
        <v>5806</v>
      </c>
      <c r="D120" s="1">
        <v>41182</v>
      </c>
      <c r="E120" s="1">
        <v>41227</v>
      </c>
      <c r="F120">
        <v>79400</v>
      </c>
      <c r="G120">
        <v>0</v>
      </c>
      <c r="H120">
        <v>0</v>
      </c>
      <c r="I120">
        <v>0</v>
      </c>
      <c r="J120">
        <v>86</v>
      </c>
      <c r="K120">
        <v>79400</v>
      </c>
      <c r="L120" t="s">
        <v>5807</v>
      </c>
      <c r="M120" s="1">
        <v>41182</v>
      </c>
      <c r="O120" t="s">
        <v>36</v>
      </c>
      <c r="P120" t="s">
        <v>37</v>
      </c>
      <c r="Q120" t="s">
        <v>39</v>
      </c>
      <c r="R120" t="s">
        <v>40</v>
      </c>
      <c r="S120">
        <v>0</v>
      </c>
      <c r="U120" t="s">
        <v>5550</v>
      </c>
      <c r="V120" t="s">
        <v>1797</v>
      </c>
      <c r="X120" t="s">
        <v>74</v>
      </c>
      <c r="Y120" t="b">
        <v>0</v>
      </c>
      <c r="Z120" t="b">
        <v>0</v>
      </c>
      <c r="AC120" s="1"/>
      <c r="AF120">
        <v>0</v>
      </c>
      <c r="AG120">
        <v>45</v>
      </c>
      <c r="AH120">
        <v>131</v>
      </c>
      <c r="AI120" s="2">
        <f>Table__192.168.3.138DYLGSMetaData[[#This Row],[NetAmount]]-Table__192.168.3.138DYLGSMetaData[[#This Row],[Paid]]</f>
        <v>79400</v>
      </c>
    </row>
    <row r="121" spans="1:35" hidden="1">
      <c r="A121" t="s">
        <v>5503</v>
      </c>
      <c r="B121" t="s">
        <v>5504</v>
      </c>
      <c r="C121" t="s">
        <v>5808</v>
      </c>
      <c r="D121" s="1">
        <v>41157</v>
      </c>
      <c r="E121" s="1">
        <v>41202</v>
      </c>
      <c r="F121">
        <v>14000</v>
      </c>
      <c r="G121">
        <v>0</v>
      </c>
      <c r="H121">
        <v>0</v>
      </c>
      <c r="I121">
        <v>0</v>
      </c>
      <c r="J121">
        <v>86</v>
      </c>
      <c r="K121">
        <v>15400</v>
      </c>
      <c r="L121" t="s">
        <v>5807</v>
      </c>
      <c r="M121" s="1">
        <v>41182</v>
      </c>
      <c r="O121" t="s">
        <v>36</v>
      </c>
      <c r="P121" t="s">
        <v>37</v>
      </c>
      <c r="Q121" t="s">
        <v>39</v>
      </c>
      <c r="R121" t="s">
        <v>40</v>
      </c>
      <c r="S121">
        <v>0</v>
      </c>
      <c r="U121" t="s">
        <v>5550</v>
      </c>
      <c r="V121" t="s">
        <v>1797</v>
      </c>
      <c r="X121" t="s">
        <v>74</v>
      </c>
      <c r="Y121" t="b">
        <v>0</v>
      </c>
      <c r="Z121" t="b">
        <v>0</v>
      </c>
      <c r="AC121" s="1"/>
      <c r="AF121">
        <v>0</v>
      </c>
      <c r="AG121">
        <v>45</v>
      </c>
      <c r="AH121">
        <v>131</v>
      </c>
      <c r="AI121" s="2">
        <f>Table__192.168.3.138DYLGSMetaData[[#This Row],[NetAmount]]-Table__192.168.3.138DYLGSMetaData[[#This Row],[Paid]]</f>
        <v>15400</v>
      </c>
    </row>
    <row r="122" spans="1:35" hidden="1">
      <c r="A122" t="s">
        <v>5505</v>
      </c>
      <c r="B122" t="s">
        <v>5506</v>
      </c>
      <c r="C122" t="s">
        <v>5809</v>
      </c>
      <c r="D122" s="1">
        <v>41199</v>
      </c>
      <c r="E122" s="1">
        <v>41244</v>
      </c>
      <c r="F122">
        <v>14790</v>
      </c>
      <c r="G122">
        <v>2366</v>
      </c>
      <c r="H122">
        <v>0</v>
      </c>
      <c r="I122">
        <v>0</v>
      </c>
      <c r="J122">
        <v>69</v>
      </c>
      <c r="K122">
        <v>17156</v>
      </c>
      <c r="L122" t="s">
        <v>5810</v>
      </c>
      <c r="M122" s="1">
        <v>41199</v>
      </c>
      <c r="O122" t="s">
        <v>36</v>
      </c>
      <c r="P122" t="s">
        <v>37</v>
      </c>
      <c r="Q122" t="s">
        <v>39</v>
      </c>
      <c r="R122" t="s">
        <v>40</v>
      </c>
      <c r="S122">
        <v>0</v>
      </c>
      <c r="U122" t="s">
        <v>5550</v>
      </c>
      <c r="V122" t="s">
        <v>1797</v>
      </c>
      <c r="X122" t="s">
        <v>74</v>
      </c>
      <c r="Y122" t="b">
        <v>0</v>
      </c>
      <c r="Z122" t="b">
        <v>0</v>
      </c>
      <c r="AC122" s="1"/>
      <c r="AF122">
        <v>0</v>
      </c>
      <c r="AG122">
        <v>45</v>
      </c>
      <c r="AH122">
        <v>114</v>
      </c>
      <c r="AI122" s="2">
        <f>Table__192.168.3.138DYLGSMetaData[[#This Row],[NetAmount]]-Table__192.168.3.138DYLGSMetaData[[#This Row],[Paid]]</f>
        <v>17156</v>
      </c>
    </row>
    <row r="123" spans="1:35" hidden="1">
      <c r="A123" t="s">
        <v>5525</v>
      </c>
      <c r="B123" t="s">
        <v>5526</v>
      </c>
      <c r="C123" t="s">
        <v>5811</v>
      </c>
      <c r="D123" s="1">
        <v>41198</v>
      </c>
      <c r="E123" s="1">
        <v>41243</v>
      </c>
      <c r="F123">
        <v>8200</v>
      </c>
      <c r="G123">
        <v>1312</v>
      </c>
      <c r="H123">
        <v>0</v>
      </c>
      <c r="I123">
        <v>0</v>
      </c>
      <c r="J123">
        <v>68</v>
      </c>
      <c r="K123">
        <v>9512</v>
      </c>
      <c r="L123" t="s">
        <v>5812</v>
      </c>
      <c r="M123" s="1">
        <v>41200</v>
      </c>
      <c r="O123" t="s">
        <v>36</v>
      </c>
      <c r="P123" t="s">
        <v>37</v>
      </c>
      <c r="Q123" t="s">
        <v>39</v>
      </c>
      <c r="R123" t="s">
        <v>40</v>
      </c>
      <c r="S123">
        <v>0</v>
      </c>
      <c r="U123" t="s">
        <v>5550</v>
      </c>
      <c r="V123" t="s">
        <v>1797</v>
      </c>
      <c r="X123" t="s">
        <v>74</v>
      </c>
      <c r="Y123" t="b">
        <v>0</v>
      </c>
      <c r="Z123" t="b">
        <v>0</v>
      </c>
      <c r="AC123" s="1"/>
      <c r="AF123">
        <v>0</v>
      </c>
      <c r="AG123">
        <v>45</v>
      </c>
      <c r="AH123">
        <v>113</v>
      </c>
      <c r="AI123" s="2">
        <f>Table__192.168.3.138DYLGSMetaData[[#This Row],[NetAmount]]-Table__192.168.3.138DYLGSMetaData[[#This Row],[Paid]]</f>
        <v>9512</v>
      </c>
    </row>
    <row r="124" spans="1:35" hidden="1">
      <c r="A124" t="s">
        <v>5499</v>
      </c>
      <c r="B124" t="s">
        <v>5500</v>
      </c>
      <c r="C124" t="s">
        <v>5813</v>
      </c>
      <c r="D124" s="1">
        <v>41192</v>
      </c>
      <c r="E124" s="1">
        <v>41237</v>
      </c>
      <c r="F124">
        <v>8850</v>
      </c>
      <c r="G124">
        <v>1416</v>
      </c>
      <c r="H124">
        <v>0</v>
      </c>
      <c r="I124">
        <v>0</v>
      </c>
      <c r="J124">
        <v>74</v>
      </c>
      <c r="K124">
        <v>10266</v>
      </c>
      <c r="L124" t="s">
        <v>5814</v>
      </c>
      <c r="M124" s="1">
        <v>41194</v>
      </c>
      <c r="O124" t="s">
        <v>36</v>
      </c>
      <c r="P124" t="s">
        <v>37</v>
      </c>
      <c r="Q124" t="s">
        <v>39</v>
      </c>
      <c r="R124" t="s">
        <v>40</v>
      </c>
      <c r="S124">
        <v>0</v>
      </c>
      <c r="U124" t="s">
        <v>5550</v>
      </c>
      <c r="V124" t="s">
        <v>1797</v>
      </c>
      <c r="X124" t="s">
        <v>74</v>
      </c>
      <c r="Y124" t="b">
        <v>0</v>
      </c>
      <c r="Z124" t="b">
        <v>0</v>
      </c>
      <c r="AC124" s="1"/>
      <c r="AF124">
        <v>0</v>
      </c>
      <c r="AG124">
        <v>45</v>
      </c>
      <c r="AH124">
        <v>119</v>
      </c>
      <c r="AI124" s="2">
        <f>Table__192.168.3.138DYLGSMetaData[[#This Row],[NetAmount]]-Table__192.168.3.138DYLGSMetaData[[#This Row],[Paid]]</f>
        <v>10266</v>
      </c>
    </row>
    <row r="125" spans="1:35" hidden="1">
      <c r="A125" t="s">
        <v>5469</v>
      </c>
      <c r="B125" t="s">
        <v>5470</v>
      </c>
      <c r="C125" t="s">
        <v>5815</v>
      </c>
      <c r="D125" s="1">
        <v>41202</v>
      </c>
      <c r="E125" s="1">
        <v>41247</v>
      </c>
      <c r="F125">
        <v>267800</v>
      </c>
      <c r="G125">
        <v>42848</v>
      </c>
      <c r="H125">
        <v>0</v>
      </c>
      <c r="I125">
        <v>0</v>
      </c>
      <c r="J125">
        <v>66</v>
      </c>
      <c r="K125">
        <v>310648</v>
      </c>
      <c r="L125" t="s">
        <v>5816</v>
      </c>
      <c r="M125" s="1">
        <v>41202</v>
      </c>
      <c r="O125" t="s">
        <v>36</v>
      </c>
      <c r="P125" t="s">
        <v>37</v>
      </c>
      <c r="Q125" t="s">
        <v>39</v>
      </c>
      <c r="R125" t="s">
        <v>40</v>
      </c>
      <c r="S125">
        <v>0</v>
      </c>
      <c r="U125" t="s">
        <v>5550</v>
      </c>
      <c r="V125" t="s">
        <v>1797</v>
      </c>
      <c r="X125" t="s">
        <v>74</v>
      </c>
      <c r="Y125" t="b">
        <v>0</v>
      </c>
      <c r="Z125" t="b">
        <v>0</v>
      </c>
      <c r="AC125" s="1"/>
      <c r="AF125">
        <v>0</v>
      </c>
      <c r="AG125">
        <v>45</v>
      </c>
      <c r="AH125">
        <v>111</v>
      </c>
      <c r="AI125" s="2">
        <f>Table__192.168.3.138DYLGSMetaData[[#This Row],[NetAmount]]-Table__192.168.3.138DYLGSMetaData[[#This Row],[Paid]]</f>
        <v>310648</v>
      </c>
    </row>
    <row r="126" spans="1:35" hidden="1">
      <c r="A126" t="s">
        <v>5521</v>
      </c>
      <c r="B126" t="s">
        <v>5522</v>
      </c>
      <c r="C126" t="s">
        <v>5817</v>
      </c>
      <c r="D126" s="1">
        <v>41201</v>
      </c>
      <c r="E126" s="1">
        <v>41246</v>
      </c>
      <c r="F126">
        <v>215000</v>
      </c>
      <c r="G126">
        <v>34400</v>
      </c>
      <c r="H126">
        <v>0</v>
      </c>
      <c r="I126">
        <v>0</v>
      </c>
      <c r="J126">
        <v>68</v>
      </c>
      <c r="K126">
        <v>249400</v>
      </c>
      <c r="L126" t="s">
        <v>5818</v>
      </c>
      <c r="M126" s="1">
        <v>41200</v>
      </c>
      <c r="O126" t="s">
        <v>36</v>
      </c>
      <c r="P126" t="s">
        <v>37</v>
      </c>
      <c r="Q126" t="s">
        <v>39</v>
      </c>
      <c r="R126" t="s">
        <v>40</v>
      </c>
      <c r="S126">
        <v>0</v>
      </c>
      <c r="U126" t="s">
        <v>5550</v>
      </c>
      <c r="V126" t="s">
        <v>1797</v>
      </c>
      <c r="X126" t="s">
        <v>74</v>
      </c>
      <c r="Y126" t="b">
        <v>0</v>
      </c>
      <c r="Z126" t="b">
        <v>0</v>
      </c>
      <c r="AC126" s="1"/>
      <c r="AF126">
        <v>0</v>
      </c>
      <c r="AG126">
        <v>45</v>
      </c>
      <c r="AH126">
        <v>113</v>
      </c>
      <c r="AI126" s="2">
        <f>Table__192.168.3.138DYLGSMetaData[[#This Row],[NetAmount]]-Table__192.168.3.138DYLGSMetaData[[#This Row],[Paid]]</f>
        <v>249400</v>
      </c>
    </row>
    <row r="127" spans="1:35" hidden="1">
      <c r="A127" t="s">
        <v>5521</v>
      </c>
      <c r="B127" t="s">
        <v>5522</v>
      </c>
      <c r="C127" t="s">
        <v>5819</v>
      </c>
      <c r="D127" s="1">
        <v>41188</v>
      </c>
      <c r="E127" s="1">
        <v>41233</v>
      </c>
      <c r="F127">
        <v>57600</v>
      </c>
      <c r="G127">
        <v>9216</v>
      </c>
      <c r="H127">
        <v>0</v>
      </c>
      <c r="I127">
        <v>0</v>
      </c>
      <c r="J127">
        <v>82</v>
      </c>
      <c r="K127">
        <v>66816</v>
      </c>
      <c r="L127" t="s">
        <v>5820</v>
      </c>
      <c r="M127" s="1">
        <v>41186</v>
      </c>
      <c r="O127" t="s">
        <v>36</v>
      </c>
      <c r="P127" t="s">
        <v>37</v>
      </c>
      <c r="Q127" t="s">
        <v>39</v>
      </c>
      <c r="R127" t="s">
        <v>40</v>
      </c>
      <c r="S127">
        <v>0</v>
      </c>
      <c r="U127" t="s">
        <v>5550</v>
      </c>
      <c r="V127" t="s">
        <v>1797</v>
      </c>
      <c r="X127" t="s">
        <v>74</v>
      </c>
      <c r="Y127" t="b">
        <v>0</v>
      </c>
      <c r="Z127" t="b">
        <v>0</v>
      </c>
      <c r="AC127" s="1"/>
      <c r="AF127">
        <v>0</v>
      </c>
      <c r="AG127">
        <v>45</v>
      </c>
      <c r="AH127">
        <v>127</v>
      </c>
      <c r="AI127" s="2">
        <f>Table__192.168.3.138DYLGSMetaData[[#This Row],[NetAmount]]-Table__192.168.3.138DYLGSMetaData[[#This Row],[Paid]]</f>
        <v>66816</v>
      </c>
    </row>
    <row r="128" spans="1:35" hidden="1">
      <c r="A128" t="s">
        <v>5521</v>
      </c>
      <c r="B128" t="s">
        <v>5522</v>
      </c>
      <c r="C128" t="s">
        <v>5821</v>
      </c>
      <c r="D128" s="1">
        <v>41206</v>
      </c>
      <c r="E128" s="1">
        <v>41251</v>
      </c>
      <c r="F128">
        <v>25200</v>
      </c>
      <c r="G128">
        <v>4032</v>
      </c>
      <c r="H128">
        <v>0</v>
      </c>
      <c r="I128">
        <v>0</v>
      </c>
      <c r="J128">
        <v>62</v>
      </c>
      <c r="K128">
        <v>29232</v>
      </c>
      <c r="L128" t="s">
        <v>5822</v>
      </c>
      <c r="M128" s="1">
        <v>41206</v>
      </c>
      <c r="O128" t="s">
        <v>36</v>
      </c>
      <c r="P128" t="s">
        <v>37</v>
      </c>
      <c r="Q128" t="s">
        <v>39</v>
      </c>
      <c r="R128" t="s">
        <v>40</v>
      </c>
      <c r="S128">
        <v>0</v>
      </c>
      <c r="U128" t="s">
        <v>5550</v>
      </c>
      <c r="V128" t="s">
        <v>1797</v>
      </c>
      <c r="X128" t="s">
        <v>74</v>
      </c>
      <c r="Y128" t="b">
        <v>0</v>
      </c>
      <c r="Z128" t="b">
        <v>0</v>
      </c>
      <c r="AC128" s="1"/>
      <c r="AF128">
        <v>0</v>
      </c>
      <c r="AG128">
        <v>45</v>
      </c>
      <c r="AH128">
        <v>107</v>
      </c>
      <c r="AI128" s="2">
        <f>Table__192.168.3.138DYLGSMetaData[[#This Row],[NetAmount]]-Table__192.168.3.138DYLGSMetaData[[#This Row],[Paid]]</f>
        <v>29232</v>
      </c>
    </row>
    <row r="129" spans="1:35" hidden="1">
      <c r="A129" t="s">
        <v>5521</v>
      </c>
      <c r="B129" t="s">
        <v>5522</v>
      </c>
      <c r="C129" t="s">
        <v>5823</v>
      </c>
      <c r="D129" s="1">
        <v>41201</v>
      </c>
      <c r="E129" s="1">
        <v>41246</v>
      </c>
      <c r="F129">
        <v>30600</v>
      </c>
      <c r="G129">
        <v>4896</v>
      </c>
      <c r="H129">
        <v>0</v>
      </c>
      <c r="I129">
        <v>0</v>
      </c>
      <c r="J129">
        <v>62</v>
      </c>
      <c r="K129">
        <v>35496</v>
      </c>
      <c r="L129" t="s">
        <v>5824</v>
      </c>
      <c r="M129" s="1">
        <v>41206</v>
      </c>
      <c r="O129" t="s">
        <v>36</v>
      </c>
      <c r="P129" t="s">
        <v>37</v>
      </c>
      <c r="Q129" t="s">
        <v>39</v>
      </c>
      <c r="R129" t="s">
        <v>40</v>
      </c>
      <c r="S129">
        <v>0</v>
      </c>
      <c r="U129" t="s">
        <v>5550</v>
      </c>
      <c r="V129" t="s">
        <v>1797</v>
      </c>
      <c r="X129" t="s">
        <v>74</v>
      </c>
      <c r="Y129" t="b">
        <v>0</v>
      </c>
      <c r="Z129" t="b">
        <v>0</v>
      </c>
      <c r="AC129" s="1"/>
      <c r="AF129">
        <v>0</v>
      </c>
      <c r="AG129">
        <v>45</v>
      </c>
      <c r="AH129">
        <v>107</v>
      </c>
      <c r="AI129" s="2">
        <f>Table__192.168.3.138DYLGSMetaData[[#This Row],[NetAmount]]-Table__192.168.3.138DYLGSMetaData[[#This Row],[Paid]]</f>
        <v>35496</v>
      </c>
    </row>
    <row r="130" spans="1:35" hidden="1">
      <c r="A130" t="s">
        <v>5493</v>
      </c>
      <c r="B130" t="s">
        <v>5494</v>
      </c>
      <c r="C130" t="s">
        <v>5825</v>
      </c>
      <c r="D130" s="1">
        <v>41199</v>
      </c>
      <c r="E130" s="1">
        <v>41244</v>
      </c>
      <c r="F130">
        <v>2000</v>
      </c>
      <c r="G130">
        <v>320</v>
      </c>
      <c r="H130">
        <v>0</v>
      </c>
      <c r="I130">
        <v>0</v>
      </c>
      <c r="J130">
        <v>61</v>
      </c>
      <c r="K130">
        <v>2320</v>
      </c>
      <c r="L130" t="s">
        <v>5826</v>
      </c>
      <c r="M130" s="1">
        <v>41207</v>
      </c>
      <c r="O130" t="s">
        <v>36</v>
      </c>
      <c r="P130" t="s">
        <v>37</v>
      </c>
      <c r="Q130" t="s">
        <v>39</v>
      </c>
      <c r="R130" t="s">
        <v>40</v>
      </c>
      <c r="S130">
        <v>0</v>
      </c>
      <c r="U130" t="s">
        <v>5550</v>
      </c>
      <c r="V130" t="s">
        <v>1797</v>
      </c>
      <c r="X130" t="s">
        <v>74</v>
      </c>
      <c r="Y130" t="b">
        <v>0</v>
      </c>
      <c r="Z130" t="b">
        <v>0</v>
      </c>
      <c r="AC130" s="1"/>
      <c r="AF130">
        <v>0</v>
      </c>
      <c r="AG130">
        <v>45</v>
      </c>
      <c r="AH130">
        <v>106</v>
      </c>
      <c r="AI130" s="2">
        <f>Table__192.168.3.138DYLGSMetaData[[#This Row],[NetAmount]]-Table__192.168.3.138DYLGSMetaData[[#This Row],[Paid]]</f>
        <v>2320</v>
      </c>
    </row>
    <row r="131" spans="1:35" hidden="1">
      <c r="A131" t="s">
        <v>5543</v>
      </c>
      <c r="B131" t="s">
        <v>5544</v>
      </c>
      <c r="C131" t="s">
        <v>5827</v>
      </c>
      <c r="D131" s="1">
        <v>41206</v>
      </c>
      <c r="E131" s="1">
        <v>41251</v>
      </c>
      <c r="F131">
        <v>4250</v>
      </c>
      <c r="G131">
        <v>680</v>
      </c>
      <c r="H131">
        <v>0</v>
      </c>
      <c r="I131">
        <v>0</v>
      </c>
      <c r="J131">
        <v>63</v>
      </c>
      <c r="K131">
        <v>4930</v>
      </c>
      <c r="L131" t="s">
        <v>5379</v>
      </c>
      <c r="M131" s="1">
        <v>41205</v>
      </c>
      <c r="O131" t="s">
        <v>36</v>
      </c>
      <c r="P131" t="s">
        <v>37</v>
      </c>
      <c r="Q131" t="s">
        <v>39</v>
      </c>
      <c r="R131" t="s">
        <v>40</v>
      </c>
      <c r="S131">
        <v>0</v>
      </c>
      <c r="U131" t="s">
        <v>5550</v>
      </c>
      <c r="V131" t="s">
        <v>1797</v>
      </c>
      <c r="X131" t="s">
        <v>74</v>
      </c>
      <c r="Y131" t="b">
        <v>0</v>
      </c>
      <c r="Z131" t="b">
        <v>0</v>
      </c>
      <c r="AC131" s="1"/>
      <c r="AF131">
        <v>0</v>
      </c>
      <c r="AG131">
        <v>45</v>
      </c>
      <c r="AH131">
        <v>108</v>
      </c>
      <c r="AI131" s="2">
        <f>Table__192.168.3.138DYLGSMetaData[[#This Row],[NetAmount]]-Table__192.168.3.138DYLGSMetaData[[#This Row],[Paid]]</f>
        <v>4930</v>
      </c>
    </row>
    <row r="132" spans="1:35" hidden="1">
      <c r="A132" t="s">
        <v>5533</v>
      </c>
      <c r="B132" t="s">
        <v>5534</v>
      </c>
      <c r="C132" t="s">
        <v>5828</v>
      </c>
      <c r="D132" s="1">
        <v>41201</v>
      </c>
      <c r="E132" s="1">
        <v>41246</v>
      </c>
      <c r="F132">
        <v>25500</v>
      </c>
      <c r="G132">
        <v>4080</v>
      </c>
      <c r="H132">
        <v>0</v>
      </c>
      <c r="I132">
        <v>0</v>
      </c>
      <c r="J132">
        <v>62</v>
      </c>
      <c r="K132">
        <v>29580</v>
      </c>
      <c r="L132" t="s">
        <v>5829</v>
      </c>
      <c r="M132" s="1">
        <v>41206</v>
      </c>
      <c r="O132" t="s">
        <v>36</v>
      </c>
      <c r="P132" t="s">
        <v>37</v>
      </c>
      <c r="Q132" t="s">
        <v>39</v>
      </c>
      <c r="R132" t="s">
        <v>40</v>
      </c>
      <c r="S132">
        <v>0</v>
      </c>
      <c r="U132" t="s">
        <v>5550</v>
      </c>
      <c r="V132" t="s">
        <v>1797</v>
      </c>
      <c r="X132" t="s">
        <v>74</v>
      </c>
      <c r="Y132" t="b">
        <v>0</v>
      </c>
      <c r="Z132" t="b">
        <v>0</v>
      </c>
      <c r="AC132" s="1"/>
      <c r="AF132">
        <v>0</v>
      </c>
      <c r="AG132">
        <v>45</v>
      </c>
      <c r="AH132">
        <v>107</v>
      </c>
      <c r="AI132" s="2">
        <f>Table__192.168.3.138DYLGSMetaData[[#This Row],[NetAmount]]-Table__192.168.3.138DYLGSMetaData[[#This Row],[Paid]]</f>
        <v>29580</v>
      </c>
    </row>
    <row r="133" spans="1:35" hidden="1">
      <c r="A133" t="s">
        <v>5503</v>
      </c>
      <c r="B133" t="s">
        <v>5504</v>
      </c>
      <c r="C133" t="s">
        <v>5830</v>
      </c>
      <c r="D133" s="1">
        <v>41182</v>
      </c>
      <c r="E133" s="1">
        <v>41227</v>
      </c>
      <c r="F133">
        <v>285000</v>
      </c>
      <c r="G133">
        <v>0</v>
      </c>
      <c r="H133">
        <v>0</v>
      </c>
      <c r="I133">
        <v>0</v>
      </c>
      <c r="J133">
        <v>116</v>
      </c>
      <c r="K133">
        <v>285000</v>
      </c>
      <c r="L133" t="s">
        <v>3064</v>
      </c>
      <c r="M133" s="1">
        <v>41152</v>
      </c>
      <c r="O133" t="s">
        <v>36</v>
      </c>
      <c r="P133" t="s">
        <v>37</v>
      </c>
      <c r="Q133" t="s">
        <v>39</v>
      </c>
      <c r="R133" t="s">
        <v>40</v>
      </c>
      <c r="S133">
        <v>0</v>
      </c>
      <c r="U133" t="s">
        <v>5550</v>
      </c>
      <c r="V133" t="s">
        <v>1797</v>
      </c>
      <c r="X133" t="s">
        <v>74</v>
      </c>
      <c r="Y133" t="b">
        <v>0</v>
      </c>
      <c r="Z133" t="b">
        <v>0</v>
      </c>
      <c r="AC133" s="1"/>
      <c r="AF133">
        <v>0</v>
      </c>
      <c r="AG133">
        <v>45</v>
      </c>
      <c r="AH133">
        <v>161</v>
      </c>
      <c r="AI133" s="2">
        <f>Table__192.168.3.138DYLGSMetaData[[#This Row],[NetAmount]]-Table__192.168.3.138DYLGSMetaData[[#This Row],[Paid]]</f>
        <v>285000</v>
      </c>
    </row>
    <row r="134" spans="1:35" hidden="1">
      <c r="A134" t="s">
        <v>5519</v>
      </c>
      <c r="B134" t="s">
        <v>5520</v>
      </c>
      <c r="C134" t="s">
        <v>5831</v>
      </c>
      <c r="D134" s="1">
        <v>41207</v>
      </c>
      <c r="E134" s="1">
        <v>41252</v>
      </c>
      <c r="F134">
        <v>72000</v>
      </c>
      <c r="G134">
        <v>11520</v>
      </c>
      <c r="H134">
        <v>0</v>
      </c>
      <c r="I134">
        <v>0</v>
      </c>
      <c r="J134">
        <v>61</v>
      </c>
      <c r="K134">
        <v>83520</v>
      </c>
      <c r="L134" t="s">
        <v>5832</v>
      </c>
      <c r="M134" s="1">
        <v>41207</v>
      </c>
      <c r="N134" t="s">
        <v>5833</v>
      </c>
      <c r="O134" t="s">
        <v>36</v>
      </c>
      <c r="P134" t="s">
        <v>37</v>
      </c>
      <c r="Q134" t="s">
        <v>39</v>
      </c>
      <c r="R134" t="s">
        <v>40</v>
      </c>
      <c r="S134">
        <v>0</v>
      </c>
      <c r="U134" t="s">
        <v>5550</v>
      </c>
      <c r="V134" t="s">
        <v>1797</v>
      </c>
      <c r="W134" t="s">
        <v>5834</v>
      </c>
      <c r="X134" t="s">
        <v>74</v>
      </c>
      <c r="Y134" t="b">
        <v>0</v>
      </c>
      <c r="Z134" t="b">
        <v>0</v>
      </c>
      <c r="AA134" t="b">
        <v>0</v>
      </c>
      <c r="AC134" s="1"/>
      <c r="AF134">
        <v>0</v>
      </c>
      <c r="AG134">
        <v>45</v>
      </c>
      <c r="AH134">
        <v>106</v>
      </c>
      <c r="AI134" s="2">
        <f>Table__192.168.3.138DYLGSMetaData[[#This Row],[NetAmount]]-Table__192.168.3.138DYLGSMetaData[[#This Row],[Paid]]</f>
        <v>83520</v>
      </c>
    </row>
    <row r="135" spans="1:35" hidden="1">
      <c r="A135" t="s">
        <v>5493</v>
      </c>
      <c r="B135" t="s">
        <v>5494</v>
      </c>
      <c r="C135" t="s">
        <v>5835</v>
      </c>
      <c r="D135" s="1">
        <v>41207</v>
      </c>
      <c r="E135" s="1">
        <v>41252</v>
      </c>
      <c r="F135">
        <v>13000</v>
      </c>
      <c r="G135">
        <v>2080</v>
      </c>
      <c r="H135">
        <v>0</v>
      </c>
      <c r="I135">
        <v>0</v>
      </c>
      <c r="J135">
        <v>61</v>
      </c>
      <c r="K135">
        <v>15080</v>
      </c>
      <c r="L135" t="s">
        <v>5836</v>
      </c>
      <c r="M135" s="1">
        <v>41207</v>
      </c>
      <c r="O135" t="s">
        <v>36</v>
      </c>
      <c r="P135" t="s">
        <v>37</v>
      </c>
      <c r="Q135" t="s">
        <v>39</v>
      </c>
      <c r="R135" t="s">
        <v>40</v>
      </c>
      <c r="S135">
        <v>0</v>
      </c>
      <c r="U135" t="s">
        <v>5550</v>
      </c>
      <c r="V135" t="s">
        <v>1797</v>
      </c>
      <c r="X135" t="s">
        <v>74</v>
      </c>
      <c r="Y135" t="b">
        <v>0</v>
      </c>
      <c r="Z135" t="b">
        <v>0</v>
      </c>
      <c r="AC135" s="1"/>
      <c r="AF135">
        <v>0</v>
      </c>
      <c r="AG135">
        <v>45</v>
      </c>
      <c r="AH135">
        <v>106</v>
      </c>
      <c r="AI135" s="2">
        <f>Table__192.168.3.138DYLGSMetaData[[#This Row],[NetAmount]]-Table__192.168.3.138DYLGSMetaData[[#This Row],[Paid]]</f>
        <v>15080</v>
      </c>
    </row>
    <row r="136" spans="1:35" hidden="1">
      <c r="A136" t="s">
        <v>5515</v>
      </c>
      <c r="B136" t="s">
        <v>5516</v>
      </c>
      <c r="C136" t="s">
        <v>5837</v>
      </c>
      <c r="D136" s="1">
        <v>41207</v>
      </c>
      <c r="E136" s="1">
        <v>41252</v>
      </c>
      <c r="F136">
        <v>34000</v>
      </c>
      <c r="G136">
        <v>5440</v>
      </c>
      <c r="H136">
        <v>0</v>
      </c>
      <c r="I136">
        <v>0</v>
      </c>
      <c r="J136">
        <v>61</v>
      </c>
      <c r="K136">
        <v>39440</v>
      </c>
      <c r="L136" t="s">
        <v>5838</v>
      </c>
      <c r="M136" s="1">
        <v>41207</v>
      </c>
      <c r="O136" t="s">
        <v>36</v>
      </c>
      <c r="P136" t="s">
        <v>37</v>
      </c>
      <c r="Q136" t="s">
        <v>39</v>
      </c>
      <c r="R136" t="s">
        <v>40</v>
      </c>
      <c r="S136">
        <v>0</v>
      </c>
      <c r="U136" t="s">
        <v>5550</v>
      </c>
      <c r="V136" t="s">
        <v>1797</v>
      </c>
      <c r="X136" t="s">
        <v>74</v>
      </c>
      <c r="Y136" t="b">
        <v>0</v>
      </c>
      <c r="Z136" t="b">
        <v>0</v>
      </c>
      <c r="AC136" s="1"/>
      <c r="AF136">
        <v>0</v>
      </c>
      <c r="AG136">
        <v>45</v>
      </c>
      <c r="AH136">
        <v>106</v>
      </c>
      <c r="AI136" s="2">
        <f>Table__192.168.3.138DYLGSMetaData[[#This Row],[NetAmount]]-Table__192.168.3.138DYLGSMetaData[[#This Row],[Paid]]</f>
        <v>39440</v>
      </c>
    </row>
    <row r="137" spans="1:35" hidden="1">
      <c r="A137" t="s">
        <v>5515</v>
      </c>
      <c r="B137" t="s">
        <v>5516</v>
      </c>
      <c r="C137" t="s">
        <v>5839</v>
      </c>
      <c r="D137" s="1">
        <v>41207</v>
      </c>
      <c r="E137" s="1">
        <v>41252</v>
      </c>
      <c r="F137">
        <v>174800</v>
      </c>
      <c r="G137">
        <v>27968</v>
      </c>
      <c r="H137">
        <v>0</v>
      </c>
      <c r="I137">
        <v>0</v>
      </c>
      <c r="J137">
        <v>61</v>
      </c>
      <c r="K137">
        <v>202768</v>
      </c>
      <c r="L137" t="s">
        <v>5840</v>
      </c>
      <c r="M137" s="1">
        <v>41207</v>
      </c>
      <c r="O137" t="s">
        <v>36</v>
      </c>
      <c r="P137" t="s">
        <v>37</v>
      </c>
      <c r="Q137" t="s">
        <v>39</v>
      </c>
      <c r="R137" t="s">
        <v>40</v>
      </c>
      <c r="S137">
        <v>0</v>
      </c>
      <c r="U137" t="s">
        <v>5550</v>
      </c>
      <c r="V137" t="s">
        <v>1797</v>
      </c>
      <c r="X137" t="s">
        <v>74</v>
      </c>
      <c r="Y137" t="b">
        <v>0</v>
      </c>
      <c r="Z137" t="b">
        <v>0</v>
      </c>
      <c r="AC137" s="1"/>
      <c r="AF137">
        <v>0</v>
      </c>
      <c r="AG137">
        <v>45</v>
      </c>
      <c r="AH137">
        <v>106</v>
      </c>
      <c r="AI137" s="2">
        <f>Table__192.168.3.138DYLGSMetaData[[#This Row],[NetAmount]]-Table__192.168.3.138DYLGSMetaData[[#This Row],[Paid]]</f>
        <v>202768</v>
      </c>
    </row>
    <row r="138" spans="1:35" hidden="1">
      <c r="A138" t="s">
        <v>5463</v>
      </c>
      <c r="B138" t="s">
        <v>5464</v>
      </c>
      <c r="C138" t="s">
        <v>5841</v>
      </c>
      <c r="D138" s="1">
        <v>41200</v>
      </c>
      <c r="E138" s="1">
        <v>41245</v>
      </c>
      <c r="F138">
        <v>56500</v>
      </c>
      <c r="G138">
        <v>9040</v>
      </c>
      <c r="H138">
        <v>0</v>
      </c>
      <c r="I138">
        <v>0</v>
      </c>
      <c r="J138">
        <v>68</v>
      </c>
      <c r="K138">
        <v>65540</v>
      </c>
      <c r="L138" t="s">
        <v>5842</v>
      </c>
      <c r="M138" s="1">
        <v>41200</v>
      </c>
      <c r="O138" t="s">
        <v>36</v>
      </c>
      <c r="P138" t="s">
        <v>37</v>
      </c>
      <c r="Q138" t="s">
        <v>39</v>
      </c>
      <c r="R138" t="s">
        <v>40</v>
      </c>
      <c r="S138">
        <v>0</v>
      </c>
      <c r="U138" t="s">
        <v>5550</v>
      </c>
      <c r="V138" t="s">
        <v>1797</v>
      </c>
      <c r="X138" t="s">
        <v>74</v>
      </c>
      <c r="Y138" t="b">
        <v>0</v>
      </c>
      <c r="Z138" t="b">
        <v>0</v>
      </c>
      <c r="AC138" s="1"/>
      <c r="AF138">
        <v>0</v>
      </c>
      <c r="AG138">
        <v>45</v>
      </c>
      <c r="AH138">
        <v>113</v>
      </c>
      <c r="AI138" s="2">
        <f>Table__192.168.3.138DYLGSMetaData[[#This Row],[NetAmount]]-Table__192.168.3.138DYLGSMetaData[[#This Row],[Paid]]</f>
        <v>65540</v>
      </c>
    </row>
    <row r="139" spans="1:35" hidden="1">
      <c r="A139" t="s">
        <v>5545</v>
      </c>
      <c r="B139" t="s">
        <v>5546</v>
      </c>
      <c r="C139" t="s">
        <v>5843</v>
      </c>
      <c r="D139" s="1">
        <v>41213</v>
      </c>
      <c r="E139" s="1">
        <v>41213</v>
      </c>
      <c r="F139">
        <v>100800</v>
      </c>
      <c r="G139">
        <v>16128</v>
      </c>
      <c r="H139">
        <v>0</v>
      </c>
      <c r="I139">
        <v>0</v>
      </c>
      <c r="J139">
        <v>55</v>
      </c>
      <c r="K139">
        <v>116928</v>
      </c>
      <c r="L139" t="s">
        <v>5844</v>
      </c>
      <c r="M139" s="1">
        <v>41213</v>
      </c>
      <c r="O139" t="s">
        <v>36</v>
      </c>
      <c r="P139" t="s">
        <v>37</v>
      </c>
      <c r="Q139" t="s">
        <v>39</v>
      </c>
      <c r="R139" t="s">
        <v>40</v>
      </c>
      <c r="S139">
        <v>0</v>
      </c>
      <c r="U139" t="s">
        <v>5550</v>
      </c>
      <c r="V139" t="s">
        <v>1797</v>
      </c>
      <c r="X139" t="s">
        <v>74</v>
      </c>
      <c r="Y139" t="b">
        <v>0</v>
      </c>
      <c r="Z139" t="b">
        <v>0</v>
      </c>
      <c r="AC139" s="1"/>
      <c r="AF139">
        <v>0</v>
      </c>
      <c r="AG139">
        <v>45</v>
      </c>
      <c r="AH139">
        <v>100</v>
      </c>
      <c r="AI139" s="2">
        <f>Table__192.168.3.138DYLGSMetaData[[#This Row],[NetAmount]]-Table__192.168.3.138DYLGSMetaData[[#This Row],[Paid]]</f>
        <v>116928</v>
      </c>
    </row>
    <row r="140" spans="1:35" hidden="1">
      <c r="A140" t="s">
        <v>5521</v>
      </c>
      <c r="B140" t="s">
        <v>5522</v>
      </c>
      <c r="C140" t="s">
        <v>5845</v>
      </c>
      <c r="D140" s="1">
        <v>41199</v>
      </c>
      <c r="E140" s="1">
        <v>41244</v>
      </c>
      <c r="F140">
        <v>129200</v>
      </c>
      <c r="G140">
        <v>20672</v>
      </c>
      <c r="H140">
        <v>0</v>
      </c>
      <c r="I140">
        <v>0</v>
      </c>
      <c r="J140">
        <v>73</v>
      </c>
      <c r="K140">
        <v>149872</v>
      </c>
      <c r="L140" t="s">
        <v>5846</v>
      </c>
      <c r="M140" s="1">
        <v>41195</v>
      </c>
      <c r="O140" t="s">
        <v>36</v>
      </c>
      <c r="P140" t="s">
        <v>37</v>
      </c>
      <c r="Q140" t="s">
        <v>39</v>
      </c>
      <c r="R140" t="s">
        <v>40</v>
      </c>
      <c r="S140">
        <v>0</v>
      </c>
      <c r="U140" t="s">
        <v>5550</v>
      </c>
      <c r="V140" t="s">
        <v>1797</v>
      </c>
      <c r="X140" t="s">
        <v>74</v>
      </c>
      <c r="Y140" t="b">
        <v>0</v>
      </c>
      <c r="Z140" t="b">
        <v>0</v>
      </c>
      <c r="AC140" s="1"/>
      <c r="AF140">
        <v>0</v>
      </c>
      <c r="AG140">
        <v>45</v>
      </c>
      <c r="AH140">
        <v>118</v>
      </c>
      <c r="AI140" s="2">
        <f>Table__192.168.3.138DYLGSMetaData[[#This Row],[NetAmount]]-Table__192.168.3.138DYLGSMetaData[[#This Row],[Paid]]</f>
        <v>149872</v>
      </c>
    </row>
    <row r="141" spans="1:35" hidden="1">
      <c r="A141" t="s">
        <v>5521</v>
      </c>
      <c r="B141" t="s">
        <v>5522</v>
      </c>
      <c r="C141" t="s">
        <v>5847</v>
      </c>
      <c r="D141" s="1">
        <v>41207</v>
      </c>
      <c r="E141" s="1">
        <v>41252</v>
      </c>
      <c r="F141">
        <v>109200</v>
      </c>
      <c r="G141">
        <v>17472</v>
      </c>
      <c r="H141">
        <v>0</v>
      </c>
      <c r="I141">
        <v>0</v>
      </c>
      <c r="J141">
        <v>62</v>
      </c>
      <c r="K141">
        <v>126672</v>
      </c>
      <c r="L141" t="s">
        <v>5848</v>
      </c>
      <c r="M141" s="1">
        <v>41206</v>
      </c>
      <c r="O141" t="s">
        <v>36</v>
      </c>
      <c r="P141" t="s">
        <v>37</v>
      </c>
      <c r="Q141" t="s">
        <v>39</v>
      </c>
      <c r="R141" t="s">
        <v>40</v>
      </c>
      <c r="S141">
        <v>0</v>
      </c>
      <c r="U141" t="s">
        <v>5550</v>
      </c>
      <c r="V141" t="s">
        <v>1797</v>
      </c>
      <c r="X141" t="s">
        <v>74</v>
      </c>
      <c r="Y141" t="b">
        <v>0</v>
      </c>
      <c r="Z141" t="b">
        <v>0</v>
      </c>
      <c r="AC141" s="1"/>
      <c r="AF141">
        <v>0</v>
      </c>
      <c r="AG141">
        <v>45</v>
      </c>
      <c r="AH141">
        <v>107</v>
      </c>
      <c r="AI141" s="2">
        <f>Table__192.168.3.138DYLGSMetaData[[#This Row],[NetAmount]]-Table__192.168.3.138DYLGSMetaData[[#This Row],[Paid]]</f>
        <v>126672</v>
      </c>
    </row>
    <row r="142" spans="1:35" hidden="1">
      <c r="A142" t="s">
        <v>5495</v>
      </c>
      <c r="B142" t="s">
        <v>5496</v>
      </c>
      <c r="C142" t="s">
        <v>5849</v>
      </c>
      <c r="D142" s="1">
        <v>41202</v>
      </c>
      <c r="E142" s="1">
        <v>41247</v>
      </c>
      <c r="F142">
        <v>20400</v>
      </c>
      <c r="G142">
        <v>3264</v>
      </c>
      <c r="H142">
        <v>0</v>
      </c>
      <c r="I142">
        <v>0</v>
      </c>
      <c r="J142">
        <v>67</v>
      </c>
      <c r="K142">
        <v>23664</v>
      </c>
      <c r="L142" t="s">
        <v>5850</v>
      </c>
      <c r="M142" s="1">
        <v>41201</v>
      </c>
      <c r="O142" t="s">
        <v>36</v>
      </c>
      <c r="P142" t="s">
        <v>37</v>
      </c>
      <c r="Q142" t="s">
        <v>39</v>
      </c>
      <c r="R142" t="s">
        <v>40</v>
      </c>
      <c r="S142">
        <v>0</v>
      </c>
      <c r="U142" t="s">
        <v>5550</v>
      </c>
      <c r="V142" t="s">
        <v>1797</v>
      </c>
      <c r="X142" t="s">
        <v>74</v>
      </c>
      <c r="Y142" t="b">
        <v>0</v>
      </c>
      <c r="Z142" t="b">
        <v>0</v>
      </c>
      <c r="AC142" s="1"/>
      <c r="AF142">
        <v>0</v>
      </c>
      <c r="AG142">
        <v>45</v>
      </c>
      <c r="AH142">
        <v>112</v>
      </c>
      <c r="AI142" s="2">
        <f>Table__192.168.3.138DYLGSMetaData[[#This Row],[NetAmount]]-Table__192.168.3.138DYLGSMetaData[[#This Row],[Paid]]</f>
        <v>23664</v>
      </c>
    </row>
    <row r="143" spans="1:35" hidden="1">
      <c r="A143" t="s">
        <v>5503</v>
      </c>
      <c r="B143" t="s">
        <v>5504</v>
      </c>
      <c r="C143" t="s">
        <v>5851</v>
      </c>
      <c r="D143" s="1">
        <v>41213</v>
      </c>
      <c r="E143" s="1">
        <v>41258</v>
      </c>
      <c r="F143">
        <v>63000</v>
      </c>
      <c r="G143">
        <v>0</v>
      </c>
      <c r="H143">
        <v>0</v>
      </c>
      <c r="I143">
        <v>0</v>
      </c>
      <c r="J143">
        <v>55</v>
      </c>
      <c r="K143">
        <v>62800</v>
      </c>
      <c r="L143" t="s">
        <v>2676</v>
      </c>
      <c r="M143" s="1">
        <v>41213</v>
      </c>
      <c r="O143" t="s">
        <v>36</v>
      </c>
      <c r="P143" t="s">
        <v>37</v>
      </c>
      <c r="Q143" t="s">
        <v>39</v>
      </c>
      <c r="R143" t="s">
        <v>40</v>
      </c>
      <c r="S143">
        <v>0</v>
      </c>
      <c r="U143" t="s">
        <v>5550</v>
      </c>
      <c r="V143" t="s">
        <v>1797</v>
      </c>
      <c r="X143" t="s">
        <v>74</v>
      </c>
      <c r="Y143" t="b">
        <v>0</v>
      </c>
      <c r="Z143" t="b">
        <v>0</v>
      </c>
      <c r="AC143" s="1"/>
      <c r="AF143">
        <v>0</v>
      </c>
      <c r="AG143">
        <v>45</v>
      </c>
      <c r="AH143">
        <v>100</v>
      </c>
      <c r="AI143" s="2">
        <f>Table__192.168.3.138DYLGSMetaData[[#This Row],[NetAmount]]-Table__192.168.3.138DYLGSMetaData[[#This Row],[Paid]]</f>
        <v>62800</v>
      </c>
    </row>
    <row r="144" spans="1:35" hidden="1">
      <c r="A144" t="s">
        <v>5503</v>
      </c>
      <c r="B144" t="s">
        <v>5504</v>
      </c>
      <c r="C144" t="s">
        <v>5852</v>
      </c>
      <c r="D144" s="1">
        <v>41203</v>
      </c>
      <c r="E144" s="1">
        <v>41248</v>
      </c>
      <c r="F144">
        <v>4400</v>
      </c>
      <c r="G144">
        <v>0</v>
      </c>
      <c r="H144">
        <v>0</v>
      </c>
      <c r="I144">
        <v>0</v>
      </c>
      <c r="J144">
        <v>55</v>
      </c>
      <c r="K144">
        <v>4400</v>
      </c>
      <c r="L144" t="s">
        <v>2676</v>
      </c>
      <c r="M144" s="1">
        <v>41213</v>
      </c>
      <c r="O144" t="s">
        <v>36</v>
      </c>
      <c r="P144" t="s">
        <v>37</v>
      </c>
      <c r="Q144" t="s">
        <v>39</v>
      </c>
      <c r="R144" t="s">
        <v>40</v>
      </c>
      <c r="S144">
        <v>0</v>
      </c>
      <c r="U144" t="s">
        <v>5550</v>
      </c>
      <c r="V144" t="s">
        <v>1797</v>
      </c>
      <c r="X144" t="s">
        <v>74</v>
      </c>
      <c r="Y144" t="b">
        <v>0</v>
      </c>
      <c r="Z144" t="b">
        <v>0</v>
      </c>
      <c r="AC144" s="1"/>
      <c r="AF144">
        <v>0</v>
      </c>
      <c r="AG144">
        <v>45</v>
      </c>
      <c r="AH144">
        <v>100</v>
      </c>
      <c r="AI144" s="2">
        <f>Table__192.168.3.138DYLGSMetaData[[#This Row],[NetAmount]]-Table__192.168.3.138DYLGSMetaData[[#This Row],[Paid]]</f>
        <v>4400</v>
      </c>
    </row>
    <row r="145" spans="1:35" hidden="1">
      <c r="A145" t="s">
        <v>5511</v>
      </c>
      <c r="B145" t="s">
        <v>5512</v>
      </c>
      <c r="C145" t="s">
        <v>5853</v>
      </c>
      <c r="D145" s="1">
        <v>41209</v>
      </c>
      <c r="E145" s="1">
        <v>41254</v>
      </c>
      <c r="F145">
        <v>54055</v>
      </c>
      <c r="G145">
        <v>0</v>
      </c>
      <c r="H145">
        <v>0</v>
      </c>
      <c r="I145">
        <v>0</v>
      </c>
      <c r="J145">
        <v>55</v>
      </c>
      <c r="K145">
        <v>54055</v>
      </c>
      <c r="L145" t="s">
        <v>5379</v>
      </c>
      <c r="M145" s="1">
        <v>41213</v>
      </c>
      <c r="N145" t="s">
        <v>5854</v>
      </c>
      <c r="O145" t="s">
        <v>36</v>
      </c>
      <c r="P145" t="s">
        <v>37</v>
      </c>
      <c r="Q145" t="s">
        <v>39</v>
      </c>
      <c r="R145" t="s">
        <v>40</v>
      </c>
      <c r="S145">
        <v>0</v>
      </c>
      <c r="U145" t="s">
        <v>5550</v>
      </c>
      <c r="V145" t="s">
        <v>1797</v>
      </c>
      <c r="W145" t="s">
        <v>5691</v>
      </c>
      <c r="X145" t="s">
        <v>74</v>
      </c>
      <c r="Y145" t="b">
        <v>0</v>
      </c>
      <c r="Z145" t="b">
        <v>0</v>
      </c>
      <c r="AA145" t="b">
        <v>0</v>
      </c>
      <c r="AC145" s="1"/>
      <c r="AF145">
        <v>0</v>
      </c>
      <c r="AG145">
        <v>45</v>
      </c>
      <c r="AH145">
        <v>100</v>
      </c>
      <c r="AI145" s="2">
        <f>Table__192.168.3.138DYLGSMetaData[[#This Row],[NetAmount]]-Table__192.168.3.138DYLGSMetaData[[#This Row],[Paid]]</f>
        <v>54055</v>
      </c>
    </row>
    <row r="146" spans="1:35" hidden="1">
      <c r="A146" t="s">
        <v>5511</v>
      </c>
      <c r="B146" t="s">
        <v>5512</v>
      </c>
      <c r="C146" t="s">
        <v>5855</v>
      </c>
      <c r="D146" s="1">
        <v>41213</v>
      </c>
      <c r="E146" s="1">
        <v>41258</v>
      </c>
      <c r="F146">
        <v>74000</v>
      </c>
      <c r="G146">
        <v>0</v>
      </c>
      <c r="H146">
        <v>0</v>
      </c>
      <c r="I146">
        <v>0</v>
      </c>
      <c r="J146">
        <v>55</v>
      </c>
      <c r="K146">
        <v>74000</v>
      </c>
      <c r="L146" t="s">
        <v>5379</v>
      </c>
      <c r="M146" s="1">
        <v>41213</v>
      </c>
      <c r="N146" t="s">
        <v>5856</v>
      </c>
      <c r="O146" t="s">
        <v>36</v>
      </c>
      <c r="P146" t="s">
        <v>37</v>
      </c>
      <c r="Q146" t="s">
        <v>39</v>
      </c>
      <c r="R146" t="s">
        <v>40</v>
      </c>
      <c r="S146">
        <v>0</v>
      </c>
      <c r="U146" t="s">
        <v>5550</v>
      </c>
      <c r="V146" t="s">
        <v>1797</v>
      </c>
      <c r="W146" t="s">
        <v>5691</v>
      </c>
      <c r="X146" t="s">
        <v>74</v>
      </c>
      <c r="Y146" t="b">
        <v>0</v>
      </c>
      <c r="Z146" t="b">
        <v>0</v>
      </c>
      <c r="AA146" t="b">
        <v>0</v>
      </c>
      <c r="AC146" s="1"/>
      <c r="AF146">
        <v>0</v>
      </c>
      <c r="AG146">
        <v>45</v>
      </c>
      <c r="AH146">
        <v>100</v>
      </c>
      <c r="AI146" s="2">
        <f>Table__192.168.3.138DYLGSMetaData[[#This Row],[NetAmount]]-Table__192.168.3.138DYLGSMetaData[[#This Row],[Paid]]</f>
        <v>74000</v>
      </c>
    </row>
    <row r="147" spans="1:35" hidden="1">
      <c r="A147" t="s">
        <v>5481</v>
      </c>
      <c r="B147" t="s">
        <v>5482</v>
      </c>
      <c r="C147" t="s">
        <v>5857</v>
      </c>
      <c r="D147" s="1">
        <v>41206</v>
      </c>
      <c r="E147" s="1">
        <v>41251</v>
      </c>
      <c r="F147">
        <v>76594</v>
      </c>
      <c r="G147">
        <v>0</v>
      </c>
      <c r="H147">
        <v>0</v>
      </c>
      <c r="I147">
        <v>0</v>
      </c>
      <c r="J147">
        <v>55</v>
      </c>
      <c r="K147">
        <v>76594</v>
      </c>
      <c r="L147" t="s">
        <v>5858</v>
      </c>
      <c r="M147" s="1">
        <v>41213</v>
      </c>
      <c r="O147" t="s">
        <v>36</v>
      </c>
      <c r="P147" t="s">
        <v>37</v>
      </c>
      <c r="Q147" t="s">
        <v>39</v>
      </c>
      <c r="R147" t="s">
        <v>40</v>
      </c>
      <c r="S147">
        <v>0</v>
      </c>
      <c r="U147" t="s">
        <v>5550</v>
      </c>
      <c r="V147" t="s">
        <v>1797</v>
      </c>
      <c r="X147" t="s">
        <v>74</v>
      </c>
      <c r="Y147" t="b">
        <v>0</v>
      </c>
      <c r="Z147" t="b">
        <v>0</v>
      </c>
      <c r="AC147" s="1"/>
      <c r="AF147">
        <v>0</v>
      </c>
      <c r="AG147">
        <v>45</v>
      </c>
      <c r="AH147">
        <v>100</v>
      </c>
      <c r="AI147" s="2">
        <f>Table__192.168.3.138DYLGSMetaData[[#This Row],[NetAmount]]-Table__192.168.3.138DYLGSMetaData[[#This Row],[Paid]]</f>
        <v>76594</v>
      </c>
    </row>
    <row r="148" spans="1:35" hidden="1">
      <c r="A148" t="s">
        <v>5481</v>
      </c>
      <c r="B148" t="s">
        <v>5482</v>
      </c>
      <c r="C148" t="s">
        <v>5859</v>
      </c>
      <c r="D148" s="1">
        <v>41213</v>
      </c>
      <c r="E148" s="1">
        <v>41258</v>
      </c>
      <c r="F148">
        <v>88800</v>
      </c>
      <c r="G148">
        <v>0</v>
      </c>
      <c r="H148">
        <v>0</v>
      </c>
      <c r="I148">
        <v>0</v>
      </c>
      <c r="J148">
        <v>55</v>
      </c>
      <c r="K148">
        <v>88800</v>
      </c>
      <c r="L148" t="s">
        <v>5858</v>
      </c>
      <c r="M148" s="1">
        <v>41213</v>
      </c>
      <c r="O148" t="s">
        <v>36</v>
      </c>
      <c r="P148" t="s">
        <v>37</v>
      </c>
      <c r="Q148" t="s">
        <v>39</v>
      </c>
      <c r="R148" t="s">
        <v>40</v>
      </c>
      <c r="S148">
        <v>0</v>
      </c>
      <c r="U148" t="s">
        <v>5550</v>
      </c>
      <c r="V148" t="s">
        <v>1797</v>
      </c>
      <c r="X148" t="s">
        <v>74</v>
      </c>
      <c r="Y148" t="b">
        <v>0</v>
      </c>
      <c r="Z148" t="b">
        <v>0</v>
      </c>
      <c r="AC148" s="1"/>
      <c r="AF148">
        <v>0</v>
      </c>
      <c r="AG148">
        <v>45</v>
      </c>
      <c r="AH148">
        <v>100</v>
      </c>
      <c r="AI148" s="2">
        <f>Table__192.168.3.138DYLGSMetaData[[#This Row],[NetAmount]]-Table__192.168.3.138DYLGSMetaData[[#This Row],[Paid]]</f>
        <v>88800</v>
      </c>
    </row>
    <row r="149" spans="1:35" hidden="1">
      <c r="A149" t="s">
        <v>5529</v>
      </c>
      <c r="B149" t="s">
        <v>5530</v>
      </c>
      <c r="C149" t="s">
        <v>5860</v>
      </c>
      <c r="D149" s="1">
        <v>41195</v>
      </c>
      <c r="E149" s="1">
        <v>41240</v>
      </c>
      <c r="F149">
        <v>8400</v>
      </c>
      <c r="G149">
        <v>0</v>
      </c>
      <c r="H149">
        <v>0</v>
      </c>
      <c r="I149">
        <v>0</v>
      </c>
      <c r="J149">
        <v>55</v>
      </c>
      <c r="K149">
        <v>8400</v>
      </c>
      <c r="L149" t="s">
        <v>5861</v>
      </c>
      <c r="M149" s="1">
        <v>41213</v>
      </c>
      <c r="O149" t="s">
        <v>36</v>
      </c>
      <c r="P149" t="s">
        <v>37</v>
      </c>
      <c r="Q149" t="s">
        <v>39</v>
      </c>
      <c r="R149" t="s">
        <v>40</v>
      </c>
      <c r="S149">
        <v>0</v>
      </c>
      <c r="U149" t="s">
        <v>5550</v>
      </c>
      <c r="V149" t="s">
        <v>1797</v>
      </c>
      <c r="X149" t="s">
        <v>74</v>
      </c>
      <c r="Y149" t="b">
        <v>0</v>
      </c>
      <c r="Z149" t="b">
        <v>0</v>
      </c>
      <c r="AC149" s="1"/>
      <c r="AF149">
        <v>0</v>
      </c>
      <c r="AG149">
        <v>45</v>
      </c>
      <c r="AH149">
        <v>100</v>
      </c>
      <c r="AI149" s="2">
        <f>Table__192.168.3.138DYLGSMetaData[[#This Row],[NetAmount]]-Table__192.168.3.138DYLGSMetaData[[#This Row],[Paid]]</f>
        <v>8400</v>
      </c>
    </row>
    <row r="150" spans="1:35" hidden="1">
      <c r="A150" t="s">
        <v>5529</v>
      </c>
      <c r="B150" t="s">
        <v>5530</v>
      </c>
      <c r="C150" t="s">
        <v>5862</v>
      </c>
      <c r="D150" s="1">
        <v>41207</v>
      </c>
      <c r="E150" s="1">
        <v>41252</v>
      </c>
      <c r="F150">
        <v>338700</v>
      </c>
      <c r="G150">
        <v>0</v>
      </c>
      <c r="H150">
        <v>0</v>
      </c>
      <c r="I150">
        <v>0</v>
      </c>
      <c r="J150">
        <v>55</v>
      </c>
      <c r="K150">
        <v>338700</v>
      </c>
      <c r="L150" t="s">
        <v>5863</v>
      </c>
      <c r="M150" s="1">
        <v>41213</v>
      </c>
      <c r="O150" t="s">
        <v>36</v>
      </c>
      <c r="P150" t="s">
        <v>37</v>
      </c>
      <c r="Q150" t="s">
        <v>39</v>
      </c>
      <c r="R150" t="s">
        <v>40</v>
      </c>
      <c r="S150">
        <v>0</v>
      </c>
      <c r="U150" t="s">
        <v>5550</v>
      </c>
      <c r="V150" t="s">
        <v>1797</v>
      </c>
      <c r="X150" t="s">
        <v>74</v>
      </c>
      <c r="Y150" t="b">
        <v>0</v>
      </c>
      <c r="Z150" t="b">
        <v>0</v>
      </c>
      <c r="AC150" s="1"/>
      <c r="AF150">
        <v>0</v>
      </c>
      <c r="AG150">
        <v>45</v>
      </c>
      <c r="AH150">
        <v>100</v>
      </c>
      <c r="AI150" s="2">
        <f>Table__192.168.3.138DYLGSMetaData[[#This Row],[NetAmount]]-Table__192.168.3.138DYLGSMetaData[[#This Row],[Paid]]</f>
        <v>338700</v>
      </c>
    </row>
    <row r="151" spans="1:35" hidden="1">
      <c r="A151" t="s">
        <v>5503</v>
      </c>
      <c r="B151" t="s">
        <v>5504</v>
      </c>
      <c r="C151" t="s">
        <v>5864</v>
      </c>
      <c r="D151" s="1">
        <v>41213</v>
      </c>
      <c r="E151" s="1">
        <v>41258</v>
      </c>
      <c r="F151">
        <v>219600</v>
      </c>
      <c r="G151">
        <v>0</v>
      </c>
      <c r="H151">
        <v>0</v>
      </c>
      <c r="I151">
        <v>0</v>
      </c>
      <c r="J151">
        <v>55</v>
      </c>
      <c r="K151">
        <v>219600</v>
      </c>
      <c r="L151" t="s">
        <v>3151</v>
      </c>
      <c r="M151" s="1">
        <v>41213</v>
      </c>
      <c r="O151" t="s">
        <v>36</v>
      </c>
      <c r="P151" t="s">
        <v>37</v>
      </c>
      <c r="Q151" t="s">
        <v>39</v>
      </c>
      <c r="R151" t="s">
        <v>40</v>
      </c>
      <c r="S151">
        <v>0</v>
      </c>
      <c r="U151" t="s">
        <v>5550</v>
      </c>
      <c r="V151" t="s">
        <v>1797</v>
      </c>
      <c r="X151" t="s">
        <v>74</v>
      </c>
      <c r="Y151" t="b">
        <v>0</v>
      </c>
      <c r="Z151" t="b">
        <v>0</v>
      </c>
      <c r="AC151" s="1"/>
      <c r="AF151">
        <v>0</v>
      </c>
      <c r="AG151">
        <v>45</v>
      </c>
      <c r="AH151">
        <v>100</v>
      </c>
      <c r="AI151" s="2">
        <f>Table__192.168.3.138DYLGSMetaData[[#This Row],[NetAmount]]-Table__192.168.3.138DYLGSMetaData[[#This Row],[Paid]]</f>
        <v>219600</v>
      </c>
    </row>
    <row r="152" spans="1:35" hidden="1">
      <c r="A152" t="s">
        <v>5517</v>
      </c>
      <c r="B152" t="s">
        <v>5518</v>
      </c>
      <c r="C152" t="s">
        <v>5865</v>
      </c>
      <c r="D152" s="1">
        <v>41213</v>
      </c>
      <c r="E152" s="1">
        <v>41258</v>
      </c>
      <c r="F152">
        <v>477525</v>
      </c>
      <c r="G152">
        <v>0</v>
      </c>
      <c r="H152">
        <v>0</v>
      </c>
      <c r="I152">
        <v>0</v>
      </c>
      <c r="J152">
        <v>55</v>
      </c>
      <c r="K152">
        <v>477525</v>
      </c>
      <c r="L152" t="s">
        <v>5866</v>
      </c>
      <c r="M152" s="1">
        <v>41213</v>
      </c>
      <c r="N152" t="s">
        <v>5867</v>
      </c>
      <c r="O152" t="s">
        <v>36</v>
      </c>
      <c r="P152" t="s">
        <v>37</v>
      </c>
      <c r="Q152" t="s">
        <v>39</v>
      </c>
      <c r="R152" t="s">
        <v>40</v>
      </c>
      <c r="S152">
        <v>0</v>
      </c>
      <c r="U152" t="s">
        <v>5550</v>
      </c>
      <c r="V152" t="s">
        <v>1797</v>
      </c>
      <c r="W152" t="s">
        <v>5868</v>
      </c>
      <c r="X152" t="s">
        <v>74</v>
      </c>
      <c r="Y152" t="b">
        <v>0</v>
      </c>
      <c r="Z152" t="b">
        <v>0</v>
      </c>
      <c r="AA152" t="b">
        <v>0</v>
      </c>
      <c r="AC152" s="1"/>
      <c r="AF152">
        <v>0</v>
      </c>
      <c r="AG152">
        <v>45</v>
      </c>
      <c r="AH152">
        <v>100</v>
      </c>
      <c r="AI152" s="2">
        <f>Table__192.168.3.138DYLGSMetaData[[#This Row],[NetAmount]]-Table__192.168.3.138DYLGSMetaData[[#This Row],[Paid]]</f>
        <v>477525</v>
      </c>
    </row>
    <row r="153" spans="1:35" hidden="1">
      <c r="A153" t="s">
        <v>5483</v>
      </c>
      <c r="B153" t="s">
        <v>5484</v>
      </c>
      <c r="C153" t="s">
        <v>5869</v>
      </c>
      <c r="D153" s="1">
        <v>41213</v>
      </c>
      <c r="E153" s="1">
        <v>41258</v>
      </c>
      <c r="F153">
        <v>28300</v>
      </c>
      <c r="G153">
        <v>0</v>
      </c>
      <c r="H153">
        <v>0</v>
      </c>
      <c r="I153">
        <v>0</v>
      </c>
      <c r="J153">
        <v>61</v>
      </c>
      <c r="K153">
        <v>28200</v>
      </c>
      <c r="L153" t="s">
        <v>911</v>
      </c>
      <c r="M153" s="1">
        <v>41207</v>
      </c>
      <c r="O153" t="s">
        <v>36</v>
      </c>
      <c r="P153" t="s">
        <v>37</v>
      </c>
      <c r="Q153" t="s">
        <v>39</v>
      </c>
      <c r="R153" t="s">
        <v>40</v>
      </c>
      <c r="S153">
        <v>0</v>
      </c>
      <c r="U153" t="s">
        <v>5550</v>
      </c>
      <c r="V153" t="s">
        <v>1797</v>
      </c>
      <c r="X153" t="s">
        <v>74</v>
      </c>
      <c r="Y153" t="b">
        <v>0</v>
      </c>
      <c r="Z153" t="b">
        <v>0</v>
      </c>
      <c r="AC153" s="1"/>
      <c r="AF153">
        <v>0</v>
      </c>
      <c r="AG153">
        <v>45</v>
      </c>
      <c r="AH153">
        <v>106</v>
      </c>
      <c r="AI153" s="2">
        <f>Table__192.168.3.138DYLGSMetaData[[#This Row],[NetAmount]]-Table__192.168.3.138DYLGSMetaData[[#This Row],[Paid]]</f>
        <v>28200</v>
      </c>
    </row>
    <row r="154" spans="1:35" hidden="1">
      <c r="A154" t="s">
        <v>5483</v>
      </c>
      <c r="B154" t="s">
        <v>5484</v>
      </c>
      <c r="C154" t="s">
        <v>5870</v>
      </c>
      <c r="D154" s="1">
        <v>41207</v>
      </c>
      <c r="E154" s="1">
        <v>41252</v>
      </c>
      <c r="F154">
        <v>10100</v>
      </c>
      <c r="G154">
        <v>0</v>
      </c>
      <c r="H154">
        <v>0</v>
      </c>
      <c r="I154">
        <v>0</v>
      </c>
      <c r="J154">
        <v>61</v>
      </c>
      <c r="K154">
        <v>10100</v>
      </c>
      <c r="L154" t="s">
        <v>911</v>
      </c>
      <c r="M154" s="1">
        <v>41207</v>
      </c>
      <c r="O154" t="s">
        <v>36</v>
      </c>
      <c r="P154" t="s">
        <v>37</v>
      </c>
      <c r="Q154" t="s">
        <v>39</v>
      </c>
      <c r="R154" t="s">
        <v>40</v>
      </c>
      <c r="S154">
        <v>0</v>
      </c>
      <c r="U154" t="s">
        <v>5550</v>
      </c>
      <c r="V154" t="s">
        <v>1797</v>
      </c>
      <c r="X154" t="s">
        <v>74</v>
      </c>
      <c r="Y154" t="b">
        <v>0</v>
      </c>
      <c r="Z154" t="b">
        <v>0</v>
      </c>
      <c r="AC154" s="1"/>
      <c r="AF154">
        <v>0</v>
      </c>
      <c r="AG154">
        <v>45</v>
      </c>
      <c r="AH154">
        <v>106</v>
      </c>
      <c r="AI154" s="2">
        <f>Table__192.168.3.138DYLGSMetaData[[#This Row],[NetAmount]]-Table__192.168.3.138DYLGSMetaData[[#This Row],[Paid]]</f>
        <v>10100</v>
      </c>
    </row>
    <row r="155" spans="1:35" hidden="1">
      <c r="A155" t="s">
        <v>5511</v>
      </c>
      <c r="B155" t="s">
        <v>5512</v>
      </c>
      <c r="C155" t="s">
        <v>5871</v>
      </c>
      <c r="D155" s="1">
        <v>41233</v>
      </c>
      <c r="E155" s="1">
        <v>41278</v>
      </c>
      <c r="F155">
        <v>29600</v>
      </c>
      <c r="G155">
        <v>0</v>
      </c>
      <c r="H155">
        <v>0</v>
      </c>
      <c r="I155">
        <v>0</v>
      </c>
      <c r="J155">
        <v>47</v>
      </c>
      <c r="K155">
        <v>29600</v>
      </c>
      <c r="L155" t="s">
        <v>1729</v>
      </c>
      <c r="M155" s="1">
        <v>41221</v>
      </c>
      <c r="N155" t="s">
        <v>5872</v>
      </c>
      <c r="O155" t="s">
        <v>36</v>
      </c>
      <c r="P155" t="s">
        <v>37</v>
      </c>
      <c r="Q155" t="s">
        <v>39</v>
      </c>
      <c r="R155" t="s">
        <v>40</v>
      </c>
      <c r="S155">
        <v>0</v>
      </c>
      <c r="U155" t="s">
        <v>5550</v>
      </c>
      <c r="V155" t="s">
        <v>1797</v>
      </c>
      <c r="W155" t="s">
        <v>5691</v>
      </c>
      <c r="X155" t="s">
        <v>74</v>
      </c>
      <c r="Y155" t="b">
        <v>0</v>
      </c>
      <c r="Z155" t="b">
        <v>0</v>
      </c>
      <c r="AA155" t="b">
        <v>0</v>
      </c>
      <c r="AC155" s="1"/>
      <c r="AF155">
        <v>0</v>
      </c>
      <c r="AG155">
        <v>45</v>
      </c>
      <c r="AH155">
        <v>92</v>
      </c>
      <c r="AI155" s="2">
        <f>Table__192.168.3.138DYLGSMetaData[[#This Row],[NetAmount]]-Table__192.168.3.138DYLGSMetaData[[#This Row],[Paid]]</f>
        <v>29600</v>
      </c>
    </row>
    <row r="156" spans="1:35" hidden="1">
      <c r="A156" t="s">
        <v>5511</v>
      </c>
      <c r="B156" t="s">
        <v>5512</v>
      </c>
      <c r="C156" t="s">
        <v>5873</v>
      </c>
      <c r="D156" s="1">
        <v>41216</v>
      </c>
      <c r="E156" s="1">
        <v>41261</v>
      </c>
      <c r="F156">
        <v>9056</v>
      </c>
      <c r="G156">
        <v>0</v>
      </c>
      <c r="H156">
        <v>0</v>
      </c>
      <c r="I156">
        <v>0</v>
      </c>
      <c r="J156">
        <v>47</v>
      </c>
      <c r="K156">
        <v>9056</v>
      </c>
      <c r="L156" t="s">
        <v>1729</v>
      </c>
      <c r="M156" s="1">
        <v>41221</v>
      </c>
      <c r="N156" t="s">
        <v>5874</v>
      </c>
      <c r="O156" t="s">
        <v>36</v>
      </c>
      <c r="P156" t="s">
        <v>37</v>
      </c>
      <c r="Q156" t="s">
        <v>39</v>
      </c>
      <c r="R156" t="s">
        <v>40</v>
      </c>
      <c r="S156">
        <v>0</v>
      </c>
      <c r="U156" t="s">
        <v>5550</v>
      </c>
      <c r="V156" t="s">
        <v>1797</v>
      </c>
      <c r="W156" t="s">
        <v>5691</v>
      </c>
      <c r="X156" t="s">
        <v>74</v>
      </c>
      <c r="Y156" t="b">
        <v>0</v>
      </c>
      <c r="Z156" t="b">
        <v>0</v>
      </c>
      <c r="AA156" t="b">
        <v>0</v>
      </c>
      <c r="AC156" s="1"/>
      <c r="AF156">
        <v>0</v>
      </c>
      <c r="AG156">
        <v>45</v>
      </c>
      <c r="AH156">
        <v>92</v>
      </c>
      <c r="AI156" s="2">
        <f>Table__192.168.3.138DYLGSMetaData[[#This Row],[NetAmount]]-Table__192.168.3.138DYLGSMetaData[[#This Row],[Paid]]</f>
        <v>9056</v>
      </c>
    </row>
    <row r="157" spans="1:35" hidden="1">
      <c r="A157" t="s">
        <v>5461</v>
      </c>
      <c r="B157" t="s">
        <v>5462</v>
      </c>
      <c r="C157" t="s">
        <v>5875</v>
      </c>
      <c r="D157" s="1">
        <v>41232</v>
      </c>
      <c r="E157" s="1">
        <v>41277</v>
      </c>
      <c r="F157">
        <v>171000</v>
      </c>
      <c r="G157">
        <v>27360</v>
      </c>
      <c r="H157">
        <v>0</v>
      </c>
      <c r="I157">
        <v>0</v>
      </c>
      <c r="J157">
        <v>36</v>
      </c>
      <c r="K157">
        <v>198360</v>
      </c>
      <c r="L157" t="s">
        <v>5876</v>
      </c>
      <c r="M157" s="1">
        <v>41232</v>
      </c>
      <c r="O157" t="s">
        <v>36</v>
      </c>
      <c r="P157" t="s">
        <v>37</v>
      </c>
      <c r="Q157" t="s">
        <v>39</v>
      </c>
      <c r="R157" t="s">
        <v>40</v>
      </c>
      <c r="S157">
        <v>0</v>
      </c>
      <c r="U157" t="s">
        <v>5550</v>
      </c>
      <c r="V157" t="s">
        <v>1797</v>
      </c>
      <c r="X157" t="s">
        <v>74</v>
      </c>
      <c r="Y157" t="b">
        <v>0</v>
      </c>
      <c r="Z157" t="b">
        <v>0</v>
      </c>
      <c r="AC157" s="1"/>
      <c r="AF157">
        <v>0</v>
      </c>
      <c r="AG157">
        <v>45</v>
      </c>
      <c r="AH157">
        <v>81</v>
      </c>
      <c r="AI157" s="2">
        <f>Table__192.168.3.138DYLGSMetaData[[#This Row],[NetAmount]]-Table__192.168.3.138DYLGSMetaData[[#This Row],[Paid]]</f>
        <v>198360</v>
      </c>
    </row>
    <row r="158" spans="1:35" hidden="1">
      <c r="A158" t="s">
        <v>5461</v>
      </c>
      <c r="B158" t="s">
        <v>5462</v>
      </c>
      <c r="C158" t="s">
        <v>5877</v>
      </c>
      <c r="D158" s="1">
        <v>41228</v>
      </c>
      <c r="E158" s="1">
        <v>41273</v>
      </c>
      <c r="F158">
        <v>62000</v>
      </c>
      <c r="G158">
        <v>9920</v>
      </c>
      <c r="H158">
        <v>0</v>
      </c>
      <c r="I158">
        <v>0</v>
      </c>
      <c r="J158">
        <v>40</v>
      </c>
      <c r="K158">
        <v>71920</v>
      </c>
      <c r="L158" t="s">
        <v>5878</v>
      </c>
      <c r="M158" s="1">
        <v>41228</v>
      </c>
      <c r="O158" t="s">
        <v>36</v>
      </c>
      <c r="P158" t="s">
        <v>37</v>
      </c>
      <c r="Q158" t="s">
        <v>39</v>
      </c>
      <c r="R158" t="s">
        <v>40</v>
      </c>
      <c r="S158">
        <v>0</v>
      </c>
      <c r="U158" t="s">
        <v>5550</v>
      </c>
      <c r="V158" t="s">
        <v>1797</v>
      </c>
      <c r="X158" t="s">
        <v>74</v>
      </c>
      <c r="Y158" t="b">
        <v>0</v>
      </c>
      <c r="Z158" t="b">
        <v>0</v>
      </c>
      <c r="AC158" s="1"/>
      <c r="AF158">
        <v>0</v>
      </c>
      <c r="AG158">
        <v>45</v>
      </c>
      <c r="AH158">
        <v>85</v>
      </c>
      <c r="AI158" s="2">
        <f>Table__192.168.3.138DYLGSMetaData[[#This Row],[NetAmount]]-Table__192.168.3.138DYLGSMetaData[[#This Row],[Paid]]</f>
        <v>71920</v>
      </c>
    </row>
    <row r="159" spans="1:35" hidden="1">
      <c r="A159" t="s">
        <v>5461</v>
      </c>
      <c r="B159" t="s">
        <v>5462</v>
      </c>
      <c r="C159" t="s">
        <v>5879</v>
      </c>
      <c r="D159" s="1">
        <v>41228</v>
      </c>
      <c r="E159" s="1">
        <v>41273</v>
      </c>
      <c r="F159">
        <v>25600</v>
      </c>
      <c r="G159">
        <v>4096</v>
      </c>
      <c r="H159">
        <v>0</v>
      </c>
      <c r="I159">
        <v>0</v>
      </c>
      <c r="J159">
        <v>40</v>
      </c>
      <c r="K159">
        <v>29696</v>
      </c>
      <c r="L159" t="s">
        <v>5880</v>
      </c>
      <c r="M159" s="1">
        <v>41228</v>
      </c>
      <c r="O159" t="s">
        <v>36</v>
      </c>
      <c r="P159" t="s">
        <v>37</v>
      </c>
      <c r="Q159" t="s">
        <v>39</v>
      </c>
      <c r="R159" t="s">
        <v>40</v>
      </c>
      <c r="S159">
        <v>0</v>
      </c>
      <c r="U159" t="s">
        <v>5550</v>
      </c>
      <c r="V159" t="s">
        <v>1797</v>
      </c>
      <c r="X159" t="s">
        <v>74</v>
      </c>
      <c r="Y159" t="b">
        <v>0</v>
      </c>
      <c r="Z159" t="b">
        <v>0</v>
      </c>
      <c r="AC159" s="1"/>
      <c r="AF159">
        <v>0</v>
      </c>
      <c r="AG159">
        <v>45</v>
      </c>
      <c r="AH159">
        <v>85</v>
      </c>
      <c r="AI159" s="2">
        <f>Table__192.168.3.138DYLGSMetaData[[#This Row],[NetAmount]]-Table__192.168.3.138DYLGSMetaData[[#This Row],[Paid]]</f>
        <v>29696</v>
      </c>
    </row>
    <row r="160" spans="1:35" hidden="1">
      <c r="A160" t="s">
        <v>5457</v>
      </c>
      <c r="B160" t="s">
        <v>5458</v>
      </c>
      <c r="C160" t="s">
        <v>5881</v>
      </c>
      <c r="D160" s="1">
        <v>41225</v>
      </c>
      <c r="E160" s="1">
        <v>41270</v>
      </c>
      <c r="F160">
        <v>21600</v>
      </c>
      <c r="G160">
        <v>0</v>
      </c>
      <c r="H160">
        <v>0</v>
      </c>
      <c r="I160">
        <v>0</v>
      </c>
      <c r="J160">
        <v>38</v>
      </c>
      <c r="K160">
        <v>21600</v>
      </c>
      <c r="L160" t="s">
        <v>5882</v>
      </c>
      <c r="M160" s="1">
        <v>41230</v>
      </c>
      <c r="O160" t="s">
        <v>36</v>
      </c>
      <c r="P160" t="s">
        <v>37</v>
      </c>
      <c r="Q160" t="s">
        <v>39</v>
      </c>
      <c r="R160" t="s">
        <v>40</v>
      </c>
      <c r="S160">
        <v>0</v>
      </c>
      <c r="U160" t="s">
        <v>5550</v>
      </c>
      <c r="V160" t="s">
        <v>1797</v>
      </c>
      <c r="X160" t="s">
        <v>74</v>
      </c>
      <c r="Y160" t="b">
        <v>0</v>
      </c>
      <c r="Z160" t="b">
        <v>0</v>
      </c>
      <c r="AC160" s="1"/>
      <c r="AF160">
        <v>0</v>
      </c>
      <c r="AG160">
        <v>45</v>
      </c>
      <c r="AH160">
        <v>83</v>
      </c>
      <c r="AI160" s="2">
        <f>Table__192.168.3.138DYLGSMetaData[[#This Row],[NetAmount]]-Table__192.168.3.138DYLGSMetaData[[#This Row],[Paid]]</f>
        <v>21600</v>
      </c>
    </row>
    <row r="161" spans="1:35" hidden="1">
      <c r="A161" t="s">
        <v>5525</v>
      </c>
      <c r="B161" t="s">
        <v>5526</v>
      </c>
      <c r="C161" t="s">
        <v>5883</v>
      </c>
      <c r="D161" s="1">
        <v>41232</v>
      </c>
      <c r="E161" s="1">
        <v>41277</v>
      </c>
      <c r="F161">
        <v>8200</v>
      </c>
      <c r="G161">
        <v>1312</v>
      </c>
      <c r="H161">
        <v>0</v>
      </c>
      <c r="I161">
        <v>0</v>
      </c>
      <c r="J161">
        <v>29</v>
      </c>
      <c r="K161">
        <v>9512</v>
      </c>
      <c r="L161" t="s">
        <v>5884</v>
      </c>
      <c r="M161" s="1">
        <v>41239</v>
      </c>
      <c r="O161" t="s">
        <v>36</v>
      </c>
      <c r="P161" t="s">
        <v>37</v>
      </c>
      <c r="Q161" t="s">
        <v>39</v>
      </c>
      <c r="R161" t="s">
        <v>40</v>
      </c>
      <c r="S161">
        <v>0</v>
      </c>
      <c r="U161" t="s">
        <v>5550</v>
      </c>
      <c r="V161" t="s">
        <v>1797</v>
      </c>
      <c r="X161" t="s">
        <v>74</v>
      </c>
      <c r="Y161" t="b">
        <v>0</v>
      </c>
      <c r="Z161" t="b">
        <v>0</v>
      </c>
      <c r="AC161" s="1"/>
      <c r="AF161">
        <v>0</v>
      </c>
      <c r="AG161">
        <v>45</v>
      </c>
      <c r="AH161">
        <v>74</v>
      </c>
      <c r="AI161" s="2">
        <f>Table__192.168.3.138DYLGSMetaData[[#This Row],[NetAmount]]-Table__192.168.3.138DYLGSMetaData[[#This Row],[Paid]]</f>
        <v>9512</v>
      </c>
    </row>
    <row r="162" spans="1:35" hidden="1">
      <c r="A162" t="s">
        <v>5523</v>
      </c>
      <c r="B162" t="s">
        <v>5524</v>
      </c>
      <c r="C162" t="s">
        <v>5885</v>
      </c>
      <c r="D162" s="1">
        <v>41232</v>
      </c>
      <c r="E162" s="1">
        <v>41277</v>
      </c>
      <c r="F162">
        <v>22500</v>
      </c>
      <c r="G162">
        <v>3600</v>
      </c>
      <c r="H162">
        <v>0</v>
      </c>
      <c r="I162">
        <v>0</v>
      </c>
      <c r="J162">
        <v>36</v>
      </c>
      <c r="K162">
        <v>26100</v>
      </c>
      <c r="L162" t="s">
        <v>5886</v>
      </c>
      <c r="M162" s="1">
        <v>41232</v>
      </c>
      <c r="O162" t="s">
        <v>36</v>
      </c>
      <c r="P162" t="s">
        <v>37</v>
      </c>
      <c r="Q162" t="s">
        <v>39</v>
      </c>
      <c r="R162" t="s">
        <v>40</v>
      </c>
      <c r="S162">
        <v>0</v>
      </c>
      <c r="U162" t="s">
        <v>5550</v>
      </c>
      <c r="V162" t="s">
        <v>1797</v>
      </c>
      <c r="X162" t="s">
        <v>74</v>
      </c>
      <c r="Y162" t="b">
        <v>0</v>
      </c>
      <c r="Z162" t="b">
        <v>0</v>
      </c>
      <c r="AC162" s="1"/>
      <c r="AF162">
        <v>0</v>
      </c>
      <c r="AG162">
        <v>45</v>
      </c>
      <c r="AH162">
        <v>81</v>
      </c>
      <c r="AI162" s="2">
        <f>Table__192.168.3.138DYLGSMetaData[[#This Row],[NetAmount]]-Table__192.168.3.138DYLGSMetaData[[#This Row],[Paid]]</f>
        <v>26100</v>
      </c>
    </row>
    <row r="163" spans="1:35" hidden="1">
      <c r="A163" t="s">
        <v>5521</v>
      </c>
      <c r="B163" t="s">
        <v>5522</v>
      </c>
      <c r="C163" t="s">
        <v>5887</v>
      </c>
      <c r="D163" s="1">
        <v>41232</v>
      </c>
      <c r="E163" s="1">
        <v>41277</v>
      </c>
      <c r="F163">
        <v>94500</v>
      </c>
      <c r="G163">
        <v>15120</v>
      </c>
      <c r="H163">
        <v>0</v>
      </c>
      <c r="I163">
        <v>0</v>
      </c>
      <c r="J163">
        <v>38</v>
      </c>
      <c r="K163">
        <v>109620</v>
      </c>
      <c r="L163" t="s">
        <v>5888</v>
      </c>
      <c r="M163" s="1">
        <v>41230</v>
      </c>
      <c r="O163" t="s">
        <v>36</v>
      </c>
      <c r="P163" t="s">
        <v>37</v>
      </c>
      <c r="Q163" t="s">
        <v>39</v>
      </c>
      <c r="R163" t="s">
        <v>40</v>
      </c>
      <c r="S163">
        <v>0</v>
      </c>
      <c r="U163" t="s">
        <v>5550</v>
      </c>
      <c r="V163" t="s">
        <v>1797</v>
      </c>
      <c r="X163" t="s">
        <v>74</v>
      </c>
      <c r="Y163" t="b">
        <v>0</v>
      </c>
      <c r="Z163" t="b">
        <v>0</v>
      </c>
      <c r="AC163" s="1"/>
      <c r="AF163">
        <v>0</v>
      </c>
      <c r="AG163">
        <v>45</v>
      </c>
      <c r="AH163">
        <v>83</v>
      </c>
      <c r="AI163" s="2">
        <f>Table__192.168.3.138DYLGSMetaData[[#This Row],[NetAmount]]-Table__192.168.3.138DYLGSMetaData[[#This Row],[Paid]]</f>
        <v>109620</v>
      </c>
    </row>
    <row r="164" spans="1:35" hidden="1">
      <c r="A164" t="s">
        <v>5521</v>
      </c>
      <c r="B164" t="s">
        <v>5522</v>
      </c>
      <c r="C164" t="s">
        <v>5889</v>
      </c>
      <c r="D164" s="1">
        <v>41232</v>
      </c>
      <c r="E164" s="1">
        <v>41277</v>
      </c>
      <c r="F164">
        <v>30600</v>
      </c>
      <c r="G164">
        <v>4896</v>
      </c>
      <c r="H164">
        <v>0</v>
      </c>
      <c r="I164">
        <v>0</v>
      </c>
      <c r="J164">
        <v>35</v>
      </c>
      <c r="K164">
        <v>35496</v>
      </c>
      <c r="L164" t="s">
        <v>5890</v>
      </c>
      <c r="M164" s="1">
        <v>41233</v>
      </c>
      <c r="O164" t="s">
        <v>36</v>
      </c>
      <c r="P164" t="s">
        <v>37</v>
      </c>
      <c r="Q164" t="s">
        <v>39</v>
      </c>
      <c r="R164" t="s">
        <v>40</v>
      </c>
      <c r="S164">
        <v>0</v>
      </c>
      <c r="U164" t="s">
        <v>5550</v>
      </c>
      <c r="V164" t="s">
        <v>1797</v>
      </c>
      <c r="X164" t="s">
        <v>74</v>
      </c>
      <c r="Y164" t="b">
        <v>0</v>
      </c>
      <c r="Z164" t="b">
        <v>0</v>
      </c>
      <c r="AC164" s="1"/>
      <c r="AF164">
        <v>0</v>
      </c>
      <c r="AG164">
        <v>45</v>
      </c>
      <c r="AH164">
        <v>80</v>
      </c>
      <c r="AI164" s="2">
        <f>Table__192.168.3.138DYLGSMetaData[[#This Row],[NetAmount]]-Table__192.168.3.138DYLGSMetaData[[#This Row],[Paid]]</f>
        <v>35496</v>
      </c>
    </row>
    <row r="165" spans="1:35" hidden="1">
      <c r="A165" t="s">
        <v>5521</v>
      </c>
      <c r="B165" t="s">
        <v>5522</v>
      </c>
      <c r="C165" t="s">
        <v>5891</v>
      </c>
      <c r="D165" s="1">
        <v>41233</v>
      </c>
      <c r="E165" s="1">
        <v>41278</v>
      </c>
      <c r="F165">
        <v>71700</v>
      </c>
      <c r="G165">
        <v>11472</v>
      </c>
      <c r="H165">
        <v>0</v>
      </c>
      <c r="I165">
        <v>0</v>
      </c>
      <c r="J165">
        <v>35</v>
      </c>
      <c r="K165">
        <v>83172</v>
      </c>
      <c r="L165" t="s">
        <v>5892</v>
      </c>
      <c r="M165" s="1">
        <v>41233</v>
      </c>
      <c r="O165" t="s">
        <v>36</v>
      </c>
      <c r="P165" t="s">
        <v>37</v>
      </c>
      <c r="Q165" t="s">
        <v>39</v>
      </c>
      <c r="R165" t="s">
        <v>40</v>
      </c>
      <c r="S165">
        <v>0</v>
      </c>
      <c r="U165" t="s">
        <v>5550</v>
      </c>
      <c r="V165" t="s">
        <v>1797</v>
      </c>
      <c r="X165" t="s">
        <v>74</v>
      </c>
      <c r="Y165" t="b">
        <v>0</v>
      </c>
      <c r="Z165" t="b">
        <v>0</v>
      </c>
      <c r="AC165" s="1"/>
      <c r="AF165">
        <v>0</v>
      </c>
      <c r="AG165">
        <v>45</v>
      </c>
      <c r="AH165">
        <v>80</v>
      </c>
      <c r="AI165" s="2">
        <f>Table__192.168.3.138DYLGSMetaData[[#This Row],[NetAmount]]-Table__192.168.3.138DYLGSMetaData[[#This Row],[Paid]]</f>
        <v>83172</v>
      </c>
    </row>
    <row r="166" spans="1:35" hidden="1">
      <c r="A166" t="s">
        <v>5521</v>
      </c>
      <c r="B166" t="s">
        <v>5522</v>
      </c>
      <c r="C166" t="s">
        <v>5893</v>
      </c>
      <c r="D166" s="1">
        <v>41228</v>
      </c>
      <c r="E166" s="1">
        <v>41273</v>
      </c>
      <c r="F166">
        <v>76600</v>
      </c>
      <c r="G166">
        <v>12256</v>
      </c>
      <c r="H166">
        <v>0</v>
      </c>
      <c r="I166">
        <v>0</v>
      </c>
      <c r="J166">
        <v>40</v>
      </c>
      <c r="K166">
        <v>88856</v>
      </c>
      <c r="L166" t="s">
        <v>5894</v>
      </c>
      <c r="M166" s="1">
        <v>41228</v>
      </c>
      <c r="O166" t="s">
        <v>36</v>
      </c>
      <c r="P166" t="s">
        <v>37</v>
      </c>
      <c r="Q166" t="s">
        <v>39</v>
      </c>
      <c r="R166" t="s">
        <v>40</v>
      </c>
      <c r="S166">
        <v>0</v>
      </c>
      <c r="U166" t="s">
        <v>5550</v>
      </c>
      <c r="V166" t="s">
        <v>1797</v>
      </c>
      <c r="X166" t="s">
        <v>74</v>
      </c>
      <c r="Y166" t="b">
        <v>0</v>
      </c>
      <c r="Z166" t="b">
        <v>0</v>
      </c>
      <c r="AC166" s="1"/>
      <c r="AF166">
        <v>0</v>
      </c>
      <c r="AG166">
        <v>45</v>
      </c>
      <c r="AH166">
        <v>85</v>
      </c>
      <c r="AI166" s="2">
        <f>Table__192.168.3.138DYLGSMetaData[[#This Row],[NetAmount]]-Table__192.168.3.138DYLGSMetaData[[#This Row],[Paid]]</f>
        <v>88856</v>
      </c>
    </row>
    <row r="167" spans="1:35" hidden="1">
      <c r="A167" t="s">
        <v>5521</v>
      </c>
      <c r="B167" t="s">
        <v>5522</v>
      </c>
      <c r="C167" t="s">
        <v>5895</v>
      </c>
      <c r="D167" s="1">
        <v>41235</v>
      </c>
      <c r="E167" s="1">
        <v>41280</v>
      </c>
      <c r="F167">
        <v>15320</v>
      </c>
      <c r="G167">
        <v>2451</v>
      </c>
      <c r="H167">
        <v>0</v>
      </c>
      <c r="I167">
        <v>0</v>
      </c>
      <c r="J167">
        <v>32</v>
      </c>
      <c r="K167">
        <v>17771</v>
      </c>
      <c r="L167" t="s">
        <v>5896</v>
      </c>
      <c r="M167" s="1">
        <v>41236</v>
      </c>
      <c r="O167" t="s">
        <v>36</v>
      </c>
      <c r="P167" t="s">
        <v>37</v>
      </c>
      <c r="Q167" t="s">
        <v>39</v>
      </c>
      <c r="R167" t="s">
        <v>40</v>
      </c>
      <c r="S167">
        <v>0</v>
      </c>
      <c r="U167" t="s">
        <v>5550</v>
      </c>
      <c r="V167" t="s">
        <v>1797</v>
      </c>
      <c r="X167" t="s">
        <v>74</v>
      </c>
      <c r="Y167" t="b">
        <v>0</v>
      </c>
      <c r="Z167" t="b">
        <v>0</v>
      </c>
      <c r="AC167" s="1"/>
      <c r="AF167">
        <v>0</v>
      </c>
      <c r="AG167">
        <v>45</v>
      </c>
      <c r="AH167">
        <v>77</v>
      </c>
      <c r="AI167" s="2">
        <f>Table__192.168.3.138DYLGSMetaData[[#This Row],[NetAmount]]-Table__192.168.3.138DYLGSMetaData[[#This Row],[Paid]]</f>
        <v>17771</v>
      </c>
    </row>
    <row r="168" spans="1:35" hidden="1">
      <c r="A168" t="s">
        <v>5509</v>
      </c>
      <c r="B168" t="s">
        <v>5510</v>
      </c>
      <c r="C168" t="s">
        <v>5897</v>
      </c>
      <c r="D168" s="1">
        <v>41235</v>
      </c>
      <c r="E168" s="1">
        <v>41280</v>
      </c>
      <c r="F168">
        <v>84482</v>
      </c>
      <c r="G168">
        <v>13421</v>
      </c>
      <c r="H168">
        <v>600</v>
      </c>
      <c r="I168">
        <v>0</v>
      </c>
      <c r="J168">
        <v>32</v>
      </c>
      <c r="K168">
        <v>97303</v>
      </c>
      <c r="L168" t="s">
        <v>5898</v>
      </c>
      <c r="M168" s="1">
        <v>41236</v>
      </c>
      <c r="O168" t="s">
        <v>36</v>
      </c>
      <c r="P168" t="s">
        <v>37</v>
      </c>
      <c r="Q168" t="s">
        <v>39</v>
      </c>
      <c r="R168" t="s">
        <v>40</v>
      </c>
      <c r="S168">
        <v>0</v>
      </c>
      <c r="U168" t="s">
        <v>5550</v>
      </c>
      <c r="V168" t="s">
        <v>1797</v>
      </c>
      <c r="X168" t="s">
        <v>74</v>
      </c>
      <c r="Y168" t="b">
        <v>0</v>
      </c>
      <c r="Z168" t="b">
        <v>0</v>
      </c>
      <c r="AC168" s="1"/>
      <c r="AF168">
        <v>0</v>
      </c>
      <c r="AG168">
        <v>45</v>
      </c>
      <c r="AH168">
        <v>77</v>
      </c>
      <c r="AI168" s="2">
        <f>Table__192.168.3.138DYLGSMetaData[[#This Row],[NetAmount]]-Table__192.168.3.138DYLGSMetaData[[#This Row],[Paid]]</f>
        <v>97303</v>
      </c>
    </row>
    <row r="169" spans="1:35" hidden="1">
      <c r="A169" t="s">
        <v>5461</v>
      </c>
      <c r="B169" t="s">
        <v>5462</v>
      </c>
      <c r="C169" t="s">
        <v>5899</v>
      </c>
      <c r="D169" s="1">
        <v>41221</v>
      </c>
      <c r="E169" s="1">
        <v>41266</v>
      </c>
      <c r="F169">
        <v>146000</v>
      </c>
      <c r="G169">
        <v>23360</v>
      </c>
      <c r="H169">
        <v>0</v>
      </c>
      <c r="I169">
        <v>0</v>
      </c>
      <c r="J169">
        <v>47</v>
      </c>
      <c r="K169">
        <v>169360</v>
      </c>
      <c r="L169" t="s">
        <v>5900</v>
      </c>
      <c r="M169" s="1">
        <v>41221</v>
      </c>
      <c r="O169" t="s">
        <v>36</v>
      </c>
      <c r="P169" t="s">
        <v>37</v>
      </c>
      <c r="Q169" t="s">
        <v>39</v>
      </c>
      <c r="R169" t="s">
        <v>40</v>
      </c>
      <c r="S169">
        <v>0</v>
      </c>
      <c r="U169" t="s">
        <v>5550</v>
      </c>
      <c r="V169" t="s">
        <v>1797</v>
      </c>
      <c r="X169" t="s">
        <v>74</v>
      </c>
      <c r="Y169" t="b">
        <v>0</v>
      </c>
      <c r="Z169" t="b">
        <v>0</v>
      </c>
      <c r="AC169" s="1"/>
      <c r="AF169">
        <v>0</v>
      </c>
      <c r="AG169">
        <v>45</v>
      </c>
      <c r="AH169">
        <v>92</v>
      </c>
      <c r="AI169" s="2">
        <f>Table__192.168.3.138DYLGSMetaData[[#This Row],[NetAmount]]-Table__192.168.3.138DYLGSMetaData[[#This Row],[Paid]]</f>
        <v>169360</v>
      </c>
    </row>
    <row r="170" spans="1:35" hidden="1">
      <c r="A170" t="s">
        <v>5461</v>
      </c>
      <c r="B170" t="s">
        <v>5462</v>
      </c>
      <c r="C170" t="s">
        <v>5901</v>
      </c>
      <c r="D170" s="1">
        <v>41221</v>
      </c>
      <c r="E170" s="1">
        <v>41266</v>
      </c>
      <c r="F170">
        <v>62000</v>
      </c>
      <c r="G170">
        <v>9920</v>
      </c>
      <c r="H170">
        <v>0</v>
      </c>
      <c r="I170">
        <v>0</v>
      </c>
      <c r="J170">
        <v>47</v>
      </c>
      <c r="K170">
        <v>71920</v>
      </c>
      <c r="L170" t="s">
        <v>5902</v>
      </c>
      <c r="M170" s="1">
        <v>41221</v>
      </c>
      <c r="O170" t="s">
        <v>36</v>
      </c>
      <c r="P170" t="s">
        <v>37</v>
      </c>
      <c r="Q170" t="s">
        <v>39</v>
      </c>
      <c r="R170" t="s">
        <v>40</v>
      </c>
      <c r="S170">
        <v>0</v>
      </c>
      <c r="U170" t="s">
        <v>5550</v>
      </c>
      <c r="V170" t="s">
        <v>1797</v>
      </c>
      <c r="X170" t="s">
        <v>74</v>
      </c>
      <c r="Y170" t="b">
        <v>0</v>
      </c>
      <c r="Z170" t="b">
        <v>0</v>
      </c>
      <c r="AC170" s="1"/>
      <c r="AF170">
        <v>0</v>
      </c>
      <c r="AG170">
        <v>45</v>
      </c>
      <c r="AH170">
        <v>92</v>
      </c>
      <c r="AI170" s="2">
        <f>Table__192.168.3.138DYLGSMetaData[[#This Row],[NetAmount]]-Table__192.168.3.138DYLGSMetaData[[#This Row],[Paid]]</f>
        <v>71920</v>
      </c>
    </row>
    <row r="171" spans="1:35" hidden="1">
      <c r="A171" t="s">
        <v>5491</v>
      </c>
      <c r="B171" t="s">
        <v>5492</v>
      </c>
      <c r="C171" t="s">
        <v>5903</v>
      </c>
      <c r="D171" s="1">
        <v>41232</v>
      </c>
      <c r="E171" s="1">
        <v>41277</v>
      </c>
      <c r="F171">
        <v>3060</v>
      </c>
      <c r="G171">
        <v>489</v>
      </c>
      <c r="H171">
        <v>0</v>
      </c>
      <c r="I171">
        <v>0</v>
      </c>
      <c r="J171">
        <v>36</v>
      </c>
      <c r="K171">
        <v>3549</v>
      </c>
      <c r="L171" t="s">
        <v>4589</v>
      </c>
      <c r="M171" s="1">
        <v>41232</v>
      </c>
      <c r="O171" t="s">
        <v>36</v>
      </c>
      <c r="P171" t="s">
        <v>37</v>
      </c>
      <c r="Q171" t="s">
        <v>39</v>
      </c>
      <c r="R171" t="s">
        <v>40</v>
      </c>
      <c r="S171">
        <v>0</v>
      </c>
      <c r="U171" t="s">
        <v>5550</v>
      </c>
      <c r="V171" t="s">
        <v>1797</v>
      </c>
      <c r="X171" t="s">
        <v>74</v>
      </c>
      <c r="Y171" t="b">
        <v>0</v>
      </c>
      <c r="Z171" t="b">
        <v>0</v>
      </c>
      <c r="AC171" s="1"/>
      <c r="AF171">
        <v>0</v>
      </c>
      <c r="AG171">
        <v>45</v>
      </c>
      <c r="AH171">
        <v>81</v>
      </c>
      <c r="AI171" s="2">
        <f>Table__192.168.3.138DYLGSMetaData[[#This Row],[NetAmount]]-Table__192.168.3.138DYLGSMetaData[[#This Row],[Paid]]</f>
        <v>3549</v>
      </c>
    </row>
    <row r="172" spans="1:35" hidden="1">
      <c r="A172" t="s">
        <v>5513</v>
      </c>
      <c r="B172" t="s">
        <v>5514</v>
      </c>
      <c r="C172" t="s">
        <v>5904</v>
      </c>
      <c r="D172" s="1">
        <v>41241</v>
      </c>
      <c r="E172" s="1">
        <v>41286</v>
      </c>
      <c r="F172">
        <v>2400</v>
      </c>
      <c r="G172">
        <v>0</v>
      </c>
      <c r="H172">
        <v>0</v>
      </c>
      <c r="I172">
        <v>0</v>
      </c>
      <c r="J172">
        <v>50</v>
      </c>
      <c r="K172">
        <v>2400</v>
      </c>
      <c r="L172" t="s">
        <v>2366</v>
      </c>
      <c r="M172" s="1">
        <v>41218</v>
      </c>
      <c r="O172" t="s">
        <v>36</v>
      </c>
      <c r="P172" t="s">
        <v>37</v>
      </c>
      <c r="Q172" t="s">
        <v>39</v>
      </c>
      <c r="R172" t="s">
        <v>40</v>
      </c>
      <c r="S172">
        <v>0</v>
      </c>
      <c r="U172" t="s">
        <v>5550</v>
      </c>
      <c r="V172" t="s">
        <v>1797</v>
      </c>
      <c r="X172" t="s">
        <v>74</v>
      </c>
      <c r="Y172" t="b">
        <v>0</v>
      </c>
      <c r="Z172" t="b">
        <v>0</v>
      </c>
      <c r="AC172" s="1"/>
      <c r="AF172">
        <v>0</v>
      </c>
      <c r="AG172">
        <v>45</v>
      </c>
      <c r="AH172">
        <v>95</v>
      </c>
      <c r="AI172" s="2">
        <f>Table__192.168.3.138DYLGSMetaData[[#This Row],[NetAmount]]-Table__192.168.3.138DYLGSMetaData[[#This Row],[Paid]]</f>
        <v>2400</v>
      </c>
    </row>
    <row r="173" spans="1:35" hidden="1">
      <c r="A173" t="s">
        <v>5461</v>
      </c>
      <c r="B173" t="s">
        <v>5462</v>
      </c>
      <c r="C173" t="s">
        <v>5905</v>
      </c>
      <c r="D173" s="1">
        <v>41227</v>
      </c>
      <c r="E173" s="1">
        <v>41272</v>
      </c>
      <c r="F173">
        <v>150600</v>
      </c>
      <c r="G173">
        <v>24096</v>
      </c>
      <c r="H173">
        <v>0</v>
      </c>
      <c r="I173">
        <v>0</v>
      </c>
      <c r="J173">
        <v>41</v>
      </c>
      <c r="K173">
        <v>174696</v>
      </c>
      <c r="L173" t="s">
        <v>5906</v>
      </c>
      <c r="M173" s="1">
        <v>41227</v>
      </c>
      <c r="O173" t="s">
        <v>36</v>
      </c>
      <c r="P173" t="s">
        <v>37</v>
      </c>
      <c r="Q173" t="s">
        <v>39</v>
      </c>
      <c r="R173" t="s">
        <v>40</v>
      </c>
      <c r="S173">
        <v>0</v>
      </c>
      <c r="U173" t="s">
        <v>5550</v>
      </c>
      <c r="V173" t="s">
        <v>1797</v>
      </c>
      <c r="X173" t="s">
        <v>74</v>
      </c>
      <c r="Y173" t="b">
        <v>0</v>
      </c>
      <c r="Z173" t="b">
        <v>0</v>
      </c>
      <c r="AC173" s="1"/>
      <c r="AF173">
        <v>0</v>
      </c>
      <c r="AG173">
        <v>45</v>
      </c>
      <c r="AH173">
        <v>86</v>
      </c>
      <c r="AI173" s="2">
        <f>Table__192.168.3.138DYLGSMetaData[[#This Row],[NetAmount]]-Table__192.168.3.138DYLGSMetaData[[#This Row],[Paid]]</f>
        <v>174696</v>
      </c>
    </row>
    <row r="174" spans="1:35" hidden="1">
      <c r="A174" t="s">
        <v>5461</v>
      </c>
      <c r="B174" t="s">
        <v>5462</v>
      </c>
      <c r="C174" t="s">
        <v>5907</v>
      </c>
      <c r="D174" s="1">
        <v>41221</v>
      </c>
      <c r="E174" s="1">
        <v>41266</v>
      </c>
      <c r="F174">
        <v>35000</v>
      </c>
      <c r="G174">
        <v>5600</v>
      </c>
      <c r="H174">
        <v>0</v>
      </c>
      <c r="I174">
        <v>0</v>
      </c>
      <c r="J174">
        <v>47</v>
      </c>
      <c r="K174">
        <v>40600</v>
      </c>
      <c r="L174" t="s">
        <v>5908</v>
      </c>
      <c r="M174" s="1">
        <v>41221</v>
      </c>
      <c r="O174" t="s">
        <v>36</v>
      </c>
      <c r="P174" t="s">
        <v>37</v>
      </c>
      <c r="Q174" t="s">
        <v>39</v>
      </c>
      <c r="R174" t="s">
        <v>40</v>
      </c>
      <c r="S174">
        <v>0</v>
      </c>
      <c r="U174" t="s">
        <v>5550</v>
      </c>
      <c r="V174" t="s">
        <v>1797</v>
      </c>
      <c r="X174" t="s">
        <v>74</v>
      </c>
      <c r="Y174" t="b">
        <v>0</v>
      </c>
      <c r="Z174" t="b">
        <v>0</v>
      </c>
      <c r="AC174" s="1"/>
      <c r="AF174">
        <v>0</v>
      </c>
      <c r="AG174">
        <v>45</v>
      </c>
      <c r="AH174">
        <v>92</v>
      </c>
      <c r="AI174" s="2">
        <f>Table__192.168.3.138DYLGSMetaData[[#This Row],[NetAmount]]-Table__192.168.3.138DYLGSMetaData[[#This Row],[Paid]]</f>
        <v>40600</v>
      </c>
    </row>
    <row r="175" spans="1:35" hidden="1">
      <c r="A175" t="s">
        <v>5461</v>
      </c>
      <c r="B175" t="s">
        <v>5462</v>
      </c>
      <c r="C175" t="s">
        <v>5909</v>
      </c>
      <c r="D175" s="1">
        <v>41221</v>
      </c>
      <c r="E175" s="1">
        <v>41266</v>
      </c>
      <c r="F175">
        <v>28000</v>
      </c>
      <c r="G175">
        <v>4480</v>
      </c>
      <c r="H175">
        <v>0</v>
      </c>
      <c r="I175">
        <v>0</v>
      </c>
      <c r="J175">
        <v>47</v>
      </c>
      <c r="K175">
        <v>32480</v>
      </c>
      <c r="L175" t="s">
        <v>5910</v>
      </c>
      <c r="M175" s="1">
        <v>41221</v>
      </c>
      <c r="O175" t="s">
        <v>36</v>
      </c>
      <c r="P175" t="s">
        <v>37</v>
      </c>
      <c r="Q175" t="s">
        <v>39</v>
      </c>
      <c r="R175" t="s">
        <v>40</v>
      </c>
      <c r="S175">
        <v>0</v>
      </c>
      <c r="U175" t="s">
        <v>5550</v>
      </c>
      <c r="V175" t="s">
        <v>1797</v>
      </c>
      <c r="X175" t="s">
        <v>74</v>
      </c>
      <c r="Y175" t="b">
        <v>0</v>
      </c>
      <c r="Z175" t="b">
        <v>0</v>
      </c>
      <c r="AC175" s="1"/>
      <c r="AF175">
        <v>0</v>
      </c>
      <c r="AG175">
        <v>45</v>
      </c>
      <c r="AH175">
        <v>92</v>
      </c>
      <c r="AI175" s="2">
        <f>Table__192.168.3.138DYLGSMetaData[[#This Row],[NetAmount]]-Table__192.168.3.138DYLGSMetaData[[#This Row],[Paid]]</f>
        <v>32480</v>
      </c>
    </row>
    <row r="176" spans="1:35" hidden="1">
      <c r="A176" t="s">
        <v>5477</v>
      </c>
      <c r="B176" t="s">
        <v>5478</v>
      </c>
      <c r="C176" t="s">
        <v>5911</v>
      </c>
      <c r="D176" s="1">
        <v>41232</v>
      </c>
      <c r="E176" s="1">
        <v>41277</v>
      </c>
      <c r="F176">
        <v>1060</v>
      </c>
      <c r="G176">
        <v>170</v>
      </c>
      <c r="H176">
        <v>0</v>
      </c>
      <c r="I176">
        <v>0</v>
      </c>
      <c r="J176">
        <v>28</v>
      </c>
      <c r="K176">
        <v>1230</v>
      </c>
      <c r="L176" t="s">
        <v>5912</v>
      </c>
      <c r="M176" s="1">
        <v>41240</v>
      </c>
      <c r="O176" t="s">
        <v>36</v>
      </c>
      <c r="P176" t="s">
        <v>37</v>
      </c>
      <c r="Q176" t="s">
        <v>39</v>
      </c>
      <c r="R176" t="s">
        <v>40</v>
      </c>
      <c r="S176">
        <v>0</v>
      </c>
      <c r="U176" t="s">
        <v>5550</v>
      </c>
      <c r="V176" t="s">
        <v>1797</v>
      </c>
      <c r="X176" t="s">
        <v>74</v>
      </c>
      <c r="Y176" t="b">
        <v>0</v>
      </c>
      <c r="Z176" t="b">
        <v>0</v>
      </c>
      <c r="AC176" s="1"/>
      <c r="AF176">
        <v>0</v>
      </c>
      <c r="AG176">
        <v>45</v>
      </c>
      <c r="AH176">
        <v>73</v>
      </c>
      <c r="AI176" s="2">
        <f>Table__192.168.3.138DYLGSMetaData[[#This Row],[NetAmount]]-Table__192.168.3.138DYLGSMetaData[[#This Row],[Paid]]</f>
        <v>1230</v>
      </c>
    </row>
    <row r="177" spans="1:35" hidden="1">
      <c r="A177" t="s">
        <v>5479</v>
      </c>
      <c r="B177" t="s">
        <v>5480</v>
      </c>
      <c r="C177" t="s">
        <v>5913</v>
      </c>
      <c r="D177" s="1">
        <v>41183</v>
      </c>
      <c r="E177" s="1">
        <v>41228</v>
      </c>
      <c r="F177">
        <v>70000</v>
      </c>
      <c r="G177">
        <v>0</v>
      </c>
      <c r="H177">
        <v>0</v>
      </c>
      <c r="I177">
        <v>0</v>
      </c>
      <c r="J177">
        <v>91</v>
      </c>
      <c r="K177">
        <v>70000</v>
      </c>
      <c r="L177" t="s">
        <v>5914</v>
      </c>
      <c r="M177" s="1">
        <v>41177</v>
      </c>
      <c r="O177" t="s">
        <v>36</v>
      </c>
      <c r="P177" t="s">
        <v>37</v>
      </c>
      <c r="Q177" t="s">
        <v>39</v>
      </c>
      <c r="R177" t="s">
        <v>40</v>
      </c>
      <c r="S177">
        <v>0</v>
      </c>
      <c r="U177" t="s">
        <v>5550</v>
      </c>
      <c r="V177" t="s">
        <v>1797</v>
      </c>
      <c r="X177" t="s">
        <v>74</v>
      </c>
      <c r="Y177" t="b">
        <v>0</v>
      </c>
      <c r="Z177" t="b">
        <v>0</v>
      </c>
      <c r="AC177" s="1"/>
      <c r="AF177">
        <v>0</v>
      </c>
      <c r="AG177">
        <v>45</v>
      </c>
      <c r="AH177">
        <v>136</v>
      </c>
      <c r="AI177" s="2">
        <f>Table__192.168.3.138DYLGSMetaData[[#This Row],[NetAmount]]-Table__192.168.3.138DYLGSMetaData[[#This Row],[Paid]]</f>
        <v>70000</v>
      </c>
    </row>
    <row r="178" spans="1:35" hidden="1">
      <c r="A178" t="s">
        <v>5461</v>
      </c>
      <c r="B178" t="s">
        <v>5462</v>
      </c>
      <c r="C178" t="s">
        <v>5915</v>
      </c>
      <c r="D178" s="1">
        <v>41243</v>
      </c>
      <c r="E178" s="1">
        <v>41288</v>
      </c>
      <c r="F178">
        <v>31000</v>
      </c>
      <c r="G178">
        <v>4960</v>
      </c>
      <c r="H178">
        <v>0</v>
      </c>
      <c r="I178">
        <v>0</v>
      </c>
      <c r="J178">
        <v>25</v>
      </c>
      <c r="K178">
        <v>35960</v>
      </c>
      <c r="L178" t="s">
        <v>5916</v>
      </c>
      <c r="M178" s="1">
        <v>41243</v>
      </c>
      <c r="O178" t="s">
        <v>36</v>
      </c>
      <c r="P178" t="s">
        <v>37</v>
      </c>
      <c r="Q178" t="s">
        <v>39</v>
      </c>
      <c r="R178" t="s">
        <v>40</v>
      </c>
      <c r="S178">
        <v>0</v>
      </c>
      <c r="U178" t="s">
        <v>5550</v>
      </c>
      <c r="V178" t="s">
        <v>1797</v>
      </c>
      <c r="X178" t="s">
        <v>74</v>
      </c>
      <c r="Y178" t="b">
        <v>0</v>
      </c>
      <c r="Z178" t="b">
        <v>0</v>
      </c>
      <c r="AC178" s="1"/>
      <c r="AF178">
        <v>0</v>
      </c>
      <c r="AG178">
        <v>45</v>
      </c>
      <c r="AH178">
        <v>70</v>
      </c>
      <c r="AI178" s="2">
        <f>Table__192.168.3.138DYLGSMetaData[[#This Row],[NetAmount]]-Table__192.168.3.138DYLGSMetaData[[#This Row],[Paid]]</f>
        <v>35960</v>
      </c>
    </row>
    <row r="179" spans="1:35" hidden="1">
      <c r="A179" t="s">
        <v>5461</v>
      </c>
      <c r="B179" t="s">
        <v>5462</v>
      </c>
      <c r="C179" t="s">
        <v>5917</v>
      </c>
      <c r="D179" s="1">
        <v>41243</v>
      </c>
      <c r="E179" s="1">
        <v>41288</v>
      </c>
      <c r="F179">
        <v>50000</v>
      </c>
      <c r="G179">
        <v>8000</v>
      </c>
      <c r="H179">
        <v>0</v>
      </c>
      <c r="I179">
        <v>0</v>
      </c>
      <c r="J179">
        <v>25</v>
      </c>
      <c r="K179">
        <v>58000</v>
      </c>
      <c r="L179" t="s">
        <v>5918</v>
      </c>
      <c r="M179" s="1">
        <v>41243</v>
      </c>
      <c r="O179" t="s">
        <v>36</v>
      </c>
      <c r="P179" t="s">
        <v>37</v>
      </c>
      <c r="Q179" t="s">
        <v>39</v>
      </c>
      <c r="R179" t="s">
        <v>40</v>
      </c>
      <c r="S179">
        <v>0</v>
      </c>
      <c r="U179" t="s">
        <v>5550</v>
      </c>
      <c r="V179" t="s">
        <v>1797</v>
      </c>
      <c r="X179" t="s">
        <v>74</v>
      </c>
      <c r="Y179" t="b">
        <v>0</v>
      </c>
      <c r="Z179" t="b">
        <v>0</v>
      </c>
      <c r="AC179" s="1"/>
      <c r="AF179">
        <v>0</v>
      </c>
      <c r="AG179">
        <v>45</v>
      </c>
      <c r="AH179">
        <v>70</v>
      </c>
      <c r="AI179" s="2">
        <f>Table__192.168.3.138DYLGSMetaData[[#This Row],[NetAmount]]-Table__192.168.3.138DYLGSMetaData[[#This Row],[Paid]]</f>
        <v>58000</v>
      </c>
    </row>
    <row r="180" spans="1:35" hidden="1">
      <c r="A180" t="s">
        <v>5461</v>
      </c>
      <c r="B180" t="s">
        <v>5462</v>
      </c>
      <c r="C180" t="s">
        <v>5919</v>
      </c>
      <c r="D180" s="1">
        <v>41243</v>
      </c>
      <c r="E180" s="1">
        <v>41288</v>
      </c>
      <c r="F180">
        <v>142500</v>
      </c>
      <c r="G180">
        <v>22800</v>
      </c>
      <c r="H180">
        <v>0</v>
      </c>
      <c r="I180">
        <v>0</v>
      </c>
      <c r="J180">
        <v>25</v>
      </c>
      <c r="K180">
        <v>165300</v>
      </c>
      <c r="L180" t="s">
        <v>5920</v>
      </c>
      <c r="M180" s="1">
        <v>41243</v>
      </c>
      <c r="O180" t="s">
        <v>36</v>
      </c>
      <c r="P180" t="s">
        <v>37</v>
      </c>
      <c r="Q180" t="s">
        <v>39</v>
      </c>
      <c r="R180" t="s">
        <v>40</v>
      </c>
      <c r="S180">
        <v>0</v>
      </c>
      <c r="U180" t="s">
        <v>5550</v>
      </c>
      <c r="V180" t="s">
        <v>1797</v>
      </c>
      <c r="X180" t="s">
        <v>74</v>
      </c>
      <c r="Y180" t="b">
        <v>0</v>
      </c>
      <c r="Z180" t="b">
        <v>0</v>
      </c>
      <c r="AC180" s="1"/>
      <c r="AF180">
        <v>0</v>
      </c>
      <c r="AG180">
        <v>45</v>
      </c>
      <c r="AH180">
        <v>70</v>
      </c>
      <c r="AI180" s="2">
        <f>Table__192.168.3.138DYLGSMetaData[[#This Row],[NetAmount]]-Table__192.168.3.138DYLGSMetaData[[#This Row],[Paid]]</f>
        <v>165300</v>
      </c>
    </row>
    <row r="181" spans="1:35" hidden="1">
      <c r="A181" t="s">
        <v>5461</v>
      </c>
      <c r="B181" t="s">
        <v>5462</v>
      </c>
      <c r="C181" t="s">
        <v>5921</v>
      </c>
      <c r="D181" s="1">
        <v>41243</v>
      </c>
      <c r="E181" s="1">
        <v>41288</v>
      </c>
      <c r="F181">
        <v>80000</v>
      </c>
      <c r="G181">
        <v>12800</v>
      </c>
      <c r="H181">
        <v>0</v>
      </c>
      <c r="I181">
        <v>0</v>
      </c>
      <c r="J181">
        <v>25</v>
      </c>
      <c r="K181">
        <v>92800</v>
      </c>
      <c r="L181" t="s">
        <v>5922</v>
      </c>
      <c r="M181" s="1">
        <v>41243</v>
      </c>
      <c r="O181" t="s">
        <v>36</v>
      </c>
      <c r="P181" t="s">
        <v>37</v>
      </c>
      <c r="Q181" t="s">
        <v>39</v>
      </c>
      <c r="R181" t="s">
        <v>40</v>
      </c>
      <c r="S181">
        <v>0</v>
      </c>
      <c r="U181" t="s">
        <v>5550</v>
      </c>
      <c r="V181" t="s">
        <v>1797</v>
      </c>
      <c r="X181" t="s">
        <v>74</v>
      </c>
      <c r="Y181" t="b">
        <v>0</v>
      </c>
      <c r="Z181" t="b">
        <v>0</v>
      </c>
      <c r="AC181" s="1"/>
      <c r="AF181">
        <v>0</v>
      </c>
      <c r="AG181">
        <v>45</v>
      </c>
      <c r="AH181">
        <v>70</v>
      </c>
      <c r="AI181" s="2">
        <f>Table__192.168.3.138DYLGSMetaData[[#This Row],[NetAmount]]-Table__192.168.3.138DYLGSMetaData[[#This Row],[Paid]]</f>
        <v>92800</v>
      </c>
    </row>
    <row r="182" spans="1:35" hidden="1">
      <c r="A182" t="s">
        <v>5473</v>
      </c>
      <c r="B182" t="s">
        <v>5474</v>
      </c>
      <c r="C182" t="s">
        <v>5923</v>
      </c>
      <c r="D182" s="1">
        <v>41235</v>
      </c>
      <c r="E182" s="1">
        <v>41280</v>
      </c>
      <c r="F182">
        <v>45000</v>
      </c>
      <c r="G182">
        <v>7072</v>
      </c>
      <c r="H182">
        <v>800</v>
      </c>
      <c r="I182">
        <v>0</v>
      </c>
      <c r="J182">
        <v>40</v>
      </c>
      <c r="K182">
        <v>51272</v>
      </c>
      <c r="L182" t="s">
        <v>5924</v>
      </c>
      <c r="M182" s="1">
        <v>41228</v>
      </c>
      <c r="O182" t="s">
        <v>36</v>
      </c>
      <c r="P182" t="s">
        <v>37</v>
      </c>
      <c r="Q182" t="s">
        <v>39</v>
      </c>
      <c r="R182" t="s">
        <v>40</v>
      </c>
      <c r="S182">
        <v>0</v>
      </c>
      <c r="U182" t="s">
        <v>5550</v>
      </c>
      <c r="V182" t="s">
        <v>1797</v>
      </c>
      <c r="X182" t="s">
        <v>74</v>
      </c>
      <c r="Y182" t="b">
        <v>0</v>
      </c>
      <c r="Z182" t="b">
        <v>0</v>
      </c>
      <c r="AC182" s="1"/>
      <c r="AF182">
        <v>0</v>
      </c>
      <c r="AG182">
        <v>45</v>
      </c>
      <c r="AH182">
        <v>85</v>
      </c>
      <c r="AI182" s="2">
        <f>Table__192.168.3.138DYLGSMetaData[[#This Row],[NetAmount]]-Table__192.168.3.138DYLGSMetaData[[#This Row],[Paid]]</f>
        <v>51272</v>
      </c>
    </row>
    <row r="183" spans="1:35" hidden="1">
      <c r="A183" t="s">
        <v>5479</v>
      </c>
      <c r="B183" t="s">
        <v>5480</v>
      </c>
      <c r="C183" t="s">
        <v>5925</v>
      </c>
      <c r="D183" s="1">
        <v>41207</v>
      </c>
      <c r="E183" s="1">
        <v>41252</v>
      </c>
      <c r="F183">
        <v>70000</v>
      </c>
      <c r="G183">
        <v>0</v>
      </c>
      <c r="H183">
        <v>0</v>
      </c>
      <c r="I183">
        <v>0</v>
      </c>
      <c r="J183">
        <v>61</v>
      </c>
      <c r="K183">
        <v>70000</v>
      </c>
      <c r="L183" t="s">
        <v>5926</v>
      </c>
      <c r="M183" s="1">
        <v>41207</v>
      </c>
      <c r="O183" t="s">
        <v>36</v>
      </c>
      <c r="P183" t="s">
        <v>37</v>
      </c>
      <c r="Q183" t="s">
        <v>39</v>
      </c>
      <c r="R183" t="s">
        <v>40</v>
      </c>
      <c r="S183">
        <v>0</v>
      </c>
      <c r="U183" t="s">
        <v>5550</v>
      </c>
      <c r="V183" t="s">
        <v>1797</v>
      </c>
      <c r="X183" t="s">
        <v>74</v>
      </c>
      <c r="Y183" t="b">
        <v>0</v>
      </c>
      <c r="Z183" t="b">
        <v>0</v>
      </c>
      <c r="AC183" s="1"/>
      <c r="AF183">
        <v>0</v>
      </c>
      <c r="AG183">
        <v>45</v>
      </c>
      <c r="AH183">
        <v>106</v>
      </c>
      <c r="AI183" s="2">
        <f>Table__192.168.3.138DYLGSMetaData[[#This Row],[NetAmount]]-Table__192.168.3.138DYLGSMetaData[[#This Row],[Paid]]</f>
        <v>70000</v>
      </c>
    </row>
    <row r="184" spans="1:35" hidden="1">
      <c r="A184" t="s">
        <v>5459</v>
      </c>
      <c r="B184" t="s">
        <v>5460</v>
      </c>
      <c r="C184" t="s">
        <v>5927</v>
      </c>
      <c r="D184" s="1">
        <v>41228</v>
      </c>
      <c r="E184" s="1">
        <v>41273</v>
      </c>
      <c r="F184">
        <v>1750</v>
      </c>
      <c r="G184">
        <v>0</v>
      </c>
      <c r="H184">
        <v>0</v>
      </c>
      <c r="I184">
        <v>0</v>
      </c>
      <c r="J184">
        <v>41</v>
      </c>
      <c r="K184">
        <v>1750</v>
      </c>
      <c r="L184" t="s">
        <v>5928</v>
      </c>
      <c r="M184" s="1">
        <v>41227</v>
      </c>
      <c r="N184" t="s">
        <v>5929</v>
      </c>
      <c r="O184" t="s">
        <v>36</v>
      </c>
      <c r="P184" t="s">
        <v>37</v>
      </c>
      <c r="Q184" t="s">
        <v>39</v>
      </c>
      <c r="R184" t="s">
        <v>40</v>
      </c>
      <c r="S184">
        <v>0</v>
      </c>
      <c r="U184" t="s">
        <v>5550</v>
      </c>
      <c r="V184" t="s">
        <v>1797</v>
      </c>
      <c r="W184" t="s">
        <v>5930</v>
      </c>
      <c r="X184" t="s">
        <v>74</v>
      </c>
      <c r="Y184" t="b">
        <v>0</v>
      </c>
      <c r="Z184" t="b">
        <v>0</v>
      </c>
      <c r="AA184" t="b">
        <v>0</v>
      </c>
      <c r="AC184" s="1"/>
      <c r="AF184">
        <v>0</v>
      </c>
      <c r="AG184">
        <v>45</v>
      </c>
      <c r="AH184">
        <v>86</v>
      </c>
      <c r="AI184" s="2">
        <f>Table__192.168.3.138DYLGSMetaData[[#This Row],[NetAmount]]-Table__192.168.3.138DYLGSMetaData[[#This Row],[Paid]]</f>
        <v>1750</v>
      </c>
    </row>
    <row r="185" spans="1:35" hidden="1">
      <c r="A185" t="s">
        <v>5495</v>
      </c>
      <c r="B185" t="s">
        <v>5496</v>
      </c>
      <c r="C185" t="s">
        <v>5931</v>
      </c>
      <c r="D185" s="1">
        <v>41243</v>
      </c>
      <c r="E185" s="1">
        <v>41288</v>
      </c>
      <c r="F185">
        <v>17850</v>
      </c>
      <c r="G185">
        <v>2856</v>
      </c>
      <c r="H185">
        <v>0</v>
      </c>
      <c r="I185">
        <v>0</v>
      </c>
      <c r="J185">
        <v>35</v>
      </c>
      <c r="K185">
        <v>20706</v>
      </c>
      <c r="L185" t="s">
        <v>5932</v>
      </c>
      <c r="M185" s="1">
        <v>41233</v>
      </c>
      <c r="O185" t="s">
        <v>36</v>
      </c>
      <c r="P185" t="s">
        <v>37</v>
      </c>
      <c r="Q185" t="s">
        <v>39</v>
      </c>
      <c r="R185" t="s">
        <v>40</v>
      </c>
      <c r="S185">
        <v>0</v>
      </c>
      <c r="U185" t="s">
        <v>5550</v>
      </c>
      <c r="V185" t="s">
        <v>1797</v>
      </c>
      <c r="X185" t="s">
        <v>74</v>
      </c>
      <c r="Y185" t="b">
        <v>0</v>
      </c>
      <c r="Z185" t="b">
        <v>0</v>
      </c>
      <c r="AC185" s="1"/>
      <c r="AF185">
        <v>0</v>
      </c>
      <c r="AG185">
        <v>45</v>
      </c>
      <c r="AH185">
        <v>80</v>
      </c>
      <c r="AI185" s="2">
        <f>Table__192.168.3.138DYLGSMetaData[[#This Row],[NetAmount]]-Table__192.168.3.138DYLGSMetaData[[#This Row],[Paid]]</f>
        <v>20706</v>
      </c>
    </row>
    <row r="186" spans="1:35" hidden="1">
      <c r="A186" t="s">
        <v>5521</v>
      </c>
      <c r="B186" t="s">
        <v>5522</v>
      </c>
      <c r="C186" t="s">
        <v>5933</v>
      </c>
      <c r="D186" s="1">
        <v>41236</v>
      </c>
      <c r="E186" s="1">
        <v>41281</v>
      </c>
      <c r="F186">
        <v>110600</v>
      </c>
      <c r="G186">
        <v>17696</v>
      </c>
      <c r="H186">
        <v>0</v>
      </c>
      <c r="I186">
        <v>0</v>
      </c>
      <c r="J186">
        <v>32</v>
      </c>
      <c r="K186">
        <v>128296</v>
      </c>
      <c r="L186" t="s">
        <v>5934</v>
      </c>
      <c r="M186" s="1">
        <v>41236</v>
      </c>
      <c r="O186" t="s">
        <v>36</v>
      </c>
      <c r="P186" t="s">
        <v>37</v>
      </c>
      <c r="Q186" t="s">
        <v>39</v>
      </c>
      <c r="R186" t="s">
        <v>40</v>
      </c>
      <c r="S186">
        <v>0</v>
      </c>
      <c r="U186" t="s">
        <v>5550</v>
      </c>
      <c r="V186" t="s">
        <v>1797</v>
      </c>
      <c r="X186" t="s">
        <v>74</v>
      </c>
      <c r="Y186" t="b">
        <v>0</v>
      </c>
      <c r="Z186" t="b">
        <v>0</v>
      </c>
      <c r="AC186" s="1"/>
      <c r="AF186">
        <v>0</v>
      </c>
      <c r="AG186">
        <v>45</v>
      </c>
      <c r="AH186">
        <v>77</v>
      </c>
      <c r="AI186" s="2">
        <f>Table__192.168.3.138DYLGSMetaData[[#This Row],[NetAmount]]-Table__192.168.3.138DYLGSMetaData[[#This Row],[Paid]]</f>
        <v>128296</v>
      </c>
    </row>
    <row r="187" spans="1:35" hidden="1">
      <c r="A187" t="s">
        <v>5481</v>
      </c>
      <c r="B187" t="s">
        <v>5482</v>
      </c>
      <c r="C187" t="s">
        <v>5935</v>
      </c>
      <c r="D187" s="1">
        <v>41234</v>
      </c>
      <c r="E187" s="1">
        <v>41279</v>
      </c>
      <c r="F187">
        <v>76836</v>
      </c>
      <c r="G187">
        <v>0</v>
      </c>
      <c r="H187">
        <v>0</v>
      </c>
      <c r="I187">
        <v>0</v>
      </c>
      <c r="J187">
        <v>25</v>
      </c>
      <c r="K187">
        <v>76836</v>
      </c>
      <c r="L187" t="s">
        <v>5936</v>
      </c>
      <c r="M187" s="1">
        <v>41243</v>
      </c>
      <c r="O187" t="s">
        <v>36</v>
      </c>
      <c r="P187" t="s">
        <v>37</v>
      </c>
      <c r="Q187" t="s">
        <v>39</v>
      </c>
      <c r="R187" t="s">
        <v>40</v>
      </c>
      <c r="S187">
        <v>0</v>
      </c>
      <c r="U187" t="s">
        <v>5550</v>
      </c>
      <c r="V187" t="s">
        <v>1797</v>
      </c>
      <c r="X187" t="s">
        <v>74</v>
      </c>
      <c r="Y187" t="b">
        <v>0</v>
      </c>
      <c r="Z187" t="b">
        <v>0</v>
      </c>
      <c r="AC187" s="1"/>
      <c r="AF187">
        <v>0</v>
      </c>
      <c r="AG187">
        <v>45</v>
      </c>
      <c r="AH187">
        <v>70</v>
      </c>
      <c r="AI187" s="2">
        <f>Table__192.168.3.138DYLGSMetaData[[#This Row],[NetAmount]]-Table__192.168.3.138DYLGSMetaData[[#This Row],[Paid]]</f>
        <v>76836</v>
      </c>
    </row>
    <row r="188" spans="1:35" hidden="1">
      <c r="A188" t="s">
        <v>5481</v>
      </c>
      <c r="B188" t="s">
        <v>5482</v>
      </c>
      <c r="C188" t="s">
        <v>5937</v>
      </c>
      <c r="D188" s="1">
        <v>41243</v>
      </c>
      <c r="E188" s="1">
        <v>41288</v>
      </c>
      <c r="F188">
        <v>88800</v>
      </c>
      <c r="G188">
        <v>0</v>
      </c>
      <c r="H188">
        <v>0</v>
      </c>
      <c r="I188">
        <v>0</v>
      </c>
      <c r="J188">
        <v>25</v>
      </c>
      <c r="K188">
        <v>88800</v>
      </c>
      <c r="L188" t="s">
        <v>5936</v>
      </c>
      <c r="M188" s="1">
        <v>41243</v>
      </c>
      <c r="O188" t="s">
        <v>36</v>
      </c>
      <c r="P188" t="s">
        <v>37</v>
      </c>
      <c r="Q188" t="s">
        <v>39</v>
      </c>
      <c r="R188" t="s">
        <v>40</v>
      </c>
      <c r="S188">
        <v>0</v>
      </c>
      <c r="U188" t="s">
        <v>5550</v>
      </c>
      <c r="V188" t="s">
        <v>1797</v>
      </c>
      <c r="X188" t="s">
        <v>74</v>
      </c>
      <c r="Y188" t="b">
        <v>0</v>
      </c>
      <c r="Z188" t="b">
        <v>0</v>
      </c>
      <c r="AC188" s="1"/>
      <c r="AF188">
        <v>0</v>
      </c>
      <c r="AG188">
        <v>45</v>
      </c>
      <c r="AH188">
        <v>70</v>
      </c>
      <c r="AI188" s="2">
        <f>Table__192.168.3.138DYLGSMetaData[[#This Row],[NetAmount]]-Table__192.168.3.138DYLGSMetaData[[#This Row],[Paid]]</f>
        <v>88800</v>
      </c>
    </row>
    <row r="189" spans="1:35" hidden="1">
      <c r="A189" t="s">
        <v>5529</v>
      </c>
      <c r="B189" t="s">
        <v>5530</v>
      </c>
      <c r="C189" t="s">
        <v>5938</v>
      </c>
      <c r="D189" s="1">
        <v>41236</v>
      </c>
      <c r="E189" s="1">
        <v>41281</v>
      </c>
      <c r="F189">
        <v>242500</v>
      </c>
      <c r="G189">
        <v>0</v>
      </c>
      <c r="H189">
        <v>0</v>
      </c>
      <c r="I189">
        <v>0</v>
      </c>
      <c r="J189">
        <v>25</v>
      </c>
      <c r="K189">
        <v>242500</v>
      </c>
      <c r="L189" t="s">
        <v>5936</v>
      </c>
      <c r="M189" s="1">
        <v>41243</v>
      </c>
      <c r="O189" t="s">
        <v>36</v>
      </c>
      <c r="P189" t="s">
        <v>37</v>
      </c>
      <c r="Q189" t="s">
        <v>39</v>
      </c>
      <c r="R189" t="s">
        <v>40</v>
      </c>
      <c r="S189">
        <v>0</v>
      </c>
      <c r="U189" t="s">
        <v>5550</v>
      </c>
      <c r="V189" t="s">
        <v>1797</v>
      </c>
      <c r="X189" t="s">
        <v>74</v>
      </c>
      <c r="Y189" t="b">
        <v>0</v>
      </c>
      <c r="Z189" t="b">
        <v>0</v>
      </c>
      <c r="AC189" s="1"/>
      <c r="AF189">
        <v>0</v>
      </c>
      <c r="AG189">
        <v>45</v>
      </c>
      <c r="AH189">
        <v>70</v>
      </c>
      <c r="AI189" s="2">
        <f>Table__192.168.3.138DYLGSMetaData[[#This Row],[NetAmount]]-Table__192.168.3.138DYLGSMetaData[[#This Row],[Paid]]</f>
        <v>242500</v>
      </c>
    </row>
    <row r="190" spans="1:35" hidden="1">
      <c r="A190" t="s">
        <v>5529</v>
      </c>
      <c r="B190" t="s">
        <v>5530</v>
      </c>
      <c r="C190" t="s">
        <v>5939</v>
      </c>
      <c r="D190" s="1">
        <v>41248</v>
      </c>
      <c r="E190" s="1">
        <v>41293</v>
      </c>
      <c r="F190">
        <v>6900</v>
      </c>
      <c r="G190">
        <v>0</v>
      </c>
      <c r="H190">
        <v>0</v>
      </c>
      <c r="I190">
        <v>0</v>
      </c>
      <c r="J190">
        <v>25</v>
      </c>
      <c r="K190">
        <v>6900</v>
      </c>
      <c r="L190" t="s">
        <v>5936</v>
      </c>
      <c r="M190" s="1">
        <v>41243</v>
      </c>
      <c r="O190" t="s">
        <v>36</v>
      </c>
      <c r="P190" t="s">
        <v>37</v>
      </c>
      <c r="Q190" t="s">
        <v>39</v>
      </c>
      <c r="R190" t="s">
        <v>40</v>
      </c>
      <c r="S190">
        <v>0</v>
      </c>
      <c r="U190" t="s">
        <v>5550</v>
      </c>
      <c r="V190" t="s">
        <v>1797</v>
      </c>
      <c r="X190" t="s">
        <v>74</v>
      </c>
      <c r="Y190" t="b">
        <v>0</v>
      </c>
      <c r="Z190" t="b">
        <v>0</v>
      </c>
      <c r="AC190" s="1"/>
      <c r="AF190">
        <v>0</v>
      </c>
      <c r="AG190">
        <v>45</v>
      </c>
      <c r="AH190">
        <v>70</v>
      </c>
      <c r="AI190" s="2">
        <f>Table__192.168.3.138DYLGSMetaData[[#This Row],[NetAmount]]-Table__192.168.3.138DYLGSMetaData[[#This Row],[Paid]]</f>
        <v>6900</v>
      </c>
    </row>
    <row r="191" spans="1:35" hidden="1">
      <c r="A191" t="s">
        <v>5503</v>
      </c>
      <c r="B191" t="s">
        <v>5504</v>
      </c>
      <c r="C191" t="s">
        <v>5940</v>
      </c>
      <c r="D191" s="1">
        <v>41243</v>
      </c>
      <c r="E191" s="1">
        <v>41288</v>
      </c>
      <c r="F191">
        <v>44700</v>
      </c>
      <c r="G191">
        <v>0</v>
      </c>
      <c r="H191">
        <v>0</v>
      </c>
      <c r="I191">
        <v>0</v>
      </c>
      <c r="J191">
        <v>25</v>
      </c>
      <c r="K191">
        <v>44700</v>
      </c>
      <c r="L191" t="s">
        <v>2864</v>
      </c>
      <c r="M191" s="1">
        <v>41243</v>
      </c>
      <c r="O191" t="s">
        <v>36</v>
      </c>
      <c r="P191" t="s">
        <v>37</v>
      </c>
      <c r="Q191" t="s">
        <v>39</v>
      </c>
      <c r="R191" t="s">
        <v>40</v>
      </c>
      <c r="S191">
        <v>0</v>
      </c>
      <c r="U191" t="s">
        <v>5550</v>
      </c>
      <c r="V191" t="s">
        <v>1797</v>
      </c>
      <c r="X191" t="s">
        <v>74</v>
      </c>
      <c r="Y191" t="b">
        <v>0</v>
      </c>
      <c r="Z191" t="b">
        <v>0</v>
      </c>
      <c r="AC191" s="1"/>
      <c r="AF191">
        <v>0</v>
      </c>
      <c r="AG191">
        <v>45</v>
      </c>
      <c r="AH191">
        <v>70</v>
      </c>
      <c r="AI191" s="2">
        <f>Table__192.168.3.138DYLGSMetaData[[#This Row],[NetAmount]]-Table__192.168.3.138DYLGSMetaData[[#This Row],[Paid]]</f>
        <v>44700</v>
      </c>
    </row>
    <row r="192" spans="1:35" hidden="1">
      <c r="A192" t="s">
        <v>5483</v>
      </c>
      <c r="B192" t="s">
        <v>5484</v>
      </c>
      <c r="C192" t="s">
        <v>5941</v>
      </c>
      <c r="D192" s="1">
        <v>41243</v>
      </c>
      <c r="E192" s="1">
        <v>41288</v>
      </c>
      <c r="F192">
        <v>17700</v>
      </c>
      <c r="G192">
        <v>0</v>
      </c>
      <c r="H192">
        <v>0</v>
      </c>
      <c r="I192">
        <v>0</v>
      </c>
      <c r="J192">
        <v>30</v>
      </c>
      <c r="K192">
        <v>17700</v>
      </c>
      <c r="L192" t="s">
        <v>3732</v>
      </c>
      <c r="M192" s="1">
        <v>41238</v>
      </c>
      <c r="O192" t="s">
        <v>36</v>
      </c>
      <c r="P192" t="s">
        <v>37</v>
      </c>
      <c r="Q192" t="s">
        <v>39</v>
      </c>
      <c r="R192" t="s">
        <v>40</v>
      </c>
      <c r="S192">
        <v>0</v>
      </c>
      <c r="U192" t="s">
        <v>5550</v>
      </c>
      <c r="V192" t="s">
        <v>1797</v>
      </c>
      <c r="X192" t="s">
        <v>74</v>
      </c>
      <c r="Y192" t="b">
        <v>0</v>
      </c>
      <c r="Z192" t="b">
        <v>0</v>
      </c>
      <c r="AC192" s="1"/>
      <c r="AF192">
        <v>0</v>
      </c>
      <c r="AG192">
        <v>45</v>
      </c>
      <c r="AH192">
        <v>75</v>
      </c>
      <c r="AI192" s="2">
        <f>Table__192.168.3.138DYLGSMetaData[[#This Row],[NetAmount]]-Table__192.168.3.138DYLGSMetaData[[#This Row],[Paid]]</f>
        <v>17700</v>
      </c>
    </row>
    <row r="193" spans="1:35" hidden="1">
      <c r="A193" t="s">
        <v>5519</v>
      </c>
      <c r="B193" t="s">
        <v>5520</v>
      </c>
      <c r="C193" t="s">
        <v>5942</v>
      </c>
      <c r="D193" s="1">
        <v>41234</v>
      </c>
      <c r="E193" s="1">
        <v>41279</v>
      </c>
      <c r="F193">
        <v>57600</v>
      </c>
      <c r="G193">
        <v>9216</v>
      </c>
      <c r="H193">
        <v>0</v>
      </c>
      <c r="I193">
        <v>0</v>
      </c>
      <c r="J193">
        <v>35</v>
      </c>
      <c r="K193">
        <v>66816</v>
      </c>
      <c r="L193" t="s">
        <v>5943</v>
      </c>
      <c r="M193" s="1">
        <v>41233</v>
      </c>
      <c r="O193" t="s">
        <v>36</v>
      </c>
      <c r="P193" t="s">
        <v>37</v>
      </c>
      <c r="Q193" t="s">
        <v>39</v>
      </c>
      <c r="R193" t="s">
        <v>40</v>
      </c>
      <c r="S193">
        <v>0</v>
      </c>
      <c r="U193" t="s">
        <v>5550</v>
      </c>
      <c r="V193" t="s">
        <v>1797</v>
      </c>
      <c r="X193" t="s">
        <v>74</v>
      </c>
      <c r="Y193" t="b">
        <v>0</v>
      </c>
      <c r="Z193" t="b">
        <v>0</v>
      </c>
      <c r="AC193" s="1"/>
      <c r="AF193">
        <v>0</v>
      </c>
      <c r="AG193">
        <v>45</v>
      </c>
      <c r="AH193">
        <v>80</v>
      </c>
      <c r="AI193" s="2">
        <f>Table__192.168.3.138DYLGSMetaData[[#This Row],[NetAmount]]-Table__192.168.3.138DYLGSMetaData[[#This Row],[Paid]]</f>
        <v>66816</v>
      </c>
    </row>
    <row r="194" spans="1:35" hidden="1">
      <c r="A194" t="s">
        <v>5461</v>
      </c>
      <c r="B194" t="s">
        <v>5462</v>
      </c>
      <c r="C194" t="s">
        <v>5944</v>
      </c>
      <c r="D194" s="1">
        <v>41248</v>
      </c>
      <c r="E194" s="1">
        <v>41293</v>
      </c>
      <c r="F194">
        <v>80000</v>
      </c>
      <c r="G194">
        <v>12800</v>
      </c>
      <c r="H194">
        <v>0</v>
      </c>
      <c r="I194">
        <v>0</v>
      </c>
      <c r="J194">
        <v>177</v>
      </c>
      <c r="K194">
        <v>92800</v>
      </c>
      <c r="L194" t="s">
        <v>5945</v>
      </c>
      <c r="M194" s="1">
        <v>41091</v>
      </c>
      <c r="O194" t="s">
        <v>36</v>
      </c>
      <c r="P194" t="s">
        <v>37</v>
      </c>
      <c r="Q194" t="s">
        <v>39</v>
      </c>
      <c r="R194" t="s">
        <v>40</v>
      </c>
      <c r="S194">
        <v>0</v>
      </c>
      <c r="U194" t="s">
        <v>5550</v>
      </c>
      <c r="V194" t="s">
        <v>1797</v>
      </c>
      <c r="X194" t="s">
        <v>74</v>
      </c>
      <c r="Y194" t="b">
        <v>0</v>
      </c>
      <c r="Z194" t="b">
        <v>0</v>
      </c>
      <c r="AC194" s="1"/>
      <c r="AF194">
        <v>0</v>
      </c>
      <c r="AG194">
        <v>45</v>
      </c>
      <c r="AH194">
        <v>222</v>
      </c>
      <c r="AI194" s="2">
        <f>Table__192.168.3.138DYLGSMetaData[[#This Row],[NetAmount]]-Table__192.168.3.138DYLGSMetaData[[#This Row],[Paid]]</f>
        <v>92800</v>
      </c>
    </row>
    <row r="195" spans="1:35" hidden="1">
      <c r="A195" t="s">
        <v>5461</v>
      </c>
      <c r="B195" t="s">
        <v>5462</v>
      </c>
      <c r="C195" t="s">
        <v>5946</v>
      </c>
      <c r="D195" s="1">
        <v>41254</v>
      </c>
      <c r="E195" s="1">
        <v>41299</v>
      </c>
      <c r="F195">
        <v>62000</v>
      </c>
      <c r="G195">
        <v>9920</v>
      </c>
      <c r="H195">
        <v>0</v>
      </c>
      <c r="I195">
        <v>0</v>
      </c>
      <c r="J195">
        <v>14</v>
      </c>
      <c r="K195">
        <v>71920</v>
      </c>
      <c r="L195" t="s">
        <v>5947</v>
      </c>
      <c r="M195" s="1">
        <v>41254</v>
      </c>
      <c r="O195" t="s">
        <v>36</v>
      </c>
      <c r="P195" t="s">
        <v>37</v>
      </c>
      <c r="Q195" t="s">
        <v>39</v>
      </c>
      <c r="R195" t="s">
        <v>40</v>
      </c>
      <c r="S195">
        <v>0</v>
      </c>
      <c r="U195" t="s">
        <v>5550</v>
      </c>
      <c r="V195" t="s">
        <v>1797</v>
      </c>
      <c r="X195" t="s">
        <v>74</v>
      </c>
      <c r="Y195" t="b">
        <v>0</v>
      </c>
      <c r="Z195" t="b">
        <v>0</v>
      </c>
      <c r="AC195" s="1"/>
      <c r="AF195">
        <v>0</v>
      </c>
      <c r="AG195">
        <v>45</v>
      </c>
      <c r="AH195">
        <v>59</v>
      </c>
      <c r="AI195" s="2">
        <f>Table__192.168.3.138DYLGSMetaData[[#This Row],[NetAmount]]-Table__192.168.3.138DYLGSMetaData[[#This Row],[Paid]]</f>
        <v>71920</v>
      </c>
    </row>
    <row r="196" spans="1:35" hidden="1">
      <c r="A196" t="s">
        <v>5461</v>
      </c>
      <c r="B196" t="s">
        <v>5462</v>
      </c>
      <c r="C196" t="s">
        <v>5948</v>
      </c>
      <c r="D196" s="1">
        <v>41260</v>
      </c>
      <c r="E196" s="1">
        <v>41305</v>
      </c>
      <c r="F196">
        <v>93000</v>
      </c>
      <c r="G196">
        <v>14880</v>
      </c>
      <c r="H196">
        <v>0</v>
      </c>
      <c r="I196">
        <v>0</v>
      </c>
      <c r="J196">
        <v>8</v>
      </c>
      <c r="K196">
        <v>107880</v>
      </c>
      <c r="L196" t="s">
        <v>5949</v>
      </c>
      <c r="M196" s="1">
        <v>41260</v>
      </c>
      <c r="O196" t="s">
        <v>36</v>
      </c>
      <c r="P196" t="s">
        <v>37</v>
      </c>
      <c r="Q196" t="s">
        <v>39</v>
      </c>
      <c r="R196" t="s">
        <v>40</v>
      </c>
      <c r="S196">
        <v>0</v>
      </c>
      <c r="U196" t="s">
        <v>5550</v>
      </c>
      <c r="V196" t="s">
        <v>1797</v>
      </c>
      <c r="X196" t="s">
        <v>74</v>
      </c>
      <c r="Y196" t="b">
        <v>0</v>
      </c>
      <c r="Z196" t="b">
        <v>0</v>
      </c>
      <c r="AC196" s="1"/>
      <c r="AF196">
        <v>0</v>
      </c>
      <c r="AG196">
        <v>45</v>
      </c>
      <c r="AH196">
        <v>53</v>
      </c>
      <c r="AI196" s="2">
        <f>Table__192.168.3.138DYLGSMetaData[[#This Row],[NetAmount]]-Table__192.168.3.138DYLGSMetaData[[#This Row],[Paid]]</f>
        <v>107880</v>
      </c>
    </row>
    <row r="197" spans="1:35" hidden="1">
      <c r="A197" t="s">
        <v>5461</v>
      </c>
      <c r="B197" t="s">
        <v>5462</v>
      </c>
      <c r="C197" t="s">
        <v>5950</v>
      </c>
      <c r="D197" s="1">
        <v>41261</v>
      </c>
      <c r="E197" s="1">
        <v>41306</v>
      </c>
      <c r="F197">
        <v>80000</v>
      </c>
      <c r="G197">
        <v>12800</v>
      </c>
      <c r="H197">
        <v>0</v>
      </c>
      <c r="I197">
        <v>0</v>
      </c>
      <c r="J197">
        <v>7</v>
      </c>
      <c r="K197">
        <v>92800</v>
      </c>
      <c r="L197" t="s">
        <v>5951</v>
      </c>
      <c r="M197" s="1">
        <v>41261</v>
      </c>
      <c r="O197" t="s">
        <v>36</v>
      </c>
      <c r="P197" t="s">
        <v>37</v>
      </c>
      <c r="Q197" t="s">
        <v>39</v>
      </c>
      <c r="R197" t="s">
        <v>40</v>
      </c>
      <c r="S197">
        <v>0</v>
      </c>
      <c r="U197" t="s">
        <v>5550</v>
      </c>
      <c r="V197" t="s">
        <v>1797</v>
      </c>
      <c r="X197" t="s">
        <v>74</v>
      </c>
      <c r="Y197" t="b">
        <v>0</v>
      </c>
      <c r="Z197" t="b">
        <v>0</v>
      </c>
      <c r="AC197" s="1"/>
      <c r="AF197">
        <v>0</v>
      </c>
      <c r="AG197">
        <v>45</v>
      </c>
      <c r="AH197">
        <v>52</v>
      </c>
      <c r="AI197" s="2">
        <f>Table__192.168.3.138DYLGSMetaData[[#This Row],[NetAmount]]-Table__192.168.3.138DYLGSMetaData[[#This Row],[Paid]]</f>
        <v>92800</v>
      </c>
    </row>
    <row r="198" spans="1:35" hidden="1">
      <c r="A198" t="s">
        <v>5461</v>
      </c>
      <c r="B198" t="s">
        <v>5462</v>
      </c>
      <c r="C198" t="s">
        <v>5952</v>
      </c>
      <c r="D198" s="1">
        <v>41261</v>
      </c>
      <c r="E198" s="1">
        <v>41306</v>
      </c>
      <c r="F198">
        <v>15000</v>
      </c>
      <c r="G198">
        <v>2400</v>
      </c>
      <c r="H198">
        <v>0</v>
      </c>
      <c r="I198">
        <v>0</v>
      </c>
      <c r="J198">
        <v>7</v>
      </c>
      <c r="K198">
        <v>17400</v>
      </c>
      <c r="L198" t="s">
        <v>5953</v>
      </c>
      <c r="M198" s="1">
        <v>41261</v>
      </c>
      <c r="O198" t="s">
        <v>36</v>
      </c>
      <c r="P198" t="s">
        <v>37</v>
      </c>
      <c r="Q198" t="s">
        <v>39</v>
      </c>
      <c r="R198" t="s">
        <v>40</v>
      </c>
      <c r="S198">
        <v>0</v>
      </c>
      <c r="U198" t="s">
        <v>5550</v>
      </c>
      <c r="V198" t="s">
        <v>1797</v>
      </c>
      <c r="X198" t="s">
        <v>74</v>
      </c>
      <c r="Y198" t="b">
        <v>0</v>
      </c>
      <c r="Z198" t="b">
        <v>0</v>
      </c>
      <c r="AC198" s="1"/>
      <c r="AF198">
        <v>0</v>
      </c>
      <c r="AG198">
        <v>45</v>
      </c>
      <c r="AH198">
        <v>52</v>
      </c>
      <c r="AI198" s="2">
        <f>Table__192.168.3.138DYLGSMetaData[[#This Row],[NetAmount]]-Table__192.168.3.138DYLGSMetaData[[#This Row],[Paid]]</f>
        <v>17400</v>
      </c>
    </row>
    <row r="199" spans="1:35" hidden="1">
      <c r="A199" t="s">
        <v>5469</v>
      </c>
      <c r="B199" t="s">
        <v>5470</v>
      </c>
      <c r="C199" t="s">
        <v>5954</v>
      </c>
      <c r="D199" s="1">
        <v>41254</v>
      </c>
      <c r="E199" s="1">
        <v>41299</v>
      </c>
      <c r="F199">
        <v>47000</v>
      </c>
      <c r="G199">
        <v>7520</v>
      </c>
      <c r="H199">
        <v>0</v>
      </c>
      <c r="I199">
        <v>0</v>
      </c>
      <c r="J199">
        <v>14</v>
      </c>
      <c r="K199">
        <v>54520</v>
      </c>
      <c r="L199" t="s">
        <v>3898</v>
      </c>
      <c r="M199" s="1">
        <v>41254</v>
      </c>
      <c r="O199" t="s">
        <v>36</v>
      </c>
      <c r="P199" t="s">
        <v>37</v>
      </c>
      <c r="Q199" t="s">
        <v>39</v>
      </c>
      <c r="R199" t="s">
        <v>40</v>
      </c>
      <c r="S199">
        <v>0</v>
      </c>
      <c r="U199" t="s">
        <v>5550</v>
      </c>
      <c r="V199" t="s">
        <v>1797</v>
      </c>
      <c r="X199" t="s">
        <v>74</v>
      </c>
      <c r="Y199" t="b">
        <v>0</v>
      </c>
      <c r="Z199" t="b">
        <v>0</v>
      </c>
      <c r="AC199" s="1"/>
      <c r="AF199">
        <v>0</v>
      </c>
      <c r="AG199">
        <v>45</v>
      </c>
      <c r="AH199">
        <v>59</v>
      </c>
      <c r="AI199" s="2">
        <f>Table__192.168.3.138DYLGSMetaData[[#This Row],[NetAmount]]-Table__192.168.3.138DYLGSMetaData[[#This Row],[Paid]]</f>
        <v>54520</v>
      </c>
    </row>
    <row r="200" spans="1:35" hidden="1">
      <c r="A200" t="s">
        <v>5515</v>
      </c>
      <c r="B200" t="s">
        <v>5516</v>
      </c>
      <c r="C200" t="s">
        <v>5955</v>
      </c>
      <c r="D200" s="1">
        <v>41256</v>
      </c>
      <c r="E200" s="1">
        <v>41301</v>
      </c>
      <c r="F200">
        <v>115840</v>
      </c>
      <c r="G200">
        <v>18534</v>
      </c>
      <c r="H200">
        <v>0</v>
      </c>
      <c r="I200">
        <v>0</v>
      </c>
      <c r="J200">
        <v>12</v>
      </c>
      <c r="K200">
        <v>134374</v>
      </c>
      <c r="L200" t="s">
        <v>5956</v>
      </c>
      <c r="M200" s="1">
        <v>41256</v>
      </c>
      <c r="O200" t="s">
        <v>36</v>
      </c>
      <c r="P200" t="s">
        <v>37</v>
      </c>
      <c r="Q200" t="s">
        <v>39</v>
      </c>
      <c r="R200" t="s">
        <v>40</v>
      </c>
      <c r="S200">
        <v>0</v>
      </c>
      <c r="U200" t="s">
        <v>5550</v>
      </c>
      <c r="V200" t="s">
        <v>1797</v>
      </c>
      <c r="X200" t="s">
        <v>74</v>
      </c>
      <c r="Y200" t="b">
        <v>0</v>
      </c>
      <c r="Z200" t="b">
        <v>0</v>
      </c>
      <c r="AC200" s="1"/>
      <c r="AF200">
        <v>0</v>
      </c>
      <c r="AG200">
        <v>45</v>
      </c>
      <c r="AH200">
        <v>57</v>
      </c>
      <c r="AI200" s="2">
        <f>Table__192.168.3.138DYLGSMetaData[[#This Row],[NetAmount]]-Table__192.168.3.138DYLGSMetaData[[#This Row],[Paid]]</f>
        <v>134374</v>
      </c>
    </row>
    <row r="201" spans="1:35" hidden="1">
      <c r="A201" t="s">
        <v>5515</v>
      </c>
      <c r="B201" t="s">
        <v>5516</v>
      </c>
      <c r="C201" t="s">
        <v>5957</v>
      </c>
      <c r="D201" s="1">
        <v>41244</v>
      </c>
      <c r="E201" s="1">
        <v>41289</v>
      </c>
      <c r="F201">
        <v>8160</v>
      </c>
      <c r="G201">
        <v>1306</v>
      </c>
      <c r="H201">
        <v>0</v>
      </c>
      <c r="I201">
        <v>0</v>
      </c>
      <c r="J201">
        <v>29</v>
      </c>
      <c r="K201">
        <v>9466</v>
      </c>
      <c r="L201" t="s">
        <v>5958</v>
      </c>
      <c r="M201" s="1">
        <v>41239</v>
      </c>
      <c r="O201" t="s">
        <v>36</v>
      </c>
      <c r="P201" t="s">
        <v>37</v>
      </c>
      <c r="Q201" t="s">
        <v>39</v>
      </c>
      <c r="R201" t="s">
        <v>40</v>
      </c>
      <c r="S201">
        <v>0</v>
      </c>
      <c r="U201" t="s">
        <v>5550</v>
      </c>
      <c r="V201" t="s">
        <v>1797</v>
      </c>
      <c r="X201" t="s">
        <v>74</v>
      </c>
      <c r="Y201" t="b">
        <v>0</v>
      </c>
      <c r="Z201" t="b">
        <v>0</v>
      </c>
      <c r="AC201" s="1"/>
      <c r="AF201">
        <v>0</v>
      </c>
      <c r="AG201">
        <v>45</v>
      </c>
      <c r="AH201">
        <v>74</v>
      </c>
      <c r="AI201" s="2">
        <f>Table__192.168.3.138DYLGSMetaData[[#This Row],[NetAmount]]-Table__192.168.3.138DYLGSMetaData[[#This Row],[Paid]]</f>
        <v>9466</v>
      </c>
    </row>
    <row r="202" spans="1:35" hidden="1">
      <c r="A202" t="s">
        <v>5461</v>
      </c>
      <c r="B202" t="s">
        <v>5462</v>
      </c>
      <c r="C202" t="s">
        <v>5959</v>
      </c>
      <c r="D202" s="1">
        <v>41254</v>
      </c>
      <c r="E202" s="1">
        <v>41299</v>
      </c>
      <c r="F202">
        <v>64000</v>
      </c>
      <c r="G202">
        <v>10240</v>
      </c>
      <c r="H202">
        <v>0</v>
      </c>
      <c r="I202">
        <v>0</v>
      </c>
      <c r="J202">
        <v>14</v>
      </c>
      <c r="K202">
        <v>74240</v>
      </c>
      <c r="L202" t="s">
        <v>5960</v>
      </c>
      <c r="M202" s="1">
        <v>41254</v>
      </c>
      <c r="O202" t="s">
        <v>36</v>
      </c>
      <c r="P202" t="s">
        <v>37</v>
      </c>
      <c r="Q202" t="s">
        <v>39</v>
      </c>
      <c r="R202" t="s">
        <v>40</v>
      </c>
      <c r="S202">
        <v>0</v>
      </c>
      <c r="U202" t="s">
        <v>5550</v>
      </c>
      <c r="V202" t="s">
        <v>1797</v>
      </c>
      <c r="X202" t="s">
        <v>74</v>
      </c>
      <c r="Y202" t="b">
        <v>0</v>
      </c>
      <c r="Z202" t="b">
        <v>0</v>
      </c>
      <c r="AC202" s="1"/>
      <c r="AF202">
        <v>0</v>
      </c>
      <c r="AG202">
        <v>45</v>
      </c>
      <c r="AH202">
        <v>59</v>
      </c>
      <c r="AI202" s="2">
        <f>Table__192.168.3.138DYLGSMetaData[[#This Row],[NetAmount]]-Table__192.168.3.138DYLGSMetaData[[#This Row],[Paid]]</f>
        <v>74240</v>
      </c>
    </row>
    <row r="203" spans="1:35" hidden="1">
      <c r="A203" t="s">
        <v>5521</v>
      </c>
      <c r="B203" t="s">
        <v>5522</v>
      </c>
      <c r="C203" t="s">
        <v>5961</v>
      </c>
      <c r="D203" s="1">
        <v>41248</v>
      </c>
      <c r="E203" s="1">
        <v>41293</v>
      </c>
      <c r="F203">
        <v>76600</v>
      </c>
      <c r="G203">
        <v>12256</v>
      </c>
      <c r="H203">
        <v>0</v>
      </c>
      <c r="I203">
        <v>0</v>
      </c>
      <c r="J203">
        <v>18</v>
      </c>
      <c r="K203">
        <v>88856</v>
      </c>
      <c r="L203" t="s">
        <v>5962</v>
      </c>
      <c r="M203" s="1">
        <v>41250</v>
      </c>
      <c r="O203" t="s">
        <v>36</v>
      </c>
      <c r="P203" t="s">
        <v>37</v>
      </c>
      <c r="Q203" t="s">
        <v>39</v>
      </c>
      <c r="R203" t="s">
        <v>40</v>
      </c>
      <c r="S203">
        <v>0</v>
      </c>
      <c r="U203" t="s">
        <v>5550</v>
      </c>
      <c r="V203" t="s">
        <v>1797</v>
      </c>
      <c r="X203" t="s">
        <v>74</v>
      </c>
      <c r="Y203" t="b">
        <v>0</v>
      </c>
      <c r="Z203" t="b">
        <v>0</v>
      </c>
      <c r="AC203" s="1"/>
      <c r="AF203">
        <v>0</v>
      </c>
      <c r="AG203">
        <v>45</v>
      </c>
      <c r="AH203">
        <v>63</v>
      </c>
      <c r="AI203" s="2">
        <f>Table__192.168.3.138DYLGSMetaData[[#This Row],[NetAmount]]-Table__192.168.3.138DYLGSMetaData[[#This Row],[Paid]]</f>
        <v>88856</v>
      </c>
    </row>
    <row r="204" spans="1:35" hidden="1">
      <c r="A204" t="s">
        <v>5521</v>
      </c>
      <c r="B204" t="s">
        <v>5522</v>
      </c>
      <c r="C204" t="s">
        <v>5963</v>
      </c>
      <c r="D204" s="1">
        <v>41250</v>
      </c>
      <c r="E204" s="1">
        <v>41295</v>
      </c>
      <c r="F204">
        <v>75000</v>
      </c>
      <c r="G204">
        <v>12000</v>
      </c>
      <c r="H204">
        <v>0</v>
      </c>
      <c r="I204">
        <v>0</v>
      </c>
      <c r="J204">
        <v>18</v>
      </c>
      <c r="K204">
        <v>87000</v>
      </c>
      <c r="L204" t="s">
        <v>5964</v>
      </c>
      <c r="M204" s="1">
        <v>41250</v>
      </c>
      <c r="O204" t="s">
        <v>36</v>
      </c>
      <c r="P204" t="s">
        <v>37</v>
      </c>
      <c r="Q204" t="s">
        <v>39</v>
      </c>
      <c r="R204" t="s">
        <v>40</v>
      </c>
      <c r="S204">
        <v>0</v>
      </c>
      <c r="U204" t="s">
        <v>5550</v>
      </c>
      <c r="V204" t="s">
        <v>1797</v>
      </c>
      <c r="X204" t="s">
        <v>74</v>
      </c>
      <c r="Y204" t="b">
        <v>0</v>
      </c>
      <c r="Z204" t="b">
        <v>0</v>
      </c>
      <c r="AC204" s="1"/>
      <c r="AF204">
        <v>0</v>
      </c>
      <c r="AG204">
        <v>45</v>
      </c>
      <c r="AH204">
        <v>63</v>
      </c>
      <c r="AI204" s="2">
        <f>Table__192.168.3.138DYLGSMetaData[[#This Row],[NetAmount]]-Table__192.168.3.138DYLGSMetaData[[#This Row],[Paid]]</f>
        <v>87000</v>
      </c>
    </row>
    <row r="205" spans="1:35" hidden="1">
      <c r="A205" t="s">
        <v>5521</v>
      </c>
      <c r="B205" t="s">
        <v>5522</v>
      </c>
      <c r="C205" t="s">
        <v>5965</v>
      </c>
      <c r="D205" s="1">
        <v>41254</v>
      </c>
      <c r="E205" s="1">
        <v>41299</v>
      </c>
      <c r="F205">
        <v>68400</v>
      </c>
      <c r="G205">
        <v>10944</v>
      </c>
      <c r="H205">
        <v>0</v>
      </c>
      <c r="I205">
        <v>0</v>
      </c>
      <c r="J205">
        <v>15</v>
      </c>
      <c r="K205">
        <v>79344</v>
      </c>
      <c r="L205" t="s">
        <v>5966</v>
      </c>
      <c r="M205" s="1">
        <v>41253</v>
      </c>
      <c r="O205" t="s">
        <v>36</v>
      </c>
      <c r="P205" t="s">
        <v>37</v>
      </c>
      <c r="Q205" t="s">
        <v>39</v>
      </c>
      <c r="R205" t="s">
        <v>40</v>
      </c>
      <c r="S205">
        <v>0</v>
      </c>
      <c r="U205" t="s">
        <v>5550</v>
      </c>
      <c r="V205" t="s">
        <v>1797</v>
      </c>
      <c r="X205" t="s">
        <v>74</v>
      </c>
      <c r="Y205" t="b">
        <v>0</v>
      </c>
      <c r="Z205" t="b">
        <v>0</v>
      </c>
      <c r="AC205" s="1"/>
      <c r="AF205">
        <v>0</v>
      </c>
      <c r="AG205">
        <v>45</v>
      </c>
      <c r="AH205">
        <v>60</v>
      </c>
      <c r="AI205" s="2">
        <f>Table__192.168.3.138DYLGSMetaData[[#This Row],[NetAmount]]-Table__192.168.3.138DYLGSMetaData[[#This Row],[Paid]]</f>
        <v>79344</v>
      </c>
    </row>
    <row r="206" spans="1:35" hidden="1">
      <c r="A206" t="s">
        <v>5473</v>
      </c>
      <c r="B206" t="s">
        <v>5474</v>
      </c>
      <c r="C206" t="s">
        <v>5967</v>
      </c>
      <c r="D206" s="1">
        <v>41244</v>
      </c>
      <c r="E206" s="1">
        <v>41289</v>
      </c>
      <c r="F206">
        <v>45000</v>
      </c>
      <c r="G206">
        <v>7072</v>
      </c>
      <c r="H206">
        <v>800</v>
      </c>
      <c r="I206">
        <v>0</v>
      </c>
      <c r="J206">
        <v>33</v>
      </c>
      <c r="K206">
        <v>51272</v>
      </c>
      <c r="L206" t="s">
        <v>5968</v>
      </c>
      <c r="M206" s="1">
        <v>41235</v>
      </c>
      <c r="O206" t="s">
        <v>36</v>
      </c>
      <c r="P206" t="s">
        <v>37</v>
      </c>
      <c r="Q206" t="s">
        <v>39</v>
      </c>
      <c r="R206" t="s">
        <v>40</v>
      </c>
      <c r="S206">
        <v>0</v>
      </c>
      <c r="U206" t="s">
        <v>5550</v>
      </c>
      <c r="V206" t="s">
        <v>1797</v>
      </c>
      <c r="X206" t="s">
        <v>74</v>
      </c>
      <c r="Y206" t="b">
        <v>0</v>
      </c>
      <c r="Z206" t="b">
        <v>0</v>
      </c>
      <c r="AC206" s="1"/>
      <c r="AF206">
        <v>0</v>
      </c>
      <c r="AG206">
        <v>45</v>
      </c>
      <c r="AH206">
        <v>78</v>
      </c>
      <c r="AI206" s="2">
        <f>Table__192.168.3.138DYLGSMetaData[[#This Row],[NetAmount]]-Table__192.168.3.138DYLGSMetaData[[#This Row],[Paid]]</f>
        <v>51272</v>
      </c>
    </row>
    <row r="207" spans="1:35" hidden="1">
      <c r="A207" t="s">
        <v>5489</v>
      </c>
      <c r="B207" t="s">
        <v>5490</v>
      </c>
      <c r="C207" t="s">
        <v>5969</v>
      </c>
      <c r="D207" s="1">
        <v>41247</v>
      </c>
      <c r="E207" s="1">
        <v>41292</v>
      </c>
      <c r="F207">
        <v>41038</v>
      </c>
      <c r="G207">
        <v>6566</v>
      </c>
      <c r="H207">
        <v>0</v>
      </c>
      <c r="I207">
        <v>0</v>
      </c>
      <c r="J207">
        <v>22</v>
      </c>
      <c r="K207">
        <v>47604</v>
      </c>
      <c r="L207" t="s">
        <v>5970</v>
      </c>
      <c r="M207" s="1">
        <v>41246</v>
      </c>
      <c r="O207" t="s">
        <v>36</v>
      </c>
      <c r="P207" t="s">
        <v>37</v>
      </c>
      <c r="Q207" t="s">
        <v>39</v>
      </c>
      <c r="R207" t="s">
        <v>40</v>
      </c>
      <c r="S207">
        <v>0</v>
      </c>
      <c r="U207" t="s">
        <v>5550</v>
      </c>
      <c r="V207" t="s">
        <v>1797</v>
      </c>
      <c r="X207" t="s">
        <v>74</v>
      </c>
      <c r="Y207" t="b">
        <v>0</v>
      </c>
      <c r="Z207" t="b">
        <v>0</v>
      </c>
      <c r="AC207" s="1"/>
      <c r="AF207">
        <v>0</v>
      </c>
      <c r="AG207">
        <v>45</v>
      </c>
      <c r="AH207">
        <v>67</v>
      </c>
      <c r="AI207" s="2">
        <f>Table__192.168.3.138DYLGSMetaData[[#This Row],[NetAmount]]-Table__192.168.3.138DYLGSMetaData[[#This Row],[Paid]]</f>
        <v>47604</v>
      </c>
    </row>
    <row r="208" spans="1:35" hidden="1">
      <c r="A208" t="s">
        <v>5469</v>
      </c>
      <c r="B208" t="s">
        <v>5470</v>
      </c>
      <c r="C208" t="s">
        <v>5971</v>
      </c>
      <c r="D208" s="1">
        <v>41257</v>
      </c>
      <c r="E208" s="1">
        <v>41302</v>
      </c>
      <c r="F208">
        <v>164000</v>
      </c>
      <c r="G208">
        <v>26240</v>
      </c>
      <c r="H208">
        <v>0</v>
      </c>
      <c r="I208">
        <v>0</v>
      </c>
      <c r="J208">
        <v>11</v>
      </c>
      <c r="K208">
        <v>190240</v>
      </c>
      <c r="L208" t="s">
        <v>5972</v>
      </c>
      <c r="M208" s="1">
        <v>41257</v>
      </c>
      <c r="O208" t="s">
        <v>36</v>
      </c>
      <c r="P208" t="s">
        <v>37</v>
      </c>
      <c r="Q208" t="s">
        <v>39</v>
      </c>
      <c r="R208" t="s">
        <v>40</v>
      </c>
      <c r="S208">
        <v>0</v>
      </c>
      <c r="U208" t="s">
        <v>5550</v>
      </c>
      <c r="V208" t="s">
        <v>1797</v>
      </c>
      <c r="X208" t="s">
        <v>74</v>
      </c>
      <c r="Y208" t="b">
        <v>0</v>
      </c>
      <c r="Z208" t="b">
        <v>0</v>
      </c>
      <c r="AC208" s="1"/>
      <c r="AF208">
        <v>0</v>
      </c>
      <c r="AG208">
        <v>45</v>
      </c>
      <c r="AH208">
        <v>56</v>
      </c>
      <c r="AI208" s="2">
        <f>Table__192.168.3.138DYLGSMetaData[[#This Row],[NetAmount]]-Table__192.168.3.138DYLGSMetaData[[#This Row],[Paid]]</f>
        <v>190240</v>
      </c>
    </row>
    <row r="209" spans="1:35" hidden="1">
      <c r="A209" t="s">
        <v>5467</v>
      </c>
      <c r="B209" t="s">
        <v>5468</v>
      </c>
      <c r="C209" t="s">
        <v>5973</v>
      </c>
      <c r="D209" s="1">
        <v>41255</v>
      </c>
      <c r="E209" s="1">
        <v>41300</v>
      </c>
      <c r="F209">
        <v>10395</v>
      </c>
      <c r="G209">
        <v>1663</v>
      </c>
      <c r="H209">
        <v>0</v>
      </c>
      <c r="I209">
        <v>0</v>
      </c>
      <c r="J209">
        <v>12</v>
      </c>
      <c r="K209">
        <v>12058</v>
      </c>
      <c r="L209" t="s">
        <v>5974</v>
      </c>
      <c r="M209" s="1">
        <v>41256</v>
      </c>
      <c r="O209" t="s">
        <v>36</v>
      </c>
      <c r="P209" t="s">
        <v>37</v>
      </c>
      <c r="Q209" t="s">
        <v>39</v>
      </c>
      <c r="R209" t="s">
        <v>40</v>
      </c>
      <c r="S209">
        <v>0</v>
      </c>
      <c r="U209" t="s">
        <v>5550</v>
      </c>
      <c r="V209" t="s">
        <v>1797</v>
      </c>
      <c r="X209" t="s">
        <v>74</v>
      </c>
      <c r="Y209" t="b">
        <v>0</v>
      </c>
      <c r="Z209" t="b">
        <v>0</v>
      </c>
      <c r="AC209" s="1"/>
      <c r="AF209">
        <v>0</v>
      </c>
      <c r="AG209">
        <v>45</v>
      </c>
      <c r="AH209">
        <v>57</v>
      </c>
      <c r="AI209" s="2">
        <f>Table__192.168.3.138DYLGSMetaData[[#This Row],[NetAmount]]-Table__192.168.3.138DYLGSMetaData[[#This Row],[Paid]]</f>
        <v>12058</v>
      </c>
    </row>
    <row r="210" spans="1:35" hidden="1">
      <c r="A210" t="s">
        <v>5497</v>
      </c>
      <c r="B210" t="s">
        <v>5498</v>
      </c>
      <c r="C210" t="s">
        <v>5975</v>
      </c>
      <c r="D210" s="1">
        <v>41274</v>
      </c>
      <c r="E210" s="1">
        <v>41319</v>
      </c>
      <c r="F210">
        <v>12853</v>
      </c>
      <c r="G210">
        <v>487</v>
      </c>
      <c r="H210">
        <v>0</v>
      </c>
      <c r="I210">
        <v>0</v>
      </c>
      <c r="J210">
        <v>50</v>
      </c>
      <c r="K210">
        <v>13340</v>
      </c>
      <c r="L210" t="s">
        <v>5976</v>
      </c>
      <c r="M210" s="1">
        <v>41218</v>
      </c>
      <c r="O210" t="s">
        <v>36</v>
      </c>
      <c r="P210" t="s">
        <v>37</v>
      </c>
      <c r="Q210" t="s">
        <v>39</v>
      </c>
      <c r="R210" t="s">
        <v>40</v>
      </c>
      <c r="S210">
        <v>0</v>
      </c>
      <c r="U210" t="s">
        <v>5550</v>
      </c>
      <c r="V210" t="s">
        <v>1797</v>
      </c>
      <c r="X210" t="s">
        <v>74</v>
      </c>
      <c r="Y210" t="b">
        <v>0</v>
      </c>
      <c r="Z210" t="b">
        <v>0</v>
      </c>
      <c r="AC210" s="1"/>
      <c r="AF210">
        <v>0</v>
      </c>
      <c r="AG210">
        <v>45</v>
      </c>
      <c r="AH210">
        <v>95</v>
      </c>
      <c r="AI210" s="2">
        <f>Table__192.168.3.138DYLGSMetaData[[#This Row],[NetAmount]]-Table__192.168.3.138DYLGSMetaData[[#This Row],[Paid]]</f>
        <v>13340</v>
      </c>
    </row>
    <row r="211" spans="1:35" hidden="1">
      <c r="A211" t="s">
        <v>5497</v>
      </c>
      <c r="B211" t="s">
        <v>5498</v>
      </c>
      <c r="C211" t="s">
        <v>5977</v>
      </c>
      <c r="D211" s="1">
        <v>41274</v>
      </c>
      <c r="E211" s="1">
        <v>41319</v>
      </c>
      <c r="F211">
        <v>12500</v>
      </c>
      <c r="G211">
        <v>420</v>
      </c>
      <c r="H211">
        <v>0</v>
      </c>
      <c r="I211">
        <v>0</v>
      </c>
      <c r="J211">
        <v>111</v>
      </c>
      <c r="K211">
        <v>12920</v>
      </c>
      <c r="L211" t="s">
        <v>5807</v>
      </c>
      <c r="M211" s="1">
        <v>41157</v>
      </c>
      <c r="O211" t="s">
        <v>36</v>
      </c>
      <c r="P211" t="s">
        <v>37</v>
      </c>
      <c r="Q211" t="s">
        <v>39</v>
      </c>
      <c r="R211" t="s">
        <v>40</v>
      </c>
      <c r="S211">
        <v>0</v>
      </c>
      <c r="U211" t="s">
        <v>5550</v>
      </c>
      <c r="V211" t="s">
        <v>1797</v>
      </c>
      <c r="X211" t="s">
        <v>74</v>
      </c>
      <c r="Y211" t="b">
        <v>0</v>
      </c>
      <c r="Z211" t="b">
        <v>0</v>
      </c>
      <c r="AC211" s="1"/>
      <c r="AF211">
        <v>0</v>
      </c>
      <c r="AG211">
        <v>45</v>
      </c>
      <c r="AH211">
        <v>156</v>
      </c>
      <c r="AI211" s="2">
        <f>Table__192.168.3.138DYLGSMetaData[[#This Row],[NetAmount]]-Table__192.168.3.138DYLGSMetaData[[#This Row],[Paid]]</f>
        <v>12920</v>
      </c>
    </row>
    <row r="212" spans="1:35" hidden="1">
      <c r="A212" t="s">
        <v>5497</v>
      </c>
      <c r="B212" t="s">
        <v>5498</v>
      </c>
      <c r="C212" t="s">
        <v>5978</v>
      </c>
      <c r="D212" s="1">
        <v>41274</v>
      </c>
      <c r="E212" s="1">
        <v>41319</v>
      </c>
      <c r="F212">
        <v>12431</v>
      </c>
      <c r="G212">
        <v>409</v>
      </c>
      <c r="H212">
        <v>0</v>
      </c>
      <c r="I212">
        <v>0</v>
      </c>
      <c r="J212">
        <v>141</v>
      </c>
      <c r="K212">
        <v>12840</v>
      </c>
      <c r="L212" t="s">
        <v>5979</v>
      </c>
      <c r="M212" s="1">
        <v>41127</v>
      </c>
      <c r="O212" t="s">
        <v>36</v>
      </c>
      <c r="P212" t="s">
        <v>37</v>
      </c>
      <c r="Q212" t="s">
        <v>39</v>
      </c>
      <c r="R212" t="s">
        <v>40</v>
      </c>
      <c r="S212">
        <v>0</v>
      </c>
      <c r="U212" t="s">
        <v>5550</v>
      </c>
      <c r="V212" t="s">
        <v>1797</v>
      </c>
      <c r="X212" t="s">
        <v>74</v>
      </c>
      <c r="Y212" t="b">
        <v>0</v>
      </c>
      <c r="Z212" t="b">
        <v>0</v>
      </c>
      <c r="AC212" s="1"/>
      <c r="AF212">
        <v>0</v>
      </c>
      <c r="AG212">
        <v>45</v>
      </c>
      <c r="AH212">
        <v>186</v>
      </c>
      <c r="AI212" s="2">
        <f>Table__192.168.3.138DYLGSMetaData[[#This Row],[NetAmount]]-Table__192.168.3.138DYLGSMetaData[[#This Row],[Paid]]</f>
        <v>12840</v>
      </c>
    </row>
    <row r="213" spans="1:35" hidden="1">
      <c r="A213" t="s">
        <v>5497</v>
      </c>
      <c r="B213" t="s">
        <v>5498</v>
      </c>
      <c r="C213" t="s">
        <v>5980</v>
      </c>
      <c r="D213" s="1">
        <v>41274</v>
      </c>
      <c r="E213" s="1">
        <v>41319</v>
      </c>
      <c r="F213">
        <v>12948</v>
      </c>
      <c r="G213">
        <v>392</v>
      </c>
      <c r="H213">
        <v>0</v>
      </c>
      <c r="I213">
        <v>0</v>
      </c>
      <c r="J213">
        <v>81</v>
      </c>
      <c r="K213">
        <v>13340</v>
      </c>
      <c r="L213" t="s">
        <v>5981</v>
      </c>
      <c r="M213" s="1">
        <v>41187</v>
      </c>
      <c r="O213" t="s">
        <v>36</v>
      </c>
      <c r="P213" t="s">
        <v>37</v>
      </c>
      <c r="Q213" t="s">
        <v>39</v>
      </c>
      <c r="R213" t="s">
        <v>40</v>
      </c>
      <c r="S213">
        <v>0</v>
      </c>
      <c r="U213" t="s">
        <v>5550</v>
      </c>
      <c r="V213" t="s">
        <v>1797</v>
      </c>
      <c r="X213" t="s">
        <v>74</v>
      </c>
      <c r="Y213" t="b">
        <v>0</v>
      </c>
      <c r="Z213" t="b">
        <v>0</v>
      </c>
      <c r="AC213" s="1"/>
      <c r="AF213">
        <v>0</v>
      </c>
      <c r="AG213">
        <v>45</v>
      </c>
      <c r="AH213">
        <v>126</v>
      </c>
      <c r="AI213" s="2">
        <f>Table__192.168.3.138DYLGSMetaData[[#This Row],[NetAmount]]-Table__192.168.3.138DYLGSMetaData[[#This Row],[Paid]]</f>
        <v>13340</v>
      </c>
    </row>
    <row r="214" spans="1:35" hidden="1">
      <c r="A214" t="s">
        <v>5485</v>
      </c>
      <c r="B214" t="s">
        <v>5486</v>
      </c>
      <c r="C214" t="s">
        <v>5982</v>
      </c>
      <c r="D214" s="1">
        <v>41273</v>
      </c>
      <c r="E214" s="1">
        <v>41318</v>
      </c>
      <c r="F214">
        <v>886362</v>
      </c>
      <c r="G214">
        <v>0</v>
      </c>
      <c r="H214">
        <v>0</v>
      </c>
      <c r="I214">
        <v>0</v>
      </c>
      <c r="J214">
        <v>5</v>
      </c>
      <c r="K214">
        <v>886362</v>
      </c>
      <c r="L214" t="s">
        <v>1797</v>
      </c>
      <c r="M214" s="1">
        <v>41263</v>
      </c>
      <c r="O214" t="s">
        <v>36</v>
      </c>
      <c r="P214" t="s">
        <v>37</v>
      </c>
      <c r="Q214" t="s">
        <v>39</v>
      </c>
      <c r="R214" t="s">
        <v>40</v>
      </c>
      <c r="S214">
        <v>0</v>
      </c>
      <c r="U214" t="s">
        <v>5550</v>
      </c>
      <c r="V214" t="s">
        <v>1797</v>
      </c>
      <c r="X214" t="s">
        <v>74</v>
      </c>
      <c r="Y214" t="b">
        <v>0</v>
      </c>
      <c r="Z214" t="b">
        <v>0</v>
      </c>
      <c r="AB214" t="s">
        <v>5557</v>
      </c>
      <c r="AC214" s="1">
        <v>41278</v>
      </c>
      <c r="AE214" t="s">
        <v>5558</v>
      </c>
      <c r="AF214">
        <v>0</v>
      </c>
      <c r="AG214">
        <v>45</v>
      </c>
      <c r="AH214">
        <v>50</v>
      </c>
      <c r="AI214" s="2">
        <f>Table__192.168.3.138DYLGSMetaData[[#This Row],[NetAmount]]-Table__192.168.3.138DYLGSMetaData[[#This Row],[Paid]]</f>
        <v>886362</v>
      </c>
    </row>
    <row r="215" spans="1:35" hidden="1">
      <c r="A215" t="s">
        <v>5485</v>
      </c>
      <c r="B215" t="s">
        <v>5486</v>
      </c>
      <c r="C215" t="s">
        <v>5983</v>
      </c>
      <c r="D215" s="1">
        <v>41273</v>
      </c>
      <c r="E215" s="1">
        <v>41318</v>
      </c>
      <c r="F215">
        <v>1021880</v>
      </c>
      <c r="G215">
        <v>0</v>
      </c>
      <c r="H215">
        <v>0</v>
      </c>
      <c r="I215">
        <v>0</v>
      </c>
      <c r="J215">
        <v>5</v>
      </c>
      <c r="K215">
        <v>1021880</v>
      </c>
      <c r="L215" t="s">
        <v>42</v>
      </c>
      <c r="M215" s="1">
        <v>41263</v>
      </c>
      <c r="O215" t="s">
        <v>36</v>
      </c>
      <c r="P215" t="s">
        <v>37</v>
      </c>
      <c r="Q215" t="s">
        <v>39</v>
      </c>
      <c r="R215" t="s">
        <v>40</v>
      </c>
      <c r="S215">
        <v>0</v>
      </c>
      <c r="U215" t="s">
        <v>5550</v>
      </c>
      <c r="V215" t="s">
        <v>1797</v>
      </c>
      <c r="X215" t="s">
        <v>74</v>
      </c>
      <c r="Y215" t="b">
        <v>0</v>
      </c>
      <c r="Z215" t="b">
        <v>0</v>
      </c>
      <c r="AB215" t="s">
        <v>5557</v>
      </c>
      <c r="AC215" s="1">
        <v>41278</v>
      </c>
      <c r="AE215" t="s">
        <v>5558</v>
      </c>
      <c r="AF215">
        <v>0</v>
      </c>
      <c r="AG215">
        <v>45</v>
      </c>
      <c r="AH215">
        <v>50</v>
      </c>
      <c r="AI215" s="2">
        <f>Table__192.168.3.138DYLGSMetaData[[#This Row],[NetAmount]]-Table__192.168.3.138DYLGSMetaData[[#This Row],[Paid]]</f>
        <v>1021880</v>
      </c>
    </row>
    <row r="216" spans="1:35" hidden="1">
      <c r="A216" t="s">
        <v>5485</v>
      </c>
      <c r="B216" t="s">
        <v>5486</v>
      </c>
      <c r="C216" t="s">
        <v>5984</v>
      </c>
      <c r="D216" s="1">
        <v>41273</v>
      </c>
      <c r="E216" s="1">
        <v>41318</v>
      </c>
      <c r="F216">
        <v>1267444</v>
      </c>
      <c r="G216">
        <v>0</v>
      </c>
      <c r="H216">
        <v>0</v>
      </c>
      <c r="I216">
        <v>0</v>
      </c>
      <c r="J216">
        <v>10</v>
      </c>
      <c r="K216">
        <v>1267444</v>
      </c>
      <c r="L216" t="s">
        <v>5985</v>
      </c>
      <c r="M216" s="1">
        <v>41258</v>
      </c>
      <c r="O216" t="s">
        <v>36</v>
      </c>
      <c r="P216" t="s">
        <v>37</v>
      </c>
      <c r="Q216" t="s">
        <v>39</v>
      </c>
      <c r="R216" t="s">
        <v>40</v>
      </c>
      <c r="S216">
        <v>0</v>
      </c>
      <c r="U216" t="s">
        <v>5550</v>
      </c>
      <c r="V216" t="s">
        <v>1797</v>
      </c>
      <c r="X216" t="s">
        <v>74</v>
      </c>
      <c r="Y216" t="b">
        <v>0</v>
      </c>
      <c r="Z216" t="b">
        <v>0</v>
      </c>
      <c r="AB216" t="s">
        <v>5557</v>
      </c>
      <c r="AC216" s="1">
        <v>41278</v>
      </c>
      <c r="AD216" t="s">
        <v>5986</v>
      </c>
      <c r="AE216" t="s">
        <v>5558</v>
      </c>
      <c r="AF216">
        <v>800000</v>
      </c>
      <c r="AG216">
        <v>45</v>
      </c>
      <c r="AH216">
        <v>55</v>
      </c>
      <c r="AI216" s="2">
        <f>Table__192.168.3.138DYLGSMetaData[[#This Row],[NetAmount]]-Table__192.168.3.138DYLGSMetaData[[#This Row],[Paid]]</f>
        <v>467444</v>
      </c>
    </row>
    <row r="217" spans="1:35" hidden="1">
      <c r="A217" t="s">
        <v>5513</v>
      </c>
      <c r="B217" t="s">
        <v>5514</v>
      </c>
      <c r="C217" t="s">
        <v>5987</v>
      </c>
      <c r="D217" s="1">
        <v>41265</v>
      </c>
      <c r="E217" s="1">
        <v>41310</v>
      </c>
      <c r="F217">
        <v>1800</v>
      </c>
      <c r="G217">
        <v>0</v>
      </c>
      <c r="H217">
        <v>0</v>
      </c>
      <c r="I217">
        <v>0</v>
      </c>
      <c r="J217">
        <v>5</v>
      </c>
      <c r="K217">
        <v>1800</v>
      </c>
      <c r="L217" t="s">
        <v>5988</v>
      </c>
      <c r="M217" s="1">
        <v>41263</v>
      </c>
      <c r="O217" t="s">
        <v>36</v>
      </c>
      <c r="P217" t="s">
        <v>37</v>
      </c>
      <c r="Q217" t="s">
        <v>39</v>
      </c>
      <c r="R217" t="s">
        <v>40</v>
      </c>
      <c r="S217">
        <v>0</v>
      </c>
      <c r="U217" t="s">
        <v>5550</v>
      </c>
      <c r="V217" t="s">
        <v>1797</v>
      </c>
      <c r="X217" t="s">
        <v>74</v>
      </c>
      <c r="Y217" t="b">
        <v>0</v>
      </c>
      <c r="Z217" t="b">
        <v>0</v>
      </c>
      <c r="AC217" s="1"/>
      <c r="AF217">
        <v>0</v>
      </c>
      <c r="AG217">
        <v>45</v>
      </c>
      <c r="AH217">
        <v>50</v>
      </c>
      <c r="AI217" s="2">
        <f>Table__192.168.3.138DYLGSMetaData[[#This Row],[NetAmount]]-Table__192.168.3.138DYLGSMetaData[[#This Row],[Paid]]</f>
        <v>1800</v>
      </c>
    </row>
    <row r="218" spans="1:35" hidden="1">
      <c r="A218" t="s">
        <v>5513</v>
      </c>
      <c r="B218" t="s">
        <v>5514</v>
      </c>
      <c r="C218" t="s">
        <v>5989</v>
      </c>
      <c r="D218" s="1">
        <v>41274</v>
      </c>
      <c r="E218" s="1">
        <v>41319</v>
      </c>
      <c r="F218">
        <v>1800</v>
      </c>
      <c r="G218">
        <v>0</v>
      </c>
      <c r="H218">
        <v>0</v>
      </c>
      <c r="I218">
        <v>0</v>
      </c>
      <c r="J218">
        <v>-6</v>
      </c>
      <c r="K218">
        <v>1800</v>
      </c>
      <c r="L218" t="s">
        <v>5990</v>
      </c>
      <c r="M218" s="1">
        <v>41274</v>
      </c>
      <c r="O218" t="s">
        <v>36</v>
      </c>
      <c r="P218" t="s">
        <v>37</v>
      </c>
      <c r="Q218" t="s">
        <v>39</v>
      </c>
      <c r="R218" t="s">
        <v>40</v>
      </c>
      <c r="S218">
        <v>0</v>
      </c>
      <c r="U218" t="s">
        <v>5550</v>
      </c>
      <c r="V218" t="s">
        <v>1797</v>
      </c>
      <c r="X218" t="s">
        <v>74</v>
      </c>
      <c r="Y218" t="b">
        <v>0</v>
      </c>
      <c r="Z218" t="b">
        <v>0</v>
      </c>
      <c r="AC218" s="1"/>
      <c r="AF218">
        <v>0</v>
      </c>
      <c r="AG218">
        <v>45</v>
      </c>
      <c r="AH218">
        <v>39</v>
      </c>
      <c r="AI218" s="2">
        <f>Table__192.168.3.138DYLGSMetaData[[#This Row],[NetAmount]]-Table__192.168.3.138DYLGSMetaData[[#This Row],[Paid]]</f>
        <v>1800</v>
      </c>
    </row>
    <row r="219" spans="1:35" hidden="1">
      <c r="A219" t="s">
        <v>5487</v>
      </c>
      <c r="B219" t="s">
        <v>5488</v>
      </c>
      <c r="C219" t="s">
        <v>5991</v>
      </c>
      <c r="D219" s="1">
        <v>41265</v>
      </c>
      <c r="E219" s="1">
        <v>41310</v>
      </c>
      <c r="F219">
        <v>22350</v>
      </c>
      <c r="G219">
        <v>3576</v>
      </c>
      <c r="H219">
        <v>0</v>
      </c>
      <c r="I219">
        <v>0</v>
      </c>
      <c r="J219">
        <v>3</v>
      </c>
      <c r="K219">
        <v>25926</v>
      </c>
      <c r="L219" t="s">
        <v>1104</v>
      </c>
      <c r="M219" s="1">
        <v>41265</v>
      </c>
      <c r="O219" t="s">
        <v>36</v>
      </c>
      <c r="P219" t="s">
        <v>37</v>
      </c>
      <c r="Q219" t="s">
        <v>39</v>
      </c>
      <c r="R219" t="s">
        <v>40</v>
      </c>
      <c r="S219">
        <v>0</v>
      </c>
      <c r="U219" t="s">
        <v>5550</v>
      </c>
      <c r="V219" t="s">
        <v>1797</v>
      </c>
      <c r="X219" t="s">
        <v>74</v>
      </c>
      <c r="Y219" t="b">
        <v>0</v>
      </c>
      <c r="Z219" t="b">
        <v>0</v>
      </c>
      <c r="AC219" s="1"/>
      <c r="AF219">
        <v>0</v>
      </c>
      <c r="AG219">
        <v>45</v>
      </c>
      <c r="AH219">
        <v>48</v>
      </c>
      <c r="AI219" s="2">
        <f>Table__192.168.3.138DYLGSMetaData[[#This Row],[NetAmount]]-Table__192.168.3.138DYLGSMetaData[[#This Row],[Paid]]</f>
        <v>25926</v>
      </c>
    </row>
    <row r="220" spans="1:35" hidden="1">
      <c r="A220" t="s">
        <v>5505</v>
      </c>
      <c r="B220" t="s">
        <v>5506</v>
      </c>
      <c r="C220" t="s">
        <v>5992</v>
      </c>
      <c r="D220" s="1">
        <v>41273</v>
      </c>
      <c r="E220" s="1">
        <v>41318</v>
      </c>
      <c r="F220">
        <v>14025</v>
      </c>
      <c r="G220">
        <v>2244</v>
      </c>
      <c r="H220">
        <v>0</v>
      </c>
      <c r="I220">
        <v>0</v>
      </c>
      <c r="J220">
        <v>-3</v>
      </c>
      <c r="K220">
        <v>16269</v>
      </c>
      <c r="L220" t="s">
        <v>5993</v>
      </c>
      <c r="M220" s="1">
        <v>41271</v>
      </c>
      <c r="O220" t="s">
        <v>36</v>
      </c>
      <c r="P220" t="s">
        <v>37</v>
      </c>
      <c r="Q220" t="s">
        <v>39</v>
      </c>
      <c r="R220" t="s">
        <v>40</v>
      </c>
      <c r="S220">
        <v>0</v>
      </c>
      <c r="U220" t="s">
        <v>5550</v>
      </c>
      <c r="V220" t="s">
        <v>1797</v>
      </c>
      <c r="X220" t="s">
        <v>74</v>
      </c>
      <c r="Y220" t="b">
        <v>0</v>
      </c>
      <c r="Z220" t="b">
        <v>0</v>
      </c>
      <c r="AC220" s="1"/>
      <c r="AF220">
        <v>0</v>
      </c>
      <c r="AG220">
        <v>45</v>
      </c>
      <c r="AH220">
        <v>42</v>
      </c>
      <c r="AI220" s="2">
        <f>Table__192.168.3.138DYLGSMetaData[[#This Row],[NetAmount]]-Table__192.168.3.138DYLGSMetaData[[#This Row],[Paid]]</f>
        <v>16269</v>
      </c>
    </row>
    <row r="221" spans="1:35" hidden="1">
      <c r="A221" t="s">
        <v>5515</v>
      </c>
      <c r="B221" t="s">
        <v>5516</v>
      </c>
      <c r="C221" t="s">
        <v>5994</v>
      </c>
      <c r="D221" s="1">
        <v>41274</v>
      </c>
      <c r="E221" s="1">
        <v>41319</v>
      </c>
      <c r="F221">
        <v>72400</v>
      </c>
      <c r="G221">
        <v>11584</v>
      </c>
      <c r="H221">
        <v>0</v>
      </c>
      <c r="I221">
        <v>0</v>
      </c>
      <c r="J221">
        <v>-3</v>
      </c>
      <c r="K221">
        <v>83984</v>
      </c>
      <c r="L221" t="s">
        <v>5995</v>
      </c>
      <c r="M221" s="1">
        <v>41271</v>
      </c>
      <c r="O221" t="s">
        <v>36</v>
      </c>
      <c r="P221" t="s">
        <v>37</v>
      </c>
      <c r="Q221" t="s">
        <v>39</v>
      </c>
      <c r="R221" t="s">
        <v>40</v>
      </c>
      <c r="S221">
        <v>0</v>
      </c>
      <c r="U221" t="s">
        <v>5550</v>
      </c>
      <c r="V221" t="s">
        <v>1797</v>
      </c>
      <c r="X221" t="s">
        <v>74</v>
      </c>
      <c r="Y221" t="b">
        <v>0</v>
      </c>
      <c r="Z221" t="b">
        <v>0</v>
      </c>
      <c r="AC221" s="1"/>
      <c r="AF221">
        <v>0</v>
      </c>
      <c r="AG221">
        <v>45</v>
      </c>
      <c r="AH221">
        <v>42</v>
      </c>
      <c r="AI221" s="2">
        <f>Table__192.168.3.138DYLGSMetaData[[#This Row],[NetAmount]]-Table__192.168.3.138DYLGSMetaData[[#This Row],[Paid]]</f>
        <v>83984</v>
      </c>
    </row>
    <row r="222" spans="1:35" hidden="1">
      <c r="A222" t="s">
        <v>5523</v>
      </c>
      <c r="B222" t="s">
        <v>5524</v>
      </c>
      <c r="C222" t="s">
        <v>5996</v>
      </c>
      <c r="D222" s="1">
        <v>41274</v>
      </c>
      <c r="E222" s="1">
        <v>41319</v>
      </c>
      <c r="F222">
        <v>14500</v>
      </c>
      <c r="G222">
        <v>2320</v>
      </c>
      <c r="H222">
        <v>0</v>
      </c>
      <c r="I222">
        <v>0</v>
      </c>
      <c r="J222">
        <v>-3</v>
      </c>
      <c r="K222">
        <v>16820</v>
      </c>
      <c r="L222" t="s">
        <v>5997</v>
      </c>
      <c r="M222" s="1">
        <v>41271</v>
      </c>
      <c r="O222" t="s">
        <v>36</v>
      </c>
      <c r="P222" t="s">
        <v>37</v>
      </c>
      <c r="Q222" t="s">
        <v>39</v>
      </c>
      <c r="R222" t="s">
        <v>40</v>
      </c>
      <c r="S222">
        <v>0</v>
      </c>
      <c r="U222" t="s">
        <v>5550</v>
      </c>
      <c r="V222" t="s">
        <v>1797</v>
      </c>
      <c r="X222" t="s">
        <v>74</v>
      </c>
      <c r="Y222" t="b">
        <v>0</v>
      </c>
      <c r="Z222" t="b">
        <v>0</v>
      </c>
      <c r="AC222" s="1"/>
      <c r="AF222">
        <v>0</v>
      </c>
      <c r="AG222">
        <v>45</v>
      </c>
      <c r="AH222">
        <v>42</v>
      </c>
      <c r="AI222" s="2">
        <f>Table__192.168.3.138DYLGSMetaData[[#This Row],[NetAmount]]-Table__192.168.3.138DYLGSMetaData[[#This Row],[Paid]]</f>
        <v>16820</v>
      </c>
    </row>
    <row r="223" spans="1:35" hidden="1">
      <c r="A223" t="s">
        <v>5463</v>
      </c>
      <c r="B223" t="s">
        <v>5464</v>
      </c>
      <c r="C223" t="s">
        <v>5998</v>
      </c>
      <c r="D223" s="1">
        <v>41274</v>
      </c>
      <c r="E223" s="1">
        <v>41319</v>
      </c>
      <c r="F223">
        <v>56550</v>
      </c>
      <c r="G223">
        <v>9048</v>
      </c>
      <c r="H223">
        <v>0</v>
      </c>
      <c r="I223">
        <v>0</v>
      </c>
      <c r="J223">
        <v>-2</v>
      </c>
      <c r="K223">
        <v>65598</v>
      </c>
      <c r="L223" t="s">
        <v>5999</v>
      </c>
      <c r="M223" s="1">
        <v>41270</v>
      </c>
      <c r="O223" t="s">
        <v>36</v>
      </c>
      <c r="P223" t="s">
        <v>37</v>
      </c>
      <c r="Q223" t="s">
        <v>39</v>
      </c>
      <c r="R223" t="s">
        <v>40</v>
      </c>
      <c r="S223">
        <v>0</v>
      </c>
      <c r="U223" t="s">
        <v>5550</v>
      </c>
      <c r="V223" t="s">
        <v>1797</v>
      </c>
      <c r="X223" t="s">
        <v>74</v>
      </c>
      <c r="Y223" t="b">
        <v>0</v>
      </c>
      <c r="Z223" t="b">
        <v>0</v>
      </c>
      <c r="AC223" s="1"/>
      <c r="AF223">
        <v>0</v>
      </c>
      <c r="AG223">
        <v>45</v>
      </c>
      <c r="AH223">
        <v>43</v>
      </c>
      <c r="AI223" s="2">
        <f>Table__192.168.3.138DYLGSMetaData[[#This Row],[NetAmount]]-Table__192.168.3.138DYLGSMetaData[[#This Row],[Paid]]</f>
        <v>65598</v>
      </c>
    </row>
    <row r="224" spans="1:35" hidden="1">
      <c r="A224" t="s">
        <v>5461</v>
      </c>
      <c r="B224" t="s">
        <v>5462</v>
      </c>
      <c r="C224" t="s">
        <v>6000</v>
      </c>
      <c r="D224" s="1">
        <v>41274</v>
      </c>
      <c r="E224" s="1">
        <v>41319</v>
      </c>
      <c r="F224">
        <v>75000</v>
      </c>
      <c r="G224">
        <v>12000</v>
      </c>
      <c r="H224">
        <v>0</v>
      </c>
      <c r="I224">
        <v>0</v>
      </c>
      <c r="J224">
        <v>-4</v>
      </c>
      <c r="K224">
        <v>87000</v>
      </c>
      <c r="L224" t="s">
        <v>6001</v>
      </c>
      <c r="M224" s="1">
        <v>41272</v>
      </c>
      <c r="O224" t="s">
        <v>36</v>
      </c>
      <c r="P224" t="s">
        <v>37</v>
      </c>
      <c r="Q224" t="s">
        <v>39</v>
      </c>
      <c r="R224" t="s">
        <v>40</v>
      </c>
      <c r="S224">
        <v>0</v>
      </c>
      <c r="U224" t="s">
        <v>5550</v>
      </c>
      <c r="V224" t="s">
        <v>1797</v>
      </c>
      <c r="X224" t="s">
        <v>74</v>
      </c>
      <c r="Y224" t="b">
        <v>0</v>
      </c>
      <c r="Z224" t="b">
        <v>0</v>
      </c>
      <c r="AC224" s="1"/>
      <c r="AF224">
        <v>0</v>
      </c>
      <c r="AG224">
        <v>45</v>
      </c>
      <c r="AH224">
        <v>41</v>
      </c>
      <c r="AI224" s="2">
        <f>Table__192.168.3.138DYLGSMetaData[[#This Row],[NetAmount]]-Table__192.168.3.138DYLGSMetaData[[#This Row],[Paid]]</f>
        <v>87000</v>
      </c>
    </row>
    <row r="225" spans="1:35" hidden="1">
      <c r="A225" t="s">
        <v>5461</v>
      </c>
      <c r="B225" t="s">
        <v>5462</v>
      </c>
      <c r="C225" t="s">
        <v>6002</v>
      </c>
      <c r="D225" s="1">
        <v>41274</v>
      </c>
      <c r="E225" s="1">
        <v>41319</v>
      </c>
      <c r="F225">
        <v>52480</v>
      </c>
      <c r="G225">
        <v>8397</v>
      </c>
      <c r="H225">
        <v>0</v>
      </c>
      <c r="I225">
        <v>0</v>
      </c>
      <c r="J225">
        <v>-4</v>
      </c>
      <c r="K225">
        <v>60877</v>
      </c>
      <c r="L225" t="s">
        <v>6003</v>
      </c>
      <c r="M225" s="1">
        <v>41272</v>
      </c>
      <c r="O225" t="s">
        <v>36</v>
      </c>
      <c r="P225" t="s">
        <v>37</v>
      </c>
      <c r="Q225" t="s">
        <v>39</v>
      </c>
      <c r="R225" t="s">
        <v>40</v>
      </c>
      <c r="S225">
        <v>0</v>
      </c>
      <c r="U225" t="s">
        <v>5550</v>
      </c>
      <c r="V225" t="s">
        <v>1797</v>
      </c>
      <c r="X225" t="s">
        <v>74</v>
      </c>
      <c r="Y225" t="b">
        <v>0</v>
      </c>
      <c r="Z225" t="b">
        <v>0</v>
      </c>
      <c r="AC225" s="1"/>
      <c r="AF225">
        <v>0</v>
      </c>
      <c r="AG225">
        <v>45</v>
      </c>
      <c r="AH225">
        <v>41</v>
      </c>
      <c r="AI225" s="2">
        <f>Table__192.168.3.138DYLGSMetaData[[#This Row],[NetAmount]]-Table__192.168.3.138DYLGSMetaData[[#This Row],[Paid]]</f>
        <v>60877</v>
      </c>
    </row>
    <row r="226" spans="1:35" hidden="1">
      <c r="A226" t="s">
        <v>5489</v>
      </c>
      <c r="B226" t="s">
        <v>5490</v>
      </c>
      <c r="C226" t="s">
        <v>6004</v>
      </c>
      <c r="D226" s="1">
        <v>41274</v>
      </c>
      <c r="E226" s="1">
        <v>41319</v>
      </c>
      <c r="F226">
        <v>44660</v>
      </c>
      <c r="G226">
        <v>7146</v>
      </c>
      <c r="H226">
        <v>0</v>
      </c>
      <c r="I226">
        <v>0</v>
      </c>
      <c r="J226">
        <v>4</v>
      </c>
      <c r="K226">
        <v>51806</v>
      </c>
      <c r="L226" t="s">
        <v>5174</v>
      </c>
      <c r="M226" s="1">
        <v>41264</v>
      </c>
      <c r="O226" t="s">
        <v>36</v>
      </c>
      <c r="P226" t="s">
        <v>37</v>
      </c>
      <c r="Q226" t="s">
        <v>39</v>
      </c>
      <c r="R226" t="s">
        <v>40</v>
      </c>
      <c r="S226">
        <v>0</v>
      </c>
      <c r="U226" t="s">
        <v>5550</v>
      </c>
      <c r="V226" t="s">
        <v>1797</v>
      </c>
      <c r="X226" t="s">
        <v>74</v>
      </c>
      <c r="Y226" t="b">
        <v>0</v>
      </c>
      <c r="Z226" t="b">
        <v>0</v>
      </c>
      <c r="AC226" s="1"/>
      <c r="AF226">
        <v>0</v>
      </c>
      <c r="AG226">
        <v>45</v>
      </c>
      <c r="AH226">
        <v>49</v>
      </c>
      <c r="AI226" s="2">
        <f>Table__192.168.3.138DYLGSMetaData[[#This Row],[NetAmount]]-Table__192.168.3.138DYLGSMetaData[[#This Row],[Paid]]</f>
        <v>51806</v>
      </c>
    </row>
    <row r="227" spans="1:35" hidden="1">
      <c r="A227" t="s">
        <v>5461</v>
      </c>
      <c r="B227" t="s">
        <v>5462</v>
      </c>
      <c r="C227" t="s">
        <v>6005</v>
      </c>
      <c r="D227" s="1">
        <v>41254</v>
      </c>
      <c r="E227" s="1">
        <v>41299</v>
      </c>
      <c r="F227">
        <v>145000</v>
      </c>
      <c r="G227">
        <v>23200</v>
      </c>
      <c r="H227">
        <v>0</v>
      </c>
      <c r="I227">
        <v>0</v>
      </c>
      <c r="J227">
        <v>14</v>
      </c>
      <c r="K227">
        <v>168200</v>
      </c>
      <c r="L227" t="s">
        <v>6006</v>
      </c>
      <c r="M227" s="1">
        <v>41254</v>
      </c>
      <c r="O227" t="s">
        <v>36</v>
      </c>
      <c r="P227" t="s">
        <v>37</v>
      </c>
      <c r="Q227" t="s">
        <v>39</v>
      </c>
      <c r="R227" t="s">
        <v>40</v>
      </c>
      <c r="S227">
        <v>0</v>
      </c>
      <c r="U227" t="s">
        <v>5550</v>
      </c>
      <c r="V227" t="s">
        <v>1797</v>
      </c>
      <c r="X227" t="s">
        <v>74</v>
      </c>
      <c r="Y227" t="b">
        <v>0</v>
      </c>
      <c r="Z227" t="b">
        <v>0</v>
      </c>
      <c r="AC227" s="1"/>
      <c r="AF227">
        <v>0</v>
      </c>
      <c r="AG227">
        <v>45</v>
      </c>
      <c r="AH227">
        <v>59</v>
      </c>
      <c r="AI227" s="2">
        <f>Table__192.168.3.138DYLGSMetaData[[#This Row],[NetAmount]]-Table__192.168.3.138DYLGSMetaData[[#This Row],[Paid]]</f>
        <v>168200</v>
      </c>
    </row>
    <row r="228" spans="1:35" hidden="1">
      <c r="A228" t="s">
        <v>5461</v>
      </c>
      <c r="B228" t="s">
        <v>5462</v>
      </c>
      <c r="C228" t="s">
        <v>6007</v>
      </c>
      <c r="D228" s="1">
        <v>41274</v>
      </c>
      <c r="E228" s="1">
        <v>41319</v>
      </c>
      <c r="F228">
        <v>499500</v>
      </c>
      <c r="G228">
        <v>79920</v>
      </c>
      <c r="H228">
        <v>0</v>
      </c>
      <c r="I228">
        <v>0</v>
      </c>
      <c r="J228">
        <v>-4</v>
      </c>
      <c r="K228">
        <v>579420</v>
      </c>
      <c r="L228" t="s">
        <v>6008</v>
      </c>
      <c r="M228" s="1">
        <v>41272</v>
      </c>
      <c r="O228" t="s">
        <v>36</v>
      </c>
      <c r="P228" t="s">
        <v>37</v>
      </c>
      <c r="Q228" t="s">
        <v>39</v>
      </c>
      <c r="R228" t="s">
        <v>40</v>
      </c>
      <c r="S228">
        <v>0</v>
      </c>
      <c r="U228" t="s">
        <v>5550</v>
      </c>
      <c r="V228" t="s">
        <v>1797</v>
      </c>
      <c r="X228" t="s">
        <v>74</v>
      </c>
      <c r="Y228" t="b">
        <v>0</v>
      </c>
      <c r="Z228" t="b">
        <v>0</v>
      </c>
      <c r="AC228" s="1"/>
      <c r="AF228">
        <v>0</v>
      </c>
      <c r="AG228">
        <v>45</v>
      </c>
      <c r="AH228">
        <v>41</v>
      </c>
      <c r="AI228" s="2">
        <f>Table__192.168.3.138DYLGSMetaData[[#This Row],[NetAmount]]-Table__192.168.3.138DYLGSMetaData[[#This Row],[Paid]]</f>
        <v>579420</v>
      </c>
    </row>
    <row r="229" spans="1:35" hidden="1">
      <c r="A229" t="s">
        <v>5461</v>
      </c>
      <c r="B229" t="s">
        <v>5462</v>
      </c>
      <c r="C229" t="s">
        <v>6009</v>
      </c>
      <c r="D229" s="1">
        <v>41267</v>
      </c>
      <c r="E229" s="1">
        <v>41312</v>
      </c>
      <c r="F229">
        <v>128000</v>
      </c>
      <c r="G229">
        <v>20480</v>
      </c>
      <c r="H229">
        <v>0</v>
      </c>
      <c r="I229">
        <v>0</v>
      </c>
      <c r="J229">
        <v>1</v>
      </c>
      <c r="K229">
        <v>148480</v>
      </c>
      <c r="L229" t="s">
        <v>6010</v>
      </c>
      <c r="M229" s="1">
        <v>41267</v>
      </c>
      <c r="O229" t="s">
        <v>36</v>
      </c>
      <c r="P229" t="s">
        <v>37</v>
      </c>
      <c r="Q229" t="s">
        <v>39</v>
      </c>
      <c r="R229" t="s">
        <v>40</v>
      </c>
      <c r="S229">
        <v>0</v>
      </c>
      <c r="U229" t="s">
        <v>5550</v>
      </c>
      <c r="V229" t="s">
        <v>1797</v>
      </c>
      <c r="X229" t="s">
        <v>74</v>
      </c>
      <c r="Y229" t="b">
        <v>0</v>
      </c>
      <c r="Z229" t="b">
        <v>0</v>
      </c>
      <c r="AC229" s="1"/>
      <c r="AF229">
        <v>0</v>
      </c>
      <c r="AG229">
        <v>45</v>
      </c>
      <c r="AH229">
        <v>46</v>
      </c>
      <c r="AI229" s="2">
        <f>Table__192.168.3.138DYLGSMetaData[[#This Row],[NetAmount]]-Table__192.168.3.138DYLGSMetaData[[#This Row],[Paid]]</f>
        <v>148480</v>
      </c>
    </row>
    <row r="230" spans="1:35" hidden="1">
      <c r="A230" t="s">
        <v>5461</v>
      </c>
      <c r="B230" t="s">
        <v>5462</v>
      </c>
      <c r="C230" t="s">
        <v>6011</v>
      </c>
      <c r="D230" s="1">
        <v>41274</v>
      </c>
      <c r="E230" s="1">
        <v>41319</v>
      </c>
      <c r="F230">
        <v>80000</v>
      </c>
      <c r="G230">
        <v>12800</v>
      </c>
      <c r="H230">
        <v>0</v>
      </c>
      <c r="I230">
        <v>0</v>
      </c>
      <c r="J230">
        <v>-4</v>
      </c>
      <c r="K230">
        <v>92800</v>
      </c>
      <c r="L230" t="s">
        <v>6012</v>
      </c>
      <c r="M230" s="1">
        <v>41272</v>
      </c>
      <c r="O230" t="s">
        <v>36</v>
      </c>
      <c r="P230" t="s">
        <v>37</v>
      </c>
      <c r="Q230" t="s">
        <v>39</v>
      </c>
      <c r="R230" t="s">
        <v>40</v>
      </c>
      <c r="S230">
        <v>0</v>
      </c>
      <c r="U230" t="s">
        <v>5550</v>
      </c>
      <c r="V230" t="s">
        <v>1797</v>
      </c>
      <c r="X230" t="s">
        <v>74</v>
      </c>
      <c r="Y230" t="b">
        <v>0</v>
      </c>
      <c r="Z230" t="b">
        <v>0</v>
      </c>
      <c r="AC230" s="1"/>
      <c r="AF230">
        <v>0</v>
      </c>
      <c r="AG230">
        <v>45</v>
      </c>
      <c r="AH230">
        <v>41</v>
      </c>
      <c r="AI230" s="2">
        <f>Table__192.168.3.138DYLGSMetaData[[#This Row],[NetAmount]]-Table__192.168.3.138DYLGSMetaData[[#This Row],[Paid]]</f>
        <v>92800</v>
      </c>
    </row>
    <row r="231" spans="1:35" hidden="1">
      <c r="A231" t="s">
        <v>5461</v>
      </c>
      <c r="B231" t="s">
        <v>5462</v>
      </c>
      <c r="C231" t="s">
        <v>6013</v>
      </c>
      <c r="D231" s="1">
        <v>41267</v>
      </c>
      <c r="E231" s="1">
        <v>41312</v>
      </c>
      <c r="F231">
        <v>62000</v>
      </c>
      <c r="G231">
        <v>9920</v>
      </c>
      <c r="H231">
        <v>0</v>
      </c>
      <c r="I231">
        <v>0</v>
      </c>
      <c r="J231">
        <v>1</v>
      </c>
      <c r="K231">
        <v>71920</v>
      </c>
      <c r="L231" t="s">
        <v>6014</v>
      </c>
      <c r="M231" s="1">
        <v>41267</v>
      </c>
      <c r="O231" t="s">
        <v>36</v>
      </c>
      <c r="P231" t="s">
        <v>37</v>
      </c>
      <c r="Q231" t="s">
        <v>39</v>
      </c>
      <c r="R231" t="s">
        <v>40</v>
      </c>
      <c r="S231">
        <v>0</v>
      </c>
      <c r="U231" t="s">
        <v>5550</v>
      </c>
      <c r="V231" t="s">
        <v>1797</v>
      </c>
      <c r="X231" t="s">
        <v>74</v>
      </c>
      <c r="Y231" t="b">
        <v>0</v>
      </c>
      <c r="Z231" t="b">
        <v>0</v>
      </c>
      <c r="AC231" s="1"/>
      <c r="AF231">
        <v>0</v>
      </c>
      <c r="AG231">
        <v>45</v>
      </c>
      <c r="AH231">
        <v>46</v>
      </c>
      <c r="AI231" s="2">
        <f>Table__192.168.3.138DYLGSMetaData[[#This Row],[NetAmount]]-Table__192.168.3.138DYLGSMetaData[[#This Row],[Paid]]</f>
        <v>71920</v>
      </c>
    </row>
    <row r="232" spans="1:35" hidden="1">
      <c r="A232" t="s">
        <v>5539</v>
      </c>
      <c r="B232" t="s">
        <v>5540</v>
      </c>
      <c r="C232" t="s">
        <v>6015</v>
      </c>
      <c r="D232" s="1">
        <v>41274</v>
      </c>
      <c r="E232" s="1">
        <v>41319</v>
      </c>
      <c r="F232">
        <v>1380</v>
      </c>
      <c r="G232">
        <v>0</v>
      </c>
      <c r="H232">
        <v>0</v>
      </c>
      <c r="I232">
        <v>0</v>
      </c>
      <c r="J232">
        <v>-6</v>
      </c>
      <c r="K232">
        <v>1380</v>
      </c>
      <c r="L232" t="s">
        <v>3481</v>
      </c>
      <c r="M232" s="1">
        <v>41274</v>
      </c>
      <c r="O232" t="s">
        <v>36</v>
      </c>
      <c r="P232" t="s">
        <v>37</v>
      </c>
      <c r="Q232" t="s">
        <v>39</v>
      </c>
      <c r="R232" t="s">
        <v>40</v>
      </c>
      <c r="S232">
        <v>0</v>
      </c>
      <c r="U232" t="s">
        <v>5550</v>
      </c>
      <c r="V232" t="s">
        <v>1797</v>
      </c>
      <c r="X232" t="s">
        <v>74</v>
      </c>
      <c r="Y232" t="b">
        <v>0</v>
      </c>
      <c r="Z232" t="b">
        <v>0</v>
      </c>
      <c r="AC232" s="1"/>
      <c r="AF232">
        <v>0</v>
      </c>
      <c r="AG232">
        <v>45</v>
      </c>
      <c r="AH232">
        <v>39</v>
      </c>
      <c r="AI232" s="2">
        <f>Table__192.168.3.138DYLGSMetaData[[#This Row],[NetAmount]]-Table__192.168.3.138DYLGSMetaData[[#This Row],[Paid]]</f>
        <v>1380</v>
      </c>
    </row>
    <row r="233" spans="1:35" hidden="1">
      <c r="A233" t="s">
        <v>5521</v>
      </c>
      <c r="B233" t="s">
        <v>5522</v>
      </c>
      <c r="C233" t="s">
        <v>6016</v>
      </c>
      <c r="D233" s="1">
        <v>41274</v>
      </c>
      <c r="E233" s="1">
        <v>41319</v>
      </c>
      <c r="F233">
        <v>109200</v>
      </c>
      <c r="G233">
        <v>17472</v>
      </c>
      <c r="H233">
        <v>0</v>
      </c>
      <c r="I233">
        <v>0</v>
      </c>
      <c r="J233">
        <v>-3</v>
      </c>
      <c r="K233">
        <v>126672</v>
      </c>
      <c r="L233" t="s">
        <v>6017</v>
      </c>
      <c r="M233" s="1">
        <v>41271</v>
      </c>
      <c r="O233" t="s">
        <v>36</v>
      </c>
      <c r="P233" t="s">
        <v>37</v>
      </c>
      <c r="Q233" t="s">
        <v>39</v>
      </c>
      <c r="R233" t="s">
        <v>40</v>
      </c>
      <c r="S233">
        <v>0</v>
      </c>
      <c r="U233" t="s">
        <v>5550</v>
      </c>
      <c r="V233" t="s">
        <v>1797</v>
      </c>
      <c r="X233" t="s">
        <v>74</v>
      </c>
      <c r="Y233" t="b">
        <v>0</v>
      </c>
      <c r="Z233" t="b">
        <v>0</v>
      </c>
      <c r="AC233" s="1"/>
      <c r="AF233">
        <v>0</v>
      </c>
      <c r="AG233">
        <v>45</v>
      </c>
      <c r="AH233">
        <v>42</v>
      </c>
      <c r="AI233" s="2">
        <f>Table__192.168.3.138DYLGSMetaData[[#This Row],[NetAmount]]-Table__192.168.3.138DYLGSMetaData[[#This Row],[Paid]]</f>
        <v>126672</v>
      </c>
    </row>
    <row r="234" spans="1:35" hidden="1">
      <c r="A234" t="s">
        <v>5521</v>
      </c>
      <c r="B234" t="s">
        <v>5522</v>
      </c>
      <c r="C234" t="s">
        <v>6018</v>
      </c>
      <c r="D234" s="1">
        <v>41262</v>
      </c>
      <c r="E234" s="1">
        <v>41307</v>
      </c>
      <c r="F234">
        <v>60000</v>
      </c>
      <c r="G234">
        <v>9600</v>
      </c>
      <c r="H234">
        <v>0</v>
      </c>
      <c r="I234">
        <v>0</v>
      </c>
      <c r="J234">
        <v>7</v>
      </c>
      <c r="K234">
        <v>69600</v>
      </c>
      <c r="L234" t="s">
        <v>6019</v>
      </c>
      <c r="M234" s="1">
        <v>41261</v>
      </c>
      <c r="O234" t="s">
        <v>36</v>
      </c>
      <c r="P234" t="s">
        <v>37</v>
      </c>
      <c r="Q234" t="s">
        <v>39</v>
      </c>
      <c r="R234" t="s">
        <v>40</v>
      </c>
      <c r="S234">
        <v>0</v>
      </c>
      <c r="U234" t="s">
        <v>5550</v>
      </c>
      <c r="V234" t="s">
        <v>1797</v>
      </c>
      <c r="X234" t="s">
        <v>74</v>
      </c>
      <c r="Y234" t="b">
        <v>0</v>
      </c>
      <c r="Z234" t="b">
        <v>0</v>
      </c>
      <c r="AC234" s="1"/>
      <c r="AF234">
        <v>0</v>
      </c>
      <c r="AG234">
        <v>45</v>
      </c>
      <c r="AH234">
        <v>52</v>
      </c>
      <c r="AI234" s="2">
        <f>Table__192.168.3.138DYLGSMetaData[[#This Row],[NetAmount]]-Table__192.168.3.138DYLGSMetaData[[#This Row],[Paid]]</f>
        <v>69600</v>
      </c>
    </row>
    <row r="235" spans="1:35" hidden="1">
      <c r="A235" t="s">
        <v>5521</v>
      </c>
      <c r="B235" t="s">
        <v>5522</v>
      </c>
      <c r="C235" t="s">
        <v>6020</v>
      </c>
      <c r="D235" s="1">
        <v>41260</v>
      </c>
      <c r="E235" s="1">
        <v>41305</v>
      </c>
      <c r="F235">
        <v>64600</v>
      </c>
      <c r="G235">
        <v>10336</v>
      </c>
      <c r="H235">
        <v>0</v>
      </c>
      <c r="I235">
        <v>0</v>
      </c>
      <c r="J235">
        <v>8</v>
      </c>
      <c r="K235">
        <v>74936</v>
      </c>
      <c r="L235" t="s">
        <v>6021</v>
      </c>
      <c r="M235" s="1">
        <v>41260</v>
      </c>
      <c r="O235" t="s">
        <v>36</v>
      </c>
      <c r="P235" t="s">
        <v>37</v>
      </c>
      <c r="Q235" t="s">
        <v>39</v>
      </c>
      <c r="R235" t="s">
        <v>40</v>
      </c>
      <c r="S235">
        <v>0</v>
      </c>
      <c r="U235" t="s">
        <v>5550</v>
      </c>
      <c r="V235" t="s">
        <v>1797</v>
      </c>
      <c r="X235" t="s">
        <v>74</v>
      </c>
      <c r="Y235" t="b">
        <v>0</v>
      </c>
      <c r="Z235" t="b">
        <v>0</v>
      </c>
      <c r="AC235" s="1"/>
      <c r="AF235">
        <v>0</v>
      </c>
      <c r="AG235">
        <v>45</v>
      </c>
      <c r="AH235">
        <v>53</v>
      </c>
      <c r="AI235" s="2">
        <f>Table__192.168.3.138DYLGSMetaData[[#This Row],[NetAmount]]-Table__192.168.3.138DYLGSMetaData[[#This Row],[Paid]]</f>
        <v>74936</v>
      </c>
    </row>
    <row r="236" spans="1:35" hidden="1">
      <c r="A236" t="s">
        <v>5521</v>
      </c>
      <c r="B236" t="s">
        <v>5522</v>
      </c>
      <c r="C236" t="s">
        <v>6022</v>
      </c>
      <c r="D236" s="1">
        <v>41264</v>
      </c>
      <c r="E236" s="1">
        <v>41309</v>
      </c>
      <c r="F236">
        <v>191500</v>
      </c>
      <c r="G236">
        <v>30640</v>
      </c>
      <c r="H236">
        <v>0</v>
      </c>
      <c r="I236">
        <v>0</v>
      </c>
      <c r="J236">
        <v>5</v>
      </c>
      <c r="K236">
        <v>222140</v>
      </c>
      <c r="L236" t="s">
        <v>6023</v>
      </c>
      <c r="M236" s="1">
        <v>41263</v>
      </c>
      <c r="O236" t="s">
        <v>36</v>
      </c>
      <c r="P236" t="s">
        <v>37</v>
      </c>
      <c r="Q236" t="s">
        <v>39</v>
      </c>
      <c r="R236" t="s">
        <v>40</v>
      </c>
      <c r="S236">
        <v>0</v>
      </c>
      <c r="U236" t="s">
        <v>5550</v>
      </c>
      <c r="V236" t="s">
        <v>1797</v>
      </c>
      <c r="X236" t="s">
        <v>74</v>
      </c>
      <c r="Y236" t="b">
        <v>0</v>
      </c>
      <c r="Z236" t="b">
        <v>0</v>
      </c>
      <c r="AC236" s="1"/>
      <c r="AF236">
        <v>0</v>
      </c>
      <c r="AG236">
        <v>45</v>
      </c>
      <c r="AH236">
        <v>50</v>
      </c>
      <c r="AI236" s="2">
        <f>Table__192.168.3.138DYLGSMetaData[[#This Row],[NetAmount]]-Table__192.168.3.138DYLGSMetaData[[#This Row],[Paid]]</f>
        <v>222140</v>
      </c>
    </row>
    <row r="237" spans="1:35" hidden="1">
      <c r="A237" t="s">
        <v>5521</v>
      </c>
      <c r="B237" t="s">
        <v>5522</v>
      </c>
      <c r="C237" t="s">
        <v>6024</v>
      </c>
      <c r="D237" s="1">
        <v>41274</v>
      </c>
      <c r="E237" s="1">
        <v>41319</v>
      </c>
      <c r="F237">
        <v>329000</v>
      </c>
      <c r="G237">
        <v>52640</v>
      </c>
      <c r="H237">
        <v>0</v>
      </c>
      <c r="I237">
        <v>0</v>
      </c>
      <c r="J237">
        <v>1</v>
      </c>
      <c r="K237">
        <v>381640</v>
      </c>
      <c r="L237" t="s">
        <v>6025</v>
      </c>
      <c r="M237" s="1">
        <v>41267</v>
      </c>
      <c r="O237" t="s">
        <v>36</v>
      </c>
      <c r="P237" t="s">
        <v>37</v>
      </c>
      <c r="Q237" t="s">
        <v>39</v>
      </c>
      <c r="R237" t="s">
        <v>40</v>
      </c>
      <c r="S237">
        <v>0</v>
      </c>
      <c r="U237" t="s">
        <v>5550</v>
      </c>
      <c r="V237" t="s">
        <v>1797</v>
      </c>
      <c r="X237" t="s">
        <v>74</v>
      </c>
      <c r="Y237" t="b">
        <v>0</v>
      </c>
      <c r="Z237" t="b">
        <v>0</v>
      </c>
      <c r="AC237" s="1"/>
      <c r="AF237">
        <v>0</v>
      </c>
      <c r="AG237">
        <v>45</v>
      </c>
      <c r="AH237">
        <v>46</v>
      </c>
      <c r="AI237" s="2">
        <f>Table__192.168.3.138DYLGSMetaData[[#This Row],[NetAmount]]-Table__192.168.3.138DYLGSMetaData[[#This Row],[Paid]]</f>
        <v>381640</v>
      </c>
    </row>
    <row r="238" spans="1:35" hidden="1">
      <c r="A238" t="s">
        <v>5531</v>
      </c>
      <c r="B238" t="s">
        <v>5532</v>
      </c>
      <c r="C238" t="s">
        <v>6026</v>
      </c>
      <c r="D238" s="1">
        <v>41274</v>
      </c>
      <c r="E238" s="1">
        <v>41319</v>
      </c>
      <c r="F238">
        <v>9520</v>
      </c>
      <c r="G238">
        <v>1523</v>
      </c>
      <c r="H238">
        <v>0</v>
      </c>
      <c r="I238">
        <v>0</v>
      </c>
      <c r="J238">
        <v>-6</v>
      </c>
      <c r="K238">
        <v>11043</v>
      </c>
      <c r="L238" t="s">
        <v>6027</v>
      </c>
      <c r="M238" s="1">
        <v>41274</v>
      </c>
      <c r="O238" t="s">
        <v>36</v>
      </c>
      <c r="P238" t="s">
        <v>37</v>
      </c>
      <c r="Q238" t="s">
        <v>39</v>
      </c>
      <c r="R238" t="s">
        <v>40</v>
      </c>
      <c r="S238">
        <v>0</v>
      </c>
      <c r="U238" t="s">
        <v>5550</v>
      </c>
      <c r="V238" t="s">
        <v>1797</v>
      </c>
      <c r="X238" t="s">
        <v>74</v>
      </c>
      <c r="Y238" t="b">
        <v>0</v>
      </c>
      <c r="Z238" t="b">
        <v>0</v>
      </c>
      <c r="AC238" s="1"/>
      <c r="AF238">
        <v>0</v>
      </c>
      <c r="AG238">
        <v>45</v>
      </c>
      <c r="AH238">
        <v>39</v>
      </c>
      <c r="AI238" s="2">
        <f>Table__192.168.3.138DYLGSMetaData[[#This Row],[NetAmount]]-Table__192.168.3.138DYLGSMetaData[[#This Row],[Paid]]</f>
        <v>11043</v>
      </c>
    </row>
    <row r="239" spans="1:35" hidden="1">
      <c r="A239" t="s">
        <v>5461</v>
      </c>
      <c r="B239" t="s">
        <v>5462</v>
      </c>
      <c r="C239" t="s">
        <v>6028</v>
      </c>
      <c r="D239" s="1">
        <v>41267</v>
      </c>
      <c r="E239" s="1">
        <v>41312</v>
      </c>
      <c r="F239">
        <v>192000</v>
      </c>
      <c r="G239">
        <v>30720</v>
      </c>
      <c r="H239">
        <v>0</v>
      </c>
      <c r="I239">
        <v>0</v>
      </c>
      <c r="J239">
        <v>1</v>
      </c>
      <c r="K239">
        <v>222720</v>
      </c>
      <c r="L239" t="s">
        <v>6029</v>
      </c>
      <c r="M239" s="1">
        <v>41267</v>
      </c>
      <c r="O239" t="s">
        <v>36</v>
      </c>
      <c r="P239" t="s">
        <v>37</v>
      </c>
      <c r="Q239" t="s">
        <v>39</v>
      </c>
      <c r="R239" t="s">
        <v>40</v>
      </c>
      <c r="S239">
        <v>0</v>
      </c>
      <c r="U239" t="s">
        <v>5550</v>
      </c>
      <c r="V239" t="s">
        <v>1797</v>
      </c>
      <c r="X239" t="s">
        <v>74</v>
      </c>
      <c r="Y239" t="b">
        <v>0</v>
      </c>
      <c r="Z239" t="b">
        <v>0</v>
      </c>
      <c r="AC239" s="1"/>
      <c r="AF239">
        <v>0</v>
      </c>
      <c r="AG239">
        <v>45</v>
      </c>
      <c r="AH239">
        <v>46</v>
      </c>
      <c r="AI239" s="2">
        <f>Table__192.168.3.138DYLGSMetaData[[#This Row],[NetAmount]]-Table__192.168.3.138DYLGSMetaData[[#This Row],[Paid]]</f>
        <v>222720</v>
      </c>
    </row>
    <row r="240" spans="1:35" hidden="1">
      <c r="A240" t="s">
        <v>5461</v>
      </c>
      <c r="B240" t="s">
        <v>5462</v>
      </c>
      <c r="C240" t="s">
        <v>6030</v>
      </c>
      <c r="D240" s="1">
        <v>41261</v>
      </c>
      <c r="E240" s="1">
        <v>41306</v>
      </c>
      <c r="F240">
        <v>22400</v>
      </c>
      <c r="G240">
        <v>3584</v>
      </c>
      <c r="H240">
        <v>0</v>
      </c>
      <c r="I240">
        <v>0</v>
      </c>
      <c r="J240">
        <v>7</v>
      </c>
      <c r="K240">
        <v>25984</v>
      </c>
      <c r="L240" t="s">
        <v>6031</v>
      </c>
      <c r="M240" s="1">
        <v>41261</v>
      </c>
      <c r="O240" t="s">
        <v>36</v>
      </c>
      <c r="P240" t="s">
        <v>37</v>
      </c>
      <c r="Q240" t="s">
        <v>39</v>
      </c>
      <c r="R240" t="s">
        <v>40</v>
      </c>
      <c r="S240">
        <v>0</v>
      </c>
      <c r="U240" t="s">
        <v>5550</v>
      </c>
      <c r="V240" t="s">
        <v>1797</v>
      </c>
      <c r="X240" t="s">
        <v>74</v>
      </c>
      <c r="Y240" t="b">
        <v>0</v>
      </c>
      <c r="Z240" t="b">
        <v>0</v>
      </c>
      <c r="AC240" s="1"/>
      <c r="AF240">
        <v>0</v>
      </c>
      <c r="AG240">
        <v>45</v>
      </c>
      <c r="AH240">
        <v>52</v>
      </c>
      <c r="AI240" s="2">
        <f>Table__192.168.3.138DYLGSMetaData[[#This Row],[NetAmount]]-Table__192.168.3.138DYLGSMetaData[[#This Row],[Paid]]</f>
        <v>25984</v>
      </c>
    </row>
    <row r="241" spans="1:35" hidden="1">
      <c r="A241" t="s">
        <v>5503</v>
      </c>
      <c r="B241" t="s">
        <v>5504</v>
      </c>
      <c r="C241" t="s">
        <v>6032</v>
      </c>
      <c r="D241" s="1">
        <v>41244</v>
      </c>
      <c r="E241" s="1">
        <v>41289</v>
      </c>
      <c r="F241">
        <v>338800</v>
      </c>
      <c r="G241">
        <v>0</v>
      </c>
      <c r="H241">
        <v>0</v>
      </c>
      <c r="I241">
        <v>0</v>
      </c>
      <c r="J241">
        <v>-6</v>
      </c>
      <c r="K241">
        <v>338800</v>
      </c>
      <c r="L241" t="s">
        <v>6033</v>
      </c>
      <c r="M241" s="1">
        <v>41274</v>
      </c>
      <c r="O241" t="s">
        <v>36</v>
      </c>
      <c r="P241" t="s">
        <v>37</v>
      </c>
      <c r="Q241" t="s">
        <v>39</v>
      </c>
      <c r="R241" t="s">
        <v>40</v>
      </c>
      <c r="S241">
        <v>0</v>
      </c>
      <c r="U241" t="s">
        <v>5550</v>
      </c>
      <c r="V241" t="s">
        <v>1797</v>
      </c>
      <c r="X241" t="s">
        <v>74</v>
      </c>
      <c r="Y241" t="b">
        <v>0</v>
      </c>
      <c r="Z241" t="b">
        <v>0</v>
      </c>
      <c r="AC241" s="1"/>
      <c r="AF241">
        <v>0</v>
      </c>
      <c r="AG241">
        <v>45</v>
      </c>
      <c r="AH241">
        <v>39</v>
      </c>
      <c r="AI241" s="2">
        <f>Table__192.168.3.138DYLGSMetaData[[#This Row],[NetAmount]]-Table__192.168.3.138DYLGSMetaData[[#This Row],[Paid]]</f>
        <v>338800</v>
      </c>
    </row>
    <row r="242" spans="1:35" hidden="1">
      <c r="A242" t="s">
        <v>5481</v>
      </c>
      <c r="B242" t="s">
        <v>5482</v>
      </c>
      <c r="C242" t="s">
        <v>6034</v>
      </c>
      <c r="D242" s="1">
        <v>41265</v>
      </c>
      <c r="E242" s="1">
        <v>41310</v>
      </c>
      <c r="F242">
        <v>87816</v>
      </c>
      <c r="G242">
        <v>0</v>
      </c>
      <c r="H242">
        <v>0</v>
      </c>
      <c r="I242">
        <v>0</v>
      </c>
      <c r="J242">
        <v>-6</v>
      </c>
      <c r="K242">
        <v>87816</v>
      </c>
      <c r="L242" t="s">
        <v>6035</v>
      </c>
      <c r="M242" s="1">
        <v>41274</v>
      </c>
      <c r="O242" t="s">
        <v>36</v>
      </c>
      <c r="P242" t="s">
        <v>37</v>
      </c>
      <c r="Q242" t="s">
        <v>39</v>
      </c>
      <c r="R242" t="s">
        <v>40</v>
      </c>
      <c r="S242">
        <v>0</v>
      </c>
      <c r="U242" t="s">
        <v>5550</v>
      </c>
      <c r="V242" t="s">
        <v>1797</v>
      </c>
      <c r="X242" t="s">
        <v>74</v>
      </c>
      <c r="Y242" t="b">
        <v>0</v>
      </c>
      <c r="Z242" t="b">
        <v>0</v>
      </c>
      <c r="AC242" s="1"/>
      <c r="AF242">
        <v>0</v>
      </c>
      <c r="AG242">
        <v>45</v>
      </c>
      <c r="AH242">
        <v>39</v>
      </c>
      <c r="AI242" s="2">
        <f>Table__192.168.3.138DYLGSMetaData[[#This Row],[NetAmount]]-Table__192.168.3.138DYLGSMetaData[[#This Row],[Paid]]</f>
        <v>87816</v>
      </c>
    </row>
    <row r="243" spans="1:35" hidden="1">
      <c r="A243" t="s">
        <v>5481</v>
      </c>
      <c r="B243" t="s">
        <v>5482</v>
      </c>
      <c r="C243" t="s">
        <v>6036</v>
      </c>
      <c r="D243" s="1">
        <v>41274</v>
      </c>
      <c r="E243" s="1">
        <v>41319</v>
      </c>
      <c r="F243">
        <v>88800</v>
      </c>
      <c r="G243">
        <v>0</v>
      </c>
      <c r="H243">
        <v>0</v>
      </c>
      <c r="I243">
        <v>0</v>
      </c>
      <c r="J243">
        <v>-6</v>
      </c>
      <c r="K243">
        <v>88800</v>
      </c>
      <c r="L243" t="s">
        <v>6037</v>
      </c>
      <c r="M243" s="1">
        <v>41274</v>
      </c>
      <c r="O243" t="s">
        <v>36</v>
      </c>
      <c r="P243" t="s">
        <v>37</v>
      </c>
      <c r="Q243" t="s">
        <v>39</v>
      </c>
      <c r="R243" t="s">
        <v>40</v>
      </c>
      <c r="S243">
        <v>0</v>
      </c>
      <c r="U243" t="s">
        <v>5550</v>
      </c>
      <c r="V243" t="s">
        <v>1797</v>
      </c>
      <c r="X243" t="s">
        <v>74</v>
      </c>
      <c r="Y243" t="b">
        <v>0</v>
      </c>
      <c r="Z243" t="b">
        <v>0</v>
      </c>
      <c r="AC243" s="1"/>
      <c r="AF243">
        <v>0</v>
      </c>
      <c r="AG243">
        <v>45</v>
      </c>
      <c r="AH243">
        <v>39</v>
      </c>
      <c r="AI243" s="2">
        <f>Table__192.168.3.138DYLGSMetaData[[#This Row],[NetAmount]]-Table__192.168.3.138DYLGSMetaData[[#This Row],[Paid]]</f>
        <v>88800</v>
      </c>
    </row>
    <row r="244" spans="1:35" hidden="1">
      <c r="A244" t="s">
        <v>5481</v>
      </c>
      <c r="B244" t="s">
        <v>5482</v>
      </c>
      <c r="C244" t="s">
        <v>6038</v>
      </c>
      <c r="D244" s="1">
        <v>41264</v>
      </c>
      <c r="E244" s="1">
        <v>41309</v>
      </c>
      <c r="F244">
        <v>58560</v>
      </c>
      <c r="G244">
        <v>0</v>
      </c>
      <c r="H244">
        <v>0</v>
      </c>
      <c r="I244">
        <v>0</v>
      </c>
      <c r="J244">
        <v>-6</v>
      </c>
      <c r="K244">
        <v>58560</v>
      </c>
      <c r="L244" t="s">
        <v>6039</v>
      </c>
      <c r="M244" s="1">
        <v>41274</v>
      </c>
      <c r="O244" t="s">
        <v>36</v>
      </c>
      <c r="P244" t="s">
        <v>37</v>
      </c>
      <c r="Q244" t="s">
        <v>39</v>
      </c>
      <c r="R244" t="s">
        <v>40</v>
      </c>
      <c r="S244">
        <v>0</v>
      </c>
      <c r="U244" t="s">
        <v>5550</v>
      </c>
      <c r="V244" t="s">
        <v>1797</v>
      </c>
      <c r="X244" t="s">
        <v>74</v>
      </c>
      <c r="Y244" t="b">
        <v>0</v>
      </c>
      <c r="Z244" t="b">
        <v>0</v>
      </c>
      <c r="AC244" s="1"/>
      <c r="AF244">
        <v>0</v>
      </c>
      <c r="AG244">
        <v>45</v>
      </c>
      <c r="AH244">
        <v>39</v>
      </c>
      <c r="AI244" s="2">
        <f>Table__192.168.3.138DYLGSMetaData[[#This Row],[NetAmount]]-Table__192.168.3.138DYLGSMetaData[[#This Row],[Paid]]</f>
        <v>58560</v>
      </c>
    </row>
    <row r="245" spans="1:35" hidden="1">
      <c r="A245" t="s">
        <v>5517</v>
      </c>
      <c r="B245" t="s">
        <v>5518</v>
      </c>
      <c r="C245" t="s">
        <v>6040</v>
      </c>
      <c r="D245" s="1">
        <v>41274</v>
      </c>
      <c r="E245" s="1">
        <v>41319</v>
      </c>
      <c r="F245">
        <v>427210</v>
      </c>
      <c r="G245">
        <v>0</v>
      </c>
      <c r="H245">
        <v>0</v>
      </c>
      <c r="I245">
        <v>0</v>
      </c>
      <c r="J245">
        <v>-6</v>
      </c>
      <c r="K245">
        <v>426765</v>
      </c>
      <c r="L245" t="s">
        <v>6041</v>
      </c>
      <c r="M245" s="1">
        <v>41274</v>
      </c>
      <c r="O245" t="s">
        <v>36</v>
      </c>
      <c r="P245" t="s">
        <v>37</v>
      </c>
      <c r="Q245" t="s">
        <v>39</v>
      </c>
      <c r="R245" t="s">
        <v>40</v>
      </c>
      <c r="S245">
        <v>0</v>
      </c>
      <c r="U245" t="s">
        <v>5550</v>
      </c>
      <c r="V245" t="s">
        <v>1797</v>
      </c>
      <c r="X245" t="s">
        <v>74</v>
      </c>
      <c r="Y245" t="b">
        <v>0</v>
      </c>
      <c r="Z245" t="b">
        <v>0</v>
      </c>
      <c r="AC245" s="1"/>
      <c r="AF245">
        <v>0</v>
      </c>
      <c r="AG245">
        <v>45</v>
      </c>
      <c r="AH245">
        <v>39</v>
      </c>
      <c r="AI245" s="2">
        <f>Table__192.168.3.138DYLGSMetaData[[#This Row],[NetAmount]]-Table__192.168.3.138DYLGSMetaData[[#This Row],[Paid]]</f>
        <v>426765</v>
      </c>
    </row>
    <row r="246" spans="1:35" hidden="1">
      <c r="A246" t="s">
        <v>5517</v>
      </c>
      <c r="B246" t="s">
        <v>5518</v>
      </c>
      <c r="C246" t="s">
        <v>6042</v>
      </c>
      <c r="D246" s="1">
        <v>41244</v>
      </c>
      <c r="E246" s="1">
        <v>41289</v>
      </c>
      <c r="F246">
        <v>452620</v>
      </c>
      <c r="G246">
        <v>0</v>
      </c>
      <c r="H246">
        <v>0</v>
      </c>
      <c r="I246">
        <v>0</v>
      </c>
      <c r="J246">
        <v>-6</v>
      </c>
      <c r="K246">
        <v>452620</v>
      </c>
      <c r="L246" t="s">
        <v>6043</v>
      </c>
      <c r="M246" s="1">
        <v>41274</v>
      </c>
      <c r="O246" t="s">
        <v>36</v>
      </c>
      <c r="P246" t="s">
        <v>37</v>
      </c>
      <c r="Q246" t="s">
        <v>39</v>
      </c>
      <c r="R246" t="s">
        <v>40</v>
      </c>
      <c r="S246">
        <v>0</v>
      </c>
      <c r="U246" t="s">
        <v>5550</v>
      </c>
      <c r="V246" t="s">
        <v>1797</v>
      </c>
      <c r="X246" t="s">
        <v>74</v>
      </c>
      <c r="Y246" t="b">
        <v>0</v>
      </c>
      <c r="Z246" t="b">
        <v>0</v>
      </c>
      <c r="AC246" s="1"/>
      <c r="AF246">
        <v>0</v>
      </c>
      <c r="AG246">
        <v>45</v>
      </c>
      <c r="AH246">
        <v>39</v>
      </c>
      <c r="AI246" s="2">
        <f>Table__192.168.3.138DYLGSMetaData[[#This Row],[NetAmount]]-Table__192.168.3.138DYLGSMetaData[[#This Row],[Paid]]</f>
        <v>452620</v>
      </c>
    </row>
    <row r="247" spans="1:35" hidden="1">
      <c r="A247" t="s">
        <v>5485</v>
      </c>
      <c r="B247" t="s">
        <v>5486</v>
      </c>
      <c r="C247" t="s">
        <v>6044</v>
      </c>
      <c r="D247" s="1">
        <v>41274</v>
      </c>
      <c r="E247" s="1">
        <v>41319</v>
      </c>
      <c r="F247">
        <v>1260858</v>
      </c>
      <c r="G247">
        <v>0</v>
      </c>
      <c r="H247">
        <v>0</v>
      </c>
      <c r="I247">
        <v>0</v>
      </c>
      <c r="J247">
        <v>-6</v>
      </c>
      <c r="K247">
        <v>1260858</v>
      </c>
      <c r="L247" t="s">
        <v>6045</v>
      </c>
      <c r="M247" s="1">
        <v>41274</v>
      </c>
      <c r="O247" t="s">
        <v>36</v>
      </c>
      <c r="P247" t="s">
        <v>37</v>
      </c>
      <c r="Q247" t="s">
        <v>39</v>
      </c>
      <c r="R247" t="s">
        <v>40</v>
      </c>
      <c r="S247">
        <v>0</v>
      </c>
      <c r="U247" t="s">
        <v>5550</v>
      </c>
      <c r="V247" t="s">
        <v>1797</v>
      </c>
      <c r="X247" t="s">
        <v>74</v>
      </c>
      <c r="Y247" t="b">
        <v>0</v>
      </c>
      <c r="Z247" t="b">
        <v>0</v>
      </c>
      <c r="AB247" t="s">
        <v>5560</v>
      </c>
      <c r="AC247" s="1">
        <v>41305</v>
      </c>
      <c r="AF247">
        <v>0</v>
      </c>
      <c r="AG247">
        <v>45</v>
      </c>
      <c r="AH247">
        <v>39</v>
      </c>
      <c r="AI247" s="2">
        <f>Table__192.168.3.138DYLGSMetaData[[#This Row],[NetAmount]]-Table__192.168.3.138DYLGSMetaData[[#This Row],[Paid]]</f>
        <v>1260858</v>
      </c>
    </row>
    <row r="248" spans="1:35" hidden="1">
      <c r="A248" t="s">
        <v>5485</v>
      </c>
      <c r="B248" t="s">
        <v>5486</v>
      </c>
      <c r="C248" t="s">
        <v>6046</v>
      </c>
      <c r="D248" s="1">
        <v>41274</v>
      </c>
      <c r="E248" s="1">
        <v>41319</v>
      </c>
      <c r="F248">
        <v>1027917</v>
      </c>
      <c r="G248">
        <v>0</v>
      </c>
      <c r="H248">
        <v>0</v>
      </c>
      <c r="I248">
        <v>0</v>
      </c>
      <c r="J248">
        <v>-6</v>
      </c>
      <c r="K248">
        <v>1027917</v>
      </c>
      <c r="L248" t="s">
        <v>6047</v>
      </c>
      <c r="M248" s="1">
        <v>41274</v>
      </c>
      <c r="O248" t="s">
        <v>36</v>
      </c>
      <c r="P248" t="s">
        <v>37</v>
      </c>
      <c r="Q248" t="s">
        <v>39</v>
      </c>
      <c r="R248" t="s">
        <v>40</v>
      </c>
      <c r="S248">
        <v>0</v>
      </c>
      <c r="U248" t="s">
        <v>5550</v>
      </c>
      <c r="V248" t="s">
        <v>1797</v>
      </c>
      <c r="X248" t="s">
        <v>74</v>
      </c>
      <c r="Y248" t="b">
        <v>0</v>
      </c>
      <c r="Z248" t="b">
        <v>0</v>
      </c>
      <c r="AB248" t="s">
        <v>5560</v>
      </c>
      <c r="AC248" s="1">
        <v>41305</v>
      </c>
      <c r="AF248">
        <v>0</v>
      </c>
      <c r="AG248">
        <v>45</v>
      </c>
      <c r="AH248">
        <v>39</v>
      </c>
      <c r="AI248" s="2">
        <f>Table__192.168.3.138DYLGSMetaData[[#This Row],[NetAmount]]-Table__192.168.3.138DYLGSMetaData[[#This Row],[Paid]]</f>
        <v>1027917</v>
      </c>
    </row>
    <row r="249" spans="1:35" hidden="1">
      <c r="A249" t="s">
        <v>5485</v>
      </c>
      <c r="B249" t="s">
        <v>5486</v>
      </c>
      <c r="C249" t="s">
        <v>6048</v>
      </c>
      <c r="D249" s="1">
        <v>41274</v>
      </c>
      <c r="E249" s="1">
        <v>41319</v>
      </c>
      <c r="F249">
        <v>1216038</v>
      </c>
      <c r="G249">
        <v>0</v>
      </c>
      <c r="H249">
        <v>0</v>
      </c>
      <c r="I249">
        <v>0</v>
      </c>
      <c r="J249">
        <v>-6</v>
      </c>
      <c r="K249">
        <v>1216038</v>
      </c>
      <c r="L249" t="s">
        <v>5265</v>
      </c>
      <c r="M249" s="1">
        <v>41274</v>
      </c>
      <c r="O249" t="s">
        <v>36</v>
      </c>
      <c r="P249" t="s">
        <v>37</v>
      </c>
      <c r="Q249" t="s">
        <v>39</v>
      </c>
      <c r="R249" t="s">
        <v>40</v>
      </c>
      <c r="S249">
        <v>0</v>
      </c>
      <c r="U249" t="s">
        <v>5550</v>
      </c>
      <c r="V249" t="s">
        <v>1797</v>
      </c>
      <c r="X249" t="s">
        <v>74</v>
      </c>
      <c r="Y249" t="b">
        <v>0</v>
      </c>
      <c r="Z249" t="b">
        <v>0</v>
      </c>
      <c r="AB249" t="s">
        <v>5560</v>
      </c>
      <c r="AC249" s="1">
        <v>41305</v>
      </c>
      <c r="AF249">
        <v>0</v>
      </c>
      <c r="AG249">
        <v>45</v>
      </c>
      <c r="AH249">
        <v>39</v>
      </c>
      <c r="AI249" s="2">
        <f>Table__192.168.3.138DYLGSMetaData[[#This Row],[NetAmount]]-Table__192.168.3.138DYLGSMetaData[[#This Row],[Paid]]</f>
        <v>1216038</v>
      </c>
    </row>
    <row r="250" spans="1:35" hidden="1">
      <c r="A250" t="s">
        <v>5485</v>
      </c>
      <c r="B250" t="s">
        <v>5486</v>
      </c>
      <c r="C250" t="s">
        <v>6049</v>
      </c>
      <c r="D250" s="1">
        <v>41272</v>
      </c>
      <c r="E250" s="1">
        <v>41317</v>
      </c>
      <c r="F250">
        <v>65000</v>
      </c>
      <c r="G250">
        <v>0</v>
      </c>
      <c r="H250">
        <v>0</v>
      </c>
      <c r="I250">
        <v>0</v>
      </c>
      <c r="J250">
        <v>-6</v>
      </c>
      <c r="K250">
        <v>65000</v>
      </c>
      <c r="L250" t="s">
        <v>6050</v>
      </c>
      <c r="M250" s="1">
        <v>41274</v>
      </c>
      <c r="O250" t="s">
        <v>36</v>
      </c>
      <c r="P250" t="s">
        <v>37</v>
      </c>
      <c r="Q250" t="s">
        <v>39</v>
      </c>
      <c r="R250" t="s">
        <v>40</v>
      </c>
      <c r="S250">
        <v>0</v>
      </c>
      <c r="U250" t="s">
        <v>5550</v>
      </c>
      <c r="V250" t="s">
        <v>1797</v>
      </c>
      <c r="X250" t="s">
        <v>74</v>
      </c>
      <c r="Y250" t="b">
        <v>0</v>
      </c>
      <c r="Z250" t="b">
        <v>0</v>
      </c>
      <c r="AB250" t="s">
        <v>5560</v>
      </c>
      <c r="AC250" s="1">
        <v>41305</v>
      </c>
      <c r="AF250">
        <v>0</v>
      </c>
      <c r="AG250">
        <v>45</v>
      </c>
      <c r="AH250">
        <v>39</v>
      </c>
      <c r="AI250" s="2">
        <f>Table__192.168.3.138DYLGSMetaData[[#This Row],[NetAmount]]-Table__192.168.3.138DYLGSMetaData[[#This Row],[Paid]]</f>
        <v>65000</v>
      </c>
    </row>
    <row r="251" spans="1:35" hidden="1">
      <c r="A251" t="s">
        <v>5529</v>
      </c>
      <c r="B251" t="s">
        <v>5530</v>
      </c>
      <c r="C251" t="s">
        <v>6051</v>
      </c>
      <c r="D251" s="1">
        <v>41268</v>
      </c>
      <c r="E251" s="1">
        <v>41313</v>
      </c>
      <c r="F251">
        <v>296700</v>
      </c>
      <c r="G251">
        <v>0</v>
      </c>
      <c r="H251">
        <v>0</v>
      </c>
      <c r="I251">
        <v>0</v>
      </c>
      <c r="J251">
        <v>-6</v>
      </c>
      <c r="K251">
        <v>296700</v>
      </c>
      <c r="L251" t="s">
        <v>6052</v>
      </c>
      <c r="M251" s="1">
        <v>41274</v>
      </c>
      <c r="O251" t="s">
        <v>36</v>
      </c>
      <c r="P251" t="s">
        <v>37</v>
      </c>
      <c r="Q251" t="s">
        <v>39</v>
      </c>
      <c r="R251" t="s">
        <v>40</v>
      </c>
      <c r="S251">
        <v>0</v>
      </c>
      <c r="U251" t="s">
        <v>5550</v>
      </c>
      <c r="V251" t="s">
        <v>1797</v>
      </c>
      <c r="X251" t="s">
        <v>74</v>
      </c>
      <c r="Y251" t="b">
        <v>0</v>
      </c>
      <c r="Z251" t="b">
        <v>0</v>
      </c>
      <c r="AC251" s="1"/>
      <c r="AF251">
        <v>0</v>
      </c>
      <c r="AG251">
        <v>45</v>
      </c>
      <c r="AH251">
        <v>39</v>
      </c>
      <c r="AI251" s="2">
        <f>Table__192.168.3.138DYLGSMetaData[[#This Row],[NetAmount]]-Table__192.168.3.138DYLGSMetaData[[#This Row],[Paid]]</f>
        <v>296700</v>
      </c>
    </row>
    <row r="252" spans="1:35" hidden="1">
      <c r="A252" t="s">
        <v>5483</v>
      </c>
      <c r="B252" t="s">
        <v>5484</v>
      </c>
      <c r="C252" t="s">
        <v>6053</v>
      </c>
      <c r="D252" s="1">
        <v>41274</v>
      </c>
      <c r="E252" s="1">
        <v>41319</v>
      </c>
      <c r="F252">
        <v>18900</v>
      </c>
      <c r="G252">
        <v>0</v>
      </c>
      <c r="H252">
        <v>0</v>
      </c>
      <c r="I252">
        <v>0</v>
      </c>
      <c r="J252">
        <v>-6</v>
      </c>
      <c r="K252">
        <v>18900</v>
      </c>
      <c r="L252" t="s">
        <v>1332</v>
      </c>
      <c r="M252" s="1">
        <v>41274</v>
      </c>
      <c r="O252" t="s">
        <v>36</v>
      </c>
      <c r="P252" t="s">
        <v>37</v>
      </c>
      <c r="Q252" t="s">
        <v>39</v>
      </c>
      <c r="R252" t="s">
        <v>40</v>
      </c>
      <c r="S252">
        <v>0</v>
      </c>
      <c r="U252" t="s">
        <v>5550</v>
      </c>
      <c r="V252" t="s">
        <v>1797</v>
      </c>
      <c r="X252" t="s">
        <v>74</v>
      </c>
      <c r="Y252" t="b">
        <v>0</v>
      </c>
      <c r="Z252" t="b">
        <v>0</v>
      </c>
      <c r="AC252" s="1"/>
      <c r="AF252">
        <v>0</v>
      </c>
      <c r="AG252">
        <v>45</v>
      </c>
      <c r="AH252">
        <v>39</v>
      </c>
      <c r="AI252" s="2">
        <f>Table__192.168.3.138DYLGSMetaData[[#This Row],[NetAmount]]-Table__192.168.3.138DYLGSMetaData[[#This Row],[Paid]]</f>
        <v>18900</v>
      </c>
    </row>
    <row r="253" spans="1:35" hidden="1">
      <c r="A253" t="s">
        <v>5503</v>
      </c>
      <c r="B253" t="s">
        <v>5504</v>
      </c>
      <c r="C253" t="s">
        <v>6054</v>
      </c>
      <c r="D253" s="1">
        <v>41274</v>
      </c>
      <c r="E253" s="1">
        <v>41319</v>
      </c>
      <c r="F253">
        <v>48900</v>
      </c>
      <c r="G253">
        <v>0</v>
      </c>
      <c r="H253">
        <v>0</v>
      </c>
      <c r="I253">
        <v>0</v>
      </c>
      <c r="J253">
        <v>0</v>
      </c>
      <c r="K253">
        <v>48900</v>
      </c>
      <c r="L253" t="s">
        <v>2263</v>
      </c>
      <c r="M253" s="1">
        <v>41268</v>
      </c>
      <c r="O253" t="s">
        <v>36</v>
      </c>
      <c r="P253" t="s">
        <v>37</v>
      </c>
      <c r="Q253" t="s">
        <v>39</v>
      </c>
      <c r="R253" t="s">
        <v>40</v>
      </c>
      <c r="S253">
        <v>0</v>
      </c>
      <c r="U253" t="s">
        <v>5550</v>
      </c>
      <c r="V253" t="s">
        <v>1797</v>
      </c>
      <c r="X253" t="s">
        <v>74</v>
      </c>
      <c r="Y253" t="b">
        <v>0</v>
      </c>
      <c r="Z253" t="b">
        <v>0</v>
      </c>
      <c r="AC253" s="1"/>
      <c r="AF253">
        <v>0</v>
      </c>
      <c r="AG253">
        <v>45</v>
      </c>
      <c r="AH253">
        <v>45</v>
      </c>
      <c r="AI253" s="2">
        <f>Table__192.168.3.138DYLGSMetaData[[#This Row],[NetAmount]]-Table__192.168.3.138DYLGSMetaData[[#This Row],[Paid]]</f>
        <v>48900</v>
      </c>
    </row>
    <row r="254" spans="1:35" hidden="1">
      <c r="A254" t="s">
        <v>5503</v>
      </c>
      <c r="B254" t="s">
        <v>5504</v>
      </c>
      <c r="C254" t="s">
        <v>6055</v>
      </c>
      <c r="D254" s="1">
        <v>41274</v>
      </c>
      <c r="E254" s="1">
        <v>41319</v>
      </c>
      <c r="F254">
        <v>288600</v>
      </c>
      <c r="G254">
        <v>0</v>
      </c>
      <c r="H254">
        <v>0</v>
      </c>
      <c r="I254">
        <v>0</v>
      </c>
      <c r="J254">
        <v>-6</v>
      </c>
      <c r="K254">
        <v>288600</v>
      </c>
      <c r="L254" t="s">
        <v>4836</v>
      </c>
      <c r="M254" s="1">
        <v>41274</v>
      </c>
      <c r="O254" t="s">
        <v>36</v>
      </c>
      <c r="P254" t="s">
        <v>37</v>
      </c>
      <c r="Q254" t="s">
        <v>39</v>
      </c>
      <c r="R254" t="s">
        <v>40</v>
      </c>
      <c r="S254">
        <v>0</v>
      </c>
      <c r="U254" t="s">
        <v>5550</v>
      </c>
      <c r="V254" t="s">
        <v>1797</v>
      </c>
      <c r="X254" t="s">
        <v>74</v>
      </c>
      <c r="Y254" t="b">
        <v>0</v>
      </c>
      <c r="Z254" t="b">
        <v>0</v>
      </c>
      <c r="AC254" s="1"/>
      <c r="AF254">
        <v>0</v>
      </c>
      <c r="AG254">
        <v>45</v>
      </c>
      <c r="AH254">
        <v>39</v>
      </c>
      <c r="AI254" s="2">
        <f>Table__192.168.3.138DYLGSMetaData[[#This Row],[NetAmount]]-Table__192.168.3.138DYLGSMetaData[[#This Row],[Paid]]</f>
        <v>288600</v>
      </c>
    </row>
    <row r="255" spans="1:35" hidden="1">
      <c r="A255" t="s">
        <v>5479</v>
      </c>
      <c r="B255" t="s">
        <v>5480</v>
      </c>
      <c r="C255" t="s">
        <v>6056</v>
      </c>
      <c r="D255" s="1">
        <v>41268</v>
      </c>
      <c r="E255" s="1">
        <v>41313</v>
      </c>
      <c r="F255">
        <v>70000</v>
      </c>
      <c r="G255">
        <v>0</v>
      </c>
      <c r="H255">
        <v>0</v>
      </c>
      <c r="I255">
        <v>0</v>
      </c>
      <c r="J255">
        <v>0</v>
      </c>
      <c r="K255">
        <v>70000</v>
      </c>
      <c r="L255" t="s">
        <v>6057</v>
      </c>
      <c r="M255" s="1">
        <v>41268</v>
      </c>
      <c r="O255" t="s">
        <v>36</v>
      </c>
      <c r="P255" t="s">
        <v>37</v>
      </c>
      <c r="Q255" t="s">
        <v>39</v>
      </c>
      <c r="R255" t="s">
        <v>40</v>
      </c>
      <c r="S255">
        <v>0</v>
      </c>
      <c r="U255" t="s">
        <v>5550</v>
      </c>
      <c r="V255" t="s">
        <v>1797</v>
      </c>
      <c r="X255" t="s">
        <v>74</v>
      </c>
      <c r="Y255" t="b">
        <v>0</v>
      </c>
      <c r="Z255" t="b">
        <v>0</v>
      </c>
      <c r="AC255" s="1"/>
      <c r="AF255">
        <v>0</v>
      </c>
      <c r="AG255">
        <v>45</v>
      </c>
      <c r="AH255">
        <v>45</v>
      </c>
      <c r="AI255" s="2">
        <f>Table__192.168.3.138DYLGSMetaData[[#This Row],[NetAmount]]-Table__192.168.3.138DYLGSMetaData[[#This Row],[Paid]]</f>
        <v>70000</v>
      </c>
    </row>
    <row r="256" spans="1:35" hidden="1">
      <c r="A256" t="s">
        <v>5483</v>
      </c>
      <c r="B256" t="s">
        <v>5484</v>
      </c>
      <c r="C256" t="s">
        <v>6058</v>
      </c>
      <c r="D256" s="1">
        <v>41251</v>
      </c>
      <c r="E256" s="1">
        <v>41296</v>
      </c>
      <c r="F256">
        <v>6500</v>
      </c>
      <c r="G256">
        <v>0</v>
      </c>
      <c r="H256">
        <v>0</v>
      </c>
      <c r="I256">
        <v>0</v>
      </c>
      <c r="J256">
        <v>-6</v>
      </c>
      <c r="K256">
        <v>6500</v>
      </c>
      <c r="L256" t="s">
        <v>4591</v>
      </c>
      <c r="M256" s="1">
        <v>41274</v>
      </c>
      <c r="O256" t="s">
        <v>36</v>
      </c>
      <c r="P256" t="s">
        <v>37</v>
      </c>
      <c r="Q256" t="s">
        <v>39</v>
      </c>
      <c r="R256" t="s">
        <v>40</v>
      </c>
      <c r="S256">
        <v>0</v>
      </c>
      <c r="U256" t="s">
        <v>5550</v>
      </c>
      <c r="V256" t="s">
        <v>1797</v>
      </c>
      <c r="X256" t="s">
        <v>74</v>
      </c>
      <c r="Y256" t="b">
        <v>0</v>
      </c>
      <c r="Z256" t="b">
        <v>0</v>
      </c>
      <c r="AC256" s="1"/>
      <c r="AF256">
        <v>0</v>
      </c>
      <c r="AG256">
        <v>45</v>
      </c>
      <c r="AH256">
        <v>39</v>
      </c>
      <c r="AI256" s="2">
        <f>Table__192.168.3.138DYLGSMetaData[[#This Row],[NetAmount]]-Table__192.168.3.138DYLGSMetaData[[#This Row],[Paid]]</f>
        <v>6500</v>
      </c>
    </row>
    <row r="257" spans="1:35" hidden="1">
      <c r="A257" t="s">
        <v>5521</v>
      </c>
      <c r="B257" t="s">
        <v>5522</v>
      </c>
      <c r="C257" t="s">
        <v>6059</v>
      </c>
      <c r="D257" s="1">
        <v>41286</v>
      </c>
      <c r="E257" s="1">
        <v>41331</v>
      </c>
      <c r="F257">
        <v>34000</v>
      </c>
      <c r="G257">
        <v>5440</v>
      </c>
      <c r="H257">
        <v>0</v>
      </c>
      <c r="I257">
        <v>0</v>
      </c>
      <c r="J257">
        <v>-17</v>
      </c>
      <c r="K257">
        <v>39440</v>
      </c>
      <c r="L257" t="s">
        <v>6060</v>
      </c>
      <c r="M257" s="1">
        <v>41285</v>
      </c>
      <c r="O257" t="s">
        <v>36</v>
      </c>
      <c r="P257" t="s">
        <v>37</v>
      </c>
      <c r="Q257" t="s">
        <v>39</v>
      </c>
      <c r="R257" t="s">
        <v>40</v>
      </c>
      <c r="S257">
        <v>0</v>
      </c>
      <c r="U257" t="s">
        <v>5550</v>
      </c>
      <c r="V257" t="s">
        <v>1797</v>
      </c>
      <c r="X257" t="s">
        <v>74</v>
      </c>
      <c r="Y257" t="b">
        <v>0</v>
      </c>
      <c r="Z257" t="b">
        <v>0</v>
      </c>
      <c r="AC257" s="1"/>
      <c r="AF257">
        <v>0</v>
      </c>
      <c r="AG257">
        <v>45</v>
      </c>
      <c r="AH257">
        <v>28</v>
      </c>
      <c r="AI257" s="2">
        <f>Table__192.168.3.138DYLGSMetaData[[#This Row],[NetAmount]]-Table__192.168.3.138DYLGSMetaData[[#This Row],[Paid]]</f>
        <v>39440</v>
      </c>
    </row>
    <row r="258" spans="1:35" hidden="1">
      <c r="A258" t="s">
        <v>5521</v>
      </c>
      <c r="B258" t="s">
        <v>5522</v>
      </c>
      <c r="C258" t="s">
        <v>6061</v>
      </c>
      <c r="D258" s="1">
        <v>41276</v>
      </c>
      <c r="E258" s="1">
        <v>41321</v>
      </c>
      <c r="F258">
        <v>91800</v>
      </c>
      <c r="G258">
        <v>14688</v>
      </c>
      <c r="H258">
        <v>0</v>
      </c>
      <c r="I258">
        <v>0</v>
      </c>
      <c r="J258">
        <v>-10</v>
      </c>
      <c r="K258">
        <v>106488</v>
      </c>
      <c r="L258" t="s">
        <v>6062</v>
      </c>
      <c r="M258" s="1">
        <v>41278</v>
      </c>
      <c r="O258" t="s">
        <v>36</v>
      </c>
      <c r="P258" t="s">
        <v>37</v>
      </c>
      <c r="Q258" t="s">
        <v>39</v>
      </c>
      <c r="R258" t="s">
        <v>40</v>
      </c>
      <c r="S258">
        <v>0</v>
      </c>
      <c r="U258" t="s">
        <v>5550</v>
      </c>
      <c r="V258" t="s">
        <v>1797</v>
      </c>
      <c r="X258" t="s">
        <v>74</v>
      </c>
      <c r="Y258" t="b">
        <v>0</v>
      </c>
      <c r="Z258" t="b">
        <v>0</v>
      </c>
      <c r="AC258" s="1"/>
      <c r="AF258">
        <v>0</v>
      </c>
      <c r="AG258">
        <v>45</v>
      </c>
      <c r="AH258">
        <v>35</v>
      </c>
      <c r="AI258" s="2">
        <f>Table__192.168.3.138DYLGSMetaData[[#This Row],[NetAmount]]-Table__192.168.3.138DYLGSMetaData[[#This Row],[Paid]]</f>
        <v>106488</v>
      </c>
    </row>
    <row r="259" spans="1:35" hidden="1">
      <c r="A259" t="s">
        <v>5521</v>
      </c>
      <c r="B259" t="s">
        <v>5522</v>
      </c>
      <c r="C259" t="s">
        <v>6063</v>
      </c>
      <c r="D259" s="1">
        <v>41278</v>
      </c>
      <c r="E259" s="1">
        <v>41323</v>
      </c>
      <c r="F259">
        <v>213788</v>
      </c>
      <c r="G259">
        <v>34206</v>
      </c>
      <c r="H259">
        <v>0</v>
      </c>
      <c r="I259">
        <v>0</v>
      </c>
      <c r="J259">
        <v>-10</v>
      </c>
      <c r="K259">
        <v>247994</v>
      </c>
      <c r="L259" t="s">
        <v>6064</v>
      </c>
      <c r="M259" s="1">
        <v>41278</v>
      </c>
      <c r="O259" t="s">
        <v>36</v>
      </c>
      <c r="P259" t="s">
        <v>37</v>
      </c>
      <c r="Q259" t="s">
        <v>39</v>
      </c>
      <c r="R259" t="s">
        <v>40</v>
      </c>
      <c r="S259">
        <v>0</v>
      </c>
      <c r="U259" t="s">
        <v>5550</v>
      </c>
      <c r="V259" t="s">
        <v>1797</v>
      </c>
      <c r="X259" t="s">
        <v>74</v>
      </c>
      <c r="Y259" t="b">
        <v>0</v>
      </c>
      <c r="Z259" t="b">
        <v>0</v>
      </c>
      <c r="AC259" s="1"/>
      <c r="AF259">
        <v>0</v>
      </c>
      <c r="AG259">
        <v>45</v>
      </c>
      <c r="AH259">
        <v>35</v>
      </c>
      <c r="AI259" s="2">
        <f>Table__192.168.3.138DYLGSMetaData[[#This Row],[NetAmount]]-Table__192.168.3.138DYLGSMetaData[[#This Row],[Paid]]</f>
        <v>247994</v>
      </c>
    </row>
    <row r="260" spans="1:35" hidden="1">
      <c r="A260" t="s">
        <v>5521</v>
      </c>
      <c r="B260" t="s">
        <v>5522</v>
      </c>
      <c r="C260" t="s">
        <v>6065</v>
      </c>
      <c r="D260" s="1">
        <v>41281</v>
      </c>
      <c r="E260" s="1">
        <v>41326</v>
      </c>
      <c r="F260">
        <v>54000</v>
      </c>
      <c r="G260">
        <v>8640</v>
      </c>
      <c r="H260">
        <v>0</v>
      </c>
      <c r="I260">
        <v>0</v>
      </c>
      <c r="J260">
        <v>-13</v>
      </c>
      <c r="K260">
        <v>62640</v>
      </c>
      <c r="L260" t="s">
        <v>6066</v>
      </c>
      <c r="M260" s="1">
        <v>41281</v>
      </c>
      <c r="O260" t="s">
        <v>36</v>
      </c>
      <c r="P260" t="s">
        <v>37</v>
      </c>
      <c r="Q260" t="s">
        <v>39</v>
      </c>
      <c r="R260" t="s">
        <v>40</v>
      </c>
      <c r="S260">
        <v>0</v>
      </c>
      <c r="U260" t="s">
        <v>5550</v>
      </c>
      <c r="V260" t="s">
        <v>1797</v>
      </c>
      <c r="X260" t="s">
        <v>74</v>
      </c>
      <c r="Y260" t="b">
        <v>0</v>
      </c>
      <c r="Z260" t="b">
        <v>0</v>
      </c>
      <c r="AC260" s="1"/>
      <c r="AF260">
        <v>0</v>
      </c>
      <c r="AG260">
        <v>45</v>
      </c>
      <c r="AH260">
        <v>32</v>
      </c>
      <c r="AI260" s="2">
        <f>Table__192.168.3.138DYLGSMetaData[[#This Row],[NetAmount]]-Table__192.168.3.138DYLGSMetaData[[#This Row],[Paid]]</f>
        <v>62640</v>
      </c>
    </row>
    <row r="261" spans="1:35" hidden="1">
      <c r="A261" t="s">
        <v>5461</v>
      </c>
      <c r="B261" t="s">
        <v>5462</v>
      </c>
      <c r="C261" t="s">
        <v>6067</v>
      </c>
      <c r="D261" s="1">
        <v>41286</v>
      </c>
      <c r="E261" s="1">
        <v>41331</v>
      </c>
      <c r="F261">
        <v>93000</v>
      </c>
      <c r="G261">
        <v>14880</v>
      </c>
      <c r="H261">
        <v>0</v>
      </c>
      <c r="I261">
        <v>0</v>
      </c>
      <c r="J261">
        <v>-18</v>
      </c>
      <c r="K261">
        <v>107880</v>
      </c>
      <c r="L261" t="s">
        <v>6068</v>
      </c>
      <c r="M261" s="1">
        <v>41286</v>
      </c>
      <c r="O261" t="s">
        <v>36</v>
      </c>
      <c r="P261" t="s">
        <v>37</v>
      </c>
      <c r="Q261" t="s">
        <v>39</v>
      </c>
      <c r="R261" t="s">
        <v>40</v>
      </c>
      <c r="S261">
        <v>0</v>
      </c>
      <c r="U261" t="s">
        <v>5550</v>
      </c>
      <c r="V261" t="s">
        <v>1797</v>
      </c>
      <c r="X261" t="s">
        <v>74</v>
      </c>
      <c r="Y261" t="b">
        <v>0</v>
      </c>
      <c r="Z261" t="b">
        <v>0</v>
      </c>
      <c r="AC261" s="1"/>
      <c r="AF261">
        <v>0</v>
      </c>
      <c r="AG261">
        <v>45</v>
      </c>
      <c r="AH261">
        <v>27</v>
      </c>
      <c r="AI261" s="2">
        <f>Table__192.168.3.138DYLGSMetaData[[#This Row],[NetAmount]]-Table__192.168.3.138DYLGSMetaData[[#This Row],[Paid]]</f>
        <v>107880</v>
      </c>
    </row>
    <row r="262" spans="1:35" hidden="1">
      <c r="A262" t="s">
        <v>5461</v>
      </c>
      <c r="B262" t="s">
        <v>5462</v>
      </c>
      <c r="C262" t="s">
        <v>6069</v>
      </c>
      <c r="D262" s="1">
        <v>41286</v>
      </c>
      <c r="E262" s="1">
        <v>41331</v>
      </c>
      <c r="F262">
        <v>381900</v>
      </c>
      <c r="G262">
        <v>61104</v>
      </c>
      <c r="H262">
        <v>0</v>
      </c>
      <c r="I262">
        <v>0</v>
      </c>
      <c r="J262">
        <v>-18</v>
      </c>
      <c r="K262">
        <v>443004</v>
      </c>
      <c r="L262" t="s">
        <v>6070</v>
      </c>
      <c r="M262" s="1">
        <v>41286</v>
      </c>
      <c r="O262" t="s">
        <v>36</v>
      </c>
      <c r="P262" t="s">
        <v>37</v>
      </c>
      <c r="Q262" t="s">
        <v>39</v>
      </c>
      <c r="R262" t="s">
        <v>40</v>
      </c>
      <c r="S262">
        <v>0</v>
      </c>
      <c r="U262" t="s">
        <v>5550</v>
      </c>
      <c r="V262" t="s">
        <v>1797</v>
      </c>
      <c r="X262" t="s">
        <v>74</v>
      </c>
      <c r="Y262" t="b">
        <v>0</v>
      </c>
      <c r="Z262" t="b">
        <v>0</v>
      </c>
      <c r="AC262" s="1"/>
      <c r="AF262">
        <v>0</v>
      </c>
      <c r="AG262">
        <v>45</v>
      </c>
      <c r="AH262">
        <v>27</v>
      </c>
      <c r="AI262" s="2">
        <f>Table__192.168.3.138DYLGSMetaData[[#This Row],[NetAmount]]-Table__192.168.3.138DYLGSMetaData[[#This Row],[Paid]]</f>
        <v>443004</v>
      </c>
    </row>
    <row r="263" spans="1:35" hidden="1">
      <c r="A263" t="s">
        <v>5461</v>
      </c>
      <c r="B263" t="s">
        <v>5462</v>
      </c>
      <c r="C263" t="s">
        <v>6071</v>
      </c>
      <c r="D263" s="1">
        <v>41286</v>
      </c>
      <c r="E263" s="1">
        <v>41331</v>
      </c>
      <c r="F263">
        <v>35000</v>
      </c>
      <c r="G263">
        <v>5600</v>
      </c>
      <c r="H263">
        <v>0</v>
      </c>
      <c r="I263">
        <v>0</v>
      </c>
      <c r="J263">
        <v>-18</v>
      </c>
      <c r="K263">
        <v>40600</v>
      </c>
      <c r="L263" t="s">
        <v>6072</v>
      </c>
      <c r="M263" s="1">
        <v>41286</v>
      </c>
      <c r="O263" t="s">
        <v>36</v>
      </c>
      <c r="P263" t="s">
        <v>37</v>
      </c>
      <c r="Q263" t="s">
        <v>39</v>
      </c>
      <c r="R263" t="s">
        <v>40</v>
      </c>
      <c r="S263">
        <v>0</v>
      </c>
      <c r="U263" t="s">
        <v>5550</v>
      </c>
      <c r="V263" t="s">
        <v>1797</v>
      </c>
      <c r="X263" t="s">
        <v>74</v>
      </c>
      <c r="Y263" t="b">
        <v>0</v>
      </c>
      <c r="Z263" t="b">
        <v>0</v>
      </c>
      <c r="AC263" s="1"/>
      <c r="AF263">
        <v>0</v>
      </c>
      <c r="AG263">
        <v>45</v>
      </c>
      <c r="AH263">
        <v>27</v>
      </c>
      <c r="AI263" s="2">
        <f>Table__192.168.3.138DYLGSMetaData[[#This Row],[NetAmount]]-Table__192.168.3.138DYLGSMetaData[[#This Row],[Paid]]</f>
        <v>40600</v>
      </c>
    </row>
    <row r="264" spans="1:35" hidden="1">
      <c r="A264" t="s">
        <v>5461</v>
      </c>
      <c r="B264" t="s">
        <v>5462</v>
      </c>
      <c r="C264" t="s">
        <v>6073</v>
      </c>
      <c r="D264" s="1">
        <v>41286</v>
      </c>
      <c r="E264" s="1">
        <v>41331</v>
      </c>
      <c r="F264">
        <v>100000</v>
      </c>
      <c r="G264">
        <v>16000</v>
      </c>
      <c r="H264">
        <v>0</v>
      </c>
      <c r="I264">
        <v>0</v>
      </c>
      <c r="J264">
        <v>-18</v>
      </c>
      <c r="K264">
        <v>116000</v>
      </c>
      <c r="L264" t="s">
        <v>6074</v>
      </c>
      <c r="M264" s="1">
        <v>41286</v>
      </c>
      <c r="O264" t="s">
        <v>36</v>
      </c>
      <c r="P264" t="s">
        <v>37</v>
      </c>
      <c r="Q264" t="s">
        <v>39</v>
      </c>
      <c r="R264" t="s">
        <v>40</v>
      </c>
      <c r="S264">
        <v>0</v>
      </c>
      <c r="U264" t="s">
        <v>5550</v>
      </c>
      <c r="V264" t="s">
        <v>1797</v>
      </c>
      <c r="X264" t="s">
        <v>74</v>
      </c>
      <c r="Y264" t="b">
        <v>0</v>
      </c>
      <c r="Z264" t="b">
        <v>0</v>
      </c>
      <c r="AC264" s="1"/>
      <c r="AF264">
        <v>0</v>
      </c>
      <c r="AG264">
        <v>45</v>
      </c>
      <c r="AH264">
        <v>27</v>
      </c>
      <c r="AI264" s="2">
        <f>Table__192.168.3.138DYLGSMetaData[[#This Row],[NetAmount]]-Table__192.168.3.138DYLGSMetaData[[#This Row],[Paid]]</f>
        <v>116000</v>
      </c>
    </row>
    <row r="265" spans="1:35" hidden="1">
      <c r="A265" t="s">
        <v>5461</v>
      </c>
      <c r="B265" t="s">
        <v>5462</v>
      </c>
      <c r="C265" t="s">
        <v>6075</v>
      </c>
      <c r="D265" s="1">
        <v>41286</v>
      </c>
      <c r="E265" s="1">
        <v>41331</v>
      </c>
      <c r="F265">
        <v>240000</v>
      </c>
      <c r="G265">
        <v>38400</v>
      </c>
      <c r="H265">
        <v>0</v>
      </c>
      <c r="I265">
        <v>0</v>
      </c>
      <c r="J265">
        <v>-18</v>
      </c>
      <c r="K265">
        <v>278400</v>
      </c>
      <c r="L265" t="s">
        <v>6076</v>
      </c>
      <c r="M265" s="1">
        <v>41286</v>
      </c>
      <c r="O265" t="s">
        <v>36</v>
      </c>
      <c r="P265" t="s">
        <v>37</v>
      </c>
      <c r="Q265" t="s">
        <v>39</v>
      </c>
      <c r="R265" t="s">
        <v>40</v>
      </c>
      <c r="S265">
        <v>0</v>
      </c>
      <c r="U265" t="s">
        <v>5550</v>
      </c>
      <c r="V265" t="s">
        <v>1797</v>
      </c>
      <c r="X265" t="s">
        <v>74</v>
      </c>
      <c r="Y265" t="b">
        <v>0</v>
      </c>
      <c r="Z265" t="b">
        <v>0</v>
      </c>
      <c r="AC265" s="1"/>
      <c r="AF265">
        <v>0</v>
      </c>
      <c r="AG265">
        <v>45</v>
      </c>
      <c r="AH265">
        <v>27</v>
      </c>
      <c r="AI265" s="2">
        <f>Table__192.168.3.138DYLGSMetaData[[#This Row],[NetAmount]]-Table__192.168.3.138DYLGSMetaData[[#This Row],[Paid]]</f>
        <v>278400</v>
      </c>
    </row>
    <row r="266" spans="1:35" hidden="1">
      <c r="A266" t="s">
        <v>5461</v>
      </c>
      <c r="B266" t="s">
        <v>5462</v>
      </c>
      <c r="C266" t="s">
        <v>6077</v>
      </c>
      <c r="D266" s="1">
        <v>41279</v>
      </c>
      <c r="E266" s="1">
        <v>41324</v>
      </c>
      <c r="F266">
        <v>102000</v>
      </c>
      <c r="G266">
        <v>16320</v>
      </c>
      <c r="H266">
        <v>0</v>
      </c>
      <c r="I266">
        <v>0</v>
      </c>
      <c r="J266">
        <v>-13</v>
      </c>
      <c r="K266">
        <v>118320</v>
      </c>
      <c r="L266" t="s">
        <v>6078</v>
      </c>
      <c r="M266" s="1">
        <v>41281</v>
      </c>
      <c r="O266" t="s">
        <v>36</v>
      </c>
      <c r="P266" t="s">
        <v>37</v>
      </c>
      <c r="Q266" t="s">
        <v>39</v>
      </c>
      <c r="R266" t="s">
        <v>40</v>
      </c>
      <c r="S266">
        <v>0</v>
      </c>
      <c r="U266" t="s">
        <v>5550</v>
      </c>
      <c r="V266" t="s">
        <v>1797</v>
      </c>
      <c r="X266" t="s">
        <v>74</v>
      </c>
      <c r="Y266" t="b">
        <v>0</v>
      </c>
      <c r="Z266" t="b">
        <v>0</v>
      </c>
      <c r="AC266" s="1"/>
      <c r="AF266">
        <v>0</v>
      </c>
      <c r="AG266">
        <v>45</v>
      </c>
      <c r="AH266">
        <v>32</v>
      </c>
      <c r="AI266" s="2">
        <f>Table__192.168.3.138DYLGSMetaData[[#This Row],[NetAmount]]-Table__192.168.3.138DYLGSMetaData[[#This Row],[Paid]]</f>
        <v>118320</v>
      </c>
    </row>
    <row r="267" spans="1:35" hidden="1">
      <c r="A267" t="s">
        <v>5515</v>
      </c>
      <c r="B267" t="s">
        <v>5516</v>
      </c>
      <c r="C267" t="s">
        <v>6079</v>
      </c>
      <c r="D267" s="1">
        <v>41300</v>
      </c>
      <c r="E267" s="1">
        <v>41345</v>
      </c>
      <c r="F267">
        <v>144800</v>
      </c>
      <c r="G267">
        <v>23168</v>
      </c>
      <c r="H267">
        <v>0</v>
      </c>
      <c r="I267">
        <v>0</v>
      </c>
      <c r="J267">
        <v>-7</v>
      </c>
      <c r="K267">
        <v>167968</v>
      </c>
      <c r="L267" t="s">
        <v>6080</v>
      </c>
      <c r="M267" s="1">
        <v>41275</v>
      </c>
      <c r="O267" t="s">
        <v>36</v>
      </c>
      <c r="P267" t="s">
        <v>37</v>
      </c>
      <c r="Q267" t="s">
        <v>39</v>
      </c>
      <c r="R267" t="s">
        <v>40</v>
      </c>
      <c r="S267">
        <v>0</v>
      </c>
      <c r="U267" t="s">
        <v>5550</v>
      </c>
      <c r="V267" t="s">
        <v>1797</v>
      </c>
      <c r="X267" t="s">
        <v>74</v>
      </c>
      <c r="Y267" t="b">
        <v>0</v>
      </c>
      <c r="Z267" t="b">
        <v>0</v>
      </c>
      <c r="AC267" s="1"/>
      <c r="AF267">
        <v>0</v>
      </c>
      <c r="AG267">
        <v>45</v>
      </c>
      <c r="AH267">
        <v>38</v>
      </c>
      <c r="AI267" s="2">
        <f>Table__192.168.3.138DYLGSMetaData[[#This Row],[NetAmount]]-Table__192.168.3.138DYLGSMetaData[[#This Row],[Paid]]</f>
        <v>167968</v>
      </c>
    </row>
    <row r="268" spans="1:35" hidden="1">
      <c r="A268" t="s">
        <v>5533</v>
      </c>
      <c r="B268" t="s">
        <v>5534</v>
      </c>
      <c r="C268" t="s">
        <v>6081</v>
      </c>
      <c r="D268" s="1">
        <v>41293</v>
      </c>
      <c r="E268" s="1">
        <v>41338</v>
      </c>
      <c r="F268">
        <v>25500</v>
      </c>
      <c r="G268">
        <v>4080</v>
      </c>
      <c r="H268">
        <v>0</v>
      </c>
      <c r="I268">
        <v>0</v>
      </c>
      <c r="J268">
        <v>-27</v>
      </c>
      <c r="K268">
        <v>29580</v>
      </c>
      <c r="L268" t="s">
        <v>6082</v>
      </c>
      <c r="M268" s="1">
        <v>41295</v>
      </c>
      <c r="O268" t="s">
        <v>36</v>
      </c>
      <c r="P268" t="s">
        <v>37</v>
      </c>
      <c r="Q268" t="s">
        <v>39</v>
      </c>
      <c r="R268" t="s">
        <v>40</v>
      </c>
      <c r="S268">
        <v>0</v>
      </c>
      <c r="U268" t="s">
        <v>5550</v>
      </c>
      <c r="V268" t="s">
        <v>1797</v>
      </c>
      <c r="X268" t="s">
        <v>74</v>
      </c>
      <c r="Y268" t="b">
        <v>0</v>
      </c>
      <c r="Z268" t="b">
        <v>0</v>
      </c>
      <c r="AC268" s="1"/>
      <c r="AF268">
        <v>0</v>
      </c>
      <c r="AG268">
        <v>45</v>
      </c>
      <c r="AH268">
        <v>18</v>
      </c>
      <c r="AI268" s="2">
        <f>Table__192.168.3.138DYLGSMetaData[[#This Row],[NetAmount]]-Table__192.168.3.138DYLGSMetaData[[#This Row],[Paid]]</f>
        <v>29580</v>
      </c>
    </row>
    <row r="269" spans="1:35" hidden="1">
      <c r="A269" t="s">
        <v>5461</v>
      </c>
      <c r="B269" t="s">
        <v>5462</v>
      </c>
      <c r="C269" t="s">
        <v>6083</v>
      </c>
      <c r="D269" s="1">
        <v>41298</v>
      </c>
      <c r="E269" s="1">
        <v>41343</v>
      </c>
      <c r="F269">
        <v>62000</v>
      </c>
      <c r="G269">
        <v>9920</v>
      </c>
      <c r="H269">
        <v>0</v>
      </c>
      <c r="I269">
        <v>0</v>
      </c>
      <c r="J269">
        <v>-30</v>
      </c>
      <c r="K269">
        <v>71920</v>
      </c>
      <c r="L269" t="s">
        <v>6084</v>
      </c>
      <c r="M269" s="1">
        <v>41298</v>
      </c>
      <c r="O269" t="s">
        <v>36</v>
      </c>
      <c r="P269" t="s">
        <v>37</v>
      </c>
      <c r="Q269" t="s">
        <v>39</v>
      </c>
      <c r="R269" t="s">
        <v>40</v>
      </c>
      <c r="S269">
        <v>0</v>
      </c>
      <c r="U269" t="s">
        <v>5550</v>
      </c>
      <c r="V269" t="s">
        <v>1797</v>
      </c>
      <c r="X269" t="s">
        <v>74</v>
      </c>
      <c r="Y269" t="b">
        <v>0</v>
      </c>
      <c r="Z269" t="b">
        <v>0</v>
      </c>
      <c r="AC269" s="1"/>
      <c r="AF269">
        <v>0</v>
      </c>
      <c r="AG269">
        <v>45</v>
      </c>
      <c r="AH269">
        <v>15</v>
      </c>
      <c r="AI269" s="2">
        <f>Table__192.168.3.138DYLGSMetaData[[#This Row],[NetAmount]]-Table__192.168.3.138DYLGSMetaData[[#This Row],[Paid]]</f>
        <v>71920</v>
      </c>
    </row>
    <row r="270" spans="1:35" hidden="1">
      <c r="A270" t="s">
        <v>5461</v>
      </c>
      <c r="B270" t="s">
        <v>5462</v>
      </c>
      <c r="C270" t="s">
        <v>6085</v>
      </c>
      <c r="D270" s="1">
        <v>41297</v>
      </c>
      <c r="E270" s="1">
        <v>41342</v>
      </c>
      <c r="F270">
        <v>192000</v>
      </c>
      <c r="G270">
        <v>30720</v>
      </c>
      <c r="H270">
        <v>0</v>
      </c>
      <c r="I270">
        <v>0</v>
      </c>
      <c r="J270">
        <v>-29</v>
      </c>
      <c r="K270">
        <v>222720</v>
      </c>
      <c r="L270" t="s">
        <v>6086</v>
      </c>
      <c r="M270" s="1">
        <v>41297</v>
      </c>
      <c r="O270" t="s">
        <v>36</v>
      </c>
      <c r="P270" t="s">
        <v>37</v>
      </c>
      <c r="Q270" t="s">
        <v>39</v>
      </c>
      <c r="R270" t="s">
        <v>40</v>
      </c>
      <c r="S270">
        <v>0</v>
      </c>
      <c r="U270" t="s">
        <v>5550</v>
      </c>
      <c r="V270" t="s">
        <v>1797</v>
      </c>
      <c r="X270" t="s">
        <v>74</v>
      </c>
      <c r="Y270" t="b">
        <v>0</v>
      </c>
      <c r="Z270" t="b">
        <v>0</v>
      </c>
      <c r="AC270" s="1"/>
      <c r="AF270">
        <v>0</v>
      </c>
      <c r="AG270">
        <v>45</v>
      </c>
      <c r="AH270">
        <v>16</v>
      </c>
      <c r="AI270" s="2">
        <f>Table__192.168.3.138DYLGSMetaData[[#This Row],[NetAmount]]-Table__192.168.3.138DYLGSMetaData[[#This Row],[Paid]]</f>
        <v>222720</v>
      </c>
    </row>
    <row r="271" spans="1:35" hidden="1">
      <c r="A271" t="s">
        <v>5493</v>
      </c>
      <c r="B271" t="s">
        <v>5494</v>
      </c>
      <c r="C271" t="s">
        <v>6087</v>
      </c>
      <c r="D271" s="1">
        <v>41275</v>
      </c>
      <c r="E271" s="1">
        <v>41320</v>
      </c>
      <c r="F271">
        <v>2000</v>
      </c>
      <c r="G271">
        <v>320</v>
      </c>
      <c r="H271">
        <v>0</v>
      </c>
      <c r="I271">
        <v>0</v>
      </c>
      <c r="J271">
        <v>-10</v>
      </c>
      <c r="K271">
        <v>2320</v>
      </c>
      <c r="L271" t="s">
        <v>6088</v>
      </c>
      <c r="M271" s="1">
        <v>41278</v>
      </c>
      <c r="O271" t="s">
        <v>36</v>
      </c>
      <c r="P271" t="s">
        <v>37</v>
      </c>
      <c r="Q271" t="s">
        <v>39</v>
      </c>
      <c r="R271" t="s">
        <v>40</v>
      </c>
      <c r="S271">
        <v>0</v>
      </c>
      <c r="U271" t="s">
        <v>5550</v>
      </c>
      <c r="V271" t="s">
        <v>1797</v>
      </c>
      <c r="X271" t="s">
        <v>74</v>
      </c>
      <c r="Y271" t="b">
        <v>0</v>
      </c>
      <c r="Z271" t="b">
        <v>0</v>
      </c>
      <c r="AC271" s="1"/>
      <c r="AF271">
        <v>0</v>
      </c>
      <c r="AG271">
        <v>45</v>
      </c>
      <c r="AH271">
        <v>35</v>
      </c>
      <c r="AI271" s="2">
        <f>Table__192.168.3.138DYLGSMetaData[[#This Row],[NetAmount]]-Table__192.168.3.138DYLGSMetaData[[#This Row],[Paid]]</f>
        <v>2320</v>
      </c>
    </row>
    <row r="272" spans="1:35" hidden="1">
      <c r="A272" t="s">
        <v>5523</v>
      </c>
      <c r="B272" t="s">
        <v>5524</v>
      </c>
      <c r="C272" t="s">
        <v>6089</v>
      </c>
      <c r="D272" s="1">
        <v>41298</v>
      </c>
      <c r="E272" s="1">
        <v>41343</v>
      </c>
      <c r="F272">
        <v>3750</v>
      </c>
      <c r="G272">
        <v>600</v>
      </c>
      <c r="H272">
        <v>0</v>
      </c>
      <c r="I272">
        <v>0</v>
      </c>
      <c r="J272">
        <v>-29</v>
      </c>
      <c r="K272">
        <v>4350</v>
      </c>
      <c r="L272" t="s">
        <v>6090</v>
      </c>
      <c r="M272" s="1">
        <v>41297</v>
      </c>
      <c r="O272" t="s">
        <v>36</v>
      </c>
      <c r="P272" t="s">
        <v>37</v>
      </c>
      <c r="Q272" t="s">
        <v>39</v>
      </c>
      <c r="R272" t="s">
        <v>40</v>
      </c>
      <c r="S272">
        <v>0</v>
      </c>
      <c r="U272" t="s">
        <v>5550</v>
      </c>
      <c r="V272" t="s">
        <v>1797</v>
      </c>
      <c r="X272" t="s">
        <v>74</v>
      </c>
      <c r="Y272" t="b">
        <v>0</v>
      </c>
      <c r="Z272" t="b">
        <v>0</v>
      </c>
      <c r="AC272" s="1"/>
      <c r="AF272">
        <v>0</v>
      </c>
      <c r="AG272">
        <v>45</v>
      </c>
      <c r="AH272">
        <v>16</v>
      </c>
      <c r="AI272" s="2">
        <f>Table__192.168.3.138DYLGSMetaData[[#This Row],[NetAmount]]-Table__192.168.3.138DYLGSMetaData[[#This Row],[Paid]]</f>
        <v>4350</v>
      </c>
    </row>
    <row r="273" spans="1:35" hidden="1">
      <c r="A273" t="s">
        <v>5525</v>
      </c>
      <c r="B273" t="s">
        <v>5526</v>
      </c>
      <c r="C273" t="s">
        <v>6091</v>
      </c>
      <c r="D273" s="1">
        <v>41297</v>
      </c>
      <c r="E273" s="1">
        <v>41342</v>
      </c>
      <c r="F273">
        <v>30950</v>
      </c>
      <c r="G273">
        <v>4952</v>
      </c>
      <c r="H273">
        <v>0</v>
      </c>
      <c r="I273">
        <v>0</v>
      </c>
      <c r="J273">
        <v>-34</v>
      </c>
      <c r="K273">
        <v>35902</v>
      </c>
      <c r="L273" t="s">
        <v>6092</v>
      </c>
      <c r="M273" s="1">
        <v>41302</v>
      </c>
      <c r="O273" t="s">
        <v>36</v>
      </c>
      <c r="P273" t="s">
        <v>37</v>
      </c>
      <c r="Q273" t="s">
        <v>39</v>
      </c>
      <c r="R273" t="s">
        <v>40</v>
      </c>
      <c r="S273">
        <v>0</v>
      </c>
      <c r="U273" t="s">
        <v>5550</v>
      </c>
      <c r="V273" t="s">
        <v>1797</v>
      </c>
      <c r="X273" t="s">
        <v>74</v>
      </c>
      <c r="Y273" t="b">
        <v>0</v>
      </c>
      <c r="Z273" t="b">
        <v>0</v>
      </c>
      <c r="AC273" s="1"/>
      <c r="AF273">
        <v>0</v>
      </c>
      <c r="AG273">
        <v>45</v>
      </c>
      <c r="AH273">
        <v>11</v>
      </c>
      <c r="AI273" s="2">
        <f>Table__192.168.3.138DYLGSMetaData[[#This Row],[NetAmount]]-Table__192.168.3.138DYLGSMetaData[[#This Row],[Paid]]</f>
        <v>35902</v>
      </c>
    </row>
    <row r="274" spans="1:35" hidden="1">
      <c r="A274" t="s">
        <v>5461</v>
      </c>
      <c r="B274" t="s">
        <v>5462</v>
      </c>
      <c r="C274" t="s">
        <v>6093</v>
      </c>
      <c r="D274" s="1">
        <v>41303</v>
      </c>
      <c r="E274" s="1">
        <v>41348</v>
      </c>
      <c r="F274">
        <v>57600</v>
      </c>
      <c r="G274">
        <v>9216</v>
      </c>
      <c r="H274">
        <v>0</v>
      </c>
      <c r="I274">
        <v>0</v>
      </c>
      <c r="J274">
        <v>-35</v>
      </c>
      <c r="K274">
        <v>66816</v>
      </c>
      <c r="L274" t="s">
        <v>6094</v>
      </c>
      <c r="M274" s="1">
        <v>41303</v>
      </c>
      <c r="O274" t="s">
        <v>36</v>
      </c>
      <c r="P274" t="s">
        <v>37</v>
      </c>
      <c r="Q274" t="s">
        <v>39</v>
      </c>
      <c r="R274" t="s">
        <v>40</v>
      </c>
      <c r="S274">
        <v>0</v>
      </c>
      <c r="U274" t="s">
        <v>5550</v>
      </c>
      <c r="V274" t="s">
        <v>1797</v>
      </c>
      <c r="X274" t="s">
        <v>74</v>
      </c>
      <c r="Y274" t="b">
        <v>0</v>
      </c>
      <c r="Z274" t="b">
        <v>0</v>
      </c>
      <c r="AC274" s="1"/>
      <c r="AF274">
        <v>0</v>
      </c>
      <c r="AG274">
        <v>45</v>
      </c>
      <c r="AH274">
        <v>10</v>
      </c>
      <c r="AI274" s="2">
        <f>Table__192.168.3.138DYLGSMetaData[[#This Row],[NetAmount]]-Table__192.168.3.138DYLGSMetaData[[#This Row],[Paid]]</f>
        <v>66816</v>
      </c>
    </row>
    <row r="275" spans="1:35" hidden="1">
      <c r="A275" t="s">
        <v>5461</v>
      </c>
      <c r="B275" t="s">
        <v>5462</v>
      </c>
      <c r="C275" t="s">
        <v>6095</v>
      </c>
      <c r="D275" s="1">
        <v>41303</v>
      </c>
      <c r="E275" s="1">
        <v>41348</v>
      </c>
      <c r="F275">
        <v>45000</v>
      </c>
      <c r="G275">
        <v>7200</v>
      </c>
      <c r="H275">
        <v>0</v>
      </c>
      <c r="I275">
        <v>0</v>
      </c>
      <c r="J275">
        <v>-35</v>
      </c>
      <c r="K275">
        <v>52200</v>
      </c>
      <c r="L275" t="s">
        <v>6096</v>
      </c>
      <c r="M275" s="1">
        <v>41303</v>
      </c>
      <c r="O275" t="s">
        <v>36</v>
      </c>
      <c r="P275" t="s">
        <v>37</v>
      </c>
      <c r="Q275" t="s">
        <v>39</v>
      </c>
      <c r="R275" t="s">
        <v>40</v>
      </c>
      <c r="S275">
        <v>0</v>
      </c>
      <c r="U275" t="s">
        <v>5550</v>
      </c>
      <c r="V275" t="s">
        <v>1797</v>
      </c>
      <c r="X275" t="s">
        <v>74</v>
      </c>
      <c r="Y275" t="b">
        <v>0</v>
      </c>
      <c r="Z275" t="b">
        <v>0</v>
      </c>
      <c r="AC275" s="1"/>
      <c r="AF275">
        <v>0</v>
      </c>
      <c r="AG275">
        <v>45</v>
      </c>
      <c r="AH275">
        <v>10</v>
      </c>
      <c r="AI275" s="2">
        <f>Table__192.168.3.138DYLGSMetaData[[#This Row],[NetAmount]]-Table__192.168.3.138DYLGSMetaData[[#This Row],[Paid]]</f>
        <v>52200</v>
      </c>
    </row>
    <row r="276" spans="1:35" hidden="1">
      <c r="A276" t="s">
        <v>5461</v>
      </c>
      <c r="B276" t="s">
        <v>5462</v>
      </c>
      <c r="C276" t="s">
        <v>6097</v>
      </c>
      <c r="D276" s="1">
        <v>41303</v>
      </c>
      <c r="E276" s="1">
        <v>41348</v>
      </c>
      <c r="F276">
        <v>160000</v>
      </c>
      <c r="G276">
        <v>25600</v>
      </c>
      <c r="H276">
        <v>0</v>
      </c>
      <c r="I276">
        <v>0</v>
      </c>
      <c r="J276">
        <v>-35</v>
      </c>
      <c r="K276">
        <v>185600</v>
      </c>
      <c r="L276" t="s">
        <v>6098</v>
      </c>
      <c r="M276" s="1">
        <v>41303</v>
      </c>
      <c r="O276" t="s">
        <v>36</v>
      </c>
      <c r="P276" t="s">
        <v>37</v>
      </c>
      <c r="Q276" t="s">
        <v>39</v>
      </c>
      <c r="R276" t="s">
        <v>40</v>
      </c>
      <c r="S276">
        <v>0</v>
      </c>
      <c r="U276" t="s">
        <v>5550</v>
      </c>
      <c r="V276" t="s">
        <v>1797</v>
      </c>
      <c r="X276" t="s">
        <v>74</v>
      </c>
      <c r="Y276" t="b">
        <v>0</v>
      </c>
      <c r="Z276" t="b">
        <v>0</v>
      </c>
      <c r="AC276" s="1"/>
      <c r="AF276">
        <v>0</v>
      </c>
      <c r="AG276">
        <v>45</v>
      </c>
      <c r="AH276">
        <v>10</v>
      </c>
      <c r="AI276" s="2">
        <f>Table__192.168.3.138DYLGSMetaData[[#This Row],[NetAmount]]-Table__192.168.3.138DYLGSMetaData[[#This Row],[Paid]]</f>
        <v>185600</v>
      </c>
    </row>
    <row r="277" spans="1:35" hidden="1">
      <c r="A277" t="s">
        <v>5499</v>
      </c>
      <c r="B277" t="s">
        <v>5500</v>
      </c>
      <c r="C277" t="s">
        <v>6099</v>
      </c>
      <c r="D277" s="1">
        <v>41290</v>
      </c>
      <c r="E277" s="1">
        <v>41335</v>
      </c>
      <c r="F277">
        <v>14750</v>
      </c>
      <c r="G277">
        <v>2360</v>
      </c>
      <c r="H277">
        <v>0</v>
      </c>
      <c r="I277">
        <v>0</v>
      </c>
      <c r="J277">
        <v>-30</v>
      </c>
      <c r="K277">
        <v>17110</v>
      </c>
      <c r="L277" t="s">
        <v>6100</v>
      </c>
      <c r="M277" s="1">
        <v>41298</v>
      </c>
      <c r="O277" t="s">
        <v>36</v>
      </c>
      <c r="P277" t="s">
        <v>37</v>
      </c>
      <c r="Q277" t="s">
        <v>39</v>
      </c>
      <c r="R277" t="s">
        <v>40</v>
      </c>
      <c r="S277">
        <v>0</v>
      </c>
      <c r="U277" t="s">
        <v>5550</v>
      </c>
      <c r="V277" t="s">
        <v>1797</v>
      </c>
      <c r="X277" t="s">
        <v>74</v>
      </c>
      <c r="Y277" t="b">
        <v>0</v>
      </c>
      <c r="Z277" t="b">
        <v>0</v>
      </c>
      <c r="AC277" s="1"/>
      <c r="AF277">
        <v>0</v>
      </c>
      <c r="AG277">
        <v>45</v>
      </c>
      <c r="AH277">
        <v>15</v>
      </c>
      <c r="AI277" s="2">
        <f>Table__192.168.3.138DYLGSMetaData[[#This Row],[NetAmount]]-Table__192.168.3.138DYLGSMetaData[[#This Row],[Paid]]</f>
        <v>17110</v>
      </c>
    </row>
    <row r="278" spans="1:35" hidden="1">
      <c r="A278" t="s">
        <v>5469</v>
      </c>
      <c r="B278" t="s">
        <v>5470</v>
      </c>
      <c r="C278" t="s">
        <v>6101</v>
      </c>
      <c r="D278" s="1">
        <v>41303</v>
      </c>
      <c r="E278" s="1">
        <v>41348</v>
      </c>
      <c r="F278">
        <v>47000</v>
      </c>
      <c r="G278">
        <v>7520</v>
      </c>
      <c r="H278">
        <v>0</v>
      </c>
      <c r="I278">
        <v>0</v>
      </c>
      <c r="J278">
        <v>-35</v>
      </c>
      <c r="K278">
        <v>54520</v>
      </c>
      <c r="L278" t="s">
        <v>5318</v>
      </c>
      <c r="M278" s="1">
        <v>41303</v>
      </c>
      <c r="O278" t="s">
        <v>36</v>
      </c>
      <c r="P278" t="s">
        <v>37</v>
      </c>
      <c r="Q278" t="s">
        <v>39</v>
      </c>
      <c r="R278" t="s">
        <v>40</v>
      </c>
      <c r="S278">
        <v>0</v>
      </c>
      <c r="U278" t="s">
        <v>5550</v>
      </c>
      <c r="V278" t="s">
        <v>1797</v>
      </c>
      <c r="X278" t="s">
        <v>74</v>
      </c>
      <c r="Y278" t="b">
        <v>0</v>
      </c>
      <c r="Z278" t="b">
        <v>0</v>
      </c>
      <c r="AC278" s="1"/>
      <c r="AF278">
        <v>0</v>
      </c>
      <c r="AG278">
        <v>45</v>
      </c>
      <c r="AH278">
        <v>10</v>
      </c>
      <c r="AI278" s="2">
        <f>Table__192.168.3.138DYLGSMetaData[[#This Row],[NetAmount]]-Table__192.168.3.138DYLGSMetaData[[#This Row],[Paid]]</f>
        <v>54520</v>
      </c>
    </row>
    <row r="279" spans="1:35" hidden="1">
      <c r="A279" t="s">
        <v>5547</v>
      </c>
      <c r="B279" t="s">
        <v>5548</v>
      </c>
      <c r="C279" t="s">
        <v>6102</v>
      </c>
      <c r="D279" s="1">
        <v>41300</v>
      </c>
      <c r="E279" s="1">
        <v>41345</v>
      </c>
      <c r="F279">
        <v>9300</v>
      </c>
      <c r="G279">
        <v>1488</v>
      </c>
      <c r="H279">
        <v>0</v>
      </c>
      <c r="I279">
        <v>0</v>
      </c>
      <c r="J279">
        <v>-32</v>
      </c>
      <c r="K279">
        <v>10788</v>
      </c>
      <c r="L279" t="s">
        <v>6103</v>
      </c>
      <c r="M279" s="1">
        <v>41300</v>
      </c>
      <c r="O279" t="s">
        <v>36</v>
      </c>
      <c r="P279" t="s">
        <v>37</v>
      </c>
      <c r="Q279" t="s">
        <v>39</v>
      </c>
      <c r="R279" t="s">
        <v>40</v>
      </c>
      <c r="S279">
        <v>0</v>
      </c>
      <c r="U279" t="s">
        <v>5550</v>
      </c>
      <c r="V279" t="s">
        <v>1797</v>
      </c>
      <c r="X279" t="s">
        <v>74</v>
      </c>
      <c r="Y279" t="b">
        <v>0</v>
      </c>
      <c r="Z279" t="b">
        <v>0</v>
      </c>
      <c r="AC279" s="1"/>
      <c r="AF279">
        <v>0</v>
      </c>
      <c r="AG279">
        <v>45</v>
      </c>
      <c r="AH279">
        <v>13</v>
      </c>
      <c r="AI279" s="2">
        <f>Table__192.168.3.138DYLGSMetaData[[#This Row],[NetAmount]]-Table__192.168.3.138DYLGSMetaData[[#This Row],[Paid]]</f>
        <v>10788</v>
      </c>
    </row>
    <row r="280" spans="1:35" hidden="1">
      <c r="A280" t="s">
        <v>5547</v>
      </c>
      <c r="B280" t="s">
        <v>5548</v>
      </c>
      <c r="C280" t="s">
        <v>6104</v>
      </c>
      <c r="D280" s="1">
        <v>41300</v>
      </c>
      <c r="E280" s="1">
        <v>41345</v>
      </c>
      <c r="F280">
        <v>68000</v>
      </c>
      <c r="G280">
        <v>10880</v>
      </c>
      <c r="H280">
        <v>0</v>
      </c>
      <c r="I280">
        <v>0</v>
      </c>
      <c r="J280">
        <v>-32</v>
      </c>
      <c r="K280">
        <v>78880</v>
      </c>
      <c r="L280" t="s">
        <v>6105</v>
      </c>
      <c r="M280" s="1">
        <v>41300</v>
      </c>
      <c r="O280" t="s">
        <v>36</v>
      </c>
      <c r="P280" t="s">
        <v>37</v>
      </c>
      <c r="Q280" t="s">
        <v>39</v>
      </c>
      <c r="R280" t="s">
        <v>40</v>
      </c>
      <c r="S280">
        <v>0</v>
      </c>
      <c r="U280" t="s">
        <v>5550</v>
      </c>
      <c r="V280" t="s">
        <v>1797</v>
      </c>
      <c r="X280" t="s">
        <v>74</v>
      </c>
      <c r="Y280" t="b">
        <v>0</v>
      </c>
      <c r="Z280" t="b">
        <v>0</v>
      </c>
      <c r="AC280" s="1"/>
      <c r="AF280">
        <v>0</v>
      </c>
      <c r="AG280">
        <v>45</v>
      </c>
      <c r="AH280">
        <v>13</v>
      </c>
      <c r="AI280" s="2">
        <f>Table__192.168.3.138DYLGSMetaData[[#This Row],[NetAmount]]-Table__192.168.3.138DYLGSMetaData[[#This Row],[Paid]]</f>
        <v>78880</v>
      </c>
    </row>
    <row r="281" spans="1:35" hidden="1">
      <c r="A281" t="s">
        <v>5521</v>
      </c>
      <c r="B281" t="s">
        <v>5522</v>
      </c>
      <c r="C281" t="s">
        <v>6106</v>
      </c>
      <c r="D281" s="1">
        <v>41295</v>
      </c>
      <c r="E281" s="1">
        <v>41340</v>
      </c>
      <c r="F281">
        <v>176180</v>
      </c>
      <c r="G281">
        <v>28189</v>
      </c>
      <c r="H281">
        <v>0</v>
      </c>
      <c r="I281">
        <v>0</v>
      </c>
      <c r="J281">
        <v>-25</v>
      </c>
      <c r="K281">
        <v>204369</v>
      </c>
      <c r="L281" t="s">
        <v>6107</v>
      </c>
      <c r="M281" s="1">
        <v>41293</v>
      </c>
      <c r="O281" t="s">
        <v>36</v>
      </c>
      <c r="P281" t="s">
        <v>37</v>
      </c>
      <c r="Q281" t="s">
        <v>39</v>
      </c>
      <c r="R281" t="s">
        <v>40</v>
      </c>
      <c r="S281">
        <v>0</v>
      </c>
      <c r="U281" t="s">
        <v>5550</v>
      </c>
      <c r="V281" t="s">
        <v>1797</v>
      </c>
      <c r="X281" t="s">
        <v>74</v>
      </c>
      <c r="Y281" t="b">
        <v>0</v>
      </c>
      <c r="Z281" t="b">
        <v>0</v>
      </c>
      <c r="AC281" s="1"/>
      <c r="AF281">
        <v>0</v>
      </c>
      <c r="AG281">
        <v>45</v>
      </c>
      <c r="AH281">
        <v>20</v>
      </c>
      <c r="AI281" s="2">
        <f>Table__192.168.3.138DYLGSMetaData[[#This Row],[NetAmount]]-Table__192.168.3.138DYLGSMetaData[[#This Row],[Paid]]</f>
        <v>204369</v>
      </c>
    </row>
    <row r="282" spans="1:35" hidden="1">
      <c r="A282" t="s">
        <v>5545</v>
      </c>
      <c r="B282" t="s">
        <v>5546</v>
      </c>
      <c r="C282" t="s">
        <v>6108</v>
      </c>
      <c r="D282" s="1">
        <v>41297</v>
      </c>
      <c r="E282" s="1">
        <v>41342</v>
      </c>
      <c r="F282">
        <v>100800</v>
      </c>
      <c r="G282">
        <v>16128</v>
      </c>
      <c r="H282">
        <v>0</v>
      </c>
      <c r="I282">
        <v>0</v>
      </c>
      <c r="J282">
        <v>-34</v>
      </c>
      <c r="K282">
        <v>116928</v>
      </c>
      <c r="L282" t="s">
        <v>6109</v>
      </c>
      <c r="M282" s="1">
        <v>41302</v>
      </c>
      <c r="O282" t="s">
        <v>36</v>
      </c>
      <c r="P282" t="s">
        <v>37</v>
      </c>
      <c r="Q282" t="s">
        <v>39</v>
      </c>
      <c r="R282" t="s">
        <v>40</v>
      </c>
      <c r="S282">
        <v>0</v>
      </c>
      <c r="U282" t="s">
        <v>5550</v>
      </c>
      <c r="V282" t="s">
        <v>1797</v>
      </c>
      <c r="X282" t="s">
        <v>74</v>
      </c>
      <c r="Y282" t="b">
        <v>0</v>
      </c>
      <c r="Z282" t="b">
        <v>0</v>
      </c>
      <c r="AC282" s="1"/>
      <c r="AF282">
        <v>0</v>
      </c>
      <c r="AG282">
        <v>45</v>
      </c>
      <c r="AH282">
        <v>11</v>
      </c>
      <c r="AI282" s="2">
        <f>Table__192.168.3.138DYLGSMetaData[[#This Row],[NetAmount]]-Table__192.168.3.138DYLGSMetaData[[#This Row],[Paid]]</f>
        <v>116928</v>
      </c>
    </row>
    <row r="283" spans="1:35" hidden="1">
      <c r="A283" t="s">
        <v>5487</v>
      </c>
      <c r="B283" t="s">
        <v>5488</v>
      </c>
      <c r="C283" t="s">
        <v>6110</v>
      </c>
      <c r="D283" s="1">
        <v>41281</v>
      </c>
      <c r="E283" s="1">
        <v>41326</v>
      </c>
      <c r="F283">
        <v>6200</v>
      </c>
      <c r="G283">
        <v>992</v>
      </c>
      <c r="H283">
        <v>0</v>
      </c>
      <c r="I283">
        <v>0</v>
      </c>
      <c r="J283">
        <v>-13</v>
      </c>
      <c r="K283">
        <v>7192</v>
      </c>
      <c r="L283" t="s">
        <v>1309</v>
      </c>
      <c r="M283" s="1">
        <v>41281</v>
      </c>
      <c r="O283" t="s">
        <v>36</v>
      </c>
      <c r="P283" t="s">
        <v>37</v>
      </c>
      <c r="Q283" t="s">
        <v>39</v>
      </c>
      <c r="R283" t="s">
        <v>40</v>
      </c>
      <c r="S283">
        <v>0</v>
      </c>
      <c r="U283" t="s">
        <v>5550</v>
      </c>
      <c r="V283" t="s">
        <v>1797</v>
      </c>
      <c r="X283" t="s">
        <v>74</v>
      </c>
      <c r="Y283" t="b">
        <v>0</v>
      </c>
      <c r="Z283" t="b">
        <v>0</v>
      </c>
      <c r="AC283" s="1"/>
      <c r="AF283">
        <v>0</v>
      </c>
      <c r="AG283">
        <v>45</v>
      </c>
      <c r="AH283">
        <v>32</v>
      </c>
      <c r="AI283" s="2">
        <f>Table__192.168.3.138DYLGSMetaData[[#This Row],[NetAmount]]-Table__192.168.3.138DYLGSMetaData[[#This Row],[Paid]]</f>
        <v>7192</v>
      </c>
    </row>
    <row r="284" spans="1:35">
      <c r="A284" t="s">
        <v>5459</v>
      </c>
      <c r="B284" t="s">
        <v>5460</v>
      </c>
      <c r="C284" t="s">
        <v>6111</v>
      </c>
      <c r="D284" s="1">
        <v>41297</v>
      </c>
      <c r="E284" s="1">
        <v>41342</v>
      </c>
      <c r="F284">
        <v>9779</v>
      </c>
      <c r="G284">
        <v>0</v>
      </c>
      <c r="H284">
        <v>0</v>
      </c>
      <c r="I284">
        <v>0</v>
      </c>
      <c r="J284">
        <v>-30</v>
      </c>
      <c r="K284">
        <v>9779</v>
      </c>
      <c r="L284" t="s">
        <v>6112</v>
      </c>
      <c r="M284" s="1">
        <v>41298</v>
      </c>
      <c r="O284" t="s">
        <v>36</v>
      </c>
      <c r="P284" t="s">
        <v>37</v>
      </c>
      <c r="Q284" t="s">
        <v>39</v>
      </c>
      <c r="R284" t="s">
        <v>40</v>
      </c>
      <c r="S284">
        <v>0</v>
      </c>
      <c r="U284" t="s">
        <v>5550</v>
      </c>
      <c r="V284" t="s">
        <v>1797</v>
      </c>
      <c r="X284" t="s">
        <v>74</v>
      </c>
      <c r="Y284" t="b">
        <v>0</v>
      </c>
      <c r="Z284" t="b">
        <v>0</v>
      </c>
      <c r="AC284" s="1"/>
      <c r="AF284">
        <v>0</v>
      </c>
      <c r="AG284">
        <v>45</v>
      </c>
      <c r="AH284">
        <v>15</v>
      </c>
      <c r="AI284" s="2">
        <f>Table__192.168.3.138DYLGSMetaData[[#This Row],[NetAmount]]-Table__192.168.3.138DYLGSMetaData[[#This Row],[Paid]]</f>
        <v>9779</v>
      </c>
    </row>
    <row r="285" spans="1:35">
      <c r="A285" t="s">
        <v>5527</v>
      </c>
      <c r="B285" t="s">
        <v>5528</v>
      </c>
      <c r="C285" t="s">
        <v>6113</v>
      </c>
      <c r="D285" s="1">
        <v>41283</v>
      </c>
      <c r="E285" s="1">
        <v>41328</v>
      </c>
      <c r="F285">
        <v>22000</v>
      </c>
      <c r="G285">
        <v>3520</v>
      </c>
      <c r="H285">
        <v>0</v>
      </c>
      <c r="I285">
        <v>0</v>
      </c>
      <c r="J285">
        <v>-15</v>
      </c>
      <c r="K285">
        <v>25520</v>
      </c>
      <c r="L285" t="s">
        <v>6114</v>
      </c>
      <c r="M285" s="1">
        <v>41283</v>
      </c>
      <c r="O285" t="s">
        <v>36</v>
      </c>
      <c r="P285" t="s">
        <v>37</v>
      </c>
      <c r="Q285" t="s">
        <v>39</v>
      </c>
      <c r="R285" t="s">
        <v>40</v>
      </c>
      <c r="S285">
        <v>0</v>
      </c>
      <c r="U285" t="s">
        <v>5550</v>
      </c>
      <c r="V285" t="s">
        <v>1797</v>
      </c>
      <c r="X285" t="s">
        <v>74</v>
      </c>
      <c r="Y285" t="b">
        <v>0</v>
      </c>
      <c r="Z285" t="b">
        <v>0</v>
      </c>
      <c r="AC285" s="1"/>
      <c r="AF285">
        <v>0</v>
      </c>
      <c r="AG285">
        <v>45</v>
      </c>
      <c r="AH285">
        <v>30</v>
      </c>
      <c r="AI285" s="2">
        <f>Table__192.168.3.138DYLGSMetaData[[#This Row],[NetAmount]]-Table__192.168.3.138DYLGSMetaData[[#This Row],[Paid]]</f>
        <v>25520</v>
      </c>
    </row>
    <row r="286" spans="1:35">
      <c r="A286" t="s">
        <v>229</v>
      </c>
      <c r="B286" t="s">
        <v>366</v>
      </c>
      <c r="C286" t="s">
        <v>6115</v>
      </c>
      <c r="D286" s="1">
        <v>41303</v>
      </c>
      <c r="E286" s="1">
        <v>41348</v>
      </c>
      <c r="F286">
        <v>5400</v>
      </c>
      <c r="G286">
        <v>0</v>
      </c>
      <c r="H286">
        <v>0</v>
      </c>
      <c r="I286">
        <v>0</v>
      </c>
      <c r="J286">
        <v>-35</v>
      </c>
      <c r="K286">
        <v>5400</v>
      </c>
      <c r="L286" t="s">
        <v>6116</v>
      </c>
      <c r="M286" s="1">
        <v>41303</v>
      </c>
      <c r="O286" t="s">
        <v>36</v>
      </c>
      <c r="P286" t="s">
        <v>37</v>
      </c>
      <c r="Q286" t="s">
        <v>39</v>
      </c>
      <c r="R286" t="s">
        <v>40</v>
      </c>
      <c r="S286">
        <v>0</v>
      </c>
      <c r="U286" t="s">
        <v>5550</v>
      </c>
      <c r="V286" t="s">
        <v>1797</v>
      </c>
      <c r="X286" t="s">
        <v>74</v>
      </c>
      <c r="Y286" t="b">
        <v>0</v>
      </c>
      <c r="Z286" t="b">
        <v>0</v>
      </c>
      <c r="AC286" s="1"/>
      <c r="AF286">
        <v>0</v>
      </c>
      <c r="AG286">
        <v>45</v>
      </c>
      <c r="AH286">
        <v>10</v>
      </c>
      <c r="AI286" s="2">
        <f>Table__192.168.3.138DYLGSMetaData[[#This Row],[NetAmount]]-Table__192.168.3.138DYLGSMetaData[[#This Row],[Paid]]</f>
        <v>5400</v>
      </c>
    </row>
    <row r="287" spans="1:35">
      <c r="A287" t="s">
        <v>5521</v>
      </c>
      <c r="B287" t="s">
        <v>5522</v>
      </c>
      <c r="C287" t="s">
        <v>6117</v>
      </c>
      <c r="D287" s="1">
        <v>41289</v>
      </c>
      <c r="E287" s="1">
        <v>41334</v>
      </c>
      <c r="F287">
        <v>124800</v>
      </c>
      <c r="G287">
        <v>19968</v>
      </c>
      <c r="H287">
        <v>0</v>
      </c>
      <c r="I287">
        <v>0</v>
      </c>
      <c r="J287">
        <v>-18</v>
      </c>
      <c r="K287">
        <v>144768</v>
      </c>
      <c r="L287" t="s">
        <v>6118</v>
      </c>
      <c r="M287" s="1">
        <v>41286</v>
      </c>
      <c r="O287" t="s">
        <v>36</v>
      </c>
      <c r="P287" t="s">
        <v>37</v>
      </c>
      <c r="Q287" t="s">
        <v>39</v>
      </c>
      <c r="R287" t="s">
        <v>40</v>
      </c>
      <c r="S287">
        <v>0</v>
      </c>
      <c r="U287" t="s">
        <v>5550</v>
      </c>
      <c r="V287" t="s">
        <v>1797</v>
      </c>
      <c r="X287" t="s">
        <v>74</v>
      </c>
      <c r="Y287" t="b">
        <v>0</v>
      </c>
      <c r="Z287" t="b">
        <v>0</v>
      </c>
      <c r="AC287" s="1"/>
      <c r="AF287">
        <v>0</v>
      </c>
      <c r="AG287">
        <v>45</v>
      </c>
      <c r="AH287">
        <v>27</v>
      </c>
      <c r="AI287" s="2">
        <f>Table__192.168.3.138DYLGSMetaData[[#This Row],[NetAmount]]-Table__192.168.3.138DYLGSMetaData[[#This Row],[Paid]]</f>
        <v>144768</v>
      </c>
    </row>
    <row r="288" spans="1:35">
      <c r="A288" t="s">
        <v>5497</v>
      </c>
      <c r="B288" t="s">
        <v>5498</v>
      </c>
      <c r="C288" t="s">
        <v>6119</v>
      </c>
      <c r="D288" s="1">
        <v>41305</v>
      </c>
      <c r="E288" s="1">
        <v>41350</v>
      </c>
      <c r="F288">
        <v>13315</v>
      </c>
      <c r="G288">
        <v>455</v>
      </c>
      <c r="H288">
        <v>0</v>
      </c>
      <c r="I288">
        <v>0</v>
      </c>
      <c r="J288">
        <v>11</v>
      </c>
      <c r="K288">
        <v>13770</v>
      </c>
      <c r="L288" t="s">
        <v>6116</v>
      </c>
      <c r="M288" s="1">
        <v>41257</v>
      </c>
      <c r="O288" t="s">
        <v>36</v>
      </c>
      <c r="P288" t="s">
        <v>37</v>
      </c>
      <c r="Q288" t="s">
        <v>5285</v>
      </c>
      <c r="R288" t="s">
        <v>5286</v>
      </c>
      <c r="S288">
        <v>0</v>
      </c>
      <c r="U288" t="s">
        <v>5550</v>
      </c>
      <c r="V288" t="s">
        <v>1797</v>
      </c>
      <c r="X288" t="s">
        <v>74</v>
      </c>
      <c r="Y288" t="b">
        <v>0</v>
      </c>
      <c r="Z288" t="b">
        <v>0</v>
      </c>
      <c r="AC288" s="1"/>
      <c r="AF288">
        <v>0</v>
      </c>
      <c r="AG288">
        <v>45</v>
      </c>
      <c r="AH288">
        <v>56</v>
      </c>
      <c r="AI288" s="2">
        <f>Table__192.168.3.138DYLGSMetaData[[#This Row],[NetAmount]]-Table__192.168.3.138DYLGSMetaData[[#This Row],[Paid]]</f>
        <v>13770</v>
      </c>
    </row>
    <row r="289" spans="1:35">
      <c r="A289" t="s">
        <v>5465</v>
      </c>
      <c r="B289" t="s">
        <v>5466</v>
      </c>
      <c r="C289" t="s">
        <v>6120</v>
      </c>
      <c r="D289" s="1">
        <v>41310</v>
      </c>
      <c r="E289" s="1">
        <v>41355</v>
      </c>
      <c r="F289">
        <v>600</v>
      </c>
      <c r="G289">
        <v>0</v>
      </c>
      <c r="H289">
        <v>0</v>
      </c>
      <c r="I289">
        <v>0</v>
      </c>
      <c r="J289">
        <v>-17</v>
      </c>
      <c r="K289">
        <v>600</v>
      </c>
      <c r="L289" t="s">
        <v>1088</v>
      </c>
      <c r="M289" s="1">
        <v>41285</v>
      </c>
      <c r="O289" t="s">
        <v>36</v>
      </c>
      <c r="P289" t="s">
        <v>37</v>
      </c>
      <c r="Q289" t="s">
        <v>5285</v>
      </c>
      <c r="R289" t="s">
        <v>5286</v>
      </c>
      <c r="S289">
        <v>0</v>
      </c>
      <c r="U289" t="s">
        <v>5550</v>
      </c>
      <c r="V289" t="s">
        <v>1797</v>
      </c>
      <c r="X289" t="s">
        <v>74</v>
      </c>
      <c r="Y289" t="b">
        <v>0</v>
      </c>
      <c r="Z289" t="b">
        <v>0</v>
      </c>
      <c r="AC289" s="1"/>
      <c r="AF289">
        <v>0</v>
      </c>
      <c r="AG289">
        <v>45</v>
      </c>
      <c r="AH289">
        <v>28</v>
      </c>
      <c r="AI289" s="2">
        <f>Table__192.168.3.138DYLGSMetaData[[#This Row],[NetAmount]]-Table__192.168.3.138DYLGSMetaData[[#This Row],[Paid]]</f>
        <v>600</v>
      </c>
    </row>
  </sheetData>
  <hyperlinks>
    <hyperlink ref="AK1" location="INDEXP" display="Back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4"/>
  <dimension ref="A1:I9"/>
  <sheetViews>
    <sheetView tabSelected="1" workbookViewId="0">
      <selection activeCell="E2" sqref="E2:I2"/>
    </sheetView>
  </sheetViews>
  <sheetFormatPr defaultRowHeight="15"/>
  <cols>
    <col min="1" max="1" width="38.7109375" bestFit="1" customWidth="1"/>
  </cols>
  <sheetData>
    <row r="1" spans="1:9" ht="54.75" customHeight="1" thickBot="1">
      <c r="A1" s="14" t="s">
        <v>10780</v>
      </c>
      <c r="E1" s="15" t="s">
        <v>10766</v>
      </c>
      <c r="F1" s="15"/>
      <c r="G1" s="15"/>
      <c r="H1" s="15"/>
      <c r="I1" s="15"/>
    </row>
    <row r="2" spans="1:9" ht="30" thickTop="1" thickBot="1">
      <c r="A2" s="19" t="s">
        <v>10782</v>
      </c>
      <c r="E2" s="16" t="s">
        <v>10757</v>
      </c>
      <c r="F2" s="16"/>
      <c r="G2" s="16"/>
      <c r="H2" s="16"/>
      <c r="I2" s="16"/>
    </row>
    <row r="3" spans="1:9" ht="30" thickTop="1" thickBot="1">
      <c r="A3" s="19" t="s">
        <v>10783</v>
      </c>
      <c r="E3" s="16" t="s">
        <v>10758</v>
      </c>
      <c r="F3" s="16"/>
      <c r="G3" s="16"/>
      <c r="H3" s="16"/>
      <c r="I3" s="16"/>
    </row>
    <row r="4" spans="1:9" ht="30" thickTop="1" thickBot="1">
      <c r="A4" s="19" t="s">
        <v>10784</v>
      </c>
      <c r="E4" s="16" t="s">
        <v>10759</v>
      </c>
      <c r="F4" s="16"/>
      <c r="G4" s="16"/>
      <c r="H4" s="16"/>
      <c r="I4" s="16"/>
    </row>
    <row r="5" spans="1:9" ht="30" thickTop="1" thickBot="1">
      <c r="A5" s="19" t="s">
        <v>10785</v>
      </c>
      <c r="E5" s="16" t="s">
        <v>10760</v>
      </c>
      <c r="F5" s="16"/>
      <c r="G5" s="16"/>
      <c r="H5" s="16"/>
      <c r="I5" s="16"/>
    </row>
    <row r="6" spans="1:9" ht="15.75" thickTop="1">
      <c r="A6" s="12"/>
    </row>
    <row r="7" spans="1:9">
      <c r="A7" s="12"/>
    </row>
    <row r="8" spans="1:9">
      <c r="A8" s="12"/>
    </row>
    <row r="9" spans="1:9">
      <c r="A9" s="12"/>
    </row>
  </sheetData>
  <mergeCells count="5">
    <mergeCell ref="E1:I1"/>
    <mergeCell ref="E2:I2"/>
    <mergeCell ref="E3:I3"/>
    <mergeCell ref="E5:I5"/>
    <mergeCell ref="E4:I4"/>
  </mergeCells>
  <hyperlinks>
    <hyperlink ref="E2:I2" location="DYLPPMETAINDEX" display="DYL-PP"/>
    <hyperlink ref="E3:I3" location="DYLGSMETAINDEX" display="DYL-GS"/>
    <hyperlink ref="E5:I5" location="BEWLGSMETAINDEX" display="BEWL-GS"/>
    <hyperlink ref="E4:I4" location="BEWLGSMETAINDEX" display="BEWL-PP"/>
    <hyperlink ref="A2" location="Start4" display="AgingSummaryReport_DYL_PP"/>
    <hyperlink ref="A3" location="Start5" display="AgingSummaryReport_DYL_GS"/>
    <hyperlink ref="A4" location="Start7" display="AgingSummaryReport_BEWL_GS"/>
    <hyperlink ref="A5" location="Start9" display="AgingSummaryReport_BEWL_PP"/>
  </hyperlinks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/>
  <dimension ref="A1:K141"/>
  <sheetViews>
    <sheetView zoomScaleNormal="100" workbookViewId="0">
      <pane ySplit="2" topLeftCell="A3" activePane="bottomLeft" state="frozen"/>
      <selection pane="bottomLeft"/>
    </sheetView>
  </sheetViews>
  <sheetFormatPr defaultRowHeight="12"/>
  <cols>
    <col min="1" max="1" width="10.5703125" style="4" bestFit="1" customWidth="1"/>
    <col min="2" max="2" width="44.85546875" style="4" customWidth="1"/>
    <col min="3" max="3" width="12" style="4" customWidth="1"/>
    <col min="4" max="4" width="9" style="4" customWidth="1"/>
    <col min="5" max="5" width="12" style="4" bestFit="1" customWidth="1"/>
    <col min="6" max="6" width="12.7109375" style="4" customWidth="1"/>
    <col min="7" max="9" width="13.5703125" style="4" customWidth="1"/>
    <col min="10" max="10" width="14.42578125" style="4" customWidth="1"/>
    <col min="11" max="11" width="10" style="4" customWidth="1"/>
    <col min="12" max="16384" width="9.140625" style="4"/>
  </cols>
  <sheetData>
    <row r="1" spans="1:11" ht="20.25" customHeight="1" thickBot="1">
      <c r="A1" s="13" t="s">
        <v>10761</v>
      </c>
      <c r="B1" s="18" t="s">
        <v>5335</v>
      </c>
      <c r="C1" s="20"/>
      <c r="D1" s="18"/>
      <c r="E1" s="18"/>
      <c r="F1" s="17" t="s">
        <v>6121</v>
      </c>
      <c r="G1" s="17"/>
      <c r="H1" s="17"/>
      <c r="I1" s="17"/>
      <c r="J1" s="17"/>
      <c r="K1" s="17"/>
    </row>
    <row r="2" spans="1:11" ht="12.75" thickTop="1">
      <c r="A2" s="3" t="s">
        <v>3</v>
      </c>
      <c r="B2" s="3" t="s">
        <v>15</v>
      </c>
      <c r="C2" s="3" t="s">
        <v>163</v>
      </c>
      <c r="D2" s="3" t="s">
        <v>31</v>
      </c>
      <c r="E2" s="3" t="s">
        <v>440</v>
      </c>
      <c r="F2" s="3" t="s">
        <v>5328</v>
      </c>
      <c r="G2" s="3" t="s">
        <v>5327</v>
      </c>
      <c r="H2" s="3" t="s">
        <v>5326</v>
      </c>
      <c r="I2" s="3" t="s">
        <v>5330</v>
      </c>
      <c r="J2" s="3" t="s">
        <v>5329</v>
      </c>
      <c r="K2" s="3" t="s">
        <v>164</v>
      </c>
    </row>
    <row r="3" spans="1:11" customFormat="1" ht="15">
      <c r="A3" t="s">
        <v>171</v>
      </c>
      <c r="B3" t="s">
        <v>308</v>
      </c>
      <c r="C3" s="2">
        <f>SUMIF(SupList,Table__192.168.3.138SupList[[#This Row],[SupplierID]],NetAmount)</f>
        <v>36308</v>
      </c>
      <c r="D3" s="2">
        <f>SUMIF(SupList,Table__192.168.3.138SupList[[#This Row],[SupplierID]],Paid)</f>
        <v>0</v>
      </c>
      <c r="E3" s="2">
        <f>Table__192.168.3.138SupList[[#This Row],[Net Amount]]-Table__192.168.3.138SupList[[#This Row],[Paid]]</f>
        <v>36308</v>
      </c>
      <c r="F3" s="2">
        <f>SUMIFS(NetB3,SupList,Table__192.168.3.138SupList[[#This Row],[SupplierID]],DL,"&gt;=1",DL,"&lt;=30")</f>
        <v>23780</v>
      </c>
      <c r="G3">
        <f>SUMIFS(NetB3,SupList,Table__192.168.3.138SupList[[#This Row],[SupplierID]],DL,"&gt;=31",DL,"&lt;=45")</f>
        <v>0</v>
      </c>
      <c r="H3">
        <f>SUMIFS(NetB3,SupList,Table__192.168.3.138SupList[[#This Row],[SupplierID]],DL,"&gt;=46",DL,"&lt;=60")</f>
        <v>8352</v>
      </c>
      <c r="I3">
        <f>SUMIFS(NetB3,SupList,Table__192.168.3.138SupList[[#This Row],[SupplierID]],DL,"&gt;=61",DL,"&lt;=90")</f>
        <v>4176</v>
      </c>
      <c r="J3">
        <f>SUMIFS(NetB3,SupList,Table__192.168.3.138SupList[[#This Row],[SupplierID]],DL,"&gt;=91",DL,"&lt;=120")</f>
        <v>0</v>
      </c>
      <c r="K3">
        <f>SUMIFS(NetB3,SupList,Table__192.168.3.138SupList[[#This Row],[SupplierID]],DL,"&gt;120")</f>
        <v>0</v>
      </c>
    </row>
    <row r="4" spans="1:11">
      <c r="A4" s="4" t="s">
        <v>210</v>
      </c>
      <c r="B4" s="5" t="s">
        <v>347</v>
      </c>
      <c r="C4" s="6">
        <f>SUMIF(SupList,Table__192.168.3.138SupList[[#This Row],[SupplierID]],NetAmount)</f>
        <v>-1587</v>
      </c>
      <c r="D4" s="6">
        <f>SUMIF(SupList,Table__192.168.3.138SupList[[#This Row],[SupplierID]],Paid)</f>
        <v>0</v>
      </c>
      <c r="E4" s="6">
        <f>Table__192.168.3.138SupList[[#This Row],[Net Amount]]-Table__192.168.3.138SupList[[#This Row],[Paid]]</f>
        <v>-1587</v>
      </c>
      <c r="F4" s="6">
        <f>SUMIFS(NetB3,SupList,Table__192.168.3.138SupList[[#This Row],[SupplierID]],DL,"&gt;=1",DL,"&lt;=30")</f>
        <v>0</v>
      </c>
      <c r="G4" s="4">
        <f>SUMIFS(NetB3,SupList,Table__192.168.3.138SupList[[#This Row],[SupplierID]],DL,"&gt;=31",DL,"&lt;=45")</f>
        <v>0</v>
      </c>
      <c r="H4" s="4">
        <f>SUMIFS(NetB3,SupList,Table__192.168.3.138SupList[[#This Row],[SupplierID]],DL,"&gt;=46",DL,"&lt;=60")</f>
        <v>0</v>
      </c>
      <c r="I4" s="4">
        <f>SUMIFS(NetB3,SupList,Table__192.168.3.138SupList[[#This Row],[SupplierID]],DL,"&gt;=61",DL,"&lt;=90")</f>
        <v>0</v>
      </c>
      <c r="J4" s="4">
        <f>SUMIFS(NetB3,SupList,Table__192.168.3.138SupList[[#This Row],[SupplierID]],DL,"&gt;=91",DL,"&lt;=120")</f>
        <v>0</v>
      </c>
      <c r="K4" s="4">
        <f>SUMIFS(NetB3,SupList,Table__192.168.3.138SupList[[#This Row],[SupplierID]],DL,"&gt;120")</f>
        <v>-1587</v>
      </c>
    </row>
    <row r="5" spans="1:11">
      <c r="A5" s="4" t="s">
        <v>226</v>
      </c>
      <c r="B5" s="5" t="s">
        <v>363</v>
      </c>
      <c r="C5" s="6">
        <f>SUMIF(SupList,Table__192.168.3.138SupList[[#This Row],[SupplierID]],NetAmount)</f>
        <v>168956</v>
      </c>
      <c r="D5" s="6">
        <f>SUMIF(SupList,Table__192.168.3.138SupList[[#This Row],[SupplierID]],Paid)</f>
        <v>0</v>
      </c>
      <c r="E5" s="6">
        <f>Table__192.168.3.138SupList[[#This Row],[Net Amount]]-Table__192.168.3.138SupList[[#This Row],[Paid]]</f>
        <v>168956</v>
      </c>
      <c r="F5" s="6">
        <f>SUMIFS(NetB3,SupList,Table__192.168.3.138SupList[[#This Row],[SupplierID]],DL,"&gt;=1",DL,"&lt;=30")</f>
        <v>17921</v>
      </c>
      <c r="G5" s="4">
        <f>SUMIFS(NetB3,SupList,Table__192.168.3.138SupList[[#This Row],[SupplierID]],DL,"&gt;=31",DL,"&lt;=45")</f>
        <v>0</v>
      </c>
      <c r="H5" s="4">
        <f>SUMIFS(NetB3,SupList,Table__192.168.3.138SupList[[#This Row],[SupplierID]],DL,"&gt;=46",DL,"&lt;=60")</f>
        <v>11484</v>
      </c>
      <c r="I5" s="4">
        <f>SUMIFS(NetB3,SupList,Table__192.168.3.138SupList[[#This Row],[SupplierID]],DL,"&gt;=61",DL,"&lt;=90")</f>
        <v>10527</v>
      </c>
      <c r="J5" s="4">
        <f>SUMIFS(NetB3,SupList,Table__192.168.3.138SupList[[#This Row],[SupplierID]],DL,"&gt;=91",DL,"&lt;=120")</f>
        <v>0</v>
      </c>
      <c r="K5" s="4">
        <f>SUMIFS(NetB3,SupList,Table__192.168.3.138SupList[[#This Row],[SupplierID]],DL,"&gt;120")</f>
        <v>129024</v>
      </c>
    </row>
    <row r="6" spans="1:11">
      <c r="A6" s="4" t="s">
        <v>207</v>
      </c>
      <c r="B6" s="5" t="s">
        <v>344</v>
      </c>
      <c r="C6" s="6">
        <f>SUMIF(SupList,Table__192.168.3.138SupList[[#This Row],[SupplierID]],NetAmount)</f>
        <v>1491222</v>
      </c>
      <c r="D6" s="6">
        <f>SUMIF(SupList,Table__192.168.3.138SupList[[#This Row],[SupplierID]],Paid)</f>
        <v>350756</v>
      </c>
      <c r="E6" s="6">
        <f>Table__192.168.3.138SupList[[#This Row],[Net Amount]]-Table__192.168.3.138SupList[[#This Row],[Paid]]</f>
        <v>1140466</v>
      </c>
      <c r="F6" s="6">
        <f>SUMIFS(NetB3,SupList,Table__192.168.3.138SupList[[#This Row],[SupplierID]],DL,"&gt;=1",DL,"&lt;=30")</f>
        <v>0</v>
      </c>
      <c r="G6" s="4">
        <f>SUMIFS(NetB3,SupList,Table__192.168.3.138SupList[[#This Row],[SupplierID]],DL,"&gt;=31",DL,"&lt;=45")</f>
        <v>0</v>
      </c>
      <c r="H6" s="4">
        <f>SUMIFS(NetB3,SupList,Table__192.168.3.138SupList[[#This Row],[SupplierID]],DL,"&gt;=46",DL,"&lt;=60")</f>
        <v>0</v>
      </c>
      <c r="I6" s="4">
        <f>SUMIFS(NetB3,SupList,Table__192.168.3.138SupList[[#This Row],[SupplierID]],DL,"&gt;=61",DL,"&lt;=90")</f>
        <v>7967</v>
      </c>
      <c r="J6" s="4">
        <f>SUMIFS(NetB3,SupList,Table__192.168.3.138SupList[[#This Row],[SupplierID]],DL,"&gt;=91",DL,"&lt;=120")</f>
        <v>0</v>
      </c>
      <c r="K6" s="4">
        <f>SUMIFS(NetB3,SupList,Table__192.168.3.138SupList[[#This Row],[SupplierID]],DL,"&gt;120")</f>
        <v>1132499</v>
      </c>
    </row>
    <row r="7" spans="1:11">
      <c r="A7" s="4" t="s">
        <v>193</v>
      </c>
      <c r="B7" s="5" t="s">
        <v>330</v>
      </c>
      <c r="C7" s="6">
        <f>SUMIF(SupList,Table__192.168.3.138SupList[[#This Row],[SupplierID]],NetAmount)</f>
        <v>339188</v>
      </c>
      <c r="D7" s="6">
        <f>SUMIF(SupList,Table__192.168.3.138SupList[[#This Row],[SupplierID]],Paid)</f>
        <v>0</v>
      </c>
      <c r="E7" s="6">
        <f>Table__192.168.3.138SupList[[#This Row],[Net Amount]]-Table__192.168.3.138SupList[[#This Row],[Paid]]</f>
        <v>339188</v>
      </c>
      <c r="F7" s="6">
        <f>SUMIFS(NetB3,SupList,Table__192.168.3.138SupList[[#This Row],[SupplierID]],DL,"&gt;=1",DL,"&lt;=30")</f>
        <v>0</v>
      </c>
      <c r="G7" s="4">
        <f>SUMIFS(NetB3,SupList,Table__192.168.3.138SupList[[#This Row],[SupplierID]],DL,"&gt;=31",DL,"&lt;=45")</f>
        <v>0</v>
      </c>
      <c r="H7" s="4">
        <f>SUMIFS(NetB3,SupList,Table__192.168.3.138SupList[[#This Row],[SupplierID]],DL,"&gt;=46",DL,"&lt;=60")</f>
        <v>0</v>
      </c>
      <c r="I7" s="4">
        <f>SUMIFS(NetB3,SupList,Table__192.168.3.138SupList[[#This Row],[SupplierID]],DL,"&gt;=61",DL,"&lt;=90")</f>
        <v>0</v>
      </c>
      <c r="J7" s="4">
        <f>SUMIFS(NetB3,SupList,Table__192.168.3.138SupList[[#This Row],[SupplierID]],DL,"&gt;=91",DL,"&lt;=120")</f>
        <v>0</v>
      </c>
      <c r="K7" s="4">
        <f>SUMIFS(NetB3,SupList,Table__192.168.3.138SupList[[#This Row],[SupplierID]],DL,"&gt;120")</f>
        <v>339188</v>
      </c>
    </row>
    <row r="8" spans="1:11">
      <c r="A8" s="4" t="s">
        <v>235</v>
      </c>
      <c r="B8" s="5" t="s">
        <v>372</v>
      </c>
      <c r="C8" s="6">
        <f>SUMIF(SupList,Table__192.168.3.138SupList[[#This Row],[SupplierID]],NetAmount)</f>
        <v>83750</v>
      </c>
      <c r="D8" s="6">
        <f>SUMIF(SupList,Table__192.168.3.138SupList[[#This Row],[SupplierID]],Paid)</f>
        <v>0</v>
      </c>
      <c r="E8" s="6">
        <f>Table__192.168.3.138SupList[[#This Row],[Net Amount]]-Table__192.168.3.138SupList[[#This Row],[Paid]]</f>
        <v>83750</v>
      </c>
      <c r="F8" s="6">
        <f>SUMIFS(NetB3,SupList,Table__192.168.3.138SupList[[#This Row],[SupplierID]],DL,"&gt;=1",DL,"&lt;=30")</f>
        <v>0</v>
      </c>
      <c r="G8" s="4">
        <f>SUMIFS(NetB3,SupList,Table__192.168.3.138SupList[[#This Row],[SupplierID]],DL,"&gt;=31",DL,"&lt;=45")</f>
        <v>0</v>
      </c>
      <c r="H8" s="4">
        <f>SUMIFS(NetB3,SupList,Table__192.168.3.138SupList[[#This Row],[SupplierID]],DL,"&gt;=46",DL,"&lt;=60")</f>
        <v>48250</v>
      </c>
      <c r="I8" s="4">
        <f>SUMIFS(NetB3,SupList,Table__192.168.3.138SupList[[#This Row],[SupplierID]],DL,"&gt;=61",DL,"&lt;=90")</f>
        <v>35500</v>
      </c>
      <c r="J8" s="4">
        <f>SUMIFS(NetB3,SupList,Table__192.168.3.138SupList[[#This Row],[SupplierID]],DL,"&gt;=91",DL,"&lt;=120")</f>
        <v>0</v>
      </c>
      <c r="K8" s="4">
        <f>SUMIFS(NetB3,SupList,Table__192.168.3.138SupList[[#This Row],[SupplierID]],DL,"&gt;120")</f>
        <v>0</v>
      </c>
    </row>
    <row r="9" spans="1:11">
      <c r="A9" s="4" t="s">
        <v>231</v>
      </c>
      <c r="B9" s="5" t="s">
        <v>368</v>
      </c>
      <c r="C9" s="6">
        <f>SUMIF(SupList,Table__192.168.3.138SupList[[#This Row],[SupplierID]],NetAmount)</f>
        <v>10096648</v>
      </c>
      <c r="D9" s="6">
        <f>SUMIF(SupList,Table__192.168.3.138SupList[[#This Row],[SupplierID]],Paid)</f>
        <v>0</v>
      </c>
      <c r="E9" s="6">
        <f>Table__192.168.3.138SupList[[#This Row],[Net Amount]]-Table__192.168.3.138SupList[[#This Row],[Paid]]</f>
        <v>10096648</v>
      </c>
      <c r="F9" s="6">
        <f>SUMIFS(NetB3,SupList,Table__192.168.3.138SupList[[#This Row],[SupplierID]],DL,"&gt;=1",DL,"&lt;=30")</f>
        <v>2116478</v>
      </c>
      <c r="G9" s="4">
        <f>SUMIFS(NetB3,SupList,Table__192.168.3.138SupList[[#This Row],[SupplierID]],DL,"&gt;=31",DL,"&lt;=45")</f>
        <v>1196598</v>
      </c>
      <c r="H9" s="4">
        <f>SUMIFS(NetB3,SupList,Table__192.168.3.138SupList[[#This Row],[SupplierID]],DL,"&gt;=46",DL,"&lt;=60")</f>
        <v>2180568</v>
      </c>
      <c r="I9" s="4">
        <f>SUMIFS(NetB3,SupList,Table__192.168.3.138SupList[[#This Row],[SupplierID]],DL,"&gt;=61",DL,"&lt;=90")</f>
        <v>3076877</v>
      </c>
      <c r="J9" s="4">
        <f>SUMIFS(NetB3,SupList,Table__192.168.3.138SupList[[#This Row],[SupplierID]],DL,"&gt;=91",DL,"&lt;=120")</f>
        <v>1526127</v>
      </c>
      <c r="K9" s="4">
        <f>SUMIFS(NetB3,SupList,Table__192.168.3.138SupList[[#This Row],[SupplierID]],DL,"&gt;120")</f>
        <v>0</v>
      </c>
    </row>
    <row r="10" spans="1:11">
      <c r="A10" s="4" t="s">
        <v>219</v>
      </c>
      <c r="B10" s="5" t="s">
        <v>356</v>
      </c>
      <c r="C10" s="6">
        <f>SUMIF(SupList,Table__192.168.3.138SupList[[#This Row],[SupplierID]],NetAmount)</f>
        <v>5810048</v>
      </c>
      <c r="D10" s="6">
        <f>SUMIF(SupList,Table__192.168.3.138SupList[[#This Row],[SupplierID]],Paid)</f>
        <v>304053</v>
      </c>
      <c r="E10" s="6">
        <f>Table__192.168.3.138SupList[[#This Row],[Net Amount]]-Table__192.168.3.138SupList[[#This Row],[Paid]]</f>
        <v>5505995</v>
      </c>
      <c r="F10" s="6">
        <f>SUMIFS(NetB3,SupList,Table__192.168.3.138SupList[[#This Row],[SupplierID]],DL,"&gt;=1",DL,"&lt;=30")</f>
        <v>0</v>
      </c>
      <c r="G10" s="4">
        <f>SUMIFS(NetB3,SupList,Table__192.168.3.138SupList[[#This Row],[SupplierID]],DL,"&gt;=31",DL,"&lt;=45")</f>
        <v>0</v>
      </c>
      <c r="H10" s="4">
        <f>SUMIFS(NetB3,SupList,Table__192.168.3.138SupList[[#This Row],[SupplierID]],DL,"&gt;=46",DL,"&lt;=60")</f>
        <v>0</v>
      </c>
      <c r="I10" s="4">
        <f>SUMIFS(NetB3,SupList,Table__192.168.3.138SupList[[#This Row],[SupplierID]],DL,"&gt;=61",DL,"&lt;=90")</f>
        <v>0</v>
      </c>
      <c r="J10" s="4">
        <f>SUMIFS(NetB3,SupList,Table__192.168.3.138SupList[[#This Row],[SupplierID]],DL,"&gt;=91",DL,"&lt;=120")</f>
        <v>0</v>
      </c>
      <c r="K10" s="4">
        <f>SUMIFS(NetB3,SupList,Table__192.168.3.138SupList[[#This Row],[SupplierID]],DL,"&gt;120")</f>
        <v>5505995</v>
      </c>
    </row>
    <row r="11" spans="1:11">
      <c r="A11" s="4" t="s">
        <v>197</v>
      </c>
      <c r="B11" s="5" t="s">
        <v>334</v>
      </c>
      <c r="C11" s="6">
        <f>SUMIF(SupList,Table__192.168.3.138SupList[[#This Row],[SupplierID]],NetAmount)</f>
        <v>13303924</v>
      </c>
      <c r="D11" s="6">
        <f>SUMIF(SupList,Table__192.168.3.138SupList[[#This Row],[SupplierID]],Paid)</f>
        <v>32389</v>
      </c>
      <c r="E11" s="6">
        <f>Table__192.168.3.138SupList[[#This Row],[Net Amount]]-Table__192.168.3.138SupList[[#This Row],[Paid]]</f>
        <v>13271535</v>
      </c>
      <c r="F11" s="6">
        <f>SUMIFS(NetB3,SupList,Table__192.168.3.138SupList[[#This Row],[SupplierID]],DL,"&gt;=1",DL,"&lt;=30")</f>
        <v>2297380</v>
      </c>
      <c r="G11" s="4">
        <f>SUMIFS(NetB3,SupList,Table__192.168.3.138SupList[[#This Row],[SupplierID]],DL,"&gt;=31",DL,"&lt;=45")</f>
        <v>433608</v>
      </c>
      <c r="H11" s="4">
        <f>SUMIFS(NetB3,SupList,Table__192.168.3.138SupList[[#This Row],[SupplierID]],DL,"&gt;=46",DL,"&lt;=60")</f>
        <v>2030000</v>
      </c>
      <c r="I11" s="4">
        <f>SUMIFS(NetB3,SupList,Table__192.168.3.138SupList[[#This Row],[SupplierID]],DL,"&gt;=61",DL,"&lt;=90")</f>
        <v>2975400</v>
      </c>
      <c r="J11" s="4">
        <f>SUMIFS(NetB3,SupList,Table__192.168.3.138SupList[[#This Row],[SupplierID]],DL,"&gt;=91",DL,"&lt;=120")</f>
        <v>1892656</v>
      </c>
      <c r="K11" s="4">
        <f>SUMIFS(NetB3,SupList,Table__192.168.3.138SupList[[#This Row],[SupplierID]],DL,"&gt;120")</f>
        <v>3642491</v>
      </c>
    </row>
    <row r="12" spans="1:11">
      <c r="A12" s="4" t="s">
        <v>262</v>
      </c>
      <c r="B12" s="5" t="s">
        <v>399</v>
      </c>
      <c r="C12" s="6">
        <f>SUMIF(SupList,Table__192.168.3.138SupList[[#This Row],[SupplierID]],NetAmount)</f>
        <v>3167624</v>
      </c>
      <c r="D12" s="6">
        <f>SUMIF(SupList,Table__192.168.3.138SupList[[#This Row],[SupplierID]],Paid)</f>
        <v>0</v>
      </c>
      <c r="E12" s="6">
        <f>Table__192.168.3.138SupList[[#This Row],[Net Amount]]-Table__192.168.3.138SupList[[#This Row],[Paid]]</f>
        <v>3167624</v>
      </c>
      <c r="F12" s="6">
        <f>SUMIFS(NetB3,SupList,Table__192.168.3.138SupList[[#This Row],[SupplierID]],DL,"&gt;=1",DL,"&lt;=30")</f>
        <v>1296300</v>
      </c>
      <c r="G12" s="4">
        <f>SUMIFS(NetB3,SupList,Table__192.168.3.138SupList[[#This Row],[SupplierID]],DL,"&gt;=31",DL,"&lt;=45")</f>
        <v>0</v>
      </c>
      <c r="H12" s="4">
        <f>SUMIFS(NetB3,SupList,Table__192.168.3.138SupList[[#This Row],[SupplierID]],DL,"&gt;=46",DL,"&lt;=60")</f>
        <v>0</v>
      </c>
      <c r="I12" s="4">
        <f>SUMIFS(NetB3,SupList,Table__192.168.3.138SupList[[#This Row],[SupplierID]],DL,"&gt;=61",DL,"&lt;=90")</f>
        <v>1287600</v>
      </c>
      <c r="J12" s="4">
        <f>SUMIFS(NetB3,SupList,Table__192.168.3.138SupList[[#This Row],[SupplierID]],DL,"&gt;=91",DL,"&lt;=120")</f>
        <v>591600</v>
      </c>
      <c r="K12" s="4">
        <f>SUMIFS(NetB3,SupList,Table__192.168.3.138SupList[[#This Row],[SupplierID]],DL,"&gt;120")</f>
        <v>-7876</v>
      </c>
    </row>
    <row r="13" spans="1:11">
      <c r="A13" s="4" t="s">
        <v>168</v>
      </c>
      <c r="B13" s="5" t="s">
        <v>305</v>
      </c>
      <c r="C13" s="6">
        <f>SUMIF(SupList,Table__192.168.3.138SupList[[#This Row],[SupplierID]],NetAmount)</f>
        <v>4790197</v>
      </c>
      <c r="D13" s="6">
        <f>SUMIF(SupList,Table__192.168.3.138SupList[[#This Row],[SupplierID]],Paid)</f>
        <v>1753446</v>
      </c>
      <c r="E13" s="6">
        <f>Table__192.168.3.138SupList[[#This Row],[Net Amount]]-Table__192.168.3.138SupList[[#This Row],[Paid]]</f>
        <v>3036751</v>
      </c>
      <c r="F13" s="6">
        <f>SUMIFS(NetB3,SupList,Table__192.168.3.138SupList[[#This Row],[SupplierID]],DL,"&gt;=1",DL,"&lt;=30")</f>
        <v>916401</v>
      </c>
      <c r="G13" s="4">
        <f>SUMIFS(NetB3,SupList,Table__192.168.3.138SupList[[#This Row],[SupplierID]],DL,"&gt;=31",DL,"&lt;=45")</f>
        <v>322375</v>
      </c>
      <c r="H13" s="4">
        <f>SUMIFS(NetB3,SupList,Table__192.168.3.138SupList[[#This Row],[SupplierID]],DL,"&gt;=46",DL,"&lt;=60")</f>
        <v>0</v>
      </c>
      <c r="I13" s="4">
        <f>SUMIFS(NetB3,SupList,Table__192.168.3.138SupList[[#This Row],[SupplierID]],DL,"&gt;=61",DL,"&lt;=90")</f>
        <v>0</v>
      </c>
      <c r="J13" s="4">
        <f>SUMIFS(NetB3,SupList,Table__192.168.3.138SupList[[#This Row],[SupplierID]],DL,"&gt;=91",DL,"&lt;=120")</f>
        <v>793046</v>
      </c>
      <c r="K13" s="4">
        <f>SUMIFS(NetB3,SupList,Table__192.168.3.138SupList[[#This Row],[SupplierID]],DL,"&gt;120")</f>
        <v>1004929</v>
      </c>
    </row>
    <row r="14" spans="1:11">
      <c r="A14" s="4" t="s">
        <v>263</v>
      </c>
      <c r="B14" s="5" t="s">
        <v>400</v>
      </c>
      <c r="C14" s="6">
        <f>SUMIF(SupList,Table__192.168.3.138SupList[[#This Row],[SupplierID]],NetAmount)</f>
        <v>3178941</v>
      </c>
      <c r="D14" s="6">
        <f>SUMIF(SupList,Table__192.168.3.138SupList[[#This Row],[SupplierID]],Paid)</f>
        <v>0</v>
      </c>
      <c r="E14" s="6">
        <f>Table__192.168.3.138SupList[[#This Row],[Net Amount]]-Table__192.168.3.138SupList[[#This Row],[Paid]]</f>
        <v>3178941</v>
      </c>
      <c r="F14" s="6">
        <f>SUMIFS(NetB3,SupList,Table__192.168.3.138SupList[[#This Row],[SupplierID]],DL,"&gt;=1",DL,"&lt;=30")</f>
        <v>1133755</v>
      </c>
      <c r="G14" s="4">
        <f>SUMIFS(NetB3,SupList,Table__192.168.3.138SupList[[#This Row],[SupplierID]],DL,"&gt;=31",DL,"&lt;=45")</f>
        <v>0</v>
      </c>
      <c r="H14" s="4">
        <f>SUMIFS(NetB3,SupList,Table__192.168.3.138SupList[[#This Row],[SupplierID]],DL,"&gt;=46",DL,"&lt;=60")</f>
        <v>939600</v>
      </c>
      <c r="I14" s="4">
        <f>SUMIFS(NetB3,SupList,Table__192.168.3.138SupList[[#This Row],[SupplierID]],DL,"&gt;=61",DL,"&lt;=90")</f>
        <v>932715</v>
      </c>
      <c r="J14" s="4">
        <f>SUMIFS(NetB3,SupList,Table__192.168.3.138SupList[[#This Row],[SupplierID]],DL,"&gt;=91",DL,"&lt;=120")</f>
        <v>172871</v>
      </c>
      <c r="K14" s="4">
        <f>SUMIFS(NetB3,SupList,Table__192.168.3.138SupList[[#This Row],[SupplierID]],DL,"&gt;120")</f>
        <v>0</v>
      </c>
    </row>
    <row r="15" spans="1:11">
      <c r="A15" s="4" t="s">
        <v>194</v>
      </c>
      <c r="B15" s="5" t="s">
        <v>331</v>
      </c>
      <c r="C15" s="6">
        <f>SUMIF(SupList,Table__192.168.3.138SupList[[#This Row],[SupplierID]],NetAmount)</f>
        <v>2452894</v>
      </c>
      <c r="D15" s="6">
        <f>SUMIF(SupList,Table__192.168.3.138SupList[[#This Row],[SupplierID]],Paid)</f>
        <v>0</v>
      </c>
      <c r="E15" s="6">
        <f>Table__192.168.3.138SupList[[#This Row],[Net Amount]]-Table__192.168.3.138SupList[[#This Row],[Paid]]</f>
        <v>2452894</v>
      </c>
      <c r="F15" s="6">
        <f>SUMIFS(NetB3,SupList,Table__192.168.3.138SupList[[#This Row],[SupplierID]],DL,"&gt;=1",DL,"&lt;=30")</f>
        <v>354481</v>
      </c>
      <c r="G15" s="4">
        <f>SUMIFS(NetB3,SupList,Table__192.168.3.138SupList[[#This Row],[SupplierID]],DL,"&gt;=31",DL,"&lt;=45")</f>
        <v>176044</v>
      </c>
      <c r="H15" s="4">
        <f>SUMIFS(NetB3,SupList,Table__192.168.3.138SupList[[#This Row],[SupplierID]],DL,"&gt;=46",DL,"&lt;=60")</f>
        <v>185702</v>
      </c>
      <c r="I15" s="4">
        <f>SUMIFS(NetB3,SupList,Table__192.168.3.138SupList[[#This Row],[SupplierID]],DL,"&gt;=61",DL,"&lt;=90")</f>
        <v>248472</v>
      </c>
      <c r="J15" s="4">
        <f>SUMIFS(NetB3,SupList,Table__192.168.3.138SupList[[#This Row],[SupplierID]],DL,"&gt;=91",DL,"&lt;=120")</f>
        <v>293469</v>
      </c>
      <c r="K15" s="4">
        <f>SUMIFS(NetB3,SupList,Table__192.168.3.138SupList[[#This Row],[SupplierID]],DL,"&gt;120")</f>
        <v>1194726</v>
      </c>
    </row>
    <row r="16" spans="1:11">
      <c r="A16" s="4" t="s">
        <v>274</v>
      </c>
      <c r="B16" s="5" t="s">
        <v>411</v>
      </c>
      <c r="C16" s="6">
        <f>SUMIF(SupList,Table__192.168.3.138SupList[[#This Row],[SupplierID]],NetAmount)</f>
        <v>99223</v>
      </c>
      <c r="D16" s="6">
        <f>SUMIF(SupList,Table__192.168.3.138SupList[[#This Row],[SupplierID]],Paid)</f>
        <v>0</v>
      </c>
      <c r="E16" s="6">
        <f>Table__192.168.3.138SupList[[#This Row],[Net Amount]]-Table__192.168.3.138SupList[[#This Row],[Paid]]</f>
        <v>99223</v>
      </c>
      <c r="F16" s="6">
        <f>SUMIFS(NetB3,SupList,Table__192.168.3.138SupList[[#This Row],[SupplierID]],DL,"&gt;=1",DL,"&lt;=30")</f>
        <v>0</v>
      </c>
      <c r="G16" s="4">
        <f>SUMIFS(NetB3,SupList,Table__192.168.3.138SupList[[#This Row],[SupplierID]],DL,"&gt;=31",DL,"&lt;=45")</f>
        <v>0</v>
      </c>
      <c r="H16" s="4">
        <f>SUMIFS(NetB3,SupList,Table__192.168.3.138SupList[[#This Row],[SupplierID]],DL,"&gt;=46",DL,"&lt;=60")</f>
        <v>0</v>
      </c>
      <c r="I16" s="4">
        <f>SUMIFS(NetB3,SupList,Table__192.168.3.138SupList[[#This Row],[SupplierID]],DL,"&gt;=61",DL,"&lt;=90")</f>
        <v>0</v>
      </c>
      <c r="J16" s="4">
        <f>SUMIFS(NetB3,SupList,Table__192.168.3.138SupList[[#This Row],[SupplierID]],DL,"&gt;=91",DL,"&lt;=120")</f>
        <v>0</v>
      </c>
      <c r="K16" s="4">
        <f>SUMIFS(NetB3,SupList,Table__192.168.3.138SupList[[#This Row],[SupplierID]],DL,"&gt;120")</f>
        <v>99223</v>
      </c>
    </row>
    <row r="17" spans="1:11">
      <c r="A17" s="4" t="s">
        <v>259</v>
      </c>
      <c r="B17" s="5" t="s">
        <v>396</v>
      </c>
      <c r="C17" s="6">
        <f>SUMIF(SupList,Table__192.168.3.138SupList[[#This Row],[SupplierID]],NetAmount)</f>
        <v>265200</v>
      </c>
      <c r="D17" s="6">
        <f>SUMIF(SupList,Table__192.168.3.138SupList[[#This Row],[SupplierID]],Paid)</f>
        <v>0</v>
      </c>
      <c r="E17" s="6">
        <f>Table__192.168.3.138SupList[[#This Row],[Net Amount]]-Table__192.168.3.138SupList[[#This Row],[Paid]]</f>
        <v>265200</v>
      </c>
      <c r="F17" s="6">
        <f>SUMIFS(NetB3,SupList,Table__192.168.3.138SupList[[#This Row],[SupplierID]],DL,"&gt;=1",DL,"&lt;=30")</f>
        <v>4601</v>
      </c>
      <c r="G17" s="4">
        <f>SUMIFS(NetB3,SupList,Table__192.168.3.138SupList[[#This Row],[SupplierID]],DL,"&gt;=31",DL,"&lt;=45")</f>
        <v>0</v>
      </c>
      <c r="H17" s="4">
        <f>SUMIFS(NetB3,SupList,Table__192.168.3.138SupList[[#This Row],[SupplierID]],DL,"&gt;=46",DL,"&lt;=60")</f>
        <v>0</v>
      </c>
      <c r="I17" s="4">
        <f>SUMIFS(NetB3,SupList,Table__192.168.3.138SupList[[#This Row],[SupplierID]],DL,"&gt;=61",DL,"&lt;=90")</f>
        <v>13189</v>
      </c>
      <c r="J17" s="4">
        <f>SUMIFS(NetB3,SupList,Table__192.168.3.138SupList[[#This Row],[SupplierID]],DL,"&gt;=91",DL,"&lt;=120")</f>
        <v>0</v>
      </c>
      <c r="K17" s="4">
        <f>SUMIFS(NetB3,SupList,Table__192.168.3.138SupList[[#This Row],[SupplierID]],DL,"&gt;120")</f>
        <v>247410</v>
      </c>
    </row>
    <row r="18" spans="1:11">
      <c r="A18" s="4" t="s">
        <v>192</v>
      </c>
      <c r="B18" s="5" t="s">
        <v>329</v>
      </c>
      <c r="C18" s="6">
        <f>SUMIF(SupList,Table__192.168.3.138SupList[[#This Row],[SupplierID]],NetAmount)</f>
        <v>74542</v>
      </c>
      <c r="D18" s="6">
        <f>SUMIF(SupList,Table__192.168.3.138SupList[[#This Row],[SupplierID]],Paid)</f>
        <v>0</v>
      </c>
      <c r="E18" s="6">
        <f>Table__192.168.3.138SupList[[#This Row],[Net Amount]]-Table__192.168.3.138SupList[[#This Row],[Paid]]</f>
        <v>74542</v>
      </c>
      <c r="F18" s="6">
        <f>SUMIFS(NetB3,SupList,Table__192.168.3.138SupList[[#This Row],[SupplierID]],DL,"&gt;=1",DL,"&lt;=30")</f>
        <v>0</v>
      </c>
      <c r="G18" s="4">
        <f>SUMIFS(NetB3,SupList,Table__192.168.3.138SupList[[#This Row],[SupplierID]],DL,"&gt;=31",DL,"&lt;=45")</f>
        <v>0</v>
      </c>
      <c r="H18" s="4">
        <f>SUMIFS(NetB3,SupList,Table__192.168.3.138SupList[[#This Row],[SupplierID]],DL,"&gt;=46",DL,"&lt;=60")</f>
        <v>0</v>
      </c>
      <c r="I18" s="4">
        <f>SUMIFS(NetB3,SupList,Table__192.168.3.138SupList[[#This Row],[SupplierID]],DL,"&gt;=61",DL,"&lt;=90")</f>
        <v>0</v>
      </c>
      <c r="J18" s="4">
        <f>SUMIFS(NetB3,SupList,Table__192.168.3.138SupList[[#This Row],[SupplierID]],DL,"&gt;=91",DL,"&lt;=120")</f>
        <v>0</v>
      </c>
      <c r="K18" s="4">
        <f>SUMIFS(NetB3,SupList,Table__192.168.3.138SupList[[#This Row],[SupplierID]],DL,"&gt;120")</f>
        <v>74542</v>
      </c>
    </row>
    <row r="19" spans="1:11">
      <c r="A19" s="4" t="s">
        <v>190</v>
      </c>
      <c r="B19" s="5" t="s">
        <v>327</v>
      </c>
      <c r="C19" s="6">
        <f>SUMIF(SupList,Table__192.168.3.138SupList[[#This Row],[SupplierID]],NetAmount)</f>
        <v>876219</v>
      </c>
      <c r="D19" s="6">
        <f>SUMIF(SupList,Table__192.168.3.138SupList[[#This Row],[SupplierID]],Paid)</f>
        <v>0</v>
      </c>
      <c r="E19" s="6">
        <f>Table__192.168.3.138SupList[[#This Row],[Net Amount]]-Table__192.168.3.138SupList[[#This Row],[Paid]]</f>
        <v>876219</v>
      </c>
      <c r="F19" s="6">
        <f>SUMIFS(NetB3,SupList,Table__192.168.3.138SupList[[#This Row],[SupplierID]],DL,"&gt;=1",DL,"&lt;=30")</f>
        <v>0</v>
      </c>
      <c r="G19" s="4">
        <f>SUMIFS(NetB3,SupList,Table__192.168.3.138SupList[[#This Row],[SupplierID]],DL,"&gt;=31",DL,"&lt;=45")</f>
        <v>64438</v>
      </c>
      <c r="H19" s="4">
        <f>SUMIFS(NetB3,SupList,Table__192.168.3.138SupList[[#This Row],[SupplierID]],DL,"&gt;=46",DL,"&lt;=60")</f>
        <v>22260</v>
      </c>
      <c r="I19" s="4">
        <f>SUMIFS(NetB3,SupList,Table__192.168.3.138SupList[[#This Row],[SupplierID]],DL,"&gt;=61",DL,"&lt;=90")</f>
        <v>0</v>
      </c>
      <c r="J19" s="4">
        <f>SUMIFS(NetB3,SupList,Table__192.168.3.138SupList[[#This Row],[SupplierID]],DL,"&gt;=91",DL,"&lt;=120")</f>
        <v>28965</v>
      </c>
      <c r="K19" s="4">
        <f>SUMIFS(NetB3,SupList,Table__192.168.3.138SupList[[#This Row],[SupplierID]],DL,"&gt;120")</f>
        <v>760556</v>
      </c>
    </row>
    <row r="20" spans="1:11">
      <c r="A20" s="4" t="s">
        <v>241</v>
      </c>
      <c r="B20" s="5" t="s">
        <v>378</v>
      </c>
      <c r="C20" s="6">
        <f>SUMIF(SupList,Table__192.168.3.138SupList[[#This Row],[SupplierID]],NetAmount)</f>
        <v>130141</v>
      </c>
      <c r="D20" s="6">
        <f>SUMIF(SupList,Table__192.168.3.138SupList[[#This Row],[SupplierID]],Paid)</f>
        <v>0</v>
      </c>
      <c r="E20" s="6">
        <f>Table__192.168.3.138SupList[[#This Row],[Net Amount]]-Table__192.168.3.138SupList[[#This Row],[Paid]]</f>
        <v>130141</v>
      </c>
      <c r="F20" s="6">
        <f>SUMIFS(NetB3,SupList,Table__192.168.3.138SupList[[#This Row],[SupplierID]],DL,"&gt;=1",DL,"&lt;=30")</f>
        <v>0</v>
      </c>
      <c r="G20" s="4">
        <f>SUMIFS(NetB3,SupList,Table__192.168.3.138SupList[[#This Row],[SupplierID]],DL,"&gt;=31",DL,"&lt;=45")</f>
        <v>0</v>
      </c>
      <c r="H20" s="4">
        <f>SUMIFS(NetB3,SupList,Table__192.168.3.138SupList[[#This Row],[SupplierID]],DL,"&gt;=46",DL,"&lt;=60")</f>
        <v>0</v>
      </c>
      <c r="I20" s="4">
        <f>SUMIFS(NetB3,SupList,Table__192.168.3.138SupList[[#This Row],[SupplierID]],DL,"&gt;=61",DL,"&lt;=90")</f>
        <v>0</v>
      </c>
      <c r="J20" s="4">
        <f>SUMIFS(NetB3,SupList,Table__192.168.3.138SupList[[#This Row],[SupplierID]],DL,"&gt;=91",DL,"&lt;=120")</f>
        <v>0</v>
      </c>
      <c r="K20" s="4">
        <f>SUMIFS(NetB3,SupList,Table__192.168.3.138SupList[[#This Row],[SupplierID]],DL,"&gt;120")</f>
        <v>130141</v>
      </c>
    </row>
    <row r="21" spans="1:11">
      <c r="A21" s="4" t="s">
        <v>200</v>
      </c>
      <c r="B21" s="5" t="s">
        <v>337</v>
      </c>
      <c r="C21" s="6">
        <f>SUMIF(SupList,Table__192.168.3.138SupList[[#This Row],[SupplierID]],NetAmount)</f>
        <v>1049220</v>
      </c>
      <c r="D21" s="6">
        <f>SUMIF(SupList,Table__192.168.3.138SupList[[#This Row],[SupplierID]],Paid)</f>
        <v>0</v>
      </c>
      <c r="E21" s="6">
        <f>Table__192.168.3.138SupList[[#This Row],[Net Amount]]-Table__192.168.3.138SupList[[#This Row],[Paid]]</f>
        <v>1049220</v>
      </c>
      <c r="F21" s="6">
        <f>SUMIFS(NetB3,SupList,Table__192.168.3.138SupList[[#This Row],[SupplierID]],DL,"&gt;=1",DL,"&lt;=30")</f>
        <v>0</v>
      </c>
      <c r="G21" s="4">
        <f>SUMIFS(NetB3,SupList,Table__192.168.3.138SupList[[#This Row],[SupplierID]],DL,"&gt;=31",DL,"&lt;=45")</f>
        <v>0</v>
      </c>
      <c r="H21" s="4">
        <f>SUMIFS(NetB3,SupList,Table__192.168.3.138SupList[[#This Row],[SupplierID]],DL,"&gt;=46",DL,"&lt;=60")</f>
        <v>194300</v>
      </c>
      <c r="I21" s="4">
        <f>SUMIFS(NetB3,SupList,Table__192.168.3.138SupList[[#This Row],[SupplierID]],DL,"&gt;=61",DL,"&lt;=90")</f>
        <v>0</v>
      </c>
      <c r="J21" s="4">
        <f>SUMIFS(NetB3,SupList,Table__192.168.3.138SupList[[#This Row],[SupplierID]],DL,"&gt;=91",DL,"&lt;=120")</f>
        <v>0</v>
      </c>
      <c r="K21" s="4">
        <f>SUMIFS(NetB3,SupList,Table__192.168.3.138SupList[[#This Row],[SupplierID]],DL,"&gt;120")</f>
        <v>854920</v>
      </c>
    </row>
    <row r="22" spans="1:11">
      <c r="A22" s="4" t="s">
        <v>246</v>
      </c>
      <c r="B22" s="5" t="s">
        <v>383</v>
      </c>
      <c r="C22" s="6">
        <f>SUMIF(SupList,Table__192.168.3.138SupList[[#This Row],[SupplierID]],NetAmount)</f>
        <v>10412300</v>
      </c>
      <c r="D22" s="6">
        <f>SUMIF(SupList,Table__192.168.3.138SupList[[#This Row],[SupplierID]],Paid)</f>
        <v>3641472</v>
      </c>
      <c r="E22" s="6">
        <f>Table__192.168.3.138SupList[[#This Row],[Net Amount]]-Table__192.168.3.138SupList[[#This Row],[Paid]]</f>
        <v>6770828</v>
      </c>
      <c r="F22" s="6">
        <f>SUMIFS(NetB3,SupList,Table__192.168.3.138SupList[[#This Row],[SupplierID]],DL,"&gt;=1",DL,"&lt;=30")</f>
        <v>0</v>
      </c>
      <c r="G22" s="4">
        <f>SUMIFS(NetB3,SupList,Table__192.168.3.138SupList[[#This Row],[SupplierID]],DL,"&gt;=31",DL,"&lt;=45")</f>
        <v>0</v>
      </c>
      <c r="H22" s="4">
        <f>SUMIFS(NetB3,SupList,Table__192.168.3.138SupList[[#This Row],[SupplierID]],DL,"&gt;=46",DL,"&lt;=60")</f>
        <v>0</v>
      </c>
      <c r="I22" s="4">
        <f>SUMIFS(NetB3,SupList,Table__192.168.3.138SupList[[#This Row],[SupplierID]],DL,"&gt;=61",DL,"&lt;=90")</f>
        <v>2018400</v>
      </c>
      <c r="J22" s="4">
        <f>SUMIFS(NetB3,SupList,Table__192.168.3.138SupList[[#This Row],[SupplierID]],DL,"&gt;=91",DL,"&lt;=120")</f>
        <v>655980</v>
      </c>
      <c r="K22" s="4">
        <f>SUMIFS(NetB3,SupList,Table__192.168.3.138SupList[[#This Row],[SupplierID]],DL,"&gt;120")</f>
        <v>4096448</v>
      </c>
    </row>
    <row r="23" spans="1:11">
      <c r="A23" s="4" t="s">
        <v>170</v>
      </c>
      <c r="B23" s="5" t="s">
        <v>307</v>
      </c>
      <c r="C23" s="6">
        <f>SUMIF(SupList,Table__192.168.3.138SupList[[#This Row],[SupplierID]],NetAmount)</f>
        <v>457364</v>
      </c>
      <c r="D23" s="6">
        <f>SUMIF(SupList,Table__192.168.3.138SupList[[#This Row],[SupplierID]],Paid)</f>
        <v>0</v>
      </c>
      <c r="E23" s="6">
        <f>Table__192.168.3.138SupList[[#This Row],[Net Amount]]-Table__192.168.3.138SupList[[#This Row],[Paid]]</f>
        <v>457364</v>
      </c>
      <c r="F23" s="6">
        <f>SUMIFS(NetB3,SupList,Table__192.168.3.138SupList[[#This Row],[SupplierID]],DL,"&gt;=1",DL,"&lt;=30")</f>
        <v>230318</v>
      </c>
      <c r="G23" s="4">
        <f>SUMIFS(NetB3,SupList,Table__192.168.3.138SupList[[#This Row],[SupplierID]],DL,"&gt;=31",DL,"&lt;=45")</f>
        <v>0</v>
      </c>
      <c r="H23" s="4">
        <f>SUMIFS(NetB3,SupList,Table__192.168.3.138SupList[[#This Row],[SupplierID]],DL,"&gt;=46",DL,"&lt;=60")</f>
        <v>96976</v>
      </c>
      <c r="I23" s="4">
        <f>SUMIFS(NetB3,SupList,Table__192.168.3.138SupList[[#This Row],[SupplierID]],DL,"&gt;=61",DL,"&lt;=90")</f>
        <v>0</v>
      </c>
      <c r="J23" s="4">
        <f>SUMIFS(NetB3,SupList,Table__192.168.3.138SupList[[#This Row],[SupplierID]],DL,"&gt;=91",DL,"&lt;=120")</f>
        <v>0</v>
      </c>
      <c r="K23" s="4">
        <f>SUMIFS(NetB3,SupList,Table__192.168.3.138SupList[[#This Row],[SupplierID]],DL,"&gt;120")</f>
        <v>130070</v>
      </c>
    </row>
    <row r="24" spans="1:11">
      <c r="A24" s="4" t="s">
        <v>269</v>
      </c>
      <c r="B24" s="5" t="s">
        <v>406</v>
      </c>
      <c r="C24" s="6">
        <f>SUMIF(SupList,Table__192.168.3.138SupList[[#This Row],[SupplierID]],NetAmount)</f>
        <v>4234</v>
      </c>
      <c r="D24" s="6">
        <f>SUMIF(SupList,Table__192.168.3.138SupList[[#This Row],[SupplierID]],Paid)</f>
        <v>1394</v>
      </c>
      <c r="E24" s="6">
        <f>Table__192.168.3.138SupList[[#This Row],[Net Amount]]-Table__192.168.3.138SupList[[#This Row],[Paid]]</f>
        <v>2840</v>
      </c>
      <c r="F24" s="6">
        <f>SUMIFS(NetB3,SupList,Table__192.168.3.138SupList[[#This Row],[SupplierID]],DL,"&gt;=1",DL,"&lt;=30")</f>
        <v>0</v>
      </c>
      <c r="G24" s="4">
        <f>SUMIFS(NetB3,SupList,Table__192.168.3.138SupList[[#This Row],[SupplierID]],DL,"&gt;=31",DL,"&lt;=45")</f>
        <v>0</v>
      </c>
      <c r="H24" s="4">
        <f>SUMIFS(NetB3,SupList,Table__192.168.3.138SupList[[#This Row],[SupplierID]],DL,"&gt;=46",DL,"&lt;=60")</f>
        <v>0</v>
      </c>
      <c r="I24" s="4">
        <f>SUMIFS(NetB3,SupList,Table__192.168.3.138SupList[[#This Row],[SupplierID]],DL,"&gt;=61",DL,"&lt;=90")</f>
        <v>0</v>
      </c>
      <c r="J24" s="4">
        <f>SUMIFS(NetB3,SupList,Table__192.168.3.138SupList[[#This Row],[SupplierID]],DL,"&gt;=91",DL,"&lt;=120")</f>
        <v>0</v>
      </c>
      <c r="K24" s="4">
        <f>SUMIFS(NetB3,SupList,Table__192.168.3.138SupList[[#This Row],[SupplierID]],DL,"&gt;120")</f>
        <v>2840</v>
      </c>
    </row>
    <row r="25" spans="1:11">
      <c r="A25" s="4" t="s">
        <v>292</v>
      </c>
      <c r="B25" s="5" t="s">
        <v>429</v>
      </c>
      <c r="C25" s="6">
        <f>SUMIF(SupList,Table__192.168.3.138SupList[[#This Row],[SupplierID]],NetAmount)</f>
        <v>588816</v>
      </c>
      <c r="D25" s="6">
        <f>SUMIF(SupList,Table__192.168.3.138SupList[[#This Row],[SupplierID]],Paid)</f>
        <v>0</v>
      </c>
      <c r="E25" s="6">
        <f>Table__192.168.3.138SupList[[#This Row],[Net Amount]]-Table__192.168.3.138SupList[[#This Row],[Paid]]</f>
        <v>588816</v>
      </c>
      <c r="F25" s="6">
        <f>SUMIFS(NetB3,SupList,Table__192.168.3.138SupList[[#This Row],[SupplierID]],DL,"&gt;=1",DL,"&lt;=30")</f>
        <v>363312</v>
      </c>
      <c r="G25" s="4">
        <f>SUMIFS(NetB3,SupList,Table__192.168.3.138SupList[[#This Row],[SupplierID]],DL,"&gt;=31",DL,"&lt;=45")</f>
        <v>225504</v>
      </c>
      <c r="H25" s="4">
        <f>SUMIFS(NetB3,SupList,Table__192.168.3.138SupList[[#This Row],[SupplierID]],DL,"&gt;=46",DL,"&lt;=60")</f>
        <v>0</v>
      </c>
      <c r="I25" s="4">
        <f>SUMIFS(NetB3,SupList,Table__192.168.3.138SupList[[#This Row],[SupplierID]],DL,"&gt;=61",DL,"&lt;=90")</f>
        <v>0</v>
      </c>
      <c r="J25" s="4">
        <f>SUMIFS(NetB3,SupList,Table__192.168.3.138SupList[[#This Row],[SupplierID]],DL,"&gt;=91",DL,"&lt;=120")</f>
        <v>0</v>
      </c>
      <c r="K25" s="4">
        <f>SUMIFS(NetB3,SupList,Table__192.168.3.138SupList[[#This Row],[SupplierID]],DL,"&gt;120")</f>
        <v>0</v>
      </c>
    </row>
    <row r="26" spans="1:11">
      <c r="A26" s="4" t="s">
        <v>224</v>
      </c>
      <c r="B26" s="5" t="s">
        <v>361</v>
      </c>
      <c r="C26" s="6">
        <f>SUMIF(SupList,Table__192.168.3.138SupList[[#This Row],[SupplierID]],NetAmount)</f>
        <v>2940429</v>
      </c>
      <c r="D26" s="6">
        <f>SUMIF(SupList,Table__192.168.3.138SupList[[#This Row],[SupplierID]],Paid)</f>
        <v>0</v>
      </c>
      <c r="E26" s="6">
        <f>Table__192.168.3.138SupList[[#This Row],[Net Amount]]-Table__192.168.3.138SupList[[#This Row],[Paid]]</f>
        <v>2940429</v>
      </c>
      <c r="F26" s="6">
        <f>SUMIFS(NetB3,SupList,Table__192.168.3.138SupList[[#This Row],[SupplierID]],DL,"&gt;=1",DL,"&lt;=30")</f>
        <v>193771</v>
      </c>
      <c r="G26" s="4">
        <f>SUMIFS(NetB3,SupList,Table__192.168.3.138SupList[[#This Row],[SupplierID]],DL,"&gt;=31",DL,"&lt;=45")</f>
        <v>189945</v>
      </c>
      <c r="H26" s="4">
        <f>SUMIFS(NetB3,SupList,Table__192.168.3.138SupList[[#This Row],[SupplierID]],DL,"&gt;=46",DL,"&lt;=60")</f>
        <v>199496</v>
      </c>
      <c r="I26" s="4">
        <f>SUMIFS(NetB3,SupList,Table__192.168.3.138SupList[[#This Row],[SupplierID]],DL,"&gt;=61",DL,"&lt;=90")</f>
        <v>1094627</v>
      </c>
      <c r="J26" s="4">
        <f>SUMIFS(NetB3,SupList,Table__192.168.3.138SupList[[#This Row],[SupplierID]],DL,"&gt;=91",DL,"&lt;=120")</f>
        <v>624461</v>
      </c>
      <c r="K26" s="4">
        <f>SUMIFS(NetB3,SupList,Table__192.168.3.138SupList[[#This Row],[SupplierID]],DL,"&gt;120")</f>
        <v>638129</v>
      </c>
    </row>
    <row r="27" spans="1:11">
      <c r="A27" s="4" t="s">
        <v>296</v>
      </c>
      <c r="B27" s="5" t="s">
        <v>433</v>
      </c>
      <c r="C27" s="6">
        <f>SUMIF(SupList,Table__192.168.3.138SupList[[#This Row],[SupplierID]],NetAmount)</f>
        <v>6829739</v>
      </c>
      <c r="D27" s="6">
        <f>SUMIF(SupList,Table__192.168.3.138SupList[[#This Row],[SupplierID]],Paid)</f>
        <v>318834</v>
      </c>
      <c r="E27" s="6">
        <f>Table__192.168.3.138SupList[[#This Row],[Net Amount]]-Table__192.168.3.138SupList[[#This Row],[Paid]]</f>
        <v>6510905</v>
      </c>
      <c r="F27" s="6">
        <f>SUMIFS(NetB3,SupList,Table__192.168.3.138SupList[[#This Row],[SupplierID]],DL,"&gt;=1",DL,"&lt;=30")</f>
        <v>0</v>
      </c>
      <c r="G27" s="4">
        <f>SUMIFS(NetB3,SupList,Table__192.168.3.138SupList[[#This Row],[SupplierID]],DL,"&gt;=31",DL,"&lt;=45")</f>
        <v>0</v>
      </c>
      <c r="H27" s="4">
        <f>SUMIFS(NetB3,SupList,Table__192.168.3.138SupList[[#This Row],[SupplierID]],DL,"&gt;=46",DL,"&lt;=60")</f>
        <v>0</v>
      </c>
      <c r="I27" s="4">
        <f>SUMIFS(NetB3,SupList,Table__192.168.3.138SupList[[#This Row],[SupplierID]],DL,"&gt;=61",DL,"&lt;=90")</f>
        <v>78423</v>
      </c>
      <c r="J27" s="4">
        <f>SUMIFS(NetB3,SupList,Table__192.168.3.138SupList[[#This Row],[SupplierID]],DL,"&gt;=91",DL,"&lt;=120")</f>
        <v>11056</v>
      </c>
      <c r="K27" s="4">
        <f>SUMIFS(NetB3,SupList,Table__192.168.3.138SupList[[#This Row],[SupplierID]],DL,"&gt;120")</f>
        <v>6421426</v>
      </c>
    </row>
    <row r="28" spans="1:11">
      <c r="A28" s="4" t="s">
        <v>293</v>
      </c>
      <c r="B28" s="5" t="s">
        <v>430</v>
      </c>
      <c r="C28" s="6">
        <f>SUMIF(SupList,Table__192.168.3.138SupList[[#This Row],[SupplierID]],NetAmount)</f>
        <v>12681180</v>
      </c>
      <c r="D28" s="6">
        <f>SUMIF(SupList,Table__192.168.3.138SupList[[#This Row],[SupplierID]],Paid)</f>
        <v>2462425</v>
      </c>
      <c r="E28" s="6">
        <f>Table__192.168.3.138SupList[[#This Row],[Net Amount]]-Table__192.168.3.138SupList[[#This Row],[Paid]]</f>
        <v>10218755</v>
      </c>
      <c r="F28" s="6">
        <f>SUMIFS(NetB3,SupList,Table__192.168.3.138SupList[[#This Row],[SupplierID]],DL,"&gt;=1",DL,"&lt;=30")</f>
        <v>2500090</v>
      </c>
      <c r="G28" s="4">
        <f>SUMIFS(NetB3,SupList,Table__192.168.3.138SupList[[#This Row],[SupplierID]],DL,"&gt;=31",DL,"&lt;=45")</f>
        <v>24012</v>
      </c>
      <c r="H28" s="4">
        <f>SUMIFS(NetB3,SupList,Table__192.168.3.138SupList[[#This Row],[SupplierID]],DL,"&gt;=46",DL,"&lt;=60")</f>
        <v>2596080</v>
      </c>
      <c r="I28" s="4">
        <f>SUMIFS(NetB3,SupList,Table__192.168.3.138SupList[[#This Row],[SupplierID]],DL,"&gt;=61",DL,"&lt;=90")</f>
        <v>4125192</v>
      </c>
      <c r="J28" s="4">
        <f>SUMIFS(NetB3,SupList,Table__192.168.3.138SupList[[#This Row],[SupplierID]],DL,"&gt;=91",DL,"&lt;=120")</f>
        <v>902825</v>
      </c>
      <c r="K28" s="4">
        <f>SUMIFS(NetB3,SupList,Table__192.168.3.138SupList[[#This Row],[SupplierID]],DL,"&gt;120")</f>
        <v>70556</v>
      </c>
    </row>
    <row r="29" spans="1:11">
      <c r="A29" s="4" t="s">
        <v>256</v>
      </c>
      <c r="B29" s="5" t="s">
        <v>393</v>
      </c>
      <c r="C29" s="6">
        <f>SUMIF(SupList,Table__192.168.3.138SupList[[#This Row],[SupplierID]],NetAmount)</f>
        <v>-7308</v>
      </c>
      <c r="D29" s="6">
        <f>SUMIF(SupList,Table__192.168.3.138SupList[[#This Row],[SupplierID]],Paid)</f>
        <v>0</v>
      </c>
      <c r="E29" s="6">
        <f>Table__192.168.3.138SupList[[#This Row],[Net Amount]]-Table__192.168.3.138SupList[[#This Row],[Paid]]</f>
        <v>-7308</v>
      </c>
      <c r="F29" s="6">
        <f>SUMIFS(NetB3,SupList,Table__192.168.3.138SupList[[#This Row],[SupplierID]],DL,"&gt;=1",DL,"&lt;=30")</f>
        <v>0</v>
      </c>
      <c r="G29" s="4">
        <f>SUMIFS(NetB3,SupList,Table__192.168.3.138SupList[[#This Row],[SupplierID]],DL,"&gt;=31",DL,"&lt;=45")</f>
        <v>0</v>
      </c>
      <c r="H29" s="4">
        <f>SUMIFS(NetB3,SupList,Table__192.168.3.138SupList[[#This Row],[SupplierID]],DL,"&gt;=46",DL,"&lt;=60")</f>
        <v>0</v>
      </c>
      <c r="I29" s="4">
        <f>SUMIFS(NetB3,SupList,Table__192.168.3.138SupList[[#This Row],[SupplierID]],DL,"&gt;=61",DL,"&lt;=90")</f>
        <v>0</v>
      </c>
      <c r="J29" s="4">
        <f>SUMIFS(NetB3,SupList,Table__192.168.3.138SupList[[#This Row],[SupplierID]],DL,"&gt;=91",DL,"&lt;=120")</f>
        <v>0</v>
      </c>
      <c r="K29" s="4">
        <f>SUMIFS(NetB3,SupList,Table__192.168.3.138SupList[[#This Row],[SupplierID]],DL,"&gt;120")</f>
        <v>-7308</v>
      </c>
    </row>
    <row r="30" spans="1:11">
      <c r="A30" s="4" t="s">
        <v>230</v>
      </c>
      <c r="B30" s="5" t="s">
        <v>367</v>
      </c>
      <c r="C30" s="6">
        <f>SUMIF(SupList,Table__192.168.3.138SupList[[#This Row],[SupplierID]],NetAmount)</f>
        <v>-1035</v>
      </c>
      <c r="D30" s="6">
        <f>SUMIF(SupList,Table__192.168.3.138SupList[[#This Row],[SupplierID]],Paid)</f>
        <v>0</v>
      </c>
      <c r="E30" s="6">
        <f>Table__192.168.3.138SupList[[#This Row],[Net Amount]]-Table__192.168.3.138SupList[[#This Row],[Paid]]</f>
        <v>-1035</v>
      </c>
      <c r="F30" s="6">
        <f>SUMIFS(NetB3,SupList,Table__192.168.3.138SupList[[#This Row],[SupplierID]],DL,"&gt;=1",DL,"&lt;=30")</f>
        <v>0</v>
      </c>
      <c r="G30" s="4">
        <f>SUMIFS(NetB3,SupList,Table__192.168.3.138SupList[[#This Row],[SupplierID]],DL,"&gt;=31",DL,"&lt;=45")</f>
        <v>0</v>
      </c>
      <c r="H30" s="4">
        <f>SUMIFS(NetB3,SupList,Table__192.168.3.138SupList[[#This Row],[SupplierID]],DL,"&gt;=46",DL,"&lt;=60")</f>
        <v>0</v>
      </c>
      <c r="I30" s="4">
        <f>SUMIFS(NetB3,SupList,Table__192.168.3.138SupList[[#This Row],[SupplierID]],DL,"&gt;=61",DL,"&lt;=90")</f>
        <v>0</v>
      </c>
      <c r="J30" s="4">
        <f>SUMIFS(NetB3,SupList,Table__192.168.3.138SupList[[#This Row],[SupplierID]],DL,"&gt;=91",DL,"&lt;=120")</f>
        <v>0</v>
      </c>
      <c r="K30" s="4">
        <f>SUMIFS(NetB3,SupList,Table__192.168.3.138SupList[[#This Row],[SupplierID]],DL,"&gt;120")</f>
        <v>-1035</v>
      </c>
    </row>
    <row r="31" spans="1:11">
      <c r="A31" s="4" t="s">
        <v>240</v>
      </c>
      <c r="B31" s="5" t="s">
        <v>377</v>
      </c>
      <c r="C31" s="6">
        <f>SUMIF(SupList,Table__192.168.3.138SupList[[#This Row],[SupplierID]],NetAmount)</f>
        <v>-6167</v>
      </c>
      <c r="D31" s="6">
        <f>SUMIF(SupList,Table__192.168.3.138SupList[[#This Row],[SupplierID]],Paid)</f>
        <v>0</v>
      </c>
      <c r="E31" s="6">
        <f>Table__192.168.3.138SupList[[#This Row],[Net Amount]]-Table__192.168.3.138SupList[[#This Row],[Paid]]</f>
        <v>-6167</v>
      </c>
      <c r="F31" s="6">
        <f>SUMIFS(NetB3,SupList,Table__192.168.3.138SupList[[#This Row],[SupplierID]],DL,"&gt;=1",DL,"&lt;=30")</f>
        <v>0</v>
      </c>
      <c r="G31" s="4">
        <f>SUMIFS(NetB3,SupList,Table__192.168.3.138SupList[[#This Row],[SupplierID]],DL,"&gt;=31",DL,"&lt;=45")</f>
        <v>0</v>
      </c>
      <c r="H31" s="4">
        <f>SUMIFS(NetB3,SupList,Table__192.168.3.138SupList[[#This Row],[SupplierID]],DL,"&gt;=46",DL,"&lt;=60")</f>
        <v>0</v>
      </c>
      <c r="I31" s="4">
        <f>SUMIFS(NetB3,SupList,Table__192.168.3.138SupList[[#This Row],[SupplierID]],DL,"&gt;=61",DL,"&lt;=90")</f>
        <v>0</v>
      </c>
      <c r="J31" s="4">
        <f>SUMIFS(NetB3,SupList,Table__192.168.3.138SupList[[#This Row],[SupplierID]],DL,"&gt;=91",DL,"&lt;=120")</f>
        <v>0</v>
      </c>
      <c r="K31" s="4">
        <f>SUMIFS(NetB3,SupList,Table__192.168.3.138SupList[[#This Row],[SupplierID]],DL,"&gt;120")</f>
        <v>-6167</v>
      </c>
    </row>
    <row r="32" spans="1:11">
      <c r="A32" s="4" t="s">
        <v>261</v>
      </c>
      <c r="B32" s="5" t="s">
        <v>398</v>
      </c>
      <c r="C32" s="6">
        <f>SUMIF(SupList,Table__192.168.3.138SupList[[#This Row],[SupplierID]],NetAmount)</f>
        <v>-501</v>
      </c>
      <c r="D32" s="6">
        <f>SUMIF(SupList,Table__192.168.3.138SupList[[#This Row],[SupplierID]],Paid)</f>
        <v>0</v>
      </c>
      <c r="E32" s="6">
        <f>Table__192.168.3.138SupList[[#This Row],[Net Amount]]-Table__192.168.3.138SupList[[#This Row],[Paid]]</f>
        <v>-501</v>
      </c>
      <c r="F32" s="6">
        <f>SUMIFS(NetB3,SupList,Table__192.168.3.138SupList[[#This Row],[SupplierID]],DL,"&gt;=1",DL,"&lt;=30")</f>
        <v>0</v>
      </c>
      <c r="G32" s="4">
        <f>SUMIFS(NetB3,SupList,Table__192.168.3.138SupList[[#This Row],[SupplierID]],DL,"&gt;=31",DL,"&lt;=45")</f>
        <v>0</v>
      </c>
      <c r="H32" s="4">
        <f>SUMIFS(NetB3,SupList,Table__192.168.3.138SupList[[#This Row],[SupplierID]],DL,"&gt;=46",DL,"&lt;=60")</f>
        <v>0</v>
      </c>
      <c r="I32" s="4">
        <f>SUMIFS(NetB3,SupList,Table__192.168.3.138SupList[[#This Row],[SupplierID]],DL,"&gt;=61",DL,"&lt;=90")</f>
        <v>0</v>
      </c>
      <c r="J32" s="4">
        <f>SUMIFS(NetB3,SupList,Table__192.168.3.138SupList[[#This Row],[SupplierID]],DL,"&gt;=91",DL,"&lt;=120")</f>
        <v>0</v>
      </c>
      <c r="K32" s="4">
        <f>SUMIFS(NetB3,SupList,Table__192.168.3.138SupList[[#This Row],[SupplierID]],DL,"&gt;120")</f>
        <v>-501</v>
      </c>
    </row>
    <row r="33" spans="1:11">
      <c r="A33" s="4" t="s">
        <v>249</v>
      </c>
      <c r="B33" s="5" t="s">
        <v>386</v>
      </c>
      <c r="C33" s="6">
        <f>SUMIF(SupList,Table__192.168.3.138SupList[[#This Row],[SupplierID]],NetAmount)</f>
        <v>1571755</v>
      </c>
      <c r="D33" s="6">
        <f>SUMIF(SupList,Table__192.168.3.138SupList[[#This Row],[SupplierID]],Paid)</f>
        <v>0</v>
      </c>
      <c r="E33" s="6">
        <f>Table__192.168.3.138SupList[[#This Row],[Net Amount]]-Table__192.168.3.138SupList[[#This Row],[Paid]]</f>
        <v>1571755</v>
      </c>
      <c r="F33" s="6">
        <f>SUMIFS(NetB3,SupList,Table__192.168.3.138SupList[[#This Row],[SupplierID]],DL,"&gt;=1",DL,"&lt;=30")</f>
        <v>0</v>
      </c>
      <c r="G33" s="4">
        <f>SUMIFS(NetB3,SupList,Table__192.168.3.138SupList[[#This Row],[SupplierID]],DL,"&gt;=31",DL,"&lt;=45")</f>
        <v>0</v>
      </c>
      <c r="H33" s="4">
        <f>SUMIFS(NetB3,SupList,Table__192.168.3.138SupList[[#This Row],[SupplierID]],DL,"&gt;=46",DL,"&lt;=60")</f>
        <v>10235</v>
      </c>
      <c r="I33" s="4">
        <f>SUMIFS(NetB3,SupList,Table__192.168.3.138SupList[[#This Row],[SupplierID]],DL,"&gt;=61",DL,"&lt;=90")</f>
        <v>654053</v>
      </c>
      <c r="J33" s="4">
        <f>SUMIFS(NetB3,SupList,Table__192.168.3.138SupList[[#This Row],[SupplierID]],DL,"&gt;=91",DL,"&lt;=120")</f>
        <v>677430</v>
      </c>
      <c r="K33" s="4">
        <f>SUMIFS(NetB3,SupList,Table__192.168.3.138SupList[[#This Row],[SupplierID]],DL,"&gt;120")</f>
        <v>230037</v>
      </c>
    </row>
    <row r="34" spans="1:11">
      <c r="A34" s="4" t="s">
        <v>216</v>
      </c>
      <c r="B34" s="5" t="s">
        <v>353</v>
      </c>
      <c r="C34" s="6">
        <f>SUMIF(SupList,Table__192.168.3.138SupList[[#This Row],[SupplierID]],NetAmount)</f>
        <v>55564</v>
      </c>
      <c r="D34" s="6">
        <f>SUMIF(SupList,Table__192.168.3.138SupList[[#This Row],[SupplierID]],Paid)</f>
        <v>0</v>
      </c>
      <c r="E34" s="6">
        <f>Table__192.168.3.138SupList[[#This Row],[Net Amount]]-Table__192.168.3.138SupList[[#This Row],[Paid]]</f>
        <v>55564</v>
      </c>
      <c r="F34" s="6">
        <f>SUMIFS(NetB3,SupList,Table__192.168.3.138SupList[[#This Row],[SupplierID]],DL,"&gt;=1",DL,"&lt;=30")</f>
        <v>0</v>
      </c>
      <c r="G34" s="4">
        <f>SUMIFS(NetB3,SupList,Table__192.168.3.138SupList[[#This Row],[SupplierID]],DL,"&gt;=31",DL,"&lt;=45")</f>
        <v>0</v>
      </c>
      <c r="H34" s="4">
        <f>SUMIFS(NetB3,SupList,Table__192.168.3.138SupList[[#This Row],[SupplierID]],DL,"&gt;=46",DL,"&lt;=60")</f>
        <v>0</v>
      </c>
      <c r="I34" s="4">
        <f>SUMIFS(NetB3,SupList,Table__192.168.3.138SupList[[#This Row],[SupplierID]],DL,"&gt;=61",DL,"&lt;=90")</f>
        <v>0</v>
      </c>
      <c r="J34" s="4">
        <f>SUMIFS(NetB3,SupList,Table__192.168.3.138SupList[[#This Row],[SupplierID]],DL,"&gt;=91",DL,"&lt;=120")</f>
        <v>-864</v>
      </c>
      <c r="K34" s="4">
        <f>SUMIFS(NetB3,SupList,Table__192.168.3.138SupList[[#This Row],[SupplierID]],DL,"&gt;120")</f>
        <v>56428</v>
      </c>
    </row>
    <row r="35" spans="1:11">
      <c r="A35" s="4" t="s">
        <v>185</v>
      </c>
      <c r="B35" s="5" t="s">
        <v>322</v>
      </c>
      <c r="C35" s="6">
        <f>SUMIF(SupList,Table__192.168.3.138SupList[[#This Row],[SupplierID]],NetAmount)</f>
        <v>-240</v>
      </c>
      <c r="D35" s="6">
        <f>SUMIF(SupList,Table__192.168.3.138SupList[[#This Row],[SupplierID]],Paid)</f>
        <v>0</v>
      </c>
      <c r="E35" s="6">
        <f>Table__192.168.3.138SupList[[#This Row],[Net Amount]]-Table__192.168.3.138SupList[[#This Row],[Paid]]</f>
        <v>-240</v>
      </c>
      <c r="F35" s="6">
        <f>SUMIFS(NetB3,SupList,Table__192.168.3.138SupList[[#This Row],[SupplierID]],DL,"&gt;=1",DL,"&lt;=30")</f>
        <v>0</v>
      </c>
      <c r="G35" s="4">
        <f>SUMIFS(NetB3,SupList,Table__192.168.3.138SupList[[#This Row],[SupplierID]],DL,"&gt;=31",DL,"&lt;=45")</f>
        <v>0</v>
      </c>
      <c r="H35" s="4">
        <f>SUMIFS(NetB3,SupList,Table__192.168.3.138SupList[[#This Row],[SupplierID]],DL,"&gt;=46",DL,"&lt;=60")</f>
        <v>0</v>
      </c>
      <c r="I35" s="4">
        <f>SUMIFS(NetB3,SupList,Table__192.168.3.138SupList[[#This Row],[SupplierID]],DL,"&gt;=61",DL,"&lt;=90")</f>
        <v>0</v>
      </c>
      <c r="J35" s="4">
        <f>SUMIFS(NetB3,SupList,Table__192.168.3.138SupList[[#This Row],[SupplierID]],DL,"&gt;=91",DL,"&lt;=120")</f>
        <v>0</v>
      </c>
      <c r="K35" s="4">
        <f>SUMIFS(NetB3,SupList,Table__192.168.3.138SupList[[#This Row],[SupplierID]],DL,"&gt;120")</f>
        <v>-240</v>
      </c>
    </row>
    <row r="36" spans="1:11">
      <c r="A36" s="4" t="s">
        <v>205</v>
      </c>
      <c r="B36" s="5" t="s">
        <v>342</v>
      </c>
      <c r="C36" s="6">
        <f>SUMIF(SupList,Table__192.168.3.138SupList[[#This Row],[SupplierID]],NetAmount)</f>
        <v>2797914</v>
      </c>
      <c r="D36" s="6">
        <f>SUMIF(SupList,Table__192.168.3.138SupList[[#This Row],[SupplierID]],Paid)</f>
        <v>0</v>
      </c>
      <c r="E36" s="6">
        <f>Table__192.168.3.138SupList[[#This Row],[Net Amount]]-Table__192.168.3.138SupList[[#This Row],[Paid]]</f>
        <v>2797914</v>
      </c>
      <c r="F36" s="6">
        <f>SUMIFS(NetB3,SupList,Table__192.168.3.138SupList[[#This Row],[SupplierID]],DL,"&gt;=1",DL,"&lt;=30")</f>
        <v>0</v>
      </c>
      <c r="G36" s="4">
        <f>SUMIFS(NetB3,SupList,Table__192.168.3.138SupList[[#This Row],[SupplierID]],DL,"&gt;=31",DL,"&lt;=45")</f>
        <v>0</v>
      </c>
      <c r="H36" s="4">
        <f>SUMIFS(NetB3,SupList,Table__192.168.3.138SupList[[#This Row],[SupplierID]],DL,"&gt;=46",DL,"&lt;=60")</f>
        <v>0</v>
      </c>
      <c r="I36" s="4">
        <f>SUMIFS(NetB3,SupList,Table__192.168.3.138SupList[[#This Row],[SupplierID]],DL,"&gt;=61",DL,"&lt;=90")</f>
        <v>0</v>
      </c>
      <c r="J36" s="4">
        <f>SUMIFS(NetB3,SupList,Table__192.168.3.138SupList[[#This Row],[SupplierID]],DL,"&gt;=91",DL,"&lt;=120")</f>
        <v>0</v>
      </c>
      <c r="K36" s="4">
        <f>SUMIFS(NetB3,SupList,Table__192.168.3.138SupList[[#This Row],[SupplierID]],DL,"&gt;120")</f>
        <v>2797914</v>
      </c>
    </row>
    <row r="37" spans="1:11">
      <c r="A37" s="4" t="s">
        <v>206</v>
      </c>
      <c r="B37" s="5" t="s">
        <v>343</v>
      </c>
      <c r="C37" s="6">
        <f>SUMIF(SupList,Table__192.168.3.138SupList[[#This Row],[SupplierID]],NetAmount)</f>
        <v>1621704</v>
      </c>
      <c r="D37" s="6">
        <f>SUMIF(SupList,Table__192.168.3.138SupList[[#This Row],[SupplierID]],Paid)</f>
        <v>0</v>
      </c>
      <c r="E37" s="6">
        <f>Table__192.168.3.138SupList[[#This Row],[Net Amount]]-Table__192.168.3.138SupList[[#This Row],[Paid]]</f>
        <v>1621704</v>
      </c>
      <c r="F37" s="6">
        <f>SUMIFS(NetB3,SupList,Table__192.168.3.138SupList[[#This Row],[SupplierID]],DL,"&gt;=1",DL,"&lt;=30")</f>
        <v>614220</v>
      </c>
      <c r="G37" s="4">
        <f>SUMIFS(NetB3,SupList,Table__192.168.3.138SupList[[#This Row],[SupplierID]],DL,"&gt;=31",DL,"&lt;=45")</f>
        <v>295800</v>
      </c>
      <c r="H37" s="4">
        <f>SUMIFS(NetB3,SupList,Table__192.168.3.138SupList[[#This Row],[SupplierID]],DL,"&gt;=46",DL,"&lt;=60")</f>
        <v>0</v>
      </c>
      <c r="I37" s="4">
        <f>SUMIFS(NetB3,SupList,Table__192.168.3.138SupList[[#This Row],[SupplierID]],DL,"&gt;=61",DL,"&lt;=90")</f>
        <v>244035</v>
      </c>
      <c r="J37" s="4">
        <f>SUMIFS(NetB3,SupList,Table__192.168.3.138SupList[[#This Row],[SupplierID]],DL,"&gt;=91",DL,"&lt;=120")</f>
        <v>362355</v>
      </c>
      <c r="K37" s="4">
        <f>SUMIFS(NetB3,SupList,Table__192.168.3.138SupList[[#This Row],[SupplierID]],DL,"&gt;120")</f>
        <v>124718</v>
      </c>
    </row>
    <row r="38" spans="1:11">
      <c r="A38" s="4" t="s">
        <v>252</v>
      </c>
      <c r="B38" s="5" t="s">
        <v>389</v>
      </c>
      <c r="C38" s="6">
        <f>SUMIF(SupList,Table__192.168.3.138SupList[[#This Row],[SupplierID]],NetAmount)</f>
        <v>-4963</v>
      </c>
      <c r="D38" s="6">
        <f>SUMIF(SupList,Table__192.168.3.138SupList[[#This Row],[SupplierID]],Paid)</f>
        <v>0</v>
      </c>
      <c r="E38" s="6">
        <f>Table__192.168.3.138SupList[[#This Row],[Net Amount]]-Table__192.168.3.138SupList[[#This Row],[Paid]]</f>
        <v>-4963</v>
      </c>
      <c r="F38" s="6">
        <f>SUMIFS(NetB3,SupList,Table__192.168.3.138SupList[[#This Row],[SupplierID]],DL,"&gt;=1",DL,"&lt;=30")</f>
        <v>0</v>
      </c>
      <c r="G38" s="4">
        <f>SUMIFS(NetB3,SupList,Table__192.168.3.138SupList[[#This Row],[SupplierID]],DL,"&gt;=31",DL,"&lt;=45")</f>
        <v>0</v>
      </c>
      <c r="H38" s="4">
        <f>SUMIFS(NetB3,SupList,Table__192.168.3.138SupList[[#This Row],[SupplierID]],DL,"&gt;=46",DL,"&lt;=60")</f>
        <v>0</v>
      </c>
      <c r="I38" s="4">
        <f>SUMIFS(NetB3,SupList,Table__192.168.3.138SupList[[#This Row],[SupplierID]],DL,"&gt;=61",DL,"&lt;=90")</f>
        <v>0</v>
      </c>
      <c r="J38" s="4">
        <f>SUMIFS(NetB3,SupList,Table__192.168.3.138SupList[[#This Row],[SupplierID]],DL,"&gt;=91",DL,"&lt;=120")</f>
        <v>0</v>
      </c>
      <c r="K38" s="4">
        <f>SUMIFS(NetB3,SupList,Table__192.168.3.138SupList[[#This Row],[SupplierID]],DL,"&gt;120")</f>
        <v>-4963</v>
      </c>
    </row>
    <row r="39" spans="1:11">
      <c r="A39" s="4" t="s">
        <v>169</v>
      </c>
      <c r="B39" s="5" t="s">
        <v>306</v>
      </c>
      <c r="C39" s="6">
        <f>SUMIF(SupList,Table__192.168.3.138SupList[[#This Row],[SupplierID]],NetAmount)</f>
        <v>619440</v>
      </c>
      <c r="D39" s="6">
        <f>SUMIF(SupList,Table__192.168.3.138SupList[[#This Row],[SupplierID]],Paid)</f>
        <v>0</v>
      </c>
      <c r="E39" s="6">
        <f>Table__192.168.3.138SupList[[#This Row],[Net Amount]]-Table__192.168.3.138SupList[[#This Row],[Paid]]</f>
        <v>619440</v>
      </c>
      <c r="F39" s="6">
        <f>SUMIFS(NetB3,SupList,Table__192.168.3.138SupList[[#This Row],[SupplierID]],DL,"&gt;=1",DL,"&lt;=30")</f>
        <v>220400</v>
      </c>
      <c r="G39" s="4">
        <f>SUMIFS(NetB3,SupList,Table__192.168.3.138SupList[[#This Row],[SupplierID]],DL,"&gt;=31",DL,"&lt;=45")</f>
        <v>51040</v>
      </c>
      <c r="H39" s="4">
        <f>SUMIFS(NetB3,SupList,Table__192.168.3.138SupList[[#This Row],[SupplierID]],DL,"&gt;=46",DL,"&lt;=60")</f>
        <v>348000</v>
      </c>
      <c r="I39" s="4">
        <f>SUMIFS(NetB3,SupList,Table__192.168.3.138SupList[[#This Row],[SupplierID]],DL,"&gt;=61",DL,"&lt;=90")</f>
        <v>0</v>
      </c>
      <c r="J39" s="4">
        <f>SUMIFS(NetB3,SupList,Table__192.168.3.138SupList[[#This Row],[SupplierID]],DL,"&gt;=91",DL,"&lt;=120")</f>
        <v>0</v>
      </c>
      <c r="K39" s="4">
        <f>SUMIFS(NetB3,SupList,Table__192.168.3.138SupList[[#This Row],[SupplierID]],DL,"&gt;120")</f>
        <v>0</v>
      </c>
    </row>
    <row r="40" spans="1:11">
      <c r="A40" s="4" t="s">
        <v>257</v>
      </c>
      <c r="B40" s="5" t="s">
        <v>394</v>
      </c>
      <c r="C40" s="6">
        <f>SUMIF(SupList,Table__192.168.3.138SupList[[#This Row],[SupplierID]],NetAmount)</f>
        <v>14163959</v>
      </c>
      <c r="D40" s="6">
        <f>SUMIF(SupList,Table__192.168.3.138SupList[[#This Row],[SupplierID]],Paid)</f>
        <v>422599</v>
      </c>
      <c r="E40" s="6">
        <f>Table__192.168.3.138SupList[[#This Row],[Net Amount]]-Table__192.168.3.138SupList[[#This Row],[Paid]]</f>
        <v>13741360</v>
      </c>
      <c r="F40" s="6">
        <f>SUMIFS(NetB3,SupList,Table__192.168.3.138SupList[[#This Row],[SupplierID]],DL,"&gt;=1",DL,"&lt;=30")</f>
        <v>705280</v>
      </c>
      <c r="G40" s="4">
        <f>SUMIFS(NetB3,SupList,Table__192.168.3.138SupList[[#This Row],[SupplierID]],DL,"&gt;=31",DL,"&lt;=45")</f>
        <v>46226</v>
      </c>
      <c r="H40" s="4">
        <f>SUMIFS(NetB3,SupList,Table__192.168.3.138SupList[[#This Row],[SupplierID]],DL,"&gt;=46",DL,"&lt;=60")</f>
        <v>61944</v>
      </c>
      <c r="I40" s="4">
        <f>SUMIFS(NetB3,SupList,Table__192.168.3.138SupList[[#This Row],[SupplierID]],DL,"&gt;=61",DL,"&lt;=90")</f>
        <v>1147356</v>
      </c>
      <c r="J40" s="4">
        <f>SUMIFS(NetB3,SupList,Table__192.168.3.138SupList[[#This Row],[SupplierID]],DL,"&gt;=91",DL,"&lt;=120")</f>
        <v>720070</v>
      </c>
      <c r="K40" s="4">
        <f>SUMIFS(NetB3,SupList,Table__192.168.3.138SupList[[#This Row],[SupplierID]],DL,"&gt;120")</f>
        <v>11060484</v>
      </c>
    </row>
    <row r="41" spans="1:11">
      <c r="A41" s="4" t="s">
        <v>212</v>
      </c>
      <c r="B41" s="5" t="s">
        <v>349</v>
      </c>
      <c r="C41" s="6">
        <f>SUMIF(SupList,Table__192.168.3.138SupList[[#This Row],[SupplierID]],NetAmount)</f>
        <v>-290</v>
      </c>
      <c r="D41" s="6">
        <f>SUMIF(SupList,Table__192.168.3.138SupList[[#This Row],[SupplierID]],Paid)</f>
        <v>0</v>
      </c>
      <c r="E41" s="6">
        <f>Table__192.168.3.138SupList[[#This Row],[Net Amount]]-Table__192.168.3.138SupList[[#This Row],[Paid]]</f>
        <v>-290</v>
      </c>
      <c r="F41" s="6">
        <f>SUMIFS(NetB3,SupList,Table__192.168.3.138SupList[[#This Row],[SupplierID]],DL,"&gt;=1",DL,"&lt;=30")</f>
        <v>0</v>
      </c>
      <c r="G41" s="4">
        <f>SUMIFS(NetB3,SupList,Table__192.168.3.138SupList[[#This Row],[SupplierID]],DL,"&gt;=31",DL,"&lt;=45")</f>
        <v>0</v>
      </c>
      <c r="H41" s="4">
        <f>SUMIFS(NetB3,SupList,Table__192.168.3.138SupList[[#This Row],[SupplierID]],DL,"&gt;=46",DL,"&lt;=60")</f>
        <v>0</v>
      </c>
      <c r="I41" s="4">
        <f>SUMIFS(NetB3,SupList,Table__192.168.3.138SupList[[#This Row],[SupplierID]],DL,"&gt;=61",DL,"&lt;=90")</f>
        <v>0</v>
      </c>
      <c r="J41" s="4">
        <f>SUMIFS(NetB3,SupList,Table__192.168.3.138SupList[[#This Row],[SupplierID]],DL,"&gt;=91",DL,"&lt;=120")</f>
        <v>0</v>
      </c>
      <c r="K41" s="4">
        <f>SUMIFS(NetB3,SupList,Table__192.168.3.138SupList[[#This Row],[SupplierID]],DL,"&gt;120")</f>
        <v>-290</v>
      </c>
    </row>
    <row r="42" spans="1:11">
      <c r="A42" s="4" t="s">
        <v>279</v>
      </c>
      <c r="B42" s="5" t="s">
        <v>416</v>
      </c>
      <c r="C42" s="6">
        <f>SUMIF(SupList,Table__192.168.3.138SupList[[#This Row],[SupplierID]],NetAmount)</f>
        <v>1187930</v>
      </c>
      <c r="D42" s="6">
        <f>SUMIF(SupList,Table__192.168.3.138SupList[[#This Row],[SupplierID]],Paid)</f>
        <v>0</v>
      </c>
      <c r="E42" s="6">
        <f>Table__192.168.3.138SupList[[#This Row],[Net Amount]]-Table__192.168.3.138SupList[[#This Row],[Paid]]</f>
        <v>1187930</v>
      </c>
      <c r="F42" s="6">
        <f>SUMIFS(NetB3,SupList,Table__192.168.3.138SupList[[#This Row],[SupplierID]],DL,"&gt;=1",DL,"&lt;=30")</f>
        <v>290609</v>
      </c>
      <c r="G42" s="4">
        <f>SUMIFS(NetB3,SupList,Table__192.168.3.138SupList[[#This Row],[SupplierID]],DL,"&gt;=31",DL,"&lt;=45")</f>
        <v>366618</v>
      </c>
      <c r="H42" s="4">
        <f>SUMIFS(NetB3,SupList,Table__192.168.3.138SupList[[#This Row],[SupplierID]],DL,"&gt;=46",DL,"&lt;=60")</f>
        <v>0</v>
      </c>
      <c r="I42" s="4">
        <f>SUMIFS(NetB3,SupList,Table__192.168.3.138SupList[[#This Row],[SupplierID]],DL,"&gt;=61",DL,"&lt;=90")</f>
        <v>243281</v>
      </c>
      <c r="J42" s="4">
        <f>SUMIFS(NetB3,SupList,Table__192.168.3.138SupList[[#This Row],[SupplierID]],DL,"&gt;=91",DL,"&lt;=120")</f>
        <v>302180</v>
      </c>
      <c r="K42" s="4">
        <f>SUMIFS(NetB3,SupList,Table__192.168.3.138SupList[[#This Row],[SupplierID]],DL,"&gt;120")</f>
        <v>-14758</v>
      </c>
    </row>
    <row r="43" spans="1:11">
      <c r="A43" s="4" t="s">
        <v>35</v>
      </c>
      <c r="B43" s="5" t="s">
        <v>38</v>
      </c>
      <c r="C43" s="6">
        <f>SUMIF(SupList,Table__192.168.3.138SupList[[#This Row],[SupplierID]],NetAmount)</f>
        <v>12051722</v>
      </c>
      <c r="D43" s="6">
        <f>SUMIF(SupList,Table__192.168.3.138SupList[[#This Row],[SupplierID]],Paid)</f>
        <v>1267356</v>
      </c>
      <c r="E43" s="6">
        <f>Table__192.168.3.138SupList[[#This Row],[Net Amount]]-Table__192.168.3.138SupList[[#This Row],[Paid]]</f>
        <v>10784366</v>
      </c>
      <c r="F43" s="6">
        <f>SUMIFS(NetB3,SupList,Table__192.168.3.138SupList[[#This Row],[SupplierID]],DL,"&gt;=1",DL,"&lt;=30")</f>
        <v>0</v>
      </c>
      <c r="G43" s="4">
        <f>SUMIFS(NetB3,SupList,Table__192.168.3.138SupList[[#This Row],[SupplierID]],DL,"&gt;=31",DL,"&lt;=45")</f>
        <v>522000</v>
      </c>
      <c r="H43" s="4">
        <f>SUMIFS(NetB3,SupList,Table__192.168.3.138SupList[[#This Row],[SupplierID]],DL,"&gt;=46",DL,"&lt;=60")</f>
        <v>1438400</v>
      </c>
      <c r="I43" s="4">
        <f>SUMIFS(NetB3,SupList,Table__192.168.3.138SupList[[#This Row],[SupplierID]],DL,"&gt;=61",DL,"&lt;=90")</f>
        <v>1750730</v>
      </c>
      <c r="J43" s="4">
        <f>SUMIFS(NetB3,SupList,Table__192.168.3.138SupList[[#This Row],[SupplierID]],DL,"&gt;=91",DL,"&lt;=120")</f>
        <v>846800</v>
      </c>
      <c r="K43" s="4">
        <f>SUMIFS(NetB3,SupList,Table__192.168.3.138SupList[[#This Row],[SupplierID]],DL,"&gt;120")</f>
        <v>6226436</v>
      </c>
    </row>
    <row r="44" spans="1:11">
      <c r="A44" s="4" t="s">
        <v>242</v>
      </c>
      <c r="B44" s="5" t="s">
        <v>379</v>
      </c>
      <c r="C44" s="6">
        <f>SUMIF(SupList,Table__192.168.3.138SupList[[#This Row],[SupplierID]],NetAmount)</f>
        <v>3879638</v>
      </c>
      <c r="D44" s="6">
        <f>SUMIF(SupList,Table__192.168.3.138SupList[[#This Row],[SupplierID]],Paid)</f>
        <v>0</v>
      </c>
      <c r="E44" s="6">
        <f>Table__192.168.3.138SupList[[#This Row],[Net Amount]]-Table__192.168.3.138SupList[[#This Row],[Paid]]</f>
        <v>3879638</v>
      </c>
      <c r="F44" s="6">
        <f>SUMIFS(NetB3,SupList,Table__192.168.3.138SupList[[#This Row],[SupplierID]],DL,"&gt;=1",DL,"&lt;=30")</f>
        <v>355910</v>
      </c>
      <c r="G44" s="4">
        <f>SUMIFS(NetB3,SupList,Table__192.168.3.138SupList[[#This Row],[SupplierID]],DL,"&gt;=31",DL,"&lt;=45")</f>
        <v>201944</v>
      </c>
      <c r="H44" s="4">
        <f>SUMIFS(NetB3,SupList,Table__192.168.3.138SupList[[#This Row],[SupplierID]],DL,"&gt;=46",DL,"&lt;=60")</f>
        <v>0</v>
      </c>
      <c r="I44" s="4">
        <f>SUMIFS(NetB3,SupList,Table__192.168.3.138SupList[[#This Row],[SupplierID]],DL,"&gt;=61",DL,"&lt;=90")</f>
        <v>624706</v>
      </c>
      <c r="J44" s="4">
        <f>SUMIFS(NetB3,SupList,Table__192.168.3.138SupList[[#This Row],[SupplierID]],DL,"&gt;=91",DL,"&lt;=120")</f>
        <v>452670</v>
      </c>
      <c r="K44" s="4">
        <f>SUMIFS(NetB3,SupList,Table__192.168.3.138SupList[[#This Row],[SupplierID]],DL,"&gt;120")</f>
        <v>2244408</v>
      </c>
    </row>
    <row r="45" spans="1:11">
      <c r="A45" s="4" t="s">
        <v>299</v>
      </c>
      <c r="B45" s="5" t="s">
        <v>436</v>
      </c>
      <c r="C45" s="6">
        <f>SUMIF(SupList,Table__192.168.3.138SupList[[#This Row],[SupplierID]],NetAmount)</f>
        <v>1745800</v>
      </c>
      <c r="D45" s="6">
        <f>SUMIF(SupList,Table__192.168.3.138SupList[[#This Row],[SupplierID]],Paid)</f>
        <v>0</v>
      </c>
      <c r="E45" s="6">
        <f>Table__192.168.3.138SupList[[#This Row],[Net Amount]]-Table__192.168.3.138SupList[[#This Row],[Paid]]</f>
        <v>1745800</v>
      </c>
      <c r="F45" s="6">
        <f>SUMIFS(NetB3,SupList,Table__192.168.3.138SupList[[#This Row],[SupplierID]],DL,"&gt;=1",DL,"&lt;=30")</f>
        <v>1745800</v>
      </c>
      <c r="G45" s="4">
        <f>SUMIFS(NetB3,SupList,Table__192.168.3.138SupList[[#This Row],[SupplierID]],DL,"&gt;=31",DL,"&lt;=45")</f>
        <v>0</v>
      </c>
      <c r="H45" s="4">
        <f>SUMIFS(NetB3,SupList,Table__192.168.3.138SupList[[#This Row],[SupplierID]],DL,"&gt;=46",DL,"&lt;=60")</f>
        <v>0</v>
      </c>
      <c r="I45" s="4">
        <f>SUMIFS(NetB3,SupList,Table__192.168.3.138SupList[[#This Row],[SupplierID]],DL,"&gt;=61",DL,"&lt;=90")</f>
        <v>0</v>
      </c>
      <c r="J45" s="4">
        <f>SUMIFS(NetB3,SupList,Table__192.168.3.138SupList[[#This Row],[SupplierID]],DL,"&gt;=91",DL,"&lt;=120")</f>
        <v>0</v>
      </c>
      <c r="K45" s="4">
        <f>SUMIFS(NetB3,SupList,Table__192.168.3.138SupList[[#This Row],[SupplierID]],DL,"&gt;120")</f>
        <v>0</v>
      </c>
    </row>
    <row r="46" spans="1:11">
      <c r="A46" s="4" t="s">
        <v>232</v>
      </c>
      <c r="B46" s="5" t="s">
        <v>369</v>
      </c>
      <c r="C46" s="6">
        <f>SUMIF(SupList,Table__192.168.3.138SupList[[#This Row],[SupplierID]],NetAmount)</f>
        <v>1779506</v>
      </c>
      <c r="D46" s="6">
        <f>SUMIF(SupList,Table__192.168.3.138SupList[[#This Row],[SupplierID]],Paid)</f>
        <v>0</v>
      </c>
      <c r="E46" s="6">
        <f>Table__192.168.3.138SupList[[#This Row],[Net Amount]]-Table__192.168.3.138SupList[[#This Row],[Paid]]</f>
        <v>1779506</v>
      </c>
      <c r="F46" s="6">
        <f>SUMIFS(NetB3,SupList,Table__192.168.3.138SupList[[#This Row],[SupplierID]],DL,"&gt;=1",DL,"&lt;=30")</f>
        <v>270662</v>
      </c>
      <c r="G46" s="4">
        <f>SUMIFS(NetB3,SupList,Table__192.168.3.138SupList[[#This Row],[SupplierID]],DL,"&gt;=31",DL,"&lt;=45")</f>
        <v>0</v>
      </c>
      <c r="H46" s="4">
        <f>SUMIFS(NetB3,SupList,Table__192.168.3.138SupList[[#This Row],[SupplierID]],DL,"&gt;=46",DL,"&lt;=60")</f>
        <v>382388</v>
      </c>
      <c r="I46" s="4">
        <f>SUMIFS(NetB3,SupList,Table__192.168.3.138SupList[[#This Row],[SupplierID]],DL,"&gt;=61",DL,"&lt;=90")</f>
        <v>219303</v>
      </c>
      <c r="J46" s="4">
        <f>SUMIFS(NetB3,SupList,Table__192.168.3.138SupList[[#This Row],[SupplierID]],DL,"&gt;=91",DL,"&lt;=120")</f>
        <v>155295</v>
      </c>
      <c r="K46" s="4">
        <f>SUMIFS(NetB3,SupList,Table__192.168.3.138SupList[[#This Row],[SupplierID]],DL,"&gt;120")</f>
        <v>755906</v>
      </c>
    </row>
    <row r="47" spans="1:11">
      <c r="A47" s="4" t="s">
        <v>290</v>
      </c>
      <c r="B47" s="5" t="s">
        <v>427</v>
      </c>
      <c r="C47" s="6">
        <f>SUMIF(SupList,Table__192.168.3.138SupList[[#This Row],[SupplierID]],NetAmount)</f>
        <v>440184</v>
      </c>
      <c r="D47" s="6">
        <f>SUMIF(SupList,Table__192.168.3.138SupList[[#This Row],[SupplierID]],Paid)</f>
        <v>0</v>
      </c>
      <c r="E47" s="6">
        <f>Table__192.168.3.138SupList[[#This Row],[Net Amount]]-Table__192.168.3.138SupList[[#This Row],[Paid]]</f>
        <v>440184</v>
      </c>
      <c r="F47" s="6">
        <f>SUMIFS(NetB3,SupList,Table__192.168.3.138SupList[[#This Row],[SupplierID]],DL,"&gt;=1",DL,"&lt;=30")</f>
        <v>118134</v>
      </c>
      <c r="G47" s="4">
        <f>SUMIFS(NetB3,SupList,Table__192.168.3.138SupList[[#This Row],[SupplierID]],DL,"&gt;=31",DL,"&lt;=45")</f>
        <v>61248</v>
      </c>
      <c r="H47" s="4">
        <f>SUMIFS(NetB3,SupList,Table__192.168.3.138SupList[[#This Row],[SupplierID]],DL,"&gt;=46",DL,"&lt;=60")</f>
        <v>87139</v>
      </c>
      <c r="I47" s="4">
        <f>SUMIFS(NetB3,SupList,Table__192.168.3.138SupList[[#This Row],[SupplierID]],DL,"&gt;=61",DL,"&lt;=90")</f>
        <v>153410</v>
      </c>
      <c r="J47" s="4">
        <f>SUMIFS(NetB3,SupList,Table__192.168.3.138SupList[[#This Row],[SupplierID]],DL,"&gt;=91",DL,"&lt;=120")</f>
        <v>17678</v>
      </c>
      <c r="K47" s="4">
        <f>SUMIFS(NetB3,SupList,Table__192.168.3.138SupList[[#This Row],[SupplierID]],DL,"&gt;120")</f>
        <v>2575</v>
      </c>
    </row>
    <row r="48" spans="1:11">
      <c r="A48" s="4" t="s">
        <v>267</v>
      </c>
      <c r="B48" s="5" t="s">
        <v>404</v>
      </c>
      <c r="C48" s="6">
        <f>SUMIF(SupList,Table__192.168.3.138SupList[[#This Row],[SupplierID]],NetAmount)</f>
        <v>-35122</v>
      </c>
      <c r="D48" s="6">
        <f>SUMIF(SupList,Table__192.168.3.138SupList[[#This Row],[SupplierID]],Paid)</f>
        <v>0</v>
      </c>
      <c r="E48" s="6">
        <f>Table__192.168.3.138SupList[[#This Row],[Net Amount]]-Table__192.168.3.138SupList[[#This Row],[Paid]]</f>
        <v>-35122</v>
      </c>
      <c r="F48" s="6">
        <f>SUMIFS(NetB3,SupList,Table__192.168.3.138SupList[[#This Row],[SupplierID]],DL,"&gt;=1",DL,"&lt;=30")</f>
        <v>0</v>
      </c>
      <c r="G48" s="4">
        <f>SUMIFS(NetB3,SupList,Table__192.168.3.138SupList[[#This Row],[SupplierID]],DL,"&gt;=31",DL,"&lt;=45")</f>
        <v>0</v>
      </c>
      <c r="H48" s="4">
        <f>SUMIFS(NetB3,SupList,Table__192.168.3.138SupList[[#This Row],[SupplierID]],DL,"&gt;=46",DL,"&lt;=60")</f>
        <v>0</v>
      </c>
      <c r="I48" s="4">
        <f>SUMIFS(NetB3,SupList,Table__192.168.3.138SupList[[#This Row],[SupplierID]],DL,"&gt;=61",DL,"&lt;=90")</f>
        <v>0</v>
      </c>
      <c r="J48" s="4">
        <f>SUMIFS(NetB3,SupList,Table__192.168.3.138SupList[[#This Row],[SupplierID]],DL,"&gt;=91",DL,"&lt;=120")</f>
        <v>0</v>
      </c>
      <c r="K48" s="4">
        <f>SUMIFS(NetB3,SupList,Table__192.168.3.138SupList[[#This Row],[SupplierID]],DL,"&gt;120")</f>
        <v>-35122</v>
      </c>
    </row>
    <row r="49" spans="1:11">
      <c r="A49" s="4" t="s">
        <v>244</v>
      </c>
      <c r="B49" s="5" t="s">
        <v>381</v>
      </c>
      <c r="C49" s="6">
        <f>SUMIF(SupList,Table__192.168.3.138SupList[[#This Row],[SupplierID]],NetAmount)</f>
        <v>-1731</v>
      </c>
      <c r="D49" s="6">
        <f>SUMIF(SupList,Table__192.168.3.138SupList[[#This Row],[SupplierID]],Paid)</f>
        <v>0</v>
      </c>
      <c r="E49" s="6">
        <f>Table__192.168.3.138SupList[[#This Row],[Net Amount]]-Table__192.168.3.138SupList[[#This Row],[Paid]]</f>
        <v>-1731</v>
      </c>
      <c r="F49" s="6">
        <f>SUMIFS(NetB3,SupList,Table__192.168.3.138SupList[[#This Row],[SupplierID]],DL,"&gt;=1",DL,"&lt;=30")</f>
        <v>0</v>
      </c>
      <c r="G49" s="4">
        <f>SUMIFS(NetB3,SupList,Table__192.168.3.138SupList[[#This Row],[SupplierID]],DL,"&gt;=31",DL,"&lt;=45")</f>
        <v>0</v>
      </c>
      <c r="H49" s="4">
        <f>SUMIFS(NetB3,SupList,Table__192.168.3.138SupList[[#This Row],[SupplierID]],DL,"&gt;=46",DL,"&lt;=60")</f>
        <v>0</v>
      </c>
      <c r="I49" s="4">
        <f>SUMIFS(NetB3,SupList,Table__192.168.3.138SupList[[#This Row],[SupplierID]],DL,"&gt;=61",DL,"&lt;=90")</f>
        <v>0</v>
      </c>
      <c r="J49" s="4">
        <f>SUMIFS(NetB3,SupList,Table__192.168.3.138SupList[[#This Row],[SupplierID]],DL,"&gt;=91",DL,"&lt;=120")</f>
        <v>0</v>
      </c>
      <c r="K49" s="4">
        <f>SUMIFS(NetB3,SupList,Table__192.168.3.138SupList[[#This Row],[SupplierID]],DL,"&gt;120")</f>
        <v>-1731</v>
      </c>
    </row>
    <row r="50" spans="1:11">
      <c r="A50" s="4" t="s">
        <v>166</v>
      </c>
      <c r="B50" s="5" t="s">
        <v>303</v>
      </c>
      <c r="C50" s="6">
        <f>SUMIF(SupList,Table__192.168.3.138SupList[[#This Row],[SupplierID]],NetAmount)</f>
        <v>706467</v>
      </c>
      <c r="D50" s="6">
        <f>SUMIF(SupList,Table__192.168.3.138SupList[[#This Row],[SupplierID]],Paid)</f>
        <v>0</v>
      </c>
      <c r="E50" s="6">
        <f>Table__192.168.3.138SupList[[#This Row],[Net Amount]]-Table__192.168.3.138SupList[[#This Row],[Paid]]</f>
        <v>706467</v>
      </c>
      <c r="F50" s="6">
        <f>SUMIFS(NetB3,SupList,Table__192.168.3.138SupList[[#This Row],[SupplierID]],DL,"&gt;=1",DL,"&lt;=30")</f>
        <v>0</v>
      </c>
      <c r="G50" s="4">
        <f>SUMIFS(NetB3,SupList,Table__192.168.3.138SupList[[#This Row],[SupplierID]],DL,"&gt;=31",DL,"&lt;=45")</f>
        <v>0</v>
      </c>
      <c r="H50" s="4">
        <f>SUMIFS(NetB3,SupList,Table__192.168.3.138SupList[[#This Row],[SupplierID]],DL,"&gt;=46",DL,"&lt;=60")</f>
        <v>0</v>
      </c>
      <c r="I50" s="4">
        <f>SUMIFS(NetB3,SupList,Table__192.168.3.138SupList[[#This Row],[SupplierID]],DL,"&gt;=61",DL,"&lt;=90")</f>
        <v>0</v>
      </c>
      <c r="J50" s="4">
        <f>SUMIFS(NetB3,SupList,Table__192.168.3.138SupList[[#This Row],[SupplierID]],DL,"&gt;=91",DL,"&lt;=120")</f>
        <v>0</v>
      </c>
      <c r="K50" s="4">
        <f>SUMIFS(NetB3,SupList,Table__192.168.3.138SupList[[#This Row],[SupplierID]],DL,"&gt;120")</f>
        <v>706467</v>
      </c>
    </row>
    <row r="51" spans="1:11">
      <c r="A51" s="4" t="s">
        <v>220</v>
      </c>
      <c r="B51" s="5" t="s">
        <v>357</v>
      </c>
      <c r="C51" s="6">
        <f>SUMIF(SupList,Table__192.168.3.138SupList[[#This Row],[SupplierID]],NetAmount)</f>
        <v>10830493</v>
      </c>
      <c r="D51" s="6">
        <f>SUMIF(SupList,Table__192.168.3.138SupList[[#This Row],[SupplierID]],Paid)</f>
        <v>1124469</v>
      </c>
      <c r="E51" s="6">
        <f>Table__192.168.3.138SupList[[#This Row],[Net Amount]]-Table__192.168.3.138SupList[[#This Row],[Paid]]</f>
        <v>9706024</v>
      </c>
      <c r="F51" s="6">
        <f>SUMIFS(NetB3,SupList,Table__192.168.3.138SupList[[#This Row],[SupplierID]],DL,"&gt;=1",DL,"&lt;=30")</f>
        <v>1153146</v>
      </c>
      <c r="G51" s="4">
        <f>SUMIFS(NetB3,SupList,Table__192.168.3.138SupList[[#This Row],[SupplierID]],DL,"&gt;=31",DL,"&lt;=45")</f>
        <v>594152</v>
      </c>
      <c r="H51" s="4">
        <f>SUMIFS(NetB3,SupList,Table__192.168.3.138SupList[[#This Row],[SupplierID]],DL,"&gt;=46",DL,"&lt;=60")</f>
        <v>1149113</v>
      </c>
      <c r="I51" s="4">
        <f>SUMIFS(NetB3,SupList,Table__192.168.3.138SupList[[#This Row],[SupplierID]],DL,"&gt;=61",DL,"&lt;=90")</f>
        <v>1778419</v>
      </c>
      <c r="J51" s="4">
        <f>SUMIFS(NetB3,SupList,Table__192.168.3.138SupList[[#This Row],[SupplierID]],DL,"&gt;=91",DL,"&lt;=120")</f>
        <v>1594951</v>
      </c>
      <c r="K51" s="4">
        <f>SUMIFS(NetB3,SupList,Table__192.168.3.138SupList[[#This Row],[SupplierID]],DL,"&gt;120")</f>
        <v>3436243</v>
      </c>
    </row>
    <row r="52" spans="1:11">
      <c r="A52" s="4" t="s">
        <v>273</v>
      </c>
      <c r="B52" s="5" t="s">
        <v>410</v>
      </c>
      <c r="C52" s="6">
        <f>SUMIF(SupList,Table__192.168.3.138SupList[[#This Row],[SupplierID]],NetAmount)</f>
        <v>6598393</v>
      </c>
      <c r="D52" s="6">
        <f>SUMIF(SupList,Table__192.168.3.138SupList[[#This Row],[SupplierID]],Paid)</f>
        <v>1978311</v>
      </c>
      <c r="E52" s="6">
        <f>Table__192.168.3.138SupList[[#This Row],[Net Amount]]-Table__192.168.3.138SupList[[#This Row],[Paid]]</f>
        <v>4620082</v>
      </c>
      <c r="F52" s="6">
        <f>SUMIFS(NetB3,SupList,Table__192.168.3.138SupList[[#This Row],[SupplierID]],DL,"&gt;=1",DL,"&lt;=30")</f>
        <v>2101340</v>
      </c>
      <c r="G52" s="4">
        <f>SUMIFS(NetB3,SupList,Table__192.168.3.138SupList[[#This Row],[SupplierID]],DL,"&gt;=31",DL,"&lt;=45")</f>
        <v>0</v>
      </c>
      <c r="H52" s="4">
        <f>SUMIFS(NetB3,SupList,Table__192.168.3.138SupList[[#This Row],[SupplierID]],DL,"&gt;=46",DL,"&lt;=60")</f>
        <v>0</v>
      </c>
      <c r="I52" s="4">
        <f>SUMIFS(NetB3,SupList,Table__192.168.3.138SupList[[#This Row],[SupplierID]],DL,"&gt;=61",DL,"&lt;=90")</f>
        <v>0</v>
      </c>
      <c r="J52" s="4">
        <f>SUMIFS(NetB3,SupList,Table__192.168.3.138SupList[[#This Row],[SupplierID]],DL,"&gt;=91",DL,"&lt;=120")</f>
        <v>0</v>
      </c>
      <c r="K52" s="4">
        <f>SUMIFS(NetB3,SupList,Table__192.168.3.138SupList[[#This Row],[SupplierID]],DL,"&gt;120")</f>
        <v>2518742</v>
      </c>
    </row>
    <row r="53" spans="1:11">
      <c r="A53" s="4" t="s">
        <v>271</v>
      </c>
      <c r="B53" s="5" t="s">
        <v>408</v>
      </c>
      <c r="C53" s="6">
        <f>SUMIF(SupList,Table__192.168.3.138SupList[[#This Row],[SupplierID]],NetAmount)</f>
        <v>4911560</v>
      </c>
      <c r="D53" s="6">
        <f>SUMIF(SupList,Table__192.168.3.138SupList[[#This Row],[SupplierID]],Paid)</f>
        <v>95875</v>
      </c>
      <c r="E53" s="6">
        <f>Table__192.168.3.138SupList[[#This Row],[Net Amount]]-Table__192.168.3.138SupList[[#This Row],[Paid]]</f>
        <v>4815685</v>
      </c>
      <c r="F53" s="6">
        <f>SUMIFS(NetB3,SupList,Table__192.168.3.138SupList[[#This Row],[SupplierID]],DL,"&gt;=1",DL,"&lt;=30")</f>
        <v>0</v>
      </c>
      <c r="G53" s="4">
        <f>SUMIFS(NetB3,SupList,Table__192.168.3.138SupList[[#This Row],[SupplierID]],DL,"&gt;=31",DL,"&lt;=45")</f>
        <v>506131</v>
      </c>
      <c r="H53" s="4">
        <f>SUMIFS(NetB3,SupList,Table__192.168.3.138SupList[[#This Row],[SupplierID]],DL,"&gt;=46",DL,"&lt;=60")</f>
        <v>1792470</v>
      </c>
      <c r="I53" s="4">
        <f>SUMIFS(NetB3,SupList,Table__192.168.3.138SupList[[#This Row],[SupplierID]],DL,"&gt;=61",DL,"&lt;=90")</f>
        <v>1357916</v>
      </c>
      <c r="J53" s="4">
        <f>SUMIFS(NetB3,SupList,Table__192.168.3.138SupList[[#This Row],[SupplierID]],DL,"&gt;=91",DL,"&lt;=120")</f>
        <v>1051028</v>
      </c>
      <c r="K53" s="4">
        <f>SUMIFS(NetB3,SupList,Table__192.168.3.138SupList[[#This Row],[SupplierID]],DL,"&gt;120")</f>
        <v>108140</v>
      </c>
    </row>
    <row r="54" spans="1:11">
      <c r="A54" s="4" t="s">
        <v>221</v>
      </c>
      <c r="B54" s="5" t="s">
        <v>358</v>
      </c>
      <c r="C54" s="6">
        <f>SUMIF(SupList,Table__192.168.3.138SupList[[#This Row],[SupplierID]],NetAmount)</f>
        <v>110318</v>
      </c>
      <c r="D54" s="6">
        <f>SUMIF(SupList,Table__192.168.3.138SupList[[#This Row],[SupplierID]],Paid)</f>
        <v>0</v>
      </c>
      <c r="E54" s="6">
        <f>Table__192.168.3.138SupList[[#This Row],[Net Amount]]-Table__192.168.3.138SupList[[#This Row],[Paid]]</f>
        <v>110318</v>
      </c>
      <c r="F54" s="6">
        <f>SUMIFS(NetB3,SupList,Table__192.168.3.138SupList[[#This Row],[SupplierID]],DL,"&gt;=1",DL,"&lt;=30")</f>
        <v>45245</v>
      </c>
      <c r="G54" s="4">
        <f>SUMIFS(NetB3,SupList,Table__192.168.3.138SupList[[#This Row],[SupplierID]],DL,"&gt;=31",DL,"&lt;=45")</f>
        <v>0</v>
      </c>
      <c r="H54" s="4">
        <f>SUMIFS(NetB3,SupList,Table__192.168.3.138SupList[[#This Row],[SupplierID]],DL,"&gt;=46",DL,"&lt;=60")</f>
        <v>41725</v>
      </c>
      <c r="I54" s="4">
        <f>SUMIFS(NetB3,SupList,Table__192.168.3.138SupList[[#This Row],[SupplierID]],DL,"&gt;=61",DL,"&lt;=90")</f>
        <v>22223</v>
      </c>
      <c r="J54" s="4">
        <f>SUMIFS(NetB3,SupList,Table__192.168.3.138SupList[[#This Row],[SupplierID]],DL,"&gt;=91",DL,"&lt;=120")</f>
        <v>1125</v>
      </c>
      <c r="K54" s="4">
        <f>SUMIFS(NetB3,SupList,Table__192.168.3.138SupList[[#This Row],[SupplierID]],DL,"&gt;120")</f>
        <v>0</v>
      </c>
    </row>
    <row r="55" spans="1:11">
      <c r="A55" s="4" t="s">
        <v>222</v>
      </c>
      <c r="B55" s="5" t="s">
        <v>359</v>
      </c>
      <c r="C55" s="6">
        <f>SUMIF(SupList,Table__192.168.3.138SupList[[#This Row],[SupplierID]],NetAmount)</f>
        <v>-1634</v>
      </c>
      <c r="D55" s="6">
        <f>SUMIF(SupList,Table__192.168.3.138SupList[[#This Row],[SupplierID]],Paid)</f>
        <v>0</v>
      </c>
      <c r="E55" s="6">
        <f>Table__192.168.3.138SupList[[#This Row],[Net Amount]]-Table__192.168.3.138SupList[[#This Row],[Paid]]</f>
        <v>-1634</v>
      </c>
      <c r="F55" s="6">
        <f>SUMIFS(NetB3,SupList,Table__192.168.3.138SupList[[#This Row],[SupplierID]],DL,"&gt;=1",DL,"&lt;=30")</f>
        <v>0</v>
      </c>
      <c r="G55" s="4">
        <f>SUMIFS(NetB3,SupList,Table__192.168.3.138SupList[[#This Row],[SupplierID]],DL,"&gt;=31",DL,"&lt;=45")</f>
        <v>0</v>
      </c>
      <c r="H55" s="4">
        <f>SUMIFS(NetB3,SupList,Table__192.168.3.138SupList[[#This Row],[SupplierID]],DL,"&gt;=46",DL,"&lt;=60")</f>
        <v>0</v>
      </c>
      <c r="I55" s="4">
        <f>SUMIFS(NetB3,SupList,Table__192.168.3.138SupList[[#This Row],[SupplierID]],DL,"&gt;=61",DL,"&lt;=90")</f>
        <v>0</v>
      </c>
      <c r="J55" s="4">
        <f>SUMIFS(NetB3,SupList,Table__192.168.3.138SupList[[#This Row],[SupplierID]],DL,"&gt;=91",DL,"&lt;=120")</f>
        <v>0</v>
      </c>
      <c r="K55" s="4">
        <f>SUMIFS(NetB3,SupList,Table__192.168.3.138SupList[[#This Row],[SupplierID]],DL,"&gt;120")</f>
        <v>-1634</v>
      </c>
    </row>
    <row r="56" spans="1:11">
      <c r="A56" s="4" t="s">
        <v>277</v>
      </c>
      <c r="B56" s="5" t="s">
        <v>414</v>
      </c>
      <c r="C56" s="6">
        <f>SUMIF(SupList,Table__192.168.3.138SupList[[#This Row],[SupplierID]],NetAmount)</f>
        <v>665500</v>
      </c>
      <c r="D56" s="6">
        <f>SUMIF(SupList,Table__192.168.3.138SupList[[#This Row],[SupplierID]],Paid)</f>
        <v>0</v>
      </c>
      <c r="E56" s="6">
        <f>Table__192.168.3.138SupList[[#This Row],[Net Amount]]-Table__192.168.3.138SupList[[#This Row],[Paid]]</f>
        <v>665500</v>
      </c>
      <c r="F56" s="6">
        <f>SUMIFS(NetB3,SupList,Table__192.168.3.138SupList[[#This Row],[SupplierID]],DL,"&gt;=1",DL,"&lt;=30")</f>
        <v>0</v>
      </c>
      <c r="G56" s="4">
        <f>SUMIFS(NetB3,SupList,Table__192.168.3.138SupList[[#This Row],[SupplierID]],DL,"&gt;=31",DL,"&lt;=45")</f>
        <v>0</v>
      </c>
      <c r="H56" s="4">
        <f>SUMIFS(NetB3,SupList,Table__192.168.3.138SupList[[#This Row],[SupplierID]],DL,"&gt;=46",DL,"&lt;=60")</f>
        <v>145000</v>
      </c>
      <c r="I56" s="4">
        <f>SUMIFS(NetB3,SupList,Table__192.168.3.138SupList[[#This Row],[SupplierID]],DL,"&gt;=61",DL,"&lt;=90")</f>
        <v>520500</v>
      </c>
      <c r="J56" s="4">
        <f>SUMIFS(NetB3,SupList,Table__192.168.3.138SupList[[#This Row],[SupplierID]],DL,"&gt;=91",DL,"&lt;=120")</f>
        <v>0</v>
      </c>
      <c r="K56" s="4">
        <f>SUMIFS(NetB3,SupList,Table__192.168.3.138SupList[[#This Row],[SupplierID]],DL,"&gt;120")</f>
        <v>0</v>
      </c>
    </row>
    <row r="57" spans="1:11">
      <c r="A57" s="4" t="s">
        <v>294</v>
      </c>
      <c r="B57" s="5" t="s">
        <v>431</v>
      </c>
      <c r="C57" s="6">
        <f>SUMIF(SupList,Table__192.168.3.138SupList[[#This Row],[SupplierID]],NetAmount)</f>
        <v>1021672</v>
      </c>
      <c r="D57" s="6">
        <f>SUMIF(SupList,Table__192.168.3.138SupList[[#This Row],[SupplierID]],Paid)</f>
        <v>0</v>
      </c>
      <c r="E57" s="6">
        <f>Table__192.168.3.138SupList[[#This Row],[Net Amount]]-Table__192.168.3.138SupList[[#This Row],[Paid]]</f>
        <v>1021672</v>
      </c>
      <c r="F57" s="6">
        <f>SUMIFS(NetB3,SupList,Table__192.168.3.138SupList[[#This Row],[SupplierID]],DL,"&gt;=1",DL,"&lt;=30")</f>
        <v>0</v>
      </c>
      <c r="G57" s="4">
        <f>SUMIFS(NetB3,SupList,Table__192.168.3.138SupList[[#This Row],[SupplierID]],DL,"&gt;=31",DL,"&lt;=45")</f>
        <v>0</v>
      </c>
      <c r="H57" s="4">
        <f>SUMIFS(NetB3,SupList,Table__192.168.3.138SupList[[#This Row],[SupplierID]],DL,"&gt;=46",DL,"&lt;=60")</f>
        <v>511000</v>
      </c>
      <c r="I57" s="4">
        <f>SUMIFS(NetB3,SupList,Table__192.168.3.138SupList[[#This Row],[SupplierID]],DL,"&gt;=61",DL,"&lt;=90")</f>
        <v>0</v>
      </c>
      <c r="J57" s="4">
        <f>SUMIFS(NetB3,SupList,Table__192.168.3.138SupList[[#This Row],[SupplierID]],DL,"&gt;=91",DL,"&lt;=120")</f>
        <v>511000</v>
      </c>
      <c r="K57" s="4">
        <f>SUMIFS(NetB3,SupList,Table__192.168.3.138SupList[[#This Row],[SupplierID]],DL,"&gt;120")</f>
        <v>-328</v>
      </c>
    </row>
    <row r="58" spans="1:11">
      <c r="A58" s="4" t="s">
        <v>175</v>
      </c>
      <c r="B58" s="5" t="s">
        <v>312</v>
      </c>
      <c r="C58" s="6">
        <f>SUMIF(SupList,Table__192.168.3.138SupList[[#This Row],[SupplierID]],NetAmount)</f>
        <v>8356353</v>
      </c>
      <c r="D58" s="6">
        <f>SUMIF(SupList,Table__192.168.3.138SupList[[#This Row],[SupplierID]],Paid)</f>
        <v>0</v>
      </c>
      <c r="E58" s="6">
        <f>Table__192.168.3.138SupList[[#This Row],[Net Amount]]-Table__192.168.3.138SupList[[#This Row],[Paid]]</f>
        <v>8356353</v>
      </c>
      <c r="F58" s="6">
        <f>SUMIFS(NetB3,SupList,Table__192.168.3.138SupList[[#This Row],[SupplierID]],DL,"&gt;=1",DL,"&lt;=30")</f>
        <v>390990</v>
      </c>
      <c r="G58" s="4">
        <f>SUMIFS(NetB3,SupList,Table__192.168.3.138SupList[[#This Row],[SupplierID]],DL,"&gt;=31",DL,"&lt;=45")</f>
        <v>615496</v>
      </c>
      <c r="H58" s="4">
        <f>SUMIFS(NetB3,SupList,Table__192.168.3.138SupList[[#This Row],[SupplierID]],DL,"&gt;=46",DL,"&lt;=60")</f>
        <v>584176</v>
      </c>
      <c r="I58" s="4">
        <f>SUMIFS(NetB3,SupList,Table__192.168.3.138SupList[[#This Row],[SupplierID]],DL,"&gt;=61",DL,"&lt;=90")</f>
        <v>2025719</v>
      </c>
      <c r="J58" s="4">
        <f>SUMIFS(NetB3,SupList,Table__192.168.3.138SupList[[#This Row],[SupplierID]],DL,"&gt;=91",DL,"&lt;=120")</f>
        <v>714966</v>
      </c>
      <c r="K58" s="4">
        <f>SUMIFS(NetB3,SupList,Table__192.168.3.138SupList[[#This Row],[SupplierID]],DL,"&gt;120")</f>
        <v>4025006</v>
      </c>
    </row>
    <row r="59" spans="1:11">
      <c r="A59" s="4" t="s">
        <v>270</v>
      </c>
      <c r="B59" s="5" t="s">
        <v>407</v>
      </c>
      <c r="C59" s="6">
        <f>SUMIF(SupList,Table__192.168.3.138SupList[[#This Row],[SupplierID]],NetAmount)</f>
        <v>4043811</v>
      </c>
      <c r="D59" s="6">
        <f>SUMIF(SupList,Table__192.168.3.138SupList[[#This Row],[SupplierID]],Paid)</f>
        <v>361849</v>
      </c>
      <c r="E59" s="6">
        <f>Table__192.168.3.138SupList[[#This Row],[Net Amount]]-Table__192.168.3.138SupList[[#This Row],[Paid]]</f>
        <v>3681962</v>
      </c>
      <c r="F59" s="6">
        <f>SUMIFS(NetB3,SupList,Table__192.168.3.138SupList[[#This Row],[SupplierID]],DL,"&gt;=1",DL,"&lt;=30")</f>
        <v>0</v>
      </c>
      <c r="G59" s="4">
        <f>SUMIFS(NetB3,SupList,Table__192.168.3.138SupList[[#This Row],[SupplierID]],DL,"&gt;=31",DL,"&lt;=45")</f>
        <v>0</v>
      </c>
      <c r="H59" s="4">
        <f>SUMIFS(NetB3,SupList,Table__192.168.3.138SupList[[#This Row],[SupplierID]],DL,"&gt;=46",DL,"&lt;=60")</f>
        <v>95700</v>
      </c>
      <c r="I59" s="4">
        <f>SUMIFS(NetB3,SupList,Table__192.168.3.138SupList[[#This Row],[SupplierID]],DL,"&gt;=61",DL,"&lt;=90")</f>
        <v>63353</v>
      </c>
      <c r="J59" s="4">
        <f>SUMIFS(NetB3,SupList,Table__192.168.3.138SupList[[#This Row],[SupplierID]],DL,"&gt;=91",DL,"&lt;=120")</f>
        <v>434350</v>
      </c>
      <c r="K59" s="4">
        <f>SUMIFS(NetB3,SupList,Table__192.168.3.138SupList[[#This Row],[SupplierID]],DL,"&gt;120")</f>
        <v>3088559</v>
      </c>
    </row>
    <row r="60" spans="1:11">
      <c r="A60" s="4" t="s">
        <v>254</v>
      </c>
      <c r="B60" s="5" t="s">
        <v>391</v>
      </c>
      <c r="C60" s="6">
        <f>SUMIF(SupList,Table__192.168.3.138SupList[[#This Row],[SupplierID]],NetAmount)</f>
        <v>17592027</v>
      </c>
      <c r="D60" s="6">
        <f>SUMIF(SupList,Table__192.168.3.138SupList[[#This Row],[SupplierID]],Paid)</f>
        <v>4934629</v>
      </c>
      <c r="E60" s="6">
        <f>Table__192.168.3.138SupList[[#This Row],[Net Amount]]-Table__192.168.3.138SupList[[#This Row],[Paid]]</f>
        <v>12657398</v>
      </c>
      <c r="F60" s="6">
        <f>SUMIFS(NetB3,SupList,Table__192.168.3.138SupList[[#This Row],[SupplierID]],DL,"&gt;=1",DL,"&lt;=30")</f>
        <v>0</v>
      </c>
      <c r="G60" s="4">
        <f>SUMIFS(NetB3,SupList,Table__192.168.3.138SupList[[#This Row],[SupplierID]],DL,"&gt;=31",DL,"&lt;=45")</f>
        <v>54520</v>
      </c>
      <c r="H60" s="4">
        <f>SUMIFS(NetB3,SupList,Table__192.168.3.138SupList[[#This Row],[SupplierID]],DL,"&gt;=46",DL,"&lt;=60")</f>
        <v>1832800</v>
      </c>
      <c r="I60" s="4">
        <f>SUMIFS(NetB3,SupList,Table__192.168.3.138SupList[[#This Row],[SupplierID]],DL,"&gt;=61",DL,"&lt;=90")</f>
        <v>5551310</v>
      </c>
      <c r="J60" s="4">
        <f>SUMIFS(NetB3,SupList,Table__192.168.3.138SupList[[#This Row],[SupplierID]],DL,"&gt;=91",DL,"&lt;=120")</f>
        <v>1832800</v>
      </c>
      <c r="K60" s="4">
        <f>SUMIFS(NetB3,SupList,Table__192.168.3.138SupList[[#This Row],[SupplierID]],DL,"&gt;120")</f>
        <v>3385968</v>
      </c>
    </row>
    <row r="61" spans="1:11">
      <c r="A61" s="4" t="s">
        <v>266</v>
      </c>
      <c r="B61" s="5" t="s">
        <v>403</v>
      </c>
      <c r="C61" s="6">
        <f>SUMIF(SupList,Table__192.168.3.138SupList[[#This Row],[SupplierID]],NetAmount)</f>
        <v>1462783</v>
      </c>
      <c r="D61" s="6">
        <f>SUMIF(SupList,Table__192.168.3.138SupList[[#This Row],[SupplierID]],Paid)</f>
        <v>0</v>
      </c>
      <c r="E61" s="6">
        <f>Table__192.168.3.138SupList[[#This Row],[Net Amount]]-Table__192.168.3.138SupList[[#This Row],[Paid]]</f>
        <v>1462783</v>
      </c>
      <c r="F61" s="6">
        <f>SUMIFS(NetB3,SupList,Table__192.168.3.138SupList[[#This Row],[SupplierID]],DL,"&gt;=1",DL,"&lt;=30")</f>
        <v>291044</v>
      </c>
      <c r="G61" s="4">
        <f>SUMIFS(NetB3,SupList,Table__192.168.3.138SupList[[#This Row],[SupplierID]],DL,"&gt;=31",DL,"&lt;=45")</f>
        <v>291044</v>
      </c>
      <c r="H61" s="4">
        <f>SUMIFS(NetB3,SupList,Table__192.168.3.138SupList[[#This Row],[SupplierID]],DL,"&gt;=46",DL,"&lt;=60")</f>
        <v>0</v>
      </c>
      <c r="I61" s="4">
        <f>SUMIFS(NetB3,SupList,Table__192.168.3.138SupList[[#This Row],[SupplierID]],DL,"&gt;=61",DL,"&lt;=90")</f>
        <v>880695</v>
      </c>
      <c r="J61" s="4">
        <f>SUMIFS(NetB3,SupList,Table__192.168.3.138SupList[[#This Row],[SupplierID]],DL,"&gt;=91",DL,"&lt;=120")</f>
        <v>0</v>
      </c>
      <c r="K61" s="4">
        <f>SUMIFS(NetB3,SupList,Table__192.168.3.138SupList[[#This Row],[SupplierID]],DL,"&gt;120")</f>
        <v>0</v>
      </c>
    </row>
    <row r="62" spans="1:11">
      <c r="A62" s="4" t="s">
        <v>229</v>
      </c>
      <c r="B62" s="5" t="s">
        <v>366</v>
      </c>
      <c r="C62" s="6">
        <f>SUMIF(SupList,Table__192.168.3.138SupList[[#This Row],[SupplierID]],NetAmount)</f>
        <v>85848</v>
      </c>
      <c r="D62" s="6">
        <f>SUMIF(SupList,Table__192.168.3.138SupList[[#This Row],[SupplierID]],Paid)</f>
        <v>0</v>
      </c>
      <c r="E62" s="6">
        <f>Table__192.168.3.138SupList[[#This Row],[Net Amount]]-Table__192.168.3.138SupList[[#This Row],[Paid]]</f>
        <v>85848</v>
      </c>
      <c r="F62" s="6">
        <f>SUMIFS(NetB3,SupList,Table__192.168.3.138SupList[[#This Row],[SupplierID]],DL,"&gt;=1",DL,"&lt;=30")</f>
        <v>28998</v>
      </c>
      <c r="G62" s="4">
        <f>SUMIFS(NetB3,SupList,Table__192.168.3.138SupList[[#This Row],[SupplierID]],DL,"&gt;=31",DL,"&lt;=45")</f>
        <v>56850</v>
      </c>
      <c r="H62" s="4">
        <f>SUMIFS(NetB3,SupList,Table__192.168.3.138SupList[[#This Row],[SupplierID]],DL,"&gt;=46",DL,"&lt;=60")</f>
        <v>0</v>
      </c>
      <c r="I62" s="4">
        <f>SUMIFS(NetB3,SupList,Table__192.168.3.138SupList[[#This Row],[SupplierID]],DL,"&gt;=61",DL,"&lt;=90")</f>
        <v>0</v>
      </c>
      <c r="J62" s="4">
        <f>SUMIFS(NetB3,SupList,Table__192.168.3.138SupList[[#This Row],[SupplierID]],DL,"&gt;=91",DL,"&lt;=120")</f>
        <v>0</v>
      </c>
      <c r="K62" s="4">
        <f>SUMIFS(NetB3,SupList,Table__192.168.3.138SupList[[#This Row],[SupplierID]],DL,"&gt;120")</f>
        <v>0</v>
      </c>
    </row>
    <row r="63" spans="1:11">
      <c r="A63" s="4" t="s">
        <v>199</v>
      </c>
      <c r="B63" s="5" t="s">
        <v>336</v>
      </c>
      <c r="C63" s="6">
        <f>SUMIF(SupList,Table__192.168.3.138SupList[[#This Row],[SupplierID]],NetAmount)</f>
        <v>-1021</v>
      </c>
      <c r="D63" s="6">
        <f>SUMIF(SupList,Table__192.168.3.138SupList[[#This Row],[SupplierID]],Paid)</f>
        <v>0</v>
      </c>
      <c r="E63" s="6">
        <f>Table__192.168.3.138SupList[[#This Row],[Net Amount]]-Table__192.168.3.138SupList[[#This Row],[Paid]]</f>
        <v>-1021</v>
      </c>
      <c r="F63" s="6">
        <f>SUMIFS(NetB3,SupList,Table__192.168.3.138SupList[[#This Row],[SupplierID]],DL,"&gt;=1",DL,"&lt;=30")</f>
        <v>0</v>
      </c>
      <c r="G63" s="4">
        <f>SUMIFS(NetB3,SupList,Table__192.168.3.138SupList[[#This Row],[SupplierID]],DL,"&gt;=31",DL,"&lt;=45")</f>
        <v>0</v>
      </c>
      <c r="H63" s="4">
        <f>SUMIFS(NetB3,SupList,Table__192.168.3.138SupList[[#This Row],[SupplierID]],DL,"&gt;=46",DL,"&lt;=60")</f>
        <v>0</v>
      </c>
      <c r="I63" s="4">
        <f>SUMIFS(NetB3,SupList,Table__192.168.3.138SupList[[#This Row],[SupplierID]],DL,"&gt;=61",DL,"&lt;=90")</f>
        <v>0</v>
      </c>
      <c r="J63" s="4">
        <f>SUMIFS(NetB3,SupList,Table__192.168.3.138SupList[[#This Row],[SupplierID]],DL,"&gt;=91",DL,"&lt;=120")</f>
        <v>0</v>
      </c>
      <c r="K63" s="4">
        <f>SUMIFS(NetB3,SupList,Table__192.168.3.138SupList[[#This Row],[SupplierID]],DL,"&gt;120")</f>
        <v>-1021</v>
      </c>
    </row>
    <row r="64" spans="1:11">
      <c r="A64" s="4" t="s">
        <v>204</v>
      </c>
      <c r="B64" s="5" t="s">
        <v>341</v>
      </c>
      <c r="C64" s="6">
        <f>SUMIF(SupList,Table__192.168.3.138SupList[[#This Row],[SupplierID]],NetAmount)</f>
        <v>106720</v>
      </c>
      <c r="D64" s="6">
        <f>SUMIF(SupList,Table__192.168.3.138SupList[[#This Row],[SupplierID]],Paid)</f>
        <v>0</v>
      </c>
      <c r="E64" s="6">
        <f>Table__192.168.3.138SupList[[#This Row],[Net Amount]]-Table__192.168.3.138SupList[[#This Row],[Paid]]</f>
        <v>106720</v>
      </c>
      <c r="F64" s="6">
        <f>SUMIFS(NetB3,SupList,Table__192.168.3.138SupList[[#This Row],[SupplierID]],DL,"&gt;=1",DL,"&lt;=30")</f>
        <v>0</v>
      </c>
      <c r="G64" s="4">
        <f>SUMIFS(NetB3,SupList,Table__192.168.3.138SupList[[#This Row],[SupplierID]],DL,"&gt;=31",DL,"&lt;=45")</f>
        <v>0</v>
      </c>
      <c r="H64" s="4">
        <f>SUMIFS(NetB3,SupList,Table__192.168.3.138SupList[[#This Row],[SupplierID]],DL,"&gt;=46",DL,"&lt;=60")</f>
        <v>106720</v>
      </c>
      <c r="I64" s="4">
        <f>SUMIFS(NetB3,SupList,Table__192.168.3.138SupList[[#This Row],[SupplierID]],DL,"&gt;=61",DL,"&lt;=90")</f>
        <v>0</v>
      </c>
      <c r="J64" s="4">
        <f>SUMIFS(NetB3,SupList,Table__192.168.3.138SupList[[#This Row],[SupplierID]],DL,"&gt;=91",DL,"&lt;=120")</f>
        <v>0</v>
      </c>
      <c r="K64" s="4">
        <f>SUMIFS(NetB3,SupList,Table__192.168.3.138SupList[[#This Row],[SupplierID]],DL,"&gt;120")</f>
        <v>0</v>
      </c>
    </row>
    <row r="65" spans="1:11">
      <c r="A65" s="4" t="s">
        <v>174</v>
      </c>
      <c r="B65" s="5" t="s">
        <v>311</v>
      </c>
      <c r="C65" s="6">
        <f>SUMIF(SupList,Table__192.168.3.138SupList[[#This Row],[SupplierID]],NetAmount)</f>
        <v>2719555</v>
      </c>
      <c r="D65" s="6">
        <f>SUMIF(SupList,Table__192.168.3.138SupList[[#This Row],[SupplierID]],Paid)</f>
        <v>0</v>
      </c>
      <c r="E65" s="6">
        <f>Table__192.168.3.138SupList[[#This Row],[Net Amount]]-Table__192.168.3.138SupList[[#This Row],[Paid]]</f>
        <v>2719555</v>
      </c>
      <c r="F65" s="6">
        <f>SUMIFS(NetB3,SupList,Table__192.168.3.138SupList[[#This Row],[SupplierID]],DL,"&gt;=1",DL,"&lt;=30")</f>
        <v>30450</v>
      </c>
      <c r="G65" s="4">
        <f>SUMIFS(NetB3,SupList,Table__192.168.3.138SupList[[#This Row],[SupplierID]],DL,"&gt;=31",DL,"&lt;=45")</f>
        <v>331180</v>
      </c>
      <c r="H65" s="4">
        <f>SUMIFS(NetB3,SupList,Table__192.168.3.138SupList[[#This Row],[SupplierID]],DL,"&gt;=46",DL,"&lt;=60")</f>
        <v>147274</v>
      </c>
      <c r="I65" s="4">
        <f>SUMIFS(NetB3,SupList,Table__192.168.3.138SupList[[#This Row],[SupplierID]],DL,"&gt;=61",DL,"&lt;=90")</f>
        <v>86693</v>
      </c>
      <c r="J65" s="4">
        <f>SUMIFS(NetB3,SupList,Table__192.168.3.138SupList[[#This Row],[SupplierID]],DL,"&gt;=91",DL,"&lt;=120")</f>
        <v>524812</v>
      </c>
      <c r="K65" s="4">
        <f>SUMIFS(NetB3,SupList,Table__192.168.3.138SupList[[#This Row],[SupplierID]],DL,"&gt;120")</f>
        <v>1599146</v>
      </c>
    </row>
    <row r="66" spans="1:11">
      <c r="A66" s="4" t="s">
        <v>295</v>
      </c>
      <c r="B66" s="5" t="s">
        <v>432</v>
      </c>
      <c r="C66" s="6">
        <f>SUMIF(SupList,Table__192.168.3.138SupList[[#This Row],[SupplierID]],NetAmount)</f>
        <v>280000</v>
      </c>
      <c r="D66" s="6">
        <f>SUMIF(SupList,Table__192.168.3.138SupList[[#This Row],[SupplierID]],Paid)</f>
        <v>0</v>
      </c>
      <c r="E66" s="6">
        <f>Table__192.168.3.138SupList[[#This Row],[Net Amount]]-Table__192.168.3.138SupList[[#This Row],[Paid]]</f>
        <v>280000</v>
      </c>
      <c r="F66" s="6">
        <f>SUMIFS(NetB3,SupList,Table__192.168.3.138SupList[[#This Row],[SupplierID]],DL,"&gt;=1",DL,"&lt;=30")</f>
        <v>0</v>
      </c>
      <c r="G66" s="4">
        <f>SUMIFS(NetB3,SupList,Table__192.168.3.138SupList[[#This Row],[SupplierID]],DL,"&gt;=31",DL,"&lt;=45")</f>
        <v>0</v>
      </c>
      <c r="H66" s="4">
        <f>SUMIFS(NetB3,SupList,Table__192.168.3.138SupList[[#This Row],[SupplierID]],DL,"&gt;=46",DL,"&lt;=60")</f>
        <v>0</v>
      </c>
      <c r="I66" s="4">
        <f>SUMIFS(NetB3,SupList,Table__192.168.3.138SupList[[#This Row],[SupplierID]],DL,"&gt;=61",DL,"&lt;=90")</f>
        <v>0</v>
      </c>
      <c r="J66" s="4">
        <f>SUMIFS(NetB3,SupList,Table__192.168.3.138SupList[[#This Row],[SupplierID]],DL,"&gt;=91",DL,"&lt;=120")</f>
        <v>0</v>
      </c>
      <c r="K66" s="4">
        <f>SUMIFS(NetB3,SupList,Table__192.168.3.138SupList[[#This Row],[SupplierID]],DL,"&gt;120")</f>
        <v>280000</v>
      </c>
    </row>
    <row r="67" spans="1:11">
      <c r="A67" s="4" t="s">
        <v>276</v>
      </c>
      <c r="B67" s="5" t="s">
        <v>413</v>
      </c>
      <c r="C67" s="6">
        <f>SUMIF(SupList,Table__192.168.3.138SupList[[#This Row],[SupplierID]],NetAmount)</f>
        <v>14754777</v>
      </c>
      <c r="D67" s="6">
        <f>SUMIF(SupList,Table__192.168.3.138SupList[[#This Row],[SupplierID]],Paid)</f>
        <v>4798074</v>
      </c>
      <c r="E67" s="6">
        <f>Table__192.168.3.138SupList[[#This Row],[Net Amount]]-Table__192.168.3.138SupList[[#This Row],[Paid]]</f>
        <v>9956703</v>
      </c>
      <c r="F67" s="6">
        <f>SUMIFS(NetB3,SupList,Table__192.168.3.138SupList[[#This Row],[SupplierID]],DL,"&gt;=1",DL,"&lt;=30")</f>
        <v>0</v>
      </c>
      <c r="G67" s="4">
        <f>SUMIFS(NetB3,SupList,Table__192.168.3.138SupList[[#This Row],[SupplierID]],DL,"&gt;=31",DL,"&lt;=45")</f>
        <v>0</v>
      </c>
      <c r="H67" s="4">
        <f>SUMIFS(NetB3,SupList,Table__192.168.3.138SupList[[#This Row],[SupplierID]],DL,"&gt;=46",DL,"&lt;=60")</f>
        <v>0</v>
      </c>
      <c r="I67" s="4">
        <f>SUMIFS(NetB3,SupList,Table__192.168.3.138SupList[[#This Row],[SupplierID]],DL,"&gt;=61",DL,"&lt;=90")</f>
        <v>2381480</v>
      </c>
      <c r="J67" s="4">
        <f>SUMIFS(NetB3,SupList,Table__192.168.3.138SupList[[#This Row],[SupplierID]],DL,"&gt;=91",DL,"&lt;=120")</f>
        <v>3108353</v>
      </c>
      <c r="K67" s="4">
        <f>SUMIFS(NetB3,SupList,Table__192.168.3.138SupList[[#This Row],[SupplierID]],DL,"&gt;120")</f>
        <v>4466870</v>
      </c>
    </row>
    <row r="68" spans="1:11">
      <c r="A68" s="4" t="s">
        <v>173</v>
      </c>
      <c r="B68" s="5" t="s">
        <v>310</v>
      </c>
      <c r="C68" s="6">
        <f>SUMIF(SupList,Table__192.168.3.138SupList[[#This Row],[SupplierID]],NetAmount)</f>
        <v>265603</v>
      </c>
      <c r="D68" s="6">
        <f>SUMIF(SupList,Table__192.168.3.138SupList[[#This Row],[SupplierID]],Paid)</f>
        <v>0</v>
      </c>
      <c r="E68" s="6">
        <f>Table__192.168.3.138SupList[[#This Row],[Net Amount]]-Table__192.168.3.138SupList[[#This Row],[Paid]]</f>
        <v>265603</v>
      </c>
      <c r="F68" s="6">
        <f>SUMIFS(NetB3,SupList,Table__192.168.3.138SupList[[#This Row],[SupplierID]],DL,"&gt;=1",DL,"&lt;=30")</f>
        <v>121074</v>
      </c>
      <c r="G68" s="4">
        <f>SUMIFS(NetB3,SupList,Table__192.168.3.138SupList[[#This Row],[SupplierID]],DL,"&gt;=31",DL,"&lt;=45")</f>
        <v>68999</v>
      </c>
      <c r="H68" s="4">
        <f>SUMIFS(NetB3,SupList,Table__192.168.3.138SupList[[#This Row],[SupplierID]],DL,"&gt;=46",DL,"&lt;=60")</f>
        <v>60281</v>
      </c>
      <c r="I68" s="4">
        <f>SUMIFS(NetB3,SupList,Table__192.168.3.138SupList[[#This Row],[SupplierID]],DL,"&gt;=61",DL,"&lt;=90")</f>
        <v>15780</v>
      </c>
      <c r="J68" s="4">
        <f>SUMIFS(NetB3,SupList,Table__192.168.3.138SupList[[#This Row],[SupplierID]],DL,"&gt;=91",DL,"&lt;=120")</f>
        <v>0</v>
      </c>
      <c r="K68" s="4">
        <f>SUMIFS(NetB3,SupList,Table__192.168.3.138SupList[[#This Row],[SupplierID]],DL,"&gt;120")</f>
        <v>-531</v>
      </c>
    </row>
    <row r="69" spans="1:11">
      <c r="A69" s="4" t="s">
        <v>183</v>
      </c>
      <c r="B69" s="5" t="s">
        <v>320</v>
      </c>
      <c r="C69" s="6">
        <f>SUMIF(SupList,Table__192.168.3.138SupList[[#This Row],[SupplierID]],NetAmount)</f>
        <v>1451298</v>
      </c>
      <c r="D69" s="6">
        <f>SUMIF(SupList,Table__192.168.3.138SupList[[#This Row],[SupplierID]],Paid)</f>
        <v>0</v>
      </c>
      <c r="E69" s="6">
        <f>Table__192.168.3.138SupList[[#This Row],[Net Amount]]-Table__192.168.3.138SupList[[#This Row],[Paid]]</f>
        <v>1451298</v>
      </c>
      <c r="F69" s="6">
        <f>SUMIFS(NetB3,SupList,Table__192.168.3.138SupList[[#This Row],[SupplierID]],DL,"&gt;=1",DL,"&lt;=30")</f>
        <v>260072</v>
      </c>
      <c r="G69" s="4">
        <f>SUMIFS(NetB3,SupList,Table__192.168.3.138SupList[[#This Row],[SupplierID]],DL,"&gt;=31",DL,"&lt;=45")</f>
        <v>157412</v>
      </c>
      <c r="H69" s="4">
        <f>SUMIFS(NetB3,SupList,Table__192.168.3.138SupList[[#This Row],[SupplierID]],DL,"&gt;=46",DL,"&lt;=60")</f>
        <v>198476</v>
      </c>
      <c r="I69" s="4">
        <f>SUMIFS(NetB3,SupList,Table__192.168.3.138SupList[[#This Row],[SupplierID]],DL,"&gt;=61",DL,"&lt;=90")</f>
        <v>359484</v>
      </c>
      <c r="J69" s="4">
        <f>SUMIFS(NetB3,SupList,Table__192.168.3.138SupList[[#This Row],[SupplierID]],DL,"&gt;=91",DL,"&lt;=120")</f>
        <v>407614</v>
      </c>
      <c r="K69" s="4">
        <f>SUMIFS(NetB3,SupList,Table__192.168.3.138SupList[[#This Row],[SupplierID]],DL,"&gt;120")</f>
        <v>68240</v>
      </c>
    </row>
    <row r="70" spans="1:11">
      <c r="A70" s="4" t="s">
        <v>179</v>
      </c>
      <c r="B70" s="5" t="s">
        <v>316</v>
      </c>
      <c r="C70" s="6">
        <f>SUMIF(SupList,Table__192.168.3.138SupList[[#This Row],[SupplierID]],NetAmount)</f>
        <v>560976</v>
      </c>
      <c r="D70" s="6">
        <f>SUMIF(SupList,Table__192.168.3.138SupList[[#This Row],[SupplierID]],Paid)</f>
        <v>0</v>
      </c>
      <c r="E70" s="6">
        <f>Table__192.168.3.138SupList[[#This Row],[Net Amount]]-Table__192.168.3.138SupList[[#This Row],[Paid]]</f>
        <v>560976</v>
      </c>
      <c r="F70" s="6">
        <f>SUMIFS(NetB3,SupList,Table__192.168.3.138SupList[[#This Row],[SupplierID]],DL,"&gt;=1",DL,"&lt;=30")</f>
        <v>271440</v>
      </c>
      <c r="G70" s="4">
        <f>SUMIFS(NetB3,SupList,Table__192.168.3.138SupList[[#This Row],[SupplierID]],DL,"&gt;=31",DL,"&lt;=45")</f>
        <v>289536</v>
      </c>
      <c r="H70" s="4">
        <f>SUMIFS(NetB3,SupList,Table__192.168.3.138SupList[[#This Row],[SupplierID]],DL,"&gt;=46",DL,"&lt;=60")</f>
        <v>0</v>
      </c>
      <c r="I70" s="4">
        <f>SUMIFS(NetB3,SupList,Table__192.168.3.138SupList[[#This Row],[SupplierID]],DL,"&gt;=61",DL,"&lt;=90")</f>
        <v>0</v>
      </c>
      <c r="J70" s="4">
        <f>SUMIFS(NetB3,SupList,Table__192.168.3.138SupList[[#This Row],[SupplierID]],DL,"&gt;=91",DL,"&lt;=120")</f>
        <v>0</v>
      </c>
      <c r="K70" s="4">
        <f>SUMIFS(NetB3,SupList,Table__192.168.3.138SupList[[#This Row],[SupplierID]],DL,"&gt;120")</f>
        <v>0</v>
      </c>
    </row>
    <row r="71" spans="1:11">
      <c r="A71" s="4" t="s">
        <v>278</v>
      </c>
      <c r="B71" s="5" t="s">
        <v>415</v>
      </c>
      <c r="C71" s="6">
        <f>SUMIF(SupList,Table__192.168.3.138SupList[[#This Row],[SupplierID]],NetAmount)</f>
        <v>290000</v>
      </c>
      <c r="D71" s="6">
        <f>SUMIF(SupList,Table__192.168.3.138SupList[[#This Row],[SupplierID]],Paid)</f>
        <v>0</v>
      </c>
      <c r="E71" s="6">
        <f>Table__192.168.3.138SupList[[#This Row],[Net Amount]]-Table__192.168.3.138SupList[[#This Row],[Paid]]</f>
        <v>290000</v>
      </c>
      <c r="F71" s="6">
        <f>SUMIFS(NetB3,SupList,Table__192.168.3.138SupList[[#This Row],[SupplierID]],DL,"&gt;=1",DL,"&lt;=30")</f>
        <v>0</v>
      </c>
      <c r="G71" s="4">
        <f>SUMIFS(NetB3,SupList,Table__192.168.3.138SupList[[#This Row],[SupplierID]],DL,"&gt;=31",DL,"&lt;=45")</f>
        <v>290000</v>
      </c>
      <c r="H71" s="4">
        <f>SUMIFS(NetB3,SupList,Table__192.168.3.138SupList[[#This Row],[SupplierID]],DL,"&gt;=46",DL,"&lt;=60")</f>
        <v>0</v>
      </c>
      <c r="I71" s="4">
        <f>SUMIFS(NetB3,SupList,Table__192.168.3.138SupList[[#This Row],[SupplierID]],DL,"&gt;=61",DL,"&lt;=90")</f>
        <v>0</v>
      </c>
      <c r="J71" s="4">
        <f>SUMIFS(NetB3,SupList,Table__192.168.3.138SupList[[#This Row],[SupplierID]],DL,"&gt;=91",DL,"&lt;=120")</f>
        <v>0</v>
      </c>
      <c r="K71" s="4">
        <f>SUMIFS(NetB3,SupList,Table__192.168.3.138SupList[[#This Row],[SupplierID]],DL,"&gt;120")</f>
        <v>0</v>
      </c>
    </row>
    <row r="72" spans="1:11">
      <c r="A72" s="4" t="s">
        <v>260</v>
      </c>
      <c r="B72" s="5" t="s">
        <v>397</v>
      </c>
      <c r="C72" s="6">
        <f>SUMIF(SupList,Table__192.168.3.138SupList[[#This Row],[SupplierID]],NetAmount)</f>
        <v>100433</v>
      </c>
      <c r="D72" s="6">
        <f>SUMIF(SupList,Table__192.168.3.138SupList[[#This Row],[SupplierID]],Paid)</f>
        <v>0</v>
      </c>
      <c r="E72" s="6">
        <f>Table__192.168.3.138SupList[[#This Row],[Net Amount]]-Table__192.168.3.138SupList[[#This Row],[Paid]]</f>
        <v>100433</v>
      </c>
      <c r="F72" s="6">
        <f>SUMIFS(NetB3,SupList,Table__192.168.3.138SupList[[#This Row],[SupplierID]],DL,"&gt;=1",DL,"&lt;=30")</f>
        <v>0</v>
      </c>
      <c r="G72" s="4">
        <f>SUMIFS(NetB3,SupList,Table__192.168.3.138SupList[[#This Row],[SupplierID]],DL,"&gt;=31",DL,"&lt;=45")</f>
        <v>0</v>
      </c>
      <c r="H72" s="4">
        <f>SUMIFS(NetB3,SupList,Table__192.168.3.138SupList[[#This Row],[SupplierID]],DL,"&gt;=46",DL,"&lt;=60")</f>
        <v>0</v>
      </c>
      <c r="I72" s="4">
        <f>SUMIFS(NetB3,SupList,Table__192.168.3.138SupList[[#This Row],[SupplierID]],DL,"&gt;=61",DL,"&lt;=90")</f>
        <v>0</v>
      </c>
      <c r="J72" s="4">
        <f>SUMIFS(NetB3,SupList,Table__192.168.3.138SupList[[#This Row],[SupplierID]],DL,"&gt;=91",DL,"&lt;=120")</f>
        <v>0</v>
      </c>
      <c r="K72" s="4">
        <f>SUMIFS(NetB3,SupList,Table__192.168.3.138SupList[[#This Row],[SupplierID]],DL,"&gt;120")</f>
        <v>100433</v>
      </c>
    </row>
    <row r="73" spans="1:11">
      <c r="A73" s="4" t="s">
        <v>201</v>
      </c>
      <c r="B73" s="5" t="s">
        <v>338</v>
      </c>
      <c r="C73" s="6">
        <f>SUMIF(SupList,Table__192.168.3.138SupList[[#This Row],[SupplierID]],NetAmount)</f>
        <v>2407819</v>
      </c>
      <c r="D73" s="6">
        <f>SUMIF(SupList,Table__192.168.3.138SupList[[#This Row],[SupplierID]],Paid)</f>
        <v>0</v>
      </c>
      <c r="E73" s="6">
        <f>Table__192.168.3.138SupList[[#This Row],[Net Amount]]-Table__192.168.3.138SupList[[#This Row],[Paid]]</f>
        <v>2407819</v>
      </c>
      <c r="F73" s="6">
        <f>SUMIFS(NetB3,SupList,Table__192.168.3.138SupList[[#This Row],[SupplierID]],DL,"&gt;=1",DL,"&lt;=30")</f>
        <v>0</v>
      </c>
      <c r="G73" s="4">
        <f>SUMIFS(NetB3,SupList,Table__192.168.3.138SupList[[#This Row],[SupplierID]],DL,"&gt;=31",DL,"&lt;=45")</f>
        <v>0</v>
      </c>
      <c r="H73" s="4">
        <f>SUMIFS(NetB3,SupList,Table__192.168.3.138SupList[[#This Row],[SupplierID]],DL,"&gt;=46",DL,"&lt;=60")</f>
        <v>0</v>
      </c>
      <c r="I73" s="4">
        <f>SUMIFS(NetB3,SupList,Table__192.168.3.138SupList[[#This Row],[SupplierID]],DL,"&gt;=61",DL,"&lt;=90")</f>
        <v>0</v>
      </c>
      <c r="J73" s="4">
        <f>SUMIFS(NetB3,SupList,Table__192.168.3.138SupList[[#This Row],[SupplierID]],DL,"&gt;=91",DL,"&lt;=120")</f>
        <v>0</v>
      </c>
      <c r="K73" s="4">
        <f>SUMIFS(NetB3,SupList,Table__192.168.3.138SupList[[#This Row],[SupplierID]],DL,"&gt;120")</f>
        <v>2407819</v>
      </c>
    </row>
    <row r="74" spans="1:11">
      <c r="A74" s="4" t="s">
        <v>188</v>
      </c>
      <c r="B74" s="5" t="s">
        <v>325</v>
      </c>
      <c r="C74" s="6">
        <f>SUMIF(SupList,Table__192.168.3.138SupList[[#This Row],[SupplierID]],NetAmount)</f>
        <v>236065</v>
      </c>
      <c r="D74" s="6">
        <f>SUMIF(SupList,Table__192.168.3.138SupList[[#This Row],[SupplierID]],Paid)</f>
        <v>0</v>
      </c>
      <c r="E74" s="6">
        <f>Table__192.168.3.138SupList[[#This Row],[Net Amount]]-Table__192.168.3.138SupList[[#This Row],[Paid]]</f>
        <v>236065</v>
      </c>
      <c r="F74" s="6">
        <f>SUMIFS(NetB3,SupList,Table__192.168.3.138SupList[[#This Row],[SupplierID]],DL,"&gt;=1",DL,"&lt;=30")</f>
        <v>0</v>
      </c>
      <c r="G74" s="4">
        <f>SUMIFS(NetB3,SupList,Table__192.168.3.138SupList[[#This Row],[SupplierID]],DL,"&gt;=31",DL,"&lt;=45")</f>
        <v>0</v>
      </c>
      <c r="H74" s="4">
        <f>SUMIFS(NetB3,SupList,Table__192.168.3.138SupList[[#This Row],[SupplierID]],DL,"&gt;=46",DL,"&lt;=60")</f>
        <v>0</v>
      </c>
      <c r="I74" s="4">
        <f>SUMIFS(NetB3,SupList,Table__192.168.3.138SupList[[#This Row],[SupplierID]],DL,"&gt;=61",DL,"&lt;=90")</f>
        <v>0</v>
      </c>
      <c r="J74" s="4">
        <f>SUMIFS(NetB3,SupList,Table__192.168.3.138SupList[[#This Row],[SupplierID]],DL,"&gt;=91",DL,"&lt;=120")</f>
        <v>0</v>
      </c>
      <c r="K74" s="4">
        <f>SUMIFS(NetB3,SupList,Table__192.168.3.138SupList[[#This Row],[SupplierID]],DL,"&gt;120")</f>
        <v>236065</v>
      </c>
    </row>
    <row r="75" spans="1:11">
      <c r="A75" s="4" t="s">
        <v>165</v>
      </c>
      <c r="B75" s="5" t="s">
        <v>302</v>
      </c>
      <c r="C75" s="6">
        <f>SUMIF(SupList,Table__192.168.3.138SupList[[#This Row],[SupplierID]],NetAmount)</f>
        <v>1626825</v>
      </c>
      <c r="D75" s="6">
        <f>SUMIF(SupList,Table__192.168.3.138SupList[[#This Row],[SupplierID]],Paid)</f>
        <v>1626480</v>
      </c>
      <c r="E75" s="6">
        <f>Table__192.168.3.138SupList[[#This Row],[Net Amount]]-Table__192.168.3.138SupList[[#This Row],[Paid]]</f>
        <v>345</v>
      </c>
      <c r="F75" s="6">
        <f>SUMIFS(NetB3,SupList,Table__192.168.3.138SupList[[#This Row],[SupplierID]],DL,"&gt;=1",DL,"&lt;=30")</f>
        <v>0</v>
      </c>
      <c r="G75" s="4">
        <f>SUMIFS(NetB3,SupList,Table__192.168.3.138SupList[[#This Row],[SupplierID]],DL,"&gt;=31",DL,"&lt;=45")</f>
        <v>0</v>
      </c>
      <c r="H75" s="4">
        <f>SUMIFS(NetB3,SupList,Table__192.168.3.138SupList[[#This Row],[SupplierID]],DL,"&gt;=46",DL,"&lt;=60")</f>
        <v>0</v>
      </c>
      <c r="I75" s="4">
        <f>SUMIFS(NetB3,SupList,Table__192.168.3.138SupList[[#This Row],[SupplierID]],DL,"&gt;=61",DL,"&lt;=90")</f>
        <v>0</v>
      </c>
      <c r="J75" s="4">
        <f>SUMIFS(NetB3,SupList,Table__192.168.3.138SupList[[#This Row],[SupplierID]],DL,"&gt;=91",DL,"&lt;=120")</f>
        <v>0</v>
      </c>
      <c r="K75" s="4">
        <f>SUMIFS(NetB3,SupList,Table__192.168.3.138SupList[[#This Row],[SupplierID]],DL,"&gt;120")</f>
        <v>345</v>
      </c>
    </row>
    <row r="76" spans="1:11">
      <c r="A76" s="4" t="s">
        <v>250</v>
      </c>
      <c r="B76" s="5" t="s">
        <v>387</v>
      </c>
      <c r="C76" s="6">
        <f>SUMIF(SupList,Table__192.168.3.138SupList[[#This Row],[SupplierID]],NetAmount)</f>
        <v>6146330</v>
      </c>
      <c r="D76" s="6">
        <f>SUMIF(SupList,Table__192.168.3.138SupList[[#This Row],[SupplierID]],Paid)</f>
        <v>3830427</v>
      </c>
      <c r="E76" s="6">
        <f>Table__192.168.3.138SupList[[#This Row],[Net Amount]]-Table__192.168.3.138SupList[[#This Row],[Paid]]</f>
        <v>2315903</v>
      </c>
      <c r="F76" s="6">
        <f>SUMIFS(NetB3,SupList,Table__192.168.3.138SupList[[#This Row],[SupplierID]],DL,"&gt;=1",DL,"&lt;=30")</f>
        <v>710384</v>
      </c>
      <c r="G76" s="4">
        <f>SUMIFS(NetB3,SupList,Table__192.168.3.138SupList[[#This Row],[SupplierID]],DL,"&gt;=31",DL,"&lt;=45")</f>
        <v>0</v>
      </c>
      <c r="H76" s="4">
        <f>SUMIFS(NetB3,SupList,Table__192.168.3.138SupList[[#This Row],[SupplierID]],DL,"&gt;=46",DL,"&lt;=60")</f>
        <v>941688</v>
      </c>
      <c r="I76" s="4">
        <f>SUMIFS(NetB3,SupList,Table__192.168.3.138SupList[[#This Row],[SupplierID]],DL,"&gt;=61",DL,"&lt;=90")</f>
        <v>0</v>
      </c>
      <c r="J76" s="4">
        <f>SUMIFS(NetB3,SupList,Table__192.168.3.138SupList[[#This Row],[SupplierID]],DL,"&gt;=91",DL,"&lt;=120")</f>
        <v>0</v>
      </c>
      <c r="K76" s="4">
        <f>SUMIFS(NetB3,SupList,Table__192.168.3.138SupList[[#This Row],[SupplierID]],DL,"&gt;120")</f>
        <v>663831</v>
      </c>
    </row>
    <row r="77" spans="1:11">
      <c r="A77" s="4" t="s">
        <v>238</v>
      </c>
      <c r="B77" s="5" t="s">
        <v>375</v>
      </c>
      <c r="C77" s="6">
        <f>SUMIF(SupList,Table__192.168.3.138SupList[[#This Row],[SupplierID]],NetAmount)</f>
        <v>1073534</v>
      </c>
      <c r="D77" s="6">
        <f>SUMIF(SupList,Table__192.168.3.138SupList[[#This Row],[SupplierID]],Paid)</f>
        <v>312</v>
      </c>
      <c r="E77" s="6">
        <f>Table__192.168.3.138SupList[[#This Row],[Net Amount]]-Table__192.168.3.138SupList[[#This Row],[Paid]]</f>
        <v>1073222</v>
      </c>
      <c r="F77" s="6">
        <f>SUMIFS(NetB3,SupList,Table__192.168.3.138SupList[[#This Row],[SupplierID]],DL,"&gt;=1",DL,"&lt;=30")</f>
        <v>0</v>
      </c>
      <c r="G77" s="4">
        <f>SUMIFS(NetB3,SupList,Table__192.168.3.138SupList[[#This Row],[SupplierID]],DL,"&gt;=31",DL,"&lt;=45")</f>
        <v>0</v>
      </c>
      <c r="H77" s="4">
        <f>SUMIFS(NetB3,SupList,Table__192.168.3.138SupList[[#This Row],[SupplierID]],DL,"&gt;=46",DL,"&lt;=60")</f>
        <v>0</v>
      </c>
      <c r="I77" s="4">
        <f>SUMIFS(NetB3,SupList,Table__192.168.3.138SupList[[#This Row],[SupplierID]],DL,"&gt;=61",DL,"&lt;=90")</f>
        <v>451930</v>
      </c>
      <c r="J77" s="4">
        <f>SUMIFS(NetB3,SupList,Table__192.168.3.138SupList[[#This Row],[SupplierID]],DL,"&gt;=91",DL,"&lt;=120")</f>
        <v>0</v>
      </c>
      <c r="K77" s="4">
        <f>SUMIFS(NetB3,SupList,Table__192.168.3.138SupList[[#This Row],[SupplierID]],DL,"&gt;120")</f>
        <v>621292</v>
      </c>
    </row>
    <row r="78" spans="1:11">
      <c r="A78" s="4" t="s">
        <v>187</v>
      </c>
      <c r="B78" s="5" t="s">
        <v>324</v>
      </c>
      <c r="C78" s="6">
        <f>SUMIF(SupList,Table__192.168.3.138SupList[[#This Row],[SupplierID]],NetAmount)</f>
        <v>3026793</v>
      </c>
      <c r="D78" s="6">
        <f>SUMIF(SupList,Table__192.168.3.138SupList[[#This Row],[SupplierID]],Paid)</f>
        <v>0</v>
      </c>
      <c r="E78" s="6">
        <f>Table__192.168.3.138SupList[[#This Row],[Net Amount]]-Table__192.168.3.138SupList[[#This Row],[Paid]]</f>
        <v>3026793</v>
      </c>
      <c r="F78" s="6">
        <f>SUMIFS(NetB3,SupList,Table__192.168.3.138SupList[[#This Row],[SupplierID]],DL,"&gt;=1",DL,"&lt;=30")</f>
        <v>0</v>
      </c>
      <c r="G78" s="4">
        <f>SUMIFS(NetB3,SupList,Table__192.168.3.138SupList[[#This Row],[SupplierID]],DL,"&gt;=31",DL,"&lt;=45")</f>
        <v>199720</v>
      </c>
      <c r="H78" s="4">
        <f>SUMIFS(NetB3,SupList,Table__192.168.3.138SupList[[#This Row],[SupplierID]],DL,"&gt;=46",DL,"&lt;=60")</f>
        <v>216590</v>
      </c>
      <c r="I78" s="4">
        <f>SUMIFS(NetB3,SupList,Table__192.168.3.138SupList[[#This Row],[SupplierID]],DL,"&gt;=61",DL,"&lt;=90")</f>
        <v>375360</v>
      </c>
      <c r="J78" s="4">
        <f>SUMIFS(NetB3,SupList,Table__192.168.3.138SupList[[#This Row],[SupplierID]],DL,"&gt;=91",DL,"&lt;=120")</f>
        <v>229265</v>
      </c>
      <c r="K78" s="4">
        <f>SUMIFS(NetB3,SupList,Table__192.168.3.138SupList[[#This Row],[SupplierID]],DL,"&gt;120")</f>
        <v>2005858</v>
      </c>
    </row>
    <row r="79" spans="1:11">
      <c r="A79" s="4" t="s">
        <v>301</v>
      </c>
      <c r="B79" s="5" t="s">
        <v>438</v>
      </c>
      <c r="C79" s="6">
        <f>SUMIF(SupList,Table__192.168.3.138SupList[[#This Row],[SupplierID]],NetAmount)</f>
        <v>498301</v>
      </c>
      <c r="D79" s="6">
        <f>SUMIF(SupList,Table__192.168.3.138SupList[[#This Row],[SupplierID]],Paid)</f>
        <v>0</v>
      </c>
      <c r="E79" s="6">
        <f>Table__192.168.3.138SupList[[#This Row],[Net Amount]]-Table__192.168.3.138SupList[[#This Row],[Paid]]</f>
        <v>498301</v>
      </c>
      <c r="F79" s="6">
        <f>SUMIFS(NetB3,SupList,Table__192.168.3.138SupList[[#This Row],[SupplierID]],DL,"&gt;=1",DL,"&lt;=30")</f>
        <v>318733</v>
      </c>
      <c r="G79" s="4">
        <f>SUMIFS(NetB3,SupList,Table__192.168.3.138SupList[[#This Row],[SupplierID]],DL,"&gt;=31",DL,"&lt;=45")</f>
        <v>179568</v>
      </c>
      <c r="H79" s="4">
        <f>SUMIFS(NetB3,SupList,Table__192.168.3.138SupList[[#This Row],[SupplierID]],DL,"&gt;=46",DL,"&lt;=60")</f>
        <v>0</v>
      </c>
      <c r="I79" s="4">
        <f>SUMIFS(NetB3,SupList,Table__192.168.3.138SupList[[#This Row],[SupplierID]],DL,"&gt;=61",DL,"&lt;=90")</f>
        <v>0</v>
      </c>
      <c r="J79" s="4">
        <f>SUMIFS(NetB3,SupList,Table__192.168.3.138SupList[[#This Row],[SupplierID]],DL,"&gt;=91",DL,"&lt;=120")</f>
        <v>0</v>
      </c>
      <c r="K79" s="4">
        <f>SUMIFS(NetB3,SupList,Table__192.168.3.138SupList[[#This Row],[SupplierID]],DL,"&gt;120")</f>
        <v>0</v>
      </c>
    </row>
    <row r="80" spans="1:11">
      <c r="A80" s="4" t="s">
        <v>215</v>
      </c>
      <c r="B80" s="5" t="s">
        <v>352</v>
      </c>
      <c r="C80" s="6">
        <f>SUMIF(SupList,Table__192.168.3.138SupList[[#This Row],[SupplierID]],NetAmount)</f>
        <v>1253226</v>
      </c>
      <c r="D80" s="6">
        <f>SUMIF(SupList,Table__192.168.3.138SupList[[#This Row],[SupplierID]],Paid)</f>
        <v>0</v>
      </c>
      <c r="E80" s="6">
        <f>Table__192.168.3.138SupList[[#This Row],[Net Amount]]-Table__192.168.3.138SupList[[#This Row],[Paid]]</f>
        <v>1253226</v>
      </c>
      <c r="F80" s="6">
        <f>SUMIFS(NetB3,SupList,Table__192.168.3.138SupList[[#This Row],[SupplierID]],DL,"&gt;=1",DL,"&lt;=30")</f>
        <v>0</v>
      </c>
      <c r="G80" s="4">
        <f>SUMIFS(NetB3,SupList,Table__192.168.3.138SupList[[#This Row],[SupplierID]],DL,"&gt;=31",DL,"&lt;=45")</f>
        <v>0</v>
      </c>
      <c r="H80" s="4">
        <f>SUMIFS(NetB3,SupList,Table__192.168.3.138SupList[[#This Row],[SupplierID]],DL,"&gt;=46",DL,"&lt;=60")</f>
        <v>0</v>
      </c>
      <c r="I80" s="4">
        <f>SUMIFS(NetB3,SupList,Table__192.168.3.138SupList[[#This Row],[SupplierID]],DL,"&gt;=61",DL,"&lt;=90")</f>
        <v>0</v>
      </c>
      <c r="J80" s="4">
        <f>SUMIFS(NetB3,SupList,Table__192.168.3.138SupList[[#This Row],[SupplierID]],DL,"&gt;=91",DL,"&lt;=120")</f>
        <v>0</v>
      </c>
      <c r="K80" s="4">
        <f>SUMIFS(NetB3,SupList,Table__192.168.3.138SupList[[#This Row],[SupplierID]],DL,"&gt;120")</f>
        <v>1253226</v>
      </c>
    </row>
    <row r="81" spans="1:11">
      <c r="A81" s="4" t="s">
        <v>208</v>
      </c>
      <c r="B81" s="5" t="s">
        <v>345</v>
      </c>
      <c r="C81" s="6">
        <f>SUMIF(SupList,Table__192.168.3.138SupList[[#This Row],[SupplierID]],NetAmount)</f>
        <v>7391399.2199999997</v>
      </c>
      <c r="D81" s="6">
        <f>SUMIF(SupList,Table__192.168.3.138SupList[[#This Row],[SupplierID]],Paid)</f>
        <v>514533</v>
      </c>
      <c r="E81" s="6">
        <f>Table__192.168.3.138SupList[[#This Row],[Net Amount]]-Table__192.168.3.138SupList[[#This Row],[Paid]]</f>
        <v>6876866.2199999997</v>
      </c>
      <c r="F81" s="6">
        <f>SUMIFS(NetB3,SupList,Table__192.168.3.138SupList[[#This Row],[SupplierID]],DL,"&gt;=1",DL,"&lt;=30")</f>
        <v>546113</v>
      </c>
      <c r="G81" s="4">
        <f>SUMIFS(NetB3,SupList,Table__192.168.3.138SupList[[#This Row],[SupplierID]],DL,"&gt;=31",DL,"&lt;=45")</f>
        <v>369123</v>
      </c>
      <c r="H81" s="4">
        <f>SUMIFS(NetB3,SupList,Table__192.168.3.138SupList[[#This Row],[SupplierID]],DL,"&gt;=46",DL,"&lt;=60")</f>
        <v>917312</v>
      </c>
      <c r="I81" s="4">
        <f>SUMIFS(NetB3,SupList,Table__192.168.3.138SupList[[#This Row],[SupplierID]],DL,"&gt;=61",DL,"&lt;=90")</f>
        <v>450740.5</v>
      </c>
      <c r="J81" s="4">
        <f>SUMIFS(NetB3,SupList,Table__192.168.3.138SupList[[#This Row],[SupplierID]],DL,"&gt;=91",DL,"&lt;=120")</f>
        <v>934.7199999999998</v>
      </c>
      <c r="K81" s="4">
        <f>SUMIFS(NetB3,SupList,Table__192.168.3.138SupList[[#This Row],[SupplierID]],DL,"&gt;120")</f>
        <v>4592643</v>
      </c>
    </row>
    <row r="82" spans="1:11">
      <c r="A82" s="4" t="s">
        <v>236</v>
      </c>
      <c r="B82" s="5" t="s">
        <v>373</v>
      </c>
      <c r="C82" s="6">
        <f>SUMIF(SupList,Table__192.168.3.138SupList[[#This Row],[SupplierID]],NetAmount)</f>
        <v>307186</v>
      </c>
      <c r="D82" s="6">
        <f>SUMIF(SupList,Table__192.168.3.138SupList[[#This Row],[SupplierID]],Paid)</f>
        <v>0</v>
      </c>
      <c r="E82" s="6">
        <f>Table__192.168.3.138SupList[[#This Row],[Net Amount]]-Table__192.168.3.138SupList[[#This Row],[Paid]]</f>
        <v>307186</v>
      </c>
      <c r="F82" s="6">
        <f>SUMIFS(NetB3,SupList,Table__192.168.3.138SupList[[#This Row],[SupplierID]],DL,"&gt;=1",DL,"&lt;=30")</f>
        <v>0</v>
      </c>
      <c r="G82" s="4">
        <f>SUMIFS(NetB3,SupList,Table__192.168.3.138SupList[[#This Row],[SupplierID]],DL,"&gt;=31",DL,"&lt;=45")</f>
        <v>0</v>
      </c>
      <c r="H82" s="4">
        <f>SUMIFS(NetB3,SupList,Table__192.168.3.138SupList[[#This Row],[SupplierID]],DL,"&gt;=46",DL,"&lt;=60")</f>
        <v>0</v>
      </c>
      <c r="I82" s="4">
        <f>SUMIFS(NetB3,SupList,Table__192.168.3.138SupList[[#This Row],[SupplierID]],DL,"&gt;=61",DL,"&lt;=90")</f>
        <v>167609</v>
      </c>
      <c r="J82" s="4">
        <f>SUMIFS(NetB3,SupList,Table__192.168.3.138SupList[[#This Row],[SupplierID]],DL,"&gt;=91",DL,"&lt;=120")</f>
        <v>0</v>
      </c>
      <c r="K82" s="4">
        <f>SUMIFS(NetB3,SupList,Table__192.168.3.138SupList[[#This Row],[SupplierID]],DL,"&gt;120")</f>
        <v>139577</v>
      </c>
    </row>
    <row r="83" spans="1:11">
      <c r="A83" s="4" t="s">
        <v>258</v>
      </c>
      <c r="B83" s="5" t="s">
        <v>395</v>
      </c>
      <c r="C83" s="6">
        <f>SUMIF(SupList,Table__192.168.3.138SupList[[#This Row],[SupplierID]],NetAmount)</f>
        <v>1639546</v>
      </c>
      <c r="D83" s="6">
        <f>SUMIF(SupList,Table__192.168.3.138SupList[[#This Row],[SupplierID]],Paid)</f>
        <v>0</v>
      </c>
      <c r="E83" s="6">
        <f>Table__192.168.3.138SupList[[#This Row],[Net Amount]]-Table__192.168.3.138SupList[[#This Row],[Paid]]</f>
        <v>1639546</v>
      </c>
      <c r="F83" s="6">
        <f>SUMIFS(NetB3,SupList,Table__192.168.3.138SupList[[#This Row],[SupplierID]],DL,"&gt;=1",DL,"&lt;=30")</f>
        <v>165849</v>
      </c>
      <c r="G83" s="4">
        <f>SUMIFS(NetB3,SupList,Table__192.168.3.138SupList[[#This Row],[SupplierID]],DL,"&gt;=31",DL,"&lt;=45")</f>
        <v>147425</v>
      </c>
      <c r="H83" s="4">
        <f>SUMIFS(NetB3,SupList,Table__192.168.3.138SupList[[#This Row],[SupplierID]],DL,"&gt;=46",DL,"&lt;=60")</f>
        <v>274970</v>
      </c>
      <c r="I83" s="4">
        <f>SUMIFS(NetB3,SupList,Table__192.168.3.138SupList[[#This Row],[SupplierID]],DL,"&gt;=61",DL,"&lt;=90")</f>
        <v>467360</v>
      </c>
      <c r="J83" s="4">
        <f>SUMIFS(NetB3,SupList,Table__192.168.3.138SupList[[#This Row],[SupplierID]],DL,"&gt;=91",DL,"&lt;=120")</f>
        <v>366950</v>
      </c>
      <c r="K83" s="4">
        <f>SUMIFS(NetB3,SupList,Table__192.168.3.138SupList[[#This Row],[SupplierID]],DL,"&gt;120")</f>
        <v>216992</v>
      </c>
    </row>
    <row r="84" spans="1:11">
      <c r="A84" s="4" t="s">
        <v>275</v>
      </c>
      <c r="B84" s="5" t="s">
        <v>412</v>
      </c>
      <c r="C84" s="6">
        <f>SUMIF(SupList,Table__192.168.3.138SupList[[#This Row],[SupplierID]],NetAmount)</f>
        <v>689290</v>
      </c>
      <c r="D84" s="6">
        <f>SUMIF(SupList,Table__192.168.3.138SupList[[#This Row],[SupplierID]],Paid)</f>
        <v>0</v>
      </c>
      <c r="E84" s="6">
        <f>Table__192.168.3.138SupList[[#This Row],[Net Amount]]-Table__192.168.3.138SupList[[#This Row],[Paid]]</f>
        <v>689290</v>
      </c>
      <c r="F84" s="6">
        <f>SUMIFS(NetB3,SupList,Table__192.168.3.138SupList[[#This Row],[SupplierID]],DL,"&gt;=1",DL,"&lt;=30")</f>
        <v>0</v>
      </c>
      <c r="G84" s="4">
        <f>SUMIFS(NetB3,SupList,Table__192.168.3.138SupList[[#This Row],[SupplierID]],DL,"&gt;=31",DL,"&lt;=45")</f>
        <v>303300</v>
      </c>
      <c r="H84" s="4">
        <f>SUMIFS(NetB3,SupList,Table__192.168.3.138SupList[[#This Row],[SupplierID]],DL,"&gt;=46",DL,"&lt;=60")</f>
        <v>40000</v>
      </c>
      <c r="I84" s="4">
        <f>SUMIFS(NetB3,SupList,Table__192.168.3.138SupList[[#This Row],[SupplierID]],DL,"&gt;=61",DL,"&lt;=90")</f>
        <v>276550</v>
      </c>
      <c r="J84" s="4">
        <f>SUMIFS(NetB3,SupList,Table__192.168.3.138SupList[[#This Row],[SupplierID]],DL,"&gt;=91",DL,"&lt;=120")</f>
        <v>69440</v>
      </c>
      <c r="K84" s="4">
        <f>SUMIFS(NetB3,SupList,Table__192.168.3.138SupList[[#This Row],[SupplierID]],DL,"&gt;120")</f>
        <v>0</v>
      </c>
    </row>
    <row r="85" spans="1:11">
      <c r="A85" s="4" t="s">
        <v>167</v>
      </c>
      <c r="B85" s="5" t="s">
        <v>304</v>
      </c>
      <c r="C85" s="6">
        <f>SUMIF(SupList,Table__192.168.3.138SupList[[#This Row],[SupplierID]],NetAmount)</f>
        <v>181622</v>
      </c>
      <c r="D85" s="6">
        <f>SUMIF(SupList,Table__192.168.3.138SupList[[#This Row],[SupplierID]],Paid)</f>
        <v>0</v>
      </c>
      <c r="E85" s="6">
        <f>Table__192.168.3.138SupList[[#This Row],[Net Amount]]-Table__192.168.3.138SupList[[#This Row],[Paid]]</f>
        <v>181622</v>
      </c>
      <c r="F85" s="6">
        <f>SUMIFS(NetB3,SupList,Table__192.168.3.138SupList[[#This Row],[SupplierID]],DL,"&gt;=1",DL,"&lt;=30")</f>
        <v>0</v>
      </c>
      <c r="G85" s="4">
        <f>SUMIFS(NetB3,SupList,Table__192.168.3.138SupList[[#This Row],[SupplierID]],DL,"&gt;=31",DL,"&lt;=45")</f>
        <v>4495</v>
      </c>
      <c r="H85" s="4">
        <f>SUMIFS(NetB3,SupList,Table__192.168.3.138SupList[[#This Row],[SupplierID]],DL,"&gt;=46",DL,"&lt;=60")</f>
        <v>0</v>
      </c>
      <c r="I85" s="4">
        <f>SUMIFS(NetB3,SupList,Table__192.168.3.138SupList[[#This Row],[SupplierID]],DL,"&gt;=61",DL,"&lt;=90")</f>
        <v>0</v>
      </c>
      <c r="J85" s="4">
        <f>SUMIFS(NetB3,SupList,Table__192.168.3.138SupList[[#This Row],[SupplierID]],DL,"&gt;=91",DL,"&lt;=120")</f>
        <v>57631</v>
      </c>
      <c r="K85" s="4">
        <f>SUMIFS(NetB3,SupList,Table__192.168.3.138SupList[[#This Row],[SupplierID]],DL,"&gt;120")</f>
        <v>119496</v>
      </c>
    </row>
    <row r="86" spans="1:11">
      <c r="A86" s="4" t="s">
        <v>182</v>
      </c>
      <c r="B86" s="5" t="s">
        <v>319</v>
      </c>
      <c r="C86" s="6">
        <f>SUMIF(SupList,Table__192.168.3.138SupList[[#This Row],[SupplierID]],NetAmount)</f>
        <v>-777</v>
      </c>
      <c r="D86" s="6">
        <f>SUMIF(SupList,Table__192.168.3.138SupList[[#This Row],[SupplierID]],Paid)</f>
        <v>0</v>
      </c>
      <c r="E86" s="6">
        <f>Table__192.168.3.138SupList[[#This Row],[Net Amount]]-Table__192.168.3.138SupList[[#This Row],[Paid]]</f>
        <v>-777</v>
      </c>
      <c r="F86" s="6">
        <f>SUMIFS(NetB3,SupList,Table__192.168.3.138SupList[[#This Row],[SupplierID]],DL,"&gt;=1",DL,"&lt;=30")</f>
        <v>0</v>
      </c>
      <c r="G86" s="4">
        <f>SUMIFS(NetB3,SupList,Table__192.168.3.138SupList[[#This Row],[SupplierID]],DL,"&gt;=31",DL,"&lt;=45")</f>
        <v>0</v>
      </c>
      <c r="H86" s="4">
        <f>SUMIFS(NetB3,SupList,Table__192.168.3.138SupList[[#This Row],[SupplierID]],DL,"&gt;=46",DL,"&lt;=60")</f>
        <v>0</v>
      </c>
      <c r="I86" s="4">
        <f>SUMIFS(NetB3,SupList,Table__192.168.3.138SupList[[#This Row],[SupplierID]],DL,"&gt;=61",DL,"&lt;=90")</f>
        <v>0</v>
      </c>
      <c r="J86" s="4">
        <f>SUMIFS(NetB3,SupList,Table__192.168.3.138SupList[[#This Row],[SupplierID]],DL,"&gt;=91",DL,"&lt;=120")</f>
        <v>0</v>
      </c>
      <c r="K86" s="4">
        <f>SUMIFS(NetB3,SupList,Table__192.168.3.138SupList[[#This Row],[SupplierID]],DL,"&gt;120")</f>
        <v>-777</v>
      </c>
    </row>
    <row r="87" spans="1:11">
      <c r="A87" s="4" t="s">
        <v>180</v>
      </c>
      <c r="B87" s="5" t="s">
        <v>317</v>
      </c>
      <c r="C87" s="6">
        <f>SUMIF(SupList,Table__192.168.3.138SupList[[#This Row],[SupplierID]],NetAmount)</f>
        <v>6347568</v>
      </c>
      <c r="D87" s="6">
        <f>SUMIF(SupList,Table__192.168.3.138SupList[[#This Row],[SupplierID]],Paid)</f>
        <v>107923</v>
      </c>
      <c r="E87" s="6">
        <f>Table__192.168.3.138SupList[[#This Row],[Net Amount]]-Table__192.168.3.138SupList[[#This Row],[Paid]]</f>
        <v>6239645</v>
      </c>
      <c r="F87" s="6">
        <f>SUMIFS(NetB3,SupList,Table__192.168.3.138SupList[[#This Row],[SupplierID]],DL,"&gt;=1",DL,"&lt;=30")</f>
        <v>550520</v>
      </c>
      <c r="G87" s="4">
        <f>SUMIFS(NetB3,SupList,Table__192.168.3.138SupList[[#This Row],[SupplierID]],DL,"&gt;=31",DL,"&lt;=45")</f>
        <v>734778</v>
      </c>
      <c r="H87" s="4">
        <f>SUMIFS(NetB3,SupList,Table__192.168.3.138SupList[[#This Row],[SupplierID]],DL,"&gt;=46",DL,"&lt;=60")</f>
        <v>517555</v>
      </c>
      <c r="I87" s="4">
        <f>SUMIFS(NetB3,SupList,Table__192.168.3.138SupList[[#This Row],[SupplierID]],DL,"&gt;=61",DL,"&lt;=90")</f>
        <v>838881</v>
      </c>
      <c r="J87" s="4">
        <f>SUMIFS(NetB3,SupList,Table__192.168.3.138SupList[[#This Row],[SupplierID]],DL,"&gt;=91",DL,"&lt;=120")</f>
        <v>537567</v>
      </c>
      <c r="K87" s="4">
        <f>SUMIFS(NetB3,SupList,Table__192.168.3.138SupList[[#This Row],[SupplierID]],DL,"&gt;120")</f>
        <v>2822340</v>
      </c>
    </row>
    <row r="88" spans="1:11">
      <c r="A88" s="4" t="s">
        <v>283</v>
      </c>
      <c r="B88" s="5" t="s">
        <v>420</v>
      </c>
      <c r="C88" s="6">
        <f>SUMIF(SupList,Table__192.168.3.138SupList[[#This Row],[SupplierID]],NetAmount)</f>
        <v>6775328</v>
      </c>
      <c r="D88" s="6">
        <f>SUMIF(SupList,Table__192.168.3.138SupList[[#This Row],[SupplierID]],Paid)</f>
        <v>0</v>
      </c>
      <c r="E88" s="6">
        <f>Table__192.168.3.138SupList[[#This Row],[Net Amount]]-Table__192.168.3.138SupList[[#This Row],[Paid]]</f>
        <v>6775328</v>
      </c>
      <c r="F88" s="6">
        <f>SUMIFS(NetB3,SupList,Table__192.168.3.138SupList[[#This Row],[SupplierID]],DL,"&gt;=1",DL,"&lt;=30")</f>
        <v>2627168</v>
      </c>
      <c r="G88" s="4">
        <f>SUMIFS(NetB3,SupList,Table__192.168.3.138SupList[[#This Row],[SupplierID]],DL,"&gt;=31",DL,"&lt;=45")</f>
        <v>0</v>
      </c>
      <c r="H88" s="4">
        <f>SUMIFS(NetB3,SupList,Table__192.168.3.138SupList[[#This Row],[SupplierID]],DL,"&gt;=46",DL,"&lt;=60")</f>
        <v>2627168</v>
      </c>
      <c r="I88" s="4">
        <f>SUMIFS(NetB3,SupList,Table__192.168.3.138SupList[[#This Row],[SupplierID]],DL,"&gt;=61",DL,"&lt;=90")</f>
        <v>1520992</v>
      </c>
      <c r="J88" s="4">
        <f>SUMIFS(NetB3,SupList,Table__192.168.3.138SupList[[#This Row],[SupplierID]],DL,"&gt;=91",DL,"&lt;=120")</f>
        <v>0</v>
      </c>
      <c r="K88" s="4">
        <f>SUMIFS(NetB3,SupList,Table__192.168.3.138SupList[[#This Row],[SupplierID]],DL,"&gt;120")</f>
        <v>0</v>
      </c>
    </row>
    <row r="89" spans="1:11">
      <c r="A89" s="4" t="s">
        <v>202</v>
      </c>
      <c r="B89" s="5" t="s">
        <v>339</v>
      </c>
      <c r="C89" s="6">
        <f>SUMIF(SupList,Table__192.168.3.138SupList[[#This Row],[SupplierID]],NetAmount)</f>
        <v>2116158</v>
      </c>
      <c r="D89" s="6">
        <f>SUMIF(SupList,Table__192.168.3.138SupList[[#This Row],[SupplierID]],Paid)</f>
        <v>9046</v>
      </c>
      <c r="E89" s="6">
        <f>Table__192.168.3.138SupList[[#This Row],[Net Amount]]-Table__192.168.3.138SupList[[#This Row],[Paid]]</f>
        <v>2107112</v>
      </c>
      <c r="F89" s="6">
        <f>SUMIFS(NetB3,SupList,Table__192.168.3.138SupList[[#This Row],[SupplierID]],DL,"&gt;=1",DL,"&lt;=30")</f>
        <v>0</v>
      </c>
      <c r="G89" s="4">
        <f>SUMIFS(NetB3,SupList,Table__192.168.3.138SupList[[#This Row],[SupplierID]],DL,"&gt;=31",DL,"&lt;=45")</f>
        <v>0</v>
      </c>
      <c r="H89" s="4">
        <f>SUMIFS(NetB3,SupList,Table__192.168.3.138SupList[[#This Row],[SupplierID]],DL,"&gt;=46",DL,"&lt;=60")</f>
        <v>0</v>
      </c>
      <c r="I89" s="4">
        <f>SUMIFS(NetB3,SupList,Table__192.168.3.138SupList[[#This Row],[SupplierID]],DL,"&gt;=61",DL,"&lt;=90")</f>
        <v>0</v>
      </c>
      <c r="J89" s="4">
        <f>SUMIFS(NetB3,SupList,Table__192.168.3.138SupList[[#This Row],[SupplierID]],DL,"&gt;=91",DL,"&lt;=120")</f>
        <v>189086</v>
      </c>
      <c r="K89" s="4">
        <f>SUMIFS(NetB3,SupList,Table__192.168.3.138SupList[[#This Row],[SupplierID]],DL,"&gt;120")</f>
        <v>1918026</v>
      </c>
    </row>
    <row r="90" spans="1:11">
      <c r="A90" s="4" t="s">
        <v>184</v>
      </c>
      <c r="B90" s="5" t="s">
        <v>321</v>
      </c>
      <c r="C90" s="6">
        <f>SUMIF(SupList,Table__192.168.3.138SupList[[#This Row],[SupplierID]],NetAmount)</f>
        <v>109558</v>
      </c>
      <c r="D90" s="6">
        <f>SUMIF(SupList,Table__192.168.3.138SupList[[#This Row],[SupplierID]],Paid)</f>
        <v>0</v>
      </c>
      <c r="E90" s="6">
        <f>Table__192.168.3.138SupList[[#This Row],[Net Amount]]-Table__192.168.3.138SupList[[#This Row],[Paid]]</f>
        <v>109558</v>
      </c>
      <c r="F90" s="6">
        <f>SUMIFS(NetB3,SupList,Table__192.168.3.138SupList[[#This Row],[SupplierID]],DL,"&gt;=1",DL,"&lt;=30")</f>
        <v>0</v>
      </c>
      <c r="G90" s="4">
        <f>SUMIFS(NetB3,SupList,Table__192.168.3.138SupList[[#This Row],[SupplierID]],DL,"&gt;=31",DL,"&lt;=45")</f>
        <v>0</v>
      </c>
      <c r="H90" s="4">
        <f>SUMIFS(NetB3,SupList,Table__192.168.3.138SupList[[#This Row],[SupplierID]],DL,"&gt;=46",DL,"&lt;=60")</f>
        <v>0</v>
      </c>
      <c r="I90" s="4">
        <f>SUMIFS(NetB3,SupList,Table__192.168.3.138SupList[[#This Row],[SupplierID]],DL,"&gt;=61",DL,"&lt;=90")</f>
        <v>0</v>
      </c>
      <c r="J90" s="4">
        <f>SUMIFS(NetB3,SupList,Table__192.168.3.138SupList[[#This Row],[SupplierID]],DL,"&gt;=91",DL,"&lt;=120")</f>
        <v>0</v>
      </c>
      <c r="K90" s="4">
        <f>SUMIFS(NetB3,SupList,Table__192.168.3.138SupList[[#This Row],[SupplierID]],DL,"&gt;120")</f>
        <v>109558</v>
      </c>
    </row>
    <row r="91" spans="1:11">
      <c r="A91" s="4" t="s">
        <v>218</v>
      </c>
      <c r="B91" s="5" t="s">
        <v>355</v>
      </c>
      <c r="C91" s="6">
        <f>SUMIF(SupList,Table__192.168.3.138SupList[[#This Row],[SupplierID]],NetAmount)</f>
        <v>-63</v>
      </c>
      <c r="D91" s="6">
        <f>SUMIF(SupList,Table__192.168.3.138SupList[[#This Row],[SupplierID]],Paid)</f>
        <v>0</v>
      </c>
      <c r="E91" s="6">
        <f>Table__192.168.3.138SupList[[#This Row],[Net Amount]]-Table__192.168.3.138SupList[[#This Row],[Paid]]</f>
        <v>-63</v>
      </c>
      <c r="F91" s="6">
        <f>SUMIFS(NetB3,SupList,Table__192.168.3.138SupList[[#This Row],[SupplierID]],DL,"&gt;=1",DL,"&lt;=30")</f>
        <v>0</v>
      </c>
      <c r="G91" s="4">
        <f>SUMIFS(NetB3,SupList,Table__192.168.3.138SupList[[#This Row],[SupplierID]],DL,"&gt;=31",DL,"&lt;=45")</f>
        <v>0</v>
      </c>
      <c r="H91" s="4">
        <f>SUMIFS(NetB3,SupList,Table__192.168.3.138SupList[[#This Row],[SupplierID]],DL,"&gt;=46",DL,"&lt;=60")</f>
        <v>0</v>
      </c>
      <c r="I91" s="4">
        <f>SUMIFS(NetB3,SupList,Table__192.168.3.138SupList[[#This Row],[SupplierID]],DL,"&gt;=61",DL,"&lt;=90")</f>
        <v>0</v>
      </c>
      <c r="J91" s="4">
        <f>SUMIFS(NetB3,SupList,Table__192.168.3.138SupList[[#This Row],[SupplierID]],DL,"&gt;=91",DL,"&lt;=120")</f>
        <v>0</v>
      </c>
      <c r="K91" s="4">
        <f>SUMIFS(NetB3,SupList,Table__192.168.3.138SupList[[#This Row],[SupplierID]],DL,"&gt;120")</f>
        <v>-63</v>
      </c>
    </row>
    <row r="92" spans="1:11">
      <c r="A92" s="4" t="s">
        <v>285</v>
      </c>
      <c r="B92" s="5" t="s">
        <v>422</v>
      </c>
      <c r="C92" s="6">
        <f>SUMIF(SupList,Table__192.168.3.138SupList[[#This Row],[SupplierID]],NetAmount)</f>
        <v>20133803</v>
      </c>
      <c r="D92" s="6">
        <f>SUMIF(SupList,Table__192.168.3.138SupList[[#This Row],[SupplierID]],Paid)</f>
        <v>4086277</v>
      </c>
      <c r="E92" s="6">
        <f>Table__192.168.3.138SupList[[#This Row],[Net Amount]]-Table__192.168.3.138SupList[[#This Row],[Paid]]</f>
        <v>16047526</v>
      </c>
      <c r="F92" s="6">
        <f>SUMIFS(NetB3,SupList,Table__192.168.3.138SupList[[#This Row],[SupplierID]],DL,"&gt;=1",DL,"&lt;=30")</f>
        <v>2018400</v>
      </c>
      <c r="G92" s="4">
        <f>SUMIFS(NetB3,SupList,Table__192.168.3.138SupList[[#This Row],[SupplierID]],DL,"&gt;=31",DL,"&lt;=45")</f>
        <v>2509480</v>
      </c>
      <c r="H92" s="4">
        <f>SUMIFS(NetB3,SupList,Table__192.168.3.138SupList[[#This Row],[SupplierID]],DL,"&gt;=46",DL,"&lt;=60")</f>
        <v>3700400</v>
      </c>
      <c r="I92" s="4">
        <f>SUMIFS(NetB3,SupList,Table__192.168.3.138SupList[[#This Row],[SupplierID]],DL,"&gt;=61",DL,"&lt;=90")</f>
        <v>4036800</v>
      </c>
      <c r="J92" s="4">
        <f>SUMIFS(NetB3,SupList,Table__192.168.3.138SupList[[#This Row],[SupplierID]],DL,"&gt;=91",DL,"&lt;=120")</f>
        <v>3794202</v>
      </c>
      <c r="K92" s="4">
        <f>SUMIFS(NetB3,SupList,Table__192.168.3.138SupList[[#This Row],[SupplierID]],DL,"&gt;120")</f>
        <v>-11756</v>
      </c>
    </row>
    <row r="93" spans="1:11">
      <c r="A93" s="4" t="s">
        <v>186</v>
      </c>
      <c r="B93" s="5" t="s">
        <v>323</v>
      </c>
      <c r="C93" s="6">
        <f>SUMIF(SupList,Table__192.168.3.138SupList[[#This Row],[SupplierID]],NetAmount)</f>
        <v>1913</v>
      </c>
      <c r="D93" s="6">
        <f>SUMIF(SupList,Table__192.168.3.138SupList[[#This Row],[SupplierID]],Paid)</f>
        <v>0</v>
      </c>
      <c r="E93" s="6">
        <f>Table__192.168.3.138SupList[[#This Row],[Net Amount]]-Table__192.168.3.138SupList[[#This Row],[Paid]]</f>
        <v>1913</v>
      </c>
      <c r="F93" s="6">
        <f>SUMIFS(NetB3,SupList,Table__192.168.3.138SupList[[#This Row],[SupplierID]],DL,"&gt;=1",DL,"&lt;=30")</f>
        <v>0</v>
      </c>
      <c r="G93" s="4">
        <f>SUMIFS(NetB3,SupList,Table__192.168.3.138SupList[[#This Row],[SupplierID]],DL,"&gt;=31",DL,"&lt;=45")</f>
        <v>0</v>
      </c>
      <c r="H93" s="4">
        <f>SUMIFS(NetB3,SupList,Table__192.168.3.138SupList[[#This Row],[SupplierID]],DL,"&gt;=46",DL,"&lt;=60")</f>
        <v>0</v>
      </c>
      <c r="I93" s="4">
        <f>SUMIFS(NetB3,SupList,Table__192.168.3.138SupList[[#This Row],[SupplierID]],DL,"&gt;=61",DL,"&lt;=90")</f>
        <v>0</v>
      </c>
      <c r="J93" s="4">
        <f>SUMIFS(NetB3,SupList,Table__192.168.3.138SupList[[#This Row],[SupplierID]],DL,"&gt;=91",DL,"&lt;=120")</f>
        <v>1972</v>
      </c>
      <c r="K93" s="4">
        <f>SUMIFS(NetB3,SupList,Table__192.168.3.138SupList[[#This Row],[SupplierID]],DL,"&gt;120")</f>
        <v>-59</v>
      </c>
    </row>
    <row r="94" spans="1:11">
      <c r="A94" s="4" t="s">
        <v>289</v>
      </c>
      <c r="B94" s="5" t="s">
        <v>426</v>
      </c>
      <c r="C94" s="6">
        <f>SUMIF(SupList,Table__192.168.3.138SupList[[#This Row],[SupplierID]],NetAmount)</f>
        <v>536365</v>
      </c>
      <c r="D94" s="6">
        <f>SUMIF(SupList,Table__192.168.3.138SupList[[#This Row],[SupplierID]],Paid)</f>
        <v>0</v>
      </c>
      <c r="E94" s="6">
        <f>Table__192.168.3.138SupList[[#This Row],[Net Amount]]-Table__192.168.3.138SupList[[#This Row],[Paid]]</f>
        <v>536365</v>
      </c>
      <c r="F94" s="6">
        <f>SUMIFS(NetB3,SupList,Table__192.168.3.138SupList[[#This Row],[SupplierID]],DL,"&gt;=1",DL,"&lt;=30")</f>
        <v>135488</v>
      </c>
      <c r="G94" s="4">
        <f>SUMIFS(NetB3,SupList,Table__192.168.3.138SupList[[#This Row],[SupplierID]],DL,"&gt;=31",DL,"&lt;=45")</f>
        <v>141056</v>
      </c>
      <c r="H94" s="4">
        <f>SUMIFS(NetB3,SupList,Table__192.168.3.138SupList[[#This Row],[SupplierID]],DL,"&gt;=46",DL,"&lt;=60")</f>
        <v>0</v>
      </c>
      <c r="I94" s="4">
        <f>SUMIFS(NetB3,SupList,Table__192.168.3.138SupList[[#This Row],[SupplierID]],DL,"&gt;=61",DL,"&lt;=90")</f>
        <v>141056</v>
      </c>
      <c r="J94" s="4">
        <f>SUMIFS(NetB3,SupList,Table__192.168.3.138SupList[[#This Row],[SupplierID]],DL,"&gt;=91",DL,"&lt;=120")</f>
        <v>118784</v>
      </c>
      <c r="K94" s="4">
        <f>SUMIFS(NetB3,SupList,Table__192.168.3.138SupList[[#This Row],[SupplierID]],DL,"&gt;120")</f>
        <v>-19</v>
      </c>
    </row>
    <row r="95" spans="1:11">
      <c r="A95" s="4" t="s">
        <v>178</v>
      </c>
      <c r="B95" s="5" t="s">
        <v>315</v>
      </c>
      <c r="C95" s="6">
        <f>SUMIF(SupList,Table__192.168.3.138SupList[[#This Row],[SupplierID]],NetAmount)</f>
        <v>-677</v>
      </c>
      <c r="D95" s="6">
        <f>SUMIF(SupList,Table__192.168.3.138SupList[[#This Row],[SupplierID]],Paid)</f>
        <v>0</v>
      </c>
      <c r="E95" s="6">
        <f>Table__192.168.3.138SupList[[#This Row],[Net Amount]]-Table__192.168.3.138SupList[[#This Row],[Paid]]</f>
        <v>-677</v>
      </c>
      <c r="F95" s="6">
        <f>SUMIFS(NetB3,SupList,Table__192.168.3.138SupList[[#This Row],[SupplierID]],DL,"&gt;=1",DL,"&lt;=30")</f>
        <v>0</v>
      </c>
      <c r="G95" s="4">
        <f>SUMIFS(NetB3,SupList,Table__192.168.3.138SupList[[#This Row],[SupplierID]],DL,"&gt;=31",DL,"&lt;=45")</f>
        <v>0</v>
      </c>
      <c r="H95" s="4">
        <f>SUMIFS(NetB3,SupList,Table__192.168.3.138SupList[[#This Row],[SupplierID]],DL,"&gt;=46",DL,"&lt;=60")</f>
        <v>0</v>
      </c>
      <c r="I95" s="4">
        <f>SUMIFS(NetB3,SupList,Table__192.168.3.138SupList[[#This Row],[SupplierID]],DL,"&gt;=61",DL,"&lt;=90")</f>
        <v>0</v>
      </c>
      <c r="J95" s="4">
        <f>SUMIFS(NetB3,SupList,Table__192.168.3.138SupList[[#This Row],[SupplierID]],DL,"&gt;=91",DL,"&lt;=120")</f>
        <v>0</v>
      </c>
      <c r="K95" s="4">
        <f>SUMIFS(NetB3,SupList,Table__192.168.3.138SupList[[#This Row],[SupplierID]],DL,"&gt;120")</f>
        <v>-677</v>
      </c>
    </row>
    <row r="96" spans="1:11">
      <c r="A96" s="4" t="s">
        <v>217</v>
      </c>
      <c r="B96" s="5" t="s">
        <v>354</v>
      </c>
      <c r="C96" s="6">
        <f>SUMIF(SupList,Table__192.168.3.138SupList[[#This Row],[SupplierID]],NetAmount)</f>
        <v>740877</v>
      </c>
      <c r="D96" s="6">
        <f>SUMIF(SupList,Table__192.168.3.138SupList[[#This Row],[SupplierID]],Paid)</f>
        <v>385965</v>
      </c>
      <c r="E96" s="6">
        <f>Table__192.168.3.138SupList[[#This Row],[Net Amount]]-Table__192.168.3.138SupList[[#This Row],[Paid]]</f>
        <v>354912</v>
      </c>
      <c r="F96" s="6">
        <f>SUMIFS(NetB3,SupList,Table__192.168.3.138SupList[[#This Row],[SupplierID]],DL,"&gt;=1",DL,"&lt;=30")</f>
        <v>0</v>
      </c>
      <c r="G96" s="4">
        <f>SUMIFS(NetB3,SupList,Table__192.168.3.138SupList[[#This Row],[SupplierID]],DL,"&gt;=31",DL,"&lt;=45")</f>
        <v>3318</v>
      </c>
      <c r="H96" s="4">
        <f>SUMIFS(NetB3,SupList,Table__192.168.3.138SupList[[#This Row],[SupplierID]],DL,"&gt;=46",DL,"&lt;=60")</f>
        <v>265710</v>
      </c>
      <c r="I96" s="4">
        <f>SUMIFS(NetB3,SupList,Table__192.168.3.138SupList[[#This Row],[SupplierID]],DL,"&gt;=61",DL,"&lt;=90")</f>
        <v>69341</v>
      </c>
      <c r="J96" s="4">
        <f>SUMIFS(NetB3,SupList,Table__192.168.3.138SupList[[#This Row],[SupplierID]],DL,"&gt;=91",DL,"&lt;=120")</f>
        <v>1444</v>
      </c>
      <c r="K96" s="4">
        <f>SUMIFS(NetB3,SupList,Table__192.168.3.138SupList[[#This Row],[SupplierID]],DL,"&gt;120")</f>
        <v>15099</v>
      </c>
    </row>
    <row r="97" spans="1:11">
      <c r="A97" s="4" t="s">
        <v>223</v>
      </c>
      <c r="B97" s="5" t="s">
        <v>360</v>
      </c>
      <c r="C97" s="6">
        <f>SUMIF(SupList,Table__192.168.3.138SupList[[#This Row],[SupplierID]],NetAmount)</f>
        <v>2500</v>
      </c>
      <c r="D97" s="6">
        <f>SUMIF(SupList,Table__192.168.3.138SupList[[#This Row],[SupplierID]],Paid)</f>
        <v>0</v>
      </c>
      <c r="E97" s="6">
        <f>Table__192.168.3.138SupList[[#This Row],[Net Amount]]-Table__192.168.3.138SupList[[#This Row],[Paid]]</f>
        <v>2500</v>
      </c>
      <c r="F97" s="6">
        <f>SUMIFS(NetB3,SupList,Table__192.168.3.138SupList[[#This Row],[SupplierID]],DL,"&gt;=1",DL,"&lt;=30")</f>
        <v>0</v>
      </c>
      <c r="G97" s="4">
        <f>SUMIFS(NetB3,SupList,Table__192.168.3.138SupList[[#This Row],[SupplierID]],DL,"&gt;=31",DL,"&lt;=45")</f>
        <v>0</v>
      </c>
      <c r="H97" s="4">
        <f>SUMIFS(NetB3,SupList,Table__192.168.3.138SupList[[#This Row],[SupplierID]],DL,"&gt;=46",DL,"&lt;=60")</f>
        <v>0</v>
      </c>
      <c r="I97" s="4">
        <f>SUMIFS(NetB3,SupList,Table__192.168.3.138SupList[[#This Row],[SupplierID]],DL,"&gt;=61",DL,"&lt;=90")</f>
        <v>0</v>
      </c>
      <c r="J97" s="4">
        <f>SUMIFS(NetB3,SupList,Table__192.168.3.138SupList[[#This Row],[SupplierID]],DL,"&gt;=91",DL,"&lt;=120")</f>
        <v>0</v>
      </c>
      <c r="K97" s="4">
        <f>SUMIFS(NetB3,SupList,Table__192.168.3.138SupList[[#This Row],[SupplierID]],DL,"&gt;120")</f>
        <v>2500</v>
      </c>
    </row>
    <row r="98" spans="1:11">
      <c r="A98" s="4" t="s">
        <v>172</v>
      </c>
      <c r="B98" s="5" t="s">
        <v>309</v>
      </c>
      <c r="C98" s="6">
        <f>SUMIF(SupList,Table__192.168.3.138SupList[[#This Row],[SupplierID]],NetAmount)</f>
        <v>2566457</v>
      </c>
      <c r="D98" s="6">
        <f>SUMIF(SupList,Table__192.168.3.138SupList[[#This Row],[SupplierID]],Paid)</f>
        <v>13887</v>
      </c>
      <c r="E98" s="6">
        <f>Table__192.168.3.138SupList[[#This Row],[Net Amount]]-Table__192.168.3.138SupList[[#This Row],[Paid]]</f>
        <v>2552570</v>
      </c>
      <c r="F98" s="6">
        <f>SUMIFS(NetB3,SupList,Table__192.168.3.138SupList[[#This Row],[SupplierID]],DL,"&gt;=1",DL,"&lt;=30")</f>
        <v>0</v>
      </c>
      <c r="G98" s="4">
        <f>SUMIFS(NetB3,SupList,Table__192.168.3.138SupList[[#This Row],[SupplierID]],DL,"&gt;=31",DL,"&lt;=45")</f>
        <v>0</v>
      </c>
      <c r="H98" s="4">
        <f>SUMIFS(NetB3,SupList,Table__192.168.3.138SupList[[#This Row],[SupplierID]],DL,"&gt;=46",DL,"&lt;=60")</f>
        <v>0</v>
      </c>
      <c r="I98" s="4">
        <f>SUMIFS(NetB3,SupList,Table__192.168.3.138SupList[[#This Row],[SupplierID]],DL,"&gt;=61",DL,"&lt;=90")</f>
        <v>0</v>
      </c>
      <c r="J98" s="4">
        <f>SUMIFS(NetB3,SupList,Table__192.168.3.138SupList[[#This Row],[SupplierID]],DL,"&gt;=91",DL,"&lt;=120")</f>
        <v>3202</v>
      </c>
      <c r="K98" s="4">
        <f>SUMIFS(NetB3,SupList,Table__192.168.3.138SupList[[#This Row],[SupplierID]],DL,"&gt;120")</f>
        <v>2549368</v>
      </c>
    </row>
    <row r="99" spans="1:11">
      <c r="A99" s="4" t="s">
        <v>247</v>
      </c>
      <c r="B99" s="5" t="s">
        <v>384</v>
      </c>
      <c r="C99" s="6">
        <f>SUMIF(SupList,Table__192.168.3.138SupList[[#This Row],[SupplierID]],NetAmount)</f>
        <v>21687799</v>
      </c>
      <c r="D99" s="6">
        <f>SUMIF(SupList,Table__192.168.3.138SupList[[#This Row],[SupplierID]],Paid)</f>
        <v>13663943</v>
      </c>
      <c r="E99" s="6">
        <f>Table__192.168.3.138SupList[[#This Row],[Net Amount]]-Table__192.168.3.138SupList[[#This Row],[Paid]]</f>
        <v>8023856</v>
      </c>
      <c r="F99" s="6">
        <f>SUMIFS(NetB3,SupList,Table__192.168.3.138SupList[[#This Row],[SupplierID]],DL,"&gt;=1",DL,"&lt;=30")</f>
        <v>0</v>
      </c>
      <c r="G99" s="4">
        <f>SUMIFS(NetB3,SupList,Table__192.168.3.138SupList[[#This Row],[SupplierID]],DL,"&gt;=31",DL,"&lt;=45")</f>
        <v>0</v>
      </c>
      <c r="H99" s="4">
        <f>SUMIFS(NetB3,SupList,Table__192.168.3.138SupList[[#This Row],[SupplierID]],DL,"&gt;=46",DL,"&lt;=60")</f>
        <v>0</v>
      </c>
      <c r="I99" s="4">
        <f>SUMIFS(NetB3,SupList,Table__192.168.3.138SupList[[#This Row],[SupplierID]],DL,"&gt;=61",DL,"&lt;=90")</f>
        <v>0</v>
      </c>
      <c r="J99" s="4">
        <f>SUMIFS(NetB3,SupList,Table__192.168.3.138SupList[[#This Row],[SupplierID]],DL,"&gt;=91",DL,"&lt;=120")</f>
        <v>0</v>
      </c>
      <c r="K99" s="4">
        <f>SUMIFS(NetB3,SupList,Table__192.168.3.138SupList[[#This Row],[SupplierID]],DL,"&gt;120")</f>
        <v>8023856</v>
      </c>
    </row>
    <row r="100" spans="1:11">
      <c r="A100" s="4" t="s">
        <v>297</v>
      </c>
      <c r="B100" s="5" t="s">
        <v>434</v>
      </c>
      <c r="C100" s="6">
        <f>SUMIF(SupList,Table__192.168.3.138SupList[[#This Row],[SupplierID]],NetAmount)</f>
        <v>444744</v>
      </c>
      <c r="D100" s="6">
        <f>SUMIF(SupList,Table__192.168.3.138SupList[[#This Row],[SupplierID]],Paid)</f>
        <v>0</v>
      </c>
      <c r="E100" s="6">
        <f>Table__192.168.3.138SupList[[#This Row],[Net Amount]]-Table__192.168.3.138SupList[[#This Row],[Paid]]</f>
        <v>444744</v>
      </c>
      <c r="F100" s="6">
        <f>SUMIFS(NetB3,SupList,Table__192.168.3.138SupList[[#This Row],[SupplierID]],DL,"&gt;=1",DL,"&lt;=30")</f>
        <v>0</v>
      </c>
      <c r="G100" s="4">
        <f>SUMIFS(NetB3,SupList,Table__192.168.3.138SupList[[#This Row],[SupplierID]],DL,"&gt;=31",DL,"&lt;=45")</f>
        <v>0</v>
      </c>
      <c r="H100" s="4">
        <f>SUMIFS(NetB3,SupList,Table__192.168.3.138SupList[[#This Row],[SupplierID]],DL,"&gt;=46",DL,"&lt;=60")</f>
        <v>0</v>
      </c>
      <c r="I100" s="4">
        <f>SUMIFS(NetB3,SupList,Table__192.168.3.138SupList[[#This Row],[SupplierID]],DL,"&gt;=61",DL,"&lt;=90")</f>
        <v>189051</v>
      </c>
      <c r="J100" s="4">
        <f>SUMIFS(NetB3,SupList,Table__192.168.3.138SupList[[#This Row],[SupplierID]],DL,"&gt;=91",DL,"&lt;=120")</f>
        <v>162168</v>
      </c>
      <c r="K100" s="4">
        <f>SUMIFS(NetB3,SupList,Table__192.168.3.138SupList[[#This Row],[SupplierID]],DL,"&gt;120")</f>
        <v>93525</v>
      </c>
    </row>
    <row r="101" spans="1:11">
      <c r="A101" s="4" t="s">
        <v>228</v>
      </c>
      <c r="B101" s="5" t="s">
        <v>365</v>
      </c>
      <c r="C101" s="6">
        <f>SUMIF(SupList,Table__192.168.3.138SupList[[#This Row],[SupplierID]],NetAmount)</f>
        <v>1653713</v>
      </c>
      <c r="D101" s="6">
        <f>SUMIF(SupList,Table__192.168.3.138SupList[[#This Row],[SupplierID]],Paid)</f>
        <v>74999</v>
      </c>
      <c r="E101" s="6">
        <f>Table__192.168.3.138SupList[[#This Row],[Net Amount]]-Table__192.168.3.138SupList[[#This Row],[Paid]]</f>
        <v>1578714</v>
      </c>
      <c r="F101" s="6">
        <f>SUMIFS(NetB3,SupList,Table__192.168.3.138SupList[[#This Row],[SupplierID]],DL,"&gt;=1",DL,"&lt;=30")</f>
        <v>98020</v>
      </c>
      <c r="G101" s="4">
        <f>SUMIFS(NetB3,SupList,Table__192.168.3.138SupList[[#This Row],[SupplierID]],DL,"&gt;=31",DL,"&lt;=45")</f>
        <v>0</v>
      </c>
      <c r="H101" s="4">
        <f>SUMIFS(NetB3,SupList,Table__192.168.3.138SupList[[#This Row],[SupplierID]],DL,"&gt;=46",DL,"&lt;=60")</f>
        <v>704584</v>
      </c>
      <c r="I101" s="4">
        <f>SUMIFS(NetB3,SupList,Table__192.168.3.138SupList[[#This Row],[SupplierID]],DL,"&gt;=61",DL,"&lt;=90")</f>
        <v>596757</v>
      </c>
      <c r="J101" s="4">
        <f>SUMIFS(NetB3,SupList,Table__192.168.3.138SupList[[#This Row],[SupplierID]],DL,"&gt;=91",DL,"&lt;=120")</f>
        <v>0</v>
      </c>
      <c r="K101" s="4">
        <f>SUMIFS(NetB3,SupList,Table__192.168.3.138SupList[[#This Row],[SupplierID]],DL,"&gt;120")</f>
        <v>179353</v>
      </c>
    </row>
    <row r="102" spans="1:11">
      <c r="A102" s="4" t="s">
        <v>243</v>
      </c>
      <c r="B102" s="5" t="s">
        <v>380</v>
      </c>
      <c r="C102" s="6">
        <f>SUMIF(SupList,Table__192.168.3.138SupList[[#This Row],[SupplierID]],NetAmount)</f>
        <v>498260</v>
      </c>
      <c r="D102" s="6">
        <f>SUMIF(SupList,Table__192.168.3.138SupList[[#This Row],[SupplierID]],Paid)</f>
        <v>0</v>
      </c>
      <c r="E102" s="6">
        <f>Table__192.168.3.138SupList[[#This Row],[Net Amount]]-Table__192.168.3.138SupList[[#This Row],[Paid]]</f>
        <v>498260</v>
      </c>
      <c r="F102" s="6">
        <f>SUMIFS(NetB3,SupList,Table__192.168.3.138SupList[[#This Row],[SupplierID]],DL,"&gt;=1",DL,"&lt;=30")</f>
        <v>0</v>
      </c>
      <c r="G102" s="4">
        <f>SUMIFS(NetB3,SupList,Table__192.168.3.138SupList[[#This Row],[SupplierID]],DL,"&gt;=31",DL,"&lt;=45")</f>
        <v>141257</v>
      </c>
      <c r="H102" s="4">
        <f>SUMIFS(NetB3,SupList,Table__192.168.3.138SupList[[#This Row],[SupplierID]],DL,"&gt;=46",DL,"&lt;=60")</f>
        <v>0</v>
      </c>
      <c r="I102" s="4">
        <f>SUMIFS(NetB3,SupList,Table__192.168.3.138SupList[[#This Row],[SupplierID]],DL,"&gt;=61",DL,"&lt;=90")</f>
        <v>99900</v>
      </c>
      <c r="J102" s="4">
        <f>SUMIFS(NetB3,SupList,Table__192.168.3.138SupList[[#This Row],[SupplierID]],DL,"&gt;=91",DL,"&lt;=120")</f>
        <v>64205</v>
      </c>
      <c r="K102" s="4">
        <f>SUMIFS(NetB3,SupList,Table__192.168.3.138SupList[[#This Row],[SupplierID]],DL,"&gt;120")</f>
        <v>192898</v>
      </c>
    </row>
    <row r="103" spans="1:11">
      <c r="A103" s="4" t="s">
        <v>233</v>
      </c>
      <c r="B103" s="5" t="s">
        <v>370</v>
      </c>
      <c r="C103" s="6">
        <f>SUMIF(SupList,Table__192.168.3.138SupList[[#This Row],[SupplierID]],NetAmount)</f>
        <v>-710</v>
      </c>
      <c r="D103" s="6">
        <f>SUMIF(SupList,Table__192.168.3.138SupList[[#This Row],[SupplierID]],Paid)</f>
        <v>0</v>
      </c>
      <c r="E103" s="6">
        <f>Table__192.168.3.138SupList[[#This Row],[Net Amount]]-Table__192.168.3.138SupList[[#This Row],[Paid]]</f>
        <v>-710</v>
      </c>
      <c r="F103" s="6">
        <f>SUMIFS(NetB3,SupList,Table__192.168.3.138SupList[[#This Row],[SupplierID]],DL,"&gt;=1",DL,"&lt;=30")</f>
        <v>0</v>
      </c>
      <c r="G103" s="4">
        <f>SUMIFS(NetB3,SupList,Table__192.168.3.138SupList[[#This Row],[SupplierID]],DL,"&gt;=31",DL,"&lt;=45")</f>
        <v>0</v>
      </c>
      <c r="H103" s="4">
        <f>SUMIFS(NetB3,SupList,Table__192.168.3.138SupList[[#This Row],[SupplierID]],DL,"&gt;=46",DL,"&lt;=60")</f>
        <v>0</v>
      </c>
      <c r="I103" s="4">
        <f>SUMIFS(NetB3,SupList,Table__192.168.3.138SupList[[#This Row],[SupplierID]],DL,"&gt;=61",DL,"&lt;=90")</f>
        <v>0</v>
      </c>
      <c r="J103" s="4">
        <f>SUMIFS(NetB3,SupList,Table__192.168.3.138SupList[[#This Row],[SupplierID]],DL,"&gt;=91",DL,"&lt;=120")</f>
        <v>0</v>
      </c>
      <c r="K103" s="4">
        <f>SUMIFS(NetB3,SupList,Table__192.168.3.138SupList[[#This Row],[SupplierID]],DL,"&gt;120")</f>
        <v>-710</v>
      </c>
    </row>
    <row r="104" spans="1:11">
      <c r="A104" s="4" t="s">
        <v>281</v>
      </c>
      <c r="B104" s="5" t="s">
        <v>418</v>
      </c>
      <c r="C104" s="6">
        <f>SUMIF(SupList,Table__192.168.3.138SupList[[#This Row],[SupplierID]],NetAmount)</f>
        <v>647194</v>
      </c>
      <c r="D104" s="6">
        <f>SUMIF(SupList,Table__192.168.3.138SupList[[#This Row],[SupplierID]],Paid)</f>
        <v>0</v>
      </c>
      <c r="E104" s="6">
        <f>Table__192.168.3.138SupList[[#This Row],[Net Amount]]-Table__192.168.3.138SupList[[#This Row],[Paid]]</f>
        <v>647194</v>
      </c>
      <c r="F104" s="6">
        <f>SUMIFS(NetB3,SupList,Table__192.168.3.138SupList[[#This Row],[SupplierID]],DL,"&gt;=1",DL,"&lt;=30")</f>
        <v>0</v>
      </c>
      <c r="G104" s="4">
        <f>SUMIFS(NetB3,SupList,Table__192.168.3.138SupList[[#This Row],[SupplierID]],DL,"&gt;=31",DL,"&lt;=45")</f>
        <v>0</v>
      </c>
      <c r="H104" s="4">
        <f>SUMIFS(NetB3,SupList,Table__192.168.3.138SupList[[#This Row],[SupplierID]],DL,"&gt;=46",DL,"&lt;=60")</f>
        <v>0</v>
      </c>
      <c r="I104" s="4">
        <f>SUMIFS(NetB3,SupList,Table__192.168.3.138SupList[[#This Row],[SupplierID]],DL,"&gt;=61",DL,"&lt;=90")</f>
        <v>58777</v>
      </c>
      <c r="J104" s="4">
        <f>SUMIFS(NetB3,SupList,Table__192.168.3.138SupList[[#This Row],[SupplierID]],DL,"&gt;=91",DL,"&lt;=120")</f>
        <v>43395</v>
      </c>
      <c r="K104" s="4">
        <f>SUMIFS(NetB3,SupList,Table__192.168.3.138SupList[[#This Row],[SupplierID]],DL,"&gt;120")</f>
        <v>545022</v>
      </c>
    </row>
    <row r="105" spans="1:11">
      <c r="A105" s="4" t="s">
        <v>291</v>
      </c>
      <c r="B105" s="5" t="s">
        <v>428</v>
      </c>
      <c r="C105" s="6">
        <f>SUMIF(SupList,Table__192.168.3.138SupList[[#This Row],[SupplierID]],NetAmount)</f>
        <v>494977</v>
      </c>
      <c r="D105" s="6">
        <f>SUMIF(SupList,Table__192.168.3.138SupList[[#This Row],[SupplierID]],Paid)</f>
        <v>90236</v>
      </c>
      <c r="E105" s="6">
        <f>Table__192.168.3.138SupList[[#This Row],[Net Amount]]-Table__192.168.3.138SupList[[#This Row],[Paid]]</f>
        <v>404741</v>
      </c>
      <c r="F105" s="6">
        <f>SUMIFS(NetB3,SupList,Table__192.168.3.138SupList[[#This Row],[SupplierID]],DL,"&gt;=1",DL,"&lt;=30")</f>
        <v>0</v>
      </c>
      <c r="G105" s="4">
        <f>SUMIFS(NetB3,SupList,Table__192.168.3.138SupList[[#This Row],[SupplierID]],DL,"&gt;=31",DL,"&lt;=45")</f>
        <v>0</v>
      </c>
      <c r="H105" s="4">
        <f>SUMIFS(NetB3,SupList,Table__192.168.3.138SupList[[#This Row],[SupplierID]],DL,"&gt;=46",DL,"&lt;=60")</f>
        <v>0</v>
      </c>
      <c r="I105" s="4">
        <f>SUMIFS(NetB3,SupList,Table__192.168.3.138SupList[[#This Row],[SupplierID]],DL,"&gt;=61",DL,"&lt;=90")</f>
        <v>374222</v>
      </c>
      <c r="J105" s="4">
        <f>SUMIFS(NetB3,SupList,Table__192.168.3.138SupList[[#This Row],[SupplierID]],DL,"&gt;=91",DL,"&lt;=120")</f>
        <v>215795</v>
      </c>
      <c r="K105" s="4">
        <f>SUMIFS(NetB3,SupList,Table__192.168.3.138SupList[[#This Row],[SupplierID]],DL,"&gt;120")</f>
        <v>-185276</v>
      </c>
    </row>
    <row r="106" spans="1:11">
      <c r="A106" s="4" t="s">
        <v>198</v>
      </c>
      <c r="B106" s="5" t="s">
        <v>335</v>
      </c>
      <c r="C106" s="6">
        <f>SUMIF(SupList,Table__192.168.3.138SupList[[#This Row],[SupplierID]],NetAmount)</f>
        <v>-958</v>
      </c>
      <c r="D106" s="6">
        <f>SUMIF(SupList,Table__192.168.3.138SupList[[#This Row],[SupplierID]],Paid)</f>
        <v>0</v>
      </c>
      <c r="E106" s="6">
        <f>Table__192.168.3.138SupList[[#This Row],[Net Amount]]-Table__192.168.3.138SupList[[#This Row],[Paid]]</f>
        <v>-958</v>
      </c>
      <c r="F106" s="6">
        <f>SUMIFS(NetB3,SupList,Table__192.168.3.138SupList[[#This Row],[SupplierID]],DL,"&gt;=1",DL,"&lt;=30")</f>
        <v>0</v>
      </c>
      <c r="G106" s="4">
        <f>SUMIFS(NetB3,SupList,Table__192.168.3.138SupList[[#This Row],[SupplierID]],DL,"&gt;=31",DL,"&lt;=45")</f>
        <v>0</v>
      </c>
      <c r="H106" s="4">
        <f>SUMIFS(NetB3,SupList,Table__192.168.3.138SupList[[#This Row],[SupplierID]],DL,"&gt;=46",DL,"&lt;=60")</f>
        <v>0</v>
      </c>
      <c r="I106" s="4">
        <f>SUMIFS(NetB3,SupList,Table__192.168.3.138SupList[[#This Row],[SupplierID]],DL,"&gt;=61",DL,"&lt;=90")</f>
        <v>0</v>
      </c>
      <c r="J106" s="4">
        <f>SUMIFS(NetB3,SupList,Table__192.168.3.138SupList[[#This Row],[SupplierID]],DL,"&gt;=91",DL,"&lt;=120")</f>
        <v>0</v>
      </c>
      <c r="K106" s="4">
        <f>SUMIFS(NetB3,SupList,Table__192.168.3.138SupList[[#This Row],[SupplierID]],DL,"&gt;120")</f>
        <v>-958</v>
      </c>
    </row>
    <row r="107" spans="1:11">
      <c r="A107" s="4" t="s">
        <v>177</v>
      </c>
      <c r="B107" s="5" t="s">
        <v>314</v>
      </c>
      <c r="C107" s="6">
        <f>SUMIF(SupList,Table__192.168.3.138SupList[[#This Row],[SupplierID]],NetAmount)</f>
        <v>1018130</v>
      </c>
      <c r="D107" s="6">
        <f>SUMIF(SupList,Table__192.168.3.138SupList[[#This Row],[SupplierID]],Paid)</f>
        <v>0</v>
      </c>
      <c r="E107" s="6">
        <f>Table__192.168.3.138SupList[[#This Row],[Net Amount]]-Table__192.168.3.138SupList[[#This Row],[Paid]]</f>
        <v>1018130</v>
      </c>
      <c r="F107" s="6">
        <f>SUMIFS(NetB3,SupList,Table__192.168.3.138SupList[[#This Row],[SupplierID]],DL,"&gt;=1",DL,"&lt;=30")</f>
        <v>0</v>
      </c>
      <c r="G107" s="4">
        <f>SUMIFS(NetB3,SupList,Table__192.168.3.138SupList[[#This Row],[SupplierID]],DL,"&gt;=31",DL,"&lt;=45")</f>
        <v>94192</v>
      </c>
      <c r="H107" s="4">
        <f>SUMIFS(NetB3,SupList,Table__192.168.3.138SupList[[#This Row],[SupplierID]],DL,"&gt;=46",DL,"&lt;=60")</f>
        <v>100920</v>
      </c>
      <c r="I107" s="4">
        <f>SUMIFS(NetB3,SupList,Table__192.168.3.138SupList[[#This Row],[SupplierID]],DL,"&gt;=61",DL,"&lt;=90")</f>
        <v>198140</v>
      </c>
      <c r="J107" s="4">
        <f>SUMIFS(NetB3,SupList,Table__192.168.3.138SupList[[#This Row],[SupplierID]],DL,"&gt;=91",DL,"&lt;=120")</f>
        <v>6728</v>
      </c>
      <c r="K107" s="4">
        <f>SUMIFS(NetB3,SupList,Table__192.168.3.138SupList[[#This Row],[SupplierID]],DL,"&gt;120")</f>
        <v>618150</v>
      </c>
    </row>
    <row r="108" spans="1:11">
      <c r="A108" s="4" t="s">
        <v>265</v>
      </c>
      <c r="B108" s="5" t="s">
        <v>402</v>
      </c>
      <c r="C108" s="6">
        <f>SUMIF(SupList,Table__192.168.3.138SupList[[#This Row],[SupplierID]],NetAmount)</f>
        <v>-15</v>
      </c>
      <c r="D108" s="6">
        <f>SUMIF(SupList,Table__192.168.3.138SupList[[#This Row],[SupplierID]],Paid)</f>
        <v>0</v>
      </c>
      <c r="E108" s="6">
        <f>Table__192.168.3.138SupList[[#This Row],[Net Amount]]-Table__192.168.3.138SupList[[#This Row],[Paid]]</f>
        <v>-15</v>
      </c>
      <c r="F108" s="6">
        <f>SUMIFS(NetB3,SupList,Table__192.168.3.138SupList[[#This Row],[SupplierID]],DL,"&gt;=1",DL,"&lt;=30")</f>
        <v>0</v>
      </c>
      <c r="G108" s="4">
        <f>SUMIFS(NetB3,SupList,Table__192.168.3.138SupList[[#This Row],[SupplierID]],DL,"&gt;=31",DL,"&lt;=45")</f>
        <v>0</v>
      </c>
      <c r="H108" s="4">
        <f>SUMIFS(NetB3,SupList,Table__192.168.3.138SupList[[#This Row],[SupplierID]],DL,"&gt;=46",DL,"&lt;=60")</f>
        <v>0</v>
      </c>
      <c r="I108" s="4">
        <f>SUMIFS(NetB3,SupList,Table__192.168.3.138SupList[[#This Row],[SupplierID]],DL,"&gt;=61",DL,"&lt;=90")</f>
        <v>0</v>
      </c>
      <c r="J108" s="4">
        <f>SUMIFS(NetB3,SupList,Table__192.168.3.138SupList[[#This Row],[SupplierID]],DL,"&gt;=91",DL,"&lt;=120")</f>
        <v>0</v>
      </c>
      <c r="K108" s="4">
        <f>SUMIFS(NetB3,SupList,Table__192.168.3.138SupList[[#This Row],[SupplierID]],DL,"&gt;120")</f>
        <v>-15</v>
      </c>
    </row>
    <row r="109" spans="1:11">
      <c r="A109" s="4" t="s">
        <v>196</v>
      </c>
      <c r="B109" s="5" t="s">
        <v>333</v>
      </c>
      <c r="C109" s="6">
        <f>SUMIF(SupList,Table__192.168.3.138SupList[[#This Row],[SupplierID]],NetAmount)</f>
        <v>12535487</v>
      </c>
      <c r="D109" s="6">
        <f>SUMIF(SupList,Table__192.168.3.138SupList[[#This Row],[SupplierID]],Paid)</f>
        <v>3966489</v>
      </c>
      <c r="E109" s="6">
        <f>Table__192.168.3.138SupList[[#This Row],[Net Amount]]-Table__192.168.3.138SupList[[#This Row],[Paid]]</f>
        <v>8568998</v>
      </c>
      <c r="F109" s="6">
        <f>SUMIFS(NetB3,SupList,Table__192.168.3.138SupList[[#This Row],[SupplierID]],DL,"&gt;=1",DL,"&lt;=30")</f>
        <v>1009200</v>
      </c>
      <c r="G109" s="4">
        <f>SUMIFS(NetB3,SupList,Table__192.168.3.138SupList[[#This Row],[SupplierID]],DL,"&gt;=31",DL,"&lt;=45")</f>
        <v>165944</v>
      </c>
      <c r="H109" s="4">
        <f>SUMIFS(NetB3,SupList,Table__192.168.3.138SupList[[#This Row],[SupplierID]],DL,"&gt;=46",DL,"&lt;=60")</f>
        <v>2186600</v>
      </c>
      <c r="I109" s="4">
        <f>SUMIFS(NetB3,SupList,Table__192.168.3.138SupList[[#This Row],[SupplierID]],DL,"&gt;=61",DL,"&lt;=90")</f>
        <v>4373200</v>
      </c>
      <c r="J109" s="4">
        <f>SUMIFS(NetB3,SupList,Table__192.168.3.138SupList[[#This Row],[SupplierID]],DL,"&gt;=91",DL,"&lt;=120")</f>
        <v>0</v>
      </c>
      <c r="K109" s="4">
        <f>SUMIFS(NetB3,SupList,Table__192.168.3.138SupList[[#This Row],[SupplierID]],DL,"&gt;120")</f>
        <v>834054</v>
      </c>
    </row>
    <row r="110" spans="1:11">
      <c r="A110" s="4" t="s">
        <v>272</v>
      </c>
      <c r="B110" s="5" t="s">
        <v>409</v>
      </c>
      <c r="C110" s="6">
        <f>SUMIF(SupList,Table__192.168.3.138SupList[[#This Row],[SupplierID]],NetAmount)</f>
        <v>393861</v>
      </c>
      <c r="D110" s="6">
        <f>SUMIF(SupList,Table__192.168.3.138SupList[[#This Row],[SupplierID]],Paid)</f>
        <v>0</v>
      </c>
      <c r="E110" s="6">
        <f>Table__192.168.3.138SupList[[#This Row],[Net Amount]]-Table__192.168.3.138SupList[[#This Row],[Paid]]</f>
        <v>393861</v>
      </c>
      <c r="F110" s="6">
        <f>SUMIFS(NetB3,SupList,Table__192.168.3.138SupList[[#This Row],[SupplierID]],DL,"&gt;=1",DL,"&lt;=30")</f>
        <v>142100</v>
      </c>
      <c r="G110" s="4">
        <f>SUMIFS(NetB3,SupList,Table__192.168.3.138SupList[[#This Row],[SupplierID]],DL,"&gt;=31",DL,"&lt;=45")</f>
        <v>0</v>
      </c>
      <c r="H110" s="4">
        <f>SUMIFS(NetB3,SupList,Table__192.168.3.138SupList[[#This Row],[SupplierID]],DL,"&gt;=46",DL,"&lt;=60")</f>
        <v>152088</v>
      </c>
      <c r="I110" s="4">
        <f>SUMIFS(NetB3,SupList,Table__192.168.3.138SupList[[#This Row],[SupplierID]],DL,"&gt;=61",DL,"&lt;=90")</f>
        <v>121800</v>
      </c>
      <c r="J110" s="4">
        <f>SUMIFS(NetB3,SupList,Table__192.168.3.138SupList[[#This Row],[SupplierID]],DL,"&gt;=91",DL,"&lt;=120")</f>
        <v>0</v>
      </c>
      <c r="K110" s="4">
        <f>SUMIFS(NetB3,SupList,Table__192.168.3.138SupList[[#This Row],[SupplierID]],DL,"&gt;120")</f>
        <v>-22127</v>
      </c>
    </row>
    <row r="111" spans="1:11">
      <c r="A111" s="4" t="s">
        <v>288</v>
      </c>
      <c r="B111" s="5" t="s">
        <v>425</v>
      </c>
      <c r="C111" s="6">
        <f>SUMIF(SupList,Table__192.168.3.138SupList[[#This Row],[SupplierID]],NetAmount)</f>
        <v>922110</v>
      </c>
      <c r="D111" s="6">
        <f>SUMIF(SupList,Table__192.168.3.138SupList[[#This Row],[SupplierID]],Paid)</f>
        <v>0</v>
      </c>
      <c r="E111" s="6">
        <f>Table__192.168.3.138SupList[[#This Row],[Net Amount]]-Table__192.168.3.138SupList[[#This Row],[Paid]]</f>
        <v>922110</v>
      </c>
      <c r="F111" s="6">
        <f>SUMIFS(NetB3,SupList,Table__192.168.3.138SupList[[#This Row],[SupplierID]],DL,"&gt;=1",DL,"&lt;=30")</f>
        <v>0</v>
      </c>
      <c r="G111" s="4">
        <f>SUMIFS(NetB3,SupList,Table__192.168.3.138SupList[[#This Row],[SupplierID]],DL,"&gt;=31",DL,"&lt;=45")</f>
        <v>0</v>
      </c>
      <c r="H111" s="4">
        <f>SUMIFS(NetB3,SupList,Table__192.168.3.138SupList[[#This Row],[SupplierID]],DL,"&gt;=46",DL,"&lt;=60")</f>
        <v>0</v>
      </c>
      <c r="I111" s="4">
        <f>SUMIFS(NetB3,SupList,Table__192.168.3.138SupList[[#This Row],[SupplierID]],DL,"&gt;=61",DL,"&lt;=90")</f>
        <v>0</v>
      </c>
      <c r="J111" s="4">
        <f>SUMIFS(NetB3,SupList,Table__192.168.3.138SupList[[#This Row],[SupplierID]],DL,"&gt;=91",DL,"&lt;=120")</f>
        <v>0</v>
      </c>
      <c r="K111" s="4">
        <f>SUMIFS(NetB3,SupList,Table__192.168.3.138SupList[[#This Row],[SupplierID]],DL,"&gt;120")</f>
        <v>922110</v>
      </c>
    </row>
    <row r="112" spans="1:11">
      <c r="A112" s="4" t="s">
        <v>268</v>
      </c>
      <c r="B112" s="5" t="s">
        <v>405</v>
      </c>
      <c r="C112" s="6">
        <f>SUMIF(SupList,Table__192.168.3.138SupList[[#This Row],[SupplierID]],NetAmount)</f>
        <v>4939868</v>
      </c>
      <c r="D112" s="6">
        <f>SUMIF(SupList,Table__192.168.3.138SupList[[#This Row],[SupplierID]],Paid)</f>
        <v>9914</v>
      </c>
      <c r="E112" s="6">
        <f>Table__192.168.3.138SupList[[#This Row],[Net Amount]]-Table__192.168.3.138SupList[[#This Row],[Paid]]</f>
        <v>4929954</v>
      </c>
      <c r="F112" s="6">
        <f>SUMIFS(NetB3,SupList,Table__192.168.3.138SupList[[#This Row],[SupplierID]],DL,"&gt;=1",DL,"&lt;=30")</f>
        <v>0</v>
      </c>
      <c r="G112" s="4">
        <f>SUMIFS(NetB3,SupList,Table__192.168.3.138SupList[[#This Row],[SupplierID]],DL,"&gt;=31",DL,"&lt;=45")</f>
        <v>0</v>
      </c>
      <c r="H112" s="4">
        <f>SUMIFS(NetB3,SupList,Table__192.168.3.138SupList[[#This Row],[SupplierID]],DL,"&gt;=46",DL,"&lt;=60")</f>
        <v>123540</v>
      </c>
      <c r="I112" s="4">
        <f>SUMIFS(NetB3,SupList,Table__192.168.3.138SupList[[#This Row],[SupplierID]],DL,"&gt;=61",DL,"&lt;=90")</f>
        <v>307349</v>
      </c>
      <c r="J112" s="4">
        <f>SUMIFS(NetB3,SupList,Table__192.168.3.138SupList[[#This Row],[SupplierID]],DL,"&gt;=91",DL,"&lt;=120")</f>
        <v>14964</v>
      </c>
      <c r="K112" s="4">
        <f>SUMIFS(NetB3,SupList,Table__192.168.3.138SupList[[#This Row],[SupplierID]],DL,"&gt;120")</f>
        <v>4486211</v>
      </c>
    </row>
    <row r="113" spans="1:11">
      <c r="A113" s="4" t="s">
        <v>298</v>
      </c>
      <c r="B113" s="5" t="s">
        <v>435</v>
      </c>
      <c r="C113" s="6">
        <f>SUMIF(SupList,Table__192.168.3.138SupList[[#This Row],[SupplierID]],NetAmount)</f>
        <v>1108462</v>
      </c>
      <c r="D113" s="6">
        <f>SUMIF(SupList,Table__192.168.3.138SupList[[#This Row],[SupplierID]],Paid)</f>
        <v>0</v>
      </c>
      <c r="E113" s="6">
        <f>Table__192.168.3.138SupList[[#This Row],[Net Amount]]-Table__192.168.3.138SupList[[#This Row],[Paid]]</f>
        <v>1108462</v>
      </c>
      <c r="F113" s="6">
        <f>SUMIFS(NetB3,SupList,Table__192.168.3.138SupList[[#This Row],[SupplierID]],DL,"&gt;=1",DL,"&lt;=30")</f>
        <v>0</v>
      </c>
      <c r="G113" s="4">
        <f>SUMIFS(NetB3,SupList,Table__192.168.3.138SupList[[#This Row],[SupplierID]],DL,"&gt;=31",DL,"&lt;=45")</f>
        <v>390514</v>
      </c>
      <c r="H113" s="4">
        <f>SUMIFS(NetB3,SupList,Table__192.168.3.138SupList[[#This Row],[SupplierID]],DL,"&gt;=46",DL,"&lt;=60")</f>
        <v>0</v>
      </c>
      <c r="I113" s="4">
        <f>SUMIFS(NetB3,SupList,Table__192.168.3.138SupList[[#This Row],[SupplierID]],DL,"&gt;=61",DL,"&lt;=90")</f>
        <v>717948</v>
      </c>
      <c r="J113" s="4">
        <f>SUMIFS(NetB3,SupList,Table__192.168.3.138SupList[[#This Row],[SupplierID]],DL,"&gt;=91",DL,"&lt;=120")</f>
        <v>0</v>
      </c>
      <c r="K113" s="4">
        <f>SUMIFS(NetB3,SupList,Table__192.168.3.138SupList[[#This Row],[SupplierID]],DL,"&gt;120")</f>
        <v>0</v>
      </c>
    </row>
    <row r="114" spans="1:11">
      <c r="A114" s="4" t="s">
        <v>251</v>
      </c>
      <c r="B114" s="5" t="s">
        <v>388</v>
      </c>
      <c r="C114" s="6">
        <f>SUMIF(SupList,Table__192.168.3.138SupList[[#This Row],[SupplierID]],NetAmount)</f>
        <v>9738596</v>
      </c>
      <c r="D114" s="6">
        <f>SUMIF(SupList,Table__192.168.3.138SupList[[#This Row],[SupplierID]],Paid)</f>
        <v>1411785</v>
      </c>
      <c r="E114" s="6">
        <f>Table__192.168.3.138SupList[[#This Row],[Net Amount]]-Table__192.168.3.138SupList[[#This Row],[Paid]]</f>
        <v>8326811</v>
      </c>
      <c r="F114" s="6">
        <f>SUMIFS(NetB3,SupList,Table__192.168.3.138SupList[[#This Row],[SupplierID]],DL,"&gt;=1",DL,"&lt;=30")</f>
        <v>1617341</v>
      </c>
      <c r="G114" s="4">
        <f>SUMIFS(NetB3,SupList,Table__192.168.3.138SupList[[#This Row],[SupplierID]],DL,"&gt;=31",DL,"&lt;=45")</f>
        <v>548238</v>
      </c>
      <c r="H114" s="4">
        <f>SUMIFS(NetB3,SupList,Table__192.168.3.138SupList[[#This Row],[SupplierID]],DL,"&gt;=46",DL,"&lt;=60")</f>
        <v>1491644</v>
      </c>
      <c r="I114" s="4">
        <f>SUMIFS(NetB3,SupList,Table__192.168.3.138SupList[[#This Row],[SupplierID]],DL,"&gt;=61",DL,"&lt;=90")</f>
        <v>2539777</v>
      </c>
      <c r="J114" s="4">
        <f>SUMIFS(NetB3,SupList,Table__192.168.3.138SupList[[#This Row],[SupplierID]],DL,"&gt;=91",DL,"&lt;=120")</f>
        <v>1598351</v>
      </c>
      <c r="K114" s="4">
        <f>SUMIFS(NetB3,SupList,Table__192.168.3.138SupList[[#This Row],[SupplierID]],DL,"&gt;120")</f>
        <v>531460</v>
      </c>
    </row>
    <row r="115" spans="1:11">
      <c r="A115" s="4" t="s">
        <v>253</v>
      </c>
      <c r="B115" s="5" t="s">
        <v>390</v>
      </c>
      <c r="C115" s="6">
        <f>SUMIF(SupList,Table__192.168.3.138SupList[[#This Row],[SupplierID]],NetAmount)</f>
        <v>2827700</v>
      </c>
      <c r="D115" s="6">
        <f>SUMIF(SupList,Table__192.168.3.138SupList[[#This Row],[SupplierID]],Paid)</f>
        <v>0</v>
      </c>
      <c r="E115" s="6">
        <f>Table__192.168.3.138SupList[[#This Row],[Net Amount]]-Table__192.168.3.138SupList[[#This Row],[Paid]]</f>
        <v>2827700</v>
      </c>
      <c r="F115" s="6">
        <f>SUMIFS(NetB3,SupList,Table__192.168.3.138SupList[[#This Row],[SupplierID]],DL,"&gt;=1",DL,"&lt;=30")</f>
        <v>910794</v>
      </c>
      <c r="G115" s="4">
        <f>SUMIFS(NetB3,SupList,Table__192.168.3.138SupList[[#This Row],[SupplierID]],DL,"&gt;=31",DL,"&lt;=45")</f>
        <v>467470</v>
      </c>
      <c r="H115" s="4">
        <f>SUMIFS(NetB3,SupList,Table__192.168.3.138SupList[[#This Row],[SupplierID]],DL,"&gt;=46",DL,"&lt;=60")</f>
        <v>680215</v>
      </c>
      <c r="I115" s="4">
        <f>SUMIFS(NetB3,SupList,Table__192.168.3.138SupList[[#This Row],[SupplierID]],DL,"&gt;=61",DL,"&lt;=90")</f>
        <v>624209</v>
      </c>
      <c r="J115" s="4">
        <f>SUMIFS(NetB3,SupList,Table__192.168.3.138SupList[[#This Row],[SupplierID]],DL,"&gt;=91",DL,"&lt;=120")</f>
        <v>155141</v>
      </c>
      <c r="K115" s="4">
        <f>SUMIFS(NetB3,SupList,Table__192.168.3.138SupList[[#This Row],[SupplierID]],DL,"&gt;120")</f>
        <v>-10129</v>
      </c>
    </row>
    <row r="116" spans="1:11">
      <c r="A116" s="4" t="s">
        <v>176</v>
      </c>
      <c r="B116" s="5" t="s">
        <v>313</v>
      </c>
      <c r="C116" s="6">
        <f>SUMIF(SupList,Table__192.168.3.138SupList[[#This Row],[SupplierID]],NetAmount)</f>
        <v>97022</v>
      </c>
      <c r="D116" s="6">
        <f>SUMIF(SupList,Table__192.168.3.138SupList[[#This Row],[SupplierID]],Paid)</f>
        <v>0</v>
      </c>
      <c r="E116" s="6">
        <f>Table__192.168.3.138SupList[[#This Row],[Net Amount]]-Table__192.168.3.138SupList[[#This Row],[Paid]]</f>
        <v>97022</v>
      </c>
      <c r="F116" s="6">
        <f>SUMIFS(NetB3,SupList,Table__192.168.3.138SupList[[#This Row],[SupplierID]],DL,"&gt;=1",DL,"&lt;=30")</f>
        <v>0</v>
      </c>
      <c r="G116" s="4">
        <f>SUMIFS(NetB3,SupList,Table__192.168.3.138SupList[[#This Row],[SupplierID]],DL,"&gt;=31",DL,"&lt;=45")</f>
        <v>0</v>
      </c>
      <c r="H116" s="4">
        <f>SUMIFS(NetB3,SupList,Table__192.168.3.138SupList[[#This Row],[SupplierID]],DL,"&gt;=46",DL,"&lt;=60")</f>
        <v>0</v>
      </c>
      <c r="I116" s="4">
        <f>SUMIFS(NetB3,SupList,Table__192.168.3.138SupList[[#This Row],[SupplierID]],DL,"&gt;=61",DL,"&lt;=90")</f>
        <v>0</v>
      </c>
      <c r="J116" s="4">
        <f>SUMIFS(NetB3,SupList,Table__192.168.3.138SupList[[#This Row],[SupplierID]],DL,"&gt;=91",DL,"&lt;=120")</f>
        <v>0</v>
      </c>
      <c r="K116" s="4">
        <f>SUMIFS(NetB3,SupList,Table__192.168.3.138SupList[[#This Row],[SupplierID]],DL,"&gt;120")</f>
        <v>97022</v>
      </c>
    </row>
    <row r="117" spans="1:11">
      <c r="A117" s="4" t="s">
        <v>227</v>
      </c>
      <c r="B117" s="5" t="s">
        <v>364</v>
      </c>
      <c r="C117" s="6">
        <f>SUMIF(SupList,Table__192.168.3.138SupList[[#This Row],[SupplierID]],NetAmount)</f>
        <v>33408559</v>
      </c>
      <c r="D117" s="6">
        <f>SUMIF(SupList,Table__192.168.3.138SupList[[#This Row],[SupplierID]],Paid)</f>
        <v>2600833</v>
      </c>
      <c r="E117" s="6">
        <f>Table__192.168.3.138SupList[[#This Row],[Net Amount]]-Table__192.168.3.138SupList[[#This Row],[Paid]]</f>
        <v>30807726</v>
      </c>
      <c r="F117" s="6">
        <f>SUMIFS(NetB3,SupList,Table__192.168.3.138SupList[[#This Row],[SupplierID]],DL,"&gt;=1",DL,"&lt;=30")</f>
        <v>3180720</v>
      </c>
      <c r="G117" s="4">
        <f>SUMIFS(NetB3,SupList,Table__192.168.3.138SupList[[#This Row],[SupplierID]],DL,"&gt;=31",DL,"&lt;=45")</f>
        <v>1348848</v>
      </c>
      <c r="H117" s="4">
        <f>SUMIFS(NetB3,SupList,Table__192.168.3.138SupList[[#This Row],[SupplierID]],DL,"&gt;=46",DL,"&lt;=60")</f>
        <v>885660</v>
      </c>
      <c r="I117" s="4">
        <f>SUMIFS(NetB3,SupList,Table__192.168.3.138SupList[[#This Row],[SupplierID]],DL,"&gt;=61",DL,"&lt;=90")</f>
        <v>3852768</v>
      </c>
      <c r="J117" s="4">
        <f>SUMIFS(NetB3,SupList,Table__192.168.3.138SupList[[#This Row],[SupplierID]],DL,"&gt;=91",DL,"&lt;=120")</f>
        <v>3787980</v>
      </c>
      <c r="K117" s="4">
        <f>SUMIFS(NetB3,SupList,Table__192.168.3.138SupList[[#This Row],[SupplierID]],DL,"&gt;120")</f>
        <v>17751750</v>
      </c>
    </row>
    <row r="118" spans="1:11">
      <c r="A118" s="4" t="s">
        <v>214</v>
      </c>
      <c r="B118" s="5" t="s">
        <v>351</v>
      </c>
      <c r="C118" s="6">
        <f>SUMIF(SupList,Table__192.168.3.138SupList[[#This Row],[SupplierID]],NetAmount)</f>
        <v>2099998</v>
      </c>
      <c r="D118" s="6">
        <f>SUMIF(SupList,Table__192.168.3.138SupList[[#This Row],[SupplierID]],Paid)</f>
        <v>0</v>
      </c>
      <c r="E118" s="6">
        <f>Table__192.168.3.138SupList[[#This Row],[Net Amount]]-Table__192.168.3.138SupList[[#This Row],[Paid]]</f>
        <v>2099998</v>
      </c>
      <c r="F118" s="6">
        <f>SUMIFS(NetB3,SupList,Table__192.168.3.138SupList[[#This Row],[SupplierID]],DL,"&gt;=1",DL,"&lt;=30")</f>
        <v>3750</v>
      </c>
      <c r="G118" s="4">
        <f>SUMIFS(NetB3,SupList,Table__192.168.3.138SupList[[#This Row],[SupplierID]],DL,"&gt;=31",DL,"&lt;=45")</f>
        <v>283456</v>
      </c>
      <c r="H118" s="4">
        <f>SUMIFS(NetB3,SupList,Table__192.168.3.138SupList[[#This Row],[SupplierID]],DL,"&gt;=46",DL,"&lt;=60")</f>
        <v>85500</v>
      </c>
      <c r="I118" s="4">
        <f>SUMIFS(NetB3,SupList,Table__192.168.3.138SupList[[#This Row],[SupplierID]],DL,"&gt;=61",DL,"&lt;=90")</f>
        <v>0</v>
      </c>
      <c r="J118" s="4">
        <f>SUMIFS(NetB3,SupList,Table__192.168.3.138SupList[[#This Row],[SupplierID]],DL,"&gt;=91",DL,"&lt;=120")</f>
        <v>135000</v>
      </c>
      <c r="K118" s="4">
        <f>SUMIFS(NetB3,SupList,Table__192.168.3.138SupList[[#This Row],[SupplierID]],DL,"&gt;120")</f>
        <v>1592292</v>
      </c>
    </row>
    <row r="119" spans="1:11">
      <c r="A119" s="4" t="s">
        <v>248</v>
      </c>
      <c r="B119" s="5" t="s">
        <v>385</v>
      </c>
      <c r="C119" s="6">
        <f>SUMIF(SupList,Table__192.168.3.138SupList[[#This Row],[SupplierID]],NetAmount)</f>
        <v>4565152</v>
      </c>
      <c r="D119" s="6">
        <f>SUMIF(SupList,Table__192.168.3.138SupList[[#This Row],[SupplierID]],Paid)</f>
        <v>4255531</v>
      </c>
      <c r="E119" s="6">
        <f>Table__192.168.3.138SupList[[#This Row],[Net Amount]]-Table__192.168.3.138SupList[[#This Row],[Paid]]</f>
        <v>309621</v>
      </c>
      <c r="F119" s="6">
        <f>SUMIFS(NetB3,SupList,Table__192.168.3.138SupList[[#This Row],[SupplierID]],DL,"&gt;=1",DL,"&lt;=30")</f>
        <v>306820</v>
      </c>
      <c r="G119" s="4">
        <f>SUMIFS(NetB3,SupList,Table__192.168.3.138SupList[[#This Row],[SupplierID]],DL,"&gt;=31",DL,"&lt;=45")</f>
        <v>0</v>
      </c>
      <c r="H119" s="4">
        <f>SUMIFS(NetB3,SupList,Table__192.168.3.138SupList[[#This Row],[SupplierID]],DL,"&gt;=46",DL,"&lt;=60")</f>
        <v>0</v>
      </c>
      <c r="I119" s="4">
        <f>SUMIFS(NetB3,SupList,Table__192.168.3.138SupList[[#This Row],[SupplierID]],DL,"&gt;=61",DL,"&lt;=90")</f>
        <v>0</v>
      </c>
      <c r="J119" s="4">
        <f>SUMIFS(NetB3,SupList,Table__192.168.3.138SupList[[#This Row],[SupplierID]],DL,"&gt;=91",DL,"&lt;=120")</f>
        <v>0</v>
      </c>
      <c r="K119" s="4">
        <f>SUMIFS(NetB3,SupList,Table__192.168.3.138SupList[[#This Row],[SupplierID]],DL,"&gt;120")</f>
        <v>2801</v>
      </c>
    </row>
    <row r="120" spans="1:11">
      <c r="A120" s="4" t="s">
        <v>234</v>
      </c>
      <c r="B120" s="5" t="s">
        <v>371</v>
      </c>
      <c r="C120" s="6">
        <f>SUMIF(SupList,Table__192.168.3.138SupList[[#This Row],[SupplierID]],NetAmount)</f>
        <v>3248230</v>
      </c>
      <c r="D120" s="6">
        <f>SUMIF(SupList,Table__192.168.3.138SupList[[#This Row],[SupplierID]],Paid)</f>
        <v>115842</v>
      </c>
      <c r="E120" s="6">
        <f>Table__192.168.3.138SupList[[#This Row],[Net Amount]]-Table__192.168.3.138SupList[[#This Row],[Paid]]</f>
        <v>3132388</v>
      </c>
      <c r="F120" s="6">
        <f>SUMIFS(NetB3,SupList,Table__192.168.3.138SupList[[#This Row],[SupplierID]],DL,"&gt;=1",DL,"&lt;=30")</f>
        <v>806261</v>
      </c>
      <c r="G120" s="4">
        <f>SUMIFS(NetB3,SupList,Table__192.168.3.138SupList[[#This Row],[SupplierID]],DL,"&gt;=31",DL,"&lt;=45")</f>
        <v>817702</v>
      </c>
      <c r="H120" s="4">
        <f>SUMIFS(NetB3,SupList,Table__192.168.3.138SupList[[#This Row],[SupplierID]],DL,"&gt;=46",DL,"&lt;=60")</f>
        <v>747629</v>
      </c>
      <c r="I120" s="4">
        <f>SUMIFS(NetB3,SupList,Table__192.168.3.138SupList[[#This Row],[SupplierID]],DL,"&gt;=61",DL,"&lt;=90")</f>
        <v>388990</v>
      </c>
      <c r="J120" s="4">
        <f>SUMIFS(NetB3,SupList,Table__192.168.3.138SupList[[#This Row],[SupplierID]],DL,"&gt;=91",DL,"&lt;=120")</f>
        <v>0</v>
      </c>
      <c r="K120" s="4">
        <f>SUMIFS(NetB3,SupList,Table__192.168.3.138SupList[[#This Row],[SupplierID]],DL,"&gt;120")</f>
        <v>36677</v>
      </c>
    </row>
    <row r="121" spans="1:11">
      <c r="A121" s="4" t="s">
        <v>239</v>
      </c>
      <c r="B121" s="5" t="s">
        <v>376</v>
      </c>
      <c r="C121" s="6">
        <f>SUMIF(SupList,Table__192.168.3.138SupList[[#This Row],[SupplierID]],NetAmount)</f>
        <v>14276033.039999999</v>
      </c>
      <c r="D121" s="6">
        <f>SUMIF(SupList,Table__192.168.3.138SupList[[#This Row],[SupplierID]],Paid)</f>
        <v>2867346</v>
      </c>
      <c r="E121" s="6">
        <f>Table__192.168.3.138SupList[[#This Row],[Net Amount]]-Table__192.168.3.138SupList[[#This Row],[Paid]]</f>
        <v>11408687.039999999</v>
      </c>
      <c r="F121" s="6">
        <f>SUMIFS(NetB3,SupList,Table__192.168.3.138SupList[[#This Row],[SupplierID]],DL,"&gt;=1",DL,"&lt;=30")</f>
        <v>3002104</v>
      </c>
      <c r="G121" s="4">
        <f>SUMIFS(NetB3,SupList,Table__192.168.3.138SupList[[#This Row],[SupplierID]],DL,"&gt;=31",DL,"&lt;=45")</f>
        <v>0</v>
      </c>
      <c r="H121" s="4">
        <f>SUMIFS(NetB3,SupList,Table__192.168.3.138SupList[[#This Row],[SupplierID]],DL,"&gt;=46",DL,"&lt;=60")</f>
        <v>1538462</v>
      </c>
      <c r="I121" s="4">
        <f>SUMIFS(NetB3,SupList,Table__192.168.3.138SupList[[#This Row],[SupplierID]],DL,"&gt;=61",DL,"&lt;=90")</f>
        <v>1833491</v>
      </c>
      <c r="J121" s="4">
        <f>SUMIFS(NetB3,SupList,Table__192.168.3.138SupList[[#This Row],[SupplierID]],DL,"&gt;=91",DL,"&lt;=120")</f>
        <v>0</v>
      </c>
      <c r="K121" s="4">
        <f>SUMIFS(NetB3,SupList,Table__192.168.3.138SupList[[#This Row],[SupplierID]],DL,"&gt;120")</f>
        <v>5034630.04</v>
      </c>
    </row>
    <row r="122" spans="1:11">
      <c r="A122" s="4" t="s">
        <v>264</v>
      </c>
      <c r="B122" s="5" t="s">
        <v>401</v>
      </c>
      <c r="C122" s="6">
        <f>SUMIF(SupList,Table__192.168.3.138SupList[[#This Row],[SupplierID]],NetAmount)</f>
        <v>12265260</v>
      </c>
      <c r="D122" s="6">
        <f>SUMIF(SupList,Table__192.168.3.138SupList[[#This Row],[SupplierID]],Paid)</f>
        <v>748030</v>
      </c>
      <c r="E122" s="6">
        <f>Table__192.168.3.138SupList[[#This Row],[Net Amount]]-Table__192.168.3.138SupList[[#This Row],[Paid]]</f>
        <v>11517230</v>
      </c>
      <c r="F122" s="6">
        <f>SUMIFS(NetB3,SupList,Table__192.168.3.138SupList[[#This Row],[SupplierID]],DL,"&gt;=1",DL,"&lt;=30")</f>
        <v>0</v>
      </c>
      <c r="G122" s="4">
        <f>SUMIFS(NetB3,SupList,Table__192.168.3.138SupList[[#This Row],[SupplierID]],DL,"&gt;=31",DL,"&lt;=45")</f>
        <v>1624000</v>
      </c>
      <c r="H122" s="4">
        <f>SUMIFS(NetB3,SupList,Table__192.168.3.138SupList[[#This Row],[SupplierID]],DL,"&gt;=46",DL,"&lt;=60")</f>
        <v>1624000</v>
      </c>
      <c r="I122" s="4">
        <f>SUMIFS(NetB3,SupList,Table__192.168.3.138SupList[[#This Row],[SupplierID]],DL,"&gt;=61",DL,"&lt;=90")</f>
        <v>4060000</v>
      </c>
      <c r="J122" s="4">
        <f>SUMIFS(NetB3,SupList,Table__192.168.3.138SupList[[#This Row],[SupplierID]],DL,"&gt;=91",DL,"&lt;=120")</f>
        <v>0</v>
      </c>
      <c r="K122" s="4">
        <f>SUMIFS(NetB3,SupList,Table__192.168.3.138SupList[[#This Row],[SupplierID]],DL,"&gt;120")</f>
        <v>4209230</v>
      </c>
    </row>
    <row r="123" spans="1:11">
      <c r="A123" s="4" t="s">
        <v>287</v>
      </c>
      <c r="B123" s="5" t="s">
        <v>424</v>
      </c>
      <c r="C123" s="6">
        <f>SUMIF(SupList,Table__192.168.3.138SupList[[#This Row],[SupplierID]],NetAmount)</f>
        <v>1077147</v>
      </c>
      <c r="D123" s="6">
        <f>SUMIF(SupList,Table__192.168.3.138SupList[[#This Row],[SupplierID]],Paid)</f>
        <v>0</v>
      </c>
      <c r="E123" s="6">
        <f>Table__192.168.3.138SupList[[#This Row],[Net Amount]]-Table__192.168.3.138SupList[[#This Row],[Paid]]</f>
        <v>1077147</v>
      </c>
      <c r="F123" s="6">
        <f>SUMIFS(NetB3,SupList,Table__192.168.3.138SupList[[#This Row],[SupplierID]],DL,"&gt;=1",DL,"&lt;=30")</f>
        <v>90480</v>
      </c>
      <c r="G123" s="4">
        <f>SUMIFS(NetB3,SupList,Table__192.168.3.138SupList[[#This Row],[SupplierID]],DL,"&gt;=31",DL,"&lt;=45")</f>
        <v>352529</v>
      </c>
      <c r="H123" s="4">
        <f>SUMIFS(NetB3,SupList,Table__192.168.3.138SupList[[#This Row],[SupplierID]],DL,"&gt;=46",DL,"&lt;=60")</f>
        <v>489588</v>
      </c>
      <c r="I123" s="4">
        <f>SUMIFS(NetB3,SupList,Table__192.168.3.138SupList[[#This Row],[SupplierID]],DL,"&gt;=61",DL,"&lt;=90")</f>
        <v>144550</v>
      </c>
      <c r="J123" s="4">
        <f>SUMIFS(NetB3,SupList,Table__192.168.3.138SupList[[#This Row],[SupplierID]],DL,"&gt;=91",DL,"&lt;=120")</f>
        <v>0</v>
      </c>
      <c r="K123" s="4">
        <f>SUMIFS(NetB3,SupList,Table__192.168.3.138SupList[[#This Row],[SupplierID]],DL,"&gt;120")</f>
        <v>0</v>
      </c>
    </row>
    <row r="124" spans="1:11">
      <c r="A124" s="4" t="s">
        <v>209</v>
      </c>
      <c r="B124" s="5" t="s">
        <v>346</v>
      </c>
      <c r="C124" s="6">
        <f>SUMIF(SupList,Table__192.168.3.138SupList[[#This Row],[SupplierID]],NetAmount)</f>
        <v>38720</v>
      </c>
      <c r="D124" s="6">
        <f>SUMIF(SupList,Table__192.168.3.138SupList[[#This Row],[SupplierID]],Paid)</f>
        <v>0</v>
      </c>
      <c r="E124" s="6">
        <f>Table__192.168.3.138SupList[[#This Row],[Net Amount]]-Table__192.168.3.138SupList[[#This Row],[Paid]]</f>
        <v>38720</v>
      </c>
      <c r="F124" s="6">
        <f>SUMIFS(NetB3,SupList,Table__192.168.3.138SupList[[#This Row],[SupplierID]],DL,"&gt;=1",DL,"&lt;=30")</f>
        <v>37928</v>
      </c>
      <c r="G124" s="4">
        <f>SUMIFS(NetB3,SupList,Table__192.168.3.138SupList[[#This Row],[SupplierID]],DL,"&gt;=31",DL,"&lt;=45")</f>
        <v>0</v>
      </c>
      <c r="H124" s="4">
        <f>SUMIFS(NetB3,SupList,Table__192.168.3.138SupList[[#This Row],[SupplierID]],DL,"&gt;=46",DL,"&lt;=60")</f>
        <v>792</v>
      </c>
      <c r="I124" s="4">
        <f>SUMIFS(NetB3,SupList,Table__192.168.3.138SupList[[#This Row],[SupplierID]],DL,"&gt;=61",DL,"&lt;=90")</f>
        <v>0</v>
      </c>
      <c r="J124" s="4">
        <f>SUMIFS(NetB3,SupList,Table__192.168.3.138SupList[[#This Row],[SupplierID]],DL,"&gt;=91",DL,"&lt;=120")</f>
        <v>0</v>
      </c>
      <c r="K124" s="4">
        <f>SUMIFS(NetB3,SupList,Table__192.168.3.138SupList[[#This Row],[SupplierID]],DL,"&gt;120")</f>
        <v>0</v>
      </c>
    </row>
    <row r="125" spans="1:11">
      <c r="A125" s="4" t="s">
        <v>280</v>
      </c>
      <c r="B125" s="5" t="s">
        <v>417</v>
      </c>
      <c r="C125" s="6">
        <f>SUMIF(SupList,Table__192.168.3.138SupList[[#This Row],[SupplierID]],NetAmount)</f>
        <v>58865</v>
      </c>
      <c r="D125" s="6">
        <f>SUMIF(SupList,Table__192.168.3.138SupList[[#This Row],[SupplierID]],Paid)</f>
        <v>0</v>
      </c>
      <c r="E125" s="6">
        <f>Table__192.168.3.138SupList[[#This Row],[Net Amount]]-Table__192.168.3.138SupList[[#This Row],[Paid]]</f>
        <v>58865</v>
      </c>
      <c r="F125" s="6">
        <f>SUMIFS(NetB3,SupList,Table__192.168.3.138SupList[[#This Row],[SupplierID]],DL,"&gt;=1",DL,"&lt;=30")</f>
        <v>0</v>
      </c>
      <c r="G125" s="4">
        <f>SUMIFS(NetB3,SupList,Table__192.168.3.138SupList[[#This Row],[SupplierID]],DL,"&gt;=31",DL,"&lt;=45")</f>
        <v>25315</v>
      </c>
      <c r="H125" s="4">
        <f>SUMIFS(NetB3,SupList,Table__192.168.3.138SupList[[#This Row],[SupplierID]],DL,"&gt;=46",DL,"&lt;=60")</f>
        <v>6100</v>
      </c>
      <c r="I125" s="4">
        <f>SUMIFS(NetB3,SupList,Table__192.168.3.138SupList[[#This Row],[SupplierID]],DL,"&gt;=61",DL,"&lt;=90")</f>
        <v>27450</v>
      </c>
      <c r="J125" s="4">
        <f>SUMIFS(NetB3,SupList,Table__192.168.3.138SupList[[#This Row],[SupplierID]],DL,"&gt;=91",DL,"&lt;=120")</f>
        <v>0</v>
      </c>
      <c r="K125" s="4">
        <f>SUMIFS(NetB3,SupList,Table__192.168.3.138SupList[[#This Row],[SupplierID]],DL,"&gt;120")</f>
        <v>0</v>
      </c>
    </row>
    <row r="126" spans="1:11">
      <c r="A126" s="4" t="s">
        <v>284</v>
      </c>
      <c r="B126" s="5" t="s">
        <v>421</v>
      </c>
      <c r="C126" s="6">
        <f>SUMIF(SupList,Table__192.168.3.138SupList[[#This Row],[SupplierID]],NetAmount)</f>
        <v>321464</v>
      </c>
      <c r="D126" s="6">
        <f>SUMIF(SupList,Table__192.168.3.138SupList[[#This Row],[SupplierID]],Paid)</f>
        <v>0</v>
      </c>
      <c r="E126" s="6">
        <f>Table__192.168.3.138SupList[[#This Row],[Net Amount]]-Table__192.168.3.138SupList[[#This Row],[Paid]]</f>
        <v>321464</v>
      </c>
      <c r="F126" s="6">
        <f>SUMIFS(NetB3,SupList,Table__192.168.3.138SupList[[#This Row],[SupplierID]],DL,"&gt;=1",DL,"&lt;=30")</f>
        <v>210750</v>
      </c>
      <c r="G126" s="4">
        <f>SUMIFS(NetB3,SupList,Table__192.168.3.138SupList[[#This Row],[SupplierID]],DL,"&gt;=31",DL,"&lt;=45")</f>
        <v>0</v>
      </c>
      <c r="H126" s="4">
        <f>SUMIFS(NetB3,SupList,Table__192.168.3.138SupList[[#This Row],[SupplierID]],DL,"&gt;=46",DL,"&lt;=60")</f>
        <v>54514</v>
      </c>
      <c r="I126" s="4">
        <f>SUMIFS(NetB3,SupList,Table__192.168.3.138SupList[[#This Row],[SupplierID]],DL,"&gt;=61",DL,"&lt;=90")</f>
        <v>56200</v>
      </c>
      <c r="J126" s="4">
        <f>SUMIFS(NetB3,SupList,Table__192.168.3.138SupList[[#This Row],[SupplierID]],DL,"&gt;=91",DL,"&lt;=120")</f>
        <v>0</v>
      </c>
      <c r="K126" s="4">
        <f>SUMIFS(NetB3,SupList,Table__192.168.3.138SupList[[#This Row],[SupplierID]],DL,"&gt;120")</f>
        <v>0</v>
      </c>
    </row>
    <row r="127" spans="1:11">
      <c r="A127" s="4" t="s">
        <v>225</v>
      </c>
      <c r="B127" s="5" t="s">
        <v>362</v>
      </c>
      <c r="C127" s="6">
        <f>SUMIF(SupList,Table__192.168.3.138SupList[[#This Row],[SupplierID]],NetAmount)</f>
        <v>184948</v>
      </c>
      <c r="D127" s="6">
        <f>SUMIF(SupList,Table__192.168.3.138SupList[[#This Row],[SupplierID]],Paid)</f>
        <v>0</v>
      </c>
      <c r="E127" s="6">
        <f>Table__192.168.3.138SupList[[#This Row],[Net Amount]]-Table__192.168.3.138SupList[[#This Row],[Paid]]</f>
        <v>184948</v>
      </c>
      <c r="F127" s="6">
        <f>SUMIFS(NetB3,SupList,Table__192.168.3.138SupList[[#This Row],[SupplierID]],DL,"&gt;=1",DL,"&lt;=30")</f>
        <v>26896</v>
      </c>
      <c r="G127" s="4">
        <f>SUMIFS(NetB3,SupList,Table__192.168.3.138SupList[[#This Row],[SupplierID]],DL,"&gt;=31",DL,"&lt;=45")</f>
        <v>28208</v>
      </c>
      <c r="H127" s="4">
        <f>SUMIFS(NetB3,SupList,Table__192.168.3.138SupList[[#This Row],[SupplierID]],DL,"&gt;=46",DL,"&lt;=60")</f>
        <v>0</v>
      </c>
      <c r="I127" s="4">
        <f>SUMIFS(NetB3,SupList,Table__192.168.3.138SupList[[#This Row],[SupplierID]],DL,"&gt;=61",DL,"&lt;=90")</f>
        <v>32800</v>
      </c>
      <c r="J127" s="4">
        <f>SUMIFS(NetB3,SupList,Table__192.168.3.138SupList[[#This Row],[SupplierID]],DL,"&gt;=91",DL,"&lt;=120")</f>
        <v>53136</v>
      </c>
      <c r="K127" s="4">
        <f>SUMIFS(NetB3,SupList,Table__192.168.3.138SupList[[#This Row],[SupplierID]],DL,"&gt;120")</f>
        <v>43908</v>
      </c>
    </row>
    <row r="128" spans="1:11">
      <c r="A128" s="4" t="s">
        <v>189</v>
      </c>
      <c r="B128" s="5" t="s">
        <v>326</v>
      </c>
      <c r="C128" s="6">
        <f>SUMIF(SupList,Table__192.168.3.138SupList[[#This Row],[SupplierID]],NetAmount)</f>
        <v>169412</v>
      </c>
      <c r="D128" s="6">
        <f>SUMIF(SupList,Table__192.168.3.138SupList[[#This Row],[SupplierID]],Paid)</f>
        <v>0</v>
      </c>
      <c r="E128" s="6">
        <f>Table__192.168.3.138SupList[[#This Row],[Net Amount]]-Table__192.168.3.138SupList[[#This Row],[Paid]]</f>
        <v>169412</v>
      </c>
      <c r="F128" s="6">
        <f>SUMIFS(NetB3,SupList,Table__192.168.3.138SupList[[#This Row],[SupplierID]],DL,"&gt;=1",DL,"&lt;=30")</f>
        <v>0</v>
      </c>
      <c r="G128" s="4">
        <f>SUMIFS(NetB3,SupList,Table__192.168.3.138SupList[[#This Row],[SupplierID]],DL,"&gt;=31",DL,"&lt;=45")</f>
        <v>0</v>
      </c>
      <c r="H128" s="4">
        <f>SUMIFS(NetB3,SupList,Table__192.168.3.138SupList[[#This Row],[SupplierID]],DL,"&gt;=46",DL,"&lt;=60")</f>
        <v>0</v>
      </c>
      <c r="I128" s="4">
        <f>SUMIFS(NetB3,SupList,Table__192.168.3.138SupList[[#This Row],[SupplierID]],DL,"&gt;=61",DL,"&lt;=90")</f>
        <v>0</v>
      </c>
      <c r="J128" s="4">
        <f>SUMIFS(NetB3,SupList,Table__192.168.3.138SupList[[#This Row],[SupplierID]],DL,"&gt;=91",DL,"&lt;=120")</f>
        <v>0</v>
      </c>
      <c r="K128" s="4">
        <f>SUMIFS(NetB3,SupList,Table__192.168.3.138SupList[[#This Row],[SupplierID]],DL,"&gt;120")</f>
        <v>169412</v>
      </c>
    </row>
    <row r="129" spans="1:11">
      <c r="A129" s="4" t="s">
        <v>181</v>
      </c>
      <c r="B129" s="5" t="s">
        <v>318</v>
      </c>
      <c r="C129" s="6">
        <f>SUMIF(SupList,Table__192.168.3.138SupList[[#This Row],[SupplierID]],NetAmount)</f>
        <v>1763974</v>
      </c>
      <c r="D129" s="6">
        <f>SUMIF(SupList,Table__192.168.3.138SupList[[#This Row],[SupplierID]],Paid)</f>
        <v>0</v>
      </c>
      <c r="E129" s="6">
        <f>Table__192.168.3.138SupList[[#This Row],[Net Amount]]-Table__192.168.3.138SupList[[#This Row],[Paid]]</f>
        <v>1763974</v>
      </c>
      <c r="F129" s="6">
        <f>SUMIFS(NetB3,SupList,Table__192.168.3.138SupList[[#This Row],[SupplierID]],DL,"&gt;=1",DL,"&lt;=30")</f>
        <v>532858</v>
      </c>
      <c r="G129" s="4">
        <f>SUMIFS(NetB3,SupList,Table__192.168.3.138SupList[[#This Row],[SupplierID]],DL,"&gt;=31",DL,"&lt;=45")</f>
        <v>484416</v>
      </c>
      <c r="H129" s="4">
        <f>SUMIFS(NetB3,SupList,Table__192.168.3.138SupList[[#This Row],[SupplierID]],DL,"&gt;=46",DL,"&lt;=60")</f>
        <v>169824</v>
      </c>
      <c r="I129" s="4">
        <f>SUMIFS(NetB3,SupList,Table__192.168.3.138SupList[[#This Row],[SupplierID]],DL,"&gt;=61",DL,"&lt;=90")</f>
        <v>508637</v>
      </c>
      <c r="J129" s="4">
        <f>SUMIFS(NetB3,SupList,Table__192.168.3.138SupList[[#This Row],[SupplierID]],DL,"&gt;=91",DL,"&lt;=120")</f>
        <v>72662</v>
      </c>
      <c r="K129" s="4">
        <f>SUMIFS(NetB3,SupList,Table__192.168.3.138SupList[[#This Row],[SupplierID]],DL,"&gt;120")</f>
        <v>-4423</v>
      </c>
    </row>
    <row r="130" spans="1:11">
      <c r="A130" s="4" t="s">
        <v>245</v>
      </c>
      <c r="B130" s="5" t="s">
        <v>382</v>
      </c>
      <c r="C130" s="6">
        <f>SUMIF(SupList,Table__192.168.3.138SupList[[#This Row],[SupplierID]],NetAmount)</f>
        <v>197754</v>
      </c>
      <c r="D130" s="6">
        <f>SUMIF(SupList,Table__192.168.3.138SupList[[#This Row],[SupplierID]],Paid)</f>
        <v>0</v>
      </c>
      <c r="E130" s="6">
        <f>Table__192.168.3.138SupList[[#This Row],[Net Amount]]-Table__192.168.3.138SupList[[#This Row],[Paid]]</f>
        <v>197754</v>
      </c>
      <c r="F130" s="6">
        <f>SUMIFS(NetB3,SupList,Table__192.168.3.138SupList[[#This Row],[SupplierID]],DL,"&gt;=1",DL,"&lt;=30")</f>
        <v>0</v>
      </c>
      <c r="G130" s="4">
        <f>SUMIFS(NetB3,SupList,Table__192.168.3.138SupList[[#This Row],[SupplierID]],DL,"&gt;=31",DL,"&lt;=45")</f>
        <v>0</v>
      </c>
      <c r="H130" s="4">
        <f>SUMIFS(NetB3,SupList,Table__192.168.3.138SupList[[#This Row],[SupplierID]],DL,"&gt;=46",DL,"&lt;=60")</f>
        <v>0</v>
      </c>
      <c r="I130" s="4">
        <f>SUMIFS(NetB3,SupList,Table__192.168.3.138SupList[[#This Row],[SupplierID]],DL,"&gt;=61",DL,"&lt;=90")</f>
        <v>-282</v>
      </c>
      <c r="J130" s="4">
        <f>SUMIFS(NetB3,SupList,Table__192.168.3.138SupList[[#This Row],[SupplierID]],DL,"&gt;=91",DL,"&lt;=120")</f>
        <v>0</v>
      </c>
      <c r="K130" s="4">
        <f>SUMIFS(NetB3,SupList,Table__192.168.3.138SupList[[#This Row],[SupplierID]],DL,"&gt;120")</f>
        <v>198036</v>
      </c>
    </row>
    <row r="131" spans="1:11">
      <c r="A131" s="4" t="s">
        <v>300</v>
      </c>
      <c r="B131" s="5" t="s">
        <v>437</v>
      </c>
      <c r="C131" s="6">
        <f>SUMIF(SupList,Table__192.168.3.138SupList[[#This Row],[SupplierID]],NetAmount)</f>
        <v>564064</v>
      </c>
      <c r="D131" s="6">
        <f>SUMIF(SupList,Table__192.168.3.138SupList[[#This Row],[SupplierID]],Paid)</f>
        <v>0</v>
      </c>
      <c r="E131" s="6">
        <f>Table__192.168.3.138SupList[[#This Row],[Net Amount]]-Table__192.168.3.138SupList[[#This Row],[Paid]]</f>
        <v>564064</v>
      </c>
      <c r="F131" s="6">
        <f>SUMIFS(NetB3,SupList,Table__192.168.3.138SupList[[#This Row],[SupplierID]],DL,"&gt;=1",DL,"&lt;=30")</f>
        <v>288992</v>
      </c>
      <c r="G131" s="4">
        <f>SUMIFS(NetB3,SupList,Table__192.168.3.138SupList[[#This Row],[SupplierID]],DL,"&gt;=31",DL,"&lt;=45")</f>
        <v>275072</v>
      </c>
      <c r="H131" s="4">
        <f>SUMIFS(NetB3,SupList,Table__192.168.3.138SupList[[#This Row],[SupplierID]],DL,"&gt;=46",DL,"&lt;=60")</f>
        <v>0</v>
      </c>
      <c r="I131" s="4">
        <f>SUMIFS(NetB3,SupList,Table__192.168.3.138SupList[[#This Row],[SupplierID]],DL,"&gt;=61",DL,"&lt;=90")</f>
        <v>0</v>
      </c>
      <c r="J131" s="4">
        <f>SUMIFS(NetB3,SupList,Table__192.168.3.138SupList[[#This Row],[SupplierID]],DL,"&gt;=91",DL,"&lt;=120")</f>
        <v>0</v>
      </c>
      <c r="K131" s="4">
        <f>SUMIFS(NetB3,SupList,Table__192.168.3.138SupList[[#This Row],[SupplierID]],DL,"&gt;120")</f>
        <v>0</v>
      </c>
    </row>
    <row r="132" spans="1:11">
      <c r="A132" s="4" t="s">
        <v>286</v>
      </c>
      <c r="B132" s="5" t="s">
        <v>423</v>
      </c>
      <c r="C132" s="6">
        <f>SUMIF(SupList,Table__192.168.3.138SupList[[#This Row],[SupplierID]],NetAmount)</f>
        <v>824081</v>
      </c>
      <c r="D132" s="6">
        <f>SUMIF(SupList,Table__192.168.3.138SupList[[#This Row],[SupplierID]],Paid)</f>
        <v>0</v>
      </c>
      <c r="E132" s="6">
        <f>Table__192.168.3.138SupList[[#This Row],[Net Amount]]-Table__192.168.3.138SupList[[#This Row],[Paid]]</f>
        <v>824081</v>
      </c>
      <c r="F132" s="6">
        <f>SUMIFS(NetB3,SupList,Table__192.168.3.138SupList[[#This Row],[SupplierID]],DL,"&gt;=1",DL,"&lt;=30")</f>
        <v>0</v>
      </c>
      <c r="G132" s="4">
        <f>SUMIFS(NetB3,SupList,Table__192.168.3.138SupList[[#This Row],[SupplierID]],DL,"&gt;=31",DL,"&lt;=45")</f>
        <v>45240</v>
      </c>
      <c r="H132" s="4">
        <f>SUMIFS(NetB3,SupList,Table__192.168.3.138SupList[[#This Row],[SupplierID]],DL,"&gt;=46",DL,"&lt;=60")</f>
        <v>0</v>
      </c>
      <c r="I132" s="4">
        <f>SUMIFS(NetB3,SupList,Table__192.168.3.138SupList[[#This Row],[SupplierID]],DL,"&gt;=61",DL,"&lt;=90")</f>
        <v>44822</v>
      </c>
      <c r="J132" s="4">
        <f>SUMIFS(NetB3,SupList,Table__192.168.3.138SupList[[#This Row],[SupplierID]],DL,"&gt;=91",DL,"&lt;=120")</f>
        <v>122450</v>
      </c>
      <c r="K132" s="4">
        <f>SUMIFS(NetB3,SupList,Table__192.168.3.138SupList[[#This Row],[SupplierID]],DL,"&gt;120")</f>
        <v>611569</v>
      </c>
    </row>
    <row r="133" spans="1:11">
      <c r="A133" s="4" t="s">
        <v>191</v>
      </c>
      <c r="B133" s="5" t="s">
        <v>328</v>
      </c>
      <c r="C133" s="6">
        <f>SUMIF(SupList,Table__192.168.3.138SupList[[#This Row],[SupplierID]],NetAmount)</f>
        <v>1208828</v>
      </c>
      <c r="D133" s="6">
        <f>SUMIF(SupList,Table__192.168.3.138SupList[[#This Row],[SupplierID]],Paid)</f>
        <v>0</v>
      </c>
      <c r="E133" s="6">
        <f>Table__192.168.3.138SupList[[#This Row],[Net Amount]]-Table__192.168.3.138SupList[[#This Row],[Paid]]</f>
        <v>1208828</v>
      </c>
      <c r="F133" s="6">
        <f>SUMIFS(NetB3,SupList,Table__192.168.3.138SupList[[#This Row],[SupplierID]],DL,"&gt;=1",DL,"&lt;=30")</f>
        <v>193952</v>
      </c>
      <c r="G133" s="4">
        <f>SUMIFS(NetB3,SupList,Table__192.168.3.138SupList[[#This Row],[SupplierID]],DL,"&gt;=31",DL,"&lt;=45")</f>
        <v>0</v>
      </c>
      <c r="H133" s="4">
        <f>SUMIFS(NetB3,SupList,Table__192.168.3.138SupList[[#This Row],[SupplierID]],DL,"&gt;=46",DL,"&lt;=60")</f>
        <v>262856</v>
      </c>
      <c r="I133" s="4">
        <f>SUMIFS(NetB3,SupList,Table__192.168.3.138SupList[[#This Row],[SupplierID]],DL,"&gt;=61",DL,"&lt;=90")</f>
        <v>289956</v>
      </c>
      <c r="J133" s="4">
        <f>SUMIFS(NetB3,SupList,Table__192.168.3.138SupList[[#This Row],[SupplierID]],DL,"&gt;=91",DL,"&lt;=120")</f>
        <v>233160</v>
      </c>
      <c r="K133" s="4">
        <f>SUMIFS(NetB3,SupList,Table__192.168.3.138SupList[[#This Row],[SupplierID]],DL,"&gt;120")</f>
        <v>228904</v>
      </c>
    </row>
    <row r="134" spans="1:11">
      <c r="A134" s="4" t="s">
        <v>203</v>
      </c>
      <c r="B134" s="5" t="s">
        <v>340</v>
      </c>
      <c r="C134" s="6">
        <f>SUMIF(SupList,Table__192.168.3.138SupList[[#This Row],[SupplierID]],NetAmount)</f>
        <v>133196</v>
      </c>
      <c r="D134" s="6">
        <f>SUMIF(SupList,Table__192.168.3.138SupList[[#This Row],[SupplierID]],Paid)</f>
        <v>0</v>
      </c>
      <c r="E134" s="6">
        <f>Table__192.168.3.138SupList[[#This Row],[Net Amount]]-Table__192.168.3.138SupList[[#This Row],[Paid]]</f>
        <v>133196</v>
      </c>
      <c r="F134" s="6">
        <f>SUMIFS(NetB3,SupList,Table__192.168.3.138SupList[[#This Row],[SupplierID]],DL,"&gt;=1",DL,"&lt;=30")</f>
        <v>50924</v>
      </c>
      <c r="G134" s="4">
        <f>SUMIFS(NetB3,SupList,Table__192.168.3.138SupList[[#This Row],[SupplierID]],DL,"&gt;=31",DL,"&lt;=45")</f>
        <v>17284</v>
      </c>
      <c r="H134" s="4">
        <f>SUMIFS(NetB3,SupList,Table__192.168.3.138SupList[[#This Row],[SupplierID]],DL,"&gt;=46",DL,"&lt;=60")</f>
        <v>64988</v>
      </c>
      <c r="I134" s="4">
        <f>SUMIFS(NetB3,SupList,Table__192.168.3.138SupList[[#This Row],[SupplierID]],DL,"&gt;=61",DL,"&lt;=90")</f>
        <v>0</v>
      </c>
      <c r="J134" s="4">
        <f>SUMIFS(NetB3,SupList,Table__192.168.3.138SupList[[#This Row],[SupplierID]],DL,"&gt;=91",DL,"&lt;=120")</f>
        <v>0</v>
      </c>
      <c r="K134" s="4">
        <f>SUMIFS(NetB3,SupList,Table__192.168.3.138SupList[[#This Row],[SupplierID]],DL,"&gt;120")</f>
        <v>0</v>
      </c>
    </row>
    <row r="135" spans="1:11">
      <c r="A135" s="4" t="s">
        <v>211</v>
      </c>
      <c r="B135" s="5" t="s">
        <v>348</v>
      </c>
      <c r="C135" s="6">
        <f>SUMIF(SupList,Table__192.168.3.138SupList[[#This Row],[SupplierID]],NetAmount)</f>
        <v>409928</v>
      </c>
      <c r="D135" s="6">
        <f>SUMIF(SupList,Table__192.168.3.138SupList[[#This Row],[SupplierID]],Paid)</f>
        <v>0</v>
      </c>
      <c r="E135" s="6">
        <f>Table__192.168.3.138SupList[[#This Row],[Net Amount]]-Table__192.168.3.138SupList[[#This Row],[Paid]]</f>
        <v>409928</v>
      </c>
      <c r="F135" s="6">
        <f>SUMIFS(NetB3,SupList,Table__192.168.3.138SupList[[#This Row],[SupplierID]],DL,"&gt;=1",DL,"&lt;=30")</f>
        <v>15835</v>
      </c>
      <c r="G135" s="4">
        <f>SUMIFS(NetB3,SupList,Table__192.168.3.138SupList[[#This Row],[SupplierID]],DL,"&gt;=31",DL,"&lt;=45")</f>
        <v>18825</v>
      </c>
      <c r="H135" s="4">
        <f>SUMIFS(NetB3,SupList,Table__192.168.3.138SupList[[#This Row],[SupplierID]],DL,"&gt;=46",DL,"&lt;=60")</f>
        <v>0</v>
      </c>
      <c r="I135" s="4">
        <f>SUMIFS(NetB3,SupList,Table__192.168.3.138SupList[[#This Row],[SupplierID]],DL,"&gt;=61",DL,"&lt;=90")</f>
        <v>15370</v>
      </c>
      <c r="J135" s="4">
        <f>SUMIFS(NetB3,SupList,Table__192.168.3.138SupList[[#This Row],[SupplierID]],DL,"&gt;=91",DL,"&lt;=120")</f>
        <v>0</v>
      </c>
      <c r="K135" s="4">
        <f>SUMIFS(NetB3,SupList,Table__192.168.3.138SupList[[#This Row],[SupplierID]],DL,"&gt;120")</f>
        <v>359898</v>
      </c>
    </row>
    <row r="136" spans="1:11">
      <c r="A136" s="4" t="s">
        <v>195</v>
      </c>
      <c r="B136" s="5" t="s">
        <v>332</v>
      </c>
      <c r="C136" s="6">
        <f>SUMIF(SupList,Table__192.168.3.138SupList[[#This Row],[SupplierID]],NetAmount)</f>
        <v>75279</v>
      </c>
      <c r="D136" s="6">
        <f>SUMIF(SupList,Table__192.168.3.138SupList[[#This Row],[SupplierID]],Paid)</f>
        <v>0</v>
      </c>
      <c r="E136" s="6">
        <f>Table__192.168.3.138SupList[[#This Row],[Net Amount]]-Table__192.168.3.138SupList[[#This Row],[Paid]]</f>
        <v>75279</v>
      </c>
      <c r="F136" s="6">
        <f>SUMIFS(NetB3,SupList,Table__192.168.3.138SupList[[#This Row],[SupplierID]],DL,"&gt;=1",DL,"&lt;=30")</f>
        <v>0</v>
      </c>
      <c r="G136" s="4">
        <f>SUMIFS(NetB3,SupList,Table__192.168.3.138SupList[[#This Row],[SupplierID]],DL,"&gt;=31",DL,"&lt;=45")</f>
        <v>0</v>
      </c>
      <c r="H136" s="4">
        <f>SUMIFS(NetB3,SupList,Table__192.168.3.138SupList[[#This Row],[SupplierID]],DL,"&gt;=46",DL,"&lt;=60")</f>
        <v>0</v>
      </c>
      <c r="I136" s="4">
        <f>SUMIFS(NetB3,SupList,Table__192.168.3.138SupList[[#This Row],[SupplierID]],DL,"&gt;=61",DL,"&lt;=90")</f>
        <v>0</v>
      </c>
      <c r="J136" s="4">
        <f>SUMIFS(NetB3,SupList,Table__192.168.3.138SupList[[#This Row],[SupplierID]],DL,"&gt;=91",DL,"&lt;=120")</f>
        <v>0</v>
      </c>
      <c r="K136" s="4">
        <f>SUMIFS(NetB3,SupList,Table__192.168.3.138SupList[[#This Row],[SupplierID]],DL,"&gt;120")</f>
        <v>75279</v>
      </c>
    </row>
    <row r="137" spans="1:11">
      <c r="A137" s="4" t="s">
        <v>213</v>
      </c>
      <c r="B137" s="5" t="s">
        <v>350</v>
      </c>
      <c r="C137" s="6">
        <f>SUMIF(SupList,Table__192.168.3.138SupList[[#This Row],[SupplierID]],NetAmount)</f>
        <v>-2020</v>
      </c>
      <c r="D137" s="6">
        <f>SUMIF(SupList,Table__192.168.3.138SupList[[#This Row],[SupplierID]],Paid)</f>
        <v>0</v>
      </c>
      <c r="E137" s="6">
        <f>Table__192.168.3.138SupList[[#This Row],[Net Amount]]-Table__192.168.3.138SupList[[#This Row],[Paid]]</f>
        <v>-2020</v>
      </c>
      <c r="F137" s="6">
        <f>SUMIFS(NetB3,SupList,Table__192.168.3.138SupList[[#This Row],[SupplierID]],DL,"&gt;=1",DL,"&lt;=30")</f>
        <v>0</v>
      </c>
      <c r="G137" s="4">
        <f>SUMIFS(NetB3,SupList,Table__192.168.3.138SupList[[#This Row],[SupplierID]],DL,"&gt;=31",DL,"&lt;=45")</f>
        <v>0</v>
      </c>
      <c r="H137" s="4">
        <f>SUMIFS(NetB3,SupList,Table__192.168.3.138SupList[[#This Row],[SupplierID]],DL,"&gt;=46",DL,"&lt;=60")</f>
        <v>0</v>
      </c>
      <c r="I137" s="4">
        <f>SUMIFS(NetB3,SupList,Table__192.168.3.138SupList[[#This Row],[SupplierID]],DL,"&gt;=61",DL,"&lt;=90")</f>
        <v>0</v>
      </c>
      <c r="J137" s="4">
        <f>SUMIFS(NetB3,SupList,Table__192.168.3.138SupList[[#This Row],[SupplierID]],DL,"&gt;=91",DL,"&lt;=120")</f>
        <v>0</v>
      </c>
      <c r="K137" s="4">
        <f>SUMIFS(NetB3,SupList,Table__192.168.3.138SupList[[#This Row],[SupplierID]],DL,"&gt;120")</f>
        <v>-2020</v>
      </c>
    </row>
    <row r="138" spans="1:11">
      <c r="A138" s="4" t="s">
        <v>237</v>
      </c>
      <c r="B138" s="5" t="s">
        <v>374</v>
      </c>
      <c r="C138" s="6">
        <f>SUMIF(SupList,Table__192.168.3.138SupList[[#This Row],[SupplierID]],NetAmount)</f>
        <v>-214</v>
      </c>
      <c r="D138" s="6">
        <f>SUMIF(SupList,Table__192.168.3.138SupList[[#This Row],[SupplierID]],Paid)</f>
        <v>0</v>
      </c>
      <c r="E138" s="6">
        <f>Table__192.168.3.138SupList[[#This Row],[Net Amount]]-Table__192.168.3.138SupList[[#This Row],[Paid]]</f>
        <v>-214</v>
      </c>
      <c r="F138" s="6">
        <f>SUMIFS(NetB3,SupList,Table__192.168.3.138SupList[[#This Row],[SupplierID]],DL,"&gt;=1",DL,"&lt;=30")</f>
        <v>0</v>
      </c>
      <c r="G138" s="4">
        <f>SUMIFS(NetB3,SupList,Table__192.168.3.138SupList[[#This Row],[SupplierID]],DL,"&gt;=31",DL,"&lt;=45")</f>
        <v>0</v>
      </c>
      <c r="H138" s="4">
        <f>SUMIFS(NetB3,SupList,Table__192.168.3.138SupList[[#This Row],[SupplierID]],DL,"&gt;=46",DL,"&lt;=60")</f>
        <v>0</v>
      </c>
      <c r="I138" s="4">
        <f>SUMIFS(NetB3,SupList,Table__192.168.3.138SupList[[#This Row],[SupplierID]],DL,"&gt;=61",DL,"&lt;=90")</f>
        <v>0</v>
      </c>
      <c r="J138" s="4">
        <f>SUMIFS(NetB3,SupList,Table__192.168.3.138SupList[[#This Row],[SupplierID]],DL,"&gt;=91",DL,"&lt;=120")</f>
        <v>0</v>
      </c>
      <c r="K138" s="4">
        <f>SUMIFS(NetB3,SupList,Table__192.168.3.138SupList[[#This Row],[SupplierID]],DL,"&gt;120")</f>
        <v>-214</v>
      </c>
    </row>
    <row r="139" spans="1:11">
      <c r="A139" s="4" t="s">
        <v>282</v>
      </c>
      <c r="B139" s="5" t="s">
        <v>419</v>
      </c>
      <c r="C139" s="6">
        <f>SUMIF(SupList,Table__192.168.3.138SupList[[#This Row],[SupplierID]],NetAmount)</f>
        <v>6920874</v>
      </c>
      <c r="D139" s="6">
        <f>SUMIF(SupList,Table__192.168.3.138SupList[[#This Row],[SupplierID]],Paid)</f>
        <v>218432</v>
      </c>
      <c r="E139" s="6">
        <f>Table__192.168.3.138SupList[[#This Row],[Net Amount]]-Table__192.168.3.138SupList[[#This Row],[Paid]]</f>
        <v>6702442</v>
      </c>
      <c r="F139" s="6">
        <f>SUMIFS(NetB3,SupList,Table__192.168.3.138SupList[[#This Row],[SupplierID]],DL,"&gt;=1",DL,"&lt;=30")</f>
        <v>804298</v>
      </c>
      <c r="G139" s="4">
        <f>SUMIFS(NetB3,SupList,Table__192.168.3.138SupList[[#This Row],[SupplierID]],DL,"&gt;=31",DL,"&lt;=45")</f>
        <v>522000</v>
      </c>
      <c r="H139" s="4">
        <f>SUMIFS(NetB3,SupList,Table__192.168.3.138SupList[[#This Row],[SupplierID]],DL,"&gt;=46",DL,"&lt;=60")</f>
        <v>965700</v>
      </c>
      <c r="I139" s="4">
        <f>SUMIFS(NetB3,SupList,Table__192.168.3.138SupList[[#This Row],[SupplierID]],DL,"&gt;=61",DL,"&lt;=90")</f>
        <v>887400</v>
      </c>
      <c r="J139" s="4">
        <f>SUMIFS(NetB3,SupList,Table__192.168.3.138SupList[[#This Row],[SupplierID]],DL,"&gt;=91",DL,"&lt;=120")</f>
        <v>1306485</v>
      </c>
      <c r="K139" s="4">
        <f>SUMIFS(NetB3,SupList,Table__192.168.3.138SupList[[#This Row],[SupplierID]],DL,"&gt;120")</f>
        <v>2216559</v>
      </c>
    </row>
    <row r="140" spans="1:11">
      <c r="A140" s="4" t="s">
        <v>255</v>
      </c>
      <c r="B140" s="5" t="s">
        <v>392</v>
      </c>
      <c r="C140" s="6">
        <f>SUMIF(SupList,Table__192.168.3.138SupList[[#This Row],[SupplierID]],NetAmount)</f>
        <v>-722</v>
      </c>
      <c r="D140" s="6">
        <f>SUMIF(SupList,Table__192.168.3.138SupList[[#This Row],[SupplierID]],Paid)</f>
        <v>0</v>
      </c>
      <c r="E140" s="6">
        <f>Table__192.168.3.138SupList[[#This Row],[Net Amount]]-Table__192.168.3.138SupList[[#This Row],[Paid]]</f>
        <v>-722</v>
      </c>
      <c r="F140" s="6">
        <f>SUMIFS(NetB3,SupList,Table__192.168.3.138SupList[[#This Row],[SupplierID]],DL,"&gt;=1",DL,"&lt;=30")</f>
        <v>0</v>
      </c>
      <c r="G140" s="4">
        <f>SUMIFS(NetB3,SupList,Table__192.168.3.138SupList[[#This Row],[SupplierID]],DL,"&gt;=31",DL,"&lt;=45")</f>
        <v>0</v>
      </c>
      <c r="H140" s="4">
        <f>SUMIFS(NetB3,SupList,Table__192.168.3.138SupList[[#This Row],[SupplierID]],DL,"&gt;=46",DL,"&lt;=60")</f>
        <v>0</v>
      </c>
      <c r="I140" s="4">
        <f>SUMIFS(NetB3,SupList,Table__192.168.3.138SupList[[#This Row],[SupplierID]],DL,"&gt;=61",DL,"&lt;=90")</f>
        <v>0</v>
      </c>
      <c r="J140" s="4">
        <f>SUMIFS(NetB3,SupList,Table__192.168.3.138SupList[[#This Row],[SupplierID]],DL,"&gt;=91",DL,"&lt;=120")</f>
        <v>0</v>
      </c>
      <c r="K140" s="4">
        <f>SUMIFS(NetB3,SupList,Table__192.168.3.138SupList[[#This Row],[SupplierID]],DL,"&gt;120")</f>
        <v>-722</v>
      </c>
    </row>
    <row r="141" spans="1:11" ht="15">
      <c r="A141" s="7"/>
      <c r="B141" s="8"/>
      <c r="C141" s="9">
        <f>SUBTOTAL(109,[Net Amount])</f>
        <v>408718407.26000005</v>
      </c>
      <c r="D141" s="9">
        <f>SUBTOTAL(109,[Paid])</f>
        <v>64446161</v>
      </c>
      <c r="E141" s="9">
        <f>SUBTOTAL(109,[Net Balance])</f>
        <v>344272246.26000005</v>
      </c>
      <c r="F141" s="9">
        <f>SUBTOTAL(109,[&gt;=1 and &lt;=30])</f>
        <v>40866080</v>
      </c>
      <c r="G141" s="9">
        <f>SUBTOTAL(109,[&gt;=31 and &lt;=45])</f>
        <v>19675493</v>
      </c>
      <c r="H141" s="9">
        <f>SUBTOTAL(109,[&gt;=46 and &lt;=60])</f>
        <v>39342506</v>
      </c>
      <c r="I141" s="9">
        <f>SUBTOTAL(109,[&gt;=61 and &lt;=90])</f>
        <v>67129412.5</v>
      </c>
      <c r="J141" s="9">
        <f>SUBTOTAL(9,J3:J140)</f>
        <v>34549766.719999999</v>
      </c>
      <c r="K141" s="9">
        <f>SUBTOTAL(9,K3:K140)</f>
        <v>142161437.04000002</v>
      </c>
    </row>
  </sheetData>
  <mergeCells count="2">
    <mergeCell ref="F1:K1"/>
    <mergeCell ref="B1:E1"/>
  </mergeCells>
  <hyperlinks>
    <hyperlink ref="A1" location="INDEXP" display="Back"/>
    <hyperlink ref="C1" location="Index" display="Back to Index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1:K50"/>
  <sheetViews>
    <sheetView workbookViewId="0"/>
  </sheetViews>
  <sheetFormatPr defaultRowHeight="12"/>
  <cols>
    <col min="1" max="1" width="12.5703125" style="4" bestFit="1" customWidth="1"/>
    <col min="2" max="2" width="48" style="4" bestFit="1" customWidth="1"/>
    <col min="3" max="3" width="12" style="4" bestFit="1" customWidth="1"/>
    <col min="4" max="4" width="9.140625" style="4"/>
    <col min="5" max="5" width="12" style="4" bestFit="1" customWidth="1"/>
    <col min="6" max="6" width="12.7109375" style="4" bestFit="1" customWidth="1"/>
    <col min="7" max="9" width="13.5703125" style="4" bestFit="1" customWidth="1"/>
    <col min="10" max="10" width="14.42578125" style="4" bestFit="1" customWidth="1"/>
    <col min="11" max="16384" width="9.140625" style="4"/>
  </cols>
  <sheetData>
    <row r="1" spans="1:11" ht="24" thickBot="1">
      <c r="A1" s="13" t="s">
        <v>10761</v>
      </c>
      <c r="B1" s="18" t="s">
        <v>5335</v>
      </c>
      <c r="C1" s="20"/>
      <c r="D1" s="18"/>
      <c r="E1" s="18"/>
      <c r="F1" s="17" t="s">
        <v>6122</v>
      </c>
      <c r="G1" s="17"/>
      <c r="H1" s="17"/>
      <c r="I1" s="17"/>
      <c r="J1" s="17"/>
      <c r="K1" s="17"/>
    </row>
    <row r="2" spans="1:11" ht="12.75" thickTop="1">
      <c r="A2" s="4" t="s">
        <v>3</v>
      </c>
      <c r="B2" s="4" t="s">
        <v>15</v>
      </c>
      <c r="C2" s="3" t="s">
        <v>163</v>
      </c>
      <c r="D2" s="3" t="s">
        <v>31</v>
      </c>
      <c r="E2" s="3" t="s">
        <v>440</v>
      </c>
      <c r="F2" s="3" t="s">
        <v>5328</v>
      </c>
      <c r="G2" s="3" t="s">
        <v>5327</v>
      </c>
      <c r="H2" s="3" t="s">
        <v>5326</v>
      </c>
      <c r="I2" s="3" t="s">
        <v>5330</v>
      </c>
      <c r="J2" s="3" t="s">
        <v>5329</v>
      </c>
      <c r="K2" s="3" t="s">
        <v>164</v>
      </c>
    </row>
    <row r="3" spans="1:11">
      <c r="A3" s="4" t="s">
        <v>5457</v>
      </c>
      <c r="B3" s="4" t="s">
        <v>5458</v>
      </c>
      <c r="C3" s="6">
        <f>SUMIF(SUPListDYLGS,Table__192.168.3.138AgingReportDYLGS[[#This Row],[SupplierID]],NetAmountDYLGS)</f>
        <v>21600</v>
      </c>
      <c r="D3" s="6">
        <f>SUMIF(SUPListDYLGS,Table__192.168.3.138AgingReportDYLGS[[#This Row],[SupplierID]],PaidDYLGS)</f>
        <v>0</v>
      </c>
      <c r="E3" s="6">
        <f>Table__192.168.3.138AgingReportDYLGS[[#This Row],[Net Amount]]-Table__192.168.3.138AgingReportDYLGS[[#This Row],[Paid]]</f>
        <v>21600</v>
      </c>
      <c r="F3" s="6">
        <f>SUMIFS(NetB3DYLGS,SUPListDYLGS,Table__192.168.3.138AgingReportDYLGS[[#This Row],[SupplierID]],DLDYLGS,"&gt;=1",DLDYLGS,"&lt;=30")</f>
        <v>0</v>
      </c>
      <c r="G3" s="6">
        <f>SUMIFS(NetB3DYLGS,SUPListDYLGS,Table__192.168.3.138AgingReportDYLGS[[#This Row],[SupplierID]],DLDYLGS,"&gt;=31",DLDYLGS,"&lt;=45")</f>
        <v>0</v>
      </c>
      <c r="H3" s="6">
        <f>SUMIFS(NetB3DYLGS,SUPListDYLGS,Table__192.168.3.138AgingReportDYLGS[[#This Row],[SupplierID]],DLDYLGS,"&gt;=46",DLDYLGS,"&lt;=60")</f>
        <v>0</v>
      </c>
      <c r="I3" s="6">
        <f>SUMIFS(NetB3DYLGS,SUPListDYLGS,Table__192.168.3.138AgingReportDYLGS[[#This Row],[SupplierID]],DLDYLGS,"&gt;=61",DLDYLGS,"&lt;=90")</f>
        <v>21600</v>
      </c>
      <c r="J3" s="6">
        <f>SUMIFS(NetB3DYLGS,SUPListDYLGS,Table__192.168.3.138AgingReportDYLGS[[#This Row],[SupplierID]],DLDYLGS,"&gt;=91",DLDYLGS,"&lt;=120")</f>
        <v>0</v>
      </c>
      <c r="K3" s="6">
        <f>SUMIFS(NetB3DYLGS,SUPListDYLGS,Table__192.168.3.138AgingReportDYLGS[[#This Row],[SupplierID]],DLDYLGS,"&gt;120")</f>
        <v>0</v>
      </c>
    </row>
    <row r="4" spans="1:11">
      <c r="A4" s="4" t="s">
        <v>5459</v>
      </c>
      <c r="B4" s="4" t="s">
        <v>5460</v>
      </c>
      <c r="C4" s="6">
        <f>SUMIF(SUPListDYLGS,Table__192.168.3.138AgingReportDYLGS[[#This Row],[SupplierID]],NetAmountDYLGS)</f>
        <v>11529</v>
      </c>
      <c r="D4" s="6">
        <f>SUMIF(SUPListDYLGS,Table__192.168.3.138AgingReportDYLGS[[#This Row],[SupplierID]],PaidDYLGS)</f>
        <v>0</v>
      </c>
      <c r="E4" s="6">
        <f>Table__192.168.3.138AgingReportDYLGS[[#This Row],[Net Amount]]-Table__192.168.3.138AgingReportDYLGS[[#This Row],[Paid]]</f>
        <v>11529</v>
      </c>
      <c r="F4" s="6">
        <f>SUMIFS(NetB3DYLGS,SUPListDYLGS,Table__192.168.3.138AgingReportDYLGS[[#This Row],[SupplierID]],DLDYLGS,"&gt;=1",DLDYLGS,"&lt;=30")</f>
        <v>9779</v>
      </c>
      <c r="G4" s="6">
        <f>SUMIFS(NetB3DYLGS,SUPListDYLGS,Table__192.168.3.138AgingReportDYLGS[[#This Row],[SupplierID]],DLDYLGS,"&gt;=31",DLDYLGS,"&lt;=45")</f>
        <v>0</v>
      </c>
      <c r="H4" s="6">
        <f>SUMIFS(NetB3DYLGS,SUPListDYLGS,Table__192.168.3.138AgingReportDYLGS[[#This Row],[SupplierID]],DLDYLGS,"&gt;=46",DLDYLGS,"&lt;=60")</f>
        <v>0</v>
      </c>
      <c r="I4" s="6">
        <f>SUMIFS(NetB3DYLGS,SUPListDYLGS,Table__192.168.3.138AgingReportDYLGS[[#This Row],[SupplierID]],DLDYLGS,"&gt;=61",DLDYLGS,"&lt;=90")</f>
        <v>1750</v>
      </c>
      <c r="J4" s="6">
        <f>SUMIFS(NetB3DYLGS,SUPListDYLGS,Table__192.168.3.138AgingReportDYLGS[[#This Row],[SupplierID]],DLDYLGS,"&gt;=91",DLDYLGS,"&lt;=120")</f>
        <v>0</v>
      </c>
      <c r="K4" s="6">
        <f>SUMIFS(NetB3DYLGS,SUPListDYLGS,Table__192.168.3.138AgingReportDYLGS[[#This Row],[SupplierID]],DLDYLGS,"&gt;120")</f>
        <v>0</v>
      </c>
    </row>
    <row r="5" spans="1:11">
      <c r="A5" s="4" t="s">
        <v>5461</v>
      </c>
      <c r="B5" s="4" t="s">
        <v>5462</v>
      </c>
      <c r="C5" s="6">
        <f>SUMIF(SUPListDYLGS,Table__192.168.3.138AgingReportDYLGS[[#This Row],[SupplierID]],NetAmountDYLGS)</f>
        <v>4758993</v>
      </c>
      <c r="D5" s="6">
        <f>SUMIF(SUPListDYLGS,Table__192.168.3.138AgingReportDYLGS[[#This Row],[SupplierID]],PaidDYLGS)</f>
        <v>0</v>
      </c>
      <c r="E5" s="6">
        <f>Table__192.168.3.138AgingReportDYLGS[[#This Row],[Net Amount]]-Table__192.168.3.138AgingReportDYLGS[[#This Row],[Paid]]</f>
        <v>4758993</v>
      </c>
      <c r="F5" s="6">
        <f>SUMIFS(NetB3DYLGS,SUPListDYLGS,Table__192.168.3.138AgingReportDYLGS[[#This Row],[SupplierID]],DLDYLGS,"&gt;=1",DLDYLGS,"&lt;=30")</f>
        <v>1585140</v>
      </c>
      <c r="G5" s="6">
        <f>SUMIFS(NetB3DYLGS,SUPListDYLGS,Table__192.168.3.138AgingReportDYLGS[[#This Row],[SupplierID]],DLDYLGS,"&gt;=31",DLDYLGS,"&lt;=45")</f>
        <v>938417</v>
      </c>
      <c r="H5" s="6">
        <f>SUMIFS(NetB3DYLGS,SUPListDYLGS,Table__192.168.3.138AgingReportDYLGS[[#This Row],[SupplierID]],DLDYLGS,"&gt;=46",DLDYLGS,"&lt;=60")</f>
        <v>1001544</v>
      </c>
      <c r="I5" s="6">
        <f>SUMIFS(NetB3DYLGS,SUPListDYLGS,Table__192.168.3.138AgingReportDYLGS[[#This Row],[SupplierID]],DLDYLGS,"&gt;=61",DLDYLGS,"&lt;=90")</f>
        <v>826732</v>
      </c>
      <c r="J5" s="6">
        <f>SUMIFS(NetB3DYLGS,SUPListDYLGS,Table__192.168.3.138AgingReportDYLGS[[#This Row],[SupplierID]],DLDYLGS,"&gt;=91",DLDYLGS,"&lt;=120")</f>
        <v>314360</v>
      </c>
      <c r="K5" s="6">
        <f>SUMIFS(NetB3DYLGS,SUPListDYLGS,Table__192.168.3.138AgingReportDYLGS[[#This Row],[SupplierID]],DLDYLGS,"&gt;120")</f>
        <v>92800</v>
      </c>
    </row>
    <row r="6" spans="1:11">
      <c r="A6" s="4" t="s">
        <v>5463</v>
      </c>
      <c r="B6" s="4" t="s">
        <v>5464</v>
      </c>
      <c r="C6" s="6">
        <f>SUMIF(SUPListDYLGS,Table__192.168.3.138AgingReportDYLGS[[#This Row],[SupplierID]],NetAmountDYLGS)</f>
        <v>160834</v>
      </c>
      <c r="D6" s="6">
        <f>SUMIF(SUPListDYLGS,Table__192.168.3.138AgingReportDYLGS[[#This Row],[SupplierID]],PaidDYLGS)</f>
        <v>0</v>
      </c>
      <c r="E6" s="6">
        <f>Table__192.168.3.138AgingReportDYLGS[[#This Row],[Net Amount]]-Table__192.168.3.138AgingReportDYLGS[[#This Row],[Paid]]</f>
        <v>160834</v>
      </c>
      <c r="F6" s="6">
        <f>SUMIFS(NetB3DYLGS,SUPListDYLGS,Table__192.168.3.138AgingReportDYLGS[[#This Row],[SupplierID]],DLDYLGS,"&gt;=1",DLDYLGS,"&lt;=30")</f>
        <v>0</v>
      </c>
      <c r="G6" s="6">
        <f>SUMIFS(NetB3DYLGS,SUPListDYLGS,Table__192.168.3.138AgingReportDYLGS[[#This Row],[SupplierID]],DLDYLGS,"&gt;=31",DLDYLGS,"&lt;=45")</f>
        <v>65598</v>
      </c>
      <c r="H6" s="6">
        <f>SUMIFS(NetB3DYLGS,SUPListDYLGS,Table__192.168.3.138AgingReportDYLGS[[#This Row],[SupplierID]],DLDYLGS,"&gt;=46",DLDYLGS,"&lt;=60")</f>
        <v>0</v>
      </c>
      <c r="I6" s="6">
        <f>SUMIFS(NetB3DYLGS,SUPListDYLGS,Table__192.168.3.138AgingReportDYLGS[[#This Row],[SupplierID]],DLDYLGS,"&gt;=61",DLDYLGS,"&lt;=90")</f>
        <v>0</v>
      </c>
      <c r="J6" s="6">
        <f>SUMIFS(NetB3DYLGS,SUPListDYLGS,Table__192.168.3.138AgingReportDYLGS[[#This Row],[SupplierID]],DLDYLGS,"&gt;=91",DLDYLGS,"&lt;=120")</f>
        <v>65540</v>
      </c>
      <c r="K6" s="6">
        <f>SUMIFS(NetB3DYLGS,SUPListDYLGS,Table__192.168.3.138AgingReportDYLGS[[#This Row],[SupplierID]],DLDYLGS,"&gt;120")</f>
        <v>29696</v>
      </c>
    </row>
    <row r="7" spans="1:11">
      <c r="A7" s="4" t="s">
        <v>5465</v>
      </c>
      <c r="B7" s="4" t="s">
        <v>5466</v>
      </c>
      <c r="C7" s="6">
        <f>SUMIF(SUPListDYLGS,Table__192.168.3.138AgingReportDYLGS[[#This Row],[SupplierID]],NetAmountDYLGS)</f>
        <v>600</v>
      </c>
      <c r="D7" s="6">
        <f>SUMIF(SUPListDYLGS,Table__192.168.3.138AgingReportDYLGS[[#This Row],[SupplierID]],PaidDYLGS)</f>
        <v>0</v>
      </c>
      <c r="E7" s="6">
        <f>Table__192.168.3.138AgingReportDYLGS[[#This Row],[Net Amount]]-Table__192.168.3.138AgingReportDYLGS[[#This Row],[Paid]]</f>
        <v>600</v>
      </c>
      <c r="F7" s="6">
        <f>SUMIFS(NetB3DYLGS,SUPListDYLGS,Table__192.168.3.138AgingReportDYLGS[[#This Row],[SupplierID]],DLDYLGS,"&gt;=1",DLDYLGS,"&lt;=30")</f>
        <v>600</v>
      </c>
      <c r="G7" s="6">
        <f>SUMIFS(NetB3DYLGS,SUPListDYLGS,Table__192.168.3.138AgingReportDYLGS[[#This Row],[SupplierID]],DLDYLGS,"&gt;=31",DLDYLGS,"&lt;=45")</f>
        <v>0</v>
      </c>
      <c r="H7" s="6">
        <f>SUMIFS(NetB3DYLGS,SUPListDYLGS,Table__192.168.3.138AgingReportDYLGS[[#This Row],[SupplierID]],DLDYLGS,"&gt;=46",DLDYLGS,"&lt;=60")</f>
        <v>0</v>
      </c>
      <c r="I7" s="6">
        <f>SUMIFS(NetB3DYLGS,SUPListDYLGS,Table__192.168.3.138AgingReportDYLGS[[#This Row],[SupplierID]],DLDYLGS,"&gt;=61",DLDYLGS,"&lt;=90")</f>
        <v>0</v>
      </c>
      <c r="J7" s="6">
        <f>SUMIFS(NetB3DYLGS,SUPListDYLGS,Table__192.168.3.138AgingReportDYLGS[[#This Row],[SupplierID]],DLDYLGS,"&gt;=91",DLDYLGS,"&lt;=120")</f>
        <v>0</v>
      </c>
      <c r="K7" s="6">
        <f>SUMIFS(NetB3DYLGS,SUPListDYLGS,Table__192.168.3.138AgingReportDYLGS[[#This Row],[SupplierID]],DLDYLGS,"&gt;120")</f>
        <v>0</v>
      </c>
    </row>
    <row r="8" spans="1:11">
      <c r="A8" s="4" t="s">
        <v>5467</v>
      </c>
      <c r="B8" s="4" t="s">
        <v>5468</v>
      </c>
      <c r="C8" s="6">
        <f>SUMIF(SUPListDYLGS,Table__192.168.3.138AgingReportDYLGS[[#This Row],[SupplierID]],NetAmountDYLGS)</f>
        <v>12058</v>
      </c>
      <c r="D8" s="6">
        <f>SUMIF(SUPListDYLGS,Table__192.168.3.138AgingReportDYLGS[[#This Row],[SupplierID]],PaidDYLGS)</f>
        <v>0</v>
      </c>
      <c r="E8" s="6">
        <f>Table__192.168.3.138AgingReportDYLGS[[#This Row],[Net Amount]]-Table__192.168.3.138AgingReportDYLGS[[#This Row],[Paid]]</f>
        <v>12058</v>
      </c>
      <c r="F8" s="6">
        <f>SUMIFS(NetB3DYLGS,SUPListDYLGS,Table__192.168.3.138AgingReportDYLGS[[#This Row],[SupplierID]],DLDYLGS,"&gt;=1",DLDYLGS,"&lt;=30")</f>
        <v>0</v>
      </c>
      <c r="G8" s="6">
        <f>SUMIFS(NetB3DYLGS,SUPListDYLGS,Table__192.168.3.138AgingReportDYLGS[[#This Row],[SupplierID]],DLDYLGS,"&gt;=31",DLDYLGS,"&lt;=45")</f>
        <v>0</v>
      </c>
      <c r="H8" s="6">
        <f>SUMIFS(NetB3DYLGS,SUPListDYLGS,Table__192.168.3.138AgingReportDYLGS[[#This Row],[SupplierID]],DLDYLGS,"&gt;=46",DLDYLGS,"&lt;=60")</f>
        <v>12058</v>
      </c>
      <c r="I8" s="6">
        <f>SUMIFS(NetB3DYLGS,SUPListDYLGS,Table__192.168.3.138AgingReportDYLGS[[#This Row],[SupplierID]],DLDYLGS,"&gt;=61",DLDYLGS,"&lt;=90")</f>
        <v>0</v>
      </c>
      <c r="J8" s="6">
        <f>SUMIFS(NetB3DYLGS,SUPListDYLGS,Table__192.168.3.138AgingReportDYLGS[[#This Row],[SupplierID]],DLDYLGS,"&gt;=91",DLDYLGS,"&lt;=120")</f>
        <v>0</v>
      </c>
      <c r="K8" s="6">
        <f>SUMIFS(NetB3DYLGS,SUPListDYLGS,Table__192.168.3.138AgingReportDYLGS[[#This Row],[SupplierID]],DLDYLGS,"&gt;120")</f>
        <v>0</v>
      </c>
    </row>
    <row r="9" spans="1:11">
      <c r="A9" s="4" t="s">
        <v>5469</v>
      </c>
      <c r="B9" s="4" t="s">
        <v>5470</v>
      </c>
      <c r="C9" s="6">
        <f>SUMIF(SUPListDYLGS,Table__192.168.3.138AgingReportDYLGS[[#This Row],[SupplierID]],NetAmountDYLGS)</f>
        <v>934148</v>
      </c>
      <c r="D9" s="6">
        <f>SUMIF(SUPListDYLGS,Table__192.168.3.138AgingReportDYLGS[[#This Row],[SupplierID]],PaidDYLGS)</f>
        <v>0</v>
      </c>
      <c r="E9" s="6">
        <f>Table__192.168.3.138AgingReportDYLGS[[#This Row],[Net Amount]]-Table__192.168.3.138AgingReportDYLGS[[#This Row],[Paid]]</f>
        <v>934148</v>
      </c>
      <c r="F9" s="6">
        <f>SUMIFS(NetB3DYLGS,SUPListDYLGS,Table__192.168.3.138AgingReportDYLGS[[#This Row],[SupplierID]],DLDYLGS,"&gt;=1",DLDYLGS,"&lt;=30")</f>
        <v>54520</v>
      </c>
      <c r="G9" s="6">
        <f>SUMIFS(NetB3DYLGS,SUPListDYLGS,Table__192.168.3.138AgingReportDYLGS[[#This Row],[SupplierID]],DLDYLGS,"&gt;=31",DLDYLGS,"&lt;=45")</f>
        <v>0</v>
      </c>
      <c r="H9" s="6">
        <f>SUMIFS(NetB3DYLGS,SUPListDYLGS,Table__192.168.3.138AgingReportDYLGS[[#This Row],[SupplierID]],DLDYLGS,"&gt;=46",DLDYLGS,"&lt;=60")</f>
        <v>244760</v>
      </c>
      <c r="I9" s="6">
        <f>SUMIFS(NetB3DYLGS,SUPListDYLGS,Table__192.168.3.138AgingReportDYLGS[[#This Row],[SupplierID]],DLDYLGS,"&gt;=61",DLDYLGS,"&lt;=90")</f>
        <v>0</v>
      </c>
      <c r="J9" s="6">
        <f>SUMIFS(NetB3DYLGS,SUPListDYLGS,Table__192.168.3.138AgingReportDYLGS[[#This Row],[SupplierID]],DLDYLGS,"&gt;=91",DLDYLGS,"&lt;=120")</f>
        <v>310648</v>
      </c>
      <c r="K9" s="6">
        <f>SUMIFS(NetB3DYLGS,SUPListDYLGS,Table__192.168.3.138AgingReportDYLGS[[#This Row],[SupplierID]],DLDYLGS,"&gt;120")</f>
        <v>324220</v>
      </c>
    </row>
    <row r="10" spans="1:11">
      <c r="A10" s="4" t="s">
        <v>5471</v>
      </c>
      <c r="B10" s="4" t="s">
        <v>5472</v>
      </c>
      <c r="C10" s="6">
        <f>SUMIF(SUPListDYLGS,Table__192.168.3.138AgingReportDYLGS[[#This Row],[SupplierID]],NetAmountDYLGS)</f>
        <v>145686.18</v>
      </c>
      <c r="D10" s="6">
        <f>SUMIF(SUPListDYLGS,Table__192.168.3.138AgingReportDYLGS[[#This Row],[SupplierID]],PaidDYLGS)</f>
        <v>0</v>
      </c>
      <c r="E10" s="6">
        <f>Table__192.168.3.138AgingReportDYLGS[[#This Row],[Net Amount]]-Table__192.168.3.138AgingReportDYLGS[[#This Row],[Paid]]</f>
        <v>145686.18</v>
      </c>
      <c r="F10" s="6">
        <f>SUMIFS(NetB3DYLGS,SUPListDYLGS,Table__192.168.3.138AgingReportDYLGS[[#This Row],[SupplierID]],DLDYLGS,"&gt;=1",DLDYLGS,"&lt;=30")</f>
        <v>0</v>
      </c>
      <c r="G10" s="6">
        <f>SUMIFS(NetB3DYLGS,SUPListDYLGS,Table__192.168.3.138AgingReportDYLGS[[#This Row],[SupplierID]],DLDYLGS,"&gt;=31",DLDYLGS,"&lt;=45")</f>
        <v>0</v>
      </c>
      <c r="H10" s="6">
        <f>SUMIFS(NetB3DYLGS,SUPListDYLGS,Table__192.168.3.138AgingReportDYLGS[[#This Row],[SupplierID]],DLDYLGS,"&gt;=46",DLDYLGS,"&lt;=60")</f>
        <v>0</v>
      </c>
      <c r="I10" s="6">
        <f>SUMIFS(NetB3DYLGS,SUPListDYLGS,Table__192.168.3.138AgingReportDYLGS[[#This Row],[SupplierID]],DLDYLGS,"&gt;=61",DLDYLGS,"&lt;=90")</f>
        <v>0</v>
      </c>
      <c r="J10" s="6">
        <f>SUMIFS(NetB3DYLGS,SUPListDYLGS,Table__192.168.3.138AgingReportDYLGS[[#This Row],[SupplierID]],DLDYLGS,"&gt;=91",DLDYLGS,"&lt;=120")</f>
        <v>0</v>
      </c>
      <c r="K10" s="6">
        <f>SUMIFS(NetB3DYLGS,SUPListDYLGS,Table__192.168.3.138AgingReportDYLGS[[#This Row],[SupplierID]],DLDYLGS,"&gt;120")</f>
        <v>145686.18</v>
      </c>
    </row>
    <row r="11" spans="1:11">
      <c r="A11" s="4" t="s">
        <v>5473</v>
      </c>
      <c r="B11" s="4" t="s">
        <v>5474</v>
      </c>
      <c r="C11" s="6">
        <f>SUMIF(SUPListDYLGS,Table__192.168.3.138AgingReportDYLGS[[#This Row],[SupplierID]],NetAmountDYLGS)</f>
        <v>102544</v>
      </c>
      <c r="D11" s="6">
        <f>SUMIF(SUPListDYLGS,Table__192.168.3.138AgingReportDYLGS[[#This Row],[SupplierID]],PaidDYLGS)</f>
        <v>0</v>
      </c>
      <c r="E11" s="6">
        <f>Table__192.168.3.138AgingReportDYLGS[[#This Row],[Net Amount]]-Table__192.168.3.138AgingReportDYLGS[[#This Row],[Paid]]</f>
        <v>102544</v>
      </c>
      <c r="F11" s="6">
        <f>SUMIFS(NetB3DYLGS,SUPListDYLGS,Table__192.168.3.138AgingReportDYLGS[[#This Row],[SupplierID]],DLDYLGS,"&gt;=1",DLDYLGS,"&lt;=30")</f>
        <v>0</v>
      </c>
      <c r="G11" s="6">
        <f>SUMIFS(NetB3DYLGS,SUPListDYLGS,Table__192.168.3.138AgingReportDYLGS[[#This Row],[SupplierID]],DLDYLGS,"&gt;=31",DLDYLGS,"&lt;=45")</f>
        <v>0</v>
      </c>
      <c r="H11" s="6">
        <f>SUMIFS(NetB3DYLGS,SUPListDYLGS,Table__192.168.3.138AgingReportDYLGS[[#This Row],[SupplierID]],DLDYLGS,"&gt;=46",DLDYLGS,"&lt;=60")</f>
        <v>0</v>
      </c>
      <c r="I11" s="6">
        <f>SUMIFS(NetB3DYLGS,SUPListDYLGS,Table__192.168.3.138AgingReportDYLGS[[#This Row],[SupplierID]],DLDYLGS,"&gt;=61",DLDYLGS,"&lt;=90")</f>
        <v>102544</v>
      </c>
      <c r="J11" s="6">
        <f>SUMIFS(NetB3DYLGS,SUPListDYLGS,Table__192.168.3.138AgingReportDYLGS[[#This Row],[SupplierID]],DLDYLGS,"&gt;=91",DLDYLGS,"&lt;=120")</f>
        <v>0</v>
      </c>
      <c r="K11" s="6">
        <f>SUMIFS(NetB3DYLGS,SUPListDYLGS,Table__192.168.3.138AgingReportDYLGS[[#This Row],[SupplierID]],DLDYLGS,"&gt;120")</f>
        <v>0</v>
      </c>
    </row>
    <row r="12" spans="1:11">
      <c r="A12" s="4" t="s">
        <v>5475</v>
      </c>
      <c r="B12" s="4" t="s">
        <v>5476</v>
      </c>
      <c r="C12" s="6">
        <f>SUMIF(SUPListDYLGS,Table__192.168.3.138AgingReportDYLGS[[#This Row],[SupplierID]],NetAmountDYLGS)</f>
        <v>15405</v>
      </c>
      <c r="D12" s="6">
        <f>SUMIF(SUPListDYLGS,Table__192.168.3.138AgingReportDYLGS[[#This Row],[SupplierID]],PaidDYLGS)</f>
        <v>0</v>
      </c>
      <c r="E12" s="6">
        <f>Table__192.168.3.138AgingReportDYLGS[[#This Row],[Net Amount]]-Table__192.168.3.138AgingReportDYLGS[[#This Row],[Paid]]</f>
        <v>15405</v>
      </c>
      <c r="F12" s="6">
        <f>SUMIFS(NetB3DYLGS,SUPListDYLGS,Table__192.168.3.138AgingReportDYLGS[[#This Row],[SupplierID]],DLDYLGS,"&gt;=1",DLDYLGS,"&lt;=30")</f>
        <v>0</v>
      </c>
      <c r="G12" s="6">
        <f>SUMIFS(NetB3DYLGS,SUPListDYLGS,Table__192.168.3.138AgingReportDYLGS[[#This Row],[SupplierID]],DLDYLGS,"&gt;=31",DLDYLGS,"&lt;=45")</f>
        <v>0</v>
      </c>
      <c r="H12" s="6">
        <f>SUMIFS(NetB3DYLGS,SUPListDYLGS,Table__192.168.3.138AgingReportDYLGS[[#This Row],[SupplierID]],DLDYLGS,"&gt;=46",DLDYLGS,"&lt;=60")</f>
        <v>0</v>
      </c>
      <c r="I12" s="6">
        <f>SUMIFS(NetB3DYLGS,SUPListDYLGS,Table__192.168.3.138AgingReportDYLGS[[#This Row],[SupplierID]],DLDYLGS,"&gt;=61",DLDYLGS,"&lt;=90")</f>
        <v>0</v>
      </c>
      <c r="J12" s="6">
        <f>SUMIFS(NetB3DYLGS,SUPListDYLGS,Table__192.168.3.138AgingReportDYLGS[[#This Row],[SupplierID]],DLDYLGS,"&gt;=91",DLDYLGS,"&lt;=120")</f>
        <v>0</v>
      </c>
      <c r="K12" s="6">
        <f>SUMIFS(NetB3DYLGS,SUPListDYLGS,Table__192.168.3.138AgingReportDYLGS[[#This Row],[SupplierID]],DLDYLGS,"&gt;120")</f>
        <v>15405</v>
      </c>
    </row>
    <row r="13" spans="1:11">
      <c r="A13" s="4" t="s">
        <v>5477</v>
      </c>
      <c r="B13" s="4" t="s">
        <v>5478</v>
      </c>
      <c r="C13" s="6">
        <f>SUMIF(SUPListDYLGS,Table__192.168.3.138AgingReportDYLGS[[#This Row],[SupplierID]],NetAmountDYLGS)</f>
        <v>1230</v>
      </c>
      <c r="D13" s="6">
        <f>SUMIF(SUPListDYLGS,Table__192.168.3.138AgingReportDYLGS[[#This Row],[SupplierID]],PaidDYLGS)</f>
        <v>0</v>
      </c>
      <c r="E13" s="6">
        <f>Table__192.168.3.138AgingReportDYLGS[[#This Row],[Net Amount]]-Table__192.168.3.138AgingReportDYLGS[[#This Row],[Paid]]</f>
        <v>1230</v>
      </c>
      <c r="F13" s="6">
        <f>SUMIFS(NetB3DYLGS,SUPListDYLGS,Table__192.168.3.138AgingReportDYLGS[[#This Row],[SupplierID]],DLDYLGS,"&gt;=1",DLDYLGS,"&lt;=30")</f>
        <v>0</v>
      </c>
      <c r="G13" s="6">
        <f>SUMIFS(NetB3DYLGS,SUPListDYLGS,Table__192.168.3.138AgingReportDYLGS[[#This Row],[SupplierID]],DLDYLGS,"&gt;=31",DLDYLGS,"&lt;=45")</f>
        <v>0</v>
      </c>
      <c r="H13" s="6">
        <f>SUMIFS(NetB3DYLGS,SUPListDYLGS,Table__192.168.3.138AgingReportDYLGS[[#This Row],[SupplierID]],DLDYLGS,"&gt;=46",DLDYLGS,"&lt;=60")</f>
        <v>0</v>
      </c>
      <c r="I13" s="6">
        <f>SUMIFS(NetB3DYLGS,SUPListDYLGS,Table__192.168.3.138AgingReportDYLGS[[#This Row],[SupplierID]],DLDYLGS,"&gt;=61",DLDYLGS,"&lt;=90")</f>
        <v>1230</v>
      </c>
      <c r="J13" s="6">
        <f>SUMIFS(NetB3DYLGS,SUPListDYLGS,Table__192.168.3.138AgingReportDYLGS[[#This Row],[SupplierID]],DLDYLGS,"&gt;=91",DLDYLGS,"&lt;=120")</f>
        <v>0</v>
      </c>
      <c r="K13" s="6">
        <f>SUMIFS(NetB3DYLGS,SUPListDYLGS,Table__192.168.3.138AgingReportDYLGS[[#This Row],[SupplierID]],DLDYLGS,"&gt;120")</f>
        <v>0</v>
      </c>
    </row>
    <row r="14" spans="1:11">
      <c r="A14" s="4" t="s">
        <v>5479</v>
      </c>
      <c r="B14" s="4" t="s">
        <v>5480</v>
      </c>
      <c r="C14" s="6">
        <f>SUMIF(SUPListDYLGS,Table__192.168.3.138AgingReportDYLGS[[#This Row],[SupplierID]],NetAmountDYLGS)</f>
        <v>570000</v>
      </c>
      <c r="D14" s="6">
        <f>SUMIF(SUPListDYLGS,Table__192.168.3.138AgingReportDYLGS[[#This Row],[SupplierID]],PaidDYLGS)</f>
        <v>0</v>
      </c>
      <c r="E14" s="6">
        <f>Table__192.168.3.138AgingReportDYLGS[[#This Row],[Net Amount]]-Table__192.168.3.138AgingReportDYLGS[[#This Row],[Paid]]</f>
        <v>570000</v>
      </c>
      <c r="F14" s="6">
        <f>SUMIFS(NetB3DYLGS,SUPListDYLGS,Table__192.168.3.138AgingReportDYLGS[[#This Row],[SupplierID]],DLDYLGS,"&gt;=1",DLDYLGS,"&lt;=30")</f>
        <v>0</v>
      </c>
      <c r="G14" s="6">
        <f>SUMIFS(NetB3DYLGS,SUPListDYLGS,Table__192.168.3.138AgingReportDYLGS[[#This Row],[SupplierID]],DLDYLGS,"&gt;=31",DLDYLGS,"&lt;=45")</f>
        <v>70000</v>
      </c>
      <c r="H14" s="6">
        <f>SUMIFS(NetB3DYLGS,SUPListDYLGS,Table__192.168.3.138AgingReportDYLGS[[#This Row],[SupplierID]],DLDYLGS,"&gt;=46",DLDYLGS,"&lt;=60")</f>
        <v>0</v>
      </c>
      <c r="I14" s="6">
        <f>SUMIFS(NetB3DYLGS,SUPListDYLGS,Table__192.168.3.138AgingReportDYLGS[[#This Row],[SupplierID]],DLDYLGS,"&gt;=61",DLDYLGS,"&lt;=90")</f>
        <v>0</v>
      </c>
      <c r="J14" s="6">
        <f>SUMIFS(NetB3DYLGS,SUPListDYLGS,Table__192.168.3.138AgingReportDYLGS[[#This Row],[SupplierID]],DLDYLGS,"&gt;=91",DLDYLGS,"&lt;=120")</f>
        <v>70000</v>
      </c>
      <c r="K14" s="6">
        <f>SUMIFS(NetB3DYLGS,SUPListDYLGS,Table__192.168.3.138AgingReportDYLGS[[#This Row],[SupplierID]],DLDYLGS,"&gt;120")</f>
        <v>430000</v>
      </c>
    </row>
    <row r="15" spans="1:11">
      <c r="A15" s="4" t="s">
        <v>5481</v>
      </c>
      <c r="B15" s="4" t="s">
        <v>5482</v>
      </c>
      <c r="C15" s="6">
        <f>SUMIF(SUPListDYLGS,Table__192.168.3.138AgingReportDYLGS[[#This Row],[SupplierID]],NetAmountDYLGS)</f>
        <v>566206</v>
      </c>
      <c r="D15" s="6">
        <f>SUMIF(SUPListDYLGS,Table__192.168.3.138AgingReportDYLGS[[#This Row],[SupplierID]],PaidDYLGS)</f>
        <v>0</v>
      </c>
      <c r="E15" s="6">
        <f>Table__192.168.3.138AgingReportDYLGS[[#This Row],[Net Amount]]-Table__192.168.3.138AgingReportDYLGS[[#This Row],[Paid]]</f>
        <v>566206</v>
      </c>
      <c r="F15" s="6">
        <f>SUMIFS(NetB3DYLGS,SUPListDYLGS,Table__192.168.3.138AgingReportDYLGS[[#This Row],[SupplierID]],DLDYLGS,"&gt;=1",DLDYLGS,"&lt;=30")</f>
        <v>0</v>
      </c>
      <c r="G15" s="6">
        <f>SUMIFS(NetB3DYLGS,SUPListDYLGS,Table__192.168.3.138AgingReportDYLGS[[#This Row],[SupplierID]],DLDYLGS,"&gt;=31",DLDYLGS,"&lt;=45")</f>
        <v>235176</v>
      </c>
      <c r="H15" s="6">
        <f>SUMIFS(NetB3DYLGS,SUPListDYLGS,Table__192.168.3.138AgingReportDYLGS[[#This Row],[SupplierID]],DLDYLGS,"&gt;=46",DLDYLGS,"&lt;=60")</f>
        <v>0</v>
      </c>
      <c r="I15" s="6">
        <f>SUMIFS(NetB3DYLGS,SUPListDYLGS,Table__192.168.3.138AgingReportDYLGS[[#This Row],[SupplierID]],DLDYLGS,"&gt;=61",DLDYLGS,"&lt;=90")</f>
        <v>165636</v>
      </c>
      <c r="J15" s="6">
        <f>SUMIFS(NetB3DYLGS,SUPListDYLGS,Table__192.168.3.138AgingReportDYLGS[[#This Row],[SupplierID]],DLDYLGS,"&gt;=91",DLDYLGS,"&lt;=120")</f>
        <v>165394</v>
      </c>
      <c r="K15" s="6">
        <f>SUMIFS(NetB3DYLGS,SUPListDYLGS,Table__192.168.3.138AgingReportDYLGS[[#This Row],[SupplierID]],DLDYLGS,"&gt;120")</f>
        <v>0</v>
      </c>
    </row>
    <row r="16" spans="1:11">
      <c r="A16" s="4" t="s">
        <v>5483</v>
      </c>
      <c r="B16" s="4" t="s">
        <v>5484</v>
      </c>
      <c r="C16" s="6">
        <f>SUMIF(SUPListDYLGS,Table__192.168.3.138AgingReportDYLGS[[#This Row],[SupplierID]],NetAmountDYLGS)</f>
        <v>100700</v>
      </c>
      <c r="D16" s="6">
        <f>SUMIF(SUPListDYLGS,Table__192.168.3.138AgingReportDYLGS[[#This Row],[SupplierID]],PaidDYLGS)</f>
        <v>0</v>
      </c>
      <c r="E16" s="6">
        <f>Table__192.168.3.138AgingReportDYLGS[[#This Row],[Net Amount]]-Table__192.168.3.138AgingReportDYLGS[[#This Row],[Paid]]</f>
        <v>100700</v>
      </c>
      <c r="F16" s="6">
        <f>SUMIFS(NetB3DYLGS,SUPListDYLGS,Table__192.168.3.138AgingReportDYLGS[[#This Row],[SupplierID]],DLDYLGS,"&gt;=1",DLDYLGS,"&lt;=30")</f>
        <v>0</v>
      </c>
      <c r="G16" s="6">
        <f>SUMIFS(NetB3DYLGS,SUPListDYLGS,Table__192.168.3.138AgingReportDYLGS[[#This Row],[SupplierID]],DLDYLGS,"&gt;=31",DLDYLGS,"&lt;=45")</f>
        <v>25400</v>
      </c>
      <c r="H16" s="6">
        <f>SUMIFS(NetB3DYLGS,SUPListDYLGS,Table__192.168.3.138AgingReportDYLGS[[#This Row],[SupplierID]],DLDYLGS,"&gt;=46",DLDYLGS,"&lt;=60")</f>
        <v>0</v>
      </c>
      <c r="I16" s="6">
        <f>SUMIFS(NetB3DYLGS,SUPListDYLGS,Table__192.168.3.138AgingReportDYLGS[[#This Row],[SupplierID]],DLDYLGS,"&gt;=61",DLDYLGS,"&lt;=90")</f>
        <v>17700</v>
      </c>
      <c r="J16" s="6">
        <f>SUMIFS(NetB3DYLGS,SUPListDYLGS,Table__192.168.3.138AgingReportDYLGS[[#This Row],[SupplierID]],DLDYLGS,"&gt;=91",DLDYLGS,"&lt;=120")</f>
        <v>38300</v>
      </c>
      <c r="K16" s="6">
        <f>SUMIFS(NetB3DYLGS,SUPListDYLGS,Table__192.168.3.138AgingReportDYLGS[[#This Row],[SupplierID]],DLDYLGS,"&gt;120")</f>
        <v>19300</v>
      </c>
    </row>
    <row r="17" spans="1:11">
      <c r="A17" s="4" t="s">
        <v>5485</v>
      </c>
      <c r="B17" s="4" t="s">
        <v>5486</v>
      </c>
      <c r="C17" s="6">
        <f>SUMIF(SUPListDYLGS,Table__192.168.3.138AgingReportDYLGS[[#This Row],[SupplierID]],NetAmountDYLGS)</f>
        <v>10919307</v>
      </c>
      <c r="D17" s="6">
        <f>SUMIF(SUPListDYLGS,Table__192.168.3.138AgingReportDYLGS[[#This Row],[SupplierID]],PaidDYLGS)</f>
        <v>7296134</v>
      </c>
      <c r="E17" s="6">
        <f>Table__192.168.3.138AgingReportDYLGS[[#This Row],[Net Amount]]-Table__192.168.3.138AgingReportDYLGS[[#This Row],[Paid]]</f>
        <v>3623173</v>
      </c>
      <c r="F17" s="6">
        <f>SUMIFS(NetB3DYLGS,SUPListDYLGS,Table__192.168.3.138AgingReportDYLGS[[#This Row],[SupplierID]],DLDYLGS,"&gt;=1",DLDYLGS,"&lt;=30")</f>
        <v>0</v>
      </c>
      <c r="G17" s="6">
        <f>SUMIFS(NetB3DYLGS,SUPListDYLGS,Table__192.168.3.138AgingReportDYLGS[[#This Row],[SupplierID]],DLDYLGS,"&gt;=31",DLDYLGS,"&lt;=45")</f>
        <v>3569813</v>
      </c>
      <c r="H17" s="6">
        <f>SUMIFS(NetB3DYLGS,SUPListDYLGS,Table__192.168.3.138AgingReportDYLGS[[#This Row],[SupplierID]],DLDYLGS,"&gt;=46",DLDYLGS,"&lt;=60")</f>
        <v>2375686</v>
      </c>
      <c r="I17" s="6">
        <f>SUMIFS(NetB3DYLGS,SUPListDYLGS,Table__192.168.3.138AgingReportDYLGS[[#This Row],[SupplierID]],DLDYLGS,"&gt;=61",DLDYLGS,"&lt;=90")</f>
        <v>0</v>
      </c>
      <c r="J17" s="6">
        <f>SUMIFS(NetB3DYLGS,SUPListDYLGS,Table__192.168.3.138AgingReportDYLGS[[#This Row],[SupplierID]],DLDYLGS,"&gt;=91",DLDYLGS,"&lt;=120")</f>
        <v>0</v>
      </c>
      <c r="K17" s="6">
        <f>SUMIFS(NetB3DYLGS,SUPListDYLGS,Table__192.168.3.138AgingReportDYLGS[[#This Row],[SupplierID]],DLDYLGS,"&gt;120")</f>
        <v>6418675</v>
      </c>
    </row>
    <row r="18" spans="1:11">
      <c r="A18" s="4" t="s">
        <v>5487</v>
      </c>
      <c r="B18" s="4" t="s">
        <v>5488</v>
      </c>
      <c r="C18" s="6">
        <f>SUMIF(SUPListDYLGS,Table__192.168.3.138AgingReportDYLGS[[#This Row],[SupplierID]],NetAmountDYLGS)</f>
        <v>33118</v>
      </c>
      <c r="D18" s="6">
        <f>SUMIF(SUPListDYLGS,Table__192.168.3.138AgingReportDYLGS[[#This Row],[SupplierID]],PaidDYLGS)</f>
        <v>0</v>
      </c>
      <c r="E18" s="6">
        <f>Table__192.168.3.138AgingReportDYLGS[[#This Row],[Net Amount]]-Table__192.168.3.138AgingReportDYLGS[[#This Row],[Paid]]</f>
        <v>33118</v>
      </c>
      <c r="F18" s="6">
        <f>SUMIFS(NetB3DYLGS,SUPListDYLGS,Table__192.168.3.138AgingReportDYLGS[[#This Row],[SupplierID]],DLDYLGS,"&gt;=1",DLDYLGS,"&lt;=30")</f>
        <v>0</v>
      </c>
      <c r="G18" s="6">
        <f>SUMIFS(NetB3DYLGS,SUPListDYLGS,Table__192.168.3.138AgingReportDYLGS[[#This Row],[SupplierID]],DLDYLGS,"&gt;=31",DLDYLGS,"&lt;=45")</f>
        <v>7192</v>
      </c>
      <c r="H18" s="6">
        <f>SUMIFS(NetB3DYLGS,SUPListDYLGS,Table__192.168.3.138AgingReportDYLGS[[#This Row],[SupplierID]],DLDYLGS,"&gt;=46",DLDYLGS,"&lt;=60")</f>
        <v>25926</v>
      </c>
      <c r="I18" s="6">
        <f>SUMIFS(NetB3DYLGS,SUPListDYLGS,Table__192.168.3.138AgingReportDYLGS[[#This Row],[SupplierID]],DLDYLGS,"&gt;=61",DLDYLGS,"&lt;=90")</f>
        <v>0</v>
      </c>
      <c r="J18" s="6">
        <f>SUMIFS(NetB3DYLGS,SUPListDYLGS,Table__192.168.3.138AgingReportDYLGS[[#This Row],[SupplierID]],DLDYLGS,"&gt;=91",DLDYLGS,"&lt;=120")</f>
        <v>0</v>
      </c>
      <c r="K18" s="6">
        <f>SUMIFS(NetB3DYLGS,SUPListDYLGS,Table__192.168.3.138AgingReportDYLGS[[#This Row],[SupplierID]],DLDYLGS,"&gt;120")</f>
        <v>0</v>
      </c>
    </row>
    <row r="19" spans="1:11">
      <c r="A19" s="4" t="s">
        <v>5489</v>
      </c>
      <c r="B19" s="4" t="s">
        <v>5490</v>
      </c>
      <c r="C19" s="6">
        <f>SUMIF(SUPListDYLGS,Table__192.168.3.138AgingReportDYLGS[[#This Row],[SupplierID]],NetAmountDYLGS)</f>
        <v>145810</v>
      </c>
      <c r="D19" s="6">
        <f>SUMIF(SUPListDYLGS,Table__192.168.3.138AgingReportDYLGS[[#This Row],[SupplierID]],PaidDYLGS)</f>
        <v>0</v>
      </c>
      <c r="E19" s="6">
        <f>Table__192.168.3.138AgingReportDYLGS[[#This Row],[Net Amount]]-Table__192.168.3.138AgingReportDYLGS[[#This Row],[Paid]]</f>
        <v>145810</v>
      </c>
      <c r="F19" s="6">
        <f>SUMIFS(NetB3DYLGS,SUPListDYLGS,Table__192.168.3.138AgingReportDYLGS[[#This Row],[SupplierID]],DLDYLGS,"&gt;=1",DLDYLGS,"&lt;=30")</f>
        <v>0</v>
      </c>
      <c r="G19" s="6">
        <f>SUMIFS(NetB3DYLGS,SUPListDYLGS,Table__192.168.3.138AgingReportDYLGS[[#This Row],[SupplierID]],DLDYLGS,"&gt;=31",DLDYLGS,"&lt;=45")</f>
        <v>0</v>
      </c>
      <c r="H19" s="6">
        <f>SUMIFS(NetB3DYLGS,SUPListDYLGS,Table__192.168.3.138AgingReportDYLGS[[#This Row],[SupplierID]],DLDYLGS,"&gt;=46",DLDYLGS,"&lt;=60")</f>
        <v>51806</v>
      </c>
      <c r="I19" s="6">
        <f>SUMIFS(NetB3DYLGS,SUPListDYLGS,Table__192.168.3.138AgingReportDYLGS[[#This Row],[SupplierID]],DLDYLGS,"&gt;=61",DLDYLGS,"&lt;=90")</f>
        <v>47604</v>
      </c>
      <c r="J19" s="6">
        <f>SUMIFS(NetB3DYLGS,SUPListDYLGS,Table__192.168.3.138AgingReportDYLGS[[#This Row],[SupplierID]],DLDYLGS,"&gt;=91",DLDYLGS,"&lt;=120")</f>
        <v>0</v>
      </c>
      <c r="K19" s="6">
        <f>SUMIFS(NetB3DYLGS,SUPListDYLGS,Table__192.168.3.138AgingReportDYLGS[[#This Row],[SupplierID]],DLDYLGS,"&gt;120")</f>
        <v>46400</v>
      </c>
    </row>
    <row r="20" spans="1:11">
      <c r="A20" s="4" t="s">
        <v>5491</v>
      </c>
      <c r="B20" s="4" t="s">
        <v>5492</v>
      </c>
      <c r="C20" s="6">
        <f>SUMIF(SUPListDYLGS,Table__192.168.3.138AgingReportDYLGS[[#This Row],[SupplierID]],NetAmountDYLGS)</f>
        <v>32897</v>
      </c>
      <c r="D20" s="6">
        <f>SUMIF(SUPListDYLGS,Table__192.168.3.138AgingReportDYLGS[[#This Row],[SupplierID]],PaidDYLGS)</f>
        <v>0</v>
      </c>
      <c r="E20" s="6">
        <f>Table__192.168.3.138AgingReportDYLGS[[#This Row],[Net Amount]]-Table__192.168.3.138AgingReportDYLGS[[#This Row],[Paid]]</f>
        <v>32897</v>
      </c>
      <c r="F20" s="6">
        <f>SUMIFS(NetB3DYLGS,SUPListDYLGS,Table__192.168.3.138AgingReportDYLGS[[#This Row],[SupplierID]],DLDYLGS,"&gt;=1",DLDYLGS,"&lt;=30")</f>
        <v>0</v>
      </c>
      <c r="G20" s="6">
        <f>SUMIFS(NetB3DYLGS,SUPListDYLGS,Table__192.168.3.138AgingReportDYLGS[[#This Row],[SupplierID]],DLDYLGS,"&gt;=31",DLDYLGS,"&lt;=45")</f>
        <v>0</v>
      </c>
      <c r="H20" s="6">
        <f>SUMIFS(NetB3DYLGS,SUPListDYLGS,Table__192.168.3.138AgingReportDYLGS[[#This Row],[SupplierID]],DLDYLGS,"&gt;=46",DLDYLGS,"&lt;=60")</f>
        <v>0</v>
      </c>
      <c r="I20" s="6">
        <f>SUMIFS(NetB3DYLGS,SUPListDYLGS,Table__192.168.3.138AgingReportDYLGS[[#This Row],[SupplierID]],DLDYLGS,"&gt;=61",DLDYLGS,"&lt;=90")</f>
        <v>3549</v>
      </c>
      <c r="J20" s="6">
        <f>SUMIFS(NetB3DYLGS,SUPListDYLGS,Table__192.168.3.138AgingReportDYLGS[[#This Row],[SupplierID]],DLDYLGS,"&gt;=91",DLDYLGS,"&lt;=120")</f>
        <v>0</v>
      </c>
      <c r="K20" s="6">
        <f>SUMIFS(NetB3DYLGS,SUPListDYLGS,Table__192.168.3.138AgingReportDYLGS[[#This Row],[SupplierID]],DLDYLGS,"&gt;120")</f>
        <v>29348</v>
      </c>
    </row>
    <row r="21" spans="1:11">
      <c r="A21" s="4" t="s">
        <v>5493</v>
      </c>
      <c r="B21" s="4" t="s">
        <v>5494</v>
      </c>
      <c r="C21" s="6">
        <f>SUMIF(SUPListDYLGS,Table__192.168.3.138AgingReportDYLGS[[#This Row],[SupplierID]],NetAmountDYLGS)</f>
        <v>55262</v>
      </c>
      <c r="D21" s="6">
        <f>SUMIF(SUPListDYLGS,Table__192.168.3.138AgingReportDYLGS[[#This Row],[SupplierID]],PaidDYLGS)</f>
        <v>0</v>
      </c>
      <c r="E21" s="6">
        <f>Table__192.168.3.138AgingReportDYLGS[[#This Row],[Net Amount]]-Table__192.168.3.138AgingReportDYLGS[[#This Row],[Paid]]</f>
        <v>55262</v>
      </c>
      <c r="F21" s="6">
        <f>SUMIFS(NetB3DYLGS,SUPListDYLGS,Table__192.168.3.138AgingReportDYLGS[[#This Row],[SupplierID]],DLDYLGS,"&gt;=1",DLDYLGS,"&lt;=30")</f>
        <v>0</v>
      </c>
      <c r="G21" s="6">
        <f>SUMIFS(NetB3DYLGS,SUPListDYLGS,Table__192.168.3.138AgingReportDYLGS[[#This Row],[SupplierID]],DLDYLGS,"&gt;=31",DLDYLGS,"&lt;=45")</f>
        <v>2320</v>
      </c>
      <c r="H21" s="6">
        <f>SUMIFS(NetB3DYLGS,SUPListDYLGS,Table__192.168.3.138AgingReportDYLGS[[#This Row],[SupplierID]],DLDYLGS,"&gt;=46",DLDYLGS,"&lt;=60")</f>
        <v>0</v>
      </c>
      <c r="I21" s="6">
        <f>SUMIFS(NetB3DYLGS,SUPListDYLGS,Table__192.168.3.138AgingReportDYLGS[[#This Row],[SupplierID]],DLDYLGS,"&gt;=61",DLDYLGS,"&lt;=90")</f>
        <v>0</v>
      </c>
      <c r="J21" s="6">
        <f>SUMIFS(NetB3DYLGS,SUPListDYLGS,Table__192.168.3.138AgingReportDYLGS[[#This Row],[SupplierID]],DLDYLGS,"&gt;=91",DLDYLGS,"&lt;=120")</f>
        <v>17400</v>
      </c>
      <c r="K21" s="6">
        <f>SUMIFS(NetB3DYLGS,SUPListDYLGS,Table__192.168.3.138AgingReportDYLGS[[#This Row],[SupplierID]],DLDYLGS,"&gt;120")</f>
        <v>35542</v>
      </c>
    </row>
    <row r="22" spans="1:11">
      <c r="A22" s="4" t="s">
        <v>5495</v>
      </c>
      <c r="B22" s="4" t="s">
        <v>5496</v>
      </c>
      <c r="C22" s="6">
        <f>SUMIF(SUPListDYLGS,Table__192.168.3.138AgingReportDYLGS[[#This Row],[SupplierID]],NetAmountDYLGS)</f>
        <v>44370</v>
      </c>
      <c r="D22" s="6">
        <f>SUMIF(SUPListDYLGS,Table__192.168.3.138AgingReportDYLGS[[#This Row],[SupplierID]],PaidDYLGS)</f>
        <v>0</v>
      </c>
      <c r="E22" s="6">
        <f>Table__192.168.3.138AgingReportDYLGS[[#This Row],[Net Amount]]-Table__192.168.3.138AgingReportDYLGS[[#This Row],[Paid]]</f>
        <v>44370</v>
      </c>
      <c r="F22" s="6">
        <f>SUMIFS(NetB3DYLGS,SUPListDYLGS,Table__192.168.3.138AgingReportDYLGS[[#This Row],[SupplierID]],DLDYLGS,"&gt;=1",DLDYLGS,"&lt;=30")</f>
        <v>0</v>
      </c>
      <c r="G22" s="6">
        <f>SUMIFS(NetB3DYLGS,SUPListDYLGS,Table__192.168.3.138AgingReportDYLGS[[#This Row],[SupplierID]],DLDYLGS,"&gt;=31",DLDYLGS,"&lt;=45")</f>
        <v>0</v>
      </c>
      <c r="H22" s="6">
        <f>SUMIFS(NetB3DYLGS,SUPListDYLGS,Table__192.168.3.138AgingReportDYLGS[[#This Row],[SupplierID]],DLDYLGS,"&gt;=46",DLDYLGS,"&lt;=60")</f>
        <v>0</v>
      </c>
      <c r="I22" s="6">
        <f>SUMIFS(NetB3DYLGS,SUPListDYLGS,Table__192.168.3.138AgingReportDYLGS[[#This Row],[SupplierID]],DLDYLGS,"&gt;=61",DLDYLGS,"&lt;=90")</f>
        <v>20706</v>
      </c>
      <c r="J22" s="6">
        <f>SUMIFS(NetB3DYLGS,SUPListDYLGS,Table__192.168.3.138AgingReportDYLGS[[#This Row],[SupplierID]],DLDYLGS,"&gt;=91",DLDYLGS,"&lt;=120")</f>
        <v>23664</v>
      </c>
      <c r="K22" s="6">
        <f>SUMIFS(NetB3DYLGS,SUPListDYLGS,Table__192.168.3.138AgingReportDYLGS[[#This Row],[SupplierID]],DLDYLGS,"&gt;120")</f>
        <v>0</v>
      </c>
    </row>
    <row r="23" spans="1:11">
      <c r="A23" s="4" t="s">
        <v>5497</v>
      </c>
      <c r="B23" s="4" t="s">
        <v>5498</v>
      </c>
      <c r="C23" s="6">
        <f>SUMIF(SUPListDYLGS,Table__192.168.3.138AgingReportDYLGS[[#This Row],[SupplierID]],NetAmountDYLGS)</f>
        <v>234870</v>
      </c>
      <c r="D23" s="6">
        <f>SUMIF(SUPListDYLGS,Table__192.168.3.138AgingReportDYLGS[[#This Row],[SupplierID]],PaidDYLGS)</f>
        <v>0</v>
      </c>
      <c r="E23" s="6">
        <f>Table__192.168.3.138AgingReportDYLGS[[#This Row],[Net Amount]]-Table__192.168.3.138AgingReportDYLGS[[#This Row],[Paid]]</f>
        <v>234870</v>
      </c>
      <c r="F23" s="6">
        <f>SUMIFS(NetB3DYLGS,SUPListDYLGS,Table__192.168.3.138AgingReportDYLGS[[#This Row],[SupplierID]],DLDYLGS,"&gt;=1",DLDYLGS,"&lt;=30")</f>
        <v>0</v>
      </c>
      <c r="G23" s="6">
        <f>SUMIFS(NetB3DYLGS,SUPListDYLGS,Table__192.168.3.138AgingReportDYLGS[[#This Row],[SupplierID]],DLDYLGS,"&gt;=31",DLDYLGS,"&lt;=45")</f>
        <v>0</v>
      </c>
      <c r="H23" s="6">
        <f>SUMIFS(NetB3DYLGS,SUPListDYLGS,Table__192.168.3.138AgingReportDYLGS[[#This Row],[SupplierID]],DLDYLGS,"&gt;=46",DLDYLGS,"&lt;=60")</f>
        <v>13770</v>
      </c>
      <c r="I23" s="6">
        <f>SUMIFS(NetB3DYLGS,SUPListDYLGS,Table__192.168.3.138AgingReportDYLGS[[#This Row],[SupplierID]],DLDYLGS,"&gt;=61",DLDYLGS,"&lt;=90")</f>
        <v>0</v>
      </c>
      <c r="J23" s="6">
        <f>SUMIFS(NetB3DYLGS,SUPListDYLGS,Table__192.168.3.138AgingReportDYLGS[[#This Row],[SupplierID]],DLDYLGS,"&gt;=91",DLDYLGS,"&lt;=120")</f>
        <v>13340</v>
      </c>
      <c r="K23" s="6">
        <f>SUMIFS(NetB3DYLGS,SUPListDYLGS,Table__192.168.3.138AgingReportDYLGS[[#This Row],[SupplierID]],DLDYLGS,"&gt;120")</f>
        <v>207760</v>
      </c>
    </row>
    <row r="24" spans="1:11">
      <c r="A24" s="4" t="s">
        <v>5499</v>
      </c>
      <c r="B24" s="4" t="s">
        <v>5500</v>
      </c>
      <c r="C24" s="6">
        <f>SUMIF(SUPListDYLGS,Table__192.168.3.138AgingReportDYLGS[[#This Row],[SupplierID]],NetAmountDYLGS)</f>
        <v>37642</v>
      </c>
      <c r="D24" s="6">
        <f>SUMIF(SUPListDYLGS,Table__192.168.3.138AgingReportDYLGS[[#This Row],[SupplierID]],PaidDYLGS)</f>
        <v>0</v>
      </c>
      <c r="E24" s="6">
        <f>Table__192.168.3.138AgingReportDYLGS[[#This Row],[Net Amount]]-Table__192.168.3.138AgingReportDYLGS[[#This Row],[Paid]]</f>
        <v>37642</v>
      </c>
      <c r="F24" s="6">
        <f>SUMIFS(NetB3DYLGS,SUPListDYLGS,Table__192.168.3.138AgingReportDYLGS[[#This Row],[SupplierID]],DLDYLGS,"&gt;=1",DLDYLGS,"&lt;=30")</f>
        <v>17110</v>
      </c>
      <c r="G24" s="6">
        <f>SUMIFS(NetB3DYLGS,SUPListDYLGS,Table__192.168.3.138AgingReportDYLGS[[#This Row],[SupplierID]],DLDYLGS,"&gt;=31",DLDYLGS,"&lt;=45")</f>
        <v>0</v>
      </c>
      <c r="H24" s="6">
        <f>SUMIFS(NetB3DYLGS,SUPListDYLGS,Table__192.168.3.138AgingReportDYLGS[[#This Row],[SupplierID]],DLDYLGS,"&gt;=46",DLDYLGS,"&lt;=60")</f>
        <v>0</v>
      </c>
      <c r="I24" s="6">
        <f>SUMIFS(NetB3DYLGS,SUPListDYLGS,Table__192.168.3.138AgingReportDYLGS[[#This Row],[SupplierID]],DLDYLGS,"&gt;=61",DLDYLGS,"&lt;=90")</f>
        <v>0</v>
      </c>
      <c r="J24" s="6">
        <f>SUMIFS(NetB3DYLGS,SUPListDYLGS,Table__192.168.3.138AgingReportDYLGS[[#This Row],[SupplierID]],DLDYLGS,"&gt;=91",DLDYLGS,"&lt;=120")</f>
        <v>10266</v>
      </c>
      <c r="K24" s="6">
        <f>SUMIFS(NetB3DYLGS,SUPListDYLGS,Table__192.168.3.138AgingReportDYLGS[[#This Row],[SupplierID]],DLDYLGS,"&gt;120")</f>
        <v>10266</v>
      </c>
    </row>
    <row r="25" spans="1:11">
      <c r="A25" s="4" t="s">
        <v>5501</v>
      </c>
      <c r="B25" s="4" t="s">
        <v>5502</v>
      </c>
      <c r="C25" s="6">
        <f>SUMIF(SUPListDYLGS,Table__192.168.3.138AgingReportDYLGS[[#This Row],[SupplierID]],NetAmountDYLGS)</f>
        <v>257998.5</v>
      </c>
      <c r="D25" s="6">
        <f>SUMIF(SUPListDYLGS,Table__192.168.3.138AgingReportDYLGS[[#This Row],[SupplierID]],PaidDYLGS)</f>
        <v>0</v>
      </c>
      <c r="E25" s="6">
        <f>Table__192.168.3.138AgingReportDYLGS[[#This Row],[Net Amount]]-Table__192.168.3.138AgingReportDYLGS[[#This Row],[Paid]]</f>
        <v>257998.5</v>
      </c>
      <c r="F25" s="6">
        <f>SUMIFS(NetB3DYLGS,SUPListDYLGS,Table__192.168.3.138AgingReportDYLGS[[#This Row],[SupplierID]],DLDYLGS,"&gt;=1",DLDYLGS,"&lt;=30")</f>
        <v>0</v>
      </c>
      <c r="G25" s="6">
        <f>SUMIFS(NetB3DYLGS,SUPListDYLGS,Table__192.168.3.138AgingReportDYLGS[[#This Row],[SupplierID]],DLDYLGS,"&gt;=31",DLDYLGS,"&lt;=45")</f>
        <v>0</v>
      </c>
      <c r="H25" s="6">
        <f>SUMIFS(NetB3DYLGS,SUPListDYLGS,Table__192.168.3.138AgingReportDYLGS[[#This Row],[SupplierID]],DLDYLGS,"&gt;=46",DLDYLGS,"&lt;=60")</f>
        <v>0</v>
      </c>
      <c r="I25" s="6">
        <f>SUMIFS(NetB3DYLGS,SUPListDYLGS,Table__192.168.3.138AgingReportDYLGS[[#This Row],[SupplierID]],DLDYLGS,"&gt;=61",DLDYLGS,"&lt;=90")</f>
        <v>0</v>
      </c>
      <c r="J25" s="6">
        <f>SUMIFS(NetB3DYLGS,SUPListDYLGS,Table__192.168.3.138AgingReportDYLGS[[#This Row],[SupplierID]],DLDYLGS,"&gt;=91",DLDYLGS,"&lt;=120")</f>
        <v>0</v>
      </c>
      <c r="K25" s="6">
        <f>SUMIFS(NetB3DYLGS,SUPListDYLGS,Table__192.168.3.138AgingReportDYLGS[[#This Row],[SupplierID]],DLDYLGS,"&gt;120")</f>
        <v>257998.5</v>
      </c>
    </row>
    <row r="26" spans="1:11">
      <c r="A26" s="4" t="s">
        <v>5503</v>
      </c>
      <c r="B26" s="4" t="s">
        <v>5504</v>
      </c>
      <c r="C26" s="6">
        <f>SUMIF(SUPListDYLGS,Table__192.168.3.138AgingReportDYLGS[[#This Row],[SupplierID]],NetAmountDYLGS)</f>
        <v>1853200</v>
      </c>
      <c r="D26" s="6">
        <f>SUMIF(SUPListDYLGS,Table__192.168.3.138AgingReportDYLGS[[#This Row],[SupplierID]],PaidDYLGS)</f>
        <v>0</v>
      </c>
      <c r="E26" s="6">
        <f>Table__192.168.3.138AgingReportDYLGS[[#This Row],[Net Amount]]-Table__192.168.3.138AgingReportDYLGS[[#This Row],[Paid]]</f>
        <v>1853200</v>
      </c>
      <c r="F26" s="6">
        <f>SUMIFS(NetB3DYLGS,SUPListDYLGS,Table__192.168.3.138AgingReportDYLGS[[#This Row],[SupplierID]],DLDYLGS,"&gt;=1",DLDYLGS,"&lt;=30")</f>
        <v>0</v>
      </c>
      <c r="G26" s="6">
        <f>SUMIFS(NetB3DYLGS,SUPListDYLGS,Table__192.168.3.138AgingReportDYLGS[[#This Row],[SupplierID]],DLDYLGS,"&gt;=31",DLDYLGS,"&lt;=45")</f>
        <v>676300</v>
      </c>
      <c r="H26" s="6">
        <f>SUMIFS(NetB3DYLGS,SUPListDYLGS,Table__192.168.3.138AgingReportDYLGS[[#This Row],[SupplierID]],DLDYLGS,"&gt;=46",DLDYLGS,"&lt;=60")</f>
        <v>0</v>
      </c>
      <c r="I26" s="6">
        <f>SUMIFS(NetB3DYLGS,SUPListDYLGS,Table__192.168.3.138AgingReportDYLGS[[#This Row],[SupplierID]],DLDYLGS,"&gt;=61",DLDYLGS,"&lt;=90")</f>
        <v>44700</v>
      </c>
      <c r="J26" s="6">
        <f>SUMIFS(NetB3DYLGS,SUPListDYLGS,Table__192.168.3.138AgingReportDYLGS[[#This Row],[SupplierID]],DLDYLGS,"&gt;=91",DLDYLGS,"&lt;=120")</f>
        <v>286800</v>
      </c>
      <c r="K26" s="6">
        <f>SUMIFS(NetB3DYLGS,SUPListDYLGS,Table__192.168.3.138AgingReportDYLGS[[#This Row],[SupplierID]],DLDYLGS,"&gt;120")</f>
        <v>845400</v>
      </c>
    </row>
    <row r="27" spans="1:11">
      <c r="A27" s="4" t="s">
        <v>5505</v>
      </c>
      <c r="B27" s="4" t="s">
        <v>5506</v>
      </c>
      <c r="C27" s="6">
        <f>SUMIF(SUPListDYLGS,Table__192.168.3.138AgingReportDYLGS[[#This Row],[SupplierID]],NetAmountDYLGS)</f>
        <v>33425</v>
      </c>
      <c r="D27" s="6">
        <f>SUMIF(SUPListDYLGS,Table__192.168.3.138AgingReportDYLGS[[#This Row],[SupplierID]],PaidDYLGS)</f>
        <v>0</v>
      </c>
      <c r="E27" s="6">
        <f>Table__192.168.3.138AgingReportDYLGS[[#This Row],[Net Amount]]-Table__192.168.3.138AgingReportDYLGS[[#This Row],[Paid]]</f>
        <v>33425</v>
      </c>
      <c r="F27" s="6">
        <f>SUMIFS(NetB3DYLGS,SUPListDYLGS,Table__192.168.3.138AgingReportDYLGS[[#This Row],[SupplierID]],DLDYLGS,"&gt;=1",DLDYLGS,"&lt;=30")</f>
        <v>0</v>
      </c>
      <c r="G27" s="6">
        <f>SUMIFS(NetB3DYLGS,SUPListDYLGS,Table__192.168.3.138AgingReportDYLGS[[#This Row],[SupplierID]],DLDYLGS,"&gt;=31",DLDYLGS,"&lt;=45")</f>
        <v>16269</v>
      </c>
      <c r="H27" s="6">
        <f>SUMIFS(NetB3DYLGS,SUPListDYLGS,Table__192.168.3.138AgingReportDYLGS[[#This Row],[SupplierID]],DLDYLGS,"&gt;=46",DLDYLGS,"&lt;=60")</f>
        <v>0</v>
      </c>
      <c r="I27" s="6">
        <f>SUMIFS(NetB3DYLGS,SUPListDYLGS,Table__192.168.3.138AgingReportDYLGS[[#This Row],[SupplierID]],DLDYLGS,"&gt;=61",DLDYLGS,"&lt;=90")</f>
        <v>0</v>
      </c>
      <c r="J27" s="6">
        <f>SUMIFS(NetB3DYLGS,SUPListDYLGS,Table__192.168.3.138AgingReportDYLGS[[#This Row],[SupplierID]],DLDYLGS,"&gt;=91",DLDYLGS,"&lt;=120")</f>
        <v>17156</v>
      </c>
      <c r="K27" s="6">
        <f>SUMIFS(NetB3DYLGS,SUPListDYLGS,Table__192.168.3.138AgingReportDYLGS[[#This Row],[SupplierID]],DLDYLGS,"&gt;120")</f>
        <v>0</v>
      </c>
    </row>
    <row r="28" spans="1:11">
      <c r="A28" s="4" t="s">
        <v>5507</v>
      </c>
      <c r="B28" s="4" t="s">
        <v>5508</v>
      </c>
      <c r="C28" s="6">
        <f>SUMIF(SUPListDYLGS,Table__192.168.3.138AgingReportDYLGS[[#This Row],[SupplierID]],NetAmountDYLGS)</f>
        <v>2102877</v>
      </c>
      <c r="D28" s="6">
        <f>SUMIF(SUPListDYLGS,Table__192.168.3.138AgingReportDYLGS[[#This Row],[SupplierID]],PaidDYLGS)</f>
        <v>1034604</v>
      </c>
      <c r="E28" s="6">
        <f>Table__192.168.3.138AgingReportDYLGS[[#This Row],[Net Amount]]-Table__192.168.3.138AgingReportDYLGS[[#This Row],[Paid]]</f>
        <v>1068273</v>
      </c>
      <c r="F28" s="6">
        <f>SUMIFS(NetB3DYLGS,SUPListDYLGS,Table__192.168.3.138AgingReportDYLGS[[#This Row],[SupplierID]],DLDYLGS,"&gt;=1",DLDYLGS,"&lt;=30")</f>
        <v>0</v>
      </c>
      <c r="G28" s="6">
        <f>SUMIFS(NetB3DYLGS,SUPListDYLGS,Table__192.168.3.138AgingReportDYLGS[[#This Row],[SupplierID]],DLDYLGS,"&gt;=31",DLDYLGS,"&lt;=45")</f>
        <v>0</v>
      </c>
      <c r="H28" s="6">
        <f>SUMIFS(NetB3DYLGS,SUPListDYLGS,Table__192.168.3.138AgingReportDYLGS[[#This Row],[SupplierID]],DLDYLGS,"&gt;=46",DLDYLGS,"&lt;=60")</f>
        <v>0</v>
      </c>
      <c r="I28" s="6">
        <f>SUMIFS(NetB3DYLGS,SUPListDYLGS,Table__192.168.3.138AgingReportDYLGS[[#This Row],[SupplierID]],DLDYLGS,"&gt;=61",DLDYLGS,"&lt;=90")</f>
        <v>0</v>
      </c>
      <c r="J28" s="6">
        <f>SUMIFS(NetB3DYLGS,SUPListDYLGS,Table__192.168.3.138AgingReportDYLGS[[#This Row],[SupplierID]],DLDYLGS,"&gt;=91",DLDYLGS,"&lt;=120")</f>
        <v>0</v>
      </c>
      <c r="K28" s="6">
        <f>SUMIFS(NetB3DYLGS,SUPListDYLGS,Table__192.168.3.138AgingReportDYLGS[[#This Row],[SupplierID]],DLDYLGS,"&gt;120")</f>
        <v>1068273</v>
      </c>
    </row>
    <row r="29" spans="1:11">
      <c r="A29" s="4" t="s">
        <v>229</v>
      </c>
      <c r="B29" s="4" t="s">
        <v>366</v>
      </c>
      <c r="C29" s="6">
        <f>SUMIF(SUPListDYLGS,Table__192.168.3.138AgingReportDYLGS[[#This Row],[SupplierID]],NetAmountDYLGS)</f>
        <v>5400</v>
      </c>
      <c r="D29" s="6">
        <f>SUMIF(SUPListDYLGS,Table__192.168.3.138AgingReportDYLGS[[#This Row],[SupplierID]],PaidDYLGS)</f>
        <v>0</v>
      </c>
      <c r="E29" s="6">
        <f>Table__192.168.3.138AgingReportDYLGS[[#This Row],[Net Amount]]-Table__192.168.3.138AgingReportDYLGS[[#This Row],[Paid]]</f>
        <v>5400</v>
      </c>
      <c r="F29" s="6">
        <f>SUMIFS(NetB3DYLGS,SUPListDYLGS,Table__192.168.3.138AgingReportDYLGS[[#This Row],[SupplierID]],DLDYLGS,"&gt;=1",DLDYLGS,"&lt;=30")</f>
        <v>5400</v>
      </c>
      <c r="G29" s="6">
        <f>SUMIFS(NetB3DYLGS,SUPListDYLGS,Table__192.168.3.138AgingReportDYLGS[[#This Row],[SupplierID]],DLDYLGS,"&gt;=31",DLDYLGS,"&lt;=45")</f>
        <v>0</v>
      </c>
      <c r="H29" s="6">
        <f>SUMIFS(NetB3DYLGS,SUPListDYLGS,Table__192.168.3.138AgingReportDYLGS[[#This Row],[SupplierID]],DLDYLGS,"&gt;=46",DLDYLGS,"&lt;=60")</f>
        <v>0</v>
      </c>
      <c r="I29" s="6">
        <f>SUMIFS(NetB3DYLGS,SUPListDYLGS,Table__192.168.3.138AgingReportDYLGS[[#This Row],[SupplierID]],DLDYLGS,"&gt;=61",DLDYLGS,"&lt;=90")</f>
        <v>0</v>
      </c>
      <c r="J29" s="6">
        <f>SUMIFS(NetB3DYLGS,SUPListDYLGS,Table__192.168.3.138AgingReportDYLGS[[#This Row],[SupplierID]],DLDYLGS,"&gt;=91",DLDYLGS,"&lt;=120")</f>
        <v>0</v>
      </c>
      <c r="K29" s="6">
        <f>SUMIFS(NetB3DYLGS,SUPListDYLGS,Table__192.168.3.138AgingReportDYLGS[[#This Row],[SupplierID]],DLDYLGS,"&gt;120")</f>
        <v>0</v>
      </c>
    </row>
    <row r="30" spans="1:11">
      <c r="A30" s="4" t="s">
        <v>5509</v>
      </c>
      <c r="B30" s="4" t="s">
        <v>5510</v>
      </c>
      <c r="C30" s="6">
        <f>SUMIF(SUPListDYLGS,Table__192.168.3.138AgingReportDYLGS[[#This Row],[SupplierID]],NetAmountDYLGS)</f>
        <v>196483</v>
      </c>
      <c r="D30" s="6">
        <f>SUMIF(SUPListDYLGS,Table__192.168.3.138AgingReportDYLGS[[#This Row],[SupplierID]],PaidDYLGS)</f>
        <v>0</v>
      </c>
      <c r="E30" s="6">
        <f>Table__192.168.3.138AgingReportDYLGS[[#This Row],[Net Amount]]-Table__192.168.3.138AgingReportDYLGS[[#This Row],[Paid]]</f>
        <v>196483</v>
      </c>
      <c r="F30" s="6">
        <f>SUMIFS(NetB3DYLGS,SUPListDYLGS,Table__192.168.3.138AgingReportDYLGS[[#This Row],[SupplierID]],DLDYLGS,"&gt;=1",DLDYLGS,"&lt;=30")</f>
        <v>0</v>
      </c>
      <c r="G30" s="6">
        <f>SUMIFS(NetB3DYLGS,SUPListDYLGS,Table__192.168.3.138AgingReportDYLGS[[#This Row],[SupplierID]],DLDYLGS,"&gt;=31",DLDYLGS,"&lt;=45")</f>
        <v>0</v>
      </c>
      <c r="H30" s="6">
        <f>SUMIFS(NetB3DYLGS,SUPListDYLGS,Table__192.168.3.138AgingReportDYLGS[[#This Row],[SupplierID]],DLDYLGS,"&gt;=46",DLDYLGS,"&lt;=60")</f>
        <v>0</v>
      </c>
      <c r="I30" s="6">
        <f>SUMIFS(NetB3DYLGS,SUPListDYLGS,Table__192.168.3.138AgingReportDYLGS[[#This Row],[SupplierID]],DLDYLGS,"&gt;=61",DLDYLGS,"&lt;=90")</f>
        <v>97303</v>
      </c>
      <c r="J30" s="6">
        <f>SUMIFS(NetB3DYLGS,SUPListDYLGS,Table__192.168.3.138AgingReportDYLGS[[#This Row],[SupplierID]],DLDYLGS,"&gt;=91",DLDYLGS,"&lt;=120")</f>
        <v>0</v>
      </c>
      <c r="K30" s="6">
        <f>SUMIFS(NetB3DYLGS,SUPListDYLGS,Table__192.168.3.138AgingReportDYLGS[[#This Row],[SupplierID]],DLDYLGS,"&gt;120")</f>
        <v>99180</v>
      </c>
    </row>
    <row r="31" spans="1:11">
      <c r="A31" s="4" t="s">
        <v>5511</v>
      </c>
      <c r="B31" s="4" t="s">
        <v>5512</v>
      </c>
      <c r="C31" s="6">
        <f>SUMIF(SUPListDYLGS,Table__192.168.3.138AgingReportDYLGS[[#This Row],[SupplierID]],NetAmountDYLGS)</f>
        <v>534599</v>
      </c>
      <c r="D31" s="6">
        <f>SUMIF(SUPListDYLGS,Table__192.168.3.138AgingReportDYLGS[[#This Row],[SupplierID]],PaidDYLGS)</f>
        <v>0</v>
      </c>
      <c r="E31" s="6">
        <f>Table__192.168.3.138AgingReportDYLGS[[#This Row],[Net Amount]]-Table__192.168.3.138AgingReportDYLGS[[#This Row],[Paid]]</f>
        <v>534599</v>
      </c>
      <c r="F31" s="6">
        <f>SUMIFS(NetB3DYLGS,SUPListDYLGS,Table__192.168.3.138AgingReportDYLGS[[#This Row],[SupplierID]],DLDYLGS,"&gt;=1",DLDYLGS,"&lt;=30")</f>
        <v>0</v>
      </c>
      <c r="G31" s="6">
        <f>SUMIFS(NetB3DYLGS,SUPListDYLGS,Table__192.168.3.138AgingReportDYLGS[[#This Row],[SupplierID]],DLDYLGS,"&gt;=31",DLDYLGS,"&lt;=45")</f>
        <v>0</v>
      </c>
      <c r="H31" s="6">
        <f>SUMIFS(NetB3DYLGS,SUPListDYLGS,Table__192.168.3.138AgingReportDYLGS[[#This Row],[SupplierID]],DLDYLGS,"&gt;=46",DLDYLGS,"&lt;=60")</f>
        <v>0</v>
      </c>
      <c r="I31" s="6">
        <f>SUMIFS(NetB3DYLGS,SUPListDYLGS,Table__192.168.3.138AgingReportDYLGS[[#This Row],[SupplierID]],DLDYLGS,"&gt;=61",DLDYLGS,"&lt;=90")</f>
        <v>0</v>
      </c>
      <c r="J31" s="6">
        <f>SUMIFS(NetB3DYLGS,SUPListDYLGS,Table__192.168.3.138AgingReportDYLGS[[#This Row],[SupplierID]],DLDYLGS,"&gt;=91",DLDYLGS,"&lt;=120")</f>
        <v>166711</v>
      </c>
      <c r="K31" s="6">
        <f>SUMIFS(NetB3DYLGS,SUPListDYLGS,Table__192.168.3.138AgingReportDYLGS[[#This Row],[SupplierID]],DLDYLGS,"&gt;120")</f>
        <v>367888</v>
      </c>
    </row>
    <row r="32" spans="1:11">
      <c r="A32" s="4" t="s">
        <v>5513</v>
      </c>
      <c r="B32" s="4" t="s">
        <v>5514</v>
      </c>
      <c r="C32" s="6">
        <f>SUMIF(SUPListDYLGS,Table__192.168.3.138AgingReportDYLGS[[#This Row],[SupplierID]],NetAmountDYLGS)</f>
        <v>6000</v>
      </c>
      <c r="D32" s="6">
        <f>SUMIF(SUPListDYLGS,Table__192.168.3.138AgingReportDYLGS[[#This Row],[SupplierID]],PaidDYLGS)</f>
        <v>0</v>
      </c>
      <c r="E32" s="6">
        <f>Table__192.168.3.138AgingReportDYLGS[[#This Row],[Net Amount]]-Table__192.168.3.138AgingReportDYLGS[[#This Row],[Paid]]</f>
        <v>6000</v>
      </c>
      <c r="F32" s="6">
        <f>SUMIFS(NetB3DYLGS,SUPListDYLGS,Table__192.168.3.138AgingReportDYLGS[[#This Row],[SupplierID]],DLDYLGS,"&gt;=1",DLDYLGS,"&lt;=30")</f>
        <v>0</v>
      </c>
      <c r="G32" s="6">
        <f>SUMIFS(NetB3DYLGS,SUPListDYLGS,Table__192.168.3.138AgingReportDYLGS[[#This Row],[SupplierID]],DLDYLGS,"&gt;=31",DLDYLGS,"&lt;=45")</f>
        <v>1800</v>
      </c>
      <c r="H32" s="6">
        <f>SUMIFS(NetB3DYLGS,SUPListDYLGS,Table__192.168.3.138AgingReportDYLGS[[#This Row],[SupplierID]],DLDYLGS,"&gt;=46",DLDYLGS,"&lt;=60")</f>
        <v>1800</v>
      </c>
      <c r="I32" s="6">
        <f>SUMIFS(NetB3DYLGS,SUPListDYLGS,Table__192.168.3.138AgingReportDYLGS[[#This Row],[SupplierID]],DLDYLGS,"&gt;=61",DLDYLGS,"&lt;=90")</f>
        <v>0</v>
      </c>
      <c r="J32" s="6">
        <f>SUMIFS(NetB3DYLGS,SUPListDYLGS,Table__192.168.3.138AgingReportDYLGS[[#This Row],[SupplierID]],DLDYLGS,"&gt;=91",DLDYLGS,"&lt;=120")</f>
        <v>2400</v>
      </c>
      <c r="K32" s="6">
        <f>SUMIFS(NetB3DYLGS,SUPListDYLGS,Table__192.168.3.138AgingReportDYLGS[[#This Row],[SupplierID]],DLDYLGS,"&gt;120")</f>
        <v>0</v>
      </c>
    </row>
    <row r="33" spans="1:11">
      <c r="A33" s="4" t="s">
        <v>5515</v>
      </c>
      <c r="B33" s="4" t="s">
        <v>5516</v>
      </c>
      <c r="C33" s="6">
        <f>SUMIF(SUPListDYLGS,Table__192.168.3.138AgingReportDYLGS[[#This Row],[SupplierID]],NetAmountDYLGS)</f>
        <v>638000</v>
      </c>
      <c r="D33" s="6">
        <f>SUMIF(SUPListDYLGS,Table__192.168.3.138AgingReportDYLGS[[#This Row],[SupplierID]],PaidDYLGS)</f>
        <v>0</v>
      </c>
      <c r="E33" s="6">
        <f>Table__192.168.3.138AgingReportDYLGS[[#This Row],[Net Amount]]-Table__192.168.3.138AgingReportDYLGS[[#This Row],[Paid]]</f>
        <v>638000</v>
      </c>
      <c r="F33" s="6">
        <f>SUMIFS(NetB3DYLGS,SUPListDYLGS,Table__192.168.3.138AgingReportDYLGS[[#This Row],[SupplierID]],DLDYLGS,"&gt;=1",DLDYLGS,"&lt;=30")</f>
        <v>0</v>
      </c>
      <c r="G33" s="6">
        <f>SUMIFS(NetB3DYLGS,SUPListDYLGS,Table__192.168.3.138AgingReportDYLGS[[#This Row],[SupplierID]],DLDYLGS,"&gt;=31",DLDYLGS,"&lt;=45")</f>
        <v>251952</v>
      </c>
      <c r="H33" s="6">
        <f>SUMIFS(NetB3DYLGS,SUPListDYLGS,Table__192.168.3.138AgingReportDYLGS[[#This Row],[SupplierID]],DLDYLGS,"&gt;=46",DLDYLGS,"&lt;=60")</f>
        <v>134374</v>
      </c>
      <c r="I33" s="6">
        <f>SUMIFS(NetB3DYLGS,SUPListDYLGS,Table__192.168.3.138AgingReportDYLGS[[#This Row],[SupplierID]],DLDYLGS,"&gt;=61",DLDYLGS,"&lt;=90")</f>
        <v>9466</v>
      </c>
      <c r="J33" s="6">
        <f>SUMIFS(NetB3DYLGS,SUPListDYLGS,Table__192.168.3.138AgingReportDYLGS[[#This Row],[SupplierID]],DLDYLGS,"&gt;=91",DLDYLGS,"&lt;=120")</f>
        <v>242208</v>
      </c>
      <c r="K33" s="6">
        <f>SUMIFS(NetB3DYLGS,SUPListDYLGS,Table__192.168.3.138AgingReportDYLGS[[#This Row],[SupplierID]],DLDYLGS,"&gt;120")</f>
        <v>0</v>
      </c>
    </row>
    <row r="34" spans="1:11">
      <c r="A34" s="4" t="s">
        <v>5517</v>
      </c>
      <c r="B34" s="4" t="s">
        <v>5518</v>
      </c>
      <c r="C34" s="6">
        <f>SUMIF(SUPListDYLGS,Table__192.168.3.138AgingReportDYLGS[[#This Row],[SupplierID]],NetAmountDYLGS)</f>
        <v>1356910</v>
      </c>
      <c r="D34" s="6">
        <f>SUMIF(SUPListDYLGS,Table__192.168.3.138AgingReportDYLGS[[#This Row],[SupplierID]],PaidDYLGS)</f>
        <v>0</v>
      </c>
      <c r="E34" s="6">
        <f>Table__192.168.3.138AgingReportDYLGS[[#This Row],[Net Amount]]-Table__192.168.3.138AgingReportDYLGS[[#This Row],[Paid]]</f>
        <v>1356910</v>
      </c>
      <c r="F34" s="6">
        <f>SUMIFS(NetB3DYLGS,SUPListDYLGS,Table__192.168.3.138AgingReportDYLGS[[#This Row],[SupplierID]],DLDYLGS,"&gt;=1",DLDYLGS,"&lt;=30")</f>
        <v>0</v>
      </c>
      <c r="G34" s="6">
        <f>SUMIFS(NetB3DYLGS,SUPListDYLGS,Table__192.168.3.138AgingReportDYLGS[[#This Row],[SupplierID]],DLDYLGS,"&gt;=31",DLDYLGS,"&lt;=45")</f>
        <v>879385</v>
      </c>
      <c r="H34" s="6">
        <f>SUMIFS(NetB3DYLGS,SUPListDYLGS,Table__192.168.3.138AgingReportDYLGS[[#This Row],[SupplierID]],DLDYLGS,"&gt;=46",DLDYLGS,"&lt;=60")</f>
        <v>0</v>
      </c>
      <c r="I34" s="6">
        <f>SUMIFS(NetB3DYLGS,SUPListDYLGS,Table__192.168.3.138AgingReportDYLGS[[#This Row],[SupplierID]],DLDYLGS,"&gt;=61",DLDYLGS,"&lt;=90")</f>
        <v>0</v>
      </c>
      <c r="J34" s="6">
        <f>SUMIFS(NetB3DYLGS,SUPListDYLGS,Table__192.168.3.138AgingReportDYLGS[[#This Row],[SupplierID]],DLDYLGS,"&gt;=91",DLDYLGS,"&lt;=120")</f>
        <v>477525</v>
      </c>
      <c r="K34" s="6">
        <f>SUMIFS(NetB3DYLGS,SUPListDYLGS,Table__192.168.3.138AgingReportDYLGS[[#This Row],[SupplierID]],DLDYLGS,"&gt;120")</f>
        <v>0</v>
      </c>
    </row>
    <row r="35" spans="1:11">
      <c r="A35" s="4" t="s">
        <v>5519</v>
      </c>
      <c r="B35" s="4" t="s">
        <v>5520</v>
      </c>
      <c r="C35" s="6">
        <f>SUMIF(SUPListDYLGS,Table__192.168.3.138AgingReportDYLGS[[#This Row],[SupplierID]],NetAmountDYLGS)</f>
        <v>150336</v>
      </c>
      <c r="D35" s="6">
        <f>SUMIF(SUPListDYLGS,Table__192.168.3.138AgingReportDYLGS[[#This Row],[SupplierID]],PaidDYLGS)</f>
        <v>0</v>
      </c>
      <c r="E35" s="6">
        <f>Table__192.168.3.138AgingReportDYLGS[[#This Row],[Net Amount]]-Table__192.168.3.138AgingReportDYLGS[[#This Row],[Paid]]</f>
        <v>150336</v>
      </c>
      <c r="F35" s="6">
        <f>SUMIFS(NetB3DYLGS,SUPListDYLGS,Table__192.168.3.138AgingReportDYLGS[[#This Row],[SupplierID]],DLDYLGS,"&gt;=1",DLDYLGS,"&lt;=30")</f>
        <v>0</v>
      </c>
      <c r="G35" s="6">
        <f>SUMIFS(NetB3DYLGS,SUPListDYLGS,Table__192.168.3.138AgingReportDYLGS[[#This Row],[SupplierID]],DLDYLGS,"&gt;=31",DLDYLGS,"&lt;=45")</f>
        <v>0</v>
      </c>
      <c r="H35" s="6">
        <f>SUMIFS(NetB3DYLGS,SUPListDYLGS,Table__192.168.3.138AgingReportDYLGS[[#This Row],[SupplierID]],DLDYLGS,"&gt;=46",DLDYLGS,"&lt;=60")</f>
        <v>0</v>
      </c>
      <c r="I35" s="6">
        <f>SUMIFS(NetB3DYLGS,SUPListDYLGS,Table__192.168.3.138AgingReportDYLGS[[#This Row],[SupplierID]],DLDYLGS,"&gt;=61",DLDYLGS,"&lt;=90")</f>
        <v>66816</v>
      </c>
      <c r="J35" s="6">
        <f>SUMIFS(NetB3DYLGS,SUPListDYLGS,Table__192.168.3.138AgingReportDYLGS[[#This Row],[SupplierID]],DLDYLGS,"&gt;=91",DLDYLGS,"&lt;=120")</f>
        <v>83520</v>
      </c>
      <c r="K35" s="6">
        <f>SUMIFS(NetB3DYLGS,SUPListDYLGS,Table__192.168.3.138AgingReportDYLGS[[#This Row],[SupplierID]],DLDYLGS,"&gt;120")</f>
        <v>0</v>
      </c>
    </row>
    <row r="36" spans="1:11">
      <c r="A36" s="4" t="s">
        <v>5521</v>
      </c>
      <c r="B36" s="4" t="s">
        <v>5522</v>
      </c>
      <c r="C36" s="6">
        <f>SUMIF(SUPListDYLGS,Table__192.168.3.138AgingReportDYLGS[[#This Row],[SupplierID]],NetAmountDYLGS)</f>
        <v>5002720</v>
      </c>
      <c r="D36" s="6">
        <f>SUMIF(SUPListDYLGS,Table__192.168.3.138AgingReportDYLGS[[#This Row],[SupplierID]],PaidDYLGS)</f>
        <v>0</v>
      </c>
      <c r="E36" s="6">
        <f>Table__192.168.3.138AgingReportDYLGS[[#This Row],[Net Amount]]-Table__192.168.3.138AgingReportDYLGS[[#This Row],[Paid]]</f>
        <v>5002720</v>
      </c>
      <c r="F36" s="6">
        <f>SUMIFS(NetB3DYLGS,SUPListDYLGS,Table__192.168.3.138AgingReportDYLGS[[#This Row],[SupplierID]],DLDYLGS,"&gt;=1",DLDYLGS,"&lt;=30")</f>
        <v>388577</v>
      </c>
      <c r="G36" s="6">
        <f>SUMIFS(NetB3DYLGS,SUPListDYLGS,Table__192.168.3.138AgingReportDYLGS[[#This Row],[SupplierID]],DLDYLGS,"&gt;=31",DLDYLGS,"&lt;=45")</f>
        <v>543794</v>
      </c>
      <c r="H36" s="6">
        <f>SUMIFS(NetB3DYLGS,SUPListDYLGS,Table__192.168.3.138AgingReportDYLGS[[#This Row],[SupplierID]],DLDYLGS,"&gt;=46",DLDYLGS,"&lt;=60")</f>
        <v>827660</v>
      </c>
      <c r="I36" s="6">
        <f>SUMIFS(NetB3DYLGS,SUPListDYLGS,Table__192.168.3.138AgingReportDYLGS[[#This Row],[SupplierID]],DLDYLGS,"&gt;=61",DLDYLGS,"&lt;=90")</f>
        <v>639067</v>
      </c>
      <c r="J36" s="6">
        <f>SUMIFS(NetB3DYLGS,SUPListDYLGS,Table__192.168.3.138AgingReportDYLGS[[#This Row],[SupplierID]],DLDYLGS,"&gt;=91",DLDYLGS,"&lt;=120")</f>
        <v>590672</v>
      </c>
      <c r="K36" s="6">
        <f>SUMIFS(NetB3DYLGS,SUPListDYLGS,Table__192.168.3.138AgingReportDYLGS[[#This Row],[SupplierID]],DLDYLGS,"&gt;120")</f>
        <v>2012950</v>
      </c>
    </row>
    <row r="37" spans="1:11">
      <c r="A37" s="4" t="s">
        <v>5523</v>
      </c>
      <c r="B37" s="4" t="s">
        <v>5524</v>
      </c>
      <c r="C37" s="6">
        <f>SUMIF(SUPListDYLGS,Table__192.168.3.138AgingReportDYLGS[[#This Row],[SupplierID]],NetAmountDYLGS)</f>
        <v>103938</v>
      </c>
      <c r="D37" s="6">
        <f>SUMIF(SUPListDYLGS,Table__192.168.3.138AgingReportDYLGS[[#This Row],[SupplierID]],PaidDYLGS)</f>
        <v>0</v>
      </c>
      <c r="E37" s="6">
        <f>Table__192.168.3.138AgingReportDYLGS[[#This Row],[Net Amount]]-Table__192.168.3.138AgingReportDYLGS[[#This Row],[Paid]]</f>
        <v>103938</v>
      </c>
      <c r="F37" s="6">
        <f>SUMIFS(NetB3DYLGS,SUPListDYLGS,Table__192.168.3.138AgingReportDYLGS[[#This Row],[SupplierID]],DLDYLGS,"&gt;=1",DLDYLGS,"&lt;=30")</f>
        <v>4350</v>
      </c>
      <c r="G37" s="6">
        <f>SUMIFS(NetB3DYLGS,SUPListDYLGS,Table__192.168.3.138AgingReportDYLGS[[#This Row],[SupplierID]],DLDYLGS,"&gt;=31",DLDYLGS,"&lt;=45")</f>
        <v>16820</v>
      </c>
      <c r="H37" s="6">
        <f>SUMIFS(NetB3DYLGS,SUPListDYLGS,Table__192.168.3.138AgingReportDYLGS[[#This Row],[SupplierID]],DLDYLGS,"&gt;=46",DLDYLGS,"&lt;=60")</f>
        <v>0</v>
      </c>
      <c r="I37" s="6">
        <f>SUMIFS(NetB3DYLGS,SUPListDYLGS,Table__192.168.3.138AgingReportDYLGS[[#This Row],[SupplierID]],DLDYLGS,"&gt;=61",DLDYLGS,"&lt;=90")</f>
        <v>26100</v>
      </c>
      <c r="J37" s="6">
        <f>SUMIFS(NetB3DYLGS,SUPListDYLGS,Table__192.168.3.138AgingReportDYLGS[[#This Row],[SupplierID]],DLDYLGS,"&gt;=91",DLDYLGS,"&lt;=120")</f>
        <v>0</v>
      </c>
      <c r="K37" s="6">
        <f>SUMIFS(NetB3DYLGS,SUPListDYLGS,Table__192.168.3.138AgingReportDYLGS[[#This Row],[SupplierID]],DLDYLGS,"&gt;120")</f>
        <v>56668</v>
      </c>
    </row>
    <row r="38" spans="1:11">
      <c r="A38" s="4" t="s">
        <v>5525</v>
      </c>
      <c r="B38" s="4" t="s">
        <v>5526</v>
      </c>
      <c r="C38" s="6">
        <f>SUMIF(SUPListDYLGS,Table__192.168.3.138AgingReportDYLGS[[#This Row],[SupplierID]],NetAmountDYLGS)</f>
        <v>95526</v>
      </c>
      <c r="D38" s="6">
        <f>SUMIF(SUPListDYLGS,Table__192.168.3.138AgingReportDYLGS[[#This Row],[SupplierID]],PaidDYLGS)</f>
        <v>0</v>
      </c>
      <c r="E38" s="6">
        <f>Table__192.168.3.138AgingReportDYLGS[[#This Row],[Net Amount]]-Table__192.168.3.138AgingReportDYLGS[[#This Row],[Paid]]</f>
        <v>95526</v>
      </c>
      <c r="F38" s="6">
        <f>SUMIFS(NetB3DYLGS,SUPListDYLGS,Table__192.168.3.138AgingReportDYLGS[[#This Row],[SupplierID]],DLDYLGS,"&gt;=1",DLDYLGS,"&lt;=30")</f>
        <v>35902</v>
      </c>
      <c r="G38" s="6">
        <f>SUMIFS(NetB3DYLGS,SUPListDYLGS,Table__192.168.3.138AgingReportDYLGS[[#This Row],[SupplierID]],DLDYLGS,"&gt;=31",DLDYLGS,"&lt;=45")</f>
        <v>0</v>
      </c>
      <c r="H38" s="6">
        <f>SUMIFS(NetB3DYLGS,SUPListDYLGS,Table__192.168.3.138AgingReportDYLGS[[#This Row],[SupplierID]],DLDYLGS,"&gt;=46",DLDYLGS,"&lt;=60")</f>
        <v>0</v>
      </c>
      <c r="I38" s="6">
        <f>SUMIFS(NetB3DYLGS,SUPListDYLGS,Table__192.168.3.138AgingReportDYLGS[[#This Row],[SupplierID]],DLDYLGS,"&gt;=61",DLDYLGS,"&lt;=90")</f>
        <v>9512</v>
      </c>
      <c r="J38" s="6">
        <f>SUMIFS(NetB3DYLGS,SUPListDYLGS,Table__192.168.3.138AgingReportDYLGS[[#This Row],[SupplierID]],DLDYLGS,"&gt;=91",DLDYLGS,"&lt;=120")</f>
        <v>9512</v>
      </c>
      <c r="K38" s="6">
        <f>SUMIFS(NetB3DYLGS,SUPListDYLGS,Table__192.168.3.138AgingReportDYLGS[[#This Row],[SupplierID]],DLDYLGS,"&gt;120")</f>
        <v>40600</v>
      </c>
    </row>
    <row r="39" spans="1:11">
      <c r="A39" s="4" t="s">
        <v>5527</v>
      </c>
      <c r="B39" s="4" t="s">
        <v>5528</v>
      </c>
      <c r="C39" s="6">
        <f>SUMIF(SUPListDYLGS,Table__192.168.3.138AgingReportDYLGS[[#This Row],[SupplierID]],NetAmountDYLGS)</f>
        <v>79576</v>
      </c>
      <c r="D39" s="6">
        <f>SUMIF(SUPListDYLGS,Table__192.168.3.138AgingReportDYLGS[[#This Row],[SupplierID]],PaidDYLGS)</f>
        <v>0</v>
      </c>
      <c r="E39" s="6">
        <f>Table__192.168.3.138AgingReportDYLGS[[#This Row],[Net Amount]]-Table__192.168.3.138AgingReportDYLGS[[#This Row],[Paid]]</f>
        <v>79576</v>
      </c>
      <c r="F39" s="6">
        <f>SUMIFS(NetB3DYLGS,SUPListDYLGS,Table__192.168.3.138AgingReportDYLGS[[#This Row],[SupplierID]],DLDYLGS,"&gt;=1",DLDYLGS,"&lt;=30")</f>
        <v>25520</v>
      </c>
      <c r="G39" s="6">
        <f>SUMIFS(NetB3DYLGS,SUPListDYLGS,Table__192.168.3.138AgingReportDYLGS[[#This Row],[SupplierID]],DLDYLGS,"&gt;=31",DLDYLGS,"&lt;=45")</f>
        <v>0</v>
      </c>
      <c r="H39" s="6">
        <f>SUMIFS(NetB3DYLGS,SUPListDYLGS,Table__192.168.3.138AgingReportDYLGS[[#This Row],[SupplierID]],DLDYLGS,"&gt;=46",DLDYLGS,"&lt;=60")</f>
        <v>0</v>
      </c>
      <c r="I39" s="6">
        <f>SUMIFS(NetB3DYLGS,SUPListDYLGS,Table__192.168.3.138AgingReportDYLGS[[#This Row],[SupplierID]],DLDYLGS,"&gt;=61",DLDYLGS,"&lt;=90")</f>
        <v>0</v>
      </c>
      <c r="J39" s="6">
        <f>SUMIFS(NetB3DYLGS,SUPListDYLGS,Table__192.168.3.138AgingReportDYLGS[[#This Row],[SupplierID]],DLDYLGS,"&gt;=91",DLDYLGS,"&lt;=120")</f>
        <v>0</v>
      </c>
      <c r="K39" s="6">
        <f>SUMIFS(NetB3DYLGS,SUPListDYLGS,Table__192.168.3.138AgingReportDYLGS[[#This Row],[SupplierID]],DLDYLGS,"&gt;120")</f>
        <v>54056</v>
      </c>
    </row>
    <row r="40" spans="1:11">
      <c r="A40" s="4" t="s">
        <v>5529</v>
      </c>
      <c r="B40" s="4" t="s">
        <v>5530</v>
      </c>
      <c r="C40" s="6">
        <f>SUMIF(SUPListDYLGS,Table__192.168.3.138AgingReportDYLGS[[#This Row],[SupplierID]],NetAmountDYLGS)</f>
        <v>1479200</v>
      </c>
      <c r="D40" s="6">
        <f>SUMIF(SUPListDYLGS,Table__192.168.3.138AgingReportDYLGS[[#This Row],[SupplierID]],PaidDYLGS)</f>
        <v>0</v>
      </c>
      <c r="E40" s="6">
        <f>Table__192.168.3.138AgingReportDYLGS[[#This Row],[Net Amount]]-Table__192.168.3.138AgingReportDYLGS[[#This Row],[Paid]]</f>
        <v>1479200</v>
      </c>
      <c r="F40" s="6">
        <f>SUMIFS(NetB3DYLGS,SUPListDYLGS,Table__192.168.3.138AgingReportDYLGS[[#This Row],[SupplierID]],DLDYLGS,"&gt;=1",DLDYLGS,"&lt;=30")</f>
        <v>0</v>
      </c>
      <c r="G40" s="6">
        <f>SUMIFS(NetB3DYLGS,SUPListDYLGS,Table__192.168.3.138AgingReportDYLGS[[#This Row],[SupplierID]],DLDYLGS,"&gt;=31",DLDYLGS,"&lt;=45")</f>
        <v>296700</v>
      </c>
      <c r="H40" s="6">
        <f>SUMIFS(NetB3DYLGS,SUPListDYLGS,Table__192.168.3.138AgingReportDYLGS[[#This Row],[SupplierID]],DLDYLGS,"&gt;=46",DLDYLGS,"&lt;=60")</f>
        <v>0</v>
      </c>
      <c r="I40" s="6">
        <f>SUMIFS(NetB3DYLGS,SUPListDYLGS,Table__192.168.3.138AgingReportDYLGS[[#This Row],[SupplierID]],DLDYLGS,"&gt;=61",DLDYLGS,"&lt;=90")</f>
        <v>249400</v>
      </c>
      <c r="J40" s="6">
        <f>SUMIFS(NetB3DYLGS,SUPListDYLGS,Table__192.168.3.138AgingReportDYLGS[[#This Row],[SupplierID]],DLDYLGS,"&gt;=91",DLDYLGS,"&lt;=120")</f>
        <v>347100</v>
      </c>
      <c r="K40" s="6">
        <f>SUMIFS(NetB3DYLGS,SUPListDYLGS,Table__192.168.3.138AgingReportDYLGS[[#This Row],[SupplierID]],DLDYLGS,"&gt;120")</f>
        <v>586000</v>
      </c>
    </row>
    <row r="41" spans="1:11">
      <c r="A41" s="4" t="s">
        <v>5531</v>
      </c>
      <c r="B41" s="4" t="s">
        <v>5532</v>
      </c>
      <c r="C41" s="6">
        <f>SUMIF(SUPListDYLGS,Table__192.168.3.138AgingReportDYLGS[[#This Row],[SupplierID]],NetAmountDYLGS)</f>
        <v>26007</v>
      </c>
      <c r="D41" s="6">
        <f>SUMIF(SUPListDYLGS,Table__192.168.3.138AgingReportDYLGS[[#This Row],[SupplierID]],PaidDYLGS)</f>
        <v>0</v>
      </c>
      <c r="E41" s="6">
        <f>Table__192.168.3.138AgingReportDYLGS[[#This Row],[Net Amount]]-Table__192.168.3.138AgingReportDYLGS[[#This Row],[Paid]]</f>
        <v>26007</v>
      </c>
      <c r="F41" s="6">
        <f>SUMIFS(NetB3DYLGS,SUPListDYLGS,Table__192.168.3.138AgingReportDYLGS[[#This Row],[SupplierID]],DLDYLGS,"&gt;=1",DLDYLGS,"&lt;=30")</f>
        <v>0</v>
      </c>
      <c r="G41" s="6">
        <f>SUMIFS(NetB3DYLGS,SUPListDYLGS,Table__192.168.3.138AgingReportDYLGS[[#This Row],[SupplierID]],DLDYLGS,"&gt;=31",DLDYLGS,"&lt;=45")</f>
        <v>11043</v>
      </c>
      <c r="H41" s="6">
        <f>SUMIFS(NetB3DYLGS,SUPListDYLGS,Table__192.168.3.138AgingReportDYLGS[[#This Row],[SupplierID]],DLDYLGS,"&gt;=46",DLDYLGS,"&lt;=60")</f>
        <v>0</v>
      </c>
      <c r="I41" s="6">
        <f>SUMIFS(NetB3DYLGS,SUPListDYLGS,Table__192.168.3.138AgingReportDYLGS[[#This Row],[SupplierID]],DLDYLGS,"&gt;=61",DLDYLGS,"&lt;=90")</f>
        <v>0</v>
      </c>
      <c r="J41" s="6">
        <f>SUMIFS(NetB3DYLGS,SUPListDYLGS,Table__192.168.3.138AgingReportDYLGS[[#This Row],[SupplierID]],DLDYLGS,"&gt;=91",DLDYLGS,"&lt;=120")</f>
        <v>0</v>
      </c>
      <c r="K41" s="6">
        <f>SUMIFS(NetB3DYLGS,SUPListDYLGS,Table__192.168.3.138AgingReportDYLGS[[#This Row],[SupplierID]],DLDYLGS,"&gt;120")</f>
        <v>14964</v>
      </c>
    </row>
    <row r="42" spans="1:11">
      <c r="A42" s="4" t="s">
        <v>5533</v>
      </c>
      <c r="B42" s="4" t="s">
        <v>5534</v>
      </c>
      <c r="C42" s="6">
        <f>SUMIF(SUPListDYLGS,Table__192.168.3.138AgingReportDYLGS[[#This Row],[SupplierID]],NetAmountDYLGS)</f>
        <v>78880</v>
      </c>
      <c r="D42" s="6">
        <f>SUMIF(SUPListDYLGS,Table__192.168.3.138AgingReportDYLGS[[#This Row],[SupplierID]],PaidDYLGS)</f>
        <v>0</v>
      </c>
      <c r="E42" s="6">
        <f>Table__192.168.3.138AgingReportDYLGS[[#This Row],[Net Amount]]-Table__192.168.3.138AgingReportDYLGS[[#This Row],[Paid]]</f>
        <v>78880</v>
      </c>
      <c r="F42" s="6">
        <f>SUMIFS(NetB3DYLGS,SUPListDYLGS,Table__192.168.3.138AgingReportDYLGS[[#This Row],[SupplierID]],DLDYLGS,"&gt;=1",DLDYLGS,"&lt;=30")</f>
        <v>29580</v>
      </c>
      <c r="G42" s="6">
        <f>SUMIFS(NetB3DYLGS,SUPListDYLGS,Table__192.168.3.138AgingReportDYLGS[[#This Row],[SupplierID]],DLDYLGS,"&gt;=31",DLDYLGS,"&lt;=45")</f>
        <v>0</v>
      </c>
      <c r="H42" s="6">
        <f>SUMIFS(NetB3DYLGS,SUPListDYLGS,Table__192.168.3.138AgingReportDYLGS[[#This Row],[SupplierID]],DLDYLGS,"&gt;=46",DLDYLGS,"&lt;=60")</f>
        <v>0</v>
      </c>
      <c r="I42" s="6">
        <f>SUMIFS(NetB3DYLGS,SUPListDYLGS,Table__192.168.3.138AgingReportDYLGS[[#This Row],[SupplierID]],DLDYLGS,"&gt;=61",DLDYLGS,"&lt;=90")</f>
        <v>0</v>
      </c>
      <c r="J42" s="6">
        <f>SUMIFS(NetB3DYLGS,SUPListDYLGS,Table__192.168.3.138AgingReportDYLGS[[#This Row],[SupplierID]],DLDYLGS,"&gt;=91",DLDYLGS,"&lt;=120")</f>
        <v>29580</v>
      </c>
      <c r="K42" s="6">
        <f>SUMIFS(NetB3DYLGS,SUPListDYLGS,Table__192.168.3.138AgingReportDYLGS[[#This Row],[SupplierID]],DLDYLGS,"&gt;120")</f>
        <v>19720</v>
      </c>
    </row>
    <row r="43" spans="1:11">
      <c r="A43" s="4" t="s">
        <v>5535</v>
      </c>
      <c r="B43" s="4" t="s">
        <v>5536</v>
      </c>
      <c r="C43" s="6">
        <f>SUMIF(SUPListDYLGS,Table__192.168.3.138AgingReportDYLGS[[#This Row],[SupplierID]],NetAmountDYLGS)</f>
        <v>312074</v>
      </c>
      <c r="D43" s="6">
        <f>SUMIF(SUPListDYLGS,Table__192.168.3.138AgingReportDYLGS[[#This Row],[SupplierID]],PaidDYLGS)</f>
        <v>0</v>
      </c>
      <c r="E43" s="6">
        <f>Table__192.168.3.138AgingReportDYLGS[[#This Row],[Net Amount]]-Table__192.168.3.138AgingReportDYLGS[[#This Row],[Paid]]</f>
        <v>312074</v>
      </c>
      <c r="F43" s="6">
        <f>SUMIFS(NetB3DYLGS,SUPListDYLGS,Table__192.168.3.138AgingReportDYLGS[[#This Row],[SupplierID]],DLDYLGS,"&gt;=1",DLDYLGS,"&lt;=30")</f>
        <v>0</v>
      </c>
      <c r="G43" s="6">
        <f>SUMIFS(NetB3DYLGS,SUPListDYLGS,Table__192.168.3.138AgingReportDYLGS[[#This Row],[SupplierID]],DLDYLGS,"&gt;=31",DLDYLGS,"&lt;=45")</f>
        <v>0</v>
      </c>
      <c r="H43" s="6">
        <f>SUMIFS(NetB3DYLGS,SUPListDYLGS,Table__192.168.3.138AgingReportDYLGS[[#This Row],[SupplierID]],DLDYLGS,"&gt;=46",DLDYLGS,"&lt;=60")</f>
        <v>0</v>
      </c>
      <c r="I43" s="6">
        <f>SUMIFS(NetB3DYLGS,SUPListDYLGS,Table__192.168.3.138AgingReportDYLGS[[#This Row],[SupplierID]],DLDYLGS,"&gt;=61",DLDYLGS,"&lt;=90")</f>
        <v>0</v>
      </c>
      <c r="J43" s="6">
        <f>SUMIFS(NetB3DYLGS,SUPListDYLGS,Table__192.168.3.138AgingReportDYLGS[[#This Row],[SupplierID]],DLDYLGS,"&gt;=91",DLDYLGS,"&lt;=120")</f>
        <v>0</v>
      </c>
      <c r="K43" s="6">
        <f>SUMIFS(NetB3DYLGS,SUPListDYLGS,Table__192.168.3.138AgingReportDYLGS[[#This Row],[SupplierID]],DLDYLGS,"&gt;120")</f>
        <v>312074</v>
      </c>
    </row>
    <row r="44" spans="1:11">
      <c r="A44" s="4" t="s">
        <v>5537</v>
      </c>
      <c r="B44" s="4" t="s">
        <v>5538</v>
      </c>
      <c r="C44" s="6">
        <f>SUMIF(SUPListDYLGS,Table__192.168.3.138AgingReportDYLGS[[#This Row],[SupplierID]],NetAmountDYLGS)</f>
        <v>34481</v>
      </c>
      <c r="D44" s="6">
        <f>SUMIF(SUPListDYLGS,Table__192.168.3.138AgingReportDYLGS[[#This Row],[SupplierID]],PaidDYLGS)</f>
        <v>0</v>
      </c>
      <c r="E44" s="6">
        <f>Table__192.168.3.138AgingReportDYLGS[[#This Row],[Net Amount]]-Table__192.168.3.138AgingReportDYLGS[[#This Row],[Paid]]</f>
        <v>34481</v>
      </c>
      <c r="F44" s="6">
        <f>SUMIFS(NetB3DYLGS,SUPListDYLGS,Table__192.168.3.138AgingReportDYLGS[[#This Row],[SupplierID]],DLDYLGS,"&gt;=1",DLDYLGS,"&lt;=30")</f>
        <v>0</v>
      </c>
      <c r="G44" s="6">
        <f>SUMIFS(NetB3DYLGS,SUPListDYLGS,Table__192.168.3.138AgingReportDYLGS[[#This Row],[SupplierID]],DLDYLGS,"&gt;=31",DLDYLGS,"&lt;=45")</f>
        <v>0</v>
      </c>
      <c r="H44" s="6">
        <f>SUMIFS(NetB3DYLGS,SUPListDYLGS,Table__192.168.3.138AgingReportDYLGS[[#This Row],[SupplierID]],DLDYLGS,"&gt;=46",DLDYLGS,"&lt;=60")</f>
        <v>0</v>
      </c>
      <c r="I44" s="6">
        <f>SUMIFS(NetB3DYLGS,SUPListDYLGS,Table__192.168.3.138AgingReportDYLGS[[#This Row],[SupplierID]],DLDYLGS,"&gt;=61",DLDYLGS,"&lt;=90")</f>
        <v>0</v>
      </c>
      <c r="J44" s="6">
        <f>SUMIFS(NetB3DYLGS,SUPListDYLGS,Table__192.168.3.138AgingReportDYLGS[[#This Row],[SupplierID]],DLDYLGS,"&gt;=91",DLDYLGS,"&lt;=120")</f>
        <v>0</v>
      </c>
      <c r="K44" s="6">
        <f>SUMIFS(NetB3DYLGS,SUPListDYLGS,Table__192.168.3.138AgingReportDYLGS[[#This Row],[SupplierID]],DLDYLGS,"&gt;120")</f>
        <v>34481</v>
      </c>
    </row>
    <row r="45" spans="1:11">
      <c r="A45" s="4" t="s">
        <v>5539</v>
      </c>
      <c r="B45" s="4" t="s">
        <v>5540</v>
      </c>
      <c r="C45" s="6">
        <f>SUMIF(SUPListDYLGS,Table__192.168.3.138AgingReportDYLGS[[#This Row],[SupplierID]],NetAmountDYLGS)</f>
        <v>1380</v>
      </c>
      <c r="D45" s="6">
        <f>SUMIF(SUPListDYLGS,Table__192.168.3.138AgingReportDYLGS[[#This Row],[SupplierID]],PaidDYLGS)</f>
        <v>0</v>
      </c>
      <c r="E45" s="6">
        <f>Table__192.168.3.138AgingReportDYLGS[[#This Row],[Net Amount]]-Table__192.168.3.138AgingReportDYLGS[[#This Row],[Paid]]</f>
        <v>1380</v>
      </c>
      <c r="F45" s="6">
        <f>SUMIFS(NetB3DYLGS,SUPListDYLGS,Table__192.168.3.138AgingReportDYLGS[[#This Row],[SupplierID]],DLDYLGS,"&gt;=1",DLDYLGS,"&lt;=30")</f>
        <v>0</v>
      </c>
      <c r="G45" s="6">
        <f>SUMIFS(NetB3DYLGS,SUPListDYLGS,Table__192.168.3.138AgingReportDYLGS[[#This Row],[SupplierID]],DLDYLGS,"&gt;=31",DLDYLGS,"&lt;=45")</f>
        <v>1380</v>
      </c>
      <c r="H45" s="6">
        <f>SUMIFS(NetB3DYLGS,SUPListDYLGS,Table__192.168.3.138AgingReportDYLGS[[#This Row],[SupplierID]],DLDYLGS,"&gt;=46",DLDYLGS,"&lt;=60")</f>
        <v>0</v>
      </c>
      <c r="I45" s="6">
        <f>SUMIFS(NetB3DYLGS,SUPListDYLGS,Table__192.168.3.138AgingReportDYLGS[[#This Row],[SupplierID]],DLDYLGS,"&gt;=61",DLDYLGS,"&lt;=90")</f>
        <v>0</v>
      </c>
      <c r="J45" s="6">
        <f>SUMIFS(NetB3DYLGS,SUPListDYLGS,Table__192.168.3.138AgingReportDYLGS[[#This Row],[SupplierID]],DLDYLGS,"&gt;=91",DLDYLGS,"&lt;=120")</f>
        <v>0</v>
      </c>
      <c r="K45" s="6">
        <f>SUMIFS(NetB3DYLGS,SUPListDYLGS,Table__192.168.3.138AgingReportDYLGS[[#This Row],[SupplierID]],DLDYLGS,"&gt;120")</f>
        <v>0</v>
      </c>
    </row>
    <row r="46" spans="1:11">
      <c r="A46" s="4" t="s">
        <v>5541</v>
      </c>
      <c r="B46" s="4" t="s">
        <v>5542</v>
      </c>
      <c r="C46" s="6">
        <f>SUMIF(SUPListDYLGS,Table__192.168.3.138AgingReportDYLGS[[#This Row],[SupplierID]],NetAmountDYLGS)</f>
        <v>6199295</v>
      </c>
      <c r="D46" s="6">
        <f>SUMIF(SUPListDYLGS,Table__192.168.3.138AgingReportDYLGS[[#This Row],[SupplierID]],PaidDYLGS)</f>
        <v>121406</v>
      </c>
      <c r="E46" s="6">
        <f>Table__192.168.3.138AgingReportDYLGS[[#This Row],[Net Amount]]-Table__192.168.3.138AgingReportDYLGS[[#This Row],[Paid]]</f>
        <v>6077889</v>
      </c>
      <c r="F46" s="6">
        <f>SUMIFS(NetB3DYLGS,SUPListDYLGS,Table__192.168.3.138AgingReportDYLGS[[#This Row],[SupplierID]],DLDYLGS,"&gt;=1",DLDYLGS,"&lt;=30")</f>
        <v>0</v>
      </c>
      <c r="G46" s="6">
        <f>SUMIFS(NetB3DYLGS,SUPListDYLGS,Table__192.168.3.138AgingReportDYLGS[[#This Row],[SupplierID]],DLDYLGS,"&gt;=31",DLDYLGS,"&lt;=45")</f>
        <v>0</v>
      </c>
      <c r="H46" s="6">
        <f>SUMIFS(NetB3DYLGS,SUPListDYLGS,Table__192.168.3.138AgingReportDYLGS[[#This Row],[SupplierID]],DLDYLGS,"&gt;=46",DLDYLGS,"&lt;=60")</f>
        <v>0</v>
      </c>
      <c r="I46" s="6">
        <f>SUMIFS(NetB3DYLGS,SUPListDYLGS,Table__192.168.3.138AgingReportDYLGS[[#This Row],[SupplierID]],DLDYLGS,"&gt;=61",DLDYLGS,"&lt;=90")</f>
        <v>0</v>
      </c>
      <c r="J46" s="6">
        <f>SUMIFS(NetB3DYLGS,SUPListDYLGS,Table__192.168.3.138AgingReportDYLGS[[#This Row],[SupplierID]],DLDYLGS,"&gt;=91",DLDYLGS,"&lt;=120")</f>
        <v>0</v>
      </c>
      <c r="K46" s="6">
        <f>SUMIFS(NetB3DYLGS,SUPListDYLGS,Table__192.168.3.138AgingReportDYLGS[[#This Row],[SupplierID]],DLDYLGS,"&gt;120")</f>
        <v>6028079</v>
      </c>
    </row>
    <row r="47" spans="1:11">
      <c r="A47" s="4" t="s">
        <v>5543</v>
      </c>
      <c r="B47" s="4" t="s">
        <v>5544</v>
      </c>
      <c r="C47" s="6">
        <f>SUMIF(SUPListDYLGS,Table__192.168.3.138AgingReportDYLGS[[#This Row],[SupplierID]],NetAmountDYLGS)</f>
        <v>123441</v>
      </c>
      <c r="D47" s="6">
        <f>SUMIF(SUPListDYLGS,Table__192.168.3.138AgingReportDYLGS[[#This Row],[SupplierID]],PaidDYLGS)</f>
        <v>0</v>
      </c>
      <c r="E47" s="6">
        <f>Table__192.168.3.138AgingReportDYLGS[[#This Row],[Net Amount]]-Table__192.168.3.138AgingReportDYLGS[[#This Row],[Paid]]</f>
        <v>123441</v>
      </c>
      <c r="F47" s="6">
        <f>SUMIFS(NetB3DYLGS,SUPListDYLGS,Table__192.168.3.138AgingReportDYLGS[[#This Row],[SupplierID]],DLDYLGS,"&gt;=1",DLDYLGS,"&lt;=30")</f>
        <v>0</v>
      </c>
      <c r="G47" s="6">
        <f>SUMIFS(NetB3DYLGS,SUPListDYLGS,Table__192.168.3.138AgingReportDYLGS[[#This Row],[SupplierID]],DLDYLGS,"&gt;=31",DLDYLGS,"&lt;=45")</f>
        <v>0</v>
      </c>
      <c r="H47" s="6">
        <f>SUMIFS(NetB3DYLGS,SUPListDYLGS,Table__192.168.3.138AgingReportDYLGS[[#This Row],[SupplierID]],DLDYLGS,"&gt;=46",DLDYLGS,"&lt;=60")</f>
        <v>0</v>
      </c>
      <c r="I47" s="6">
        <f>SUMIFS(NetB3DYLGS,SUPListDYLGS,Table__192.168.3.138AgingReportDYLGS[[#This Row],[SupplierID]],DLDYLGS,"&gt;=61",DLDYLGS,"&lt;=90")</f>
        <v>0</v>
      </c>
      <c r="J47" s="6">
        <f>SUMIFS(NetB3DYLGS,SUPListDYLGS,Table__192.168.3.138AgingReportDYLGS[[#This Row],[SupplierID]],DLDYLGS,"&gt;=91",DLDYLGS,"&lt;=120")</f>
        <v>4930</v>
      </c>
      <c r="K47" s="6">
        <f>SUMIFS(NetB3DYLGS,SUPListDYLGS,Table__192.168.3.138AgingReportDYLGS[[#This Row],[SupplierID]],DLDYLGS,"&gt;120")</f>
        <v>118511</v>
      </c>
    </row>
    <row r="48" spans="1:11">
      <c r="A48" s="4" t="s">
        <v>5545</v>
      </c>
      <c r="B48" s="4" t="s">
        <v>5546</v>
      </c>
      <c r="C48" s="6">
        <f>SUMIF(SUPListDYLGS,Table__192.168.3.138AgingReportDYLGS[[#This Row],[SupplierID]],NetAmountDYLGS)</f>
        <v>233856</v>
      </c>
      <c r="D48" s="6">
        <f>SUMIF(SUPListDYLGS,Table__192.168.3.138AgingReportDYLGS[[#This Row],[SupplierID]],PaidDYLGS)</f>
        <v>0</v>
      </c>
      <c r="E48" s="6">
        <f>Table__192.168.3.138AgingReportDYLGS[[#This Row],[Net Amount]]-Table__192.168.3.138AgingReportDYLGS[[#This Row],[Paid]]</f>
        <v>233856</v>
      </c>
      <c r="F48" s="6">
        <f>SUMIFS(NetB3DYLGS,SUPListDYLGS,Table__192.168.3.138AgingReportDYLGS[[#This Row],[SupplierID]],DLDYLGS,"&gt;=1",DLDYLGS,"&lt;=30")</f>
        <v>116928</v>
      </c>
      <c r="G48" s="6">
        <f>SUMIFS(NetB3DYLGS,SUPListDYLGS,Table__192.168.3.138AgingReportDYLGS[[#This Row],[SupplierID]],DLDYLGS,"&gt;=31",DLDYLGS,"&lt;=45")</f>
        <v>0</v>
      </c>
      <c r="H48" s="6">
        <f>SUMIFS(NetB3DYLGS,SUPListDYLGS,Table__192.168.3.138AgingReportDYLGS[[#This Row],[SupplierID]],DLDYLGS,"&gt;=46",DLDYLGS,"&lt;=60")</f>
        <v>0</v>
      </c>
      <c r="I48" s="6">
        <f>SUMIFS(NetB3DYLGS,SUPListDYLGS,Table__192.168.3.138AgingReportDYLGS[[#This Row],[SupplierID]],DLDYLGS,"&gt;=61",DLDYLGS,"&lt;=90")</f>
        <v>0</v>
      </c>
      <c r="J48" s="6">
        <f>SUMIFS(NetB3DYLGS,SUPListDYLGS,Table__192.168.3.138AgingReportDYLGS[[#This Row],[SupplierID]],DLDYLGS,"&gt;=91",DLDYLGS,"&lt;=120")</f>
        <v>116928</v>
      </c>
      <c r="K48" s="6">
        <f>SUMIFS(NetB3DYLGS,SUPListDYLGS,Table__192.168.3.138AgingReportDYLGS[[#This Row],[SupplierID]],DLDYLGS,"&gt;120")</f>
        <v>0</v>
      </c>
    </row>
    <row r="49" spans="1:11">
      <c r="A49" s="4" t="s">
        <v>5547</v>
      </c>
      <c r="B49" s="4" t="s">
        <v>5548</v>
      </c>
      <c r="C49" s="6">
        <f>SUMIF(SUPListDYLGS,Table__192.168.3.138AgingReportDYLGS[[#This Row],[SupplierID]],NetAmountDYLGS)</f>
        <v>89668</v>
      </c>
      <c r="D49" s="6">
        <f>SUMIF(SUPListDYLGS,Table__192.168.3.138AgingReportDYLGS[[#This Row],[SupplierID]],PaidDYLGS)</f>
        <v>0</v>
      </c>
      <c r="E49" s="6">
        <f>Table__192.168.3.138AgingReportDYLGS[[#This Row],[Net Amount]]-Table__192.168.3.138AgingReportDYLGS[[#This Row],[Paid]]</f>
        <v>89668</v>
      </c>
      <c r="F49" s="6">
        <f>SUMIFS(NetB3DYLGS,SUPListDYLGS,Table__192.168.3.138AgingReportDYLGS[[#This Row],[SupplierID]],DLDYLGS,"&gt;=1",DLDYLGS,"&lt;=30")</f>
        <v>89668</v>
      </c>
      <c r="G49" s="6">
        <f>SUMIFS(NetB3DYLGS,SUPListDYLGS,Table__192.168.3.138AgingReportDYLGS[[#This Row],[SupplierID]],DLDYLGS,"&gt;=31",DLDYLGS,"&lt;=45")</f>
        <v>0</v>
      </c>
      <c r="H49" s="6">
        <f>SUMIFS(NetB3DYLGS,SUPListDYLGS,Table__192.168.3.138AgingReportDYLGS[[#This Row],[SupplierID]],DLDYLGS,"&gt;=46",DLDYLGS,"&lt;=60")</f>
        <v>0</v>
      </c>
      <c r="I49" s="6">
        <f>SUMIFS(NetB3DYLGS,SUPListDYLGS,Table__192.168.3.138AgingReportDYLGS[[#This Row],[SupplierID]],DLDYLGS,"&gt;=61",DLDYLGS,"&lt;=90")</f>
        <v>0</v>
      </c>
      <c r="J49" s="6">
        <f>SUMIFS(NetB3DYLGS,SUPListDYLGS,Table__192.168.3.138AgingReportDYLGS[[#This Row],[SupplierID]],DLDYLGS,"&gt;=91",DLDYLGS,"&lt;=120")</f>
        <v>0</v>
      </c>
      <c r="K49" s="6">
        <f>SUMIFS(NetB3DYLGS,SUPListDYLGS,Table__192.168.3.138AgingReportDYLGS[[#This Row],[SupplierID]],DLDYLGS,"&gt;120")</f>
        <v>0</v>
      </c>
    </row>
    <row r="50" spans="1:11">
      <c r="A50" s="10"/>
      <c r="B50" s="10"/>
      <c r="C50" s="11">
        <f>SUBTOTAL(109,[Net Amount])</f>
        <v>39900079.68</v>
      </c>
      <c r="D50" s="11">
        <f>SUBTOTAL(109,[Paid])</f>
        <v>8452144</v>
      </c>
      <c r="E50" s="11">
        <f>SUBTOTAL(109,[Net Balance])</f>
        <v>31447935.68</v>
      </c>
      <c r="F50" s="11">
        <f>SUBTOTAL(109,[&gt;=1 and &lt;=30])</f>
        <v>2363074</v>
      </c>
      <c r="G50" s="11">
        <f>SUBTOTAL(109,[&gt;=31 and &lt;=45])</f>
        <v>7609359</v>
      </c>
      <c r="H50" s="11">
        <f>SUBTOTAL(109,[&gt;=46 and &lt;=60])</f>
        <v>4689384</v>
      </c>
      <c r="I50" s="11">
        <f>SUBTOTAL(109,[&gt;=61 and &lt;=90])</f>
        <v>2351415</v>
      </c>
      <c r="J50" s="11">
        <f>SUBTOTAL(109,[&gt;=91 and &lt;=120])</f>
        <v>3403954</v>
      </c>
      <c r="K50" s="11">
        <f>SUBTOTAL(109,[&gt;120])</f>
        <v>19721940.68</v>
      </c>
    </row>
  </sheetData>
  <mergeCells count="2">
    <mergeCell ref="F1:K1"/>
    <mergeCell ref="B1:E1"/>
  </mergeCells>
  <hyperlinks>
    <hyperlink ref="A1" location="INDEXP" display="Back"/>
    <hyperlink ref="C1" location="Index" display="Back to Index"/>
  </hyperlinks>
  <pageMargins left="0.7" right="0.7" top="0.75" bottom="0.75" header="0.3" footer="0.3"/>
  <pageSetup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1:AL1122"/>
  <sheetViews>
    <sheetView topLeftCell="D1" workbookViewId="0">
      <selection activeCell="AK1" sqref="AK1"/>
    </sheetView>
  </sheetViews>
  <sheetFormatPr defaultRowHeight="15"/>
  <cols>
    <col min="1" max="1" width="24.140625" hidden="1" customWidth="1"/>
    <col min="2" max="3" width="14.5703125" hidden="1" customWidth="1"/>
    <col min="4" max="4" width="12.5703125" bestFit="1" customWidth="1"/>
    <col min="5" max="5" width="10.140625" hidden="1" customWidth="1"/>
    <col min="6" max="6" width="9.85546875" hidden="1" customWidth="1"/>
    <col min="7" max="7" width="11" hidden="1" customWidth="1"/>
    <col min="8" max="8" width="10.5703125" hidden="1" customWidth="1"/>
    <col min="9" max="9" width="12.140625" hidden="1" customWidth="1"/>
    <col min="10" max="10" width="13.7109375" bestFit="1" customWidth="1"/>
    <col min="11" max="11" width="19.85546875" hidden="1" customWidth="1"/>
    <col min="12" max="12" width="14.5703125" hidden="1" customWidth="1"/>
    <col min="13" max="13" width="21.140625" hidden="1" customWidth="1"/>
    <col min="14" max="14" width="8.7109375" hidden="1" customWidth="1"/>
    <col min="15" max="15" width="8.140625" hidden="1" customWidth="1"/>
    <col min="16" max="16" width="40.140625" hidden="1" customWidth="1"/>
    <col min="17" max="17" width="8.5703125" hidden="1" customWidth="1"/>
    <col min="18" max="18" width="18.85546875" hidden="1" customWidth="1"/>
    <col min="19" max="19" width="12.140625" hidden="1" customWidth="1"/>
    <col min="20" max="20" width="23.7109375" hidden="1" customWidth="1"/>
    <col min="21" max="21" width="10.28515625" hidden="1" customWidth="1"/>
    <col min="22" max="23" width="11.28515625" hidden="1" customWidth="1"/>
    <col min="24" max="24" width="11.5703125" hidden="1" customWidth="1"/>
    <col min="25" max="25" width="15.7109375" hidden="1" customWidth="1"/>
    <col min="26" max="26" width="10.28515625" hidden="1" customWidth="1"/>
    <col min="27" max="27" width="14.28515625" hidden="1" customWidth="1"/>
    <col min="28" max="28" width="23.140625" hidden="1" customWidth="1"/>
    <col min="29" max="29" width="14.5703125" hidden="1" customWidth="1"/>
    <col min="30" max="30" width="19.85546875" hidden="1" customWidth="1"/>
    <col min="31" max="31" width="40" hidden="1" customWidth="1"/>
    <col min="32" max="32" width="8" bestFit="1" customWidth="1"/>
    <col min="33" max="33" width="8.140625" hidden="1" customWidth="1"/>
    <col min="34" max="34" width="7.42578125" bestFit="1" customWidth="1"/>
    <col min="35" max="35" width="14.85546875" bestFit="1" customWidth="1"/>
  </cols>
  <sheetData>
    <row r="1" spans="1:38" ht="22.5">
      <c r="A1" t="s">
        <v>0</v>
      </c>
      <c r="B1" t="s">
        <v>1</v>
      </c>
      <c r="C1" s="12" t="s">
        <v>10781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439</v>
      </c>
      <c r="AK1" s="13" t="s">
        <v>10761</v>
      </c>
      <c r="AL1" t="s">
        <v>10764</v>
      </c>
    </row>
    <row r="2" spans="1:38">
      <c r="A2" t="s">
        <v>6123</v>
      </c>
      <c r="B2" s="1">
        <v>41057</v>
      </c>
      <c r="C2" s="1">
        <v>41057</v>
      </c>
      <c r="D2" t="s">
        <v>6124</v>
      </c>
      <c r="E2">
        <v>-15015</v>
      </c>
      <c r="F2">
        <v>0</v>
      </c>
      <c r="G2">
        <v>0</v>
      </c>
      <c r="H2">
        <v>0</v>
      </c>
      <c r="I2">
        <v>0</v>
      </c>
      <c r="J2">
        <v>-15015</v>
      </c>
      <c r="L2" s="1"/>
      <c r="N2" t="s">
        <v>1218</v>
      </c>
      <c r="O2" t="s">
        <v>6045</v>
      </c>
      <c r="P2" t="s">
        <v>6125</v>
      </c>
      <c r="Q2" t="s">
        <v>39</v>
      </c>
      <c r="R2" t="s">
        <v>40</v>
      </c>
      <c r="S2">
        <v>0</v>
      </c>
      <c r="U2" t="s">
        <v>5550</v>
      </c>
      <c r="V2" t="s">
        <v>1797</v>
      </c>
      <c r="X2" t="s">
        <v>43</v>
      </c>
      <c r="Y2" t="b">
        <v>0</v>
      </c>
      <c r="Z2" t="b">
        <v>0</v>
      </c>
      <c r="AC2" s="1"/>
      <c r="AF2">
        <v>0</v>
      </c>
      <c r="AG2">
        <v>45</v>
      </c>
      <c r="AI2" s="2">
        <f>Table__192.168.3.138AgingReportBEWLGS[[#This Row],[NetAmount]]-Table__192.168.3.138AgingReportBEWLGS[[#This Row],[Paid]]</f>
        <v>-15015</v>
      </c>
    </row>
    <row r="3" spans="1:38">
      <c r="A3" t="s">
        <v>6126</v>
      </c>
      <c r="B3" s="1">
        <v>41064</v>
      </c>
      <c r="C3" s="1">
        <v>41057</v>
      </c>
      <c r="D3" t="s">
        <v>6124</v>
      </c>
      <c r="E3">
        <v>-4076</v>
      </c>
      <c r="F3">
        <v>0</v>
      </c>
      <c r="G3">
        <v>0</v>
      </c>
      <c r="H3">
        <v>0</v>
      </c>
      <c r="I3">
        <v>0</v>
      </c>
      <c r="J3">
        <v>-4076</v>
      </c>
      <c r="L3" s="1"/>
      <c r="N3" t="s">
        <v>1218</v>
      </c>
      <c r="O3" t="s">
        <v>6045</v>
      </c>
      <c r="P3" t="s">
        <v>6125</v>
      </c>
      <c r="Q3" t="s">
        <v>39</v>
      </c>
      <c r="R3" t="s">
        <v>40</v>
      </c>
      <c r="S3">
        <v>0</v>
      </c>
      <c r="U3" t="s">
        <v>5550</v>
      </c>
      <c r="V3" t="s">
        <v>1797</v>
      </c>
      <c r="X3" t="s">
        <v>43</v>
      </c>
      <c r="Y3" t="b">
        <v>0</v>
      </c>
      <c r="Z3" t="b">
        <v>0</v>
      </c>
      <c r="AC3" s="1"/>
      <c r="AF3">
        <v>0</v>
      </c>
      <c r="AG3">
        <v>45</v>
      </c>
      <c r="AI3" s="2">
        <f>Table__192.168.3.138AgingReportBEWLGS[[#This Row],[NetAmount]]-Table__192.168.3.138AgingReportBEWLGS[[#This Row],[Paid]]</f>
        <v>-4076</v>
      </c>
    </row>
    <row r="4" spans="1:38">
      <c r="A4" t="s">
        <v>6127</v>
      </c>
      <c r="B4" s="1">
        <v>41057</v>
      </c>
      <c r="C4" s="1">
        <v>41057</v>
      </c>
      <c r="D4" t="s">
        <v>6124</v>
      </c>
      <c r="E4">
        <v>-3274</v>
      </c>
      <c r="F4">
        <v>0</v>
      </c>
      <c r="G4">
        <v>0</v>
      </c>
      <c r="H4">
        <v>0</v>
      </c>
      <c r="I4">
        <v>0</v>
      </c>
      <c r="J4">
        <v>-3274</v>
      </c>
      <c r="L4" s="1"/>
      <c r="N4" t="s">
        <v>1218</v>
      </c>
      <c r="O4" t="s">
        <v>6045</v>
      </c>
      <c r="P4" t="s">
        <v>6125</v>
      </c>
      <c r="Q4" t="s">
        <v>39</v>
      </c>
      <c r="R4" t="s">
        <v>40</v>
      </c>
      <c r="S4">
        <v>0</v>
      </c>
      <c r="U4" t="s">
        <v>5550</v>
      </c>
      <c r="V4" t="s">
        <v>1797</v>
      </c>
      <c r="X4" t="s">
        <v>43</v>
      </c>
      <c r="Y4" t="b">
        <v>0</v>
      </c>
      <c r="Z4" t="b">
        <v>0</v>
      </c>
      <c r="AC4" s="1"/>
      <c r="AF4">
        <v>0</v>
      </c>
      <c r="AG4">
        <v>45</v>
      </c>
      <c r="AI4" s="2">
        <f>Table__192.168.3.138AgingReportBEWLGS[[#This Row],[NetAmount]]-Table__192.168.3.138AgingReportBEWLGS[[#This Row],[Paid]]</f>
        <v>-3274</v>
      </c>
    </row>
    <row r="5" spans="1:38">
      <c r="A5" t="s">
        <v>6128</v>
      </c>
      <c r="B5" s="1">
        <v>41057</v>
      </c>
      <c r="C5" s="1">
        <v>41057</v>
      </c>
      <c r="D5" t="s">
        <v>6129</v>
      </c>
      <c r="E5">
        <v>-6119</v>
      </c>
      <c r="F5">
        <v>0</v>
      </c>
      <c r="G5">
        <v>0</v>
      </c>
      <c r="H5">
        <v>0</v>
      </c>
      <c r="I5">
        <v>0</v>
      </c>
      <c r="J5">
        <v>-6119</v>
      </c>
      <c r="L5" s="1"/>
      <c r="N5" t="s">
        <v>1218</v>
      </c>
      <c r="O5" t="s">
        <v>6045</v>
      </c>
      <c r="P5" t="s">
        <v>6130</v>
      </c>
      <c r="Q5" t="s">
        <v>39</v>
      </c>
      <c r="R5" t="s">
        <v>40</v>
      </c>
      <c r="S5">
        <v>0</v>
      </c>
      <c r="U5" t="s">
        <v>5550</v>
      </c>
      <c r="V5" t="s">
        <v>1797</v>
      </c>
      <c r="X5" t="s">
        <v>43</v>
      </c>
      <c r="Y5" t="b">
        <v>0</v>
      </c>
      <c r="Z5" t="b">
        <v>0</v>
      </c>
      <c r="AC5" s="1"/>
      <c r="AF5">
        <v>0</v>
      </c>
      <c r="AG5">
        <v>45</v>
      </c>
      <c r="AI5" s="2">
        <f>Table__192.168.3.138AgingReportBEWLGS[[#This Row],[NetAmount]]-Table__192.168.3.138AgingReportBEWLGS[[#This Row],[Paid]]</f>
        <v>-6119</v>
      </c>
    </row>
    <row r="6" spans="1:38">
      <c r="A6" t="s">
        <v>6131</v>
      </c>
      <c r="B6" s="1">
        <v>41057</v>
      </c>
      <c r="C6" s="1">
        <v>41057</v>
      </c>
      <c r="D6" t="s">
        <v>6129</v>
      </c>
      <c r="E6">
        <v>-9009</v>
      </c>
      <c r="F6">
        <v>0</v>
      </c>
      <c r="G6">
        <v>0</v>
      </c>
      <c r="H6">
        <v>0</v>
      </c>
      <c r="I6">
        <v>0</v>
      </c>
      <c r="J6">
        <v>-9009</v>
      </c>
      <c r="L6" s="1"/>
      <c r="N6" t="s">
        <v>1218</v>
      </c>
      <c r="O6" t="s">
        <v>6045</v>
      </c>
      <c r="P6" t="s">
        <v>6130</v>
      </c>
      <c r="Q6" t="s">
        <v>39</v>
      </c>
      <c r="R6" t="s">
        <v>40</v>
      </c>
      <c r="S6">
        <v>0</v>
      </c>
      <c r="U6" t="s">
        <v>5550</v>
      </c>
      <c r="V6" t="s">
        <v>1797</v>
      </c>
      <c r="X6" t="s">
        <v>43</v>
      </c>
      <c r="Y6" t="b">
        <v>0</v>
      </c>
      <c r="Z6" t="b">
        <v>0</v>
      </c>
      <c r="AC6" s="1"/>
      <c r="AF6">
        <v>0</v>
      </c>
      <c r="AG6">
        <v>45</v>
      </c>
      <c r="AI6" s="2">
        <f>Table__192.168.3.138AgingReportBEWLGS[[#This Row],[NetAmount]]-Table__192.168.3.138AgingReportBEWLGS[[#This Row],[Paid]]</f>
        <v>-9009</v>
      </c>
    </row>
    <row r="7" spans="1:38">
      <c r="A7" t="s">
        <v>6132</v>
      </c>
      <c r="B7" s="1">
        <v>41057</v>
      </c>
      <c r="C7" s="1">
        <v>41057</v>
      </c>
      <c r="D7" t="s">
        <v>6129</v>
      </c>
      <c r="E7">
        <v>-1920</v>
      </c>
      <c r="F7">
        <v>0</v>
      </c>
      <c r="G7">
        <v>0</v>
      </c>
      <c r="H7">
        <v>0</v>
      </c>
      <c r="I7">
        <v>0</v>
      </c>
      <c r="J7">
        <v>-1920</v>
      </c>
      <c r="L7" s="1"/>
      <c r="N7" t="s">
        <v>1218</v>
      </c>
      <c r="O7" t="s">
        <v>6045</v>
      </c>
      <c r="P7" t="s">
        <v>6130</v>
      </c>
      <c r="Q7" t="s">
        <v>39</v>
      </c>
      <c r="R7" t="s">
        <v>40</v>
      </c>
      <c r="S7">
        <v>0</v>
      </c>
      <c r="U7" t="s">
        <v>5550</v>
      </c>
      <c r="V7" t="s">
        <v>1797</v>
      </c>
      <c r="X7" t="s">
        <v>43</v>
      </c>
      <c r="Y7" t="b">
        <v>0</v>
      </c>
      <c r="Z7" t="b">
        <v>0</v>
      </c>
      <c r="AC7" s="1"/>
      <c r="AF7">
        <v>0</v>
      </c>
      <c r="AG7">
        <v>45</v>
      </c>
      <c r="AI7" s="2">
        <f>Table__192.168.3.138AgingReportBEWLGS[[#This Row],[NetAmount]]-Table__192.168.3.138AgingReportBEWLGS[[#This Row],[Paid]]</f>
        <v>-1920</v>
      </c>
    </row>
    <row r="8" spans="1:38">
      <c r="A8" t="s">
        <v>6133</v>
      </c>
      <c r="B8" s="1">
        <v>40938</v>
      </c>
      <c r="C8" s="1">
        <v>40938</v>
      </c>
      <c r="D8" t="s">
        <v>6134</v>
      </c>
      <c r="E8">
        <v>-88279</v>
      </c>
      <c r="F8">
        <v>0</v>
      </c>
      <c r="G8">
        <v>0</v>
      </c>
      <c r="H8">
        <v>0</v>
      </c>
      <c r="I8">
        <v>0</v>
      </c>
      <c r="J8">
        <v>-88279</v>
      </c>
      <c r="L8" s="1"/>
      <c r="N8" t="s">
        <v>6135</v>
      </c>
      <c r="O8" t="s">
        <v>83</v>
      </c>
      <c r="P8" t="s">
        <v>5530</v>
      </c>
      <c r="Q8" t="s">
        <v>39</v>
      </c>
      <c r="R8" t="s">
        <v>40</v>
      </c>
      <c r="S8">
        <v>0</v>
      </c>
      <c r="U8" t="s">
        <v>5550</v>
      </c>
      <c r="V8" t="s">
        <v>1797</v>
      </c>
      <c r="X8" t="s">
        <v>43</v>
      </c>
      <c r="Y8" t="b">
        <v>0</v>
      </c>
      <c r="Z8" t="b">
        <v>0</v>
      </c>
      <c r="AC8" s="1"/>
      <c r="AF8">
        <v>0</v>
      </c>
      <c r="AG8">
        <v>45</v>
      </c>
      <c r="AI8" s="2">
        <f>Table__192.168.3.138AgingReportBEWLGS[[#This Row],[NetAmount]]-Table__192.168.3.138AgingReportBEWLGS[[#This Row],[Paid]]</f>
        <v>-88279</v>
      </c>
    </row>
    <row r="9" spans="1:38">
      <c r="A9" t="s">
        <v>6136</v>
      </c>
      <c r="B9" s="1">
        <v>40995</v>
      </c>
      <c r="C9" s="1">
        <v>40995</v>
      </c>
      <c r="D9" t="s">
        <v>6134</v>
      </c>
      <c r="E9">
        <v>-101771</v>
      </c>
      <c r="F9">
        <v>0</v>
      </c>
      <c r="G9">
        <v>0</v>
      </c>
      <c r="H9">
        <v>0</v>
      </c>
      <c r="I9">
        <v>0</v>
      </c>
      <c r="J9">
        <v>-101771</v>
      </c>
      <c r="L9" s="1"/>
      <c r="N9" t="s">
        <v>6135</v>
      </c>
      <c r="O9" t="s">
        <v>83</v>
      </c>
      <c r="P9" t="s">
        <v>5530</v>
      </c>
      <c r="Q9" t="s">
        <v>39</v>
      </c>
      <c r="R9" t="s">
        <v>40</v>
      </c>
      <c r="S9">
        <v>0</v>
      </c>
      <c r="U9" t="s">
        <v>5550</v>
      </c>
      <c r="V9" t="s">
        <v>1797</v>
      </c>
      <c r="X9" t="s">
        <v>43</v>
      </c>
      <c r="Y9" t="b">
        <v>0</v>
      </c>
      <c r="Z9" t="b">
        <v>0</v>
      </c>
      <c r="AC9" s="1"/>
      <c r="AF9">
        <v>0</v>
      </c>
      <c r="AG9">
        <v>45</v>
      </c>
      <c r="AI9" s="2">
        <f>Table__192.168.3.138AgingReportBEWLGS[[#This Row],[NetAmount]]-Table__192.168.3.138AgingReportBEWLGS[[#This Row],[Paid]]</f>
        <v>-101771</v>
      </c>
    </row>
    <row r="10" spans="1:38">
      <c r="A10" t="s">
        <v>6137</v>
      </c>
      <c r="B10" s="1">
        <v>40995</v>
      </c>
      <c r="C10" s="1">
        <v>40995</v>
      </c>
      <c r="D10" t="s">
        <v>6134</v>
      </c>
      <c r="E10">
        <v>-92409</v>
      </c>
      <c r="F10">
        <v>0</v>
      </c>
      <c r="G10">
        <v>0</v>
      </c>
      <c r="H10">
        <v>0</v>
      </c>
      <c r="I10">
        <v>0</v>
      </c>
      <c r="J10">
        <v>-92409</v>
      </c>
      <c r="L10" s="1"/>
      <c r="N10" t="s">
        <v>6135</v>
      </c>
      <c r="O10" t="s">
        <v>83</v>
      </c>
      <c r="P10" t="s">
        <v>5530</v>
      </c>
      <c r="Q10" t="s">
        <v>39</v>
      </c>
      <c r="R10" t="s">
        <v>40</v>
      </c>
      <c r="S10">
        <v>0</v>
      </c>
      <c r="U10" t="s">
        <v>5550</v>
      </c>
      <c r="V10" t="s">
        <v>1797</v>
      </c>
      <c r="X10" t="s">
        <v>43</v>
      </c>
      <c r="Y10" t="b">
        <v>0</v>
      </c>
      <c r="Z10" t="b">
        <v>0</v>
      </c>
      <c r="AC10" s="1"/>
      <c r="AF10">
        <v>0</v>
      </c>
      <c r="AG10">
        <v>45</v>
      </c>
      <c r="AI10" s="2">
        <f>Table__192.168.3.138AgingReportBEWLGS[[#This Row],[NetAmount]]-Table__192.168.3.138AgingReportBEWLGS[[#This Row],[Paid]]</f>
        <v>-92409</v>
      </c>
    </row>
    <row r="11" spans="1:38">
      <c r="A11" t="s">
        <v>6138</v>
      </c>
      <c r="B11" s="1">
        <v>41029</v>
      </c>
      <c r="C11" s="1">
        <v>41029</v>
      </c>
      <c r="D11" t="s">
        <v>6134</v>
      </c>
      <c r="E11">
        <v>-97486</v>
      </c>
      <c r="F11">
        <v>0</v>
      </c>
      <c r="G11">
        <v>0</v>
      </c>
      <c r="H11">
        <v>0</v>
      </c>
      <c r="I11">
        <v>0</v>
      </c>
      <c r="J11">
        <v>-97486</v>
      </c>
      <c r="L11" s="1"/>
      <c r="N11" t="s">
        <v>6135</v>
      </c>
      <c r="O11" t="s">
        <v>83</v>
      </c>
      <c r="P11" t="s">
        <v>5530</v>
      </c>
      <c r="Q11" t="s">
        <v>39</v>
      </c>
      <c r="R11" t="s">
        <v>40</v>
      </c>
      <c r="S11">
        <v>0</v>
      </c>
      <c r="U11" t="s">
        <v>5550</v>
      </c>
      <c r="V11" t="s">
        <v>1797</v>
      </c>
      <c r="X11" t="s">
        <v>43</v>
      </c>
      <c r="Y11" t="b">
        <v>0</v>
      </c>
      <c r="Z11" t="b">
        <v>0</v>
      </c>
      <c r="AC11" s="1"/>
      <c r="AF11">
        <v>0</v>
      </c>
      <c r="AG11">
        <v>45</v>
      </c>
      <c r="AI11" s="2">
        <f>Table__192.168.3.138AgingReportBEWLGS[[#This Row],[NetAmount]]-Table__192.168.3.138AgingReportBEWLGS[[#This Row],[Paid]]</f>
        <v>-97486</v>
      </c>
    </row>
    <row r="12" spans="1:38">
      <c r="A12" t="s">
        <v>6139</v>
      </c>
      <c r="B12" s="1">
        <v>41090</v>
      </c>
      <c r="C12" s="1">
        <v>41090</v>
      </c>
      <c r="D12" t="s">
        <v>6134</v>
      </c>
      <c r="E12">
        <v>-89725</v>
      </c>
      <c r="F12">
        <v>0</v>
      </c>
      <c r="G12">
        <v>0</v>
      </c>
      <c r="H12">
        <v>0</v>
      </c>
      <c r="I12">
        <v>0</v>
      </c>
      <c r="J12">
        <v>-89725</v>
      </c>
      <c r="L12" s="1"/>
      <c r="N12" t="s">
        <v>6135</v>
      </c>
      <c r="O12" t="s">
        <v>83</v>
      </c>
      <c r="P12" t="s">
        <v>5530</v>
      </c>
      <c r="Q12" t="s">
        <v>39</v>
      </c>
      <c r="R12" t="s">
        <v>40</v>
      </c>
      <c r="S12">
        <v>0</v>
      </c>
      <c r="U12" t="s">
        <v>5550</v>
      </c>
      <c r="V12" t="s">
        <v>1797</v>
      </c>
      <c r="X12" t="s">
        <v>43</v>
      </c>
      <c r="Y12" t="b">
        <v>0</v>
      </c>
      <c r="Z12" t="b">
        <v>0</v>
      </c>
      <c r="AC12" s="1"/>
      <c r="AF12">
        <v>0</v>
      </c>
      <c r="AG12">
        <v>45</v>
      </c>
      <c r="AI12" s="2">
        <f>Table__192.168.3.138AgingReportBEWLGS[[#This Row],[NetAmount]]-Table__192.168.3.138AgingReportBEWLGS[[#This Row],[Paid]]</f>
        <v>-89725</v>
      </c>
    </row>
    <row r="13" spans="1:38">
      <c r="A13" t="s">
        <v>6140</v>
      </c>
      <c r="B13" s="1">
        <v>41057</v>
      </c>
      <c r="C13" s="1">
        <v>41057</v>
      </c>
      <c r="D13" t="s">
        <v>6141</v>
      </c>
      <c r="E13">
        <v>-14196</v>
      </c>
      <c r="F13">
        <v>0</v>
      </c>
      <c r="G13">
        <v>0</v>
      </c>
      <c r="H13">
        <v>0</v>
      </c>
      <c r="I13">
        <v>0</v>
      </c>
      <c r="J13">
        <v>-14196</v>
      </c>
      <c r="L13" s="1"/>
      <c r="N13" t="s">
        <v>442</v>
      </c>
      <c r="O13" t="s">
        <v>938</v>
      </c>
      <c r="P13" t="s">
        <v>6142</v>
      </c>
      <c r="Q13" t="s">
        <v>39</v>
      </c>
      <c r="R13" t="s">
        <v>40</v>
      </c>
      <c r="S13">
        <v>0</v>
      </c>
      <c r="U13" t="s">
        <v>5550</v>
      </c>
      <c r="V13" t="s">
        <v>1797</v>
      </c>
      <c r="X13" t="s">
        <v>43</v>
      </c>
      <c r="Y13" t="b">
        <v>0</v>
      </c>
      <c r="Z13" t="b">
        <v>0</v>
      </c>
      <c r="AC13" s="1"/>
      <c r="AF13">
        <v>0</v>
      </c>
      <c r="AG13">
        <v>45</v>
      </c>
      <c r="AI13" s="2">
        <f>Table__192.168.3.138AgingReportBEWLGS[[#This Row],[NetAmount]]-Table__192.168.3.138AgingReportBEWLGS[[#This Row],[Paid]]</f>
        <v>-14196</v>
      </c>
    </row>
    <row r="14" spans="1:38">
      <c r="A14" t="s">
        <v>6143</v>
      </c>
      <c r="B14" s="1">
        <v>41057</v>
      </c>
      <c r="C14" s="1">
        <v>41057</v>
      </c>
      <c r="D14" t="s">
        <v>6141</v>
      </c>
      <c r="E14">
        <v>-1548</v>
      </c>
      <c r="F14">
        <v>0</v>
      </c>
      <c r="G14">
        <v>0</v>
      </c>
      <c r="H14">
        <v>0</v>
      </c>
      <c r="I14">
        <v>0</v>
      </c>
      <c r="J14">
        <v>-1548</v>
      </c>
      <c r="L14" s="1"/>
      <c r="N14" t="s">
        <v>442</v>
      </c>
      <c r="O14" t="s">
        <v>938</v>
      </c>
      <c r="P14" t="s">
        <v>6142</v>
      </c>
      <c r="Q14" t="s">
        <v>39</v>
      </c>
      <c r="R14" t="s">
        <v>40</v>
      </c>
      <c r="S14">
        <v>0</v>
      </c>
      <c r="U14" t="s">
        <v>5550</v>
      </c>
      <c r="V14" t="s">
        <v>1797</v>
      </c>
      <c r="X14" t="s">
        <v>43</v>
      </c>
      <c r="Y14" t="b">
        <v>0</v>
      </c>
      <c r="Z14" t="b">
        <v>0</v>
      </c>
      <c r="AC14" s="1"/>
      <c r="AF14">
        <v>0</v>
      </c>
      <c r="AG14">
        <v>45</v>
      </c>
      <c r="AI14" s="2">
        <f>Table__192.168.3.138AgingReportBEWLGS[[#This Row],[NetAmount]]-Table__192.168.3.138AgingReportBEWLGS[[#This Row],[Paid]]</f>
        <v>-1548</v>
      </c>
    </row>
    <row r="15" spans="1:38">
      <c r="A15" t="s">
        <v>6144</v>
      </c>
      <c r="B15" s="1">
        <v>41182</v>
      </c>
      <c r="C15" s="1">
        <v>41182</v>
      </c>
      <c r="D15" t="s">
        <v>221</v>
      </c>
      <c r="E15">
        <v>-71887.600000000006</v>
      </c>
      <c r="F15">
        <v>0</v>
      </c>
      <c r="G15">
        <v>0</v>
      </c>
      <c r="H15">
        <v>0</v>
      </c>
      <c r="I15">
        <v>0</v>
      </c>
      <c r="J15">
        <v>-71888</v>
      </c>
      <c r="L15" s="1"/>
      <c r="M15" t="s">
        <v>6145</v>
      </c>
      <c r="N15" t="s">
        <v>36</v>
      </c>
      <c r="O15" t="s">
        <v>6047</v>
      </c>
      <c r="P15" t="s">
        <v>5512</v>
      </c>
      <c r="Q15" t="s">
        <v>39</v>
      </c>
      <c r="R15" t="s">
        <v>40</v>
      </c>
      <c r="S15">
        <v>0</v>
      </c>
      <c r="U15" t="s">
        <v>5550</v>
      </c>
      <c r="V15" t="s">
        <v>1797</v>
      </c>
      <c r="W15" t="s">
        <v>6146</v>
      </c>
      <c r="X15" t="s">
        <v>43</v>
      </c>
      <c r="Y15" t="b">
        <v>0</v>
      </c>
      <c r="Z15" t="b">
        <v>0</v>
      </c>
      <c r="AA15" t="b">
        <v>0</v>
      </c>
      <c r="AC15" s="1"/>
      <c r="AF15">
        <v>0</v>
      </c>
      <c r="AG15">
        <v>45</v>
      </c>
      <c r="AI15" s="2">
        <f>Table__192.168.3.138AgingReportBEWLGS[[#This Row],[NetAmount]]-Table__192.168.3.138AgingReportBEWLGS[[#This Row],[Paid]]</f>
        <v>-71888</v>
      </c>
    </row>
    <row r="16" spans="1:38">
      <c r="A16" t="s">
        <v>6147</v>
      </c>
      <c r="B16" s="1">
        <v>41213</v>
      </c>
      <c r="C16" s="1">
        <v>41213</v>
      </c>
      <c r="D16" t="s">
        <v>221</v>
      </c>
      <c r="E16">
        <v>-54054.8</v>
      </c>
      <c r="F16">
        <v>0</v>
      </c>
      <c r="G16">
        <v>0</v>
      </c>
      <c r="H16">
        <v>0</v>
      </c>
      <c r="I16">
        <v>0</v>
      </c>
      <c r="J16">
        <v>-54055</v>
      </c>
      <c r="L16" s="1"/>
      <c r="M16" t="s">
        <v>6148</v>
      </c>
      <c r="N16" t="s">
        <v>36</v>
      </c>
      <c r="O16" t="s">
        <v>6047</v>
      </c>
      <c r="P16" t="s">
        <v>5512</v>
      </c>
      <c r="Q16" t="s">
        <v>39</v>
      </c>
      <c r="R16" t="s">
        <v>40</v>
      </c>
      <c r="S16">
        <v>0</v>
      </c>
      <c r="U16" t="s">
        <v>5550</v>
      </c>
      <c r="V16" t="s">
        <v>1797</v>
      </c>
      <c r="W16" t="s">
        <v>6146</v>
      </c>
      <c r="X16" t="s">
        <v>43</v>
      </c>
      <c r="Y16" t="b">
        <v>0</v>
      </c>
      <c r="Z16" t="b">
        <v>0</v>
      </c>
      <c r="AA16" t="b">
        <v>0</v>
      </c>
      <c r="AC16" s="1"/>
      <c r="AF16">
        <v>0</v>
      </c>
      <c r="AG16">
        <v>45</v>
      </c>
      <c r="AI16" s="2">
        <f>Table__192.168.3.138AgingReportBEWLGS[[#This Row],[NetAmount]]-Table__192.168.3.138AgingReportBEWLGS[[#This Row],[Paid]]</f>
        <v>-54055</v>
      </c>
    </row>
    <row r="17" spans="1:35">
      <c r="A17" t="s">
        <v>6149</v>
      </c>
      <c r="B17" s="1">
        <v>41243</v>
      </c>
      <c r="C17" s="1">
        <v>41243</v>
      </c>
      <c r="D17" t="s">
        <v>6150</v>
      </c>
      <c r="E17">
        <v>-27080.5</v>
      </c>
      <c r="F17">
        <v>0</v>
      </c>
      <c r="G17">
        <v>0</v>
      </c>
      <c r="H17">
        <v>0</v>
      </c>
      <c r="I17">
        <v>0</v>
      </c>
      <c r="J17">
        <v>-27081</v>
      </c>
      <c r="L17" s="1"/>
      <c r="N17" t="s">
        <v>36</v>
      </c>
      <c r="O17" t="s">
        <v>6047</v>
      </c>
      <c r="P17" t="s">
        <v>6151</v>
      </c>
      <c r="Q17" t="s">
        <v>39</v>
      </c>
      <c r="R17" t="s">
        <v>40</v>
      </c>
      <c r="S17">
        <v>0</v>
      </c>
      <c r="U17" t="s">
        <v>5550</v>
      </c>
      <c r="V17" t="s">
        <v>1797</v>
      </c>
      <c r="X17" t="s">
        <v>43</v>
      </c>
      <c r="Y17" t="b">
        <v>0</v>
      </c>
      <c r="Z17" t="b">
        <v>0</v>
      </c>
      <c r="AC17" s="1"/>
      <c r="AF17">
        <v>0</v>
      </c>
      <c r="AG17">
        <v>45</v>
      </c>
      <c r="AI17" s="2">
        <f>Table__192.168.3.138AgingReportBEWLGS[[#This Row],[NetAmount]]-Table__192.168.3.138AgingReportBEWLGS[[#This Row],[Paid]]</f>
        <v>-27081</v>
      </c>
    </row>
    <row r="18" spans="1:35">
      <c r="A18" t="s">
        <v>6152</v>
      </c>
      <c r="B18" s="1">
        <v>41243</v>
      </c>
      <c r="C18" s="1">
        <v>41243</v>
      </c>
      <c r="D18" t="s">
        <v>221</v>
      </c>
      <c r="E18">
        <v>-13584</v>
      </c>
      <c r="F18">
        <v>0</v>
      </c>
      <c r="G18">
        <v>0</v>
      </c>
      <c r="H18">
        <v>0</v>
      </c>
      <c r="I18">
        <v>0</v>
      </c>
      <c r="J18">
        <v>-13584</v>
      </c>
      <c r="L18" s="1"/>
      <c r="M18" t="s">
        <v>6153</v>
      </c>
      <c r="N18" t="s">
        <v>36</v>
      </c>
      <c r="O18" t="s">
        <v>6047</v>
      </c>
      <c r="P18" t="s">
        <v>5512</v>
      </c>
      <c r="Q18" t="s">
        <v>39</v>
      </c>
      <c r="R18" t="s">
        <v>40</v>
      </c>
      <c r="S18">
        <v>0</v>
      </c>
      <c r="U18" t="s">
        <v>5550</v>
      </c>
      <c r="V18" t="s">
        <v>1797</v>
      </c>
      <c r="W18" t="s">
        <v>6146</v>
      </c>
      <c r="X18" t="s">
        <v>43</v>
      </c>
      <c r="Y18" t="b">
        <v>0</v>
      </c>
      <c r="Z18" t="b">
        <v>0</v>
      </c>
      <c r="AA18" t="b">
        <v>0</v>
      </c>
      <c r="AC18" s="1"/>
      <c r="AF18">
        <v>0</v>
      </c>
      <c r="AG18">
        <v>45</v>
      </c>
      <c r="AI18" s="2">
        <f>Table__192.168.3.138AgingReportBEWLGS[[#This Row],[NetAmount]]-Table__192.168.3.138AgingReportBEWLGS[[#This Row],[Paid]]</f>
        <v>-13584</v>
      </c>
    </row>
    <row r="19" spans="1:35">
      <c r="A19" t="s">
        <v>6154</v>
      </c>
      <c r="B19" s="1">
        <v>41274</v>
      </c>
      <c r="C19" s="1">
        <v>41274</v>
      </c>
      <c r="D19" t="s">
        <v>6155</v>
      </c>
      <c r="E19">
        <v>-87816</v>
      </c>
      <c r="F19">
        <v>0</v>
      </c>
      <c r="G19">
        <v>0</v>
      </c>
      <c r="H19">
        <v>0</v>
      </c>
      <c r="I19">
        <v>0</v>
      </c>
      <c r="J19">
        <v>-87816</v>
      </c>
      <c r="L19" s="1"/>
      <c r="N19" t="s">
        <v>36</v>
      </c>
      <c r="O19" t="s">
        <v>6047</v>
      </c>
      <c r="P19" t="s">
        <v>6156</v>
      </c>
      <c r="Q19" t="s">
        <v>39</v>
      </c>
      <c r="R19" t="s">
        <v>40</v>
      </c>
      <c r="S19">
        <v>0</v>
      </c>
      <c r="U19" t="s">
        <v>5550</v>
      </c>
      <c r="V19" t="s">
        <v>1797</v>
      </c>
      <c r="X19" t="s">
        <v>43</v>
      </c>
      <c r="Y19" t="b">
        <v>0</v>
      </c>
      <c r="Z19" t="b">
        <v>0</v>
      </c>
      <c r="AC19" s="1"/>
      <c r="AF19">
        <v>0</v>
      </c>
      <c r="AG19">
        <v>45</v>
      </c>
      <c r="AI19" s="2">
        <f>Table__192.168.3.138AgingReportBEWLGS[[#This Row],[NetAmount]]-Table__192.168.3.138AgingReportBEWLGS[[#This Row],[Paid]]</f>
        <v>-87816</v>
      </c>
    </row>
    <row r="20" spans="1:35">
      <c r="A20" t="s">
        <v>6157</v>
      </c>
      <c r="B20" s="1">
        <v>41274</v>
      </c>
      <c r="C20" s="1">
        <v>41274</v>
      </c>
      <c r="D20" t="s">
        <v>6150</v>
      </c>
      <c r="E20">
        <v>-17004</v>
      </c>
      <c r="F20">
        <v>0</v>
      </c>
      <c r="G20">
        <v>0</v>
      </c>
      <c r="H20">
        <v>0</v>
      </c>
      <c r="I20">
        <v>0</v>
      </c>
      <c r="J20">
        <v>-17004</v>
      </c>
      <c r="L20" s="1"/>
      <c r="N20" t="s">
        <v>36</v>
      </c>
      <c r="O20" t="s">
        <v>6047</v>
      </c>
      <c r="P20" t="s">
        <v>6151</v>
      </c>
      <c r="Q20" t="s">
        <v>39</v>
      </c>
      <c r="R20" t="s">
        <v>40</v>
      </c>
      <c r="S20">
        <v>0</v>
      </c>
      <c r="U20" t="s">
        <v>5550</v>
      </c>
      <c r="V20" t="s">
        <v>1797</v>
      </c>
      <c r="X20" t="s">
        <v>43</v>
      </c>
      <c r="Y20" t="b">
        <v>0</v>
      </c>
      <c r="Z20" t="b">
        <v>0</v>
      </c>
      <c r="AC20" s="1"/>
      <c r="AF20">
        <v>0</v>
      </c>
      <c r="AG20">
        <v>45</v>
      </c>
      <c r="AI20" s="2">
        <f>Table__192.168.3.138AgingReportBEWLGS[[#This Row],[NetAmount]]-Table__192.168.3.138AgingReportBEWLGS[[#This Row],[Paid]]</f>
        <v>-17004</v>
      </c>
    </row>
    <row r="21" spans="1:35">
      <c r="A21" t="s">
        <v>6158</v>
      </c>
      <c r="B21" s="1">
        <v>41274</v>
      </c>
      <c r="C21" s="1">
        <v>41274</v>
      </c>
      <c r="D21" t="s">
        <v>6159</v>
      </c>
      <c r="E21">
        <v>-70892</v>
      </c>
      <c r="F21">
        <v>0</v>
      </c>
      <c r="G21">
        <v>0</v>
      </c>
      <c r="H21">
        <v>0</v>
      </c>
      <c r="I21">
        <v>0</v>
      </c>
      <c r="J21">
        <v>-70892</v>
      </c>
      <c r="L21" s="1"/>
      <c r="M21" t="s">
        <v>6160</v>
      </c>
      <c r="N21" t="s">
        <v>36</v>
      </c>
      <c r="O21" t="s">
        <v>6047</v>
      </c>
      <c r="P21" t="s">
        <v>6161</v>
      </c>
      <c r="Q21" t="s">
        <v>39</v>
      </c>
      <c r="R21" t="s">
        <v>40</v>
      </c>
      <c r="S21">
        <v>0</v>
      </c>
      <c r="U21" t="s">
        <v>5550</v>
      </c>
      <c r="V21" t="s">
        <v>1797</v>
      </c>
      <c r="W21" t="s">
        <v>6162</v>
      </c>
      <c r="X21" t="s">
        <v>43</v>
      </c>
      <c r="Y21" t="b">
        <v>0</v>
      </c>
      <c r="Z21" t="b">
        <v>0</v>
      </c>
      <c r="AA21" t="b">
        <v>0</v>
      </c>
      <c r="AC21" s="1"/>
      <c r="AF21">
        <v>0</v>
      </c>
      <c r="AG21">
        <v>45</v>
      </c>
      <c r="AI21" s="2">
        <f>Table__192.168.3.138AgingReportBEWLGS[[#This Row],[NetAmount]]-Table__192.168.3.138AgingReportBEWLGS[[#This Row],[Paid]]</f>
        <v>-70892</v>
      </c>
    </row>
    <row r="22" spans="1:35">
      <c r="A22" t="s">
        <v>6163</v>
      </c>
      <c r="B22" s="1">
        <v>41274</v>
      </c>
      <c r="C22" s="1">
        <v>41274</v>
      </c>
      <c r="D22" t="s">
        <v>6164</v>
      </c>
      <c r="E22">
        <v>-53273</v>
      </c>
      <c r="F22">
        <v>0</v>
      </c>
      <c r="G22">
        <v>0</v>
      </c>
      <c r="H22">
        <v>0</v>
      </c>
      <c r="I22">
        <v>0</v>
      </c>
      <c r="J22">
        <v>-53273</v>
      </c>
      <c r="L22" s="1"/>
      <c r="M22" t="s">
        <v>6165</v>
      </c>
      <c r="N22" t="s">
        <v>36</v>
      </c>
      <c r="O22" t="s">
        <v>6047</v>
      </c>
      <c r="P22" t="s">
        <v>6166</v>
      </c>
      <c r="Q22" t="s">
        <v>39</v>
      </c>
      <c r="R22" t="s">
        <v>40</v>
      </c>
      <c r="S22">
        <v>0</v>
      </c>
      <c r="U22" t="s">
        <v>5550</v>
      </c>
      <c r="V22" t="s">
        <v>1797</v>
      </c>
      <c r="W22" t="s">
        <v>6167</v>
      </c>
      <c r="X22" t="s">
        <v>43</v>
      </c>
      <c r="Y22" t="b">
        <v>0</v>
      </c>
      <c r="Z22" t="b">
        <v>0</v>
      </c>
      <c r="AA22" t="b">
        <v>0</v>
      </c>
      <c r="AC22" s="1"/>
      <c r="AF22">
        <v>0</v>
      </c>
      <c r="AG22">
        <v>45</v>
      </c>
      <c r="AI22" s="2">
        <f>Table__192.168.3.138AgingReportBEWLGS[[#This Row],[NetAmount]]-Table__192.168.3.138AgingReportBEWLGS[[#This Row],[Paid]]</f>
        <v>-53273</v>
      </c>
    </row>
    <row r="23" spans="1:35">
      <c r="A23" t="s">
        <v>6168</v>
      </c>
      <c r="B23" s="1">
        <v>41274</v>
      </c>
      <c r="C23" s="1">
        <v>41274</v>
      </c>
      <c r="D23" t="s">
        <v>6169</v>
      </c>
      <c r="E23">
        <v>-35543</v>
      </c>
      <c r="F23">
        <v>0</v>
      </c>
      <c r="G23">
        <v>0</v>
      </c>
      <c r="H23">
        <v>0</v>
      </c>
      <c r="I23">
        <v>0</v>
      </c>
      <c r="J23">
        <v>-35543</v>
      </c>
      <c r="L23" s="1"/>
      <c r="M23" t="s">
        <v>6170</v>
      </c>
      <c r="N23" t="s">
        <v>36</v>
      </c>
      <c r="O23" t="s">
        <v>6047</v>
      </c>
      <c r="P23" t="s">
        <v>6171</v>
      </c>
      <c r="Q23" t="s">
        <v>39</v>
      </c>
      <c r="R23" t="s">
        <v>40</v>
      </c>
      <c r="S23">
        <v>0</v>
      </c>
      <c r="U23" t="s">
        <v>5550</v>
      </c>
      <c r="V23" t="s">
        <v>1797</v>
      </c>
      <c r="W23" t="s">
        <v>6172</v>
      </c>
      <c r="X23" t="s">
        <v>43</v>
      </c>
      <c r="Y23" t="b">
        <v>0</v>
      </c>
      <c r="Z23" t="b">
        <v>0</v>
      </c>
      <c r="AA23" t="b">
        <v>0</v>
      </c>
      <c r="AC23" s="1"/>
      <c r="AF23">
        <v>0</v>
      </c>
      <c r="AG23">
        <v>45</v>
      </c>
      <c r="AI23" s="2">
        <f>Table__192.168.3.138AgingReportBEWLGS[[#This Row],[NetAmount]]-Table__192.168.3.138AgingReportBEWLGS[[#This Row],[Paid]]</f>
        <v>-35543</v>
      </c>
    </row>
    <row r="24" spans="1:35">
      <c r="A24" t="s">
        <v>6173</v>
      </c>
      <c r="B24" s="1">
        <v>41274</v>
      </c>
      <c r="C24" s="1">
        <v>41274</v>
      </c>
      <c r="D24" t="s">
        <v>6169</v>
      </c>
      <c r="E24">
        <v>-35719</v>
      </c>
      <c r="F24">
        <v>0</v>
      </c>
      <c r="G24">
        <v>0</v>
      </c>
      <c r="H24">
        <v>0</v>
      </c>
      <c r="I24">
        <v>0</v>
      </c>
      <c r="J24">
        <v>-35719</v>
      </c>
      <c r="L24" s="1"/>
      <c r="M24" t="s">
        <v>6174</v>
      </c>
      <c r="N24" t="s">
        <v>36</v>
      </c>
      <c r="O24" t="s">
        <v>6047</v>
      </c>
      <c r="P24" t="s">
        <v>6171</v>
      </c>
      <c r="Q24" t="s">
        <v>39</v>
      </c>
      <c r="R24" t="s">
        <v>40</v>
      </c>
      <c r="S24">
        <v>0</v>
      </c>
      <c r="U24" t="s">
        <v>5550</v>
      </c>
      <c r="V24" t="s">
        <v>1797</v>
      </c>
      <c r="W24" t="s">
        <v>6172</v>
      </c>
      <c r="X24" t="s">
        <v>43</v>
      </c>
      <c r="Y24" t="b">
        <v>0</v>
      </c>
      <c r="Z24" t="b">
        <v>0</v>
      </c>
      <c r="AA24" t="b">
        <v>0</v>
      </c>
      <c r="AC24" s="1"/>
      <c r="AF24">
        <v>0</v>
      </c>
      <c r="AG24">
        <v>45</v>
      </c>
      <c r="AI24" s="2">
        <f>Table__192.168.3.138AgingReportBEWLGS[[#This Row],[NetAmount]]-Table__192.168.3.138AgingReportBEWLGS[[#This Row],[Paid]]</f>
        <v>-35719</v>
      </c>
    </row>
    <row r="25" spans="1:35">
      <c r="A25" t="s">
        <v>6175</v>
      </c>
      <c r="B25" s="1">
        <v>41274</v>
      </c>
      <c r="C25" s="1">
        <v>41274</v>
      </c>
      <c r="D25" t="s">
        <v>6169</v>
      </c>
      <c r="E25">
        <v>-30497</v>
      </c>
      <c r="F25">
        <v>0</v>
      </c>
      <c r="G25">
        <v>0</v>
      </c>
      <c r="H25">
        <v>0</v>
      </c>
      <c r="I25">
        <v>0</v>
      </c>
      <c r="J25">
        <v>-30497</v>
      </c>
      <c r="L25" s="1"/>
      <c r="M25" t="s">
        <v>6176</v>
      </c>
      <c r="N25" t="s">
        <v>36</v>
      </c>
      <c r="O25" t="s">
        <v>6047</v>
      </c>
      <c r="P25" t="s">
        <v>6171</v>
      </c>
      <c r="Q25" t="s">
        <v>39</v>
      </c>
      <c r="R25" t="s">
        <v>40</v>
      </c>
      <c r="S25">
        <v>0</v>
      </c>
      <c r="U25" t="s">
        <v>5550</v>
      </c>
      <c r="V25" t="s">
        <v>1797</v>
      </c>
      <c r="W25" t="s">
        <v>6172</v>
      </c>
      <c r="X25" t="s">
        <v>43</v>
      </c>
      <c r="Y25" t="b">
        <v>0</v>
      </c>
      <c r="Z25" t="b">
        <v>0</v>
      </c>
      <c r="AA25" t="b">
        <v>0</v>
      </c>
      <c r="AC25" s="1"/>
      <c r="AF25">
        <v>0</v>
      </c>
      <c r="AG25">
        <v>45</v>
      </c>
      <c r="AI25" s="2">
        <f>Table__192.168.3.138AgingReportBEWLGS[[#This Row],[NetAmount]]-Table__192.168.3.138AgingReportBEWLGS[[#This Row],[Paid]]</f>
        <v>-30497</v>
      </c>
    </row>
    <row r="26" spans="1:35">
      <c r="A26" t="s">
        <v>6177</v>
      </c>
      <c r="B26" s="1">
        <v>41274</v>
      </c>
      <c r="C26" s="1">
        <v>41274</v>
      </c>
      <c r="D26" t="s">
        <v>6178</v>
      </c>
      <c r="E26">
        <v>-38505</v>
      </c>
      <c r="F26">
        <v>0</v>
      </c>
      <c r="G26">
        <v>0</v>
      </c>
      <c r="H26">
        <v>0</v>
      </c>
      <c r="I26">
        <v>0</v>
      </c>
      <c r="J26">
        <v>-38505</v>
      </c>
      <c r="L26" s="1"/>
      <c r="M26" t="s">
        <v>6179</v>
      </c>
      <c r="N26" t="s">
        <v>36</v>
      </c>
      <c r="O26" t="s">
        <v>6047</v>
      </c>
      <c r="P26" t="s">
        <v>6180</v>
      </c>
      <c r="Q26" t="s">
        <v>39</v>
      </c>
      <c r="R26" t="s">
        <v>40</v>
      </c>
      <c r="S26">
        <v>0</v>
      </c>
      <c r="U26" t="s">
        <v>5550</v>
      </c>
      <c r="V26" t="s">
        <v>1797</v>
      </c>
      <c r="W26" t="s">
        <v>6181</v>
      </c>
      <c r="X26" t="s">
        <v>43</v>
      </c>
      <c r="Y26" t="b">
        <v>0</v>
      </c>
      <c r="Z26" t="b">
        <v>0</v>
      </c>
      <c r="AA26" t="b">
        <v>0</v>
      </c>
      <c r="AC26" s="1"/>
      <c r="AF26">
        <v>0</v>
      </c>
      <c r="AG26">
        <v>45</v>
      </c>
      <c r="AI26" s="2">
        <f>Table__192.168.3.138AgingReportBEWLGS[[#This Row],[NetAmount]]-Table__192.168.3.138AgingReportBEWLGS[[#This Row],[Paid]]</f>
        <v>-38505</v>
      </c>
    </row>
    <row r="27" spans="1:35">
      <c r="A27" t="s">
        <v>6182</v>
      </c>
      <c r="B27" s="1">
        <v>41305</v>
      </c>
      <c r="C27" s="1">
        <v>41305</v>
      </c>
      <c r="D27" t="s">
        <v>6183</v>
      </c>
      <c r="E27">
        <v>-819</v>
      </c>
      <c r="F27">
        <v>0</v>
      </c>
      <c r="G27">
        <v>0</v>
      </c>
      <c r="H27">
        <v>0</v>
      </c>
      <c r="I27">
        <v>0</v>
      </c>
      <c r="J27">
        <v>-819</v>
      </c>
      <c r="L27" s="1"/>
      <c r="M27" t="s">
        <v>6184</v>
      </c>
      <c r="N27" t="s">
        <v>36</v>
      </c>
      <c r="O27" t="s">
        <v>6047</v>
      </c>
      <c r="P27" t="s">
        <v>6185</v>
      </c>
      <c r="Q27" t="s">
        <v>39</v>
      </c>
      <c r="R27" t="s">
        <v>40</v>
      </c>
      <c r="S27">
        <v>0</v>
      </c>
      <c r="U27" t="s">
        <v>5550</v>
      </c>
      <c r="V27" t="s">
        <v>1797</v>
      </c>
      <c r="W27" t="s">
        <v>6186</v>
      </c>
      <c r="X27" t="s">
        <v>43</v>
      </c>
      <c r="Y27" t="b">
        <v>0</v>
      </c>
      <c r="Z27" t="b">
        <v>0</v>
      </c>
      <c r="AA27" t="b">
        <v>0</v>
      </c>
      <c r="AC27" s="1"/>
      <c r="AF27">
        <v>0</v>
      </c>
      <c r="AG27">
        <v>45</v>
      </c>
      <c r="AI27" s="2">
        <f>Table__192.168.3.138AgingReportBEWLGS[[#This Row],[NetAmount]]-Table__192.168.3.138AgingReportBEWLGS[[#This Row],[Paid]]</f>
        <v>-819</v>
      </c>
    </row>
    <row r="28" spans="1:35">
      <c r="A28" t="s">
        <v>6187</v>
      </c>
      <c r="B28" s="1">
        <v>41305</v>
      </c>
      <c r="C28" s="1">
        <v>41305</v>
      </c>
      <c r="D28" t="s">
        <v>6188</v>
      </c>
      <c r="E28">
        <v>-10647</v>
      </c>
      <c r="F28">
        <v>0</v>
      </c>
      <c r="G28">
        <v>0</v>
      </c>
      <c r="H28">
        <v>0</v>
      </c>
      <c r="I28">
        <v>0</v>
      </c>
      <c r="J28">
        <v>-10647</v>
      </c>
      <c r="L28" s="1"/>
      <c r="M28" t="s">
        <v>6189</v>
      </c>
      <c r="N28" t="s">
        <v>36</v>
      </c>
      <c r="O28" t="s">
        <v>6047</v>
      </c>
      <c r="P28" t="s">
        <v>6190</v>
      </c>
      <c r="Q28" t="s">
        <v>39</v>
      </c>
      <c r="R28" t="s">
        <v>40</v>
      </c>
      <c r="S28">
        <v>0</v>
      </c>
      <c r="U28" t="s">
        <v>5550</v>
      </c>
      <c r="V28" t="s">
        <v>1797</v>
      </c>
      <c r="W28" t="s">
        <v>6191</v>
      </c>
      <c r="X28" t="s">
        <v>43</v>
      </c>
      <c r="Y28" t="b">
        <v>0</v>
      </c>
      <c r="Z28" t="b">
        <v>0</v>
      </c>
      <c r="AA28" t="b">
        <v>0</v>
      </c>
      <c r="AC28" s="1"/>
      <c r="AF28">
        <v>0</v>
      </c>
      <c r="AG28">
        <v>45</v>
      </c>
      <c r="AI28" s="2">
        <f>Table__192.168.3.138AgingReportBEWLGS[[#This Row],[NetAmount]]-Table__192.168.3.138AgingReportBEWLGS[[#This Row],[Paid]]</f>
        <v>-10647</v>
      </c>
    </row>
    <row r="29" spans="1:35">
      <c r="A29" t="s">
        <v>6192</v>
      </c>
      <c r="B29" s="1">
        <v>41305</v>
      </c>
      <c r="C29" s="1">
        <v>41305</v>
      </c>
      <c r="D29" t="s">
        <v>6193</v>
      </c>
      <c r="E29">
        <v>-29211</v>
      </c>
      <c r="F29">
        <v>0</v>
      </c>
      <c r="G29">
        <v>0</v>
      </c>
      <c r="H29">
        <v>0</v>
      </c>
      <c r="I29">
        <v>0</v>
      </c>
      <c r="J29">
        <v>-29211</v>
      </c>
      <c r="L29" s="1"/>
      <c r="M29" t="s">
        <v>6194</v>
      </c>
      <c r="N29" t="s">
        <v>36</v>
      </c>
      <c r="O29" t="s">
        <v>6047</v>
      </c>
      <c r="P29" t="s">
        <v>6195</v>
      </c>
      <c r="Q29" t="s">
        <v>39</v>
      </c>
      <c r="R29" t="s">
        <v>40</v>
      </c>
      <c r="S29">
        <v>0</v>
      </c>
      <c r="U29" t="s">
        <v>5550</v>
      </c>
      <c r="V29" t="s">
        <v>1797</v>
      </c>
      <c r="W29" t="s">
        <v>6196</v>
      </c>
      <c r="X29" t="s">
        <v>43</v>
      </c>
      <c r="Y29" t="b">
        <v>0</v>
      </c>
      <c r="Z29" t="b">
        <v>0</v>
      </c>
      <c r="AA29" t="b">
        <v>0</v>
      </c>
      <c r="AC29" s="1"/>
      <c r="AF29">
        <v>0</v>
      </c>
      <c r="AG29">
        <v>45</v>
      </c>
      <c r="AI29" s="2">
        <f>Table__192.168.3.138AgingReportBEWLGS[[#This Row],[NetAmount]]-Table__192.168.3.138AgingReportBEWLGS[[#This Row],[Paid]]</f>
        <v>-29211</v>
      </c>
    </row>
    <row r="30" spans="1:35">
      <c r="A30" t="s">
        <v>6197</v>
      </c>
      <c r="B30" s="1">
        <v>41305</v>
      </c>
      <c r="C30" s="1">
        <v>41305</v>
      </c>
      <c r="D30" t="s">
        <v>6198</v>
      </c>
      <c r="E30">
        <v>-22932</v>
      </c>
      <c r="F30">
        <v>0</v>
      </c>
      <c r="G30">
        <v>0</v>
      </c>
      <c r="H30">
        <v>0</v>
      </c>
      <c r="I30">
        <v>0</v>
      </c>
      <c r="J30">
        <v>-22932</v>
      </c>
      <c r="L30" s="1"/>
      <c r="M30" t="s">
        <v>6199</v>
      </c>
      <c r="N30" t="s">
        <v>36</v>
      </c>
      <c r="O30" t="s">
        <v>6047</v>
      </c>
      <c r="P30" t="s">
        <v>6200</v>
      </c>
      <c r="Q30" t="s">
        <v>39</v>
      </c>
      <c r="R30" t="s">
        <v>40</v>
      </c>
      <c r="S30">
        <v>0</v>
      </c>
      <c r="U30" t="s">
        <v>5550</v>
      </c>
      <c r="V30" t="s">
        <v>1797</v>
      </c>
      <c r="W30" t="s">
        <v>6201</v>
      </c>
      <c r="X30" t="s">
        <v>43</v>
      </c>
      <c r="Y30" t="b">
        <v>0</v>
      </c>
      <c r="Z30" t="b">
        <v>0</v>
      </c>
      <c r="AA30" t="b">
        <v>0</v>
      </c>
      <c r="AC30" s="1"/>
      <c r="AF30">
        <v>0</v>
      </c>
      <c r="AG30">
        <v>45</v>
      </c>
      <c r="AI30" s="2">
        <f>Table__192.168.3.138AgingReportBEWLGS[[#This Row],[NetAmount]]-Table__192.168.3.138AgingReportBEWLGS[[#This Row],[Paid]]</f>
        <v>-22932</v>
      </c>
    </row>
    <row r="31" spans="1:35">
      <c r="A31" t="s">
        <v>6202</v>
      </c>
      <c r="B31" s="1">
        <v>41305</v>
      </c>
      <c r="C31" s="1">
        <v>41305</v>
      </c>
      <c r="D31" t="s">
        <v>6203</v>
      </c>
      <c r="E31">
        <v>-1168</v>
      </c>
      <c r="F31">
        <v>0</v>
      </c>
      <c r="G31">
        <v>0</v>
      </c>
      <c r="H31">
        <v>0</v>
      </c>
      <c r="I31">
        <v>0</v>
      </c>
      <c r="J31">
        <v>-1168</v>
      </c>
      <c r="L31" s="1"/>
      <c r="M31" t="s">
        <v>6204</v>
      </c>
      <c r="N31" t="s">
        <v>36</v>
      </c>
      <c r="O31" t="s">
        <v>6047</v>
      </c>
      <c r="P31" t="s">
        <v>6205</v>
      </c>
      <c r="Q31" t="s">
        <v>39</v>
      </c>
      <c r="R31" t="s">
        <v>40</v>
      </c>
      <c r="S31">
        <v>0</v>
      </c>
      <c r="U31" t="s">
        <v>5550</v>
      </c>
      <c r="V31" t="s">
        <v>1797</v>
      </c>
      <c r="W31" t="s">
        <v>6206</v>
      </c>
      <c r="X31" t="s">
        <v>43</v>
      </c>
      <c r="Y31" t="b">
        <v>0</v>
      </c>
      <c r="Z31" t="b">
        <v>0</v>
      </c>
      <c r="AA31" t="b">
        <v>0</v>
      </c>
      <c r="AC31" s="1"/>
      <c r="AF31">
        <v>0</v>
      </c>
      <c r="AG31">
        <v>45</v>
      </c>
      <c r="AI31" s="2">
        <f>Table__192.168.3.138AgingReportBEWLGS[[#This Row],[NetAmount]]-Table__192.168.3.138AgingReportBEWLGS[[#This Row],[Paid]]</f>
        <v>-1168</v>
      </c>
    </row>
    <row r="32" spans="1:35">
      <c r="A32" t="s">
        <v>6207</v>
      </c>
      <c r="B32" s="1">
        <v>41305</v>
      </c>
      <c r="C32" s="1">
        <v>41305</v>
      </c>
      <c r="D32" t="s">
        <v>6203</v>
      </c>
      <c r="E32">
        <v>-5390</v>
      </c>
      <c r="F32">
        <v>0</v>
      </c>
      <c r="G32">
        <v>0</v>
      </c>
      <c r="H32">
        <v>0</v>
      </c>
      <c r="I32">
        <v>0</v>
      </c>
      <c r="J32">
        <v>-5390</v>
      </c>
      <c r="L32" s="1"/>
      <c r="M32" t="s">
        <v>6208</v>
      </c>
      <c r="N32" t="s">
        <v>36</v>
      </c>
      <c r="O32" t="s">
        <v>6047</v>
      </c>
      <c r="P32" t="s">
        <v>6205</v>
      </c>
      <c r="Q32" t="s">
        <v>39</v>
      </c>
      <c r="R32" t="s">
        <v>40</v>
      </c>
      <c r="S32">
        <v>0</v>
      </c>
      <c r="U32" t="s">
        <v>5550</v>
      </c>
      <c r="V32" t="s">
        <v>1797</v>
      </c>
      <c r="W32" t="s">
        <v>6206</v>
      </c>
      <c r="X32" t="s">
        <v>43</v>
      </c>
      <c r="Y32" t="b">
        <v>0</v>
      </c>
      <c r="Z32" t="b">
        <v>0</v>
      </c>
      <c r="AA32" t="b">
        <v>0</v>
      </c>
      <c r="AC32" s="1"/>
      <c r="AF32">
        <v>0</v>
      </c>
      <c r="AG32">
        <v>45</v>
      </c>
      <c r="AI32" s="2">
        <f>Table__192.168.3.138AgingReportBEWLGS[[#This Row],[NetAmount]]-Table__192.168.3.138AgingReportBEWLGS[[#This Row],[Paid]]</f>
        <v>-5390</v>
      </c>
    </row>
    <row r="33" spans="1:35">
      <c r="A33" t="s">
        <v>6209</v>
      </c>
      <c r="B33" s="1">
        <v>41305</v>
      </c>
      <c r="C33" s="1">
        <v>41305</v>
      </c>
      <c r="D33" t="s">
        <v>6183</v>
      </c>
      <c r="E33">
        <v>-17750</v>
      </c>
      <c r="F33">
        <v>0</v>
      </c>
      <c r="G33">
        <v>0</v>
      </c>
      <c r="H33">
        <v>0</v>
      </c>
      <c r="I33">
        <v>0</v>
      </c>
      <c r="J33">
        <v>-17750</v>
      </c>
      <c r="L33" s="1"/>
      <c r="M33" t="s">
        <v>6210</v>
      </c>
      <c r="N33" t="s">
        <v>36</v>
      </c>
      <c r="O33" t="s">
        <v>6047</v>
      </c>
      <c r="P33" t="s">
        <v>6185</v>
      </c>
      <c r="Q33" t="s">
        <v>39</v>
      </c>
      <c r="R33" t="s">
        <v>40</v>
      </c>
      <c r="S33">
        <v>0</v>
      </c>
      <c r="U33" t="s">
        <v>5550</v>
      </c>
      <c r="V33" t="s">
        <v>1797</v>
      </c>
      <c r="W33" t="s">
        <v>6186</v>
      </c>
      <c r="X33" t="s">
        <v>43</v>
      </c>
      <c r="Y33" t="b">
        <v>0</v>
      </c>
      <c r="Z33" t="b">
        <v>0</v>
      </c>
      <c r="AA33" t="b">
        <v>0</v>
      </c>
      <c r="AC33" s="1"/>
      <c r="AF33">
        <v>0</v>
      </c>
      <c r="AG33">
        <v>45</v>
      </c>
      <c r="AI33" s="2">
        <f>Table__192.168.3.138AgingReportBEWLGS[[#This Row],[NetAmount]]-Table__192.168.3.138AgingReportBEWLGS[[#This Row],[Paid]]</f>
        <v>-17750</v>
      </c>
    </row>
    <row r="34" spans="1:35">
      <c r="A34" t="s">
        <v>6211</v>
      </c>
      <c r="B34" s="1">
        <v>41305</v>
      </c>
      <c r="C34" s="1">
        <v>41305</v>
      </c>
      <c r="D34" t="s">
        <v>6183</v>
      </c>
      <c r="E34">
        <v>-6006</v>
      </c>
      <c r="F34">
        <v>0</v>
      </c>
      <c r="G34">
        <v>0</v>
      </c>
      <c r="H34">
        <v>0</v>
      </c>
      <c r="I34">
        <v>0</v>
      </c>
      <c r="J34">
        <v>-6006</v>
      </c>
      <c r="L34" s="1"/>
      <c r="M34" t="s">
        <v>6212</v>
      </c>
      <c r="N34" t="s">
        <v>36</v>
      </c>
      <c r="O34" t="s">
        <v>6047</v>
      </c>
      <c r="P34" t="s">
        <v>6185</v>
      </c>
      <c r="Q34" t="s">
        <v>39</v>
      </c>
      <c r="R34" t="s">
        <v>40</v>
      </c>
      <c r="S34">
        <v>0</v>
      </c>
      <c r="U34" t="s">
        <v>5550</v>
      </c>
      <c r="V34" t="s">
        <v>1797</v>
      </c>
      <c r="W34" t="s">
        <v>6186</v>
      </c>
      <c r="X34" t="s">
        <v>43</v>
      </c>
      <c r="Y34" t="b">
        <v>0</v>
      </c>
      <c r="Z34" t="b">
        <v>0</v>
      </c>
      <c r="AA34" t="b">
        <v>0</v>
      </c>
      <c r="AC34" s="1"/>
      <c r="AF34">
        <v>0</v>
      </c>
      <c r="AG34">
        <v>45</v>
      </c>
      <c r="AI34" s="2">
        <f>Table__192.168.3.138AgingReportBEWLGS[[#This Row],[NetAmount]]-Table__192.168.3.138AgingReportBEWLGS[[#This Row],[Paid]]</f>
        <v>-6006</v>
      </c>
    </row>
    <row r="35" spans="1:35">
      <c r="A35" t="s">
        <v>6213</v>
      </c>
      <c r="B35" s="1">
        <v>41305</v>
      </c>
      <c r="C35" s="1">
        <v>41305</v>
      </c>
      <c r="D35" t="s">
        <v>6214</v>
      </c>
      <c r="E35">
        <v>-14469</v>
      </c>
      <c r="F35">
        <v>0</v>
      </c>
      <c r="G35">
        <v>0</v>
      </c>
      <c r="H35">
        <v>0</v>
      </c>
      <c r="I35">
        <v>0</v>
      </c>
      <c r="J35">
        <v>-14469</v>
      </c>
      <c r="L35" s="1"/>
      <c r="M35" t="s">
        <v>6215</v>
      </c>
      <c r="N35" t="s">
        <v>1218</v>
      </c>
      <c r="O35" t="s">
        <v>6045</v>
      </c>
      <c r="P35" t="s">
        <v>6216</v>
      </c>
      <c r="Q35" t="s">
        <v>39</v>
      </c>
      <c r="R35" t="s">
        <v>40</v>
      </c>
      <c r="S35">
        <v>0</v>
      </c>
      <c r="U35" t="s">
        <v>5550</v>
      </c>
      <c r="V35" t="s">
        <v>1797</v>
      </c>
      <c r="W35" t="s">
        <v>6217</v>
      </c>
      <c r="X35" t="s">
        <v>43</v>
      </c>
      <c r="Y35" t="b">
        <v>0</v>
      </c>
      <c r="Z35" t="b">
        <v>0</v>
      </c>
      <c r="AA35" t="b">
        <v>0</v>
      </c>
      <c r="AC35" s="1"/>
      <c r="AF35">
        <v>0</v>
      </c>
      <c r="AG35">
        <v>45</v>
      </c>
      <c r="AI35" s="2">
        <f>Table__192.168.3.138AgingReportBEWLGS[[#This Row],[NetAmount]]-Table__192.168.3.138AgingReportBEWLGS[[#This Row],[Paid]]</f>
        <v>-14469</v>
      </c>
    </row>
    <row r="36" spans="1:35">
      <c r="A36" t="s">
        <v>6218</v>
      </c>
      <c r="B36" s="1">
        <v>41305</v>
      </c>
      <c r="C36" s="1">
        <v>41305</v>
      </c>
      <c r="D36" t="s">
        <v>6214</v>
      </c>
      <c r="E36">
        <v>-3160</v>
      </c>
      <c r="F36">
        <v>0</v>
      </c>
      <c r="G36">
        <v>0</v>
      </c>
      <c r="H36">
        <v>0</v>
      </c>
      <c r="I36">
        <v>0</v>
      </c>
      <c r="J36">
        <v>-3160</v>
      </c>
      <c r="L36" s="1"/>
      <c r="M36" t="s">
        <v>6219</v>
      </c>
      <c r="N36" t="s">
        <v>1218</v>
      </c>
      <c r="O36" t="s">
        <v>6045</v>
      </c>
      <c r="P36" t="s">
        <v>6216</v>
      </c>
      <c r="Q36" t="s">
        <v>39</v>
      </c>
      <c r="R36" t="s">
        <v>40</v>
      </c>
      <c r="S36">
        <v>0</v>
      </c>
      <c r="U36" t="s">
        <v>5550</v>
      </c>
      <c r="V36" t="s">
        <v>1797</v>
      </c>
      <c r="W36" t="s">
        <v>6217</v>
      </c>
      <c r="X36" t="s">
        <v>43</v>
      </c>
      <c r="Y36" t="b">
        <v>0</v>
      </c>
      <c r="Z36" t="b">
        <v>0</v>
      </c>
      <c r="AA36" t="b">
        <v>0</v>
      </c>
      <c r="AC36" s="1"/>
      <c r="AF36">
        <v>0</v>
      </c>
      <c r="AG36">
        <v>45</v>
      </c>
      <c r="AI36" s="2">
        <f>Table__192.168.3.138AgingReportBEWLGS[[#This Row],[NetAmount]]-Table__192.168.3.138AgingReportBEWLGS[[#This Row],[Paid]]</f>
        <v>-3160</v>
      </c>
    </row>
    <row r="37" spans="1:35">
      <c r="A37" t="s">
        <v>6220</v>
      </c>
      <c r="B37" s="1">
        <v>41305</v>
      </c>
      <c r="C37" s="1">
        <v>41305</v>
      </c>
      <c r="D37" t="s">
        <v>6214</v>
      </c>
      <c r="E37">
        <v>-14574</v>
      </c>
      <c r="F37">
        <v>0</v>
      </c>
      <c r="G37">
        <v>0</v>
      </c>
      <c r="H37">
        <v>0</v>
      </c>
      <c r="I37">
        <v>0</v>
      </c>
      <c r="J37">
        <v>-14574</v>
      </c>
      <c r="L37" s="1"/>
      <c r="M37" t="s">
        <v>6221</v>
      </c>
      <c r="N37" t="s">
        <v>1218</v>
      </c>
      <c r="O37" t="s">
        <v>6045</v>
      </c>
      <c r="P37" t="s">
        <v>6216</v>
      </c>
      <c r="Q37" t="s">
        <v>39</v>
      </c>
      <c r="R37" t="s">
        <v>40</v>
      </c>
      <c r="S37">
        <v>0</v>
      </c>
      <c r="U37" t="s">
        <v>5550</v>
      </c>
      <c r="V37" t="s">
        <v>1797</v>
      </c>
      <c r="W37" t="s">
        <v>6217</v>
      </c>
      <c r="X37" t="s">
        <v>43</v>
      </c>
      <c r="Y37" t="b">
        <v>0</v>
      </c>
      <c r="Z37" t="b">
        <v>0</v>
      </c>
      <c r="AA37" t="b">
        <v>0</v>
      </c>
      <c r="AC37" s="1"/>
      <c r="AF37">
        <v>0</v>
      </c>
      <c r="AG37">
        <v>45</v>
      </c>
      <c r="AI37" s="2">
        <f>Table__192.168.3.138AgingReportBEWLGS[[#This Row],[NetAmount]]-Table__192.168.3.138AgingReportBEWLGS[[#This Row],[Paid]]</f>
        <v>-14574</v>
      </c>
    </row>
    <row r="38" spans="1:35">
      <c r="A38" t="s">
        <v>6222</v>
      </c>
      <c r="B38" s="1">
        <v>41305</v>
      </c>
      <c r="C38" s="1">
        <v>41305</v>
      </c>
      <c r="D38" t="s">
        <v>6223</v>
      </c>
      <c r="E38">
        <v>-12279</v>
      </c>
      <c r="F38">
        <v>0</v>
      </c>
      <c r="G38">
        <v>0</v>
      </c>
      <c r="H38">
        <v>0</v>
      </c>
      <c r="I38">
        <v>0</v>
      </c>
      <c r="J38">
        <v>-12279</v>
      </c>
      <c r="L38" s="1"/>
      <c r="M38" t="s">
        <v>6224</v>
      </c>
      <c r="N38" t="s">
        <v>1218</v>
      </c>
      <c r="O38" t="s">
        <v>6045</v>
      </c>
      <c r="P38" t="s">
        <v>6225</v>
      </c>
      <c r="Q38" t="s">
        <v>39</v>
      </c>
      <c r="R38" t="s">
        <v>40</v>
      </c>
      <c r="S38">
        <v>0</v>
      </c>
      <c r="U38" t="s">
        <v>5550</v>
      </c>
      <c r="V38" t="s">
        <v>1797</v>
      </c>
      <c r="W38" t="s">
        <v>6226</v>
      </c>
      <c r="X38" t="s">
        <v>43</v>
      </c>
      <c r="Y38" t="b">
        <v>0</v>
      </c>
      <c r="Z38" t="b">
        <v>0</v>
      </c>
      <c r="AA38" t="b">
        <v>0</v>
      </c>
      <c r="AC38" s="1"/>
      <c r="AF38">
        <v>0</v>
      </c>
      <c r="AG38">
        <v>45</v>
      </c>
      <c r="AI38" s="2">
        <f>Table__192.168.3.138AgingReportBEWLGS[[#This Row],[NetAmount]]-Table__192.168.3.138AgingReportBEWLGS[[#This Row],[Paid]]</f>
        <v>-12279</v>
      </c>
    </row>
    <row r="39" spans="1:35">
      <c r="A39" t="s">
        <v>6227</v>
      </c>
      <c r="B39" s="1">
        <v>41305</v>
      </c>
      <c r="C39" s="1">
        <v>41305</v>
      </c>
      <c r="D39" t="s">
        <v>6223</v>
      </c>
      <c r="E39">
        <v>-8190</v>
      </c>
      <c r="F39">
        <v>0</v>
      </c>
      <c r="G39">
        <v>0</v>
      </c>
      <c r="H39">
        <v>0</v>
      </c>
      <c r="I39">
        <v>0</v>
      </c>
      <c r="J39">
        <v>-8190</v>
      </c>
      <c r="L39" s="1"/>
      <c r="M39" t="s">
        <v>6228</v>
      </c>
      <c r="N39" t="s">
        <v>1218</v>
      </c>
      <c r="O39" t="s">
        <v>6045</v>
      </c>
      <c r="P39" t="s">
        <v>6225</v>
      </c>
      <c r="Q39" t="s">
        <v>39</v>
      </c>
      <c r="R39" t="s">
        <v>40</v>
      </c>
      <c r="S39">
        <v>0</v>
      </c>
      <c r="U39" t="s">
        <v>5550</v>
      </c>
      <c r="V39" t="s">
        <v>1797</v>
      </c>
      <c r="W39" t="s">
        <v>6226</v>
      </c>
      <c r="X39" t="s">
        <v>43</v>
      </c>
      <c r="Y39" t="b">
        <v>0</v>
      </c>
      <c r="Z39" t="b">
        <v>0</v>
      </c>
      <c r="AA39" t="b">
        <v>0</v>
      </c>
      <c r="AC39" s="1"/>
      <c r="AF39">
        <v>0</v>
      </c>
      <c r="AG39">
        <v>45</v>
      </c>
      <c r="AI39" s="2">
        <f>Table__192.168.3.138AgingReportBEWLGS[[#This Row],[NetAmount]]-Table__192.168.3.138AgingReportBEWLGS[[#This Row],[Paid]]</f>
        <v>-8190</v>
      </c>
    </row>
    <row r="40" spans="1:35">
      <c r="A40" t="s">
        <v>6229</v>
      </c>
      <c r="B40" s="1">
        <v>41305</v>
      </c>
      <c r="C40" s="1">
        <v>41305</v>
      </c>
      <c r="D40" t="s">
        <v>6223</v>
      </c>
      <c r="E40">
        <v>-1740</v>
      </c>
      <c r="F40">
        <v>0</v>
      </c>
      <c r="G40">
        <v>0</v>
      </c>
      <c r="H40">
        <v>0</v>
      </c>
      <c r="I40">
        <v>0</v>
      </c>
      <c r="J40">
        <v>-1740</v>
      </c>
      <c r="L40" s="1"/>
      <c r="M40" t="s">
        <v>6230</v>
      </c>
      <c r="N40" t="s">
        <v>1218</v>
      </c>
      <c r="O40" t="s">
        <v>6045</v>
      </c>
      <c r="P40" t="s">
        <v>6225</v>
      </c>
      <c r="Q40" t="s">
        <v>39</v>
      </c>
      <c r="R40" t="s">
        <v>40</v>
      </c>
      <c r="S40">
        <v>0</v>
      </c>
      <c r="U40" t="s">
        <v>5550</v>
      </c>
      <c r="V40" t="s">
        <v>1797</v>
      </c>
      <c r="W40" t="s">
        <v>6226</v>
      </c>
      <c r="X40" t="s">
        <v>43</v>
      </c>
      <c r="Y40" t="b">
        <v>0</v>
      </c>
      <c r="Z40" t="b">
        <v>0</v>
      </c>
      <c r="AA40" t="b">
        <v>0</v>
      </c>
      <c r="AC40" s="1"/>
      <c r="AF40">
        <v>0</v>
      </c>
      <c r="AG40">
        <v>45</v>
      </c>
      <c r="AI40" s="2">
        <f>Table__192.168.3.138AgingReportBEWLGS[[#This Row],[NetAmount]]-Table__192.168.3.138AgingReportBEWLGS[[#This Row],[Paid]]</f>
        <v>-1740</v>
      </c>
    </row>
    <row r="41" spans="1:35">
      <c r="A41" t="s">
        <v>6231</v>
      </c>
      <c r="B41" s="1">
        <v>41305</v>
      </c>
      <c r="C41" s="1">
        <v>41305</v>
      </c>
      <c r="D41" t="s">
        <v>6232</v>
      </c>
      <c r="E41">
        <v>-1911</v>
      </c>
      <c r="F41">
        <v>0</v>
      </c>
      <c r="G41">
        <v>0</v>
      </c>
      <c r="H41">
        <v>0</v>
      </c>
      <c r="I41">
        <v>0</v>
      </c>
      <c r="J41">
        <v>-1911</v>
      </c>
      <c r="L41" s="1"/>
      <c r="M41" t="s">
        <v>6233</v>
      </c>
      <c r="N41" t="s">
        <v>1218</v>
      </c>
      <c r="O41" t="s">
        <v>6045</v>
      </c>
      <c r="P41" t="s">
        <v>5480</v>
      </c>
      <c r="Q41" t="s">
        <v>39</v>
      </c>
      <c r="R41" t="s">
        <v>40</v>
      </c>
      <c r="S41">
        <v>0</v>
      </c>
      <c r="U41" t="s">
        <v>5550</v>
      </c>
      <c r="V41" t="s">
        <v>1797</v>
      </c>
      <c r="W41" t="s">
        <v>6234</v>
      </c>
      <c r="X41" t="s">
        <v>43</v>
      </c>
      <c r="Y41" t="b">
        <v>0</v>
      </c>
      <c r="Z41" t="b">
        <v>0</v>
      </c>
      <c r="AA41" t="b">
        <v>0</v>
      </c>
      <c r="AC41" s="1"/>
      <c r="AF41">
        <v>0</v>
      </c>
      <c r="AG41">
        <v>45</v>
      </c>
      <c r="AI41" s="2">
        <f>Table__192.168.3.138AgingReportBEWLGS[[#This Row],[NetAmount]]-Table__192.168.3.138AgingReportBEWLGS[[#This Row],[Paid]]</f>
        <v>-1911</v>
      </c>
    </row>
    <row r="42" spans="1:35">
      <c r="A42" t="s">
        <v>6235</v>
      </c>
      <c r="B42" s="1">
        <v>41305</v>
      </c>
      <c r="C42" s="1">
        <v>41305</v>
      </c>
      <c r="D42" t="s">
        <v>6203</v>
      </c>
      <c r="E42">
        <v>-3907</v>
      </c>
      <c r="F42">
        <v>0</v>
      </c>
      <c r="G42">
        <v>0</v>
      </c>
      <c r="H42">
        <v>0</v>
      </c>
      <c r="I42">
        <v>0</v>
      </c>
      <c r="J42">
        <v>-3907</v>
      </c>
      <c r="L42" s="1"/>
      <c r="M42" t="s">
        <v>6236</v>
      </c>
      <c r="N42" t="s">
        <v>1218</v>
      </c>
      <c r="O42" t="s">
        <v>6045</v>
      </c>
      <c r="P42" t="s">
        <v>6205</v>
      </c>
      <c r="Q42" t="s">
        <v>39</v>
      </c>
      <c r="R42" t="s">
        <v>40</v>
      </c>
      <c r="S42">
        <v>0</v>
      </c>
      <c r="U42" t="s">
        <v>5550</v>
      </c>
      <c r="V42" t="s">
        <v>1797</v>
      </c>
      <c r="W42" t="s">
        <v>6206</v>
      </c>
      <c r="X42" t="s">
        <v>43</v>
      </c>
      <c r="Y42" t="b">
        <v>0</v>
      </c>
      <c r="Z42" t="b">
        <v>0</v>
      </c>
      <c r="AA42" t="b">
        <v>0</v>
      </c>
      <c r="AC42" s="1"/>
      <c r="AF42">
        <v>0</v>
      </c>
      <c r="AG42">
        <v>45</v>
      </c>
      <c r="AI42" s="2">
        <f>Table__192.168.3.138AgingReportBEWLGS[[#This Row],[NetAmount]]-Table__192.168.3.138AgingReportBEWLGS[[#This Row],[Paid]]</f>
        <v>-3907</v>
      </c>
    </row>
    <row r="43" spans="1:35">
      <c r="A43" t="s">
        <v>6237</v>
      </c>
      <c r="B43" s="1">
        <v>41305</v>
      </c>
      <c r="C43" s="1">
        <v>41305</v>
      </c>
      <c r="D43" t="s">
        <v>6183</v>
      </c>
      <c r="E43">
        <v>-1638</v>
      </c>
      <c r="F43">
        <v>0</v>
      </c>
      <c r="G43">
        <v>0</v>
      </c>
      <c r="H43">
        <v>0</v>
      </c>
      <c r="I43">
        <v>0</v>
      </c>
      <c r="J43">
        <v>-1638</v>
      </c>
      <c r="L43" s="1"/>
      <c r="M43" t="s">
        <v>6238</v>
      </c>
      <c r="N43" t="s">
        <v>1218</v>
      </c>
      <c r="O43" t="s">
        <v>6045</v>
      </c>
      <c r="P43" t="s">
        <v>6185</v>
      </c>
      <c r="Q43" t="s">
        <v>39</v>
      </c>
      <c r="R43" t="s">
        <v>40</v>
      </c>
      <c r="S43">
        <v>0</v>
      </c>
      <c r="U43" t="s">
        <v>5550</v>
      </c>
      <c r="V43" t="s">
        <v>1797</v>
      </c>
      <c r="W43" t="s">
        <v>6186</v>
      </c>
      <c r="X43" t="s">
        <v>43</v>
      </c>
      <c r="Y43" t="b">
        <v>0</v>
      </c>
      <c r="Z43" t="b">
        <v>0</v>
      </c>
      <c r="AA43" t="b">
        <v>0</v>
      </c>
      <c r="AC43" s="1"/>
      <c r="AF43">
        <v>0</v>
      </c>
      <c r="AG43">
        <v>45</v>
      </c>
      <c r="AI43" s="2">
        <f>Table__192.168.3.138AgingReportBEWLGS[[#This Row],[NetAmount]]-Table__192.168.3.138AgingReportBEWLGS[[#This Row],[Paid]]</f>
        <v>-1638</v>
      </c>
    </row>
    <row r="44" spans="1:35">
      <c r="A44" t="s">
        <v>6239</v>
      </c>
      <c r="B44" s="1">
        <v>41121</v>
      </c>
      <c r="C44" s="1">
        <v>41121</v>
      </c>
      <c r="D44" t="s">
        <v>6134</v>
      </c>
      <c r="E44">
        <v>-66443</v>
      </c>
      <c r="F44">
        <v>0</v>
      </c>
      <c r="G44">
        <v>0</v>
      </c>
      <c r="H44">
        <v>0</v>
      </c>
      <c r="I44">
        <v>0</v>
      </c>
      <c r="J44">
        <v>-66443</v>
      </c>
      <c r="L44" s="1"/>
      <c r="N44" t="s">
        <v>6135</v>
      </c>
      <c r="O44" t="s">
        <v>83</v>
      </c>
      <c r="P44" t="s">
        <v>5530</v>
      </c>
      <c r="Q44" t="s">
        <v>39</v>
      </c>
      <c r="R44" t="s">
        <v>40</v>
      </c>
      <c r="S44">
        <v>0</v>
      </c>
      <c r="U44" t="s">
        <v>5550</v>
      </c>
      <c r="V44" t="s">
        <v>1797</v>
      </c>
      <c r="X44" t="s">
        <v>43</v>
      </c>
      <c r="Y44" t="b">
        <v>0</v>
      </c>
      <c r="Z44" t="b">
        <v>0</v>
      </c>
      <c r="AC44" s="1"/>
      <c r="AF44">
        <v>0</v>
      </c>
      <c r="AG44">
        <v>45</v>
      </c>
      <c r="AI44" s="2">
        <f>Table__192.168.3.138AgingReportBEWLGS[[#This Row],[NetAmount]]-Table__192.168.3.138AgingReportBEWLGS[[#This Row],[Paid]]</f>
        <v>-66443</v>
      </c>
    </row>
    <row r="45" spans="1:35">
      <c r="A45" t="s">
        <v>6240</v>
      </c>
      <c r="B45" s="1">
        <v>41152</v>
      </c>
      <c r="C45" s="1">
        <v>41152</v>
      </c>
      <c r="D45" t="s">
        <v>6134</v>
      </c>
      <c r="E45">
        <v>-89759</v>
      </c>
      <c r="F45">
        <v>0</v>
      </c>
      <c r="G45">
        <v>0</v>
      </c>
      <c r="H45">
        <v>0</v>
      </c>
      <c r="I45">
        <v>0</v>
      </c>
      <c r="J45">
        <v>-89759</v>
      </c>
      <c r="L45" s="1"/>
      <c r="N45" t="s">
        <v>6135</v>
      </c>
      <c r="O45" t="s">
        <v>83</v>
      </c>
      <c r="P45" t="s">
        <v>5530</v>
      </c>
      <c r="Q45" t="s">
        <v>39</v>
      </c>
      <c r="R45" t="s">
        <v>40</v>
      </c>
      <c r="S45">
        <v>0</v>
      </c>
      <c r="U45" t="s">
        <v>5550</v>
      </c>
      <c r="V45" t="s">
        <v>1797</v>
      </c>
      <c r="X45" t="s">
        <v>43</v>
      </c>
      <c r="Y45" t="b">
        <v>0</v>
      </c>
      <c r="Z45" t="b">
        <v>0</v>
      </c>
      <c r="AC45" s="1"/>
      <c r="AF45">
        <v>0</v>
      </c>
      <c r="AG45">
        <v>45</v>
      </c>
      <c r="AI45" s="2">
        <f>Table__192.168.3.138AgingReportBEWLGS[[#This Row],[NetAmount]]-Table__192.168.3.138AgingReportBEWLGS[[#This Row],[Paid]]</f>
        <v>-89759</v>
      </c>
    </row>
    <row r="46" spans="1:35">
      <c r="A46" t="s">
        <v>6241</v>
      </c>
      <c r="B46" s="1">
        <v>41274</v>
      </c>
      <c r="C46" s="1">
        <v>41274</v>
      </c>
      <c r="D46" t="s">
        <v>6169</v>
      </c>
      <c r="E46">
        <v>-24506</v>
      </c>
      <c r="F46">
        <v>0</v>
      </c>
      <c r="G46">
        <v>0</v>
      </c>
      <c r="H46">
        <v>0</v>
      </c>
      <c r="I46">
        <v>0</v>
      </c>
      <c r="J46">
        <v>-24506</v>
      </c>
      <c r="L46" s="1"/>
      <c r="M46" t="s">
        <v>6242</v>
      </c>
      <c r="N46" t="s">
        <v>6135</v>
      </c>
      <c r="O46" t="s">
        <v>83</v>
      </c>
      <c r="P46" t="s">
        <v>6171</v>
      </c>
      <c r="Q46" t="s">
        <v>39</v>
      </c>
      <c r="R46" t="s">
        <v>40</v>
      </c>
      <c r="S46">
        <v>0</v>
      </c>
      <c r="U46" t="s">
        <v>5550</v>
      </c>
      <c r="V46" t="s">
        <v>1797</v>
      </c>
      <c r="W46" t="s">
        <v>6172</v>
      </c>
      <c r="X46" t="s">
        <v>43</v>
      </c>
      <c r="Y46" t="b">
        <v>0</v>
      </c>
      <c r="Z46" t="b">
        <v>0</v>
      </c>
      <c r="AA46" t="b">
        <v>0</v>
      </c>
      <c r="AC46" s="1"/>
      <c r="AF46">
        <v>0</v>
      </c>
      <c r="AG46">
        <v>45</v>
      </c>
      <c r="AI46" s="2">
        <f>Table__192.168.3.138AgingReportBEWLGS[[#This Row],[NetAmount]]-Table__192.168.3.138AgingReportBEWLGS[[#This Row],[Paid]]</f>
        <v>-24506</v>
      </c>
    </row>
    <row r="47" spans="1:35">
      <c r="A47" t="s">
        <v>6243</v>
      </c>
      <c r="B47" s="1">
        <v>41305</v>
      </c>
      <c r="C47" s="1">
        <v>41305</v>
      </c>
      <c r="D47" t="s">
        <v>6203</v>
      </c>
      <c r="E47">
        <v>-3582</v>
      </c>
      <c r="F47">
        <v>0</v>
      </c>
      <c r="G47">
        <v>0</v>
      </c>
      <c r="H47">
        <v>0</v>
      </c>
      <c r="I47">
        <v>0</v>
      </c>
      <c r="J47">
        <v>-3582</v>
      </c>
      <c r="L47" s="1"/>
      <c r="M47" t="s">
        <v>6244</v>
      </c>
      <c r="N47" t="s">
        <v>6135</v>
      </c>
      <c r="O47" t="s">
        <v>83</v>
      </c>
      <c r="P47" t="s">
        <v>6205</v>
      </c>
      <c r="Q47" t="s">
        <v>39</v>
      </c>
      <c r="R47" t="s">
        <v>40</v>
      </c>
      <c r="S47">
        <v>0</v>
      </c>
      <c r="U47" t="s">
        <v>5550</v>
      </c>
      <c r="V47" t="s">
        <v>1797</v>
      </c>
      <c r="W47" t="s">
        <v>6206</v>
      </c>
      <c r="X47" t="s">
        <v>43</v>
      </c>
      <c r="Y47" t="b">
        <v>0</v>
      </c>
      <c r="Z47" t="b">
        <v>0</v>
      </c>
      <c r="AA47" t="b">
        <v>0</v>
      </c>
      <c r="AC47" s="1"/>
      <c r="AF47">
        <v>0</v>
      </c>
      <c r="AG47">
        <v>45</v>
      </c>
      <c r="AI47" s="2">
        <f>Table__192.168.3.138AgingReportBEWLGS[[#This Row],[NetAmount]]-Table__192.168.3.138AgingReportBEWLGS[[#This Row],[Paid]]</f>
        <v>-3582</v>
      </c>
    </row>
    <row r="48" spans="1:35">
      <c r="A48" t="s">
        <v>6245</v>
      </c>
      <c r="B48" s="1">
        <v>41305</v>
      </c>
      <c r="C48" s="1">
        <v>41305</v>
      </c>
      <c r="D48" t="s">
        <v>6183</v>
      </c>
      <c r="E48">
        <v>-2184</v>
      </c>
      <c r="F48">
        <v>0</v>
      </c>
      <c r="G48">
        <v>0</v>
      </c>
      <c r="H48">
        <v>0</v>
      </c>
      <c r="I48">
        <v>0</v>
      </c>
      <c r="J48">
        <v>-2184</v>
      </c>
      <c r="L48" s="1"/>
      <c r="M48" t="s">
        <v>6246</v>
      </c>
      <c r="N48" t="s">
        <v>6135</v>
      </c>
      <c r="O48" t="s">
        <v>83</v>
      </c>
      <c r="P48" t="s">
        <v>6185</v>
      </c>
      <c r="Q48" t="s">
        <v>39</v>
      </c>
      <c r="R48" t="s">
        <v>40</v>
      </c>
      <c r="S48">
        <v>0</v>
      </c>
      <c r="U48" t="s">
        <v>5550</v>
      </c>
      <c r="V48" t="s">
        <v>1797</v>
      </c>
      <c r="W48" t="s">
        <v>6186</v>
      </c>
      <c r="X48" t="s">
        <v>43</v>
      </c>
      <c r="Y48" t="b">
        <v>0</v>
      </c>
      <c r="Z48" t="b">
        <v>0</v>
      </c>
      <c r="AA48" t="b">
        <v>0</v>
      </c>
      <c r="AC48" s="1"/>
      <c r="AF48">
        <v>0</v>
      </c>
      <c r="AG48">
        <v>45</v>
      </c>
      <c r="AI48" s="2">
        <f>Table__192.168.3.138AgingReportBEWLGS[[#This Row],[NetAmount]]-Table__192.168.3.138AgingReportBEWLGS[[#This Row],[Paid]]</f>
        <v>-2184</v>
      </c>
    </row>
    <row r="49" spans="1:35">
      <c r="A49" t="s">
        <v>6247</v>
      </c>
      <c r="B49" s="1">
        <v>41305</v>
      </c>
      <c r="C49" s="1">
        <v>41305</v>
      </c>
      <c r="D49" t="s">
        <v>6248</v>
      </c>
      <c r="E49">
        <v>-1320</v>
      </c>
      <c r="F49">
        <v>0</v>
      </c>
      <c r="G49">
        <v>0</v>
      </c>
      <c r="H49">
        <v>0</v>
      </c>
      <c r="I49">
        <v>0</v>
      </c>
      <c r="J49">
        <v>-1320</v>
      </c>
      <c r="L49" s="1"/>
      <c r="M49" t="s">
        <v>6249</v>
      </c>
      <c r="N49" t="s">
        <v>442</v>
      </c>
      <c r="O49" t="s">
        <v>938</v>
      </c>
      <c r="P49" t="s">
        <v>6250</v>
      </c>
      <c r="Q49" t="s">
        <v>39</v>
      </c>
      <c r="R49" t="s">
        <v>40</v>
      </c>
      <c r="S49">
        <v>0</v>
      </c>
      <c r="U49" t="s">
        <v>5550</v>
      </c>
      <c r="V49" t="s">
        <v>1797</v>
      </c>
      <c r="W49" t="s">
        <v>6251</v>
      </c>
      <c r="X49" t="s">
        <v>43</v>
      </c>
      <c r="Y49" t="b">
        <v>0</v>
      </c>
      <c r="Z49" t="b">
        <v>0</v>
      </c>
      <c r="AA49" t="b">
        <v>0</v>
      </c>
      <c r="AC49" s="1"/>
      <c r="AF49">
        <v>0</v>
      </c>
      <c r="AG49">
        <v>45</v>
      </c>
      <c r="AI49" s="2">
        <f>Table__192.168.3.138AgingReportBEWLGS[[#This Row],[NetAmount]]-Table__192.168.3.138AgingReportBEWLGS[[#This Row],[Paid]]</f>
        <v>-1320</v>
      </c>
    </row>
    <row r="50" spans="1:35">
      <c r="A50" t="s">
        <v>6252</v>
      </c>
      <c r="B50" s="1">
        <v>41305</v>
      </c>
      <c r="C50" s="1">
        <v>41305</v>
      </c>
      <c r="D50" t="s">
        <v>6248</v>
      </c>
      <c r="E50">
        <v>-8168</v>
      </c>
      <c r="F50">
        <v>0</v>
      </c>
      <c r="G50">
        <v>0</v>
      </c>
      <c r="H50">
        <v>0</v>
      </c>
      <c r="I50">
        <v>0</v>
      </c>
      <c r="J50">
        <v>-8168</v>
      </c>
      <c r="L50" s="1"/>
      <c r="M50" t="s">
        <v>6253</v>
      </c>
      <c r="N50" t="s">
        <v>442</v>
      </c>
      <c r="O50" t="s">
        <v>938</v>
      </c>
      <c r="P50" t="s">
        <v>6250</v>
      </c>
      <c r="Q50" t="s">
        <v>39</v>
      </c>
      <c r="R50" t="s">
        <v>40</v>
      </c>
      <c r="S50">
        <v>0</v>
      </c>
      <c r="U50" t="s">
        <v>5550</v>
      </c>
      <c r="V50" t="s">
        <v>1797</v>
      </c>
      <c r="W50" t="s">
        <v>6251</v>
      </c>
      <c r="X50" t="s">
        <v>43</v>
      </c>
      <c r="Y50" t="b">
        <v>0</v>
      </c>
      <c r="Z50" t="b">
        <v>0</v>
      </c>
      <c r="AA50" t="b">
        <v>0</v>
      </c>
      <c r="AC50" s="1"/>
      <c r="AF50">
        <v>0</v>
      </c>
      <c r="AG50">
        <v>45</v>
      </c>
      <c r="AI50" s="2">
        <f>Table__192.168.3.138AgingReportBEWLGS[[#This Row],[NetAmount]]-Table__192.168.3.138AgingReportBEWLGS[[#This Row],[Paid]]</f>
        <v>-8168</v>
      </c>
    </row>
    <row r="51" spans="1:35">
      <c r="A51" t="s">
        <v>6254</v>
      </c>
      <c r="B51" s="1">
        <v>41305</v>
      </c>
      <c r="C51" s="1">
        <v>41305</v>
      </c>
      <c r="D51" t="s">
        <v>6248</v>
      </c>
      <c r="E51">
        <v>-12285</v>
      </c>
      <c r="F51">
        <v>0</v>
      </c>
      <c r="G51">
        <v>0</v>
      </c>
      <c r="H51">
        <v>0</v>
      </c>
      <c r="I51">
        <v>0</v>
      </c>
      <c r="J51">
        <v>-12285</v>
      </c>
      <c r="L51" s="1"/>
      <c r="M51" t="s">
        <v>6255</v>
      </c>
      <c r="N51" t="s">
        <v>442</v>
      </c>
      <c r="O51" t="s">
        <v>938</v>
      </c>
      <c r="P51" t="s">
        <v>6250</v>
      </c>
      <c r="Q51" t="s">
        <v>39</v>
      </c>
      <c r="R51" t="s">
        <v>40</v>
      </c>
      <c r="S51">
        <v>0</v>
      </c>
      <c r="U51" t="s">
        <v>5550</v>
      </c>
      <c r="V51" t="s">
        <v>1797</v>
      </c>
      <c r="W51" t="s">
        <v>6251</v>
      </c>
      <c r="X51" t="s">
        <v>43</v>
      </c>
      <c r="Y51" t="b">
        <v>0</v>
      </c>
      <c r="Z51" t="b">
        <v>0</v>
      </c>
      <c r="AA51" t="b">
        <v>0</v>
      </c>
      <c r="AC51" s="1"/>
      <c r="AF51">
        <v>0</v>
      </c>
      <c r="AG51">
        <v>45</v>
      </c>
      <c r="AI51" s="2">
        <f>Table__192.168.3.138AgingReportBEWLGS[[#This Row],[NetAmount]]-Table__192.168.3.138AgingReportBEWLGS[[#This Row],[Paid]]</f>
        <v>-12285</v>
      </c>
    </row>
    <row r="52" spans="1:35">
      <c r="A52" t="s">
        <v>6256</v>
      </c>
      <c r="B52" s="1">
        <v>41305</v>
      </c>
      <c r="C52" s="1">
        <v>41305</v>
      </c>
      <c r="D52" t="s">
        <v>6183</v>
      </c>
      <c r="E52">
        <v>-1092</v>
      </c>
      <c r="F52">
        <v>0</v>
      </c>
      <c r="G52">
        <v>0</v>
      </c>
      <c r="H52">
        <v>0</v>
      </c>
      <c r="I52">
        <v>0</v>
      </c>
      <c r="J52">
        <v>-1092</v>
      </c>
      <c r="L52" s="1"/>
      <c r="M52" t="s">
        <v>6257</v>
      </c>
      <c r="N52" t="s">
        <v>442</v>
      </c>
      <c r="O52" t="s">
        <v>938</v>
      </c>
      <c r="P52" t="s">
        <v>6185</v>
      </c>
      <c r="Q52" t="s">
        <v>39</v>
      </c>
      <c r="R52" t="s">
        <v>40</v>
      </c>
      <c r="S52">
        <v>0</v>
      </c>
      <c r="U52" t="s">
        <v>5550</v>
      </c>
      <c r="V52" t="s">
        <v>1797</v>
      </c>
      <c r="W52" t="s">
        <v>6186</v>
      </c>
      <c r="X52" t="s">
        <v>43</v>
      </c>
      <c r="Y52" t="b">
        <v>0</v>
      </c>
      <c r="Z52" t="b">
        <v>0</v>
      </c>
      <c r="AA52" t="b">
        <v>0</v>
      </c>
      <c r="AC52" s="1"/>
      <c r="AF52">
        <v>0</v>
      </c>
      <c r="AG52">
        <v>45</v>
      </c>
      <c r="AI52" s="2">
        <f>Table__192.168.3.138AgingReportBEWLGS[[#This Row],[NetAmount]]-Table__192.168.3.138AgingReportBEWLGS[[#This Row],[Paid]]</f>
        <v>-1092</v>
      </c>
    </row>
    <row r="53" spans="1:35">
      <c r="A53" t="s">
        <v>6258</v>
      </c>
      <c r="B53" s="1">
        <v>41305</v>
      </c>
      <c r="C53" s="1">
        <v>41305</v>
      </c>
      <c r="D53" t="s">
        <v>6203</v>
      </c>
      <c r="E53">
        <v>-3581</v>
      </c>
      <c r="F53">
        <v>0</v>
      </c>
      <c r="G53">
        <v>0</v>
      </c>
      <c r="H53">
        <v>0</v>
      </c>
      <c r="I53">
        <v>0</v>
      </c>
      <c r="J53">
        <v>-3581</v>
      </c>
      <c r="L53" s="1"/>
      <c r="M53" t="s">
        <v>6259</v>
      </c>
      <c r="N53" t="s">
        <v>442</v>
      </c>
      <c r="O53" t="s">
        <v>938</v>
      </c>
      <c r="P53" t="s">
        <v>6205</v>
      </c>
      <c r="Q53" t="s">
        <v>39</v>
      </c>
      <c r="R53" t="s">
        <v>40</v>
      </c>
      <c r="S53">
        <v>0</v>
      </c>
      <c r="U53" t="s">
        <v>5550</v>
      </c>
      <c r="V53" t="s">
        <v>1797</v>
      </c>
      <c r="W53" t="s">
        <v>6206</v>
      </c>
      <c r="X53" t="s">
        <v>43</v>
      </c>
      <c r="Y53" t="b">
        <v>0</v>
      </c>
      <c r="Z53" t="b">
        <v>0</v>
      </c>
      <c r="AA53" t="b">
        <v>0</v>
      </c>
      <c r="AC53" s="1"/>
      <c r="AF53">
        <v>0</v>
      </c>
      <c r="AG53">
        <v>45</v>
      </c>
      <c r="AI53" s="2">
        <f>Table__192.168.3.138AgingReportBEWLGS[[#This Row],[NetAmount]]-Table__192.168.3.138AgingReportBEWLGS[[#This Row],[Paid]]</f>
        <v>-3581</v>
      </c>
    </row>
    <row r="54" spans="1:35">
      <c r="A54" t="s">
        <v>6260</v>
      </c>
      <c r="B54" s="1">
        <v>41305</v>
      </c>
      <c r="C54" s="1">
        <v>41305</v>
      </c>
      <c r="D54" t="s">
        <v>6183</v>
      </c>
      <c r="E54">
        <v>-1432</v>
      </c>
      <c r="F54">
        <v>0</v>
      </c>
      <c r="G54">
        <v>0</v>
      </c>
      <c r="H54">
        <v>0</v>
      </c>
      <c r="I54">
        <v>0</v>
      </c>
      <c r="J54">
        <v>-1432</v>
      </c>
      <c r="L54" s="1"/>
      <c r="M54" t="s">
        <v>6261</v>
      </c>
      <c r="N54" t="s">
        <v>5127</v>
      </c>
      <c r="O54" t="s">
        <v>2458</v>
      </c>
      <c r="P54" t="s">
        <v>6185</v>
      </c>
      <c r="Q54" t="s">
        <v>39</v>
      </c>
      <c r="R54" t="s">
        <v>40</v>
      </c>
      <c r="S54">
        <v>0</v>
      </c>
      <c r="U54" t="s">
        <v>5550</v>
      </c>
      <c r="V54" t="s">
        <v>1797</v>
      </c>
      <c r="W54" t="s">
        <v>6186</v>
      </c>
      <c r="X54" t="s">
        <v>43</v>
      </c>
      <c r="Y54" t="b">
        <v>0</v>
      </c>
      <c r="Z54" t="b">
        <v>0</v>
      </c>
      <c r="AA54" t="b">
        <v>0</v>
      </c>
      <c r="AC54" s="1"/>
      <c r="AF54">
        <v>0</v>
      </c>
      <c r="AG54">
        <v>45</v>
      </c>
      <c r="AI54" s="2">
        <f>Table__192.168.3.138AgingReportBEWLGS[[#This Row],[NetAmount]]-Table__192.168.3.138AgingReportBEWLGS[[#This Row],[Paid]]</f>
        <v>-1432</v>
      </c>
    </row>
    <row r="55" spans="1:35">
      <c r="A55" t="s">
        <v>6262</v>
      </c>
      <c r="B55" s="1">
        <v>41305</v>
      </c>
      <c r="C55" s="1">
        <v>41305</v>
      </c>
      <c r="D55" t="s">
        <v>6183</v>
      </c>
      <c r="E55">
        <v>-1638</v>
      </c>
      <c r="F55">
        <v>0</v>
      </c>
      <c r="G55">
        <v>0</v>
      </c>
      <c r="H55">
        <v>0</v>
      </c>
      <c r="I55">
        <v>0</v>
      </c>
      <c r="J55">
        <v>-1638</v>
      </c>
      <c r="L55" s="1"/>
      <c r="M55" t="s">
        <v>6263</v>
      </c>
      <c r="N55" t="s">
        <v>5127</v>
      </c>
      <c r="O55" t="s">
        <v>2458</v>
      </c>
      <c r="P55" t="s">
        <v>6185</v>
      </c>
      <c r="Q55" t="s">
        <v>39</v>
      </c>
      <c r="R55" t="s">
        <v>40</v>
      </c>
      <c r="S55">
        <v>0</v>
      </c>
      <c r="U55" t="s">
        <v>5550</v>
      </c>
      <c r="V55" t="s">
        <v>1797</v>
      </c>
      <c r="W55" t="s">
        <v>6186</v>
      </c>
      <c r="X55" t="s">
        <v>43</v>
      </c>
      <c r="Y55" t="b">
        <v>0</v>
      </c>
      <c r="Z55" t="b">
        <v>0</v>
      </c>
      <c r="AA55" t="b">
        <v>0</v>
      </c>
      <c r="AC55" s="1"/>
      <c r="AF55">
        <v>0</v>
      </c>
      <c r="AG55">
        <v>45</v>
      </c>
      <c r="AI55" s="2">
        <f>Table__192.168.3.138AgingReportBEWLGS[[#This Row],[NetAmount]]-Table__192.168.3.138AgingReportBEWLGS[[#This Row],[Paid]]</f>
        <v>-1638</v>
      </c>
    </row>
    <row r="56" spans="1:35">
      <c r="A56" t="s">
        <v>6264</v>
      </c>
      <c r="B56" s="1">
        <v>41305</v>
      </c>
      <c r="C56" s="1">
        <v>41305</v>
      </c>
      <c r="D56" t="s">
        <v>6183</v>
      </c>
      <c r="E56">
        <v>-5187</v>
      </c>
      <c r="F56">
        <v>0</v>
      </c>
      <c r="G56">
        <v>0</v>
      </c>
      <c r="H56">
        <v>0</v>
      </c>
      <c r="I56">
        <v>0</v>
      </c>
      <c r="J56">
        <v>-5187</v>
      </c>
      <c r="L56" s="1"/>
      <c r="M56" t="s">
        <v>6265</v>
      </c>
      <c r="N56" t="s">
        <v>6266</v>
      </c>
      <c r="O56" t="s">
        <v>946</v>
      </c>
      <c r="P56" t="s">
        <v>6185</v>
      </c>
      <c r="Q56" t="s">
        <v>39</v>
      </c>
      <c r="R56" t="s">
        <v>40</v>
      </c>
      <c r="S56">
        <v>0</v>
      </c>
      <c r="U56" t="s">
        <v>5550</v>
      </c>
      <c r="V56" t="s">
        <v>1797</v>
      </c>
      <c r="W56" t="s">
        <v>6186</v>
      </c>
      <c r="X56" t="s">
        <v>43</v>
      </c>
      <c r="Y56" t="b">
        <v>0</v>
      </c>
      <c r="Z56" t="b">
        <v>0</v>
      </c>
      <c r="AA56" t="b">
        <v>0</v>
      </c>
      <c r="AC56" s="1"/>
      <c r="AF56">
        <v>0</v>
      </c>
      <c r="AG56">
        <v>45</v>
      </c>
      <c r="AI56" s="2">
        <f>Table__192.168.3.138AgingReportBEWLGS[[#This Row],[NetAmount]]-Table__192.168.3.138AgingReportBEWLGS[[#This Row],[Paid]]</f>
        <v>-5187</v>
      </c>
    </row>
    <row r="57" spans="1:35">
      <c r="A57" t="s">
        <v>6267</v>
      </c>
      <c r="B57" s="1">
        <v>41060</v>
      </c>
      <c r="C57" s="1">
        <v>41105</v>
      </c>
      <c r="D57" t="s">
        <v>6268</v>
      </c>
      <c r="E57">
        <v>58039</v>
      </c>
      <c r="F57">
        <v>7525</v>
      </c>
      <c r="G57">
        <v>0</v>
      </c>
      <c r="H57">
        <v>0</v>
      </c>
      <c r="I57">
        <v>236</v>
      </c>
      <c r="J57">
        <v>65564</v>
      </c>
      <c r="K57" t="s">
        <v>6269</v>
      </c>
      <c r="L57" s="1">
        <v>41032</v>
      </c>
      <c r="N57" t="s">
        <v>36</v>
      </c>
      <c r="O57" t="s">
        <v>36</v>
      </c>
      <c r="P57" t="s">
        <v>6270</v>
      </c>
      <c r="Q57" t="s">
        <v>39</v>
      </c>
      <c r="R57" t="s">
        <v>40</v>
      </c>
      <c r="S57">
        <v>0</v>
      </c>
      <c r="U57" t="s">
        <v>5550</v>
      </c>
      <c r="V57" t="s">
        <v>6047</v>
      </c>
      <c r="X57" t="s">
        <v>74</v>
      </c>
      <c r="Y57" t="b">
        <v>0</v>
      </c>
      <c r="Z57" t="b">
        <v>0</v>
      </c>
      <c r="AC57" s="1"/>
      <c r="AF57">
        <v>0</v>
      </c>
      <c r="AG57">
        <v>45</v>
      </c>
      <c r="AH57">
        <v>281</v>
      </c>
      <c r="AI57" s="2">
        <f>Table__192.168.3.138AgingReportBEWLGS[[#This Row],[NetAmount]]-Table__192.168.3.138AgingReportBEWLGS[[#This Row],[Paid]]</f>
        <v>65564</v>
      </c>
    </row>
    <row r="58" spans="1:35">
      <c r="A58" t="s">
        <v>6271</v>
      </c>
      <c r="B58" s="1">
        <v>41060</v>
      </c>
      <c r="C58" s="1">
        <v>41105</v>
      </c>
      <c r="D58" t="s">
        <v>6268</v>
      </c>
      <c r="E58">
        <v>34018</v>
      </c>
      <c r="F58">
        <v>5386</v>
      </c>
      <c r="G58">
        <v>0</v>
      </c>
      <c r="H58">
        <v>0</v>
      </c>
      <c r="I58">
        <v>225</v>
      </c>
      <c r="J58">
        <v>39404</v>
      </c>
      <c r="K58" t="s">
        <v>6272</v>
      </c>
      <c r="L58" s="1">
        <v>41043</v>
      </c>
      <c r="N58" t="s">
        <v>36</v>
      </c>
      <c r="O58" t="s">
        <v>36</v>
      </c>
      <c r="P58" t="s">
        <v>6270</v>
      </c>
      <c r="Q58" t="s">
        <v>39</v>
      </c>
      <c r="R58" t="s">
        <v>40</v>
      </c>
      <c r="S58">
        <v>0</v>
      </c>
      <c r="U58" t="s">
        <v>5550</v>
      </c>
      <c r="V58" t="s">
        <v>6047</v>
      </c>
      <c r="X58" t="s">
        <v>74</v>
      </c>
      <c r="Y58" t="b">
        <v>0</v>
      </c>
      <c r="Z58" t="b">
        <v>0</v>
      </c>
      <c r="AC58" s="1"/>
      <c r="AF58">
        <v>0</v>
      </c>
      <c r="AG58">
        <v>45</v>
      </c>
      <c r="AH58">
        <v>270</v>
      </c>
      <c r="AI58" s="2">
        <f>Table__192.168.3.138AgingReportBEWLGS[[#This Row],[NetAmount]]-Table__192.168.3.138AgingReportBEWLGS[[#This Row],[Paid]]</f>
        <v>39404</v>
      </c>
    </row>
    <row r="59" spans="1:35">
      <c r="A59" t="s">
        <v>6273</v>
      </c>
      <c r="B59" s="1">
        <v>41090</v>
      </c>
      <c r="C59" s="1">
        <v>41135</v>
      </c>
      <c r="D59" t="s">
        <v>6268</v>
      </c>
      <c r="E59">
        <v>35343</v>
      </c>
      <c r="F59">
        <v>4594</v>
      </c>
      <c r="G59">
        <v>0</v>
      </c>
      <c r="H59">
        <v>0</v>
      </c>
      <c r="I59">
        <v>203</v>
      </c>
      <c r="J59">
        <v>39937</v>
      </c>
      <c r="K59" t="s">
        <v>6274</v>
      </c>
      <c r="L59" s="1">
        <v>41065</v>
      </c>
      <c r="N59" t="s">
        <v>36</v>
      </c>
      <c r="O59" t="s">
        <v>36</v>
      </c>
      <c r="P59" t="s">
        <v>6270</v>
      </c>
      <c r="Q59" t="s">
        <v>39</v>
      </c>
      <c r="R59" t="s">
        <v>40</v>
      </c>
      <c r="S59">
        <v>0</v>
      </c>
      <c r="U59" t="s">
        <v>5550</v>
      </c>
      <c r="V59" t="s">
        <v>6047</v>
      </c>
      <c r="X59" t="s">
        <v>74</v>
      </c>
      <c r="Y59" t="b">
        <v>0</v>
      </c>
      <c r="Z59" t="b">
        <v>0</v>
      </c>
      <c r="AC59" s="1"/>
      <c r="AF59">
        <v>0</v>
      </c>
      <c r="AG59">
        <v>45</v>
      </c>
      <c r="AH59">
        <v>248</v>
      </c>
      <c r="AI59" s="2">
        <f>Table__192.168.3.138AgingReportBEWLGS[[#This Row],[NetAmount]]-Table__192.168.3.138AgingReportBEWLGS[[#This Row],[Paid]]</f>
        <v>39937</v>
      </c>
    </row>
    <row r="60" spans="1:35">
      <c r="A60" t="s">
        <v>6275</v>
      </c>
      <c r="B60" s="1">
        <v>41090</v>
      </c>
      <c r="C60" s="1">
        <v>41135</v>
      </c>
      <c r="D60" t="s">
        <v>6268</v>
      </c>
      <c r="E60">
        <v>1421</v>
      </c>
      <c r="F60">
        <v>213</v>
      </c>
      <c r="G60">
        <v>0</v>
      </c>
      <c r="H60">
        <v>0</v>
      </c>
      <c r="I60">
        <v>203</v>
      </c>
      <c r="J60">
        <v>1634</v>
      </c>
      <c r="K60" t="s">
        <v>6276</v>
      </c>
      <c r="L60" s="1">
        <v>41065</v>
      </c>
      <c r="N60" t="s">
        <v>36</v>
      </c>
      <c r="O60" t="s">
        <v>36</v>
      </c>
      <c r="P60" t="s">
        <v>6270</v>
      </c>
      <c r="Q60" t="s">
        <v>39</v>
      </c>
      <c r="R60" t="s">
        <v>40</v>
      </c>
      <c r="S60">
        <v>0</v>
      </c>
      <c r="U60" t="s">
        <v>5550</v>
      </c>
      <c r="V60" t="s">
        <v>6047</v>
      </c>
      <c r="X60" t="s">
        <v>74</v>
      </c>
      <c r="Y60" t="b">
        <v>0</v>
      </c>
      <c r="Z60" t="b">
        <v>0</v>
      </c>
      <c r="AC60" s="1"/>
      <c r="AF60">
        <v>0</v>
      </c>
      <c r="AG60">
        <v>45</v>
      </c>
      <c r="AH60">
        <v>248</v>
      </c>
      <c r="AI60" s="2">
        <f>Table__192.168.3.138AgingReportBEWLGS[[#This Row],[NetAmount]]-Table__192.168.3.138AgingReportBEWLGS[[#This Row],[Paid]]</f>
        <v>1634</v>
      </c>
    </row>
    <row r="61" spans="1:35">
      <c r="A61" t="s">
        <v>6277</v>
      </c>
      <c r="B61" s="1">
        <v>40743</v>
      </c>
      <c r="C61" s="1">
        <v>40773</v>
      </c>
      <c r="D61" t="s">
        <v>6278</v>
      </c>
      <c r="E61">
        <v>1447</v>
      </c>
      <c r="F61">
        <v>283</v>
      </c>
      <c r="G61">
        <v>0</v>
      </c>
      <c r="H61">
        <v>0</v>
      </c>
      <c r="I61">
        <v>538</v>
      </c>
      <c r="J61">
        <v>1730</v>
      </c>
      <c r="K61" t="s">
        <v>6279</v>
      </c>
      <c r="L61" s="1">
        <v>40730</v>
      </c>
      <c r="N61" t="s">
        <v>36</v>
      </c>
      <c r="O61" t="s">
        <v>6047</v>
      </c>
      <c r="P61" t="s">
        <v>6280</v>
      </c>
      <c r="Q61" t="s">
        <v>39</v>
      </c>
      <c r="R61" t="s">
        <v>40</v>
      </c>
      <c r="S61">
        <v>0</v>
      </c>
      <c r="U61" t="s">
        <v>5550</v>
      </c>
      <c r="V61" t="s">
        <v>5127</v>
      </c>
      <c r="X61" t="s">
        <v>74</v>
      </c>
      <c r="Y61" t="b">
        <v>0</v>
      </c>
      <c r="Z61" t="b">
        <v>0</v>
      </c>
      <c r="AC61" s="1"/>
      <c r="AF61">
        <v>0</v>
      </c>
      <c r="AG61">
        <v>45</v>
      </c>
      <c r="AH61">
        <v>583</v>
      </c>
      <c r="AI61" s="2">
        <f>Table__192.168.3.138AgingReportBEWLGS[[#This Row],[NetAmount]]-Table__192.168.3.138AgingReportBEWLGS[[#This Row],[Paid]]</f>
        <v>1730</v>
      </c>
    </row>
    <row r="62" spans="1:35">
      <c r="A62" t="s">
        <v>6281</v>
      </c>
      <c r="B62" s="1">
        <v>40785</v>
      </c>
      <c r="C62" s="1">
        <v>40815</v>
      </c>
      <c r="D62" t="s">
        <v>6278</v>
      </c>
      <c r="E62">
        <v>945</v>
      </c>
      <c r="F62">
        <v>185</v>
      </c>
      <c r="G62">
        <v>0</v>
      </c>
      <c r="H62">
        <v>0</v>
      </c>
      <c r="I62">
        <v>507</v>
      </c>
      <c r="J62">
        <v>1130</v>
      </c>
      <c r="K62" t="s">
        <v>6282</v>
      </c>
      <c r="L62" s="1">
        <v>40761</v>
      </c>
      <c r="N62" t="s">
        <v>36</v>
      </c>
      <c r="O62" t="s">
        <v>6047</v>
      </c>
      <c r="P62" t="s">
        <v>6280</v>
      </c>
      <c r="Q62" t="s">
        <v>39</v>
      </c>
      <c r="R62" t="s">
        <v>40</v>
      </c>
      <c r="S62">
        <v>0</v>
      </c>
      <c r="U62" t="s">
        <v>5550</v>
      </c>
      <c r="V62" t="s">
        <v>5127</v>
      </c>
      <c r="X62" t="s">
        <v>74</v>
      </c>
      <c r="Y62" t="b">
        <v>0</v>
      </c>
      <c r="Z62" t="b">
        <v>0</v>
      </c>
      <c r="AC62" s="1"/>
      <c r="AF62">
        <v>0</v>
      </c>
      <c r="AG62">
        <v>45</v>
      </c>
      <c r="AH62">
        <v>552</v>
      </c>
      <c r="AI62" s="2">
        <f>Table__192.168.3.138AgingReportBEWLGS[[#This Row],[NetAmount]]-Table__192.168.3.138AgingReportBEWLGS[[#This Row],[Paid]]</f>
        <v>1130</v>
      </c>
    </row>
    <row r="63" spans="1:35">
      <c r="A63" t="s">
        <v>6283</v>
      </c>
      <c r="B63" s="1">
        <v>41025</v>
      </c>
      <c r="C63" s="1">
        <v>41070</v>
      </c>
      <c r="D63" t="s">
        <v>6278</v>
      </c>
      <c r="E63">
        <v>845</v>
      </c>
      <c r="F63">
        <v>165</v>
      </c>
      <c r="G63">
        <v>0</v>
      </c>
      <c r="H63">
        <v>0</v>
      </c>
      <c r="I63">
        <v>243</v>
      </c>
      <c r="J63">
        <v>1010</v>
      </c>
      <c r="L63" s="1">
        <v>41025</v>
      </c>
      <c r="N63" t="s">
        <v>36</v>
      </c>
      <c r="O63" t="s">
        <v>6047</v>
      </c>
      <c r="P63" t="s">
        <v>6280</v>
      </c>
      <c r="Q63" t="s">
        <v>39</v>
      </c>
      <c r="R63" t="s">
        <v>40</v>
      </c>
      <c r="S63">
        <v>0</v>
      </c>
      <c r="U63" t="s">
        <v>5550</v>
      </c>
      <c r="V63" t="s">
        <v>1797</v>
      </c>
      <c r="X63" t="s">
        <v>74</v>
      </c>
      <c r="Y63" t="b">
        <v>0</v>
      </c>
      <c r="Z63" t="b">
        <v>0</v>
      </c>
      <c r="AC63" s="1"/>
      <c r="AF63">
        <v>0</v>
      </c>
      <c r="AG63">
        <v>45</v>
      </c>
      <c r="AH63">
        <v>288</v>
      </c>
      <c r="AI63" s="2">
        <f>Table__192.168.3.138AgingReportBEWLGS[[#This Row],[NetAmount]]-Table__192.168.3.138AgingReportBEWLGS[[#This Row],[Paid]]</f>
        <v>1010</v>
      </c>
    </row>
    <row r="64" spans="1:35">
      <c r="A64" t="s">
        <v>6284</v>
      </c>
      <c r="B64" s="1">
        <v>41045</v>
      </c>
      <c r="C64" s="1">
        <v>41090</v>
      </c>
      <c r="D64" t="s">
        <v>6278</v>
      </c>
      <c r="E64">
        <v>862</v>
      </c>
      <c r="F64">
        <v>168</v>
      </c>
      <c r="G64">
        <v>0</v>
      </c>
      <c r="H64">
        <v>0</v>
      </c>
      <c r="I64">
        <v>218</v>
      </c>
      <c r="J64">
        <v>1030</v>
      </c>
      <c r="K64" t="s">
        <v>5656</v>
      </c>
      <c r="L64" s="1">
        <v>41050</v>
      </c>
      <c r="N64" t="s">
        <v>36</v>
      </c>
      <c r="O64" t="s">
        <v>6047</v>
      </c>
      <c r="P64" t="s">
        <v>6280</v>
      </c>
      <c r="Q64" t="s">
        <v>39</v>
      </c>
      <c r="R64" t="s">
        <v>40</v>
      </c>
      <c r="S64">
        <v>0</v>
      </c>
      <c r="U64" t="s">
        <v>5550</v>
      </c>
      <c r="V64" t="s">
        <v>1797</v>
      </c>
      <c r="X64" t="s">
        <v>74</v>
      </c>
      <c r="Y64" t="b">
        <v>0</v>
      </c>
      <c r="Z64" t="b">
        <v>0</v>
      </c>
      <c r="AC64" s="1"/>
      <c r="AF64">
        <v>0</v>
      </c>
      <c r="AG64">
        <v>45</v>
      </c>
      <c r="AH64">
        <v>263</v>
      </c>
      <c r="AI64" s="2">
        <f>Table__192.168.3.138AgingReportBEWLGS[[#This Row],[NetAmount]]-Table__192.168.3.138AgingReportBEWLGS[[#This Row],[Paid]]</f>
        <v>1030</v>
      </c>
    </row>
    <row r="65" spans="1:35">
      <c r="A65" t="s">
        <v>6285</v>
      </c>
      <c r="B65" s="1">
        <v>41075</v>
      </c>
      <c r="C65" s="1">
        <v>41120</v>
      </c>
      <c r="D65" t="s">
        <v>6278</v>
      </c>
      <c r="E65">
        <v>886</v>
      </c>
      <c r="F65">
        <v>174</v>
      </c>
      <c r="G65">
        <v>0</v>
      </c>
      <c r="H65">
        <v>0</v>
      </c>
      <c r="I65">
        <v>202</v>
      </c>
      <c r="J65">
        <v>1060</v>
      </c>
      <c r="K65" t="s">
        <v>5656</v>
      </c>
      <c r="L65" s="1">
        <v>41066</v>
      </c>
      <c r="N65" t="s">
        <v>36</v>
      </c>
      <c r="O65" t="s">
        <v>6047</v>
      </c>
      <c r="P65" t="s">
        <v>6280</v>
      </c>
      <c r="Q65" t="s">
        <v>39</v>
      </c>
      <c r="R65" t="s">
        <v>40</v>
      </c>
      <c r="S65">
        <v>0</v>
      </c>
      <c r="U65" t="s">
        <v>5550</v>
      </c>
      <c r="V65" t="s">
        <v>1797</v>
      </c>
      <c r="X65" t="s">
        <v>74</v>
      </c>
      <c r="Y65" t="b">
        <v>0</v>
      </c>
      <c r="Z65" t="b">
        <v>0</v>
      </c>
      <c r="AC65" s="1"/>
      <c r="AF65">
        <v>0</v>
      </c>
      <c r="AG65">
        <v>45</v>
      </c>
      <c r="AH65">
        <v>247</v>
      </c>
      <c r="AI65" s="2">
        <f>Table__192.168.3.138AgingReportBEWLGS[[#This Row],[NetAmount]]-Table__192.168.3.138AgingReportBEWLGS[[#This Row],[Paid]]</f>
        <v>1060</v>
      </c>
    </row>
    <row r="66" spans="1:35">
      <c r="A66" t="s">
        <v>6286</v>
      </c>
      <c r="B66" s="1">
        <v>41089</v>
      </c>
      <c r="C66" s="1">
        <v>41134</v>
      </c>
      <c r="D66" t="s">
        <v>221</v>
      </c>
      <c r="E66">
        <v>26000</v>
      </c>
      <c r="F66">
        <v>0</v>
      </c>
      <c r="G66">
        <v>0</v>
      </c>
      <c r="H66">
        <v>0</v>
      </c>
      <c r="I66">
        <v>185</v>
      </c>
      <c r="J66">
        <v>26000</v>
      </c>
      <c r="K66" t="s">
        <v>6287</v>
      </c>
      <c r="L66" s="1">
        <v>41083</v>
      </c>
      <c r="M66" t="s">
        <v>6288</v>
      </c>
      <c r="N66" t="s">
        <v>36</v>
      </c>
      <c r="O66" t="s">
        <v>6047</v>
      </c>
      <c r="P66" t="s">
        <v>5512</v>
      </c>
      <c r="Q66" t="s">
        <v>39</v>
      </c>
      <c r="R66" t="s">
        <v>40</v>
      </c>
      <c r="S66">
        <v>0</v>
      </c>
      <c r="U66" t="s">
        <v>5550</v>
      </c>
      <c r="V66" t="s">
        <v>1797</v>
      </c>
      <c r="W66" t="s">
        <v>6146</v>
      </c>
      <c r="X66" t="s">
        <v>74</v>
      </c>
      <c r="Y66" t="b">
        <v>0</v>
      </c>
      <c r="Z66" t="b">
        <v>0</v>
      </c>
      <c r="AA66" t="b">
        <v>0</v>
      </c>
      <c r="AC66" s="1"/>
      <c r="AF66">
        <v>0</v>
      </c>
      <c r="AG66">
        <v>45</v>
      </c>
      <c r="AH66">
        <v>230</v>
      </c>
      <c r="AI66" s="2">
        <f>Table__192.168.3.138AgingReportBEWLGS[[#This Row],[NetAmount]]-Table__192.168.3.138AgingReportBEWLGS[[#This Row],[Paid]]</f>
        <v>26000</v>
      </c>
    </row>
    <row r="67" spans="1:35">
      <c r="A67" t="s">
        <v>6289</v>
      </c>
      <c r="B67" s="1">
        <v>41089</v>
      </c>
      <c r="C67" s="1">
        <v>41134</v>
      </c>
      <c r="D67" t="s">
        <v>6290</v>
      </c>
      <c r="E67">
        <v>228300</v>
      </c>
      <c r="F67">
        <v>0</v>
      </c>
      <c r="G67">
        <v>0</v>
      </c>
      <c r="H67">
        <v>0</v>
      </c>
      <c r="I67">
        <v>179</v>
      </c>
      <c r="J67">
        <v>243700</v>
      </c>
      <c r="L67" s="1">
        <v>41089</v>
      </c>
      <c r="N67" t="s">
        <v>36</v>
      </c>
      <c r="O67" t="s">
        <v>6047</v>
      </c>
      <c r="P67" t="s">
        <v>6291</v>
      </c>
      <c r="Q67" t="s">
        <v>39</v>
      </c>
      <c r="R67" t="s">
        <v>40</v>
      </c>
      <c r="S67">
        <v>0</v>
      </c>
      <c r="U67" t="s">
        <v>5550</v>
      </c>
      <c r="V67" t="s">
        <v>1797</v>
      </c>
      <c r="X67" t="s">
        <v>74</v>
      </c>
      <c r="Y67" t="b">
        <v>0</v>
      </c>
      <c r="Z67" t="b">
        <v>0</v>
      </c>
      <c r="AC67" s="1"/>
      <c r="AF67">
        <v>0</v>
      </c>
      <c r="AG67">
        <v>45</v>
      </c>
      <c r="AH67">
        <v>224</v>
      </c>
      <c r="AI67" s="2">
        <f>Table__192.168.3.138AgingReportBEWLGS[[#This Row],[NetAmount]]-Table__192.168.3.138AgingReportBEWLGS[[#This Row],[Paid]]</f>
        <v>243700</v>
      </c>
    </row>
    <row r="68" spans="1:35">
      <c r="A68" t="s">
        <v>6292</v>
      </c>
      <c r="B68" s="1">
        <v>40743</v>
      </c>
      <c r="C68" s="1">
        <v>40773</v>
      </c>
      <c r="D68" t="s">
        <v>6278</v>
      </c>
      <c r="E68">
        <v>661</v>
      </c>
      <c r="F68">
        <v>129</v>
      </c>
      <c r="G68">
        <v>0</v>
      </c>
      <c r="H68">
        <v>0</v>
      </c>
      <c r="I68">
        <v>538</v>
      </c>
      <c r="J68">
        <v>790</v>
      </c>
      <c r="K68" t="s">
        <v>6279</v>
      </c>
      <c r="L68" s="1">
        <v>40730</v>
      </c>
      <c r="N68" t="s">
        <v>1218</v>
      </c>
      <c r="O68" t="s">
        <v>6045</v>
      </c>
      <c r="P68" t="s">
        <v>6280</v>
      </c>
      <c r="Q68" t="s">
        <v>39</v>
      </c>
      <c r="R68" t="s">
        <v>40</v>
      </c>
      <c r="S68">
        <v>0</v>
      </c>
      <c r="U68" t="s">
        <v>5550</v>
      </c>
      <c r="V68" t="s">
        <v>5127</v>
      </c>
      <c r="X68" t="s">
        <v>74</v>
      </c>
      <c r="Y68" t="b">
        <v>0</v>
      </c>
      <c r="Z68" t="b">
        <v>0</v>
      </c>
      <c r="AC68" s="1"/>
      <c r="AF68">
        <v>0</v>
      </c>
      <c r="AG68">
        <v>45</v>
      </c>
      <c r="AH68">
        <v>583</v>
      </c>
      <c r="AI68" s="2">
        <f>Table__192.168.3.138AgingReportBEWLGS[[#This Row],[NetAmount]]-Table__192.168.3.138AgingReportBEWLGS[[#This Row],[Paid]]</f>
        <v>790</v>
      </c>
    </row>
    <row r="69" spans="1:35">
      <c r="A69" t="s">
        <v>6293</v>
      </c>
      <c r="B69" s="1">
        <v>40785</v>
      </c>
      <c r="C69" s="1">
        <v>40815</v>
      </c>
      <c r="D69" t="s">
        <v>6278</v>
      </c>
      <c r="E69">
        <v>593</v>
      </c>
      <c r="F69">
        <v>117</v>
      </c>
      <c r="G69">
        <v>0</v>
      </c>
      <c r="H69">
        <v>0</v>
      </c>
      <c r="I69">
        <v>507</v>
      </c>
      <c r="J69">
        <v>710</v>
      </c>
      <c r="K69" t="s">
        <v>6282</v>
      </c>
      <c r="L69" s="1">
        <v>40761</v>
      </c>
      <c r="N69" t="s">
        <v>1218</v>
      </c>
      <c r="O69" t="s">
        <v>6045</v>
      </c>
      <c r="P69" t="s">
        <v>6280</v>
      </c>
      <c r="Q69" t="s">
        <v>39</v>
      </c>
      <c r="R69" t="s">
        <v>40</v>
      </c>
      <c r="S69">
        <v>0</v>
      </c>
      <c r="U69" t="s">
        <v>5550</v>
      </c>
      <c r="V69" t="s">
        <v>5127</v>
      </c>
      <c r="X69" t="s">
        <v>74</v>
      </c>
      <c r="Y69" t="b">
        <v>0</v>
      </c>
      <c r="Z69" t="b">
        <v>0</v>
      </c>
      <c r="AC69" s="1"/>
      <c r="AF69">
        <v>0</v>
      </c>
      <c r="AG69">
        <v>45</v>
      </c>
      <c r="AH69">
        <v>552</v>
      </c>
      <c r="AI69" s="2">
        <f>Table__192.168.3.138AgingReportBEWLGS[[#This Row],[NetAmount]]-Table__192.168.3.138AgingReportBEWLGS[[#This Row],[Paid]]</f>
        <v>710</v>
      </c>
    </row>
    <row r="70" spans="1:35">
      <c r="A70" t="s">
        <v>6294</v>
      </c>
      <c r="B70" s="1">
        <v>41025</v>
      </c>
      <c r="C70" s="1">
        <v>41070</v>
      </c>
      <c r="D70" t="s">
        <v>6278</v>
      </c>
      <c r="E70">
        <v>301</v>
      </c>
      <c r="F70">
        <v>59</v>
      </c>
      <c r="G70">
        <v>0</v>
      </c>
      <c r="H70">
        <v>0</v>
      </c>
      <c r="I70">
        <v>246</v>
      </c>
      <c r="J70">
        <v>360</v>
      </c>
      <c r="K70" t="s">
        <v>5654</v>
      </c>
      <c r="L70" s="1">
        <v>41022</v>
      </c>
      <c r="N70" t="s">
        <v>1218</v>
      </c>
      <c r="O70" t="s">
        <v>6045</v>
      </c>
      <c r="P70" t="s">
        <v>6280</v>
      </c>
      <c r="Q70" t="s">
        <v>39</v>
      </c>
      <c r="R70" t="s">
        <v>40</v>
      </c>
      <c r="S70">
        <v>0</v>
      </c>
      <c r="U70" t="s">
        <v>5550</v>
      </c>
      <c r="V70" t="s">
        <v>1797</v>
      </c>
      <c r="X70" t="s">
        <v>74</v>
      </c>
      <c r="Y70" t="b">
        <v>0</v>
      </c>
      <c r="Z70" t="b">
        <v>0</v>
      </c>
      <c r="AC70" s="1"/>
      <c r="AF70">
        <v>0</v>
      </c>
      <c r="AG70">
        <v>45</v>
      </c>
      <c r="AH70">
        <v>291</v>
      </c>
      <c r="AI70" s="2">
        <f>Table__192.168.3.138AgingReportBEWLGS[[#This Row],[NetAmount]]-Table__192.168.3.138AgingReportBEWLGS[[#This Row],[Paid]]</f>
        <v>360</v>
      </c>
    </row>
    <row r="71" spans="1:35">
      <c r="A71" t="s">
        <v>6295</v>
      </c>
      <c r="B71" s="1">
        <v>41024</v>
      </c>
      <c r="C71" s="1">
        <v>41069</v>
      </c>
      <c r="D71" t="s">
        <v>6296</v>
      </c>
      <c r="E71">
        <v>15048</v>
      </c>
      <c r="F71">
        <v>0</v>
      </c>
      <c r="G71">
        <v>0</v>
      </c>
      <c r="H71">
        <v>0</v>
      </c>
      <c r="I71">
        <v>270</v>
      </c>
      <c r="J71">
        <v>15048</v>
      </c>
      <c r="K71" t="s">
        <v>5628</v>
      </c>
      <c r="L71" s="1">
        <v>40998</v>
      </c>
      <c r="N71" t="s">
        <v>1218</v>
      </c>
      <c r="O71" t="s">
        <v>6045</v>
      </c>
      <c r="P71" t="s">
        <v>6297</v>
      </c>
      <c r="Q71" t="s">
        <v>39</v>
      </c>
      <c r="R71" t="s">
        <v>40</v>
      </c>
      <c r="S71">
        <v>0</v>
      </c>
      <c r="U71" t="s">
        <v>5550</v>
      </c>
      <c r="V71" t="s">
        <v>1797</v>
      </c>
      <c r="X71" t="s">
        <v>74</v>
      </c>
      <c r="Y71" t="b">
        <v>0</v>
      </c>
      <c r="Z71" t="b">
        <v>0</v>
      </c>
      <c r="AC71" s="1"/>
      <c r="AF71">
        <v>0</v>
      </c>
      <c r="AG71">
        <v>45</v>
      </c>
      <c r="AH71">
        <v>315</v>
      </c>
      <c r="AI71" s="2">
        <f>Table__192.168.3.138AgingReportBEWLGS[[#This Row],[NetAmount]]-Table__192.168.3.138AgingReportBEWLGS[[#This Row],[Paid]]</f>
        <v>15048</v>
      </c>
    </row>
    <row r="72" spans="1:35">
      <c r="A72" t="s">
        <v>6298</v>
      </c>
      <c r="B72" s="1">
        <v>41046</v>
      </c>
      <c r="C72" s="1">
        <v>41091</v>
      </c>
      <c r="D72" t="s">
        <v>6278</v>
      </c>
      <c r="E72">
        <v>713</v>
      </c>
      <c r="F72">
        <v>137</v>
      </c>
      <c r="G72">
        <v>0</v>
      </c>
      <c r="H72">
        <v>0</v>
      </c>
      <c r="I72">
        <v>218</v>
      </c>
      <c r="J72">
        <v>850</v>
      </c>
      <c r="K72" t="s">
        <v>5656</v>
      </c>
      <c r="L72" s="1">
        <v>41050</v>
      </c>
      <c r="N72" t="s">
        <v>1218</v>
      </c>
      <c r="O72" t="s">
        <v>6045</v>
      </c>
      <c r="P72" t="s">
        <v>6280</v>
      </c>
      <c r="Q72" t="s">
        <v>39</v>
      </c>
      <c r="R72" t="s">
        <v>40</v>
      </c>
      <c r="S72">
        <v>0</v>
      </c>
      <c r="U72" t="s">
        <v>5550</v>
      </c>
      <c r="V72" t="s">
        <v>1797</v>
      </c>
      <c r="X72" t="s">
        <v>74</v>
      </c>
      <c r="Y72" t="b">
        <v>0</v>
      </c>
      <c r="Z72" t="b">
        <v>0</v>
      </c>
      <c r="AC72" s="1"/>
      <c r="AF72">
        <v>0</v>
      </c>
      <c r="AG72">
        <v>45</v>
      </c>
      <c r="AH72">
        <v>263</v>
      </c>
      <c r="AI72" s="2">
        <f>Table__192.168.3.138AgingReportBEWLGS[[#This Row],[NetAmount]]-Table__192.168.3.138AgingReportBEWLGS[[#This Row],[Paid]]</f>
        <v>850</v>
      </c>
    </row>
    <row r="73" spans="1:35">
      <c r="A73" t="s">
        <v>6299</v>
      </c>
      <c r="B73" s="1">
        <v>41075</v>
      </c>
      <c r="C73" s="1">
        <v>41120</v>
      </c>
      <c r="D73" t="s">
        <v>6278</v>
      </c>
      <c r="E73">
        <v>819</v>
      </c>
      <c r="F73">
        <v>161</v>
      </c>
      <c r="G73">
        <v>0</v>
      </c>
      <c r="H73">
        <v>0</v>
      </c>
      <c r="I73">
        <v>208</v>
      </c>
      <c r="J73">
        <v>980</v>
      </c>
      <c r="K73" t="s">
        <v>5656</v>
      </c>
      <c r="L73" s="1">
        <v>41060</v>
      </c>
      <c r="N73" t="s">
        <v>1218</v>
      </c>
      <c r="O73" t="s">
        <v>6045</v>
      </c>
      <c r="P73" t="s">
        <v>6280</v>
      </c>
      <c r="Q73" t="s">
        <v>39</v>
      </c>
      <c r="R73" t="s">
        <v>40</v>
      </c>
      <c r="S73">
        <v>0</v>
      </c>
      <c r="U73" t="s">
        <v>5550</v>
      </c>
      <c r="V73" t="s">
        <v>1797</v>
      </c>
      <c r="X73" t="s">
        <v>74</v>
      </c>
      <c r="Y73" t="b">
        <v>0</v>
      </c>
      <c r="Z73" t="b">
        <v>0</v>
      </c>
      <c r="AC73" s="1"/>
      <c r="AF73">
        <v>0</v>
      </c>
      <c r="AG73">
        <v>45</v>
      </c>
      <c r="AH73">
        <v>253</v>
      </c>
      <c r="AI73" s="2">
        <f>Table__192.168.3.138AgingReportBEWLGS[[#This Row],[NetAmount]]-Table__192.168.3.138AgingReportBEWLGS[[#This Row],[Paid]]</f>
        <v>980</v>
      </c>
    </row>
    <row r="74" spans="1:35">
      <c r="A74" t="s">
        <v>6300</v>
      </c>
      <c r="B74" s="1">
        <v>40743</v>
      </c>
      <c r="C74" s="1">
        <v>40773</v>
      </c>
      <c r="D74" t="s">
        <v>6278</v>
      </c>
      <c r="E74">
        <v>1616</v>
      </c>
      <c r="F74">
        <v>314</v>
      </c>
      <c r="G74">
        <v>0</v>
      </c>
      <c r="H74">
        <v>0</v>
      </c>
      <c r="I74">
        <v>538</v>
      </c>
      <c r="J74">
        <v>1930</v>
      </c>
      <c r="K74" t="s">
        <v>6279</v>
      </c>
      <c r="L74" s="1">
        <v>40730</v>
      </c>
      <c r="N74" t="s">
        <v>6135</v>
      </c>
      <c r="O74" t="s">
        <v>83</v>
      </c>
      <c r="P74" t="s">
        <v>6280</v>
      </c>
      <c r="Q74" t="s">
        <v>39</v>
      </c>
      <c r="R74" t="s">
        <v>40</v>
      </c>
      <c r="S74">
        <v>0</v>
      </c>
      <c r="U74" t="s">
        <v>5550</v>
      </c>
      <c r="V74" t="s">
        <v>5127</v>
      </c>
      <c r="X74" t="s">
        <v>74</v>
      </c>
      <c r="Y74" t="b">
        <v>0</v>
      </c>
      <c r="Z74" t="b">
        <v>0</v>
      </c>
      <c r="AC74" s="1"/>
      <c r="AF74">
        <v>0</v>
      </c>
      <c r="AG74">
        <v>45</v>
      </c>
      <c r="AH74">
        <v>583</v>
      </c>
      <c r="AI74" s="2">
        <f>Table__192.168.3.138AgingReportBEWLGS[[#This Row],[NetAmount]]-Table__192.168.3.138AgingReportBEWLGS[[#This Row],[Paid]]</f>
        <v>1930</v>
      </c>
    </row>
    <row r="75" spans="1:35">
      <c r="A75" t="s">
        <v>6301</v>
      </c>
      <c r="B75" s="1">
        <v>40785</v>
      </c>
      <c r="C75" s="1">
        <v>40815</v>
      </c>
      <c r="D75" t="s">
        <v>6278</v>
      </c>
      <c r="E75">
        <v>1890</v>
      </c>
      <c r="F75">
        <v>370</v>
      </c>
      <c r="G75">
        <v>0</v>
      </c>
      <c r="H75">
        <v>0</v>
      </c>
      <c r="I75">
        <v>507</v>
      </c>
      <c r="J75">
        <v>2260</v>
      </c>
      <c r="K75" t="s">
        <v>6282</v>
      </c>
      <c r="L75" s="1">
        <v>40761</v>
      </c>
      <c r="N75" t="s">
        <v>6135</v>
      </c>
      <c r="O75" t="s">
        <v>83</v>
      </c>
      <c r="P75" t="s">
        <v>6280</v>
      </c>
      <c r="Q75" t="s">
        <v>39</v>
      </c>
      <c r="R75" t="s">
        <v>40</v>
      </c>
      <c r="S75">
        <v>0</v>
      </c>
      <c r="U75" t="s">
        <v>5550</v>
      </c>
      <c r="V75" t="s">
        <v>5127</v>
      </c>
      <c r="X75" t="s">
        <v>74</v>
      </c>
      <c r="Y75" t="b">
        <v>0</v>
      </c>
      <c r="Z75" t="b">
        <v>0</v>
      </c>
      <c r="AC75" s="1"/>
      <c r="AF75">
        <v>0</v>
      </c>
      <c r="AG75">
        <v>45</v>
      </c>
      <c r="AH75">
        <v>552</v>
      </c>
      <c r="AI75" s="2">
        <f>Table__192.168.3.138AgingReportBEWLGS[[#This Row],[NetAmount]]-Table__192.168.3.138AgingReportBEWLGS[[#This Row],[Paid]]</f>
        <v>2260</v>
      </c>
    </row>
    <row r="76" spans="1:35">
      <c r="A76" t="s">
        <v>6302</v>
      </c>
      <c r="B76" s="1">
        <v>41025</v>
      </c>
      <c r="C76" s="1">
        <v>41070</v>
      </c>
      <c r="D76" t="s">
        <v>6278</v>
      </c>
      <c r="E76">
        <v>1466</v>
      </c>
      <c r="F76">
        <v>284</v>
      </c>
      <c r="G76">
        <v>0</v>
      </c>
      <c r="H76">
        <v>0</v>
      </c>
      <c r="I76">
        <v>246</v>
      </c>
      <c r="J76">
        <v>1750</v>
      </c>
      <c r="K76" t="s">
        <v>5654</v>
      </c>
      <c r="L76" s="1">
        <v>41022</v>
      </c>
      <c r="N76" t="s">
        <v>6135</v>
      </c>
      <c r="O76" t="s">
        <v>83</v>
      </c>
      <c r="P76" t="s">
        <v>6280</v>
      </c>
      <c r="Q76" t="s">
        <v>39</v>
      </c>
      <c r="R76" t="s">
        <v>40</v>
      </c>
      <c r="S76">
        <v>0</v>
      </c>
      <c r="U76" t="s">
        <v>5550</v>
      </c>
      <c r="V76" t="s">
        <v>1797</v>
      </c>
      <c r="X76" t="s">
        <v>74</v>
      </c>
      <c r="Y76" t="b">
        <v>0</v>
      </c>
      <c r="Z76" t="b">
        <v>0</v>
      </c>
      <c r="AC76" s="1"/>
      <c r="AF76">
        <v>0</v>
      </c>
      <c r="AG76">
        <v>45</v>
      </c>
      <c r="AH76">
        <v>291</v>
      </c>
      <c r="AI76" s="2">
        <f>Table__192.168.3.138AgingReportBEWLGS[[#This Row],[NetAmount]]-Table__192.168.3.138AgingReportBEWLGS[[#This Row],[Paid]]</f>
        <v>1750</v>
      </c>
    </row>
    <row r="77" spans="1:35">
      <c r="A77" t="s">
        <v>6303</v>
      </c>
      <c r="B77" s="1">
        <v>41045</v>
      </c>
      <c r="C77" s="1">
        <v>41090</v>
      </c>
      <c r="D77" t="s">
        <v>6278</v>
      </c>
      <c r="E77">
        <v>1447</v>
      </c>
      <c r="F77">
        <v>283</v>
      </c>
      <c r="G77">
        <v>0</v>
      </c>
      <c r="H77">
        <v>0</v>
      </c>
      <c r="I77">
        <v>218</v>
      </c>
      <c r="J77">
        <v>1730</v>
      </c>
      <c r="K77" t="s">
        <v>5656</v>
      </c>
      <c r="L77" s="1">
        <v>41050</v>
      </c>
      <c r="N77" t="s">
        <v>6135</v>
      </c>
      <c r="O77" t="s">
        <v>83</v>
      </c>
      <c r="P77" t="s">
        <v>6280</v>
      </c>
      <c r="Q77" t="s">
        <v>39</v>
      </c>
      <c r="R77" t="s">
        <v>40</v>
      </c>
      <c r="S77">
        <v>0</v>
      </c>
      <c r="U77" t="s">
        <v>5550</v>
      </c>
      <c r="V77" t="s">
        <v>1797</v>
      </c>
      <c r="X77" t="s">
        <v>74</v>
      </c>
      <c r="Y77" t="b">
        <v>0</v>
      </c>
      <c r="Z77" t="b">
        <v>0</v>
      </c>
      <c r="AC77" s="1"/>
      <c r="AF77">
        <v>0</v>
      </c>
      <c r="AG77">
        <v>45</v>
      </c>
      <c r="AH77">
        <v>263</v>
      </c>
      <c r="AI77" s="2">
        <f>Table__192.168.3.138AgingReportBEWLGS[[#This Row],[NetAmount]]-Table__192.168.3.138AgingReportBEWLGS[[#This Row],[Paid]]</f>
        <v>1730</v>
      </c>
    </row>
    <row r="78" spans="1:35">
      <c r="A78" t="s">
        <v>6304</v>
      </c>
      <c r="B78" s="1">
        <v>41024</v>
      </c>
      <c r="C78" s="1">
        <v>41069</v>
      </c>
      <c r="D78" t="s">
        <v>6296</v>
      </c>
      <c r="E78">
        <v>13170</v>
      </c>
      <c r="F78">
        <v>0</v>
      </c>
      <c r="G78">
        <v>0</v>
      </c>
      <c r="H78">
        <v>0</v>
      </c>
      <c r="I78">
        <v>270</v>
      </c>
      <c r="J78">
        <v>13170</v>
      </c>
      <c r="K78" t="s">
        <v>5628</v>
      </c>
      <c r="L78" s="1">
        <v>40998</v>
      </c>
      <c r="N78" t="s">
        <v>6135</v>
      </c>
      <c r="O78" t="s">
        <v>83</v>
      </c>
      <c r="P78" t="s">
        <v>6297</v>
      </c>
      <c r="Q78" t="s">
        <v>39</v>
      </c>
      <c r="R78" t="s">
        <v>40</v>
      </c>
      <c r="S78">
        <v>0</v>
      </c>
      <c r="U78" t="s">
        <v>5550</v>
      </c>
      <c r="V78" t="s">
        <v>1797</v>
      </c>
      <c r="X78" t="s">
        <v>74</v>
      </c>
      <c r="Y78" t="b">
        <v>0</v>
      </c>
      <c r="Z78" t="b">
        <v>0</v>
      </c>
      <c r="AC78" s="1"/>
      <c r="AF78">
        <v>0</v>
      </c>
      <c r="AG78">
        <v>45</v>
      </c>
      <c r="AH78">
        <v>315</v>
      </c>
      <c r="AI78" s="2">
        <f>Table__192.168.3.138AgingReportBEWLGS[[#This Row],[NetAmount]]-Table__192.168.3.138AgingReportBEWLGS[[#This Row],[Paid]]</f>
        <v>13170</v>
      </c>
    </row>
    <row r="79" spans="1:35">
      <c r="A79" t="s">
        <v>6305</v>
      </c>
      <c r="B79" s="1">
        <v>41075</v>
      </c>
      <c r="C79" s="1">
        <v>41120</v>
      </c>
      <c r="D79" t="s">
        <v>6278</v>
      </c>
      <c r="E79">
        <v>1540</v>
      </c>
      <c r="F79">
        <v>300</v>
      </c>
      <c r="G79">
        <v>0</v>
      </c>
      <c r="H79">
        <v>0</v>
      </c>
      <c r="I79">
        <v>202</v>
      </c>
      <c r="J79">
        <v>1840</v>
      </c>
      <c r="K79" t="s">
        <v>5656</v>
      </c>
      <c r="L79" s="1">
        <v>41066</v>
      </c>
      <c r="N79" t="s">
        <v>6135</v>
      </c>
      <c r="O79" t="s">
        <v>83</v>
      </c>
      <c r="P79" t="s">
        <v>6280</v>
      </c>
      <c r="Q79" t="s">
        <v>39</v>
      </c>
      <c r="R79" t="s">
        <v>40</v>
      </c>
      <c r="S79">
        <v>0</v>
      </c>
      <c r="U79" t="s">
        <v>5550</v>
      </c>
      <c r="V79" t="s">
        <v>1797</v>
      </c>
      <c r="X79" t="s">
        <v>74</v>
      </c>
      <c r="Y79" t="b">
        <v>0</v>
      </c>
      <c r="Z79" t="b">
        <v>0</v>
      </c>
      <c r="AC79" s="1"/>
      <c r="AF79">
        <v>0</v>
      </c>
      <c r="AG79">
        <v>45</v>
      </c>
      <c r="AH79">
        <v>247</v>
      </c>
      <c r="AI79" s="2">
        <f>Table__192.168.3.138AgingReportBEWLGS[[#This Row],[NetAmount]]-Table__192.168.3.138AgingReportBEWLGS[[#This Row],[Paid]]</f>
        <v>1840</v>
      </c>
    </row>
    <row r="80" spans="1:35">
      <c r="A80" t="s">
        <v>6306</v>
      </c>
      <c r="B80" s="1">
        <v>41083</v>
      </c>
      <c r="C80" s="1">
        <v>41128</v>
      </c>
      <c r="D80" t="s">
        <v>6307</v>
      </c>
      <c r="E80">
        <v>9620</v>
      </c>
      <c r="F80">
        <v>0</v>
      </c>
      <c r="G80">
        <v>0</v>
      </c>
      <c r="H80">
        <v>0</v>
      </c>
      <c r="I80">
        <v>185</v>
      </c>
      <c r="J80">
        <v>9620</v>
      </c>
      <c r="K80" t="s">
        <v>6287</v>
      </c>
      <c r="L80" s="1">
        <v>41083</v>
      </c>
      <c r="N80" t="s">
        <v>6135</v>
      </c>
      <c r="O80" t="s">
        <v>83</v>
      </c>
      <c r="P80" t="s">
        <v>6308</v>
      </c>
      <c r="Q80" t="s">
        <v>39</v>
      </c>
      <c r="R80" t="s">
        <v>40</v>
      </c>
      <c r="S80">
        <v>0</v>
      </c>
      <c r="U80" t="s">
        <v>5550</v>
      </c>
      <c r="V80" t="s">
        <v>1797</v>
      </c>
      <c r="X80" t="s">
        <v>74</v>
      </c>
      <c r="Y80" t="b">
        <v>0</v>
      </c>
      <c r="Z80" t="b">
        <v>0</v>
      </c>
      <c r="AC80" s="1"/>
      <c r="AF80">
        <v>0</v>
      </c>
      <c r="AG80">
        <v>45</v>
      </c>
      <c r="AH80">
        <v>230</v>
      </c>
      <c r="AI80" s="2">
        <f>Table__192.168.3.138AgingReportBEWLGS[[#This Row],[NetAmount]]-Table__192.168.3.138AgingReportBEWLGS[[#This Row],[Paid]]</f>
        <v>9620</v>
      </c>
    </row>
    <row r="81" spans="1:35">
      <c r="A81" t="s">
        <v>6309</v>
      </c>
      <c r="B81" s="1">
        <v>40743</v>
      </c>
      <c r="C81" s="1">
        <v>40773</v>
      </c>
      <c r="D81" t="s">
        <v>6278</v>
      </c>
      <c r="E81">
        <v>2087</v>
      </c>
      <c r="F81">
        <v>403</v>
      </c>
      <c r="G81">
        <v>0</v>
      </c>
      <c r="H81">
        <v>0</v>
      </c>
      <c r="I81">
        <v>538</v>
      </c>
      <c r="J81">
        <v>2490</v>
      </c>
      <c r="K81" t="s">
        <v>6279</v>
      </c>
      <c r="L81" s="1">
        <v>40730</v>
      </c>
      <c r="N81" t="s">
        <v>442</v>
      </c>
      <c r="O81" t="s">
        <v>938</v>
      </c>
      <c r="P81" t="s">
        <v>6280</v>
      </c>
      <c r="Q81" t="s">
        <v>39</v>
      </c>
      <c r="R81" t="s">
        <v>40</v>
      </c>
      <c r="S81">
        <v>0</v>
      </c>
      <c r="U81" t="s">
        <v>5550</v>
      </c>
      <c r="V81" t="s">
        <v>5127</v>
      </c>
      <c r="X81" t="s">
        <v>74</v>
      </c>
      <c r="Y81" t="b">
        <v>0</v>
      </c>
      <c r="Z81" t="b">
        <v>0</v>
      </c>
      <c r="AC81" s="1"/>
      <c r="AF81">
        <v>0</v>
      </c>
      <c r="AG81">
        <v>45</v>
      </c>
      <c r="AH81">
        <v>583</v>
      </c>
      <c r="AI81" s="2">
        <f>Table__192.168.3.138AgingReportBEWLGS[[#This Row],[NetAmount]]-Table__192.168.3.138AgingReportBEWLGS[[#This Row],[Paid]]</f>
        <v>2490</v>
      </c>
    </row>
    <row r="82" spans="1:35">
      <c r="A82" t="s">
        <v>6310</v>
      </c>
      <c r="B82" s="1">
        <v>40785</v>
      </c>
      <c r="C82" s="1">
        <v>40815</v>
      </c>
      <c r="D82" t="s">
        <v>6278</v>
      </c>
      <c r="E82">
        <v>2209</v>
      </c>
      <c r="F82">
        <v>421</v>
      </c>
      <c r="G82">
        <v>0</v>
      </c>
      <c r="H82">
        <v>0</v>
      </c>
      <c r="I82">
        <v>507</v>
      </c>
      <c r="J82">
        <v>2630</v>
      </c>
      <c r="K82" t="s">
        <v>6282</v>
      </c>
      <c r="L82" s="1">
        <v>40761</v>
      </c>
      <c r="N82" t="s">
        <v>442</v>
      </c>
      <c r="O82" t="s">
        <v>938</v>
      </c>
      <c r="P82" t="s">
        <v>6280</v>
      </c>
      <c r="Q82" t="s">
        <v>39</v>
      </c>
      <c r="R82" t="s">
        <v>40</v>
      </c>
      <c r="S82">
        <v>0</v>
      </c>
      <c r="U82" t="s">
        <v>5550</v>
      </c>
      <c r="V82" t="s">
        <v>5127</v>
      </c>
      <c r="X82" t="s">
        <v>74</v>
      </c>
      <c r="Y82" t="b">
        <v>0</v>
      </c>
      <c r="Z82" t="b">
        <v>0</v>
      </c>
      <c r="AC82" s="1"/>
      <c r="AF82">
        <v>0</v>
      </c>
      <c r="AG82">
        <v>45</v>
      </c>
      <c r="AH82">
        <v>552</v>
      </c>
      <c r="AI82" s="2">
        <f>Table__192.168.3.138AgingReportBEWLGS[[#This Row],[NetAmount]]-Table__192.168.3.138AgingReportBEWLGS[[#This Row],[Paid]]</f>
        <v>2630</v>
      </c>
    </row>
    <row r="83" spans="1:35">
      <c r="A83" t="s">
        <v>6311</v>
      </c>
      <c r="B83" s="1">
        <v>41025</v>
      </c>
      <c r="C83" s="1">
        <v>41070</v>
      </c>
      <c r="D83" t="s">
        <v>6278</v>
      </c>
      <c r="E83">
        <v>2013</v>
      </c>
      <c r="F83">
        <v>387</v>
      </c>
      <c r="G83">
        <v>0</v>
      </c>
      <c r="H83">
        <v>0</v>
      </c>
      <c r="I83">
        <v>246</v>
      </c>
      <c r="J83">
        <v>2400</v>
      </c>
      <c r="K83" t="s">
        <v>5654</v>
      </c>
      <c r="L83" s="1">
        <v>41022</v>
      </c>
      <c r="N83" t="s">
        <v>442</v>
      </c>
      <c r="O83" t="s">
        <v>938</v>
      </c>
      <c r="P83" t="s">
        <v>6280</v>
      </c>
      <c r="Q83" t="s">
        <v>39</v>
      </c>
      <c r="R83" t="s">
        <v>40</v>
      </c>
      <c r="S83">
        <v>0</v>
      </c>
      <c r="U83" t="s">
        <v>5550</v>
      </c>
      <c r="V83" t="s">
        <v>1797</v>
      </c>
      <c r="X83" t="s">
        <v>74</v>
      </c>
      <c r="Y83" t="b">
        <v>0</v>
      </c>
      <c r="Z83" t="b">
        <v>0</v>
      </c>
      <c r="AC83" s="1"/>
      <c r="AF83">
        <v>0</v>
      </c>
      <c r="AG83">
        <v>45</v>
      </c>
      <c r="AH83">
        <v>291</v>
      </c>
      <c r="AI83" s="2">
        <f>Table__192.168.3.138AgingReportBEWLGS[[#This Row],[NetAmount]]-Table__192.168.3.138AgingReportBEWLGS[[#This Row],[Paid]]</f>
        <v>2400</v>
      </c>
    </row>
    <row r="84" spans="1:35">
      <c r="A84" t="s">
        <v>6312</v>
      </c>
      <c r="B84" s="1">
        <v>41024</v>
      </c>
      <c r="C84" s="1">
        <v>41069</v>
      </c>
      <c r="D84" t="s">
        <v>6296</v>
      </c>
      <c r="E84">
        <v>5937</v>
      </c>
      <c r="F84">
        <v>0</v>
      </c>
      <c r="G84">
        <v>0</v>
      </c>
      <c r="H84">
        <v>0</v>
      </c>
      <c r="I84">
        <v>270</v>
      </c>
      <c r="J84">
        <v>5937</v>
      </c>
      <c r="K84" t="s">
        <v>5628</v>
      </c>
      <c r="L84" s="1">
        <v>40998</v>
      </c>
      <c r="N84" t="s">
        <v>442</v>
      </c>
      <c r="O84" t="s">
        <v>938</v>
      </c>
      <c r="P84" t="s">
        <v>6297</v>
      </c>
      <c r="Q84" t="s">
        <v>39</v>
      </c>
      <c r="R84" t="s">
        <v>40</v>
      </c>
      <c r="S84">
        <v>0</v>
      </c>
      <c r="U84" t="s">
        <v>5550</v>
      </c>
      <c r="V84" t="s">
        <v>1797</v>
      </c>
      <c r="X84" t="s">
        <v>74</v>
      </c>
      <c r="Y84" t="b">
        <v>0</v>
      </c>
      <c r="Z84" t="b">
        <v>0</v>
      </c>
      <c r="AC84" s="1"/>
      <c r="AF84">
        <v>0</v>
      </c>
      <c r="AG84">
        <v>45</v>
      </c>
      <c r="AH84">
        <v>315</v>
      </c>
      <c r="AI84" s="2">
        <f>Table__192.168.3.138AgingReportBEWLGS[[#This Row],[NetAmount]]-Table__192.168.3.138AgingReportBEWLGS[[#This Row],[Paid]]</f>
        <v>5937</v>
      </c>
    </row>
    <row r="85" spans="1:35">
      <c r="A85" t="s">
        <v>6313</v>
      </c>
      <c r="B85" s="1">
        <v>41046</v>
      </c>
      <c r="C85" s="1">
        <v>41091</v>
      </c>
      <c r="D85" t="s">
        <v>6278</v>
      </c>
      <c r="E85">
        <v>1639</v>
      </c>
      <c r="F85">
        <v>311</v>
      </c>
      <c r="G85">
        <v>0</v>
      </c>
      <c r="H85">
        <v>0</v>
      </c>
      <c r="I85">
        <v>218</v>
      </c>
      <c r="J85">
        <v>1950</v>
      </c>
      <c r="K85" t="s">
        <v>5656</v>
      </c>
      <c r="L85" s="1">
        <v>41050</v>
      </c>
      <c r="N85" t="s">
        <v>442</v>
      </c>
      <c r="O85" t="s">
        <v>938</v>
      </c>
      <c r="P85" t="s">
        <v>6280</v>
      </c>
      <c r="Q85" t="s">
        <v>39</v>
      </c>
      <c r="R85" t="s">
        <v>40</v>
      </c>
      <c r="S85">
        <v>0</v>
      </c>
      <c r="U85" t="s">
        <v>5550</v>
      </c>
      <c r="V85" t="s">
        <v>1797</v>
      </c>
      <c r="X85" t="s">
        <v>74</v>
      </c>
      <c r="Y85" t="b">
        <v>0</v>
      </c>
      <c r="Z85" t="b">
        <v>0</v>
      </c>
      <c r="AC85" s="1"/>
      <c r="AF85">
        <v>0</v>
      </c>
      <c r="AG85">
        <v>45</v>
      </c>
      <c r="AH85">
        <v>263</v>
      </c>
      <c r="AI85" s="2">
        <f>Table__192.168.3.138AgingReportBEWLGS[[#This Row],[NetAmount]]-Table__192.168.3.138AgingReportBEWLGS[[#This Row],[Paid]]</f>
        <v>1950</v>
      </c>
    </row>
    <row r="86" spans="1:35">
      <c r="A86" t="s">
        <v>6314</v>
      </c>
      <c r="B86" s="1">
        <v>41080</v>
      </c>
      <c r="C86" s="1">
        <v>41125</v>
      </c>
      <c r="D86" t="s">
        <v>6278</v>
      </c>
      <c r="E86">
        <v>1635</v>
      </c>
      <c r="F86">
        <v>315</v>
      </c>
      <c r="G86">
        <v>0</v>
      </c>
      <c r="H86">
        <v>0</v>
      </c>
      <c r="I86">
        <v>202</v>
      </c>
      <c r="J86">
        <v>1950</v>
      </c>
      <c r="K86" t="s">
        <v>5656</v>
      </c>
      <c r="L86" s="1">
        <v>41066</v>
      </c>
      <c r="N86" t="s">
        <v>442</v>
      </c>
      <c r="O86" t="s">
        <v>938</v>
      </c>
      <c r="P86" t="s">
        <v>6280</v>
      </c>
      <c r="Q86" t="s">
        <v>39</v>
      </c>
      <c r="R86" t="s">
        <v>40</v>
      </c>
      <c r="S86">
        <v>0</v>
      </c>
      <c r="U86" t="s">
        <v>5550</v>
      </c>
      <c r="V86" t="s">
        <v>1797</v>
      </c>
      <c r="X86" t="s">
        <v>74</v>
      </c>
      <c r="Y86" t="b">
        <v>0</v>
      </c>
      <c r="Z86" t="b">
        <v>0</v>
      </c>
      <c r="AC86" s="1"/>
      <c r="AF86">
        <v>0</v>
      </c>
      <c r="AG86">
        <v>45</v>
      </c>
      <c r="AH86">
        <v>247</v>
      </c>
      <c r="AI86" s="2">
        <f>Table__192.168.3.138AgingReportBEWLGS[[#This Row],[NetAmount]]-Table__192.168.3.138AgingReportBEWLGS[[#This Row],[Paid]]</f>
        <v>1950</v>
      </c>
    </row>
    <row r="87" spans="1:35">
      <c r="A87" t="s">
        <v>6315</v>
      </c>
      <c r="B87" s="1">
        <v>40740</v>
      </c>
      <c r="C87" s="1">
        <v>40770</v>
      </c>
      <c r="D87" t="s">
        <v>6278</v>
      </c>
      <c r="E87">
        <v>10802</v>
      </c>
      <c r="F87">
        <v>608</v>
      </c>
      <c r="G87">
        <v>0</v>
      </c>
      <c r="H87">
        <v>0</v>
      </c>
      <c r="I87">
        <v>538</v>
      </c>
      <c r="J87">
        <v>11410</v>
      </c>
      <c r="K87" t="s">
        <v>6316</v>
      </c>
      <c r="L87" s="1">
        <v>40730</v>
      </c>
      <c r="N87" t="s">
        <v>5127</v>
      </c>
      <c r="O87" t="s">
        <v>2458</v>
      </c>
      <c r="P87" t="s">
        <v>6280</v>
      </c>
      <c r="Q87" t="s">
        <v>39</v>
      </c>
      <c r="R87" t="s">
        <v>40</v>
      </c>
      <c r="S87">
        <v>0</v>
      </c>
      <c r="U87" t="s">
        <v>5550</v>
      </c>
      <c r="V87" t="s">
        <v>5127</v>
      </c>
      <c r="X87" t="s">
        <v>74</v>
      </c>
      <c r="Y87" t="b">
        <v>0</v>
      </c>
      <c r="Z87" t="b">
        <v>0</v>
      </c>
      <c r="AC87" s="1"/>
      <c r="AF87">
        <v>0</v>
      </c>
      <c r="AG87">
        <v>45</v>
      </c>
      <c r="AH87">
        <v>583</v>
      </c>
      <c r="AI87" s="2">
        <f>Table__192.168.3.138AgingReportBEWLGS[[#This Row],[NetAmount]]-Table__192.168.3.138AgingReportBEWLGS[[#This Row],[Paid]]</f>
        <v>11410</v>
      </c>
    </row>
    <row r="88" spans="1:35">
      <c r="A88" t="s">
        <v>6317</v>
      </c>
      <c r="B88" s="1">
        <v>40729</v>
      </c>
      <c r="C88" s="1">
        <v>40759</v>
      </c>
      <c r="D88" t="s">
        <v>6318</v>
      </c>
      <c r="E88">
        <v>555638</v>
      </c>
      <c r="F88">
        <v>108349</v>
      </c>
      <c r="G88">
        <v>0</v>
      </c>
      <c r="H88">
        <v>0</v>
      </c>
      <c r="I88">
        <v>529</v>
      </c>
      <c r="J88">
        <v>663987</v>
      </c>
      <c r="K88" t="s">
        <v>6319</v>
      </c>
      <c r="L88" s="1">
        <v>40739</v>
      </c>
      <c r="N88" t="s">
        <v>5127</v>
      </c>
      <c r="O88" t="s">
        <v>2458</v>
      </c>
      <c r="P88" t="s">
        <v>6320</v>
      </c>
      <c r="Q88" t="s">
        <v>39</v>
      </c>
      <c r="R88" t="s">
        <v>40</v>
      </c>
      <c r="S88">
        <v>0</v>
      </c>
      <c r="U88" t="s">
        <v>5550</v>
      </c>
      <c r="V88" t="s">
        <v>5127</v>
      </c>
      <c r="X88" t="s">
        <v>74</v>
      </c>
      <c r="Y88" t="b">
        <v>0</v>
      </c>
      <c r="Z88" t="b">
        <v>0</v>
      </c>
      <c r="AB88" t="s">
        <v>6321</v>
      </c>
      <c r="AC88" s="1">
        <v>40848</v>
      </c>
      <c r="AE88" t="s">
        <v>6322</v>
      </c>
      <c r="AF88">
        <v>0</v>
      </c>
      <c r="AG88">
        <v>45</v>
      </c>
      <c r="AH88">
        <v>574</v>
      </c>
      <c r="AI88" s="2">
        <f>Table__192.168.3.138AgingReportBEWLGS[[#This Row],[NetAmount]]-Table__192.168.3.138AgingReportBEWLGS[[#This Row],[Paid]]</f>
        <v>663987</v>
      </c>
    </row>
    <row r="89" spans="1:35">
      <c r="A89" t="s">
        <v>6323</v>
      </c>
      <c r="B89" s="1">
        <v>40729</v>
      </c>
      <c r="C89" s="1">
        <v>40729</v>
      </c>
      <c r="D89" t="s">
        <v>262</v>
      </c>
      <c r="E89">
        <v>77329</v>
      </c>
      <c r="F89">
        <v>12372</v>
      </c>
      <c r="G89">
        <v>0</v>
      </c>
      <c r="H89">
        <v>0</v>
      </c>
      <c r="I89">
        <v>539</v>
      </c>
      <c r="J89">
        <v>89701</v>
      </c>
      <c r="K89" t="s">
        <v>6324</v>
      </c>
      <c r="L89" s="1">
        <v>40729</v>
      </c>
      <c r="N89" t="s">
        <v>5127</v>
      </c>
      <c r="O89" t="s">
        <v>2458</v>
      </c>
      <c r="P89" t="s">
        <v>6325</v>
      </c>
      <c r="Q89" t="s">
        <v>39</v>
      </c>
      <c r="R89" t="s">
        <v>40</v>
      </c>
      <c r="S89">
        <v>0</v>
      </c>
      <c r="U89" t="s">
        <v>5550</v>
      </c>
      <c r="V89" t="s">
        <v>5127</v>
      </c>
      <c r="X89" t="s">
        <v>74</v>
      </c>
      <c r="Y89" t="b">
        <v>0</v>
      </c>
      <c r="Z89" t="b">
        <v>0</v>
      </c>
      <c r="AC89" s="1"/>
      <c r="AF89">
        <v>0</v>
      </c>
      <c r="AG89">
        <v>45</v>
      </c>
      <c r="AH89">
        <v>584</v>
      </c>
      <c r="AI89" s="2">
        <f>Table__192.168.3.138AgingReportBEWLGS[[#This Row],[NetAmount]]-Table__192.168.3.138AgingReportBEWLGS[[#This Row],[Paid]]</f>
        <v>89701</v>
      </c>
    </row>
    <row r="90" spans="1:35">
      <c r="A90" t="s">
        <v>6326</v>
      </c>
      <c r="B90" s="1">
        <v>40754</v>
      </c>
      <c r="C90" s="1">
        <v>40784</v>
      </c>
      <c r="D90" t="s">
        <v>6318</v>
      </c>
      <c r="E90">
        <v>258430</v>
      </c>
      <c r="F90">
        <v>50394</v>
      </c>
      <c r="G90">
        <v>0</v>
      </c>
      <c r="H90">
        <v>0</v>
      </c>
      <c r="I90">
        <v>514</v>
      </c>
      <c r="J90">
        <v>308824</v>
      </c>
      <c r="K90" t="s">
        <v>2992</v>
      </c>
      <c r="L90" s="1">
        <v>40754</v>
      </c>
      <c r="N90" t="s">
        <v>5127</v>
      </c>
      <c r="O90" t="s">
        <v>2458</v>
      </c>
      <c r="P90" t="s">
        <v>6320</v>
      </c>
      <c r="Q90" t="s">
        <v>39</v>
      </c>
      <c r="R90" t="s">
        <v>40</v>
      </c>
      <c r="S90">
        <v>0</v>
      </c>
      <c r="U90" t="s">
        <v>5550</v>
      </c>
      <c r="V90" t="s">
        <v>5127</v>
      </c>
      <c r="X90" t="s">
        <v>74</v>
      </c>
      <c r="Y90" t="b">
        <v>0</v>
      </c>
      <c r="Z90" t="b">
        <v>0</v>
      </c>
      <c r="AB90" t="s">
        <v>6321</v>
      </c>
      <c r="AC90" s="1">
        <v>40848</v>
      </c>
      <c r="AE90" t="s">
        <v>6322</v>
      </c>
      <c r="AF90">
        <v>0</v>
      </c>
      <c r="AG90">
        <v>45</v>
      </c>
      <c r="AH90">
        <v>559</v>
      </c>
      <c r="AI90" s="2">
        <f>Table__192.168.3.138AgingReportBEWLGS[[#This Row],[NetAmount]]-Table__192.168.3.138AgingReportBEWLGS[[#This Row],[Paid]]</f>
        <v>308824</v>
      </c>
    </row>
    <row r="91" spans="1:35">
      <c r="A91" t="s">
        <v>6327</v>
      </c>
      <c r="B91" s="1">
        <v>40772</v>
      </c>
      <c r="C91" s="1">
        <v>40802</v>
      </c>
      <c r="D91" t="s">
        <v>6328</v>
      </c>
      <c r="E91">
        <v>520890</v>
      </c>
      <c r="F91">
        <v>101574</v>
      </c>
      <c r="G91">
        <v>0</v>
      </c>
      <c r="H91">
        <v>0</v>
      </c>
      <c r="I91">
        <v>496</v>
      </c>
      <c r="J91">
        <v>624610</v>
      </c>
      <c r="K91" t="s">
        <v>6329</v>
      </c>
      <c r="L91" s="1">
        <v>40772</v>
      </c>
      <c r="N91" t="s">
        <v>5127</v>
      </c>
      <c r="O91" t="s">
        <v>2458</v>
      </c>
      <c r="P91" t="s">
        <v>6330</v>
      </c>
      <c r="Q91" t="s">
        <v>39</v>
      </c>
      <c r="R91" t="s">
        <v>40</v>
      </c>
      <c r="S91">
        <v>0</v>
      </c>
      <c r="U91" t="s">
        <v>5550</v>
      </c>
      <c r="V91" t="s">
        <v>5127</v>
      </c>
      <c r="X91" t="s">
        <v>74</v>
      </c>
      <c r="Y91" t="b">
        <v>0</v>
      </c>
      <c r="Z91" t="b">
        <v>0</v>
      </c>
      <c r="AB91" t="s">
        <v>6331</v>
      </c>
      <c r="AC91" s="1">
        <v>40787</v>
      </c>
      <c r="AE91" t="s">
        <v>6332</v>
      </c>
      <c r="AF91">
        <v>0</v>
      </c>
      <c r="AG91">
        <v>45</v>
      </c>
      <c r="AH91">
        <v>541</v>
      </c>
      <c r="AI91" s="2">
        <f>Table__192.168.3.138AgingReportBEWLGS[[#This Row],[NetAmount]]-Table__192.168.3.138AgingReportBEWLGS[[#This Row],[Paid]]</f>
        <v>624610</v>
      </c>
    </row>
    <row r="92" spans="1:35">
      <c r="A92" t="s">
        <v>6333</v>
      </c>
      <c r="B92" s="1">
        <v>40785</v>
      </c>
      <c r="C92" s="1">
        <v>40815</v>
      </c>
      <c r="D92" t="s">
        <v>6278</v>
      </c>
      <c r="E92">
        <v>16199</v>
      </c>
      <c r="F92">
        <v>631</v>
      </c>
      <c r="G92">
        <v>0</v>
      </c>
      <c r="H92">
        <v>0</v>
      </c>
      <c r="I92">
        <v>507</v>
      </c>
      <c r="J92">
        <v>16830</v>
      </c>
      <c r="K92" t="s">
        <v>6282</v>
      </c>
      <c r="L92" s="1">
        <v>40761</v>
      </c>
      <c r="N92" t="s">
        <v>5127</v>
      </c>
      <c r="O92" t="s">
        <v>2458</v>
      </c>
      <c r="P92" t="s">
        <v>6280</v>
      </c>
      <c r="Q92" t="s">
        <v>39</v>
      </c>
      <c r="R92" t="s">
        <v>40</v>
      </c>
      <c r="S92">
        <v>0</v>
      </c>
      <c r="U92" t="s">
        <v>5550</v>
      </c>
      <c r="V92" t="s">
        <v>5127</v>
      </c>
      <c r="X92" t="s">
        <v>74</v>
      </c>
      <c r="Y92" t="b">
        <v>0</v>
      </c>
      <c r="Z92" t="b">
        <v>0</v>
      </c>
      <c r="AC92" s="1"/>
      <c r="AF92">
        <v>0</v>
      </c>
      <c r="AG92">
        <v>45</v>
      </c>
      <c r="AH92">
        <v>552</v>
      </c>
      <c r="AI92" s="2">
        <f>Table__192.168.3.138AgingReportBEWLGS[[#This Row],[NetAmount]]-Table__192.168.3.138AgingReportBEWLGS[[#This Row],[Paid]]</f>
        <v>16830</v>
      </c>
    </row>
    <row r="93" spans="1:35">
      <c r="A93" t="s">
        <v>6334</v>
      </c>
      <c r="B93" s="1">
        <v>40803</v>
      </c>
      <c r="C93" s="1">
        <v>40833</v>
      </c>
      <c r="D93" t="s">
        <v>6335</v>
      </c>
      <c r="E93">
        <v>617877</v>
      </c>
      <c r="F93">
        <v>98862</v>
      </c>
      <c r="G93">
        <v>0</v>
      </c>
      <c r="H93">
        <v>716737</v>
      </c>
      <c r="I93">
        <v>465</v>
      </c>
      <c r="J93">
        <v>716739</v>
      </c>
      <c r="K93" t="s">
        <v>6336</v>
      </c>
      <c r="L93" s="1">
        <v>40803</v>
      </c>
      <c r="N93" t="s">
        <v>5127</v>
      </c>
      <c r="O93" t="s">
        <v>2458</v>
      </c>
      <c r="P93" t="s">
        <v>6337</v>
      </c>
      <c r="Q93" t="s">
        <v>39</v>
      </c>
      <c r="R93" t="s">
        <v>40</v>
      </c>
      <c r="S93">
        <v>0</v>
      </c>
      <c r="T93" t="s">
        <v>6338</v>
      </c>
      <c r="U93" t="s">
        <v>5550</v>
      </c>
      <c r="V93" t="s">
        <v>5127</v>
      </c>
      <c r="X93" t="s">
        <v>74</v>
      </c>
      <c r="Y93" t="b">
        <v>0</v>
      </c>
      <c r="Z93" t="b">
        <v>0</v>
      </c>
      <c r="AC93" s="1"/>
      <c r="AF93">
        <v>0</v>
      </c>
      <c r="AG93">
        <v>45</v>
      </c>
      <c r="AH93">
        <v>510</v>
      </c>
      <c r="AI93" s="2">
        <f>Table__192.168.3.138AgingReportBEWLGS[[#This Row],[NetAmount]]-Table__192.168.3.138AgingReportBEWLGS[[#This Row],[Paid]]</f>
        <v>716739</v>
      </c>
    </row>
    <row r="94" spans="1:35">
      <c r="A94" t="s">
        <v>6339</v>
      </c>
      <c r="B94" s="1">
        <v>40828</v>
      </c>
      <c r="C94" s="1">
        <v>40858</v>
      </c>
      <c r="D94" t="s">
        <v>6335</v>
      </c>
      <c r="E94">
        <v>617877</v>
      </c>
      <c r="F94">
        <v>98862</v>
      </c>
      <c r="G94">
        <v>0</v>
      </c>
      <c r="H94">
        <v>716737</v>
      </c>
      <c r="I94">
        <v>440</v>
      </c>
      <c r="J94">
        <v>716739</v>
      </c>
      <c r="L94" s="1">
        <v>40828</v>
      </c>
      <c r="N94" t="s">
        <v>5127</v>
      </c>
      <c r="O94" t="s">
        <v>2458</v>
      </c>
      <c r="P94" t="s">
        <v>6337</v>
      </c>
      <c r="Q94" t="s">
        <v>39</v>
      </c>
      <c r="R94" t="s">
        <v>40</v>
      </c>
      <c r="S94">
        <v>0</v>
      </c>
      <c r="T94" t="s">
        <v>6340</v>
      </c>
      <c r="U94" t="s">
        <v>5550</v>
      </c>
      <c r="V94" t="s">
        <v>5127</v>
      </c>
      <c r="X94" t="s">
        <v>74</v>
      </c>
      <c r="Y94" t="b">
        <v>0</v>
      </c>
      <c r="Z94" t="b">
        <v>0</v>
      </c>
      <c r="AC94" s="1"/>
      <c r="AF94">
        <v>0</v>
      </c>
      <c r="AG94">
        <v>45</v>
      </c>
      <c r="AH94">
        <v>485</v>
      </c>
      <c r="AI94" s="2">
        <f>Table__192.168.3.138AgingReportBEWLGS[[#This Row],[NetAmount]]-Table__192.168.3.138AgingReportBEWLGS[[#This Row],[Paid]]</f>
        <v>716739</v>
      </c>
    </row>
    <row r="95" spans="1:35">
      <c r="A95" t="s">
        <v>6341</v>
      </c>
      <c r="B95" s="1">
        <v>40849</v>
      </c>
      <c r="C95" s="1">
        <v>40879</v>
      </c>
      <c r="D95" t="s">
        <v>6335</v>
      </c>
      <c r="E95">
        <v>205959</v>
      </c>
      <c r="F95">
        <v>32954</v>
      </c>
      <c r="G95">
        <v>0</v>
      </c>
      <c r="H95">
        <v>238910.9</v>
      </c>
      <c r="I95">
        <v>419</v>
      </c>
      <c r="J95">
        <v>238912.9</v>
      </c>
      <c r="L95" s="1">
        <v>40849</v>
      </c>
      <c r="N95" t="s">
        <v>5127</v>
      </c>
      <c r="O95" t="s">
        <v>2458</v>
      </c>
      <c r="P95" t="s">
        <v>6337</v>
      </c>
      <c r="Q95" t="s">
        <v>39</v>
      </c>
      <c r="R95" t="s">
        <v>40</v>
      </c>
      <c r="S95">
        <v>0</v>
      </c>
      <c r="T95" t="s">
        <v>6342</v>
      </c>
      <c r="U95" t="s">
        <v>5550</v>
      </c>
      <c r="V95" t="s">
        <v>5127</v>
      </c>
      <c r="X95" t="s">
        <v>74</v>
      </c>
      <c r="Y95" t="b">
        <v>0</v>
      </c>
      <c r="Z95" t="b">
        <v>0</v>
      </c>
      <c r="AC95" s="1"/>
      <c r="AF95">
        <v>0</v>
      </c>
      <c r="AG95">
        <v>45</v>
      </c>
      <c r="AH95">
        <v>464</v>
      </c>
      <c r="AI95" s="2">
        <f>Table__192.168.3.138AgingReportBEWLGS[[#This Row],[NetAmount]]-Table__192.168.3.138AgingReportBEWLGS[[#This Row],[Paid]]</f>
        <v>238912.9</v>
      </c>
    </row>
    <row r="96" spans="1:35">
      <c r="A96" t="s">
        <v>6343</v>
      </c>
      <c r="B96" s="1">
        <v>40751</v>
      </c>
      <c r="C96" s="1">
        <v>40751</v>
      </c>
      <c r="D96" t="s">
        <v>6344</v>
      </c>
      <c r="E96">
        <v>15300</v>
      </c>
      <c r="F96">
        <v>2448</v>
      </c>
      <c r="G96">
        <v>0</v>
      </c>
      <c r="H96">
        <v>0</v>
      </c>
      <c r="I96">
        <v>517</v>
      </c>
      <c r="J96">
        <v>17748</v>
      </c>
      <c r="K96" t="s">
        <v>5296</v>
      </c>
      <c r="L96" s="1">
        <v>40751</v>
      </c>
      <c r="N96" t="s">
        <v>5127</v>
      </c>
      <c r="O96" t="s">
        <v>2458</v>
      </c>
      <c r="P96" t="s">
        <v>6345</v>
      </c>
      <c r="Q96" t="s">
        <v>39</v>
      </c>
      <c r="R96" t="s">
        <v>40</v>
      </c>
      <c r="S96">
        <v>0</v>
      </c>
      <c r="U96" t="s">
        <v>5550</v>
      </c>
      <c r="V96" t="s">
        <v>5127</v>
      </c>
      <c r="X96" t="s">
        <v>74</v>
      </c>
      <c r="Y96" t="b">
        <v>0</v>
      </c>
      <c r="Z96" t="b">
        <v>0</v>
      </c>
      <c r="AC96" s="1"/>
      <c r="AF96">
        <v>0</v>
      </c>
      <c r="AG96">
        <v>45</v>
      </c>
      <c r="AH96">
        <v>562</v>
      </c>
      <c r="AI96" s="2">
        <f>Table__192.168.3.138AgingReportBEWLGS[[#This Row],[NetAmount]]-Table__192.168.3.138AgingReportBEWLGS[[#This Row],[Paid]]</f>
        <v>17748</v>
      </c>
    </row>
    <row r="97" spans="1:35">
      <c r="A97" t="s">
        <v>6346</v>
      </c>
      <c r="B97" s="1">
        <v>40771</v>
      </c>
      <c r="C97" s="1">
        <v>40801</v>
      </c>
      <c r="D97" t="s">
        <v>6347</v>
      </c>
      <c r="E97">
        <v>63630</v>
      </c>
      <c r="F97">
        <v>10181</v>
      </c>
      <c r="G97">
        <v>0</v>
      </c>
      <c r="H97">
        <v>64728</v>
      </c>
      <c r="I97">
        <v>497</v>
      </c>
      <c r="J97">
        <v>73811</v>
      </c>
      <c r="K97" t="s">
        <v>6348</v>
      </c>
      <c r="L97" s="1">
        <v>40771</v>
      </c>
      <c r="N97" t="s">
        <v>5127</v>
      </c>
      <c r="O97" t="s">
        <v>2458</v>
      </c>
      <c r="P97" t="s">
        <v>6349</v>
      </c>
      <c r="Q97" t="s">
        <v>39</v>
      </c>
      <c r="R97" t="s">
        <v>40</v>
      </c>
      <c r="S97">
        <v>0</v>
      </c>
      <c r="T97" t="s">
        <v>6350</v>
      </c>
      <c r="U97" t="s">
        <v>5550</v>
      </c>
      <c r="V97" t="s">
        <v>5127</v>
      </c>
      <c r="X97" t="s">
        <v>74</v>
      </c>
      <c r="Y97" t="b">
        <v>0</v>
      </c>
      <c r="Z97" t="b">
        <v>0</v>
      </c>
      <c r="AC97" s="1"/>
      <c r="AF97">
        <v>0</v>
      </c>
      <c r="AG97">
        <v>45</v>
      </c>
      <c r="AH97">
        <v>542</v>
      </c>
      <c r="AI97" s="2">
        <f>Table__192.168.3.138AgingReportBEWLGS[[#This Row],[NetAmount]]-Table__192.168.3.138AgingReportBEWLGS[[#This Row],[Paid]]</f>
        <v>73811</v>
      </c>
    </row>
    <row r="98" spans="1:35">
      <c r="A98" t="s">
        <v>6351</v>
      </c>
      <c r="B98" s="1">
        <v>40866</v>
      </c>
      <c r="C98" s="1">
        <v>40896</v>
      </c>
      <c r="D98" t="s">
        <v>6335</v>
      </c>
      <c r="E98">
        <v>617877</v>
      </c>
      <c r="F98">
        <v>98862</v>
      </c>
      <c r="G98">
        <v>0</v>
      </c>
      <c r="H98">
        <v>716737</v>
      </c>
      <c r="I98">
        <v>402</v>
      </c>
      <c r="J98">
        <v>716739</v>
      </c>
      <c r="L98" s="1">
        <v>40866</v>
      </c>
      <c r="N98" t="s">
        <v>5127</v>
      </c>
      <c r="O98" t="s">
        <v>2458</v>
      </c>
      <c r="P98" t="s">
        <v>6337</v>
      </c>
      <c r="Q98" t="s">
        <v>39</v>
      </c>
      <c r="R98" t="s">
        <v>40</v>
      </c>
      <c r="S98">
        <v>0</v>
      </c>
      <c r="T98" t="s">
        <v>6352</v>
      </c>
      <c r="U98" t="s">
        <v>5550</v>
      </c>
      <c r="V98" t="s">
        <v>5127</v>
      </c>
      <c r="X98" t="s">
        <v>74</v>
      </c>
      <c r="Y98" t="b">
        <v>0</v>
      </c>
      <c r="Z98" t="b">
        <v>0</v>
      </c>
      <c r="AC98" s="1"/>
      <c r="AF98">
        <v>0</v>
      </c>
      <c r="AG98">
        <v>45</v>
      </c>
      <c r="AH98">
        <v>447</v>
      </c>
      <c r="AI98" s="2">
        <f>Table__192.168.3.138AgingReportBEWLGS[[#This Row],[NetAmount]]-Table__192.168.3.138AgingReportBEWLGS[[#This Row],[Paid]]</f>
        <v>716739</v>
      </c>
    </row>
    <row r="99" spans="1:35">
      <c r="A99" t="s">
        <v>6353</v>
      </c>
      <c r="B99" s="1">
        <v>40868</v>
      </c>
      <c r="C99" s="1">
        <v>40868</v>
      </c>
      <c r="D99" t="s">
        <v>262</v>
      </c>
      <c r="E99">
        <v>79656</v>
      </c>
      <c r="F99">
        <v>12745</v>
      </c>
      <c r="G99">
        <v>0</v>
      </c>
      <c r="H99">
        <v>92401.5</v>
      </c>
      <c r="I99">
        <v>400</v>
      </c>
      <c r="J99">
        <v>92400.5</v>
      </c>
      <c r="K99" t="s">
        <v>6354</v>
      </c>
      <c r="L99" s="1">
        <v>40868</v>
      </c>
      <c r="N99" t="s">
        <v>5127</v>
      </c>
      <c r="O99" t="s">
        <v>2458</v>
      </c>
      <c r="P99" t="s">
        <v>6325</v>
      </c>
      <c r="Q99" t="s">
        <v>39</v>
      </c>
      <c r="R99" t="s">
        <v>40</v>
      </c>
      <c r="S99">
        <v>0</v>
      </c>
      <c r="T99" t="s">
        <v>6355</v>
      </c>
      <c r="U99" t="s">
        <v>5550</v>
      </c>
      <c r="V99" t="s">
        <v>5127</v>
      </c>
      <c r="X99" t="s">
        <v>74</v>
      </c>
      <c r="Y99" t="b">
        <v>0</v>
      </c>
      <c r="Z99" t="b">
        <v>0</v>
      </c>
      <c r="AC99" s="1"/>
      <c r="AF99">
        <v>0</v>
      </c>
      <c r="AG99">
        <v>45</v>
      </c>
      <c r="AH99">
        <v>445</v>
      </c>
      <c r="AI99" s="2">
        <f>Table__192.168.3.138AgingReportBEWLGS[[#This Row],[NetAmount]]-Table__192.168.3.138AgingReportBEWLGS[[#This Row],[Paid]]</f>
        <v>92400.5</v>
      </c>
    </row>
    <row r="100" spans="1:35">
      <c r="A100" t="s">
        <v>6356</v>
      </c>
      <c r="B100" s="1">
        <v>40868</v>
      </c>
      <c r="C100" s="1">
        <v>40868</v>
      </c>
      <c r="D100" t="s">
        <v>262</v>
      </c>
      <c r="E100">
        <v>1034</v>
      </c>
      <c r="F100">
        <v>166</v>
      </c>
      <c r="G100">
        <v>0</v>
      </c>
      <c r="H100">
        <v>600.5</v>
      </c>
      <c r="I100">
        <v>400</v>
      </c>
      <c r="J100">
        <v>1199.5</v>
      </c>
      <c r="K100" t="s">
        <v>6354</v>
      </c>
      <c r="L100" s="1">
        <v>40868</v>
      </c>
      <c r="N100" t="s">
        <v>5127</v>
      </c>
      <c r="O100" t="s">
        <v>2458</v>
      </c>
      <c r="P100" t="s">
        <v>6325</v>
      </c>
      <c r="Q100" t="s">
        <v>39</v>
      </c>
      <c r="R100" t="s">
        <v>40</v>
      </c>
      <c r="S100">
        <v>0</v>
      </c>
      <c r="T100" t="s">
        <v>6355</v>
      </c>
      <c r="U100" t="s">
        <v>5550</v>
      </c>
      <c r="V100" t="s">
        <v>5127</v>
      </c>
      <c r="X100" t="s">
        <v>74</v>
      </c>
      <c r="Y100" t="b">
        <v>0</v>
      </c>
      <c r="Z100" t="b">
        <v>0</v>
      </c>
      <c r="AC100" s="1"/>
      <c r="AF100">
        <v>0</v>
      </c>
      <c r="AG100">
        <v>45</v>
      </c>
      <c r="AH100">
        <v>445</v>
      </c>
      <c r="AI100" s="2">
        <f>Table__192.168.3.138AgingReportBEWLGS[[#This Row],[NetAmount]]-Table__192.168.3.138AgingReportBEWLGS[[#This Row],[Paid]]</f>
        <v>1199.5</v>
      </c>
    </row>
    <row r="101" spans="1:35">
      <c r="A101" t="s">
        <v>6357</v>
      </c>
      <c r="B101" s="1">
        <v>40870</v>
      </c>
      <c r="C101" s="1">
        <v>40870</v>
      </c>
      <c r="D101" t="s">
        <v>262</v>
      </c>
      <c r="E101">
        <v>79139</v>
      </c>
      <c r="F101">
        <v>12662</v>
      </c>
      <c r="G101">
        <v>0</v>
      </c>
      <c r="H101">
        <v>0</v>
      </c>
      <c r="I101">
        <v>398</v>
      </c>
      <c r="J101">
        <v>91801</v>
      </c>
      <c r="K101" t="s">
        <v>6358</v>
      </c>
      <c r="L101" s="1">
        <v>40870</v>
      </c>
      <c r="N101" t="s">
        <v>5127</v>
      </c>
      <c r="O101" t="s">
        <v>2458</v>
      </c>
      <c r="P101" t="s">
        <v>6325</v>
      </c>
      <c r="Q101" t="s">
        <v>39</v>
      </c>
      <c r="R101" t="s">
        <v>40</v>
      </c>
      <c r="S101">
        <v>0</v>
      </c>
      <c r="T101" t="s">
        <v>6359</v>
      </c>
      <c r="U101" t="s">
        <v>5550</v>
      </c>
      <c r="V101" t="s">
        <v>5127</v>
      </c>
      <c r="X101" t="s">
        <v>74</v>
      </c>
      <c r="Y101" t="b">
        <v>0</v>
      </c>
      <c r="Z101" t="b">
        <v>0</v>
      </c>
      <c r="AC101" s="1"/>
      <c r="AF101">
        <v>0</v>
      </c>
      <c r="AG101">
        <v>45</v>
      </c>
      <c r="AH101">
        <v>443</v>
      </c>
      <c r="AI101" s="2">
        <f>Table__192.168.3.138AgingReportBEWLGS[[#This Row],[NetAmount]]-Table__192.168.3.138AgingReportBEWLGS[[#This Row],[Paid]]</f>
        <v>91801</v>
      </c>
    </row>
    <row r="102" spans="1:35">
      <c r="A102" t="s">
        <v>6360</v>
      </c>
      <c r="B102" s="1">
        <v>40870</v>
      </c>
      <c r="C102" s="1">
        <v>40870</v>
      </c>
      <c r="D102" t="s">
        <v>262</v>
      </c>
      <c r="E102">
        <v>4138</v>
      </c>
      <c r="F102">
        <v>662</v>
      </c>
      <c r="G102">
        <v>0</v>
      </c>
      <c r="H102">
        <v>0</v>
      </c>
      <c r="I102">
        <v>398</v>
      </c>
      <c r="J102">
        <v>4800</v>
      </c>
      <c r="K102" t="s">
        <v>6358</v>
      </c>
      <c r="L102" s="1">
        <v>40870</v>
      </c>
      <c r="N102" t="s">
        <v>5127</v>
      </c>
      <c r="O102" t="s">
        <v>2458</v>
      </c>
      <c r="P102" t="s">
        <v>6325</v>
      </c>
      <c r="Q102" t="s">
        <v>39</v>
      </c>
      <c r="R102" t="s">
        <v>40</v>
      </c>
      <c r="S102">
        <v>0</v>
      </c>
      <c r="T102" t="s">
        <v>6359</v>
      </c>
      <c r="U102" t="s">
        <v>5550</v>
      </c>
      <c r="V102" t="s">
        <v>5127</v>
      </c>
      <c r="X102" t="s">
        <v>74</v>
      </c>
      <c r="Y102" t="b">
        <v>0</v>
      </c>
      <c r="Z102" t="b">
        <v>0</v>
      </c>
      <c r="AC102" s="1"/>
      <c r="AF102">
        <v>0</v>
      </c>
      <c r="AG102">
        <v>45</v>
      </c>
      <c r="AH102">
        <v>443</v>
      </c>
      <c r="AI102" s="2">
        <f>Table__192.168.3.138AgingReportBEWLGS[[#This Row],[NetAmount]]-Table__192.168.3.138AgingReportBEWLGS[[#This Row],[Paid]]</f>
        <v>4800</v>
      </c>
    </row>
    <row r="103" spans="1:35">
      <c r="A103" t="s">
        <v>6361</v>
      </c>
      <c r="B103" s="1">
        <v>40890</v>
      </c>
      <c r="C103" s="1">
        <v>40920</v>
      </c>
      <c r="D103" t="s">
        <v>6347</v>
      </c>
      <c r="E103">
        <v>87400</v>
      </c>
      <c r="F103">
        <v>13984</v>
      </c>
      <c r="G103">
        <v>0</v>
      </c>
      <c r="H103">
        <v>0</v>
      </c>
      <c r="I103">
        <v>378</v>
      </c>
      <c r="J103">
        <v>101384</v>
      </c>
      <c r="K103" t="s">
        <v>6362</v>
      </c>
      <c r="L103" s="1">
        <v>40890</v>
      </c>
      <c r="N103" t="s">
        <v>5127</v>
      </c>
      <c r="O103" t="s">
        <v>2458</v>
      </c>
      <c r="P103" t="s">
        <v>6349</v>
      </c>
      <c r="Q103" t="s">
        <v>39</v>
      </c>
      <c r="R103" t="s">
        <v>40</v>
      </c>
      <c r="S103">
        <v>0</v>
      </c>
      <c r="U103" t="s">
        <v>5550</v>
      </c>
      <c r="V103" t="s">
        <v>5127</v>
      </c>
      <c r="X103" t="s">
        <v>74</v>
      </c>
      <c r="Y103" t="b">
        <v>0</v>
      </c>
      <c r="Z103" t="b">
        <v>0</v>
      </c>
      <c r="AC103" s="1"/>
      <c r="AF103">
        <v>0</v>
      </c>
      <c r="AG103">
        <v>45</v>
      </c>
      <c r="AH103">
        <v>423</v>
      </c>
      <c r="AI103" s="2">
        <f>Table__192.168.3.138AgingReportBEWLGS[[#This Row],[NetAmount]]-Table__192.168.3.138AgingReportBEWLGS[[#This Row],[Paid]]</f>
        <v>101384</v>
      </c>
    </row>
    <row r="104" spans="1:35">
      <c r="A104" t="s">
        <v>6363</v>
      </c>
      <c r="B104" s="1">
        <v>40889</v>
      </c>
      <c r="C104" s="1">
        <v>40919</v>
      </c>
      <c r="D104" t="s">
        <v>6335</v>
      </c>
      <c r="E104">
        <v>617877</v>
      </c>
      <c r="F104">
        <v>98862</v>
      </c>
      <c r="G104">
        <v>0</v>
      </c>
      <c r="H104">
        <v>716737</v>
      </c>
      <c r="I104">
        <v>379</v>
      </c>
      <c r="J104">
        <v>716739</v>
      </c>
      <c r="L104" s="1">
        <v>40889</v>
      </c>
      <c r="N104" t="s">
        <v>5127</v>
      </c>
      <c r="O104" t="s">
        <v>2458</v>
      </c>
      <c r="P104" t="s">
        <v>6337</v>
      </c>
      <c r="Q104" t="s">
        <v>39</v>
      </c>
      <c r="R104" t="s">
        <v>40</v>
      </c>
      <c r="S104">
        <v>0</v>
      </c>
      <c r="T104" t="s">
        <v>6364</v>
      </c>
      <c r="U104" t="s">
        <v>5550</v>
      </c>
      <c r="V104" t="s">
        <v>5127</v>
      </c>
      <c r="X104" t="s">
        <v>74</v>
      </c>
      <c r="Y104" t="b">
        <v>0</v>
      </c>
      <c r="Z104" t="b">
        <v>0</v>
      </c>
      <c r="AC104" s="1"/>
      <c r="AF104">
        <v>0</v>
      </c>
      <c r="AG104">
        <v>45</v>
      </c>
      <c r="AH104">
        <v>424</v>
      </c>
      <c r="AI104" s="2">
        <f>Table__192.168.3.138AgingReportBEWLGS[[#This Row],[NetAmount]]-Table__192.168.3.138AgingReportBEWLGS[[#This Row],[Paid]]</f>
        <v>716739</v>
      </c>
    </row>
    <row r="105" spans="1:35">
      <c r="A105" t="s">
        <v>6365</v>
      </c>
      <c r="B105" s="1">
        <v>40906</v>
      </c>
      <c r="C105" s="1">
        <v>40936</v>
      </c>
      <c r="D105" t="s">
        <v>6335</v>
      </c>
      <c r="E105">
        <v>617877</v>
      </c>
      <c r="F105">
        <v>98862</v>
      </c>
      <c r="G105">
        <v>0</v>
      </c>
      <c r="H105">
        <v>716737</v>
      </c>
      <c r="I105">
        <v>362</v>
      </c>
      <c r="J105">
        <v>716739</v>
      </c>
      <c r="K105" t="s">
        <v>6366</v>
      </c>
      <c r="L105" s="1">
        <v>40906</v>
      </c>
      <c r="N105" t="s">
        <v>5127</v>
      </c>
      <c r="O105" t="s">
        <v>2458</v>
      </c>
      <c r="P105" t="s">
        <v>6337</v>
      </c>
      <c r="Q105" t="s">
        <v>39</v>
      </c>
      <c r="R105" t="s">
        <v>40</v>
      </c>
      <c r="S105">
        <v>0</v>
      </c>
      <c r="T105" t="s">
        <v>6367</v>
      </c>
      <c r="U105" t="s">
        <v>5550</v>
      </c>
      <c r="V105" t="s">
        <v>5127</v>
      </c>
      <c r="X105" t="s">
        <v>74</v>
      </c>
      <c r="Y105" t="b">
        <v>0</v>
      </c>
      <c r="Z105" t="b">
        <v>0</v>
      </c>
      <c r="AC105" s="1"/>
      <c r="AF105">
        <v>0</v>
      </c>
      <c r="AG105">
        <v>45</v>
      </c>
      <c r="AH105">
        <v>407</v>
      </c>
      <c r="AI105" s="2">
        <f>Table__192.168.3.138AgingReportBEWLGS[[#This Row],[NetAmount]]-Table__192.168.3.138AgingReportBEWLGS[[#This Row],[Paid]]</f>
        <v>716739</v>
      </c>
    </row>
    <row r="106" spans="1:35">
      <c r="A106" t="s">
        <v>6368</v>
      </c>
      <c r="B106" s="1">
        <v>40908</v>
      </c>
      <c r="C106" s="1">
        <v>40908</v>
      </c>
      <c r="D106" t="s">
        <v>6369</v>
      </c>
      <c r="E106">
        <v>854400</v>
      </c>
      <c r="F106">
        <v>136698</v>
      </c>
      <c r="G106">
        <v>0</v>
      </c>
      <c r="H106">
        <v>0</v>
      </c>
      <c r="I106">
        <v>360</v>
      </c>
      <c r="J106">
        <v>991098</v>
      </c>
      <c r="K106" t="s">
        <v>6370</v>
      </c>
      <c r="L106" s="1">
        <v>40908</v>
      </c>
      <c r="N106" t="s">
        <v>5127</v>
      </c>
      <c r="O106" t="s">
        <v>2458</v>
      </c>
      <c r="P106" t="s">
        <v>5508</v>
      </c>
      <c r="Q106" t="s">
        <v>39</v>
      </c>
      <c r="R106" t="s">
        <v>40</v>
      </c>
      <c r="S106">
        <v>0</v>
      </c>
      <c r="T106" t="s">
        <v>6371</v>
      </c>
      <c r="U106" t="s">
        <v>5550</v>
      </c>
      <c r="V106" t="s">
        <v>5127</v>
      </c>
      <c r="X106" t="s">
        <v>74</v>
      </c>
      <c r="Y106" t="b">
        <v>0</v>
      </c>
      <c r="Z106" t="b">
        <v>0</v>
      </c>
      <c r="AC106" s="1"/>
      <c r="AF106">
        <v>0</v>
      </c>
      <c r="AG106">
        <v>45</v>
      </c>
      <c r="AH106">
        <v>405</v>
      </c>
      <c r="AI106" s="2">
        <f>Table__192.168.3.138AgingReportBEWLGS[[#This Row],[NetAmount]]-Table__192.168.3.138AgingReportBEWLGS[[#This Row],[Paid]]</f>
        <v>991098</v>
      </c>
    </row>
    <row r="107" spans="1:35">
      <c r="A107" t="s">
        <v>6372</v>
      </c>
      <c r="B107" s="1">
        <v>40914</v>
      </c>
      <c r="C107" s="1">
        <v>40944</v>
      </c>
      <c r="D107" t="s">
        <v>6373</v>
      </c>
      <c r="E107">
        <v>197000</v>
      </c>
      <c r="F107">
        <v>0</v>
      </c>
      <c r="G107">
        <v>0</v>
      </c>
      <c r="H107">
        <v>0</v>
      </c>
      <c r="I107">
        <v>354</v>
      </c>
      <c r="J107">
        <v>197000</v>
      </c>
      <c r="K107" t="s">
        <v>6374</v>
      </c>
      <c r="L107" s="1">
        <v>40914</v>
      </c>
      <c r="N107" t="s">
        <v>5127</v>
      </c>
      <c r="O107" t="s">
        <v>2458</v>
      </c>
      <c r="P107" t="s">
        <v>6375</v>
      </c>
      <c r="Q107" t="s">
        <v>39</v>
      </c>
      <c r="R107" t="s">
        <v>40</v>
      </c>
      <c r="S107">
        <v>0</v>
      </c>
      <c r="U107" t="s">
        <v>5550</v>
      </c>
      <c r="V107" t="s">
        <v>5127</v>
      </c>
      <c r="X107" t="s">
        <v>74</v>
      </c>
      <c r="Y107" t="b">
        <v>0</v>
      </c>
      <c r="Z107" t="b">
        <v>0</v>
      </c>
      <c r="AC107" s="1"/>
      <c r="AF107">
        <v>0</v>
      </c>
      <c r="AG107">
        <v>45</v>
      </c>
      <c r="AH107">
        <v>399</v>
      </c>
      <c r="AI107" s="2">
        <f>Table__192.168.3.138AgingReportBEWLGS[[#This Row],[NetAmount]]-Table__192.168.3.138AgingReportBEWLGS[[#This Row],[Paid]]</f>
        <v>197000</v>
      </c>
    </row>
    <row r="108" spans="1:35">
      <c r="A108" t="s">
        <v>6376</v>
      </c>
      <c r="B108" s="1">
        <v>40924</v>
      </c>
      <c r="C108" s="1">
        <v>40924</v>
      </c>
      <c r="D108" t="s">
        <v>6369</v>
      </c>
      <c r="E108">
        <v>854400</v>
      </c>
      <c r="F108">
        <v>136707</v>
      </c>
      <c r="G108">
        <v>0</v>
      </c>
      <c r="H108">
        <v>991104</v>
      </c>
      <c r="I108">
        <v>344</v>
      </c>
      <c r="J108">
        <v>991107</v>
      </c>
      <c r="K108" t="s">
        <v>6377</v>
      </c>
      <c r="L108" s="1">
        <v>40924</v>
      </c>
      <c r="N108" t="s">
        <v>5127</v>
      </c>
      <c r="O108" t="s">
        <v>2458</v>
      </c>
      <c r="P108" t="s">
        <v>5508</v>
      </c>
      <c r="Q108" t="s">
        <v>39</v>
      </c>
      <c r="R108" t="s">
        <v>40</v>
      </c>
      <c r="S108">
        <v>0</v>
      </c>
      <c r="T108" t="s">
        <v>6378</v>
      </c>
      <c r="U108" t="s">
        <v>5550</v>
      </c>
      <c r="V108" t="s">
        <v>5127</v>
      </c>
      <c r="X108" t="s">
        <v>74</v>
      </c>
      <c r="Y108" t="b">
        <v>0</v>
      </c>
      <c r="Z108" t="b">
        <v>0</v>
      </c>
      <c r="AC108" s="1"/>
      <c r="AF108">
        <v>0</v>
      </c>
      <c r="AG108">
        <v>45</v>
      </c>
      <c r="AH108">
        <v>389</v>
      </c>
      <c r="AI108" s="2">
        <f>Table__192.168.3.138AgingReportBEWLGS[[#This Row],[NetAmount]]-Table__192.168.3.138AgingReportBEWLGS[[#This Row],[Paid]]</f>
        <v>991107</v>
      </c>
    </row>
    <row r="109" spans="1:35">
      <c r="A109" t="s">
        <v>6379</v>
      </c>
      <c r="B109" s="1">
        <v>40921</v>
      </c>
      <c r="C109" s="1">
        <v>40951</v>
      </c>
      <c r="D109" t="s">
        <v>6347</v>
      </c>
      <c r="E109">
        <v>184830</v>
      </c>
      <c r="F109">
        <v>29573</v>
      </c>
      <c r="G109">
        <v>0</v>
      </c>
      <c r="H109">
        <v>0</v>
      </c>
      <c r="I109">
        <v>347</v>
      </c>
      <c r="J109">
        <v>214403</v>
      </c>
      <c r="K109" t="s">
        <v>6380</v>
      </c>
      <c r="L109" s="1">
        <v>40921</v>
      </c>
      <c r="N109" t="s">
        <v>5127</v>
      </c>
      <c r="O109" t="s">
        <v>2458</v>
      </c>
      <c r="P109" t="s">
        <v>6349</v>
      </c>
      <c r="Q109" t="s">
        <v>39</v>
      </c>
      <c r="R109" t="s">
        <v>40</v>
      </c>
      <c r="S109">
        <v>0</v>
      </c>
      <c r="T109" t="s">
        <v>6381</v>
      </c>
      <c r="U109" t="s">
        <v>5550</v>
      </c>
      <c r="V109" t="s">
        <v>5127</v>
      </c>
      <c r="X109" t="s">
        <v>74</v>
      </c>
      <c r="Y109" t="b">
        <v>0</v>
      </c>
      <c r="Z109" t="b">
        <v>0</v>
      </c>
      <c r="AC109" s="1"/>
      <c r="AF109">
        <v>0</v>
      </c>
      <c r="AG109">
        <v>45</v>
      </c>
      <c r="AH109">
        <v>392</v>
      </c>
      <c r="AI109" s="2">
        <f>Table__192.168.3.138AgingReportBEWLGS[[#This Row],[NetAmount]]-Table__192.168.3.138AgingReportBEWLGS[[#This Row],[Paid]]</f>
        <v>214403</v>
      </c>
    </row>
    <row r="110" spans="1:35">
      <c r="A110" t="s">
        <v>6382</v>
      </c>
      <c r="B110" s="1">
        <v>40914</v>
      </c>
      <c r="C110" s="1">
        <v>40944</v>
      </c>
      <c r="D110" t="s">
        <v>6383</v>
      </c>
      <c r="E110">
        <v>279360</v>
      </c>
      <c r="F110">
        <v>54475</v>
      </c>
      <c r="G110">
        <v>0</v>
      </c>
      <c r="H110">
        <v>0</v>
      </c>
      <c r="I110">
        <v>354</v>
      </c>
      <c r="J110">
        <v>338335</v>
      </c>
      <c r="K110" t="s">
        <v>2214</v>
      </c>
      <c r="L110" s="1">
        <v>40914</v>
      </c>
      <c r="N110" t="s">
        <v>5127</v>
      </c>
      <c r="O110" t="s">
        <v>2458</v>
      </c>
      <c r="P110" t="s">
        <v>6384</v>
      </c>
      <c r="Q110" t="s">
        <v>39</v>
      </c>
      <c r="R110" t="s">
        <v>40</v>
      </c>
      <c r="S110">
        <v>0</v>
      </c>
      <c r="U110" t="s">
        <v>5550</v>
      </c>
      <c r="V110" t="s">
        <v>5127</v>
      </c>
      <c r="X110" t="s">
        <v>74</v>
      </c>
      <c r="Y110" t="b">
        <v>0</v>
      </c>
      <c r="Z110" t="b">
        <v>0</v>
      </c>
      <c r="AB110" t="s">
        <v>6385</v>
      </c>
      <c r="AC110" s="1">
        <v>41034</v>
      </c>
      <c r="AD110" t="s">
        <v>6386</v>
      </c>
      <c r="AE110" t="s">
        <v>6387</v>
      </c>
      <c r="AF110">
        <v>333835</v>
      </c>
      <c r="AG110">
        <v>45</v>
      </c>
      <c r="AH110">
        <v>399</v>
      </c>
      <c r="AI110" s="2">
        <f>Table__192.168.3.138AgingReportBEWLGS[[#This Row],[NetAmount]]-Table__192.168.3.138AgingReportBEWLGS[[#This Row],[Paid]]</f>
        <v>4500</v>
      </c>
    </row>
    <row r="111" spans="1:35">
      <c r="A111" t="s">
        <v>6388</v>
      </c>
      <c r="B111" s="1">
        <v>40926</v>
      </c>
      <c r="C111" s="1">
        <v>40926</v>
      </c>
      <c r="D111" t="s">
        <v>262</v>
      </c>
      <c r="E111">
        <v>2155</v>
      </c>
      <c r="F111">
        <v>345</v>
      </c>
      <c r="G111">
        <v>0</v>
      </c>
      <c r="H111">
        <v>0</v>
      </c>
      <c r="I111">
        <v>342</v>
      </c>
      <c r="J111">
        <v>2500</v>
      </c>
      <c r="K111" t="s">
        <v>6389</v>
      </c>
      <c r="L111" s="1">
        <v>40926</v>
      </c>
      <c r="N111" t="s">
        <v>5127</v>
      </c>
      <c r="O111" t="s">
        <v>2458</v>
      </c>
      <c r="P111" t="s">
        <v>6325</v>
      </c>
      <c r="Q111" t="s">
        <v>39</v>
      </c>
      <c r="R111" t="s">
        <v>40</v>
      </c>
      <c r="S111">
        <v>0</v>
      </c>
      <c r="U111" t="s">
        <v>5550</v>
      </c>
      <c r="V111" t="s">
        <v>5127</v>
      </c>
      <c r="X111" t="s">
        <v>74</v>
      </c>
      <c r="Y111" t="b">
        <v>0</v>
      </c>
      <c r="Z111" t="b">
        <v>0</v>
      </c>
      <c r="AC111" s="1"/>
      <c r="AF111">
        <v>0</v>
      </c>
      <c r="AG111">
        <v>45</v>
      </c>
      <c r="AH111">
        <v>387</v>
      </c>
      <c r="AI111" s="2">
        <f>Table__192.168.3.138AgingReportBEWLGS[[#This Row],[NetAmount]]-Table__192.168.3.138AgingReportBEWLGS[[#This Row],[Paid]]</f>
        <v>2500</v>
      </c>
    </row>
    <row r="112" spans="1:35">
      <c r="A112" t="s">
        <v>6390</v>
      </c>
      <c r="B112" s="1">
        <v>40932</v>
      </c>
      <c r="C112" s="1">
        <v>40962</v>
      </c>
      <c r="D112" t="s">
        <v>6335</v>
      </c>
      <c r="E112">
        <v>617877</v>
      </c>
      <c r="F112">
        <v>98862</v>
      </c>
      <c r="G112">
        <v>0</v>
      </c>
      <c r="H112">
        <v>716737</v>
      </c>
      <c r="I112">
        <v>336</v>
      </c>
      <c r="J112">
        <v>716739</v>
      </c>
      <c r="K112" t="s">
        <v>6391</v>
      </c>
      <c r="L112" s="1">
        <v>40932</v>
      </c>
      <c r="N112" t="s">
        <v>5127</v>
      </c>
      <c r="O112" t="s">
        <v>2458</v>
      </c>
      <c r="P112" t="s">
        <v>6337</v>
      </c>
      <c r="Q112" t="s">
        <v>39</v>
      </c>
      <c r="R112" t="s">
        <v>40</v>
      </c>
      <c r="S112">
        <v>0</v>
      </c>
      <c r="T112" t="s">
        <v>6392</v>
      </c>
      <c r="U112" t="s">
        <v>5550</v>
      </c>
      <c r="V112" t="s">
        <v>5127</v>
      </c>
      <c r="X112" t="s">
        <v>74</v>
      </c>
      <c r="Y112" t="b">
        <v>0</v>
      </c>
      <c r="Z112" t="b">
        <v>0</v>
      </c>
      <c r="AC112" s="1"/>
      <c r="AF112">
        <v>0</v>
      </c>
      <c r="AG112">
        <v>45</v>
      </c>
      <c r="AH112">
        <v>381</v>
      </c>
      <c r="AI112" s="2">
        <f>Table__192.168.3.138AgingReportBEWLGS[[#This Row],[NetAmount]]-Table__192.168.3.138AgingReportBEWLGS[[#This Row],[Paid]]</f>
        <v>716739</v>
      </c>
    </row>
    <row r="113" spans="1:35">
      <c r="A113" t="s">
        <v>6393</v>
      </c>
      <c r="B113" s="1">
        <v>40941</v>
      </c>
      <c r="C113" s="1">
        <v>40971</v>
      </c>
      <c r="D113" t="s">
        <v>6347</v>
      </c>
      <c r="E113">
        <v>6666</v>
      </c>
      <c r="F113">
        <v>1067</v>
      </c>
      <c r="G113">
        <v>0</v>
      </c>
      <c r="H113">
        <v>0</v>
      </c>
      <c r="I113">
        <v>327</v>
      </c>
      <c r="J113">
        <v>7733</v>
      </c>
      <c r="K113" t="s">
        <v>6394</v>
      </c>
      <c r="L113" s="1">
        <v>40941</v>
      </c>
      <c r="N113" t="s">
        <v>5127</v>
      </c>
      <c r="O113" t="s">
        <v>2458</v>
      </c>
      <c r="P113" t="s">
        <v>6349</v>
      </c>
      <c r="Q113" t="s">
        <v>39</v>
      </c>
      <c r="R113" t="s">
        <v>40</v>
      </c>
      <c r="S113">
        <v>0</v>
      </c>
      <c r="U113" t="s">
        <v>5550</v>
      </c>
      <c r="V113" t="s">
        <v>5127</v>
      </c>
      <c r="X113" t="s">
        <v>74</v>
      </c>
      <c r="Y113" t="b">
        <v>0</v>
      </c>
      <c r="Z113" t="b">
        <v>0</v>
      </c>
      <c r="AC113" s="1"/>
      <c r="AF113">
        <v>0</v>
      </c>
      <c r="AG113">
        <v>45</v>
      </c>
      <c r="AH113">
        <v>372</v>
      </c>
      <c r="AI113" s="2">
        <f>Table__192.168.3.138AgingReportBEWLGS[[#This Row],[NetAmount]]-Table__192.168.3.138AgingReportBEWLGS[[#This Row],[Paid]]</f>
        <v>7733</v>
      </c>
    </row>
    <row r="114" spans="1:35">
      <c r="A114" t="s">
        <v>6395</v>
      </c>
      <c r="B114" s="1">
        <v>40948</v>
      </c>
      <c r="C114" s="1">
        <v>40978</v>
      </c>
      <c r="D114" t="s">
        <v>6347</v>
      </c>
      <c r="E114">
        <v>138700</v>
      </c>
      <c r="F114">
        <v>22192</v>
      </c>
      <c r="G114">
        <v>0</v>
      </c>
      <c r="H114">
        <v>0</v>
      </c>
      <c r="I114">
        <v>300</v>
      </c>
      <c r="J114">
        <v>160892</v>
      </c>
      <c r="K114" t="s">
        <v>6396</v>
      </c>
      <c r="L114" s="1">
        <v>40968</v>
      </c>
      <c r="N114" t="s">
        <v>5127</v>
      </c>
      <c r="O114" t="s">
        <v>2458</v>
      </c>
      <c r="P114" t="s">
        <v>6349</v>
      </c>
      <c r="Q114" t="s">
        <v>39</v>
      </c>
      <c r="R114" t="s">
        <v>40</v>
      </c>
      <c r="S114">
        <v>0</v>
      </c>
      <c r="U114" t="s">
        <v>5550</v>
      </c>
      <c r="V114" t="s">
        <v>5127</v>
      </c>
      <c r="X114" t="s">
        <v>74</v>
      </c>
      <c r="Y114" t="b">
        <v>0</v>
      </c>
      <c r="Z114" t="b">
        <v>0</v>
      </c>
      <c r="AC114" s="1"/>
      <c r="AF114">
        <v>0</v>
      </c>
      <c r="AG114">
        <v>45</v>
      </c>
      <c r="AH114">
        <v>345</v>
      </c>
      <c r="AI114" s="2">
        <f>Table__192.168.3.138AgingReportBEWLGS[[#This Row],[NetAmount]]-Table__192.168.3.138AgingReportBEWLGS[[#This Row],[Paid]]</f>
        <v>160892</v>
      </c>
    </row>
    <row r="115" spans="1:35">
      <c r="A115" t="s">
        <v>6397</v>
      </c>
      <c r="B115" s="1">
        <v>40948</v>
      </c>
      <c r="C115" s="1">
        <v>40978</v>
      </c>
      <c r="D115" t="s">
        <v>6347</v>
      </c>
      <c r="E115">
        <v>2000</v>
      </c>
      <c r="F115">
        <v>320</v>
      </c>
      <c r="G115">
        <v>0</v>
      </c>
      <c r="H115">
        <v>0</v>
      </c>
      <c r="I115">
        <v>320</v>
      </c>
      <c r="J115">
        <v>2320</v>
      </c>
      <c r="K115" t="s">
        <v>6398</v>
      </c>
      <c r="L115" s="1">
        <v>40948</v>
      </c>
      <c r="N115" t="s">
        <v>5127</v>
      </c>
      <c r="O115" t="s">
        <v>2458</v>
      </c>
      <c r="P115" t="s">
        <v>6349</v>
      </c>
      <c r="Q115" t="s">
        <v>39</v>
      </c>
      <c r="R115" t="s">
        <v>40</v>
      </c>
      <c r="S115">
        <v>0</v>
      </c>
      <c r="U115" t="s">
        <v>5550</v>
      </c>
      <c r="V115" t="s">
        <v>5127</v>
      </c>
      <c r="X115" t="s">
        <v>74</v>
      </c>
      <c r="Y115" t="b">
        <v>0</v>
      </c>
      <c r="Z115" t="b">
        <v>0</v>
      </c>
      <c r="AC115" s="1"/>
      <c r="AF115">
        <v>0</v>
      </c>
      <c r="AG115">
        <v>45</v>
      </c>
      <c r="AH115">
        <v>365</v>
      </c>
      <c r="AI115" s="2">
        <f>Table__192.168.3.138AgingReportBEWLGS[[#This Row],[NetAmount]]-Table__192.168.3.138AgingReportBEWLGS[[#This Row],[Paid]]</f>
        <v>2320</v>
      </c>
    </row>
    <row r="116" spans="1:35">
      <c r="A116" t="s">
        <v>6399</v>
      </c>
      <c r="B116" s="1">
        <v>40976</v>
      </c>
      <c r="C116" s="1">
        <v>41006</v>
      </c>
      <c r="D116" t="s">
        <v>6400</v>
      </c>
      <c r="E116">
        <v>40500</v>
      </c>
      <c r="F116">
        <v>6480</v>
      </c>
      <c r="G116">
        <v>0</v>
      </c>
      <c r="H116">
        <v>0</v>
      </c>
      <c r="I116">
        <v>293</v>
      </c>
      <c r="J116">
        <v>47230</v>
      </c>
      <c r="K116" t="s">
        <v>6401</v>
      </c>
      <c r="L116" s="1">
        <v>40975</v>
      </c>
      <c r="M116" t="s">
        <v>6402</v>
      </c>
      <c r="N116" t="s">
        <v>5127</v>
      </c>
      <c r="O116" t="s">
        <v>2458</v>
      </c>
      <c r="P116" t="s">
        <v>6403</v>
      </c>
      <c r="Q116" t="s">
        <v>39</v>
      </c>
      <c r="R116" t="s">
        <v>40</v>
      </c>
      <c r="S116">
        <v>0</v>
      </c>
      <c r="U116" t="s">
        <v>5550</v>
      </c>
      <c r="V116" t="s">
        <v>1797</v>
      </c>
      <c r="W116" t="s">
        <v>6404</v>
      </c>
      <c r="X116" t="s">
        <v>74</v>
      </c>
      <c r="Y116" t="b">
        <v>0</v>
      </c>
      <c r="Z116" t="b">
        <v>0</v>
      </c>
      <c r="AA116" t="b">
        <v>0</v>
      </c>
      <c r="AC116" s="1"/>
      <c r="AF116">
        <v>0</v>
      </c>
      <c r="AG116">
        <v>45</v>
      </c>
      <c r="AH116">
        <v>338</v>
      </c>
      <c r="AI116" s="2">
        <f>Table__192.168.3.138AgingReportBEWLGS[[#This Row],[NetAmount]]-Table__192.168.3.138AgingReportBEWLGS[[#This Row],[Paid]]</f>
        <v>47230</v>
      </c>
    </row>
    <row r="117" spans="1:35">
      <c r="A117" t="s">
        <v>6405</v>
      </c>
      <c r="B117" s="1">
        <v>40975</v>
      </c>
      <c r="C117" s="1">
        <v>40975</v>
      </c>
      <c r="D117" t="s">
        <v>6406</v>
      </c>
      <c r="E117">
        <v>369009</v>
      </c>
      <c r="F117">
        <v>71941</v>
      </c>
      <c r="G117">
        <v>0</v>
      </c>
      <c r="H117">
        <v>0</v>
      </c>
      <c r="I117">
        <v>293</v>
      </c>
      <c r="J117">
        <v>440872</v>
      </c>
      <c r="L117" s="1">
        <v>40975</v>
      </c>
      <c r="N117" t="s">
        <v>5127</v>
      </c>
      <c r="O117" t="s">
        <v>2458</v>
      </c>
      <c r="P117" t="s">
        <v>6407</v>
      </c>
      <c r="Q117" t="s">
        <v>39</v>
      </c>
      <c r="R117" t="s">
        <v>40</v>
      </c>
      <c r="S117">
        <v>0</v>
      </c>
      <c r="U117" t="s">
        <v>5550</v>
      </c>
      <c r="V117" t="s">
        <v>1797</v>
      </c>
      <c r="X117" t="s">
        <v>74</v>
      </c>
      <c r="Y117" t="b">
        <v>0</v>
      </c>
      <c r="Z117" t="b">
        <v>0</v>
      </c>
      <c r="AB117" t="s">
        <v>6408</v>
      </c>
      <c r="AC117" s="1">
        <v>41031</v>
      </c>
      <c r="AD117" t="s">
        <v>6409</v>
      </c>
      <c r="AE117" t="s">
        <v>6410</v>
      </c>
      <c r="AF117">
        <v>440950</v>
      </c>
      <c r="AG117">
        <v>45</v>
      </c>
      <c r="AH117">
        <v>338</v>
      </c>
      <c r="AI117" s="2">
        <f>Table__192.168.3.138AgingReportBEWLGS[[#This Row],[NetAmount]]-Table__192.168.3.138AgingReportBEWLGS[[#This Row],[Paid]]</f>
        <v>-78</v>
      </c>
    </row>
    <row r="118" spans="1:35">
      <c r="A118" t="s">
        <v>6411</v>
      </c>
      <c r="B118" s="1">
        <v>40988</v>
      </c>
      <c r="C118" s="1">
        <v>40988</v>
      </c>
      <c r="D118" t="s">
        <v>6412</v>
      </c>
      <c r="E118">
        <v>2194720</v>
      </c>
      <c r="F118">
        <v>482838</v>
      </c>
      <c r="G118">
        <v>0</v>
      </c>
      <c r="H118">
        <v>0</v>
      </c>
      <c r="I118">
        <v>280</v>
      </c>
      <c r="J118">
        <v>2677558</v>
      </c>
      <c r="K118" t="s">
        <v>6413</v>
      </c>
      <c r="L118" s="1">
        <v>40988</v>
      </c>
      <c r="N118" t="s">
        <v>5127</v>
      </c>
      <c r="O118" t="s">
        <v>2458</v>
      </c>
      <c r="P118" t="s">
        <v>6414</v>
      </c>
      <c r="Q118" t="s">
        <v>39</v>
      </c>
      <c r="R118" t="s">
        <v>40</v>
      </c>
      <c r="S118">
        <v>0</v>
      </c>
      <c r="U118" t="s">
        <v>5550</v>
      </c>
      <c r="V118" t="s">
        <v>1797</v>
      </c>
      <c r="X118" t="s">
        <v>74</v>
      </c>
      <c r="Y118" t="b">
        <v>0</v>
      </c>
      <c r="Z118" t="b">
        <v>0</v>
      </c>
      <c r="AB118" t="s">
        <v>6415</v>
      </c>
      <c r="AC118" s="1"/>
      <c r="AD118" t="s">
        <v>6416</v>
      </c>
      <c r="AF118">
        <v>1350000</v>
      </c>
      <c r="AG118">
        <v>45</v>
      </c>
      <c r="AH118">
        <v>325</v>
      </c>
      <c r="AI118" s="2">
        <f>Table__192.168.3.138AgingReportBEWLGS[[#This Row],[NetAmount]]-Table__192.168.3.138AgingReportBEWLGS[[#This Row],[Paid]]</f>
        <v>1327558</v>
      </c>
    </row>
    <row r="119" spans="1:35">
      <c r="A119" t="s">
        <v>6417</v>
      </c>
      <c r="B119" s="1">
        <v>40995</v>
      </c>
      <c r="C119" s="1">
        <v>40995</v>
      </c>
      <c r="D119" t="s">
        <v>6412</v>
      </c>
      <c r="E119">
        <v>1636150</v>
      </c>
      <c r="F119">
        <v>359953</v>
      </c>
      <c r="G119">
        <v>0</v>
      </c>
      <c r="H119">
        <v>0</v>
      </c>
      <c r="I119">
        <v>273</v>
      </c>
      <c r="J119">
        <v>1996103</v>
      </c>
      <c r="K119" t="s">
        <v>4093</v>
      </c>
      <c r="L119" s="1">
        <v>40995</v>
      </c>
      <c r="N119" t="s">
        <v>5127</v>
      </c>
      <c r="O119" t="s">
        <v>2458</v>
      </c>
      <c r="P119" t="s">
        <v>6414</v>
      </c>
      <c r="Q119" t="s">
        <v>39</v>
      </c>
      <c r="R119" t="s">
        <v>40</v>
      </c>
      <c r="S119">
        <v>0</v>
      </c>
      <c r="U119" t="s">
        <v>5550</v>
      </c>
      <c r="V119" t="s">
        <v>1797</v>
      </c>
      <c r="X119" t="s">
        <v>74</v>
      </c>
      <c r="Y119" t="b">
        <v>0</v>
      </c>
      <c r="Z119" t="b">
        <v>0</v>
      </c>
      <c r="AB119" t="s">
        <v>6418</v>
      </c>
      <c r="AC119" s="1"/>
      <c r="AF119">
        <v>0</v>
      </c>
      <c r="AG119">
        <v>45</v>
      </c>
      <c r="AH119">
        <v>318</v>
      </c>
      <c r="AI119" s="2">
        <f>Table__192.168.3.138AgingReportBEWLGS[[#This Row],[NetAmount]]-Table__192.168.3.138AgingReportBEWLGS[[#This Row],[Paid]]</f>
        <v>1996103</v>
      </c>
    </row>
    <row r="120" spans="1:35">
      <c r="A120" t="s">
        <v>6419</v>
      </c>
      <c r="B120" s="1">
        <v>40996</v>
      </c>
      <c r="C120" s="1">
        <v>40996</v>
      </c>
      <c r="D120" t="s">
        <v>249</v>
      </c>
      <c r="E120">
        <v>44600</v>
      </c>
      <c r="F120">
        <v>0</v>
      </c>
      <c r="G120">
        <v>0</v>
      </c>
      <c r="H120">
        <v>0</v>
      </c>
      <c r="I120">
        <v>269</v>
      </c>
      <c r="J120">
        <v>44600</v>
      </c>
      <c r="K120" t="s">
        <v>6420</v>
      </c>
      <c r="L120" s="1">
        <v>40999</v>
      </c>
      <c r="M120" t="s">
        <v>6421</v>
      </c>
      <c r="N120" t="s">
        <v>5127</v>
      </c>
      <c r="O120" t="s">
        <v>2458</v>
      </c>
      <c r="P120" t="s">
        <v>6422</v>
      </c>
      <c r="Q120" t="s">
        <v>39</v>
      </c>
      <c r="R120" t="s">
        <v>40</v>
      </c>
      <c r="S120">
        <v>0</v>
      </c>
      <c r="U120" t="s">
        <v>5550</v>
      </c>
      <c r="V120" t="s">
        <v>1797</v>
      </c>
      <c r="W120" t="s">
        <v>6423</v>
      </c>
      <c r="X120" t="s">
        <v>74</v>
      </c>
      <c r="Y120" t="b">
        <v>0</v>
      </c>
      <c r="Z120" t="b">
        <v>0</v>
      </c>
      <c r="AA120" t="b">
        <v>0</v>
      </c>
      <c r="AC120" s="1"/>
      <c r="AF120">
        <v>0</v>
      </c>
      <c r="AG120">
        <v>45</v>
      </c>
      <c r="AH120">
        <v>314</v>
      </c>
      <c r="AI120" s="2">
        <f>Table__192.168.3.138AgingReportBEWLGS[[#This Row],[NetAmount]]-Table__192.168.3.138AgingReportBEWLGS[[#This Row],[Paid]]</f>
        <v>44600</v>
      </c>
    </row>
    <row r="121" spans="1:35">
      <c r="A121" t="s">
        <v>6424</v>
      </c>
      <c r="B121" s="1">
        <v>41008</v>
      </c>
      <c r="C121" s="1">
        <v>41038</v>
      </c>
      <c r="D121" t="s">
        <v>6425</v>
      </c>
      <c r="E121">
        <v>36600</v>
      </c>
      <c r="F121">
        <v>5856</v>
      </c>
      <c r="G121">
        <v>0</v>
      </c>
      <c r="H121">
        <v>0</v>
      </c>
      <c r="I121">
        <v>263</v>
      </c>
      <c r="J121">
        <v>42456</v>
      </c>
      <c r="K121" t="s">
        <v>6426</v>
      </c>
      <c r="L121" s="1">
        <v>41005</v>
      </c>
      <c r="N121" t="s">
        <v>5127</v>
      </c>
      <c r="O121" t="s">
        <v>2458</v>
      </c>
      <c r="P121" t="s">
        <v>5478</v>
      </c>
      <c r="Q121" t="s">
        <v>39</v>
      </c>
      <c r="R121" t="s">
        <v>40</v>
      </c>
      <c r="S121">
        <v>0</v>
      </c>
      <c r="U121" t="s">
        <v>5550</v>
      </c>
      <c r="V121" t="s">
        <v>1797</v>
      </c>
      <c r="X121" t="s">
        <v>74</v>
      </c>
      <c r="Y121" t="b">
        <v>0</v>
      </c>
      <c r="Z121" t="b">
        <v>0</v>
      </c>
      <c r="AB121" t="s">
        <v>6427</v>
      </c>
      <c r="AC121" s="1">
        <v>41227</v>
      </c>
      <c r="AF121">
        <v>0</v>
      </c>
      <c r="AG121">
        <v>45</v>
      </c>
      <c r="AH121">
        <v>308</v>
      </c>
      <c r="AI121" s="2">
        <f>Table__192.168.3.138AgingReportBEWLGS[[#This Row],[NetAmount]]-Table__192.168.3.138AgingReportBEWLGS[[#This Row],[Paid]]</f>
        <v>42456</v>
      </c>
    </row>
    <row r="122" spans="1:35">
      <c r="A122" t="s">
        <v>6428</v>
      </c>
      <c r="B122" s="1">
        <v>41018</v>
      </c>
      <c r="C122" s="1">
        <v>41063</v>
      </c>
      <c r="D122" t="s">
        <v>6425</v>
      </c>
      <c r="E122">
        <v>11400</v>
      </c>
      <c r="F122">
        <v>1824</v>
      </c>
      <c r="G122">
        <v>0</v>
      </c>
      <c r="H122">
        <v>0</v>
      </c>
      <c r="I122">
        <v>253</v>
      </c>
      <c r="J122">
        <v>13224</v>
      </c>
      <c r="K122" t="s">
        <v>6429</v>
      </c>
      <c r="L122" s="1">
        <v>41015</v>
      </c>
      <c r="N122" t="s">
        <v>5127</v>
      </c>
      <c r="O122" t="s">
        <v>2458</v>
      </c>
      <c r="P122" t="s">
        <v>5478</v>
      </c>
      <c r="Q122" t="s">
        <v>39</v>
      </c>
      <c r="R122" t="s">
        <v>40</v>
      </c>
      <c r="S122">
        <v>0</v>
      </c>
      <c r="U122" t="s">
        <v>5550</v>
      </c>
      <c r="V122" t="s">
        <v>1797</v>
      </c>
      <c r="X122" t="s">
        <v>74</v>
      </c>
      <c r="Y122" t="b">
        <v>0</v>
      </c>
      <c r="Z122" t="b">
        <v>0</v>
      </c>
      <c r="AB122" t="s">
        <v>6427</v>
      </c>
      <c r="AC122" s="1">
        <v>41227</v>
      </c>
      <c r="AF122">
        <v>0</v>
      </c>
      <c r="AG122">
        <v>45</v>
      </c>
      <c r="AH122">
        <v>298</v>
      </c>
      <c r="AI122" s="2">
        <f>Table__192.168.3.138AgingReportBEWLGS[[#This Row],[NetAmount]]-Table__192.168.3.138AgingReportBEWLGS[[#This Row],[Paid]]</f>
        <v>13224</v>
      </c>
    </row>
    <row r="123" spans="1:35">
      <c r="A123" t="s">
        <v>6430</v>
      </c>
      <c r="B123" s="1">
        <v>41002</v>
      </c>
      <c r="C123" s="1">
        <v>41047</v>
      </c>
      <c r="D123" t="s">
        <v>6347</v>
      </c>
      <c r="E123">
        <v>200000</v>
      </c>
      <c r="F123">
        <v>32000</v>
      </c>
      <c r="G123">
        <v>0</v>
      </c>
      <c r="H123">
        <v>0</v>
      </c>
      <c r="I123">
        <v>266</v>
      </c>
      <c r="J123">
        <v>232000</v>
      </c>
      <c r="K123" t="s">
        <v>6431</v>
      </c>
      <c r="L123" s="1">
        <v>41002</v>
      </c>
      <c r="N123" t="s">
        <v>5127</v>
      </c>
      <c r="O123" t="s">
        <v>2458</v>
      </c>
      <c r="P123" t="s">
        <v>6349</v>
      </c>
      <c r="Q123" t="s">
        <v>39</v>
      </c>
      <c r="R123" t="s">
        <v>40</v>
      </c>
      <c r="S123">
        <v>0</v>
      </c>
      <c r="U123" t="s">
        <v>5550</v>
      </c>
      <c r="V123" t="s">
        <v>1797</v>
      </c>
      <c r="X123" t="s">
        <v>74</v>
      </c>
      <c r="Y123" t="b">
        <v>0</v>
      </c>
      <c r="Z123" t="b">
        <v>0</v>
      </c>
      <c r="AC123" s="1"/>
      <c r="AF123">
        <v>0</v>
      </c>
      <c r="AG123">
        <v>45</v>
      </c>
      <c r="AH123">
        <v>311</v>
      </c>
      <c r="AI123" s="2">
        <f>Table__192.168.3.138AgingReportBEWLGS[[#This Row],[NetAmount]]-Table__192.168.3.138AgingReportBEWLGS[[#This Row],[Paid]]</f>
        <v>232000</v>
      </c>
    </row>
    <row r="124" spans="1:35">
      <c r="A124" t="s">
        <v>6432</v>
      </c>
      <c r="B124" s="1">
        <v>41018</v>
      </c>
      <c r="C124" s="1">
        <v>41063</v>
      </c>
      <c r="D124" t="s">
        <v>6400</v>
      </c>
      <c r="E124">
        <v>40500</v>
      </c>
      <c r="F124">
        <v>6480</v>
      </c>
      <c r="G124">
        <v>0</v>
      </c>
      <c r="H124">
        <v>0</v>
      </c>
      <c r="I124">
        <v>252</v>
      </c>
      <c r="J124">
        <v>47280</v>
      </c>
      <c r="K124" t="s">
        <v>6433</v>
      </c>
      <c r="L124" s="1">
        <v>41016</v>
      </c>
      <c r="M124" t="s">
        <v>6434</v>
      </c>
      <c r="N124" t="s">
        <v>5127</v>
      </c>
      <c r="O124" t="s">
        <v>2458</v>
      </c>
      <c r="P124" t="s">
        <v>6403</v>
      </c>
      <c r="Q124" t="s">
        <v>39</v>
      </c>
      <c r="R124" t="s">
        <v>40</v>
      </c>
      <c r="S124">
        <v>0</v>
      </c>
      <c r="U124" t="s">
        <v>5550</v>
      </c>
      <c r="V124" t="s">
        <v>1797</v>
      </c>
      <c r="W124" t="s">
        <v>6404</v>
      </c>
      <c r="X124" t="s">
        <v>74</v>
      </c>
      <c r="Y124" t="b">
        <v>0</v>
      </c>
      <c r="Z124" t="b">
        <v>0</v>
      </c>
      <c r="AA124" t="b">
        <v>0</v>
      </c>
      <c r="AC124" s="1"/>
      <c r="AF124">
        <v>0</v>
      </c>
      <c r="AG124">
        <v>45</v>
      </c>
      <c r="AH124">
        <v>297</v>
      </c>
      <c r="AI124" s="2">
        <f>Table__192.168.3.138AgingReportBEWLGS[[#This Row],[NetAmount]]-Table__192.168.3.138AgingReportBEWLGS[[#This Row],[Paid]]</f>
        <v>47280</v>
      </c>
    </row>
    <row r="125" spans="1:35">
      <c r="A125" t="s">
        <v>6435</v>
      </c>
      <c r="B125" s="1">
        <v>41008</v>
      </c>
      <c r="C125" s="1">
        <v>41053</v>
      </c>
      <c r="D125" t="s">
        <v>6373</v>
      </c>
      <c r="E125">
        <v>197000</v>
      </c>
      <c r="F125">
        <v>0</v>
      </c>
      <c r="G125">
        <v>0</v>
      </c>
      <c r="H125">
        <v>0</v>
      </c>
      <c r="I125">
        <v>260</v>
      </c>
      <c r="J125">
        <v>197000</v>
      </c>
      <c r="K125" t="s">
        <v>6436</v>
      </c>
      <c r="L125" s="1">
        <v>41008</v>
      </c>
      <c r="N125" t="s">
        <v>5127</v>
      </c>
      <c r="O125" t="s">
        <v>2458</v>
      </c>
      <c r="P125" t="s">
        <v>6375</v>
      </c>
      <c r="Q125" t="s">
        <v>39</v>
      </c>
      <c r="R125" t="s">
        <v>40</v>
      </c>
      <c r="S125">
        <v>0</v>
      </c>
      <c r="U125" t="s">
        <v>5550</v>
      </c>
      <c r="V125" t="s">
        <v>1797</v>
      </c>
      <c r="X125" t="s">
        <v>74</v>
      </c>
      <c r="Y125" t="b">
        <v>0</v>
      </c>
      <c r="Z125" t="b">
        <v>0</v>
      </c>
      <c r="AC125" s="1"/>
      <c r="AF125">
        <v>0</v>
      </c>
      <c r="AG125">
        <v>45</v>
      </c>
      <c r="AH125">
        <v>305</v>
      </c>
      <c r="AI125" s="2">
        <f>Table__192.168.3.138AgingReportBEWLGS[[#This Row],[NetAmount]]-Table__192.168.3.138AgingReportBEWLGS[[#This Row],[Paid]]</f>
        <v>197000</v>
      </c>
    </row>
    <row r="126" spans="1:35">
      <c r="A126" t="s">
        <v>6437</v>
      </c>
      <c r="B126" s="1">
        <v>41015</v>
      </c>
      <c r="C126" s="1">
        <v>41060</v>
      </c>
      <c r="D126" t="s">
        <v>6438</v>
      </c>
      <c r="E126">
        <v>6000</v>
      </c>
      <c r="F126">
        <v>960</v>
      </c>
      <c r="G126">
        <v>0</v>
      </c>
      <c r="H126">
        <v>0</v>
      </c>
      <c r="I126">
        <v>253</v>
      </c>
      <c r="J126">
        <v>6960</v>
      </c>
      <c r="K126" t="s">
        <v>118</v>
      </c>
      <c r="L126" s="1">
        <v>41015</v>
      </c>
      <c r="M126" t="s">
        <v>6439</v>
      </c>
      <c r="N126" t="s">
        <v>5127</v>
      </c>
      <c r="O126" t="s">
        <v>2458</v>
      </c>
      <c r="P126" t="s">
        <v>6440</v>
      </c>
      <c r="Q126" t="s">
        <v>39</v>
      </c>
      <c r="R126" t="s">
        <v>40</v>
      </c>
      <c r="S126">
        <v>0</v>
      </c>
      <c r="U126" t="s">
        <v>5550</v>
      </c>
      <c r="V126" t="s">
        <v>1797</v>
      </c>
      <c r="W126" t="s">
        <v>6441</v>
      </c>
      <c r="X126" t="s">
        <v>74</v>
      </c>
      <c r="Y126" t="b">
        <v>0</v>
      </c>
      <c r="Z126" t="b">
        <v>0</v>
      </c>
      <c r="AA126" t="b">
        <v>0</v>
      </c>
      <c r="AC126" s="1"/>
      <c r="AF126">
        <v>0</v>
      </c>
      <c r="AG126">
        <v>45</v>
      </c>
      <c r="AH126">
        <v>298</v>
      </c>
      <c r="AI126" s="2">
        <f>Table__192.168.3.138AgingReportBEWLGS[[#This Row],[NetAmount]]-Table__192.168.3.138AgingReportBEWLGS[[#This Row],[Paid]]</f>
        <v>6960</v>
      </c>
    </row>
    <row r="127" spans="1:35">
      <c r="A127" t="s">
        <v>6442</v>
      </c>
      <c r="B127" s="1">
        <v>41015</v>
      </c>
      <c r="C127" s="1">
        <v>41060</v>
      </c>
      <c r="D127" t="s">
        <v>6438</v>
      </c>
      <c r="E127">
        <v>49500</v>
      </c>
      <c r="F127">
        <v>7920</v>
      </c>
      <c r="G127">
        <v>0</v>
      </c>
      <c r="H127">
        <v>0</v>
      </c>
      <c r="I127">
        <v>253</v>
      </c>
      <c r="J127">
        <v>57420</v>
      </c>
      <c r="K127" t="s">
        <v>120</v>
      </c>
      <c r="L127" s="1">
        <v>41015</v>
      </c>
      <c r="M127" t="s">
        <v>6443</v>
      </c>
      <c r="N127" t="s">
        <v>5127</v>
      </c>
      <c r="O127" t="s">
        <v>2458</v>
      </c>
      <c r="P127" t="s">
        <v>6440</v>
      </c>
      <c r="Q127" t="s">
        <v>39</v>
      </c>
      <c r="R127" t="s">
        <v>40</v>
      </c>
      <c r="S127">
        <v>0</v>
      </c>
      <c r="U127" t="s">
        <v>5550</v>
      </c>
      <c r="V127" t="s">
        <v>1797</v>
      </c>
      <c r="W127" t="s">
        <v>6441</v>
      </c>
      <c r="X127" t="s">
        <v>74</v>
      </c>
      <c r="Y127" t="b">
        <v>0</v>
      </c>
      <c r="Z127" t="b">
        <v>0</v>
      </c>
      <c r="AA127" t="b">
        <v>0</v>
      </c>
      <c r="AC127" s="1"/>
      <c r="AF127">
        <v>0</v>
      </c>
      <c r="AG127">
        <v>45</v>
      </c>
      <c r="AH127">
        <v>298</v>
      </c>
      <c r="AI127" s="2">
        <f>Table__192.168.3.138AgingReportBEWLGS[[#This Row],[NetAmount]]-Table__192.168.3.138AgingReportBEWLGS[[#This Row],[Paid]]</f>
        <v>57420</v>
      </c>
    </row>
    <row r="128" spans="1:35">
      <c r="A128" t="s">
        <v>6444</v>
      </c>
      <c r="B128" s="1">
        <v>41018</v>
      </c>
      <c r="C128" s="1">
        <v>41063</v>
      </c>
      <c r="D128" t="s">
        <v>6425</v>
      </c>
      <c r="E128">
        <v>20700</v>
      </c>
      <c r="F128">
        <v>3312</v>
      </c>
      <c r="G128">
        <v>0</v>
      </c>
      <c r="H128">
        <v>0</v>
      </c>
      <c r="I128">
        <v>251</v>
      </c>
      <c r="J128">
        <v>24012</v>
      </c>
      <c r="K128" t="s">
        <v>6445</v>
      </c>
      <c r="L128" s="1">
        <v>41017</v>
      </c>
      <c r="N128" t="s">
        <v>5127</v>
      </c>
      <c r="O128" t="s">
        <v>2458</v>
      </c>
      <c r="P128" t="s">
        <v>5478</v>
      </c>
      <c r="Q128" t="s">
        <v>39</v>
      </c>
      <c r="R128" t="s">
        <v>40</v>
      </c>
      <c r="S128">
        <v>0</v>
      </c>
      <c r="U128" t="s">
        <v>5550</v>
      </c>
      <c r="V128" t="s">
        <v>1797</v>
      </c>
      <c r="X128" t="s">
        <v>74</v>
      </c>
      <c r="Y128" t="b">
        <v>0</v>
      </c>
      <c r="Z128" t="b">
        <v>0</v>
      </c>
      <c r="AB128" t="s">
        <v>6427</v>
      </c>
      <c r="AC128" s="1">
        <v>41227</v>
      </c>
      <c r="AF128">
        <v>0</v>
      </c>
      <c r="AG128">
        <v>45</v>
      </c>
      <c r="AH128">
        <v>296</v>
      </c>
      <c r="AI128" s="2">
        <f>Table__192.168.3.138AgingReportBEWLGS[[#This Row],[NetAmount]]-Table__192.168.3.138AgingReportBEWLGS[[#This Row],[Paid]]</f>
        <v>24012</v>
      </c>
    </row>
    <row r="129" spans="1:35">
      <c r="A129" t="s">
        <v>6446</v>
      </c>
      <c r="B129" s="1">
        <v>41025</v>
      </c>
      <c r="C129" s="1">
        <v>41070</v>
      </c>
      <c r="D129" t="s">
        <v>6278</v>
      </c>
      <c r="E129">
        <v>11973</v>
      </c>
      <c r="F129">
        <v>447</v>
      </c>
      <c r="G129">
        <v>0</v>
      </c>
      <c r="H129">
        <v>0</v>
      </c>
      <c r="I129">
        <v>246</v>
      </c>
      <c r="J129">
        <v>12420</v>
      </c>
      <c r="K129" t="s">
        <v>5654</v>
      </c>
      <c r="L129" s="1">
        <v>41022</v>
      </c>
      <c r="N129" t="s">
        <v>5127</v>
      </c>
      <c r="O129" t="s">
        <v>2458</v>
      </c>
      <c r="P129" t="s">
        <v>6280</v>
      </c>
      <c r="Q129" t="s">
        <v>39</v>
      </c>
      <c r="R129" t="s">
        <v>40</v>
      </c>
      <c r="S129">
        <v>0</v>
      </c>
      <c r="U129" t="s">
        <v>5550</v>
      </c>
      <c r="V129" t="s">
        <v>1797</v>
      </c>
      <c r="X129" t="s">
        <v>74</v>
      </c>
      <c r="Y129" t="b">
        <v>0</v>
      </c>
      <c r="Z129" t="b">
        <v>0</v>
      </c>
      <c r="AC129" s="1"/>
      <c r="AF129">
        <v>0</v>
      </c>
      <c r="AG129">
        <v>45</v>
      </c>
      <c r="AH129">
        <v>291</v>
      </c>
      <c r="AI129" s="2">
        <f>Table__192.168.3.138AgingReportBEWLGS[[#This Row],[NetAmount]]-Table__192.168.3.138AgingReportBEWLGS[[#This Row],[Paid]]</f>
        <v>12420</v>
      </c>
    </row>
    <row r="130" spans="1:35">
      <c r="A130" t="s">
        <v>6447</v>
      </c>
      <c r="B130" s="1">
        <v>41001</v>
      </c>
      <c r="C130" s="1">
        <v>41046</v>
      </c>
      <c r="D130" t="s">
        <v>6448</v>
      </c>
      <c r="E130">
        <v>23800</v>
      </c>
      <c r="F130">
        <v>3808</v>
      </c>
      <c r="G130">
        <v>0</v>
      </c>
      <c r="H130">
        <v>0</v>
      </c>
      <c r="I130">
        <v>267</v>
      </c>
      <c r="J130">
        <v>27608</v>
      </c>
      <c r="K130" t="s">
        <v>6449</v>
      </c>
      <c r="L130" s="1">
        <v>41001</v>
      </c>
      <c r="M130" t="s">
        <v>6450</v>
      </c>
      <c r="N130" t="s">
        <v>5127</v>
      </c>
      <c r="O130" t="s">
        <v>2458</v>
      </c>
      <c r="P130" t="s">
        <v>6451</v>
      </c>
      <c r="Q130" t="s">
        <v>39</v>
      </c>
      <c r="R130" t="s">
        <v>40</v>
      </c>
      <c r="S130">
        <v>0</v>
      </c>
      <c r="U130" t="s">
        <v>5550</v>
      </c>
      <c r="V130" t="s">
        <v>1797</v>
      </c>
      <c r="W130" t="s">
        <v>6452</v>
      </c>
      <c r="X130" t="s">
        <v>74</v>
      </c>
      <c r="Y130" t="b">
        <v>0</v>
      </c>
      <c r="Z130" t="b">
        <v>0</v>
      </c>
      <c r="AA130" t="b">
        <v>0</v>
      </c>
      <c r="AC130" s="1"/>
      <c r="AF130">
        <v>0</v>
      </c>
      <c r="AG130">
        <v>45</v>
      </c>
      <c r="AH130">
        <v>312</v>
      </c>
      <c r="AI130" s="2">
        <f>Table__192.168.3.138AgingReportBEWLGS[[#This Row],[NetAmount]]-Table__192.168.3.138AgingReportBEWLGS[[#This Row],[Paid]]</f>
        <v>27608</v>
      </c>
    </row>
    <row r="131" spans="1:35">
      <c r="A131" t="s">
        <v>6453</v>
      </c>
      <c r="B131" s="1">
        <v>41004</v>
      </c>
      <c r="C131" s="1">
        <v>41049</v>
      </c>
      <c r="D131" t="s">
        <v>6448</v>
      </c>
      <c r="E131">
        <v>19040</v>
      </c>
      <c r="F131">
        <v>3046</v>
      </c>
      <c r="G131">
        <v>0</v>
      </c>
      <c r="H131">
        <v>0</v>
      </c>
      <c r="I131">
        <v>264</v>
      </c>
      <c r="J131">
        <v>22086</v>
      </c>
      <c r="K131" t="s">
        <v>6454</v>
      </c>
      <c r="L131" s="1">
        <v>41004</v>
      </c>
      <c r="M131" t="s">
        <v>6455</v>
      </c>
      <c r="N131" t="s">
        <v>5127</v>
      </c>
      <c r="O131" t="s">
        <v>2458</v>
      </c>
      <c r="P131" t="s">
        <v>6451</v>
      </c>
      <c r="Q131" t="s">
        <v>39</v>
      </c>
      <c r="R131" t="s">
        <v>40</v>
      </c>
      <c r="S131">
        <v>0</v>
      </c>
      <c r="U131" t="s">
        <v>5550</v>
      </c>
      <c r="V131" t="s">
        <v>1797</v>
      </c>
      <c r="W131" t="s">
        <v>6452</v>
      </c>
      <c r="X131" t="s">
        <v>74</v>
      </c>
      <c r="Y131" t="b">
        <v>0</v>
      </c>
      <c r="Z131" t="b">
        <v>0</v>
      </c>
      <c r="AA131" t="b">
        <v>0</v>
      </c>
      <c r="AC131" s="1"/>
      <c r="AF131">
        <v>0</v>
      </c>
      <c r="AG131">
        <v>45</v>
      </c>
      <c r="AH131">
        <v>309</v>
      </c>
      <c r="AI131" s="2">
        <f>Table__192.168.3.138AgingReportBEWLGS[[#This Row],[NetAmount]]-Table__192.168.3.138AgingReportBEWLGS[[#This Row],[Paid]]</f>
        <v>22086</v>
      </c>
    </row>
    <row r="132" spans="1:35">
      <c r="A132" t="s">
        <v>6456</v>
      </c>
      <c r="B132" s="1">
        <v>41009</v>
      </c>
      <c r="C132" s="1">
        <v>41054</v>
      </c>
      <c r="D132" t="s">
        <v>6448</v>
      </c>
      <c r="E132">
        <v>9520</v>
      </c>
      <c r="F132">
        <v>1523</v>
      </c>
      <c r="G132">
        <v>0</v>
      </c>
      <c r="H132">
        <v>0</v>
      </c>
      <c r="I132">
        <v>259</v>
      </c>
      <c r="J132">
        <v>11043</v>
      </c>
      <c r="K132" t="s">
        <v>3397</v>
      </c>
      <c r="L132" s="1">
        <v>41009</v>
      </c>
      <c r="M132" t="s">
        <v>6457</v>
      </c>
      <c r="N132" t="s">
        <v>5127</v>
      </c>
      <c r="O132" t="s">
        <v>2458</v>
      </c>
      <c r="P132" t="s">
        <v>6451</v>
      </c>
      <c r="Q132" t="s">
        <v>39</v>
      </c>
      <c r="R132" t="s">
        <v>40</v>
      </c>
      <c r="S132">
        <v>0</v>
      </c>
      <c r="U132" t="s">
        <v>5550</v>
      </c>
      <c r="V132" t="s">
        <v>1797</v>
      </c>
      <c r="W132" t="s">
        <v>6452</v>
      </c>
      <c r="X132" t="s">
        <v>74</v>
      </c>
      <c r="Y132" t="b">
        <v>0</v>
      </c>
      <c r="Z132" t="b">
        <v>0</v>
      </c>
      <c r="AA132" t="b">
        <v>0</v>
      </c>
      <c r="AC132" s="1"/>
      <c r="AF132">
        <v>0</v>
      </c>
      <c r="AG132">
        <v>45</v>
      </c>
      <c r="AH132">
        <v>304</v>
      </c>
      <c r="AI132" s="2">
        <f>Table__192.168.3.138AgingReportBEWLGS[[#This Row],[NetAmount]]-Table__192.168.3.138AgingReportBEWLGS[[#This Row],[Paid]]</f>
        <v>11043</v>
      </c>
    </row>
    <row r="133" spans="1:35">
      <c r="A133" t="s">
        <v>6458</v>
      </c>
      <c r="B133" s="1">
        <v>41010</v>
      </c>
      <c r="C133" s="1">
        <v>41055</v>
      </c>
      <c r="D133" t="s">
        <v>6448</v>
      </c>
      <c r="E133">
        <v>19040</v>
      </c>
      <c r="F133">
        <v>3046</v>
      </c>
      <c r="G133">
        <v>0</v>
      </c>
      <c r="H133">
        <v>0</v>
      </c>
      <c r="I133">
        <v>258</v>
      </c>
      <c r="J133">
        <v>22086</v>
      </c>
      <c r="K133" t="s">
        <v>2571</v>
      </c>
      <c r="L133" s="1">
        <v>41010</v>
      </c>
      <c r="M133" t="s">
        <v>6459</v>
      </c>
      <c r="N133" t="s">
        <v>5127</v>
      </c>
      <c r="O133" t="s">
        <v>2458</v>
      </c>
      <c r="P133" t="s">
        <v>6451</v>
      </c>
      <c r="Q133" t="s">
        <v>39</v>
      </c>
      <c r="R133" t="s">
        <v>40</v>
      </c>
      <c r="S133">
        <v>0</v>
      </c>
      <c r="U133" t="s">
        <v>5550</v>
      </c>
      <c r="V133" t="s">
        <v>1797</v>
      </c>
      <c r="W133" t="s">
        <v>6452</v>
      </c>
      <c r="X133" t="s">
        <v>74</v>
      </c>
      <c r="Y133" t="b">
        <v>0</v>
      </c>
      <c r="Z133" t="b">
        <v>0</v>
      </c>
      <c r="AA133" t="b">
        <v>0</v>
      </c>
      <c r="AC133" s="1"/>
      <c r="AF133">
        <v>0</v>
      </c>
      <c r="AG133">
        <v>45</v>
      </c>
      <c r="AH133">
        <v>303</v>
      </c>
      <c r="AI133" s="2">
        <f>Table__192.168.3.138AgingReportBEWLGS[[#This Row],[NetAmount]]-Table__192.168.3.138AgingReportBEWLGS[[#This Row],[Paid]]</f>
        <v>22086</v>
      </c>
    </row>
    <row r="134" spans="1:35">
      <c r="A134" t="s">
        <v>6460</v>
      </c>
      <c r="B134" s="1">
        <v>41012</v>
      </c>
      <c r="C134" s="1">
        <v>41057</v>
      </c>
      <c r="D134" t="s">
        <v>6448</v>
      </c>
      <c r="E134">
        <v>14280</v>
      </c>
      <c r="F134">
        <v>2285</v>
      </c>
      <c r="G134">
        <v>0</v>
      </c>
      <c r="H134">
        <v>0</v>
      </c>
      <c r="I134">
        <v>256</v>
      </c>
      <c r="J134">
        <v>16565</v>
      </c>
      <c r="K134" t="s">
        <v>3605</v>
      </c>
      <c r="L134" s="1">
        <v>41012</v>
      </c>
      <c r="M134" t="s">
        <v>6461</v>
      </c>
      <c r="N134" t="s">
        <v>5127</v>
      </c>
      <c r="O134" t="s">
        <v>2458</v>
      </c>
      <c r="P134" t="s">
        <v>6451</v>
      </c>
      <c r="Q134" t="s">
        <v>39</v>
      </c>
      <c r="R134" t="s">
        <v>40</v>
      </c>
      <c r="S134">
        <v>0</v>
      </c>
      <c r="U134" t="s">
        <v>5550</v>
      </c>
      <c r="V134" t="s">
        <v>1797</v>
      </c>
      <c r="W134" t="s">
        <v>6452</v>
      </c>
      <c r="X134" t="s">
        <v>74</v>
      </c>
      <c r="Y134" t="b">
        <v>0</v>
      </c>
      <c r="Z134" t="b">
        <v>0</v>
      </c>
      <c r="AA134" t="b">
        <v>0</v>
      </c>
      <c r="AC134" s="1"/>
      <c r="AF134">
        <v>0</v>
      </c>
      <c r="AG134">
        <v>45</v>
      </c>
      <c r="AH134">
        <v>301</v>
      </c>
      <c r="AI134" s="2">
        <f>Table__192.168.3.138AgingReportBEWLGS[[#This Row],[NetAmount]]-Table__192.168.3.138AgingReportBEWLGS[[#This Row],[Paid]]</f>
        <v>16565</v>
      </c>
    </row>
    <row r="135" spans="1:35">
      <c r="A135" t="s">
        <v>6462</v>
      </c>
      <c r="B135" s="1">
        <v>41017</v>
      </c>
      <c r="C135" s="1">
        <v>41062</v>
      </c>
      <c r="D135" t="s">
        <v>6448</v>
      </c>
      <c r="E135">
        <v>19040</v>
      </c>
      <c r="F135">
        <v>3046</v>
      </c>
      <c r="G135">
        <v>0</v>
      </c>
      <c r="H135">
        <v>0</v>
      </c>
      <c r="I135">
        <v>251</v>
      </c>
      <c r="J135">
        <v>22086</v>
      </c>
      <c r="K135" t="s">
        <v>2589</v>
      </c>
      <c r="L135" s="1">
        <v>41017</v>
      </c>
      <c r="M135" t="s">
        <v>6463</v>
      </c>
      <c r="N135" t="s">
        <v>5127</v>
      </c>
      <c r="O135" t="s">
        <v>2458</v>
      </c>
      <c r="P135" t="s">
        <v>6451</v>
      </c>
      <c r="Q135" t="s">
        <v>39</v>
      </c>
      <c r="R135" t="s">
        <v>40</v>
      </c>
      <c r="S135">
        <v>0</v>
      </c>
      <c r="U135" t="s">
        <v>5550</v>
      </c>
      <c r="V135" t="s">
        <v>1797</v>
      </c>
      <c r="W135" t="s">
        <v>6452</v>
      </c>
      <c r="X135" t="s">
        <v>74</v>
      </c>
      <c r="Y135" t="b">
        <v>0</v>
      </c>
      <c r="Z135" t="b">
        <v>0</v>
      </c>
      <c r="AA135" t="b">
        <v>0</v>
      </c>
      <c r="AC135" s="1"/>
      <c r="AF135">
        <v>0</v>
      </c>
      <c r="AG135">
        <v>45</v>
      </c>
      <c r="AH135">
        <v>296</v>
      </c>
      <c r="AI135" s="2">
        <f>Table__192.168.3.138AgingReportBEWLGS[[#This Row],[NetAmount]]-Table__192.168.3.138AgingReportBEWLGS[[#This Row],[Paid]]</f>
        <v>22086</v>
      </c>
    </row>
    <row r="136" spans="1:35">
      <c r="A136" t="s">
        <v>6464</v>
      </c>
      <c r="B136" s="1">
        <v>41020</v>
      </c>
      <c r="C136" s="1">
        <v>41065</v>
      </c>
      <c r="D136" t="s">
        <v>6448</v>
      </c>
      <c r="E136">
        <v>19040</v>
      </c>
      <c r="F136">
        <v>3046</v>
      </c>
      <c r="G136">
        <v>0</v>
      </c>
      <c r="H136">
        <v>0</v>
      </c>
      <c r="I136">
        <v>248</v>
      </c>
      <c r="J136">
        <v>22086</v>
      </c>
      <c r="K136" t="s">
        <v>6109</v>
      </c>
      <c r="L136" s="1">
        <v>41020</v>
      </c>
      <c r="M136" t="s">
        <v>6465</v>
      </c>
      <c r="N136" t="s">
        <v>5127</v>
      </c>
      <c r="O136" t="s">
        <v>2458</v>
      </c>
      <c r="P136" t="s">
        <v>6451</v>
      </c>
      <c r="Q136" t="s">
        <v>39</v>
      </c>
      <c r="R136" t="s">
        <v>40</v>
      </c>
      <c r="S136">
        <v>0</v>
      </c>
      <c r="U136" t="s">
        <v>5550</v>
      </c>
      <c r="V136" t="s">
        <v>1797</v>
      </c>
      <c r="W136" t="s">
        <v>6452</v>
      </c>
      <c r="X136" t="s">
        <v>74</v>
      </c>
      <c r="Y136" t="b">
        <v>0</v>
      </c>
      <c r="Z136" t="b">
        <v>0</v>
      </c>
      <c r="AA136" t="b">
        <v>0</v>
      </c>
      <c r="AC136" s="1"/>
      <c r="AF136">
        <v>0</v>
      </c>
      <c r="AG136">
        <v>45</v>
      </c>
      <c r="AH136">
        <v>293</v>
      </c>
      <c r="AI136" s="2">
        <f>Table__192.168.3.138AgingReportBEWLGS[[#This Row],[NetAmount]]-Table__192.168.3.138AgingReportBEWLGS[[#This Row],[Paid]]</f>
        <v>22086</v>
      </c>
    </row>
    <row r="137" spans="1:35">
      <c r="A137" t="s">
        <v>6466</v>
      </c>
      <c r="B137" s="1">
        <v>41027</v>
      </c>
      <c r="C137" s="1">
        <v>41072</v>
      </c>
      <c r="D137" t="s">
        <v>6448</v>
      </c>
      <c r="E137">
        <v>23800</v>
      </c>
      <c r="F137">
        <v>3808</v>
      </c>
      <c r="G137">
        <v>0</v>
      </c>
      <c r="H137">
        <v>0</v>
      </c>
      <c r="I137">
        <v>241</v>
      </c>
      <c r="J137">
        <v>27608</v>
      </c>
      <c r="L137" s="1">
        <v>41027</v>
      </c>
      <c r="M137" t="s">
        <v>6467</v>
      </c>
      <c r="N137" t="s">
        <v>5127</v>
      </c>
      <c r="O137" t="s">
        <v>2458</v>
      </c>
      <c r="P137" t="s">
        <v>6451</v>
      </c>
      <c r="Q137" t="s">
        <v>39</v>
      </c>
      <c r="R137" t="s">
        <v>40</v>
      </c>
      <c r="S137">
        <v>0</v>
      </c>
      <c r="U137" t="s">
        <v>5550</v>
      </c>
      <c r="V137" t="s">
        <v>1797</v>
      </c>
      <c r="W137" t="s">
        <v>6452</v>
      </c>
      <c r="X137" t="s">
        <v>74</v>
      </c>
      <c r="Y137" t="b">
        <v>0</v>
      </c>
      <c r="Z137" t="b">
        <v>0</v>
      </c>
      <c r="AA137" t="b">
        <v>0</v>
      </c>
      <c r="AC137" s="1"/>
      <c r="AF137">
        <v>0</v>
      </c>
      <c r="AG137">
        <v>45</v>
      </c>
      <c r="AH137">
        <v>286</v>
      </c>
      <c r="AI137" s="2">
        <f>Table__192.168.3.138AgingReportBEWLGS[[#This Row],[NetAmount]]-Table__192.168.3.138AgingReportBEWLGS[[#This Row],[Paid]]</f>
        <v>27608</v>
      </c>
    </row>
    <row r="138" spans="1:35">
      <c r="A138" t="s">
        <v>6468</v>
      </c>
      <c r="B138" s="1">
        <v>41024</v>
      </c>
      <c r="C138" s="1">
        <v>41069</v>
      </c>
      <c r="D138" t="s">
        <v>6448</v>
      </c>
      <c r="E138">
        <v>19040</v>
      </c>
      <c r="F138">
        <v>3046</v>
      </c>
      <c r="G138">
        <v>0</v>
      </c>
      <c r="H138">
        <v>0</v>
      </c>
      <c r="I138">
        <v>244</v>
      </c>
      <c r="J138">
        <v>22086</v>
      </c>
      <c r="L138" s="1">
        <v>41024</v>
      </c>
      <c r="M138" t="s">
        <v>6469</v>
      </c>
      <c r="N138" t="s">
        <v>5127</v>
      </c>
      <c r="O138" t="s">
        <v>2458</v>
      </c>
      <c r="P138" t="s">
        <v>6451</v>
      </c>
      <c r="Q138" t="s">
        <v>39</v>
      </c>
      <c r="R138" t="s">
        <v>40</v>
      </c>
      <c r="S138">
        <v>0</v>
      </c>
      <c r="U138" t="s">
        <v>5550</v>
      </c>
      <c r="V138" t="s">
        <v>1797</v>
      </c>
      <c r="W138" t="s">
        <v>6452</v>
      </c>
      <c r="X138" t="s">
        <v>74</v>
      </c>
      <c r="Y138" t="b">
        <v>0</v>
      </c>
      <c r="Z138" t="b">
        <v>0</v>
      </c>
      <c r="AA138" t="b">
        <v>0</v>
      </c>
      <c r="AC138" s="1"/>
      <c r="AF138">
        <v>0</v>
      </c>
      <c r="AG138">
        <v>45</v>
      </c>
      <c r="AH138">
        <v>289</v>
      </c>
      <c r="AI138" s="2">
        <f>Table__192.168.3.138AgingReportBEWLGS[[#This Row],[NetAmount]]-Table__192.168.3.138AgingReportBEWLGS[[#This Row],[Paid]]</f>
        <v>22086</v>
      </c>
    </row>
    <row r="139" spans="1:35">
      <c r="A139" t="s">
        <v>6470</v>
      </c>
      <c r="B139" s="1">
        <v>41002</v>
      </c>
      <c r="C139" s="1">
        <v>41047</v>
      </c>
      <c r="D139" t="s">
        <v>6347</v>
      </c>
      <c r="E139">
        <v>170910</v>
      </c>
      <c r="F139">
        <v>27346</v>
      </c>
      <c r="G139">
        <v>0</v>
      </c>
      <c r="H139">
        <v>194880</v>
      </c>
      <c r="I139">
        <v>266</v>
      </c>
      <c r="J139">
        <v>198256</v>
      </c>
      <c r="L139" s="1">
        <v>41002</v>
      </c>
      <c r="N139" t="s">
        <v>5127</v>
      </c>
      <c r="O139" t="s">
        <v>2458</v>
      </c>
      <c r="P139" t="s">
        <v>6349</v>
      </c>
      <c r="Q139" t="s">
        <v>39</v>
      </c>
      <c r="R139" t="s">
        <v>40</v>
      </c>
      <c r="S139">
        <v>0</v>
      </c>
      <c r="T139" t="s">
        <v>6471</v>
      </c>
      <c r="U139" t="s">
        <v>5550</v>
      </c>
      <c r="V139" t="s">
        <v>1797</v>
      </c>
      <c r="X139" t="s">
        <v>74</v>
      </c>
      <c r="Y139" t="b">
        <v>0</v>
      </c>
      <c r="Z139" t="b">
        <v>0</v>
      </c>
      <c r="AC139" s="1"/>
      <c r="AF139">
        <v>0</v>
      </c>
      <c r="AG139">
        <v>45</v>
      </c>
      <c r="AH139">
        <v>311</v>
      </c>
      <c r="AI139" s="2">
        <f>Table__192.168.3.138AgingReportBEWLGS[[#This Row],[NetAmount]]-Table__192.168.3.138AgingReportBEWLGS[[#This Row],[Paid]]</f>
        <v>198256</v>
      </c>
    </row>
    <row r="140" spans="1:35">
      <c r="A140" t="s">
        <v>6472</v>
      </c>
      <c r="B140" s="1">
        <v>41027</v>
      </c>
      <c r="C140" s="1">
        <v>41072</v>
      </c>
      <c r="D140" t="s">
        <v>249</v>
      </c>
      <c r="E140">
        <v>84799</v>
      </c>
      <c r="F140">
        <v>0</v>
      </c>
      <c r="G140">
        <v>0</v>
      </c>
      <c r="H140">
        <v>0</v>
      </c>
      <c r="I140">
        <v>264</v>
      </c>
      <c r="J140">
        <v>84799</v>
      </c>
      <c r="L140" s="1">
        <v>41004</v>
      </c>
      <c r="N140" t="s">
        <v>5127</v>
      </c>
      <c r="O140" t="s">
        <v>2458</v>
      </c>
      <c r="P140" t="s">
        <v>6422</v>
      </c>
      <c r="Q140" t="s">
        <v>39</v>
      </c>
      <c r="R140" t="s">
        <v>40</v>
      </c>
      <c r="S140">
        <v>0</v>
      </c>
      <c r="U140" t="s">
        <v>5550</v>
      </c>
      <c r="V140" t="s">
        <v>1797</v>
      </c>
      <c r="X140" t="s">
        <v>74</v>
      </c>
      <c r="Y140" t="b">
        <v>0</v>
      </c>
      <c r="Z140" t="b">
        <v>0</v>
      </c>
      <c r="AC140" s="1"/>
      <c r="AF140">
        <v>0</v>
      </c>
      <c r="AG140">
        <v>45</v>
      </c>
      <c r="AH140">
        <v>309</v>
      </c>
      <c r="AI140" s="2">
        <f>Table__192.168.3.138AgingReportBEWLGS[[#This Row],[NetAmount]]-Table__192.168.3.138AgingReportBEWLGS[[#This Row],[Paid]]</f>
        <v>84799</v>
      </c>
    </row>
    <row r="141" spans="1:35">
      <c r="A141" t="s">
        <v>6473</v>
      </c>
      <c r="B141" s="1">
        <v>41005</v>
      </c>
      <c r="C141" s="1">
        <v>41050</v>
      </c>
      <c r="D141" t="s">
        <v>6474</v>
      </c>
      <c r="E141">
        <v>327842</v>
      </c>
      <c r="F141">
        <v>52353</v>
      </c>
      <c r="G141">
        <v>0</v>
      </c>
      <c r="H141">
        <v>0</v>
      </c>
      <c r="I141">
        <v>263</v>
      </c>
      <c r="J141">
        <v>383558</v>
      </c>
      <c r="L141" s="1">
        <v>41005</v>
      </c>
      <c r="N141" t="s">
        <v>5127</v>
      </c>
      <c r="O141" t="s">
        <v>2458</v>
      </c>
      <c r="P141" t="s">
        <v>6475</v>
      </c>
      <c r="Q141" t="s">
        <v>39</v>
      </c>
      <c r="R141" t="s">
        <v>40</v>
      </c>
      <c r="S141">
        <v>0</v>
      </c>
      <c r="U141" t="s">
        <v>5550</v>
      </c>
      <c r="V141" t="s">
        <v>1797</v>
      </c>
      <c r="X141" t="s">
        <v>74</v>
      </c>
      <c r="Y141" t="b">
        <v>0</v>
      </c>
      <c r="Z141" t="b">
        <v>0</v>
      </c>
      <c r="AB141" t="s">
        <v>6476</v>
      </c>
      <c r="AC141" s="1">
        <v>41190</v>
      </c>
      <c r="AD141" t="s">
        <v>6477</v>
      </c>
      <c r="AE141" t="s">
        <v>6478</v>
      </c>
      <c r="AF141">
        <v>384195</v>
      </c>
      <c r="AG141">
        <v>45</v>
      </c>
      <c r="AH141">
        <v>308</v>
      </c>
      <c r="AI141" s="2">
        <f>Table__192.168.3.138AgingReportBEWLGS[[#This Row],[NetAmount]]-Table__192.168.3.138AgingReportBEWLGS[[#This Row],[Paid]]</f>
        <v>-637</v>
      </c>
    </row>
    <row r="142" spans="1:35">
      <c r="A142" t="s">
        <v>6479</v>
      </c>
      <c r="B142" s="1">
        <v>41027</v>
      </c>
      <c r="C142" s="1">
        <v>41072</v>
      </c>
      <c r="D142" t="s">
        <v>6474</v>
      </c>
      <c r="E142">
        <v>329508</v>
      </c>
      <c r="F142">
        <v>52577</v>
      </c>
      <c r="G142">
        <v>0</v>
      </c>
      <c r="H142">
        <v>0</v>
      </c>
      <c r="I142">
        <v>241</v>
      </c>
      <c r="J142">
        <v>385183</v>
      </c>
      <c r="L142" s="1">
        <v>41027</v>
      </c>
      <c r="N142" t="s">
        <v>5127</v>
      </c>
      <c r="O142" t="s">
        <v>2458</v>
      </c>
      <c r="P142" t="s">
        <v>6475</v>
      </c>
      <c r="Q142" t="s">
        <v>39</v>
      </c>
      <c r="R142" t="s">
        <v>40</v>
      </c>
      <c r="S142">
        <v>0</v>
      </c>
      <c r="U142" t="s">
        <v>5550</v>
      </c>
      <c r="V142" t="s">
        <v>1797</v>
      </c>
      <c r="X142" t="s">
        <v>74</v>
      </c>
      <c r="Y142" t="b">
        <v>0</v>
      </c>
      <c r="Z142" t="b">
        <v>0</v>
      </c>
      <c r="AB142" t="s">
        <v>6476</v>
      </c>
      <c r="AC142" s="1">
        <v>41190</v>
      </c>
      <c r="AD142" t="s">
        <v>6477</v>
      </c>
      <c r="AE142" t="s">
        <v>6478</v>
      </c>
      <c r="AF142">
        <v>386085</v>
      </c>
      <c r="AG142">
        <v>45</v>
      </c>
      <c r="AH142">
        <v>286</v>
      </c>
      <c r="AI142" s="2">
        <f>Table__192.168.3.138AgingReportBEWLGS[[#This Row],[NetAmount]]-Table__192.168.3.138AgingReportBEWLGS[[#This Row],[Paid]]</f>
        <v>-902</v>
      </c>
    </row>
    <row r="143" spans="1:35">
      <c r="A143" t="s">
        <v>6480</v>
      </c>
      <c r="B143" s="1">
        <v>41038</v>
      </c>
      <c r="C143" s="1">
        <v>41083</v>
      </c>
      <c r="D143" t="s">
        <v>5521</v>
      </c>
      <c r="E143">
        <v>22800</v>
      </c>
      <c r="F143">
        <v>3648</v>
      </c>
      <c r="G143">
        <v>0</v>
      </c>
      <c r="H143">
        <v>0</v>
      </c>
      <c r="I143">
        <v>237</v>
      </c>
      <c r="J143">
        <v>26448</v>
      </c>
      <c r="K143" t="s">
        <v>6481</v>
      </c>
      <c r="L143" s="1">
        <v>41031</v>
      </c>
      <c r="M143" t="s">
        <v>6482</v>
      </c>
      <c r="N143" t="s">
        <v>5127</v>
      </c>
      <c r="O143" t="s">
        <v>2458</v>
      </c>
      <c r="P143" t="s">
        <v>5532</v>
      </c>
      <c r="Q143" t="s">
        <v>39</v>
      </c>
      <c r="R143" t="s">
        <v>40</v>
      </c>
      <c r="S143">
        <v>0</v>
      </c>
      <c r="U143" t="s">
        <v>5550</v>
      </c>
      <c r="V143" t="s">
        <v>1797</v>
      </c>
      <c r="W143" t="s">
        <v>6483</v>
      </c>
      <c r="X143" t="s">
        <v>74</v>
      </c>
      <c r="Y143" t="b">
        <v>0</v>
      </c>
      <c r="Z143" t="b">
        <v>0</v>
      </c>
      <c r="AA143" t="b">
        <v>0</v>
      </c>
      <c r="AC143" s="1"/>
      <c r="AF143">
        <v>0</v>
      </c>
      <c r="AG143">
        <v>45</v>
      </c>
      <c r="AH143">
        <v>282</v>
      </c>
      <c r="AI143" s="2">
        <f>Table__192.168.3.138AgingReportBEWLGS[[#This Row],[NetAmount]]-Table__192.168.3.138AgingReportBEWLGS[[#This Row],[Paid]]</f>
        <v>26448</v>
      </c>
    </row>
    <row r="144" spans="1:35">
      <c r="A144" t="s">
        <v>6484</v>
      </c>
      <c r="B144" s="1">
        <v>41046</v>
      </c>
      <c r="C144" s="1">
        <v>41091</v>
      </c>
      <c r="D144" t="s">
        <v>6278</v>
      </c>
      <c r="E144">
        <v>12149</v>
      </c>
      <c r="F144">
        <v>481</v>
      </c>
      <c r="G144">
        <v>0</v>
      </c>
      <c r="H144">
        <v>0</v>
      </c>
      <c r="I144">
        <v>239</v>
      </c>
      <c r="J144">
        <v>12630</v>
      </c>
      <c r="K144" t="s">
        <v>5656</v>
      </c>
      <c r="L144" s="1">
        <v>41029</v>
      </c>
      <c r="N144" t="s">
        <v>5127</v>
      </c>
      <c r="O144" t="s">
        <v>2458</v>
      </c>
      <c r="P144" t="s">
        <v>6280</v>
      </c>
      <c r="Q144" t="s">
        <v>39</v>
      </c>
      <c r="R144" t="s">
        <v>40</v>
      </c>
      <c r="S144">
        <v>0</v>
      </c>
      <c r="U144" t="s">
        <v>5550</v>
      </c>
      <c r="V144" t="s">
        <v>1797</v>
      </c>
      <c r="X144" t="s">
        <v>74</v>
      </c>
      <c r="Y144" t="b">
        <v>0</v>
      </c>
      <c r="Z144" t="b">
        <v>0</v>
      </c>
      <c r="AC144" s="1"/>
      <c r="AF144">
        <v>0</v>
      </c>
      <c r="AG144">
        <v>45</v>
      </c>
      <c r="AH144">
        <v>284</v>
      </c>
      <c r="AI144" s="2">
        <f>Table__192.168.3.138AgingReportBEWLGS[[#This Row],[NetAmount]]-Table__192.168.3.138AgingReportBEWLGS[[#This Row],[Paid]]</f>
        <v>12630</v>
      </c>
    </row>
    <row r="145" spans="1:35">
      <c r="A145" t="s">
        <v>6485</v>
      </c>
      <c r="B145" s="1">
        <v>41051</v>
      </c>
      <c r="C145" s="1">
        <v>41096</v>
      </c>
      <c r="D145" t="s">
        <v>6486</v>
      </c>
      <c r="E145">
        <v>12099</v>
      </c>
      <c r="F145">
        <v>1936</v>
      </c>
      <c r="G145">
        <v>0</v>
      </c>
      <c r="H145">
        <v>0</v>
      </c>
      <c r="I145">
        <v>215</v>
      </c>
      <c r="J145">
        <v>14035</v>
      </c>
      <c r="K145" t="s">
        <v>6487</v>
      </c>
      <c r="L145" s="1">
        <v>41053</v>
      </c>
      <c r="N145" t="s">
        <v>5127</v>
      </c>
      <c r="O145" t="s">
        <v>2458</v>
      </c>
      <c r="P145" t="s">
        <v>5464</v>
      </c>
      <c r="Q145" t="s">
        <v>39</v>
      </c>
      <c r="R145" t="s">
        <v>40</v>
      </c>
      <c r="S145">
        <v>0</v>
      </c>
      <c r="U145" t="s">
        <v>5550</v>
      </c>
      <c r="V145" t="s">
        <v>1797</v>
      </c>
      <c r="X145" t="s">
        <v>74</v>
      </c>
      <c r="Y145" t="b">
        <v>0</v>
      </c>
      <c r="Z145" t="b">
        <v>0</v>
      </c>
      <c r="AC145" s="1"/>
      <c r="AF145">
        <v>0</v>
      </c>
      <c r="AG145">
        <v>45</v>
      </c>
      <c r="AH145">
        <v>260</v>
      </c>
      <c r="AI145" s="2">
        <f>Table__192.168.3.138AgingReportBEWLGS[[#This Row],[NetAmount]]-Table__192.168.3.138AgingReportBEWLGS[[#This Row],[Paid]]</f>
        <v>14035</v>
      </c>
    </row>
    <row r="146" spans="1:35">
      <c r="A146" t="s">
        <v>6488</v>
      </c>
      <c r="B146" s="1">
        <v>41051</v>
      </c>
      <c r="C146" s="1">
        <v>41096</v>
      </c>
      <c r="D146" t="s">
        <v>6486</v>
      </c>
      <c r="E146">
        <v>18159</v>
      </c>
      <c r="F146">
        <v>2905</v>
      </c>
      <c r="G146">
        <v>0</v>
      </c>
      <c r="H146">
        <v>0</v>
      </c>
      <c r="I146">
        <v>215</v>
      </c>
      <c r="J146">
        <v>21064</v>
      </c>
      <c r="K146" t="s">
        <v>6489</v>
      </c>
      <c r="L146" s="1">
        <v>41053</v>
      </c>
      <c r="N146" t="s">
        <v>5127</v>
      </c>
      <c r="O146" t="s">
        <v>2458</v>
      </c>
      <c r="P146" t="s">
        <v>5464</v>
      </c>
      <c r="Q146" t="s">
        <v>39</v>
      </c>
      <c r="R146" t="s">
        <v>40</v>
      </c>
      <c r="S146">
        <v>0</v>
      </c>
      <c r="U146" t="s">
        <v>5550</v>
      </c>
      <c r="V146" t="s">
        <v>1797</v>
      </c>
      <c r="X146" t="s">
        <v>74</v>
      </c>
      <c r="Y146" t="b">
        <v>0</v>
      </c>
      <c r="Z146" t="b">
        <v>0</v>
      </c>
      <c r="AC146" s="1"/>
      <c r="AF146">
        <v>0</v>
      </c>
      <c r="AG146">
        <v>45</v>
      </c>
      <c r="AH146">
        <v>260</v>
      </c>
      <c r="AI146" s="2">
        <f>Table__192.168.3.138AgingReportBEWLGS[[#This Row],[NetAmount]]-Table__192.168.3.138AgingReportBEWLGS[[#This Row],[Paid]]</f>
        <v>21064</v>
      </c>
    </row>
    <row r="147" spans="1:35">
      <c r="A147" t="s">
        <v>6490</v>
      </c>
      <c r="B147" s="1">
        <v>41051</v>
      </c>
      <c r="C147" s="1">
        <v>41096</v>
      </c>
      <c r="D147" t="s">
        <v>6486</v>
      </c>
      <c r="E147">
        <v>3950</v>
      </c>
      <c r="F147">
        <v>632</v>
      </c>
      <c r="G147">
        <v>0</v>
      </c>
      <c r="H147">
        <v>0</v>
      </c>
      <c r="I147">
        <v>215</v>
      </c>
      <c r="J147">
        <v>4582</v>
      </c>
      <c r="K147" t="s">
        <v>6491</v>
      </c>
      <c r="L147" s="1">
        <v>41053</v>
      </c>
      <c r="N147" t="s">
        <v>5127</v>
      </c>
      <c r="O147" t="s">
        <v>2458</v>
      </c>
      <c r="P147" t="s">
        <v>5464</v>
      </c>
      <c r="Q147" t="s">
        <v>39</v>
      </c>
      <c r="R147" t="s">
        <v>40</v>
      </c>
      <c r="S147">
        <v>0</v>
      </c>
      <c r="U147" t="s">
        <v>5550</v>
      </c>
      <c r="V147" t="s">
        <v>1797</v>
      </c>
      <c r="X147" t="s">
        <v>74</v>
      </c>
      <c r="Y147" t="b">
        <v>0</v>
      </c>
      <c r="Z147" t="b">
        <v>0</v>
      </c>
      <c r="AC147" s="1"/>
      <c r="AF147">
        <v>0</v>
      </c>
      <c r="AG147">
        <v>45</v>
      </c>
      <c r="AH147">
        <v>260</v>
      </c>
      <c r="AI147" s="2">
        <f>Table__192.168.3.138AgingReportBEWLGS[[#This Row],[NetAmount]]-Table__192.168.3.138AgingReportBEWLGS[[#This Row],[Paid]]</f>
        <v>4582</v>
      </c>
    </row>
    <row r="148" spans="1:35">
      <c r="A148" t="s">
        <v>6492</v>
      </c>
      <c r="B148" s="1">
        <v>41054</v>
      </c>
      <c r="C148" s="1">
        <v>41099</v>
      </c>
      <c r="D148" t="s">
        <v>5521</v>
      </c>
      <c r="E148">
        <v>33750</v>
      </c>
      <c r="F148">
        <v>5400</v>
      </c>
      <c r="G148">
        <v>0</v>
      </c>
      <c r="H148">
        <v>0</v>
      </c>
      <c r="I148">
        <v>218</v>
      </c>
      <c r="J148">
        <v>39150</v>
      </c>
      <c r="K148" t="s">
        <v>4912</v>
      </c>
      <c r="L148" s="1">
        <v>41050</v>
      </c>
      <c r="M148" t="s">
        <v>6493</v>
      </c>
      <c r="N148" t="s">
        <v>5127</v>
      </c>
      <c r="O148" t="s">
        <v>2458</v>
      </c>
      <c r="P148" t="s">
        <v>5532</v>
      </c>
      <c r="Q148" t="s">
        <v>39</v>
      </c>
      <c r="R148" t="s">
        <v>40</v>
      </c>
      <c r="S148">
        <v>0</v>
      </c>
      <c r="U148" t="s">
        <v>5550</v>
      </c>
      <c r="V148" t="s">
        <v>1797</v>
      </c>
      <c r="W148" t="s">
        <v>6483</v>
      </c>
      <c r="X148" t="s">
        <v>74</v>
      </c>
      <c r="Y148" t="b">
        <v>0</v>
      </c>
      <c r="Z148" t="b">
        <v>0</v>
      </c>
      <c r="AA148" t="b">
        <v>0</v>
      </c>
      <c r="AC148" s="1"/>
      <c r="AF148">
        <v>0</v>
      </c>
      <c r="AG148">
        <v>45</v>
      </c>
      <c r="AH148">
        <v>263</v>
      </c>
      <c r="AI148" s="2">
        <f>Table__192.168.3.138AgingReportBEWLGS[[#This Row],[NetAmount]]-Table__192.168.3.138AgingReportBEWLGS[[#This Row],[Paid]]</f>
        <v>39150</v>
      </c>
    </row>
    <row r="149" spans="1:35">
      <c r="A149" t="s">
        <v>6494</v>
      </c>
      <c r="B149" s="1">
        <v>41043</v>
      </c>
      <c r="C149" s="1">
        <v>41043</v>
      </c>
      <c r="D149" t="s">
        <v>6495</v>
      </c>
      <c r="E149">
        <v>575770</v>
      </c>
      <c r="F149">
        <v>112275</v>
      </c>
      <c r="G149">
        <v>0</v>
      </c>
      <c r="H149">
        <v>0</v>
      </c>
      <c r="I149">
        <v>0</v>
      </c>
      <c r="J149">
        <v>688045</v>
      </c>
      <c r="K149" t="s">
        <v>3660</v>
      </c>
      <c r="L149" s="1">
        <v>41043</v>
      </c>
      <c r="N149" t="s">
        <v>5127</v>
      </c>
      <c r="O149" t="s">
        <v>2458</v>
      </c>
      <c r="P149" t="s">
        <v>6496</v>
      </c>
      <c r="Q149" t="s">
        <v>39</v>
      </c>
      <c r="R149" t="s">
        <v>40</v>
      </c>
      <c r="S149">
        <v>0</v>
      </c>
      <c r="U149" t="s">
        <v>5550</v>
      </c>
      <c r="V149" t="s">
        <v>1797</v>
      </c>
      <c r="X149" t="s">
        <v>74</v>
      </c>
      <c r="Y149" t="b">
        <v>0</v>
      </c>
      <c r="Z149" t="b">
        <v>0</v>
      </c>
      <c r="AB149" t="s">
        <v>6497</v>
      </c>
      <c r="AC149" s="1">
        <v>41094</v>
      </c>
      <c r="AD149" t="s">
        <v>6498</v>
      </c>
      <c r="AF149">
        <v>0</v>
      </c>
      <c r="AH149">
        <v>270</v>
      </c>
      <c r="AI149" s="2">
        <f>Table__192.168.3.138AgingReportBEWLGS[[#This Row],[NetAmount]]-Table__192.168.3.138AgingReportBEWLGS[[#This Row],[Paid]]</f>
        <v>688045</v>
      </c>
    </row>
    <row r="150" spans="1:35">
      <c r="A150" t="s">
        <v>6499</v>
      </c>
      <c r="B150" s="1">
        <v>41039</v>
      </c>
      <c r="C150" s="1">
        <v>41039</v>
      </c>
      <c r="D150" t="s">
        <v>6495</v>
      </c>
      <c r="E150">
        <v>864300</v>
      </c>
      <c r="F150">
        <v>168538</v>
      </c>
      <c r="G150">
        <v>0</v>
      </c>
      <c r="H150">
        <v>0</v>
      </c>
      <c r="I150">
        <v>0</v>
      </c>
      <c r="J150">
        <v>1032838</v>
      </c>
      <c r="K150" t="s">
        <v>5761</v>
      </c>
      <c r="L150" s="1">
        <v>41040</v>
      </c>
      <c r="N150" t="s">
        <v>5127</v>
      </c>
      <c r="O150" t="s">
        <v>2458</v>
      </c>
      <c r="P150" t="s">
        <v>6496</v>
      </c>
      <c r="Q150" t="s">
        <v>39</v>
      </c>
      <c r="R150" t="s">
        <v>40</v>
      </c>
      <c r="S150">
        <v>0</v>
      </c>
      <c r="U150" t="s">
        <v>5550</v>
      </c>
      <c r="V150" t="s">
        <v>1797</v>
      </c>
      <c r="X150" t="s">
        <v>74</v>
      </c>
      <c r="Y150" t="b">
        <v>0</v>
      </c>
      <c r="Z150" t="b">
        <v>0</v>
      </c>
      <c r="AB150" t="s">
        <v>6497</v>
      </c>
      <c r="AC150" s="1">
        <v>41094</v>
      </c>
      <c r="AD150" t="s">
        <v>6498</v>
      </c>
      <c r="AF150">
        <v>0</v>
      </c>
      <c r="AH150">
        <v>273</v>
      </c>
      <c r="AI150" s="2">
        <f>Table__192.168.3.138AgingReportBEWLGS[[#This Row],[NetAmount]]-Table__192.168.3.138AgingReportBEWLGS[[#This Row],[Paid]]</f>
        <v>1032838</v>
      </c>
    </row>
    <row r="151" spans="1:35">
      <c r="A151" t="s">
        <v>6500</v>
      </c>
      <c r="B151" s="1">
        <v>41048</v>
      </c>
      <c r="C151" s="1">
        <v>41093</v>
      </c>
      <c r="D151" t="s">
        <v>6328</v>
      </c>
      <c r="E151">
        <v>585630</v>
      </c>
      <c r="F151">
        <v>114198</v>
      </c>
      <c r="G151">
        <v>0</v>
      </c>
      <c r="H151">
        <v>0</v>
      </c>
      <c r="I151">
        <v>220</v>
      </c>
      <c r="J151">
        <v>703080</v>
      </c>
      <c r="K151" t="s">
        <v>2781</v>
      </c>
      <c r="L151" s="1">
        <v>41048</v>
      </c>
      <c r="N151" t="s">
        <v>5127</v>
      </c>
      <c r="O151" t="s">
        <v>2458</v>
      </c>
      <c r="P151" t="s">
        <v>6330</v>
      </c>
      <c r="Q151" t="s">
        <v>39</v>
      </c>
      <c r="R151" t="s">
        <v>40</v>
      </c>
      <c r="S151">
        <v>0</v>
      </c>
      <c r="U151" t="s">
        <v>5550</v>
      </c>
      <c r="V151" t="s">
        <v>1797</v>
      </c>
      <c r="X151" t="s">
        <v>74</v>
      </c>
      <c r="Y151" t="b">
        <v>0</v>
      </c>
      <c r="Z151" t="b">
        <v>0</v>
      </c>
      <c r="AB151" t="s">
        <v>5631</v>
      </c>
      <c r="AC151" s="1">
        <v>41185</v>
      </c>
      <c r="AD151" t="s">
        <v>6501</v>
      </c>
      <c r="AE151" t="s">
        <v>6502</v>
      </c>
      <c r="AF151">
        <v>699828</v>
      </c>
      <c r="AG151">
        <v>45</v>
      </c>
      <c r="AH151">
        <v>265</v>
      </c>
      <c r="AI151" s="2">
        <f>Table__192.168.3.138AgingReportBEWLGS[[#This Row],[NetAmount]]-Table__192.168.3.138AgingReportBEWLGS[[#This Row],[Paid]]</f>
        <v>3252</v>
      </c>
    </row>
    <row r="152" spans="1:35">
      <c r="A152" t="s">
        <v>6503</v>
      </c>
      <c r="B152" s="1">
        <v>41034</v>
      </c>
      <c r="C152" s="1">
        <v>41079</v>
      </c>
      <c r="D152" t="s">
        <v>6328</v>
      </c>
      <c r="E152">
        <v>603450</v>
      </c>
      <c r="F152">
        <v>117673</v>
      </c>
      <c r="G152">
        <v>0</v>
      </c>
      <c r="H152">
        <v>0</v>
      </c>
      <c r="I152">
        <v>234</v>
      </c>
      <c r="J152">
        <v>724367</v>
      </c>
      <c r="K152" t="s">
        <v>6504</v>
      </c>
      <c r="L152" s="1">
        <v>41034</v>
      </c>
      <c r="N152" t="s">
        <v>5127</v>
      </c>
      <c r="O152" t="s">
        <v>2458</v>
      </c>
      <c r="P152" t="s">
        <v>6330</v>
      </c>
      <c r="Q152" t="s">
        <v>39</v>
      </c>
      <c r="R152" t="s">
        <v>40</v>
      </c>
      <c r="S152">
        <v>0</v>
      </c>
      <c r="U152" t="s">
        <v>5550</v>
      </c>
      <c r="V152" t="s">
        <v>1797</v>
      </c>
      <c r="X152" t="s">
        <v>74</v>
      </c>
      <c r="Y152" t="b">
        <v>0</v>
      </c>
      <c r="Z152" t="b">
        <v>0</v>
      </c>
      <c r="AB152" t="s">
        <v>6505</v>
      </c>
      <c r="AC152" s="1">
        <v>41218</v>
      </c>
      <c r="AD152" t="s">
        <v>6506</v>
      </c>
      <c r="AE152" t="s">
        <v>6507</v>
      </c>
      <c r="AF152">
        <v>721123</v>
      </c>
      <c r="AG152">
        <v>45</v>
      </c>
      <c r="AH152">
        <v>279</v>
      </c>
      <c r="AI152" s="2">
        <f>Table__192.168.3.138AgingReportBEWLGS[[#This Row],[NetAmount]]-Table__192.168.3.138AgingReportBEWLGS[[#This Row],[Paid]]</f>
        <v>3244</v>
      </c>
    </row>
    <row r="153" spans="1:35">
      <c r="A153" t="s">
        <v>6508</v>
      </c>
      <c r="B153" s="1">
        <v>41057</v>
      </c>
      <c r="C153" s="1">
        <v>41102</v>
      </c>
      <c r="D153" t="s">
        <v>249</v>
      </c>
      <c r="E153">
        <v>27000</v>
      </c>
      <c r="F153">
        <v>0</v>
      </c>
      <c r="G153">
        <v>0</v>
      </c>
      <c r="H153">
        <v>0</v>
      </c>
      <c r="I153">
        <v>208</v>
      </c>
      <c r="J153">
        <v>27000</v>
      </c>
      <c r="K153" t="s">
        <v>6509</v>
      </c>
      <c r="L153" s="1">
        <v>41060</v>
      </c>
      <c r="N153" t="s">
        <v>5127</v>
      </c>
      <c r="O153" t="s">
        <v>2458</v>
      </c>
      <c r="P153" t="s">
        <v>6422</v>
      </c>
      <c r="Q153" t="s">
        <v>39</v>
      </c>
      <c r="R153" t="s">
        <v>40</v>
      </c>
      <c r="S153">
        <v>0</v>
      </c>
      <c r="U153" t="s">
        <v>5550</v>
      </c>
      <c r="V153" t="s">
        <v>1797</v>
      </c>
      <c r="X153" t="s">
        <v>74</v>
      </c>
      <c r="Y153" t="b">
        <v>0</v>
      </c>
      <c r="Z153" t="b">
        <v>0</v>
      </c>
      <c r="AC153" s="1"/>
      <c r="AF153">
        <v>0</v>
      </c>
      <c r="AG153">
        <v>45</v>
      </c>
      <c r="AH153">
        <v>253</v>
      </c>
      <c r="AI153" s="2">
        <f>Table__192.168.3.138AgingReportBEWLGS[[#This Row],[NetAmount]]-Table__192.168.3.138AgingReportBEWLGS[[#This Row],[Paid]]</f>
        <v>27000</v>
      </c>
    </row>
    <row r="154" spans="1:35">
      <c r="A154" t="s">
        <v>6510</v>
      </c>
      <c r="B154" s="1">
        <v>41059</v>
      </c>
      <c r="C154" s="1">
        <v>41104</v>
      </c>
      <c r="D154" t="s">
        <v>6335</v>
      </c>
      <c r="E154">
        <v>296734</v>
      </c>
      <c r="F154">
        <v>40929</v>
      </c>
      <c r="G154">
        <v>0</v>
      </c>
      <c r="H154">
        <v>337663.02</v>
      </c>
      <c r="I154">
        <v>210</v>
      </c>
      <c r="J154">
        <v>296737.02</v>
      </c>
      <c r="K154" t="s">
        <v>6511</v>
      </c>
      <c r="L154" s="1">
        <v>41058</v>
      </c>
      <c r="N154" t="s">
        <v>5127</v>
      </c>
      <c r="O154" t="s">
        <v>2458</v>
      </c>
      <c r="P154" t="s">
        <v>6337</v>
      </c>
      <c r="Q154" t="s">
        <v>39</v>
      </c>
      <c r="R154" t="s">
        <v>40</v>
      </c>
      <c r="S154">
        <v>0</v>
      </c>
      <c r="T154" t="s">
        <v>6512</v>
      </c>
      <c r="U154" t="s">
        <v>5550</v>
      </c>
      <c r="V154" t="s">
        <v>1797</v>
      </c>
      <c r="X154" t="s">
        <v>74</v>
      </c>
      <c r="Y154" t="b">
        <v>0</v>
      </c>
      <c r="Z154" t="b">
        <v>0</v>
      </c>
      <c r="AC154" s="1"/>
      <c r="AF154">
        <v>0</v>
      </c>
      <c r="AG154">
        <v>45</v>
      </c>
      <c r="AH154">
        <v>255</v>
      </c>
      <c r="AI154" s="2">
        <f>Table__192.168.3.138AgingReportBEWLGS[[#This Row],[NetAmount]]-Table__192.168.3.138AgingReportBEWLGS[[#This Row],[Paid]]</f>
        <v>296737.02</v>
      </c>
    </row>
    <row r="155" spans="1:35">
      <c r="A155" t="s">
        <v>6513</v>
      </c>
      <c r="B155" s="1">
        <v>41031</v>
      </c>
      <c r="C155" s="1">
        <v>41076</v>
      </c>
      <c r="D155" t="s">
        <v>6369</v>
      </c>
      <c r="E155">
        <v>925030</v>
      </c>
      <c r="F155">
        <v>148005</v>
      </c>
      <c r="G155">
        <v>0</v>
      </c>
      <c r="H155">
        <v>1073000</v>
      </c>
      <c r="I155">
        <v>237</v>
      </c>
      <c r="J155">
        <v>1073035</v>
      </c>
      <c r="K155" t="s">
        <v>6514</v>
      </c>
      <c r="L155" s="1">
        <v>41031</v>
      </c>
      <c r="N155" t="s">
        <v>5127</v>
      </c>
      <c r="O155" t="s">
        <v>2458</v>
      </c>
      <c r="P155" t="s">
        <v>5508</v>
      </c>
      <c r="Q155" t="s">
        <v>39</v>
      </c>
      <c r="R155" t="s">
        <v>40</v>
      </c>
      <c r="S155">
        <v>0</v>
      </c>
      <c r="T155" t="s">
        <v>6515</v>
      </c>
      <c r="U155" t="s">
        <v>5550</v>
      </c>
      <c r="V155" t="s">
        <v>1797</v>
      </c>
      <c r="X155" t="s">
        <v>74</v>
      </c>
      <c r="Y155" t="b">
        <v>0</v>
      </c>
      <c r="Z155" t="b">
        <v>0</v>
      </c>
      <c r="AC155" s="1"/>
      <c r="AF155">
        <v>0</v>
      </c>
      <c r="AG155">
        <v>45</v>
      </c>
      <c r="AH155">
        <v>282</v>
      </c>
      <c r="AI155" s="2">
        <f>Table__192.168.3.138AgingReportBEWLGS[[#This Row],[NetAmount]]-Table__192.168.3.138AgingReportBEWLGS[[#This Row],[Paid]]</f>
        <v>1073035</v>
      </c>
    </row>
    <row r="156" spans="1:35">
      <c r="A156" t="s">
        <v>6516</v>
      </c>
      <c r="B156" s="1">
        <v>41045</v>
      </c>
      <c r="C156" s="1">
        <v>41090</v>
      </c>
      <c r="D156" t="s">
        <v>6369</v>
      </c>
      <c r="E156">
        <v>925030</v>
      </c>
      <c r="F156">
        <v>148005</v>
      </c>
      <c r="G156">
        <v>0</v>
      </c>
      <c r="H156">
        <v>1073000</v>
      </c>
      <c r="I156">
        <v>223</v>
      </c>
      <c r="J156">
        <v>1073035</v>
      </c>
      <c r="K156" t="s">
        <v>6517</v>
      </c>
      <c r="L156" s="1">
        <v>41045</v>
      </c>
      <c r="N156" t="s">
        <v>5127</v>
      </c>
      <c r="O156" t="s">
        <v>2458</v>
      </c>
      <c r="P156" t="s">
        <v>5508</v>
      </c>
      <c r="Q156" t="s">
        <v>39</v>
      </c>
      <c r="R156" t="s">
        <v>40</v>
      </c>
      <c r="S156">
        <v>0</v>
      </c>
      <c r="T156" t="s">
        <v>6518</v>
      </c>
      <c r="U156" t="s">
        <v>5550</v>
      </c>
      <c r="V156" t="s">
        <v>1797</v>
      </c>
      <c r="X156" t="s">
        <v>74</v>
      </c>
      <c r="Y156" t="b">
        <v>0</v>
      </c>
      <c r="Z156" t="b">
        <v>0</v>
      </c>
      <c r="AC156" s="1"/>
      <c r="AF156">
        <v>0</v>
      </c>
      <c r="AG156">
        <v>45</v>
      </c>
      <c r="AH156">
        <v>268</v>
      </c>
      <c r="AI156" s="2">
        <f>Table__192.168.3.138AgingReportBEWLGS[[#This Row],[NetAmount]]-Table__192.168.3.138AgingReportBEWLGS[[#This Row],[Paid]]</f>
        <v>1073035</v>
      </c>
    </row>
    <row r="157" spans="1:35">
      <c r="A157" t="s">
        <v>6519</v>
      </c>
      <c r="B157" s="1">
        <v>41058</v>
      </c>
      <c r="C157" s="1">
        <v>41103</v>
      </c>
      <c r="D157" t="s">
        <v>6335</v>
      </c>
      <c r="E157">
        <v>68466</v>
      </c>
      <c r="F157">
        <v>10955</v>
      </c>
      <c r="G157">
        <v>0</v>
      </c>
      <c r="H157">
        <v>0</v>
      </c>
      <c r="I157">
        <v>210</v>
      </c>
      <c r="J157">
        <v>79421</v>
      </c>
      <c r="K157" t="s">
        <v>6520</v>
      </c>
      <c r="L157" s="1">
        <v>41058</v>
      </c>
      <c r="N157" t="s">
        <v>5127</v>
      </c>
      <c r="O157" t="s">
        <v>2458</v>
      </c>
      <c r="P157" t="s">
        <v>6337</v>
      </c>
      <c r="Q157" t="s">
        <v>39</v>
      </c>
      <c r="R157" t="s">
        <v>40</v>
      </c>
      <c r="S157">
        <v>0</v>
      </c>
      <c r="U157" t="s">
        <v>5550</v>
      </c>
      <c r="V157" t="s">
        <v>1797</v>
      </c>
      <c r="X157" t="s">
        <v>74</v>
      </c>
      <c r="Y157" t="b">
        <v>0</v>
      </c>
      <c r="Z157" t="b">
        <v>0</v>
      </c>
      <c r="AC157" s="1"/>
      <c r="AF157">
        <v>0</v>
      </c>
      <c r="AG157">
        <v>45</v>
      </c>
      <c r="AH157">
        <v>255</v>
      </c>
      <c r="AI157" s="2">
        <f>Table__192.168.3.138AgingReportBEWLGS[[#This Row],[NetAmount]]-Table__192.168.3.138AgingReportBEWLGS[[#This Row],[Paid]]</f>
        <v>79421</v>
      </c>
    </row>
    <row r="158" spans="1:35">
      <c r="A158" t="s">
        <v>6521</v>
      </c>
      <c r="B158" s="1">
        <v>41034</v>
      </c>
      <c r="C158" s="1">
        <v>41079</v>
      </c>
      <c r="D158" t="s">
        <v>6448</v>
      </c>
      <c r="E158">
        <v>19040</v>
      </c>
      <c r="F158">
        <v>3046</v>
      </c>
      <c r="G158">
        <v>0</v>
      </c>
      <c r="H158">
        <v>0</v>
      </c>
      <c r="I158">
        <v>234</v>
      </c>
      <c r="J158">
        <v>22086</v>
      </c>
      <c r="K158" t="s">
        <v>3886</v>
      </c>
      <c r="L158" s="1">
        <v>41034</v>
      </c>
      <c r="N158" t="s">
        <v>5127</v>
      </c>
      <c r="O158" t="s">
        <v>2458</v>
      </c>
      <c r="P158" t="s">
        <v>6451</v>
      </c>
      <c r="Q158" t="s">
        <v>39</v>
      </c>
      <c r="R158" t="s">
        <v>40</v>
      </c>
      <c r="S158">
        <v>0</v>
      </c>
      <c r="U158" t="s">
        <v>5550</v>
      </c>
      <c r="V158" t="s">
        <v>1797</v>
      </c>
      <c r="X158" t="s">
        <v>74</v>
      </c>
      <c r="Y158" t="b">
        <v>0</v>
      </c>
      <c r="Z158" t="b">
        <v>0</v>
      </c>
      <c r="AC158" s="1"/>
      <c r="AF158">
        <v>0</v>
      </c>
      <c r="AG158">
        <v>45</v>
      </c>
      <c r="AH158">
        <v>279</v>
      </c>
      <c r="AI158" s="2">
        <f>Table__192.168.3.138AgingReportBEWLGS[[#This Row],[NetAmount]]-Table__192.168.3.138AgingReportBEWLGS[[#This Row],[Paid]]</f>
        <v>22086</v>
      </c>
    </row>
    <row r="159" spans="1:35">
      <c r="A159" t="s">
        <v>6522</v>
      </c>
      <c r="B159" s="1">
        <v>41041</v>
      </c>
      <c r="C159" s="1">
        <v>41086</v>
      </c>
      <c r="D159" t="s">
        <v>6448</v>
      </c>
      <c r="E159">
        <v>19040</v>
      </c>
      <c r="F159">
        <v>3046</v>
      </c>
      <c r="G159">
        <v>0</v>
      </c>
      <c r="H159">
        <v>0</v>
      </c>
      <c r="I159">
        <v>227</v>
      </c>
      <c r="J159">
        <v>22086</v>
      </c>
      <c r="K159" t="s">
        <v>5241</v>
      </c>
      <c r="L159" s="1">
        <v>41041</v>
      </c>
      <c r="N159" t="s">
        <v>5127</v>
      </c>
      <c r="O159" t="s">
        <v>2458</v>
      </c>
      <c r="P159" t="s">
        <v>6451</v>
      </c>
      <c r="Q159" t="s">
        <v>39</v>
      </c>
      <c r="R159" t="s">
        <v>40</v>
      </c>
      <c r="S159">
        <v>0</v>
      </c>
      <c r="U159" t="s">
        <v>5550</v>
      </c>
      <c r="V159" t="s">
        <v>1797</v>
      </c>
      <c r="X159" t="s">
        <v>74</v>
      </c>
      <c r="Y159" t="b">
        <v>0</v>
      </c>
      <c r="Z159" t="b">
        <v>0</v>
      </c>
      <c r="AC159" s="1"/>
      <c r="AF159">
        <v>0</v>
      </c>
      <c r="AG159">
        <v>45</v>
      </c>
      <c r="AH159">
        <v>272</v>
      </c>
      <c r="AI159" s="2">
        <f>Table__192.168.3.138AgingReportBEWLGS[[#This Row],[NetAmount]]-Table__192.168.3.138AgingReportBEWLGS[[#This Row],[Paid]]</f>
        <v>22086</v>
      </c>
    </row>
    <row r="160" spans="1:35">
      <c r="A160" t="s">
        <v>6523</v>
      </c>
      <c r="B160" s="1">
        <v>41050</v>
      </c>
      <c r="C160" s="1">
        <v>41095</v>
      </c>
      <c r="D160" t="s">
        <v>6448</v>
      </c>
      <c r="E160">
        <v>19040</v>
      </c>
      <c r="F160">
        <v>3046</v>
      </c>
      <c r="G160">
        <v>0</v>
      </c>
      <c r="H160">
        <v>0</v>
      </c>
      <c r="I160">
        <v>218</v>
      </c>
      <c r="J160">
        <v>22086</v>
      </c>
      <c r="K160" t="s">
        <v>6524</v>
      </c>
      <c r="L160" s="1">
        <v>41050</v>
      </c>
      <c r="N160" t="s">
        <v>5127</v>
      </c>
      <c r="O160" t="s">
        <v>2458</v>
      </c>
      <c r="P160" t="s">
        <v>6451</v>
      </c>
      <c r="Q160" t="s">
        <v>39</v>
      </c>
      <c r="R160" t="s">
        <v>40</v>
      </c>
      <c r="S160">
        <v>0</v>
      </c>
      <c r="U160" t="s">
        <v>5550</v>
      </c>
      <c r="V160" t="s">
        <v>1797</v>
      </c>
      <c r="X160" t="s">
        <v>74</v>
      </c>
      <c r="Y160" t="b">
        <v>0</v>
      </c>
      <c r="Z160" t="b">
        <v>0</v>
      </c>
      <c r="AC160" s="1"/>
      <c r="AF160">
        <v>0</v>
      </c>
      <c r="AG160">
        <v>45</v>
      </c>
      <c r="AH160">
        <v>263</v>
      </c>
      <c r="AI160" s="2">
        <f>Table__192.168.3.138AgingReportBEWLGS[[#This Row],[NetAmount]]-Table__192.168.3.138AgingReportBEWLGS[[#This Row],[Paid]]</f>
        <v>22086</v>
      </c>
    </row>
    <row r="161" spans="1:35">
      <c r="A161" t="s">
        <v>6525</v>
      </c>
      <c r="B161" s="1">
        <v>41057</v>
      </c>
      <c r="C161" s="1">
        <v>41102</v>
      </c>
      <c r="D161" t="s">
        <v>6448</v>
      </c>
      <c r="E161">
        <v>19040</v>
      </c>
      <c r="F161">
        <v>3046</v>
      </c>
      <c r="G161">
        <v>0</v>
      </c>
      <c r="H161">
        <v>0</v>
      </c>
      <c r="I161">
        <v>211</v>
      </c>
      <c r="J161">
        <v>22086</v>
      </c>
      <c r="K161" t="s">
        <v>6526</v>
      </c>
      <c r="L161" s="1">
        <v>41057</v>
      </c>
      <c r="N161" t="s">
        <v>5127</v>
      </c>
      <c r="O161" t="s">
        <v>2458</v>
      </c>
      <c r="P161" t="s">
        <v>6451</v>
      </c>
      <c r="Q161" t="s">
        <v>39</v>
      </c>
      <c r="R161" t="s">
        <v>40</v>
      </c>
      <c r="S161">
        <v>0</v>
      </c>
      <c r="U161" t="s">
        <v>5550</v>
      </c>
      <c r="V161" t="s">
        <v>1797</v>
      </c>
      <c r="X161" t="s">
        <v>74</v>
      </c>
      <c r="Y161" t="b">
        <v>0</v>
      </c>
      <c r="Z161" t="b">
        <v>0</v>
      </c>
      <c r="AC161" s="1"/>
      <c r="AF161">
        <v>0</v>
      </c>
      <c r="AG161">
        <v>45</v>
      </c>
      <c r="AH161">
        <v>256</v>
      </c>
      <c r="AI161" s="2">
        <f>Table__192.168.3.138AgingReportBEWLGS[[#This Row],[NetAmount]]-Table__192.168.3.138AgingReportBEWLGS[[#This Row],[Paid]]</f>
        <v>22086</v>
      </c>
    </row>
    <row r="162" spans="1:35">
      <c r="A162" t="s">
        <v>6527</v>
      </c>
      <c r="B162" s="1">
        <v>41060</v>
      </c>
      <c r="C162" s="1">
        <v>41105</v>
      </c>
      <c r="D162" t="s">
        <v>6448</v>
      </c>
      <c r="E162">
        <v>23800</v>
      </c>
      <c r="F162">
        <v>3808</v>
      </c>
      <c r="G162">
        <v>0</v>
      </c>
      <c r="H162">
        <v>0</v>
      </c>
      <c r="I162">
        <v>208</v>
      </c>
      <c r="J162">
        <v>27608</v>
      </c>
      <c r="K162" t="s">
        <v>2038</v>
      </c>
      <c r="L162" s="1">
        <v>41060</v>
      </c>
      <c r="N162" t="s">
        <v>5127</v>
      </c>
      <c r="O162" t="s">
        <v>2458</v>
      </c>
      <c r="P162" t="s">
        <v>6451</v>
      </c>
      <c r="Q162" t="s">
        <v>39</v>
      </c>
      <c r="R162" t="s">
        <v>40</v>
      </c>
      <c r="S162">
        <v>0</v>
      </c>
      <c r="U162" t="s">
        <v>5550</v>
      </c>
      <c r="V162" t="s">
        <v>1797</v>
      </c>
      <c r="X162" t="s">
        <v>74</v>
      </c>
      <c r="Y162" t="b">
        <v>0</v>
      </c>
      <c r="Z162" t="b">
        <v>0</v>
      </c>
      <c r="AC162" s="1"/>
      <c r="AF162">
        <v>0</v>
      </c>
      <c r="AG162">
        <v>45</v>
      </c>
      <c r="AH162">
        <v>253</v>
      </c>
      <c r="AI162" s="2">
        <f>Table__192.168.3.138AgingReportBEWLGS[[#This Row],[NetAmount]]-Table__192.168.3.138AgingReportBEWLGS[[#This Row],[Paid]]</f>
        <v>27608</v>
      </c>
    </row>
    <row r="163" spans="1:35">
      <c r="A163" t="s">
        <v>6528</v>
      </c>
      <c r="B163" s="1">
        <v>41038</v>
      </c>
      <c r="C163" s="1">
        <v>41038</v>
      </c>
      <c r="D163" t="s">
        <v>6529</v>
      </c>
      <c r="E163">
        <v>35378</v>
      </c>
      <c r="F163">
        <v>5660</v>
      </c>
      <c r="G163">
        <v>0</v>
      </c>
      <c r="H163">
        <v>0</v>
      </c>
      <c r="I163">
        <v>0</v>
      </c>
      <c r="J163">
        <v>41038</v>
      </c>
      <c r="K163" t="s">
        <v>3783</v>
      </c>
      <c r="L163" s="1">
        <v>41037</v>
      </c>
      <c r="N163" t="s">
        <v>5127</v>
      </c>
      <c r="O163" t="s">
        <v>2458</v>
      </c>
      <c r="P163" t="s">
        <v>6530</v>
      </c>
      <c r="Q163" t="s">
        <v>39</v>
      </c>
      <c r="R163" t="s">
        <v>40</v>
      </c>
      <c r="S163">
        <v>0</v>
      </c>
      <c r="U163" t="s">
        <v>5550</v>
      </c>
      <c r="V163" t="s">
        <v>1797</v>
      </c>
      <c r="X163" t="s">
        <v>74</v>
      </c>
      <c r="Y163" t="b">
        <v>0</v>
      </c>
      <c r="Z163" t="b">
        <v>0</v>
      </c>
      <c r="AB163" t="s">
        <v>6531</v>
      </c>
      <c r="AC163" s="1">
        <v>41116</v>
      </c>
      <c r="AE163" t="s">
        <v>6532</v>
      </c>
      <c r="AF163">
        <v>0</v>
      </c>
      <c r="AH163">
        <v>276</v>
      </c>
      <c r="AI163" s="2">
        <f>Table__192.168.3.138AgingReportBEWLGS[[#This Row],[NetAmount]]-Table__192.168.3.138AgingReportBEWLGS[[#This Row],[Paid]]</f>
        <v>41038</v>
      </c>
    </row>
    <row r="164" spans="1:35">
      <c r="A164" t="s">
        <v>6533</v>
      </c>
      <c r="B164" s="1">
        <v>41047</v>
      </c>
      <c r="C164" s="1">
        <v>41047</v>
      </c>
      <c r="D164" t="s">
        <v>6529</v>
      </c>
      <c r="E164">
        <v>37371</v>
      </c>
      <c r="F164">
        <v>5979</v>
      </c>
      <c r="G164">
        <v>0</v>
      </c>
      <c r="H164">
        <v>0</v>
      </c>
      <c r="I164">
        <v>0</v>
      </c>
      <c r="J164">
        <v>43350</v>
      </c>
      <c r="K164" t="s">
        <v>6534</v>
      </c>
      <c r="L164" s="1">
        <v>41046</v>
      </c>
      <c r="N164" t="s">
        <v>5127</v>
      </c>
      <c r="O164" t="s">
        <v>2458</v>
      </c>
      <c r="P164" t="s">
        <v>6530</v>
      </c>
      <c r="Q164" t="s">
        <v>39</v>
      </c>
      <c r="R164" t="s">
        <v>40</v>
      </c>
      <c r="S164">
        <v>0</v>
      </c>
      <c r="U164" t="s">
        <v>5550</v>
      </c>
      <c r="V164" t="s">
        <v>1797</v>
      </c>
      <c r="X164" t="s">
        <v>74</v>
      </c>
      <c r="Y164" t="b">
        <v>0</v>
      </c>
      <c r="Z164" t="b">
        <v>0</v>
      </c>
      <c r="AB164" t="s">
        <v>6531</v>
      </c>
      <c r="AC164" s="1">
        <v>41116</v>
      </c>
      <c r="AE164" t="s">
        <v>6532</v>
      </c>
      <c r="AF164">
        <v>0</v>
      </c>
      <c r="AH164">
        <v>267</v>
      </c>
      <c r="AI164" s="2">
        <f>Table__192.168.3.138AgingReportBEWLGS[[#This Row],[NetAmount]]-Table__192.168.3.138AgingReportBEWLGS[[#This Row],[Paid]]</f>
        <v>43350</v>
      </c>
    </row>
    <row r="165" spans="1:35">
      <c r="A165" t="s">
        <v>6535</v>
      </c>
      <c r="B165" s="1">
        <v>41058</v>
      </c>
      <c r="C165" s="1">
        <v>41103</v>
      </c>
      <c r="D165" t="s">
        <v>6536</v>
      </c>
      <c r="E165">
        <v>1598909</v>
      </c>
      <c r="F165">
        <v>303993</v>
      </c>
      <c r="G165">
        <v>0</v>
      </c>
      <c r="H165">
        <v>0</v>
      </c>
      <c r="I165">
        <v>211</v>
      </c>
      <c r="J165">
        <v>1862929</v>
      </c>
      <c r="K165" t="s">
        <v>6537</v>
      </c>
      <c r="L165" s="1">
        <v>41057</v>
      </c>
      <c r="N165" t="s">
        <v>5127</v>
      </c>
      <c r="O165" t="s">
        <v>2458</v>
      </c>
      <c r="P165" t="s">
        <v>6538</v>
      </c>
      <c r="Q165" t="s">
        <v>39</v>
      </c>
      <c r="R165" t="s">
        <v>40</v>
      </c>
      <c r="S165">
        <v>0</v>
      </c>
      <c r="U165" t="s">
        <v>5550</v>
      </c>
      <c r="V165" t="s">
        <v>1797</v>
      </c>
      <c r="X165" t="s">
        <v>74</v>
      </c>
      <c r="Y165" t="b">
        <v>0</v>
      </c>
      <c r="Z165" t="b">
        <v>0</v>
      </c>
      <c r="AB165" t="s">
        <v>6539</v>
      </c>
      <c r="AC165" s="1"/>
      <c r="AD165" t="s">
        <v>6540</v>
      </c>
      <c r="AF165">
        <v>1902902</v>
      </c>
      <c r="AG165">
        <v>45</v>
      </c>
      <c r="AH165">
        <v>256</v>
      </c>
      <c r="AI165" s="2">
        <f>Table__192.168.3.138AgingReportBEWLGS[[#This Row],[NetAmount]]-Table__192.168.3.138AgingReportBEWLGS[[#This Row],[Paid]]</f>
        <v>-39973</v>
      </c>
    </row>
    <row r="166" spans="1:35">
      <c r="A166" t="s">
        <v>6541</v>
      </c>
      <c r="B166" s="1">
        <v>41039</v>
      </c>
      <c r="C166" s="1">
        <v>41084</v>
      </c>
      <c r="D166" t="s">
        <v>6542</v>
      </c>
      <c r="E166">
        <v>18680</v>
      </c>
      <c r="F166">
        <v>0</v>
      </c>
      <c r="G166">
        <v>0</v>
      </c>
      <c r="H166">
        <v>0</v>
      </c>
      <c r="I166">
        <v>229</v>
      </c>
      <c r="J166">
        <v>18680</v>
      </c>
      <c r="K166" t="s">
        <v>3316</v>
      </c>
      <c r="L166" s="1">
        <v>41039</v>
      </c>
      <c r="M166" t="s">
        <v>6543</v>
      </c>
      <c r="N166" t="s">
        <v>5127</v>
      </c>
      <c r="O166" t="s">
        <v>2458</v>
      </c>
      <c r="P166" t="s">
        <v>6544</v>
      </c>
      <c r="Q166" t="s">
        <v>39</v>
      </c>
      <c r="R166" t="s">
        <v>40</v>
      </c>
      <c r="S166">
        <v>0</v>
      </c>
      <c r="U166" t="s">
        <v>5550</v>
      </c>
      <c r="V166" t="s">
        <v>1797</v>
      </c>
      <c r="W166" t="s">
        <v>6545</v>
      </c>
      <c r="X166" t="s">
        <v>74</v>
      </c>
      <c r="Y166" t="b">
        <v>0</v>
      </c>
      <c r="Z166" t="b">
        <v>0</v>
      </c>
      <c r="AA166" t="b">
        <v>0</v>
      </c>
      <c r="AC166" s="1"/>
      <c r="AF166">
        <v>0</v>
      </c>
      <c r="AG166">
        <v>45</v>
      </c>
      <c r="AH166">
        <v>274</v>
      </c>
      <c r="AI166" s="2">
        <f>Table__192.168.3.138AgingReportBEWLGS[[#This Row],[NetAmount]]-Table__192.168.3.138AgingReportBEWLGS[[#This Row],[Paid]]</f>
        <v>18680</v>
      </c>
    </row>
    <row r="167" spans="1:35">
      <c r="A167" t="s">
        <v>6546</v>
      </c>
      <c r="B167" s="1">
        <v>41038</v>
      </c>
      <c r="C167" s="1">
        <v>41083</v>
      </c>
      <c r="D167" t="s">
        <v>6542</v>
      </c>
      <c r="E167">
        <v>23440</v>
      </c>
      <c r="F167">
        <v>0</v>
      </c>
      <c r="G167">
        <v>0</v>
      </c>
      <c r="H167">
        <v>0</v>
      </c>
      <c r="I167">
        <v>230</v>
      </c>
      <c r="J167">
        <v>23440</v>
      </c>
      <c r="K167" t="s">
        <v>6547</v>
      </c>
      <c r="L167" s="1">
        <v>41038</v>
      </c>
      <c r="M167" t="s">
        <v>6548</v>
      </c>
      <c r="N167" t="s">
        <v>5127</v>
      </c>
      <c r="O167" t="s">
        <v>2458</v>
      </c>
      <c r="P167" t="s">
        <v>6544</v>
      </c>
      <c r="Q167" t="s">
        <v>39</v>
      </c>
      <c r="R167" t="s">
        <v>40</v>
      </c>
      <c r="S167">
        <v>0</v>
      </c>
      <c r="U167" t="s">
        <v>5550</v>
      </c>
      <c r="V167" t="s">
        <v>1797</v>
      </c>
      <c r="W167" t="s">
        <v>6545</v>
      </c>
      <c r="X167" t="s">
        <v>74</v>
      </c>
      <c r="Y167" t="b">
        <v>0</v>
      </c>
      <c r="Z167" t="b">
        <v>0</v>
      </c>
      <c r="AA167" t="b">
        <v>0</v>
      </c>
      <c r="AC167" s="1"/>
      <c r="AF167">
        <v>0</v>
      </c>
      <c r="AG167">
        <v>45</v>
      </c>
      <c r="AH167">
        <v>275</v>
      </c>
      <c r="AI167" s="2">
        <f>Table__192.168.3.138AgingReportBEWLGS[[#This Row],[NetAmount]]-Table__192.168.3.138AgingReportBEWLGS[[#This Row],[Paid]]</f>
        <v>23440</v>
      </c>
    </row>
    <row r="168" spans="1:35">
      <c r="A168" t="s">
        <v>6549</v>
      </c>
      <c r="B168" s="1">
        <v>41031</v>
      </c>
      <c r="C168" s="1">
        <v>41076</v>
      </c>
      <c r="D168" t="s">
        <v>6542</v>
      </c>
      <c r="E168">
        <v>19040</v>
      </c>
      <c r="F168">
        <v>0</v>
      </c>
      <c r="G168">
        <v>0</v>
      </c>
      <c r="H168">
        <v>0</v>
      </c>
      <c r="I168">
        <v>237</v>
      </c>
      <c r="J168">
        <v>19040</v>
      </c>
      <c r="K168" t="s">
        <v>6550</v>
      </c>
      <c r="L168" s="1">
        <v>41031</v>
      </c>
      <c r="M168" t="s">
        <v>6551</v>
      </c>
      <c r="N168" t="s">
        <v>5127</v>
      </c>
      <c r="O168" t="s">
        <v>2458</v>
      </c>
      <c r="P168" t="s">
        <v>6544</v>
      </c>
      <c r="Q168" t="s">
        <v>39</v>
      </c>
      <c r="R168" t="s">
        <v>40</v>
      </c>
      <c r="S168">
        <v>0</v>
      </c>
      <c r="U168" t="s">
        <v>5550</v>
      </c>
      <c r="V168" t="s">
        <v>1797</v>
      </c>
      <c r="W168" t="s">
        <v>6545</v>
      </c>
      <c r="X168" t="s">
        <v>74</v>
      </c>
      <c r="Y168" t="b">
        <v>0</v>
      </c>
      <c r="Z168" t="b">
        <v>0</v>
      </c>
      <c r="AA168" t="b">
        <v>0</v>
      </c>
      <c r="AC168" s="1"/>
      <c r="AF168">
        <v>0</v>
      </c>
      <c r="AG168">
        <v>45</v>
      </c>
      <c r="AH168">
        <v>282</v>
      </c>
      <c r="AI168" s="2">
        <f>Table__192.168.3.138AgingReportBEWLGS[[#This Row],[NetAmount]]-Table__192.168.3.138AgingReportBEWLGS[[#This Row],[Paid]]</f>
        <v>19040</v>
      </c>
    </row>
    <row r="169" spans="1:35">
      <c r="A169" t="s">
        <v>6552</v>
      </c>
      <c r="B169" s="1">
        <v>41043</v>
      </c>
      <c r="C169" s="1">
        <v>41088</v>
      </c>
      <c r="D169" t="s">
        <v>6542</v>
      </c>
      <c r="E169">
        <v>18680</v>
      </c>
      <c r="F169">
        <v>0</v>
      </c>
      <c r="G169">
        <v>0</v>
      </c>
      <c r="H169">
        <v>0</v>
      </c>
      <c r="I169">
        <v>225</v>
      </c>
      <c r="J169">
        <v>18680</v>
      </c>
      <c r="K169" t="s">
        <v>1274</v>
      </c>
      <c r="L169" s="1">
        <v>41043</v>
      </c>
      <c r="M169" t="s">
        <v>6553</v>
      </c>
      <c r="N169" t="s">
        <v>5127</v>
      </c>
      <c r="O169" t="s">
        <v>2458</v>
      </c>
      <c r="P169" t="s">
        <v>6544</v>
      </c>
      <c r="Q169" t="s">
        <v>39</v>
      </c>
      <c r="R169" t="s">
        <v>40</v>
      </c>
      <c r="S169">
        <v>0</v>
      </c>
      <c r="U169" t="s">
        <v>5550</v>
      </c>
      <c r="V169" t="s">
        <v>1797</v>
      </c>
      <c r="W169" t="s">
        <v>6545</v>
      </c>
      <c r="X169" t="s">
        <v>74</v>
      </c>
      <c r="Y169" t="b">
        <v>0</v>
      </c>
      <c r="Z169" t="b">
        <v>0</v>
      </c>
      <c r="AA169" t="b">
        <v>0</v>
      </c>
      <c r="AC169" s="1"/>
      <c r="AF169">
        <v>0</v>
      </c>
      <c r="AG169">
        <v>45</v>
      </c>
      <c r="AH169">
        <v>270</v>
      </c>
      <c r="AI169" s="2">
        <f>Table__192.168.3.138AgingReportBEWLGS[[#This Row],[NetAmount]]-Table__192.168.3.138AgingReportBEWLGS[[#This Row],[Paid]]</f>
        <v>18680</v>
      </c>
    </row>
    <row r="170" spans="1:35">
      <c r="A170" t="s">
        <v>6554</v>
      </c>
      <c r="B170" s="1">
        <v>41046</v>
      </c>
      <c r="C170" s="1">
        <v>41091</v>
      </c>
      <c r="D170" t="s">
        <v>6542</v>
      </c>
      <c r="E170">
        <v>20090</v>
      </c>
      <c r="F170">
        <v>0</v>
      </c>
      <c r="G170">
        <v>0</v>
      </c>
      <c r="H170">
        <v>0</v>
      </c>
      <c r="I170">
        <v>222</v>
      </c>
      <c r="J170">
        <v>20090</v>
      </c>
      <c r="K170" t="s">
        <v>3996</v>
      </c>
      <c r="L170" s="1">
        <v>41046</v>
      </c>
      <c r="M170" t="s">
        <v>6555</v>
      </c>
      <c r="N170" t="s">
        <v>5127</v>
      </c>
      <c r="O170" t="s">
        <v>2458</v>
      </c>
      <c r="P170" t="s">
        <v>6544</v>
      </c>
      <c r="Q170" t="s">
        <v>39</v>
      </c>
      <c r="R170" t="s">
        <v>40</v>
      </c>
      <c r="S170">
        <v>0</v>
      </c>
      <c r="U170" t="s">
        <v>5550</v>
      </c>
      <c r="V170" t="s">
        <v>1797</v>
      </c>
      <c r="W170" t="s">
        <v>6545</v>
      </c>
      <c r="X170" t="s">
        <v>74</v>
      </c>
      <c r="Y170" t="b">
        <v>0</v>
      </c>
      <c r="Z170" t="b">
        <v>0</v>
      </c>
      <c r="AA170" t="b">
        <v>0</v>
      </c>
      <c r="AC170" s="1"/>
      <c r="AF170">
        <v>0</v>
      </c>
      <c r="AG170">
        <v>45</v>
      </c>
      <c r="AH170">
        <v>267</v>
      </c>
      <c r="AI170" s="2">
        <f>Table__192.168.3.138AgingReportBEWLGS[[#This Row],[NetAmount]]-Table__192.168.3.138AgingReportBEWLGS[[#This Row],[Paid]]</f>
        <v>20090</v>
      </c>
    </row>
    <row r="171" spans="1:35">
      <c r="A171" t="s">
        <v>6556</v>
      </c>
      <c r="B171" s="1">
        <v>41052</v>
      </c>
      <c r="C171" s="1">
        <v>41097</v>
      </c>
      <c r="D171" t="s">
        <v>6542</v>
      </c>
      <c r="E171">
        <v>23440</v>
      </c>
      <c r="F171">
        <v>0</v>
      </c>
      <c r="G171">
        <v>0</v>
      </c>
      <c r="H171">
        <v>0</v>
      </c>
      <c r="I171">
        <v>216</v>
      </c>
      <c r="J171">
        <v>23440</v>
      </c>
      <c r="K171" t="s">
        <v>4516</v>
      </c>
      <c r="L171" s="1">
        <v>41052</v>
      </c>
      <c r="M171" t="s">
        <v>6557</v>
      </c>
      <c r="N171" t="s">
        <v>5127</v>
      </c>
      <c r="O171" t="s">
        <v>2458</v>
      </c>
      <c r="P171" t="s">
        <v>6544</v>
      </c>
      <c r="Q171" t="s">
        <v>39</v>
      </c>
      <c r="R171" t="s">
        <v>40</v>
      </c>
      <c r="S171">
        <v>0</v>
      </c>
      <c r="U171" t="s">
        <v>5550</v>
      </c>
      <c r="V171" t="s">
        <v>1797</v>
      </c>
      <c r="W171" t="s">
        <v>6545</v>
      </c>
      <c r="X171" t="s">
        <v>74</v>
      </c>
      <c r="Y171" t="b">
        <v>0</v>
      </c>
      <c r="Z171" t="b">
        <v>0</v>
      </c>
      <c r="AA171" t="b">
        <v>0</v>
      </c>
      <c r="AC171" s="1"/>
      <c r="AF171">
        <v>0</v>
      </c>
      <c r="AG171">
        <v>45</v>
      </c>
      <c r="AH171">
        <v>261</v>
      </c>
      <c r="AI171" s="2">
        <f>Table__192.168.3.138AgingReportBEWLGS[[#This Row],[NetAmount]]-Table__192.168.3.138AgingReportBEWLGS[[#This Row],[Paid]]</f>
        <v>23440</v>
      </c>
    </row>
    <row r="172" spans="1:35">
      <c r="A172" t="s">
        <v>6558</v>
      </c>
      <c r="B172" s="1">
        <v>41055</v>
      </c>
      <c r="C172" s="1">
        <v>41100</v>
      </c>
      <c r="D172" t="s">
        <v>6542</v>
      </c>
      <c r="E172">
        <v>21410</v>
      </c>
      <c r="F172">
        <v>0</v>
      </c>
      <c r="G172">
        <v>0</v>
      </c>
      <c r="H172">
        <v>0</v>
      </c>
      <c r="I172">
        <v>213</v>
      </c>
      <c r="J172">
        <v>21410</v>
      </c>
      <c r="K172" t="s">
        <v>3499</v>
      </c>
      <c r="L172" s="1">
        <v>41055</v>
      </c>
      <c r="M172" t="s">
        <v>6559</v>
      </c>
      <c r="N172" t="s">
        <v>5127</v>
      </c>
      <c r="O172" t="s">
        <v>2458</v>
      </c>
      <c r="P172" t="s">
        <v>6544</v>
      </c>
      <c r="Q172" t="s">
        <v>39</v>
      </c>
      <c r="R172" t="s">
        <v>40</v>
      </c>
      <c r="S172">
        <v>0</v>
      </c>
      <c r="U172" t="s">
        <v>5550</v>
      </c>
      <c r="V172" t="s">
        <v>1797</v>
      </c>
      <c r="W172" t="s">
        <v>6545</v>
      </c>
      <c r="X172" t="s">
        <v>74</v>
      </c>
      <c r="Y172" t="b">
        <v>0</v>
      </c>
      <c r="Z172" t="b">
        <v>0</v>
      </c>
      <c r="AA172" t="b">
        <v>0</v>
      </c>
      <c r="AC172" s="1"/>
      <c r="AF172">
        <v>0</v>
      </c>
      <c r="AG172">
        <v>45</v>
      </c>
      <c r="AH172">
        <v>258</v>
      </c>
      <c r="AI172" s="2">
        <f>Table__192.168.3.138AgingReportBEWLGS[[#This Row],[NetAmount]]-Table__192.168.3.138AgingReportBEWLGS[[#This Row],[Paid]]</f>
        <v>21410</v>
      </c>
    </row>
    <row r="173" spans="1:35">
      <c r="A173" t="s">
        <v>6560</v>
      </c>
      <c r="B173" s="1">
        <v>41051</v>
      </c>
      <c r="C173" s="1">
        <v>41051</v>
      </c>
      <c r="D173" t="s">
        <v>6529</v>
      </c>
      <c r="E173">
        <v>24914</v>
      </c>
      <c r="F173">
        <v>3986</v>
      </c>
      <c r="G173">
        <v>0</v>
      </c>
      <c r="H173">
        <v>0</v>
      </c>
      <c r="I173">
        <v>0</v>
      </c>
      <c r="J173">
        <v>28888</v>
      </c>
      <c r="K173" t="s">
        <v>6561</v>
      </c>
      <c r="L173" s="1">
        <v>41048</v>
      </c>
      <c r="N173" t="s">
        <v>5127</v>
      </c>
      <c r="O173" t="s">
        <v>2458</v>
      </c>
      <c r="P173" t="s">
        <v>6530</v>
      </c>
      <c r="Q173" t="s">
        <v>39</v>
      </c>
      <c r="R173" t="s">
        <v>40</v>
      </c>
      <c r="S173">
        <v>0</v>
      </c>
      <c r="U173" t="s">
        <v>5550</v>
      </c>
      <c r="V173" t="s">
        <v>1797</v>
      </c>
      <c r="X173" t="s">
        <v>74</v>
      </c>
      <c r="Y173" t="b">
        <v>0</v>
      </c>
      <c r="Z173" t="b">
        <v>0</v>
      </c>
      <c r="AB173" t="s">
        <v>6531</v>
      </c>
      <c r="AC173" s="1">
        <v>41116</v>
      </c>
      <c r="AE173" t="s">
        <v>6532</v>
      </c>
      <c r="AF173">
        <v>0</v>
      </c>
      <c r="AH173">
        <v>265</v>
      </c>
      <c r="AI173" s="2">
        <f>Table__192.168.3.138AgingReportBEWLGS[[#This Row],[NetAmount]]-Table__192.168.3.138AgingReportBEWLGS[[#This Row],[Paid]]</f>
        <v>28888</v>
      </c>
    </row>
    <row r="174" spans="1:35">
      <c r="A174" t="s">
        <v>6562</v>
      </c>
      <c r="B174" s="1">
        <v>41046</v>
      </c>
      <c r="C174" s="1">
        <v>41091</v>
      </c>
      <c r="D174" t="s">
        <v>6542</v>
      </c>
      <c r="E174">
        <v>4400</v>
      </c>
      <c r="F174">
        <v>0</v>
      </c>
      <c r="G174">
        <v>0</v>
      </c>
      <c r="H174">
        <v>0</v>
      </c>
      <c r="I174">
        <v>225</v>
      </c>
      <c r="J174">
        <v>4400</v>
      </c>
      <c r="K174" t="s">
        <v>1274</v>
      </c>
      <c r="L174" s="1">
        <v>41043</v>
      </c>
      <c r="M174" t="s">
        <v>6563</v>
      </c>
      <c r="N174" t="s">
        <v>5127</v>
      </c>
      <c r="O174" t="s">
        <v>2458</v>
      </c>
      <c r="P174" t="s">
        <v>6544</v>
      </c>
      <c r="Q174" t="s">
        <v>39</v>
      </c>
      <c r="R174" t="s">
        <v>40</v>
      </c>
      <c r="S174">
        <v>0</v>
      </c>
      <c r="U174" t="s">
        <v>5550</v>
      </c>
      <c r="V174" t="s">
        <v>1797</v>
      </c>
      <c r="W174" t="s">
        <v>6545</v>
      </c>
      <c r="X174" t="s">
        <v>74</v>
      </c>
      <c r="Y174" t="b">
        <v>0</v>
      </c>
      <c r="Z174" t="b">
        <v>0</v>
      </c>
      <c r="AA174" t="b">
        <v>0</v>
      </c>
      <c r="AC174" s="1"/>
      <c r="AF174">
        <v>0</v>
      </c>
      <c r="AG174">
        <v>45</v>
      </c>
      <c r="AH174">
        <v>270</v>
      </c>
      <c r="AI174" s="2">
        <f>Table__192.168.3.138AgingReportBEWLGS[[#This Row],[NetAmount]]-Table__192.168.3.138AgingReportBEWLGS[[#This Row],[Paid]]</f>
        <v>4400</v>
      </c>
    </row>
    <row r="175" spans="1:35">
      <c r="A175" t="s">
        <v>6564</v>
      </c>
      <c r="B175" s="1">
        <v>41034</v>
      </c>
      <c r="C175" s="1">
        <v>41034</v>
      </c>
      <c r="D175" t="s">
        <v>5535</v>
      </c>
      <c r="E175">
        <v>197580</v>
      </c>
      <c r="F175">
        <v>38528</v>
      </c>
      <c r="G175">
        <v>0</v>
      </c>
      <c r="H175">
        <v>0</v>
      </c>
      <c r="I175">
        <v>0</v>
      </c>
      <c r="J175">
        <v>236108</v>
      </c>
      <c r="K175" t="s">
        <v>6565</v>
      </c>
      <c r="L175" s="1">
        <v>41059</v>
      </c>
      <c r="N175" t="s">
        <v>5127</v>
      </c>
      <c r="O175" t="s">
        <v>2458</v>
      </c>
      <c r="P175" t="s">
        <v>6566</v>
      </c>
      <c r="Q175" t="s">
        <v>39</v>
      </c>
      <c r="R175" t="s">
        <v>40</v>
      </c>
      <c r="S175">
        <v>0</v>
      </c>
      <c r="U175" t="s">
        <v>5550</v>
      </c>
      <c r="V175" t="s">
        <v>1797</v>
      </c>
      <c r="X175" t="s">
        <v>74</v>
      </c>
      <c r="Y175" t="b">
        <v>0</v>
      </c>
      <c r="Z175" t="b">
        <v>0</v>
      </c>
      <c r="AC175" s="1"/>
      <c r="AF175">
        <v>0</v>
      </c>
      <c r="AH175">
        <v>254</v>
      </c>
      <c r="AI175" s="2">
        <f>Table__192.168.3.138AgingReportBEWLGS[[#This Row],[NetAmount]]-Table__192.168.3.138AgingReportBEWLGS[[#This Row],[Paid]]</f>
        <v>236108</v>
      </c>
    </row>
    <row r="176" spans="1:35">
      <c r="A176" t="s">
        <v>6567</v>
      </c>
      <c r="B176" s="1">
        <v>41032</v>
      </c>
      <c r="C176" s="1">
        <v>41032</v>
      </c>
      <c r="D176" t="s">
        <v>5535</v>
      </c>
      <c r="E176">
        <v>478864</v>
      </c>
      <c r="F176">
        <v>93379</v>
      </c>
      <c r="G176">
        <v>0</v>
      </c>
      <c r="H176">
        <v>0</v>
      </c>
      <c r="I176">
        <v>0</v>
      </c>
      <c r="J176">
        <v>572243</v>
      </c>
      <c r="K176" t="s">
        <v>6568</v>
      </c>
      <c r="L176" s="1">
        <v>41055</v>
      </c>
      <c r="N176" t="s">
        <v>5127</v>
      </c>
      <c r="O176" t="s">
        <v>2458</v>
      </c>
      <c r="P176" t="s">
        <v>6566</v>
      </c>
      <c r="Q176" t="s">
        <v>39</v>
      </c>
      <c r="R176" t="s">
        <v>40</v>
      </c>
      <c r="S176">
        <v>0</v>
      </c>
      <c r="U176" t="s">
        <v>5550</v>
      </c>
      <c r="V176" t="s">
        <v>1797</v>
      </c>
      <c r="X176" t="s">
        <v>74</v>
      </c>
      <c r="Y176" t="b">
        <v>0</v>
      </c>
      <c r="Z176" t="b">
        <v>0</v>
      </c>
      <c r="AC176" s="1"/>
      <c r="AF176">
        <v>0</v>
      </c>
      <c r="AH176">
        <v>258</v>
      </c>
      <c r="AI176" s="2">
        <f>Table__192.168.3.138AgingReportBEWLGS[[#This Row],[NetAmount]]-Table__192.168.3.138AgingReportBEWLGS[[#This Row],[Paid]]</f>
        <v>572243</v>
      </c>
    </row>
    <row r="177" spans="1:35">
      <c r="A177" t="s">
        <v>6569</v>
      </c>
      <c r="B177" s="1">
        <v>41032</v>
      </c>
      <c r="C177" s="1">
        <v>41032</v>
      </c>
      <c r="D177" t="s">
        <v>5535</v>
      </c>
      <c r="E177">
        <v>181204</v>
      </c>
      <c r="F177">
        <v>35335</v>
      </c>
      <c r="G177">
        <v>0</v>
      </c>
      <c r="H177">
        <v>0</v>
      </c>
      <c r="I177">
        <v>0</v>
      </c>
      <c r="J177">
        <v>216539</v>
      </c>
      <c r="K177" t="s">
        <v>6570</v>
      </c>
      <c r="L177" s="1">
        <v>41052</v>
      </c>
      <c r="N177" t="s">
        <v>5127</v>
      </c>
      <c r="O177" t="s">
        <v>2458</v>
      </c>
      <c r="P177" t="s">
        <v>6566</v>
      </c>
      <c r="Q177" t="s">
        <v>39</v>
      </c>
      <c r="R177" t="s">
        <v>40</v>
      </c>
      <c r="S177">
        <v>0</v>
      </c>
      <c r="U177" t="s">
        <v>5550</v>
      </c>
      <c r="V177" t="s">
        <v>1797</v>
      </c>
      <c r="X177" t="s">
        <v>74</v>
      </c>
      <c r="Y177" t="b">
        <v>0</v>
      </c>
      <c r="Z177" t="b">
        <v>0</v>
      </c>
      <c r="AC177" s="1"/>
      <c r="AF177">
        <v>0</v>
      </c>
      <c r="AH177">
        <v>261</v>
      </c>
      <c r="AI177" s="2">
        <f>Table__192.168.3.138AgingReportBEWLGS[[#This Row],[NetAmount]]-Table__192.168.3.138AgingReportBEWLGS[[#This Row],[Paid]]</f>
        <v>216539</v>
      </c>
    </row>
    <row r="178" spans="1:35">
      <c r="A178" t="s">
        <v>6571</v>
      </c>
      <c r="B178" s="1">
        <v>41060</v>
      </c>
      <c r="C178" s="1">
        <v>41060</v>
      </c>
      <c r="D178" t="s">
        <v>5535</v>
      </c>
      <c r="E178">
        <v>466820</v>
      </c>
      <c r="F178">
        <v>91030</v>
      </c>
      <c r="G178">
        <v>0</v>
      </c>
      <c r="H178">
        <v>0</v>
      </c>
      <c r="I178">
        <v>0</v>
      </c>
      <c r="J178">
        <v>557850</v>
      </c>
      <c r="K178" t="s">
        <v>6572</v>
      </c>
      <c r="L178" s="1">
        <v>41055</v>
      </c>
      <c r="N178" t="s">
        <v>5127</v>
      </c>
      <c r="O178" t="s">
        <v>2458</v>
      </c>
      <c r="P178" t="s">
        <v>6566</v>
      </c>
      <c r="Q178" t="s">
        <v>39</v>
      </c>
      <c r="R178" t="s">
        <v>40</v>
      </c>
      <c r="S178">
        <v>0</v>
      </c>
      <c r="U178" t="s">
        <v>5550</v>
      </c>
      <c r="V178" t="s">
        <v>1797</v>
      </c>
      <c r="X178" t="s">
        <v>74</v>
      </c>
      <c r="Y178" t="b">
        <v>0</v>
      </c>
      <c r="Z178" t="b">
        <v>0</v>
      </c>
      <c r="AC178" s="1"/>
      <c r="AF178">
        <v>0</v>
      </c>
      <c r="AH178">
        <v>258</v>
      </c>
      <c r="AI178" s="2">
        <f>Table__192.168.3.138AgingReportBEWLGS[[#This Row],[NetAmount]]-Table__192.168.3.138AgingReportBEWLGS[[#This Row],[Paid]]</f>
        <v>557850</v>
      </c>
    </row>
    <row r="179" spans="1:35">
      <c r="A179" t="s">
        <v>6573</v>
      </c>
      <c r="B179" s="1">
        <v>41075</v>
      </c>
      <c r="C179" s="1">
        <v>41120</v>
      </c>
      <c r="D179" t="s">
        <v>6278</v>
      </c>
      <c r="E179">
        <v>12224</v>
      </c>
      <c r="F179">
        <v>496</v>
      </c>
      <c r="G179">
        <v>0</v>
      </c>
      <c r="H179">
        <v>0</v>
      </c>
      <c r="I179">
        <v>202</v>
      </c>
      <c r="J179">
        <v>12720</v>
      </c>
      <c r="K179" t="s">
        <v>5656</v>
      </c>
      <c r="L179" s="1">
        <v>41066</v>
      </c>
      <c r="N179" t="s">
        <v>5127</v>
      </c>
      <c r="O179" t="s">
        <v>2458</v>
      </c>
      <c r="P179" t="s">
        <v>6280</v>
      </c>
      <c r="Q179" t="s">
        <v>39</v>
      </c>
      <c r="R179" t="s">
        <v>40</v>
      </c>
      <c r="S179">
        <v>0</v>
      </c>
      <c r="U179" t="s">
        <v>5550</v>
      </c>
      <c r="V179" t="s">
        <v>1797</v>
      </c>
      <c r="X179" t="s">
        <v>74</v>
      </c>
      <c r="Y179" t="b">
        <v>0</v>
      </c>
      <c r="Z179" t="b">
        <v>0</v>
      </c>
      <c r="AC179" s="1"/>
      <c r="AF179">
        <v>0</v>
      </c>
      <c r="AG179">
        <v>45</v>
      </c>
      <c r="AH179">
        <v>247</v>
      </c>
      <c r="AI179" s="2">
        <f>Table__192.168.3.138AgingReportBEWLGS[[#This Row],[NetAmount]]-Table__192.168.3.138AgingReportBEWLGS[[#This Row],[Paid]]</f>
        <v>12720</v>
      </c>
    </row>
    <row r="180" spans="1:35">
      <c r="A180" t="s">
        <v>6574</v>
      </c>
      <c r="B180" s="1">
        <v>41072</v>
      </c>
      <c r="C180" s="1">
        <v>41117</v>
      </c>
      <c r="D180" t="s">
        <v>6425</v>
      </c>
      <c r="E180">
        <v>20550</v>
      </c>
      <c r="F180">
        <v>3288</v>
      </c>
      <c r="G180">
        <v>0</v>
      </c>
      <c r="H180">
        <v>0</v>
      </c>
      <c r="I180">
        <v>197</v>
      </c>
      <c r="J180">
        <v>23838</v>
      </c>
      <c r="K180" t="s">
        <v>6575</v>
      </c>
      <c r="L180" s="1">
        <v>41071</v>
      </c>
      <c r="N180" t="s">
        <v>5127</v>
      </c>
      <c r="O180" t="s">
        <v>2458</v>
      </c>
      <c r="P180" t="s">
        <v>5478</v>
      </c>
      <c r="Q180" t="s">
        <v>39</v>
      </c>
      <c r="R180" t="s">
        <v>40</v>
      </c>
      <c r="S180">
        <v>0</v>
      </c>
      <c r="U180" t="s">
        <v>5550</v>
      </c>
      <c r="V180" t="s">
        <v>1797</v>
      </c>
      <c r="X180" t="s">
        <v>74</v>
      </c>
      <c r="Y180" t="b">
        <v>0</v>
      </c>
      <c r="Z180" t="b">
        <v>0</v>
      </c>
      <c r="AB180" t="s">
        <v>6427</v>
      </c>
      <c r="AC180" s="1">
        <v>41227</v>
      </c>
      <c r="AF180">
        <v>0</v>
      </c>
      <c r="AG180">
        <v>45</v>
      </c>
      <c r="AH180">
        <v>242</v>
      </c>
      <c r="AI180" s="2">
        <f>Table__192.168.3.138AgingReportBEWLGS[[#This Row],[NetAmount]]-Table__192.168.3.138AgingReportBEWLGS[[#This Row],[Paid]]</f>
        <v>23838</v>
      </c>
    </row>
    <row r="181" spans="1:35">
      <c r="A181" t="s">
        <v>6576</v>
      </c>
      <c r="B181" s="1">
        <v>41072</v>
      </c>
      <c r="C181" s="1">
        <v>41117</v>
      </c>
      <c r="D181" t="s">
        <v>6577</v>
      </c>
      <c r="E181">
        <v>269325</v>
      </c>
      <c r="F181">
        <v>43092</v>
      </c>
      <c r="G181">
        <v>0</v>
      </c>
      <c r="H181">
        <v>0</v>
      </c>
      <c r="I181">
        <v>197</v>
      </c>
      <c r="J181">
        <v>312417</v>
      </c>
      <c r="K181" t="s">
        <v>6578</v>
      </c>
      <c r="L181" s="1">
        <v>41071</v>
      </c>
      <c r="N181" t="s">
        <v>5127</v>
      </c>
      <c r="O181" t="s">
        <v>2458</v>
      </c>
      <c r="P181" t="s">
        <v>6579</v>
      </c>
      <c r="Q181" t="s">
        <v>39</v>
      </c>
      <c r="R181" t="s">
        <v>40</v>
      </c>
      <c r="S181">
        <v>0</v>
      </c>
      <c r="U181" t="s">
        <v>5550</v>
      </c>
      <c r="V181" t="s">
        <v>1797</v>
      </c>
      <c r="X181" t="s">
        <v>74</v>
      </c>
      <c r="Y181" t="b">
        <v>0</v>
      </c>
      <c r="Z181" t="b">
        <v>0</v>
      </c>
      <c r="AB181" t="s">
        <v>6580</v>
      </c>
      <c r="AC181" s="1">
        <v>41187</v>
      </c>
      <c r="AF181">
        <v>0</v>
      </c>
      <c r="AG181">
        <v>45</v>
      </c>
      <c r="AH181">
        <v>242</v>
      </c>
      <c r="AI181" s="2">
        <f>Table__192.168.3.138AgingReportBEWLGS[[#This Row],[NetAmount]]-Table__192.168.3.138AgingReportBEWLGS[[#This Row],[Paid]]</f>
        <v>312417</v>
      </c>
    </row>
    <row r="182" spans="1:35">
      <c r="A182" t="s">
        <v>6581</v>
      </c>
      <c r="B182" s="1">
        <v>41072</v>
      </c>
      <c r="C182" s="1">
        <v>41117</v>
      </c>
      <c r="D182" t="s">
        <v>6347</v>
      </c>
      <c r="E182">
        <v>98580</v>
      </c>
      <c r="F182">
        <v>15773</v>
      </c>
      <c r="G182">
        <v>0</v>
      </c>
      <c r="H182">
        <v>0</v>
      </c>
      <c r="I182">
        <v>196</v>
      </c>
      <c r="J182">
        <v>114353</v>
      </c>
      <c r="K182" t="s">
        <v>6582</v>
      </c>
      <c r="L182" s="1">
        <v>41072</v>
      </c>
      <c r="M182" t="s">
        <v>6583</v>
      </c>
      <c r="N182" t="s">
        <v>5127</v>
      </c>
      <c r="O182" t="s">
        <v>2458</v>
      </c>
      <c r="P182" t="s">
        <v>6349</v>
      </c>
      <c r="Q182" t="s">
        <v>39</v>
      </c>
      <c r="R182" t="s">
        <v>40</v>
      </c>
      <c r="S182">
        <v>0</v>
      </c>
      <c r="U182" t="s">
        <v>5550</v>
      </c>
      <c r="V182" t="s">
        <v>1797</v>
      </c>
      <c r="W182" t="s">
        <v>6584</v>
      </c>
      <c r="X182" t="s">
        <v>74</v>
      </c>
      <c r="Y182" t="b">
        <v>0</v>
      </c>
      <c r="Z182" t="b">
        <v>0</v>
      </c>
      <c r="AA182" t="b">
        <v>0</v>
      </c>
      <c r="AC182" s="1"/>
      <c r="AF182">
        <v>0</v>
      </c>
      <c r="AG182">
        <v>45</v>
      </c>
      <c r="AH182">
        <v>241</v>
      </c>
      <c r="AI182" s="2">
        <f>Table__192.168.3.138AgingReportBEWLGS[[#This Row],[NetAmount]]-Table__192.168.3.138AgingReportBEWLGS[[#This Row],[Paid]]</f>
        <v>114353</v>
      </c>
    </row>
    <row r="183" spans="1:35">
      <c r="A183" t="s">
        <v>6585</v>
      </c>
      <c r="B183" s="1">
        <v>41067</v>
      </c>
      <c r="C183" s="1">
        <v>41112</v>
      </c>
      <c r="D183" t="s">
        <v>6486</v>
      </c>
      <c r="E183">
        <v>1500</v>
      </c>
      <c r="F183">
        <v>240</v>
      </c>
      <c r="G183">
        <v>0</v>
      </c>
      <c r="H183">
        <v>0</v>
      </c>
      <c r="I183">
        <v>187</v>
      </c>
      <c r="J183">
        <v>1740</v>
      </c>
      <c r="K183" t="s">
        <v>6586</v>
      </c>
      <c r="L183" s="1">
        <v>41081</v>
      </c>
      <c r="N183" t="s">
        <v>5127</v>
      </c>
      <c r="O183" t="s">
        <v>2458</v>
      </c>
      <c r="P183" t="s">
        <v>5464</v>
      </c>
      <c r="Q183" t="s">
        <v>39</v>
      </c>
      <c r="R183" t="s">
        <v>40</v>
      </c>
      <c r="S183">
        <v>0</v>
      </c>
      <c r="U183" t="s">
        <v>5550</v>
      </c>
      <c r="V183" t="s">
        <v>1797</v>
      </c>
      <c r="X183" t="s">
        <v>74</v>
      </c>
      <c r="Y183" t="b">
        <v>0</v>
      </c>
      <c r="Z183" t="b">
        <v>0</v>
      </c>
      <c r="AC183" s="1"/>
      <c r="AF183">
        <v>0</v>
      </c>
      <c r="AG183">
        <v>45</v>
      </c>
      <c r="AH183">
        <v>232</v>
      </c>
      <c r="AI183" s="2">
        <f>Table__192.168.3.138AgingReportBEWLGS[[#This Row],[NetAmount]]-Table__192.168.3.138AgingReportBEWLGS[[#This Row],[Paid]]</f>
        <v>1740</v>
      </c>
    </row>
    <row r="184" spans="1:35">
      <c r="A184" t="s">
        <v>6587</v>
      </c>
      <c r="B184" s="1">
        <v>41067</v>
      </c>
      <c r="C184" s="1">
        <v>41112</v>
      </c>
      <c r="D184" t="s">
        <v>6486</v>
      </c>
      <c r="E184">
        <v>3600</v>
      </c>
      <c r="F184">
        <v>576</v>
      </c>
      <c r="G184">
        <v>0</v>
      </c>
      <c r="H184">
        <v>0</v>
      </c>
      <c r="I184">
        <v>187</v>
      </c>
      <c r="J184">
        <v>4176</v>
      </c>
      <c r="K184" t="s">
        <v>6588</v>
      </c>
      <c r="L184" s="1">
        <v>41081</v>
      </c>
      <c r="N184" t="s">
        <v>5127</v>
      </c>
      <c r="O184" t="s">
        <v>2458</v>
      </c>
      <c r="P184" t="s">
        <v>5464</v>
      </c>
      <c r="Q184" t="s">
        <v>39</v>
      </c>
      <c r="R184" t="s">
        <v>40</v>
      </c>
      <c r="S184">
        <v>0</v>
      </c>
      <c r="U184" t="s">
        <v>5550</v>
      </c>
      <c r="V184" t="s">
        <v>1797</v>
      </c>
      <c r="X184" t="s">
        <v>74</v>
      </c>
      <c r="Y184" t="b">
        <v>0</v>
      </c>
      <c r="Z184" t="b">
        <v>0</v>
      </c>
      <c r="AC184" s="1"/>
      <c r="AF184">
        <v>0</v>
      </c>
      <c r="AG184">
        <v>45</v>
      </c>
      <c r="AH184">
        <v>232</v>
      </c>
      <c r="AI184" s="2">
        <f>Table__192.168.3.138AgingReportBEWLGS[[#This Row],[NetAmount]]-Table__192.168.3.138AgingReportBEWLGS[[#This Row],[Paid]]</f>
        <v>4176</v>
      </c>
    </row>
    <row r="185" spans="1:35">
      <c r="A185" t="s">
        <v>6589</v>
      </c>
      <c r="B185" s="1">
        <v>41067</v>
      </c>
      <c r="C185" s="1">
        <v>41112</v>
      </c>
      <c r="D185" t="s">
        <v>6486</v>
      </c>
      <c r="E185">
        <v>3000</v>
      </c>
      <c r="F185">
        <v>480</v>
      </c>
      <c r="G185">
        <v>0</v>
      </c>
      <c r="H185">
        <v>0</v>
      </c>
      <c r="I185">
        <v>187</v>
      </c>
      <c r="J185">
        <v>3480</v>
      </c>
      <c r="K185" t="s">
        <v>6590</v>
      </c>
      <c r="L185" s="1">
        <v>41081</v>
      </c>
      <c r="N185" t="s">
        <v>5127</v>
      </c>
      <c r="O185" t="s">
        <v>2458</v>
      </c>
      <c r="P185" t="s">
        <v>5464</v>
      </c>
      <c r="Q185" t="s">
        <v>39</v>
      </c>
      <c r="R185" t="s">
        <v>40</v>
      </c>
      <c r="S185">
        <v>0</v>
      </c>
      <c r="U185" t="s">
        <v>5550</v>
      </c>
      <c r="V185" t="s">
        <v>1797</v>
      </c>
      <c r="X185" t="s">
        <v>74</v>
      </c>
      <c r="Y185" t="b">
        <v>0</v>
      </c>
      <c r="Z185" t="b">
        <v>0</v>
      </c>
      <c r="AC185" s="1"/>
      <c r="AF185">
        <v>0</v>
      </c>
      <c r="AG185">
        <v>45</v>
      </c>
      <c r="AH185">
        <v>232</v>
      </c>
      <c r="AI185" s="2">
        <f>Table__192.168.3.138AgingReportBEWLGS[[#This Row],[NetAmount]]-Table__192.168.3.138AgingReportBEWLGS[[#This Row],[Paid]]</f>
        <v>3480</v>
      </c>
    </row>
    <row r="186" spans="1:35">
      <c r="A186" t="s">
        <v>6591</v>
      </c>
      <c r="B186" s="1">
        <v>41067</v>
      </c>
      <c r="C186" s="1">
        <v>41112</v>
      </c>
      <c r="D186" t="s">
        <v>6486</v>
      </c>
      <c r="E186">
        <v>2200</v>
      </c>
      <c r="F186">
        <v>352</v>
      </c>
      <c r="G186">
        <v>0</v>
      </c>
      <c r="H186">
        <v>0</v>
      </c>
      <c r="I186">
        <v>187</v>
      </c>
      <c r="J186">
        <v>2552</v>
      </c>
      <c r="K186" t="s">
        <v>6592</v>
      </c>
      <c r="L186" s="1">
        <v>41081</v>
      </c>
      <c r="N186" t="s">
        <v>5127</v>
      </c>
      <c r="O186" t="s">
        <v>2458</v>
      </c>
      <c r="P186" t="s">
        <v>5464</v>
      </c>
      <c r="Q186" t="s">
        <v>39</v>
      </c>
      <c r="R186" t="s">
        <v>40</v>
      </c>
      <c r="S186">
        <v>0</v>
      </c>
      <c r="U186" t="s">
        <v>5550</v>
      </c>
      <c r="V186" t="s">
        <v>1797</v>
      </c>
      <c r="X186" t="s">
        <v>74</v>
      </c>
      <c r="Y186" t="b">
        <v>0</v>
      </c>
      <c r="Z186" t="b">
        <v>0</v>
      </c>
      <c r="AC186" s="1"/>
      <c r="AF186">
        <v>0</v>
      </c>
      <c r="AG186">
        <v>45</v>
      </c>
      <c r="AH186">
        <v>232</v>
      </c>
      <c r="AI186" s="2">
        <f>Table__192.168.3.138AgingReportBEWLGS[[#This Row],[NetAmount]]-Table__192.168.3.138AgingReportBEWLGS[[#This Row],[Paid]]</f>
        <v>2552</v>
      </c>
    </row>
    <row r="187" spans="1:35">
      <c r="A187" t="s">
        <v>6593</v>
      </c>
      <c r="B187" s="1">
        <v>41072</v>
      </c>
      <c r="C187" s="1">
        <v>41117</v>
      </c>
      <c r="D187" t="s">
        <v>6347</v>
      </c>
      <c r="E187">
        <v>611640</v>
      </c>
      <c r="F187">
        <v>97862</v>
      </c>
      <c r="G187">
        <v>0</v>
      </c>
      <c r="H187">
        <v>0</v>
      </c>
      <c r="I187">
        <v>196</v>
      </c>
      <c r="J187">
        <v>709502</v>
      </c>
      <c r="K187" t="s">
        <v>6594</v>
      </c>
      <c r="L187" s="1">
        <v>41072</v>
      </c>
      <c r="M187" t="s">
        <v>6595</v>
      </c>
      <c r="N187" t="s">
        <v>5127</v>
      </c>
      <c r="O187" t="s">
        <v>2458</v>
      </c>
      <c r="P187" t="s">
        <v>6349</v>
      </c>
      <c r="Q187" t="s">
        <v>39</v>
      </c>
      <c r="R187" t="s">
        <v>40</v>
      </c>
      <c r="S187">
        <v>0</v>
      </c>
      <c r="U187" t="s">
        <v>5550</v>
      </c>
      <c r="V187" t="s">
        <v>1797</v>
      </c>
      <c r="W187" t="s">
        <v>6584</v>
      </c>
      <c r="X187" t="s">
        <v>74</v>
      </c>
      <c r="Y187" t="b">
        <v>0</v>
      </c>
      <c r="Z187" t="b">
        <v>0</v>
      </c>
      <c r="AA187" t="b">
        <v>0</v>
      </c>
      <c r="AC187" s="1"/>
      <c r="AF187">
        <v>0</v>
      </c>
      <c r="AG187">
        <v>45</v>
      </c>
      <c r="AH187">
        <v>241</v>
      </c>
      <c r="AI187" s="2">
        <f>Table__192.168.3.138AgingReportBEWLGS[[#This Row],[NetAmount]]-Table__192.168.3.138AgingReportBEWLGS[[#This Row],[Paid]]</f>
        <v>709502</v>
      </c>
    </row>
    <row r="188" spans="1:35">
      <c r="A188" t="s">
        <v>6596</v>
      </c>
      <c r="B188" s="1">
        <v>41074</v>
      </c>
      <c r="C188" s="1">
        <v>41119</v>
      </c>
      <c r="D188" t="s">
        <v>6536</v>
      </c>
      <c r="E188">
        <v>1525625</v>
      </c>
      <c r="F188">
        <v>244100</v>
      </c>
      <c r="G188">
        <v>0</v>
      </c>
      <c r="H188">
        <v>0</v>
      </c>
      <c r="I188">
        <v>204</v>
      </c>
      <c r="J188">
        <v>1769725</v>
      </c>
      <c r="K188" t="s">
        <v>6597</v>
      </c>
      <c r="L188" s="1">
        <v>41064</v>
      </c>
      <c r="N188" t="s">
        <v>5127</v>
      </c>
      <c r="O188" t="s">
        <v>2458</v>
      </c>
      <c r="P188" t="s">
        <v>6538</v>
      </c>
      <c r="Q188" t="s">
        <v>39</v>
      </c>
      <c r="R188" t="s">
        <v>40</v>
      </c>
      <c r="S188">
        <v>0</v>
      </c>
      <c r="U188" t="s">
        <v>5550</v>
      </c>
      <c r="V188" t="s">
        <v>1797</v>
      </c>
      <c r="X188" t="s">
        <v>74</v>
      </c>
      <c r="Y188" t="b">
        <v>0</v>
      </c>
      <c r="Z188" t="b">
        <v>0</v>
      </c>
      <c r="AB188" t="s">
        <v>6598</v>
      </c>
      <c r="AC188" s="1">
        <v>41244</v>
      </c>
      <c r="AD188" t="s">
        <v>6599</v>
      </c>
      <c r="AE188" t="s">
        <v>6600</v>
      </c>
      <c r="AF188">
        <v>698099</v>
      </c>
      <c r="AG188">
        <v>45</v>
      </c>
      <c r="AH188">
        <v>249</v>
      </c>
      <c r="AI188" s="2">
        <f>Table__192.168.3.138AgingReportBEWLGS[[#This Row],[NetAmount]]-Table__192.168.3.138AgingReportBEWLGS[[#This Row],[Paid]]</f>
        <v>1071626</v>
      </c>
    </row>
    <row r="189" spans="1:35">
      <c r="A189" t="s">
        <v>6601</v>
      </c>
      <c r="B189" s="1">
        <v>41062</v>
      </c>
      <c r="C189" s="1">
        <v>41107</v>
      </c>
      <c r="D189" t="s">
        <v>6369</v>
      </c>
      <c r="E189">
        <v>914430</v>
      </c>
      <c r="F189">
        <v>146309</v>
      </c>
      <c r="G189">
        <v>0</v>
      </c>
      <c r="H189">
        <v>0</v>
      </c>
      <c r="I189">
        <v>206</v>
      </c>
      <c r="J189">
        <v>1060739</v>
      </c>
      <c r="K189" t="s">
        <v>6602</v>
      </c>
      <c r="L189" s="1">
        <v>41062</v>
      </c>
      <c r="N189" t="s">
        <v>5127</v>
      </c>
      <c r="O189" t="s">
        <v>2458</v>
      </c>
      <c r="P189" t="s">
        <v>5508</v>
      </c>
      <c r="Q189" t="s">
        <v>39</v>
      </c>
      <c r="R189" t="s">
        <v>40</v>
      </c>
      <c r="S189">
        <v>0</v>
      </c>
      <c r="U189" t="s">
        <v>5550</v>
      </c>
      <c r="V189" t="s">
        <v>1797</v>
      </c>
      <c r="X189" t="s">
        <v>74</v>
      </c>
      <c r="Y189" t="b">
        <v>0</v>
      </c>
      <c r="Z189" t="b">
        <v>0</v>
      </c>
      <c r="AC189" s="1"/>
      <c r="AF189">
        <v>0</v>
      </c>
      <c r="AG189">
        <v>45</v>
      </c>
      <c r="AH189">
        <v>251</v>
      </c>
      <c r="AI189" s="2">
        <f>Table__192.168.3.138AgingReportBEWLGS[[#This Row],[NetAmount]]-Table__192.168.3.138AgingReportBEWLGS[[#This Row],[Paid]]</f>
        <v>1060739</v>
      </c>
    </row>
    <row r="190" spans="1:35">
      <c r="A190" t="s">
        <v>6603</v>
      </c>
      <c r="B190" s="1">
        <v>41066</v>
      </c>
      <c r="C190" s="1">
        <v>41111</v>
      </c>
      <c r="D190" t="s">
        <v>6425</v>
      </c>
      <c r="E190">
        <v>13800</v>
      </c>
      <c r="F190">
        <v>2208</v>
      </c>
      <c r="G190">
        <v>0</v>
      </c>
      <c r="H190">
        <v>0</v>
      </c>
      <c r="I190">
        <v>203</v>
      </c>
      <c r="J190">
        <v>16008</v>
      </c>
      <c r="K190" t="s">
        <v>6604</v>
      </c>
      <c r="L190" s="1">
        <v>41065</v>
      </c>
      <c r="N190" t="s">
        <v>5127</v>
      </c>
      <c r="O190" t="s">
        <v>2458</v>
      </c>
      <c r="P190" t="s">
        <v>5478</v>
      </c>
      <c r="Q190" t="s">
        <v>39</v>
      </c>
      <c r="R190" t="s">
        <v>40</v>
      </c>
      <c r="S190">
        <v>0</v>
      </c>
      <c r="U190" t="s">
        <v>5550</v>
      </c>
      <c r="V190" t="s">
        <v>1797</v>
      </c>
      <c r="X190" t="s">
        <v>74</v>
      </c>
      <c r="Y190" t="b">
        <v>0</v>
      </c>
      <c r="Z190" t="b">
        <v>0</v>
      </c>
      <c r="AB190" t="s">
        <v>6427</v>
      </c>
      <c r="AC190" s="1">
        <v>41227</v>
      </c>
      <c r="AF190">
        <v>0</v>
      </c>
      <c r="AG190">
        <v>45</v>
      </c>
      <c r="AH190">
        <v>248</v>
      </c>
      <c r="AI190" s="2">
        <f>Table__192.168.3.138AgingReportBEWLGS[[#This Row],[NetAmount]]-Table__192.168.3.138AgingReportBEWLGS[[#This Row],[Paid]]</f>
        <v>16008</v>
      </c>
    </row>
    <row r="191" spans="1:35">
      <c r="A191" t="s">
        <v>6605</v>
      </c>
      <c r="B191" s="1">
        <v>41061</v>
      </c>
      <c r="C191" s="1">
        <v>41106</v>
      </c>
      <c r="D191" t="s">
        <v>6425</v>
      </c>
      <c r="E191">
        <v>11400</v>
      </c>
      <c r="F191">
        <v>1824</v>
      </c>
      <c r="G191">
        <v>0</v>
      </c>
      <c r="H191">
        <v>0</v>
      </c>
      <c r="I191">
        <v>203</v>
      </c>
      <c r="J191">
        <v>13224</v>
      </c>
      <c r="K191" t="s">
        <v>6606</v>
      </c>
      <c r="L191" s="1">
        <v>41065</v>
      </c>
      <c r="N191" t="s">
        <v>5127</v>
      </c>
      <c r="O191" t="s">
        <v>2458</v>
      </c>
      <c r="P191" t="s">
        <v>5478</v>
      </c>
      <c r="Q191" t="s">
        <v>39</v>
      </c>
      <c r="R191" t="s">
        <v>40</v>
      </c>
      <c r="S191">
        <v>0</v>
      </c>
      <c r="U191" t="s">
        <v>5550</v>
      </c>
      <c r="V191" t="s">
        <v>1797</v>
      </c>
      <c r="X191" t="s">
        <v>74</v>
      </c>
      <c r="Y191" t="b">
        <v>0</v>
      </c>
      <c r="Z191" t="b">
        <v>0</v>
      </c>
      <c r="AB191" t="s">
        <v>6427</v>
      </c>
      <c r="AC191" s="1">
        <v>41227</v>
      </c>
      <c r="AF191">
        <v>0</v>
      </c>
      <c r="AG191">
        <v>45</v>
      </c>
      <c r="AH191">
        <v>248</v>
      </c>
      <c r="AI191" s="2">
        <f>Table__192.168.3.138AgingReportBEWLGS[[#This Row],[NetAmount]]-Table__192.168.3.138AgingReportBEWLGS[[#This Row],[Paid]]</f>
        <v>13224</v>
      </c>
    </row>
    <row r="192" spans="1:35">
      <c r="A192" t="s">
        <v>6607</v>
      </c>
      <c r="B192" s="1">
        <v>41080</v>
      </c>
      <c r="C192" s="1">
        <v>41125</v>
      </c>
      <c r="D192" t="s">
        <v>6412</v>
      </c>
      <c r="E192">
        <v>66000</v>
      </c>
      <c r="F192">
        <v>10560</v>
      </c>
      <c r="G192">
        <v>0</v>
      </c>
      <c r="H192">
        <v>0</v>
      </c>
      <c r="I192">
        <v>188</v>
      </c>
      <c r="J192">
        <v>76560</v>
      </c>
      <c r="K192" t="s">
        <v>6608</v>
      </c>
      <c r="L192" s="1">
        <v>41080</v>
      </c>
      <c r="N192" t="s">
        <v>5127</v>
      </c>
      <c r="O192" t="s">
        <v>2458</v>
      </c>
      <c r="P192" t="s">
        <v>6414</v>
      </c>
      <c r="Q192" t="s">
        <v>39</v>
      </c>
      <c r="R192" t="s">
        <v>40</v>
      </c>
      <c r="S192">
        <v>0</v>
      </c>
      <c r="U192" t="s">
        <v>5550</v>
      </c>
      <c r="V192" t="s">
        <v>1797</v>
      </c>
      <c r="X192" t="s">
        <v>74</v>
      </c>
      <c r="Y192" t="b">
        <v>0</v>
      </c>
      <c r="Z192" t="b">
        <v>0</v>
      </c>
      <c r="AB192" t="s">
        <v>5557</v>
      </c>
      <c r="AC192" s="1">
        <v>41242</v>
      </c>
      <c r="AF192">
        <v>0</v>
      </c>
      <c r="AG192">
        <v>45</v>
      </c>
      <c r="AH192">
        <v>233</v>
      </c>
      <c r="AI192" s="2">
        <f>Table__192.168.3.138AgingReportBEWLGS[[#This Row],[NetAmount]]-Table__192.168.3.138AgingReportBEWLGS[[#This Row],[Paid]]</f>
        <v>76560</v>
      </c>
    </row>
    <row r="193" spans="1:35">
      <c r="A193" t="s">
        <v>6609</v>
      </c>
      <c r="B193" s="1">
        <v>41080</v>
      </c>
      <c r="C193" s="1">
        <v>41125</v>
      </c>
      <c r="D193" t="s">
        <v>6610</v>
      </c>
      <c r="E193">
        <v>44000</v>
      </c>
      <c r="F193">
        <v>0</v>
      </c>
      <c r="G193">
        <v>0</v>
      </c>
      <c r="H193">
        <v>0</v>
      </c>
      <c r="I193">
        <v>189</v>
      </c>
      <c r="J193">
        <v>44000</v>
      </c>
      <c r="K193" t="s">
        <v>6611</v>
      </c>
      <c r="L193" s="1">
        <v>41079</v>
      </c>
      <c r="N193" t="s">
        <v>5127</v>
      </c>
      <c r="O193" t="s">
        <v>2458</v>
      </c>
      <c r="P193" t="s">
        <v>6612</v>
      </c>
      <c r="Q193" t="s">
        <v>39</v>
      </c>
      <c r="R193" t="s">
        <v>40</v>
      </c>
      <c r="S193">
        <v>0</v>
      </c>
      <c r="U193" t="s">
        <v>5550</v>
      </c>
      <c r="V193" t="s">
        <v>1797</v>
      </c>
      <c r="X193" t="s">
        <v>74</v>
      </c>
      <c r="Y193" t="b">
        <v>0</v>
      </c>
      <c r="Z193" t="b">
        <v>0</v>
      </c>
      <c r="AC193" s="1"/>
      <c r="AF193">
        <v>0</v>
      </c>
      <c r="AG193">
        <v>45</v>
      </c>
      <c r="AH193">
        <v>234</v>
      </c>
      <c r="AI193" s="2">
        <f>Table__192.168.3.138AgingReportBEWLGS[[#This Row],[NetAmount]]-Table__192.168.3.138AgingReportBEWLGS[[#This Row],[Paid]]</f>
        <v>44000</v>
      </c>
    </row>
    <row r="194" spans="1:35">
      <c r="A194" t="s">
        <v>6613</v>
      </c>
      <c r="B194" s="1">
        <v>41072</v>
      </c>
      <c r="C194" s="1">
        <v>41117</v>
      </c>
      <c r="D194" t="s">
        <v>264</v>
      </c>
      <c r="E194">
        <v>30000</v>
      </c>
      <c r="F194">
        <v>4800</v>
      </c>
      <c r="G194">
        <v>0</v>
      </c>
      <c r="H194">
        <v>0</v>
      </c>
      <c r="I194">
        <v>190</v>
      </c>
      <c r="J194">
        <v>34800</v>
      </c>
      <c r="K194" t="s">
        <v>6614</v>
      </c>
      <c r="L194" s="1">
        <v>41078</v>
      </c>
      <c r="M194" t="s">
        <v>6615</v>
      </c>
      <c r="N194" t="s">
        <v>5127</v>
      </c>
      <c r="O194" t="s">
        <v>2458</v>
      </c>
      <c r="P194" t="s">
        <v>6616</v>
      </c>
      <c r="Q194" t="s">
        <v>39</v>
      </c>
      <c r="R194" t="s">
        <v>40</v>
      </c>
      <c r="S194">
        <v>0</v>
      </c>
      <c r="U194" t="s">
        <v>5550</v>
      </c>
      <c r="V194" t="s">
        <v>1797</v>
      </c>
      <c r="W194" t="s">
        <v>6617</v>
      </c>
      <c r="X194" t="s">
        <v>74</v>
      </c>
      <c r="Y194" t="b">
        <v>0</v>
      </c>
      <c r="Z194" t="b">
        <v>0</v>
      </c>
      <c r="AA194" t="b">
        <v>0</v>
      </c>
      <c r="AC194" s="1"/>
      <c r="AF194">
        <v>0</v>
      </c>
      <c r="AG194">
        <v>45</v>
      </c>
      <c r="AH194">
        <v>235</v>
      </c>
      <c r="AI194" s="2">
        <f>Table__192.168.3.138AgingReportBEWLGS[[#This Row],[NetAmount]]-Table__192.168.3.138AgingReportBEWLGS[[#This Row],[Paid]]</f>
        <v>34800</v>
      </c>
    </row>
    <row r="195" spans="1:35">
      <c r="A195" t="s">
        <v>6618</v>
      </c>
      <c r="B195" s="1">
        <v>41067</v>
      </c>
      <c r="C195" s="1">
        <v>41112</v>
      </c>
      <c r="D195" t="s">
        <v>6400</v>
      </c>
      <c r="E195">
        <v>42300</v>
      </c>
      <c r="F195">
        <v>6768</v>
      </c>
      <c r="G195">
        <v>0</v>
      </c>
      <c r="H195">
        <v>0</v>
      </c>
      <c r="I195">
        <v>203</v>
      </c>
      <c r="J195">
        <v>49368</v>
      </c>
      <c r="K195" t="s">
        <v>6619</v>
      </c>
      <c r="L195" s="1">
        <v>41065</v>
      </c>
      <c r="N195" t="s">
        <v>5127</v>
      </c>
      <c r="O195" t="s">
        <v>2458</v>
      </c>
      <c r="P195" t="s">
        <v>6403</v>
      </c>
      <c r="Q195" t="s">
        <v>39</v>
      </c>
      <c r="R195" t="s">
        <v>40</v>
      </c>
      <c r="S195">
        <v>0</v>
      </c>
      <c r="U195" t="s">
        <v>5550</v>
      </c>
      <c r="V195" t="s">
        <v>1797</v>
      </c>
      <c r="X195" t="s">
        <v>74</v>
      </c>
      <c r="Y195" t="b">
        <v>0</v>
      </c>
      <c r="Z195" t="b">
        <v>0</v>
      </c>
      <c r="AC195" s="1"/>
      <c r="AF195">
        <v>0</v>
      </c>
      <c r="AG195">
        <v>45</v>
      </c>
      <c r="AH195">
        <v>248</v>
      </c>
      <c r="AI195" s="2">
        <f>Table__192.168.3.138AgingReportBEWLGS[[#This Row],[NetAmount]]-Table__192.168.3.138AgingReportBEWLGS[[#This Row],[Paid]]</f>
        <v>49368</v>
      </c>
    </row>
    <row r="196" spans="1:35">
      <c r="A196" t="s">
        <v>6620</v>
      </c>
      <c r="B196" s="1">
        <v>41074</v>
      </c>
      <c r="C196" s="1">
        <v>41119</v>
      </c>
      <c r="D196" t="s">
        <v>6536</v>
      </c>
      <c r="E196">
        <v>966183</v>
      </c>
      <c r="F196">
        <v>154589</v>
      </c>
      <c r="G196">
        <v>0</v>
      </c>
      <c r="H196">
        <v>0</v>
      </c>
      <c r="I196">
        <v>194</v>
      </c>
      <c r="J196">
        <v>1120772</v>
      </c>
      <c r="K196" t="s">
        <v>6621</v>
      </c>
      <c r="L196" s="1">
        <v>41074</v>
      </c>
      <c r="N196" t="s">
        <v>5127</v>
      </c>
      <c r="O196" t="s">
        <v>2458</v>
      </c>
      <c r="P196" t="s">
        <v>6538</v>
      </c>
      <c r="Q196" t="s">
        <v>39</v>
      </c>
      <c r="R196" t="s">
        <v>40</v>
      </c>
      <c r="S196">
        <v>0</v>
      </c>
      <c r="U196" t="s">
        <v>5550</v>
      </c>
      <c r="V196" t="s">
        <v>1797</v>
      </c>
      <c r="X196" t="s">
        <v>74</v>
      </c>
      <c r="Y196" t="b">
        <v>0</v>
      </c>
      <c r="Z196" t="b">
        <v>0</v>
      </c>
      <c r="AC196" s="1"/>
      <c r="AF196">
        <v>0</v>
      </c>
      <c r="AG196">
        <v>45</v>
      </c>
      <c r="AH196">
        <v>239</v>
      </c>
      <c r="AI196" s="2">
        <f>Table__192.168.3.138AgingReportBEWLGS[[#This Row],[NetAmount]]-Table__192.168.3.138AgingReportBEWLGS[[#This Row],[Paid]]</f>
        <v>1120772</v>
      </c>
    </row>
    <row r="197" spans="1:35">
      <c r="A197" t="s">
        <v>6622</v>
      </c>
      <c r="B197" s="1">
        <v>41068</v>
      </c>
      <c r="C197" s="1">
        <v>41113</v>
      </c>
      <c r="D197" t="s">
        <v>6536</v>
      </c>
      <c r="E197">
        <v>807065</v>
      </c>
      <c r="F197">
        <v>129130</v>
      </c>
      <c r="G197">
        <v>0</v>
      </c>
      <c r="H197">
        <v>0</v>
      </c>
      <c r="I197">
        <v>200</v>
      </c>
      <c r="J197">
        <v>936195</v>
      </c>
      <c r="K197" t="s">
        <v>6623</v>
      </c>
      <c r="L197" s="1">
        <v>41068</v>
      </c>
      <c r="N197" t="s">
        <v>5127</v>
      </c>
      <c r="O197" t="s">
        <v>2458</v>
      </c>
      <c r="P197" t="s">
        <v>6538</v>
      </c>
      <c r="Q197" t="s">
        <v>39</v>
      </c>
      <c r="R197" t="s">
        <v>40</v>
      </c>
      <c r="S197">
        <v>0</v>
      </c>
      <c r="U197" t="s">
        <v>5550</v>
      </c>
      <c r="V197" t="s">
        <v>1797</v>
      </c>
      <c r="X197" t="s">
        <v>74</v>
      </c>
      <c r="Y197" t="b">
        <v>0</v>
      </c>
      <c r="Z197" t="b">
        <v>0</v>
      </c>
      <c r="AC197" s="1"/>
      <c r="AF197">
        <v>0</v>
      </c>
      <c r="AG197">
        <v>45</v>
      </c>
      <c r="AH197">
        <v>245</v>
      </c>
      <c r="AI197" s="2">
        <f>Table__192.168.3.138AgingReportBEWLGS[[#This Row],[NetAmount]]-Table__192.168.3.138AgingReportBEWLGS[[#This Row],[Paid]]</f>
        <v>936195</v>
      </c>
    </row>
    <row r="198" spans="1:35">
      <c r="A198" t="s">
        <v>6624</v>
      </c>
      <c r="B198" s="1">
        <v>41080</v>
      </c>
      <c r="C198" s="1">
        <v>41125</v>
      </c>
      <c r="D198" t="s">
        <v>6625</v>
      </c>
      <c r="E198">
        <v>195000</v>
      </c>
      <c r="F198">
        <v>0</v>
      </c>
      <c r="G198">
        <v>0</v>
      </c>
      <c r="H198">
        <v>0</v>
      </c>
      <c r="I198">
        <v>185</v>
      </c>
      <c r="J198">
        <v>195000</v>
      </c>
      <c r="K198" t="s">
        <v>6626</v>
      </c>
      <c r="L198" s="1">
        <v>41083</v>
      </c>
      <c r="N198" t="s">
        <v>5127</v>
      </c>
      <c r="O198" t="s">
        <v>2458</v>
      </c>
      <c r="P198" t="s">
        <v>6627</v>
      </c>
      <c r="Q198" t="s">
        <v>39</v>
      </c>
      <c r="R198" t="s">
        <v>40</v>
      </c>
      <c r="S198">
        <v>0</v>
      </c>
      <c r="U198" t="s">
        <v>5550</v>
      </c>
      <c r="V198" t="s">
        <v>1797</v>
      </c>
      <c r="X198" t="s">
        <v>74</v>
      </c>
      <c r="Y198" t="b">
        <v>0</v>
      </c>
      <c r="Z198" t="b">
        <v>0</v>
      </c>
      <c r="AC198" s="1"/>
      <c r="AF198">
        <v>0</v>
      </c>
      <c r="AG198">
        <v>45</v>
      </c>
      <c r="AH198">
        <v>230</v>
      </c>
      <c r="AI198" s="2">
        <f>Table__192.168.3.138AgingReportBEWLGS[[#This Row],[NetAmount]]-Table__192.168.3.138AgingReportBEWLGS[[#This Row],[Paid]]</f>
        <v>195000</v>
      </c>
    </row>
    <row r="199" spans="1:35">
      <c r="A199" t="s">
        <v>6628</v>
      </c>
      <c r="B199" s="1">
        <v>41085</v>
      </c>
      <c r="C199" s="1">
        <v>41130</v>
      </c>
      <c r="D199" t="s">
        <v>6629</v>
      </c>
      <c r="E199">
        <v>33000</v>
      </c>
      <c r="F199">
        <v>5280</v>
      </c>
      <c r="G199">
        <v>0</v>
      </c>
      <c r="H199">
        <v>0</v>
      </c>
      <c r="I199">
        <v>183</v>
      </c>
      <c r="J199">
        <v>38280</v>
      </c>
      <c r="K199" t="s">
        <v>6630</v>
      </c>
      <c r="L199" s="1">
        <v>41085</v>
      </c>
      <c r="N199" t="s">
        <v>5127</v>
      </c>
      <c r="O199" t="s">
        <v>2458</v>
      </c>
      <c r="P199" t="s">
        <v>6631</v>
      </c>
      <c r="Q199" t="s">
        <v>39</v>
      </c>
      <c r="R199" t="s">
        <v>40</v>
      </c>
      <c r="S199">
        <v>0</v>
      </c>
      <c r="U199" t="s">
        <v>5550</v>
      </c>
      <c r="V199" t="s">
        <v>1797</v>
      </c>
      <c r="X199" t="s">
        <v>74</v>
      </c>
      <c r="Y199" t="b">
        <v>0</v>
      </c>
      <c r="Z199" t="b">
        <v>0</v>
      </c>
      <c r="AC199" s="1"/>
      <c r="AF199">
        <v>0</v>
      </c>
      <c r="AG199">
        <v>45</v>
      </c>
      <c r="AH199">
        <v>228</v>
      </c>
      <c r="AI199" s="2">
        <f>Table__192.168.3.138AgingReportBEWLGS[[#This Row],[NetAmount]]-Table__192.168.3.138AgingReportBEWLGS[[#This Row],[Paid]]</f>
        <v>38280</v>
      </c>
    </row>
    <row r="200" spans="1:35">
      <c r="A200" t="s">
        <v>6632</v>
      </c>
      <c r="B200" s="1">
        <v>41085</v>
      </c>
      <c r="C200" s="1">
        <v>41130</v>
      </c>
      <c r="D200" t="s">
        <v>6629</v>
      </c>
      <c r="E200">
        <v>13000</v>
      </c>
      <c r="F200">
        <v>2080</v>
      </c>
      <c r="G200">
        <v>0</v>
      </c>
      <c r="H200">
        <v>0</v>
      </c>
      <c r="I200">
        <v>186</v>
      </c>
      <c r="J200">
        <v>15080</v>
      </c>
      <c r="K200" t="s">
        <v>6633</v>
      </c>
      <c r="L200" s="1">
        <v>41082</v>
      </c>
      <c r="N200" t="s">
        <v>5127</v>
      </c>
      <c r="O200" t="s">
        <v>2458</v>
      </c>
      <c r="P200" t="s">
        <v>6631</v>
      </c>
      <c r="Q200" t="s">
        <v>39</v>
      </c>
      <c r="R200" t="s">
        <v>40</v>
      </c>
      <c r="S200">
        <v>0</v>
      </c>
      <c r="U200" t="s">
        <v>5550</v>
      </c>
      <c r="V200" t="s">
        <v>1797</v>
      </c>
      <c r="X200" t="s">
        <v>74</v>
      </c>
      <c r="Y200" t="b">
        <v>0</v>
      </c>
      <c r="Z200" t="b">
        <v>0</v>
      </c>
      <c r="AC200" s="1"/>
      <c r="AF200">
        <v>0</v>
      </c>
      <c r="AG200">
        <v>45</v>
      </c>
      <c r="AH200">
        <v>231</v>
      </c>
      <c r="AI200" s="2">
        <f>Table__192.168.3.138AgingReportBEWLGS[[#This Row],[NetAmount]]-Table__192.168.3.138AgingReportBEWLGS[[#This Row],[Paid]]</f>
        <v>15080</v>
      </c>
    </row>
    <row r="201" spans="1:35">
      <c r="A201" t="s">
        <v>6634</v>
      </c>
      <c r="B201" s="1">
        <v>41066</v>
      </c>
      <c r="C201" s="1">
        <v>41111</v>
      </c>
      <c r="D201" t="s">
        <v>6625</v>
      </c>
      <c r="E201">
        <v>35000</v>
      </c>
      <c r="F201">
        <v>0</v>
      </c>
      <c r="G201">
        <v>0</v>
      </c>
      <c r="H201">
        <v>0</v>
      </c>
      <c r="I201">
        <v>204</v>
      </c>
      <c r="J201">
        <v>35000</v>
      </c>
      <c r="K201" t="s">
        <v>6635</v>
      </c>
      <c r="L201" s="1">
        <v>41064</v>
      </c>
      <c r="N201" t="s">
        <v>5127</v>
      </c>
      <c r="O201" t="s">
        <v>2458</v>
      </c>
      <c r="P201" t="s">
        <v>6627</v>
      </c>
      <c r="Q201" t="s">
        <v>39</v>
      </c>
      <c r="R201" t="s">
        <v>40</v>
      </c>
      <c r="S201">
        <v>0</v>
      </c>
      <c r="U201" t="s">
        <v>5550</v>
      </c>
      <c r="V201" t="s">
        <v>1797</v>
      </c>
      <c r="X201" t="s">
        <v>74</v>
      </c>
      <c r="Y201" t="b">
        <v>0</v>
      </c>
      <c r="Z201" t="b">
        <v>0</v>
      </c>
      <c r="AC201" s="1"/>
      <c r="AF201">
        <v>0</v>
      </c>
      <c r="AG201">
        <v>45</v>
      </c>
      <c r="AH201">
        <v>249</v>
      </c>
      <c r="AI201" s="2">
        <f>Table__192.168.3.138AgingReportBEWLGS[[#This Row],[NetAmount]]-Table__192.168.3.138AgingReportBEWLGS[[#This Row],[Paid]]</f>
        <v>35000</v>
      </c>
    </row>
    <row r="202" spans="1:35">
      <c r="A202" t="s">
        <v>6636</v>
      </c>
      <c r="B202" s="1">
        <v>41081</v>
      </c>
      <c r="C202" s="1">
        <v>41126</v>
      </c>
      <c r="D202" t="s">
        <v>6438</v>
      </c>
      <c r="E202">
        <v>49500</v>
      </c>
      <c r="F202">
        <v>7920</v>
      </c>
      <c r="G202">
        <v>0</v>
      </c>
      <c r="H202">
        <v>0</v>
      </c>
      <c r="I202">
        <v>187</v>
      </c>
      <c r="J202">
        <v>57420</v>
      </c>
      <c r="K202" t="s">
        <v>5170</v>
      </c>
      <c r="L202" s="1">
        <v>41081</v>
      </c>
      <c r="N202" t="s">
        <v>5127</v>
      </c>
      <c r="O202" t="s">
        <v>2458</v>
      </c>
      <c r="P202" t="s">
        <v>6440</v>
      </c>
      <c r="Q202" t="s">
        <v>39</v>
      </c>
      <c r="R202" t="s">
        <v>40</v>
      </c>
      <c r="S202">
        <v>0</v>
      </c>
      <c r="U202" t="s">
        <v>5550</v>
      </c>
      <c r="V202" t="s">
        <v>1797</v>
      </c>
      <c r="X202" t="s">
        <v>74</v>
      </c>
      <c r="Y202" t="b">
        <v>0</v>
      </c>
      <c r="Z202" t="b">
        <v>0</v>
      </c>
      <c r="AC202" s="1"/>
      <c r="AF202">
        <v>0</v>
      </c>
      <c r="AG202">
        <v>45</v>
      </c>
      <c r="AH202">
        <v>232</v>
      </c>
      <c r="AI202" s="2">
        <f>Table__192.168.3.138AgingReportBEWLGS[[#This Row],[NetAmount]]-Table__192.168.3.138AgingReportBEWLGS[[#This Row],[Paid]]</f>
        <v>57420</v>
      </c>
    </row>
    <row r="203" spans="1:35">
      <c r="A203" t="s">
        <v>6637</v>
      </c>
      <c r="B203" s="1">
        <v>41085</v>
      </c>
      <c r="C203" s="1">
        <v>41130</v>
      </c>
      <c r="D203" t="s">
        <v>6629</v>
      </c>
      <c r="E203">
        <v>55160</v>
      </c>
      <c r="F203">
        <v>8826</v>
      </c>
      <c r="G203">
        <v>0</v>
      </c>
      <c r="H203">
        <v>0</v>
      </c>
      <c r="I203">
        <v>183</v>
      </c>
      <c r="J203">
        <v>63986</v>
      </c>
      <c r="K203" t="s">
        <v>6638</v>
      </c>
      <c r="L203" s="1">
        <v>41085</v>
      </c>
      <c r="N203" t="s">
        <v>5127</v>
      </c>
      <c r="O203" t="s">
        <v>2458</v>
      </c>
      <c r="P203" t="s">
        <v>6631</v>
      </c>
      <c r="Q203" t="s">
        <v>39</v>
      </c>
      <c r="R203" t="s">
        <v>40</v>
      </c>
      <c r="S203">
        <v>0</v>
      </c>
      <c r="U203" t="s">
        <v>5550</v>
      </c>
      <c r="V203" t="s">
        <v>1797</v>
      </c>
      <c r="X203" t="s">
        <v>74</v>
      </c>
      <c r="Y203" t="b">
        <v>0</v>
      </c>
      <c r="Z203" t="b">
        <v>0</v>
      </c>
      <c r="AC203" s="1"/>
      <c r="AF203">
        <v>0</v>
      </c>
      <c r="AG203">
        <v>45</v>
      </c>
      <c r="AH203">
        <v>228</v>
      </c>
      <c r="AI203" s="2">
        <f>Table__192.168.3.138AgingReportBEWLGS[[#This Row],[NetAmount]]-Table__192.168.3.138AgingReportBEWLGS[[#This Row],[Paid]]</f>
        <v>63986</v>
      </c>
    </row>
    <row r="204" spans="1:35">
      <c r="A204" t="s">
        <v>6639</v>
      </c>
      <c r="B204" s="1">
        <v>41065</v>
      </c>
      <c r="C204" s="1">
        <v>41110</v>
      </c>
      <c r="D204" t="s">
        <v>6318</v>
      </c>
      <c r="E204">
        <v>422710</v>
      </c>
      <c r="F204">
        <v>67634</v>
      </c>
      <c r="G204">
        <v>0</v>
      </c>
      <c r="H204">
        <v>0</v>
      </c>
      <c r="I204">
        <v>201</v>
      </c>
      <c r="J204">
        <v>490344</v>
      </c>
      <c r="K204" t="s">
        <v>6640</v>
      </c>
      <c r="L204" s="1">
        <v>41067</v>
      </c>
      <c r="N204" t="s">
        <v>5127</v>
      </c>
      <c r="O204" t="s">
        <v>2458</v>
      </c>
      <c r="P204" t="s">
        <v>6320</v>
      </c>
      <c r="Q204" t="s">
        <v>39</v>
      </c>
      <c r="R204" t="s">
        <v>40</v>
      </c>
      <c r="S204">
        <v>0</v>
      </c>
      <c r="U204" t="s">
        <v>5550</v>
      </c>
      <c r="V204" t="s">
        <v>1797</v>
      </c>
      <c r="X204" t="s">
        <v>74</v>
      </c>
      <c r="Y204" t="b">
        <v>0</v>
      </c>
      <c r="Z204" t="b">
        <v>0</v>
      </c>
      <c r="AB204" t="s">
        <v>6641</v>
      </c>
      <c r="AC204" s="1">
        <v>41307</v>
      </c>
      <c r="AE204" t="s">
        <v>6322</v>
      </c>
      <c r="AF204">
        <v>0</v>
      </c>
      <c r="AG204">
        <v>45</v>
      </c>
      <c r="AH204">
        <v>246</v>
      </c>
      <c r="AI204" s="2">
        <f>Table__192.168.3.138AgingReportBEWLGS[[#This Row],[NetAmount]]-Table__192.168.3.138AgingReportBEWLGS[[#This Row],[Paid]]</f>
        <v>490344</v>
      </c>
    </row>
    <row r="205" spans="1:35">
      <c r="A205" t="s">
        <v>6642</v>
      </c>
      <c r="B205" s="1">
        <v>41085</v>
      </c>
      <c r="C205" s="1">
        <v>41130</v>
      </c>
      <c r="D205" t="s">
        <v>5521</v>
      </c>
      <c r="E205">
        <v>22500</v>
      </c>
      <c r="F205">
        <v>3600</v>
      </c>
      <c r="G205">
        <v>0</v>
      </c>
      <c r="H205">
        <v>0</v>
      </c>
      <c r="I205">
        <v>186</v>
      </c>
      <c r="J205">
        <v>26100</v>
      </c>
      <c r="K205" t="s">
        <v>6643</v>
      </c>
      <c r="L205" s="1">
        <v>41082</v>
      </c>
      <c r="N205" t="s">
        <v>5127</v>
      </c>
      <c r="O205" t="s">
        <v>2458</v>
      </c>
      <c r="P205" t="s">
        <v>5532</v>
      </c>
      <c r="Q205" t="s">
        <v>39</v>
      </c>
      <c r="R205" t="s">
        <v>40</v>
      </c>
      <c r="S205">
        <v>0</v>
      </c>
      <c r="U205" t="s">
        <v>5550</v>
      </c>
      <c r="V205" t="s">
        <v>1797</v>
      </c>
      <c r="X205" t="s">
        <v>74</v>
      </c>
      <c r="Y205" t="b">
        <v>0</v>
      </c>
      <c r="Z205" t="b">
        <v>0</v>
      </c>
      <c r="AC205" s="1"/>
      <c r="AF205">
        <v>0</v>
      </c>
      <c r="AG205">
        <v>45</v>
      </c>
      <c r="AH205">
        <v>231</v>
      </c>
      <c r="AI205" s="2">
        <f>Table__192.168.3.138AgingReportBEWLGS[[#This Row],[NetAmount]]-Table__192.168.3.138AgingReportBEWLGS[[#This Row],[Paid]]</f>
        <v>26100</v>
      </c>
    </row>
    <row r="206" spans="1:35">
      <c r="A206" t="s">
        <v>6644</v>
      </c>
      <c r="B206" s="1">
        <v>41085</v>
      </c>
      <c r="C206" s="1">
        <v>41130</v>
      </c>
      <c r="D206" t="s">
        <v>6425</v>
      </c>
      <c r="E206">
        <v>25050</v>
      </c>
      <c r="F206">
        <v>4008</v>
      </c>
      <c r="G206">
        <v>0</v>
      </c>
      <c r="H206">
        <v>0</v>
      </c>
      <c r="I206">
        <v>185</v>
      </c>
      <c r="J206">
        <v>29058</v>
      </c>
      <c r="K206" t="s">
        <v>6645</v>
      </c>
      <c r="L206" s="1">
        <v>41083</v>
      </c>
      <c r="N206" t="s">
        <v>5127</v>
      </c>
      <c r="O206" t="s">
        <v>2458</v>
      </c>
      <c r="P206" t="s">
        <v>5478</v>
      </c>
      <c r="Q206" t="s">
        <v>39</v>
      </c>
      <c r="R206" t="s">
        <v>40</v>
      </c>
      <c r="S206">
        <v>0</v>
      </c>
      <c r="U206" t="s">
        <v>5550</v>
      </c>
      <c r="V206" t="s">
        <v>1797</v>
      </c>
      <c r="X206" t="s">
        <v>74</v>
      </c>
      <c r="Y206" t="b">
        <v>0</v>
      </c>
      <c r="Z206" t="b">
        <v>0</v>
      </c>
      <c r="AB206" t="s">
        <v>6427</v>
      </c>
      <c r="AC206" s="1">
        <v>41227</v>
      </c>
      <c r="AF206">
        <v>0</v>
      </c>
      <c r="AG206">
        <v>45</v>
      </c>
      <c r="AH206">
        <v>230</v>
      </c>
      <c r="AI206" s="2">
        <f>Table__192.168.3.138AgingReportBEWLGS[[#This Row],[NetAmount]]-Table__192.168.3.138AgingReportBEWLGS[[#This Row],[Paid]]</f>
        <v>29058</v>
      </c>
    </row>
    <row r="207" spans="1:35">
      <c r="A207" t="s">
        <v>6646</v>
      </c>
      <c r="B207" s="1">
        <v>41074</v>
      </c>
      <c r="C207" s="1">
        <v>41119</v>
      </c>
      <c r="D207" t="s">
        <v>6536</v>
      </c>
      <c r="E207">
        <v>474901</v>
      </c>
      <c r="F207">
        <v>75984</v>
      </c>
      <c r="G207">
        <v>0</v>
      </c>
      <c r="H207">
        <v>0</v>
      </c>
      <c r="I207">
        <v>194</v>
      </c>
      <c r="J207">
        <v>550885</v>
      </c>
      <c r="K207" t="s">
        <v>6647</v>
      </c>
      <c r="L207" s="1">
        <v>41074</v>
      </c>
      <c r="N207" t="s">
        <v>5127</v>
      </c>
      <c r="O207" t="s">
        <v>2458</v>
      </c>
      <c r="P207" t="s">
        <v>6538</v>
      </c>
      <c r="Q207" t="s">
        <v>39</v>
      </c>
      <c r="R207" t="s">
        <v>40</v>
      </c>
      <c r="S207">
        <v>0</v>
      </c>
      <c r="U207" t="s">
        <v>5550</v>
      </c>
      <c r="V207" t="s">
        <v>1797</v>
      </c>
      <c r="X207" t="s">
        <v>74</v>
      </c>
      <c r="Y207" t="b">
        <v>0</v>
      </c>
      <c r="Z207" t="b">
        <v>0</v>
      </c>
      <c r="AC207" s="1"/>
      <c r="AF207">
        <v>0</v>
      </c>
      <c r="AG207">
        <v>45</v>
      </c>
      <c r="AH207">
        <v>239</v>
      </c>
      <c r="AI207" s="2">
        <f>Table__192.168.3.138AgingReportBEWLGS[[#This Row],[NetAmount]]-Table__192.168.3.138AgingReportBEWLGS[[#This Row],[Paid]]</f>
        <v>550885</v>
      </c>
    </row>
    <row r="208" spans="1:35">
      <c r="A208" t="s">
        <v>6648</v>
      </c>
      <c r="B208" s="1">
        <v>41075</v>
      </c>
      <c r="C208" s="1">
        <v>41120</v>
      </c>
      <c r="D208" t="s">
        <v>6383</v>
      </c>
      <c r="E208">
        <v>418095</v>
      </c>
      <c r="F208">
        <v>66895</v>
      </c>
      <c r="G208">
        <v>0</v>
      </c>
      <c r="H208">
        <v>0</v>
      </c>
      <c r="I208">
        <v>193</v>
      </c>
      <c r="J208">
        <v>484990</v>
      </c>
      <c r="K208" t="s">
        <v>6649</v>
      </c>
      <c r="L208" s="1">
        <v>41075</v>
      </c>
      <c r="N208" t="s">
        <v>5127</v>
      </c>
      <c r="O208" t="s">
        <v>2458</v>
      </c>
      <c r="P208" t="s">
        <v>6384</v>
      </c>
      <c r="Q208" t="s">
        <v>39</v>
      </c>
      <c r="R208" t="s">
        <v>40</v>
      </c>
      <c r="S208">
        <v>0</v>
      </c>
      <c r="U208" t="s">
        <v>5550</v>
      </c>
      <c r="V208" t="s">
        <v>1797</v>
      </c>
      <c r="X208" t="s">
        <v>74</v>
      </c>
      <c r="Y208" t="b">
        <v>0</v>
      </c>
      <c r="Z208" t="b">
        <v>0</v>
      </c>
      <c r="AB208" t="s">
        <v>6650</v>
      </c>
      <c r="AC208" s="1">
        <v>41124</v>
      </c>
      <c r="AF208">
        <v>0</v>
      </c>
      <c r="AG208">
        <v>45</v>
      </c>
      <c r="AH208">
        <v>238</v>
      </c>
      <c r="AI208" s="2">
        <f>Table__192.168.3.138AgingReportBEWLGS[[#This Row],[NetAmount]]-Table__192.168.3.138AgingReportBEWLGS[[#This Row],[Paid]]</f>
        <v>484990</v>
      </c>
    </row>
    <row r="209" spans="1:35">
      <c r="A209" t="s">
        <v>6651</v>
      </c>
      <c r="B209" s="1">
        <v>41081</v>
      </c>
      <c r="C209" s="1">
        <v>41126</v>
      </c>
      <c r="D209" t="s">
        <v>6383</v>
      </c>
      <c r="E209">
        <v>289845</v>
      </c>
      <c r="F209">
        <v>46375</v>
      </c>
      <c r="G209">
        <v>0</v>
      </c>
      <c r="H209">
        <v>0</v>
      </c>
      <c r="I209">
        <v>187</v>
      </c>
      <c r="J209">
        <v>336220</v>
      </c>
      <c r="K209" t="s">
        <v>6652</v>
      </c>
      <c r="L209" s="1">
        <v>41081</v>
      </c>
      <c r="N209" t="s">
        <v>5127</v>
      </c>
      <c r="O209" t="s">
        <v>2458</v>
      </c>
      <c r="P209" t="s">
        <v>6384</v>
      </c>
      <c r="Q209" t="s">
        <v>39</v>
      </c>
      <c r="R209" t="s">
        <v>40</v>
      </c>
      <c r="S209">
        <v>0</v>
      </c>
      <c r="U209" t="s">
        <v>5550</v>
      </c>
      <c r="V209" t="s">
        <v>1797</v>
      </c>
      <c r="X209" t="s">
        <v>74</v>
      </c>
      <c r="Y209" t="b">
        <v>0</v>
      </c>
      <c r="Z209" t="b">
        <v>0</v>
      </c>
      <c r="AB209" t="s">
        <v>6650</v>
      </c>
      <c r="AC209" s="1">
        <v>41124</v>
      </c>
      <c r="AF209">
        <v>0</v>
      </c>
      <c r="AG209">
        <v>45</v>
      </c>
      <c r="AH209">
        <v>232</v>
      </c>
      <c r="AI209" s="2">
        <f>Table__192.168.3.138AgingReportBEWLGS[[#This Row],[NetAmount]]-Table__192.168.3.138AgingReportBEWLGS[[#This Row],[Paid]]</f>
        <v>336220</v>
      </c>
    </row>
    <row r="210" spans="1:35">
      <c r="A210" t="s">
        <v>6653</v>
      </c>
      <c r="B210" s="1">
        <v>41088</v>
      </c>
      <c r="C210" s="1">
        <v>41133</v>
      </c>
      <c r="D210" t="s">
        <v>6654</v>
      </c>
      <c r="E210">
        <v>61875</v>
      </c>
      <c r="F210">
        <v>9900</v>
      </c>
      <c r="G210">
        <v>0</v>
      </c>
      <c r="H210">
        <v>0</v>
      </c>
      <c r="I210">
        <v>183</v>
      </c>
      <c r="J210">
        <v>71775</v>
      </c>
      <c r="K210" t="s">
        <v>6655</v>
      </c>
      <c r="L210" s="1">
        <v>41085</v>
      </c>
      <c r="N210" t="s">
        <v>5127</v>
      </c>
      <c r="O210" t="s">
        <v>2458</v>
      </c>
      <c r="P210" t="s">
        <v>6656</v>
      </c>
      <c r="Q210" t="s">
        <v>39</v>
      </c>
      <c r="R210" t="s">
        <v>40</v>
      </c>
      <c r="S210">
        <v>0</v>
      </c>
      <c r="U210" t="s">
        <v>5550</v>
      </c>
      <c r="V210" t="s">
        <v>1797</v>
      </c>
      <c r="X210" t="s">
        <v>74</v>
      </c>
      <c r="Y210" t="b">
        <v>0</v>
      </c>
      <c r="Z210" t="b">
        <v>0</v>
      </c>
      <c r="AB210" t="s">
        <v>6657</v>
      </c>
      <c r="AC210" s="1">
        <v>41253</v>
      </c>
      <c r="AF210">
        <v>0</v>
      </c>
      <c r="AG210">
        <v>45</v>
      </c>
      <c r="AH210">
        <v>228</v>
      </c>
      <c r="AI210" s="2">
        <f>Table__192.168.3.138AgingReportBEWLGS[[#This Row],[NetAmount]]-Table__192.168.3.138AgingReportBEWLGS[[#This Row],[Paid]]</f>
        <v>71775</v>
      </c>
    </row>
    <row r="211" spans="1:35">
      <c r="A211" t="s">
        <v>6658</v>
      </c>
      <c r="B211" s="1">
        <v>41064</v>
      </c>
      <c r="C211" s="1">
        <v>41109</v>
      </c>
      <c r="D211" t="s">
        <v>6448</v>
      </c>
      <c r="E211">
        <v>19040</v>
      </c>
      <c r="F211">
        <v>3046</v>
      </c>
      <c r="G211">
        <v>0</v>
      </c>
      <c r="H211">
        <v>0</v>
      </c>
      <c r="I211">
        <v>204</v>
      </c>
      <c r="J211">
        <v>22086</v>
      </c>
      <c r="K211" t="s">
        <v>6659</v>
      </c>
      <c r="L211" s="1">
        <v>41064</v>
      </c>
      <c r="N211" t="s">
        <v>5127</v>
      </c>
      <c r="O211" t="s">
        <v>2458</v>
      </c>
      <c r="P211" t="s">
        <v>6451</v>
      </c>
      <c r="Q211" t="s">
        <v>39</v>
      </c>
      <c r="R211" t="s">
        <v>40</v>
      </c>
      <c r="S211">
        <v>0</v>
      </c>
      <c r="U211" t="s">
        <v>5550</v>
      </c>
      <c r="V211" t="s">
        <v>1797</v>
      </c>
      <c r="X211" t="s">
        <v>74</v>
      </c>
      <c r="Y211" t="b">
        <v>0</v>
      </c>
      <c r="Z211" t="b">
        <v>0</v>
      </c>
      <c r="AC211" s="1"/>
      <c r="AF211">
        <v>0</v>
      </c>
      <c r="AG211">
        <v>45</v>
      </c>
      <c r="AH211">
        <v>249</v>
      </c>
      <c r="AI211" s="2">
        <f>Table__192.168.3.138AgingReportBEWLGS[[#This Row],[NetAmount]]-Table__192.168.3.138AgingReportBEWLGS[[#This Row],[Paid]]</f>
        <v>22086</v>
      </c>
    </row>
    <row r="212" spans="1:35">
      <c r="A212" t="s">
        <v>6660</v>
      </c>
      <c r="B212" s="1">
        <v>41075</v>
      </c>
      <c r="C212" s="1">
        <v>41120</v>
      </c>
      <c r="D212" t="s">
        <v>6448</v>
      </c>
      <c r="E212">
        <v>23800</v>
      </c>
      <c r="F212">
        <v>3808</v>
      </c>
      <c r="G212">
        <v>0</v>
      </c>
      <c r="H212">
        <v>0</v>
      </c>
      <c r="I212">
        <v>194</v>
      </c>
      <c r="J212">
        <v>27608</v>
      </c>
      <c r="K212" t="s">
        <v>6661</v>
      </c>
      <c r="L212" s="1">
        <v>41074</v>
      </c>
      <c r="N212" t="s">
        <v>5127</v>
      </c>
      <c r="O212" t="s">
        <v>2458</v>
      </c>
      <c r="P212" t="s">
        <v>6451</v>
      </c>
      <c r="Q212" t="s">
        <v>39</v>
      </c>
      <c r="R212" t="s">
        <v>40</v>
      </c>
      <c r="S212">
        <v>0</v>
      </c>
      <c r="U212" t="s">
        <v>5550</v>
      </c>
      <c r="V212" t="s">
        <v>1797</v>
      </c>
      <c r="X212" t="s">
        <v>74</v>
      </c>
      <c r="Y212" t="b">
        <v>0</v>
      </c>
      <c r="Z212" t="b">
        <v>0</v>
      </c>
      <c r="AC212" s="1"/>
      <c r="AF212">
        <v>0</v>
      </c>
      <c r="AG212">
        <v>45</v>
      </c>
      <c r="AH212">
        <v>239</v>
      </c>
      <c r="AI212" s="2">
        <f>Table__192.168.3.138AgingReportBEWLGS[[#This Row],[NetAmount]]-Table__192.168.3.138AgingReportBEWLGS[[#This Row],[Paid]]</f>
        <v>27608</v>
      </c>
    </row>
    <row r="213" spans="1:35">
      <c r="A213" t="s">
        <v>6662</v>
      </c>
      <c r="B213" s="1">
        <v>41083</v>
      </c>
      <c r="C213" s="1">
        <v>41128</v>
      </c>
      <c r="D213" t="s">
        <v>6448</v>
      </c>
      <c r="E213">
        <v>35700</v>
      </c>
      <c r="F213">
        <v>5712</v>
      </c>
      <c r="G213">
        <v>0</v>
      </c>
      <c r="H213">
        <v>0</v>
      </c>
      <c r="I213">
        <v>185</v>
      </c>
      <c r="J213">
        <v>41412</v>
      </c>
      <c r="K213" t="s">
        <v>995</v>
      </c>
      <c r="L213" s="1">
        <v>41083</v>
      </c>
      <c r="N213" t="s">
        <v>5127</v>
      </c>
      <c r="O213" t="s">
        <v>2458</v>
      </c>
      <c r="P213" t="s">
        <v>6451</v>
      </c>
      <c r="Q213" t="s">
        <v>39</v>
      </c>
      <c r="R213" t="s">
        <v>40</v>
      </c>
      <c r="S213">
        <v>0</v>
      </c>
      <c r="U213" t="s">
        <v>5550</v>
      </c>
      <c r="V213" t="s">
        <v>1797</v>
      </c>
      <c r="X213" t="s">
        <v>74</v>
      </c>
      <c r="Y213" t="b">
        <v>0</v>
      </c>
      <c r="Z213" t="b">
        <v>0</v>
      </c>
      <c r="AC213" s="1"/>
      <c r="AF213">
        <v>0</v>
      </c>
      <c r="AG213">
        <v>45</v>
      </c>
      <c r="AH213">
        <v>230</v>
      </c>
      <c r="AI213" s="2">
        <f>Table__192.168.3.138AgingReportBEWLGS[[#This Row],[NetAmount]]-Table__192.168.3.138AgingReportBEWLGS[[#This Row],[Paid]]</f>
        <v>41412</v>
      </c>
    </row>
    <row r="214" spans="1:35">
      <c r="A214" t="s">
        <v>6663</v>
      </c>
      <c r="B214" s="1">
        <v>41064</v>
      </c>
      <c r="C214" s="1">
        <v>41109</v>
      </c>
      <c r="D214" t="s">
        <v>6664</v>
      </c>
      <c r="E214">
        <v>13455</v>
      </c>
      <c r="F214">
        <v>2153</v>
      </c>
      <c r="G214">
        <v>0</v>
      </c>
      <c r="H214">
        <v>0</v>
      </c>
      <c r="I214">
        <v>206</v>
      </c>
      <c r="J214">
        <v>15608</v>
      </c>
      <c r="K214" t="s">
        <v>6665</v>
      </c>
      <c r="L214" s="1">
        <v>41062</v>
      </c>
      <c r="M214" t="s">
        <v>6666</v>
      </c>
      <c r="N214" t="s">
        <v>5127</v>
      </c>
      <c r="O214" t="s">
        <v>2458</v>
      </c>
      <c r="P214" t="s">
        <v>5528</v>
      </c>
      <c r="Q214" t="s">
        <v>39</v>
      </c>
      <c r="R214" t="s">
        <v>40</v>
      </c>
      <c r="S214">
        <v>0</v>
      </c>
      <c r="U214" t="s">
        <v>5550</v>
      </c>
      <c r="V214" t="s">
        <v>1797</v>
      </c>
      <c r="W214" t="s">
        <v>6667</v>
      </c>
      <c r="X214" t="s">
        <v>74</v>
      </c>
      <c r="Y214" t="b">
        <v>0</v>
      </c>
      <c r="Z214" t="b">
        <v>0</v>
      </c>
      <c r="AA214" t="b">
        <v>0</v>
      </c>
      <c r="AC214" s="1"/>
      <c r="AF214">
        <v>0</v>
      </c>
      <c r="AG214">
        <v>45</v>
      </c>
      <c r="AH214">
        <v>251</v>
      </c>
      <c r="AI214" s="2">
        <f>Table__192.168.3.138AgingReportBEWLGS[[#This Row],[NetAmount]]-Table__192.168.3.138AgingReportBEWLGS[[#This Row],[Paid]]</f>
        <v>15608</v>
      </c>
    </row>
    <row r="215" spans="1:35">
      <c r="A215" t="s">
        <v>6668</v>
      </c>
      <c r="B215" s="1">
        <v>41080</v>
      </c>
      <c r="C215" s="1">
        <v>41125</v>
      </c>
      <c r="D215" t="s">
        <v>6664</v>
      </c>
      <c r="E215">
        <v>76526</v>
      </c>
      <c r="F215">
        <v>12244</v>
      </c>
      <c r="G215">
        <v>0</v>
      </c>
      <c r="H215">
        <v>0</v>
      </c>
      <c r="I215">
        <v>188</v>
      </c>
      <c r="J215">
        <v>88770</v>
      </c>
      <c r="K215" t="s">
        <v>6669</v>
      </c>
      <c r="L215" s="1">
        <v>41080</v>
      </c>
      <c r="M215" t="s">
        <v>6670</v>
      </c>
      <c r="N215" t="s">
        <v>5127</v>
      </c>
      <c r="O215" t="s">
        <v>2458</v>
      </c>
      <c r="P215" t="s">
        <v>5528</v>
      </c>
      <c r="Q215" t="s">
        <v>39</v>
      </c>
      <c r="R215" t="s">
        <v>40</v>
      </c>
      <c r="S215">
        <v>0</v>
      </c>
      <c r="U215" t="s">
        <v>5550</v>
      </c>
      <c r="V215" t="s">
        <v>1797</v>
      </c>
      <c r="W215" t="s">
        <v>6667</v>
      </c>
      <c r="X215" t="s">
        <v>74</v>
      </c>
      <c r="Y215" t="b">
        <v>0</v>
      </c>
      <c r="Z215" t="b">
        <v>0</v>
      </c>
      <c r="AA215" t="b">
        <v>0</v>
      </c>
      <c r="AC215" s="1"/>
      <c r="AF215">
        <v>0</v>
      </c>
      <c r="AG215">
        <v>45</v>
      </c>
      <c r="AH215">
        <v>233</v>
      </c>
      <c r="AI215" s="2">
        <f>Table__192.168.3.138AgingReportBEWLGS[[#This Row],[NetAmount]]-Table__192.168.3.138AgingReportBEWLGS[[#This Row],[Paid]]</f>
        <v>88770</v>
      </c>
    </row>
    <row r="216" spans="1:35">
      <c r="A216" t="s">
        <v>6671</v>
      </c>
      <c r="B216" s="1">
        <v>41062</v>
      </c>
      <c r="C216" s="1">
        <v>41107</v>
      </c>
      <c r="D216" t="s">
        <v>6542</v>
      </c>
      <c r="E216">
        <v>19040</v>
      </c>
      <c r="F216">
        <v>0</v>
      </c>
      <c r="G216">
        <v>0</v>
      </c>
      <c r="H216">
        <v>0</v>
      </c>
      <c r="I216">
        <v>206</v>
      </c>
      <c r="J216">
        <v>19040</v>
      </c>
      <c r="K216" t="s">
        <v>3823</v>
      </c>
      <c r="L216" s="1">
        <v>41062</v>
      </c>
      <c r="N216" t="s">
        <v>5127</v>
      </c>
      <c r="O216" t="s">
        <v>2458</v>
      </c>
      <c r="P216" t="s">
        <v>6544</v>
      </c>
      <c r="Q216" t="s">
        <v>39</v>
      </c>
      <c r="R216" t="s">
        <v>40</v>
      </c>
      <c r="S216">
        <v>0</v>
      </c>
      <c r="U216" t="s">
        <v>5550</v>
      </c>
      <c r="V216" t="s">
        <v>1797</v>
      </c>
      <c r="X216" t="s">
        <v>74</v>
      </c>
      <c r="Y216" t="b">
        <v>0</v>
      </c>
      <c r="Z216" t="b">
        <v>0</v>
      </c>
      <c r="AC216" s="1"/>
      <c r="AF216">
        <v>0</v>
      </c>
      <c r="AG216">
        <v>45</v>
      </c>
      <c r="AH216">
        <v>251</v>
      </c>
      <c r="AI216" s="2">
        <f>Table__192.168.3.138AgingReportBEWLGS[[#This Row],[NetAmount]]-Table__192.168.3.138AgingReportBEWLGS[[#This Row],[Paid]]</f>
        <v>19040</v>
      </c>
    </row>
    <row r="217" spans="1:35">
      <c r="A217" t="s">
        <v>6672</v>
      </c>
      <c r="B217" s="1">
        <v>41067</v>
      </c>
      <c r="C217" s="1">
        <v>41067</v>
      </c>
      <c r="D217" t="s">
        <v>6529</v>
      </c>
      <c r="E217">
        <v>24914</v>
      </c>
      <c r="F217">
        <v>3986</v>
      </c>
      <c r="G217">
        <v>0</v>
      </c>
      <c r="H217">
        <v>0</v>
      </c>
      <c r="I217">
        <v>0</v>
      </c>
      <c r="J217">
        <v>28900</v>
      </c>
      <c r="K217" t="s">
        <v>6673</v>
      </c>
      <c r="L217" s="1">
        <v>41066</v>
      </c>
      <c r="M217" t="s">
        <v>6674</v>
      </c>
      <c r="N217" t="s">
        <v>5127</v>
      </c>
      <c r="O217" t="s">
        <v>2458</v>
      </c>
      <c r="P217" t="s">
        <v>6530</v>
      </c>
      <c r="Q217" t="s">
        <v>39</v>
      </c>
      <c r="R217" t="s">
        <v>40</v>
      </c>
      <c r="S217">
        <v>0</v>
      </c>
      <c r="U217" t="s">
        <v>5550</v>
      </c>
      <c r="V217" t="s">
        <v>1797</v>
      </c>
      <c r="W217" t="s">
        <v>6675</v>
      </c>
      <c r="X217" t="s">
        <v>74</v>
      </c>
      <c r="Y217" t="b">
        <v>0</v>
      </c>
      <c r="Z217" t="b">
        <v>0</v>
      </c>
      <c r="AA217" t="b">
        <v>0</v>
      </c>
      <c r="AC217" s="1"/>
      <c r="AF217">
        <v>0</v>
      </c>
      <c r="AH217">
        <v>247</v>
      </c>
      <c r="AI217" s="2">
        <f>Table__192.168.3.138AgingReportBEWLGS[[#This Row],[NetAmount]]-Table__192.168.3.138AgingReportBEWLGS[[#This Row],[Paid]]</f>
        <v>28900</v>
      </c>
    </row>
    <row r="218" spans="1:35">
      <c r="A218" t="s">
        <v>6676</v>
      </c>
      <c r="B218" s="1">
        <v>41082</v>
      </c>
      <c r="C218" s="1">
        <v>41082</v>
      </c>
      <c r="D218" t="s">
        <v>6529</v>
      </c>
      <c r="E218">
        <v>24914</v>
      </c>
      <c r="F218">
        <v>3986</v>
      </c>
      <c r="G218">
        <v>0</v>
      </c>
      <c r="H218">
        <v>0</v>
      </c>
      <c r="I218">
        <v>0</v>
      </c>
      <c r="J218">
        <v>28889</v>
      </c>
      <c r="K218" t="s">
        <v>6677</v>
      </c>
      <c r="L218" s="1">
        <v>41081</v>
      </c>
      <c r="M218" t="s">
        <v>6678</v>
      </c>
      <c r="N218" t="s">
        <v>5127</v>
      </c>
      <c r="O218" t="s">
        <v>2458</v>
      </c>
      <c r="P218" t="s">
        <v>6530</v>
      </c>
      <c r="Q218" t="s">
        <v>39</v>
      </c>
      <c r="R218" t="s">
        <v>40</v>
      </c>
      <c r="S218">
        <v>0</v>
      </c>
      <c r="U218" t="s">
        <v>5550</v>
      </c>
      <c r="V218" t="s">
        <v>1797</v>
      </c>
      <c r="W218" t="s">
        <v>6675</v>
      </c>
      <c r="X218" t="s">
        <v>74</v>
      </c>
      <c r="Y218" t="b">
        <v>0</v>
      </c>
      <c r="Z218" t="b">
        <v>0</v>
      </c>
      <c r="AA218" t="b">
        <v>0</v>
      </c>
      <c r="AC218" s="1"/>
      <c r="AF218">
        <v>0</v>
      </c>
      <c r="AH218">
        <v>232</v>
      </c>
      <c r="AI218" s="2">
        <f>Table__192.168.3.138AgingReportBEWLGS[[#This Row],[NetAmount]]-Table__192.168.3.138AgingReportBEWLGS[[#This Row],[Paid]]</f>
        <v>28889</v>
      </c>
    </row>
    <row r="219" spans="1:35">
      <c r="A219" t="s">
        <v>6679</v>
      </c>
      <c r="B219" s="1">
        <v>41079</v>
      </c>
      <c r="C219" s="1">
        <v>41124</v>
      </c>
      <c r="D219" t="s">
        <v>6542</v>
      </c>
      <c r="E219">
        <v>19040</v>
      </c>
      <c r="F219">
        <v>0</v>
      </c>
      <c r="G219">
        <v>0</v>
      </c>
      <c r="H219">
        <v>0</v>
      </c>
      <c r="I219">
        <v>189</v>
      </c>
      <c r="J219">
        <v>19040</v>
      </c>
      <c r="K219" t="s">
        <v>6680</v>
      </c>
      <c r="L219" s="1">
        <v>41079</v>
      </c>
      <c r="N219" t="s">
        <v>5127</v>
      </c>
      <c r="O219" t="s">
        <v>2458</v>
      </c>
      <c r="P219" t="s">
        <v>6544</v>
      </c>
      <c r="Q219" t="s">
        <v>39</v>
      </c>
      <c r="R219" t="s">
        <v>40</v>
      </c>
      <c r="S219">
        <v>0</v>
      </c>
      <c r="U219" t="s">
        <v>5550</v>
      </c>
      <c r="V219" t="s">
        <v>1797</v>
      </c>
      <c r="X219" t="s">
        <v>74</v>
      </c>
      <c r="Y219" t="b">
        <v>0</v>
      </c>
      <c r="Z219" t="b">
        <v>0</v>
      </c>
      <c r="AC219" s="1"/>
      <c r="AF219">
        <v>0</v>
      </c>
      <c r="AG219">
        <v>45</v>
      </c>
      <c r="AH219">
        <v>234</v>
      </c>
      <c r="AI219" s="2">
        <f>Table__192.168.3.138AgingReportBEWLGS[[#This Row],[NetAmount]]-Table__192.168.3.138AgingReportBEWLGS[[#This Row],[Paid]]</f>
        <v>19040</v>
      </c>
    </row>
    <row r="220" spans="1:35">
      <c r="A220" t="s">
        <v>6681</v>
      </c>
      <c r="B220" s="1">
        <v>41085</v>
      </c>
      <c r="C220" s="1">
        <v>41130</v>
      </c>
      <c r="D220" t="s">
        <v>6542</v>
      </c>
      <c r="E220">
        <v>23800</v>
      </c>
      <c r="F220">
        <v>0</v>
      </c>
      <c r="G220">
        <v>0</v>
      </c>
      <c r="H220">
        <v>0</v>
      </c>
      <c r="I220">
        <v>183</v>
      </c>
      <c r="J220">
        <v>23800</v>
      </c>
      <c r="K220" t="s">
        <v>6682</v>
      </c>
      <c r="L220" s="1">
        <v>41085</v>
      </c>
      <c r="N220" t="s">
        <v>5127</v>
      </c>
      <c r="O220" t="s">
        <v>2458</v>
      </c>
      <c r="P220" t="s">
        <v>6544</v>
      </c>
      <c r="Q220" t="s">
        <v>39</v>
      </c>
      <c r="R220" t="s">
        <v>40</v>
      </c>
      <c r="S220">
        <v>0</v>
      </c>
      <c r="U220" t="s">
        <v>5550</v>
      </c>
      <c r="V220" t="s">
        <v>1797</v>
      </c>
      <c r="X220" t="s">
        <v>74</v>
      </c>
      <c r="Y220" t="b">
        <v>0</v>
      </c>
      <c r="Z220" t="b">
        <v>0</v>
      </c>
      <c r="AC220" s="1"/>
      <c r="AF220">
        <v>0</v>
      </c>
      <c r="AG220">
        <v>45</v>
      </c>
      <c r="AH220">
        <v>228</v>
      </c>
      <c r="AI220" s="2">
        <f>Table__192.168.3.138AgingReportBEWLGS[[#This Row],[NetAmount]]-Table__192.168.3.138AgingReportBEWLGS[[#This Row],[Paid]]</f>
        <v>23800</v>
      </c>
    </row>
    <row r="221" spans="1:35">
      <c r="A221" t="s">
        <v>6683</v>
      </c>
      <c r="B221" s="1">
        <v>41069</v>
      </c>
      <c r="C221" s="1">
        <v>41114</v>
      </c>
      <c r="D221" t="s">
        <v>6542</v>
      </c>
      <c r="E221">
        <v>24140</v>
      </c>
      <c r="F221">
        <v>0</v>
      </c>
      <c r="G221">
        <v>0</v>
      </c>
      <c r="H221">
        <v>0</v>
      </c>
      <c r="I221">
        <v>199</v>
      </c>
      <c r="J221">
        <v>24140</v>
      </c>
      <c r="K221" t="s">
        <v>4405</v>
      </c>
      <c r="L221" s="1">
        <v>41069</v>
      </c>
      <c r="N221" t="s">
        <v>5127</v>
      </c>
      <c r="O221" t="s">
        <v>2458</v>
      </c>
      <c r="P221" t="s">
        <v>6544</v>
      </c>
      <c r="Q221" t="s">
        <v>39</v>
      </c>
      <c r="R221" t="s">
        <v>40</v>
      </c>
      <c r="S221">
        <v>0</v>
      </c>
      <c r="U221" t="s">
        <v>5550</v>
      </c>
      <c r="V221" t="s">
        <v>1797</v>
      </c>
      <c r="X221" t="s">
        <v>74</v>
      </c>
      <c r="Y221" t="b">
        <v>0</v>
      </c>
      <c r="Z221" t="b">
        <v>0</v>
      </c>
      <c r="AC221" s="1"/>
      <c r="AF221">
        <v>0</v>
      </c>
      <c r="AG221">
        <v>45</v>
      </c>
      <c r="AH221">
        <v>244</v>
      </c>
      <c r="AI221" s="2">
        <f>Table__192.168.3.138AgingReportBEWLGS[[#This Row],[NetAmount]]-Table__192.168.3.138AgingReportBEWLGS[[#This Row],[Paid]]</f>
        <v>24140</v>
      </c>
    </row>
    <row r="222" spans="1:35">
      <c r="A222" t="s">
        <v>6684</v>
      </c>
      <c r="B222" s="1">
        <v>41074</v>
      </c>
      <c r="C222" s="1">
        <v>41119</v>
      </c>
      <c r="D222" t="s">
        <v>6542</v>
      </c>
      <c r="E222">
        <v>21760</v>
      </c>
      <c r="F222">
        <v>0</v>
      </c>
      <c r="G222">
        <v>0</v>
      </c>
      <c r="H222">
        <v>0</v>
      </c>
      <c r="I222">
        <v>194</v>
      </c>
      <c r="J222">
        <v>21760</v>
      </c>
      <c r="K222" t="s">
        <v>6685</v>
      </c>
      <c r="L222" s="1">
        <v>41074</v>
      </c>
      <c r="N222" t="s">
        <v>5127</v>
      </c>
      <c r="O222" t="s">
        <v>2458</v>
      </c>
      <c r="P222" t="s">
        <v>6544</v>
      </c>
      <c r="Q222" t="s">
        <v>39</v>
      </c>
      <c r="R222" t="s">
        <v>40</v>
      </c>
      <c r="S222">
        <v>0</v>
      </c>
      <c r="U222" t="s">
        <v>5550</v>
      </c>
      <c r="V222" t="s">
        <v>1797</v>
      </c>
      <c r="X222" t="s">
        <v>74</v>
      </c>
      <c r="Y222" t="b">
        <v>0</v>
      </c>
      <c r="Z222" t="b">
        <v>0</v>
      </c>
      <c r="AC222" s="1"/>
      <c r="AF222">
        <v>0</v>
      </c>
      <c r="AG222">
        <v>45</v>
      </c>
      <c r="AH222">
        <v>239</v>
      </c>
      <c r="AI222" s="2">
        <f>Table__192.168.3.138AgingReportBEWLGS[[#This Row],[NetAmount]]-Table__192.168.3.138AgingReportBEWLGS[[#This Row],[Paid]]</f>
        <v>21760</v>
      </c>
    </row>
    <row r="223" spans="1:35">
      <c r="A223" t="s">
        <v>6686</v>
      </c>
      <c r="B223" s="1">
        <v>41090</v>
      </c>
      <c r="C223" s="1">
        <v>41135</v>
      </c>
      <c r="D223" t="s">
        <v>6687</v>
      </c>
      <c r="E223">
        <v>750000</v>
      </c>
      <c r="F223">
        <v>0</v>
      </c>
      <c r="G223">
        <v>0</v>
      </c>
      <c r="H223">
        <v>0</v>
      </c>
      <c r="I223">
        <v>276</v>
      </c>
      <c r="J223">
        <v>750000</v>
      </c>
      <c r="K223" t="s">
        <v>6688</v>
      </c>
      <c r="L223" s="1">
        <v>40992</v>
      </c>
      <c r="N223" t="s">
        <v>5127</v>
      </c>
      <c r="O223" t="s">
        <v>2458</v>
      </c>
      <c r="P223" t="s">
        <v>6689</v>
      </c>
      <c r="Q223" t="s">
        <v>39</v>
      </c>
      <c r="R223" t="s">
        <v>40</v>
      </c>
      <c r="S223">
        <v>0</v>
      </c>
      <c r="U223" t="s">
        <v>5550</v>
      </c>
      <c r="V223" t="s">
        <v>1797</v>
      </c>
      <c r="X223" t="s">
        <v>74</v>
      </c>
      <c r="Y223" t="b">
        <v>0</v>
      </c>
      <c r="Z223" t="b">
        <v>0</v>
      </c>
      <c r="AB223" t="s">
        <v>6690</v>
      </c>
      <c r="AC223" s="1"/>
      <c r="AF223">
        <v>0</v>
      </c>
      <c r="AG223">
        <v>45</v>
      </c>
      <c r="AH223">
        <v>321</v>
      </c>
      <c r="AI223" s="2">
        <f>Table__192.168.3.138AgingReportBEWLGS[[#This Row],[NetAmount]]-Table__192.168.3.138AgingReportBEWLGS[[#This Row],[Paid]]</f>
        <v>750000</v>
      </c>
    </row>
    <row r="224" spans="1:35">
      <c r="A224" t="s">
        <v>6691</v>
      </c>
      <c r="B224" s="1">
        <v>41015</v>
      </c>
      <c r="C224" s="1">
        <v>41060</v>
      </c>
      <c r="D224" t="s">
        <v>5521</v>
      </c>
      <c r="E224">
        <v>5500</v>
      </c>
      <c r="F224">
        <v>880</v>
      </c>
      <c r="G224">
        <v>0</v>
      </c>
      <c r="H224">
        <v>0</v>
      </c>
      <c r="I224">
        <v>253</v>
      </c>
      <c r="J224">
        <v>6380</v>
      </c>
      <c r="K224" t="s">
        <v>6692</v>
      </c>
      <c r="L224" s="1">
        <v>41015</v>
      </c>
      <c r="M224" t="s">
        <v>6693</v>
      </c>
      <c r="N224" t="s">
        <v>6694</v>
      </c>
      <c r="O224" t="s">
        <v>3507</v>
      </c>
      <c r="P224" t="s">
        <v>5532</v>
      </c>
      <c r="Q224" t="s">
        <v>39</v>
      </c>
      <c r="R224" t="s">
        <v>40</v>
      </c>
      <c r="S224">
        <v>0</v>
      </c>
      <c r="U224" t="s">
        <v>5550</v>
      </c>
      <c r="V224" t="s">
        <v>1797</v>
      </c>
      <c r="W224" t="s">
        <v>6483</v>
      </c>
      <c r="X224" t="s">
        <v>74</v>
      </c>
      <c r="Y224" t="b">
        <v>0</v>
      </c>
      <c r="Z224" t="b">
        <v>0</v>
      </c>
      <c r="AA224" t="b">
        <v>0</v>
      </c>
      <c r="AC224" s="1"/>
      <c r="AF224">
        <v>0</v>
      </c>
      <c r="AG224">
        <v>45</v>
      </c>
      <c r="AH224">
        <v>298</v>
      </c>
      <c r="AI224" s="2">
        <f>Table__192.168.3.138AgingReportBEWLGS[[#This Row],[NetAmount]]-Table__192.168.3.138AgingReportBEWLGS[[#This Row],[Paid]]</f>
        <v>6380</v>
      </c>
    </row>
    <row r="225" spans="1:35">
      <c r="A225" t="s">
        <v>6695</v>
      </c>
      <c r="B225" s="1">
        <v>41017</v>
      </c>
      <c r="C225" s="1">
        <v>41062</v>
      </c>
      <c r="D225" t="s">
        <v>5521</v>
      </c>
      <c r="E225">
        <v>8000</v>
      </c>
      <c r="F225">
        <v>1280</v>
      </c>
      <c r="G225">
        <v>0</v>
      </c>
      <c r="H225">
        <v>0</v>
      </c>
      <c r="I225">
        <v>239</v>
      </c>
      <c r="J225">
        <v>9280</v>
      </c>
      <c r="K225" t="s">
        <v>6696</v>
      </c>
      <c r="L225" s="1">
        <v>41029</v>
      </c>
      <c r="M225" t="s">
        <v>6697</v>
      </c>
      <c r="N225" t="s">
        <v>6694</v>
      </c>
      <c r="O225" t="s">
        <v>3507</v>
      </c>
      <c r="P225" t="s">
        <v>5532</v>
      </c>
      <c r="Q225" t="s">
        <v>39</v>
      </c>
      <c r="R225" t="s">
        <v>40</v>
      </c>
      <c r="S225">
        <v>0</v>
      </c>
      <c r="U225" t="s">
        <v>5550</v>
      </c>
      <c r="V225" t="s">
        <v>1797</v>
      </c>
      <c r="W225" t="s">
        <v>6483</v>
      </c>
      <c r="X225" t="s">
        <v>74</v>
      </c>
      <c r="Y225" t="b">
        <v>0</v>
      </c>
      <c r="Z225" t="b">
        <v>0</v>
      </c>
      <c r="AA225" t="b">
        <v>0</v>
      </c>
      <c r="AC225" s="1"/>
      <c r="AF225">
        <v>0</v>
      </c>
      <c r="AG225">
        <v>45</v>
      </c>
      <c r="AH225">
        <v>284</v>
      </c>
      <c r="AI225" s="2">
        <f>Table__192.168.3.138AgingReportBEWLGS[[#This Row],[NetAmount]]-Table__192.168.3.138AgingReportBEWLGS[[#This Row],[Paid]]</f>
        <v>9280</v>
      </c>
    </row>
    <row r="226" spans="1:35">
      <c r="A226" t="s">
        <v>6698</v>
      </c>
      <c r="B226" s="1">
        <v>41033</v>
      </c>
      <c r="C226" s="1">
        <v>41078</v>
      </c>
      <c r="D226" t="s">
        <v>6335</v>
      </c>
      <c r="E226">
        <v>215933</v>
      </c>
      <c r="F226">
        <v>34549</v>
      </c>
      <c r="G226">
        <v>0</v>
      </c>
      <c r="H226">
        <v>0</v>
      </c>
      <c r="I226">
        <v>235</v>
      </c>
      <c r="J226">
        <v>250482</v>
      </c>
      <c r="K226" t="s">
        <v>6699</v>
      </c>
      <c r="L226" s="1">
        <v>41033</v>
      </c>
      <c r="N226" t="s">
        <v>6694</v>
      </c>
      <c r="O226" t="s">
        <v>3507</v>
      </c>
      <c r="P226" t="s">
        <v>6337</v>
      </c>
      <c r="Q226" t="s">
        <v>39</v>
      </c>
      <c r="R226" t="s">
        <v>40</v>
      </c>
      <c r="S226">
        <v>0</v>
      </c>
      <c r="U226" t="s">
        <v>5550</v>
      </c>
      <c r="V226" t="s">
        <v>1797</v>
      </c>
      <c r="X226" t="s">
        <v>74</v>
      </c>
      <c r="Y226" t="b">
        <v>0</v>
      </c>
      <c r="Z226" t="b">
        <v>0</v>
      </c>
      <c r="AC226" s="1"/>
      <c r="AF226">
        <v>0</v>
      </c>
      <c r="AG226">
        <v>45</v>
      </c>
      <c r="AH226">
        <v>280</v>
      </c>
      <c r="AI226" s="2">
        <f>Table__192.168.3.138AgingReportBEWLGS[[#This Row],[NetAmount]]-Table__192.168.3.138AgingReportBEWLGS[[#This Row],[Paid]]</f>
        <v>250482</v>
      </c>
    </row>
    <row r="227" spans="1:35">
      <c r="A227" t="s">
        <v>6700</v>
      </c>
      <c r="B227" s="1">
        <v>41057</v>
      </c>
      <c r="C227" s="1">
        <v>41102</v>
      </c>
      <c r="D227" t="s">
        <v>6335</v>
      </c>
      <c r="E227">
        <v>215930</v>
      </c>
      <c r="F227">
        <v>34549</v>
      </c>
      <c r="G227">
        <v>0</v>
      </c>
      <c r="H227">
        <v>0</v>
      </c>
      <c r="I227">
        <v>211</v>
      </c>
      <c r="J227">
        <v>250479</v>
      </c>
      <c r="K227" t="s">
        <v>6520</v>
      </c>
      <c r="L227" s="1">
        <v>41057</v>
      </c>
      <c r="N227" t="s">
        <v>6694</v>
      </c>
      <c r="O227" t="s">
        <v>3507</v>
      </c>
      <c r="P227" t="s">
        <v>6337</v>
      </c>
      <c r="Q227" t="s">
        <v>39</v>
      </c>
      <c r="R227" t="s">
        <v>40</v>
      </c>
      <c r="S227">
        <v>0</v>
      </c>
      <c r="U227" t="s">
        <v>5550</v>
      </c>
      <c r="V227" t="s">
        <v>1797</v>
      </c>
      <c r="X227" t="s">
        <v>74</v>
      </c>
      <c r="Y227" t="b">
        <v>0</v>
      </c>
      <c r="Z227" t="b">
        <v>0</v>
      </c>
      <c r="AC227" s="1"/>
      <c r="AF227">
        <v>0</v>
      </c>
      <c r="AG227">
        <v>45</v>
      </c>
      <c r="AH227">
        <v>256</v>
      </c>
      <c r="AI227" s="2">
        <f>Table__192.168.3.138AgingReportBEWLGS[[#This Row],[NetAmount]]-Table__192.168.3.138AgingReportBEWLGS[[#This Row],[Paid]]</f>
        <v>250479</v>
      </c>
    </row>
    <row r="228" spans="1:35">
      <c r="A228" t="s">
        <v>6701</v>
      </c>
      <c r="B228" s="1">
        <v>41121</v>
      </c>
      <c r="C228" s="1">
        <v>41166</v>
      </c>
      <c r="D228" t="s">
        <v>6290</v>
      </c>
      <c r="E228">
        <v>4000</v>
      </c>
      <c r="F228">
        <v>0</v>
      </c>
      <c r="G228">
        <v>0</v>
      </c>
      <c r="H228">
        <v>0</v>
      </c>
      <c r="I228">
        <v>147</v>
      </c>
      <c r="J228">
        <v>4000</v>
      </c>
      <c r="K228" t="s">
        <v>979</v>
      </c>
      <c r="L228" s="1">
        <v>41121</v>
      </c>
      <c r="N228" t="s">
        <v>36</v>
      </c>
      <c r="O228" t="s">
        <v>36</v>
      </c>
      <c r="P228" t="s">
        <v>6291</v>
      </c>
      <c r="Q228" t="s">
        <v>39</v>
      </c>
      <c r="R228" t="s">
        <v>40</v>
      </c>
      <c r="S228">
        <v>0</v>
      </c>
      <c r="U228" t="s">
        <v>5550</v>
      </c>
      <c r="V228" t="s">
        <v>1797</v>
      </c>
      <c r="X228" t="s">
        <v>74</v>
      </c>
      <c r="Y228" t="b">
        <v>0</v>
      </c>
      <c r="Z228" t="b">
        <v>0</v>
      </c>
      <c r="AC228" s="1"/>
      <c r="AF228">
        <v>0</v>
      </c>
      <c r="AG228">
        <v>45</v>
      </c>
      <c r="AH228">
        <v>192</v>
      </c>
      <c r="AI228" s="2">
        <f>Table__192.168.3.138AgingReportBEWLGS[[#This Row],[NetAmount]]-Table__192.168.3.138AgingReportBEWLGS[[#This Row],[Paid]]</f>
        <v>4000</v>
      </c>
    </row>
    <row r="229" spans="1:35">
      <c r="A229" t="s">
        <v>6702</v>
      </c>
      <c r="B229" s="1">
        <v>41151</v>
      </c>
      <c r="C229" s="1">
        <v>41196</v>
      </c>
      <c r="D229" t="s">
        <v>6703</v>
      </c>
      <c r="E229">
        <v>785317</v>
      </c>
      <c r="F229">
        <v>125651</v>
      </c>
      <c r="G229">
        <v>0</v>
      </c>
      <c r="H229">
        <v>0</v>
      </c>
      <c r="I229">
        <v>150</v>
      </c>
      <c r="J229">
        <v>910968</v>
      </c>
      <c r="K229" t="s">
        <v>6704</v>
      </c>
      <c r="L229" s="1">
        <v>41118</v>
      </c>
      <c r="N229" t="s">
        <v>36</v>
      </c>
      <c r="O229" t="s">
        <v>36</v>
      </c>
      <c r="P229" t="s">
        <v>6705</v>
      </c>
      <c r="Q229" t="s">
        <v>39</v>
      </c>
      <c r="R229" t="s">
        <v>40</v>
      </c>
      <c r="S229">
        <v>0</v>
      </c>
      <c r="U229" t="s">
        <v>5550</v>
      </c>
      <c r="V229" t="s">
        <v>1797</v>
      </c>
      <c r="X229" t="s">
        <v>74</v>
      </c>
      <c r="Y229" t="b">
        <v>0</v>
      </c>
      <c r="Z229" t="b">
        <v>0</v>
      </c>
      <c r="AB229" t="s">
        <v>6706</v>
      </c>
      <c r="AC229" s="1">
        <v>41243</v>
      </c>
      <c r="AE229" t="s">
        <v>6707</v>
      </c>
      <c r="AF229">
        <v>0</v>
      </c>
      <c r="AG229">
        <v>45</v>
      </c>
      <c r="AH229">
        <v>195</v>
      </c>
      <c r="AI229" s="2">
        <f>Table__192.168.3.138AgingReportBEWLGS[[#This Row],[NetAmount]]-Table__192.168.3.138AgingReportBEWLGS[[#This Row],[Paid]]</f>
        <v>910968</v>
      </c>
    </row>
    <row r="230" spans="1:35">
      <c r="A230" t="s">
        <v>6708</v>
      </c>
      <c r="B230" s="1">
        <v>41146</v>
      </c>
      <c r="C230" s="1">
        <v>41191</v>
      </c>
      <c r="D230" t="s">
        <v>6709</v>
      </c>
      <c r="E230">
        <v>33990</v>
      </c>
      <c r="F230">
        <v>5010</v>
      </c>
      <c r="G230">
        <v>0</v>
      </c>
      <c r="H230">
        <v>0</v>
      </c>
      <c r="I230">
        <v>122</v>
      </c>
      <c r="J230">
        <v>39000</v>
      </c>
      <c r="K230" t="s">
        <v>6710</v>
      </c>
      <c r="L230" s="1">
        <v>41146</v>
      </c>
      <c r="N230" t="s">
        <v>36</v>
      </c>
      <c r="O230" t="s">
        <v>36</v>
      </c>
      <c r="P230" t="s">
        <v>6711</v>
      </c>
      <c r="Q230" t="s">
        <v>39</v>
      </c>
      <c r="R230" t="s">
        <v>40</v>
      </c>
      <c r="S230">
        <v>0</v>
      </c>
      <c r="U230" t="s">
        <v>5550</v>
      </c>
      <c r="V230" t="s">
        <v>1797</v>
      </c>
      <c r="X230" t="s">
        <v>74</v>
      </c>
      <c r="Y230" t="b">
        <v>0</v>
      </c>
      <c r="Z230" t="b">
        <v>0</v>
      </c>
      <c r="AC230" s="1"/>
      <c r="AF230">
        <v>0</v>
      </c>
      <c r="AG230">
        <v>45</v>
      </c>
      <c r="AH230">
        <v>167</v>
      </c>
      <c r="AI230" s="2">
        <f>Table__192.168.3.138AgingReportBEWLGS[[#This Row],[NetAmount]]-Table__192.168.3.138AgingReportBEWLGS[[#This Row],[Paid]]</f>
        <v>39000</v>
      </c>
    </row>
    <row r="231" spans="1:35">
      <c r="A231" t="s">
        <v>6712</v>
      </c>
      <c r="B231" s="1">
        <v>41152</v>
      </c>
      <c r="C231" s="1">
        <v>41197</v>
      </c>
      <c r="D231" t="s">
        <v>6155</v>
      </c>
      <c r="E231">
        <v>214685</v>
      </c>
      <c r="F231">
        <v>0</v>
      </c>
      <c r="G231">
        <v>0</v>
      </c>
      <c r="H231">
        <v>0</v>
      </c>
      <c r="I231">
        <v>116</v>
      </c>
      <c r="J231">
        <v>214685</v>
      </c>
      <c r="K231" t="s">
        <v>6713</v>
      </c>
      <c r="L231" s="1">
        <v>41152</v>
      </c>
      <c r="M231" t="s">
        <v>6714</v>
      </c>
      <c r="N231" t="s">
        <v>36</v>
      </c>
      <c r="O231" t="s">
        <v>36</v>
      </c>
      <c r="P231" t="s">
        <v>6156</v>
      </c>
      <c r="Q231" t="s">
        <v>39</v>
      </c>
      <c r="R231" t="s">
        <v>40</v>
      </c>
      <c r="S231">
        <v>0</v>
      </c>
      <c r="U231" t="s">
        <v>5550</v>
      </c>
      <c r="V231" t="s">
        <v>1797</v>
      </c>
      <c r="W231" t="s">
        <v>6715</v>
      </c>
      <c r="X231" t="s">
        <v>74</v>
      </c>
      <c r="Y231" t="b">
        <v>0</v>
      </c>
      <c r="Z231" t="b">
        <v>0</v>
      </c>
      <c r="AA231" t="b">
        <v>0</v>
      </c>
      <c r="AC231" s="1"/>
      <c r="AF231">
        <v>0</v>
      </c>
      <c r="AG231">
        <v>45</v>
      </c>
      <c r="AH231">
        <v>161</v>
      </c>
      <c r="AI231" s="2">
        <f>Table__192.168.3.138AgingReportBEWLGS[[#This Row],[NetAmount]]-Table__192.168.3.138AgingReportBEWLGS[[#This Row],[Paid]]</f>
        <v>214685</v>
      </c>
    </row>
    <row r="232" spans="1:35">
      <c r="A232" t="s">
        <v>6716</v>
      </c>
      <c r="B232" s="1">
        <v>41182</v>
      </c>
      <c r="C232" s="1">
        <v>41227</v>
      </c>
      <c r="D232" t="s">
        <v>6307</v>
      </c>
      <c r="E232">
        <v>70000</v>
      </c>
      <c r="F232">
        <v>0</v>
      </c>
      <c r="G232">
        <v>0</v>
      </c>
      <c r="H232">
        <v>0</v>
      </c>
      <c r="I232">
        <v>115</v>
      </c>
      <c r="J232">
        <v>70000</v>
      </c>
      <c r="K232" t="s">
        <v>1928</v>
      </c>
      <c r="L232" s="1">
        <v>41153</v>
      </c>
      <c r="N232" t="s">
        <v>36</v>
      </c>
      <c r="O232" t="s">
        <v>36</v>
      </c>
      <c r="P232" t="s">
        <v>6308</v>
      </c>
      <c r="Q232" t="s">
        <v>39</v>
      </c>
      <c r="R232" t="s">
        <v>40</v>
      </c>
      <c r="S232">
        <v>0</v>
      </c>
      <c r="U232" t="s">
        <v>5550</v>
      </c>
      <c r="V232" t="s">
        <v>1797</v>
      </c>
      <c r="X232" t="s">
        <v>74</v>
      </c>
      <c r="Y232" t="b">
        <v>0</v>
      </c>
      <c r="Z232" t="b">
        <v>0</v>
      </c>
      <c r="AC232" s="1"/>
      <c r="AF232">
        <v>0</v>
      </c>
      <c r="AG232">
        <v>45</v>
      </c>
      <c r="AH232">
        <v>160</v>
      </c>
      <c r="AI232" s="2">
        <f>Table__192.168.3.138AgingReportBEWLGS[[#This Row],[NetAmount]]-Table__192.168.3.138AgingReportBEWLGS[[#This Row],[Paid]]</f>
        <v>70000</v>
      </c>
    </row>
    <row r="233" spans="1:35">
      <c r="A233" t="s">
        <v>6717</v>
      </c>
      <c r="B233" s="1">
        <v>41213</v>
      </c>
      <c r="C233" s="1">
        <v>41258</v>
      </c>
      <c r="D233" t="s">
        <v>6307</v>
      </c>
      <c r="E233">
        <v>20000</v>
      </c>
      <c r="F233">
        <v>0</v>
      </c>
      <c r="G233">
        <v>0</v>
      </c>
      <c r="H233">
        <v>0</v>
      </c>
      <c r="I233">
        <v>85</v>
      </c>
      <c r="J233">
        <v>20000</v>
      </c>
      <c r="K233" t="s">
        <v>6718</v>
      </c>
      <c r="L233" s="1">
        <v>41183</v>
      </c>
      <c r="N233" t="s">
        <v>36</v>
      </c>
      <c r="O233" t="s">
        <v>36</v>
      </c>
      <c r="P233" t="s">
        <v>6308</v>
      </c>
      <c r="Q233" t="s">
        <v>39</v>
      </c>
      <c r="R233" t="s">
        <v>40</v>
      </c>
      <c r="S233">
        <v>0</v>
      </c>
      <c r="U233" t="s">
        <v>5550</v>
      </c>
      <c r="V233" t="s">
        <v>1797</v>
      </c>
      <c r="X233" t="s">
        <v>74</v>
      </c>
      <c r="Y233" t="b">
        <v>0</v>
      </c>
      <c r="Z233" t="b">
        <v>0</v>
      </c>
      <c r="AC233" s="1"/>
      <c r="AF233">
        <v>0</v>
      </c>
      <c r="AG233">
        <v>45</v>
      </c>
      <c r="AH233">
        <v>130</v>
      </c>
      <c r="AI233" s="2">
        <f>Table__192.168.3.138AgingReportBEWLGS[[#This Row],[NetAmount]]-Table__192.168.3.138AgingReportBEWLGS[[#This Row],[Paid]]</f>
        <v>20000</v>
      </c>
    </row>
    <row r="234" spans="1:35">
      <c r="A234" t="s">
        <v>6719</v>
      </c>
      <c r="B234" s="1">
        <v>41213</v>
      </c>
      <c r="C234" s="1">
        <v>41258</v>
      </c>
      <c r="D234" t="s">
        <v>6720</v>
      </c>
      <c r="E234">
        <v>10959</v>
      </c>
      <c r="F234">
        <v>320</v>
      </c>
      <c r="G234">
        <v>0</v>
      </c>
      <c r="H234">
        <v>0</v>
      </c>
      <c r="I234">
        <v>55</v>
      </c>
      <c r="J234">
        <v>11279</v>
      </c>
      <c r="K234" t="s">
        <v>5204</v>
      </c>
      <c r="L234" s="1">
        <v>41213</v>
      </c>
      <c r="N234" t="s">
        <v>36</v>
      </c>
      <c r="O234" t="s">
        <v>36</v>
      </c>
      <c r="P234" t="s">
        <v>6721</v>
      </c>
      <c r="Q234" t="s">
        <v>39</v>
      </c>
      <c r="R234" t="s">
        <v>40</v>
      </c>
      <c r="S234">
        <v>0</v>
      </c>
      <c r="U234" t="s">
        <v>5550</v>
      </c>
      <c r="V234" t="s">
        <v>1797</v>
      </c>
      <c r="X234" t="s">
        <v>74</v>
      </c>
      <c r="Y234" t="b">
        <v>0</v>
      </c>
      <c r="Z234" t="b">
        <v>0</v>
      </c>
      <c r="AC234" s="1"/>
      <c r="AF234">
        <v>0</v>
      </c>
      <c r="AG234">
        <v>45</v>
      </c>
      <c r="AH234">
        <v>100</v>
      </c>
      <c r="AI234" s="2">
        <f>Table__192.168.3.138AgingReportBEWLGS[[#This Row],[NetAmount]]-Table__192.168.3.138AgingReportBEWLGS[[#This Row],[Paid]]</f>
        <v>11279</v>
      </c>
    </row>
    <row r="235" spans="1:35">
      <c r="A235" t="s">
        <v>6722</v>
      </c>
      <c r="B235" s="1">
        <v>41213</v>
      </c>
      <c r="C235" s="1">
        <v>41258</v>
      </c>
      <c r="D235" t="s">
        <v>6723</v>
      </c>
      <c r="E235">
        <v>61739</v>
      </c>
      <c r="F235">
        <v>5038</v>
      </c>
      <c r="G235">
        <v>0</v>
      </c>
      <c r="H235">
        <v>0</v>
      </c>
      <c r="I235">
        <v>55</v>
      </c>
      <c r="J235">
        <v>66777</v>
      </c>
      <c r="K235" t="s">
        <v>6724</v>
      </c>
      <c r="L235" s="1">
        <v>41213</v>
      </c>
      <c r="M235" t="s">
        <v>6725</v>
      </c>
      <c r="N235" t="s">
        <v>36</v>
      </c>
      <c r="O235" t="s">
        <v>36</v>
      </c>
      <c r="P235" t="s">
        <v>6726</v>
      </c>
      <c r="Q235" t="s">
        <v>39</v>
      </c>
      <c r="R235" t="s">
        <v>40</v>
      </c>
      <c r="S235">
        <v>0</v>
      </c>
      <c r="U235" t="s">
        <v>5550</v>
      </c>
      <c r="V235" t="s">
        <v>1797</v>
      </c>
      <c r="W235" t="s">
        <v>6727</v>
      </c>
      <c r="X235" t="s">
        <v>74</v>
      </c>
      <c r="Y235" t="b">
        <v>0</v>
      </c>
      <c r="Z235" t="b">
        <v>0</v>
      </c>
      <c r="AA235" t="b">
        <v>0</v>
      </c>
      <c r="AC235" s="1"/>
      <c r="AF235">
        <v>0</v>
      </c>
      <c r="AG235">
        <v>45</v>
      </c>
      <c r="AH235">
        <v>100</v>
      </c>
      <c r="AI235" s="2">
        <f>Table__192.168.3.138AgingReportBEWLGS[[#This Row],[NetAmount]]-Table__192.168.3.138AgingReportBEWLGS[[#This Row],[Paid]]</f>
        <v>66777</v>
      </c>
    </row>
    <row r="236" spans="1:35">
      <c r="A236" t="s">
        <v>6728</v>
      </c>
      <c r="B236" s="1">
        <v>41213</v>
      </c>
      <c r="C236" s="1">
        <v>41258</v>
      </c>
      <c r="D236" t="s">
        <v>6723</v>
      </c>
      <c r="E236">
        <v>43015</v>
      </c>
      <c r="F236">
        <v>1587</v>
      </c>
      <c r="G236">
        <v>0</v>
      </c>
      <c r="H236">
        <v>0</v>
      </c>
      <c r="I236">
        <v>55</v>
      </c>
      <c r="J236">
        <v>44602</v>
      </c>
      <c r="K236" t="s">
        <v>6729</v>
      </c>
      <c r="L236" s="1">
        <v>41213</v>
      </c>
      <c r="M236" t="s">
        <v>6730</v>
      </c>
      <c r="N236" t="s">
        <v>36</v>
      </c>
      <c r="O236" t="s">
        <v>36</v>
      </c>
      <c r="P236" t="s">
        <v>6726</v>
      </c>
      <c r="Q236" t="s">
        <v>39</v>
      </c>
      <c r="R236" t="s">
        <v>40</v>
      </c>
      <c r="S236">
        <v>0</v>
      </c>
      <c r="U236" t="s">
        <v>5550</v>
      </c>
      <c r="V236" t="s">
        <v>1797</v>
      </c>
      <c r="W236" t="s">
        <v>6727</v>
      </c>
      <c r="X236" t="s">
        <v>74</v>
      </c>
      <c r="Y236" t="b">
        <v>0</v>
      </c>
      <c r="Z236" t="b">
        <v>0</v>
      </c>
      <c r="AA236" t="b">
        <v>0</v>
      </c>
      <c r="AC236" s="1"/>
      <c r="AF236">
        <v>0</v>
      </c>
      <c r="AG236">
        <v>45</v>
      </c>
      <c r="AH236">
        <v>100</v>
      </c>
      <c r="AI236" s="2">
        <f>Table__192.168.3.138AgingReportBEWLGS[[#This Row],[NetAmount]]-Table__192.168.3.138AgingReportBEWLGS[[#This Row],[Paid]]</f>
        <v>44602</v>
      </c>
    </row>
    <row r="237" spans="1:35">
      <c r="A237" t="s">
        <v>6731</v>
      </c>
      <c r="B237" s="1">
        <v>41213</v>
      </c>
      <c r="C237" s="1">
        <v>41258</v>
      </c>
      <c r="D237" t="s">
        <v>6723</v>
      </c>
      <c r="E237">
        <v>57998</v>
      </c>
      <c r="F237">
        <v>5488</v>
      </c>
      <c r="G237">
        <v>0</v>
      </c>
      <c r="H237">
        <v>0</v>
      </c>
      <c r="I237">
        <v>55</v>
      </c>
      <c r="J237">
        <v>63486</v>
      </c>
      <c r="K237" t="s">
        <v>6732</v>
      </c>
      <c r="L237" s="1">
        <v>41213</v>
      </c>
      <c r="M237" t="s">
        <v>6733</v>
      </c>
      <c r="N237" t="s">
        <v>36</v>
      </c>
      <c r="O237" t="s">
        <v>36</v>
      </c>
      <c r="P237" t="s">
        <v>6726</v>
      </c>
      <c r="Q237" t="s">
        <v>39</v>
      </c>
      <c r="R237" t="s">
        <v>40</v>
      </c>
      <c r="S237">
        <v>0</v>
      </c>
      <c r="U237" t="s">
        <v>5550</v>
      </c>
      <c r="V237" t="s">
        <v>1797</v>
      </c>
      <c r="W237" t="s">
        <v>6727</v>
      </c>
      <c r="X237" t="s">
        <v>74</v>
      </c>
      <c r="Y237" t="b">
        <v>0</v>
      </c>
      <c r="Z237" t="b">
        <v>0</v>
      </c>
      <c r="AA237" t="b">
        <v>0</v>
      </c>
      <c r="AC237" s="1"/>
      <c r="AF237">
        <v>0</v>
      </c>
      <c r="AG237">
        <v>45</v>
      </c>
      <c r="AH237">
        <v>100</v>
      </c>
      <c r="AI237" s="2">
        <f>Table__192.168.3.138AgingReportBEWLGS[[#This Row],[NetAmount]]-Table__192.168.3.138AgingReportBEWLGS[[#This Row],[Paid]]</f>
        <v>63486</v>
      </c>
    </row>
    <row r="238" spans="1:35">
      <c r="A238" t="s">
        <v>6734</v>
      </c>
      <c r="B238" s="1">
        <v>41213</v>
      </c>
      <c r="C238" s="1">
        <v>41258</v>
      </c>
      <c r="D238" t="s">
        <v>6723</v>
      </c>
      <c r="E238">
        <v>91710</v>
      </c>
      <c r="F238">
        <v>12880</v>
      </c>
      <c r="G238">
        <v>0</v>
      </c>
      <c r="H238">
        <v>0</v>
      </c>
      <c r="I238">
        <v>55</v>
      </c>
      <c r="J238">
        <v>104590</v>
      </c>
      <c r="K238" t="s">
        <v>6735</v>
      </c>
      <c r="L238" s="1">
        <v>41213</v>
      </c>
      <c r="M238" t="s">
        <v>6736</v>
      </c>
      <c r="N238" t="s">
        <v>36</v>
      </c>
      <c r="O238" t="s">
        <v>36</v>
      </c>
      <c r="P238" t="s">
        <v>6726</v>
      </c>
      <c r="Q238" t="s">
        <v>39</v>
      </c>
      <c r="R238" t="s">
        <v>40</v>
      </c>
      <c r="S238">
        <v>0</v>
      </c>
      <c r="U238" t="s">
        <v>5550</v>
      </c>
      <c r="V238" t="s">
        <v>1797</v>
      </c>
      <c r="W238" t="s">
        <v>6727</v>
      </c>
      <c r="X238" t="s">
        <v>74</v>
      </c>
      <c r="Y238" t="b">
        <v>0</v>
      </c>
      <c r="Z238" t="b">
        <v>0</v>
      </c>
      <c r="AA238" t="b">
        <v>0</v>
      </c>
      <c r="AC238" s="1"/>
      <c r="AF238">
        <v>0</v>
      </c>
      <c r="AG238">
        <v>45</v>
      </c>
      <c r="AH238">
        <v>100</v>
      </c>
      <c r="AI238" s="2">
        <f>Table__192.168.3.138AgingReportBEWLGS[[#This Row],[NetAmount]]-Table__192.168.3.138AgingReportBEWLGS[[#This Row],[Paid]]</f>
        <v>104590</v>
      </c>
    </row>
    <row r="239" spans="1:35">
      <c r="A239" t="s">
        <v>6737</v>
      </c>
      <c r="B239" s="1">
        <v>41213</v>
      </c>
      <c r="C239" s="1">
        <v>41258</v>
      </c>
      <c r="D239" t="s">
        <v>6723</v>
      </c>
      <c r="E239">
        <v>49645</v>
      </c>
      <c r="F239">
        <v>4799</v>
      </c>
      <c r="G239">
        <v>0</v>
      </c>
      <c r="H239">
        <v>0</v>
      </c>
      <c r="I239">
        <v>55</v>
      </c>
      <c r="J239">
        <v>54444</v>
      </c>
      <c r="K239" t="s">
        <v>6738</v>
      </c>
      <c r="L239" s="1">
        <v>41213</v>
      </c>
      <c r="M239" t="s">
        <v>6739</v>
      </c>
      <c r="N239" t="s">
        <v>36</v>
      </c>
      <c r="O239" t="s">
        <v>36</v>
      </c>
      <c r="P239" t="s">
        <v>6726</v>
      </c>
      <c r="Q239" t="s">
        <v>39</v>
      </c>
      <c r="R239" t="s">
        <v>40</v>
      </c>
      <c r="S239">
        <v>0</v>
      </c>
      <c r="U239" t="s">
        <v>5550</v>
      </c>
      <c r="V239" t="s">
        <v>1797</v>
      </c>
      <c r="W239" t="s">
        <v>6727</v>
      </c>
      <c r="X239" t="s">
        <v>74</v>
      </c>
      <c r="Y239" t="b">
        <v>0</v>
      </c>
      <c r="Z239" t="b">
        <v>0</v>
      </c>
      <c r="AA239" t="b">
        <v>0</v>
      </c>
      <c r="AC239" s="1"/>
      <c r="AF239">
        <v>0</v>
      </c>
      <c r="AG239">
        <v>45</v>
      </c>
      <c r="AH239">
        <v>100</v>
      </c>
      <c r="AI239" s="2">
        <f>Table__192.168.3.138AgingReportBEWLGS[[#This Row],[NetAmount]]-Table__192.168.3.138AgingReportBEWLGS[[#This Row],[Paid]]</f>
        <v>54444</v>
      </c>
    </row>
    <row r="240" spans="1:35">
      <c r="A240" t="s">
        <v>6740</v>
      </c>
      <c r="B240" s="1">
        <v>41213</v>
      </c>
      <c r="C240" s="1">
        <v>41258</v>
      </c>
      <c r="D240" t="s">
        <v>6723</v>
      </c>
      <c r="E240">
        <v>38983</v>
      </c>
      <c r="F240">
        <v>3093</v>
      </c>
      <c r="G240">
        <v>0</v>
      </c>
      <c r="H240">
        <v>0</v>
      </c>
      <c r="I240">
        <v>55</v>
      </c>
      <c r="J240">
        <v>42076</v>
      </c>
      <c r="K240" t="s">
        <v>6741</v>
      </c>
      <c r="L240" s="1">
        <v>41213</v>
      </c>
      <c r="M240" t="s">
        <v>6742</v>
      </c>
      <c r="N240" t="s">
        <v>36</v>
      </c>
      <c r="O240" t="s">
        <v>36</v>
      </c>
      <c r="P240" t="s">
        <v>6726</v>
      </c>
      <c r="Q240" t="s">
        <v>39</v>
      </c>
      <c r="R240" t="s">
        <v>40</v>
      </c>
      <c r="S240">
        <v>0</v>
      </c>
      <c r="U240" t="s">
        <v>5550</v>
      </c>
      <c r="V240" t="s">
        <v>1797</v>
      </c>
      <c r="W240" t="s">
        <v>6727</v>
      </c>
      <c r="X240" t="s">
        <v>74</v>
      </c>
      <c r="Y240" t="b">
        <v>0</v>
      </c>
      <c r="Z240" t="b">
        <v>0</v>
      </c>
      <c r="AA240" t="b">
        <v>0</v>
      </c>
      <c r="AC240" s="1"/>
      <c r="AF240">
        <v>0</v>
      </c>
      <c r="AG240">
        <v>45</v>
      </c>
      <c r="AH240">
        <v>100</v>
      </c>
      <c r="AI240" s="2">
        <f>Table__192.168.3.138AgingReportBEWLGS[[#This Row],[NetAmount]]-Table__192.168.3.138AgingReportBEWLGS[[#This Row],[Paid]]</f>
        <v>42076</v>
      </c>
    </row>
    <row r="241" spans="1:35">
      <c r="A241" t="s">
        <v>6743</v>
      </c>
      <c r="B241" s="1">
        <v>41213</v>
      </c>
      <c r="C241" s="1">
        <v>41258</v>
      </c>
      <c r="D241" t="s">
        <v>6723</v>
      </c>
      <c r="E241">
        <v>21262</v>
      </c>
      <c r="F241">
        <v>238</v>
      </c>
      <c r="G241">
        <v>0</v>
      </c>
      <c r="H241">
        <v>0</v>
      </c>
      <c r="I241">
        <v>55</v>
      </c>
      <c r="J241">
        <v>21500</v>
      </c>
      <c r="K241" t="s">
        <v>6744</v>
      </c>
      <c r="L241" s="1">
        <v>41213</v>
      </c>
      <c r="M241" t="s">
        <v>6745</v>
      </c>
      <c r="N241" t="s">
        <v>36</v>
      </c>
      <c r="O241" t="s">
        <v>36</v>
      </c>
      <c r="P241" t="s">
        <v>6726</v>
      </c>
      <c r="Q241" t="s">
        <v>39</v>
      </c>
      <c r="R241" t="s">
        <v>40</v>
      </c>
      <c r="S241">
        <v>0</v>
      </c>
      <c r="U241" t="s">
        <v>5550</v>
      </c>
      <c r="V241" t="s">
        <v>1797</v>
      </c>
      <c r="W241" t="s">
        <v>6727</v>
      </c>
      <c r="X241" t="s">
        <v>74</v>
      </c>
      <c r="Y241" t="b">
        <v>0</v>
      </c>
      <c r="Z241" t="b">
        <v>0</v>
      </c>
      <c r="AA241" t="b">
        <v>0</v>
      </c>
      <c r="AC241" s="1"/>
      <c r="AF241">
        <v>0</v>
      </c>
      <c r="AG241">
        <v>45</v>
      </c>
      <c r="AH241">
        <v>100</v>
      </c>
      <c r="AI241" s="2">
        <f>Table__192.168.3.138AgingReportBEWLGS[[#This Row],[NetAmount]]-Table__192.168.3.138AgingReportBEWLGS[[#This Row],[Paid]]</f>
        <v>21500</v>
      </c>
    </row>
    <row r="242" spans="1:35">
      <c r="A242" t="s">
        <v>6746</v>
      </c>
      <c r="B242" s="1">
        <v>41213</v>
      </c>
      <c r="C242" s="1">
        <v>41258</v>
      </c>
      <c r="D242" t="s">
        <v>6723</v>
      </c>
      <c r="E242">
        <v>30400</v>
      </c>
      <c r="F242">
        <v>400</v>
      </c>
      <c r="G242">
        <v>0</v>
      </c>
      <c r="H242">
        <v>0</v>
      </c>
      <c r="I242">
        <v>55</v>
      </c>
      <c r="J242">
        <v>30800</v>
      </c>
      <c r="K242" t="s">
        <v>6747</v>
      </c>
      <c r="L242" s="1">
        <v>41213</v>
      </c>
      <c r="M242" t="s">
        <v>6748</v>
      </c>
      <c r="N242" t="s">
        <v>36</v>
      </c>
      <c r="O242" t="s">
        <v>36</v>
      </c>
      <c r="P242" t="s">
        <v>6726</v>
      </c>
      <c r="Q242" t="s">
        <v>39</v>
      </c>
      <c r="R242" t="s">
        <v>40</v>
      </c>
      <c r="S242">
        <v>0</v>
      </c>
      <c r="U242" t="s">
        <v>5550</v>
      </c>
      <c r="V242" t="s">
        <v>1797</v>
      </c>
      <c r="W242" t="s">
        <v>6727</v>
      </c>
      <c r="X242" t="s">
        <v>74</v>
      </c>
      <c r="Y242" t="b">
        <v>0</v>
      </c>
      <c r="Z242" t="b">
        <v>0</v>
      </c>
      <c r="AA242" t="b">
        <v>0</v>
      </c>
      <c r="AC242" s="1"/>
      <c r="AF242">
        <v>0</v>
      </c>
      <c r="AG242">
        <v>45</v>
      </c>
      <c r="AH242">
        <v>100</v>
      </c>
      <c r="AI242" s="2">
        <f>Table__192.168.3.138AgingReportBEWLGS[[#This Row],[NetAmount]]-Table__192.168.3.138AgingReportBEWLGS[[#This Row],[Paid]]</f>
        <v>30800</v>
      </c>
    </row>
    <row r="243" spans="1:35">
      <c r="A243" t="s">
        <v>6749</v>
      </c>
      <c r="B243" s="1">
        <v>41213</v>
      </c>
      <c r="C243" s="1">
        <v>41258</v>
      </c>
      <c r="D243" t="s">
        <v>6723</v>
      </c>
      <c r="E243">
        <v>231922</v>
      </c>
      <c r="F243">
        <v>29436</v>
      </c>
      <c r="G243">
        <v>0</v>
      </c>
      <c r="H243">
        <v>0</v>
      </c>
      <c r="I243">
        <v>55</v>
      </c>
      <c r="J243">
        <v>261358</v>
      </c>
      <c r="K243" t="s">
        <v>6750</v>
      </c>
      <c r="L243" s="1">
        <v>41213</v>
      </c>
      <c r="M243" t="s">
        <v>6751</v>
      </c>
      <c r="N243" t="s">
        <v>36</v>
      </c>
      <c r="O243" t="s">
        <v>36</v>
      </c>
      <c r="P243" t="s">
        <v>6726</v>
      </c>
      <c r="Q243" t="s">
        <v>39</v>
      </c>
      <c r="R243" t="s">
        <v>40</v>
      </c>
      <c r="S243">
        <v>0</v>
      </c>
      <c r="U243" t="s">
        <v>5550</v>
      </c>
      <c r="V243" t="s">
        <v>1797</v>
      </c>
      <c r="W243" t="s">
        <v>6727</v>
      </c>
      <c r="X243" t="s">
        <v>74</v>
      </c>
      <c r="Y243" t="b">
        <v>0</v>
      </c>
      <c r="Z243" t="b">
        <v>0</v>
      </c>
      <c r="AA243" t="b">
        <v>0</v>
      </c>
      <c r="AC243" s="1"/>
      <c r="AF243">
        <v>0</v>
      </c>
      <c r="AG243">
        <v>45</v>
      </c>
      <c r="AH243">
        <v>100</v>
      </c>
      <c r="AI243" s="2">
        <f>Table__192.168.3.138AgingReportBEWLGS[[#This Row],[NetAmount]]-Table__192.168.3.138AgingReportBEWLGS[[#This Row],[Paid]]</f>
        <v>261358</v>
      </c>
    </row>
    <row r="244" spans="1:35">
      <c r="A244" t="s">
        <v>6752</v>
      </c>
      <c r="B244" s="1">
        <v>41213</v>
      </c>
      <c r="C244" s="1">
        <v>41258</v>
      </c>
      <c r="D244" t="s">
        <v>6723</v>
      </c>
      <c r="E244">
        <v>423325</v>
      </c>
      <c r="F244">
        <v>61180</v>
      </c>
      <c r="G244">
        <v>0</v>
      </c>
      <c r="H244">
        <v>0</v>
      </c>
      <c r="I244">
        <v>55</v>
      </c>
      <c r="J244">
        <v>484505</v>
      </c>
      <c r="K244" t="s">
        <v>6753</v>
      </c>
      <c r="L244" s="1">
        <v>41213</v>
      </c>
      <c r="M244" t="s">
        <v>6754</v>
      </c>
      <c r="N244" t="s">
        <v>36</v>
      </c>
      <c r="O244" t="s">
        <v>36</v>
      </c>
      <c r="P244" t="s">
        <v>6726</v>
      </c>
      <c r="Q244" t="s">
        <v>39</v>
      </c>
      <c r="R244" t="s">
        <v>40</v>
      </c>
      <c r="S244">
        <v>0</v>
      </c>
      <c r="U244" t="s">
        <v>5550</v>
      </c>
      <c r="V244" t="s">
        <v>1797</v>
      </c>
      <c r="W244" t="s">
        <v>6727</v>
      </c>
      <c r="X244" t="s">
        <v>74</v>
      </c>
      <c r="Y244" t="b">
        <v>0</v>
      </c>
      <c r="Z244" t="b">
        <v>0</v>
      </c>
      <c r="AA244" t="b">
        <v>0</v>
      </c>
      <c r="AC244" s="1"/>
      <c r="AF244">
        <v>0</v>
      </c>
      <c r="AG244">
        <v>45</v>
      </c>
      <c r="AH244">
        <v>100</v>
      </c>
      <c r="AI244" s="2">
        <f>Table__192.168.3.138AgingReportBEWLGS[[#This Row],[NetAmount]]-Table__192.168.3.138AgingReportBEWLGS[[#This Row],[Paid]]</f>
        <v>484505</v>
      </c>
    </row>
    <row r="245" spans="1:35">
      <c r="A245" t="s">
        <v>6755</v>
      </c>
      <c r="B245" s="1">
        <v>41213</v>
      </c>
      <c r="C245" s="1">
        <v>41258</v>
      </c>
      <c r="D245" t="s">
        <v>6723</v>
      </c>
      <c r="E245">
        <v>169426</v>
      </c>
      <c r="F245">
        <v>21196</v>
      </c>
      <c r="G245">
        <v>0</v>
      </c>
      <c r="H245">
        <v>0</v>
      </c>
      <c r="I245">
        <v>55</v>
      </c>
      <c r="J245">
        <v>190622</v>
      </c>
      <c r="K245" t="s">
        <v>6756</v>
      </c>
      <c r="L245" s="1">
        <v>41213</v>
      </c>
      <c r="M245" t="s">
        <v>6757</v>
      </c>
      <c r="N245" t="s">
        <v>36</v>
      </c>
      <c r="O245" t="s">
        <v>36</v>
      </c>
      <c r="P245" t="s">
        <v>6726</v>
      </c>
      <c r="Q245" t="s">
        <v>39</v>
      </c>
      <c r="R245" t="s">
        <v>40</v>
      </c>
      <c r="S245">
        <v>0</v>
      </c>
      <c r="U245" t="s">
        <v>5550</v>
      </c>
      <c r="V245" t="s">
        <v>1797</v>
      </c>
      <c r="W245" t="s">
        <v>6727</v>
      </c>
      <c r="X245" t="s">
        <v>74</v>
      </c>
      <c r="Y245" t="b">
        <v>0</v>
      </c>
      <c r="Z245" t="b">
        <v>0</v>
      </c>
      <c r="AA245" t="b">
        <v>0</v>
      </c>
      <c r="AC245" s="1"/>
      <c r="AF245">
        <v>0</v>
      </c>
      <c r="AG245">
        <v>45</v>
      </c>
      <c r="AH245">
        <v>100</v>
      </c>
      <c r="AI245" s="2">
        <f>Table__192.168.3.138AgingReportBEWLGS[[#This Row],[NetAmount]]-Table__192.168.3.138AgingReportBEWLGS[[#This Row],[Paid]]</f>
        <v>190622</v>
      </c>
    </row>
    <row r="246" spans="1:35">
      <c r="A246" t="s">
        <v>6758</v>
      </c>
      <c r="B246" s="1">
        <v>41213</v>
      </c>
      <c r="C246" s="1">
        <v>41258</v>
      </c>
      <c r="D246" t="s">
        <v>6155</v>
      </c>
      <c r="E246">
        <v>214810</v>
      </c>
      <c r="F246">
        <v>0</v>
      </c>
      <c r="G246">
        <v>0</v>
      </c>
      <c r="H246">
        <v>0</v>
      </c>
      <c r="I246">
        <v>55</v>
      </c>
      <c r="J246">
        <v>214810</v>
      </c>
      <c r="K246" t="s">
        <v>6759</v>
      </c>
      <c r="L246" s="1">
        <v>41213</v>
      </c>
      <c r="N246" t="s">
        <v>36</v>
      </c>
      <c r="O246" t="s">
        <v>36</v>
      </c>
      <c r="P246" t="s">
        <v>6156</v>
      </c>
      <c r="Q246" t="s">
        <v>39</v>
      </c>
      <c r="R246" t="s">
        <v>40</v>
      </c>
      <c r="S246">
        <v>0</v>
      </c>
      <c r="U246" t="s">
        <v>5550</v>
      </c>
      <c r="V246" t="s">
        <v>1797</v>
      </c>
      <c r="X246" t="s">
        <v>74</v>
      </c>
      <c r="Y246" t="b">
        <v>0</v>
      </c>
      <c r="Z246" t="b">
        <v>0</v>
      </c>
      <c r="AC246" s="1"/>
      <c r="AF246">
        <v>0</v>
      </c>
      <c r="AG246">
        <v>45</v>
      </c>
      <c r="AH246">
        <v>100</v>
      </c>
      <c r="AI246" s="2">
        <f>Table__192.168.3.138AgingReportBEWLGS[[#This Row],[NetAmount]]-Table__192.168.3.138AgingReportBEWLGS[[#This Row],[Paid]]</f>
        <v>214810</v>
      </c>
    </row>
    <row r="247" spans="1:35">
      <c r="A247" t="s">
        <v>6760</v>
      </c>
      <c r="B247" s="1">
        <v>41240</v>
      </c>
      <c r="C247" s="1">
        <v>41285</v>
      </c>
      <c r="D247" t="s">
        <v>6761</v>
      </c>
      <c r="E247">
        <v>40038</v>
      </c>
      <c r="F247">
        <v>0</v>
      </c>
      <c r="G247">
        <v>0</v>
      </c>
      <c r="H247">
        <v>0</v>
      </c>
      <c r="I247">
        <v>39</v>
      </c>
      <c r="J247">
        <v>40038</v>
      </c>
      <c r="K247" t="s">
        <v>6762</v>
      </c>
      <c r="L247" s="1">
        <v>41229</v>
      </c>
      <c r="N247" t="s">
        <v>36</v>
      </c>
      <c r="O247" t="s">
        <v>36</v>
      </c>
      <c r="P247" t="s">
        <v>6763</v>
      </c>
      <c r="Q247" t="s">
        <v>39</v>
      </c>
      <c r="R247" t="s">
        <v>40</v>
      </c>
      <c r="S247">
        <v>0</v>
      </c>
      <c r="U247" t="s">
        <v>5550</v>
      </c>
      <c r="V247" t="s">
        <v>1797</v>
      </c>
      <c r="X247" t="s">
        <v>74</v>
      </c>
      <c r="Y247" t="b">
        <v>0</v>
      </c>
      <c r="Z247" t="b">
        <v>0</v>
      </c>
      <c r="AC247" s="1"/>
      <c r="AF247">
        <v>0</v>
      </c>
      <c r="AG247">
        <v>45</v>
      </c>
      <c r="AH247">
        <v>84</v>
      </c>
      <c r="AI247" s="2">
        <f>Table__192.168.3.138AgingReportBEWLGS[[#This Row],[NetAmount]]-Table__192.168.3.138AgingReportBEWLGS[[#This Row],[Paid]]</f>
        <v>40038</v>
      </c>
    </row>
    <row r="248" spans="1:35">
      <c r="A248" t="s">
        <v>6764</v>
      </c>
      <c r="B248" s="1">
        <v>41243</v>
      </c>
      <c r="C248" s="1">
        <v>41288</v>
      </c>
      <c r="D248" t="s">
        <v>6720</v>
      </c>
      <c r="E248">
        <v>16954</v>
      </c>
      <c r="F248">
        <v>480</v>
      </c>
      <c r="G248">
        <v>0</v>
      </c>
      <c r="H248">
        <v>0</v>
      </c>
      <c r="I248">
        <v>25</v>
      </c>
      <c r="J248">
        <v>17434</v>
      </c>
      <c r="K248" t="s">
        <v>4218</v>
      </c>
      <c r="L248" s="1">
        <v>41243</v>
      </c>
      <c r="N248" t="s">
        <v>36</v>
      </c>
      <c r="O248" t="s">
        <v>36</v>
      </c>
      <c r="P248" t="s">
        <v>6721</v>
      </c>
      <c r="Q248" t="s">
        <v>39</v>
      </c>
      <c r="R248" t="s">
        <v>40</v>
      </c>
      <c r="S248">
        <v>0</v>
      </c>
      <c r="U248" t="s">
        <v>5550</v>
      </c>
      <c r="V248" t="s">
        <v>1797</v>
      </c>
      <c r="X248" t="s">
        <v>74</v>
      </c>
      <c r="Y248" t="b">
        <v>0</v>
      </c>
      <c r="Z248" t="b">
        <v>0</v>
      </c>
      <c r="AC248" s="1"/>
      <c r="AF248">
        <v>0</v>
      </c>
      <c r="AG248">
        <v>45</v>
      </c>
      <c r="AH248">
        <v>70</v>
      </c>
      <c r="AI248" s="2">
        <f>Table__192.168.3.138AgingReportBEWLGS[[#This Row],[NetAmount]]-Table__192.168.3.138AgingReportBEWLGS[[#This Row],[Paid]]</f>
        <v>17434</v>
      </c>
    </row>
    <row r="249" spans="1:35">
      <c r="A249" t="s">
        <v>6765</v>
      </c>
      <c r="B249" s="1">
        <v>41243</v>
      </c>
      <c r="C249" s="1">
        <v>41288</v>
      </c>
      <c r="D249" t="s">
        <v>6723</v>
      </c>
      <c r="E249">
        <v>32180</v>
      </c>
      <c r="F249">
        <v>1453</v>
      </c>
      <c r="G249">
        <v>0</v>
      </c>
      <c r="H249">
        <v>0</v>
      </c>
      <c r="I249">
        <v>25</v>
      </c>
      <c r="J249">
        <v>33633</v>
      </c>
      <c r="K249" t="s">
        <v>6766</v>
      </c>
      <c r="L249" s="1">
        <v>41243</v>
      </c>
      <c r="M249" t="s">
        <v>6767</v>
      </c>
      <c r="N249" t="s">
        <v>36</v>
      </c>
      <c r="O249" t="s">
        <v>36</v>
      </c>
      <c r="P249" t="s">
        <v>6726</v>
      </c>
      <c r="Q249" t="s">
        <v>39</v>
      </c>
      <c r="R249" t="s">
        <v>40</v>
      </c>
      <c r="S249">
        <v>0</v>
      </c>
      <c r="U249" t="s">
        <v>5550</v>
      </c>
      <c r="V249" t="s">
        <v>1797</v>
      </c>
      <c r="W249" t="s">
        <v>6727</v>
      </c>
      <c r="X249" t="s">
        <v>74</v>
      </c>
      <c r="Y249" t="b">
        <v>0</v>
      </c>
      <c r="Z249" t="b">
        <v>0</v>
      </c>
      <c r="AA249" t="b">
        <v>0</v>
      </c>
      <c r="AC249" s="1"/>
      <c r="AF249">
        <v>0</v>
      </c>
      <c r="AG249">
        <v>45</v>
      </c>
      <c r="AH249">
        <v>70</v>
      </c>
      <c r="AI249" s="2">
        <f>Table__192.168.3.138AgingReportBEWLGS[[#This Row],[NetAmount]]-Table__192.168.3.138AgingReportBEWLGS[[#This Row],[Paid]]</f>
        <v>33633</v>
      </c>
    </row>
    <row r="250" spans="1:35">
      <c r="A250" t="s">
        <v>6768</v>
      </c>
      <c r="B250" s="1">
        <v>41243</v>
      </c>
      <c r="C250" s="1">
        <v>41288</v>
      </c>
      <c r="D250" t="s">
        <v>6723</v>
      </c>
      <c r="E250">
        <v>191278</v>
      </c>
      <c r="F250">
        <v>21572</v>
      </c>
      <c r="G250">
        <v>0</v>
      </c>
      <c r="H250">
        <v>0</v>
      </c>
      <c r="I250">
        <v>25</v>
      </c>
      <c r="J250">
        <v>212850</v>
      </c>
      <c r="K250" t="s">
        <v>6769</v>
      </c>
      <c r="L250" s="1">
        <v>41243</v>
      </c>
      <c r="M250" t="s">
        <v>6770</v>
      </c>
      <c r="N250" t="s">
        <v>36</v>
      </c>
      <c r="O250" t="s">
        <v>36</v>
      </c>
      <c r="P250" t="s">
        <v>6726</v>
      </c>
      <c r="Q250" t="s">
        <v>39</v>
      </c>
      <c r="R250" t="s">
        <v>40</v>
      </c>
      <c r="S250">
        <v>0</v>
      </c>
      <c r="U250" t="s">
        <v>5550</v>
      </c>
      <c r="V250" t="s">
        <v>1797</v>
      </c>
      <c r="W250" t="s">
        <v>6727</v>
      </c>
      <c r="X250" t="s">
        <v>74</v>
      </c>
      <c r="Y250" t="b">
        <v>0</v>
      </c>
      <c r="Z250" t="b">
        <v>0</v>
      </c>
      <c r="AA250" t="b">
        <v>0</v>
      </c>
      <c r="AC250" s="1"/>
      <c r="AF250">
        <v>0</v>
      </c>
      <c r="AG250">
        <v>45</v>
      </c>
      <c r="AH250">
        <v>70</v>
      </c>
      <c r="AI250" s="2">
        <f>Table__192.168.3.138AgingReportBEWLGS[[#This Row],[NetAmount]]-Table__192.168.3.138AgingReportBEWLGS[[#This Row],[Paid]]</f>
        <v>212850</v>
      </c>
    </row>
    <row r="251" spans="1:35">
      <c r="A251" t="s">
        <v>6771</v>
      </c>
      <c r="B251" s="1">
        <v>41243</v>
      </c>
      <c r="C251" s="1">
        <v>41288</v>
      </c>
      <c r="D251" t="s">
        <v>6723</v>
      </c>
      <c r="E251">
        <v>45983</v>
      </c>
      <c r="F251">
        <v>4158</v>
      </c>
      <c r="G251">
        <v>0</v>
      </c>
      <c r="H251">
        <v>0</v>
      </c>
      <c r="I251">
        <v>25</v>
      </c>
      <c r="J251">
        <v>50141</v>
      </c>
      <c r="K251" t="s">
        <v>6772</v>
      </c>
      <c r="L251" s="1">
        <v>41243</v>
      </c>
      <c r="M251" t="s">
        <v>6773</v>
      </c>
      <c r="N251" t="s">
        <v>36</v>
      </c>
      <c r="O251" t="s">
        <v>36</v>
      </c>
      <c r="P251" t="s">
        <v>6726</v>
      </c>
      <c r="Q251" t="s">
        <v>39</v>
      </c>
      <c r="R251" t="s">
        <v>40</v>
      </c>
      <c r="S251">
        <v>0</v>
      </c>
      <c r="U251" t="s">
        <v>5550</v>
      </c>
      <c r="V251" t="s">
        <v>1797</v>
      </c>
      <c r="W251" t="s">
        <v>6727</v>
      </c>
      <c r="X251" t="s">
        <v>74</v>
      </c>
      <c r="Y251" t="b">
        <v>0</v>
      </c>
      <c r="Z251" t="b">
        <v>0</v>
      </c>
      <c r="AA251" t="b">
        <v>0</v>
      </c>
      <c r="AC251" s="1"/>
      <c r="AF251">
        <v>0</v>
      </c>
      <c r="AG251">
        <v>45</v>
      </c>
      <c r="AH251">
        <v>70</v>
      </c>
      <c r="AI251" s="2">
        <f>Table__192.168.3.138AgingReportBEWLGS[[#This Row],[NetAmount]]-Table__192.168.3.138AgingReportBEWLGS[[#This Row],[Paid]]</f>
        <v>50141</v>
      </c>
    </row>
    <row r="252" spans="1:35">
      <c r="A252" t="s">
        <v>6774</v>
      </c>
      <c r="B252" s="1">
        <v>41243</v>
      </c>
      <c r="C252" s="1">
        <v>41288</v>
      </c>
      <c r="D252" t="s">
        <v>6723</v>
      </c>
      <c r="E252">
        <v>92929</v>
      </c>
      <c r="F252">
        <v>12974</v>
      </c>
      <c r="G252">
        <v>0</v>
      </c>
      <c r="H252">
        <v>0</v>
      </c>
      <c r="I252">
        <v>25</v>
      </c>
      <c r="J252">
        <v>105903</v>
      </c>
      <c r="K252" t="s">
        <v>6775</v>
      </c>
      <c r="L252" s="1">
        <v>41243</v>
      </c>
      <c r="M252" t="s">
        <v>6776</v>
      </c>
      <c r="N252" t="s">
        <v>36</v>
      </c>
      <c r="O252" t="s">
        <v>36</v>
      </c>
      <c r="P252" t="s">
        <v>6726</v>
      </c>
      <c r="Q252" t="s">
        <v>39</v>
      </c>
      <c r="R252" t="s">
        <v>40</v>
      </c>
      <c r="S252">
        <v>0</v>
      </c>
      <c r="U252" t="s">
        <v>5550</v>
      </c>
      <c r="V252" t="s">
        <v>1797</v>
      </c>
      <c r="W252" t="s">
        <v>6727</v>
      </c>
      <c r="X252" t="s">
        <v>74</v>
      </c>
      <c r="Y252" t="b">
        <v>0</v>
      </c>
      <c r="Z252" t="b">
        <v>0</v>
      </c>
      <c r="AA252" t="b">
        <v>0</v>
      </c>
      <c r="AC252" s="1"/>
      <c r="AF252">
        <v>0</v>
      </c>
      <c r="AG252">
        <v>45</v>
      </c>
      <c r="AH252">
        <v>70</v>
      </c>
      <c r="AI252" s="2">
        <f>Table__192.168.3.138AgingReportBEWLGS[[#This Row],[NetAmount]]-Table__192.168.3.138AgingReportBEWLGS[[#This Row],[Paid]]</f>
        <v>105903</v>
      </c>
    </row>
    <row r="253" spans="1:35">
      <c r="A253" t="s">
        <v>6777</v>
      </c>
      <c r="B253" s="1">
        <v>41243</v>
      </c>
      <c r="C253" s="1">
        <v>41288</v>
      </c>
      <c r="D253" t="s">
        <v>6723</v>
      </c>
      <c r="E253">
        <v>62381</v>
      </c>
      <c r="F253">
        <v>5453</v>
      </c>
      <c r="G253">
        <v>0</v>
      </c>
      <c r="H253">
        <v>0</v>
      </c>
      <c r="I253">
        <v>25</v>
      </c>
      <c r="J253">
        <v>67834</v>
      </c>
      <c r="K253" t="s">
        <v>6778</v>
      </c>
      <c r="L253" s="1">
        <v>41243</v>
      </c>
      <c r="M253" t="s">
        <v>6779</v>
      </c>
      <c r="N253" t="s">
        <v>36</v>
      </c>
      <c r="O253" t="s">
        <v>36</v>
      </c>
      <c r="P253" t="s">
        <v>6726</v>
      </c>
      <c r="Q253" t="s">
        <v>39</v>
      </c>
      <c r="R253" t="s">
        <v>40</v>
      </c>
      <c r="S253">
        <v>0</v>
      </c>
      <c r="U253" t="s">
        <v>5550</v>
      </c>
      <c r="V253" t="s">
        <v>1797</v>
      </c>
      <c r="W253" t="s">
        <v>6727</v>
      </c>
      <c r="X253" t="s">
        <v>74</v>
      </c>
      <c r="Y253" t="b">
        <v>0</v>
      </c>
      <c r="Z253" t="b">
        <v>0</v>
      </c>
      <c r="AA253" t="b">
        <v>0</v>
      </c>
      <c r="AC253" s="1"/>
      <c r="AF253">
        <v>0</v>
      </c>
      <c r="AG253">
        <v>45</v>
      </c>
      <c r="AH253">
        <v>70</v>
      </c>
      <c r="AI253" s="2">
        <f>Table__192.168.3.138AgingReportBEWLGS[[#This Row],[NetAmount]]-Table__192.168.3.138AgingReportBEWLGS[[#This Row],[Paid]]</f>
        <v>67834</v>
      </c>
    </row>
    <row r="254" spans="1:35">
      <c r="A254" t="s">
        <v>6780</v>
      </c>
      <c r="B254" s="1">
        <v>41243</v>
      </c>
      <c r="C254" s="1">
        <v>41288</v>
      </c>
      <c r="D254" t="s">
        <v>6723</v>
      </c>
      <c r="E254">
        <v>197024</v>
      </c>
      <c r="F254">
        <v>25612</v>
      </c>
      <c r="G254">
        <v>0</v>
      </c>
      <c r="H254">
        <v>0</v>
      </c>
      <c r="I254">
        <v>25</v>
      </c>
      <c r="J254">
        <v>222636</v>
      </c>
      <c r="K254" t="s">
        <v>6781</v>
      </c>
      <c r="L254" s="1">
        <v>41243</v>
      </c>
      <c r="M254" t="s">
        <v>6782</v>
      </c>
      <c r="N254" t="s">
        <v>36</v>
      </c>
      <c r="O254" t="s">
        <v>36</v>
      </c>
      <c r="P254" t="s">
        <v>6726</v>
      </c>
      <c r="Q254" t="s">
        <v>39</v>
      </c>
      <c r="R254" t="s">
        <v>40</v>
      </c>
      <c r="S254">
        <v>0</v>
      </c>
      <c r="U254" t="s">
        <v>5550</v>
      </c>
      <c r="V254" t="s">
        <v>1797</v>
      </c>
      <c r="W254" t="s">
        <v>6727</v>
      </c>
      <c r="X254" t="s">
        <v>74</v>
      </c>
      <c r="Y254" t="b">
        <v>0</v>
      </c>
      <c r="Z254" t="b">
        <v>0</v>
      </c>
      <c r="AA254" t="b">
        <v>0</v>
      </c>
      <c r="AC254" s="1"/>
      <c r="AF254">
        <v>0</v>
      </c>
      <c r="AG254">
        <v>45</v>
      </c>
      <c r="AH254">
        <v>70</v>
      </c>
      <c r="AI254" s="2">
        <f>Table__192.168.3.138AgingReportBEWLGS[[#This Row],[NetAmount]]-Table__192.168.3.138AgingReportBEWLGS[[#This Row],[Paid]]</f>
        <v>222636</v>
      </c>
    </row>
    <row r="255" spans="1:35">
      <c r="A255" t="s">
        <v>6783</v>
      </c>
      <c r="B255" s="1">
        <v>41243</v>
      </c>
      <c r="C255" s="1">
        <v>41288</v>
      </c>
      <c r="D255" t="s">
        <v>6723</v>
      </c>
      <c r="E255">
        <v>109460</v>
      </c>
      <c r="F255">
        <v>9052</v>
      </c>
      <c r="G255">
        <v>0</v>
      </c>
      <c r="H255">
        <v>0</v>
      </c>
      <c r="I255">
        <v>25</v>
      </c>
      <c r="J255">
        <v>118512</v>
      </c>
      <c r="K255" t="s">
        <v>6784</v>
      </c>
      <c r="L255" s="1">
        <v>41243</v>
      </c>
      <c r="M255" t="s">
        <v>6785</v>
      </c>
      <c r="N255" t="s">
        <v>36</v>
      </c>
      <c r="O255" t="s">
        <v>36</v>
      </c>
      <c r="P255" t="s">
        <v>6726</v>
      </c>
      <c r="Q255" t="s">
        <v>39</v>
      </c>
      <c r="R255" t="s">
        <v>40</v>
      </c>
      <c r="S255">
        <v>0</v>
      </c>
      <c r="U255" t="s">
        <v>5550</v>
      </c>
      <c r="V255" t="s">
        <v>1797</v>
      </c>
      <c r="W255" t="s">
        <v>6727</v>
      </c>
      <c r="X255" t="s">
        <v>74</v>
      </c>
      <c r="Y255" t="b">
        <v>0</v>
      </c>
      <c r="Z255" t="b">
        <v>0</v>
      </c>
      <c r="AA255" t="b">
        <v>0</v>
      </c>
      <c r="AC255" s="1"/>
      <c r="AF255">
        <v>0</v>
      </c>
      <c r="AG255">
        <v>45</v>
      </c>
      <c r="AH255">
        <v>70</v>
      </c>
      <c r="AI255" s="2">
        <f>Table__192.168.3.138AgingReportBEWLGS[[#This Row],[NetAmount]]-Table__192.168.3.138AgingReportBEWLGS[[#This Row],[Paid]]</f>
        <v>118512</v>
      </c>
    </row>
    <row r="256" spans="1:35">
      <c r="A256" t="s">
        <v>6786</v>
      </c>
      <c r="B256" s="1">
        <v>41243</v>
      </c>
      <c r="C256" s="1">
        <v>41288</v>
      </c>
      <c r="D256" t="s">
        <v>6723</v>
      </c>
      <c r="E256">
        <v>150776</v>
      </c>
      <c r="F256">
        <v>16495</v>
      </c>
      <c r="G256">
        <v>0</v>
      </c>
      <c r="H256">
        <v>0</v>
      </c>
      <c r="I256">
        <v>25</v>
      </c>
      <c r="J256">
        <v>167271</v>
      </c>
      <c r="K256" t="s">
        <v>6787</v>
      </c>
      <c r="L256" s="1">
        <v>41243</v>
      </c>
      <c r="M256" t="s">
        <v>6788</v>
      </c>
      <c r="N256" t="s">
        <v>36</v>
      </c>
      <c r="O256" t="s">
        <v>36</v>
      </c>
      <c r="P256" t="s">
        <v>6726</v>
      </c>
      <c r="Q256" t="s">
        <v>39</v>
      </c>
      <c r="R256" t="s">
        <v>40</v>
      </c>
      <c r="S256">
        <v>0</v>
      </c>
      <c r="U256" t="s">
        <v>5550</v>
      </c>
      <c r="V256" t="s">
        <v>1797</v>
      </c>
      <c r="W256" t="s">
        <v>6727</v>
      </c>
      <c r="X256" t="s">
        <v>74</v>
      </c>
      <c r="Y256" t="b">
        <v>0</v>
      </c>
      <c r="Z256" t="b">
        <v>0</v>
      </c>
      <c r="AA256" t="b">
        <v>0</v>
      </c>
      <c r="AC256" s="1"/>
      <c r="AF256">
        <v>0</v>
      </c>
      <c r="AG256">
        <v>45</v>
      </c>
      <c r="AH256">
        <v>70</v>
      </c>
      <c r="AI256" s="2">
        <f>Table__192.168.3.138AgingReportBEWLGS[[#This Row],[NetAmount]]-Table__192.168.3.138AgingReportBEWLGS[[#This Row],[Paid]]</f>
        <v>167271</v>
      </c>
    </row>
    <row r="257" spans="1:35">
      <c r="A257" t="s">
        <v>6789</v>
      </c>
      <c r="B257" s="1">
        <v>41243</v>
      </c>
      <c r="C257" s="1">
        <v>41288</v>
      </c>
      <c r="D257" t="s">
        <v>6723</v>
      </c>
      <c r="E257">
        <v>62860</v>
      </c>
      <c r="F257">
        <v>4314</v>
      </c>
      <c r="G257">
        <v>0</v>
      </c>
      <c r="H257">
        <v>0</v>
      </c>
      <c r="I257">
        <v>25</v>
      </c>
      <c r="J257">
        <v>67174</v>
      </c>
      <c r="K257" t="s">
        <v>6790</v>
      </c>
      <c r="L257" s="1">
        <v>41243</v>
      </c>
      <c r="M257" t="s">
        <v>6791</v>
      </c>
      <c r="N257" t="s">
        <v>36</v>
      </c>
      <c r="O257" t="s">
        <v>36</v>
      </c>
      <c r="P257" t="s">
        <v>6726</v>
      </c>
      <c r="Q257" t="s">
        <v>39</v>
      </c>
      <c r="R257" t="s">
        <v>40</v>
      </c>
      <c r="S257">
        <v>0</v>
      </c>
      <c r="U257" t="s">
        <v>5550</v>
      </c>
      <c r="V257" t="s">
        <v>1797</v>
      </c>
      <c r="W257" t="s">
        <v>6727</v>
      </c>
      <c r="X257" t="s">
        <v>74</v>
      </c>
      <c r="Y257" t="b">
        <v>0</v>
      </c>
      <c r="Z257" t="b">
        <v>0</v>
      </c>
      <c r="AA257" t="b">
        <v>0</v>
      </c>
      <c r="AC257" s="1"/>
      <c r="AF257">
        <v>0</v>
      </c>
      <c r="AG257">
        <v>45</v>
      </c>
      <c r="AH257">
        <v>70</v>
      </c>
      <c r="AI257" s="2">
        <f>Table__192.168.3.138AgingReportBEWLGS[[#This Row],[NetAmount]]-Table__192.168.3.138AgingReportBEWLGS[[#This Row],[Paid]]</f>
        <v>67174</v>
      </c>
    </row>
    <row r="258" spans="1:35">
      <c r="A258" t="s">
        <v>6792</v>
      </c>
      <c r="B258" s="1">
        <v>41243</v>
      </c>
      <c r="C258" s="1">
        <v>41288</v>
      </c>
      <c r="D258" t="s">
        <v>6723</v>
      </c>
      <c r="E258">
        <v>431187</v>
      </c>
      <c r="F258">
        <v>61958</v>
      </c>
      <c r="G258">
        <v>0</v>
      </c>
      <c r="H258">
        <v>0</v>
      </c>
      <c r="I258">
        <v>25</v>
      </c>
      <c r="J258">
        <v>493145</v>
      </c>
      <c r="K258" t="s">
        <v>6793</v>
      </c>
      <c r="L258" s="1">
        <v>41243</v>
      </c>
      <c r="M258" t="s">
        <v>6794</v>
      </c>
      <c r="N258" t="s">
        <v>36</v>
      </c>
      <c r="O258" t="s">
        <v>36</v>
      </c>
      <c r="P258" t="s">
        <v>6726</v>
      </c>
      <c r="Q258" t="s">
        <v>39</v>
      </c>
      <c r="R258" t="s">
        <v>40</v>
      </c>
      <c r="S258">
        <v>0</v>
      </c>
      <c r="U258" t="s">
        <v>5550</v>
      </c>
      <c r="V258" t="s">
        <v>1797</v>
      </c>
      <c r="W258" t="s">
        <v>6727</v>
      </c>
      <c r="X258" t="s">
        <v>74</v>
      </c>
      <c r="Y258" t="b">
        <v>0</v>
      </c>
      <c r="Z258" t="b">
        <v>0</v>
      </c>
      <c r="AA258" t="b">
        <v>0</v>
      </c>
      <c r="AC258" s="1"/>
      <c r="AF258">
        <v>0</v>
      </c>
      <c r="AG258">
        <v>45</v>
      </c>
      <c r="AH258">
        <v>70</v>
      </c>
      <c r="AI258" s="2">
        <f>Table__192.168.3.138AgingReportBEWLGS[[#This Row],[NetAmount]]-Table__192.168.3.138AgingReportBEWLGS[[#This Row],[Paid]]</f>
        <v>493145</v>
      </c>
    </row>
    <row r="259" spans="1:35">
      <c r="A259" t="s">
        <v>6795</v>
      </c>
      <c r="B259" s="1">
        <v>41243</v>
      </c>
      <c r="C259" s="1">
        <v>41288</v>
      </c>
      <c r="D259" t="s">
        <v>6723</v>
      </c>
      <c r="E259">
        <v>437871</v>
      </c>
      <c r="F259">
        <v>61667</v>
      </c>
      <c r="G259">
        <v>0</v>
      </c>
      <c r="H259">
        <v>0</v>
      </c>
      <c r="I259">
        <v>25</v>
      </c>
      <c r="J259">
        <v>499538</v>
      </c>
      <c r="K259" t="s">
        <v>6796</v>
      </c>
      <c r="L259" s="1">
        <v>41243</v>
      </c>
      <c r="M259" t="s">
        <v>6797</v>
      </c>
      <c r="N259" t="s">
        <v>36</v>
      </c>
      <c r="O259" t="s">
        <v>36</v>
      </c>
      <c r="P259" t="s">
        <v>6726</v>
      </c>
      <c r="Q259" t="s">
        <v>39</v>
      </c>
      <c r="R259" t="s">
        <v>40</v>
      </c>
      <c r="S259">
        <v>0</v>
      </c>
      <c r="U259" t="s">
        <v>5550</v>
      </c>
      <c r="V259" t="s">
        <v>1797</v>
      </c>
      <c r="W259" t="s">
        <v>6727</v>
      </c>
      <c r="X259" t="s">
        <v>74</v>
      </c>
      <c r="Y259" t="b">
        <v>0</v>
      </c>
      <c r="Z259" t="b">
        <v>0</v>
      </c>
      <c r="AA259" t="b">
        <v>0</v>
      </c>
      <c r="AC259" s="1"/>
      <c r="AF259">
        <v>0</v>
      </c>
      <c r="AG259">
        <v>45</v>
      </c>
      <c r="AH259">
        <v>70</v>
      </c>
      <c r="AI259" s="2">
        <f>Table__192.168.3.138AgingReportBEWLGS[[#This Row],[NetAmount]]-Table__192.168.3.138AgingReportBEWLGS[[#This Row],[Paid]]</f>
        <v>499538</v>
      </c>
    </row>
    <row r="260" spans="1:35">
      <c r="A260" t="s">
        <v>6798</v>
      </c>
      <c r="B260" s="1">
        <v>41243</v>
      </c>
      <c r="C260" s="1">
        <v>41288</v>
      </c>
      <c r="D260" t="s">
        <v>6723</v>
      </c>
      <c r="E260">
        <v>28437</v>
      </c>
      <c r="F260">
        <v>510</v>
      </c>
      <c r="G260">
        <v>0</v>
      </c>
      <c r="H260">
        <v>0</v>
      </c>
      <c r="I260">
        <v>25</v>
      </c>
      <c r="J260">
        <v>28947</v>
      </c>
      <c r="K260" t="s">
        <v>6799</v>
      </c>
      <c r="L260" s="1">
        <v>41243</v>
      </c>
      <c r="M260" t="s">
        <v>6800</v>
      </c>
      <c r="N260" t="s">
        <v>36</v>
      </c>
      <c r="O260" t="s">
        <v>36</v>
      </c>
      <c r="P260" t="s">
        <v>6726</v>
      </c>
      <c r="Q260" t="s">
        <v>39</v>
      </c>
      <c r="R260" t="s">
        <v>40</v>
      </c>
      <c r="S260">
        <v>0</v>
      </c>
      <c r="U260" t="s">
        <v>5550</v>
      </c>
      <c r="V260" t="s">
        <v>1797</v>
      </c>
      <c r="W260" t="s">
        <v>6727</v>
      </c>
      <c r="X260" t="s">
        <v>74</v>
      </c>
      <c r="Y260" t="b">
        <v>0</v>
      </c>
      <c r="Z260" t="b">
        <v>0</v>
      </c>
      <c r="AA260" t="b">
        <v>0</v>
      </c>
      <c r="AC260" s="1"/>
      <c r="AF260">
        <v>0</v>
      </c>
      <c r="AG260">
        <v>45</v>
      </c>
      <c r="AH260">
        <v>70</v>
      </c>
      <c r="AI260" s="2">
        <f>Table__192.168.3.138AgingReportBEWLGS[[#This Row],[NetAmount]]-Table__192.168.3.138AgingReportBEWLGS[[#This Row],[Paid]]</f>
        <v>28947</v>
      </c>
    </row>
    <row r="261" spans="1:35">
      <c r="A261" t="s">
        <v>6801</v>
      </c>
      <c r="B261" s="1">
        <v>41243</v>
      </c>
      <c r="C261" s="1">
        <v>41288</v>
      </c>
      <c r="D261" t="s">
        <v>6723</v>
      </c>
      <c r="E261">
        <v>36973</v>
      </c>
      <c r="F261">
        <v>1100</v>
      </c>
      <c r="G261">
        <v>0</v>
      </c>
      <c r="H261">
        <v>0</v>
      </c>
      <c r="I261">
        <v>25</v>
      </c>
      <c r="J261">
        <v>38073</v>
      </c>
      <c r="K261" t="s">
        <v>6802</v>
      </c>
      <c r="L261" s="1">
        <v>41243</v>
      </c>
      <c r="M261" t="s">
        <v>6803</v>
      </c>
      <c r="N261" t="s">
        <v>36</v>
      </c>
      <c r="O261" t="s">
        <v>36</v>
      </c>
      <c r="P261" t="s">
        <v>6726</v>
      </c>
      <c r="Q261" t="s">
        <v>39</v>
      </c>
      <c r="R261" t="s">
        <v>40</v>
      </c>
      <c r="S261">
        <v>0</v>
      </c>
      <c r="U261" t="s">
        <v>5550</v>
      </c>
      <c r="V261" t="s">
        <v>1797</v>
      </c>
      <c r="W261" t="s">
        <v>6727</v>
      </c>
      <c r="X261" t="s">
        <v>74</v>
      </c>
      <c r="Y261" t="b">
        <v>0</v>
      </c>
      <c r="Z261" t="b">
        <v>0</v>
      </c>
      <c r="AA261" t="b">
        <v>0</v>
      </c>
      <c r="AC261" s="1"/>
      <c r="AF261">
        <v>0</v>
      </c>
      <c r="AG261">
        <v>45</v>
      </c>
      <c r="AH261">
        <v>70</v>
      </c>
      <c r="AI261" s="2">
        <f>Table__192.168.3.138AgingReportBEWLGS[[#This Row],[NetAmount]]-Table__192.168.3.138AgingReportBEWLGS[[#This Row],[Paid]]</f>
        <v>38073</v>
      </c>
    </row>
    <row r="262" spans="1:35">
      <c r="A262" t="s">
        <v>6804</v>
      </c>
      <c r="B262" s="1">
        <v>41243</v>
      </c>
      <c r="C262" s="1">
        <v>41288</v>
      </c>
      <c r="D262" t="s">
        <v>6307</v>
      </c>
      <c r="E262">
        <v>21000</v>
      </c>
      <c r="F262">
        <v>0</v>
      </c>
      <c r="G262">
        <v>0</v>
      </c>
      <c r="H262">
        <v>0</v>
      </c>
      <c r="I262">
        <v>25</v>
      </c>
      <c r="J262">
        <v>21000</v>
      </c>
      <c r="K262" t="s">
        <v>5976</v>
      </c>
      <c r="L262" s="1">
        <v>41243</v>
      </c>
      <c r="N262" t="s">
        <v>36</v>
      </c>
      <c r="O262" t="s">
        <v>36</v>
      </c>
      <c r="P262" t="s">
        <v>6308</v>
      </c>
      <c r="Q262" t="s">
        <v>39</v>
      </c>
      <c r="R262" t="s">
        <v>40</v>
      </c>
      <c r="S262">
        <v>0</v>
      </c>
      <c r="U262" t="s">
        <v>5550</v>
      </c>
      <c r="V262" t="s">
        <v>1797</v>
      </c>
      <c r="X262" t="s">
        <v>74</v>
      </c>
      <c r="Y262" t="b">
        <v>0</v>
      </c>
      <c r="Z262" t="b">
        <v>0</v>
      </c>
      <c r="AC262" s="1"/>
      <c r="AF262">
        <v>0</v>
      </c>
      <c r="AG262">
        <v>45</v>
      </c>
      <c r="AH262">
        <v>70</v>
      </c>
      <c r="AI262" s="2">
        <f>Table__192.168.3.138AgingReportBEWLGS[[#This Row],[NetAmount]]-Table__192.168.3.138AgingReportBEWLGS[[#This Row],[Paid]]</f>
        <v>21000</v>
      </c>
    </row>
    <row r="263" spans="1:35">
      <c r="A263" t="s">
        <v>6805</v>
      </c>
      <c r="B263" s="1">
        <v>41243</v>
      </c>
      <c r="C263" s="1">
        <v>41288</v>
      </c>
      <c r="D263" t="s">
        <v>6155</v>
      </c>
      <c r="E263">
        <v>238330</v>
      </c>
      <c r="F263">
        <v>0</v>
      </c>
      <c r="G263">
        <v>0</v>
      </c>
      <c r="H263">
        <v>0</v>
      </c>
      <c r="I263">
        <v>25</v>
      </c>
      <c r="J263">
        <v>238330</v>
      </c>
      <c r="K263" t="s">
        <v>6806</v>
      </c>
      <c r="L263" s="1">
        <v>41243</v>
      </c>
      <c r="N263" t="s">
        <v>36</v>
      </c>
      <c r="O263" t="s">
        <v>36</v>
      </c>
      <c r="P263" t="s">
        <v>6156</v>
      </c>
      <c r="Q263" t="s">
        <v>39</v>
      </c>
      <c r="R263" t="s">
        <v>40</v>
      </c>
      <c r="S263">
        <v>0</v>
      </c>
      <c r="U263" t="s">
        <v>5550</v>
      </c>
      <c r="V263" t="s">
        <v>1797</v>
      </c>
      <c r="X263" t="s">
        <v>74</v>
      </c>
      <c r="Y263" t="b">
        <v>0</v>
      </c>
      <c r="Z263" t="b">
        <v>0</v>
      </c>
      <c r="AC263" s="1"/>
      <c r="AF263">
        <v>0</v>
      </c>
      <c r="AG263">
        <v>45</v>
      </c>
      <c r="AH263">
        <v>70</v>
      </c>
      <c r="AI263" s="2">
        <f>Table__192.168.3.138AgingReportBEWLGS[[#This Row],[NetAmount]]-Table__192.168.3.138AgingReportBEWLGS[[#This Row],[Paid]]</f>
        <v>238330</v>
      </c>
    </row>
    <row r="264" spans="1:35">
      <c r="A264" t="s">
        <v>6807</v>
      </c>
      <c r="B264" s="1">
        <v>41243</v>
      </c>
      <c r="C264" s="1">
        <v>41288</v>
      </c>
      <c r="D264" t="s">
        <v>6155</v>
      </c>
      <c r="E264">
        <v>75000</v>
      </c>
      <c r="F264">
        <v>0</v>
      </c>
      <c r="G264">
        <v>0</v>
      </c>
      <c r="H264">
        <v>0</v>
      </c>
      <c r="I264">
        <v>25</v>
      </c>
      <c r="J264">
        <v>75000</v>
      </c>
      <c r="K264" t="s">
        <v>6808</v>
      </c>
      <c r="L264" s="1">
        <v>41243</v>
      </c>
      <c r="N264" t="s">
        <v>36</v>
      </c>
      <c r="O264" t="s">
        <v>36</v>
      </c>
      <c r="P264" t="s">
        <v>6156</v>
      </c>
      <c r="Q264" t="s">
        <v>39</v>
      </c>
      <c r="R264" t="s">
        <v>40</v>
      </c>
      <c r="S264">
        <v>0</v>
      </c>
      <c r="U264" t="s">
        <v>5550</v>
      </c>
      <c r="V264" t="s">
        <v>1797</v>
      </c>
      <c r="X264" t="s">
        <v>74</v>
      </c>
      <c r="Y264" t="b">
        <v>0</v>
      </c>
      <c r="Z264" t="b">
        <v>0</v>
      </c>
      <c r="AC264" s="1"/>
      <c r="AF264">
        <v>0</v>
      </c>
      <c r="AG264">
        <v>45</v>
      </c>
      <c r="AH264">
        <v>70</v>
      </c>
      <c r="AI264" s="2">
        <f>Table__192.168.3.138AgingReportBEWLGS[[#This Row],[NetAmount]]-Table__192.168.3.138AgingReportBEWLGS[[#This Row],[Paid]]</f>
        <v>75000</v>
      </c>
    </row>
    <row r="265" spans="1:35">
      <c r="A265" t="s">
        <v>6809</v>
      </c>
      <c r="B265" s="1">
        <v>41243</v>
      </c>
      <c r="C265" s="1">
        <v>41288</v>
      </c>
      <c r="D265" t="s">
        <v>6155</v>
      </c>
      <c r="E265">
        <v>143070</v>
      </c>
      <c r="F265">
        <v>0</v>
      </c>
      <c r="G265">
        <v>0</v>
      </c>
      <c r="H265">
        <v>0</v>
      </c>
      <c r="I265">
        <v>25</v>
      </c>
      <c r="J265">
        <v>143070</v>
      </c>
      <c r="K265" t="s">
        <v>6810</v>
      </c>
      <c r="L265" s="1">
        <v>41243</v>
      </c>
      <c r="N265" t="s">
        <v>36</v>
      </c>
      <c r="O265" t="s">
        <v>36</v>
      </c>
      <c r="P265" t="s">
        <v>6156</v>
      </c>
      <c r="Q265" t="s">
        <v>39</v>
      </c>
      <c r="R265" t="s">
        <v>40</v>
      </c>
      <c r="S265">
        <v>0</v>
      </c>
      <c r="U265" t="s">
        <v>5550</v>
      </c>
      <c r="V265" t="s">
        <v>1797</v>
      </c>
      <c r="X265" t="s">
        <v>74</v>
      </c>
      <c r="Y265" t="b">
        <v>0</v>
      </c>
      <c r="Z265" t="b">
        <v>0</v>
      </c>
      <c r="AC265" s="1"/>
      <c r="AF265">
        <v>0</v>
      </c>
      <c r="AG265">
        <v>45</v>
      </c>
      <c r="AH265">
        <v>70</v>
      </c>
      <c r="AI265" s="2">
        <f>Table__192.168.3.138AgingReportBEWLGS[[#This Row],[NetAmount]]-Table__192.168.3.138AgingReportBEWLGS[[#This Row],[Paid]]</f>
        <v>143070</v>
      </c>
    </row>
    <row r="266" spans="1:35">
      <c r="A266" t="s">
        <v>6811</v>
      </c>
      <c r="B266" s="1">
        <v>41274</v>
      </c>
      <c r="C266" s="1">
        <v>41319</v>
      </c>
      <c r="D266" t="s">
        <v>6812</v>
      </c>
      <c r="E266">
        <v>3500</v>
      </c>
      <c r="F266">
        <v>0</v>
      </c>
      <c r="G266">
        <v>0</v>
      </c>
      <c r="H266">
        <v>0</v>
      </c>
      <c r="I266">
        <v>11</v>
      </c>
      <c r="J266">
        <v>3500</v>
      </c>
      <c r="K266" t="s">
        <v>3278</v>
      </c>
      <c r="L266" s="1">
        <v>41257</v>
      </c>
      <c r="N266" t="s">
        <v>36</v>
      </c>
      <c r="O266" t="s">
        <v>36</v>
      </c>
      <c r="P266" t="s">
        <v>6813</v>
      </c>
      <c r="Q266" t="s">
        <v>39</v>
      </c>
      <c r="R266" t="s">
        <v>40</v>
      </c>
      <c r="S266">
        <v>0</v>
      </c>
      <c r="U266" t="s">
        <v>5550</v>
      </c>
      <c r="V266" t="s">
        <v>1797</v>
      </c>
      <c r="X266" t="s">
        <v>74</v>
      </c>
      <c r="Y266" t="b">
        <v>0</v>
      </c>
      <c r="Z266" t="b">
        <v>0</v>
      </c>
      <c r="AC266" s="1"/>
      <c r="AF266">
        <v>0</v>
      </c>
      <c r="AG266">
        <v>45</v>
      </c>
      <c r="AH266">
        <v>56</v>
      </c>
      <c r="AI266" s="2">
        <f>Table__192.168.3.138AgingReportBEWLGS[[#This Row],[NetAmount]]-Table__192.168.3.138AgingReportBEWLGS[[#This Row],[Paid]]</f>
        <v>3500</v>
      </c>
    </row>
    <row r="267" spans="1:35">
      <c r="A267" t="s">
        <v>6814</v>
      </c>
      <c r="B267" s="1">
        <v>41274</v>
      </c>
      <c r="C267" s="1">
        <v>41319</v>
      </c>
      <c r="D267" t="s">
        <v>6815</v>
      </c>
      <c r="E267">
        <v>34434</v>
      </c>
      <c r="F267">
        <v>5510</v>
      </c>
      <c r="G267">
        <v>0</v>
      </c>
      <c r="H267">
        <v>0</v>
      </c>
      <c r="I267">
        <v>4</v>
      </c>
      <c r="J267">
        <v>39944</v>
      </c>
      <c r="K267" t="s">
        <v>6816</v>
      </c>
      <c r="L267" s="1">
        <v>41264</v>
      </c>
      <c r="M267" t="s">
        <v>6817</v>
      </c>
      <c r="N267" t="s">
        <v>36</v>
      </c>
      <c r="O267" t="s">
        <v>36</v>
      </c>
      <c r="P267" t="s">
        <v>6818</v>
      </c>
      <c r="Q267" t="s">
        <v>39</v>
      </c>
      <c r="R267" t="s">
        <v>40</v>
      </c>
      <c r="S267">
        <v>0</v>
      </c>
      <c r="U267" t="s">
        <v>5550</v>
      </c>
      <c r="V267" t="s">
        <v>1797</v>
      </c>
      <c r="W267" t="s">
        <v>6819</v>
      </c>
      <c r="X267" t="s">
        <v>74</v>
      </c>
      <c r="Y267" t="b">
        <v>0</v>
      </c>
      <c r="Z267" t="b">
        <v>0</v>
      </c>
      <c r="AA267" t="b">
        <v>0</v>
      </c>
      <c r="AC267" s="1"/>
      <c r="AF267">
        <v>0</v>
      </c>
      <c r="AG267">
        <v>45</v>
      </c>
      <c r="AH267">
        <v>49</v>
      </c>
      <c r="AI267" s="2">
        <f>Table__192.168.3.138AgingReportBEWLGS[[#This Row],[NetAmount]]-Table__192.168.3.138AgingReportBEWLGS[[#This Row],[Paid]]</f>
        <v>39944</v>
      </c>
    </row>
    <row r="268" spans="1:35">
      <c r="A268" t="s">
        <v>6820</v>
      </c>
      <c r="B268" s="1">
        <v>41274</v>
      </c>
      <c r="C268" s="1">
        <v>41319</v>
      </c>
      <c r="D268" t="s">
        <v>6821</v>
      </c>
      <c r="E268">
        <v>10900</v>
      </c>
      <c r="F268">
        <v>0</v>
      </c>
      <c r="G268">
        <v>0</v>
      </c>
      <c r="H268">
        <v>0</v>
      </c>
      <c r="I268">
        <v>-6</v>
      </c>
      <c r="J268">
        <v>10900</v>
      </c>
      <c r="K268" t="s">
        <v>6822</v>
      </c>
      <c r="L268" s="1">
        <v>41274</v>
      </c>
      <c r="M268" t="s">
        <v>6823</v>
      </c>
      <c r="N268" t="s">
        <v>36</v>
      </c>
      <c r="O268" t="s">
        <v>36</v>
      </c>
      <c r="P268" t="s">
        <v>6824</v>
      </c>
      <c r="Q268" t="s">
        <v>39</v>
      </c>
      <c r="R268" t="s">
        <v>40</v>
      </c>
      <c r="S268">
        <v>0</v>
      </c>
      <c r="U268" t="s">
        <v>5550</v>
      </c>
      <c r="V268" t="s">
        <v>1797</v>
      </c>
      <c r="W268" t="s">
        <v>6825</v>
      </c>
      <c r="X268" t="s">
        <v>74</v>
      </c>
      <c r="Y268" t="b">
        <v>0</v>
      </c>
      <c r="Z268" t="b">
        <v>0</v>
      </c>
      <c r="AA268" t="b">
        <v>0</v>
      </c>
      <c r="AC268" s="1"/>
      <c r="AF268">
        <v>0</v>
      </c>
      <c r="AG268">
        <v>45</v>
      </c>
      <c r="AH268">
        <v>39</v>
      </c>
      <c r="AI268" s="2">
        <f>Table__192.168.3.138AgingReportBEWLGS[[#This Row],[NetAmount]]-Table__192.168.3.138AgingReportBEWLGS[[#This Row],[Paid]]</f>
        <v>10900</v>
      </c>
    </row>
    <row r="269" spans="1:35">
      <c r="A269" t="s">
        <v>6826</v>
      </c>
      <c r="B269" s="1">
        <v>41288</v>
      </c>
      <c r="C269" s="1">
        <v>41333</v>
      </c>
      <c r="D269" t="s">
        <v>6821</v>
      </c>
      <c r="E269">
        <v>19855</v>
      </c>
      <c r="F269">
        <v>0</v>
      </c>
      <c r="G269">
        <v>0</v>
      </c>
      <c r="H269">
        <v>0</v>
      </c>
      <c r="I269">
        <v>-20</v>
      </c>
      <c r="J269">
        <v>19855</v>
      </c>
      <c r="K269" t="s">
        <v>6827</v>
      </c>
      <c r="L269" s="1">
        <v>41288</v>
      </c>
      <c r="M269" t="s">
        <v>6828</v>
      </c>
      <c r="N269" t="s">
        <v>36</v>
      </c>
      <c r="O269" t="s">
        <v>36</v>
      </c>
      <c r="P269" t="s">
        <v>6824</v>
      </c>
      <c r="Q269" t="s">
        <v>39</v>
      </c>
      <c r="R269" t="s">
        <v>40</v>
      </c>
      <c r="S269">
        <v>0</v>
      </c>
      <c r="U269" t="s">
        <v>5550</v>
      </c>
      <c r="V269" t="s">
        <v>1797</v>
      </c>
      <c r="W269" t="s">
        <v>6825</v>
      </c>
      <c r="X269" t="s">
        <v>74</v>
      </c>
      <c r="Y269" t="b">
        <v>0</v>
      </c>
      <c r="Z269" t="b">
        <v>0</v>
      </c>
      <c r="AA269" t="b">
        <v>0</v>
      </c>
      <c r="AC269" s="1"/>
      <c r="AF269">
        <v>0</v>
      </c>
      <c r="AG269">
        <v>45</v>
      </c>
      <c r="AH269">
        <v>25</v>
      </c>
      <c r="AI269" s="2">
        <f>Table__192.168.3.138AgingReportBEWLGS[[#This Row],[NetAmount]]-Table__192.168.3.138AgingReportBEWLGS[[#This Row],[Paid]]</f>
        <v>19855</v>
      </c>
    </row>
    <row r="270" spans="1:35">
      <c r="A270" t="s">
        <v>6829</v>
      </c>
      <c r="B270" s="1">
        <v>41274</v>
      </c>
      <c r="C270" s="1">
        <v>41319</v>
      </c>
      <c r="D270" t="s">
        <v>6723</v>
      </c>
      <c r="E270">
        <v>21599</v>
      </c>
      <c r="F270">
        <v>400</v>
      </c>
      <c r="G270">
        <v>0</v>
      </c>
      <c r="H270">
        <v>0</v>
      </c>
      <c r="I270">
        <v>-6</v>
      </c>
      <c r="J270">
        <v>21999</v>
      </c>
      <c r="K270" t="s">
        <v>6830</v>
      </c>
      <c r="L270" s="1">
        <v>41274</v>
      </c>
      <c r="M270" t="s">
        <v>6831</v>
      </c>
      <c r="N270" t="s">
        <v>36</v>
      </c>
      <c r="O270" t="s">
        <v>36</v>
      </c>
      <c r="P270" t="s">
        <v>6726</v>
      </c>
      <c r="Q270" t="s">
        <v>39</v>
      </c>
      <c r="R270" t="s">
        <v>40</v>
      </c>
      <c r="S270">
        <v>0</v>
      </c>
      <c r="U270" t="s">
        <v>5550</v>
      </c>
      <c r="V270" t="s">
        <v>1797</v>
      </c>
      <c r="W270" t="s">
        <v>6727</v>
      </c>
      <c r="X270" t="s">
        <v>74</v>
      </c>
      <c r="Y270" t="b">
        <v>0</v>
      </c>
      <c r="Z270" t="b">
        <v>0</v>
      </c>
      <c r="AA270" t="b">
        <v>0</v>
      </c>
      <c r="AC270" s="1"/>
      <c r="AF270">
        <v>0</v>
      </c>
      <c r="AG270">
        <v>45</v>
      </c>
      <c r="AH270">
        <v>39</v>
      </c>
      <c r="AI270" s="2">
        <f>Table__192.168.3.138AgingReportBEWLGS[[#This Row],[NetAmount]]-Table__192.168.3.138AgingReportBEWLGS[[#This Row],[Paid]]</f>
        <v>21999</v>
      </c>
    </row>
    <row r="271" spans="1:35">
      <c r="A271" t="s">
        <v>6832</v>
      </c>
      <c r="B271" s="1">
        <v>41274</v>
      </c>
      <c r="C271" s="1">
        <v>41319</v>
      </c>
      <c r="D271" t="s">
        <v>6723</v>
      </c>
      <c r="E271">
        <v>32199</v>
      </c>
      <c r="F271">
        <v>566</v>
      </c>
      <c r="G271">
        <v>0</v>
      </c>
      <c r="H271">
        <v>0</v>
      </c>
      <c r="I271">
        <v>-6</v>
      </c>
      <c r="J271">
        <v>32765</v>
      </c>
      <c r="K271" t="s">
        <v>6833</v>
      </c>
      <c r="L271" s="1">
        <v>41274</v>
      </c>
      <c r="M271" t="s">
        <v>6834</v>
      </c>
      <c r="N271" t="s">
        <v>36</v>
      </c>
      <c r="O271" t="s">
        <v>36</v>
      </c>
      <c r="P271" t="s">
        <v>6726</v>
      </c>
      <c r="Q271" t="s">
        <v>39</v>
      </c>
      <c r="R271" t="s">
        <v>40</v>
      </c>
      <c r="S271">
        <v>0</v>
      </c>
      <c r="U271" t="s">
        <v>5550</v>
      </c>
      <c r="V271" t="s">
        <v>1797</v>
      </c>
      <c r="W271" t="s">
        <v>6727</v>
      </c>
      <c r="X271" t="s">
        <v>74</v>
      </c>
      <c r="Y271" t="b">
        <v>0</v>
      </c>
      <c r="Z271" t="b">
        <v>0</v>
      </c>
      <c r="AA271" t="b">
        <v>0</v>
      </c>
      <c r="AC271" s="1"/>
      <c r="AF271">
        <v>0</v>
      </c>
      <c r="AG271">
        <v>45</v>
      </c>
      <c r="AH271">
        <v>39</v>
      </c>
      <c r="AI271" s="2">
        <f>Table__192.168.3.138AgingReportBEWLGS[[#This Row],[NetAmount]]-Table__192.168.3.138AgingReportBEWLGS[[#This Row],[Paid]]</f>
        <v>32765</v>
      </c>
    </row>
    <row r="272" spans="1:35">
      <c r="A272" t="s">
        <v>6835</v>
      </c>
      <c r="B272" s="1">
        <v>41274</v>
      </c>
      <c r="C272" s="1">
        <v>41319</v>
      </c>
      <c r="D272" t="s">
        <v>6723</v>
      </c>
      <c r="E272">
        <v>93575</v>
      </c>
      <c r="F272">
        <v>13325</v>
      </c>
      <c r="G272">
        <v>0</v>
      </c>
      <c r="H272">
        <v>0</v>
      </c>
      <c r="I272">
        <v>-6</v>
      </c>
      <c r="J272">
        <v>106900</v>
      </c>
      <c r="K272" t="s">
        <v>6836</v>
      </c>
      <c r="L272" s="1">
        <v>41274</v>
      </c>
      <c r="M272" t="s">
        <v>6837</v>
      </c>
      <c r="N272" t="s">
        <v>36</v>
      </c>
      <c r="O272" t="s">
        <v>36</v>
      </c>
      <c r="P272" t="s">
        <v>6726</v>
      </c>
      <c r="Q272" t="s">
        <v>39</v>
      </c>
      <c r="R272" t="s">
        <v>40</v>
      </c>
      <c r="S272">
        <v>0</v>
      </c>
      <c r="U272" t="s">
        <v>5550</v>
      </c>
      <c r="V272" t="s">
        <v>1797</v>
      </c>
      <c r="W272" t="s">
        <v>6727</v>
      </c>
      <c r="X272" t="s">
        <v>74</v>
      </c>
      <c r="Y272" t="b">
        <v>0</v>
      </c>
      <c r="Z272" t="b">
        <v>0</v>
      </c>
      <c r="AA272" t="b">
        <v>0</v>
      </c>
      <c r="AC272" s="1"/>
      <c r="AF272">
        <v>0</v>
      </c>
      <c r="AG272">
        <v>45</v>
      </c>
      <c r="AH272">
        <v>39</v>
      </c>
      <c r="AI272" s="2">
        <f>Table__192.168.3.138AgingReportBEWLGS[[#This Row],[NetAmount]]-Table__192.168.3.138AgingReportBEWLGS[[#This Row],[Paid]]</f>
        <v>106900</v>
      </c>
    </row>
    <row r="273" spans="1:35">
      <c r="A273" t="s">
        <v>6838</v>
      </c>
      <c r="B273" s="1">
        <v>41274</v>
      </c>
      <c r="C273" s="1">
        <v>41319</v>
      </c>
      <c r="D273" t="s">
        <v>6723</v>
      </c>
      <c r="E273">
        <v>232760</v>
      </c>
      <c r="F273">
        <v>30058</v>
      </c>
      <c r="G273">
        <v>0</v>
      </c>
      <c r="H273">
        <v>0</v>
      </c>
      <c r="I273">
        <v>-6</v>
      </c>
      <c r="J273">
        <v>262818</v>
      </c>
      <c r="K273" t="s">
        <v>6839</v>
      </c>
      <c r="L273" s="1">
        <v>41274</v>
      </c>
      <c r="M273" t="s">
        <v>6840</v>
      </c>
      <c r="N273" t="s">
        <v>36</v>
      </c>
      <c r="O273" t="s">
        <v>36</v>
      </c>
      <c r="P273" t="s">
        <v>6726</v>
      </c>
      <c r="Q273" t="s">
        <v>39</v>
      </c>
      <c r="R273" t="s">
        <v>40</v>
      </c>
      <c r="S273">
        <v>0</v>
      </c>
      <c r="U273" t="s">
        <v>5550</v>
      </c>
      <c r="V273" t="s">
        <v>1797</v>
      </c>
      <c r="W273" t="s">
        <v>6727</v>
      </c>
      <c r="X273" t="s">
        <v>74</v>
      </c>
      <c r="Y273" t="b">
        <v>0</v>
      </c>
      <c r="Z273" t="b">
        <v>0</v>
      </c>
      <c r="AA273" t="b">
        <v>0</v>
      </c>
      <c r="AC273" s="1"/>
      <c r="AF273">
        <v>0</v>
      </c>
      <c r="AG273">
        <v>45</v>
      </c>
      <c r="AH273">
        <v>39</v>
      </c>
      <c r="AI273" s="2">
        <f>Table__192.168.3.138AgingReportBEWLGS[[#This Row],[NetAmount]]-Table__192.168.3.138AgingReportBEWLGS[[#This Row],[Paid]]</f>
        <v>262818</v>
      </c>
    </row>
    <row r="274" spans="1:35">
      <c r="A274" t="s">
        <v>6841</v>
      </c>
      <c r="B274" s="1">
        <v>41274</v>
      </c>
      <c r="C274" s="1">
        <v>41319</v>
      </c>
      <c r="D274" t="s">
        <v>6723</v>
      </c>
      <c r="E274">
        <v>120810</v>
      </c>
      <c r="F274">
        <v>14377</v>
      </c>
      <c r="G274">
        <v>0</v>
      </c>
      <c r="H274">
        <v>0</v>
      </c>
      <c r="I274">
        <v>-6</v>
      </c>
      <c r="J274">
        <v>135187</v>
      </c>
      <c r="K274" t="s">
        <v>6842</v>
      </c>
      <c r="L274" s="1">
        <v>41274</v>
      </c>
      <c r="M274" t="s">
        <v>6843</v>
      </c>
      <c r="N274" t="s">
        <v>36</v>
      </c>
      <c r="O274" t="s">
        <v>36</v>
      </c>
      <c r="P274" t="s">
        <v>6726</v>
      </c>
      <c r="Q274" t="s">
        <v>39</v>
      </c>
      <c r="R274" t="s">
        <v>40</v>
      </c>
      <c r="S274">
        <v>0</v>
      </c>
      <c r="U274" t="s">
        <v>5550</v>
      </c>
      <c r="V274" t="s">
        <v>1797</v>
      </c>
      <c r="W274" t="s">
        <v>6727</v>
      </c>
      <c r="X274" t="s">
        <v>74</v>
      </c>
      <c r="Y274" t="b">
        <v>0</v>
      </c>
      <c r="Z274" t="b">
        <v>0</v>
      </c>
      <c r="AA274" t="b">
        <v>0</v>
      </c>
      <c r="AC274" s="1"/>
      <c r="AF274">
        <v>0</v>
      </c>
      <c r="AG274">
        <v>45</v>
      </c>
      <c r="AH274">
        <v>39</v>
      </c>
      <c r="AI274" s="2">
        <f>Table__192.168.3.138AgingReportBEWLGS[[#This Row],[NetAmount]]-Table__192.168.3.138AgingReportBEWLGS[[#This Row],[Paid]]</f>
        <v>135187</v>
      </c>
    </row>
    <row r="275" spans="1:35">
      <c r="A275" t="s">
        <v>6844</v>
      </c>
      <c r="B275" s="1">
        <v>41274</v>
      </c>
      <c r="C275" s="1">
        <v>41319</v>
      </c>
      <c r="D275" t="s">
        <v>6723</v>
      </c>
      <c r="E275">
        <v>67379</v>
      </c>
      <c r="F275">
        <v>5557</v>
      </c>
      <c r="G275">
        <v>0</v>
      </c>
      <c r="H275">
        <v>0</v>
      </c>
      <c r="I275">
        <v>-6</v>
      </c>
      <c r="J275">
        <v>72936</v>
      </c>
      <c r="K275" t="s">
        <v>6845</v>
      </c>
      <c r="L275" s="1">
        <v>41274</v>
      </c>
      <c r="M275" t="s">
        <v>6846</v>
      </c>
      <c r="N275" t="s">
        <v>36</v>
      </c>
      <c r="O275" t="s">
        <v>36</v>
      </c>
      <c r="P275" t="s">
        <v>6726</v>
      </c>
      <c r="Q275" t="s">
        <v>39</v>
      </c>
      <c r="R275" t="s">
        <v>40</v>
      </c>
      <c r="S275">
        <v>0</v>
      </c>
      <c r="U275" t="s">
        <v>5550</v>
      </c>
      <c r="V275" t="s">
        <v>1797</v>
      </c>
      <c r="W275" t="s">
        <v>6727</v>
      </c>
      <c r="X275" t="s">
        <v>74</v>
      </c>
      <c r="Y275" t="b">
        <v>0</v>
      </c>
      <c r="Z275" t="b">
        <v>0</v>
      </c>
      <c r="AA275" t="b">
        <v>0</v>
      </c>
      <c r="AC275" s="1"/>
      <c r="AF275">
        <v>0</v>
      </c>
      <c r="AG275">
        <v>45</v>
      </c>
      <c r="AH275">
        <v>39</v>
      </c>
      <c r="AI275" s="2">
        <f>Table__192.168.3.138AgingReportBEWLGS[[#This Row],[NetAmount]]-Table__192.168.3.138AgingReportBEWLGS[[#This Row],[Paid]]</f>
        <v>72936</v>
      </c>
    </row>
    <row r="276" spans="1:35">
      <c r="A276" t="s">
        <v>6847</v>
      </c>
      <c r="B276" s="1">
        <v>41274</v>
      </c>
      <c r="C276" s="1">
        <v>41319</v>
      </c>
      <c r="D276" t="s">
        <v>6723</v>
      </c>
      <c r="E276">
        <v>436138</v>
      </c>
      <c r="F276">
        <v>60508</v>
      </c>
      <c r="G276">
        <v>0</v>
      </c>
      <c r="H276">
        <v>0</v>
      </c>
      <c r="I276">
        <v>-6</v>
      </c>
      <c r="J276">
        <v>496646</v>
      </c>
      <c r="K276" t="s">
        <v>6848</v>
      </c>
      <c r="L276" s="1">
        <v>41274</v>
      </c>
      <c r="M276" t="s">
        <v>6849</v>
      </c>
      <c r="N276" t="s">
        <v>36</v>
      </c>
      <c r="O276" t="s">
        <v>36</v>
      </c>
      <c r="P276" t="s">
        <v>6726</v>
      </c>
      <c r="Q276" t="s">
        <v>39</v>
      </c>
      <c r="R276" t="s">
        <v>40</v>
      </c>
      <c r="S276">
        <v>0</v>
      </c>
      <c r="U276" t="s">
        <v>5550</v>
      </c>
      <c r="V276" t="s">
        <v>1797</v>
      </c>
      <c r="W276" t="s">
        <v>6727</v>
      </c>
      <c r="X276" t="s">
        <v>74</v>
      </c>
      <c r="Y276" t="b">
        <v>0</v>
      </c>
      <c r="Z276" t="b">
        <v>0</v>
      </c>
      <c r="AA276" t="b">
        <v>0</v>
      </c>
      <c r="AC276" s="1"/>
      <c r="AF276">
        <v>0</v>
      </c>
      <c r="AG276">
        <v>45</v>
      </c>
      <c r="AH276">
        <v>39</v>
      </c>
      <c r="AI276" s="2">
        <f>Table__192.168.3.138AgingReportBEWLGS[[#This Row],[NetAmount]]-Table__192.168.3.138AgingReportBEWLGS[[#This Row],[Paid]]</f>
        <v>496646</v>
      </c>
    </row>
    <row r="277" spans="1:35">
      <c r="A277" t="s">
        <v>6850</v>
      </c>
      <c r="B277" s="1">
        <v>41274</v>
      </c>
      <c r="C277" s="1">
        <v>41319</v>
      </c>
      <c r="D277" t="s">
        <v>6723</v>
      </c>
      <c r="E277">
        <v>37662</v>
      </c>
      <c r="F277">
        <v>1466</v>
      </c>
      <c r="G277">
        <v>0</v>
      </c>
      <c r="H277">
        <v>0</v>
      </c>
      <c r="I277">
        <v>-6</v>
      </c>
      <c r="J277">
        <v>39128</v>
      </c>
      <c r="K277" t="s">
        <v>6851</v>
      </c>
      <c r="L277" s="1">
        <v>41274</v>
      </c>
      <c r="M277" t="s">
        <v>6852</v>
      </c>
      <c r="N277" t="s">
        <v>36</v>
      </c>
      <c r="O277" t="s">
        <v>36</v>
      </c>
      <c r="P277" t="s">
        <v>6726</v>
      </c>
      <c r="Q277" t="s">
        <v>39</v>
      </c>
      <c r="R277" t="s">
        <v>40</v>
      </c>
      <c r="S277">
        <v>0</v>
      </c>
      <c r="U277" t="s">
        <v>5550</v>
      </c>
      <c r="V277" t="s">
        <v>1797</v>
      </c>
      <c r="W277" t="s">
        <v>6727</v>
      </c>
      <c r="X277" t="s">
        <v>74</v>
      </c>
      <c r="Y277" t="b">
        <v>0</v>
      </c>
      <c r="Z277" t="b">
        <v>0</v>
      </c>
      <c r="AA277" t="b">
        <v>0</v>
      </c>
      <c r="AC277" s="1"/>
      <c r="AF277">
        <v>0</v>
      </c>
      <c r="AG277">
        <v>45</v>
      </c>
      <c r="AH277">
        <v>39</v>
      </c>
      <c r="AI277" s="2">
        <f>Table__192.168.3.138AgingReportBEWLGS[[#This Row],[NetAmount]]-Table__192.168.3.138AgingReportBEWLGS[[#This Row],[Paid]]</f>
        <v>39128</v>
      </c>
    </row>
    <row r="278" spans="1:35">
      <c r="A278" t="s">
        <v>6853</v>
      </c>
      <c r="B278" s="1">
        <v>41274</v>
      </c>
      <c r="C278" s="1">
        <v>41319</v>
      </c>
      <c r="D278" t="s">
        <v>6155</v>
      </c>
      <c r="E278">
        <v>224485</v>
      </c>
      <c r="F278">
        <v>0</v>
      </c>
      <c r="G278">
        <v>0</v>
      </c>
      <c r="H278">
        <v>0</v>
      </c>
      <c r="I278">
        <v>-6</v>
      </c>
      <c r="J278">
        <v>224485</v>
      </c>
      <c r="K278" t="s">
        <v>6854</v>
      </c>
      <c r="L278" s="1">
        <v>41274</v>
      </c>
      <c r="N278" t="s">
        <v>36</v>
      </c>
      <c r="O278" t="s">
        <v>36</v>
      </c>
      <c r="P278" t="s">
        <v>6156</v>
      </c>
      <c r="Q278" t="s">
        <v>39</v>
      </c>
      <c r="R278" t="s">
        <v>40</v>
      </c>
      <c r="S278">
        <v>0</v>
      </c>
      <c r="U278" t="s">
        <v>5550</v>
      </c>
      <c r="V278" t="s">
        <v>1797</v>
      </c>
      <c r="X278" t="s">
        <v>74</v>
      </c>
      <c r="Y278" t="b">
        <v>0</v>
      </c>
      <c r="Z278" t="b">
        <v>0</v>
      </c>
      <c r="AC278" s="1"/>
      <c r="AF278">
        <v>0</v>
      </c>
      <c r="AG278">
        <v>45</v>
      </c>
      <c r="AH278">
        <v>39</v>
      </c>
      <c r="AI278" s="2">
        <f>Table__192.168.3.138AgingReportBEWLGS[[#This Row],[NetAmount]]-Table__192.168.3.138AgingReportBEWLGS[[#This Row],[Paid]]</f>
        <v>224485</v>
      </c>
    </row>
    <row r="279" spans="1:35">
      <c r="A279" t="s">
        <v>6855</v>
      </c>
      <c r="B279" s="1">
        <v>41298</v>
      </c>
      <c r="C279" s="1">
        <v>41343</v>
      </c>
      <c r="D279" t="s">
        <v>263</v>
      </c>
      <c r="E279">
        <v>15000</v>
      </c>
      <c r="F279">
        <v>0</v>
      </c>
      <c r="G279">
        <v>0</v>
      </c>
      <c r="H279">
        <v>0</v>
      </c>
      <c r="I279">
        <v>-18</v>
      </c>
      <c r="J279">
        <v>15000</v>
      </c>
      <c r="K279" t="s">
        <v>6856</v>
      </c>
      <c r="L279" s="1">
        <v>41286</v>
      </c>
      <c r="M279" t="s">
        <v>6857</v>
      </c>
      <c r="N279" t="s">
        <v>36</v>
      </c>
      <c r="O279" t="s">
        <v>36</v>
      </c>
      <c r="P279" t="s">
        <v>6858</v>
      </c>
      <c r="Q279" t="s">
        <v>39</v>
      </c>
      <c r="R279" t="s">
        <v>40</v>
      </c>
      <c r="S279">
        <v>0</v>
      </c>
      <c r="U279" t="s">
        <v>5550</v>
      </c>
      <c r="V279" t="s">
        <v>1797</v>
      </c>
      <c r="W279" t="s">
        <v>6859</v>
      </c>
      <c r="X279" t="s">
        <v>74</v>
      </c>
      <c r="Y279" t="b">
        <v>0</v>
      </c>
      <c r="Z279" t="b">
        <v>0</v>
      </c>
      <c r="AA279" t="b">
        <v>0</v>
      </c>
      <c r="AC279" s="1"/>
      <c r="AF279">
        <v>0</v>
      </c>
      <c r="AG279">
        <v>45</v>
      </c>
      <c r="AH279">
        <v>27</v>
      </c>
      <c r="AI279" s="2">
        <f>Table__192.168.3.138AgingReportBEWLGS[[#This Row],[NetAmount]]-Table__192.168.3.138AgingReportBEWLGS[[#This Row],[Paid]]</f>
        <v>15000</v>
      </c>
    </row>
    <row r="280" spans="1:35">
      <c r="A280" t="s">
        <v>6860</v>
      </c>
      <c r="B280" s="1">
        <v>41298</v>
      </c>
      <c r="C280" s="1">
        <v>41298</v>
      </c>
      <c r="D280" t="s">
        <v>6861</v>
      </c>
      <c r="E280">
        <v>20000</v>
      </c>
      <c r="F280">
        <v>0</v>
      </c>
      <c r="G280">
        <v>0</v>
      </c>
      <c r="H280">
        <v>0</v>
      </c>
      <c r="I280">
        <v>0</v>
      </c>
      <c r="J280">
        <v>20000</v>
      </c>
      <c r="K280" t="s">
        <v>6856</v>
      </c>
      <c r="L280" s="1">
        <v>41282</v>
      </c>
      <c r="M280" t="s">
        <v>6862</v>
      </c>
      <c r="N280" t="s">
        <v>36</v>
      </c>
      <c r="O280" t="s">
        <v>36</v>
      </c>
      <c r="P280" t="s">
        <v>6863</v>
      </c>
      <c r="Q280" t="s">
        <v>39</v>
      </c>
      <c r="R280" t="s">
        <v>40</v>
      </c>
      <c r="S280">
        <v>0</v>
      </c>
      <c r="U280" t="s">
        <v>5550</v>
      </c>
      <c r="V280" t="s">
        <v>1797</v>
      </c>
      <c r="W280" t="s">
        <v>6864</v>
      </c>
      <c r="X280" t="s">
        <v>74</v>
      </c>
      <c r="Y280" t="b">
        <v>0</v>
      </c>
      <c r="Z280" t="b">
        <v>0</v>
      </c>
      <c r="AA280" t="b">
        <v>0</v>
      </c>
      <c r="AC280" s="1"/>
      <c r="AF280">
        <v>0</v>
      </c>
      <c r="AH280">
        <v>31</v>
      </c>
      <c r="AI280" s="2">
        <f>Table__192.168.3.138AgingReportBEWLGS[[#This Row],[NetAmount]]-Table__192.168.3.138AgingReportBEWLGS[[#This Row],[Paid]]</f>
        <v>20000</v>
      </c>
    </row>
    <row r="281" spans="1:35">
      <c r="A281" t="s">
        <v>6865</v>
      </c>
      <c r="B281" s="1">
        <v>41298</v>
      </c>
      <c r="C281" s="1">
        <v>41343</v>
      </c>
      <c r="D281" t="s">
        <v>6866</v>
      </c>
      <c r="E281">
        <v>10000</v>
      </c>
      <c r="F281">
        <v>0</v>
      </c>
      <c r="G281">
        <v>0</v>
      </c>
      <c r="H281">
        <v>0</v>
      </c>
      <c r="I281">
        <v>-18</v>
      </c>
      <c r="J281">
        <v>10000</v>
      </c>
      <c r="K281" t="s">
        <v>6867</v>
      </c>
      <c r="L281" s="1">
        <v>41286</v>
      </c>
      <c r="N281" t="s">
        <v>36</v>
      </c>
      <c r="O281" t="s">
        <v>36</v>
      </c>
      <c r="P281" t="s">
        <v>6868</v>
      </c>
      <c r="Q281" t="s">
        <v>39</v>
      </c>
      <c r="R281" t="s">
        <v>40</v>
      </c>
      <c r="S281">
        <v>0</v>
      </c>
      <c r="U281" t="s">
        <v>5550</v>
      </c>
      <c r="V281" t="s">
        <v>1797</v>
      </c>
      <c r="X281" t="s">
        <v>74</v>
      </c>
      <c r="Y281" t="b">
        <v>0</v>
      </c>
      <c r="Z281" t="b">
        <v>0</v>
      </c>
      <c r="AC281" s="1"/>
      <c r="AF281">
        <v>0</v>
      </c>
      <c r="AG281">
        <v>45</v>
      </c>
      <c r="AH281">
        <v>27</v>
      </c>
      <c r="AI281" s="2">
        <f>Table__192.168.3.138AgingReportBEWLGS[[#This Row],[NetAmount]]-Table__192.168.3.138AgingReportBEWLGS[[#This Row],[Paid]]</f>
        <v>10000</v>
      </c>
    </row>
    <row r="282" spans="1:35">
      <c r="A282" t="s">
        <v>6869</v>
      </c>
      <c r="B282" s="1">
        <v>41305</v>
      </c>
      <c r="C282" s="1">
        <v>41350</v>
      </c>
      <c r="D282" t="s">
        <v>6870</v>
      </c>
      <c r="E282">
        <v>10350</v>
      </c>
      <c r="F282">
        <v>1656</v>
      </c>
      <c r="G282">
        <v>0</v>
      </c>
      <c r="H282">
        <v>0</v>
      </c>
      <c r="I282">
        <v>-25</v>
      </c>
      <c r="J282">
        <v>12006</v>
      </c>
      <c r="K282" t="s">
        <v>3535</v>
      </c>
      <c r="L282" s="1">
        <v>41293</v>
      </c>
      <c r="N282" t="s">
        <v>36</v>
      </c>
      <c r="O282" t="s">
        <v>36</v>
      </c>
      <c r="P282" t="s">
        <v>5534</v>
      </c>
      <c r="Q282" t="s">
        <v>5285</v>
      </c>
      <c r="R282" t="s">
        <v>5286</v>
      </c>
      <c r="S282">
        <v>0</v>
      </c>
      <c r="U282" t="s">
        <v>5550</v>
      </c>
      <c r="V282" t="s">
        <v>1797</v>
      </c>
      <c r="X282" t="s">
        <v>74</v>
      </c>
      <c r="Y282" t="b">
        <v>0</v>
      </c>
      <c r="Z282" t="b">
        <v>0</v>
      </c>
      <c r="AC282" s="1"/>
      <c r="AF282">
        <v>0</v>
      </c>
      <c r="AG282">
        <v>45</v>
      </c>
      <c r="AH282">
        <v>20</v>
      </c>
      <c r="AI282" s="2">
        <f>Table__192.168.3.138AgingReportBEWLGS[[#This Row],[NetAmount]]-Table__192.168.3.138AgingReportBEWLGS[[#This Row],[Paid]]</f>
        <v>12006</v>
      </c>
    </row>
    <row r="283" spans="1:35">
      <c r="A283" t="s">
        <v>6871</v>
      </c>
      <c r="B283" s="1">
        <v>41305</v>
      </c>
      <c r="C283" s="1">
        <v>41350</v>
      </c>
      <c r="D283" t="s">
        <v>6872</v>
      </c>
      <c r="E283">
        <v>21300</v>
      </c>
      <c r="F283">
        <v>0</v>
      </c>
      <c r="G283">
        <v>0</v>
      </c>
      <c r="H283">
        <v>0</v>
      </c>
      <c r="I283">
        <v>-16</v>
      </c>
      <c r="J283">
        <v>21300</v>
      </c>
      <c r="K283" t="s">
        <v>6873</v>
      </c>
      <c r="L283" s="1">
        <v>41284</v>
      </c>
      <c r="N283" t="s">
        <v>36</v>
      </c>
      <c r="O283" t="s">
        <v>36</v>
      </c>
      <c r="P283" t="s">
        <v>6874</v>
      </c>
      <c r="Q283" t="s">
        <v>5285</v>
      </c>
      <c r="R283" t="s">
        <v>5286</v>
      </c>
      <c r="S283">
        <v>0</v>
      </c>
      <c r="U283" t="s">
        <v>5550</v>
      </c>
      <c r="V283" t="s">
        <v>1797</v>
      </c>
      <c r="X283" t="s">
        <v>74</v>
      </c>
      <c r="Y283" t="b">
        <v>0</v>
      </c>
      <c r="Z283" t="b">
        <v>0</v>
      </c>
      <c r="AC283" s="1"/>
      <c r="AF283">
        <v>0</v>
      </c>
      <c r="AG283">
        <v>45</v>
      </c>
      <c r="AH283">
        <v>29</v>
      </c>
      <c r="AI283" s="2">
        <f>Table__192.168.3.138AgingReportBEWLGS[[#This Row],[NetAmount]]-Table__192.168.3.138AgingReportBEWLGS[[#This Row],[Paid]]</f>
        <v>21300</v>
      </c>
    </row>
    <row r="284" spans="1:35">
      <c r="A284" t="s">
        <v>6875</v>
      </c>
      <c r="B284" s="1">
        <v>41305</v>
      </c>
      <c r="C284" s="1">
        <v>41350</v>
      </c>
      <c r="D284" t="s">
        <v>6723</v>
      </c>
      <c r="E284">
        <v>313800</v>
      </c>
      <c r="F284">
        <v>0</v>
      </c>
      <c r="G284">
        <v>0</v>
      </c>
      <c r="H284">
        <v>0</v>
      </c>
      <c r="I284">
        <v>-7</v>
      </c>
      <c r="J284">
        <v>313800</v>
      </c>
      <c r="K284" t="s">
        <v>6876</v>
      </c>
      <c r="L284" s="1">
        <v>41275</v>
      </c>
      <c r="N284" t="s">
        <v>36</v>
      </c>
      <c r="O284" t="s">
        <v>36</v>
      </c>
      <c r="P284" t="s">
        <v>6726</v>
      </c>
      <c r="Q284" t="s">
        <v>5285</v>
      </c>
      <c r="R284" t="s">
        <v>5286</v>
      </c>
      <c r="S284">
        <v>0</v>
      </c>
      <c r="U284" t="s">
        <v>5550</v>
      </c>
      <c r="V284" t="s">
        <v>1797</v>
      </c>
      <c r="X284" t="s">
        <v>74</v>
      </c>
      <c r="Y284" t="b">
        <v>0</v>
      </c>
      <c r="Z284" t="b">
        <v>0</v>
      </c>
      <c r="AC284" s="1"/>
      <c r="AF284">
        <v>0</v>
      </c>
      <c r="AG284">
        <v>45</v>
      </c>
      <c r="AH284">
        <v>38</v>
      </c>
      <c r="AI284" s="2">
        <f>Table__192.168.3.138AgingReportBEWLGS[[#This Row],[NetAmount]]-Table__192.168.3.138AgingReportBEWLGS[[#This Row],[Paid]]</f>
        <v>313800</v>
      </c>
    </row>
    <row r="285" spans="1:35">
      <c r="A285" t="s">
        <v>6877</v>
      </c>
      <c r="B285" s="1">
        <v>41305</v>
      </c>
      <c r="C285" s="1">
        <v>41350</v>
      </c>
      <c r="D285" t="s">
        <v>6815</v>
      </c>
      <c r="E285">
        <v>13115</v>
      </c>
      <c r="F285">
        <v>2098</v>
      </c>
      <c r="G285">
        <v>0</v>
      </c>
      <c r="H285">
        <v>0</v>
      </c>
      <c r="I285">
        <v>-29</v>
      </c>
      <c r="J285">
        <v>15213</v>
      </c>
      <c r="K285" t="s">
        <v>6878</v>
      </c>
      <c r="L285" s="1">
        <v>41297</v>
      </c>
      <c r="N285" t="s">
        <v>36</v>
      </c>
      <c r="O285" t="s">
        <v>36</v>
      </c>
      <c r="P285" t="s">
        <v>6818</v>
      </c>
      <c r="Q285" t="s">
        <v>5285</v>
      </c>
      <c r="R285" t="s">
        <v>5286</v>
      </c>
      <c r="S285">
        <v>0</v>
      </c>
      <c r="U285" t="s">
        <v>5550</v>
      </c>
      <c r="V285" t="s">
        <v>1797</v>
      </c>
      <c r="X285" t="s">
        <v>74</v>
      </c>
      <c r="Y285" t="b">
        <v>0</v>
      </c>
      <c r="Z285" t="b">
        <v>0</v>
      </c>
      <c r="AC285" s="1"/>
      <c r="AF285">
        <v>0</v>
      </c>
      <c r="AG285">
        <v>45</v>
      </c>
      <c r="AH285">
        <v>16</v>
      </c>
      <c r="AI285" s="2">
        <f>Table__192.168.3.138AgingReportBEWLGS[[#This Row],[NetAmount]]-Table__192.168.3.138AgingReportBEWLGS[[#This Row],[Paid]]</f>
        <v>15213</v>
      </c>
    </row>
    <row r="286" spans="1:35">
      <c r="A286" t="s">
        <v>6879</v>
      </c>
      <c r="B286" s="1">
        <v>41307</v>
      </c>
      <c r="C286" s="1">
        <v>41352</v>
      </c>
      <c r="D286" t="s">
        <v>238</v>
      </c>
      <c r="E286">
        <v>335000</v>
      </c>
      <c r="F286">
        <v>0</v>
      </c>
      <c r="G286">
        <v>0</v>
      </c>
      <c r="H286">
        <v>0</v>
      </c>
      <c r="I286">
        <v>3</v>
      </c>
      <c r="J286">
        <v>335000</v>
      </c>
      <c r="K286" t="s">
        <v>6037</v>
      </c>
      <c r="L286" s="1">
        <v>41265</v>
      </c>
      <c r="N286" t="s">
        <v>36</v>
      </c>
      <c r="O286" t="s">
        <v>36</v>
      </c>
      <c r="P286" t="s">
        <v>6880</v>
      </c>
      <c r="Q286" t="s">
        <v>5285</v>
      </c>
      <c r="R286" t="s">
        <v>5286</v>
      </c>
      <c r="S286">
        <v>0</v>
      </c>
      <c r="U286" t="s">
        <v>5550</v>
      </c>
      <c r="V286" t="s">
        <v>1797</v>
      </c>
      <c r="X286" t="s">
        <v>74</v>
      </c>
      <c r="Y286" t="b">
        <v>0</v>
      </c>
      <c r="Z286" t="b">
        <v>0</v>
      </c>
      <c r="AC286" s="1"/>
      <c r="AF286">
        <v>0</v>
      </c>
      <c r="AG286">
        <v>45</v>
      </c>
      <c r="AH286">
        <v>48</v>
      </c>
      <c r="AI286" s="2">
        <f>Table__192.168.3.138AgingReportBEWLGS[[#This Row],[NetAmount]]-Table__192.168.3.138AgingReportBEWLGS[[#This Row],[Paid]]</f>
        <v>335000</v>
      </c>
    </row>
    <row r="287" spans="1:35">
      <c r="A287" t="s">
        <v>6881</v>
      </c>
      <c r="B287" s="1">
        <v>41305</v>
      </c>
      <c r="C287" s="1">
        <v>41350</v>
      </c>
      <c r="D287" t="s">
        <v>6815</v>
      </c>
      <c r="E287">
        <v>19574</v>
      </c>
      <c r="F287">
        <v>3132</v>
      </c>
      <c r="G287">
        <v>0</v>
      </c>
      <c r="H287">
        <v>0</v>
      </c>
      <c r="I287">
        <v>-37</v>
      </c>
      <c r="J287">
        <v>22706</v>
      </c>
      <c r="K287" t="s">
        <v>6882</v>
      </c>
      <c r="L287" s="1">
        <v>41305</v>
      </c>
      <c r="N287" t="s">
        <v>36</v>
      </c>
      <c r="O287" t="s">
        <v>36</v>
      </c>
      <c r="P287" t="s">
        <v>6818</v>
      </c>
      <c r="Q287" t="s">
        <v>5285</v>
      </c>
      <c r="R287" t="s">
        <v>5286</v>
      </c>
      <c r="S287">
        <v>0</v>
      </c>
      <c r="U287" t="s">
        <v>5550</v>
      </c>
      <c r="V287" t="s">
        <v>1797</v>
      </c>
      <c r="X287" t="s">
        <v>74</v>
      </c>
      <c r="Y287" t="b">
        <v>0</v>
      </c>
      <c r="Z287" t="b">
        <v>0</v>
      </c>
      <c r="AC287" s="1"/>
      <c r="AF287">
        <v>0</v>
      </c>
      <c r="AG287">
        <v>45</v>
      </c>
      <c r="AH287">
        <v>8</v>
      </c>
      <c r="AI287" s="2">
        <f>Table__192.168.3.138AgingReportBEWLGS[[#This Row],[NetAmount]]-Table__192.168.3.138AgingReportBEWLGS[[#This Row],[Paid]]</f>
        <v>22706</v>
      </c>
    </row>
    <row r="288" spans="1:35">
      <c r="A288" t="s">
        <v>6883</v>
      </c>
      <c r="B288" s="1">
        <v>41121</v>
      </c>
      <c r="C288" s="1">
        <v>41166</v>
      </c>
      <c r="D288" t="s">
        <v>6268</v>
      </c>
      <c r="E288">
        <v>32498</v>
      </c>
      <c r="F288">
        <v>4219</v>
      </c>
      <c r="G288">
        <v>0</v>
      </c>
      <c r="H288">
        <v>0</v>
      </c>
      <c r="I288">
        <v>169</v>
      </c>
      <c r="J288">
        <v>36717</v>
      </c>
      <c r="K288" t="s">
        <v>6884</v>
      </c>
      <c r="L288" s="1">
        <v>41099</v>
      </c>
      <c r="N288" t="s">
        <v>36</v>
      </c>
      <c r="O288" t="s">
        <v>36</v>
      </c>
      <c r="P288" t="s">
        <v>6270</v>
      </c>
      <c r="Q288" t="s">
        <v>39</v>
      </c>
      <c r="R288" t="s">
        <v>40</v>
      </c>
      <c r="S288">
        <v>0</v>
      </c>
      <c r="U288" t="s">
        <v>5550</v>
      </c>
      <c r="V288" t="s">
        <v>6047</v>
      </c>
      <c r="X288" t="s">
        <v>74</v>
      </c>
      <c r="Y288" t="b">
        <v>0</v>
      </c>
      <c r="Z288" t="b">
        <v>0</v>
      </c>
      <c r="AC288" s="1"/>
      <c r="AF288">
        <v>0</v>
      </c>
      <c r="AG288">
        <v>45</v>
      </c>
      <c r="AH288">
        <v>214</v>
      </c>
      <c r="AI288" s="2">
        <f>Table__192.168.3.138AgingReportBEWLGS[[#This Row],[NetAmount]]-Table__192.168.3.138AgingReportBEWLGS[[#This Row],[Paid]]</f>
        <v>36717</v>
      </c>
    </row>
    <row r="289" spans="1:35">
      <c r="A289" t="s">
        <v>6885</v>
      </c>
      <c r="B289" s="1">
        <v>41152</v>
      </c>
      <c r="C289" s="1">
        <v>41197</v>
      </c>
      <c r="D289" t="s">
        <v>6268</v>
      </c>
      <c r="E289">
        <v>250904</v>
      </c>
      <c r="F289">
        <v>33904</v>
      </c>
      <c r="G289">
        <v>0</v>
      </c>
      <c r="H289">
        <v>0</v>
      </c>
      <c r="I289">
        <v>139</v>
      </c>
      <c r="J289">
        <v>284808</v>
      </c>
      <c r="K289" t="s">
        <v>6886</v>
      </c>
      <c r="L289" s="1">
        <v>41129</v>
      </c>
      <c r="N289" t="s">
        <v>36</v>
      </c>
      <c r="O289" t="s">
        <v>36</v>
      </c>
      <c r="P289" t="s">
        <v>6270</v>
      </c>
      <c r="Q289" t="s">
        <v>39</v>
      </c>
      <c r="R289" t="s">
        <v>40</v>
      </c>
      <c r="S289">
        <v>0</v>
      </c>
      <c r="U289" t="s">
        <v>5550</v>
      </c>
      <c r="V289" t="s">
        <v>6047</v>
      </c>
      <c r="X289" t="s">
        <v>74</v>
      </c>
      <c r="Y289" t="b">
        <v>0</v>
      </c>
      <c r="Z289" t="b">
        <v>0</v>
      </c>
      <c r="AC289" s="1"/>
      <c r="AF289">
        <v>0</v>
      </c>
      <c r="AG289">
        <v>45</v>
      </c>
      <c r="AH289">
        <v>184</v>
      </c>
      <c r="AI289" s="2">
        <f>Table__192.168.3.138AgingReportBEWLGS[[#This Row],[NetAmount]]-Table__192.168.3.138AgingReportBEWLGS[[#This Row],[Paid]]</f>
        <v>284808</v>
      </c>
    </row>
    <row r="290" spans="1:35">
      <c r="A290" t="s">
        <v>6887</v>
      </c>
      <c r="B290" s="1">
        <v>41152</v>
      </c>
      <c r="C290" s="1">
        <v>41197</v>
      </c>
      <c r="D290" t="s">
        <v>6268</v>
      </c>
      <c r="E290">
        <v>252150</v>
      </c>
      <c r="F290">
        <v>34072</v>
      </c>
      <c r="G290">
        <v>0</v>
      </c>
      <c r="H290">
        <v>0</v>
      </c>
      <c r="I290">
        <v>139</v>
      </c>
      <c r="J290">
        <v>286222</v>
      </c>
      <c r="K290" t="s">
        <v>6888</v>
      </c>
      <c r="L290" s="1">
        <v>41129</v>
      </c>
      <c r="N290" t="s">
        <v>36</v>
      </c>
      <c r="O290" t="s">
        <v>36</v>
      </c>
      <c r="P290" t="s">
        <v>6270</v>
      </c>
      <c r="Q290" t="s">
        <v>39</v>
      </c>
      <c r="R290" t="s">
        <v>40</v>
      </c>
      <c r="S290">
        <v>0</v>
      </c>
      <c r="U290" t="s">
        <v>5550</v>
      </c>
      <c r="V290" t="s">
        <v>6047</v>
      </c>
      <c r="X290" t="s">
        <v>74</v>
      </c>
      <c r="Y290" t="b">
        <v>0</v>
      </c>
      <c r="Z290" t="b">
        <v>0</v>
      </c>
      <c r="AC290" s="1"/>
      <c r="AF290">
        <v>0</v>
      </c>
      <c r="AG290">
        <v>45</v>
      </c>
      <c r="AH290">
        <v>184</v>
      </c>
      <c r="AI290" s="2">
        <f>Table__192.168.3.138AgingReportBEWLGS[[#This Row],[NetAmount]]-Table__192.168.3.138AgingReportBEWLGS[[#This Row],[Paid]]</f>
        <v>286222</v>
      </c>
    </row>
    <row r="291" spans="1:35">
      <c r="A291" t="s">
        <v>6889</v>
      </c>
      <c r="B291" s="1">
        <v>41152</v>
      </c>
      <c r="C291" s="1">
        <v>41197</v>
      </c>
      <c r="D291" t="s">
        <v>6268</v>
      </c>
      <c r="E291">
        <v>106149</v>
      </c>
      <c r="F291">
        <v>14383</v>
      </c>
      <c r="G291">
        <v>0</v>
      </c>
      <c r="H291">
        <v>0</v>
      </c>
      <c r="I291">
        <v>139</v>
      </c>
      <c r="J291">
        <v>120532</v>
      </c>
      <c r="K291" t="s">
        <v>6890</v>
      </c>
      <c r="L291" s="1">
        <v>41129</v>
      </c>
      <c r="N291" t="s">
        <v>36</v>
      </c>
      <c r="O291" t="s">
        <v>36</v>
      </c>
      <c r="P291" t="s">
        <v>6270</v>
      </c>
      <c r="Q291" t="s">
        <v>39</v>
      </c>
      <c r="R291" t="s">
        <v>40</v>
      </c>
      <c r="S291">
        <v>0</v>
      </c>
      <c r="U291" t="s">
        <v>5550</v>
      </c>
      <c r="V291" t="s">
        <v>6047</v>
      </c>
      <c r="X291" t="s">
        <v>74</v>
      </c>
      <c r="Y291" t="b">
        <v>0</v>
      </c>
      <c r="Z291" t="b">
        <v>0</v>
      </c>
      <c r="AC291" s="1"/>
      <c r="AF291">
        <v>0</v>
      </c>
      <c r="AG291">
        <v>45</v>
      </c>
      <c r="AH291">
        <v>184</v>
      </c>
      <c r="AI291" s="2">
        <f>Table__192.168.3.138AgingReportBEWLGS[[#This Row],[NetAmount]]-Table__192.168.3.138AgingReportBEWLGS[[#This Row],[Paid]]</f>
        <v>120532</v>
      </c>
    </row>
    <row r="292" spans="1:35">
      <c r="A292" t="s">
        <v>6891</v>
      </c>
      <c r="B292" s="1">
        <v>41152</v>
      </c>
      <c r="C292" s="1">
        <v>41197</v>
      </c>
      <c r="D292" t="s">
        <v>6268</v>
      </c>
      <c r="E292">
        <v>11734</v>
      </c>
      <c r="F292">
        <v>1592</v>
      </c>
      <c r="G292">
        <v>0</v>
      </c>
      <c r="H292">
        <v>0</v>
      </c>
      <c r="I292">
        <v>139</v>
      </c>
      <c r="J292">
        <v>13326</v>
      </c>
      <c r="K292" t="s">
        <v>6892</v>
      </c>
      <c r="L292" s="1">
        <v>41129</v>
      </c>
      <c r="N292" t="s">
        <v>36</v>
      </c>
      <c r="O292" t="s">
        <v>36</v>
      </c>
      <c r="P292" t="s">
        <v>6270</v>
      </c>
      <c r="Q292" t="s">
        <v>39</v>
      </c>
      <c r="R292" t="s">
        <v>40</v>
      </c>
      <c r="S292">
        <v>0</v>
      </c>
      <c r="U292" t="s">
        <v>5550</v>
      </c>
      <c r="V292" t="s">
        <v>6047</v>
      </c>
      <c r="X292" t="s">
        <v>74</v>
      </c>
      <c r="Y292" t="b">
        <v>0</v>
      </c>
      <c r="Z292" t="b">
        <v>0</v>
      </c>
      <c r="AC292" s="1"/>
      <c r="AF292">
        <v>0</v>
      </c>
      <c r="AG292">
        <v>45</v>
      </c>
      <c r="AH292">
        <v>184</v>
      </c>
      <c r="AI292" s="2">
        <f>Table__192.168.3.138AgingReportBEWLGS[[#This Row],[NetAmount]]-Table__192.168.3.138AgingReportBEWLGS[[#This Row],[Paid]]</f>
        <v>13326</v>
      </c>
    </row>
    <row r="293" spans="1:35">
      <c r="A293" t="s">
        <v>6893</v>
      </c>
      <c r="B293" s="1">
        <v>41152</v>
      </c>
      <c r="C293" s="1">
        <v>41197</v>
      </c>
      <c r="D293" t="s">
        <v>6268</v>
      </c>
      <c r="E293">
        <v>11734</v>
      </c>
      <c r="F293">
        <v>1592</v>
      </c>
      <c r="G293">
        <v>0</v>
      </c>
      <c r="H293">
        <v>0</v>
      </c>
      <c r="I293">
        <v>139</v>
      </c>
      <c r="J293">
        <v>13326</v>
      </c>
      <c r="K293" t="s">
        <v>6894</v>
      </c>
      <c r="L293" s="1">
        <v>41129</v>
      </c>
      <c r="N293" t="s">
        <v>36</v>
      </c>
      <c r="O293" t="s">
        <v>36</v>
      </c>
      <c r="P293" t="s">
        <v>6270</v>
      </c>
      <c r="Q293" t="s">
        <v>39</v>
      </c>
      <c r="R293" t="s">
        <v>40</v>
      </c>
      <c r="S293">
        <v>0</v>
      </c>
      <c r="U293" t="s">
        <v>5550</v>
      </c>
      <c r="V293" t="s">
        <v>6047</v>
      </c>
      <c r="X293" t="s">
        <v>74</v>
      </c>
      <c r="Y293" t="b">
        <v>0</v>
      </c>
      <c r="Z293" t="b">
        <v>0</v>
      </c>
      <c r="AC293" s="1"/>
      <c r="AF293">
        <v>0</v>
      </c>
      <c r="AG293">
        <v>45</v>
      </c>
      <c r="AH293">
        <v>184</v>
      </c>
      <c r="AI293" s="2">
        <f>Table__192.168.3.138AgingReportBEWLGS[[#This Row],[NetAmount]]-Table__192.168.3.138AgingReportBEWLGS[[#This Row],[Paid]]</f>
        <v>13326</v>
      </c>
    </row>
    <row r="294" spans="1:35">
      <c r="A294" t="s">
        <v>6895</v>
      </c>
      <c r="B294" s="1">
        <v>41152</v>
      </c>
      <c r="C294" s="1">
        <v>41197</v>
      </c>
      <c r="D294" t="s">
        <v>6268</v>
      </c>
      <c r="E294">
        <v>11734</v>
      </c>
      <c r="F294">
        <v>1592</v>
      </c>
      <c r="G294">
        <v>0</v>
      </c>
      <c r="H294">
        <v>0</v>
      </c>
      <c r="I294">
        <v>139</v>
      </c>
      <c r="J294">
        <v>13326</v>
      </c>
      <c r="K294" t="s">
        <v>6896</v>
      </c>
      <c r="L294" s="1">
        <v>41129</v>
      </c>
      <c r="N294" t="s">
        <v>36</v>
      </c>
      <c r="O294" t="s">
        <v>36</v>
      </c>
      <c r="P294" t="s">
        <v>6270</v>
      </c>
      <c r="Q294" t="s">
        <v>39</v>
      </c>
      <c r="R294" t="s">
        <v>40</v>
      </c>
      <c r="S294">
        <v>0</v>
      </c>
      <c r="U294" t="s">
        <v>5550</v>
      </c>
      <c r="V294" t="s">
        <v>6047</v>
      </c>
      <c r="X294" t="s">
        <v>74</v>
      </c>
      <c r="Y294" t="b">
        <v>0</v>
      </c>
      <c r="Z294" t="b">
        <v>0</v>
      </c>
      <c r="AC294" s="1"/>
      <c r="AF294">
        <v>0</v>
      </c>
      <c r="AG294">
        <v>45</v>
      </c>
      <c r="AH294">
        <v>184</v>
      </c>
      <c r="AI294" s="2">
        <f>Table__192.168.3.138AgingReportBEWLGS[[#This Row],[NetAmount]]-Table__192.168.3.138AgingReportBEWLGS[[#This Row],[Paid]]</f>
        <v>13326</v>
      </c>
    </row>
    <row r="295" spans="1:35">
      <c r="A295" t="s">
        <v>6897</v>
      </c>
      <c r="B295" s="1">
        <v>41152</v>
      </c>
      <c r="C295" s="1">
        <v>41197</v>
      </c>
      <c r="D295" t="s">
        <v>6268</v>
      </c>
      <c r="E295">
        <v>169113</v>
      </c>
      <c r="F295">
        <v>22874</v>
      </c>
      <c r="G295">
        <v>0</v>
      </c>
      <c r="H295">
        <v>0</v>
      </c>
      <c r="I295">
        <v>139</v>
      </c>
      <c r="J295">
        <v>191987</v>
      </c>
      <c r="K295" t="s">
        <v>6898</v>
      </c>
      <c r="L295" s="1">
        <v>41129</v>
      </c>
      <c r="N295" t="s">
        <v>36</v>
      </c>
      <c r="O295" t="s">
        <v>36</v>
      </c>
      <c r="P295" t="s">
        <v>6270</v>
      </c>
      <c r="Q295" t="s">
        <v>39</v>
      </c>
      <c r="R295" t="s">
        <v>40</v>
      </c>
      <c r="S295">
        <v>0</v>
      </c>
      <c r="U295" t="s">
        <v>5550</v>
      </c>
      <c r="V295" t="s">
        <v>6047</v>
      </c>
      <c r="X295" t="s">
        <v>74</v>
      </c>
      <c r="Y295" t="b">
        <v>0</v>
      </c>
      <c r="Z295" t="b">
        <v>0</v>
      </c>
      <c r="AC295" s="1"/>
      <c r="AF295">
        <v>0</v>
      </c>
      <c r="AG295">
        <v>45</v>
      </c>
      <c r="AH295">
        <v>184</v>
      </c>
      <c r="AI295" s="2">
        <f>Table__192.168.3.138AgingReportBEWLGS[[#This Row],[NetAmount]]-Table__192.168.3.138AgingReportBEWLGS[[#This Row],[Paid]]</f>
        <v>191987</v>
      </c>
    </row>
    <row r="296" spans="1:35">
      <c r="A296" t="s">
        <v>6899</v>
      </c>
      <c r="B296" s="1">
        <v>41152</v>
      </c>
      <c r="C296" s="1">
        <v>41197</v>
      </c>
      <c r="D296" t="s">
        <v>6268</v>
      </c>
      <c r="E296">
        <v>12233</v>
      </c>
      <c r="F296">
        <v>1659</v>
      </c>
      <c r="G296">
        <v>0</v>
      </c>
      <c r="H296">
        <v>0</v>
      </c>
      <c r="I296">
        <v>139</v>
      </c>
      <c r="J296">
        <v>13892</v>
      </c>
      <c r="K296" t="s">
        <v>6900</v>
      </c>
      <c r="L296" s="1">
        <v>41129</v>
      </c>
      <c r="N296" t="s">
        <v>36</v>
      </c>
      <c r="O296" t="s">
        <v>36</v>
      </c>
      <c r="P296" t="s">
        <v>6270</v>
      </c>
      <c r="Q296" t="s">
        <v>39</v>
      </c>
      <c r="R296" t="s">
        <v>40</v>
      </c>
      <c r="S296">
        <v>0</v>
      </c>
      <c r="U296" t="s">
        <v>5550</v>
      </c>
      <c r="V296" t="s">
        <v>6047</v>
      </c>
      <c r="X296" t="s">
        <v>74</v>
      </c>
      <c r="Y296" t="b">
        <v>0</v>
      </c>
      <c r="Z296" t="b">
        <v>0</v>
      </c>
      <c r="AC296" s="1"/>
      <c r="AF296">
        <v>0</v>
      </c>
      <c r="AG296">
        <v>45</v>
      </c>
      <c r="AH296">
        <v>184</v>
      </c>
      <c r="AI296" s="2">
        <f>Table__192.168.3.138AgingReportBEWLGS[[#This Row],[NetAmount]]-Table__192.168.3.138AgingReportBEWLGS[[#This Row],[Paid]]</f>
        <v>13892</v>
      </c>
    </row>
    <row r="297" spans="1:35">
      <c r="A297" t="s">
        <v>6901</v>
      </c>
      <c r="B297" s="1">
        <v>41152</v>
      </c>
      <c r="C297" s="1">
        <v>41197</v>
      </c>
      <c r="D297" t="s">
        <v>6268</v>
      </c>
      <c r="E297">
        <v>53259</v>
      </c>
      <c r="F297">
        <v>7231</v>
      </c>
      <c r="G297">
        <v>0</v>
      </c>
      <c r="H297">
        <v>0</v>
      </c>
      <c r="I297">
        <v>139</v>
      </c>
      <c r="J297">
        <v>60490</v>
      </c>
      <c r="K297" t="s">
        <v>6902</v>
      </c>
      <c r="L297" s="1">
        <v>41129</v>
      </c>
      <c r="N297" t="s">
        <v>36</v>
      </c>
      <c r="O297" t="s">
        <v>36</v>
      </c>
      <c r="P297" t="s">
        <v>6270</v>
      </c>
      <c r="Q297" t="s">
        <v>39</v>
      </c>
      <c r="R297" t="s">
        <v>40</v>
      </c>
      <c r="S297">
        <v>0</v>
      </c>
      <c r="U297" t="s">
        <v>5550</v>
      </c>
      <c r="V297" t="s">
        <v>6047</v>
      </c>
      <c r="X297" t="s">
        <v>74</v>
      </c>
      <c r="Y297" t="b">
        <v>0</v>
      </c>
      <c r="Z297" t="b">
        <v>0</v>
      </c>
      <c r="AC297" s="1"/>
      <c r="AF297">
        <v>0</v>
      </c>
      <c r="AG297">
        <v>45</v>
      </c>
      <c r="AH297">
        <v>184</v>
      </c>
      <c r="AI297" s="2">
        <f>Table__192.168.3.138AgingReportBEWLGS[[#This Row],[NetAmount]]-Table__192.168.3.138AgingReportBEWLGS[[#This Row],[Paid]]</f>
        <v>60490</v>
      </c>
    </row>
    <row r="298" spans="1:35">
      <c r="A298" t="s">
        <v>6903</v>
      </c>
      <c r="B298" s="1">
        <v>41152</v>
      </c>
      <c r="C298" s="1">
        <v>41197</v>
      </c>
      <c r="D298" t="s">
        <v>6268</v>
      </c>
      <c r="E298">
        <v>20148</v>
      </c>
      <c r="F298">
        <v>2734</v>
      </c>
      <c r="G298">
        <v>0</v>
      </c>
      <c r="H298">
        <v>0</v>
      </c>
      <c r="I298">
        <v>139</v>
      </c>
      <c r="J298">
        <v>22882</v>
      </c>
      <c r="K298" t="s">
        <v>6904</v>
      </c>
      <c r="L298" s="1">
        <v>41129</v>
      </c>
      <c r="N298" t="s">
        <v>36</v>
      </c>
      <c r="O298" t="s">
        <v>36</v>
      </c>
      <c r="P298" t="s">
        <v>6270</v>
      </c>
      <c r="Q298" t="s">
        <v>39</v>
      </c>
      <c r="R298" t="s">
        <v>40</v>
      </c>
      <c r="S298">
        <v>0</v>
      </c>
      <c r="U298" t="s">
        <v>5550</v>
      </c>
      <c r="V298" t="s">
        <v>6047</v>
      </c>
      <c r="X298" t="s">
        <v>74</v>
      </c>
      <c r="Y298" t="b">
        <v>0</v>
      </c>
      <c r="Z298" t="b">
        <v>0</v>
      </c>
      <c r="AC298" s="1"/>
      <c r="AF298">
        <v>0</v>
      </c>
      <c r="AG298">
        <v>45</v>
      </c>
      <c r="AH298">
        <v>184</v>
      </c>
      <c r="AI298" s="2">
        <f>Table__192.168.3.138AgingReportBEWLGS[[#This Row],[NetAmount]]-Table__192.168.3.138AgingReportBEWLGS[[#This Row],[Paid]]</f>
        <v>22882</v>
      </c>
    </row>
    <row r="299" spans="1:35">
      <c r="A299" t="s">
        <v>6905</v>
      </c>
      <c r="B299" s="1">
        <v>41152</v>
      </c>
      <c r="C299" s="1">
        <v>41197</v>
      </c>
      <c r="D299" t="s">
        <v>6268</v>
      </c>
      <c r="E299">
        <v>232179</v>
      </c>
      <c r="F299">
        <v>36778</v>
      </c>
      <c r="G299">
        <v>0</v>
      </c>
      <c r="H299">
        <v>0</v>
      </c>
      <c r="I299">
        <v>139</v>
      </c>
      <c r="J299">
        <v>268957</v>
      </c>
      <c r="K299" t="s">
        <v>6906</v>
      </c>
      <c r="L299" s="1">
        <v>41129</v>
      </c>
      <c r="N299" t="s">
        <v>36</v>
      </c>
      <c r="O299" t="s">
        <v>36</v>
      </c>
      <c r="P299" t="s">
        <v>6270</v>
      </c>
      <c r="Q299" t="s">
        <v>39</v>
      </c>
      <c r="R299" t="s">
        <v>40</v>
      </c>
      <c r="S299">
        <v>0</v>
      </c>
      <c r="U299" t="s">
        <v>5550</v>
      </c>
      <c r="V299" t="s">
        <v>6047</v>
      </c>
      <c r="X299" t="s">
        <v>74</v>
      </c>
      <c r="Y299" t="b">
        <v>0</v>
      </c>
      <c r="Z299" t="b">
        <v>0</v>
      </c>
      <c r="AC299" s="1"/>
      <c r="AF299">
        <v>0</v>
      </c>
      <c r="AG299">
        <v>45</v>
      </c>
      <c r="AH299">
        <v>184</v>
      </c>
      <c r="AI299" s="2">
        <f>Table__192.168.3.138AgingReportBEWLGS[[#This Row],[NetAmount]]-Table__192.168.3.138AgingReportBEWLGS[[#This Row],[Paid]]</f>
        <v>268957</v>
      </c>
    </row>
    <row r="300" spans="1:35">
      <c r="A300" t="s">
        <v>6907</v>
      </c>
      <c r="B300" s="1">
        <v>41152</v>
      </c>
      <c r="C300" s="1">
        <v>41197</v>
      </c>
      <c r="D300" t="s">
        <v>6268</v>
      </c>
      <c r="E300">
        <v>18760</v>
      </c>
      <c r="F300">
        <v>2969</v>
      </c>
      <c r="G300">
        <v>0</v>
      </c>
      <c r="H300">
        <v>0</v>
      </c>
      <c r="I300">
        <v>139</v>
      </c>
      <c r="J300">
        <v>21729</v>
      </c>
      <c r="K300" t="s">
        <v>6906</v>
      </c>
      <c r="L300" s="1">
        <v>41129</v>
      </c>
      <c r="N300" t="s">
        <v>36</v>
      </c>
      <c r="O300" t="s">
        <v>36</v>
      </c>
      <c r="P300" t="s">
        <v>6270</v>
      </c>
      <c r="Q300" t="s">
        <v>39</v>
      </c>
      <c r="R300" t="s">
        <v>40</v>
      </c>
      <c r="S300">
        <v>0</v>
      </c>
      <c r="U300" t="s">
        <v>5550</v>
      </c>
      <c r="V300" t="s">
        <v>6047</v>
      </c>
      <c r="X300" t="s">
        <v>74</v>
      </c>
      <c r="Y300" t="b">
        <v>0</v>
      </c>
      <c r="Z300" t="b">
        <v>0</v>
      </c>
      <c r="AC300" s="1"/>
      <c r="AF300">
        <v>0</v>
      </c>
      <c r="AG300">
        <v>45</v>
      </c>
      <c r="AH300">
        <v>184</v>
      </c>
      <c r="AI300" s="2">
        <f>Table__192.168.3.138AgingReportBEWLGS[[#This Row],[NetAmount]]-Table__192.168.3.138AgingReportBEWLGS[[#This Row],[Paid]]</f>
        <v>21729</v>
      </c>
    </row>
    <row r="301" spans="1:35">
      <c r="A301" t="s">
        <v>6908</v>
      </c>
      <c r="B301" s="1">
        <v>41152</v>
      </c>
      <c r="C301" s="1">
        <v>41197</v>
      </c>
      <c r="D301" t="s">
        <v>6268</v>
      </c>
      <c r="E301">
        <v>4896</v>
      </c>
      <c r="F301">
        <v>641</v>
      </c>
      <c r="G301">
        <v>0</v>
      </c>
      <c r="H301">
        <v>0</v>
      </c>
      <c r="I301">
        <v>122</v>
      </c>
      <c r="J301">
        <v>5537</v>
      </c>
      <c r="K301" t="s">
        <v>6909</v>
      </c>
      <c r="L301" s="1">
        <v>41146</v>
      </c>
      <c r="N301" t="s">
        <v>36</v>
      </c>
      <c r="O301" t="s">
        <v>36</v>
      </c>
      <c r="P301" t="s">
        <v>6270</v>
      </c>
      <c r="Q301" t="s">
        <v>39</v>
      </c>
      <c r="R301" t="s">
        <v>40</v>
      </c>
      <c r="S301">
        <v>0</v>
      </c>
      <c r="U301" t="s">
        <v>5550</v>
      </c>
      <c r="V301" t="s">
        <v>6047</v>
      </c>
      <c r="X301" t="s">
        <v>74</v>
      </c>
      <c r="Y301" t="b">
        <v>0</v>
      </c>
      <c r="Z301" t="b">
        <v>0</v>
      </c>
      <c r="AC301" s="1"/>
      <c r="AF301">
        <v>0</v>
      </c>
      <c r="AG301">
        <v>45</v>
      </c>
      <c r="AH301">
        <v>167</v>
      </c>
      <c r="AI301" s="2">
        <f>Table__192.168.3.138AgingReportBEWLGS[[#This Row],[NetAmount]]-Table__192.168.3.138AgingReportBEWLGS[[#This Row],[Paid]]</f>
        <v>5537</v>
      </c>
    </row>
    <row r="302" spans="1:35">
      <c r="A302" t="s">
        <v>6910</v>
      </c>
      <c r="B302" s="1">
        <v>41152</v>
      </c>
      <c r="C302" s="1">
        <v>41197</v>
      </c>
      <c r="D302" t="s">
        <v>6268</v>
      </c>
      <c r="E302">
        <v>19596</v>
      </c>
      <c r="F302">
        <v>2951</v>
      </c>
      <c r="G302">
        <v>0</v>
      </c>
      <c r="H302">
        <v>0</v>
      </c>
      <c r="I302">
        <v>141</v>
      </c>
      <c r="J302">
        <v>22547</v>
      </c>
      <c r="K302" t="s">
        <v>6911</v>
      </c>
      <c r="L302" s="1">
        <v>41127</v>
      </c>
      <c r="N302" t="s">
        <v>36</v>
      </c>
      <c r="O302" t="s">
        <v>36</v>
      </c>
      <c r="P302" t="s">
        <v>6270</v>
      </c>
      <c r="Q302" t="s">
        <v>39</v>
      </c>
      <c r="R302" t="s">
        <v>40</v>
      </c>
      <c r="S302">
        <v>0</v>
      </c>
      <c r="U302" t="s">
        <v>5550</v>
      </c>
      <c r="V302" t="s">
        <v>6047</v>
      </c>
      <c r="X302" t="s">
        <v>74</v>
      </c>
      <c r="Y302" t="b">
        <v>0</v>
      </c>
      <c r="Z302" t="b">
        <v>0</v>
      </c>
      <c r="AC302" s="1"/>
      <c r="AF302">
        <v>0</v>
      </c>
      <c r="AG302">
        <v>45</v>
      </c>
      <c r="AH302">
        <v>186</v>
      </c>
      <c r="AI302" s="2">
        <f>Table__192.168.3.138AgingReportBEWLGS[[#This Row],[NetAmount]]-Table__192.168.3.138AgingReportBEWLGS[[#This Row],[Paid]]</f>
        <v>22547</v>
      </c>
    </row>
    <row r="303" spans="1:35">
      <c r="A303" t="s">
        <v>6912</v>
      </c>
      <c r="B303" s="1">
        <v>41152</v>
      </c>
      <c r="C303" s="1">
        <v>41197</v>
      </c>
      <c r="D303" t="s">
        <v>6268</v>
      </c>
      <c r="E303">
        <v>85908</v>
      </c>
      <c r="F303">
        <v>12948</v>
      </c>
      <c r="G303">
        <v>0</v>
      </c>
      <c r="H303">
        <v>0</v>
      </c>
      <c r="I303">
        <v>144</v>
      </c>
      <c r="J303">
        <v>98856</v>
      </c>
      <c r="K303" t="s">
        <v>6913</v>
      </c>
      <c r="L303" s="1">
        <v>41124</v>
      </c>
      <c r="N303" t="s">
        <v>36</v>
      </c>
      <c r="O303" t="s">
        <v>36</v>
      </c>
      <c r="P303" t="s">
        <v>6270</v>
      </c>
      <c r="Q303" t="s">
        <v>39</v>
      </c>
      <c r="R303" t="s">
        <v>40</v>
      </c>
      <c r="S303">
        <v>0</v>
      </c>
      <c r="U303" t="s">
        <v>5550</v>
      </c>
      <c r="V303" t="s">
        <v>6047</v>
      </c>
      <c r="X303" t="s">
        <v>74</v>
      </c>
      <c r="Y303" t="b">
        <v>0</v>
      </c>
      <c r="Z303" t="b">
        <v>0</v>
      </c>
      <c r="AC303" s="1"/>
      <c r="AF303">
        <v>0</v>
      </c>
      <c r="AG303">
        <v>45</v>
      </c>
      <c r="AH303">
        <v>189</v>
      </c>
      <c r="AI303" s="2">
        <f>Table__192.168.3.138AgingReportBEWLGS[[#This Row],[NetAmount]]-Table__192.168.3.138AgingReportBEWLGS[[#This Row],[Paid]]</f>
        <v>98856</v>
      </c>
    </row>
    <row r="304" spans="1:35">
      <c r="A304" t="s">
        <v>6914</v>
      </c>
      <c r="B304" s="1">
        <v>41152</v>
      </c>
      <c r="C304" s="1">
        <v>41197</v>
      </c>
      <c r="D304" t="s">
        <v>6268</v>
      </c>
      <c r="E304">
        <v>338635</v>
      </c>
      <c r="F304">
        <v>50997</v>
      </c>
      <c r="G304">
        <v>0</v>
      </c>
      <c r="H304">
        <v>0</v>
      </c>
      <c r="I304">
        <v>144</v>
      </c>
      <c r="J304">
        <v>389632</v>
      </c>
      <c r="K304" t="s">
        <v>6915</v>
      </c>
      <c r="L304" s="1">
        <v>41124</v>
      </c>
      <c r="N304" t="s">
        <v>36</v>
      </c>
      <c r="O304" t="s">
        <v>36</v>
      </c>
      <c r="P304" t="s">
        <v>6270</v>
      </c>
      <c r="Q304" t="s">
        <v>39</v>
      </c>
      <c r="R304" t="s">
        <v>40</v>
      </c>
      <c r="S304">
        <v>0</v>
      </c>
      <c r="U304" t="s">
        <v>5550</v>
      </c>
      <c r="V304" t="s">
        <v>6047</v>
      </c>
      <c r="X304" t="s">
        <v>74</v>
      </c>
      <c r="Y304" t="b">
        <v>0</v>
      </c>
      <c r="Z304" t="b">
        <v>0</v>
      </c>
      <c r="AC304" s="1"/>
      <c r="AF304">
        <v>0</v>
      </c>
      <c r="AG304">
        <v>45</v>
      </c>
      <c r="AH304">
        <v>189</v>
      </c>
      <c r="AI304" s="2">
        <f>Table__192.168.3.138AgingReportBEWLGS[[#This Row],[NetAmount]]-Table__192.168.3.138AgingReportBEWLGS[[#This Row],[Paid]]</f>
        <v>389632</v>
      </c>
    </row>
    <row r="305" spans="1:35">
      <c r="A305" t="s">
        <v>6916</v>
      </c>
      <c r="B305" s="1">
        <v>41181</v>
      </c>
      <c r="C305" s="1">
        <v>41226</v>
      </c>
      <c r="D305" t="s">
        <v>6268</v>
      </c>
      <c r="E305">
        <v>38564</v>
      </c>
      <c r="F305">
        <v>5001</v>
      </c>
      <c r="G305">
        <v>0</v>
      </c>
      <c r="H305">
        <v>0</v>
      </c>
      <c r="I305">
        <v>109</v>
      </c>
      <c r="J305">
        <v>43565</v>
      </c>
      <c r="K305" t="s">
        <v>6917</v>
      </c>
      <c r="L305" s="1">
        <v>41159</v>
      </c>
      <c r="N305" t="s">
        <v>36</v>
      </c>
      <c r="O305" t="s">
        <v>36</v>
      </c>
      <c r="P305" t="s">
        <v>6270</v>
      </c>
      <c r="Q305" t="s">
        <v>39</v>
      </c>
      <c r="R305" t="s">
        <v>40</v>
      </c>
      <c r="S305">
        <v>0</v>
      </c>
      <c r="U305" t="s">
        <v>5550</v>
      </c>
      <c r="V305" t="s">
        <v>6047</v>
      </c>
      <c r="X305" t="s">
        <v>74</v>
      </c>
      <c r="Y305" t="b">
        <v>0</v>
      </c>
      <c r="Z305" t="b">
        <v>0</v>
      </c>
      <c r="AC305" s="1"/>
      <c r="AF305">
        <v>0</v>
      </c>
      <c r="AG305">
        <v>45</v>
      </c>
      <c r="AH305">
        <v>154</v>
      </c>
      <c r="AI305" s="2">
        <f>Table__192.168.3.138AgingReportBEWLGS[[#This Row],[NetAmount]]-Table__192.168.3.138AgingReportBEWLGS[[#This Row],[Paid]]</f>
        <v>43565</v>
      </c>
    </row>
    <row r="306" spans="1:35">
      <c r="A306" t="s">
        <v>6918</v>
      </c>
      <c r="B306" s="1">
        <v>41181</v>
      </c>
      <c r="C306" s="1">
        <v>41226</v>
      </c>
      <c r="D306" t="s">
        <v>6268</v>
      </c>
      <c r="E306">
        <v>7486</v>
      </c>
      <c r="F306">
        <v>1127</v>
      </c>
      <c r="G306">
        <v>0</v>
      </c>
      <c r="H306">
        <v>0</v>
      </c>
      <c r="I306">
        <v>92</v>
      </c>
      <c r="J306">
        <v>8613</v>
      </c>
      <c r="K306" t="s">
        <v>6919</v>
      </c>
      <c r="L306" s="1">
        <v>41176</v>
      </c>
      <c r="N306" t="s">
        <v>36</v>
      </c>
      <c r="O306" t="s">
        <v>36</v>
      </c>
      <c r="P306" t="s">
        <v>6270</v>
      </c>
      <c r="Q306" t="s">
        <v>39</v>
      </c>
      <c r="R306" t="s">
        <v>40</v>
      </c>
      <c r="S306">
        <v>0</v>
      </c>
      <c r="U306" t="s">
        <v>5550</v>
      </c>
      <c r="V306" t="s">
        <v>6047</v>
      </c>
      <c r="X306" t="s">
        <v>74</v>
      </c>
      <c r="Y306" t="b">
        <v>0</v>
      </c>
      <c r="Z306" t="b">
        <v>0</v>
      </c>
      <c r="AC306" s="1"/>
      <c r="AF306">
        <v>0</v>
      </c>
      <c r="AG306">
        <v>45</v>
      </c>
      <c r="AH306">
        <v>137</v>
      </c>
      <c r="AI306" s="2">
        <f>Table__192.168.3.138AgingReportBEWLGS[[#This Row],[NetAmount]]-Table__192.168.3.138AgingReportBEWLGS[[#This Row],[Paid]]</f>
        <v>8613</v>
      </c>
    </row>
    <row r="307" spans="1:35">
      <c r="A307" t="s">
        <v>6920</v>
      </c>
      <c r="B307" s="1">
        <v>41213</v>
      </c>
      <c r="C307" s="1">
        <v>41258</v>
      </c>
      <c r="D307" t="s">
        <v>6268</v>
      </c>
      <c r="E307">
        <v>16508</v>
      </c>
      <c r="F307">
        <v>2145</v>
      </c>
      <c r="G307">
        <v>0</v>
      </c>
      <c r="H307">
        <v>0</v>
      </c>
      <c r="I307">
        <v>70</v>
      </c>
      <c r="J307">
        <v>18653</v>
      </c>
      <c r="K307" t="s">
        <v>6921</v>
      </c>
      <c r="L307" s="1">
        <v>41198</v>
      </c>
      <c r="N307" t="s">
        <v>36</v>
      </c>
      <c r="O307" t="s">
        <v>36</v>
      </c>
      <c r="P307" t="s">
        <v>6270</v>
      </c>
      <c r="Q307" t="s">
        <v>39</v>
      </c>
      <c r="R307" t="s">
        <v>40</v>
      </c>
      <c r="S307">
        <v>0</v>
      </c>
      <c r="U307" t="s">
        <v>5550</v>
      </c>
      <c r="V307" t="s">
        <v>6047</v>
      </c>
      <c r="X307" t="s">
        <v>74</v>
      </c>
      <c r="Y307" t="b">
        <v>0</v>
      </c>
      <c r="Z307" t="b">
        <v>0</v>
      </c>
      <c r="AC307" s="1"/>
      <c r="AF307">
        <v>0</v>
      </c>
      <c r="AG307">
        <v>45</v>
      </c>
      <c r="AH307">
        <v>115</v>
      </c>
      <c r="AI307" s="2">
        <f>Table__192.168.3.138AgingReportBEWLGS[[#This Row],[NetAmount]]-Table__192.168.3.138AgingReportBEWLGS[[#This Row],[Paid]]</f>
        <v>18653</v>
      </c>
    </row>
    <row r="308" spans="1:35">
      <c r="A308" t="s">
        <v>6922</v>
      </c>
      <c r="B308" s="1">
        <v>41213</v>
      </c>
      <c r="C308" s="1">
        <v>41258</v>
      </c>
      <c r="D308" t="s">
        <v>6268</v>
      </c>
      <c r="E308">
        <v>4140</v>
      </c>
      <c r="F308">
        <v>562</v>
      </c>
      <c r="G308">
        <v>0</v>
      </c>
      <c r="H308">
        <v>0</v>
      </c>
      <c r="I308">
        <v>102</v>
      </c>
      <c r="J308">
        <v>4702</v>
      </c>
      <c r="K308" t="s">
        <v>6923</v>
      </c>
      <c r="L308" s="1">
        <v>41166</v>
      </c>
      <c r="N308" t="s">
        <v>36</v>
      </c>
      <c r="O308" t="s">
        <v>36</v>
      </c>
      <c r="P308" t="s">
        <v>6270</v>
      </c>
      <c r="Q308" t="s">
        <v>39</v>
      </c>
      <c r="R308" t="s">
        <v>40</v>
      </c>
      <c r="S308">
        <v>0</v>
      </c>
      <c r="U308" t="s">
        <v>5550</v>
      </c>
      <c r="V308" t="s">
        <v>6047</v>
      </c>
      <c r="X308" t="s">
        <v>74</v>
      </c>
      <c r="Y308" t="b">
        <v>0</v>
      </c>
      <c r="Z308" t="b">
        <v>0</v>
      </c>
      <c r="AC308" s="1"/>
      <c r="AF308">
        <v>0</v>
      </c>
      <c r="AG308">
        <v>45</v>
      </c>
      <c r="AH308">
        <v>147</v>
      </c>
      <c r="AI308" s="2">
        <f>Table__192.168.3.138AgingReportBEWLGS[[#This Row],[NetAmount]]-Table__192.168.3.138AgingReportBEWLGS[[#This Row],[Paid]]</f>
        <v>4702</v>
      </c>
    </row>
    <row r="309" spans="1:35">
      <c r="A309" t="s">
        <v>6924</v>
      </c>
      <c r="B309" s="1">
        <v>41213</v>
      </c>
      <c r="C309" s="1">
        <v>41258</v>
      </c>
      <c r="D309" t="s">
        <v>6268</v>
      </c>
      <c r="E309">
        <v>4140</v>
      </c>
      <c r="F309">
        <v>562</v>
      </c>
      <c r="G309">
        <v>0</v>
      </c>
      <c r="H309">
        <v>0</v>
      </c>
      <c r="I309">
        <v>102</v>
      </c>
      <c r="J309">
        <v>4702</v>
      </c>
      <c r="K309" t="s">
        <v>6925</v>
      </c>
      <c r="L309" s="1">
        <v>41166</v>
      </c>
      <c r="N309" t="s">
        <v>36</v>
      </c>
      <c r="O309" t="s">
        <v>36</v>
      </c>
      <c r="P309" t="s">
        <v>6270</v>
      </c>
      <c r="Q309" t="s">
        <v>39</v>
      </c>
      <c r="R309" t="s">
        <v>40</v>
      </c>
      <c r="S309">
        <v>0</v>
      </c>
      <c r="U309" t="s">
        <v>5550</v>
      </c>
      <c r="V309" t="s">
        <v>6047</v>
      </c>
      <c r="X309" t="s">
        <v>74</v>
      </c>
      <c r="Y309" t="b">
        <v>0</v>
      </c>
      <c r="Z309" t="b">
        <v>0</v>
      </c>
      <c r="AC309" s="1"/>
      <c r="AF309">
        <v>0</v>
      </c>
      <c r="AG309">
        <v>45</v>
      </c>
      <c r="AH309">
        <v>147</v>
      </c>
      <c r="AI309" s="2">
        <f>Table__192.168.3.138AgingReportBEWLGS[[#This Row],[NetAmount]]-Table__192.168.3.138AgingReportBEWLGS[[#This Row],[Paid]]</f>
        <v>4702</v>
      </c>
    </row>
    <row r="310" spans="1:35">
      <c r="A310" t="s">
        <v>6926</v>
      </c>
      <c r="B310" s="1">
        <v>41243</v>
      </c>
      <c r="C310" s="1">
        <v>41288</v>
      </c>
      <c r="D310" t="s">
        <v>6268</v>
      </c>
      <c r="E310">
        <v>18165</v>
      </c>
      <c r="F310">
        <v>2360</v>
      </c>
      <c r="G310">
        <v>0</v>
      </c>
      <c r="H310">
        <v>0</v>
      </c>
      <c r="I310">
        <v>49</v>
      </c>
      <c r="J310">
        <v>20525</v>
      </c>
      <c r="K310" t="s">
        <v>6927</v>
      </c>
      <c r="L310" s="1">
        <v>41219</v>
      </c>
      <c r="N310" t="s">
        <v>36</v>
      </c>
      <c r="O310" t="s">
        <v>36</v>
      </c>
      <c r="P310" t="s">
        <v>6270</v>
      </c>
      <c r="Q310" t="s">
        <v>39</v>
      </c>
      <c r="R310" t="s">
        <v>40</v>
      </c>
      <c r="S310">
        <v>0</v>
      </c>
      <c r="U310" t="s">
        <v>5550</v>
      </c>
      <c r="V310" t="s">
        <v>6047</v>
      </c>
      <c r="X310" t="s">
        <v>74</v>
      </c>
      <c r="Y310" t="b">
        <v>0</v>
      </c>
      <c r="Z310" t="b">
        <v>0</v>
      </c>
      <c r="AC310" s="1"/>
      <c r="AF310">
        <v>0</v>
      </c>
      <c r="AG310">
        <v>45</v>
      </c>
      <c r="AH310">
        <v>94</v>
      </c>
      <c r="AI310" s="2">
        <f>Table__192.168.3.138AgingReportBEWLGS[[#This Row],[NetAmount]]-Table__192.168.3.138AgingReportBEWLGS[[#This Row],[Paid]]</f>
        <v>20525</v>
      </c>
    </row>
    <row r="311" spans="1:35">
      <c r="A311" t="s">
        <v>6928</v>
      </c>
      <c r="B311" s="1">
        <v>41243</v>
      </c>
      <c r="C311" s="1">
        <v>41288</v>
      </c>
      <c r="D311" t="s">
        <v>6268</v>
      </c>
      <c r="E311">
        <v>14519</v>
      </c>
      <c r="F311">
        <v>2186</v>
      </c>
      <c r="G311">
        <v>0</v>
      </c>
      <c r="H311">
        <v>0</v>
      </c>
      <c r="I311">
        <v>26</v>
      </c>
      <c r="J311">
        <v>16705</v>
      </c>
      <c r="K311" t="s">
        <v>6929</v>
      </c>
      <c r="L311" s="1">
        <v>41242</v>
      </c>
      <c r="N311" t="s">
        <v>36</v>
      </c>
      <c r="O311" t="s">
        <v>36</v>
      </c>
      <c r="P311" t="s">
        <v>6270</v>
      </c>
      <c r="Q311" t="s">
        <v>39</v>
      </c>
      <c r="R311" t="s">
        <v>40</v>
      </c>
      <c r="S311">
        <v>0</v>
      </c>
      <c r="U311" t="s">
        <v>5550</v>
      </c>
      <c r="V311" t="s">
        <v>6047</v>
      </c>
      <c r="X311" t="s">
        <v>74</v>
      </c>
      <c r="Y311" t="b">
        <v>0</v>
      </c>
      <c r="Z311" t="b">
        <v>0</v>
      </c>
      <c r="AC311" s="1"/>
      <c r="AF311">
        <v>0</v>
      </c>
      <c r="AG311">
        <v>45</v>
      </c>
      <c r="AH311">
        <v>71</v>
      </c>
      <c r="AI311" s="2">
        <f>Table__192.168.3.138AgingReportBEWLGS[[#This Row],[NetAmount]]-Table__192.168.3.138AgingReportBEWLGS[[#This Row],[Paid]]</f>
        <v>16705</v>
      </c>
    </row>
    <row r="312" spans="1:35">
      <c r="A312" t="s">
        <v>6930</v>
      </c>
      <c r="B312" s="1">
        <v>41243</v>
      </c>
      <c r="C312" s="1">
        <v>41288</v>
      </c>
      <c r="D312" t="s">
        <v>6268</v>
      </c>
      <c r="E312">
        <v>35199</v>
      </c>
      <c r="F312">
        <v>5576</v>
      </c>
      <c r="G312">
        <v>0</v>
      </c>
      <c r="H312">
        <v>0</v>
      </c>
      <c r="I312">
        <v>39</v>
      </c>
      <c r="J312">
        <v>40775</v>
      </c>
      <c r="K312" t="s">
        <v>6931</v>
      </c>
      <c r="L312" s="1">
        <v>41229</v>
      </c>
      <c r="N312" t="s">
        <v>36</v>
      </c>
      <c r="O312" t="s">
        <v>36</v>
      </c>
      <c r="P312" t="s">
        <v>6270</v>
      </c>
      <c r="Q312" t="s">
        <v>39</v>
      </c>
      <c r="R312" t="s">
        <v>40</v>
      </c>
      <c r="S312">
        <v>0</v>
      </c>
      <c r="U312" t="s">
        <v>5550</v>
      </c>
      <c r="V312" t="s">
        <v>6047</v>
      </c>
      <c r="X312" t="s">
        <v>74</v>
      </c>
      <c r="Y312" t="b">
        <v>0</v>
      </c>
      <c r="Z312" t="b">
        <v>0</v>
      </c>
      <c r="AC312" s="1"/>
      <c r="AF312">
        <v>0</v>
      </c>
      <c r="AG312">
        <v>45</v>
      </c>
      <c r="AH312">
        <v>84</v>
      </c>
      <c r="AI312" s="2">
        <f>Table__192.168.3.138AgingReportBEWLGS[[#This Row],[NetAmount]]-Table__192.168.3.138AgingReportBEWLGS[[#This Row],[Paid]]</f>
        <v>40775</v>
      </c>
    </row>
    <row r="313" spans="1:35">
      <c r="A313" t="s">
        <v>6932</v>
      </c>
      <c r="B313" s="1">
        <v>41274</v>
      </c>
      <c r="C313" s="1">
        <v>41319</v>
      </c>
      <c r="D313" t="s">
        <v>6268</v>
      </c>
      <c r="E313">
        <v>1920</v>
      </c>
      <c r="F313">
        <v>252</v>
      </c>
      <c r="G313">
        <v>0</v>
      </c>
      <c r="H313">
        <v>0</v>
      </c>
      <c r="I313">
        <v>14</v>
      </c>
      <c r="J313">
        <v>2172</v>
      </c>
      <c r="K313" t="s">
        <v>6933</v>
      </c>
      <c r="L313" s="1">
        <v>41254</v>
      </c>
      <c r="N313" t="s">
        <v>36</v>
      </c>
      <c r="O313" t="s">
        <v>36</v>
      </c>
      <c r="P313" t="s">
        <v>6270</v>
      </c>
      <c r="Q313" t="s">
        <v>39</v>
      </c>
      <c r="R313" t="s">
        <v>40</v>
      </c>
      <c r="S313">
        <v>0</v>
      </c>
      <c r="U313" t="s">
        <v>5550</v>
      </c>
      <c r="V313" t="s">
        <v>6047</v>
      </c>
      <c r="X313" t="s">
        <v>74</v>
      </c>
      <c r="Y313" t="b">
        <v>0</v>
      </c>
      <c r="Z313" t="b">
        <v>0</v>
      </c>
      <c r="AC313" s="1"/>
      <c r="AF313">
        <v>0</v>
      </c>
      <c r="AG313">
        <v>45</v>
      </c>
      <c r="AH313">
        <v>59</v>
      </c>
      <c r="AI313" s="2">
        <f>Table__192.168.3.138AgingReportBEWLGS[[#This Row],[NetAmount]]-Table__192.168.3.138AgingReportBEWLGS[[#This Row],[Paid]]</f>
        <v>2172</v>
      </c>
    </row>
    <row r="314" spans="1:35">
      <c r="A314" t="s">
        <v>6934</v>
      </c>
      <c r="B314" s="1">
        <v>41274</v>
      </c>
      <c r="C314" s="1">
        <v>41319</v>
      </c>
      <c r="D314" t="s">
        <v>6268</v>
      </c>
      <c r="E314">
        <v>7186</v>
      </c>
      <c r="F314">
        <v>931</v>
      </c>
      <c r="G314">
        <v>0</v>
      </c>
      <c r="H314">
        <v>0</v>
      </c>
      <c r="I314">
        <v>12</v>
      </c>
      <c r="J314">
        <v>8117</v>
      </c>
      <c r="K314" t="s">
        <v>6935</v>
      </c>
      <c r="L314" s="1">
        <v>41256</v>
      </c>
      <c r="N314" t="s">
        <v>36</v>
      </c>
      <c r="O314" t="s">
        <v>36</v>
      </c>
      <c r="P314" t="s">
        <v>6270</v>
      </c>
      <c r="Q314" t="s">
        <v>39</v>
      </c>
      <c r="R314" t="s">
        <v>40</v>
      </c>
      <c r="S314">
        <v>0</v>
      </c>
      <c r="U314" t="s">
        <v>5550</v>
      </c>
      <c r="V314" t="s">
        <v>6047</v>
      </c>
      <c r="X314" t="s">
        <v>74</v>
      </c>
      <c r="Y314" t="b">
        <v>0</v>
      </c>
      <c r="Z314" t="b">
        <v>0</v>
      </c>
      <c r="AC314" s="1"/>
      <c r="AF314">
        <v>0</v>
      </c>
      <c r="AG314">
        <v>45</v>
      </c>
      <c r="AH314">
        <v>57</v>
      </c>
      <c r="AI314" s="2">
        <f>Table__192.168.3.138AgingReportBEWLGS[[#This Row],[NetAmount]]-Table__192.168.3.138AgingReportBEWLGS[[#This Row],[Paid]]</f>
        <v>8117</v>
      </c>
    </row>
    <row r="315" spans="1:35">
      <c r="A315" t="s">
        <v>6936</v>
      </c>
      <c r="B315" s="1">
        <v>41274</v>
      </c>
      <c r="C315" s="1">
        <v>41319</v>
      </c>
      <c r="D315" t="s">
        <v>6268</v>
      </c>
      <c r="E315">
        <v>3920</v>
      </c>
      <c r="F315">
        <v>588</v>
      </c>
      <c r="G315">
        <v>0</v>
      </c>
      <c r="H315">
        <v>0</v>
      </c>
      <c r="I315">
        <v>12</v>
      </c>
      <c r="J315">
        <v>4508</v>
      </c>
      <c r="K315" t="s">
        <v>6937</v>
      </c>
      <c r="L315" s="1">
        <v>41256</v>
      </c>
      <c r="N315" t="s">
        <v>36</v>
      </c>
      <c r="O315" t="s">
        <v>36</v>
      </c>
      <c r="P315" t="s">
        <v>6270</v>
      </c>
      <c r="Q315" t="s">
        <v>39</v>
      </c>
      <c r="R315" t="s">
        <v>40</v>
      </c>
      <c r="S315">
        <v>0</v>
      </c>
      <c r="U315" t="s">
        <v>5550</v>
      </c>
      <c r="V315" t="s">
        <v>6047</v>
      </c>
      <c r="X315" t="s">
        <v>74</v>
      </c>
      <c r="Y315" t="b">
        <v>0</v>
      </c>
      <c r="Z315" t="b">
        <v>0</v>
      </c>
      <c r="AC315" s="1"/>
      <c r="AF315">
        <v>0</v>
      </c>
      <c r="AG315">
        <v>45</v>
      </c>
      <c r="AH315">
        <v>57</v>
      </c>
      <c r="AI315" s="2">
        <f>Table__192.168.3.138AgingReportBEWLGS[[#This Row],[NetAmount]]-Table__192.168.3.138AgingReportBEWLGS[[#This Row],[Paid]]</f>
        <v>4508</v>
      </c>
    </row>
    <row r="316" spans="1:35">
      <c r="A316" t="s">
        <v>6938</v>
      </c>
      <c r="B316" s="1">
        <v>41267</v>
      </c>
      <c r="C316" s="1">
        <v>41312</v>
      </c>
      <c r="D316" t="s">
        <v>6939</v>
      </c>
      <c r="E316">
        <v>19600</v>
      </c>
      <c r="F316">
        <v>0</v>
      </c>
      <c r="G316">
        <v>0</v>
      </c>
      <c r="H316">
        <v>0</v>
      </c>
      <c r="I316">
        <v>1</v>
      </c>
      <c r="J316">
        <v>19600</v>
      </c>
      <c r="K316" t="s">
        <v>6940</v>
      </c>
      <c r="L316" s="1">
        <v>41267</v>
      </c>
      <c r="M316" t="s">
        <v>6941</v>
      </c>
      <c r="N316" t="s">
        <v>36</v>
      </c>
      <c r="O316" t="s">
        <v>36</v>
      </c>
      <c r="P316" t="s">
        <v>6942</v>
      </c>
      <c r="Q316" t="s">
        <v>39</v>
      </c>
      <c r="R316" t="s">
        <v>40</v>
      </c>
      <c r="S316">
        <v>0</v>
      </c>
      <c r="U316" t="s">
        <v>5550</v>
      </c>
      <c r="V316" t="s">
        <v>6047</v>
      </c>
      <c r="W316" t="s">
        <v>6943</v>
      </c>
      <c r="X316" t="s">
        <v>74</v>
      </c>
      <c r="Y316" t="b">
        <v>0</v>
      </c>
      <c r="Z316" t="b">
        <v>0</v>
      </c>
      <c r="AA316" t="b">
        <v>0</v>
      </c>
      <c r="AC316" s="1"/>
      <c r="AF316">
        <v>0</v>
      </c>
      <c r="AG316">
        <v>45</v>
      </c>
      <c r="AH316">
        <v>46</v>
      </c>
      <c r="AI316" s="2">
        <f>Table__192.168.3.138AgingReportBEWLGS[[#This Row],[NetAmount]]-Table__192.168.3.138AgingReportBEWLGS[[#This Row],[Paid]]</f>
        <v>19600</v>
      </c>
    </row>
    <row r="317" spans="1:35">
      <c r="A317" t="s">
        <v>6944</v>
      </c>
      <c r="B317" s="1">
        <v>41300</v>
      </c>
      <c r="C317" s="1">
        <v>41300</v>
      </c>
      <c r="D317" t="s">
        <v>266</v>
      </c>
      <c r="E317">
        <v>157580</v>
      </c>
      <c r="F317">
        <v>24960</v>
      </c>
      <c r="G317">
        <v>0</v>
      </c>
      <c r="H317">
        <v>0</v>
      </c>
      <c r="I317">
        <v>0</v>
      </c>
      <c r="J317">
        <v>182540</v>
      </c>
      <c r="K317" t="s">
        <v>6945</v>
      </c>
      <c r="L317" s="1">
        <v>41292</v>
      </c>
      <c r="N317" t="s">
        <v>36</v>
      </c>
      <c r="O317" t="s">
        <v>36</v>
      </c>
      <c r="P317" t="s">
        <v>6946</v>
      </c>
      <c r="Q317" t="s">
        <v>39</v>
      </c>
      <c r="R317" t="s">
        <v>40</v>
      </c>
      <c r="S317">
        <v>0</v>
      </c>
      <c r="U317" t="s">
        <v>5550</v>
      </c>
      <c r="V317" t="s">
        <v>6047</v>
      </c>
      <c r="X317" t="s">
        <v>74</v>
      </c>
      <c r="Y317" t="b">
        <v>0</v>
      </c>
      <c r="Z317" t="b">
        <v>0</v>
      </c>
      <c r="AC317" s="1"/>
      <c r="AF317">
        <v>0</v>
      </c>
      <c r="AH317">
        <v>21</v>
      </c>
      <c r="AI317" s="2">
        <f>Table__192.168.3.138AgingReportBEWLGS[[#This Row],[NetAmount]]-Table__192.168.3.138AgingReportBEWLGS[[#This Row],[Paid]]</f>
        <v>182540</v>
      </c>
    </row>
    <row r="318" spans="1:35">
      <c r="A318" t="s">
        <v>6947</v>
      </c>
      <c r="B318" s="1">
        <v>41305</v>
      </c>
      <c r="C318" s="1">
        <v>41350</v>
      </c>
      <c r="D318" t="s">
        <v>6268</v>
      </c>
      <c r="E318">
        <v>51059</v>
      </c>
      <c r="F318">
        <v>6621</v>
      </c>
      <c r="G318">
        <v>0</v>
      </c>
      <c r="H318">
        <v>0</v>
      </c>
      <c r="I318">
        <v>-6</v>
      </c>
      <c r="J318">
        <v>57680</v>
      </c>
      <c r="K318" t="s">
        <v>6948</v>
      </c>
      <c r="L318" s="1">
        <v>41274</v>
      </c>
      <c r="N318" t="s">
        <v>36</v>
      </c>
      <c r="O318" t="s">
        <v>36</v>
      </c>
      <c r="P318" t="s">
        <v>6270</v>
      </c>
      <c r="Q318" t="s">
        <v>5285</v>
      </c>
      <c r="R318" t="s">
        <v>5286</v>
      </c>
      <c r="S318">
        <v>0</v>
      </c>
      <c r="U318" t="s">
        <v>5550</v>
      </c>
      <c r="V318" t="s">
        <v>6047</v>
      </c>
      <c r="X318" t="s">
        <v>74</v>
      </c>
      <c r="Y318" t="b">
        <v>0</v>
      </c>
      <c r="Z318" t="b">
        <v>0</v>
      </c>
      <c r="AC318" s="1"/>
      <c r="AF318">
        <v>0</v>
      </c>
      <c r="AG318">
        <v>45</v>
      </c>
      <c r="AH318">
        <v>39</v>
      </c>
      <c r="AI318" s="2">
        <f>Table__192.168.3.138AgingReportBEWLGS[[#This Row],[NetAmount]]-Table__192.168.3.138AgingReportBEWLGS[[#This Row],[Paid]]</f>
        <v>57680</v>
      </c>
    </row>
    <row r="319" spans="1:35">
      <c r="A319" t="s">
        <v>6949</v>
      </c>
      <c r="B319" s="1">
        <v>41305</v>
      </c>
      <c r="C319" s="1">
        <v>41350</v>
      </c>
      <c r="D319" t="s">
        <v>6268</v>
      </c>
      <c r="E319">
        <v>1485</v>
      </c>
      <c r="F319">
        <v>222</v>
      </c>
      <c r="G319">
        <v>0</v>
      </c>
      <c r="H319">
        <v>0</v>
      </c>
      <c r="I319">
        <v>-32</v>
      </c>
      <c r="J319">
        <v>1707</v>
      </c>
      <c r="K319" t="s">
        <v>6950</v>
      </c>
      <c r="L319" s="1">
        <v>41300</v>
      </c>
      <c r="N319" t="s">
        <v>36</v>
      </c>
      <c r="O319" t="s">
        <v>36</v>
      </c>
      <c r="P319" t="s">
        <v>6270</v>
      </c>
      <c r="Q319" t="s">
        <v>5285</v>
      </c>
      <c r="R319" t="s">
        <v>5286</v>
      </c>
      <c r="S319">
        <v>0</v>
      </c>
      <c r="U319" t="s">
        <v>5550</v>
      </c>
      <c r="V319" t="s">
        <v>6047</v>
      </c>
      <c r="X319" t="s">
        <v>74</v>
      </c>
      <c r="Y319" t="b">
        <v>0</v>
      </c>
      <c r="Z319" t="b">
        <v>0</v>
      </c>
      <c r="AC319" s="1"/>
      <c r="AF319">
        <v>0</v>
      </c>
      <c r="AG319">
        <v>45</v>
      </c>
      <c r="AH319">
        <v>13</v>
      </c>
      <c r="AI319" s="2">
        <f>Table__192.168.3.138AgingReportBEWLGS[[#This Row],[NetAmount]]-Table__192.168.3.138AgingReportBEWLGS[[#This Row],[Paid]]</f>
        <v>1707</v>
      </c>
    </row>
    <row r="320" spans="1:35">
      <c r="A320" t="s">
        <v>6951</v>
      </c>
      <c r="B320" s="1">
        <v>41107</v>
      </c>
      <c r="C320" s="1">
        <v>41152</v>
      </c>
      <c r="D320" t="s">
        <v>6278</v>
      </c>
      <c r="E320">
        <v>906</v>
      </c>
      <c r="F320">
        <v>174</v>
      </c>
      <c r="G320">
        <v>0</v>
      </c>
      <c r="H320">
        <v>0</v>
      </c>
      <c r="I320">
        <v>159</v>
      </c>
      <c r="J320">
        <v>1080</v>
      </c>
      <c r="K320" t="s">
        <v>5695</v>
      </c>
      <c r="L320" s="1">
        <v>41109</v>
      </c>
      <c r="N320" t="s">
        <v>36</v>
      </c>
      <c r="O320" t="s">
        <v>6047</v>
      </c>
      <c r="P320" t="s">
        <v>6280</v>
      </c>
      <c r="Q320" t="s">
        <v>39</v>
      </c>
      <c r="R320" t="s">
        <v>40</v>
      </c>
      <c r="S320">
        <v>0</v>
      </c>
      <c r="U320" t="s">
        <v>5550</v>
      </c>
      <c r="V320" t="s">
        <v>1797</v>
      </c>
      <c r="X320" t="s">
        <v>74</v>
      </c>
      <c r="Y320" t="b">
        <v>0</v>
      </c>
      <c r="Z320" t="b">
        <v>0</v>
      </c>
      <c r="AC320" s="1"/>
      <c r="AF320">
        <v>0</v>
      </c>
      <c r="AG320">
        <v>45</v>
      </c>
      <c r="AH320">
        <v>204</v>
      </c>
      <c r="AI320" s="2">
        <f>Table__192.168.3.138AgingReportBEWLGS[[#This Row],[NetAmount]]-Table__192.168.3.138AgingReportBEWLGS[[#This Row],[Paid]]</f>
        <v>1080</v>
      </c>
    </row>
    <row r="321" spans="1:35">
      <c r="A321" t="s">
        <v>6952</v>
      </c>
      <c r="B321" s="1">
        <v>41121</v>
      </c>
      <c r="C321" s="1">
        <v>41166</v>
      </c>
      <c r="D321" t="s">
        <v>6290</v>
      </c>
      <c r="E321">
        <v>237800</v>
      </c>
      <c r="F321">
        <v>0</v>
      </c>
      <c r="G321">
        <v>0</v>
      </c>
      <c r="H321">
        <v>0</v>
      </c>
      <c r="I321">
        <v>147</v>
      </c>
      <c r="J321">
        <v>258300</v>
      </c>
      <c r="K321" t="s">
        <v>5695</v>
      </c>
      <c r="L321" s="1">
        <v>41121</v>
      </c>
      <c r="N321" t="s">
        <v>36</v>
      </c>
      <c r="O321" t="s">
        <v>6047</v>
      </c>
      <c r="P321" t="s">
        <v>6291</v>
      </c>
      <c r="Q321" t="s">
        <v>39</v>
      </c>
      <c r="R321" t="s">
        <v>40</v>
      </c>
      <c r="S321">
        <v>0</v>
      </c>
      <c r="U321" t="s">
        <v>5550</v>
      </c>
      <c r="V321" t="s">
        <v>1797</v>
      </c>
      <c r="X321" t="s">
        <v>74</v>
      </c>
      <c r="Y321" t="b">
        <v>0</v>
      </c>
      <c r="Z321" t="b">
        <v>0</v>
      </c>
      <c r="AC321" s="1"/>
      <c r="AF321">
        <v>0</v>
      </c>
      <c r="AG321">
        <v>45</v>
      </c>
      <c r="AH321">
        <v>192</v>
      </c>
      <c r="AI321" s="2">
        <f>Table__192.168.3.138AgingReportBEWLGS[[#This Row],[NetAmount]]-Table__192.168.3.138AgingReportBEWLGS[[#This Row],[Paid]]</f>
        <v>258300</v>
      </c>
    </row>
    <row r="322" spans="1:35">
      <c r="A322" t="s">
        <v>6953</v>
      </c>
      <c r="B322" s="1">
        <v>41121</v>
      </c>
      <c r="C322" s="1">
        <v>41166</v>
      </c>
      <c r="D322" t="s">
        <v>221</v>
      </c>
      <c r="E322">
        <v>26000</v>
      </c>
      <c r="F322">
        <v>0</v>
      </c>
      <c r="G322">
        <v>0</v>
      </c>
      <c r="H322">
        <v>0</v>
      </c>
      <c r="I322">
        <v>177</v>
      </c>
      <c r="J322">
        <v>26000</v>
      </c>
      <c r="K322" t="s">
        <v>5695</v>
      </c>
      <c r="L322" s="1">
        <v>41091</v>
      </c>
      <c r="M322" t="s">
        <v>6954</v>
      </c>
      <c r="N322" t="s">
        <v>36</v>
      </c>
      <c r="O322" t="s">
        <v>6047</v>
      </c>
      <c r="P322" t="s">
        <v>5512</v>
      </c>
      <c r="Q322" t="s">
        <v>39</v>
      </c>
      <c r="R322" t="s">
        <v>40</v>
      </c>
      <c r="S322">
        <v>0</v>
      </c>
      <c r="U322" t="s">
        <v>5550</v>
      </c>
      <c r="V322" t="s">
        <v>1797</v>
      </c>
      <c r="W322" t="s">
        <v>6146</v>
      </c>
      <c r="X322" t="s">
        <v>74</v>
      </c>
      <c r="Y322" t="b">
        <v>0</v>
      </c>
      <c r="Z322" t="b">
        <v>0</v>
      </c>
      <c r="AA322" t="b">
        <v>0</v>
      </c>
      <c r="AC322" s="1"/>
      <c r="AF322">
        <v>0</v>
      </c>
      <c r="AG322">
        <v>45</v>
      </c>
      <c r="AH322">
        <v>222</v>
      </c>
      <c r="AI322" s="2">
        <f>Table__192.168.3.138AgingReportBEWLGS[[#This Row],[NetAmount]]-Table__192.168.3.138AgingReportBEWLGS[[#This Row],[Paid]]</f>
        <v>26000</v>
      </c>
    </row>
    <row r="323" spans="1:35">
      <c r="A323" t="s">
        <v>6955</v>
      </c>
      <c r="B323" s="1">
        <v>41138</v>
      </c>
      <c r="C323" s="1">
        <v>41183</v>
      </c>
      <c r="D323" t="s">
        <v>6278</v>
      </c>
      <c r="E323">
        <v>895</v>
      </c>
      <c r="F323">
        <v>175</v>
      </c>
      <c r="G323">
        <v>0</v>
      </c>
      <c r="H323">
        <v>0</v>
      </c>
      <c r="I323">
        <v>116</v>
      </c>
      <c r="J323">
        <v>1070</v>
      </c>
      <c r="K323" t="s">
        <v>5979</v>
      </c>
      <c r="L323" s="1">
        <v>41152</v>
      </c>
      <c r="N323" t="s">
        <v>36</v>
      </c>
      <c r="O323" t="s">
        <v>6047</v>
      </c>
      <c r="P323" t="s">
        <v>6280</v>
      </c>
      <c r="Q323" t="s">
        <v>39</v>
      </c>
      <c r="R323" t="s">
        <v>40</v>
      </c>
      <c r="S323">
        <v>0</v>
      </c>
      <c r="U323" t="s">
        <v>5550</v>
      </c>
      <c r="V323" t="s">
        <v>1797</v>
      </c>
      <c r="X323" t="s">
        <v>74</v>
      </c>
      <c r="Y323" t="b">
        <v>0</v>
      </c>
      <c r="Z323" t="b">
        <v>0</v>
      </c>
      <c r="AC323" s="1"/>
      <c r="AF323">
        <v>0</v>
      </c>
      <c r="AG323">
        <v>45</v>
      </c>
      <c r="AH323">
        <v>161</v>
      </c>
      <c r="AI323" s="2">
        <f>Table__192.168.3.138AgingReportBEWLGS[[#This Row],[NetAmount]]-Table__192.168.3.138AgingReportBEWLGS[[#This Row],[Paid]]</f>
        <v>1070</v>
      </c>
    </row>
    <row r="324" spans="1:35">
      <c r="A324" t="s">
        <v>6956</v>
      </c>
      <c r="B324" s="1">
        <v>41152</v>
      </c>
      <c r="C324" s="1">
        <v>41197</v>
      </c>
      <c r="D324" t="s">
        <v>6957</v>
      </c>
      <c r="E324">
        <v>41500</v>
      </c>
      <c r="F324">
        <v>0</v>
      </c>
      <c r="G324">
        <v>0</v>
      </c>
      <c r="H324">
        <v>0</v>
      </c>
      <c r="I324">
        <v>117</v>
      </c>
      <c r="J324">
        <v>41500</v>
      </c>
      <c r="K324" t="s">
        <v>5979</v>
      </c>
      <c r="L324" s="1">
        <v>41151</v>
      </c>
      <c r="M324" t="s">
        <v>6958</v>
      </c>
      <c r="N324" t="s">
        <v>36</v>
      </c>
      <c r="O324" t="s">
        <v>6047</v>
      </c>
      <c r="P324" t="s">
        <v>6959</v>
      </c>
      <c r="Q324" t="s">
        <v>39</v>
      </c>
      <c r="R324" t="s">
        <v>40</v>
      </c>
      <c r="S324">
        <v>0</v>
      </c>
      <c r="U324" t="s">
        <v>5550</v>
      </c>
      <c r="V324" t="s">
        <v>1797</v>
      </c>
      <c r="W324" t="s">
        <v>6960</v>
      </c>
      <c r="X324" t="s">
        <v>74</v>
      </c>
      <c r="Y324" t="b">
        <v>0</v>
      </c>
      <c r="Z324" t="b">
        <v>0</v>
      </c>
      <c r="AA324" t="b">
        <v>0</v>
      </c>
      <c r="AC324" s="1"/>
      <c r="AF324">
        <v>0</v>
      </c>
      <c r="AG324">
        <v>45</v>
      </c>
      <c r="AH324">
        <v>162</v>
      </c>
      <c r="AI324" s="2">
        <f>Table__192.168.3.138AgingReportBEWLGS[[#This Row],[NetAmount]]-Table__192.168.3.138AgingReportBEWLGS[[#This Row],[Paid]]</f>
        <v>41500</v>
      </c>
    </row>
    <row r="325" spans="1:35">
      <c r="A325" t="s">
        <v>6961</v>
      </c>
      <c r="B325" s="1">
        <v>41152</v>
      </c>
      <c r="C325" s="1">
        <v>41197</v>
      </c>
      <c r="D325" t="s">
        <v>221</v>
      </c>
      <c r="E325">
        <v>26000</v>
      </c>
      <c r="F325">
        <v>0</v>
      </c>
      <c r="G325">
        <v>0</v>
      </c>
      <c r="H325">
        <v>0</v>
      </c>
      <c r="I325">
        <v>116</v>
      </c>
      <c r="J325">
        <v>26000</v>
      </c>
      <c r="K325" t="s">
        <v>5979</v>
      </c>
      <c r="L325" s="1">
        <v>41152</v>
      </c>
      <c r="M325" t="s">
        <v>6962</v>
      </c>
      <c r="N325" t="s">
        <v>36</v>
      </c>
      <c r="O325" t="s">
        <v>6047</v>
      </c>
      <c r="P325" t="s">
        <v>5512</v>
      </c>
      <c r="Q325" t="s">
        <v>39</v>
      </c>
      <c r="R325" t="s">
        <v>40</v>
      </c>
      <c r="S325">
        <v>0</v>
      </c>
      <c r="U325" t="s">
        <v>5550</v>
      </c>
      <c r="V325" t="s">
        <v>1797</v>
      </c>
      <c r="W325" t="s">
        <v>6146</v>
      </c>
      <c r="X325" t="s">
        <v>74</v>
      </c>
      <c r="Y325" t="b">
        <v>0</v>
      </c>
      <c r="Z325" t="b">
        <v>0</v>
      </c>
      <c r="AA325" t="b">
        <v>0</v>
      </c>
      <c r="AC325" s="1"/>
      <c r="AF325">
        <v>0</v>
      </c>
      <c r="AG325">
        <v>45</v>
      </c>
      <c r="AH325">
        <v>161</v>
      </c>
      <c r="AI325" s="2">
        <f>Table__192.168.3.138AgingReportBEWLGS[[#This Row],[NetAmount]]-Table__192.168.3.138AgingReportBEWLGS[[#This Row],[Paid]]</f>
        <v>26000</v>
      </c>
    </row>
    <row r="326" spans="1:35">
      <c r="A326" t="s">
        <v>6963</v>
      </c>
      <c r="B326" s="1">
        <v>41152</v>
      </c>
      <c r="C326" s="1">
        <v>41197</v>
      </c>
      <c r="D326" t="s">
        <v>6150</v>
      </c>
      <c r="E326">
        <v>34100</v>
      </c>
      <c r="F326">
        <v>0</v>
      </c>
      <c r="G326">
        <v>0</v>
      </c>
      <c r="H326">
        <v>0</v>
      </c>
      <c r="I326">
        <v>116</v>
      </c>
      <c r="J326">
        <v>38300</v>
      </c>
      <c r="K326" t="s">
        <v>5979</v>
      </c>
      <c r="L326" s="1">
        <v>41152</v>
      </c>
      <c r="N326" t="s">
        <v>36</v>
      </c>
      <c r="O326" t="s">
        <v>6047</v>
      </c>
      <c r="P326" t="s">
        <v>6151</v>
      </c>
      <c r="Q326" t="s">
        <v>39</v>
      </c>
      <c r="R326" t="s">
        <v>40</v>
      </c>
      <c r="S326">
        <v>0</v>
      </c>
      <c r="U326" t="s">
        <v>5550</v>
      </c>
      <c r="V326" t="s">
        <v>1797</v>
      </c>
      <c r="X326" t="s">
        <v>74</v>
      </c>
      <c r="Y326" t="b">
        <v>0</v>
      </c>
      <c r="Z326" t="b">
        <v>0</v>
      </c>
      <c r="AC326" s="1"/>
      <c r="AF326">
        <v>0</v>
      </c>
      <c r="AG326">
        <v>45</v>
      </c>
      <c r="AH326">
        <v>161</v>
      </c>
      <c r="AI326" s="2">
        <f>Table__192.168.3.138AgingReportBEWLGS[[#This Row],[NetAmount]]-Table__192.168.3.138AgingReportBEWLGS[[#This Row],[Paid]]</f>
        <v>38300</v>
      </c>
    </row>
    <row r="327" spans="1:35">
      <c r="A327" t="s">
        <v>6964</v>
      </c>
      <c r="B327" s="1">
        <v>41152</v>
      </c>
      <c r="C327" s="1">
        <v>41197</v>
      </c>
      <c r="D327" t="s">
        <v>6290</v>
      </c>
      <c r="E327">
        <v>145900</v>
      </c>
      <c r="F327">
        <v>0</v>
      </c>
      <c r="G327">
        <v>0</v>
      </c>
      <c r="H327">
        <v>0</v>
      </c>
      <c r="I327">
        <v>116</v>
      </c>
      <c r="J327">
        <v>158400</v>
      </c>
      <c r="K327" t="s">
        <v>5979</v>
      </c>
      <c r="L327" s="1">
        <v>41152</v>
      </c>
      <c r="N327" t="s">
        <v>36</v>
      </c>
      <c r="O327" t="s">
        <v>6047</v>
      </c>
      <c r="P327" t="s">
        <v>6291</v>
      </c>
      <c r="Q327" t="s">
        <v>39</v>
      </c>
      <c r="R327" t="s">
        <v>40</v>
      </c>
      <c r="S327">
        <v>0</v>
      </c>
      <c r="U327" t="s">
        <v>5550</v>
      </c>
      <c r="V327" t="s">
        <v>1797</v>
      </c>
      <c r="X327" t="s">
        <v>74</v>
      </c>
      <c r="Y327" t="b">
        <v>0</v>
      </c>
      <c r="Z327" t="b">
        <v>0</v>
      </c>
      <c r="AC327" s="1"/>
      <c r="AF327">
        <v>0</v>
      </c>
      <c r="AG327">
        <v>45</v>
      </c>
      <c r="AH327">
        <v>161</v>
      </c>
      <c r="AI327" s="2">
        <f>Table__192.168.3.138AgingReportBEWLGS[[#This Row],[NetAmount]]-Table__192.168.3.138AgingReportBEWLGS[[#This Row],[Paid]]</f>
        <v>158400</v>
      </c>
    </row>
    <row r="328" spans="1:35">
      <c r="A328" t="s">
        <v>6965</v>
      </c>
      <c r="B328" s="1">
        <v>41170</v>
      </c>
      <c r="C328" s="1">
        <v>41215</v>
      </c>
      <c r="D328" t="s">
        <v>6278</v>
      </c>
      <c r="E328">
        <v>896</v>
      </c>
      <c r="F328">
        <v>174</v>
      </c>
      <c r="G328">
        <v>0</v>
      </c>
      <c r="H328">
        <v>0</v>
      </c>
      <c r="I328">
        <v>98</v>
      </c>
      <c r="J328">
        <v>1070</v>
      </c>
      <c r="K328" t="s">
        <v>5807</v>
      </c>
      <c r="L328" s="1">
        <v>41170</v>
      </c>
      <c r="N328" t="s">
        <v>36</v>
      </c>
      <c r="O328" t="s">
        <v>6047</v>
      </c>
      <c r="P328" t="s">
        <v>6280</v>
      </c>
      <c r="Q328" t="s">
        <v>39</v>
      </c>
      <c r="R328" t="s">
        <v>40</v>
      </c>
      <c r="S328">
        <v>0</v>
      </c>
      <c r="U328" t="s">
        <v>5550</v>
      </c>
      <c r="V328" t="s">
        <v>1797</v>
      </c>
      <c r="X328" t="s">
        <v>74</v>
      </c>
      <c r="Y328" t="b">
        <v>0</v>
      </c>
      <c r="Z328" t="b">
        <v>0</v>
      </c>
      <c r="AC328" s="1"/>
      <c r="AF328">
        <v>0</v>
      </c>
      <c r="AG328">
        <v>45</v>
      </c>
      <c r="AH328">
        <v>143</v>
      </c>
      <c r="AI328" s="2">
        <f>Table__192.168.3.138AgingReportBEWLGS[[#This Row],[NetAmount]]-Table__192.168.3.138AgingReportBEWLGS[[#This Row],[Paid]]</f>
        <v>1070</v>
      </c>
    </row>
    <row r="329" spans="1:35">
      <c r="A329" t="s">
        <v>6966</v>
      </c>
      <c r="B329" s="1">
        <v>41182</v>
      </c>
      <c r="C329" s="1">
        <v>41227</v>
      </c>
      <c r="D329" t="s">
        <v>6957</v>
      </c>
      <c r="E329">
        <v>55900</v>
      </c>
      <c r="F329">
        <v>0</v>
      </c>
      <c r="G329">
        <v>0</v>
      </c>
      <c r="H329">
        <v>0</v>
      </c>
      <c r="I329">
        <v>86</v>
      </c>
      <c r="J329">
        <v>55900</v>
      </c>
      <c r="K329" t="s">
        <v>5807</v>
      </c>
      <c r="L329" s="1">
        <v>41182</v>
      </c>
      <c r="M329" t="s">
        <v>6967</v>
      </c>
      <c r="N329" t="s">
        <v>36</v>
      </c>
      <c r="O329" t="s">
        <v>6047</v>
      </c>
      <c r="P329" t="s">
        <v>6959</v>
      </c>
      <c r="Q329" t="s">
        <v>39</v>
      </c>
      <c r="R329" t="s">
        <v>40</v>
      </c>
      <c r="S329">
        <v>0</v>
      </c>
      <c r="U329" t="s">
        <v>5550</v>
      </c>
      <c r="V329" t="s">
        <v>1797</v>
      </c>
      <c r="W329" t="s">
        <v>6968</v>
      </c>
      <c r="X329" t="s">
        <v>74</v>
      </c>
      <c r="Y329" t="b">
        <v>0</v>
      </c>
      <c r="Z329" t="b">
        <v>0</v>
      </c>
      <c r="AA329" t="b">
        <v>0</v>
      </c>
      <c r="AC329" s="1"/>
      <c r="AF329">
        <v>0</v>
      </c>
      <c r="AG329">
        <v>45</v>
      </c>
      <c r="AH329">
        <v>131</v>
      </c>
      <c r="AI329" s="2">
        <f>Table__192.168.3.138AgingReportBEWLGS[[#This Row],[NetAmount]]-Table__192.168.3.138AgingReportBEWLGS[[#This Row],[Paid]]</f>
        <v>55900</v>
      </c>
    </row>
    <row r="330" spans="1:35">
      <c r="A330" t="s">
        <v>6969</v>
      </c>
      <c r="B330" s="1">
        <v>41182</v>
      </c>
      <c r="C330" s="1">
        <v>41227</v>
      </c>
      <c r="D330" t="s">
        <v>6290</v>
      </c>
      <c r="E330">
        <v>247900</v>
      </c>
      <c r="F330">
        <v>0</v>
      </c>
      <c r="G330">
        <v>0</v>
      </c>
      <c r="H330">
        <v>0</v>
      </c>
      <c r="I330">
        <v>86</v>
      </c>
      <c r="J330">
        <v>270800</v>
      </c>
      <c r="K330" t="s">
        <v>5807</v>
      </c>
      <c r="L330" s="1">
        <v>41182</v>
      </c>
      <c r="N330" t="s">
        <v>36</v>
      </c>
      <c r="O330" t="s">
        <v>6047</v>
      </c>
      <c r="P330" t="s">
        <v>6291</v>
      </c>
      <c r="Q330" t="s">
        <v>39</v>
      </c>
      <c r="R330" t="s">
        <v>40</v>
      </c>
      <c r="S330">
        <v>0</v>
      </c>
      <c r="U330" t="s">
        <v>5550</v>
      </c>
      <c r="V330" t="s">
        <v>1797</v>
      </c>
      <c r="X330" t="s">
        <v>74</v>
      </c>
      <c r="Y330" t="b">
        <v>0</v>
      </c>
      <c r="Z330" t="b">
        <v>0</v>
      </c>
      <c r="AC330" s="1"/>
      <c r="AF330">
        <v>0</v>
      </c>
      <c r="AG330">
        <v>45</v>
      </c>
      <c r="AH330">
        <v>131</v>
      </c>
      <c r="AI330" s="2">
        <f>Table__192.168.3.138AgingReportBEWLGS[[#This Row],[NetAmount]]-Table__192.168.3.138AgingReportBEWLGS[[#This Row],[Paid]]</f>
        <v>270800</v>
      </c>
    </row>
    <row r="331" spans="1:35">
      <c r="A331" t="s">
        <v>6970</v>
      </c>
      <c r="B331" s="1">
        <v>41182</v>
      </c>
      <c r="C331" s="1">
        <v>41227</v>
      </c>
      <c r="D331" t="s">
        <v>6150</v>
      </c>
      <c r="E331">
        <v>71600</v>
      </c>
      <c r="F331">
        <v>0</v>
      </c>
      <c r="G331">
        <v>0</v>
      </c>
      <c r="H331">
        <v>0</v>
      </c>
      <c r="I331">
        <v>86</v>
      </c>
      <c r="J331">
        <v>79600</v>
      </c>
      <c r="K331" t="s">
        <v>5807</v>
      </c>
      <c r="L331" s="1">
        <v>41182</v>
      </c>
      <c r="N331" t="s">
        <v>36</v>
      </c>
      <c r="O331" t="s">
        <v>6047</v>
      </c>
      <c r="P331" t="s">
        <v>6151</v>
      </c>
      <c r="Q331" t="s">
        <v>39</v>
      </c>
      <c r="R331" t="s">
        <v>40</v>
      </c>
      <c r="S331">
        <v>0</v>
      </c>
      <c r="U331" t="s">
        <v>5550</v>
      </c>
      <c r="V331" t="s">
        <v>1797</v>
      </c>
      <c r="X331" t="s">
        <v>74</v>
      </c>
      <c r="Y331" t="b">
        <v>0</v>
      </c>
      <c r="Z331" t="b">
        <v>0</v>
      </c>
      <c r="AC331" s="1"/>
      <c r="AF331">
        <v>0</v>
      </c>
      <c r="AG331">
        <v>45</v>
      </c>
      <c r="AH331">
        <v>131</v>
      </c>
      <c r="AI331" s="2">
        <f>Table__192.168.3.138AgingReportBEWLGS[[#This Row],[NetAmount]]-Table__192.168.3.138AgingReportBEWLGS[[#This Row],[Paid]]</f>
        <v>79600</v>
      </c>
    </row>
    <row r="332" spans="1:35">
      <c r="A332" t="s">
        <v>6971</v>
      </c>
      <c r="B332" s="1">
        <v>41182</v>
      </c>
      <c r="C332" s="1">
        <v>41227</v>
      </c>
      <c r="D332" t="s">
        <v>221</v>
      </c>
      <c r="E332">
        <v>97888</v>
      </c>
      <c r="F332">
        <v>0</v>
      </c>
      <c r="G332">
        <v>0</v>
      </c>
      <c r="H332">
        <v>0</v>
      </c>
      <c r="I332">
        <v>86</v>
      </c>
      <c r="J332">
        <v>97888</v>
      </c>
      <c r="K332" t="s">
        <v>5807</v>
      </c>
      <c r="L332" s="1">
        <v>41182</v>
      </c>
      <c r="M332" t="s">
        <v>6972</v>
      </c>
      <c r="N332" t="s">
        <v>36</v>
      </c>
      <c r="O332" t="s">
        <v>6047</v>
      </c>
      <c r="P332" t="s">
        <v>5512</v>
      </c>
      <c r="Q332" t="s">
        <v>39</v>
      </c>
      <c r="R332" t="s">
        <v>40</v>
      </c>
      <c r="S332">
        <v>0</v>
      </c>
      <c r="U332" t="s">
        <v>5550</v>
      </c>
      <c r="V332" t="s">
        <v>1797</v>
      </c>
      <c r="W332" t="s">
        <v>6146</v>
      </c>
      <c r="X332" t="s">
        <v>74</v>
      </c>
      <c r="Y332" t="b">
        <v>0</v>
      </c>
      <c r="Z332" t="b">
        <v>0</v>
      </c>
      <c r="AA332" t="b">
        <v>0</v>
      </c>
      <c r="AC332" s="1"/>
      <c r="AF332">
        <v>0</v>
      </c>
      <c r="AG332">
        <v>45</v>
      </c>
      <c r="AH332">
        <v>131</v>
      </c>
      <c r="AI332" s="2">
        <f>Table__192.168.3.138AgingReportBEWLGS[[#This Row],[NetAmount]]-Table__192.168.3.138AgingReportBEWLGS[[#This Row],[Paid]]</f>
        <v>97888</v>
      </c>
    </row>
    <row r="333" spans="1:35">
      <c r="A333" t="s">
        <v>6973</v>
      </c>
      <c r="B333" s="1">
        <v>41213</v>
      </c>
      <c r="C333" s="1">
        <v>41258</v>
      </c>
      <c r="D333" t="s">
        <v>6974</v>
      </c>
      <c r="E333">
        <v>6600</v>
      </c>
      <c r="F333">
        <v>1056</v>
      </c>
      <c r="G333">
        <v>0</v>
      </c>
      <c r="H333">
        <v>0</v>
      </c>
      <c r="I333">
        <v>71</v>
      </c>
      <c r="J333">
        <v>7656</v>
      </c>
      <c r="K333" t="s">
        <v>6975</v>
      </c>
      <c r="L333" s="1">
        <v>41197</v>
      </c>
      <c r="N333" t="s">
        <v>36</v>
      </c>
      <c r="O333" t="s">
        <v>6047</v>
      </c>
      <c r="P333" t="s">
        <v>6976</v>
      </c>
      <c r="Q333" t="s">
        <v>39</v>
      </c>
      <c r="R333" t="s">
        <v>40</v>
      </c>
      <c r="S333">
        <v>0</v>
      </c>
      <c r="U333" t="s">
        <v>5550</v>
      </c>
      <c r="V333" t="s">
        <v>1797</v>
      </c>
      <c r="X333" t="s">
        <v>74</v>
      </c>
      <c r="Y333" t="b">
        <v>0</v>
      </c>
      <c r="Z333" t="b">
        <v>0</v>
      </c>
      <c r="AC333" s="1"/>
      <c r="AF333">
        <v>0</v>
      </c>
      <c r="AG333">
        <v>45</v>
      </c>
      <c r="AH333">
        <v>116</v>
      </c>
      <c r="AI333" s="2">
        <f>Table__192.168.3.138AgingReportBEWLGS[[#This Row],[NetAmount]]-Table__192.168.3.138AgingReportBEWLGS[[#This Row],[Paid]]</f>
        <v>7656</v>
      </c>
    </row>
    <row r="334" spans="1:35">
      <c r="A334" t="s">
        <v>6977</v>
      </c>
      <c r="B334" s="1">
        <v>41198</v>
      </c>
      <c r="C334" s="1">
        <v>41243</v>
      </c>
      <c r="D334" t="s">
        <v>6278</v>
      </c>
      <c r="E334">
        <v>895</v>
      </c>
      <c r="F334">
        <v>175</v>
      </c>
      <c r="G334">
        <v>0</v>
      </c>
      <c r="H334">
        <v>0</v>
      </c>
      <c r="I334">
        <v>55</v>
      </c>
      <c r="J334">
        <v>1070</v>
      </c>
      <c r="K334" t="s">
        <v>5981</v>
      </c>
      <c r="L334" s="1">
        <v>41213</v>
      </c>
      <c r="N334" t="s">
        <v>36</v>
      </c>
      <c r="O334" t="s">
        <v>6047</v>
      </c>
      <c r="P334" t="s">
        <v>6280</v>
      </c>
      <c r="Q334" t="s">
        <v>39</v>
      </c>
      <c r="R334" t="s">
        <v>40</v>
      </c>
      <c r="S334">
        <v>0</v>
      </c>
      <c r="U334" t="s">
        <v>5550</v>
      </c>
      <c r="V334" t="s">
        <v>1797</v>
      </c>
      <c r="X334" t="s">
        <v>74</v>
      </c>
      <c r="Y334" t="b">
        <v>0</v>
      </c>
      <c r="Z334" t="b">
        <v>0</v>
      </c>
      <c r="AC334" s="1"/>
      <c r="AF334">
        <v>0</v>
      </c>
      <c r="AG334">
        <v>45</v>
      </c>
      <c r="AH334">
        <v>100</v>
      </c>
      <c r="AI334" s="2">
        <f>Table__192.168.3.138AgingReportBEWLGS[[#This Row],[NetAmount]]-Table__192.168.3.138AgingReportBEWLGS[[#This Row],[Paid]]</f>
        <v>1070</v>
      </c>
    </row>
    <row r="335" spans="1:35">
      <c r="A335" t="s">
        <v>6978</v>
      </c>
      <c r="B335" s="1">
        <v>41213</v>
      </c>
      <c r="C335" s="1">
        <v>41258</v>
      </c>
      <c r="D335" t="s">
        <v>221</v>
      </c>
      <c r="E335">
        <v>80055</v>
      </c>
      <c r="F335">
        <v>0</v>
      </c>
      <c r="G335">
        <v>0</v>
      </c>
      <c r="H335">
        <v>0</v>
      </c>
      <c r="I335">
        <v>55</v>
      </c>
      <c r="J335">
        <v>80055</v>
      </c>
      <c r="K335" t="s">
        <v>5981</v>
      </c>
      <c r="L335" s="1">
        <v>41213</v>
      </c>
      <c r="M335" t="s">
        <v>6979</v>
      </c>
      <c r="N335" t="s">
        <v>36</v>
      </c>
      <c r="O335" t="s">
        <v>6047</v>
      </c>
      <c r="P335" t="s">
        <v>5512</v>
      </c>
      <c r="Q335" t="s">
        <v>39</v>
      </c>
      <c r="R335" t="s">
        <v>40</v>
      </c>
      <c r="S335">
        <v>0</v>
      </c>
      <c r="U335" t="s">
        <v>5550</v>
      </c>
      <c r="V335" t="s">
        <v>1797</v>
      </c>
      <c r="W335" t="s">
        <v>6146</v>
      </c>
      <c r="X335" t="s">
        <v>74</v>
      </c>
      <c r="Y335" t="b">
        <v>0</v>
      </c>
      <c r="Z335" t="b">
        <v>0</v>
      </c>
      <c r="AA335" t="b">
        <v>0</v>
      </c>
      <c r="AC335" s="1"/>
      <c r="AF335">
        <v>0</v>
      </c>
      <c r="AG335">
        <v>45</v>
      </c>
      <c r="AH335">
        <v>100</v>
      </c>
      <c r="AI335" s="2">
        <f>Table__192.168.3.138AgingReportBEWLGS[[#This Row],[NetAmount]]-Table__192.168.3.138AgingReportBEWLGS[[#This Row],[Paid]]</f>
        <v>80055</v>
      </c>
    </row>
    <row r="336" spans="1:35">
      <c r="A336" t="s">
        <v>6980</v>
      </c>
      <c r="B336" s="1">
        <v>41213</v>
      </c>
      <c r="C336" s="1">
        <v>41258</v>
      </c>
      <c r="D336" t="s">
        <v>6150</v>
      </c>
      <c r="E336">
        <v>75200</v>
      </c>
      <c r="F336">
        <v>0</v>
      </c>
      <c r="G336">
        <v>0</v>
      </c>
      <c r="H336">
        <v>0</v>
      </c>
      <c r="I336">
        <v>55</v>
      </c>
      <c r="J336">
        <v>81400</v>
      </c>
      <c r="K336" t="s">
        <v>1521</v>
      </c>
      <c r="L336" s="1">
        <v>41213</v>
      </c>
      <c r="N336" t="s">
        <v>36</v>
      </c>
      <c r="O336" t="s">
        <v>6047</v>
      </c>
      <c r="P336" t="s">
        <v>6151</v>
      </c>
      <c r="Q336" t="s">
        <v>39</v>
      </c>
      <c r="R336" t="s">
        <v>40</v>
      </c>
      <c r="S336">
        <v>0</v>
      </c>
      <c r="U336" t="s">
        <v>5550</v>
      </c>
      <c r="V336" t="s">
        <v>1797</v>
      </c>
      <c r="X336" t="s">
        <v>74</v>
      </c>
      <c r="Y336" t="b">
        <v>0</v>
      </c>
      <c r="Z336" t="b">
        <v>0</v>
      </c>
      <c r="AC336" s="1"/>
      <c r="AF336">
        <v>0</v>
      </c>
      <c r="AG336">
        <v>45</v>
      </c>
      <c r="AH336">
        <v>100</v>
      </c>
      <c r="AI336" s="2">
        <f>Table__192.168.3.138AgingReportBEWLGS[[#This Row],[NetAmount]]-Table__192.168.3.138AgingReportBEWLGS[[#This Row],[Paid]]</f>
        <v>81400</v>
      </c>
    </row>
    <row r="337" spans="1:35">
      <c r="A337" t="s">
        <v>6981</v>
      </c>
      <c r="B337" s="1">
        <v>41213</v>
      </c>
      <c r="C337" s="1">
        <v>41258</v>
      </c>
      <c r="D337" t="s">
        <v>6290</v>
      </c>
      <c r="E337">
        <v>125400</v>
      </c>
      <c r="F337">
        <v>0</v>
      </c>
      <c r="G337">
        <v>0</v>
      </c>
      <c r="H337">
        <v>0</v>
      </c>
      <c r="I337">
        <v>55</v>
      </c>
      <c r="J337">
        <v>133600</v>
      </c>
      <c r="K337" t="s">
        <v>1377</v>
      </c>
      <c r="L337" s="1">
        <v>41213</v>
      </c>
      <c r="N337" t="s">
        <v>36</v>
      </c>
      <c r="O337" t="s">
        <v>6047</v>
      </c>
      <c r="P337" t="s">
        <v>6291</v>
      </c>
      <c r="Q337" t="s">
        <v>39</v>
      </c>
      <c r="R337" t="s">
        <v>40</v>
      </c>
      <c r="S337">
        <v>0</v>
      </c>
      <c r="U337" t="s">
        <v>5550</v>
      </c>
      <c r="V337" t="s">
        <v>1797</v>
      </c>
      <c r="X337" t="s">
        <v>74</v>
      </c>
      <c r="Y337" t="b">
        <v>0</v>
      </c>
      <c r="Z337" t="b">
        <v>0</v>
      </c>
      <c r="AC337" s="1"/>
      <c r="AF337">
        <v>0</v>
      </c>
      <c r="AG337">
        <v>45</v>
      </c>
      <c r="AH337">
        <v>100</v>
      </c>
      <c r="AI337" s="2">
        <f>Table__192.168.3.138AgingReportBEWLGS[[#This Row],[NetAmount]]-Table__192.168.3.138AgingReportBEWLGS[[#This Row],[Paid]]</f>
        <v>133600</v>
      </c>
    </row>
    <row r="338" spans="1:35">
      <c r="A338" t="s">
        <v>6982</v>
      </c>
      <c r="B338" s="1">
        <v>41243</v>
      </c>
      <c r="C338" s="1">
        <v>41288</v>
      </c>
      <c r="D338" t="s">
        <v>6150</v>
      </c>
      <c r="E338">
        <v>36700</v>
      </c>
      <c r="F338">
        <v>0</v>
      </c>
      <c r="G338">
        <v>0</v>
      </c>
      <c r="H338">
        <v>0</v>
      </c>
      <c r="I338">
        <v>25</v>
      </c>
      <c r="J338">
        <v>40900</v>
      </c>
      <c r="K338" t="s">
        <v>5976</v>
      </c>
      <c r="L338" s="1">
        <v>41243</v>
      </c>
      <c r="N338" t="s">
        <v>36</v>
      </c>
      <c r="O338" t="s">
        <v>6047</v>
      </c>
      <c r="P338" t="s">
        <v>6151</v>
      </c>
      <c r="Q338" t="s">
        <v>39</v>
      </c>
      <c r="R338" t="s">
        <v>40</v>
      </c>
      <c r="S338">
        <v>0</v>
      </c>
      <c r="U338" t="s">
        <v>5550</v>
      </c>
      <c r="V338" t="s">
        <v>1797</v>
      </c>
      <c r="X338" t="s">
        <v>74</v>
      </c>
      <c r="Y338" t="b">
        <v>0</v>
      </c>
      <c r="Z338" t="b">
        <v>0</v>
      </c>
      <c r="AC338" s="1"/>
      <c r="AF338">
        <v>0</v>
      </c>
      <c r="AG338">
        <v>45</v>
      </c>
      <c r="AH338">
        <v>70</v>
      </c>
      <c r="AI338" s="2">
        <f>Table__192.168.3.138AgingReportBEWLGS[[#This Row],[NetAmount]]-Table__192.168.3.138AgingReportBEWLGS[[#This Row],[Paid]]</f>
        <v>40900</v>
      </c>
    </row>
    <row r="339" spans="1:35">
      <c r="A339" t="s">
        <v>6983</v>
      </c>
      <c r="B339" s="1">
        <v>41243</v>
      </c>
      <c r="C339" s="1">
        <v>41288</v>
      </c>
      <c r="D339" t="s">
        <v>6290</v>
      </c>
      <c r="E339">
        <v>77300</v>
      </c>
      <c r="F339">
        <v>0</v>
      </c>
      <c r="G339">
        <v>0</v>
      </c>
      <c r="H339">
        <v>0</v>
      </c>
      <c r="I339">
        <v>25</v>
      </c>
      <c r="J339">
        <v>81700</v>
      </c>
      <c r="K339" t="s">
        <v>5976</v>
      </c>
      <c r="L339" s="1">
        <v>41243</v>
      </c>
      <c r="N339" t="s">
        <v>36</v>
      </c>
      <c r="O339" t="s">
        <v>6047</v>
      </c>
      <c r="P339" t="s">
        <v>6291</v>
      </c>
      <c r="Q339" t="s">
        <v>39</v>
      </c>
      <c r="R339" t="s">
        <v>40</v>
      </c>
      <c r="S339">
        <v>0</v>
      </c>
      <c r="U339" t="s">
        <v>5550</v>
      </c>
      <c r="V339" t="s">
        <v>1797</v>
      </c>
      <c r="X339" t="s">
        <v>74</v>
      </c>
      <c r="Y339" t="b">
        <v>0</v>
      </c>
      <c r="Z339" t="b">
        <v>0</v>
      </c>
      <c r="AC339" s="1"/>
      <c r="AF339">
        <v>0</v>
      </c>
      <c r="AG339">
        <v>45</v>
      </c>
      <c r="AH339">
        <v>70</v>
      </c>
      <c r="AI339" s="2">
        <f>Table__192.168.3.138AgingReportBEWLGS[[#This Row],[NetAmount]]-Table__192.168.3.138AgingReportBEWLGS[[#This Row],[Paid]]</f>
        <v>81700</v>
      </c>
    </row>
    <row r="340" spans="1:35">
      <c r="A340" t="s">
        <v>6984</v>
      </c>
      <c r="B340" s="1">
        <v>41243</v>
      </c>
      <c r="C340" s="1">
        <v>41288</v>
      </c>
      <c r="D340" t="s">
        <v>221</v>
      </c>
      <c r="E340">
        <v>19456</v>
      </c>
      <c r="F340">
        <v>0</v>
      </c>
      <c r="G340">
        <v>0</v>
      </c>
      <c r="H340">
        <v>0</v>
      </c>
      <c r="I340">
        <v>25</v>
      </c>
      <c r="J340">
        <v>19456</v>
      </c>
      <c r="K340" t="s">
        <v>5976</v>
      </c>
      <c r="L340" s="1">
        <v>41243</v>
      </c>
      <c r="M340" t="s">
        <v>6985</v>
      </c>
      <c r="N340" t="s">
        <v>36</v>
      </c>
      <c r="O340" t="s">
        <v>6047</v>
      </c>
      <c r="P340" t="s">
        <v>5512</v>
      </c>
      <c r="Q340" t="s">
        <v>39</v>
      </c>
      <c r="R340" t="s">
        <v>40</v>
      </c>
      <c r="S340">
        <v>0</v>
      </c>
      <c r="U340" t="s">
        <v>5550</v>
      </c>
      <c r="V340" t="s">
        <v>1797</v>
      </c>
      <c r="W340" t="s">
        <v>6146</v>
      </c>
      <c r="X340" t="s">
        <v>74</v>
      </c>
      <c r="Y340" t="b">
        <v>0</v>
      </c>
      <c r="Z340" t="b">
        <v>0</v>
      </c>
      <c r="AA340" t="b">
        <v>0</v>
      </c>
      <c r="AC340" s="1"/>
      <c r="AF340">
        <v>0</v>
      </c>
      <c r="AG340">
        <v>45</v>
      </c>
      <c r="AH340">
        <v>70</v>
      </c>
      <c r="AI340" s="2">
        <f>Table__192.168.3.138AgingReportBEWLGS[[#This Row],[NetAmount]]-Table__192.168.3.138AgingReportBEWLGS[[#This Row],[Paid]]</f>
        <v>19456</v>
      </c>
    </row>
    <row r="341" spans="1:35">
      <c r="A341" t="s">
        <v>6986</v>
      </c>
      <c r="B341" s="1">
        <v>41274</v>
      </c>
      <c r="C341" s="1">
        <v>41319</v>
      </c>
      <c r="D341" t="s">
        <v>6150</v>
      </c>
      <c r="E341">
        <v>34300</v>
      </c>
      <c r="F341">
        <v>0</v>
      </c>
      <c r="G341">
        <v>0</v>
      </c>
      <c r="H341">
        <v>0</v>
      </c>
      <c r="I341">
        <v>-6</v>
      </c>
      <c r="J341">
        <v>36300</v>
      </c>
      <c r="K341" t="s">
        <v>1540</v>
      </c>
      <c r="L341" s="1">
        <v>41274</v>
      </c>
      <c r="N341" t="s">
        <v>36</v>
      </c>
      <c r="O341" t="s">
        <v>6047</v>
      </c>
      <c r="P341" t="s">
        <v>6151</v>
      </c>
      <c r="Q341" t="s">
        <v>39</v>
      </c>
      <c r="R341" t="s">
        <v>40</v>
      </c>
      <c r="S341">
        <v>0</v>
      </c>
      <c r="U341" t="s">
        <v>5550</v>
      </c>
      <c r="V341" t="s">
        <v>1797</v>
      </c>
      <c r="X341" t="s">
        <v>74</v>
      </c>
      <c r="Y341" t="b">
        <v>0</v>
      </c>
      <c r="Z341" t="b">
        <v>0</v>
      </c>
      <c r="AC341" s="1"/>
      <c r="AF341">
        <v>0</v>
      </c>
      <c r="AG341">
        <v>45</v>
      </c>
      <c r="AH341">
        <v>39</v>
      </c>
      <c r="AI341" s="2">
        <f>Table__192.168.3.138AgingReportBEWLGS[[#This Row],[NetAmount]]-Table__192.168.3.138AgingReportBEWLGS[[#This Row],[Paid]]</f>
        <v>36300</v>
      </c>
    </row>
    <row r="342" spans="1:35">
      <c r="A342" t="s">
        <v>6987</v>
      </c>
      <c r="B342" s="1">
        <v>41274</v>
      </c>
      <c r="C342" s="1">
        <v>41319</v>
      </c>
      <c r="D342" t="s">
        <v>6155</v>
      </c>
      <c r="E342">
        <v>119016</v>
      </c>
      <c r="F342">
        <v>0</v>
      </c>
      <c r="G342">
        <v>0</v>
      </c>
      <c r="H342">
        <v>0</v>
      </c>
      <c r="I342">
        <v>-6</v>
      </c>
      <c r="J342">
        <v>119016</v>
      </c>
      <c r="K342" t="s">
        <v>6035</v>
      </c>
      <c r="L342" s="1">
        <v>41274</v>
      </c>
      <c r="N342" t="s">
        <v>36</v>
      </c>
      <c r="O342" t="s">
        <v>6047</v>
      </c>
      <c r="P342" t="s">
        <v>6156</v>
      </c>
      <c r="Q342" t="s">
        <v>39</v>
      </c>
      <c r="R342" t="s">
        <v>40</v>
      </c>
      <c r="S342">
        <v>0</v>
      </c>
      <c r="U342" t="s">
        <v>5550</v>
      </c>
      <c r="V342" t="s">
        <v>1797</v>
      </c>
      <c r="X342" t="s">
        <v>74</v>
      </c>
      <c r="Y342" t="b">
        <v>0</v>
      </c>
      <c r="Z342" t="b">
        <v>0</v>
      </c>
      <c r="AC342" s="1"/>
      <c r="AF342">
        <v>0</v>
      </c>
      <c r="AG342">
        <v>45</v>
      </c>
      <c r="AH342">
        <v>39</v>
      </c>
      <c r="AI342" s="2">
        <f>Table__192.168.3.138AgingReportBEWLGS[[#This Row],[NetAmount]]-Table__192.168.3.138AgingReportBEWLGS[[#This Row],[Paid]]</f>
        <v>119016</v>
      </c>
    </row>
    <row r="343" spans="1:35">
      <c r="A343" t="s">
        <v>6988</v>
      </c>
      <c r="B343" s="1">
        <v>41274</v>
      </c>
      <c r="C343" s="1">
        <v>41319</v>
      </c>
      <c r="D343" t="s">
        <v>6290</v>
      </c>
      <c r="E343">
        <v>86400</v>
      </c>
      <c r="F343">
        <v>0</v>
      </c>
      <c r="G343">
        <v>0</v>
      </c>
      <c r="H343">
        <v>0</v>
      </c>
      <c r="I343">
        <v>-6</v>
      </c>
      <c r="J343">
        <v>91000</v>
      </c>
      <c r="K343" t="s">
        <v>2862</v>
      </c>
      <c r="L343" s="1">
        <v>41274</v>
      </c>
      <c r="N343" t="s">
        <v>36</v>
      </c>
      <c r="O343" t="s">
        <v>6047</v>
      </c>
      <c r="P343" t="s">
        <v>6291</v>
      </c>
      <c r="Q343" t="s">
        <v>39</v>
      </c>
      <c r="R343" t="s">
        <v>40</v>
      </c>
      <c r="S343">
        <v>0</v>
      </c>
      <c r="U343" t="s">
        <v>5550</v>
      </c>
      <c r="V343" t="s">
        <v>1797</v>
      </c>
      <c r="X343" t="s">
        <v>74</v>
      </c>
      <c r="Y343" t="b">
        <v>0</v>
      </c>
      <c r="Z343" t="b">
        <v>0</v>
      </c>
      <c r="AC343" s="1"/>
      <c r="AF343">
        <v>0</v>
      </c>
      <c r="AG343">
        <v>45</v>
      </c>
      <c r="AH343">
        <v>39</v>
      </c>
      <c r="AI343" s="2">
        <f>Table__192.168.3.138AgingReportBEWLGS[[#This Row],[NetAmount]]-Table__192.168.3.138AgingReportBEWLGS[[#This Row],[Paid]]</f>
        <v>91000</v>
      </c>
    </row>
    <row r="344" spans="1:35">
      <c r="A344" t="s">
        <v>6989</v>
      </c>
      <c r="B344" s="1">
        <v>41274</v>
      </c>
      <c r="C344" s="1">
        <v>41319</v>
      </c>
      <c r="D344" t="s">
        <v>6169</v>
      </c>
      <c r="E344">
        <v>90810</v>
      </c>
      <c r="F344">
        <v>0</v>
      </c>
      <c r="G344">
        <v>0</v>
      </c>
      <c r="H344">
        <v>0</v>
      </c>
      <c r="I344">
        <v>-6</v>
      </c>
      <c r="J344">
        <v>90810</v>
      </c>
      <c r="K344" t="s">
        <v>6035</v>
      </c>
      <c r="L344" s="1">
        <v>41274</v>
      </c>
      <c r="M344" t="s">
        <v>6990</v>
      </c>
      <c r="N344" t="s">
        <v>36</v>
      </c>
      <c r="O344" t="s">
        <v>6047</v>
      </c>
      <c r="P344" t="s">
        <v>6171</v>
      </c>
      <c r="Q344" t="s">
        <v>39</v>
      </c>
      <c r="R344" t="s">
        <v>40</v>
      </c>
      <c r="S344">
        <v>0</v>
      </c>
      <c r="U344" t="s">
        <v>5550</v>
      </c>
      <c r="V344" t="s">
        <v>1797</v>
      </c>
      <c r="W344" t="s">
        <v>6172</v>
      </c>
      <c r="X344" t="s">
        <v>74</v>
      </c>
      <c r="Y344" t="b">
        <v>0</v>
      </c>
      <c r="Z344" t="b">
        <v>0</v>
      </c>
      <c r="AA344" t="b">
        <v>0</v>
      </c>
      <c r="AC344" s="1"/>
      <c r="AF344">
        <v>0</v>
      </c>
      <c r="AG344">
        <v>45</v>
      </c>
      <c r="AH344">
        <v>39</v>
      </c>
      <c r="AI344" s="2">
        <f>Table__192.168.3.138AgingReportBEWLGS[[#This Row],[NetAmount]]-Table__192.168.3.138AgingReportBEWLGS[[#This Row],[Paid]]</f>
        <v>90810</v>
      </c>
    </row>
    <row r="345" spans="1:35">
      <c r="A345" t="s">
        <v>6991</v>
      </c>
      <c r="B345" s="1">
        <v>41274</v>
      </c>
      <c r="C345" s="1">
        <v>41319</v>
      </c>
      <c r="D345" t="s">
        <v>6169</v>
      </c>
      <c r="E345">
        <v>101842</v>
      </c>
      <c r="F345">
        <v>0</v>
      </c>
      <c r="G345">
        <v>0</v>
      </c>
      <c r="H345">
        <v>0</v>
      </c>
      <c r="I345">
        <v>-6</v>
      </c>
      <c r="J345">
        <v>101842</v>
      </c>
      <c r="K345" t="s">
        <v>6035</v>
      </c>
      <c r="L345" s="1">
        <v>41274</v>
      </c>
      <c r="M345" t="s">
        <v>6992</v>
      </c>
      <c r="N345" t="s">
        <v>36</v>
      </c>
      <c r="O345" t="s">
        <v>6047</v>
      </c>
      <c r="P345" t="s">
        <v>6171</v>
      </c>
      <c r="Q345" t="s">
        <v>39</v>
      </c>
      <c r="R345" t="s">
        <v>40</v>
      </c>
      <c r="S345">
        <v>0</v>
      </c>
      <c r="U345" t="s">
        <v>5550</v>
      </c>
      <c r="V345" t="s">
        <v>1797</v>
      </c>
      <c r="W345" t="s">
        <v>6172</v>
      </c>
      <c r="X345" t="s">
        <v>74</v>
      </c>
      <c r="Y345" t="b">
        <v>0</v>
      </c>
      <c r="Z345" t="b">
        <v>0</v>
      </c>
      <c r="AA345" t="b">
        <v>0</v>
      </c>
      <c r="AC345" s="1"/>
      <c r="AF345">
        <v>0</v>
      </c>
      <c r="AG345">
        <v>45</v>
      </c>
      <c r="AH345">
        <v>39</v>
      </c>
      <c r="AI345" s="2">
        <f>Table__192.168.3.138AgingReportBEWLGS[[#This Row],[NetAmount]]-Table__192.168.3.138AgingReportBEWLGS[[#This Row],[Paid]]</f>
        <v>101842</v>
      </c>
    </row>
    <row r="346" spans="1:35">
      <c r="A346" t="s">
        <v>6993</v>
      </c>
      <c r="B346" s="1">
        <v>41274</v>
      </c>
      <c r="C346" s="1">
        <v>41319</v>
      </c>
      <c r="D346" t="s">
        <v>6169</v>
      </c>
      <c r="E346">
        <v>118256</v>
      </c>
      <c r="F346">
        <v>0</v>
      </c>
      <c r="G346">
        <v>0</v>
      </c>
      <c r="H346">
        <v>0</v>
      </c>
      <c r="I346">
        <v>-6</v>
      </c>
      <c r="J346">
        <v>118256</v>
      </c>
      <c r="K346" t="s">
        <v>6035</v>
      </c>
      <c r="L346" s="1">
        <v>41274</v>
      </c>
      <c r="M346" t="s">
        <v>6994</v>
      </c>
      <c r="N346" t="s">
        <v>36</v>
      </c>
      <c r="O346" t="s">
        <v>6047</v>
      </c>
      <c r="P346" t="s">
        <v>6171</v>
      </c>
      <c r="Q346" t="s">
        <v>39</v>
      </c>
      <c r="R346" t="s">
        <v>40</v>
      </c>
      <c r="S346">
        <v>0</v>
      </c>
      <c r="U346" t="s">
        <v>5550</v>
      </c>
      <c r="V346" t="s">
        <v>1797</v>
      </c>
      <c r="W346" t="s">
        <v>6172</v>
      </c>
      <c r="X346" t="s">
        <v>74</v>
      </c>
      <c r="Y346" t="b">
        <v>0</v>
      </c>
      <c r="Z346" t="b">
        <v>0</v>
      </c>
      <c r="AA346" t="b">
        <v>0</v>
      </c>
      <c r="AC346" s="1"/>
      <c r="AF346">
        <v>0</v>
      </c>
      <c r="AG346">
        <v>45</v>
      </c>
      <c r="AH346">
        <v>39</v>
      </c>
      <c r="AI346" s="2">
        <f>Table__192.168.3.138AgingReportBEWLGS[[#This Row],[NetAmount]]-Table__192.168.3.138AgingReportBEWLGS[[#This Row],[Paid]]</f>
        <v>118256</v>
      </c>
    </row>
    <row r="347" spans="1:35">
      <c r="A347" t="s">
        <v>6995</v>
      </c>
      <c r="B347" s="1">
        <v>41274</v>
      </c>
      <c r="C347" s="1">
        <v>41319</v>
      </c>
      <c r="D347" t="s">
        <v>6178</v>
      </c>
      <c r="E347">
        <v>111943</v>
      </c>
      <c r="F347">
        <v>0</v>
      </c>
      <c r="G347">
        <v>0</v>
      </c>
      <c r="H347">
        <v>0</v>
      </c>
      <c r="I347">
        <v>-6</v>
      </c>
      <c r="J347">
        <v>111943</v>
      </c>
      <c r="K347" t="s">
        <v>6035</v>
      </c>
      <c r="L347" s="1">
        <v>41274</v>
      </c>
      <c r="M347" t="s">
        <v>6996</v>
      </c>
      <c r="N347" t="s">
        <v>36</v>
      </c>
      <c r="O347" t="s">
        <v>6047</v>
      </c>
      <c r="P347" t="s">
        <v>6180</v>
      </c>
      <c r="Q347" t="s">
        <v>39</v>
      </c>
      <c r="R347" t="s">
        <v>40</v>
      </c>
      <c r="S347">
        <v>0</v>
      </c>
      <c r="U347" t="s">
        <v>5550</v>
      </c>
      <c r="V347" t="s">
        <v>1797</v>
      </c>
      <c r="W347" t="s">
        <v>6181</v>
      </c>
      <c r="X347" t="s">
        <v>74</v>
      </c>
      <c r="Y347" t="b">
        <v>0</v>
      </c>
      <c r="Z347" t="b">
        <v>0</v>
      </c>
      <c r="AA347" t="b">
        <v>0</v>
      </c>
      <c r="AC347" s="1"/>
      <c r="AF347">
        <v>0</v>
      </c>
      <c r="AG347">
        <v>45</v>
      </c>
      <c r="AH347">
        <v>39</v>
      </c>
      <c r="AI347" s="2">
        <f>Table__192.168.3.138AgingReportBEWLGS[[#This Row],[NetAmount]]-Table__192.168.3.138AgingReportBEWLGS[[#This Row],[Paid]]</f>
        <v>111943</v>
      </c>
    </row>
    <row r="348" spans="1:35">
      <c r="A348" t="s">
        <v>6997</v>
      </c>
      <c r="B348" s="1">
        <v>41274</v>
      </c>
      <c r="C348" s="1">
        <v>41319</v>
      </c>
      <c r="D348" t="s">
        <v>6159</v>
      </c>
      <c r="E348">
        <v>145691</v>
      </c>
      <c r="F348">
        <v>0</v>
      </c>
      <c r="G348">
        <v>0</v>
      </c>
      <c r="H348">
        <v>0</v>
      </c>
      <c r="I348">
        <v>-6</v>
      </c>
      <c r="J348">
        <v>145691</v>
      </c>
      <c r="K348" t="s">
        <v>6035</v>
      </c>
      <c r="L348" s="1">
        <v>41274</v>
      </c>
      <c r="M348" t="s">
        <v>6998</v>
      </c>
      <c r="N348" t="s">
        <v>36</v>
      </c>
      <c r="O348" t="s">
        <v>6047</v>
      </c>
      <c r="P348" t="s">
        <v>6161</v>
      </c>
      <c r="Q348" t="s">
        <v>39</v>
      </c>
      <c r="R348" t="s">
        <v>40</v>
      </c>
      <c r="S348">
        <v>0</v>
      </c>
      <c r="U348" t="s">
        <v>5550</v>
      </c>
      <c r="V348" t="s">
        <v>1797</v>
      </c>
      <c r="W348" t="s">
        <v>6162</v>
      </c>
      <c r="X348" t="s">
        <v>74</v>
      </c>
      <c r="Y348" t="b">
        <v>0</v>
      </c>
      <c r="Z348" t="b">
        <v>0</v>
      </c>
      <c r="AA348" t="b">
        <v>0</v>
      </c>
      <c r="AC348" s="1"/>
      <c r="AF348">
        <v>0</v>
      </c>
      <c r="AG348">
        <v>45</v>
      </c>
      <c r="AH348">
        <v>39</v>
      </c>
      <c r="AI348" s="2">
        <f>Table__192.168.3.138AgingReportBEWLGS[[#This Row],[NetAmount]]-Table__192.168.3.138AgingReportBEWLGS[[#This Row],[Paid]]</f>
        <v>145691</v>
      </c>
    </row>
    <row r="349" spans="1:35">
      <c r="A349" t="s">
        <v>6999</v>
      </c>
      <c r="B349" s="1">
        <v>41274</v>
      </c>
      <c r="C349" s="1">
        <v>41319</v>
      </c>
      <c r="D349" t="s">
        <v>6957</v>
      </c>
      <c r="E349">
        <v>48400</v>
      </c>
      <c r="F349">
        <v>0</v>
      </c>
      <c r="G349">
        <v>0</v>
      </c>
      <c r="H349">
        <v>0</v>
      </c>
      <c r="I349">
        <v>-6</v>
      </c>
      <c r="J349">
        <v>48400</v>
      </c>
      <c r="K349" t="s">
        <v>6035</v>
      </c>
      <c r="L349" s="1">
        <v>41274</v>
      </c>
      <c r="M349" t="s">
        <v>7000</v>
      </c>
      <c r="N349" t="s">
        <v>36</v>
      </c>
      <c r="O349" t="s">
        <v>6047</v>
      </c>
      <c r="P349" t="s">
        <v>6959</v>
      </c>
      <c r="Q349" t="s">
        <v>39</v>
      </c>
      <c r="R349" t="s">
        <v>40</v>
      </c>
      <c r="S349">
        <v>0</v>
      </c>
      <c r="U349" t="s">
        <v>5550</v>
      </c>
      <c r="V349" t="s">
        <v>1797</v>
      </c>
      <c r="W349" t="s">
        <v>7001</v>
      </c>
      <c r="X349" t="s">
        <v>74</v>
      </c>
      <c r="Y349" t="b">
        <v>0</v>
      </c>
      <c r="Z349" t="b">
        <v>0</v>
      </c>
      <c r="AA349" t="b">
        <v>0</v>
      </c>
      <c r="AC349" s="1"/>
      <c r="AF349">
        <v>0</v>
      </c>
      <c r="AG349">
        <v>45</v>
      </c>
      <c r="AH349">
        <v>39</v>
      </c>
      <c r="AI349" s="2">
        <f>Table__192.168.3.138AgingReportBEWLGS[[#This Row],[NetAmount]]-Table__192.168.3.138AgingReportBEWLGS[[#This Row],[Paid]]</f>
        <v>48400</v>
      </c>
    </row>
    <row r="350" spans="1:35">
      <c r="A350" t="s">
        <v>7002</v>
      </c>
      <c r="B350" s="1">
        <v>41274</v>
      </c>
      <c r="C350" s="1">
        <v>41319</v>
      </c>
      <c r="D350" t="s">
        <v>7003</v>
      </c>
      <c r="E350">
        <v>40100</v>
      </c>
      <c r="F350">
        <v>0</v>
      </c>
      <c r="G350">
        <v>0</v>
      </c>
      <c r="H350">
        <v>0</v>
      </c>
      <c r="I350">
        <v>-6</v>
      </c>
      <c r="J350">
        <v>40100</v>
      </c>
      <c r="K350" t="s">
        <v>6035</v>
      </c>
      <c r="L350" s="1">
        <v>41274</v>
      </c>
      <c r="M350" t="s">
        <v>7004</v>
      </c>
      <c r="N350" t="s">
        <v>36</v>
      </c>
      <c r="O350" t="s">
        <v>6047</v>
      </c>
      <c r="P350" t="s">
        <v>7005</v>
      </c>
      <c r="Q350" t="s">
        <v>39</v>
      </c>
      <c r="R350" t="s">
        <v>40</v>
      </c>
      <c r="S350">
        <v>0</v>
      </c>
      <c r="U350" t="s">
        <v>5550</v>
      </c>
      <c r="V350" t="s">
        <v>1797</v>
      </c>
      <c r="W350" t="s">
        <v>7006</v>
      </c>
      <c r="X350" t="s">
        <v>74</v>
      </c>
      <c r="Y350" t="b">
        <v>0</v>
      </c>
      <c r="Z350" t="b">
        <v>0</v>
      </c>
      <c r="AA350" t="b">
        <v>0</v>
      </c>
      <c r="AC350" s="1"/>
      <c r="AF350">
        <v>0</v>
      </c>
      <c r="AG350">
        <v>45</v>
      </c>
      <c r="AH350">
        <v>39</v>
      </c>
      <c r="AI350" s="2">
        <f>Table__192.168.3.138AgingReportBEWLGS[[#This Row],[NetAmount]]-Table__192.168.3.138AgingReportBEWLGS[[#This Row],[Paid]]</f>
        <v>40100</v>
      </c>
    </row>
    <row r="351" spans="1:35">
      <c r="A351" t="s">
        <v>7007</v>
      </c>
      <c r="B351" s="1">
        <v>41274</v>
      </c>
      <c r="C351" s="1">
        <v>41319</v>
      </c>
      <c r="D351" t="s">
        <v>6164</v>
      </c>
      <c r="E351">
        <v>109418</v>
      </c>
      <c r="F351">
        <v>0</v>
      </c>
      <c r="G351">
        <v>0</v>
      </c>
      <c r="H351">
        <v>0</v>
      </c>
      <c r="I351">
        <v>-6</v>
      </c>
      <c r="J351">
        <v>109418</v>
      </c>
      <c r="K351" t="s">
        <v>6035</v>
      </c>
      <c r="L351" s="1">
        <v>41274</v>
      </c>
      <c r="M351" t="s">
        <v>7008</v>
      </c>
      <c r="N351" t="s">
        <v>36</v>
      </c>
      <c r="O351" t="s">
        <v>6047</v>
      </c>
      <c r="P351" t="s">
        <v>6166</v>
      </c>
      <c r="Q351" t="s">
        <v>39</v>
      </c>
      <c r="R351" t="s">
        <v>40</v>
      </c>
      <c r="S351">
        <v>0</v>
      </c>
      <c r="U351" t="s">
        <v>5550</v>
      </c>
      <c r="V351" t="s">
        <v>1797</v>
      </c>
      <c r="W351" t="s">
        <v>6167</v>
      </c>
      <c r="X351" t="s">
        <v>74</v>
      </c>
      <c r="Y351" t="b">
        <v>0</v>
      </c>
      <c r="Z351" t="b">
        <v>0</v>
      </c>
      <c r="AA351" t="b">
        <v>0</v>
      </c>
      <c r="AC351" s="1"/>
      <c r="AF351">
        <v>0</v>
      </c>
      <c r="AG351">
        <v>45</v>
      </c>
      <c r="AH351">
        <v>39</v>
      </c>
      <c r="AI351" s="2">
        <f>Table__192.168.3.138AgingReportBEWLGS[[#This Row],[NetAmount]]-Table__192.168.3.138AgingReportBEWLGS[[#This Row],[Paid]]</f>
        <v>109418</v>
      </c>
    </row>
    <row r="352" spans="1:35">
      <c r="A352" t="s">
        <v>7009</v>
      </c>
      <c r="B352" s="1">
        <v>41289</v>
      </c>
      <c r="C352" s="1">
        <v>41334</v>
      </c>
      <c r="D352" t="s">
        <v>7010</v>
      </c>
      <c r="E352">
        <v>315</v>
      </c>
      <c r="F352">
        <v>50</v>
      </c>
      <c r="G352">
        <v>0</v>
      </c>
      <c r="H352">
        <v>0</v>
      </c>
      <c r="I352">
        <v>-6</v>
      </c>
      <c r="J352">
        <v>365</v>
      </c>
      <c r="K352" t="s">
        <v>7011</v>
      </c>
      <c r="L352" s="1">
        <v>41274</v>
      </c>
      <c r="N352" t="s">
        <v>36</v>
      </c>
      <c r="O352" t="s">
        <v>6047</v>
      </c>
      <c r="P352" t="s">
        <v>7012</v>
      </c>
      <c r="Q352" t="s">
        <v>39</v>
      </c>
      <c r="R352" t="s">
        <v>40</v>
      </c>
      <c r="S352">
        <v>0</v>
      </c>
      <c r="U352" t="s">
        <v>5550</v>
      </c>
      <c r="V352" t="s">
        <v>1797</v>
      </c>
      <c r="X352" t="s">
        <v>74</v>
      </c>
      <c r="Y352" t="b">
        <v>0</v>
      </c>
      <c r="Z352" t="b">
        <v>0</v>
      </c>
      <c r="AC352" s="1"/>
      <c r="AF352">
        <v>0</v>
      </c>
      <c r="AG352">
        <v>45</v>
      </c>
      <c r="AH352">
        <v>39</v>
      </c>
      <c r="AI352" s="2">
        <f>Table__192.168.3.138AgingReportBEWLGS[[#This Row],[NetAmount]]-Table__192.168.3.138AgingReportBEWLGS[[#This Row],[Paid]]</f>
        <v>365</v>
      </c>
    </row>
    <row r="353" spans="1:35">
      <c r="A353" t="s">
        <v>7013</v>
      </c>
      <c r="B353" s="1">
        <v>41303</v>
      </c>
      <c r="C353" s="1">
        <v>41348</v>
      </c>
      <c r="D353" t="s">
        <v>7010</v>
      </c>
      <c r="E353">
        <v>360</v>
      </c>
      <c r="F353">
        <v>58</v>
      </c>
      <c r="G353">
        <v>0</v>
      </c>
      <c r="H353">
        <v>0</v>
      </c>
      <c r="I353">
        <v>55</v>
      </c>
      <c r="J353">
        <v>418</v>
      </c>
      <c r="K353" t="s">
        <v>7014</v>
      </c>
      <c r="L353" s="1">
        <v>41213</v>
      </c>
      <c r="N353" t="s">
        <v>36</v>
      </c>
      <c r="O353" t="s">
        <v>6047</v>
      </c>
      <c r="P353" t="s">
        <v>7012</v>
      </c>
      <c r="Q353" t="s">
        <v>39</v>
      </c>
      <c r="R353" t="s">
        <v>40</v>
      </c>
      <c r="S353">
        <v>0</v>
      </c>
      <c r="U353" t="s">
        <v>5550</v>
      </c>
      <c r="V353" t="s">
        <v>1797</v>
      </c>
      <c r="X353" t="s">
        <v>74</v>
      </c>
      <c r="Y353" t="b">
        <v>0</v>
      </c>
      <c r="Z353" t="b">
        <v>0</v>
      </c>
      <c r="AC353" s="1"/>
      <c r="AF353">
        <v>0</v>
      </c>
      <c r="AG353">
        <v>45</v>
      </c>
      <c r="AH353">
        <v>100</v>
      </c>
      <c r="AI353" s="2">
        <f>Table__192.168.3.138AgingReportBEWLGS[[#This Row],[NetAmount]]-Table__192.168.3.138AgingReportBEWLGS[[#This Row],[Paid]]</f>
        <v>418</v>
      </c>
    </row>
    <row r="354" spans="1:35">
      <c r="A354" t="s">
        <v>7015</v>
      </c>
      <c r="B354" s="1">
        <v>41303</v>
      </c>
      <c r="C354" s="1">
        <v>41348</v>
      </c>
      <c r="D354" t="s">
        <v>7010</v>
      </c>
      <c r="E354">
        <v>255</v>
      </c>
      <c r="F354">
        <v>41</v>
      </c>
      <c r="G354">
        <v>0</v>
      </c>
      <c r="H354">
        <v>0</v>
      </c>
      <c r="I354">
        <v>25</v>
      </c>
      <c r="J354">
        <v>296</v>
      </c>
      <c r="K354" t="s">
        <v>7016</v>
      </c>
      <c r="L354" s="1">
        <v>41243</v>
      </c>
      <c r="N354" t="s">
        <v>36</v>
      </c>
      <c r="O354" t="s">
        <v>6047</v>
      </c>
      <c r="P354" t="s">
        <v>7012</v>
      </c>
      <c r="Q354" t="s">
        <v>39</v>
      </c>
      <c r="R354" t="s">
        <v>40</v>
      </c>
      <c r="S354">
        <v>0</v>
      </c>
      <c r="U354" t="s">
        <v>5550</v>
      </c>
      <c r="V354" t="s">
        <v>1797</v>
      </c>
      <c r="X354" t="s">
        <v>74</v>
      </c>
      <c r="Y354" t="b">
        <v>0</v>
      </c>
      <c r="Z354" t="b">
        <v>0</v>
      </c>
      <c r="AC354" s="1"/>
      <c r="AF354">
        <v>0</v>
      </c>
      <c r="AG354">
        <v>45</v>
      </c>
      <c r="AH354">
        <v>70</v>
      </c>
      <c r="AI354" s="2">
        <f>Table__192.168.3.138AgingReportBEWLGS[[#This Row],[NetAmount]]-Table__192.168.3.138AgingReportBEWLGS[[#This Row],[Paid]]</f>
        <v>296</v>
      </c>
    </row>
    <row r="355" spans="1:35">
      <c r="A355" t="s">
        <v>7017</v>
      </c>
      <c r="B355" s="1">
        <v>41304</v>
      </c>
      <c r="C355" s="1">
        <v>41349</v>
      </c>
      <c r="D355" t="s">
        <v>6183</v>
      </c>
      <c r="E355">
        <v>189326</v>
      </c>
      <c r="F355">
        <v>0</v>
      </c>
      <c r="G355">
        <v>0</v>
      </c>
      <c r="H355">
        <v>0</v>
      </c>
      <c r="I355">
        <v>-37</v>
      </c>
      <c r="J355">
        <v>189326</v>
      </c>
      <c r="K355" t="s">
        <v>7018</v>
      </c>
      <c r="L355" s="1">
        <v>41305</v>
      </c>
      <c r="M355" t="s">
        <v>7019</v>
      </c>
      <c r="N355" t="s">
        <v>36</v>
      </c>
      <c r="O355" t="s">
        <v>6047</v>
      </c>
      <c r="P355" t="s">
        <v>6185</v>
      </c>
      <c r="Q355" t="s">
        <v>39</v>
      </c>
      <c r="R355" t="s">
        <v>40</v>
      </c>
      <c r="S355">
        <v>0</v>
      </c>
      <c r="U355" t="s">
        <v>5550</v>
      </c>
      <c r="V355" t="s">
        <v>1797</v>
      </c>
      <c r="W355" t="s">
        <v>6186</v>
      </c>
      <c r="X355" t="s">
        <v>74</v>
      </c>
      <c r="Y355" t="b">
        <v>0</v>
      </c>
      <c r="Z355" t="b">
        <v>0</v>
      </c>
      <c r="AA355" t="b">
        <v>0</v>
      </c>
      <c r="AC355" s="1"/>
      <c r="AF355">
        <v>0</v>
      </c>
      <c r="AG355">
        <v>45</v>
      </c>
      <c r="AH355">
        <v>8</v>
      </c>
      <c r="AI355" s="2">
        <f>Table__192.168.3.138AgingReportBEWLGS[[#This Row],[NetAmount]]-Table__192.168.3.138AgingReportBEWLGS[[#This Row],[Paid]]</f>
        <v>189326</v>
      </c>
    </row>
    <row r="356" spans="1:35">
      <c r="A356" t="s">
        <v>7020</v>
      </c>
      <c r="B356" s="1">
        <v>41304</v>
      </c>
      <c r="C356" s="1">
        <v>41349</v>
      </c>
      <c r="D356" t="s">
        <v>6203</v>
      </c>
      <c r="E356">
        <v>91200</v>
      </c>
      <c r="F356">
        <v>0</v>
      </c>
      <c r="G356">
        <v>0</v>
      </c>
      <c r="H356">
        <v>0</v>
      </c>
      <c r="I356">
        <v>-37</v>
      </c>
      <c r="J356">
        <v>91200</v>
      </c>
      <c r="K356" t="s">
        <v>7021</v>
      </c>
      <c r="L356" s="1">
        <v>41305</v>
      </c>
      <c r="M356" t="s">
        <v>7022</v>
      </c>
      <c r="N356" t="s">
        <v>36</v>
      </c>
      <c r="O356" t="s">
        <v>6047</v>
      </c>
      <c r="P356" t="s">
        <v>6205</v>
      </c>
      <c r="Q356" t="s">
        <v>39</v>
      </c>
      <c r="R356" t="s">
        <v>40</v>
      </c>
      <c r="S356">
        <v>0</v>
      </c>
      <c r="U356" t="s">
        <v>5550</v>
      </c>
      <c r="V356" t="s">
        <v>1797</v>
      </c>
      <c r="W356" t="s">
        <v>6206</v>
      </c>
      <c r="X356" t="s">
        <v>74</v>
      </c>
      <c r="Y356" t="b">
        <v>0</v>
      </c>
      <c r="Z356" t="b">
        <v>0</v>
      </c>
      <c r="AA356" t="b">
        <v>0</v>
      </c>
      <c r="AC356" s="1"/>
      <c r="AF356">
        <v>0</v>
      </c>
      <c r="AG356">
        <v>45</v>
      </c>
      <c r="AH356">
        <v>8</v>
      </c>
      <c r="AI356" s="2">
        <f>Table__192.168.3.138AgingReportBEWLGS[[#This Row],[NetAmount]]-Table__192.168.3.138AgingReportBEWLGS[[#This Row],[Paid]]</f>
        <v>91200</v>
      </c>
    </row>
    <row r="357" spans="1:35">
      <c r="A357" t="s">
        <v>7023</v>
      </c>
      <c r="B357" s="1">
        <v>41304</v>
      </c>
      <c r="C357" s="1">
        <v>41349</v>
      </c>
      <c r="D357" t="s">
        <v>6198</v>
      </c>
      <c r="E357">
        <v>1020437</v>
      </c>
      <c r="F357">
        <v>0</v>
      </c>
      <c r="G357">
        <v>0</v>
      </c>
      <c r="H357">
        <v>0</v>
      </c>
      <c r="I357">
        <v>-34</v>
      </c>
      <c r="J357">
        <v>1020437</v>
      </c>
      <c r="K357" t="s">
        <v>7024</v>
      </c>
      <c r="L357" s="1">
        <v>41302</v>
      </c>
      <c r="M357" t="s">
        <v>7025</v>
      </c>
      <c r="N357" t="s">
        <v>36</v>
      </c>
      <c r="O357" t="s">
        <v>6047</v>
      </c>
      <c r="P357" t="s">
        <v>6200</v>
      </c>
      <c r="Q357" t="s">
        <v>39</v>
      </c>
      <c r="R357" t="s">
        <v>40</v>
      </c>
      <c r="S357">
        <v>0</v>
      </c>
      <c r="U357" t="s">
        <v>5550</v>
      </c>
      <c r="V357" t="s">
        <v>1797</v>
      </c>
      <c r="W357" t="s">
        <v>6201</v>
      </c>
      <c r="X357" t="s">
        <v>74</v>
      </c>
      <c r="Y357" t="b">
        <v>0</v>
      </c>
      <c r="Z357" t="b">
        <v>0</v>
      </c>
      <c r="AA357" t="b">
        <v>0</v>
      </c>
      <c r="AC357" s="1"/>
      <c r="AF357">
        <v>0</v>
      </c>
      <c r="AG357">
        <v>45</v>
      </c>
      <c r="AH357">
        <v>11</v>
      </c>
      <c r="AI357" s="2">
        <f>Table__192.168.3.138AgingReportBEWLGS[[#This Row],[NetAmount]]-Table__192.168.3.138AgingReportBEWLGS[[#This Row],[Paid]]</f>
        <v>1020437</v>
      </c>
    </row>
    <row r="358" spans="1:35">
      <c r="A358" t="s">
        <v>7026</v>
      </c>
      <c r="B358" s="1">
        <v>41304</v>
      </c>
      <c r="C358" s="1">
        <v>41349</v>
      </c>
      <c r="D358" t="s">
        <v>6193</v>
      </c>
      <c r="E358">
        <v>988724</v>
      </c>
      <c r="F358">
        <v>0</v>
      </c>
      <c r="G358">
        <v>0</v>
      </c>
      <c r="H358">
        <v>0</v>
      </c>
      <c r="I358">
        <v>-34</v>
      </c>
      <c r="J358">
        <v>988724</v>
      </c>
      <c r="K358" t="s">
        <v>7027</v>
      </c>
      <c r="L358" s="1">
        <v>41302</v>
      </c>
      <c r="M358" t="s">
        <v>7028</v>
      </c>
      <c r="N358" t="s">
        <v>36</v>
      </c>
      <c r="O358" t="s">
        <v>6047</v>
      </c>
      <c r="P358" t="s">
        <v>6195</v>
      </c>
      <c r="Q358" t="s">
        <v>39</v>
      </c>
      <c r="R358" t="s">
        <v>40</v>
      </c>
      <c r="S358">
        <v>0</v>
      </c>
      <c r="U358" t="s">
        <v>5550</v>
      </c>
      <c r="V358" t="s">
        <v>1797</v>
      </c>
      <c r="W358" t="s">
        <v>6196</v>
      </c>
      <c r="X358" t="s">
        <v>74</v>
      </c>
      <c r="Y358" t="b">
        <v>0</v>
      </c>
      <c r="Z358" t="b">
        <v>0</v>
      </c>
      <c r="AA358" t="b">
        <v>0</v>
      </c>
      <c r="AC358" s="1"/>
      <c r="AF358">
        <v>0</v>
      </c>
      <c r="AG358">
        <v>45</v>
      </c>
      <c r="AH358">
        <v>11</v>
      </c>
      <c r="AI358" s="2">
        <f>Table__192.168.3.138AgingReportBEWLGS[[#This Row],[NetAmount]]-Table__192.168.3.138AgingReportBEWLGS[[#This Row],[Paid]]</f>
        <v>988724</v>
      </c>
    </row>
    <row r="359" spans="1:35">
      <c r="A359" t="s">
        <v>7029</v>
      </c>
      <c r="B359" s="1">
        <v>41304</v>
      </c>
      <c r="C359" s="1">
        <v>41349</v>
      </c>
      <c r="D359" t="s">
        <v>6188</v>
      </c>
      <c r="E359">
        <v>363920</v>
      </c>
      <c r="F359">
        <v>0</v>
      </c>
      <c r="G359">
        <v>0</v>
      </c>
      <c r="H359">
        <v>0</v>
      </c>
      <c r="I359">
        <v>-34</v>
      </c>
      <c r="J359">
        <v>363920</v>
      </c>
      <c r="K359" t="s">
        <v>7027</v>
      </c>
      <c r="L359" s="1">
        <v>41302</v>
      </c>
      <c r="M359" t="s">
        <v>7030</v>
      </c>
      <c r="N359" t="s">
        <v>36</v>
      </c>
      <c r="O359" t="s">
        <v>6047</v>
      </c>
      <c r="P359" t="s">
        <v>6190</v>
      </c>
      <c r="Q359" t="s">
        <v>39</v>
      </c>
      <c r="R359" t="s">
        <v>40</v>
      </c>
      <c r="S359">
        <v>0</v>
      </c>
      <c r="U359" t="s">
        <v>5550</v>
      </c>
      <c r="V359" t="s">
        <v>1797</v>
      </c>
      <c r="W359" t="s">
        <v>6191</v>
      </c>
      <c r="X359" t="s">
        <v>74</v>
      </c>
      <c r="Y359" t="b">
        <v>0</v>
      </c>
      <c r="Z359" t="b">
        <v>0</v>
      </c>
      <c r="AA359" t="b">
        <v>0</v>
      </c>
      <c r="AC359" s="1"/>
      <c r="AF359">
        <v>0</v>
      </c>
      <c r="AG359">
        <v>45</v>
      </c>
      <c r="AH359">
        <v>11</v>
      </c>
      <c r="AI359" s="2">
        <f>Table__192.168.3.138AgingReportBEWLGS[[#This Row],[NetAmount]]-Table__192.168.3.138AgingReportBEWLGS[[#This Row],[Paid]]</f>
        <v>363920</v>
      </c>
    </row>
    <row r="360" spans="1:35">
      <c r="A360" t="s">
        <v>7031</v>
      </c>
      <c r="B360" s="1">
        <v>41304</v>
      </c>
      <c r="C360" s="1">
        <v>41349</v>
      </c>
      <c r="D360" t="s">
        <v>6183</v>
      </c>
      <c r="E360">
        <v>54210</v>
      </c>
      <c r="F360">
        <v>0</v>
      </c>
      <c r="G360">
        <v>0</v>
      </c>
      <c r="H360">
        <v>0</v>
      </c>
      <c r="I360">
        <v>-34</v>
      </c>
      <c r="J360">
        <v>54210</v>
      </c>
      <c r="K360" t="s">
        <v>7032</v>
      </c>
      <c r="L360" s="1">
        <v>41302</v>
      </c>
      <c r="M360" t="s">
        <v>7033</v>
      </c>
      <c r="N360" t="s">
        <v>36</v>
      </c>
      <c r="O360" t="s">
        <v>6047</v>
      </c>
      <c r="P360" t="s">
        <v>6185</v>
      </c>
      <c r="Q360" t="s">
        <v>39</v>
      </c>
      <c r="R360" t="s">
        <v>40</v>
      </c>
      <c r="S360">
        <v>0</v>
      </c>
      <c r="U360" t="s">
        <v>5550</v>
      </c>
      <c r="V360" t="s">
        <v>1797</v>
      </c>
      <c r="W360" t="s">
        <v>6186</v>
      </c>
      <c r="X360" t="s">
        <v>74</v>
      </c>
      <c r="Y360" t="b">
        <v>0</v>
      </c>
      <c r="Z360" t="b">
        <v>0</v>
      </c>
      <c r="AA360" t="b">
        <v>0</v>
      </c>
      <c r="AC360" s="1"/>
      <c r="AF360">
        <v>0</v>
      </c>
      <c r="AG360">
        <v>45</v>
      </c>
      <c r="AH360">
        <v>11</v>
      </c>
      <c r="AI360" s="2">
        <f>Table__192.168.3.138AgingReportBEWLGS[[#This Row],[NetAmount]]-Table__192.168.3.138AgingReportBEWLGS[[#This Row],[Paid]]</f>
        <v>54210</v>
      </c>
    </row>
    <row r="361" spans="1:35">
      <c r="A361" t="s">
        <v>7034</v>
      </c>
      <c r="B361" s="1">
        <v>41304</v>
      </c>
      <c r="C361" s="1">
        <v>41349</v>
      </c>
      <c r="D361" t="s">
        <v>6198</v>
      </c>
      <c r="E361">
        <v>22576</v>
      </c>
      <c r="F361">
        <v>0</v>
      </c>
      <c r="G361">
        <v>0</v>
      </c>
      <c r="H361">
        <v>0</v>
      </c>
      <c r="I361">
        <v>-34</v>
      </c>
      <c r="J361">
        <v>22576</v>
      </c>
      <c r="K361" t="s">
        <v>7024</v>
      </c>
      <c r="L361" s="1">
        <v>41302</v>
      </c>
      <c r="M361" t="s">
        <v>7035</v>
      </c>
      <c r="N361" t="s">
        <v>36</v>
      </c>
      <c r="O361" t="s">
        <v>6047</v>
      </c>
      <c r="P361" t="s">
        <v>6200</v>
      </c>
      <c r="Q361" t="s">
        <v>39</v>
      </c>
      <c r="R361" t="s">
        <v>40</v>
      </c>
      <c r="S361">
        <v>0</v>
      </c>
      <c r="U361" t="s">
        <v>5550</v>
      </c>
      <c r="V361" t="s">
        <v>1797</v>
      </c>
      <c r="W361" t="s">
        <v>6201</v>
      </c>
      <c r="X361" t="s">
        <v>74</v>
      </c>
      <c r="Y361" t="b">
        <v>0</v>
      </c>
      <c r="Z361" t="b">
        <v>0</v>
      </c>
      <c r="AA361" t="b">
        <v>0</v>
      </c>
      <c r="AC361" s="1"/>
      <c r="AF361">
        <v>0</v>
      </c>
      <c r="AG361">
        <v>45</v>
      </c>
      <c r="AH361">
        <v>11</v>
      </c>
      <c r="AI361" s="2">
        <f>Table__192.168.3.138AgingReportBEWLGS[[#This Row],[NetAmount]]-Table__192.168.3.138AgingReportBEWLGS[[#This Row],[Paid]]</f>
        <v>22576</v>
      </c>
    </row>
    <row r="362" spans="1:35">
      <c r="A362" t="s">
        <v>7036</v>
      </c>
      <c r="B362" s="1">
        <v>41305</v>
      </c>
      <c r="C362" s="1">
        <v>41350</v>
      </c>
      <c r="D362" t="s">
        <v>6290</v>
      </c>
      <c r="E362">
        <v>136300</v>
      </c>
      <c r="F362">
        <v>0</v>
      </c>
      <c r="G362">
        <v>0</v>
      </c>
      <c r="H362">
        <v>0</v>
      </c>
      <c r="I362">
        <v>-37</v>
      </c>
      <c r="J362">
        <v>136300</v>
      </c>
      <c r="K362" t="s">
        <v>3053</v>
      </c>
      <c r="L362" s="1">
        <v>41305</v>
      </c>
      <c r="N362" t="s">
        <v>36</v>
      </c>
      <c r="O362" t="s">
        <v>6047</v>
      </c>
      <c r="P362" t="s">
        <v>6291</v>
      </c>
      <c r="Q362" t="s">
        <v>5285</v>
      </c>
      <c r="R362" t="s">
        <v>5286</v>
      </c>
      <c r="S362">
        <v>0</v>
      </c>
      <c r="U362" t="s">
        <v>5550</v>
      </c>
      <c r="V362" t="s">
        <v>1797</v>
      </c>
      <c r="X362" t="s">
        <v>74</v>
      </c>
      <c r="Y362" t="b">
        <v>0</v>
      </c>
      <c r="Z362" t="b">
        <v>0</v>
      </c>
      <c r="AC362" s="1"/>
      <c r="AF362">
        <v>0</v>
      </c>
      <c r="AG362">
        <v>45</v>
      </c>
      <c r="AH362">
        <v>8</v>
      </c>
      <c r="AI362" s="2">
        <f>Table__192.168.3.138AgingReportBEWLGS[[#This Row],[NetAmount]]-Table__192.168.3.138AgingReportBEWLGS[[#This Row],[Paid]]</f>
        <v>136300</v>
      </c>
    </row>
    <row r="363" spans="1:35">
      <c r="A363" t="s">
        <v>7037</v>
      </c>
      <c r="B363" s="1">
        <v>41305</v>
      </c>
      <c r="C363" s="1">
        <v>41350</v>
      </c>
      <c r="D363" t="s">
        <v>6150</v>
      </c>
      <c r="E363">
        <v>102100</v>
      </c>
      <c r="F363">
        <v>0</v>
      </c>
      <c r="G363">
        <v>0</v>
      </c>
      <c r="H363">
        <v>0</v>
      </c>
      <c r="I363">
        <v>-37</v>
      </c>
      <c r="J363">
        <v>102100</v>
      </c>
      <c r="K363" t="s">
        <v>1550</v>
      </c>
      <c r="L363" s="1">
        <v>41305</v>
      </c>
      <c r="N363" t="s">
        <v>36</v>
      </c>
      <c r="O363" t="s">
        <v>6047</v>
      </c>
      <c r="P363" t="s">
        <v>6151</v>
      </c>
      <c r="Q363" t="s">
        <v>5285</v>
      </c>
      <c r="R363" t="s">
        <v>5286</v>
      </c>
      <c r="S363">
        <v>0</v>
      </c>
      <c r="U363" t="s">
        <v>5550</v>
      </c>
      <c r="V363" t="s">
        <v>1797</v>
      </c>
      <c r="X363" t="s">
        <v>74</v>
      </c>
      <c r="Y363" t="b">
        <v>0</v>
      </c>
      <c r="Z363" t="b">
        <v>0</v>
      </c>
      <c r="AC363" s="1"/>
      <c r="AF363">
        <v>0</v>
      </c>
      <c r="AG363">
        <v>45</v>
      </c>
      <c r="AH363">
        <v>8</v>
      </c>
      <c r="AI363" s="2">
        <f>Table__192.168.3.138AgingReportBEWLGS[[#This Row],[NetAmount]]-Table__192.168.3.138AgingReportBEWLGS[[#This Row],[Paid]]</f>
        <v>102100</v>
      </c>
    </row>
    <row r="364" spans="1:35">
      <c r="A364" t="s">
        <v>7038</v>
      </c>
      <c r="B364" s="1">
        <v>41305</v>
      </c>
      <c r="C364" s="1">
        <v>41350</v>
      </c>
      <c r="D364" t="s">
        <v>6155</v>
      </c>
      <c r="E364">
        <v>119410</v>
      </c>
      <c r="F364">
        <v>0</v>
      </c>
      <c r="G364">
        <v>0</v>
      </c>
      <c r="H364">
        <v>0</v>
      </c>
      <c r="I364">
        <v>-37</v>
      </c>
      <c r="J364">
        <v>119410</v>
      </c>
      <c r="K364" t="s">
        <v>6856</v>
      </c>
      <c r="L364" s="1">
        <v>41305</v>
      </c>
      <c r="N364" t="s">
        <v>36</v>
      </c>
      <c r="O364" t="s">
        <v>6047</v>
      </c>
      <c r="P364" t="s">
        <v>6156</v>
      </c>
      <c r="Q364" t="s">
        <v>5285</v>
      </c>
      <c r="R364" t="s">
        <v>5286</v>
      </c>
      <c r="S364">
        <v>0</v>
      </c>
      <c r="U364" t="s">
        <v>5550</v>
      </c>
      <c r="V364" t="s">
        <v>1797</v>
      </c>
      <c r="X364" t="s">
        <v>74</v>
      </c>
      <c r="Y364" t="b">
        <v>0</v>
      </c>
      <c r="Z364" t="b">
        <v>0</v>
      </c>
      <c r="AC364" s="1"/>
      <c r="AF364">
        <v>0</v>
      </c>
      <c r="AG364">
        <v>45</v>
      </c>
      <c r="AH364">
        <v>8</v>
      </c>
      <c r="AI364" s="2">
        <f>Table__192.168.3.138AgingReportBEWLGS[[#This Row],[NetAmount]]-Table__192.168.3.138AgingReportBEWLGS[[#This Row],[Paid]]</f>
        <v>119410</v>
      </c>
    </row>
    <row r="365" spans="1:35">
      <c r="A365" t="s">
        <v>7039</v>
      </c>
      <c r="B365" s="1">
        <v>41267</v>
      </c>
      <c r="C365" s="1">
        <v>41312</v>
      </c>
      <c r="D365" t="s">
        <v>6939</v>
      </c>
      <c r="E365">
        <v>9275</v>
      </c>
      <c r="F365">
        <v>0</v>
      </c>
      <c r="G365">
        <v>0</v>
      </c>
      <c r="H365">
        <v>0</v>
      </c>
      <c r="I365">
        <v>1</v>
      </c>
      <c r="J365">
        <v>9275</v>
      </c>
      <c r="K365" t="s">
        <v>6940</v>
      </c>
      <c r="L365" s="1">
        <v>41267</v>
      </c>
      <c r="M365" t="s">
        <v>7040</v>
      </c>
      <c r="N365" t="s">
        <v>1218</v>
      </c>
      <c r="O365" t="s">
        <v>36</v>
      </c>
      <c r="P365" t="s">
        <v>6942</v>
      </c>
      <c r="Q365" t="s">
        <v>39</v>
      </c>
      <c r="R365" t="s">
        <v>40</v>
      </c>
      <c r="S365">
        <v>0</v>
      </c>
      <c r="U365" t="s">
        <v>5550</v>
      </c>
      <c r="V365" t="s">
        <v>6047</v>
      </c>
      <c r="W365" t="s">
        <v>6943</v>
      </c>
      <c r="X365" t="s">
        <v>74</v>
      </c>
      <c r="Y365" t="b">
        <v>0</v>
      </c>
      <c r="Z365" t="b">
        <v>0</v>
      </c>
      <c r="AA365" t="b">
        <v>0</v>
      </c>
      <c r="AC365" s="1"/>
      <c r="AF365">
        <v>0</v>
      </c>
      <c r="AG365">
        <v>45</v>
      </c>
      <c r="AH365">
        <v>46</v>
      </c>
      <c r="AI365" s="2">
        <f>Table__192.168.3.138AgingReportBEWLGS[[#This Row],[NetAmount]]-Table__192.168.3.138AgingReportBEWLGS[[#This Row],[Paid]]</f>
        <v>9275</v>
      </c>
    </row>
    <row r="366" spans="1:35">
      <c r="A366" t="s">
        <v>7041</v>
      </c>
      <c r="B366" s="1">
        <v>41170</v>
      </c>
      <c r="C366" s="1">
        <v>41215</v>
      </c>
      <c r="D366" t="s">
        <v>6278</v>
      </c>
      <c r="E366">
        <v>519</v>
      </c>
      <c r="F366">
        <v>101</v>
      </c>
      <c r="G366">
        <v>0</v>
      </c>
      <c r="H366">
        <v>0</v>
      </c>
      <c r="I366">
        <v>98</v>
      </c>
      <c r="J366">
        <v>620</v>
      </c>
      <c r="L366" s="1">
        <v>41170</v>
      </c>
      <c r="N366" t="s">
        <v>1218</v>
      </c>
      <c r="O366" t="s">
        <v>6045</v>
      </c>
      <c r="P366" t="s">
        <v>6280</v>
      </c>
      <c r="Q366" t="s">
        <v>39</v>
      </c>
      <c r="R366" t="s">
        <v>40</v>
      </c>
      <c r="S366">
        <v>0</v>
      </c>
      <c r="U366" t="s">
        <v>5550</v>
      </c>
      <c r="V366" t="s">
        <v>1797</v>
      </c>
      <c r="X366" t="s">
        <v>74</v>
      </c>
      <c r="Y366" t="b">
        <v>0</v>
      </c>
      <c r="Z366" t="b">
        <v>0</v>
      </c>
      <c r="AC366" s="1"/>
      <c r="AF366">
        <v>0</v>
      </c>
      <c r="AG366">
        <v>45</v>
      </c>
      <c r="AH366">
        <v>143</v>
      </c>
      <c r="AI366" s="2">
        <f>Table__192.168.3.138AgingReportBEWLGS[[#This Row],[NetAmount]]-Table__192.168.3.138AgingReportBEWLGS[[#This Row],[Paid]]</f>
        <v>620</v>
      </c>
    </row>
    <row r="367" spans="1:35">
      <c r="A367" t="s">
        <v>7042</v>
      </c>
      <c r="B367" s="1">
        <v>41170</v>
      </c>
      <c r="C367" s="1">
        <v>41215</v>
      </c>
      <c r="D367" t="s">
        <v>6296</v>
      </c>
      <c r="E367">
        <v>14299</v>
      </c>
      <c r="F367">
        <v>0</v>
      </c>
      <c r="G367">
        <v>0</v>
      </c>
      <c r="H367">
        <v>0</v>
      </c>
      <c r="I367">
        <v>98</v>
      </c>
      <c r="J367">
        <v>14299</v>
      </c>
      <c r="K367" t="s">
        <v>5807</v>
      </c>
      <c r="L367" s="1">
        <v>41170</v>
      </c>
      <c r="N367" t="s">
        <v>1218</v>
      </c>
      <c r="O367" t="s">
        <v>6045</v>
      </c>
      <c r="P367" t="s">
        <v>6297</v>
      </c>
      <c r="Q367" t="s">
        <v>39</v>
      </c>
      <c r="R367" t="s">
        <v>40</v>
      </c>
      <c r="S367">
        <v>0</v>
      </c>
      <c r="U367" t="s">
        <v>5550</v>
      </c>
      <c r="V367" t="s">
        <v>1797</v>
      </c>
      <c r="X367" t="s">
        <v>74</v>
      </c>
      <c r="Y367" t="b">
        <v>0</v>
      </c>
      <c r="Z367" t="b">
        <v>0</v>
      </c>
      <c r="AC367" s="1"/>
      <c r="AF367">
        <v>0</v>
      </c>
      <c r="AG367">
        <v>45</v>
      </c>
      <c r="AH367">
        <v>143</v>
      </c>
      <c r="AI367" s="2">
        <f>Table__192.168.3.138AgingReportBEWLGS[[#This Row],[NetAmount]]-Table__192.168.3.138AgingReportBEWLGS[[#This Row],[Paid]]</f>
        <v>14299</v>
      </c>
    </row>
    <row r="368" spans="1:35">
      <c r="A368" t="s">
        <v>7043</v>
      </c>
      <c r="B368" s="1">
        <v>41107</v>
      </c>
      <c r="C368" s="1">
        <v>41152</v>
      </c>
      <c r="D368" t="s">
        <v>6278</v>
      </c>
      <c r="E368">
        <v>703</v>
      </c>
      <c r="F368">
        <v>137</v>
      </c>
      <c r="G368">
        <v>0</v>
      </c>
      <c r="H368">
        <v>0</v>
      </c>
      <c r="I368">
        <v>147</v>
      </c>
      <c r="J368">
        <v>840</v>
      </c>
      <c r="K368" t="s">
        <v>5695</v>
      </c>
      <c r="L368" s="1">
        <v>41121</v>
      </c>
      <c r="N368" t="s">
        <v>1218</v>
      </c>
      <c r="O368" t="s">
        <v>6045</v>
      </c>
      <c r="P368" t="s">
        <v>6280</v>
      </c>
      <c r="Q368" t="s">
        <v>39</v>
      </c>
      <c r="R368" t="s">
        <v>40</v>
      </c>
      <c r="S368">
        <v>0</v>
      </c>
      <c r="U368" t="s">
        <v>5550</v>
      </c>
      <c r="V368" t="s">
        <v>1797</v>
      </c>
      <c r="X368" t="s">
        <v>74</v>
      </c>
      <c r="Y368" t="b">
        <v>0</v>
      </c>
      <c r="Z368" t="b">
        <v>0</v>
      </c>
      <c r="AC368" s="1"/>
      <c r="AF368">
        <v>0</v>
      </c>
      <c r="AG368">
        <v>45</v>
      </c>
      <c r="AH368">
        <v>192</v>
      </c>
      <c r="AI368" s="2">
        <f>Table__192.168.3.138AgingReportBEWLGS[[#This Row],[NetAmount]]-Table__192.168.3.138AgingReportBEWLGS[[#This Row],[Paid]]</f>
        <v>840</v>
      </c>
    </row>
    <row r="369" spans="1:35">
      <c r="A369" t="s">
        <v>7044</v>
      </c>
      <c r="B369" s="1">
        <v>41151</v>
      </c>
      <c r="C369" s="1">
        <v>41196</v>
      </c>
      <c r="D369" t="s">
        <v>6278</v>
      </c>
      <c r="E369">
        <v>670</v>
      </c>
      <c r="F369">
        <v>130</v>
      </c>
      <c r="G369">
        <v>0</v>
      </c>
      <c r="H369">
        <v>0</v>
      </c>
      <c r="I369">
        <v>116</v>
      </c>
      <c r="J369">
        <v>800</v>
      </c>
      <c r="K369" t="s">
        <v>5979</v>
      </c>
      <c r="L369" s="1">
        <v>41152</v>
      </c>
      <c r="N369" t="s">
        <v>1218</v>
      </c>
      <c r="O369" t="s">
        <v>6045</v>
      </c>
      <c r="P369" t="s">
        <v>6280</v>
      </c>
      <c r="Q369" t="s">
        <v>39</v>
      </c>
      <c r="R369" t="s">
        <v>40</v>
      </c>
      <c r="S369">
        <v>0</v>
      </c>
      <c r="U369" t="s">
        <v>5550</v>
      </c>
      <c r="V369" t="s">
        <v>1797</v>
      </c>
      <c r="X369" t="s">
        <v>74</v>
      </c>
      <c r="Y369" t="b">
        <v>0</v>
      </c>
      <c r="Z369" t="b">
        <v>0</v>
      </c>
      <c r="AC369" s="1"/>
      <c r="AF369">
        <v>0</v>
      </c>
      <c r="AG369">
        <v>45</v>
      </c>
      <c r="AH369">
        <v>161</v>
      </c>
      <c r="AI369" s="2">
        <f>Table__192.168.3.138AgingReportBEWLGS[[#This Row],[NetAmount]]-Table__192.168.3.138AgingReportBEWLGS[[#This Row],[Paid]]</f>
        <v>800</v>
      </c>
    </row>
    <row r="370" spans="1:35">
      <c r="A370" t="s">
        <v>7045</v>
      </c>
      <c r="B370" s="1">
        <v>41152</v>
      </c>
      <c r="C370" s="1">
        <v>41197</v>
      </c>
      <c r="D370" t="s">
        <v>6296</v>
      </c>
      <c r="E370">
        <v>18889</v>
      </c>
      <c r="F370">
        <v>0</v>
      </c>
      <c r="G370">
        <v>0</v>
      </c>
      <c r="H370">
        <v>0</v>
      </c>
      <c r="I370">
        <v>116</v>
      </c>
      <c r="J370">
        <v>18889</v>
      </c>
      <c r="K370" t="s">
        <v>5979</v>
      </c>
      <c r="L370" s="1">
        <v>41152</v>
      </c>
      <c r="N370" t="s">
        <v>1218</v>
      </c>
      <c r="O370" t="s">
        <v>6045</v>
      </c>
      <c r="P370" t="s">
        <v>6297</v>
      </c>
      <c r="Q370" t="s">
        <v>39</v>
      </c>
      <c r="R370" t="s">
        <v>40</v>
      </c>
      <c r="S370">
        <v>0</v>
      </c>
      <c r="U370" t="s">
        <v>5550</v>
      </c>
      <c r="V370" t="s">
        <v>1797</v>
      </c>
      <c r="X370" t="s">
        <v>74</v>
      </c>
      <c r="Y370" t="b">
        <v>0</v>
      </c>
      <c r="Z370" t="b">
        <v>0</v>
      </c>
      <c r="AC370" s="1"/>
      <c r="AF370">
        <v>0</v>
      </c>
      <c r="AG370">
        <v>45</v>
      </c>
      <c r="AH370">
        <v>161</v>
      </c>
      <c r="AI370" s="2">
        <f>Table__192.168.3.138AgingReportBEWLGS[[#This Row],[NetAmount]]-Table__192.168.3.138AgingReportBEWLGS[[#This Row],[Paid]]</f>
        <v>18889</v>
      </c>
    </row>
    <row r="371" spans="1:35">
      <c r="A371" t="s">
        <v>7046</v>
      </c>
      <c r="B371" s="1">
        <v>41195</v>
      </c>
      <c r="C371" s="1">
        <v>41240</v>
      </c>
      <c r="D371" t="s">
        <v>6296</v>
      </c>
      <c r="E371">
        <v>17645</v>
      </c>
      <c r="F371">
        <v>0</v>
      </c>
      <c r="G371">
        <v>0</v>
      </c>
      <c r="H371">
        <v>0</v>
      </c>
      <c r="I371">
        <v>86</v>
      </c>
      <c r="J371">
        <v>17645</v>
      </c>
      <c r="K371" t="s">
        <v>5807</v>
      </c>
      <c r="L371" s="1">
        <v>41182</v>
      </c>
      <c r="N371" t="s">
        <v>1218</v>
      </c>
      <c r="O371" t="s">
        <v>6045</v>
      </c>
      <c r="P371" t="s">
        <v>6297</v>
      </c>
      <c r="Q371" t="s">
        <v>39</v>
      </c>
      <c r="R371" t="s">
        <v>40</v>
      </c>
      <c r="S371">
        <v>0</v>
      </c>
      <c r="U371" t="s">
        <v>5550</v>
      </c>
      <c r="V371" t="s">
        <v>1797</v>
      </c>
      <c r="X371" t="s">
        <v>74</v>
      </c>
      <c r="Y371" t="b">
        <v>0</v>
      </c>
      <c r="Z371" t="b">
        <v>0</v>
      </c>
      <c r="AC371" s="1"/>
      <c r="AF371">
        <v>0</v>
      </c>
      <c r="AG371">
        <v>45</v>
      </c>
      <c r="AH371">
        <v>131</v>
      </c>
      <c r="AI371" s="2">
        <f>Table__192.168.3.138AgingReportBEWLGS[[#This Row],[NetAmount]]-Table__192.168.3.138AgingReportBEWLGS[[#This Row],[Paid]]</f>
        <v>17645</v>
      </c>
    </row>
    <row r="372" spans="1:35">
      <c r="A372" t="s">
        <v>7047</v>
      </c>
      <c r="B372" s="1">
        <v>41198</v>
      </c>
      <c r="C372" s="1">
        <v>41243</v>
      </c>
      <c r="D372" t="s">
        <v>6278</v>
      </c>
      <c r="E372">
        <v>485</v>
      </c>
      <c r="F372">
        <v>95</v>
      </c>
      <c r="G372">
        <v>0</v>
      </c>
      <c r="H372">
        <v>0</v>
      </c>
      <c r="I372">
        <v>55</v>
      </c>
      <c r="J372">
        <v>580</v>
      </c>
      <c r="K372" t="s">
        <v>5981</v>
      </c>
      <c r="L372" s="1">
        <v>41213</v>
      </c>
      <c r="N372" t="s">
        <v>1218</v>
      </c>
      <c r="O372" t="s">
        <v>6045</v>
      </c>
      <c r="P372" t="s">
        <v>6280</v>
      </c>
      <c r="Q372" t="s">
        <v>39</v>
      </c>
      <c r="R372" t="s">
        <v>40</v>
      </c>
      <c r="S372">
        <v>0</v>
      </c>
      <c r="U372" t="s">
        <v>5550</v>
      </c>
      <c r="V372" t="s">
        <v>1797</v>
      </c>
      <c r="X372" t="s">
        <v>74</v>
      </c>
      <c r="Y372" t="b">
        <v>0</v>
      </c>
      <c r="Z372" t="b">
        <v>0</v>
      </c>
      <c r="AC372" s="1"/>
      <c r="AF372">
        <v>0</v>
      </c>
      <c r="AG372">
        <v>45</v>
      </c>
      <c r="AH372">
        <v>100</v>
      </c>
      <c r="AI372" s="2">
        <f>Table__192.168.3.138AgingReportBEWLGS[[#This Row],[NetAmount]]-Table__192.168.3.138AgingReportBEWLGS[[#This Row],[Paid]]</f>
        <v>580</v>
      </c>
    </row>
    <row r="373" spans="1:35">
      <c r="A373" t="s">
        <v>7048</v>
      </c>
      <c r="B373" s="1">
        <v>41228</v>
      </c>
      <c r="C373" s="1">
        <v>41273</v>
      </c>
      <c r="D373" t="s">
        <v>6296</v>
      </c>
      <c r="E373">
        <v>14027</v>
      </c>
      <c r="F373">
        <v>0</v>
      </c>
      <c r="G373">
        <v>0</v>
      </c>
      <c r="H373">
        <v>0</v>
      </c>
      <c r="I373">
        <v>40</v>
      </c>
      <c r="J373">
        <v>14027</v>
      </c>
      <c r="K373" t="s">
        <v>5981</v>
      </c>
      <c r="L373" s="1">
        <v>41228</v>
      </c>
      <c r="N373" t="s">
        <v>1218</v>
      </c>
      <c r="O373" t="s">
        <v>6045</v>
      </c>
      <c r="P373" t="s">
        <v>6297</v>
      </c>
      <c r="Q373" t="s">
        <v>39</v>
      </c>
      <c r="R373" t="s">
        <v>40</v>
      </c>
      <c r="S373">
        <v>0</v>
      </c>
      <c r="U373" t="s">
        <v>5550</v>
      </c>
      <c r="V373" t="s">
        <v>1797</v>
      </c>
      <c r="X373" t="s">
        <v>74</v>
      </c>
      <c r="Y373" t="b">
        <v>0</v>
      </c>
      <c r="Z373" t="b">
        <v>0</v>
      </c>
      <c r="AC373" s="1"/>
      <c r="AF373">
        <v>0</v>
      </c>
      <c r="AG373">
        <v>45</v>
      </c>
      <c r="AH373">
        <v>85</v>
      </c>
      <c r="AI373" s="2">
        <f>Table__192.168.3.138AgingReportBEWLGS[[#This Row],[NetAmount]]-Table__192.168.3.138AgingReportBEWLGS[[#This Row],[Paid]]</f>
        <v>14027</v>
      </c>
    </row>
    <row r="374" spans="1:35">
      <c r="A374" t="s">
        <v>7049</v>
      </c>
      <c r="B374" s="1">
        <v>41228</v>
      </c>
      <c r="C374" s="1">
        <v>41273</v>
      </c>
      <c r="D374" t="s">
        <v>6278</v>
      </c>
      <c r="E374">
        <v>511</v>
      </c>
      <c r="F374">
        <v>99</v>
      </c>
      <c r="G374">
        <v>0</v>
      </c>
      <c r="H374">
        <v>0</v>
      </c>
      <c r="I374">
        <v>35</v>
      </c>
      <c r="J374">
        <v>610</v>
      </c>
      <c r="K374" t="s">
        <v>5981</v>
      </c>
      <c r="L374" s="1">
        <v>41233</v>
      </c>
      <c r="N374" t="s">
        <v>1218</v>
      </c>
      <c r="O374" t="s">
        <v>6045</v>
      </c>
      <c r="P374" t="s">
        <v>6280</v>
      </c>
      <c r="Q374" t="s">
        <v>39</v>
      </c>
      <c r="R374" t="s">
        <v>40</v>
      </c>
      <c r="S374">
        <v>0</v>
      </c>
      <c r="U374" t="s">
        <v>5550</v>
      </c>
      <c r="V374" t="s">
        <v>1797</v>
      </c>
      <c r="X374" t="s">
        <v>74</v>
      </c>
      <c r="Y374" t="b">
        <v>0</v>
      </c>
      <c r="Z374" t="b">
        <v>0</v>
      </c>
      <c r="AC374" s="1"/>
      <c r="AF374">
        <v>0</v>
      </c>
      <c r="AG374">
        <v>45</v>
      </c>
      <c r="AH374">
        <v>80</v>
      </c>
      <c r="AI374" s="2">
        <f>Table__192.168.3.138AgingReportBEWLGS[[#This Row],[NetAmount]]-Table__192.168.3.138AgingReportBEWLGS[[#This Row],[Paid]]</f>
        <v>610</v>
      </c>
    </row>
    <row r="375" spans="1:35">
      <c r="A375" t="s">
        <v>7050</v>
      </c>
      <c r="B375" s="1">
        <v>41228</v>
      </c>
      <c r="C375" s="1">
        <v>41273</v>
      </c>
      <c r="D375" t="s">
        <v>7010</v>
      </c>
      <c r="E375">
        <v>210</v>
      </c>
      <c r="F375">
        <v>34</v>
      </c>
      <c r="G375">
        <v>0</v>
      </c>
      <c r="H375">
        <v>0</v>
      </c>
      <c r="I375">
        <v>55</v>
      </c>
      <c r="J375">
        <v>244</v>
      </c>
      <c r="K375" t="s">
        <v>7051</v>
      </c>
      <c r="L375" s="1">
        <v>41213</v>
      </c>
      <c r="N375" t="s">
        <v>1218</v>
      </c>
      <c r="O375" t="s">
        <v>6045</v>
      </c>
      <c r="P375" t="s">
        <v>7012</v>
      </c>
      <c r="Q375" t="s">
        <v>39</v>
      </c>
      <c r="R375" t="s">
        <v>40</v>
      </c>
      <c r="S375">
        <v>0</v>
      </c>
      <c r="U375" t="s">
        <v>5550</v>
      </c>
      <c r="V375" t="s">
        <v>1797</v>
      </c>
      <c r="X375" t="s">
        <v>74</v>
      </c>
      <c r="Y375" t="b">
        <v>0</v>
      </c>
      <c r="Z375" t="b">
        <v>0</v>
      </c>
      <c r="AC375" s="1"/>
      <c r="AF375">
        <v>0</v>
      </c>
      <c r="AG375">
        <v>45</v>
      </c>
      <c r="AH375">
        <v>100</v>
      </c>
      <c r="AI375" s="2">
        <f>Table__192.168.3.138AgingReportBEWLGS[[#This Row],[NetAmount]]-Table__192.168.3.138AgingReportBEWLGS[[#This Row],[Paid]]</f>
        <v>244</v>
      </c>
    </row>
    <row r="376" spans="1:35">
      <c r="A376" t="s">
        <v>7052</v>
      </c>
      <c r="B376" s="1">
        <v>41258</v>
      </c>
      <c r="C376" s="1">
        <v>41303</v>
      </c>
      <c r="D376" t="s">
        <v>6296</v>
      </c>
      <c r="E376">
        <v>14657</v>
      </c>
      <c r="F376">
        <v>0</v>
      </c>
      <c r="G376">
        <v>0</v>
      </c>
      <c r="H376">
        <v>0</v>
      </c>
      <c r="I376">
        <v>25</v>
      </c>
      <c r="J376">
        <v>14657</v>
      </c>
      <c r="K376" t="s">
        <v>5976</v>
      </c>
      <c r="L376" s="1">
        <v>41243</v>
      </c>
      <c r="N376" t="s">
        <v>1218</v>
      </c>
      <c r="O376" t="s">
        <v>6045</v>
      </c>
      <c r="P376" t="s">
        <v>6297</v>
      </c>
      <c r="Q376" t="s">
        <v>39</v>
      </c>
      <c r="R376" t="s">
        <v>40</v>
      </c>
      <c r="S376">
        <v>0</v>
      </c>
      <c r="U376" t="s">
        <v>5550</v>
      </c>
      <c r="V376" t="s">
        <v>1797</v>
      </c>
      <c r="X376" t="s">
        <v>74</v>
      </c>
      <c r="Y376" t="b">
        <v>0</v>
      </c>
      <c r="Z376" t="b">
        <v>0</v>
      </c>
      <c r="AC376" s="1"/>
      <c r="AF376">
        <v>0</v>
      </c>
      <c r="AG376">
        <v>45</v>
      </c>
      <c r="AH376">
        <v>70</v>
      </c>
      <c r="AI376" s="2">
        <f>Table__192.168.3.138AgingReportBEWLGS[[#This Row],[NetAmount]]-Table__192.168.3.138AgingReportBEWLGS[[#This Row],[Paid]]</f>
        <v>14657</v>
      </c>
    </row>
    <row r="377" spans="1:35">
      <c r="A377" t="s">
        <v>7053</v>
      </c>
      <c r="B377" s="1">
        <v>41258</v>
      </c>
      <c r="C377" s="1">
        <v>41303</v>
      </c>
      <c r="D377" t="s">
        <v>7010</v>
      </c>
      <c r="E377">
        <v>120</v>
      </c>
      <c r="F377">
        <v>19</v>
      </c>
      <c r="G377">
        <v>0</v>
      </c>
      <c r="H377">
        <v>0</v>
      </c>
      <c r="I377">
        <v>25</v>
      </c>
      <c r="J377">
        <v>139</v>
      </c>
      <c r="K377" t="s">
        <v>7054</v>
      </c>
      <c r="L377" s="1">
        <v>41243</v>
      </c>
      <c r="N377" t="s">
        <v>1218</v>
      </c>
      <c r="O377" t="s">
        <v>6045</v>
      </c>
      <c r="P377" t="s">
        <v>7012</v>
      </c>
      <c r="Q377" t="s">
        <v>39</v>
      </c>
      <c r="R377" t="s">
        <v>40</v>
      </c>
      <c r="S377">
        <v>0</v>
      </c>
      <c r="U377" t="s">
        <v>5550</v>
      </c>
      <c r="V377" t="s">
        <v>1797</v>
      </c>
      <c r="X377" t="s">
        <v>74</v>
      </c>
      <c r="Y377" t="b">
        <v>0</v>
      </c>
      <c r="Z377" t="b">
        <v>0</v>
      </c>
      <c r="AC377" s="1"/>
      <c r="AF377">
        <v>0</v>
      </c>
      <c r="AG377">
        <v>45</v>
      </c>
      <c r="AH377">
        <v>70</v>
      </c>
      <c r="AI377" s="2">
        <f>Table__192.168.3.138AgingReportBEWLGS[[#This Row],[NetAmount]]-Table__192.168.3.138AgingReportBEWLGS[[#This Row],[Paid]]</f>
        <v>139</v>
      </c>
    </row>
    <row r="378" spans="1:35">
      <c r="A378" t="s">
        <v>7055</v>
      </c>
      <c r="B378" s="1">
        <v>41242</v>
      </c>
      <c r="C378" s="1">
        <v>41287</v>
      </c>
      <c r="D378" t="s">
        <v>7056</v>
      </c>
      <c r="E378">
        <v>25500</v>
      </c>
      <c r="F378">
        <v>0</v>
      </c>
      <c r="G378">
        <v>0</v>
      </c>
      <c r="H378">
        <v>0</v>
      </c>
      <c r="I378">
        <v>32</v>
      </c>
      <c r="J378">
        <v>25500</v>
      </c>
      <c r="K378" t="s">
        <v>7057</v>
      </c>
      <c r="L378" s="1">
        <v>41236</v>
      </c>
      <c r="M378" t="s">
        <v>7058</v>
      </c>
      <c r="N378" t="s">
        <v>1218</v>
      </c>
      <c r="O378" t="s">
        <v>6045</v>
      </c>
      <c r="P378" t="s">
        <v>7059</v>
      </c>
      <c r="Q378" t="s">
        <v>39</v>
      </c>
      <c r="R378" t="s">
        <v>40</v>
      </c>
      <c r="S378">
        <v>0</v>
      </c>
      <c r="U378" t="s">
        <v>5550</v>
      </c>
      <c r="V378" t="s">
        <v>1797</v>
      </c>
      <c r="W378" t="s">
        <v>7060</v>
      </c>
      <c r="X378" t="s">
        <v>74</v>
      </c>
      <c r="Y378" t="b">
        <v>0</v>
      </c>
      <c r="Z378" t="b">
        <v>0</v>
      </c>
      <c r="AA378" t="b">
        <v>0</v>
      </c>
      <c r="AC378" s="1"/>
      <c r="AF378">
        <v>0</v>
      </c>
      <c r="AG378">
        <v>45</v>
      </c>
      <c r="AH378">
        <v>77</v>
      </c>
      <c r="AI378" s="2">
        <f>Table__192.168.3.138AgingReportBEWLGS[[#This Row],[NetAmount]]-Table__192.168.3.138AgingReportBEWLGS[[#This Row],[Paid]]</f>
        <v>25500</v>
      </c>
    </row>
    <row r="379" spans="1:35">
      <c r="A379" t="s">
        <v>7061</v>
      </c>
      <c r="B379" s="1">
        <v>41274</v>
      </c>
      <c r="C379" s="1">
        <v>41319</v>
      </c>
      <c r="D379" t="s">
        <v>7062</v>
      </c>
      <c r="E379">
        <v>137195</v>
      </c>
      <c r="F379">
        <v>0</v>
      </c>
      <c r="G379">
        <v>0</v>
      </c>
      <c r="H379">
        <v>0</v>
      </c>
      <c r="I379">
        <v>-6</v>
      </c>
      <c r="J379">
        <v>137195</v>
      </c>
      <c r="K379" t="s">
        <v>6035</v>
      </c>
      <c r="L379" s="1">
        <v>41274</v>
      </c>
      <c r="M379" t="s">
        <v>7063</v>
      </c>
      <c r="N379" t="s">
        <v>1218</v>
      </c>
      <c r="O379" t="s">
        <v>6045</v>
      </c>
      <c r="P379" t="s">
        <v>7064</v>
      </c>
      <c r="Q379" t="s">
        <v>39</v>
      </c>
      <c r="R379" t="s">
        <v>40</v>
      </c>
      <c r="S379">
        <v>0</v>
      </c>
      <c r="U379" t="s">
        <v>5550</v>
      </c>
      <c r="V379" t="s">
        <v>1797</v>
      </c>
      <c r="W379" t="s">
        <v>7065</v>
      </c>
      <c r="X379" t="s">
        <v>74</v>
      </c>
      <c r="Y379" t="b">
        <v>0</v>
      </c>
      <c r="Z379" t="b">
        <v>0</v>
      </c>
      <c r="AA379" t="b">
        <v>0</v>
      </c>
      <c r="AC379" s="1"/>
      <c r="AF379">
        <v>0</v>
      </c>
      <c r="AG379">
        <v>45</v>
      </c>
      <c r="AH379">
        <v>39</v>
      </c>
      <c r="AI379" s="2">
        <f>Table__192.168.3.138AgingReportBEWLGS[[#This Row],[NetAmount]]-Table__192.168.3.138AgingReportBEWLGS[[#This Row],[Paid]]</f>
        <v>137195</v>
      </c>
    </row>
    <row r="380" spans="1:35">
      <c r="A380" t="s">
        <v>7066</v>
      </c>
      <c r="B380" s="1">
        <v>41274</v>
      </c>
      <c r="C380" s="1">
        <v>41319</v>
      </c>
      <c r="D380" t="s">
        <v>6169</v>
      </c>
      <c r="E380">
        <v>99317</v>
      </c>
      <c r="F380">
        <v>0</v>
      </c>
      <c r="G380">
        <v>0</v>
      </c>
      <c r="H380">
        <v>0</v>
      </c>
      <c r="I380">
        <v>-6</v>
      </c>
      <c r="J380">
        <v>99317</v>
      </c>
      <c r="K380" t="s">
        <v>6035</v>
      </c>
      <c r="L380" s="1">
        <v>41274</v>
      </c>
      <c r="M380" t="s">
        <v>7067</v>
      </c>
      <c r="N380" t="s">
        <v>1218</v>
      </c>
      <c r="O380" t="s">
        <v>6045</v>
      </c>
      <c r="P380" t="s">
        <v>6171</v>
      </c>
      <c r="Q380" t="s">
        <v>39</v>
      </c>
      <c r="R380" t="s">
        <v>40</v>
      </c>
      <c r="S380">
        <v>0</v>
      </c>
      <c r="U380" t="s">
        <v>5550</v>
      </c>
      <c r="V380" t="s">
        <v>1797</v>
      </c>
      <c r="W380" t="s">
        <v>6172</v>
      </c>
      <c r="X380" t="s">
        <v>74</v>
      </c>
      <c r="Y380" t="b">
        <v>0</v>
      </c>
      <c r="Z380" t="b">
        <v>0</v>
      </c>
      <c r="AA380" t="b">
        <v>0</v>
      </c>
      <c r="AC380" s="1"/>
      <c r="AF380">
        <v>0</v>
      </c>
      <c r="AG380">
        <v>45</v>
      </c>
      <c r="AH380">
        <v>39</v>
      </c>
      <c r="AI380" s="2">
        <f>Table__192.168.3.138AgingReportBEWLGS[[#This Row],[NetAmount]]-Table__192.168.3.138AgingReportBEWLGS[[#This Row],[Paid]]</f>
        <v>99317</v>
      </c>
    </row>
    <row r="381" spans="1:35">
      <c r="A381" t="s">
        <v>7068</v>
      </c>
      <c r="B381" s="1">
        <v>41274</v>
      </c>
      <c r="C381" s="1">
        <v>41319</v>
      </c>
      <c r="D381" t="s">
        <v>7069</v>
      </c>
      <c r="E381">
        <v>106736</v>
      </c>
      <c r="F381">
        <v>0</v>
      </c>
      <c r="G381">
        <v>0</v>
      </c>
      <c r="H381">
        <v>0</v>
      </c>
      <c r="I381">
        <v>-6</v>
      </c>
      <c r="J381">
        <v>106736</v>
      </c>
      <c r="K381" t="s">
        <v>6035</v>
      </c>
      <c r="L381" s="1">
        <v>41274</v>
      </c>
      <c r="M381" t="s">
        <v>7070</v>
      </c>
      <c r="N381" t="s">
        <v>1218</v>
      </c>
      <c r="O381" t="s">
        <v>6045</v>
      </c>
      <c r="P381" t="s">
        <v>7071</v>
      </c>
      <c r="Q381" t="s">
        <v>39</v>
      </c>
      <c r="R381" t="s">
        <v>40</v>
      </c>
      <c r="S381">
        <v>0</v>
      </c>
      <c r="U381" t="s">
        <v>5550</v>
      </c>
      <c r="V381" t="s">
        <v>1797</v>
      </c>
      <c r="W381" t="s">
        <v>7072</v>
      </c>
      <c r="X381" t="s">
        <v>74</v>
      </c>
      <c r="Y381" t="b">
        <v>0</v>
      </c>
      <c r="Z381" t="b">
        <v>0</v>
      </c>
      <c r="AA381" t="b">
        <v>0</v>
      </c>
      <c r="AC381" s="1"/>
      <c r="AF381">
        <v>0</v>
      </c>
      <c r="AG381">
        <v>45</v>
      </c>
      <c r="AH381">
        <v>39</v>
      </c>
      <c r="AI381" s="2">
        <f>Table__192.168.3.138AgingReportBEWLGS[[#This Row],[NetAmount]]-Table__192.168.3.138AgingReportBEWLGS[[#This Row],[Paid]]</f>
        <v>106736</v>
      </c>
    </row>
    <row r="382" spans="1:35">
      <c r="A382" t="s">
        <v>7073</v>
      </c>
      <c r="B382" s="1">
        <v>41274</v>
      </c>
      <c r="C382" s="1">
        <v>41319</v>
      </c>
      <c r="D382" t="s">
        <v>7074</v>
      </c>
      <c r="E382">
        <v>27000</v>
      </c>
      <c r="F382">
        <v>0</v>
      </c>
      <c r="G382">
        <v>0</v>
      </c>
      <c r="H382">
        <v>0</v>
      </c>
      <c r="I382">
        <v>-6</v>
      </c>
      <c r="J382">
        <v>27000</v>
      </c>
      <c r="K382" t="s">
        <v>6035</v>
      </c>
      <c r="L382" s="1">
        <v>41274</v>
      </c>
      <c r="M382" t="s">
        <v>7075</v>
      </c>
      <c r="N382" t="s">
        <v>1218</v>
      </c>
      <c r="O382" t="s">
        <v>6045</v>
      </c>
      <c r="P382" t="s">
        <v>7076</v>
      </c>
      <c r="Q382" t="s">
        <v>39</v>
      </c>
      <c r="R382" t="s">
        <v>40</v>
      </c>
      <c r="S382">
        <v>0</v>
      </c>
      <c r="U382" t="s">
        <v>5550</v>
      </c>
      <c r="V382" t="s">
        <v>1797</v>
      </c>
      <c r="W382" t="s">
        <v>7077</v>
      </c>
      <c r="X382" t="s">
        <v>74</v>
      </c>
      <c r="Y382" t="b">
        <v>0</v>
      </c>
      <c r="Z382" t="b">
        <v>0</v>
      </c>
      <c r="AA382" t="b">
        <v>0</v>
      </c>
      <c r="AC382" s="1"/>
      <c r="AF382">
        <v>0</v>
      </c>
      <c r="AG382">
        <v>45</v>
      </c>
      <c r="AH382">
        <v>39</v>
      </c>
      <c r="AI382" s="2">
        <f>Table__192.168.3.138AgingReportBEWLGS[[#This Row],[NetAmount]]-Table__192.168.3.138AgingReportBEWLGS[[#This Row],[Paid]]</f>
        <v>27000</v>
      </c>
    </row>
    <row r="383" spans="1:35">
      <c r="A383" t="s">
        <v>7078</v>
      </c>
      <c r="B383" s="1">
        <v>41274</v>
      </c>
      <c r="C383" s="1">
        <v>41319</v>
      </c>
      <c r="D383" t="s">
        <v>7079</v>
      </c>
      <c r="E383">
        <v>230840</v>
      </c>
      <c r="F383">
        <v>0</v>
      </c>
      <c r="G383">
        <v>0</v>
      </c>
      <c r="H383">
        <v>0</v>
      </c>
      <c r="I383">
        <v>-6</v>
      </c>
      <c r="J383">
        <v>230840</v>
      </c>
      <c r="K383" t="s">
        <v>6035</v>
      </c>
      <c r="L383" s="1">
        <v>41274</v>
      </c>
      <c r="M383" t="s">
        <v>7080</v>
      </c>
      <c r="N383" t="s">
        <v>1218</v>
      </c>
      <c r="O383" t="s">
        <v>6045</v>
      </c>
      <c r="P383" t="s">
        <v>7081</v>
      </c>
      <c r="Q383" t="s">
        <v>39</v>
      </c>
      <c r="R383" t="s">
        <v>40</v>
      </c>
      <c r="S383">
        <v>0</v>
      </c>
      <c r="U383" t="s">
        <v>5550</v>
      </c>
      <c r="V383" t="s">
        <v>1797</v>
      </c>
      <c r="W383" t="s">
        <v>7082</v>
      </c>
      <c r="X383" t="s">
        <v>74</v>
      </c>
      <c r="Y383" t="b">
        <v>0</v>
      </c>
      <c r="Z383" t="b">
        <v>0</v>
      </c>
      <c r="AA383" t="b">
        <v>0</v>
      </c>
      <c r="AC383" s="1"/>
      <c r="AF383">
        <v>0</v>
      </c>
      <c r="AG383">
        <v>45</v>
      </c>
      <c r="AH383">
        <v>39</v>
      </c>
      <c r="AI383" s="2">
        <f>Table__192.168.3.138AgingReportBEWLGS[[#This Row],[NetAmount]]-Table__192.168.3.138AgingReportBEWLGS[[#This Row],[Paid]]</f>
        <v>230840</v>
      </c>
    </row>
    <row r="384" spans="1:35">
      <c r="A384" t="s">
        <v>7083</v>
      </c>
      <c r="B384" s="1">
        <v>41274</v>
      </c>
      <c r="C384" s="1">
        <v>41319</v>
      </c>
      <c r="D384" t="s">
        <v>6278</v>
      </c>
      <c r="E384">
        <v>553</v>
      </c>
      <c r="F384">
        <v>107</v>
      </c>
      <c r="G384">
        <v>0</v>
      </c>
      <c r="H384">
        <v>0</v>
      </c>
      <c r="I384">
        <v>-6</v>
      </c>
      <c r="J384">
        <v>660</v>
      </c>
      <c r="K384" t="s">
        <v>6035</v>
      </c>
      <c r="L384" s="1">
        <v>41274</v>
      </c>
      <c r="N384" t="s">
        <v>1218</v>
      </c>
      <c r="O384" t="s">
        <v>6045</v>
      </c>
      <c r="P384" t="s">
        <v>6280</v>
      </c>
      <c r="Q384" t="s">
        <v>39</v>
      </c>
      <c r="R384" t="s">
        <v>40</v>
      </c>
      <c r="S384">
        <v>0</v>
      </c>
      <c r="U384" t="s">
        <v>5550</v>
      </c>
      <c r="V384" t="s">
        <v>1797</v>
      </c>
      <c r="X384" t="s">
        <v>74</v>
      </c>
      <c r="Y384" t="b">
        <v>0</v>
      </c>
      <c r="Z384" t="b">
        <v>0</v>
      </c>
      <c r="AC384" s="1"/>
      <c r="AF384">
        <v>0</v>
      </c>
      <c r="AG384">
        <v>45</v>
      </c>
      <c r="AH384">
        <v>39</v>
      </c>
      <c r="AI384" s="2">
        <f>Table__192.168.3.138AgingReportBEWLGS[[#This Row],[NetAmount]]-Table__192.168.3.138AgingReportBEWLGS[[#This Row],[Paid]]</f>
        <v>660</v>
      </c>
    </row>
    <row r="385" spans="1:35">
      <c r="A385" t="s">
        <v>7084</v>
      </c>
      <c r="B385" s="1">
        <v>41289</v>
      </c>
      <c r="C385" s="1">
        <v>41334</v>
      </c>
      <c r="D385" t="s">
        <v>7010</v>
      </c>
      <c r="E385">
        <v>180</v>
      </c>
      <c r="F385">
        <v>29</v>
      </c>
      <c r="G385">
        <v>0</v>
      </c>
      <c r="H385">
        <v>0</v>
      </c>
      <c r="I385">
        <v>-6</v>
      </c>
      <c r="J385">
        <v>209</v>
      </c>
      <c r="K385" t="s">
        <v>7085</v>
      </c>
      <c r="L385" s="1">
        <v>41274</v>
      </c>
      <c r="N385" t="s">
        <v>1218</v>
      </c>
      <c r="O385" t="s">
        <v>6045</v>
      </c>
      <c r="P385" t="s">
        <v>7012</v>
      </c>
      <c r="Q385" t="s">
        <v>39</v>
      </c>
      <c r="R385" t="s">
        <v>40</v>
      </c>
      <c r="S385">
        <v>0</v>
      </c>
      <c r="U385" t="s">
        <v>5550</v>
      </c>
      <c r="V385" t="s">
        <v>1797</v>
      </c>
      <c r="X385" t="s">
        <v>74</v>
      </c>
      <c r="Y385" t="b">
        <v>0</v>
      </c>
      <c r="Z385" t="b">
        <v>0</v>
      </c>
      <c r="AC385" s="1"/>
      <c r="AF385">
        <v>0</v>
      </c>
      <c r="AG385">
        <v>45</v>
      </c>
      <c r="AH385">
        <v>39</v>
      </c>
      <c r="AI385" s="2">
        <f>Table__192.168.3.138AgingReportBEWLGS[[#This Row],[NetAmount]]-Table__192.168.3.138AgingReportBEWLGS[[#This Row],[Paid]]</f>
        <v>209</v>
      </c>
    </row>
    <row r="386" spans="1:35">
      <c r="A386" t="s">
        <v>7086</v>
      </c>
      <c r="B386" s="1">
        <v>41303</v>
      </c>
      <c r="C386" s="1">
        <v>41348</v>
      </c>
      <c r="D386" t="s">
        <v>6278</v>
      </c>
      <c r="E386">
        <v>427</v>
      </c>
      <c r="F386">
        <v>83</v>
      </c>
      <c r="G386">
        <v>0</v>
      </c>
      <c r="H386">
        <v>0</v>
      </c>
      <c r="I386">
        <v>-20</v>
      </c>
      <c r="J386">
        <v>510</v>
      </c>
      <c r="K386" t="s">
        <v>6856</v>
      </c>
      <c r="L386" s="1">
        <v>41288</v>
      </c>
      <c r="N386" t="s">
        <v>1218</v>
      </c>
      <c r="O386" t="s">
        <v>6045</v>
      </c>
      <c r="P386" t="s">
        <v>6280</v>
      </c>
      <c r="Q386" t="s">
        <v>39</v>
      </c>
      <c r="R386" t="s">
        <v>40</v>
      </c>
      <c r="S386">
        <v>0</v>
      </c>
      <c r="U386" t="s">
        <v>5550</v>
      </c>
      <c r="V386" t="s">
        <v>1797</v>
      </c>
      <c r="X386" t="s">
        <v>74</v>
      </c>
      <c r="Y386" t="b">
        <v>0</v>
      </c>
      <c r="Z386" t="b">
        <v>0</v>
      </c>
      <c r="AC386" s="1"/>
      <c r="AF386">
        <v>0</v>
      </c>
      <c r="AG386">
        <v>45</v>
      </c>
      <c r="AH386">
        <v>25</v>
      </c>
      <c r="AI386" s="2">
        <f>Table__192.168.3.138AgingReportBEWLGS[[#This Row],[NetAmount]]-Table__192.168.3.138AgingReportBEWLGS[[#This Row],[Paid]]</f>
        <v>510</v>
      </c>
    </row>
    <row r="387" spans="1:35">
      <c r="A387" t="s">
        <v>7087</v>
      </c>
      <c r="B387" s="1">
        <v>41289</v>
      </c>
      <c r="C387" s="1">
        <v>41334</v>
      </c>
      <c r="D387" t="s">
        <v>6296</v>
      </c>
      <c r="E387">
        <v>16387</v>
      </c>
      <c r="F387">
        <v>0</v>
      </c>
      <c r="G387">
        <v>0</v>
      </c>
      <c r="H387">
        <v>0</v>
      </c>
      <c r="I387">
        <v>-15</v>
      </c>
      <c r="J387">
        <v>16387</v>
      </c>
      <c r="K387" t="s">
        <v>6856</v>
      </c>
      <c r="L387" s="1">
        <v>41283</v>
      </c>
      <c r="N387" t="s">
        <v>1218</v>
      </c>
      <c r="O387" t="s">
        <v>6045</v>
      </c>
      <c r="P387" t="s">
        <v>6297</v>
      </c>
      <c r="Q387" t="s">
        <v>39</v>
      </c>
      <c r="R387" t="s">
        <v>40</v>
      </c>
      <c r="S387">
        <v>0</v>
      </c>
      <c r="U387" t="s">
        <v>5550</v>
      </c>
      <c r="V387" t="s">
        <v>1797</v>
      </c>
      <c r="X387" t="s">
        <v>74</v>
      </c>
      <c r="Y387" t="b">
        <v>0</v>
      </c>
      <c r="Z387" t="b">
        <v>0</v>
      </c>
      <c r="AC387" s="1"/>
      <c r="AF387">
        <v>0</v>
      </c>
      <c r="AG387">
        <v>45</v>
      </c>
      <c r="AH387">
        <v>30</v>
      </c>
      <c r="AI387" s="2">
        <f>Table__192.168.3.138AgingReportBEWLGS[[#This Row],[NetAmount]]-Table__192.168.3.138AgingReportBEWLGS[[#This Row],[Paid]]</f>
        <v>16387</v>
      </c>
    </row>
    <row r="388" spans="1:35">
      <c r="A388" t="s">
        <v>7088</v>
      </c>
      <c r="B388" s="1">
        <v>41304</v>
      </c>
      <c r="C388" s="1">
        <v>41349</v>
      </c>
      <c r="D388" t="s">
        <v>6183</v>
      </c>
      <c r="E388">
        <v>45553</v>
      </c>
      <c r="F388">
        <v>0</v>
      </c>
      <c r="G388">
        <v>0</v>
      </c>
      <c r="H388">
        <v>0</v>
      </c>
      <c r="I388">
        <v>-37</v>
      </c>
      <c r="J388">
        <v>45553</v>
      </c>
      <c r="K388" t="s">
        <v>7018</v>
      </c>
      <c r="L388" s="1">
        <v>41305</v>
      </c>
      <c r="M388" t="s">
        <v>7089</v>
      </c>
      <c r="N388" t="s">
        <v>1218</v>
      </c>
      <c r="O388" t="s">
        <v>6045</v>
      </c>
      <c r="P388" t="s">
        <v>6185</v>
      </c>
      <c r="Q388" t="s">
        <v>39</v>
      </c>
      <c r="R388" t="s">
        <v>40</v>
      </c>
      <c r="S388">
        <v>0</v>
      </c>
      <c r="U388" t="s">
        <v>5550</v>
      </c>
      <c r="V388" t="s">
        <v>1797</v>
      </c>
      <c r="W388" t="s">
        <v>6186</v>
      </c>
      <c r="X388" t="s">
        <v>74</v>
      </c>
      <c r="Y388" t="b">
        <v>0</v>
      </c>
      <c r="Z388" t="b">
        <v>0</v>
      </c>
      <c r="AA388" t="b">
        <v>0</v>
      </c>
      <c r="AC388" s="1"/>
      <c r="AF388">
        <v>0</v>
      </c>
      <c r="AG388">
        <v>45</v>
      </c>
      <c r="AH388">
        <v>8</v>
      </c>
      <c r="AI388" s="2">
        <f>Table__192.168.3.138AgingReportBEWLGS[[#This Row],[NetAmount]]-Table__192.168.3.138AgingReportBEWLGS[[#This Row],[Paid]]</f>
        <v>45553</v>
      </c>
    </row>
    <row r="389" spans="1:35">
      <c r="A389" t="s">
        <v>7090</v>
      </c>
      <c r="B389" s="1">
        <v>41304</v>
      </c>
      <c r="C389" s="1">
        <v>41349</v>
      </c>
      <c r="D389" t="s">
        <v>6203</v>
      </c>
      <c r="E389">
        <v>78900</v>
      </c>
      <c r="F389">
        <v>0</v>
      </c>
      <c r="G389">
        <v>0</v>
      </c>
      <c r="H389">
        <v>0</v>
      </c>
      <c r="I389">
        <v>-37</v>
      </c>
      <c r="J389">
        <v>78900</v>
      </c>
      <c r="K389" t="s">
        <v>7021</v>
      </c>
      <c r="L389" s="1">
        <v>41305</v>
      </c>
      <c r="M389" t="s">
        <v>7091</v>
      </c>
      <c r="N389" t="s">
        <v>1218</v>
      </c>
      <c r="O389" t="s">
        <v>6045</v>
      </c>
      <c r="P389" t="s">
        <v>6205</v>
      </c>
      <c r="Q389" t="s">
        <v>39</v>
      </c>
      <c r="R389" t="s">
        <v>40</v>
      </c>
      <c r="S389">
        <v>0</v>
      </c>
      <c r="U389" t="s">
        <v>5550</v>
      </c>
      <c r="V389" t="s">
        <v>1797</v>
      </c>
      <c r="W389" t="s">
        <v>6206</v>
      </c>
      <c r="X389" t="s">
        <v>74</v>
      </c>
      <c r="Y389" t="b">
        <v>0</v>
      </c>
      <c r="Z389" t="b">
        <v>0</v>
      </c>
      <c r="AA389" t="b">
        <v>0</v>
      </c>
      <c r="AC389" s="1"/>
      <c r="AF389">
        <v>0</v>
      </c>
      <c r="AG389">
        <v>45</v>
      </c>
      <c r="AH389">
        <v>8</v>
      </c>
      <c r="AI389" s="2">
        <f>Table__192.168.3.138AgingReportBEWLGS[[#This Row],[NetAmount]]-Table__192.168.3.138AgingReportBEWLGS[[#This Row],[Paid]]</f>
        <v>78900</v>
      </c>
    </row>
    <row r="390" spans="1:35">
      <c r="A390" t="s">
        <v>7092</v>
      </c>
      <c r="B390" s="1">
        <v>41304</v>
      </c>
      <c r="C390" s="1">
        <v>41349</v>
      </c>
      <c r="D390" t="s">
        <v>7093</v>
      </c>
      <c r="E390">
        <v>12000</v>
      </c>
      <c r="F390">
        <v>0</v>
      </c>
      <c r="G390">
        <v>0</v>
      </c>
      <c r="H390">
        <v>0</v>
      </c>
      <c r="I390">
        <v>-32</v>
      </c>
      <c r="J390">
        <v>12000</v>
      </c>
      <c r="K390" t="s">
        <v>6856</v>
      </c>
      <c r="L390" s="1">
        <v>41300</v>
      </c>
      <c r="M390" t="s">
        <v>7094</v>
      </c>
      <c r="N390" t="s">
        <v>1218</v>
      </c>
      <c r="O390" t="s">
        <v>6045</v>
      </c>
      <c r="P390" t="s">
        <v>7095</v>
      </c>
      <c r="Q390" t="s">
        <v>39</v>
      </c>
      <c r="R390" t="s">
        <v>40</v>
      </c>
      <c r="S390">
        <v>0</v>
      </c>
      <c r="U390" t="s">
        <v>5550</v>
      </c>
      <c r="V390" t="s">
        <v>1797</v>
      </c>
      <c r="W390" t="s">
        <v>7096</v>
      </c>
      <c r="X390" t="s">
        <v>74</v>
      </c>
      <c r="Y390" t="b">
        <v>0</v>
      </c>
      <c r="Z390" t="b">
        <v>0</v>
      </c>
      <c r="AA390" t="b">
        <v>0</v>
      </c>
      <c r="AC390" s="1"/>
      <c r="AF390">
        <v>0</v>
      </c>
      <c r="AG390">
        <v>45</v>
      </c>
      <c r="AH390">
        <v>13</v>
      </c>
      <c r="AI390" s="2">
        <f>Table__192.168.3.138AgingReportBEWLGS[[#This Row],[NetAmount]]-Table__192.168.3.138AgingReportBEWLGS[[#This Row],[Paid]]</f>
        <v>12000</v>
      </c>
    </row>
    <row r="391" spans="1:35">
      <c r="A391" t="s">
        <v>7097</v>
      </c>
      <c r="B391" s="1">
        <v>41304</v>
      </c>
      <c r="C391" s="1">
        <v>41349</v>
      </c>
      <c r="D391" t="s">
        <v>7098</v>
      </c>
      <c r="E391">
        <v>257911</v>
      </c>
      <c r="F391">
        <v>0</v>
      </c>
      <c r="G391">
        <v>0</v>
      </c>
      <c r="H391">
        <v>0</v>
      </c>
      <c r="I391">
        <v>-32</v>
      </c>
      <c r="J391">
        <v>257911</v>
      </c>
      <c r="K391" t="s">
        <v>6856</v>
      </c>
      <c r="L391" s="1">
        <v>41300</v>
      </c>
      <c r="M391" t="s">
        <v>7099</v>
      </c>
      <c r="N391" t="s">
        <v>1218</v>
      </c>
      <c r="O391" t="s">
        <v>6045</v>
      </c>
      <c r="P391" t="s">
        <v>7100</v>
      </c>
      <c r="Q391" t="s">
        <v>39</v>
      </c>
      <c r="R391" t="s">
        <v>40</v>
      </c>
      <c r="S391">
        <v>0</v>
      </c>
      <c r="U391" t="s">
        <v>5550</v>
      </c>
      <c r="V391" t="s">
        <v>1797</v>
      </c>
      <c r="W391" t="s">
        <v>7101</v>
      </c>
      <c r="X391" t="s">
        <v>74</v>
      </c>
      <c r="Y391" t="b">
        <v>0</v>
      </c>
      <c r="Z391" t="b">
        <v>0</v>
      </c>
      <c r="AA391" t="b">
        <v>0</v>
      </c>
      <c r="AC391" s="1"/>
      <c r="AF391">
        <v>0</v>
      </c>
      <c r="AG391">
        <v>45</v>
      </c>
      <c r="AH391">
        <v>13</v>
      </c>
      <c r="AI391" s="2">
        <f>Table__192.168.3.138AgingReportBEWLGS[[#This Row],[NetAmount]]-Table__192.168.3.138AgingReportBEWLGS[[#This Row],[Paid]]</f>
        <v>257911</v>
      </c>
    </row>
    <row r="392" spans="1:35">
      <c r="A392" t="s">
        <v>7102</v>
      </c>
      <c r="B392" s="1">
        <v>41305</v>
      </c>
      <c r="C392" s="1">
        <v>41350</v>
      </c>
      <c r="D392" t="s">
        <v>6232</v>
      </c>
      <c r="E392">
        <v>69504</v>
      </c>
      <c r="F392">
        <v>0</v>
      </c>
      <c r="G392">
        <v>0</v>
      </c>
      <c r="H392">
        <v>0</v>
      </c>
      <c r="I392">
        <v>-37</v>
      </c>
      <c r="J392">
        <v>69504</v>
      </c>
      <c r="K392" t="s">
        <v>7103</v>
      </c>
      <c r="L392" s="1">
        <v>41305</v>
      </c>
      <c r="M392" t="s">
        <v>7104</v>
      </c>
      <c r="N392" t="s">
        <v>1218</v>
      </c>
      <c r="O392" t="s">
        <v>6045</v>
      </c>
      <c r="P392" t="s">
        <v>5480</v>
      </c>
      <c r="Q392" t="s">
        <v>39</v>
      </c>
      <c r="R392" t="s">
        <v>40</v>
      </c>
      <c r="S392">
        <v>0</v>
      </c>
      <c r="U392" t="s">
        <v>5550</v>
      </c>
      <c r="V392" t="s">
        <v>1797</v>
      </c>
      <c r="W392" t="s">
        <v>6234</v>
      </c>
      <c r="X392" t="s">
        <v>74</v>
      </c>
      <c r="Y392" t="b">
        <v>0</v>
      </c>
      <c r="Z392" t="b">
        <v>0</v>
      </c>
      <c r="AA392" t="b">
        <v>0</v>
      </c>
      <c r="AC392" s="1"/>
      <c r="AF392">
        <v>0</v>
      </c>
      <c r="AG392">
        <v>45</v>
      </c>
      <c r="AH392">
        <v>8</v>
      </c>
      <c r="AI392" s="2">
        <f>Table__192.168.3.138AgingReportBEWLGS[[#This Row],[NetAmount]]-Table__192.168.3.138AgingReportBEWLGS[[#This Row],[Paid]]</f>
        <v>69504</v>
      </c>
    </row>
    <row r="393" spans="1:35">
      <c r="A393" t="s">
        <v>7105</v>
      </c>
      <c r="B393" s="1">
        <v>41304</v>
      </c>
      <c r="C393" s="1">
        <v>41349</v>
      </c>
      <c r="D393" t="s">
        <v>6223</v>
      </c>
      <c r="E393">
        <v>425266</v>
      </c>
      <c r="F393">
        <v>0</v>
      </c>
      <c r="G393">
        <v>0</v>
      </c>
      <c r="H393">
        <v>0</v>
      </c>
      <c r="I393">
        <v>-37</v>
      </c>
      <c r="J393">
        <v>425266</v>
      </c>
      <c r="K393" t="s">
        <v>7103</v>
      </c>
      <c r="L393" s="1">
        <v>41305</v>
      </c>
      <c r="M393" t="s">
        <v>7106</v>
      </c>
      <c r="N393" t="s">
        <v>1218</v>
      </c>
      <c r="O393" t="s">
        <v>6045</v>
      </c>
      <c r="P393" t="s">
        <v>6225</v>
      </c>
      <c r="Q393" t="s">
        <v>39</v>
      </c>
      <c r="R393" t="s">
        <v>40</v>
      </c>
      <c r="S393">
        <v>0</v>
      </c>
      <c r="U393" t="s">
        <v>5550</v>
      </c>
      <c r="V393" t="s">
        <v>1797</v>
      </c>
      <c r="W393" t="s">
        <v>6226</v>
      </c>
      <c r="X393" t="s">
        <v>74</v>
      </c>
      <c r="Y393" t="b">
        <v>0</v>
      </c>
      <c r="Z393" t="b">
        <v>0</v>
      </c>
      <c r="AA393" t="b">
        <v>0</v>
      </c>
      <c r="AC393" s="1"/>
      <c r="AF393">
        <v>0</v>
      </c>
      <c r="AG393">
        <v>45</v>
      </c>
      <c r="AH393">
        <v>8</v>
      </c>
      <c r="AI393" s="2">
        <f>Table__192.168.3.138AgingReportBEWLGS[[#This Row],[NetAmount]]-Table__192.168.3.138AgingReportBEWLGS[[#This Row],[Paid]]</f>
        <v>425266</v>
      </c>
    </row>
    <row r="394" spans="1:35">
      <c r="A394" t="s">
        <v>7107</v>
      </c>
      <c r="B394" s="1">
        <v>41304</v>
      </c>
      <c r="C394" s="1">
        <v>41349</v>
      </c>
      <c r="D394" t="s">
        <v>6214</v>
      </c>
      <c r="E394">
        <v>706011</v>
      </c>
      <c r="F394">
        <v>0</v>
      </c>
      <c r="G394">
        <v>0</v>
      </c>
      <c r="H394">
        <v>0</v>
      </c>
      <c r="I394">
        <v>-37</v>
      </c>
      <c r="J394">
        <v>706011</v>
      </c>
      <c r="K394" t="s">
        <v>7103</v>
      </c>
      <c r="L394" s="1">
        <v>41305</v>
      </c>
      <c r="M394" t="s">
        <v>7108</v>
      </c>
      <c r="N394" t="s">
        <v>1218</v>
      </c>
      <c r="O394" t="s">
        <v>6045</v>
      </c>
      <c r="P394" t="s">
        <v>6216</v>
      </c>
      <c r="Q394" t="s">
        <v>39</v>
      </c>
      <c r="R394" t="s">
        <v>40</v>
      </c>
      <c r="S394">
        <v>0</v>
      </c>
      <c r="U394" t="s">
        <v>5550</v>
      </c>
      <c r="V394" t="s">
        <v>1797</v>
      </c>
      <c r="W394" t="s">
        <v>6217</v>
      </c>
      <c r="X394" t="s">
        <v>74</v>
      </c>
      <c r="Y394" t="b">
        <v>0</v>
      </c>
      <c r="Z394" t="b">
        <v>0</v>
      </c>
      <c r="AA394" t="b">
        <v>0</v>
      </c>
      <c r="AC394" s="1"/>
      <c r="AF394">
        <v>0</v>
      </c>
      <c r="AG394">
        <v>45</v>
      </c>
      <c r="AH394">
        <v>8</v>
      </c>
      <c r="AI394" s="2">
        <f>Table__192.168.3.138AgingReportBEWLGS[[#This Row],[NetAmount]]-Table__192.168.3.138AgingReportBEWLGS[[#This Row],[Paid]]</f>
        <v>706011</v>
      </c>
    </row>
    <row r="395" spans="1:35">
      <c r="A395" t="s">
        <v>7109</v>
      </c>
      <c r="B395" s="1">
        <v>41267</v>
      </c>
      <c r="C395" s="1">
        <v>41312</v>
      </c>
      <c r="D395" t="s">
        <v>6939</v>
      </c>
      <c r="E395">
        <v>10150</v>
      </c>
      <c r="F395">
        <v>0</v>
      </c>
      <c r="G395">
        <v>0</v>
      </c>
      <c r="H395">
        <v>0</v>
      </c>
      <c r="I395">
        <v>1</v>
      </c>
      <c r="J395">
        <v>10150</v>
      </c>
      <c r="K395" t="s">
        <v>6940</v>
      </c>
      <c r="L395" s="1">
        <v>41267</v>
      </c>
      <c r="M395" t="s">
        <v>7110</v>
      </c>
      <c r="N395" t="s">
        <v>6135</v>
      </c>
      <c r="O395" t="s">
        <v>36</v>
      </c>
      <c r="P395" t="s">
        <v>6942</v>
      </c>
      <c r="Q395" t="s">
        <v>39</v>
      </c>
      <c r="R395" t="s">
        <v>40</v>
      </c>
      <c r="S395">
        <v>0</v>
      </c>
      <c r="U395" t="s">
        <v>5550</v>
      </c>
      <c r="V395" t="s">
        <v>6047</v>
      </c>
      <c r="W395" t="s">
        <v>6943</v>
      </c>
      <c r="X395" t="s">
        <v>74</v>
      </c>
      <c r="Y395" t="b">
        <v>0</v>
      </c>
      <c r="Z395" t="b">
        <v>0</v>
      </c>
      <c r="AA395" t="b">
        <v>0</v>
      </c>
      <c r="AC395" s="1"/>
      <c r="AF395">
        <v>0</v>
      </c>
      <c r="AG395">
        <v>45</v>
      </c>
      <c r="AH395">
        <v>46</v>
      </c>
      <c r="AI395" s="2">
        <f>Table__192.168.3.138AgingReportBEWLGS[[#This Row],[NetAmount]]-Table__192.168.3.138AgingReportBEWLGS[[#This Row],[Paid]]</f>
        <v>10150</v>
      </c>
    </row>
    <row r="396" spans="1:35">
      <c r="A396" t="s">
        <v>7111</v>
      </c>
      <c r="B396" s="1">
        <v>41118</v>
      </c>
      <c r="C396" s="1">
        <v>41163</v>
      </c>
      <c r="D396" t="s">
        <v>6307</v>
      </c>
      <c r="E396">
        <v>17400</v>
      </c>
      <c r="F396">
        <v>0</v>
      </c>
      <c r="G396">
        <v>0</v>
      </c>
      <c r="H396">
        <v>0</v>
      </c>
      <c r="I396">
        <v>147</v>
      </c>
      <c r="J396">
        <v>17400</v>
      </c>
      <c r="K396" t="s">
        <v>5695</v>
      </c>
      <c r="L396" s="1">
        <v>41121</v>
      </c>
      <c r="N396" t="s">
        <v>6135</v>
      </c>
      <c r="O396" t="s">
        <v>83</v>
      </c>
      <c r="P396" t="s">
        <v>6308</v>
      </c>
      <c r="Q396" t="s">
        <v>39</v>
      </c>
      <c r="R396" t="s">
        <v>40</v>
      </c>
      <c r="S396">
        <v>0</v>
      </c>
      <c r="U396" t="s">
        <v>5550</v>
      </c>
      <c r="V396" t="s">
        <v>1797</v>
      </c>
      <c r="X396" t="s">
        <v>74</v>
      </c>
      <c r="Y396" t="b">
        <v>0</v>
      </c>
      <c r="Z396" t="b">
        <v>0</v>
      </c>
      <c r="AC396" s="1"/>
      <c r="AF396">
        <v>0</v>
      </c>
      <c r="AG396">
        <v>45</v>
      </c>
      <c r="AH396">
        <v>192</v>
      </c>
      <c r="AI396" s="2">
        <f>Table__192.168.3.138AgingReportBEWLGS[[#This Row],[NetAmount]]-Table__192.168.3.138AgingReportBEWLGS[[#This Row],[Paid]]</f>
        <v>17400</v>
      </c>
    </row>
    <row r="397" spans="1:35">
      <c r="A397" t="s">
        <v>7112</v>
      </c>
      <c r="B397" s="1">
        <v>41151</v>
      </c>
      <c r="C397" s="1">
        <v>41196</v>
      </c>
      <c r="D397" t="s">
        <v>6296</v>
      </c>
      <c r="E397">
        <v>16530</v>
      </c>
      <c r="F397">
        <v>0</v>
      </c>
      <c r="G397">
        <v>0</v>
      </c>
      <c r="H397">
        <v>0</v>
      </c>
      <c r="I397">
        <v>116</v>
      </c>
      <c r="J397">
        <v>16530</v>
      </c>
      <c r="K397" t="s">
        <v>5979</v>
      </c>
      <c r="L397" s="1">
        <v>41152</v>
      </c>
      <c r="N397" t="s">
        <v>6135</v>
      </c>
      <c r="O397" t="s">
        <v>83</v>
      </c>
      <c r="P397" t="s">
        <v>6297</v>
      </c>
      <c r="Q397" t="s">
        <v>39</v>
      </c>
      <c r="R397" t="s">
        <v>40</v>
      </c>
      <c r="S397">
        <v>0</v>
      </c>
      <c r="U397" t="s">
        <v>5550</v>
      </c>
      <c r="V397" t="s">
        <v>1797</v>
      </c>
      <c r="X397" t="s">
        <v>74</v>
      </c>
      <c r="Y397" t="b">
        <v>0</v>
      </c>
      <c r="Z397" t="b">
        <v>0</v>
      </c>
      <c r="AC397" s="1"/>
      <c r="AF397">
        <v>0</v>
      </c>
      <c r="AG397">
        <v>45</v>
      </c>
      <c r="AH397">
        <v>161</v>
      </c>
      <c r="AI397" s="2">
        <f>Table__192.168.3.138AgingReportBEWLGS[[#This Row],[NetAmount]]-Table__192.168.3.138AgingReportBEWLGS[[#This Row],[Paid]]</f>
        <v>16530</v>
      </c>
    </row>
    <row r="398" spans="1:35">
      <c r="A398" t="s">
        <v>7113</v>
      </c>
      <c r="B398" s="1">
        <v>41150</v>
      </c>
      <c r="C398" s="1">
        <v>41195</v>
      </c>
      <c r="D398" t="s">
        <v>6307</v>
      </c>
      <c r="E398">
        <v>3440</v>
      </c>
      <c r="F398">
        <v>0</v>
      </c>
      <c r="G398">
        <v>0</v>
      </c>
      <c r="H398">
        <v>0</v>
      </c>
      <c r="I398">
        <v>118</v>
      </c>
      <c r="J398">
        <v>3440</v>
      </c>
      <c r="K398" t="s">
        <v>5979</v>
      </c>
      <c r="L398" s="1">
        <v>41150</v>
      </c>
      <c r="N398" t="s">
        <v>6135</v>
      </c>
      <c r="O398" t="s">
        <v>83</v>
      </c>
      <c r="P398" t="s">
        <v>6308</v>
      </c>
      <c r="Q398" t="s">
        <v>39</v>
      </c>
      <c r="R398" t="s">
        <v>40</v>
      </c>
      <c r="S398">
        <v>0</v>
      </c>
      <c r="U398" t="s">
        <v>5550</v>
      </c>
      <c r="V398" t="s">
        <v>1797</v>
      </c>
      <c r="X398" t="s">
        <v>74</v>
      </c>
      <c r="Y398" t="b">
        <v>0</v>
      </c>
      <c r="Z398" t="b">
        <v>0</v>
      </c>
      <c r="AC398" s="1"/>
      <c r="AF398">
        <v>0</v>
      </c>
      <c r="AG398">
        <v>45</v>
      </c>
      <c r="AH398">
        <v>163</v>
      </c>
      <c r="AI398" s="2">
        <f>Table__192.168.3.138AgingReportBEWLGS[[#This Row],[NetAmount]]-Table__192.168.3.138AgingReportBEWLGS[[#This Row],[Paid]]</f>
        <v>3440</v>
      </c>
    </row>
    <row r="399" spans="1:35">
      <c r="A399" t="s">
        <v>7114</v>
      </c>
      <c r="B399" s="1">
        <v>41149</v>
      </c>
      <c r="C399" s="1">
        <v>41194</v>
      </c>
      <c r="D399" t="s">
        <v>6134</v>
      </c>
      <c r="E399">
        <v>59200</v>
      </c>
      <c r="F399">
        <v>0</v>
      </c>
      <c r="G399">
        <v>0</v>
      </c>
      <c r="H399">
        <v>0</v>
      </c>
      <c r="I399">
        <v>118</v>
      </c>
      <c r="J399">
        <v>59200</v>
      </c>
      <c r="K399" t="s">
        <v>5979</v>
      </c>
      <c r="L399" s="1">
        <v>41150</v>
      </c>
      <c r="N399" t="s">
        <v>6135</v>
      </c>
      <c r="O399" t="s">
        <v>83</v>
      </c>
      <c r="P399" t="s">
        <v>5530</v>
      </c>
      <c r="Q399" t="s">
        <v>39</v>
      </c>
      <c r="R399" t="s">
        <v>40</v>
      </c>
      <c r="S399">
        <v>0</v>
      </c>
      <c r="U399" t="s">
        <v>5550</v>
      </c>
      <c r="V399" t="s">
        <v>1797</v>
      </c>
      <c r="X399" t="s">
        <v>74</v>
      </c>
      <c r="Y399" t="b">
        <v>0</v>
      </c>
      <c r="Z399" t="b">
        <v>0</v>
      </c>
      <c r="AC399" s="1"/>
      <c r="AF399">
        <v>0</v>
      </c>
      <c r="AG399">
        <v>45</v>
      </c>
      <c r="AH399">
        <v>163</v>
      </c>
      <c r="AI399" s="2">
        <f>Table__192.168.3.138AgingReportBEWLGS[[#This Row],[NetAmount]]-Table__192.168.3.138AgingReportBEWLGS[[#This Row],[Paid]]</f>
        <v>59200</v>
      </c>
    </row>
    <row r="400" spans="1:35">
      <c r="A400" t="s">
        <v>7115</v>
      </c>
      <c r="B400" s="1">
        <v>41170</v>
      </c>
      <c r="C400" s="1">
        <v>41215</v>
      </c>
      <c r="D400" t="s">
        <v>6296</v>
      </c>
      <c r="E400">
        <v>12740</v>
      </c>
      <c r="F400">
        <v>0</v>
      </c>
      <c r="G400">
        <v>0</v>
      </c>
      <c r="H400">
        <v>0</v>
      </c>
      <c r="I400">
        <v>98</v>
      </c>
      <c r="J400">
        <v>12740</v>
      </c>
      <c r="K400" t="s">
        <v>5807</v>
      </c>
      <c r="L400" s="1">
        <v>41170</v>
      </c>
      <c r="N400" t="s">
        <v>6135</v>
      </c>
      <c r="O400" t="s">
        <v>83</v>
      </c>
      <c r="P400" t="s">
        <v>6297</v>
      </c>
      <c r="Q400" t="s">
        <v>39</v>
      </c>
      <c r="R400" t="s">
        <v>40</v>
      </c>
      <c r="S400">
        <v>0</v>
      </c>
      <c r="U400" t="s">
        <v>5550</v>
      </c>
      <c r="V400" t="s">
        <v>1797</v>
      </c>
      <c r="X400" t="s">
        <v>74</v>
      </c>
      <c r="Y400" t="b">
        <v>0</v>
      </c>
      <c r="Z400" t="b">
        <v>0</v>
      </c>
      <c r="AC400" s="1"/>
      <c r="AF400">
        <v>0</v>
      </c>
      <c r="AG400">
        <v>45</v>
      </c>
      <c r="AH400">
        <v>143</v>
      </c>
      <c r="AI400" s="2">
        <f>Table__192.168.3.138AgingReportBEWLGS[[#This Row],[NetAmount]]-Table__192.168.3.138AgingReportBEWLGS[[#This Row],[Paid]]</f>
        <v>12740</v>
      </c>
    </row>
    <row r="401" spans="1:35">
      <c r="A401" t="s">
        <v>7116</v>
      </c>
      <c r="B401" s="1">
        <v>41107</v>
      </c>
      <c r="C401" s="1">
        <v>41152</v>
      </c>
      <c r="D401" t="s">
        <v>6278</v>
      </c>
      <c r="E401">
        <v>1548</v>
      </c>
      <c r="F401">
        <v>302</v>
      </c>
      <c r="G401">
        <v>0</v>
      </c>
      <c r="H401">
        <v>0</v>
      </c>
      <c r="I401">
        <v>147</v>
      </c>
      <c r="J401">
        <v>1850</v>
      </c>
      <c r="K401" t="s">
        <v>5695</v>
      </c>
      <c r="L401" s="1">
        <v>41121</v>
      </c>
      <c r="N401" t="s">
        <v>6135</v>
      </c>
      <c r="O401" t="s">
        <v>83</v>
      </c>
      <c r="P401" t="s">
        <v>6280</v>
      </c>
      <c r="Q401" t="s">
        <v>39</v>
      </c>
      <c r="R401" t="s">
        <v>40</v>
      </c>
      <c r="S401">
        <v>0</v>
      </c>
      <c r="U401" t="s">
        <v>5550</v>
      </c>
      <c r="V401" t="s">
        <v>1797</v>
      </c>
      <c r="X401" t="s">
        <v>74</v>
      </c>
      <c r="Y401" t="b">
        <v>0</v>
      </c>
      <c r="Z401" t="b">
        <v>0</v>
      </c>
      <c r="AC401" s="1"/>
      <c r="AF401">
        <v>0</v>
      </c>
      <c r="AG401">
        <v>45</v>
      </c>
      <c r="AH401">
        <v>192</v>
      </c>
      <c r="AI401" s="2">
        <f>Table__192.168.3.138AgingReportBEWLGS[[#This Row],[NetAmount]]-Table__192.168.3.138AgingReportBEWLGS[[#This Row],[Paid]]</f>
        <v>1850</v>
      </c>
    </row>
    <row r="402" spans="1:35">
      <c r="A402" t="s">
        <v>7117</v>
      </c>
      <c r="B402" s="1">
        <v>41138</v>
      </c>
      <c r="C402" s="1">
        <v>41183</v>
      </c>
      <c r="D402" t="s">
        <v>6278</v>
      </c>
      <c r="E402">
        <v>1590</v>
      </c>
      <c r="F402">
        <v>310</v>
      </c>
      <c r="G402">
        <v>0</v>
      </c>
      <c r="H402">
        <v>0</v>
      </c>
      <c r="I402">
        <v>116</v>
      </c>
      <c r="J402">
        <v>1900</v>
      </c>
      <c r="K402" t="s">
        <v>5979</v>
      </c>
      <c r="L402" s="1">
        <v>41152</v>
      </c>
      <c r="N402" t="s">
        <v>6135</v>
      </c>
      <c r="O402" t="s">
        <v>83</v>
      </c>
      <c r="P402" t="s">
        <v>6280</v>
      </c>
      <c r="Q402" t="s">
        <v>39</v>
      </c>
      <c r="R402" t="s">
        <v>40</v>
      </c>
      <c r="S402">
        <v>0</v>
      </c>
      <c r="U402" t="s">
        <v>5550</v>
      </c>
      <c r="V402" t="s">
        <v>1797</v>
      </c>
      <c r="X402" t="s">
        <v>74</v>
      </c>
      <c r="Y402" t="b">
        <v>0</v>
      </c>
      <c r="Z402" t="b">
        <v>0</v>
      </c>
      <c r="AC402" s="1"/>
      <c r="AF402">
        <v>0</v>
      </c>
      <c r="AG402">
        <v>45</v>
      </c>
      <c r="AH402">
        <v>161</v>
      </c>
      <c r="AI402" s="2">
        <f>Table__192.168.3.138AgingReportBEWLGS[[#This Row],[NetAmount]]-Table__192.168.3.138AgingReportBEWLGS[[#This Row],[Paid]]</f>
        <v>1900</v>
      </c>
    </row>
    <row r="403" spans="1:35">
      <c r="A403" t="s">
        <v>7118</v>
      </c>
      <c r="B403" s="1">
        <v>41170</v>
      </c>
      <c r="C403" s="1">
        <v>41215</v>
      </c>
      <c r="D403" t="s">
        <v>6278</v>
      </c>
      <c r="E403">
        <v>1463</v>
      </c>
      <c r="F403">
        <v>287</v>
      </c>
      <c r="G403">
        <v>0</v>
      </c>
      <c r="H403">
        <v>0</v>
      </c>
      <c r="I403">
        <v>129</v>
      </c>
      <c r="J403">
        <v>1750</v>
      </c>
      <c r="K403" t="s">
        <v>5807</v>
      </c>
      <c r="L403" s="1">
        <v>41139</v>
      </c>
      <c r="N403" t="s">
        <v>6135</v>
      </c>
      <c r="O403" t="s">
        <v>83</v>
      </c>
      <c r="P403" t="s">
        <v>6280</v>
      </c>
      <c r="Q403" t="s">
        <v>39</v>
      </c>
      <c r="R403" t="s">
        <v>40</v>
      </c>
      <c r="S403">
        <v>0</v>
      </c>
      <c r="U403" t="s">
        <v>5550</v>
      </c>
      <c r="V403" t="s">
        <v>1797</v>
      </c>
      <c r="X403" t="s">
        <v>74</v>
      </c>
      <c r="Y403" t="b">
        <v>0</v>
      </c>
      <c r="Z403" t="b">
        <v>0</v>
      </c>
      <c r="AC403" s="1"/>
      <c r="AF403">
        <v>0</v>
      </c>
      <c r="AG403">
        <v>45</v>
      </c>
      <c r="AH403">
        <v>174</v>
      </c>
      <c r="AI403" s="2">
        <f>Table__192.168.3.138AgingReportBEWLGS[[#This Row],[NetAmount]]-Table__192.168.3.138AgingReportBEWLGS[[#This Row],[Paid]]</f>
        <v>1750</v>
      </c>
    </row>
    <row r="404" spans="1:35">
      <c r="A404" t="s">
        <v>7119</v>
      </c>
      <c r="B404" s="1">
        <v>41182</v>
      </c>
      <c r="C404" s="1">
        <v>41227</v>
      </c>
      <c r="D404" t="s">
        <v>6134</v>
      </c>
      <c r="E404">
        <v>75000</v>
      </c>
      <c r="F404">
        <v>0</v>
      </c>
      <c r="G404">
        <v>0</v>
      </c>
      <c r="H404">
        <v>0</v>
      </c>
      <c r="I404">
        <v>86</v>
      </c>
      <c r="J404">
        <v>75000</v>
      </c>
      <c r="K404" t="s">
        <v>5807</v>
      </c>
      <c r="L404" s="1">
        <v>41182</v>
      </c>
      <c r="N404" t="s">
        <v>6135</v>
      </c>
      <c r="O404" t="s">
        <v>83</v>
      </c>
      <c r="P404" t="s">
        <v>5530</v>
      </c>
      <c r="Q404" t="s">
        <v>39</v>
      </c>
      <c r="R404" t="s">
        <v>40</v>
      </c>
      <c r="S404">
        <v>0</v>
      </c>
      <c r="U404" t="s">
        <v>5550</v>
      </c>
      <c r="V404" t="s">
        <v>1797</v>
      </c>
      <c r="X404" t="s">
        <v>74</v>
      </c>
      <c r="Y404" t="b">
        <v>0</v>
      </c>
      <c r="Z404" t="b">
        <v>0</v>
      </c>
      <c r="AC404" s="1"/>
      <c r="AF404">
        <v>0</v>
      </c>
      <c r="AG404">
        <v>45</v>
      </c>
      <c r="AH404">
        <v>131</v>
      </c>
      <c r="AI404" s="2">
        <f>Table__192.168.3.138AgingReportBEWLGS[[#This Row],[NetAmount]]-Table__192.168.3.138AgingReportBEWLGS[[#This Row],[Paid]]</f>
        <v>75000</v>
      </c>
    </row>
    <row r="405" spans="1:35">
      <c r="A405" t="s">
        <v>7120</v>
      </c>
      <c r="B405" s="1">
        <v>41180</v>
      </c>
      <c r="C405" s="1">
        <v>41225</v>
      </c>
      <c r="D405" t="s">
        <v>6307</v>
      </c>
      <c r="E405">
        <v>15560</v>
      </c>
      <c r="F405">
        <v>0</v>
      </c>
      <c r="G405">
        <v>0</v>
      </c>
      <c r="H405">
        <v>0</v>
      </c>
      <c r="I405">
        <v>86</v>
      </c>
      <c r="J405">
        <v>15560</v>
      </c>
      <c r="K405" t="s">
        <v>5807</v>
      </c>
      <c r="L405" s="1">
        <v>41182</v>
      </c>
      <c r="N405" t="s">
        <v>6135</v>
      </c>
      <c r="O405" t="s">
        <v>83</v>
      </c>
      <c r="P405" t="s">
        <v>6308</v>
      </c>
      <c r="Q405" t="s">
        <v>39</v>
      </c>
      <c r="R405" t="s">
        <v>40</v>
      </c>
      <c r="S405">
        <v>0</v>
      </c>
      <c r="U405" t="s">
        <v>5550</v>
      </c>
      <c r="V405" t="s">
        <v>1797</v>
      </c>
      <c r="X405" t="s">
        <v>74</v>
      </c>
      <c r="Y405" t="b">
        <v>0</v>
      </c>
      <c r="Z405" t="b">
        <v>0</v>
      </c>
      <c r="AC405" s="1"/>
      <c r="AF405">
        <v>0</v>
      </c>
      <c r="AG405">
        <v>45</v>
      </c>
      <c r="AH405">
        <v>131</v>
      </c>
      <c r="AI405" s="2">
        <f>Table__192.168.3.138AgingReportBEWLGS[[#This Row],[NetAmount]]-Table__192.168.3.138AgingReportBEWLGS[[#This Row],[Paid]]</f>
        <v>15560</v>
      </c>
    </row>
    <row r="406" spans="1:35">
      <c r="A406" t="s">
        <v>7121</v>
      </c>
      <c r="B406" s="1">
        <v>41195</v>
      </c>
      <c r="C406" s="1">
        <v>41240</v>
      </c>
      <c r="D406" t="s">
        <v>6296</v>
      </c>
      <c r="E406">
        <v>11225</v>
      </c>
      <c r="F406">
        <v>0</v>
      </c>
      <c r="G406">
        <v>0</v>
      </c>
      <c r="H406">
        <v>0</v>
      </c>
      <c r="I406">
        <v>66</v>
      </c>
      <c r="J406">
        <v>11225</v>
      </c>
      <c r="K406" t="s">
        <v>5807</v>
      </c>
      <c r="L406" s="1">
        <v>41202</v>
      </c>
      <c r="N406" t="s">
        <v>6135</v>
      </c>
      <c r="O406" t="s">
        <v>83</v>
      </c>
      <c r="P406" t="s">
        <v>6297</v>
      </c>
      <c r="Q406" t="s">
        <v>39</v>
      </c>
      <c r="R406" t="s">
        <v>40</v>
      </c>
      <c r="S406">
        <v>0</v>
      </c>
      <c r="U406" t="s">
        <v>5550</v>
      </c>
      <c r="V406" t="s">
        <v>1797</v>
      </c>
      <c r="X406" t="s">
        <v>74</v>
      </c>
      <c r="Y406" t="b">
        <v>0</v>
      </c>
      <c r="Z406" t="b">
        <v>0</v>
      </c>
      <c r="AC406" s="1"/>
      <c r="AF406">
        <v>0</v>
      </c>
      <c r="AG406">
        <v>45</v>
      </c>
      <c r="AH406">
        <v>111</v>
      </c>
      <c r="AI406" s="2">
        <f>Table__192.168.3.138AgingReportBEWLGS[[#This Row],[NetAmount]]-Table__192.168.3.138AgingReportBEWLGS[[#This Row],[Paid]]</f>
        <v>11225</v>
      </c>
    </row>
    <row r="407" spans="1:35">
      <c r="A407" t="s">
        <v>7122</v>
      </c>
      <c r="B407" s="1">
        <v>41198</v>
      </c>
      <c r="C407" s="1">
        <v>41243</v>
      </c>
      <c r="D407" t="s">
        <v>6278</v>
      </c>
      <c r="E407">
        <v>1500</v>
      </c>
      <c r="F407">
        <v>290</v>
      </c>
      <c r="G407">
        <v>0</v>
      </c>
      <c r="H407">
        <v>0</v>
      </c>
      <c r="I407">
        <v>55</v>
      </c>
      <c r="J407">
        <v>1790</v>
      </c>
      <c r="K407" t="s">
        <v>5981</v>
      </c>
      <c r="L407" s="1">
        <v>41213</v>
      </c>
      <c r="N407" t="s">
        <v>6135</v>
      </c>
      <c r="O407" t="s">
        <v>83</v>
      </c>
      <c r="P407" t="s">
        <v>6280</v>
      </c>
      <c r="Q407" t="s">
        <v>39</v>
      </c>
      <c r="R407" t="s">
        <v>40</v>
      </c>
      <c r="S407">
        <v>0</v>
      </c>
      <c r="U407" t="s">
        <v>5550</v>
      </c>
      <c r="V407" t="s">
        <v>1797</v>
      </c>
      <c r="X407" t="s">
        <v>74</v>
      </c>
      <c r="Y407" t="b">
        <v>0</v>
      </c>
      <c r="Z407" t="b">
        <v>0</v>
      </c>
      <c r="AC407" s="1"/>
      <c r="AF407">
        <v>0</v>
      </c>
      <c r="AG407">
        <v>45</v>
      </c>
      <c r="AH407">
        <v>100</v>
      </c>
      <c r="AI407" s="2">
        <f>Table__192.168.3.138AgingReportBEWLGS[[#This Row],[NetAmount]]-Table__192.168.3.138AgingReportBEWLGS[[#This Row],[Paid]]</f>
        <v>1790</v>
      </c>
    </row>
    <row r="408" spans="1:35">
      <c r="A408" t="s">
        <v>7123</v>
      </c>
      <c r="B408" s="1">
        <v>41213</v>
      </c>
      <c r="C408" s="1">
        <v>41258</v>
      </c>
      <c r="D408" t="s">
        <v>6134</v>
      </c>
      <c r="E408">
        <v>69300</v>
      </c>
      <c r="F408">
        <v>0</v>
      </c>
      <c r="G408">
        <v>0</v>
      </c>
      <c r="H408">
        <v>0</v>
      </c>
      <c r="I408">
        <v>55</v>
      </c>
      <c r="J408">
        <v>69300</v>
      </c>
      <c r="K408" t="s">
        <v>5981</v>
      </c>
      <c r="L408" s="1">
        <v>41213</v>
      </c>
      <c r="N408" t="s">
        <v>6135</v>
      </c>
      <c r="O408" t="s">
        <v>83</v>
      </c>
      <c r="P408" t="s">
        <v>5530</v>
      </c>
      <c r="Q408" t="s">
        <v>39</v>
      </c>
      <c r="R408" t="s">
        <v>40</v>
      </c>
      <c r="S408">
        <v>0</v>
      </c>
      <c r="U408" t="s">
        <v>5550</v>
      </c>
      <c r="V408" t="s">
        <v>1797</v>
      </c>
      <c r="X408" t="s">
        <v>74</v>
      </c>
      <c r="Y408" t="b">
        <v>0</v>
      </c>
      <c r="Z408" t="b">
        <v>0</v>
      </c>
      <c r="AC408" s="1"/>
      <c r="AF408">
        <v>0</v>
      </c>
      <c r="AG408">
        <v>45</v>
      </c>
      <c r="AH408">
        <v>100</v>
      </c>
      <c r="AI408" s="2">
        <f>Table__192.168.3.138AgingReportBEWLGS[[#This Row],[NetAmount]]-Table__192.168.3.138AgingReportBEWLGS[[#This Row],[Paid]]</f>
        <v>69300</v>
      </c>
    </row>
    <row r="409" spans="1:35">
      <c r="A409" t="s">
        <v>7124</v>
      </c>
      <c r="B409" s="1">
        <v>41213</v>
      </c>
      <c r="C409" s="1">
        <v>41258</v>
      </c>
      <c r="D409" t="s">
        <v>6307</v>
      </c>
      <c r="E409">
        <v>7900</v>
      </c>
      <c r="F409">
        <v>0</v>
      </c>
      <c r="G409">
        <v>0</v>
      </c>
      <c r="H409">
        <v>0</v>
      </c>
      <c r="I409">
        <v>55</v>
      </c>
      <c r="J409">
        <v>7900</v>
      </c>
      <c r="K409" t="s">
        <v>5981</v>
      </c>
      <c r="L409" s="1">
        <v>41213</v>
      </c>
      <c r="N409" t="s">
        <v>6135</v>
      </c>
      <c r="O409" t="s">
        <v>83</v>
      </c>
      <c r="P409" t="s">
        <v>6308</v>
      </c>
      <c r="Q409" t="s">
        <v>39</v>
      </c>
      <c r="R409" t="s">
        <v>40</v>
      </c>
      <c r="S409">
        <v>0</v>
      </c>
      <c r="U409" t="s">
        <v>5550</v>
      </c>
      <c r="V409" t="s">
        <v>1797</v>
      </c>
      <c r="X409" t="s">
        <v>74</v>
      </c>
      <c r="Y409" t="b">
        <v>0</v>
      </c>
      <c r="Z409" t="b">
        <v>0</v>
      </c>
      <c r="AC409" s="1"/>
      <c r="AF409">
        <v>0</v>
      </c>
      <c r="AG409">
        <v>45</v>
      </c>
      <c r="AH409">
        <v>100</v>
      </c>
      <c r="AI409" s="2">
        <f>Table__192.168.3.138AgingReportBEWLGS[[#This Row],[NetAmount]]-Table__192.168.3.138AgingReportBEWLGS[[#This Row],[Paid]]</f>
        <v>7900</v>
      </c>
    </row>
    <row r="410" spans="1:35">
      <c r="A410" t="s">
        <v>7125</v>
      </c>
      <c r="B410" s="1">
        <v>41228</v>
      </c>
      <c r="C410" s="1">
        <v>41273</v>
      </c>
      <c r="D410" t="s">
        <v>6296</v>
      </c>
      <c r="E410">
        <v>11811</v>
      </c>
      <c r="F410">
        <v>0</v>
      </c>
      <c r="G410">
        <v>0</v>
      </c>
      <c r="H410">
        <v>0</v>
      </c>
      <c r="I410">
        <v>40</v>
      </c>
      <c r="J410">
        <v>11811</v>
      </c>
      <c r="K410" t="s">
        <v>5981</v>
      </c>
      <c r="L410" s="1">
        <v>41228</v>
      </c>
      <c r="N410" t="s">
        <v>6135</v>
      </c>
      <c r="O410" t="s">
        <v>83</v>
      </c>
      <c r="P410" t="s">
        <v>6297</v>
      </c>
      <c r="Q410" t="s">
        <v>39</v>
      </c>
      <c r="R410" t="s">
        <v>40</v>
      </c>
      <c r="S410">
        <v>0</v>
      </c>
      <c r="U410" t="s">
        <v>5550</v>
      </c>
      <c r="V410" t="s">
        <v>1797</v>
      </c>
      <c r="X410" t="s">
        <v>74</v>
      </c>
      <c r="Y410" t="b">
        <v>0</v>
      </c>
      <c r="Z410" t="b">
        <v>0</v>
      </c>
      <c r="AC410" s="1"/>
      <c r="AF410">
        <v>0</v>
      </c>
      <c r="AG410">
        <v>45</v>
      </c>
      <c r="AH410">
        <v>85</v>
      </c>
      <c r="AI410" s="2">
        <f>Table__192.168.3.138AgingReportBEWLGS[[#This Row],[NetAmount]]-Table__192.168.3.138AgingReportBEWLGS[[#This Row],[Paid]]</f>
        <v>11811</v>
      </c>
    </row>
    <row r="411" spans="1:35">
      <c r="A411" t="s">
        <v>7126</v>
      </c>
      <c r="B411" s="1">
        <v>41228</v>
      </c>
      <c r="C411" s="1">
        <v>41273</v>
      </c>
      <c r="D411" t="s">
        <v>7010</v>
      </c>
      <c r="E411">
        <v>390</v>
      </c>
      <c r="F411">
        <v>62</v>
      </c>
      <c r="G411">
        <v>0</v>
      </c>
      <c r="H411">
        <v>0</v>
      </c>
      <c r="I411">
        <v>55</v>
      </c>
      <c r="J411">
        <v>452</v>
      </c>
      <c r="K411" t="s">
        <v>7127</v>
      </c>
      <c r="L411" s="1">
        <v>41213</v>
      </c>
      <c r="N411" t="s">
        <v>6135</v>
      </c>
      <c r="O411" t="s">
        <v>83</v>
      </c>
      <c r="P411" t="s">
        <v>7012</v>
      </c>
      <c r="Q411" t="s">
        <v>39</v>
      </c>
      <c r="R411" t="s">
        <v>40</v>
      </c>
      <c r="S411">
        <v>0</v>
      </c>
      <c r="U411" t="s">
        <v>5550</v>
      </c>
      <c r="V411" t="s">
        <v>1797</v>
      </c>
      <c r="X411" t="s">
        <v>74</v>
      </c>
      <c r="Y411" t="b">
        <v>0</v>
      </c>
      <c r="Z411" t="b">
        <v>0</v>
      </c>
      <c r="AC411" s="1"/>
      <c r="AF411">
        <v>0</v>
      </c>
      <c r="AG411">
        <v>45</v>
      </c>
      <c r="AH411">
        <v>100</v>
      </c>
      <c r="AI411" s="2">
        <f>Table__192.168.3.138AgingReportBEWLGS[[#This Row],[NetAmount]]-Table__192.168.3.138AgingReportBEWLGS[[#This Row],[Paid]]</f>
        <v>452</v>
      </c>
    </row>
    <row r="412" spans="1:35">
      <c r="A412" t="s">
        <v>7128</v>
      </c>
      <c r="B412" s="1">
        <v>41228</v>
      </c>
      <c r="C412" s="1">
        <v>41273</v>
      </c>
      <c r="D412" t="s">
        <v>6278</v>
      </c>
      <c r="E412">
        <v>1030</v>
      </c>
      <c r="F412">
        <v>200</v>
      </c>
      <c r="G412">
        <v>0</v>
      </c>
      <c r="H412">
        <v>0</v>
      </c>
      <c r="I412">
        <v>55</v>
      </c>
      <c r="J412">
        <v>1230</v>
      </c>
      <c r="K412" t="s">
        <v>7129</v>
      </c>
      <c r="L412" s="1">
        <v>41213</v>
      </c>
      <c r="N412" t="s">
        <v>6135</v>
      </c>
      <c r="O412" t="s">
        <v>83</v>
      </c>
      <c r="P412" t="s">
        <v>6280</v>
      </c>
      <c r="Q412" t="s">
        <v>39</v>
      </c>
      <c r="R412" t="s">
        <v>40</v>
      </c>
      <c r="S412">
        <v>0</v>
      </c>
      <c r="U412" t="s">
        <v>5550</v>
      </c>
      <c r="V412" t="s">
        <v>1797</v>
      </c>
      <c r="X412" t="s">
        <v>74</v>
      </c>
      <c r="Y412" t="b">
        <v>0</v>
      </c>
      <c r="Z412" t="b">
        <v>0</v>
      </c>
      <c r="AC412" s="1"/>
      <c r="AF412">
        <v>0</v>
      </c>
      <c r="AG412">
        <v>45</v>
      </c>
      <c r="AH412">
        <v>100</v>
      </c>
      <c r="AI412" s="2">
        <f>Table__192.168.3.138AgingReportBEWLGS[[#This Row],[NetAmount]]-Table__192.168.3.138AgingReportBEWLGS[[#This Row],[Paid]]</f>
        <v>1230</v>
      </c>
    </row>
    <row r="413" spans="1:35">
      <c r="A413" t="s">
        <v>7130</v>
      </c>
      <c r="B413" s="1">
        <v>41241</v>
      </c>
      <c r="C413" s="1">
        <v>41286</v>
      </c>
      <c r="D413" t="s">
        <v>6307</v>
      </c>
      <c r="E413">
        <v>8240</v>
      </c>
      <c r="F413">
        <v>0</v>
      </c>
      <c r="G413">
        <v>0</v>
      </c>
      <c r="H413">
        <v>0</v>
      </c>
      <c r="I413">
        <v>25</v>
      </c>
      <c r="J413">
        <v>8240</v>
      </c>
      <c r="K413" t="s">
        <v>5976</v>
      </c>
      <c r="L413" s="1">
        <v>41243</v>
      </c>
      <c r="N413" t="s">
        <v>6135</v>
      </c>
      <c r="O413" t="s">
        <v>83</v>
      </c>
      <c r="P413" t="s">
        <v>6308</v>
      </c>
      <c r="Q413" t="s">
        <v>39</v>
      </c>
      <c r="R413" t="s">
        <v>40</v>
      </c>
      <c r="S413">
        <v>0</v>
      </c>
      <c r="U413" t="s">
        <v>5550</v>
      </c>
      <c r="V413" t="s">
        <v>1797</v>
      </c>
      <c r="X413" t="s">
        <v>74</v>
      </c>
      <c r="Y413" t="b">
        <v>0</v>
      </c>
      <c r="Z413" t="b">
        <v>0</v>
      </c>
      <c r="AC413" s="1"/>
      <c r="AF413">
        <v>0</v>
      </c>
      <c r="AG413">
        <v>45</v>
      </c>
      <c r="AH413">
        <v>70</v>
      </c>
      <c r="AI413" s="2">
        <f>Table__192.168.3.138AgingReportBEWLGS[[#This Row],[NetAmount]]-Table__192.168.3.138AgingReportBEWLGS[[#This Row],[Paid]]</f>
        <v>8240</v>
      </c>
    </row>
    <row r="414" spans="1:35">
      <c r="A414" t="s">
        <v>7131</v>
      </c>
      <c r="B414" s="1">
        <v>41241</v>
      </c>
      <c r="C414" s="1">
        <v>41286</v>
      </c>
      <c r="D414" t="s">
        <v>6134</v>
      </c>
      <c r="E414">
        <v>55600</v>
      </c>
      <c r="F414">
        <v>0</v>
      </c>
      <c r="G414">
        <v>0</v>
      </c>
      <c r="H414">
        <v>0</v>
      </c>
      <c r="I414">
        <v>25</v>
      </c>
      <c r="J414">
        <v>55600</v>
      </c>
      <c r="K414" t="s">
        <v>5976</v>
      </c>
      <c r="L414" s="1">
        <v>41243</v>
      </c>
      <c r="N414" t="s">
        <v>6135</v>
      </c>
      <c r="O414" t="s">
        <v>83</v>
      </c>
      <c r="P414" t="s">
        <v>5530</v>
      </c>
      <c r="Q414" t="s">
        <v>39</v>
      </c>
      <c r="R414" t="s">
        <v>40</v>
      </c>
      <c r="S414">
        <v>0</v>
      </c>
      <c r="U414" t="s">
        <v>5550</v>
      </c>
      <c r="V414" t="s">
        <v>1797</v>
      </c>
      <c r="X414" t="s">
        <v>74</v>
      </c>
      <c r="Y414" t="b">
        <v>0</v>
      </c>
      <c r="Z414" t="b">
        <v>0</v>
      </c>
      <c r="AC414" s="1"/>
      <c r="AF414">
        <v>0</v>
      </c>
      <c r="AG414">
        <v>45</v>
      </c>
      <c r="AH414">
        <v>70</v>
      </c>
      <c r="AI414" s="2">
        <f>Table__192.168.3.138AgingReportBEWLGS[[#This Row],[NetAmount]]-Table__192.168.3.138AgingReportBEWLGS[[#This Row],[Paid]]</f>
        <v>55600</v>
      </c>
    </row>
    <row r="415" spans="1:35">
      <c r="A415" t="s">
        <v>7132</v>
      </c>
      <c r="B415" s="1">
        <v>41258</v>
      </c>
      <c r="C415" s="1">
        <v>41303</v>
      </c>
      <c r="D415" t="s">
        <v>7010</v>
      </c>
      <c r="E415">
        <v>390</v>
      </c>
      <c r="F415">
        <v>62</v>
      </c>
      <c r="G415">
        <v>0</v>
      </c>
      <c r="H415">
        <v>0</v>
      </c>
      <c r="I415">
        <v>7</v>
      </c>
      <c r="J415">
        <v>452</v>
      </c>
      <c r="K415" t="s">
        <v>7133</v>
      </c>
      <c r="L415" s="1">
        <v>41261</v>
      </c>
      <c r="N415" t="s">
        <v>6135</v>
      </c>
      <c r="O415" t="s">
        <v>83</v>
      </c>
      <c r="P415" t="s">
        <v>7012</v>
      </c>
      <c r="Q415" t="s">
        <v>39</v>
      </c>
      <c r="R415" t="s">
        <v>40</v>
      </c>
      <c r="S415">
        <v>0</v>
      </c>
      <c r="U415" t="s">
        <v>5550</v>
      </c>
      <c r="V415" t="s">
        <v>1797</v>
      </c>
      <c r="X415" t="s">
        <v>74</v>
      </c>
      <c r="Y415" t="b">
        <v>0</v>
      </c>
      <c r="Z415" t="b">
        <v>0</v>
      </c>
      <c r="AC415" s="1"/>
      <c r="AF415">
        <v>0</v>
      </c>
      <c r="AG415">
        <v>45</v>
      </c>
      <c r="AH415">
        <v>52</v>
      </c>
      <c r="AI415" s="2">
        <f>Table__192.168.3.138AgingReportBEWLGS[[#This Row],[NetAmount]]-Table__192.168.3.138AgingReportBEWLGS[[#This Row],[Paid]]</f>
        <v>452</v>
      </c>
    </row>
    <row r="416" spans="1:35">
      <c r="A416" t="s">
        <v>7134</v>
      </c>
      <c r="B416" s="1">
        <v>41261</v>
      </c>
      <c r="C416" s="1">
        <v>41306</v>
      </c>
      <c r="D416" t="s">
        <v>6296</v>
      </c>
      <c r="E416">
        <v>11167</v>
      </c>
      <c r="F416">
        <v>0</v>
      </c>
      <c r="G416">
        <v>0</v>
      </c>
      <c r="H416">
        <v>0</v>
      </c>
      <c r="I416">
        <v>6</v>
      </c>
      <c r="J416">
        <v>11167</v>
      </c>
      <c r="K416" t="s">
        <v>5976</v>
      </c>
      <c r="L416" s="1">
        <v>41262</v>
      </c>
      <c r="N416" t="s">
        <v>6135</v>
      </c>
      <c r="O416" t="s">
        <v>83</v>
      </c>
      <c r="P416" t="s">
        <v>6297</v>
      </c>
      <c r="Q416" t="s">
        <v>39</v>
      </c>
      <c r="R416" t="s">
        <v>40</v>
      </c>
      <c r="S416">
        <v>0</v>
      </c>
      <c r="U416" t="s">
        <v>5550</v>
      </c>
      <c r="V416" t="s">
        <v>1797</v>
      </c>
      <c r="X416" t="s">
        <v>74</v>
      </c>
      <c r="Y416" t="b">
        <v>0</v>
      </c>
      <c r="Z416" t="b">
        <v>0</v>
      </c>
      <c r="AC416" s="1"/>
      <c r="AF416">
        <v>0</v>
      </c>
      <c r="AG416">
        <v>45</v>
      </c>
      <c r="AH416">
        <v>51</v>
      </c>
      <c r="AI416" s="2">
        <f>Table__192.168.3.138AgingReportBEWLGS[[#This Row],[NetAmount]]-Table__192.168.3.138AgingReportBEWLGS[[#This Row],[Paid]]</f>
        <v>11167</v>
      </c>
    </row>
    <row r="417" spans="1:35">
      <c r="A417" t="s">
        <v>7135</v>
      </c>
      <c r="B417" s="1">
        <v>41272</v>
      </c>
      <c r="C417" s="1">
        <v>41317</v>
      </c>
      <c r="D417" t="s">
        <v>6134</v>
      </c>
      <c r="E417">
        <v>75000</v>
      </c>
      <c r="F417">
        <v>0</v>
      </c>
      <c r="G417">
        <v>0</v>
      </c>
      <c r="H417">
        <v>0</v>
      </c>
      <c r="I417">
        <v>-6</v>
      </c>
      <c r="J417">
        <v>75000</v>
      </c>
      <c r="K417" t="s">
        <v>934</v>
      </c>
      <c r="L417" s="1">
        <v>41274</v>
      </c>
      <c r="N417" t="s">
        <v>6135</v>
      </c>
      <c r="O417" t="s">
        <v>83</v>
      </c>
      <c r="P417" t="s">
        <v>5530</v>
      </c>
      <c r="Q417" t="s">
        <v>39</v>
      </c>
      <c r="R417" t="s">
        <v>40</v>
      </c>
      <c r="S417">
        <v>0</v>
      </c>
      <c r="U417" t="s">
        <v>5550</v>
      </c>
      <c r="V417" t="s">
        <v>1797</v>
      </c>
      <c r="X417" t="s">
        <v>74</v>
      </c>
      <c r="Y417" t="b">
        <v>0</v>
      </c>
      <c r="Z417" t="b">
        <v>0</v>
      </c>
      <c r="AC417" s="1"/>
      <c r="AF417">
        <v>0</v>
      </c>
      <c r="AG417">
        <v>45</v>
      </c>
      <c r="AH417">
        <v>39</v>
      </c>
      <c r="AI417" s="2">
        <f>Table__192.168.3.138AgingReportBEWLGS[[#This Row],[NetAmount]]-Table__192.168.3.138AgingReportBEWLGS[[#This Row],[Paid]]</f>
        <v>75000</v>
      </c>
    </row>
    <row r="418" spans="1:35">
      <c r="A418" t="s">
        <v>7136</v>
      </c>
      <c r="B418" s="1">
        <v>41272</v>
      </c>
      <c r="C418" s="1">
        <v>41317</v>
      </c>
      <c r="D418" t="s">
        <v>6307</v>
      </c>
      <c r="E418">
        <v>7220</v>
      </c>
      <c r="F418">
        <v>0</v>
      </c>
      <c r="G418">
        <v>0</v>
      </c>
      <c r="H418">
        <v>0</v>
      </c>
      <c r="I418">
        <v>-6</v>
      </c>
      <c r="J418">
        <v>7220</v>
      </c>
      <c r="K418" t="s">
        <v>6661</v>
      </c>
      <c r="L418" s="1">
        <v>41274</v>
      </c>
      <c r="N418" t="s">
        <v>6135</v>
      </c>
      <c r="O418" t="s">
        <v>83</v>
      </c>
      <c r="P418" t="s">
        <v>6308</v>
      </c>
      <c r="Q418" t="s">
        <v>39</v>
      </c>
      <c r="R418" t="s">
        <v>40</v>
      </c>
      <c r="S418">
        <v>0</v>
      </c>
      <c r="U418" t="s">
        <v>5550</v>
      </c>
      <c r="V418" t="s">
        <v>1797</v>
      </c>
      <c r="X418" t="s">
        <v>74</v>
      </c>
      <c r="Y418" t="b">
        <v>0</v>
      </c>
      <c r="Z418" t="b">
        <v>0</v>
      </c>
      <c r="AC418" s="1"/>
      <c r="AF418">
        <v>0</v>
      </c>
      <c r="AG418">
        <v>45</v>
      </c>
      <c r="AH418">
        <v>39</v>
      </c>
      <c r="AI418" s="2">
        <f>Table__192.168.3.138AgingReportBEWLGS[[#This Row],[NetAmount]]-Table__192.168.3.138AgingReportBEWLGS[[#This Row],[Paid]]</f>
        <v>7220</v>
      </c>
    </row>
    <row r="419" spans="1:35">
      <c r="A419" t="s">
        <v>7137</v>
      </c>
      <c r="B419" s="1">
        <v>41274</v>
      </c>
      <c r="C419" s="1">
        <v>41319</v>
      </c>
      <c r="D419" t="s">
        <v>6278</v>
      </c>
      <c r="E419">
        <v>1004</v>
      </c>
      <c r="F419">
        <v>196</v>
      </c>
      <c r="G419">
        <v>0</v>
      </c>
      <c r="H419">
        <v>0</v>
      </c>
      <c r="I419">
        <v>-6</v>
      </c>
      <c r="J419">
        <v>1200</v>
      </c>
      <c r="K419" t="s">
        <v>6035</v>
      </c>
      <c r="L419" s="1">
        <v>41274</v>
      </c>
      <c r="N419" t="s">
        <v>6135</v>
      </c>
      <c r="O419" t="s">
        <v>83</v>
      </c>
      <c r="P419" t="s">
        <v>6280</v>
      </c>
      <c r="Q419" t="s">
        <v>39</v>
      </c>
      <c r="R419" t="s">
        <v>40</v>
      </c>
      <c r="S419">
        <v>0</v>
      </c>
      <c r="U419" t="s">
        <v>5550</v>
      </c>
      <c r="V419" t="s">
        <v>1797</v>
      </c>
      <c r="X419" t="s">
        <v>74</v>
      </c>
      <c r="Y419" t="b">
        <v>0</v>
      </c>
      <c r="Z419" t="b">
        <v>0</v>
      </c>
      <c r="AC419" s="1"/>
      <c r="AF419">
        <v>0</v>
      </c>
      <c r="AG419">
        <v>45</v>
      </c>
      <c r="AH419">
        <v>39</v>
      </c>
      <c r="AI419" s="2">
        <f>Table__192.168.3.138AgingReportBEWLGS[[#This Row],[NetAmount]]-Table__192.168.3.138AgingReportBEWLGS[[#This Row],[Paid]]</f>
        <v>1200</v>
      </c>
    </row>
    <row r="420" spans="1:35">
      <c r="A420" t="s">
        <v>7138</v>
      </c>
      <c r="B420" s="1">
        <v>41274</v>
      </c>
      <c r="C420" s="1">
        <v>41319</v>
      </c>
      <c r="D420" t="s">
        <v>7062</v>
      </c>
      <c r="E420">
        <v>128456</v>
      </c>
      <c r="F420">
        <v>0</v>
      </c>
      <c r="G420">
        <v>0</v>
      </c>
      <c r="H420">
        <v>0</v>
      </c>
      <c r="I420">
        <v>-6</v>
      </c>
      <c r="J420">
        <v>128456</v>
      </c>
      <c r="K420" t="s">
        <v>6035</v>
      </c>
      <c r="L420" s="1">
        <v>41274</v>
      </c>
      <c r="M420" t="s">
        <v>7139</v>
      </c>
      <c r="N420" t="s">
        <v>6135</v>
      </c>
      <c r="O420" t="s">
        <v>83</v>
      </c>
      <c r="P420" t="s">
        <v>7064</v>
      </c>
      <c r="Q420" t="s">
        <v>39</v>
      </c>
      <c r="R420" t="s">
        <v>40</v>
      </c>
      <c r="S420">
        <v>0</v>
      </c>
      <c r="U420" t="s">
        <v>5550</v>
      </c>
      <c r="V420" t="s">
        <v>1797</v>
      </c>
      <c r="W420" t="s">
        <v>7065</v>
      </c>
      <c r="X420" t="s">
        <v>74</v>
      </c>
      <c r="Y420" t="b">
        <v>0</v>
      </c>
      <c r="Z420" t="b">
        <v>0</v>
      </c>
      <c r="AA420" t="b">
        <v>0</v>
      </c>
      <c r="AC420" s="1"/>
      <c r="AF420">
        <v>0</v>
      </c>
      <c r="AG420">
        <v>45</v>
      </c>
      <c r="AH420">
        <v>39</v>
      </c>
      <c r="AI420" s="2">
        <f>Table__192.168.3.138AgingReportBEWLGS[[#This Row],[NetAmount]]-Table__192.168.3.138AgingReportBEWLGS[[#This Row],[Paid]]</f>
        <v>128456</v>
      </c>
    </row>
    <row r="421" spans="1:35">
      <c r="A421" t="s">
        <v>7140</v>
      </c>
      <c r="B421" s="1">
        <v>41274</v>
      </c>
      <c r="C421" s="1">
        <v>41319</v>
      </c>
      <c r="D421" t="s">
        <v>7062</v>
      </c>
      <c r="E421">
        <v>130882</v>
      </c>
      <c r="F421">
        <v>0</v>
      </c>
      <c r="G421">
        <v>0</v>
      </c>
      <c r="H421">
        <v>0</v>
      </c>
      <c r="I421">
        <v>-6</v>
      </c>
      <c r="J421">
        <v>130882</v>
      </c>
      <c r="K421" t="s">
        <v>6035</v>
      </c>
      <c r="L421" s="1">
        <v>41274</v>
      </c>
      <c r="M421" t="s">
        <v>7141</v>
      </c>
      <c r="N421" t="s">
        <v>6135</v>
      </c>
      <c r="O421" t="s">
        <v>83</v>
      </c>
      <c r="P421" t="s">
        <v>7064</v>
      </c>
      <c r="Q421" t="s">
        <v>39</v>
      </c>
      <c r="R421" t="s">
        <v>40</v>
      </c>
      <c r="S421">
        <v>0</v>
      </c>
      <c r="U421" t="s">
        <v>5550</v>
      </c>
      <c r="V421" t="s">
        <v>1797</v>
      </c>
      <c r="W421" t="s">
        <v>7065</v>
      </c>
      <c r="X421" t="s">
        <v>74</v>
      </c>
      <c r="Y421" t="b">
        <v>0</v>
      </c>
      <c r="Z421" t="b">
        <v>0</v>
      </c>
      <c r="AA421" t="b">
        <v>0</v>
      </c>
      <c r="AC421" s="1"/>
      <c r="AF421">
        <v>0</v>
      </c>
      <c r="AG421">
        <v>45</v>
      </c>
      <c r="AH421">
        <v>39</v>
      </c>
      <c r="AI421" s="2">
        <f>Table__192.168.3.138AgingReportBEWLGS[[#This Row],[NetAmount]]-Table__192.168.3.138AgingReportBEWLGS[[#This Row],[Paid]]</f>
        <v>130882</v>
      </c>
    </row>
    <row r="422" spans="1:35">
      <c r="A422" t="s">
        <v>7142</v>
      </c>
      <c r="B422" s="1">
        <v>41274</v>
      </c>
      <c r="C422" s="1">
        <v>41319</v>
      </c>
      <c r="D422" t="s">
        <v>6169</v>
      </c>
      <c r="E422">
        <v>115731</v>
      </c>
      <c r="F422">
        <v>0</v>
      </c>
      <c r="G422">
        <v>0</v>
      </c>
      <c r="H422">
        <v>0</v>
      </c>
      <c r="I422">
        <v>-6</v>
      </c>
      <c r="J422">
        <v>115731</v>
      </c>
      <c r="K422" t="s">
        <v>6035</v>
      </c>
      <c r="L422" s="1">
        <v>41274</v>
      </c>
      <c r="M422" t="s">
        <v>7143</v>
      </c>
      <c r="N422" t="s">
        <v>6135</v>
      </c>
      <c r="O422" t="s">
        <v>83</v>
      </c>
      <c r="P422" t="s">
        <v>6171</v>
      </c>
      <c r="Q422" t="s">
        <v>39</v>
      </c>
      <c r="R422" t="s">
        <v>40</v>
      </c>
      <c r="S422">
        <v>0</v>
      </c>
      <c r="U422" t="s">
        <v>5550</v>
      </c>
      <c r="V422" t="s">
        <v>1797</v>
      </c>
      <c r="W422" t="s">
        <v>6172</v>
      </c>
      <c r="X422" t="s">
        <v>74</v>
      </c>
      <c r="Y422" t="b">
        <v>0</v>
      </c>
      <c r="Z422" t="b">
        <v>0</v>
      </c>
      <c r="AA422" t="b">
        <v>0</v>
      </c>
      <c r="AC422" s="1"/>
      <c r="AF422">
        <v>0</v>
      </c>
      <c r="AG422">
        <v>45</v>
      </c>
      <c r="AH422">
        <v>39</v>
      </c>
      <c r="AI422" s="2">
        <f>Table__192.168.3.138AgingReportBEWLGS[[#This Row],[NetAmount]]-Table__192.168.3.138AgingReportBEWLGS[[#This Row],[Paid]]</f>
        <v>115731</v>
      </c>
    </row>
    <row r="423" spans="1:35">
      <c r="A423" t="s">
        <v>7144</v>
      </c>
      <c r="B423" s="1">
        <v>41274</v>
      </c>
      <c r="C423" s="1">
        <v>41319</v>
      </c>
      <c r="D423" t="s">
        <v>7145</v>
      </c>
      <c r="E423">
        <v>4050</v>
      </c>
      <c r="F423">
        <v>0</v>
      </c>
      <c r="G423">
        <v>0</v>
      </c>
      <c r="H423">
        <v>0</v>
      </c>
      <c r="I423">
        <v>-6</v>
      </c>
      <c r="J423">
        <v>4050</v>
      </c>
      <c r="K423" t="s">
        <v>6035</v>
      </c>
      <c r="L423" s="1">
        <v>41274</v>
      </c>
      <c r="M423" t="s">
        <v>7146</v>
      </c>
      <c r="N423" t="s">
        <v>6135</v>
      </c>
      <c r="O423" t="s">
        <v>83</v>
      </c>
      <c r="P423" t="s">
        <v>7147</v>
      </c>
      <c r="Q423" t="s">
        <v>39</v>
      </c>
      <c r="R423" t="s">
        <v>40</v>
      </c>
      <c r="S423">
        <v>0</v>
      </c>
      <c r="U423" t="s">
        <v>5550</v>
      </c>
      <c r="V423" t="s">
        <v>1797</v>
      </c>
      <c r="W423" t="s">
        <v>7148</v>
      </c>
      <c r="X423" t="s">
        <v>74</v>
      </c>
      <c r="Y423" t="b">
        <v>0</v>
      </c>
      <c r="Z423" t="b">
        <v>0</v>
      </c>
      <c r="AA423" t="b">
        <v>0</v>
      </c>
      <c r="AC423" s="1"/>
      <c r="AF423">
        <v>0</v>
      </c>
      <c r="AG423">
        <v>45</v>
      </c>
      <c r="AH423">
        <v>39</v>
      </c>
      <c r="AI423" s="2">
        <f>Table__192.168.3.138AgingReportBEWLGS[[#This Row],[NetAmount]]-Table__192.168.3.138AgingReportBEWLGS[[#This Row],[Paid]]</f>
        <v>4050</v>
      </c>
    </row>
    <row r="424" spans="1:35">
      <c r="A424" t="s">
        <v>7149</v>
      </c>
      <c r="B424" s="1">
        <v>41289</v>
      </c>
      <c r="C424" s="1">
        <v>41334</v>
      </c>
      <c r="D424" t="s">
        <v>7010</v>
      </c>
      <c r="E424">
        <v>390</v>
      </c>
      <c r="F424">
        <v>62</v>
      </c>
      <c r="G424">
        <v>0</v>
      </c>
      <c r="H424">
        <v>0</v>
      </c>
      <c r="I424">
        <v>-6</v>
      </c>
      <c r="J424">
        <v>452</v>
      </c>
      <c r="K424" t="s">
        <v>7150</v>
      </c>
      <c r="L424" s="1">
        <v>41274</v>
      </c>
      <c r="N424" t="s">
        <v>6135</v>
      </c>
      <c r="O424" t="s">
        <v>83</v>
      </c>
      <c r="P424" t="s">
        <v>7012</v>
      </c>
      <c r="Q424" t="s">
        <v>39</v>
      </c>
      <c r="R424" t="s">
        <v>40</v>
      </c>
      <c r="S424">
        <v>0</v>
      </c>
      <c r="U424" t="s">
        <v>5550</v>
      </c>
      <c r="V424" t="s">
        <v>1797</v>
      </c>
      <c r="X424" t="s">
        <v>74</v>
      </c>
      <c r="Y424" t="b">
        <v>0</v>
      </c>
      <c r="Z424" t="b">
        <v>0</v>
      </c>
      <c r="AC424" s="1"/>
      <c r="AF424">
        <v>0</v>
      </c>
      <c r="AG424">
        <v>45</v>
      </c>
      <c r="AH424">
        <v>39</v>
      </c>
      <c r="AI424" s="2">
        <f>Table__192.168.3.138AgingReportBEWLGS[[#This Row],[NetAmount]]-Table__192.168.3.138AgingReportBEWLGS[[#This Row],[Paid]]</f>
        <v>452</v>
      </c>
    </row>
    <row r="425" spans="1:35">
      <c r="A425" t="s">
        <v>7151</v>
      </c>
      <c r="B425" s="1">
        <v>41303</v>
      </c>
      <c r="C425" s="1">
        <v>41348</v>
      </c>
      <c r="D425" t="s">
        <v>6278</v>
      </c>
      <c r="E425">
        <v>978</v>
      </c>
      <c r="F425">
        <v>192</v>
      </c>
      <c r="G425">
        <v>0</v>
      </c>
      <c r="H425">
        <v>0</v>
      </c>
      <c r="I425">
        <v>-20</v>
      </c>
      <c r="J425">
        <v>1170</v>
      </c>
      <c r="K425" t="s">
        <v>6856</v>
      </c>
      <c r="L425" s="1">
        <v>41288</v>
      </c>
      <c r="N425" t="s">
        <v>6135</v>
      </c>
      <c r="O425" t="s">
        <v>83</v>
      </c>
      <c r="P425" t="s">
        <v>6280</v>
      </c>
      <c r="Q425" t="s">
        <v>39</v>
      </c>
      <c r="R425" t="s">
        <v>40</v>
      </c>
      <c r="S425">
        <v>0</v>
      </c>
      <c r="U425" t="s">
        <v>5550</v>
      </c>
      <c r="V425" t="s">
        <v>1797</v>
      </c>
      <c r="X425" t="s">
        <v>74</v>
      </c>
      <c r="Y425" t="b">
        <v>0</v>
      </c>
      <c r="Z425" t="b">
        <v>0</v>
      </c>
      <c r="AC425" s="1"/>
      <c r="AF425">
        <v>0</v>
      </c>
      <c r="AG425">
        <v>45</v>
      </c>
      <c r="AH425">
        <v>25</v>
      </c>
      <c r="AI425" s="2">
        <f>Table__192.168.3.138AgingReportBEWLGS[[#This Row],[NetAmount]]-Table__192.168.3.138AgingReportBEWLGS[[#This Row],[Paid]]</f>
        <v>1170</v>
      </c>
    </row>
    <row r="426" spans="1:35">
      <c r="A426" t="s">
        <v>7152</v>
      </c>
      <c r="B426" s="1">
        <v>41289</v>
      </c>
      <c r="C426" s="1">
        <v>41334</v>
      </c>
      <c r="D426" t="s">
        <v>6296</v>
      </c>
      <c r="E426">
        <v>11954</v>
      </c>
      <c r="F426">
        <v>0</v>
      </c>
      <c r="G426">
        <v>0</v>
      </c>
      <c r="H426">
        <v>0</v>
      </c>
      <c r="I426">
        <v>-15</v>
      </c>
      <c r="J426">
        <v>11954</v>
      </c>
      <c r="K426" t="s">
        <v>6856</v>
      </c>
      <c r="L426" s="1">
        <v>41283</v>
      </c>
      <c r="N426" t="s">
        <v>6135</v>
      </c>
      <c r="O426" t="s">
        <v>83</v>
      </c>
      <c r="P426" t="s">
        <v>6297</v>
      </c>
      <c r="Q426" t="s">
        <v>39</v>
      </c>
      <c r="R426" t="s">
        <v>40</v>
      </c>
      <c r="S426">
        <v>0</v>
      </c>
      <c r="U426" t="s">
        <v>5550</v>
      </c>
      <c r="V426" t="s">
        <v>1797</v>
      </c>
      <c r="X426" t="s">
        <v>74</v>
      </c>
      <c r="Y426" t="b">
        <v>0</v>
      </c>
      <c r="Z426" t="b">
        <v>0</v>
      </c>
      <c r="AC426" s="1"/>
      <c r="AF426">
        <v>0</v>
      </c>
      <c r="AG426">
        <v>45</v>
      </c>
      <c r="AH426">
        <v>30</v>
      </c>
      <c r="AI426" s="2">
        <f>Table__192.168.3.138AgingReportBEWLGS[[#This Row],[NetAmount]]-Table__192.168.3.138AgingReportBEWLGS[[#This Row],[Paid]]</f>
        <v>11954</v>
      </c>
    </row>
    <row r="427" spans="1:35">
      <c r="A427" t="s">
        <v>7153</v>
      </c>
      <c r="B427" s="1">
        <v>41304</v>
      </c>
      <c r="C427" s="1">
        <v>41349</v>
      </c>
      <c r="D427" t="s">
        <v>6183</v>
      </c>
      <c r="E427">
        <v>65203</v>
      </c>
      <c r="F427">
        <v>0</v>
      </c>
      <c r="G427">
        <v>0</v>
      </c>
      <c r="H427">
        <v>0</v>
      </c>
      <c r="I427">
        <v>-37</v>
      </c>
      <c r="J427">
        <v>65203</v>
      </c>
      <c r="K427" t="s">
        <v>7018</v>
      </c>
      <c r="L427" s="1">
        <v>41305</v>
      </c>
      <c r="M427" t="s">
        <v>7154</v>
      </c>
      <c r="N427" t="s">
        <v>6135</v>
      </c>
      <c r="O427" t="s">
        <v>83</v>
      </c>
      <c r="P427" t="s">
        <v>6185</v>
      </c>
      <c r="Q427" t="s">
        <v>39</v>
      </c>
      <c r="R427" t="s">
        <v>40</v>
      </c>
      <c r="S427">
        <v>0</v>
      </c>
      <c r="U427" t="s">
        <v>5550</v>
      </c>
      <c r="V427" t="s">
        <v>1797</v>
      </c>
      <c r="W427" t="s">
        <v>6186</v>
      </c>
      <c r="X427" t="s">
        <v>74</v>
      </c>
      <c r="Y427" t="b">
        <v>0</v>
      </c>
      <c r="Z427" t="b">
        <v>0</v>
      </c>
      <c r="AA427" t="b">
        <v>0</v>
      </c>
      <c r="AC427" s="1"/>
      <c r="AF427">
        <v>0</v>
      </c>
      <c r="AG427">
        <v>45</v>
      </c>
      <c r="AH427">
        <v>8</v>
      </c>
      <c r="AI427" s="2">
        <f>Table__192.168.3.138AgingReportBEWLGS[[#This Row],[NetAmount]]-Table__192.168.3.138AgingReportBEWLGS[[#This Row],[Paid]]</f>
        <v>65203</v>
      </c>
    </row>
    <row r="428" spans="1:35">
      <c r="A428" t="s">
        <v>7155</v>
      </c>
      <c r="B428" s="1">
        <v>41304</v>
      </c>
      <c r="C428" s="1">
        <v>41349</v>
      </c>
      <c r="D428" t="s">
        <v>6203</v>
      </c>
      <c r="E428">
        <v>77900</v>
      </c>
      <c r="F428">
        <v>0</v>
      </c>
      <c r="G428">
        <v>0</v>
      </c>
      <c r="H428">
        <v>0</v>
      </c>
      <c r="I428">
        <v>-37</v>
      </c>
      <c r="J428">
        <v>77900</v>
      </c>
      <c r="K428" t="s">
        <v>7021</v>
      </c>
      <c r="L428" s="1">
        <v>41305</v>
      </c>
      <c r="M428" t="s">
        <v>7156</v>
      </c>
      <c r="N428" t="s">
        <v>6135</v>
      </c>
      <c r="O428" t="s">
        <v>83</v>
      </c>
      <c r="P428" t="s">
        <v>6205</v>
      </c>
      <c r="Q428" t="s">
        <v>39</v>
      </c>
      <c r="R428" t="s">
        <v>40</v>
      </c>
      <c r="S428">
        <v>0</v>
      </c>
      <c r="U428" t="s">
        <v>5550</v>
      </c>
      <c r="V428" t="s">
        <v>1797</v>
      </c>
      <c r="W428" t="s">
        <v>6206</v>
      </c>
      <c r="X428" t="s">
        <v>74</v>
      </c>
      <c r="Y428" t="b">
        <v>0</v>
      </c>
      <c r="Z428" t="b">
        <v>0</v>
      </c>
      <c r="AA428" t="b">
        <v>0</v>
      </c>
      <c r="AC428" s="1"/>
      <c r="AF428">
        <v>0</v>
      </c>
      <c r="AG428">
        <v>45</v>
      </c>
      <c r="AH428">
        <v>8</v>
      </c>
      <c r="AI428" s="2">
        <f>Table__192.168.3.138AgingReportBEWLGS[[#This Row],[NetAmount]]-Table__192.168.3.138AgingReportBEWLGS[[#This Row],[Paid]]</f>
        <v>77900</v>
      </c>
    </row>
    <row r="429" spans="1:35">
      <c r="A429" t="s">
        <v>7157</v>
      </c>
      <c r="B429" s="1">
        <v>41303</v>
      </c>
      <c r="C429" s="1">
        <v>41348</v>
      </c>
      <c r="D429" t="s">
        <v>6307</v>
      </c>
      <c r="E429">
        <v>12120</v>
      </c>
      <c r="F429">
        <v>0</v>
      </c>
      <c r="G429">
        <v>0</v>
      </c>
      <c r="H429">
        <v>0</v>
      </c>
      <c r="I429">
        <v>-32</v>
      </c>
      <c r="J429">
        <v>12120</v>
      </c>
      <c r="K429" t="s">
        <v>2073</v>
      </c>
      <c r="L429" s="1">
        <v>41300</v>
      </c>
      <c r="N429" t="s">
        <v>6135</v>
      </c>
      <c r="O429" t="s">
        <v>83</v>
      </c>
      <c r="P429" t="s">
        <v>6308</v>
      </c>
      <c r="Q429" t="s">
        <v>5285</v>
      </c>
      <c r="R429" t="s">
        <v>5286</v>
      </c>
      <c r="S429">
        <v>0</v>
      </c>
      <c r="U429" t="s">
        <v>5550</v>
      </c>
      <c r="V429" t="s">
        <v>1797</v>
      </c>
      <c r="X429" t="s">
        <v>74</v>
      </c>
      <c r="Y429" t="b">
        <v>0</v>
      </c>
      <c r="Z429" t="b">
        <v>0</v>
      </c>
      <c r="AC429" s="1"/>
      <c r="AF429">
        <v>0</v>
      </c>
      <c r="AG429">
        <v>45</v>
      </c>
      <c r="AH429">
        <v>13</v>
      </c>
      <c r="AI429" s="2">
        <f>Table__192.168.3.138AgingReportBEWLGS[[#This Row],[NetAmount]]-Table__192.168.3.138AgingReportBEWLGS[[#This Row],[Paid]]</f>
        <v>12120</v>
      </c>
    </row>
    <row r="430" spans="1:35">
      <c r="A430" t="s">
        <v>7158</v>
      </c>
      <c r="B430" s="1">
        <v>41267</v>
      </c>
      <c r="C430" s="1">
        <v>41312</v>
      </c>
      <c r="D430" t="s">
        <v>6939</v>
      </c>
      <c r="E430">
        <v>4900</v>
      </c>
      <c r="F430">
        <v>0</v>
      </c>
      <c r="G430">
        <v>0</v>
      </c>
      <c r="H430">
        <v>0</v>
      </c>
      <c r="I430">
        <v>1</v>
      </c>
      <c r="J430">
        <v>4900</v>
      </c>
      <c r="K430" t="s">
        <v>6940</v>
      </c>
      <c r="L430" s="1">
        <v>41267</v>
      </c>
      <c r="M430" t="s">
        <v>7159</v>
      </c>
      <c r="N430" t="s">
        <v>442</v>
      </c>
      <c r="O430" t="s">
        <v>36</v>
      </c>
      <c r="P430" t="s">
        <v>6942</v>
      </c>
      <c r="Q430" t="s">
        <v>39</v>
      </c>
      <c r="R430" t="s">
        <v>40</v>
      </c>
      <c r="S430">
        <v>0</v>
      </c>
      <c r="U430" t="s">
        <v>5550</v>
      </c>
      <c r="V430" t="s">
        <v>6047</v>
      </c>
      <c r="W430" t="s">
        <v>6943</v>
      </c>
      <c r="X430" t="s">
        <v>74</v>
      </c>
      <c r="Y430" t="b">
        <v>0</v>
      </c>
      <c r="Z430" t="b">
        <v>0</v>
      </c>
      <c r="AA430" t="b">
        <v>0</v>
      </c>
      <c r="AC430" s="1"/>
      <c r="AF430">
        <v>0</v>
      </c>
      <c r="AG430">
        <v>45</v>
      </c>
      <c r="AH430">
        <v>46</v>
      </c>
      <c r="AI430" s="2">
        <f>Table__192.168.3.138AgingReportBEWLGS[[#This Row],[NetAmount]]-Table__192.168.3.138AgingReportBEWLGS[[#This Row],[Paid]]</f>
        <v>4900</v>
      </c>
    </row>
    <row r="431" spans="1:35">
      <c r="A431" t="s">
        <v>7160</v>
      </c>
      <c r="B431" s="1">
        <v>41109</v>
      </c>
      <c r="C431" s="1">
        <v>41154</v>
      </c>
      <c r="D431" t="s">
        <v>6278</v>
      </c>
      <c r="E431">
        <v>24</v>
      </c>
      <c r="F431">
        <v>0</v>
      </c>
      <c r="G431">
        <v>0</v>
      </c>
      <c r="H431">
        <v>0</v>
      </c>
      <c r="I431">
        <v>159</v>
      </c>
      <c r="J431">
        <v>24</v>
      </c>
      <c r="K431" t="s">
        <v>5695</v>
      </c>
      <c r="L431" s="1">
        <v>41109</v>
      </c>
      <c r="N431" t="s">
        <v>442</v>
      </c>
      <c r="O431" t="s">
        <v>938</v>
      </c>
      <c r="P431" t="s">
        <v>6280</v>
      </c>
      <c r="Q431" t="s">
        <v>39</v>
      </c>
      <c r="R431" t="s">
        <v>40</v>
      </c>
      <c r="S431">
        <v>0</v>
      </c>
      <c r="U431" t="s">
        <v>5550</v>
      </c>
      <c r="V431" t="s">
        <v>1797</v>
      </c>
      <c r="X431" t="s">
        <v>74</v>
      </c>
      <c r="Y431" t="b">
        <v>0</v>
      </c>
      <c r="Z431" t="b">
        <v>0</v>
      </c>
      <c r="AC431" s="1"/>
      <c r="AF431">
        <v>0</v>
      </c>
      <c r="AG431">
        <v>45</v>
      </c>
      <c r="AH431">
        <v>204</v>
      </c>
      <c r="AI431" s="2">
        <f>Table__192.168.3.138AgingReportBEWLGS[[#This Row],[NetAmount]]-Table__192.168.3.138AgingReportBEWLGS[[#This Row],[Paid]]</f>
        <v>24</v>
      </c>
    </row>
    <row r="432" spans="1:35">
      <c r="A432" t="s">
        <v>7161</v>
      </c>
      <c r="B432" s="1">
        <v>41107</v>
      </c>
      <c r="C432" s="1">
        <v>41152</v>
      </c>
      <c r="D432" t="s">
        <v>6278</v>
      </c>
      <c r="E432">
        <v>1445</v>
      </c>
      <c r="F432">
        <v>281</v>
      </c>
      <c r="G432">
        <v>0</v>
      </c>
      <c r="H432">
        <v>0</v>
      </c>
      <c r="I432">
        <v>155</v>
      </c>
      <c r="J432">
        <v>1726</v>
      </c>
      <c r="K432" t="s">
        <v>5695</v>
      </c>
      <c r="L432" s="1">
        <v>41113</v>
      </c>
      <c r="N432" t="s">
        <v>442</v>
      </c>
      <c r="O432" t="s">
        <v>938</v>
      </c>
      <c r="P432" t="s">
        <v>6280</v>
      </c>
      <c r="Q432" t="s">
        <v>39</v>
      </c>
      <c r="R432" t="s">
        <v>40</v>
      </c>
      <c r="S432">
        <v>0</v>
      </c>
      <c r="U432" t="s">
        <v>5550</v>
      </c>
      <c r="V432" t="s">
        <v>1797</v>
      </c>
      <c r="X432" t="s">
        <v>74</v>
      </c>
      <c r="Y432" t="b">
        <v>0</v>
      </c>
      <c r="Z432" t="b">
        <v>0</v>
      </c>
      <c r="AC432" s="1"/>
      <c r="AF432">
        <v>0</v>
      </c>
      <c r="AG432">
        <v>45</v>
      </c>
      <c r="AH432">
        <v>200</v>
      </c>
      <c r="AI432" s="2">
        <f>Table__192.168.3.138AgingReportBEWLGS[[#This Row],[NetAmount]]-Table__192.168.3.138AgingReportBEWLGS[[#This Row],[Paid]]</f>
        <v>1726</v>
      </c>
    </row>
    <row r="433" spans="1:35">
      <c r="A433" t="s">
        <v>7162</v>
      </c>
      <c r="B433" s="1">
        <v>41138</v>
      </c>
      <c r="C433" s="1">
        <v>41183</v>
      </c>
      <c r="D433" t="s">
        <v>6278</v>
      </c>
      <c r="E433">
        <v>1527</v>
      </c>
      <c r="F433">
        <v>293</v>
      </c>
      <c r="G433">
        <v>0</v>
      </c>
      <c r="H433">
        <v>0</v>
      </c>
      <c r="I433">
        <v>116</v>
      </c>
      <c r="J433">
        <v>1820</v>
      </c>
      <c r="K433" t="s">
        <v>5979</v>
      </c>
      <c r="L433" s="1">
        <v>41152</v>
      </c>
      <c r="N433" t="s">
        <v>442</v>
      </c>
      <c r="O433" t="s">
        <v>938</v>
      </c>
      <c r="P433" t="s">
        <v>6280</v>
      </c>
      <c r="Q433" t="s">
        <v>39</v>
      </c>
      <c r="R433" t="s">
        <v>40</v>
      </c>
      <c r="S433">
        <v>0</v>
      </c>
      <c r="U433" t="s">
        <v>5550</v>
      </c>
      <c r="V433" t="s">
        <v>1797</v>
      </c>
      <c r="X433" t="s">
        <v>74</v>
      </c>
      <c r="Y433" t="b">
        <v>0</v>
      </c>
      <c r="Z433" t="b">
        <v>0</v>
      </c>
      <c r="AC433" s="1"/>
      <c r="AF433">
        <v>0</v>
      </c>
      <c r="AG433">
        <v>45</v>
      </c>
      <c r="AH433">
        <v>161</v>
      </c>
      <c r="AI433" s="2">
        <f>Table__192.168.3.138AgingReportBEWLGS[[#This Row],[NetAmount]]-Table__192.168.3.138AgingReportBEWLGS[[#This Row],[Paid]]</f>
        <v>1820</v>
      </c>
    </row>
    <row r="434" spans="1:35">
      <c r="A434" t="s">
        <v>7163</v>
      </c>
      <c r="B434" s="1">
        <v>41146</v>
      </c>
      <c r="C434" s="1">
        <v>41191</v>
      </c>
      <c r="D434" t="s">
        <v>6134</v>
      </c>
      <c r="E434">
        <v>11100</v>
      </c>
      <c r="F434">
        <v>0</v>
      </c>
      <c r="G434">
        <v>0</v>
      </c>
      <c r="H434">
        <v>0</v>
      </c>
      <c r="I434">
        <v>117</v>
      </c>
      <c r="J434">
        <v>11100</v>
      </c>
      <c r="K434" t="s">
        <v>5979</v>
      </c>
      <c r="L434" s="1">
        <v>41151</v>
      </c>
      <c r="N434" t="s">
        <v>442</v>
      </c>
      <c r="O434" t="s">
        <v>938</v>
      </c>
      <c r="P434" t="s">
        <v>5530</v>
      </c>
      <c r="Q434" t="s">
        <v>39</v>
      </c>
      <c r="R434" t="s">
        <v>40</v>
      </c>
      <c r="S434">
        <v>0</v>
      </c>
      <c r="U434" t="s">
        <v>5550</v>
      </c>
      <c r="V434" t="s">
        <v>1797</v>
      </c>
      <c r="X434" t="s">
        <v>74</v>
      </c>
      <c r="Y434" t="b">
        <v>0</v>
      </c>
      <c r="Z434" t="b">
        <v>0</v>
      </c>
      <c r="AC434" s="1"/>
      <c r="AF434">
        <v>0</v>
      </c>
      <c r="AG434">
        <v>45</v>
      </c>
      <c r="AH434">
        <v>162</v>
      </c>
      <c r="AI434" s="2">
        <f>Table__192.168.3.138AgingReportBEWLGS[[#This Row],[NetAmount]]-Table__192.168.3.138AgingReportBEWLGS[[#This Row],[Paid]]</f>
        <v>11100</v>
      </c>
    </row>
    <row r="435" spans="1:35">
      <c r="A435" t="s">
        <v>7164</v>
      </c>
      <c r="B435" s="1">
        <v>41170</v>
      </c>
      <c r="C435" s="1">
        <v>41215</v>
      </c>
      <c r="D435" t="s">
        <v>6278</v>
      </c>
      <c r="E435">
        <v>1080</v>
      </c>
      <c r="F435">
        <v>210</v>
      </c>
      <c r="G435">
        <v>0</v>
      </c>
      <c r="H435">
        <v>0</v>
      </c>
      <c r="I435">
        <v>98</v>
      </c>
      <c r="J435">
        <v>1290</v>
      </c>
      <c r="K435" t="s">
        <v>5807</v>
      </c>
      <c r="L435" s="1">
        <v>41170</v>
      </c>
      <c r="N435" t="s">
        <v>442</v>
      </c>
      <c r="O435" t="s">
        <v>938</v>
      </c>
      <c r="P435" t="s">
        <v>6280</v>
      </c>
      <c r="Q435" t="s">
        <v>39</v>
      </c>
      <c r="R435" t="s">
        <v>40</v>
      </c>
      <c r="S435">
        <v>0</v>
      </c>
      <c r="U435" t="s">
        <v>5550</v>
      </c>
      <c r="V435" t="s">
        <v>1797</v>
      </c>
      <c r="X435" t="s">
        <v>74</v>
      </c>
      <c r="Y435" t="b">
        <v>0</v>
      </c>
      <c r="Z435" t="b">
        <v>0</v>
      </c>
      <c r="AC435" s="1"/>
      <c r="AF435">
        <v>0</v>
      </c>
      <c r="AG435">
        <v>45</v>
      </c>
      <c r="AH435">
        <v>143</v>
      </c>
      <c r="AI435" s="2">
        <f>Table__192.168.3.138AgingReportBEWLGS[[#This Row],[NetAmount]]-Table__192.168.3.138AgingReportBEWLGS[[#This Row],[Paid]]</f>
        <v>1290</v>
      </c>
    </row>
    <row r="436" spans="1:35">
      <c r="A436" t="s">
        <v>7165</v>
      </c>
      <c r="B436" s="1">
        <v>41170</v>
      </c>
      <c r="C436" s="1">
        <v>41215</v>
      </c>
      <c r="D436" t="s">
        <v>6296</v>
      </c>
      <c r="E436">
        <v>5233</v>
      </c>
      <c r="F436">
        <v>0</v>
      </c>
      <c r="G436">
        <v>0</v>
      </c>
      <c r="H436">
        <v>0</v>
      </c>
      <c r="I436">
        <v>98</v>
      </c>
      <c r="J436">
        <v>5233</v>
      </c>
      <c r="K436" t="s">
        <v>5807</v>
      </c>
      <c r="L436" s="1">
        <v>41170</v>
      </c>
      <c r="N436" t="s">
        <v>442</v>
      </c>
      <c r="O436" t="s">
        <v>938</v>
      </c>
      <c r="P436" t="s">
        <v>6297</v>
      </c>
      <c r="Q436" t="s">
        <v>39</v>
      </c>
      <c r="R436" t="s">
        <v>40</v>
      </c>
      <c r="S436">
        <v>0</v>
      </c>
      <c r="U436" t="s">
        <v>5550</v>
      </c>
      <c r="V436" t="s">
        <v>1797</v>
      </c>
      <c r="X436" t="s">
        <v>74</v>
      </c>
      <c r="Y436" t="b">
        <v>0</v>
      </c>
      <c r="Z436" t="b">
        <v>0</v>
      </c>
      <c r="AC436" s="1"/>
      <c r="AF436">
        <v>0</v>
      </c>
      <c r="AG436">
        <v>45</v>
      </c>
      <c r="AH436">
        <v>143</v>
      </c>
      <c r="AI436" s="2">
        <f>Table__192.168.3.138AgingReportBEWLGS[[#This Row],[NetAmount]]-Table__192.168.3.138AgingReportBEWLGS[[#This Row],[Paid]]</f>
        <v>5233</v>
      </c>
    </row>
    <row r="437" spans="1:35">
      <c r="A437" t="s">
        <v>7166</v>
      </c>
      <c r="B437" s="1">
        <v>41152</v>
      </c>
      <c r="C437" s="1">
        <v>41197</v>
      </c>
      <c r="D437" t="s">
        <v>6296</v>
      </c>
      <c r="E437">
        <v>7535</v>
      </c>
      <c r="F437">
        <v>0</v>
      </c>
      <c r="G437">
        <v>0</v>
      </c>
      <c r="H437">
        <v>0</v>
      </c>
      <c r="I437">
        <v>116</v>
      </c>
      <c r="J437">
        <v>7535</v>
      </c>
      <c r="K437" t="s">
        <v>5979</v>
      </c>
      <c r="L437" s="1">
        <v>41152</v>
      </c>
      <c r="N437" t="s">
        <v>442</v>
      </c>
      <c r="O437" t="s">
        <v>938</v>
      </c>
      <c r="P437" t="s">
        <v>6297</v>
      </c>
      <c r="Q437" t="s">
        <v>39</v>
      </c>
      <c r="R437" t="s">
        <v>40</v>
      </c>
      <c r="S437">
        <v>0</v>
      </c>
      <c r="U437" t="s">
        <v>5550</v>
      </c>
      <c r="V437" t="s">
        <v>1797</v>
      </c>
      <c r="X437" t="s">
        <v>74</v>
      </c>
      <c r="Y437" t="b">
        <v>0</v>
      </c>
      <c r="Z437" t="b">
        <v>0</v>
      </c>
      <c r="AC437" s="1"/>
      <c r="AF437">
        <v>0</v>
      </c>
      <c r="AG437">
        <v>45</v>
      </c>
      <c r="AH437">
        <v>161</v>
      </c>
      <c r="AI437" s="2">
        <f>Table__192.168.3.138AgingReportBEWLGS[[#This Row],[NetAmount]]-Table__192.168.3.138AgingReportBEWLGS[[#This Row],[Paid]]</f>
        <v>7535</v>
      </c>
    </row>
    <row r="438" spans="1:35">
      <c r="A438" t="s">
        <v>7167</v>
      </c>
      <c r="B438" s="1">
        <v>41180</v>
      </c>
      <c r="C438" s="1">
        <v>41225</v>
      </c>
      <c r="D438" t="s">
        <v>6134</v>
      </c>
      <c r="E438">
        <v>30700</v>
      </c>
      <c r="F438">
        <v>0</v>
      </c>
      <c r="G438">
        <v>0</v>
      </c>
      <c r="H438">
        <v>0</v>
      </c>
      <c r="I438">
        <v>86</v>
      </c>
      <c r="J438">
        <v>30700</v>
      </c>
      <c r="K438" t="s">
        <v>5807</v>
      </c>
      <c r="L438" s="1">
        <v>41182</v>
      </c>
      <c r="N438" t="s">
        <v>442</v>
      </c>
      <c r="O438" t="s">
        <v>938</v>
      </c>
      <c r="P438" t="s">
        <v>5530</v>
      </c>
      <c r="Q438" t="s">
        <v>39</v>
      </c>
      <c r="R438" t="s">
        <v>40</v>
      </c>
      <c r="S438">
        <v>0</v>
      </c>
      <c r="U438" t="s">
        <v>5550</v>
      </c>
      <c r="V438" t="s">
        <v>1797</v>
      </c>
      <c r="X438" t="s">
        <v>74</v>
      </c>
      <c r="Y438" t="b">
        <v>0</v>
      </c>
      <c r="Z438" t="b">
        <v>0</v>
      </c>
      <c r="AC438" s="1"/>
      <c r="AF438">
        <v>0</v>
      </c>
      <c r="AG438">
        <v>45</v>
      </c>
      <c r="AH438">
        <v>131</v>
      </c>
      <c r="AI438" s="2">
        <f>Table__192.168.3.138AgingReportBEWLGS[[#This Row],[NetAmount]]-Table__192.168.3.138AgingReportBEWLGS[[#This Row],[Paid]]</f>
        <v>30700</v>
      </c>
    </row>
    <row r="439" spans="1:35">
      <c r="A439" t="s">
        <v>7168</v>
      </c>
      <c r="B439" s="1">
        <v>41195</v>
      </c>
      <c r="C439" s="1">
        <v>41240</v>
      </c>
      <c r="D439" t="s">
        <v>6296</v>
      </c>
      <c r="E439">
        <v>8093</v>
      </c>
      <c r="F439">
        <v>0</v>
      </c>
      <c r="G439">
        <v>0</v>
      </c>
      <c r="H439">
        <v>0</v>
      </c>
      <c r="I439">
        <v>86</v>
      </c>
      <c r="J439">
        <v>8093</v>
      </c>
      <c r="K439" t="s">
        <v>5807</v>
      </c>
      <c r="L439" s="1">
        <v>41182</v>
      </c>
      <c r="N439" t="s">
        <v>442</v>
      </c>
      <c r="O439" t="s">
        <v>938</v>
      </c>
      <c r="P439" t="s">
        <v>6297</v>
      </c>
      <c r="Q439" t="s">
        <v>39</v>
      </c>
      <c r="R439" t="s">
        <v>40</v>
      </c>
      <c r="S439">
        <v>0</v>
      </c>
      <c r="U439" t="s">
        <v>5550</v>
      </c>
      <c r="V439" t="s">
        <v>1797</v>
      </c>
      <c r="X439" t="s">
        <v>74</v>
      </c>
      <c r="Y439" t="b">
        <v>0</v>
      </c>
      <c r="Z439" t="b">
        <v>0</v>
      </c>
      <c r="AC439" s="1"/>
      <c r="AF439">
        <v>0</v>
      </c>
      <c r="AG439">
        <v>45</v>
      </c>
      <c r="AH439">
        <v>131</v>
      </c>
      <c r="AI439" s="2">
        <f>Table__192.168.3.138AgingReportBEWLGS[[#This Row],[NetAmount]]-Table__192.168.3.138AgingReportBEWLGS[[#This Row],[Paid]]</f>
        <v>8093</v>
      </c>
    </row>
    <row r="440" spans="1:35">
      <c r="A440" t="s">
        <v>7169</v>
      </c>
      <c r="B440" s="1">
        <v>41198</v>
      </c>
      <c r="C440" s="1">
        <v>41243</v>
      </c>
      <c r="D440" t="s">
        <v>6278</v>
      </c>
      <c r="E440">
        <v>1073</v>
      </c>
      <c r="F440">
        <v>207</v>
      </c>
      <c r="G440">
        <v>0</v>
      </c>
      <c r="H440">
        <v>0</v>
      </c>
      <c r="I440">
        <v>55</v>
      </c>
      <c r="J440">
        <v>1280</v>
      </c>
      <c r="K440" t="s">
        <v>5981</v>
      </c>
      <c r="L440" s="1">
        <v>41213</v>
      </c>
      <c r="N440" t="s">
        <v>442</v>
      </c>
      <c r="O440" t="s">
        <v>938</v>
      </c>
      <c r="P440" t="s">
        <v>6280</v>
      </c>
      <c r="Q440" t="s">
        <v>39</v>
      </c>
      <c r="R440" t="s">
        <v>40</v>
      </c>
      <c r="S440">
        <v>0</v>
      </c>
      <c r="U440" t="s">
        <v>5550</v>
      </c>
      <c r="V440" t="s">
        <v>1797</v>
      </c>
      <c r="X440" t="s">
        <v>74</v>
      </c>
      <c r="Y440" t="b">
        <v>0</v>
      </c>
      <c r="Z440" t="b">
        <v>0</v>
      </c>
      <c r="AC440" s="1"/>
      <c r="AF440">
        <v>0</v>
      </c>
      <c r="AG440">
        <v>45</v>
      </c>
      <c r="AH440">
        <v>100</v>
      </c>
      <c r="AI440" s="2">
        <f>Table__192.168.3.138AgingReportBEWLGS[[#This Row],[NetAmount]]-Table__192.168.3.138AgingReportBEWLGS[[#This Row],[Paid]]</f>
        <v>1280</v>
      </c>
    </row>
    <row r="441" spans="1:35">
      <c r="A441" t="s">
        <v>7170</v>
      </c>
      <c r="B441" s="1">
        <v>41213</v>
      </c>
      <c r="C441" s="1">
        <v>41258</v>
      </c>
      <c r="D441" t="s">
        <v>6134</v>
      </c>
      <c r="E441">
        <v>43500</v>
      </c>
      <c r="F441">
        <v>0</v>
      </c>
      <c r="G441">
        <v>0</v>
      </c>
      <c r="H441">
        <v>0</v>
      </c>
      <c r="I441">
        <v>55</v>
      </c>
      <c r="J441">
        <v>43500</v>
      </c>
      <c r="K441" t="s">
        <v>5981</v>
      </c>
      <c r="L441" s="1">
        <v>41213</v>
      </c>
      <c r="N441" t="s">
        <v>442</v>
      </c>
      <c r="O441" t="s">
        <v>938</v>
      </c>
      <c r="P441" t="s">
        <v>5530</v>
      </c>
      <c r="Q441" t="s">
        <v>39</v>
      </c>
      <c r="R441" t="s">
        <v>40</v>
      </c>
      <c r="S441">
        <v>0</v>
      </c>
      <c r="U441" t="s">
        <v>5550</v>
      </c>
      <c r="V441" t="s">
        <v>1797</v>
      </c>
      <c r="X441" t="s">
        <v>74</v>
      </c>
      <c r="Y441" t="b">
        <v>0</v>
      </c>
      <c r="Z441" t="b">
        <v>0</v>
      </c>
      <c r="AC441" s="1"/>
      <c r="AF441">
        <v>0</v>
      </c>
      <c r="AG441">
        <v>45</v>
      </c>
      <c r="AH441">
        <v>100</v>
      </c>
      <c r="AI441" s="2">
        <f>Table__192.168.3.138AgingReportBEWLGS[[#This Row],[NetAmount]]-Table__192.168.3.138AgingReportBEWLGS[[#This Row],[Paid]]</f>
        <v>43500</v>
      </c>
    </row>
    <row r="442" spans="1:35">
      <c r="A442" t="s">
        <v>7171</v>
      </c>
      <c r="B442" s="1">
        <v>41228</v>
      </c>
      <c r="C442" s="1">
        <v>41273</v>
      </c>
      <c r="D442" t="s">
        <v>6296</v>
      </c>
      <c r="E442">
        <v>8107</v>
      </c>
      <c r="F442">
        <v>0</v>
      </c>
      <c r="G442">
        <v>0</v>
      </c>
      <c r="H442">
        <v>0</v>
      </c>
      <c r="I442">
        <v>40</v>
      </c>
      <c r="J442">
        <v>8107</v>
      </c>
      <c r="K442" t="s">
        <v>5981</v>
      </c>
      <c r="L442" s="1">
        <v>41228</v>
      </c>
      <c r="N442" t="s">
        <v>442</v>
      </c>
      <c r="O442" t="s">
        <v>938</v>
      </c>
      <c r="P442" t="s">
        <v>6297</v>
      </c>
      <c r="Q442" t="s">
        <v>39</v>
      </c>
      <c r="R442" t="s">
        <v>40</v>
      </c>
      <c r="S442">
        <v>0</v>
      </c>
      <c r="U442" t="s">
        <v>5550</v>
      </c>
      <c r="V442" t="s">
        <v>1797</v>
      </c>
      <c r="X442" t="s">
        <v>74</v>
      </c>
      <c r="Y442" t="b">
        <v>0</v>
      </c>
      <c r="Z442" t="b">
        <v>0</v>
      </c>
      <c r="AC442" s="1"/>
      <c r="AF442">
        <v>0</v>
      </c>
      <c r="AG442">
        <v>45</v>
      </c>
      <c r="AH442">
        <v>85</v>
      </c>
      <c r="AI442" s="2">
        <f>Table__192.168.3.138AgingReportBEWLGS[[#This Row],[NetAmount]]-Table__192.168.3.138AgingReportBEWLGS[[#This Row],[Paid]]</f>
        <v>8107</v>
      </c>
    </row>
    <row r="443" spans="1:35">
      <c r="A443" t="s">
        <v>7172</v>
      </c>
      <c r="B443" s="1">
        <v>41228</v>
      </c>
      <c r="C443" s="1">
        <v>41273</v>
      </c>
      <c r="D443" t="s">
        <v>7010</v>
      </c>
      <c r="E443">
        <v>180</v>
      </c>
      <c r="F443">
        <v>29</v>
      </c>
      <c r="G443">
        <v>0</v>
      </c>
      <c r="H443">
        <v>0</v>
      </c>
      <c r="I443">
        <v>55</v>
      </c>
      <c r="J443">
        <v>179</v>
      </c>
      <c r="K443" t="s">
        <v>7173</v>
      </c>
      <c r="L443" s="1">
        <v>41213</v>
      </c>
      <c r="N443" t="s">
        <v>442</v>
      </c>
      <c r="O443" t="s">
        <v>938</v>
      </c>
      <c r="P443" t="s">
        <v>7012</v>
      </c>
      <c r="Q443" t="s">
        <v>39</v>
      </c>
      <c r="R443" t="s">
        <v>40</v>
      </c>
      <c r="S443">
        <v>0</v>
      </c>
      <c r="U443" t="s">
        <v>5550</v>
      </c>
      <c r="V443" t="s">
        <v>1797</v>
      </c>
      <c r="X443" t="s">
        <v>74</v>
      </c>
      <c r="Y443" t="b">
        <v>0</v>
      </c>
      <c r="Z443" t="b">
        <v>0</v>
      </c>
      <c r="AC443" s="1"/>
      <c r="AF443">
        <v>0</v>
      </c>
      <c r="AG443">
        <v>45</v>
      </c>
      <c r="AH443">
        <v>100</v>
      </c>
      <c r="AI443" s="2">
        <f>Table__192.168.3.138AgingReportBEWLGS[[#This Row],[NetAmount]]-Table__192.168.3.138AgingReportBEWLGS[[#This Row],[Paid]]</f>
        <v>179</v>
      </c>
    </row>
    <row r="444" spans="1:35">
      <c r="A444" t="s">
        <v>7174</v>
      </c>
      <c r="B444" s="1">
        <v>41233</v>
      </c>
      <c r="C444" s="1">
        <v>41278</v>
      </c>
      <c r="D444" t="s">
        <v>6278</v>
      </c>
      <c r="E444">
        <v>1601</v>
      </c>
      <c r="F444">
        <v>309</v>
      </c>
      <c r="G444">
        <v>0</v>
      </c>
      <c r="H444">
        <v>0</v>
      </c>
      <c r="I444">
        <v>40</v>
      </c>
      <c r="J444">
        <v>1910</v>
      </c>
      <c r="K444" t="s">
        <v>5981</v>
      </c>
      <c r="L444" s="1">
        <v>41228</v>
      </c>
      <c r="N444" t="s">
        <v>442</v>
      </c>
      <c r="O444" t="s">
        <v>938</v>
      </c>
      <c r="P444" t="s">
        <v>6280</v>
      </c>
      <c r="Q444" t="s">
        <v>39</v>
      </c>
      <c r="R444" t="s">
        <v>40</v>
      </c>
      <c r="S444">
        <v>0</v>
      </c>
      <c r="U444" t="s">
        <v>5550</v>
      </c>
      <c r="V444" t="s">
        <v>1797</v>
      </c>
      <c r="X444" t="s">
        <v>74</v>
      </c>
      <c r="Y444" t="b">
        <v>0</v>
      </c>
      <c r="Z444" t="b">
        <v>0</v>
      </c>
      <c r="AC444" s="1"/>
      <c r="AF444">
        <v>0</v>
      </c>
      <c r="AG444">
        <v>45</v>
      </c>
      <c r="AH444">
        <v>85</v>
      </c>
      <c r="AI444" s="2">
        <f>Table__192.168.3.138AgingReportBEWLGS[[#This Row],[NetAmount]]-Table__192.168.3.138AgingReportBEWLGS[[#This Row],[Paid]]</f>
        <v>1910</v>
      </c>
    </row>
    <row r="445" spans="1:35">
      <c r="A445" t="s">
        <v>7175</v>
      </c>
      <c r="B445" s="1">
        <v>41258</v>
      </c>
      <c r="C445" s="1">
        <v>41303</v>
      </c>
      <c r="D445" t="s">
        <v>7010</v>
      </c>
      <c r="E445">
        <v>225</v>
      </c>
      <c r="F445">
        <v>36</v>
      </c>
      <c r="G445">
        <v>0</v>
      </c>
      <c r="H445">
        <v>0</v>
      </c>
      <c r="I445">
        <v>25</v>
      </c>
      <c r="J445">
        <v>261</v>
      </c>
      <c r="K445" t="s">
        <v>7176</v>
      </c>
      <c r="L445" s="1">
        <v>41243</v>
      </c>
      <c r="N445" t="s">
        <v>442</v>
      </c>
      <c r="O445" t="s">
        <v>938</v>
      </c>
      <c r="P445" t="s">
        <v>7012</v>
      </c>
      <c r="Q445" t="s">
        <v>39</v>
      </c>
      <c r="R445" t="s">
        <v>40</v>
      </c>
      <c r="S445">
        <v>0</v>
      </c>
      <c r="U445" t="s">
        <v>5550</v>
      </c>
      <c r="V445" t="s">
        <v>1797</v>
      </c>
      <c r="X445" t="s">
        <v>74</v>
      </c>
      <c r="Y445" t="b">
        <v>0</v>
      </c>
      <c r="Z445" t="b">
        <v>0</v>
      </c>
      <c r="AC445" s="1"/>
      <c r="AF445">
        <v>0</v>
      </c>
      <c r="AG445">
        <v>45</v>
      </c>
      <c r="AH445">
        <v>70</v>
      </c>
      <c r="AI445" s="2">
        <f>Table__192.168.3.138AgingReportBEWLGS[[#This Row],[NetAmount]]-Table__192.168.3.138AgingReportBEWLGS[[#This Row],[Paid]]</f>
        <v>261</v>
      </c>
    </row>
    <row r="446" spans="1:35">
      <c r="A446" t="s">
        <v>7177</v>
      </c>
      <c r="B446" s="1">
        <v>41258</v>
      </c>
      <c r="C446" s="1">
        <v>41303</v>
      </c>
      <c r="D446" t="s">
        <v>6296</v>
      </c>
      <c r="E446">
        <v>7535</v>
      </c>
      <c r="F446">
        <v>0</v>
      </c>
      <c r="G446">
        <v>0</v>
      </c>
      <c r="H446">
        <v>0</v>
      </c>
      <c r="I446">
        <v>7</v>
      </c>
      <c r="J446">
        <v>7535</v>
      </c>
      <c r="K446" t="s">
        <v>5976</v>
      </c>
      <c r="L446" s="1">
        <v>41261</v>
      </c>
      <c r="N446" t="s">
        <v>442</v>
      </c>
      <c r="O446" t="s">
        <v>938</v>
      </c>
      <c r="P446" t="s">
        <v>6297</v>
      </c>
      <c r="Q446" t="s">
        <v>39</v>
      </c>
      <c r="R446" t="s">
        <v>40</v>
      </c>
      <c r="S446">
        <v>0</v>
      </c>
      <c r="U446" t="s">
        <v>5550</v>
      </c>
      <c r="V446" t="s">
        <v>1797</v>
      </c>
      <c r="X446" t="s">
        <v>74</v>
      </c>
      <c r="Y446" t="b">
        <v>0</v>
      </c>
      <c r="Z446" t="b">
        <v>0</v>
      </c>
      <c r="AC446" s="1"/>
      <c r="AF446">
        <v>0</v>
      </c>
      <c r="AG446">
        <v>45</v>
      </c>
      <c r="AH446">
        <v>52</v>
      </c>
      <c r="AI446" s="2">
        <f>Table__192.168.3.138AgingReportBEWLGS[[#This Row],[NetAmount]]-Table__192.168.3.138AgingReportBEWLGS[[#This Row],[Paid]]</f>
        <v>7535</v>
      </c>
    </row>
    <row r="447" spans="1:35">
      <c r="A447" t="s">
        <v>7178</v>
      </c>
      <c r="B447" s="1">
        <v>41243</v>
      </c>
      <c r="C447" s="1">
        <v>41288</v>
      </c>
      <c r="D447" t="s">
        <v>6134</v>
      </c>
      <c r="E447">
        <v>48900</v>
      </c>
      <c r="F447">
        <v>0</v>
      </c>
      <c r="G447">
        <v>0</v>
      </c>
      <c r="H447">
        <v>0</v>
      </c>
      <c r="I447">
        <v>54</v>
      </c>
      <c r="J447">
        <v>48900</v>
      </c>
      <c r="K447" t="s">
        <v>7179</v>
      </c>
      <c r="L447" s="1">
        <v>41214</v>
      </c>
      <c r="N447" t="s">
        <v>442</v>
      </c>
      <c r="O447" t="s">
        <v>938</v>
      </c>
      <c r="P447" t="s">
        <v>5530</v>
      </c>
      <c r="Q447" t="s">
        <v>39</v>
      </c>
      <c r="R447" t="s">
        <v>40</v>
      </c>
      <c r="S447">
        <v>0</v>
      </c>
      <c r="U447" t="s">
        <v>5550</v>
      </c>
      <c r="V447" t="s">
        <v>1797</v>
      </c>
      <c r="X447" t="s">
        <v>74</v>
      </c>
      <c r="Y447" t="b">
        <v>0</v>
      </c>
      <c r="Z447" t="b">
        <v>0</v>
      </c>
      <c r="AC447" s="1"/>
      <c r="AF447">
        <v>0</v>
      </c>
      <c r="AG447">
        <v>45</v>
      </c>
      <c r="AH447">
        <v>99</v>
      </c>
      <c r="AI447" s="2">
        <f>Table__192.168.3.138AgingReportBEWLGS[[#This Row],[NetAmount]]-Table__192.168.3.138AgingReportBEWLGS[[#This Row],[Paid]]</f>
        <v>48900</v>
      </c>
    </row>
    <row r="448" spans="1:35">
      <c r="A448" t="s">
        <v>7180</v>
      </c>
      <c r="B448" s="1">
        <v>41274</v>
      </c>
      <c r="C448" s="1">
        <v>41319</v>
      </c>
      <c r="D448" t="s">
        <v>6134</v>
      </c>
      <c r="E448">
        <v>45400</v>
      </c>
      <c r="F448">
        <v>0</v>
      </c>
      <c r="G448">
        <v>0</v>
      </c>
      <c r="H448">
        <v>0</v>
      </c>
      <c r="I448">
        <v>38</v>
      </c>
      <c r="J448">
        <v>45400</v>
      </c>
      <c r="K448" t="s">
        <v>79</v>
      </c>
      <c r="L448" s="1">
        <v>41230</v>
      </c>
      <c r="N448" t="s">
        <v>442</v>
      </c>
      <c r="O448" t="s">
        <v>938</v>
      </c>
      <c r="P448" t="s">
        <v>5530</v>
      </c>
      <c r="Q448" t="s">
        <v>39</v>
      </c>
      <c r="R448" t="s">
        <v>40</v>
      </c>
      <c r="S448">
        <v>0</v>
      </c>
      <c r="U448" t="s">
        <v>5550</v>
      </c>
      <c r="V448" t="s">
        <v>1797</v>
      </c>
      <c r="X448" t="s">
        <v>74</v>
      </c>
      <c r="Y448" t="b">
        <v>0</v>
      </c>
      <c r="Z448" t="b">
        <v>0</v>
      </c>
      <c r="AC448" s="1"/>
      <c r="AF448">
        <v>0</v>
      </c>
      <c r="AG448">
        <v>45</v>
      </c>
      <c r="AH448">
        <v>83</v>
      </c>
      <c r="AI448" s="2">
        <f>Table__192.168.3.138AgingReportBEWLGS[[#This Row],[NetAmount]]-Table__192.168.3.138AgingReportBEWLGS[[#This Row],[Paid]]</f>
        <v>45400</v>
      </c>
    </row>
    <row r="449" spans="1:35">
      <c r="A449" t="s">
        <v>7181</v>
      </c>
      <c r="B449" s="1">
        <v>41274</v>
      </c>
      <c r="C449" s="1">
        <v>41319</v>
      </c>
      <c r="D449" t="s">
        <v>6278</v>
      </c>
      <c r="E449">
        <v>1114</v>
      </c>
      <c r="F449">
        <v>216</v>
      </c>
      <c r="G449">
        <v>0</v>
      </c>
      <c r="H449">
        <v>0</v>
      </c>
      <c r="I449">
        <v>-6</v>
      </c>
      <c r="J449">
        <v>1330</v>
      </c>
      <c r="K449" t="s">
        <v>6035</v>
      </c>
      <c r="L449" s="1">
        <v>41274</v>
      </c>
      <c r="N449" t="s">
        <v>442</v>
      </c>
      <c r="O449" t="s">
        <v>938</v>
      </c>
      <c r="P449" t="s">
        <v>6280</v>
      </c>
      <c r="Q449" t="s">
        <v>39</v>
      </c>
      <c r="R449" t="s">
        <v>40</v>
      </c>
      <c r="S449">
        <v>0</v>
      </c>
      <c r="U449" t="s">
        <v>5550</v>
      </c>
      <c r="V449" t="s">
        <v>1797</v>
      </c>
      <c r="X449" t="s">
        <v>74</v>
      </c>
      <c r="Y449" t="b">
        <v>0</v>
      </c>
      <c r="Z449" t="b">
        <v>0</v>
      </c>
      <c r="AC449" s="1"/>
      <c r="AF449">
        <v>0</v>
      </c>
      <c r="AG449">
        <v>45</v>
      </c>
      <c r="AH449">
        <v>39</v>
      </c>
      <c r="AI449" s="2">
        <f>Table__192.168.3.138AgingReportBEWLGS[[#This Row],[NetAmount]]-Table__192.168.3.138AgingReportBEWLGS[[#This Row],[Paid]]</f>
        <v>1330</v>
      </c>
    </row>
    <row r="450" spans="1:35">
      <c r="A450" t="s">
        <v>7182</v>
      </c>
      <c r="B450" s="1">
        <v>41274</v>
      </c>
      <c r="C450" s="1">
        <v>41319</v>
      </c>
      <c r="D450" t="s">
        <v>7062</v>
      </c>
      <c r="E450">
        <v>133407</v>
      </c>
      <c r="F450">
        <v>0</v>
      </c>
      <c r="G450">
        <v>0</v>
      </c>
      <c r="H450">
        <v>0</v>
      </c>
      <c r="I450">
        <v>-6</v>
      </c>
      <c r="J450">
        <v>133407</v>
      </c>
      <c r="K450" t="s">
        <v>6035</v>
      </c>
      <c r="L450" s="1">
        <v>41274</v>
      </c>
      <c r="M450" t="s">
        <v>7183</v>
      </c>
      <c r="N450" t="s">
        <v>442</v>
      </c>
      <c r="O450" t="s">
        <v>938</v>
      </c>
      <c r="P450" t="s">
        <v>7064</v>
      </c>
      <c r="Q450" t="s">
        <v>39</v>
      </c>
      <c r="R450" t="s">
        <v>40</v>
      </c>
      <c r="S450">
        <v>0</v>
      </c>
      <c r="U450" t="s">
        <v>5550</v>
      </c>
      <c r="V450" t="s">
        <v>1797</v>
      </c>
      <c r="W450" t="s">
        <v>7065</v>
      </c>
      <c r="X450" t="s">
        <v>74</v>
      </c>
      <c r="Y450" t="b">
        <v>0</v>
      </c>
      <c r="Z450" t="b">
        <v>0</v>
      </c>
      <c r="AA450" t="b">
        <v>0</v>
      </c>
      <c r="AC450" s="1"/>
      <c r="AF450">
        <v>0</v>
      </c>
      <c r="AG450">
        <v>45</v>
      </c>
      <c r="AH450">
        <v>39</v>
      </c>
      <c r="AI450" s="2">
        <f>Table__192.168.3.138AgingReportBEWLGS[[#This Row],[NetAmount]]-Table__192.168.3.138AgingReportBEWLGS[[#This Row],[Paid]]</f>
        <v>133407</v>
      </c>
    </row>
    <row r="451" spans="1:35">
      <c r="A451" t="s">
        <v>7184</v>
      </c>
      <c r="B451" s="1">
        <v>41274</v>
      </c>
      <c r="C451" s="1">
        <v>41319</v>
      </c>
      <c r="D451" t="s">
        <v>6169</v>
      </c>
      <c r="E451">
        <v>105630</v>
      </c>
      <c r="F451">
        <v>0</v>
      </c>
      <c r="G451">
        <v>0</v>
      </c>
      <c r="H451">
        <v>0</v>
      </c>
      <c r="I451">
        <v>-6</v>
      </c>
      <c r="J451">
        <v>105630</v>
      </c>
      <c r="K451" t="s">
        <v>6035</v>
      </c>
      <c r="L451" s="1">
        <v>41274</v>
      </c>
      <c r="M451" t="s">
        <v>7185</v>
      </c>
      <c r="N451" t="s">
        <v>442</v>
      </c>
      <c r="O451" t="s">
        <v>938</v>
      </c>
      <c r="P451" t="s">
        <v>6171</v>
      </c>
      <c r="Q451" t="s">
        <v>39</v>
      </c>
      <c r="R451" t="s">
        <v>40</v>
      </c>
      <c r="S451">
        <v>0</v>
      </c>
      <c r="U451" t="s">
        <v>5550</v>
      </c>
      <c r="V451" t="s">
        <v>1797</v>
      </c>
      <c r="W451" t="s">
        <v>6172</v>
      </c>
      <c r="X451" t="s">
        <v>74</v>
      </c>
      <c r="Y451" t="b">
        <v>0</v>
      </c>
      <c r="Z451" t="b">
        <v>0</v>
      </c>
      <c r="AA451" t="b">
        <v>0</v>
      </c>
      <c r="AC451" s="1"/>
      <c r="AF451">
        <v>0</v>
      </c>
      <c r="AG451">
        <v>45</v>
      </c>
      <c r="AH451">
        <v>39</v>
      </c>
      <c r="AI451" s="2">
        <f>Table__192.168.3.138AgingReportBEWLGS[[#This Row],[NetAmount]]-Table__192.168.3.138AgingReportBEWLGS[[#This Row],[Paid]]</f>
        <v>105630</v>
      </c>
    </row>
    <row r="452" spans="1:35">
      <c r="A452" t="s">
        <v>7186</v>
      </c>
      <c r="B452" s="1">
        <v>41274</v>
      </c>
      <c r="C452" s="1">
        <v>41319</v>
      </c>
      <c r="D452" t="s">
        <v>6169</v>
      </c>
      <c r="E452">
        <v>70373</v>
      </c>
      <c r="F452">
        <v>0</v>
      </c>
      <c r="G452">
        <v>0</v>
      </c>
      <c r="H452">
        <v>0</v>
      </c>
      <c r="I452">
        <v>-6</v>
      </c>
      <c r="J452">
        <v>70373</v>
      </c>
      <c r="K452" t="s">
        <v>6035</v>
      </c>
      <c r="L452" s="1">
        <v>41274</v>
      </c>
      <c r="M452" t="s">
        <v>7187</v>
      </c>
      <c r="N452" t="s">
        <v>442</v>
      </c>
      <c r="O452" t="s">
        <v>938</v>
      </c>
      <c r="P452" t="s">
        <v>6171</v>
      </c>
      <c r="Q452" t="s">
        <v>39</v>
      </c>
      <c r="R452" t="s">
        <v>40</v>
      </c>
      <c r="S452">
        <v>0</v>
      </c>
      <c r="U452" t="s">
        <v>5550</v>
      </c>
      <c r="V452" t="s">
        <v>1797</v>
      </c>
      <c r="W452" t="s">
        <v>6172</v>
      </c>
      <c r="X452" t="s">
        <v>74</v>
      </c>
      <c r="Y452" t="b">
        <v>0</v>
      </c>
      <c r="Z452" t="b">
        <v>0</v>
      </c>
      <c r="AA452" t="b">
        <v>0</v>
      </c>
      <c r="AC452" s="1"/>
      <c r="AF452">
        <v>0</v>
      </c>
      <c r="AG452">
        <v>45</v>
      </c>
      <c r="AH452">
        <v>39</v>
      </c>
      <c r="AI452" s="2">
        <f>Table__192.168.3.138AgingReportBEWLGS[[#This Row],[NetAmount]]-Table__192.168.3.138AgingReportBEWLGS[[#This Row],[Paid]]</f>
        <v>70373</v>
      </c>
    </row>
    <row r="453" spans="1:35">
      <c r="A453" t="s">
        <v>7188</v>
      </c>
      <c r="B453" s="1">
        <v>41274</v>
      </c>
      <c r="C453" s="1">
        <v>41319</v>
      </c>
      <c r="D453" t="s">
        <v>7062</v>
      </c>
      <c r="E453">
        <v>137195</v>
      </c>
      <c r="F453">
        <v>0</v>
      </c>
      <c r="G453">
        <v>0</v>
      </c>
      <c r="H453">
        <v>0</v>
      </c>
      <c r="I453">
        <v>-6</v>
      </c>
      <c r="J453">
        <v>137195</v>
      </c>
      <c r="K453" t="s">
        <v>6035</v>
      </c>
      <c r="L453" s="1">
        <v>41274</v>
      </c>
      <c r="M453" t="s">
        <v>7189</v>
      </c>
      <c r="N453" t="s">
        <v>442</v>
      </c>
      <c r="O453" t="s">
        <v>938</v>
      </c>
      <c r="P453" t="s">
        <v>7064</v>
      </c>
      <c r="Q453" t="s">
        <v>39</v>
      </c>
      <c r="R453" t="s">
        <v>40</v>
      </c>
      <c r="S453">
        <v>0</v>
      </c>
      <c r="U453" t="s">
        <v>5550</v>
      </c>
      <c r="V453" t="s">
        <v>1797</v>
      </c>
      <c r="W453" t="s">
        <v>7065</v>
      </c>
      <c r="X453" t="s">
        <v>74</v>
      </c>
      <c r="Y453" t="b">
        <v>0</v>
      </c>
      <c r="Z453" t="b">
        <v>0</v>
      </c>
      <c r="AA453" t="b">
        <v>0</v>
      </c>
      <c r="AC453" s="1"/>
      <c r="AF453">
        <v>0</v>
      </c>
      <c r="AG453">
        <v>45</v>
      </c>
      <c r="AH453">
        <v>39</v>
      </c>
      <c r="AI453" s="2">
        <f>Table__192.168.3.138AgingReportBEWLGS[[#This Row],[NetAmount]]-Table__192.168.3.138AgingReportBEWLGS[[#This Row],[Paid]]</f>
        <v>137195</v>
      </c>
    </row>
    <row r="454" spans="1:35">
      <c r="A454" t="s">
        <v>7190</v>
      </c>
      <c r="B454" s="1">
        <v>41289</v>
      </c>
      <c r="C454" s="1">
        <v>41334</v>
      </c>
      <c r="D454" t="s">
        <v>7010</v>
      </c>
      <c r="E454">
        <v>255</v>
      </c>
      <c r="F454">
        <v>41</v>
      </c>
      <c r="G454">
        <v>0</v>
      </c>
      <c r="H454">
        <v>0</v>
      </c>
      <c r="I454">
        <v>-6</v>
      </c>
      <c r="J454">
        <v>296</v>
      </c>
      <c r="K454" t="s">
        <v>7191</v>
      </c>
      <c r="L454" s="1">
        <v>41274</v>
      </c>
      <c r="N454" t="s">
        <v>442</v>
      </c>
      <c r="O454" t="s">
        <v>938</v>
      </c>
      <c r="P454" t="s">
        <v>7012</v>
      </c>
      <c r="Q454" t="s">
        <v>39</v>
      </c>
      <c r="R454" t="s">
        <v>40</v>
      </c>
      <c r="S454">
        <v>0</v>
      </c>
      <c r="U454" t="s">
        <v>5550</v>
      </c>
      <c r="V454" t="s">
        <v>1797</v>
      </c>
      <c r="X454" t="s">
        <v>74</v>
      </c>
      <c r="Y454" t="b">
        <v>0</v>
      </c>
      <c r="Z454" t="b">
        <v>0</v>
      </c>
      <c r="AC454" s="1"/>
      <c r="AF454">
        <v>0</v>
      </c>
      <c r="AG454">
        <v>45</v>
      </c>
      <c r="AH454">
        <v>39</v>
      </c>
      <c r="AI454" s="2">
        <f>Table__192.168.3.138AgingReportBEWLGS[[#This Row],[NetAmount]]-Table__192.168.3.138AgingReportBEWLGS[[#This Row],[Paid]]</f>
        <v>296</v>
      </c>
    </row>
    <row r="455" spans="1:35">
      <c r="A455" t="s">
        <v>7192</v>
      </c>
      <c r="B455" s="1">
        <v>41303</v>
      </c>
      <c r="C455" s="1">
        <v>41348</v>
      </c>
      <c r="D455" t="s">
        <v>6278</v>
      </c>
      <c r="E455">
        <v>912</v>
      </c>
      <c r="F455">
        <v>178</v>
      </c>
      <c r="G455">
        <v>0</v>
      </c>
      <c r="H455">
        <v>0</v>
      </c>
      <c r="I455">
        <v>-20</v>
      </c>
      <c r="J455">
        <v>1090</v>
      </c>
      <c r="K455" t="s">
        <v>6856</v>
      </c>
      <c r="L455" s="1">
        <v>41288</v>
      </c>
      <c r="N455" t="s">
        <v>442</v>
      </c>
      <c r="O455" t="s">
        <v>938</v>
      </c>
      <c r="P455" t="s">
        <v>6280</v>
      </c>
      <c r="Q455" t="s">
        <v>39</v>
      </c>
      <c r="R455" t="s">
        <v>40</v>
      </c>
      <c r="S455">
        <v>0</v>
      </c>
      <c r="U455" t="s">
        <v>5550</v>
      </c>
      <c r="V455" t="s">
        <v>1797</v>
      </c>
      <c r="X455" t="s">
        <v>74</v>
      </c>
      <c r="Y455" t="b">
        <v>0</v>
      </c>
      <c r="Z455" t="b">
        <v>0</v>
      </c>
      <c r="AC455" s="1"/>
      <c r="AF455">
        <v>0</v>
      </c>
      <c r="AG455">
        <v>45</v>
      </c>
      <c r="AH455">
        <v>25</v>
      </c>
      <c r="AI455" s="2">
        <f>Table__192.168.3.138AgingReportBEWLGS[[#This Row],[NetAmount]]-Table__192.168.3.138AgingReportBEWLGS[[#This Row],[Paid]]</f>
        <v>1090</v>
      </c>
    </row>
    <row r="456" spans="1:35">
      <c r="A456" t="s">
        <v>7193</v>
      </c>
      <c r="B456" s="1">
        <v>41289</v>
      </c>
      <c r="C456" s="1">
        <v>41334</v>
      </c>
      <c r="D456" t="s">
        <v>6296</v>
      </c>
      <c r="E456">
        <v>9237</v>
      </c>
      <c r="F456">
        <v>0</v>
      </c>
      <c r="G456">
        <v>0</v>
      </c>
      <c r="H456">
        <v>0</v>
      </c>
      <c r="I456">
        <v>-15</v>
      </c>
      <c r="J456">
        <v>9237</v>
      </c>
      <c r="K456" t="s">
        <v>6856</v>
      </c>
      <c r="L456" s="1">
        <v>41283</v>
      </c>
      <c r="N456" t="s">
        <v>442</v>
      </c>
      <c r="O456" t="s">
        <v>938</v>
      </c>
      <c r="P456" t="s">
        <v>6297</v>
      </c>
      <c r="Q456" t="s">
        <v>39</v>
      </c>
      <c r="R456" t="s">
        <v>40</v>
      </c>
      <c r="S456">
        <v>0</v>
      </c>
      <c r="U456" t="s">
        <v>5550</v>
      </c>
      <c r="V456" t="s">
        <v>1797</v>
      </c>
      <c r="X456" t="s">
        <v>74</v>
      </c>
      <c r="Y456" t="b">
        <v>0</v>
      </c>
      <c r="Z456" t="b">
        <v>0</v>
      </c>
      <c r="AC456" s="1"/>
      <c r="AF456">
        <v>0</v>
      </c>
      <c r="AG456">
        <v>45</v>
      </c>
      <c r="AH456">
        <v>30</v>
      </c>
      <c r="AI456" s="2">
        <f>Table__192.168.3.138AgingReportBEWLGS[[#This Row],[NetAmount]]-Table__192.168.3.138AgingReportBEWLGS[[#This Row],[Paid]]</f>
        <v>9237</v>
      </c>
    </row>
    <row r="457" spans="1:35">
      <c r="A457" t="s">
        <v>7194</v>
      </c>
      <c r="B457" s="1">
        <v>41304</v>
      </c>
      <c r="C457" s="1">
        <v>41349</v>
      </c>
      <c r="D457" t="s">
        <v>6183</v>
      </c>
      <c r="E457">
        <v>28290</v>
      </c>
      <c r="F457">
        <v>0</v>
      </c>
      <c r="G457">
        <v>0</v>
      </c>
      <c r="H457">
        <v>0</v>
      </c>
      <c r="I457">
        <v>-37</v>
      </c>
      <c r="J457">
        <v>28290</v>
      </c>
      <c r="K457" t="s">
        <v>7018</v>
      </c>
      <c r="L457" s="1">
        <v>41305</v>
      </c>
      <c r="M457" t="s">
        <v>7195</v>
      </c>
      <c r="N457" t="s">
        <v>442</v>
      </c>
      <c r="O457" t="s">
        <v>938</v>
      </c>
      <c r="P457" t="s">
        <v>6185</v>
      </c>
      <c r="Q457" t="s">
        <v>39</v>
      </c>
      <c r="R457" t="s">
        <v>40</v>
      </c>
      <c r="S457">
        <v>0</v>
      </c>
      <c r="U457" t="s">
        <v>5550</v>
      </c>
      <c r="V457" t="s">
        <v>1797</v>
      </c>
      <c r="W457" t="s">
        <v>6186</v>
      </c>
      <c r="X457" t="s">
        <v>74</v>
      </c>
      <c r="Y457" t="b">
        <v>0</v>
      </c>
      <c r="Z457" t="b">
        <v>0</v>
      </c>
      <c r="AA457" t="b">
        <v>0</v>
      </c>
      <c r="AC457" s="1"/>
      <c r="AF457">
        <v>0</v>
      </c>
      <c r="AG457">
        <v>45</v>
      </c>
      <c r="AH457">
        <v>8</v>
      </c>
      <c r="AI457" s="2">
        <f>Table__192.168.3.138AgingReportBEWLGS[[#This Row],[NetAmount]]-Table__192.168.3.138AgingReportBEWLGS[[#This Row],[Paid]]</f>
        <v>28290</v>
      </c>
    </row>
    <row r="458" spans="1:35">
      <c r="A458" t="s">
        <v>7196</v>
      </c>
      <c r="B458" s="1">
        <v>41304</v>
      </c>
      <c r="C458" s="1">
        <v>41349</v>
      </c>
      <c r="D458" t="s">
        <v>6203</v>
      </c>
      <c r="E458">
        <v>69400</v>
      </c>
      <c r="F458">
        <v>0</v>
      </c>
      <c r="G458">
        <v>0</v>
      </c>
      <c r="H458">
        <v>0</v>
      </c>
      <c r="I458">
        <v>-34</v>
      </c>
      <c r="J458">
        <v>69400</v>
      </c>
      <c r="K458" t="s">
        <v>7197</v>
      </c>
      <c r="L458" s="1">
        <v>41302</v>
      </c>
      <c r="M458" t="s">
        <v>7198</v>
      </c>
      <c r="N458" t="s">
        <v>442</v>
      </c>
      <c r="O458" t="s">
        <v>938</v>
      </c>
      <c r="P458" t="s">
        <v>6205</v>
      </c>
      <c r="Q458" t="s">
        <v>39</v>
      </c>
      <c r="R458" t="s">
        <v>40</v>
      </c>
      <c r="S458">
        <v>0</v>
      </c>
      <c r="U458" t="s">
        <v>5550</v>
      </c>
      <c r="V458" t="s">
        <v>1797</v>
      </c>
      <c r="W458" t="s">
        <v>6206</v>
      </c>
      <c r="X458" t="s">
        <v>74</v>
      </c>
      <c r="Y458" t="b">
        <v>0</v>
      </c>
      <c r="Z458" t="b">
        <v>0</v>
      </c>
      <c r="AA458" t="b">
        <v>0</v>
      </c>
      <c r="AC458" s="1"/>
      <c r="AF458">
        <v>0</v>
      </c>
      <c r="AG458">
        <v>45</v>
      </c>
      <c r="AH458">
        <v>11</v>
      </c>
      <c r="AI458" s="2">
        <f>Table__192.168.3.138AgingReportBEWLGS[[#This Row],[NetAmount]]-Table__192.168.3.138AgingReportBEWLGS[[#This Row],[Paid]]</f>
        <v>69400</v>
      </c>
    </row>
    <row r="459" spans="1:35">
      <c r="A459" t="s">
        <v>7199</v>
      </c>
      <c r="B459" s="1">
        <v>41304</v>
      </c>
      <c r="C459" s="1">
        <v>41349</v>
      </c>
      <c r="D459" t="s">
        <v>6248</v>
      </c>
      <c r="E459">
        <v>528585</v>
      </c>
      <c r="F459">
        <v>0</v>
      </c>
      <c r="G459">
        <v>0</v>
      </c>
      <c r="H459">
        <v>0</v>
      </c>
      <c r="I459">
        <v>-32</v>
      </c>
      <c r="J459">
        <v>528585</v>
      </c>
      <c r="K459" t="s">
        <v>7200</v>
      </c>
      <c r="L459" s="1">
        <v>41300</v>
      </c>
      <c r="M459" t="s">
        <v>7201</v>
      </c>
      <c r="N459" t="s">
        <v>442</v>
      </c>
      <c r="O459" t="s">
        <v>938</v>
      </c>
      <c r="P459" t="s">
        <v>6250</v>
      </c>
      <c r="Q459" t="s">
        <v>39</v>
      </c>
      <c r="R459" t="s">
        <v>40</v>
      </c>
      <c r="S459">
        <v>0</v>
      </c>
      <c r="U459" t="s">
        <v>5550</v>
      </c>
      <c r="V459" t="s">
        <v>1797</v>
      </c>
      <c r="W459" t="s">
        <v>6251</v>
      </c>
      <c r="X459" t="s">
        <v>74</v>
      </c>
      <c r="Y459" t="b">
        <v>0</v>
      </c>
      <c r="Z459" t="b">
        <v>0</v>
      </c>
      <c r="AA459" t="b">
        <v>0</v>
      </c>
      <c r="AC459" s="1"/>
      <c r="AF459">
        <v>0</v>
      </c>
      <c r="AG459">
        <v>45</v>
      </c>
      <c r="AH459">
        <v>13</v>
      </c>
      <c r="AI459" s="2">
        <f>Table__192.168.3.138AgingReportBEWLGS[[#This Row],[NetAmount]]-Table__192.168.3.138AgingReportBEWLGS[[#This Row],[Paid]]</f>
        <v>528585</v>
      </c>
    </row>
    <row r="460" spans="1:35">
      <c r="A460" t="s">
        <v>7202</v>
      </c>
      <c r="B460" s="1">
        <v>41295</v>
      </c>
      <c r="C460" s="1">
        <v>41340</v>
      </c>
      <c r="D460" t="s">
        <v>6134</v>
      </c>
      <c r="E460">
        <v>21800</v>
      </c>
      <c r="F460">
        <v>0</v>
      </c>
      <c r="G460">
        <v>0</v>
      </c>
      <c r="H460">
        <v>0</v>
      </c>
      <c r="I460">
        <v>-34</v>
      </c>
      <c r="J460">
        <v>21800</v>
      </c>
      <c r="K460" t="s">
        <v>7203</v>
      </c>
      <c r="L460" s="1">
        <v>41302</v>
      </c>
      <c r="N460" t="s">
        <v>442</v>
      </c>
      <c r="O460" t="s">
        <v>938</v>
      </c>
      <c r="P460" t="s">
        <v>5530</v>
      </c>
      <c r="Q460" t="s">
        <v>5285</v>
      </c>
      <c r="R460" t="s">
        <v>5286</v>
      </c>
      <c r="S460">
        <v>0</v>
      </c>
      <c r="U460" t="s">
        <v>5550</v>
      </c>
      <c r="V460" t="s">
        <v>1797</v>
      </c>
      <c r="X460" t="s">
        <v>74</v>
      </c>
      <c r="Y460" t="b">
        <v>0</v>
      </c>
      <c r="Z460" t="b">
        <v>0</v>
      </c>
      <c r="AC460" s="1"/>
      <c r="AF460">
        <v>0</v>
      </c>
      <c r="AG460">
        <v>45</v>
      </c>
      <c r="AH460">
        <v>11</v>
      </c>
      <c r="AI460" s="2">
        <f>Table__192.168.3.138AgingReportBEWLGS[[#This Row],[NetAmount]]-Table__192.168.3.138AgingReportBEWLGS[[#This Row],[Paid]]</f>
        <v>21800</v>
      </c>
    </row>
    <row r="461" spans="1:35">
      <c r="A461" t="s">
        <v>7204</v>
      </c>
      <c r="B461" s="1">
        <v>41304</v>
      </c>
      <c r="C461" s="1">
        <v>41349</v>
      </c>
      <c r="D461" t="s">
        <v>7074</v>
      </c>
      <c r="E461">
        <v>6600</v>
      </c>
      <c r="F461">
        <v>0</v>
      </c>
      <c r="G461">
        <v>0</v>
      </c>
      <c r="H461">
        <v>0</v>
      </c>
      <c r="I461">
        <v>-34</v>
      </c>
      <c r="J461">
        <v>6600</v>
      </c>
      <c r="K461" t="s">
        <v>2633</v>
      </c>
      <c r="L461" s="1">
        <v>41302</v>
      </c>
      <c r="N461" t="s">
        <v>442</v>
      </c>
      <c r="O461" t="s">
        <v>938</v>
      </c>
      <c r="P461" t="s">
        <v>7076</v>
      </c>
      <c r="Q461" t="s">
        <v>5285</v>
      </c>
      <c r="R461" t="s">
        <v>5286</v>
      </c>
      <c r="S461">
        <v>0</v>
      </c>
      <c r="U461" t="s">
        <v>5550</v>
      </c>
      <c r="V461" t="s">
        <v>1797</v>
      </c>
      <c r="X461" t="s">
        <v>74</v>
      </c>
      <c r="Y461" t="b">
        <v>0</v>
      </c>
      <c r="Z461" t="b">
        <v>0</v>
      </c>
      <c r="AC461" s="1"/>
      <c r="AF461">
        <v>0</v>
      </c>
      <c r="AG461">
        <v>45</v>
      </c>
      <c r="AH461">
        <v>11</v>
      </c>
      <c r="AI461" s="2">
        <f>Table__192.168.3.138AgingReportBEWLGS[[#This Row],[NetAmount]]-Table__192.168.3.138AgingReportBEWLGS[[#This Row],[Paid]]</f>
        <v>6600</v>
      </c>
    </row>
    <row r="462" spans="1:35">
      <c r="A462" t="s">
        <v>7205</v>
      </c>
      <c r="B462" s="1">
        <v>41267</v>
      </c>
      <c r="C462" s="1">
        <v>41312</v>
      </c>
      <c r="D462" t="s">
        <v>6939</v>
      </c>
      <c r="E462">
        <v>1750</v>
      </c>
      <c r="F462">
        <v>0</v>
      </c>
      <c r="G462">
        <v>0</v>
      </c>
      <c r="H462">
        <v>0</v>
      </c>
      <c r="I462">
        <v>1</v>
      </c>
      <c r="J462">
        <v>1750</v>
      </c>
      <c r="K462" t="s">
        <v>6940</v>
      </c>
      <c r="L462" s="1">
        <v>41267</v>
      </c>
      <c r="M462" t="s">
        <v>7206</v>
      </c>
      <c r="N462" t="s">
        <v>5127</v>
      </c>
      <c r="O462" t="s">
        <v>36</v>
      </c>
      <c r="P462" t="s">
        <v>6942</v>
      </c>
      <c r="Q462" t="s">
        <v>39</v>
      </c>
      <c r="R462" t="s">
        <v>40</v>
      </c>
      <c r="S462">
        <v>0</v>
      </c>
      <c r="U462" t="s">
        <v>5550</v>
      </c>
      <c r="V462" t="s">
        <v>6047</v>
      </c>
      <c r="W462" t="s">
        <v>6943</v>
      </c>
      <c r="X462" t="s">
        <v>74</v>
      </c>
      <c r="Y462" t="b">
        <v>0</v>
      </c>
      <c r="Z462" t="b">
        <v>0</v>
      </c>
      <c r="AA462" t="b">
        <v>0</v>
      </c>
      <c r="AC462" s="1"/>
      <c r="AF462">
        <v>0</v>
      </c>
      <c r="AG462">
        <v>45</v>
      </c>
      <c r="AH462">
        <v>46</v>
      </c>
      <c r="AI462" s="2">
        <f>Table__192.168.3.138AgingReportBEWLGS[[#This Row],[NetAmount]]-Table__192.168.3.138AgingReportBEWLGS[[#This Row],[Paid]]</f>
        <v>1750</v>
      </c>
    </row>
    <row r="463" spans="1:35">
      <c r="A463" t="s">
        <v>7207</v>
      </c>
      <c r="B463" s="1">
        <v>41093</v>
      </c>
      <c r="C463" s="1">
        <v>41138</v>
      </c>
      <c r="D463" t="s">
        <v>6577</v>
      </c>
      <c r="E463">
        <v>9500</v>
      </c>
      <c r="F463">
        <v>1520</v>
      </c>
      <c r="G463">
        <v>0</v>
      </c>
      <c r="H463">
        <v>0</v>
      </c>
      <c r="I463">
        <v>176</v>
      </c>
      <c r="J463">
        <v>11020</v>
      </c>
      <c r="K463" t="s">
        <v>7208</v>
      </c>
      <c r="L463" s="1">
        <v>41092</v>
      </c>
      <c r="N463" t="s">
        <v>5127</v>
      </c>
      <c r="O463" t="s">
        <v>2458</v>
      </c>
      <c r="P463" t="s">
        <v>6579</v>
      </c>
      <c r="Q463" t="s">
        <v>39</v>
      </c>
      <c r="R463" t="s">
        <v>40</v>
      </c>
      <c r="S463">
        <v>0</v>
      </c>
      <c r="U463" t="s">
        <v>5550</v>
      </c>
      <c r="V463" t="s">
        <v>1797</v>
      </c>
      <c r="X463" t="s">
        <v>74</v>
      </c>
      <c r="Y463" t="b">
        <v>0</v>
      </c>
      <c r="Z463" t="b">
        <v>0</v>
      </c>
      <c r="AC463" s="1"/>
      <c r="AF463">
        <v>0</v>
      </c>
      <c r="AG463">
        <v>45</v>
      </c>
      <c r="AH463">
        <v>221</v>
      </c>
      <c r="AI463" s="2">
        <f>Table__192.168.3.138AgingReportBEWLGS[[#This Row],[NetAmount]]-Table__192.168.3.138AgingReportBEWLGS[[#This Row],[Paid]]</f>
        <v>11020</v>
      </c>
    </row>
    <row r="464" spans="1:35">
      <c r="A464" t="s">
        <v>7209</v>
      </c>
      <c r="B464" s="1">
        <v>41103</v>
      </c>
      <c r="C464" s="1">
        <v>41148</v>
      </c>
      <c r="D464" t="s">
        <v>6425</v>
      </c>
      <c r="E464">
        <v>41130</v>
      </c>
      <c r="F464">
        <v>6581</v>
      </c>
      <c r="G464">
        <v>0</v>
      </c>
      <c r="H464">
        <v>0</v>
      </c>
      <c r="I464">
        <v>165</v>
      </c>
      <c r="J464">
        <v>47711</v>
      </c>
      <c r="K464" t="s">
        <v>7210</v>
      </c>
      <c r="L464" s="1">
        <v>41103</v>
      </c>
      <c r="N464" t="s">
        <v>5127</v>
      </c>
      <c r="O464" t="s">
        <v>2458</v>
      </c>
      <c r="P464" t="s">
        <v>5478</v>
      </c>
      <c r="Q464" t="s">
        <v>39</v>
      </c>
      <c r="R464" t="s">
        <v>40</v>
      </c>
      <c r="S464">
        <v>0</v>
      </c>
      <c r="U464" t="s">
        <v>5550</v>
      </c>
      <c r="V464" t="s">
        <v>1797</v>
      </c>
      <c r="X464" t="s">
        <v>74</v>
      </c>
      <c r="Y464" t="b">
        <v>0</v>
      </c>
      <c r="Z464" t="b">
        <v>0</v>
      </c>
      <c r="AC464" s="1"/>
      <c r="AF464">
        <v>0</v>
      </c>
      <c r="AG464">
        <v>45</v>
      </c>
      <c r="AH464">
        <v>210</v>
      </c>
      <c r="AI464" s="2">
        <f>Table__192.168.3.138AgingReportBEWLGS[[#This Row],[NetAmount]]-Table__192.168.3.138AgingReportBEWLGS[[#This Row],[Paid]]</f>
        <v>47711</v>
      </c>
    </row>
    <row r="465" spans="1:35">
      <c r="A465" t="s">
        <v>7211</v>
      </c>
      <c r="B465" s="1">
        <v>41107</v>
      </c>
      <c r="C465" s="1">
        <v>41152</v>
      </c>
      <c r="D465" t="s">
        <v>7212</v>
      </c>
      <c r="E465">
        <v>28728</v>
      </c>
      <c r="F465">
        <v>4596</v>
      </c>
      <c r="G465">
        <v>0</v>
      </c>
      <c r="H465">
        <v>0</v>
      </c>
      <c r="I465">
        <v>161</v>
      </c>
      <c r="J465">
        <v>33324</v>
      </c>
      <c r="K465" t="s">
        <v>7213</v>
      </c>
      <c r="L465" s="1">
        <v>41107</v>
      </c>
      <c r="N465" t="s">
        <v>5127</v>
      </c>
      <c r="O465" t="s">
        <v>2458</v>
      </c>
      <c r="P465" t="s">
        <v>7214</v>
      </c>
      <c r="Q465" t="s">
        <v>39</v>
      </c>
      <c r="R465" t="s">
        <v>40</v>
      </c>
      <c r="S465">
        <v>0</v>
      </c>
      <c r="U465" t="s">
        <v>5550</v>
      </c>
      <c r="V465" t="s">
        <v>1797</v>
      </c>
      <c r="X465" t="s">
        <v>74</v>
      </c>
      <c r="Y465" t="b">
        <v>0</v>
      </c>
      <c r="Z465" t="b">
        <v>0</v>
      </c>
      <c r="AC465" s="1"/>
      <c r="AF465">
        <v>0</v>
      </c>
      <c r="AG465">
        <v>45</v>
      </c>
      <c r="AH465">
        <v>206</v>
      </c>
      <c r="AI465" s="2">
        <f>Table__192.168.3.138AgingReportBEWLGS[[#This Row],[NetAmount]]-Table__192.168.3.138AgingReportBEWLGS[[#This Row],[Paid]]</f>
        <v>33324</v>
      </c>
    </row>
    <row r="466" spans="1:35">
      <c r="A466" t="s">
        <v>7215</v>
      </c>
      <c r="B466" s="1">
        <v>41103</v>
      </c>
      <c r="C466" s="1">
        <v>41148</v>
      </c>
      <c r="D466" t="s">
        <v>6335</v>
      </c>
      <c r="E466">
        <v>399315</v>
      </c>
      <c r="F466">
        <v>63890</v>
      </c>
      <c r="G466">
        <v>0</v>
      </c>
      <c r="H466">
        <v>461890</v>
      </c>
      <c r="I466">
        <v>166</v>
      </c>
      <c r="J466">
        <v>463205</v>
      </c>
      <c r="K466" t="s">
        <v>7216</v>
      </c>
      <c r="L466" s="1">
        <v>41102</v>
      </c>
      <c r="N466" t="s">
        <v>5127</v>
      </c>
      <c r="O466" t="s">
        <v>2458</v>
      </c>
      <c r="P466" t="s">
        <v>6337</v>
      </c>
      <c r="Q466" t="s">
        <v>39</v>
      </c>
      <c r="R466" t="s">
        <v>40</v>
      </c>
      <c r="S466">
        <v>0</v>
      </c>
      <c r="T466" t="s">
        <v>7217</v>
      </c>
      <c r="U466" t="s">
        <v>5550</v>
      </c>
      <c r="V466" t="s">
        <v>1797</v>
      </c>
      <c r="X466" t="s">
        <v>74</v>
      </c>
      <c r="Y466" t="b">
        <v>0</v>
      </c>
      <c r="Z466" t="b">
        <v>0</v>
      </c>
      <c r="AC466" s="1"/>
      <c r="AF466">
        <v>0</v>
      </c>
      <c r="AG466">
        <v>45</v>
      </c>
      <c r="AH466">
        <v>211</v>
      </c>
      <c r="AI466" s="2">
        <f>Table__192.168.3.138AgingReportBEWLGS[[#This Row],[NetAmount]]-Table__192.168.3.138AgingReportBEWLGS[[#This Row],[Paid]]</f>
        <v>463205</v>
      </c>
    </row>
    <row r="467" spans="1:35">
      <c r="A467" t="s">
        <v>7218</v>
      </c>
      <c r="B467" s="1">
        <v>41107</v>
      </c>
      <c r="C467" s="1">
        <v>41152</v>
      </c>
      <c r="D467" t="s">
        <v>6486</v>
      </c>
      <c r="E467">
        <v>3000</v>
      </c>
      <c r="F467">
        <v>480</v>
      </c>
      <c r="G467">
        <v>0</v>
      </c>
      <c r="H467">
        <v>0</v>
      </c>
      <c r="I467">
        <v>158</v>
      </c>
      <c r="J467">
        <v>3480</v>
      </c>
      <c r="K467" t="s">
        <v>7219</v>
      </c>
      <c r="L467" s="1">
        <v>41110</v>
      </c>
      <c r="N467" t="s">
        <v>5127</v>
      </c>
      <c r="O467" t="s">
        <v>2458</v>
      </c>
      <c r="P467" t="s">
        <v>5464</v>
      </c>
      <c r="Q467" t="s">
        <v>39</v>
      </c>
      <c r="R467" t="s">
        <v>40</v>
      </c>
      <c r="S467">
        <v>0</v>
      </c>
      <c r="U467" t="s">
        <v>5550</v>
      </c>
      <c r="V467" t="s">
        <v>1797</v>
      </c>
      <c r="X467" t="s">
        <v>74</v>
      </c>
      <c r="Y467" t="b">
        <v>0</v>
      </c>
      <c r="Z467" t="b">
        <v>0</v>
      </c>
      <c r="AC467" s="1"/>
      <c r="AF467">
        <v>0</v>
      </c>
      <c r="AG467">
        <v>45</v>
      </c>
      <c r="AH467">
        <v>203</v>
      </c>
      <c r="AI467" s="2">
        <f>Table__192.168.3.138AgingReportBEWLGS[[#This Row],[NetAmount]]-Table__192.168.3.138AgingReportBEWLGS[[#This Row],[Paid]]</f>
        <v>3480</v>
      </c>
    </row>
    <row r="468" spans="1:35">
      <c r="A468" t="s">
        <v>7220</v>
      </c>
      <c r="B468" s="1">
        <v>41092</v>
      </c>
      <c r="C468" s="1">
        <v>41137</v>
      </c>
      <c r="D468" t="s">
        <v>6474</v>
      </c>
      <c r="E468">
        <v>58925</v>
      </c>
      <c r="F468">
        <v>9428</v>
      </c>
      <c r="G468">
        <v>0</v>
      </c>
      <c r="H468">
        <v>0</v>
      </c>
      <c r="I468">
        <v>171</v>
      </c>
      <c r="J468">
        <v>68353</v>
      </c>
      <c r="K468" t="s">
        <v>7221</v>
      </c>
      <c r="L468" s="1">
        <v>41097</v>
      </c>
      <c r="N468" t="s">
        <v>5127</v>
      </c>
      <c r="O468" t="s">
        <v>2458</v>
      </c>
      <c r="P468" t="s">
        <v>6475</v>
      </c>
      <c r="Q468" t="s">
        <v>39</v>
      </c>
      <c r="R468" t="s">
        <v>40</v>
      </c>
      <c r="S468">
        <v>0</v>
      </c>
      <c r="U468" t="s">
        <v>5550</v>
      </c>
      <c r="V468" t="s">
        <v>1797</v>
      </c>
      <c r="X468" t="s">
        <v>74</v>
      </c>
      <c r="Y468" t="b">
        <v>0</v>
      </c>
      <c r="Z468" t="b">
        <v>0</v>
      </c>
      <c r="AB468" t="s">
        <v>7222</v>
      </c>
      <c r="AC468" s="1">
        <v>41263</v>
      </c>
      <c r="AF468">
        <v>0</v>
      </c>
      <c r="AG468">
        <v>45</v>
      </c>
      <c r="AH468">
        <v>216</v>
      </c>
      <c r="AI468" s="2">
        <f>Table__192.168.3.138AgingReportBEWLGS[[#This Row],[NetAmount]]-Table__192.168.3.138AgingReportBEWLGS[[#This Row],[Paid]]</f>
        <v>68353</v>
      </c>
    </row>
    <row r="469" spans="1:35">
      <c r="A469" t="s">
        <v>7223</v>
      </c>
      <c r="B469" s="1">
        <v>41106</v>
      </c>
      <c r="C469" s="1">
        <v>41151</v>
      </c>
      <c r="D469" t="s">
        <v>6369</v>
      </c>
      <c r="E469">
        <v>840495</v>
      </c>
      <c r="F469">
        <v>134479</v>
      </c>
      <c r="G469">
        <v>0</v>
      </c>
      <c r="H469">
        <v>973699</v>
      </c>
      <c r="I469">
        <v>162</v>
      </c>
      <c r="J469">
        <v>974974</v>
      </c>
      <c r="K469" t="s">
        <v>7224</v>
      </c>
      <c r="L469" s="1">
        <v>41106</v>
      </c>
      <c r="N469" t="s">
        <v>5127</v>
      </c>
      <c r="O469" t="s">
        <v>2458</v>
      </c>
      <c r="P469" t="s">
        <v>5508</v>
      </c>
      <c r="Q469" t="s">
        <v>39</v>
      </c>
      <c r="R469" t="s">
        <v>40</v>
      </c>
      <c r="S469">
        <v>0</v>
      </c>
      <c r="T469" t="s">
        <v>7225</v>
      </c>
      <c r="U469" t="s">
        <v>5550</v>
      </c>
      <c r="V469" t="s">
        <v>1797</v>
      </c>
      <c r="X469" t="s">
        <v>74</v>
      </c>
      <c r="Y469" t="b">
        <v>0</v>
      </c>
      <c r="Z469" t="b">
        <v>0</v>
      </c>
      <c r="AC469" s="1"/>
      <c r="AF469">
        <v>0</v>
      </c>
      <c r="AG469">
        <v>45</v>
      </c>
      <c r="AH469">
        <v>207</v>
      </c>
      <c r="AI469" s="2">
        <f>Table__192.168.3.138AgingReportBEWLGS[[#This Row],[NetAmount]]-Table__192.168.3.138AgingReportBEWLGS[[#This Row],[Paid]]</f>
        <v>974974</v>
      </c>
    </row>
    <row r="470" spans="1:35">
      <c r="A470" t="s">
        <v>7226</v>
      </c>
      <c r="B470" s="1">
        <v>41106</v>
      </c>
      <c r="C470" s="1">
        <v>41151</v>
      </c>
      <c r="D470" t="s">
        <v>6474</v>
      </c>
      <c r="E470">
        <v>108323</v>
      </c>
      <c r="F470">
        <v>17332</v>
      </c>
      <c r="G470">
        <v>0</v>
      </c>
      <c r="H470">
        <v>0</v>
      </c>
      <c r="I470">
        <v>158</v>
      </c>
      <c r="J470">
        <v>125655</v>
      </c>
      <c r="K470" t="s">
        <v>7227</v>
      </c>
      <c r="L470" s="1">
        <v>41110</v>
      </c>
      <c r="N470" t="s">
        <v>5127</v>
      </c>
      <c r="O470" t="s">
        <v>2458</v>
      </c>
      <c r="P470" t="s">
        <v>6475</v>
      </c>
      <c r="Q470" t="s">
        <v>39</v>
      </c>
      <c r="R470" t="s">
        <v>40</v>
      </c>
      <c r="S470">
        <v>0</v>
      </c>
      <c r="U470" t="s">
        <v>5550</v>
      </c>
      <c r="V470" t="s">
        <v>1797</v>
      </c>
      <c r="X470" t="s">
        <v>74</v>
      </c>
      <c r="Y470" t="b">
        <v>0</v>
      </c>
      <c r="Z470" t="b">
        <v>0</v>
      </c>
      <c r="AB470" t="s">
        <v>7222</v>
      </c>
      <c r="AC470" s="1">
        <v>41263</v>
      </c>
      <c r="AF470">
        <v>0</v>
      </c>
      <c r="AG470">
        <v>45</v>
      </c>
      <c r="AH470">
        <v>203</v>
      </c>
      <c r="AI470" s="2">
        <f>Table__192.168.3.138AgingReportBEWLGS[[#This Row],[NetAmount]]-Table__192.168.3.138AgingReportBEWLGS[[#This Row],[Paid]]</f>
        <v>125655</v>
      </c>
    </row>
    <row r="471" spans="1:35">
      <c r="A471" t="s">
        <v>7228</v>
      </c>
      <c r="B471" s="1">
        <v>41106</v>
      </c>
      <c r="C471" s="1">
        <v>41151</v>
      </c>
      <c r="D471" t="s">
        <v>6474</v>
      </c>
      <c r="E471">
        <v>60176</v>
      </c>
      <c r="F471">
        <v>9628</v>
      </c>
      <c r="G471">
        <v>0</v>
      </c>
      <c r="H471">
        <v>0</v>
      </c>
      <c r="I471">
        <v>158</v>
      </c>
      <c r="J471">
        <v>73804</v>
      </c>
      <c r="K471" t="s">
        <v>7229</v>
      </c>
      <c r="L471" s="1">
        <v>41110</v>
      </c>
      <c r="N471" t="s">
        <v>5127</v>
      </c>
      <c r="O471" t="s">
        <v>2458</v>
      </c>
      <c r="P471" t="s">
        <v>6475</v>
      </c>
      <c r="Q471" t="s">
        <v>39</v>
      </c>
      <c r="R471" t="s">
        <v>40</v>
      </c>
      <c r="S471">
        <v>0</v>
      </c>
      <c r="U471" t="s">
        <v>5550</v>
      </c>
      <c r="V471" t="s">
        <v>1797</v>
      </c>
      <c r="X471" t="s">
        <v>74</v>
      </c>
      <c r="Y471" t="b">
        <v>0</v>
      </c>
      <c r="Z471" t="b">
        <v>0</v>
      </c>
      <c r="AB471" t="s">
        <v>7222</v>
      </c>
      <c r="AC471" s="1">
        <v>41263</v>
      </c>
      <c r="AF471">
        <v>0</v>
      </c>
      <c r="AG471">
        <v>45</v>
      </c>
      <c r="AH471">
        <v>203</v>
      </c>
      <c r="AI471" s="2">
        <f>Table__192.168.3.138AgingReportBEWLGS[[#This Row],[NetAmount]]-Table__192.168.3.138AgingReportBEWLGS[[#This Row],[Paid]]</f>
        <v>73804</v>
      </c>
    </row>
    <row r="472" spans="1:35">
      <c r="A472" t="s">
        <v>7230</v>
      </c>
      <c r="B472" s="1">
        <v>41108</v>
      </c>
      <c r="C472" s="1">
        <v>41153</v>
      </c>
      <c r="D472" t="s">
        <v>6654</v>
      </c>
      <c r="E472">
        <v>76375</v>
      </c>
      <c r="F472">
        <v>12220</v>
      </c>
      <c r="G472">
        <v>0</v>
      </c>
      <c r="H472">
        <v>0</v>
      </c>
      <c r="I472">
        <v>160</v>
      </c>
      <c r="J472">
        <v>88595</v>
      </c>
      <c r="K472" t="s">
        <v>7231</v>
      </c>
      <c r="L472" s="1">
        <v>41108</v>
      </c>
      <c r="N472" t="s">
        <v>5127</v>
      </c>
      <c r="O472" t="s">
        <v>2458</v>
      </c>
      <c r="P472" t="s">
        <v>6656</v>
      </c>
      <c r="Q472" t="s">
        <v>39</v>
      </c>
      <c r="R472" t="s">
        <v>40</v>
      </c>
      <c r="S472">
        <v>0</v>
      </c>
      <c r="U472" t="s">
        <v>5550</v>
      </c>
      <c r="V472" t="s">
        <v>1797</v>
      </c>
      <c r="X472" t="s">
        <v>74</v>
      </c>
      <c r="Y472" t="b">
        <v>0</v>
      </c>
      <c r="Z472" t="b">
        <v>0</v>
      </c>
      <c r="AB472" t="s">
        <v>6657</v>
      </c>
      <c r="AC472" s="1">
        <v>41253</v>
      </c>
      <c r="AF472">
        <v>0</v>
      </c>
      <c r="AG472">
        <v>45</v>
      </c>
      <c r="AH472">
        <v>205</v>
      </c>
      <c r="AI472" s="2">
        <f>Table__192.168.3.138AgingReportBEWLGS[[#This Row],[NetAmount]]-Table__192.168.3.138AgingReportBEWLGS[[#This Row],[Paid]]</f>
        <v>88595</v>
      </c>
    </row>
    <row r="473" spans="1:35">
      <c r="A473" t="s">
        <v>7232</v>
      </c>
      <c r="B473" s="1">
        <v>41091</v>
      </c>
      <c r="C473" s="1">
        <v>41136</v>
      </c>
      <c r="D473" t="s">
        <v>249</v>
      </c>
      <c r="E473">
        <v>75000</v>
      </c>
      <c r="F473">
        <v>0</v>
      </c>
      <c r="G473">
        <v>0</v>
      </c>
      <c r="H473">
        <v>0</v>
      </c>
      <c r="I473">
        <v>173</v>
      </c>
      <c r="J473">
        <v>75000</v>
      </c>
      <c r="K473" t="s">
        <v>7233</v>
      </c>
      <c r="L473" s="1">
        <v>41095</v>
      </c>
      <c r="N473" t="s">
        <v>5127</v>
      </c>
      <c r="O473" t="s">
        <v>2458</v>
      </c>
      <c r="P473" t="s">
        <v>6422</v>
      </c>
      <c r="Q473" t="s">
        <v>39</v>
      </c>
      <c r="R473" t="s">
        <v>40</v>
      </c>
      <c r="S473">
        <v>0</v>
      </c>
      <c r="U473" t="s">
        <v>5550</v>
      </c>
      <c r="V473" t="s">
        <v>1797</v>
      </c>
      <c r="X473" t="s">
        <v>74</v>
      </c>
      <c r="Y473" t="b">
        <v>0</v>
      </c>
      <c r="Z473" t="b">
        <v>0</v>
      </c>
      <c r="AC473" s="1"/>
      <c r="AF473">
        <v>0</v>
      </c>
      <c r="AG473">
        <v>45</v>
      </c>
      <c r="AH473">
        <v>218</v>
      </c>
      <c r="AI473" s="2">
        <f>Table__192.168.3.138AgingReportBEWLGS[[#This Row],[NetAmount]]-Table__192.168.3.138AgingReportBEWLGS[[#This Row],[Paid]]</f>
        <v>75000</v>
      </c>
    </row>
    <row r="474" spans="1:35">
      <c r="A474" t="s">
        <v>7234</v>
      </c>
      <c r="B474" s="1">
        <v>41106</v>
      </c>
      <c r="C474" s="1">
        <v>41151</v>
      </c>
      <c r="D474" t="s">
        <v>6610</v>
      </c>
      <c r="E474">
        <v>45881</v>
      </c>
      <c r="F474">
        <v>0</v>
      </c>
      <c r="G474">
        <v>0</v>
      </c>
      <c r="H474">
        <v>0</v>
      </c>
      <c r="I474">
        <v>162</v>
      </c>
      <c r="J474">
        <v>45881</v>
      </c>
      <c r="K474" t="s">
        <v>7235</v>
      </c>
      <c r="L474" s="1">
        <v>41106</v>
      </c>
      <c r="N474" t="s">
        <v>5127</v>
      </c>
      <c r="O474" t="s">
        <v>2458</v>
      </c>
      <c r="P474" t="s">
        <v>6612</v>
      </c>
      <c r="Q474" t="s">
        <v>39</v>
      </c>
      <c r="R474" t="s">
        <v>40</v>
      </c>
      <c r="S474">
        <v>0</v>
      </c>
      <c r="U474" t="s">
        <v>5550</v>
      </c>
      <c r="V474" t="s">
        <v>1797</v>
      </c>
      <c r="X474" t="s">
        <v>74</v>
      </c>
      <c r="Y474" t="b">
        <v>0</v>
      </c>
      <c r="Z474" t="b">
        <v>0</v>
      </c>
      <c r="AC474" s="1"/>
      <c r="AF474">
        <v>0</v>
      </c>
      <c r="AG474">
        <v>45</v>
      </c>
      <c r="AH474">
        <v>207</v>
      </c>
      <c r="AI474" s="2">
        <f>Table__192.168.3.138AgingReportBEWLGS[[#This Row],[NetAmount]]-Table__192.168.3.138AgingReportBEWLGS[[#This Row],[Paid]]</f>
        <v>45881</v>
      </c>
    </row>
    <row r="475" spans="1:35">
      <c r="A475" t="s">
        <v>7236</v>
      </c>
      <c r="B475" s="1">
        <v>41115</v>
      </c>
      <c r="C475" s="1">
        <v>41160</v>
      </c>
      <c r="D475" t="s">
        <v>6577</v>
      </c>
      <c r="E475">
        <v>162000</v>
      </c>
      <c r="F475">
        <v>25920</v>
      </c>
      <c r="G475">
        <v>0</v>
      </c>
      <c r="H475">
        <v>0</v>
      </c>
      <c r="I475">
        <v>157</v>
      </c>
      <c r="J475">
        <v>187920</v>
      </c>
      <c r="K475" t="s">
        <v>7237</v>
      </c>
      <c r="L475" s="1">
        <v>41111</v>
      </c>
      <c r="N475" t="s">
        <v>5127</v>
      </c>
      <c r="O475" t="s">
        <v>2458</v>
      </c>
      <c r="P475" t="s">
        <v>6579</v>
      </c>
      <c r="Q475" t="s">
        <v>39</v>
      </c>
      <c r="R475" t="s">
        <v>40</v>
      </c>
      <c r="S475">
        <v>0</v>
      </c>
      <c r="U475" t="s">
        <v>5550</v>
      </c>
      <c r="V475" t="s">
        <v>1797</v>
      </c>
      <c r="X475" t="s">
        <v>74</v>
      </c>
      <c r="Y475" t="b">
        <v>0</v>
      </c>
      <c r="Z475" t="b">
        <v>0</v>
      </c>
      <c r="AC475" s="1"/>
      <c r="AF475">
        <v>0</v>
      </c>
      <c r="AG475">
        <v>45</v>
      </c>
      <c r="AH475">
        <v>202</v>
      </c>
      <c r="AI475" s="2">
        <f>Table__192.168.3.138AgingReportBEWLGS[[#This Row],[NetAmount]]-Table__192.168.3.138AgingReportBEWLGS[[#This Row],[Paid]]</f>
        <v>187920</v>
      </c>
    </row>
    <row r="476" spans="1:35">
      <c r="A476" t="s">
        <v>7238</v>
      </c>
      <c r="B476" s="1">
        <v>41104</v>
      </c>
      <c r="C476" s="1">
        <v>41149</v>
      </c>
      <c r="D476" t="s">
        <v>6664</v>
      </c>
      <c r="E476">
        <v>78691</v>
      </c>
      <c r="F476">
        <v>12591</v>
      </c>
      <c r="G476">
        <v>0</v>
      </c>
      <c r="H476">
        <v>0</v>
      </c>
      <c r="I476">
        <v>164</v>
      </c>
      <c r="J476">
        <v>91282</v>
      </c>
      <c r="K476" t="s">
        <v>863</v>
      </c>
      <c r="L476" s="1">
        <v>41104</v>
      </c>
      <c r="N476" t="s">
        <v>5127</v>
      </c>
      <c r="O476" t="s">
        <v>2458</v>
      </c>
      <c r="P476" t="s">
        <v>5528</v>
      </c>
      <c r="Q476" t="s">
        <v>39</v>
      </c>
      <c r="R476" t="s">
        <v>40</v>
      </c>
      <c r="S476">
        <v>0</v>
      </c>
      <c r="U476" t="s">
        <v>5550</v>
      </c>
      <c r="V476" t="s">
        <v>1797</v>
      </c>
      <c r="X476" t="s">
        <v>74</v>
      </c>
      <c r="Y476" t="b">
        <v>0</v>
      </c>
      <c r="Z476" t="b">
        <v>0</v>
      </c>
      <c r="AC476" s="1"/>
      <c r="AF476">
        <v>0</v>
      </c>
      <c r="AG476">
        <v>45</v>
      </c>
      <c r="AH476">
        <v>209</v>
      </c>
      <c r="AI476" s="2">
        <f>Table__192.168.3.138AgingReportBEWLGS[[#This Row],[NetAmount]]-Table__192.168.3.138AgingReportBEWLGS[[#This Row],[Paid]]</f>
        <v>91282</v>
      </c>
    </row>
    <row r="477" spans="1:35">
      <c r="A477" t="s">
        <v>7239</v>
      </c>
      <c r="B477" s="1">
        <v>41121</v>
      </c>
      <c r="C477" s="1">
        <v>41166</v>
      </c>
      <c r="D477" t="s">
        <v>6425</v>
      </c>
      <c r="E477">
        <v>3900</v>
      </c>
      <c r="F477">
        <v>624</v>
      </c>
      <c r="G477">
        <v>0</v>
      </c>
      <c r="H477">
        <v>0</v>
      </c>
      <c r="I477">
        <v>160</v>
      </c>
      <c r="J477">
        <v>4524</v>
      </c>
      <c r="K477" t="s">
        <v>7240</v>
      </c>
      <c r="L477" s="1">
        <v>41108</v>
      </c>
      <c r="N477" t="s">
        <v>5127</v>
      </c>
      <c r="O477" t="s">
        <v>2458</v>
      </c>
      <c r="P477" t="s">
        <v>5478</v>
      </c>
      <c r="Q477" t="s">
        <v>39</v>
      </c>
      <c r="R477" t="s">
        <v>40</v>
      </c>
      <c r="S477">
        <v>0</v>
      </c>
      <c r="U477" t="s">
        <v>5550</v>
      </c>
      <c r="V477" t="s">
        <v>1797</v>
      </c>
      <c r="X477" t="s">
        <v>74</v>
      </c>
      <c r="Y477" t="b">
        <v>0</v>
      </c>
      <c r="Z477" t="b">
        <v>0</v>
      </c>
      <c r="AC477" s="1"/>
      <c r="AF477">
        <v>0</v>
      </c>
      <c r="AG477">
        <v>45</v>
      </c>
      <c r="AH477">
        <v>205</v>
      </c>
      <c r="AI477" s="2">
        <f>Table__192.168.3.138AgingReportBEWLGS[[#This Row],[NetAmount]]-Table__192.168.3.138AgingReportBEWLGS[[#This Row],[Paid]]</f>
        <v>4524</v>
      </c>
    </row>
    <row r="478" spans="1:35">
      <c r="A478" t="s">
        <v>7241</v>
      </c>
      <c r="B478" s="1">
        <v>41120</v>
      </c>
      <c r="C478" s="1">
        <v>41165</v>
      </c>
      <c r="D478" t="s">
        <v>249</v>
      </c>
      <c r="E478">
        <v>7200</v>
      </c>
      <c r="F478">
        <v>0</v>
      </c>
      <c r="G478">
        <v>0</v>
      </c>
      <c r="H478">
        <v>0</v>
      </c>
      <c r="I478">
        <v>148</v>
      </c>
      <c r="J478">
        <v>7200</v>
      </c>
      <c r="K478" t="s">
        <v>7242</v>
      </c>
      <c r="L478" s="1">
        <v>41120</v>
      </c>
      <c r="N478" t="s">
        <v>5127</v>
      </c>
      <c r="O478" t="s">
        <v>2458</v>
      </c>
      <c r="P478" t="s">
        <v>6422</v>
      </c>
      <c r="Q478" t="s">
        <v>39</v>
      </c>
      <c r="R478" t="s">
        <v>40</v>
      </c>
      <c r="S478">
        <v>0</v>
      </c>
      <c r="U478" t="s">
        <v>5550</v>
      </c>
      <c r="V478" t="s">
        <v>1797</v>
      </c>
      <c r="X478" t="s">
        <v>74</v>
      </c>
      <c r="Y478" t="b">
        <v>0</v>
      </c>
      <c r="Z478" t="b">
        <v>0</v>
      </c>
      <c r="AC478" s="1"/>
      <c r="AF478">
        <v>0</v>
      </c>
      <c r="AG478">
        <v>45</v>
      </c>
      <c r="AH478">
        <v>193</v>
      </c>
      <c r="AI478" s="2">
        <f>Table__192.168.3.138AgingReportBEWLGS[[#This Row],[NetAmount]]-Table__192.168.3.138AgingReportBEWLGS[[#This Row],[Paid]]</f>
        <v>7200</v>
      </c>
    </row>
    <row r="479" spans="1:35">
      <c r="A479" t="s">
        <v>7243</v>
      </c>
      <c r="B479" s="1">
        <v>41099</v>
      </c>
      <c r="C479" s="1">
        <v>41144</v>
      </c>
      <c r="D479" t="s">
        <v>6448</v>
      </c>
      <c r="E479">
        <v>23800</v>
      </c>
      <c r="F479">
        <v>3808</v>
      </c>
      <c r="G479">
        <v>0</v>
      </c>
      <c r="H479">
        <v>0</v>
      </c>
      <c r="I479">
        <v>169</v>
      </c>
      <c r="J479">
        <v>27608</v>
      </c>
      <c r="K479" t="s">
        <v>7244</v>
      </c>
      <c r="L479" s="1">
        <v>41099</v>
      </c>
      <c r="N479" t="s">
        <v>5127</v>
      </c>
      <c r="O479" t="s">
        <v>2458</v>
      </c>
      <c r="P479" t="s">
        <v>6451</v>
      </c>
      <c r="Q479" t="s">
        <v>39</v>
      </c>
      <c r="R479" t="s">
        <v>40</v>
      </c>
      <c r="S479">
        <v>0</v>
      </c>
      <c r="U479" t="s">
        <v>5550</v>
      </c>
      <c r="V479" t="s">
        <v>1797</v>
      </c>
      <c r="X479" t="s">
        <v>74</v>
      </c>
      <c r="Y479" t="b">
        <v>0</v>
      </c>
      <c r="Z479" t="b">
        <v>0</v>
      </c>
      <c r="AC479" s="1"/>
      <c r="AF479">
        <v>0</v>
      </c>
      <c r="AG479">
        <v>45</v>
      </c>
      <c r="AH479">
        <v>214</v>
      </c>
      <c r="AI479" s="2">
        <f>Table__192.168.3.138AgingReportBEWLGS[[#This Row],[NetAmount]]-Table__192.168.3.138AgingReportBEWLGS[[#This Row],[Paid]]</f>
        <v>27608</v>
      </c>
    </row>
    <row r="480" spans="1:35">
      <c r="A480" t="s">
        <v>7245</v>
      </c>
      <c r="B480" s="1">
        <v>41091</v>
      </c>
      <c r="C480" s="1">
        <v>41136</v>
      </c>
      <c r="D480" t="s">
        <v>6448</v>
      </c>
      <c r="E480">
        <v>35700</v>
      </c>
      <c r="F480">
        <v>5712</v>
      </c>
      <c r="G480">
        <v>0</v>
      </c>
      <c r="H480">
        <v>0</v>
      </c>
      <c r="I480">
        <v>167</v>
      </c>
      <c r="J480">
        <v>41412</v>
      </c>
      <c r="K480" t="s">
        <v>4525</v>
      </c>
      <c r="L480" s="1">
        <v>41101</v>
      </c>
      <c r="N480" t="s">
        <v>5127</v>
      </c>
      <c r="O480" t="s">
        <v>2458</v>
      </c>
      <c r="P480" t="s">
        <v>6451</v>
      </c>
      <c r="Q480" t="s">
        <v>39</v>
      </c>
      <c r="R480" t="s">
        <v>40</v>
      </c>
      <c r="S480">
        <v>0</v>
      </c>
      <c r="U480" t="s">
        <v>5550</v>
      </c>
      <c r="V480" t="s">
        <v>1797</v>
      </c>
      <c r="X480" t="s">
        <v>74</v>
      </c>
      <c r="Y480" t="b">
        <v>0</v>
      </c>
      <c r="Z480" t="b">
        <v>0</v>
      </c>
      <c r="AC480" s="1"/>
      <c r="AF480">
        <v>0</v>
      </c>
      <c r="AG480">
        <v>45</v>
      </c>
      <c r="AH480">
        <v>212</v>
      </c>
      <c r="AI480" s="2">
        <f>Table__192.168.3.138AgingReportBEWLGS[[#This Row],[NetAmount]]-Table__192.168.3.138AgingReportBEWLGS[[#This Row],[Paid]]</f>
        <v>41412</v>
      </c>
    </row>
    <row r="481" spans="1:35">
      <c r="A481" t="s">
        <v>7246</v>
      </c>
      <c r="B481" s="1">
        <v>41104</v>
      </c>
      <c r="C481" s="1">
        <v>41149</v>
      </c>
      <c r="D481" t="s">
        <v>6448</v>
      </c>
      <c r="E481">
        <v>19040</v>
      </c>
      <c r="F481">
        <v>3046</v>
      </c>
      <c r="G481">
        <v>0</v>
      </c>
      <c r="H481">
        <v>0</v>
      </c>
      <c r="I481">
        <v>164</v>
      </c>
      <c r="J481">
        <v>22086</v>
      </c>
      <c r="K481" t="s">
        <v>5267</v>
      </c>
      <c r="L481" s="1">
        <v>41104</v>
      </c>
      <c r="N481" t="s">
        <v>5127</v>
      </c>
      <c r="O481" t="s">
        <v>2458</v>
      </c>
      <c r="P481" t="s">
        <v>6451</v>
      </c>
      <c r="Q481" t="s">
        <v>39</v>
      </c>
      <c r="R481" t="s">
        <v>40</v>
      </c>
      <c r="S481">
        <v>0</v>
      </c>
      <c r="U481" t="s">
        <v>5550</v>
      </c>
      <c r="V481" t="s">
        <v>1797</v>
      </c>
      <c r="X481" t="s">
        <v>74</v>
      </c>
      <c r="Y481" t="b">
        <v>0</v>
      </c>
      <c r="Z481" t="b">
        <v>0</v>
      </c>
      <c r="AC481" s="1"/>
      <c r="AF481">
        <v>0</v>
      </c>
      <c r="AG481">
        <v>45</v>
      </c>
      <c r="AH481">
        <v>209</v>
      </c>
      <c r="AI481" s="2">
        <f>Table__192.168.3.138AgingReportBEWLGS[[#This Row],[NetAmount]]-Table__192.168.3.138AgingReportBEWLGS[[#This Row],[Paid]]</f>
        <v>22086</v>
      </c>
    </row>
    <row r="482" spans="1:35">
      <c r="A482" t="s">
        <v>7247</v>
      </c>
      <c r="B482" s="1">
        <v>41111</v>
      </c>
      <c r="C482" s="1">
        <v>41156</v>
      </c>
      <c r="D482" t="s">
        <v>6448</v>
      </c>
      <c r="E482">
        <v>19040</v>
      </c>
      <c r="F482">
        <v>3046</v>
      </c>
      <c r="G482">
        <v>0</v>
      </c>
      <c r="H482">
        <v>0</v>
      </c>
      <c r="I482">
        <v>157</v>
      </c>
      <c r="J482">
        <v>22086</v>
      </c>
      <c r="K482" t="s">
        <v>83</v>
      </c>
      <c r="L482" s="1">
        <v>41111</v>
      </c>
      <c r="N482" t="s">
        <v>5127</v>
      </c>
      <c r="O482" t="s">
        <v>2458</v>
      </c>
      <c r="P482" t="s">
        <v>6451</v>
      </c>
      <c r="Q482" t="s">
        <v>39</v>
      </c>
      <c r="R482" t="s">
        <v>40</v>
      </c>
      <c r="S482">
        <v>0</v>
      </c>
      <c r="U482" t="s">
        <v>5550</v>
      </c>
      <c r="V482" t="s">
        <v>1797</v>
      </c>
      <c r="X482" t="s">
        <v>74</v>
      </c>
      <c r="Y482" t="b">
        <v>0</v>
      </c>
      <c r="Z482" t="b">
        <v>0</v>
      </c>
      <c r="AC482" s="1"/>
      <c r="AF482">
        <v>0</v>
      </c>
      <c r="AG482">
        <v>45</v>
      </c>
      <c r="AH482">
        <v>202</v>
      </c>
      <c r="AI482" s="2">
        <f>Table__192.168.3.138AgingReportBEWLGS[[#This Row],[NetAmount]]-Table__192.168.3.138AgingReportBEWLGS[[#This Row],[Paid]]</f>
        <v>22086</v>
      </c>
    </row>
    <row r="483" spans="1:35">
      <c r="A483" t="s">
        <v>7248</v>
      </c>
      <c r="B483" s="1">
        <v>41116</v>
      </c>
      <c r="C483" s="1">
        <v>41161</v>
      </c>
      <c r="D483" t="s">
        <v>6448</v>
      </c>
      <c r="E483">
        <v>19040</v>
      </c>
      <c r="F483">
        <v>3046</v>
      </c>
      <c r="G483">
        <v>0</v>
      </c>
      <c r="H483">
        <v>0</v>
      </c>
      <c r="I483">
        <v>152</v>
      </c>
      <c r="J483">
        <v>22086</v>
      </c>
      <c r="K483" t="s">
        <v>3507</v>
      </c>
      <c r="L483" s="1">
        <v>41116</v>
      </c>
      <c r="N483" t="s">
        <v>5127</v>
      </c>
      <c r="O483" t="s">
        <v>2458</v>
      </c>
      <c r="P483" t="s">
        <v>6451</v>
      </c>
      <c r="Q483" t="s">
        <v>39</v>
      </c>
      <c r="R483" t="s">
        <v>40</v>
      </c>
      <c r="S483">
        <v>0</v>
      </c>
      <c r="U483" t="s">
        <v>5550</v>
      </c>
      <c r="V483" t="s">
        <v>1797</v>
      </c>
      <c r="X483" t="s">
        <v>74</v>
      </c>
      <c r="Y483" t="b">
        <v>0</v>
      </c>
      <c r="Z483" t="b">
        <v>0</v>
      </c>
      <c r="AC483" s="1"/>
      <c r="AF483">
        <v>0</v>
      </c>
      <c r="AG483">
        <v>45</v>
      </c>
      <c r="AH483">
        <v>197</v>
      </c>
      <c r="AI483" s="2">
        <f>Table__192.168.3.138AgingReportBEWLGS[[#This Row],[NetAmount]]-Table__192.168.3.138AgingReportBEWLGS[[#This Row],[Paid]]</f>
        <v>22086</v>
      </c>
    </row>
    <row r="484" spans="1:35">
      <c r="A484" t="s">
        <v>7249</v>
      </c>
      <c r="B484" s="1">
        <v>41120</v>
      </c>
      <c r="C484" s="1">
        <v>41165</v>
      </c>
      <c r="D484" t="s">
        <v>7250</v>
      </c>
      <c r="E484">
        <v>77490</v>
      </c>
      <c r="F484">
        <v>12398</v>
      </c>
      <c r="G484">
        <v>0</v>
      </c>
      <c r="H484">
        <v>0</v>
      </c>
      <c r="I484">
        <v>147</v>
      </c>
      <c r="J484">
        <v>89888</v>
      </c>
      <c r="K484" t="s">
        <v>7251</v>
      </c>
      <c r="L484" s="1">
        <v>41121</v>
      </c>
      <c r="N484" t="s">
        <v>5127</v>
      </c>
      <c r="O484" t="s">
        <v>2458</v>
      </c>
      <c r="P484" t="s">
        <v>5526</v>
      </c>
      <c r="Q484" t="s">
        <v>39</v>
      </c>
      <c r="R484" t="s">
        <v>40</v>
      </c>
      <c r="S484">
        <v>0</v>
      </c>
      <c r="U484" t="s">
        <v>5550</v>
      </c>
      <c r="V484" t="s">
        <v>1797</v>
      </c>
      <c r="X484" t="s">
        <v>74</v>
      </c>
      <c r="Y484" t="b">
        <v>0</v>
      </c>
      <c r="Z484" t="b">
        <v>0</v>
      </c>
      <c r="AC484" s="1"/>
      <c r="AF484">
        <v>0</v>
      </c>
      <c r="AG484">
        <v>45</v>
      </c>
      <c r="AH484">
        <v>192</v>
      </c>
      <c r="AI484" s="2">
        <f>Table__192.168.3.138AgingReportBEWLGS[[#This Row],[NetAmount]]-Table__192.168.3.138AgingReportBEWLGS[[#This Row],[Paid]]</f>
        <v>89888</v>
      </c>
    </row>
    <row r="485" spans="1:35">
      <c r="A485" t="s">
        <v>7252</v>
      </c>
      <c r="B485" s="1">
        <v>41121</v>
      </c>
      <c r="C485" s="1">
        <v>41166</v>
      </c>
      <c r="D485" t="s">
        <v>7253</v>
      </c>
      <c r="E485">
        <v>103625</v>
      </c>
      <c r="F485">
        <v>0</v>
      </c>
      <c r="G485">
        <v>0</v>
      </c>
      <c r="H485">
        <v>0</v>
      </c>
      <c r="I485">
        <v>148</v>
      </c>
      <c r="J485">
        <v>103625</v>
      </c>
      <c r="K485" t="s">
        <v>6669</v>
      </c>
      <c r="L485" s="1">
        <v>41120</v>
      </c>
      <c r="N485" t="s">
        <v>5127</v>
      </c>
      <c r="O485" t="s">
        <v>2458</v>
      </c>
      <c r="P485" t="s">
        <v>7254</v>
      </c>
      <c r="Q485" t="s">
        <v>39</v>
      </c>
      <c r="R485" t="s">
        <v>40</v>
      </c>
      <c r="S485">
        <v>0</v>
      </c>
      <c r="U485" t="s">
        <v>5550</v>
      </c>
      <c r="V485" t="s">
        <v>1797</v>
      </c>
      <c r="X485" t="s">
        <v>74</v>
      </c>
      <c r="Y485" t="b">
        <v>0</v>
      </c>
      <c r="Z485" t="b">
        <v>0</v>
      </c>
      <c r="AC485" s="1"/>
      <c r="AF485">
        <v>0</v>
      </c>
      <c r="AG485">
        <v>45</v>
      </c>
      <c r="AH485">
        <v>193</v>
      </c>
      <c r="AI485" s="2">
        <f>Table__192.168.3.138AgingReportBEWLGS[[#This Row],[NetAmount]]-Table__192.168.3.138AgingReportBEWLGS[[#This Row],[Paid]]</f>
        <v>103625</v>
      </c>
    </row>
    <row r="486" spans="1:35">
      <c r="A486" t="s">
        <v>7255</v>
      </c>
      <c r="B486" s="1">
        <v>41121</v>
      </c>
      <c r="C486" s="1">
        <v>41166</v>
      </c>
      <c r="D486" t="s">
        <v>6448</v>
      </c>
      <c r="E486">
        <v>14350</v>
      </c>
      <c r="F486">
        <v>2285</v>
      </c>
      <c r="G486">
        <v>0</v>
      </c>
      <c r="H486">
        <v>0</v>
      </c>
      <c r="I486">
        <v>148</v>
      </c>
      <c r="J486">
        <v>16565</v>
      </c>
      <c r="K486" t="s">
        <v>905</v>
      </c>
      <c r="L486" s="1">
        <v>41120</v>
      </c>
      <c r="N486" t="s">
        <v>5127</v>
      </c>
      <c r="O486" t="s">
        <v>2458</v>
      </c>
      <c r="P486" t="s">
        <v>6451</v>
      </c>
      <c r="Q486" t="s">
        <v>39</v>
      </c>
      <c r="R486" t="s">
        <v>40</v>
      </c>
      <c r="S486">
        <v>0</v>
      </c>
      <c r="U486" t="s">
        <v>5550</v>
      </c>
      <c r="V486" t="s">
        <v>1797</v>
      </c>
      <c r="X486" t="s">
        <v>74</v>
      </c>
      <c r="Y486" t="b">
        <v>0</v>
      </c>
      <c r="Z486" t="b">
        <v>0</v>
      </c>
      <c r="AC486" s="1"/>
      <c r="AF486">
        <v>0</v>
      </c>
      <c r="AG486">
        <v>45</v>
      </c>
      <c r="AH486">
        <v>193</v>
      </c>
      <c r="AI486" s="2">
        <f>Table__192.168.3.138AgingReportBEWLGS[[#This Row],[NetAmount]]-Table__192.168.3.138AgingReportBEWLGS[[#This Row],[Paid]]</f>
        <v>16565</v>
      </c>
    </row>
    <row r="487" spans="1:35">
      <c r="A487" t="s">
        <v>7256</v>
      </c>
      <c r="B487" s="1">
        <v>41093</v>
      </c>
      <c r="C487" s="1">
        <v>41138</v>
      </c>
      <c r="D487" t="s">
        <v>6703</v>
      </c>
      <c r="E487">
        <v>860238</v>
      </c>
      <c r="F487">
        <v>137638</v>
      </c>
      <c r="G487">
        <v>0</v>
      </c>
      <c r="H487">
        <v>0</v>
      </c>
      <c r="I487">
        <v>159</v>
      </c>
      <c r="J487">
        <v>997876</v>
      </c>
      <c r="K487" t="s">
        <v>7257</v>
      </c>
      <c r="L487" s="1">
        <v>41109</v>
      </c>
      <c r="N487" t="s">
        <v>5127</v>
      </c>
      <c r="O487" t="s">
        <v>2458</v>
      </c>
      <c r="P487" t="s">
        <v>6705</v>
      </c>
      <c r="Q487" t="s">
        <v>39</v>
      </c>
      <c r="R487" t="s">
        <v>40</v>
      </c>
      <c r="S487">
        <v>0</v>
      </c>
      <c r="U487" t="s">
        <v>5550</v>
      </c>
      <c r="V487" t="s">
        <v>1797</v>
      </c>
      <c r="X487" t="s">
        <v>74</v>
      </c>
      <c r="Y487" t="b">
        <v>0</v>
      </c>
      <c r="Z487" t="b">
        <v>0</v>
      </c>
      <c r="AB487" t="s">
        <v>7258</v>
      </c>
      <c r="AC487" s="1">
        <v>41158</v>
      </c>
      <c r="AD487" t="s">
        <v>7259</v>
      </c>
      <c r="AE487" t="s">
        <v>7260</v>
      </c>
      <c r="AF487">
        <v>542758</v>
      </c>
      <c r="AG487">
        <v>45</v>
      </c>
      <c r="AH487">
        <v>204</v>
      </c>
      <c r="AI487" s="2">
        <f>Table__192.168.3.138AgingReportBEWLGS[[#This Row],[NetAmount]]-Table__192.168.3.138AgingReportBEWLGS[[#This Row],[Paid]]</f>
        <v>455118</v>
      </c>
    </row>
    <row r="488" spans="1:35">
      <c r="A488" t="s">
        <v>7261</v>
      </c>
      <c r="B488" s="1">
        <v>41102</v>
      </c>
      <c r="C488" s="1">
        <v>41147</v>
      </c>
      <c r="D488" t="s">
        <v>6474</v>
      </c>
      <c r="E488">
        <v>24216</v>
      </c>
      <c r="F488">
        <v>3875</v>
      </c>
      <c r="G488">
        <v>0</v>
      </c>
      <c r="H488">
        <v>0</v>
      </c>
      <c r="I488">
        <v>166</v>
      </c>
      <c r="J488">
        <v>28091</v>
      </c>
      <c r="K488" t="s">
        <v>7262</v>
      </c>
      <c r="L488" s="1">
        <v>41102</v>
      </c>
      <c r="N488" t="s">
        <v>5127</v>
      </c>
      <c r="O488" t="s">
        <v>2458</v>
      </c>
      <c r="P488" t="s">
        <v>6475</v>
      </c>
      <c r="Q488" t="s">
        <v>39</v>
      </c>
      <c r="R488" t="s">
        <v>40</v>
      </c>
      <c r="S488">
        <v>0</v>
      </c>
      <c r="U488" t="s">
        <v>5550</v>
      </c>
      <c r="V488" t="s">
        <v>1797</v>
      </c>
      <c r="X488" t="s">
        <v>74</v>
      </c>
      <c r="Y488" t="b">
        <v>0</v>
      </c>
      <c r="Z488" t="b">
        <v>0</v>
      </c>
      <c r="AB488" t="s">
        <v>7222</v>
      </c>
      <c r="AC488" s="1">
        <v>41263</v>
      </c>
      <c r="AF488">
        <v>0</v>
      </c>
      <c r="AG488">
        <v>45</v>
      </c>
      <c r="AH488">
        <v>211</v>
      </c>
      <c r="AI488" s="2">
        <f>Table__192.168.3.138AgingReportBEWLGS[[#This Row],[NetAmount]]-Table__192.168.3.138AgingReportBEWLGS[[#This Row],[Paid]]</f>
        <v>28091</v>
      </c>
    </row>
    <row r="489" spans="1:35">
      <c r="A489" t="s">
        <v>7263</v>
      </c>
      <c r="B489" s="1">
        <v>41121</v>
      </c>
      <c r="C489" s="1">
        <v>41166</v>
      </c>
      <c r="D489" t="s">
        <v>7264</v>
      </c>
      <c r="E489">
        <v>226840</v>
      </c>
      <c r="F489">
        <v>36034</v>
      </c>
      <c r="G489">
        <v>0</v>
      </c>
      <c r="H489">
        <v>0</v>
      </c>
      <c r="I489">
        <v>152</v>
      </c>
      <c r="J489">
        <v>261249</v>
      </c>
      <c r="K489" t="s">
        <v>7265</v>
      </c>
      <c r="L489" s="1">
        <v>41116</v>
      </c>
      <c r="N489" t="s">
        <v>5127</v>
      </c>
      <c r="O489" t="s">
        <v>2458</v>
      </c>
      <c r="P489" t="s">
        <v>7266</v>
      </c>
      <c r="Q489" t="s">
        <v>39</v>
      </c>
      <c r="R489" t="s">
        <v>40</v>
      </c>
      <c r="S489">
        <v>0</v>
      </c>
      <c r="U489" t="s">
        <v>5550</v>
      </c>
      <c r="V489" t="s">
        <v>1797</v>
      </c>
      <c r="X489" t="s">
        <v>74</v>
      </c>
      <c r="Y489" t="b">
        <v>0</v>
      </c>
      <c r="Z489" t="b">
        <v>0</v>
      </c>
      <c r="AB489" t="s">
        <v>7267</v>
      </c>
      <c r="AC489" s="1"/>
      <c r="AD489" t="s">
        <v>7268</v>
      </c>
      <c r="AF489">
        <v>262874</v>
      </c>
      <c r="AG489">
        <v>45</v>
      </c>
      <c r="AH489">
        <v>197</v>
      </c>
      <c r="AI489" s="2">
        <f>Table__192.168.3.138AgingReportBEWLGS[[#This Row],[NetAmount]]-Table__192.168.3.138AgingReportBEWLGS[[#This Row],[Paid]]</f>
        <v>-1625</v>
      </c>
    </row>
    <row r="490" spans="1:35">
      <c r="A490" t="s">
        <v>7269</v>
      </c>
      <c r="B490" s="1">
        <v>41121</v>
      </c>
      <c r="C490" s="1">
        <v>41166</v>
      </c>
      <c r="D490" t="s">
        <v>7270</v>
      </c>
      <c r="E490">
        <v>38</v>
      </c>
      <c r="F490">
        <v>6</v>
      </c>
      <c r="G490">
        <v>0</v>
      </c>
      <c r="H490">
        <v>44.5</v>
      </c>
      <c r="I490">
        <v>154</v>
      </c>
      <c r="J490">
        <v>43.5</v>
      </c>
      <c r="K490" t="s">
        <v>5265</v>
      </c>
      <c r="L490" s="1">
        <v>41114</v>
      </c>
      <c r="N490" t="s">
        <v>5127</v>
      </c>
      <c r="O490" t="s">
        <v>2458</v>
      </c>
      <c r="P490" t="s">
        <v>7271</v>
      </c>
      <c r="Q490" t="s">
        <v>39</v>
      </c>
      <c r="R490" t="s">
        <v>40</v>
      </c>
      <c r="S490">
        <v>0</v>
      </c>
      <c r="T490" t="s">
        <v>7272</v>
      </c>
      <c r="U490" t="s">
        <v>5550</v>
      </c>
      <c r="V490" t="s">
        <v>1797</v>
      </c>
      <c r="X490" t="s">
        <v>74</v>
      </c>
      <c r="Y490" t="b">
        <v>0</v>
      </c>
      <c r="Z490" t="b">
        <v>0</v>
      </c>
      <c r="AC490" s="1"/>
      <c r="AF490">
        <v>0</v>
      </c>
      <c r="AG490">
        <v>45</v>
      </c>
      <c r="AH490">
        <v>199</v>
      </c>
      <c r="AI490" s="2">
        <f>Table__192.168.3.138AgingReportBEWLGS[[#This Row],[NetAmount]]-Table__192.168.3.138AgingReportBEWLGS[[#This Row],[Paid]]</f>
        <v>43.5</v>
      </c>
    </row>
    <row r="491" spans="1:35">
      <c r="A491" t="s">
        <v>7273</v>
      </c>
      <c r="B491" s="1">
        <v>41093</v>
      </c>
      <c r="C491" s="1">
        <v>41138</v>
      </c>
      <c r="D491" t="s">
        <v>6542</v>
      </c>
      <c r="E491">
        <v>20090</v>
      </c>
      <c r="F491">
        <v>0</v>
      </c>
      <c r="G491">
        <v>0</v>
      </c>
      <c r="H491">
        <v>0</v>
      </c>
      <c r="I491">
        <v>175</v>
      </c>
      <c r="J491">
        <v>20090</v>
      </c>
      <c r="K491" t="s">
        <v>7274</v>
      </c>
      <c r="L491" s="1">
        <v>41093</v>
      </c>
      <c r="N491" t="s">
        <v>5127</v>
      </c>
      <c r="O491" t="s">
        <v>2458</v>
      </c>
      <c r="P491" t="s">
        <v>6544</v>
      </c>
      <c r="Q491" t="s">
        <v>39</v>
      </c>
      <c r="R491" t="s">
        <v>40</v>
      </c>
      <c r="S491">
        <v>0</v>
      </c>
      <c r="U491" t="s">
        <v>5550</v>
      </c>
      <c r="V491" t="s">
        <v>1797</v>
      </c>
      <c r="X491" t="s">
        <v>74</v>
      </c>
      <c r="Y491" t="b">
        <v>0</v>
      </c>
      <c r="Z491" t="b">
        <v>0</v>
      </c>
      <c r="AC491" s="1"/>
      <c r="AF491">
        <v>0</v>
      </c>
      <c r="AG491">
        <v>45</v>
      </c>
      <c r="AH491">
        <v>220</v>
      </c>
      <c r="AI491" s="2">
        <f>Table__192.168.3.138AgingReportBEWLGS[[#This Row],[NetAmount]]-Table__192.168.3.138AgingReportBEWLGS[[#This Row],[Paid]]</f>
        <v>20090</v>
      </c>
    </row>
    <row r="492" spans="1:35">
      <c r="A492" t="s">
        <v>7275</v>
      </c>
      <c r="B492" s="1">
        <v>41091</v>
      </c>
      <c r="C492" s="1">
        <v>41136</v>
      </c>
      <c r="D492" t="s">
        <v>6542</v>
      </c>
      <c r="E492">
        <v>20090</v>
      </c>
      <c r="F492">
        <v>0</v>
      </c>
      <c r="G492">
        <v>0</v>
      </c>
      <c r="H492">
        <v>0</v>
      </c>
      <c r="I492">
        <v>175</v>
      </c>
      <c r="J492">
        <v>20090</v>
      </c>
      <c r="K492" t="s">
        <v>7274</v>
      </c>
      <c r="L492" s="1">
        <v>41093</v>
      </c>
      <c r="N492" t="s">
        <v>5127</v>
      </c>
      <c r="O492" t="s">
        <v>2458</v>
      </c>
      <c r="P492" t="s">
        <v>6544</v>
      </c>
      <c r="Q492" t="s">
        <v>39</v>
      </c>
      <c r="R492" t="s">
        <v>40</v>
      </c>
      <c r="S492">
        <v>0</v>
      </c>
      <c r="U492" t="s">
        <v>5550</v>
      </c>
      <c r="V492" t="s">
        <v>1797</v>
      </c>
      <c r="X492" t="s">
        <v>74</v>
      </c>
      <c r="Y492" t="b">
        <v>0</v>
      </c>
      <c r="Z492" t="b">
        <v>0</v>
      </c>
      <c r="AC492" s="1"/>
      <c r="AF492">
        <v>0</v>
      </c>
      <c r="AG492">
        <v>45</v>
      </c>
      <c r="AH492">
        <v>220</v>
      </c>
      <c r="AI492" s="2">
        <f>Table__192.168.3.138AgingReportBEWLGS[[#This Row],[NetAmount]]-Table__192.168.3.138AgingReportBEWLGS[[#This Row],[Paid]]</f>
        <v>20090</v>
      </c>
    </row>
    <row r="493" spans="1:35">
      <c r="A493" t="s">
        <v>7276</v>
      </c>
      <c r="B493" s="1">
        <v>41099</v>
      </c>
      <c r="C493" s="1">
        <v>41144</v>
      </c>
      <c r="D493" t="s">
        <v>6542</v>
      </c>
      <c r="E493">
        <v>22110</v>
      </c>
      <c r="F493">
        <v>0</v>
      </c>
      <c r="G493">
        <v>0</v>
      </c>
      <c r="H493">
        <v>0</v>
      </c>
      <c r="I493">
        <v>169</v>
      </c>
      <c r="J493">
        <v>22110</v>
      </c>
      <c r="K493" t="s">
        <v>7277</v>
      </c>
      <c r="L493" s="1">
        <v>41099</v>
      </c>
      <c r="N493" t="s">
        <v>5127</v>
      </c>
      <c r="O493" t="s">
        <v>2458</v>
      </c>
      <c r="P493" t="s">
        <v>6544</v>
      </c>
      <c r="Q493" t="s">
        <v>39</v>
      </c>
      <c r="R493" t="s">
        <v>40</v>
      </c>
      <c r="S493">
        <v>0</v>
      </c>
      <c r="U493" t="s">
        <v>5550</v>
      </c>
      <c r="V493" t="s">
        <v>1797</v>
      </c>
      <c r="X493" t="s">
        <v>74</v>
      </c>
      <c r="Y493" t="b">
        <v>0</v>
      </c>
      <c r="Z493" t="b">
        <v>0</v>
      </c>
      <c r="AC493" s="1"/>
      <c r="AF493">
        <v>0</v>
      </c>
      <c r="AG493">
        <v>45</v>
      </c>
      <c r="AH493">
        <v>214</v>
      </c>
      <c r="AI493" s="2">
        <f>Table__192.168.3.138AgingReportBEWLGS[[#This Row],[NetAmount]]-Table__192.168.3.138AgingReportBEWLGS[[#This Row],[Paid]]</f>
        <v>22110</v>
      </c>
    </row>
    <row r="494" spans="1:35">
      <c r="A494" t="s">
        <v>7278</v>
      </c>
      <c r="B494" s="1">
        <v>41103</v>
      </c>
      <c r="C494" s="1">
        <v>41148</v>
      </c>
      <c r="D494" t="s">
        <v>6542</v>
      </c>
      <c r="E494">
        <v>18570</v>
      </c>
      <c r="F494">
        <v>0</v>
      </c>
      <c r="G494">
        <v>0</v>
      </c>
      <c r="H494">
        <v>0</v>
      </c>
      <c r="I494">
        <v>165</v>
      </c>
      <c r="J494">
        <v>18570</v>
      </c>
      <c r="K494" t="s">
        <v>2696</v>
      </c>
      <c r="L494" s="1">
        <v>41103</v>
      </c>
      <c r="N494" t="s">
        <v>5127</v>
      </c>
      <c r="O494" t="s">
        <v>2458</v>
      </c>
      <c r="P494" t="s">
        <v>6544</v>
      </c>
      <c r="Q494" t="s">
        <v>39</v>
      </c>
      <c r="R494" t="s">
        <v>40</v>
      </c>
      <c r="S494">
        <v>0</v>
      </c>
      <c r="U494" t="s">
        <v>5550</v>
      </c>
      <c r="V494" t="s">
        <v>1797</v>
      </c>
      <c r="X494" t="s">
        <v>74</v>
      </c>
      <c r="Y494" t="b">
        <v>0</v>
      </c>
      <c r="Z494" t="b">
        <v>0</v>
      </c>
      <c r="AC494" s="1"/>
      <c r="AF494">
        <v>0</v>
      </c>
      <c r="AG494">
        <v>45</v>
      </c>
      <c r="AH494">
        <v>210</v>
      </c>
      <c r="AI494" s="2">
        <f>Table__192.168.3.138AgingReportBEWLGS[[#This Row],[NetAmount]]-Table__192.168.3.138AgingReportBEWLGS[[#This Row],[Paid]]</f>
        <v>18570</v>
      </c>
    </row>
    <row r="495" spans="1:35">
      <c r="A495" t="s">
        <v>7279</v>
      </c>
      <c r="B495" s="1">
        <v>41101</v>
      </c>
      <c r="C495" s="1">
        <v>41146</v>
      </c>
      <c r="D495" t="s">
        <v>6542</v>
      </c>
      <c r="E495">
        <v>22110</v>
      </c>
      <c r="F495">
        <v>0</v>
      </c>
      <c r="G495">
        <v>0</v>
      </c>
      <c r="H495">
        <v>0</v>
      </c>
      <c r="I495">
        <v>167</v>
      </c>
      <c r="J495">
        <v>22110</v>
      </c>
      <c r="K495" t="s">
        <v>4615</v>
      </c>
      <c r="L495" s="1">
        <v>41101</v>
      </c>
      <c r="N495" t="s">
        <v>5127</v>
      </c>
      <c r="O495" t="s">
        <v>2458</v>
      </c>
      <c r="P495" t="s">
        <v>6544</v>
      </c>
      <c r="Q495" t="s">
        <v>39</v>
      </c>
      <c r="R495" t="s">
        <v>40</v>
      </c>
      <c r="S495">
        <v>0</v>
      </c>
      <c r="U495" t="s">
        <v>5550</v>
      </c>
      <c r="V495" t="s">
        <v>1797</v>
      </c>
      <c r="X495" t="s">
        <v>74</v>
      </c>
      <c r="Y495" t="b">
        <v>0</v>
      </c>
      <c r="Z495" t="b">
        <v>0</v>
      </c>
      <c r="AC495" s="1"/>
      <c r="AF495">
        <v>0</v>
      </c>
      <c r="AG495">
        <v>45</v>
      </c>
      <c r="AH495">
        <v>212</v>
      </c>
      <c r="AI495" s="2">
        <f>Table__192.168.3.138AgingReportBEWLGS[[#This Row],[NetAmount]]-Table__192.168.3.138AgingReportBEWLGS[[#This Row],[Paid]]</f>
        <v>22110</v>
      </c>
    </row>
    <row r="496" spans="1:35">
      <c r="A496" t="s">
        <v>7280</v>
      </c>
      <c r="B496" s="1">
        <v>41107</v>
      </c>
      <c r="C496" s="1">
        <v>41152</v>
      </c>
      <c r="D496" t="s">
        <v>6542</v>
      </c>
      <c r="E496">
        <v>19450</v>
      </c>
      <c r="F496">
        <v>0</v>
      </c>
      <c r="G496">
        <v>0</v>
      </c>
      <c r="H496">
        <v>0</v>
      </c>
      <c r="I496">
        <v>164</v>
      </c>
      <c r="J496">
        <v>19450</v>
      </c>
      <c r="K496" t="s">
        <v>6611</v>
      </c>
      <c r="L496" s="1">
        <v>41104</v>
      </c>
      <c r="N496" t="s">
        <v>5127</v>
      </c>
      <c r="O496" t="s">
        <v>2458</v>
      </c>
      <c r="P496" t="s">
        <v>6544</v>
      </c>
      <c r="Q496" t="s">
        <v>39</v>
      </c>
      <c r="R496" t="s">
        <v>40</v>
      </c>
      <c r="S496">
        <v>0</v>
      </c>
      <c r="U496" t="s">
        <v>5550</v>
      </c>
      <c r="V496" t="s">
        <v>1797</v>
      </c>
      <c r="X496" t="s">
        <v>74</v>
      </c>
      <c r="Y496" t="b">
        <v>0</v>
      </c>
      <c r="Z496" t="b">
        <v>0</v>
      </c>
      <c r="AC496" s="1"/>
      <c r="AF496">
        <v>0</v>
      </c>
      <c r="AG496">
        <v>45</v>
      </c>
      <c r="AH496">
        <v>209</v>
      </c>
      <c r="AI496" s="2">
        <f>Table__192.168.3.138AgingReportBEWLGS[[#This Row],[NetAmount]]-Table__192.168.3.138AgingReportBEWLGS[[#This Row],[Paid]]</f>
        <v>19450</v>
      </c>
    </row>
    <row r="497" spans="1:35">
      <c r="A497" t="s">
        <v>7281</v>
      </c>
      <c r="B497" s="1">
        <v>41109</v>
      </c>
      <c r="C497" s="1">
        <v>41154</v>
      </c>
      <c r="D497" t="s">
        <v>6542</v>
      </c>
      <c r="E497">
        <v>22600</v>
      </c>
      <c r="F497">
        <v>0</v>
      </c>
      <c r="G497">
        <v>0</v>
      </c>
      <c r="H497">
        <v>0</v>
      </c>
      <c r="I497">
        <v>161</v>
      </c>
      <c r="J497">
        <v>22600</v>
      </c>
      <c r="K497" t="s">
        <v>2953</v>
      </c>
      <c r="L497" s="1">
        <v>41107</v>
      </c>
      <c r="N497" t="s">
        <v>5127</v>
      </c>
      <c r="O497" t="s">
        <v>2458</v>
      </c>
      <c r="P497" t="s">
        <v>6544</v>
      </c>
      <c r="Q497" t="s">
        <v>39</v>
      </c>
      <c r="R497" t="s">
        <v>40</v>
      </c>
      <c r="S497">
        <v>0</v>
      </c>
      <c r="U497" t="s">
        <v>5550</v>
      </c>
      <c r="V497" t="s">
        <v>1797</v>
      </c>
      <c r="X497" t="s">
        <v>74</v>
      </c>
      <c r="Y497" t="b">
        <v>0</v>
      </c>
      <c r="Z497" t="b">
        <v>0</v>
      </c>
      <c r="AC497" s="1"/>
      <c r="AF497">
        <v>0</v>
      </c>
      <c r="AG497">
        <v>45</v>
      </c>
      <c r="AH497">
        <v>206</v>
      </c>
      <c r="AI497" s="2">
        <f>Table__192.168.3.138AgingReportBEWLGS[[#This Row],[NetAmount]]-Table__192.168.3.138AgingReportBEWLGS[[#This Row],[Paid]]</f>
        <v>22600</v>
      </c>
    </row>
    <row r="498" spans="1:35">
      <c r="A498" t="s">
        <v>7282</v>
      </c>
      <c r="B498" s="1">
        <v>41109</v>
      </c>
      <c r="C498" s="1">
        <v>41154</v>
      </c>
      <c r="D498" t="s">
        <v>6542</v>
      </c>
      <c r="E498">
        <v>22209</v>
      </c>
      <c r="F498">
        <v>0</v>
      </c>
      <c r="G498">
        <v>0</v>
      </c>
      <c r="H498">
        <v>0</v>
      </c>
      <c r="I498">
        <v>159</v>
      </c>
      <c r="J498">
        <v>22209</v>
      </c>
      <c r="K498" t="s">
        <v>7235</v>
      </c>
      <c r="L498" s="1">
        <v>41109</v>
      </c>
      <c r="N498" t="s">
        <v>5127</v>
      </c>
      <c r="O498" t="s">
        <v>2458</v>
      </c>
      <c r="P498" t="s">
        <v>6544</v>
      </c>
      <c r="Q498" t="s">
        <v>39</v>
      </c>
      <c r="R498" t="s">
        <v>40</v>
      </c>
      <c r="S498">
        <v>0</v>
      </c>
      <c r="U498" t="s">
        <v>5550</v>
      </c>
      <c r="V498" t="s">
        <v>1797</v>
      </c>
      <c r="X498" t="s">
        <v>74</v>
      </c>
      <c r="Y498" t="b">
        <v>0</v>
      </c>
      <c r="Z498" t="b">
        <v>0</v>
      </c>
      <c r="AC498" s="1"/>
      <c r="AF498">
        <v>0</v>
      </c>
      <c r="AG498">
        <v>45</v>
      </c>
      <c r="AH498">
        <v>204</v>
      </c>
      <c r="AI498" s="2">
        <f>Table__192.168.3.138AgingReportBEWLGS[[#This Row],[NetAmount]]-Table__192.168.3.138AgingReportBEWLGS[[#This Row],[Paid]]</f>
        <v>22209</v>
      </c>
    </row>
    <row r="499" spans="1:35">
      <c r="A499" t="s">
        <v>7283</v>
      </c>
      <c r="B499" s="1">
        <v>41114</v>
      </c>
      <c r="C499" s="1">
        <v>41159</v>
      </c>
      <c r="D499" t="s">
        <v>6542</v>
      </c>
      <c r="E499">
        <v>18560</v>
      </c>
      <c r="F499">
        <v>0</v>
      </c>
      <c r="G499">
        <v>0</v>
      </c>
      <c r="H499">
        <v>0</v>
      </c>
      <c r="I499">
        <v>154</v>
      </c>
      <c r="J499">
        <v>18560</v>
      </c>
      <c r="K499" t="s">
        <v>7284</v>
      </c>
      <c r="L499" s="1">
        <v>41114</v>
      </c>
      <c r="N499" t="s">
        <v>5127</v>
      </c>
      <c r="O499" t="s">
        <v>2458</v>
      </c>
      <c r="P499" t="s">
        <v>6544</v>
      </c>
      <c r="Q499" t="s">
        <v>39</v>
      </c>
      <c r="R499" t="s">
        <v>40</v>
      </c>
      <c r="S499">
        <v>0</v>
      </c>
      <c r="U499" t="s">
        <v>5550</v>
      </c>
      <c r="V499" t="s">
        <v>1797</v>
      </c>
      <c r="X499" t="s">
        <v>74</v>
      </c>
      <c r="Y499" t="b">
        <v>0</v>
      </c>
      <c r="Z499" t="b">
        <v>0</v>
      </c>
      <c r="AC499" s="1"/>
      <c r="AF499">
        <v>0</v>
      </c>
      <c r="AG499">
        <v>45</v>
      </c>
      <c r="AH499">
        <v>199</v>
      </c>
      <c r="AI499" s="2">
        <f>Table__192.168.3.138AgingReportBEWLGS[[#This Row],[NetAmount]]-Table__192.168.3.138AgingReportBEWLGS[[#This Row],[Paid]]</f>
        <v>18560</v>
      </c>
    </row>
    <row r="500" spans="1:35">
      <c r="A500" t="s">
        <v>7285</v>
      </c>
      <c r="B500" s="1">
        <v>41121</v>
      </c>
      <c r="C500" s="1">
        <v>41166</v>
      </c>
      <c r="D500" t="s">
        <v>6542</v>
      </c>
      <c r="E500">
        <v>15450</v>
      </c>
      <c r="F500">
        <v>0</v>
      </c>
      <c r="G500">
        <v>0</v>
      </c>
      <c r="H500">
        <v>0</v>
      </c>
      <c r="I500">
        <v>151</v>
      </c>
      <c r="J500">
        <v>15450</v>
      </c>
      <c r="K500" t="s">
        <v>7286</v>
      </c>
      <c r="L500" s="1">
        <v>41117</v>
      </c>
      <c r="N500" t="s">
        <v>5127</v>
      </c>
      <c r="O500" t="s">
        <v>2458</v>
      </c>
      <c r="P500" t="s">
        <v>6544</v>
      </c>
      <c r="Q500" t="s">
        <v>39</v>
      </c>
      <c r="R500" t="s">
        <v>40</v>
      </c>
      <c r="S500">
        <v>0</v>
      </c>
      <c r="U500" t="s">
        <v>5550</v>
      </c>
      <c r="V500" t="s">
        <v>1797</v>
      </c>
      <c r="X500" t="s">
        <v>74</v>
      </c>
      <c r="Y500" t="b">
        <v>0</v>
      </c>
      <c r="Z500" t="b">
        <v>0</v>
      </c>
      <c r="AC500" s="1"/>
      <c r="AF500">
        <v>0</v>
      </c>
      <c r="AG500">
        <v>45</v>
      </c>
      <c r="AH500">
        <v>196</v>
      </c>
      <c r="AI500" s="2">
        <f>Table__192.168.3.138AgingReportBEWLGS[[#This Row],[NetAmount]]-Table__192.168.3.138AgingReportBEWLGS[[#This Row],[Paid]]</f>
        <v>15450</v>
      </c>
    </row>
    <row r="501" spans="1:35">
      <c r="A501" t="s">
        <v>7287</v>
      </c>
      <c r="B501" s="1">
        <v>41127</v>
      </c>
      <c r="C501" s="1">
        <v>41172</v>
      </c>
      <c r="D501" t="s">
        <v>6542</v>
      </c>
      <c r="E501">
        <v>17021</v>
      </c>
      <c r="F501">
        <v>0</v>
      </c>
      <c r="G501">
        <v>0</v>
      </c>
      <c r="H501">
        <v>0</v>
      </c>
      <c r="I501">
        <v>147</v>
      </c>
      <c r="J501">
        <v>17021</v>
      </c>
      <c r="K501" t="s">
        <v>3310</v>
      </c>
      <c r="L501" s="1">
        <v>41121</v>
      </c>
      <c r="N501" t="s">
        <v>5127</v>
      </c>
      <c r="O501" t="s">
        <v>2458</v>
      </c>
      <c r="P501" t="s">
        <v>6544</v>
      </c>
      <c r="Q501" t="s">
        <v>39</v>
      </c>
      <c r="R501" t="s">
        <v>40</v>
      </c>
      <c r="S501">
        <v>0</v>
      </c>
      <c r="U501" t="s">
        <v>5550</v>
      </c>
      <c r="V501" t="s">
        <v>1797</v>
      </c>
      <c r="X501" t="s">
        <v>74</v>
      </c>
      <c r="Y501" t="b">
        <v>0</v>
      </c>
      <c r="Z501" t="b">
        <v>0</v>
      </c>
      <c r="AC501" s="1"/>
      <c r="AF501">
        <v>0</v>
      </c>
      <c r="AG501">
        <v>45</v>
      </c>
      <c r="AH501">
        <v>192</v>
      </c>
      <c r="AI501" s="2">
        <f>Table__192.168.3.138AgingReportBEWLGS[[#This Row],[NetAmount]]-Table__192.168.3.138AgingReportBEWLGS[[#This Row],[Paid]]</f>
        <v>17021</v>
      </c>
    </row>
    <row r="502" spans="1:35">
      <c r="A502" t="s">
        <v>7288</v>
      </c>
      <c r="B502" s="1">
        <v>41102</v>
      </c>
      <c r="C502" s="1">
        <v>41147</v>
      </c>
      <c r="D502" t="s">
        <v>6703</v>
      </c>
      <c r="E502">
        <v>1265618</v>
      </c>
      <c r="F502">
        <v>202499</v>
      </c>
      <c r="G502">
        <v>0</v>
      </c>
      <c r="H502">
        <v>0</v>
      </c>
      <c r="I502">
        <v>168</v>
      </c>
      <c r="J502">
        <v>1468117</v>
      </c>
      <c r="L502" s="1">
        <v>41100</v>
      </c>
      <c r="N502" t="s">
        <v>5127</v>
      </c>
      <c r="O502" t="s">
        <v>2458</v>
      </c>
      <c r="P502" t="s">
        <v>6705</v>
      </c>
      <c r="Q502" t="s">
        <v>39</v>
      </c>
      <c r="R502" t="s">
        <v>40</v>
      </c>
      <c r="S502">
        <v>0</v>
      </c>
      <c r="U502" t="s">
        <v>5550</v>
      </c>
      <c r="V502" t="s">
        <v>1797</v>
      </c>
      <c r="X502" t="s">
        <v>74</v>
      </c>
      <c r="Y502" t="b">
        <v>0</v>
      </c>
      <c r="Z502" t="b">
        <v>0</v>
      </c>
      <c r="AB502" t="s">
        <v>7258</v>
      </c>
      <c r="AC502" s="1">
        <v>41158</v>
      </c>
      <c r="AD502" t="s">
        <v>7289</v>
      </c>
      <c r="AE502" t="s">
        <v>7260</v>
      </c>
      <c r="AF502">
        <v>451195</v>
      </c>
      <c r="AG502">
        <v>45</v>
      </c>
      <c r="AH502">
        <v>213</v>
      </c>
      <c r="AI502" s="2">
        <f>Table__192.168.3.138AgingReportBEWLGS[[#This Row],[NetAmount]]-Table__192.168.3.138AgingReportBEWLGS[[#This Row],[Paid]]</f>
        <v>1016922</v>
      </c>
    </row>
    <row r="503" spans="1:35">
      <c r="A503" t="s">
        <v>7290</v>
      </c>
      <c r="B503" s="1">
        <v>41115</v>
      </c>
      <c r="C503" s="1">
        <v>41160</v>
      </c>
      <c r="D503" t="s">
        <v>6486</v>
      </c>
      <c r="E503">
        <v>7200</v>
      </c>
      <c r="F503">
        <v>1152</v>
      </c>
      <c r="G503">
        <v>0</v>
      </c>
      <c r="H503">
        <v>0</v>
      </c>
      <c r="I503">
        <v>134</v>
      </c>
      <c r="J503">
        <v>8352</v>
      </c>
      <c r="K503" t="s">
        <v>7291</v>
      </c>
      <c r="L503" s="1">
        <v>41134</v>
      </c>
      <c r="N503" t="s">
        <v>5127</v>
      </c>
      <c r="O503" t="s">
        <v>2458</v>
      </c>
      <c r="P503" t="s">
        <v>5464</v>
      </c>
      <c r="Q503" t="s">
        <v>39</v>
      </c>
      <c r="R503" t="s">
        <v>40</v>
      </c>
      <c r="S503">
        <v>0</v>
      </c>
      <c r="U503" t="s">
        <v>5550</v>
      </c>
      <c r="V503" t="s">
        <v>1797</v>
      </c>
      <c r="X503" t="s">
        <v>74</v>
      </c>
      <c r="Y503" t="b">
        <v>0</v>
      </c>
      <c r="Z503" t="b">
        <v>0</v>
      </c>
      <c r="AC503" s="1"/>
      <c r="AF503">
        <v>0</v>
      </c>
      <c r="AG503">
        <v>45</v>
      </c>
      <c r="AH503">
        <v>179</v>
      </c>
      <c r="AI503" s="2">
        <f>Table__192.168.3.138AgingReportBEWLGS[[#This Row],[NetAmount]]-Table__192.168.3.138AgingReportBEWLGS[[#This Row],[Paid]]</f>
        <v>8352</v>
      </c>
    </row>
    <row r="504" spans="1:35">
      <c r="A504" t="s">
        <v>7292</v>
      </c>
      <c r="B504" s="1">
        <v>41117</v>
      </c>
      <c r="C504" s="1">
        <v>41162</v>
      </c>
      <c r="D504" t="s">
        <v>6703</v>
      </c>
      <c r="E504">
        <v>1887840</v>
      </c>
      <c r="F504">
        <v>302055</v>
      </c>
      <c r="G504">
        <v>0</v>
      </c>
      <c r="H504">
        <v>0</v>
      </c>
      <c r="I504">
        <v>148</v>
      </c>
      <c r="J504">
        <v>2189895</v>
      </c>
      <c r="K504" t="s">
        <v>7293</v>
      </c>
      <c r="L504" s="1">
        <v>41120</v>
      </c>
      <c r="N504" t="s">
        <v>5127</v>
      </c>
      <c r="O504" t="s">
        <v>2458</v>
      </c>
      <c r="P504" t="s">
        <v>6705</v>
      </c>
      <c r="Q504" t="s">
        <v>39</v>
      </c>
      <c r="R504" t="s">
        <v>40</v>
      </c>
      <c r="S504">
        <v>0</v>
      </c>
      <c r="U504" t="s">
        <v>5550</v>
      </c>
      <c r="V504" t="s">
        <v>1797</v>
      </c>
      <c r="X504" t="s">
        <v>74</v>
      </c>
      <c r="Y504" t="b">
        <v>0</v>
      </c>
      <c r="Z504" t="b">
        <v>0</v>
      </c>
      <c r="AB504" t="s">
        <v>6706</v>
      </c>
      <c r="AC504" s="1">
        <v>41243</v>
      </c>
      <c r="AD504" t="s">
        <v>7294</v>
      </c>
      <c r="AE504" t="s">
        <v>6707</v>
      </c>
      <c r="AF504">
        <v>307408</v>
      </c>
      <c r="AG504">
        <v>45</v>
      </c>
      <c r="AH504">
        <v>193</v>
      </c>
      <c r="AI504" s="2">
        <f>Table__192.168.3.138AgingReportBEWLGS[[#This Row],[NetAmount]]-Table__192.168.3.138AgingReportBEWLGS[[#This Row],[Paid]]</f>
        <v>1882487</v>
      </c>
    </row>
    <row r="505" spans="1:35">
      <c r="A505" t="s">
        <v>7295</v>
      </c>
      <c r="B505" s="1">
        <v>41138</v>
      </c>
      <c r="C505" s="1">
        <v>41183</v>
      </c>
      <c r="D505" t="s">
        <v>6629</v>
      </c>
      <c r="E505">
        <v>59100</v>
      </c>
      <c r="F505">
        <v>9456</v>
      </c>
      <c r="G505">
        <v>0</v>
      </c>
      <c r="H505">
        <v>0</v>
      </c>
      <c r="I505">
        <v>132</v>
      </c>
      <c r="J505">
        <v>68556</v>
      </c>
      <c r="K505" t="s">
        <v>7296</v>
      </c>
      <c r="L505" s="1">
        <v>41136</v>
      </c>
      <c r="N505" t="s">
        <v>5127</v>
      </c>
      <c r="O505" t="s">
        <v>2458</v>
      </c>
      <c r="P505" t="s">
        <v>6631</v>
      </c>
      <c r="Q505" t="s">
        <v>39</v>
      </c>
      <c r="R505" t="s">
        <v>40</v>
      </c>
      <c r="S505">
        <v>0</v>
      </c>
      <c r="U505" t="s">
        <v>5550</v>
      </c>
      <c r="V505" t="s">
        <v>1797</v>
      </c>
      <c r="X505" t="s">
        <v>74</v>
      </c>
      <c r="Y505" t="b">
        <v>0</v>
      </c>
      <c r="Z505" t="b">
        <v>0</v>
      </c>
      <c r="AC505" s="1"/>
      <c r="AF505">
        <v>0</v>
      </c>
      <c r="AG505">
        <v>45</v>
      </c>
      <c r="AH505">
        <v>177</v>
      </c>
      <c r="AI505" s="2">
        <f>Table__192.168.3.138AgingReportBEWLGS[[#This Row],[NetAmount]]-Table__192.168.3.138AgingReportBEWLGS[[#This Row],[Paid]]</f>
        <v>68556</v>
      </c>
    </row>
    <row r="506" spans="1:35">
      <c r="A506" t="s">
        <v>7297</v>
      </c>
      <c r="B506" s="1">
        <v>41128</v>
      </c>
      <c r="C506" s="1">
        <v>41173</v>
      </c>
      <c r="D506" t="s">
        <v>7212</v>
      </c>
      <c r="E506">
        <v>44067</v>
      </c>
      <c r="F506">
        <v>7051</v>
      </c>
      <c r="G506">
        <v>0</v>
      </c>
      <c r="H506">
        <v>0</v>
      </c>
      <c r="I506">
        <v>141</v>
      </c>
      <c r="J506">
        <v>51118</v>
      </c>
      <c r="K506" t="s">
        <v>5174</v>
      </c>
      <c r="L506" s="1">
        <v>41127</v>
      </c>
      <c r="N506" t="s">
        <v>5127</v>
      </c>
      <c r="O506" t="s">
        <v>2458</v>
      </c>
      <c r="P506" t="s">
        <v>7214</v>
      </c>
      <c r="Q506" t="s">
        <v>39</v>
      </c>
      <c r="R506" t="s">
        <v>40</v>
      </c>
      <c r="S506">
        <v>0</v>
      </c>
      <c r="U506" t="s">
        <v>5550</v>
      </c>
      <c r="V506" t="s">
        <v>1797</v>
      </c>
      <c r="X506" t="s">
        <v>74</v>
      </c>
      <c r="Y506" t="b">
        <v>0</v>
      </c>
      <c r="Z506" t="b">
        <v>0</v>
      </c>
      <c r="AC506" s="1"/>
      <c r="AF506">
        <v>0</v>
      </c>
      <c r="AG506">
        <v>45</v>
      </c>
      <c r="AH506">
        <v>186</v>
      </c>
      <c r="AI506" s="2">
        <f>Table__192.168.3.138AgingReportBEWLGS[[#This Row],[NetAmount]]-Table__192.168.3.138AgingReportBEWLGS[[#This Row],[Paid]]</f>
        <v>51118</v>
      </c>
    </row>
    <row r="507" spans="1:35">
      <c r="A507" t="s">
        <v>7298</v>
      </c>
      <c r="B507" s="1">
        <v>41111</v>
      </c>
      <c r="C507" s="1">
        <v>41156</v>
      </c>
      <c r="D507" t="s">
        <v>6703</v>
      </c>
      <c r="E507">
        <v>11200</v>
      </c>
      <c r="F507">
        <v>1792</v>
      </c>
      <c r="G507">
        <v>0</v>
      </c>
      <c r="H507">
        <v>0</v>
      </c>
      <c r="I507">
        <v>148</v>
      </c>
      <c r="J507">
        <v>12992</v>
      </c>
      <c r="K507" t="s">
        <v>7299</v>
      </c>
      <c r="L507" s="1">
        <v>41120</v>
      </c>
      <c r="N507" t="s">
        <v>5127</v>
      </c>
      <c r="O507" t="s">
        <v>2458</v>
      </c>
      <c r="P507" t="s">
        <v>6705</v>
      </c>
      <c r="Q507" t="s">
        <v>39</v>
      </c>
      <c r="R507" t="s">
        <v>40</v>
      </c>
      <c r="S507">
        <v>0</v>
      </c>
      <c r="U507" t="s">
        <v>5550</v>
      </c>
      <c r="V507" t="s">
        <v>1797</v>
      </c>
      <c r="X507" t="s">
        <v>74</v>
      </c>
      <c r="Y507" t="b">
        <v>0</v>
      </c>
      <c r="Z507" t="b">
        <v>0</v>
      </c>
      <c r="AB507" t="s">
        <v>6706</v>
      </c>
      <c r="AC507" s="1">
        <v>41243</v>
      </c>
      <c r="AE507" t="s">
        <v>6707</v>
      </c>
      <c r="AF507">
        <v>0</v>
      </c>
      <c r="AG507">
        <v>45</v>
      </c>
      <c r="AH507">
        <v>193</v>
      </c>
      <c r="AI507" s="2">
        <f>Table__192.168.3.138AgingReportBEWLGS[[#This Row],[NetAmount]]-Table__192.168.3.138AgingReportBEWLGS[[#This Row],[Paid]]</f>
        <v>12992</v>
      </c>
    </row>
    <row r="508" spans="1:35">
      <c r="A508" t="s">
        <v>7300</v>
      </c>
      <c r="B508" s="1">
        <v>41125</v>
      </c>
      <c r="C508" s="1">
        <v>41170</v>
      </c>
      <c r="D508" t="s">
        <v>7264</v>
      </c>
      <c r="E508">
        <v>542923</v>
      </c>
      <c r="F508">
        <v>86868</v>
      </c>
      <c r="G508">
        <v>0</v>
      </c>
      <c r="H508">
        <v>0</v>
      </c>
      <c r="I508">
        <v>143</v>
      </c>
      <c r="J508">
        <v>629791</v>
      </c>
      <c r="K508" t="s">
        <v>7301</v>
      </c>
      <c r="L508" s="1">
        <v>41125</v>
      </c>
      <c r="N508" t="s">
        <v>5127</v>
      </c>
      <c r="O508" t="s">
        <v>2458</v>
      </c>
      <c r="P508" t="s">
        <v>7266</v>
      </c>
      <c r="Q508" t="s">
        <v>39</v>
      </c>
      <c r="R508" t="s">
        <v>40</v>
      </c>
      <c r="S508">
        <v>0</v>
      </c>
      <c r="U508" t="s">
        <v>5550</v>
      </c>
      <c r="V508" t="s">
        <v>1797</v>
      </c>
      <c r="X508" t="s">
        <v>74</v>
      </c>
      <c r="Y508" t="b">
        <v>0</v>
      </c>
      <c r="Z508" t="b">
        <v>0</v>
      </c>
      <c r="AB508" t="s">
        <v>7302</v>
      </c>
      <c r="AC508" s="1"/>
      <c r="AF508">
        <v>0</v>
      </c>
      <c r="AG508">
        <v>45</v>
      </c>
      <c r="AH508">
        <v>188</v>
      </c>
      <c r="AI508" s="2">
        <f>Table__192.168.3.138AgingReportBEWLGS[[#This Row],[NetAmount]]-Table__192.168.3.138AgingReportBEWLGS[[#This Row],[Paid]]</f>
        <v>629791</v>
      </c>
    </row>
    <row r="509" spans="1:35">
      <c r="A509" t="s">
        <v>7303</v>
      </c>
      <c r="B509" s="1">
        <v>41123</v>
      </c>
      <c r="C509" s="1">
        <v>41168</v>
      </c>
      <c r="D509" t="s">
        <v>7304</v>
      </c>
      <c r="E509">
        <v>40800</v>
      </c>
      <c r="F509">
        <v>0</v>
      </c>
      <c r="G509">
        <v>0</v>
      </c>
      <c r="H509">
        <v>0</v>
      </c>
      <c r="I509">
        <v>136</v>
      </c>
      <c r="J509">
        <v>40800</v>
      </c>
      <c r="K509" t="s">
        <v>7305</v>
      </c>
      <c r="L509" s="1">
        <v>41132</v>
      </c>
      <c r="N509" t="s">
        <v>5127</v>
      </c>
      <c r="O509" t="s">
        <v>2458</v>
      </c>
      <c r="P509" t="s">
        <v>7306</v>
      </c>
      <c r="Q509" t="s">
        <v>39</v>
      </c>
      <c r="R509" t="s">
        <v>40</v>
      </c>
      <c r="S509">
        <v>0</v>
      </c>
      <c r="U509" t="s">
        <v>5550</v>
      </c>
      <c r="V509" t="s">
        <v>1797</v>
      </c>
      <c r="X509" t="s">
        <v>74</v>
      </c>
      <c r="Y509" t="b">
        <v>0</v>
      </c>
      <c r="Z509" t="b">
        <v>0</v>
      </c>
      <c r="AC509" s="1"/>
      <c r="AF509">
        <v>0</v>
      </c>
      <c r="AG509">
        <v>45</v>
      </c>
      <c r="AH509">
        <v>181</v>
      </c>
      <c r="AI509" s="2">
        <f>Table__192.168.3.138AgingReportBEWLGS[[#This Row],[NetAmount]]-Table__192.168.3.138AgingReportBEWLGS[[#This Row],[Paid]]</f>
        <v>40800</v>
      </c>
    </row>
    <row r="510" spans="1:35">
      <c r="A510" t="s">
        <v>7307</v>
      </c>
      <c r="B510" s="1">
        <v>41130</v>
      </c>
      <c r="C510" s="1">
        <v>41175</v>
      </c>
      <c r="D510" t="s">
        <v>7308</v>
      </c>
      <c r="E510">
        <v>34000</v>
      </c>
      <c r="F510">
        <v>5440</v>
      </c>
      <c r="G510">
        <v>0</v>
      </c>
      <c r="H510">
        <v>0</v>
      </c>
      <c r="I510">
        <v>140</v>
      </c>
      <c r="J510">
        <v>39440</v>
      </c>
      <c r="K510" t="s">
        <v>7309</v>
      </c>
      <c r="L510" s="1">
        <v>41128</v>
      </c>
      <c r="M510" t="s">
        <v>7310</v>
      </c>
      <c r="N510" t="s">
        <v>5127</v>
      </c>
      <c r="O510" t="s">
        <v>2458</v>
      </c>
      <c r="P510" t="s">
        <v>5490</v>
      </c>
      <c r="Q510" t="s">
        <v>39</v>
      </c>
      <c r="R510" t="s">
        <v>40</v>
      </c>
      <c r="S510">
        <v>0</v>
      </c>
      <c r="U510" t="s">
        <v>5550</v>
      </c>
      <c r="V510" t="s">
        <v>1797</v>
      </c>
      <c r="W510" t="s">
        <v>7311</v>
      </c>
      <c r="X510" t="s">
        <v>74</v>
      </c>
      <c r="Y510" t="b">
        <v>0</v>
      </c>
      <c r="Z510" t="b">
        <v>0</v>
      </c>
      <c r="AA510" t="b">
        <v>0</v>
      </c>
      <c r="AC510" s="1"/>
      <c r="AF510">
        <v>0</v>
      </c>
      <c r="AG510">
        <v>45</v>
      </c>
      <c r="AH510">
        <v>185</v>
      </c>
      <c r="AI510" s="2">
        <f>Table__192.168.3.138AgingReportBEWLGS[[#This Row],[NetAmount]]-Table__192.168.3.138AgingReportBEWLGS[[#This Row],[Paid]]</f>
        <v>39440</v>
      </c>
    </row>
    <row r="511" spans="1:35">
      <c r="A511" t="s">
        <v>7312</v>
      </c>
      <c r="B511" s="1">
        <v>41128</v>
      </c>
      <c r="C511" s="1">
        <v>41173</v>
      </c>
      <c r="D511" t="s">
        <v>6654</v>
      </c>
      <c r="E511">
        <v>27500</v>
      </c>
      <c r="F511">
        <v>4400</v>
      </c>
      <c r="G511">
        <v>0</v>
      </c>
      <c r="H511">
        <v>0</v>
      </c>
      <c r="I511">
        <v>141</v>
      </c>
      <c r="J511">
        <v>31900</v>
      </c>
      <c r="K511" t="s">
        <v>1267</v>
      </c>
      <c r="L511" s="1">
        <v>41127</v>
      </c>
      <c r="N511" t="s">
        <v>5127</v>
      </c>
      <c r="O511" t="s">
        <v>2458</v>
      </c>
      <c r="P511" t="s">
        <v>6656</v>
      </c>
      <c r="Q511" t="s">
        <v>39</v>
      </c>
      <c r="R511" t="s">
        <v>40</v>
      </c>
      <c r="S511">
        <v>0</v>
      </c>
      <c r="U511" t="s">
        <v>5550</v>
      </c>
      <c r="V511" t="s">
        <v>1797</v>
      </c>
      <c r="X511" t="s">
        <v>74</v>
      </c>
      <c r="Y511" t="b">
        <v>0</v>
      </c>
      <c r="Z511" t="b">
        <v>0</v>
      </c>
      <c r="AB511" t="s">
        <v>6657</v>
      </c>
      <c r="AC511" s="1">
        <v>41253</v>
      </c>
      <c r="AF511">
        <v>0</v>
      </c>
      <c r="AG511">
        <v>45</v>
      </c>
      <c r="AH511">
        <v>186</v>
      </c>
      <c r="AI511" s="2">
        <f>Table__192.168.3.138AgingReportBEWLGS[[#This Row],[NetAmount]]-Table__192.168.3.138AgingReportBEWLGS[[#This Row],[Paid]]</f>
        <v>31900</v>
      </c>
    </row>
    <row r="512" spans="1:35">
      <c r="A512" t="s">
        <v>7313</v>
      </c>
      <c r="B512" s="1">
        <v>41138</v>
      </c>
      <c r="C512" s="1">
        <v>41183</v>
      </c>
      <c r="D512" t="s">
        <v>6654</v>
      </c>
      <c r="E512">
        <v>22200</v>
      </c>
      <c r="F512">
        <v>3552</v>
      </c>
      <c r="G512">
        <v>0</v>
      </c>
      <c r="H512">
        <v>0</v>
      </c>
      <c r="I512">
        <v>136</v>
      </c>
      <c r="J512">
        <v>25752</v>
      </c>
      <c r="K512" t="s">
        <v>5600</v>
      </c>
      <c r="L512" s="1">
        <v>41132</v>
      </c>
      <c r="N512" t="s">
        <v>5127</v>
      </c>
      <c r="O512" t="s">
        <v>2458</v>
      </c>
      <c r="P512" t="s">
        <v>6656</v>
      </c>
      <c r="Q512" t="s">
        <v>39</v>
      </c>
      <c r="R512" t="s">
        <v>40</v>
      </c>
      <c r="S512">
        <v>0</v>
      </c>
      <c r="U512" t="s">
        <v>5550</v>
      </c>
      <c r="V512" t="s">
        <v>1797</v>
      </c>
      <c r="X512" t="s">
        <v>74</v>
      </c>
      <c r="Y512" t="b">
        <v>0</v>
      </c>
      <c r="Z512" t="b">
        <v>0</v>
      </c>
      <c r="AB512" t="s">
        <v>6657</v>
      </c>
      <c r="AC512" s="1">
        <v>41253</v>
      </c>
      <c r="AF512">
        <v>0</v>
      </c>
      <c r="AG512">
        <v>45</v>
      </c>
      <c r="AH512">
        <v>181</v>
      </c>
      <c r="AI512" s="2">
        <f>Table__192.168.3.138AgingReportBEWLGS[[#This Row],[NetAmount]]-Table__192.168.3.138AgingReportBEWLGS[[#This Row],[Paid]]</f>
        <v>25752</v>
      </c>
    </row>
    <row r="513" spans="1:35">
      <c r="A513" t="s">
        <v>7314</v>
      </c>
      <c r="B513" s="1">
        <v>41138</v>
      </c>
      <c r="C513" s="1">
        <v>41183</v>
      </c>
      <c r="D513" t="s">
        <v>6654</v>
      </c>
      <c r="E513">
        <v>33000</v>
      </c>
      <c r="F513">
        <v>5280</v>
      </c>
      <c r="G513">
        <v>0</v>
      </c>
      <c r="H513">
        <v>0</v>
      </c>
      <c r="I513">
        <v>136</v>
      </c>
      <c r="J513">
        <v>38280</v>
      </c>
      <c r="K513" t="s">
        <v>2992</v>
      </c>
      <c r="L513" s="1">
        <v>41132</v>
      </c>
      <c r="N513" t="s">
        <v>5127</v>
      </c>
      <c r="O513" t="s">
        <v>2458</v>
      </c>
      <c r="P513" t="s">
        <v>6656</v>
      </c>
      <c r="Q513" t="s">
        <v>39</v>
      </c>
      <c r="R513" t="s">
        <v>40</v>
      </c>
      <c r="S513">
        <v>0</v>
      </c>
      <c r="U513" t="s">
        <v>5550</v>
      </c>
      <c r="V513" t="s">
        <v>1797</v>
      </c>
      <c r="X513" t="s">
        <v>74</v>
      </c>
      <c r="Y513" t="b">
        <v>0</v>
      </c>
      <c r="Z513" t="b">
        <v>0</v>
      </c>
      <c r="AB513" t="s">
        <v>6657</v>
      </c>
      <c r="AC513" s="1">
        <v>41253</v>
      </c>
      <c r="AF513">
        <v>0</v>
      </c>
      <c r="AG513">
        <v>45</v>
      </c>
      <c r="AH513">
        <v>181</v>
      </c>
      <c r="AI513" s="2">
        <f>Table__192.168.3.138AgingReportBEWLGS[[#This Row],[NetAmount]]-Table__192.168.3.138AgingReportBEWLGS[[#This Row],[Paid]]</f>
        <v>38280</v>
      </c>
    </row>
    <row r="514" spans="1:35">
      <c r="A514" t="s">
        <v>7315</v>
      </c>
      <c r="B514" s="1">
        <v>41148</v>
      </c>
      <c r="C514" s="1">
        <v>41193</v>
      </c>
      <c r="D514" t="s">
        <v>6654</v>
      </c>
      <c r="E514">
        <v>17250</v>
      </c>
      <c r="F514">
        <v>2760</v>
      </c>
      <c r="G514">
        <v>0</v>
      </c>
      <c r="H514">
        <v>0</v>
      </c>
      <c r="I514">
        <v>130</v>
      </c>
      <c r="J514">
        <v>20010</v>
      </c>
      <c r="K514" t="s">
        <v>101</v>
      </c>
      <c r="L514" s="1">
        <v>41138</v>
      </c>
      <c r="N514" t="s">
        <v>5127</v>
      </c>
      <c r="O514" t="s">
        <v>2458</v>
      </c>
      <c r="P514" t="s">
        <v>6656</v>
      </c>
      <c r="Q514" t="s">
        <v>39</v>
      </c>
      <c r="R514" t="s">
        <v>40</v>
      </c>
      <c r="S514">
        <v>0</v>
      </c>
      <c r="U514" t="s">
        <v>5550</v>
      </c>
      <c r="V514" t="s">
        <v>1797</v>
      </c>
      <c r="X514" t="s">
        <v>74</v>
      </c>
      <c r="Y514" t="b">
        <v>0</v>
      </c>
      <c r="Z514" t="b">
        <v>0</v>
      </c>
      <c r="AB514" t="s">
        <v>6657</v>
      </c>
      <c r="AC514" s="1">
        <v>41253</v>
      </c>
      <c r="AF514">
        <v>0</v>
      </c>
      <c r="AG514">
        <v>45</v>
      </c>
      <c r="AH514">
        <v>175</v>
      </c>
      <c r="AI514" s="2">
        <f>Table__192.168.3.138AgingReportBEWLGS[[#This Row],[NetAmount]]-Table__192.168.3.138AgingReportBEWLGS[[#This Row],[Paid]]</f>
        <v>20010</v>
      </c>
    </row>
    <row r="515" spans="1:35">
      <c r="A515" t="s">
        <v>7316</v>
      </c>
      <c r="B515" s="1">
        <v>41148</v>
      </c>
      <c r="C515" s="1">
        <v>41193</v>
      </c>
      <c r="D515" t="s">
        <v>6654</v>
      </c>
      <c r="E515">
        <v>16500</v>
      </c>
      <c r="F515">
        <v>2640</v>
      </c>
      <c r="G515">
        <v>0</v>
      </c>
      <c r="H515">
        <v>0</v>
      </c>
      <c r="I515">
        <v>129</v>
      </c>
      <c r="J515">
        <v>19140</v>
      </c>
      <c r="K515" t="s">
        <v>69</v>
      </c>
      <c r="L515" s="1">
        <v>41139</v>
      </c>
      <c r="N515" t="s">
        <v>5127</v>
      </c>
      <c r="O515" t="s">
        <v>2458</v>
      </c>
      <c r="P515" t="s">
        <v>6656</v>
      </c>
      <c r="Q515" t="s">
        <v>39</v>
      </c>
      <c r="R515" t="s">
        <v>40</v>
      </c>
      <c r="S515">
        <v>0</v>
      </c>
      <c r="U515" t="s">
        <v>5550</v>
      </c>
      <c r="V515" t="s">
        <v>1797</v>
      </c>
      <c r="X515" t="s">
        <v>74</v>
      </c>
      <c r="Y515" t="b">
        <v>0</v>
      </c>
      <c r="Z515" t="b">
        <v>0</v>
      </c>
      <c r="AB515" t="s">
        <v>6657</v>
      </c>
      <c r="AC515" s="1">
        <v>41253</v>
      </c>
      <c r="AF515">
        <v>0</v>
      </c>
      <c r="AG515">
        <v>45</v>
      </c>
      <c r="AH515">
        <v>174</v>
      </c>
      <c r="AI515" s="2">
        <f>Table__192.168.3.138AgingReportBEWLGS[[#This Row],[NetAmount]]-Table__192.168.3.138AgingReportBEWLGS[[#This Row],[Paid]]</f>
        <v>19140</v>
      </c>
    </row>
    <row r="516" spans="1:35">
      <c r="A516" t="s">
        <v>7317</v>
      </c>
      <c r="B516" s="1">
        <v>41138</v>
      </c>
      <c r="C516" s="1">
        <v>41183</v>
      </c>
      <c r="D516" t="s">
        <v>7253</v>
      </c>
      <c r="E516">
        <v>5250</v>
      </c>
      <c r="F516">
        <v>0</v>
      </c>
      <c r="G516">
        <v>0</v>
      </c>
      <c r="H516">
        <v>0</v>
      </c>
      <c r="I516">
        <v>138</v>
      </c>
      <c r="J516">
        <v>5250</v>
      </c>
      <c r="K516" t="s">
        <v>7318</v>
      </c>
      <c r="L516" s="1">
        <v>41130</v>
      </c>
      <c r="N516" t="s">
        <v>5127</v>
      </c>
      <c r="O516" t="s">
        <v>2458</v>
      </c>
      <c r="P516" t="s">
        <v>7254</v>
      </c>
      <c r="Q516" t="s">
        <v>39</v>
      </c>
      <c r="R516" t="s">
        <v>40</v>
      </c>
      <c r="S516">
        <v>0</v>
      </c>
      <c r="U516" t="s">
        <v>5550</v>
      </c>
      <c r="V516" t="s">
        <v>1797</v>
      </c>
      <c r="X516" t="s">
        <v>74</v>
      </c>
      <c r="Y516" t="b">
        <v>0</v>
      </c>
      <c r="Z516" t="b">
        <v>0</v>
      </c>
      <c r="AC516" s="1"/>
      <c r="AF516">
        <v>0</v>
      </c>
      <c r="AG516">
        <v>45</v>
      </c>
      <c r="AH516">
        <v>183</v>
      </c>
      <c r="AI516" s="2">
        <f>Table__192.168.3.138AgingReportBEWLGS[[#This Row],[NetAmount]]-Table__192.168.3.138AgingReportBEWLGS[[#This Row],[Paid]]</f>
        <v>5250</v>
      </c>
    </row>
    <row r="517" spans="1:35">
      <c r="A517" t="s">
        <v>7319</v>
      </c>
      <c r="B517" s="1">
        <v>41150</v>
      </c>
      <c r="C517" s="1">
        <v>41195</v>
      </c>
      <c r="D517" t="s">
        <v>6318</v>
      </c>
      <c r="E517">
        <v>601020</v>
      </c>
      <c r="F517">
        <v>96163</v>
      </c>
      <c r="G517">
        <v>0</v>
      </c>
      <c r="H517">
        <v>0</v>
      </c>
      <c r="I517">
        <v>130</v>
      </c>
      <c r="J517">
        <v>697183</v>
      </c>
      <c r="K517" t="s">
        <v>7320</v>
      </c>
      <c r="L517" s="1">
        <v>41138</v>
      </c>
      <c r="N517" t="s">
        <v>5127</v>
      </c>
      <c r="O517" t="s">
        <v>2458</v>
      </c>
      <c r="P517" t="s">
        <v>6320</v>
      </c>
      <c r="Q517" t="s">
        <v>39</v>
      </c>
      <c r="R517" t="s">
        <v>40</v>
      </c>
      <c r="S517">
        <v>0</v>
      </c>
      <c r="U517" t="s">
        <v>5550</v>
      </c>
      <c r="V517" t="s">
        <v>1797</v>
      </c>
      <c r="X517" t="s">
        <v>74</v>
      </c>
      <c r="Y517" t="b">
        <v>0</v>
      </c>
      <c r="Z517" t="b">
        <v>0</v>
      </c>
      <c r="AB517" t="s">
        <v>7321</v>
      </c>
      <c r="AC517" s="1">
        <v>41307</v>
      </c>
      <c r="AF517">
        <v>0</v>
      </c>
      <c r="AG517">
        <v>45</v>
      </c>
      <c r="AH517">
        <v>175</v>
      </c>
      <c r="AI517" s="2">
        <f>Table__192.168.3.138AgingReportBEWLGS[[#This Row],[NetAmount]]-Table__192.168.3.138AgingReportBEWLGS[[#This Row],[Paid]]</f>
        <v>697183</v>
      </c>
    </row>
    <row r="518" spans="1:35">
      <c r="A518" t="s">
        <v>7322</v>
      </c>
      <c r="B518" s="1">
        <v>41148</v>
      </c>
      <c r="C518" s="1">
        <v>41193</v>
      </c>
      <c r="D518" t="s">
        <v>6425</v>
      </c>
      <c r="E518">
        <v>33200</v>
      </c>
      <c r="F518">
        <v>5312</v>
      </c>
      <c r="G518">
        <v>0</v>
      </c>
      <c r="H518">
        <v>0</v>
      </c>
      <c r="I518">
        <v>123</v>
      </c>
      <c r="J518">
        <v>38512</v>
      </c>
      <c r="K518" t="s">
        <v>7323</v>
      </c>
      <c r="L518" s="1">
        <v>41145</v>
      </c>
      <c r="N518" t="s">
        <v>5127</v>
      </c>
      <c r="O518" t="s">
        <v>2458</v>
      </c>
      <c r="P518" t="s">
        <v>5478</v>
      </c>
      <c r="Q518" t="s">
        <v>39</v>
      </c>
      <c r="R518" t="s">
        <v>40</v>
      </c>
      <c r="S518">
        <v>0</v>
      </c>
      <c r="U518" t="s">
        <v>5550</v>
      </c>
      <c r="V518" t="s">
        <v>1797</v>
      </c>
      <c r="X518" t="s">
        <v>74</v>
      </c>
      <c r="Y518" t="b">
        <v>0</v>
      </c>
      <c r="Z518" t="b">
        <v>0</v>
      </c>
      <c r="AC518" s="1"/>
      <c r="AF518">
        <v>0</v>
      </c>
      <c r="AG518">
        <v>45</v>
      </c>
      <c r="AH518">
        <v>168</v>
      </c>
      <c r="AI518" s="2">
        <f>Table__192.168.3.138AgingReportBEWLGS[[#This Row],[NetAmount]]-Table__192.168.3.138AgingReportBEWLGS[[#This Row],[Paid]]</f>
        <v>38512</v>
      </c>
    </row>
    <row r="519" spans="1:35">
      <c r="A519" t="s">
        <v>7324</v>
      </c>
      <c r="B519" s="1">
        <v>41123</v>
      </c>
      <c r="C519" s="1">
        <v>41168</v>
      </c>
      <c r="D519" t="s">
        <v>5521</v>
      </c>
      <c r="E519">
        <v>2000</v>
      </c>
      <c r="F519">
        <v>320</v>
      </c>
      <c r="G519">
        <v>0</v>
      </c>
      <c r="H519">
        <v>0</v>
      </c>
      <c r="I519">
        <v>145</v>
      </c>
      <c r="J519">
        <v>2320</v>
      </c>
      <c r="K519" t="s">
        <v>7325</v>
      </c>
      <c r="L519" s="1">
        <v>41123</v>
      </c>
      <c r="N519" t="s">
        <v>5127</v>
      </c>
      <c r="O519" t="s">
        <v>2458</v>
      </c>
      <c r="P519" t="s">
        <v>5532</v>
      </c>
      <c r="Q519" t="s">
        <v>39</v>
      </c>
      <c r="R519" t="s">
        <v>40</v>
      </c>
      <c r="S519">
        <v>0</v>
      </c>
      <c r="U519" t="s">
        <v>5550</v>
      </c>
      <c r="V519" t="s">
        <v>1797</v>
      </c>
      <c r="X519" t="s">
        <v>74</v>
      </c>
      <c r="Y519" t="b">
        <v>0</v>
      </c>
      <c r="Z519" t="b">
        <v>0</v>
      </c>
      <c r="AC519" s="1"/>
      <c r="AF519">
        <v>0</v>
      </c>
      <c r="AG519">
        <v>45</v>
      </c>
      <c r="AH519">
        <v>190</v>
      </c>
      <c r="AI519" s="2">
        <f>Table__192.168.3.138AgingReportBEWLGS[[#This Row],[NetAmount]]-Table__192.168.3.138AgingReportBEWLGS[[#This Row],[Paid]]</f>
        <v>2320</v>
      </c>
    </row>
    <row r="520" spans="1:35">
      <c r="A520" t="s">
        <v>7326</v>
      </c>
      <c r="B520" s="1">
        <v>41109</v>
      </c>
      <c r="C520" s="1">
        <v>41154</v>
      </c>
      <c r="D520" t="s">
        <v>6703</v>
      </c>
      <c r="E520">
        <v>1486159</v>
      </c>
      <c r="F520">
        <v>237786</v>
      </c>
      <c r="G520">
        <v>0</v>
      </c>
      <c r="H520">
        <v>0</v>
      </c>
      <c r="I520">
        <v>119</v>
      </c>
      <c r="J520">
        <v>1723940</v>
      </c>
      <c r="K520" t="s">
        <v>6704</v>
      </c>
      <c r="L520" s="1">
        <v>41149</v>
      </c>
      <c r="N520" t="s">
        <v>5127</v>
      </c>
      <c r="O520" t="s">
        <v>2458</v>
      </c>
      <c r="P520" t="s">
        <v>6705</v>
      </c>
      <c r="Q520" t="s">
        <v>39</v>
      </c>
      <c r="R520" t="s">
        <v>40</v>
      </c>
      <c r="S520">
        <v>0</v>
      </c>
      <c r="U520" t="s">
        <v>5550</v>
      </c>
      <c r="V520" t="s">
        <v>1797</v>
      </c>
      <c r="X520" t="s">
        <v>74</v>
      </c>
      <c r="Y520" t="b">
        <v>0</v>
      </c>
      <c r="Z520" t="b">
        <v>0</v>
      </c>
      <c r="AB520" t="s">
        <v>7327</v>
      </c>
      <c r="AC520" s="1">
        <v>41226</v>
      </c>
      <c r="AD520" t="s">
        <v>7328</v>
      </c>
      <c r="AE520" t="s">
        <v>7329</v>
      </c>
      <c r="AF520">
        <v>1723945</v>
      </c>
      <c r="AG520">
        <v>45</v>
      </c>
      <c r="AH520">
        <v>164</v>
      </c>
      <c r="AI520" s="2">
        <f>Table__192.168.3.138AgingReportBEWLGS[[#This Row],[NetAmount]]-Table__192.168.3.138AgingReportBEWLGS[[#This Row],[Paid]]</f>
        <v>-5</v>
      </c>
    </row>
    <row r="521" spans="1:35">
      <c r="A521" t="s">
        <v>7330</v>
      </c>
      <c r="B521" s="1">
        <v>41151</v>
      </c>
      <c r="C521" s="1">
        <v>41196</v>
      </c>
      <c r="D521" t="s">
        <v>6664</v>
      </c>
      <c r="E521">
        <v>15308</v>
      </c>
      <c r="F521">
        <v>2449</v>
      </c>
      <c r="G521">
        <v>0</v>
      </c>
      <c r="H521">
        <v>0</v>
      </c>
      <c r="I521">
        <v>117</v>
      </c>
      <c r="J521">
        <v>17757</v>
      </c>
      <c r="K521" t="s">
        <v>4337</v>
      </c>
      <c r="L521" s="1">
        <v>41151</v>
      </c>
      <c r="N521" t="s">
        <v>5127</v>
      </c>
      <c r="O521" t="s">
        <v>2458</v>
      </c>
      <c r="P521" t="s">
        <v>5528</v>
      </c>
      <c r="Q521" t="s">
        <v>39</v>
      </c>
      <c r="R521" t="s">
        <v>40</v>
      </c>
      <c r="S521">
        <v>0</v>
      </c>
      <c r="U521" t="s">
        <v>5550</v>
      </c>
      <c r="V521" t="s">
        <v>1797</v>
      </c>
      <c r="X521" t="s">
        <v>74</v>
      </c>
      <c r="Y521" t="b">
        <v>0</v>
      </c>
      <c r="Z521" t="b">
        <v>0</v>
      </c>
      <c r="AC521" s="1"/>
      <c r="AF521">
        <v>0</v>
      </c>
      <c r="AG521">
        <v>45</v>
      </c>
      <c r="AH521">
        <v>162</v>
      </c>
      <c r="AI521" s="2">
        <f>Table__192.168.3.138AgingReportBEWLGS[[#This Row],[NetAmount]]-Table__192.168.3.138AgingReportBEWLGS[[#This Row],[Paid]]</f>
        <v>17757</v>
      </c>
    </row>
    <row r="522" spans="1:35">
      <c r="A522" t="s">
        <v>7331</v>
      </c>
      <c r="B522" s="1">
        <v>41148</v>
      </c>
      <c r="C522" s="1">
        <v>41193</v>
      </c>
      <c r="D522" t="s">
        <v>6474</v>
      </c>
      <c r="E522">
        <v>180056</v>
      </c>
      <c r="F522">
        <v>28805</v>
      </c>
      <c r="G522">
        <v>0</v>
      </c>
      <c r="H522">
        <v>0</v>
      </c>
      <c r="I522">
        <v>136</v>
      </c>
      <c r="J522">
        <v>211837</v>
      </c>
      <c r="K522" t="s">
        <v>7332</v>
      </c>
      <c r="L522" s="1">
        <v>41132</v>
      </c>
      <c r="N522" t="s">
        <v>5127</v>
      </c>
      <c r="O522" t="s">
        <v>2458</v>
      </c>
      <c r="P522" t="s">
        <v>6475</v>
      </c>
      <c r="Q522" t="s">
        <v>39</v>
      </c>
      <c r="R522" t="s">
        <v>40</v>
      </c>
      <c r="S522">
        <v>0</v>
      </c>
      <c r="U522" t="s">
        <v>5550</v>
      </c>
      <c r="V522" t="s">
        <v>1797</v>
      </c>
      <c r="X522" t="s">
        <v>74</v>
      </c>
      <c r="Y522" t="b">
        <v>0</v>
      </c>
      <c r="Z522" t="b">
        <v>0</v>
      </c>
      <c r="AB522" t="s">
        <v>7222</v>
      </c>
      <c r="AC522" s="1">
        <v>41263</v>
      </c>
      <c r="AF522">
        <v>0</v>
      </c>
      <c r="AG522">
        <v>45</v>
      </c>
      <c r="AH522">
        <v>181</v>
      </c>
      <c r="AI522" s="2">
        <f>Table__192.168.3.138AgingReportBEWLGS[[#This Row],[NetAmount]]-Table__192.168.3.138AgingReportBEWLGS[[#This Row],[Paid]]</f>
        <v>211837</v>
      </c>
    </row>
    <row r="523" spans="1:35">
      <c r="A523" t="s">
        <v>7333</v>
      </c>
      <c r="B523" s="1">
        <v>41150</v>
      </c>
      <c r="C523" s="1">
        <v>41195</v>
      </c>
      <c r="D523" t="s">
        <v>6383</v>
      </c>
      <c r="E523">
        <v>191250</v>
      </c>
      <c r="F523">
        <v>30600</v>
      </c>
      <c r="G523">
        <v>0</v>
      </c>
      <c r="H523">
        <v>0</v>
      </c>
      <c r="I523">
        <v>122</v>
      </c>
      <c r="J523">
        <v>221850</v>
      </c>
      <c r="K523" t="s">
        <v>7334</v>
      </c>
      <c r="L523" s="1">
        <v>41146</v>
      </c>
      <c r="N523" t="s">
        <v>5127</v>
      </c>
      <c r="O523" t="s">
        <v>2458</v>
      </c>
      <c r="P523" t="s">
        <v>6384</v>
      </c>
      <c r="Q523" t="s">
        <v>39</v>
      </c>
      <c r="R523" t="s">
        <v>40</v>
      </c>
      <c r="S523">
        <v>0</v>
      </c>
      <c r="U523" t="s">
        <v>5550</v>
      </c>
      <c r="V523" t="s">
        <v>1797</v>
      </c>
      <c r="X523" t="s">
        <v>74</v>
      </c>
      <c r="Y523" t="b">
        <v>0</v>
      </c>
      <c r="Z523" t="b">
        <v>0</v>
      </c>
      <c r="AC523" s="1"/>
      <c r="AF523">
        <v>0</v>
      </c>
      <c r="AG523">
        <v>45</v>
      </c>
      <c r="AH523">
        <v>167</v>
      </c>
      <c r="AI523" s="2">
        <f>Table__192.168.3.138AgingReportBEWLGS[[#This Row],[NetAmount]]-Table__192.168.3.138AgingReportBEWLGS[[#This Row],[Paid]]</f>
        <v>221850</v>
      </c>
    </row>
    <row r="524" spans="1:35">
      <c r="A524" t="s">
        <v>7335</v>
      </c>
      <c r="B524" s="1">
        <v>41129</v>
      </c>
      <c r="C524" s="1">
        <v>41174</v>
      </c>
      <c r="D524" t="s">
        <v>6448</v>
      </c>
      <c r="E524">
        <v>11900</v>
      </c>
      <c r="F524">
        <v>1904</v>
      </c>
      <c r="G524">
        <v>0</v>
      </c>
      <c r="H524">
        <v>0</v>
      </c>
      <c r="I524">
        <v>139</v>
      </c>
      <c r="J524">
        <v>13804</v>
      </c>
      <c r="K524" t="s">
        <v>95</v>
      </c>
      <c r="L524" s="1">
        <v>41129</v>
      </c>
      <c r="N524" t="s">
        <v>5127</v>
      </c>
      <c r="O524" t="s">
        <v>2458</v>
      </c>
      <c r="P524" t="s">
        <v>6451</v>
      </c>
      <c r="Q524" t="s">
        <v>39</v>
      </c>
      <c r="R524" t="s">
        <v>40</v>
      </c>
      <c r="S524">
        <v>0</v>
      </c>
      <c r="U524" t="s">
        <v>5550</v>
      </c>
      <c r="V524" t="s">
        <v>1797</v>
      </c>
      <c r="X524" t="s">
        <v>74</v>
      </c>
      <c r="Y524" t="b">
        <v>0</v>
      </c>
      <c r="Z524" t="b">
        <v>0</v>
      </c>
      <c r="AC524" s="1"/>
      <c r="AF524">
        <v>0</v>
      </c>
      <c r="AG524">
        <v>45</v>
      </c>
      <c r="AH524">
        <v>184</v>
      </c>
      <c r="AI524" s="2">
        <f>Table__192.168.3.138AgingReportBEWLGS[[#This Row],[NetAmount]]-Table__192.168.3.138AgingReportBEWLGS[[#This Row],[Paid]]</f>
        <v>13804</v>
      </c>
    </row>
    <row r="525" spans="1:35">
      <c r="A525" t="s">
        <v>7336</v>
      </c>
      <c r="B525" s="1">
        <v>41152</v>
      </c>
      <c r="C525" s="1">
        <v>41197</v>
      </c>
      <c r="D525" t="s">
        <v>6610</v>
      </c>
      <c r="E525">
        <v>91596</v>
      </c>
      <c r="F525">
        <v>14655</v>
      </c>
      <c r="G525">
        <v>0</v>
      </c>
      <c r="H525">
        <v>0</v>
      </c>
      <c r="I525">
        <v>117</v>
      </c>
      <c r="J525">
        <v>106251</v>
      </c>
      <c r="K525" t="s">
        <v>7284</v>
      </c>
      <c r="L525" s="1">
        <v>41151</v>
      </c>
      <c r="N525" t="s">
        <v>5127</v>
      </c>
      <c r="O525" t="s">
        <v>2458</v>
      </c>
      <c r="P525" t="s">
        <v>6612</v>
      </c>
      <c r="Q525" t="s">
        <v>39</v>
      </c>
      <c r="R525" t="s">
        <v>40</v>
      </c>
      <c r="S525">
        <v>0</v>
      </c>
      <c r="U525" t="s">
        <v>5550</v>
      </c>
      <c r="V525" t="s">
        <v>1797</v>
      </c>
      <c r="X525" t="s">
        <v>74</v>
      </c>
      <c r="Y525" t="b">
        <v>0</v>
      </c>
      <c r="Z525" t="b">
        <v>0</v>
      </c>
      <c r="AC525" s="1"/>
      <c r="AF525">
        <v>0</v>
      </c>
      <c r="AG525">
        <v>45</v>
      </c>
      <c r="AH525">
        <v>162</v>
      </c>
      <c r="AI525" s="2">
        <f>Table__192.168.3.138AgingReportBEWLGS[[#This Row],[NetAmount]]-Table__192.168.3.138AgingReportBEWLGS[[#This Row],[Paid]]</f>
        <v>106251</v>
      </c>
    </row>
    <row r="526" spans="1:35">
      <c r="A526" t="s">
        <v>7337</v>
      </c>
      <c r="B526" s="1">
        <v>41148</v>
      </c>
      <c r="C526" s="1">
        <v>41193</v>
      </c>
      <c r="D526" t="s">
        <v>6448</v>
      </c>
      <c r="E526">
        <v>14280</v>
      </c>
      <c r="F526">
        <v>2285</v>
      </c>
      <c r="G526">
        <v>0</v>
      </c>
      <c r="H526">
        <v>0</v>
      </c>
      <c r="I526">
        <v>123</v>
      </c>
      <c r="J526">
        <v>16565</v>
      </c>
      <c r="K526" t="s">
        <v>69</v>
      </c>
      <c r="L526" s="1">
        <v>41145</v>
      </c>
      <c r="N526" t="s">
        <v>5127</v>
      </c>
      <c r="O526" t="s">
        <v>2458</v>
      </c>
      <c r="P526" t="s">
        <v>6451</v>
      </c>
      <c r="Q526" t="s">
        <v>39</v>
      </c>
      <c r="R526" t="s">
        <v>40</v>
      </c>
      <c r="S526">
        <v>0</v>
      </c>
      <c r="U526" t="s">
        <v>5550</v>
      </c>
      <c r="V526" t="s">
        <v>1797</v>
      </c>
      <c r="X526" t="s">
        <v>74</v>
      </c>
      <c r="Y526" t="b">
        <v>0</v>
      </c>
      <c r="Z526" t="b">
        <v>0</v>
      </c>
      <c r="AC526" s="1"/>
      <c r="AF526">
        <v>0</v>
      </c>
      <c r="AG526">
        <v>45</v>
      </c>
      <c r="AH526">
        <v>168</v>
      </c>
      <c r="AI526" s="2">
        <f>Table__192.168.3.138AgingReportBEWLGS[[#This Row],[NetAmount]]-Table__192.168.3.138AgingReportBEWLGS[[#This Row],[Paid]]</f>
        <v>16565</v>
      </c>
    </row>
    <row r="527" spans="1:35">
      <c r="A527" t="s">
        <v>7338</v>
      </c>
      <c r="B527" s="1">
        <v>41149</v>
      </c>
      <c r="C527" s="1">
        <v>41194</v>
      </c>
      <c r="D527" t="s">
        <v>6448</v>
      </c>
      <c r="E527">
        <v>14280</v>
      </c>
      <c r="F527">
        <v>2285</v>
      </c>
      <c r="G527">
        <v>0</v>
      </c>
      <c r="H527">
        <v>0</v>
      </c>
      <c r="I527">
        <v>119</v>
      </c>
      <c r="J527">
        <v>16565</v>
      </c>
      <c r="K527" t="s">
        <v>116</v>
      </c>
      <c r="L527" s="1">
        <v>41149</v>
      </c>
      <c r="N527" t="s">
        <v>5127</v>
      </c>
      <c r="O527" t="s">
        <v>2458</v>
      </c>
      <c r="P527" t="s">
        <v>6451</v>
      </c>
      <c r="Q527" t="s">
        <v>39</v>
      </c>
      <c r="R527" t="s">
        <v>40</v>
      </c>
      <c r="S527">
        <v>0</v>
      </c>
      <c r="U527" t="s">
        <v>5550</v>
      </c>
      <c r="V527" t="s">
        <v>1797</v>
      </c>
      <c r="X527" t="s">
        <v>74</v>
      </c>
      <c r="Y527" t="b">
        <v>0</v>
      </c>
      <c r="Z527" t="b">
        <v>0</v>
      </c>
      <c r="AC527" s="1"/>
      <c r="AF527">
        <v>0</v>
      </c>
      <c r="AG527">
        <v>45</v>
      </c>
      <c r="AH527">
        <v>164</v>
      </c>
      <c r="AI527" s="2">
        <f>Table__192.168.3.138AgingReportBEWLGS[[#This Row],[NetAmount]]-Table__192.168.3.138AgingReportBEWLGS[[#This Row],[Paid]]</f>
        <v>16565</v>
      </c>
    </row>
    <row r="528" spans="1:35">
      <c r="A528" t="s">
        <v>7339</v>
      </c>
      <c r="B528" s="1">
        <v>41127</v>
      </c>
      <c r="C528" s="1">
        <v>41172</v>
      </c>
      <c r="D528" t="s">
        <v>6448</v>
      </c>
      <c r="E528">
        <v>19040</v>
      </c>
      <c r="F528">
        <v>3046</v>
      </c>
      <c r="G528">
        <v>0</v>
      </c>
      <c r="H528">
        <v>0</v>
      </c>
      <c r="I528">
        <v>145</v>
      </c>
      <c r="J528">
        <v>22086</v>
      </c>
      <c r="K528" t="s">
        <v>3081</v>
      </c>
      <c r="L528" s="1">
        <v>41123</v>
      </c>
      <c r="N528" t="s">
        <v>5127</v>
      </c>
      <c r="O528" t="s">
        <v>2458</v>
      </c>
      <c r="P528" t="s">
        <v>6451</v>
      </c>
      <c r="Q528" t="s">
        <v>39</v>
      </c>
      <c r="R528" t="s">
        <v>40</v>
      </c>
      <c r="S528">
        <v>0</v>
      </c>
      <c r="U528" t="s">
        <v>5550</v>
      </c>
      <c r="V528" t="s">
        <v>1797</v>
      </c>
      <c r="X528" t="s">
        <v>74</v>
      </c>
      <c r="Y528" t="b">
        <v>0</v>
      </c>
      <c r="Z528" t="b">
        <v>0</v>
      </c>
      <c r="AC528" s="1"/>
      <c r="AF528">
        <v>0</v>
      </c>
      <c r="AG528">
        <v>45</v>
      </c>
      <c r="AH528">
        <v>190</v>
      </c>
      <c r="AI528" s="2">
        <f>Table__192.168.3.138AgingReportBEWLGS[[#This Row],[NetAmount]]-Table__192.168.3.138AgingReportBEWLGS[[#This Row],[Paid]]</f>
        <v>22086</v>
      </c>
    </row>
    <row r="529" spans="1:35">
      <c r="A529" t="s">
        <v>7340</v>
      </c>
      <c r="B529" s="1">
        <v>41134</v>
      </c>
      <c r="C529" s="1">
        <v>41179</v>
      </c>
      <c r="D529" t="s">
        <v>6448</v>
      </c>
      <c r="E529">
        <v>14280</v>
      </c>
      <c r="F529">
        <v>2285</v>
      </c>
      <c r="G529">
        <v>0</v>
      </c>
      <c r="H529">
        <v>0</v>
      </c>
      <c r="I529">
        <v>134</v>
      </c>
      <c r="J529">
        <v>16565</v>
      </c>
      <c r="K529" t="s">
        <v>93</v>
      </c>
      <c r="L529" s="1">
        <v>41134</v>
      </c>
      <c r="N529" t="s">
        <v>5127</v>
      </c>
      <c r="O529" t="s">
        <v>2458</v>
      </c>
      <c r="P529" t="s">
        <v>6451</v>
      </c>
      <c r="Q529" t="s">
        <v>39</v>
      </c>
      <c r="R529" t="s">
        <v>40</v>
      </c>
      <c r="S529">
        <v>0</v>
      </c>
      <c r="U529" t="s">
        <v>5550</v>
      </c>
      <c r="V529" t="s">
        <v>1797</v>
      </c>
      <c r="X529" t="s">
        <v>74</v>
      </c>
      <c r="Y529" t="b">
        <v>0</v>
      </c>
      <c r="Z529" t="b">
        <v>0</v>
      </c>
      <c r="AC529" s="1"/>
      <c r="AF529">
        <v>0</v>
      </c>
      <c r="AG529">
        <v>45</v>
      </c>
      <c r="AH529">
        <v>179</v>
      </c>
      <c r="AI529" s="2">
        <f>Table__192.168.3.138AgingReportBEWLGS[[#This Row],[NetAmount]]-Table__192.168.3.138AgingReportBEWLGS[[#This Row],[Paid]]</f>
        <v>16565</v>
      </c>
    </row>
    <row r="530" spans="1:35">
      <c r="A530" t="s">
        <v>7341</v>
      </c>
      <c r="B530" s="1">
        <v>41137</v>
      </c>
      <c r="C530" s="1">
        <v>41182</v>
      </c>
      <c r="D530" t="s">
        <v>6448</v>
      </c>
      <c r="E530">
        <v>19040</v>
      </c>
      <c r="F530">
        <v>3046</v>
      </c>
      <c r="G530">
        <v>0</v>
      </c>
      <c r="H530">
        <v>0</v>
      </c>
      <c r="I530">
        <v>131</v>
      </c>
      <c r="J530">
        <v>22086</v>
      </c>
      <c r="K530" t="s">
        <v>99</v>
      </c>
      <c r="L530" s="1">
        <v>41137</v>
      </c>
      <c r="N530" t="s">
        <v>5127</v>
      </c>
      <c r="O530" t="s">
        <v>2458</v>
      </c>
      <c r="P530" t="s">
        <v>6451</v>
      </c>
      <c r="Q530" t="s">
        <v>39</v>
      </c>
      <c r="R530" t="s">
        <v>40</v>
      </c>
      <c r="S530">
        <v>0</v>
      </c>
      <c r="U530" t="s">
        <v>5550</v>
      </c>
      <c r="V530" t="s">
        <v>1797</v>
      </c>
      <c r="X530" t="s">
        <v>74</v>
      </c>
      <c r="Y530" t="b">
        <v>0</v>
      </c>
      <c r="Z530" t="b">
        <v>0</v>
      </c>
      <c r="AC530" s="1"/>
      <c r="AF530">
        <v>0</v>
      </c>
      <c r="AG530">
        <v>45</v>
      </c>
      <c r="AH530">
        <v>176</v>
      </c>
      <c r="AI530" s="2">
        <f>Table__192.168.3.138AgingReportBEWLGS[[#This Row],[NetAmount]]-Table__192.168.3.138AgingReportBEWLGS[[#This Row],[Paid]]</f>
        <v>22086</v>
      </c>
    </row>
    <row r="531" spans="1:35">
      <c r="A531" t="s">
        <v>7342</v>
      </c>
      <c r="B531" s="1">
        <v>41148</v>
      </c>
      <c r="C531" s="1">
        <v>41193</v>
      </c>
      <c r="D531" t="s">
        <v>6474</v>
      </c>
      <c r="E531">
        <v>2714</v>
      </c>
      <c r="F531">
        <v>434</v>
      </c>
      <c r="G531">
        <v>0</v>
      </c>
      <c r="H531">
        <v>0</v>
      </c>
      <c r="I531">
        <v>136</v>
      </c>
      <c r="J531">
        <v>3148</v>
      </c>
      <c r="K531" t="s">
        <v>7343</v>
      </c>
      <c r="L531" s="1">
        <v>41132</v>
      </c>
      <c r="N531" t="s">
        <v>5127</v>
      </c>
      <c r="O531" t="s">
        <v>2458</v>
      </c>
      <c r="P531" t="s">
        <v>6475</v>
      </c>
      <c r="Q531" t="s">
        <v>39</v>
      </c>
      <c r="R531" t="s">
        <v>40</v>
      </c>
      <c r="S531">
        <v>0</v>
      </c>
      <c r="U531" t="s">
        <v>5550</v>
      </c>
      <c r="V531" t="s">
        <v>1797</v>
      </c>
      <c r="X531" t="s">
        <v>74</v>
      </c>
      <c r="Y531" t="b">
        <v>0</v>
      </c>
      <c r="Z531" t="b">
        <v>0</v>
      </c>
      <c r="AB531" t="s">
        <v>7222</v>
      </c>
      <c r="AC531" s="1">
        <v>41263</v>
      </c>
      <c r="AF531">
        <v>0</v>
      </c>
      <c r="AG531">
        <v>45</v>
      </c>
      <c r="AH531">
        <v>181</v>
      </c>
      <c r="AI531" s="2">
        <f>Table__192.168.3.138AgingReportBEWLGS[[#This Row],[NetAmount]]-Table__192.168.3.138AgingReportBEWLGS[[#This Row],[Paid]]</f>
        <v>3148</v>
      </c>
    </row>
    <row r="532" spans="1:35">
      <c r="A532" t="s">
        <v>7344</v>
      </c>
      <c r="B532" s="1">
        <v>41148</v>
      </c>
      <c r="C532" s="1">
        <v>41193</v>
      </c>
      <c r="D532" t="s">
        <v>6474</v>
      </c>
      <c r="E532">
        <v>20000</v>
      </c>
      <c r="F532">
        <v>3200</v>
      </c>
      <c r="G532">
        <v>0</v>
      </c>
      <c r="H532">
        <v>0</v>
      </c>
      <c r="I532">
        <v>150</v>
      </c>
      <c r="J532">
        <v>23200</v>
      </c>
      <c r="K532" t="s">
        <v>7345</v>
      </c>
      <c r="L532" s="1">
        <v>41118</v>
      </c>
      <c r="N532" t="s">
        <v>5127</v>
      </c>
      <c r="O532" t="s">
        <v>2458</v>
      </c>
      <c r="P532" t="s">
        <v>6475</v>
      </c>
      <c r="Q532" t="s">
        <v>39</v>
      </c>
      <c r="R532" t="s">
        <v>40</v>
      </c>
      <c r="S532">
        <v>0</v>
      </c>
      <c r="U532" t="s">
        <v>5550</v>
      </c>
      <c r="V532" t="s">
        <v>1797</v>
      </c>
      <c r="X532" t="s">
        <v>74</v>
      </c>
      <c r="Y532" t="b">
        <v>0</v>
      </c>
      <c r="Z532" t="b">
        <v>0</v>
      </c>
      <c r="AB532" t="s">
        <v>7222</v>
      </c>
      <c r="AC532" s="1">
        <v>41263</v>
      </c>
      <c r="AF532">
        <v>0</v>
      </c>
      <c r="AG532">
        <v>45</v>
      </c>
      <c r="AH532">
        <v>195</v>
      </c>
      <c r="AI532" s="2">
        <f>Table__192.168.3.138AgingReportBEWLGS[[#This Row],[NetAmount]]-Table__192.168.3.138AgingReportBEWLGS[[#This Row],[Paid]]</f>
        <v>23200</v>
      </c>
    </row>
    <row r="533" spans="1:35">
      <c r="A533" t="s">
        <v>7346</v>
      </c>
      <c r="B533" s="1">
        <v>41149</v>
      </c>
      <c r="C533" s="1">
        <v>41194</v>
      </c>
      <c r="D533" t="s">
        <v>249</v>
      </c>
      <c r="E533">
        <v>33701</v>
      </c>
      <c r="F533">
        <v>0</v>
      </c>
      <c r="G533">
        <v>0</v>
      </c>
      <c r="H533">
        <v>0</v>
      </c>
      <c r="I533">
        <v>116</v>
      </c>
      <c r="J533">
        <v>33701</v>
      </c>
      <c r="K533" t="s">
        <v>7347</v>
      </c>
      <c r="L533" s="1">
        <v>41152</v>
      </c>
      <c r="N533" t="s">
        <v>5127</v>
      </c>
      <c r="O533" t="s">
        <v>2458</v>
      </c>
      <c r="P533" t="s">
        <v>6422</v>
      </c>
      <c r="Q533" t="s">
        <v>39</v>
      </c>
      <c r="R533" t="s">
        <v>40</v>
      </c>
      <c r="S533">
        <v>0</v>
      </c>
      <c r="U533" t="s">
        <v>5550</v>
      </c>
      <c r="V533" t="s">
        <v>1797</v>
      </c>
      <c r="X533" t="s">
        <v>74</v>
      </c>
      <c r="Y533" t="b">
        <v>0</v>
      </c>
      <c r="Z533" t="b">
        <v>0</v>
      </c>
      <c r="AC533" s="1"/>
      <c r="AF533">
        <v>0</v>
      </c>
      <c r="AG533">
        <v>45</v>
      </c>
      <c r="AH533">
        <v>161</v>
      </c>
      <c r="AI533" s="2">
        <f>Table__192.168.3.138AgingReportBEWLGS[[#This Row],[NetAmount]]-Table__192.168.3.138AgingReportBEWLGS[[#This Row],[Paid]]</f>
        <v>33701</v>
      </c>
    </row>
    <row r="534" spans="1:35">
      <c r="A534" t="s">
        <v>7348</v>
      </c>
      <c r="B534" s="1">
        <v>41134</v>
      </c>
      <c r="C534" s="1">
        <v>41179</v>
      </c>
      <c r="D534" t="s">
        <v>7264</v>
      </c>
      <c r="E534">
        <v>328960</v>
      </c>
      <c r="F534">
        <v>52633</v>
      </c>
      <c r="G534">
        <v>0</v>
      </c>
      <c r="H534">
        <v>0</v>
      </c>
      <c r="I534">
        <v>134</v>
      </c>
      <c r="J534">
        <v>381593</v>
      </c>
      <c r="K534" t="s">
        <v>7349</v>
      </c>
      <c r="L534" s="1">
        <v>41134</v>
      </c>
      <c r="N534" t="s">
        <v>5127</v>
      </c>
      <c r="O534" t="s">
        <v>2458</v>
      </c>
      <c r="P534" t="s">
        <v>7266</v>
      </c>
      <c r="Q534" t="s">
        <v>39</v>
      </c>
      <c r="R534" t="s">
        <v>40</v>
      </c>
      <c r="S534">
        <v>0</v>
      </c>
      <c r="U534" t="s">
        <v>5550</v>
      </c>
      <c r="V534" t="s">
        <v>1797</v>
      </c>
      <c r="X534" t="s">
        <v>74</v>
      </c>
      <c r="Y534" t="b">
        <v>0</v>
      </c>
      <c r="Z534" t="b">
        <v>0</v>
      </c>
      <c r="AB534" t="s">
        <v>7302</v>
      </c>
      <c r="AC534" s="1"/>
      <c r="AF534">
        <v>0</v>
      </c>
      <c r="AG534">
        <v>45</v>
      </c>
      <c r="AH534">
        <v>179</v>
      </c>
      <c r="AI534" s="2">
        <f>Table__192.168.3.138AgingReportBEWLGS[[#This Row],[NetAmount]]-Table__192.168.3.138AgingReportBEWLGS[[#This Row],[Paid]]</f>
        <v>381593</v>
      </c>
    </row>
    <row r="535" spans="1:35">
      <c r="A535" t="s">
        <v>7350</v>
      </c>
      <c r="B535" s="1">
        <v>41127</v>
      </c>
      <c r="C535" s="1">
        <v>41172</v>
      </c>
      <c r="D535" t="s">
        <v>6542</v>
      </c>
      <c r="E535">
        <v>19721</v>
      </c>
      <c r="F535">
        <v>0</v>
      </c>
      <c r="G535">
        <v>0</v>
      </c>
      <c r="H535">
        <v>0</v>
      </c>
      <c r="I535">
        <v>141</v>
      </c>
      <c r="J535">
        <v>19560</v>
      </c>
      <c r="K535" t="s">
        <v>1254</v>
      </c>
      <c r="L535" s="1">
        <v>41127</v>
      </c>
      <c r="N535" t="s">
        <v>5127</v>
      </c>
      <c r="O535" t="s">
        <v>2458</v>
      </c>
      <c r="P535" t="s">
        <v>6544</v>
      </c>
      <c r="Q535" t="s">
        <v>39</v>
      </c>
      <c r="R535" t="s">
        <v>40</v>
      </c>
      <c r="S535">
        <v>0</v>
      </c>
      <c r="U535" t="s">
        <v>5550</v>
      </c>
      <c r="V535" t="s">
        <v>1797</v>
      </c>
      <c r="X535" t="s">
        <v>74</v>
      </c>
      <c r="Y535" t="b">
        <v>0</v>
      </c>
      <c r="Z535" t="b">
        <v>0</v>
      </c>
      <c r="AC535" s="1"/>
      <c r="AF535">
        <v>0</v>
      </c>
      <c r="AG535">
        <v>45</v>
      </c>
      <c r="AH535">
        <v>186</v>
      </c>
      <c r="AI535" s="2">
        <f>Table__192.168.3.138AgingReportBEWLGS[[#This Row],[NetAmount]]-Table__192.168.3.138AgingReportBEWLGS[[#This Row],[Paid]]</f>
        <v>19560</v>
      </c>
    </row>
    <row r="536" spans="1:35">
      <c r="A536" t="s">
        <v>7351</v>
      </c>
      <c r="B536" s="1">
        <v>41152</v>
      </c>
      <c r="C536" s="1">
        <v>41152</v>
      </c>
      <c r="D536" t="s">
        <v>7352</v>
      </c>
      <c r="E536">
        <v>93575</v>
      </c>
      <c r="F536">
        <v>14972</v>
      </c>
      <c r="G536">
        <v>0</v>
      </c>
      <c r="H536">
        <v>0</v>
      </c>
      <c r="I536">
        <v>0</v>
      </c>
      <c r="J536">
        <v>108547</v>
      </c>
      <c r="K536" t="s">
        <v>7353</v>
      </c>
      <c r="L536" s="1">
        <v>41152</v>
      </c>
      <c r="M536" t="s">
        <v>7354</v>
      </c>
      <c r="N536" t="s">
        <v>5127</v>
      </c>
      <c r="O536" t="s">
        <v>2458</v>
      </c>
      <c r="P536" t="s">
        <v>7355</v>
      </c>
      <c r="Q536" t="s">
        <v>39</v>
      </c>
      <c r="R536" t="s">
        <v>40</v>
      </c>
      <c r="S536">
        <v>0</v>
      </c>
      <c r="U536" t="s">
        <v>5550</v>
      </c>
      <c r="V536" t="s">
        <v>1797</v>
      </c>
      <c r="W536" t="s">
        <v>7356</v>
      </c>
      <c r="X536" t="s">
        <v>74</v>
      </c>
      <c r="Y536" t="b">
        <v>0</v>
      </c>
      <c r="Z536" t="b">
        <v>0</v>
      </c>
      <c r="AA536" t="b">
        <v>0</v>
      </c>
      <c r="AC536" s="1"/>
      <c r="AF536">
        <v>0</v>
      </c>
      <c r="AH536">
        <v>161</v>
      </c>
      <c r="AI536" s="2">
        <f>Table__192.168.3.138AgingReportBEWLGS[[#This Row],[NetAmount]]-Table__192.168.3.138AgingReportBEWLGS[[#This Row],[Paid]]</f>
        <v>108547</v>
      </c>
    </row>
    <row r="537" spans="1:35">
      <c r="A537" t="s">
        <v>7357</v>
      </c>
      <c r="B537" s="1">
        <v>41128</v>
      </c>
      <c r="C537" s="1">
        <v>41173</v>
      </c>
      <c r="D537" t="s">
        <v>6703</v>
      </c>
      <c r="E537">
        <v>1096965</v>
      </c>
      <c r="F537">
        <v>175515</v>
      </c>
      <c r="G537">
        <v>0</v>
      </c>
      <c r="H537">
        <v>0</v>
      </c>
      <c r="I537">
        <v>116</v>
      </c>
      <c r="J537">
        <v>1272480</v>
      </c>
      <c r="K537" t="s">
        <v>7358</v>
      </c>
      <c r="L537" s="1">
        <v>41152</v>
      </c>
      <c r="N537" t="s">
        <v>5127</v>
      </c>
      <c r="O537" t="s">
        <v>2458</v>
      </c>
      <c r="P537" t="s">
        <v>6705</v>
      </c>
      <c r="Q537" t="s">
        <v>39</v>
      </c>
      <c r="R537" t="s">
        <v>40</v>
      </c>
      <c r="S537">
        <v>0</v>
      </c>
      <c r="U537" t="s">
        <v>5550</v>
      </c>
      <c r="V537" t="s">
        <v>1797</v>
      </c>
      <c r="X537" t="s">
        <v>74</v>
      </c>
      <c r="Y537" t="b">
        <v>0</v>
      </c>
      <c r="Z537" t="b">
        <v>0</v>
      </c>
      <c r="AB537" t="s">
        <v>6706</v>
      </c>
      <c r="AC537" s="1">
        <v>41243</v>
      </c>
      <c r="AE537" t="s">
        <v>6707</v>
      </c>
      <c r="AF537">
        <v>0</v>
      </c>
      <c r="AG537">
        <v>45</v>
      </c>
      <c r="AH537">
        <v>161</v>
      </c>
      <c r="AI537" s="2">
        <f>Table__192.168.3.138AgingReportBEWLGS[[#This Row],[NetAmount]]-Table__192.168.3.138AgingReportBEWLGS[[#This Row],[Paid]]</f>
        <v>1272480</v>
      </c>
    </row>
    <row r="538" spans="1:35">
      <c r="A538" t="s">
        <v>7359</v>
      </c>
      <c r="B538" s="1">
        <v>41152</v>
      </c>
      <c r="C538" s="1">
        <v>41197</v>
      </c>
      <c r="D538" t="s">
        <v>6347</v>
      </c>
      <c r="E538">
        <v>600750</v>
      </c>
      <c r="F538">
        <v>96120</v>
      </c>
      <c r="G538">
        <v>0</v>
      </c>
      <c r="H538">
        <v>0</v>
      </c>
      <c r="I538">
        <v>120</v>
      </c>
      <c r="J538">
        <v>696870</v>
      </c>
      <c r="K538" t="s">
        <v>7360</v>
      </c>
      <c r="L538" s="1">
        <v>41148</v>
      </c>
      <c r="N538" t="s">
        <v>5127</v>
      </c>
      <c r="O538" t="s">
        <v>2458</v>
      </c>
      <c r="P538" t="s">
        <v>6349</v>
      </c>
      <c r="Q538" t="s">
        <v>39</v>
      </c>
      <c r="R538" t="s">
        <v>40</v>
      </c>
      <c r="S538">
        <v>0</v>
      </c>
      <c r="U538" t="s">
        <v>5550</v>
      </c>
      <c r="V538" t="s">
        <v>1797</v>
      </c>
      <c r="X538" t="s">
        <v>74</v>
      </c>
      <c r="Y538" t="b">
        <v>0</v>
      </c>
      <c r="Z538" t="b">
        <v>0</v>
      </c>
      <c r="AB538" t="s">
        <v>7361</v>
      </c>
      <c r="AC538" s="1"/>
      <c r="AF538">
        <v>0</v>
      </c>
      <c r="AG538">
        <v>45</v>
      </c>
      <c r="AH538">
        <v>165</v>
      </c>
      <c r="AI538" s="2">
        <f>Table__192.168.3.138AgingReportBEWLGS[[#This Row],[NetAmount]]-Table__192.168.3.138AgingReportBEWLGS[[#This Row],[Paid]]</f>
        <v>696870</v>
      </c>
    </row>
    <row r="539" spans="1:35">
      <c r="A539" t="s">
        <v>7362</v>
      </c>
      <c r="B539" s="1">
        <v>41131</v>
      </c>
      <c r="C539" s="1">
        <v>41176</v>
      </c>
      <c r="D539" t="s">
        <v>6703</v>
      </c>
      <c r="E539">
        <v>1062765</v>
      </c>
      <c r="F539">
        <v>170042</v>
      </c>
      <c r="G539">
        <v>0</v>
      </c>
      <c r="H539">
        <v>0</v>
      </c>
      <c r="I539">
        <v>116</v>
      </c>
      <c r="J539">
        <v>1232807</v>
      </c>
      <c r="K539" t="s">
        <v>7363</v>
      </c>
      <c r="L539" s="1">
        <v>41152</v>
      </c>
      <c r="N539" t="s">
        <v>5127</v>
      </c>
      <c r="O539" t="s">
        <v>2458</v>
      </c>
      <c r="P539" t="s">
        <v>6705</v>
      </c>
      <c r="Q539" t="s">
        <v>39</v>
      </c>
      <c r="R539" t="s">
        <v>40</v>
      </c>
      <c r="S539">
        <v>0</v>
      </c>
      <c r="U539" t="s">
        <v>5550</v>
      </c>
      <c r="V539" t="s">
        <v>1797</v>
      </c>
      <c r="X539" t="s">
        <v>74</v>
      </c>
      <c r="Y539" t="b">
        <v>0</v>
      </c>
      <c r="Z539" t="b">
        <v>0</v>
      </c>
      <c r="AB539" t="s">
        <v>7364</v>
      </c>
      <c r="AC539" s="1">
        <v>41303</v>
      </c>
      <c r="AF539">
        <v>0</v>
      </c>
      <c r="AG539">
        <v>45</v>
      </c>
      <c r="AH539">
        <v>161</v>
      </c>
      <c r="AI539" s="2">
        <f>Table__192.168.3.138AgingReportBEWLGS[[#This Row],[NetAmount]]-Table__192.168.3.138AgingReportBEWLGS[[#This Row],[Paid]]</f>
        <v>1232807</v>
      </c>
    </row>
    <row r="540" spans="1:35">
      <c r="A540" t="s">
        <v>7365</v>
      </c>
      <c r="B540" s="1">
        <v>41159</v>
      </c>
      <c r="C540" s="1">
        <v>41204</v>
      </c>
      <c r="D540" t="s">
        <v>6629</v>
      </c>
      <c r="E540">
        <v>760</v>
      </c>
      <c r="F540">
        <v>122</v>
      </c>
      <c r="G540">
        <v>0</v>
      </c>
      <c r="H540">
        <v>0</v>
      </c>
      <c r="I540">
        <v>110</v>
      </c>
      <c r="J540">
        <v>882</v>
      </c>
      <c r="K540" t="s">
        <v>7366</v>
      </c>
      <c r="L540" s="1">
        <v>41158</v>
      </c>
      <c r="N540" t="s">
        <v>5127</v>
      </c>
      <c r="O540" t="s">
        <v>2458</v>
      </c>
      <c r="P540" t="s">
        <v>6631</v>
      </c>
      <c r="Q540" t="s">
        <v>39</v>
      </c>
      <c r="R540" t="s">
        <v>40</v>
      </c>
      <c r="S540">
        <v>0</v>
      </c>
      <c r="U540" t="s">
        <v>5550</v>
      </c>
      <c r="V540" t="s">
        <v>1797</v>
      </c>
      <c r="X540" t="s">
        <v>74</v>
      </c>
      <c r="Y540" t="b">
        <v>0</v>
      </c>
      <c r="Z540" t="b">
        <v>0</v>
      </c>
      <c r="AC540" s="1"/>
      <c r="AF540">
        <v>0</v>
      </c>
      <c r="AG540">
        <v>45</v>
      </c>
      <c r="AH540">
        <v>155</v>
      </c>
      <c r="AI540" s="2">
        <f>Table__192.168.3.138AgingReportBEWLGS[[#This Row],[NetAmount]]-Table__192.168.3.138AgingReportBEWLGS[[#This Row],[Paid]]</f>
        <v>882</v>
      </c>
    </row>
    <row r="541" spans="1:35">
      <c r="A541" t="s">
        <v>7367</v>
      </c>
      <c r="B541" s="1">
        <v>41159</v>
      </c>
      <c r="C541" s="1">
        <v>41204</v>
      </c>
      <c r="D541" t="s">
        <v>6629</v>
      </c>
      <c r="E541">
        <v>1650</v>
      </c>
      <c r="F541">
        <v>264</v>
      </c>
      <c r="G541">
        <v>0</v>
      </c>
      <c r="H541">
        <v>0</v>
      </c>
      <c r="I541">
        <v>110</v>
      </c>
      <c r="J541">
        <v>1914</v>
      </c>
      <c r="K541" t="s">
        <v>7368</v>
      </c>
      <c r="L541" s="1">
        <v>41158</v>
      </c>
      <c r="N541" t="s">
        <v>5127</v>
      </c>
      <c r="O541" t="s">
        <v>2458</v>
      </c>
      <c r="P541" t="s">
        <v>6631</v>
      </c>
      <c r="Q541" t="s">
        <v>39</v>
      </c>
      <c r="R541" t="s">
        <v>40</v>
      </c>
      <c r="S541">
        <v>0</v>
      </c>
      <c r="U541" t="s">
        <v>5550</v>
      </c>
      <c r="V541" t="s">
        <v>1797</v>
      </c>
      <c r="X541" t="s">
        <v>74</v>
      </c>
      <c r="Y541" t="b">
        <v>0</v>
      </c>
      <c r="Z541" t="b">
        <v>0</v>
      </c>
      <c r="AC541" s="1"/>
      <c r="AF541">
        <v>0</v>
      </c>
      <c r="AG541">
        <v>45</v>
      </c>
      <c r="AH541">
        <v>155</v>
      </c>
      <c r="AI541" s="2">
        <f>Table__192.168.3.138AgingReportBEWLGS[[#This Row],[NetAmount]]-Table__192.168.3.138AgingReportBEWLGS[[#This Row],[Paid]]</f>
        <v>1914</v>
      </c>
    </row>
    <row r="542" spans="1:35">
      <c r="A542" t="s">
        <v>7369</v>
      </c>
      <c r="B542" s="1">
        <v>41159</v>
      </c>
      <c r="C542" s="1">
        <v>41204</v>
      </c>
      <c r="D542" t="s">
        <v>6629</v>
      </c>
      <c r="E542">
        <v>16500</v>
      </c>
      <c r="F542">
        <v>2640</v>
      </c>
      <c r="G542">
        <v>0</v>
      </c>
      <c r="H542">
        <v>0</v>
      </c>
      <c r="I542">
        <v>110</v>
      </c>
      <c r="J542">
        <v>19140</v>
      </c>
      <c r="K542" t="s">
        <v>7370</v>
      </c>
      <c r="L542" s="1">
        <v>41158</v>
      </c>
      <c r="N542" t="s">
        <v>5127</v>
      </c>
      <c r="O542" t="s">
        <v>2458</v>
      </c>
      <c r="P542" t="s">
        <v>6631</v>
      </c>
      <c r="Q542" t="s">
        <v>39</v>
      </c>
      <c r="R542" t="s">
        <v>40</v>
      </c>
      <c r="S542">
        <v>0</v>
      </c>
      <c r="U542" t="s">
        <v>5550</v>
      </c>
      <c r="V542" t="s">
        <v>1797</v>
      </c>
      <c r="X542" t="s">
        <v>74</v>
      </c>
      <c r="Y542" t="b">
        <v>0</v>
      </c>
      <c r="Z542" t="b">
        <v>0</v>
      </c>
      <c r="AC542" s="1"/>
      <c r="AF542">
        <v>0</v>
      </c>
      <c r="AG542">
        <v>45</v>
      </c>
      <c r="AH542">
        <v>155</v>
      </c>
      <c r="AI542" s="2">
        <f>Table__192.168.3.138AgingReportBEWLGS[[#This Row],[NetAmount]]-Table__192.168.3.138AgingReportBEWLGS[[#This Row],[Paid]]</f>
        <v>19140</v>
      </c>
    </row>
    <row r="543" spans="1:35">
      <c r="A543" t="s">
        <v>7371</v>
      </c>
      <c r="B543" s="1">
        <v>41162</v>
      </c>
      <c r="C543" s="1">
        <v>41162</v>
      </c>
      <c r="D543" t="s">
        <v>7352</v>
      </c>
      <c r="E543">
        <v>94430</v>
      </c>
      <c r="F543">
        <v>15109</v>
      </c>
      <c r="G543">
        <v>0</v>
      </c>
      <c r="H543">
        <v>0</v>
      </c>
      <c r="I543">
        <v>0</v>
      </c>
      <c r="J543">
        <v>109539</v>
      </c>
      <c r="K543" t="s">
        <v>4529</v>
      </c>
      <c r="L543" s="1">
        <v>41164</v>
      </c>
      <c r="N543" t="s">
        <v>5127</v>
      </c>
      <c r="O543" t="s">
        <v>2458</v>
      </c>
      <c r="P543" t="s">
        <v>7355</v>
      </c>
      <c r="Q543" t="s">
        <v>39</v>
      </c>
      <c r="R543" t="s">
        <v>40</v>
      </c>
      <c r="S543">
        <v>0</v>
      </c>
      <c r="U543" t="s">
        <v>5550</v>
      </c>
      <c r="V543" t="s">
        <v>1797</v>
      </c>
      <c r="X543" t="s">
        <v>74</v>
      </c>
      <c r="Y543" t="b">
        <v>0</v>
      </c>
      <c r="Z543" t="b">
        <v>0</v>
      </c>
      <c r="AC543" s="1"/>
      <c r="AF543">
        <v>0</v>
      </c>
      <c r="AH543">
        <v>149</v>
      </c>
      <c r="AI543" s="2">
        <f>Table__192.168.3.138AgingReportBEWLGS[[#This Row],[NetAmount]]-Table__192.168.3.138AgingReportBEWLGS[[#This Row],[Paid]]</f>
        <v>109539</v>
      </c>
    </row>
    <row r="544" spans="1:35">
      <c r="A544" t="s">
        <v>7372</v>
      </c>
      <c r="B544" s="1">
        <v>41162</v>
      </c>
      <c r="C544" s="1">
        <v>41207</v>
      </c>
      <c r="D544" t="s">
        <v>6425</v>
      </c>
      <c r="E544">
        <v>14200</v>
      </c>
      <c r="F544">
        <v>2272</v>
      </c>
      <c r="G544">
        <v>0</v>
      </c>
      <c r="H544">
        <v>0</v>
      </c>
      <c r="I544">
        <v>108</v>
      </c>
      <c r="J544">
        <v>16472</v>
      </c>
      <c r="K544" t="s">
        <v>7373</v>
      </c>
      <c r="L544" s="1">
        <v>41160</v>
      </c>
      <c r="N544" t="s">
        <v>5127</v>
      </c>
      <c r="O544" t="s">
        <v>2458</v>
      </c>
      <c r="P544" t="s">
        <v>5478</v>
      </c>
      <c r="Q544" t="s">
        <v>39</v>
      </c>
      <c r="R544" t="s">
        <v>40</v>
      </c>
      <c r="S544">
        <v>0</v>
      </c>
      <c r="U544" t="s">
        <v>5550</v>
      </c>
      <c r="V544" t="s">
        <v>1797</v>
      </c>
      <c r="X544" t="s">
        <v>74</v>
      </c>
      <c r="Y544" t="b">
        <v>0</v>
      </c>
      <c r="Z544" t="b">
        <v>0</v>
      </c>
      <c r="AC544" s="1"/>
      <c r="AF544">
        <v>0</v>
      </c>
      <c r="AG544">
        <v>45</v>
      </c>
      <c r="AH544">
        <v>153</v>
      </c>
      <c r="AI544" s="2">
        <f>Table__192.168.3.138AgingReportBEWLGS[[#This Row],[NetAmount]]-Table__192.168.3.138AgingReportBEWLGS[[#This Row],[Paid]]</f>
        <v>16472</v>
      </c>
    </row>
    <row r="545" spans="1:35">
      <c r="A545" t="s">
        <v>7374</v>
      </c>
      <c r="B545" s="1">
        <v>41160</v>
      </c>
      <c r="C545" s="1">
        <v>41205</v>
      </c>
      <c r="D545" t="s">
        <v>7375</v>
      </c>
      <c r="E545">
        <v>160240</v>
      </c>
      <c r="F545">
        <v>25638</v>
      </c>
      <c r="G545">
        <v>0</v>
      </c>
      <c r="H545">
        <v>0</v>
      </c>
      <c r="I545">
        <v>106</v>
      </c>
      <c r="J545">
        <v>185878</v>
      </c>
      <c r="K545" t="s">
        <v>7376</v>
      </c>
      <c r="L545" s="1">
        <v>41162</v>
      </c>
      <c r="N545" t="s">
        <v>5127</v>
      </c>
      <c r="O545" t="s">
        <v>2458</v>
      </c>
      <c r="P545" t="s">
        <v>7377</v>
      </c>
      <c r="Q545" t="s">
        <v>39</v>
      </c>
      <c r="R545" t="s">
        <v>40</v>
      </c>
      <c r="S545">
        <v>0</v>
      </c>
      <c r="U545" t="s">
        <v>5550</v>
      </c>
      <c r="V545" t="s">
        <v>1797</v>
      </c>
      <c r="X545" t="s">
        <v>74</v>
      </c>
      <c r="Y545" t="b">
        <v>0</v>
      </c>
      <c r="Z545" t="b">
        <v>0</v>
      </c>
      <c r="AB545" t="s">
        <v>7378</v>
      </c>
      <c r="AC545" s="1">
        <v>41297</v>
      </c>
      <c r="AF545">
        <v>0</v>
      </c>
      <c r="AG545">
        <v>45</v>
      </c>
      <c r="AH545">
        <v>151</v>
      </c>
      <c r="AI545" s="2">
        <f>Table__192.168.3.138AgingReportBEWLGS[[#This Row],[NetAmount]]-Table__192.168.3.138AgingReportBEWLGS[[#This Row],[Paid]]</f>
        <v>185878</v>
      </c>
    </row>
    <row r="546" spans="1:35">
      <c r="A546" t="s">
        <v>7379</v>
      </c>
      <c r="B546" s="1">
        <v>41159</v>
      </c>
      <c r="C546" s="1">
        <v>41204</v>
      </c>
      <c r="D546" t="s">
        <v>7375</v>
      </c>
      <c r="E546">
        <v>7200</v>
      </c>
      <c r="F546">
        <v>1152</v>
      </c>
      <c r="G546">
        <v>0</v>
      </c>
      <c r="H546">
        <v>0</v>
      </c>
      <c r="I546">
        <v>106</v>
      </c>
      <c r="J546">
        <v>8352</v>
      </c>
      <c r="K546" t="s">
        <v>7380</v>
      </c>
      <c r="L546" s="1">
        <v>41162</v>
      </c>
      <c r="N546" t="s">
        <v>5127</v>
      </c>
      <c r="O546" t="s">
        <v>2458</v>
      </c>
      <c r="P546" t="s">
        <v>7377</v>
      </c>
      <c r="Q546" t="s">
        <v>39</v>
      </c>
      <c r="R546" t="s">
        <v>40</v>
      </c>
      <c r="S546">
        <v>0</v>
      </c>
      <c r="U546" t="s">
        <v>5550</v>
      </c>
      <c r="V546" t="s">
        <v>1797</v>
      </c>
      <c r="X546" t="s">
        <v>74</v>
      </c>
      <c r="Y546" t="b">
        <v>0</v>
      </c>
      <c r="Z546" t="b">
        <v>0</v>
      </c>
      <c r="AB546" t="s">
        <v>7378</v>
      </c>
      <c r="AC546" s="1">
        <v>41297</v>
      </c>
      <c r="AF546">
        <v>0</v>
      </c>
      <c r="AG546">
        <v>45</v>
      </c>
      <c r="AH546">
        <v>151</v>
      </c>
      <c r="AI546" s="2">
        <f>Table__192.168.3.138AgingReportBEWLGS[[#This Row],[NetAmount]]-Table__192.168.3.138AgingReportBEWLGS[[#This Row],[Paid]]</f>
        <v>8352</v>
      </c>
    </row>
    <row r="547" spans="1:35">
      <c r="A547" t="s">
        <v>7381</v>
      </c>
      <c r="B547" s="1">
        <v>41159</v>
      </c>
      <c r="C547" s="1">
        <v>41204</v>
      </c>
      <c r="D547" t="s">
        <v>7375</v>
      </c>
      <c r="E547">
        <v>3400</v>
      </c>
      <c r="F547">
        <v>544</v>
      </c>
      <c r="G547">
        <v>0</v>
      </c>
      <c r="H547">
        <v>0</v>
      </c>
      <c r="I547">
        <v>106</v>
      </c>
      <c r="J547">
        <v>3944</v>
      </c>
      <c r="K547" t="s">
        <v>7382</v>
      </c>
      <c r="L547" s="1">
        <v>41162</v>
      </c>
      <c r="N547" t="s">
        <v>5127</v>
      </c>
      <c r="O547" t="s">
        <v>2458</v>
      </c>
      <c r="P547" t="s">
        <v>7377</v>
      </c>
      <c r="Q547" t="s">
        <v>39</v>
      </c>
      <c r="R547" t="s">
        <v>40</v>
      </c>
      <c r="S547">
        <v>0</v>
      </c>
      <c r="U547" t="s">
        <v>5550</v>
      </c>
      <c r="V547" t="s">
        <v>1797</v>
      </c>
      <c r="X547" t="s">
        <v>74</v>
      </c>
      <c r="Y547" t="b">
        <v>0</v>
      </c>
      <c r="Z547" t="b">
        <v>0</v>
      </c>
      <c r="AB547" t="s">
        <v>7378</v>
      </c>
      <c r="AC547" s="1">
        <v>41297</v>
      </c>
      <c r="AF547">
        <v>0</v>
      </c>
      <c r="AG547">
        <v>45</v>
      </c>
      <c r="AH547">
        <v>151</v>
      </c>
      <c r="AI547" s="2">
        <f>Table__192.168.3.138AgingReportBEWLGS[[#This Row],[NetAmount]]-Table__192.168.3.138AgingReportBEWLGS[[#This Row],[Paid]]</f>
        <v>3944</v>
      </c>
    </row>
    <row r="548" spans="1:35">
      <c r="A548" t="s">
        <v>7383</v>
      </c>
      <c r="B548" s="1">
        <v>41159</v>
      </c>
      <c r="C548" s="1">
        <v>41204</v>
      </c>
      <c r="D548" t="s">
        <v>7375</v>
      </c>
      <c r="E548">
        <v>2040</v>
      </c>
      <c r="F548">
        <v>327</v>
      </c>
      <c r="G548">
        <v>0</v>
      </c>
      <c r="H548">
        <v>0</v>
      </c>
      <c r="I548">
        <v>106</v>
      </c>
      <c r="J548">
        <v>2367</v>
      </c>
      <c r="K548" t="s">
        <v>7384</v>
      </c>
      <c r="L548" s="1">
        <v>41162</v>
      </c>
      <c r="N548" t="s">
        <v>5127</v>
      </c>
      <c r="O548" t="s">
        <v>2458</v>
      </c>
      <c r="P548" t="s">
        <v>7377</v>
      </c>
      <c r="Q548" t="s">
        <v>39</v>
      </c>
      <c r="R548" t="s">
        <v>40</v>
      </c>
      <c r="S548">
        <v>0</v>
      </c>
      <c r="U548" t="s">
        <v>5550</v>
      </c>
      <c r="V548" t="s">
        <v>1797</v>
      </c>
      <c r="X548" t="s">
        <v>74</v>
      </c>
      <c r="Y548" t="b">
        <v>0</v>
      </c>
      <c r="Z548" t="b">
        <v>0</v>
      </c>
      <c r="AB548" t="s">
        <v>7378</v>
      </c>
      <c r="AC548" s="1">
        <v>41297</v>
      </c>
      <c r="AF548">
        <v>0</v>
      </c>
      <c r="AG548">
        <v>45</v>
      </c>
      <c r="AH548">
        <v>151</v>
      </c>
      <c r="AI548" s="2">
        <f>Table__192.168.3.138AgingReportBEWLGS[[#This Row],[NetAmount]]-Table__192.168.3.138AgingReportBEWLGS[[#This Row],[Paid]]</f>
        <v>2367</v>
      </c>
    </row>
    <row r="549" spans="1:35">
      <c r="A549" t="s">
        <v>7385</v>
      </c>
      <c r="B549" s="1">
        <v>41160</v>
      </c>
      <c r="C549" s="1">
        <v>41205</v>
      </c>
      <c r="D549" t="s">
        <v>6400</v>
      </c>
      <c r="E549">
        <v>21150</v>
      </c>
      <c r="F549">
        <v>3384</v>
      </c>
      <c r="G549">
        <v>0</v>
      </c>
      <c r="H549">
        <v>0</v>
      </c>
      <c r="I549">
        <v>111</v>
      </c>
      <c r="J549">
        <v>24534</v>
      </c>
      <c r="K549" t="s">
        <v>7386</v>
      </c>
      <c r="L549" s="1">
        <v>41157</v>
      </c>
      <c r="N549" t="s">
        <v>5127</v>
      </c>
      <c r="O549" t="s">
        <v>2458</v>
      </c>
      <c r="P549" t="s">
        <v>6403</v>
      </c>
      <c r="Q549" t="s">
        <v>39</v>
      </c>
      <c r="R549" t="s">
        <v>40</v>
      </c>
      <c r="S549">
        <v>0</v>
      </c>
      <c r="U549" t="s">
        <v>5550</v>
      </c>
      <c r="V549" t="s">
        <v>1797</v>
      </c>
      <c r="X549" t="s">
        <v>74</v>
      </c>
      <c r="Y549" t="b">
        <v>0</v>
      </c>
      <c r="Z549" t="b">
        <v>0</v>
      </c>
      <c r="AC549" s="1"/>
      <c r="AF549">
        <v>0</v>
      </c>
      <c r="AG549">
        <v>45</v>
      </c>
      <c r="AH549">
        <v>156</v>
      </c>
      <c r="AI549" s="2">
        <f>Table__192.168.3.138AgingReportBEWLGS[[#This Row],[NetAmount]]-Table__192.168.3.138AgingReportBEWLGS[[#This Row],[Paid]]</f>
        <v>24534</v>
      </c>
    </row>
    <row r="550" spans="1:35">
      <c r="A550" t="s">
        <v>7387</v>
      </c>
      <c r="B550" s="1">
        <v>41160</v>
      </c>
      <c r="C550" s="1">
        <v>41205</v>
      </c>
      <c r="D550" t="s">
        <v>6629</v>
      </c>
      <c r="E550">
        <v>9600</v>
      </c>
      <c r="F550">
        <v>1536</v>
      </c>
      <c r="G550">
        <v>0</v>
      </c>
      <c r="H550">
        <v>0</v>
      </c>
      <c r="I550">
        <v>110</v>
      </c>
      <c r="J550">
        <v>11136</v>
      </c>
      <c r="K550" t="s">
        <v>7388</v>
      </c>
      <c r="L550" s="1">
        <v>41158</v>
      </c>
      <c r="N550" t="s">
        <v>5127</v>
      </c>
      <c r="O550" t="s">
        <v>2458</v>
      </c>
      <c r="P550" t="s">
        <v>6631</v>
      </c>
      <c r="Q550" t="s">
        <v>39</v>
      </c>
      <c r="R550" t="s">
        <v>40</v>
      </c>
      <c r="S550">
        <v>0</v>
      </c>
      <c r="U550" t="s">
        <v>5550</v>
      </c>
      <c r="V550" t="s">
        <v>1797</v>
      </c>
      <c r="X550" t="s">
        <v>74</v>
      </c>
      <c r="Y550" t="b">
        <v>0</v>
      </c>
      <c r="Z550" t="b">
        <v>0</v>
      </c>
      <c r="AC550" s="1"/>
      <c r="AF550">
        <v>0</v>
      </c>
      <c r="AG550">
        <v>45</v>
      </c>
      <c r="AH550">
        <v>155</v>
      </c>
      <c r="AI550" s="2">
        <f>Table__192.168.3.138AgingReportBEWLGS[[#This Row],[NetAmount]]-Table__192.168.3.138AgingReportBEWLGS[[#This Row],[Paid]]</f>
        <v>11136</v>
      </c>
    </row>
    <row r="551" spans="1:35">
      <c r="A551" t="s">
        <v>7389</v>
      </c>
      <c r="B551" s="1">
        <v>41165</v>
      </c>
      <c r="C551" s="1">
        <v>41210</v>
      </c>
      <c r="D551" t="s">
        <v>7308</v>
      </c>
      <c r="E551">
        <v>20000</v>
      </c>
      <c r="F551">
        <v>3200</v>
      </c>
      <c r="G551">
        <v>0</v>
      </c>
      <c r="H551">
        <v>0</v>
      </c>
      <c r="I551">
        <v>104</v>
      </c>
      <c r="J551">
        <v>23200</v>
      </c>
      <c r="K551" t="s">
        <v>1602</v>
      </c>
      <c r="L551" s="1">
        <v>41164</v>
      </c>
      <c r="M551" t="s">
        <v>7390</v>
      </c>
      <c r="N551" t="s">
        <v>5127</v>
      </c>
      <c r="O551" t="s">
        <v>2458</v>
      </c>
      <c r="P551" t="s">
        <v>5490</v>
      </c>
      <c r="Q551" t="s">
        <v>39</v>
      </c>
      <c r="R551" t="s">
        <v>40</v>
      </c>
      <c r="S551">
        <v>0</v>
      </c>
      <c r="U551" t="s">
        <v>5550</v>
      </c>
      <c r="V551" t="s">
        <v>1797</v>
      </c>
      <c r="W551" t="s">
        <v>7311</v>
      </c>
      <c r="X551" t="s">
        <v>74</v>
      </c>
      <c r="Y551" t="b">
        <v>0</v>
      </c>
      <c r="Z551" t="b">
        <v>0</v>
      </c>
      <c r="AA551" t="b">
        <v>0</v>
      </c>
      <c r="AC551" s="1"/>
      <c r="AF551">
        <v>0</v>
      </c>
      <c r="AG551">
        <v>45</v>
      </c>
      <c r="AH551">
        <v>149</v>
      </c>
      <c r="AI551" s="2">
        <f>Table__192.168.3.138AgingReportBEWLGS[[#This Row],[NetAmount]]-Table__192.168.3.138AgingReportBEWLGS[[#This Row],[Paid]]</f>
        <v>23200</v>
      </c>
    </row>
    <row r="552" spans="1:35">
      <c r="A552" t="s">
        <v>7391</v>
      </c>
      <c r="B552" s="1">
        <v>41159</v>
      </c>
      <c r="C552" s="1">
        <v>41204</v>
      </c>
      <c r="D552" t="s">
        <v>6486</v>
      </c>
      <c r="E552">
        <v>5000</v>
      </c>
      <c r="F552">
        <v>800</v>
      </c>
      <c r="G552">
        <v>0</v>
      </c>
      <c r="H552">
        <v>0</v>
      </c>
      <c r="I552">
        <v>104</v>
      </c>
      <c r="J552">
        <v>5800</v>
      </c>
      <c r="K552" t="s">
        <v>7392</v>
      </c>
      <c r="L552" s="1">
        <v>41164</v>
      </c>
      <c r="N552" t="s">
        <v>5127</v>
      </c>
      <c r="O552" t="s">
        <v>2458</v>
      </c>
      <c r="P552" t="s">
        <v>5464</v>
      </c>
      <c r="Q552" t="s">
        <v>39</v>
      </c>
      <c r="R552" t="s">
        <v>40</v>
      </c>
      <c r="S552">
        <v>0</v>
      </c>
      <c r="U552" t="s">
        <v>5550</v>
      </c>
      <c r="V552" t="s">
        <v>1797</v>
      </c>
      <c r="X552" t="s">
        <v>74</v>
      </c>
      <c r="Y552" t="b">
        <v>0</v>
      </c>
      <c r="Z552" t="b">
        <v>0</v>
      </c>
      <c r="AC552" s="1"/>
      <c r="AF552">
        <v>0</v>
      </c>
      <c r="AG552">
        <v>45</v>
      </c>
      <c r="AH552">
        <v>149</v>
      </c>
      <c r="AI552" s="2">
        <f>Table__192.168.3.138AgingReportBEWLGS[[#This Row],[NetAmount]]-Table__192.168.3.138AgingReportBEWLGS[[#This Row],[Paid]]</f>
        <v>5800</v>
      </c>
    </row>
    <row r="553" spans="1:35">
      <c r="A553" t="s">
        <v>7393</v>
      </c>
      <c r="B553" s="1">
        <v>41159</v>
      </c>
      <c r="C553" s="1">
        <v>41204</v>
      </c>
      <c r="D553" t="s">
        <v>6486</v>
      </c>
      <c r="E553">
        <v>2700</v>
      </c>
      <c r="F553">
        <v>432</v>
      </c>
      <c r="G553">
        <v>0</v>
      </c>
      <c r="H553">
        <v>0</v>
      </c>
      <c r="I553">
        <v>104</v>
      </c>
      <c r="J553">
        <v>3132</v>
      </c>
      <c r="K553" t="s">
        <v>7394</v>
      </c>
      <c r="L553" s="1">
        <v>41164</v>
      </c>
      <c r="N553" t="s">
        <v>5127</v>
      </c>
      <c r="O553" t="s">
        <v>2458</v>
      </c>
      <c r="P553" t="s">
        <v>5464</v>
      </c>
      <c r="Q553" t="s">
        <v>39</v>
      </c>
      <c r="R553" t="s">
        <v>40</v>
      </c>
      <c r="S553">
        <v>0</v>
      </c>
      <c r="U553" t="s">
        <v>5550</v>
      </c>
      <c r="V553" t="s">
        <v>1797</v>
      </c>
      <c r="X553" t="s">
        <v>74</v>
      </c>
      <c r="Y553" t="b">
        <v>0</v>
      </c>
      <c r="Z553" t="b">
        <v>0</v>
      </c>
      <c r="AC553" s="1"/>
      <c r="AF553">
        <v>0</v>
      </c>
      <c r="AG553">
        <v>45</v>
      </c>
      <c r="AH553">
        <v>149</v>
      </c>
      <c r="AI553" s="2">
        <f>Table__192.168.3.138AgingReportBEWLGS[[#This Row],[NetAmount]]-Table__192.168.3.138AgingReportBEWLGS[[#This Row],[Paid]]</f>
        <v>3132</v>
      </c>
    </row>
    <row r="554" spans="1:35">
      <c r="A554" t="s">
        <v>7395</v>
      </c>
      <c r="B554" s="1">
        <v>41159</v>
      </c>
      <c r="C554" s="1">
        <v>41204</v>
      </c>
      <c r="D554" t="s">
        <v>6486</v>
      </c>
      <c r="E554">
        <v>4320</v>
      </c>
      <c r="F554">
        <v>691</v>
      </c>
      <c r="G554">
        <v>0</v>
      </c>
      <c r="H554">
        <v>0</v>
      </c>
      <c r="I554">
        <v>104</v>
      </c>
      <c r="J554">
        <v>5011</v>
      </c>
      <c r="K554" t="s">
        <v>7396</v>
      </c>
      <c r="L554" s="1">
        <v>41164</v>
      </c>
      <c r="N554" t="s">
        <v>5127</v>
      </c>
      <c r="O554" t="s">
        <v>2458</v>
      </c>
      <c r="P554" t="s">
        <v>5464</v>
      </c>
      <c r="Q554" t="s">
        <v>39</v>
      </c>
      <c r="R554" t="s">
        <v>40</v>
      </c>
      <c r="S554">
        <v>0</v>
      </c>
      <c r="U554" t="s">
        <v>5550</v>
      </c>
      <c r="V554" t="s">
        <v>1797</v>
      </c>
      <c r="X554" t="s">
        <v>74</v>
      </c>
      <c r="Y554" t="b">
        <v>0</v>
      </c>
      <c r="Z554" t="b">
        <v>0</v>
      </c>
      <c r="AC554" s="1"/>
      <c r="AF554">
        <v>0</v>
      </c>
      <c r="AG554">
        <v>45</v>
      </c>
      <c r="AH554">
        <v>149</v>
      </c>
      <c r="AI554" s="2">
        <f>Table__192.168.3.138AgingReportBEWLGS[[#This Row],[NetAmount]]-Table__192.168.3.138AgingReportBEWLGS[[#This Row],[Paid]]</f>
        <v>5011</v>
      </c>
    </row>
    <row r="555" spans="1:35">
      <c r="A555" t="s">
        <v>7397</v>
      </c>
      <c r="B555" s="1">
        <v>41159</v>
      </c>
      <c r="C555" s="1">
        <v>41204</v>
      </c>
      <c r="D555" t="s">
        <v>6486</v>
      </c>
      <c r="E555">
        <v>825</v>
      </c>
      <c r="F555">
        <v>132</v>
      </c>
      <c r="G555">
        <v>0</v>
      </c>
      <c r="H555">
        <v>0</v>
      </c>
      <c r="I555">
        <v>104</v>
      </c>
      <c r="J555">
        <v>957</v>
      </c>
      <c r="K555" t="s">
        <v>7398</v>
      </c>
      <c r="L555" s="1">
        <v>41164</v>
      </c>
      <c r="N555" t="s">
        <v>5127</v>
      </c>
      <c r="O555" t="s">
        <v>2458</v>
      </c>
      <c r="P555" t="s">
        <v>5464</v>
      </c>
      <c r="Q555" t="s">
        <v>39</v>
      </c>
      <c r="R555" t="s">
        <v>40</v>
      </c>
      <c r="S555">
        <v>0</v>
      </c>
      <c r="U555" t="s">
        <v>5550</v>
      </c>
      <c r="V555" t="s">
        <v>1797</v>
      </c>
      <c r="X555" t="s">
        <v>74</v>
      </c>
      <c r="Y555" t="b">
        <v>0</v>
      </c>
      <c r="Z555" t="b">
        <v>0</v>
      </c>
      <c r="AC555" s="1"/>
      <c r="AF555">
        <v>0</v>
      </c>
      <c r="AG555">
        <v>45</v>
      </c>
      <c r="AH555">
        <v>149</v>
      </c>
      <c r="AI555" s="2">
        <f>Table__192.168.3.138AgingReportBEWLGS[[#This Row],[NetAmount]]-Table__192.168.3.138AgingReportBEWLGS[[#This Row],[Paid]]</f>
        <v>957</v>
      </c>
    </row>
    <row r="556" spans="1:35">
      <c r="A556" t="s">
        <v>7399</v>
      </c>
      <c r="B556" s="1">
        <v>41170</v>
      </c>
      <c r="C556" s="1">
        <v>41215</v>
      </c>
      <c r="D556" t="s">
        <v>6278</v>
      </c>
      <c r="E556">
        <v>11994</v>
      </c>
      <c r="F556">
        <v>446</v>
      </c>
      <c r="G556">
        <v>0</v>
      </c>
      <c r="H556">
        <v>0</v>
      </c>
      <c r="I556">
        <v>98</v>
      </c>
      <c r="J556">
        <v>12440</v>
      </c>
      <c r="K556" t="s">
        <v>5807</v>
      </c>
      <c r="L556" s="1">
        <v>41170</v>
      </c>
      <c r="N556" t="s">
        <v>5127</v>
      </c>
      <c r="O556" t="s">
        <v>2458</v>
      </c>
      <c r="P556" t="s">
        <v>6280</v>
      </c>
      <c r="Q556" t="s">
        <v>39</v>
      </c>
      <c r="R556" t="s">
        <v>40</v>
      </c>
      <c r="S556">
        <v>0</v>
      </c>
      <c r="U556" t="s">
        <v>5550</v>
      </c>
      <c r="V556" t="s">
        <v>1797</v>
      </c>
      <c r="X556" t="s">
        <v>74</v>
      </c>
      <c r="Y556" t="b">
        <v>0</v>
      </c>
      <c r="Z556" t="b">
        <v>0</v>
      </c>
      <c r="AC556" s="1"/>
      <c r="AF556">
        <v>0</v>
      </c>
      <c r="AG556">
        <v>45</v>
      </c>
      <c r="AH556">
        <v>143</v>
      </c>
      <c r="AI556" s="2">
        <f>Table__192.168.3.138AgingReportBEWLGS[[#This Row],[NetAmount]]-Table__192.168.3.138AgingReportBEWLGS[[#This Row],[Paid]]</f>
        <v>12440</v>
      </c>
    </row>
    <row r="557" spans="1:35">
      <c r="A557" t="s">
        <v>7400</v>
      </c>
      <c r="B557" s="1">
        <v>41170</v>
      </c>
      <c r="C557" s="1">
        <v>41215</v>
      </c>
      <c r="D557" t="s">
        <v>7401</v>
      </c>
      <c r="E557">
        <v>297250</v>
      </c>
      <c r="F557">
        <v>47560</v>
      </c>
      <c r="G557">
        <v>0</v>
      </c>
      <c r="H557">
        <v>0</v>
      </c>
      <c r="I557">
        <v>101</v>
      </c>
      <c r="J557">
        <v>344810</v>
      </c>
      <c r="K557" t="s">
        <v>137</v>
      </c>
      <c r="L557" s="1">
        <v>41167</v>
      </c>
      <c r="N557" t="s">
        <v>5127</v>
      </c>
      <c r="O557" t="s">
        <v>2458</v>
      </c>
      <c r="P557" t="s">
        <v>5538</v>
      </c>
      <c r="Q557" t="s">
        <v>39</v>
      </c>
      <c r="R557" t="s">
        <v>40</v>
      </c>
      <c r="S557">
        <v>0</v>
      </c>
      <c r="U557" t="s">
        <v>5550</v>
      </c>
      <c r="V557" t="s">
        <v>1797</v>
      </c>
      <c r="X557" t="s">
        <v>74</v>
      </c>
      <c r="Y557" t="b">
        <v>0</v>
      </c>
      <c r="Z557" t="b">
        <v>0</v>
      </c>
      <c r="AC557" s="1"/>
      <c r="AF557">
        <v>0</v>
      </c>
      <c r="AG557">
        <v>45</v>
      </c>
      <c r="AH557">
        <v>146</v>
      </c>
      <c r="AI557" s="2">
        <f>Table__192.168.3.138AgingReportBEWLGS[[#This Row],[NetAmount]]-Table__192.168.3.138AgingReportBEWLGS[[#This Row],[Paid]]</f>
        <v>344810</v>
      </c>
    </row>
    <row r="558" spans="1:35">
      <c r="A558" t="s">
        <v>7402</v>
      </c>
      <c r="B558" s="1">
        <v>41170</v>
      </c>
      <c r="C558" s="1">
        <v>41215</v>
      </c>
      <c r="D558" t="s">
        <v>7308</v>
      </c>
      <c r="E558">
        <v>22500</v>
      </c>
      <c r="F558">
        <v>3600</v>
      </c>
      <c r="G558">
        <v>0</v>
      </c>
      <c r="H558">
        <v>0</v>
      </c>
      <c r="I558">
        <v>102</v>
      </c>
      <c r="J558">
        <v>26100</v>
      </c>
      <c r="K558" t="s">
        <v>4077</v>
      </c>
      <c r="L558" s="1">
        <v>41166</v>
      </c>
      <c r="N558" t="s">
        <v>5127</v>
      </c>
      <c r="O558" t="s">
        <v>2458</v>
      </c>
      <c r="P558" t="s">
        <v>5490</v>
      </c>
      <c r="Q558" t="s">
        <v>39</v>
      </c>
      <c r="R558" t="s">
        <v>40</v>
      </c>
      <c r="S558">
        <v>0</v>
      </c>
      <c r="U558" t="s">
        <v>5550</v>
      </c>
      <c r="V558" t="s">
        <v>1797</v>
      </c>
      <c r="X558" t="s">
        <v>74</v>
      </c>
      <c r="Y558" t="b">
        <v>0</v>
      </c>
      <c r="Z558" t="b">
        <v>0</v>
      </c>
      <c r="AC558" s="1"/>
      <c r="AF558">
        <v>0</v>
      </c>
      <c r="AG558">
        <v>45</v>
      </c>
      <c r="AH558">
        <v>147</v>
      </c>
      <c r="AI558" s="2">
        <f>Table__192.168.3.138AgingReportBEWLGS[[#This Row],[NetAmount]]-Table__192.168.3.138AgingReportBEWLGS[[#This Row],[Paid]]</f>
        <v>26100</v>
      </c>
    </row>
    <row r="559" spans="1:35">
      <c r="A559" t="s">
        <v>7403</v>
      </c>
      <c r="B559" s="1">
        <v>41170</v>
      </c>
      <c r="C559" s="1">
        <v>41215</v>
      </c>
      <c r="D559" t="s">
        <v>7308</v>
      </c>
      <c r="E559">
        <v>10000</v>
      </c>
      <c r="F559">
        <v>1600</v>
      </c>
      <c r="G559">
        <v>0</v>
      </c>
      <c r="H559">
        <v>0</v>
      </c>
      <c r="I559">
        <v>102</v>
      </c>
      <c r="J559">
        <v>11600</v>
      </c>
      <c r="K559" t="s">
        <v>4410</v>
      </c>
      <c r="L559" s="1">
        <v>41166</v>
      </c>
      <c r="N559" t="s">
        <v>5127</v>
      </c>
      <c r="O559" t="s">
        <v>2458</v>
      </c>
      <c r="P559" t="s">
        <v>5490</v>
      </c>
      <c r="Q559" t="s">
        <v>39</v>
      </c>
      <c r="R559" t="s">
        <v>40</v>
      </c>
      <c r="S559">
        <v>0</v>
      </c>
      <c r="U559" t="s">
        <v>5550</v>
      </c>
      <c r="V559" t="s">
        <v>1797</v>
      </c>
      <c r="X559" t="s">
        <v>74</v>
      </c>
      <c r="Y559" t="b">
        <v>0</v>
      </c>
      <c r="Z559" t="b">
        <v>0</v>
      </c>
      <c r="AC559" s="1"/>
      <c r="AF559">
        <v>0</v>
      </c>
      <c r="AG559">
        <v>45</v>
      </c>
      <c r="AH559">
        <v>147</v>
      </c>
      <c r="AI559" s="2">
        <f>Table__192.168.3.138AgingReportBEWLGS[[#This Row],[NetAmount]]-Table__192.168.3.138AgingReportBEWLGS[[#This Row],[Paid]]</f>
        <v>11600</v>
      </c>
    </row>
    <row r="560" spans="1:35">
      <c r="A560" t="s">
        <v>7404</v>
      </c>
      <c r="B560" s="1">
        <v>41174</v>
      </c>
      <c r="C560" s="1">
        <v>41219</v>
      </c>
      <c r="D560" t="s">
        <v>6425</v>
      </c>
      <c r="E560">
        <v>35880</v>
      </c>
      <c r="F560">
        <v>5741</v>
      </c>
      <c r="G560">
        <v>0</v>
      </c>
      <c r="H560">
        <v>0</v>
      </c>
      <c r="I560">
        <v>96</v>
      </c>
      <c r="J560">
        <v>41621</v>
      </c>
      <c r="K560" t="s">
        <v>1015</v>
      </c>
      <c r="L560" s="1">
        <v>41172</v>
      </c>
      <c r="N560" t="s">
        <v>5127</v>
      </c>
      <c r="O560" t="s">
        <v>2458</v>
      </c>
      <c r="P560" t="s">
        <v>5478</v>
      </c>
      <c r="Q560" t="s">
        <v>39</v>
      </c>
      <c r="R560" t="s">
        <v>40</v>
      </c>
      <c r="S560">
        <v>0</v>
      </c>
      <c r="U560" t="s">
        <v>5550</v>
      </c>
      <c r="V560" t="s">
        <v>1797</v>
      </c>
      <c r="X560" t="s">
        <v>74</v>
      </c>
      <c r="Y560" t="b">
        <v>0</v>
      </c>
      <c r="Z560" t="b">
        <v>0</v>
      </c>
      <c r="AC560" s="1"/>
      <c r="AF560">
        <v>0</v>
      </c>
      <c r="AG560">
        <v>45</v>
      </c>
      <c r="AH560">
        <v>141</v>
      </c>
      <c r="AI560" s="2">
        <f>Table__192.168.3.138AgingReportBEWLGS[[#This Row],[NetAmount]]-Table__192.168.3.138AgingReportBEWLGS[[#This Row],[Paid]]</f>
        <v>41621</v>
      </c>
    </row>
    <row r="561" spans="1:35">
      <c r="A561" t="s">
        <v>7405</v>
      </c>
      <c r="B561" s="1">
        <v>41172</v>
      </c>
      <c r="C561" s="1">
        <v>41217</v>
      </c>
      <c r="D561" t="s">
        <v>6577</v>
      </c>
      <c r="E561">
        <v>295260</v>
      </c>
      <c r="F561">
        <v>47242</v>
      </c>
      <c r="G561">
        <v>0</v>
      </c>
      <c r="H561">
        <v>0</v>
      </c>
      <c r="I561">
        <v>103</v>
      </c>
      <c r="J561">
        <v>342502</v>
      </c>
      <c r="K561" t="s">
        <v>2810</v>
      </c>
      <c r="L561" s="1">
        <v>41165</v>
      </c>
      <c r="N561" t="s">
        <v>5127</v>
      </c>
      <c r="O561" t="s">
        <v>2458</v>
      </c>
      <c r="P561" t="s">
        <v>6579</v>
      </c>
      <c r="Q561" t="s">
        <v>39</v>
      </c>
      <c r="R561" t="s">
        <v>40</v>
      </c>
      <c r="S561">
        <v>0</v>
      </c>
      <c r="U561" t="s">
        <v>5550</v>
      </c>
      <c r="V561" t="s">
        <v>1797</v>
      </c>
      <c r="X561" t="s">
        <v>74</v>
      </c>
      <c r="Y561" t="b">
        <v>0</v>
      </c>
      <c r="Z561" t="b">
        <v>0</v>
      </c>
      <c r="AC561" s="1"/>
      <c r="AF561">
        <v>0</v>
      </c>
      <c r="AG561">
        <v>45</v>
      </c>
      <c r="AH561">
        <v>148</v>
      </c>
      <c r="AI561" s="2">
        <f>Table__192.168.3.138AgingReportBEWLGS[[#This Row],[NetAmount]]-Table__192.168.3.138AgingReportBEWLGS[[#This Row],[Paid]]</f>
        <v>342502</v>
      </c>
    </row>
    <row r="562" spans="1:35">
      <c r="A562" t="s">
        <v>7406</v>
      </c>
      <c r="B562" s="1">
        <v>41152</v>
      </c>
      <c r="C562" s="1">
        <v>41197</v>
      </c>
      <c r="D562" t="s">
        <v>6412</v>
      </c>
      <c r="E562">
        <v>1061670</v>
      </c>
      <c r="F562">
        <v>169867</v>
      </c>
      <c r="G562">
        <v>0</v>
      </c>
      <c r="H562">
        <v>0</v>
      </c>
      <c r="I562">
        <v>105</v>
      </c>
      <c r="J562">
        <v>1231537</v>
      </c>
      <c r="K562" t="s">
        <v>7407</v>
      </c>
      <c r="L562" s="1">
        <v>41163</v>
      </c>
      <c r="N562" t="s">
        <v>5127</v>
      </c>
      <c r="O562" t="s">
        <v>2458</v>
      </c>
      <c r="P562" t="s">
        <v>6414</v>
      </c>
      <c r="Q562" t="s">
        <v>39</v>
      </c>
      <c r="R562" t="s">
        <v>40</v>
      </c>
      <c r="S562">
        <v>0</v>
      </c>
      <c r="U562" t="s">
        <v>5550</v>
      </c>
      <c r="V562" t="s">
        <v>1797</v>
      </c>
      <c r="X562" t="s">
        <v>74</v>
      </c>
      <c r="Y562" t="b">
        <v>0</v>
      </c>
      <c r="Z562" t="b">
        <v>0</v>
      </c>
      <c r="AB562" t="s">
        <v>7408</v>
      </c>
      <c r="AC562" s="1">
        <v>41185</v>
      </c>
      <c r="AF562">
        <v>0</v>
      </c>
      <c r="AG562">
        <v>45</v>
      </c>
      <c r="AH562">
        <v>150</v>
      </c>
      <c r="AI562" s="2">
        <f>Table__192.168.3.138AgingReportBEWLGS[[#This Row],[NetAmount]]-Table__192.168.3.138AgingReportBEWLGS[[#This Row],[Paid]]</f>
        <v>1231537</v>
      </c>
    </row>
    <row r="563" spans="1:35">
      <c r="A563" t="s">
        <v>7409</v>
      </c>
      <c r="B563" s="1">
        <v>41170</v>
      </c>
      <c r="C563" s="1">
        <v>41215</v>
      </c>
      <c r="D563" t="s">
        <v>264</v>
      </c>
      <c r="E563">
        <v>11000</v>
      </c>
      <c r="F563">
        <v>1760</v>
      </c>
      <c r="G563">
        <v>0</v>
      </c>
      <c r="H563">
        <v>0</v>
      </c>
      <c r="I563">
        <v>99</v>
      </c>
      <c r="J563">
        <v>12760</v>
      </c>
      <c r="K563" t="s">
        <v>7410</v>
      </c>
      <c r="L563" s="1">
        <v>41169</v>
      </c>
      <c r="N563" t="s">
        <v>5127</v>
      </c>
      <c r="O563" t="s">
        <v>2458</v>
      </c>
      <c r="P563" t="s">
        <v>6616</v>
      </c>
      <c r="Q563" t="s">
        <v>39</v>
      </c>
      <c r="R563" t="s">
        <v>40</v>
      </c>
      <c r="S563">
        <v>0</v>
      </c>
      <c r="U563" t="s">
        <v>5550</v>
      </c>
      <c r="V563" t="s">
        <v>1797</v>
      </c>
      <c r="X563" t="s">
        <v>74</v>
      </c>
      <c r="Y563" t="b">
        <v>0</v>
      </c>
      <c r="Z563" t="b">
        <v>0</v>
      </c>
      <c r="AC563" s="1"/>
      <c r="AF563">
        <v>0</v>
      </c>
      <c r="AG563">
        <v>45</v>
      </c>
      <c r="AH563">
        <v>144</v>
      </c>
      <c r="AI563" s="2">
        <f>Table__192.168.3.138AgingReportBEWLGS[[#This Row],[NetAmount]]-Table__192.168.3.138AgingReportBEWLGS[[#This Row],[Paid]]</f>
        <v>12760</v>
      </c>
    </row>
    <row r="564" spans="1:35">
      <c r="A564" t="s">
        <v>7411</v>
      </c>
      <c r="B564" s="1">
        <v>41153</v>
      </c>
      <c r="C564" s="1">
        <v>41198</v>
      </c>
      <c r="D564" t="s">
        <v>7412</v>
      </c>
      <c r="E564">
        <v>24000</v>
      </c>
      <c r="F564">
        <v>0</v>
      </c>
      <c r="G564">
        <v>0</v>
      </c>
      <c r="H564">
        <v>0</v>
      </c>
      <c r="I564">
        <v>115</v>
      </c>
      <c r="J564">
        <v>24000</v>
      </c>
      <c r="K564" t="s">
        <v>1515</v>
      </c>
      <c r="L564" s="1">
        <v>41153</v>
      </c>
      <c r="N564" t="s">
        <v>5127</v>
      </c>
      <c r="O564" t="s">
        <v>2458</v>
      </c>
      <c r="P564" t="s">
        <v>5540</v>
      </c>
      <c r="Q564" t="s">
        <v>39</v>
      </c>
      <c r="R564" t="s">
        <v>40</v>
      </c>
      <c r="S564">
        <v>0</v>
      </c>
      <c r="U564" t="s">
        <v>5550</v>
      </c>
      <c r="V564" t="s">
        <v>1797</v>
      </c>
      <c r="X564" t="s">
        <v>74</v>
      </c>
      <c r="Y564" t="b">
        <v>0</v>
      </c>
      <c r="Z564" t="b">
        <v>0</v>
      </c>
      <c r="AC564" s="1"/>
      <c r="AF564">
        <v>0</v>
      </c>
      <c r="AG564">
        <v>45</v>
      </c>
      <c r="AH564">
        <v>160</v>
      </c>
      <c r="AI564" s="2">
        <f>Table__192.168.3.138AgingReportBEWLGS[[#This Row],[NetAmount]]-Table__192.168.3.138AgingReportBEWLGS[[#This Row],[Paid]]</f>
        <v>24000</v>
      </c>
    </row>
    <row r="565" spans="1:35">
      <c r="A565" t="s">
        <v>7413</v>
      </c>
      <c r="B565" s="1">
        <v>41174</v>
      </c>
      <c r="C565" s="1">
        <v>41219</v>
      </c>
      <c r="D565" t="s">
        <v>5533</v>
      </c>
      <c r="E565">
        <v>115000</v>
      </c>
      <c r="F565">
        <v>0</v>
      </c>
      <c r="G565">
        <v>0</v>
      </c>
      <c r="H565">
        <v>0</v>
      </c>
      <c r="I565">
        <v>106</v>
      </c>
      <c r="J565">
        <v>115000</v>
      </c>
      <c r="K565" t="s">
        <v>7414</v>
      </c>
      <c r="L565" s="1">
        <v>41162</v>
      </c>
      <c r="M565" t="s">
        <v>7415</v>
      </c>
      <c r="N565" t="s">
        <v>5127</v>
      </c>
      <c r="O565" t="s">
        <v>2458</v>
      </c>
      <c r="P565" t="s">
        <v>7416</v>
      </c>
      <c r="Q565" t="s">
        <v>39</v>
      </c>
      <c r="R565" t="s">
        <v>40</v>
      </c>
      <c r="S565">
        <v>0</v>
      </c>
      <c r="U565" t="s">
        <v>5550</v>
      </c>
      <c r="V565" t="s">
        <v>1797</v>
      </c>
      <c r="W565" t="s">
        <v>7417</v>
      </c>
      <c r="X565" t="s">
        <v>74</v>
      </c>
      <c r="Y565" t="b">
        <v>0</v>
      </c>
      <c r="Z565" t="b">
        <v>0</v>
      </c>
      <c r="AA565" t="b">
        <v>0</v>
      </c>
      <c r="AC565" s="1"/>
      <c r="AF565">
        <v>0</v>
      </c>
      <c r="AG565">
        <v>45</v>
      </c>
      <c r="AH565">
        <v>151</v>
      </c>
      <c r="AI565" s="2">
        <f>Table__192.168.3.138AgingReportBEWLGS[[#This Row],[NetAmount]]-Table__192.168.3.138AgingReportBEWLGS[[#This Row],[Paid]]</f>
        <v>115000</v>
      </c>
    </row>
    <row r="566" spans="1:35">
      <c r="A566" t="s">
        <v>7418</v>
      </c>
      <c r="B566" s="1">
        <v>41159</v>
      </c>
      <c r="C566" s="1">
        <v>41204</v>
      </c>
      <c r="D566" t="s">
        <v>5521</v>
      </c>
      <c r="E566">
        <v>7800</v>
      </c>
      <c r="F566">
        <v>1248</v>
      </c>
      <c r="G566">
        <v>0</v>
      </c>
      <c r="H566">
        <v>0</v>
      </c>
      <c r="I566">
        <v>112</v>
      </c>
      <c r="J566">
        <v>9048</v>
      </c>
      <c r="K566" t="s">
        <v>7419</v>
      </c>
      <c r="L566" s="1">
        <v>41156</v>
      </c>
      <c r="N566" t="s">
        <v>5127</v>
      </c>
      <c r="O566" t="s">
        <v>2458</v>
      </c>
      <c r="P566" t="s">
        <v>5532</v>
      </c>
      <c r="Q566" t="s">
        <v>39</v>
      </c>
      <c r="R566" t="s">
        <v>40</v>
      </c>
      <c r="S566">
        <v>0</v>
      </c>
      <c r="U566" t="s">
        <v>5550</v>
      </c>
      <c r="V566" t="s">
        <v>1797</v>
      </c>
      <c r="X566" t="s">
        <v>74</v>
      </c>
      <c r="Y566" t="b">
        <v>0</v>
      </c>
      <c r="Z566" t="b">
        <v>0</v>
      </c>
      <c r="AC566" s="1"/>
      <c r="AF566">
        <v>0</v>
      </c>
      <c r="AG566">
        <v>45</v>
      </c>
      <c r="AH566">
        <v>157</v>
      </c>
      <c r="AI566" s="2">
        <f>Table__192.168.3.138AgingReportBEWLGS[[#This Row],[NetAmount]]-Table__192.168.3.138AgingReportBEWLGS[[#This Row],[Paid]]</f>
        <v>9048</v>
      </c>
    </row>
    <row r="567" spans="1:35">
      <c r="A567" t="s">
        <v>7420</v>
      </c>
      <c r="B567" s="1">
        <v>41160</v>
      </c>
      <c r="C567" s="1">
        <v>41205</v>
      </c>
      <c r="D567" t="s">
        <v>5521</v>
      </c>
      <c r="E567">
        <v>45370</v>
      </c>
      <c r="F567">
        <v>7259</v>
      </c>
      <c r="G567">
        <v>0</v>
      </c>
      <c r="H567">
        <v>0</v>
      </c>
      <c r="I567">
        <v>112</v>
      </c>
      <c r="J567">
        <v>52629</v>
      </c>
      <c r="K567" t="s">
        <v>7421</v>
      </c>
      <c r="L567" s="1">
        <v>41156</v>
      </c>
      <c r="N567" t="s">
        <v>5127</v>
      </c>
      <c r="O567" t="s">
        <v>2458</v>
      </c>
      <c r="P567" t="s">
        <v>5532</v>
      </c>
      <c r="Q567" t="s">
        <v>39</v>
      </c>
      <c r="R567" t="s">
        <v>40</v>
      </c>
      <c r="S567">
        <v>0</v>
      </c>
      <c r="U567" t="s">
        <v>5550</v>
      </c>
      <c r="V567" t="s">
        <v>1797</v>
      </c>
      <c r="X567" t="s">
        <v>74</v>
      </c>
      <c r="Y567" t="b">
        <v>0</v>
      </c>
      <c r="Z567" t="b">
        <v>0</v>
      </c>
      <c r="AC567" s="1"/>
      <c r="AF567">
        <v>0</v>
      </c>
      <c r="AG567">
        <v>45</v>
      </c>
      <c r="AH567">
        <v>157</v>
      </c>
      <c r="AI567" s="2">
        <f>Table__192.168.3.138AgingReportBEWLGS[[#This Row],[NetAmount]]-Table__192.168.3.138AgingReportBEWLGS[[#This Row],[Paid]]</f>
        <v>52629</v>
      </c>
    </row>
    <row r="568" spans="1:35">
      <c r="A568" t="s">
        <v>7422</v>
      </c>
      <c r="B568" s="1">
        <v>41163</v>
      </c>
      <c r="C568" s="1">
        <v>41208</v>
      </c>
      <c r="D568" t="s">
        <v>5521</v>
      </c>
      <c r="E568">
        <v>3900</v>
      </c>
      <c r="F568">
        <v>624</v>
      </c>
      <c r="G568">
        <v>0</v>
      </c>
      <c r="H568">
        <v>0</v>
      </c>
      <c r="I568">
        <v>108</v>
      </c>
      <c r="J568">
        <v>4524</v>
      </c>
      <c r="K568" t="s">
        <v>7423</v>
      </c>
      <c r="L568" s="1">
        <v>41160</v>
      </c>
      <c r="N568" t="s">
        <v>5127</v>
      </c>
      <c r="O568" t="s">
        <v>2458</v>
      </c>
      <c r="P568" t="s">
        <v>5532</v>
      </c>
      <c r="Q568" t="s">
        <v>39</v>
      </c>
      <c r="R568" t="s">
        <v>40</v>
      </c>
      <c r="S568">
        <v>0</v>
      </c>
      <c r="U568" t="s">
        <v>5550</v>
      </c>
      <c r="V568" t="s">
        <v>1797</v>
      </c>
      <c r="X568" t="s">
        <v>74</v>
      </c>
      <c r="Y568" t="b">
        <v>0</v>
      </c>
      <c r="Z568" t="b">
        <v>0</v>
      </c>
      <c r="AC568" s="1"/>
      <c r="AF568">
        <v>0</v>
      </c>
      <c r="AG568">
        <v>45</v>
      </c>
      <c r="AH568">
        <v>153</v>
      </c>
      <c r="AI568" s="2">
        <f>Table__192.168.3.138AgingReportBEWLGS[[#This Row],[NetAmount]]-Table__192.168.3.138AgingReportBEWLGS[[#This Row],[Paid]]</f>
        <v>4524</v>
      </c>
    </row>
    <row r="569" spans="1:35">
      <c r="A569" t="s">
        <v>7424</v>
      </c>
      <c r="B569" s="1">
        <v>41163</v>
      </c>
      <c r="C569" s="1">
        <v>41208</v>
      </c>
      <c r="D569" t="s">
        <v>5521</v>
      </c>
      <c r="E569">
        <v>42120</v>
      </c>
      <c r="F569">
        <v>6739</v>
      </c>
      <c r="G569">
        <v>0</v>
      </c>
      <c r="H569">
        <v>0</v>
      </c>
      <c r="I569">
        <v>108</v>
      </c>
      <c r="J569">
        <v>48859</v>
      </c>
      <c r="K569" t="s">
        <v>7425</v>
      </c>
      <c r="L569" s="1">
        <v>41160</v>
      </c>
      <c r="N569" t="s">
        <v>5127</v>
      </c>
      <c r="O569" t="s">
        <v>2458</v>
      </c>
      <c r="P569" t="s">
        <v>5532</v>
      </c>
      <c r="Q569" t="s">
        <v>39</v>
      </c>
      <c r="R569" t="s">
        <v>40</v>
      </c>
      <c r="S569">
        <v>0</v>
      </c>
      <c r="U569" t="s">
        <v>5550</v>
      </c>
      <c r="V569" t="s">
        <v>1797</v>
      </c>
      <c r="X569" t="s">
        <v>74</v>
      </c>
      <c r="Y569" t="b">
        <v>0</v>
      </c>
      <c r="Z569" t="b">
        <v>0</v>
      </c>
      <c r="AC569" s="1"/>
      <c r="AF569">
        <v>0</v>
      </c>
      <c r="AG569">
        <v>45</v>
      </c>
      <c r="AH569">
        <v>153</v>
      </c>
      <c r="AI569" s="2">
        <f>Table__192.168.3.138AgingReportBEWLGS[[#This Row],[NetAmount]]-Table__192.168.3.138AgingReportBEWLGS[[#This Row],[Paid]]</f>
        <v>48859</v>
      </c>
    </row>
    <row r="570" spans="1:35">
      <c r="A570" t="s">
        <v>7426</v>
      </c>
      <c r="B570" s="1">
        <v>41165</v>
      </c>
      <c r="C570" s="1">
        <v>41210</v>
      </c>
      <c r="D570" t="s">
        <v>5521</v>
      </c>
      <c r="E570">
        <v>12480</v>
      </c>
      <c r="F570">
        <v>1997</v>
      </c>
      <c r="G570">
        <v>0</v>
      </c>
      <c r="H570">
        <v>0</v>
      </c>
      <c r="I570">
        <v>105</v>
      </c>
      <c r="J570">
        <v>14477</v>
      </c>
      <c r="K570" t="s">
        <v>7427</v>
      </c>
      <c r="L570" s="1">
        <v>41163</v>
      </c>
      <c r="N570" t="s">
        <v>5127</v>
      </c>
      <c r="O570" t="s">
        <v>2458</v>
      </c>
      <c r="P570" t="s">
        <v>5532</v>
      </c>
      <c r="Q570" t="s">
        <v>39</v>
      </c>
      <c r="R570" t="s">
        <v>40</v>
      </c>
      <c r="S570">
        <v>0</v>
      </c>
      <c r="U570" t="s">
        <v>5550</v>
      </c>
      <c r="V570" t="s">
        <v>1797</v>
      </c>
      <c r="X570" t="s">
        <v>74</v>
      </c>
      <c r="Y570" t="b">
        <v>0</v>
      </c>
      <c r="Z570" t="b">
        <v>0</v>
      </c>
      <c r="AC570" s="1"/>
      <c r="AF570">
        <v>0</v>
      </c>
      <c r="AG570">
        <v>45</v>
      </c>
      <c r="AH570">
        <v>150</v>
      </c>
      <c r="AI570" s="2">
        <f>Table__192.168.3.138AgingReportBEWLGS[[#This Row],[NetAmount]]-Table__192.168.3.138AgingReportBEWLGS[[#This Row],[Paid]]</f>
        <v>14477</v>
      </c>
    </row>
    <row r="571" spans="1:35">
      <c r="A571" t="s">
        <v>7428</v>
      </c>
      <c r="B571" s="1">
        <v>41162</v>
      </c>
      <c r="C571" s="1">
        <v>41207</v>
      </c>
      <c r="D571" t="s">
        <v>7250</v>
      </c>
      <c r="E571">
        <v>120000</v>
      </c>
      <c r="F571">
        <v>19200</v>
      </c>
      <c r="G571">
        <v>0</v>
      </c>
      <c r="H571">
        <v>0</v>
      </c>
      <c r="I571">
        <v>104</v>
      </c>
      <c r="J571">
        <v>139200</v>
      </c>
      <c r="K571" t="s">
        <v>7429</v>
      </c>
      <c r="L571" s="1">
        <v>41164</v>
      </c>
      <c r="N571" t="s">
        <v>5127</v>
      </c>
      <c r="O571" t="s">
        <v>2458</v>
      </c>
      <c r="P571" t="s">
        <v>5526</v>
      </c>
      <c r="Q571" t="s">
        <v>39</v>
      </c>
      <c r="R571" t="s">
        <v>40</v>
      </c>
      <c r="S571">
        <v>0</v>
      </c>
      <c r="U571" t="s">
        <v>5550</v>
      </c>
      <c r="V571" t="s">
        <v>1797</v>
      </c>
      <c r="X571" t="s">
        <v>74</v>
      </c>
      <c r="Y571" t="b">
        <v>0</v>
      </c>
      <c r="Z571" t="b">
        <v>0</v>
      </c>
      <c r="AC571" s="1"/>
      <c r="AF571">
        <v>0</v>
      </c>
      <c r="AG571">
        <v>45</v>
      </c>
      <c r="AH571">
        <v>149</v>
      </c>
      <c r="AI571" s="2">
        <f>Table__192.168.3.138AgingReportBEWLGS[[#This Row],[NetAmount]]-Table__192.168.3.138AgingReportBEWLGS[[#This Row],[Paid]]</f>
        <v>139200</v>
      </c>
    </row>
    <row r="572" spans="1:35">
      <c r="A572" t="s">
        <v>7430</v>
      </c>
      <c r="B572" s="1">
        <v>41178</v>
      </c>
      <c r="C572" s="1">
        <v>41223</v>
      </c>
      <c r="D572" t="s">
        <v>6654</v>
      </c>
      <c r="E572">
        <v>40425</v>
      </c>
      <c r="F572">
        <v>6468</v>
      </c>
      <c r="G572">
        <v>0</v>
      </c>
      <c r="H572">
        <v>0</v>
      </c>
      <c r="I572">
        <v>92</v>
      </c>
      <c r="J572">
        <v>46893</v>
      </c>
      <c r="K572" t="s">
        <v>3660</v>
      </c>
      <c r="L572" s="1">
        <v>41176</v>
      </c>
      <c r="N572" t="s">
        <v>5127</v>
      </c>
      <c r="O572" t="s">
        <v>2458</v>
      </c>
      <c r="P572" t="s">
        <v>6656</v>
      </c>
      <c r="Q572" t="s">
        <v>39</v>
      </c>
      <c r="R572" t="s">
        <v>40</v>
      </c>
      <c r="S572">
        <v>0</v>
      </c>
      <c r="U572" t="s">
        <v>5550</v>
      </c>
      <c r="V572" t="s">
        <v>1797</v>
      </c>
      <c r="X572" t="s">
        <v>74</v>
      </c>
      <c r="Y572" t="b">
        <v>0</v>
      </c>
      <c r="Z572" t="b">
        <v>0</v>
      </c>
      <c r="AC572" s="1"/>
      <c r="AF572">
        <v>0</v>
      </c>
      <c r="AG572">
        <v>45</v>
      </c>
      <c r="AH572">
        <v>137</v>
      </c>
      <c r="AI572" s="2">
        <f>Table__192.168.3.138AgingReportBEWLGS[[#This Row],[NetAmount]]-Table__192.168.3.138AgingReportBEWLGS[[#This Row],[Paid]]</f>
        <v>46893</v>
      </c>
    </row>
    <row r="573" spans="1:35">
      <c r="A573" t="s">
        <v>7431</v>
      </c>
      <c r="B573" s="1">
        <v>41163</v>
      </c>
      <c r="C573" s="1">
        <v>41208</v>
      </c>
      <c r="D573" t="s">
        <v>6654</v>
      </c>
      <c r="E573">
        <v>41250</v>
      </c>
      <c r="F573">
        <v>6600</v>
      </c>
      <c r="G573">
        <v>0</v>
      </c>
      <c r="H573">
        <v>0</v>
      </c>
      <c r="I573">
        <v>106</v>
      </c>
      <c r="J573">
        <v>47850</v>
      </c>
      <c r="K573" t="s">
        <v>148</v>
      </c>
      <c r="L573" s="1">
        <v>41162</v>
      </c>
      <c r="N573" t="s">
        <v>5127</v>
      </c>
      <c r="O573" t="s">
        <v>2458</v>
      </c>
      <c r="P573" t="s">
        <v>6656</v>
      </c>
      <c r="Q573" t="s">
        <v>39</v>
      </c>
      <c r="R573" t="s">
        <v>40</v>
      </c>
      <c r="S573">
        <v>0</v>
      </c>
      <c r="U573" t="s">
        <v>5550</v>
      </c>
      <c r="V573" t="s">
        <v>1797</v>
      </c>
      <c r="X573" t="s">
        <v>74</v>
      </c>
      <c r="Y573" t="b">
        <v>0</v>
      </c>
      <c r="Z573" t="b">
        <v>0</v>
      </c>
      <c r="AC573" s="1"/>
      <c r="AF573">
        <v>0</v>
      </c>
      <c r="AG573">
        <v>45</v>
      </c>
      <c r="AH573">
        <v>151</v>
      </c>
      <c r="AI573" s="2">
        <f>Table__192.168.3.138AgingReportBEWLGS[[#This Row],[NetAmount]]-Table__192.168.3.138AgingReportBEWLGS[[#This Row],[Paid]]</f>
        <v>47850</v>
      </c>
    </row>
    <row r="574" spans="1:35">
      <c r="A574" t="s">
        <v>7432</v>
      </c>
      <c r="B574" s="1">
        <v>41159</v>
      </c>
      <c r="C574" s="1">
        <v>41204</v>
      </c>
      <c r="D574" t="s">
        <v>6654</v>
      </c>
      <c r="E574">
        <v>13750</v>
      </c>
      <c r="F574">
        <v>2200</v>
      </c>
      <c r="G574">
        <v>0</v>
      </c>
      <c r="H574">
        <v>0</v>
      </c>
      <c r="I574">
        <v>110</v>
      </c>
      <c r="J574">
        <v>15950</v>
      </c>
      <c r="K574" t="s">
        <v>131</v>
      </c>
      <c r="L574" s="1">
        <v>41158</v>
      </c>
      <c r="N574" t="s">
        <v>5127</v>
      </c>
      <c r="O574" t="s">
        <v>2458</v>
      </c>
      <c r="P574" t="s">
        <v>6656</v>
      </c>
      <c r="Q574" t="s">
        <v>39</v>
      </c>
      <c r="R574" t="s">
        <v>40</v>
      </c>
      <c r="S574">
        <v>0</v>
      </c>
      <c r="U574" t="s">
        <v>5550</v>
      </c>
      <c r="V574" t="s">
        <v>1797</v>
      </c>
      <c r="X574" t="s">
        <v>74</v>
      </c>
      <c r="Y574" t="b">
        <v>0</v>
      </c>
      <c r="Z574" t="b">
        <v>0</v>
      </c>
      <c r="AB574" t="s">
        <v>6657</v>
      </c>
      <c r="AC574" s="1">
        <v>41253</v>
      </c>
      <c r="AF574">
        <v>0</v>
      </c>
      <c r="AG574">
        <v>45</v>
      </c>
      <c r="AH574">
        <v>155</v>
      </c>
      <c r="AI574" s="2">
        <f>Table__192.168.3.138AgingReportBEWLGS[[#This Row],[NetAmount]]-Table__192.168.3.138AgingReportBEWLGS[[#This Row],[Paid]]</f>
        <v>15950</v>
      </c>
    </row>
    <row r="575" spans="1:35">
      <c r="A575" t="s">
        <v>7433</v>
      </c>
      <c r="B575" s="1">
        <v>41170</v>
      </c>
      <c r="C575" s="1">
        <v>41215</v>
      </c>
      <c r="D575" t="s">
        <v>6654</v>
      </c>
      <c r="E575">
        <v>27750</v>
      </c>
      <c r="F575">
        <v>4440</v>
      </c>
      <c r="G575">
        <v>0</v>
      </c>
      <c r="H575">
        <v>0</v>
      </c>
      <c r="I575">
        <v>101</v>
      </c>
      <c r="J575">
        <v>32190</v>
      </c>
      <c r="K575" t="s">
        <v>154</v>
      </c>
      <c r="L575" s="1">
        <v>41167</v>
      </c>
      <c r="N575" t="s">
        <v>5127</v>
      </c>
      <c r="O575" t="s">
        <v>2458</v>
      </c>
      <c r="P575" t="s">
        <v>6656</v>
      </c>
      <c r="Q575" t="s">
        <v>39</v>
      </c>
      <c r="R575" t="s">
        <v>40</v>
      </c>
      <c r="S575">
        <v>0</v>
      </c>
      <c r="U575" t="s">
        <v>5550</v>
      </c>
      <c r="V575" t="s">
        <v>1797</v>
      </c>
      <c r="X575" t="s">
        <v>74</v>
      </c>
      <c r="Y575" t="b">
        <v>0</v>
      </c>
      <c r="Z575" t="b">
        <v>0</v>
      </c>
      <c r="AC575" s="1"/>
      <c r="AF575">
        <v>0</v>
      </c>
      <c r="AG575">
        <v>45</v>
      </c>
      <c r="AH575">
        <v>146</v>
      </c>
      <c r="AI575" s="2">
        <f>Table__192.168.3.138AgingReportBEWLGS[[#This Row],[NetAmount]]-Table__192.168.3.138AgingReportBEWLGS[[#This Row],[Paid]]</f>
        <v>32190</v>
      </c>
    </row>
    <row r="576" spans="1:35">
      <c r="A576" t="s">
        <v>7434</v>
      </c>
      <c r="B576" s="1">
        <v>41170</v>
      </c>
      <c r="C576" s="1">
        <v>41215</v>
      </c>
      <c r="D576" t="s">
        <v>6654</v>
      </c>
      <c r="E576">
        <v>33725</v>
      </c>
      <c r="F576">
        <v>5396</v>
      </c>
      <c r="G576">
        <v>0</v>
      </c>
      <c r="H576">
        <v>0</v>
      </c>
      <c r="I576">
        <v>101</v>
      </c>
      <c r="J576">
        <v>39121</v>
      </c>
      <c r="K576" t="s">
        <v>156</v>
      </c>
      <c r="L576" s="1">
        <v>41167</v>
      </c>
      <c r="N576" t="s">
        <v>5127</v>
      </c>
      <c r="O576" t="s">
        <v>2458</v>
      </c>
      <c r="P576" t="s">
        <v>6656</v>
      </c>
      <c r="Q576" t="s">
        <v>39</v>
      </c>
      <c r="R576" t="s">
        <v>40</v>
      </c>
      <c r="S576">
        <v>0</v>
      </c>
      <c r="U576" t="s">
        <v>5550</v>
      </c>
      <c r="V576" t="s">
        <v>1797</v>
      </c>
      <c r="X576" t="s">
        <v>74</v>
      </c>
      <c r="Y576" t="b">
        <v>0</v>
      </c>
      <c r="Z576" t="b">
        <v>0</v>
      </c>
      <c r="AC576" s="1"/>
      <c r="AF576">
        <v>0</v>
      </c>
      <c r="AG576">
        <v>45</v>
      </c>
      <c r="AH576">
        <v>146</v>
      </c>
      <c r="AI576" s="2">
        <f>Table__192.168.3.138AgingReportBEWLGS[[#This Row],[NetAmount]]-Table__192.168.3.138AgingReportBEWLGS[[#This Row],[Paid]]</f>
        <v>39121</v>
      </c>
    </row>
    <row r="577" spans="1:35">
      <c r="A577" t="s">
        <v>7435</v>
      </c>
      <c r="B577" s="1">
        <v>41169</v>
      </c>
      <c r="C577" s="1">
        <v>41214</v>
      </c>
      <c r="D577" t="s">
        <v>6486</v>
      </c>
      <c r="E577">
        <v>9250</v>
      </c>
      <c r="F577">
        <v>1480</v>
      </c>
      <c r="G577">
        <v>0</v>
      </c>
      <c r="H577">
        <v>0</v>
      </c>
      <c r="I577">
        <v>88</v>
      </c>
      <c r="J577">
        <v>10730</v>
      </c>
      <c r="K577" t="s">
        <v>7436</v>
      </c>
      <c r="L577" s="1">
        <v>41180</v>
      </c>
      <c r="N577" t="s">
        <v>5127</v>
      </c>
      <c r="O577" t="s">
        <v>2458</v>
      </c>
      <c r="P577" t="s">
        <v>5464</v>
      </c>
      <c r="Q577" t="s">
        <v>39</v>
      </c>
      <c r="R577" t="s">
        <v>40</v>
      </c>
      <c r="S577">
        <v>0</v>
      </c>
      <c r="U577" t="s">
        <v>5550</v>
      </c>
      <c r="V577" t="s">
        <v>1797</v>
      </c>
      <c r="X577" t="s">
        <v>74</v>
      </c>
      <c r="Y577" t="b">
        <v>0</v>
      </c>
      <c r="Z577" t="b">
        <v>0</v>
      </c>
      <c r="AC577" s="1"/>
      <c r="AF577">
        <v>0</v>
      </c>
      <c r="AG577">
        <v>45</v>
      </c>
      <c r="AH577">
        <v>133</v>
      </c>
      <c r="AI577" s="2">
        <f>Table__192.168.3.138AgingReportBEWLGS[[#This Row],[NetAmount]]-Table__192.168.3.138AgingReportBEWLGS[[#This Row],[Paid]]</f>
        <v>10730</v>
      </c>
    </row>
    <row r="578" spans="1:35">
      <c r="A578" t="s">
        <v>7437</v>
      </c>
      <c r="B578" s="1">
        <v>41174</v>
      </c>
      <c r="C578" s="1">
        <v>41219</v>
      </c>
      <c r="D578" t="s">
        <v>6486</v>
      </c>
      <c r="E578">
        <v>1200</v>
      </c>
      <c r="F578">
        <v>192</v>
      </c>
      <c r="G578">
        <v>0</v>
      </c>
      <c r="H578">
        <v>0</v>
      </c>
      <c r="I578">
        <v>88</v>
      </c>
      <c r="J578">
        <v>1392</v>
      </c>
      <c r="K578" t="s">
        <v>7438</v>
      </c>
      <c r="L578" s="1">
        <v>41180</v>
      </c>
      <c r="N578" t="s">
        <v>5127</v>
      </c>
      <c r="O578" t="s">
        <v>2458</v>
      </c>
      <c r="P578" t="s">
        <v>5464</v>
      </c>
      <c r="Q578" t="s">
        <v>39</v>
      </c>
      <c r="R578" t="s">
        <v>40</v>
      </c>
      <c r="S578">
        <v>0</v>
      </c>
      <c r="U578" t="s">
        <v>5550</v>
      </c>
      <c r="V578" t="s">
        <v>1797</v>
      </c>
      <c r="X578" t="s">
        <v>74</v>
      </c>
      <c r="Y578" t="b">
        <v>0</v>
      </c>
      <c r="Z578" t="b">
        <v>0</v>
      </c>
      <c r="AC578" s="1"/>
      <c r="AF578">
        <v>0</v>
      </c>
      <c r="AG578">
        <v>45</v>
      </c>
      <c r="AH578">
        <v>133</v>
      </c>
      <c r="AI578" s="2">
        <f>Table__192.168.3.138AgingReportBEWLGS[[#This Row],[NetAmount]]-Table__192.168.3.138AgingReportBEWLGS[[#This Row],[Paid]]</f>
        <v>1392</v>
      </c>
    </row>
    <row r="579" spans="1:35">
      <c r="A579" t="s">
        <v>7439</v>
      </c>
      <c r="B579" s="1">
        <v>41178</v>
      </c>
      <c r="C579" s="1">
        <v>41223</v>
      </c>
      <c r="D579" t="s">
        <v>6486</v>
      </c>
      <c r="E579">
        <v>16472</v>
      </c>
      <c r="F579">
        <v>2636</v>
      </c>
      <c r="G579">
        <v>0</v>
      </c>
      <c r="H579">
        <v>0</v>
      </c>
      <c r="I579">
        <v>88</v>
      </c>
      <c r="J579">
        <v>19108</v>
      </c>
      <c r="K579" t="s">
        <v>7440</v>
      </c>
      <c r="L579" s="1">
        <v>41180</v>
      </c>
      <c r="N579" t="s">
        <v>5127</v>
      </c>
      <c r="O579" t="s">
        <v>2458</v>
      </c>
      <c r="P579" t="s">
        <v>5464</v>
      </c>
      <c r="Q579" t="s">
        <v>39</v>
      </c>
      <c r="R579" t="s">
        <v>40</v>
      </c>
      <c r="S579">
        <v>0</v>
      </c>
      <c r="U579" t="s">
        <v>5550</v>
      </c>
      <c r="V579" t="s">
        <v>1797</v>
      </c>
      <c r="X579" t="s">
        <v>74</v>
      </c>
      <c r="Y579" t="b">
        <v>0</v>
      </c>
      <c r="Z579" t="b">
        <v>0</v>
      </c>
      <c r="AC579" s="1"/>
      <c r="AF579">
        <v>0</v>
      </c>
      <c r="AG579">
        <v>45</v>
      </c>
      <c r="AH579">
        <v>133</v>
      </c>
      <c r="AI579" s="2">
        <f>Table__192.168.3.138AgingReportBEWLGS[[#This Row],[NetAmount]]-Table__192.168.3.138AgingReportBEWLGS[[#This Row],[Paid]]</f>
        <v>19108</v>
      </c>
    </row>
    <row r="580" spans="1:35">
      <c r="A580" t="s">
        <v>7441</v>
      </c>
      <c r="B580" s="1">
        <v>41178</v>
      </c>
      <c r="C580" s="1">
        <v>41223</v>
      </c>
      <c r="D580" t="s">
        <v>6486</v>
      </c>
      <c r="E580">
        <v>6356</v>
      </c>
      <c r="F580">
        <v>1017</v>
      </c>
      <c r="G580">
        <v>0</v>
      </c>
      <c r="H580">
        <v>0</v>
      </c>
      <c r="I580">
        <v>88</v>
      </c>
      <c r="J580">
        <v>7373</v>
      </c>
      <c r="K580" t="s">
        <v>7442</v>
      </c>
      <c r="L580" s="1">
        <v>41180</v>
      </c>
      <c r="N580" t="s">
        <v>5127</v>
      </c>
      <c r="O580" t="s">
        <v>2458</v>
      </c>
      <c r="P580" t="s">
        <v>5464</v>
      </c>
      <c r="Q580" t="s">
        <v>39</v>
      </c>
      <c r="R580" t="s">
        <v>40</v>
      </c>
      <c r="S580">
        <v>0</v>
      </c>
      <c r="U580" t="s">
        <v>5550</v>
      </c>
      <c r="V580" t="s">
        <v>1797</v>
      </c>
      <c r="X580" t="s">
        <v>74</v>
      </c>
      <c r="Y580" t="b">
        <v>0</v>
      </c>
      <c r="Z580" t="b">
        <v>0</v>
      </c>
      <c r="AC580" s="1"/>
      <c r="AF580">
        <v>0</v>
      </c>
      <c r="AG580">
        <v>45</v>
      </c>
      <c r="AH580">
        <v>133</v>
      </c>
      <c r="AI580" s="2">
        <f>Table__192.168.3.138AgingReportBEWLGS[[#This Row],[NetAmount]]-Table__192.168.3.138AgingReportBEWLGS[[#This Row],[Paid]]</f>
        <v>7373</v>
      </c>
    </row>
    <row r="581" spans="1:35">
      <c r="A581" t="s">
        <v>7443</v>
      </c>
      <c r="B581" s="1">
        <v>41157</v>
      </c>
      <c r="C581" s="1">
        <v>41202</v>
      </c>
      <c r="D581" t="s">
        <v>7412</v>
      </c>
      <c r="E581">
        <v>860</v>
      </c>
      <c r="F581">
        <v>0</v>
      </c>
      <c r="G581">
        <v>0</v>
      </c>
      <c r="H581">
        <v>0</v>
      </c>
      <c r="I581">
        <v>111</v>
      </c>
      <c r="J581">
        <v>860</v>
      </c>
      <c r="K581" t="s">
        <v>2338</v>
      </c>
      <c r="L581" s="1">
        <v>41157</v>
      </c>
      <c r="N581" t="s">
        <v>5127</v>
      </c>
      <c r="O581" t="s">
        <v>2458</v>
      </c>
      <c r="P581" t="s">
        <v>5540</v>
      </c>
      <c r="Q581" t="s">
        <v>39</v>
      </c>
      <c r="R581" t="s">
        <v>40</v>
      </c>
      <c r="S581">
        <v>0</v>
      </c>
      <c r="U581" t="s">
        <v>5550</v>
      </c>
      <c r="V581" t="s">
        <v>1797</v>
      </c>
      <c r="X581" t="s">
        <v>74</v>
      </c>
      <c r="Y581" t="b">
        <v>0</v>
      </c>
      <c r="Z581" t="b">
        <v>0</v>
      </c>
      <c r="AC581" s="1"/>
      <c r="AF581">
        <v>0</v>
      </c>
      <c r="AG581">
        <v>45</v>
      </c>
      <c r="AH581">
        <v>156</v>
      </c>
      <c r="AI581" s="2">
        <f>Table__192.168.3.138AgingReportBEWLGS[[#This Row],[NetAmount]]-Table__192.168.3.138AgingReportBEWLGS[[#This Row],[Paid]]</f>
        <v>860</v>
      </c>
    </row>
    <row r="582" spans="1:35">
      <c r="A582" t="s">
        <v>7444</v>
      </c>
      <c r="B582" s="1">
        <v>41148</v>
      </c>
      <c r="C582" s="1">
        <v>41193</v>
      </c>
      <c r="D582" t="s">
        <v>6542</v>
      </c>
      <c r="E582">
        <v>12679</v>
      </c>
      <c r="F582">
        <v>0</v>
      </c>
      <c r="G582">
        <v>0</v>
      </c>
      <c r="H582">
        <v>0</v>
      </c>
      <c r="I582">
        <v>129</v>
      </c>
      <c r="J582">
        <v>12770</v>
      </c>
      <c r="K582" t="s">
        <v>148</v>
      </c>
      <c r="L582" s="1">
        <v>41139</v>
      </c>
      <c r="N582" t="s">
        <v>5127</v>
      </c>
      <c r="O582" t="s">
        <v>2458</v>
      </c>
      <c r="P582" t="s">
        <v>6544</v>
      </c>
      <c r="Q582" t="s">
        <v>39</v>
      </c>
      <c r="R582" t="s">
        <v>40</v>
      </c>
      <c r="S582">
        <v>0</v>
      </c>
      <c r="U582" t="s">
        <v>5550</v>
      </c>
      <c r="V582" t="s">
        <v>1797</v>
      </c>
      <c r="X582" t="s">
        <v>74</v>
      </c>
      <c r="Y582" t="b">
        <v>0</v>
      </c>
      <c r="Z582" t="b">
        <v>0</v>
      </c>
      <c r="AC582" s="1"/>
      <c r="AF582">
        <v>0</v>
      </c>
      <c r="AG582">
        <v>45</v>
      </c>
      <c r="AH582">
        <v>174</v>
      </c>
      <c r="AI582" s="2">
        <f>Table__192.168.3.138AgingReportBEWLGS[[#This Row],[NetAmount]]-Table__192.168.3.138AgingReportBEWLGS[[#This Row],[Paid]]</f>
        <v>12770</v>
      </c>
    </row>
    <row r="583" spans="1:35">
      <c r="A583" t="s">
        <v>7445</v>
      </c>
      <c r="B583" s="1">
        <v>41130</v>
      </c>
      <c r="C583" s="1">
        <v>41175</v>
      </c>
      <c r="D583" t="s">
        <v>6542</v>
      </c>
      <c r="E583">
        <v>20140</v>
      </c>
      <c r="F583">
        <v>0</v>
      </c>
      <c r="G583">
        <v>0</v>
      </c>
      <c r="H583">
        <v>0</v>
      </c>
      <c r="I583">
        <v>138</v>
      </c>
      <c r="J583">
        <v>20080</v>
      </c>
      <c r="K583" t="s">
        <v>135</v>
      </c>
      <c r="L583" s="1">
        <v>41130</v>
      </c>
      <c r="N583" t="s">
        <v>5127</v>
      </c>
      <c r="O583" t="s">
        <v>2458</v>
      </c>
      <c r="P583" t="s">
        <v>6544</v>
      </c>
      <c r="Q583" t="s">
        <v>39</v>
      </c>
      <c r="R583" t="s">
        <v>40</v>
      </c>
      <c r="S583">
        <v>0</v>
      </c>
      <c r="U583" t="s">
        <v>5550</v>
      </c>
      <c r="V583" t="s">
        <v>1797</v>
      </c>
      <c r="X583" t="s">
        <v>74</v>
      </c>
      <c r="Y583" t="b">
        <v>0</v>
      </c>
      <c r="Z583" t="b">
        <v>0</v>
      </c>
      <c r="AC583" s="1"/>
      <c r="AF583">
        <v>0</v>
      </c>
      <c r="AG583">
        <v>45</v>
      </c>
      <c r="AH583">
        <v>183</v>
      </c>
      <c r="AI583" s="2">
        <f>Table__192.168.3.138AgingReportBEWLGS[[#This Row],[NetAmount]]-Table__192.168.3.138AgingReportBEWLGS[[#This Row],[Paid]]</f>
        <v>20080</v>
      </c>
    </row>
    <row r="584" spans="1:35">
      <c r="A584" t="s">
        <v>7446</v>
      </c>
      <c r="B584" s="1">
        <v>41178</v>
      </c>
      <c r="C584" s="1">
        <v>41223</v>
      </c>
      <c r="D584" t="s">
        <v>6654</v>
      </c>
      <c r="E584">
        <v>10800</v>
      </c>
      <c r="F584">
        <v>1728</v>
      </c>
      <c r="G584">
        <v>0</v>
      </c>
      <c r="H584">
        <v>0</v>
      </c>
      <c r="I584">
        <v>94</v>
      </c>
      <c r="J584">
        <v>12528</v>
      </c>
      <c r="K584" t="s">
        <v>3453</v>
      </c>
      <c r="L584" s="1">
        <v>41174</v>
      </c>
      <c r="N584" t="s">
        <v>5127</v>
      </c>
      <c r="O584" t="s">
        <v>2458</v>
      </c>
      <c r="P584" t="s">
        <v>6656</v>
      </c>
      <c r="Q584" t="s">
        <v>39</v>
      </c>
      <c r="R584" t="s">
        <v>40</v>
      </c>
      <c r="S584">
        <v>0</v>
      </c>
      <c r="U584" t="s">
        <v>5550</v>
      </c>
      <c r="V584" t="s">
        <v>1797</v>
      </c>
      <c r="X584" t="s">
        <v>74</v>
      </c>
      <c r="Y584" t="b">
        <v>0</v>
      </c>
      <c r="Z584" t="b">
        <v>0</v>
      </c>
      <c r="AC584" s="1"/>
      <c r="AF584">
        <v>0</v>
      </c>
      <c r="AG584">
        <v>45</v>
      </c>
      <c r="AH584">
        <v>139</v>
      </c>
      <c r="AI584" s="2">
        <f>Table__192.168.3.138AgingReportBEWLGS[[#This Row],[NetAmount]]-Table__192.168.3.138AgingReportBEWLGS[[#This Row],[Paid]]</f>
        <v>12528</v>
      </c>
    </row>
    <row r="585" spans="1:35">
      <c r="A585" t="s">
        <v>7447</v>
      </c>
      <c r="B585" s="1">
        <v>41162</v>
      </c>
      <c r="C585" s="1">
        <v>41207</v>
      </c>
      <c r="D585" t="s">
        <v>6318</v>
      </c>
      <c r="E585">
        <v>385884</v>
      </c>
      <c r="F585">
        <v>61741</v>
      </c>
      <c r="G585">
        <v>0</v>
      </c>
      <c r="H585">
        <v>0</v>
      </c>
      <c r="I585">
        <v>109</v>
      </c>
      <c r="J585">
        <v>447625</v>
      </c>
      <c r="K585" t="s">
        <v>7448</v>
      </c>
      <c r="L585" s="1">
        <v>41159</v>
      </c>
      <c r="N585" t="s">
        <v>5127</v>
      </c>
      <c r="O585" t="s">
        <v>2458</v>
      </c>
      <c r="P585" t="s">
        <v>6320</v>
      </c>
      <c r="Q585" t="s">
        <v>39</v>
      </c>
      <c r="R585" t="s">
        <v>40</v>
      </c>
      <c r="S585">
        <v>0</v>
      </c>
      <c r="U585" t="s">
        <v>5550</v>
      </c>
      <c r="V585" t="s">
        <v>1797</v>
      </c>
      <c r="X585" t="s">
        <v>74</v>
      </c>
      <c r="Y585" t="b">
        <v>0</v>
      </c>
      <c r="Z585" t="b">
        <v>0</v>
      </c>
      <c r="AB585" t="s">
        <v>7321</v>
      </c>
      <c r="AC585" s="1">
        <v>41307</v>
      </c>
      <c r="AF585">
        <v>0</v>
      </c>
      <c r="AG585">
        <v>45</v>
      </c>
      <c r="AH585">
        <v>154</v>
      </c>
      <c r="AI585" s="2">
        <f>Table__192.168.3.138AgingReportBEWLGS[[#This Row],[NetAmount]]-Table__192.168.3.138AgingReportBEWLGS[[#This Row],[Paid]]</f>
        <v>447625</v>
      </c>
    </row>
    <row r="586" spans="1:35">
      <c r="A586" t="s">
        <v>7449</v>
      </c>
      <c r="B586" s="1">
        <v>41178</v>
      </c>
      <c r="C586" s="1">
        <v>41223</v>
      </c>
      <c r="D586" t="s">
        <v>264</v>
      </c>
      <c r="E586">
        <v>33000</v>
      </c>
      <c r="F586">
        <v>5280</v>
      </c>
      <c r="G586">
        <v>0</v>
      </c>
      <c r="H586">
        <v>0</v>
      </c>
      <c r="I586">
        <v>92</v>
      </c>
      <c r="J586">
        <v>38280</v>
      </c>
      <c r="K586" t="s">
        <v>7450</v>
      </c>
      <c r="L586" s="1">
        <v>41176</v>
      </c>
      <c r="N586" t="s">
        <v>5127</v>
      </c>
      <c r="O586" t="s">
        <v>2458</v>
      </c>
      <c r="P586" t="s">
        <v>6616</v>
      </c>
      <c r="Q586" t="s">
        <v>39</v>
      </c>
      <c r="R586" t="s">
        <v>40</v>
      </c>
      <c r="S586">
        <v>0</v>
      </c>
      <c r="U586" t="s">
        <v>5550</v>
      </c>
      <c r="V586" t="s">
        <v>1797</v>
      </c>
      <c r="X586" t="s">
        <v>74</v>
      </c>
      <c r="Y586" t="b">
        <v>0</v>
      </c>
      <c r="Z586" t="b">
        <v>0</v>
      </c>
      <c r="AC586" s="1"/>
      <c r="AF586">
        <v>0</v>
      </c>
      <c r="AG586">
        <v>45</v>
      </c>
      <c r="AH586">
        <v>137</v>
      </c>
      <c r="AI586" s="2">
        <f>Table__192.168.3.138AgingReportBEWLGS[[#This Row],[NetAmount]]-Table__192.168.3.138AgingReportBEWLGS[[#This Row],[Paid]]</f>
        <v>38280</v>
      </c>
    </row>
    <row r="587" spans="1:35">
      <c r="A587" t="s">
        <v>7451</v>
      </c>
      <c r="B587" s="1">
        <v>41107</v>
      </c>
      <c r="C587" s="1">
        <v>41152</v>
      </c>
      <c r="D587" t="s">
        <v>6278</v>
      </c>
      <c r="E587">
        <v>12424</v>
      </c>
      <c r="F587">
        <v>536</v>
      </c>
      <c r="G587">
        <v>0</v>
      </c>
      <c r="H587">
        <v>0</v>
      </c>
      <c r="I587">
        <v>147</v>
      </c>
      <c r="J587">
        <v>12960</v>
      </c>
      <c r="K587" t="s">
        <v>5695</v>
      </c>
      <c r="L587" s="1">
        <v>41121</v>
      </c>
      <c r="N587" t="s">
        <v>5127</v>
      </c>
      <c r="O587" t="s">
        <v>2458</v>
      </c>
      <c r="P587" t="s">
        <v>6280</v>
      </c>
      <c r="Q587" t="s">
        <v>39</v>
      </c>
      <c r="R587" t="s">
        <v>40</v>
      </c>
      <c r="S587">
        <v>0</v>
      </c>
      <c r="U587" t="s">
        <v>5550</v>
      </c>
      <c r="V587" t="s">
        <v>1797</v>
      </c>
      <c r="X587" t="s">
        <v>74</v>
      </c>
      <c r="Y587" t="b">
        <v>0</v>
      </c>
      <c r="Z587" t="b">
        <v>0</v>
      </c>
      <c r="AC587" s="1"/>
      <c r="AF587">
        <v>0</v>
      </c>
      <c r="AG587">
        <v>45</v>
      </c>
      <c r="AH587">
        <v>192</v>
      </c>
      <c r="AI587" s="2">
        <f>Table__192.168.3.138AgingReportBEWLGS[[#This Row],[NetAmount]]-Table__192.168.3.138AgingReportBEWLGS[[#This Row],[Paid]]</f>
        <v>12960</v>
      </c>
    </row>
    <row r="588" spans="1:35">
      <c r="A588" t="s">
        <v>7452</v>
      </c>
      <c r="B588" s="1">
        <v>41152</v>
      </c>
      <c r="C588" s="1">
        <v>41197</v>
      </c>
      <c r="D588" t="s">
        <v>6278</v>
      </c>
      <c r="E588">
        <v>12115</v>
      </c>
      <c r="F588">
        <v>475</v>
      </c>
      <c r="G588">
        <v>0</v>
      </c>
      <c r="H588">
        <v>0</v>
      </c>
      <c r="I588">
        <v>116</v>
      </c>
      <c r="J588">
        <v>12590</v>
      </c>
      <c r="K588" t="s">
        <v>5979</v>
      </c>
      <c r="L588" s="1">
        <v>41152</v>
      </c>
      <c r="N588" t="s">
        <v>5127</v>
      </c>
      <c r="O588" t="s">
        <v>2458</v>
      </c>
      <c r="P588" t="s">
        <v>6280</v>
      </c>
      <c r="Q588" t="s">
        <v>39</v>
      </c>
      <c r="R588" t="s">
        <v>40</v>
      </c>
      <c r="S588">
        <v>0</v>
      </c>
      <c r="U588" t="s">
        <v>5550</v>
      </c>
      <c r="V588" t="s">
        <v>1797</v>
      </c>
      <c r="X588" t="s">
        <v>74</v>
      </c>
      <c r="Y588" t="b">
        <v>0</v>
      </c>
      <c r="Z588" t="b">
        <v>0</v>
      </c>
      <c r="AC588" s="1"/>
      <c r="AF588">
        <v>0</v>
      </c>
      <c r="AG588">
        <v>45</v>
      </c>
      <c r="AH588">
        <v>161</v>
      </c>
      <c r="AI588" s="2">
        <f>Table__192.168.3.138AgingReportBEWLGS[[#This Row],[NetAmount]]-Table__192.168.3.138AgingReportBEWLGS[[#This Row],[Paid]]</f>
        <v>12590</v>
      </c>
    </row>
    <row r="589" spans="1:35">
      <c r="A589" t="s">
        <v>7453</v>
      </c>
      <c r="B589" s="1">
        <v>41160</v>
      </c>
      <c r="C589" s="1">
        <v>41160</v>
      </c>
      <c r="D589" t="s">
        <v>6529</v>
      </c>
      <c r="E589">
        <v>43599</v>
      </c>
      <c r="F589">
        <v>6976</v>
      </c>
      <c r="G589">
        <v>0</v>
      </c>
      <c r="H589">
        <v>0</v>
      </c>
      <c r="I589">
        <v>0</v>
      </c>
      <c r="J589">
        <v>50575</v>
      </c>
      <c r="K589" t="s">
        <v>7454</v>
      </c>
      <c r="L589" s="1">
        <v>41155</v>
      </c>
      <c r="N589" t="s">
        <v>5127</v>
      </c>
      <c r="O589" t="s">
        <v>2458</v>
      </c>
      <c r="P589" t="s">
        <v>6530</v>
      </c>
      <c r="Q589" t="s">
        <v>39</v>
      </c>
      <c r="R589" t="s">
        <v>40</v>
      </c>
      <c r="S589">
        <v>0</v>
      </c>
      <c r="U589" t="s">
        <v>5550</v>
      </c>
      <c r="V589" t="s">
        <v>1797</v>
      </c>
      <c r="X589" t="s">
        <v>74</v>
      </c>
      <c r="Y589" t="b">
        <v>0</v>
      </c>
      <c r="Z589" t="b">
        <v>0</v>
      </c>
      <c r="AC589" s="1"/>
      <c r="AF589">
        <v>0</v>
      </c>
      <c r="AH589">
        <v>158</v>
      </c>
      <c r="AI589" s="2">
        <f>Table__192.168.3.138AgingReportBEWLGS[[#This Row],[NetAmount]]-Table__192.168.3.138AgingReportBEWLGS[[#This Row],[Paid]]</f>
        <v>50575</v>
      </c>
    </row>
    <row r="590" spans="1:35">
      <c r="A590" t="s">
        <v>7455</v>
      </c>
      <c r="B590" s="1">
        <v>41162</v>
      </c>
      <c r="C590" s="1">
        <v>41207</v>
      </c>
      <c r="D590" t="s">
        <v>7212</v>
      </c>
      <c r="E590">
        <v>48762</v>
      </c>
      <c r="F590">
        <v>7802</v>
      </c>
      <c r="G590">
        <v>0</v>
      </c>
      <c r="H590">
        <v>0</v>
      </c>
      <c r="I590">
        <v>108</v>
      </c>
      <c r="J590">
        <v>56564</v>
      </c>
      <c r="K590" t="s">
        <v>2737</v>
      </c>
      <c r="L590" s="1">
        <v>41160</v>
      </c>
      <c r="N590" t="s">
        <v>5127</v>
      </c>
      <c r="O590" t="s">
        <v>2458</v>
      </c>
      <c r="P590" t="s">
        <v>7214</v>
      </c>
      <c r="Q590" t="s">
        <v>39</v>
      </c>
      <c r="R590" t="s">
        <v>40</v>
      </c>
      <c r="S590">
        <v>0</v>
      </c>
      <c r="U590" t="s">
        <v>5550</v>
      </c>
      <c r="V590" t="s">
        <v>1797</v>
      </c>
      <c r="X590" t="s">
        <v>74</v>
      </c>
      <c r="Y590" t="b">
        <v>0</v>
      </c>
      <c r="Z590" t="b">
        <v>0</v>
      </c>
      <c r="AC590" s="1"/>
      <c r="AF590">
        <v>0</v>
      </c>
      <c r="AG590">
        <v>45</v>
      </c>
      <c r="AH590">
        <v>153</v>
      </c>
      <c r="AI590" s="2">
        <f>Table__192.168.3.138AgingReportBEWLGS[[#This Row],[NetAmount]]-Table__192.168.3.138AgingReportBEWLGS[[#This Row],[Paid]]</f>
        <v>56564</v>
      </c>
    </row>
    <row r="591" spans="1:35">
      <c r="A591" t="s">
        <v>7456</v>
      </c>
      <c r="B591" s="1">
        <v>41162</v>
      </c>
      <c r="C591" s="1">
        <v>41207</v>
      </c>
      <c r="D591" t="s">
        <v>7457</v>
      </c>
      <c r="E591">
        <v>24102</v>
      </c>
      <c r="F591">
        <v>3856</v>
      </c>
      <c r="G591">
        <v>0</v>
      </c>
      <c r="H591">
        <v>0</v>
      </c>
      <c r="I591">
        <v>106</v>
      </c>
      <c r="J591">
        <v>27958</v>
      </c>
      <c r="K591" t="s">
        <v>7458</v>
      </c>
      <c r="L591" s="1">
        <v>41162</v>
      </c>
      <c r="N591" t="s">
        <v>5127</v>
      </c>
      <c r="O591" t="s">
        <v>2458</v>
      </c>
      <c r="P591" t="s">
        <v>7459</v>
      </c>
      <c r="Q591" t="s">
        <v>39</v>
      </c>
      <c r="R591" t="s">
        <v>40</v>
      </c>
      <c r="S591">
        <v>0</v>
      </c>
      <c r="U591" t="s">
        <v>5550</v>
      </c>
      <c r="V591" t="s">
        <v>1797</v>
      </c>
      <c r="X591" t="s">
        <v>74</v>
      </c>
      <c r="Y591" t="b">
        <v>0</v>
      </c>
      <c r="Z591" t="b">
        <v>0</v>
      </c>
      <c r="AC591" s="1"/>
      <c r="AF591">
        <v>0</v>
      </c>
      <c r="AG591">
        <v>45</v>
      </c>
      <c r="AH591">
        <v>151</v>
      </c>
      <c r="AI591" s="2">
        <f>Table__192.168.3.138AgingReportBEWLGS[[#This Row],[NetAmount]]-Table__192.168.3.138AgingReportBEWLGS[[#This Row],[Paid]]</f>
        <v>27958</v>
      </c>
    </row>
    <row r="592" spans="1:35">
      <c r="A592" t="s">
        <v>7460</v>
      </c>
      <c r="B592" s="1">
        <v>41162</v>
      </c>
      <c r="C592" s="1">
        <v>41207</v>
      </c>
      <c r="D592" t="s">
        <v>7457</v>
      </c>
      <c r="E592">
        <v>21742</v>
      </c>
      <c r="F592">
        <v>3479</v>
      </c>
      <c r="G592">
        <v>0</v>
      </c>
      <c r="H592">
        <v>0</v>
      </c>
      <c r="I592">
        <v>113</v>
      </c>
      <c r="J592">
        <v>25221</v>
      </c>
      <c r="K592" t="s">
        <v>1817</v>
      </c>
      <c r="L592" s="1">
        <v>41155</v>
      </c>
      <c r="N592" t="s">
        <v>5127</v>
      </c>
      <c r="O592" t="s">
        <v>2458</v>
      </c>
      <c r="P592" t="s">
        <v>7459</v>
      </c>
      <c r="Q592" t="s">
        <v>39</v>
      </c>
      <c r="R592" t="s">
        <v>40</v>
      </c>
      <c r="S592">
        <v>0</v>
      </c>
      <c r="U592" t="s">
        <v>5550</v>
      </c>
      <c r="V592" t="s">
        <v>1797</v>
      </c>
      <c r="X592" t="s">
        <v>74</v>
      </c>
      <c r="Y592" t="b">
        <v>0</v>
      </c>
      <c r="Z592" t="b">
        <v>0</v>
      </c>
      <c r="AC592" s="1"/>
      <c r="AF592">
        <v>0</v>
      </c>
      <c r="AG592">
        <v>45</v>
      </c>
      <c r="AH592">
        <v>158</v>
      </c>
      <c r="AI592" s="2">
        <f>Table__192.168.3.138AgingReportBEWLGS[[#This Row],[NetAmount]]-Table__192.168.3.138AgingReportBEWLGS[[#This Row],[Paid]]</f>
        <v>25221</v>
      </c>
    </row>
    <row r="593" spans="1:35">
      <c r="A593" t="s">
        <v>7461</v>
      </c>
      <c r="B593" s="1">
        <v>41176</v>
      </c>
      <c r="C593" s="1">
        <v>41221</v>
      </c>
      <c r="D593" t="s">
        <v>7250</v>
      </c>
      <c r="E593">
        <v>35000</v>
      </c>
      <c r="F593">
        <v>5600</v>
      </c>
      <c r="G593">
        <v>0</v>
      </c>
      <c r="H593">
        <v>0</v>
      </c>
      <c r="I593">
        <v>88</v>
      </c>
      <c r="J593">
        <v>40600</v>
      </c>
      <c r="K593" t="s">
        <v>7462</v>
      </c>
      <c r="L593" s="1">
        <v>41180</v>
      </c>
      <c r="N593" t="s">
        <v>5127</v>
      </c>
      <c r="O593" t="s">
        <v>2458</v>
      </c>
      <c r="P593" t="s">
        <v>5526</v>
      </c>
      <c r="Q593" t="s">
        <v>39</v>
      </c>
      <c r="R593" t="s">
        <v>40</v>
      </c>
      <c r="S593">
        <v>0</v>
      </c>
      <c r="U593" t="s">
        <v>5550</v>
      </c>
      <c r="V593" t="s">
        <v>1797</v>
      </c>
      <c r="X593" t="s">
        <v>74</v>
      </c>
      <c r="Y593" t="b">
        <v>0</v>
      </c>
      <c r="Z593" t="b">
        <v>0</v>
      </c>
      <c r="AC593" s="1"/>
      <c r="AF593">
        <v>0</v>
      </c>
      <c r="AG593">
        <v>45</v>
      </c>
      <c r="AH593">
        <v>133</v>
      </c>
      <c r="AI593" s="2">
        <f>Table__192.168.3.138AgingReportBEWLGS[[#This Row],[NetAmount]]-Table__192.168.3.138AgingReportBEWLGS[[#This Row],[Paid]]</f>
        <v>40600</v>
      </c>
    </row>
    <row r="594" spans="1:35">
      <c r="A594" t="s">
        <v>7463</v>
      </c>
      <c r="B594" s="1">
        <v>41160</v>
      </c>
      <c r="C594" s="1">
        <v>41205</v>
      </c>
      <c r="D594" t="s">
        <v>6610</v>
      </c>
      <c r="E594">
        <v>42269</v>
      </c>
      <c r="F594">
        <v>0</v>
      </c>
      <c r="G594">
        <v>0</v>
      </c>
      <c r="H594">
        <v>0</v>
      </c>
      <c r="I594">
        <v>111</v>
      </c>
      <c r="J594">
        <v>42269</v>
      </c>
      <c r="K594" t="s">
        <v>3310</v>
      </c>
      <c r="L594" s="1">
        <v>41157</v>
      </c>
      <c r="N594" t="s">
        <v>5127</v>
      </c>
      <c r="O594" t="s">
        <v>2458</v>
      </c>
      <c r="P594" t="s">
        <v>6612</v>
      </c>
      <c r="Q594" t="s">
        <v>39</v>
      </c>
      <c r="R594" t="s">
        <v>40</v>
      </c>
      <c r="S594">
        <v>0</v>
      </c>
      <c r="U594" t="s">
        <v>5550</v>
      </c>
      <c r="V594" t="s">
        <v>1797</v>
      </c>
      <c r="X594" t="s">
        <v>74</v>
      </c>
      <c r="Y594" t="b">
        <v>0</v>
      </c>
      <c r="Z594" t="b">
        <v>0</v>
      </c>
      <c r="AC594" s="1"/>
      <c r="AF594">
        <v>0</v>
      </c>
      <c r="AG594">
        <v>45</v>
      </c>
      <c r="AH594">
        <v>156</v>
      </c>
      <c r="AI594" s="2">
        <f>Table__192.168.3.138AgingReportBEWLGS[[#This Row],[NetAmount]]-Table__192.168.3.138AgingReportBEWLGS[[#This Row],[Paid]]</f>
        <v>42269</v>
      </c>
    </row>
    <row r="595" spans="1:35">
      <c r="A595" t="s">
        <v>7464</v>
      </c>
      <c r="B595" s="1">
        <v>41170</v>
      </c>
      <c r="C595" s="1">
        <v>41215</v>
      </c>
      <c r="D595" t="s">
        <v>6610</v>
      </c>
      <c r="E595">
        <v>45515</v>
      </c>
      <c r="F595">
        <v>7282</v>
      </c>
      <c r="G595">
        <v>0</v>
      </c>
      <c r="H595">
        <v>0</v>
      </c>
      <c r="I595">
        <v>87</v>
      </c>
      <c r="J595">
        <v>52797</v>
      </c>
      <c r="K595" t="s">
        <v>6329</v>
      </c>
      <c r="L595" s="1">
        <v>41181</v>
      </c>
      <c r="N595" t="s">
        <v>5127</v>
      </c>
      <c r="O595" t="s">
        <v>2458</v>
      </c>
      <c r="P595" t="s">
        <v>6612</v>
      </c>
      <c r="Q595" t="s">
        <v>39</v>
      </c>
      <c r="R595" t="s">
        <v>40</v>
      </c>
      <c r="S595">
        <v>0</v>
      </c>
      <c r="U595" t="s">
        <v>5550</v>
      </c>
      <c r="V595" t="s">
        <v>1797</v>
      </c>
      <c r="X595" t="s">
        <v>74</v>
      </c>
      <c r="Y595" t="b">
        <v>0</v>
      </c>
      <c r="Z595" t="b">
        <v>0</v>
      </c>
      <c r="AC595" s="1"/>
      <c r="AF595">
        <v>0</v>
      </c>
      <c r="AG595">
        <v>45</v>
      </c>
      <c r="AH595">
        <v>132</v>
      </c>
      <c r="AI595" s="2">
        <f>Table__192.168.3.138AgingReportBEWLGS[[#This Row],[NetAmount]]-Table__192.168.3.138AgingReportBEWLGS[[#This Row],[Paid]]</f>
        <v>52797</v>
      </c>
    </row>
    <row r="596" spans="1:35">
      <c r="A596" t="s">
        <v>7465</v>
      </c>
      <c r="B596" s="1">
        <v>41179</v>
      </c>
      <c r="C596" s="1">
        <v>41224</v>
      </c>
      <c r="D596" t="s">
        <v>6610</v>
      </c>
      <c r="E596">
        <v>46956</v>
      </c>
      <c r="F596">
        <v>0</v>
      </c>
      <c r="G596">
        <v>0</v>
      </c>
      <c r="H596">
        <v>0</v>
      </c>
      <c r="I596">
        <v>91</v>
      </c>
      <c r="J596">
        <v>46956</v>
      </c>
      <c r="K596" t="s">
        <v>1322</v>
      </c>
      <c r="L596" s="1">
        <v>41177</v>
      </c>
      <c r="N596" t="s">
        <v>5127</v>
      </c>
      <c r="O596" t="s">
        <v>2458</v>
      </c>
      <c r="P596" t="s">
        <v>6612</v>
      </c>
      <c r="Q596" t="s">
        <v>39</v>
      </c>
      <c r="R596" t="s">
        <v>40</v>
      </c>
      <c r="S596">
        <v>0</v>
      </c>
      <c r="U596" t="s">
        <v>5550</v>
      </c>
      <c r="V596" t="s">
        <v>1797</v>
      </c>
      <c r="X596" t="s">
        <v>74</v>
      </c>
      <c r="Y596" t="b">
        <v>0</v>
      </c>
      <c r="Z596" t="b">
        <v>0</v>
      </c>
      <c r="AC596" s="1"/>
      <c r="AF596">
        <v>0</v>
      </c>
      <c r="AG596">
        <v>45</v>
      </c>
      <c r="AH596">
        <v>136</v>
      </c>
      <c r="AI596" s="2">
        <f>Table__192.168.3.138AgingReportBEWLGS[[#This Row],[NetAmount]]-Table__192.168.3.138AgingReportBEWLGS[[#This Row],[Paid]]</f>
        <v>46956</v>
      </c>
    </row>
    <row r="597" spans="1:35">
      <c r="A597" t="s">
        <v>7466</v>
      </c>
      <c r="B597" s="1">
        <v>41159</v>
      </c>
      <c r="C597" s="1">
        <v>41204</v>
      </c>
      <c r="D597" t="s">
        <v>7412</v>
      </c>
      <c r="E597">
        <v>23000</v>
      </c>
      <c r="F597">
        <v>0</v>
      </c>
      <c r="G597">
        <v>0</v>
      </c>
      <c r="H597">
        <v>0</v>
      </c>
      <c r="I597">
        <v>112</v>
      </c>
      <c r="J597">
        <v>23000</v>
      </c>
      <c r="K597" t="s">
        <v>7467</v>
      </c>
      <c r="L597" s="1">
        <v>41156</v>
      </c>
      <c r="N597" t="s">
        <v>5127</v>
      </c>
      <c r="O597" t="s">
        <v>2458</v>
      </c>
      <c r="P597" t="s">
        <v>5540</v>
      </c>
      <c r="Q597" t="s">
        <v>39</v>
      </c>
      <c r="R597" t="s">
        <v>40</v>
      </c>
      <c r="S597">
        <v>0</v>
      </c>
      <c r="U597" t="s">
        <v>5550</v>
      </c>
      <c r="V597" t="s">
        <v>1797</v>
      </c>
      <c r="X597" t="s">
        <v>74</v>
      </c>
      <c r="Y597" t="b">
        <v>0</v>
      </c>
      <c r="Z597" t="b">
        <v>0</v>
      </c>
      <c r="AC597" s="1"/>
      <c r="AF597">
        <v>0</v>
      </c>
      <c r="AG597">
        <v>45</v>
      </c>
      <c r="AH597">
        <v>157</v>
      </c>
      <c r="AI597" s="2">
        <f>Table__192.168.3.138AgingReportBEWLGS[[#This Row],[NetAmount]]-Table__192.168.3.138AgingReportBEWLGS[[#This Row],[Paid]]</f>
        <v>23000</v>
      </c>
    </row>
    <row r="598" spans="1:35">
      <c r="A598" t="s">
        <v>7468</v>
      </c>
      <c r="B598" s="1">
        <v>41162</v>
      </c>
      <c r="C598" s="1">
        <v>41207</v>
      </c>
      <c r="D598" t="s">
        <v>6448</v>
      </c>
      <c r="E598">
        <v>19040</v>
      </c>
      <c r="F598">
        <v>3046</v>
      </c>
      <c r="G598">
        <v>0</v>
      </c>
      <c r="H598">
        <v>0</v>
      </c>
      <c r="I598">
        <v>108</v>
      </c>
      <c r="J598">
        <v>22086</v>
      </c>
      <c r="K598" t="s">
        <v>2912</v>
      </c>
      <c r="L598" s="1">
        <v>41160</v>
      </c>
      <c r="N598" t="s">
        <v>5127</v>
      </c>
      <c r="O598" t="s">
        <v>2458</v>
      </c>
      <c r="P598" t="s">
        <v>6451</v>
      </c>
      <c r="Q598" t="s">
        <v>39</v>
      </c>
      <c r="R598" t="s">
        <v>40</v>
      </c>
      <c r="S598">
        <v>0</v>
      </c>
      <c r="U598" t="s">
        <v>5550</v>
      </c>
      <c r="V598" t="s">
        <v>1797</v>
      </c>
      <c r="X598" t="s">
        <v>74</v>
      </c>
      <c r="Y598" t="b">
        <v>0</v>
      </c>
      <c r="Z598" t="b">
        <v>0</v>
      </c>
      <c r="AC598" s="1"/>
      <c r="AF598">
        <v>0</v>
      </c>
      <c r="AG598">
        <v>45</v>
      </c>
      <c r="AH598">
        <v>153</v>
      </c>
      <c r="AI598" s="2">
        <f>Table__192.168.3.138AgingReportBEWLGS[[#This Row],[NetAmount]]-Table__192.168.3.138AgingReportBEWLGS[[#This Row],[Paid]]</f>
        <v>22086</v>
      </c>
    </row>
    <row r="599" spans="1:35">
      <c r="A599" t="s">
        <v>7469</v>
      </c>
      <c r="B599" s="1">
        <v>41174</v>
      </c>
      <c r="C599" s="1">
        <v>41219</v>
      </c>
      <c r="D599" t="s">
        <v>6448</v>
      </c>
      <c r="E599">
        <v>28560</v>
      </c>
      <c r="F599">
        <v>4570</v>
      </c>
      <c r="G599">
        <v>0</v>
      </c>
      <c r="H599">
        <v>0</v>
      </c>
      <c r="I599">
        <v>101</v>
      </c>
      <c r="J599">
        <v>33130</v>
      </c>
      <c r="K599" t="s">
        <v>139</v>
      </c>
      <c r="L599" s="1">
        <v>41167</v>
      </c>
      <c r="N599" t="s">
        <v>5127</v>
      </c>
      <c r="O599" t="s">
        <v>2458</v>
      </c>
      <c r="P599" t="s">
        <v>6451</v>
      </c>
      <c r="Q599" t="s">
        <v>39</v>
      </c>
      <c r="R599" t="s">
        <v>40</v>
      </c>
      <c r="S599">
        <v>0</v>
      </c>
      <c r="U599" t="s">
        <v>5550</v>
      </c>
      <c r="V599" t="s">
        <v>1797</v>
      </c>
      <c r="X599" t="s">
        <v>74</v>
      </c>
      <c r="Y599" t="b">
        <v>0</v>
      </c>
      <c r="Z599" t="b">
        <v>0</v>
      </c>
      <c r="AC599" s="1"/>
      <c r="AF599">
        <v>0</v>
      </c>
      <c r="AG599">
        <v>45</v>
      </c>
      <c r="AH599">
        <v>146</v>
      </c>
      <c r="AI599" s="2">
        <f>Table__192.168.3.138AgingReportBEWLGS[[#This Row],[NetAmount]]-Table__192.168.3.138AgingReportBEWLGS[[#This Row],[Paid]]</f>
        <v>33130</v>
      </c>
    </row>
    <row r="600" spans="1:35">
      <c r="A600" t="s">
        <v>7470</v>
      </c>
      <c r="B600" s="1">
        <v>41167</v>
      </c>
      <c r="C600" s="1">
        <v>41212</v>
      </c>
      <c r="D600" t="s">
        <v>6448</v>
      </c>
      <c r="E600">
        <v>28560</v>
      </c>
      <c r="F600">
        <v>4570</v>
      </c>
      <c r="G600">
        <v>0</v>
      </c>
      <c r="H600">
        <v>0</v>
      </c>
      <c r="I600">
        <v>94</v>
      </c>
      <c r="J600">
        <v>33130</v>
      </c>
      <c r="K600" t="s">
        <v>71</v>
      </c>
      <c r="L600" s="1">
        <v>41174</v>
      </c>
      <c r="N600" t="s">
        <v>5127</v>
      </c>
      <c r="O600" t="s">
        <v>2458</v>
      </c>
      <c r="P600" t="s">
        <v>6451</v>
      </c>
      <c r="Q600" t="s">
        <v>39</v>
      </c>
      <c r="R600" t="s">
        <v>40</v>
      </c>
      <c r="S600">
        <v>0</v>
      </c>
      <c r="U600" t="s">
        <v>5550</v>
      </c>
      <c r="V600" t="s">
        <v>1797</v>
      </c>
      <c r="X600" t="s">
        <v>74</v>
      </c>
      <c r="Y600" t="b">
        <v>0</v>
      </c>
      <c r="Z600" t="b">
        <v>0</v>
      </c>
      <c r="AC600" s="1"/>
      <c r="AF600">
        <v>0</v>
      </c>
      <c r="AG600">
        <v>45</v>
      </c>
      <c r="AH600">
        <v>139</v>
      </c>
      <c r="AI600" s="2">
        <f>Table__192.168.3.138AgingReportBEWLGS[[#This Row],[NetAmount]]-Table__192.168.3.138AgingReportBEWLGS[[#This Row],[Paid]]</f>
        <v>33130</v>
      </c>
    </row>
    <row r="601" spans="1:35">
      <c r="A601" t="s">
        <v>7471</v>
      </c>
      <c r="B601" s="1">
        <v>41181</v>
      </c>
      <c r="C601" s="1">
        <v>41226</v>
      </c>
      <c r="D601" t="s">
        <v>6448</v>
      </c>
      <c r="E601">
        <v>23800</v>
      </c>
      <c r="F601">
        <v>3808</v>
      </c>
      <c r="G601">
        <v>0</v>
      </c>
      <c r="H601">
        <v>0</v>
      </c>
      <c r="I601">
        <v>87</v>
      </c>
      <c r="J601">
        <v>27608</v>
      </c>
      <c r="K601" t="s">
        <v>160</v>
      </c>
      <c r="L601" s="1">
        <v>41181</v>
      </c>
      <c r="N601" t="s">
        <v>5127</v>
      </c>
      <c r="O601" t="s">
        <v>2458</v>
      </c>
      <c r="P601" t="s">
        <v>6451</v>
      </c>
      <c r="Q601" t="s">
        <v>39</v>
      </c>
      <c r="R601" t="s">
        <v>40</v>
      </c>
      <c r="S601">
        <v>0</v>
      </c>
      <c r="U601" t="s">
        <v>5550</v>
      </c>
      <c r="V601" t="s">
        <v>1797</v>
      </c>
      <c r="X601" t="s">
        <v>74</v>
      </c>
      <c r="Y601" t="b">
        <v>0</v>
      </c>
      <c r="Z601" t="b">
        <v>0</v>
      </c>
      <c r="AC601" s="1"/>
      <c r="AF601">
        <v>0</v>
      </c>
      <c r="AG601">
        <v>45</v>
      </c>
      <c r="AH601">
        <v>132</v>
      </c>
      <c r="AI601" s="2">
        <f>Table__192.168.3.138AgingReportBEWLGS[[#This Row],[NetAmount]]-Table__192.168.3.138AgingReportBEWLGS[[#This Row],[Paid]]</f>
        <v>27608</v>
      </c>
    </row>
    <row r="602" spans="1:35">
      <c r="A602" t="s">
        <v>7472</v>
      </c>
      <c r="B602" s="1">
        <v>41181</v>
      </c>
      <c r="C602" s="1">
        <v>41181</v>
      </c>
      <c r="D602" t="s">
        <v>7352</v>
      </c>
      <c r="E602">
        <v>163840</v>
      </c>
      <c r="F602">
        <v>26214</v>
      </c>
      <c r="G602">
        <v>0</v>
      </c>
      <c r="H602">
        <v>0</v>
      </c>
      <c r="I602">
        <v>0</v>
      </c>
      <c r="J602">
        <v>190054</v>
      </c>
      <c r="K602" t="s">
        <v>7473</v>
      </c>
      <c r="L602" s="1">
        <v>41181</v>
      </c>
      <c r="N602" t="s">
        <v>5127</v>
      </c>
      <c r="O602" t="s">
        <v>2458</v>
      </c>
      <c r="P602" t="s">
        <v>7355</v>
      </c>
      <c r="Q602" t="s">
        <v>39</v>
      </c>
      <c r="R602" t="s">
        <v>40</v>
      </c>
      <c r="S602">
        <v>0</v>
      </c>
      <c r="U602" t="s">
        <v>5550</v>
      </c>
      <c r="V602" t="s">
        <v>1797</v>
      </c>
      <c r="X602" t="s">
        <v>74</v>
      </c>
      <c r="Y602" t="b">
        <v>0</v>
      </c>
      <c r="Z602" t="b">
        <v>0</v>
      </c>
      <c r="AC602" s="1"/>
      <c r="AF602">
        <v>0</v>
      </c>
      <c r="AH602">
        <v>132</v>
      </c>
      <c r="AI602" s="2">
        <f>Table__192.168.3.138AgingReportBEWLGS[[#This Row],[NetAmount]]-Table__192.168.3.138AgingReportBEWLGS[[#This Row],[Paid]]</f>
        <v>190054</v>
      </c>
    </row>
    <row r="603" spans="1:35">
      <c r="A603" t="s">
        <v>7474</v>
      </c>
      <c r="B603" s="1">
        <v>41176</v>
      </c>
      <c r="C603" s="1">
        <v>41221</v>
      </c>
      <c r="D603" t="s">
        <v>249</v>
      </c>
      <c r="E603">
        <v>5200</v>
      </c>
      <c r="F603">
        <v>0</v>
      </c>
      <c r="G603">
        <v>0</v>
      </c>
      <c r="H603">
        <v>0</v>
      </c>
      <c r="I603">
        <v>86</v>
      </c>
      <c r="J603">
        <v>5200</v>
      </c>
      <c r="K603" t="s">
        <v>7475</v>
      </c>
      <c r="L603" s="1">
        <v>41182</v>
      </c>
      <c r="N603" t="s">
        <v>5127</v>
      </c>
      <c r="O603" t="s">
        <v>2458</v>
      </c>
      <c r="P603" t="s">
        <v>6422</v>
      </c>
      <c r="Q603" t="s">
        <v>39</v>
      </c>
      <c r="R603" t="s">
        <v>40</v>
      </c>
      <c r="S603">
        <v>0</v>
      </c>
      <c r="U603" t="s">
        <v>5550</v>
      </c>
      <c r="V603" t="s">
        <v>1797</v>
      </c>
      <c r="X603" t="s">
        <v>74</v>
      </c>
      <c r="Y603" t="b">
        <v>0</v>
      </c>
      <c r="Z603" t="b">
        <v>0</v>
      </c>
      <c r="AC603" s="1"/>
      <c r="AF603">
        <v>0</v>
      </c>
      <c r="AG603">
        <v>45</v>
      </c>
      <c r="AH603">
        <v>131</v>
      </c>
      <c r="AI603" s="2">
        <f>Table__192.168.3.138AgingReportBEWLGS[[#This Row],[NetAmount]]-Table__192.168.3.138AgingReportBEWLGS[[#This Row],[Paid]]</f>
        <v>5200</v>
      </c>
    </row>
    <row r="604" spans="1:35">
      <c r="A604" t="s">
        <v>7476</v>
      </c>
      <c r="B604" s="1">
        <v>41181</v>
      </c>
      <c r="C604" s="1">
        <v>41226</v>
      </c>
      <c r="D604" t="s">
        <v>6412</v>
      </c>
      <c r="E604">
        <v>683485</v>
      </c>
      <c r="F604">
        <v>109358</v>
      </c>
      <c r="G604">
        <v>0</v>
      </c>
      <c r="H604">
        <v>0</v>
      </c>
      <c r="I604">
        <v>105</v>
      </c>
      <c r="J604">
        <v>792843</v>
      </c>
      <c r="K604" t="s">
        <v>7477</v>
      </c>
      <c r="L604" s="1">
        <v>41163</v>
      </c>
      <c r="N604" t="s">
        <v>5127</v>
      </c>
      <c r="O604" t="s">
        <v>2458</v>
      </c>
      <c r="P604" t="s">
        <v>6414</v>
      </c>
      <c r="Q604" t="s">
        <v>39</v>
      </c>
      <c r="R604" t="s">
        <v>40</v>
      </c>
      <c r="S604">
        <v>0</v>
      </c>
      <c r="U604" t="s">
        <v>5550</v>
      </c>
      <c r="V604" t="s">
        <v>1797</v>
      </c>
      <c r="X604" t="s">
        <v>74</v>
      </c>
      <c r="Y604" t="b">
        <v>0</v>
      </c>
      <c r="Z604" t="b">
        <v>0</v>
      </c>
      <c r="AB604" t="s">
        <v>5557</v>
      </c>
      <c r="AC604" s="1">
        <v>41242</v>
      </c>
      <c r="AF604">
        <v>0</v>
      </c>
      <c r="AG604">
        <v>45</v>
      </c>
      <c r="AH604">
        <v>150</v>
      </c>
      <c r="AI604" s="2">
        <f>Table__192.168.3.138AgingReportBEWLGS[[#This Row],[NetAmount]]-Table__192.168.3.138AgingReportBEWLGS[[#This Row],[Paid]]</f>
        <v>792843</v>
      </c>
    </row>
    <row r="605" spans="1:35">
      <c r="A605" t="s">
        <v>7478</v>
      </c>
      <c r="B605" s="1">
        <v>41160</v>
      </c>
      <c r="C605" s="1">
        <v>41205</v>
      </c>
      <c r="D605" t="s">
        <v>6406</v>
      </c>
      <c r="E605">
        <v>695540</v>
      </c>
      <c r="F605">
        <v>111286</v>
      </c>
      <c r="G605">
        <v>0</v>
      </c>
      <c r="H605">
        <v>0</v>
      </c>
      <c r="I605">
        <v>90</v>
      </c>
      <c r="J605">
        <v>806826</v>
      </c>
      <c r="K605" t="s">
        <v>6041</v>
      </c>
      <c r="L605" s="1">
        <v>41178</v>
      </c>
      <c r="N605" t="s">
        <v>5127</v>
      </c>
      <c r="O605" t="s">
        <v>2458</v>
      </c>
      <c r="P605" t="s">
        <v>6407</v>
      </c>
      <c r="Q605" t="s">
        <v>39</v>
      </c>
      <c r="R605" t="s">
        <v>40</v>
      </c>
      <c r="S605">
        <v>0</v>
      </c>
      <c r="U605" t="s">
        <v>5550</v>
      </c>
      <c r="V605" t="s">
        <v>1797</v>
      </c>
      <c r="X605" t="s">
        <v>74</v>
      </c>
      <c r="Y605" t="b">
        <v>0</v>
      </c>
      <c r="Z605" t="b">
        <v>0</v>
      </c>
      <c r="AB605" t="s">
        <v>7479</v>
      </c>
      <c r="AC605" s="1">
        <v>41243</v>
      </c>
      <c r="AD605" t="s">
        <v>7480</v>
      </c>
      <c r="AE605" t="s">
        <v>7481</v>
      </c>
      <c r="AF605">
        <v>607045</v>
      </c>
      <c r="AG605">
        <v>45</v>
      </c>
      <c r="AH605">
        <v>135</v>
      </c>
      <c r="AI605" s="2">
        <f>Table__192.168.3.138AgingReportBEWLGS[[#This Row],[NetAmount]]-Table__192.168.3.138AgingReportBEWLGS[[#This Row],[Paid]]</f>
        <v>199781</v>
      </c>
    </row>
    <row r="606" spans="1:35">
      <c r="A606" t="s">
        <v>7482</v>
      </c>
      <c r="B606" s="1">
        <v>41159</v>
      </c>
      <c r="C606" s="1">
        <v>41204</v>
      </c>
      <c r="D606" t="s">
        <v>6406</v>
      </c>
      <c r="E606">
        <v>675620</v>
      </c>
      <c r="F606">
        <v>108099</v>
      </c>
      <c r="G606">
        <v>0</v>
      </c>
      <c r="H606">
        <v>0</v>
      </c>
      <c r="I606">
        <v>90</v>
      </c>
      <c r="J606">
        <v>783719</v>
      </c>
      <c r="K606" t="s">
        <v>6661</v>
      </c>
      <c r="L606" s="1">
        <v>41178</v>
      </c>
      <c r="N606" t="s">
        <v>5127</v>
      </c>
      <c r="O606" t="s">
        <v>2458</v>
      </c>
      <c r="P606" t="s">
        <v>6407</v>
      </c>
      <c r="Q606" t="s">
        <v>39</v>
      </c>
      <c r="R606" t="s">
        <v>40</v>
      </c>
      <c r="S606">
        <v>0</v>
      </c>
      <c r="U606" t="s">
        <v>5550</v>
      </c>
      <c r="V606" t="s">
        <v>1797</v>
      </c>
      <c r="X606" t="s">
        <v>74</v>
      </c>
      <c r="Y606" t="b">
        <v>0</v>
      </c>
      <c r="Z606" t="b">
        <v>0</v>
      </c>
      <c r="AB606" t="s">
        <v>7479</v>
      </c>
      <c r="AC606" s="1">
        <v>41243</v>
      </c>
      <c r="AD606" t="s">
        <v>7483</v>
      </c>
      <c r="AE606" t="s">
        <v>7481</v>
      </c>
      <c r="AF606">
        <v>0</v>
      </c>
      <c r="AG606">
        <v>45</v>
      </c>
      <c r="AH606">
        <v>135</v>
      </c>
      <c r="AI606" s="2">
        <f>Table__192.168.3.138AgingReportBEWLGS[[#This Row],[NetAmount]]-Table__192.168.3.138AgingReportBEWLGS[[#This Row],[Paid]]</f>
        <v>783719</v>
      </c>
    </row>
    <row r="607" spans="1:35">
      <c r="A607" t="s">
        <v>7484</v>
      </c>
      <c r="B607" s="1">
        <v>41158</v>
      </c>
      <c r="C607" s="1">
        <v>41203</v>
      </c>
      <c r="D607" t="s">
        <v>6406</v>
      </c>
      <c r="E607">
        <v>690975</v>
      </c>
      <c r="F607">
        <v>110556</v>
      </c>
      <c r="G607">
        <v>0</v>
      </c>
      <c r="H607">
        <v>0</v>
      </c>
      <c r="I607">
        <v>90</v>
      </c>
      <c r="J607">
        <v>801531</v>
      </c>
      <c r="K607" t="s">
        <v>4744</v>
      </c>
      <c r="L607" s="1">
        <v>41178</v>
      </c>
      <c r="N607" t="s">
        <v>5127</v>
      </c>
      <c r="O607" t="s">
        <v>2458</v>
      </c>
      <c r="P607" t="s">
        <v>6407</v>
      </c>
      <c r="Q607" t="s">
        <v>39</v>
      </c>
      <c r="R607" t="s">
        <v>40</v>
      </c>
      <c r="S607">
        <v>0</v>
      </c>
      <c r="U607" t="s">
        <v>5550</v>
      </c>
      <c r="V607" t="s">
        <v>1797</v>
      </c>
      <c r="X607" t="s">
        <v>74</v>
      </c>
      <c r="Y607" t="b">
        <v>0</v>
      </c>
      <c r="Z607" t="b">
        <v>0</v>
      </c>
      <c r="AB607" t="s">
        <v>7479</v>
      </c>
      <c r="AC607" s="1">
        <v>41243</v>
      </c>
      <c r="AE607" t="s">
        <v>7481</v>
      </c>
      <c r="AF607">
        <v>0</v>
      </c>
      <c r="AG607">
        <v>45</v>
      </c>
      <c r="AH607">
        <v>135</v>
      </c>
      <c r="AI607" s="2">
        <f>Table__192.168.3.138AgingReportBEWLGS[[#This Row],[NetAmount]]-Table__192.168.3.138AgingReportBEWLGS[[#This Row],[Paid]]</f>
        <v>801531</v>
      </c>
    </row>
    <row r="608" spans="1:35">
      <c r="A608" t="s">
        <v>7485</v>
      </c>
      <c r="B608" s="1">
        <v>41174</v>
      </c>
      <c r="C608" s="1">
        <v>41219</v>
      </c>
      <c r="D608" t="s">
        <v>6406</v>
      </c>
      <c r="E608">
        <v>690975</v>
      </c>
      <c r="F608">
        <v>110556</v>
      </c>
      <c r="G608">
        <v>0</v>
      </c>
      <c r="H608">
        <v>0</v>
      </c>
      <c r="I608">
        <v>90</v>
      </c>
      <c r="J608">
        <v>801531</v>
      </c>
      <c r="K608" t="s">
        <v>995</v>
      </c>
      <c r="L608" s="1">
        <v>41178</v>
      </c>
      <c r="N608" t="s">
        <v>5127</v>
      </c>
      <c r="O608" t="s">
        <v>2458</v>
      </c>
      <c r="P608" t="s">
        <v>6407</v>
      </c>
      <c r="Q608" t="s">
        <v>39</v>
      </c>
      <c r="R608" t="s">
        <v>40</v>
      </c>
      <c r="S608">
        <v>0</v>
      </c>
      <c r="U608" t="s">
        <v>5550</v>
      </c>
      <c r="V608" t="s">
        <v>1797</v>
      </c>
      <c r="X608" t="s">
        <v>74</v>
      </c>
      <c r="Y608" t="b">
        <v>0</v>
      </c>
      <c r="Z608" t="b">
        <v>0</v>
      </c>
      <c r="AB608" t="s">
        <v>7479</v>
      </c>
      <c r="AC608" s="1">
        <v>41243</v>
      </c>
      <c r="AE608" t="s">
        <v>7481</v>
      </c>
      <c r="AF608">
        <v>0</v>
      </c>
      <c r="AG608">
        <v>45</v>
      </c>
      <c r="AH608">
        <v>135</v>
      </c>
      <c r="AI608" s="2">
        <f>Table__192.168.3.138AgingReportBEWLGS[[#This Row],[NetAmount]]-Table__192.168.3.138AgingReportBEWLGS[[#This Row],[Paid]]</f>
        <v>801531</v>
      </c>
    </row>
    <row r="609" spans="1:35">
      <c r="A609" t="s">
        <v>7486</v>
      </c>
      <c r="B609" s="1">
        <v>41172</v>
      </c>
      <c r="C609" s="1">
        <v>41217</v>
      </c>
      <c r="D609" t="s">
        <v>6406</v>
      </c>
      <c r="E609">
        <v>646570</v>
      </c>
      <c r="F609">
        <v>103451</v>
      </c>
      <c r="G609">
        <v>0</v>
      </c>
      <c r="H609">
        <v>0</v>
      </c>
      <c r="I609">
        <v>90</v>
      </c>
      <c r="J609">
        <v>750021</v>
      </c>
      <c r="K609" t="s">
        <v>7487</v>
      </c>
      <c r="L609" s="1">
        <v>41178</v>
      </c>
      <c r="N609" t="s">
        <v>5127</v>
      </c>
      <c r="O609" t="s">
        <v>2458</v>
      </c>
      <c r="P609" t="s">
        <v>6407</v>
      </c>
      <c r="Q609" t="s">
        <v>39</v>
      </c>
      <c r="R609" t="s">
        <v>40</v>
      </c>
      <c r="S609">
        <v>0</v>
      </c>
      <c r="U609" t="s">
        <v>5550</v>
      </c>
      <c r="V609" t="s">
        <v>1797</v>
      </c>
      <c r="X609" t="s">
        <v>74</v>
      </c>
      <c r="Y609" t="b">
        <v>0</v>
      </c>
      <c r="Z609" t="b">
        <v>0</v>
      </c>
      <c r="AC609" s="1"/>
      <c r="AF609">
        <v>0</v>
      </c>
      <c r="AG609">
        <v>45</v>
      </c>
      <c r="AH609">
        <v>135</v>
      </c>
      <c r="AI609" s="2">
        <f>Table__192.168.3.138AgingReportBEWLGS[[#This Row],[NetAmount]]-Table__192.168.3.138AgingReportBEWLGS[[#This Row],[Paid]]</f>
        <v>750021</v>
      </c>
    </row>
    <row r="610" spans="1:35">
      <c r="A610" t="s">
        <v>7488</v>
      </c>
      <c r="B610" s="1">
        <v>41180</v>
      </c>
      <c r="C610" s="1">
        <v>41225</v>
      </c>
      <c r="D610" t="s">
        <v>6654</v>
      </c>
      <c r="E610">
        <v>74600</v>
      </c>
      <c r="F610">
        <v>11936</v>
      </c>
      <c r="G610">
        <v>0</v>
      </c>
      <c r="H610">
        <v>0</v>
      </c>
      <c r="I610">
        <v>90</v>
      </c>
      <c r="J610">
        <v>86536</v>
      </c>
      <c r="K610" t="s">
        <v>7489</v>
      </c>
      <c r="L610" s="1">
        <v>41178</v>
      </c>
      <c r="N610" t="s">
        <v>5127</v>
      </c>
      <c r="O610" t="s">
        <v>2458</v>
      </c>
      <c r="P610" t="s">
        <v>6656</v>
      </c>
      <c r="Q610" t="s">
        <v>39</v>
      </c>
      <c r="R610" t="s">
        <v>40</v>
      </c>
      <c r="S610">
        <v>0</v>
      </c>
      <c r="U610" t="s">
        <v>5550</v>
      </c>
      <c r="V610" t="s">
        <v>1797</v>
      </c>
      <c r="X610" t="s">
        <v>74</v>
      </c>
      <c r="Y610" t="b">
        <v>0</v>
      </c>
      <c r="Z610" t="b">
        <v>0</v>
      </c>
      <c r="AC610" s="1"/>
      <c r="AF610">
        <v>0</v>
      </c>
      <c r="AG610">
        <v>45</v>
      </c>
      <c r="AH610">
        <v>135</v>
      </c>
      <c r="AI610" s="2">
        <f>Table__192.168.3.138AgingReportBEWLGS[[#This Row],[NetAmount]]-Table__192.168.3.138AgingReportBEWLGS[[#This Row],[Paid]]</f>
        <v>86536</v>
      </c>
    </row>
    <row r="611" spans="1:35">
      <c r="A611" t="s">
        <v>7490</v>
      </c>
      <c r="B611" s="1">
        <v>41172</v>
      </c>
      <c r="C611" s="1">
        <v>41217</v>
      </c>
      <c r="D611" t="s">
        <v>7457</v>
      </c>
      <c r="E611">
        <v>75594</v>
      </c>
      <c r="F611">
        <v>12095</v>
      </c>
      <c r="G611">
        <v>0</v>
      </c>
      <c r="H611">
        <v>0</v>
      </c>
      <c r="I611">
        <v>101</v>
      </c>
      <c r="J611">
        <v>87689</v>
      </c>
      <c r="K611" t="s">
        <v>7491</v>
      </c>
      <c r="L611" s="1">
        <v>41167</v>
      </c>
      <c r="N611" t="s">
        <v>5127</v>
      </c>
      <c r="O611" t="s">
        <v>2458</v>
      </c>
      <c r="P611" t="s">
        <v>7459</v>
      </c>
      <c r="Q611" t="s">
        <v>39</v>
      </c>
      <c r="R611" t="s">
        <v>40</v>
      </c>
      <c r="S611">
        <v>0</v>
      </c>
      <c r="U611" t="s">
        <v>5550</v>
      </c>
      <c r="V611" t="s">
        <v>1797</v>
      </c>
      <c r="X611" t="s">
        <v>74</v>
      </c>
      <c r="Y611" t="b">
        <v>0</v>
      </c>
      <c r="Z611" t="b">
        <v>0</v>
      </c>
      <c r="AC611" s="1"/>
      <c r="AF611">
        <v>0</v>
      </c>
      <c r="AG611">
        <v>45</v>
      </c>
      <c r="AH611">
        <v>146</v>
      </c>
      <c r="AI611" s="2">
        <f>Table__192.168.3.138AgingReportBEWLGS[[#This Row],[NetAmount]]-Table__192.168.3.138AgingReportBEWLGS[[#This Row],[Paid]]</f>
        <v>87689</v>
      </c>
    </row>
    <row r="612" spans="1:35">
      <c r="A612" t="s">
        <v>7492</v>
      </c>
      <c r="B612" s="1">
        <v>41159</v>
      </c>
      <c r="C612" s="1">
        <v>41204</v>
      </c>
      <c r="D612" t="s">
        <v>6542</v>
      </c>
      <c r="E612">
        <v>18790</v>
      </c>
      <c r="F612">
        <v>0</v>
      </c>
      <c r="G612">
        <v>0</v>
      </c>
      <c r="H612">
        <v>0</v>
      </c>
      <c r="I612">
        <v>112</v>
      </c>
      <c r="J612">
        <v>18790</v>
      </c>
      <c r="K612" t="s">
        <v>7493</v>
      </c>
      <c r="L612" s="1">
        <v>41156</v>
      </c>
      <c r="N612" t="s">
        <v>5127</v>
      </c>
      <c r="O612" t="s">
        <v>2458</v>
      </c>
      <c r="P612" t="s">
        <v>6544</v>
      </c>
      <c r="Q612" t="s">
        <v>39</v>
      </c>
      <c r="R612" t="s">
        <v>40</v>
      </c>
      <c r="S612">
        <v>0</v>
      </c>
      <c r="U612" t="s">
        <v>5550</v>
      </c>
      <c r="V612" t="s">
        <v>1797</v>
      </c>
      <c r="X612" t="s">
        <v>74</v>
      </c>
      <c r="Y612" t="b">
        <v>0</v>
      </c>
      <c r="Z612" t="b">
        <v>0</v>
      </c>
      <c r="AC612" s="1"/>
      <c r="AF612">
        <v>0</v>
      </c>
      <c r="AG612">
        <v>45</v>
      </c>
      <c r="AH612">
        <v>157</v>
      </c>
      <c r="AI612" s="2">
        <f>Table__192.168.3.138AgingReportBEWLGS[[#This Row],[NetAmount]]-Table__192.168.3.138AgingReportBEWLGS[[#This Row],[Paid]]</f>
        <v>18790</v>
      </c>
    </row>
    <row r="613" spans="1:35">
      <c r="A613" t="s">
        <v>7494</v>
      </c>
      <c r="B613" s="1">
        <v>41167</v>
      </c>
      <c r="C613" s="1">
        <v>41212</v>
      </c>
      <c r="D613" t="s">
        <v>6542</v>
      </c>
      <c r="E613">
        <v>19900</v>
      </c>
      <c r="F613">
        <v>0</v>
      </c>
      <c r="G613">
        <v>0</v>
      </c>
      <c r="H613">
        <v>0</v>
      </c>
      <c r="I613">
        <v>101</v>
      </c>
      <c r="J613">
        <v>19900</v>
      </c>
      <c r="K613" t="s">
        <v>5974</v>
      </c>
      <c r="L613" s="1">
        <v>41167</v>
      </c>
      <c r="N613" t="s">
        <v>5127</v>
      </c>
      <c r="O613" t="s">
        <v>2458</v>
      </c>
      <c r="P613" t="s">
        <v>6544</v>
      </c>
      <c r="Q613" t="s">
        <v>39</v>
      </c>
      <c r="R613" t="s">
        <v>40</v>
      </c>
      <c r="S613">
        <v>0</v>
      </c>
      <c r="U613" t="s">
        <v>5550</v>
      </c>
      <c r="V613" t="s">
        <v>1797</v>
      </c>
      <c r="X613" t="s">
        <v>74</v>
      </c>
      <c r="Y613" t="b">
        <v>0</v>
      </c>
      <c r="Z613" t="b">
        <v>0</v>
      </c>
      <c r="AC613" s="1"/>
      <c r="AF613">
        <v>0</v>
      </c>
      <c r="AG613">
        <v>45</v>
      </c>
      <c r="AH613">
        <v>146</v>
      </c>
      <c r="AI613" s="2">
        <f>Table__192.168.3.138AgingReportBEWLGS[[#This Row],[NetAmount]]-Table__192.168.3.138AgingReportBEWLGS[[#This Row],[Paid]]</f>
        <v>19900</v>
      </c>
    </row>
    <row r="614" spans="1:35">
      <c r="A614" t="s">
        <v>7495</v>
      </c>
      <c r="B614" s="1">
        <v>41172</v>
      </c>
      <c r="C614" s="1">
        <v>41217</v>
      </c>
      <c r="D614" t="s">
        <v>6542</v>
      </c>
      <c r="E614">
        <v>20896</v>
      </c>
      <c r="F614">
        <v>0</v>
      </c>
      <c r="G614">
        <v>0</v>
      </c>
      <c r="H614">
        <v>0</v>
      </c>
      <c r="I614">
        <v>96</v>
      </c>
      <c r="J614">
        <v>20896</v>
      </c>
      <c r="K614" t="s">
        <v>7496</v>
      </c>
      <c r="L614" s="1">
        <v>41172</v>
      </c>
      <c r="N614" t="s">
        <v>5127</v>
      </c>
      <c r="O614" t="s">
        <v>2458</v>
      </c>
      <c r="P614" t="s">
        <v>6544</v>
      </c>
      <c r="Q614" t="s">
        <v>39</v>
      </c>
      <c r="R614" t="s">
        <v>40</v>
      </c>
      <c r="S614">
        <v>0</v>
      </c>
      <c r="U614" t="s">
        <v>5550</v>
      </c>
      <c r="V614" t="s">
        <v>1797</v>
      </c>
      <c r="X614" t="s">
        <v>74</v>
      </c>
      <c r="Y614" t="b">
        <v>0</v>
      </c>
      <c r="Z614" t="b">
        <v>0</v>
      </c>
      <c r="AC614" s="1"/>
      <c r="AF614">
        <v>0</v>
      </c>
      <c r="AG614">
        <v>45</v>
      </c>
      <c r="AH614">
        <v>141</v>
      </c>
      <c r="AI614" s="2">
        <f>Table__192.168.3.138AgingReportBEWLGS[[#This Row],[NetAmount]]-Table__192.168.3.138AgingReportBEWLGS[[#This Row],[Paid]]</f>
        <v>20896</v>
      </c>
    </row>
    <row r="615" spans="1:35">
      <c r="A615" t="s">
        <v>7497</v>
      </c>
      <c r="B615" s="1">
        <v>41176</v>
      </c>
      <c r="C615" s="1">
        <v>41221</v>
      </c>
      <c r="D615" t="s">
        <v>6542</v>
      </c>
      <c r="E615">
        <v>22400</v>
      </c>
      <c r="F615">
        <v>0</v>
      </c>
      <c r="G615">
        <v>0</v>
      </c>
      <c r="H615">
        <v>0</v>
      </c>
      <c r="I615">
        <v>92</v>
      </c>
      <c r="J615">
        <v>22400</v>
      </c>
      <c r="K615" t="s">
        <v>7498</v>
      </c>
      <c r="L615" s="1">
        <v>41176</v>
      </c>
      <c r="N615" t="s">
        <v>5127</v>
      </c>
      <c r="O615" t="s">
        <v>2458</v>
      </c>
      <c r="P615" t="s">
        <v>6544</v>
      </c>
      <c r="Q615" t="s">
        <v>39</v>
      </c>
      <c r="R615" t="s">
        <v>40</v>
      </c>
      <c r="S615">
        <v>0</v>
      </c>
      <c r="U615" t="s">
        <v>5550</v>
      </c>
      <c r="V615" t="s">
        <v>1797</v>
      </c>
      <c r="X615" t="s">
        <v>74</v>
      </c>
      <c r="Y615" t="b">
        <v>0</v>
      </c>
      <c r="Z615" t="b">
        <v>0</v>
      </c>
      <c r="AC615" s="1"/>
      <c r="AF615">
        <v>0</v>
      </c>
      <c r="AG615">
        <v>45</v>
      </c>
      <c r="AH615">
        <v>137</v>
      </c>
      <c r="AI615" s="2">
        <f>Table__192.168.3.138AgingReportBEWLGS[[#This Row],[NetAmount]]-Table__192.168.3.138AgingReportBEWLGS[[#This Row],[Paid]]</f>
        <v>22400</v>
      </c>
    </row>
    <row r="616" spans="1:35">
      <c r="A616" t="s">
        <v>7499</v>
      </c>
      <c r="B616" s="1">
        <v>41165</v>
      </c>
      <c r="C616" s="1">
        <v>41210</v>
      </c>
      <c r="D616" t="s">
        <v>6542</v>
      </c>
      <c r="E616">
        <v>26320</v>
      </c>
      <c r="F616">
        <v>0</v>
      </c>
      <c r="G616">
        <v>0</v>
      </c>
      <c r="H616">
        <v>0</v>
      </c>
      <c r="I616">
        <v>103</v>
      </c>
      <c r="J616">
        <v>26320</v>
      </c>
      <c r="K616" t="s">
        <v>7500</v>
      </c>
      <c r="L616" s="1">
        <v>41165</v>
      </c>
      <c r="N616" t="s">
        <v>5127</v>
      </c>
      <c r="O616" t="s">
        <v>2458</v>
      </c>
      <c r="P616" t="s">
        <v>6544</v>
      </c>
      <c r="Q616" t="s">
        <v>39</v>
      </c>
      <c r="R616" t="s">
        <v>40</v>
      </c>
      <c r="S616">
        <v>0</v>
      </c>
      <c r="U616" t="s">
        <v>5550</v>
      </c>
      <c r="V616" t="s">
        <v>1797</v>
      </c>
      <c r="X616" t="s">
        <v>74</v>
      </c>
      <c r="Y616" t="b">
        <v>0</v>
      </c>
      <c r="Z616" t="b">
        <v>0</v>
      </c>
      <c r="AC616" s="1"/>
      <c r="AF616">
        <v>0</v>
      </c>
      <c r="AG616">
        <v>45</v>
      </c>
      <c r="AH616">
        <v>148</v>
      </c>
      <c r="AI616" s="2">
        <f>Table__192.168.3.138AgingReportBEWLGS[[#This Row],[NetAmount]]-Table__192.168.3.138AgingReportBEWLGS[[#This Row],[Paid]]</f>
        <v>26320</v>
      </c>
    </row>
    <row r="617" spans="1:35">
      <c r="A617" t="s">
        <v>7501</v>
      </c>
      <c r="B617" s="1">
        <v>41181</v>
      </c>
      <c r="C617" s="1">
        <v>41226</v>
      </c>
      <c r="D617" t="s">
        <v>6542</v>
      </c>
      <c r="E617">
        <v>28896</v>
      </c>
      <c r="F617">
        <v>0</v>
      </c>
      <c r="G617">
        <v>0</v>
      </c>
      <c r="H617">
        <v>0</v>
      </c>
      <c r="I617">
        <v>87</v>
      </c>
      <c r="J617">
        <v>28896</v>
      </c>
      <c r="K617" t="s">
        <v>7502</v>
      </c>
      <c r="L617" s="1">
        <v>41181</v>
      </c>
      <c r="N617" t="s">
        <v>5127</v>
      </c>
      <c r="O617" t="s">
        <v>2458</v>
      </c>
      <c r="P617" t="s">
        <v>6544</v>
      </c>
      <c r="Q617" t="s">
        <v>39</v>
      </c>
      <c r="R617" t="s">
        <v>40</v>
      </c>
      <c r="S617">
        <v>0</v>
      </c>
      <c r="U617" t="s">
        <v>5550</v>
      </c>
      <c r="V617" t="s">
        <v>1797</v>
      </c>
      <c r="X617" t="s">
        <v>74</v>
      </c>
      <c r="Y617" t="b">
        <v>0</v>
      </c>
      <c r="Z617" t="b">
        <v>0</v>
      </c>
      <c r="AC617" s="1"/>
      <c r="AF617">
        <v>0</v>
      </c>
      <c r="AG617">
        <v>45</v>
      </c>
      <c r="AH617">
        <v>132</v>
      </c>
      <c r="AI617" s="2">
        <f>Table__192.168.3.138AgingReportBEWLGS[[#This Row],[NetAmount]]-Table__192.168.3.138AgingReportBEWLGS[[#This Row],[Paid]]</f>
        <v>28896</v>
      </c>
    </row>
    <row r="618" spans="1:35">
      <c r="A618" t="s">
        <v>7503</v>
      </c>
      <c r="B618" s="1">
        <v>41118</v>
      </c>
      <c r="C618" s="1">
        <v>41163</v>
      </c>
      <c r="D618" t="s">
        <v>6486</v>
      </c>
      <c r="E618">
        <v>7200</v>
      </c>
      <c r="F618">
        <v>1152</v>
      </c>
      <c r="G618">
        <v>0</v>
      </c>
      <c r="H618">
        <v>0</v>
      </c>
      <c r="I618">
        <v>87</v>
      </c>
      <c r="J618">
        <v>8352</v>
      </c>
      <c r="K618" t="s">
        <v>7504</v>
      </c>
      <c r="L618" s="1">
        <v>41181</v>
      </c>
      <c r="N618" t="s">
        <v>5127</v>
      </c>
      <c r="O618" t="s">
        <v>2458</v>
      </c>
      <c r="P618" t="s">
        <v>5464</v>
      </c>
      <c r="Q618" t="s">
        <v>39</v>
      </c>
      <c r="R618" t="s">
        <v>40</v>
      </c>
      <c r="S618">
        <v>0</v>
      </c>
      <c r="U618" t="s">
        <v>5550</v>
      </c>
      <c r="V618" t="s">
        <v>1797</v>
      </c>
      <c r="X618" t="s">
        <v>74</v>
      </c>
      <c r="Y618" t="b">
        <v>0</v>
      </c>
      <c r="Z618" t="b">
        <v>0</v>
      </c>
      <c r="AC618" s="1"/>
      <c r="AF618">
        <v>0</v>
      </c>
      <c r="AG618">
        <v>45</v>
      </c>
      <c r="AH618">
        <v>132</v>
      </c>
      <c r="AI618" s="2">
        <f>Table__192.168.3.138AgingReportBEWLGS[[#This Row],[NetAmount]]-Table__192.168.3.138AgingReportBEWLGS[[#This Row],[Paid]]</f>
        <v>8352</v>
      </c>
    </row>
    <row r="619" spans="1:35">
      <c r="A619" t="s">
        <v>7505</v>
      </c>
      <c r="B619" s="1">
        <v>41158</v>
      </c>
      <c r="C619" s="1">
        <v>41203</v>
      </c>
      <c r="D619" t="s">
        <v>6629</v>
      </c>
      <c r="E619">
        <v>9600</v>
      </c>
      <c r="F619">
        <v>1536</v>
      </c>
      <c r="G619">
        <v>0</v>
      </c>
      <c r="H619">
        <v>0</v>
      </c>
      <c r="I619">
        <v>87</v>
      </c>
      <c r="J619">
        <v>11136</v>
      </c>
      <c r="K619" t="s">
        <v>7506</v>
      </c>
      <c r="L619" s="1">
        <v>41181</v>
      </c>
      <c r="N619" t="s">
        <v>5127</v>
      </c>
      <c r="O619" t="s">
        <v>2458</v>
      </c>
      <c r="P619" t="s">
        <v>6631</v>
      </c>
      <c r="Q619" t="s">
        <v>39</v>
      </c>
      <c r="R619" t="s">
        <v>40</v>
      </c>
      <c r="S619">
        <v>0</v>
      </c>
      <c r="U619" t="s">
        <v>5550</v>
      </c>
      <c r="V619" t="s">
        <v>1797</v>
      </c>
      <c r="X619" t="s">
        <v>74</v>
      </c>
      <c r="Y619" t="b">
        <v>0</v>
      </c>
      <c r="Z619" t="b">
        <v>0</v>
      </c>
      <c r="AC619" s="1"/>
      <c r="AF619">
        <v>0</v>
      </c>
      <c r="AG619">
        <v>45</v>
      </c>
      <c r="AH619">
        <v>132</v>
      </c>
      <c r="AI619" s="2">
        <f>Table__192.168.3.138AgingReportBEWLGS[[#This Row],[NetAmount]]-Table__192.168.3.138AgingReportBEWLGS[[#This Row],[Paid]]</f>
        <v>11136</v>
      </c>
    </row>
    <row r="620" spans="1:35">
      <c r="A620" t="s">
        <v>7507</v>
      </c>
      <c r="B620" s="1">
        <v>41164</v>
      </c>
      <c r="C620" s="1">
        <v>41209</v>
      </c>
      <c r="D620" t="s">
        <v>6542</v>
      </c>
      <c r="E620">
        <v>20036</v>
      </c>
      <c r="F620">
        <v>0</v>
      </c>
      <c r="G620">
        <v>0</v>
      </c>
      <c r="H620">
        <v>0</v>
      </c>
      <c r="I620">
        <v>104</v>
      </c>
      <c r="J620">
        <v>20036</v>
      </c>
      <c r="K620" t="s">
        <v>4081</v>
      </c>
      <c r="L620" s="1">
        <v>41164</v>
      </c>
      <c r="N620" t="s">
        <v>5127</v>
      </c>
      <c r="O620" t="s">
        <v>2458</v>
      </c>
      <c r="P620" t="s">
        <v>6544</v>
      </c>
      <c r="Q620" t="s">
        <v>39</v>
      </c>
      <c r="R620" t="s">
        <v>40</v>
      </c>
      <c r="S620">
        <v>0</v>
      </c>
      <c r="U620" t="s">
        <v>5550</v>
      </c>
      <c r="V620" t="s">
        <v>1797</v>
      </c>
      <c r="X620" t="s">
        <v>74</v>
      </c>
      <c r="Y620" t="b">
        <v>0</v>
      </c>
      <c r="Z620" t="b">
        <v>0</v>
      </c>
      <c r="AC620" s="1"/>
      <c r="AF620">
        <v>0</v>
      </c>
      <c r="AG620">
        <v>45</v>
      </c>
      <c r="AH620">
        <v>149</v>
      </c>
      <c r="AI620" s="2">
        <f>Table__192.168.3.138AgingReportBEWLGS[[#This Row],[NetAmount]]-Table__192.168.3.138AgingReportBEWLGS[[#This Row],[Paid]]</f>
        <v>20036</v>
      </c>
    </row>
    <row r="621" spans="1:35">
      <c r="A621" t="s">
        <v>7508</v>
      </c>
      <c r="B621" s="1">
        <v>41156</v>
      </c>
      <c r="C621" s="1">
        <v>41201</v>
      </c>
      <c r="D621" t="s">
        <v>6328</v>
      </c>
      <c r="E621">
        <v>1088000</v>
      </c>
      <c r="F621">
        <v>174080</v>
      </c>
      <c r="G621">
        <v>0</v>
      </c>
      <c r="H621">
        <v>0</v>
      </c>
      <c r="I621">
        <v>112</v>
      </c>
      <c r="J621">
        <v>1267840</v>
      </c>
      <c r="K621" t="s">
        <v>7509</v>
      </c>
      <c r="L621" s="1">
        <v>41156</v>
      </c>
      <c r="N621" t="s">
        <v>5127</v>
      </c>
      <c r="O621" t="s">
        <v>2458</v>
      </c>
      <c r="P621" t="s">
        <v>6330</v>
      </c>
      <c r="Q621" t="s">
        <v>39</v>
      </c>
      <c r="R621" t="s">
        <v>40</v>
      </c>
      <c r="S621">
        <v>0</v>
      </c>
      <c r="U621" t="s">
        <v>5550</v>
      </c>
      <c r="V621" t="s">
        <v>1797</v>
      </c>
      <c r="X621" t="s">
        <v>74</v>
      </c>
      <c r="Y621" t="b">
        <v>0</v>
      </c>
      <c r="Z621" t="b">
        <v>0</v>
      </c>
      <c r="AB621" t="s">
        <v>5560</v>
      </c>
      <c r="AC621" s="1">
        <v>41247</v>
      </c>
      <c r="AD621" t="s">
        <v>7510</v>
      </c>
      <c r="AE621" t="s">
        <v>6502</v>
      </c>
      <c r="AF621">
        <v>1242328</v>
      </c>
      <c r="AG621">
        <v>45</v>
      </c>
      <c r="AH621">
        <v>157</v>
      </c>
      <c r="AI621" s="2">
        <f>Table__192.168.3.138AgingReportBEWLGS[[#This Row],[NetAmount]]-Table__192.168.3.138AgingReportBEWLGS[[#This Row],[Paid]]</f>
        <v>25512</v>
      </c>
    </row>
    <row r="622" spans="1:35">
      <c r="A622" t="s">
        <v>7511</v>
      </c>
      <c r="B622" s="1">
        <v>41163</v>
      </c>
      <c r="C622" s="1">
        <v>41208</v>
      </c>
      <c r="D622" t="s">
        <v>6328</v>
      </c>
      <c r="E622">
        <v>668100</v>
      </c>
      <c r="F622">
        <v>106896</v>
      </c>
      <c r="G622">
        <v>0</v>
      </c>
      <c r="H622">
        <v>0</v>
      </c>
      <c r="I622">
        <v>105</v>
      </c>
      <c r="J622">
        <v>778533</v>
      </c>
      <c r="K622" t="s">
        <v>7512</v>
      </c>
      <c r="L622" s="1">
        <v>41163</v>
      </c>
      <c r="N622" t="s">
        <v>5127</v>
      </c>
      <c r="O622" t="s">
        <v>2458</v>
      </c>
      <c r="P622" t="s">
        <v>6330</v>
      </c>
      <c r="Q622" t="s">
        <v>39</v>
      </c>
      <c r="R622" t="s">
        <v>40</v>
      </c>
      <c r="S622">
        <v>0</v>
      </c>
      <c r="U622" t="s">
        <v>5550</v>
      </c>
      <c r="V622" t="s">
        <v>1797</v>
      </c>
      <c r="X622" t="s">
        <v>74</v>
      </c>
      <c r="Y622" t="b">
        <v>0</v>
      </c>
      <c r="Z622" t="b">
        <v>0</v>
      </c>
      <c r="AB622" t="s">
        <v>7513</v>
      </c>
      <c r="AC622" s="1">
        <v>41253</v>
      </c>
      <c r="AD622" t="s">
        <v>7514</v>
      </c>
      <c r="AE622" t="s">
        <v>7515</v>
      </c>
      <c r="AF622">
        <v>689373</v>
      </c>
      <c r="AG622">
        <v>45</v>
      </c>
      <c r="AH622">
        <v>150</v>
      </c>
      <c r="AI622" s="2">
        <f>Table__192.168.3.138AgingReportBEWLGS[[#This Row],[NetAmount]]-Table__192.168.3.138AgingReportBEWLGS[[#This Row],[Paid]]</f>
        <v>89160</v>
      </c>
    </row>
    <row r="623" spans="1:35">
      <c r="A623" t="s">
        <v>7516</v>
      </c>
      <c r="B623" s="1">
        <v>41164</v>
      </c>
      <c r="C623" s="1">
        <v>41209</v>
      </c>
      <c r="D623" t="s">
        <v>6328</v>
      </c>
      <c r="E623">
        <v>842350</v>
      </c>
      <c r="F623">
        <v>134776</v>
      </c>
      <c r="G623">
        <v>0</v>
      </c>
      <c r="H623">
        <v>0</v>
      </c>
      <c r="I623">
        <v>104</v>
      </c>
      <c r="J623">
        <v>981586</v>
      </c>
      <c r="K623" t="s">
        <v>7517</v>
      </c>
      <c r="L623" s="1">
        <v>41164</v>
      </c>
      <c r="N623" t="s">
        <v>5127</v>
      </c>
      <c r="O623" t="s">
        <v>2458</v>
      </c>
      <c r="P623" t="s">
        <v>6330</v>
      </c>
      <c r="Q623" t="s">
        <v>39</v>
      </c>
      <c r="R623" t="s">
        <v>40</v>
      </c>
      <c r="S623">
        <v>0</v>
      </c>
      <c r="U623" t="s">
        <v>5550</v>
      </c>
      <c r="V623" t="s">
        <v>1797</v>
      </c>
      <c r="X623" t="s">
        <v>74</v>
      </c>
      <c r="Y623" t="b">
        <v>0</v>
      </c>
      <c r="Z623" t="b">
        <v>0</v>
      </c>
      <c r="AB623" t="s">
        <v>7518</v>
      </c>
      <c r="AC623" s="1">
        <v>41305</v>
      </c>
      <c r="AD623" t="s">
        <v>7519</v>
      </c>
      <c r="AE623" t="s">
        <v>6502</v>
      </c>
      <c r="AF623">
        <v>948143</v>
      </c>
      <c r="AG623">
        <v>45</v>
      </c>
      <c r="AH623">
        <v>149</v>
      </c>
      <c r="AI623" s="2">
        <f>Table__192.168.3.138AgingReportBEWLGS[[#This Row],[NetAmount]]-Table__192.168.3.138AgingReportBEWLGS[[#This Row],[Paid]]</f>
        <v>33443</v>
      </c>
    </row>
    <row r="624" spans="1:35">
      <c r="A624" t="s">
        <v>7520</v>
      </c>
      <c r="B624" s="1">
        <v>41170</v>
      </c>
      <c r="C624" s="1">
        <v>41215</v>
      </c>
      <c r="D624" t="s">
        <v>6328</v>
      </c>
      <c r="E624">
        <v>292500</v>
      </c>
      <c r="F624">
        <v>46800</v>
      </c>
      <c r="G624">
        <v>0</v>
      </c>
      <c r="H624">
        <v>0</v>
      </c>
      <c r="I624">
        <v>98</v>
      </c>
      <c r="J624">
        <v>341550</v>
      </c>
      <c r="K624" t="s">
        <v>7521</v>
      </c>
      <c r="L624" s="1">
        <v>41170</v>
      </c>
      <c r="N624" t="s">
        <v>5127</v>
      </c>
      <c r="O624" t="s">
        <v>2458</v>
      </c>
      <c r="P624" t="s">
        <v>6330</v>
      </c>
      <c r="Q624" t="s">
        <v>39</v>
      </c>
      <c r="R624" t="s">
        <v>40</v>
      </c>
      <c r="S624">
        <v>0</v>
      </c>
      <c r="U624" t="s">
        <v>5550</v>
      </c>
      <c r="V624" t="s">
        <v>1797</v>
      </c>
      <c r="X624" t="s">
        <v>74</v>
      </c>
      <c r="Y624" t="b">
        <v>0</v>
      </c>
      <c r="Z624" t="b">
        <v>0</v>
      </c>
      <c r="AC624" s="1"/>
      <c r="AF624">
        <v>0</v>
      </c>
      <c r="AG624">
        <v>45</v>
      </c>
      <c r="AH624">
        <v>143</v>
      </c>
      <c r="AI624" s="2">
        <f>Table__192.168.3.138AgingReportBEWLGS[[#This Row],[NetAmount]]-Table__192.168.3.138AgingReportBEWLGS[[#This Row],[Paid]]</f>
        <v>341550</v>
      </c>
    </row>
    <row r="625" spans="1:35">
      <c r="A625" t="s">
        <v>7522</v>
      </c>
      <c r="B625" s="1">
        <v>41163</v>
      </c>
      <c r="C625" s="1">
        <v>41208</v>
      </c>
      <c r="D625" t="s">
        <v>6328</v>
      </c>
      <c r="E625">
        <v>1012350</v>
      </c>
      <c r="F625">
        <v>161976</v>
      </c>
      <c r="G625">
        <v>0</v>
      </c>
      <c r="H625">
        <v>0</v>
      </c>
      <c r="I625">
        <v>105</v>
      </c>
      <c r="J625">
        <v>1179686</v>
      </c>
      <c r="K625" t="s">
        <v>7523</v>
      </c>
      <c r="L625" s="1">
        <v>41163</v>
      </c>
      <c r="N625" t="s">
        <v>5127</v>
      </c>
      <c r="O625" t="s">
        <v>2458</v>
      </c>
      <c r="P625" t="s">
        <v>6330</v>
      </c>
      <c r="Q625" t="s">
        <v>39</v>
      </c>
      <c r="R625" t="s">
        <v>40</v>
      </c>
      <c r="S625">
        <v>0</v>
      </c>
      <c r="U625" t="s">
        <v>5550</v>
      </c>
      <c r="V625" t="s">
        <v>1797</v>
      </c>
      <c r="X625" t="s">
        <v>74</v>
      </c>
      <c r="Y625" t="b">
        <v>0</v>
      </c>
      <c r="Z625" t="b">
        <v>0</v>
      </c>
      <c r="AB625" t="s">
        <v>7518</v>
      </c>
      <c r="AC625" s="1">
        <v>41305</v>
      </c>
      <c r="AE625" t="s">
        <v>6502</v>
      </c>
      <c r="AF625">
        <v>0</v>
      </c>
      <c r="AG625">
        <v>45</v>
      </c>
      <c r="AH625">
        <v>150</v>
      </c>
      <c r="AI625" s="2">
        <f>Table__192.168.3.138AgingReportBEWLGS[[#This Row],[NetAmount]]-Table__192.168.3.138AgingReportBEWLGS[[#This Row],[Paid]]</f>
        <v>1179686</v>
      </c>
    </row>
    <row r="626" spans="1:35">
      <c r="A626" t="s">
        <v>7524</v>
      </c>
      <c r="B626" s="1">
        <v>41158</v>
      </c>
      <c r="C626" s="1">
        <v>41203</v>
      </c>
      <c r="D626" t="s">
        <v>7375</v>
      </c>
      <c r="E626">
        <v>28000</v>
      </c>
      <c r="F626">
        <v>4480</v>
      </c>
      <c r="G626">
        <v>0</v>
      </c>
      <c r="H626">
        <v>0</v>
      </c>
      <c r="I626">
        <v>99</v>
      </c>
      <c r="J626">
        <v>32480</v>
      </c>
      <c r="K626" t="s">
        <v>7525</v>
      </c>
      <c r="L626" s="1">
        <v>41169</v>
      </c>
      <c r="N626" t="s">
        <v>5127</v>
      </c>
      <c r="O626" t="s">
        <v>2458</v>
      </c>
      <c r="P626" t="s">
        <v>7377</v>
      </c>
      <c r="Q626" t="s">
        <v>39</v>
      </c>
      <c r="R626" t="s">
        <v>40</v>
      </c>
      <c r="S626">
        <v>0</v>
      </c>
      <c r="U626" t="s">
        <v>5550</v>
      </c>
      <c r="V626" t="s">
        <v>1797</v>
      </c>
      <c r="X626" t="s">
        <v>74</v>
      </c>
      <c r="Y626" t="b">
        <v>0</v>
      </c>
      <c r="Z626" t="b">
        <v>0</v>
      </c>
      <c r="AB626" t="s">
        <v>7378</v>
      </c>
      <c r="AC626" s="1">
        <v>41297</v>
      </c>
      <c r="AF626">
        <v>0</v>
      </c>
      <c r="AG626">
        <v>45</v>
      </c>
      <c r="AH626">
        <v>144</v>
      </c>
      <c r="AI626" s="2">
        <f>Table__192.168.3.138AgingReportBEWLGS[[#This Row],[NetAmount]]-Table__192.168.3.138AgingReportBEWLGS[[#This Row],[Paid]]</f>
        <v>32480</v>
      </c>
    </row>
    <row r="627" spans="1:35">
      <c r="A627" t="s">
        <v>7526</v>
      </c>
      <c r="B627" s="1">
        <v>41181</v>
      </c>
      <c r="C627" s="1">
        <v>41226</v>
      </c>
      <c r="D627" t="s">
        <v>6406</v>
      </c>
      <c r="E627">
        <v>669395</v>
      </c>
      <c r="F627">
        <v>107103</v>
      </c>
      <c r="G627">
        <v>0</v>
      </c>
      <c r="H627">
        <v>0</v>
      </c>
      <c r="I627">
        <v>87</v>
      </c>
      <c r="J627">
        <v>776498</v>
      </c>
      <c r="K627" t="s">
        <v>2333</v>
      </c>
      <c r="L627" s="1">
        <v>41181</v>
      </c>
      <c r="N627" t="s">
        <v>5127</v>
      </c>
      <c r="O627" t="s">
        <v>2458</v>
      </c>
      <c r="P627" t="s">
        <v>6407</v>
      </c>
      <c r="Q627" t="s">
        <v>39</v>
      </c>
      <c r="R627" t="s">
        <v>40</v>
      </c>
      <c r="S627">
        <v>0</v>
      </c>
      <c r="U627" t="s">
        <v>5550</v>
      </c>
      <c r="V627" t="s">
        <v>1797</v>
      </c>
      <c r="X627" t="s">
        <v>74</v>
      </c>
      <c r="Y627" t="b">
        <v>0</v>
      </c>
      <c r="Z627" t="b">
        <v>0</v>
      </c>
      <c r="AC627" s="1"/>
      <c r="AF627">
        <v>0</v>
      </c>
      <c r="AG627">
        <v>45</v>
      </c>
      <c r="AH627">
        <v>132</v>
      </c>
      <c r="AI627" s="2">
        <f>Table__192.168.3.138AgingReportBEWLGS[[#This Row],[NetAmount]]-Table__192.168.3.138AgingReportBEWLGS[[#This Row],[Paid]]</f>
        <v>776498</v>
      </c>
    </row>
    <row r="628" spans="1:35">
      <c r="A628" t="s">
        <v>7527</v>
      </c>
      <c r="B628" s="1">
        <v>41150</v>
      </c>
      <c r="C628" s="1">
        <v>41195</v>
      </c>
      <c r="D628" t="s">
        <v>6703</v>
      </c>
      <c r="E628">
        <v>1227780</v>
      </c>
      <c r="F628">
        <v>196445</v>
      </c>
      <c r="G628">
        <v>0</v>
      </c>
      <c r="H628">
        <v>0</v>
      </c>
      <c r="I628">
        <v>87</v>
      </c>
      <c r="J628">
        <v>1424225</v>
      </c>
      <c r="K628" t="s">
        <v>7528</v>
      </c>
      <c r="L628" s="1">
        <v>41181</v>
      </c>
      <c r="N628" t="s">
        <v>5127</v>
      </c>
      <c r="O628" t="s">
        <v>2458</v>
      </c>
      <c r="P628" t="s">
        <v>6705</v>
      </c>
      <c r="Q628" t="s">
        <v>39</v>
      </c>
      <c r="R628" t="s">
        <v>40</v>
      </c>
      <c r="S628">
        <v>0</v>
      </c>
      <c r="U628" t="s">
        <v>5550</v>
      </c>
      <c r="V628" t="s">
        <v>1797</v>
      </c>
      <c r="X628" t="s">
        <v>74</v>
      </c>
      <c r="Y628" t="b">
        <v>0</v>
      </c>
      <c r="Z628" t="b">
        <v>0</v>
      </c>
      <c r="AC628" s="1"/>
      <c r="AF628">
        <v>0</v>
      </c>
      <c r="AG628">
        <v>45</v>
      </c>
      <c r="AH628">
        <v>132</v>
      </c>
      <c r="AI628" s="2">
        <f>Table__192.168.3.138AgingReportBEWLGS[[#This Row],[NetAmount]]-Table__192.168.3.138AgingReportBEWLGS[[#This Row],[Paid]]</f>
        <v>1424225</v>
      </c>
    </row>
    <row r="629" spans="1:35">
      <c r="A629" t="s">
        <v>7529</v>
      </c>
      <c r="B629" s="1">
        <v>41164</v>
      </c>
      <c r="C629" s="1">
        <v>41209</v>
      </c>
      <c r="D629" t="s">
        <v>6474</v>
      </c>
      <c r="E629">
        <v>276828</v>
      </c>
      <c r="F629">
        <v>44292</v>
      </c>
      <c r="G629">
        <v>0</v>
      </c>
      <c r="H629">
        <v>0</v>
      </c>
      <c r="I629">
        <v>103</v>
      </c>
      <c r="J629">
        <v>321120</v>
      </c>
      <c r="K629" t="s">
        <v>7530</v>
      </c>
      <c r="L629" s="1">
        <v>41165</v>
      </c>
      <c r="N629" t="s">
        <v>5127</v>
      </c>
      <c r="O629" t="s">
        <v>2458</v>
      </c>
      <c r="P629" t="s">
        <v>6475</v>
      </c>
      <c r="Q629" t="s">
        <v>39</v>
      </c>
      <c r="R629" t="s">
        <v>40</v>
      </c>
      <c r="S629">
        <v>0</v>
      </c>
      <c r="U629" t="s">
        <v>5550</v>
      </c>
      <c r="V629" t="s">
        <v>1797</v>
      </c>
      <c r="X629" t="s">
        <v>74</v>
      </c>
      <c r="Y629" t="b">
        <v>0</v>
      </c>
      <c r="Z629" t="b">
        <v>0</v>
      </c>
      <c r="AB629" t="s">
        <v>7222</v>
      </c>
      <c r="AC629" s="1">
        <v>41263</v>
      </c>
      <c r="AF629">
        <v>0</v>
      </c>
      <c r="AG629">
        <v>45</v>
      </c>
      <c r="AH629">
        <v>148</v>
      </c>
      <c r="AI629" s="2">
        <f>Table__192.168.3.138AgingReportBEWLGS[[#This Row],[NetAmount]]-Table__192.168.3.138AgingReportBEWLGS[[#This Row],[Paid]]</f>
        <v>321120</v>
      </c>
    </row>
    <row r="630" spans="1:35">
      <c r="A630" t="s">
        <v>7531</v>
      </c>
      <c r="B630" s="1">
        <v>41180</v>
      </c>
      <c r="C630" s="1">
        <v>41225</v>
      </c>
      <c r="D630" t="s">
        <v>6474</v>
      </c>
      <c r="E630">
        <v>170934</v>
      </c>
      <c r="F630">
        <v>27349</v>
      </c>
      <c r="G630">
        <v>0</v>
      </c>
      <c r="H630">
        <v>0</v>
      </c>
      <c r="I630">
        <v>87</v>
      </c>
      <c r="J630">
        <v>198283</v>
      </c>
      <c r="K630" t="s">
        <v>7532</v>
      </c>
      <c r="L630" s="1">
        <v>41181</v>
      </c>
      <c r="N630" t="s">
        <v>5127</v>
      </c>
      <c r="O630" t="s">
        <v>2458</v>
      </c>
      <c r="P630" t="s">
        <v>6475</v>
      </c>
      <c r="Q630" t="s">
        <v>39</v>
      </c>
      <c r="R630" t="s">
        <v>40</v>
      </c>
      <c r="S630">
        <v>0</v>
      </c>
      <c r="U630" t="s">
        <v>5550</v>
      </c>
      <c r="V630" t="s">
        <v>1797</v>
      </c>
      <c r="X630" t="s">
        <v>74</v>
      </c>
      <c r="Y630" t="b">
        <v>0</v>
      </c>
      <c r="Z630" t="b">
        <v>0</v>
      </c>
      <c r="AB630" t="s">
        <v>7533</v>
      </c>
      <c r="AC630" s="1">
        <v>41304</v>
      </c>
      <c r="AF630">
        <v>0</v>
      </c>
      <c r="AG630">
        <v>45</v>
      </c>
      <c r="AH630">
        <v>132</v>
      </c>
      <c r="AI630" s="2">
        <f>Table__192.168.3.138AgingReportBEWLGS[[#This Row],[NetAmount]]-Table__192.168.3.138AgingReportBEWLGS[[#This Row],[Paid]]</f>
        <v>198283</v>
      </c>
    </row>
    <row r="631" spans="1:35">
      <c r="A631" t="s">
        <v>7534</v>
      </c>
      <c r="B631" s="1">
        <v>41152</v>
      </c>
      <c r="C631" s="1">
        <v>41197</v>
      </c>
      <c r="D631" t="s">
        <v>6703</v>
      </c>
      <c r="E631">
        <v>1524465</v>
      </c>
      <c r="F631">
        <v>243915</v>
      </c>
      <c r="G631">
        <v>0</v>
      </c>
      <c r="H631">
        <v>0</v>
      </c>
      <c r="I631">
        <v>89</v>
      </c>
      <c r="J631">
        <v>1768380</v>
      </c>
      <c r="K631" t="s">
        <v>7535</v>
      </c>
      <c r="L631" s="1">
        <v>41179</v>
      </c>
      <c r="N631" t="s">
        <v>5127</v>
      </c>
      <c r="O631" t="s">
        <v>2458</v>
      </c>
      <c r="P631" t="s">
        <v>6705</v>
      </c>
      <c r="Q631" t="s">
        <v>39</v>
      </c>
      <c r="R631" t="s">
        <v>40</v>
      </c>
      <c r="S631">
        <v>0</v>
      </c>
      <c r="U631" t="s">
        <v>5550</v>
      </c>
      <c r="V631" t="s">
        <v>1797</v>
      </c>
      <c r="X631" t="s">
        <v>74</v>
      </c>
      <c r="Y631" t="b">
        <v>0</v>
      </c>
      <c r="Z631" t="b">
        <v>0</v>
      </c>
      <c r="AB631" t="s">
        <v>7364</v>
      </c>
      <c r="AC631" s="1">
        <v>41303</v>
      </c>
      <c r="AF631">
        <v>0</v>
      </c>
      <c r="AG631">
        <v>45</v>
      </c>
      <c r="AH631">
        <v>134</v>
      </c>
      <c r="AI631" s="2">
        <f>Table__192.168.3.138AgingReportBEWLGS[[#This Row],[NetAmount]]-Table__192.168.3.138AgingReportBEWLGS[[#This Row],[Paid]]</f>
        <v>1768380</v>
      </c>
    </row>
    <row r="632" spans="1:35">
      <c r="A632" t="s">
        <v>7536</v>
      </c>
      <c r="B632" s="1">
        <v>41181</v>
      </c>
      <c r="C632" s="1">
        <v>41226</v>
      </c>
      <c r="D632" t="s">
        <v>6703</v>
      </c>
      <c r="E632">
        <v>908010</v>
      </c>
      <c r="F632">
        <v>145282</v>
      </c>
      <c r="G632">
        <v>0</v>
      </c>
      <c r="H632">
        <v>0</v>
      </c>
      <c r="I632">
        <v>87</v>
      </c>
      <c r="J632">
        <v>1053292</v>
      </c>
      <c r="K632" t="s">
        <v>7537</v>
      </c>
      <c r="L632" s="1">
        <v>41181</v>
      </c>
      <c r="N632" t="s">
        <v>5127</v>
      </c>
      <c r="O632" t="s">
        <v>2458</v>
      </c>
      <c r="P632" t="s">
        <v>6705</v>
      </c>
      <c r="Q632" t="s">
        <v>39</v>
      </c>
      <c r="R632" t="s">
        <v>40</v>
      </c>
      <c r="S632">
        <v>0</v>
      </c>
      <c r="U632" t="s">
        <v>5550</v>
      </c>
      <c r="V632" t="s">
        <v>1797</v>
      </c>
      <c r="X632" t="s">
        <v>74</v>
      </c>
      <c r="Y632" t="b">
        <v>0</v>
      </c>
      <c r="Z632" t="b">
        <v>0</v>
      </c>
      <c r="AC632" s="1"/>
      <c r="AF632">
        <v>0</v>
      </c>
      <c r="AG632">
        <v>45</v>
      </c>
      <c r="AH632">
        <v>132</v>
      </c>
      <c r="AI632" s="2">
        <f>Table__192.168.3.138AgingReportBEWLGS[[#This Row],[NetAmount]]-Table__192.168.3.138AgingReportBEWLGS[[#This Row],[Paid]]</f>
        <v>1053292</v>
      </c>
    </row>
    <row r="633" spans="1:35">
      <c r="A633" t="s">
        <v>7538</v>
      </c>
      <c r="B633" s="1">
        <v>41180</v>
      </c>
      <c r="C633" s="1">
        <v>41225</v>
      </c>
      <c r="D633" t="s">
        <v>6703</v>
      </c>
      <c r="E633">
        <v>1025270</v>
      </c>
      <c r="F633">
        <v>164043</v>
      </c>
      <c r="G633">
        <v>0</v>
      </c>
      <c r="H633">
        <v>0</v>
      </c>
      <c r="I633">
        <v>88</v>
      </c>
      <c r="J633">
        <v>1189313</v>
      </c>
      <c r="K633" t="s">
        <v>7539</v>
      </c>
      <c r="L633" s="1">
        <v>41180</v>
      </c>
      <c r="N633" t="s">
        <v>5127</v>
      </c>
      <c r="O633" t="s">
        <v>2458</v>
      </c>
      <c r="P633" t="s">
        <v>6705</v>
      </c>
      <c r="Q633" t="s">
        <v>39</v>
      </c>
      <c r="R633" t="s">
        <v>40</v>
      </c>
      <c r="S633">
        <v>0</v>
      </c>
      <c r="U633" t="s">
        <v>5550</v>
      </c>
      <c r="V633" t="s">
        <v>1797</v>
      </c>
      <c r="X633" t="s">
        <v>74</v>
      </c>
      <c r="Y633" t="b">
        <v>0</v>
      </c>
      <c r="Z633" t="b">
        <v>0</v>
      </c>
      <c r="AB633" t="s">
        <v>7364</v>
      </c>
      <c r="AC633" s="1">
        <v>41303</v>
      </c>
      <c r="AF633">
        <v>0</v>
      </c>
      <c r="AG633">
        <v>45</v>
      </c>
      <c r="AH633">
        <v>133</v>
      </c>
      <c r="AI633" s="2">
        <f>Table__192.168.3.138AgingReportBEWLGS[[#This Row],[NetAmount]]-Table__192.168.3.138AgingReportBEWLGS[[#This Row],[Paid]]</f>
        <v>1189313</v>
      </c>
    </row>
    <row r="634" spans="1:35">
      <c r="A634" t="s">
        <v>7540</v>
      </c>
      <c r="B634" s="1">
        <v>41182</v>
      </c>
      <c r="C634" s="1">
        <v>41227</v>
      </c>
      <c r="D634" t="s">
        <v>6703</v>
      </c>
      <c r="E634">
        <v>800706</v>
      </c>
      <c r="F634">
        <v>128113</v>
      </c>
      <c r="G634">
        <v>0</v>
      </c>
      <c r="H634">
        <v>0</v>
      </c>
      <c r="I634">
        <v>88</v>
      </c>
      <c r="J634">
        <v>928819</v>
      </c>
      <c r="K634" t="s">
        <v>7541</v>
      </c>
      <c r="L634" s="1">
        <v>41180</v>
      </c>
      <c r="N634" t="s">
        <v>5127</v>
      </c>
      <c r="O634" t="s">
        <v>2458</v>
      </c>
      <c r="P634" t="s">
        <v>6705</v>
      </c>
      <c r="Q634" t="s">
        <v>39</v>
      </c>
      <c r="R634" t="s">
        <v>40</v>
      </c>
      <c r="S634">
        <v>0</v>
      </c>
      <c r="U634" t="s">
        <v>5550</v>
      </c>
      <c r="V634" t="s">
        <v>1797</v>
      </c>
      <c r="X634" t="s">
        <v>74</v>
      </c>
      <c r="Y634" t="b">
        <v>0</v>
      </c>
      <c r="Z634" t="b">
        <v>0</v>
      </c>
      <c r="AB634" t="s">
        <v>7364</v>
      </c>
      <c r="AC634" s="1">
        <v>41303</v>
      </c>
      <c r="AF634">
        <v>0</v>
      </c>
      <c r="AG634">
        <v>45</v>
      </c>
      <c r="AH634">
        <v>133</v>
      </c>
      <c r="AI634" s="2">
        <f>Table__192.168.3.138AgingReportBEWLGS[[#This Row],[NetAmount]]-Table__192.168.3.138AgingReportBEWLGS[[#This Row],[Paid]]</f>
        <v>928819</v>
      </c>
    </row>
    <row r="635" spans="1:35">
      <c r="A635" t="s">
        <v>7542</v>
      </c>
      <c r="B635" s="1">
        <v>41180</v>
      </c>
      <c r="C635" s="1">
        <v>41225</v>
      </c>
      <c r="D635" t="s">
        <v>6703</v>
      </c>
      <c r="E635">
        <v>573196</v>
      </c>
      <c r="F635">
        <v>91711</v>
      </c>
      <c r="G635">
        <v>0</v>
      </c>
      <c r="H635">
        <v>0</v>
      </c>
      <c r="I635">
        <v>88</v>
      </c>
      <c r="J635">
        <v>664907</v>
      </c>
      <c r="K635" t="s">
        <v>7543</v>
      </c>
      <c r="L635" s="1">
        <v>41180</v>
      </c>
      <c r="N635" t="s">
        <v>5127</v>
      </c>
      <c r="O635" t="s">
        <v>2458</v>
      </c>
      <c r="P635" t="s">
        <v>6705</v>
      </c>
      <c r="Q635" t="s">
        <v>39</v>
      </c>
      <c r="R635" t="s">
        <v>40</v>
      </c>
      <c r="S635">
        <v>0</v>
      </c>
      <c r="U635" t="s">
        <v>5550</v>
      </c>
      <c r="V635" t="s">
        <v>1797</v>
      </c>
      <c r="X635" t="s">
        <v>74</v>
      </c>
      <c r="Y635" t="b">
        <v>0</v>
      </c>
      <c r="Z635" t="b">
        <v>0</v>
      </c>
      <c r="AB635" t="s">
        <v>7364</v>
      </c>
      <c r="AC635" s="1">
        <v>41303</v>
      </c>
      <c r="AF635">
        <v>0</v>
      </c>
      <c r="AG635">
        <v>45</v>
      </c>
      <c r="AH635">
        <v>133</v>
      </c>
      <c r="AI635" s="2">
        <f>Table__192.168.3.138AgingReportBEWLGS[[#This Row],[NetAmount]]-Table__192.168.3.138AgingReportBEWLGS[[#This Row],[Paid]]</f>
        <v>664907</v>
      </c>
    </row>
    <row r="636" spans="1:35">
      <c r="A636" t="s">
        <v>7544</v>
      </c>
      <c r="B636" s="1">
        <v>41188</v>
      </c>
      <c r="C636" s="1">
        <v>41233</v>
      </c>
      <c r="D636" t="s">
        <v>7545</v>
      </c>
      <c r="E636">
        <v>35000</v>
      </c>
      <c r="F636">
        <v>5600</v>
      </c>
      <c r="G636">
        <v>0</v>
      </c>
      <c r="H636">
        <v>0</v>
      </c>
      <c r="I636">
        <v>76</v>
      </c>
      <c r="J636">
        <v>40600</v>
      </c>
      <c r="K636" t="s">
        <v>7546</v>
      </c>
      <c r="L636" s="1">
        <v>41192</v>
      </c>
      <c r="N636" t="s">
        <v>5127</v>
      </c>
      <c r="O636" t="s">
        <v>2458</v>
      </c>
      <c r="P636" t="s">
        <v>7547</v>
      </c>
      <c r="Q636" t="s">
        <v>39</v>
      </c>
      <c r="R636" t="s">
        <v>40</v>
      </c>
      <c r="S636">
        <v>0</v>
      </c>
      <c r="U636" t="s">
        <v>5550</v>
      </c>
      <c r="V636" t="s">
        <v>1797</v>
      </c>
      <c r="X636" t="s">
        <v>74</v>
      </c>
      <c r="Y636" t="b">
        <v>0</v>
      </c>
      <c r="Z636" t="b">
        <v>0</v>
      </c>
      <c r="AC636" s="1"/>
      <c r="AF636">
        <v>0</v>
      </c>
      <c r="AG636">
        <v>45</v>
      </c>
      <c r="AH636">
        <v>121</v>
      </c>
      <c r="AI636" s="2">
        <f>Table__192.168.3.138AgingReportBEWLGS[[#This Row],[NetAmount]]-Table__192.168.3.138AgingReportBEWLGS[[#This Row],[Paid]]</f>
        <v>40600</v>
      </c>
    </row>
    <row r="637" spans="1:35">
      <c r="A637" t="s">
        <v>7548</v>
      </c>
      <c r="B637" s="1">
        <v>41190</v>
      </c>
      <c r="C637" s="1">
        <v>41235</v>
      </c>
      <c r="D637" t="s">
        <v>6486</v>
      </c>
      <c r="E637">
        <v>1500</v>
      </c>
      <c r="F637">
        <v>240</v>
      </c>
      <c r="G637">
        <v>0</v>
      </c>
      <c r="H637">
        <v>0</v>
      </c>
      <c r="I637">
        <v>78</v>
      </c>
      <c r="J637">
        <v>1740</v>
      </c>
      <c r="K637" t="s">
        <v>7549</v>
      </c>
      <c r="L637" s="1">
        <v>41190</v>
      </c>
      <c r="N637" t="s">
        <v>5127</v>
      </c>
      <c r="O637" t="s">
        <v>2458</v>
      </c>
      <c r="P637" t="s">
        <v>5464</v>
      </c>
      <c r="Q637" t="s">
        <v>39</v>
      </c>
      <c r="R637" t="s">
        <v>40</v>
      </c>
      <c r="S637">
        <v>0</v>
      </c>
      <c r="U637" t="s">
        <v>5550</v>
      </c>
      <c r="V637" t="s">
        <v>1797</v>
      </c>
      <c r="X637" t="s">
        <v>74</v>
      </c>
      <c r="Y637" t="b">
        <v>0</v>
      </c>
      <c r="Z637" t="b">
        <v>0</v>
      </c>
      <c r="AC637" s="1"/>
      <c r="AF637">
        <v>0</v>
      </c>
      <c r="AG637">
        <v>45</v>
      </c>
      <c r="AH637">
        <v>123</v>
      </c>
      <c r="AI637" s="2">
        <f>Table__192.168.3.138AgingReportBEWLGS[[#This Row],[NetAmount]]-Table__192.168.3.138AgingReportBEWLGS[[#This Row],[Paid]]</f>
        <v>1740</v>
      </c>
    </row>
    <row r="638" spans="1:35">
      <c r="A638" t="s">
        <v>7550</v>
      </c>
      <c r="B638" s="1">
        <v>41107</v>
      </c>
      <c r="C638" s="1">
        <v>41152</v>
      </c>
      <c r="D638" t="s">
        <v>7551</v>
      </c>
      <c r="E638">
        <v>41540</v>
      </c>
      <c r="F638">
        <v>6646</v>
      </c>
      <c r="G638">
        <v>0</v>
      </c>
      <c r="H638">
        <v>0</v>
      </c>
      <c r="I638">
        <v>162</v>
      </c>
      <c r="J638">
        <v>48186</v>
      </c>
      <c r="K638" t="s">
        <v>116</v>
      </c>
      <c r="L638" s="1">
        <v>41106</v>
      </c>
      <c r="M638" t="s">
        <v>7552</v>
      </c>
      <c r="N638" t="s">
        <v>5127</v>
      </c>
      <c r="O638" t="s">
        <v>2458</v>
      </c>
      <c r="P638" t="s">
        <v>7553</v>
      </c>
      <c r="Q638" t="s">
        <v>39</v>
      </c>
      <c r="R638" t="s">
        <v>40</v>
      </c>
      <c r="S638">
        <v>0</v>
      </c>
      <c r="U638" t="s">
        <v>5550</v>
      </c>
      <c r="V638" t="s">
        <v>1797</v>
      </c>
      <c r="W638" t="s">
        <v>7554</v>
      </c>
      <c r="X638" t="s">
        <v>74</v>
      </c>
      <c r="Y638" t="b">
        <v>0</v>
      </c>
      <c r="Z638" t="b">
        <v>0</v>
      </c>
      <c r="AA638" t="b">
        <v>0</v>
      </c>
      <c r="AC638" s="1"/>
      <c r="AF638">
        <v>0</v>
      </c>
      <c r="AG638">
        <v>45</v>
      </c>
      <c r="AH638">
        <v>207</v>
      </c>
      <c r="AI638" s="2">
        <f>Table__192.168.3.138AgingReportBEWLGS[[#This Row],[NetAmount]]-Table__192.168.3.138AgingReportBEWLGS[[#This Row],[Paid]]</f>
        <v>48186</v>
      </c>
    </row>
    <row r="639" spans="1:35">
      <c r="A639" t="s">
        <v>7555</v>
      </c>
      <c r="B639" s="1">
        <v>41199</v>
      </c>
      <c r="C639" s="1">
        <v>41244</v>
      </c>
      <c r="D639" t="s">
        <v>7556</v>
      </c>
      <c r="E639">
        <v>43560</v>
      </c>
      <c r="F639">
        <v>6970</v>
      </c>
      <c r="G639">
        <v>0</v>
      </c>
      <c r="H639">
        <v>0</v>
      </c>
      <c r="I639">
        <v>76</v>
      </c>
      <c r="J639">
        <v>50530</v>
      </c>
      <c r="K639" t="s">
        <v>7557</v>
      </c>
      <c r="L639" s="1">
        <v>41192</v>
      </c>
      <c r="M639" t="s">
        <v>7558</v>
      </c>
      <c r="N639" t="s">
        <v>5127</v>
      </c>
      <c r="O639" t="s">
        <v>2458</v>
      </c>
      <c r="P639" t="s">
        <v>7559</v>
      </c>
      <c r="Q639" t="s">
        <v>39</v>
      </c>
      <c r="R639" t="s">
        <v>40</v>
      </c>
      <c r="S639">
        <v>0</v>
      </c>
      <c r="U639" t="s">
        <v>5550</v>
      </c>
      <c r="V639" t="s">
        <v>1797</v>
      </c>
      <c r="W639" t="s">
        <v>7560</v>
      </c>
      <c r="X639" t="s">
        <v>74</v>
      </c>
      <c r="Y639" t="b">
        <v>0</v>
      </c>
      <c r="Z639" t="b">
        <v>0</v>
      </c>
      <c r="AA639" t="b">
        <v>0</v>
      </c>
      <c r="AC639" s="1"/>
      <c r="AF639">
        <v>0</v>
      </c>
      <c r="AG639">
        <v>45</v>
      </c>
      <c r="AH639">
        <v>121</v>
      </c>
      <c r="AI639" s="2">
        <f>Table__192.168.3.138AgingReportBEWLGS[[#This Row],[NetAmount]]-Table__192.168.3.138AgingReportBEWLGS[[#This Row],[Paid]]</f>
        <v>50530</v>
      </c>
    </row>
    <row r="640" spans="1:35">
      <c r="A640" t="s">
        <v>7561</v>
      </c>
      <c r="B640" s="1">
        <v>41179</v>
      </c>
      <c r="C640" s="1">
        <v>41224</v>
      </c>
      <c r="D640" t="s">
        <v>7375</v>
      </c>
      <c r="E640">
        <v>29340</v>
      </c>
      <c r="F640">
        <v>4694</v>
      </c>
      <c r="G640">
        <v>0</v>
      </c>
      <c r="H640">
        <v>0</v>
      </c>
      <c r="I640">
        <v>87</v>
      </c>
      <c r="J640">
        <v>35034</v>
      </c>
      <c r="K640" t="s">
        <v>7562</v>
      </c>
      <c r="L640" s="1">
        <v>41181</v>
      </c>
      <c r="N640" t="s">
        <v>5127</v>
      </c>
      <c r="O640" t="s">
        <v>2458</v>
      </c>
      <c r="P640" t="s">
        <v>7377</v>
      </c>
      <c r="Q640" t="s">
        <v>39</v>
      </c>
      <c r="R640" t="s">
        <v>40</v>
      </c>
      <c r="S640">
        <v>0</v>
      </c>
      <c r="U640" t="s">
        <v>5550</v>
      </c>
      <c r="V640" t="s">
        <v>1797</v>
      </c>
      <c r="X640" t="s">
        <v>74</v>
      </c>
      <c r="Y640" t="b">
        <v>0</v>
      </c>
      <c r="Z640" t="b">
        <v>0</v>
      </c>
      <c r="AB640" t="s">
        <v>7378</v>
      </c>
      <c r="AC640" s="1">
        <v>41297</v>
      </c>
      <c r="AF640">
        <v>0</v>
      </c>
      <c r="AG640">
        <v>45</v>
      </c>
      <c r="AH640">
        <v>132</v>
      </c>
      <c r="AI640" s="2">
        <f>Table__192.168.3.138AgingReportBEWLGS[[#This Row],[NetAmount]]-Table__192.168.3.138AgingReportBEWLGS[[#This Row],[Paid]]</f>
        <v>35034</v>
      </c>
    </row>
    <row r="641" spans="1:35">
      <c r="A641" t="s">
        <v>7563</v>
      </c>
      <c r="B641" s="1">
        <v>41166</v>
      </c>
      <c r="C641" s="1">
        <v>41211</v>
      </c>
      <c r="D641" t="s">
        <v>7375</v>
      </c>
      <c r="E641">
        <v>196001</v>
      </c>
      <c r="F641">
        <v>31360</v>
      </c>
      <c r="G641">
        <v>0</v>
      </c>
      <c r="H641">
        <v>0</v>
      </c>
      <c r="I641">
        <v>88</v>
      </c>
      <c r="J641">
        <v>231361</v>
      </c>
      <c r="K641" t="s">
        <v>7564</v>
      </c>
      <c r="L641" s="1">
        <v>41180</v>
      </c>
      <c r="N641" t="s">
        <v>5127</v>
      </c>
      <c r="O641" t="s">
        <v>2458</v>
      </c>
      <c r="P641" t="s">
        <v>7377</v>
      </c>
      <c r="Q641" t="s">
        <v>39</v>
      </c>
      <c r="R641" t="s">
        <v>40</v>
      </c>
      <c r="S641">
        <v>0</v>
      </c>
      <c r="U641" t="s">
        <v>5550</v>
      </c>
      <c r="V641" t="s">
        <v>1797</v>
      </c>
      <c r="X641" t="s">
        <v>74</v>
      </c>
      <c r="Y641" t="b">
        <v>0</v>
      </c>
      <c r="Z641" t="b">
        <v>0</v>
      </c>
      <c r="AB641" t="s">
        <v>7378</v>
      </c>
      <c r="AC641" s="1">
        <v>41297</v>
      </c>
      <c r="AF641">
        <v>0</v>
      </c>
      <c r="AG641">
        <v>45</v>
      </c>
      <c r="AH641">
        <v>133</v>
      </c>
      <c r="AI641" s="2">
        <f>Table__192.168.3.138AgingReportBEWLGS[[#This Row],[NetAmount]]-Table__192.168.3.138AgingReportBEWLGS[[#This Row],[Paid]]</f>
        <v>231361</v>
      </c>
    </row>
    <row r="642" spans="1:35">
      <c r="A642" t="s">
        <v>7565</v>
      </c>
      <c r="B642" s="1">
        <v>41181</v>
      </c>
      <c r="C642" s="1">
        <v>41226</v>
      </c>
      <c r="D642" t="s">
        <v>7375</v>
      </c>
      <c r="E642">
        <v>24000</v>
      </c>
      <c r="F642">
        <v>3840</v>
      </c>
      <c r="G642">
        <v>0</v>
      </c>
      <c r="H642">
        <v>0</v>
      </c>
      <c r="I642">
        <v>88</v>
      </c>
      <c r="J642">
        <v>28840</v>
      </c>
      <c r="K642" t="s">
        <v>7566</v>
      </c>
      <c r="L642" s="1">
        <v>41180</v>
      </c>
      <c r="N642" t="s">
        <v>5127</v>
      </c>
      <c r="O642" t="s">
        <v>2458</v>
      </c>
      <c r="P642" t="s">
        <v>7377</v>
      </c>
      <c r="Q642" t="s">
        <v>39</v>
      </c>
      <c r="R642" t="s">
        <v>40</v>
      </c>
      <c r="S642">
        <v>0</v>
      </c>
      <c r="U642" t="s">
        <v>5550</v>
      </c>
      <c r="V642" t="s">
        <v>1797</v>
      </c>
      <c r="X642" t="s">
        <v>74</v>
      </c>
      <c r="Y642" t="b">
        <v>0</v>
      </c>
      <c r="Z642" t="b">
        <v>0</v>
      </c>
      <c r="AB642" t="s">
        <v>7378</v>
      </c>
      <c r="AC642" s="1">
        <v>41297</v>
      </c>
      <c r="AF642">
        <v>0</v>
      </c>
      <c r="AG642">
        <v>45</v>
      </c>
      <c r="AH642">
        <v>133</v>
      </c>
      <c r="AI642" s="2">
        <f>Table__192.168.3.138AgingReportBEWLGS[[#This Row],[NetAmount]]-Table__192.168.3.138AgingReportBEWLGS[[#This Row],[Paid]]</f>
        <v>28840</v>
      </c>
    </row>
    <row r="643" spans="1:35">
      <c r="A643" t="s">
        <v>7567</v>
      </c>
      <c r="B643" s="1">
        <v>41156</v>
      </c>
      <c r="C643" s="1">
        <v>41201</v>
      </c>
      <c r="D643" t="s">
        <v>7375</v>
      </c>
      <c r="E643">
        <v>49390</v>
      </c>
      <c r="F643">
        <v>7902</v>
      </c>
      <c r="G643">
        <v>0</v>
      </c>
      <c r="H643">
        <v>0</v>
      </c>
      <c r="I643">
        <v>88</v>
      </c>
      <c r="J643">
        <v>58292</v>
      </c>
      <c r="K643" t="s">
        <v>7568</v>
      </c>
      <c r="L643" s="1">
        <v>41180</v>
      </c>
      <c r="N643" t="s">
        <v>5127</v>
      </c>
      <c r="O643" t="s">
        <v>2458</v>
      </c>
      <c r="P643" t="s">
        <v>7377</v>
      </c>
      <c r="Q643" t="s">
        <v>39</v>
      </c>
      <c r="R643" t="s">
        <v>40</v>
      </c>
      <c r="S643">
        <v>0</v>
      </c>
      <c r="U643" t="s">
        <v>5550</v>
      </c>
      <c r="V643" t="s">
        <v>1797</v>
      </c>
      <c r="X643" t="s">
        <v>74</v>
      </c>
      <c r="Y643" t="b">
        <v>0</v>
      </c>
      <c r="Z643" t="b">
        <v>0</v>
      </c>
      <c r="AB643" t="s">
        <v>7378</v>
      </c>
      <c r="AC643" s="1">
        <v>41297</v>
      </c>
      <c r="AF643">
        <v>0</v>
      </c>
      <c r="AG643">
        <v>45</v>
      </c>
      <c r="AH643">
        <v>133</v>
      </c>
      <c r="AI643" s="2">
        <f>Table__192.168.3.138AgingReportBEWLGS[[#This Row],[NetAmount]]-Table__192.168.3.138AgingReportBEWLGS[[#This Row],[Paid]]</f>
        <v>58292</v>
      </c>
    </row>
    <row r="644" spans="1:35">
      <c r="A644" t="s">
        <v>7569</v>
      </c>
      <c r="B644" s="1">
        <v>41188</v>
      </c>
      <c r="C644" s="1">
        <v>41233</v>
      </c>
      <c r="D644" t="s">
        <v>7545</v>
      </c>
      <c r="E644">
        <v>1725</v>
      </c>
      <c r="F644">
        <v>276</v>
      </c>
      <c r="G644">
        <v>0</v>
      </c>
      <c r="H644">
        <v>0</v>
      </c>
      <c r="I644">
        <v>69</v>
      </c>
      <c r="J644">
        <v>2001</v>
      </c>
      <c r="K644" t="s">
        <v>3711</v>
      </c>
      <c r="L644" s="1">
        <v>41199</v>
      </c>
      <c r="N644" t="s">
        <v>5127</v>
      </c>
      <c r="O644" t="s">
        <v>2458</v>
      </c>
      <c r="P644" t="s">
        <v>7547</v>
      </c>
      <c r="Q644" t="s">
        <v>39</v>
      </c>
      <c r="R644" t="s">
        <v>40</v>
      </c>
      <c r="S644">
        <v>0</v>
      </c>
      <c r="U644" t="s">
        <v>5550</v>
      </c>
      <c r="V644" t="s">
        <v>1797</v>
      </c>
      <c r="X644" t="s">
        <v>74</v>
      </c>
      <c r="Y644" t="b">
        <v>0</v>
      </c>
      <c r="Z644" t="b">
        <v>0</v>
      </c>
      <c r="AC644" s="1"/>
      <c r="AF644">
        <v>0</v>
      </c>
      <c r="AG644">
        <v>45</v>
      </c>
      <c r="AH644">
        <v>114</v>
      </c>
      <c r="AI644" s="2">
        <f>Table__192.168.3.138AgingReportBEWLGS[[#This Row],[NetAmount]]-Table__192.168.3.138AgingReportBEWLGS[[#This Row],[Paid]]</f>
        <v>2001</v>
      </c>
    </row>
    <row r="645" spans="1:35">
      <c r="A645" t="s">
        <v>7570</v>
      </c>
      <c r="B645" s="1">
        <v>41199</v>
      </c>
      <c r="C645" s="1">
        <v>41244</v>
      </c>
      <c r="D645" t="s">
        <v>6412</v>
      </c>
      <c r="E645">
        <v>778085</v>
      </c>
      <c r="F645">
        <v>124494</v>
      </c>
      <c r="G645">
        <v>0</v>
      </c>
      <c r="H645">
        <v>0</v>
      </c>
      <c r="I645">
        <v>70</v>
      </c>
      <c r="J645">
        <v>902579</v>
      </c>
      <c r="K645" t="s">
        <v>7571</v>
      </c>
      <c r="L645" s="1">
        <v>41198</v>
      </c>
      <c r="N645" t="s">
        <v>5127</v>
      </c>
      <c r="O645" t="s">
        <v>2458</v>
      </c>
      <c r="P645" t="s">
        <v>6414</v>
      </c>
      <c r="Q645" t="s">
        <v>39</v>
      </c>
      <c r="R645" t="s">
        <v>40</v>
      </c>
      <c r="S645">
        <v>0</v>
      </c>
      <c r="U645" t="s">
        <v>5550</v>
      </c>
      <c r="V645" t="s">
        <v>1797</v>
      </c>
      <c r="X645" t="s">
        <v>74</v>
      </c>
      <c r="Y645" t="b">
        <v>0</v>
      </c>
      <c r="Z645" t="b">
        <v>0</v>
      </c>
      <c r="AB645" t="s">
        <v>5557</v>
      </c>
      <c r="AC645" s="1">
        <v>41242</v>
      </c>
      <c r="AF645">
        <v>0</v>
      </c>
      <c r="AG645">
        <v>45</v>
      </c>
      <c r="AH645">
        <v>115</v>
      </c>
      <c r="AI645" s="2">
        <f>Table__192.168.3.138AgingReportBEWLGS[[#This Row],[NetAmount]]-Table__192.168.3.138AgingReportBEWLGS[[#This Row],[Paid]]</f>
        <v>902579</v>
      </c>
    </row>
    <row r="646" spans="1:35">
      <c r="A646" t="s">
        <v>7572</v>
      </c>
      <c r="B646" s="1">
        <v>41188</v>
      </c>
      <c r="C646" s="1">
        <v>41233</v>
      </c>
      <c r="D646" t="s">
        <v>7250</v>
      </c>
      <c r="E646">
        <v>21000</v>
      </c>
      <c r="F646">
        <v>3360</v>
      </c>
      <c r="G646">
        <v>0</v>
      </c>
      <c r="H646">
        <v>0</v>
      </c>
      <c r="I646">
        <v>68</v>
      </c>
      <c r="J646">
        <v>24360</v>
      </c>
      <c r="K646" t="s">
        <v>7573</v>
      </c>
      <c r="L646" s="1">
        <v>41200</v>
      </c>
      <c r="N646" t="s">
        <v>5127</v>
      </c>
      <c r="O646" t="s">
        <v>2458</v>
      </c>
      <c r="P646" t="s">
        <v>5526</v>
      </c>
      <c r="Q646" t="s">
        <v>39</v>
      </c>
      <c r="R646" t="s">
        <v>40</v>
      </c>
      <c r="S646">
        <v>0</v>
      </c>
      <c r="U646" t="s">
        <v>5550</v>
      </c>
      <c r="V646" t="s">
        <v>1797</v>
      </c>
      <c r="X646" t="s">
        <v>74</v>
      </c>
      <c r="Y646" t="b">
        <v>0</v>
      </c>
      <c r="Z646" t="b">
        <v>0</v>
      </c>
      <c r="AC646" s="1"/>
      <c r="AF646">
        <v>0</v>
      </c>
      <c r="AG646">
        <v>45</v>
      </c>
      <c r="AH646">
        <v>113</v>
      </c>
      <c r="AI646" s="2">
        <f>Table__192.168.3.138AgingReportBEWLGS[[#This Row],[NetAmount]]-Table__192.168.3.138AgingReportBEWLGS[[#This Row],[Paid]]</f>
        <v>24360</v>
      </c>
    </row>
    <row r="647" spans="1:35">
      <c r="A647" t="s">
        <v>7574</v>
      </c>
      <c r="B647" s="1">
        <v>41199</v>
      </c>
      <c r="C647" s="1">
        <v>41244</v>
      </c>
      <c r="D647" t="s">
        <v>7250</v>
      </c>
      <c r="E647">
        <v>28500</v>
      </c>
      <c r="F647">
        <v>4560</v>
      </c>
      <c r="G647">
        <v>0</v>
      </c>
      <c r="H647">
        <v>0</v>
      </c>
      <c r="I647">
        <v>68</v>
      </c>
      <c r="J647">
        <v>33060</v>
      </c>
      <c r="K647" t="s">
        <v>7575</v>
      </c>
      <c r="L647" s="1">
        <v>41200</v>
      </c>
      <c r="N647" t="s">
        <v>5127</v>
      </c>
      <c r="O647" t="s">
        <v>2458</v>
      </c>
      <c r="P647" t="s">
        <v>5526</v>
      </c>
      <c r="Q647" t="s">
        <v>39</v>
      </c>
      <c r="R647" t="s">
        <v>40</v>
      </c>
      <c r="S647">
        <v>0</v>
      </c>
      <c r="U647" t="s">
        <v>5550</v>
      </c>
      <c r="V647" t="s">
        <v>1797</v>
      </c>
      <c r="X647" t="s">
        <v>74</v>
      </c>
      <c r="Y647" t="b">
        <v>0</v>
      </c>
      <c r="Z647" t="b">
        <v>0</v>
      </c>
      <c r="AC647" s="1"/>
      <c r="AF647">
        <v>0</v>
      </c>
      <c r="AG647">
        <v>45</v>
      </c>
      <c r="AH647">
        <v>113</v>
      </c>
      <c r="AI647" s="2">
        <f>Table__192.168.3.138AgingReportBEWLGS[[#This Row],[NetAmount]]-Table__192.168.3.138AgingReportBEWLGS[[#This Row],[Paid]]</f>
        <v>33060</v>
      </c>
    </row>
    <row r="648" spans="1:35">
      <c r="A648" t="s">
        <v>7576</v>
      </c>
      <c r="B648" s="1">
        <v>41191</v>
      </c>
      <c r="C648" s="1">
        <v>41236</v>
      </c>
      <c r="D648" t="s">
        <v>7250</v>
      </c>
      <c r="E648">
        <v>12900</v>
      </c>
      <c r="F648">
        <v>2064</v>
      </c>
      <c r="G648">
        <v>0</v>
      </c>
      <c r="H648">
        <v>0</v>
      </c>
      <c r="I648">
        <v>68</v>
      </c>
      <c r="J648">
        <v>14964</v>
      </c>
      <c r="K648" t="s">
        <v>7577</v>
      </c>
      <c r="L648" s="1">
        <v>41200</v>
      </c>
      <c r="N648" t="s">
        <v>5127</v>
      </c>
      <c r="O648" t="s">
        <v>2458</v>
      </c>
      <c r="P648" t="s">
        <v>5526</v>
      </c>
      <c r="Q648" t="s">
        <v>39</v>
      </c>
      <c r="R648" t="s">
        <v>40</v>
      </c>
      <c r="S648">
        <v>0</v>
      </c>
      <c r="U648" t="s">
        <v>5550</v>
      </c>
      <c r="V648" t="s">
        <v>1797</v>
      </c>
      <c r="X648" t="s">
        <v>74</v>
      </c>
      <c r="Y648" t="b">
        <v>0</v>
      </c>
      <c r="Z648" t="b">
        <v>0</v>
      </c>
      <c r="AC648" s="1"/>
      <c r="AF648">
        <v>0</v>
      </c>
      <c r="AG648">
        <v>45</v>
      </c>
      <c r="AH648">
        <v>113</v>
      </c>
      <c r="AI648" s="2">
        <f>Table__192.168.3.138AgingReportBEWLGS[[#This Row],[NetAmount]]-Table__192.168.3.138AgingReportBEWLGS[[#This Row],[Paid]]</f>
        <v>14964</v>
      </c>
    </row>
    <row r="649" spans="1:35">
      <c r="A649" t="s">
        <v>7578</v>
      </c>
      <c r="B649" s="1">
        <v>41191</v>
      </c>
      <c r="C649" s="1">
        <v>41236</v>
      </c>
      <c r="D649" t="s">
        <v>7250</v>
      </c>
      <c r="E649">
        <v>77490</v>
      </c>
      <c r="F649">
        <v>12398</v>
      </c>
      <c r="G649">
        <v>0</v>
      </c>
      <c r="H649">
        <v>0</v>
      </c>
      <c r="I649">
        <v>68</v>
      </c>
      <c r="J649">
        <v>89888</v>
      </c>
      <c r="K649" t="s">
        <v>7579</v>
      </c>
      <c r="L649" s="1">
        <v>41200</v>
      </c>
      <c r="N649" t="s">
        <v>5127</v>
      </c>
      <c r="O649" t="s">
        <v>2458</v>
      </c>
      <c r="P649" t="s">
        <v>5526</v>
      </c>
      <c r="Q649" t="s">
        <v>39</v>
      </c>
      <c r="R649" t="s">
        <v>40</v>
      </c>
      <c r="S649">
        <v>0</v>
      </c>
      <c r="U649" t="s">
        <v>5550</v>
      </c>
      <c r="V649" t="s">
        <v>1797</v>
      </c>
      <c r="X649" t="s">
        <v>74</v>
      </c>
      <c r="Y649" t="b">
        <v>0</v>
      </c>
      <c r="Z649" t="b">
        <v>0</v>
      </c>
      <c r="AC649" s="1"/>
      <c r="AF649">
        <v>0</v>
      </c>
      <c r="AG649">
        <v>45</v>
      </c>
      <c r="AH649">
        <v>113</v>
      </c>
      <c r="AI649" s="2">
        <f>Table__192.168.3.138AgingReportBEWLGS[[#This Row],[NetAmount]]-Table__192.168.3.138AgingReportBEWLGS[[#This Row],[Paid]]</f>
        <v>89888</v>
      </c>
    </row>
    <row r="650" spans="1:35">
      <c r="A650" t="s">
        <v>7580</v>
      </c>
      <c r="B650" s="1">
        <v>41199</v>
      </c>
      <c r="C650" s="1">
        <v>41244</v>
      </c>
      <c r="D650" t="s">
        <v>7250</v>
      </c>
      <c r="E650">
        <v>70000</v>
      </c>
      <c r="F650">
        <v>11200</v>
      </c>
      <c r="G650">
        <v>0</v>
      </c>
      <c r="H650">
        <v>0</v>
      </c>
      <c r="I650">
        <v>68</v>
      </c>
      <c r="J650">
        <v>81200</v>
      </c>
      <c r="K650" t="s">
        <v>7581</v>
      </c>
      <c r="L650" s="1">
        <v>41200</v>
      </c>
      <c r="N650" t="s">
        <v>5127</v>
      </c>
      <c r="O650" t="s">
        <v>2458</v>
      </c>
      <c r="P650" t="s">
        <v>5526</v>
      </c>
      <c r="Q650" t="s">
        <v>39</v>
      </c>
      <c r="R650" t="s">
        <v>40</v>
      </c>
      <c r="S650">
        <v>0</v>
      </c>
      <c r="U650" t="s">
        <v>5550</v>
      </c>
      <c r="V650" t="s">
        <v>1797</v>
      </c>
      <c r="X650" t="s">
        <v>74</v>
      </c>
      <c r="Y650" t="b">
        <v>0</v>
      </c>
      <c r="Z650" t="b">
        <v>0</v>
      </c>
      <c r="AC650" s="1"/>
      <c r="AF650">
        <v>0</v>
      </c>
      <c r="AG650">
        <v>45</v>
      </c>
      <c r="AH650">
        <v>113</v>
      </c>
      <c r="AI650" s="2">
        <f>Table__192.168.3.138AgingReportBEWLGS[[#This Row],[NetAmount]]-Table__192.168.3.138AgingReportBEWLGS[[#This Row],[Paid]]</f>
        <v>81200</v>
      </c>
    </row>
    <row r="651" spans="1:35">
      <c r="A651" t="s">
        <v>7582</v>
      </c>
      <c r="B651" s="1">
        <v>41199</v>
      </c>
      <c r="C651" s="1">
        <v>41244</v>
      </c>
      <c r="D651" t="s">
        <v>7250</v>
      </c>
      <c r="E651">
        <v>118625</v>
      </c>
      <c r="F651">
        <v>18980</v>
      </c>
      <c r="G651">
        <v>0</v>
      </c>
      <c r="H651">
        <v>0</v>
      </c>
      <c r="I651">
        <v>68</v>
      </c>
      <c r="J651">
        <v>137605</v>
      </c>
      <c r="K651" t="s">
        <v>7583</v>
      </c>
      <c r="L651" s="1">
        <v>41200</v>
      </c>
      <c r="N651" t="s">
        <v>5127</v>
      </c>
      <c r="O651" t="s">
        <v>2458</v>
      </c>
      <c r="P651" t="s">
        <v>5526</v>
      </c>
      <c r="Q651" t="s">
        <v>39</v>
      </c>
      <c r="R651" t="s">
        <v>40</v>
      </c>
      <c r="S651">
        <v>0</v>
      </c>
      <c r="U651" t="s">
        <v>5550</v>
      </c>
      <c r="V651" t="s">
        <v>1797</v>
      </c>
      <c r="X651" t="s">
        <v>74</v>
      </c>
      <c r="Y651" t="b">
        <v>0</v>
      </c>
      <c r="Z651" t="b">
        <v>0</v>
      </c>
      <c r="AC651" s="1"/>
      <c r="AF651">
        <v>0</v>
      </c>
      <c r="AG651">
        <v>45</v>
      </c>
      <c r="AH651">
        <v>113</v>
      </c>
      <c r="AI651" s="2">
        <f>Table__192.168.3.138AgingReportBEWLGS[[#This Row],[NetAmount]]-Table__192.168.3.138AgingReportBEWLGS[[#This Row],[Paid]]</f>
        <v>137605</v>
      </c>
    </row>
    <row r="652" spans="1:35">
      <c r="A652" t="s">
        <v>7584</v>
      </c>
      <c r="B652" s="1">
        <v>41178</v>
      </c>
      <c r="C652" s="1">
        <v>41223</v>
      </c>
      <c r="D652" t="s">
        <v>6542</v>
      </c>
      <c r="E652">
        <v>21696</v>
      </c>
      <c r="F652">
        <v>0</v>
      </c>
      <c r="G652">
        <v>0</v>
      </c>
      <c r="H652">
        <v>0</v>
      </c>
      <c r="I652">
        <v>90</v>
      </c>
      <c r="J652">
        <v>21696</v>
      </c>
      <c r="K652" t="s">
        <v>4699</v>
      </c>
      <c r="L652" s="1">
        <v>41178</v>
      </c>
      <c r="N652" t="s">
        <v>5127</v>
      </c>
      <c r="O652" t="s">
        <v>2458</v>
      </c>
      <c r="P652" t="s">
        <v>6544</v>
      </c>
      <c r="Q652" t="s">
        <v>39</v>
      </c>
      <c r="R652" t="s">
        <v>40</v>
      </c>
      <c r="S652">
        <v>0</v>
      </c>
      <c r="U652" t="s">
        <v>5550</v>
      </c>
      <c r="V652" t="s">
        <v>1797</v>
      </c>
      <c r="X652" t="s">
        <v>74</v>
      </c>
      <c r="Y652" t="b">
        <v>0</v>
      </c>
      <c r="Z652" t="b">
        <v>0</v>
      </c>
      <c r="AC652" s="1"/>
      <c r="AF652">
        <v>0</v>
      </c>
      <c r="AG652">
        <v>45</v>
      </c>
      <c r="AH652">
        <v>135</v>
      </c>
      <c r="AI652" s="2">
        <f>Table__192.168.3.138AgingReportBEWLGS[[#This Row],[NetAmount]]-Table__192.168.3.138AgingReportBEWLGS[[#This Row],[Paid]]</f>
        <v>21696</v>
      </c>
    </row>
    <row r="653" spans="1:35">
      <c r="A653" t="s">
        <v>7585</v>
      </c>
      <c r="B653" s="1">
        <v>41199</v>
      </c>
      <c r="C653" s="1">
        <v>41244</v>
      </c>
      <c r="D653" t="s">
        <v>7375</v>
      </c>
      <c r="E653">
        <v>4540</v>
      </c>
      <c r="F653">
        <v>726</v>
      </c>
      <c r="G653">
        <v>0</v>
      </c>
      <c r="H653">
        <v>0</v>
      </c>
      <c r="I653">
        <v>71</v>
      </c>
      <c r="J653">
        <v>5266</v>
      </c>
      <c r="K653" t="s">
        <v>7586</v>
      </c>
      <c r="L653" s="1">
        <v>41197</v>
      </c>
      <c r="N653" t="s">
        <v>5127</v>
      </c>
      <c r="O653" t="s">
        <v>2458</v>
      </c>
      <c r="P653" t="s">
        <v>7377</v>
      </c>
      <c r="Q653" t="s">
        <v>39</v>
      </c>
      <c r="R653" t="s">
        <v>40</v>
      </c>
      <c r="S653">
        <v>0</v>
      </c>
      <c r="U653" t="s">
        <v>5550</v>
      </c>
      <c r="V653" t="s">
        <v>1797</v>
      </c>
      <c r="X653" t="s">
        <v>74</v>
      </c>
      <c r="Y653" t="b">
        <v>0</v>
      </c>
      <c r="Z653" t="b">
        <v>0</v>
      </c>
      <c r="AC653" s="1"/>
      <c r="AF653">
        <v>0</v>
      </c>
      <c r="AG653">
        <v>45</v>
      </c>
      <c r="AH653">
        <v>116</v>
      </c>
      <c r="AI653" s="2">
        <f>Table__192.168.3.138AgingReportBEWLGS[[#This Row],[NetAmount]]-Table__192.168.3.138AgingReportBEWLGS[[#This Row],[Paid]]</f>
        <v>5266</v>
      </c>
    </row>
    <row r="654" spans="1:35">
      <c r="A654" t="s">
        <v>7587</v>
      </c>
      <c r="B654" s="1">
        <v>41188</v>
      </c>
      <c r="C654" s="1">
        <v>41233</v>
      </c>
      <c r="D654" t="s">
        <v>7375</v>
      </c>
      <c r="E654">
        <v>23820</v>
      </c>
      <c r="F654">
        <v>3811</v>
      </c>
      <c r="G654">
        <v>0</v>
      </c>
      <c r="H654">
        <v>0</v>
      </c>
      <c r="I654">
        <v>71</v>
      </c>
      <c r="J654">
        <v>27631</v>
      </c>
      <c r="K654" t="s">
        <v>7588</v>
      </c>
      <c r="L654" s="1">
        <v>41197</v>
      </c>
      <c r="N654" t="s">
        <v>5127</v>
      </c>
      <c r="O654" t="s">
        <v>2458</v>
      </c>
      <c r="P654" t="s">
        <v>7377</v>
      </c>
      <c r="Q654" t="s">
        <v>39</v>
      </c>
      <c r="R654" t="s">
        <v>40</v>
      </c>
      <c r="S654">
        <v>0</v>
      </c>
      <c r="U654" t="s">
        <v>5550</v>
      </c>
      <c r="V654" t="s">
        <v>1797</v>
      </c>
      <c r="X654" t="s">
        <v>74</v>
      </c>
      <c r="Y654" t="b">
        <v>0</v>
      </c>
      <c r="Z654" t="b">
        <v>0</v>
      </c>
      <c r="AC654" s="1"/>
      <c r="AF654">
        <v>0</v>
      </c>
      <c r="AG654">
        <v>45</v>
      </c>
      <c r="AH654">
        <v>116</v>
      </c>
      <c r="AI654" s="2">
        <f>Table__192.168.3.138AgingReportBEWLGS[[#This Row],[NetAmount]]-Table__192.168.3.138AgingReportBEWLGS[[#This Row],[Paid]]</f>
        <v>27631</v>
      </c>
    </row>
    <row r="655" spans="1:35">
      <c r="A655" t="s">
        <v>7589</v>
      </c>
      <c r="B655" s="1">
        <v>41188</v>
      </c>
      <c r="C655" s="1">
        <v>41233</v>
      </c>
      <c r="D655" t="s">
        <v>7375</v>
      </c>
      <c r="E655">
        <v>12195</v>
      </c>
      <c r="F655">
        <v>1951</v>
      </c>
      <c r="G655">
        <v>0</v>
      </c>
      <c r="H655">
        <v>0</v>
      </c>
      <c r="I655">
        <v>71</v>
      </c>
      <c r="J655">
        <v>14146</v>
      </c>
      <c r="K655" t="s">
        <v>7590</v>
      </c>
      <c r="L655" s="1">
        <v>41197</v>
      </c>
      <c r="N655" t="s">
        <v>5127</v>
      </c>
      <c r="O655" t="s">
        <v>2458</v>
      </c>
      <c r="P655" t="s">
        <v>7377</v>
      </c>
      <c r="Q655" t="s">
        <v>39</v>
      </c>
      <c r="R655" t="s">
        <v>40</v>
      </c>
      <c r="S655">
        <v>0</v>
      </c>
      <c r="U655" t="s">
        <v>5550</v>
      </c>
      <c r="V655" t="s">
        <v>1797</v>
      </c>
      <c r="X655" t="s">
        <v>74</v>
      </c>
      <c r="Y655" t="b">
        <v>0</v>
      </c>
      <c r="Z655" t="b">
        <v>0</v>
      </c>
      <c r="AC655" s="1"/>
      <c r="AF655">
        <v>0</v>
      </c>
      <c r="AG655">
        <v>45</v>
      </c>
      <c r="AH655">
        <v>116</v>
      </c>
      <c r="AI655" s="2">
        <f>Table__192.168.3.138AgingReportBEWLGS[[#This Row],[NetAmount]]-Table__192.168.3.138AgingReportBEWLGS[[#This Row],[Paid]]</f>
        <v>14146</v>
      </c>
    </row>
    <row r="656" spans="1:35">
      <c r="A656" t="s">
        <v>7591</v>
      </c>
      <c r="B656" s="1">
        <v>41199</v>
      </c>
      <c r="C656" s="1">
        <v>41244</v>
      </c>
      <c r="D656" t="s">
        <v>6577</v>
      </c>
      <c r="E656">
        <v>24420</v>
      </c>
      <c r="F656">
        <v>3907</v>
      </c>
      <c r="G656">
        <v>0</v>
      </c>
      <c r="H656">
        <v>0</v>
      </c>
      <c r="I656">
        <v>68</v>
      </c>
      <c r="J656">
        <v>28327</v>
      </c>
      <c r="K656" t="s">
        <v>7592</v>
      </c>
      <c r="L656" s="1">
        <v>41200</v>
      </c>
      <c r="N656" t="s">
        <v>5127</v>
      </c>
      <c r="O656" t="s">
        <v>2458</v>
      </c>
      <c r="P656" t="s">
        <v>6579</v>
      </c>
      <c r="Q656" t="s">
        <v>39</v>
      </c>
      <c r="R656" t="s">
        <v>40</v>
      </c>
      <c r="S656">
        <v>0</v>
      </c>
      <c r="U656" t="s">
        <v>5550</v>
      </c>
      <c r="V656" t="s">
        <v>1797</v>
      </c>
      <c r="X656" t="s">
        <v>74</v>
      </c>
      <c r="Y656" t="b">
        <v>0</v>
      </c>
      <c r="Z656" t="b">
        <v>0</v>
      </c>
      <c r="AC656" s="1"/>
      <c r="AF656">
        <v>0</v>
      </c>
      <c r="AG656">
        <v>45</v>
      </c>
      <c r="AH656">
        <v>113</v>
      </c>
      <c r="AI656" s="2">
        <f>Table__192.168.3.138AgingReportBEWLGS[[#This Row],[NetAmount]]-Table__192.168.3.138AgingReportBEWLGS[[#This Row],[Paid]]</f>
        <v>28327</v>
      </c>
    </row>
    <row r="657" spans="1:35">
      <c r="A657" t="s">
        <v>7593</v>
      </c>
      <c r="B657" s="1">
        <v>41185</v>
      </c>
      <c r="C657" s="1">
        <v>41230</v>
      </c>
      <c r="D657" t="s">
        <v>6406</v>
      </c>
      <c r="E657">
        <v>678940</v>
      </c>
      <c r="F657">
        <v>108630</v>
      </c>
      <c r="G657">
        <v>0</v>
      </c>
      <c r="H657">
        <v>0</v>
      </c>
      <c r="I657">
        <v>73</v>
      </c>
      <c r="J657">
        <v>787570</v>
      </c>
      <c r="K657" t="s">
        <v>7594</v>
      </c>
      <c r="L657" s="1">
        <v>41195</v>
      </c>
      <c r="N657" t="s">
        <v>5127</v>
      </c>
      <c r="O657" t="s">
        <v>2458</v>
      </c>
      <c r="P657" t="s">
        <v>6407</v>
      </c>
      <c r="Q657" t="s">
        <v>39</v>
      </c>
      <c r="R657" t="s">
        <v>40</v>
      </c>
      <c r="S657">
        <v>0</v>
      </c>
      <c r="U657" t="s">
        <v>5550</v>
      </c>
      <c r="V657" t="s">
        <v>1797</v>
      </c>
      <c r="X657" t="s">
        <v>74</v>
      </c>
      <c r="Y657" t="b">
        <v>0</v>
      </c>
      <c r="Z657" t="b">
        <v>0</v>
      </c>
      <c r="AC657" s="1"/>
      <c r="AF657">
        <v>0</v>
      </c>
      <c r="AG657">
        <v>45</v>
      </c>
      <c r="AH657">
        <v>118</v>
      </c>
      <c r="AI657" s="2">
        <f>Table__192.168.3.138AgingReportBEWLGS[[#This Row],[NetAmount]]-Table__192.168.3.138AgingReportBEWLGS[[#This Row],[Paid]]</f>
        <v>787570</v>
      </c>
    </row>
    <row r="658" spans="1:35">
      <c r="A658" t="s">
        <v>7595</v>
      </c>
      <c r="B658" s="1">
        <v>41185</v>
      </c>
      <c r="C658" s="1">
        <v>41230</v>
      </c>
      <c r="D658" t="s">
        <v>6406</v>
      </c>
      <c r="E658">
        <v>661510</v>
      </c>
      <c r="F658">
        <v>105842</v>
      </c>
      <c r="G658">
        <v>0</v>
      </c>
      <c r="H658">
        <v>0</v>
      </c>
      <c r="I658">
        <v>73</v>
      </c>
      <c r="J658">
        <v>767352</v>
      </c>
      <c r="K658" t="s">
        <v>4110</v>
      </c>
      <c r="L658" s="1">
        <v>41195</v>
      </c>
      <c r="N658" t="s">
        <v>5127</v>
      </c>
      <c r="O658" t="s">
        <v>2458</v>
      </c>
      <c r="P658" t="s">
        <v>6407</v>
      </c>
      <c r="Q658" t="s">
        <v>39</v>
      </c>
      <c r="R658" t="s">
        <v>40</v>
      </c>
      <c r="S658">
        <v>0</v>
      </c>
      <c r="U658" t="s">
        <v>5550</v>
      </c>
      <c r="V658" t="s">
        <v>1797</v>
      </c>
      <c r="X658" t="s">
        <v>74</v>
      </c>
      <c r="Y658" t="b">
        <v>0</v>
      </c>
      <c r="Z658" t="b">
        <v>0</v>
      </c>
      <c r="AC658" s="1"/>
      <c r="AF658">
        <v>0</v>
      </c>
      <c r="AG658">
        <v>45</v>
      </c>
      <c r="AH658">
        <v>118</v>
      </c>
      <c r="AI658" s="2">
        <f>Table__192.168.3.138AgingReportBEWLGS[[#This Row],[NetAmount]]-Table__192.168.3.138AgingReportBEWLGS[[#This Row],[Paid]]</f>
        <v>767352</v>
      </c>
    </row>
    <row r="659" spans="1:35">
      <c r="A659" t="s">
        <v>7596</v>
      </c>
      <c r="B659" s="1">
        <v>41195</v>
      </c>
      <c r="C659" s="1">
        <v>41240</v>
      </c>
      <c r="D659" t="s">
        <v>6406</v>
      </c>
      <c r="E659">
        <v>1311390</v>
      </c>
      <c r="F659">
        <v>209822</v>
      </c>
      <c r="G659">
        <v>0</v>
      </c>
      <c r="H659">
        <v>0</v>
      </c>
      <c r="I659">
        <v>73</v>
      </c>
      <c r="J659">
        <v>1521212</v>
      </c>
      <c r="K659" t="s">
        <v>7597</v>
      </c>
      <c r="L659" s="1">
        <v>41195</v>
      </c>
      <c r="N659" t="s">
        <v>5127</v>
      </c>
      <c r="O659" t="s">
        <v>2458</v>
      </c>
      <c r="P659" t="s">
        <v>6407</v>
      </c>
      <c r="Q659" t="s">
        <v>39</v>
      </c>
      <c r="R659" t="s">
        <v>40</v>
      </c>
      <c r="S659">
        <v>0</v>
      </c>
      <c r="U659" t="s">
        <v>5550</v>
      </c>
      <c r="V659" t="s">
        <v>1797</v>
      </c>
      <c r="X659" t="s">
        <v>74</v>
      </c>
      <c r="Y659" t="b">
        <v>0</v>
      </c>
      <c r="Z659" t="b">
        <v>0</v>
      </c>
      <c r="AC659" s="1"/>
      <c r="AF659">
        <v>0</v>
      </c>
      <c r="AG659">
        <v>45</v>
      </c>
      <c r="AH659">
        <v>118</v>
      </c>
      <c r="AI659" s="2">
        <f>Table__192.168.3.138AgingReportBEWLGS[[#This Row],[NetAmount]]-Table__192.168.3.138AgingReportBEWLGS[[#This Row],[Paid]]</f>
        <v>1521212</v>
      </c>
    </row>
    <row r="660" spans="1:35">
      <c r="A660" t="s">
        <v>7598</v>
      </c>
      <c r="B660" s="1">
        <v>41184</v>
      </c>
      <c r="C660" s="1">
        <v>41229</v>
      </c>
      <c r="D660" t="s">
        <v>6406</v>
      </c>
      <c r="E660">
        <v>600780</v>
      </c>
      <c r="F660">
        <v>96125</v>
      </c>
      <c r="G660">
        <v>0</v>
      </c>
      <c r="H660">
        <v>0</v>
      </c>
      <c r="I660">
        <v>73</v>
      </c>
      <c r="J660">
        <v>696905</v>
      </c>
      <c r="K660" t="s">
        <v>7599</v>
      </c>
      <c r="L660" s="1">
        <v>41195</v>
      </c>
      <c r="N660" t="s">
        <v>5127</v>
      </c>
      <c r="O660" t="s">
        <v>2458</v>
      </c>
      <c r="P660" t="s">
        <v>6407</v>
      </c>
      <c r="Q660" t="s">
        <v>39</v>
      </c>
      <c r="R660" t="s">
        <v>40</v>
      </c>
      <c r="S660">
        <v>0</v>
      </c>
      <c r="U660" t="s">
        <v>5550</v>
      </c>
      <c r="V660" t="s">
        <v>1797</v>
      </c>
      <c r="X660" t="s">
        <v>74</v>
      </c>
      <c r="Y660" t="b">
        <v>0</v>
      </c>
      <c r="Z660" t="b">
        <v>0</v>
      </c>
      <c r="AC660" s="1"/>
      <c r="AF660">
        <v>0</v>
      </c>
      <c r="AG660">
        <v>45</v>
      </c>
      <c r="AH660">
        <v>118</v>
      </c>
      <c r="AI660" s="2">
        <f>Table__192.168.3.138AgingReportBEWLGS[[#This Row],[NetAmount]]-Table__192.168.3.138AgingReportBEWLGS[[#This Row],[Paid]]</f>
        <v>696905</v>
      </c>
    </row>
    <row r="661" spans="1:35">
      <c r="A661" t="s">
        <v>7600</v>
      </c>
      <c r="B661" s="1">
        <v>41202</v>
      </c>
      <c r="C661" s="1">
        <v>41247</v>
      </c>
      <c r="D661" t="s">
        <v>7601</v>
      </c>
      <c r="E661">
        <v>1500</v>
      </c>
      <c r="F661">
        <v>0</v>
      </c>
      <c r="G661">
        <v>0</v>
      </c>
      <c r="H661">
        <v>0</v>
      </c>
      <c r="I661">
        <v>67</v>
      </c>
      <c r="J661">
        <v>1500</v>
      </c>
      <c r="K661" t="s">
        <v>7602</v>
      </c>
      <c r="L661" s="1">
        <v>41201</v>
      </c>
      <c r="M661" t="s">
        <v>7603</v>
      </c>
      <c r="N661" t="s">
        <v>5127</v>
      </c>
      <c r="O661" t="s">
        <v>2458</v>
      </c>
      <c r="P661" t="s">
        <v>7604</v>
      </c>
      <c r="Q661" t="s">
        <v>39</v>
      </c>
      <c r="R661" t="s">
        <v>40</v>
      </c>
      <c r="S661">
        <v>0</v>
      </c>
      <c r="U661" t="s">
        <v>5550</v>
      </c>
      <c r="V661" t="s">
        <v>1797</v>
      </c>
      <c r="W661" t="s">
        <v>7605</v>
      </c>
      <c r="X661" t="s">
        <v>74</v>
      </c>
      <c r="Y661" t="b">
        <v>0</v>
      </c>
      <c r="Z661" t="b">
        <v>0</v>
      </c>
      <c r="AA661" t="b">
        <v>0</v>
      </c>
      <c r="AC661" s="1"/>
      <c r="AF661">
        <v>0</v>
      </c>
      <c r="AG661">
        <v>45</v>
      </c>
      <c r="AH661">
        <v>112</v>
      </c>
      <c r="AI661" s="2">
        <f>Table__192.168.3.138AgingReportBEWLGS[[#This Row],[NetAmount]]-Table__192.168.3.138AgingReportBEWLGS[[#This Row],[Paid]]</f>
        <v>1500</v>
      </c>
    </row>
    <row r="662" spans="1:35">
      <c r="A662" t="s">
        <v>7606</v>
      </c>
      <c r="B662" s="1">
        <v>41202</v>
      </c>
      <c r="C662" s="1">
        <v>41247</v>
      </c>
      <c r="D662" t="s">
        <v>6654</v>
      </c>
      <c r="E662">
        <v>9280</v>
      </c>
      <c r="F662">
        <v>1485</v>
      </c>
      <c r="G662">
        <v>0</v>
      </c>
      <c r="H662">
        <v>0</v>
      </c>
      <c r="I662">
        <v>70</v>
      </c>
      <c r="J662">
        <v>10765</v>
      </c>
      <c r="K662" t="s">
        <v>3715</v>
      </c>
      <c r="L662" s="1">
        <v>41198</v>
      </c>
      <c r="N662" t="s">
        <v>5127</v>
      </c>
      <c r="O662" t="s">
        <v>2458</v>
      </c>
      <c r="P662" t="s">
        <v>6656</v>
      </c>
      <c r="Q662" t="s">
        <v>39</v>
      </c>
      <c r="R662" t="s">
        <v>40</v>
      </c>
      <c r="S662">
        <v>0</v>
      </c>
      <c r="U662" t="s">
        <v>5550</v>
      </c>
      <c r="V662" t="s">
        <v>1797</v>
      </c>
      <c r="X662" t="s">
        <v>74</v>
      </c>
      <c r="Y662" t="b">
        <v>0</v>
      </c>
      <c r="Z662" t="b">
        <v>0</v>
      </c>
      <c r="AC662" s="1"/>
      <c r="AF662">
        <v>0</v>
      </c>
      <c r="AG662">
        <v>45</v>
      </c>
      <c r="AH662">
        <v>115</v>
      </c>
      <c r="AI662" s="2">
        <f>Table__192.168.3.138AgingReportBEWLGS[[#This Row],[NetAmount]]-Table__192.168.3.138AgingReportBEWLGS[[#This Row],[Paid]]</f>
        <v>10765</v>
      </c>
    </row>
    <row r="663" spans="1:35">
      <c r="A663" t="s">
        <v>7607</v>
      </c>
      <c r="B663" s="1">
        <v>41199</v>
      </c>
      <c r="C663" s="1">
        <v>41244</v>
      </c>
      <c r="D663" t="s">
        <v>6654</v>
      </c>
      <c r="E663">
        <v>5220</v>
      </c>
      <c r="F663">
        <v>835</v>
      </c>
      <c r="G663">
        <v>0</v>
      </c>
      <c r="H663">
        <v>0</v>
      </c>
      <c r="I663">
        <v>55</v>
      </c>
      <c r="J663">
        <v>6055</v>
      </c>
      <c r="K663" t="s">
        <v>3494</v>
      </c>
      <c r="L663" s="1">
        <v>41213</v>
      </c>
      <c r="N663" t="s">
        <v>5127</v>
      </c>
      <c r="O663" t="s">
        <v>2458</v>
      </c>
      <c r="P663" t="s">
        <v>6656</v>
      </c>
      <c r="Q663" t="s">
        <v>39</v>
      </c>
      <c r="R663" t="s">
        <v>40</v>
      </c>
      <c r="S663">
        <v>0</v>
      </c>
      <c r="U663" t="s">
        <v>5550</v>
      </c>
      <c r="V663" t="s">
        <v>1797</v>
      </c>
      <c r="X663" t="s">
        <v>74</v>
      </c>
      <c r="Y663" t="b">
        <v>0</v>
      </c>
      <c r="Z663" t="b">
        <v>0</v>
      </c>
      <c r="AC663" s="1"/>
      <c r="AF663">
        <v>0</v>
      </c>
      <c r="AG663">
        <v>45</v>
      </c>
      <c r="AH663">
        <v>100</v>
      </c>
      <c r="AI663" s="2">
        <f>Table__192.168.3.138AgingReportBEWLGS[[#This Row],[NetAmount]]-Table__192.168.3.138AgingReportBEWLGS[[#This Row],[Paid]]</f>
        <v>6055</v>
      </c>
    </row>
    <row r="664" spans="1:35">
      <c r="A664" t="s">
        <v>7608</v>
      </c>
      <c r="B664" s="1">
        <v>41199</v>
      </c>
      <c r="C664" s="1">
        <v>41244</v>
      </c>
      <c r="D664" t="s">
        <v>6654</v>
      </c>
      <c r="E664">
        <v>37125</v>
      </c>
      <c r="F664">
        <v>5940</v>
      </c>
      <c r="G664">
        <v>0</v>
      </c>
      <c r="H664">
        <v>0</v>
      </c>
      <c r="I664">
        <v>71</v>
      </c>
      <c r="J664">
        <v>43065</v>
      </c>
      <c r="K664" t="s">
        <v>830</v>
      </c>
      <c r="L664" s="1">
        <v>41197</v>
      </c>
      <c r="N664" t="s">
        <v>5127</v>
      </c>
      <c r="O664" t="s">
        <v>2458</v>
      </c>
      <c r="P664" t="s">
        <v>6656</v>
      </c>
      <c r="Q664" t="s">
        <v>39</v>
      </c>
      <c r="R664" t="s">
        <v>40</v>
      </c>
      <c r="S664">
        <v>0</v>
      </c>
      <c r="U664" t="s">
        <v>5550</v>
      </c>
      <c r="V664" t="s">
        <v>1797</v>
      </c>
      <c r="X664" t="s">
        <v>74</v>
      </c>
      <c r="Y664" t="b">
        <v>0</v>
      </c>
      <c r="Z664" t="b">
        <v>0</v>
      </c>
      <c r="AC664" s="1"/>
      <c r="AF664">
        <v>0</v>
      </c>
      <c r="AG664">
        <v>45</v>
      </c>
      <c r="AH664">
        <v>116</v>
      </c>
      <c r="AI664" s="2">
        <f>Table__192.168.3.138AgingReportBEWLGS[[#This Row],[NetAmount]]-Table__192.168.3.138AgingReportBEWLGS[[#This Row],[Paid]]</f>
        <v>43065</v>
      </c>
    </row>
    <row r="665" spans="1:35">
      <c r="A665" t="s">
        <v>7609</v>
      </c>
      <c r="B665" s="1">
        <v>41199</v>
      </c>
      <c r="C665" s="1">
        <v>41244</v>
      </c>
      <c r="D665" t="s">
        <v>6486</v>
      </c>
      <c r="E665">
        <v>29120</v>
      </c>
      <c r="F665">
        <v>4659</v>
      </c>
      <c r="G665">
        <v>0</v>
      </c>
      <c r="H665">
        <v>0</v>
      </c>
      <c r="I665">
        <v>68</v>
      </c>
      <c r="J665">
        <v>33779</v>
      </c>
      <c r="K665" t="s">
        <v>7610</v>
      </c>
      <c r="L665" s="1">
        <v>41200</v>
      </c>
      <c r="N665" t="s">
        <v>5127</v>
      </c>
      <c r="O665" t="s">
        <v>2458</v>
      </c>
      <c r="P665" t="s">
        <v>5464</v>
      </c>
      <c r="Q665" t="s">
        <v>39</v>
      </c>
      <c r="R665" t="s">
        <v>40</v>
      </c>
      <c r="S665">
        <v>0</v>
      </c>
      <c r="U665" t="s">
        <v>5550</v>
      </c>
      <c r="V665" t="s">
        <v>1797</v>
      </c>
      <c r="X665" t="s">
        <v>74</v>
      </c>
      <c r="Y665" t="b">
        <v>0</v>
      </c>
      <c r="Z665" t="b">
        <v>0</v>
      </c>
      <c r="AC665" s="1"/>
      <c r="AF665">
        <v>0</v>
      </c>
      <c r="AG665">
        <v>45</v>
      </c>
      <c r="AH665">
        <v>113</v>
      </c>
      <c r="AI665" s="2">
        <f>Table__192.168.3.138AgingReportBEWLGS[[#This Row],[NetAmount]]-Table__192.168.3.138AgingReportBEWLGS[[#This Row],[Paid]]</f>
        <v>33779</v>
      </c>
    </row>
    <row r="666" spans="1:35">
      <c r="A666" t="s">
        <v>7611</v>
      </c>
      <c r="B666" s="1">
        <v>41205</v>
      </c>
      <c r="C666" s="1">
        <v>41250</v>
      </c>
      <c r="D666" t="s">
        <v>7612</v>
      </c>
      <c r="E666">
        <v>38000</v>
      </c>
      <c r="F666">
        <v>6080</v>
      </c>
      <c r="G666">
        <v>0</v>
      </c>
      <c r="H666">
        <v>0</v>
      </c>
      <c r="I666">
        <v>63</v>
      </c>
      <c r="J666">
        <v>44080</v>
      </c>
      <c r="K666" t="s">
        <v>7613</v>
      </c>
      <c r="L666" s="1">
        <v>41205</v>
      </c>
      <c r="M666" t="s">
        <v>7614</v>
      </c>
      <c r="N666" t="s">
        <v>5127</v>
      </c>
      <c r="O666" t="s">
        <v>2458</v>
      </c>
      <c r="P666" t="s">
        <v>7615</v>
      </c>
      <c r="Q666" t="s">
        <v>39</v>
      </c>
      <c r="R666" t="s">
        <v>40</v>
      </c>
      <c r="S666">
        <v>0</v>
      </c>
      <c r="U666" t="s">
        <v>5550</v>
      </c>
      <c r="V666" t="s">
        <v>1797</v>
      </c>
      <c r="W666" t="s">
        <v>7616</v>
      </c>
      <c r="X666" t="s">
        <v>74</v>
      </c>
      <c r="Y666" t="b">
        <v>0</v>
      </c>
      <c r="Z666" t="b">
        <v>0</v>
      </c>
      <c r="AA666" t="b">
        <v>0</v>
      </c>
      <c r="AC666" s="1"/>
      <c r="AF666">
        <v>0</v>
      </c>
      <c r="AG666">
        <v>45</v>
      </c>
      <c r="AH666">
        <v>108</v>
      </c>
      <c r="AI666" s="2">
        <f>Table__192.168.3.138AgingReportBEWLGS[[#This Row],[NetAmount]]-Table__192.168.3.138AgingReportBEWLGS[[#This Row],[Paid]]</f>
        <v>44080</v>
      </c>
    </row>
    <row r="667" spans="1:35">
      <c r="A667" t="s">
        <v>7617</v>
      </c>
      <c r="B667" s="1">
        <v>41199</v>
      </c>
      <c r="C667" s="1">
        <v>41244</v>
      </c>
      <c r="D667" t="s">
        <v>6486</v>
      </c>
      <c r="E667">
        <v>26800</v>
      </c>
      <c r="F667">
        <v>4288</v>
      </c>
      <c r="G667">
        <v>0</v>
      </c>
      <c r="H667">
        <v>0</v>
      </c>
      <c r="I667">
        <v>68</v>
      </c>
      <c r="J667">
        <v>31088</v>
      </c>
      <c r="K667" t="s">
        <v>7618</v>
      </c>
      <c r="L667" s="1">
        <v>41200</v>
      </c>
      <c r="N667" t="s">
        <v>5127</v>
      </c>
      <c r="O667" t="s">
        <v>2458</v>
      </c>
      <c r="P667" t="s">
        <v>5464</v>
      </c>
      <c r="Q667" t="s">
        <v>39</v>
      </c>
      <c r="R667" t="s">
        <v>40</v>
      </c>
      <c r="S667">
        <v>0</v>
      </c>
      <c r="U667" t="s">
        <v>5550</v>
      </c>
      <c r="V667" t="s">
        <v>1797</v>
      </c>
      <c r="X667" t="s">
        <v>74</v>
      </c>
      <c r="Y667" t="b">
        <v>0</v>
      </c>
      <c r="Z667" t="b">
        <v>0</v>
      </c>
      <c r="AC667" s="1"/>
      <c r="AF667">
        <v>0</v>
      </c>
      <c r="AG667">
        <v>45</v>
      </c>
      <c r="AH667">
        <v>113</v>
      </c>
      <c r="AI667" s="2">
        <f>Table__192.168.3.138AgingReportBEWLGS[[#This Row],[NetAmount]]-Table__192.168.3.138AgingReportBEWLGS[[#This Row],[Paid]]</f>
        <v>31088</v>
      </c>
    </row>
    <row r="668" spans="1:35">
      <c r="A668" t="s">
        <v>7619</v>
      </c>
      <c r="B668" s="1">
        <v>41188</v>
      </c>
      <c r="C668" s="1">
        <v>41233</v>
      </c>
      <c r="D668" t="s">
        <v>6486</v>
      </c>
      <c r="E668">
        <v>18000</v>
      </c>
      <c r="F668">
        <v>2880</v>
      </c>
      <c r="G668">
        <v>0</v>
      </c>
      <c r="H668">
        <v>0</v>
      </c>
      <c r="I668">
        <v>76</v>
      </c>
      <c r="J668">
        <v>20880</v>
      </c>
      <c r="K668" t="s">
        <v>7620</v>
      </c>
      <c r="L668" s="1">
        <v>41192</v>
      </c>
      <c r="N668" t="s">
        <v>5127</v>
      </c>
      <c r="O668" t="s">
        <v>2458</v>
      </c>
      <c r="P668" t="s">
        <v>5464</v>
      </c>
      <c r="Q668" t="s">
        <v>39</v>
      </c>
      <c r="R668" t="s">
        <v>40</v>
      </c>
      <c r="S668">
        <v>0</v>
      </c>
      <c r="U668" t="s">
        <v>5550</v>
      </c>
      <c r="V668" t="s">
        <v>1797</v>
      </c>
      <c r="X668" t="s">
        <v>74</v>
      </c>
      <c r="Y668" t="b">
        <v>0</v>
      </c>
      <c r="Z668" t="b">
        <v>0</v>
      </c>
      <c r="AC668" s="1"/>
      <c r="AF668">
        <v>0</v>
      </c>
      <c r="AG668">
        <v>45</v>
      </c>
      <c r="AH668">
        <v>121</v>
      </c>
      <c r="AI668" s="2">
        <f>Table__192.168.3.138AgingReportBEWLGS[[#This Row],[NetAmount]]-Table__192.168.3.138AgingReportBEWLGS[[#This Row],[Paid]]</f>
        <v>20880</v>
      </c>
    </row>
    <row r="669" spans="1:35">
      <c r="A669" t="s">
        <v>7621</v>
      </c>
      <c r="B669" s="1">
        <v>41195</v>
      </c>
      <c r="C669" s="1">
        <v>41195</v>
      </c>
      <c r="D669" t="s">
        <v>7622</v>
      </c>
      <c r="E669">
        <v>387310</v>
      </c>
      <c r="F669">
        <v>61970</v>
      </c>
      <c r="G669">
        <v>0</v>
      </c>
      <c r="H669">
        <v>0</v>
      </c>
      <c r="I669">
        <v>0</v>
      </c>
      <c r="J669">
        <v>449280</v>
      </c>
      <c r="K669" t="s">
        <v>7623</v>
      </c>
      <c r="L669" s="1">
        <v>41195</v>
      </c>
      <c r="N669" t="s">
        <v>5127</v>
      </c>
      <c r="O669" t="s">
        <v>2458</v>
      </c>
      <c r="P669" t="s">
        <v>7624</v>
      </c>
      <c r="Q669" t="s">
        <v>39</v>
      </c>
      <c r="R669" t="s">
        <v>40</v>
      </c>
      <c r="S669">
        <v>0</v>
      </c>
      <c r="U669" t="s">
        <v>5550</v>
      </c>
      <c r="V669" t="s">
        <v>1797</v>
      </c>
      <c r="X669" t="s">
        <v>74</v>
      </c>
      <c r="Y669" t="b">
        <v>0</v>
      </c>
      <c r="Z669" t="b">
        <v>0</v>
      </c>
      <c r="AC669" s="1"/>
      <c r="AF669">
        <v>0</v>
      </c>
      <c r="AH669">
        <v>118</v>
      </c>
      <c r="AI669" s="2">
        <f>Table__192.168.3.138AgingReportBEWLGS[[#This Row],[NetAmount]]-Table__192.168.3.138AgingReportBEWLGS[[#This Row],[Paid]]</f>
        <v>449280</v>
      </c>
    </row>
    <row r="670" spans="1:35">
      <c r="A670" t="s">
        <v>7625</v>
      </c>
      <c r="B670" s="1">
        <v>41202</v>
      </c>
      <c r="C670" s="1">
        <v>41247</v>
      </c>
      <c r="D670" t="s">
        <v>6474</v>
      </c>
      <c r="E670">
        <v>57800</v>
      </c>
      <c r="F670">
        <v>9248</v>
      </c>
      <c r="G670">
        <v>0</v>
      </c>
      <c r="H670">
        <v>0</v>
      </c>
      <c r="I670">
        <v>64</v>
      </c>
      <c r="J670">
        <v>67048</v>
      </c>
      <c r="K670" t="s">
        <v>7626</v>
      </c>
      <c r="L670" s="1">
        <v>41204</v>
      </c>
      <c r="N670" t="s">
        <v>5127</v>
      </c>
      <c r="O670" t="s">
        <v>2458</v>
      </c>
      <c r="P670" t="s">
        <v>6475</v>
      </c>
      <c r="Q670" t="s">
        <v>39</v>
      </c>
      <c r="R670" t="s">
        <v>40</v>
      </c>
      <c r="S670">
        <v>0</v>
      </c>
      <c r="U670" t="s">
        <v>5550</v>
      </c>
      <c r="V670" t="s">
        <v>1797</v>
      </c>
      <c r="X670" t="s">
        <v>74</v>
      </c>
      <c r="Y670" t="b">
        <v>0</v>
      </c>
      <c r="Z670" t="b">
        <v>0</v>
      </c>
      <c r="AB670" t="s">
        <v>7533</v>
      </c>
      <c r="AC670" s="1">
        <v>41304</v>
      </c>
      <c r="AF670">
        <v>0</v>
      </c>
      <c r="AG670">
        <v>45</v>
      </c>
      <c r="AH670">
        <v>109</v>
      </c>
      <c r="AI670" s="2">
        <f>Table__192.168.3.138AgingReportBEWLGS[[#This Row],[NetAmount]]-Table__192.168.3.138AgingReportBEWLGS[[#This Row],[Paid]]</f>
        <v>67048</v>
      </c>
    </row>
    <row r="671" spans="1:35">
      <c r="A671" t="s">
        <v>7627</v>
      </c>
      <c r="B671" s="1">
        <v>41204</v>
      </c>
      <c r="C671" s="1">
        <v>41249</v>
      </c>
      <c r="D671" t="s">
        <v>6448</v>
      </c>
      <c r="E671">
        <v>28560</v>
      </c>
      <c r="F671">
        <v>4570</v>
      </c>
      <c r="G671">
        <v>0</v>
      </c>
      <c r="H671">
        <v>0</v>
      </c>
      <c r="I671">
        <v>64</v>
      </c>
      <c r="J671">
        <v>33130</v>
      </c>
      <c r="K671" t="s">
        <v>73</v>
      </c>
      <c r="L671" s="1">
        <v>41204</v>
      </c>
      <c r="N671" t="s">
        <v>5127</v>
      </c>
      <c r="O671" t="s">
        <v>2458</v>
      </c>
      <c r="P671" t="s">
        <v>6451</v>
      </c>
      <c r="Q671" t="s">
        <v>39</v>
      </c>
      <c r="R671" t="s">
        <v>40</v>
      </c>
      <c r="S671">
        <v>0</v>
      </c>
      <c r="U671" t="s">
        <v>5550</v>
      </c>
      <c r="V671" t="s">
        <v>1797</v>
      </c>
      <c r="X671" t="s">
        <v>74</v>
      </c>
      <c r="Y671" t="b">
        <v>0</v>
      </c>
      <c r="Z671" t="b">
        <v>0</v>
      </c>
      <c r="AC671" s="1"/>
      <c r="AF671">
        <v>0</v>
      </c>
      <c r="AG671">
        <v>45</v>
      </c>
      <c r="AH671">
        <v>109</v>
      </c>
      <c r="AI671" s="2">
        <f>Table__192.168.3.138AgingReportBEWLGS[[#This Row],[NetAmount]]-Table__192.168.3.138AgingReportBEWLGS[[#This Row],[Paid]]</f>
        <v>33130</v>
      </c>
    </row>
    <row r="672" spans="1:35">
      <c r="A672" t="s">
        <v>7628</v>
      </c>
      <c r="B672" s="1">
        <v>41207</v>
      </c>
      <c r="C672" s="1">
        <v>41252</v>
      </c>
      <c r="D672" t="s">
        <v>7212</v>
      </c>
      <c r="E672">
        <v>47064</v>
      </c>
      <c r="F672">
        <v>7530</v>
      </c>
      <c r="G672">
        <v>0</v>
      </c>
      <c r="H672">
        <v>0</v>
      </c>
      <c r="I672">
        <v>62</v>
      </c>
      <c r="J672">
        <v>54594</v>
      </c>
      <c r="K672" t="s">
        <v>7629</v>
      </c>
      <c r="L672" s="1">
        <v>41206</v>
      </c>
      <c r="N672" t="s">
        <v>5127</v>
      </c>
      <c r="O672" t="s">
        <v>2458</v>
      </c>
      <c r="P672" t="s">
        <v>7214</v>
      </c>
      <c r="Q672" t="s">
        <v>39</v>
      </c>
      <c r="R672" t="s">
        <v>40</v>
      </c>
      <c r="S672">
        <v>0</v>
      </c>
      <c r="U672" t="s">
        <v>5550</v>
      </c>
      <c r="V672" t="s">
        <v>1797</v>
      </c>
      <c r="X672" t="s">
        <v>74</v>
      </c>
      <c r="Y672" t="b">
        <v>0</v>
      </c>
      <c r="Z672" t="b">
        <v>0</v>
      </c>
      <c r="AC672" s="1"/>
      <c r="AF672">
        <v>0</v>
      </c>
      <c r="AG672">
        <v>45</v>
      </c>
      <c r="AH672">
        <v>107</v>
      </c>
      <c r="AI672" s="2">
        <f>Table__192.168.3.138AgingReportBEWLGS[[#This Row],[NetAmount]]-Table__192.168.3.138AgingReportBEWLGS[[#This Row],[Paid]]</f>
        <v>54594</v>
      </c>
    </row>
    <row r="673" spans="1:35">
      <c r="A673" t="s">
        <v>7630</v>
      </c>
      <c r="B673" s="1">
        <v>41190</v>
      </c>
      <c r="C673" s="1">
        <v>41235</v>
      </c>
      <c r="D673" t="s">
        <v>6664</v>
      </c>
      <c r="E673">
        <v>80327</v>
      </c>
      <c r="F673">
        <v>12852</v>
      </c>
      <c r="G673">
        <v>0</v>
      </c>
      <c r="H673">
        <v>0</v>
      </c>
      <c r="I673">
        <v>78</v>
      </c>
      <c r="J673">
        <v>93179</v>
      </c>
      <c r="K673" t="s">
        <v>7631</v>
      </c>
      <c r="L673" s="1">
        <v>41190</v>
      </c>
      <c r="N673" t="s">
        <v>5127</v>
      </c>
      <c r="O673" t="s">
        <v>2458</v>
      </c>
      <c r="P673" t="s">
        <v>5528</v>
      </c>
      <c r="Q673" t="s">
        <v>39</v>
      </c>
      <c r="R673" t="s">
        <v>40</v>
      </c>
      <c r="S673">
        <v>0</v>
      </c>
      <c r="U673" t="s">
        <v>5550</v>
      </c>
      <c r="V673" t="s">
        <v>1797</v>
      </c>
      <c r="X673" t="s">
        <v>74</v>
      </c>
      <c r="Y673" t="b">
        <v>0</v>
      </c>
      <c r="Z673" t="b">
        <v>0</v>
      </c>
      <c r="AC673" s="1"/>
      <c r="AF673">
        <v>0</v>
      </c>
      <c r="AG673">
        <v>45</v>
      </c>
      <c r="AH673">
        <v>123</v>
      </c>
      <c r="AI673" s="2">
        <f>Table__192.168.3.138AgingReportBEWLGS[[#This Row],[NetAmount]]-Table__192.168.3.138AgingReportBEWLGS[[#This Row],[Paid]]</f>
        <v>93179</v>
      </c>
    </row>
    <row r="674" spans="1:35">
      <c r="A674" t="s">
        <v>7632</v>
      </c>
      <c r="B674" s="1">
        <v>41199</v>
      </c>
      <c r="C674" s="1">
        <v>41244</v>
      </c>
      <c r="D674" t="s">
        <v>7633</v>
      </c>
      <c r="E674">
        <v>3150</v>
      </c>
      <c r="F674">
        <v>504</v>
      </c>
      <c r="G674">
        <v>0</v>
      </c>
      <c r="H674">
        <v>0</v>
      </c>
      <c r="I674">
        <v>66</v>
      </c>
      <c r="J674">
        <v>3654</v>
      </c>
      <c r="K674" t="s">
        <v>4998</v>
      </c>
      <c r="L674" s="1">
        <v>41202</v>
      </c>
      <c r="N674" t="s">
        <v>5127</v>
      </c>
      <c r="O674" t="s">
        <v>2458</v>
      </c>
      <c r="P674" t="s">
        <v>5544</v>
      </c>
      <c r="Q674" t="s">
        <v>39</v>
      </c>
      <c r="R674" t="s">
        <v>40</v>
      </c>
      <c r="S674">
        <v>0</v>
      </c>
      <c r="U674" t="s">
        <v>5550</v>
      </c>
      <c r="V674" t="s">
        <v>1797</v>
      </c>
      <c r="X674" t="s">
        <v>74</v>
      </c>
      <c r="Y674" t="b">
        <v>0</v>
      </c>
      <c r="Z674" t="b">
        <v>0</v>
      </c>
      <c r="AC674" s="1"/>
      <c r="AF674">
        <v>0</v>
      </c>
      <c r="AG674">
        <v>45</v>
      </c>
      <c r="AH674">
        <v>111</v>
      </c>
      <c r="AI674" s="2">
        <f>Table__192.168.3.138AgingReportBEWLGS[[#This Row],[NetAmount]]-Table__192.168.3.138AgingReportBEWLGS[[#This Row],[Paid]]</f>
        <v>3654</v>
      </c>
    </row>
    <row r="675" spans="1:35">
      <c r="A675" t="s">
        <v>7634</v>
      </c>
      <c r="B675" s="1">
        <v>41207</v>
      </c>
      <c r="C675" s="1">
        <v>41252</v>
      </c>
      <c r="D675" t="s">
        <v>7633</v>
      </c>
      <c r="E675">
        <v>12420</v>
      </c>
      <c r="F675">
        <v>1987</v>
      </c>
      <c r="G675">
        <v>0</v>
      </c>
      <c r="H675">
        <v>0</v>
      </c>
      <c r="I675">
        <v>66</v>
      </c>
      <c r="J675">
        <v>14407</v>
      </c>
      <c r="K675" t="s">
        <v>7635</v>
      </c>
      <c r="L675" s="1">
        <v>41202</v>
      </c>
      <c r="N675" t="s">
        <v>5127</v>
      </c>
      <c r="O675" t="s">
        <v>2458</v>
      </c>
      <c r="P675" t="s">
        <v>5544</v>
      </c>
      <c r="Q675" t="s">
        <v>39</v>
      </c>
      <c r="R675" t="s">
        <v>40</v>
      </c>
      <c r="S675">
        <v>0</v>
      </c>
      <c r="U675" t="s">
        <v>5550</v>
      </c>
      <c r="V675" t="s">
        <v>1797</v>
      </c>
      <c r="X675" t="s">
        <v>74</v>
      </c>
      <c r="Y675" t="b">
        <v>0</v>
      </c>
      <c r="Z675" t="b">
        <v>0</v>
      </c>
      <c r="AC675" s="1"/>
      <c r="AF675">
        <v>0</v>
      </c>
      <c r="AG675">
        <v>45</v>
      </c>
      <c r="AH675">
        <v>111</v>
      </c>
      <c r="AI675" s="2">
        <f>Table__192.168.3.138AgingReportBEWLGS[[#This Row],[NetAmount]]-Table__192.168.3.138AgingReportBEWLGS[[#This Row],[Paid]]</f>
        <v>14407</v>
      </c>
    </row>
    <row r="676" spans="1:35">
      <c r="A676" t="s">
        <v>7636</v>
      </c>
      <c r="B676" s="1">
        <v>41207</v>
      </c>
      <c r="C676" s="1">
        <v>41252</v>
      </c>
      <c r="D676" t="s">
        <v>7633</v>
      </c>
      <c r="E676">
        <v>11600</v>
      </c>
      <c r="F676">
        <v>1856</v>
      </c>
      <c r="G676">
        <v>0</v>
      </c>
      <c r="H676">
        <v>0</v>
      </c>
      <c r="I676">
        <v>66</v>
      </c>
      <c r="J676">
        <v>13456</v>
      </c>
      <c r="K676" t="s">
        <v>2730</v>
      </c>
      <c r="L676" s="1">
        <v>41202</v>
      </c>
      <c r="N676" t="s">
        <v>5127</v>
      </c>
      <c r="O676" t="s">
        <v>2458</v>
      </c>
      <c r="P676" t="s">
        <v>5544</v>
      </c>
      <c r="Q676" t="s">
        <v>39</v>
      </c>
      <c r="R676" t="s">
        <v>40</v>
      </c>
      <c r="S676">
        <v>0</v>
      </c>
      <c r="U676" t="s">
        <v>5550</v>
      </c>
      <c r="V676" t="s">
        <v>1797</v>
      </c>
      <c r="X676" t="s">
        <v>74</v>
      </c>
      <c r="Y676" t="b">
        <v>0</v>
      </c>
      <c r="Z676" t="b">
        <v>0</v>
      </c>
      <c r="AC676" s="1"/>
      <c r="AF676">
        <v>0</v>
      </c>
      <c r="AG676">
        <v>45</v>
      </c>
      <c r="AH676">
        <v>111</v>
      </c>
      <c r="AI676" s="2">
        <f>Table__192.168.3.138AgingReportBEWLGS[[#This Row],[NetAmount]]-Table__192.168.3.138AgingReportBEWLGS[[#This Row],[Paid]]</f>
        <v>13456</v>
      </c>
    </row>
    <row r="677" spans="1:35">
      <c r="A677" t="s">
        <v>7637</v>
      </c>
      <c r="B677" s="1">
        <v>41159</v>
      </c>
      <c r="C677" s="1">
        <v>41204</v>
      </c>
      <c r="D677" t="s">
        <v>7253</v>
      </c>
      <c r="E677">
        <v>117800</v>
      </c>
      <c r="F677">
        <v>0</v>
      </c>
      <c r="G677">
        <v>0</v>
      </c>
      <c r="H677">
        <v>0</v>
      </c>
      <c r="I677">
        <v>110</v>
      </c>
      <c r="J677">
        <v>117800</v>
      </c>
      <c r="K677" t="s">
        <v>7638</v>
      </c>
      <c r="L677" s="1">
        <v>41158</v>
      </c>
      <c r="N677" t="s">
        <v>5127</v>
      </c>
      <c r="O677" t="s">
        <v>2458</v>
      </c>
      <c r="P677" t="s">
        <v>7254</v>
      </c>
      <c r="Q677" t="s">
        <v>39</v>
      </c>
      <c r="R677" t="s">
        <v>40</v>
      </c>
      <c r="S677">
        <v>0</v>
      </c>
      <c r="U677" t="s">
        <v>5550</v>
      </c>
      <c r="V677" t="s">
        <v>1797</v>
      </c>
      <c r="X677" t="s">
        <v>74</v>
      </c>
      <c r="Y677" t="b">
        <v>0</v>
      </c>
      <c r="Z677" t="b">
        <v>0</v>
      </c>
      <c r="AC677" s="1"/>
      <c r="AF677">
        <v>0</v>
      </c>
      <c r="AG677">
        <v>45</v>
      </c>
      <c r="AH677">
        <v>155</v>
      </c>
      <c r="AI677" s="2">
        <f>Table__192.168.3.138AgingReportBEWLGS[[#This Row],[NetAmount]]-Table__192.168.3.138AgingReportBEWLGS[[#This Row],[Paid]]</f>
        <v>117800</v>
      </c>
    </row>
    <row r="678" spans="1:35">
      <c r="A678" t="s">
        <v>7639</v>
      </c>
      <c r="B678" s="1">
        <v>41207</v>
      </c>
      <c r="C678" s="1">
        <v>41252</v>
      </c>
      <c r="D678" t="s">
        <v>6654</v>
      </c>
      <c r="E678">
        <v>33000</v>
      </c>
      <c r="F678">
        <v>5280</v>
      </c>
      <c r="G678">
        <v>0</v>
      </c>
      <c r="H678">
        <v>0</v>
      </c>
      <c r="I678">
        <v>70</v>
      </c>
      <c r="J678">
        <v>38280</v>
      </c>
      <c r="K678" t="s">
        <v>3713</v>
      </c>
      <c r="L678" s="1">
        <v>41198</v>
      </c>
      <c r="N678" t="s">
        <v>5127</v>
      </c>
      <c r="O678" t="s">
        <v>2458</v>
      </c>
      <c r="P678" t="s">
        <v>6656</v>
      </c>
      <c r="Q678" t="s">
        <v>39</v>
      </c>
      <c r="R678" t="s">
        <v>40</v>
      </c>
      <c r="S678">
        <v>0</v>
      </c>
      <c r="U678" t="s">
        <v>5550</v>
      </c>
      <c r="V678" t="s">
        <v>1797</v>
      </c>
      <c r="X678" t="s">
        <v>74</v>
      </c>
      <c r="Y678" t="b">
        <v>0</v>
      </c>
      <c r="Z678" t="b">
        <v>0</v>
      </c>
      <c r="AC678" s="1"/>
      <c r="AF678">
        <v>0</v>
      </c>
      <c r="AG678">
        <v>45</v>
      </c>
      <c r="AH678">
        <v>115</v>
      </c>
      <c r="AI678" s="2">
        <f>Table__192.168.3.138AgingReportBEWLGS[[#This Row],[NetAmount]]-Table__192.168.3.138AgingReportBEWLGS[[#This Row],[Paid]]</f>
        <v>38280</v>
      </c>
    </row>
    <row r="679" spans="1:35">
      <c r="A679" t="s">
        <v>7640</v>
      </c>
      <c r="B679" s="1">
        <v>41207</v>
      </c>
      <c r="C679" s="1">
        <v>41252</v>
      </c>
      <c r="D679" t="s">
        <v>5521</v>
      </c>
      <c r="E679">
        <v>7500</v>
      </c>
      <c r="F679">
        <v>1200</v>
      </c>
      <c r="G679">
        <v>0</v>
      </c>
      <c r="H679">
        <v>0</v>
      </c>
      <c r="I679">
        <v>63</v>
      </c>
      <c r="J679">
        <v>8700</v>
      </c>
      <c r="K679" t="s">
        <v>7641</v>
      </c>
      <c r="L679" s="1">
        <v>41205</v>
      </c>
      <c r="N679" t="s">
        <v>5127</v>
      </c>
      <c r="O679" t="s">
        <v>2458</v>
      </c>
      <c r="P679" t="s">
        <v>5532</v>
      </c>
      <c r="Q679" t="s">
        <v>39</v>
      </c>
      <c r="R679" t="s">
        <v>40</v>
      </c>
      <c r="S679">
        <v>0</v>
      </c>
      <c r="U679" t="s">
        <v>5550</v>
      </c>
      <c r="V679" t="s">
        <v>1797</v>
      </c>
      <c r="X679" t="s">
        <v>74</v>
      </c>
      <c r="Y679" t="b">
        <v>0</v>
      </c>
      <c r="Z679" t="b">
        <v>0</v>
      </c>
      <c r="AC679" s="1"/>
      <c r="AF679">
        <v>0</v>
      </c>
      <c r="AG679">
        <v>45</v>
      </c>
      <c r="AH679">
        <v>108</v>
      </c>
      <c r="AI679" s="2">
        <f>Table__192.168.3.138AgingReportBEWLGS[[#This Row],[NetAmount]]-Table__192.168.3.138AgingReportBEWLGS[[#This Row],[Paid]]</f>
        <v>8700</v>
      </c>
    </row>
    <row r="680" spans="1:35">
      <c r="A680" t="s">
        <v>7642</v>
      </c>
      <c r="B680" s="1">
        <v>41207</v>
      </c>
      <c r="C680" s="1">
        <v>41252</v>
      </c>
      <c r="D680" t="s">
        <v>5521</v>
      </c>
      <c r="E680">
        <v>12960</v>
      </c>
      <c r="F680">
        <v>2074</v>
      </c>
      <c r="G680">
        <v>0</v>
      </c>
      <c r="H680">
        <v>0</v>
      </c>
      <c r="I680">
        <v>63</v>
      </c>
      <c r="J680">
        <v>15034</v>
      </c>
      <c r="K680" t="s">
        <v>7643</v>
      </c>
      <c r="L680" s="1">
        <v>41205</v>
      </c>
      <c r="N680" t="s">
        <v>5127</v>
      </c>
      <c r="O680" t="s">
        <v>2458</v>
      </c>
      <c r="P680" t="s">
        <v>5532</v>
      </c>
      <c r="Q680" t="s">
        <v>39</v>
      </c>
      <c r="R680" t="s">
        <v>40</v>
      </c>
      <c r="S680">
        <v>0</v>
      </c>
      <c r="U680" t="s">
        <v>5550</v>
      </c>
      <c r="V680" t="s">
        <v>1797</v>
      </c>
      <c r="X680" t="s">
        <v>74</v>
      </c>
      <c r="Y680" t="b">
        <v>0</v>
      </c>
      <c r="Z680" t="b">
        <v>0</v>
      </c>
      <c r="AC680" s="1"/>
      <c r="AF680">
        <v>0</v>
      </c>
      <c r="AG680">
        <v>45</v>
      </c>
      <c r="AH680">
        <v>108</v>
      </c>
      <c r="AI680" s="2">
        <f>Table__192.168.3.138AgingReportBEWLGS[[#This Row],[NetAmount]]-Table__192.168.3.138AgingReportBEWLGS[[#This Row],[Paid]]</f>
        <v>15034</v>
      </c>
    </row>
    <row r="681" spans="1:35">
      <c r="A681" t="s">
        <v>7644</v>
      </c>
      <c r="B681" s="1">
        <v>41207</v>
      </c>
      <c r="C681" s="1">
        <v>41252</v>
      </c>
      <c r="D681" t="s">
        <v>7308</v>
      </c>
      <c r="E681">
        <v>30000</v>
      </c>
      <c r="F681">
        <v>4800</v>
      </c>
      <c r="G681">
        <v>0</v>
      </c>
      <c r="H681">
        <v>0</v>
      </c>
      <c r="I681">
        <v>62</v>
      </c>
      <c r="J681">
        <v>34800</v>
      </c>
      <c r="K681" t="s">
        <v>6659</v>
      </c>
      <c r="L681" s="1">
        <v>41206</v>
      </c>
      <c r="N681" t="s">
        <v>5127</v>
      </c>
      <c r="O681" t="s">
        <v>2458</v>
      </c>
      <c r="P681" t="s">
        <v>5490</v>
      </c>
      <c r="Q681" t="s">
        <v>39</v>
      </c>
      <c r="R681" t="s">
        <v>40</v>
      </c>
      <c r="S681">
        <v>0</v>
      </c>
      <c r="U681" t="s">
        <v>5550</v>
      </c>
      <c r="V681" t="s">
        <v>1797</v>
      </c>
      <c r="X681" t="s">
        <v>74</v>
      </c>
      <c r="Y681" t="b">
        <v>0</v>
      </c>
      <c r="Z681" t="b">
        <v>0</v>
      </c>
      <c r="AC681" s="1"/>
      <c r="AF681">
        <v>0</v>
      </c>
      <c r="AG681">
        <v>45</v>
      </c>
      <c r="AH681">
        <v>107</v>
      </c>
      <c r="AI681" s="2">
        <f>Table__192.168.3.138AgingReportBEWLGS[[#This Row],[NetAmount]]-Table__192.168.3.138AgingReportBEWLGS[[#This Row],[Paid]]</f>
        <v>34800</v>
      </c>
    </row>
    <row r="682" spans="1:35">
      <c r="A682" t="s">
        <v>7645</v>
      </c>
      <c r="B682" s="1">
        <v>41207</v>
      </c>
      <c r="C682" s="1">
        <v>41252</v>
      </c>
      <c r="D682" t="s">
        <v>7308</v>
      </c>
      <c r="E682">
        <v>17500</v>
      </c>
      <c r="F682">
        <v>2800</v>
      </c>
      <c r="G682">
        <v>0</v>
      </c>
      <c r="H682">
        <v>0</v>
      </c>
      <c r="I682">
        <v>62</v>
      </c>
      <c r="J682">
        <v>20300</v>
      </c>
      <c r="K682" t="s">
        <v>2073</v>
      </c>
      <c r="L682" s="1">
        <v>41206</v>
      </c>
      <c r="N682" t="s">
        <v>5127</v>
      </c>
      <c r="O682" t="s">
        <v>2458</v>
      </c>
      <c r="P682" t="s">
        <v>5490</v>
      </c>
      <c r="Q682" t="s">
        <v>39</v>
      </c>
      <c r="R682" t="s">
        <v>40</v>
      </c>
      <c r="S682">
        <v>0</v>
      </c>
      <c r="U682" t="s">
        <v>5550</v>
      </c>
      <c r="V682" t="s">
        <v>1797</v>
      </c>
      <c r="X682" t="s">
        <v>74</v>
      </c>
      <c r="Y682" t="b">
        <v>0</v>
      </c>
      <c r="Z682" t="b">
        <v>0</v>
      </c>
      <c r="AC682" s="1"/>
      <c r="AF682">
        <v>0</v>
      </c>
      <c r="AG682">
        <v>45</v>
      </c>
      <c r="AH682">
        <v>107</v>
      </c>
      <c r="AI682" s="2">
        <f>Table__192.168.3.138AgingReportBEWLGS[[#This Row],[NetAmount]]-Table__192.168.3.138AgingReportBEWLGS[[#This Row],[Paid]]</f>
        <v>20300</v>
      </c>
    </row>
    <row r="683" spans="1:35">
      <c r="A683" t="s">
        <v>7646</v>
      </c>
      <c r="B683" s="1">
        <v>41192</v>
      </c>
      <c r="C683" s="1">
        <v>41237</v>
      </c>
      <c r="D683" t="s">
        <v>7647</v>
      </c>
      <c r="E683">
        <v>60964</v>
      </c>
      <c r="F683">
        <v>9754</v>
      </c>
      <c r="G683">
        <v>0</v>
      </c>
      <c r="H683">
        <v>0</v>
      </c>
      <c r="I683">
        <v>73</v>
      </c>
      <c r="J683">
        <v>70718</v>
      </c>
      <c r="K683" t="s">
        <v>7648</v>
      </c>
      <c r="L683" s="1">
        <v>41195</v>
      </c>
      <c r="N683" t="s">
        <v>5127</v>
      </c>
      <c r="O683" t="s">
        <v>2458</v>
      </c>
      <c r="P683" t="s">
        <v>7649</v>
      </c>
      <c r="Q683" t="s">
        <v>39</v>
      </c>
      <c r="R683" t="s">
        <v>40</v>
      </c>
      <c r="S683">
        <v>0</v>
      </c>
      <c r="U683" t="s">
        <v>5550</v>
      </c>
      <c r="V683" t="s">
        <v>1797</v>
      </c>
      <c r="X683" t="s">
        <v>74</v>
      </c>
      <c r="Y683" t="b">
        <v>0</v>
      </c>
      <c r="Z683" t="b">
        <v>0</v>
      </c>
      <c r="AC683" s="1"/>
      <c r="AF683">
        <v>0</v>
      </c>
      <c r="AG683">
        <v>45</v>
      </c>
      <c r="AH683">
        <v>118</v>
      </c>
      <c r="AI683" s="2">
        <f>Table__192.168.3.138AgingReportBEWLGS[[#This Row],[NetAmount]]-Table__192.168.3.138AgingReportBEWLGS[[#This Row],[Paid]]</f>
        <v>70718</v>
      </c>
    </row>
    <row r="684" spans="1:35">
      <c r="A684" t="s">
        <v>7650</v>
      </c>
      <c r="B684" s="1">
        <v>41199</v>
      </c>
      <c r="C684" s="1">
        <v>41244</v>
      </c>
      <c r="D684" t="s">
        <v>7647</v>
      </c>
      <c r="E684">
        <v>81568</v>
      </c>
      <c r="F684">
        <v>13051</v>
      </c>
      <c r="G684">
        <v>0</v>
      </c>
      <c r="H684">
        <v>0</v>
      </c>
      <c r="I684">
        <v>68</v>
      </c>
      <c r="J684">
        <v>94619</v>
      </c>
      <c r="K684" t="s">
        <v>7651</v>
      </c>
      <c r="L684" s="1">
        <v>41200</v>
      </c>
      <c r="N684" t="s">
        <v>5127</v>
      </c>
      <c r="O684" t="s">
        <v>2458</v>
      </c>
      <c r="P684" t="s">
        <v>7649</v>
      </c>
      <c r="Q684" t="s">
        <v>39</v>
      </c>
      <c r="R684" t="s">
        <v>40</v>
      </c>
      <c r="S684">
        <v>0</v>
      </c>
      <c r="U684" t="s">
        <v>5550</v>
      </c>
      <c r="V684" t="s">
        <v>1797</v>
      </c>
      <c r="X684" t="s">
        <v>74</v>
      </c>
      <c r="Y684" t="b">
        <v>0</v>
      </c>
      <c r="Z684" t="b">
        <v>0</v>
      </c>
      <c r="AC684" s="1"/>
      <c r="AF684">
        <v>0</v>
      </c>
      <c r="AG684">
        <v>45</v>
      </c>
      <c r="AH684">
        <v>113</v>
      </c>
      <c r="AI684" s="2">
        <f>Table__192.168.3.138AgingReportBEWLGS[[#This Row],[NetAmount]]-Table__192.168.3.138AgingReportBEWLGS[[#This Row],[Paid]]</f>
        <v>94619</v>
      </c>
    </row>
    <row r="685" spans="1:35">
      <c r="A685" t="s">
        <v>7652</v>
      </c>
      <c r="B685" s="1">
        <v>41188</v>
      </c>
      <c r="C685" s="1">
        <v>41233</v>
      </c>
      <c r="D685" t="s">
        <v>7647</v>
      </c>
      <c r="E685">
        <v>73472</v>
      </c>
      <c r="F685">
        <v>11756</v>
      </c>
      <c r="G685">
        <v>0</v>
      </c>
      <c r="H685">
        <v>0</v>
      </c>
      <c r="I685">
        <v>82</v>
      </c>
      <c r="J685">
        <v>85228</v>
      </c>
      <c r="K685" t="s">
        <v>7653</v>
      </c>
      <c r="L685" s="1">
        <v>41186</v>
      </c>
      <c r="M685" t="s">
        <v>7654</v>
      </c>
      <c r="N685" t="s">
        <v>5127</v>
      </c>
      <c r="O685" t="s">
        <v>2458</v>
      </c>
      <c r="P685" t="s">
        <v>7649</v>
      </c>
      <c r="Q685" t="s">
        <v>39</v>
      </c>
      <c r="R685" t="s">
        <v>40</v>
      </c>
      <c r="S685">
        <v>0</v>
      </c>
      <c r="U685" t="s">
        <v>5550</v>
      </c>
      <c r="V685" t="s">
        <v>1797</v>
      </c>
      <c r="W685" t="s">
        <v>7655</v>
      </c>
      <c r="X685" t="s">
        <v>74</v>
      </c>
      <c r="Y685" t="b">
        <v>0</v>
      </c>
      <c r="Z685" t="b">
        <v>0</v>
      </c>
      <c r="AA685" t="b">
        <v>0</v>
      </c>
      <c r="AC685" s="1"/>
      <c r="AF685">
        <v>0</v>
      </c>
      <c r="AG685">
        <v>45</v>
      </c>
      <c r="AH685">
        <v>127</v>
      </c>
      <c r="AI685" s="2">
        <f>Table__192.168.3.138AgingReportBEWLGS[[#This Row],[NetAmount]]-Table__192.168.3.138AgingReportBEWLGS[[#This Row],[Paid]]</f>
        <v>85228</v>
      </c>
    </row>
    <row r="686" spans="1:35">
      <c r="A686" t="s">
        <v>7656</v>
      </c>
      <c r="B686" s="1">
        <v>41207</v>
      </c>
      <c r="C686" s="1">
        <v>41252</v>
      </c>
      <c r="D686" t="s">
        <v>7633</v>
      </c>
      <c r="E686">
        <v>11350</v>
      </c>
      <c r="F686">
        <v>1816</v>
      </c>
      <c r="G686">
        <v>0</v>
      </c>
      <c r="H686">
        <v>0</v>
      </c>
      <c r="I686">
        <v>63</v>
      </c>
      <c r="J686">
        <v>13166</v>
      </c>
      <c r="K686" t="s">
        <v>5172</v>
      </c>
      <c r="L686" s="1">
        <v>41205</v>
      </c>
      <c r="N686" t="s">
        <v>5127</v>
      </c>
      <c r="O686" t="s">
        <v>2458</v>
      </c>
      <c r="P686" t="s">
        <v>5544</v>
      </c>
      <c r="Q686" t="s">
        <v>39</v>
      </c>
      <c r="R686" t="s">
        <v>40</v>
      </c>
      <c r="S686">
        <v>0</v>
      </c>
      <c r="U686" t="s">
        <v>5550</v>
      </c>
      <c r="V686" t="s">
        <v>1797</v>
      </c>
      <c r="X686" t="s">
        <v>74</v>
      </c>
      <c r="Y686" t="b">
        <v>0</v>
      </c>
      <c r="Z686" t="b">
        <v>0</v>
      </c>
      <c r="AC686" s="1"/>
      <c r="AF686">
        <v>0</v>
      </c>
      <c r="AG686">
        <v>45</v>
      </c>
      <c r="AH686">
        <v>108</v>
      </c>
      <c r="AI686" s="2">
        <f>Table__192.168.3.138AgingReportBEWLGS[[#This Row],[NetAmount]]-Table__192.168.3.138AgingReportBEWLGS[[#This Row],[Paid]]</f>
        <v>13166</v>
      </c>
    </row>
    <row r="687" spans="1:35">
      <c r="A687" t="s">
        <v>7657</v>
      </c>
      <c r="B687" s="1">
        <v>41212</v>
      </c>
      <c r="C687" s="1">
        <v>41257</v>
      </c>
      <c r="D687" t="s">
        <v>7412</v>
      </c>
      <c r="E687">
        <v>23000</v>
      </c>
      <c r="F687">
        <v>0</v>
      </c>
      <c r="G687">
        <v>0</v>
      </c>
      <c r="H687">
        <v>0</v>
      </c>
      <c r="I687">
        <v>56</v>
      </c>
      <c r="J687">
        <v>23000</v>
      </c>
      <c r="K687" t="s">
        <v>4259</v>
      </c>
      <c r="L687" s="1">
        <v>41212</v>
      </c>
      <c r="N687" t="s">
        <v>5127</v>
      </c>
      <c r="O687" t="s">
        <v>2458</v>
      </c>
      <c r="P687" t="s">
        <v>5540</v>
      </c>
      <c r="Q687" t="s">
        <v>39</v>
      </c>
      <c r="R687" t="s">
        <v>40</v>
      </c>
      <c r="S687">
        <v>0</v>
      </c>
      <c r="U687" t="s">
        <v>5550</v>
      </c>
      <c r="V687" t="s">
        <v>1797</v>
      </c>
      <c r="X687" t="s">
        <v>74</v>
      </c>
      <c r="Y687" t="b">
        <v>0</v>
      </c>
      <c r="Z687" t="b">
        <v>0</v>
      </c>
      <c r="AC687" s="1"/>
      <c r="AF687">
        <v>0</v>
      </c>
      <c r="AG687">
        <v>45</v>
      </c>
      <c r="AH687">
        <v>101</v>
      </c>
      <c r="AI687" s="2">
        <f>Table__192.168.3.138AgingReportBEWLGS[[#This Row],[NetAmount]]-Table__192.168.3.138AgingReportBEWLGS[[#This Row],[Paid]]</f>
        <v>23000</v>
      </c>
    </row>
    <row r="688" spans="1:35">
      <c r="A688" t="s">
        <v>7658</v>
      </c>
      <c r="B688" s="1">
        <v>41207</v>
      </c>
      <c r="C688" s="1">
        <v>41252</v>
      </c>
      <c r="D688" t="s">
        <v>5521</v>
      </c>
      <c r="E688">
        <v>1864</v>
      </c>
      <c r="F688">
        <v>298</v>
      </c>
      <c r="G688">
        <v>0</v>
      </c>
      <c r="H688">
        <v>0</v>
      </c>
      <c r="I688">
        <v>63</v>
      </c>
      <c r="J688">
        <v>2162</v>
      </c>
      <c r="K688" t="s">
        <v>7659</v>
      </c>
      <c r="L688" s="1">
        <v>41205</v>
      </c>
      <c r="N688" t="s">
        <v>5127</v>
      </c>
      <c r="O688" t="s">
        <v>2458</v>
      </c>
      <c r="P688" t="s">
        <v>5532</v>
      </c>
      <c r="Q688" t="s">
        <v>39</v>
      </c>
      <c r="R688" t="s">
        <v>40</v>
      </c>
      <c r="S688">
        <v>0</v>
      </c>
      <c r="U688" t="s">
        <v>5550</v>
      </c>
      <c r="V688" t="s">
        <v>1797</v>
      </c>
      <c r="X688" t="s">
        <v>74</v>
      </c>
      <c r="Y688" t="b">
        <v>0</v>
      </c>
      <c r="Z688" t="b">
        <v>0</v>
      </c>
      <c r="AC688" s="1"/>
      <c r="AF688">
        <v>0</v>
      </c>
      <c r="AG688">
        <v>45</v>
      </c>
      <c r="AH688">
        <v>108</v>
      </c>
      <c r="AI688" s="2">
        <f>Table__192.168.3.138AgingReportBEWLGS[[#This Row],[NetAmount]]-Table__192.168.3.138AgingReportBEWLGS[[#This Row],[Paid]]</f>
        <v>2162</v>
      </c>
    </row>
    <row r="689" spans="1:35">
      <c r="A689" t="s">
        <v>7660</v>
      </c>
      <c r="B689" s="1">
        <v>41207</v>
      </c>
      <c r="C689" s="1">
        <v>41252</v>
      </c>
      <c r="D689" t="s">
        <v>6448</v>
      </c>
      <c r="E689">
        <v>28560</v>
      </c>
      <c r="F689">
        <v>4570</v>
      </c>
      <c r="G689">
        <v>0</v>
      </c>
      <c r="H689">
        <v>0</v>
      </c>
      <c r="I689">
        <v>61</v>
      </c>
      <c r="J689">
        <v>33130</v>
      </c>
      <c r="K689" t="s">
        <v>3490</v>
      </c>
      <c r="L689" s="1">
        <v>41207</v>
      </c>
      <c r="N689" t="s">
        <v>5127</v>
      </c>
      <c r="O689" t="s">
        <v>2458</v>
      </c>
      <c r="P689" t="s">
        <v>6451</v>
      </c>
      <c r="Q689" t="s">
        <v>39</v>
      </c>
      <c r="R689" t="s">
        <v>40</v>
      </c>
      <c r="S689">
        <v>0</v>
      </c>
      <c r="U689" t="s">
        <v>5550</v>
      </c>
      <c r="V689" t="s">
        <v>1797</v>
      </c>
      <c r="X689" t="s">
        <v>74</v>
      </c>
      <c r="Y689" t="b">
        <v>0</v>
      </c>
      <c r="Z689" t="b">
        <v>0</v>
      </c>
      <c r="AC689" s="1"/>
      <c r="AF689">
        <v>0</v>
      </c>
      <c r="AG689">
        <v>45</v>
      </c>
      <c r="AH689">
        <v>106</v>
      </c>
      <c r="AI689" s="2">
        <f>Table__192.168.3.138AgingReportBEWLGS[[#This Row],[NetAmount]]-Table__192.168.3.138AgingReportBEWLGS[[#This Row],[Paid]]</f>
        <v>33130</v>
      </c>
    </row>
    <row r="690" spans="1:35">
      <c r="A690" t="s">
        <v>7661</v>
      </c>
      <c r="B690" s="1">
        <v>41207</v>
      </c>
      <c r="C690" s="1">
        <v>41252</v>
      </c>
      <c r="D690" t="s">
        <v>249</v>
      </c>
      <c r="E690">
        <v>13000</v>
      </c>
      <c r="F690">
        <v>0</v>
      </c>
      <c r="G690">
        <v>0</v>
      </c>
      <c r="H690">
        <v>0</v>
      </c>
      <c r="I690">
        <v>61</v>
      </c>
      <c r="J690">
        <v>13000</v>
      </c>
      <c r="K690" t="s">
        <v>7662</v>
      </c>
      <c r="L690" s="1">
        <v>41207</v>
      </c>
      <c r="N690" t="s">
        <v>5127</v>
      </c>
      <c r="O690" t="s">
        <v>2458</v>
      </c>
      <c r="P690" t="s">
        <v>6422</v>
      </c>
      <c r="Q690" t="s">
        <v>39</v>
      </c>
      <c r="R690" t="s">
        <v>40</v>
      </c>
      <c r="S690">
        <v>0</v>
      </c>
      <c r="U690" t="s">
        <v>5550</v>
      </c>
      <c r="V690" t="s">
        <v>1797</v>
      </c>
      <c r="X690" t="s">
        <v>74</v>
      </c>
      <c r="Y690" t="b">
        <v>0</v>
      </c>
      <c r="Z690" t="b">
        <v>0</v>
      </c>
      <c r="AC690" s="1"/>
      <c r="AF690">
        <v>0</v>
      </c>
      <c r="AG690">
        <v>45</v>
      </c>
      <c r="AH690">
        <v>106</v>
      </c>
      <c r="AI690" s="2">
        <f>Table__192.168.3.138AgingReportBEWLGS[[#This Row],[NetAmount]]-Table__192.168.3.138AgingReportBEWLGS[[#This Row],[Paid]]</f>
        <v>13000</v>
      </c>
    </row>
    <row r="691" spans="1:35">
      <c r="A691" t="s">
        <v>7663</v>
      </c>
      <c r="B691" s="1">
        <v>41207</v>
      </c>
      <c r="C691" s="1">
        <v>41252</v>
      </c>
      <c r="D691" t="s">
        <v>7664</v>
      </c>
      <c r="E691">
        <v>62600</v>
      </c>
      <c r="F691">
        <v>10016</v>
      </c>
      <c r="G691">
        <v>0</v>
      </c>
      <c r="H691">
        <v>0</v>
      </c>
      <c r="I691">
        <v>63</v>
      </c>
      <c r="J691">
        <v>73116</v>
      </c>
      <c r="K691" t="s">
        <v>7665</v>
      </c>
      <c r="L691" s="1">
        <v>41205</v>
      </c>
      <c r="N691" t="s">
        <v>5127</v>
      </c>
      <c r="O691" t="s">
        <v>2458</v>
      </c>
      <c r="P691" t="s">
        <v>7666</v>
      </c>
      <c r="Q691" t="s">
        <v>39</v>
      </c>
      <c r="R691" t="s">
        <v>40</v>
      </c>
      <c r="S691">
        <v>0</v>
      </c>
      <c r="U691" t="s">
        <v>5550</v>
      </c>
      <c r="V691" t="s">
        <v>1797</v>
      </c>
      <c r="X691" t="s">
        <v>74</v>
      </c>
      <c r="Y691" t="b">
        <v>0</v>
      </c>
      <c r="Z691" t="b">
        <v>0</v>
      </c>
      <c r="AC691" s="1"/>
      <c r="AF691">
        <v>0</v>
      </c>
      <c r="AG691">
        <v>45</v>
      </c>
      <c r="AH691">
        <v>108</v>
      </c>
      <c r="AI691" s="2">
        <f>Table__192.168.3.138AgingReportBEWLGS[[#This Row],[NetAmount]]-Table__192.168.3.138AgingReportBEWLGS[[#This Row],[Paid]]</f>
        <v>73116</v>
      </c>
    </row>
    <row r="692" spans="1:35">
      <c r="A692" t="s">
        <v>7667</v>
      </c>
      <c r="B692" s="1">
        <v>41212</v>
      </c>
      <c r="C692" s="1">
        <v>41257</v>
      </c>
      <c r="D692" t="s">
        <v>6542</v>
      </c>
      <c r="E692">
        <v>23396</v>
      </c>
      <c r="F692">
        <v>0</v>
      </c>
      <c r="G692">
        <v>0</v>
      </c>
      <c r="H692">
        <v>0</v>
      </c>
      <c r="I692">
        <v>56</v>
      </c>
      <c r="J692">
        <v>23396</v>
      </c>
      <c r="K692" t="s">
        <v>7668</v>
      </c>
      <c r="L692" s="1">
        <v>41212</v>
      </c>
      <c r="N692" t="s">
        <v>5127</v>
      </c>
      <c r="O692" t="s">
        <v>2458</v>
      </c>
      <c r="P692" t="s">
        <v>6544</v>
      </c>
      <c r="Q692" t="s">
        <v>39</v>
      </c>
      <c r="R692" t="s">
        <v>40</v>
      </c>
      <c r="S692">
        <v>0</v>
      </c>
      <c r="U692" t="s">
        <v>5550</v>
      </c>
      <c r="V692" t="s">
        <v>1797</v>
      </c>
      <c r="X692" t="s">
        <v>74</v>
      </c>
      <c r="Y692" t="b">
        <v>0</v>
      </c>
      <c r="Z692" t="b">
        <v>0</v>
      </c>
      <c r="AC692" s="1"/>
      <c r="AF692">
        <v>0</v>
      </c>
      <c r="AG692">
        <v>45</v>
      </c>
      <c r="AH692">
        <v>101</v>
      </c>
      <c r="AI692" s="2">
        <f>Table__192.168.3.138AgingReportBEWLGS[[#This Row],[NetAmount]]-Table__192.168.3.138AgingReportBEWLGS[[#This Row],[Paid]]</f>
        <v>23396</v>
      </c>
    </row>
    <row r="693" spans="1:35">
      <c r="A693" t="s">
        <v>7669</v>
      </c>
      <c r="B693" s="1">
        <v>41206</v>
      </c>
      <c r="C693" s="1">
        <v>41251</v>
      </c>
      <c r="D693" t="s">
        <v>6542</v>
      </c>
      <c r="E693">
        <v>26098</v>
      </c>
      <c r="F693">
        <v>0</v>
      </c>
      <c r="G693">
        <v>0</v>
      </c>
      <c r="H693">
        <v>0</v>
      </c>
      <c r="I693">
        <v>62</v>
      </c>
      <c r="J693">
        <v>26098</v>
      </c>
      <c r="K693" t="s">
        <v>7670</v>
      </c>
      <c r="L693" s="1">
        <v>41206</v>
      </c>
      <c r="N693" t="s">
        <v>5127</v>
      </c>
      <c r="O693" t="s">
        <v>2458</v>
      </c>
      <c r="P693" t="s">
        <v>6544</v>
      </c>
      <c r="Q693" t="s">
        <v>39</v>
      </c>
      <c r="R693" t="s">
        <v>40</v>
      </c>
      <c r="S693">
        <v>0</v>
      </c>
      <c r="U693" t="s">
        <v>5550</v>
      </c>
      <c r="V693" t="s">
        <v>1797</v>
      </c>
      <c r="X693" t="s">
        <v>74</v>
      </c>
      <c r="Y693" t="b">
        <v>0</v>
      </c>
      <c r="Z693" t="b">
        <v>0</v>
      </c>
      <c r="AC693" s="1"/>
      <c r="AF693">
        <v>0</v>
      </c>
      <c r="AG693">
        <v>45</v>
      </c>
      <c r="AH693">
        <v>107</v>
      </c>
      <c r="AI693" s="2">
        <f>Table__192.168.3.138AgingReportBEWLGS[[#This Row],[NetAmount]]-Table__192.168.3.138AgingReportBEWLGS[[#This Row],[Paid]]</f>
        <v>26098</v>
      </c>
    </row>
    <row r="694" spans="1:35">
      <c r="A694" t="s">
        <v>7671</v>
      </c>
      <c r="B694" s="1">
        <v>41205</v>
      </c>
      <c r="C694" s="1">
        <v>41250</v>
      </c>
      <c r="D694" t="s">
        <v>6542</v>
      </c>
      <c r="E694">
        <v>25600</v>
      </c>
      <c r="F694">
        <v>0</v>
      </c>
      <c r="G694">
        <v>0</v>
      </c>
      <c r="H694">
        <v>0</v>
      </c>
      <c r="I694">
        <v>63</v>
      </c>
      <c r="J694">
        <v>25600</v>
      </c>
      <c r="K694" t="s">
        <v>7672</v>
      </c>
      <c r="L694" s="1">
        <v>41205</v>
      </c>
      <c r="N694" t="s">
        <v>5127</v>
      </c>
      <c r="O694" t="s">
        <v>2458</v>
      </c>
      <c r="P694" t="s">
        <v>6544</v>
      </c>
      <c r="Q694" t="s">
        <v>39</v>
      </c>
      <c r="R694" t="s">
        <v>40</v>
      </c>
      <c r="S694">
        <v>0</v>
      </c>
      <c r="U694" t="s">
        <v>5550</v>
      </c>
      <c r="V694" t="s">
        <v>1797</v>
      </c>
      <c r="X694" t="s">
        <v>74</v>
      </c>
      <c r="Y694" t="b">
        <v>0</v>
      </c>
      <c r="Z694" t="b">
        <v>0</v>
      </c>
      <c r="AC694" s="1"/>
      <c r="AF694">
        <v>0</v>
      </c>
      <c r="AG694">
        <v>45</v>
      </c>
      <c r="AH694">
        <v>108</v>
      </c>
      <c r="AI694" s="2">
        <f>Table__192.168.3.138AgingReportBEWLGS[[#This Row],[NetAmount]]-Table__192.168.3.138AgingReportBEWLGS[[#This Row],[Paid]]</f>
        <v>25600</v>
      </c>
    </row>
    <row r="695" spans="1:35">
      <c r="A695" t="s">
        <v>7673</v>
      </c>
      <c r="B695" s="1">
        <v>41204</v>
      </c>
      <c r="C695" s="1">
        <v>41249</v>
      </c>
      <c r="D695" t="s">
        <v>6542</v>
      </c>
      <c r="E695">
        <v>24000</v>
      </c>
      <c r="F695">
        <v>0</v>
      </c>
      <c r="G695">
        <v>0</v>
      </c>
      <c r="H695">
        <v>0</v>
      </c>
      <c r="I695">
        <v>64</v>
      </c>
      <c r="J695">
        <v>24000</v>
      </c>
      <c r="K695" t="s">
        <v>7674</v>
      </c>
      <c r="L695" s="1">
        <v>41204</v>
      </c>
      <c r="N695" t="s">
        <v>5127</v>
      </c>
      <c r="O695" t="s">
        <v>2458</v>
      </c>
      <c r="P695" t="s">
        <v>6544</v>
      </c>
      <c r="Q695" t="s">
        <v>39</v>
      </c>
      <c r="R695" t="s">
        <v>40</v>
      </c>
      <c r="S695">
        <v>0</v>
      </c>
      <c r="U695" t="s">
        <v>5550</v>
      </c>
      <c r="V695" t="s">
        <v>1797</v>
      </c>
      <c r="X695" t="s">
        <v>74</v>
      </c>
      <c r="Y695" t="b">
        <v>0</v>
      </c>
      <c r="Z695" t="b">
        <v>0</v>
      </c>
      <c r="AC695" s="1"/>
      <c r="AF695">
        <v>0</v>
      </c>
      <c r="AG695">
        <v>45</v>
      </c>
      <c r="AH695">
        <v>109</v>
      </c>
      <c r="AI695" s="2">
        <f>Table__192.168.3.138AgingReportBEWLGS[[#This Row],[NetAmount]]-Table__192.168.3.138AgingReportBEWLGS[[#This Row],[Paid]]</f>
        <v>24000</v>
      </c>
    </row>
    <row r="696" spans="1:35">
      <c r="A696" t="s">
        <v>7675</v>
      </c>
      <c r="B696" s="1">
        <v>41201</v>
      </c>
      <c r="C696" s="1">
        <v>41246</v>
      </c>
      <c r="D696" t="s">
        <v>6542</v>
      </c>
      <c r="E696">
        <v>30940</v>
      </c>
      <c r="F696">
        <v>0</v>
      </c>
      <c r="G696">
        <v>0</v>
      </c>
      <c r="H696">
        <v>0</v>
      </c>
      <c r="I696">
        <v>67</v>
      </c>
      <c r="J696">
        <v>30940</v>
      </c>
      <c r="K696" t="s">
        <v>7676</v>
      </c>
      <c r="L696" s="1">
        <v>41201</v>
      </c>
      <c r="N696" t="s">
        <v>5127</v>
      </c>
      <c r="O696" t="s">
        <v>2458</v>
      </c>
      <c r="P696" t="s">
        <v>6544</v>
      </c>
      <c r="Q696" t="s">
        <v>39</v>
      </c>
      <c r="R696" t="s">
        <v>40</v>
      </c>
      <c r="S696">
        <v>0</v>
      </c>
      <c r="U696" t="s">
        <v>5550</v>
      </c>
      <c r="V696" t="s">
        <v>1797</v>
      </c>
      <c r="X696" t="s">
        <v>74</v>
      </c>
      <c r="Y696" t="b">
        <v>0</v>
      </c>
      <c r="Z696" t="b">
        <v>0</v>
      </c>
      <c r="AC696" s="1"/>
      <c r="AF696">
        <v>0</v>
      </c>
      <c r="AG696">
        <v>45</v>
      </c>
      <c r="AH696">
        <v>112</v>
      </c>
      <c r="AI696" s="2">
        <f>Table__192.168.3.138AgingReportBEWLGS[[#This Row],[NetAmount]]-Table__192.168.3.138AgingReportBEWLGS[[#This Row],[Paid]]</f>
        <v>30940</v>
      </c>
    </row>
    <row r="697" spans="1:35">
      <c r="A697" t="s">
        <v>7677</v>
      </c>
      <c r="B697" s="1">
        <v>41200</v>
      </c>
      <c r="C697" s="1">
        <v>41245</v>
      </c>
      <c r="D697" t="s">
        <v>6542</v>
      </c>
      <c r="E697">
        <v>27800</v>
      </c>
      <c r="F697">
        <v>0</v>
      </c>
      <c r="G697">
        <v>0</v>
      </c>
      <c r="H697">
        <v>0</v>
      </c>
      <c r="I697">
        <v>68</v>
      </c>
      <c r="J697">
        <v>27800</v>
      </c>
      <c r="K697" t="s">
        <v>4021</v>
      </c>
      <c r="L697" s="1">
        <v>41200</v>
      </c>
      <c r="N697" t="s">
        <v>5127</v>
      </c>
      <c r="O697" t="s">
        <v>2458</v>
      </c>
      <c r="P697" t="s">
        <v>6544</v>
      </c>
      <c r="Q697" t="s">
        <v>39</v>
      </c>
      <c r="R697" t="s">
        <v>40</v>
      </c>
      <c r="S697">
        <v>0</v>
      </c>
      <c r="U697" t="s">
        <v>5550</v>
      </c>
      <c r="V697" t="s">
        <v>1797</v>
      </c>
      <c r="X697" t="s">
        <v>74</v>
      </c>
      <c r="Y697" t="b">
        <v>0</v>
      </c>
      <c r="Z697" t="b">
        <v>0</v>
      </c>
      <c r="AC697" s="1"/>
      <c r="AF697">
        <v>0</v>
      </c>
      <c r="AG697">
        <v>45</v>
      </c>
      <c r="AH697">
        <v>113</v>
      </c>
      <c r="AI697" s="2">
        <f>Table__192.168.3.138AgingReportBEWLGS[[#This Row],[NetAmount]]-Table__192.168.3.138AgingReportBEWLGS[[#This Row],[Paid]]</f>
        <v>27800</v>
      </c>
    </row>
    <row r="698" spans="1:35">
      <c r="A698" t="s">
        <v>7678</v>
      </c>
      <c r="B698" s="1">
        <v>41200</v>
      </c>
      <c r="C698" s="1">
        <v>41245</v>
      </c>
      <c r="D698" t="s">
        <v>6542</v>
      </c>
      <c r="E698">
        <v>25518</v>
      </c>
      <c r="F698">
        <v>0</v>
      </c>
      <c r="G698">
        <v>0</v>
      </c>
      <c r="H698">
        <v>0</v>
      </c>
      <c r="I698">
        <v>68</v>
      </c>
      <c r="J698">
        <v>25518</v>
      </c>
      <c r="K698" t="s">
        <v>7679</v>
      </c>
      <c r="L698" s="1">
        <v>41200</v>
      </c>
      <c r="N698" t="s">
        <v>5127</v>
      </c>
      <c r="O698" t="s">
        <v>2458</v>
      </c>
      <c r="P698" t="s">
        <v>6544</v>
      </c>
      <c r="Q698" t="s">
        <v>39</v>
      </c>
      <c r="R698" t="s">
        <v>40</v>
      </c>
      <c r="S698">
        <v>0</v>
      </c>
      <c r="U698" t="s">
        <v>5550</v>
      </c>
      <c r="V698" t="s">
        <v>1797</v>
      </c>
      <c r="X698" t="s">
        <v>74</v>
      </c>
      <c r="Y698" t="b">
        <v>0</v>
      </c>
      <c r="Z698" t="b">
        <v>0</v>
      </c>
      <c r="AC698" s="1"/>
      <c r="AF698">
        <v>0</v>
      </c>
      <c r="AG698">
        <v>45</v>
      </c>
      <c r="AH698">
        <v>113</v>
      </c>
      <c r="AI698" s="2">
        <f>Table__192.168.3.138AgingReportBEWLGS[[#This Row],[NetAmount]]-Table__192.168.3.138AgingReportBEWLGS[[#This Row],[Paid]]</f>
        <v>25518</v>
      </c>
    </row>
    <row r="699" spans="1:35">
      <c r="A699" t="s">
        <v>7680</v>
      </c>
      <c r="B699" s="1">
        <v>41198</v>
      </c>
      <c r="C699" s="1">
        <v>41243</v>
      </c>
      <c r="D699" t="s">
        <v>6542</v>
      </c>
      <c r="E699">
        <v>26080</v>
      </c>
      <c r="F699">
        <v>0</v>
      </c>
      <c r="G699">
        <v>0</v>
      </c>
      <c r="H699">
        <v>0</v>
      </c>
      <c r="I699">
        <v>70</v>
      </c>
      <c r="J699">
        <v>26080</v>
      </c>
      <c r="K699" t="s">
        <v>7681</v>
      </c>
      <c r="L699" s="1">
        <v>41198</v>
      </c>
      <c r="N699" t="s">
        <v>5127</v>
      </c>
      <c r="O699" t="s">
        <v>2458</v>
      </c>
      <c r="P699" t="s">
        <v>6544</v>
      </c>
      <c r="Q699" t="s">
        <v>39</v>
      </c>
      <c r="R699" t="s">
        <v>40</v>
      </c>
      <c r="S699">
        <v>0</v>
      </c>
      <c r="U699" t="s">
        <v>5550</v>
      </c>
      <c r="V699" t="s">
        <v>1797</v>
      </c>
      <c r="X699" t="s">
        <v>74</v>
      </c>
      <c r="Y699" t="b">
        <v>0</v>
      </c>
      <c r="Z699" t="b">
        <v>0</v>
      </c>
      <c r="AC699" s="1"/>
      <c r="AF699">
        <v>0</v>
      </c>
      <c r="AG699">
        <v>45</v>
      </c>
      <c r="AH699">
        <v>115</v>
      </c>
      <c r="AI699" s="2">
        <f>Table__192.168.3.138AgingReportBEWLGS[[#This Row],[NetAmount]]-Table__192.168.3.138AgingReportBEWLGS[[#This Row],[Paid]]</f>
        <v>26080</v>
      </c>
    </row>
    <row r="700" spans="1:35">
      <c r="A700" t="s">
        <v>7682</v>
      </c>
      <c r="B700" s="1">
        <v>41199</v>
      </c>
      <c r="C700" s="1">
        <v>41244</v>
      </c>
      <c r="D700" t="s">
        <v>6542</v>
      </c>
      <c r="E700">
        <v>26196</v>
      </c>
      <c r="F700">
        <v>0</v>
      </c>
      <c r="G700">
        <v>0</v>
      </c>
      <c r="H700">
        <v>0</v>
      </c>
      <c r="I700">
        <v>71</v>
      </c>
      <c r="J700">
        <v>26196</v>
      </c>
      <c r="K700" t="s">
        <v>7557</v>
      </c>
      <c r="L700" s="1">
        <v>41197</v>
      </c>
      <c r="N700" t="s">
        <v>5127</v>
      </c>
      <c r="O700" t="s">
        <v>2458</v>
      </c>
      <c r="P700" t="s">
        <v>6544</v>
      </c>
      <c r="Q700" t="s">
        <v>39</v>
      </c>
      <c r="R700" t="s">
        <v>40</v>
      </c>
      <c r="S700">
        <v>0</v>
      </c>
      <c r="U700" t="s">
        <v>5550</v>
      </c>
      <c r="V700" t="s">
        <v>1797</v>
      </c>
      <c r="X700" t="s">
        <v>74</v>
      </c>
      <c r="Y700" t="b">
        <v>0</v>
      </c>
      <c r="Z700" t="b">
        <v>0</v>
      </c>
      <c r="AC700" s="1"/>
      <c r="AF700">
        <v>0</v>
      </c>
      <c r="AG700">
        <v>45</v>
      </c>
      <c r="AH700">
        <v>116</v>
      </c>
      <c r="AI700" s="2">
        <f>Table__192.168.3.138AgingReportBEWLGS[[#This Row],[NetAmount]]-Table__192.168.3.138AgingReportBEWLGS[[#This Row],[Paid]]</f>
        <v>26196</v>
      </c>
    </row>
    <row r="701" spans="1:35">
      <c r="A701" t="s">
        <v>7683</v>
      </c>
      <c r="B701" s="1">
        <v>41199</v>
      </c>
      <c r="C701" s="1">
        <v>41244</v>
      </c>
      <c r="D701" t="s">
        <v>6542</v>
      </c>
      <c r="E701">
        <v>25600</v>
      </c>
      <c r="F701">
        <v>0</v>
      </c>
      <c r="G701">
        <v>0</v>
      </c>
      <c r="H701">
        <v>0</v>
      </c>
      <c r="I701">
        <v>74</v>
      </c>
      <c r="J701">
        <v>25600</v>
      </c>
      <c r="K701" t="s">
        <v>7684</v>
      </c>
      <c r="L701" s="1">
        <v>41194</v>
      </c>
      <c r="N701" t="s">
        <v>5127</v>
      </c>
      <c r="O701" t="s">
        <v>2458</v>
      </c>
      <c r="P701" t="s">
        <v>6544</v>
      </c>
      <c r="Q701" t="s">
        <v>39</v>
      </c>
      <c r="R701" t="s">
        <v>40</v>
      </c>
      <c r="S701">
        <v>0</v>
      </c>
      <c r="U701" t="s">
        <v>5550</v>
      </c>
      <c r="V701" t="s">
        <v>1797</v>
      </c>
      <c r="X701" t="s">
        <v>74</v>
      </c>
      <c r="Y701" t="b">
        <v>0</v>
      </c>
      <c r="Z701" t="b">
        <v>0</v>
      </c>
      <c r="AC701" s="1"/>
      <c r="AF701">
        <v>0</v>
      </c>
      <c r="AG701">
        <v>45</v>
      </c>
      <c r="AH701">
        <v>119</v>
      </c>
      <c r="AI701" s="2">
        <f>Table__192.168.3.138AgingReportBEWLGS[[#This Row],[NetAmount]]-Table__192.168.3.138AgingReportBEWLGS[[#This Row],[Paid]]</f>
        <v>25600</v>
      </c>
    </row>
    <row r="702" spans="1:35">
      <c r="A702" t="s">
        <v>7685</v>
      </c>
      <c r="B702" s="1">
        <v>41199</v>
      </c>
      <c r="C702" s="1">
        <v>41244</v>
      </c>
      <c r="D702" t="s">
        <v>6542</v>
      </c>
      <c r="E702">
        <v>25600</v>
      </c>
      <c r="F702">
        <v>0</v>
      </c>
      <c r="G702">
        <v>0</v>
      </c>
      <c r="H702">
        <v>0</v>
      </c>
      <c r="I702">
        <v>76</v>
      </c>
      <c r="J702">
        <v>25600</v>
      </c>
      <c r="K702" t="s">
        <v>7686</v>
      </c>
      <c r="L702" s="1">
        <v>41192</v>
      </c>
      <c r="N702" t="s">
        <v>5127</v>
      </c>
      <c r="O702" t="s">
        <v>2458</v>
      </c>
      <c r="P702" t="s">
        <v>6544</v>
      </c>
      <c r="Q702" t="s">
        <v>39</v>
      </c>
      <c r="R702" t="s">
        <v>40</v>
      </c>
      <c r="S702">
        <v>0</v>
      </c>
      <c r="U702" t="s">
        <v>5550</v>
      </c>
      <c r="V702" t="s">
        <v>1797</v>
      </c>
      <c r="X702" t="s">
        <v>74</v>
      </c>
      <c r="Y702" t="b">
        <v>0</v>
      </c>
      <c r="Z702" t="b">
        <v>0</v>
      </c>
      <c r="AC702" s="1"/>
      <c r="AF702">
        <v>0</v>
      </c>
      <c r="AG702">
        <v>45</v>
      </c>
      <c r="AH702">
        <v>121</v>
      </c>
      <c r="AI702" s="2">
        <f>Table__192.168.3.138AgingReportBEWLGS[[#This Row],[NetAmount]]-Table__192.168.3.138AgingReportBEWLGS[[#This Row],[Paid]]</f>
        <v>25600</v>
      </c>
    </row>
    <row r="703" spans="1:35">
      <c r="A703" t="s">
        <v>7687</v>
      </c>
      <c r="B703" s="1">
        <v>41191</v>
      </c>
      <c r="C703" s="1">
        <v>41236</v>
      </c>
      <c r="D703" t="s">
        <v>6542</v>
      </c>
      <c r="E703">
        <v>24000</v>
      </c>
      <c r="F703">
        <v>0</v>
      </c>
      <c r="G703">
        <v>0</v>
      </c>
      <c r="H703">
        <v>0</v>
      </c>
      <c r="I703">
        <v>77</v>
      </c>
      <c r="J703">
        <v>24000</v>
      </c>
      <c r="K703" t="s">
        <v>7688</v>
      </c>
      <c r="L703" s="1">
        <v>41191</v>
      </c>
      <c r="N703" t="s">
        <v>5127</v>
      </c>
      <c r="O703" t="s">
        <v>2458</v>
      </c>
      <c r="P703" t="s">
        <v>6544</v>
      </c>
      <c r="Q703" t="s">
        <v>39</v>
      </c>
      <c r="R703" t="s">
        <v>40</v>
      </c>
      <c r="S703">
        <v>0</v>
      </c>
      <c r="U703" t="s">
        <v>5550</v>
      </c>
      <c r="V703" t="s">
        <v>1797</v>
      </c>
      <c r="X703" t="s">
        <v>74</v>
      </c>
      <c r="Y703" t="b">
        <v>0</v>
      </c>
      <c r="Z703" t="b">
        <v>0</v>
      </c>
      <c r="AC703" s="1"/>
      <c r="AF703">
        <v>0</v>
      </c>
      <c r="AG703">
        <v>45</v>
      </c>
      <c r="AH703">
        <v>122</v>
      </c>
      <c r="AI703" s="2">
        <f>Table__192.168.3.138AgingReportBEWLGS[[#This Row],[NetAmount]]-Table__192.168.3.138AgingReportBEWLGS[[#This Row],[Paid]]</f>
        <v>24000</v>
      </c>
    </row>
    <row r="704" spans="1:35">
      <c r="A704" t="s">
        <v>7689</v>
      </c>
      <c r="B704" s="1">
        <v>41190</v>
      </c>
      <c r="C704" s="1">
        <v>41235</v>
      </c>
      <c r="D704" t="s">
        <v>6542</v>
      </c>
      <c r="E704">
        <v>22400</v>
      </c>
      <c r="F704">
        <v>0</v>
      </c>
      <c r="G704">
        <v>0</v>
      </c>
      <c r="H704">
        <v>0</v>
      </c>
      <c r="I704">
        <v>78</v>
      </c>
      <c r="J704">
        <v>22400</v>
      </c>
      <c r="K704" t="s">
        <v>5418</v>
      </c>
      <c r="L704" s="1">
        <v>41190</v>
      </c>
      <c r="N704" t="s">
        <v>5127</v>
      </c>
      <c r="O704" t="s">
        <v>2458</v>
      </c>
      <c r="P704" t="s">
        <v>6544</v>
      </c>
      <c r="Q704" t="s">
        <v>39</v>
      </c>
      <c r="R704" t="s">
        <v>40</v>
      </c>
      <c r="S704">
        <v>0</v>
      </c>
      <c r="U704" t="s">
        <v>5550</v>
      </c>
      <c r="V704" t="s">
        <v>1797</v>
      </c>
      <c r="X704" t="s">
        <v>74</v>
      </c>
      <c r="Y704" t="b">
        <v>0</v>
      </c>
      <c r="Z704" t="b">
        <v>0</v>
      </c>
      <c r="AC704" s="1"/>
      <c r="AF704">
        <v>0</v>
      </c>
      <c r="AG704">
        <v>45</v>
      </c>
      <c r="AH704">
        <v>123</v>
      </c>
      <c r="AI704" s="2">
        <f>Table__192.168.3.138AgingReportBEWLGS[[#This Row],[NetAmount]]-Table__192.168.3.138AgingReportBEWLGS[[#This Row],[Paid]]</f>
        <v>22400</v>
      </c>
    </row>
    <row r="705" spans="1:35">
      <c r="A705" t="s">
        <v>7690</v>
      </c>
      <c r="B705" s="1">
        <v>41187</v>
      </c>
      <c r="C705" s="1">
        <v>41232</v>
      </c>
      <c r="D705" t="s">
        <v>6542</v>
      </c>
      <c r="E705">
        <v>27120</v>
      </c>
      <c r="F705">
        <v>0</v>
      </c>
      <c r="G705">
        <v>0</v>
      </c>
      <c r="H705">
        <v>0</v>
      </c>
      <c r="I705">
        <v>81</v>
      </c>
      <c r="J705">
        <v>27120</v>
      </c>
      <c r="K705" t="s">
        <v>7691</v>
      </c>
      <c r="L705" s="1">
        <v>41187</v>
      </c>
      <c r="N705" t="s">
        <v>5127</v>
      </c>
      <c r="O705" t="s">
        <v>2458</v>
      </c>
      <c r="P705" t="s">
        <v>6544</v>
      </c>
      <c r="Q705" t="s">
        <v>39</v>
      </c>
      <c r="R705" t="s">
        <v>40</v>
      </c>
      <c r="S705">
        <v>0</v>
      </c>
      <c r="U705" t="s">
        <v>5550</v>
      </c>
      <c r="V705" t="s">
        <v>1797</v>
      </c>
      <c r="X705" t="s">
        <v>74</v>
      </c>
      <c r="Y705" t="b">
        <v>0</v>
      </c>
      <c r="Z705" t="b">
        <v>0</v>
      </c>
      <c r="AC705" s="1"/>
      <c r="AF705">
        <v>0</v>
      </c>
      <c r="AG705">
        <v>45</v>
      </c>
      <c r="AH705">
        <v>126</v>
      </c>
      <c r="AI705" s="2">
        <f>Table__192.168.3.138AgingReportBEWLGS[[#This Row],[NetAmount]]-Table__192.168.3.138AgingReportBEWLGS[[#This Row],[Paid]]</f>
        <v>27120</v>
      </c>
    </row>
    <row r="706" spans="1:35">
      <c r="A706" t="s">
        <v>7692</v>
      </c>
      <c r="B706" s="1">
        <v>41188</v>
      </c>
      <c r="C706" s="1">
        <v>41233</v>
      </c>
      <c r="D706" t="s">
        <v>6542</v>
      </c>
      <c r="E706">
        <v>30000</v>
      </c>
      <c r="F706">
        <v>0</v>
      </c>
      <c r="G706">
        <v>0</v>
      </c>
      <c r="H706">
        <v>0</v>
      </c>
      <c r="I706">
        <v>84</v>
      </c>
      <c r="J706">
        <v>30000</v>
      </c>
      <c r="K706" t="s">
        <v>7693</v>
      </c>
      <c r="L706" s="1">
        <v>41184</v>
      </c>
      <c r="N706" t="s">
        <v>5127</v>
      </c>
      <c r="O706" t="s">
        <v>2458</v>
      </c>
      <c r="P706" t="s">
        <v>6544</v>
      </c>
      <c r="Q706" t="s">
        <v>39</v>
      </c>
      <c r="R706" t="s">
        <v>40</v>
      </c>
      <c r="S706">
        <v>0</v>
      </c>
      <c r="U706" t="s">
        <v>5550</v>
      </c>
      <c r="V706" t="s">
        <v>1797</v>
      </c>
      <c r="X706" t="s">
        <v>74</v>
      </c>
      <c r="Y706" t="b">
        <v>0</v>
      </c>
      <c r="Z706" t="b">
        <v>0</v>
      </c>
      <c r="AC706" s="1"/>
      <c r="AF706">
        <v>0</v>
      </c>
      <c r="AG706">
        <v>45</v>
      </c>
      <c r="AH706">
        <v>129</v>
      </c>
      <c r="AI706" s="2">
        <f>Table__192.168.3.138AgingReportBEWLGS[[#This Row],[NetAmount]]-Table__192.168.3.138AgingReportBEWLGS[[#This Row],[Paid]]</f>
        <v>30000</v>
      </c>
    </row>
    <row r="707" spans="1:35">
      <c r="A707" t="s">
        <v>7694</v>
      </c>
      <c r="B707" s="1">
        <v>41185</v>
      </c>
      <c r="C707" s="1">
        <v>41230</v>
      </c>
      <c r="D707" t="s">
        <v>6542</v>
      </c>
      <c r="E707">
        <v>25600</v>
      </c>
      <c r="F707">
        <v>0</v>
      </c>
      <c r="G707">
        <v>0</v>
      </c>
      <c r="H707">
        <v>0</v>
      </c>
      <c r="I707">
        <v>83</v>
      </c>
      <c r="J707">
        <v>25600</v>
      </c>
      <c r="K707" t="s">
        <v>7695</v>
      </c>
      <c r="L707" s="1">
        <v>41185</v>
      </c>
      <c r="N707" t="s">
        <v>5127</v>
      </c>
      <c r="O707" t="s">
        <v>2458</v>
      </c>
      <c r="P707" t="s">
        <v>6544</v>
      </c>
      <c r="Q707" t="s">
        <v>39</v>
      </c>
      <c r="R707" t="s">
        <v>40</v>
      </c>
      <c r="S707">
        <v>0</v>
      </c>
      <c r="U707" t="s">
        <v>5550</v>
      </c>
      <c r="V707" t="s">
        <v>1797</v>
      </c>
      <c r="X707" t="s">
        <v>74</v>
      </c>
      <c r="Y707" t="b">
        <v>0</v>
      </c>
      <c r="Z707" t="b">
        <v>0</v>
      </c>
      <c r="AC707" s="1"/>
      <c r="AF707">
        <v>0</v>
      </c>
      <c r="AG707">
        <v>45</v>
      </c>
      <c r="AH707">
        <v>128</v>
      </c>
      <c r="AI707" s="2">
        <f>Table__192.168.3.138AgingReportBEWLGS[[#This Row],[NetAmount]]-Table__192.168.3.138AgingReportBEWLGS[[#This Row],[Paid]]</f>
        <v>25600</v>
      </c>
    </row>
    <row r="708" spans="1:35">
      <c r="A708" t="s">
        <v>7696</v>
      </c>
      <c r="B708" s="1">
        <v>41213</v>
      </c>
      <c r="C708" s="1">
        <v>41258</v>
      </c>
      <c r="D708" t="s">
        <v>7647</v>
      </c>
      <c r="E708">
        <v>47614</v>
      </c>
      <c r="F708">
        <v>7618</v>
      </c>
      <c r="G708">
        <v>0</v>
      </c>
      <c r="H708">
        <v>0</v>
      </c>
      <c r="I708">
        <v>55</v>
      </c>
      <c r="J708">
        <v>55232</v>
      </c>
      <c r="K708" t="s">
        <v>7697</v>
      </c>
      <c r="L708" s="1">
        <v>41213</v>
      </c>
      <c r="N708" t="s">
        <v>5127</v>
      </c>
      <c r="O708" t="s">
        <v>2458</v>
      </c>
      <c r="P708" t="s">
        <v>7649</v>
      </c>
      <c r="Q708" t="s">
        <v>39</v>
      </c>
      <c r="R708" t="s">
        <v>40</v>
      </c>
      <c r="S708">
        <v>0</v>
      </c>
      <c r="U708" t="s">
        <v>5550</v>
      </c>
      <c r="V708" t="s">
        <v>1797</v>
      </c>
      <c r="X708" t="s">
        <v>74</v>
      </c>
      <c r="Y708" t="b">
        <v>0</v>
      </c>
      <c r="Z708" t="b">
        <v>0</v>
      </c>
      <c r="AC708" s="1"/>
      <c r="AF708">
        <v>0</v>
      </c>
      <c r="AG708">
        <v>45</v>
      </c>
      <c r="AH708">
        <v>100</v>
      </c>
      <c r="AI708" s="2">
        <f>Table__192.168.3.138AgingReportBEWLGS[[#This Row],[NetAmount]]-Table__192.168.3.138AgingReportBEWLGS[[#This Row],[Paid]]</f>
        <v>55232</v>
      </c>
    </row>
    <row r="709" spans="1:35">
      <c r="A709" t="s">
        <v>7698</v>
      </c>
      <c r="B709" s="1">
        <v>41205</v>
      </c>
      <c r="C709" s="1">
        <v>41250</v>
      </c>
      <c r="D709" t="s">
        <v>6335</v>
      </c>
      <c r="E709">
        <v>417331</v>
      </c>
      <c r="F709">
        <v>66773</v>
      </c>
      <c r="G709">
        <v>0</v>
      </c>
      <c r="H709">
        <v>0</v>
      </c>
      <c r="I709">
        <v>67</v>
      </c>
      <c r="J709">
        <v>484104</v>
      </c>
      <c r="K709" t="s">
        <v>7699</v>
      </c>
      <c r="L709" s="1">
        <v>41201</v>
      </c>
      <c r="N709" t="s">
        <v>5127</v>
      </c>
      <c r="O709" t="s">
        <v>2458</v>
      </c>
      <c r="P709" t="s">
        <v>6337</v>
      </c>
      <c r="Q709" t="s">
        <v>39</v>
      </c>
      <c r="R709" t="s">
        <v>40</v>
      </c>
      <c r="S709">
        <v>0</v>
      </c>
      <c r="U709" t="s">
        <v>5550</v>
      </c>
      <c r="V709" t="s">
        <v>1797</v>
      </c>
      <c r="X709" t="s">
        <v>74</v>
      </c>
      <c r="Y709" t="b">
        <v>0</v>
      </c>
      <c r="Z709" t="b">
        <v>0</v>
      </c>
      <c r="AB709" t="s">
        <v>7700</v>
      </c>
      <c r="AC709" s="1"/>
      <c r="AF709">
        <v>0</v>
      </c>
      <c r="AG709">
        <v>45</v>
      </c>
      <c r="AH709">
        <v>112</v>
      </c>
      <c r="AI709" s="2">
        <f>Table__192.168.3.138AgingReportBEWLGS[[#This Row],[NetAmount]]-Table__192.168.3.138AgingReportBEWLGS[[#This Row],[Paid]]</f>
        <v>484104</v>
      </c>
    </row>
    <row r="710" spans="1:35">
      <c r="A710" t="s">
        <v>7701</v>
      </c>
      <c r="B710" s="1">
        <v>41204</v>
      </c>
      <c r="C710" s="1">
        <v>41249</v>
      </c>
      <c r="D710" t="s">
        <v>7702</v>
      </c>
      <c r="E710">
        <v>800</v>
      </c>
      <c r="F710">
        <v>0</v>
      </c>
      <c r="G710">
        <v>0</v>
      </c>
      <c r="H710">
        <v>0</v>
      </c>
      <c r="I710">
        <v>64</v>
      </c>
      <c r="J710">
        <v>800</v>
      </c>
      <c r="K710" t="s">
        <v>3583</v>
      </c>
      <c r="L710" s="1">
        <v>41204</v>
      </c>
      <c r="N710" t="s">
        <v>5127</v>
      </c>
      <c r="O710" t="s">
        <v>2458</v>
      </c>
      <c r="P710" t="s">
        <v>7703</v>
      </c>
      <c r="Q710" t="s">
        <v>39</v>
      </c>
      <c r="R710" t="s">
        <v>40</v>
      </c>
      <c r="S710">
        <v>0</v>
      </c>
      <c r="U710" t="s">
        <v>5550</v>
      </c>
      <c r="V710" t="s">
        <v>1797</v>
      </c>
      <c r="X710" t="s">
        <v>74</v>
      </c>
      <c r="Y710" t="b">
        <v>0</v>
      </c>
      <c r="Z710" t="b">
        <v>0</v>
      </c>
      <c r="AC710" s="1"/>
      <c r="AF710">
        <v>0</v>
      </c>
      <c r="AG710">
        <v>45</v>
      </c>
      <c r="AH710">
        <v>109</v>
      </c>
      <c r="AI710" s="2">
        <f>Table__192.168.3.138AgingReportBEWLGS[[#This Row],[NetAmount]]-Table__192.168.3.138AgingReportBEWLGS[[#This Row],[Paid]]</f>
        <v>800</v>
      </c>
    </row>
    <row r="711" spans="1:35">
      <c r="A711" t="s">
        <v>7704</v>
      </c>
      <c r="B711" s="1">
        <v>41207</v>
      </c>
      <c r="C711" s="1">
        <v>41252</v>
      </c>
      <c r="D711" t="s">
        <v>6542</v>
      </c>
      <c r="E711">
        <v>25600</v>
      </c>
      <c r="F711">
        <v>0</v>
      </c>
      <c r="G711">
        <v>0</v>
      </c>
      <c r="H711">
        <v>0</v>
      </c>
      <c r="I711">
        <v>61</v>
      </c>
      <c r="J711">
        <v>25600</v>
      </c>
      <c r="K711" t="s">
        <v>7705</v>
      </c>
      <c r="L711" s="1">
        <v>41207</v>
      </c>
      <c r="N711" t="s">
        <v>5127</v>
      </c>
      <c r="O711" t="s">
        <v>2458</v>
      </c>
      <c r="P711" t="s">
        <v>6544</v>
      </c>
      <c r="Q711" t="s">
        <v>39</v>
      </c>
      <c r="R711" t="s">
        <v>40</v>
      </c>
      <c r="S711">
        <v>0</v>
      </c>
      <c r="U711" t="s">
        <v>5550</v>
      </c>
      <c r="V711" t="s">
        <v>1797</v>
      </c>
      <c r="X711" t="s">
        <v>74</v>
      </c>
      <c r="Y711" t="b">
        <v>0</v>
      </c>
      <c r="Z711" t="b">
        <v>0</v>
      </c>
      <c r="AC711" s="1"/>
      <c r="AF711">
        <v>0</v>
      </c>
      <c r="AG711">
        <v>45</v>
      </c>
      <c r="AH711">
        <v>106</v>
      </c>
      <c r="AI711" s="2">
        <f>Table__192.168.3.138AgingReportBEWLGS[[#This Row],[NetAmount]]-Table__192.168.3.138AgingReportBEWLGS[[#This Row],[Paid]]</f>
        <v>25600</v>
      </c>
    </row>
    <row r="712" spans="1:35">
      <c r="A712" t="s">
        <v>7706</v>
      </c>
      <c r="B712" s="1">
        <v>41202</v>
      </c>
      <c r="C712" s="1">
        <v>41247</v>
      </c>
      <c r="D712" t="s">
        <v>6542</v>
      </c>
      <c r="E712">
        <v>25600</v>
      </c>
      <c r="F712">
        <v>0</v>
      </c>
      <c r="G712">
        <v>0</v>
      </c>
      <c r="H712">
        <v>0</v>
      </c>
      <c r="I712">
        <v>66</v>
      </c>
      <c r="J712">
        <v>25600</v>
      </c>
      <c r="K712" t="s">
        <v>7707</v>
      </c>
      <c r="L712" s="1">
        <v>41202</v>
      </c>
      <c r="N712" t="s">
        <v>5127</v>
      </c>
      <c r="O712" t="s">
        <v>2458</v>
      </c>
      <c r="P712" t="s">
        <v>6544</v>
      </c>
      <c r="Q712" t="s">
        <v>39</v>
      </c>
      <c r="R712" t="s">
        <v>40</v>
      </c>
      <c r="S712">
        <v>0</v>
      </c>
      <c r="U712" t="s">
        <v>5550</v>
      </c>
      <c r="V712" t="s">
        <v>1797</v>
      </c>
      <c r="X712" t="s">
        <v>74</v>
      </c>
      <c r="Y712" t="b">
        <v>0</v>
      </c>
      <c r="Z712" t="b">
        <v>0</v>
      </c>
      <c r="AC712" s="1"/>
      <c r="AF712">
        <v>0</v>
      </c>
      <c r="AG712">
        <v>45</v>
      </c>
      <c r="AH712">
        <v>111</v>
      </c>
      <c r="AI712" s="2">
        <f>Table__192.168.3.138AgingReportBEWLGS[[#This Row],[NetAmount]]-Table__192.168.3.138AgingReportBEWLGS[[#This Row],[Paid]]</f>
        <v>25600</v>
      </c>
    </row>
    <row r="713" spans="1:35">
      <c r="A713" t="s">
        <v>7708</v>
      </c>
      <c r="B713" s="1">
        <v>41205</v>
      </c>
      <c r="C713" s="1">
        <v>41250</v>
      </c>
      <c r="D713" t="s">
        <v>7709</v>
      </c>
      <c r="E713">
        <v>12931</v>
      </c>
      <c r="F713">
        <v>2069</v>
      </c>
      <c r="G713">
        <v>0</v>
      </c>
      <c r="H713">
        <v>0</v>
      </c>
      <c r="I713">
        <v>68</v>
      </c>
      <c r="J713">
        <v>15000</v>
      </c>
      <c r="K713" t="s">
        <v>7710</v>
      </c>
      <c r="L713" s="1">
        <v>41200</v>
      </c>
      <c r="M713" t="s">
        <v>7711</v>
      </c>
      <c r="N713" t="s">
        <v>5127</v>
      </c>
      <c r="O713" t="s">
        <v>2458</v>
      </c>
      <c r="P713" t="s">
        <v>7712</v>
      </c>
      <c r="Q713" t="s">
        <v>39</v>
      </c>
      <c r="R713" t="s">
        <v>40</v>
      </c>
      <c r="S713">
        <v>0</v>
      </c>
      <c r="U713" t="s">
        <v>5550</v>
      </c>
      <c r="V713" t="s">
        <v>1797</v>
      </c>
      <c r="W713" t="s">
        <v>7713</v>
      </c>
      <c r="X713" t="s">
        <v>74</v>
      </c>
      <c r="Y713" t="b">
        <v>0</v>
      </c>
      <c r="Z713" t="b">
        <v>0</v>
      </c>
      <c r="AA713" t="b">
        <v>0</v>
      </c>
      <c r="AC713" s="1"/>
      <c r="AF713">
        <v>0</v>
      </c>
      <c r="AG713">
        <v>45</v>
      </c>
      <c r="AH713">
        <v>113</v>
      </c>
      <c r="AI713" s="2">
        <f>Table__192.168.3.138AgingReportBEWLGS[[#This Row],[NetAmount]]-Table__192.168.3.138AgingReportBEWLGS[[#This Row],[Paid]]</f>
        <v>15000</v>
      </c>
    </row>
    <row r="714" spans="1:35">
      <c r="A714" t="s">
        <v>7714</v>
      </c>
      <c r="B714" s="1">
        <v>41199</v>
      </c>
      <c r="C714" s="1">
        <v>41244</v>
      </c>
      <c r="D714" t="s">
        <v>7715</v>
      </c>
      <c r="E714">
        <v>23000</v>
      </c>
      <c r="F714">
        <v>3680</v>
      </c>
      <c r="G714">
        <v>0</v>
      </c>
      <c r="H714">
        <v>0</v>
      </c>
      <c r="I714">
        <v>71</v>
      </c>
      <c r="J714">
        <v>26680</v>
      </c>
      <c r="K714" t="s">
        <v>6680</v>
      </c>
      <c r="L714" s="1">
        <v>41197</v>
      </c>
      <c r="N714" t="s">
        <v>5127</v>
      </c>
      <c r="O714" t="s">
        <v>2458</v>
      </c>
      <c r="P714" t="s">
        <v>7716</v>
      </c>
      <c r="Q714" t="s">
        <v>39</v>
      </c>
      <c r="R714" t="s">
        <v>40</v>
      </c>
      <c r="S714">
        <v>0</v>
      </c>
      <c r="U714" t="s">
        <v>5550</v>
      </c>
      <c r="V714" t="s">
        <v>1797</v>
      </c>
      <c r="X714" t="s">
        <v>74</v>
      </c>
      <c r="Y714" t="b">
        <v>0</v>
      </c>
      <c r="Z714" t="b">
        <v>0</v>
      </c>
      <c r="AC714" s="1"/>
      <c r="AF714">
        <v>0</v>
      </c>
      <c r="AG714">
        <v>45</v>
      </c>
      <c r="AH714">
        <v>116</v>
      </c>
      <c r="AI714" s="2">
        <f>Table__192.168.3.138AgingReportBEWLGS[[#This Row],[NetAmount]]-Table__192.168.3.138AgingReportBEWLGS[[#This Row],[Paid]]</f>
        <v>26680</v>
      </c>
    </row>
    <row r="715" spans="1:35">
      <c r="A715" t="s">
        <v>7717</v>
      </c>
      <c r="B715" s="1">
        <v>41188</v>
      </c>
      <c r="C715" s="1">
        <v>41233</v>
      </c>
      <c r="D715" t="s">
        <v>7718</v>
      </c>
      <c r="E715">
        <v>11000</v>
      </c>
      <c r="F715">
        <v>1760</v>
      </c>
      <c r="G715">
        <v>0</v>
      </c>
      <c r="H715">
        <v>0</v>
      </c>
      <c r="I715">
        <v>82</v>
      </c>
      <c r="J715">
        <v>12760</v>
      </c>
      <c r="K715" t="s">
        <v>7719</v>
      </c>
      <c r="L715" s="1">
        <v>41186</v>
      </c>
      <c r="N715" t="s">
        <v>5127</v>
      </c>
      <c r="O715" t="s">
        <v>2458</v>
      </c>
      <c r="P715" t="s">
        <v>7720</v>
      </c>
      <c r="Q715" t="s">
        <v>39</v>
      </c>
      <c r="R715" t="s">
        <v>40</v>
      </c>
      <c r="S715">
        <v>0</v>
      </c>
      <c r="U715" t="s">
        <v>5550</v>
      </c>
      <c r="V715" t="s">
        <v>1797</v>
      </c>
      <c r="X715" t="s">
        <v>74</v>
      </c>
      <c r="Y715" t="b">
        <v>0</v>
      </c>
      <c r="Z715" t="b">
        <v>0</v>
      </c>
      <c r="AC715" s="1"/>
      <c r="AF715">
        <v>0</v>
      </c>
      <c r="AG715">
        <v>45</v>
      </c>
      <c r="AH715">
        <v>127</v>
      </c>
      <c r="AI715" s="2">
        <f>Table__192.168.3.138AgingReportBEWLGS[[#This Row],[NetAmount]]-Table__192.168.3.138AgingReportBEWLGS[[#This Row],[Paid]]</f>
        <v>12760</v>
      </c>
    </row>
    <row r="716" spans="1:35">
      <c r="A716" t="s">
        <v>7721</v>
      </c>
      <c r="B716" s="1">
        <v>41207</v>
      </c>
      <c r="C716" s="1">
        <v>41252</v>
      </c>
      <c r="D716" t="s">
        <v>7722</v>
      </c>
      <c r="E716">
        <v>4900</v>
      </c>
      <c r="F716">
        <v>784</v>
      </c>
      <c r="G716">
        <v>0</v>
      </c>
      <c r="H716">
        <v>0</v>
      </c>
      <c r="I716">
        <v>74</v>
      </c>
      <c r="J716">
        <v>5684</v>
      </c>
      <c r="K716" t="s">
        <v>7723</v>
      </c>
      <c r="L716" s="1">
        <v>41194</v>
      </c>
      <c r="N716" t="s">
        <v>5127</v>
      </c>
      <c r="O716" t="s">
        <v>2458</v>
      </c>
      <c r="P716" t="s">
        <v>7724</v>
      </c>
      <c r="Q716" t="s">
        <v>39</v>
      </c>
      <c r="R716" t="s">
        <v>40</v>
      </c>
      <c r="S716">
        <v>0</v>
      </c>
      <c r="U716" t="s">
        <v>5550</v>
      </c>
      <c r="V716" t="s">
        <v>1797</v>
      </c>
      <c r="X716" t="s">
        <v>74</v>
      </c>
      <c r="Y716" t="b">
        <v>0</v>
      </c>
      <c r="Z716" t="b">
        <v>0</v>
      </c>
      <c r="AC716" s="1"/>
      <c r="AF716">
        <v>0</v>
      </c>
      <c r="AG716">
        <v>45</v>
      </c>
      <c r="AH716">
        <v>119</v>
      </c>
      <c r="AI716" s="2">
        <f>Table__192.168.3.138AgingReportBEWLGS[[#This Row],[NetAmount]]-Table__192.168.3.138AgingReportBEWLGS[[#This Row],[Paid]]</f>
        <v>5684</v>
      </c>
    </row>
    <row r="717" spans="1:35">
      <c r="A717" t="s">
        <v>7725</v>
      </c>
      <c r="B717" s="1">
        <v>41181</v>
      </c>
      <c r="C717" s="1">
        <v>41226</v>
      </c>
      <c r="D717" t="s">
        <v>6328</v>
      </c>
      <c r="E717">
        <v>476850</v>
      </c>
      <c r="F717">
        <v>76296</v>
      </c>
      <c r="G717">
        <v>0</v>
      </c>
      <c r="H717">
        <v>0</v>
      </c>
      <c r="I717">
        <v>85</v>
      </c>
      <c r="J717">
        <v>555671</v>
      </c>
      <c r="K717" t="s">
        <v>7726</v>
      </c>
      <c r="L717" s="1">
        <v>41183</v>
      </c>
      <c r="N717" t="s">
        <v>5127</v>
      </c>
      <c r="O717" t="s">
        <v>2458</v>
      </c>
      <c r="P717" t="s">
        <v>6330</v>
      </c>
      <c r="Q717" t="s">
        <v>39</v>
      </c>
      <c r="R717" t="s">
        <v>40</v>
      </c>
      <c r="S717">
        <v>0</v>
      </c>
      <c r="U717" t="s">
        <v>5550</v>
      </c>
      <c r="V717" t="s">
        <v>1797</v>
      </c>
      <c r="X717" t="s">
        <v>74</v>
      </c>
      <c r="Y717" t="b">
        <v>0</v>
      </c>
      <c r="Z717" t="b">
        <v>0</v>
      </c>
      <c r="AC717" s="1"/>
      <c r="AF717">
        <v>0</v>
      </c>
      <c r="AG717">
        <v>45</v>
      </c>
      <c r="AH717">
        <v>130</v>
      </c>
      <c r="AI717" s="2">
        <f>Table__192.168.3.138AgingReportBEWLGS[[#This Row],[NetAmount]]-Table__192.168.3.138AgingReportBEWLGS[[#This Row],[Paid]]</f>
        <v>555671</v>
      </c>
    </row>
    <row r="718" spans="1:35">
      <c r="A718" t="s">
        <v>7727</v>
      </c>
      <c r="B718" s="1">
        <v>41188</v>
      </c>
      <c r="C718" s="1">
        <v>41233</v>
      </c>
      <c r="D718" t="s">
        <v>6328</v>
      </c>
      <c r="E718">
        <v>425850</v>
      </c>
      <c r="F718">
        <v>68136</v>
      </c>
      <c r="G718">
        <v>0</v>
      </c>
      <c r="H718">
        <v>0</v>
      </c>
      <c r="I718">
        <v>80</v>
      </c>
      <c r="J718">
        <v>496240</v>
      </c>
      <c r="K718" t="s">
        <v>7728</v>
      </c>
      <c r="L718" s="1">
        <v>41188</v>
      </c>
      <c r="N718" t="s">
        <v>5127</v>
      </c>
      <c r="O718" t="s">
        <v>2458</v>
      </c>
      <c r="P718" t="s">
        <v>6330</v>
      </c>
      <c r="Q718" t="s">
        <v>39</v>
      </c>
      <c r="R718" t="s">
        <v>40</v>
      </c>
      <c r="S718">
        <v>0</v>
      </c>
      <c r="U718" t="s">
        <v>5550</v>
      </c>
      <c r="V718" t="s">
        <v>1797</v>
      </c>
      <c r="X718" t="s">
        <v>74</v>
      </c>
      <c r="Y718" t="b">
        <v>0</v>
      </c>
      <c r="Z718" t="b">
        <v>0</v>
      </c>
      <c r="AC718" s="1"/>
      <c r="AF718">
        <v>0</v>
      </c>
      <c r="AG718">
        <v>45</v>
      </c>
      <c r="AH718">
        <v>125</v>
      </c>
      <c r="AI718" s="2">
        <f>Table__192.168.3.138AgingReportBEWLGS[[#This Row],[NetAmount]]-Table__192.168.3.138AgingReportBEWLGS[[#This Row],[Paid]]</f>
        <v>496240</v>
      </c>
    </row>
    <row r="719" spans="1:35">
      <c r="A719" t="s">
        <v>7729</v>
      </c>
      <c r="B719" s="1">
        <v>41197</v>
      </c>
      <c r="C719" s="1">
        <v>41242</v>
      </c>
      <c r="D719" t="s">
        <v>6328</v>
      </c>
      <c r="E719">
        <v>577150</v>
      </c>
      <c r="F719">
        <v>92344</v>
      </c>
      <c r="G719">
        <v>0</v>
      </c>
      <c r="H719">
        <v>0</v>
      </c>
      <c r="I719">
        <v>71</v>
      </c>
      <c r="J719">
        <v>672550</v>
      </c>
      <c r="K719" t="s">
        <v>7730</v>
      </c>
      <c r="L719" s="1">
        <v>41197</v>
      </c>
      <c r="N719" t="s">
        <v>5127</v>
      </c>
      <c r="O719" t="s">
        <v>2458</v>
      </c>
      <c r="P719" t="s">
        <v>6330</v>
      </c>
      <c r="Q719" t="s">
        <v>39</v>
      </c>
      <c r="R719" t="s">
        <v>40</v>
      </c>
      <c r="S719">
        <v>0</v>
      </c>
      <c r="U719" t="s">
        <v>5550</v>
      </c>
      <c r="V719" t="s">
        <v>1797</v>
      </c>
      <c r="X719" t="s">
        <v>74</v>
      </c>
      <c r="Y719" t="b">
        <v>0</v>
      </c>
      <c r="Z719" t="b">
        <v>0</v>
      </c>
      <c r="AC719" s="1"/>
      <c r="AF719">
        <v>0</v>
      </c>
      <c r="AG719">
        <v>45</v>
      </c>
      <c r="AH719">
        <v>116</v>
      </c>
      <c r="AI719" s="2">
        <f>Table__192.168.3.138AgingReportBEWLGS[[#This Row],[NetAmount]]-Table__192.168.3.138AgingReportBEWLGS[[#This Row],[Paid]]</f>
        <v>672550</v>
      </c>
    </row>
    <row r="720" spans="1:35">
      <c r="A720" t="s">
        <v>7731</v>
      </c>
      <c r="B720" s="1">
        <v>41207</v>
      </c>
      <c r="C720" s="1">
        <v>41252</v>
      </c>
      <c r="D720" t="s">
        <v>6328</v>
      </c>
      <c r="E720">
        <v>825350</v>
      </c>
      <c r="F720">
        <v>132056</v>
      </c>
      <c r="G720">
        <v>0</v>
      </c>
      <c r="H720">
        <v>0</v>
      </c>
      <c r="I720">
        <v>61</v>
      </c>
      <c r="J720">
        <v>961776</v>
      </c>
      <c r="K720" t="s">
        <v>7732</v>
      </c>
      <c r="L720" s="1">
        <v>41207</v>
      </c>
      <c r="N720" t="s">
        <v>5127</v>
      </c>
      <c r="O720" t="s">
        <v>2458</v>
      </c>
      <c r="P720" t="s">
        <v>6330</v>
      </c>
      <c r="Q720" t="s">
        <v>39</v>
      </c>
      <c r="R720" t="s">
        <v>40</v>
      </c>
      <c r="S720">
        <v>0</v>
      </c>
      <c r="U720" t="s">
        <v>5550</v>
      </c>
      <c r="V720" t="s">
        <v>1797</v>
      </c>
      <c r="X720" t="s">
        <v>74</v>
      </c>
      <c r="Y720" t="b">
        <v>0</v>
      </c>
      <c r="Z720" t="b">
        <v>0</v>
      </c>
      <c r="AC720" s="1"/>
      <c r="AF720">
        <v>0</v>
      </c>
      <c r="AG720">
        <v>45</v>
      </c>
      <c r="AH720">
        <v>106</v>
      </c>
      <c r="AI720" s="2">
        <f>Table__192.168.3.138AgingReportBEWLGS[[#This Row],[NetAmount]]-Table__192.168.3.138AgingReportBEWLGS[[#This Row],[Paid]]</f>
        <v>961776</v>
      </c>
    </row>
    <row r="721" spans="1:35">
      <c r="A721" t="s">
        <v>7733</v>
      </c>
      <c r="B721" s="1">
        <v>41202</v>
      </c>
      <c r="C721" s="1">
        <v>41247</v>
      </c>
      <c r="D721" t="s">
        <v>6474</v>
      </c>
      <c r="E721">
        <v>96495</v>
      </c>
      <c r="F721">
        <v>15439</v>
      </c>
      <c r="G721">
        <v>0</v>
      </c>
      <c r="H721">
        <v>0</v>
      </c>
      <c r="I721">
        <v>64</v>
      </c>
      <c r="J721">
        <v>114934</v>
      </c>
      <c r="K721" t="s">
        <v>7734</v>
      </c>
      <c r="L721" s="1">
        <v>41204</v>
      </c>
      <c r="N721" t="s">
        <v>5127</v>
      </c>
      <c r="O721" t="s">
        <v>2458</v>
      </c>
      <c r="P721" t="s">
        <v>6475</v>
      </c>
      <c r="Q721" t="s">
        <v>39</v>
      </c>
      <c r="R721" t="s">
        <v>40</v>
      </c>
      <c r="S721">
        <v>0</v>
      </c>
      <c r="U721" t="s">
        <v>5550</v>
      </c>
      <c r="V721" t="s">
        <v>1797</v>
      </c>
      <c r="X721" t="s">
        <v>74</v>
      </c>
      <c r="Y721" t="b">
        <v>0</v>
      </c>
      <c r="Z721" t="b">
        <v>0</v>
      </c>
      <c r="AB721" t="s">
        <v>7533</v>
      </c>
      <c r="AC721" s="1">
        <v>41304</v>
      </c>
      <c r="AF721">
        <v>0</v>
      </c>
      <c r="AG721">
        <v>45</v>
      </c>
      <c r="AH721">
        <v>109</v>
      </c>
      <c r="AI721" s="2">
        <f>Table__192.168.3.138AgingReportBEWLGS[[#This Row],[NetAmount]]-Table__192.168.3.138AgingReportBEWLGS[[#This Row],[Paid]]</f>
        <v>114934</v>
      </c>
    </row>
    <row r="722" spans="1:35">
      <c r="A722" t="s">
        <v>7735</v>
      </c>
      <c r="B722" s="1">
        <v>41205</v>
      </c>
      <c r="C722" s="1">
        <v>41250</v>
      </c>
      <c r="D722" t="s">
        <v>6474</v>
      </c>
      <c r="E722">
        <v>25575</v>
      </c>
      <c r="F722">
        <v>4092</v>
      </c>
      <c r="G722">
        <v>0</v>
      </c>
      <c r="H722">
        <v>0</v>
      </c>
      <c r="I722">
        <v>56</v>
      </c>
      <c r="J722">
        <v>29667</v>
      </c>
      <c r="K722" t="s">
        <v>7736</v>
      </c>
      <c r="L722" s="1">
        <v>41212</v>
      </c>
      <c r="N722" t="s">
        <v>5127</v>
      </c>
      <c r="O722" t="s">
        <v>2458</v>
      </c>
      <c r="P722" t="s">
        <v>6475</v>
      </c>
      <c r="Q722" t="s">
        <v>39</v>
      </c>
      <c r="R722" t="s">
        <v>40</v>
      </c>
      <c r="S722">
        <v>0</v>
      </c>
      <c r="U722" t="s">
        <v>5550</v>
      </c>
      <c r="V722" t="s">
        <v>1797</v>
      </c>
      <c r="X722" t="s">
        <v>74</v>
      </c>
      <c r="Y722" t="b">
        <v>0</v>
      </c>
      <c r="Z722" t="b">
        <v>0</v>
      </c>
      <c r="AB722" t="s">
        <v>7533</v>
      </c>
      <c r="AC722" s="1">
        <v>41304</v>
      </c>
      <c r="AF722">
        <v>0</v>
      </c>
      <c r="AG722">
        <v>45</v>
      </c>
      <c r="AH722">
        <v>101</v>
      </c>
      <c r="AI722" s="2">
        <f>Table__192.168.3.138AgingReportBEWLGS[[#This Row],[NetAmount]]-Table__192.168.3.138AgingReportBEWLGS[[#This Row],[Paid]]</f>
        <v>29667</v>
      </c>
    </row>
    <row r="723" spans="1:35">
      <c r="A723" t="s">
        <v>7737</v>
      </c>
      <c r="B723" s="1">
        <v>41213</v>
      </c>
      <c r="C723" s="1">
        <v>41258</v>
      </c>
      <c r="D723" t="s">
        <v>6318</v>
      </c>
      <c r="E723">
        <v>3840</v>
      </c>
      <c r="F723">
        <v>614</v>
      </c>
      <c r="G723">
        <v>0</v>
      </c>
      <c r="H723">
        <v>0</v>
      </c>
      <c r="I723">
        <v>55</v>
      </c>
      <c r="J723">
        <v>4454</v>
      </c>
      <c r="K723" t="s">
        <v>7738</v>
      </c>
      <c r="L723" s="1">
        <v>41213</v>
      </c>
      <c r="N723" t="s">
        <v>5127</v>
      </c>
      <c r="O723" t="s">
        <v>2458</v>
      </c>
      <c r="P723" t="s">
        <v>6320</v>
      </c>
      <c r="Q723" t="s">
        <v>39</v>
      </c>
      <c r="R723" t="s">
        <v>40</v>
      </c>
      <c r="S723">
        <v>0</v>
      </c>
      <c r="U723" t="s">
        <v>5550</v>
      </c>
      <c r="V723" t="s">
        <v>1797</v>
      </c>
      <c r="X723" t="s">
        <v>74</v>
      </c>
      <c r="Y723" t="b">
        <v>0</v>
      </c>
      <c r="Z723" t="b">
        <v>0</v>
      </c>
      <c r="AB723" t="s">
        <v>7321</v>
      </c>
      <c r="AC723" s="1">
        <v>41307</v>
      </c>
      <c r="AF723">
        <v>0</v>
      </c>
      <c r="AG723">
        <v>45</v>
      </c>
      <c r="AH723">
        <v>100</v>
      </c>
      <c r="AI723" s="2">
        <f>Table__192.168.3.138AgingReportBEWLGS[[#This Row],[NetAmount]]-Table__192.168.3.138AgingReportBEWLGS[[#This Row],[Paid]]</f>
        <v>4454</v>
      </c>
    </row>
    <row r="724" spans="1:35">
      <c r="A724" t="s">
        <v>7739</v>
      </c>
      <c r="B724" s="1">
        <v>41207</v>
      </c>
      <c r="C724" s="1">
        <v>41252</v>
      </c>
      <c r="D724" t="s">
        <v>7709</v>
      </c>
      <c r="E724">
        <v>139849</v>
      </c>
      <c r="F724">
        <v>22376</v>
      </c>
      <c r="G724">
        <v>0</v>
      </c>
      <c r="H724">
        <v>0</v>
      </c>
      <c r="I724">
        <v>63</v>
      </c>
      <c r="J724">
        <v>162225</v>
      </c>
      <c r="K724" t="s">
        <v>7740</v>
      </c>
      <c r="L724" s="1">
        <v>41205</v>
      </c>
      <c r="M724" t="s">
        <v>7741</v>
      </c>
      <c r="N724" t="s">
        <v>5127</v>
      </c>
      <c r="O724" t="s">
        <v>2458</v>
      </c>
      <c r="P724" t="s">
        <v>7712</v>
      </c>
      <c r="Q724" t="s">
        <v>39</v>
      </c>
      <c r="R724" t="s">
        <v>40</v>
      </c>
      <c r="S724">
        <v>0</v>
      </c>
      <c r="U724" t="s">
        <v>5550</v>
      </c>
      <c r="V724" t="s">
        <v>1797</v>
      </c>
      <c r="W724" t="s">
        <v>7713</v>
      </c>
      <c r="X724" t="s">
        <v>74</v>
      </c>
      <c r="Y724" t="b">
        <v>0</v>
      </c>
      <c r="Z724" t="b">
        <v>0</v>
      </c>
      <c r="AA724" t="b">
        <v>0</v>
      </c>
      <c r="AC724" s="1"/>
      <c r="AF724">
        <v>0</v>
      </c>
      <c r="AG724">
        <v>45</v>
      </c>
      <c r="AH724">
        <v>108</v>
      </c>
      <c r="AI724" s="2">
        <f>Table__192.168.3.138AgingReportBEWLGS[[#This Row],[NetAmount]]-Table__192.168.3.138AgingReportBEWLGS[[#This Row],[Paid]]</f>
        <v>162225</v>
      </c>
    </row>
    <row r="725" spans="1:35">
      <c r="A725" t="s">
        <v>7742</v>
      </c>
      <c r="B725" s="1">
        <v>41198</v>
      </c>
      <c r="C725" s="1">
        <v>41243</v>
      </c>
      <c r="D725" t="s">
        <v>6278</v>
      </c>
      <c r="E725">
        <v>11849</v>
      </c>
      <c r="F725">
        <v>421</v>
      </c>
      <c r="G725">
        <v>0</v>
      </c>
      <c r="H725">
        <v>0</v>
      </c>
      <c r="I725">
        <v>55</v>
      </c>
      <c r="J725">
        <v>12270</v>
      </c>
      <c r="K725" t="s">
        <v>5981</v>
      </c>
      <c r="L725" s="1">
        <v>41213</v>
      </c>
      <c r="N725" t="s">
        <v>5127</v>
      </c>
      <c r="O725" t="s">
        <v>2458</v>
      </c>
      <c r="P725" t="s">
        <v>6280</v>
      </c>
      <c r="Q725" t="s">
        <v>39</v>
      </c>
      <c r="R725" t="s">
        <v>40</v>
      </c>
      <c r="S725">
        <v>0</v>
      </c>
      <c r="U725" t="s">
        <v>5550</v>
      </c>
      <c r="V725" t="s">
        <v>1797</v>
      </c>
      <c r="X725" t="s">
        <v>74</v>
      </c>
      <c r="Y725" t="b">
        <v>0</v>
      </c>
      <c r="Z725" t="b">
        <v>0</v>
      </c>
      <c r="AC725" s="1"/>
      <c r="AF725">
        <v>0</v>
      </c>
      <c r="AG725">
        <v>45</v>
      </c>
      <c r="AH725">
        <v>100</v>
      </c>
      <c r="AI725" s="2">
        <f>Table__192.168.3.138AgingReportBEWLGS[[#This Row],[NetAmount]]-Table__192.168.3.138AgingReportBEWLGS[[#This Row],[Paid]]</f>
        <v>12270</v>
      </c>
    </row>
    <row r="726" spans="1:35">
      <c r="A726" t="s">
        <v>7743</v>
      </c>
      <c r="B726" s="1">
        <v>41192</v>
      </c>
      <c r="C726" s="1">
        <v>41237</v>
      </c>
      <c r="D726" t="s">
        <v>6703</v>
      </c>
      <c r="E726">
        <v>599782</v>
      </c>
      <c r="F726">
        <v>95966</v>
      </c>
      <c r="G726">
        <v>0</v>
      </c>
      <c r="H726">
        <v>0</v>
      </c>
      <c r="I726">
        <v>55</v>
      </c>
      <c r="J726">
        <v>695751</v>
      </c>
      <c r="K726" t="s">
        <v>7744</v>
      </c>
      <c r="L726" s="1">
        <v>41213</v>
      </c>
      <c r="N726" t="s">
        <v>5127</v>
      </c>
      <c r="O726" t="s">
        <v>2458</v>
      </c>
      <c r="P726" t="s">
        <v>6705</v>
      </c>
      <c r="Q726" t="s">
        <v>39</v>
      </c>
      <c r="R726" t="s">
        <v>40</v>
      </c>
      <c r="S726">
        <v>0</v>
      </c>
      <c r="U726" t="s">
        <v>5550</v>
      </c>
      <c r="V726" t="s">
        <v>1797</v>
      </c>
      <c r="X726" t="s">
        <v>74</v>
      </c>
      <c r="Y726" t="b">
        <v>0</v>
      </c>
      <c r="Z726" t="b">
        <v>0</v>
      </c>
      <c r="AC726" s="1"/>
      <c r="AF726">
        <v>0</v>
      </c>
      <c r="AG726">
        <v>45</v>
      </c>
      <c r="AH726">
        <v>100</v>
      </c>
      <c r="AI726" s="2">
        <f>Table__192.168.3.138AgingReportBEWLGS[[#This Row],[NetAmount]]-Table__192.168.3.138AgingReportBEWLGS[[#This Row],[Paid]]</f>
        <v>695751</v>
      </c>
    </row>
    <row r="727" spans="1:35">
      <c r="A727" t="s">
        <v>7745</v>
      </c>
      <c r="B727" s="1">
        <v>41199</v>
      </c>
      <c r="C727" s="1">
        <v>41244</v>
      </c>
      <c r="D727" t="s">
        <v>6703</v>
      </c>
      <c r="E727">
        <v>795578</v>
      </c>
      <c r="F727">
        <v>127292</v>
      </c>
      <c r="G727">
        <v>0</v>
      </c>
      <c r="H727">
        <v>0</v>
      </c>
      <c r="I727">
        <v>55</v>
      </c>
      <c r="J727">
        <v>922870</v>
      </c>
      <c r="K727" t="s">
        <v>7746</v>
      </c>
      <c r="L727" s="1">
        <v>41213</v>
      </c>
      <c r="N727" t="s">
        <v>5127</v>
      </c>
      <c r="O727" t="s">
        <v>2458</v>
      </c>
      <c r="P727" t="s">
        <v>6705</v>
      </c>
      <c r="Q727" t="s">
        <v>39</v>
      </c>
      <c r="R727" t="s">
        <v>40</v>
      </c>
      <c r="S727">
        <v>0</v>
      </c>
      <c r="U727" t="s">
        <v>5550</v>
      </c>
      <c r="V727" t="s">
        <v>1797</v>
      </c>
      <c r="X727" t="s">
        <v>74</v>
      </c>
      <c r="Y727" t="b">
        <v>0</v>
      </c>
      <c r="Z727" t="b">
        <v>0</v>
      </c>
      <c r="AC727" s="1"/>
      <c r="AF727">
        <v>0</v>
      </c>
      <c r="AG727">
        <v>45</v>
      </c>
      <c r="AH727">
        <v>100</v>
      </c>
      <c r="AI727" s="2">
        <f>Table__192.168.3.138AgingReportBEWLGS[[#This Row],[NetAmount]]-Table__192.168.3.138AgingReportBEWLGS[[#This Row],[Paid]]</f>
        <v>922870</v>
      </c>
    </row>
    <row r="728" spans="1:35">
      <c r="A728" t="s">
        <v>7747</v>
      </c>
      <c r="B728" s="1">
        <v>41205</v>
      </c>
      <c r="C728" s="1">
        <v>41205</v>
      </c>
      <c r="D728" t="s">
        <v>7748</v>
      </c>
      <c r="E728">
        <v>312375</v>
      </c>
      <c r="F728">
        <v>49980</v>
      </c>
      <c r="G728">
        <v>0</v>
      </c>
      <c r="H728">
        <v>0</v>
      </c>
      <c r="I728">
        <v>0</v>
      </c>
      <c r="J728">
        <v>362355</v>
      </c>
      <c r="K728" t="s">
        <v>116</v>
      </c>
      <c r="L728" s="1">
        <v>41205</v>
      </c>
      <c r="N728" t="s">
        <v>5127</v>
      </c>
      <c r="O728" t="s">
        <v>2458</v>
      </c>
      <c r="P728" t="s">
        <v>7749</v>
      </c>
      <c r="Q728" t="s">
        <v>39</v>
      </c>
      <c r="R728" t="s">
        <v>40</v>
      </c>
      <c r="S728">
        <v>0</v>
      </c>
      <c r="U728" t="s">
        <v>5550</v>
      </c>
      <c r="V728" t="s">
        <v>1797</v>
      </c>
      <c r="X728" t="s">
        <v>74</v>
      </c>
      <c r="Y728" t="b">
        <v>0</v>
      </c>
      <c r="Z728" t="b">
        <v>0</v>
      </c>
      <c r="AC728" s="1"/>
      <c r="AF728">
        <v>0</v>
      </c>
      <c r="AH728">
        <v>108</v>
      </c>
      <c r="AI728" s="2">
        <f>Table__192.168.3.138AgingReportBEWLGS[[#This Row],[NetAmount]]-Table__192.168.3.138AgingReportBEWLGS[[#This Row],[Paid]]</f>
        <v>362355</v>
      </c>
    </row>
    <row r="729" spans="1:35">
      <c r="A729" t="s">
        <v>7750</v>
      </c>
      <c r="B729" s="1">
        <v>41205</v>
      </c>
      <c r="C729" s="1">
        <v>41205</v>
      </c>
      <c r="D729" t="s">
        <v>7622</v>
      </c>
      <c r="E729">
        <v>260205</v>
      </c>
      <c r="F729">
        <v>41633</v>
      </c>
      <c r="G729">
        <v>0</v>
      </c>
      <c r="H729">
        <v>0</v>
      </c>
      <c r="I729">
        <v>0</v>
      </c>
      <c r="J729">
        <v>301838</v>
      </c>
      <c r="K729" t="s">
        <v>3310</v>
      </c>
      <c r="L729" s="1">
        <v>41205</v>
      </c>
      <c r="N729" t="s">
        <v>5127</v>
      </c>
      <c r="O729" t="s">
        <v>2458</v>
      </c>
      <c r="P729" t="s">
        <v>7624</v>
      </c>
      <c r="Q729" t="s">
        <v>39</v>
      </c>
      <c r="R729" t="s">
        <v>40</v>
      </c>
      <c r="S729">
        <v>0</v>
      </c>
      <c r="U729" t="s">
        <v>5550</v>
      </c>
      <c r="V729" t="s">
        <v>1797</v>
      </c>
      <c r="X729" t="s">
        <v>74</v>
      </c>
      <c r="Y729" t="b">
        <v>0</v>
      </c>
      <c r="Z729" t="b">
        <v>0</v>
      </c>
      <c r="AC729" s="1"/>
      <c r="AF729">
        <v>0</v>
      </c>
      <c r="AH729">
        <v>108</v>
      </c>
      <c r="AI729" s="2">
        <f>Table__192.168.3.138AgingReportBEWLGS[[#This Row],[NetAmount]]-Table__192.168.3.138AgingReportBEWLGS[[#This Row],[Paid]]</f>
        <v>301838</v>
      </c>
    </row>
    <row r="730" spans="1:35">
      <c r="A730" t="s">
        <v>7751</v>
      </c>
      <c r="B730" s="1">
        <v>41204</v>
      </c>
      <c r="C730" s="1">
        <v>41249</v>
      </c>
      <c r="D730" t="s">
        <v>6406</v>
      </c>
      <c r="E730">
        <v>1290650</v>
      </c>
      <c r="F730">
        <v>206504</v>
      </c>
      <c r="G730">
        <v>0</v>
      </c>
      <c r="H730">
        <v>0</v>
      </c>
      <c r="I730">
        <v>61</v>
      </c>
      <c r="J730">
        <v>1497154</v>
      </c>
      <c r="K730" t="s">
        <v>7629</v>
      </c>
      <c r="L730" s="1">
        <v>41207</v>
      </c>
      <c r="N730" t="s">
        <v>5127</v>
      </c>
      <c r="O730" t="s">
        <v>2458</v>
      </c>
      <c r="P730" t="s">
        <v>6407</v>
      </c>
      <c r="Q730" t="s">
        <v>39</v>
      </c>
      <c r="R730" t="s">
        <v>40</v>
      </c>
      <c r="S730">
        <v>0</v>
      </c>
      <c r="U730" t="s">
        <v>5550</v>
      </c>
      <c r="V730" t="s">
        <v>1797</v>
      </c>
      <c r="X730" t="s">
        <v>74</v>
      </c>
      <c r="Y730" t="b">
        <v>0</v>
      </c>
      <c r="Z730" t="b">
        <v>0</v>
      </c>
      <c r="AC730" s="1"/>
      <c r="AF730">
        <v>0</v>
      </c>
      <c r="AG730">
        <v>45</v>
      </c>
      <c r="AH730">
        <v>106</v>
      </c>
      <c r="AI730" s="2">
        <f>Table__192.168.3.138AgingReportBEWLGS[[#This Row],[NetAmount]]-Table__192.168.3.138AgingReportBEWLGS[[#This Row],[Paid]]</f>
        <v>1497154</v>
      </c>
    </row>
    <row r="731" spans="1:35">
      <c r="A731" t="s">
        <v>7752</v>
      </c>
      <c r="B731" s="1">
        <v>41195</v>
      </c>
      <c r="C731" s="1">
        <v>41240</v>
      </c>
      <c r="D731" t="s">
        <v>6703</v>
      </c>
      <c r="E731">
        <v>978645</v>
      </c>
      <c r="F731">
        <v>156583</v>
      </c>
      <c r="G731">
        <v>0</v>
      </c>
      <c r="H731">
        <v>0</v>
      </c>
      <c r="I731">
        <v>55</v>
      </c>
      <c r="J731">
        <v>1135228</v>
      </c>
      <c r="K731" t="s">
        <v>7753</v>
      </c>
      <c r="L731" s="1">
        <v>41213</v>
      </c>
      <c r="N731" t="s">
        <v>5127</v>
      </c>
      <c r="O731" t="s">
        <v>2458</v>
      </c>
      <c r="P731" t="s">
        <v>6705</v>
      </c>
      <c r="Q731" t="s">
        <v>39</v>
      </c>
      <c r="R731" t="s">
        <v>40</v>
      </c>
      <c r="S731">
        <v>0</v>
      </c>
      <c r="U731" t="s">
        <v>5550</v>
      </c>
      <c r="V731" t="s">
        <v>1797</v>
      </c>
      <c r="X731" t="s">
        <v>74</v>
      </c>
      <c r="Y731" t="b">
        <v>0</v>
      </c>
      <c r="Z731" t="b">
        <v>0</v>
      </c>
      <c r="AC731" s="1"/>
      <c r="AF731">
        <v>0</v>
      </c>
      <c r="AG731">
        <v>45</v>
      </c>
      <c r="AH731">
        <v>100</v>
      </c>
      <c r="AI731" s="2">
        <f>Table__192.168.3.138AgingReportBEWLGS[[#This Row],[NetAmount]]-Table__192.168.3.138AgingReportBEWLGS[[#This Row],[Paid]]</f>
        <v>1135228</v>
      </c>
    </row>
    <row r="732" spans="1:35">
      <c r="A732" t="s">
        <v>7754</v>
      </c>
      <c r="B732" s="1">
        <v>41223</v>
      </c>
      <c r="C732" s="1">
        <v>41268</v>
      </c>
      <c r="D732" t="s">
        <v>7755</v>
      </c>
      <c r="E732">
        <v>19250</v>
      </c>
      <c r="F732">
        <v>0</v>
      </c>
      <c r="G732">
        <v>0</v>
      </c>
      <c r="H732">
        <v>0</v>
      </c>
      <c r="I732">
        <v>50</v>
      </c>
      <c r="J732">
        <v>19250</v>
      </c>
      <c r="K732" t="s">
        <v>4368</v>
      </c>
      <c r="L732" s="1">
        <v>41218</v>
      </c>
      <c r="N732" t="s">
        <v>5127</v>
      </c>
      <c r="O732" t="s">
        <v>2458</v>
      </c>
      <c r="P732" t="s">
        <v>7756</v>
      </c>
      <c r="Q732" t="s">
        <v>39</v>
      </c>
      <c r="R732" t="s">
        <v>40</v>
      </c>
      <c r="S732">
        <v>0</v>
      </c>
      <c r="U732" t="s">
        <v>5550</v>
      </c>
      <c r="V732" t="s">
        <v>1797</v>
      </c>
      <c r="X732" t="s">
        <v>74</v>
      </c>
      <c r="Y732" t="b">
        <v>0</v>
      </c>
      <c r="Z732" t="b">
        <v>0</v>
      </c>
      <c r="AC732" s="1"/>
      <c r="AF732">
        <v>0</v>
      </c>
      <c r="AG732">
        <v>45</v>
      </c>
      <c r="AH732">
        <v>95</v>
      </c>
      <c r="AI732" s="2">
        <f>Table__192.168.3.138AgingReportBEWLGS[[#This Row],[NetAmount]]-Table__192.168.3.138AgingReportBEWLGS[[#This Row],[Paid]]</f>
        <v>19250</v>
      </c>
    </row>
    <row r="733" spans="1:35">
      <c r="A733" t="s">
        <v>7757</v>
      </c>
      <c r="B733" s="1">
        <v>41223</v>
      </c>
      <c r="C733" s="1">
        <v>41268</v>
      </c>
      <c r="D733" t="s">
        <v>5459</v>
      </c>
      <c r="E733">
        <v>5400</v>
      </c>
      <c r="F733">
        <v>0</v>
      </c>
      <c r="G733">
        <v>0</v>
      </c>
      <c r="H733">
        <v>0</v>
      </c>
      <c r="I733">
        <v>52</v>
      </c>
      <c r="J733">
        <v>5400</v>
      </c>
      <c r="K733" t="s">
        <v>7758</v>
      </c>
      <c r="L733" s="1">
        <v>41216</v>
      </c>
      <c r="N733" t="s">
        <v>5127</v>
      </c>
      <c r="O733" t="s">
        <v>2458</v>
      </c>
      <c r="P733" t="s">
        <v>7759</v>
      </c>
      <c r="Q733" t="s">
        <v>39</v>
      </c>
      <c r="R733" t="s">
        <v>40</v>
      </c>
      <c r="S733">
        <v>0</v>
      </c>
      <c r="U733" t="s">
        <v>5550</v>
      </c>
      <c r="V733" t="s">
        <v>1797</v>
      </c>
      <c r="X733" t="s">
        <v>74</v>
      </c>
      <c r="Y733" t="b">
        <v>0</v>
      </c>
      <c r="Z733" t="b">
        <v>0</v>
      </c>
      <c r="AC733" s="1"/>
      <c r="AF733">
        <v>0</v>
      </c>
      <c r="AG733">
        <v>45</v>
      </c>
      <c r="AH733">
        <v>97</v>
      </c>
      <c r="AI733" s="2">
        <f>Table__192.168.3.138AgingReportBEWLGS[[#This Row],[NetAmount]]-Table__192.168.3.138AgingReportBEWLGS[[#This Row],[Paid]]</f>
        <v>5400</v>
      </c>
    </row>
    <row r="734" spans="1:35">
      <c r="A734" t="s">
        <v>7760</v>
      </c>
      <c r="B734" s="1">
        <v>41223</v>
      </c>
      <c r="C734" s="1">
        <v>41268</v>
      </c>
      <c r="D734" t="s">
        <v>5459</v>
      </c>
      <c r="E734">
        <v>2000</v>
      </c>
      <c r="F734">
        <v>0</v>
      </c>
      <c r="G734">
        <v>0</v>
      </c>
      <c r="H734">
        <v>0</v>
      </c>
      <c r="I734">
        <v>50</v>
      </c>
      <c r="J734">
        <v>2000</v>
      </c>
      <c r="K734" t="s">
        <v>4979</v>
      </c>
      <c r="L734" s="1">
        <v>41218</v>
      </c>
      <c r="N734" t="s">
        <v>5127</v>
      </c>
      <c r="O734" t="s">
        <v>2458</v>
      </c>
      <c r="P734" t="s">
        <v>7759</v>
      </c>
      <c r="Q734" t="s">
        <v>39</v>
      </c>
      <c r="R734" t="s">
        <v>40</v>
      </c>
      <c r="S734">
        <v>0</v>
      </c>
      <c r="U734" t="s">
        <v>5550</v>
      </c>
      <c r="V734" t="s">
        <v>1797</v>
      </c>
      <c r="X734" t="s">
        <v>74</v>
      </c>
      <c r="Y734" t="b">
        <v>0</v>
      </c>
      <c r="Z734" t="b">
        <v>0</v>
      </c>
      <c r="AC734" s="1"/>
      <c r="AF734">
        <v>0</v>
      </c>
      <c r="AG734">
        <v>45</v>
      </c>
      <c r="AH734">
        <v>95</v>
      </c>
      <c r="AI734" s="2">
        <f>Table__192.168.3.138AgingReportBEWLGS[[#This Row],[NetAmount]]-Table__192.168.3.138AgingReportBEWLGS[[#This Row],[Paid]]</f>
        <v>2000</v>
      </c>
    </row>
    <row r="735" spans="1:35">
      <c r="A735" t="s">
        <v>7761</v>
      </c>
      <c r="B735" s="1">
        <v>41220</v>
      </c>
      <c r="C735" s="1">
        <v>41265</v>
      </c>
      <c r="D735" t="s">
        <v>7545</v>
      </c>
      <c r="E735">
        <v>103525</v>
      </c>
      <c r="F735">
        <v>16564</v>
      </c>
      <c r="G735">
        <v>0</v>
      </c>
      <c r="H735">
        <v>0</v>
      </c>
      <c r="I735">
        <v>43</v>
      </c>
      <c r="J735">
        <v>120089</v>
      </c>
      <c r="K735" t="s">
        <v>7179</v>
      </c>
      <c r="L735" s="1">
        <v>41225</v>
      </c>
      <c r="N735" t="s">
        <v>5127</v>
      </c>
      <c r="O735" t="s">
        <v>2458</v>
      </c>
      <c r="P735" t="s">
        <v>7547</v>
      </c>
      <c r="Q735" t="s">
        <v>39</v>
      </c>
      <c r="R735" t="s">
        <v>40</v>
      </c>
      <c r="S735">
        <v>0</v>
      </c>
      <c r="U735" t="s">
        <v>5550</v>
      </c>
      <c r="V735" t="s">
        <v>1797</v>
      </c>
      <c r="X735" t="s">
        <v>74</v>
      </c>
      <c r="Y735" t="b">
        <v>0</v>
      </c>
      <c r="Z735" t="b">
        <v>0</v>
      </c>
      <c r="AC735" s="1"/>
      <c r="AF735">
        <v>0</v>
      </c>
      <c r="AG735">
        <v>45</v>
      </c>
      <c r="AH735">
        <v>88</v>
      </c>
      <c r="AI735" s="2">
        <f>Table__192.168.3.138AgingReportBEWLGS[[#This Row],[NetAmount]]-Table__192.168.3.138AgingReportBEWLGS[[#This Row],[Paid]]</f>
        <v>120089</v>
      </c>
    </row>
    <row r="736" spans="1:35">
      <c r="A736" t="s">
        <v>7762</v>
      </c>
      <c r="B736" s="1">
        <v>41216</v>
      </c>
      <c r="C736" s="1">
        <v>41261</v>
      </c>
      <c r="D736" t="s">
        <v>7556</v>
      </c>
      <c r="E736">
        <v>51750</v>
      </c>
      <c r="F736">
        <v>8280</v>
      </c>
      <c r="G736">
        <v>0</v>
      </c>
      <c r="H736">
        <v>0</v>
      </c>
      <c r="I736">
        <v>53</v>
      </c>
      <c r="J736">
        <v>60030</v>
      </c>
      <c r="K736" t="s">
        <v>7546</v>
      </c>
      <c r="L736" s="1">
        <v>41215</v>
      </c>
      <c r="N736" t="s">
        <v>5127</v>
      </c>
      <c r="O736" t="s">
        <v>2458</v>
      </c>
      <c r="P736" t="s">
        <v>7559</v>
      </c>
      <c r="Q736" t="s">
        <v>39</v>
      </c>
      <c r="R736" t="s">
        <v>40</v>
      </c>
      <c r="S736">
        <v>0</v>
      </c>
      <c r="U736" t="s">
        <v>5550</v>
      </c>
      <c r="V736" t="s">
        <v>1797</v>
      </c>
      <c r="X736" t="s">
        <v>74</v>
      </c>
      <c r="Y736" t="b">
        <v>0</v>
      </c>
      <c r="Z736" t="b">
        <v>0</v>
      </c>
      <c r="AC736" s="1"/>
      <c r="AF736">
        <v>0</v>
      </c>
      <c r="AG736">
        <v>45</v>
      </c>
      <c r="AH736">
        <v>98</v>
      </c>
      <c r="AI736" s="2">
        <f>Table__192.168.3.138AgingReportBEWLGS[[#This Row],[NetAmount]]-Table__192.168.3.138AgingReportBEWLGS[[#This Row],[Paid]]</f>
        <v>60030</v>
      </c>
    </row>
    <row r="737" spans="1:35">
      <c r="A737" t="s">
        <v>7763</v>
      </c>
      <c r="B737" s="1">
        <v>41214</v>
      </c>
      <c r="C737" s="1">
        <v>41259</v>
      </c>
      <c r="D737" t="s">
        <v>6425</v>
      </c>
      <c r="E737">
        <v>28820</v>
      </c>
      <c r="F737">
        <v>4611</v>
      </c>
      <c r="G737">
        <v>0</v>
      </c>
      <c r="H737">
        <v>0</v>
      </c>
      <c r="I737">
        <v>54</v>
      </c>
      <c r="J737">
        <v>33431</v>
      </c>
      <c r="K737" t="s">
        <v>7764</v>
      </c>
      <c r="L737" s="1">
        <v>41214</v>
      </c>
      <c r="N737" t="s">
        <v>5127</v>
      </c>
      <c r="O737" t="s">
        <v>2458</v>
      </c>
      <c r="P737" t="s">
        <v>5478</v>
      </c>
      <c r="Q737" t="s">
        <v>39</v>
      </c>
      <c r="R737" t="s">
        <v>40</v>
      </c>
      <c r="S737">
        <v>0</v>
      </c>
      <c r="U737" t="s">
        <v>5550</v>
      </c>
      <c r="V737" t="s">
        <v>1797</v>
      </c>
      <c r="X737" t="s">
        <v>74</v>
      </c>
      <c r="Y737" t="b">
        <v>0</v>
      </c>
      <c r="Z737" t="b">
        <v>0</v>
      </c>
      <c r="AC737" s="1"/>
      <c r="AF737">
        <v>0</v>
      </c>
      <c r="AG737">
        <v>45</v>
      </c>
      <c r="AH737">
        <v>99</v>
      </c>
      <c r="AI737" s="2">
        <f>Table__192.168.3.138AgingReportBEWLGS[[#This Row],[NetAmount]]-Table__192.168.3.138AgingReportBEWLGS[[#This Row],[Paid]]</f>
        <v>33431</v>
      </c>
    </row>
    <row r="738" spans="1:35">
      <c r="A738" t="s">
        <v>7765</v>
      </c>
      <c r="B738" s="1">
        <v>41214</v>
      </c>
      <c r="C738" s="1">
        <v>41259</v>
      </c>
      <c r="D738" t="s">
        <v>6425</v>
      </c>
      <c r="E738">
        <v>5890</v>
      </c>
      <c r="F738">
        <v>942</v>
      </c>
      <c r="G738">
        <v>0</v>
      </c>
      <c r="H738">
        <v>0</v>
      </c>
      <c r="I738">
        <v>54</v>
      </c>
      <c r="J738">
        <v>6832</v>
      </c>
      <c r="K738" t="s">
        <v>4101</v>
      </c>
      <c r="L738" s="1">
        <v>41214</v>
      </c>
      <c r="N738" t="s">
        <v>5127</v>
      </c>
      <c r="O738" t="s">
        <v>2458</v>
      </c>
      <c r="P738" t="s">
        <v>5478</v>
      </c>
      <c r="Q738" t="s">
        <v>39</v>
      </c>
      <c r="R738" t="s">
        <v>40</v>
      </c>
      <c r="S738">
        <v>0</v>
      </c>
      <c r="U738" t="s">
        <v>5550</v>
      </c>
      <c r="V738" t="s">
        <v>1797</v>
      </c>
      <c r="X738" t="s">
        <v>74</v>
      </c>
      <c r="Y738" t="b">
        <v>0</v>
      </c>
      <c r="Z738" t="b">
        <v>0</v>
      </c>
      <c r="AC738" s="1"/>
      <c r="AF738">
        <v>0</v>
      </c>
      <c r="AG738">
        <v>45</v>
      </c>
      <c r="AH738">
        <v>99</v>
      </c>
      <c r="AI738" s="2">
        <f>Table__192.168.3.138AgingReportBEWLGS[[#This Row],[NetAmount]]-Table__192.168.3.138AgingReportBEWLGS[[#This Row],[Paid]]</f>
        <v>6832</v>
      </c>
    </row>
    <row r="739" spans="1:35">
      <c r="A739" t="s">
        <v>7766</v>
      </c>
      <c r="B739" s="1">
        <v>41223</v>
      </c>
      <c r="C739" s="1">
        <v>41268</v>
      </c>
      <c r="D739" t="s">
        <v>7767</v>
      </c>
      <c r="E739">
        <v>8000</v>
      </c>
      <c r="F739">
        <v>1280</v>
      </c>
      <c r="G739">
        <v>0</v>
      </c>
      <c r="H739">
        <v>0</v>
      </c>
      <c r="I739">
        <v>43</v>
      </c>
      <c r="J739">
        <v>9280</v>
      </c>
      <c r="K739" t="s">
        <v>7768</v>
      </c>
      <c r="L739" s="1">
        <v>41225</v>
      </c>
      <c r="M739" t="s">
        <v>7769</v>
      </c>
      <c r="N739" t="s">
        <v>5127</v>
      </c>
      <c r="O739" t="s">
        <v>2458</v>
      </c>
      <c r="P739" t="s">
        <v>7770</v>
      </c>
      <c r="Q739" t="s">
        <v>39</v>
      </c>
      <c r="R739" t="s">
        <v>40</v>
      </c>
      <c r="S739">
        <v>0</v>
      </c>
      <c r="U739" t="s">
        <v>5550</v>
      </c>
      <c r="V739" t="s">
        <v>1797</v>
      </c>
      <c r="W739" t="s">
        <v>7771</v>
      </c>
      <c r="X739" t="s">
        <v>74</v>
      </c>
      <c r="Y739" t="b">
        <v>0</v>
      </c>
      <c r="Z739" t="b">
        <v>0</v>
      </c>
      <c r="AA739" t="b">
        <v>0</v>
      </c>
      <c r="AC739" s="1"/>
      <c r="AF739">
        <v>0</v>
      </c>
      <c r="AG739">
        <v>45</v>
      </c>
      <c r="AH739">
        <v>88</v>
      </c>
      <c r="AI739" s="2">
        <f>Table__192.168.3.138AgingReportBEWLGS[[#This Row],[NetAmount]]-Table__192.168.3.138AgingReportBEWLGS[[#This Row],[Paid]]</f>
        <v>9280</v>
      </c>
    </row>
    <row r="740" spans="1:35">
      <c r="A740" t="s">
        <v>7772</v>
      </c>
      <c r="B740" s="1">
        <v>41223</v>
      </c>
      <c r="C740" s="1">
        <v>41268</v>
      </c>
      <c r="D740" t="s">
        <v>7773</v>
      </c>
      <c r="E740">
        <v>10303</v>
      </c>
      <c r="F740">
        <v>1649</v>
      </c>
      <c r="G740">
        <v>0</v>
      </c>
      <c r="H740">
        <v>0</v>
      </c>
      <c r="I740">
        <v>48</v>
      </c>
      <c r="J740">
        <v>11952</v>
      </c>
      <c r="K740" t="s">
        <v>7774</v>
      </c>
      <c r="L740" s="1">
        <v>41220</v>
      </c>
      <c r="M740" t="s">
        <v>7775</v>
      </c>
      <c r="N740" t="s">
        <v>5127</v>
      </c>
      <c r="O740" t="s">
        <v>2458</v>
      </c>
      <c r="P740" t="s">
        <v>7776</v>
      </c>
      <c r="Q740" t="s">
        <v>39</v>
      </c>
      <c r="R740" t="s">
        <v>40</v>
      </c>
      <c r="S740">
        <v>0</v>
      </c>
      <c r="U740" t="s">
        <v>5550</v>
      </c>
      <c r="V740" t="s">
        <v>1797</v>
      </c>
      <c r="W740" t="s">
        <v>7777</v>
      </c>
      <c r="X740" t="s">
        <v>74</v>
      </c>
      <c r="Y740" t="b">
        <v>0</v>
      </c>
      <c r="Z740" t="b">
        <v>0</v>
      </c>
      <c r="AA740" t="b">
        <v>0</v>
      </c>
      <c r="AC740" s="1"/>
      <c r="AF740">
        <v>0</v>
      </c>
      <c r="AG740">
        <v>45</v>
      </c>
      <c r="AH740">
        <v>93</v>
      </c>
      <c r="AI740" s="2">
        <f>Table__192.168.3.138AgingReportBEWLGS[[#This Row],[NetAmount]]-Table__192.168.3.138AgingReportBEWLGS[[#This Row],[Paid]]</f>
        <v>11952</v>
      </c>
    </row>
    <row r="741" spans="1:35">
      <c r="A741" t="s">
        <v>7778</v>
      </c>
      <c r="B741" s="1">
        <v>41216</v>
      </c>
      <c r="C741" s="1">
        <v>41261</v>
      </c>
      <c r="D741" t="s">
        <v>6335</v>
      </c>
      <c r="E741">
        <v>250399</v>
      </c>
      <c r="F741">
        <v>40064</v>
      </c>
      <c r="G741">
        <v>0</v>
      </c>
      <c r="H741">
        <v>0</v>
      </c>
      <c r="I741">
        <v>53</v>
      </c>
      <c r="J741">
        <v>290463</v>
      </c>
      <c r="K741" t="s">
        <v>7779</v>
      </c>
      <c r="L741" s="1">
        <v>41215</v>
      </c>
      <c r="N741" t="s">
        <v>5127</v>
      </c>
      <c r="O741" t="s">
        <v>2458</v>
      </c>
      <c r="P741" t="s">
        <v>6337</v>
      </c>
      <c r="Q741" t="s">
        <v>39</v>
      </c>
      <c r="R741" t="s">
        <v>40</v>
      </c>
      <c r="S741">
        <v>0</v>
      </c>
      <c r="U741" t="s">
        <v>5550</v>
      </c>
      <c r="V741" t="s">
        <v>1797</v>
      </c>
      <c r="X741" t="s">
        <v>74</v>
      </c>
      <c r="Y741" t="b">
        <v>0</v>
      </c>
      <c r="Z741" t="b">
        <v>0</v>
      </c>
      <c r="AB741" t="s">
        <v>7780</v>
      </c>
      <c r="AC741" s="1"/>
      <c r="AF741">
        <v>0</v>
      </c>
      <c r="AG741">
        <v>45</v>
      </c>
      <c r="AH741">
        <v>98</v>
      </c>
      <c r="AI741" s="2">
        <f>Table__192.168.3.138AgingReportBEWLGS[[#This Row],[NetAmount]]-Table__192.168.3.138AgingReportBEWLGS[[#This Row],[Paid]]</f>
        <v>290463</v>
      </c>
    </row>
    <row r="742" spans="1:35">
      <c r="A742" t="s">
        <v>7781</v>
      </c>
      <c r="B742" s="1">
        <v>41216</v>
      </c>
      <c r="C742" s="1">
        <v>41261</v>
      </c>
      <c r="D742" t="s">
        <v>6335</v>
      </c>
      <c r="E742">
        <v>166932</v>
      </c>
      <c r="F742">
        <v>26709</v>
      </c>
      <c r="G742">
        <v>0</v>
      </c>
      <c r="H742">
        <v>0</v>
      </c>
      <c r="I742">
        <v>53</v>
      </c>
      <c r="J742">
        <v>193641</v>
      </c>
      <c r="K742" t="s">
        <v>7782</v>
      </c>
      <c r="L742" s="1">
        <v>41215</v>
      </c>
      <c r="N742" t="s">
        <v>5127</v>
      </c>
      <c r="O742" t="s">
        <v>2458</v>
      </c>
      <c r="P742" t="s">
        <v>6337</v>
      </c>
      <c r="Q742" t="s">
        <v>39</v>
      </c>
      <c r="R742" t="s">
        <v>40</v>
      </c>
      <c r="S742">
        <v>0</v>
      </c>
      <c r="U742" t="s">
        <v>5550</v>
      </c>
      <c r="V742" t="s">
        <v>1797</v>
      </c>
      <c r="X742" t="s">
        <v>74</v>
      </c>
      <c r="Y742" t="b">
        <v>0</v>
      </c>
      <c r="Z742" t="b">
        <v>0</v>
      </c>
      <c r="AB742" t="s">
        <v>7780</v>
      </c>
      <c r="AC742" s="1"/>
      <c r="AF742">
        <v>0</v>
      </c>
      <c r="AG742">
        <v>45</v>
      </c>
      <c r="AH742">
        <v>98</v>
      </c>
      <c r="AI742" s="2">
        <f>Table__192.168.3.138AgingReportBEWLGS[[#This Row],[NetAmount]]-Table__192.168.3.138AgingReportBEWLGS[[#This Row],[Paid]]</f>
        <v>193641</v>
      </c>
    </row>
    <row r="743" spans="1:35">
      <c r="A743" t="s">
        <v>7783</v>
      </c>
      <c r="B743" s="1">
        <v>41220</v>
      </c>
      <c r="C743" s="1">
        <v>41265</v>
      </c>
      <c r="D743" t="s">
        <v>6412</v>
      </c>
      <c r="E743">
        <v>1210880</v>
      </c>
      <c r="F743">
        <v>193741</v>
      </c>
      <c r="G743">
        <v>0</v>
      </c>
      <c r="H743">
        <v>0</v>
      </c>
      <c r="I743">
        <v>48</v>
      </c>
      <c r="J743">
        <v>1404621</v>
      </c>
      <c r="K743" t="s">
        <v>7784</v>
      </c>
      <c r="L743" s="1">
        <v>41220</v>
      </c>
      <c r="N743" t="s">
        <v>5127</v>
      </c>
      <c r="O743" t="s">
        <v>2458</v>
      </c>
      <c r="P743" t="s">
        <v>6414</v>
      </c>
      <c r="Q743" t="s">
        <v>39</v>
      </c>
      <c r="R743" t="s">
        <v>40</v>
      </c>
      <c r="S743">
        <v>0</v>
      </c>
      <c r="U743" t="s">
        <v>5550</v>
      </c>
      <c r="V743" t="s">
        <v>1797</v>
      </c>
      <c r="X743" t="s">
        <v>74</v>
      </c>
      <c r="Y743" t="b">
        <v>0</v>
      </c>
      <c r="Z743" t="b">
        <v>0</v>
      </c>
      <c r="AB743" t="s">
        <v>5557</v>
      </c>
      <c r="AC743" s="1">
        <v>41242</v>
      </c>
      <c r="AF743">
        <v>0</v>
      </c>
      <c r="AG743">
        <v>45</v>
      </c>
      <c r="AH743">
        <v>93</v>
      </c>
      <c r="AI743" s="2">
        <f>Table__192.168.3.138AgingReportBEWLGS[[#This Row],[NetAmount]]-Table__192.168.3.138AgingReportBEWLGS[[#This Row],[Paid]]</f>
        <v>1404621</v>
      </c>
    </row>
    <row r="744" spans="1:35">
      <c r="A744" t="s">
        <v>7785</v>
      </c>
      <c r="B744" s="1">
        <v>41216</v>
      </c>
      <c r="C744" s="1">
        <v>41261</v>
      </c>
      <c r="D744" t="s">
        <v>7786</v>
      </c>
      <c r="E744">
        <v>12338</v>
      </c>
      <c r="F744">
        <v>1974</v>
      </c>
      <c r="G744">
        <v>0</v>
      </c>
      <c r="H744">
        <v>0</v>
      </c>
      <c r="I744">
        <v>45</v>
      </c>
      <c r="J744">
        <v>14312</v>
      </c>
      <c r="K744" t="s">
        <v>7787</v>
      </c>
      <c r="L744" s="1">
        <v>41223</v>
      </c>
      <c r="N744" t="s">
        <v>5127</v>
      </c>
      <c r="O744" t="s">
        <v>2458</v>
      </c>
      <c r="P744" t="s">
        <v>7788</v>
      </c>
      <c r="Q744" t="s">
        <v>39</v>
      </c>
      <c r="R744" t="s">
        <v>40</v>
      </c>
      <c r="S744">
        <v>0</v>
      </c>
      <c r="U744" t="s">
        <v>5550</v>
      </c>
      <c r="V744" t="s">
        <v>1797</v>
      </c>
      <c r="X744" t="s">
        <v>74</v>
      </c>
      <c r="Y744" t="b">
        <v>0</v>
      </c>
      <c r="Z744" t="b">
        <v>0</v>
      </c>
      <c r="AC744" s="1"/>
      <c r="AF744">
        <v>0</v>
      </c>
      <c r="AG744">
        <v>45</v>
      </c>
      <c r="AH744">
        <v>90</v>
      </c>
      <c r="AI744" s="2">
        <f>Table__192.168.3.138AgingReportBEWLGS[[#This Row],[NetAmount]]-Table__192.168.3.138AgingReportBEWLGS[[#This Row],[Paid]]</f>
        <v>14312</v>
      </c>
    </row>
    <row r="745" spans="1:35">
      <c r="A745" t="s">
        <v>7789</v>
      </c>
      <c r="B745" s="1">
        <v>41229</v>
      </c>
      <c r="C745" s="1">
        <v>41274</v>
      </c>
      <c r="D745" t="s">
        <v>7773</v>
      </c>
      <c r="E745">
        <v>6280</v>
      </c>
      <c r="F745">
        <v>1005</v>
      </c>
      <c r="G745">
        <v>0</v>
      </c>
      <c r="H745">
        <v>0</v>
      </c>
      <c r="I745">
        <v>39</v>
      </c>
      <c r="J745">
        <v>7285</v>
      </c>
      <c r="K745" t="s">
        <v>7790</v>
      </c>
      <c r="L745" s="1">
        <v>41229</v>
      </c>
      <c r="N745" t="s">
        <v>5127</v>
      </c>
      <c r="O745" t="s">
        <v>2458</v>
      </c>
      <c r="P745" t="s">
        <v>7776</v>
      </c>
      <c r="Q745" t="s">
        <v>39</v>
      </c>
      <c r="R745" t="s">
        <v>40</v>
      </c>
      <c r="S745">
        <v>0</v>
      </c>
      <c r="U745" t="s">
        <v>5550</v>
      </c>
      <c r="V745" t="s">
        <v>1797</v>
      </c>
      <c r="X745" t="s">
        <v>74</v>
      </c>
      <c r="Y745" t="b">
        <v>0</v>
      </c>
      <c r="Z745" t="b">
        <v>0</v>
      </c>
      <c r="AC745" s="1"/>
      <c r="AF745">
        <v>0</v>
      </c>
      <c r="AG745">
        <v>45</v>
      </c>
      <c r="AH745">
        <v>84</v>
      </c>
      <c r="AI745" s="2">
        <f>Table__192.168.3.138AgingReportBEWLGS[[#This Row],[NetAmount]]-Table__192.168.3.138AgingReportBEWLGS[[#This Row],[Paid]]</f>
        <v>7285</v>
      </c>
    </row>
    <row r="746" spans="1:35">
      <c r="A746" t="s">
        <v>7791</v>
      </c>
      <c r="B746" s="1">
        <v>41223</v>
      </c>
      <c r="C746" s="1">
        <v>41268</v>
      </c>
      <c r="D746" t="s">
        <v>7773</v>
      </c>
      <c r="E746">
        <v>18426</v>
      </c>
      <c r="F746">
        <v>2948</v>
      </c>
      <c r="G746">
        <v>0</v>
      </c>
      <c r="H746">
        <v>0</v>
      </c>
      <c r="I746">
        <v>48</v>
      </c>
      <c r="J746">
        <v>21374</v>
      </c>
      <c r="K746" t="s">
        <v>7792</v>
      </c>
      <c r="L746" s="1">
        <v>41220</v>
      </c>
      <c r="M746" t="s">
        <v>7793</v>
      </c>
      <c r="N746" t="s">
        <v>5127</v>
      </c>
      <c r="O746" t="s">
        <v>2458</v>
      </c>
      <c r="P746" t="s">
        <v>7776</v>
      </c>
      <c r="Q746" t="s">
        <v>39</v>
      </c>
      <c r="R746" t="s">
        <v>40</v>
      </c>
      <c r="S746">
        <v>0</v>
      </c>
      <c r="U746" t="s">
        <v>5550</v>
      </c>
      <c r="V746" t="s">
        <v>1797</v>
      </c>
      <c r="W746" t="s">
        <v>7777</v>
      </c>
      <c r="X746" t="s">
        <v>74</v>
      </c>
      <c r="Y746" t="b">
        <v>0</v>
      </c>
      <c r="Z746" t="b">
        <v>0</v>
      </c>
      <c r="AA746" t="b">
        <v>0</v>
      </c>
      <c r="AC746" s="1"/>
      <c r="AF746">
        <v>0</v>
      </c>
      <c r="AG746">
        <v>45</v>
      </c>
      <c r="AH746">
        <v>93</v>
      </c>
      <c r="AI746" s="2">
        <f>Table__192.168.3.138AgingReportBEWLGS[[#This Row],[NetAmount]]-Table__192.168.3.138AgingReportBEWLGS[[#This Row],[Paid]]</f>
        <v>21374</v>
      </c>
    </row>
    <row r="747" spans="1:35">
      <c r="A747" t="s">
        <v>7794</v>
      </c>
      <c r="B747" s="1">
        <v>41223</v>
      </c>
      <c r="C747" s="1">
        <v>41268</v>
      </c>
      <c r="D747" t="s">
        <v>7773</v>
      </c>
      <c r="E747">
        <v>16640</v>
      </c>
      <c r="F747">
        <v>2662</v>
      </c>
      <c r="G747">
        <v>0</v>
      </c>
      <c r="H747">
        <v>0</v>
      </c>
      <c r="I747">
        <v>48</v>
      </c>
      <c r="J747">
        <v>19302</v>
      </c>
      <c r="K747" t="s">
        <v>7795</v>
      </c>
      <c r="L747" s="1">
        <v>41220</v>
      </c>
      <c r="M747" t="s">
        <v>7796</v>
      </c>
      <c r="N747" t="s">
        <v>5127</v>
      </c>
      <c r="O747" t="s">
        <v>2458</v>
      </c>
      <c r="P747" t="s">
        <v>7776</v>
      </c>
      <c r="Q747" t="s">
        <v>39</v>
      </c>
      <c r="R747" t="s">
        <v>40</v>
      </c>
      <c r="S747">
        <v>0</v>
      </c>
      <c r="U747" t="s">
        <v>5550</v>
      </c>
      <c r="V747" t="s">
        <v>1797</v>
      </c>
      <c r="W747" t="s">
        <v>7777</v>
      </c>
      <c r="X747" t="s">
        <v>74</v>
      </c>
      <c r="Y747" t="b">
        <v>0</v>
      </c>
      <c r="Z747" t="b">
        <v>0</v>
      </c>
      <c r="AA747" t="b">
        <v>0</v>
      </c>
      <c r="AC747" s="1"/>
      <c r="AF747">
        <v>0</v>
      </c>
      <c r="AG747">
        <v>45</v>
      </c>
      <c r="AH747">
        <v>93</v>
      </c>
      <c r="AI747" s="2">
        <f>Table__192.168.3.138AgingReportBEWLGS[[#This Row],[NetAmount]]-Table__192.168.3.138AgingReportBEWLGS[[#This Row],[Paid]]</f>
        <v>19302</v>
      </c>
    </row>
    <row r="748" spans="1:35">
      <c r="A748" t="s">
        <v>7797</v>
      </c>
      <c r="B748" s="1">
        <v>41229</v>
      </c>
      <c r="C748" s="1">
        <v>41274</v>
      </c>
      <c r="D748" t="s">
        <v>7773</v>
      </c>
      <c r="E748">
        <v>7106</v>
      </c>
      <c r="F748">
        <v>1137</v>
      </c>
      <c r="G748">
        <v>0</v>
      </c>
      <c r="H748">
        <v>0</v>
      </c>
      <c r="I748">
        <v>39</v>
      </c>
      <c r="J748">
        <v>8243</v>
      </c>
      <c r="K748" t="s">
        <v>7798</v>
      </c>
      <c r="L748" s="1">
        <v>41229</v>
      </c>
      <c r="N748" t="s">
        <v>5127</v>
      </c>
      <c r="O748" t="s">
        <v>2458</v>
      </c>
      <c r="P748" t="s">
        <v>7776</v>
      </c>
      <c r="Q748" t="s">
        <v>39</v>
      </c>
      <c r="R748" t="s">
        <v>40</v>
      </c>
      <c r="S748">
        <v>0</v>
      </c>
      <c r="U748" t="s">
        <v>5550</v>
      </c>
      <c r="V748" t="s">
        <v>1797</v>
      </c>
      <c r="X748" t="s">
        <v>74</v>
      </c>
      <c r="Y748" t="b">
        <v>0</v>
      </c>
      <c r="Z748" t="b">
        <v>0</v>
      </c>
      <c r="AC748" s="1"/>
      <c r="AF748">
        <v>0</v>
      </c>
      <c r="AG748">
        <v>45</v>
      </c>
      <c r="AH748">
        <v>84</v>
      </c>
      <c r="AI748" s="2">
        <f>Table__192.168.3.138AgingReportBEWLGS[[#This Row],[NetAmount]]-Table__192.168.3.138AgingReportBEWLGS[[#This Row],[Paid]]</f>
        <v>8243</v>
      </c>
    </row>
    <row r="749" spans="1:35">
      <c r="A749" t="s">
        <v>7799</v>
      </c>
      <c r="B749" s="1">
        <v>41215</v>
      </c>
      <c r="C749" s="1">
        <v>41260</v>
      </c>
      <c r="D749" t="s">
        <v>7412</v>
      </c>
      <c r="E749">
        <v>23430</v>
      </c>
      <c r="F749">
        <v>0</v>
      </c>
      <c r="G749">
        <v>0</v>
      </c>
      <c r="H749">
        <v>0</v>
      </c>
      <c r="I749">
        <v>53</v>
      </c>
      <c r="J749">
        <v>23430</v>
      </c>
      <c r="K749" t="s">
        <v>7800</v>
      </c>
      <c r="L749" s="1">
        <v>41215</v>
      </c>
      <c r="N749" t="s">
        <v>5127</v>
      </c>
      <c r="O749" t="s">
        <v>2458</v>
      </c>
      <c r="P749" t="s">
        <v>5540</v>
      </c>
      <c r="Q749" t="s">
        <v>39</v>
      </c>
      <c r="R749" t="s">
        <v>40</v>
      </c>
      <c r="S749">
        <v>0</v>
      </c>
      <c r="U749" t="s">
        <v>5550</v>
      </c>
      <c r="V749" t="s">
        <v>1797</v>
      </c>
      <c r="X749" t="s">
        <v>74</v>
      </c>
      <c r="Y749" t="b">
        <v>0</v>
      </c>
      <c r="Z749" t="b">
        <v>0</v>
      </c>
      <c r="AC749" s="1"/>
      <c r="AF749">
        <v>0</v>
      </c>
      <c r="AG749">
        <v>45</v>
      </c>
      <c r="AH749">
        <v>98</v>
      </c>
      <c r="AI749" s="2">
        <f>Table__192.168.3.138AgingReportBEWLGS[[#This Row],[NetAmount]]-Table__192.168.3.138AgingReportBEWLGS[[#This Row],[Paid]]</f>
        <v>23430</v>
      </c>
    </row>
    <row r="750" spans="1:35">
      <c r="A750" t="s">
        <v>7801</v>
      </c>
      <c r="B750" s="1">
        <v>41215</v>
      </c>
      <c r="C750" s="1">
        <v>41260</v>
      </c>
      <c r="D750" t="s">
        <v>6474</v>
      </c>
      <c r="E750">
        <v>167793</v>
      </c>
      <c r="F750">
        <v>26847</v>
      </c>
      <c r="G750">
        <v>0</v>
      </c>
      <c r="H750">
        <v>0</v>
      </c>
      <c r="I750">
        <v>49</v>
      </c>
      <c r="J750">
        <v>194640</v>
      </c>
      <c r="K750" t="s">
        <v>7802</v>
      </c>
      <c r="L750" s="1">
        <v>41219</v>
      </c>
      <c r="N750" t="s">
        <v>5127</v>
      </c>
      <c r="O750" t="s">
        <v>2458</v>
      </c>
      <c r="P750" t="s">
        <v>6475</v>
      </c>
      <c r="Q750" t="s">
        <v>39</v>
      </c>
      <c r="R750" t="s">
        <v>40</v>
      </c>
      <c r="S750">
        <v>0</v>
      </c>
      <c r="U750" t="s">
        <v>5550</v>
      </c>
      <c r="V750" t="s">
        <v>1797</v>
      </c>
      <c r="X750" t="s">
        <v>74</v>
      </c>
      <c r="Y750" t="b">
        <v>0</v>
      </c>
      <c r="Z750" t="b">
        <v>0</v>
      </c>
      <c r="AC750" s="1"/>
      <c r="AF750">
        <v>0</v>
      </c>
      <c r="AG750">
        <v>45</v>
      </c>
      <c r="AH750">
        <v>94</v>
      </c>
      <c r="AI750" s="2">
        <f>Table__192.168.3.138AgingReportBEWLGS[[#This Row],[NetAmount]]-Table__192.168.3.138AgingReportBEWLGS[[#This Row],[Paid]]</f>
        <v>194640</v>
      </c>
    </row>
    <row r="751" spans="1:35">
      <c r="A751" t="s">
        <v>7803</v>
      </c>
      <c r="B751" s="1">
        <v>41228</v>
      </c>
      <c r="C751" s="1">
        <v>41273</v>
      </c>
      <c r="D751" t="s">
        <v>6278</v>
      </c>
      <c r="E751">
        <v>11693</v>
      </c>
      <c r="F751">
        <v>397</v>
      </c>
      <c r="G751">
        <v>0</v>
      </c>
      <c r="H751">
        <v>0</v>
      </c>
      <c r="I751">
        <v>40</v>
      </c>
      <c r="J751">
        <v>12090</v>
      </c>
      <c r="K751" t="s">
        <v>5981</v>
      </c>
      <c r="L751" s="1">
        <v>41228</v>
      </c>
      <c r="N751" t="s">
        <v>5127</v>
      </c>
      <c r="O751" t="s">
        <v>2458</v>
      </c>
      <c r="P751" t="s">
        <v>6280</v>
      </c>
      <c r="Q751" t="s">
        <v>39</v>
      </c>
      <c r="R751" t="s">
        <v>40</v>
      </c>
      <c r="S751">
        <v>0</v>
      </c>
      <c r="U751" t="s">
        <v>5550</v>
      </c>
      <c r="V751" t="s">
        <v>1797</v>
      </c>
      <c r="X751" t="s">
        <v>74</v>
      </c>
      <c r="Y751" t="b">
        <v>0</v>
      </c>
      <c r="Z751" t="b">
        <v>0</v>
      </c>
      <c r="AC751" s="1"/>
      <c r="AF751">
        <v>0</v>
      </c>
      <c r="AG751">
        <v>45</v>
      </c>
      <c r="AH751">
        <v>85</v>
      </c>
      <c r="AI751" s="2">
        <f>Table__192.168.3.138AgingReportBEWLGS[[#This Row],[NetAmount]]-Table__192.168.3.138AgingReportBEWLGS[[#This Row],[Paid]]</f>
        <v>12090</v>
      </c>
    </row>
    <row r="752" spans="1:35">
      <c r="A752" t="s">
        <v>7804</v>
      </c>
      <c r="B752" s="1">
        <v>41229</v>
      </c>
      <c r="C752" s="1">
        <v>41274</v>
      </c>
      <c r="D752" t="s">
        <v>6425</v>
      </c>
      <c r="E752">
        <v>3120</v>
      </c>
      <c r="F752">
        <v>499</v>
      </c>
      <c r="G752">
        <v>0</v>
      </c>
      <c r="H752">
        <v>0</v>
      </c>
      <c r="I752">
        <v>43</v>
      </c>
      <c r="J752">
        <v>3619</v>
      </c>
      <c r="K752" t="s">
        <v>2883</v>
      </c>
      <c r="L752" s="1">
        <v>41225</v>
      </c>
      <c r="N752" t="s">
        <v>5127</v>
      </c>
      <c r="O752" t="s">
        <v>2458</v>
      </c>
      <c r="P752" t="s">
        <v>5478</v>
      </c>
      <c r="Q752" t="s">
        <v>39</v>
      </c>
      <c r="R752" t="s">
        <v>40</v>
      </c>
      <c r="S752">
        <v>0</v>
      </c>
      <c r="U752" t="s">
        <v>5550</v>
      </c>
      <c r="V752" t="s">
        <v>1797</v>
      </c>
      <c r="X752" t="s">
        <v>74</v>
      </c>
      <c r="Y752" t="b">
        <v>0</v>
      </c>
      <c r="Z752" t="b">
        <v>0</v>
      </c>
      <c r="AC752" s="1"/>
      <c r="AF752">
        <v>0</v>
      </c>
      <c r="AG752">
        <v>45</v>
      </c>
      <c r="AH752">
        <v>88</v>
      </c>
      <c r="AI752" s="2">
        <f>Table__192.168.3.138AgingReportBEWLGS[[#This Row],[NetAmount]]-Table__192.168.3.138AgingReportBEWLGS[[#This Row],[Paid]]</f>
        <v>3619</v>
      </c>
    </row>
    <row r="753" spans="1:35">
      <c r="A753" t="s">
        <v>7805</v>
      </c>
      <c r="B753" s="1">
        <v>41229</v>
      </c>
      <c r="C753" s="1">
        <v>41274</v>
      </c>
      <c r="D753" t="s">
        <v>7773</v>
      </c>
      <c r="E753">
        <v>8942</v>
      </c>
      <c r="F753">
        <v>1431</v>
      </c>
      <c r="G753">
        <v>0</v>
      </c>
      <c r="H753">
        <v>0</v>
      </c>
      <c r="I753">
        <v>39</v>
      </c>
      <c r="J753">
        <v>10373</v>
      </c>
      <c r="K753" t="s">
        <v>7806</v>
      </c>
      <c r="L753" s="1">
        <v>41229</v>
      </c>
      <c r="N753" t="s">
        <v>5127</v>
      </c>
      <c r="O753" t="s">
        <v>2458</v>
      </c>
      <c r="P753" t="s">
        <v>7776</v>
      </c>
      <c r="Q753" t="s">
        <v>39</v>
      </c>
      <c r="R753" t="s">
        <v>40</v>
      </c>
      <c r="S753">
        <v>0</v>
      </c>
      <c r="U753" t="s">
        <v>5550</v>
      </c>
      <c r="V753" t="s">
        <v>1797</v>
      </c>
      <c r="X753" t="s">
        <v>74</v>
      </c>
      <c r="Y753" t="b">
        <v>0</v>
      </c>
      <c r="Z753" t="b">
        <v>0</v>
      </c>
      <c r="AC753" s="1"/>
      <c r="AF753">
        <v>0</v>
      </c>
      <c r="AG753">
        <v>45</v>
      </c>
      <c r="AH753">
        <v>84</v>
      </c>
      <c r="AI753" s="2">
        <f>Table__192.168.3.138AgingReportBEWLGS[[#This Row],[NetAmount]]-Table__192.168.3.138AgingReportBEWLGS[[#This Row],[Paid]]</f>
        <v>10373</v>
      </c>
    </row>
    <row r="754" spans="1:35">
      <c r="A754" t="s">
        <v>7807</v>
      </c>
      <c r="B754" s="1">
        <v>41215</v>
      </c>
      <c r="C754" s="1">
        <v>41260</v>
      </c>
      <c r="D754" t="s">
        <v>6474</v>
      </c>
      <c r="E754">
        <v>96495</v>
      </c>
      <c r="F754">
        <v>15439</v>
      </c>
      <c r="G754">
        <v>0</v>
      </c>
      <c r="H754">
        <v>0</v>
      </c>
      <c r="I754">
        <v>49</v>
      </c>
      <c r="J754">
        <v>114934</v>
      </c>
      <c r="K754" t="s">
        <v>7808</v>
      </c>
      <c r="L754" s="1">
        <v>41219</v>
      </c>
      <c r="N754" t="s">
        <v>5127</v>
      </c>
      <c r="O754" t="s">
        <v>2458</v>
      </c>
      <c r="P754" t="s">
        <v>6475</v>
      </c>
      <c r="Q754" t="s">
        <v>39</v>
      </c>
      <c r="R754" t="s">
        <v>40</v>
      </c>
      <c r="S754">
        <v>0</v>
      </c>
      <c r="U754" t="s">
        <v>5550</v>
      </c>
      <c r="V754" t="s">
        <v>1797</v>
      </c>
      <c r="X754" t="s">
        <v>74</v>
      </c>
      <c r="Y754" t="b">
        <v>0</v>
      </c>
      <c r="Z754" t="b">
        <v>0</v>
      </c>
      <c r="AC754" s="1"/>
      <c r="AF754">
        <v>0</v>
      </c>
      <c r="AG754">
        <v>45</v>
      </c>
      <c r="AH754">
        <v>94</v>
      </c>
      <c r="AI754" s="2">
        <f>Table__192.168.3.138AgingReportBEWLGS[[#This Row],[NetAmount]]-Table__192.168.3.138AgingReportBEWLGS[[#This Row],[Paid]]</f>
        <v>114934</v>
      </c>
    </row>
    <row r="755" spans="1:35">
      <c r="A755" t="s">
        <v>7809</v>
      </c>
      <c r="B755" s="1">
        <v>41214</v>
      </c>
      <c r="C755" s="1">
        <v>41259</v>
      </c>
      <c r="D755" t="s">
        <v>6474</v>
      </c>
      <c r="E755">
        <v>34580</v>
      </c>
      <c r="F755">
        <v>5533</v>
      </c>
      <c r="G755">
        <v>0</v>
      </c>
      <c r="H755">
        <v>0</v>
      </c>
      <c r="I755">
        <v>49</v>
      </c>
      <c r="J755">
        <v>40113</v>
      </c>
      <c r="K755" t="s">
        <v>7810</v>
      </c>
      <c r="L755" s="1">
        <v>41219</v>
      </c>
      <c r="N755" t="s">
        <v>5127</v>
      </c>
      <c r="O755" t="s">
        <v>2458</v>
      </c>
      <c r="P755" t="s">
        <v>6475</v>
      </c>
      <c r="Q755" t="s">
        <v>39</v>
      </c>
      <c r="R755" t="s">
        <v>40</v>
      </c>
      <c r="S755">
        <v>0</v>
      </c>
      <c r="U755" t="s">
        <v>5550</v>
      </c>
      <c r="V755" t="s">
        <v>1797</v>
      </c>
      <c r="X755" t="s">
        <v>74</v>
      </c>
      <c r="Y755" t="b">
        <v>0</v>
      </c>
      <c r="Z755" t="b">
        <v>0</v>
      </c>
      <c r="AC755" s="1"/>
      <c r="AF755">
        <v>0</v>
      </c>
      <c r="AG755">
        <v>45</v>
      </c>
      <c r="AH755">
        <v>94</v>
      </c>
      <c r="AI755" s="2">
        <f>Table__192.168.3.138AgingReportBEWLGS[[#This Row],[NetAmount]]-Table__192.168.3.138AgingReportBEWLGS[[#This Row],[Paid]]</f>
        <v>40113</v>
      </c>
    </row>
    <row r="756" spans="1:35">
      <c r="A756" t="s">
        <v>7811</v>
      </c>
      <c r="B756" s="1">
        <v>41214</v>
      </c>
      <c r="C756" s="1">
        <v>41259</v>
      </c>
      <c r="D756" t="s">
        <v>6318</v>
      </c>
      <c r="E756">
        <v>255360</v>
      </c>
      <c r="F756">
        <v>40858</v>
      </c>
      <c r="G756">
        <v>0</v>
      </c>
      <c r="H756">
        <v>0</v>
      </c>
      <c r="I756">
        <v>54</v>
      </c>
      <c r="J756">
        <v>296218</v>
      </c>
      <c r="K756" t="s">
        <v>7812</v>
      </c>
      <c r="L756" s="1">
        <v>41214</v>
      </c>
      <c r="N756" t="s">
        <v>5127</v>
      </c>
      <c r="O756" t="s">
        <v>2458</v>
      </c>
      <c r="P756" t="s">
        <v>6320</v>
      </c>
      <c r="Q756" t="s">
        <v>39</v>
      </c>
      <c r="R756" t="s">
        <v>40</v>
      </c>
      <c r="S756">
        <v>0</v>
      </c>
      <c r="U756" t="s">
        <v>5550</v>
      </c>
      <c r="V756" t="s">
        <v>1797</v>
      </c>
      <c r="X756" t="s">
        <v>74</v>
      </c>
      <c r="Y756" t="b">
        <v>0</v>
      </c>
      <c r="Z756" t="b">
        <v>0</v>
      </c>
      <c r="AB756" t="s">
        <v>7321</v>
      </c>
      <c r="AC756" s="1">
        <v>41307</v>
      </c>
      <c r="AF756">
        <v>0</v>
      </c>
      <c r="AG756">
        <v>45</v>
      </c>
      <c r="AH756">
        <v>99</v>
      </c>
      <c r="AI756" s="2">
        <f>Table__192.168.3.138AgingReportBEWLGS[[#This Row],[NetAmount]]-Table__192.168.3.138AgingReportBEWLGS[[#This Row],[Paid]]</f>
        <v>296218</v>
      </c>
    </row>
    <row r="757" spans="1:35">
      <c r="A757" t="s">
        <v>7813</v>
      </c>
      <c r="B757" s="1">
        <v>41234</v>
      </c>
      <c r="C757" s="1">
        <v>41279</v>
      </c>
      <c r="D757" t="s">
        <v>6425</v>
      </c>
      <c r="E757">
        <v>40780</v>
      </c>
      <c r="F757">
        <v>6525</v>
      </c>
      <c r="G757">
        <v>0</v>
      </c>
      <c r="H757">
        <v>0</v>
      </c>
      <c r="I757">
        <v>36</v>
      </c>
      <c r="J757">
        <v>47305</v>
      </c>
      <c r="K757" t="s">
        <v>3856</v>
      </c>
      <c r="L757" s="1">
        <v>41232</v>
      </c>
      <c r="N757" t="s">
        <v>5127</v>
      </c>
      <c r="O757" t="s">
        <v>2458</v>
      </c>
      <c r="P757" t="s">
        <v>5478</v>
      </c>
      <c r="Q757" t="s">
        <v>39</v>
      </c>
      <c r="R757" t="s">
        <v>40</v>
      </c>
      <c r="S757">
        <v>0</v>
      </c>
      <c r="U757" t="s">
        <v>5550</v>
      </c>
      <c r="V757" t="s">
        <v>1797</v>
      </c>
      <c r="X757" t="s">
        <v>74</v>
      </c>
      <c r="Y757" t="b">
        <v>0</v>
      </c>
      <c r="Z757" t="b">
        <v>0</v>
      </c>
      <c r="AC757" s="1"/>
      <c r="AF757">
        <v>0</v>
      </c>
      <c r="AG757">
        <v>45</v>
      </c>
      <c r="AH757">
        <v>81</v>
      </c>
      <c r="AI757" s="2">
        <f>Table__192.168.3.138AgingReportBEWLGS[[#This Row],[NetAmount]]-Table__192.168.3.138AgingReportBEWLGS[[#This Row],[Paid]]</f>
        <v>47305</v>
      </c>
    </row>
    <row r="758" spans="1:35">
      <c r="A758" t="s">
        <v>7814</v>
      </c>
      <c r="B758" s="1">
        <v>41234</v>
      </c>
      <c r="C758" s="1">
        <v>41279</v>
      </c>
      <c r="D758" t="s">
        <v>7715</v>
      </c>
      <c r="E758">
        <v>14620</v>
      </c>
      <c r="F758">
        <v>2339</v>
      </c>
      <c r="G758">
        <v>0</v>
      </c>
      <c r="H758">
        <v>0</v>
      </c>
      <c r="I758">
        <v>35</v>
      </c>
      <c r="J758">
        <v>16959</v>
      </c>
      <c r="K758" t="s">
        <v>6329</v>
      </c>
      <c r="L758" s="1">
        <v>41233</v>
      </c>
      <c r="N758" t="s">
        <v>5127</v>
      </c>
      <c r="O758" t="s">
        <v>2458</v>
      </c>
      <c r="P758" t="s">
        <v>7716</v>
      </c>
      <c r="Q758" t="s">
        <v>39</v>
      </c>
      <c r="R758" t="s">
        <v>40</v>
      </c>
      <c r="S758">
        <v>0</v>
      </c>
      <c r="U758" t="s">
        <v>5550</v>
      </c>
      <c r="V758" t="s">
        <v>1797</v>
      </c>
      <c r="X758" t="s">
        <v>74</v>
      </c>
      <c r="Y758" t="b">
        <v>0</v>
      </c>
      <c r="Z758" t="b">
        <v>0</v>
      </c>
      <c r="AC758" s="1"/>
      <c r="AF758">
        <v>0</v>
      </c>
      <c r="AG758">
        <v>45</v>
      </c>
      <c r="AH758">
        <v>80</v>
      </c>
      <c r="AI758" s="2">
        <f>Table__192.168.3.138AgingReportBEWLGS[[#This Row],[NetAmount]]-Table__192.168.3.138AgingReportBEWLGS[[#This Row],[Paid]]</f>
        <v>16959</v>
      </c>
    </row>
    <row r="759" spans="1:35">
      <c r="A759" t="s">
        <v>7815</v>
      </c>
      <c r="B759" s="1">
        <v>41215</v>
      </c>
      <c r="C759" s="1">
        <v>41215</v>
      </c>
      <c r="D759" t="s">
        <v>7748</v>
      </c>
      <c r="E759">
        <v>435625</v>
      </c>
      <c r="F759">
        <v>69700</v>
      </c>
      <c r="G759">
        <v>0</v>
      </c>
      <c r="H759">
        <v>0</v>
      </c>
      <c r="I759">
        <v>0</v>
      </c>
      <c r="J759">
        <v>505325</v>
      </c>
      <c r="K759" t="s">
        <v>62</v>
      </c>
      <c r="L759" s="1">
        <v>41215</v>
      </c>
      <c r="N759" t="s">
        <v>5127</v>
      </c>
      <c r="O759" t="s">
        <v>2458</v>
      </c>
      <c r="P759" t="s">
        <v>7749</v>
      </c>
      <c r="Q759" t="s">
        <v>39</v>
      </c>
      <c r="R759" t="s">
        <v>40</v>
      </c>
      <c r="S759">
        <v>0</v>
      </c>
      <c r="U759" t="s">
        <v>5550</v>
      </c>
      <c r="V759" t="s">
        <v>1797</v>
      </c>
      <c r="X759" t="s">
        <v>74</v>
      </c>
      <c r="Y759" t="b">
        <v>0</v>
      </c>
      <c r="Z759" t="b">
        <v>0</v>
      </c>
      <c r="AC759" s="1"/>
      <c r="AF759">
        <v>0</v>
      </c>
      <c r="AH759">
        <v>98</v>
      </c>
      <c r="AI759" s="2">
        <f>Table__192.168.3.138AgingReportBEWLGS[[#This Row],[NetAmount]]-Table__192.168.3.138AgingReportBEWLGS[[#This Row],[Paid]]</f>
        <v>505325</v>
      </c>
    </row>
    <row r="760" spans="1:35">
      <c r="A760" t="s">
        <v>7816</v>
      </c>
      <c r="B760" s="1">
        <v>41225</v>
      </c>
      <c r="C760" s="1">
        <v>41270</v>
      </c>
      <c r="D760" t="s">
        <v>6474</v>
      </c>
      <c r="E760">
        <v>116213</v>
      </c>
      <c r="F760">
        <v>18594</v>
      </c>
      <c r="G760">
        <v>0</v>
      </c>
      <c r="H760">
        <v>0</v>
      </c>
      <c r="I760">
        <v>40</v>
      </c>
      <c r="J760">
        <v>137807</v>
      </c>
      <c r="K760" t="s">
        <v>7817</v>
      </c>
      <c r="L760" s="1">
        <v>41228</v>
      </c>
      <c r="N760" t="s">
        <v>5127</v>
      </c>
      <c r="O760" t="s">
        <v>2458</v>
      </c>
      <c r="P760" t="s">
        <v>6475</v>
      </c>
      <c r="Q760" t="s">
        <v>39</v>
      </c>
      <c r="R760" t="s">
        <v>40</v>
      </c>
      <c r="S760">
        <v>0</v>
      </c>
      <c r="U760" t="s">
        <v>5550</v>
      </c>
      <c r="V760" t="s">
        <v>1797</v>
      </c>
      <c r="X760" t="s">
        <v>74</v>
      </c>
      <c r="Y760" t="b">
        <v>0</v>
      </c>
      <c r="Z760" t="b">
        <v>0</v>
      </c>
      <c r="AC760" s="1"/>
      <c r="AF760">
        <v>0</v>
      </c>
      <c r="AG760">
        <v>45</v>
      </c>
      <c r="AH760">
        <v>85</v>
      </c>
      <c r="AI760" s="2">
        <f>Table__192.168.3.138AgingReportBEWLGS[[#This Row],[NetAmount]]-Table__192.168.3.138AgingReportBEWLGS[[#This Row],[Paid]]</f>
        <v>137807</v>
      </c>
    </row>
    <row r="761" spans="1:35">
      <c r="A761" t="s">
        <v>7818</v>
      </c>
      <c r="B761" s="1">
        <v>41215</v>
      </c>
      <c r="C761" s="1">
        <v>41260</v>
      </c>
      <c r="D761" t="s">
        <v>6474</v>
      </c>
      <c r="E761">
        <v>54559</v>
      </c>
      <c r="F761">
        <v>8730</v>
      </c>
      <c r="G761">
        <v>0</v>
      </c>
      <c r="H761">
        <v>0</v>
      </c>
      <c r="I761">
        <v>49</v>
      </c>
      <c r="J761">
        <v>63289</v>
      </c>
      <c r="K761" t="s">
        <v>7819</v>
      </c>
      <c r="L761" s="1">
        <v>41219</v>
      </c>
      <c r="N761" t="s">
        <v>5127</v>
      </c>
      <c r="O761" t="s">
        <v>2458</v>
      </c>
      <c r="P761" t="s">
        <v>6475</v>
      </c>
      <c r="Q761" t="s">
        <v>39</v>
      </c>
      <c r="R761" t="s">
        <v>40</v>
      </c>
      <c r="S761">
        <v>0</v>
      </c>
      <c r="U761" t="s">
        <v>5550</v>
      </c>
      <c r="V761" t="s">
        <v>1797</v>
      </c>
      <c r="X761" t="s">
        <v>74</v>
      </c>
      <c r="Y761" t="b">
        <v>0</v>
      </c>
      <c r="Z761" t="b">
        <v>0</v>
      </c>
      <c r="AC761" s="1"/>
      <c r="AF761">
        <v>0</v>
      </c>
      <c r="AG761">
        <v>45</v>
      </c>
      <c r="AH761">
        <v>94</v>
      </c>
      <c r="AI761" s="2">
        <f>Table__192.168.3.138AgingReportBEWLGS[[#This Row],[NetAmount]]-Table__192.168.3.138AgingReportBEWLGS[[#This Row],[Paid]]</f>
        <v>63289</v>
      </c>
    </row>
    <row r="762" spans="1:35">
      <c r="A762" t="s">
        <v>7820</v>
      </c>
      <c r="B762" s="1">
        <v>41225</v>
      </c>
      <c r="C762" s="1">
        <v>41270</v>
      </c>
      <c r="D762" t="s">
        <v>6474</v>
      </c>
      <c r="E762">
        <v>163478</v>
      </c>
      <c r="F762">
        <v>26156</v>
      </c>
      <c r="G762">
        <v>0</v>
      </c>
      <c r="H762">
        <v>0</v>
      </c>
      <c r="I762">
        <v>40</v>
      </c>
      <c r="J762">
        <v>189634</v>
      </c>
      <c r="K762" t="s">
        <v>7821</v>
      </c>
      <c r="L762" s="1">
        <v>41228</v>
      </c>
      <c r="N762" t="s">
        <v>5127</v>
      </c>
      <c r="O762" t="s">
        <v>2458</v>
      </c>
      <c r="P762" t="s">
        <v>6475</v>
      </c>
      <c r="Q762" t="s">
        <v>39</v>
      </c>
      <c r="R762" t="s">
        <v>40</v>
      </c>
      <c r="S762">
        <v>0</v>
      </c>
      <c r="U762" t="s">
        <v>5550</v>
      </c>
      <c r="V762" t="s">
        <v>1797</v>
      </c>
      <c r="X762" t="s">
        <v>74</v>
      </c>
      <c r="Y762" t="b">
        <v>0</v>
      </c>
      <c r="Z762" t="b">
        <v>0</v>
      </c>
      <c r="AC762" s="1"/>
      <c r="AF762">
        <v>0</v>
      </c>
      <c r="AG762">
        <v>45</v>
      </c>
      <c r="AH762">
        <v>85</v>
      </c>
      <c r="AI762" s="2">
        <f>Table__192.168.3.138AgingReportBEWLGS[[#This Row],[NetAmount]]-Table__192.168.3.138AgingReportBEWLGS[[#This Row],[Paid]]</f>
        <v>189634</v>
      </c>
    </row>
    <row r="763" spans="1:35">
      <c r="A763" t="s">
        <v>7822</v>
      </c>
      <c r="B763" s="1">
        <v>41234</v>
      </c>
      <c r="C763" s="1">
        <v>41279</v>
      </c>
      <c r="D763" t="s">
        <v>7823</v>
      </c>
      <c r="E763">
        <v>16500</v>
      </c>
      <c r="F763">
        <v>2640</v>
      </c>
      <c r="G763">
        <v>0</v>
      </c>
      <c r="H763">
        <v>0</v>
      </c>
      <c r="I763">
        <v>36</v>
      </c>
      <c r="J763">
        <v>19140</v>
      </c>
      <c r="K763" t="s">
        <v>861</v>
      </c>
      <c r="L763" s="1">
        <v>41232</v>
      </c>
      <c r="N763" t="s">
        <v>5127</v>
      </c>
      <c r="O763" t="s">
        <v>2458</v>
      </c>
      <c r="P763" t="s">
        <v>7824</v>
      </c>
      <c r="Q763" t="s">
        <v>39</v>
      </c>
      <c r="R763" t="s">
        <v>40</v>
      </c>
      <c r="S763">
        <v>0</v>
      </c>
      <c r="U763" t="s">
        <v>5550</v>
      </c>
      <c r="V763" t="s">
        <v>1797</v>
      </c>
      <c r="X763" t="s">
        <v>74</v>
      </c>
      <c r="Y763" t="b">
        <v>0</v>
      </c>
      <c r="Z763" t="b">
        <v>0</v>
      </c>
      <c r="AC763" s="1"/>
      <c r="AF763">
        <v>0</v>
      </c>
      <c r="AG763">
        <v>45</v>
      </c>
      <c r="AH763">
        <v>81</v>
      </c>
      <c r="AI763" s="2">
        <f>Table__192.168.3.138AgingReportBEWLGS[[#This Row],[NetAmount]]-Table__192.168.3.138AgingReportBEWLGS[[#This Row],[Paid]]</f>
        <v>19140</v>
      </c>
    </row>
    <row r="764" spans="1:35">
      <c r="A764" t="s">
        <v>7825</v>
      </c>
      <c r="B764" s="1">
        <v>41234</v>
      </c>
      <c r="C764" s="1">
        <v>41279</v>
      </c>
      <c r="D764" t="s">
        <v>7826</v>
      </c>
      <c r="E764">
        <v>13650</v>
      </c>
      <c r="F764">
        <v>2184</v>
      </c>
      <c r="G764">
        <v>0</v>
      </c>
      <c r="H764">
        <v>0</v>
      </c>
      <c r="I764">
        <v>36</v>
      </c>
      <c r="J764">
        <v>15834</v>
      </c>
      <c r="K764" t="s">
        <v>7827</v>
      </c>
      <c r="L764" s="1">
        <v>41232</v>
      </c>
      <c r="N764" t="s">
        <v>5127</v>
      </c>
      <c r="O764" t="s">
        <v>2458</v>
      </c>
      <c r="P764" t="s">
        <v>5524</v>
      </c>
      <c r="Q764" t="s">
        <v>39</v>
      </c>
      <c r="R764" t="s">
        <v>40</v>
      </c>
      <c r="S764">
        <v>0</v>
      </c>
      <c r="U764" t="s">
        <v>5550</v>
      </c>
      <c r="V764" t="s">
        <v>1797</v>
      </c>
      <c r="X764" t="s">
        <v>74</v>
      </c>
      <c r="Y764" t="b">
        <v>0</v>
      </c>
      <c r="Z764" t="b">
        <v>0</v>
      </c>
      <c r="AC764" s="1"/>
      <c r="AF764">
        <v>0</v>
      </c>
      <c r="AG764">
        <v>45</v>
      </c>
      <c r="AH764">
        <v>81</v>
      </c>
      <c r="AI764" s="2">
        <f>Table__192.168.3.138AgingReportBEWLGS[[#This Row],[NetAmount]]-Table__192.168.3.138AgingReportBEWLGS[[#This Row],[Paid]]</f>
        <v>15834</v>
      </c>
    </row>
    <row r="765" spans="1:35">
      <c r="A765" t="s">
        <v>7828</v>
      </c>
      <c r="B765" s="1">
        <v>41233</v>
      </c>
      <c r="C765" s="1">
        <v>41233</v>
      </c>
      <c r="D765" t="s">
        <v>7829</v>
      </c>
      <c r="E765">
        <v>51660</v>
      </c>
      <c r="F765">
        <v>8266</v>
      </c>
      <c r="G765">
        <v>0</v>
      </c>
      <c r="H765">
        <v>0</v>
      </c>
      <c r="I765">
        <v>0</v>
      </c>
      <c r="J765">
        <v>59926</v>
      </c>
      <c r="K765" t="s">
        <v>3605</v>
      </c>
      <c r="L765" s="1">
        <v>41239</v>
      </c>
      <c r="N765" t="s">
        <v>5127</v>
      </c>
      <c r="O765" t="s">
        <v>2458</v>
      </c>
      <c r="P765" t="s">
        <v>5546</v>
      </c>
      <c r="Q765" t="s">
        <v>39</v>
      </c>
      <c r="R765" t="s">
        <v>40</v>
      </c>
      <c r="S765">
        <v>0</v>
      </c>
      <c r="U765" t="s">
        <v>5550</v>
      </c>
      <c r="V765" t="s">
        <v>1797</v>
      </c>
      <c r="X765" t="s">
        <v>74</v>
      </c>
      <c r="Y765" t="b">
        <v>0</v>
      </c>
      <c r="Z765" t="b">
        <v>0</v>
      </c>
      <c r="AC765" s="1"/>
      <c r="AF765">
        <v>0</v>
      </c>
      <c r="AH765">
        <v>74</v>
      </c>
      <c r="AI765" s="2">
        <f>Table__192.168.3.138AgingReportBEWLGS[[#This Row],[NetAmount]]-Table__192.168.3.138AgingReportBEWLGS[[#This Row],[Paid]]</f>
        <v>59926</v>
      </c>
    </row>
    <row r="766" spans="1:35">
      <c r="A766" t="s">
        <v>7830</v>
      </c>
      <c r="B766" s="1">
        <v>41233</v>
      </c>
      <c r="C766" s="1">
        <v>41233</v>
      </c>
      <c r="D766" t="s">
        <v>7829</v>
      </c>
      <c r="E766">
        <v>427220</v>
      </c>
      <c r="F766">
        <v>68355</v>
      </c>
      <c r="G766">
        <v>0</v>
      </c>
      <c r="H766">
        <v>0</v>
      </c>
      <c r="I766">
        <v>0</v>
      </c>
      <c r="J766">
        <v>495575</v>
      </c>
      <c r="K766" t="s">
        <v>4512</v>
      </c>
      <c r="L766" s="1">
        <v>41239</v>
      </c>
      <c r="N766" t="s">
        <v>5127</v>
      </c>
      <c r="O766" t="s">
        <v>2458</v>
      </c>
      <c r="P766" t="s">
        <v>5546</v>
      </c>
      <c r="Q766" t="s">
        <v>39</v>
      </c>
      <c r="R766" t="s">
        <v>40</v>
      </c>
      <c r="S766">
        <v>0</v>
      </c>
      <c r="U766" t="s">
        <v>5550</v>
      </c>
      <c r="V766" t="s">
        <v>1797</v>
      </c>
      <c r="X766" t="s">
        <v>74</v>
      </c>
      <c r="Y766" t="b">
        <v>0</v>
      </c>
      <c r="Z766" t="b">
        <v>0</v>
      </c>
      <c r="AC766" s="1"/>
      <c r="AF766">
        <v>0</v>
      </c>
      <c r="AH766">
        <v>74</v>
      </c>
      <c r="AI766" s="2">
        <f>Table__192.168.3.138AgingReportBEWLGS[[#This Row],[NetAmount]]-Table__192.168.3.138AgingReportBEWLGS[[#This Row],[Paid]]</f>
        <v>495575</v>
      </c>
    </row>
    <row r="767" spans="1:35">
      <c r="A767" t="s">
        <v>7831</v>
      </c>
      <c r="B767" s="1">
        <v>41233</v>
      </c>
      <c r="C767" s="1">
        <v>41278</v>
      </c>
      <c r="D767" t="s">
        <v>7250</v>
      </c>
      <c r="E767">
        <v>70000</v>
      </c>
      <c r="F767">
        <v>11200</v>
      </c>
      <c r="G767">
        <v>0</v>
      </c>
      <c r="H767">
        <v>0</v>
      </c>
      <c r="I767">
        <v>29</v>
      </c>
      <c r="J767">
        <v>81200</v>
      </c>
      <c r="K767" t="s">
        <v>7832</v>
      </c>
      <c r="L767" s="1">
        <v>41239</v>
      </c>
      <c r="N767" t="s">
        <v>5127</v>
      </c>
      <c r="O767" t="s">
        <v>2458</v>
      </c>
      <c r="P767" t="s">
        <v>5526</v>
      </c>
      <c r="Q767" t="s">
        <v>39</v>
      </c>
      <c r="R767" t="s">
        <v>40</v>
      </c>
      <c r="S767">
        <v>0</v>
      </c>
      <c r="U767" t="s">
        <v>5550</v>
      </c>
      <c r="V767" t="s">
        <v>1797</v>
      </c>
      <c r="X767" t="s">
        <v>74</v>
      </c>
      <c r="Y767" t="b">
        <v>0</v>
      </c>
      <c r="Z767" t="b">
        <v>0</v>
      </c>
      <c r="AC767" s="1"/>
      <c r="AF767">
        <v>0</v>
      </c>
      <c r="AG767">
        <v>45</v>
      </c>
      <c r="AH767">
        <v>74</v>
      </c>
      <c r="AI767" s="2">
        <f>Table__192.168.3.138AgingReportBEWLGS[[#This Row],[NetAmount]]-Table__192.168.3.138AgingReportBEWLGS[[#This Row],[Paid]]</f>
        <v>81200</v>
      </c>
    </row>
    <row r="768" spans="1:35">
      <c r="A768" t="s">
        <v>7833</v>
      </c>
      <c r="B768" s="1">
        <v>41235</v>
      </c>
      <c r="C768" s="1">
        <v>41280</v>
      </c>
      <c r="D768" t="s">
        <v>7250</v>
      </c>
      <c r="E768">
        <v>153375</v>
      </c>
      <c r="F768">
        <v>24540</v>
      </c>
      <c r="G768">
        <v>0</v>
      </c>
      <c r="H768">
        <v>0</v>
      </c>
      <c r="I768">
        <v>29</v>
      </c>
      <c r="J768">
        <v>177915</v>
      </c>
      <c r="K768" t="s">
        <v>7834</v>
      </c>
      <c r="L768" s="1">
        <v>41239</v>
      </c>
      <c r="N768" t="s">
        <v>5127</v>
      </c>
      <c r="O768" t="s">
        <v>2458</v>
      </c>
      <c r="P768" t="s">
        <v>5526</v>
      </c>
      <c r="Q768" t="s">
        <v>39</v>
      </c>
      <c r="R768" t="s">
        <v>40</v>
      </c>
      <c r="S768">
        <v>0</v>
      </c>
      <c r="U768" t="s">
        <v>5550</v>
      </c>
      <c r="V768" t="s">
        <v>1797</v>
      </c>
      <c r="X768" t="s">
        <v>74</v>
      </c>
      <c r="Y768" t="b">
        <v>0</v>
      </c>
      <c r="Z768" t="b">
        <v>0</v>
      </c>
      <c r="AC768" s="1"/>
      <c r="AF768">
        <v>0</v>
      </c>
      <c r="AG768">
        <v>45</v>
      </c>
      <c r="AH768">
        <v>74</v>
      </c>
      <c r="AI768" s="2">
        <f>Table__192.168.3.138AgingReportBEWLGS[[#This Row],[NetAmount]]-Table__192.168.3.138AgingReportBEWLGS[[#This Row],[Paid]]</f>
        <v>177915</v>
      </c>
    </row>
    <row r="769" spans="1:35">
      <c r="A769" t="s">
        <v>7835</v>
      </c>
      <c r="B769" s="1">
        <v>41221</v>
      </c>
      <c r="C769" s="1">
        <v>41221</v>
      </c>
      <c r="D769" t="s">
        <v>7748</v>
      </c>
      <c r="E769">
        <v>308975</v>
      </c>
      <c r="F769">
        <v>49436</v>
      </c>
      <c r="G769">
        <v>0</v>
      </c>
      <c r="H769">
        <v>0</v>
      </c>
      <c r="I769">
        <v>0</v>
      </c>
      <c r="J769">
        <v>358411</v>
      </c>
      <c r="K769" t="s">
        <v>125</v>
      </c>
      <c r="L769" s="1">
        <v>41221</v>
      </c>
      <c r="N769" t="s">
        <v>5127</v>
      </c>
      <c r="O769" t="s">
        <v>2458</v>
      </c>
      <c r="P769" t="s">
        <v>7749</v>
      </c>
      <c r="Q769" t="s">
        <v>39</v>
      </c>
      <c r="R769" t="s">
        <v>40</v>
      </c>
      <c r="S769">
        <v>0</v>
      </c>
      <c r="U769" t="s">
        <v>5550</v>
      </c>
      <c r="V769" t="s">
        <v>1797</v>
      </c>
      <c r="X769" t="s">
        <v>74</v>
      </c>
      <c r="Y769" t="b">
        <v>0</v>
      </c>
      <c r="Z769" t="b">
        <v>0</v>
      </c>
      <c r="AC769" s="1"/>
      <c r="AF769">
        <v>0</v>
      </c>
      <c r="AH769">
        <v>92</v>
      </c>
      <c r="AI769" s="2">
        <f>Table__192.168.3.138AgingReportBEWLGS[[#This Row],[NetAmount]]-Table__192.168.3.138AgingReportBEWLGS[[#This Row],[Paid]]</f>
        <v>358411</v>
      </c>
    </row>
    <row r="770" spans="1:35">
      <c r="A770" t="s">
        <v>7836</v>
      </c>
      <c r="B770" s="1">
        <v>41235</v>
      </c>
      <c r="C770" s="1">
        <v>41280</v>
      </c>
      <c r="D770" t="s">
        <v>7715</v>
      </c>
      <c r="E770">
        <v>23000</v>
      </c>
      <c r="F770">
        <v>3680</v>
      </c>
      <c r="G770">
        <v>0</v>
      </c>
      <c r="H770">
        <v>0</v>
      </c>
      <c r="I770">
        <v>34</v>
      </c>
      <c r="J770">
        <v>26680</v>
      </c>
      <c r="K770" t="s">
        <v>7837</v>
      </c>
      <c r="L770" s="1">
        <v>41234</v>
      </c>
      <c r="N770" t="s">
        <v>5127</v>
      </c>
      <c r="O770" t="s">
        <v>2458</v>
      </c>
      <c r="P770" t="s">
        <v>7716</v>
      </c>
      <c r="Q770" t="s">
        <v>39</v>
      </c>
      <c r="R770" t="s">
        <v>40</v>
      </c>
      <c r="S770">
        <v>0</v>
      </c>
      <c r="U770" t="s">
        <v>5550</v>
      </c>
      <c r="V770" t="s">
        <v>1797</v>
      </c>
      <c r="X770" t="s">
        <v>74</v>
      </c>
      <c r="Y770" t="b">
        <v>0</v>
      </c>
      <c r="Z770" t="b">
        <v>0</v>
      </c>
      <c r="AC770" s="1"/>
      <c r="AF770">
        <v>0</v>
      </c>
      <c r="AG770">
        <v>45</v>
      </c>
      <c r="AH770">
        <v>79</v>
      </c>
      <c r="AI770" s="2">
        <f>Table__192.168.3.138AgingReportBEWLGS[[#This Row],[NetAmount]]-Table__192.168.3.138AgingReportBEWLGS[[#This Row],[Paid]]</f>
        <v>26680</v>
      </c>
    </row>
    <row r="771" spans="1:35">
      <c r="A771" t="s">
        <v>7838</v>
      </c>
      <c r="B771" s="1">
        <v>41230</v>
      </c>
      <c r="C771" s="1">
        <v>41275</v>
      </c>
      <c r="D771" t="s">
        <v>6486</v>
      </c>
      <c r="E771">
        <v>11400</v>
      </c>
      <c r="F771">
        <v>1824</v>
      </c>
      <c r="G771">
        <v>0</v>
      </c>
      <c r="H771">
        <v>0</v>
      </c>
      <c r="I771">
        <v>27</v>
      </c>
      <c r="J771">
        <v>13224</v>
      </c>
      <c r="K771" t="s">
        <v>7839</v>
      </c>
      <c r="L771" s="1">
        <v>41241</v>
      </c>
      <c r="N771" t="s">
        <v>5127</v>
      </c>
      <c r="O771" t="s">
        <v>2458</v>
      </c>
      <c r="P771" t="s">
        <v>5464</v>
      </c>
      <c r="Q771" t="s">
        <v>39</v>
      </c>
      <c r="R771" t="s">
        <v>40</v>
      </c>
      <c r="S771">
        <v>0</v>
      </c>
      <c r="U771" t="s">
        <v>5550</v>
      </c>
      <c r="V771" t="s">
        <v>1797</v>
      </c>
      <c r="X771" t="s">
        <v>74</v>
      </c>
      <c r="Y771" t="b">
        <v>0</v>
      </c>
      <c r="Z771" t="b">
        <v>0</v>
      </c>
      <c r="AC771" s="1"/>
      <c r="AF771">
        <v>0</v>
      </c>
      <c r="AG771">
        <v>45</v>
      </c>
      <c r="AH771">
        <v>72</v>
      </c>
      <c r="AI771" s="2">
        <f>Table__192.168.3.138AgingReportBEWLGS[[#This Row],[NetAmount]]-Table__192.168.3.138AgingReportBEWLGS[[#This Row],[Paid]]</f>
        <v>13224</v>
      </c>
    </row>
    <row r="772" spans="1:35">
      <c r="A772" t="s">
        <v>7840</v>
      </c>
      <c r="B772" s="1">
        <v>41223</v>
      </c>
      <c r="C772" s="1">
        <v>41268</v>
      </c>
      <c r="D772" t="s">
        <v>6486</v>
      </c>
      <c r="E772">
        <v>1575</v>
      </c>
      <c r="F772">
        <v>252</v>
      </c>
      <c r="G772">
        <v>0</v>
      </c>
      <c r="H772">
        <v>0</v>
      </c>
      <c r="I772">
        <v>27</v>
      </c>
      <c r="J772">
        <v>1827</v>
      </c>
      <c r="K772" t="s">
        <v>7841</v>
      </c>
      <c r="L772" s="1">
        <v>41241</v>
      </c>
      <c r="N772" t="s">
        <v>5127</v>
      </c>
      <c r="O772" t="s">
        <v>2458</v>
      </c>
      <c r="P772" t="s">
        <v>5464</v>
      </c>
      <c r="Q772" t="s">
        <v>39</v>
      </c>
      <c r="R772" t="s">
        <v>40</v>
      </c>
      <c r="S772">
        <v>0</v>
      </c>
      <c r="U772" t="s">
        <v>5550</v>
      </c>
      <c r="V772" t="s">
        <v>1797</v>
      </c>
      <c r="X772" t="s">
        <v>74</v>
      </c>
      <c r="Y772" t="b">
        <v>0</v>
      </c>
      <c r="Z772" t="b">
        <v>0</v>
      </c>
      <c r="AC772" s="1"/>
      <c r="AF772">
        <v>0</v>
      </c>
      <c r="AG772">
        <v>45</v>
      </c>
      <c r="AH772">
        <v>72</v>
      </c>
      <c r="AI772" s="2">
        <f>Table__192.168.3.138AgingReportBEWLGS[[#This Row],[NetAmount]]-Table__192.168.3.138AgingReportBEWLGS[[#This Row],[Paid]]</f>
        <v>1827</v>
      </c>
    </row>
    <row r="773" spans="1:35">
      <c r="A773" t="s">
        <v>7842</v>
      </c>
      <c r="B773" s="1">
        <v>41223</v>
      </c>
      <c r="C773" s="1">
        <v>41268</v>
      </c>
      <c r="D773" t="s">
        <v>6486</v>
      </c>
      <c r="E773">
        <v>8700</v>
      </c>
      <c r="F773">
        <v>1392</v>
      </c>
      <c r="G773">
        <v>0</v>
      </c>
      <c r="H773">
        <v>0</v>
      </c>
      <c r="I773">
        <v>27</v>
      </c>
      <c r="J773">
        <v>10092</v>
      </c>
      <c r="K773" t="s">
        <v>7843</v>
      </c>
      <c r="L773" s="1">
        <v>41241</v>
      </c>
      <c r="N773" t="s">
        <v>5127</v>
      </c>
      <c r="O773" t="s">
        <v>2458</v>
      </c>
      <c r="P773" t="s">
        <v>5464</v>
      </c>
      <c r="Q773" t="s">
        <v>39</v>
      </c>
      <c r="R773" t="s">
        <v>40</v>
      </c>
      <c r="S773">
        <v>0</v>
      </c>
      <c r="U773" t="s">
        <v>5550</v>
      </c>
      <c r="V773" t="s">
        <v>1797</v>
      </c>
      <c r="X773" t="s">
        <v>74</v>
      </c>
      <c r="Y773" t="b">
        <v>0</v>
      </c>
      <c r="Z773" t="b">
        <v>0</v>
      </c>
      <c r="AC773" s="1"/>
      <c r="AF773">
        <v>0</v>
      </c>
      <c r="AG773">
        <v>45</v>
      </c>
      <c r="AH773">
        <v>72</v>
      </c>
      <c r="AI773" s="2">
        <f>Table__192.168.3.138AgingReportBEWLGS[[#This Row],[NetAmount]]-Table__192.168.3.138AgingReportBEWLGS[[#This Row],[Paid]]</f>
        <v>10092</v>
      </c>
    </row>
    <row r="774" spans="1:35">
      <c r="A774" t="s">
        <v>7844</v>
      </c>
      <c r="B774" s="1">
        <v>41223</v>
      </c>
      <c r="C774" s="1">
        <v>41268</v>
      </c>
      <c r="D774" t="s">
        <v>6486</v>
      </c>
      <c r="E774">
        <v>22375</v>
      </c>
      <c r="F774">
        <v>3580</v>
      </c>
      <c r="G774">
        <v>0</v>
      </c>
      <c r="H774">
        <v>0</v>
      </c>
      <c r="I774">
        <v>27</v>
      </c>
      <c r="J774">
        <v>25955</v>
      </c>
      <c r="K774" t="s">
        <v>7845</v>
      </c>
      <c r="L774" s="1">
        <v>41241</v>
      </c>
      <c r="N774" t="s">
        <v>5127</v>
      </c>
      <c r="O774" t="s">
        <v>2458</v>
      </c>
      <c r="P774" t="s">
        <v>5464</v>
      </c>
      <c r="Q774" t="s">
        <v>39</v>
      </c>
      <c r="R774" t="s">
        <v>40</v>
      </c>
      <c r="S774">
        <v>0</v>
      </c>
      <c r="U774" t="s">
        <v>5550</v>
      </c>
      <c r="V774" t="s">
        <v>1797</v>
      </c>
      <c r="X774" t="s">
        <v>74</v>
      </c>
      <c r="Y774" t="b">
        <v>0</v>
      </c>
      <c r="Z774" t="b">
        <v>0</v>
      </c>
      <c r="AC774" s="1"/>
      <c r="AF774">
        <v>0</v>
      </c>
      <c r="AG774">
        <v>45</v>
      </c>
      <c r="AH774">
        <v>72</v>
      </c>
      <c r="AI774" s="2">
        <f>Table__192.168.3.138AgingReportBEWLGS[[#This Row],[NetAmount]]-Table__192.168.3.138AgingReportBEWLGS[[#This Row],[Paid]]</f>
        <v>25955</v>
      </c>
    </row>
    <row r="775" spans="1:35">
      <c r="A775" t="s">
        <v>7846</v>
      </c>
      <c r="B775" s="1">
        <v>41223</v>
      </c>
      <c r="C775" s="1">
        <v>41268</v>
      </c>
      <c r="D775" t="s">
        <v>5521</v>
      </c>
      <c r="E775">
        <v>81000</v>
      </c>
      <c r="F775">
        <v>12960</v>
      </c>
      <c r="G775">
        <v>0</v>
      </c>
      <c r="H775">
        <v>0</v>
      </c>
      <c r="I775">
        <v>50</v>
      </c>
      <c r="J775">
        <v>93960</v>
      </c>
      <c r="K775" t="s">
        <v>7847</v>
      </c>
      <c r="L775" s="1">
        <v>41218</v>
      </c>
      <c r="N775" t="s">
        <v>5127</v>
      </c>
      <c r="O775" t="s">
        <v>2458</v>
      </c>
      <c r="P775" t="s">
        <v>5532</v>
      </c>
      <c r="Q775" t="s">
        <v>39</v>
      </c>
      <c r="R775" t="s">
        <v>40</v>
      </c>
      <c r="S775">
        <v>0</v>
      </c>
      <c r="U775" t="s">
        <v>5550</v>
      </c>
      <c r="V775" t="s">
        <v>1797</v>
      </c>
      <c r="X775" t="s">
        <v>74</v>
      </c>
      <c r="Y775" t="b">
        <v>0</v>
      </c>
      <c r="Z775" t="b">
        <v>0</v>
      </c>
      <c r="AC775" s="1"/>
      <c r="AF775">
        <v>0</v>
      </c>
      <c r="AG775">
        <v>45</v>
      </c>
      <c r="AH775">
        <v>95</v>
      </c>
      <c r="AI775" s="2">
        <f>Table__192.168.3.138AgingReportBEWLGS[[#This Row],[NetAmount]]-Table__192.168.3.138AgingReportBEWLGS[[#This Row],[Paid]]</f>
        <v>93960</v>
      </c>
    </row>
    <row r="776" spans="1:35">
      <c r="A776" t="s">
        <v>7848</v>
      </c>
      <c r="B776" s="1">
        <v>41223</v>
      </c>
      <c r="C776" s="1">
        <v>41268</v>
      </c>
      <c r="D776" t="s">
        <v>7849</v>
      </c>
      <c r="E776">
        <v>1274</v>
      </c>
      <c r="F776">
        <v>204</v>
      </c>
      <c r="G776">
        <v>0</v>
      </c>
      <c r="H776">
        <v>0</v>
      </c>
      <c r="I776">
        <v>45</v>
      </c>
      <c r="J776">
        <v>1478</v>
      </c>
      <c r="K776" t="s">
        <v>2607</v>
      </c>
      <c r="L776" s="1">
        <v>41223</v>
      </c>
      <c r="N776" t="s">
        <v>5127</v>
      </c>
      <c r="O776" t="s">
        <v>2458</v>
      </c>
      <c r="P776" t="s">
        <v>7850</v>
      </c>
      <c r="Q776" t="s">
        <v>39</v>
      </c>
      <c r="R776" t="s">
        <v>40</v>
      </c>
      <c r="S776">
        <v>0</v>
      </c>
      <c r="U776" t="s">
        <v>5550</v>
      </c>
      <c r="V776" t="s">
        <v>1797</v>
      </c>
      <c r="X776" t="s">
        <v>74</v>
      </c>
      <c r="Y776" t="b">
        <v>0</v>
      </c>
      <c r="Z776" t="b">
        <v>0</v>
      </c>
      <c r="AC776" s="1"/>
      <c r="AF776">
        <v>0</v>
      </c>
      <c r="AG776">
        <v>45</v>
      </c>
      <c r="AH776">
        <v>90</v>
      </c>
      <c r="AI776" s="2">
        <f>Table__192.168.3.138AgingReportBEWLGS[[#This Row],[NetAmount]]-Table__192.168.3.138AgingReportBEWLGS[[#This Row],[Paid]]</f>
        <v>1478</v>
      </c>
    </row>
    <row r="777" spans="1:35">
      <c r="A777" t="s">
        <v>7851</v>
      </c>
      <c r="B777" s="1">
        <v>41214</v>
      </c>
      <c r="C777" s="1">
        <v>41259</v>
      </c>
      <c r="D777" t="s">
        <v>7849</v>
      </c>
      <c r="E777">
        <v>2400</v>
      </c>
      <c r="F777">
        <v>384</v>
      </c>
      <c r="G777">
        <v>0</v>
      </c>
      <c r="H777">
        <v>0</v>
      </c>
      <c r="I777">
        <v>48</v>
      </c>
      <c r="J777">
        <v>2784</v>
      </c>
      <c r="K777" t="s">
        <v>2527</v>
      </c>
      <c r="L777" s="1">
        <v>41220</v>
      </c>
      <c r="N777" t="s">
        <v>5127</v>
      </c>
      <c r="O777" t="s">
        <v>2458</v>
      </c>
      <c r="P777" t="s">
        <v>7850</v>
      </c>
      <c r="Q777" t="s">
        <v>39</v>
      </c>
      <c r="R777" t="s">
        <v>40</v>
      </c>
      <c r="S777">
        <v>0</v>
      </c>
      <c r="U777" t="s">
        <v>5550</v>
      </c>
      <c r="V777" t="s">
        <v>1797</v>
      </c>
      <c r="X777" t="s">
        <v>74</v>
      </c>
      <c r="Y777" t="b">
        <v>0</v>
      </c>
      <c r="Z777" t="b">
        <v>0</v>
      </c>
      <c r="AC777" s="1"/>
      <c r="AF777">
        <v>0</v>
      </c>
      <c r="AG777">
        <v>45</v>
      </c>
      <c r="AH777">
        <v>93</v>
      </c>
      <c r="AI777" s="2">
        <f>Table__192.168.3.138AgingReportBEWLGS[[#This Row],[NetAmount]]-Table__192.168.3.138AgingReportBEWLGS[[#This Row],[Paid]]</f>
        <v>2784</v>
      </c>
    </row>
    <row r="778" spans="1:35">
      <c r="A778" t="s">
        <v>7852</v>
      </c>
      <c r="B778" s="1">
        <v>41223</v>
      </c>
      <c r="C778" s="1">
        <v>41268</v>
      </c>
      <c r="D778" t="s">
        <v>7664</v>
      </c>
      <c r="E778">
        <v>3250</v>
      </c>
      <c r="F778">
        <v>520</v>
      </c>
      <c r="G778">
        <v>0</v>
      </c>
      <c r="H778">
        <v>0</v>
      </c>
      <c r="I778">
        <v>48</v>
      </c>
      <c r="J778">
        <v>3770</v>
      </c>
      <c r="K778" t="s">
        <v>7853</v>
      </c>
      <c r="L778" s="1">
        <v>41220</v>
      </c>
      <c r="N778" t="s">
        <v>5127</v>
      </c>
      <c r="O778" t="s">
        <v>2458</v>
      </c>
      <c r="P778" t="s">
        <v>7666</v>
      </c>
      <c r="Q778" t="s">
        <v>39</v>
      </c>
      <c r="R778" t="s">
        <v>40</v>
      </c>
      <c r="S778">
        <v>0</v>
      </c>
      <c r="U778" t="s">
        <v>5550</v>
      </c>
      <c r="V778" t="s">
        <v>1797</v>
      </c>
      <c r="X778" t="s">
        <v>74</v>
      </c>
      <c r="Y778" t="b">
        <v>0</v>
      </c>
      <c r="Z778" t="b">
        <v>0</v>
      </c>
      <c r="AC778" s="1"/>
      <c r="AF778">
        <v>0</v>
      </c>
      <c r="AG778">
        <v>45</v>
      </c>
      <c r="AH778">
        <v>93</v>
      </c>
      <c r="AI778" s="2">
        <f>Table__192.168.3.138AgingReportBEWLGS[[#This Row],[NetAmount]]-Table__192.168.3.138AgingReportBEWLGS[[#This Row],[Paid]]</f>
        <v>3770</v>
      </c>
    </row>
    <row r="779" spans="1:35">
      <c r="A779" t="s">
        <v>7854</v>
      </c>
      <c r="B779" s="1">
        <v>41223</v>
      </c>
      <c r="C779" s="1">
        <v>41268</v>
      </c>
      <c r="D779" t="s">
        <v>7664</v>
      </c>
      <c r="E779">
        <v>3500</v>
      </c>
      <c r="F779">
        <v>560</v>
      </c>
      <c r="G779">
        <v>0</v>
      </c>
      <c r="H779">
        <v>0</v>
      </c>
      <c r="I779">
        <v>48</v>
      </c>
      <c r="J779">
        <v>4560</v>
      </c>
      <c r="K779" t="s">
        <v>7855</v>
      </c>
      <c r="L779" s="1">
        <v>41220</v>
      </c>
      <c r="N779" t="s">
        <v>5127</v>
      </c>
      <c r="O779" t="s">
        <v>2458</v>
      </c>
      <c r="P779" t="s">
        <v>7666</v>
      </c>
      <c r="Q779" t="s">
        <v>39</v>
      </c>
      <c r="R779" t="s">
        <v>40</v>
      </c>
      <c r="S779">
        <v>0</v>
      </c>
      <c r="U779" t="s">
        <v>5550</v>
      </c>
      <c r="V779" t="s">
        <v>1797</v>
      </c>
      <c r="X779" t="s">
        <v>74</v>
      </c>
      <c r="Y779" t="b">
        <v>0</v>
      </c>
      <c r="Z779" t="b">
        <v>0</v>
      </c>
      <c r="AC779" s="1"/>
      <c r="AF779">
        <v>0</v>
      </c>
      <c r="AG779">
        <v>45</v>
      </c>
      <c r="AH779">
        <v>93</v>
      </c>
      <c r="AI779" s="2">
        <f>Table__192.168.3.138AgingReportBEWLGS[[#This Row],[NetAmount]]-Table__192.168.3.138AgingReportBEWLGS[[#This Row],[Paid]]</f>
        <v>4560</v>
      </c>
    </row>
    <row r="780" spans="1:35">
      <c r="A780" t="s">
        <v>7856</v>
      </c>
      <c r="B780" s="1">
        <v>41223</v>
      </c>
      <c r="C780" s="1">
        <v>41268</v>
      </c>
      <c r="D780" t="s">
        <v>7722</v>
      </c>
      <c r="E780">
        <v>2300</v>
      </c>
      <c r="F780">
        <v>368</v>
      </c>
      <c r="G780">
        <v>0</v>
      </c>
      <c r="H780">
        <v>0</v>
      </c>
      <c r="I780">
        <v>49</v>
      </c>
      <c r="J780">
        <v>2668</v>
      </c>
      <c r="K780" t="s">
        <v>7857</v>
      </c>
      <c r="L780" s="1">
        <v>41219</v>
      </c>
      <c r="N780" t="s">
        <v>5127</v>
      </c>
      <c r="O780" t="s">
        <v>2458</v>
      </c>
      <c r="P780" t="s">
        <v>7724</v>
      </c>
      <c r="Q780" t="s">
        <v>39</v>
      </c>
      <c r="R780" t="s">
        <v>40</v>
      </c>
      <c r="S780">
        <v>0</v>
      </c>
      <c r="U780" t="s">
        <v>5550</v>
      </c>
      <c r="V780" t="s">
        <v>1797</v>
      </c>
      <c r="X780" t="s">
        <v>74</v>
      </c>
      <c r="Y780" t="b">
        <v>0</v>
      </c>
      <c r="Z780" t="b">
        <v>0</v>
      </c>
      <c r="AC780" s="1"/>
      <c r="AF780">
        <v>0</v>
      </c>
      <c r="AG780">
        <v>45</v>
      </c>
      <c r="AH780">
        <v>94</v>
      </c>
      <c r="AI780" s="2">
        <f>Table__192.168.3.138AgingReportBEWLGS[[#This Row],[NetAmount]]-Table__192.168.3.138AgingReportBEWLGS[[#This Row],[Paid]]</f>
        <v>2668</v>
      </c>
    </row>
    <row r="781" spans="1:35">
      <c r="A781" t="s">
        <v>7858</v>
      </c>
      <c r="B781" s="1">
        <v>41223</v>
      </c>
      <c r="C781" s="1">
        <v>41268</v>
      </c>
      <c r="D781" t="s">
        <v>6654</v>
      </c>
      <c r="E781">
        <v>20400</v>
      </c>
      <c r="F781">
        <v>3264</v>
      </c>
      <c r="G781">
        <v>0</v>
      </c>
      <c r="H781">
        <v>0</v>
      </c>
      <c r="I781">
        <v>49</v>
      </c>
      <c r="J781">
        <v>23664</v>
      </c>
      <c r="K781" t="s">
        <v>934</v>
      </c>
      <c r="L781" s="1">
        <v>41219</v>
      </c>
      <c r="N781" t="s">
        <v>5127</v>
      </c>
      <c r="O781" t="s">
        <v>2458</v>
      </c>
      <c r="P781" t="s">
        <v>6656</v>
      </c>
      <c r="Q781" t="s">
        <v>39</v>
      </c>
      <c r="R781" t="s">
        <v>40</v>
      </c>
      <c r="S781">
        <v>0</v>
      </c>
      <c r="U781" t="s">
        <v>5550</v>
      </c>
      <c r="V781" t="s">
        <v>1797</v>
      </c>
      <c r="X781" t="s">
        <v>74</v>
      </c>
      <c r="Y781" t="b">
        <v>0</v>
      </c>
      <c r="Z781" t="b">
        <v>0</v>
      </c>
      <c r="AC781" s="1"/>
      <c r="AF781">
        <v>0</v>
      </c>
      <c r="AG781">
        <v>45</v>
      </c>
      <c r="AH781">
        <v>94</v>
      </c>
      <c r="AI781" s="2">
        <f>Table__192.168.3.138AgingReportBEWLGS[[#This Row],[NetAmount]]-Table__192.168.3.138AgingReportBEWLGS[[#This Row],[Paid]]</f>
        <v>23664</v>
      </c>
    </row>
    <row r="782" spans="1:35">
      <c r="A782" t="s">
        <v>7859</v>
      </c>
      <c r="B782" s="1">
        <v>41235</v>
      </c>
      <c r="C782" s="1">
        <v>41280</v>
      </c>
      <c r="D782" t="s">
        <v>6654</v>
      </c>
      <c r="E782">
        <v>7650</v>
      </c>
      <c r="F782">
        <v>1224</v>
      </c>
      <c r="G782">
        <v>0</v>
      </c>
      <c r="H782">
        <v>0</v>
      </c>
      <c r="I782">
        <v>33</v>
      </c>
      <c r="J782">
        <v>8874</v>
      </c>
      <c r="K782" t="s">
        <v>1500</v>
      </c>
      <c r="L782" s="1">
        <v>41235</v>
      </c>
      <c r="N782" t="s">
        <v>5127</v>
      </c>
      <c r="O782" t="s">
        <v>2458</v>
      </c>
      <c r="P782" t="s">
        <v>6656</v>
      </c>
      <c r="Q782" t="s">
        <v>39</v>
      </c>
      <c r="R782" t="s">
        <v>40</v>
      </c>
      <c r="S782">
        <v>0</v>
      </c>
      <c r="U782" t="s">
        <v>5550</v>
      </c>
      <c r="V782" t="s">
        <v>1797</v>
      </c>
      <c r="X782" t="s">
        <v>74</v>
      </c>
      <c r="Y782" t="b">
        <v>0</v>
      </c>
      <c r="Z782" t="b">
        <v>0</v>
      </c>
      <c r="AC782" s="1"/>
      <c r="AF782">
        <v>0</v>
      </c>
      <c r="AG782">
        <v>45</v>
      </c>
      <c r="AH782">
        <v>78</v>
      </c>
      <c r="AI782" s="2">
        <f>Table__192.168.3.138AgingReportBEWLGS[[#This Row],[NetAmount]]-Table__192.168.3.138AgingReportBEWLGS[[#This Row],[Paid]]</f>
        <v>8874</v>
      </c>
    </row>
    <row r="783" spans="1:35">
      <c r="A783" t="s">
        <v>7860</v>
      </c>
      <c r="B783" s="1">
        <v>41239</v>
      </c>
      <c r="C783" s="1">
        <v>41284</v>
      </c>
      <c r="D783" t="s">
        <v>6654</v>
      </c>
      <c r="E783">
        <v>26350</v>
      </c>
      <c r="F783">
        <v>4216</v>
      </c>
      <c r="G783">
        <v>0</v>
      </c>
      <c r="H783">
        <v>0</v>
      </c>
      <c r="I783">
        <v>29</v>
      </c>
      <c r="J783">
        <v>30566</v>
      </c>
      <c r="K783" t="s">
        <v>1502</v>
      </c>
      <c r="L783" s="1">
        <v>41239</v>
      </c>
      <c r="N783" t="s">
        <v>5127</v>
      </c>
      <c r="O783" t="s">
        <v>2458</v>
      </c>
      <c r="P783" t="s">
        <v>6656</v>
      </c>
      <c r="Q783" t="s">
        <v>39</v>
      </c>
      <c r="R783" t="s">
        <v>40</v>
      </c>
      <c r="S783">
        <v>0</v>
      </c>
      <c r="U783" t="s">
        <v>5550</v>
      </c>
      <c r="V783" t="s">
        <v>1797</v>
      </c>
      <c r="X783" t="s">
        <v>74</v>
      </c>
      <c r="Y783" t="b">
        <v>0</v>
      </c>
      <c r="Z783" t="b">
        <v>0</v>
      </c>
      <c r="AC783" s="1"/>
      <c r="AF783">
        <v>0</v>
      </c>
      <c r="AG783">
        <v>45</v>
      </c>
      <c r="AH783">
        <v>74</v>
      </c>
      <c r="AI783" s="2">
        <f>Table__192.168.3.138AgingReportBEWLGS[[#This Row],[NetAmount]]-Table__192.168.3.138AgingReportBEWLGS[[#This Row],[Paid]]</f>
        <v>30566</v>
      </c>
    </row>
    <row r="784" spans="1:35">
      <c r="A784" t="s">
        <v>7861</v>
      </c>
      <c r="B784" s="1">
        <v>41234</v>
      </c>
      <c r="C784" s="1">
        <v>41279</v>
      </c>
      <c r="D784" t="s">
        <v>6654</v>
      </c>
      <c r="E784">
        <v>40000</v>
      </c>
      <c r="F784">
        <v>6400</v>
      </c>
      <c r="G784">
        <v>0</v>
      </c>
      <c r="H784">
        <v>0</v>
      </c>
      <c r="I784">
        <v>39</v>
      </c>
      <c r="J784">
        <v>46400</v>
      </c>
      <c r="K784" t="s">
        <v>7203</v>
      </c>
      <c r="L784" s="1">
        <v>41229</v>
      </c>
      <c r="N784" t="s">
        <v>5127</v>
      </c>
      <c r="O784" t="s">
        <v>2458</v>
      </c>
      <c r="P784" t="s">
        <v>6656</v>
      </c>
      <c r="Q784" t="s">
        <v>39</v>
      </c>
      <c r="R784" t="s">
        <v>40</v>
      </c>
      <c r="S784">
        <v>0</v>
      </c>
      <c r="U784" t="s">
        <v>5550</v>
      </c>
      <c r="V784" t="s">
        <v>1797</v>
      </c>
      <c r="X784" t="s">
        <v>74</v>
      </c>
      <c r="Y784" t="b">
        <v>0</v>
      </c>
      <c r="Z784" t="b">
        <v>0</v>
      </c>
      <c r="AC784" s="1"/>
      <c r="AF784">
        <v>0</v>
      </c>
      <c r="AG784">
        <v>45</v>
      </c>
      <c r="AH784">
        <v>84</v>
      </c>
      <c r="AI784" s="2">
        <f>Table__192.168.3.138AgingReportBEWLGS[[#This Row],[NetAmount]]-Table__192.168.3.138AgingReportBEWLGS[[#This Row],[Paid]]</f>
        <v>46400</v>
      </c>
    </row>
    <row r="785" spans="1:35">
      <c r="A785" t="s">
        <v>7862</v>
      </c>
      <c r="B785" s="1">
        <v>41234</v>
      </c>
      <c r="C785" s="1">
        <v>41279</v>
      </c>
      <c r="D785" t="s">
        <v>7375</v>
      </c>
      <c r="E785">
        <v>36090</v>
      </c>
      <c r="F785">
        <v>5774</v>
      </c>
      <c r="G785">
        <v>0</v>
      </c>
      <c r="H785">
        <v>0</v>
      </c>
      <c r="I785">
        <v>29</v>
      </c>
      <c r="J785">
        <v>42464</v>
      </c>
      <c r="K785" t="s">
        <v>7863</v>
      </c>
      <c r="L785" s="1">
        <v>41239</v>
      </c>
      <c r="N785" t="s">
        <v>5127</v>
      </c>
      <c r="O785" t="s">
        <v>2458</v>
      </c>
      <c r="P785" t="s">
        <v>7377</v>
      </c>
      <c r="Q785" t="s">
        <v>39</v>
      </c>
      <c r="R785" t="s">
        <v>40</v>
      </c>
      <c r="S785">
        <v>0</v>
      </c>
      <c r="U785" t="s">
        <v>5550</v>
      </c>
      <c r="V785" t="s">
        <v>1797</v>
      </c>
      <c r="X785" t="s">
        <v>74</v>
      </c>
      <c r="Y785" t="b">
        <v>0</v>
      </c>
      <c r="Z785" t="b">
        <v>0</v>
      </c>
      <c r="AC785" s="1"/>
      <c r="AF785">
        <v>0</v>
      </c>
      <c r="AG785">
        <v>45</v>
      </c>
      <c r="AH785">
        <v>74</v>
      </c>
      <c r="AI785" s="2">
        <f>Table__192.168.3.138AgingReportBEWLGS[[#This Row],[NetAmount]]-Table__192.168.3.138AgingReportBEWLGS[[#This Row],[Paid]]</f>
        <v>42464</v>
      </c>
    </row>
    <row r="786" spans="1:35">
      <c r="A786" t="s">
        <v>7864</v>
      </c>
      <c r="B786" s="1">
        <v>41229</v>
      </c>
      <c r="C786" s="1">
        <v>41274</v>
      </c>
      <c r="D786" t="s">
        <v>7786</v>
      </c>
      <c r="E786">
        <v>3178</v>
      </c>
      <c r="F786">
        <v>508</v>
      </c>
      <c r="G786">
        <v>0</v>
      </c>
      <c r="H786">
        <v>0</v>
      </c>
      <c r="I786">
        <v>26</v>
      </c>
      <c r="J786">
        <v>3686</v>
      </c>
      <c r="K786" t="s">
        <v>2831</v>
      </c>
      <c r="L786" s="1">
        <v>41242</v>
      </c>
      <c r="N786" t="s">
        <v>5127</v>
      </c>
      <c r="O786" t="s">
        <v>2458</v>
      </c>
      <c r="P786" t="s">
        <v>7788</v>
      </c>
      <c r="Q786" t="s">
        <v>39</v>
      </c>
      <c r="R786" t="s">
        <v>40</v>
      </c>
      <c r="S786">
        <v>0</v>
      </c>
      <c r="U786" t="s">
        <v>5550</v>
      </c>
      <c r="V786" t="s">
        <v>1797</v>
      </c>
      <c r="X786" t="s">
        <v>74</v>
      </c>
      <c r="Y786" t="b">
        <v>0</v>
      </c>
      <c r="Z786" t="b">
        <v>0</v>
      </c>
      <c r="AC786" s="1"/>
      <c r="AF786">
        <v>0</v>
      </c>
      <c r="AG786">
        <v>45</v>
      </c>
      <c r="AH786">
        <v>71</v>
      </c>
      <c r="AI786" s="2">
        <f>Table__192.168.3.138AgingReportBEWLGS[[#This Row],[NetAmount]]-Table__192.168.3.138AgingReportBEWLGS[[#This Row],[Paid]]</f>
        <v>3686</v>
      </c>
    </row>
    <row r="787" spans="1:35">
      <c r="A787" t="s">
        <v>7865</v>
      </c>
      <c r="B787" s="1">
        <v>41229</v>
      </c>
      <c r="C787" s="1">
        <v>41274</v>
      </c>
      <c r="D787" t="s">
        <v>7866</v>
      </c>
      <c r="E787">
        <v>4000</v>
      </c>
      <c r="F787">
        <v>0</v>
      </c>
      <c r="G787">
        <v>0</v>
      </c>
      <c r="H787">
        <v>0</v>
      </c>
      <c r="I787">
        <v>33</v>
      </c>
      <c r="J787">
        <v>4000</v>
      </c>
      <c r="K787" t="s">
        <v>1982</v>
      </c>
      <c r="L787" s="1">
        <v>41235</v>
      </c>
      <c r="N787" t="s">
        <v>5127</v>
      </c>
      <c r="O787" t="s">
        <v>2458</v>
      </c>
      <c r="P787" t="s">
        <v>7867</v>
      </c>
      <c r="Q787" t="s">
        <v>39</v>
      </c>
      <c r="R787" t="s">
        <v>40</v>
      </c>
      <c r="S787">
        <v>0</v>
      </c>
      <c r="U787" t="s">
        <v>5550</v>
      </c>
      <c r="V787" t="s">
        <v>1797</v>
      </c>
      <c r="X787" t="s">
        <v>74</v>
      </c>
      <c r="Y787" t="b">
        <v>0</v>
      </c>
      <c r="Z787" t="b">
        <v>0</v>
      </c>
      <c r="AC787" s="1"/>
      <c r="AF787">
        <v>0</v>
      </c>
      <c r="AG787">
        <v>45</v>
      </c>
      <c r="AH787">
        <v>78</v>
      </c>
      <c r="AI787" s="2">
        <f>Table__192.168.3.138AgingReportBEWLGS[[#This Row],[NetAmount]]-Table__192.168.3.138AgingReportBEWLGS[[#This Row],[Paid]]</f>
        <v>4000</v>
      </c>
    </row>
    <row r="788" spans="1:35">
      <c r="A788" t="s">
        <v>7868</v>
      </c>
      <c r="B788" s="1">
        <v>41243</v>
      </c>
      <c r="C788" s="1">
        <v>41288</v>
      </c>
      <c r="D788" t="s">
        <v>6664</v>
      </c>
      <c r="E788">
        <v>4485</v>
      </c>
      <c r="F788">
        <v>718</v>
      </c>
      <c r="G788">
        <v>0</v>
      </c>
      <c r="H788">
        <v>0</v>
      </c>
      <c r="I788">
        <v>25</v>
      </c>
      <c r="J788">
        <v>5203</v>
      </c>
      <c r="K788" t="s">
        <v>7869</v>
      </c>
      <c r="L788" s="1">
        <v>41243</v>
      </c>
      <c r="N788" t="s">
        <v>5127</v>
      </c>
      <c r="O788" t="s">
        <v>2458</v>
      </c>
      <c r="P788" t="s">
        <v>5528</v>
      </c>
      <c r="Q788" t="s">
        <v>39</v>
      </c>
      <c r="R788" t="s">
        <v>40</v>
      </c>
      <c r="S788">
        <v>0</v>
      </c>
      <c r="U788" t="s">
        <v>5550</v>
      </c>
      <c r="V788" t="s">
        <v>1797</v>
      </c>
      <c r="X788" t="s">
        <v>74</v>
      </c>
      <c r="Y788" t="b">
        <v>0</v>
      </c>
      <c r="Z788" t="b">
        <v>0</v>
      </c>
      <c r="AC788" s="1"/>
      <c r="AF788">
        <v>0</v>
      </c>
      <c r="AG788">
        <v>45</v>
      </c>
      <c r="AH788">
        <v>70</v>
      </c>
      <c r="AI788" s="2">
        <f>Table__192.168.3.138AgingReportBEWLGS[[#This Row],[NetAmount]]-Table__192.168.3.138AgingReportBEWLGS[[#This Row],[Paid]]</f>
        <v>5203</v>
      </c>
    </row>
    <row r="789" spans="1:35">
      <c r="A789" t="s">
        <v>7870</v>
      </c>
      <c r="B789" s="1">
        <v>41239</v>
      </c>
      <c r="C789" s="1">
        <v>41284</v>
      </c>
      <c r="D789" t="s">
        <v>7709</v>
      </c>
      <c r="E789">
        <v>34704</v>
      </c>
      <c r="F789">
        <v>5553</v>
      </c>
      <c r="G789">
        <v>0</v>
      </c>
      <c r="H789">
        <v>0</v>
      </c>
      <c r="I789">
        <v>45</v>
      </c>
      <c r="J789">
        <v>40257</v>
      </c>
      <c r="K789" t="s">
        <v>7871</v>
      </c>
      <c r="L789" s="1">
        <v>41223</v>
      </c>
      <c r="N789" t="s">
        <v>5127</v>
      </c>
      <c r="O789" t="s">
        <v>2458</v>
      </c>
      <c r="P789" t="s">
        <v>7712</v>
      </c>
      <c r="Q789" t="s">
        <v>39</v>
      </c>
      <c r="R789" t="s">
        <v>40</v>
      </c>
      <c r="S789">
        <v>0</v>
      </c>
      <c r="U789" t="s">
        <v>5550</v>
      </c>
      <c r="V789" t="s">
        <v>1797</v>
      </c>
      <c r="X789" t="s">
        <v>74</v>
      </c>
      <c r="Y789" t="b">
        <v>0</v>
      </c>
      <c r="Z789" t="b">
        <v>0</v>
      </c>
      <c r="AC789" s="1"/>
      <c r="AF789">
        <v>0</v>
      </c>
      <c r="AG789">
        <v>45</v>
      </c>
      <c r="AH789">
        <v>90</v>
      </c>
      <c r="AI789" s="2">
        <f>Table__192.168.3.138AgingReportBEWLGS[[#This Row],[NetAmount]]-Table__192.168.3.138AgingReportBEWLGS[[#This Row],[Paid]]</f>
        <v>40257</v>
      </c>
    </row>
    <row r="790" spans="1:35">
      <c r="A790" t="s">
        <v>7872</v>
      </c>
      <c r="B790" s="1">
        <v>41220</v>
      </c>
      <c r="C790" s="1">
        <v>41220</v>
      </c>
      <c r="D790" t="s">
        <v>7622</v>
      </c>
      <c r="E790">
        <v>745725</v>
      </c>
      <c r="F790">
        <v>119316</v>
      </c>
      <c r="G790">
        <v>0</v>
      </c>
      <c r="H790">
        <v>0</v>
      </c>
      <c r="I790">
        <v>0</v>
      </c>
      <c r="J790">
        <v>865041</v>
      </c>
      <c r="K790" t="s">
        <v>4081</v>
      </c>
      <c r="L790" s="1">
        <v>41220</v>
      </c>
      <c r="N790" t="s">
        <v>5127</v>
      </c>
      <c r="O790" t="s">
        <v>2458</v>
      </c>
      <c r="P790" t="s">
        <v>7624</v>
      </c>
      <c r="Q790" t="s">
        <v>39</v>
      </c>
      <c r="R790" t="s">
        <v>40</v>
      </c>
      <c r="S790">
        <v>0</v>
      </c>
      <c r="U790" t="s">
        <v>5550</v>
      </c>
      <c r="V790" t="s">
        <v>1797</v>
      </c>
      <c r="X790" t="s">
        <v>74</v>
      </c>
      <c r="Y790" t="b">
        <v>0</v>
      </c>
      <c r="Z790" t="b">
        <v>0</v>
      </c>
      <c r="AC790" s="1"/>
      <c r="AF790">
        <v>0</v>
      </c>
      <c r="AH790">
        <v>93</v>
      </c>
      <c r="AI790" s="2">
        <f>Table__192.168.3.138AgingReportBEWLGS[[#This Row],[NetAmount]]-Table__192.168.3.138AgingReportBEWLGS[[#This Row],[Paid]]</f>
        <v>865041</v>
      </c>
    </row>
    <row r="791" spans="1:35">
      <c r="A791" t="s">
        <v>7873</v>
      </c>
      <c r="B791" s="1">
        <v>41219</v>
      </c>
      <c r="C791" s="1">
        <v>41264</v>
      </c>
      <c r="D791" t="s">
        <v>6318</v>
      </c>
      <c r="E791">
        <v>617945</v>
      </c>
      <c r="F791">
        <v>98871</v>
      </c>
      <c r="G791">
        <v>0</v>
      </c>
      <c r="H791">
        <v>0</v>
      </c>
      <c r="I791">
        <v>39</v>
      </c>
      <c r="J791">
        <v>716816</v>
      </c>
      <c r="K791" t="s">
        <v>7874</v>
      </c>
      <c r="L791" s="1">
        <v>41229</v>
      </c>
      <c r="N791" t="s">
        <v>5127</v>
      </c>
      <c r="O791" t="s">
        <v>2458</v>
      </c>
      <c r="P791" t="s">
        <v>6320</v>
      </c>
      <c r="Q791" t="s">
        <v>39</v>
      </c>
      <c r="R791" t="s">
        <v>40</v>
      </c>
      <c r="S791">
        <v>0</v>
      </c>
      <c r="U791" t="s">
        <v>5550</v>
      </c>
      <c r="V791" t="s">
        <v>1797</v>
      </c>
      <c r="X791" t="s">
        <v>74</v>
      </c>
      <c r="Y791" t="b">
        <v>0</v>
      </c>
      <c r="Z791" t="b">
        <v>0</v>
      </c>
      <c r="AB791" t="s">
        <v>7321</v>
      </c>
      <c r="AC791" s="1">
        <v>41307</v>
      </c>
      <c r="AF791">
        <v>0</v>
      </c>
      <c r="AG791">
        <v>45</v>
      </c>
      <c r="AH791">
        <v>84</v>
      </c>
      <c r="AI791" s="2">
        <f>Table__192.168.3.138AgingReportBEWLGS[[#This Row],[NetAmount]]-Table__192.168.3.138AgingReportBEWLGS[[#This Row],[Paid]]</f>
        <v>716816</v>
      </c>
    </row>
    <row r="792" spans="1:35">
      <c r="A792" t="s">
        <v>7875</v>
      </c>
      <c r="B792" s="1">
        <v>41229</v>
      </c>
      <c r="C792" s="1">
        <v>41274</v>
      </c>
      <c r="D792" t="s">
        <v>6318</v>
      </c>
      <c r="E792">
        <v>544950</v>
      </c>
      <c r="F792">
        <v>87192</v>
      </c>
      <c r="G792">
        <v>0</v>
      </c>
      <c r="H792">
        <v>0</v>
      </c>
      <c r="I792">
        <v>39</v>
      </c>
      <c r="J792">
        <v>632142</v>
      </c>
      <c r="K792" t="s">
        <v>7876</v>
      </c>
      <c r="L792" s="1">
        <v>41229</v>
      </c>
      <c r="N792" t="s">
        <v>5127</v>
      </c>
      <c r="O792" t="s">
        <v>2458</v>
      </c>
      <c r="P792" t="s">
        <v>6320</v>
      </c>
      <c r="Q792" t="s">
        <v>39</v>
      </c>
      <c r="R792" t="s">
        <v>40</v>
      </c>
      <c r="S792">
        <v>0</v>
      </c>
      <c r="U792" t="s">
        <v>5550</v>
      </c>
      <c r="V792" t="s">
        <v>1797</v>
      </c>
      <c r="X792" t="s">
        <v>74</v>
      </c>
      <c r="Y792" t="b">
        <v>0</v>
      </c>
      <c r="Z792" t="b">
        <v>0</v>
      </c>
      <c r="AB792" t="s">
        <v>7321</v>
      </c>
      <c r="AC792" s="1">
        <v>41307</v>
      </c>
      <c r="AF792">
        <v>0</v>
      </c>
      <c r="AG792">
        <v>45</v>
      </c>
      <c r="AH792">
        <v>84</v>
      </c>
      <c r="AI792" s="2">
        <f>Table__192.168.3.138AgingReportBEWLGS[[#This Row],[NetAmount]]-Table__192.168.3.138AgingReportBEWLGS[[#This Row],[Paid]]</f>
        <v>632142</v>
      </c>
    </row>
    <row r="793" spans="1:35">
      <c r="A793" t="s">
        <v>7877</v>
      </c>
      <c r="B793" s="1">
        <v>41235</v>
      </c>
      <c r="C793" s="1">
        <v>41280</v>
      </c>
      <c r="D793" t="s">
        <v>6373</v>
      </c>
      <c r="E793">
        <v>12450</v>
      </c>
      <c r="F793">
        <v>0</v>
      </c>
      <c r="G793">
        <v>0</v>
      </c>
      <c r="H793">
        <v>0</v>
      </c>
      <c r="I793">
        <v>33</v>
      </c>
      <c r="J793">
        <v>12450</v>
      </c>
      <c r="K793" t="s">
        <v>4857</v>
      </c>
      <c r="L793" s="1">
        <v>41235</v>
      </c>
      <c r="N793" t="s">
        <v>5127</v>
      </c>
      <c r="O793" t="s">
        <v>2458</v>
      </c>
      <c r="P793" t="s">
        <v>6375</v>
      </c>
      <c r="Q793" t="s">
        <v>39</v>
      </c>
      <c r="R793" t="s">
        <v>40</v>
      </c>
      <c r="S793">
        <v>0</v>
      </c>
      <c r="U793" t="s">
        <v>5550</v>
      </c>
      <c r="V793" t="s">
        <v>1797</v>
      </c>
      <c r="X793" t="s">
        <v>74</v>
      </c>
      <c r="Y793" t="b">
        <v>0</v>
      </c>
      <c r="Z793" t="b">
        <v>0</v>
      </c>
      <c r="AC793" s="1"/>
      <c r="AF793">
        <v>0</v>
      </c>
      <c r="AG793">
        <v>45</v>
      </c>
      <c r="AH793">
        <v>78</v>
      </c>
      <c r="AI793" s="2">
        <f>Table__192.168.3.138AgingReportBEWLGS[[#This Row],[NetAmount]]-Table__192.168.3.138AgingReportBEWLGS[[#This Row],[Paid]]</f>
        <v>12450</v>
      </c>
    </row>
    <row r="794" spans="1:35">
      <c r="A794" t="s">
        <v>7878</v>
      </c>
      <c r="B794" s="1">
        <v>41234</v>
      </c>
      <c r="C794" s="1">
        <v>41279</v>
      </c>
      <c r="D794" t="s">
        <v>7773</v>
      </c>
      <c r="E794">
        <v>7100</v>
      </c>
      <c r="F794">
        <v>1136</v>
      </c>
      <c r="G794">
        <v>0</v>
      </c>
      <c r="H794">
        <v>0</v>
      </c>
      <c r="I794">
        <v>29</v>
      </c>
      <c r="J794">
        <v>8236</v>
      </c>
      <c r="K794" t="s">
        <v>7879</v>
      </c>
      <c r="L794" s="1">
        <v>41239</v>
      </c>
      <c r="N794" t="s">
        <v>5127</v>
      </c>
      <c r="O794" t="s">
        <v>2458</v>
      </c>
      <c r="P794" t="s">
        <v>7776</v>
      </c>
      <c r="Q794" t="s">
        <v>39</v>
      </c>
      <c r="R794" t="s">
        <v>40</v>
      </c>
      <c r="S794">
        <v>0</v>
      </c>
      <c r="U794" t="s">
        <v>5550</v>
      </c>
      <c r="V794" t="s">
        <v>1797</v>
      </c>
      <c r="X794" t="s">
        <v>74</v>
      </c>
      <c r="Y794" t="b">
        <v>0</v>
      </c>
      <c r="Z794" t="b">
        <v>0</v>
      </c>
      <c r="AC794" s="1"/>
      <c r="AF794">
        <v>0</v>
      </c>
      <c r="AG794">
        <v>45</v>
      </c>
      <c r="AH794">
        <v>74</v>
      </c>
      <c r="AI794" s="2">
        <f>Table__192.168.3.138AgingReportBEWLGS[[#This Row],[NetAmount]]-Table__192.168.3.138AgingReportBEWLGS[[#This Row],[Paid]]</f>
        <v>8236</v>
      </c>
    </row>
    <row r="795" spans="1:35">
      <c r="A795" t="s">
        <v>7880</v>
      </c>
      <c r="B795" s="1">
        <v>41243</v>
      </c>
      <c r="C795" s="1">
        <v>41288</v>
      </c>
      <c r="D795" t="s">
        <v>6412</v>
      </c>
      <c r="E795">
        <v>1110690</v>
      </c>
      <c r="F795">
        <v>177710</v>
      </c>
      <c r="G795">
        <v>0</v>
      </c>
      <c r="H795">
        <v>0</v>
      </c>
      <c r="I795">
        <v>26</v>
      </c>
      <c r="J795">
        <v>1288400</v>
      </c>
      <c r="K795" t="s">
        <v>7881</v>
      </c>
      <c r="L795" s="1">
        <v>41242</v>
      </c>
      <c r="N795" t="s">
        <v>5127</v>
      </c>
      <c r="O795" t="s">
        <v>2458</v>
      </c>
      <c r="P795" t="s">
        <v>6414</v>
      </c>
      <c r="Q795" t="s">
        <v>39</v>
      </c>
      <c r="R795" t="s">
        <v>40</v>
      </c>
      <c r="S795">
        <v>0</v>
      </c>
      <c r="U795" t="s">
        <v>5550</v>
      </c>
      <c r="V795" t="s">
        <v>1797</v>
      </c>
      <c r="X795" t="s">
        <v>74</v>
      </c>
      <c r="Y795" t="b">
        <v>0</v>
      </c>
      <c r="Z795" t="b">
        <v>0</v>
      </c>
      <c r="AB795" t="s">
        <v>7882</v>
      </c>
      <c r="AC795" s="1">
        <v>41279</v>
      </c>
      <c r="AF795">
        <v>0</v>
      </c>
      <c r="AG795">
        <v>45</v>
      </c>
      <c r="AH795">
        <v>71</v>
      </c>
      <c r="AI795" s="2">
        <f>Table__192.168.3.138AgingReportBEWLGS[[#This Row],[NetAmount]]-Table__192.168.3.138AgingReportBEWLGS[[#This Row],[Paid]]</f>
        <v>1288400</v>
      </c>
    </row>
    <row r="796" spans="1:35">
      <c r="A796" t="s">
        <v>7883</v>
      </c>
      <c r="B796" s="1">
        <v>41218</v>
      </c>
      <c r="C796" s="1">
        <v>41263</v>
      </c>
      <c r="D796" t="s">
        <v>6318</v>
      </c>
      <c r="E796">
        <v>268155</v>
      </c>
      <c r="F796">
        <v>42905</v>
      </c>
      <c r="G796">
        <v>0</v>
      </c>
      <c r="H796">
        <v>0</v>
      </c>
      <c r="I796">
        <v>39</v>
      </c>
      <c r="J796">
        <v>311060</v>
      </c>
      <c r="K796" t="s">
        <v>7884</v>
      </c>
      <c r="L796" s="1">
        <v>41229</v>
      </c>
      <c r="N796" t="s">
        <v>5127</v>
      </c>
      <c r="O796" t="s">
        <v>2458</v>
      </c>
      <c r="P796" t="s">
        <v>6320</v>
      </c>
      <c r="Q796" t="s">
        <v>39</v>
      </c>
      <c r="R796" t="s">
        <v>40</v>
      </c>
      <c r="S796">
        <v>0</v>
      </c>
      <c r="U796" t="s">
        <v>5550</v>
      </c>
      <c r="V796" t="s">
        <v>1797</v>
      </c>
      <c r="X796" t="s">
        <v>74</v>
      </c>
      <c r="Y796" t="b">
        <v>0</v>
      </c>
      <c r="Z796" t="b">
        <v>0</v>
      </c>
      <c r="AB796" t="s">
        <v>7321</v>
      </c>
      <c r="AC796" s="1">
        <v>41307</v>
      </c>
      <c r="AF796">
        <v>0</v>
      </c>
      <c r="AG796">
        <v>45</v>
      </c>
      <c r="AH796">
        <v>84</v>
      </c>
      <c r="AI796" s="2">
        <f>Table__192.168.3.138AgingReportBEWLGS[[#This Row],[NetAmount]]-Table__192.168.3.138AgingReportBEWLGS[[#This Row],[Paid]]</f>
        <v>311060</v>
      </c>
    </row>
    <row r="797" spans="1:35">
      <c r="A797" t="s">
        <v>7885</v>
      </c>
      <c r="B797" s="1">
        <v>41226</v>
      </c>
      <c r="C797" s="1">
        <v>41271</v>
      </c>
      <c r="D797" t="s">
        <v>6318</v>
      </c>
      <c r="E797">
        <v>1033650</v>
      </c>
      <c r="F797">
        <v>165384</v>
      </c>
      <c r="G797">
        <v>0</v>
      </c>
      <c r="H797">
        <v>0</v>
      </c>
      <c r="I797">
        <v>39</v>
      </c>
      <c r="J797">
        <v>1199034</v>
      </c>
      <c r="K797" t="s">
        <v>7886</v>
      </c>
      <c r="L797" s="1">
        <v>41229</v>
      </c>
      <c r="N797" t="s">
        <v>5127</v>
      </c>
      <c r="O797" t="s">
        <v>2458</v>
      </c>
      <c r="P797" t="s">
        <v>6320</v>
      </c>
      <c r="Q797" t="s">
        <v>39</v>
      </c>
      <c r="R797" t="s">
        <v>40</v>
      </c>
      <c r="S797">
        <v>0</v>
      </c>
      <c r="U797" t="s">
        <v>5550</v>
      </c>
      <c r="V797" t="s">
        <v>1797</v>
      </c>
      <c r="X797" t="s">
        <v>74</v>
      </c>
      <c r="Y797" t="b">
        <v>0</v>
      </c>
      <c r="Z797" t="b">
        <v>0</v>
      </c>
      <c r="AB797" t="s">
        <v>7321</v>
      </c>
      <c r="AC797" s="1">
        <v>41307</v>
      </c>
      <c r="AF797">
        <v>0</v>
      </c>
      <c r="AG797">
        <v>45</v>
      </c>
      <c r="AH797">
        <v>84</v>
      </c>
      <c r="AI797" s="2">
        <f>Table__192.168.3.138AgingReportBEWLGS[[#This Row],[NetAmount]]-Table__192.168.3.138AgingReportBEWLGS[[#This Row],[Paid]]</f>
        <v>1199034</v>
      </c>
    </row>
    <row r="798" spans="1:35">
      <c r="A798" t="s">
        <v>7887</v>
      </c>
      <c r="B798" s="1">
        <v>41243</v>
      </c>
      <c r="C798" s="1">
        <v>41288</v>
      </c>
      <c r="D798" t="s">
        <v>7722</v>
      </c>
      <c r="E798">
        <v>10635</v>
      </c>
      <c r="F798">
        <v>1702</v>
      </c>
      <c r="G798">
        <v>0</v>
      </c>
      <c r="H798">
        <v>0</v>
      </c>
      <c r="I798">
        <v>33</v>
      </c>
      <c r="J798">
        <v>12337</v>
      </c>
      <c r="K798" t="s">
        <v>3994</v>
      </c>
      <c r="L798" s="1">
        <v>41235</v>
      </c>
      <c r="N798" t="s">
        <v>5127</v>
      </c>
      <c r="O798" t="s">
        <v>2458</v>
      </c>
      <c r="P798" t="s">
        <v>7724</v>
      </c>
      <c r="Q798" t="s">
        <v>39</v>
      </c>
      <c r="R798" t="s">
        <v>40</v>
      </c>
      <c r="S798">
        <v>0</v>
      </c>
      <c r="U798" t="s">
        <v>5550</v>
      </c>
      <c r="V798" t="s">
        <v>1797</v>
      </c>
      <c r="X798" t="s">
        <v>74</v>
      </c>
      <c r="Y798" t="b">
        <v>0</v>
      </c>
      <c r="Z798" t="b">
        <v>0</v>
      </c>
      <c r="AC798" s="1"/>
      <c r="AF798">
        <v>0</v>
      </c>
      <c r="AG798">
        <v>45</v>
      </c>
      <c r="AH798">
        <v>78</v>
      </c>
      <c r="AI798" s="2">
        <f>Table__192.168.3.138AgingReportBEWLGS[[#This Row],[NetAmount]]-Table__192.168.3.138AgingReportBEWLGS[[#This Row],[Paid]]</f>
        <v>12337</v>
      </c>
    </row>
    <row r="799" spans="1:35">
      <c r="A799" t="s">
        <v>7888</v>
      </c>
      <c r="B799" s="1">
        <v>41242</v>
      </c>
      <c r="C799" s="1">
        <v>41242</v>
      </c>
      <c r="D799" t="s">
        <v>7829</v>
      </c>
      <c r="E799">
        <v>91635</v>
      </c>
      <c r="F799">
        <v>14662</v>
      </c>
      <c r="G799">
        <v>0</v>
      </c>
      <c r="H799">
        <v>0</v>
      </c>
      <c r="I799">
        <v>0</v>
      </c>
      <c r="J799">
        <v>106297</v>
      </c>
      <c r="K799" t="s">
        <v>944</v>
      </c>
      <c r="L799" s="1">
        <v>41242</v>
      </c>
      <c r="N799" t="s">
        <v>5127</v>
      </c>
      <c r="O799" t="s">
        <v>2458</v>
      </c>
      <c r="P799" t="s">
        <v>5546</v>
      </c>
      <c r="Q799" t="s">
        <v>39</v>
      </c>
      <c r="R799" t="s">
        <v>40</v>
      </c>
      <c r="S799">
        <v>0</v>
      </c>
      <c r="U799" t="s">
        <v>5550</v>
      </c>
      <c r="V799" t="s">
        <v>1797</v>
      </c>
      <c r="X799" t="s">
        <v>74</v>
      </c>
      <c r="Y799" t="b">
        <v>0</v>
      </c>
      <c r="Z799" t="b">
        <v>0</v>
      </c>
      <c r="AC799" s="1"/>
      <c r="AF799">
        <v>0</v>
      </c>
      <c r="AH799">
        <v>71</v>
      </c>
      <c r="AI799" s="2">
        <f>Table__192.168.3.138AgingReportBEWLGS[[#This Row],[NetAmount]]-Table__192.168.3.138AgingReportBEWLGS[[#This Row],[Paid]]</f>
        <v>106297</v>
      </c>
    </row>
    <row r="800" spans="1:35">
      <c r="A800" t="s">
        <v>7889</v>
      </c>
      <c r="B800" s="1">
        <v>41243</v>
      </c>
      <c r="C800" s="1">
        <v>41288</v>
      </c>
      <c r="D800" t="s">
        <v>7866</v>
      </c>
      <c r="E800">
        <v>1800</v>
      </c>
      <c r="F800">
        <v>0</v>
      </c>
      <c r="G800">
        <v>0</v>
      </c>
      <c r="H800">
        <v>0</v>
      </c>
      <c r="I800">
        <v>27</v>
      </c>
      <c r="J800">
        <v>1800</v>
      </c>
      <c r="K800" t="s">
        <v>1984</v>
      </c>
      <c r="L800" s="1">
        <v>41241</v>
      </c>
      <c r="N800" t="s">
        <v>5127</v>
      </c>
      <c r="O800" t="s">
        <v>2458</v>
      </c>
      <c r="P800" t="s">
        <v>7867</v>
      </c>
      <c r="Q800" t="s">
        <v>39</v>
      </c>
      <c r="R800" t="s">
        <v>40</v>
      </c>
      <c r="S800">
        <v>0</v>
      </c>
      <c r="U800" t="s">
        <v>5550</v>
      </c>
      <c r="V800" t="s">
        <v>1797</v>
      </c>
      <c r="X800" t="s">
        <v>74</v>
      </c>
      <c r="Y800" t="b">
        <v>0</v>
      </c>
      <c r="Z800" t="b">
        <v>0</v>
      </c>
      <c r="AC800" s="1"/>
      <c r="AF800">
        <v>0</v>
      </c>
      <c r="AG800">
        <v>45</v>
      </c>
      <c r="AH800">
        <v>72</v>
      </c>
      <c r="AI800" s="2">
        <f>Table__192.168.3.138AgingReportBEWLGS[[#This Row],[NetAmount]]-Table__192.168.3.138AgingReportBEWLGS[[#This Row],[Paid]]</f>
        <v>1800</v>
      </c>
    </row>
    <row r="801" spans="1:35">
      <c r="A801" t="s">
        <v>7890</v>
      </c>
      <c r="B801" s="1">
        <v>41235</v>
      </c>
      <c r="C801" s="1">
        <v>41280</v>
      </c>
      <c r="D801" t="s">
        <v>7891</v>
      </c>
      <c r="E801">
        <v>6000</v>
      </c>
      <c r="F801">
        <v>0</v>
      </c>
      <c r="G801">
        <v>0</v>
      </c>
      <c r="H801">
        <v>0</v>
      </c>
      <c r="I801">
        <v>32</v>
      </c>
      <c r="J801">
        <v>6000</v>
      </c>
      <c r="K801" t="s">
        <v>4230</v>
      </c>
      <c r="L801" s="1">
        <v>41236</v>
      </c>
      <c r="N801" t="s">
        <v>5127</v>
      </c>
      <c r="O801" t="s">
        <v>2458</v>
      </c>
      <c r="P801" t="s">
        <v>7892</v>
      </c>
      <c r="Q801" t="s">
        <v>39</v>
      </c>
      <c r="R801" t="s">
        <v>40</v>
      </c>
      <c r="S801">
        <v>0</v>
      </c>
      <c r="U801" t="s">
        <v>5550</v>
      </c>
      <c r="V801" t="s">
        <v>1797</v>
      </c>
      <c r="X801" t="s">
        <v>74</v>
      </c>
      <c r="Y801" t="b">
        <v>0</v>
      </c>
      <c r="Z801" t="b">
        <v>0</v>
      </c>
      <c r="AC801" s="1"/>
      <c r="AF801">
        <v>0</v>
      </c>
      <c r="AG801">
        <v>45</v>
      </c>
      <c r="AH801">
        <v>77</v>
      </c>
      <c r="AI801" s="2">
        <f>Table__192.168.3.138AgingReportBEWLGS[[#This Row],[NetAmount]]-Table__192.168.3.138AgingReportBEWLGS[[#This Row],[Paid]]</f>
        <v>6000</v>
      </c>
    </row>
    <row r="802" spans="1:35">
      <c r="A802" t="s">
        <v>7893</v>
      </c>
      <c r="B802" s="1">
        <v>41216</v>
      </c>
      <c r="C802" s="1">
        <v>41261</v>
      </c>
      <c r="D802" t="s">
        <v>6318</v>
      </c>
      <c r="E802">
        <v>380100</v>
      </c>
      <c r="F802">
        <v>60816</v>
      </c>
      <c r="G802">
        <v>0</v>
      </c>
      <c r="H802">
        <v>0</v>
      </c>
      <c r="I802">
        <v>39</v>
      </c>
      <c r="J802">
        <v>440916</v>
      </c>
      <c r="K802" t="s">
        <v>7894</v>
      </c>
      <c r="L802" s="1">
        <v>41229</v>
      </c>
      <c r="N802" t="s">
        <v>5127</v>
      </c>
      <c r="O802" t="s">
        <v>2458</v>
      </c>
      <c r="P802" t="s">
        <v>6320</v>
      </c>
      <c r="Q802" t="s">
        <v>39</v>
      </c>
      <c r="R802" t="s">
        <v>40</v>
      </c>
      <c r="S802">
        <v>0</v>
      </c>
      <c r="U802" t="s">
        <v>5550</v>
      </c>
      <c r="V802" t="s">
        <v>1797</v>
      </c>
      <c r="X802" t="s">
        <v>74</v>
      </c>
      <c r="Y802" t="b">
        <v>0</v>
      </c>
      <c r="Z802" t="b">
        <v>0</v>
      </c>
      <c r="AB802" t="s">
        <v>7321</v>
      </c>
      <c r="AC802" s="1">
        <v>41307</v>
      </c>
      <c r="AF802">
        <v>0</v>
      </c>
      <c r="AG802">
        <v>45</v>
      </c>
      <c r="AH802">
        <v>84</v>
      </c>
      <c r="AI802" s="2">
        <f>Table__192.168.3.138AgingReportBEWLGS[[#This Row],[NetAmount]]-Table__192.168.3.138AgingReportBEWLGS[[#This Row],[Paid]]</f>
        <v>440916</v>
      </c>
    </row>
    <row r="803" spans="1:35">
      <c r="A803" t="s">
        <v>7895</v>
      </c>
      <c r="B803" s="1">
        <v>41243</v>
      </c>
      <c r="C803" s="1">
        <v>41288</v>
      </c>
      <c r="D803" t="s">
        <v>7308</v>
      </c>
      <c r="E803">
        <v>30000</v>
      </c>
      <c r="F803">
        <v>4800</v>
      </c>
      <c r="G803">
        <v>0</v>
      </c>
      <c r="H803">
        <v>0</v>
      </c>
      <c r="I803">
        <v>28</v>
      </c>
      <c r="J803">
        <v>34800</v>
      </c>
      <c r="K803" t="s">
        <v>2561</v>
      </c>
      <c r="L803" s="1">
        <v>41240</v>
      </c>
      <c r="N803" t="s">
        <v>5127</v>
      </c>
      <c r="O803" t="s">
        <v>2458</v>
      </c>
      <c r="P803" t="s">
        <v>5490</v>
      </c>
      <c r="Q803" t="s">
        <v>39</v>
      </c>
      <c r="R803" t="s">
        <v>40</v>
      </c>
      <c r="S803">
        <v>0</v>
      </c>
      <c r="U803" t="s">
        <v>5550</v>
      </c>
      <c r="V803" t="s">
        <v>1797</v>
      </c>
      <c r="X803" t="s">
        <v>74</v>
      </c>
      <c r="Y803" t="b">
        <v>0</v>
      </c>
      <c r="Z803" t="b">
        <v>0</v>
      </c>
      <c r="AC803" s="1"/>
      <c r="AF803">
        <v>0</v>
      </c>
      <c r="AG803">
        <v>45</v>
      </c>
      <c r="AH803">
        <v>73</v>
      </c>
      <c r="AI803" s="2">
        <f>Table__192.168.3.138AgingReportBEWLGS[[#This Row],[NetAmount]]-Table__192.168.3.138AgingReportBEWLGS[[#This Row],[Paid]]</f>
        <v>34800</v>
      </c>
    </row>
    <row r="804" spans="1:35">
      <c r="A804" t="s">
        <v>7896</v>
      </c>
      <c r="B804" s="1">
        <v>41243</v>
      </c>
      <c r="C804" s="1">
        <v>41288</v>
      </c>
      <c r="D804" t="s">
        <v>7308</v>
      </c>
      <c r="E804">
        <v>20000</v>
      </c>
      <c r="F804">
        <v>3200</v>
      </c>
      <c r="G804">
        <v>0</v>
      </c>
      <c r="H804">
        <v>0</v>
      </c>
      <c r="I804">
        <v>28</v>
      </c>
      <c r="J804">
        <v>23200</v>
      </c>
      <c r="K804" t="s">
        <v>1047</v>
      </c>
      <c r="L804" s="1">
        <v>41240</v>
      </c>
      <c r="N804" t="s">
        <v>5127</v>
      </c>
      <c r="O804" t="s">
        <v>2458</v>
      </c>
      <c r="P804" t="s">
        <v>5490</v>
      </c>
      <c r="Q804" t="s">
        <v>39</v>
      </c>
      <c r="R804" t="s">
        <v>40</v>
      </c>
      <c r="S804">
        <v>0</v>
      </c>
      <c r="U804" t="s">
        <v>5550</v>
      </c>
      <c r="V804" t="s">
        <v>1797</v>
      </c>
      <c r="X804" t="s">
        <v>74</v>
      </c>
      <c r="Y804" t="b">
        <v>0</v>
      </c>
      <c r="Z804" t="b">
        <v>0</v>
      </c>
      <c r="AC804" s="1"/>
      <c r="AF804">
        <v>0</v>
      </c>
      <c r="AG804">
        <v>45</v>
      </c>
      <c r="AH804">
        <v>73</v>
      </c>
      <c r="AI804" s="2">
        <f>Table__192.168.3.138AgingReportBEWLGS[[#This Row],[NetAmount]]-Table__192.168.3.138AgingReportBEWLGS[[#This Row],[Paid]]</f>
        <v>23200</v>
      </c>
    </row>
    <row r="805" spans="1:35">
      <c r="A805" t="s">
        <v>7897</v>
      </c>
      <c r="B805" s="1">
        <v>41243</v>
      </c>
      <c r="C805" s="1">
        <v>41288</v>
      </c>
      <c r="D805" t="s">
        <v>7308</v>
      </c>
      <c r="E805">
        <v>10000</v>
      </c>
      <c r="F805">
        <v>1600</v>
      </c>
      <c r="G805">
        <v>0</v>
      </c>
      <c r="H805">
        <v>0</v>
      </c>
      <c r="I805">
        <v>26</v>
      </c>
      <c r="J805">
        <v>11600</v>
      </c>
      <c r="K805" t="s">
        <v>3832</v>
      </c>
      <c r="L805" s="1">
        <v>41242</v>
      </c>
      <c r="N805" t="s">
        <v>5127</v>
      </c>
      <c r="O805" t="s">
        <v>2458</v>
      </c>
      <c r="P805" t="s">
        <v>5490</v>
      </c>
      <c r="Q805" t="s">
        <v>39</v>
      </c>
      <c r="R805" t="s">
        <v>40</v>
      </c>
      <c r="S805">
        <v>0</v>
      </c>
      <c r="U805" t="s">
        <v>5550</v>
      </c>
      <c r="V805" t="s">
        <v>1797</v>
      </c>
      <c r="X805" t="s">
        <v>74</v>
      </c>
      <c r="Y805" t="b">
        <v>0</v>
      </c>
      <c r="Z805" t="b">
        <v>0</v>
      </c>
      <c r="AC805" s="1"/>
      <c r="AF805">
        <v>0</v>
      </c>
      <c r="AG805">
        <v>45</v>
      </c>
      <c r="AH805">
        <v>71</v>
      </c>
      <c r="AI805" s="2">
        <f>Table__192.168.3.138AgingReportBEWLGS[[#This Row],[NetAmount]]-Table__192.168.3.138AgingReportBEWLGS[[#This Row],[Paid]]</f>
        <v>11600</v>
      </c>
    </row>
    <row r="806" spans="1:35">
      <c r="A806" t="s">
        <v>7898</v>
      </c>
      <c r="B806" s="1">
        <v>41215</v>
      </c>
      <c r="C806" s="1">
        <v>41260</v>
      </c>
      <c r="D806" t="s">
        <v>6542</v>
      </c>
      <c r="E806">
        <v>25600</v>
      </c>
      <c r="F806">
        <v>0</v>
      </c>
      <c r="G806">
        <v>0</v>
      </c>
      <c r="H806">
        <v>0</v>
      </c>
      <c r="I806">
        <v>26</v>
      </c>
      <c r="J806">
        <v>25600</v>
      </c>
      <c r="K806" t="s">
        <v>7899</v>
      </c>
      <c r="L806" s="1">
        <v>41242</v>
      </c>
      <c r="N806" t="s">
        <v>5127</v>
      </c>
      <c r="O806" t="s">
        <v>2458</v>
      </c>
      <c r="P806" t="s">
        <v>6544</v>
      </c>
      <c r="Q806" t="s">
        <v>39</v>
      </c>
      <c r="R806" t="s">
        <v>40</v>
      </c>
      <c r="S806">
        <v>0</v>
      </c>
      <c r="U806" t="s">
        <v>5550</v>
      </c>
      <c r="V806" t="s">
        <v>1797</v>
      </c>
      <c r="X806" t="s">
        <v>74</v>
      </c>
      <c r="Y806" t="b">
        <v>0</v>
      </c>
      <c r="Z806" t="b">
        <v>0</v>
      </c>
      <c r="AC806" s="1"/>
      <c r="AF806">
        <v>0</v>
      </c>
      <c r="AG806">
        <v>45</v>
      </c>
      <c r="AH806">
        <v>71</v>
      </c>
      <c r="AI806" s="2">
        <f>Table__192.168.3.138AgingReportBEWLGS[[#This Row],[NetAmount]]-Table__192.168.3.138AgingReportBEWLGS[[#This Row],[Paid]]</f>
        <v>25600</v>
      </c>
    </row>
    <row r="807" spans="1:35">
      <c r="A807" t="s">
        <v>7900</v>
      </c>
      <c r="B807" s="1">
        <v>41216</v>
      </c>
      <c r="C807" s="1">
        <v>41261</v>
      </c>
      <c r="D807" t="s">
        <v>6542</v>
      </c>
      <c r="E807">
        <v>29500</v>
      </c>
      <c r="F807">
        <v>0</v>
      </c>
      <c r="G807">
        <v>0</v>
      </c>
      <c r="H807">
        <v>0</v>
      </c>
      <c r="I807">
        <v>52</v>
      </c>
      <c r="J807">
        <v>29500</v>
      </c>
      <c r="K807" t="s">
        <v>7901</v>
      </c>
      <c r="L807" s="1">
        <v>41216</v>
      </c>
      <c r="N807" t="s">
        <v>5127</v>
      </c>
      <c r="O807" t="s">
        <v>2458</v>
      </c>
      <c r="P807" t="s">
        <v>6544</v>
      </c>
      <c r="Q807" t="s">
        <v>39</v>
      </c>
      <c r="R807" t="s">
        <v>40</v>
      </c>
      <c r="S807">
        <v>0</v>
      </c>
      <c r="U807" t="s">
        <v>5550</v>
      </c>
      <c r="V807" t="s">
        <v>1797</v>
      </c>
      <c r="X807" t="s">
        <v>74</v>
      </c>
      <c r="Y807" t="b">
        <v>0</v>
      </c>
      <c r="Z807" t="b">
        <v>0</v>
      </c>
      <c r="AC807" s="1"/>
      <c r="AF807">
        <v>0</v>
      </c>
      <c r="AG807">
        <v>45</v>
      </c>
      <c r="AH807">
        <v>97</v>
      </c>
      <c r="AI807" s="2">
        <f>Table__192.168.3.138AgingReportBEWLGS[[#This Row],[NetAmount]]-Table__192.168.3.138AgingReportBEWLGS[[#This Row],[Paid]]</f>
        <v>29500</v>
      </c>
    </row>
    <row r="808" spans="1:35">
      <c r="A808" t="s">
        <v>7902</v>
      </c>
      <c r="B808" s="1">
        <v>41219</v>
      </c>
      <c r="C808" s="1">
        <v>41264</v>
      </c>
      <c r="D808" t="s">
        <v>6542</v>
      </c>
      <c r="E808">
        <v>25600</v>
      </c>
      <c r="F808">
        <v>0</v>
      </c>
      <c r="G808">
        <v>0</v>
      </c>
      <c r="H808">
        <v>0</v>
      </c>
      <c r="I808">
        <v>49</v>
      </c>
      <c r="J808">
        <v>25600</v>
      </c>
      <c r="K808" t="s">
        <v>7903</v>
      </c>
      <c r="L808" s="1">
        <v>41219</v>
      </c>
      <c r="N808" t="s">
        <v>5127</v>
      </c>
      <c r="O808" t="s">
        <v>2458</v>
      </c>
      <c r="P808" t="s">
        <v>6544</v>
      </c>
      <c r="Q808" t="s">
        <v>39</v>
      </c>
      <c r="R808" t="s">
        <v>40</v>
      </c>
      <c r="S808">
        <v>0</v>
      </c>
      <c r="U808" t="s">
        <v>5550</v>
      </c>
      <c r="V808" t="s">
        <v>1797</v>
      </c>
      <c r="X808" t="s">
        <v>74</v>
      </c>
      <c r="Y808" t="b">
        <v>0</v>
      </c>
      <c r="Z808" t="b">
        <v>0</v>
      </c>
      <c r="AC808" s="1"/>
      <c r="AF808">
        <v>0</v>
      </c>
      <c r="AG808">
        <v>45</v>
      </c>
      <c r="AH808">
        <v>94</v>
      </c>
      <c r="AI808" s="2">
        <f>Table__192.168.3.138AgingReportBEWLGS[[#This Row],[NetAmount]]-Table__192.168.3.138AgingReportBEWLGS[[#This Row],[Paid]]</f>
        <v>25600</v>
      </c>
    </row>
    <row r="809" spans="1:35">
      <c r="A809" t="s">
        <v>7904</v>
      </c>
      <c r="B809" s="1">
        <v>41220</v>
      </c>
      <c r="C809" s="1">
        <v>41265</v>
      </c>
      <c r="D809" t="s">
        <v>6542</v>
      </c>
      <c r="E809">
        <v>25600</v>
      </c>
      <c r="F809">
        <v>0</v>
      </c>
      <c r="G809">
        <v>0</v>
      </c>
      <c r="H809">
        <v>0</v>
      </c>
      <c r="I809">
        <v>48</v>
      </c>
      <c r="J809">
        <v>25600</v>
      </c>
      <c r="K809" t="s">
        <v>1854</v>
      </c>
      <c r="L809" s="1">
        <v>41220</v>
      </c>
      <c r="N809" t="s">
        <v>5127</v>
      </c>
      <c r="O809" t="s">
        <v>2458</v>
      </c>
      <c r="P809" t="s">
        <v>6544</v>
      </c>
      <c r="Q809" t="s">
        <v>39</v>
      </c>
      <c r="R809" t="s">
        <v>40</v>
      </c>
      <c r="S809">
        <v>0</v>
      </c>
      <c r="U809" t="s">
        <v>5550</v>
      </c>
      <c r="V809" t="s">
        <v>1797</v>
      </c>
      <c r="X809" t="s">
        <v>74</v>
      </c>
      <c r="Y809" t="b">
        <v>0</v>
      </c>
      <c r="Z809" t="b">
        <v>0</v>
      </c>
      <c r="AC809" s="1"/>
      <c r="AF809">
        <v>0</v>
      </c>
      <c r="AG809">
        <v>45</v>
      </c>
      <c r="AH809">
        <v>93</v>
      </c>
      <c r="AI809" s="2">
        <f>Table__192.168.3.138AgingReportBEWLGS[[#This Row],[NetAmount]]-Table__192.168.3.138AgingReportBEWLGS[[#This Row],[Paid]]</f>
        <v>25600</v>
      </c>
    </row>
    <row r="810" spans="1:35">
      <c r="A810" t="s">
        <v>7905</v>
      </c>
      <c r="B810" s="1">
        <v>41221</v>
      </c>
      <c r="C810" s="1">
        <v>41266</v>
      </c>
      <c r="D810" t="s">
        <v>6542</v>
      </c>
      <c r="E810">
        <v>25600</v>
      </c>
      <c r="F810">
        <v>0</v>
      </c>
      <c r="G810">
        <v>0</v>
      </c>
      <c r="H810">
        <v>0</v>
      </c>
      <c r="I810">
        <v>47</v>
      </c>
      <c r="J810">
        <v>25600</v>
      </c>
      <c r="K810" t="s">
        <v>1858</v>
      </c>
      <c r="L810" s="1">
        <v>41221</v>
      </c>
      <c r="N810" t="s">
        <v>5127</v>
      </c>
      <c r="O810" t="s">
        <v>2458</v>
      </c>
      <c r="P810" t="s">
        <v>6544</v>
      </c>
      <c r="Q810" t="s">
        <v>39</v>
      </c>
      <c r="R810" t="s">
        <v>40</v>
      </c>
      <c r="S810">
        <v>0</v>
      </c>
      <c r="U810" t="s">
        <v>5550</v>
      </c>
      <c r="V810" t="s">
        <v>1797</v>
      </c>
      <c r="X810" t="s">
        <v>74</v>
      </c>
      <c r="Y810" t="b">
        <v>0</v>
      </c>
      <c r="Z810" t="b">
        <v>0</v>
      </c>
      <c r="AC810" s="1"/>
      <c r="AF810">
        <v>0</v>
      </c>
      <c r="AG810">
        <v>45</v>
      </c>
      <c r="AH810">
        <v>92</v>
      </c>
      <c r="AI810" s="2">
        <f>Table__192.168.3.138AgingReportBEWLGS[[#This Row],[NetAmount]]-Table__192.168.3.138AgingReportBEWLGS[[#This Row],[Paid]]</f>
        <v>25600</v>
      </c>
    </row>
    <row r="811" spans="1:35">
      <c r="A811" t="s">
        <v>7906</v>
      </c>
      <c r="B811" s="1">
        <v>41235</v>
      </c>
      <c r="C811" s="1">
        <v>41280</v>
      </c>
      <c r="D811" t="s">
        <v>6542</v>
      </c>
      <c r="E811">
        <v>23800</v>
      </c>
      <c r="F811">
        <v>0</v>
      </c>
      <c r="G811">
        <v>0</v>
      </c>
      <c r="H811">
        <v>0</v>
      </c>
      <c r="I811">
        <v>33</v>
      </c>
      <c r="J811">
        <v>23800</v>
      </c>
      <c r="K811" t="s">
        <v>7907</v>
      </c>
      <c r="L811" s="1">
        <v>41235</v>
      </c>
      <c r="N811" t="s">
        <v>5127</v>
      </c>
      <c r="O811" t="s">
        <v>2458</v>
      </c>
      <c r="P811" t="s">
        <v>6544</v>
      </c>
      <c r="Q811" t="s">
        <v>39</v>
      </c>
      <c r="R811" t="s">
        <v>40</v>
      </c>
      <c r="S811">
        <v>0</v>
      </c>
      <c r="U811" t="s">
        <v>5550</v>
      </c>
      <c r="V811" t="s">
        <v>1797</v>
      </c>
      <c r="X811" t="s">
        <v>74</v>
      </c>
      <c r="Y811" t="b">
        <v>0</v>
      </c>
      <c r="Z811" t="b">
        <v>0</v>
      </c>
      <c r="AC811" s="1"/>
      <c r="AF811">
        <v>0</v>
      </c>
      <c r="AG811">
        <v>45</v>
      </c>
      <c r="AH811">
        <v>78</v>
      </c>
      <c r="AI811" s="2">
        <f>Table__192.168.3.138AgingReportBEWLGS[[#This Row],[NetAmount]]-Table__192.168.3.138AgingReportBEWLGS[[#This Row],[Paid]]</f>
        <v>23800</v>
      </c>
    </row>
    <row r="812" spans="1:35">
      <c r="A812" t="s">
        <v>7908</v>
      </c>
      <c r="B812" s="1">
        <v>41240</v>
      </c>
      <c r="C812" s="1">
        <v>41285</v>
      </c>
      <c r="D812" t="s">
        <v>6542</v>
      </c>
      <c r="E812">
        <v>23800</v>
      </c>
      <c r="F812">
        <v>0</v>
      </c>
      <c r="G812">
        <v>0</v>
      </c>
      <c r="H812">
        <v>0</v>
      </c>
      <c r="I812">
        <v>28</v>
      </c>
      <c r="J812">
        <v>23800</v>
      </c>
      <c r="K812" t="s">
        <v>7909</v>
      </c>
      <c r="L812" s="1">
        <v>41240</v>
      </c>
      <c r="N812" t="s">
        <v>5127</v>
      </c>
      <c r="O812" t="s">
        <v>2458</v>
      </c>
      <c r="P812" t="s">
        <v>6544</v>
      </c>
      <c r="Q812" t="s">
        <v>39</v>
      </c>
      <c r="R812" t="s">
        <v>40</v>
      </c>
      <c r="S812">
        <v>0</v>
      </c>
      <c r="U812" t="s">
        <v>5550</v>
      </c>
      <c r="V812" t="s">
        <v>1797</v>
      </c>
      <c r="X812" t="s">
        <v>74</v>
      </c>
      <c r="Y812" t="b">
        <v>0</v>
      </c>
      <c r="Z812" t="b">
        <v>0</v>
      </c>
      <c r="AC812" s="1"/>
      <c r="AF812">
        <v>0</v>
      </c>
      <c r="AG812">
        <v>45</v>
      </c>
      <c r="AH812">
        <v>73</v>
      </c>
      <c r="AI812" s="2">
        <f>Table__192.168.3.138AgingReportBEWLGS[[#This Row],[NetAmount]]-Table__192.168.3.138AgingReportBEWLGS[[#This Row],[Paid]]</f>
        <v>23800</v>
      </c>
    </row>
    <row r="813" spans="1:35">
      <c r="A813" t="s">
        <v>7910</v>
      </c>
      <c r="B813" s="1">
        <v>41243</v>
      </c>
      <c r="C813" s="1">
        <v>41288</v>
      </c>
      <c r="D813" t="s">
        <v>6542</v>
      </c>
      <c r="E813">
        <v>23800</v>
      </c>
      <c r="F813">
        <v>0</v>
      </c>
      <c r="G813">
        <v>0</v>
      </c>
      <c r="H813">
        <v>0</v>
      </c>
      <c r="I813">
        <v>25</v>
      </c>
      <c r="J813">
        <v>23800</v>
      </c>
      <c r="K813" t="s">
        <v>7911</v>
      </c>
      <c r="L813" s="1">
        <v>41243</v>
      </c>
      <c r="N813" t="s">
        <v>5127</v>
      </c>
      <c r="O813" t="s">
        <v>2458</v>
      </c>
      <c r="P813" t="s">
        <v>6544</v>
      </c>
      <c r="Q813" t="s">
        <v>39</v>
      </c>
      <c r="R813" t="s">
        <v>40</v>
      </c>
      <c r="S813">
        <v>0</v>
      </c>
      <c r="U813" t="s">
        <v>5550</v>
      </c>
      <c r="V813" t="s">
        <v>1797</v>
      </c>
      <c r="X813" t="s">
        <v>74</v>
      </c>
      <c r="Y813" t="b">
        <v>0</v>
      </c>
      <c r="Z813" t="b">
        <v>0</v>
      </c>
      <c r="AC813" s="1"/>
      <c r="AF813">
        <v>0</v>
      </c>
      <c r="AG813">
        <v>45</v>
      </c>
      <c r="AH813">
        <v>70</v>
      </c>
      <c r="AI813" s="2">
        <f>Table__192.168.3.138AgingReportBEWLGS[[#This Row],[NetAmount]]-Table__192.168.3.138AgingReportBEWLGS[[#This Row],[Paid]]</f>
        <v>23800</v>
      </c>
    </row>
    <row r="814" spans="1:35">
      <c r="A814" t="s">
        <v>7912</v>
      </c>
      <c r="B814" s="1">
        <v>41233</v>
      </c>
      <c r="C814" s="1">
        <v>41278</v>
      </c>
      <c r="D814" t="s">
        <v>6542</v>
      </c>
      <c r="E814">
        <v>23800</v>
      </c>
      <c r="F814">
        <v>0</v>
      </c>
      <c r="G814">
        <v>0</v>
      </c>
      <c r="H814">
        <v>0</v>
      </c>
      <c r="I814">
        <v>35</v>
      </c>
      <c r="J814">
        <v>23800</v>
      </c>
      <c r="K814" t="s">
        <v>7913</v>
      </c>
      <c r="L814" s="1">
        <v>41233</v>
      </c>
      <c r="N814" t="s">
        <v>5127</v>
      </c>
      <c r="O814" t="s">
        <v>2458</v>
      </c>
      <c r="P814" t="s">
        <v>6544</v>
      </c>
      <c r="Q814" t="s">
        <v>39</v>
      </c>
      <c r="R814" t="s">
        <v>40</v>
      </c>
      <c r="S814">
        <v>0</v>
      </c>
      <c r="U814" t="s">
        <v>5550</v>
      </c>
      <c r="V814" t="s">
        <v>1797</v>
      </c>
      <c r="X814" t="s">
        <v>74</v>
      </c>
      <c r="Y814" t="b">
        <v>0</v>
      </c>
      <c r="Z814" t="b">
        <v>0</v>
      </c>
      <c r="AC814" s="1"/>
      <c r="AF814">
        <v>0</v>
      </c>
      <c r="AG814">
        <v>45</v>
      </c>
      <c r="AH814">
        <v>80</v>
      </c>
      <c r="AI814" s="2">
        <f>Table__192.168.3.138AgingReportBEWLGS[[#This Row],[NetAmount]]-Table__192.168.3.138AgingReportBEWLGS[[#This Row],[Paid]]</f>
        <v>23800</v>
      </c>
    </row>
    <row r="815" spans="1:35">
      <c r="A815" t="s">
        <v>7914</v>
      </c>
      <c r="B815" s="1">
        <v>41234</v>
      </c>
      <c r="C815" s="1">
        <v>41279</v>
      </c>
      <c r="D815" t="s">
        <v>7915</v>
      </c>
      <c r="E815">
        <v>146189</v>
      </c>
      <c r="F815">
        <v>23390</v>
      </c>
      <c r="G815">
        <v>0</v>
      </c>
      <c r="H815">
        <v>0</v>
      </c>
      <c r="I815">
        <v>34</v>
      </c>
      <c r="J815">
        <v>177579</v>
      </c>
      <c r="K815" t="s">
        <v>7916</v>
      </c>
      <c r="L815" s="1">
        <v>41234</v>
      </c>
      <c r="N815" t="s">
        <v>5127</v>
      </c>
      <c r="O815" t="s">
        <v>2458</v>
      </c>
      <c r="P815" t="s">
        <v>7917</v>
      </c>
      <c r="Q815" t="s">
        <v>39</v>
      </c>
      <c r="R815" t="s">
        <v>40</v>
      </c>
      <c r="S815">
        <v>0</v>
      </c>
      <c r="U815" t="s">
        <v>5550</v>
      </c>
      <c r="V815" t="s">
        <v>1797</v>
      </c>
      <c r="X815" t="s">
        <v>74</v>
      </c>
      <c r="Y815" t="b">
        <v>0</v>
      </c>
      <c r="Z815" t="b">
        <v>0</v>
      </c>
      <c r="AC815" s="1"/>
      <c r="AF815">
        <v>0</v>
      </c>
      <c r="AG815">
        <v>45</v>
      </c>
      <c r="AH815">
        <v>79</v>
      </c>
      <c r="AI815" s="2">
        <f>Table__192.168.3.138AgingReportBEWLGS[[#This Row],[NetAmount]]-Table__192.168.3.138AgingReportBEWLGS[[#This Row],[Paid]]</f>
        <v>177579</v>
      </c>
    </row>
    <row r="816" spans="1:35">
      <c r="A816" t="s">
        <v>7918</v>
      </c>
      <c r="B816" s="1">
        <v>41221</v>
      </c>
      <c r="C816" s="1">
        <v>41266</v>
      </c>
      <c r="D816" t="s">
        <v>7915</v>
      </c>
      <c r="E816">
        <v>211652</v>
      </c>
      <c r="F816">
        <v>33864</v>
      </c>
      <c r="G816">
        <v>0</v>
      </c>
      <c r="H816">
        <v>0</v>
      </c>
      <c r="I816">
        <v>45</v>
      </c>
      <c r="J816">
        <v>245516</v>
      </c>
      <c r="K816" t="s">
        <v>7919</v>
      </c>
      <c r="L816" s="1">
        <v>41223</v>
      </c>
      <c r="N816" t="s">
        <v>5127</v>
      </c>
      <c r="O816" t="s">
        <v>2458</v>
      </c>
      <c r="P816" t="s">
        <v>7917</v>
      </c>
      <c r="Q816" t="s">
        <v>39</v>
      </c>
      <c r="R816" t="s">
        <v>40</v>
      </c>
      <c r="S816">
        <v>0</v>
      </c>
      <c r="U816" t="s">
        <v>5550</v>
      </c>
      <c r="V816" t="s">
        <v>1797</v>
      </c>
      <c r="X816" t="s">
        <v>74</v>
      </c>
      <c r="Y816" t="b">
        <v>0</v>
      </c>
      <c r="Z816" t="b">
        <v>0</v>
      </c>
      <c r="AC816" s="1"/>
      <c r="AF816">
        <v>0</v>
      </c>
      <c r="AG816">
        <v>45</v>
      </c>
      <c r="AH816">
        <v>90</v>
      </c>
      <c r="AI816" s="2">
        <f>Table__192.168.3.138AgingReportBEWLGS[[#This Row],[NetAmount]]-Table__192.168.3.138AgingReportBEWLGS[[#This Row],[Paid]]</f>
        <v>245516</v>
      </c>
    </row>
    <row r="817" spans="1:35">
      <c r="A817" t="s">
        <v>7920</v>
      </c>
      <c r="B817" s="1">
        <v>41232</v>
      </c>
      <c r="C817" s="1">
        <v>41277</v>
      </c>
      <c r="D817" t="s">
        <v>7375</v>
      </c>
      <c r="E817">
        <v>142400</v>
      </c>
      <c r="F817">
        <v>22784</v>
      </c>
      <c r="G817">
        <v>0</v>
      </c>
      <c r="H817">
        <v>0</v>
      </c>
      <c r="I817">
        <v>29</v>
      </c>
      <c r="J817">
        <v>166684</v>
      </c>
      <c r="K817" t="s">
        <v>7921</v>
      </c>
      <c r="L817" s="1">
        <v>41239</v>
      </c>
      <c r="N817" t="s">
        <v>5127</v>
      </c>
      <c r="O817" t="s">
        <v>2458</v>
      </c>
      <c r="P817" t="s">
        <v>7377</v>
      </c>
      <c r="Q817" t="s">
        <v>39</v>
      </c>
      <c r="R817" t="s">
        <v>40</v>
      </c>
      <c r="S817">
        <v>0</v>
      </c>
      <c r="U817" t="s">
        <v>5550</v>
      </c>
      <c r="V817" t="s">
        <v>1797</v>
      </c>
      <c r="X817" t="s">
        <v>74</v>
      </c>
      <c r="Y817" t="b">
        <v>0</v>
      </c>
      <c r="Z817" t="b">
        <v>0</v>
      </c>
      <c r="AC817" s="1"/>
      <c r="AF817">
        <v>0</v>
      </c>
      <c r="AG817">
        <v>45</v>
      </c>
      <c r="AH817">
        <v>74</v>
      </c>
      <c r="AI817" s="2">
        <f>Table__192.168.3.138AgingReportBEWLGS[[#This Row],[NetAmount]]-Table__192.168.3.138AgingReportBEWLGS[[#This Row],[Paid]]</f>
        <v>166684</v>
      </c>
    </row>
    <row r="818" spans="1:35">
      <c r="A818" t="s">
        <v>7922</v>
      </c>
      <c r="B818" s="1">
        <v>41195</v>
      </c>
      <c r="C818" s="1">
        <v>41240</v>
      </c>
      <c r="D818" t="s">
        <v>7375</v>
      </c>
      <c r="E818">
        <v>44240</v>
      </c>
      <c r="F818">
        <v>7078</v>
      </c>
      <c r="G818">
        <v>0</v>
      </c>
      <c r="H818">
        <v>0</v>
      </c>
      <c r="I818">
        <v>29</v>
      </c>
      <c r="J818">
        <v>54818</v>
      </c>
      <c r="K818" t="s">
        <v>7923</v>
      </c>
      <c r="L818" s="1">
        <v>41239</v>
      </c>
      <c r="N818" t="s">
        <v>5127</v>
      </c>
      <c r="O818" t="s">
        <v>2458</v>
      </c>
      <c r="P818" t="s">
        <v>7377</v>
      </c>
      <c r="Q818" t="s">
        <v>39</v>
      </c>
      <c r="R818" t="s">
        <v>40</v>
      </c>
      <c r="S818">
        <v>0</v>
      </c>
      <c r="U818" t="s">
        <v>5550</v>
      </c>
      <c r="V818" t="s">
        <v>1797</v>
      </c>
      <c r="X818" t="s">
        <v>74</v>
      </c>
      <c r="Y818" t="b">
        <v>0</v>
      </c>
      <c r="Z818" t="b">
        <v>0</v>
      </c>
      <c r="AC818" s="1"/>
      <c r="AF818">
        <v>0</v>
      </c>
      <c r="AG818">
        <v>45</v>
      </c>
      <c r="AH818">
        <v>74</v>
      </c>
      <c r="AI818" s="2">
        <f>Table__192.168.3.138AgingReportBEWLGS[[#This Row],[NetAmount]]-Table__192.168.3.138AgingReportBEWLGS[[#This Row],[Paid]]</f>
        <v>54818</v>
      </c>
    </row>
    <row r="819" spans="1:35">
      <c r="A819" t="s">
        <v>7924</v>
      </c>
      <c r="B819" s="1">
        <v>41184</v>
      </c>
      <c r="C819" s="1">
        <v>41229</v>
      </c>
      <c r="D819" t="s">
        <v>7375</v>
      </c>
      <c r="E819">
        <v>155000</v>
      </c>
      <c r="F819">
        <v>24800</v>
      </c>
      <c r="G819">
        <v>0</v>
      </c>
      <c r="H819">
        <v>0</v>
      </c>
      <c r="I819">
        <v>29</v>
      </c>
      <c r="J819">
        <v>183300</v>
      </c>
      <c r="K819" t="s">
        <v>7925</v>
      </c>
      <c r="L819" s="1">
        <v>41239</v>
      </c>
      <c r="N819" t="s">
        <v>5127</v>
      </c>
      <c r="O819" t="s">
        <v>2458</v>
      </c>
      <c r="P819" t="s">
        <v>7377</v>
      </c>
      <c r="Q819" t="s">
        <v>39</v>
      </c>
      <c r="R819" t="s">
        <v>40</v>
      </c>
      <c r="S819">
        <v>0</v>
      </c>
      <c r="U819" t="s">
        <v>5550</v>
      </c>
      <c r="V819" t="s">
        <v>1797</v>
      </c>
      <c r="X819" t="s">
        <v>74</v>
      </c>
      <c r="Y819" t="b">
        <v>0</v>
      </c>
      <c r="Z819" t="b">
        <v>0</v>
      </c>
      <c r="AC819" s="1"/>
      <c r="AF819">
        <v>0</v>
      </c>
      <c r="AG819">
        <v>45</v>
      </c>
      <c r="AH819">
        <v>74</v>
      </c>
      <c r="AI819" s="2">
        <f>Table__192.168.3.138AgingReportBEWLGS[[#This Row],[NetAmount]]-Table__192.168.3.138AgingReportBEWLGS[[#This Row],[Paid]]</f>
        <v>183300</v>
      </c>
    </row>
    <row r="820" spans="1:35">
      <c r="A820" t="s">
        <v>7926</v>
      </c>
      <c r="B820" s="1">
        <v>41191</v>
      </c>
      <c r="C820" s="1">
        <v>41236</v>
      </c>
      <c r="D820" t="s">
        <v>7375</v>
      </c>
      <c r="E820">
        <v>81600</v>
      </c>
      <c r="F820">
        <v>13056</v>
      </c>
      <c r="G820">
        <v>0</v>
      </c>
      <c r="H820">
        <v>0</v>
      </c>
      <c r="I820">
        <v>29</v>
      </c>
      <c r="J820">
        <v>98156</v>
      </c>
      <c r="K820" t="s">
        <v>7923</v>
      </c>
      <c r="L820" s="1">
        <v>41239</v>
      </c>
      <c r="N820" t="s">
        <v>5127</v>
      </c>
      <c r="O820" t="s">
        <v>2458</v>
      </c>
      <c r="P820" t="s">
        <v>7377</v>
      </c>
      <c r="Q820" t="s">
        <v>39</v>
      </c>
      <c r="R820" t="s">
        <v>40</v>
      </c>
      <c r="S820">
        <v>0</v>
      </c>
      <c r="U820" t="s">
        <v>5550</v>
      </c>
      <c r="V820" t="s">
        <v>1797</v>
      </c>
      <c r="X820" t="s">
        <v>74</v>
      </c>
      <c r="Y820" t="b">
        <v>0</v>
      </c>
      <c r="Z820" t="b">
        <v>0</v>
      </c>
      <c r="AC820" s="1"/>
      <c r="AF820">
        <v>0</v>
      </c>
      <c r="AG820">
        <v>45</v>
      </c>
      <c r="AH820">
        <v>74</v>
      </c>
      <c r="AI820" s="2">
        <f>Table__192.168.3.138AgingReportBEWLGS[[#This Row],[NetAmount]]-Table__192.168.3.138AgingReportBEWLGS[[#This Row],[Paid]]</f>
        <v>98156</v>
      </c>
    </row>
    <row r="821" spans="1:35">
      <c r="A821" t="s">
        <v>7927</v>
      </c>
      <c r="B821" s="1">
        <v>41226</v>
      </c>
      <c r="C821" s="1">
        <v>41271</v>
      </c>
      <c r="D821" t="s">
        <v>7375</v>
      </c>
      <c r="E821">
        <v>230000</v>
      </c>
      <c r="F821">
        <v>36800</v>
      </c>
      <c r="G821">
        <v>0</v>
      </c>
      <c r="H821">
        <v>0</v>
      </c>
      <c r="I821">
        <v>29</v>
      </c>
      <c r="J821">
        <v>270300</v>
      </c>
      <c r="K821" t="s">
        <v>7928</v>
      </c>
      <c r="L821" s="1">
        <v>41239</v>
      </c>
      <c r="N821" t="s">
        <v>5127</v>
      </c>
      <c r="O821" t="s">
        <v>2458</v>
      </c>
      <c r="P821" t="s">
        <v>7377</v>
      </c>
      <c r="Q821" t="s">
        <v>39</v>
      </c>
      <c r="R821" t="s">
        <v>40</v>
      </c>
      <c r="S821">
        <v>0</v>
      </c>
      <c r="U821" t="s">
        <v>5550</v>
      </c>
      <c r="V821" t="s">
        <v>1797</v>
      </c>
      <c r="X821" t="s">
        <v>74</v>
      </c>
      <c r="Y821" t="b">
        <v>0</v>
      </c>
      <c r="Z821" t="b">
        <v>0</v>
      </c>
      <c r="AC821" s="1"/>
      <c r="AF821">
        <v>0</v>
      </c>
      <c r="AG821">
        <v>45</v>
      </c>
      <c r="AH821">
        <v>74</v>
      </c>
      <c r="AI821" s="2">
        <f>Table__192.168.3.138AgingReportBEWLGS[[#This Row],[NetAmount]]-Table__192.168.3.138AgingReportBEWLGS[[#This Row],[Paid]]</f>
        <v>270300</v>
      </c>
    </row>
    <row r="822" spans="1:35">
      <c r="A822" t="s">
        <v>7929</v>
      </c>
      <c r="B822" s="1">
        <v>41242</v>
      </c>
      <c r="C822" s="1">
        <v>41287</v>
      </c>
      <c r="D822" t="s">
        <v>7412</v>
      </c>
      <c r="E822">
        <v>4400</v>
      </c>
      <c r="F822">
        <v>0</v>
      </c>
      <c r="G822">
        <v>0</v>
      </c>
      <c r="H822">
        <v>0</v>
      </c>
      <c r="I822">
        <v>26</v>
      </c>
      <c r="J822">
        <v>4400</v>
      </c>
      <c r="K822" t="s">
        <v>7930</v>
      </c>
      <c r="L822" s="1">
        <v>41242</v>
      </c>
      <c r="N822" t="s">
        <v>5127</v>
      </c>
      <c r="O822" t="s">
        <v>2458</v>
      </c>
      <c r="P822" t="s">
        <v>5540</v>
      </c>
      <c r="Q822" t="s">
        <v>39</v>
      </c>
      <c r="R822" t="s">
        <v>40</v>
      </c>
      <c r="S822">
        <v>0</v>
      </c>
      <c r="U822" t="s">
        <v>5550</v>
      </c>
      <c r="V822" t="s">
        <v>1797</v>
      </c>
      <c r="X822" t="s">
        <v>74</v>
      </c>
      <c r="Y822" t="b">
        <v>0</v>
      </c>
      <c r="Z822" t="b">
        <v>0</v>
      </c>
      <c r="AC822" s="1"/>
      <c r="AF822">
        <v>0</v>
      </c>
      <c r="AG822">
        <v>45</v>
      </c>
      <c r="AH822">
        <v>71</v>
      </c>
      <c r="AI822" s="2">
        <f>Table__192.168.3.138AgingReportBEWLGS[[#This Row],[NetAmount]]-Table__192.168.3.138AgingReportBEWLGS[[#This Row],[Paid]]</f>
        <v>4400</v>
      </c>
    </row>
    <row r="823" spans="1:35">
      <c r="A823" t="s">
        <v>7931</v>
      </c>
      <c r="B823" s="1">
        <v>41233</v>
      </c>
      <c r="C823" s="1">
        <v>41278</v>
      </c>
      <c r="D823" t="s">
        <v>7932</v>
      </c>
      <c r="E823">
        <v>277232</v>
      </c>
      <c r="F823">
        <v>44357</v>
      </c>
      <c r="G823">
        <v>0</v>
      </c>
      <c r="H823">
        <v>0</v>
      </c>
      <c r="I823">
        <v>27</v>
      </c>
      <c r="J823">
        <v>321589</v>
      </c>
      <c r="K823" t="s">
        <v>7933</v>
      </c>
      <c r="L823" s="1">
        <v>41241</v>
      </c>
      <c r="N823" t="s">
        <v>5127</v>
      </c>
      <c r="O823" t="s">
        <v>2458</v>
      </c>
      <c r="P823" t="s">
        <v>7934</v>
      </c>
      <c r="Q823" t="s">
        <v>39</v>
      </c>
      <c r="R823" t="s">
        <v>40</v>
      </c>
      <c r="S823">
        <v>0</v>
      </c>
      <c r="U823" t="s">
        <v>5550</v>
      </c>
      <c r="V823" t="s">
        <v>1797</v>
      </c>
      <c r="X823" t="s">
        <v>74</v>
      </c>
      <c r="Y823" t="b">
        <v>0</v>
      </c>
      <c r="Z823" t="b">
        <v>0</v>
      </c>
      <c r="AC823" s="1"/>
      <c r="AF823">
        <v>0</v>
      </c>
      <c r="AG823">
        <v>45</v>
      </c>
      <c r="AH823">
        <v>72</v>
      </c>
      <c r="AI823" s="2">
        <f>Table__192.168.3.138AgingReportBEWLGS[[#This Row],[NetAmount]]-Table__192.168.3.138AgingReportBEWLGS[[#This Row],[Paid]]</f>
        <v>321589</v>
      </c>
    </row>
    <row r="824" spans="1:35">
      <c r="A824" t="s">
        <v>7935</v>
      </c>
      <c r="B824" s="1">
        <v>41235</v>
      </c>
      <c r="C824" s="1">
        <v>41280</v>
      </c>
      <c r="D824" t="s">
        <v>7932</v>
      </c>
      <c r="E824">
        <v>65308</v>
      </c>
      <c r="F824">
        <v>10449</v>
      </c>
      <c r="G824">
        <v>0</v>
      </c>
      <c r="H824">
        <v>0</v>
      </c>
      <c r="I824">
        <v>27</v>
      </c>
      <c r="J824">
        <v>75757</v>
      </c>
      <c r="K824" t="s">
        <v>7936</v>
      </c>
      <c r="L824" s="1">
        <v>41241</v>
      </c>
      <c r="N824" t="s">
        <v>5127</v>
      </c>
      <c r="O824" t="s">
        <v>2458</v>
      </c>
      <c r="P824" t="s">
        <v>7934</v>
      </c>
      <c r="Q824" t="s">
        <v>39</v>
      </c>
      <c r="R824" t="s">
        <v>40</v>
      </c>
      <c r="S824">
        <v>0</v>
      </c>
      <c r="U824" t="s">
        <v>5550</v>
      </c>
      <c r="V824" t="s">
        <v>1797</v>
      </c>
      <c r="X824" t="s">
        <v>74</v>
      </c>
      <c r="Y824" t="b">
        <v>0</v>
      </c>
      <c r="Z824" t="b">
        <v>0</v>
      </c>
      <c r="AC824" s="1"/>
      <c r="AF824">
        <v>0</v>
      </c>
      <c r="AG824">
        <v>45</v>
      </c>
      <c r="AH824">
        <v>72</v>
      </c>
      <c r="AI824" s="2">
        <f>Table__192.168.3.138AgingReportBEWLGS[[#This Row],[NetAmount]]-Table__192.168.3.138AgingReportBEWLGS[[#This Row],[Paid]]</f>
        <v>75757</v>
      </c>
    </row>
    <row r="825" spans="1:35">
      <c r="A825" t="s">
        <v>7937</v>
      </c>
      <c r="B825" s="1">
        <v>41234</v>
      </c>
      <c r="C825" s="1">
        <v>41279</v>
      </c>
      <c r="D825" t="s">
        <v>6335</v>
      </c>
      <c r="E825">
        <v>417331</v>
      </c>
      <c r="F825">
        <v>66773</v>
      </c>
      <c r="G825">
        <v>0</v>
      </c>
      <c r="H825">
        <v>0</v>
      </c>
      <c r="I825">
        <v>34</v>
      </c>
      <c r="J825">
        <v>484104</v>
      </c>
      <c r="K825" t="s">
        <v>7938</v>
      </c>
      <c r="L825" s="1">
        <v>41234</v>
      </c>
      <c r="N825" t="s">
        <v>5127</v>
      </c>
      <c r="O825" t="s">
        <v>2458</v>
      </c>
      <c r="P825" t="s">
        <v>6337</v>
      </c>
      <c r="Q825" t="s">
        <v>39</v>
      </c>
      <c r="R825" t="s">
        <v>40</v>
      </c>
      <c r="S825">
        <v>0</v>
      </c>
      <c r="U825" t="s">
        <v>5550</v>
      </c>
      <c r="V825" t="s">
        <v>1797</v>
      </c>
      <c r="X825" t="s">
        <v>74</v>
      </c>
      <c r="Y825" t="b">
        <v>0</v>
      </c>
      <c r="Z825" t="b">
        <v>0</v>
      </c>
      <c r="AB825" t="s">
        <v>7939</v>
      </c>
      <c r="AC825" s="1"/>
      <c r="AF825">
        <v>0</v>
      </c>
      <c r="AG825">
        <v>45</v>
      </c>
      <c r="AH825">
        <v>79</v>
      </c>
      <c r="AI825" s="2">
        <f>Table__192.168.3.138AgingReportBEWLGS[[#This Row],[NetAmount]]-Table__192.168.3.138AgingReportBEWLGS[[#This Row],[Paid]]</f>
        <v>484104</v>
      </c>
    </row>
    <row r="826" spans="1:35">
      <c r="A826" t="s">
        <v>7940</v>
      </c>
      <c r="B826" s="1">
        <v>41229</v>
      </c>
      <c r="C826" s="1">
        <v>41274</v>
      </c>
      <c r="D826" t="s">
        <v>6318</v>
      </c>
      <c r="E826">
        <v>50320</v>
      </c>
      <c r="F826">
        <v>7820</v>
      </c>
      <c r="G826">
        <v>0</v>
      </c>
      <c r="H826">
        <v>0</v>
      </c>
      <c r="I826">
        <v>39</v>
      </c>
      <c r="J826">
        <v>56695</v>
      </c>
      <c r="K826" t="s">
        <v>7941</v>
      </c>
      <c r="L826" s="1">
        <v>41229</v>
      </c>
      <c r="N826" t="s">
        <v>5127</v>
      </c>
      <c r="O826" t="s">
        <v>2458</v>
      </c>
      <c r="P826" t="s">
        <v>6320</v>
      </c>
      <c r="Q826" t="s">
        <v>39</v>
      </c>
      <c r="R826" t="s">
        <v>40</v>
      </c>
      <c r="S826">
        <v>0</v>
      </c>
      <c r="U826" t="s">
        <v>5550</v>
      </c>
      <c r="V826" t="s">
        <v>1797</v>
      </c>
      <c r="X826" t="s">
        <v>74</v>
      </c>
      <c r="Y826" t="b">
        <v>0</v>
      </c>
      <c r="Z826" t="b">
        <v>0</v>
      </c>
      <c r="AB826" t="s">
        <v>7321</v>
      </c>
      <c r="AC826" s="1">
        <v>41307</v>
      </c>
      <c r="AF826">
        <v>0</v>
      </c>
      <c r="AG826">
        <v>45</v>
      </c>
      <c r="AH826">
        <v>84</v>
      </c>
      <c r="AI826" s="2">
        <f>Table__192.168.3.138AgingReportBEWLGS[[#This Row],[NetAmount]]-Table__192.168.3.138AgingReportBEWLGS[[#This Row],[Paid]]</f>
        <v>56695</v>
      </c>
    </row>
    <row r="827" spans="1:35">
      <c r="A827" t="s">
        <v>7942</v>
      </c>
      <c r="B827" s="1">
        <v>41220</v>
      </c>
      <c r="C827" s="1">
        <v>41265</v>
      </c>
      <c r="D827" t="s">
        <v>6542</v>
      </c>
      <c r="E827">
        <v>23938</v>
      </c>
      <c r="F827">
        <v>0</v>
      </c>
      <c r="G827">
        <v>0</v>
      </c>
      <c r="H827">
        <v>0</v>
      </c>
      <c r="I827">
        <v>48</v>
      </c>
      <c r="J827">
        <v>23938</v>
      </c>
      <c r="K827" t="s">
        <v>1856</v>
      </c>
      <c r="L827" s="1">
        <v>41220</v>
      </c>
      <c r="N827" t="s">
        <v>5127</v>
      </c>
      <c r="O827" t="s">
        <v>2458</v>
      </c>
      <c r="P827" t="s">
        <v>6544</v>
      </c>
      <c r="Q827" t="s">
        <v>39</v>
      </c>
      <c r="R827" t="s">
        <v>40</v>
      </c>
      <c r="S827">
        <v>0</v>
      </c>
      <c r="U827" t="s">
        <v>5550</v>
      </c>
      <c r="V827" t="s">
        <v>1797</v>
      </c>
      <c r="X827" t="s">
        <v>74</v>
      </c>
      <c r="Y827" t="b">
        <v>0</v>
      </c>
      <c r="Z827" t="b">
        <v>0</v>
      </c>
      <c r="AC827" s="1"/>
      <c r="AF827">
        <v>0</v>
      </c>
      <c r="AG827">
        <v>45</v>
      </c>
      <c r="AH827">
        <v>93</v>
      </c>
      <c r="AI827" s="2">
        <f>Table__192.168.3.138AgingReportBEWLGS[[#This Row],[NetAmount]]-Table__192.168.3.138AgingReportBEWLGS[[#This Row],[Paid]]</f>
        <v>23938</v>
      </c>
    </row>
    <row r="828" spans="1:35">
      <c r="A828" t="s">
        <v>7943</v>
      </c>
      <c r="B828" s="1">
        <v>41223</v>
      </c>
      <c r="C828" s="1">
        <v>41268</v>
      </c>
      <c r="D828" t="s">
        <v>6542</v>
      </c>
      <c r="E828">
        <v>22426</v>
      </c>
      <c r="F828">
        <v>0</v>
      </c>
      <c r="G828">
        <v>0</v>
      </c>
      <c r="H828">
        <v>0</v>
      </c>
      <c r="I828">
        <v>45</v>
      </c>
      <c r="J828">
        <v>22426</v>
      </c>
      <c r="K828" t="s">
        <v>7944</v>
      </c>
      <c r="L828" s="1">
        <v>41223</v>
      </c>
      <c r="N828" t="s">
        <v>5127</v>
      </c>
      <c r="O828" t="s">
        <v>2458</v>
      </c>
      <c r="P828" t="s">
        <v>6544</v>
      </c>
      <c r="Q828" t="s">
        <v>39</v>
      </c>
      <c r="R828" t="s">
        <v>40</v>
      </c>
      <c r="S828">
        <v>0</v>
      </c>
      <c r="U828" t="s">
        <v>5550</v>
      </c>
      <c r="V828" t="s">
        <v>1797</v>
      </c>
      <c r="X828" t="s">
        <v>74</v>
      </c>
      <c r="Y828" t="b">
        <v>0</v>
      </c>
      <c r="Z828" t="b">
        <v>0</v>
      </c>
      <c r="AC828" s="1"/>
      <c r="AF828">
        <v>0</v>
      </c>
      <c r="AG828">
        <v>45</v>
      </c>
      <c r="AH828">
        <v>90</v>
      </c>
      <c r="AI828" s="2">
        <f>Table__192.168.3.138AgingReportBEWLGS[[#This Row],[NetAmount]]-Table__192.168.3.138AgingReportBEWLGS[[#This Row],[Paid]]</f>
        <v>22426</v>
      </c>
    </row>
    <row r="829" spans="1:35">
      <c r="A829" t="s">
        <v>7945</v>
      </c>
      <c r="B829" s="1">
        <v>41232</v>
      </c>
      <c r="C829" s="1">
        <v>41277</v>
      </c>
      <c r="D829" t="s">
        <v>6448</v>
      </c>
      <c r="E829">
        <v>47600</v>
      </c>
      <c r="F829">
        <v>7616</v>
      </c>
      <c r="G829">
        <v>0</v>
      </c>
      <c r="H829">
        <v>0</v>
      </c>
      <c r="I829">
        <v>36</v>
      </c>
      <c r="J829">
        <v>55216</v>
      </c>
      <c r="K829" t="s">
        <v>3713</v>
      </c>
      <c r="L829" s="1">
        <v>41232</v>
      </c>
      <c r="N829" t="s">
        <v>5127</v>
      </c>
      <c r="O829" t="s">
        <v>2458</v>
      </c>
      <c r="P829" t="s">
        <v>6451</v>
      </c>
      <c r="Q829" t="s">
        <v>39</v>
      </c>
      <c r="R829" t="s">
        <v>40</v>
      </c>
      <c r="S829">
        <v>0</v>
      </c>
      <c r="U829" t="s">
        <v>5550</v>
      </c>
      <c r="V829" t="s">
        <v>1797</v>
      </c>
      <c r="X829" t="s">
        <v>74</v>
      </c>
      <c r="Y829" t="b">
        <v>0</v>
      </c>
      <c r="Z829" t="b">
        <v>0</v>
      </c>
      <c r="AC829" s="1"/>
      <c r="AF829">
        <v>0</v>
      </c>
      <c r="AG829">
        <v>45</v>
      </c>
      <c r="AH829">
        <v>81</v>
      </c>
      <c r="AI829" s="2">
        <f>Table__192.168.3.138AgingReportBEWLGS[[#This Row],[NetAmount]]-Table__192.168.3.138AgingReportBEWLGS[[#This Row],[Paid]]</f>
        <v>55216</v>
      </c>
    </row>
    <row r="830" spans="1:35">
      <c r="A830" t="s">
        <v>7946</v>
      </c>
      <c r="B830" s="1">
        <v>41228</v>
      </c>
      <c r="C830" s="1">
        <v>41273</v>
      </c>
      <c r="D830" t="s">
        <v>6448</v>
      </c>
      <c r="E830">
        <v>28560</v>
      </c>
      <c r="F830">
        <v>4570</v>
      </c>
      <c r="G830">
        <v>0</v>
      </c>
      <c r="H830">
        <v>0</v>
      </c>
      <c r="I830">
        <v>40</v>
      </c>
      <c r="J830">
        <v>33130</v>
      </c>
      <c r="K830" t="s">
        <v>830</v>
      </c>
      <c r="L830" s="1">
        <v>41228</v>
      </c>
      <c r="N830" t="s">
        <v>5127</v>
      </c>
      <c r="O830" t="s">
        <v>2458</v>
      </c>
      <c r="P830" t="s">
        <v>6451</v>
      </c>
      <c r="Q830" t="s">
        <v>39</v>
      </c>
      <c r="R830" t="s">
        <v>40</v>
      </c>
      <c r="S830">
        <v>0</v>
      </c>
      <c r="U830" t="s">
        <v>5550</v>
      </c>
      <c r="V830" t="s">
        <v>1797</v>
      </c>
      <c r="X830" t="s">
        <v>74</v>
      </c>
      <c r="Y830" t="b">
        <v>0</v>
      </c>
      <c r="Z830" t="b">
        <v>0</v>
      </c>
      <c r="AC830" s="1"/>
      <c r="AF830">
        <v>0</v>
      </c>
      <c r="AG830">
        <v>45</v>
      </c>
      <c r="AH830">
        <v>85</v>
      </c>
      <c r="AI830" s="2">
        <f>Table__192.168.3.138AgingReportBEWLGS[[#This Row],[NetAmount]]-Table__192.168.3.138AgingReportBEWLGS[[#This Row],[Paid]]</f>
        <v>33130</v>
      </c>
    </row>
    <row r="831" spans="1:35">
      <c r="A831" t="s">
        <v>7947</v>
      </c>
      <c r="B831" s="1">
        <v>41229</v>
      </c>
      <c r="C831" s="1">
        <v>41274</v>
      </c>
      <c r="D831" t="s">
        <v>249</v>
      </c>
      <c r="E831">
        <v>7800</v>
      </c>
      <c r="F831">
        <v>0</v>
      </c>
      <c r="G831">
        <v>0</v>
      </c>
      <c r="H831">
        <v>0</v>
      </c>
      <c r="I831">
        <v>25</v>
      </c>
      <c r="J831">
        <v>7800</v>
      </c>
      <c r="K831" t="s">
        <v>7948</v>
      </c>
      <c r="L831" s="1">
        <v>41243</v>
      </c>
      <c r="N831" t="s">
        <v>5127</v>
      </c>
      <c r="O831" t="s">
        <v>2458</v>
      </c>
      <c r="P831" t="s">
        <v>6422</v>
      </c>
      <c r="Q831" t="s">
        <v>39</v>
      </c>
      <c r="R831" t="s">
        <v>40</v>
      </c>
      <c r="S831">
        <v>0</v>
      </c>
      <c r="U831" t="s">
        <v>5550</v>
      </c>
      <c r="V831" t="s">
        <v>1797</v>
      </c>
      <c r="X831" t="s">
        <v>74</v>
      </c>
      <c r="Y831" t="b">
        <v>0</v>
      </c>
      <c r="Z831" t="b">
        <v>0</v>
      </c>
      <c r="AC831" s="1"/>
      <c r="AF831">
        <v>0</v>
      </c>
      <c r="AG831">
        <v>45</v>
      </c>
      <c r="AH831">
        <v>70</v>
      </c>
      <c r="AI831" s="2">
        <f>Table__192.168.3.138AgingReportBEWLGS[[#This Row],[NetAmount]]-Table__192.168.3.138AgingReportBEWLGS[[#This Row],[Paid]]</f>
        <v>7800</v>
      </c>
    </row>
    <row r="832" spans="1:35">
      <c r="A832" t="s">
        <v>7949</v>
      </c>
      <c r="B832" s="1">
        <v>41243</v>
      </c>
      <c r="C832" s="1">
        <v>41288</v>
      </c>
      <c r="D832" t="s">
        <v>7773</v>
      </c>
      <c r="E832">
        <v>212790</v>
      </c>
      <c r="F832">
        <v>34046</v>
      </c>
      <c r="G832">
        <v>0</v>
      </c>
      <c r="H832">
        <v>0</v>
      </c>
      <c r="I832">
        <v>29</v>
      </c>
      <c r="J832">
        <v>246836</v>
      </c>
      <c r="K832" t="s">
        <v>7950</v>
      </c>
      <c r="L832" s="1">
        <v>41239</v>
      </c>
      <c r="N832" t="s">
        <v>5127</v>
      </c>
      <c r="O832" t="s">
        <v>2458</v>
      </c>
      <c r="P832" t="s">
        <v>7776</v>
      </c>
      <c r="Q832" t="s">
        <v>39</v>
      </c>
      <c r="R832" t="s">
        <v>40</v>
      </c>
      <c r="S832">
        <v>0</v>
      </c>
      <c r="U832" t="s">
        <v>5550</v>
      </c>
      <c r="V832" t="s">
        <v>1797</v>
      </c>
      <c r="X832" t="s">
        <v>74</v>
      </c>
      <c r="Y832" t="b">
        <v>0</v>
      </c>
      <c r="Z832" t="b">
        <v>0</v>
      </c>
      <c r="AC832" s="1"/>
      <c r="AF832">
        <v>0</v>
      </c>
      <c r="AG832">
        <v>45</v>
      </c>
      <c r="AH832">
        <v>74</v>
      </c>
      <c r="AI832" s="2">
        <f>Table__192.168.3.138AgingReportBEWLGS[[#This Row],[NetAmount]]-Table__192.168.3.138AgingReportBEWLGS[[#This Row],[Paid]]</f>
        <v>246836</v>
      </c>
    </row>
    <row r="833" spans="1:35">
      <c r="A833" t="s">
        <v>7951</v>
      </c>
      <c r="B833" s="1">
        <v>41213</v>
      </c>
      <c r="C833" s="1">
        <v>41258</v>
      </c>
      <c r="D833" t="s">
        <v>6703</v>
      </c>
      <c r="E833">
        <v>785745</v>
      </c>
      <c r="F833">
        <v>125719</v>
      </c>
      <c r="G833">
        <v>0</v>
      </c>
      <c r="H833">
        <v>0</v>
      </c>
      <c r="I833">
        <v>55</v>
      </c>
      <c r="J833">
        <v>911464</v>
      </c>
      <c r="K833" t="s">
        <v>7952</v>
      </c>
      <c r="L833" s="1">
        <v>41213</v>
      </c>
      <c r="N833" t="s">
        <v>5127</v>
      </c>
      <c r="O833" t="s">
        <v>2458</v>
      </c>
      <c r="P833" t="s">
        <v>6705</v>
      </c>
      <c r="Q833" t="s">
        <v>39</v>
      </c>
      <c r="R833" t="s">
        <v>40</v>
      </c>
      <c r="S833">
        <v>0</v>
      </c>
      <c r="U833" t="s">
        <v>5550</v>
      </c>
      <c r="V833" t="s">
        <v>1797</v>
      </c>
      <c r="X833" t="s">
        <v>74</v>
      </c>
      <c r="Y833" t="b">
        <v>0</v>
      </c>
      <c r="Z833" t="b">
        <v>0</v>
      </c>
      <c r="AC833" s="1"/>
      <c r="AF833">
        <v>0</v>
      </c>
      <c r="AG833">
        <v>45</v>
      </c>
      <c r="AH833">
        <v>100</v>
      </c>
      <c r="AI833" s="2">
        <f>Table__192.168.3.138AgingReportBEWLGS[[#This Row],[NetAmount]]-Table__192.168.3.138AgingReportBEWLGS[[#This Row],[Paid]]</f>
        <v>911464</v>
      </c>
    </row>
    <row r="834" spans="1:35">
      <c r="A834" t="s">
        <v>7953</v>
      </c>
      <c r="B834" s="1">
        <v>41184</v>
      </c>
      <c r="C834" s="1">
        <v>41229</v>
      </c>
      <c r="D834" t="s">
        <v>6703</v>
      </c>
      <c r="E834">
        <v>411625</v>
      </c>
      <c r="F834">
        <v>65860</v>
      </c>
      <c r="G834">
        <v>0</v>
      </c>
      <c r="H834">
        <v>0</v>
      </c>
      <c r="I834">
        <v>55</v>
      </c>
      <c r="J834">
        <v>477485</v>
      </c>
      <c r="K834" t="s">
        <v>7952</v>
      </c>
      <c r="L834" s="1">
        <v>41213</v>
      </c>
      <c r="N834" t="s">
        <v>5127</v>
      </c>
      <c r="O834" t="s">
        <v>2458</v>
      </c>
      <c r="P834" t="s">
        <v>6705</v>
      </c>
      <c r="Q834" t="s">
        <v>39</v>
      </c>
      <c r="R834" t="s">
        <v>40</v>
      </c>
      <c r="S834">
        <v>0</v>
      </c>
      <c r="U834" t="s">
        <v>5550</v>
      </c>
      <c r="V834" t="s">
        <v>1797</v>
      </c>
      <c r="X834" t="s">
        <v>74</v>
      </c>
      <c r="Y834" t="b">
        <v>0</v>
      </c>
      <c r="Z834" t="b">
        <v>0</v>
      </c>
      <c r="AC834" s="1"/>
      <c r="AF834">
        <v>0</v>
      </c>
      <c r="AG834">
        <v>45</v>
      </c>
      <c r="AH834">
        <v>100</v>
      </c>
      <c r="AI834" s="2">
        <f>Table__192.168.3.138AgingReportBEWLGS[[#This Row],[NetAmount]]-Table__192.168.3.138AgingReportBEWLGS[[#This Row],[Paid]]</f>
        <v>477485</v>
      </c>
    </row>
    <row r="835" spans="1:35">
      <c r="A835" t="s">
        <v>7954</v>
      </c>
      <c r="B835" s="1">
        <v>41228</v>
      </c>
      <c r="C835" s="1">
        <v>41273</v>
      </c>
      <c r="D835" t="s">
        <v>7955</v>
      </c>
      <c r="E835">
        <v>11400</v>
      </c>
      <c r="F835">
        <v>1824</v>
      </c>
      <c r="G835">
        <v>0</v>
      </c>
      <c r="H835">
        <v>0</v>
      </c>
      <c r="I835">
        <v>40</v>
      </c>
      <c r="J835">
        <v>13224</v>
      </c>
      <c r="K835" t="s">
        <v>1090</v>
      </c>
      <c r="L835" s="1">
        <v>41228</v>
      </c>
      <c r="N835" t="s">
        <v>5127</v>
      </c>
      <c r="O835" t="s">
        <v>2458</v>
      </c>
      <c r="P835" t="s">
        <v>7956</v>
      </c>
      <c r="Q835" t="s">
        <v>39</v>
      </c>
      <c r="R835" t="s">
        <v>40</v>
      </c>
      <c r="S835">
        <v>0</v>
      </c>
      <c r="U835" t="s">
        <v>5550</v>
      </c>
      <c r="V835" t="s">
        <v>1797</v>
      </c>
      <c r="X835" t="s">
        <v>74</v>
      </c>
      <c r="Y835" t="b">
        <v>0</v>
      </c>
      <c r="Z835" t="b">
        <v>0</v>
      </c>
      <c r="AC835" s="1"/>
      <c r="AF835">
        <v>0</v>
      </c>
      <c r="AG835">
        <v>45</v>
      </c>
      <c r="AH835">
        <v>85</v>
      </c>
      <c r="AI835" s="2">
        <f>Table__192.168.3.138AgingReportBEWLGS[[#This Row],[NetAmount]]-Table__192.168.3.138AgingReportBEWLGS[[#This Row],[Paid]]</f>
        <v>13224</v>
      </c>
    </row>
    <row r="836" spans="1:35">
      <c r="A836" t="s">
        <v>7957</v>
      </c>
      <c r="B836" s="1">
        <v>41214</v>
      </c>
      <c r="C836" s="1">
        <v>41259</v>
      </c>
      <c r="D836" t="s">
        <v>7375</v>
      </c>
      <c r="E836">
        <v>24000</v>
      </c>
      <c r="F836">
        <v>3840</v>
      </c>
      <c r="G836">
        <v>0</v>
      </c>
      <c r="H836">
        <v>0</v>
      </c>
      <c r="I836">
        <v>29</v>
      </c>
      <c r="J836">
        <v>27840</v>
      </c>
      <c r="K836" t="s">
        <v>7958</v>
      </c>
      <c r="L836" s="1">
        <v>41239</v>
      </c>
      <c r="N836" t="s">
        <v>5127</v>
      </c>
      <c r="O836" t="s">
        <v>2458</v>
      </c>
      <c r="P836" t="s">
        <v>7377</v>
      </c>
      <c r="Q836" t="s">
        <v>39</v>
      </c>
      <c r="R836" t="s">
        <v>40</v>
      </c>
      <c r="S836">
        <v>0</v>
      </c>
      <c r="U836" t="s">
        <v>5550</v>
      </c>
      <c r="V836" t="s">
        <v>1797</v>
      </c>
      <c r="X836" t="s">
        <v>74</v>
      </c>
      <c r="Y836" t="b">
        <v>0</v>
      </c>
      <c r="Z836" t="b">
        <v>0</v>
      </c>
      <c r="AC836" s="1"/>
      <c r="AF836">
        <v>0</v>
      </c>
      <c r="AG836">
        <v>45</v>
      </c>
      <c r="AH836">
        <v>74</v>
      </c>
      <c r="AI836" s="2">
        <f>Table__192.168.3.138AgingReportBEWLGS[[#This Row],[NetAmount]]-Table__192.168.3.138AgingReportBEWLGS[[#This Row],[Paid]]</f>
        <v>27840</v>
      </c>
    </row>
    <row r="837" spans="1:35">
      <c r="A837" t="s">
        <v>7959</v>
      </c>
      <c r="B837" s="1">
        <v>41225</v>
      </c>
      <c r="C837" s="1">
        <v>41270</v>
      </c>
      <c r="D837" t="s">
        <v>6542</v>
      </c>
      <c r="E837">
        <v>25600</v>
      </c>
      <c r="F837">
        <v>0</v>
      </c>
      <c r="G837">
        <v>0</v>
      </c>
      <c r="H837">
        <v>0</v>
      </c>
      <c r="I837">
        <v>43</v>
      </c>
      <c r="J837">
        <v>25600</v>
      </c>
      <c r="K837" t="s">
        <v>7960</v>
      </c>
      <c r="L837" s="1">
        <v>41225</v>
      </c>
      <c r="N837" t="s">
        <v>5127</v>
      </c>
      <c r="O837" t="s">
        <v>2458</v>
      </c>
      <c r="P837" t="s">
        <v>6544</v>
      </c>
      <c r="Q837" t="s">
        <v>39</v>
      </c>
      <c r="R837" t="s">
        <v>40</v>
      </c>
      <c r="S837">
        <v>0</v>
      </c>
      <c r="U837" t="s">
        <v>5550</v>
      </c>
      <c r="V837" t="s">
        <v>1797</v>
      </c>
      <c r="X837" t="s">
        <v>74</v>
      </c>
      <c r="Y837" t="b">
        <v>0</v>
      </c>
      <c r="Z837" t="b">
        <v>0</v>
      </c>
      <c r="AC837" s="1"/>
      <c r="AF837">
        <v>0</v>
      </c>
      <c r="AG837">
        <v>45</v>
      </c>
      <c r="AH837">
        <v>88</v>
      </c>
      <c r="AI837" s="2">
        <f>Table__192.168.3.138AgingReportBEWLGS[[#This Row],[NetAmount]]-Table__192.168.3.138AgingReportBEWLGS[[#This Row],[Paid]]</f>
        <v>25600</v>
      </c>
    </row>
    <row r="838" spans="1:35">
      <c r="A838" t="s">
        <v>7961</v>
      </c>
      <c r="B838" s="1">
        <v>41226</v>
      </c>
      <c r="C838" s="1">
        <v>41271</v>
      </c>
      <c r="D838" t="s">
        <v>6542</v>
      </c>
      <c r="E838">
        <v>25600</v>
      </c>
      <c r="F838">
        <v>0</v>
      </c>
      <c r="G838">
        <v>0</v>
      </c>
      <c r="H838">
        <v>0</v>
      </c>
      <c r="I838">
        <v>42</v>
      </c>
      <c r="J838">
        <v>25600</v>
      </c>
      <c r="K838" t="s">
        <v>7962</v>
      </c>
      <c r="L838" s="1">
        <v>41226</v>
      </c>
      <c r="N838" t="s">
        <v>5127</v>
      </c>
      <c r="O838" t="s">
        <v>2458</v>
      </c>
      <c r="P838" t="s">
        <v>6544</v>
      </c>
      <c r="Q838" t="s">
        <v>39</v>
      </c>
      <c r="R838" t="s">
        <v>40</v>
      </c>
      <c r="S838">
        <v>0</v>
      </c>
      <c r="U838" t="s">
        <v>5550</v>
      </c>
      <c r="V838" t="s">
        <v>1797</v>
      </c>
      <c r="X838" t="s">
        <v>74</v>
      </c>
      <c r="Y838" t="b">
        <v>0</v>
      </c>
      <c r="Z838" t="b">
        <v>0</v>
      </c>
      <c r="AC838" s="1"/>
      <c r="AF838">
        <v>0</v>
      </c>
      <c r="AG838">
        <v>45</v>
      </c>
      <c r="AH838">
        <v>87</v>
      </c>
      <c r="AI838" s="2">
        <f>Table__192.168.3.138AgingReportBEWLGS[[#This Row],[NetAmount]]-Table__192.168.3.138AgingReportBEWLGS[[#This Row],[Paid]]</f>
        <v>25600</v>
      </c>
    </row>
    <row r="839" spans="1:35">
      <c r="A839" t="s">
        <v>7963</v>
      </c>
      <c r="B839" s="1">
        <v>41227</v>
      </c>
      <c r="C839" s="1">
        <v>41272</v>
      </c>
      <c r="D839" t="s">
        <v>6542</v>
      </c>
      <c r="E839">
        <v>22400</v>
      </c>
      <c r="F839">
        <v>0</v>
      </c>
      <c r="G839">
        <v>0</v>
      </c>
      <c r="H839">
        <v>0</v>
      </c>
      <c r="I839">
        <v>41</v>
      </c>
      <c r="J839">
        <v>22400</v>
      </c>
      <c r="K839" t="s">
        <v>1943</v>
      </c>
      <c r="L839" s="1">
        <v>41227</v>
      </c>
      <c r="N839" t="s">
        <v>5127</v>
      </c>
      <c r="O839" t="s">
        <v>2458</v>
      </c>
      <c r="P839" t="s">
        <v>6544</v>
      </c>
      <c r="Q839" t="s">
        <v>39</v>
      </c>
      <c r="R839" t="s">
        <v>40</v>
      </c>
      <c r="S839">
        <v>0</v>
      </c>
      <c r="U839" t="s">
        <v>5550</v>
      </c>
      <c r="V839" t="s">
        <v>1797</v>
      </c>
      <c r="X839" t="s">
        <v>74</v>
      </c>
      <c r="Y839" t="b">
        <v>0</v>
      </c>
      <c r="Z839" t="b">
        <v>0</v>
      </c>
      <c r="AC839" s="1"/>
      <c r="AF839">
        <v>0</v>
      </c>
      <c r="AG839">
        <v>45</v>
      </c>
      <c r="AH839">
        <v>86</v>
      </c>
      <c r="AI839" s="2">
        <f>Table__192.168.3.138AgingReportBEWLGS[[#This Row],[NetAmount]]-Table__192.168.3.138AgingReportBEWLGS[[#This Row],[Paid]]</f>
        <v>22400</v>
      </c>
    </row>
    <row r="840" spans="1:35">
      <c r="A840" t="s">
        <v>7964</v>
      </c>
      <c r="B840" s="1">
        <v>41228</v>
      </c>
      <c r="C840" s="1">
        <v>41273</v>
      </c>
      <c r="D840" t="s">
        <v>6542</v>
      </c>
      <c r="E840">
        <v>25600</v>
      </c>
      <c r="F840">
        <v>0</v>
      </c>
      <c r="G840">
        <v>0</v>
      </c>
      <c r="H840">
        <v>0</v>
      </c>
      <c r="I840">
        <v>40</v>
      </c>
      <c r="J840">
        <v>25600</v>
      </c>
      <c r="K840" t="s">
        <v>1941</v>
      </c>
      <c r="L840" s="1">
        <v>41228</v>
      </c>
      <c r="N840" t="s">
        <v>5127</v>
      </c>
      <c r="O840" t="s">
        <v>2458</v>
      </c>
      <c r="P840" t="s">
        <v>6544</v>
      </c>
      <c r="Q840" t="s">
        <v>39</v>
      </c>
      <c r="R840" t="s">
        <v>40</v>
      </c>
      <c r="S840">
        <v>0</v>
      </c>
      <c r="U840" t="s">
        <v>5550</v>
      </c>
      <c r="V840" t="s">
        <v>1797</v>
      </c>
      <c r="X840" t="s">
        <v>74</v>
      </c>
      <c r="Y840" t="b">
        <v>0</v>
      </c>
      <c r="Z840" t="b">
        <v>0</v>
      </c>
      <c r="AC840" s="1"/>
      <c r="AF840">
        <v>0</v>
      </c>
      <c r="AG840">
        <v>45</v>
      </c>
      <c r="AH840">
        <v>85</v>
      </c>
      <c r="AI840" s="2">
        <f>Table__192.168.3.138AgingReportBEWLGS[[#This Row],[NetAmount]]-Table__192.168.3.138AgingReportBEWLGS[[#This Row],[Paid]]</f>
        <v>25600</v>
      </c>
    </row>
    <row r="841" spans="1:35">
      <c r="A841" t="s">
        <v>7965</v>
      </c>
      <c r="B841" s="1">
        <v>41230</v>
      </c>
      <c r="C841" s="1">
        <v>41275</v>
      </c>
      <c r="D841" t="s">
        <v>6542</v>
      </c>
      <c r="E841">
        <v>25600</v>
      </c>
      <c r="F841">
        <v>0</v>
      </c>
      <c r="G841">
        <v>0</v>
      </c>
      <c r="H841">
        <v>0</v>
      </c>
      <c r="I841">
        <v>38</v>
      </c>
      <c r="J841">
        <v>25600</v>
      </c>
      <c r="K841" t="s">
        <v>7966</v>
      </c>
      <c r="L841" s="1">
        <v>41230</v>
      </c>
      <c r="N841" t="s">
        <v>5127</v>
      </c>
      <c r="O841" t="s">
        <v>2458</v>
      </c>
      <c r="P841" t="s">
        <v>6544</v>
      </c>
      <c r="Q841" t="s">
        <v>39</v>
      </c>
      <c r="R841" t="s">
        <v>40</v>
      </c>
      <c r="S841">
        <v>0</v>
      </c>
      <c r="U841" t="s">
        <v>5550</v>
      </c>
      <c r="V841" t="s">
        <v>1797</v>
      </c>
      <c r="X841" t="s">
        <v>74</v>
      </c>
      <c r="Y841" t="b">
        <v>0</v>
      </c>
      <c r="Z841" t="b">
        <v>0</v>
      </c>
      <c r="AC841" s="1"/>
      <c r="AF841">
        <v>0</v>
      </c>
      <c r="AG841">
        <v>45</v>
      </c>
      <c r="AH841">
        <v>83</v>
      </c>
      <c r="AI841" s="2">
        <f>Table__192.168.3.138AgingReportBEWLGS[[#This Row],[NetAmount]]-Table__192.168.3.138AgingReportBEWLGS[[#This Row],[Paid]]</f>
        <v>25600</v>
      </c>
    </row>
    <row r="842" spans="1:35">
      <c r="A842" t="s">
        <v>7967</v>
      </c>
      <c r="B842" s="1">
        <v>41232</v>
      </c>
      <c r="C842" s="1">
        <v>41277</v>
      </c>
      <c r="D842" t="s">
        <v>6542</v>
      </c>
      <c r="E842">
        <v>27800</v>
      </c>
      <c r="F842">
        <v>0</v>
      </c>
      <c r="G842">
        <v>0</v>
      </c>
      <c r="H842">
        <v>0</v>
      </c>
      <c r="I842">
        <v>36</v>
      </c>
      <c r="J842">
        <v>27800</v>
      </c>
      <c r="K842" t="s">
        <v>7968</v>
      </c>
      <c r="L842" s="1">
        <v>41232</v>
      </c>
      <c r="N842" t="s">
        <v>5127</v>
      </c>
      <c r="O842" t="s">
        <v>2458</v>
      </c>
      <c r="P842" t="s">
        <v>6544</v>
      </c>
      <c r="Q842" t="s">
        <v>39</v>
      </c>
      <c r="R842" t="s">
        <v>40</v>
      </c>
      <c r="S842">
        <v>0</v>
      </c>
      <c r="U842" t="s">
        <v>5550</v>
      </c>
      <c r="V842" t="s">
        <v>1797</v>
      </c>
      <c r="X842" t="s">
        <v>74</v>
      </c>
      <c r="Y842" t="b">
        <v>0</v>
      </c>
      <c r="Z842" t="b">
        <v>0</v>
      </c>
      <c r="AC842" s="1"/>
      <c r="AF842">
        <v>0</v>
      </c>
      <c r="AG842">
        <v>45</v>
      </c>
      <c r="AH842">
        <v>81</v>
      </c>
      <c r="AI842" s="2">
        <f>Table__192.168.3.138AgingReportBEWLGS[[#This Row],[NetAmount]]-Table__192.168.3.138AgingReportBEWLGS[[#This Row],[Paid]]</f>
        <v>27800</v>
      </c>
    </row>
    <row r="843" spans="1:35">
      <c r="A843" t="s">
        <v>7969</v>
      </c>
      <c r="B843" s="1">
        <v>41233</v>
      </c>
      <c r="C843" s="1">
        <v>41278</v>
      </c>
      <c r="D843" t="s">
        <v>6542</v>
      </c>
      <c r="E843">
        <v>27200</v>
      </c>
      <c r="F843">
        <v>0</v>
      </c>
      <c r="G843">
        <v>0</v>
      </c>
      <c r="H843">
        <v>0</v>
      </c>
      <c r="I843">
        <v>35</v>
      </c>
      <c r="J843">
        <v>27200</v>
      </c>
      <c r="K843" t="s">
        <v>7970</v>
      </c>
      <c r="L843" s="1">
        <v>41233</v>
      </c>
      <c r="N843" t="s">
        <v>5127</v>
      </c>
      <c r="O843" t="s">
        <v>2458</v>
      </c>
      <c r="P843" t="s">
        <v>6544</v>
      </c>
      <c r="Q843" t="s">
        <v>39</v>
      </c>
      <c r="R843" t="s">
        <v>40</v>
      </c>
      <c r="S843">
        <v>0</v>
      </c>
      <c r="U843" t="s">
        <v>5550</v>
      </c>
      <c r="V843" t="s">
        <v>1797</v>
      </c>
      <c r="X843" t="s">
        <v>74</v>
      </c>
      <c r="Y843" t="b">
        <v>0</v>
      </c>
      <c r="Z843" t="b">
        <v>0</v>
      </c>
      <c r="AC843" s="1"/>
      <c r="AF843">
        <v>0</v>
      </c>
      <c r="AG843">
        <v>45</v>
      </c>
      <c r="AH843">
        <v>80</v>
      </c>
      <c r="AI843" s="2">
        <f>Table__192.168.3.138AgingReportBEWLGS[[#This Row],[NetAmount]]-Table__192.168.3.138AgingReportBEWLGS[[#This Row],[Paid]]</f>
        <v>27200</v>
      </c>
    </row>
    <row r="844" spans="1:35">
      <c r="A844" t="s">
        <v>7971</v>
      </c>
      <c r="B844" s="1">
        <v>41234</v>
      </c>
      <c r="C844" s="1">
        <v>41279</v>
      </c>
      <c r="D844" t="s">
        <v>6542</v>
      </c>
      <c r="E844">
        <v>24000</v>
      </c>
      <c r="F844">
        <v>0</v>
      </c>
      <c r="G844">
        <v>0</v>
      </c>
      <c r="H844">
        <v>0</v>
      </c>
      <c r="I844">
        <v>34</v>
      </c>
      <c r="J844">
        <v>24000</v>
      </c>
      <c r="K844" t="s">
        <v>7972</v>
      </c>
      <c r="L844" s="1">
        <v>41234</v>
      </c>
      <c r="N844" t="s">
        <v>5127</v>
      </c>
      <c r="O844" t="s">
        <v>2458</v>
      </c>
      <c r="P844" t="s">
        <v>6544</v>
      </c>
      <c r="Q844" t="s">
        <v>39</v>
      </c>
      <c r="R844" t="s">
        <v>40</v>
      </c>
      <c r="S844">
        <v>0</v>
      </c>
      <c r="U844" t="s">
        <v>5550</v>
      </c>
      <c r="V844" t="s">
        <v>1797</v>
      </c>
      <c r="X844" t="s">
        <v>74</v>
      </c>
      <c r="Y844" t="b">
        <v>0</v>
      </c>
      <c r="Z844" t="b">
        <v>0</v>
      </c>
      <c r="AC844" s="1"/>
      <c r="AF844">
        <v>0</v>
      </c>
      <c r="AG844">
        <v>45</v>
      </c>
      <c r="AH844">
        <v>79</v>
      </c>
      <c r="AI844" s="2">
        <f>Table__192.168.3.138AgingReportBEWLGS[[#This Row],[NetAmount]]-Table__192.168.3.138AgingReportBEWLGS[[#This Row],[Paid]]</f>
        <v>24000</v>
      </c>
    </row>
    <row r="845" spans="1:35">
      <c r="A845" t="s">
        <v>7973</v>
      </c>
      <c r="B845" s="1">
        <v>41239</v>
      </c>
      <c r="C845" s="1">
        <v>41284</v>
      </c>
      <c r="D845" t="s">
        <v>6542</v>
      </c>
      <c r="E845">
        <v>24000</v>
      </c>
      <c r="F845">
        <v>0</v>
      </c>
      <c r="G845">
        <v>0</v>
      </c>
      <c r="H845">
        <v>0</v>
      </c>
      <c r="I845">
        <v>29</v>
      </c>
      <c r="J845">
        <v>24000</v>
      </c>
      <c r="K845" t="s">
        <v>7974</v>
      </c>
      <c r="L845" s="1">
        <v>41239</v>
      </c>
      <c r="N845" t="s">
        <v>5127</v>
      </c>
      <c r="O845" t="s">
        <v>2458</v>
      </c>
      <c r="P845" t="s">
        <v>6544</v>
      </c>
      <c r="Q845" t="s">
        <v>39</v>
      </c>
      <c r="R845" t="s">
        <v>40</v>
      </c>
      <c r="S845">
        <v>0</v>
      </c>
      <c r="U845" t="s">
        <v>5550</v>
      </c>
      <c r="V845" t="s">
        <v>1797</v>
      </c>
      <c r="X845" t="s">
        <v>74</v>
      </c>
      <c r="Y845" t="b">
        <v>0</v>
      </c>
      <c r="Z845" t="b">
        <v>0</v>
      </c>
      <c r="AC845" s="1"/>
      <c r="AF845">
        <v>0</v>
      </c>
      <c r="AG845">
        <v>45</v>
      </c>
      <c r="AH845">
        <v>74</v>
      </c>
      <c r="AI845" s="2">
        <f>Table__192.168.3.138AgingReportBEWLGS[[#This Row],[NetAmount]]-Table__192.168.3.138AgingReportBEWLGS[[#This Row],[Paid]]</f>
        <v>24000</v>
      </c>
    </row>
    <row r="846" spans="1:35">
      <c r="A846" t="s">
        <v>7975</v>
      </c>
      <c r="B846" s="1">
        <v>41241</v>
      </c>
      <c r="C846" s="1">
        <v>41286</v>
      </c>
      <c r="D846" t="s">
        <v>6542</v>
      </c>
      <c r="E846">
        <v>25600</v>
      </c>
      <c r="F846">
        <v>0</v>
      </c>
      <c r="G846">
        <v>0</v>
      </c>
      <c r="H846">
        <v>0</v>
      </c>
      <c r="I846">
        <v>27</v>
      </c>
      <c r="J846">
        <v>25600</v>
      </c>
      <c r="K846" t="s">
        <v>2278</v>
      </c>
      <c r="L846" s="1">
        <v>41241</v>
      </c>
      <c r="N846" t="s">
        <v>5127</v>
      </c>
      <c r="O846" t="s">
        <v>2458</v>
      </c>
      <c r="P846" t="s">
        <v>6544</v>
      </c>
      <c r="Q846" t="s">
        <v>39</v>
      </c>
      <c r="R846" t="s">
        <v>40</v>
      </c>
      <c r="S846">
        <v>0</v>
      </c>
      <c r="U846" t="s">
        <v>5550</v>
      </c>
      <c r="V846" t="s">
        <v>1797</v>
      </c>
      <c r="X846" t="s">
        <v>74</v>
      </c>
      <c r="Y846" t="b">
        <v>0</v>
      </c>
      <c r="Z846" t="b">
        <v>0</v>
      </c>
      <c r="AC846" s="1"/>
      <c r="AF846">
        <v>0</v>
      </c>
      <c r="AG846">
        <v>45</v>
      </c>
      <c r="AH846">
        <v>72</v>
      </c>
      <c r="AI846" s="2">
        <f>Table__192.168.3.138AgingReportBEWLGS[[#This Row],[NetAmount]]-Table__192.168.3.138AgingReportBEWLGS[[#This Row],[Paid]]</f>
        <v>25600</v>
      </c>
    </row>
    <row r="847" spans="1:35">
      <c r="A847" t="s">
        <v>7976</v>
      </c>
      <c r="B847" s="1">
        <v>41242</v>
      </c>
      <c r="C847" s="1">
        <v>41287</v>
      </c>
      <c r="D847" t="s">
        <v>6542</v>
      </c>
      <c r="E847">
        <v>24000</v>
      </c>
      <c r="F847">
        <v>0</v>
      </c>
      <c r="G847">
        <v>0</v>
      </c>
      <c r="H847">
        <v>0</v>
      </c>
      <c r="I847">
        <v>26</v>
      </c>
      <c r="J847">
        <v>24000</v>
      </c>
      <c r="K847" t="s">
        <v>7977</v>
      </c>
      <c r="L847" s="1">
        <v>41242</v>
      </c>
      <c r="N847" t="s">
        <v>5127</v>
      </c>
      <c r="O847" t="s">
        <v>2458</v>
      </c>
      <c r="P847" t="s">
        <v>6544</v>
      </c>
      <c r="Q847" t="s">
        <v>39</v>
      </c>
      <c r="R847" t="s">
        <v>40</v>
      </c>
      <c r="S847">
        <v>0</v>
      </c>
      <c r="U847" t="s">
        <v>5550</v>
      </c>
      <c r="V847" t="s">
        <v>1797</v>
      </c>
      <c r="X847" t="s">
        <v>74</v>
      </c>
      <c r="Y847" t="b">
        <v>0</v>
      </c>
      <c r="Z847" t="b">
        <v>0</v>
      </c>
      <c r="AC847" s="1"/>
      <c r="AF847">
        <v>0</v>
      </c>
      <c r="AG847">
        <v>45</v>
      </c>
      <c r="AH847">
        <v>71</v>
      </c>
      <c r="AI847" s="2">
        <f>Table__192.168.3.138AgingReportBEWLGS[[#This Row],[NetAmount]]-Table__192.168.3.138AgingReportBEWLGS[[#This Row],[Paid]]</f>
        <v>24000</v>
      </c>
    </row>
    <row r="848" spans="1:35">
      <c r="A848" t="s">
        <v>7978</v>
      </c>
      <c r="B848" s="1">
        <v>41243</v>
      </c>
      <c r="C848" s="1">
        <v>41288</v>
      </c>
      <c r="D848" t="s">
        <v>6542</v>
      </c>
      <c r="E848">
        <v>24000</v>
      </c>
      <c r="F848">
        <v>0</v>
      </c>
      <c r="G848">
        <v>0</v>
      </c>
      <c r="H848">
        <v>0</v>
      </c>
      <c r="I848">
        <v>25</v>
      </c>
      <c r="J848">
        <v>24000</v>
      </c>
      <c r="K848" t="s">
        <v>7979</v>
      </c>
      <c r="L848" s="1">
        <v>41243</v>
      </c>
      <c r="N848" t="s">
        <v>5127</v>
      </c>
      <c r="O848" t="s">
        <v>2458</v>
      </c>
      <c r="P848" t="s">
        <v>6544</v>
      </c>
      <c r="Q848" t="s">
        <v>39</v>
      </c>
      <c r="R848" t="s">
        <v>40</v>
      </c>
      <c r="S848">
        <v>0</v>
      </c>
      <c r="U848" t="s">
        <v>5550</v>
      </c>
      <c r="V848" t="s">
        <v>1797</v>
      </c>
      <c r="X848" t="s">
        <v>74</v>
      </c>
      <c r="Y848" t="b">
        <v>0</v>
      </c>
      <c r="Z848" t="b">
        <v>0</v>
      </c>
      <c r="AC848" s="1"/>
      <c r="AF848">
        <v>0</v>
      </c>
      <c r="AG848">
        <v>45</v>
      </c>
      <c r="AH848">
        <v>70</v>
      </c>
      <c r="AI848" s="2">
        <f>Table__192.168.3.138AgingReportBEWLGS[[#This Row],[NetAmount]]-Table__192.168.3.138AgingReportBEWLGS[[#This Row],[Paid]]</f>
        <v>24000</v>
      </c>
    </row>
    <row r="849" spans="1:35">
      <c r="A849" t="s">
        <v>7980</v>
      </c>
      <c r="B849" s="1">
        <v>41239</v>
      </c>
      <c r="C849" s="1">
        <v>41284</v>
      </c>
      <c r="D849" t="s">
        <v>7709</v>
      </c>
      <c r="E849">
        <v>51724</v>
      </c>
      <c r="F849">
        <v>8276</v>
      </c>
      <c r="G849">
        <v>0</v>
      </c>
      <c r="H849">
        <v>0</v>
      </c>
      <c r="I849">
        <v>29</v>
      </c>
      <c r="J849">
        <v>60000</v>
      </c>
      <c r="K849" t="s">
        <v>7981</v>
      </c>
      <c r="L849" s="1">
        <v>41239</v>
      </c>
      <c r="N849" t="s">
        <v>5127</v>
      </c>
      <c r="O849" t="s">
        <v>2458</v>
      </c>
      <c r="P849" t="s">
        <v>7712</v>
      </c>
      <c r="Q849" t="s">
        <v>39</v>
      </c>
      <c r="R849" t="s">
        <v>40</v>
      </c>
      <c r="S849">
        <v>0</v>
      </c>
      <c r="U849" t="s">
        <v>5550</v>
      </c>
      <c r="V849" t="s">
        <v>1797</v>
      </c>
      <c r="X849" t="s">
        <v>74</v>
      </c>
      <c r="Y849" t="b">
        <v>0</v>
      </c>
      <c r="Z849" t="b">
        <v>0</v>
      </c>
      <c r="AC849" s="1"/>
      <c r="AF849">
        <v>0</v>
      </c>
      <c r="AG849">
        <v>45</v>
      </c>
      <c r="AH849">
        <v>74</v>
      </c>
      <c r="AI849" s="2">
        <f>Table__192.168.3.138AgingReportBEWLGS[[#This Row],[NetAmount]]-Table__192.168.3.138AgingReportBEWLGS[[#This Row],[Paid]]</f>
        <v>60000</v>
      </c>
    </row>
    <row r="850" spans="1:35">
      <c r="A850" t="s">
        <v>7982</v>
      </c>
      <c r="B850" s="1">
        <v>41230</v>
      </c>
      <c r="C850" s="1">
        <v>41275</v>
      </c>
      <c r="D850" t="s">
        <v>7633</v>
      </c>
      <c r="E850">
        <v>2000</v>
      </c>
      <c r="F850">
        <v>320</v>
      </c>
      <c r="G850">
        <v>0</v>
      </c>
      <c r="H850">
        <v>0</v>
      </c>
      <c r="I850">
        <v>38</v>
      </c>
      <c r="J850">
        <v>2320</v>
      </c>
      <c r="K850" t="s">
        <v>7983</v>
      </c>
      <c r="L850" s="1">
        <v>41230</v>
      </c>
      <c r="N850" t="s">
        <v>5127</v>
      </c>
      <c r="O850" t="s">
        <v>2458</v>
      </c>
      <c r="P850" t="s">
        <v>5544</v>
      </c>
      <c r="Q850" t="s">
        <v>39</v>
      </c>
      <c r="R850" t="s">
        <v>40</v>
      </c>
      <c r="S850">
        <v>0</v>
      </c>
      <c r="U850" t="s">
        <v>5550</v>
      </c>
      <c r="V850" t="s">
        <v>1797</v>
      </c>
      <c r="X850" t="s">
        <v>74</v>
      </c>
      <c r="Y850" t="b">
        <v>0</v>
      </c>
      <c r="Z850" t="b">
        <v>0</v>
      </c>
      <c r="AC850" s="1"/>
      <c r="AF850">
        <v>0</v>
      </c>
      <c r="AG850">
        <v>45</v>
      </c>
      <c r="AH850">
        <v>83</v>
      </c>
      <c r="AI850" s="2">
        <f>Table__192.168.3.138AgingReportBEWLGS[[#This Row],[NetAmount]]-Table__192.168.3.138AgingReportBEWLGS[[#This Row],[Paid]]</f>
        <v>2320</v>
      </c>
    </row>
    <row r="851" spans="1:35">
      <c r="A851" t="s">
        <v>7984</v>
      </c>
      <c r="B851" s="1">
        <v>41234</v>
      </c>
      <c r="C851" s="1">
        <v>41279</v>
      </c>
      <c r="D851" t="s">
        <v>6328</v>
      </c>
      <c r="E851">
        <v>399925</v>
      </c>
      <c r="F851">
        <v>63988</v>
      </c>
      <c r="G851">
        <v>0</v>
      </c>
      <c r="H851">
        <v>0</v>
      </c>
      <c r="I851">
        <v>34</v>
      </c>
      <c r="J851">
        <v>466163</v>
      </c>
      <c r="K851" t="s">
        <v>7985</v>
      </c>
      <c r="L851" s="1">
        <v>41234</v>
      </c>
      <c r="N851" t="s">
        <v>5127</v>
      </c>
      <c r="O851" t="s">
        <v>2458</v>
      </c>
      <c r="P851" t="s">
        <v>6330</v>
      </c>
      <c r="Q851" t="s">
        <v>39</v>
      </c>
      <c r="R851" t="s">
        <v>40</v>
      </c>
      <c r="S851">
        <v>0</v>
      </c>
      <c r="U851" t="s">
        <v>5550</v>
      </c>
      <c r="V851" t="s">
        <v>1797</v>
      </c>
      <c r="X851" t="s">
        <v>74</v>
      </c>
      <c r="Y851" t="b">
        <v>0</v>
      </c>
      <c r="Z851" t="b">
        <v>0</v>
      </c>
      <c r="AC851" s="1"/>
      <c r="AF851">
        <v>0</v>
      </c>
      <c r="AG851">
        <v>45</v>
      </c>
      <c r="AH851">
        <v>79</v>
      </c>
      <c r="AI851" s="2">
        <f>Table__192.168.3.138AgingReportBEWLGS[[#This Row],[NetAmount]]-Table__192.168.3.138AgingReportBEWLGS[[#This Row],[Paid]]</f>
        <v>466163</v>
      </c>
    </row>
    <row r="852" spans="1:35">
      <c r="A852" t="s">
        <v>7986</v>
      </c>
      <c r="B852" s="1">
        <v>41240</v>
      </c>
      <c r="C852" s="1">
        <v>41285</v>
      </c>
      <c r="D852" t="s">
        <v>6328</v>
      </c>
      <c r="E852">
        <v>725050</v>
      </c>
      <c r="F852">
        <v>116008</v>
      </c>
      <c r="G852">
        <v>0</v>
      </c>
      <c r="H852">
        <v>0</v>
      </c>
      <c r="I852">
        <v>28</v>
      </c>
      <c r="J852">
        <v>844897</v>
      </c>
      <c r="K852" t="s">
        <v>7987</v>
      </c>
      <c r="L852" s="1">
        <v>41240</v>
      </c>
      <c r="N852" t="s">
        <v>5127</v>
      </c>
      <c r="O852" t="s">
        <v>2458</v>
      </c>
      <c r="P852" t="s">
        <v>6330</v>
      </c>
      <c r="Q852" t="s">
        <v>39</v>
      </c>
      <c r="R852" t="s">
        <v>40</v>
      </c>
      <c r="S852">
        <v>0</v>
      </c>
      <c r="U852" t="s">
        <v>5550</v>
      </c>
      <c r="V852" t="s">
        <v>1797</v>
      </c>
      <c r="X852" t="s">
        <v>74</v>
      </c>
      <c r="Y852" t="b">
        <v>0</v>
      </c>
      <c r="Z852" t="b">
        <v>0</v>
      </c>
      <c r="AC852" s="1"/>
      <c r="AF852">
        <v>0</v>
      </c>
      <c r="AG852">
        <v>45</v>
      </c>
      <c r="AH852">
        <v>73</v>
      </c>
      <c r="AI852" s="2">
        <f>Table__192.168.3.138AgingReportBEWLGS[[#This Row],[NetAmount]]-Table__192.168.3.138AgingReportBEWLGS[[#This Row],[Paid]]</f>
        <v>844897</v>
      </c>
    </row>
    <row r="853" spans="1:35">
      <c r="A853" t="s">
        <v>7988</v>
      </c>
      <c r="B853" s="1">
        <v>41240</v>
      </c>
      <c r="C853" s="1">
        <v>41285</v>
      </c>
      <c r="D853" t="s">
        <v>7551</v>
      </c>
      <c r="E853">
        <v>91455</v>
      </c>
      <c r="F853">
        <v>14633</v>
      </c>
      <c r="G853">
        <v>0</v>
      </c>
      <c r="H853">
        <v>0</v>
      </c>
      <c r="I853">
        <v>25</v>
      </c>
      <c r="J853">
        <v>106088</v>
      </c>
      <c r="K853" t="s">
        <v>1229</v>
      </c>
      <c r="L853" s="1">
        <v>41243</v>
      </c>
      <c r="N853" t="s">
        <v>5127</v>
      </c>
      <c r="O853" t="s">
        <v>2458</v>
      </c>
      <c r="P853" t="s">
        <v>7553</v>
      </c>
      <c r="Q853" t="s">
        <v>39</v>
      </c>
      <c r="R853" t="s">
        <v>40</v>
      </c>
      <c r="S853">
        <v>0</v>
      </c>
      <c r="U853" t="s">
        <v>5550</v>
      </c>
      <c r="V853" t="s">
        <v>1797</v>
      </c>
      <c r="X853" t="s">
        <v>74</v>
      </c>
      <c r="Y853" t="b">
        <v>0</v>
      </c>
      <c r="Z853" t="b">
        <v>0</v>
      </c>
      <c r="AC853" s="1"/>
      <c r="AF853">
        <v>0</v>
      </c>
      <c r="AG853">
        <v>45</v>
      </c>
      <c r="AH853">
        <v>70</v>
      </c>
      <c r="AI853" s="2">
        <f>Table__192.168.3.138AgingReportBEWLGS[[#This Row],[NetAmount]]-Table__192.168.3.138AgingReportBEWLGS[[#This Row],[Paid]]</f>
        <v>106088</v>
      </c>
    </row>
    <row r="854" spans="1:35">
      <c r="A854" t="s">
        <v>7989</v>
      </c>
      <c r="B854" s="1">
        <v>41249</v>
      </c>
      <c r="C854" s="1">
        <v>41294</v>
      </c>
      <c r="D854" t="s">
        <v>233</v>
      </c>
      <c r="E854">
        <v>24480</v>
      </c>
      <c r="F854">
        <v>0</v>
      </c>
      <c r="G854">
        <v>0</v>
      </c>
      <c r="H854">
        <v>0</v>
      </c>
      <c r="I854">
        <v>22</v>
      </c>
      <c r="J854">
        <v>24480</v>
      </c>
      <c r="K854" t="s">
        <v>7990</v>
      </c>
      <c r="L854" s="1">
        <v>41246</v>
      </c>
      <c r="M854" t="s">
        <v>7991</v>
      </c>
      <c r="N854" t="s">
        <v>5127</v>
      </c>
      <c r="O854" t="s">
        <v>2458</v>
      </c>
      <c r="P854" t="s">
        <v>7992</v>
      </c>
      <c r="Q854" t="s">
        <v>39</v>
      </c>
      <c r="R854" t="s">
        <v>40</v>
      </c>
      <c r="S854">
        <v>0</v>
      </c>
      <c r="U854" t="s">
        <v>5550</v>
      </c>
      <c r="V854" t="s">
        <v>1797</v>
      </c>
      <c r="W854" t="s">
        <v>7993</v>
      </c>
      <c r="X854" t="s">
        <v>74</v>
      </c>
      <c r="Y854" t="b">
        <v>0</v>
      </c>
      <c r="Z854" t="b">
        <v>0</v>
      </c>
      <c r="AA854" t="b">
        <v>0</v>
      </c>
      <c r="AC854" s="1"/>
      <c r="AF854">
        <v>0</v>
      </c>
      <c r="AG854">
        <v>45</v>
      </c>
      <c r="AH854">
        <v>67</v>
      </c>
      <c r="AI854" s="2">
        <f>Table__192.168.3.138AgingReportBEWLGS[[#This Row],[NetAmount]]-Table__192.168.3.138AgingReportBEWLGS[[#This Row],[Paid]]</f>
        <v>24480</v>
      </c>
    </row>
    <row r="855" spans="1:35">
      <c r="A855" t="s">
        <v>7994</v>
      </c>
      <c r="B855" s="1">
        <v>41250</v>
      </c>
      <c r="C855" s="1">
        <v>41295</v>
      </c>
      <c r="D855" t="s">
        <v>7891</v>
      </c>
      <c r="E855">
        <v>1600</v>
      </c>
      <c r="F855">
        <v>0</v>
      </c>
      <c r="G855">
        <v>0</v>
      </c>
      <c r="H855">
        <v>0</v>
      </c>
      <c r="I855">
        <v>19</v>
      </c>
      <c r="J855">
        <v>1600</v>
      </c>
      <c r="K855" t="s">
        <v>1565</v>
      </c>
      <c r="L855" s="1">
        <v>41249</v>
      </c>
      <c r="N855" t="s">
        <v>5127</v>
      </c>
      <c r="O855" t="s">
        <v>2458</v>
      </c>
      <c r="P855" t="s">
        <v>7892</v>
      </c>
      <c r="Q855" t="s">
        <v>39</v>
      </c>
      <c r="R855" t="s">
        <v>40</v>
      </c>
      <c r="S855">
        <v>0</v>
      </c>
      <c r="U855" t="s">
        <v>5550</v>
      </c>
      <c r="V855" t="s">
        <v>1797</v>
      </c>
      <c r="X855" t="s">
        <v>74</v>
      </c>
      <c r="Y855" t="b">
        <v>0</v>
      </c>
      <c r="Z855" t="b">
        <v>0</v>
      </c>
      <c r="AC855" s="1"/>
      <c r="AF855">
        <v>0</v>
      </c>
      <c r="AG855">
        <v>45</v>
      </c>
      <c r="AH855">
        <v>64</v>
      </c>
      <c r="AI855" s="2">
        <f>Table__192.168.3.138AgingReportBEWLGS[[#This Row],[NetAmount]]-Table__192.168.3.138AgingReportBEWLGS[[#This Row],[Paid]]</f>
        <v>1600</v>
      </c>
    </row>
    <row r="856" spans="1:35">
      <c r="A856" t="s">
        <v>7995</v>
      </c>
      <c r="B856" s="1">
        <v>41249</v>
      </c>
      <c r="C856" s="1">
        <v>41294</v>
      </c>
      <c r="D856" t="s">
        <v>7647</v>
      </c>
      <c r="E856">
        <v>23800</v>
      </c>
      <c r="F856">
        <v>3808</v>
      </c>
      <c r="G856">
        <v>0</v>
      </c>
      <c r="H856">
        <v>0</v>
      </c>
      <c r="I856">
        <v>18</v>
      </c>
      <c r="J856">
        <v>27608</v>
      </c>
      <c r="K856" t="s">
        <v>7996</v>
      </c>
      <c r="L856" s="1">
        <v>41250</v>
      </c>
      <c r="N856" t="s">
        <v>5127</v>
      </c>
      <c r="O856" t="s">
        <v>2458</v>
      </c>
      <c r="P856" t="s">
        <v>7649</v>
      </c>
      <c r="Q856" t="s">
        <v>39</v>
      </c>
      <c r="R856" t="s">
        <v>40</v>
      </c>
      <c r="S856">
        <v>0</v>
      </c>
      <c r="U856" t="s">
        <v>5550</v>
      </c>
      <c r="V856" t="s">
        <v>1797</v>
      </c>
      <c r="X856" t="s">
        <v>74</v>
      </c>
      <c r="Y856" t="b">
        <v>0</v>
      </c>
      <c r="Z856" t="b">
        <v>0</v>
      </c>
      <c r="AC856" s="1"/>
      <c r="AF856">
        <v>0</v>
      </c>
      <c r="AG856">
        <v>45</v>
      </c>
      <c r="AH856">
        <v>63</v>
      </c>
      <c r="AI856" s="2">
        <f>Table__192.168.3.138AgingReportBEWLGS[[#This Row],[NetAmount]]-Table__192.168.3.138AgingReportBEWLGS[[#This Row],[Paid]]</f>
        <v>27608</v>
      </c>
    </row>
    <row r="857" spans="1:35">
      <c r="A857" t="s">
        <v>7997</v>
      </c>
      <c r="B857" s="1">
        <v>41250</v>
      </c>
      <c r="C857" s="1">
        <v>41295</v>
      </c>
      <c r="D857" t="s">
        <v>7412</v>
      </c>
      <c r="E857">
        <v>24460</v>
      </c>
      <c r="F857">
        <v>0</v>
      </c>
      <c r="G857">
        <v>0</v>
      </c>
      <c r="H857">
        <v>0</v>
      </c>
      <c r="I857">
        <v>19</v>
      </c>
      <c r="J857">
        <v>24460</v>
      </c>
      <c r="K857" t="s">
        <v>5565</v>
      </c>
      <c r="L857" s="1">
        <v>41249</v>
      </c>
      <c r="N857" t="s">
        <v>5127</v>
      </c>
      <c r="O857" t="s">
        <v>2458</v>
      </c>
      <c r="P857" t="s">
        <v>5540</v>
      </c>
      <c r="Q857" t="s">
        <v>39</v>
      </c>
      <c r="R857" t="s">
        <v>40</v>
      </c>
      <c r="S857">
        <v>0</v>
      </c>
      <c r="U857" t="s">
        <v>5550</v>
      </c>
      <c r="V857" t="s">
        <v>1797</v>
      </c>
      <c r="X857" t="s">
        <v>74</v>
      </c>
      <c r="Y857" t="b">
        <v>0</v>
      </c>
      <c r="Z857" t="b">
        <v>0</v>
      </c>
      <c r="AC857" s="1"/>
      <c r="AF857">
        <v>0</v>
      </c>
      <c r="AG857">
        <v>45</v>
      </c>
      <c r="AH857">
        <v>64</v>
      </c>
      <c r="AI857" s="2">
        <f>Table__192.168.3.138AgingReportBEWLGS[[#This Row],[NetAmount]]-Table__192.168.3.138AgingReportBEWLGS[[#This Row],[Paid]]</f>
        <v>24460</v>
      </c>
    </row>
    <row r="858" spans="1:35">
      <c r="A858" t="s">
        <v>7998</v>
      </c>
      <c r="B858" s="1">
        <v>41250</v>
      </c>
      <c r="C858" s="1">
        <v>41295</v>
      </c>
      <c r="D858" t="s">
        <v>6438</v>
      </c>
      <c r="E858">
        <v>64250</v>
      </c>
      <c r="F858">
        <v>10280</v>
      </c>
      <c r="G858">
        <v>0</v>
      </c>
      <c r="H858">
        <v>0</v>
      </c>
      <c r="I858">
        <v>18</v>
      </c>
      <c r="J858">
        <v>74530</v>
      </c>
      <c r="K858" t="s">
        <v>7999</v>
      </c>
      <c r="L858" s="1">
        <v>41250</v>
      </c>
      <c r="N858" t="s">
        <v>5127</v>
      </c>
      <c r="O858" t="s">
        <v>2458</v>
      </c>
      <c r="P858" t="s">
        <v>6440</v>
      </c>
      <c r="Q858" t="s">
        <v>39</v>
      </c>
      <c r="R858" t="s">
        <v>40</v>
      </c>
      <c r="S858">
        <v>0</v>
      </c>
      <c r="U858" t="s">
        <v>5550</v>
      </c>
      <c r="V858" t="s">
        <v>1797</v>
      </c>
      <c r="X858" t="s">
        <v>74</v>
      </c>
      <c r="Y858" t="b">
        <v>0</v>
      </c>
      <c r="Z858" t="b">
        <v>0</v>
      </c>
      <c r="AC858" s="1"/>
      <c r="AF858">
        <v>0</v>
      </c>
      <c r="AG858">
        <v>45</v>
      </c>
      <c r="AH858">
        <v>63</v>
      </c>
      <c r="AI858" s="2">
        <f>Table__192.168.3.138AgingReportBEWLGS[[#This Row],[NetAmount]]-Table__192.168.3.138AgingReportBEWLGS[[#This Row],[Paid]]</f>
        <v>74530</v>
      </c>
    </row>
    <row r="859" spans="1:35">
      <c r="A859" t="s">
        <v>8000</v>
      </c>
      <c r="B859" s="1">
        <v>41247</v>
      </c>
      <c r="C859" s="1">
        <v>41292</v>
      </c>
      <c r="D859" t="s">
        <v>6438</v>
      </c>
      <c r="E859">
        <v>48000</v>
      </c>
      <c r="F859">
        <v>7680</v>
      </c>
      <c r="G859">
        <v>0</v>
      </c>
      <c r="H859">
        <v>0</v>
      </c>
      <c r="I859">
        <v>21</v>
      </c>
      <c r="J859">
        <v>55680</v>
      </c>
      <c r="K859" t="s">
        <v>8001</v>
      </c>
      <c r="L859" s="1">
        <v>41247</v>
      </c>
      <c r="N859" t="s">
        <v>5127</v>
      </c>
      <c r="O859" t="s">
        <v>2458</v>
      </c>
      <c r="P859" t="s">
        <v>6440</v>
      </c>
      <c r="Q859" t="s">
        <v>39</v>
      </c>
      <c r="R859" t="s">
        <v>40</v>
      </c>
      <c r="S859">
        <v>0</v>
      </c>
      <c r="U859" t="s">
        <v>5550</v>
      </c>
      <c r="V859" t="s">
        <v>1797</v>
      </c>
      <c r="X859" t="s">
        <v>74</v>
      </c>
      <c r="Y859" t="b">
        <v>0</v>
      </c>
      <c r="Z859" t="b">
        <v>0</v>
      </c>
      <c r="AC859" s="1"/>
      <c r="AF859">
        <v>0</v>
      </c>
      <c r="AG859">
        <v>45</v>
      </c>
      <c r="AH859">
        <v>66</v>
      </c>
      <c r="AI859" s="2">
        <f>Table__192.168.3.138AgingReportBEWLGS[[#This Row],[NetAmount]]-Table__192.168.3.138AgingReportBEWLGS[[#This Row],[Paid]]</f>
        <v>55680</v>
      </c>
    </row>
    <row r="860" spans="1:35">
      <c r="A860" t="s">
        <v>8002</v>
      </c>
      <c r="B860" s="1">
        <v>41248</v>
      </c>
      <c r="C860" s="1">
        <v>41293</v>
      </c>
      <c r="D860" t="s">
        <v>7545</v>
      </c>
      <c r="E860">
        <v>45000</v>
      </c>
      <c r="F860">
        <v>7200</v>
      </c>
      <c r="G860">
        <v>0</v>
      </c>
      <c r="H860">
        <v>0</v>
      </c>
      <c r="I860">
        <v>19</v>
      </c>
      <c r="J860">
        <v>52200</v>
      </c>
      <c r="K860" t="s">
        <v>8003</v>
      </c>
      <c r="L860" s="1">
        <v>41249</v>
      </c>
      <c r="N860" t="s">
        <v>5127</v>
      </c>
      <c r="O860" t="s">
        <v>2458</v>
      </c>
      <c r="P860" t="s">
        <v>7547</v>
      </c>
      <c r="Q860" t="s">
        <v>39</v>
      </c>
      <c r="R860" t="s">
        <v>40</v>
      </c>
      <c r="S860">
        <v>0</v>
      </c>
      <c r="U860" t="s">
        <v>5550</v>
      </c>
      <c r="V860" t="s">
        <v>1797</v>
      </c>
      <c r="X860" t="s">
        <v>74</v>
      </c>
      <c r="Y860" t="b">
        <v>0</v>
      </c>
      <c r="Z860" t="b">
        <v>0</v>
      </c>
      <c r="AC860" s="1"/>
      <c r="AF860">
        <v>0</v>
      </c>
      <c r="AG860">
        <v>45</v>
      </c>
      <c r="AH860">
        <v>64</v>
      </c>
      <c r="AI860" s="2">
        <f>Table__192.168.3.138AgingReportBEWLGS[[#This Row],[NetAmount]]-Table__192.168.3.138AgingReportBEWLGS[[#This Row],[Paid]]</f>
        <v>52200</v>
      </c>
    </row>
    <row r="861" spans="1:35">
      <c r="A861" t="s">
        <v>8004</v>
      </c>
      <c r="B861" s="1">
        <v>41250</v>
      </c>
      <c r="C861" s="1">
        <v>41295</v>
      </c>
      <c r="D861" t="s">
        <v>5459</v>
      </c>
      <c r="E861">
        <v>6000</v>
      </c>
      <c r="F861">
        <v>0</v>
      </c>
      <c r="G861">
        <v>0</v>
      </c>
      <c r="H861">
        <v>0</v>
      </c>
      <c r="I861">
        <v>22</v>
      </c>
      <c r="J861">
        <v>6000</v>
      </c>
      <c r="K861" t="s">
        <v>8005</v>
      </c>
      <c r="L861" s="1">
        <v>41246</v>
      </c>
      <c r="N861" t="s">
        <v>5127</v>
      </c>
      <c r="O861" t="s">
        <v>2458</v>
      </c>
      <c r="P861" t="s">
        <v>7759</v>
      </c>
      <c r="Q861" t="s">
        <v>39</v>
      </c>
      <c r="R861" t="s">
        <v>40</v>
      </c>
      <c r="S861">
        <v>0</v>
      </c>
      <c r="U861" t="s">
        <v>5550</v>
      </c>
      <c r="V861" t="s">
        <v>1797</v>
      </c>
      <c r="X861" t="s">
        <v>74</v>
      </c>
      <c r="Y861" t="b">
        <v>0</v>
      </c>
      <c r="Z861" t="b">
        <v>0</v>
      </c>
      <c r="AC861" s="1"/>
      <c r="AF861">
        <v>0</v>
      </c>
      <c r="AG861">
        <v>45</v>
      </c>
      <c r="AH861">
        <v>67</v>
      </c>
      <c r="AI861" s="2">
        <f>Table__192.168.3.138AgingReportBEWLGS[[#This Row],[NetAmount]]-Table__192.168.3.138AgingReportBEWLGS[[#This Row],[Paid]]</f>
        <v>6000</v>
      </c>
    </row>
    <row r="862" spans="1:35">
      <c r="A862" t="s">
        <v>8006</v>
      </c>
      <c r="B862" s="1">
        <v>41250</v>
      </c>
      <c r="C862" s="1">
        <v>41295</v>
      </c>
      <c r="D862" t="s">
        <v>6412</v>
      </c>
      <c r="E862">
        <v>430000</v>
      </c>
      <c r="F862">
        <v>68800</v>
      </c>
      <c r="G862">
        <v>0</v>
      </c>
      <c r="H862">
        <v>0</v>
      </c>
      <c r="I862">
        <v>18</v>
      </c>
      <c r="J862">
        <v>498800</v>
      </c>
      <c r="K862" t="s">
        <v>8007</v>
      </c>
      <c r="L862" s="1">
        <v>41250</v>
      </c>
      <c r="N862" t="s">
        <v>5127</v>
      </c>
      <c r="O862" t="s">
        <v>2458</v>
      </c>
      <c r="P862" t="s">
        <v>6414</v>
      </c>
      <c r="Q862" t="s">
        <v>39</v>
      </c>
      <c r="R862" t="s">
        <v>40</v>
      </c>
      <c r="S862">
        <v>0</v>
      </c>
      <c r="U862" t="s">
        <v>5550</v>
      </c>
      <c r="V862" t="s">
        <v>1797</v>
      </c>
      <c r="X862" t="s">
        <v>74</v>
      </c>
      <c r="Y862" t="b">
        <v>0</v>
      </c>
      <c r="Z862" t="b">
        <v>0</v>
      </c>
      <c r="AB862" t="s">
        <v>7882</v>
      </c>
      <c r="AC862" s="1">
        <v>41279</v>
      </c>
      <c r="AF862">
        <v>0</v>
      </c>
      <c r="AG862">
        <v>45</v>
      </c>
      <c r="AH862">
        <v>63</v>
      </c>
      <c r="AI862" s="2">
        <f>Table__192.168.3.138AgingReportBEWLGS[[#This Row],[NetAmount]]-Table__192.168.3.138AgingReportBEWLGS[[#This Row],[Paid]]</f>
        <v>498800</v>
      </c>
    </row>
    <row r="863" spans="1:35">
      <c r="A863" t="s">
        <v>8008</v>
      </c>
      <c r="B863" s="1">
        <v>41247</v>
      </c>
      <c r="C863" s="1">
        <v>41292</v>
      </c>
      <c r="D863" t="s">
        <v>6412</v>
      </c>
      <c r="E863">
        <v>783460</v>
      </c>
      <c r="F863">
        <v>125354</v>
      </c>
      <c r="G863">
        <v>0</v>
      </c>
      <c r="H863">
        <v>0</v>
      </c>
      <c r="I863">
        <v>21</v>
      </c>
      <c r="J863">
        <v>908814</v>
      </c>
      <c r="K863" t="s">
        <v>8009</v>
      </c>
      <c r="L863" s="1">
        <v>41247</v>
      </c>
      <c r="N863" t="s">
        <v>5127</v>
      </c>
      <c r="O863" t="s">
        <v>2458</v>
      </c>
      <c r="P863" t="s">
        <v>6414</v>
      </c>
      <c r="Q863" t="s">
        <v>39</v>
      </c>
      <c r="R863" t="s">
        <v>40</v>
      </c>
      <c r="S863">
        <v>0</v>
      </c>
      <c r="U863" t="s">
        <v>5550</v>
      </c>
      <c r="V863" t="s">
        <v>1797</v>
      </c>
      <c r="X863" t="s">
        <v>74</v>
      </c>
      <c r="Y863" t="b">
        <v>0</v>
      </c>
      <c r="Z863" t="b">
        <v>0</v>
      </c>
      <c r="AB863" t="s">
        <v>7882</v>
      </c>
      <c r="AC863" s="1">
        <v>41279</v>
      </c>
      <c r="AF863">
        <v>0</v>
      </c>
      <c r="AG863">
        <v>45</v>
      </c>
      <c r="AH863">
        <v>66</v>
      </c>
      <c r="AI863" s="2">
        <f>Table__192.168.3.138AgingReportBEWLGS[[#This Row],[NetAmount]]-Table__192.168.3.138AgingReportBEWLGS[[#This Row],[Paid]]</f>
        <v>908814</v>
      </c>
    </row>
    <row r="864" spans="1:35">
      <c r="A864" t="s">
        <v>8010</v>
      </c>
      <c r="B864" s="1">
        <v>41242</v>
      </c>
      <c r="C864" s="1">
        <v>41287</v>
      </c>
      <c r="D864" t="s">
        <v>7375</v>
      </c>
      <c r="E864">
        <v>186000</v>
      </c>
      <c r="F864">
        <v>29760</v>
      </c>
      <c r="G864">
        <v>0</v>
      </c>
      <c r="H864">
        <v>0</v>
      </c>
      <c r="I864">
        <v>29</v>
      </c>
      <c r="J864">
        <v>215760</v>
      </c>
      <c r="K864" t="s">
        <v>8011</v>
      </c>
      <c r="L864" s="1">
        <v>41239</v>
      </c>
      <c r="N864" t="s">
        <v>5127</v>
      </c>
      <c r="O864" t="s">
        <v>2458</v>
      </c>
      <c r="P864" t="s">
        <v>7377</v>
      </c>
      <c r="Q864" t="s">
        <v>39</v>
      </c>
      <c r="R864" t="s">
        <v>40</v>
      </c>
      <c r="S864">
        <v>0</v>
      </c>
      <c r="U864" t="s">
        <v>5550</v>
      </c>
      <c r="V864" t="s">
        <v>1797</v>
      </c>
      <c r="X864" t="s">
        <v>74</v>
      </c>
      <c r="Y864" t="b">
        <v>0</v>
      </c>
      <c r="Z864" t="b">
        <v>0</v>
      </c>
      <c r="AC864" s="1"/>
      <c r="AF864">
        <v>0</v>
      </c>
      <c r="AG864">
        <v>45</v>
      </c>
      <c r="AH864">
        <v>74</v>
      </c>
      <c r="AI864" s="2">
        <f>Table__192.168.3.138AgingReportBEWLGS[[#This Row],[NetAmount]]-Table__192.168.3.138AgingReportBEWLGS[[#This Row],[Paid]]</f>
        <v>215760</v>
      </c>
    </row>
    <row r="865" spans="1:35">
      <c r="A865" t="s">
        <v>8012</v>
      </c>
      <c r="B865" s="1">
        <v>41254</v>
      </c>
      <c r="C865" s="1">
        <v>41299</v>
      </c>
      <c r="D865" t="s">
        <v>8013</v>
      </c>
      <c r="E865">
        <v>14750</v>
      </c>
      <c r="F865">
        <v>2360</v>
      </c>
      <c r="G865">
        <v>0</v>
      </c>
      <c r="H865">
        <v>0</v>
      </c>
      <c r="I865">
        <v>12</v>
      </c>
      <c r="J865">
        <v>17110</v>
      </c>
      <c r="K865" t="s">
        <v>8014</v>
      </c>
      <c r="L865" s="1">
        <v>41256</v>
      </c>
      <c r="N865" t="s">
        <v>5127</v>
      </c>
      <c r="O865" t="s">
        <v>2458</v>
      </c>
      <c r="P865" t="s">
        <v>5500</v>
      </c>
      <c r="Q865" t="s">
        <v>39</v>
      </c>
      <c r="R865" t="s">
        <v>40</v>
      </c>
      <c r="S865">
        <v>0</v>
      </c>
      <c r="U865" t="s">
        <v>5550</v>
      </c>
      <c r="V865" t="s">
        <v>1797</v>
      </c>
      <c r="X865" t="s">
        <v>74</v>
      </c>
      <c r="Y865" t="b">
        <v>0</v>
      </c>
      <c r="Z865" t="b">
        <v>0</v>
      </c>
      <c r="AC865" s="1"/>
      <c r="AF865">
        <v>0</v>
      </c>
      <c r="AG865">
        <v>45</v>
      </c>
      <c r="AH865">
        <v>57</v>
      </c>
      <c r="AI865" s="2">
        <f>Table__192.168.3.138AgingReportBEWLGS[[#This Row],[NetAmount]]-Table__192.168.3.138AgingReportBEWLGS[[#This Row],[Paid]]</f>
        <v>17110</v>
      </c>
    </row>
    <row r="866" spans="1:35">
      <c r="A866" t="s">
        <v>8015</v>
      </c>
      <c r="B866" s="1">
        <v>41250</v>
      </c>
      <c r="C866" s="1">
        <v>41295</v>
      </c>
      <c r="D866" t="s">
        <v>7932</v>
      </c>
      <c r="E866">
        <v>460612</v>
      </c>
      <c r="F866">
        <v>73698</v>
      </c>
      <c r="G866">
        <v>0</v>
      </c>
      <c r="H866">
        <v>0</v>
      </c>
      <c r="I866">
        <v>18</v>
      </c>
      <c r="J866">
        <v>534310</v>
      </c>
      <c r="K866" t="s">
        <v>5155</v>
      </c>
      <c r="L866" s="1">
        <v>41250</v>
      </c>
      <c r="N866" t="s">
        <v>5127</v>
      </c>
      <c r="O866" t="s">
        <v>2458</v>
      </c>
      <c r="P866" t="s">
        <v>7934</v>
      </c>
      <c r="Q866" t="s">
        <v>39</v>
      </c>
      <c r="R866" t="s">
        <v>40</v>
      </c>
      <c r="S866">
        <v>0</v>
      </c>
      <c r="U866" t="s">
        <v>5550</v>
      </c>
      <c r="V866" t="s">
        <v>1797</v>
      </c>
      <c r="X866" t="s">
        <v>74</v>
      </c>
      <c r="Y866" t="b">
        <v>0</v>
      </c>
      <c r="Z866" t="b">
        <v>0</v>
      </c>
      <c r="AC866" s="1"/>
      <c r="AF866">
        <v>0</v>
      </c>
      <c r="AG866">
        <v>45</v>
      </c>
      <c r="AH866">
        <v>63</v>
      </c>
      <c r="AI866" s="2">
        <f>Table__192.168.3.138AgingReportBEWLGS[[#This Row],[NetAmount]]-Table__192.168.3.138AgingReportBEWLGS[[#This Row],[Paid]]</f>
        <v>534310</v>
      </c>
    </row>
    <row r="867" spans="1:35">
      <c r="A867" t="s">
        <v>8016</v>
      </c>
      <c r="B867" s="1">
        <v>41243</v>
      </c>
      <c r="C867" s="1">
        <v>41288</v>
      </c>
      <c r="D867" t="s">
        <v>7709</v>
      </c>
      <c r="E867">
        <v>9310</v>
      </c>
      <c r="F867">
        <v>1490</v>
      </c>
      <c r="G867">
        <v>0</v>
      </c>
      <c r="H867">
        <v>0</v>
      </c>
      <c r="I867">
        <v>19</v>
      </c>
      <c r="J867">
        <v>10800</v>
      </c>
      <c r="K867" t="s">
        <v>8017</v>
      </c>
      <c r="L867" s="1">
        <v>41249</v>
      </c>
      <c r="N867" t="s">
        <v>5127</v>
      </c>
      <c r="O867" t="s">
        <v>2458</v>
      </c>
      <c r="P867" t="s">
        <v>7712</v>
      </c>
      <c r="Q867" t="s">
        <v>39</v>
      </c>
      <c r="R867" t="s">
        <v>40</v>
      </c>
      <c r="S867">
        <v>0</v>
      </c>
      <c r="U867" t="s">
        <v>5550</v>
      </c>
      <c r="V867" t="s">
        <v>1797</v>
      </c>
      <c r="X867" t="s">
        <v>74</v>
      </c>
      <c r="Y867" t="b">
        <v>0</v>
      </c>
      <c r="Z867" t="b">
        <v>0</v>
      </c>
      <c r="AC867" s="1"/>
      <c r="AF867">
        <v>0</v>
      </c>
      <c r="AG867">
        <v>45</v>
      </c>
      <c r="AH867">
        <v>64</v>
      </c>
      <c r="AI867" s="2">
        <f>Table__192.168.3.138AgingReportBEWLGS[[#This Row],[NetAmount]]-Table__192.168.3.138AgingReportBEWLGS[[#This Row],[Paid]]</f>
        <v>10800</v>
      </c>
    </row>
    <row r="868" spans="1:35">
      <c r="A868" t="s">
        <v>8018</v>
      </c>
      <c r="B868" s="1">
        <v>41257</v>
      </c>
      <c r="C868" s="1">
        <v>41302</v>
      </c>
      <c r="D868" t="s">
        <v>8019</v>
      </c>
      <c r="E868">
        <v>38000</v>
      </c>
      <c r="F868">
        <v>6080</v>
      </c>
      <c r="G868">
        <v>0</v>
      </c>
      <c r="H868">
        <v>0</v>
      </c>
      <c r="I868">
        <v>14</v>
      </c>
      <c r="J868">
        <v>44080</v>
      </c>
      <c r="K868" t="s">
        <v>8020</v>
      </c>
      <c r="L868" s="1">
        <v>41254</v>
      </c>
      <c r="N868" t="s">
        <v>5127</v>
      </c>
      <c r="O868" t="s">
        <v>2458</v>
      </c>
      <c r="P868" t="s">
        <v>8021</v>
      </c>
      <c r="Q868" t="s">
        <v>39</v>
      </c>
      <c r="R868" t="s">
        <v>40</v>
      </c>
      <c r="S868">
        <v>0</v>
      </c>
      <c r="U868" t="s">
        <v>5550</v>
      </c>
      <c r="V868" t="s">
        <v>1797</v>
      </c>
      <c r="X868" t="s">
        <v>74</v>
      </c>
      <c r="Y868" t="b">
        <v>0</v>
      </c>
      <c r="Z868" t="b">
        <v>0</v>
      </c>
      <c r="AC868" s="1"/>
      <c r="AF868">
        <v>0</v>
      </c>
      <c r="AG868">
        <v>45</v>
      </c>
      <c r="AH868">
        <v>59</v>
      </c>
      <c r="AI868" s="2">
        <f>Table__192.168.3.138AgingReportBEWLGS[[#This Row],[NetAmount]]-Table__192.168.3.138AgingReportBEWLGS[[#This Row],[Paid]]</f>
        <v>44080</v>
      </c>
    </row>
    <row r="869" spans="1:35">
      <c r="A869" t="s">
        <v>8022</v>
      </c>
      <c r="B869" s="1">
        <v>41249</v>
      </c>
      <c r="C869" s="1">
        <v>41294</v>
      </c>
      <c r="D869" t="s">
        <v>8023</v>
      </c>
      <c r="E869">
        <v>71010</v>
      </c>
      <c r="F869">
        <v>11362</v>
      </c>
      <c r="G869">
        <v>0</v>
      </c>
      <c r="H869">
        <v>0</v>
      </c>
      <c r="I869">
        <v>19</v>
      </c>
      <c r="J869">
        <v>82372</v>
      </c>
      <c r="K869" t="s">
        <v>8024</v>
      </c>
      <c r="L869" s="1">
        <v>41249</v>
      </c>
      <c r="N869" t="s">
        <v>5127</v>
      </c>
      <c r="O869" t="s">
        <v>2458</v>
      </c>
      <c r="P869" t="s">
        <v>8025</v>
      </c>
      <c r="Q869" t="s">
        <v>39</v>
      </c>
      <c r="R869" t="s">
        <v>40</v>
      </c>
      <c r="S869">
        <v>0</v>
      </c>
      <c r="U869" t="s">
        <v>5550</v>
      </c>
      <c r="V869" t="s">
        <v>1797</v>
      </c>
      <c r="X869" t="s">
        <v>74</v>
      </c>
      <c r="Y869" t="b">
        <v>0</v>
      </c>
      <c r="Z869" t="b">
        <v>0</v>
      </c>
      <c r="AC869" s="1"/>
      <c r="AF869">
        <v>0</v>
      </c>
      <c r="AG869">
        <v>45</v>
      </c>
      <c r="AH869">
        <v>64</v>
      </c>
      <c r="AI869" s="2">
        <f>Table__192.168.3.138AgingReportBEWLGS[[#This Row],[NetAmount]]-Table__192.168.3.138AgingReportBEWLGS[[#This Row],[Paid]]</f>
        <v>82372</v>
      </c>
    </row>
    <row r="870" spans="1:35">
      <c r="A870" t="s">
        <v>8026</v>
      </c>
      <c r="B870" s="1">
        <v>41249</v>
      </c>
      <c r="C870" s="1">
        <v>41294</v>
      </c>
      <c r="D870" t="s">
        <v>8023</v>
      </c>
      <c r="E870">
        <v>149310</v>
      </c>
      <c r="F870">
        <v>23890</v>
      </c>
      <c r="G870">
        <v>0</v>
      </c>
      <c r="H870">
        <v>123714</v>
      </c>
      <c r="I870">
        <v>19</v>
      </c>
      <c r="J870">
        <v>173200</v>
      </c>
      <c r="K870" t="s">
        <v>8024</v>
      </c>
      <c r="L870" s="1">
        <v>41249</v>
      </c>
      <c r="N870" t="s">
        <v>5127</v>
      </c>
      <c r="O870" t="s">
        <v>2458</v>
      </c>
      <c r="P870" t="s">
        <v>8025</v>
      </c>
      <c r="Q870" t="s">
        <v>39</v>
      </c>
      <c r="R870" t="s">
        <v>40</v>
      </c>
      <c r="S870">
        <v>0</v>
      </c>
      <c r="T870" t="s">
        <v>8027</v>
      </c>
      <c r="U870" t="s">
        <v>5550</v>
      </c>
      <c r="V870" t="s">
        <v>1797</v>
      </c>
      <c r="X870" t="s">
        <v>74</v>
      </c>
      <c r="Y870" t="b">
        <v>0</v>
      </c>
      <c r="Z870" t="b">
        <v>0</v>
      </c>
      <c r="AC870" s="1"/>
      <c r="AF870">
        <v>0</v>
      </c>
      <c r="AG870">
        <v>45</v>
      </c>
      <c r="AH870">
        <v>64</v>
      </c>
      <c r="AI870" s="2">
        <f>Table__192.168.3.138AgingReportBEWLGS[[#This Row],[NetAmount]]-Table__192.168.3.138AgingReportBEWLGS[[#This Row],[Paid]]</f>
        <v>173200</v>
      </c>
    </row>
    <row r="871" spans="1:35">
      <c r="A871" t="s">
        <v>8028</v>
      </c>
      <c r="B871" s="1">
        <v>41253</v>
      </c>
      <c r="C871" s="1">
        <v>41298</v>
      </c>
      <c r="D871" t="s">
        <v>6542</v>
      </c>
      <c r="E871">
        <v>23910</v>
      </c>
      <c r="F871">
        <v>0</v>
      </c>
      <c r="G871">
        <v>0</v>
      </c>
      <c r="H871">
        <v>0</v>
      </c>
      <c r="I871">
        <v>15</v>
      </c>
      <c r="J871">
        <v>23910</v>
      </c>
      <c r="K871" t="s">
        <v>8029</v>
      </c>
      <c r="L871" s="1">
        <v>41253</v>
      </c>
      <c r="N871" t="s">
        <v>5127</v>
      </c>
      <c r="O871" t="s">
        <v>2458</v>
      </c>
      <c r="P871" t="s">
        <v>6544</v>
      </c>
      <c r="Q871" t="s">
        <v>39</v>
      </c>
      <c r="R871" t="s">
        <v>40</v>
      </c>
      <c r="S871">
        <v>0</v>
      </c>
      <c r="U871" t="s">
        <v>5550</v>
      </c>
      <c r="V871" t="s">
        <v>1797</v>
      </c>
      <c r="X871" t="s">
        <v>74</v>
      </c>
      <c r="Y871" t="b">
        <v>0</v>
      </c>
      <c r="Z871" t="b">
        <v>0</v>
      </c>
      <c r="AC871" s="1"/>
      <c r="AF871">
        <v>0</v>
      </c>
      <c r="AG871">
        <v>45</v>
      </c>
      <c r="AH871">
        <v>60</v>
      </c>
      <c r="AI871" s="2">
        <f>Table__192.168.3.138AgingReportBEWLGS[[#This Row],[NetAmount]]-Table__192.168.3.138AgingReportBEWLGS[[#This Row],[Paid]]</f>
        <v>23910</v>
      </c>
    </row>
    <row r="872" spans="1:35">
      <c r="A872" t="s">
        <v>8030</v>
      </c>
      <c r="B872" s="1">
        <v>41251</v>
      </c>
      <c r="C872" s="1">
        <v>41296</v>
      </c>
      <c r="D872" t="s">
        <v>6542</v>
      </c>
      <c r="E872">
        <v>23406</v>
      </c>
      <c r="F872">
        <v>0</v>
      </c>
      <c r="G872">
        <v>0</v>
      </c>
      <c r="H872">
        <v>0</v>
      </c>
      <c r="I872">
        <v>17</v>
      </c>
      <c r="J872">
        <v>23406</v>
      </c>
      <c r="K872" t="s">
        <v>2942</v>
      </c>
      <c r="L872" s="1">
        <v>41251</v>
      </c>
      <c r="N872" t="s">
        <v>5127</v>
      </c>
      <c r="O872" t="s">
        <v>2458</v>
      </c>
      <c r="P872" t="s">
        <v>6544</v>
      </c>
      <c r="Q872" t="s">
        <v>39</v>
      </c>
      <c r="R872" t="s">
        <v>40</v>
      </c>
      <c r="S872">
        <v>0</v>
      </c>
      <c r="U872" t="s">
        <v>5550</v>
      </c>
      <c r="V872" t="s">
        <v>1797</v>
      </c>
      <c r="X872" t="s">
        <v>74</v>
      </c>
      <c r="Y872" t="b">
        <v>0</v>
      </c>
      <c r="Z872" t="b">
        <v>0</v>
      </c>
      <c r="AC872" s="1"/>
      <c r="AF872">
        <v>0</v>
      </c>
      <c r="AG872">
        <v>45</v>
      </c>
      <c r="AH872">
        <v>62</v>
      </c>
      <c r="AI872" s="2">
        <f>Table__192.168.3.138AgingReportBEWLGS[[#This Row],[NetAmount]]-Table__192.168.3.138AgingReportBEWLGS[[#This Row],[Paid]]</f>
        <v>23406</v>
      </c>
    </row>
    <row r="873" spans="1:35">
      <c r="A873" t="s">
        <v>8031</v>
      </c>
      <c r="B873" s="1">
        <v>41250</v>
      </c>
      <c r="C873" s="1">
        <v>41295</v>
      </c>
      <c r="D873" t="s">
        <v>6542</v>
      </c>
      <c r="E873">
        <v>23800</v>
      </c>
      <c r="F873">
        <v>0</v>
      </c>
      <c r="G873">
        <v>0</v>
      </c>
      <c r="H873">
        <v>0</v>
      </c>
      <c r="I873">
        <v>18</v>
      </c>
      <c r="J873">
        <v>23800</v>
      </c>
      <c r="K873" t="s">
        <v>2777</v>
      </c>
      <c r="L873" s="1">
        <v>41250</v>
      </c>
      <c r="N873" t="s">
        <v>5127</v>
      </c>
      <c r="O873" t="s">
        <v>2458</v>
      </c>
      <c r="P873" t="s">
        <v>6544</v>
      </c>
      <c r="Q873" t="s">
        <v>39</v>
      </c>
      <c r="R873" t="s">
        <v>40</v>
      </c>
      <c r="S873">
        <v>0</v>
      </c>
      <c r="U873" t="s">
        <v>5550</v>
      </c>
      <c r="V873" t="s">
        <v>1797</v>
      </c>
      <c r="X873" t="s">
        <v>74</v>
      </c>
      <c r="Y873" t="b">
        <v>0</v>
      </c>
      <c r="Z873" t="b">
        <v>0</v>
      </c>
      <c r="AC873" s="1"/>
      <c r="AF873">
        <v>0</v>
      </c>
      <c r="AG873">
        <v>45</v>
      </c>
      <c r="AH873">
        <v>63</v>
      </c>
      <c r="AI873" s="2">
        <f>Table__192.168.3.138AgingReportBEWLGS[[#This Row],[NetAmount]]-Table__192.168.3.138AgingReportBEWLGS[[#This Row],[Paid]]</f>
        <v>23800</v>
      </c>
    </row>
    <row r="874" spans="1:35">
      <c r="A874" t="s">
        <v>8032</v>
      </c>
      <c r="B874" s="1">
        <v>41249</v>
      </c>
      <c r="C874" s="1">
        <v>41294</v>
      </c>
      <c r="D874" t="s">
        <v>6542</v>
      </c>
      <c r="E874">
        <v>26800</v>
      </c>
      <c r="F874">
        <v>0</v>
      </c>
      <c r="G874">
        <v>0</v>
      </c>
      <c r="H874">
        <v>0</v>
      </c>
      <c r="I874">
        <v>19</v>
      </c>
      <c r="J874">
        <v>26800</v>
      </c>
      <c r="K874" t="s">
        <v>8033</v>
      </c>
      <c r="L874" s="1">
        <v>41249</v>
      </c>
      <c r="N874" t="s">
        <v>5127</v>
      </c>
      <c r="O874" t="s">
        <v>2458</v>
      </c>
      <c r="P874" t="s">
        <v>6544</v>
      </c>
      <c r="Q874" t="s">
        <v>39</v>
      </c>
      <c r="R874" t="s">
        <v>40</v>
      </c>
      <c r="S874">
        <v>0</v>
      </c>
      <c r="U874" t="s">
        <v>5550</v>
      </c>
      <c r="V874" t="s">
        <v>1797</v>
      </c>
      <c r="X874" t="s">
        <v>74</v>
      </c>
      <c r="Y874" t="b">
        <v>0</v>
      </c>
      <c r="Z874" t="b">
        <v>0</v>
      </c>
      <c r="AC874" s="1"/>
      <c r="AF874">
        <v>0</v>
      </c>
      <c r="AG874">
        <v>45</v>
      </c>
      <c r="AH874">
        <v>64</v>
      </c>
      <c r="AI874" s="2">
        <f>Table__192.168.3.138AgingReportBEWLGS[[#This Row],[NetAmount]]-Table__192.168.3.138AgingReportBEWLGS[[#This Row],[Paid]]</f>
        <v>26800</v>
      </c>
    </row>
    <row r="875" spans="1:35">
      <c r="A875" t="s">
        <v>8034</v>
      </c>
      <c r="B875" s="1">
        <v>41251</v>
      </c>
      <c r="C875" s="1">
        <v>41296</v>
      </c>
      <c r="D875" t="s">
        <v>6542</v>
      </c>
      <c r="E875">
        <v>20710</v>
      </c>
      <c r="F875">
        <v>0</v>
      </c>
      <c r="G875">
        <v>0</v>
      </c>
      <c r="H875">
        <v>0</v>
      </c>
      <c r="I875">
        <v>20</v>
      </c>
      <c r="J875">
        <v>20710</v>
      </c>
      <c r="K875" t="s">
        <v>8035</v>
      </c>
      <c r="L875" s="1">
        <v>41248</v>
      </c>
      <c r="N875" t="s">
        <v>5127</v>
      </c>
      <c r="O875" t="s">
        <v>2458</v>
      </c>
      <c r="P875" t="s">
        <v>6544</v>
      </c>
      <c r="Q875" t="s">
        <v>39</v>
      </c>
      <c r="R875" t="s">
        <v>40</v>
      </c>
      <c r="S875">
        <v>0</v>
      </c>
      <c r="U875" t="s">
        <v>5550</v>
      </c>
      <c r="V875" t="s">
        <v>1797</v>
      </c>
      <c r="X875" t="s">
        <v>74</v>
      </c>
      <c r="Y875" t="b">
        <v>0</v>
      </c>
      <c r="Z875" t="b">
        <v>0</v>
      </c>
      <c r="AC875" s="1"/>
      <c r="AF875">
        <v>0</v>
      </c>
      <c r="AG875">
        <v>45</v>
      </c>
      <c r="AH875">
        <v>65</v>
      </c>
      <c r="AI875" s="2">
        <f>Table__192.168.3.138AgingReportBEWLGS[[#This Row],[NetAmount]]-Table__192.168.3.138AgingReportBEWLGS[[#This Row],[Paid]]</f>
        <v>20710</v>
      </c>
    </row>
    <row r="876" spans="1:35">
      <c r="A876" t="s">
        <v>8036</v>
      </c>
      <c r="B876" s="1">
        <v>41248</v>
      </c>
      <c r="C876" s="1">
        <v>41293</v>
      </c>
      <c r="D876" t="s">
        <v>6542</v>
      </c>
      <c r="E876">
        <v>23800</v>
      </c>
      <c r="F876">
        <v>0</v>
      </c>
      <c r="G876">
        <v>0</v>
      </c>
      <c r="H876">
        <v>0</v>
      </c>
      <c r="I876">
        <v>20</v>
      </c>
      <c r="J876">
        <v>23800</v>
      </c>
      <c r="K876" t="s">
        <v>4765</v>
      </c>
      <c r="L876" s="1">
        <v>41248</v>
      </c>
      <c r="N876" t="s">
        <v>5127</v>
      </c>
      <c r="O876" t="s">
        <v>2458</v>
      </c>
      <c r="P876" t="s">
        <v>6544</v>
      </c>
      <c r="Q876" t="s">
        <v>39</v>
      </c>
      <c r="R876" t="s">
        <v>40</v>
      </c>
      <c r="S876">
        <v>0</v>
      </c>
      <c r="U876" t="s">
        <v>5550</v>
      </c>
      <c r="V876" t="s">
        <v>1797</v>
      </c>
      <c r="X876" t="s">
        <v>74</v>
      </c>
      <c r="Y876" t="b">
        <v>0</v>
      </c>
      <c r="Z876" t="b">
        <v>0</v>
      </c>
      <c r="AC876" s="1"/>
      <c r="AF876">
        <v>0</v>
      </c>
      <c r="AG876">
        <v>45</v>
      </c>
      <c r="AH876">
        <v>65</v>
      </c>
      <c r="AI876" s="2">
        <f>Table__192.168.3.138AgingReportBEWLGS[[#This Row],[NetAmount]]-Table__192.168.3.138AgingReportBEWLGS[[#This Row],[Paid]]</f>
        <v>23800</v>
      </c>
    </row>
    <row r="877" spans="1:35">
      <c r="A877" t="s">
        <v>8037</v>
      </c>
      <c r="B877" s="1">
        <v>41246</v>
      </c>
      <c r="C877" s="1">
        <v>41291</v>
      </c>
      <c r="D877" t="s">
        <v>6542</v>
      </c>
      <c r="E877">
        <v>23800</v>
      </c>
      <c r="F877">
        <v>0</v>
      </c>
      <c r="G877">
        <v>0</v>
      </c>
      <c r="H877">
        <v>0</v>
      </c>
      <c r="I877">
        <v>22</v>
      </c>
      <c r="J877">
        <v>23800</v>
      </c>
      <c r="K877" t="s">
        <v>2351</v>
      </c>
      <c r="L877" s="1">
        <v>41246</v>
      </c>
      <c r="N877" t="s">
        <v>5127</v>
      </c>
      <c r="O877" t="s">
        <v>2458</v>
      </c>
      <c r="P877" t="s">
        <v>6544</v>
      </c>
      <c r="Q877" t="s">
        <v>39</v>
      </c>
      <c r="R877" t="s">
        <v>40</v>
      </c>
      <c r="S877">
        <v>0</v>
      </c>
      <c r="U877" t="s">
        <v>5550</v>
      </c>
      <c r="V877" t="s">
        <v>1797</v>
      </c>
      <c r="X877" t="s">
        <v>74</v>
      </c>
      <c r="Y877" t="b">
        <v>0</v>
      </c>
      <c r="Z877" t="b">
        <v>0</v>
      </c>
      <c r="AC877" s="1"/>
      <c r="AF877">
        <v>0</v>
      </c>
      <c r="AG877">
        <v>45</v>
      </c>
      <c r="AH877">
        <v>67</v>
      </c>
      <c r="AI877" s="2">
        <f>Table__192.168.3.138AgingReportBEWLGS[[#This Row],[NetAmount]]-Table__192.168.3.138AgingReportBEWLGS[[#This Row],[Paid]]</f>
        <v>23800</v>
      </c>
    </row>
    <row r="878" spans="1:35">
      <c r="A878" t="s">
        <v>8038</v>
      </c>
      <c r="B878" s="1">
        <v>41244</v>
      </c>
      <c r="C878" s="1">
        <v>41289</v>
      </c>
      <c r="D878" t="s">
        <v>6542</v>
      </c>
      <c r="E878">
        <v>24000</v>
      </c>
      <c r="F878">
        <v>0</v>
      </c>
      <c r="G878">
        <v>0</v>
      </c>
      <c r="H878">
        <v>0</v>
      </c>
      <c r="I878">
        <v>24</v>
      </c>
      <c r="J878">
        <v>24000</v>
      </c>
      <c r="K878" t="s">
        <v>8039</v>
      </c>
      <c r="L878" s="1">
        <v>41244</v>
      </c>
      <c r="N878" t="s">
        <v>5127</v>
      </c>
      <c r="O878" t="s">
        <v>2458</v>
      </c>
      <c r="P878" t="s">
        <v>6544</v>
      </c>
      <c r="Q878" t="s">
        <v>39</v>
      </c>
      <c r="R878" t="s">
        <v>40</v>
      </c>
      <c r="S878">
        <v>0</v>
      </c>
      <c r="U878" t="s">
        <v>5550</v>
      </c>
      <c r="V878" t="s">
        <v>1797</v>
      </c>
      <c r="X878" t="s">
        <v>74</v>
      </c>
      <c r="Y878" t="b">
        <v>0</v>
      </c>
      <c r="Z878" t="b">
        <v>0</v>
      </c>
      <c r="AC878" s="1"/>
      <c r="AF878">
        <v>0</v>
      </c>
      <c r="AG878">
        <v>45</v>
      </c>
      <c r="AH878">
        <v>69</v>
      </c>
      <c r="AI878" s="2">
        <f>Table__192.168.3.138AgingReportBEWLGS[[#This Row],[NetAmount]]-Table__192.168.3.138AgingReportBEWLGS[[#This Row],[Paid]]</f>
        <v>24000</v>
      </c>
    </row>
    <row r="879" spans="1:35">
      <c r="A879" t="s">
        <v>8040</v>
      </c>
      <c r="B879" s="1">
        <v>41247</v>
      </c>
      <c r="C879" s="1">
        <v>41292</v>
      </c>
      <c r="D879" t="s">
        <v>6542</v>
      </c>
      <c r="E879">
        <v>20710</v>
      </c>
      <c r="F879">
        <v>0</v>
      </c>
      <c r="G879">
        <v>0</v>
      </c>
      <c r="H879">
        <v>0</v>
      </c>
      <c r="I879">
        <v>21</v>
      </c>
      <c r="J879">
        <v>20710</v>
      </c>
      <c r="K879" t="s">
        <v>2775</v>
      </c>
      <c r="L879" s="1">
        <v>41247</v>
      </c>
      <c r="N879" t="s">
        <v>5127</v>
      </c>
      <c r="O879" t="s">
        <v>2458</v>
      </c>
      <c r="P879" t="s">
        <v>6544</v>
      </c>
      <c r="Q879" t="s">
        <v>39</v>
      </c>
      <c r="R879" t="s">
        <v>40</v>
      </c>
      <c r="S879">
        <v>0</v>
      </c>
      <c r="U879" t="s">
        <v>5550</v>
      </c>
      <c r="V879" t="s">
        <v>1797</v>
      </c>
      <c r="X879" t="s">
        <v>74</v>
      </c>
      <c r="Y879" t="b">
        <v>0</v>
      </c>
      <c r="Z879" t="b">
        <v>0</v>
      </c>
      <c r="AC879" s="1"/>
      <c r="AF879">
        <v>0</v>
      </c>
      <c r="AG879">
        <v>45</v>
      </c>
      <c r="AH879">
        <v>66</v>
      </c>
      <c r="AI879" s="2">
        <f>Table__192.168.3.138AgingReportBEWLGS[[#This Row],[NetAmount]]-Table__192.168.3.138AgingReportBEWLGS[[#This Row],[Paid]]</f>
        <v>20710</v>
      </c>
    </row>
    <row r="880" spans="1:35">
      <c r="A880" t="s">
        <v>8041</v>
      </c>
      <c r="B880" s="1">
        <v>41247</v>
      </c>
      <c r="C880" s="1">
        <v>41292</v>
      </c>
      <c r="D880" t="s">
        <v>6610</v>
      </c>
      <c r="E880">
        <v>68646</v>
      </c>
      <c r="F880">
        <v>10983</v>
      </c>
      <c r="G880">
        <v>0</v>
      </c>
      <c r="H880">
        <v>0</v>
      </c>
      <c r="I880">
        <v>21</v>
      </c>
      <c r="J880">
        <v>79629</v>
      </c>
      <c r="K880" t="s">
        <v>7837</v>
      </c>
      <c r="L880" s="1">
        <v>41247</v>
      </c>
      <c r="N880" t="s">
        <v>5127</v>
      </c>
      <c r="O880" t="s">
        <v>2458</v>
      </c>
      <c r="P880" t="s">
        <v>6612</v>
      </c>
      <c r="Q880" t="s">
        <v>39</v>
      </c>
      <c r="R880" t="s">
        <v>40</v>
      </c>
      <c r="S880">
        <v>0</v>
      </c>
      <c r="U880" t="s">
        <v>5550</v>
      </c>
      <c r="V880" t="s">
        <v>1797</v>
      </c>
      <c r="X880" t="s">
        <v>74</v>
      </c>
      <c r="Y880" t="b">
        <v>0</v>
      </c>
      <c r="Z880" t="b">
        <v>0</v>
      </c>
      <c r="AC880" s="1"/>
      <c r="AF880">
        <v>0</v>
      </c>
      <c r="AG880">
        <v>45</v>
      </c>
      <c r="AH880">
        <v>66</v>
      </c>
      <c r="AI880" s="2">
        <f>Table__192.168.3.138AgingReportBEWLGS[[#This Row],[NetAmount]]-Table__192.168.3.138AgingReportBEWLGS[[#This Row],[Paid]]</f>
        <v>79629</v>
      </c>
    </row>
    <row r="881" spans="1:35">
      <c r="A881" t="s">
        <v>8042</v>
      </c>
      <c r="B881" s="1">
        <v>41246</v>
      </c>
      <c r="C881" s="1">
        <v>41246</v>
      </c>
      <c r="D881" t="s">
        <v>7829</v>
      </c>
      <c r="E881">
        <v>183270</v>
      </c>
      <c r="F881">
        <v>29323</v>
      </c>
      <c r="G881">
        <v>0</v>
      </c>
      <c r="H881">
        <v>0</v>
      </c>
      <c r="I881">
        <v>0</v>
      </c>
      <c r="J881">
        <v>212593</v>
      </c>
      <c r="K881" t="s">
        <v>3184</v>
      </c>
      <c r="L881" s="1">
        <v>41261</v>
      </c>
      <c r="N881" t="s">
        <v>5127</v>
      </c>
      <c r="O881" t="s">
        <v>2458</v>
      </c>
      <c r="P881" t="s">
        <v>5546</v>
      </c>
      <c r="Q881" t="s">
        <v>39</v>
      </c>
      <c r="R881" t="s">
        <v>40</v>
      </c>
      <c r="S881">
        <v>0</v>
      </c>
      <c r="U881" t="s">
        <v>5550</v>
      </c>
      <c r="V881" t="s">
        <v>1797</v>
      </c>
      <c r="X881" t="s">
        <v>74</v>
      </c>
      <c r="Y881" t="b">
        <v>0</v>
      </c>
      <c r="Z881" t="b">
        <v>0</v>
      </c>
      <c r="AC881" s="1"/>
      <c r="AF881">
        <v>0</v>
      </c>
      <c r="AH881">
        <v>52</v>
      </c>
      <c r="AI881" s="2">
        <f>Table__192.168.3.138AgingReportBEWLGS[[#This Row],[NetAmount]]-Table__192.168.3.138AgingReportBEWLGS[[#This Row],[Paid]]</f>
        <v>212593</v>
      </c>
    </row>
    <row r="882" spans="1:35">
      <c r="A882" t="s">
        <v>8043</v>
      </c>
      <c r="B882" s="1">
        <v>41254</v>
      </c>
      <c r="C882" s="1">
        <v>41254</v>
      </c>
      <c r="D882" t="s">
        <v>7829</v>
      </c>
      <c r="E882">
        <v>70000</v>
      </c>
      <c r="F882">
        <v>11200</v>
      </c>
      <c r="G882">
        <v>0</v>
      </c>
      <c r="H882">
        <v>0</v>
      </c>
      <c r="I882">
        <v>0</v>
      </c>
      <c r="J882">
        <v>81200</v>
      </c>
      <c r="K882" t="s">
        <v>5273</v>
      </c>
      <c r="L882" s="1">
        <v>41261</v>
      </c>
      <c r="N882" t="s">
        <v>5127</v>
      </c>
      <c r="O882" t="s">
        <v>2458</v>
      </c>
      <c r="P882" t="s">
        <v>5546</v>
      </c>
      <c r="Q882" t="s">
        <v>39</v>
      </c>
      <c r="R882" t="s">
        <v>40</v>
      </c>
      <c r="S882">
        <v>0</v>
      </c>
      <c r="U882" t="s">
        <v>5550</v>
      </c>
      <c r="V882" t="s">
        <v>1797</v>
      </c>
      <c r="X882" t="s">
        <v>74</v>
      </c>
      <c r="Y882" t="b">
        <v>0</v>
      </c>
      <c r="Z882" t="b">
        <v>0</v>
      </c>
      <c r="AC882" s="1"/>
      <c r="AF882">
        <v>0</v>
      </c>
      <c r="AH882">
        <v>52</v>
      </c>
      <c r="AI882" s="2">
        <f>Table__192.168.3.138AgingReportBEWLGS[[#This Row],[NetAmount]]-Table__192.168.3.138AgingReportBEWLGS[[#This Row],[Paid]]</f>
        <v>81200</v>
      </c>
    </row>
    <row r="883" spans="1:35">
      <c r="A883" t="s">
        <v>8044</v>
      </c>
      <c r="B883" s="1">
        <v>41249</v>
      </c>
      <c r="C883" s="1">
        <v>41294</v>
      </c>
      <c r="D883" t="s">
        <v>7375</v>
      </c>
      <c r="E883">
        <v>44000</v>
      </c>
      <c r="F883">
        <v>7040</v>
      </c>
      <c r="G883">
        <v>0</v>
      </c>
      <c r="H883">
        <v>0</v>
      </c>
      <c r="I883">
        <v>13</v>
      </c>
      <c r="J883">
        <v>52540</v>
      </c>
      <c r="K883" t="s">
        <v>8045</v>
      </c>
      <c r="L883" s="1">
        <v>41255</v>
      </c>
      <c r="N883" t="s">
        <v>5127</v>
      </c>
      <c r="O883" t="s">
        <v>2458</v>
      </c>
      <c r="P883" t="s">
        <v>7377</v>
      </c>
      <c r="Q883" t="s">
        <v>39</v>
      </c>
      <c r="R883" t="s">
        <v>40</v>
      </c>
      <c r="S883">
        <v>0</v>
      </c>
      <c r="U883" t="s">
        <v>5550</v>
      </c>
      <c r="V883" t="s">
        <v>1797</v>
      </c>
      <c r="X883" t="s">
        <v>74</v>
      </c>
      <c r="Y883" t="b">
        <v>0</v>
      </c>
      <c r="Z883" t="b">
        <v>0</v>
      </c>
      <c r="AC883" s="1"/>
      <c r="AF883">
        <v>0</v>
      </c>
      <c r="AG883">
        <v>45</v>
      </c>
      <c r="AH883">
        <v>58</v>
      </c>
      <c r="AI883" s="2">
        <f>Table__192.168.3.138AgingReportBEWLGS[[#This Row],[NetAmount]]-Table__192.168.3.138AgingReportBEWLGS[[#This Row],[Paid]]</f>
        <v>52540</v>
      </c>
    </row>
    <row r="884" spans="1:35">
      <c r="A884" t="s">
        <v>8046</v>
      </c>
      <c r="B884" s="1">
        <v>41257</v>
      </c>
      <c r="C884" s="1">
        <v>41302</v>
      </c>
      <c r="D884" t="s">
        <v>7767</v>
      </c>
      <c r="E884">
        <v>8000</v>
      </c>
      <c r="F884">
        <v>1280</v>
      </c>
      <c r="G884">
        <v>0</v>
      </c>
      <c r="H884">
        <v>0</v>
      </c>
      <c r="I884">
        <v>14</v>
      </c>
      <c r="J884">
        <v>9280</v>
      </c>
      <c r="K884" t="s">
        <v>5026</v>
      </c>
      <c r="L884" s="1">
        <v>41254</v>
      </c>
      <c r="N884" t="s">
        <v>5127</v>
      </c>
      <c r="O884" t="s">
        <v>2458</v>
      </c>
      <c r="P884" t="s">
        <v>7770</v>
      </c>
      <c r="Q884" t="s">
        <v>39</v>
      </c>
      <c r="R884" t="s">
        <v>40</v>
      </c>
      <c r="S884">
        <v>0</v>
      </c>
      <c r="U884" t="s">
        <v>5550</v>
      </c>
      <c r="V884" t="s">
        <v>1797</v>
      </c>
      <c r="X884" t="s">
        <v>74</v>
      </c>
      <c r="Y884" t="b">
        <v>0</v>
      </c>
      <c r="Z884" t="b">
        <v>0</v>
      </c>
      <c r="AC884" s="1"/>
      <c r="AF884">
        <v>0</v>
      </c>
      <c r="AG884">
        <v>45</v>
      </c>
      <c r="AH884">
        <v>59</v>
      </c>
      <c r="AI884" s="2">
        <f>Table__192.168.3.138AgingReportBEWLGS[[#This Row],[NetAmount]]-Table__192.168.3.138AgingReportBEWLGS[[#This Row],[Paid]]</f>
        <v>9280</v>
      </c>
    </row>
    <row r="885" spans="1:35">
      <c r="A885" t="s">
        <v>8047</v>
      </c>
      <c r="B885" s="1">
        <v>41263</v>
      </c>
      <c r="C885" s="1">
        <v>41263</v>
      </c>
      <c r="D885" t="s">
        <v>8048</v>
      </c>
      <c r="E885">
        <v>53196</v>
      </c>
      <c r="F885">
        <v>0</v>
      </c>
      <c r="G885">
        <v>0</v>
      </c>
      <c r="H885">
        <v>0</v>
      </c>
      <c r="I885">
        <v>0</v>
      </c>
      <c r="J885">
        <v>53196</v>
      </c>
      <c r="K885" t="s">
        <v>8049</v>
      </c>
      <c r="L885" s="1">
        <v>41262</v>
      </c>
      <c r="N885" t="s">
        <v>5127</v>
      </c>
      <c r="O885" t="s">
        <v>2458</v>
      </c>
      <c r="P885" t="s">
        <v>8050</v>
      </c>
      <c r="Q885" t="s">
        <v>39</v>
      </c>
      <c r="R885" t="s">
        <v>40</v>
      </c>
      <c r="S885">
        <v>0</v>
      </c>
      <c r="U885" t="s">
        <v>5550</v>
      </c>
      <c r="V885" t="s">
        <v>1797</v>
      </c>
      <c r="X885" t="s">
        <v>74</v>
      </c>
      <c r="Y885" t="b">
        <v>0</v>
      </c>
      <c r="Z885" t="b">
        <v>0</v>
      </c>
      <c r="AC885" s="1"/>
      <c r="AF885">
        <v>0</v>
      </c>
      <c r="AH885">
        <v>51</v>
      </c>
      <c r="AI885" s="2">
        <f>Table__192.168.3.138AgingReportBEWLGS[[#This Row],[NetAmount]]-Table__192.168.3.138AgingReportBEWLGS[[#This Row],[Paid]]</f>
        <v>53196</v>
      </c>
    </row>
    <row r="886" spans="1:35">
      <c r="A886" t="s">
        <v>8051</v>
      </c>
      <c r="B886" s="1">
        <v>41244</v>
      </c>
      <c r="C886" s="1">
        <v>41289</v>
      </c>
      <c r="D886" t="s">
        <v>6654</v>
      </c>
      <c r="E886">
        <v>2900</v>
      </c>
      <c r="F886">
        <v>464</v>
      </c>
      <c r="G886">
        <v>0</v>
      </c>
      <c r="H886">
        <v>0</v>
      </c>
      <c r="I886">
        <v>24</v>
      </c>
      <c r="J886">
        <v>3364</v>
      </c>
      <c r="K886" t="s">
        <v>1536</v>
      </c>
      <c r="L886" s="1">
        <v>41244</v>
      </c>
      <c r="N886" t="s">
        <v>5127</v>
      </c>
      <c r="O886" t="s">
        <v>2458</v>
      </c>
      <c r="P886" t="s">
        <v>6656</v>
      </c>
      <c r="Q886" t="s">
        <v>39</v>
      </c>
      <c r="R886" t="s">
        <v>40</v>
      </c>
      <c r="S886">
        <v>0</v>
      </c>
      <c r="U886" t="s">
        <v>5550</v>
      </c>
      <c r="V886" t="s">
        <v>1797</v>
      </c>
      <c r="X886" t="s">
        <v>74</v>
      </c>
      <c r="Y886" t="b">
        <v>0</v>
      </c>
      <c r="Z886" t="b">
        <v>0</v>
      </c>
      <c r="AC886" s="1"/>
      <c r="AF886">
        <v>0</v>
      </c>
      <c r="AG886">
        <v>45</v>
      </c>
      <c r="AH886">
        <v>69</v>
      </c>
      <c r="AI886" s="2">
        <f>Table__192.168.3.138AgingReportBEWLGS[[#This Row],[NetAmount]]-Table__192.168.3.138AgingReportBEWLGS[[#This Row],[Paid]]</f>
        <v>3364</v>
      </c>
    </row>
    <row r="887" spans="1:35">
      <c r="A887" t="s">
        <v>8052</v>
      </c>
      <c r="B887" s="1">
        <v>41244</v>
      </c>
      <c r="C887" s="1">
        <v>41289</v>
      </c>
      <c r="D887" t="s">
        <v>6654</v>
      </c>
      <c r="E887">
        <v>11600</v>
      </c>
      <c r="F887">
        <v>1856</v>
      </c>
      <c r="G887">
        <v>0</v>
      </c>
      <c r="H887">
        <v>0</v>
      </c>
      <c r="I887">
        <v>24</v>
      </c>
      <c r="J887">
        <v>13456</v>
      </c>
      <c r="K887" t="s">
        <v>1538</v>
      </c>
      <c r="L887" s="1">
        <v>41244</v>
      </c>
      <c r="N887" t="s">
        <v>5127</v>
      </c>
      <c r="O887" t="s">
        <v>2458</v>
      </c>
      <c r="P887" t="s">
        <v>6656</v>
      </c>
      <c r="Q887" t="s">
        <v>39</v>
      </c>
      <c r="R887" t="s">
        <v>40</v>
      </c>
      <c r="S887">
        <v>0</v>
      </c>
      <c r="U887" t="s">
        <v>5550</v>
      </c>
      <c r="V887" t="s">
        <v>1797</v>
      </c>
      <c r="X887" t="s">
        <v>74</v>
      </c>
      <c r="Y887" t="b">
        <v>0</v>
      </c>
      <c r="Z887" t="b">
        <v>0</v>
      </c>
      <c r="AC887" s="1"/>
      <c r="AF887">
        <v>0</v>
      </c>
      <c r="AG887">
        <v>45</v>
      </c>
      <c r="AH887">
        <v>69</v>
      </c>
      <c r="AI887" s="2">
        <f>Table__192.168.3.138AgingReportBEWLGS[[#This Row],[NetAmount]]-Table__192.168.3.138AgingReportBEWLGS[[#This Row],[Paid]]</f>
        <v>13456</v>
      </c>
    </row>
    <row r="888" spans="1:35">
      <c r="A888" t="s">
        <v>8053</v>
      </c>
      <c r="B888" s="1">
        <v>41250</v>
      </c>
      <c r="C888" s="1">
        <v>41295</v>
      </c>
      <c r="D888" t="s">
        <v>6335</v>
      </c>
      <c r="E888">
        <v>417331</v>
      </c>
      <c r="F888">
        <v>66773</v>
      </c>
      <c r="G888">
        <v>0</v>
      </c>
      <c r="H888">
        <v>0</v>
      </c>
      <c r="I888">
        <v>18</v>
      </c>
      <c r="J888">
        <v>484104</v>
      </c>
      <c r="K888" t="s">
        <v>8054</v>
      </c>
      <c r="L888" s="1">
        <v>41250</v>
      </c>
      <c r="N888" t="s">
        <v>5127</v>
      </c>
      <c r="O888" t="s">
        <v>2458</v>
      </c>
      <c r="P888" t="s">
        <v>6337</v>
      </c>
      <c r="Q888" t="s">
        <v>39</v>
      </c>
      <c r="R888" t="s">
        <v>40</v>
      </c>
      <c r="S888">
        <v>0</v>
      </c>
      <c r="U888" t="s">
        <v>5550</v>
      </c>
      <c r="V888" t="s">
        <v>1797</v>
      </c>
      <c r="X888" t="s">
        <v>74</v>
      </c>
      <c r="Y888" t="b">
        <v>0</v>
      </c>
      <c r="Z888" t="b">
        <v>0</v>
      </c>
      <c r="AB888" t="s">
        <v>8055</v>
      </c>
      <c r="AC888" s="1"/>
      <c r="AF888">
        <v>0</v>
      </c>
      <c r="AG888">
        <v>45</v>
      </c>
      <c r="AH888">
        <v>63</v>
      </c>
      <c r="AI888" s="2">
        <f>Table__192.168.3.138AgingReportBEWLGS[[#This Row],[NetAmount]]-Table__192.168.3.138AgingReportBEWLGS[[#This Row],[Paid]]</f>
        <v>484104</v>
      </c>
    </row>
    <row r="889" spans="1:35">
      <c r="A889" t="s">
        <v>8056</v>
      </c>
      <c r="B889" s="1">
        <v>41254</v>
      </c>
      <c r="C889" s="1">
        <v>41299</v>
      </c>
      <c r="D889" t="s">
        <v>7375</v>
      </c>
      <c r="E889">
        <v>110000</v>
      </c>
      <c r="F889">
        <v>17600</v>
      </c>
      <c r="G889">
        <v>0</v>
      </c>
      <c r="H889">
        <v>0</v>
      </c>
      <c r="I889">
        <v>5</v>
      </c>
      <c r="J889">
        <v>129600</v>
      </c>
      <c r="K889" t="s">
        <v>8057</v>
      </c>
      <c r="L889" s="1">
        <v>41263</v>
      </c>
      <c r="N889" t="s">
        <v>5127</v>
      </c>
      <c r="O889" t="s">
        <v>2458</v>
      </c>
      <c r="P889" t="s">
        <v>7377</v>
      </c>
      <c r="Q889" t="s">
        <v>39</v>
      </c>
      <c r="R889" t="s">
        <v>40</v>
      </c>
      <c r="S889">
        <v>0</v>
      </c>
      <c r="U889" t="s">
        <v>5550</v>
      </c>
      <c r="V889" t="s">
        <v>1797</v>
      </c>
      <c r="X889" t="s">
        <v>74</v>
      </c>
      <c r="Y889" t="b">
        <v>0</v>
      </c>
      <c r="Z889" t="b">
        <v>0</v>
      </c>
      <c r="AC889" s="1"/>
      <c r="AF889">
        <v>0</v>
      </c>
      <c r="AG889">
        <v>45</v>
      </c>
      <c r="AH889">
        <v>50</v>
      </c>
      <c r="AI889" s="2">
        <f>Table__192.168.3.138AgingReportBEWLGS[[#This Row],[NetAmount]]-Table__192.168.3.138AgingReportBEWLGS[[#This Row],[Paid]]</f>
        <v>129600</v>
      </c>
    </row>
    <row r="890" spans="1:35">
      <c r="A890" t="s">
        <v>8058</v>
      </c>
      <c r="B890" s="1">
        <v>41263</v>
      </c>
      <c r="C890" s="1">
        <v>41308</v>
      </c>
      <c r="D890" t="s">
        <v>8059</v>
      </c>
      <c r="E890">
        <v>6170</v>
      </c>
      <c r="F890">
        <v>987</v>
      </c>
      <c r="G890">
        <v>0</v>
      </c>
      <c r="H890">
        <v>0</v>
      </c>
      <c r="I890">
        <v>7</v>
      </c>
      <c r="J890">
        <v>7157</v>
      </c>
      <c r="K890" t="s">
        <v>8060</v>
      </c>
      <c r="L890" s="1">
        <v>41261</v>
      </c>
      <c r="N890" t="s">
        <v>5127</v>
      </c>
      <c r="O890" t="s">
        <v>2458</v>
      </c>
      <c r="P890" t="s">
        <v>8061</v>
      </c>
      <c r="Q890" t="s">
        <v>39</v>
      </c>
      <c r="R890" t="s">
        <v>40</v>
      </c>
      <c r="S890">
        <v>0</v>
      </c>
      <c r="U890" t="s">
        <v>5550</v>
      </c>
      <c r="V890" t="s">
        <v>1797</v>
      </c>
      <c r="X890" t="s">
        <v>74</v>
      </c>
      <c r="Y890" t="b">
        <v>0</v>
      </c>
      <c r="Z890" t="b">
        <v>0</v>
      </c>
      <c r="AC890" s="1"/>
      <c r="AF890">
        <v>0</v>
      </c>
      <c r="AG890">
        <v>45</v>
      </c>
      <c r="AH890">
        <v>52</v>
      </c>
      <c r="AI890" s="2">
        <f>Table__192.168.3.138AgingReportBEWLGS[[#This Row],[NetAmount]]-Table__192.168.3.138AgingReportBEWLGS[[#This Row],[Paid]]</f>
        <v>7157</v>
      </c>
    </row>
    <row r="891" spans="1:35">
      <c r="A891" t="s">
        <v>8062</v>
      </c>
      <c r="B891" s="1">
        <v>41255</v>
      </c>
      <c r="C891" s="1">
        <v>41300</v>
      </c>
      <c r="D891" t="s">
        <v>6412</v>
      </c>
      <c r="E891">
        <v>1061670</v>
      </c>
      <c r="F891">
        <v>169867</v>
      </c>
      <c r="G891">
        <v>0</v>
      </c>
      <c r="H891">
        <v>0</v>
      </c>
      <c r="I891">
        <v>13</v>
      </c>
      <c r="J891">
        <v>1231537</v>
      </c>
      <c r="K891" t="s">
        <v>8063</v>
      </c>
      <c r="L891" s="1">
        <v>41255</v>
      </c>
      <c r="N891" t="s">
        <v>5127</v>
      </c>
      <c r="O891" t="s">
        <v>2458</v>
      </c>
      <c r="P891" t="s">
        <v>6414</v>
      </c>
      <c r="Q891" t="s">
        <v>39</v>
      </c>
      <c r="R891" t="s">
        <v>40</v>
      </c>
      <c r="S891">
        <v>0</v>
      </c>
      <c r="U891" t="s">
        <v>5550</v>
      </c>
      <c r="V891" t="s">
        <v>1797</v>
      </c>
      <c r="X891" t="s">
        <v>74</v>
      </c>
      <c r="Y891" t="b">
        <v>0</v>
      </c>
      <c r="Z891" t="b">
        <v>0</v>
      </c>
      <c r="AB891" t="s">
        <v>7882</v>
      </c>
      <c r="AC891" s="1">
        <v>41279</v>
      </c>
      <c r="AF891">
        <v>0</v>
      </c>
      <c r="AG891">
        <v>45</v>
      </c>
      <c r="AH891">
        <v>58</v>
      </c>
      <c r="AI891" s="2">
        <f>Table__192.168.3.138AgingReportBEWLGS[[#This Row],[NetAmount]]-Table__192.168.3.138AgingReportBEWLGS[[#This Row],[Paid]]</f>
        <v>1231537</v>
      </c>
    </row>
    <row r="892" spans="1:35">
      <c r="A892" t="s">
        <v>8064</v>
      </c>
      <c r="B892" s="1">
        <v>41257</v>
      </c>
      <c r="C892" s="1">
        <v>41302</v>
      </c>
      <c r="D892" t="s">
        <v>6412</v>
      </c>
      <c r="E892">
        <v>904290</v>
      </c>
      <c r="F892">
        <v>144686</v>
      </c>
      <c r="G892">
        <v>0</v>
      </c>
      <c r="H892">
        <v>0</v>
      </c>
      <c r="I892">
        <v>11</v>
      </c>
      <c r="J892">
        <v>1048976</v>
      </c>
      <c r="K892" t="s">
        <v>8065</v>
      </c>
      <c r="L892" s="1">
        <v>41257</v>
      </c>
      <c r="N892" t="s">
        <v>5127</v>
      </c>
      <c r="O892" t="s">
        <v>2458</v>
      </c>
      <c r="P892" t="s">
        <v>6414</v>
      </c>
      <c r="Q892" t="s">
        <v>39</v>
      </c>
      <c r="R892" t="s">
        <v>40</v>
      </c>
      <c r="S892">
        <v>0</v>
      </c>
      <c r="U892" t="s">
        <v>5550</v>
      </c>
      <c r="V892" t="s">
        <v>1797</v>
      </c>
      <c r="X892" t="s">
        <v>74</v>
      </c>
      <c r="Y892" t="b">
        <v>0</v>
      </c>
      <c r="Z892" t="b">
        <v>0</v>
      </c>
      <c r="AC892" s="1"/>
      <c r="AF892">
        <v>0</v>
      </c>
      <c r="AG892">
        <v>45</v>
      </c>
      <c r="AH892">
        <v>56</v>
      </c>
      <c r="AI892" s="2">
        <f>Table__192.168.3.138AgingReportBEWLGS[[#This Row],[NetAmount]]-Table__192.168.3.138AgingReportBEWLGS[[#This Row],[Paid]]</f>
        <v>1048976</v>
      </c>
    </row>
    <row r="893" spans="1:35">
      <c r="A893" t="s">
        <v>8066</v>
      </c>
      <c r="B893" s="1">
        <v>41263</v>
      </c>
      <c r="C893" s="1">
        <v>41308</v>
      </c>
      <c r="D893" t="s">
        <v>7647</v>
      </c>
      <c r="E893">
        <v>48465</v>
      </c>
      <c r="F893">
        <v>7755</v>
      </c>
      <c r="G893">
        <v>0</v>
      </c>
      <c r="H893">
        <v>0</v>
      </c>
      <c r="I893">
        <v>6</v>
      </c>
      <c r="J893">
        <v>56220</v>
      </c>
      <c r="K893" t="s">
        <v>8067</v>
      </c>
      <c r="L893" s="1">
        <v>41262</v>
      </c>
      <c r="N893" t="s">
        <v>5127</v>
      </c>
      <c r="O893" t="s">
        <v>2458</v>
      </c>
      <c r="P893" t="s">
        <v>7649</v>
      </c>
      <c r="Q893" t="s">
        <v>39</v>
      </c>
      <c r="R893" t="s">
        <v>40</v>
      </c>
      <c r="S893">
        <v>0</v>
      </c>
      <c r="U893" t="s">
        <v>5550</v>
      </c>
      <c r="V893" t="s">
        <v>1797</v>
      </c>
      <c r="X893" t="s">
        <v>74</v>
      </c>
      <c r="Y893" t="b">
        <v>0</v>
      </c>
      <c r="Z893" t="b">
        <v>0</v>
      </c>
      <c r="AC893" s="1"/>
      <c r="AF893">
        <v>0</v>
      </c>
      <c r="AG893">
        <v>45</v>
      </c>
      <c r="AH893">
        <v>51</v>
      </c>
      <c r="AI893" s="2">
        <f>Table__192.168.3.138AgingReportBEWLGS[[#This Row],[NetAmount]]-Table__192.168.3.138AgingReportBEWLGS[[#This Row],[Paid]]</f>
        <v>56220</v>
      </c>
    </row>
    <row r="894" spans="1:35">
      <c r="A894" t="s">
        <v>8068</v>
      </c>
      <c r="B894" s="1">
        <v>41263</v>
      </c>
      <c r="C894" s="1">
        <v>41308</v>
      </c>
      <c r="D894" t="s">
        <v>7773</v>
      </c>
      <c r="E894">
        <v>12960</v>
      </c>
      <c r="F894">
        <v>2075</v>
      </c>
      <c r="G894">
        <v>0</v>
      </c>
      <c r="H894">
        <v>0</v>
      </c>
      <c r="I894">
        <v>6</v>
      </c>
      <c r="J894">
        <v>15035</v>
      </c>
      <c r="K894" t="s">
        <v>8069</v>
      </c>
      <c r="L894" s="1">
        <v>41262</v>
      </c>
      <c r="N894" t="s">
        <v>5127</v>
      </c>
      <c r="O894" t="s">
        <v>2458</v>
      </c>
      <c r="P894" t="s">
        <v>7776</v>
      </c>
      <c r="Q894" t="s">
        <v>39</v>
      </c>
      <c r="R894" t="s">
        <v>40</v>
      </c>
      <c r="S894">
        <v>0</v>
      </c>
      <c r="U894" t="s">
        <v>5550</v>
      </c>
      <c r="V894" t="s">
        <v>1797</v>
      </c>
      <c r="X894" t="s">
        <v>74</v>
      </c>
      <c r="Y894" t="b">
        <v>0</v>
      </c>
      <c r="Z894" t="b">
        <v>0</v>
      </c>
      <c r="AC894" s="1"/>
      <c r="AF894">
        <v>0</v>
      </c>
      <c r="AG894">
        <v>45</v>
      </c>
      <c r="AH894">
        <v>51</v>
      </c>
      <c r="AI894" s="2">
        <f>Table__192.168.3.138AgingReportBEWLGS[[#This Row],[NetAmount]]-Table__192.168.3.138AgingReportBEWLGS[[#This Row],[Paid]]</f>
        <v>15035</v>
      </c>
    </row>
    <row r="895" spans="1:35">
      <c r="A895" t="s">
        <v>8070</v>
      </c>
      <c r="B895" s="1">
        <v>41260</v>
      </c>
      <c r="C895" s="1">
        <v>41305</v>
      </c>
      <c r="D895" t="s">
        <v>8071</v>
      </c>
      <c r="E895">
        <v>25500</v>
      </c>
      <c r="F895">
        <v>4080</v>
      </c>
      <c r="G895">
        <v>0</v>
      </c>
      <c r="H895">
        <v>0</v>
      </c>
      <c r="I895">
        <v>5</v>
      </c>
      <c r="J895">
        <v>29580</v>
      </c>
      <c r="K895" t="s">
        <v>8072</v>
      </c>
      <c r="L895" s="1">
        <v>41263</v>
      </c>
      <c r="N895" t="s">
        <v>5127</v>
      </c>
      <c r="O895" t="s">
        <v>2458</v>
      </c>
      <c r="P895" t="s">
        <v>8073</v>
      </c>
      <c r="Q895" t="s">
        <v>39</v>
      </c>
      <c r="R895" t="s">
        <v>40</v>
      </c>
      <c r="S895">
        <v>0</v>
      </c>
      <c r="U895" t="s">
        <v>5550</v>
      </c>
      <c r="V895" t="s">
        <v>1797</v>
      </c>
      <c r="X895" t="s">
        <v>74</v>
      </c>
      <c r="Y895" t="b">
        <v>0</v>
      </c>
      <c r="Z895" t="b">
        <v>0</v>
      </c>
      <c r="AC895" s="1"/>
      <c r="AF895">
        <v>0</v>
      </c>
      <c r="AG895">
        <v>45</v>
      </c>
      <c r="AH895">
        <v>50</v>
      </c>
      <c r="AI895" s="2">
        <f>Table__192.168.3.138AgingReportBEWLGS[[#This Row],[NetAmount]]-Table__192.168.3.138AgingReportBEWLGS[[#This Row],[Paid]]</f>
        <v>29580</v>
      </c>
    </row>
    <row r="896" spans="1:35">
      <c r="A896" t="s">
        <v>8074</v>
      </c>
      <c r="B896" s="1">
        <v>41254</v>
      </c>
      <c r="C896" s="1">
        <v>41299</v>
      </c>
      <c r="D896" t="s">
        <v>6542</v>
      </c>
      <c r="E896">
        <v>23800</v>
      </c>
      <c r="F896">
        <v>0</v>
      </c>
      <c r="G896">
        <v>0</v>
      </c>
      <c r="H896">
        <v>0</v>
      </c>
      <c r="I896">
        <v>14</v>
      </c>
      <c r="J896">
        <v>23800</v>
      </c>
      <c r="K896" t="s">
        <v>8075</v>
      </c>
      <c r="L896" s="1">
        <v>41254</v>
      </c>
      <c r="N896" t="s">
        <v>5127</v>
      </c>
      <c r="O896" t="s">
        <v>2458</v>
      </c>
      <c r="P896" t="s">
        <v>6544</v>
      </c>
      <c r="Q896" t="s">
        <v>39</v>
      </c>
      <c r="R896" t="s">
        <v>40</v>
      </c>
      <c r="S896">
        <v>0</v>
      </c>
      <c r="U896" t="s">
        <v>5550</v>
      </c>
      <c r="V896" t="s">
        <v>1797</v>
      </c>
      <c r="X896" t="s">
        <v>74</v>
      </c>
      <c r="Y896" t="b">
        <v>0</v>
      </c>
      <c r="Z896" t="b">
        <v>0</v>
      </c>
      <c r="AC896" s="1"/>
      <c r="AF896">
        <v>0</v>
      </c>
      <c r="AG896">
        <v>45</v>
      </c>
      <c r="AH896">
        <v>59</v>
      </c>
      <c r="AI896" s="2">
        <f>Table__192.168.3.138AgingReportBEWLGS[[#This Row],[NetAmount]]-Table__192.168.3.138AgingReportBEWLGS[[#This Row],[Paid]]</f>
        <v>23800</v>
      </c>
    </row>
    <row r="897" spans="1:35">
      <c r="A897" t="s">
        <v>8076</v>
      </c>
      <c r="B897" s="1">
        <v>41254</v>
      </c>
      <c r="C897" s="1">
        <v>41299</v>
      </c>
      <c r="D897" t="s">
        <v>6542</v>
      </c>
      <c r="E897">
        <v>25600</v>
      </c>
      <c r="F897">
        <v>0</v>
      </c>
      <c r="G897">
        <v>0</v>
      </c>
      <c r="H897">
        <v>0</v>
      </c>
      <c r="I897">
        <v>14</v>
      </c>
      <c r="J897">
        <v>25600</v>
      </c>
      <c r="K897" t="s">
        <v>3585</v>
      </c>
      <c r="L897" s="1">
        <v>41254</v>
      </c>
      <c r="N897" t="s">
        <v>5127</v>
      </c>
      <c r="O897" t="s">
        <v>2458</v>
      </c>
      <c r="P897" t="s">
        <v>6544</v>
      </c>
      <c r="Q897" t="s">
        <v>39</v>
      </c>
      <c r="R897" t="s">
        <v>40</v>
      </c>
      <c r="S897">
        <v>0</v>
      </c>
      <c r="U897" t="s">
        <v>5550</v>
      </c>
      <c r="V897" t="s">
        <v>1797</v>
      </c>
      <c r="X897" t="s">
        <v>74</v>
      </c>
      <c r="Y897" t="b">
        <v>0</v>
      </c>
      <c r="Z897" t="b">
        <v>0</v>
      </c>
      <c r="AC897" s="1"/>
      <c r="AF897">
        <v>0</v>
      </c>
      <c r="AG897">
        <v>45</v>
      </c>
      <c r="AH897">
        <v>59</v>
      </c>
      <c r="AI897" s="2">
        <f>Table__192.168.3.138AgingReportBEWLGS[[#This Row],[NetAmount]]-Table__192.168.3.138AgingReportBEWLGS[[#This Row],[Paid]]</f>
        <v>25600</v>
      </c>
    </row>
    <row r="898" spans="1:35">
      <c r="A898" t="s">
        <v>8077</v>
      </c>
      <c r="B898" s="1">
        <v>41257</v>
      </c>
      <c r="C898" s="1">
        <v>41302</v>
      </c>
      <c r="D898" t="s">
        <v>6542</v>
      </c>
      <c r="E898">
        <v>22930</v>
      </c>
      <c r="F898">
        <v>0</v>
      </c>
      <c r="G898">
        <v>0</v>
      </c>
      <c r="H898">
        <v>0</v>
      </c>
      <c r="I898">
        <v>11</v>
      </c>
      <c r="J898">
        <v>22930</v>
      </c>
      <c r="K898" t="s">
        <v>8078</v>
      </c>
      <c r="L898" s="1">
        <v>41257</v>
      </c>
      <c r="N898" t="s">
        <v>5127</v>
      </c>
      <c r="O898" t="s">
        <v>2458</v>
      </c>
      <c r="P898" t="s">
        <v>6544</v>
      </c>
      <c r="Q898" t="s">
        <v>39</v>
      </c>
      <c r="R898" t="s">
        <v>40</v>
      </c>
      <c r="S898">
        <v>0</v>
      </c>
      <c r="U898" t="s">
        <v>5550</v>
      </c>
      <c r="V898" t="s">
        <v>1797</v>
      </c>
      <c r="X898" t="s">
        <v>74</v>
      </c>
      <c r="Y898" t="b">
        <v>0</v>
      </c>
      <c r="Z898" t="b">
        <v>0</v>
      </c>
      <c r="AC898" s="1"/>
      <c r="AF898">
        <v>0</v>
      </c>
      <c r="AG898">
        <v>45</v>
      </c>
      <c r="AH898">
        <v>56</v>
      </c>
      <c r="AI898" s="2">
        <f>Table__192.168.3.138AgingReportBEWLGS[[#This Row],[NetAmount]]-Table__192.168.3.138AgingReportBEWLGS[[#This Row],[Paid]]</f>
        <v>22930</v>
      </c>
    </row>
    <row r="899" spans="1:35">
      <c r="A899" t="s">
        <v>8079</v>
      </c>
      <c r="B899" s="1">
        <v>41260</v>
      </c>
      <c r="C899" s="1">
        <v>41305</v>
      </c>
      <c r="D899" t="s">
        <v>6542</v>
      </c>
      <c r="E899">
        <v>23440</v>
      </c>
      <c r="F899">
        <v>0</v>
      </c>
      <c r="G899">
        <v>0</v>
      </c>
      <c r="H899">
        <v>0</v>
      </c>
      <c r="I899">
        <v>8</v>
      </c>
      <c r="J899">
        <v>23440</v>
      </c>
      <c r="K899" t="s">
        <v>8080</v>
      </c>
      <c r="L899" s="1">
        <v>41260</v>
      </c>
      <c r="N899" t="s">
        <v>5127</v>
      </c>
      <c r="O899" t="s">
        <v>2458</v>
      </c>
      <c r="P899" t="s">
        <v>6544</v>
      </c>
      <c r="Q899" t="s">
        <v>39</v>
      </c>
      <c r="R899" t="s">
        <v>40</v>
      </c>
      <c r="S899">
        <v>0</v>
      </c>
      <c r="U899" t="s">
        <v>5550</v>
      </c>
      <c r="V899" t="s">
        <v>1797</v>
      </c>
      <c r="X899" t="s">
        <v>74</v>
      </c>
      <c r="Y899" t="b">
        <v>0</v>
      </c>
      <c r="Z899" t="b">
        <v>0</v>
      </c>
      <c r="AC899" s="1"/>
      <c r="AF899">
        <v>0</v>
      </c>
      <c r="AG899">
        <v>45</v>
      </c>
      <c r="AH899">
        <v>53</v>
      </c>
      <c r="AI899" s="2">
        <f>Table__192.168.3.138AgingReportBEWLGS[[#This Row],[NetAmount]]-Table__192.168.3.138AgingReportBEWLGS[[#This Row],[Paid]]</f>
        <v>23440</v>
      </c>
    </row>
    <row r="900" spans="1:35">
      <c r="A900" t="s">
        <v>8081</v>
      </c>
      <c r="B900" s="1">
        <v>41267</v>
      </c>
      <c r="C900" s="1">
        <v>41312</v>
      </c>
      <c r="D900" t="s">
        <v>8082</v>
      </c>
      <c r="E900">
        <v>6000</v>
      </c>
      <c r="F900">
        <v>960</v>
      </c>
      <c r="G900">
        <v>0</v>
      </c>
      <c r="H900">
        <v>0</v>
      </c>
      <c r="I900">
        <v>3</v>
      </c>
      <c r="J900">
        <v>6960</v>
      </c>
      <c r="K900" t="s">
        <v>905</v>
      </c>
      <c r="L900" s="1">
        <v>41265</v>
      </c>
      <c r="N900" t="s">
        <v>5127</v>
      </c>
      <c r="O900" t="s">
        <v>2458</v>
      </c>
      <c r="P900" t="s">
        <v>5488</v>
      </c>
      <c r="Q900" t="s">
        <v>39</v>
      </c>
      <c r="R900" t="s">
        <v>40</v>
      </c>
      <c r="S900">
        <v>0</v>
      </c>
      <c r="U900" t="s">
        <v>5550</v>
      </c>
      <c r="V900" t="s">
        <v>1797</v>
      </c>
      <c r="X900" t="s">
        <v>74</v>
      </c>
      <c r="Y900" t="b">
        <v>0</v>
      </c>
      <c r="Z900" t="b">
        <v>0</v>
      </c>
      <c r="AC900" s="1"/>
      <c r="AF900">
        <v>0</v>
      </c>
      <c r="AG900">
        <v>45</v>
      </c>
      <c r="AH900">
        <v>48</v>
      </c>
      <c r="AI900" s="2">
        <f>Table__192.168.3.138AgingReportBEWLGS[[#This Row],[NetAmount]]-Table__192.168.3.138AgingReportBEWLGS[[#This Row],[Paid]]</f>
        <v>6960</v>
      </c>
    </row>
    <row r="901" spans="1:35">
      <c r="A901" t="s">
        <v>8083</v>
      </c>
      <c r="B901" s="1">
        <v>41263</v>
      </c>
      <c r="C901" s="1">
        <v>41308</v>
      </c>
      <c r="D901" t="s">
        <v>7773</v>
      </c>
      <c r="E901">
        <v>660</v>
      </c>
      <c r="F901">
        <v>106</v>
      </c>
      <c r="G901">
        <v>0</v>
      </c>
      <c r="H901">
        <v>0</v>
      </c>
      <c r="I901">
        <v>6</v>
      </c>
      <c r="J901">
        <v>766</v>
      </c>
      <c r="K901" t="s">
        <v>8084</v>
      </c>
      <c r="L901" s="1">
        <v>41262</v>
      </c>
      <c r="N901" t="s">
        <v>5127</v>
      </c>
      <c r="O901" t="s">
        <v>2458</v>
      </c>
      <c r="P901" t="s">
        <v>7776</v>
      </c>
      <c r="Q901" t="s">
        <v>39</v>
      </c>
      <c r="R901" t="s">
        <v>40</v>
      </c>
      <c r="S901">
        <v>0</v>
      </c>
      <c r="U901" t="s">
        <v>5550</v>
      </c>
      <c r="V901" t="s">
        <v>1797</v>
      </c>
      <c r="X901" t="s">
        <v>74</v>
      </c>
      <c r="Y901" t="b">
        <v>0</v>
      </c>
      <c r="Z901" t="b">
        <v>0</v>
      </c>
      <c r="AC901" s="1"/>
      <c r="AF901">
        <v>0</v>
      </c>
      <c r="AG901">
        <v>45</v>
      </c>
      <c r="AH901">
        <v>51</v>
      </c>
      <c r="AI901" s="2">
        <f>Table__192.168.3.138AgingReportBEWLGS[[#This Row],[NetAmount]]-Table__192.168.3.138AgingReportBEWLGS[[#This Row],[Paid]]</f>
        <v>766</v>
      </c>
    </row>
    <row r="902" spans="1:35">
      <c r="A902" t="s">
        <v>8085</v>
      </c>
      <c r="B902" s="1">
        <v>41263</v>
      </c>
      <c r="C902" s="1">
        <v>41308</v>
      </c>
      <c r="D902" t="s">
        <v>7773</v>
      </c>
      <c r="E902">
        <v>12210</v>
      </c>
      <c r="F902">
        <v>1954</v>
      </c>
      <c r="G902">
        <v>0</v>
      </c>
      <c r="H902">
        <v>0</v>
      </c>
      <c r="I902">
        <v>6</v>
      </c>
      <c r="J902">
        <v>14164</v>
      </c>
      <c r="K902" t="s">
        <v>8086</v>
      </c>
      <c r="L902" s="1">
        <v>41262</v>
      </c>
      <c r="N902" t="s">
        <v>5127</v>
      </c>
      <c r="O902" t="s">
        <v>2458</v>
      </c>
      <c r="P902" t="s">
        <v>7776</v>
      </c>
      <c r="Q902" t="s">
        <v>39</v>
      </c>
      <c r="R902" t="s">
        <v>40</v>
      </c>
      <c r="S902">
        <v>0</v>
      </c>
      <c r="U902" t="s">
        <v>5550</v>
      </c>
      <c r="V902" t="s">
        <v>1797</v>
      </c>
      <c r="X902" t="s">
        <v>74</v>
      </c>
      <c r="Y902" t="b">
        <v>0</v>
      </c>
      <c r="Z902" t="b">
        <v>0</v>
      </c>
      <c r="AC902" s="1"/>
      <c r="AF902">
        <v>0</v>
      </c>
      <c r="AG902">
        <v>45</v>
      </c>
      <c r="AH902">
        <v>51</v>
      </c>
      <c r="AI902" s="2">
        <f>Table__192.168.3.138AgingReportBEWLGS[[#This Row],[NetAmount]]-Table__192.168.3.138AgingReportBEWLGS[[#This Row],[Paid]]</f>
        <v>14164</v>
      </c>
    </row>
    <row r="903" spans="1:35">
      <c r="A903" t="s">
        <v>8087</v>
      </c>
      <c r="B903" s="1">
        <v>41256</v>
      </c>
      <c r="C903" s="1">
        <v>41301</v>
      </c>
      <c r="D903" t="s">
        <v>6335</v>
      </c>
      <c r="E903">
        <v>417331</v>
      </c>
      <c r="F903">
        <v>66773</v>
      </c>
      <c r="G903">
        <v>0</v>
      </c>
      <c r="H903">
        <v>0</v>
      </c>
      <c r="I903">
        <v>12</v>
      </c>
      <c r="J903">
        <v>484104</v>
      </c>
      <c r="K903" t="s">
        <v>8088</v>
      </c>
      <c r="L903" s="1">
        <v>41256</v>
      </c>
      <c r="N903" t="s">
        <v>5127</v>
      </c>
      <c r="O903" t="s">
        <v>2458</v>
      </c>
      <c r="P903" t="s">
        <v>6337</v>
      </c>
      <c r="Q903" t="s">
        <v>39</v>
      </c>
      <c r="R903" t="s">
        <v>40</v>
      </c>
      <c r="S903">
        <v>0</v>
      </c>
      <c r="U903" t="s">
        <v>5550</v>
      </c>
      <c r="V903" t="s">
        <v>1797</v>
      </c>
      <c r="X903" t="s">
        <v>74</v>
      </c>
      <c r="Y903" t="b">
        <v>0</v>
      </c>
      <c r="Z903" t="b">
        <v>0</v>
      </c>
      <c r="AB903" t="s">
        <v>8089</v>
      </c>
      <c r="AC903" s="1"/>
      <c r="AF903">
        <v>0</v>
      </c>
      <c r="AG903">
        <v>45</v>
      </c>
      <c r="AH903">
        <v>57</v>
      </c>
      <c r="AI903" s="2">
        <f>Table__192.168.3.138AgingReportBEWLGS[[#This Row],[NetAmount]]-Table__192.168.3.138AgingReportBEWLGS[[#This Row],[Paid]]</f>
        <v>484104</v>
      </c>
    </row>
    <row r="904" spans="1:35">
      <c r="A904" t="s">
        <v>8090</v>
      </c>
      <c r="B904" s="1">
        <v>41246</v>
      </c>
      <c r="C904" s="1">
        <v>41291</v>
      </c>
      <c r="D904" t="s">
        <v>7955</v>
      </c>
      <c r="E904">
        <v>71200</v>
      </c>
      <c r="F904">
        <v>11392</v>
      </c>
      <c r="G904">
        <v>0</v>
      </c>
      <c r="H904">
        <v>0</v>
      </c>
      <c r="I904">
        <v>21</v>
      </c>
      <c r="J904">
        <v>82592</v>
      </c>
      <c r="K904" t="s">
        <v>5187</v>
      </c>
      <c r="L904" s="1">
        <v>41247</v>
      </c>
      <c r="N904" t="s">
        <v>5127</v>
      </c>
      <c r="O904" t="s">
        <v>2458</v>
      </c>
      <c r="P904" t="s">
        <v>7956</v>
      </c>
      <c r="Q904" t="s">
        <v>39</v>
      </c>
      <c r="R904" t="s">
        <v>40</v>
      </c>
      <c r="S904">
        <v>0</v>
      </c>
      <c r="U904" t="s">
        <v>5550</v>
      </c>
      <c r="V904" t="s">
        <v>1797</v>
      </c>
      <c r="X904" t="s">
        <v>74</v>
      </c>
      <c r="Y904" t="b">
        <v>0</v>
      </c>
      <c r="Z904" t="b">
        <v>0</v>
      </c>
      <c r="AC904" s="1"/>
      <c r="AF904">
        <v>0</v>
      </c>
      <c r="AG904">
        <v>45</v>
      </c>
      <c r="AH904">
        <v>66</v>
      </c>
      <c r="AI904" s="2">
        <f>Table__192.168.3.138AgingReportBEWLGS[[#This Row],[NetAmount]]-Table__192.168.3.138AgingReportBEWLGS[[#This Row],[Paid]]</f>
        <v>82592</v>
      </c>
    </row>
    <row r="905" spans="1:35">
      <c r="A905" t="s">
        <v>8091</v>
      </c>
      <c r="B905" s="1">
        <v>41247</v>
      </c>
      <c r="C905" s="1">
        <v>41292</v>
      </c>
      <c r="D905" t="s">
        <v>7375</v>
      </c>
      <c r="E905">
        <v>89760</v>
      </c>
      <c r="F905">
        <v>14362</v>
      </c>
      <c r="G905">
        <v>0</v>
      </c>
      <c r="H905">
        <v>0</v>
      </c>
      <c r="I905">
        <v>13</v>
      </c>
      <c r="J905">
        <v>106122</v>
      </c>
      <c r="K905" t="s">
        <v>8092</v>
      </c>
      <c r="L905" s="1">
        <v>41255</v>
      </c>
      <c r="N905" t="s">
        <v>5127</v>
      </c>
      <c r="O905" t="s">
        <v>2458</v>
      </c>
      <c r="P905" t="s">
        <v>7377</v>
      </c>
      <c r="Q905" t="s">
        <v>39</v>
      </c>
      <c r="R905" t="s">
        <v>40</v>
      </c>
      <c r="S905">
        <v>0</v>
      </c>
      <c r="U905" t="s">
        <v>5550</v>
      </c>
      <c r="V905" t="s">
        <v>1797</v>
      </c>
      <c r="X905" t="s">
        <v>74</v>
      </c>
      <c r="Y905" t="b">
        <v>0</v>
      </c>
      <c r="Z905" t="b">
        <v>0</v>
      </c>
      <c r="AC905" s="1"/>
      <c r="AF905">
        <v>0</v>
      </c>
      <c r="AG905">
        <v>45</v>
      </c>
      <c r="AH905">
        <v>58</v>
      </c>
      <c r="AI905" s="2">
        <f>Table__192.168.3.138AgingReportBEWLGS[[#This Row],[NetAmount]]-Table__192.168.3.138AgingReportBEWLGS[[#This Row],[Paid]]</f>
        <v>106122</v>
      </c>
    </row>
    <row r="906" spans="1:35">
      <c r="A906" t="s">
        <v>8093</v>
      </c>
      <c r="B906" s="1">
        <v>41247</v>
      </c>
      <c r="C906" s="1">
        <v>41247</v>
      </c>
      <c r="D906" t="s">
        <v>7622</v>
      </c>
      <c r="E906">
        <v>451500</v>
      </c>
      <c r="F906">
        <v>72240</v>
      </c>
      <c r="G906">
        <v>0</v>
      </c>
      <c r="H906">
        <v>0</v>
      </c>
      <c r="I906">
        <v>0</v>
      </c>
      <c r="J906">
        <v>523740</v>
      </c>
      <c r="K906" t="s">
        <v>5418</v>
      </c>
      <c r="L906" s="1">
        <v>41247</v>
      </c>
      <c r="N906" t="s">
        <v>5127</v>
      </c>
      <c r="O906" t="s">
        <v>2458</v>
      </c>
      <c r="P906" t="s">
        <v>7624</v>
      </c>
      <c r="Q906" t="s">
        <v>39</v>
      </c>
      <c r="R906" t="s">
        <v>40</v>
      </c>
      <c r="S906">
        <v>0</v>
      </c>
      <c r="U906" t="s">
        <v>5550</v>
      </c>
      <c r="V906" t="s">
        <v>1797</v>
      </c>
      <c r="X906" t="s">
        <v>74</v>
      </c>
      <c r="Y906" t="b">
        <v>0</v>
      </c>
      <c r="Z906" t="b">
        <v>0</v>
      </c>
      <c r="AC906" s="1"/>
      <c r="AF906">
        <v>0</v>
      </c>
      <c r="AH906">
        <v>66</v>
      </c>
      <c r="AI906" s="2">
        <f>Table__192.168.3.138AgingReportBEWLGS[[#This Row],[NetAmount]]-Table__192.168.3.138AgingReportBEWLGS[[#This Row],[Paid]]</f>
        <v>523740</v>
      </c>
    </row>
    <row r="907" spans="1:35">
      <c r="A907" t="s">
        <v>8094</v>
      </c>
      <c r="B907" s="1">
        <v>41264</v>
      </c>
      <c r="C907" s="1">
        <v>41309</v>
      </c>
      <c r="D907" t="s">
        <v>8023</v>
      </c>
      <c r="E907">
        <v>140130</v>
      </c>
      <c r="F907">
        <v>22421</v>
      </c>
      <c r="G907">
        <v>0</v>
      </c>
      <c r="H907">
        <v>0</v>
      </c>
      <c r="I907">
        <v>4</v>
      </c>
      <c r="J907">
        <v>162551</v>
      </c>
      <c r="K907" t="s">
        <v>8095</v>
      </c>
      <c r="L907" s="1">
        <v>41264</v>
      </c>
      <c r="N907" t="s">
        <v>5127</v>
      </c>
      <c r="O907" t="s">
        <v>2458</v>
      </c>
      <c r="P907" t="s">
        <v>8025</v>
      </c>
      <c r="Q907" t="s">
        <v>39</v>
      </c>
      <c r="R907" t="s">
        <v>40</v>
      </c>
      <c r="S907">
        <v>0</v>
      </c>
      <c r="U907" t="s">
        <v>5550</v>
      </c>
      <c r="V907" t="s">
        <v>1797</v>
      </c>
      <c r="X907" t="s">
        <v>74</v>
      </c>
      <c r="Y907" t="b">
        <v>0</v>
      </c>
      <c r="Z907" t="b">
        <v>0</v>
      </c>
      <c r="AC907" s="1"/>
      <c r="AF907">
        <v>0</v>
      </c>
      <c r="AG907">
        <v>45</v>
      </c>
      <c r="AH907">
        <v>49</v>
      </c>
      <c r="AI907" s="2">
        <f>Table__192.168.3.138AgingReportBEWLGS[[#This Row],[NetAmount]]-Table__192.168.3.138AgingReportBEWLGS[[#This Row],[Paid]]</f>
        <v>162551</v>
      </c>
    </row>
    <row r="908" spans="1:35">
      <c r="A908" t="s">
        <v>8096</v>
      </c>
      <c r="B908" s="1">
        <v>41265</v>
      </c>
      <c r="C908" s="1">
        <v>41310</v>
      </c>
      <c r="D908" t="s">
        <v>7250</v>
      </c>
      <c r="E908">
        <v>114750</v>
      </c>
      <c r="F908">
        <v>18360</v>
      </c>
      <c r="G908">
        <v>0</v>
      </c>
      <c r="H908">
        <v>0</v>
      </c>
      <c r="I908">
        <v>3</v>
      </c>
      <c r="J908">
        <v>133110</v>
      </c>
      <c r="K908" t="s">
        <v>8097</v>
      </c>
      <c r="L908" s="1">
        <v>41265</v>
      </c>
      <c r="N908" t="s">
        <v>5127</v>
      </c>
      <c r="O908" t="s">
        <v>2458</v>
      </c>
      <c r="P908" t="s">
        <v>5526</v>
      </c>
      <c r="Q908" t="s">
        <v>39</v>
      </c>
      <c r="R908" t="s">
        <v>40</v>
      </c>
      <c r="S908">
        <v>0</v>
      </c>
      <c r="U908" t="s">
        <v>5550</v>
      </c>
      <c r="V908" t="s">
        <v>1797</v>
      </c>
      <c r="X908" t="s">
        <v>74</v>
      </c>
      <c r="Y908" t="b">
        <v>0</v>
      </c>
      <c r="Z908" t="b">
        <v>0</v>
      </c>
      <c r="AC908" s="1"/>
      <c r="AF908">
        <v>0</v>
      </c>
      <c r="AG908">
        <v>45</v>
      </c>
      <c r="AH908">
        <v>48</v>
      </c>
      <c r="AI908" s="2">
        <f>Table__192.168.3.138AgingReportBEWLGS[[#This Row],[NetAmount]]-Table__192.168.3.138AgingReportBEWLGS[[#This Row],[Paid]]</f>
        <v>133110</v>
      </c>
    </row>
    <row r="909" spans="1:35">
      <c r="A909" t="s">
        <v>8098</v>
      </c>
      <c r="B909" s="1">
        <v>41267</v>
      </c>
      <c r="C909" s="1">
        <v>41312</v>
      </c>
      <c r="D909" t="s">
        <v>7755</v>
      </c>
      <c r="E909">
        <v>3900</v>
      </c>
      <c r="F909">
        <v>0</v>
      </c>
      <c r="G909">
        <v>0</v>
      </c>
      <c r="H909">
        <v>0</v>
      </c>
      <c r="I909">
        <v>1</v>
      </c>
      <c r="J909">
        <v>3900</v>
      </c>
      <c r="K909" t="s">
        <v>4061</v>
      </c>
      <c r="L909" s="1">
        <v>41267</v>
      </c>
      <c r="N909" t="s">
        <v>5127</v>
      </c>
      <c r="O909" t="s">
        <v>2458</v>
      </c>
      <c r="P909" t="s">
        <v>7756</v>
      </c>
      <c r="Q909" t="s">
        <v>39</v>
      </c>
      <c r="R909" t="s">
        <v>40</v>
      </c>
      <c r="S909">
        <v>0</v>
      </c>
      <c r="U909" t="s">
        <v>5550</v>
      </c>
      <c r="V909" t="s">
        <v>1797</v>
      </c>
      <c r="X909" t="s">
        <v>74</v>
      </c>
      <c r="Y909" t="b">
        <v>0</v>
      </c>
      <c r="Z909" t="b">
        <v>0</v>
      </c>
      <c r="AC909" s="1"/>
      <c r="AF909">
        <v>0</v>
      </c>
      <c r="AG909">
        <v>45</v>
      </c>
      <c r="AH909">
        <v>46</v>
      </c>
      <c r="AI909" s="2">
        <f>Table__192.168.3.138AgingReportBEWLGS[[#This Row],[NetAmount]]-Table__192.168.3.138AgingReportBEWLGS[[#This Row],[Paid]]</f>
        <v>3900</v>
      </c>
    </row>
    <row r="910" spans="1:35">
      <c r="A910" t="s">
        <v>8099</v>
      </c>
      <c r="B910" s="1">
        <v>41272</v>
      </c>
      <c r="C910" s="1">
        <v>41317</v>
      </c>
      <c r="D910" t="s">
        <v>8100</v>
      </c>
      <c r="E910">
        <v>7265</v>
      </c>
      <c r="F910">
        <v>0</v>
      </c>
      <c r="G910">
        <v>0</v>
      </c>
      <c r="H910">
        <v>0</v>
      </c>
      <c r="I910">
        <v>-3</v>
      </c>
      <c r="J910">
        <v>7265</v>
      </c>
      <c r="K910" t="s">
        <v>8101</v>
      </c>
      <c r="L910" s="1">
        <v>41271</v>
      </c>
      <c r="N910" t="s">
        <v>5127</v>
      </c>
      <c r="O910" t="s">
        <v>2458</v>
      </c>
      <c r="P910" t="s">
        <v>8102</v>
      </c>
      <c r="Q910" t="s">
        <v>39</v>
      </c>
      <c r="R910" t="s">
        <v>40</v>
      </c>
      <c r="S910">
        <v>0</v>
      </c>
      <c r="U910" t="s">
        <v>5550</v>
      </c>
      <c r="V910" t="s">
        <v>1797</v>
      </c>
      <c r="X910" t="s">
        <v>74</v>
      </c>
      <c r="Y910" t="b">
        <v>0</v>
      </c>
      <c r="Z910" t="b">
        <v>0</v>
      </c>
      <c r="AC910" s="1"/>
      <c r="AF910">
        <v>0</v>
      </c>
      <c r="AG910">
        <v>45</v>
      </c>
      <c r="AH910">
        <v>42</v>
      </c>
      <c r="AI910" s="2">
        <f>Table__192.168.3.138AgingReportBEWLGS[[#This Row],[NetAmount]]-Table__192.168.3.138AgingReportBEWLGS[[#This Row],[Paid]]</f>
        <v>7265</v>
      </c>
    </row>
    <row r="911" spans="1:35">
      <c r="A911" t="s">
        <v>8103</v>
      </c>
      <c r="B911" s="1">
        <v>41272</v>
      </c>
      <c r="C911" s="1">
        <v>41317</v>
      </c>
      <c r="D911" t="s">
        <v>8100</v>
      </c>
      <c r="E911">
        <v>1900</v>
      </c>
      <c r="F911">
        <v>0</v>
      </c>
      <c r="G911">
        <v>0</v>
      </c>
      <c r="H911">
        <v>0</v>
      </c>
      <c r="I911">
        <v>-3</v>
      </c>
      <c r="J911">
        <v>1900</v>
      </c>
      <c r="K911" t="s">
        <v>8104</v>
      </c>
      <c r="L911" s="1">
        <v>41271</v>
      </c>
      <c r="N911" t="s">
        <v>5127</v>
      </c>
      <c r="O911" t="s">
        <v>2458</v>
      </c>
      <c r="P911" t="s">
        <v>8102</v>
      </c>
      <c r="Q911" t="s">
        <v>39</v>
      </c>
      <c r="R911" t="s">
        <v>40</v>
      </c>
      <c r="S911">
        <v>0</v>
      </c>
      <c r="U911" t="s">
        <v>5550</v>
      </c>
      <c r="V911" t="s">
        <v>1797</v>
      </c>
      <c r="X911" t="s">
        <v>74</v>
      </c>
      <c r="Y911" t="b">
        <v>0</v>
      </c>
      <c r="Z911" t="b">
        <v>0</v>
      </c>
      <c r="AC911" s="1"/>
      <c r="AF911">
        <v>0</v>
      </c>
      <c r="AG911">
        <v>45</v>
      </c>
      <c r="AH911">
        <v>42</v>
      </c>
      <c r="AI911" s="2">
        <f>Table__192.168.3.138AgingReportBEWLGS[[#This Row],[NetAmount]]-Table__192.168.3.138AgingReportBEWLGS[[#This Row],[Paid]]</f>
        <v>1900</v>
      </c>
    </row>
    <row r="912" spans="1:35">
      <c r="A912" t="s">
        <v>8105</v>
      </c>
      <c r="B912" s="1">
        <v>41271</v>
      </c>
      <c r="C912" s="1">
        <v>41316</v>
      </c>
      <c r="D912" t="s">
        <v>6400</v>
      </c>
      <c r="E912">
        <v>32000</v>
      </c>
      <c r="F912">
        <v>5120</v>
      </c>
      <c r="G912">
        <v>0</v>
      </c>
      <c r="H912">
        <v>0</v>
      </c>
      <c r="I912">
        <v>1</v>
      </c>
      <c r="J912">
        <v>37120</v>
      </c>
      <c r="K912" t="s">
        <v>8106</v>
      </c>
      <c r="L912" s="1">
        <v>41267</v>
      </c>
      <c r="N912" t="s">
        <v>5127</v>
      </c>
      <c r="O912" t="s">
        <v>2458</v>
      </c>
      <c r="P912" t="s">
        <v>6403</v>
      </c>
      <c r="Q912" t="s">
        <v>39</v>
      </c>
      <c r="R912" t="s">
        <v>40</v>
      </c>
      <c r="S912">
        <v>0</v>
      </c>
      <c r="U912" t="s">
        <v>5550</v>
      </c>
      <c r="V912" t="s">
        <v>1797</v>
      </c>
      <c r="X912" t="s">
        <v>74</v>
      </c>
      <c r="Y912" t="b">
        <v>0</v>
      </c>
      <c r="Z912" t="b">
        <v>0</v>
      </c>
      <c r="AC912" s="1"/>
      <c r="AF912">
        <v>0</v>
      </c>
      <c r="AG912">
        <v>45</v>
      </c>
      <c r="AH912">
        <v>46</v>
      </c>
      <c r="AI912" s="2">
        <f>Table__192.168.3.138AgingReportBEWLGS[[#This Row],[NetAmount]]-Table__192.168.3.138AgingReportBEWLGS[[#This Row],[Paid]]</f>
        <v>37120</v>
      </c>
    </row>
    <row r="913" spans="1:35">
      <c r="A913" t="s">
        <v>8107</v>
      </c>
      <c r="B913" s="1">
        <v>41264</v>
      </c>
      <c r="C913" s="1">
        <v>41309</v>
      </c>
      <c r="D913" t="s">
        <v>7722</v>
      </c>
      <c r="E913">
        <v>36519</v>
      </c>
      <c r="F913">
        <v>5843</v>
      </c>
      <c r="G913">
        <v>0</v>
      </c>
      <c r="H913">
        <v>0</v>
      </c>
      <c r="I913">
        <v>4</v>
      </c>
      <c r="J913">
        <v>42362</v>
      </c>
      <c r="K913" t="s">
        <v>8108</v>
      </c>
      <c r="L913" s="1">
        <v>41264</v>
      </c>
      <c r="N913" t="s">
        <v>5127</v>
      </c>
      <c r="O913" t="s">
        <v>2458</v>
      </c>
      <c r="P913" t="s">
        <v>7724</v>
      </c>
      <c r="Q913" t="s">
        <v>39</v>
      </c>
      <c r="R913" t="s">
        <v>40</v>
      </c>
      <c r="S913">
        <v>0</v>
      </c>
      <c r="U913" t="s">
        <v>5550</v>
      </c>
      <c r="V913" t="s">
        <v>1797</v>
      </c>
      <c r="X913" t="s">
        <v>74</v>
      </c>
      <c r="Y913" t="b">
        <v>0</v>
      </c>
      <c r="Z913" t="b">
        <v>0</v>
      </c>
      <c r="AC913" s="1"/>
      <c r="AF913">
        <v>0</v>
      </c>
      <c r="AG913">
        <v>45</v>
      </c>
      <c r="AH913">
        <v>49</v>
      </c>
      <c r="AI913" s="2">
        <f>Table__192.168.3.138AgingReportBEWLGS[[#This Row],[NetAmount]]-Table__192.168.3.138AgingReportBEWLGS[[#This Row],[Paid]]</f>
        <v>42362</v>
      </c>
    </row>
    <row r="914" spans="1:35">
      <c r="A914" t="s">
        <v>8109</v>
      </c>
      <c r="B914" s="1">
        <v>41263</v>
      </c>
      <c r="C914" s="1">
        <v>41308</v>
      </c>
      <c r="D914" t="s">
        <v>7722</v>
      </c>
      <c r="E914">
        <v>19448</v>
      </c>
      <c r="F914">
        <v>3112</v>
      </c>
      <c r="G914">
        <v>0</v>
      </c>
      <c r="H914">
        <v>0</v>
      </c>
      <c r="I914">
        <v>6</v>
      </c>
      <c r="J914">
        <v>22560</v>
      </c>
      <c r="K914" t="s">
        <v>8110</v>
      </c>
      <c r="L914" s="1">
        <v>41262</v>
      </c>
      <c r="N914" t="s">
        <v>5127</v>
      </c>
      <c r="O914" t="s">
        <v>2458</v>
      </c>
      <c r="P914" t="s">
        <v>7724</v>
      </c>
      <c r="Q914" t="s">
        <v>39</v>
      </c>
      <c r="R914" t="s">
        <v>40</v>
      </c>
      <c r="S914">
        <v>0</v>
      </c>
      <c r="U914" t="s">
        <v>5550</v>
      </c>
      <c r="V914" t="s">
        <v>1797</v>
      </c>
      <c r="X914" t="s">
        <v>74</v>
      </c>
      <c r="Y914" t="b">
        <v>0</v>
      </c>
      <c r="Z914" t="b">
        <v>0</v>
      </c>
      <c r="AC914" s="1"/>
      <c r="AF914">
        <v>0</v>
      </c>
      <c r="AG914">
        <v>45</v>
      </c>
      <c r="AH914">
        <v>51</v>
      </c>
      <c r="AI914" s="2">
        <f>Table__192.168.3.138AgingReportBEWLGS[[#This Row],[NetAmount]]-Table__192.168.3.138AgingReportBEWLGS[[#This Row],[Paid]]</f>
        <v>22560</v>
      </c>
    </row>
    <row r="915" spans="1:35">
      <c r="A915" t="s">
        <v>8111</v>
      </c>
      <c r="B915" s="1">
        <v>41271</v>
      </c>
      <c r="C915" s="1">
        <v>41316</v>
      </c>
      <c r="D915" t="s">
        <v>7633</v>
      </c>
      <c r="E915">
        <v>2800</v>
      </c>
      <c r="F915">
        <v>448</v>
      </c>
      <c r="G915">
        <v>0</v>
      </c>
      <c r="H915">
        <v>0</v>
      </c>
      <c r="I915">
        <v>-2</v>
      </c>
      <c r="J915">
        <v>3248</v>
      </c>
      <c r="K915" t="s">
        <v>8112</v>
      </c>
      <c r="L915" s="1">
        <v>41270</v>
      </c>
      <c r="N915" t="s">
        <v>5127</v>
      </c>
      <c r="O915" t="s">
        <v>2458</v>
      </c>
      <c r="P915" t="s">
        <v>5544</v>
      </c>
      <c r="Q915" t="s">
        <v>39</v>
      </c>
      <c r="R915" t="s">
        <v>40</v>
      </c>
      <c r="S915">
        <v>0</v>
      </c>
      <c r="U915" t="s">
        <v>5550</v>
      </c>
      <c r="V915" t="s">
        <v>1797</v>
      </c>
      <c r="X915" t="s">
        <v>74</v>
      </c>
      <c r="Y915" t="b">
        <v>0</v>
      </c>
      <c r="Z915" t="b">
        <v>0</v>
      </c>
      <c r="AC915" s="1"/>
      <c r="AF915">
        <v>0</v>
      </c>
      <c r="AG915">
        <v>45</v>
      </c>
      <c r="AH915">
        <v>43</v>
      </c>
      <c r="AI915" s="2">
        <f>Table__192.168.3.138AgingReportBEWLGS[[#This Row],[NetAmount]]-Table__192.168.3.138AgingReportBEWLGS[[#This Row],[Paid]]</f>
        <v>3248</v>
      </c>
    </row>
    <row r="916" spans="1:35">
      <c r="A916" t="s">
        <v>8113</v>
      </c>
      <c r="B916" s="1">
        <v>41250</v>
      </c>
      <c r="C916" s="1">
        <v>41295</v>
      </c>
      <c r="D916" t="s">
        <v>7633</v>
      </c>
      <c r="E916">
        <v>9000</v>
      </c>
      <c r="F916">
        <v>1440</v>
      </c>
      <c r="G916">
        <v>0</v>
      </c>
      <c r="H916">
        <v>0</v>
      </c>
      <c r="I916">
        <v>18</v>
      </c>
      <c r="J916">
        <v>10440</v>
      </c>
      <c r="K916" t="s">
        <v>1815</v>
      </c>
      <c r="L916" s="1">
        <v>41250</v>
      </c>
      <c r="N916" t="s">
        <v>5127</v>
      </c>
      <c r="O916" t="s">
        <v>2458</v>
      </c>
      <c r="P916" t="s">
        <v>5544</v>
      </c>
      <c r="Q916" t="s">
        <v>39</v>
      </c>
      <c r="R916" t="s">
        <v>40</v>
      </c>
      <c r="S916">
        <v>0</v>
      </c>
      <c r="U916" t="s">
        <v>5550</v>
      </c>
      <c r="V916" t="s">
        <v>1797</v>
      </c>
      <c r="X916" t="s">
        <v>74</v>
      </c>
      <c r="Y916" t="b">
        <v>0</v>
      </c>
      <c r="Z916" t="b">
        <v>0</v>
      </c>
      <c r="AC916" s="1"/>
      <c r="AF916">
        <v>0</v>
      </c>
      <c r="AG916">
        <v>45</v>
      </c>
      <c r="AH916">
        <v>63</v>
      </c>
      <c r="AI916" s="2">
        <f>Table__192.168.3.138AgingReportBEWLGS[[#This Row],[NetAmount]]-Table__192.168.3.138AgingReportBEWLGS[[#This Row],[Paid]]</f>
        <v>10440</v>
      </c>
    </row>
    <row r="917" spans="1:35">
      <c r="A917" t="s">
        <v>8114</v>
      </c>
      <c r="B917" s="1">
        <v>41263</v>
      </c>
      <c r="C917" s="1">
        <v>41308</v>
      </c>
      <c r="D917" t="s">
        <v>8115</v>
      </c>
      <c r="E917">
        <v>2581</v>
      </c>
      <c r="F917">
        <v>413</v>
      </c>
      <c r="G917">
        <v>0</v>
      </c>
      <c r="H917">
        <v>0</v>
      </c>
      <c r="I917">
        <v>6</v>
      </c>
      <c r="J917">
        <v>2994</v>
      </c>
      <c r="K917" t="s">
        <v>8116</v>
      </c>
      <c r="L917" s="1">
        <v>41262</v>
      </c>
      <c r="N917" t="s">
        <v>5127</v>
      </c>
      <c r="O917" t="s">
        <v>2458</v>
      </c>
      <c r="P917" t="s">
        <v>8117</v>
      </c>
      <c r="Q917" t="s">
        <v>39</v>
      </c>
      <c r="R917" t="s">
        <v>40</v>
      </c>
      <c r="S917">
        <v>0</v>
      </c>
      <c r="U917" t="s">
        <v>5550</v>
      </c>
      <c r="V917" t="s">
        <v>1797</v>
      </c>
      <c r="X917" t="s">
        <v>74</v>
      </c>
      <c r="Y917" t="b">
        <v>0</v>
      </c>
      <c r="Z917" t="b">
        <v>0</v>
      </c>
      <c r="AC917" s="1"/>
      <c r="AF917">
        <v>0</v>
      </c>
      <c r="AG917">
        <v>45</v>
      </c>
      <c r="AH917">
        <v>51</v>
      </c>
      <c r="AI917" s="2">
        <f>Table__192.168.3.138AgingReportBEWLGS[[#This Row],[NetAmount]]-Table__192.168.3.138AgingReportBEWLGS[[#This Row],[Paid]]</f>
        <v>2994</v>
      </c>
    </row>
    <row r="918" spans="1:35">
      <c r="A918" t="s">
        <v>8118</v>
      </c>
      <c r="B918" s="1">
        <v>41272</v>
      </c>
      <c r="C918" s="1">
        <v>41317</v>
      </c>
      <c r="D918" t="s">
        <v>7412</v>
      </c>
      <c r="E918">
        <v>23000</v>
      </c>
      <c r="F918">
        <v>0</v>
      </c>
      <c r="G918">
        <v>0</v>
      </c>
      <c r="H918">
        <v>0</v>
      </c>
      <c r="I918">
        <v>6</v>
      </c>
      <c r="J918">
        <v>23000</v>
      </c>
      <c r="K918" t="s">
        <v>8119</v>
      </c>
      <c r="L918" s="1">
        <v>41262</v>
      </c>
      <c r="N918" t="s">
        <v>5127</v>
      </c>
      <c r="O918" t="s">
        <v>2458</v>
      </c>
      <c r="P918" t="s">
        <v>5540</v>
      </c>
      <c r="Q918" t="s">
        <v>39</v>
      </c>
      <c r="R918" t="s">
        <v>40</v>
      </c>
      <c r="S918">
        <v>0</v>
      </c>
      <c r="U918" t="s">
        <v>5550</v>
      </c>
      <c r="V918" t="s">
        <v>1797</v>
      </c>
      <c r="X918" t="s">
        <v>74</v>
      </c>
      <c r="Y918" t="b">
        <v>0</v>
      </c>
      <c r="Z918" t="b">
        <v>0</v>
      </c>
      <c r="AC918" s="1"/>
      <c r="AF918">
        <v>0</v>
      </c>
      <c r="AG918">
        <v>45</v>
      </c>
      <c r="AH918">
        <v>51</v>
      </c>
      <c r="AI918" s="2">
        <f>Table__192.168.3.138AgingReportBEWLGS[[#This Row],[NetAmount]]-Table__192.168.3.138AgingReportBEWLGS[[#This Row],[Paid]]</f>
        <v>23000</v>
      </c>
    </row>
    <row r="919" spans="1:35">
      <c r="A919" t="s">
        <v>8120</v>
      </c>
      <c r="B919" s="1">
        <v>41258</v>
      </c>
      <c r="C919" s="1">
        <v>41303</v>
      </c>
      <c r="D919" t="s">
        <v>6542</v>
      </c>
      <c r="E919">
        <v>22500</v>
      </c>
      <c r="F919">
        <v>0</v>
      </c>
      <c r="G919">
        <v>0</v>
      </c>
      <c r="H919">
        <v>0</v>
      </c>
      <c r="I919">
        <v>10</v>
      </c>
      <c r="J919">
        <v>22500</v>
      </c>
      <c r="K919" t="s">
        <v>8121</v>
      </c>
      <c r="L919" s="1">
        <v>41258</v>
      </c>
      <c r="N919" t="s">
        <v>5127</v>
      </c>
      <c r="O919" t="s">
        <v>2458</v>
      </c>
      <c r="P919" t="s">
        <v>6544</v>
      </c>
      <c r="Q919" t="s">
        <v>39</v>
      </c>
      <c r="R919" t="s">
        <v>40</v>
      </c>
      <c r="S919">
        <v>0</v>
      </c>
      <c r="U919" t="s">
        <v>5550</v>
      </c>
      <c r="V919" t="s">
        <v>1797</v>
      </c>
      <c r="X919" t="s">
        <v>74</v>
      </c>
      <c r="Y919" t="b">
        <v>0</v>
      </c>
      <c r="Z919" t="b">
        <v>0</v>
      </c>
      <c r="AC919" s="1"/>
      <c r="AF919">
        <v>0</v>
      </c>
      <c r="AG919">
        <v>45</v>
      </c>
      <c r="AH919">
        <v>55</v>
      </c>
      <c r="AI919" s="2">
        <f>Table__192.168.3.138AgingReportBEWLGS[[#This Row],[NetAmount]]-Table__192.168.3.138AgingReportBEWLGS[[#This Row],[Paid]]</f>
        <v>22500</v>
      </c>
    </row>
    <row r="920" spans="1:35">
      <c r="A920" t="s">
        <v>8122</v>
      </c>
      <c r="B920" s="1">
        <v>41261</v>
      </c>
      <c r="C920" s="1">
        <v>41306</v>
      </c>
      <c r="D920" t="s">
        <v>6542</v>
      </c>
      <c r="E920">
        <v>24000</v>
      </c>
      <c r="F920">
        <v>0</v>
      </c>
      <c r="G920">
        <v>0</v>
      </c>
      <c r="H920">
        <v>0</v>
      </c>
      <c r="I920">
        <v>7</v>
      </c>
      <c r="J920">
        <v>24000</v>
      </c>
      <c r="K920" t="s">
        <v>8123</v>
      </c>
      <c r="L920" s="1">
        <v>41261</v>
      </c>
      <c r="N920" t="s">
        <v>5127</v>
      </c>
      <c r="O920" t="s">
        <v>2458</v>
      </c>
      <c r="P920" t="s">
        <v>6544</v>
      </c>
      <c r="Q920" t="s">
        <v>39</v>
      </c>
      <c r="R920" t="s">
        <v>40</v>
      </c>
      <c r="S920">
        <v>0</v>
      </c>
      <c r="U920" t="s">
        <v>5550</v>
      </c>
      <c r="V920" t="s">
        <v>1797</v>
      </c>
      <c r="X920" t="s">
        <v>74</v>
      </c>
      <c r="Y920" t="b">
        <v>0</v>
      </c>
      <c r="Z920" t="b">
        <v>0</v>
      </c>
      <c r="AC920" s="1"/>
      <c r="AF920">
        <v>0</v>
      </c>
      <c r="AG920">
        <v>45</v>
      </c>
      <c r="AH920">
        <v>52</v>
      </c>
      <c r="AI920" s="2">
        <f>Table__192.168.3.138AgingReportBEWLGS[[#This Row],[NetAmount]]-Table__192.168.3.138AgingReportBEWLGS[[#This Row],[Paid]]</f>
        <v>24000</v>
      </c>
    </row>
    <row r="921" spans="1:35">
      <c r="A921" t="s">
        <v>8124</v>
      </c>
      <c r="B921" s="1">
        <v>41262</v>
      </c>
      <c r="C921" s="1">
        <v>41307</v>
      </c>
      <c r="D921" t="s">
        <v>6542</v>
      </c>
      <c r="E921">
        <v>24000</v>
      </c>
      <c r="F921">
        <v>0</v>
      </c>
      <c r="G921">
        <v>0</v>
      </c>
      <c r="H921">
        <v>0</v>
      </c>
      <c r="I921">
        <v>6</v>
      </c>
      <c r="J921">
        <v>24000</v>
      </c>
      <c r="K921" t="s">
        <v>8125</v>
      </c>
      <c r="L921" s="1">
        <v>41262</v>
      </c>
      <c r="N921" t="s">
        <v>5127</v>
      </c>
      <c r="O921" t="s">
        <v>2458</v>
      </c>
      <c r="P921" t="s">
        <v>6544</v>
      </c>
      <c r="Q921" t="s">
        <v>39</v>
      </c>
      <c r="R921" t="s">
        <v>40</v>
      </c>
      <c r="S921">
        <v>0</v>
      </c>
      <c r="U921" t="s">
        <v>5550</v>
      </c>
      <c r="V921" t="s">
        <v>1797</v>
      </c>
      <c r="X921" t="s">
        <v>74</v>
      </c>
      <c r="Y921" t="b">
        <v>0</v>
      </c>
      <c r="Z921" t="b">
        <v>0</v>
      </c>
      <c r="AC921" s="1"/>
      <c r="AF921">
        <v>0</v>
      </c>
      <c r="AG921">
        <v>45</v>
      </c>
      <c r="AH921">
        <v>51</v>
      </c>
      <c r="AI921" s="2">
        <f>Table__192.168.3.138AgingReportBEWLGS[[#This Row],[NetAmount]]-Table__192.168.3.138AgingReportBEWLGS[[#This Row],[Paid]]</f>
        <v>24000</v>
      </c>
    </row>
    <row r="922" spans="1:35">
      <c r="A922" t="s">
        <v>8126</v>
      </c>
      <c r="B922" s="1">
        <v>41260</v>
      </c>
      <c r="C922" s="1">
        <v>41305</v>
      </c>
      <c r="D922" t="s">
        <v>6448</v>
      </c>
      <c r="E922">
        <v>28560</v>
      </c>
      <c r="F922">
        <v>4570</v>
      </c>
      <c r="G922">
        <v>0</v>
      </c>
      <c r="H922">
        <v>0</v>
      </c>
      <c r="I922">
        <v>8</v>
      </c>
      <c r="J922">
        <v>33130</v>
      </c>
      <c r="K922" t="s">
        <v>7179</v>
      </c>
      <c r="L922" s="1">
        <v>41260</v>
      </c>
      <c r="N922" t="s">
        <v>5127</v>
      </c>
      <c r="O922" t="s">
        <v>2458</v>
      </c>
      <c r="P922" t="s">
        <v>6451</v>
      </c>
      <c r="Q922" t="s">
        <v>39</v>
      </c>
      <c r="R922" t="s">
        <v>40</v>
      </c>
      <c r="S922">
        <v>0</v>
      </c>
      <c r="U922" t="s">
        <v>5550</v>
      </c>
      <c r="V922" t="s">
        <v>1797</v>
      </c>
      <c r="X922" t="s">
        <v>74</v>
      </c>
      <c r="Y922" t="b">
        <v>0</v>
      </c>
      <c r="Z922" t="b">
        <v>0</v>
      </c>
      <c r="AC922" s="1"/>
      <c r="AF922">
        <v>0</v>
      </c>
      <c r="AG922">
        <v>45</v>
      </c>
      <c r="AH922">
        <v>53</v>
      </c>
      <c r="AI922" s="2">
        <f>Table__192.168.3.138AgingReportBEWLGS[[#This Row],[NetAmount]]-Table__192.168.3.138AgingReportBEWLGS[[#This Row],[Paid]]</f>
        <v>33130</v>
      </c>
    </row>
    <row r="923" spans="1:35">
      <c r="A923" t="s">
        <v>8127</v>
      </c>
      <c r="B923" s="1">
        <v>41267</v>
      </c>
      <c r="C923" s="1">
        <v>41312</v>
      </c>
      <c r="D923" t="s">
        <v>6448</v>
      </c>
      <c r="E923">
        <v>23800</v>
      </c>
      <c r="F923">
        <v>3808</v>
      </c>
      <c r="G923">
        <v>0</v>
      </c>
      <c r="H923">
        <v>0</v>
      </c>
      <c r="I923">
        <v>1</v>
      </c>
      <c r="J923">
        <v>27608</v>
      </c>
      <c r="K923" t="s">
        <v>8128</v>
      </c>
      <c r="L923" s="1">
        <v>41267</v>
      </c>
      <c r="N923" t="s">
        <v>5127</v>
      </c>
      <c r="O923" t="s">
        <v>2458</v>
      </c>
      <c r="P923" t="s">
        <v>6451</v>
      </c>
      <c r="Q923" t="s">
        <v>39</v>
      </c>
      <c r="R923" t="s">
        <v>40</v>
      </c>
      <c r="S923">
        <v>0</v>
      </c>
      <c r="U923" t="s">
        <v>5550</v>
      </c>
      <c r="V923" t="s">
        <v>1797</v>
      </c>
      <c r="X923" t="s">
        <v>74</v>
      </c>
      <c r="Y923" t="b">
        <v>0</v>
      </c>
      <c r="Z923" t="b">
        <v>0</v>
      </c>
      <c r="AC923" s="1"/>
      <c r="AF923">
        <v>0</v>
      </c>
      <c r="AG923">
        <v>45</v>
      </c>
      <c r="AH923">
        <v>46</v>
      </c>
      <c r="AI923" s="2">
        <f>Table__192.168.3.138AgingReportBEWLGS[[#This Row],[NetAmount]]-Table__192.168.3.138AgingReportBEWLGS[[#This Row],[Paid]]</f>
        <v>27608</v>
      </c>
    </row>
    <row r="924" spans="1:35">
      <c r="A924" t="s">
        <v>8129</v>
      </c>
      <c r="B924" s="1">
        <v>41271</v>
      </c>
      <c r="C924" s="1">
        <v>41316</v>
      </c>
      <c r="D924" t="s">
        <v>6448</v>
      </c>
      <c r="E924">
        <v>23800</v>
      </c>
      <c r="F924">
        <v>3808</v>
      </c>
      <c r="G924">
        <v>0</v>
      </c>
      <c r="H924">
        <v>0</v>
      </c>
      <c r="I924">
        <v>-3</v>
      </c>
      <c r="J924">
        <v>27608</v>
      </c>
      <c r="K924" t="s">
        <v>1088</v>
      </c>
      <c r="L924" s="1">
        <v>41271</v>
      </c>
      <c r="N924" t="s">
        <v>5127</v>
      </c>
      <c r="O924" t="s">
        <v>2458</v>
      </c>
      <c r="P924" t="s">
        <v>6451</v>
      </c>
      <c r="Q924" t="s">
        <v>39</v>
      </c>
      <c r="R924" t="s">
        <v>40</v>
      </c>
      <c r="S924">
        <v>0</v>
      </c>
      <c r="U924" t="s">
        <v>5550</v>
      </c>
      <c r="V924" t="s">
        <v>1797</v>
      </c>
      <c r="X924" t="s">
        <v>74</v>
      </c>
      <c r="Y924" t="b">
        <v>0</v>
      </c>
      <c r="Z924" t="b">
        <v>0</v>
      </c>
      <c r="AC924" s="1"/>
      <c r="AF924">
        <v>0</v>
      </c>
      <c r="AG924">
        <v>45</v>
      </c>
      <c r="AH924">
        <v>42</v>
      </c>
      <c r="AI924" s="2">
        <f>Table__192.168.3.138AgingReportBEWLGS[[#This Row],[NetAmount]]-Table__192.168.3.138AgingReportBEWLGS[[#This Row],[Paid]]</f>
        <v>27608</v>
      </c>
    </row>
    <row r="925" spans="1:35">
      <c r="A925" t="s">
        <v>8130</v>
      </c>
      <c r="B925" s="1">
        <v>41272</v>
      </c>
      <c r="C925" s="1">
        <v>41272</v>
      </c>
      <c r="D925" t="s">
        <v>7829</v>
      </c>
      <c r="E925">
        <v>35000</v>
      </c>
      <c r="F925">
        <v>5600</v>
      </c>
      <c r="G925">
        <v>0</v>
      </c>
      <c r="H925">
        <v>0</v>
      </c>
      <c r="I925">
        <v>0</v>
      </c>
      <c r="J925">
        <v>40600</v>
      </c>
      <c r="K925" t="s">
        <v>2589</v>
      </c>
      <c r="L925" s="1">
        <v>41272</v>
      </c>
      <c r="N925" t="s">
        <v>5127</v>
      </c>
      <c r="O925" t="s">
        <v>2458</v>
      </c>
      <c r="P925" t="s">
        <v>5546</v>
      </c>
      <c r="Q925" t="s">
        <v>39</v>
      </c>
      <c r="R925" t="s">
        <v>40</v>
      </c>
      <c r="S925">
        <v>0</v>
      </c>
      <c r="U925" t="s">
        <v>5550</v>
      </c>
      <c r="V925" t="s">
        <v>1797</v>
      </c>
      <c r="X925" t="s">
        <v>74</v>
      </c>
      <c r="Y925" t="b">
        <v>0</v>
      </c>
      <c r="Z925" t="b">
        <v>0</v>
      </c>
      <c r="AC925" s="1"/>
      <c r="AF925">
        <v>0</v>
      </c>
      <c r="AH925">
        <v>41</v>
      </c>
      <c r="AI925" s="2">
        <f>Table__192.168.3.138AgingReportBEWLGS[[#This Row],[NetAmount]]-Table__192.168.3.138AgingReportBEWLGS[[#This Row],[Paid]]</f>
        <v>40600</v>
      </c>
    </row>
    <row r="926" spans="1:35">
      <c r="A926" t="s">
        <v>8131</v>
      </c>
      <c r="B926" s="1">
        <v>41267</v>
      </c>
      <c r="C926" s="1">
        <v>41312</v>
      </c>
      <c r="D926" t="s">
        <v>7709</v>
      </c>
      <c r="E926">
        <v>33000</v>
      </c>
      <c r="F926">
        <v>5280</v>
      </c>
      <c r="G926">
        <v>0</v>
      </c>
      <c r="H926">
        <v>0</v>
      </c>
      <c r="I926">
        <v>19</v>
      </c>
      <c r="J926">
        <v>38280</v>
      </c>
      <c r="K926" t="s">
        <v>8132</v>
      </c>
      <c r="L926" s="1">
        <v>41249</v>
      </c>
      <c r="N926" t="s">
        <v>5127</v>
      </c>
      <c r="O926" t="s">
        <v>2458</v>
      </c>
      <c r="P926" t="s">
        <v>7712</v>
      </c>
      <c r="Q926" t="s">
        <v>39</v>
      </c>
      <c r="R926" t="s">
        <v>40</v>
      </c>
      <c r="S926">
        <v>0</v>
      </c>
      <c r="U926" t="s">
        <v>5550</v>
      </c>
      <c r="V926" t="s">
        <v>1797</v>
      </c>
      <c r="X926" t="s">
        <v>74</v>
      </c>
      <c r="Y926" t="b">
        <v>0</v>
      </c>
      <c r="Z926" t="b">
        <v>0</v>
      </c>
      <c r="AC926" s="1"/>
      <c r="AF926">
        <v>0</v>
      </c>
      <c r="AG926">
        <v>45</v>
      </c>
      <c r="AH926">
        <v>64</v>
      </c>
      <c r="AI926" s="2">
        <f>Table__192.168.3.138AgingReportBEWLGS[[#This Row],[NetAmount]]-Table__192.168.3.138AgingReportBEWLGS[[#This Row],[Paid]]</f>
        <v>38280</v>
      </c>
    </row>
    <row r="927" spans="1:35">
      <c r="A927" t="s">
        <v>8133</v>
      </c>
      <c r="B927" s="1">
        <v>41267</v>
      </c>
      <c r="C927" s="1">
        <v>41312</v>
      </c>
      <c r="D927" t="s">
        <v>7633</v>
      </c>
      <c r="E927">
        <v>6375</v>
      </c>
      <c r="F927">
        <v>1020</v>
      </c>
      <c r="G927">
        <v>0</v>
      </c>
      <c r="H927">
        <v>0</v>
      </c>
      <c r="I927">
        <v>-2</v>
      </c>
      <c r="J927">
        <v>7395</v>
      </c>
      <c r="K927" t="s">
        <v>3206</v>
      </c>
      <c r="L927" s="1">
        <v>41270</v>
      </c>
      <c r="N927" t="s">
        <v>5127</v>
      </c>
      <c r="O927" t="s">
        <v>2458</v>
      </c>
      <c r="P927" t="s">
        <v>5544</v>
      </c>
      <c r="Q927" t="s">
        <v>39</v>
      </c>
      <c r="R927" t="s">
        <v>40</v>
      </c>
      <c r="S927">
        <v>0</v>
      </c>
      <c r="U927" t="s">
        <v>5550</v>
      </c>
      <c r="V927" t="s">
        <v>1797</v>
      </c>
      <c r="X927" t="s">
        <v>74</v>
      </c>
      <c r="Y927" t="b">
        <v>0</v>
      </c>
      <c r="Z927" t="b">
        <v>0</v>
      </c>
      <c r="AC927" s="1"/>
      <c r="AF927">
        <v>0</v>
      </c>
      <c r="AG927">
        <v>45</v>
      </c>
      <c r="AH927">
        <v>43</v>
      </c>
      <c r="AI927" s="2">
        <f>Table__192.168.3.138AgingReportBEWLGS[[#This Row],[NetAmount]]-Table__192.168.3.138AgingReportBEWLGS[[#This Row],[Paid]]</f>
        <v>7395</v>
      </c>
    </row>
    <row r="928" spans="1:35">
      <c r="A928" t="s">
        <v>8134</v>
      </c>
      <c r="B928" s="1">
        <v>41272</v>
      </c>
      <c r="C928" s="1">
        <v>41272</v>
      </c>
      <c r="D928" t="s">
        <v>7829</v>
      </c>
      <c r="E928">
        <v>174660</v>
      </c>
      <c r="F928">
        <v>27946</v>
      </c>
      <c r="G928">
        <v>0</v>
      </c>
      <c r="H928">
        <v>0</v>
      </c>
      <c r="I928">
        <v>0</v>
      </c>
      <c r="J928">
        <v>202606</v>
      </c>
      <c r="K928" t="s">
        <v>8135</v>
      </c>
      <c r="L928" s="1">
        <v>41272</v>
      </c>
      <c r="N928" t="s">
        <v>5127</v>
      </c>
      <c r="O928" t="s">
        <v>2458</v>
      </c>
      <c r="P928" t="s">
        <v>5546</v>
      </c>
      <c r="Q928" t="s">
        <v>39</v>
      </c>
      <c r="R928" t="s">
        <v>40</v>
      </c>
      <c r="S928">
        <v>0</v>
      </c>
      <c r="U928" t="s">
        <v>5550</v>
      </c>
      <c r="V928" t="s">
        <v>1797</v>
      </c>
      <c r="X928" t="s">
        <v>74</v>
      </c>
      <c r="Y928" t="b">
        <v>0</v>
      </c>
      <c r="Z928" t="b">
        <v>0</v>
      </c>
      <c r="AC928" s="1"/>
      <c r="AF928">
        <v>0</v>
      </c>
      <c r="AH928">
        <v>41</v>
      </c>
      <c r="AI928" s="2">
        <f>Table__192.168.3.138AgingReportBEWLGS[[#This Row],[NetAmount]]-Table__192.168.3.138AgingReportBEWLGS[[#This Row],[Paid]]</f>
        <v>202606</v>
      </c>
    </row>
    <row r="929" spans="1:35">
      <c r="A929" t="s">
        <v>8136</v>
      </c>
      <c r="B929" s="1">
        <v>41262</v>
      </c>
      <c r="C929" s="1">
        <v>41307</v>
      </c>
      <c r="D929" t="s">
        <v>6318</v>
      </c>
      <c r="E929">
        <v>634095</v>
      </c>
      <c r="F929">
        <v>101455</v>
      </c>
      <c r="G929">
        <v>0</v>
      </c>
      <c r="H929">
        <v>0</v>
      </c>
      <c r="I929">
        <v>4</v>
      </c>
      <c r="J929">
        <v>735550</v>
      </c>
      <c r="K929" t="s">
        <v>8137</v>
      </c>
      <c r="L929" s="1">
        <v>41264</v>
      </c>
      <c r="N929" t="s">
        <v>5127</v>
      </c>
      <c r="O929" t="s">
        <v>2458</v>
      </c>
      <c r="P929" t="s">
        <v>6320</v>
      </c>
      <c r="Q929" t="s">
        <v>39</v>
      </c>
      <c r="R929" t="s">
        <v>40</v>
      </c>
      <c r="S929">
        <v>0</v>
      </c>
      <c r="U929" t="s">
        <v>5550</v>
      </c>
      <c r="V929" t="s">
        <v>1797</v>
      </c>
      <c r="X929" t="s">
        <v>74</v>
      </c>
      <c r="Y929" t="b">
        <v>0</v>
      </c>
      <c r="Z929" t="b">
        <v>0</v>
      </c>
      <c r="AC929" s="1"/>
      <c r="AF929">
        <v>0</v>
      </c>
      <c r="AG929">
        <v>45</v>
      </c>
      <c r="AH929">
        <v>49</v>
      </c>
      <c r="AI929" s="2">
        <f>Table__192.168.3.138AgingReportBEWLGS[[#This Row],[NetAmount]]-Table__192.168.3.138AgingReportBEWLGS[[#This Row],[Paid]]</f>
        <v>735550</v>
      </c>
    </row>
    <row r="930" spans="1:35">
      <c r="A930" t="s">
        <v>8138</v>
      </c>
      <c r="B930" s="1">
        <v>41264</v>
      </c>
      <c r="C930" s="1">
        <v>41309</v>
      </c>
      <c r="D930" t="s">
        <v>6542</v>
      </c>
      <c r="E930">
        <v>24000</v>
      </c>
      <c r="F930">
        <v>0</v>
      </c>
      <c r="G930">
        <v>0</v>
      </c>
      <c r="H930">
        <v>0</v>
      </c>
      <c r="I930">
        <v>4</v>
      </c>
      <c r="J930">
        <v>24000</v>
      </c>
      <c r="K930" t="s">
        <v>8139</v>
      </c>
      <c r="L930" s="1">
        <v>41264</v>
      </c>
      <c r="N930" t="s">
        <v>5127</v>
      </c>
      <c r="O930" t="s">
        <v>2458</v>
      </c>
      <c r="P930" t="s">
        <v>6544</v>
      </c>
      <c r="Q930" t="s">
        <v>39</v>
      </c>
      <c r="R930" t="s">
        <v>40</v>
      </c>
      <c r="S930">
        <v>0</v>
      </c>
      <c r="U930" t="s">
        <v>5550</v>
      </c>
      <c r="V930" t="s">
        <v>1797</v>
      </c>
      <c r="X930" t="s">
        <v>74</v>
      </c>
      <c r="Y930" t="b">
        <v>0</v>
      </c>
      <c r="Z930" t="b">
        <v>0</v>
      </c>
      <c r="AC930" s="1"/>
      <c r="AF930">
        <v>0</v>
      </c>
      <c r="AG930">
        <v>45</v>
      </c>
      <c r="AH930">
        <v>49</v>
      </c>
      <c r="AI930" s="2">
        <f>Table__192.168.3.138AgingReportBEWLGS[[#This Row],[NetAmount]]-Table__192.168.3.138AgingReportBEWLGS[[#This Row],[Paid]]</f>
        <v>24000</v>
      </c>
    </row>
    <row r="931" spans="1:35">
      <c r="A931" t="s">
        <v>8140</v>
      </c>
      <c r="B931" s="1">
        <v>41263</v>
      </c>
      <c r="C931" s="1">
        <v>41308</v>
      </c>
      <c r="D931" t="s">
        <v>6542</v>
      </c>
      <c r="E931">
        <v>24000</v>
      </c>
      <c r="F931">
        <v>0</v>
      </c>
      <c r="G931">
        <v>0</v>
      </c>
      <c r="H931">
        <v>0</v>
      </c>
      <c r="I931">
        <v>5</v>
      </c>
      <c r="J931">
        <v>24000</v>
      </c>
      <c r="K931" t="s">
        <v>8141</v>
      </c>
      <c r="L931" s="1">
        <v>41263</v>
      </c>
      <c r="N931" t="s">
        <v>5127</v>
      </c>
      <c r="O931" t="s">
        <v>2458</v>
      </c>
      <c r="P931" t="s">
        <v>6544</v>
      </c>
      <c r="Q931" t="s">
        <v>39</v>
      </c>
      <c r="R931" t="s">
        <v>40</v>
      </c>
      <c r="S931">
        <v>0</v>
      </c>
      <c r="U931" t="s">
        <v>5550</v>
      </c>
      <c r="V931" t="s">
        <v>1797</v>
      </c>
      <c r="X931" t="s">
        <v>74</v>
      </c>
      <c r="Y931" t="b">
        <v>0</v>
      </c>
      <c r="Z931" t="b">
        <v>0</v>
      </c>
      <c r="AC931" s="1"/>
      <c r="AF931">
        <v>0</v>
      </c>
      <c r="AG931">
        <v>45</v>
      </c>
      <c r="AH931">
        <v>50</v>
      </c>
      <c r="AI931" s="2">
        <f>Table__192.168.3.138AgingReportBEWLGS[[#This Row],[NetAmount]]-Table__192.168.3.138AgingReportBEWLGS[[#This Row],[Paid]]</f>
        <v>24000</v>
      </c>
    </row>
    <row r="932" spans="1:35">
      <c r="A932" t="s">
        <v>8142</v>
      </c>
      <c r="B932" s="1">
        <v>41274</v>
      </c>
      <c r="C932" s="1">
        <v>41274</v>
      </c>
      <c r="D932" t="s">
        <v>8048</v>
      </c>
      <c r="E932">
        <v>5820</v>
      </c>
      <c r="F932">
        <v>0</v>
      </c>
      <c r="G932">
        <v>0</v>
      </c>
      <c r="H932">
        <v>0</v>
      </c>
      <c r="I932">
        <v>0</v>
      </c>
      <c r="J932">
        <v>5820</v>
      </c>
      <c r="K932" t="s">
        <v>8143</v>
      </c>
      <c r="L932" s="1">
        <v>41270</v>
      </c>
      <c r="N932" t="s">
        <v>5127</v>
      </c>
      <c r="O932" t="s">
        <v>2458</v>
      </c>
      <c r="P932" t="s">
        <v>8050</v>
      </c>
      <c r="Q932" t="s">
        <v>39</v>
      </c>
      <c r="R932" t="s">
        <v>40</v>
      </c>
      <c r="S932">
        <v>0</v>
      </c>
      <c r="U932" t="s">
        <v>5550</v>
      </c>
      <c r="V932" t="s">
        <v>1797</v>
      </c>
      <c r="X932" t="s">
        <v>74</v>
      </c>
      <c r="Y932" t="b">
        <v>0</v>
      </c>
      <c r="Z932" t="b">
        <v>0</v>
      </c>
      <c r="AC932" s="1"/>
      <c r="AF932">
        <v>0</v>
      </c>
      <c r="AH932">
        <v>43</v>
      </c>
      <c r="AI932" s="2">
        <f>Table__192.168.3.138AgingReportBEWLGS[[#This Row],[NetAmount]]-Table__192.168.3.138AgingReportBEWLGS[[#This Row],[Paid]]</f>
        <v>5820</v>
      </c>
    </row>
    <row r="933" spans="1:35">
      <c r="A933" t="s">
        <v>8144</v>
      </c>
      <c r="B933" s="1">
        <v>41264</v>
      </c>
      <c r="C933" s="1">
        <v>41309</v>
      </c>
      <c r="D933" t="s">
        <v>6448</v>
      </c>
      <c r="E933">
        <v>23800</v>
      </c>
      <c r="F933">
        <v>3808</v>
      </c>
      <c r="G933">
        <v>0</v>
      </c>
      <c r="H933">
        <v>0</v>
      </c>
      <c r="I933">
        <v>4</v>
      </c>
      <c r="J933">
        <v>27608</v>
      </c>
      <c r="K933" t="s">
        <v>4389</v>
      </c>
      <c r="L933" s="1">
        <v>41264</v>
      </c>
      <c r="N933" t="s">
        <v>5127</v>
      </c>
      <c r="O933" t="s">
        <v>2458</v>
      </c>
      <c r="P933" t="s">
        <v>6451</v>
      </c>
      <c r="Q933" t="s">
        <v>39</v>
      </c>
      <c r="R933" t="s">
        <v>40</v>
      </c>
      <c r="S933">
        <v>0</v>
      </c>
      <c r="U933" t="s">
        <v>5550</v>
      </c>
      <c r="V933" t="s">
        <v>1797</v>
      </c>
      <c r="X933" t="s">
        <v>74</v>
      </c>
      <c r="Y933" t="b">
        <v>0</v>
      </c>
      <c r="Z933" t="b">
        <v>0</v>
      </c>
      <c r="AC933" s="1"/>
      <c r="AF933">
        <v>0</v>
      </c>
      <c r="AG933">
        <v>45</v>
      </c>
      <c r="AH933">
        <v>49</v>
      </c>
      <c r="AI933" s="2">
        <f>Table__192.168.3.138AgingReportBEWLGS[[#This Row],[NetAmount]]-Table__192.168.3.138AgingReportBEWLGS[[#This Row],[Paid]]</f>
        <v>27608</v>
      </c>
    </row>
    <row r="934" spans="1:35">
      <c r="A934" t="s">
        <v>8145</v>
      </c>
      <c r="B934" s="1">
        <v>41271</v>
      </c>
      <c r="C934" s="1">
        <v>41316</v>
      </c>
      <c r="D934" t="s">
        <v>249</v>
      </c>
      <c r="E934">
        <v>42201</v>
      </c>
      <c r="F934">
        <v>0</v>
      </c>
      <c r="G934">
        <v>0</v>
      </c>
      <c r="H934">
        <v>0</v>
      </c>
      <c r="I934">
        <v>-4</v>
      </c>
      <c r="J934">
        <v>42201</v>
      </c>
      <c r="K934" t="s">
        <v>7475</v>
      </c>
      <c r="L934" s="1">
        <v>41272</v>
      </c>
      <c r="N934" t="s">
        <v>5127</v>
      </c>
      <c r="O934" t="s">
        <v>2458</v>
      </c>
      <c r="P934" t="s">
        <v>6422</v>
      </c>
      <c r="Q934" t="s">
        <v>39</v>
      </c>
      <c r="R934" t="s">
        <v>40</v>
      </c>
      <c r="S934">
        <v>0</v>
      </c>
      <c r="U934" t="s">
        <v>5550</v>
      </c>
      <c r="V934" t="s">
        <v>1797</v>
      </c>
      <c r="X934" t="s">
        <v>74</v>
      </c>
      <c r="Y934" t="b">
        <v>0</v>
      </c>
      <c r="Z934" t="b">
        <v>0</v>
      </c>
      <c r="AC934" s="1"/>
      <c r="AF934">
        <v>0</v>
      </c>
      <c r="AG934">
        <v>45</v>
      </c>
      <c r="AH934">
        <v>41</v>
      </c>
      <c r="AI934" s="2">
        <f>Table__192.168.3.138AgingReportBEWLGS[[#This Row],[NetAmount]]-Table__192.168.3.138AgingReportBEWLGS[[#This Row],[Paid]]</f>
        <v>42201</v>
      </c>
    </row>
    <row r="935" spans="1:35">
      <c r="A935" t="s">
        <v>8146</v>
      </c>
      <c r="B935" s="1">
        <v>41213</v>
      </c>
      <c r="C935" s="1">
        <v>41258</v>
      </c>
      <c r="D935" t="s">
        <v>6703</v>
      </c>
      <c r="E935">
        <v>2378106</v>
      </c>
      <c r="F935">
        <v>380497</v>
      </c>
      <c r="G935">
        <v>0</v>
      </c>
      <c r="H935">
        <v>0</v>
      </c>
      <c r="I935">
        <v>5</v>
      </c>
      <c r="J935">
        <v>2758603</v>
      </c>
      <c r="K935" t="s">
        <v>8147</v>
      </c>
      <c r="L935" s="1">
        <v>41263</v>
      </c>
      <c r="N935" t="s">
        <v>5127</v>
      </c>
      <c r="O935" t="s">
        <v>2458</v>
      </c>
      <c r="P935" t="s">
        <v>6705</v>
      </c>
      <c r="Q935" t="s">
        <v>39</v>
      </c>
      <c r="R935" t="s">
        <v>40</v>
      </c>
      <c r="S935">
        <v>0</v>
      </c>
      <c r="U935" t="s">
        <v>5550</v>
      </c>
      <c r="V935" t="s">
        <v>1797</v>
      </c>
      <c r="X935" t="s">
        <v>74</v>
      </c>
      <c r="Y935" t="b">
        <v>0</v>
      </c>
      <c r="Z935" t="b">
        <v>0</v>
      </c>
      <c r="AC935" s="1"/>
      <c r="AF935">
        <v>0</v>
      </c>
      <c r="AG935">
        <v>45</v>
      </c>
      <c r="AH935">
        <v>50</v>
      </c>
      <c r="AI935" s="2">
        <f>Table__192.168.3.138AgingReportBEWLGS[[#This Row],[NetAmount]]-Table__192.168.3.138AgingReportBEWLGS[[#This Row],[Paid]]</f>
        <v>2758603</v>
      </c>
    </row>
    <row r="936" spans="1:35">
      <c r="A936" t="s">
        <v>8148</v>
      </c>
      <c r="B936" s="1">
        <v>41223</v>
      </c>
      <c r="C936" s="1">
        <v>41268</v>
      </c>
      <c r="D936" t="s">
        <v>6703</v>
      </c>
      <c r="E936">
        <v>1269000</v>
      </c>
      <c r="F936">
        <v>203040</v>
      </c>
      <c r="G936">
        <v>0</v>
      </c>
      <c r="H936">
        <v>0</v>
      </c>
      <c r="I936">
        <v>5</v>
      </c>
      <c r="J936">
        <v>1472040</v>
      </c>
      <c r="K936" t="s">
        <v>8149</v>
      </c>
      <c r="L936" s="1">
        <v>41263</v>
      </c>
      <c r="N936" t="s">
        <v>5127</v>
      </c>
      <c r="O936" t="s">
        <v>2458</v>
      </c>
      <c r="P936" t="s">
        <v>6705</v>
      </c>
      <c r="Q936" t="s">
        <v>39</v>
      </c>
      <c r="R936" t="s">
        <v>40</v>
      </c>
      <c r="S936">
        <v>0</v>
      </c>
      <c r="U936" t="s">
        <v>5550</v>
      </c>
      <c r="V936" t="s">
        <v>1797</v>
      </c>
      <c r="X936" t="s">
        <v>74</v>
      </c>
      <c r="Y936" t="b">
        <v>0</v>
      </c>
      <c r="Z936" t="b">
        <v>0</v>
      </c>
      <c r="AC936" s="1"/>
      <c r="AF936">
        <v>0</v>
      </c>
      <c r="AG936">
        <v>45</v>
      </c>
      <c r="AH936">
        <v>50</v>
      </c>
      <c r="AI936" s="2">
        <f>Table__192.168.3.138AgingReportBEWLGS[[#This Row],[NetAmount]]-Table__192.168.3.138AgingReportBEWLGS[[#This Row],[Paid]]</f>
        <v>1472040</v>
      </c>
    </row>
    <row r="937" spans="1:35">
      <c r="A937" t="s">
        <v>8150</v>
      </c>
      <c r="B937" s="1">
        <v>41241</v>
      </c>
      <c r="C937" s="1">
        <v>41286</v>
      </c>
      <c r="D937" t="s">
        <v>6703</v>
      </c>
      <c r="E937">
        <v>2403571</v>
      </c>
      <c r="F937">
        <v>384571</v>
      </c>
      <c r="G937">
        <v>0</v>
      </c>
      <c r="H937">
        <v>0</v>
      </c>
      <c r="I937">
        <v>5</v>
      </c>
      <c r="J937">
        <v>2788142</v>
      </c>
      <c r="K937" t="s">
        <v>8151</v>
      </c>
      <c r="L937" s="1">
        <v>41263</v>
      </c>
      <c r="N937" t="s">
        <v>5127</v>
      </c>
      <c r="O937" t="s">
        <v>2458</v>
      </c>
      <c r="P937" t="s">
        <v>6705</v>
      </c>
      <c r="Q937" t="s">
        <v>39</v>
      </c>
      <c r="R937" t="s">
        <v>40</v>
      </c>
      <c r="S937">
        <v>0</v>
      </c>
      <c r="U937" t="s">
        <v>5550</v>
      </c>
      <c r="V937" t="s">
        <v>1797</v>
      </c>
      <c r="X937" t="s">
        <v>74</v>
      </c>
      <c r="Y937" t="b">
        <v>0</v>
      </c>
      <c r="Z937" t="b">
        <v>0</v>
      </c>
      <c r="AC937" s="1"/>
      <c r="AF937">
        <v>0</v>
      </c>
      <c r="AG937">
        <v>45</v>
      </c>
      <c r="AH937">
        <v>50</v>
      </c>
      <c r="AI937" s="2">
        <f>Table__192.168.3.138AgingReportBEWLGS[[#This Row],[NetAmount]]-Table__192.168.3.138AgingReportBEWLGS[[#This Row],[Paid]]</f>
        <v>2788142</v>
      </c>
    </row>
    <row r="938" spans="1:35">
      <c r="A938" t="s">
        <v>8152</v>
      </c>
      <c r="B938" s="1">
        <v>41262</v>
      </c>
      <c r="C938" s="1">
        <v>41307</v>
      </c>
      <c r="D938" t="s">
        <v>6703</v>
      </c>
      <c r="E938">
        <v>1839627</v>
      </c>
      <c r="F938">
        <v>294340</v>
      </c>
      <c r="G938">
        <v>0</v>
      </c>
      <c r="H938">
        <v>0</v>
      </c>
      <c r="I938">
        <v>5</v>
      </c>
      <c r="J938">
        <v>2133967</v>
      </c>
      <c r="K938" t="s">
        <v>8153</v>
      </c>
      <c r="L938" s="1">
        <v>41263</v>
      </c>
      <c r="N938" t="s">
        <v>5127</v>
      </c>
      <c r="O938" t="s">
        <v>2458</v>
      </c>
      <c r="P938" t="s">
        <v>6705</v>
      </c>
      <c r="Q938" t="s">
        <v>39</v>
      </c>
      <c r="R938" t="s">
        <v>40</v>
      </c>
      <c r="S938">
        <v>0</v>
      </c>
      <c r="U938" t="s">
        <v>5550</v>
      </c>
      <c r="V938" t="s">
        <v>1797</v>
      </c>
      <c r="X938" t="s">
        <v>74</v>
      </c>
      <c r="Y938" t="b">
        <v>0</v>
      </c>
      <c r="Z938" t="b">
        <v>0</v>
      </c>
      <c r="AC938" s="1"/>
      <c r="AF938">
        <v>0</v>
      </c>
      <c r="AG938">
        <v>45</v>
      </c>
      <c r="AH938">
        <v>50</v>
      </c>
      <c r="AI938" s="2">
        <f>Table__192.168.3.138AgingReportBEWLGS[[#This Row],[NetAmount]]-Table__192.168.3.138AgingReportBEWLGS[[#This Row],[Paid]]</f>
        <v>2133967</v>
      </c>
    </row>
    <row r="939" spans="1:35">
      <c r="A939" t="s">
        <v>8154</v>
      </c>
      <c r="B939" s="1">
        <v>41269</v>
      </c>
      <c r="C939" s="1">
        <v>41314</v>
      </c>
      <c r="D939" t="s">
        <v>6654</v>
      </c>
      <c r="E939">
        <v>8700</v>
      </c>
      <c r="F939">
        <v>1392</v>
      </c>
      <c r="G939">
        <v>0</v>
      </c>
      <c r="H939">
        <v>0</v>
      </c>
      <c r="I939">
        <v>-2</v>
      </c>
      <c r="J939">
        <v>10092</v>
      </c>
      <c r="K939" t="s">
        <v>7467</v>
      </c>
      <c r="L939" s="1">
        <v>41270</v>
      </c>
      <c r="N939" t="s">
        <v>5127</v>
      </c>
      <c r="O939" t="s">
        <v>2458</v>
      </c>
      <c r="P939" t="s">
        <v>6656</v>
      </c>
      <c r="Q939" t="s">
        <v>39</v>
      </c>
      <c r="R939" t="s">
        <v>40</v>
      </c>
      <c r="S939">
        <v>0</v>
      </c>
      <c r="U939" t="s">
        <v>5550</v>
      </c>
      <c r="V939" t="s">
        <v>1797</v>
      </c>
      <c r="X939" t="s">
        <v>74</v>
      </c>
      <c r="Y939" t="b">
        <v>0</v>
      </c>
      <c r="Z939" t="b">
        <v>0</v>
      </c>
      <c r="AC939" s="1"/>
      <c r="AF939">
        <v>0</v>
      </c>
      <c r="AG939">
        <v>45</v>
      </c>
      <c r="AH939">
        <v>43</v>
      </c>
      <c r="AI939" s="2">
        <f>Table__192.168.3.138AgingReportBEWLGS[[#This Row],[NetAmount]]-Table__192.168.3.138AgingReportBEWLGS[[#This Row],[Paid]]</f>
        <v>10092</v>
      </c>
    </row>
    <row r="940" spans="1:35">
      <c r="A940" t="s">
        <v>8155</v>
      </c>
      <c r="B940" s="1">
        <v>41274</v>
      </c>
      <c r="C940" s="1">
        <v>41319</v>
      </c>
      <c r="D940" t="s">
        <v>7891</v>
      </c>
      <c r="E940">
        <v>7000</v>
      </c>
      <c r="F940">
        <v>0</v>
      </c>
      <c r="G940">
        <v>0</v>
      </c>
      <c r="H940">
        <v>0</v>
      </c>
      <c r="I940">
        <v>-6</v>
      </c>
      <c r="J940">
        <v>7000</v>
      </c>
      <c r="K940" t="s">
        <v>4232</v>
      </c>
      <c r="L940" s="1">
        <v>41274</v>
      </c>
      <c r="N940" t="s">
        <v>5127</v>
      </c>
      <c r="O940" t="s">
        <v>2458</v>
      </c>
      <c r="P940" t="s">
        <v>7892</v>
      </c>
      <c r="Q940" t="s">
        <v>39</v>
      </c>
      <c r="R940" t="s">
        <v>40</v>
      </c>
      <c r="S940">
        <v>0</v>
      </c>
      <c r="U940" t="s">
        <v>5550</v>
      </c>
      <c r="V940" t="s">
        <v>1797</v>
      </c>
      <c r="X940" t="s">
        <v>74</v>
      </c>
      <c r="Y940" t="b">
        <v>0</v>
      </c>
      <c r="Z940" t="b">
        <v>0</v>
      </c>
      <c r="AC940" s="1"/>
      <c r="AF940">
        <v>0</v>
      </c>
      <c r="AG940">
        <v>45</v>
      </c>
      <c r="AH940">
        <v>39</v>
      </c>
      <c r="AI940" s="2">
        <f>Table__192.168.3.138AgingReportBEWLGS[[#This Row],[NetAmount]]-Table__192.168.3.138AgingReportBEWLGS[[#This Row],[Paid]]</f>
        <v>7000</v>
      </c>
    </row>
    <row r="941" spans="1:35">
      <c r="A941" t="s">
        <v>8156</v>
      </c>
      <c r="B941" s="1">
        <v>41272</v>
      </c>
      <c r="C941" s="1">
        <v>41317</v>
      </c>
      <c r="D941" t="s">
        <v>6542</v>
      </c>
      <c r="E941">
        <v>24000</v>
      </c>
      <c r="F941">
        <v>0</v>
      </c>
      <c r="G941">
        <v>0</v>
      </c>
      <c r="H941">
        <v>0</v>
      </c>
      <c r="I941">
        <v>-4</v>
      </c>
      <c r="J941">
        <v>24000</v>
      </c>
      <c r="K941" t="s">
        <v>8157</v>
      </c>
      <c r="L941" s="1">
        <v>41272</v>
      </c>
      <c r="N941" t="s">
        <v>5127</v>
      </c>
      <c r="O941" t="s">
        <v>2458</v>
      </c>
      <c r="P941" t="s">
        <v>6544</v>
      </c>
      <c r="Q941" t="s">
        <v>39</v>
      </c>
      <c r="R941" t="s">
        <v>40</v>
      </c>
      <c r="S941">
        <v>0</v>
      </c>
      <c r="U941" t="s">
        <v>5550</v>
      </c>
      <c r="V941" t="s">
        <v>1797</v>
      </c>
      <c r="X941" t="s">
        <v>74</v>
      </c>
      <c r="Y941" t="b">
        <v>0</v>
      </c>
      <c r="Z941" t="b">
        <v>0</v>
      </c>
      <c r="AC941" s="1"/>
      <c r="AF941">
        <v>0</v>
      </c>
      <c r="AG941">
        <v>45</v>
      </c>
      <c r="AH941">
        <v>41</v>
      </c>
      <c r="AI941" s="2">
        <f>Table__192.168.3.138AgingReportBEWLGS[[#This Row],[NetAmount]]-Table__192.168.3.138AgingReportBEWLGS[[#This Row],[Paid]]</f>
        <v>24000</v>
      </c>
    </row>
    <row r="942" spans="1:35">
      <c r="A942" t="s">
        <v>8158</v>
      </c>
      <c r="B942" s="1">
        <v>41260</v>
      </c>
      <c r="C942" s="1">
        <v>41305</v>
      </c>
      <c r="D942" t="s">
        <v>8159</v>
      </c>
      <c r="E942">
        <v>2625</v>
      </c>
      <c r="F942">
        <v>420</v>
      </c>
      <c r="G942">
        <v>0</v>
      </c>
      <c r="H942">
        <v>0</v>
      </c>
      <c r="I942">
        <v>13</v>
      </c>
      <c r="J942">
        <v>3045</v>
      </c>
      <c r="K942" t="s">
        <v>8160</v>
      </c>
      <c r="L942" s="1">
        <v>41255</v>
      </c>
      <c r="N942" t="s">
        <v>5127</v>
      </c>
      <c r="O942" t="s">
        <v>2458</v>
      </c>
      <c r="P942" t="s">
        <v>5496</v>
      </c>
      <c r="Q942" t="s">
        <v>39</v>
      </c>
      <c r="R942" t="s">
        <v>40</v>
      </c>
      <c r="S942">
        <v>0</v>
      </c>
      <c r="U942" t="s">
        <v>5550</v>
      </c>
      <c r="V942" t="s">
        <v>1797</v>
      </c>
      <c r="X942" t="s">
        <v>74</v>
      </c>
      <c r="Y942" t="b">
        <v>0</v>
      </c>
      <c r="Z942" t="b">
        <v>0</v>
      </c>
      <c r="AC942" s="1"/>
      <c r="AF942">
        <v>0</v>
      </c>
      <c r="AG942">
        <v>45</v>
      </c>
      <c r="AH942">
        <v>58</v>
      </c>
      <c r="AI942" s="2">
        <f>Table__192.168.3.138AgingReportBEWLGS[[#This Row],[NetAmount]]-Table__192.168.3.138AgingReportBEWLGS[[#This Row],[Paid]]</f>
        <v>3045</v>
      </c>
    </row>
    <row r="943" spans="1:35">
      <c r="A943" t="s">
        <v>8161</v>
      </c>
      <c r="B943" s="1">
        <v>41260</v>
      </c>
      <c r="C943" s="1">
        <v>41260</v>
      </c>
      <c r="D943" t="s">
        <v>270</v>
      </c>
      <c r="E943">
        <v>2040</v>
      </c>
      <c r="F943">
        <v>326</v>
      </c>
      <c r="G943">
        <v>0</v>
      </c>
      <c r="H943">
        <v>0</v>
      </c>
      <c r="I943">
        <v>0</v>
      </c>
      <c r="J943">
        <v>2366</v>
      </c>
      <c r="K943" t="s">
        <v>8162</v>
      </c>
      <c r="L943" s="1">
        <v>41255</v>
      </c>
      <c r="N943" t="s">
        <v>5127</v>
      </c>
      <c r="O943" t="s">
        <v>2458</v>
      </c>
      <c r="P943" t="s">
        <v>8163</v>
      </c>
      <c r="Q943" t="s">
        <v>39</v>
      </c>
      <c r="R943" t="s">
        <v>40</v>
      </c>
      <c r="S943">
        <v>0</v>
      </c>
      <c r="U943" t="s">
        <v>5550</v>
      </c>
      <c r="V943" t="s">
        <v>1797</v>
      </c>
      <c r="X943" t="s">
        <v>74</v>
      </c>
      <c r="Y943" t="b">
        <v>0</v>
      </c>
      <c r="Z943" t="b">
        <v>0</v>
      </c>
      <c r="AC943" s="1"/>
      <c r="AF943">
        <v>0</v>
      </c>
      <c r="AH943">
        <v>58</v>
      </c>
      <c r="AI943" s="2">
        <f>Table__192.168.3.138AgingReportBEWLGS[[#This Row],[NetAmount]]-Table__192.168.3.138AgingReportBEWLGS[[#This Row],[Paid]]</f>
        <v>2366</v>
      </c>
    </row>
    <row r="944" spans="1:35">
      <c r="A944" t="s">
        <v>8164</v>
      </c>
      <c r="B944" s="1">
        <v>41262</v>
      </c>
      <c r="C944" s="1">
        <v>41307</v>
      </c>
      <c r="D944" t="s">
        <v>8165</v>
      </c>
      <c r="E944">
        <v>400000</v>
      </c>
      <c r="F944">
        <v>0</v>
      </c>
      <c r="G944">
        <v>0</v>
      </c>
      <c r="H944">
        <v>0</v>
      </c>
      <c r="I944">
        <v>6</v>
      </c>
      <c r="J944">
        <v>400000</v>
      </c>
      <c r="K944" t="s">
        <v>4744</v>
      </c>
      <c r="L944" s="1">
        <v>41262</v>
      </c>
      <c r="N944" t="s">
        <v>5127</v>
      </c>
      <c r="O944" t="s">
        <v>2458</v>
      </c>
      <c r="P944" t="s">
        <v>8166</v>
      </c>
      <c r="Q944" t="s">
        <v>39</v>
      </c>
      <c r="R944" t="s">
        <v>40</v>
      </c>
      <c r="S944">
        <v>0</v>
      </c>
      <c r="U944" t="s">
        <v>5550</v>
      </c>
      <c r="V944" t="s">
        <v>1797</v>
      </c>
      <c r="X944" t="s">
        <v>74</v>
      </c>
      <c r="Y944" t="b">
        <v>0</v>
      </c>
      <c r="Z944" t="b">
        <v>0</v>
      </c>
      <c r="AC944" s="1"/>
      <c r="AF944">
        <v>0</v>
      </c>
      <c r="AG944">
        <v>45</v>
      </c>
      <c r="AH944">
        <v>51</v>
      </c>
      <c r="AI944" s="2">
        <f>Table__192.168.3.138AgingReportBEWLGS[[#This Row],[NetAmount]]-Table__192.168.3.138AgingReportBEWLGS[[#This Row],[Paid]]</f>
        <v>400000</v>
      </c>
    </row>
    <row r="945" spans="1:35">
      <c r="A945" t="s">
        <v>8167</v>
      </c>
      <c r="B945" s="1">
        <v>41266</v>
      </c>
      <c r="C945" s="1">
        <v>41311</v>
      </c>
      <c r="D945" t="s">
        <v>8168</v>
      </c>
      <c r="E945">
        <v>54150</v>
      </c>
      <c r="F945">
        <v>0</v>
      </c>
      <c r="G945">
        <v>0</v>
      </c>
      <c r="H945">
        <v>0</v>
      </c>
      <c r="I945">
        <v>-6</v>
      </c>
      <c r="J945">
        <v>54150</v>
      </c>
      <c r="K945" t="s">
        <v>1982</v>
      </c>
      <c r="L945" s="1">
        <v>41274</v>
      </c>
      <c r="N945" t="s">
        <v>5127</v>
      </c>
      <c r="O945" t="s">
        <v>2458</v>
      </c>
      <c r="P945" t="s">
        <v>8169</v>
      </c>
      <c r="Q945" t="s">
        <v>39</v>
      </c>
      <c r="R945" t="s">
        <v>40</v>
      </c>
      <c r="S945">
        <v>0</v>
      </c>
      <c r="U945" t="s">
        <v>5550</v>
      </c>
      <c r="V945" t="s">
        <v>1797</v>
      </c>
      <c r="X945" t="s">
        <v>74</v>
      </c>
      <c r="Y945" t="b">
        <v>0</v>
      </c>
      <c r="Z945" t="b">
        <v>0</v>
      </c>
      <c r="AC945" s="1"/>
      <c r="AF945">
        <v>0</v>
      </c>
      <c r="AG945">
        <v>45</v>
      </c>
      <c r="AH945">
        <v>39</v>
      </c>
      <c r="AI945" s="2">
        <f>Table__192.168.3.138AgingReportBEWLGS[[#This Row],[NetAmount]]-Table__192.168.3.138AgingReportBEWLGS[[#This Row],[Paid]]</f>
        <v>54150</v>
      </c>
    </row>
    <row r="946" spans="1:35">
      <c r="A946" t="s">
        <v>8170</v>
      </c>
      <c r="B946" s="1">
        <v>41272</v>
      </c>
      <c r="C946" s="1">
        <v>41317</v>
      </c>
      <c r="D946" t="s">
        <v>8171</v>
      </c>
      <c r="E946">
        <v>283500</v>
      </c>
      <c r="F946">
        <v>45360</v>
      </c>
      <c r="G946">
        <v>0</v>
      </c>
      <c r="H946">
        <v>0</v>
      </c>
      <c r="I946">
        <v>14</v>
      </c>
      <c r="J946">
        <v>328860</v>
      </c>
      <c r="K946" t="s">
        <v>8172</v>
      </c>
      <c r="L946" s="1">
        <v>41254</v>
      </c>
      <c r="N946" t="s">
        <v>5127</v>
      </c>
      <c r="O946" t="s">
        <v>2458</v>
      </c>
      <c r="P946" t="s">
        <v>8173</v>
      </c>
      <c r="Q946" t="s">
        <v>39</v>
      </c>
      <c r="R946" t="s">
        <v>40</v>
      </c>
      <c r="S946">
        <v>0</v>
      </c>
      <c r="U946" t="s">
        <v>5550</v>
      </c>
      <c r="V946" t="s">
        <v>1797</v>
      </c>
      <c r="X946" t="s">
        <v>74</v>
      </c>
      <c r="Y946" t="b">
        <v>0</v>
      </c>
      <c r="Z946" t="b">
        <v>0</v>
      </c>
      <c r="AC946" s="1"/>
      <c r="AF946">
        <v>0</v>
      </c>
      <c r="AG946">
        <v>45</v>
      </c>
      <c r="AH946">
        <v>59</v>
      </c>
      <c r="AI946" s="2">
        <f>Table__192.168.3.138AgingReportBEWLGS[[#This Row],[NetAmount]]-Table__192.168.3.138AgingReportBEWLGS[[#This Row],[Paid]]</f>
        <v>328860</v>
      </c>
    </row>
    <row r="947" spans="1:35">
      <c r="A947" t="s">
        <v>8174</v>
      </c>
      <c r="B947" s="1">
        <v>41267</v>
      </c>
      <c r="C947" s="1">
        <v>41312</v>
      </c>
      <c r="D947" t="s">
        <v>7715</v>
      </c>
      <c r="E947">
        <v>22080</v>
      </c>
      <c r="F947">
        <v>3533</v>
      </c>
      <c r="G947">
        <v>0</v>
      </c>
      <c r="H947">
        <v>0</v>
      </c>
      <c r="I947">
        <v>-2</v>
      </c>
      <c r="J947">
        <v>25613</v>
      </c>
      <c r="K947" t="s">
        <v>7695</v>
      </c>
      <c r="L947" s="1">
        <v>41270</v>
      </c>
      <c r="N947" t="s">
        <v>5127</v>
      </c>
      <c r="O947" t="s">
        <v>2458</v>
      </c>
      <c r="P947" t="s">
        <v>7716</v>
      </c>
      <c r="Q947" t="s">
        <v>39</v>
      </c>
      <c r="R947" t="s">
        <v>40</v>
      </c>
      <c r="S947">
        <v>0</v>
      </c>
      <c r="U947" t="s">
        <v>5550</v>
      </c>
      <c r="V947" t="s">
        <v>1797</v>
      </c>
      <c r="X947" t="s">
        <v>74</v>
      </c>
      <c r="Y947" t="b">
        <v>0</v>
      </c>
      <c r="Z947" t="b">
        <v>0</v>
      </c>
      <c r="AC947" s="1"/>
      <c r="AF947">
        <v>0</v>
      </c>
      <c r="AG947">
        <v>45</v>
      </c>
      <c r="AH947">
        <v>43</v>
      </c>
      <c r="AI947" s="2">
        <f>Table__192.168.3.138AgingReportBEWLGS[[#This Row],[NetAmount]]-Table__192.168.3.138AgingReportBEWLGS[[#This Row],[Paid]]</f>
        <v>25613</v>
      </c>
    </row>
    <row r="948" spans="1:35">
      <c r="A948" t="s">
        <v>8175</v>
      </c>
      <c r="B948" s="1">
        <v>41271</v>
      </c>
      <c r="C948" s="1">
        <v>41316</v>
      </c>
      <c r="D948" t="s">
        <v>6542</v>
      </c>
      <c r="E948">
        <v>24000</v>
      </c>
      <c r="F948">
        <v>0</v>
      </c>
      <c r="G948">
        <v>0</v>
      </c>
      <c r="H948">
        <v>0</v>
      </c>
      <c r="I948">
        <v>-2</v>
      </c>
      <c r="J948">
        <v>24000</v>
      </c>
      <c r="K948" t="s">
        <v>8176</v>
      </c>
      <c r="L948" s="1">
        <v>41270</v>
      </c>
      <c r="N948" t="s">
        <v>5127</v>
      </c>
      <c r="O948" t="s">
        <v>2458</v>
      </c>
      <c r="P948" t="s">
        <v>6544</v>
      </c>
      <c r="Q948" t="s">
        <v>39</v>
      </c>
      <c r="R948" t="s">
        <v>40</v>
      </c>
      <c r="S948">
        <v>0</v>
      </c>
      <c r="U948" t="s">
        <v>5550</v>
      </c>
      <c r="V948" t="s">
        <v>1797</v>
      </c>
      <c r="X948" t="s">
        <v>74</v>
      </c>
      <c r="Y948" t="b">
        <v>0</v>
      </c>
      <c r="Z948" t="b">
        <v>0</v>
      </c>
      <c r="AC948" s="1"/>
      <c r="AF948">
        <v>0</v>
      </c>
      <c r="AG948">
        <v>45</v>
      </c>
      <c r="AH948">
        <v>43</v>
      </c>
      <c r="AI948" s="2">
        <f>Table__192.168.3.138AgingReportBEWLGS[[#This Row],[NetAmount]]-Table__192.168.3.138AgingReportBEWLGS[[#This Row],[Paid]]</f>
        <v>24000</v>
      </c>
    </row>
    <row r="949" spans="1:35">
      <c r="A949" t="s">
        <v>8177</v>
      </c>
      <c r="B949" s="1">
        <v>41269</v>
      </c>
      <c r="C949" s="1">
        <v>41314</v>
      </c>
      <c r="D949" t="s">
        <v>6542</v>
      </c>
      <c r="E949">
        <v>22500</v>
      </c>
      <c r="F949">
        <v>0</v>
      </c>
      <c r="G949">
        <v>0</v>
      </c>
      <c r="H949">
        <v>0</v>
      </c>
      <c r="I949">
        <v>1</v>
      </c>
      <c r="J949">
        <v>22500</v>
      </c>
      <c r="K949" t="s">
        <v>8178</v>
      </c>
      <c r="L949" s="1">
        <v>41267</v>
      </c>
      <c r="N949" t="s">
        <v>5127</v>
      </c>
      <c r="O949" t="s">
        <v>2458</v>
      </c>
      <c r="P949" t="s">
        <v>6544</v>
      </c>
      <c r="Q949" t="s">
        <v>39</v>
      </c>
      <c r="R949" t="s">
        <v>40</v>
      </c>
      <c r="S949">
        <v>0</v>
      </c>
      <c r="U949" t="s">
        <v>5550</v>
      </c>
      <c r="V949" t="s">
        <v>1797</v>
      </c>
      <c r="X949" t="s">
        <v>74</v>
      </c>
      <c r="Y949" t="b">
        <v>0</v>
      </c>
      <c r="Z949" t="b">
        <v>0</v>
      </c>
      <c r="AC949" s="1"/>
      <c r="AF949">
        <v>0</v>
      </c>
      <c r="AG949">
        <v>45</v>
      </c>
      <c r="AH949">
        <v>46</v>
      </c>
      <c r="AI949" s="2">
        <f>Table__192.168.3.138AgingReportBEWLGS[[#This Row],[NetAmount]]-Table__192.168.3.138AgingReportBEWLGS[[#This Row],[Paid]]</f>
        <v>22500</v>
      </c>
    </row>
    <row r="950" spans="1:35">
      <c r="A950" t="s">
        <v>8179</v>
      </c>
      <c r="B950" s="1">
        <v>41267</v>
      </c>
      <c r="C950" s="1">
        <v>41312</v>
      </c>
      <c r="D950" t="s">
        <v>6542</v>
      </c>
      <c r="E950">
        <v>24000</v>
      </c>
      <c r="F950">
        <v>0</v>
      </c>
      <c r="G950">
        <v>0</v>
      </c>
      <c r="H950">
        <v>0</v>
      </c>
      <c r="I950">
        <v>1</v>
      </c>
      <c r="J950">
        <v>24000</v>
      </c>
      <c r="K950" t="s">
        <v>8180</v>
      </c>
      <c r="L950" s="1">
        <v>41267</v>
      </c>
      <c r="N950" t="s">
        <v>5127</v>
      </c>
      <c r="O950" t="s">
        <v>2458</v>
      </c>
      <c r="P950" t="s">
        <v>6544</v>
      </c>
      <c r="Q950" t="s">
        <v>39</v>
      </c>
      <c r="R950" t="s">
        <v>40</v>
      </c>
      <c r="S950">
        <v>0</v>
      </c>
      <c r="U950" t="s">
        <v>5550</v>
      </c>
      <c r="V950" t="s">
        <v>1797</v>
      </c>
      <c r="X950" t="s">
        <v>74</v>
      </c>
      <c r="Y950" t="b">
        <v>0</v>
      </c>
      <c r="Z950" t="b">
        <v>0</v>
      </c>
      <c r="AC950" s="1"/>
      <c r="AF950">
        <v>0</v>
      </c>
      <c r="AG950">
        <v>45</v>
      </c>
      <c r="AH950">
        <v>46</v>
      </c>
      <c r="AI950" s="2">
        <f>Table__192.168.3.138AgingReportBEWLGS[[#This Row],[NetAmount]]-Table__192.168.3.138AgingReportBEWLGS[[#This Row],[Paid]]</f>
        <v>24000</v>
      </c>
    </row>
    <row r="951" spans="1:35">
      <c r="A951" t="s">
        <v>8181</v>
      </c>
      <c r="B951" s="1">
        <v>41263</v>
      </c>
      <c r="C951" s="1">
        <v>41308</v>
      </c>
      <c r="D951" t="s">
        <v>6318</v>
      </c>
      <c r="E951">
        <v>143900</v>
      </c>
      <c r="F951">
        <v>23024</v>
      </c>
      <c r="G951">
        <v>0</v>
      </c>
      <c r="H951">
        <v>0</v>
      </c>
      <c r="I951">
        <v>-4</v>
      </c>
      <c r="J951">
        <v>166924</v>
      </c>
      <c r="K951" t="s">
        <v>8182</v>
      </c>
      <c r="L951" s="1">
        <v>41272</v>
      </c>
      <c r="N951" t="s">
        <v>5127</v>
      </c>
      <c r="O951" t="s">
        <v>2458</v>
      </c>
      <c r="P951" t="s">
        <v>6320</v>
      </c>
      <c r="Q951" t="s">
        <v>39</v>
      </c>
      <c r="R951" t="s">
        <v>40</v>
      </c>
      <c r="S951">
        <v>0</v>
      </c>
      <c r="U951" t="s">
        <v>5550</v>
      </c>
      <c r="V951" t="s">
        <v>1797</v>
      </c>
      <c r="X951" t="s">
        <v>74</v>
      </c>
      <c r="Y951" t="b">
        <v>0</v>
      </c>
      <c r="Z951" t="b">
        <v>0</v>
      </c>
      <c r="AC951" s="1"/>
      <c r="AF951">
        <v>0</v>
      </c>
      <c r="AG951">
        <v>45</v>
      </c>
      <c r="AH951">
        <v>41</v>
      </c>
      <c r="AI951" s="2">
        <f>Table__192.168.3.138AgingReportBEWLGS[[#This Row],[NetAmount]]-Table__192.168.3.138AgingReportBEWLGS[[#This Row],[Paid]]</f>
        <v>166924</v>
      </c>
    </row>
    <row r="952" spans="1:35">
      <c r="A952" t="s">
        <v>8183</v>
      </c>
      <c r="B952" s="1">
        <v>41267</v>
      </c>
      <c r="C952" s="1">
        <v>41312</v>
      </c>
      <c r="D952" t="s">
        <v>7709</v>
      </c>
      <c r="E952">
        <v>103448</v>
      </c>
      <c r="F952">
        <v>16552</v>
      </c>
      <c r="G952">
        <v>0</v>
      </c>
      <c r="H952">
        <v>0</v>
      </c>
      <c r="I952">
        <v>3</v>
      </c>
      <c r="J952">
        <v>120000</v>
      </c>
      <c r="K952" t="s">
        <v>8184</v>
      </c>
      <c r="L952" s="1">
        <v>41265</v>
      </c>
      <c r="N952" t="s">
        <v>5127</v>
      </c>
      <c r="O952" t="s">
        <v>2458</v>
      </c>
      <c r="P952" t="s">
        <v>7712</v>
      </c>
      <c r="Q952" t="s">
        <v>39</v>
      </c>
      <c r="R952" t="s">
        <v>40</v>
      </c>
      <c r="S952">
        <v>0</v>
      </c>
      <c r="U952" t="s">
        <v>5550</v>
      </c>
      <c r="V952" t="s">
        <v>1797</v>
      </c>
      <c r="X952" t="s">
        <v>74</v>
      </c>
      <c r="Y952" t="b">
        <v>0</v>
      </c>
      <c r="Z952" t="b">
        <v>0</v>
      </c>
      <c r="AC952" s="1"/>
      <c r="AF952">
        <v>0</v>
      </c>
      <c r="AG952">
        <v>45</v>
      </c>
      <c r="AH952">
        <v>48</v>
      </c>
      <c r="AI952" s="2">
        <f>Table__192.168.3.138AgingReportBEWLGS[[#This Row],[NetAmount]]-Table__192.168.3.138AgingReportBEWLGS[[#This Row],[Paid]]</f>
        <v>120000</v>
      </c>
    </row>
    <row r="953" spans="1:35">
      <c r="A953" t="s">
        <v>8185</v>
      </c>
      <c r="B953" s="1">
        <v>41274</v>
      </c>
      <c r="C953" s="1">
        <v>41319</v>
      </c>
      <c r="D953" t="s">
        <v>6335</v>
      </c>
      <c r="E953">
        <v>417331</v>
      </c>
      <c r="F953">
        <v>66773</v>
      </c>
      <c r="G953">
        <v>0</v>
      </c>
      <c r="H953">
        <v>0</v>
      </c>
      <c r="I953">
        <v>-6</v>
      </c>
      <c r="J953">
        <v>484104</v>
      </c>
      <c r="K953" t="s">
        <v>8186</v>
      </c>
      <c r="L953" s="1">
        <v>41274</v>
      </c>
      <c r="N953" t="s">
        <v>5127</v>
      </c>
      <c r="O953" t="s">
        <v>2458</v>
      </c>
      <c r="P953" t="s">
        <v>6337</v>
      </c>
      <c r="Q953" t="s">
        <v>39</v>
      </c>
      <c r="R953" t="s">
        <v>40</v>
      </c>
      <c r="S953">
        <v>0</v>
      </c>
      <c r="U953" t="s">
        <v>5550</v>
      </c>
      <c r="V953" t="s">
        <v>1797</v>
      </c>
      <c r="X953" t="s">
        <v>74</v>
      </c>
      <c r="Y953" t="b">
        <v>0</v>
      </c>
      <c r="Z953" t="b">
        <v>0</v>
      </c>
      <c r="AB953" t="s">
        <v>8187</v>
      </c>
      <c r="AC953" s="1"/>
      <c r="AF953">
        <v>0</v>
      </c>
      <c r="AG953">
        <v>45</v>
      </c>
      <c r="AH953">
        <v>39</v>
      </c>
      <c r="AI953" s="2">
        <f>Table__192.168.3.138AgingReportBEWLGS[[#This Row],[NetAmount]]-Table__192.168.3.138AgingReportBEWLGS[[#This Row],[Paid]]</f>
        <v>484104</v>
      </c>
    </row>
    <row r="954" spans="1:35">
      <c r="A954" t="s">
        <v>8188</v>
      </c>
      <c r="B954" s="1">
        <v>41272</v>
      </c>
      <c r="C954" s="1">
        <v>41317</v>
      </c>
      <c r="D954" t="s">
        <v>6542</v>
      </c>
      <c r="E954">
        <v>20550</v>
      </c>
      <c r="F954">
        <v>0</v>
      </c>
      <c r="G954">
        <v>0</v>
      </c>
      <c r="H954">
        <v>0</v>
      </c>
      <c r="I954">
        <v>-4</v>
      </c>
      <c r="J954">
        <v>20550</v>
      </c>
      <c r="K954" t="s">
        <v>8189</v>
      </c>
      <c r="L954" s="1">
        <v>41272</v>
      </c>
      <c r="N954" t="s">
        <v>5127</v>
      </c>
      <c r="O954" t="s">
        <v>2458</v>
      </c>
      <c r="P954" t="s">
        <v>6544</v>
      </c>
      <c r="Q954" t="s">
        <v>39</v>
      </c>
      <c r="R954" t="s">
        <v>40</v>
      </c>
      <c r="S954">
        <v>0</v>
      </c>
      <c r="U954" t="s">
        <v>5550</v>
      </c>
      <c r="V954" t="s">
        <v>1797</v>
      </c>
      <c r="X954" t="s">
        <v>74</v>
      </c>
      <c r="Y954" t="b">
        <v>0</v>
      </c>
      <c r="Z954" t="b">
        <v>0</v>
      </c>
      <c r="AC954" s="1"/>
      <c r="AF954">
        <v>0</v>
      </c>
      <c r="AG954">
        <v>45</v>
      </c>
      <c r="AH954">
        <v>41</v>
      </c>
      <c r="AI954" s="2">
        <f>Table__192.168.3.138AgingReportBEWLGS[[#This Row],[NetAmount]]-Table__192.168.3.138AgingReportBEWLGS[[#This Row],[Paid]]</f>
        <v>20550</v>
      </c>
    </row>
    <row r="955" spans="1:35">
      <c r="A955" t="s">
        <v>8190</v>
      </c>
      <c r="B955" s="1">
        <v>41274</v>
      </c>
      <c r="C955" s="1">
        <v>41319</v>
      </c>
      <c r="D955" t="s">
        <v>6664</v>
      </c>
      <c r="E955">
        <v>66786</v>
      </c>
      <c r="F955">
        <v>10686</v>
      </c>
      <c r="G955">
        <v>0</v>
      </c>
      <c r="H955">
        <v>0</v>
      </c>
      <c r="I955">
        <v>-6</v>
      </c>
      <c r="J955">
        <v>77472</v>
      </c>
      <c r="K955" t="s">
        <v>6718</v>
      </c>
      <c r="L955" s="1">
        <v>41274</v>
      </c>
      <c r="N955" t="s">
        <v>5127</v>
      </c>
      <c r="O955" t="s">
        <v>2458</v>
      </c>
      <c r="P955" t="s">
        <v>5528</v>
      </c>
      <c r="Q955" t="s">
        <v>39</v>
      </c>
      <c r="R955" t="s">
        <v>40</v>
      </c>
      <c r="S955">
        <v>0</v>
      </c>
      <c r="U955" t="s">
        <v>5550</v>
      </c>
      <c r="V955" t="s">
        <v>1797</v>
      </c>
      <c r="X955" t="s">
        <v>74</v>
      </c>
      <c r="Y955" t="b">
        <v>0</v>
      </c>
      <c r="Z955" t="b">
        <v>0</v>
      </c>
      <c r="AC955" s="1"/>
      <c r="AF955">
        <v>0</v>
      </c>
      <c r="AG955">
        <v>45</v>
      </c>
      <c r="AH955">
        <v>39</v>
      </c>
      <c r="AI955" s="2">
        <f>Table__192.168.3.138AgingReportBEWLGS[[#This Row],[NetAmount]]-Table__192.168.3.138AgingReportBEWLGS[[#This Row],[Paid]]</f>
        <v>77472</v>
      </c>
    </row>
    <row r="956" spans="1:35">
      <c r="A956" t="s">
        <v>8191</v>
      </c>
      <c r="B956" s="1">
        <v>41265</v>
      </c>
      <c r="C956" s="1">
        <v>41310</v>
      </c>
      <c r="D956" t="s">
        <v>6542</v>
      </c>
      <c r="E956">
        <v>24000</v>
      </c>
      <c r="F956">
        <v>0</v>
      </c>
      <c r="G956">
        <v>0</v>
      </c>
      <c r="H956">
        <v>0</v>
      </c>
      <c r="I956">
        <v>3</v>
      </c>
      <c r="J956">
        <v>24000</v>
      </c>
      <c r="K956" t="s">
        <v>8192</v>
      </c>
      <c r="L956" s="1">
        <v>41265</v>
      </c>
      <c r="N956" t="s">
        <v>5127</v>
      </c>
      <c r="O956" t="s">
        <v>2458</v>
      </c>
      <c r="P956" t="s">
        <v>6544</v>
      </c>
      <c r="Q956" t="s">
        <v>39</v>
      </c>
      <c r="R956" t="s">
        <v>40</v>
      </c>
      <c r="S956">
        <v>0</v>
      </c>
      <c r="U956" t="s">
        <v>5550</v>
      </c>
      <c r="V956" t="s">
        <v>1797</v>
      </c>
      <c r="X956" t="s">
        <v>74</v>
      </c>
      <c r="Y956" t="b">
        <v>0</v>
      </c>
      <c r="Z956" t="b">
        <v>0</v>
      </c>
      <c r="AC956" s="1"/>
      <c r="AF956">
        <v>0</v>
      </c>
      <c r="AG956">
        <v>45</v>
      </c>
      <c r="AH956">
        <v>48</v>
      </c>
      <c r="AI956" s="2">
        <f>Table__192.168.3.138AgingReportBEWLGS[[#This Row],[NetAmount]]-Table__192.168.3.138AgingReportBEWLGS[[#This Row],[Paid]]</f>
        <v>24000</v>
      </c>
    </row>
    <row r="957" spans="1:35">
      <c r="A957" t="s">
        <v>8193</v>
      </c>
      <c r="B957" s="1">
        <v>41274</v>
      </c>
      <c r="C957" s="1">
        <v>41319</v>
      </c>
      <c r="D957" t="s">
        <v>6542</v>
      </c>
      <c r="E957">
        <v>24000</v>
      </c>
      <c r="F957">
        <v>0</v>
      </c>
      <c r="G957">
        <v>0</v>
      </c>
      <c r="H957">
        <v>0</v>
      </c>
      <c r="I957">
        <v>-6</v>
      </c>
      <c r="J957">
        <v>24000</v>
      </c>
      <c r="K957" t="s">
        <v>8194</v>
      </c>
      <c r="L957" s="1">
        <v>41274</v>
      </c>
      <c r="N957" t="s">
        <v>5127</v>
      </c>
      <c r="O957" t="s">
        <v>2458</v>
      </c>
      <c r="P957" t="s">
        <v>6544</v>
      </c>
      <c r="Q957" t="s">
        <v>39</v>
      </c>
      <c r="R957" t="s">
        <v>40</v>
      </c>
      <c r="S957">
        <v>0</v>
      </c>
      <c r="U957" t="s">
        <v>5550</v>
      </c>
      <c r="V957" t="s">
        <v>1797</v>
      </c>
      <c r="X957" t="s">
        <v>74</v>
      </c>
      <c r="Y957" t="b">
        <v>0</v>
      </c>
      <c r="Z957" t="b">
        <v>0</v>
      </c>
      <c r="AC957" s="1"/>
      <c r="AF957">
        <v>0</v>
      </c>
      <c r="AG957">
        <v>45</v>
      </c>
      <c r="AH957">
        <v>39</v>
      </c>
      <c r="AI957" s="2">
        <f>Table__192.168.3.138AgingReportBEWLGS[[#This Row],[NetAmount]]-Table__192.168.3.138AgingReportBEWLGS[[#This Row],[Paid]]</f>
        <v>24000</v>
      </c>
    </row>
    <row r="958" spans="1:35">
      <c r="A958" t="s">
        <v>8195</v>
      </c>
      <c r="B958" s="1">
        <v>41274</v>
      </c>
      <c r="C958" s="1">
        <v>41319</v>
      </c>
      <c r="D958" t="s">
        <v>6318</v>
      </c>
      <c r="E958">
        <v>4032</v>
      </c>
      <c r="F958">
        <v>645</v>
      </c>
      <c r="G958">
        <v>0</v>
      </c>
      <c r="H958">
        <v>0</v>
      </c>
      <c r="I958">
        <v>-6</v>
      </c>
      <c r="J958">
        <v>4677</v>
      </c>
      <c r="K958" t="s">
        <v>8196</v>
      </c>
      <c r="L958" s="1">
        <v>41274</v>
      </c>
      <c r="N958" t="s">
        <v>5127</v>
      </c>
      <c r="O958" t="s">
        <v>2458</v>
      </c>
      <c r="P958" t="s">
        <v>6320</v>
      </c>
      <c r="Q958" t="s">
        <v>39</v>
      </c>
      <c r="R958" t="s">
        <v>40</v>
      </c>
      <c r="S958">
        <v>0</v>
      </c>
      <c r="U958" t="s">
        <v>5550</v>
      </c>
      <c r="V958" t="s">
        <v>1797</v>
      </c>
      <c r="X958" t="s">
        <v>74</v>
      </c>
      <c r="Y958" t="b">
        <v>0</v>
      </c>
      <c r="Z958" t="b">
        <v>0</v>
      </c>
      <c r="AC958" s="1"/>
      <c r="AF958">
        <v>0</v>
      </c>
      <c r="AG958">
        <v>45</v>
      </c>
      <c r="AH958">
        <v>39</v>
      </c>
      <c r="AI958" s="2">
        <f>Table__192.168.3.138AgingReportBEWLGS[[#This Row],[NetAmount]]-Table__192.168.3.138AgingReportBEWLGS[[#This Row],[Paid]]</f>
        <v>4677</v>
      </c>
    </row>
    <row r="959" spans="1:35">
      <c r="A959" t="s">
        <v>8197</v>
      </c>
      <c r="B959" s="1">
        <v>41274</v>
      </c>
      <c r="C959" s="1">
        <v>41319</v>
      </c>
      <c r="D959" t="s">
        <v>7308</v>
      </c>
      <c r="E959">
        <v>40040</v>
      </c>
      <c r="F959">
        <v>6407</v>
      </c>
      <c r="G959">
        <v>0</v>
      </c>
      <c r="H959">
        <v>0</v>
      </c>
      <c r="I959">
        <v>-4</v>
      </c>
      <c r="J959">
        <v>46447</v>
      </c>
      <c r="K959" t="s">
        <v>2026</v>
      </c>
      <c r="L959" s="1">
        <v>41272</v>
      </c>
      <c r="N959" t="s">
        <v>5127</v>
      </c>
      <c r="O959" t="s">
        <v>2458</v>
      </c>
      <c r="P959" t="s">
        <v>5490</v>
      </c>
      <c r="Q959" t="s">
        <v>39</v>
      </c>
      <c r="R959" t="s">
        <v>40</v>
      </c>
      <c r="S959">
        <v>0</v>
      </c>
      <c r="U959" t="s">
        <v>5550</v>
      </c>
      <c r="V959" t="s">
        <v>1797</v>
      </c>
      <c r="X959" t="s">
        <v>74</v>
      </c>
      <c r="Y959" t="b">
        <v>0</v>
      </c>
      <c r="Z959" t="b">
        <v>0</v>
      </c>
      <c r="AC959" s="1"/>
      <c r="AF959">
        <v>0</v>
      </c>
      <c r="AG959">
        <v>45</v>
      </c>
      <c r="AH959">
        <v>41</v>
      </c>
      <c r="AI959" s="2">
        <f>Table__192.168.3.138AgingReportBEWLGS[[#This Row],[NetAmount]]-Table__192.168.3.138AgingReportBEWLGS[[#This Row],[Paid]]</f>
        <v>46447</v>
      </c>
    </row>
    <row r="960" spans="1:35">
      <c r="A960" t="s">
        <v>8198</v>
      </c>
      <c r="B960" s="1">
        <v>41244</v>
      </c>
      <c r="C960" s="1">
        <v>41289</v>
      </c>
      <c r="D960" t="s">
        <v>6328</v>
      </c>
      <c r="E960">
        <v>430100</v>
      </c>
      <c r="F960">
        <v>68816</v>
      </c>
      <c r="G960">
        <v>0</v>
      </c>
      <c r="H960">
        <v>0</v>
      </c>
      <c r="I960">
        <v>24</v>
      </c>
      <c r="J960">
        <v>501193</v>
      </c>
      <c r="K960" t="s">
        <v>8199</v>
      </c>
      <c r="L960" s="1">
        <v>41244</v>
      </c>
      <c r="N960" t="s">
        <v>5127</v>
      </c>
      <c r="O960" t="s">
        <v>2458</v>
      </c>
      <c r="P960" t="s">
        <v>6330</v>
      </c>
      <c r="Q960" t="s">
        <v>39</v>
      </c>
      <c r="R960" t="s">
        <v>40</v>
      </c>
      <c r="S960">
        <v>0</v>
      </c>
      <c r="U960" t="s">
        <v>5550</v>
      </c>
      <c r="V960" t="s">
        <v>1797</v>
      </c>
      <c r="X960" t="s">
        <v>74</v>
      </c>
      <c r="Y960" t="b">
        <v>0</v>
      </c>
      <c r="Z960" t="b">
        <v>0</v>
      </c>
      <c r="AC960" s="1"/>
      <c r="AF960">
        <v>0</v>
      </c>
      <c r="AG960">
        <v>45</v>
      </c>
      <c r="AH960">
        <v>69</v>
      </c>
      <c r="AI960" s="2">
        <f>Table__192.168.3.138AgingReportBEWLGS[[#This Row],[NetAmount]]-Table__192.168.3.138AgingReportBEWLGS[[#This Row],[Paid]]</f>
        <v>501193</v>
      </c>
    </row>
    <row r="961" spans="1:35">
      <c r="A961" t="s">
        <v>8200</v>
      </c>
      <c r="B961" s="1">
        <v>41261</v>
      </c>
      <c r="C961" s="1">
        <v>41306</v>
      </c>
      <c r="D961" t="s">
        <v>6328</v>
      </c>
      <c r="E961">
        <v>607750</v>
      </c>
      <c r="F961">
        <v>97240</v>
      </c>
      <c r="G961">
        <v>0</v>
      </c>
      <c r="H961">
        <v>0</v>
      </c>
      <c r="I961">
        <v>7</v>
      </c>
      <c r="J961">
        <v>708210</v>
      </c>
      <c r="K961" t="s">
        <v>8201</v>
      </c>
      <c r="L961" s="1">
        <v>41261</v>
      </c>
      <c r="N961" t="s">
        <v>5127</v>
      </c>
      <c r="O961" t="s">
        <v>2458</v>
      </c>
      <c r="P961" t="s">
        <v>6330</v>
      </c>
      <c r="Q961" t="s">
        <v>39</v>
      </c>
      <c r="R961" t="s">
        <v>40</v>
      </c>
      <c r="S961">
        <v>0</v>
      </c>
      <c r="U961" t="s">
        <v>5550</v>
      </c>
      <c r="V961" t="s">
        <v>1797</v>
      </c>
      <c r="X961" t="s">
        <v>74</v>
      </c>
      <c r="Y961" t="b">
        <v>0</v>
      </c>
      <c r="Z961" t="b">
        <v>0</v>
      </c>
      <c r="AC961" s="1"/>
      <c r="AF961">
        <v>0</v>
      </c>
      <c r="AG961">
        <v>45</v>
      </c>
      <c r="AH961">
        <v>52</v>
      </c>
      <c r="AI961" s="2">
        <f>Table__192.168.3.138AgingReportBEWLGS[[#This Row],[NetAmount]]-Table__192.168.3.138AgingReportBEWLGS[[#This Row],[Paid]]</f>
        <v>708210</v>
      </c>
    </row>
    <row r="962" spans="1:35">
      <c r="A962" t="s">
        <v>8202</v>
      </c>
      <c r="B962" s="1">
        <v>41263</v>
      </c>
      <c r="C962" s="1">
        <v>41308</v>
      </c>
      <c r="D962" t="s">
        <v>6328</v>
      </c>
      <c r="E962">
        <v>437750</v>
      </c>
      <c r="F962">
        <v>70040</v>
      </c>
      <c r="G962">
        <v>0</v>
      </c>
      <c r="H962">
        <v>0</v>
      </c>
      <c r="I962">
        <v>5</v>
      </c>
      <c r="J962">
        <v>510110</v>
      </c>
      <c r="K962" t="s">
        <v>8203</v>
      </c>
      <c r="L962" s="1">
        <v>41263</v>
      </c>
      <c r="N962" t="s">
        <v>5127</v>
      </c>
      <c r="O962" t="s">
        <v>2458</v>
      </c>
      <c r="P962" t="s">
        <v>6330</v>
      </c>
      <c r="Q962" t="s">
        <v>39</v>
      </c>
      <c r="R962" t="s">
        <v>40</v>
      </c>
      <c r="S962">
        <v>0</v>
      </c>
      <c r="U962" t="s">
        <v>5550</v>
      </c>
      <c r="V962" t="s">
        <v>1797</v>
      </c>
      <c r="X962" t="s">
        <v>74</v>
      </c>
      <c r="Y962" t="b">
        <v>0</v>
      </c>
      <c r="Z962" t="b">
        <v>0</v>
      </c>
      <c r="AC962" s="1"/>
      <c r="AF962">
        <v>0</v>
      </c>
      <c r="AG962">
        <v>45</v>
      </c>
      <c r="AH962">
        <v>50</v>
      </c>
      <c r="AI962" s="2">
        <f>Table__192.168.3.138AgingReportBEWLGS[[#This Row],[NetAmount]]-Table__192.168.3.138AgingReportBEWLGS[[#This Row],[Paid]]</f>
        <v>510110</v>
      </c>
    </row>
    <row r="963" spans="1:35">
      <c r="A963" t="s">
        <v>8204</v>
      </c>
      <c r="B963" s="1">
        <v>41274</v>
      </c>
      <c r="C963" s="1">
        <v>41319</v>
      </c>
      <c r="D963" t="s">
        <v>7250</v>
      </c>
      <c r="E963">
        <v>35000</v>
      </c>
      <c r="F963">
        <v>5600</v>
      </c>
      <c r="G963">
        <v>0</v>
      </c>
      <c r="H963">
        <v>0</v>
      </c>
      <c r="I963">
        <v>-6</v>
      </c>
      <c r="J963">
        <v>40600</v>
      </c>
      <c r="K963" t="s">
        <v>8205</v>
      </c>
      <c r="L963" s="1">
        <v>41274</v>
      </c>
      <c r="N963" t="s">
        <v>5127</v>
      </c>
      <c r="O963" t="s">
        <v>2458</v>
      </c>
      <c r="P963" t="s">
        <v>5526</v>
      </c>
      <c r="Q963" t="s">
        <v>39</v>
      </c>
      <c r="R963" t="s">
        <v>40</v>
      </c>
      <c r="S963">
        <v>0</v>
      </c>
      <c r="U963" t="s">
        <v>5550</v>
      </c>
      <c r="V963" t="s">
        <v>1797</v>
      </c>
      <c r="X963" t="s">
        <v>74</v>
      </c>
      <c r="Y963" t="b">
        <v>0</v>
      </c>
      <c r="Z963" t="b">
        <v>0</v>
      </c>
      <c r="AC963" s="1"/>
      <c r="AF963">
        <v>0</v>
      </c>
      <c r="AG963">
        <v>45</v>
      </c>
      <c r="AH963">
        <v>39</v>
      </c>
      <c r="AI963" s="2">
        <f>Table__192.168.3.138AgingReportBEWLGS[[#This Row],[NetAmount]]-Table__192.168.3.138AgingReportBEWLGS[[#This Row],[Paid]]</f>
        <v>40600</v>
      </c>
    </row>
    <row r="964" spans="1:35">
      <c r="A964" t="s">
        <v>8206</v>
      </c>
      <c r="B964" s="1">
        <v>41265</v>
      </c>
      <c r="C964" s="1">
        <v>41310</v>
      </c>
      <c r="D964" t="s">
        <v>6328</v>
      </c>
      <c r="E964">
        <v>674900</v>
      </c>
      <c r="F964">
        <v>107984</v>
      </c>
      <c r="G964">
        <v>0</v>
      </c>
      <c r="H964">
        <v>0</v>
      </c>
      <c r="I964">
        <v>3</v>
      </c>
      <c r="J964">
        <v>786457</v>
      </c>
      <c r="K964" t="s">
        <v>8207</v>
      </c>
      <c r="L964" s="1">
        <v>41265</v>
      </c>
      <c r="N964" t="s">
        <v>5127</v>
      </c>
      <c r="O964" t="s">
        <v>2458</v>
      </c>
      <c r="P964" t="s">
        <v>6330</v>
      </c>
      <c r="Q964" t="s">
        <v>39</v>
      </c>
      <c r="R964" t="s">
        <v>40</v>
      </c>
      <c r="S964">
        <v>0</v>
      </c>
      <c r="U964" t="s">
        <v>5550</v>
      </c>
      <c r="V964" t="s">
        <v>1797</v>
      </c>
      <c r="X964" t="s">
        <v>74</v>
      </c>
      <c r="Y964" t="b">
        <v>0</v>
      </c>
      <c r="Z964" t="b">
        <v>0</v>
      </c>
      <c r="AC964" s="1"/>
      <c r="AF964">
        <v>0</v>
      </c>
      <c r="AG964">
        <v>45</v>
      </c>
      <c r="AH964">
        <v>48</v>
      </c>
      <c r="AI964" s="2">
        <f>Table__192.168.3.138AgingReportBEWLGS[[#This Row],[NetAmount]]-Table__192.168.3.138AgingReportBEWLGS[[#This Row],[Paid]]</f>
        <v>786457</v>
      </c>
    </row>
    <row r="965" spans="1:35">
      <c r="A965" t="s">
        <v>8208</v>
      </c>
      <c r="B965" s="1">
        <v>41263</v>
      </c>
      <c r="C965" s="1">
        <v>41308</v>
      </c>
      <c r="D965" t="s">
        <v>6703</v>
      </c>
      <c r="E965">
        <v>366741</v>
      </c>
      <c r="F965">
        <v>58679</v>
      </c>
      <c r="G965">
        <v>0</v>
      </c>
      <c r="H965">
        <v>0</v>
      </c>
      <c r="I965">
        <v>1</v>
      </c>
      <c r="J965">
        <v>425420</v>
      </c>
      <c r="K965" t="s">
        <v>8209</v>
      </c>
      <c r="L965" s="1">
        <v>41267</v>
      </c>
      <c r="N965" t="s">
        <v>5127</v>
      </c>
      <c r="O965" t="s">
        <v>2458</v>
      </c>
      <c r="P965" t="s">
        <v>6705</v>
      </c>
      <c r="Q965" t="s">
        <v>39</v>
      </c>
      <c r="R965" t="s">
        <v>40</v>
      </c>
      <c r="S965">
        <v>0</v>
      </c>
      <c r="U965" t="s">
        <v>5550</v>
      </c>
      <c r="V965" t="s">
        <v>1797</v>
      </c>
      <c r="X965" t="s">
        <v>74</v>
      </c>
      <c r="Y965" t="b">
        <v>0</v>
      </c>
      <c r="Z965" t="b">
        <v>0</v>
      </c>
      <c r="AC965" s="1"/>
      <c r="AF965">
        <v>0</v>
      </c>
      <c r="AG965">
        <v>45</v>
      </c>
      <c r="AH965">
        <v>46</v>
      </c>
      <c r="AI965" s="2">
        <f>Table__192.168.3.138AgingReportBEWLGS[[#This Row],[NetAmount]]-Table__192.168.3.138AgingReportBEWLGS[[#This Row],[Paid]]</f>
        <v>425420</v>
      </c>
    </row>
    <row r="966" spans="1:35">
      <c r="A966" t="s">
        <v>8210</v>
      </c>
      <c r="B966" s="1">
        <v>41262</v>
      </c>
      <c r="C966" s="1">
        <v>41307</v>
      </c>
      <c r="D966" t="s">
        <v>6474</v>
      </c>
      <c r="E966">
        <v>58981</v>
      </c>
      <c r="F966">
        <v>9437</v>
      </c>
      <c r="G966">
        <v>0</v>
      </c>
      <c r="H966">
        <v>0</v>
      </c>
      <c r="I966">
        <v>3</v>
      </c>
      <c r="J966">
        <v>68418</v>
      </c>
      <c r="K966" t="s">
        <v>8211</v>
      </c>
      <c r="L966" s="1">
        <v>41265</v>
      </c>
      <c r="N966" t="s">
        <v>5127</v>
      </c>
      <c r="O966" t="s">
        <v>2458</v>
      </c>
      <c r="P966" t="s">
        <v>6475</v>
      </c>
      <c r="Q966" t="s">
        <v>39</v>
      </c>
      <c r="R966" t="s">
        <v>40</v>
      </c>
      <c r="S966">
        <v>0</v>
      </c>
      <c r="U966" t="s">
        <v>5550</v>
      </c>
      <c r="V966" t="s">
        <v>1797</v>
      </c>
      <c r="X966" t="s">
        <v>74</v>
      </c>
      <c r="Y966" t="b">
        <v>0</v>
      </c>
      <c r="Z966" t="b">
        <v>0</v>
      </c>
      <c r="AC966" s="1"/>
      <c r="AF966">
        <v>0</v>
      </c>
      <c r="AG966">
        <v>45</v>
      </c>
      <c r="AH966">
        <v>48</v>
      </c>
      <c r="AI966" s="2">
        <f>Table__192.168.3.138AgingReportBEWLGS[[#This Row],[NetAmount]]-Table__192.168.3.138AgingReportBEWLGS[[#This Row],[Paid]]</f>
        <v>68418</v>
      </c>
    </row>
    <row r="967" spans="1:35">
      <c r="A967" t="s">
        <v>8212</v>
      </c>
      <c r="B967" s="1">
        <v>41265</v>
      </c>
      <c r="C967" s="1">
        <v>41310</v>
      </c>
      <c r="D967" t="s">
        <v>6328</v>
      </c>
      <c r="E967">
        <v>363925</v>
      </c>
      <c r="F967">
        <v>58228</v>
      </c>
      <c r="G967">
        <v>0</v>
      </c>
      <c r="H967">
        <v>0</v>
      </c>
      <c r="I967">
        <v>3</v>
      </c>
      <c r="J967">
        <v>424403</v>
      </c>
      <c r="K967" t="s">
        <v>8213</v>
      </c>
      <c r="L967" s="1">
        <v>41265</v>
      </c>
      <c r="N967" t="s">
        <v>5127</v>
      </c>
      <c r="O967" t="s">
        <v>2458</v>
      </c>
      <c r="P967" t="s">
        <v>6330</v>
      </c>
      <c r="Q967" t="s">
        <v>39</v>
      </c>
      <c r="R967" t="s">
        <v>40</v>
      </c>
      <c r="S967">
        <v>0</v>
      </c>
      <c r="U967" t="s">
        <v>5550</v>
      </c>
      <c r="V967" t="s">
        <v>1797</v>
      </c>
      <c r="X967" t="s">
        <v>74</v>
      </c>
      <c r="Y967" t="b">
        <v>0</v>
      </c>
      <c r="Z967" t="b">
        <v>0</v>
      </c>
      <c r="AC967" s="1"/>
      <c r="AF967">
        <v>0</v>
      </c>
      <c r="AG967">
        <v>45</v>
      </c>
      <c r="AH967">
        <v>48</v>
      </c>
      <c r="AI967" s="2">
        <f>Table__192.168.3.138AgingReportBEWLGS[[#This Row],[NetAmount]]-Table__192.168.3.138AgingReportBEWLGS[[#This Row],[Paid]]</f>
        <v>424403</v>
      </c>
    </row>
    <row r="968" spans="1:35">
      <c r="A968" t="s">
        <v>8214</v>
      </c>
      <c r="B968" s="1">
        <v>41261</v>
      </c>
      <c r="C968" s="1">
        <v>41306</v>
      </c>
      <c r="D968" t="s">
        <v>6474</v>
      </c>
      <c r="E968">
        <v>213878</v>
      </c>
      <c r="F968">
        <v>34220</v>
      </c>
      <c r="G968">
        <v>0</v>
      </c>
      <c r="H968">
        <v>0</v>
      </c>
      <c r="I968">
        <v>3</v>
      </c>
      <c r="J968">
        <v>251098</v>
      </c>
      <c r="K968" t="s">
        <v>8215</v>
      </c>
      <c r="L968" s="1">
        <v>41265</v>
      </c>
      <c r="N968" t="s">
        <v>5127</v>
      </c>
      <c r="O968" t="s">
        <v>2458</v>
      </c>
      <c r="P968" t="s">
        <v>6475</v>
      </c>
      <c r="Q968" t="s">
        <v>39</v>
      </c>
      <c r="R968" t="s">
        <v>40</v>
      </c>
      <c r="S968">
        <v>0</v>
      </c>
      <c r="U968" t="s">
        <v>5550</v>
      </c>
      <c r="V968" t="s">
        <v>1797</v>
      </c>
      <c r="X968" t="s">
        <v>74</v>
      </c>
      <c r="Y968" t="b">
        <v>0</v>
      </c>
      <c r="Z968" t="b">
        <v>0</v>
      </c>
      <c r="AC968" s="1"/>
      <c r="AF968">
        <v>0</v>
      </c>
      <c r="AG968">
        <v>45</v>
      </c>
      <c r="AH968">
        <v>48</v>
      </c>
      <c r="AI968" s="2">
        <f>Table__192.168.3.138AgingReportBEWLGS[[#This Row],[NetAmount]]-Table__192.168.3.138AgingReportBEWLGS[[#This Row],[Paid]]</f>
        <v>251098</v>
      </c>
    </row>
    <row r="969" spans="1:35">
      <c r="A969" t="s">
        <v>8216</v>
      </c>
      <c r="B969" s="1">
        <v>41271</v>
      </c>
      <c r="C969" s="1">
        <v>41271</v>
      </c>
      <c r="D969" t="s">
        <v>7622</v>
      </c>
      <c r="E969">
        <v>1115940</v>
      </c>
      <c r="F969">
        <v>178550</v>
      </c>
      <c r="G969">
        <v>0</v>
      </c>
      <c r="H969">
        <v>0</v>
      </c>
      <c r="I969">
        <v>0</v>
      </c>
      <c r="J969">
        <v>1294490</v>
      </c>
      <c r="K969" t="s">
        <v>8143</v>
      </c>
      <c r="L969" s="1">
        <v>41270</v>
      </c>
      <c r="N969" t="s">
        <v>5127</v>
      </c>
      <c r="O969" t="s">
        <v>2458</v>
      </c>
      <c r="P969" t="s">
        <v>7624</v>
      </c>
      <c r="Q969" t="s">
        <v>39</v>
      </c>
      <c r="R969" t="s">
        <v>40</v>
      </c>
      <c r="S969">
        <v>0</v>
      </c>
      <c r="U969" t="s">
        <v>5550</v>
      </c>
      <c r="V969" t="s">
        <v>1797</v>
      </c>
      <c r="X969" t="s">
        <v>74</v>
      </c>
      <c r="Y969" t="b">
        <v>0</v>
      </c>
      <c r="Z969" t="b">
        <v>0</v>
      </c>
      <c r="AC969" s="1"/>
      <c r="AF969">
        <v>0</v>
      </c>
      <c r="AH969">
        <v>43</v>
      </c>
      <c r="AI969" s="2">
        <f>Table__192.168.3.138AgingReportBEWLGS[[#This Row],[NetAmount]]-Table__192.168.3.138AgingReportBEWLGS[[#This Row],[Paid]]</f>
        <v>1294490</v>
      </c>
    </row>
    <row r="970" spans="1:35">
      <c r="A970" t="s">
        <v>8217</v>
      </c>
      <c r="B970" s="1">
        <v>41265</v>
      </c>
      <c r="C970" s="1">
        <v>41310</v>
      </c>
      <c r="D970" t="s">
        <v>7264</v>
      </c>
      <c r="E970">
        <v>105937</v>
      </c>
      <c r="F970">
        <v>16950</v>
      </c>
      <c r="G970">
        <v>0</v>
      </c>
      <c r="H970">
        <v>0</v>
      </c>
      <c r="I970">
        <v>3</v>
      </c>
      <c r="J970">
        <v>122887</v>
      </c>
      <c r="K970" t="s">
        <v>8218</v>
      </c>
      <c r="L970" s="1">
        <v>41265</v>
      </c>
      <c r="N970" t="s">
        <v>5127</v>
      </c>
      <c r="O970" t="s">
        <v>2458</v>
      </c>
      <c r="P970" t="s">
        <v>7266</v>
      </c>
      <c r="Q970" t="s">
        <v>39</v>
      </c>
      <c r="R970" t="s">
        <v>40</v>
      </c>
      <c r="S970">
        <v>0</v>
      </c>
      <c r="U970" t="s">
        <v>5550</v>
      </c>
      <c r="V970" t="s">
        <v>1797</v>
      </c>
      <c r="X970" t="s">
        <v>74</v>
      </c>
      <c r="Y970" t="b">
        <v>0</v>
      </c>
      <c r="Z970" t="b">
        <v>0</v>
      </c>
      <c r="AB970" t="s">
        <v>8219</v>
      </c>
      <c r="AC970" s="1"/>
      <c r="AF970">
        <v>0</v>
      </c>
      <c r="AG970">
        <v>45</v>
      </c>
      <c r="AH970">
        <v>48</v>
      </c>
      <c r="AI970" s="2">
        <f>Table__192.168.3.138AgingReportBEWLGS[[#This Row],[NetAmount]]-Table__192.168.3.138AgingReportBEWLGS[[#This Row],[Paid]]</f>
        <v>122887</v>
      </c>
    </row>
    <row r="971" spans="1:35">
      <c r="A971" t="s">
        <v>8220</v>
      </c>
      <c r="B971" s="1">
        <v>41274</v>
      </c>
      <c r="C971" s="1">
        <v>41319</v>
      </c>
      <c r="D971" t="s">
        <v>7074</v>
      </c>
      <c r="E971">
        <v>25100</v>
      </c>
      <c r="F971">
        <v>0</v>
      </c>
      <c r="G971">
        <v>0</v>
      </c>
      <c r="H971">
        <v>0</v>
      </c>
      <c r="I971">
        <v>-6</v>
      </c>
      <c r="J971">
        <v>25100</v>
      </c>
      <c r="K971" t="s">
        <v>6035</v>
      </c>
      <c r="L971" s="1">
        <v>41274</v>
      </c>
      <c r="M971" t="s">
        <v>8221</v>
      </c>
      <c r="N971" t="s">
        <v>5127</v>
      </c>
      <c r="O971" t="s">
        <v>2458</v>
      </c>
      <c r="P971" t="s">
        <v>7076</v>
      </c>
      <c r="Q971" t="s">
        <v>39</v>
      </c>
      <c r="R971" t="s">
        <v>40</v>
      </c>
      <c r="S971">
        <v>0</v>
      </c>
      <c r="U971" t="s">
        <v>5550</v>
      </c>
      <c r="V971" t="s">
        <v>1797</v>
      </c>
      <c r="W971" t="s">
        <v>7077</v>
      </c>
      <c r="X971" t="s">
        <v>74</v>
      </c>
      <c r="Y971" t="b">
        <v>0</v>
      </c>
      <c r="Z971" t="b">
        <v>0</v>
      </c>
      <c r="AA971" t="b">
        <v>0</v>
      </c>
      <c r="AC971" s="1"/>
      <c r="AF971">
        <v>0</v>
      </c>
      <c r="AG971">
        <v>45</v>
      </c>
      <c r="AH971">
        <v>39</v>
      </c>
      <c r="AI971" s="2">
        <f>Table__192.168.3.138AgingReportBEWLGS[[#This Row],[NetAmount]]-Table__192.168.3.138AgingReportBEWLGS[[#This Row],[Paid]]</f>
        <v>25100</v>
      </c>
    </row>
    <row r="972" spans="1:35">
      <c r="A972" t="s">
        <v>8222</v>
      </c>
      <c r="B972" s="1">
        <v>41257</v>
      </c>
      <c r="C972" s="1">
        <v>41302</v>
      </c>
      <c r="D972" t="s">
        <v>7264</v>
      </c>
      <c r="E972">
        <v>551308</v>
      </c>
      <c r="F972">
        <v>88209</v>
      </c>
      <c r="G972">
        <v>0</v>
      </c>
      <c r="H972">
        <v>0</v>
      </c>
      <c r="I972">
        <v>12</v>
      </c>
      <c r="J972">
        <v>639517</v>
      </c>
      <c r="K972" t="s">
        <v>8223</v>
      </c>
      <c r="L972" s="1">
        <v>41256</v>
      </c>
      <c r="N972" t="s">
        <v>5127</v>
      </c>
      <c r="O972" t="s">
        <v>2458</v>
      </c>
      <c r="P972" t="s">
        <v>7266</v>
      </c>
      <c r="Q972" t="s">
        <v>39</v>
      </c>
      <c r="R972" t="s">
        <v>40</v>
      </c>
      <c r="S972">
        <v>0</v>
      </c>
      <c r="U972" t="s">
        <v>5550</v>
      </c>
      <c r="V972" t="s">
        <v>1797</v>
      </c>
      <c r="X972" t="s">
        <v>74</v>
      </c>
      <c r="Y972" t="b">
        <v>0</v>
      </c>
      <c r="Z972" t="b">
        <v>0</v>
      </c>
      <c r="AB972" t="s">
        <v>8219</v>
      </c>
      <c r="AC972" s="1"/>
      <c r="AF972">
        <v>0</v>
      </c>
      <c r="AG972">
        <v>45</v>
      </c>
      <c r="AH972">
        <v>57</v>
      </c>
      <c r="AI972" s="2">
        <f>Table__192.168.3.138AgingReportBEWLGS[[#This Row],[NetAmount]]-Table__192.168.3.138AgingReportBEWLGS[[#This Row],[Paid]]</f>
        <v>639517</v>
      </c>
    </row>
    <row r="973" spans="1:35">
      <c r="A973" t="s">
        <v>8224</v>
      </c>
      <c r="B973" s="1">
        <v>41274</v>
      </c>
      <c r="C973" s="1">
        <v>41319</v>
      </c>
      <c r="D973" t="s">
        <v>6412</v>
      </c>
      <c r="E973">
        <v>1088545</v>
      </c>
      <c r="F973">
        <v>174167</v>
      </c>
      <c r="G973">
        <v>0</v>
      </c>
      <c r="H973">
        <v>0</v>
      </c>
      <c r="I973">
        <v>-6</v>
      </c>
      <c r="J973">
        <v>1262712</v>
      </c>
      <c r="K973" t="s">
        <v>8225</v>
      </c>
      <c r="L973" s="1">
        <v>41274</v>
      </c>
      <c r="N973" t="s">
        <v>5127</v>
      </c>
      <c r="O973" t="s">
        <v>2458</v>
      </c>
      <c r="P973" t="s">
        <v>6414</v>
      </c>
      <c r="Q973" t="s">
        <v>39</v>
      </c>
      <c r="R973" t="s">
        <v>40</v>
      </c>
      <c r="S973">
        <v>0</v>
      </c>
      <c r="U973" t="s">
        <v>5550</v>
      </c>
      <c r="V973" t="s">
        <v>1797</v>
      </c>
      <c r="X973" t="s">
        <v>74</v>
      </c>
      <c r="Y973" t="b">
        <v>0</v>
      </c>
      <c r="Z973" t="b">
        <v>0</v>
      </c>
      <c r="AC973" s="1"/>
      <c r="AF973">
        <v>0</v>
      </c>
      <c r="AG973">
        <v>45</v>
      </c>
      <c r="AH973">
        <v>39</v>
      </c>
      <c r="AI973" s="2">
        <f>Table__192.168.3.138AgingReportBEWLGS[[#This Row],[NetAmount]]-Table__192.168.3.138AgingReportBEWLGS[[#This Row],[Paid]]</f>
        <v>1262712</v>
      </c>
    </row>
    <row r="974" spans="1:35">
      <c r="A974" t="s">
        <v>8226</v>
      </c>
      <c r="B974" s="1">
        <v>41274</v>
      </c>
      <c r="C974" s="1">
        <v>41319</v>
      </c>
      <c r="D974" t="s">
        <v>6278</v>
      </c>
      <c r="E974">
        <v>11764</v>
      </c>
      <c r="F974">
        <v>406</v>
      </c>
      <c r="G974">
        <v>0</v>
      </c>
      <c r="H974">
        <v>0</v>
      </c>
      <c r="I974">
        <v>-6</v>
      </c>
      <c r="J974">
        <v>12170</v>
      </c>
      <c r="K974" t="s">
        <v>6035</v>
      </c>
      <c r="L974" s="1">
        <v>41274</v>
      </c>
      <c r="N974" t="s">
        <v>5127</v>
      </c>
      <c r="O974" t="s">
        <v>2458</v>
      </c>
      <c r="P974" t="s">
        <v>6280</v>
      </c>
      <c r="Q974" t="s">
        <v>39</v>
      </c>
      <c r="R974" t="s">
        <v>40</v>
      </c>
      <c r="S974">
        <v>0</v>
      </c>
      <c r="U974" t="s">
        <v>5550</v>
      </c>
      <c r="V974" t="s">
        <v>1797</v>
      </c>
      <c r="X974" t="s">
        <v>74</v>
      </c>
      <c r="Y974" t="b">
        <v>0</v>
      </c>
      <c r="Z974" t="b">
        <v>0</v>
      </c>
      <c r="AC974" s="1"/>
      <c r="AF974">
        <v>0</v>
      </c>
      <c r="AG974">
        <v>45</v>
      </c>
      <c r="AH974">
        <v>39</v>
      </c>
      <c r="AI974" s="2">
        <f>Table__192.168.3.138AgingReportBEWLGS[[#This Row],[NetAmount]]-Table__192.168.3.138AgingReportBEWLGS[[#This Row],[Paid]]</f>
        <v>12170</v>
      </c>
    </row>
    <row r="975" spans="1:35">
      <c r="A975" t="s">
        <v>8227</v>
      </c>
      <c r="B975" s="1">
        <v>41285</v>
      </c>
      <c r="C975" s="1">
        <v>41330</v>
      </c>
      <c r="D975" t="s">
        <v>8228</v>
      </c>
      <c r="E975">
        <v>44800</v>
      </c>
      <c r="F975">
        <v>2240</v>
      </c>
      <c r="G975">
        <v>0</v>
      </c>
      <c r="H975">
        <v>0</v>
      </c>
      <c r="I975">
        <v>-15</v>
      </c>
      <c r="J975">
        <v>47040</v>
      </c>
      <c r="K975" t="s">
        <v>8229</v>
      </c>
      <c r="L975" s="1">
        <v>41283</v>
      </c>
      <c r="N975" t="s">
        <v>5127</v>
      </c>
      <c r="O975" t="s">
        <v>2458</v>
      </c>
      <c r="P975" t="s">
        <v>8230</v>
      </c>
      <c r="Q975" t="s">
        <v>39</v>
      </c>
      <c r="R975" t="s">
        <v>40</v>
      </c>
      <c r="S975">
        <v>0</v>
      </c>
      <c r="U975" t="s">
        <v>5550</v>
      </c>
      <c r="V975" t="s">
        <v>1797</v>
      </c>
      <c r="X975" t="s">
        <v>74</v>
      </c>
      <c r="Y975" t="b">
        <v>0</v>
      </c>
      <c r="Z975" t="b">
        <v>0</v>
      </c>
      <c r="AC975" s="1"/>
      <c r="AF975">
        <v>0</v>
      </c>
      <c r="AG975">
        <v>45</v>
      </c>
      <c r="AH975">
        <v>30</v>
      </c>
      <c r="AI975" s="2">
        <f>Table__192.168.3.138AgingReportBEWLGS[[#This Row],[NetAmount]]-Table__192.168.3.138AgingReportBEWLGS[[#This Row],[Paid]]</f>
        <v>47040</v>
      </c>
    </row>
    <row r="976" spans="1:35">
      <c r="A976" t="s">
        <v>8231</v>
      </c>
      <c r="B976" s="1">
        <v>41285</v>
      </c>
      <c r="C976" s="1">
        <v>41330</v>
      </c>
      <c r="D976" t="s">
        <v>8232</v>
      </c>
      <c r="E976">
        <v>2310</v>
      </c>
      <c r="F976">
        <v>0</v>
      </c>
      <c r="G976">
        <v>0</v>
      </c>
      <c r="H976">
        <v>0</v>
      </c>
      <c r="I976">
        <v>-15</v>
      </c>
      <c r="J976">
        <v>2310</v>
      </c>
      <c r="K976" t="s">
        <v>4001</v>
      </c>
      <c r="L976" s="1">
        <v>41283</v>
      </c>
      <c r="N976" t="s">
        <v>5127</v>
      </c>
      <c r="O976" t="s">
        <v>2458</v>
      </c>
      <c r="P976" t="s">
        <v>8233</v>
      </c>
      <c r="Q976" t="s">
        <v>39</v>
      </c>
      <c r="R976" t="s">
        <v>40</v>
      </c>
      <c r="S976">
        <v>0</v>
      </c>
      <c r="U976" t="s">
        <v>5550</v>
      </c>
      <c r="V976" t="s">
        <v>1797</v>
      </c>
      <c r="X976" t="s">
        <v>74</v>
      </c>
      <c r="Y976" t="b">
        <v>0</v>
      </c>
      <c r="Z976" t="b">
        <v>0</v>
      </c>
      <c r="AC976" s="1"/>
      <c r="AF976">
        <v>0</v>
      </c>
      <c r="AG976">
        <v>45</v>
      </c>
      <c r="AH976">
        <v>30</v>
      </c>
      <c r="AI976" s="2">
        <f>Table__192.168.3.138AgingReportBEWLGS[[#This Row],[NetAmount]]-Table__192.168.3.138AgingReportBEWLGS[[#This Row],[Paid]]</f>
        <v>2310</v>
      </c>
    </row>
    <row r="977" spans="1:35">
      <c r="A977" t="s">
        <v>8234</v>
      </c>
      <c r="B977" s="1">
        <v>41283</v>
      </c>
      <c r="C977" s="1">
        <v>41328</v>
      </c>
      <c r="D977" t="s">
        <v>8023</v>
      </c>
      <c r="E977">
        <v>78000</v>
      </c>
      <c r="F977">
        <v>12480</v>
      </c>
      <c r="G977">
        <v>0</v>
      </c>
      <c r="H977">
        <v>0</v>
      </c>
      <c r="I977">
        <v>-15</v>
      </c>
      <c r="J977">
        <v>90480</v>
      </c>
      <c r="K977" t="s">
        <v>8235</v>
      </c>
      <c r="L977" s="1">
        <v>41283</v>
      </c>
      <c r="N977" t="s">
        <v>5127</v>
      </c>
      <c r="O977" t="s">
        <v>2458</v>
      </c>
      <c r="P977" t="s">
        <v>8025</v>
      </c>
      <c r="Q977" t="s">
        <v>39</v>
      </c>
      <c r="R977" t="s">
        <v>40</v>
      </c>
      <c r="S977">
        <v>0</v>
      </c>
      <c r="U977" t="s">
        <v>5550</v>
      </c>
      <c r="V977" t="s">
        <v>1797</v>
      </c>
      <c r="X977" t="s">
        <v>74</v>
      </c>
      <c r="Y977" t="b">
        <v>0</v>
      </c>
      <c r="Z977" t="b">
        <v>0</v>
      </c>
      <c r="AC977" s="1"/>
      <c r="AF977">
        <v>0</v>
      </c>
      <c r="AG977">
        <v>45</v>
      </c>
      <c r="AH977">
        <v>30</v>
      </c>
      <c r="AI977" s="2">
        <f>Table__192.168.3.138AgingReportBEWLGS[[#This Row],[NetAmount]]-Table__192.168.3.138AgingReportBEWLGS[[#This Row],[Paid]]</f>
        <v>90480</v>
      </c>
    </row>
    <row r="978" spans="1:35">
      <c r="A978" t="s">
        <v>8236</v>
      </c>
      <c r="B978" s="1">
        <v>41282</v>
      </c>
      <c r="C978" s="1">
        <v>41327</v>
      </c>
      <c r="D978" t="s">
        <v>7412</v>
      </c>
      <c r="E978">
        <v>60000</v>
      </c>
      <c r="F978">
        <v>0</v>
      </c>
      <c r="G978">
        <v>0</v>
      </c>
      <c r="H978">
        <v>0</v>
      </c>
      <c r="I978">
        <v>-13</v>
      </c>
      <c r="J978">
        <v>60000</v>
      </c>
      <c r="K978" t="s">
        <v>5422</v>
      </c>
      <c r="L978" s="1">
        <v>41281</v>
      </c>
      <c r="N978" t="s">
        <v>5127</v>
      </c>
      <c r="O978" t="s">
        <v>2458</v>
      </c>
      <c r="P978" t="s">
        <v>5540</v>
      </c>
      <c r="Q978" t="s">
        <v>39</v>
      </c>
      <c r="R978" t="s">
        <v>40</v>
      </c>
      <c r="S978">
        <v>0</v>
      </c>
      <c r="U978" t="s">
        <v>5550</v>
      </c>
      <c r="V978" t="s">
        <v>1797</v>
      </c>
      <c r="X978" t="s">
        <v>74</v>
      </c>
      <c r="Y978" t="b">
        <v>0</v>
      </c>
      <c r="Z978" t="b">
        <v>0</v>
      </c>
      <c r="AC978" s="1"/>
      <c r="AF978">
        <v>0</v>
      </c>
      <c r="AG978">
        <v>45</v>
      </c>
      <c r="AH978">
        <v>32</v>
      </c>
      <c r="AI978" s="2">
        <f>Table__192.168.3.138AgingReportBEWLGS[[#This Row],[NetAmount]]-Table__192.168.3.138AgingReportBEWLGS[[#This Row],[Paid]]</f>
        <v>60000</v>
      </c>
    </row>
    <row r="979" spans="1:35">
      <c r="A979" t="s">
        <v>8237</v>
      </c>
      <c r="B979" s="1">
        <v>41275</v>
      </c>
      <c r="C979" s="1">
        <v>41320</v>
      </c>
      <c r="D979" t="s">
        <v>7755</v>
      </c>
      <c r="E979">
        <v>27500</v>
      </c>
      <c r="F979">
        <v>0</v>
      </c>
      <c r="G979">
        <v>0</v>
      </c>
      <c r="H979">
        <v>0</v>
      </c>
      <c r="I979">
        <v>-7</v>
      </c>
      <c r="J979">
        <v>27500</v>
      </c>
      <c r="K979" t="s">
        <v>8238</v>
      </c>
      <c r="L979" s="1">
        <v>41275</v>
      </c>
      <c r="N979" t="s">
        <v>5127</v>
      </c>
      <c r="O979" t="s">
        <v>2458</v>
      </c>
      <c r="P979" t="s">
        <v>7756</v>
      </c>
      <c r="Q979" t="s">
        <v>39</v>
      </c>
      <c r="R979" t="s">
        <v>40</v>
      </c>
      <c r="S979">
        <v>0</v>
      </c>
      <c r="U979" t="s">
        <v>5550</v>
      </c>
      <c r="V979" t="s">
        <v>1797</v>
      </c>
      <c r="X979" t="s">
        <v>74</v>
      </c>
      <c r="Y979" t="b">
        <v>0</v>
      </c>
      <c r="Z979" t="b">
        <v>0</v>
      </c>
      <c r="AC979" s="1"/>
      <c r="AF979">
        <v>0</v>
      </c>
      <c r="AG979">
        <v>45</v>
      </c>
      <c r="AH979">
        <v>38</v>
      </c>
      <c r="AI979" s="2">
        <f>Table__192.168.3.138AgingReportBEWLGS[[#This Row],[NetAmount]]-Table__192.168.3.138AgingReportBEWLGS[[#This Row],[Paid]]</f>
        <v>27500</v>
      </c>
    </row>
    <row r="980" spans="1:35">
      <c r="A980" t="s">
        <v>8239</v>
      </c>
      <c r="B980" s="1">
        <v>41283</v>
      </c>
      <c r="C980" s="1">
        <v>41283</v>
      </c>
      <c r="D980" t="s">
        <v>8240</v>
      </c>
      <c r="E980">
        <v>3750</v>
      </c>
      <c r="F980">
        <v>0</v>
      </c>
      <c r="G980">
        <v>0</v>
      </c>
      <c r="H980">
        <v>0</v>
      </c>
      <c r="I980">
        <v>0</v>
      </c>
      <c r="J980">
        <v>3750</v>
      </c>
      <c r="K980" t="s">
        <v>3450</v>
      </c>
      <c r="L980" s="1">
        <v>41281</v>
      </c>
      <c r="N980" t="s">
        <v>5127</v>
      </c>
      <c r="O980" t="s">
        <v>2458</v>
      </c>
      <c r="P980" t="s">
        <v>8241</v>
      </c>
      <c r="Q980" t="s">
        <v>39</v>
      </c>
      <c r="R980" t="s">
        <v>40</v>
      </c>
      <c r="S980">
        <v>0</v>
      </c>
      <c r="U980" t="s">
        <v>5550</v>
      </c>
      <c r="V980" t="s">
        <v>1797</v>
      </c>
      <c r="X980" t="s">
        <v>74</v>
      </c>
      <c r="Y980" t="b">
        <v>0</v>
      </c>
      <c r="Z980" t="b">
        <v>0</v>
      </c>
      <c r="AC980" s="1"/>
      <c r="AF980">
        <v>0</v>
      </c>
      <c r="AH980">
        <v>32</v>
      </c>
      <c r="AI980" s="2">
        <f>Table__192.168.3.138AgingReportBEWLGS[[#This Row],[NetAmount]]-Table__192.168.3.138AgingReportBEWLGS[[#This Row],[Paid]]</f>
        <v>3750</v>
      </c>
    </row>
    <row r="981" spans="1:35">
      <c r="A981" t="s">
        <v>8242</v>
      </c>
      <c r="B981" s="1">
        <v>41285</v>
      </c>
      <c r="C981" s="1">
        <v>41285</v>
      </c>
      <c r="D981" t="s">
        <v>8048</v>
      </c>
      <c r="E981">
        <v>14550</v>
      </c>
      <c r="F981">
        <v>0</v>
      </c>
      <c r="G981">
        <v>0</v>
      </c>
      <c r="H981">
        <v>0</v>
      </c>
      <c r="I981">
        <v>0</v>
      </c>
      <c r="J981">
        <v>14550</v>
      </c>
      <c r="K981" t="s">
        <v>1148</v>
      </c>
      <c r="L981" s="1">
        <v>41284</v>
      </c>
      <c r="N981" t="s">
        <v>5127</v>
      </c>
      <c r="O981" t="s">
        <v>2458</v>
      </c>
      <c r="P981" t="s">
        <v>8050</v>
      </c>
      <c r="Q981" t="s">
        <v>39</v>
      </c>
      <c r="R981" t="s">
        <v>40</v>
      </c>
      <c r="S981">
        <v>0</v>
      </c>
      <c r="U981" t="s">
        <v>5550</v>
      </c>
      <c r="V981" t="s">
        <v>1797</v>
      </c>
      <c r="X981" t="s">
        <v>74</v>
      </c>
      <c r="Y981" t="b">
        <v>0</v>
      </c>
      <c r="Z981" t="b">
        <v>0</v>
      </c>
      <c r="AC981" s="1"/>
      <c r="AF981">
        <v>0</v>
      </c>
      <c r="AH981">
        <v>29</v>
      </c>
      <c r="AI981" s="2">
        <f>Table__192.168.3.138AgingReportBEWLGS[[#This Row],[NetAmount]]-Table__192.168.3.138AgingReportBEWLGS[[#This Row],[Paid]]</f>
        <v>14550</v>
      </c>
    </row>
    <row r="982" spans="1:35">
      <c r="A982" t="s">
        <v>8243</v>
      </c>
      <c r="B982" s="1">
        <v>41285</v>
      </c>
      <c r="C982" s="1">
        <v>41285</v>
      </c>
      <c r="D982" t="s">
        <v>8048</v>
      </c>
      <c r="E982">
        <v>28350</v>
      </c>
      <c r="F982">
        <v>0</v>
      </c>
      <c r="G982">
        <v>0</v>
      </c>
      <c r="H982">
        <v>0</v>
      </c>
      <c r="I982">
        <v>0</v>
      </c>
      <c r="J982">
        <v>28350</v>
      </c>
      <c r="K982" t="s">
        <v>6547</v>
      </c>
      <c r="L982" s="1">
        <v>41284</v>
      </c>
      <c r="N982" t="s">
        <v>5127</v>
      </c>
      <c r="O982" t="s">
        <v>2458</v>
      </c>
      <c r="P982" t="s">
        <v>8050</v>
      </c>
      <c r="Q982" t="s">
        <v>39</v>
      </c>
      <c r="R982" t="s">
        <v>40</v>
      </c>
      <c r="S982">
        <v>0</v>
      </c>
      <c r="U982" t="s">
        <v>5550</v>
      </c>
      <c r="V982" t="s">
        <v>1797</v>
      </c>
      <c r="X982" t="s">
        <v>74</v>
      </c>
      <c r="Y982" t="b">
        <v>0</v>
      </c>
      <c r="Z982" t="b">
        <v>0</v>
      </c>
      <c r="AC982" s="1"/>
      <c r="AF982">
        <v>0</v>
      </c>
      <c r="AH982">
        <v>29</v>
      </c>
      <c r="AI982" s="2">
        <f>Table__192.168.3.138AgingReportBEWLGS[[#This Row],[NetAmount]]-Table__192.168.3.138AgingReportBEWLGS[[#This Row],[Paid]]</f>
        <v>28350</v>
      </c>
    </row>
    <row r="983" spans="1:35">
      <c r="A983" t="s">
        <v>8244</v>
      </c>
      <c r="B983" s="1">
        <v>41285</v>
      </c>
      <c r="C983" s="1">
        <v>41285</v>
      </c>
      <c r="D983" t="s">
        <v>8048</v>
      </c>
      <c r="E983">
        <v>14050</v>
      </c>
      <c r="F983">
        <v>0</v>
      </c>
      <c r="G983">
        <v>0</v>
      </c>
      <c r="H983">
        <v>0</v>
      </c>
      <c r="I983">
        <v>0</v>
      </c>
      <c r="J983">
        <v>14050</v>
      </c>
      <c r="K983" t="s">
        <v>8245</v>
      </c>
      <c r="L983" s="1">
        <v>41284</v>
      </c>
      <c r="N983" t="s">
        <v>5127</v>
      </c>
      <c r="O983" t="s">
        <v>2458</v>
      </c>
      <c r="P983" t="s">
        <v>8050</v>
      </c>
      <c r="Q983" t="s">
        <v>39</v>
      </c>
      <c r="R983" t="s">
        <v>40</v>
      </c>
      <c r="S983">
        <v>0</v>
      </c>
      <c r="U983" t="s">
        <v>5550</v>
      </c>
      <c r="V983" t="s">
        <v>1797</v>
      </c>
      <c r="X983" t="s">
        <v>74</v>
      </c>
      <c r="Y983" t="b">
        <v>0</v>
      </c>
      <c r="Z983" t="b">
        <v>0</v>
      </c>
      <c r="AC983" s="1"/>
      <c r="AF983">
        <v>0</v>
      </c>
      <c r="AH983">
        <v>29</v>
      </c>
      <c r="AI983" s="2">
        <f>Table__192.168.3.138AgingReportBEWLGS[[#This Row],[NetAmount]]-Table__192.168.3.138AgingReportBEWLGS[[#This Row],[Paid]]</f>
        <v>14050</v>
      </c>
    </row>
    <row r="984" spans="1:35">
      <c r="A984" t="s">
        <v>8246</v>
      </c>
      <c r="B984" s="1">
        <v>41285</v>
      </c>
      <c r="C984" s="1">
        <v>41285</v>
      </c>
      <c r="D984" t="s">
        <v>8048</v>
      </c>
      <c r="E984">
        <v>1456</v>
      </c>
      <c r="F984">
        <v>0</v>
      </c>
      <c r="G984">
        <v>0</v>
      </c>
      <c r="H984">
        <v>0</v>
      </c>
      <c r="I984">
        <v>0</v>
      </c>
      <c r="J984">
        <v>1456</v>
      </c>
      <c r="K984" t="s">
        <v>8247</v>
      </c>
      <c r="L984" s="1">
        <v>41284</v>
      </c>
      <c r="N984" t="s">
        <v>5127</v>
      </c>
      <c r="O984" t="s">
        <v>2458</v>
      </c>
      <c r="P984" t="s">
        <v>8050</v>
      </c>
      <c r="Q984" t="s">
        <v>39</v>
      </c>
      <c r="R984" t="s">
        <v>40</v>
      </c>
      <c r="S984">
        <v>0</v>
      </c>
      <c r="U984" t="s">
        <v>5550</v>
      </c>
      <c r="V984" t="s">
        <v>1797</v>
      </c>
      <c r="X984" t="s">
        <v>74</v>
      </c>
      <c r="Y984" t="b">
        <v>0</v>
      </c>
      <c r="Z984" t="b">
        <v>0</v>
      </c>
      <c r="AC984" s="1"/>
      <c r="AF984">
        <v>0</v>
      </c>
      <c r="AH984">
        <v>29</v>
      </c>
      <c r="AI984" s="2">
        <f>Table__192.168.3.138AgingReportBEWLGS[[#This Row],[NetAmount]]-Table__192.168.3.138AgingReportBEWLGS[[#This Row],[Paid]]</f>
        <v>1456</v>
      </c>
    </row>
    <row r="985" spans="1:35">
      <c r="A985" t="s">
        <v>8248</v>
      </c>
      <c r="B985" s="1">
        <v>41285</v>
      </c>
      <c r="C985" s="1">
        <v>41285</v>
      </c>
      <c r="D985" t="s">
        <v>8048</v>
      </c>
      <c r="E985">
        <v>12000</v>
      </c>
      <c r="F985">
        <v>0</v>
      </c>
      <c r="G985">
        <v>0</v>
      </c>
      <c r="H985">
        <v>0</v>
      </c>
      <c r="I985">
        <v>0</v>
      </c>
      <c r="J985">
        <v>12000</v>
      </c>
      <c r="K985" t="s">
        <v>6550</v>
      </c>
      <c r="L985" s="1">
        <v>41284</v>
      </c>
      <c r="N985" t="s">
        <v>5127</v>
      </c>
      <c r="O985" t="s">
        <v>2458</v>
      </c>
      <c r="P985" t="s">
        <v>8050</v>
      </c>
      <c r="Q985" t="s">
        <v>39</v>
      </c>
      <c r="R985" t="s">
        <v>40</v>
      </c>
      <c r="S985">
        <v>0</v>
      </c>
      <c r="U985" t="s">
        <v>5550</v>
      </c>
      <c r="V985" t="s">
        <v>1797</v>
      </c>
      <c r="X985" t="s">
        <v>74</v>
      </c>
      <c r="Y985" t="b">
        <v>0</v>
      </c>
      <c r="Z985" t="b">
        <v>0</v>
      </c>
      <c r="AC985" s="1"/>
      <c r="AF985">
        <v>0</v>
      </c>
      <c r="AH985">
        <v>29</v>
      </c>
      <c r="AI985" s="2">
        <f>Table__192.168.3.138AgingReportBEWLGS[[#This Row],[NetAmount]]-Table__192.168.3.138AgingReportBEWLGS[[#This Row],[Paid]]</f>
        <v>12000</v>
      </c>
    </row>
    <row r="986" spans="1:35">
      <c r="A986" t="s">
        <v>8249</v>
      </c>
      <c r="B986" s="1">
        <v>41274</v>
      </c>
      <c r="C986" s="1">
        <v>41274</v>
      </c>
      <c r="D986" t="s">
        <v>8250</v>
      </c>
      <c r="E986">
        <v>12800</v>
      </c>
      <c r="F986">
        <v>0</v>
      </c>
      <c r="G986">
        <v>0</v>
      </c>
      <c r="H986">
        <v>0</v>
      </c>
      <c r="I986">
        <v>0</v>
      </c>
      <c r="J986">
        <v>12800</v>
      </c>
      <c r="K986" t="s">
        <v>5105</v>
      </c>
      <c r="L986" s="1">
        <v>41291</v>
      </c>
      <c r="M986" t="s">
        <v>8251</v>
      </c>
      <c r="N986" t="s">
        <v>5127</v>
      </c>
      <c r="O986" t="s">
        <v>2458</v>
      </c>
      <c r="P986" t="s">
        <v>8252</v>
      </c>
      <c r="Q986" t="s">
        <v>39</v>
      </c>
      <c r="R986" t="s">
        <v>40</v>
      </c>
      <c r="S986">
        <v>0</v>
      </c>
      <c r="U986" t="s">
        <v>5550</v>
      </c>
      <c r="V986" t="s">
        <v>1797</v>
      </c>
      <c r="W986" t="s">
        <v>8253</v>
      </c>
      <c r="X986" t="s">
        <v>74</v>
      </c>
      <c r="Y986" t="b">
        <v>0</v>
      </c>
      <c r="Z986" t="b">
        <v>0</v>
      </c>
      <c r="AA986" t="b">
        <v>0</v>
      </c>
      <c r="AC986" s="1"/>
      <c r="AF986">
        <v>0</v>
      </c>
      <c r="AH986">
        <v>22</v>
      </c>
      <c r="AI986" s="2">
        <f>Table__192.168.3.138AgingReportBEWLGS[[#This Row],[NetAmount]]-Table__192.168.3.138AgingReportBEWLGS[[#This Row],[Paid]]</f>
        <v>12800</v>
      </c>
    </row>
    <row r="987" spans="1:35">
      <c r="A987" t="s">
        <v>8254</v>
      </c>
      <c r="B987" s="1">
        <v>41279</v>
      </c>
      <c r="C987" s="1">
        <v>41324</v>
      </c>
      <c r="D987" t="s">
        <v>8255</v>
      </c>
      <c r="E987">
        <v>15000</v>
      </c>
      <c r="F987">
        <v>2400</v>
      </c>
      <c r="G987">
        <v>0</v>
      </c>
      <c r="H987">
        <v>0</v>
      </c>
      <c r="I987">
        <v>-10</v>
      </c>
      <c r="J987">
        <v>17400</v>
      </c>
      <c r="K987" t="s">
        <v>8256</v>
      </c>
      <c r="L987" s="1">
        <v>41278</v>
      </c>
      <c r="N987" t="s">
        <v>5127</v>
      </c>
      <c r="O987" t="s">
        <v>2458</v>
      </c>
      <c r="P987" t="s">
        <v>5476</v>
      </c>
      <c r="Q987" t="s">
        <v>39</v>
      </c>
      <c r="R987" t="s">
        <v>40</v>
      </c>
      <c r="S987">
        <v>0</v>
      </c>
      <c r="U987" t="s">
        <v>5550</v>
      </c>
      <c r="V987" t="s">
        <v>1797</v>
      </c>
      <c r="X987" t="s">
        <v>74</v>
      </c>
      <c r="Y987" t="b">
        <v>0</v>
      </c>
      <c r="Z987" t="b">
        <v>0</v>
      </c>
      <c r="AC987" s="1"/>
      <c r="AF987">
        <v>0</v>
      </c>
      <c r="AG987">
        <v>45</v>
      </c>
      <c r="AH987">
        <v>35</v>
      </c>
      <c r="AI987" s="2">
        <f>Table__192.168.3.138AgingReportBEWLGS[[#This Row],[NetAmount]]-Table__192.168.3.138AgingReportBEWLGS[[#This Row],[Paid]]</f>
        <v>17400</v>
      </c>
    </row>
    <row r="988" spans="1:35">
      <c r="A988" t="s">
        <v>8257</v>
      </c>
      <c r="B988" s="1">
        <v>41279</v>
      </c>
      <c r="C988" s="1">
        <v>41324</v>
      </c>
      <c r="D988" t="s">
        <v>8255</v>
      </c>
      <c r="E988">
        <v>29550</v>
      </c>
      <c r="F988">
        <v>4728</v>
      </c>
      <c r="G988">
        <v>0</v>
      </c>
      <c r="H988">
        <v>0</v>
      </c>
      <c r="I988">
        <v>-10</v>
      </c>
      <c r="J988">
        <v>34278</v>
      </c>
      <c r="K988" t="s">
        <v>8258</v>
      </c>
      <c r="L988" s="1">
        <v>41278</v>
      </c>
      <c r="N988" t="s">
        <v>5127</v>
      </c>
      <c r="O988" t="s">
        <v>2458</v>
      </c>
      <c r="P988" t="s">
        <v>5476</v>
      </c>
      <c r="Q988" t="s">
        <v>39</v>
      </c>
      <c r="R988" t="s">
        <v>40</v>
      </c>
      <c r="S988">
        <v>0</v>
      </c>
      <c r="U988" t="s">
        <v>5550</v>
      </c>
      <c r="V988" t="s">
        <v>1797</v>
      </c>
      <c r="X988" t="s">
        <v>74</v>
      </c>
      <c r="Y988" t="b">
        <v>0</v>
      </c>
      <c r="Z988" t="b">
        <v>0</v>
      </c>
      <c r="AC988" s="1"/>
      <c r="AF988">
        <v>0</v>
      </c>
      <c r="AG988">
        <v>45</v>
      </c>
      <c r="AH988">
        <v>35</v>
      </c>
      <c r="AI988" s="2">
        <f>Table__192.168.3.138AgingReportBEWLGS[[#This Row],[NetAmount]]-Table__192.168.3.138AgingReportBEWLGS[[#This Row],[Paid]]</f>
        <v>34278</v>
      </c>
    </row>
    <row r="989" spans="1:35">
      <c r="A989" t="s">
        <v>8259</v>
      </c>
      <c r="B989" s="1">
        <v>41279</v>
      </c>
      <c r="C989" s="1">
        <v>41324</v>
      </c>
      <c r="D989" t="s">
        <v>8255</v>
      </c>
      <c r="E989">
        <v>3000</v>
      </c>
      <c r="F989">
        <v>480</v>
      </c>
      <c r="G989">
        <v>0</v>
      </c>
      <c r="H989">
        <v>0</v>
      </c>
      <c r="I989">
        <v>-10</v>
      </c>
      <c r="J989">
        <v>3480</v>
      </c>
      <c r="K989" t="s">
        <v>8260</v>
      </c>
      <c r="L989" s="1">
        <v>41278</v>
      </c>
      <c r="N989" t="s">
        <v>5127</v>
      </c>
      <c r="O989" t="s">
        <v>2458</v>
      </c>
      <c r="P989" t="s">
        <v>5476</v>
      </c>
      <c r="Q989" t="s">
        <v>39</v>
      </c>
      <c r="R989" t="s">
        <v>40</v>
      </c>
      <c r="S989">
        <v>0</v>
      </c>
      <c r="U989" t="s">
        <v>5550</v>
      </c>
      <c r="V989" t="s">
        <v>1797</v>
      </c>
      <c r="X989" t="s">
        <v>74</v>
      </c>
      <c r="Y989" t="b">
        <v>0</v>
      </c>
      <c r="Z989" t="b">
        <v>0</v>
      </c>
      <c r="AC989" s="1"/>
      <c r="AF989">
        <v>0</v>
      </c>
      <c r="AG989">
        <v>45</v>
      </c>
      <c r="AH989">
        <v>35</v>
      </c>
      <c r="AI989" s="2">
        <f>Table__192.168.3.138AgingReportBEWLGS[[#This Row],[NetAmount]]-Table__192.168.3.138AgingReportBEWLGS[[#This Row],[Paid]]</f>
        <v>3480</v>
      </c>
    </row>
    <row r="990" spans="1:35">
      <c r="A990" t="s">
        <v>8261</v>
      </c>
      <c r="B990" s="1">
        <v>41285</v>
      </c>
      <c r="C990" s="1">
        <v>41330</v>
      </c>
      <c r="D990" t="s">
        <v>7601</v>
      </c>
      <c r="E990">
        <v>10500</v>
      </c>
      <c r="F990">
        <v>0</v>
      </c>
      <c r="G990">
        <v>0</v>
      </c>
      <c r="H990">
        <v>0</v>
      </c>
      <c r="I990">
        <v>-16</v>
      </c>
      <c r="J990">
        <v>10500</v>
      </c>
      <c r="K990" t="s">
        <v>8262</v>
      </c>
      <c r="L990" s="1">
        <v>41284</v>
      </c>
      <c r="N990" t="s">
        <v>5127</v>
      </c>
      <c r="O990" t="s">
        <v>2458</v>
      </c>
      <c r="P990" t="s">
        <v>7604</v>
      </c>
      <c r="Q990" t="s">
        <v>39</v>
      </c>
      <c r="R990" t="s">
        <v>40</v>
      </c>
      <c r="S990">
        <v>0</v>
      </c>
      <c r="U990" t="s">
        <v>5550</v>
      </c>
      <c r="V990" t="s">
        <v>1797</v>
      </c>
      <c r="X990" t="s">
        <v>74</v>
      </c>
      <c r="Y990" t="b">
        <v>0</v>
      </c>
      <c r="Z990" t="b">
        <v>0</v>
      </c>
      <c r="AC990" s="1"/>
      <c r="AF990">
        <v>0</v>
      </c>
      <c r="AG990">
        <v>45</v>
      </c>
      <c r="AH990">
        <v>29</v>
      </c>
      <c r="AI990" s="2">
        <f>Table__192.168.3.138AgingReportBEWLGS[[#This Row],[NetAmount]]-Table__192.168.3.138AgingReportBEWLGS[[#This Row],[Paid]]</f>
        <v>10500</v>
      </c>
    </row>
    <row r="991" spans="1:35">
      <c r="A991" t="s">
        <v>8263</v>
      </c>
      <c r="B991" s="1">
        <v>41285</v>
      </c>
      <c r="C991" s="1">
        <v>41330</v>
      </c>
      <c r="D991" t="s">
        <v>7601</v>
      </c>
      <c r="E991">
        <v>5410</v>
      </c>
      <c r="F991">
        <v>0</v>
      </c>
      <c r="G991">
        <v>0</v>
      </c>
      <c r="H991">
        <v>0</v>
      </c>
      <c r="I991">
        <v>-16</v>
      </c>
      <c r="J991">
        <v>5410</v>
      </c>
      <c r="K991" t="s">
        <v>8264</v>
      </c>
      <c r="L991" s="1">
        <v>41284</v>
      </c>
      <c r="N991" t="s">
        <v>5127</v>
      </c>
      <c r="O991" t="s">
        <v>2458</v>
      </c>
      <c r="P991" t="s">
        <v>7604</v>
      </c>
      <c r="Q991" t="s">
        <v>39</v>
      </c>
      <c r="R991" t="s">
        <v>40</v>
      </c>
      <c r="S991">
        <v>0</v>
      </c>
      <c r="U991" t="s">
        <v>5550</v>
      </c>
      <c r="V991" t="s">
        <v>1797</v>
      </c>
      <c r="X991" t="s">
        <v>74</v>
      </c>
      <c r="Y991" t="b">
        <v>0</v>
      </c>
      <c r="Z991" t="b">
        <v>0</v>
      </c>
      <c r="AC991" s="1"/>
      <c r="AF991">
        <v>0</v>
      </c>
      <c r="AG991">
        <v>45</v>
      </c>
      <c r="AH991">
        <v>29</v>
      </c>
      <c r="AI991" s="2">
        <f>Table__192.168.3.138AgingReportBEWLGS[[#This Row],[NetAmount]]-Table__192.168.3.138AgingReportBEWLGS[[#This Row],[Paid]]</f>
        <v>5410</v>
      </c>
    </row>
    <row r="992" spans="1:35">
      <c r="A992" t="s">
        <v>8265</v>
      </c>
      <c r="B992" s="1">
        <v>41290</v>
      </c>
      <c r="C992" s="1">
        <v>41335</v>
      </c>
      <c r="D992" t="s">
        <v>8266</v>
      </c>
      <c r="E992">
        <v>83000</v>
      </c>
      <c r="F992">
        <v>13280</v>
      </c>
      <c r="G992">
        <v>0</v>
      </c>
      <c r="H992">
        <v>0</v>
      </c>
      <c r="I992">
        <v>-21</v>
      </c>
      <c r="J992">
        <v>96280</v>
      </c>
      <c r="K992" t="s">
        <v>8267</v>
      </c>
      <c r="L992" s="1">
        <v>41289</v>
      </c>
      <c r="N992" t="s">
        <v>5127</v>
      </c>
      <c r="O992" t="s">
        <v>2458</v>
      </c>
      <c r="P992" t="s">
        <v>8268</v>
      </c>
      <c r="Q992" t="s">
        <v>39</v>
      </c>
      <c r="R992" t="s">
        <v>40</v>
      </c>
      <c r="S992">
        <v>0</v>
      </c>
      <c r="U992" t="s">
        <v>5550</v>
      </c>
      <c r="V992" t="s">
        <v>1797</v>
      </c>
      <c r="X992" t="s">
        <v>74</v>
      </c>
      <c r="Y992" t="b">
        <v>0</v>
      </c>
      <c r="Z992" t="b">
        <v>0</v>
      </c>
      <c r="AC992" s="1"/>
      <c r="AF992">
        <v>0</v>
      </c>
      <c r="AG992">
        <v>45</v>
      </c>
      <c r="AH992">
        <v>24</v>
      </c>
      <c r="AI992" s="2">
        <f>Table__192.168.3.138AgingReportBEWLGS[[#This Row],[NetAmount]]-Table__192.168.3.138AgingReportBEWLGS[[#This Row],[Paid]]</f>
        <v>96280</v>
      </c>
    </row>
    <row r="993" spans="1:35">
      <c r="A993" t="s">
        <v>8269</v>
      </c>
      <c r="B993" s="1">
        <v>41289</v>
      </c>
      <c r="C993" s="1">
        <v>41334</v>
      </c>
      <c r="D993" t="s">
        <v>6974</v>
      </c>
      <c r="E993">
        <v>614</v>
      </c>
      <c r="F993">
        <v>98</v>
      </c>
      <c r="G993">
        <v>0</v>
      </c>
      <c r="H993">
        <v>0</v>
      </c>
      <c r="I993">
        <v>-21</v>
      </c>
      <c r="J993">
        <v>712</v>
      </c>
      <c r="K993" t="s">
        <v>8270</v>
      </c>
      <c r="L993" s="1">
        <v>41289</v>
      </c>
      <c r="N993" t="s">
        <v>5127</v>
      </c>
      <c r="O993" t="s">
        <v>2458</v>
      </c>
      <c r="P993" t="s">
        <v>6976</v>
      </c>
      <c r="Q993" t="s">
        <v>39</v>
      </c>
      <c r="R993" t="s">
        <v>40</v>
      </c>
      <c r="S993">
        <v>0</v>
      </c>
      <c r="U993" t="s">
        <v>5550</v>
      </c>
      <c r="V993" t="s">
        <v>1797</v>
      </c>
      <c r="X993" t="s">
        <v>74</v>
      </c>
      <c r="Y993" t="b">
        <v>0</v>
      </c>
      <c r="Z993" t="b">
        <v>0</v>
      </c>
      <c r="AC993" s="1"/>
      <c r="AF993">
        <v>0</v>
      </c>
      <c r="AG993">
        <v>45</v>
      </c>
      <c r="AH993">
        <v>24</v>
      </c>
      <c r="AI993" s="2">
        <f>Table__192.168.3.138AgingReportBEWLGS[[#This Row],[NetAmount]]-Table__192.168.3.138AgingReportBEWLGS[[#This Row],[Paid]]</f>
        <v>712</v>
      </c>
    </row>
    <row r="994" spans="1:35">
      <c r="A994" t="s">
        <v>8271</v>
      </c>
      <c r="B994" s="1">
        <v>41289</v>
      </c>
      <c r="C994" s="1">
        <v>41334</v>
      </c>
      <c r="D994" t="s">
        <v>6974</v>
      </c>
      <c r="E994">
        <v>94</v>
      </c>
      <c r="F994">
        <v>15</v>
      </c>
      <c r="G994">
        <v>0</v>
      </c>
      <c r="H994">
        <v>0</v>
      </c>
      <c r="I994">
        <v>-21</v>
      </c>
      <c r="J994">
        <v>109</v>
      </c>
      <c r="K994" t="s">
        <v>8270</v>
      </c>
      <c r="L994" s="1">
        <v>41289</v>
      </c>
      <c r="N994" t="s">
        <v>5127</v>
      </c>
      <c r="O994" t="s">
        <v>2458</v>
      </c>
      <c r="P994" t="s">
        <v>6976</v>
      </c>
      <c r="Q994" t="s">
        <v>39</v>
      </c>
      <c r="R994" t="s">
        <v>40</v>
      </c>
      <c r="S994">
        <v>0</v>
      </c>
      <c r="U994" t="s">
        <v>5550</v>
      </c>
      <c r="V994" t="s">
        <v>1797</v>
      </c>
      <c r="X994" t="s">
        <v>74</v>
      </c>
      <c r="Y994" t="b">
        <v>0</v>
      </c>
      <c r="Z994" t="b">
        <v>0</v>
      </c>
      <c r="AC994" s="1"/>
      <c r="AF994">
        <v>0</v>
      </c>
      <c r="AG994">
        <v>45</v>
      </c>
      <c r="AH994">
        <v>24</v>
      </c>
      <c r="AI994" s="2">
        <f>Table__192.168.3.138AgingReportBEWLGS[[#This Row],[NetAmount]]-Table__192.168.3.138AgingReportBEWLGS[[#This Row],[Paid]]</f>
        <v>109</v>
      </c>
    </row>
    <row r="995" spans="1:35">
      <c r="A995" t="s">
        <v>8272</v>
      </c>
      <c r="B995" s="1">
        <v>41285</v>
      </c>
      <c r="C995" s="1">
        <v>41330</v>
      </c>
      <c r="D995" t="s">
        <v>6974</v>
      </c>
      <c r="E995">
        <v>5096</v>
      </c>
      <c r="F995">
        <v>815</v>
      </c>
      <c r="G995">
        <v>0</v>
      </c>
      <c r="H995">
        <v>0</v>
      </c>
      <c r="I995">
        <v>-14</v>
      </c>
      <c r="J995">
        <v>5911</v>
      </c>
      <c r="K995" t="s">
        <v>8273</v>
      </c>
      <c r="L995" s="1">
        <v>41282</v>
      </c>
      <c r="N995" t="s">
        <v>5127</v>
      </c>
      <c r="O995" t="s">
        <v>2458</v>
      </c>
      <c r="P995" t="s">
        <v>6976</v>
      </c>
      <c r="Q995" t="s">
        <v>39</v>
      </c>
      <c r="R995" t="s">
        <v>40</v>
      </c>
      <c r="S995">
        <v>0</v>
      </c>
      <c r="U995" t="s">
        <v>5550</v>
      </c>
      <c r="V995" t="s">
        <v>1797</v>
      </c>
      <c r="X995" t="s">
        <v>74</v>
      </c>
      <c r="Y995" t="b">
        <v>0</v>
      </c>
      <c r="Z995" t="b">
        <v>0</v>
      </c>
      <c r="AC995" s="1"/>
      <c r="AF995">
        <v>0</v>
      </c>
      <c r="AG995">
        <v>45</v>
      </c>
      <c r="AH995">
        <v>31</v>
      </c>
      <c r="AI995" s="2">
        <f>Table__192.168.3.138AgingReportBEWLGS[[#This Row],[NetAmount]]-Table__192.168.3.138AgingReportBEWLGS[[#This Row],[Paid]]</f>
        <v>5911</v>
      </c>
    </row>
    <row r="996" spans="1:35">
      <c r="A996" t="s">
        <v>8274</v>
      </c>
      <c r="B996" s="1">
        <v>41285</v>
      </c>
      <c r="C996" s="1">
        <v>41330</v>
      </c>
      <c r="D996" t="s">
        <v>6974</v>
      </c>
      <c r="E996">
        <v>142</v>
      </c>
      <c r="F996">
        <v>23</v>
      </c>
      <c r="G996">
        <v>0</v>
      </c>
      <c r="H996">
        <v>0</v>
      </c>
      <c r="I996">
        <v>-15</v>
      </c>
      <c r="J996">
        <v>165</v>
      </c>
      <c r="K996" t="s">
        <v>8273</v>
      </c>
      <c r="L996" s="1">
        <v>41283</v>
      </c>
      <c r="N996" t="s">
        <v>5127</v>
      </c>
      <c r="O996" t="s">
        <v>2458</v>
      </c>
      <c r="P996" t="s">
        <v>6976</v>
      </c>
      <c r="Q996" t="s">
        <v>39</v>
      </c>
      <c r="R996" t="s">
        <v>40</v>
      </c>
      <c r="S996">
        <v>0</v>
      </c>
      <c r="U996" t="s">
        <v>5550</v>
      </c>
      <c r="V996" t="s">
        <v>1797</v>
      </c>
      <c r="X996" t="s">
        <v>74</v>
      </c>
      <c r="Y996" t="b">
        <v>0</v>
      </c>
      <c r="Z996" t="b">
        <v>0</v>
      </c>
      <c r="AC996" s="1"/>
      <c r="AF996">
        <v>0</v>
      </c>
      <c r="AG996">
        <v>45</v>
      </c>
      <c r="AH996">
        <v>30</v>
      </c>
      <c r="AI996" s="2">
        <f>Table__192.168.3.138AgingReportBEWLGS[[#This Row],[NetAmount]]-Table__192.168.3.138AgingReportBEWLGS[[#This Row],[Paid]]</f>
        <v>165</v>
      </c>
    </row>
    <row r="997" spans="1:35">
      <c r="A997" t="s">
        <v>8275</v>
      </c>
      <c r="B997" s="1">
        <v>41285</v>
      </c>
      <c r="C997" s="1">
        <v>41330</v>
      </c>
      <c r="D997" t="s">
        <v>7767</v>
      </c>
      <c r="E997">
        <v>8000</v>
      </c>
      <c r="F997">
        <v>1280</v>
      </c>
      <c r="G997">
        <v>0</v>
      </c>
      <c r="H997">
        <v>0</v>
      </c>
      <c r="I997">
        <v>-17</v>
      </c>
      <c r="J997">
        <v>9280</v>
      </c>
      <c r="K997" t="s">
        <v>8276</v>
      </c>
      <c r="L997" s="1">
        <v>41285</v>
      </c>
      <c r="N997" t="s">
        <v>5127</v>
      </c>
      <c r="O997" t="s">
        <v>2458</v>
      </c>
      <c r="P997" t="s">
        <v>7770</v>
      </c>
      <c r="Q997" t="s">
        <v>39</v>
      </c>
      <c r="R997" t="s">
        <v>40</v>
      </c>
      <c r="S997">
        <v>0</v>
      </c>
      <c r="U997" t="s">
        <v>5550</v>
      </c>
      <c r="V997" t="s">
        <v>1797</v>
      </c>
      <c r="X997" t="s">
        <v>74</v>
      </c>
      <c r="Y997" t="b">
        <v>0</v>
      </c>
      <c r="Z997" t="b">
        <v>0</v>
      </c>
      <c r="AC997" s="1"/>
      <c r="AF997">
        <v>0</v>
      </c>
      <c r="AG997">
        <v>45</v>
      </c>
      <c r="AH997">
        <v>28</v>
      </c>
      <c r="AI997" s="2">
        <f>Table__192.168.3.138AgingReportBEWLGS[[#This Row],[NetAmount]]-Table__192.168.3.138AgingReportBEWLGS[[#This Row],[Paid]]</f>
        <v>9280</v>
      </c>
    </row>
    <row r="998" spans="1:35">
      <c r="A998" t="s">
        <v>8277</v>
      </c>
      <c r="B998" s="1">
        <v>41276</v>
      </c>
      <c r="C998" s="1">
        <v>41321</v>
      </c>
      <c r="D998" t="s">
        <v>6369</v>
      </c>
      <c r="E998">
        <v>952038</v>
      </c>
      <c r="F998">
        <v>152326</v>
      </c>
      <c r="G998">
        <v>0</v>
      </c>
      <c r="H998">
        <v>1104299</v>
      </c>
      <c r="I998">
        <v>-8</v>
      </c>
      <c r="J998">
        <v>1104364</v>
      </c>
      <c r="K998" t="s">
        <v>8278</v>
      </c>
      <c r="L998" s="1">
        <v>41276</v>
      </c>
      <c r="N998" t="s">
        <v>5127</v>
      </c>
      <c r="O998" t="s">
        <v>2458</v>
      </c>
      <c r="P998" t="s">
        <v>5508</v>
      </c>
      <c r="Q998" t="s">
        <v>39</v>
      </c>
      <c r="R998" t="s">
        <v>40</v>
      </c>
      <c r="S998">
        <v>0</v>
      </c>
      <c r="T998" t="s">
        <v>8279</v>
      </c>
      <c r="U998" t="s">
        <v>5550</v>
      </c>
      <c r="V998" t="s">
        <v>1797</v>
      </c>
      <c r="X998" t="s">
        <v>74</v>
      </c>
      <c r="Y998" t="b">
        <v>0</v>
      </c>
      <c r="Z998" t="b">
        <v>0</v>
      </c>
      <c r="AC998" s="1"/>
      <c r="AF998">
        <v>0</v>
      </c>
      <c r="AG998">
        <v>45</v>
      </c>
      <c r="AH998">
        <v>37</v>
      </c>
      <c r="AI998" s="2">
        <f>Table__192.168.3.138AgingReportBEWLGS[[#This Row],[NetAmount]]-Table__192.168.3.138AgingReportBEWLGS[[#This Row],[Paid]]</f>
        <v>1104364</v>
      </c>
    </row>
    <row r="999" spans="1:35">
      <c r="A999" t="s">
        <v>8280</v>
      </c>
      <c r="B999" s="1">
        <v>41278</v>
      </c>
      <c r="C999" s="1">
        <v>41323</v>
      </c>
      <c r="D999" t="s">
        <v>6412</v>
      </c>
      <c r="E999">
        <v>929445</v>
      </c>
      <c r="F999">
        <v>148711</v>
      </c>
      <c r="G999">
        <v>0</v>
      </c>
      <c r="H999">
        <v>0</v>
      </c>
      <c r="I999">
        <v>-10</v>
      </c>
      <c r="J999">
        <v>1078156</v>
      </c>
      <c r="K999" t="s">
        <v>8281</v>
      </c>
      <c r="L999" s="1">
        <v>41278</v>
      </c>
      <c r="N999" t="s">
        <v>5127</v>
      </c>
      <c r="O999" t="s">
        <v>2458</v>
      </c>
      <c r="P999" t="s">
        <v>6414</v>
      </c>
      <c r="Q999" t="s">
        <v>39</v>
      </c>
      <c r="R999" t="s">
        <v>40</v>
      </c>
      <c r="S999">
        <v>0</v>
      </c>
      <c r="U999" t="s">
        <v>5550</v>
      </c>
      <c r="V999" t="s">
        <v>1797</v>
      </c>
      <c r="X999" t="s">
        <v>74</v>
      </c>
      <c r="Y999" t="b">
        <v>0</v>
      </c>
      <c r="Z999" t="b">
        <v>0</v>
      </c>
      <c r="AC999" s="1"/>
      <c r="AF999">
        <v>0</v>
      </c>
      <c r="AG999">
        <v>45</v>
      </c>
      <c r="AH999">
        <v>35</v>
      </c>
      <c r="AI999" s="2">
        <f>Table__192.168.3.138AgingReportBEWLGS[[#This Row],[NetAmount]]-Table__192.168.3.138AgingReportBEWLGS[[#This Row],[Paid]]</f>
        <v>1078156</v>
      </c>
    </row>
    <row r="1000" spans="1:35">
      <c r="A1000" t="s">
        <v>8282</v>
      </c>
      <c r="B1000" s="1">
        <v>41284</v>
      </c>
      <c r="C1000" s="1">
        <v>41329</v>
      </c>
      <c r="D1000" t="s">
        <v>6412</v>
      </c>
      <c r="E1000">
        <v>1122945</v>
      </c>
      <c r="F1000">
        <v>179671</v>
      </c>
      <c r="G1000">
        <v>0</v>
      </c>
      <c r="H1000">
        <v>0</v>
      </c>
      <c r="I1000">
        <v>-16</v>
      </c>
      <c r="J1000">
        <v>1302616</v>
      </c>
      <c r="K1000" t="s">
        <v>8283</v>
      </c>
      <c r="L1000" s="1">
        <v>41284</v>
      </c>
      <c r="N1000" t="s">
        <v>5127</v>
      </c>
      <c r="O1000" t="s">
        <v>2458</v>
      </c>
      <c r="P1000" t="s">
        <v>6414</v>
      </c>
      <c r="Q1000" t="s">
        <v>39</v>
      </c>
      <c r="R1000" t="s">
        <v>40</v>
      </c>
      <c r="S1000">
        <v>0</v>
      </c>
      <c r="U1000" t="s">
        <v>5550</v>
      </c>
      <c r="V1000" t="s">
        <v>1797</v>
      </c>
      <c r="X1000" t="s">
        <v>74</v>
      </c>
      <c r="Y1000" t="b">
        <v>0</v>
      </c>
      <c r="Z1000" t="b">
        <v>0</v>
      </c>
      <c r="AC1000" s="1"/>
      <c r="AF1000">
        <v>0</v>
      </c>
      <c r="AG1000">
        <v>45</v>
      </c>
      <c r="AH1000">
        <v>29</v>
      </c>
      <c r="AI1000" s="2">
        <f>Table__192.168.3.138AgingReportBEWLGS[[#This Row],[NetAmount]]-Table__192.168.3.138AgingReportBEWLGS[[#This Row],[Paid]]</f>
        <v>1302616</v>
      </c>
    </row>
    <row r="1001" spans="1:35">
      <c r="A1001" t="s">
        <v>8284</v>
      </c>
      <c r="B1001" s="1">
        <v>41291</v>
      </c>
      <c r="C1001" s="1">
        <v>41336</v>
      </c>
      <c r="D1001" t="s">
        <v>7556</v>
      </c>
      <c r="E1001">
        <v>34980</v>
      </c>
      <c r="F1001">
        <v>5597</v>
      </c>
      <c r="G1001">
        <v>0</v>
      </c>
      <c r="H1001">
        <v>0</v>
      </c>
      <c r="I1001">
        <v>-21</v>
      </c>
      <c r="J1001">
        <v>40577</v>
      </c>
      <c r="K1001" t="s">
        <v>2407</v>
      </c>
      <c r="L1001" s="1">
        <v>41289</v>
      </c>
      <c r="N1001" t="s">
        <v>5127</v>
      </c>
      <c r="O1001" t="s">
        <v>2458</v>
      </c>
      <c r="P1001" t="s">
        <v>7559</v>
      </c>
      <c r="Q1001" t="s">
        <v>39</v>
      </c>
      <c r="R1001" t="s">
        <v>40</v>
      </c>
      <c r="S1001">
        <v>0</v>
      </c>
      <c r="U1001" t="s">
        <v>5550</v>
      </c>
      <c r="V1001" t="s">
        <v>1797</v>
      </c>
      <c r="X1001" t="s">
        <v>74</v>
      </c>
      <c r="Y1001" t="b">
        <v>0</v>
      </c>
      <c r="Z1001" t="b">
        <v>0</v>
      </c>
      <c r="AC1001" s="1"/>
      <c r="AF1001">
        <v>0</v>
      </c>
      <c r="AG1001">
        <v>45</v>
      </c>
      <c r="AH1001">
        <v>24</v>
      </c>
      <c r="AI1001" s="2">
        <f>Table__192.168.3.138AgingReportBEWLGS[[#This Row],[NetAmount]]-Table__192.168.3.138AgingReportBEWLGS[[#This Row],[Paid]]</f>
        <v>40577</v>
      </c>
    </row>
    <row r="1002" spans="1:35">
      <c r="A1002" t="s">
        <v>8285</v>
      </c>
      <c r="B1002" s="1">
        <v>41285</v>
      </c>
      <c r="C1002" s="1">
        <v>41330</v>
      </c>
      <c r="D1002" t="s">
        <v>6486</v>
      </c>
      <c r="E1002">
        <v>28650</v>
      </c>
      <c r="F1002">
        <v>4584</v>
      </c>
      <c r="G1002">
        <v>0</v>
      </c>
      <c r="H1002">
        <v>0</v>
      </c>
      <c r="I1002">
        <v>-16</v>
      </c>
      <c r="J1002">
        <v>33234</v>
      </c>
      <c r="K1002" t="s">
        <v>8286</v>
      </c>
      <c r="L1002" s="1">
        <v>41284</v>
      </c>
      <c r="N1002" t="s">
        <v>5127</v>
      </c>
      <c r="O1002" t="s">
        <v>2458</v>
      </c>
      <c r="P1002" t="s">
        <v>5464</v>
      </c>
      <c r="Q1002" t="s">
        <v>39</v>
      </c>
      <c r="R1002" t="s">
        <v>40</v>
      </c>
      <c r="S1002">
        <v>0</v>
      </c>
      <c r="U1002" t="s">
        <v>5550</v>
      </c>
      <c r="V1002" t="s">
        <v>1797</v>
      </c>
      <c r="X1002" t="s">
        <v>74</v>
      </c>
      <c r="Y1002" t="b">
        <v>0</v>
      </c>
      <c r="Z1002" t="b">
        <v>0</v>
      </c>
      <c r="AC1002" s="1"/>
      <c r="AF1002">
        <v>0</v>
      </c>
      <c r="AG1002">
        <v>45</v>
      </c>
      <c r="AH1002">
        <v>29</v>
      </c>
      <c r="AI1002" s="2">
        <f>Table__192.168.3.138AgingReportBEWLGS[[#This Row],[NetAmount]]-Table__192.168.3.138AgingReportBEWLGS[[#This Row],[Paid]]</f>
        <v>33234</v>
      </c>
    </row>
    <row r="1003" spans="1:35">
      <c r="A1003" t="s">
        <v>8287</v>
      </c>
      <c r="B1003" s="1">
        <v>41278</v>
      </c>
      <c r="C1003" s="1">
        <v>41323</v>
      </c>
      <c r="D1003" t="s">
        <v>6486</v>
      </c>
      <c r="E1003">
        <v>36000</v>
      </c>
      <c r="F1003">
        <v>5760</v>
      </c>
      <c r="G1003">
        <v>0</v>
      </c>
      <c r="H1003">
        <v>0</v>
      </c>
      <c r="I1003">
        <v>-16</v>
      </c>
      <c r="J1003">
        <v>41760</v>
      </c>
      <c r="K1003" t="s">
        <v>8288</v>
      </c>
      <c r="L1003" s="1">
        <v>41284</v>
      </c>
      <c r="N1003" t="s">
        <v>5127</v>
      </c>
      <c r="O1003" t="s">
        <v>2458</v>
      </c>
      <c r="P1003" t="s">
        <v>5464</v>
      </c>
      <c r="Q1003" t="s">
        <v>39</v>
      </c>
      <c r="R1003" t="s">
        <v>40</v>
      </c>
      <c r="S1003">
        <v>0</v>
      </c>
      <c r="U1003" t="s">
        <v>5550</v>
      </c>
      <c r="V1003" t="s">
        <v>1797</v>
      </c>
      <c r="X1003" t="s">
        <v>74</v>
      </c>
      <c r="Y1003" t="b">
        <v>0</v>
      </c>
      <c r="Z1003" t="b">
        <v>0</v>
      </c>
      <c r="AC1003" s="1"/>
      <c r="AF1003">
        <v>0</v>
      </c>
      <c r="AG1003">
        <v>45</v>
      </c>
      <c r="AH1003">
        <v>29</v>
      </c>
      <c r="AI1003" s="2">
        <f>Table__192.168.3.138AgingReportBEWLGS[[#This Row],[NetAmount]]-Table__192.168.3.138AgingReportBEWLGS[[#This Row],[Paid]]</f>
        <v>41760</v>
      </c>
    </row>
    <row r="1004" spans="1:35">
      <c r="A1004" t="s">
        <v>8289</v>
      </c>
      <c r="B1004" s="1">
        <v>41282</v>
      </c>
      <c r="C1004" s="1">
        <v>41327</v>
      </c>
      <c r="D1004" t="s">
        <v>5459</v>
      </c>
      <c r="E1004">
        <v>1449</v>
      </c>
      <c r="F1004">
        <v>0</v>
      </c>
      <c r="G1004">
        <v>0</v>
      </c>
      <c r="H1004">
        <v>0</v>
      </c>
      <c r="I1004">
        <v>-10</v>
      </c>
      <c r="J1004">
        <v>1449</v>
      </c>
      <c r="K1004" t="s">
        <v>8290</v>
      </c>
      <c r="L1004" s="1">
        <v>41278</v>
      </c>
      <c r="N1004" t="s">
        <v>5127</v>
      </c>
      <c r="O1004" t="s">
        <v>2458</v>
      </c>
      <c r="P1004" t="s">
        <v>7759</v>
      </c>
      <c r="Q1004" t="s">
        <v>39</v>
      </c>
      <c r="R1004" t="s">
        <v>40</v>
      </c>
      <c r="S1004">
        <v>0</v>
      </c>
      <c r="U1004" t="s">
        <v>5550</v>
      </c>
      <c r="V1004" t="s">
        <v>1797</v>
      </c>
      <c r="X1004" t="s">
        <v>74</v>
      </c>
      <c r="Y1004" t="b">
        <v>0</v>
      </c>
      <c r="Z1004" t="b">
        <v>0</v>
      </c>
      <c r="AC1004" s="1"/>
      <c r="AF1004">
        <v>0</v>
      </c>
      <c r="AG1004">
        <v>45</v>
      </c>
      <c r="AH1004">
        <v>35</v>
      </c>
      <c r="AI1004" s="2">
        <f>Table__192.168.3.138AgingReportBEWLGS[[#This Row],[NetAmount]]-Table__192.168.3.138AgingReportBEWLGS[[#This Row],[Paid]]</f>
        <v>1449</v>
      </c>
    </row>
    <row r="1005" spans="1:35">
      <c r="A1005" t="s">
        <v>8291</v>
      </c>
      <c r="B1005" s="1">
        <v>41288</v>
      </c>
      <c r="C1005" s="1">
        <v>41333</v>
      </c>
      <c r="D1005" t="s">
        <v>8071</v>
      </c>
      <c r="E1005">
        <v>1918</v>
      </c>
      <c r="F1005">
        <v>307</v>
      </c>
      <c r="G1005">
        <v>0</v>
      </c>
      <c r="H1005">
        <v>0</v>
      </c>
      <c r="I1005">
        <v>-17</v>
      </c>
      <c r="J1005">
        <v>2225</v>
      </c>
      <c r="K1005" t="s">
        <v>8292</v>
      </c>
      <c r="L1005" s="1">
        <v>41285</v>
      </c>
      <c r="N1005" t="s">
        <v>5127</v>
      </c>
      <c r="O1005" t="s">
        <v>2458</v>
      </c>
      <c r="P1005" t="s">
        <v>8073</v>
      </c>
      <c r="Q1005" t="s">
        <v>39</v>
      </c>
      <c r="R1005" t="s">
        <v>40</v>
      </c>
      <c r="S1005">
        <v>0</v>
      </c>
      <c r="U1005" t="s">
        <v>5550</v>
      </c>
      <c r="V1005" t="s">
        <v>1797</v>
      </c>
      <c r="X1005" t="s">
        <v>74</v>
      </c>
      <c r="Y1005" t="b">
        <v>0</v>
      </c>
      <c r="Z1005" t="b">
        <v>0</v>
      </c>
      <c r="AC1005" s="1"/>
      <c r="AF1005">
        <v>0</v>
      </c>
      <c r="AG1005">
        <v>45</v>
      </c>
      <c r="AH1005">
        <v>28</v>
      </c>
      <c r="AI1005" s="2">
        <f>Table__192.168.3.138AgingReportBEWLGS[[#This Row],[NetAmount]]-Table__192.168.3.138AgingReportBEWLGS[[#This Row],[Paid]]</f>
        <v>2225</v>
      </c>
    </row>
    <row r="1006" spans="1:35">
      <c r="A1006" t="s">
        <v>8293</v>
      </c>
      <c r="B1006" s="1">
        <v>41285</v>
      </c>
      <c r="C1006" s="1">
        <v>41330</v>
      </c>
      <c r="D1006" t="s">
        <v>8071</v>
      </c>
      <c r="E1006">
        <v>31500</v>
      </c>
      <c r="F1006">
        <v>5040</v>
      </c>
      <c r="G1006">
        <v>0</v>
      </c>
      <c r="H1006">
        <v>0</v>
      </c>
      <c r="I1006">
        <v>-18</v>
      </c>
      <c r="J1006">
        <v>36540</v>
      </c>
      <c r="K1006" t="s">
        <v>4483</v>
      </c>
      <c r="L1006" s="1">
        <v>41286</v>
      </c>
      <c r="N1006" t="s">
        <v>5127</v>
      </c>
      <c r="O1006" t="s">
        <v>2458</v>
      </c>
      <c r="P1006" t="s">
        <v>8073</v>
      </c>
      <c r="Q1006" t="s">
        <v>39</v>
      </c>
      <c r="R1006" t="s">
        <v>40</v>
      </c>
      <c r="S1006">
        <v>0</v>
      </c>
      <c r="U1006" t="s">
        <v>5550</v>
      </c>
      <c r="V1006" t="s">
        <v>1797</v>
      </c>
      <c r="X1006" t="s">
        <v>74</v>
      </c>
      <c r="Y1006" t="b">
        <v>0</v>
      </c>
      <c r="Z1006" t="b">
        <v>0</v>
      </c>
      <c r="AC1006" s="1"/>
      <c r="AF1006">
        <v>0</v>
      </c>
      <c r="AG1006">
        <v>45</v>
      </c>
      <c r="AH1006">
        <v>27</v>
      </c>
      <c r="AI1006" s="2">
        <f>Table__192.168.3.138AgingReportBEWLGS[[#This Row],[NetAmount]]-Table__192.168.3.138AgingReportBEWLGS[[#This Row],[Paid]]</f>
        <v>36540</v>
      </c>
    </row>
    <row r="1007" spans="1:35">
      <c r="A1007" t="s">
        <v>8294</v>
      </c>
      <c r="B1007" s="1">
        <v>41279</v>
      </c>
      <c r="C1007" s="1">
        <v>41279</v>
      </c>
      <c r="D1007" t="s">
        <v>269</v>
      </c>
      <c r="E1007">
        <v>190000</v>
      </c>
      <c r="F1007">
        <v>0</v>
      </c>
      <c r="G1007">
        <v>0</v>
      </c>
      <c r="H1007">
        <v>110000</v>
      </c>
      <c r="I1007">
        <v>0</v>
      </c>
      <c r="J1007">
        <v>190000</v>
      </c>
      <c r="K1007" t="s">
        <v>8295</v>
      </c>
      <c r="L1007" s="1">
        <v>41277</v>
      </c>
      <c r="M1007" t="s">
        <v>8296</v>
      </c>
      <c r="N1007" t="s">
        <v>5127</v>
      </c>
      <c r="O1007" t="s">
        <v>2458</v>
      </c>
      <c r="P1007" t="s">
        <v>8297</v>
      </c>
      <c r="Q1007" t="s">
        <v>39</v>
      </c>
      <c r="R1007" t="s">
        <v>40</v>
      </c>
      <c r="S1007">
        <v>0</v>
      </c>
      <c r="T1007" t="s">
        <v>8298</v>
      </c>
      <c r="U1007" t="s">
        <v>5550</v>
      </c>
      <c r="V1007" t="s">
        <v>1797</v>
      </c>
      <c r="W1007" t="s">
        <v>8299</v>
      </c>
      <c r="X1007" t="s">
        <v>74</v>
      </c>
      <c r="Y1007" t="b">
        <v>0</v>
      </c>
      <c r="Z1007" t="b">
        <v>0</v>
      </c>
      <c r="AA1007" t="b">
        <v>0</v>
      </c>
      <c r="AC1007" s="1"/>
      <c r="AF1007">
        <v>0</v>
      </c>
      <c r="AH1007">
        <v>36</v>
      </c>
      <c r="AI1007" s="2">
        <f>Table__192.168.3.138AgingReportBEWLGS[[#This Row],[NetAmount]]-Table__192.168.3.138AgingReportBEWLGS[[#This Row],[Paid]]</f>
        <v>190000</v>
      </c>
    </row>
    <row r="1008" spans="1:35">
      <c r="A1008" t="s">
        <v>8300</v>
      </c>
      <c r="B1008" s="1">
        <v>41274</v>
      </c>
      <c r="C1008" s="1">
        <v>41319</v>
      </c>
      <c r="D1008" t="s">
        <v>8301</v>
      </c>
      <c r="E1008">
        <v>450000</v>
      </c>
      <c r="F1008">
        <v>0</v>
      </c>
      <c r="G1008">
        <v>0</v>
      </c>
      <c r="H1008">
        <v>357500</v>
      </c>
      <c r="I1008">
        <v>-26</v>
      </c>
      <c r="J1008">
        <v>450000</v>
      </c>
      <c r="K1008" t="s">
        <v>7930</v>
      </c>
      <c r="L1008" s="1">
        <v>41294</v>
      </c>
      <c r="N1008" t="s">
        <v>5127</v>
      </c>
      <c r="O1008" t="s">
        <v>2458</v>
      </c>
      <c r="P1008" t="s">
        <v>8302</v>
      </c>
      <c r="Q1008" t="s">
        <v>39</v>
      </c>
      <c r="R1008" t="s">
        <v>40</v>
      </c>
      <c r="S1008">
        <v>0</v>
      </c>
      <c r="T1008" t="s">
        <v>8303</v>
      </c>
      <c r="U1008" t="s">
        <v>5550</v>
      </c>
      <c r="V1008" t="s">
        <v>1797</v>
      </c>
      <c r="X1008" t="s">
        <v>74</v>
      </c>
      <c r="Y1008" t="b">
        <v>0</v>
      </c>
      <c r="Z1008" t="b">
        <v>0</v>
      </c>
      <c r="AC1008" s="1"/>
      <c r="AF1008">
        <v>0</v>
      </c>
      <c r="AG1008">
        <v>45</v>
      </c>
      <c r="AH1008">
        <v>19</v>
      </c>
      <c r="AI1008" s="2">
        <f>Table__192.168.3.138AgingReportBEWLGS[[#This Row],[NetAmount]]-Table__192.168.3.138AgingReportBEWLGS[[#This Row],[Paid]]</f>
        <v>450000</v>
      </c>
    </row>
    <row r="1009" spans="1:35">
      <c r="A1009" t="s">
        <v>8304</v>
      </c>
      <c r="B1009" s="1">
        <v>41285</v>
      </c>
      <c r="C1009" s="1">
        <v>41330</v>
      </c>
      <c r="D1009" t="s">
        <v>7773</v>
      </c>
      <c r="E1009">
        <v>5100</v>
      </c>
      <c r="F1009">
        <v>816</v>
      </c>
      <c r="G1009">
        <v>0</v>
      </c>
      <c r="H1009">
        <v>0</v>
      </c>
      <c r="I1009">
        <v>-20</v>
      </c>
      <c r="J1009">
        <v>5916</v>
      </c>
      <c r="K1009" t="s">
        <v>8305</v>
      </c>
      <c r="L1009" s="1">
        <v>41288</v>
      </c>
      <c r="N1009" t="s">
        <v>5127</v>
      </c>
      <c r="O1009" t="s">
        <v>2458</v>
      </c>
      <c r="P1009" t="s">
        <v>7776</v>
      </c>
      <c r="Q1009" t="s">
        <v>39</v>
      </c>
      <c r="R1009" t="s">
        <v>40</v>
      </c>
      <c r="S1009">
        <v>0</v>
      </c>
      <c r="U1009" t="s">
        <v>5550</v>
      </c>
      <c r="V1009" t="s">
        <v>1797</v>
      </c>
      <c r="X1009" t="s">
        <v>74</v>
      </c>
      <c r="Y1009" t="b">
        <v>0</v>
      </c>
      <c r="Z1009" t="b">
        <v>0</v>
      </c>
      <c r="AC1009" s="1"/>
      <c r="AF1009">
        <v>0</v>
      </c>
      <c r="AG1009">
        <v>45</v>
      </c>
      <c r="AH1009">
        <v>25</v>
      </c>
      <c r="AI1009" s="2">
        <f>Table__192.168.3.138AgingReportBEWLGS[[#This Row],[NetAmount]]-Table__192.168.3.138AgingReportBEWLGS[[#This Row],[Paid]]</f>
        <v>5916</v>
      </c>
    </row>
    <row r="1010" spans="1:35">
      <c r="A1010" t="s">
        <v>8306</v>
      </c>
      <c r="B1010" s="1">
        <v>41285</v>
      </c>
      <c r="C1010" s="1">
        <v>41330</v>
      </c>
      <c r="D1010" t="s">
        <v>7375</v>
      </c>
      <c r="E1010">
        <v>88400</v>
      </c>
      <c r="F1010">
        <v>14144</v>
      </c>
      <c r="G1010">
        <v>0</v>
      </c>
      <c r="H1010">
        <v>0</v>
      </c>
      <c r="I1010">
        <v>-25</v>
      </c>
      <c r="J1010">
        <v>102544</v>
      </c>
      <c r="K1010" t="s">
        <v>8307</v>
      </c>
      <c r="L1010" s="1">
        <v>41293</v>
      </c>
      <c r="N1010" t="s">
        <v>5127</v>
      </c>
      <c r="O1010" t="s">
        <v>2458</v>
      </c>
      <c r="P1010" t="s">
        <v>7377</v>
      </c>
      <c r="Q1010" t="s">
        <v>39</v>
      </c>
      <c r="R1010" t="s">
        <v>40</v>
      </c>
      <c r="S1010">
        <v>0</v>
      </c>
      <c r="U1010" t="s">
        <v>5550</v>
      </c>
      <c r="V1010" t="s">
        <v>1797</v>
      </c>
      <c r="X1010" t="s">
        <v>74</v>
      </c>
      <c r="Y1010" t="b">
        <v>0</v>
      </c>
      <c r="Z1010" t="b">
        <v>0</v>
      </c>
      <c r="AC1010" s="1"/>
      <c r="AF1010">
        <v>0</v>
      </c>
      <c r="AG1010">
        <v>45</v>
      </c>
      <c r="AH1010">
        <v>20</v>
      </c>
      <c r="AI1010" s="2">
        <f>Table__192.168.3.138AgingReportBEWLGS[[#This Row],[NetAmount]]-Table__192.168.3.138AgingReportBEWLGS[[#This Row],[Paid]]</f>
        <v>102544</v>
      </c>
    </row>
    <row r="1011" spans="1:35">
      <c r="A1011" t="s">
        <v>8308</v>
      </c>
      <c r="B1011" s="1">
        <v>41290</v>
      </c>
      <c r="C1011" s="1">
        <v>41335</v>
      </c>
      <c r="D1011" t="s">
        <v>6425</v>
      </c>
      <c r="E1011">
        <v>22600</v>
      </c>
      <c r="F1011">
        <v>3616</v>
      </c>
      <c r="G1011">
        <v>0</v>
      </c>
      <c r="H1011">
        <v>0</v>
      </c>
      <c r="I1011">
        <v>-21</v>
      </c>
      <c r="J1011">
        <v>26216</v>
      </c>
      <c r="K1011" t="s">
        <v>8309</v>
      </c>
      <c r="L1011" s="1">
        <v>41289</v>
      </c>
      <c r="N1011" t="s">
        <v>5127</v>
      </c>
      <c r="O1011" t="s">
        <v>2458</v>
      </c>
      <c r="P1011" t="s">
        <v>5478</v>
      </c>
      <c r="Q1011" t="s">
        <v>39</v>
      </c>
      <c r="R1011" t="s">
        <v>40</v>
      </c>
      <c r="S1011">
        <v>0</v>
      </c>
      <c r="U1011" t="s">
        <v>5550</v>
      </c>
      <c r="V1011" t="s">
        <v>1797</v>
      </c>
      <c r="X1011" t="s">
        <v>74</v>
      </c>
      <c r="Y1011" t="b">
        <v>0</v>
      </c>
      <c r="Z1011" t="b">
        <v>0</v>
      </c>
      <c r="AC1011" s="1"/>
      <c r="AF1011">
        <v>0</v>
      </c>
      <c r="AG1011">
        <v>45</v>
      </c>
      <c r="AH1011">
        <v>24</v>
      </c>
      <c r="AI1011" s="2">
        <f>Table__192.168.3.138AgingReportBEWLGS[[#This Row],[NetAmount]]-Table__192.168.3.138AgingReportBEWLGS[[#This Row],[Paid]]</f>
        <v>26216</v>
      </c>
    </row>
    <row r="1012" spans="1:35">
      <c r="A1012" t="s">
        <v>8310</v>
      </c>
      <c r="B1012" s="1">
        <v>41285</v>
      </c>
      <c r="C1012" s="1">
        <v>41330</v>
      </c>
      <c r="D1012" t="s">
        <v>7633</v>
      </c>
      <c r="E1012">
        <v>3600</v>
      </c>
      <c r="F1012">
        <v>576</v>
      </c>
      <c r="G1012">
        <v>0</v>
      </c>
      <c r="H1012">
        <v>0</v>
      </c>
      <c r="I1012">
        <v>-22</v>
      </c>
      <c r="J1012">
        <v>4176</v>
      </c>
      <c r="K1012" t="s">
        <v>2862</v>
      </c>
      <c r="L1012" s="1">
        <v>41290</v>
      </c>
      <c r="N1012" t="s">
        <v>5127</v>
      </c>
      <c r="O1012" t="s">
        <v>2458</v>
      </c>
      <c r="P1012" t="s">
        <v>5544</v>
      </c>
      <c r="Q1012" t="s">
        <v>39</v>
      </c>
      <c r="R1012" t="s">
        <v>40</v>
      </c>
      <c r="S1012">
        <v>0</v>
      </c>
      <c r="U1012" t="s">
        <v>5550</v>
      </c>
      <c r="V1012" t="s">
        <v>1797</v>
      </c>
      <c r="X1012" t="s">
        <v>74</v>
      </c>
      <c r="Y1012" t="b">
        <v>0</v>
      </c>
      <c r="Z1012" t="b">
        <v>0</v>
      </c>
      <c r="AC1012" s="1"/>
      <c r="AF1012">
        <v>0</v>
      </c>
      <c r="AG1012">
        <v>45</v>
      </c>
      <c r="AH1012">
        <v>23</v>
      </c>
      <c r="AI1012" s="2">
        <f>Table__192.168.3.138AgingReportBEWLGS[[#This Row],[NetAmount]]-Table__192.168.3.138AgingReportBEWLGS[[#This Row],[Paid]]</f>
        <v>4176</v>
      </c>
    </row>
    <row r="1013" spans="1:35">
      <c r="A1013" t="s">
        <v>8311</v>
      </c>
      <c r="B1013" s="1">
        <v>41285</v>
      </c>
      <c r="C1013" s="1">
        <v>41330</v>
      </c>
      <c r="D1013" t="s">
        <v>7633</v>
      </c>
      <c r="E1013">
        <v>8750</v>
      </c>
      <c r="F1013">
        <v>1400</v>
      </c>
      <c r="G1013">
        <v>0</v>
      </c>
      <c r="H1013">
        <v>0</v>
      </c>
      <c r="I1013">
        <v>-22</v>
      </c>
      <c r="J1013">
        <v>10150</v>
      </c>
      <c r="K1013" t="s">
        <v>2864</v>
      </c>
      <c r="L1013" s="1">
        <v>41290</v>
      </c>
      <c r="N1013" t="s">
        <v>5127</v>
      </c>
      <c r="O1013" t="s">
        <v>2458</v>
      </c>
      <c r="P1013" t="s">
        <v>5544</v>
      </c>
      <c r="Q1013" t="s">
        <v>39</v>
      </c>
      <c r="R1013" t="s">
        <v>40</v>
      </c>
      <c r="S1013">
        <v>0</v>
      </c>
      <c r="U1013" t="s">
        <v>5550</v>
      </c>
      <c r="V1013" t="s">
        <v>1797</v>
      </c>
      <c r="X1013" t="s">
        <v>74</v>
      </c>
      <c r="Y1013" t="b">
        <v>0</v>
      </c>
      <c r="Z1013" t="b">
        <v>0</v>
      </c>
      <c r="AC1013" s="1"/>
      <c r="AF1013">
        <v>0</v>
      </c>
      <c r="AG1013">
        <v>45</v>
      </c>
      <c r="AH1013">
        <v>23</v>
      </c>
      <c r="AI1013" s="2">
        <f>Table__192.168.3.138AgingReportBEWLGS[[#This Row],[NetAmount]]-Table__192.168.3.138AgingReportBEWLGS[[#This Row],[Paid]]</f>
        <v>10150</v>
      </c>
    </row>
    <row r="1014" spans="1:35">
      <c r="A1014" t="s">
        <v>8312</v>
      </c>
      <c r="B1014" s="1">
        <v>41138</v>
      </c>
      <c r="C1014" s="1">
        <v>41183</v>
      </c>
      <c r="D1014" t="s">
        <v>6542</v>
      </c>
      <c r="E1014">
        <v>19529</v>
      </c>
      <c r="F1014">
        <v>0</v>
      </c>
      <c r="G1014">
        <v>0</v>
      </c>
      <c r="H1014">
        <v>0</v>
      </c>
      <c r="I1014">
        <v>130</v>
      </c>
      <c r="J1014">
        <v>19529</v>
      </c>
      <c r="K1014" t="s">
        <v>137</v>
      </c>
      <c r="L1014" s="1">
        <v>41138</v>
      </c>
      <c r="N1014" t="s">
        <v>5127</v>
      </c>
      <c r="O1014" t="s">
        <v>2458</v>
      </c>
      <c r="P1014" t="s">
        <v>6544</v>
      </c>
      <c r="Q1014" t="s">
        <v>39</v>
      </c>
      <c r="R1014" t="s">
        <v>40</v>
      </c>
      <c r="S1014">
        <v>0</v>
      </c>
      <c r="U1014" t="s">
        <v>5550</v>
      </c>
      <c r="V1014" t="s">
        <v>1797</v>
      </c>
      <c r="X1014" t="s">
        <v>74</v>
      </c>
      <c r="Y1014" t="b">
        <v>0</v>
      </c>
      <c r="Z1014" t="b">
        <v>0</v>
      </c>
      <c r="AC1014" s="1"/>
      <c r="AF1014">
        <v>0</v>
      </c>
      <c r="AG1014">
        <v>45</v>
      </c>
      <c r="AH1014">
        <v>175</v>
      </c>
      <c r="AI1014" s="2">
        <f>Table__192.168.3.138AgingReportBEWLGS[[#This Row],[NetAmount]]-Table__192.168.3.138AgingReportBEWLGS[[#This Row],[Paid]]</f>
        <v>19529</v>
      </c>
    </row>
    <row r="1015" spans="1:35">
      <c r="A1015" t="s">
        <v>8313</v>
      </c>
      <c r="B1015" s="1">
        <v>41127</v>
      </c>
      <c r="C1015" s="1">
        <v>41172</v>
      </c>
      <c r="D1015" t="s">
        <v>6542</v>
      </c>
      <c r="E1015">
        <v>20100</v>
      </c>
      <c r="F1015">
        <v>0</v>
      </c>
      <c r="G1015">
        <v>0</v>
      </c>
      <c r="H1015">
        <v>0</v>
      </c>
      <c r="I1015">
        <v>145</v>
      </c>
      <c r="J1015">
        <v>20100</v>
      </c>
      <c r="K1015" t="s">
        <v>64</v>
      </c>
      <c r="L1015" s="1">
        <v>41123</v>
      </c>
      <c r="N1015" t="s">
        <v>5127</v>
      </c>
      <c r="O1015" t="s">
        <v>2458</v>
      </c>
      <c r="P1015" t="s">
        <v>6544</v>
      </c>
      <c r="Q1015" t="s">
        <v>39</v>
      </c>
      <c r="R1015" t="s">
        <v>40</v>
      </c>
      <c r="S1015">
        <v>0</v>
      </c>
      <c r="U1015" t="s">
        <v>5550</v>
      </c>
      <c r="V1015" t="s">
        <v>1797</v>
      </c>
      <c r="X1015" t="s">
        <v>74</v>
      </c>
      <c r="Y1015" t="b">
        <v>0</v>
      </c>
      <c r="Z1015" t="b">
        <v>0</v>
      </c>
      <c r="AC1015" s="1"/>
      <c r="AF1015">
        <v>0</v>
      </c>
      <c r="AG1015">
        <v>45</v>
      </c>
      <c r="AH1015">
        <v>190</v>
      </c>
      <c r="AI1015" s="2">
        <f>Table__192.168.3.138AgingReportBEWLGS[[#This Row],[NetAmount]]-Table__192.168.3.138AgingReportBEWLGS[[#This Row],[Paid]]</f>
        <v>20100</v>
      </c>
    </row>
    <row r="1016" spans="1:35">
      <c r="A1016" t="s">
        <v>8314</v>
      </c>
      <c r="B1016" s="1">
        <v>41152</v>
      </c>
      <c r="C1016" s="1">
        <v>41197</v>
      </c>
      <c r="D1016" t="s">
        <v>6542</v>
      </c>
      <c r="E1016">
        <v>17350</v>
      </c>
      <c r="F1016">
        <v>0</v>
      </c>
      <c r="G1016">
        <v>0</v>
      </c>
      <c r="H1016">
        <v>0</v>
      </c>
      <c r="I1016">
        <v>117</v>
      </c>
      <c r="J1016">
        <v>17350</v>
      </c>
      <c r="K1016" t="s">
        <v>3863</v>
      </c>
      <c r="L1016" s="1">
        <v>41151</v>
      </c>
      <c r="N1016" t="s">
        <v>5127</v>
      </c>
      <c r="O1016" t="s">
        <v>2458</v>
      </c>
      <c r="P1016" t="s">
        <v>6544</v>
      </c>
      <c r="Q1016" t="s">
        <v>39</v>
      </c>
      <c r="R1016" t="s">
        <v>40</v>
      </c>
      <c r="S1016">
        <v>0</v>
      </c>
      <c r="U1016" t="s">
        <v>5550</v>
      </c>
      <c r="V1016" t="s">
        <v>1797</v>
      </c>
      <c r="X1016" t="s">
        <v>74</v>
      </c>
      <c r="Y1016" t="b">
        <v>0</v>
      </c>
      <c r="Z1016" t="b">
        <v>0</v>
      </c>
      <c r="AC1016" s="1"/>
      <c r="AF1016">
        <v>0</v>
      </c>
      <c r="AG1016">
        <v>45</v>
      </c>
      <c r="AH1016">
        <v>162</v>
      </c>
      <c r="AI1016" s="2">
        <f>Table__192.168.3.138AgingReportBEWLGS[[#This Row],[NetAmount]]-Table__192.168.3.138AgingReportBEWLGS[[#This Row],[Paid]]</f>
        <v>17350</v>
      </c>
    </row>
    <row r="1017" spans="1:35">
      <c r="A1017" t="s">
        <v>8315</v>
      </c>
      <c r="B1017" s="1">
        <v>41285</v>
      </c>
      <c r="C1017" s="1">
        <v>41285</v>
      </c>
      <c r="D1017" t="s">
        <v>7829</v>
      </c>
      <c r="E1017">
        <v>189420</v>
      </c>
      <c r="F1017">
        <v>30308</v>
      </c>
      <c r="G1017">
        <v>0</v>
      </c>
      <c r="H1017">
        <v>0</v>
      </c>
      <c r="I1017">
        <v>0</v>
      </c>
      <c r="J1017">
        <v>219728</v>
      </c>
      <c r="K1017" t="s">
        <v>8316</v>
      </c>
      <c r="L1017" s="1">
        <v>41295</v>
      </c>
      <c r="N1017" t="s">
        <v>5127</v>
      </c>
      <c r="O1017" t="s">
        <v>2458</v>
      </c>
      <c r="P1017" t="s">
        <v>5546</v>
      </c>
      <c r="Q1017" t="s">
        <v>39</v>
      </c>
      <c r="R1017" t="s">
        <v>40</v>
      </c>
      <c r="S1017">
        <v>0</v>
      </c>
      <c r="U1017" t="s">
        <v>5550</v>
      </c>
      <c r="V1017" t="s">
        <v>1797</v>
      </c>
      <c r="X1017" t="s">
        <v>74</v>
      </c>
      <c r="Y1017" t="b">
        <v>0</v>
      </c>
      <c r="Z1017" t="b">
        <v>0</v>
      </c>
      <c r="AC1017" s="1"/>
      <c r="AF1017">
        <v>0</v>
      </c>
      <c r="AH1017">
        <v>18</v>
      </c>
      <c r="AI1017" s="2">
        <f>Table__192.168.3.138AgingReportBEWLGS[[#This Row],[NetAmount]]-Table__192.168.3.138AgingReportBEWLGS[[#This Row],[Paid]]</f>
        <v>219728</v>
      </c>
    </row>
    <row r="1018" spans="1:35">
      <c r="A1018" t="s">
        <v>8317</v>
      </c>
      <c r="B1018" s="1">
        <v>41283</v>
      </c>
      <c r="C1018" s="1">
        <v>41283</v>
      </c>
      <c r="D1018" t="s">
        <v>7829</v>
      </c>
      <c r="E1018">
        <v>70000</v>
      </c>
      <c r="F1018">
        <v>11200</v>
      </c>
      <c r="G1018">
        <v>0</v>
      </c>
      <c r="H1018">
        <v>0</v>
      </c>
      <c r="I1018">
        <v>0</v>
      </c>
      <c r="J1018">
        <v>81200</v>
      </c>
      <c r="K1018" t="s">
        <v>8318</v>
      </c>
      <c r="L1018" s="1">
        <v>41295</v>
      </c>
      <c r="N1018" t="s">
        <v>5127</v>
      </c>
      <c r="O1018" t="s">
        <v>2458</v>
      </c>
      <c r="P1018" t="s">
        <v>5546</v>
      </c>
      <c r="Q1018" t="s">
        <v>39</v>
      </c>
      <c r="R1018" t="s">
        <v>40</v>
      </c>
      <c r="S1018">
        <v>0</v>
      </c>
      <c r="U1018" t="s">
        <v>5550</v>
      </c>
      <c r="V1018" t="s">
        <v>1797</v>
      </c>
      <c r="X1018" t="s">
        <v>74</v>
      </c>
      <c r="Y1018" t="b">
        <v>0</v>
      </c>
      <c r="Z1018" t="b">
        <v>0</v>
      </c>
      <c r="AC1018" s="1"/>
      <c r="AF1018">
        <v>0</v>
      </c>
      <c r="AH1018">
        <v>18</v>
      </c>
      <c r="AI1018" s="2">
        <f>Table__192.168.3.138AgingReportBEWLGS[[#This Row],[NetAmount]]-Table__192.168.3.138AgingReportBEWLGS[[#This Row],[Paid]]</f>
        <v>81200</v>
      </c>
    </row>
    <row r="1019" spans="1:35">
      <c r="A1019" t="s">
        <v>8319</v>
      </c>
      <c r="B1019" s="1">
        <v>41295</v>
      </c>
      <c r="C1019" s="1">
        <v>41340</v>
      </c>
      <c r="D1019" t="s">
        <v>7715</v>
      </c>
      <c r="E1019">
        <v>22954</v>
      </c>
      <c r="F1019">
        <v>3673</v>
      </c>
      <c r="G1019">
        <v>0</v>
      </c>
      <c r="H1019">
        <v>0</v>
      </c>
      <c r="I1019">
        <v>-23</v>
      </c>
      <c r="J1019">
        <v>26627</v>
      </c>
      <c r="K1019" t="s">
        <v>1141</v>
      </c>
      <c r="L1019" s="1">
        <v>41291</v>
      </c>
      <c r="N1019" t="s">
        <v>5127</v>
      </c>
      <c r="O1019" t="s">
        <v>2458</v>
      </c>
      <c r="P1019" t="s">
        <v>7716</v>
      </c>
      <c r="Q1019" t="s">
        <v>39</v>
      </c>
      <c r="R1019" t="s">
        <v>40</v>
      </c>
      <c r="S1019">
        <v>0</v>
      </c>
      <c r="U1019" t="s">
        <v>5550</v>
      </c>
      <c r="V1019" t="s">
        <v>1797</v>
      </c>
      <c r="X1019" t="s">
        <v>74</v>
      </c>
      <c r="Y1019" t="b">
        <v>0</v>
      </c>
      <c r="Z1019" t="b">
        <v>0</v>
      </c>
      <c r="AC1019" s="1"/>
      <c r="AF1019">
        <v>0</v>
      </c>
      <c r="AG1019">
        <v>45</v>
      </c>
      <c r="AH1019">
        <v>22</v>
      </c>
      <c r="AI1019" s="2">
        <f>Table__192.168.3.138AgingReportBEWLGS[[#This Row],[NetAmount]]-Table__192.168.3.138AgingReportBEWLGS[[#This Row],[Paid]]</f>
        <v>26627</v>
      </c>
    </row>
    <row r="1020" spans="1:35">
      <c r="A1020" t="s">
        <v>8320</v>
      </c>
      <c r="B1020" s="1">
        <v>41293</v>
      </c>
      <c r="C1020" s="1">
        <v>41338</v>
      </c>
      <c r="D1020" t="s">
        <v>7891</v>
      </c>
      <c r="E1020">
        <v>7000</v>
      </c>
      <c r="F1020">
        <v>0</v>
      </c>
      <c r="G1020">
        <v>0</v>
      </c>
      <c r="H1020">
        <v>0</v>
      </c>
      <c r="I1020">
        <v>-25</v>
      </c>
      <c r="J1020">
        <v>7000</v>
      </c>
      <c r="K1020" t="s">
        <v>3650</v>
      </c>
      <c r="L1020" s="1">
        <v>41293</v>
      </c>
      <c r="N1020" t="s">
        <v>5127</v>
      </c>
      <c r="O1020" t="s">
        <v>2458</v>
      </c>
      <c r="P1020" t="s">
        <v>7892</v>
      </c>
      <c r="Q1020" t="s">
        <v>39</v>
      </c>
      <c r="R1020" t="s">
        <v>40</v>
      </c>
      <c r="S1020">
        <v>0</v>
      </c>
      <c r="U1020" t="s">
        <v>5550</v>
      </c>
      <c r="V1020" t="s">
        <v>1797</v>
      </c>
      <c r="X1020" t="s">
        <v>74</v>
      </c>
      <c r="Y1020" t="b">
        <v>0</v>
      </c>
      <c r="Z1020" t="b">
        <v>0</v>
      </c>
      <c r="AC1020" s="1"/>
      <c r="AF1020">
        <v>0</v>
      </c>
      <c r="AG1020">
        <v>45</v>
      </c>
      <c r="AH1020">
        <v>20</v>
      </c>
      <c r="AI1020" s="2">
        <f>Table__192.168.3.138AgingReportBEWLGS[[#This Row],[NetAmount]]-Table__192.168.3.138AgingReportBEWLGS[[#This Row],[Paid]]</f>
        <v>7000</v>
      </c>
    </row>
    <row r="1021" spans="1:35">
      <c r="A1021" t="s">
        <v>8321</v>
      </c>
      <c r="B1021" s="1">
        <v>41285</v>
      </c>
      <c r="C1021" s="1">
        <v>41330</v>
      </c>
      <c r="D1021" t="s">
        <v>7891</v>
      </c>
      <c r="E1021">
        <v>5800</v>
      </c>
      <c r="F1021">
        <v>0</v>
      </c>
      <c r="G1021">
        <v>0</v>
      </c>
      <c r="H1021">
        <v>0</v>
      </c>
      <c r="I1021">
        <v>-16</v>
      </c>
      <c r="J1021">
        <v>5800</v>
      </c>
      <c r="K1021" t="s">
        <v>3652</v>
      </c>
      <c r="L1021" s="1">
        <v>41284</v>
      </c>
      <c r="N1021" t="s">
        <v>5127</v>
      </c>
      <c r="O1021" t="s">
        <v>2458</v>
      </c>
      <c r="P1021" t="s">
        <v>7892</v>
      </c>
      <c r="Q1021" t="s">
        <v>39</v>
      </c>
      <c r="R1021" t="s">
        <v>40</v>
      </c>
      <c r="S1021">
        <v>0</v>
      </c>
      <c r="U1021" t="s">
        <v>5550</v>
      </c>
      <c r="V1021" t="s">
        <v>1797</v>
      </c>
      <c r="X1021" t="s">
        <v>74</v>
      </c>
      <c r="Y1021" t="b">
        <v>0</v>
      </c>
      <c r="Z1021" t="b">
        <v>0</v>
      </c>
      <c r="AC1021" s="1"/>
      <c r="AF1021">
        <v>0</v>
      </c>
      <c r="AG1021">
        <v>45</v>
      </c>
      <c r="AH1021">
        <v>29</v>
      </c>
      <c r="AI1021" s="2">
        <f>Table__192.168.3.138AgingReportBEWLGS[[#This Row],[NetAmount]]-Table__192.168.3.138AgingReportBEWLGS[[#This Row],[Paid]]</f>
        <v>5800</v>
      </c>
    </row>
    <row r="1022" spans="1:35">
      <c r="A1022" t="s">
        <v>8322</v>
      </c>
      <c r="B1022" s="1">
        <v>41285</v>
      </c>
      <c r="C1022" s="1">
        <v>41330</v>
      </c>
      <c r="D1022" t="s">
        <v>7773</v>
      </c>
      <c r="E1022">
        <v>65780</v>
      </c>
      <c r="F1022">
        <v>10525</v>
      </c>
      <c r="G1022">
        <v>0</v>
      </c>
      <c r="H1022">
        <v>0</v>
      </c>
      <c r="I1022">
        <v>-20</v>
      </c>
      <c r="J1022">
        <v>76305</v>
      </c>
      <c r="K1022" t="s">
        <v>8323</v>
      </c>
      <c r="L1022" s="1">
        <v>41288</v>
      </c>
      <c r="N1022" t="s">
        <v>5127</v>
      </c>
      <c r="O1022" t="s">
        <v>2458</v>
      </c>
      <c r="P1022" t="s">
        <v>7776</v>
      </c>
      <c r="Q1022" t="s">
        <v>39</v>
      </c>
      <c r="R1022" t="s">
        <v>40</v>
      </c>
      <c r="S1022">
        <v>0</v>
      </c>
      <c r="U1022" t="s">
        <v>5550</v>
      </c>
      <c r="V1022" t="s">
        <v>1797</v>
      </c>
      <c r="X1022" t="s">
        <v>74</v>
      </c>
      <c r="Y1022" t="b">
        <v>0</v>
      </c>
      <c r="Z1022" t="b">
        <v>0</v>
      </c>
      <c r="AC1022" s="1"/>
      <c r="AF1022">
        <v>0</v>
      </c>
      <c r="AG1022">
        <v>45</v>
      </c>
      <c r="AH1022">
        <v>25</v>
      </c>
      <c r="AI1022" s="2">
        <f>Table__192.168.3.138AgingReportBEWLGS[[#This Row],[NetAmount]]-Table__192.168.3.138AgingReportBEWLGS[[#This Row],[Paid]]</f>
        <v>76305</v>
      </c>
    </row>
    <row r="1023" spans="1:35">
      <c r="A1023" t="s">
        <v>8324</v>
      </c>
      <c r="B1023" s="1">
        <v>41289</v>
      </c>
      <c r="C1023" s="1">
        <v>41334</v>
      </c>
      <c r="D1023" t="s">
        <v>6542</v>
      </c>
      <c r="E1023">
        <v>22400</v>
      </c>
      <c r="F1023">
        <v>0</v>
      </c>
      <c r="G1023">
        <v>0</v>
      </c>
      <c r="H1023">
        <v>0</v>
      </c>
      <c r="I1023">
        <v>-21</v>
      </c>
      <c r="J1023">
        <v>22400</v>
      </c>
      <c r="K1023" t="s">
        <v>8325</v>
      </c>
      <c r="L1023" s="1">
        <v>41289</v>
      </c>
      <c r="N1023" t="s">
        <v>5127</v>
      </c>
      <c r="O1023" t="s">
        <v>2458</v>
      </c>
      <c r="P1023" t="s">
        <v>6544</v>
      </c>
      <c r="Q1023" t="s">
        <v>39</v>
      </c>
      <c r="R1023" t="s">
        <v>40</v>
      </c>
      <c r="S1023">
        <v>0</v>
      </c>
      <c r="U1023" t="s">
        <v>5550</v>
      </c>
      <c r="V1023" t="s">
        <v>1797</v>
      </c>
      <c r="X1023" t="s">
        <v>74</v>
      </c>
      <c r="Y1023" t="b">
        <v>0</v>
      </c>
      <c r="Z1023" t="b">
        <v>0</v>
      </c>
      <c r="AC1023" s="1"/>
      <c r="AF1023">
        <v>0</v>
      </c>
      <c r="AG1023">
        <v>45</v>
      </c>
      <c r="AH1023">
        <v>24</v>
      </c>
      <c r="AI1023" s="2">
        <f>Table__192.168.3.138AgingReportBEWLGS[[#This Row],[NetAmount]]-Table__192.168.3.138AgingReportBEWLGS[[#This Row],[Paid]]</f>
        <v>22400</v>
      </c>
    </row>
    <row r="1024" spans="1:35">
      <c r="A1024" t="s">
        <v>8326</v>
      </c>
      <c r="B1024" s="1">
        <v>41286</v>
      </c>
      <c r="C1024" s="1">
        <v>41331</v>
      </c>
      <c r="D1024" t="s">
        <v>6542</v>
      </c>
      <c r="E1024">
        <v>22400</v>
      </c>
      <c r="F1024">
        <v>0</v>
      </c>
      <c r="G1024">
        <v>0</v>
      </c>
      <c r="H1024">
        <v>0</v>
      </c>
      <c r="I1024">
        <v>-18</v>
      </c>
      <c r="J1024">
        <v>22400</v>
      </c>
      <c r="K1024" t="s">
        <v>8327</v>
      </c>
      <c r="L1024" s="1">
        <v>41286</v>
      </c>
      <c r="N1024" t="s">
        <v>5127</v>
      </c>
      <c r="O1024" t="s">
        <v>2458</v>
      </c>
      <c r="P1024" t="s">
        <v>6544</v>
      </c>
      <c r="Q1024" t="s">
        <v>39</v>
      </c>
      <c r="R1024" t="s">
        <v>40</v>
      </c>
      <c r="S1024">
        <v>0</v>
      </c>
      <c r="U1024" t="s">
        <v>5550</v>
      </c>
      <c r="V1024" t="s">
        <v>1797</v>
      </c>
      <c r="X1024" t="s">
        <v>74</v>
      </c>
      <c r="Y1024" t="b">
        <v>0</v>
      </c>
      <c r="Z1024" t="b">
        <v>0</v>
      </c>
      <c r="AC1024" s="1"/>
      <c r="AF1024">
        <v>0</v>
      </c>
      <c r="AG1024">
        <v>45</v>
      </c>
      <c r="AH1024">
        <v>27</v>
      </c>
      <c r="AI1024" s="2">
        <f>Table__192.168.3.138AgingReportBEWLGS[[#This Row],[NetAmount]]-Table__192.168.3.138AgingReportBEWLGS[[#This Row],[Paid]]</f>
        <v>22400</v>
      </c>
    </row>
    <row r="1025" spans="1:35">
      <c r="A1025" t="s">
        <v>8328</v>
      </c>
      <c r="B1025" s="1">
        <v>41285</v>
      </c>
      <c r="C1025" s="1">
        <v>41330</v>
      </c>
      <c r="D1025" t="s">
        <v>6542</v>
      </c>
      <c r="E1025">
        <v>22400</v>
      </c>
      <c r="F1025">
        <v>0</v>
      </c>
      <c r="G1025">
        <v>0</v>
      </c>
      <c r="H1025">
        <v>0</v>
      </c>
      <c r="I1025">
        <v>-17</v>
      </c>
      <c r="J1025">
        <v>22400</v>
      </c>
      <c r="K1025" t="s">
        <v>8329</v>
      </c>
      <c r="L1025" s="1">
        <v>41285</v>
      </c>
      <c r="N1025" t="s">
        <v>5127</v>
      </c>
      <c r="O1025" t="s">
        <v>2458</v>
      </c>
      <c r="P1025" t="s">
        <v>6544</v>
      </c>
      <c r="Q1025" t="s">
        <v>39</v>
      </c>
      <c r="R1025" t="s">
        <v>40</v>
      </c>
      <c r="S1025">
        <v>0</v>
      </c>
      <c r="U1025" t="s">
        <v>5550</v>
      </c>
      <c r="V1025" t="s">
        <v>1797</v>
      </c>
      <c r="X1025" t="s">
        <v>74</v>
      </c>
      <c r="Y1025" t="b">
        <v>0</v>
      </c>
      <c r="Z1025" t="b">
        <v>0</v>
      </c>
      <c r="AC1025" s="1"/>
      <c r="AF1025">
        <v>0</v>
      </c>
      <c r="AG1025">
        <v>45</v>
      </c>
      <c r="AH1025">
        <v>28</v>
      </c>
      <c r="AI1025" s="2">
        <f>Table__192.168.3.138AgingReportBEWLGS[[#This Row],[NetAmount]]-Table__192.168.3.138AgingReportBEWLGS[[#This Row],[Paid]]</f>
        <v>22400</v>
      </c>
    </row>
    <row r="1026" spans="1:35">
      <c r="A1026" t="s">
        <v>8330</v>
      </c>
      <c r="B1026" s="1">
        <v>41283</v>
      </c>
      <c r="C1026" s="1">
        <v>41328</v>
      </c>
      <c r="D1026" t="s">
        <v>6542</v>
      </c>
      <c r="E1026">
        <v>22400</v>
      </c>
      <c r="F1026">
        <v>0</v>
      </c>
      <c r="G1026">
        <v>0</v>
      </c>
      <c r="H1026">
        <v>0</v>
      </c>
      <c r="I1026">
        <v>-16</v>
      </c>
      <c r="J1026">
        <v>22400</v>
      </c>
      <c r="K1026" t="s">
        <v>8331</v>
      </c>
      <c r="L1026" s="1">
        <v>41284</v>
      </c>
      <c r="N1026" t="s">
        <v>5127</v>
      </c>
      <c r="O1026" t="s">
        <v>2458</v>
      </c>
      <c r="P1026" t="s">
        <v>6544</v>
      </c>
      <c r="Q1026" t="s">
        <v>39</v>
      </c>
      <c r="R1026" t="s">
        <v>40</v>
      </c>
      <c r="S1026">
        <v>0</v>
      </c>
      <c r="U1026" t="s">
        <v>5550</v>
      </c>
      <c r="V1026" t="s">
        <v>1797</v>
      </c>
      <c r="X1026" t="s">
        <v>74</v>
      </c>
      <c r="Y1026" t="b">
        <v>0</v>
      </c>
      <c r="Z1026" t="b">
        <v>0</v>
      </c>
      <c r="AC1026" s="1"/>
      <c r="AF1026">
        <v>0</v>
      </c>
      <c r="AG1026">
        <v>45</v>
      </c>
      <c r="AH1026">
        <v>29</v>
      </c>
      <c r="AI1026" s="2">
        <f>Table__192.168.3.138AgingReportBEWLGS[[#This Row],[NetAmount]]-Table__192.168.3.138AgingReportBEWLGS[[#This Row],[Paid]]</f>
        <v>22400</v>
      </c>
    </row>
    <row r="1027" spans="1:35">
      <c r="A1027" t="s">
        <v>8332</v>
      </c>
      <c r="B1027" s="1">
        <v>41281</v>
      </c>
      <c r="C1027" s="1">
        <v>41326</v>
      </c>
      <c r="D1027" t="s">
        <v>6542</v>
      </c>
      <c r="E1027">
        <v>11200</v>
      </c>
      <c r="F1027">
        <v>0</v>
      </c>
      <c r="G1027">
        <v>0</v>
      </c>
      <c r="H1027">
        <v>0</v>
      </c>
      <c r="I1027">
        <v>-14</v>
      </c>
      <c r="J1027">
        <v>11200</v>
      </c>
      <c r="K1027" t="s">
        <v>8333</v>
      </c>
      <c r="L1027" s="1">
        <v>41282</v>
      </c>
      <c r="N1027" t="s">
        <v>5127</v>
      </c>
      <c r="O1027" t="s">
        <v>2458</v>
      </c>
      <c r="P1027" t="s">
        <v>6544</v>
      </c>
      <c r="Q1027" t="s">
        <v>39</v>
      </c>
      <c r="R1027" t="s">
        <v>40</v>
      </c>
      <c r="S1027">
        <v>0</v>
      </c>
      <c r="U1027" t="s">
        <v>5550</v>
      </c>
      <c r="V1027" t="s">
        <v>1797</v>
      </c>
      <c r="X1027" t="s">
        <v>74</v>
      </c>
      <c r="Y1027" t="b">
        <v>0</v>
      </c>
      <c r="Z1027" t="b">
        <v>0</v>
      </c>
      <c r="AC1027" s="1"/>
      <c r="AF1027">
        <v>0</v>
      </c>
      <c r="AG1027">
        <v>45</v>
      </c>
      <c r="AH1027">
        <v>31</v>
      </c>
      <c r="AI1027" s="2">
        <f>Table__192.168.3.138AgingReportBEWLGS[[#This Row],[NetAmount]]-Table__192.168.3.138AgingReportBEWLGS[[#This Row],[Paid]]</f>
        <v>11200</v>
      </c>
    </row>
    <row r="1028" spans="1:35">
      <c r="A1028" t="s">
        <v>8334</v>
      </c>
      <c r="B1028" s="1">
        <v>41281</v>
      </c>
      <c r="C1028" s="1">
        <v>41326</v>
      </c>
      <c r="D1028" t="s">
        <v>6542</v>
      </c>
      <c r="E1028">
        <v>11200</v>
      </c>
      <c r="F1028">
        <v>0</v>
      </c>
      <c r="G1028">
        <v>0</v>
      </c>
      <c r="H1028">
        <v>0</v>
      </c>
      <c r="I1028">
        <v>-13</v>
      </c>
      <c r="J1028">
        <v>11200</v>
      </c>
      <c r="K1028" t="s">
        <v>8335</v>
      </c>
      <c r="L1028" s="1">
        <v>41281</v>
      </c>
      <c r="N1028" t="s">
        <v>5127</v>
      </c>
      <c r="O1028" t="s">
        <v>2458</v>
      </c>
      <c r="P1028" t="s">
        <v>6544</v>
      </c>
      <c r="Q1028" t="s">
        <v>39</v>
      </c>
      <c r="R1028" t="s">
        <v>40</v>
      </c>
      <c r="S1028">
        <v>0</v>
      </c>
      <c r="U1028" t="s">
        <v>5550</v>
      </c>
      <c r="V1028" t="s">
        <v>1797</v>
      </c>
      <c r="X1028" t="s">
        <v>74</v>
      </c>
      <c r="Y1028" t="b">
        <v>0</v>
      </c>
      <c r="Z1028" t="b">
        <v>0</v>
      </c>
      <c r="AC1028" s="1"/>
      <c r="AF1028">
        <v>0</v>
      </c>
      <c r="AG1028">
        <v>45</v>
      </c>
      <c r="AH1028">
        <v>32</v>
      </c>
      <c r="AI1028" s="2">
        <f>Table__192.168.3.138AgingReportBEWLGS[[#This Row],[NetAmount]]-Table__192.168.3.138AgingReportBEWLGS[[#This Row],[Paid]]</f>
        <v>11200</v>
      </c>
    </row>
    <row r="1029" spans="1:35">
      <c r="A1029" t="s">
        <v>8336</v>
      </c>
      <c r="B1029" s="1">
        <v>41279</v>
      </c>
      <c r="C1029" s="1">
        <v>41324</v>
      </c>
      <c r="D1029" t="s">
        <v>6542</v>
      </c>
      <c r="E1029">
        <v>26800</v>
      </c>
      <c r="F1029">
        <v>0</v>
      </c>
      <c r="G1029">
        <v>0</v>
      </c>
      <c r="H1029">
        <v>0</v>
      </c>
      <c r="I1029">
        <v>-11</v>
      </c>
      <c r="J1029">
        <v>26800</v>
      </c>
      <c r="K1029" t="s">
        <v>8337</v>
      </c>
      <c r="L1029" s="1">
        <v>41279</v>
      </c>
      <c r="N1029" t="s">
        <v>5127</v>
      </c>
      <c r="O1029" t="s">
        <v>2458</v>
      </c>
      <c r="P1029" t="s">
        <v>6544</v>
      </c>
      <c r="Q1029" t="s">
        <v>39</v>
      </c>
      <c r="R1029" t="s">
        <v>40</v>
      </c>
      <c r="S1029">
        <v>0</v>
      </c>
      <c r="U1029" t="s">
        <v>5550</v>
      </c>
      <c r="V1029" t="s">
        <v>1797</v>
      </c>
      <c r="X1029" t="s">
        <v>74</v>
      </c>
      <c r="Y1029" t="b">
        <v>0</v>
      </c>
      <c r="Z1029" t="b">
        <v>0</v>
      </c>
      <c r="AC1029" s="1"/>
      <c r="AF1029">
        <v>0</v>
      </c>
      <c r="AG1029">
        <v>45</v>
      </c>
      <c r="AH1029">
        <v>34</v>
      </c>
      <c r="AI1029" s="2">
        <f>Table__192.168.3.138AgingReportBEWLGS[[#This Row],[NetAmount]]-Table__192.168.3.138AgingReportBEWLGS[[#This Row],[Paid]]</f>
        <v>26800</v>
      </c>
    </row>
    <row r="1030" spans="1:35">
      <c r="A1030" t="s">
        <v>8338</v>
      </c>
      <c r="B1030" s="1">
        <v>41277</v>
      </c>
      <c r="C1030" s="1">
        <v>41322</v>
      </c>
      <c r="D1030" t="s">
        <v>6542</v>
      </c>
      <c r="E1030">
        <v>23800</v>
      </c>
      <c r="F1030">
        <v>0</v>
      </c>
      <c r="G1030">
        <v>0</v>
      </c>
      <c r="H1030">
        <v>0</v>
      </c>
      <c r="I1030">
        <v>-9</v>
      </c>
      <c r="J1030">
        <v>23800</v>
      </c>
      <c r="K1030" t="s">
        <v>8339</v>
      </c>
      <c r="L1030" s="1">
        <v>41277</v>
      </c>
      <c r="N1030" t="s">
        <v>5127</v>
      </c>
      <c r="O1030" t="s">
        <v>2458</v>
      </c>
      <c r="P1030" t="s">
        <v>6544</v>
      </c>
      <c r="Q1030" t="s">
        <v>39</v>
      </c>
      <c r="R1030" t="s">
        <v>40</v>
      </c>
      <c r="S1030">
        <v>0</v>
      </c>
      <c r="U1030" t="s">
        <v>5550</v>
      </c>
      <c r="V1030" t="s">
        <v>1797</v>
      </c>
      <c r="X1030" t="s">
        <v>74</v>
      </c>
      <c r="Y1030" t="b">
        <v>0</v>
      </c>
      <c r="Z1030" t="b">
        <v>0</v>
      </c>
      <c r="AC1030" s="1"/>
      <c r="AF1030">
        <v>0</v>
      </c>
      <c r="AG1030">
        <v>45</v>
      </c>
      <c r="AH1030">
        <v>36</v>
      </c>
      <c r="AI1030" s="2">
        <f>Table__192.168.3.138AgingReportBEWLGS[[#This Row],[NetAmount]]-Table__192.168.3.138AgingReportBEWLGS[[#This Row],[Paid]]</f>
        <v>23800</v>
      </c>
    </row>
    <row r="1031" spans="1:35">
      <c r="A1031" t="s">
        <v>8340</v>
      </c>
      <c r="B1031" s="1">
        <v>41276</v>
      </c>
      <c r="C1031" s="1">
        <v>41321</v>
      </c>
      <c r="D1031" t="s">
        <v>6542</v>
      </c>
      <c r="E1031">
        <v>22400</v>
      </c>
      <c r="F1031">
        <v>0</v>
      </c>
      <c r="G1031">
        <v>0</v>
      </c>
      <c r="H1031">
        <v>0</v>
      </c>
      <c r="I1031">
        <v>-8</v>
      </c>
      <c r="J1031">
        <v>22400</v>
      </c>
      <c r="K1031" t="s">
        <v>8341</v>
      </c>
      <c r="L1031" s="1">
        <v>41276</v>
      </c>
      <c r="N1031" t="s">
        <v>5127</v>
      </c>
      <c r="O1031" t="s">
        <v>2458</v>
      </c>
      <c r="P1031" t="s">
        <v>6544</v>
      </c>
      <c r="Q1031" t="s">
        <v>39</v>
      </c>
      <c r="R1031" t="s">
        <v>40</v>
      </c>
      <c r="S1031">
        <v>0</v>
      </c>
      <c r="U1031" t="s">
        <v>5550</v>
      </c>
      <c r="V1031" t="s">
        <v>1797</v>
      </c>
      <c r="X1031" t="s">
        <v>74</v>
      </c>
      <c r="Y1031" t="b">
        <v>0</v>
      </c>
      <c r="Z1031" t="b">
        <v>0</v>
      </c>
      <c r="AC1031" s="1"/>
      <c r="AF1031">
        <v>0</v>
      </c>
      <c r="AG1031">
        <v>45</v>
      </c>
      <c r="AH1031">
        <v>37</v>
      </c>
      <c r="AI1031" s="2">
        <f>Table__192.168.3.138AgingReportBEWLGS[[#This Row],[NetAmount]]-Table__192.168.3.138AgingReportBEWLGS[[#This Row],[Paid]]</f>
        <v>22400</v>
      </c>
    </row>
    <row r="1032" spans="1:35">
      <c r="A1032" t="s">
        <v>8342</v>
      </c>
      <c r="B1032" s="1">
        <v>41276</v>
      </c>
      <c r="C1032" s="1">
        <v>41321</v>
      </c>
      <c r="D1032" t="s">
        <v>6542</v>
      </c>
      <c r="E1032">
        <v>22440</v>
      </c>
      <c r="F1032">
        <v>0</v>
      </c>
      <c r="G1032">
        <v>0</v>
      </c>
      <c r="H1032">
        <v>0</v>
      </c>
      <c r="I1032">
        <v>-11</v>
      </c>
      <c r="J1032">
        <v>22440</v>
      </c>
      <c r="K1032" t="s">
        <v>8343</v>
      </c>
      <c r="L1032" s="1">
        <v>41279</v>
      </c>
      <c r="N1032" t="s">
        <v>5127</v>
      </c>
      <c r="O1032" t="s">
        <v>2458</v>
      </c>
      <c r="P1032" t="s">
        <v>6544</v>
      </c>
      <c r="Q1032" t="s">
        <v>39</v>
      </c>
      <c r="R1032" t="s">
        <v>40</v>
      </c>
      <c r="S1032">
        <v>0</v>
      </c>
      <c r="U1032" t="s">
        <v>5550</v>
      </c>
      <c r="V1032" t="s">
        <v>1797</v>
      </c>
      <c r="X1032" t="s">
        <v>74</v>
      </c>
      <c r="Y1032" t="b">
        <v>0</v>
      </c>
      <c r="Z1032" t="b">
        <v>0</v>
      </c>
      <c r="AC1032" s="1"/>
      <c r="AF1032">
        <v>0</v>
      </c>
      <c r="AG1032">
        <v>45</v>
      </c>
      <c r="AH1032">
        <v>34</v>
      </c>
      <c r="AI1032" s="2">
        <f>Table__192.168.3.138AgingReportBEWLGS[[#This Row],[NetAmount]]-Table__192.168.3.138AgingReportBEWLGS[[#This Row],[Paid]]</f>
        <v>22440</v>
      </c>
    </row>
    <row r="1033" spans="1:35">
      <c r="A1033" t="s">
        <v>8344</v>
      </c>
      <c r="B1033" s="1">
        <v>41275</v>
      </c>
      <c r="C1033" s="1">
        <v>41320</v>
      </c>
      <c r="D1033" t="s">
        <v>6542</v>
      </c>
      <c r="E1033">
        <v>22400</v>
      </c>
      <c r="F1033">
        <v>0</v>
      </c>
      <c r="G1033">
        <v>0</v>
      </c>
      <c r="H1033">
        <v>0</v>
      </c>
      <c r="I1033">
        <v>-7</v>
      </c>
      <c r="J1033">
        <v>22400</v>
      </c>
      <c r="K1033" t="s">
        <v>8345</v>
      </c>
      <c r="L1033" s="1">
        <v>41275</v>
      </c>
      <c r="N1033" t="s">
        <v>5127</v>
      </c>
      <c r="O1033" t="s">
        <v>2458</v>
      </c>
      <c r="P1033" t="s">
        <v>6544</v>
      </c>
      <c r="Q1033" t="s">
        <v>39</v>
      </c>
      <c r="R1033" t="s">
        <v>40</v>
      </c>
      <c r="S1033">
        <v>0</v>
      </c>
      <c r="U1033" t="s">
        <v>5550</v>
      </c>
      <c r="V1033" t="s">
        <v>1797</v>
      </c>
      <c r="X1033" t="s">
        <v>74</v>
      </c>
      <c r="Y1033" t="b">
        <v>0</v>
      </c>
      <c r="Z1033" t="b">
        <v>0</v>
      </c>
      <c r="AC1033" s="1"/>
      <c r="AF1033">
        <v>0</v>
      </c>
      <c r="AG1033">
        <v>45</v>
      </c>
      <c r="AH1033">
        <v>38</v>
      </c>
      <c r="AI1033" s="2">
        <f>Table__192.168.3.138AgingReportBEWLGS[[#This Row],[NetAmount]]-Table__192.168.3.138AgingReportBEWLGS[[#This Row],[Paid]]</f>
        <v>22400</v>
      </c>
    </row>
    <row r="1034" spans="1:35">
      <c r="A1034" t="s">
        <v>8346</v>
      </c>
      <c r="B1034" s="1">
        <v>41291</v>
      </c>
      <c r="C1034" s="1">
        <v>41336</v>
      </c>
      <c r="D1034" t="s">
        <v>8023</v>
      </c>
      <c r="E1034">
        <v>144585</v>
      </c>
      <c r="F1034">
        <v>23134</v>
      </c>
      <c r="G1034">
        <v>0</v>
      </c>
      <c r="H1034">
        <v>0</v>
      </c>
      <c r="I1034">
        <v>-24</v>
      </c>
      <c r="J1034">
        <v>167719</v>
      </c>
      <c r="K1034" t="s">
        <v>8347</v>
      </c>
      <c r="L1034" s="1">
        <v>41292</v>
      </c>
      <c r="N1034" t="s">
        <v>5127</v>
      </c>
      <c r="O1034" t="s">
        <v>2458</v>
      </c>
      <c r="P1034" t="s">
        <v>8025</v>
      </c>
      <c r="Q1034" t="s">
        <v>39</v>
      </c>
      <c r="R1034" t="s">
        <v>40</v>
      </c>
      <c r="S1034">
        <v>0</v>
      </c>
      <c r="U1034" t="s">
        <v>5550</v>
      </c>
      <c r="V1034" t="s">
        <v>1797</v>
      </c>
      <c r="X1034" t="s">
        <v>74</v>
      </c>
      <c r="Y1034" t="b">
        <v>0</v>
      </c>
      <c r="Z1034" t="b">
        <v>0</v>
      </c>
      <c r="AC1034" s="1"/>
      <c r="AF1034">
        <v>0</v>
      </c>
      <c r="AG1034">
        <v>45</v>
      </c>
      <c r="AH1034">
        <v>21</v>
      </c>
      <c r="AI1034" s="2">
        <f>Table__192.168.3.138AgingReportBEWLGS[[#This Row],[NetAmount]]-Table__192.168.3.138AgingReportBEWLGS[[#This Row],[Paid]]</f>
        <v>167719</v>
      </c>
    </row>
    <row r="1035" spans="1:35">
      <c r="A1035" t="s">
        <v>8348</v>
      </c>
      <c r="B1035" s="1">
        <v>41278</v>
      </c>
      <c r="C1035" s="1">
        <v>41323</v>
      </c>
      <c r="D1035" t="s">
        <v>7932</v>
      </c>
      <c r="E1035">
        <v>749522</v>
      </c>
      <c r="F1035">
        <v>119924</v>
      </c>
      <c r="G1035">
        <v>0</v>
      </c>
      <c r="H1035">
        <v>0</v>
      </c>
      <c r="I1035">
        <v>-10</v>
      </c>
      <c r="J1035">
        <v>869446</v>
      </c>
      <c r="K1035" t="s">
        <v>5829</v>
      </c>
      <c r="L1035" s="1">
        <v>41278</v>
      </c>
      <c r="N1035" t="s">
        <v>5127</v>
      </c>
      <c r="O1035" t="s">
        <v>2458</v>
      </c>
      <c r="P1035" t="s">
        <v>7934</v>
      </c>
      <c r="Q1035" t="s">
        <v>39</v>
      </c>
      <c r="R1035" t="s">
        <v>40</v>
      </c>
      <c r="S1035">
        <v>0</v>
      </c>
      <c r="U1035" t="s">
        <v>5550</v>
      </c>
      <c r="V1035" t="s">
        <v>1797</v>
      </c>
      <c r="X1035" t="s">
        <v>74</v>
      </c>
      <c r="Y1035" t="b">
        <v>0</v>
      </c>
      <c r="Z1035" t="b">
        <v>0</v>
      </c>
      <c r="AC1035" s="1"/>
      <c r="AF1035">
        <v>0</v>
      </c>
      <c r="AG1035">
        <v>45</v>
      </c>
      <c r="AH1035">
        <v>35</v>
      </c>
      <c r="AI1035" s="2">
        <f>Table__192.168.3.138AgingReportBEWLGS[[#This Row],[NetAmount]]-Table__192.168.3.138AgingReportBEWLGS[[#This Row],[Paid]]</f>
        <v>869446</v>
      </c>
    </row>
    <row r="1036" spans="1:35">
      <c r="A1036" t="s">
        <v>8349</v>
      </c>
      <c r="B1036" s="1">
        <v>41283</v>
      </c>
      <c r="C1036" s="1">
        <v>41328</v>
      </c>
      <c r="D1036" t="s">
        <v>7932</v>
      </c>
      <c r="E1036">
        <v>315450</v>
      </c>
      <c r="F1036">
        <v>50472</v>
      </c>
      <c r="G1036">
        <v>0</v>
      </c>
      <c r="H1036">
        <v>0</v>
      </c>
      <c r="I1036">
        <v>-15</v>
      </c>
      <c r="J1036">
        <v>365922</v>
      </c>
      <c r="K1036" t="s">
        <v>8350</v>
      </c>
      <c r="L1036" s="1">
        <v>41283</v>
      </c>
      <c r="N1036" t="s">
        <v>5127</v>
      </c>
      <c r="O1036" t="s">
        <v>2458</v>
      </c>
      <c r="P1036" t="s">
        <v>7934</v>
      </c>
      <c r="Q1036" t="s">
        <v>39</v>
      </c>
      <c r="R1036" t="s">
        <v>40</v>
      </c>
      <c r="S1036">
        <v>0</v>
      </c>
      <c r="U1036" t="s">
        <v>5550</v>
      </c>
      <c r="V1036" t="s">
        <v>1797</v>
      </c>
      <c r="X1036" t="s">
        <v>74</v>
      </c>
      <c r="Y1036" t="b">
        <v>0</v>
      </c>
      <c r="Z1036" t="b">
        <v>0</v>
      </c>
      <c r="AC1036" s="1"/>
      <c r="AF1036">
        <v>0</v>
      </c>
      <c r="AG1036">
        <v>45</v>
      </c>
      <c r="AH1036">
        <v>30</v>
      </c>
      <c r="AI1036" s="2">
        <f>Table__192.168.3.138AgingReportBEWLGS[[#This Row],[NetAmount]]-Table__192.168.3.138AgingReportBEWLGS[[#This Row],[Paid]]</f>
        <v>365922</v>
      </c>
    </row>
    <row r="1037" spans="1:35">
      <c r="A1037" t="s">
        <v>8351</v>
      </c>
      <c r="B1037" s="1">
        <v>41285</v>
      </c>
      <c r="C1037" s="1">
        <v>41330</v>
      </c>
      <c r="D1037" t="s">
        <v>7375</v>
      </c>
      <c r="E1037">
        <v>25146</v>
      </c>
      <c r="F1037">
        <v>4023</v>
      </c>
      <c r="G1037">
        <v>0</v>
      </c>
      <c r="H1037">
        <v>0</v>
      </c>
      <c r="I1037">
        <v>-25</v>
      </c>
      <c r="J1037">
        <v>29169</v>
      </c>
      <c r="K1037" t="s">
        <v>8352</v>
      </c>
      <c r="L1037" s="1">
        <v>41293</v>
      </c>
      <c r="N1037" t="s">
        <v>5127</v>
      </c>
      <c r="O1037" t="s">
        <v>2458</v>
      </c>
      <c r="P1037" t="s">
        <v>7377</v>
      </c>
      <c r="Q1037" t="s">
        <v>39</v>
      </c>
      <c r="R1037" t="s">
        <v>40</v>
      </c>
      <c r="S1037">
        <v>0</v>
      </c>
      <c r="U1037" t="s">
        <v>5550</v>
      </c>
      <c r="V1037" t="s">
        <v>1797</v>
      </c>
      <c r="X1037" t="s">
        <v>74</v>
      </c>
      <c r="Y1037" t="b">
        <v>0</v>
      </c>
      <c r="Z1037" t="b">
        <v>0</v>
      </c>
      <c r="AC1037" s="1"/>
      <c r="AF1037">
        <v>0</v>
      </c>
      <c r="AG1037">
        <v>45</v>
      </c>
      <c r="AH1037">
        <v>20</v>
      </c>
      <c r="AI1037" s="2">
        <f>Table__192.168.3.138AgingReportBEWLGS[[#This Row],[NetAmount]]-Table__192.168.3.138AgingReportBEWLGS[[#This Row],[Paid]]</f>
        <v>29169</v>
      </c>
    </row>
    <row r="1038" spans="1:35">
      <c r="A1038" t="s">
        <v>8353</v>
      </c>
      <c r="B1038" s="1">
        <v>41293</v>
      </c>
      <c r="C1038" s="1">
        <v>41338</v>
      </c>
      <c r="D1038" t="s">
        <v>6974</v>
      </c>
      <c r="E1038">
        <v>614</v>
      </c>
      <c r="F1038">
        <v>98</v>
      </c>
      <c r="G1038">
        <v>0</v>
      </c>
      <c r="H1038">
        <v>0</v>
      </c>
      <c r="I1038">
        <v>-25</v>
      </c>
      <c r="J1038">
        <v>712</v>
      </c>
      <c r="K1038" t="s">
        <v>8354</v>
      </c>
      <c r="L1038" s="1">
        <v>41293</v>
      </c>
      <c r="N1038" t="s">
        <v>5127</v>
      </c>
      <c r="O1038" t="s">
        <v>2458</v>
      </c>
      <c r="P1038" t="s">
        <v>6976</v>
      </c>
      <c r="Q1038" t="s">
        <v>39</v>
      </c>
      <c r="R1038" t="s">
        <v>40</v>
      </c>
      <c r="S1038">
        <v>0</v>
      </c>
      <c r="U1038" t="s">
        <v>5550</v>
      </c>
      <c r="V1038" t="s">
        <v>1797</v>
      </c>
      <c r="X1038" t="s">
        <v>74</v>
      </c>
      <c r="Y1038" t="b">
        <v>0</v>
      </c>
      <c r="Z1038" t="b">
        <v>0</v>
      </c>
      <c r="AC1038" s="1"/>
      <c r="AF1038">
        <v>0</v>
      </c>
      <c r="AG1038">
        <v>45</v>
      </c>
      <c r="AH1038">
        <v>20</v>
      </c>
      <c r="AI1038" s="2">
        <f>Table__192.168.3.138AgingReportBEWLGS[[#This Row],[NetAmount]]-Table__192.168.3.138AgingReportBEWLGS[[#This Row],[Paid]]</f>
        <v>712</v>
      </c>
    </row>
    <row r="1039" spans="1:35">
      <c r="A1039" t="s">
        <v>8355</v>
      </c>
      <c r="B1039" s="1">
        <v>41293</v>
      </c>
      <c r="C1039" s="1">
        <v>41338</v>
      </c>
      <c r="D1039" t="s">
        <v>6974</v>
      </c>
      <c r="E1039">
        <v>94</v>
      </c>
      <c r="F1039">
        <v>15</v>
      </c>
      <c r="G1039">
        <v>0</v>
      </c>
      <c r="H1039">
        <v>0</v>
      </c>
      <c r="I1039">
        <v>-25</v>
      </c>
      <c r="J1039">
        <v>109</v>
      </c>
      <c r="K1039" t="s">
        <v>8354</v>
      </c>
      <c r="L1039" s="1">
        <v>41293</v>
      </c>
      <c r="N1039" t="s">
        <v>5127</v>
      </c>
      <c r="O1039" t="s">
        <v>2458</v>
      </c>
      <c r="P1039" t="s">
        <v>6976</v>
      </c>
      <c r="Q1039" t="s">
        <v>39</v>
      </c>
      <c r="R1039" t="s">
        <v>40</v>
      </c>
      <c r="S1039">
        <v>0</v>
      </c>
      <c r="U1039" t="s">
        <v>5550</v>
      </c>
      <c r="V1039" t="s">
        <v>1797</v>
      </c>
      <c r="X1039" t="s">
        <v>74</v>
      </c>
      <c r="Y1039" t="b">
        <v>0</v>
      </c>
      <c r="Z1039" t="b">
        <v>0</v>
      </c>
      <c r="AC1039" s="1"/>
      <c r="AF1039">
        <v>0</v>
      </c>
      <c r="AG1039">
        <v>45</v>
      </c>
      <c r="AH1039">
        <v>20</v>
      </c>
      <c r="AI1039" s="2">
        <f>Table__192.168.3.138AgingReportBEWLGS[[#This Row],[NetAmount]]-Table__192.168.3.138AgingReportBEWLGS[[#This Row],[Paid]]</f>
        <v>109</v>
      </c>
    </row>
    <row r="1040" spans="1:35">
      <c r="A1040" t="s">
        <v>8356</v>
      </c>
      <c r="B1040" s="1">
        <v>41293</v>
      </c>
      <c r="C1040" s="1">
        <v>41338</v>
      </c>
      <c r="D1040" t="s">
        <v>6369</v>
      </c>
      <c r="E1040">
        <v>952038</v>
      </c>
      <c r="F1040">
        <v>152326</v>
      </c>
      <c r="G1040">
        <v>0</v>
      </c>
      <c r="H1040">
        <v>1104299</v>
      </c>
      <c r="I1040">
        <v>-25</v>
      </c>
      <c r="J1040">
        <v>1104364</v>
      </c>
      <c r="K1040" t="s">
        <v>8357</v>
      </c>
      <c r="L1040" s="1">
        <v>41293</v>
      </c>
      <c r="N1040" t="s">
        <v>5127</v>
      </c>
      <c r="O1040" t="s">
        <v>2458</v>
      </c>
      <c r="P1040" t="s">
        <v>5508</v>
      </c>
      <c r="Q1040" t="s">
        <v>39</v>
      </c>
      <c r="R1040" t="s">
        <v>40</v>
      </c>
      <c r="S1040">
        <v>0</v>
      </c>
      <c r="T1040" t="s">
        <v>8358</v>
      </c>
      <c r="U1040" t="s">
        <v>5550</v>
      </c>
      <c r="V1040" t="s">
        <v>1797</v>
      </c>
      <c r="X1040" t="s">
        <v>74</v>
      </c>
      <c r="Y1040" t="b">
        <v>0</v>
      </c>
      <c r="Z1040" t="b">
        <v>0</v>
      </c>
      <c r="AC1040" s="1"/>
      <c r="AF1040">
        <v>0</v>
      </c>
      <c r="AG1040">
        <v>45</v>
      </c>
      <c r="AH1040">
        <v>20</v>
      </c>
      <c r="AI1040" s="2">
        <f>Table__192.168.3.138AgingReportBEWLGS[[#This Row],[NetAmount]]-Table__192.168.3.138AgingReportBEWLGS[[#This Row],[Paid]]</f>
        <v>1104364</v>
      </c>
    </row>
    <row r="1041" spans="1:35">
      <c r="A1041" t="s">
        <v>8359</v>
      </c>
      <c r="B1041" s="1">
        <v>41285</v>
      </c>
      <c r="C1041" s="1">
        <v>41330</v>
      </c>
      <c r="D1041" t="s">
        <v>7375</v>
      </c>
      <c r="E1041">
        <v>4835</v>
      </c>
      <c r="F1041">
        <v>774</v>
      </c>
      <c r="G1041">
        <v>0</v>
      </c>
      <c r="H1041">
        <v>0</v>
      </c>
      <c r="I1041">
        <v>-25</v>
      </c>
      <c r="J1041">
        <v>7109</v>
      </c>
      <c r="K1041" t="s">
        <v>8360</v>
      </c>
      <c r="L1041" s="1">
        <v>41293</v>
      </c>
      <c r="N1041" t="s">
        <v>5127</v>
      </c>
      <c r="O1041" t="s">
        <v>2458</v>
      </c>
      <c r="P1041" t="s">
        <v>7377</v>
      </c>
      <c r="Q1041" t="s">
        <v>39</v>
      </c>
      <c r="R1041" t="s">
        <v>40</v>
      </c>
      <c r="S1041">
        <v>0</v>
      </c>
      <c r="U1041" t="s">
        <v>5550</v>
      </c>
      <c r="V1041" t="s">
        <v>1797</v>
      </c>
      <c r="X1041" t="s">
        <v>74</v>
      </c>
      <c r="Y1041" t="b">
        <v>0</v>
      </c>
      <c r="Z1041" t="b">
        <v>0</v>
      </c>
      <c r="AC1041" s="1"/>
      <c r="AF1041">
        <v>0</v>
      </c>
      <c r="AG1041">
        <v>45</v>
      </c>
      <c r="AH1041">
        <v>20</v>
      </c>
      <c r="AI1041" s="2">
        <f>Table__192.168.3.138AgingReportBEWLGS[[#This Row],[NetAmount]]-Table__192.168.3.138AgingReportBEWLGS[[#This Row],[Paid]]</f>
        <v>7109</v>
      </c>
    </row>
    <row r="1042" spans="1:35">
      <c r="A1042" t="s">
        <v>8361</v>
      </c>
      <c r="B1042" s="1">
        <v>41293</v>
      </c>
      <c r="C1042" s="1">
        <v>41338</v>
      </c>
      <c r="D1042" t="s">
        <v>7709</v>
      </c>
      <c r="E1042">
        <v>79741</v>
      </c>
      <c r="F1042">
        <v>12759</v>
      </c>
      <c r="G1042">
        <v>0</v>
      </c>
      <c r="H1042">
        <v>0</v>
      </c>
      <c r="I1042">
        <v>-15</v>
      </c>
      <c r="J1042">
        <v>92500</v>
      </c>
      <c r="K1042" t="s">
        <v>8362</v>
      </c>
      <c r="L1042" s="1">
        <v>41283</v>
      </c>
      <c r="N1042" t="s">
        <v>5127</v>
      </c>
      <c r="O1042" t="s">
        <v>2458</v>
      </c>
      <c r="P1042" t="s">
        <v>7712</v>
      </c>
      <c r="Q1042" t="s">
        <v>39</v>
      </c>
      <c r="R1042" t="s">
        <v>40</v>
      </c>
      <c r="S1042">
        <v>0</v>
      </c>
      <c r="U1042" t="s">
        <v>5550</v>
      </c>
      <c r="V1042" t="s">
        <v>1797</v>
      </c>
      <c r="X1042" t="s">
        <v>74</v>
      </c>
      <c r="Y1042" t="b">
        <v>0</v>
      </c>
      <c r="Z1042" t="b">
        <v>0</v>
      </c>
      <c r="AC1042" s="1"/>
      <c r="AF1042">
        <v>0</v>
      </c>
      <c r="AG1042">
        <v>45</v>
      </c>
      <c r="AH1042">
        <v>30</v>
      </c>
      <c r="AI1042" s="2">
        <f>Table__192.168.3.138AgingReportBEWLGS[[#This Row],[NetAmount]]-Table__192.168.3.138AgingReportBEWLGS[[#This Row],[Paid]]</f>
        <v>92500</v>
      </c>
    </row>
    <row r="1043" spans="1:35">
      <c r="A1043" t="s">
        <v>8363</v>
      </c>
      <c r="B1043" s="1">
        <v>41278</v>
      </c>
      <c r="C1043" s="1">
        <v>41323</v>
      </c>
      <c r="D1043" t="s">
        <v>6629</v>
      </c>
      <c r="E1043">
        <v>40000</v>
      </c>
      <c r="F1043">
        <v>6400</v>
      </c>
      <c r="G1043">
        <v>0</v>
      </c>
      <c r="H1043">
        <v>0</v>
      </c>
      <c r="I1043">
        <v>-8</v>
      </c>
      <c r="J1043">
        <v>46400</v>
      </c>
      <c r="K1043" t="s">
        <v>8364</v>
      </c>
      <c r="L1043" s="1">
        <v>41276</v>
      </c>
      <c r="N1043" t="s">
        <v>5127</v>
      </c>
      <c r="O1043" t="s">
        <v>2458</v>
      </c>
      <c r="P1043" t="s">
        <v>6631</v>
      </c>
      <c r="Q1043" t="s">
        <v>39</v>
      </c>
      <c r="R1043" t="s">
        <v>40</v>
      </c>
      <c r="S1043">
        <v>0</v>
      </c>
      <c r="U1043" t="s">
        <v>5550</v>
      </c>
      <c r="V1043" t="s">
        <v>1797</v>
      </c>
      <c r="X1043" t="s">
        <v>74</v>
      </c>
      <c r="Y1043" t="b">
        <v>0</v>
      </c>
      <c r="Z1043" t="b">
        <v>0</v>
      </c>
      <c r="AC1043" s="1"/>
      <c r="AF1043">
        <v>0</v>
      </c>
      <c r="AG1043">
        <v>45</v>
      </c>
      <c r="AH1043">
        <v>37</v>
      </c>
      <c r="AI1043" s="2">
        <f>Table__192.168.3.138AgingReportBEWLGS[[#This Row],[NetAmount]]-Table__192.168.3.138AgingReportBEWLGS[[#This Row],[Paid]]</f>
        <v>46400</v>
      </c>
    </row>
    <row r="1044" spans="1:35">
      <c r="A1044" t="s">
        <v>8365</v>
      </c>
      <c r="B1044" s="1">
        <v>41297</v>
      </c>
      <c r="C1044" s="1">
        <v>41342</v>
      </c>
      <c r="D1044" t="s">
        <v>7612</v>
      </c>
      <c r="E1044">
        <v>55500</v>
      </c>
      <c r="F1044">
        <v>8880</v>
      </c>
      <c r="G1044">
        <v>0</v>
      </c>
      <c r="H1044">
        <v>0</v>
      </c>
      <c r="I1044">
        <v>-29</v>
      </c>
      <c r="J1044">
        <v>64380</v>
      </c>
      <c r="K1044" t="s">
        <v>7990</v>
      </c>
      <c r="L1044" s="1">
        <v>41297</v>
      </c>
      <c r="N1044" t="s">
        <v>5127</v>
      </c>
      <c r="O1044" t="s">
        <v>2458</v>
      </c>
      <c r="P1044" t="s">
        <v>7615</v>
      </c>
      <c r="Q1044" t="s">
        <v>39</v>
      </c>
      <c r="R1044" t="s">
        <v>40</v>
      </c>
      <c r="S1044">
        <v>0</v>
      </c>
      <c r="U1044" t="s">
        <v>5550</v>
      </c>
      <c r="V1044" t="s">
        <v>1797</v>
      </c>
      <c r="X1044" t="s">
        <v>74</v>
      </c>
      <c r="Y1044" t="b">
        <v>0</v>
      </c>
      <c r="Z1044" t="b">
        <v>0</v>
      </c>
      <c r="AC1044" s="1"/>
      <c r="AF1044">
        <v>0</v>
      </c>
      <c r="AG1044">
        <v>45</v>
      </c>
      <c r="AH1044">
        <v>16</v>
      </c>
      <c r="AI1044" s="2">
        <f>Table__192.168.3.138AgingReportBEWLGS[[#This Row],[NetAmount]]-Table__192.168.3.138AgingReportBEWLGS[[#This Row],[Paid]]</f>
        <v>64380</v>
      </c>
    </row>
    <row r="1045" spans="1:35">
      <c r="A1045" t="s">
        <v>8366</v>
      </c>
      <c r="B1045" s="1">
        <v>41293</v>
      </c>
      <c r="C1045" s="1">
        <v>41338</v>
      </c>
      <c r="D1045" t="s">
        <v>6486</v>
      </c>
      <c r="E1045">
        <v>2970</v>
      </c>
      <c r="F1045">
        <v>475</v>
      </c>
      <c r="G1045">
        <v>0</v>
      </c>
      <c r="H1045">
        <v>0</v>
      </c>
      <c r="I1045">
        <v>-29</v>
      </c>
      <c r="J1045">
        <v>3445</v>
      </c>
      <c r="K1045" t="s">
        <v>8367</v>
      </c>
      <c r="L1045" s="1">
        <v>41297</v>
      </c>
      <c r="N1045" t="s">
        <v>5127</v>
      </c>
      <c r="O1045" t="s">
        <v>2458</v>
      </c>
      <c r="P1045" t="s">
        <v>5464</v>
      </c>
      <c r="Q1045" t="s">
        <v>39</v>
      </c>
      <c r="R1045" t="s">
        <v>40</v>
      </c>
      <c r="S1045">
        <v>0</v>
      </c>
      <c r="U1045" t="s">
        <v>5550</v>
      </c>
      <c r="V1045" t="s">
        <v>1797</v>
      </c>
      <c r="X1045" t="s">
        <v>74</v>
      </c>
      <c r="Y1045" t="b">
        <v>0</v>
      </c>
      <c r="Z1045" t="b">
        <v>0</v>
      </c>
      <c r="AC1045" s="1"/>
      <c r="AF1045">
        <v>0</v>
      </c>
      <c r="AG1045">
        <v>45</v>
      </c>
      <c r="AH1045">
        <v>16</v>
      </c>
      <c r="AI1045" s="2">
        <f>Table__192.168.3.138AgingReportBEWLGS[[#This Row],[NetAmount]]-Table__192.168.3.138AgingReportBEWLGS[[#This Row],[Paid]]</f>
        <v>3445</v>
      </c>
    </row>
    <row r="1046" spans="1:35">
      <c r="A1046" t="s">
        <v>8368</v>
      </c>
      <c r="B1046" s="1">
        <v>41293</v>
      </c>
      <c r="C1046" s="1">
        <v>41338</v>
      </c>
      <c r="D1046" t="s">
        <v>6486</v>
      </c>
      <c r="E1046">
        <v>4480</v>
      </c>
      <c r="F1046">
        <v>717</v>
      </c>
      <c r="G1046">
        <v>0</v>
      </c>
      <c r="H1046">
        <v>0</v>
      </c>
      <c r="I1046">
        <v>-29</v>
      </c>
      <c r="J1046">
        <v>5197</v>
      </c>
      <c r="K1046" t="s">
        <v>8369</v>
      </c>
      <c r="L1046" s="1">
        <v>41297</v>
      </c>
      <c r="N1046" t="s">
        <v>5127</v>
      </c>
      <c r="O1046" t="s">
        <v>2458</v>
      </c>
      <c r="P1046" t="s">
        <v>5464</v>
      </c>
      <c r="Q1046" t="s">
        <v>39</v>
      </c>
      <c r="R1046" t="s">
        <v>40</v>
      </c>
      <c r="S1046">
        <v>0</v>
      </c>
      <c r="U1046" t="s">
        <v>5550</v>
      </c>
      <c r="V1046" t="s">
        <v>1797</v>
      </c>
      <c r="X1046" t="s">
        <v>74</v>
      </c>
      <c r="Y1046" t="b">
        <v>0</v>
      </c>
      <c r="Z1046" t="b">
        <v>0</v>
      </c>
      <c r="AC1046" s="1"/>
      <c r="AF1046">
        <v>0</v>
      </c>
      <c r="AG1046">
        <v>45</v>
      </c>
      <c r="AH1046">
        <v>16</v>
      </c>
      <c r="AI1046" s="2">
        <f>Table__192.168.3.138AgingReportBEWLGS[[#This Row],[NetAmount]]-Table__192.168.3.138AgingReportBEWLGS[[#This Row],[Paid]]</f>
        <v>5197</v>
      </c>
    </row>
    <row r="1047" spans="1:35">
      <c r="A1047" t="s">
        <v>8370</v>
      </c>
      <c r="B1047" s="1">
        <v>41282</v>
      </c>
      <c r="C1047" s="1">
        <v>41327</v>
      </c>
      <c r="D1047" t="s">
        <v>5521</v>
      </c>
      <c r="E1047">
        <v>900</v>
      </c>
      <c r="F1047">
        <v>144</v>
      </c>
      <c r="G1047">
        <v>0</v>
      </c>
      <c r="H1047">
        <v>0</v>
      </c>
      <c r="I1047">
        <v>-11</v>
      </c>
      <c r="J1047">
        <v>1044</v>
      </c>
      <c r="K1047" t="s">
        <v>8371</v>
      </c>
      <c r="L1047" s="1">
        <v>41279</v>
      </c>
      <c r="N1047" t="s">
        <v>5127</v>
      </c>
      <c r="O1047" t="s">
        <v>2458</v>
      </c>
      <c r="P1047" t="s">
        <v>5532</v>
      </c>
      <c r="Q1047" t="s">
        <v>39</v>
      </c>
      <c r="R1047" t="s">
        <v>40</v>
      </c>
      <c r="S1047">
        <v>0</v>
      </c>
      <c r="U1047" t="s">
        <v>5550</v>
      </c>
      <c r="V1047" t="s">
        <v>1797</v>
      </c>
      <c r="X1047" t="s">
        <v>74</v>
      </c>
      <c r="Y1047" t="b">
        <v>0</v>
      </c>
      <c r="Z1047" t="b">
        <v>0</v>
      </c>
      <c r="AC1047" s="1"/>
      <c r="AF1047">
        <v>0</v>
      </c>
      <c r="AG1047">
        <v>45</v>
      </c>
      <c r="AH1047">
        <v>34</v>
      </c>
      <c r="AI1047" s="2">
        <f>Table__192.168.3.138AgingReportBEWLGS[[#This Row],[NetAmount]]-Table__192.168.3.138AgingReportBEWLGS[[#This Row],[Paid]]</f>
        <v>1044</v>
      </c>
    </row>
    <row r="1048" spans="1:35">
      <c r="A1048" t="s">
        <v>8372</v>
      </c>
      <c r="B1048" s="1">
        <v>41282</v>
      </c>
      <c r="C1048" s="1">
        <v>41327</v>
      </c>
      <c r="D1048" t="s">
        <v>5521</v>
      </c>
      <c r="E1048">
        <v>49350</v>
      </c>
      <c r="F1048">
        <v>7896</v>
      </c>
      <c r="G1048">
        <v>0</v>
      </c>
      <c r="H1048">
        <v>0</v>
      </c>
      <c r="I1048">
        <v>-11</v>
      </c>
      <c r="J1048">
        <v>57246</v>
      </c>
      <c r="K1048" t="s">
        <v>8373</v>
      </c>
      <c r="L1048" s="1">
        <v>41279</v>
      </c>
      <c r="N1048" t="s">
        <v>5127</v>
      </c>
      <c r="O1048" t="s">
        <v>2458</v>
      </c>
      <c r="P1048" t="s">
        <v>5532</v>
      </c>
      <c r="Q1048" t="s">
        <v>39</v>
      </c>
      <c r="R1048" t="s">
        <v>40</v>
      </c>
      <c r="S1048">
        <v>0</v>
      </c>
      <c r="U1048" t="s">
        <v>5550</v>
      </c>
      <c r="V1048" t="s">
        <v>1797</v>
      </c>
      <c r="X1048" t="s">
        <v>74</v>
      </c>
      <c r="Y1048" t="b">
        <v>0</v>
      </c>
      <c r="Z1048" t="b">
        <v>0</v>
      </c>
      <c r="AC1048" s="1"/>
      <c r="AF1048">
        <v>0</v>
      </c>
      <c r="AG1048">
        <v>45</v>
      </c>
      <c r="AH1048">
        <v>34</v>
      </c>
      <c r="AI1048" s="2">
        <f>Table__192.168.3.138AgingReportBEWLGS[[#This Row],[NetAmount]]-Table__192.168.3.138AgingReportBEWLGS[[#This Row],[Paid]]</f>
        <v>57246</v>
      </c>
    </row>
    <row r="1049" spans="1:35">
      <c r="A1049" t="s">
        <v>8374</v>
      </c>
      <c r="B1049" s="1">
        <v>41282</v>
      </c>
      <c r="C1049" s="1">
        <v>41327</v>
      </c>
      <c r="D1049" t="s">
        <v>5521</v>
      </c>
      <c r="E1049">
        <v>2250</v>
      </c>
      <c r="F1049">
        <v>360</v>
      </c>
      <c r="G1049">
        <v>0</v>
      </c>
      <c r="H1049">
        <v>0</v>
      </c>
      <c r="I1049">
        <v>-11</v>
      </c>
      <c r="J1049">
        <v>2610</v>
      </c>
      <c r="K1049" t="s">
        <v>8375</v>
      </c>
      <c r="L1049" s="1">
        <v>41279</v>
      </c>
      <c r="N1049" t="s">
        <v>5127</v>
      </c>
      <c r="O1049" t="s">
        <v>2458</v>
      </c>
      <c r="P1049" t="s">
        <v>5532</v>
      </c>
      <c r="Q1049" t="s">
        <v>39</v>
      </c>
      <c r="R1049" t="s">
        <v>40</v>
      </c>
      <c r="S1049">
        <v>0</v>
      </c>
      <c r="U1049" t="s">
        <v>5550</v>
      </c>
      <c r="V1049" t="s">
        <v>1797</v>
      </c>
      <c r="X1049" t="s">
        <v>74</v>
      </c>
      <c r="Y1049" t="b">
        <v>0</v>
      </c>
      <c r="Z1049" t="b">
        <v>0</v>
      </c>
      <c r="AC1049" s="1"/>
      <c r="AF1049">
        <v>0</v>
      </c>
      <c r="AG1049">
        <v>45</v>
      </c>
      <c r="AH1049">
        <v>34</v>
      </c>
      <c r="AI1049" s="2">
        <f>Table__192.168.3.138AgingReportBEWLGS[[#This Row],[NetAmount]]-Table__192.168.3.138AgingReportBEWLGS[[#This Row],[Paid]]</f>
        <v>2610</v>
      </c>
    </row>
    <row r="1050" spans="1:35">
      <c r="A1050" t="s">
        <v>8376</v>
      </c>
      <c r="B1050" s="1">
        <v>41303</v>
      </c>
      <c r="C1050" s="1">
        <v>41348</v>
      </c>
      <c r="D1050" t="s">
        <v>6278</v>
      </c>
      <c r="E1050">
        <v>11562</v>
      </c>
      <c r="F1050">
        <v>368</v>
      </c>
      <c r="G1050">
        <v>0</v>
      </c>
      <c r="H1050">
        <v>0</v>
      </c>
      <c r="I1050">
        <v>-20</v>
      </c>
      <c r="J1050">
        <v>11930</v>
      </c>
      <c r="K1050" t="s">
        <v>6856</v>
      </c>
      <c r="L1050" s="1">
        <v>41288</v>
      </c>
      <c r="N1050" t="s">
        <v>5127</v>
      </c>
      <c r="O1050" t="s">
        <v>2458</v>
      </c>
      <c r="P1050" t="s">
        <v>6280</v>
      </c>
      <c r="Q1050" t="s">
        <v>39</v>
      </c>
      <c r="R1050" t="s">
        <v>40</v>
      </c>
      <c r="S1050">
        <v>0</v>
      </c>
      <c r="U1050" t="s">
        <v>5550</v>
      </c>
      <c r="V1050" t="s">
        <v>1797</v>
      </c>
      <c r="X1050" t="s">
        <v>74</v>
      </c>
      <c r="Y1050" t="b">
        <v>0</v>
      </c>
      <c r="Z1050" t="b">
        <v>0</v>
      </c>
      <c r="AC1050" s="1"/>
      <c r="AF1050">
        <v>0</v>
      </c>
      <c r="AG1050">
        <v>45</v>
      </c>
      <c r="AH1050">
        <v>25</v>
      </c>
      <c r="AI1050" s="2">
        <f>Table__192.168.3.138AgingReportBEWLGS[[#This Row],[NetAmount]]-Table__192.168.3.138AgingReportBEWLGS[[#This Row],[Paid]]</f>
        <v>11930</v>
      </c>
    </row>
    <row r="1051" spans="1:35">
      <c r="A1051" t="s">
        <v>8377</v>
      </c>
      <c r="B1051" s="1">
        <v>41298</v>
      </c>
      <c r="C1051" s="1">
        <v>41343</v>
      </c>
      <c r="D1051" t="s">
        <v>6974</v>
      </c>
      <c r="E1051">
        <v>9110</v>
      </c>
      <c r="F1051">
        <v>1458</v>
      </c>
      <c r="G1051">
        <v>0</v>
      </c>
      <c r="H1051">
        <v>0</v>
      </c>
      <c r="I1051">
        <v>-29</v>
      </c>
      <c r="J1051">
        <v>10568</v>
      </c>
      <c r="K1051" t="s">
        <v>8378</v>
      </c>
      <c r="L1051" s="1">
        <v>41297</v>
      </c>
      <c r="N1051" t="s">
        <v>5127</v>
      </c>
      <c r="O1051" t="s">
        <v>2458</v>
      </c>
      <c r="P1051" t="s">
        <v>6976</v>
      </c>
      <c r="Q1051" t="s">
        <v>39</v>
      </c>
      <c r="R1051" t="s">
        <v>40</v>
      </c>
      <c r="S1051">
        <v>0</v>
      </c>
      <c r="U1051" t="s">
        <v>5550</v>
      </c>
      <c r="V1051" t="s">
        <v>1797</v>
      </c>
      <c r="X1051" t="s">
        <v>74</v>
      </c>
      <c r="Y1051" t="b">
        <v>0</v>
      </c>
      <c r="Z1051" t="b">
        <v>0</v>
      </c>
      <c r="AC1051" s="1"/>
      <c r="AF1051">
        <v>0</v>
      </c>
      <c r="AG1051">
        <v>45</v>
      </c>
      <c r="AH1051">
        <v>16</v>
      </c>
      <c r="AI1051" s="2">
        <f>Table__192.168.3.138AgingReportBEWLGS[[#This Row],[NetAmount]]-Table__192.168.3.138AgingReportBEWLGS[[#This Row],[Paid]]</f>
        <v>10568</v>
      </c>
    </row>
    <row r="1052" spans="1:35">
      <c r="A1052" t="s">
        <v>8379</v>
      </c>
      <c r="B1052" s="1">
        <v>41297</v>
      </c>
      <c r="C1052" s="1">
        <v>41342</v>
      </c>
      <c r="D1052" t="s">
        <v>6974</v>
      </c>
      <c r="E1052">
        <v>331</v>
      </c>
      <c r="F1052">
        <v>53</v>
      </c>
      <c r="G1052">
        <v>0</v>
      </c>
      <c r="H1052">
        <v>0</v>
      </c>
      <c r="I1052">
        <v>-29</v>
      </c>
      <c r="J1052">
        <v>384</v>
      </c>
      <c r="K1052" t="s">
        <v>8378</v>
      </c>
      <c r="L1052" s="1">
        <v>41297</v>
      </c>
      <c r="N1052" t="s">
        <v>5127</v>
      </c>
      <c r="O1052" t="s">
        <v>2458</v>
      </c>
      <c r="P1052" t="s">
        <v>6976</v>
      </c>
      <c r="Q1052" t="s">
        <v>39</v>
      </c>
      <c r="R1052" t="s">
        <v>40</v>
      </c>
      <c r="S1052">
        <v>0</v>
      </c>
      <c r="U1052" t="s">
        <v>5550</v>
      </c>
      <c r="V1052" t="s">
        <v>1797</v>
      </c>
      <c r="X1052" t="s">
        <v>74</v>
      </c>
      <c r="Y1052" t="b">
        <v>0</v>
      </c>
      <c r="Z1052" t="b">
        <v>0</v>
      </c>
      <c r="AC1052" s="1"/>
      <c r="AF1052">
        <v>0</v>
      </c>
      <c r="AG1052">
        <v>45</v>
      </c>
      <c r="AH1052">
        <v>16</v>
      </c>
      <c r="AI1052" s="2">
        <f>Table__192.168.3.138AgingReportBEWLGS[[#This Row],[NetAmount]]-Table__192.168.3.138AgingReportBEWLGS[[#This Row],[Paid]]</f>
        <v>384</v>
      </c>
    </row>
    <row r="1053" spans="1:35">
      <c r="A1053" t="s">
        <v>8380</v>
      </c>
      <c r="B1053" s="1">
        <v>41290</v>
      </c>
      <c r="C1053" s="1">
        <v>41335</v>
      </c>
      <c r="D1053" t="s">
        <v>6610</v>
      </c>
      <c r="E1053">
        <v>62284</v>
      </c>
      <c r="F1053">
        <v>9966</v>
      </c>
      <c r="G1053">
        <v>0</v>
      </c>
      <c r="H1053">
        <v>0</v>
      </c>
      <c r="I1053">
        <v>-22</v>
      </c>
      <c r="J1053">
        <v>72250</v>
      </c>
      <c r="K1053" t="s">
        <v>8381</v>
      </c>
      <c r="L1053" s="1">
        <v>41290</v>
      </c>
      <c r="N1053" t="s">
        <v>5127</v>
      </c>
      <c r="O1053" t="s">
        <v>2458</v>
      </c>
      <c r="P1053" t="s">
        <v>6612</v>
      </c>
      <c r="Q1053" t="s">
        <v>39</v>
      </c>
      <c r="R1053" t="s">
        <v>40</v>
      </c>
      <c r="S1053">
        <v>0</v>
      </c>
      <c r="U1053" t="s">
        <v>5550</v>
      </c>
      <c r="V1053" t="s">
        <v>1797</v>
      </c>
      <c r="X1053" t="s">
        <v>74</v>
      </c>
      <c r="Y1053" t="b">
        <v>0</v>
      </c>
      <c r="Z1053" t="b">
        <v>0</v>
      </c>
      <c r="AC1053" s="1"/>
      <c r="AF1053">
        <v>0</v>
      </c>
      <c r="AG1053">
        <v>45</v>
      </c>
      <c r="AH1053">
        <v>23</v>
      </c>
      <c r="AI1053" s="2">
        <f>Table__192.168.3.138AgingReportBEWLGS[[#This Row],[NetAmount]]-Table__192.168.3.138AgingReportBEWLGS[[#This Row],[Paid]]</f>
        <v>72250</v>
      </c>
    </row>
    <row r="1054" spans="1:35">
      <c r="A1054" t="s">
        <v>8382</v>
      </c>
      <c r="B1054" s="1">
        <v>41277</v>
      </c>
      <c r="C1054" s="1">
        <v>41322</v>
      </c>
      <c r="D1054" t="s">
        <v>6448</v>
      </c>
      <c r="E1054">
        <v>19040</v>
      </c>
      <c r="F1054">
        <v>3046</v>
      </c>
      <c r="G1054">
        <v>0</v>
      </c>
      <c r="H1054">
        <v>0</v>
      </c>
      <c r="I1054">
        <v>-9</v>
      </c>
      <c r="J1054">
        <v>22086</v>
      </c>
      <c r="K1054" t="s">
        <v>1515</v>
      </c>
      <c r="L1054" s="1">
        <v>41277</v>
      </c>
      <c r="N1054" t="s">
        <v>5127</v>
      </c>
      <c r="O1054" t="s">
        <v>2458</v>
      </c>
      <c r="P1054" t="s">
        <v>6451</v>
      </c>
      <c r="Q1054" t="s">
        <v>39</v>
      </c>
      <c r="R1054" t="s">
        <v>40</v>
      </c>
      <c r="S1054">
        <v>0</v>
      </c>
      <c r="U1054" t="s">
        <v>5550</v>
      </c>
      <c r="V1054" t="s">
        <v>1797</v>
      </c>
      <c r="X1054" t="s">
        <v>74</v>
      </c>
      <c r="Y1054" t="b">
        <v>0</v>
      </c>
      <c r="Z1054" t="b">
        <v>0</v>
      </c>
      <c r="AC1054" s="1"/>
      <c r="AF1054">
        <v>0</v>
      </c>
      <c r="AG1054">
        <v>45</v>
      </c>
      <c r="AH1054">
        <v>36</v>
      </c>
      <c r="AI1054" s="2">
        <f>Table__192.168.3.138AgingReportBEWLGS[[#This Row],[NetAmount]]-Table__192.168.3.138AgingReportBEWLGS[[#This Row],[Paid]]</f>
        <v>22086</v>
      </c>
    </row>
    <row r="1055" spans="1:35">
      <c r="A1055" t="s">
        <v>8383</v>
      </c>
      <c r="B1055" s="1">
        <v>41282</v>
      </c>
      <c r="C1055" s="1">
        <v>41327</v>
      </c>
      <c r="D1055" t="s">
        <v>6448</v>
      </c>
      <c r="E1055">
        <v>23800</v>
      </c>
      <c r="F1055">
        <v>3808</v>
      </c>
      <c r="G1055">
        <v>0</v>
      </c>
      <c r="H1055">
        <v>0</v>
      </c>
      <c r="I1055">
        <v>-14</v>
      </c>
      <c r="J1055">
        <v>27608</v>
      </c>
      <c r="K1055" t="s">
        <v>1090</v>
      </c>
      <c r="L1055" s="1">
        <v>41282</v>
      </c>
      <c r="N1055" t="s">
        <v>5127</v>
      </c>
      <c r="O1055" t="s">
        <v>2458</v>
      </c>
      <c r="P1055" t="s">
        <v>6451</v>
      </c>
      <c r="Q1055" t="s">
        <v>39</v>
      </c>
      <c r="R1055" t="s">
        <v>40</v>
      </c>
      <c r="S1055">
        <v>0</v>
      </c>
      <c r="U1055" t="s">
        <v>5550</v>
      </c>
      <c r="V1055" t="s">
        <v>1797</v>
      </c>
      <c r="X1055" t="s">
        <v>74</v>
      </c>
      <c r="Y1055" t="b">
        <v>0</v>
      </c>
      <c r="Z1055" t="b">
        <v>0</v>
      </c>
      <c r="AC1055" s="1"/>
      <c r="AF1055">
        <v>0</v>
      </c>
      <c r="AG1055">
        <v>45</v>
      </c>
      <c r="AH1055">
        <v>31</v>
      </c>
      <c r="AI1055" s="2">
        <f>Table__192.168.3.138AgingReportBEWLGS[[#This Row],[NetAmount]]-Table__192.168.3.138AgingReportBEWLGS[[#This Row],[Paid]]</f>
        <v>27608</v>
      </c>
    </row>
    <row r="1056" spans="1:35">
      <c r="A1056" t="s">
        <v>8384</v>
      </c>
      <c r="B1056" s="1">
        <v>41285</v>
      </c>
      <c r="C1056" s="1">
        <v>41330</v>
      </c>
      <c r="D1056" t="s">
        <v>6448</v>
      </c>
      <c r="E1056">
        <v>19040</v>
      </c>
      <c r="F1056">
        <v>3046</v>
      </c>
      <c r="G1056">
        <v>0</v>
      </c>
      <c r="H1056">
        <v>0</v>
      </c>
      <c r="I1056">
        <v>-14</v>
      </c>
      <c r="J1056">
        <v>22086</v>
      </c>
      <c r="K1056" t="s">
        <v>1538</v>
      </c>
      <c r="L1056" s="1">
        <v>41282</v>
      </c>
      <c r="N1056" t="s">
        <v>5127</v>
      </c>
      <c r="O1056" t="s">
        <v>2458</v>
      </c>
      <c r="P1056" t="s">
        <v>6451</v>
      </c>
      <c r="Q1056" t="s">
        <v>39</v>
      </c>
      <c r="R1056" t="s">
        <v>40</v>
      </c>
      <c r="S1056">
        <v>0</v>
      </c>
      <c r="U1056" t="s">
        <v>5550</v>
      </c>
      <c r="V1056" t="s">
        <v>1797</v>
      </c>
      <c r="X1056" t="s">
        <v>74</v>
      </c>
      <c r="Y1056" t="b">
        <v>0</v>
      </c>
      <c r="Z1056" t="b">
        <v>0</v>
      </c>
      <c r="AC1056" s="1"/>
      <c r="AF1056">
        <v>0</v>
      </c>
      <c r="AG1056">
        <v>45</v>
      </c>
      <c r="AH1056">
        <v>31</v>
      </c>
      <c r="AI1056" s="2">
        <f>Table__192.168.3.138AgingReportBEWLGS[[#This Row],[NetAmount]]-Table__192.168.3.138AgingReportBEWLGS[[#This Row],[Paid]]</f>
        <v>22086</v>
      </c>
    </row>
    <row r="1057" spans="1:35">
      <c r="A1057" t="s">
        <v>8385</v>
      </c>
      <c r="B1057" s="1">
        <v>41289</v>
      </c>
      <c r="C1057" s="1">
        <v>41334</v>
      </c>
      <c r="D1057" t="s">
        <v>6448</v>
      </c>
      <c r="E1057">
        <v>19040</v>
      </c>
      <c r="F1057">
        <v>3046</v>
      </c>
      <c r="G1057">
        <v>0</v>
      </c>
      <c r="H1057">
        <v>0</v>
      </c>
      <c r="I1057">
        <v>-21</v>
      </c>
      <c r="J1057">
        <v>22086</v>
      </c>
      <c r="K1057" t="s">
        <v>3732</v>
      </c>
      <c r="L1057" s="1">
        <v>41289</v>
      </c>
      <c r="N1057" t="s">
        <v>5127</v>
      </c>
      <c r="O1057" t="s">
        <v>2458</v>
      </c>
      <c r="P1057" t="s">
        <v>6451</v>
      </c>
      <c r="Q1057" t="s">
        <v>39</v>
      </c>
      <c r="R1057" t="s">
        <v>40</v>
      </c>
      <c r="S1057">
        <v>0</v>
      </c>
      <c r="U1057" t="s">
        <v>5550</v>
      </c>
      <c r="V1057" t="s">
        <v>1797</v>
      </c>
      <c r="X1057" t="s">
        <v>74</v>
      </c>
      <c r="Y1057" t="b">
        <v>0</v>
      </c>
      <c r="Z1057" t="b">
        <v>0</v>
      </c>
      <c r="AC1057" s="1"/>
      <c r="AF1057">
        <v>0</v>
      </c>
      <c r="AG1057">
        <v>45</v>
      </c>
      <c r="AH1057">
        <v>24</v>
      </c>
      <c r="AI1057" s="2">
        <f>Table__192.168.3.138AgingReportBEWLGS[[#This Row],[NetAmount]]-Table__192.168.3.138AgingReportBEWLGS[[#This Row],[Paid]]</f>
        <v>22086</v>
      </c>
    </row>
    <row r="1058" spans="1:35">
      <c r="A1058" t="s">
        <v>8386</v>
      </c>
      <c r="B1058" s="1">
        <v>41293</v>
      </c>
      <c r="C1058" s="1">
        <v>41338</v>
      </c>
      <c r="D1058" t="s">
        <v>6448</v>
      </c>
      <c r="E1058">
        <v>23800</v>
      </c>
      <c r="F1058">
        <v>3808</v>
      </c>
      <c r="G1058">
        <v>0</v>
      </c>
      <c r="H1058">
        <v>0</v>
      </c>
      <c r="I1058">
        <v>-25</v>
      </c>
      <c r="J1058">
        <v>27608</v>
      </c>
      <c r="K1058" t="s">
        <v>1332</v>
      </c>
      <c r="L1058" s="1">
        <v>41293</v>
      </c>
      <c r="N1058" t="s">
        <v>5127</v>
      </c>
      <c r="O1058" t="s">
        <v>2458</v>
      </c>
      <c r="P1058" t="s">
        <v>6451</v>
      </c>
      <c r="Q1058" t="s">
        <v>39</v>
      </c>
      <c r="R1058" t="s">
        <v>40</v>
      </c>
      <c r="S1058">
        <v>0</v>
      </c>
      <c r="U1058" t="s">
        <v>5550</v>
      </c>
      <c r="V1058" t="s">
        <v>1797</v>
      </c>
      <c r="X1058" t="s">
        <v>74</v>
      </c>
      <c r="Y1058" t="b">
        <v>0</v>
      </c>
      <c r="Z1058" t="b">
        <v>0</v>
      </c>
      <c r="AC1058" s="1"/>
      <c r="AF1058">
        <v>0</v>
      </c>
      <c r="AG1058">
        <v>45</v>
      </c>
      <c r="AH1058">
        <v>20</v>
      </c>
      <c r="AI1058" s="2">
        <f>Table__192.168.3.138AgingReportBEWLGS[[#This Row],[NetAmount]]-Table__192.168.3.138AgingReportBEWLGS[[#This Row],[Paid]]</f>
        <v>27608</v>
      </c>
    </row>
    <row r="1059" spans="1:35">
      <c r="A1059" t="s">
        <v>8387</v>
      </c>
      <c r="B1059" s="1">
        <v>41296</v>
      </c>
      <c r="C1059" s="1">
        <v>41341</v>
      </c>
      <c r="D1059" t="s">
        <v>6448</v>
      </c>
      <c r="E1059">
        <v>19040</v>
      </c>
      <c r="F1059">
        <v>3046</v>
      </c>
      <c r="G1059">
        <v>0</v>
      </c>
      <c r="H1059">
        <v>0</v>
      </c>
      <c r="I1059">
        <v>-28</v>
      </c>
      <c r="J1059">
        <v>22086</v>
      </c>
      <c r="K1059" t="s">
        <v>1548</v>
      </c>
      <c r="L1059" s="1">
        <v>41296</v>
      </c>
      <c r="N1059" t="s">
        <v>5127</v>
      </c>
      <c r="O1059" t="s">
        <v>2458</v>
      </c>
      <c r="P1059" t="s">
        <v>6451</v>
      </c>
      <c r="Q1059" t="s">
        <v>39</v>
      </c>
      <c r="R1059" t="s">
        <v>40</v>
      </c>
      <c r="S1059">
        <v>0</v>
      </c>
      <c r="U1059" t="s">
        <v>5550</v>
      </c>
      <c r="V1059" t="s">
        <v>1797</v>
      </c>
      <c r="X1059" t="s">
        <v>74</v>
      </c>
      <c r="Y1059" t="b">
        <v>0</v>
      </c>
      <c r="Z1059" t="b">
        <v>0</v>
      </c>
      <c r="AC1059" s="1"/>
      <c r="AF1059">
        <v>0</v>
      </c>
      <c r="AG1059">
        <v>45</v>
      </c>
      <c r="AH1059">
        <v>17</v>
      </c>
      <c r="AI1059" s="2">
        <f>Table__192.168.3.138AgingReportBEWLGS[[#This Row],[NetAmount]]-Table__192.168.3.138AgingReportBEWLGS[[#This Row],[Paid]]</f>
        <v>22086</v>
      </c>
    </row>
    <row r="1060" spans="1:35">
      <c r="A1060" t="s">
        <v>8388</v>
      </c>
      <c r="B1060" s="1">
        <v>41275</v>
      </c>
      <c r="C1060" s="1">
        <v>41320</v>
      </c>
      <c r="D1060" t="s">
        <v>6448</v>
      </c>
      <c r="E1060">
        <v>28560</v>
      </c>
      <c r="F1060">
        <v>4570</v>
      </c>
      <c r="G1060">
        <v>0</v>
      </c>
      <c r="H1060">
        <v>0</v>
      </c>
      <c r="I1060">
        <v>-7</v>
      </c>
      <c r="J1060">
        <v>33130</v>
      </c>
      <c r="K1060" t="s">
        <v>1513</v>
      </c>
      <c r="L1060" s="1">
        <v>41275</v>
      </c>
      <c r="N1060" t="s">
        <v>5127</v>
      </c>
      <c r="O1060" t="s">
        <v>2458</v>
      </c>
      <c r="P1060" t="s">
        <v>6451</v>
      </c>
      <c r="Q1060" t="s">
        <v>39</v>
      </c>
      <c r="R1060" t="s">
        <v>40</v>
      </c>
      <c r="S1060">
        <v>0</v>
      </c>
      <c r="U1060" t="s">
        <v>5550</v>
      </c>
      <c r="V1060" t="s">
        <v>1797</v>
      </c>
      <c r="X1060" t="s">
        <v>74</v>
      </c>
      <c r="Y1060" t="b">
        <v>0</v>
      </c>
      <c r="Z1060" t="b">
        <v>0</v>
      </c>
      <c r="AC1060" s="1"/>
      <c r="AF1060">
        <v>0</v>
      </c>
      <c r="AG1060">
        <v>45</v>
      </c>
      <c r="AH1060">
        <v>38</v>
      </c>
      <c r="AI1060" s="2">
        <f>Table__192.168.3.138AgingReportBEWLGS[[#This Row],[NetAmount]]-Table__192.168.3.138AgingReportBEWLGS[[#This Row],[Paid]]</f>
        <v>33130</v>
      </c>
    </row>
    <row r="1061" spans="1:35">
      <c r="A1061" t="s">
        <v>8389</v>
      </c>
      <c r="B1061" s="1">
        <v>41304</v>
      </c>
      <c r="C1061" s="1">
        <v>41349</v>
      </c>
      <c r="D1061" t="s">
        <v>8390</v>
      </c>
      <c r="E1061">
        <v>6600</v>
      </c>
      <c r="F1061">
        <v>0</v>
      </c>
      <c r="G1061">
        <v>0</v>
      </c>
      <c r="H1061">
        <v>0</v>
      </c>
      <c r="I1061">
        <v>-34</v>
      </c>
      <c r="J1061">
        <v>6600</v>
      </c>
      <c r="K1061" t="s">
        <v>8391</v>
      </c>
      <c r="L1061" s="1">
        <v>41302</v>
      </c>
      <c r="N1061" t="s">
        <v>5127</v>
      </c>
      <c r="O1061" t="s">
        <v>2458</v>
      </c>
      <c r="P1061" t="s">
        <v>8392</v>
      </c>
      <c r="Q1061" t="s">
        <v>39</v>
      </c>
      <c r="R1061" t="s">
        <v>40</v>
      </c>
      <c r="S1061">
        <v>0</v>
      </c>
      <c r="U1061" t="s">
        <v>5550</v>
      </c>
      <c r="V1061" t="s">
        <v>1797</v>
      </c>
      <c r="X1061" t="s">
        <v>74</v>
      </c>
      <c r="Y1061" t="b">
        <v>0</v>
      </c>
      <c r="Z1061" t="b">
        <v>0</v>
      </c>
      <c r="AC1061" s="1"/>
      <c r="AF1061">
        <v>0</v>
      </c>
      <c r="AG1061">
        <v>45</v>
      </c>
      <c r="AH1061">
        <v>11</v>
      </c>
      <c r="AI1061" s="2">
        <f>Table__192.168.3.138AgingReportBEWLGS[[#This Row],[NetAmount]]-Table__192.168.3.138AgingReportBEWLGS[[#This Row],[Paid]]</f>
        <v>6600</v>
      </c>
    </row>
    <row r="1062" spans="1:35">
      <c r="A1062" t="s">
        <v>8393</v>
      </c>
      <c r="B1062" s="1">
        <v>41304</v>
      </c>
      <c r="C1062" s="1">
        <v>41349</v>
      </c>
      <c r="D1062" t="s">
        <v>8013</v>
      </c>
      <c r="E1062">
        <v>14750</v>
      </c>
      <c r="F1062">
        <v>2360</v>
      </c>
      <c r="G1062">
        <v>0</v>
      </c>
      <c r="H1062">
        <v>0</v>
      </c>
      <c r="I1062">
        <v>-34</v>
      </c>
      <c r="J1062">
        <v>17110</v>
      </c>
      <c r="K1062" t="s">
        <v>8394</v>
      </c>
      <c r="L1062" s="1">
        <v>41302</v>
      </c>
      <c r="N1062" t="s">
        <v>5127</v>
      </c>
      <c r="O1062" t="s">
        <v>2458</v>
      </c>
      <c r="P1062" t="s">
        <v>5500</v>
      </c>
      <c r="Q1062" t="s">
        <v>39</v>
      </c>
      <c r="R1062" t="s">
        <v>40</v>
      </c>
      <c r="S1062">
        <v>0</v>
      </c>
      <c r="U1062" t="s">
        <v>5550</v>
      </c>
      <c r="V1062" t="s">
        <v>1797</v>
      </c>
      <c r="X1062" t="s">
        <v>74</v>
      </c>
      <c r="Y1062" t="b">
        <v>0</v>
      </c>
      <c r="Z1062" t="b">
        <v>0</v>
      </c>
      <c r="AC1062" s="1"/>
      <c r="AF1062">
        <v>0</v>
      </c>
      <c r="AG1062">
        <v>45</v>
      </c>
      <c r="AH1062">
        <v>11</v>
      </c>
      <c r="AI1062" s="2">
        <f>Table__192.168.3.138AgingReportBEWLGS[[#This Row],[NetAmount]]-Table__192.168.3.138AgingReportBEWLGS[[#This Row],[Paid]]</f>
        <v>17110</v>
      </c>
    </row>
    <row r="1063" spans="1:35">
      <c r="A1063" t="s">
        <v>8395</v>
      </c>
      <c r="B1063" s="1">
        <v>41304</v>
      </c>
      <c r="C1063" s="1">
        <v>41349</v>
      </c>
      <c r="D1063" t="s">
        <v>7891</v>
      </c>
      <c r="E1063">
        <v>3000</v>
      </c>
      <c r="F1063">
        <v>0</v>
      </c>
      <c r="G1063">
        <v>0</v>
      </c>
      <c r="H1063">
        <v>0</v>
      </c>
      <c r="I1063">
        <v>-29</v>
      </c>
      <c r="J1063">
        <v>3000</v>
      </c>
      <c r="K1063" t="s">
        <v>3708</v>
      </c>
      <c r="L1063" s="1">
        <v>41297</v>
      </c>
      <c r="N1063" t="s">
        <v>5127</v>
      </c>
      <c r="O1063" t="s">
        <v>2458</v>
      </c>
      <c r="P1063" t="s">
        <v>7892</v>
      </c>
      <c r="Q1063" t="s">
        <v>39</v>
      </c>
      <c r="R1063" t="s">
        <v>40</v>
      </c>
      <c r="S1063">
        <v>0</v>
      </c>
      <c r="U1063" t="s">
        <v>5550</v>
      </c>
      <c r="V1063" t="s">
        <v>1797</v>
      </c>
      <c r="X1063" t="s">
        <v>74</v>
      </c>
      <c r="Y1063" t="b">
        <v>0</v>
      </c>
      <c r="Z1063" t="b">
        <v>0</v>
      </c>
      <c r="AC1063" s="1"/>
      <c r="AF1063">
        <v>0</v>
      </c>
      <c r="AG1063">
        <v>45</v>
      </c>
      <c r="AH1063">
        <v>16</v>
      </c>
      <c r="AI1063" s="2">
        <f>Table__192.168.3.138AgingReportBEWLGS[[#This Row],[NetAmount]]-Table__192.168.3.138AgingReportBEWLGS[[#This Row],[Paid]]</f>
        <v>3000</v>
      </c>
    </row>
    <row r="1064" spans="1:35">
      <c r="A1064" t="s">
        <v>8396</v>
      </c>
      <c r="B1064" s="1">
        <v>41304</v>
      </c>
      <c r="C1064" s="1">
        <v>41349</v>
      </c>
      <c r="D1064" t="s">
        <v>7891</v>
      </c>
      <c r="E1064">
        <v>1740</v>
      </c>
      <c r="F1064">
        <v>0</v>
      </c>
      <c r="G1064">
        <v>0</v>
      </c>
      <c r="H1064">
        <v>0</v>
      </c>
      <c r="I1064">
        <v>-30</v>
      </c>
      <c r="J1064">
        <v>1740</v>
      </c>
      <c r="K1064" t="s">
        <v>6526</v>
      </c>
      <c r="L1064" s="1">
        <v>41298</v>
      </c>
      <c r="N1064" t="s">
        <v>5127</v>
      </c>
      <c r="O1064" t="s">
        <v>2458</v>
      </c>
      <c r="P1064" t="s">
        <v>7892</v>
      </c>
      <c r="Q1064" t="s">
        <v>39</v>
      </c>
      <c r="R1064" t="s">
        <v>40</v>
      </c>
      <c r="S1064">
        <v>0</v>
      </c>
      <c r="U1064" t="s">
        <v>5550</v>
      </c>
      <c r="V1064" t="s">
        <v>1797</v>
      </c>
      <c r="X1064" t="s">
        <v>74</v>
      </c>
      <c r="Y1064" t="b">
        <v>0</v>
      </c>
      <c r="Z1064" t="b">
        <v>0</v>
      </c>
      <c r="AC1064" s="1"/>
      <c r="AF1064">
        <v>0</v>
      </c>
      <c r="AG1064">
        <v>45</v>
      </c>
      <c r="AH1064">
        <v>15</v>
      </c>
      <c r="AI1064" s="2">
        <f>Table__192.168.3.138AgingReportBEWLGS[[#This Row],[NetAmount]]-Table__192.168.3.138AgingReportBEWLGS[[#This Row],[Paid]]</f>
        <v>1740</v>
      </c>
    </row>
    <row r="1065" spans="1:35">
      <c r="A1065" t="s">
        <v>8397</v>
      </c>
      <c r="B1065" s="1">
        <v>41295</v>
      </c>
      <c r="C1065" s="1">
        <v>41340</v>
      </c>
      <c r="D1065" t="s">
        <v>7304</v>
      </c>
      <c r="E1065">
        <v>115900</v>
      </c>
      <c r="F1065">
        <v>0</v>
      </c>
      <c r="G1065">
        <v>0</v>
      </c>
      <c r="H1065">
        <v>0</v>
      </c>
      <c r="I1065">
        <v>-25</v>
      </c>
      <c r="J1065">
        <v>115900</v>
      </c>
      <c r="K1065" t="s">
        <v>1542</v>
      </c>
      <c r="L1065" s="1">
        <v>41293</v>
      </c>
      <c r="N1065" t="s">
        <v>5127</v>
      </c>
      <c r="O1065" t="s">
        <v>2458</v>
      </c>
      <c r="P1065" t="s">
        <v>7306</v>
      </c>
      <c r="Q1065" t="s">
        <v>39</v>
      </c>
      <c r="R1065" t="s">
        <v>40</v>
      </c>
      <c r="S1065">
        <v>0</v>
      </c>
      <c r="U1065" t="s">
        <v>5550</v>
      </c>
      <c r="V1065" t="s">
        <v>1797</v>
      </c>
      <c r="X1065" t="s">
        <v>74</v>
      </c>
      <c r="Y1065" t="b">
        <v>0</v>
      </c>
      <c r="Z1065" t="b">
        <v>0</v>
      </c>
      <c r="AC1065" s="1"/>
      <c r="AF1065">
        <v>0</v>
      </c>
      <c r="AG1065">
        <v>45</v>
      </c>
      <c r="AH1065">
        <v>20</v>
      </c>
      <c r="AI1065" s="2">
        <f>Table__192.168.3.138AgingReportBEWLGS[[#This Row],[NetAmount]]-Table__192.168.3.138AgingReportBEWLGS[[#This Row],[Paid]]</f>
        <v>115900</v>
      </c>
    </row>
    <row r="1066" spans="1:35">
      <c r="A1066" t="s">
        <v>8398</v>
      </c>
      <c r="B1066" s="1">
        <v>41291</v>
      </c>
      <c r="C1066" s="1">
        <v>41336</v>
      </c>
      <c r="D1066" t="s">
        <v>6542</v>
      </c>
      <c r="E1066">
        <v>22570</v>
      </c>
      <c r="F1066">
        <v>0</v>
      </c>
      <c r="G1066">
        <v>0</v>
      </c>
      <c r="H1066">
        <v>0</v>
      </c>
      <c r="I1066">
        <v>-23</v>
      </c>
      <c r="J1066">
        <v>22570</v>
      </c>
      <c r="K1066" t="s">
        <v>8399</v>
      </c>
      <c r="L1066" s="1">
        <v>41291</v>
      </c>
      <c r="N1066" t="s">
        <v>5127</v>
      </c>
      <c r="O1066" t="s">
        <v>2458</v>
      </c>
      <c r="P1066" t="s">
        <v>6544</v>
      </c>
      <c r="Q1066" t="s">
        <v>39</v>
      </c>
      <c r="R1066" t="s">
        <v>40</v>
      </c>
      <c r="S1066">
        <v>0</v>
      </c>
      <c r="U1066" t="s">
        <v>5550</v>
      </c>
      <c r="V1066" t="s">
        <v>1797</v>
      </c>
      <c r="X1066" t="s">
        <v>74</v>
      </c>
      <c r="Y1066" t="b">
        <v>0</v>
      </c>
      <c r="Z1066" t="b">
        <v>0</v>
      </c>
      <c r="AC1066" s="1"/>
      <c r="AF1066">
        <v>0</v>
      </c>
      <c r="AG1066">
        <v>45</v>
      </c>
      <c r="AH1066">
        <v>22</v>
      </c>
      <c r="AI1066" s="2">
        <f>Table__192.168.3.138AgingReportBEWLGS[[#This Row],[NetAmount]]-Table__192.168.3.138AgingReportBEWLGS[[#This Row],[Paid]]</f>
        <v>22570</v>
      </c>
    </row>
    <row r="1067" spans="1:35">
      <c r="A1067" t="s">
        <v>8400</v>
      </c>
      <c r="B1067" s="1">
        <v>41293</v>
      </c>
      <c r="C1067" s="1">
        <v>41338</v>
      </c>
      <c r="D1067" t="s">
        <v>6542</v>
      </c>
      <c r="E1067">
        <v>19200</v>
      </c>
      <c r="F1067">
        <v>0</v>
      </c>
      <c r="G1067">
        <v>0</v>
      </c>
      <c r="H1067">
        <v>0</v>
      </c>
      <c r="I1067">
        <v>-25</v>
      </c>
      <c r="J1067">
        <v>19200</v>
      </c>
      <c r="K1067" t="s">
        <v>8401</v>
      </c>
      <c r="L1067" s="1">
        <v>41293</v>
      </c>
      <c r="N1067" t="s">
        <v>5127</v>
      </c>
      <c r="O1067" t="s">
        <v>2458</v>
      </c>
      <c r="P1067" t="s">
        <v>6544</v>
      </c>
      <c r="Q1067" t="s">
        <v>39</v>
      </c>
      <c r="R1067" t="s">
        <v>40</v>
      </c>
      <c r="S1067">
        <v>0</v>
      </c>
      <c r="U1067" t="s">
        <v>5550</v>
      </c>
      <c r="V1067" t="s">
        <v>1797</v>
      </c>
      <c r="X1067" t="s">
        <v>74</v>
      </c>
      <c r="Y1067" t="b">
        <v>0</v>
      </c>
      <c r="Z1067" t="b">
        <v>0</v>
      </c>
      <c r="AC1067" s="1"/>
      <c r="AF1067">
        <v>0</v>
      </c>
      <c r="AG1067">
        <v>45</v>
      </c>
      <c r="AH1067">
        <v>20</v>
      </c>
      <c r="AI1067" s="2">
        <f>Table__192.168.3.138AgingReportBEWLGS[[#This Row],[NetAmount]]-Table__192.168.3.138AgingReportBEWLGS[[#This Row],[Paid]]</f>
        <v>19200</v>
      </c>
    </row>
    <row r="1068" spans="1:35">
      <c r="A1068" t="s">
        <v>8402</v>
      </c>
      <c r="B1068" s="1">
        <v>41295</v>
      </c>
      <c r="C1068" s="1">
        <v>41340</v>
      </c>
      <c r="D1068" t="s">
        <v>6542</v>
      </c>
      <c r="E1068">
        <v>19200</v>
      </c>
      <c r="F1068">
        <v>0</v>
      </c>
      <c r="G1068">
        <v>0</v>
      </c>
      <c r="H1068">
        <v>0</v>
      </c>
      <c r="I1068">
        <v>-27</v>
      </c>
      <c r="J1068">
        <v>19200</v>
      </c>
      <c r="K1068" t="s">
        <v>8403</v>
      </c>
      <c r="L1068" s="1">
        <v>41295</v>
      </c>
      <c r="N1068" t="s">
        <v>5127</v>
      </c>
      <c r="O1068" t="s">
        <v>2458</v>
      </c>
      <c r="P1068" t="s">
        <v>6544</v>
      </c>
      <c r="Q1068" t="s">
        <v>39</v>
      </c>
      <c r="R1068" t="s">
        <v>40</v>
      </c>
      <c r="S1068">
        <v>0</v>
      </c>
      <c r="U1068" t="s">
        <v>5550</v>
      </c>
      <c r="V1068" t="s">
        <v>1797</v>
      </c>
      <c r="X1068" t="s">
        <v>74</v>
      </c>
      <c r="Y1068" t="b">
        <v>0</v>
      </c>
      <c r="Z1068" t="b">
        <v>0</v>
      </c>
      <c r="AC1068" s="1"/>
      <c r="AF1068">
        <v>0</v>
      </c>
      <c r="AG1068">
        <v>45</v>
      </c>
      <c r="AH1068">
        <v>18</v>
      </c>
      <c r="AI1068" s="2">
        <f>Table__192.168.3.138AgingReportBEWLGS[[#This Row],[NetAmount]]-Table__192.168.3.138AgingReportBEWLGS[[#This Row],[Paid]]</f>
        <v>19200</v>
      </c>
    </row>
    <row r="1069" spans="1:35">
      <c r="A1069" t="s">
        <v>8404</v>
      </c>
      <c r="B1069" s="1">
        <v>41297</v>
      </c>
      <c r="C1069" s="1">
        <v>41342</v>
      </c>
      <c r="D1069" t="s">
        <v>6542</v>
      </c>
      <c r="E1069">
        <v>19200</v>
      </c>
      <c r="F1069">
        <v>0</v>
      </c>
      <c r="G1069">
        <v>0</v>
      </c>
      <c r="H1069">
        <v>0</v>
      </c>
      <c r="I1069">
        <v>-29</v>
      </c>
      <c r="J1069">
        <v>19200</v>
      </c>
      <c r="K1069" t="s">
        <v>8405</v>
      </c>
      <c r="L1069" s="1">
        <v>41297</v>
      </c>
      <c r="N1069" t="s">
        <v>5127</v>
      </c>
      <c r="O1069" t="s">
        <v>2458</v>
      </c>
      <c r="P1069" t="s">
        <v>6544</v>
      </c>
      <c r="Q1069" t="s">
        <v>39</v>
      </c>
      <c r="R1069" t="s">
        <v>40</v>
      </c>
      <c r="S1069">
        <v>0</v>
      </c>
      <c r="U1069" t="s">
        <v>5550</v>
      </c>
      <c r="V1069" t="s">
        <v>1797</v>
      </c>
      <c r="X1069" t="s">
        <v>74</v>
      </c>
      <c r="Y1069" t="b">
        <v>0</v>
      </c>
      <c r="Z1069" t="b">
        <v>0</v>
      </c>
      <c r="AC1069" s="1"/>
      <c r="AF1069">
        <v>0</v>
      </c>
      <c r="AG1069">
        <v>45</v>
      </c>
      <c r="AH1069">
        <v>16</v>
      </c>
      <c r="AI1069" s="2">
        <f>Table__192.168.3.138AgingReportBEWLGS[[#This Row],[NetAmount]]-Table__192.168.3.138AgingReportBEWLGS[[#This Row],[Paid]]</f>
        <v>19200</v>
      </c>
    </row>
    <row r="1070" spans="1:35">
      <c r="A1070" t="s">
        <v>8406</v>
      </c>
      <c r="B1070" s="1">
        <v>41296</v>
      </c>
      <c r="C1070" s="1">
        <v>41341</v>
      </c>
      <c r="D1070" t="s">
        <v>7212</v>
      </c>
      <c r="E1070">
        <v>29271</v>
      </c>
      <c r="F1070">
        <v>4683</v>
      </c>
      <c r="G1070">
        <v>0</v>
      </c>
      <c r="H1070">
        <v>0</v>
      </c>
      <c r="I1070">
        <v>-27</v>
      </c>
      <c r="J1070">
        <v>33954</v>
      </c>
      <c r="K1070" t="s">
        <v>8407</v>
      </c>
      <c r="L1070" s="1">
        <v>41295</v>
      </c>
      <c r="N1070" t="s">
        <v>5127</v>
      </c>
      <c r="O1070" t="s">
        <v>2458</v>
      </c>
      <c r="P1070" t="s">
        <v>7214</v>
      </c>
      <c r="Q1070" t="s">
        <v>39</v>
      </c>
      <c r="R1070" t="s">
        <v>40</v>
      </c>
      <c r="S1070">
        <v>0</v>
      </c>
      <c r="U1070" t="s">
        <v>5550</v>
      </c>
      <c r="V1070" t="s">
        <v>1797</v>
      </c>
      <c r="X1070" t="s">
        <v>74</v>
      </c>
      <c r="Y1070" t="b">
        <v>0</v>
      </c>
      <c r="Z1070" t="b">
        <v>0</v>
      </c>
      <c r="AC1070" s="1"/>
      <c r="AF1070">
        <v>0</v>
      </c>
      <c r="AG1070">
        <v>45</v>
      </c>
      <c r="AH1070">
        <v>18</v>
      </c>
      <c r="AI1070" s="2">
        <f>Table__192.168.3.138AgingReportBEWLGS[[#This Row],[NetAmount]]-Table__192.168.3.138AgingReportBEWLGS[[#This Row],[Paid]]</f>
        <v>33954</v>
      </c>
    </row>
    <row r="1071" spans="1:35">
      <c r="A1071" t="s">
        <v>8408</v>
      </c>
      <c r="B1071" s="1">
        <v>41285</v>
      </c>
      <c r="C1071" s="1">
        <v>41330</v>
      </c>
      <c r="D1071" t="s">
        <v>7915</v>
      </c>
      <c r="E1071">
        <v>14100</v>
      </c>
      <c r="F1071">
        <v>2256</v>
      </c>
      <c r="G1071">
        <v>0</v>
      </c>
      <c r="H1071">
        <v>0</v>
      </c>
      <c r="I1071">
        <v>-22</v>
      </c>
      <c r="J1071">
        <v>16356</v>
      </c>
      <c r="K1071" t="s">
        <v>8409</v>
      </c>
      <c r="L1071" s="1">
        <v>41290</v>
      </c>
      <c r="N1071" t="s">
        <v>5127</v>
      </c>
      <c r="O1071" t="s">
        <v>2458</v>
      </c>
      <c r="P1071" t="s">
        <v>7917</v>
      </c>
      <c r="Q1071" t="s">
        <v>39</v>
      </c>
      <c r="R1071" t="s">
        <v>40</v>
      </c>
      <c r="S1071">
        <v>0</v>
      </c>
      <c r="U1071" t="s">
        <v>5550</v>
      </c>
      <c r="V1071" t="s">
        <v>1797</v>
      </c>
      <c r="X1071" t="s">
        <v>74</v>
      </c>
      <c r="Y1071" t="b">
        <v>0</v>
      </c>
      <c r="Z1071" t="b">
        <v>0</v>
      </c>
      <c r="AC1071" s="1"/>
      <c r="AF1071">
        <v>0</v>
      </c>
      <c r="AG1071">
        <v>45</v>
      </c>
      <c r="AH1071">
        <v>23</v>
      </c>
      <c r="AI1071" s="2">
        <f>Table__192.168.3.138AgingReportBEWLGS[[#This Row],[NetAmount]]-Table__192.168.3.138AgingReportBEWLGS[[#This Row],[Paid]]</f>
        <v>16356</v>
      </c>
    </row>
    <row r="1072" spans="1:35">
      <c r="A1072" t="s">
        <v>8410</v>
      </c>
      <c r="B1072" s="1">
        <v>41285</v>
      </c>
      <c r="C1072" s="1">
        <v>41330</v>
      </c>
      <c r="D1072" t="s">
        <v>7915</v>
      </c>
      <c r="E1072">
        <v>9330</v>
      </c>
      <c r="F1072">
        <v>1493</v>
      </c>
      <c r="G1072">
        <v>0</v>
      </c>
      <c r="H1072">
        <v>0</v>
      </c>
      <c r="I1072">
        <v>-22</v>
      </c>
      <c r="J1072">
        <v>10823</v>
      </c>
      <c r="K1072" t="s">
        <v>8411</v>
      </c>
      <c r="L1072" s="1">
        <v>41290</v>
      </c>
      <c r="N1072" t="s">
        <v>5127</v>
      </c>
      <c r="O1072" t="s">
        <v>2458</v>
      </c>
      <c r="P1072" t="s">
        <v>7917</v>
      </c>
      <c r="Q1072" t="s">
        <v>39</v>
      </c>
      <c r="R1072" t="s">
        <v>40</v>
      </c>
      <c r="S1072">
        <v>0</v>
      </c>
      <c r="U1072" t="s">
        <v>5550</v>
      </c>
      <c r="V1072" t="s">
        <v>1797</v>
      </c>
      <c r="X1072" t="s">
        <v>74</v>
      </c>
      <c r="Y1072" t="b">
        <v>0</v>
      </c>
      <c r="Z1072" t="b">
        <v>0</v>
      </c>
      <c r="AC1072" s="1"/>
      <c r="AF1072">
        <v>0</v>
      </c>
      <c r="AG1072">
        <v>45</v>
      </c>
      <c r="AH1072">
        <v>23</v>
      </c>
      <c r="AI1072" s="2">
        <f>Table__192.168.3.138AgingReportBEWLGS[[#This Row],[NetAmount]]-Table__192.168.3.138AgingReportBEWLGS[[#This Row],[Paid]]</f>
        <v>10823</v>
      </c>
    </row>
    <row r="1073" spans="1:35">
      <c r="A1073" t="s">
        <v>8412</v>
      </c>
      <c r="B1073" s="1">
        <v>41285</v>
      </c>
      <c r="C1073" s="1">
        <v>41330</v>
      </c>
      <c r="D1073" t="s">
        <v>7915</v>
      </c>
      <c r="E1073">
        <v>41850</v>
      </c>
      <c r="F1073">
        <v>6696</v>
      </c>
      <c r="G1073">
        <v>0</v>
      </c>
      <c r="H1073">
        <v>0</v>
      </c>
      <c r="I1073">
        <v>-22</v>
      </c>
      <c r="J1073">
        <v>48546</v>
      </c>
      <c r="K1073" t="s">
        <v>8413</v>
      </c>
      <c r="L1073" s="1">
        <v>41290</v>
      </c>
      <c r="N1073" t="s">
        <v>5127</v>
      </c>
      <c r="O1073" t="s">
        <v>2458</v>
      </c>
      <c r="P1073" t="s">
        <v>7917</v>
      </c>
      <c r="Q1073" t="s">
        <v>39</v>
      </c>
      <c r="R1073" t="s">
        <v>40</v>
      </c>
      <c r="S1073">
        <v>0</v>
      </c>
      <c r="U1073" t="s">
        <v>5550</v>
      </c>
      <c r="V1073" t="s">
        <v>1797</v>
      </c>
      <c r="X1073" t="s">
        <v>74</v>
      </c>
      <c r="Y1073" t="b">
        <v>0</v>
      </c>
      <c r="Z1073" t="b">
        <v>0</v>
      </c>
      <c r="AC1073" s="1"/>
      <c r="AF1073">
        <v>0</v>
      </c>
      <c r="AG1073">
        <v>45</v>
      </c>
      <c r="AH1073">
        <v>23</v>
      </c>
      <c r="AI1073" s="2">
        <f>Table__192.168.3.138AgingReportBEWLGS[[#This Row],[NetAmount]]-Table__192.168.3.138AgingReportBEWLGS[[#This Row],[Paid]]</f>
        <v>48546</v>
      </c>
    </row>
    <row r="1074" spans="1:35">
      <c r="A1074" t="s">
        <v>8414</v>
      </c>
      <c r="B1074" s="1">
        <v>41304</v>
      </c>
      <c r="C1074" s="1">
        <v>41349</v>
      </c>
      <c r="D1074" t="s">
        <v>7915</v>
      </c>
      <c r="E1074">
        <v>8850</v>
      </c>
      <c r="F1074">
        <v>1416</v>
      </c>
      <c r="G1074">
        <v>0</v>
      </c>
      <c r="H1074">
        <v>0</v>
      </c>
      <c r="I1074">
        <v>-34</v>
      </c>
      <c r="J1074">
        <v>10266</v>
      </c>
      <c r="K1074" t="s">
        <v>8415</v>
      </c>
      <c r="L1074" s="1">
        <v>41302</v>
      </c>
      <c r="N1074" t="s">
        <v>5127</v>
      </c>
      <c r="O1074" t="s">
        <v>2458</v>
      </c>
      <c r="P1074" t="s">
        <v>7917</v>
      </c>
      <c r="Q1074" t="s">
        <v>39</v>
      </c>
      <c r="R1074" t="s">
        <v>40</v>
      </c>
      <c r="S1074">
        <v>0</v>
      </c>
      <c r="U1074" t="s">
        <v>5550</v>
      </c>
      <c r="V1074" t="s">
        <v>1797</v>
      </c>
      <c r="X1074" t="s">
        <v>74</v>
      </c>
      <c r="Y1074" t="b">
        <v>0</v>
      </c>
      <c r="Z1074" t="b">
        <v>0</v>
      </c>
      <c r="AC1074" s="1"/>
      <c r="AF1074">
        <v>0</v>
      </c>
      <c r="AG1074">
        <v>45</v>
      </c>
      <c r="AH1074">
        <v>11</v>
      </c>
      <c r="AI1074" s="2">
        <f>Table__192.168.3.138AgingReportBEWLGS[[#This Row],[NetAmount]]-Table__192.168.3.138AgingReportBEWLGS[[#This Row],[Paid]]</f>
        <v>10266</v>
      </c>
    </row>
    <row r="1075" spans="1:35">
      <c r="A1075" t="s">
        <v>8416</v>
      </c>
      <c r="B1075" s="1">
        <v>41296</v>
      </c>
      <c r="C1075" s="1">
        <v>41296</v>
      </c>
      <c r="D1075" t="s">
        <v>8417</v>
      </c>
      <c r="E1075">
        <v>89655</v>
      </c>
      <c r="F1075">
        <v>14345</v>
      </c>
      <c r="G1075">
        <v>0</v>
      </c>
      <c r="H1075">
        <v>0</v>
      </c>
      <c r="I1075">
        <v>0</v>
      </c>
      <c r="J1075">
        <v>104000</v>
      </c>
      <c r="K1075" t="s">
        <v>3492</v>
      </c>
      <c r="L1075" s="1">
        <v>41279</v>
      </c>
      <c r="N1075" t="s">
        <v>5127</v>
      </c>
      <c r="O1075" t="s">
        <v>2458</v>
      </c>
      <c r="P1075" t="s">
        <v>8418</v>
      </c>
      <c r="Q1075" t="s">
        <v>39</v>
      </c>
      <c r="R1075" t="s">
        <v>40</v>
      </c>
      <c r="S1075">
        <v>0</v>
      </c>
      <c r="U1075" t="s">
        <v>5550</v>
      </c>
      <c r="V1075" t="s">
        <v>1797</v>
      </c>
      <c r="X1075" t="s">
        <v>74</v>
      </c>
      <c r="Y1075" t="b">
        <v>0</v>
      </c>
      <c r="Z1075" t="b">
        <v>0</v>
      </c>
      <c r="AC1075" s="1"/>
      <c r="AF1075">
        <v>0</v>
      </c>
      <c r="AH1075">
        <v>34</v>
      </c>
      <c r="AI1075" s="2">
        <f>Table__192.168.3.138AgingReportBEWLGS[[#This Row],[NetAmount]]-Table__192.168.3.138AgingReportBEWLGS[[#This Row],[Paid]]</f>
        <v>104000</v>
      </c>
    </row>
    <row r="1076" spans="1:35">
      <c r="A1076" t="s">
        <v>8419</v>
      </c>
      <c r="B1076" s="1">
        <v>41296</v>
      </c>
      <c r="C1076" s="1">
        <v>41341</v>
      </c>
      <c r="D1076" t="s">
        <v>6654</v>
      </c>
      <c r="E1076">
        <v>27750</v>
      </c>
      <c r="F1076">
        <v>4440</v>
      </c>
      <c r="G1076">
        <v>0</v>
      </c>
      <c r="H1076">
        <v>0</v>
      </c>
      <c r="I1076">
        <v>-28</v>
      </c>
      <c r="J1076">
        <v>32190</v>
      </c>
      <c r="K1076" t="s">
        <v>8420</v>
      </c>
      <c r="L1076" s="1">
        <v>41296</v>
      </c>
      <c r="N1076" t="s">
        <v>5127</v>
      </c>
      <c r="O1076" t="s">
        <v>2458</v>
      </c>
      <c r="P1076" t="s">
        <v>6656</v>
      </c>
      <c r="Q1076" t="s">
        <v>39</v>
      </c>
      <c r="R1076" t="s">
        <v>40</v>
      </c>
      <c r="S1076">
        <v>0</v>
      </c>
      <c r="U1076" t="s">
        <v>5550</v>
      </c>
      <c r="V1076" t="s">
        <v>1797</v>
      </c>
      <c r="X1076" t="s">
        <v>74</v>
      </c>
      <c r="Y1076" t="b">
        <v>0</v>
      </c>
      <c r="Z1076" t="b">
        <v>0</v>
      </c>
      <c r="AC1076" s="1"/>
      <c r="AF1076">
        <v>0</v>
      </c>
      <c r="AG1076">
        <v>45</v>
      </c>
      <c r="AH1076">
        <v>17</v>
      </c>
      <c r="AI1076" s="2">
        <f>Table__192.168.3.138AgingReportBEWLGS[[#This Row],[NetAmount]]-Table__192.168.3.138AgingReportBEWLGS[[#This Row],[Paid]]</f>
        <v>32190</v>
      </c>
    </row>
    <row r="1077" spans="1:35">
      <c r="A1077" t="s">
        <v>8421</v>
      </c>
      <c r="B1077" s="1">
        <v>41285</v>
      </c>
      <c r="C1077" s="1">
        <v>41330</v>
      </c>
      <c r="D1077" t="s">
        <v>6654</v>
      </c>
      <c r="E1077">
        <v>65200</v>
      </c>
      <c r="F1077">
        <v>10432</v>
      </c>
      <c r="G1077">
        <v>0</v>
      </c>
      <c r="H1077">
        <v>0</v>
      </c>
      <c r="I1077">
        <v>-16</v>
      </c>
      <c r="J1077">
        <v>75632</v>
      </c>
      <c r="K1077" t="s">
        <v>8422</v>
      </c>
      <c r="L1077" s="1">
        <v>41284</v>
      </c>
      <c r="N1077" t="s">
        <v>5127</v>
      </c>
      <c r="O1077" t="s">
        <v>2458</v>
      </c>
      <c r="P1077" t="s">
        <v>6656</v>
      </c>
      <c r="Q1077" t="s">
        <v>39</v>
      </c>
      <c r="R1077" t="s">
        <v>40</v>
      </c>
      <c r="S1077">
        <v>0</v>
      </c>
      <c r="U1077" t="s">
        <v>5550</v>
      </c>
      <c r="V1077" t="s">
        <v>1797</v>
      </c>
      <c r="X1077" t="s">
        <v>74</v>
      </c>
      <c r="Y1077" t="b">
        <v>0</v>
      </c>
      <c r="Z1077" t="b">
        <v>0</v>
      </c>
      <c r="AC1077" s="1"/>
      <c r="AF1077">
        <v>0</v>
      </c>
      <c r="AG1077">
        <v>45</v>
      </c>
      <c r="AH1077">
        <v>29</v>
      </c>
      <c r="AI1077" s="2">
        <f>Table__192.168.3.138AgingReportBEWLGS[[#This Row],[NetAmount]]-Table__192.168.3.138AgingReportBEWLGS[[#This Row],[Paid]]</f>
        <v>75632</v>
      </c>
    </row>
    <row r="1078" spans="1:35">
      <c r="A1078" t="s">
        <v>8423</v>
      </c>
      <c r="B1078" s="1">
        <v>41290</v>
      </c>
      <c r="C1078" s="1">
        <v>41335</v>
      </c>
      <c r="D1078" t="s">
        <v>6654</v>
      </c>
      <c r="E1078">
        <v>21375</v>
      </c>
      <c r="F1078">
        <v>3420</v>
      </c>
      <c r="G1078">
        <v>0</v>
      </c>
      <c r="H1078">
        <v>0</v>
      </c>
      <c r="I1078">
        <v>-21</v>
      </c>
      <c r="J1078">
        <v>24795</v>
      </c>
      <c r="K1078" t="s">
        <v>3238</v>
      </c>
      <c r="L1078" s="1">
        <v>41289</v>
      </c>
      <c r="N1078" t="s">
        <v>5127</v>
      </c>
      <c r="O1078" t="s">
        <v>2458</v>
      </c>
      <c r="P1078" t="s">
        <v>6656</v>
      </c>
      <c r="Q1078" t="s">
        <v>39</v>
      </c>
      <c r="R1078" t="s">
        <v>40</v>
      </c>
      <c r="S1078">
        <v>0</v>
      </c>
      <c r="U1078" t="s">
        <v>5550</v>
      </c>
      <c r="V1078" t="s">
        <v>1797</v>
      </c>
      <c r="X1078" t="s">
        <v>74</v>
      </c>
      <c r="Y1078" t="b">
        <v>0</v>
      </c>
      <c r="Z1078" t="b">
        <v>0</v>
      </c>
      <c r="AC1078" s="1"/>
      <c r="AF1078">
        <v>0</v>
      </c>
      <c r="AG1078">
        <v>45</v>
      </c>
      <c r="AH1078">
        <v>24</v>
      </c>
      <c r="AI1078" s="2">
        <f>Table__192.168.3.138AgingReportBEWLGS[[#This Row],[NetAmount]]-Table__192.168.3.138AgingReportBEWLGS[[#This Row],[Paid]]</f>
        <v>24795</v>
      </c>
    </row>
    <row r="1079" spans="1:35">
      <c r="A1079" t="s">
        <v>8424</v>
      </c>
      <c r="B1079" s="1">
        <v>41297</v>
      </c>
      <c r="C1079" s="1">
        <v>41342</v>
      </c>
      <c r="D1079" t="s">
        <v>5521</v>
      </c>
      <c r="E1079">
        <v>4200</v>
      </c>
      <c r="F1079">
        <v>672</v>
      </c>
      <c r="G1079">
        <v>0</v>
      </c>
      <c r="H1079">
        <v>0</v>
      </c>
      <c r="I1079">
        <v>-25</v>
      </c>
      <c r="J1079">
        <v>4872</v>
      </c>
      <c r="K1079" t="s">
        <v>8425</v>
      </c>
      <c r="L1079" s="1">
        <v>41293</v>
      </c>
      <c r="N1079" t="s">
        <v>5127</v>
      </c>
      <c r="O1079" t="s">
        <v>2458</v>
      </c>
      <c r="P1079" t="s">
        <v>5532</v>
      </c>
      <c r="Q1079" t="s">
        <v>5285</v>
      </c>
      <c r="R1079" t="s">
        <v>5286</v>
      </c>
      <c r="S1079">
        <v>0</v>
      </c>
      <c r="U1079" t="s">
        <v>5550</v>
      </c>
      <c r="V1079" t="s">
        <v>1797</v>
      </c>
      <c r="X1079" t="s">
        <v>74</v>
      </c>
      <c r="Y1079" t="b">
        <v>0</v>
      </c>
      <c r="Z1079" t="b">
        <v>0</v>
      </c>
      <c r="AC1079" s="1"/>
      <c r="AF1079">
        <v>0</v>
      </c>
      <c r="AG1079">
        <v>45</v>
      </c>
      <c r="AH1079">
        <v>20</v>
      </c>
      <c r="AI1079" s="2">
        <f>Table__192.168.3.138AgingReportBEWLGS[[#This Row],[NetAmount]]-Table__192.168.3.138AgingReportBEWLGS[[#This Row],[Paid]]</f>
        <v>4872</v>
      </c>
    </row>
    <row r="1080" spans="1:35">
      <c r="A1080" t="s">
        <v>8426</v>
      </c>
      <c r="B1080" s="1">
        <v>41298</v>
      </c>
      <c r="C1080" s="1">
        <v>41343</v>
      </c>
      <c r="D1080" t="s">
        <v>7545</v>
      </c>
      <c r="E1080">
        <v>45000</v>
      </c>
      <c r="F1080">
        <v>7200</v>
      </c>
      <c r="G1080">
        <v>0</v>
      </c>
      <c r="H1080">
        <v>0</v>
      </c>
      <c r="I1080">
        <v>-36</v>
      </c>
      <c r="J1080">
        <v>52200</v>
      </c>
      <c r="K1080" t="s">
        <v>3648</v>
      </c>
      <c r="L1080" s="1">
        <v>41304</v>
      </c>
      <c r="N1080" t="s">
        <v>5127</v>
      </c>
      <c r="O1080" t="s">
        <v>2458</v>
      </c>
      <c r="P1080" t="s">
        <v>7547</v>
      </c>
      <c r="Q1080" t="s">
        <v>5285</v>
      </c>
      <c r="R1080" t="s">
        <v>5286</v>
      </c>
      <c r="S1080">
        <v>0</v>
      </c>
      <c r="U1080" t="s">
        <v>5550</v>
      </c>
      <c r="V1080" t="s">
        <v>1797</v>
      </c>
      <c r="X1080" t="s">
        <v>74</v>
      </c>
      <c r="Y1080" t="b">
        <v>0</v>
      </c>
      <c r="Z1080" t="b">
        <v>0</v>
      </c>
      <c r="AC1080" s="1"/>
      <c r="AF1080">
        <v>0</v>
      </c>
      <c r="AG1080">
        <v>45</v>
      </c>
      <c r="AH1080">
        <v>9</v>
      </c>
      <c r="AI1080" s="2">
        <f>Table__192.168.3.138AgingReportBEWLGS[[#This Row],[NetAmount]]-Table__192.168.3.138AgingReportBEWLGS[[#This Row],[Paid]]</f>
        <v>52200</v>
      </c>
    </row>
    <row r="1081" spans="1:35">
      <c r="A1081" t="s">
        <v>8427</v>
      </c>
      <c r="B1081" s="1">
        <v>41303</v>
      </c>
      <c r="C1081" s="1">
        <v>41348</v>
      </c>
      <c r="D1081" t="s">
        <v>6448</v>
      </c>
      <c r="E1081">
        <v>19040</v>
      </c>
      <c r="F1081">
        <v>3046</v>
      </c>
      <c r="G1081">
        <v>0</v>
      </c>
      <c r="H1081">
        <v>0</v>
      </c>
      <c r="I1081">
        <v>-35</v>
      </c>
      <c r="J1081">
        <v>22086</v>
      </c>
      <c r="K1081" t="s">
        <v>1544</v>
      </c>
      <c r="L1081" s="1">
        <v>41303</v>
      </c>
      <c r="N1081" t="s">
        <v>5127</v>
      </c>
      <c r="O1081" t="s">
        <v>2458</v>
      </c>
      <c r="P1081" t="s">
        <v>6451</v>
      </c>
      <c r="Q1081" t="s">
        <v>5285</v>
      </c>
      <c r="R1081" t="s">
        <v>5286</v>
      </c>
      <c r="S1081">
        <v>0</v>
      </c>
      <c r="U1081" t="s">
        <v>5550</v>
      </c>
      <c r="V1081" t="s">
        <v>1797</v>
      </c>
      <c r="X1081" t="s">
        <v>74</v>
      </c>
      <c r="Y1081" t="b">
        <v>0</v>
      </c>
      <c r="Z1081" t="b">
        <v>0</v>
      </c>
      <c r="AC1081" s="1"/>
      <c r="AF1081">
        <v>0</v>
      </c>
      <c r="AG1081">
        <v>45</v>
      </c>
      <c r="AH1081">
        <v>10</v>
      </c>
      <c r="AI1081" s="2">
        <f>Table__192.168.3.138AgingReportBEWLGS[[#This Row],[NetAmount]]-Table__192.168.3.138AgingReportBEWLGS[[#This Row],[Paid]]</f>
        <v>22086</v>
      </c>
    </row>
    <row r="1082" spans="1:35">
      <c r="A1082" t="s">
        <v>8428</v>
      </c>
      <c r="B1082" s="1">
        <v>41304</v>
      </c>
      <c r="C1082" s="1">
        <v>41349</v>
      </c>
      <c r="D1082" t="s">
        <v>6183</v>
      </c>
      <c r="E1082">
        <v>52924</v>
      </c>
      <c r="F1082">
        <v>0</v>
      </c>
      <c r="G1082">
        <v>0</v>
      </c>
      <c r="H1082">
        <v>0</v>
      </c>
      <c r="I1082">
        <v>-37</v>
      </c>
      <c r="J1082">
        <v>52924</v>
      </c>
      <c r="K1082" t="s">
        <v>7018</v>
      </c>
      <c r="L1082" s="1">
        <v>41305</v>
      </c>
      <c r="M1082" t="s">
        <v>8429</v>
      </c>
      <c r="N1082" t="s">
        <v>5127</v>
      </c>
      <c r="O1082" t="s">
        <v>2458</v>
      </c>
      <c r="P1082" t="s">
        <v>6185</v>
      </c>
      <c r="Q1082" t="s">
        <v>39</v>
      </c>
      <c r="R1082" t="s">
        <v>40</v>
      </c>
      <c r="S1082">
        <v>0</v>
      </c>
      <c r="U1082" t="s">
        <v>5550</v>
      </c>
      <c r="V1082" t="s">
        <v>1797</v>
      </c>
      <c r="W1082" t="s">
        <v>6186</v>
      </c>
      <c r="X1082" t="s">
        <v>74</v>
      </c>
      <c r="Y1082" t="b">
        <v>0</v>
      </c>
      <c r="Z1082" t="b">
        <v>0</v>
      </c>
      <c r="AA1082" t="b">
        <v>0</v>
      </c>
      <c r="AC1082" s="1"/>
      <c r="AF1082">
        <v>0</v>
      </c>
      <c r="AG1082">
        <v>45</v>
      </c>
      <c r="AH1082">
        <v>8</v>
      </c>
      <c r="AI1082" s="2">
        <f>Table__192.168.3.138AgingReportBEWLGS[[#This Row],[NetAmount]]-Table__192.168.3.138AgingReportBEWLGS[[#This Row],[Paid]]</f>
        <v>52924</v>
      </c>
    </row>
    <row r="1083" spans="1:35">
      <c r="A1083" t="s">
        <v>8430</v>
      </c>
      <c r="B1083" s="1">
        <v>41300</v>
      </c>
      <c r="C1083" s="1">
        <v>41300</v>
      </c>
      <c r="D1083" t="s">
        <v>8431</v>
      </c>
      <c r="E1083">
        <v>17849</v>
      </c>
      <c r="F1083">
        <v>0</v>
      </c>
      <c r="G1083">
        <v>0</v>
      </c>
      <c r="H1083">
        <v>0</v>
      </c>
      <c r="I1083">
        <v>0</v>
      </c>
      <c r="J1083">
        <v>17849</v>
      </c>
      <c r="K1083" t="s">
        <v>8295</v>
      </c>
      <c r="L1083" s="1">
        <v>41300</v>
      </c>
      <c r="N1083" t="s">
        <v>5127</v>
      </c>
      <c r="O1083" t="s">
        <v>2458</v>
      </c>
      <c r="P1083" t="s">
        <v>8432</v>
      </c>
      <c r="Q1083" t="s">
        <v>5285</v>
      </c>
      <c r="R1083" t="s">
        <v>5286</v>
      </c>
      <c r="S1083">
        <v>0</v>
      </c>
      <c r="U1083" t="s">
        <v>5550</v>
      </c>
      <c r="V1083" t="s">
        <v>1797</v>
      </c>
      <c r="X1083" t="s">
        <v>74</v>
      </c>
      <c r="Y1083" t="b">
        <v>0</v>
      </c>
      <c r="Z1083" t="b">
        <v>0</v>
      </c>
      <c r="AC1083" s="1"/>
      <c r="AF1083">
        <v>0</v>
      </c>
      <c r="AH1083">
        <v>13</v>
      </c>
      <c r="AI1083" s="2">
        <f>Table__192.168.3.138AgingReportBEWLGS[[#This Row],[NetAmount]]-Table__192.168.3.138AgingReportBEWLGS[[#This Row],[Paid]]</f>
        <v>17849</v>
      </c>
    </row>
    <row r="1084" spans="1:35">
      <c r="A1084" t="s">
        <v>8433</v>
      </c>
      <c r="B1084" s="1">
        <v>41300</v>
      </c>
      <c r="C1084" s="1">
        <v>41300</v>
      </c>
      <c r="D1084" t="s">
        <v>8431</v>
      </c>
      <c r="E1084">
        <v>2948</v>
      </c>
      <c r="F1084">
        <v>0</v>
      </c>
      <c r="G1084">
        <v>0</v>
      </c>
      <c r="H1084">
        <v>0</v>
      </c>
      <c r="I1084">
        <v>0</v>
      </c>
      <c r="J1084">
        <v>2938</v>
      </c>
      <c r="K1084" t="s">
        <v>8295</v>
      </c>
      <c r="L1084" s="1">
        <v>41300</v>
      </c>
      <c r="N1084" t="s">
        <v>5127</v>
      </c>
      <c r="O1084" t="s">
        <v>2458</v>
      </c>
      <c r="P1084" t="s">
        <v>8432</v>
      </c>
      <c r="Q1084" t="s">
        <v>5285</v>
      </c>
      <c r="R1084" t="s">
        <v>5286</v>
      </c>
      <c r="S1084">
        <v>0</v>
      </c>
      <c r="U1084" t="s">
        <v>5550</v>
      </c>
      <c r="V1084" t="s">
        <v>1797</v>
      </c>
      <c r="X1084" t="s">
        <v>74</v>
      </c>
      <c r="Y1084" t="b">
        <v>0</v>
      </c>
      <c r="Z1084" t="b">
        <v>0</v>
      </c>
      <c r="AC1084" s="1"/>
      <c r="AF1084">
        <v>0</v>
      </c>
      <c r="AH1084">
        <v>13</v>
      </c>
      <c r="AI1084" s="2">
        <f>Table__192.168.3.138AgingReportBEWLGS[[#This Row],[NetAmount]]-Table__192.168.3.138AgingReportBEWLGS[[#This Row],[Paid]]</f>
        <v>2938</v>
      </c>
    </row>
    <row r="1085" spans="1:35">
      <c r="A1085" t="s">
        <v>8434</v>
      </c>
      <c r="B1085" s="1">
        <v>41286</v>
      </c>
      <c r="C1085" s="1">
        <v>41331</v>
      </c>
      <c r="D1085" t="s">
        <v>7755</v>
      </c>
      <c r="E1085">
        <v>15250</v>
      </c>
      <c r="F1085">
        <v>0</v>
      </c>
      <c r="G1085">
        <v>0</v>
      </c>
      <c r="H1085">
        <v>0</v>
      </c>
      <c r="I1085">
        <v>-37</v>
      </c>
      <c r="J1085">
        <v>15250</v>
      </c>
      <c r="K1085" t="s">
        <v>4348</v>
      </c>
      <c r="L1085" s="1">
        <v>41305</v>
      </c>
      <c r="N1085" t="s">
        <v>5127</v>
      </c>
      <c r="O1085" t="s">
        <v>2458</v>
      </c>
      <c r="P1085" t="s">
        <v>7756</v>
      </c>
      <c r="Q1085" t="s">
        <v>5285</v>
      </c>
      <c r="R1085" t="s">
        <v>5286</v>
      </c>
      <c r="S1085">
        <v>0</v>
      </c>
      <c r="U1085" t="s">
        <v>5550</v>
      </c>
      <c r="V1085" t="s">
        <v>1797</v>
      </c>
      <c r="X1085" t="s">
        <v>74</v>
      </c>
      <c r="Y1085" t="b">
        <v>0</v>
      </c>
      <c r="Z1085" t="b">
        <v>0</v>
      </c>
      <c r="AC1085" s="1"/>
      <c r="AF1085">
        <v>0</v>
      </c>
      <c r="AG1085">
        <v>45</v>
      </c>
      <c r="AH1085">
        <v>8</v>
      </c>
      <c r="AI1085" s="2">
        <f>Table__192.168.3.138AgingReportBEWLGS[[#This Row],[NetAmount]]-Table__192.168.3.138AgingReportBEWLGS[[#This Row],[Paid]]</f>
        <v>15250</v>
      </c>
    </row>
    <row r="1086" spans="1:35">
      <c r="A1086" t="s">
        <v>8435</v>
      </c>
      <c r="B1086" s="1">
        <v>41277</v>
      </c>
      <c r="C1086" s="1">
        <v>41322</v>
      </c>
      <c r="D1086" t="s">
        <v>7755</v>
      </c>
      <c r="E1086">
        <v>3900</v>
      </c>
      <c r="F1086">
        <v>0</v>
      </c>
      <c r="G1086">
        <v>0</v>
      </c>
      <c r="H1086">
        <v>0</v>
      </c>
      <c r="I1086">
        <v>-37</v>
      </c>
      <c r="J1086">
        <v>3900</v>
      </c>
      <c r="K1086" t="s">
        <v>861</v>
      </c>
      <c r="L1086" s="1">
        <v>41305</v>
      </c>
      <c r="N1086" t="s">
        <v>5127</v>
      </c>
      <c r="O1086" t="s">
        <v>2458</v>
      </c>
      <c r="P1086" t="s">
        <v>7756</v>
      </c>
      <c r="Q1086" t="s">
        <v>5285</v>
      </c>
      <c r="R1086" t="s">
        <v>5286</v>
      </c>
      <c r="S1086">
        <v>0</v>
      </c>
      <c r="U1086" t="s">
        <v>5550</v>
      </c>
      <c r="V1086" t="s">
        <v>1797</v>
      </c>
      <c r="X1086" t="s">
        <v>74</v>
      </c>
      <c r="Y1086" t="b">
        <v>0</v>
      </c>
      <c r="Z1086" t="b">
        <v>0</v>
      </c>
      <c r="AC1086" s="1"/>
      <c r="AF1086">
        <v>0</v>
      </c>
      <c r="AG1086">
        <v>45</v>
      </c>
      <c r="AH1086">
        <v>8</v>
      </c>
      <c r="AI1086" s="2">
        <f>Table__192.168.3.138AgingReportBEWLGS[[#This Row],[NetAmount]]-Table__192.168.3.138AgingReportBEWLGS[[#This Row],[Paid]]</f>
        <v>3900</v>
      </c>
    </row>
    <row r="1087" spans="1:35">
      <c r="A1087" t="s">
        <v>8436</v>
      </c>
      <c r="B1087" s="1">
        <v>41286</v>
      </c>
      <c r="C1087" s="1">
        <v>41331</v>
      </c>
      <c r="D1087" t="s">
        <v>6474</v>
      </c>
      <c r="E1087">
        <v>585642</v>
      </c>
      <c r="F1087">
        <v>93703</v>
      </c>
      <c r="G1087">
        <v>0</v>
      </c>
      <c r="H1087">
        <v>0</v>
      </c>
      <c r="I1087">
        <v>-25</v>
      </c>
      <c r="J1087">
        <v>682345</v>
      </c>
      <c r="K1087" t="s">
        <v>8437</v>
      </c>
      <c r="L1087" s="1">
        <v>41293</v>
      </c>
      <c r="N1087" t="s">
        <v>5127</v>
      </c>
      <c r="O1087" t="s">
        <v>2458</v>
      </c>
      <c r="P1087" t="s">
        <v>6475</v>
      </c>
      <c r="Q1087" t="s">
        <v>5285</v>
      </c>
      <c r="R1087" t="s">
        <v>5286</v>
      </c>
      <c r="S1087">
        <v>0</v>
      </c>
      <c r="U1087" t="s">
        <v>5550</v>
      </c>
      <c r="V1087" t="s">
        <v>1797</v>
      </c>
      <c r="X1087" t="s">
        <v>74</v>
      </c>
      <c r="Y1087" t="b">
        <v>0</v>
      </c>
      <c r="Z1087" t="b">
        <v>0</v>
      </c>
      <c r="AC1087" s="1"/>
      <c r="AF1087">
        <v>0</v>
      </c>
      <c r="AG1087">
        <v>45</v>
      </c>
      <c r="AH1087">
        <v>20</v>
      </c>
      <c r="AI1087" s="2">
        <f>Table__192.168.3.138AgingReportBEWLGS[[#This Row],[NetAmount]]-Table__192.168.3.138AgingReportBEWLGS[[#This Row],[Paid]]</f>
        <v>682345</v>
      </c>
    </row>
    <row r="1088" spans="1:35">
      <c r="A1088" t="s">
        <v>8438</v>
      </c>
      <c r="B1088" s="1">
        <v>41297</v>
      </c>
      <c r="C1088" s="1">
        <v>41342</v>
      </c>
      <c r="D1088" t="s">
        <v>6474</v>
      </c>
      <c r="E1088">
        <v>213862</v>
      </c>
      <c r="F1088">
        <v>34218</v>
      </c>
      <c r="G1088">
        <v>0</v>
      </c>
      <c r="H1088">
        <v>0</v>
      </c>
      <c r="I1088">
        <v>-32</v>
      </c>
      <c r="J1088">
        <v>251080</v>
      </c>
      <c r="K1088" t="s">
        <v>8439</v>
      </c>
      <c r="L1088" s="1">
        <v>41300</v>
      </c>
      <c r="N1088" t="s">
        <v>5127</v>
      </c>
      <c r="O1088" t="s">
        <v>2458</v>
      </c>
      <c r="P1088" t="s">
        <v>6475</v>
      </c>
      <c r="Q1088" t="s">
        <v>5285</v>
      </c>
      <c r="R1088" t="s">
        <v>5286</v>
      </c>
      <c r="S1088">
        <v>0</v>
      </c>
      <c r="U1088" t="s">
        <v>5550</v>
      </c>
      <c r="V1088" t="s">
        <v>1797</v>
      </c>
      <c r="X1088" t="s">
        <v>74</v>
      </c>
      <c r="Y1088" t="b">
        <v>0</v>
      </c>
      <c r="Z1088" t="b">
        <v>0</v>
      </c>
      <c r="AC1088" s="1"/>
      <c r="AF1088">
        <v>0</v>
      </c>
      <c r="AG1088">
        <v>45</v>
      </c>
      <c r="AH1088">
        <v>13</v>
      </c>
      <c r="AI1088" s="2">
        <f>Table__192.168.3.138AgingReportBEWLGS[[#This Row],[NetAmount]]-Table__192.168.3.138AgingReportBEWLGS[[#This Row],[Paid]]</f>
        <v>251080</v>
      </c>
    </row>
    <row r="1089" spans="1:35">
      <c r="A1089" t="s">
        <v>8440</v>
      </c>
      <c r="B1089" s="1">
        <v>41285</v>
      </c>
      <c r="C1089" s="1">
        <v>41285</v>
      </c>
      <c r="D1089" t="s">
        <v>270</v>
      </c>
      <c r="E1089">
        <v>134640</v>
      </c>
      <c r="F1089">
        <v>21542</v>
      </c>
      <c r="G1089">
        <v>0</v>
      </c>
      <c r="H1089">
        <v>0</v>
      </c>
      <c r="I1089">
        <v>0</v>
      </c>
      <c r="J1089">
        <v>156182</v>
      </c>
      <c r="K1089" t="s">
        <v>1289</v>
      </c>
      <c r="L1089" s="1">
        <v>41284</v>
      </c>
      <c r="N1089" t="s">
        <v>5127</v>
      </c>
      <c r="O1089" t="s">
        <v>2458</v>
      </c>
      <c r="P1089" t="s">
        <v>8163</v>
      </c>
      <c r="Q1089" t="s">
        <v>5285</v>
      </c>
      <c r="R1089" t="s">
        <v>5286</v>
      </c>
      <c r="S1089">
        <v>0</v>
      </c>
      <c r="U1089" t="s">
        <v>5550</v>
      </c>
      <c r="V1089" t="s">
        <v>1797</v>
      </c>
      <c r="X1089" t="s">
        <v>74</v>
      </c>
      <c r="Y1089" t="b">
        <v>0</v>
      </c>
      <c r="Z1089" t="b">
        <v>0</v>
      </c>
      <c r="AC1089" s="1"/>
      <c r="AF1089">
        <v>0</v>
      </c>
      <c r="AH1089">
        <v>29</v>
      </c>
      <c r="AI1089" s="2">
        <f>Table__192.168.3.138AgingReportBEWLGS[[#This Row],[NetAmount]]-Table__192.168.3.138AgingReportBEWLGS[[#This Row],[Paid]]</f>
        <v>156182</v>
      </c>
    </row>
    <row r="1090" spans="1:35">
      <c r="A1090" t="s">
        <v>8441</v>
      </c>
      <c r="B1090" s="1">
        <v>41297</v>
      </c>
      <c r="C1090" s="1">
        <v>41342</v>
      </c>
      <c r="D1090" t="s">
        <v>6318</v>
      </c>
      <c r="E1090">
        <v>508725</v>
      </c>
      <c r="F1090">
        <v>81396</v>
      </c>
      <c r="G1090">
        <v>0</v>
      </c>
      <c r="H1090">
        <v>0</v>
      </c>
      <c r="I1090">
        <v>-35</v>
      </c>
      <c r="J1090">
        <v>590121</v>
      </c>
      <c r="K1090" t="s">
        <v>8442</v>
      </c>
      <c r="L1090" s="1">
        <v>41303</v>
      </c>
      <c r="N1090" t="s">
        <v>5127</v>
      </c>
      <c r="O1090" t="s">
        <v>2458</v>
      </c>
      <c r="P1090" t="s">
        <v>6320</v>
      </c>
      <c r="Q1090" t="s">
        <v>5285</v>
      </c>
      <c r="R1090" t="s">
        <v>5286</v>
      </c>
      <c r="S1090">
        <v>0</v>
      </c>
      <c r="U1090" t="s">
        <v>5550</v>
      </c>
      <c r="V1090" t="s">
        <v>1797</v>
      </c>
      <c r="X1090" t="s">
        <v>74</v>
      </c>
      <c r="Y1090" t="b">
        <v>0</v>
      </c>
      <c r="Z1090" t="b">
        <v>0</v>
      </c>
      <c r="AC1090" s="1"/>
      <c r="AF1090">
        <v>0</v>
      </c>
      <c r="AG1090">
        <v>45</v>
      </c>
      <c r="AH1090">
        <v>10</v>
      </c>
      <c r="AI1090" s="2">
        <f>Table__192.168.3.138AgingReportBEWLGS[[#This Row],[NetAmount]]-Table__192.168.3.138AgingReportBEWLGS[[#This Row],[Paid]]</f>
        <v>590121</v>
      </c>
    </row>
    <row r="1091" spans="1:35">
      <c r="A1091" t="s">
        <v>8443</v>
      </c>
      <c r="B1091" s="1">
        <v>41303</v>
      </c>
      <c r="C1091" s="1">
        <v>41348</v>
      </c>
      <c r="D1091" t="s">
        <v>6542</v>
      </c>
      <c r="E1091">
        <v>11900</v>
      </c>
      <c r="F1091">
        <v>0</v>
      </c>
      <c r="G1091">
        <v>0</v>
      </c>
      <c r="H1091">
        <v>0</v>
      </c>
      <c r="I1091">
        <v>-35</v>
      </c>
      <c r="J1091">
        <v>11900</v>
      </c>
      <c r="K1091" t="s">
        <v>8444</v>
      </c>
      <c r="L1091" s="1">
        <v>41303</v>
      </c>
      <c r="N1091" t="s">
        <v>5127</v>
      </c>
      <c r="O1091" t="s">
        <v>2458</v>
      </c>
      <c r="P1091" t="s">
        <v>6544</v>
      </c>
      <c r="Q1091" t="s">
        <v>5285</v>
      </c>
      <c r="R1091" t="s">
        <v>5286</v>
      </c>
      <c r="S1091">
        <v>0</v>
      </c>
      <c r="U1091" t="s">
        <v>5550</v>
      </c>
      <c r="V1091" t="s">
        <v>1797</v>
      </c>
      <c r="X1091" t="s">
        <v>74</v>
      </c>
      <c r="Y1091" t="b">
        <v>0</v>
      </c>
      <c r="Z1091" t="b">
        <v>0</v>
      </c>
      <c r="AC1091" s="1"/>
      <c r="AF1091">
        <v>0</v>
      </c>
      <c r="AG1091">
        <v>45</v>
      </c>
      <c r="AH1091">
        <v>10</v>
      </c>
      <c r="AI1091" s="2">
        <f>Table__192.168.3.138AgingReportBEWLGS[[#This Row],[NetAmount]]-Table__192.168.3.138AgingReportBEWLGS[[#This Row],[Paid]]</f>
        <v>11900</v>
      </c>
    </row>
    <row r="1092" spans="1:35">
      <c r="A1092" t="s">
        <v>8445</v>
      </c>
      <c r="B1092" s="1">
        <v>41303</v>
      </c>
      <c r="C1092" s="1">
        <v>41348</v>
      </c>
      <c r="D1092" t="s">
        <v>6542</v>
      </c>
      <c r="E1092">
        <v>12000</v>
      </c>
      <c r="F1092">
        <v>0</v>
      </c>
      <c r="G1092">
        <v>0</v>
      </c>
      <c r="H1092">
        <v>0</v>
      </c>
      <c r="I1092">
        <v>-35</v>
      </c>
      <c r="J1092">
        <v>12000</v>
      </c>
      <c r="K1092" t="s">
        <v>8446</v>
      </c>
      <c r="L1092" s="1">
        <v>41303</v>
      </c>
      <c r="N1092" t="s">
        <v>5127</v>
      </c>
      <c r="O1092" t="s">
        <v>2458</v>
      </c>
      <c r="P1092" t="s">
        <v>6544</v>
      </c>
      <c r="Q1092" t="s">
        <v>5285</v>
      </c>
      <c r="R1092" t="s">
        <v>5286</v>
      </c>
      <c r="S1092">
        <v>0</v>
      </c>
      <c r="U1092" t="s">
        <v>5550</v>
      </c>
      <c r="V1092" t="s">
        <v>1797</v>
      </c>
      <c r="X1092" t="s">
        <v>74</v>
      </c>
      <c r="Y1092" t="b">
        <v>0</v>
      </c>
      <c r="Z1092" t="b">
        <v>0</v>
      </c>
      <c r="AC1092" s="1"/>
      <c r="AF1092">
        <v>0</v>
      </c>
      <c r="AG1092">
        <v>45</v>
      </c>
      <c r="AH1092">
        <v>10</v>
      </c>
      <c r="AI1092" s="2">
        <f>Table__192.168.3.138AgingReportBEWLGS[[#This Row],[NetAmount]]-Table__192.168.3.138AgingReportBEWLGS[[#This Row],[Paid]]</f>
        <v>12000</v>
      </c>
    </row>
    <row r="1093" spans="1:35">
      <c r="A1093" t="s">
        <v>8447</v>
      </c>
      <c r="B1093" s="1">
        <v>41302</v>
      </c>
      <c r="C1093" s="1">
        <v>41347</v>
      </c>
      <c r="D1093" t="s">
        <v>6542</v>
      </c>
      <c r="E1093">
        <v>19200</v>
      </c>
      <c r="F1093">
        <v>0</v>
      </c>
      <c r="G1093">
        <v>0</v>
      </c>
      <c r="H1093">
        <v>0</v>
      </c>
      <c r="I1093">
        <v>-34</v>
      </c>
      <c r="J1093">
        <v>19200</v>
      </c>
      <c r="K1093" t="s">
        <v>8448</v>
      </c>
      <c r="L1093" s="1">
        <v>41302</v>
      </c>
      <c r="N1093" t="s">
        <v>5127</v>
      </c>
      <c r="O1093" t="s">
        <v>2458</v>
      </c>
      <c r="P1093" t="s">
        <v>6544</v>
      </c>
      <c r="Q1093" t="s">
        <v>5285</v>
      </c>
      <c r="R1093" t="s">
        <v>5286</v>
      </c>
      <c r="S1093">
        <v>0</v>
      </c>
      <c r="U1093" t="s">
        <v>5550</v>
      </c>
      <c r="V1093" t="s">
        <v>1797</v>
      </c>
      <c r="X1093" t="s">
        <v>74</v>
      </c>
      <c r="Y1093" t="b">
        <v>0</v>
      </c>
      <c r="Z1093" t="b">
        <v>0</v>
      </c>
      <c r="AC1093" s="1"/>
      <c r="AF1093">
        <v>0</v>
      </c>
      <c r="AG1093">
        <v>45</v>
      </c>
      <c r="AH1093">
        <v>11</v>
      </c>
      <c r="AI1093" s="2">
        <f>Table__192.168.3.138AgingReportBEWLGS[[#This Row],[NetAmount]]-Table__192.168.3.138AgingReportBEWLGS[[#This Row],[Paid]]</f>
        <v>19200</v>
      </c>
    </row>
    <row r="1094" spans="1:35">
      <c r="A1094" t="s">
        <v>8449</v>
      </c>
      <c r="B1094" s="1">
        <v>41303</v>
      </c>
      <c r="C1094" s="1">
        <v>41348</v>
      </c>
      <c r="D1094" t="s">
        <v>249</v>
      </c>
      <c r="E1094">
        <v>124601</v>
      </c>
      <c r="F1094">
        <v>0</v>
      </c>
      <c r="G1094">
        <v>0</v>
      </c>
      <c r="H1094">
        <v>0</v>
      </c>
      <c r="I1094">
        <v>-35</v>
      </c>
      <c r="J1094">
        <v>124601</v>
      </c>
      <c r="K1094" t="s">
        <v>8450</v>
      </c>
      <c r="L1094" s="1">
        <v>41303</v>
      </c>
      <c r="N1094" t="s">
        <v>5127</v>
      </c>
      <c r="O1094" t="s">
        <v>2458</v>
      </c>
      <c r="P1094" t="s">
        <v>6422</v>
      </c>
      <c r="Q1094" t="s">
        <v>5285</v>
      </c>
      <c r="R1094" t="s">
        <v>5286</v>
      </c>
      <c r="S1094">
        <v>0</v>
      </c>
      <c r="U1094" t="s">
        <v>5550</v>
      </c>
      <c r="V1094" t="s">
        <v>1797</v>
      </c>
      <c r="X1094" t="s">
        <v>74</v>
      </c>
      <c r="Y1094" t="b">
        <v>0</v>
      </c>
      <c r="Z1094" t="b">
        <v>0</v>
      </c>
      <c r="AC1094" s="1"/>
      <c r="AF1094">
        <v>0</v>
      </c>
      <c r="AG1094">
        <v>45</v>
      </c>
      <c r="AH1094">
        <v>10</v>
      </c>
      <c r="AI1094" s="2">
        <f>Table__192.168.3.138AgingReportBEWLGS[[#This Row],[NetAmount]]-Table__192.168.3.138AgingReportBEWLGS[[#This Row],[Paid]]</f>
        <v>124601</v>
      </c>
    </row>
    <row r="1095" spans="1:35">
      <c r="A1095" t="s">
        <v>8451</v>
      </c>
      <c r="B1095" s="1">
        <v>41285</v>
      </c>
      <c r="C1095" s="1">
        <v>41330</v>
      </c>
      <c r="D1095" t="s">
        <v>7722</v>
      </c>
      <c r="E1095">
        <v>12250</v>
      </c>
      <c r="F1095">
        <v>1960</v>
      </c>
      <c r="G1095">
        <v>0</v>
      </c>
      <c r="H1095">
        <v>0</v>
      </c>
      <c r="I1095">
        <v>-24</v>
      </c>
      <c r="J1095">
        <v>14210</v>
      </c>
      <c r="K1095" t="s">
        <v>8452</v>
      </c>
      <c r="L1095" s="1">
        <v>41292</v>
      </c>
      <c r="N1095" t="s">
        <v>5127</v>
      </c>
      <c r="O1095" t="s">
        <v>2458</v>
      </c>
      <c r="P1095" t="s">
        <v>7724</v>
      </c>
      <c r="Q1095" t="s">
        <v>5285</v>
      </c>
      <c r="R1095" t="s">
        <v>5286</v>
      </c>
      <c r="S1095">
        <v>0</v>
      </c>
      <c r="U1095" t="s">
        <v>5550</v>
      </c>
      <c r="V1095" t="s">
        <v>1797</v>
      </c>
      <c r="X1095" t="s">
        <v>74</v>
      </c>
      <c r="Y1095" t="b">
        <v>0</v>
      </c>
      <c r="Z1095" t="b">
        <v>0</v>
      </c>
      <c r="AC1095" s="1"/>
      <c r="AF1095">
        <v>0</v>
      </c>
      <c r="AG1095">
        <v>45</v>
      </c>
      <c r="AH1095">
        <v>21</v>
      </c>
      <c r="AI1095" s="2">
        <f>Table__192.168.3.138AgingReportBEWLGS[[#This Row],[NetAmount]]-Table__192.168.3.138AgingReportBEWLGS[[#This Row],[Paid]]</f>
        <v>14210</v>
      </c>
    </row>
    <row r="1096" spans="1:35">
      <c r="A1096" t="s">
        <v>8453</v>
      </c>
      <c r="B1096" s="1">
        <v>41298</v>
      </c>
      <c r="C1096" s="1">
        <v>41343</v>
      </c>
      <c r="D1096" t="s">
        <v>6438</v>
      </c>
      <c r="E1096">
        <v>72000</v>
      </c>
      <c r="F1096">
        <v>11520</v>
      </c>
      <c r="G1096">
        <v>0</v>
      </c>
      <c r="H1096">
        <v>0</v>
      </c>
      <c r="I1096">
        <v>-30</v>
      </c>
      <c r="J1096">
        <v>83520</v>
      </c>
      <c r="K1096" t="s">
        <v>1001</v>
      </c>
      <c r="L1096" s="1">
        <v>41298</v>
      </c>
      <c r="N1096" t="s">
        <v>5127</v>
      </c>
      <c r="O1096" t="s">
        <v>2458</v>
      </c>
      <c r="P1096" t="s">
        <v>6440</v>
      </c>
      <c r="Q1096" t="s">
        <v>5285</v>
      </c>
      <c r="R1096" t="s">
        <v>5286</v>
      </c>
      <c r="S1096">
        <v>0</v>
      </c>
      <c r="U1096" t="s">
        <v>5550</v>
      </c>
      <c r="V1096" t="s">
        <v>1797</v>
      </c>
      <c r="X1096" t="s">
        <v>74</v>
      </c>
      <c r="Y1096" t="b">
        <v>0</v>
      </c>
      <c r="Z1096" t="b">
        <v>0</v>
      </c>
      <c r="AC1096" s="1"/>
      <c r="AF1096">
        <v>0</v>
      </c>
      <c r="AG1096">
        <v>45</v>
      </c>
      <c r="AH1096">
        <v>15</v>
      </c>
      <c r="AI1096" s="2">
        <f>Table__192.168.3.138AgingReportBEWLGS[[#This Row],[NetAmount]]-Table__192.168.3.138AgingReportBEWLGS[[#This Row],[Paid]]</f>
        <v>83520</v>
      </c>
    </row>
    <row r="1097" spans="1:35">
      <c r="A1097" t="s">
        <v>8454</v>
      </c>
      <c r="B1097" s="1">
        <v>41285</v>
      </c>
      <c r="C1097" s="1">
        <v>41330</v>
      </c>
      <c r="D1097" t="s">
        <v>7375</v>
      </c>
      <c r="E1097">
        <v>51200</v>
      </c>
      <c r="F1097">
        <v>8192</v>
      </c>
      <c r="G1097">
        <v>0</v>
      </c>
      <c r="H1097">
        <v>0</v>
      </c>
      <c r="I1097">
        <v>-25</v>
      </c>
      <c r="J1097">
        <v>60192</v>
      </c>
      <c r="K1097" t="s">
        <v>8455</v>
      </c>
      <c r="L1097" s="1">
        <v>41293</v>
      </c>
      <c r="N1097" t="s">
        <v>5127</v>
      </c>
      <c r="O1097" t="s">
        <v>2458</v>
      </c>
      <c r="P1097" t="s">
        <v>7377</v>
      </c>
      <c r="Q1097" t="s">
        <v>5285</v>
      </c>
      <c r="R1097" t="s">
        <v>5286</v>
      </c>
      <c r="S1097">
        <v>0</v>
      </c>
      <c r="U1097" t="s">
        <v>5550</v>
      </c>
      <c r="V1097" t="s">
        <v>1797</v>
      </c>
      <c r="X1097" t="s">
        <v>74</v>
      </c>
      <c r="Y1097" t="b">
        <v>0</v>
      </c>
      <c r="Z1097" t="b">
        <v>0</v>
      </c>
      <c r="AC1097" s="1"/>
      <c r="AF1097">
        <v>0</v>
      </c>
      <c r="AG1097">
        <v>45</v>
      </c>
      <c r="AH1097">
        <v>20</v>
      </c>
      <c r="AI1097" s="2">
        <f>Table__192.168.3.138AgingReportBEWLGS[[#This Row],[NetAmount]]-Table__192.168.3.138AgingReportBEWLGS[[#This Row],[Paid]]</f>
        <v>60192</v>
      </c>
    </row>
    <row r="1098" spans="1:35">
      <c r="A1098" t="s">
        <v>8456</v>
      </c>
      <c r="B1098" s="1">
        <v>41283</v>
      </c>
      <c r="C1098" s="1">
        <v>41328</v>
      </c>
      <c r="D1098" t="s">
        <v>8457</v>
      </c>
      <c r="E1098">
        <v>250000</v>
      </c>
      <c r="F1098">
        <v>0</v>
      </c>
      <c r="G1098">
        <v>0</v>
      </c>
      <c r="H1098">
        <v>200000</v>
      </c>
      <c r="I1098">
        <v>19</v>
      </c>
      <c r="J1098">
        <v>250000</v>
      </c>
      <c r="K1098" t="s">
        <v>8458</v>
      </c>
      <c r="L1098" s="1">
        <v>41249</v>
      </c>
      <c r="N1098" t="s">
        <v>5127</v>
      </c>
      <c r="O1098" t="s">
        <v>2458</v>
      </c>
      <c r="P1098" t="s">
        <v>8459</v>
      </c>
      <c r="Q1098" t="s">
        <v>5285</v>
      </c>
      <c r="R1098" t="s">
        <v>5286</v>
      </c>
      <c r="S1098">
        <v>0</v>
      </c>
      <c r="T1098" t="s">
        <v>8460</v>
      </c>
      <c r="U1098" t="s">
        <v>5550</v>
      </c>
      <c r="V1098" t="s">
        <v>1797</v>
      </c>
      <c r="X1098" t="s">
        <v>74</v>
      </c>
      <c r="Y1098" t="b">
        <v>0</v>
      </c>
      <c r="Z1098" t="b">
        <v>0</v>
      </c>
      <c r="AC1098" s="1"/>
      <c r="AF1098">
        <v>0</v>
      </c>
      <c r="AG1098">
        <v>45</v>
      </c>
      <c r="AH1098">
        <v>64</v>
      </c>
      <c r="AI1098" s="2">
        <f>Table__192.168.3.138AgingReportBEWLGS[[#This Row],[NetAmount]]-Table__192.168.3.138AgingReportBEWLGS[[#This Row],[Paid]]</f>
        <v>250000</v>
      </c>
    </row>
    <row r="1099" spans="1:35">
      <c r="A1099" t="s">
        <v>8461</v>
      </c>
      <c r="B1099" s="1">
        <v>41303</v>
      </c>
      <c r="C1099" s="1">
        <v>41348</v>
      </c>
      <c r="D1099" t="s">
        <v>7722</v>
      </c>
      <c r="E1099">
        <v>31820</v>
      </c>
      <c r="F1099">
        <v>5091</v>
      </c>
      <c r="G1099">
        <v>0</v>
      </c>
      <c r="H1099">
        <v>0</v>
      </c>
      <c r="I1099">
        <v>-34</v>
      </c>
      <c r="J1099">
        <v>36911</v>
      </c>
      <c r="K1099" t="s">
        <v>8462</v>
      </c>
      <c r="L1099" s="1">
        <v>41302</v>
      </c>
      <c r="N1099" t="s">
        <v>5127</v>
      </c>
      <c r="O1099" t="s">
        <v>2458</v>
      </c>
      <c r="P1099" t="s">
        <v>7724</v>
      </c>
      <c r="Q1099" t="s">
        <v>5285</v>
      </c>
      <c r="R1099" t="s">
        <v>5286</v>
      </c>
      <c r="S1099">
        <v>0</v>
      </c>
      <c r="U1099" t="s">
        <v>5550</v>
      </c>
      <c r="V1099" t="s">
        <v>1797</v>
      </c>
      <c r="X1099" t="s">
        <v>74</v>
      </c>
      <c r="Y1099" t="b">
        <v>0</v>
      </c>
      <c r="Z1099" t="b">
        <v>0</v>
      </c>
      <c r="AC1099" s="1"/>
      <c r="AF1099">
        <v>0</v>
      </c>
      <c r="AG1099">
        <v>45</v>
      </c>
      <c r="AH1099">
        <v>11</v>
      </c>
      <c r="AI1099" s="2">
        <f>Table__192.168.3.138AgingReportBEWLGS[[#This Row],[NetAmount]]-Table__192.168.3.138AgingReportBEWLGS[[#This Row],[Paid]]</f>
        <v>36911</v>
      </c>
    </row>
    <row r="1100" spans="1:35">
      <c r="A1100" t="s">
        <v>8463</v>
      </c>
      <c r="B1100" s="1">
        <v>41304</v>
      </c>
      <c r="C1100" s="1">
        <v>41349</v>
      </c>
      <c r="D1100" t="s">
        <v>8464</v>
      </c>
      <c r="E1100">
        <v>7800</v>
      </c>
      <c r="F1100">
        <v>0</v>
      </c>
      <c r="G1100">
        <v>0</v>
      </c>
      <c r="H1100">
        <v>0</v>
      </c>
      <c r="I1100">
        <v>-36</v>
      </c>
      <c r="J1100">
        <v>7800</v>
      </c>
      <c r="K1100" t="s">
        <v>8465</v>
      </c>
      <c r="L1100" s="1">
        <v>41304</v>
      </c>
      <c r="N1100" t="s">
        <v>5127</v>
      </c>
      <c r="O1100" t="s">
        <v>2458</v>
      </c>
      <c r="P1100" t="s">
        <v>8466</v>
      </c>
      <c r="Q1100" t="s">
        <v>5285</v>
      </c>
      <c r="R1100" t="s">
        <v>5286</v>
      </c>
      <c r="S1100">
        <v>0</v>
      </c>
      <c r="U1100" t="s">
        <v>5550</v>
      </c>
      <c r="V1100" t="s">
        <v>1797</v>
      </c>
      <c r="X1100" t="s">
        <v>74</v>
      </c>
      <c r="Y1100" t="b">
        <v>0</v>
      </c>
      <c r="Z1100" t="b">
        <v>0</v>
      </c>
      <c r="AC1100" s="1"/>
      <c r="AF1100">
        <v>0</v>
      </c>
      <c r="AG1100">
        <v>45</v>
      </c>
      <c r="AH1100">
        <v>9</v>
      </c>
      <c r="AI1100" s="2">
        <f>Table__192.168.3.138AgingReportBEWLGS[[#This Row],[NetAmount]]-Table__192.168.3.138AgingReportBEWLGS[[#This Row],[Paid]]</f>
        <v>7800</v>
      </c>
    </row>
    <row r="1101" spans="1:35">
      <c r="A1101" t="s">
        <v>8467</v>
      </c>
      <c r="B1101" s="1">
        <v>41305</v>
      </c>
      <c r="C1101" s="1">
        <v>41350</v>
      </c>
      <c r="D1101" t="s">
        <v>7074</v>
      </c>
      <c r="E1101">
        <v>20500</v>
      </c>
      <c r="F1101">
        <v>0</v>
      </c>
      <c r="G1101">
        <v>0</v>
      </c>
      <c r="H1101">
        <v>0</v>
      </c>
      <c r="I1101">
        <v>-37</v>
      </c>
      <c r="J1101">
        <v>20500</v>
      </c>
      <c r="K1101" t="s">
        <v>8468</v>
      </c>
      <c r="L1101" s="1">
        <v>41305</v>
      </c>
      <c r="N1101" t="s">
        <v>5127</v>
      </c>
      <c r="O1101" t="s">
        <v>2458</v>
      </c>
      <c r="P1101" t="s">
        <v>7076</v>
      </c>
      <c r="Q1101" t="s">
        <v>5285</v>
      </c>
      <c r="R1101" t="s">
        <v>5286</v>
      </c>
      <c r="S1101">
        <v>0</v>
      </c>
      <c r="U1101" t="s">
        <v>5550</v>
      </c>
      <c r="V1101" t="s">
        <v>1797</v>
      </c>
      <c r="X1101" t="s">
        <v>74</v>
      </c>
      <c r="Y1101" t="b">
        <v>0</v>
      </c>
      <c r="Z1101" t="b">
        <v>0</v>
      </c>
      <c r="AC1101" s="1"/>
      <c r="AF1101">
        <v>0</v>
      </c>
      <c r="AG1101">
        <v>45</v>
      </c>
      <c r="AH1101">
        <v>8</v>
      </c>
      <c r="AI1101" s="2">
        <f>Table__192.168.3.138AgingReportBEWLGS[[#This Row],[NetAmount]]-Table__192.168.3.138AgingReportBEWLGS[[#This Row],[Paid]]</f>
        <v>20500</v>
      </c>
    </row>
    <row r="1102" spans="1:35">
      <c r="A1102" t="s">
        <v>8469</v>
      </c>
      <c r="B1102" s="1">
        <v>41258</v>
      </c>
      <c r="C1102" s="1">
        <v>41303</v>
      </c>
      <c r="D1102" t="s">
        <v>8470</v>
      </c>
      <c r="E1102">
        <v>110000</v>
      </c>
      <c r="F1102">
        <v>0</v>
      </c>
      <c r="G1102">
        <v>0</v>
      </c>
      <c r="H1102">
        <v>0</v>
      </c>
      <c r="I1102">
        <v>22</v>
      </c>
      <c r="J1102">
        <v>110000</v>
      </c>
      <c r="K1102" t="s">
        <v>8471</v>
      </c>
      <c r="L1102" s="1">
        <v>41246</v>
      </c>
      <c r="M1102" t="s">
        <v>8472</v>
      </c>
      <c r="N1102" t="s">
        <v>2976</v>
      </c>
      <c r="O1102" t="s">
        <v>36</v>
      </c>
      <c r="P1102" t="s">
        <v>8473</v>
      </c>
      <c r="Q1102" t="s">
        <v>39</v>
      </c>
      <c r="R1102" t="s">
        <v>40</v>
      </c>
      <c r="S1102">
        <v>0</v>
      </c>
      <c r="U1102" t="s">
        <v>5550</v>
      </c>
      <c r="V1102" t="s">
        <v>1797</v>
      </c>
      <c r="W1102" t="s">
        <v>8474</v>
      </c>
      <c r="X1102" t="s">
        <v>74</v>
      </c>
      <c r="Y1102" t="b">
        <v>0</v>
      </c>
      <c r="Z1102" t="b">
        <v>0</v>
      </c>
      <c r="AA1102" t="b">
        <v>0</v>
      </c>
      <c r="AC1102" s="1"/>
      <c r="AF1102">
        <v>0</v>
      </c>
      <c r="AG1102">
        <v>45</v>
      </c>
      <c r="AH1102">
        <v>67</v>
      </c>
      <c r="AI1102" s="2">
        <f>Table__192.168.3.138AgingReportBEWLGS[[#This Row],[NetAmount]]-Table__192.168.3.138AgingReportBEWLGS[[#This Row],[Paid]]</f>
        <v>110000</v>
      </c>
    </row>
    <row r="1103" spans="1:35">
      <c r="A1103" t="s">
        <v>8475</v>
      </c>
      <c r="B1103" s="1">
        <v>41267</v>
      </c>
      <c r="C1103" s="1">
        <v>41312</v>
      </c>
      <c r="D1103" t="s">
        <v>6939</v>
      </c>
      <c r="E1103">
        <v>175</v>
      </c>
      <c r="F1103">
        <v>0</v>
      </c>
      <c r="G1103">
        <v>0</v>
      </c>
      <c r="H1103">
        <v>0</v>
      </c>
      <c r="I1103">
        <v>1</v>
      </c>
      <c r="J1103">
        <v>175</v>
      </c>
      <c r="K1103" t="s">
        <v>6940</v>
      </c>
      <c r="L1103" s="1">
        <v>41267</v>
      </c>
      <c r="M1103" t="s">
        <v>8476</v>
      </c>
      <c r="N1103" t="s">
        <v>2976</v>
      </c>
      <c r="O1103" t="s">
        <v>36</v>
      </c>
      <c r="P1103" t="s">
        <v>6942</v>
      </c>
      <c r="Q1103" t="s">
        <v>39</v>
      </c>
      <c r="R1103" t="s">
        <v>40</v>
      </c>
      <c r="S1103">
        <v>0</v>
      </c>
      <c r="U1103" t="s">
        <v>5550</v>
      </c>
      <c r="V1103" t="s">
        <v>6047</v>
      </c>
      <c r="W1103" t="s">
        <v>6943</v>
      </c>
      <c r="X1103" t="s">
        <v>74</v>
      </c>
      <c r="Y1103" t="b">
        <v>0</v>
      </c>
      <c r="Z1103" t="b">
        <v>0</v>
      </c>
      <c r="AA1103" t="b">
        <v>0</v>
      </c>
      <c r="AC1103" s="1"/>
      <c r="AF1103">
        <v>0</v>
      </c>
      <c r="AG1103">
        <v>45</v>
      </c>
      <c r="AH1103">
        <v>46</v>
      </c>
      <c r="AI1103" s="2">
        <f>Table__192.168.3.138AgingReportBEWLGS[[#This Row],[NetAmount]]-Table__192.168.3.138AgingReportBEWLGS[[#This Row],[Paid]]</f>
        <v>175</v>
      </c>
    </row>
    <row r="1104" spans="1:35">
      <c r="A1104" t="s">
        <v>8477</v>
      </c>
      <c r="B1104" s="1">
        <v>41267</v>
      </c>
      <c r="C1104" s="1">
        <v>41312</v>
      </c>
      <c r="D1104" t="s">
        <v>6939</v>
      </c>
      <c r="E1104">
        <v>1400</v>
      </c>
      <c r="F1104">
        <v>0</v>
      </c>
      <c r="G1104">
        <v>0</v>
      </c>
      <c r="H1104">
        <v>0</v>
      </c>
      <c r="I1104">
        <v>1</v>
      </c>
      <c r="J1104">
        <v>1400</v>
      </c>
      <c r="K1104" t="s">
        <v>6940</v>
      </c>
      <c r="L1104" s="1">
        <v>41267</v>
      </c>
      <c r="M1104" t="s">
        <v>8478</v>
      </c>
      <c r="N1104" t="s">
        <v>6266</v>
      </c>
      <c r="O1104" t="s">
        <v>36</v>
      </c>
      <c r="P1104" t="s">
        <v>6942</v>
      </c>
      <c r="Q1104" t="s">
        <v>39</v>
      </c>
      <c r="R1104" t="s">
        <v>40</v>
      </c>
      <c r="S1104">
        <v>0</v>
      </c>
      <c r="U1104" t="s">
        <v>5550</v>
      </c>
      <c r="V1104" t="s">
        <v>6047</v>
      </c>
      <c r="W1104" t="s">
        <v>6943</v>
      </c>
      <c r="X1104" t="s">
        <v>74</v>
      </c>
      <c r="Y1104" t="b">
        <v>0</v>
      </c>
      <c r="Z1104" t="b">
        <v>0</v>
      </c>
      <c r="AA1104" t="b">
        <v>0</v>
      </c>
      <c r="AC1104" s="1"/>
      <c r="AF1104">
        <v>0</v>
      </c>
      <c r="AG1104">
        <v>45</v>
      </c>
      <c r="AH1104">
        <v>46</v>
      </c>
      <c r="AI1104" s="2">
        <f>Table__192.168.3.138AgingReportBEWLGS[[#This Row],[NetAmount]]-Table__192.168.3.138AgingReportBEWLGS[[#This Row],[Paid]]</f>
        <v>1400</v>
      </c>
    </row>
    <row r="1105" spans="1:35">
      <c r="A1105" t="s">
        <v>8479</v>
      </c>
      <c r="B1105" s="1">
        <v>41304</v>
      </c>
      <c r="C1105" s="1">
        <v>41349</v>
      </c>
      <c r="D1105" t="s">
        <v>6183</v>
      </c>
      <c r="E1105">
        <v>252043</v>
      </c>
      <c r="F1105">
        <v>0</v>
      </c>
      <c r="G1105">
        <v>0</v>
      </c>
      <c r="H1105">
        <v>0</v>
      </c>
      <c r="I1105">
        <v>-37</v>
      </c>
      <c r="J1105">
        <v>252043</v>
      </c>
      <c r="K1105" t="s">
        <v>7018</v>
      </c>
      <c r="L1105" s="1">
        <v>41305</v>
      </c>
      <c r="M1105" t="s">
        <v>8480</v>
      </c>
      <c r="N1105" t="s">
        <v>6266</v>
      </c>
      <c r="O1105" t="s">
        <v>946</v>
      </c>
      <c r="P1105" t="s">
        <v>6185</v>
      </c>
      <c r="Q1105" t="s">
        <v>39</v>
      </c>
      <c r="R1105" t="s">
        <v>40</v>
      </c>
      <c r="S1105">
        <v>0</v>
      </c>
      <c r="U1105" t="s">
        <v>5550</v>
      </c>
      <c r="V1105" t="s">
        <v>1797</v>
      </c>
      <c r="W1105" t="s">
        <v>6186</v>
      </c>
      <c r="X1105" t="s">
        <v>74</v>
      </c>
      <c r="Y1105" t="b">
        <v>0</v>
      </c>
      <c r="Z1105" t="b">
        <v>0</v>
      </c>
      <c r="AA1105" t="b">
        <v>0</v>
      </c>
      <c r="AC1105" s="1"/>
      <c r="AF1105">
        <v>0</v>
      </c>
      <c r="AG1105">
        <v>45</v>
      </c>
      <c r="AH1105">
        <v>8</v>
      </c>
      <c r="AI1105" s="2">
        <f>Table__192.168.3.138AgingReportBEWLGS[[#This Row],[NetAmount]]-Table__192.168.3.138AgingReportBEWLGS[[#This Row],[Paid]]</f>
        <v>252043</v>
      </c>
    </row>
    <row r="1106" spans="1:35">
      <c r="A1106" t="s">
        <v>8481</v>
      </c>
      <c r="B1106" s="1">
        <v>41300</v>
      </c>
      <c r="C1106" s="1">
        <v>41300</v>
      </c>
      <c r="D1106" t="s">
        <v>8431</v>
      </c>
      <c r="E1106">
        <v>55899</v>
      </c>
      <c r="F1106">
        <v>0</v>
      </c>
      <c r="G1106">
        <v>0</v>
      </c>
      <c r="H1106">
        <v>20000</v>
      </c>
      <c r="I1106">
        <v>0</v>
      </c>
      <c r="J1106">
        <v>55899</v>
      </c>
      <c r="K1106" t="s">
        <v>8295</v>
      </c>
      <c r="L1106" s="1">
        <v>41300</v>
      </c>
      <c r="N1106" t="s">
        <v>6266</v>
      </c>
      <c r="O1106" t="s">
        <v>946</v>
      </c>
      <c r="P1106" t="s">
        <v>8432</v>
      </c>
      <c r="Q1106" t="s">
        <v>5285</v>
      </c>
      <c r="R1106" t="s">
        <v>5286</v>
      </c>
      <c r="S1106">
        <v>0</v>
      </c>
      <c r="T1106" t="s">
        <v>8482</v>
      </c>
      <c r="U1106" t="s">
        <v>5550</v>
      </c>
      <c r="V1106" t="s">
        <v>1797</v>
      </c>
      <c r="X1106" t="s">
        <v>74</v>
      </c>
      <c r="Y1106" t="b">
        <v>0</v>
      </c>
      <c r="Z1106" t="b">
        <v>0</v>
      </c>
      <c r="AC1106" s="1"/>
      <c r="AF1106">
        <v>0</v>
      </c>
      <c r="AH1106">
        <v>13</v>
      </c>
      <c r="AI1106" s="2">
        <f>Table__192.168.3.138AgingReportBEWLGS[[#This Row],[NetAmount]]-Table__192.168.3.138AgingReportBEWLGS[[#This Row],[Paid]]</f>
        <v>55899</v>
      </c>
    </row>
    <row r="1107" spans="1:35">
      <c r="A1107" t="s">
        <v>8483</v>
      </c>
      <c r="B1107" s="1">
        <v>41258</v>
      </c>
      <c r="C1107" s="1">
        <v>41303</v>
      </c>
      <c r="D1107" t="s">
        <v>8470</v>
      </c>
      <c r="E1107">
        <v>99300</v>
      </c>
      <c r="F1107">
        <v>0</v>
      </c>
      <c r="G1107">
        <v>0</v>
      </c>
      <c r="H1107">
        <v>0</v>
      </c>
      <c r="I1107">
        <v>22</v>
      </c>
      <c r="J1107">
        <v>99300</v>
      </c>
      <c r="K1107" t="s">
        <v>8484</v>
      </c>
      <c r="L1107" s="1">
        <v>41246</v>
      </c>
      <c r="M1107" t="s">
        <v>8485</v>
      </c>
      <c r="N1107" t="s">
        <v>6694</v>
      </c>
      <c r="O1107" t="s">
        <v>36</v>
      </c>
      <c r="P1107" t="s">
        <v>8473</v>
      </c>
      <c r="Q1107" t="s">
        <v>39</v>
      </c>
      <c r="R1107" t="s">
        <v>40</v>
      </c>
      <c r="S1107">
        <v>0</v>
      </c>
      <c r="U1107" t="s">
        <v>5550</v>
      </c>
      <c r="V1107" t="s">
        <v>1797</v>
      </c>
      <c r="W1107" t="s">
        <v>8474</v>
      </c>
      <c r="X1107" t="s">
        <v>74</v>
      </c>
      <c r="Y1107" t="b">
        <v>0</v>
      </c>
      <c r="Z1107" t="b">
        <v>0</v>
      </c>
      <c r="AA1107" t="b">
        <v>0</v>
      </c>
      <c r="AC1107" s="1"/>
      <c r="AF1107">
        <v>0</v>
      </c>
      <c r="AG1107">
        <v>45</v>
      </c>
      <c r="AH1107">
        <v>67</v>
      </c>
      <c r="AI1107" s="2">
        <f>Table__192.168.3.138AgingReportBEWLGS[[#This Row],[NetAmount]]-Table__192.168.3.138AgingReportBEWLGS[[#This Row],[Paid]]</f>
        <v>99300</v>
      </c>
    </row>
    <row r="1108" spans="1:35">
      <c r="A1108" t="s">
        <v>8486</v>
      </c>
      <c r="B1108" s="1">
        <v>41298</v>
      </c>
      <c r="C1108" s="1">
        <v>41343</v>
      </c>
      <c r="D1108" t="s">
        <v>6866</v>
      </c>
      <c r="E1108">
        <v>10000</v>
      </c>
      <c r="F1108">
        <v>0</v>
      </c>
      <c r="G1108">
        <v>0</v>
      </c>
      <c r="H1108">
        <v>0</v>
      </c>
      <c r="I1108">
        <v>-18</v>
      </c>
      <c r="J1108">
        <v>10000</v>
      </c>
      <c r="K1108" t="s">
        <v>8487</v>
      </c>
      <c r="L1108" s="1">
        <v>41286</v>
      </c>
      <c r="N1108" t="s">
        <v>6694</v>
      </c>
      <c r="O1108" t="s">
        <v>36</v>
      </c>
      <c r="P1108" t="s">
        <v>6868</v>
      </c>
      <c r="Q1108" t="s">
        <v>39</v>
      </c>
      <c r="R1108" t="s">
        <v>40</v>
      </c>
      <c r="S1108">
        <v>0</v>
      </c>
      <c r="U1108" t="s">
        <v>5550</v>
      </c>
      <c r="V1108" t="s">
        <v>1797</v>
      </c>
      <c r="X1108" t="s">
        <v>74</v>
      </c>
      <c r="Y1108" t="b">
        <v>0</v>
      </c>
      <c r="Z1108" t="b">
        <v>0</v>
      </c>
      <c r="AC1108" s="1"/>
      <c r="AF1108">
        <v>0</v>
      </c>
      <c r="AG1108">
        <v>45</v>
      </c>
      <c r="AH1108">
        <v>27</v>
      </c>
      <c r="AI1108" s="2">
        <f>Table__192.168.3.138AgingReportBEWLGS[[#This Row],[NetAmount]]-Table__192.168.3.138AgingReportBEWLGS[[#This Row],[Paid]]</f>
        <v>10000</v>
      </c>
    </row>
    <row r="1109" spans="1:35">
      <c r="A1109" t="s">
        <v>8488</v>
      </c>
      <c r="B1109" s="1">
        <v>41106</v>
      </c>
      <c r="C1109" s="1">
        <v>41151</v>
      </c>
      <c r="D1109" t="s">
        <v>7253</v>
      </c>
      <c r="E1109">
        <v>1075</v>
      </c>
      <c r="F1109">
        <v>0</v>
      </c>
      <c r="G1109">
        <v>0</v>
      </c>
      <c r="H1109">
        <v>0</v>
      </c>
      <c r="I1109">
        <v>159</v>
      </c>
      <c r="J1109">
        <v>1075</v>
      </c>
      <c r="K1109" t="s">
        <v>8489</v>
      </c>
      <c r="L1109" s="1">
        <v>41109</v>
      </c>
      <c r="N1109" t="s">
        <v>6694</v>
      </c>
      <c r="O1109" t="s">
        <v>3507</v>
      </c>
      <c r="P1109" t="s">
        <v>7254</v>
      </c>
      <c r="Q1109" t="s">
        <v>39</v>
      </c>
      <c r="R1109" t="s">
        <v>40</v>
      </c>
      <c r="S1109">
        <v>0</v>
      </c>
      <c r="U1109" t="s">
        <v>5550</v>
      </c>
      <c r="V1109" t="s">
        <v>1797</v>
      </c>
      <c r="X1109" t="s">
        <v>74</v>
      </c>
      <c r="Y1109" t="b">
        <v>0</v>
      </c>
      <c r="Z1109" t="b">
        <v>0</v>
      </c>
      <c r="AC1109" s="1"/>
      <c r="AF1109">
        <v>0</v>
      </c>
      <c r="AG1109">
        <v>45</v>
      </c>
      <c r="AH1109">
        <v>204</v>
      </c>
      <c r="AI1109" s="2">
        <f>Table__192.168.3.138AgingReportBEWLGS[[#This Row],[NetAmount]]-Table__192.168.3.138AgingReportBEWLGS[[#This Row],[Paid]]</f>
        <v>1075</v>
      </c>
    </row>
    <row r="1110" spans="1:35">
      <c r="A1110" t="s">
        <v>8490</v>
      </c>
      <c r="B1110" s="1">
        <v>41116</v>
      </c>
      <c r="C1110" s="1">
        <v>41161</v>
      </c>
      <c r="D1110" t="s">
        <v>7250</v>
      </c>
      <c r="E1110">
        <v>3500</v>
      </c>
      <c r="F1110">
        <v>560</v>
      </c>
      <c r="G1110">
        <v>0</v>
      </c>
      <c r="H1110">
        <v>0</v>
      </c>
      <c r="I1110">
        <v>151</v>
      </c>
      <c r="J1110">
        <v>4060</v>
      </c>
      <c r="K1110" t="s">
        <v>8491</v>
      </c>
      <c r="L1110" s="1">
        <v>41117</v>
      </c>
      <c r="N1110" t="s">
        <v>6694</v>
      </c>
      <c r="O1110" t="s">
        <v>3507</v>
      </c>
      <c r="P1110" t="s">
        <v>5526</v>
      </c>
      <c r="Q1110" t="s">
        <v>39</v>
      </c>
      <c r="R1110" t="s">
        <v>40</v>
      </c>
      <c r="S1110">
        <v>0</v>
      </c>
      <c r="U1110" t="s">
        <v>5550</v>
      </c>
      <c r="V1110" t="s">
        <v>1797</v>
      </c>
      <c r="X1110" t="s">
        <v>74</v>
      </c>
      <c r="Y1110" t="b">
        <v>0</v>
      </c>
      <c r="Z1110" t="b">
        <v>0</v>
      </c>
      <c r="AC1110" s="1"/>
      <c r="AF1110">
        <v>0</v>
      </c>
      <c r="AG1110">
        <v>45</v>
      </c>
      <c r="AH1110">
        <v>196</v>
      </c>
      <c r="AI1110" s="2">
        <f>Table__192.168.3.138AgingReportBEWLGS[[#This Row],[NetAmount]]-Table__192.168.3.138AgingReportBEWLGS[[#This Row],[Paid]]</f>
        <v>4060</v>
      </c>
    </row>
    <row r="1111" spans="1:35">
      <c r="A1111" t="s">
        <v>8492</v>
      </c>
      <c r="B1111" s="1">
        <v>41121</v>
      </c>
      <c r="C1111" s="1">
        <v>41166</v>
      </c>
      <c r="D1111" t="s">
        <v>6486</v>
      </c>
      <c r="E1111">
        <v>960</v>
      </c>
      <c r="F1111">
        <v>154</v>
      </c>
      <c r="G1111">
        <v>0</v>
      </c>
      <c r="H1111">
        <v>0</v>
      </c>
      <c r="I1111">
        <v>150</v>
      </c>
      <c r="J1111">
        <v>1114</v>
      </c>
      <c r="K1111" t="s">
        <v>8493</v>
      </c>
      <c r="L1111" s="1">
        <v>41118</v>
      </c>
      <c r="N1111" t="s">
        <v>6694</v>
      </c>
      <c r="O1111" t="s">
        <v>3507</v>
      </c>
      <c r="P1111" t="s">
        <v>5464</v>
      </c>
      <c r="Q1111" t="s">
        <v>39</v>
      </c>
      <c r="R1111" t="s">
        <v>40</v>
      </c>
      <c r="S1111">
        <v>0</v>
      </c>
      <c r="U1111" t="s">
        <v>5550</v>
      </c>
      <c r="V1111" t="s">
        <v>1797</v>
      </c>
      <c r="X1111" t="s">
        <v>74</v>
      </c>
      <c r="Y1111" t="b">
        <v>0</v>
      </c>
      <c r="Z1111" t="b">
        <v>0</v>
      </c>
      <c r="AC1111" s="1"/>
      <c r="AF1111">
        <v>0</v>
      </c>
      <c r="AG1111">
        <v>45</v>
      </c>
      <c r="AH1111">
        <v>195</v>
      </c>
      <c r="AI1111" s="2">
        <f>Table__192.168.3.138AgingReportBEWLGS[[#This Row],[NetAmount]]-Table__192.168.3.138AgingReportBEWLGS[[#This Row],[Paid]]</f>
        <v>1114</v>
      </c>
    </row>
    <row r="1112" spans="1:35">
      <c r="A1112" t="s">
        <v>8494</v>
      </c>
      <c r="B1112" s="1">
        <v>41148</v>
      </c>
      <c r="C1112" s="1">
        <v>41193</v>
      </c>
      <c r="D1112" t="s">
        <v>6486</v>
      </c>
      <c r="E1112">
        <v>8760</v>
      </c>
      <c r="F1112">
        <v>1402</v>
      </c>
      <c r="G1112">
        <v>0</v>
      </c>
      <c r="H1112">
        <v>0</v>
      </c>
      <c r="I1112">
        <v>116</v>
      </c>
      <c r="J1112">
        <v>10162</v>
      </c>
      <c r="K1112" t="s">
        <v>8495</v>
      </c>
      <c r="L1112" s="1">
        <v>41152</v>
      </c>
      <c r="N1112" t="s">
        <v>6694</v>
      </c>
      <c r="O1112" t="s">
        <v>3507</v>
      </c>
      <c r="P1112" t="s">
        <v>5464</v>
      </c>
      <c r="Q1112" t="s">
        <v>39</v>
      </c>
      <c r="R1112" t="s">
        <v>40</v>
      </c>
      <c r="S1112">
        <v>0</v>
      </c>
      <c r="U1112" t="s">
        <v>5550</v>
      </c>
      <c r="V1112" t="s">
        <v>1797</v>
      </c>
      <c r="X1112" t="s">
        <v>74</v>
      </c>
      <c r="Y1112" t="b">
        <v>0</v>
      </c>
      <c r="Z1112" t="b">
        <v>0</v>
      </c>
      <c r="AC1112" s="1"/>
      <c r="AF1112">
        <v>0</v>
      </c>
      <c r="AG1112">
        <v>45</v>
      </c>
      <c r="AH1112">
        <v>161</v>
      </c>
      <c r="AI1112" s="2">
        <f>Table__192.168.3.138AgingReportBEWLGS[[#This Row],[NetAmount]]-Table__192.168.3.138AgingReportBEWLGS[[#This Row],[Paid]]</f>
        <v>10162</v>
      </c>
    </row>
    <row r="1113" spans="1:35">
      <c r="A1113" t="s">
        <v>8496</v>
      </c>
      <c r="B1113" s="1">
        <v>41192</v>
      </c>
      <c r="C1113" s="1">
        <v>41237</v>
      </c>
      <c r="D1113" t="s">
        <v>6335</v>
      </c>
      <c r="E1113">
        <v>260905</v>
      </c>
      <c r="F1113">
        <v>41745</v>
      </c>
      <c r="G1113">
        <v>0</v>
      </c>
      <c r="H1113">
        <v>292201</v>
      </c>
      <c r="I1113">
        <v>76</v>
      </c>
      <c r="J1113">
        <v>302650</v>
      </c>
      <c r="K1113" t="s">
        <v>8497</v>
      </c>
      <c r="L1113" s="1">
        <v>41192</v>
      </c>
      <c r="N1113" t="s">
        <v>6694</v>
      </c>
      <c r="O1113" t="s">
        <v>3507</v>
      </c>
      <c r="P1113" t="s">
        <v>6337</v>
      </c>
      <c r="Q1113" t="s">
        <v>39</v>
      </c>
      <c r="R1113" t="s">
        <v>40</v>
      </c>
      <c r="S1113">
        <v>0</v>
      </c>
      <c r="T1113" t="s">
        <v>8498</v>
      </c>
      <c r="U1113" t="s">
        <v>5550</v>
      </c>
      <c r="V1113" t="s">
        <v>1797</v>
      </c>
      <c r="X1113" t="s">
        <v>74</v>
      </c>
      <c r="Y1113" t="b">
        <v>0</v>
      </c>
      <c r="Z1113" t="b">
        <v>0</v>
      </c>
      <c r="AC1113" s="1"/>
      <c r="AF1113">
        <v>0</v>
      </c>
      <c r="AG1113">
        <v>45</v>
      </c>
      <c r="AH1113">
        <v>121</v>
      </c>
      <c r="AI1113" s="2">
        <f>Table__192.168.3.138AgingReportBEWLGS[[#This Row],[NetAmount]]-Table__192.168.3.138AgingReportBEWLGS[[#This Row],[Paid]]</f>
        <v>302650</v>
      </c>
    </row>
    <row r="1114" spans="1:35">
      <c r="A1114" t="s">
        <v>8499</v>
      </c>
      <c r="B1114" s="1">
        <v>41193</v>
      </c>
      <c r="C1114" s="1">
        <v>41238</v>
      </c>
      <c r="D1114" t="s">
        <v>7401</v>
      </c>
      <c r="E1114">
        <v>63550</v>
      </c>
      <c r="F1114">
        <v>10168</v>
      </c>
      <c r="G1114">
        <v>0</v>
      </c>
      <c r="H1114">
        <v>0</v>
      </c>
      <c r="I1114">
        <v>75</v>
      </c>
      <c r="J1114">
        <v>73718</v>
      </c>
      <c r="K1114" t="s">
        <v>3246</v>
      </c>
      <c r="L1114" s="1">
        <v>41193</v>
      </c>
      <c r="N1114" t="s">
        <v>6694</v>
      </c>
      <c r="O1114" t="s">
        <v>3507</v>
      </c>
      <c r="P1114" t="s">
        <v>5538</v>
      </c>
      <c r="Q1114" t="s">
        <v>39</v>
      </c>
      <c r="R1114" t="s">
        <v>40</v>
      </c>
      <c r="S1114">
        <v>0</v>
      </c>
      <c r="U1114" t="s">
        <v>5550</v>
      </c>
      <c r="V1114" t="s">
        <v>1797</v>
      </c>
      <c r="X1114" t="s">
        <v>74</v>
      </c>
      <c r="Y1114" t="b">
        <v>0</v>
      </c>
      <c r="Z1114" t="b">
        <v>0</v>
      </c>
      <c r="AC1114" s="1"/>
      <c r="AF1114">
        <v>0</v>
      </c>
      <c r="AG1114">
        <v>45</v>
      </c>
      <c r="AH1114">
        <v>120</v>
      </c>
      <c r="AI1114" s="2">
        <f>Table__192.168.3.138AgingReportBEWLGS[[#This Row],[NetAmount]]-Table__192.168.3.138AgingReportBEWLGS[[#This Row],[Paid]]</f>
        <v>73718</v>
      </c>
    </row>
    <row r="1115" spans="1:35">
      <c r="A1115" t="s">
        <v>8500</v>
      </c>
      <c r="B1115" s="1">
        <v>41190</v>
      </c>
      <c r="C1115" s="1">
        <v>41235</v>
      </c>
      <c r="D1115" t="s">
        <v>6486</v>
      </c>
      <c r="E1115">
        <v>18950</v>
      </c>
      <c r="F1115">
        <v>3032</v>
      </c>
      <c r="G1115">
        <v>0</v>
      </c>
      <c r="H1115">
        <v>0</v>
      </c>
      <c r="I1115">
        <v>55</v>
      </c>
      <c r="J1115">
        <v>21982</v>
      </c>
      <c r="K1115" t="s">
        <v>8501</v>
      </c>
      <c r="L1115" s="1">
        <v>41213</v>
      </c>
      <c r="N1115" t="s">
        <v>6694</v>
      </c>
      <c r="O1115" t="s">
        <v>3507</v>
      </c>
      <c r="P1115" t="s">
        <v>5464</v>
      </c>
      <c r="Q1115" t="s">
        <v>39</v>
      </c>
      <c r="R1115" t="s">
        <v>40</v>
      </c>
      <c r="S1115">
        <v>0</v>
      </c>
      <c r="U1115" t="s">
        <v>5550</v>
      </c>
      <c r="V1115" t="s">
        <v>1797</v>
      </c>
      <c r="X1115" t="s">
        <v>74</v>
      </c>
      <c r="Y1115" t="b">
        <v>0</v>
      </c>
      <c r="Z1115" t="b">
        <v>0</v>
      </c>
      <c r="AC1115" s="1"/>
      <c r="AF1115">
        <v>0</v>
      </c>
      <c r="AG1115">
        <v>45</v>
      </c>
      <c r="AH1115">
        <v>100</v>
      </c>
      <c r="AI1115" s="2">
        <f>Table__192.168.3.138AgingReportBEWLGS[[#This Row],[NetAmount]]-Table__192.168.3.138AgingReportBEWLGS[[#This Row],[Paid]]</f>
        <v>21982</v>
      </c>
    </row>
    <row r="1116" spans="1:35">
      <c r="A1116" t="s">
        <v>8502</v>
      </c>
      <c r="B1116" s="1">
        <v>41207</v>
      </c>
      <c r="C1116" s="1">
        <v>41252</v>
      </c>
      <c r="D1116" t="s">
        <v>8503</v>
      </c>
      <c r="E1116">
        <v>2000</v>
      </c>
      <c r="F1116">
        <v>320</v>
      </c>
      <c r="G1116">
        <v>0</v>
      </c>
      <c r="H1116">
        <v>0</v>
      </c>
      <c r="I1116">
        <v>63</v>
      </c>
      <c r="J1116">
        <v>2320</v>
      </c>
      <c r="K1116" t="s">
        <v>8504</v>
      </c>
      <c r="L1116" s="1">
        <v>41205</v>
      </c>
      <c r="N1116" t="s">
        <v>6694</v>
      </c>
      <c r="O1116" t="s">
        <v>3507</v>
      </c>
      <c r="P1116" t="s">
        <v>8505</v>
      </c>
      <c r="Q1116" t="s">
        <v>39</v>
      </c>
      <c r="R1116" t="s">
        <v>40</v>
      </c>
      <c r="S1116">
        <v>0</v>
      </c>
      <c r="U1116" t="s">
        <v>5550</v>
      </c>
      <c r="V1116" t="s">
        <v>1797</v>
      </c>
      <c r="X1116" t="s">
        <v>74</v>
      </c>
      <c r="Y1116" t="b">
        <v>0</v>
      </c>
      <c r="Z1116" t="b">
        <v>0</v>
      </c>
      <c r="AC1116" s="1"/>
      <c r="AF1116">
        <v>0</v>
      </c>
      <c r="AG1116">
        <v>45</v>
      </c>
      <c r="AH1116">
        <v>108</v>
      </c>
      <c r="AI1116" s="2">
        <f>Table__192.168.3.138AgingReportBEWLGS[[#This Row],[NetAmount]]-Table__192.168.3.138AgingReportBEWLGS[[#This Row],[Paid]]</f>
        <v>2320</v>
      </c>
    </row>
    <row r="1117" spans="1:35">
      <c r="A1117" t="s">
        <v>8506</v>
      </c>
      <c r="B1117" s="1">
        <v>41228</v>
      </c>
      <c r="C1117" s="1">
        <v>41273</v>
      </c>
      <c r="D1117" t="s">
        <v>7250</v>
      </c>
      <c r="E1117">
        <v>1075</v>
      </c>
      <c r="F1117">
        <v>172</v>
      </c>
      <c r="G1117">
        <v>0</v>
      </c>
      <c r="H1117">
        <v>0</v>
      </c>
      <c r="I1117">
        <v>29</v>
      </c>
      <c r="J1117">
        <v>1247</v>
      </c>
      <c r="K1117" t="s">
        <v>8507</v>
      </c>
      <c r="L1117" s="1">
        <v>41239</v>
      </c>
      <c r="N1117" t="s">
        <v>6694</v>
      </c>
      <c r="O1117" t="s">
        <v>3507</v>
      </c>
      <c r="P1117" t="s">
        <v>5526</v>
      </c>
      <c r="Q1117" t="s">
        <v>39</v>
      </c>
      <c r="R1117" t="s">
        <v>40</v>
      </c>
      <c r="S1117">
        <v>0</v>
      </c>
      <c r="U1117" t="s">
        <v>5550</v>
      </c>
      <c r="V1117" t="s">
        <v>1797</v>
      </c>
      <c r="X1117" t="s">
        <v>74</v>
      </c>
      <c r="Y1117" t="b">
        <v>0</v>
      </c>
      <c r="Z1117" t="b">
        <v>0</v>
      </c>
      <c r="AC1117" s="1"/>
      <c r="AF1117">
        <v>0</v>
      </c>
      <c r="AG1117">
        <v>45</v>
      </c>
      <c r="AH1117">
        <v>74</v>
      </c>
      <c r="AI1117" s="2">
        <f>Table__192.168.3.138AgingReportBEWLGS[[#This Row],[NetAmount]]-Table__192.168.3.138AgingReportBEWLGS[[#This Row],[Paid]]</f>
        <v>1247</v>
      </c>
    </row>
    <row r="1118" spans="1:35">
      <c r="A1118" t="s">
        <v>8508</v>
      </c>
      <c r="B1118" s="1">
        <v>41235</v>
      </c>
      <c r="C1118" s="1">
        <v>41280</v>
      </c>
      <c r="D1118" t="s">
        <v>6335</v>
      </c>
      <c r="E1118">
        <v>260908</v>
      </c>
      <c r="F1118">
        <v>41745</v>
      </c>
      <c r="G1118">
        <v>0</v>
      </c>
      <c r="H1118">
        <v>0</v>
      </c>
      <c r="I1118">
        <v>33</v>
      </c>
      <c r="J1118">
        <v>302653</v>
      </c>
      <c r="K1118" t="s">
        <v>8509</v>
      </c>
      <c r="L1118" s="1">
        <v>41235</v>
      </c>
      <c r="N1118" t="s">
        <v>6694</v>
      </c>
      <c r="O1118" t="s">
        <v>3507</v>
      </c>
      <c r="P1118" t="s">
        <v>6337</v>
      </c>
      <c r="Q1118" t="s">
        <v>39</v>
      </c>
      <c r="R1118" t="s">
        <v>40</v>
      </c>
      <c r="S1118">
        <v>0</v>
      </c>
      <c r="U1118" t="s">
        <v>5550</v>
      </c>
      <c r="V1118" t="s">
        <v>1797</v>
      </c>
      <c r="X1118" t="s">
        <v>74</v>
      </c>
      <c r="Y1118" t="b">
        <v>0</v>
      </c>
      <c r="Z1118" t="b">
        <v>0</v>
      </c>
      <c r="AB1118" t="s">
        <v>8510</v>
      </c>
      <c r="AC1118" s="1"/>
      <c r="AF1118">
        <v>0</v>
      </c>
      <c r="AG1118">
        <v>45</v>
      </c>
      <c r="AH1118">
        <v>78</v>
      </c>
      <c r="AI1118" s="2">
        <f>Table__192.168.3.138AgingReportBEWLGS[[#This Row],[NetAmount]]-Table__192.168.3.138AgingReportBEWLGS[[#This Row],[Paid]]</f>
        <v>302653</v>
      </c>
    </row>
    <row r="1119" spans="1:35">
      <c r="A1119" t="s">
        <v>8511</v>
      </c>
      <c r="B1119" s="1">
        <v>41241</v>
      </c>
      <c r="C1119" s="1">
        <v>41286</v>
      </c>
      <c r="D1119" t="s">
        <v>8512</v>
      </c>
      <c r="E1119">
        <v>148980</v>
      </c>
      <c r="F1119">
        <v>23837</v>
      </c>
      <c r="G1119">
        <v>0</v>
      </c>
      <c r="H1119">
        <v>0</v>
      </c>
      <c r="I1119">
        <v>27</v>
      </c>
      <c r="J1119">
        <v>175217</v>
      </c>
      <c r="K1119" t="s">
        <v>8513</v>
      </c>
      <c r="L1119" s="1">
        <v>41241</v>
      </c>
      <c r="N1119" t="s">
        <v>6694</v>
      </c>
      <c r="O1119" t="s">
        <v>3507</v>
      </c>
      <c r="P1119" t="s">
        <v>8514</v>
      </c>
      <c r="Q1119" t="s">
        <v>39</v>
      </c>
      <c r="R1119" t="s">
        <v>40</v>
      </c>
      <c r="S1119">
        <v>0</v>
      </c>
      <c r="U1119" t="s">
        <v>5550</v>
      </c>
      <c r="V1119" t="s">
        <v>1797</v>
      </c>
      <c r="X1119" t="s">
        <v>74</v>
      </c>
      <c r="Y1119" t="b">
        <v>0</v>
      </c>
      <c r="Z1119" t="b">
        <v>0</v>
      </c>
      <c r="AC1119" s="1"/>
      <c r="AF1119">
        <v>0</v>
      </c>
      <c r="AG1119">
        <v>45</v>
      </c>
      <c r="AH1119">
        <v>72</v>
      </c>
      <c r="AI1119" s="2">
        <f>Table__192.168.3.138AgingReportBEWLGS[[#This Row],[NetAmount]]-Table__192.168.3.138AgingReportBEWLGS[[#This Row],[Paid]]</f>
        <v>175217</v>
      </c>
    </row>
    <row r="1120" spans="1:35">
      <c r="A1120" t="s">
        <v>8515</v>
      </c>
      <c r="B1120" s="1">
        <v>41261</v>
      </c>
      <c r="C1120" s="1">
        <v>41306</v>
      </c>
      <c r="D1120" t="s">
        <v>7250</v>
      </c>
      <c r="E1120">
        <v>7000</v>
      </c>
      <c r="F1120">
        <v>1120</v>
      </c>
      <c r="G1120">
        <v>0</v>
      </c>
      <c r="H1120">
        <v>0</v>
      </c>
      <c r="I1120">
        <v>3</v>
      </c>
      <c r="J1120">
        <v>8120</v>
      </c>
      <c r="K1120" t="s">
        <v>8516</v>
      </c>
      <c r="L1120" s="1">
        <v>41265</v>
      </c>
      <c r="N1120" t="s">
        <v>6694</v>
      </c>
      <c r="O1120" t="s">
        <v>3507</v>
      </c>
      <c r="P1120" t="s">
        <v>5526</v>
      </c>
      <c r="Q1120" t="s">
        <v>39</v>
      </c>
      <c r="R1120" t="s">
        <v>40</v>
      </c>
      <c r="S1120">
        <v>0</v>
      </c>
      <c r="U1120" t="s">
        <v>5550</v>
      </c>
      <c r="V1120" t="s">
        <v>1797</v>
      </c>
      <c r="X1120" t="s">
        <v>74</v>
      </c>
      <c r="Y1120" t="b">
        <v>0</v>
      </c>
      <c r="Z1120" t="b">
        <v>0</v>
      </c>
      <c r="AC1120" s="1"/>
      <c r="AF1120">
        <v>0</v>
      </c>
      <c r="AG1120">
        <v>45</v>
      </c>
      <c r="AH1120">
        <v>48</v>
      </c>
      <c r="AI1120" s="2">
        <f>Table__192.168.3.138AgingReportBEWLGS[[#This Row],[NetAmount]]-Table__192.168.3.138AgingReportBEWLGS[[#This Row],[Paid]]</f>
        <v>8120</v>
      </c>
    </row>
    <row r="1121" spans="1:35">
      <c r="A1121" t="s">
        <v>8517</v>
      </c>
      <c r="B1121" s="1">
        <v>41262</v>
      </c>
      <c r="C1121" s="1">
        <v>41307</v>
      </c>
      <c r="D1121" t="s">
        <v>7401</v>
      </c>
      <c r="E1121">
        <v>63550</v>
      </c>
      <c r="F1121">
        <v>10168</v>
      </c>
      <c r="G1121">
        <v>0</v>
      </c>
      <c r="H1121">
        <v>0</v>
      </c>
      <c r="I1121">
        <v>6</v>
      </c>
      <c r="J1121">
        <v>73718</v>
      </c>
      <c r="K1121" t="s">
        <v>4389</v>
      </c>
      <c r="L1121" s="1">
        <v>41262</v>
      </c>
      <c r="N1121" t="s">
        <v>6694</v>
      </c>
      <c r="O1121" t="s">
        <v>3507</v>
      </c>
      <c r="P1121" t="s">
        <v>5538</v>
      </c>
      <c r="Q1121" t="s">
        <v>39</v>
      </c>
      <c r="R1121" t="s">
        <v>40</v>
      </c>
      <c r="S1121">
        <v>0</v>
      </c>
      <c r="U1121" t="s">
        <v>5550</v>
      </c>
      <c r="V1121" t="s">
        <v>1797</v>
      </c>
      <c r="X1121" t="s">
        <v>74</v>
      </c>
      <c r="Y1121" t="b">
        <v>0</v>
      </c>
      <c r="Z1121" t="b">
        <v>0</v>
      </c>
      <c r="AC1121" s="1"/>
      <c r="AF1121">
        <v>0</v>
      </c>
      <c r="AG1121">
        <v>45</v>
      </c>
      <c r="AH1121">
        <v>51</v>
      </c>
      <c r="AI1121" s="2">
        <f>Table__192.168.3.138AgingReportBEWLGS[[#This Row],[NetAmount]]-Table__192.168.3.138AgingReportBEWLGS[[#This Row],[Paid]]</f>
        <v>73718</v>
      </c>
    </row>
    <row r="1122" spans="1:35">
      <c r="A1122" t="s">
        <v>8518</v>
      </c>
      <c r="B1122" s="1">
        <v>41253</v>
      </c>
      <c r="C1122" s="1">
        <v>41298</v>
      </c>
      <c r="D1122" t="s">
        <v>8013</v>
      </c>
      <c r="E1122">
        <v>2950</v>
      </c>
      <c r="F1122">
        <v>472</v>
      </c>
      <c r="G1122">
        <v>0</v>
      </c>
      <c r="H1122">
        <v>0</v>
      </c>
      <c r="I1122">
        <v>12</v>
      </c>
      <c r="J1122">
        <v>3422</v>
      </c>
      <c r="K1122" t="s">
        <v>8519</v>
      </c>
      <c r="L1122" s="1">
        <v>41256</v>
      </c>
      <c r="N1122" t="s">
        <v>6694</v>
      </c>
      <c r="O1122" t="s">
        <v>3507</v>
      </c>
      <c r="P1122" t="s">
        <v>5500</v>
      </c>
      <c r="Q1122" t="s">
        <v>39</v>
      </c>
      <c r="R1122" t="s">
        <v>40</v>
      </c>
      <c r="S1122">
        <v>0</v>
      </c>
      <c r="U1122" t="s">
        <v>5550</v>
      </c>
      <c r="V1122" t="s">
        <v>1797</v>
      </c>
      <c r="X1122" t="s">
        <v>74</v>
      </c>
      <c r="Y1122" t="b">
        <v>0</v>
      </c>
      <c r="Z1122" t="b">
        <v>0</v>
      </c>
      <c r="AC1122" s="1"/>
      <c r="AF1122">
        <v>0</v>
      </c>
      <c r="AG1122">
        <v>45</v>
      </c>
      <c r="AH1122">
        <v>57</v>
      </c>
      <c r="AI1122" s="2">
        <f>Table__192.168.3.138AgingReportBEWLGS[[#This Row],[NetAmount]]-Table__192.168.3.138AgingReportBEWLGS[[#This Row],[Paid]]</f>
        <v>3422</v>
      </c>
    </row>
  </sheetData>
  <hyperlinks>
    <hyperlink ref="AK1" location="INDEXP" display="Back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1:K160"/>
  <sheetViews>
    <sheetView workbookViewId="0"/>
  </sheetViews>
  <sheetFormatPr defaultRowHeight="12"/>
  <cols>
    <col min="1" max="1" width="12.5703125" style="4" bestFit="1" customWidth="1"/>
    <col min="2" max="2" width="40.140625" style="4" bestFit="1" customWidth="1"/>
    <col min="3" max="3" width="11.85546875" style="4" bestFit="1" customWidth="1"/>
    <col min="4" max="4" width="7.7109375" style="4" customWidth="1"/>
    <col min="5" max="5" width="11.85546875" style="4" bestFit="1" customWidth="1"/>
    <col min="6" max="6" width="12.7109375" style="4" bestFit="1" customWidth="1"/>
    <col min="7" max="9" width="13.5703125" style="4" bestFit="1" customWidth="1"/>
    <col min="10" max="10" width="14.42578125" style="4" bestFit="1" customWidth="1"/>
    <col min="11" max="16384" width="9.140625" style="4"/>
  </cols>
  <sheetData>
    <row r="1" spans="1:11" ht="24" thickBot="1">
      <c r="A1" s="13" t="s">
        <v>10761</v>
      </c>
      <c r="B1" s="18" t="s">
        <v>8520</v>
      </c>
      <c r="C1" s="20"/>
      <c r="D1" s="18"/>
      <c r="E1" s="18"/>
      <c r="F1" s="17" t="s">
        <v>6122</v>
      </c>
      <c r="G1" s="17"/>
      <c r="H1" s="17"/>
      <c r="I1" s="17"/>
      <c r="J1" s="17"/>
      <c r="K1" s="17"/>
    </row>
    <row r="2" spans="1:11" ht="12.75" thickTop="1">
      <c r="A2" s="4" t="s">
        <v>3</v>
      </c>
      <c r="B2" s="4" t="s">
        <v>15</v>
      </c>
      <c r="C2" s="3" t="s">
        <v>163</v>
      </c>
      <c r="D2" s="3" t="s">
        <v>31</v>
      </c>
      <c r="E2" s="3" t="s">
        <v>440</v>
      </c>
      <c r="F2" s="3" t="s">
        <v>5328</v>
      </c>
      <c r="G2" s="3" t="s">
        <v>5327</v>
      </c>
      <c r="H2" s="3" t="s">
        <v>5326</v>
      </c>
      <c r="I2" s="3" t="s">
        <v>5330</v>
      </c>
      <c r="J2" s="3" t="s">
        <v>5329</v>
      </c>
      <c r="K2" s="3" t="s">
        <v>164</v>
      </c>
    </row>
    <row r="3" spans="1:11">
      <c r="A3" s="4" t="s">
        <v>6957</v>
      </c>
      <c r="B3" s="4" t="s">
        <v>6959</v>
      </c>
      <c r="C3" s="6">
        <f>SUMIF(SUPListBEWLGS,Table_ExternalData_1[[#This Row],[SupplierID]],NetAmountBEWLGS)</f>
        <v>145800</v>
      </c>
      <c r="D3" s="6">
        <f>SUMIF(SUPListBEWLGS,Table_ExternalData_1[[#This Row],[SupplierID]],PaidBEWLGS)</f>
        <v>0</v>
      </c>
      <c r="E3" s="6">
        <f>Table_ExternalData_1[[#This Row],[Net Amount]]-Table_ExternalData_1[[#This Row],[Paid]]</f>
        <v>145800</v>
      </c>
      <c r="F3" s="6">
        <f>SUMIFS(NetB3BEWLGS,SUPListBEWLGS,Table_ExternalData_1[[#This Row],[SupplierID]],DLBEWLGS,"&gt;=1",DLBEWLGS,"&lt;=30")</f>
        <v>0</v>
      </c>
      <c r="G3" s="6">
        <f>SUMIFS(NetB3BEWLGS,SUPListBEWLGS,Table_ExternalData_1[[#This Row],[SupplierID]],DLBEWLGS,"&gt;=31",DLBEWLGS,"&lt;=45")</f>
        <v>48400</v>
      </c>
      <c r="H3" s="6">
        <f>SUMIFS(NetB3BEWLGS,SUPListBEWLGS,Table_ExternalData_1[[#This Row],[SupplierID]],DLBEWLGS,"&gt;=46",DLBEWLGS,"&lt;=60")</f>
        <v>0</v>
      </c>
      <c r="I3" s="6">
        <f>SUMIFS(NetB3BEWLGS,SUPListBEWLGS,Table_ExternalData_1[[#This Row],[SupplierID]],DLBEWLGS,"&gt;=61",DLBEWLGS,"&lt;=90")</f>
        <v>0</v>
      </c>
      <c r="J3" s="6">
        <f>SUMIFS(NetB3BEWLGS,SUPListBEWLGS,Table_ExternalData_1[[#This Row],[SupplierID]],DLBEWLGS,"&gt;=91",DLBEWLGS,"&lt;=120")</f>
        <v>0</v>
      </c>
      <c r="K3" s="6">
        <f>SUMIFS(NetB3BEWLGS,SUPListBEWLGS,Table_ExternalData_1[[#This Row],[SupplierID]],DLBEWLGS,"&gt;120")</f>
        <v>97400</v>
      </c>
    </row>
    <row r="4" spans="1:11">
      <c r="A4" s="4" t="s">
        <v>6150</v>
      </c>
      <c r="B4" s="4" t="s">
        <v>6151</v>
      </c>
      <c r="C4" s="6">
        <f>SUMIF(SUPListBEWLGS,Table_ExternalData_1[[#This Row],[SupplierID]],NetAmountBEWLGS)</f>
        <v>334515</v>
      </c>
      <c r="D4" s="6">
        <f>SUMIF(SUPListBEWLGS,Table_ExternalData_1[[#This Row],[SupplierID]],PaidBEWLGS)</f>
        <v>0</v>
      </c>
      <c r="E4" s="6">
        <f>Table_ExternalData_1[[#This Row],[Net Amount]]-Table_ExternalData_1[[#This Row],[Paid]]</f>
        <v>334515</v>
      </c>
      <c r="F4" s="6">
        <f>SUMIFS(NetB3BEWLGS,SUPListBEWLGS,Table_ExternalData_1[[#This Row],[SupplierID]],DLBEWLGS,"&gt;=1",DLBEWLGS,"&lt;=30")</f>
        <v>102100</v>
      </c>
      <c r="G4" s="6">
        <f>SUMIFS(NetB3BEWLGS,SUPListBEWLGS,Table_ExternalData_1[[#This Row],[SupplierID]],DLBEWLGS,"&gt;=31",DLBEWLGS,"&lt;=45")</f>
        <v>36300</v>
      </c>
      <c r="H4" s="6">
        <f>SUMIFS(NetB3BEWLGS,SUPListBEWLGS,Table_ExternalData_1[[#This Row],[SupplierID]],DLBEWLGS,"&gt;=46",DLBEWLGS,"&lt;=60")</f>
        <v>0</v>
      </c>
      <c r="I4" s="6">
        <f>SUMIFS(NetB3BEWLGS,SUPListBEWLGS,Table_ExternalData_1[[#This Row],[SupplierID]],DLBEWLGS,"&gt;=61",DLBEWLGS,"&lt;=90")</f>
        <v>40900</v>
      </c>
      <c r="J4" s="6">
        <f>SUMIFS(NetB3BEWLGS,SUPListBEWLGS,Table_ExternalData_1[[#This Row],[SupplierID]],DLBEWLGS,"&gt;=91",DLBEWLGS,"&lt;=120")</f>
        <v>81400</v>
      </c>
      <c r="K4" s="6">
        <f>SUMIFS(NetB3BEWLGS,SUPListBEWLGS,Table_ExternalData_1[[#This Row],[SupplierID]],DLBEWLGS,"&gt;120")</f>
        <v>117900</v>
      </c>
    </row>
    <row r="5" spans="1:11">
      <c r="A5" s="4" t="s">
        <v>6866</v>
      </c>
      <c r="B5" s="4" t="s">
        <v>6868</v>
      </c>
      <c r="C5" s="6">
        <f>SUMIF(SUPListBEWLGS,Table_ExternalData_1[[#This Row],[SupplierID]],NetAmountBEWLGS)</f>
        <v>20000</v>
      </c>
      <c r="D5" s="6">
        <f>SUMIF(SUPListBEWLGS,Table_ExternalData_1[[#This Row],[SupplierID]],PaidBEWLGS)</f>
        <v>0</v>
      </c>
      <c r="E5" s="6">
        <f>Table_ExternalData_1[[#This Row],[Net Amount]]-Table_ExternalData_1[[#This Row],[Paid]]</f>
        <v>20000</v>
      </c>
      <c r="F5" s="6">
        <f>SUMIFS(NetB3BEWLGS,SUPListBEWLGS,Table_ExternalData_1[[#This Row],[SupplierID]],DLBEWLGS,"&gt;=1",DLBEWLGS,"&lt;=30")</f>
        <v>20000</v>
      </c>
      <c r="G5" s="6">
        <f>SUMIFS(NetB3BEWLGS,SUPListBEWLGS,Table_ExternalData_1[[#This Row],[SupplierID]],DLBEWLGS,"&gt;=31",DLBEWLGS,"&lt;=45")</f>
        <v>0</v>
      </c>
      <c r="H5" s="6">
        <f>SUMIFS(NetB3BEWLGS,SUPListBEWLGS,Table_ExternalData_1[[#This Row],[SupplierID]],DLBEWLGS,"&gt;=46",DLBEWLGS,"&lt;=60")</f>
        <v>0</v>
      </c>
      <c r="I5" s="6">
        <f>SUMIFS(NetB3BEWLGS,SUPListBEWLGS,Table_ExternalData_1[[#This Row],[SupplierID]],DLBEWLGS,"&gt;=61",DLBEWLGS,"&lt;=90")</f>
        <v>0</v>
      </c>
      <c r="J5" s="6">
        <f>SUMIFS(NetB3BEWLGS,SUPListBEWLGS,Table_ExternalData_1[[#This Row],[SupplierID]],DLBEWLGS,"&gt;=91",DLBEWLGS,"&lt;=120")</f>
        <v>0</v>
      </c>
      <c r="K5" s="6">
        <f>SUMIFS(NetB3BEWLGS,SUPListBEWLGS,Table_ExternalData_1[[#This Row],[SupplierID]],DLBEWLGS,"&gt;120")</f>
        <v>0</v>
      </c>
    </row>
    <row r="6" spans="1:11">
      <c r="A6" s="4" t="s">
        <v>7715</v>
      </c>
      <c r="B6" s="4" t="s">
        <v>7716</v>
      </c>
      <c r="C6" s="6">
        <f>SUMIF(SUPListBEWLGS,Table_ExternalData_1[[#This Row],[SupplierID]],NetAmountBEWLGS)</f>
        <v>122559</v>
      </c>
      <c r="D6" s="6">
        <f>SUMIF(SUPListBEWLGS,Table_ExternalData_1[[#This Row],[SupplierID]],PaidBEWLGS)</f>
        <v>0</v>
      </c>
      <c r="E6" s="6">
        <f>Table_ExternalData_1[[#This Row],[Net Amount]]-Table_ExternalData_1[[#This Row],[Paid]]</f>
        <v>122559</v>
      </c>
      <c r="F6" s="6">
        <f>SUMIFS(NetB3BEWLGS,SUPListBEWLGS,Table_ExternalData_1[[#This Row],[SupplierID]],DLBEWLGS,"&gt;=1",DLBEWLGS,"&lt;=30")</f>
        <v>26627</v>
      </c>
      <c r="G6" s="6">
        <f>SUMIFS(NetB3BEWLGS,SUPListBEWLGS,Table_ExternalData_1[[#This Row],[SupplierID]],DLBEWLGS,"&gt;=31",DLBEWLGS,"&lt;=45")</f>
        <v>25613</v>
      </c>
      <c r="H6" s="6">
        <f>SUMIFS(NetB3BEWLGS,SUPListBEWLGS,Table_ExternalData_1[[#This Row],[SupplierID]],DLBEWLGS,"&gt;=46",DLBEWLGS,"&lt;=60")</f>
        <v>0</v>
      </c>
      <c r="I6" s="6">
        <f>SUMIFS(NetB3BEWLGS,SUPListBEWLGS,Table_ExternalData_1[[#This Row],[SupplierID]],DLBEWLGS,"&gt;=61",DLBEWLGS,"&lt;=90")</f>
        <v>43639</v>
      </c>
      <c r="J6" s="6">
        <f>SUMIFS(NetB3BEWLGS,SUPListBEWLGS,Table_ExternalData_1[[#This Row],[SupplierID]],DLBEWLGS,"&gt;=91",DLBEWLGS,"&lt;=120")</f>
        <v>26680</v>
      </c>
      <c r="K6" s="6">
        <f>SUMIFS(NetB3BEWLGS,SUPListBEWLGS,Table_ExternalData_1[[#This Row],[SupplierID]],DLBEWLGS,"&gt;120")</f>
        <v>0</v>
      </c>
    </row>
    <row r="7" spans="1:11">
      <c r="A7" s="4" t="s">
        <v>8115</v>
      </c>
      <c r="B7" s="4" t="s">
        <v>8117</v>
      </c>
      <c r="C7" s="6">
        <f>SUMIF(SUPListBEWLGS,Table_ExternalData_1[[#This Row],[SupplierID]],NetAmountBEWLGS)</f>
        <v>2994</v>
      </c>
      <c r="D7" s="6">
        <f>SUMIF(SUPListBEWLGS,Table_ExternalData_1[[#This Row],[SupplierID]],PaidBEWLGS)</f>
        <v>0</v>
      </c>
      <c r="E7" s="6">
        <f>Table_ExternalData_1[[#This Row],[Net Amount]]-Table_ExternalData_1[[#This Row],[Paid]]</f>
        <v>2994</v>
      </c>
      <c r="F7" s="6">
        <f>SUMIFS(NetB3BEWLGS,SUPListBEWLGS,Table_ExternalData_1[[#This Row],[SupplierID]],DLBEWLGS,"&gt;=1",DLBEWLGS,"&lt;=30")</f>
        <v>0</v>
      </c>
      <c r="G7" s="6">
        <f>SUMIFS(NetB3BEWLGS,SUPListBEWLGS,Table_ExternalData_1[[#This Row],[SupplierID]],DLBEWLGS,"&gt;=31",DLBEWLGS,"&lt;=45")</f>
        <v>0</v>
      </c>
      <c r="H7" s="6">
        <f>SUMIFS(NetB3BEWLGS,SUPListBEWLGS,Table_ExternalData_1[[#This Row],[SupplierID]],DLBEWLGS,"&gt;=46",DLBEWLGS,"&lt;=60")</f>
        <v>2994</v>
      </c>
      <c r="I7" s="6">
        <f>SUMIFS(NetB3BEWLGS,SUPListBEWLGS,Table_ExternalData_1[[#This Row],[SupplierID]],DLBEWLGS,"&gt;=61",DLBEWLGS,"&lt;=90")</f>
        <v>0</v>
      </c>
      <c r="J7" s="6">
        <f>SUMIFS(NetB3BEWLGS,SUPListBEWLGS,Table_ExternalData_1[[#This Row],[SupplierID]],DLBEWLGS,"&gt;=91",DLBEWLGS,"&lt;=120")</f>
        <v>0</v>
      </c>
      <c r="K7" s="6">
        <f>SUMIFS(NetB3BEWLGS,SUPListBEWLGS,Table_ExternalData_1[[#This Row],[SupplierID]],DLBEWLGS,"&gt;120")</f>
        <v>0</v>
      </c>
    </row>
    <row r="8" spans="1:11">
      <c r="A8" s="4" t="s">
        <v>7891</v>
      </c>
      <c r="B8" s="4" t="s">
        <v>7892</v>
      </c>
      <c r="C8" s="6">
        <f>SUMIF(SUPListBEWLGS,Table_ExternalData_1[[#This Row],[SupplierID]],NetAmountBEWLGS)</f>
        <v>32140</v>
      </c>
      <c r="D8" s="6">
        <f>SUMIF(SUPListBEWLGS,Table_ExternalData_1[[#This Row],[SupplierID]],PaidBEWLGS)</f>
        <v>0</v>
      </c>
      <c r="E8" s="6">
        <f>Table_ExternalData_1[[#This Row],[Net Amount]]-Table_ExternalData_1[[#This Row],[Paid]]</f>
        <v>32140</v>
      </c>
      <c r="F8" s="6">
        <f>SUMIFS(NetB3BEWLGS,SUPListBEWLGS,Table_ExternalData_1[[#This Row],[SupplierID]],DLBEWLGS,"&gt;=1",DLBEWLGS,"&lt;=30")</f>
        <v>17540</v>
      </c>
      <c r="G8" s="6">
        <f>SUMIFS(NetB3BEWLGS,SUPListBEWLGS,Table_ExternalData_1[[#This Row],[SupplierID]],DLBEWLGS,"&gt;=31",DLBEWLGS,"&lt;=45")</f>
        <v>7000</v>
      </c>
      <c r="H8" s="6">
        <f>SUMIFS(NetB3BEWLGS,SUPListBEWLGS,Table_ExternalData_1[[#This Row],[SupplierID]],DLBEWLGS,"&gt;=46",DLBEWLGS,"&lt;=60")</f>
        <v>0</v>
      </c>
      <c r="I8" s="6">
        <f>SUMIFS(NetB3BEWLGS,SUPListBEWLGS,Table_ExternalData_1[[#This Row],[SupplierID]],DLBEWLGS,"&gt;=61",DLBEWLGS,"&lt;=90")</f>
        <v>7600</v>
      </c>
      <c r="J8" s="6">
        <f>SUMIFS(NetB3BEWLGS,SUPListBEWLGS,Table_ExternalData_1[[#This Row],[SupplierID]],DLBEWLGS,"&gt;=91",DLBEWLGS,"&lt;=120")</f>
        <v>0</v>
      </c>
      <c r="K8" s="6">
        <f>SUMIFS(NetB3BEWLGS,SUPListBEWLGS,Table_ExternalData_1[[#This Row],[SupplierID]],DLBEWLGS,"&gt;120")</f>
        <v>0</v>
      </c>
    </row>
    <row r="9" spans="1:11">
      <c r="A9" s="4" t="s">
        <v>5459</v>
      </c>
      <c r="B9" s="4" t="s">
        <v>7759</v>
      </c>
      <c r="C9" s="6">
        <f>SUMIF(SUPListBEWLGS,Table_ExternalData_1[[#This Row],[SupplierID]],NetAmountBEWLGS)</f>
        <v>14849</v>
      </c>
      <c r="D9" s="6">
        <f>SUMIF(SUPListBEWLGS,Table_ExternalData_1[[#This Row],[SupplierID]],PaidBEWLGS)</f>
        <v>0</v>
      </c>
      <c r="E9" s="6">
        <f>Table_ExternalData_1[[#This Row],[Net Amount]]-Table_ExternalData_1[[#This Row],[Paid]]</f>
        <v>14849</v>
      </c>
      <c r="F9" s="6">
        <f>SUMIFS(NetB3BEWLGS,SUPListBEWLGS,Table_ExternalData_1[[#This Row],[SupplierID]],DLBEWLGS,"&gt;=1",DLBEWLGS,"&lt;=30")</f>
        <v>0</v>
      </c>
      <c r="G9" s="6">
        <f>SUMIFS(NetB3BEWLGS,SUPListBEWLGS,Table_ExternalData_1[[#This Row],[SupplierID]],DLBEWLGS,"&gt;=31",DLBEWLGS,"&lt;=45")</f>
        <v>1449</v>
      </c>
      <c r="H9" s="6">
        <f>SUMIFS(NetB3BEWLGS,SUPListBEWLGS,Table_ExternalData_1[[#This Row],[SupplierID]],DLBEWLGS,"&gt;=46",DLBEWLGS,"&lt;=60")</f>
        <v>0</v>
      </c>
      <c r="I9" s="6">
        <f>SUMIFS(NetB3BEWLGS,SUPListBEWLGS,Table_ExternalData_1[[#This Row],[SupplierID]],DLBEWLGS,"&gt;=61",DLBEWLGS,"&lt;=90")</f>
        <v>6000</v>
      </c>
      <c r="J9" s="6">
        <f>SUMIFS(NetB3BEWLGS,SUPListBEWLGS,Table_ExternalData_1[[#This Row],[SupplierID]],DLBEWLGS,"&gt;=91",DLBEWLGS,"&lt;=120")</f>
        <v>7400</v>
      </c>
      <c r="K9" s="6">
        <f>SUMIFS(NetB3BEWLGS,SUPListBEWLGS,Table_ExternalData_1[[#This Row],[SupplierID]],DLBEWLGS,"&gt;120")</f>
        <v>0</v>
      </c>
    </row>
    <row r="10" spans="1:11">
      <c r="A10" s="4" t="s">
        <v>6159</v>
      </c>
      <c r="B10" s="4" t="s">
        <v>6161</v>
      </c>
      <c r="C10" s="6">
        <f>SUMIF(SUPListBEWLGS,Table_ExternalData_1[[#This Row],[SupplierID]],NetAmountBEWLGS)</f>
        <v>74799</v>
      </c>
      <c r="D10" s="6">
        <f>SUMIF(SUPListBEWLGS,Table_ExternalData_1[[#This Row],[SupplierID]],PaidBEWLGS)</f>
        <v>0</v>
      </c>
      <c r="E10" s="6">
        <f>Table_ExternalData_1[[#This Row],[Net Amount]]-Table_ExternalData_1[[#This Row],[Paid]]</f>
        <v>74799</v>
      </c>
      <c r="F10" s="6">
        <f>SUMIFS(NetB3BEWLGS,SUPListBEWLGS,Table_ExternalData_1[[#This Row],[SupplierID]],DLBEWLGS,"&gt;=1",DLBEWLGS,"&lt;=30")</f>
        <v>0</v>
      </c>
      <c r="G10" s="6">
        <f>SUMIFS(NetB3BEWLGS,SUPListBEWLGS,Table_ExternalData_1[[#This Row],[SupplierID]],DLBEWLGS,"&gt;=31",DLBEWLGS,"&lt;=45")</f>
        <v>145691</v>
      </c>
      <c r="H10" s="6">
        <f>SUMIFS(NetB3BEWLGS,SUPListBEWLGS,Table_ExternalData_1[[#This Row],[SupplierID]],DLBEWLGS,"&gt;=46",DLBEWLGS,"&lt;=60")</f>
        <v>0</v>
      </c>
      <c r="I10" s="6">
        <f>SUMIFS(NetB3BEWLGS,SUPListBEWLGS,Table_ExternalData_1[[#This Row],[SupplierID]],DLBEWLGS,"&gt;=61",DLBEWLGS,"&lt;=90")</f>
        <v>0</v>
      </c>
      <c r="J10" s="6">
        <f>SUMIFS(NetB3BEWLGS,SUPListBEWLGS,Table_ExternalData_1[[#This Row],[SupplierID]],DLBEWLGS,"&gt;=91",DLBEWLGS,"&lt;=120")</f>
        <v>0</v>
      </c>
      <c r="K10" s="6">
        <f>SUMIFS(NetB3BEWLGS,SUPListBEWLGS,Table_ExternalData_1[[#This Row],[SupplierID]],DLBEWLGS,"&gt;120")</f>
        <v>0</v>
      </c>
    </row>
    <row r="11" spans="1:11">
      <c r="A11" s="4" t="s">
        <v>6664</v>
      </c>
      <c r="B11" s="4" t="s">
        <v>5528</v>
      </c>
      <c r="C11" s="6">
        <f>SUMIF(SUPListBEWLGS,Table_ExternalData_1[[#This Row],[SupplierID]],NetAmountBEWLGS)</f>
        <v>389271</v>
      </c>
      <c r="D11" s="6">
        <f>SUMIF(SUPListBEWLGS,Table_ExternalData_1[[#This Row],[SupplierID]],PaidBEWLGS)</f>
        <v>0</v>
      </c>
      <c r="E11" s="6">
        <f>Table_ExternalData_1[[#This Row],[Net Amount]]-Table_ExternalData_1[[#This Row],[Paid]]</f>
        <v>389271</v>
      </c>
      <c r="F11" s="6">
        <f>SUMIFS(NetB3BEWLGS,SUPListBEWLGS,Table_ExternalData_1[[#This Row],[SupplierID]],DLBEWLGS,"&gt;=1",DLBEWLGS,"&lt;=30")</f>
        <v>0</v>
      </c>
      <c r="G11" s="6">
        <f>SUMIFS(NetB3BEWLGS,SUPListBEWLGS,Table_ExternalData_1[[#This Row],[SupplierID]],DLBEWLGS,"&gt;=31",DLBEWLGS,"&lt;=45")</f>
        <v>77472</v>
      </c>
      <c r="H11" s="6">
        <f>SUMIFS(NetB3BEWLGS,SUPListBEWLGS,Table_ExternalData_1[[#This Row],[SupplierID]],DLBEWLGS,"&gt;=46",DLBEWLGS,"&lt;=60")</f>
        <v>0</v>
      </c>
      <c r="I11" s="6">
        <f>SUMIFS(NetB3BEWLGS,SUPListBEWLGS,Table_ExternalData_1[[#This Row],[SupplierID]],DLBEWLGS,"&gt;=61",DLBEWLGS,"&lt;=90")</f>
        <v>5203</v>
      </c>
      <c r="J11" s="6">
        <f>SUMIFS(NetB3BEWLGS,SUPListBEWLGS,Table_ExternalData_1[[#This Row],[SupplierID]],DLBEWLGS,"&gt;=91",DLBEWLGS,"&lt;=120")</f>
        <v>0</v>
      </c>
      <c r="K11" s="6">
        <f>SUMIFS(NetB3BEWLGS,SUPListBEWLGS,Table_ExternalData_1[[#This Row],[SupplierID]],DLBEWLGS,"&gt;120")</f>
        <v>306596</v>
      </c>
    </row>
    <row r="12" spans="1:11">
      <c r="A12" s="4" t="s">
        <v>7755</v>
      </c>
      <c r="B12" s="4" t="s">
        <v>7756</v>
      </c>
      <c r="C12" s="6">
        <f>SUMIF(SUPListBEWLGS,Table_ExternalData_1[[#This Row],[SupplierID]],NetAmountBEWLGS)</f>
        <v>69800</v>
      </c>
      <c r="D12" s="6">
        <f>SUMIF(SUPListBEWLGS,Table_ExternalData_1[[#This Row],[SupplierID]],PaidBEWLGS)</f>
        <v>0</v>
      </c>
      <c r="E12" s="6">
        <f>Table_ExternalData_1[[#This Row],[Net Amount]]-Table_ExternalData_1[[#This Row],[Paid]]</f>
        <v>69800</v>
      </c>
      <c r="F12" s="6">
        <f>SUMIFS(NetB3BEWLGS,SUPListBEWLGS,Table_ExternalData_1[[#This Row],[SupplierID]],DLBEWLGS,"&gt;=1",DLBEWLGS,"&lt;=30")</f>
        <v>19150</v>
      </c>
      <c r="G12" s="6">
        <f>SUMIFS(NetB3BEWLGS,SUPListBEWLGS,Table_ExternalData_1[[#This Row],[SupplierID]],DLBEWLGS,"&gt;=31",DLBEWLGS,"&lt;=45")</f>
        <v>27500</v>
      </c>
      <c r="H12" s="6">
        <f>SUMIFS(NetB3BEWLGS,SUPListBEWLGS,Table_ExternalData_1[[#This Row],[SupplierID]],DLBEWLGS,"&gt;=46",DLBEWLGS,"&lt;=60")</f>
        <v>3900</v>
      </c>
      <c r="I12" s="6">
        <f>SUMIFS(NetB3BEWLGS,SUPListBEWLGS,Table_ExternalData_1[[#This Row],[SupplierID]],DLBEWLGS,"&gt;=61",DLBEWLGS,"&lt;=90")</f>
        <v>0</v>
      </c>
      <c r="J12" s="6">
        <f>SUMIFS(NetB3BEWLGS,SUPListBEWLGS,Table_ExternalData_1[[#This Row],[SupplierID]],DLBEWLGS,"&gt;=91",DLBEWLGS,"&lt;=120")</f>
        <v>19250</v>
      </c>
      <c r="K12" s="6">
        <f>SUMIFS(NetB3BEWLGS,SUPListBEWLGS,Table_ExternalData_1[[#This Row],[SupplierID]],DLBEWLGS,"&gt;120")</f>
        <v>0</v>
      </c>
    </row>
    <row r="13" spans="1:11">
      <c r="A13" s="4" t="s">
        <v>6169</v>
      </c>
      <c r="B13" s="4" t="s">
        <v>6171</v>
      </c>
      <c r="C13" s="6">
        <f>SUMIF(SUPListBEWLGS,Table_ExternalData_1[[#This Row],[SupplierID]],NetAmountBEWLGS)</f>
        <v>575694</v>
      </c>
      <c r="D13" s="6">
        <f>SUMIF(SUPListBEWLGS,Table_ExternalData_1[[#This Row],[SupplierID]],PaidBEWLGS)</f>
        <v>0</v>
      </c>
      <c r="E13" s="6">
        <f>Table_ExternalData_1[[#This Row],[Net Amount]]-Table_ExternalData_1[[#This Row],[Paid]]</f>
        <v>575694</v>
      </c>
      <c r="F13" s="6">
        <f>SUMIFS(NetB3BEWLGS,SUPListBEWLGS,Table_ExternalData_1[[#This Row],[SupplierID]],DLBEWLGS,"&gt;=1",DLBEWLGS,"&lt;=30")</f>
        <v>0</v>
      </c>
      <c r="G13" s="6">
        <f>SUMIFS(NetB3BEWLGS,SUPListBEWLGS,Table_ExternalData_1[[#This Row],[SupplierID]],DLBEWLGS,"&gt;=31",DLBEWLGS,"&lt;=45")</f>
        <v>701959</v>
      </c>
      <c r="H13" s="6">
        <f>SUMIFS(NetB3BEWLGS,SUPListBEWLGS,Table_ExternalData_1[[#This Row],[SupplierID]],DLBEWLGS,"&gt;=46",DLBEWLGS,"&lt;=60")</f>
        <v>0</v>
      </c>
      <c r="I13" s="6">
        <f>SUMIFS(NetB3BEWLGS,SUPListBEWLGS,Table_ExternalData_1[[#This Row],[SupplierID]],DLBEWLGS,"&gt;=61",DLBEWLGS,"&lt;=90")</f>
        <v>0</v>
      </c>
      <c r="J13" s="6">
        <f>SUMIFS(NetB3BEWLGS,SUPListBEWLGS,Table_ExternalData_1[[#This Row],[SupplierID]],DLBEWLGS,"&gt;=91",DLBEWLGS,"&lt;=120")</f>
        <v>0</v>
      </c>
      <c r="K13" s="6">
        <f>SUMIFS(NetB3BEWLGS,SUPListBEWLGS,Table_ExternalData_1[[#This Row],[SupplierID]],DLBEWLGS,"&gt;120")</f>
        <v>0</v>
      </c>
    </row>
    <row r="14" spans="1:11">
      <c r="A14" s="4" t="s">
        <v>7098</v>
      </c>
      <c r="B14" s="4" t="s">
        <v>7100</v>
      </c>
      <c r="C14" s="6">
        <f>SUMIF(SUPListBEWLGS,Table_ExternalData_1[[#This Row],[SupplierID]],NetAmountBEWLGS)</f>
        <v>257911</v>
      </c>
      <c r="D14" s="6">
        <f>SUMIF(SUPListBEWLGS,Table_ExternalData_1[[#This Row],[SupplierID]],PaidBEWLGS)</f>
        <v>0</v>
      </c>
      <c r="E14" s="6">
        <f>Table_ExternalData_1[[#This Row],[Net Amount]]-Table_ExternalData_1[[#This Row],[Paid]]</f>
        <v>257911</v>
      </c>
      <c r="F14" s="6">
        <f>SUMIFS(NetB3BEWLGS,SUPListBEWLGS,Table_ExternalData_1[[#This Row],[SupplierID]],DLBEWLGS,"&gt;=1",DLBEWLGS,"&lt;=30")</f>
        <v>257911</v>
      </c>
      <c r="G14" s="6">
        <f>SUMIFS(NetB3BEWLGS,SUPListBEWLGS,Table_ExternalData_1[[#This Row],[SupplierID]],DLBEWLGS,"&gt;=31",DLBEWLGS,"&lt;=45")</f>
        <v>0</v>
      </c>
      <c r="H14" s="6">
        <f>SUMIFS(NetB3BEWLGS,SUPListBEWLGS,Table_ExternalData_1[[#This Row],[SupplierID]],DLBEWLGS,"&gt;=46",DLBEWLGS,"&lt;=60")</f>
        <v>0</v>
      </c>
      <c r="I14" s="6">
        <f>SUMIFS(NetB3BEWLGS,SUPListBEWLGS,Table_ExternalData_1[[#This Row],[SupplierID]],DLBEWLGS,"&gt;=61",DLBEWLGS,"&lt;=90")</f>
        <v>0</v>
      </c>
      <c r="J14" s="6">
        <f>SUMIFS(NetB3BEWLGS,SUPListBEWLGS,Table_ExternalData_1[[#This Row],[SupplierID]],DLBEWLGS,"&gt;=91",DLBEWLGS,"&lt;=120")</f>
        <v>0</v>
      </c>
      <c r="K14" s="6">
        <f>SUMIFS(NetB3BEWLGS,SUPListBEWLGS,Table_ExternalData_1[[#This Row],[SupplierID]],DLBEWLGS,"&gt;120")</f>
        <v>0</v>
      </c>
    </row>
    <row r="15" spans="1:11">
      <c r="A15" s="4" t="s">
        <v>8019</v>
      </c>
      <c r="B15" s="4" t="s">
        <v>8021</v>
      </c>
      <c r="C15" s="6">
        <f>SUMIF(SUPListBEWLGS,Table_ExternalData_1[[#This Row],[SupplierID]],NetAmountBEWLGS)</f>
        <v>44080</v>
      </c>
      <c r="D15" s="6">
        <f>SUMIF(SUPListBEWLGS,Table_ExternalData_1[[#This Row],[SupplierID]],PaidBEWLGS)</f>
        <v>0</v>
      </c>
      <c r="E15" s="6">
        <f>Table_ExternalData_1[[#This Row],[Net Amount]]-Table_ExternalData_1[[#This Row],[Paid]]</f>
        <v>44080</v>
      </c>
      <c r="F15" s="6">
        <f>SUMIFS(NetB3BEWLGS,SUPListBEWLGS,Table_ExternalData_1[[#This Row],[SupplierID]],DLBEWLGS,"&gt;=1",DLBEWLGS,"&lt;=30")</f>
        <v>0</v>
      </c>
      <c r="G15" s="6">
        <f>SUMIFS(NetB3BEWLGS,SUPListBEWLGS,Table_ExternalData_1[[#This Row],[SupplierID]],DLBEWLGS,"&gt;=31",DLBEWLGS,"&lt;=45")</f>
        <v>0</v>
      </c>
      <c r="H15" s="6">
        <f>SUMIFS(NetB3BEWLGS,SUPListBEWLGS,Table_ExternalData_1[[#This Row],[SupplierID]],DLBEWLGS,"&gt;=46",DLBEWLGS,"&lt;=60")</f>
        <v>44080</v>
      </c>
      <c r="I15" s="6">
        <f>SUMIFS(NetB3BEWLGS,SUPListBEWLGS,Table_ExternalData_1[[#This Row],[SupplierID]],DLBEWLGS,"&gt;=61",DLBEWLGS,"&lt;=90")</f>
        <v>0</v>
      </c>
      <c r="J15" s="6">
        <f>SUMIFS(NetB3BEWLGS,SUPListBEWLGS,Table_ExternalData_1[[#This Row],[SupplierID]],DLBEWLGS,"&gt;=91",DLBEWLGS,"&lt;=120")</f>
        <v>0</v>
      </c>
      <c r="K15" s="6">
        <f>SUMIFS(NetB3BEWLGS,SUPListBEWLGS,Table_ExternalData_1[[#This Row],[SupplierID]],DLBEWLGS,"&gt;120")</f>
        <v>0</v>
      </c>
    </row>
    <row r="16" spans="1:11">
      <c r="A16" s="4" t="s">
        <v>7079</v>
      </c>
      <c r="B16" s="4" t="s">
        <v>7081</v>
      </c>
      <c r="C16" s="6">
        <f>SUMIF(SUPListBEWLGS,Table_ExternalData_1[[#This Row],[SupplierID]],NetAmountBEWLGS)</f>
        <v>230840</v>
      </c>
      <c r="D16" s="6">
        <f>SUMIF(SUPListBEWLGS,Table_ExternalData_1[[#This Row],[SupplierID]],PaidBEWLGS)</f>
        <v>0</v>
      </c>
      <c r="E16" s="6">
        <f>Table_ExternalData_1[[#This Row],[Net Amount]]-Table_ExternalData_1[[#This Row],[Paid]]</f>
        <v>230840</v>
      </c>
      <c r="F16" s="6">
        <f>SUMIFS(NetB3BEWLGS,SUPListBEWLGS,Table_ExternalData_1[[#This Row],[SupplierID]],DLBEWLGS,"&gt;=1",DLBEWLGS,"&lt;=30")</f>
        <v>0</v>
      </c>
      <c r="G16" s="6">
        <f>SUMIFS(NetB3BEWLGS,SUPListBEWLGS,Table_ExternalData_1[[#This Row],[SupplierID]],DLBEWLGS,"&gt;=31",DLBEWLGS,"&lt;=45")</f>
        <v>230840</v>
      </c>
      <c r="H16" s="6">
        <f>SUMIFS(NetB3BEWLGS,SUPListBEWLGS,Table_ExternalData_1[[#This Row],[SupplierID]],DLBEWLGS,"&gt;=46",DLBEWLGS,"&lt;=60")</f>
        <v>0</v>
      </c>
      <c r="I16" s="6">
        <f>SUMIFS(NetB3BEWLGS,SUPListBEWLGS,Table_ExternalData_1[[#This Row],[SupplierID]],DLBEWLGS,"&gt;=61",DLBEWLGS,"&lt;=90")</f>
        <v>0</v>
      </c>
      <c r="J16" s="6">
        <f>SUMIFS(NetB3BEWLGS,SUPListBEWLGS,Table_ExternalData_1[[#This Row],[SupplierID]],DLBEWLGS,"&gt;=91",DLBEWLGS,"&lt;=120")</f>
        <v>0</v>
      </c>
      <c r="K16" s="6">
        <f>SUMIFS(NetB3BEWLGS,SUPListBEWLGS,Table_ExternalData_1[[#This Row],[SupplierID]],DLBEWLGS,"&gt;120")</f>
        <v>0</v>
      </c>
    </row>
    <row r="17" spans="1:11">
      <c r="A17" s="4" t="s">
        <v>7767</v>
      </c>
      <c r="B17" s="4" t="s">
        <v>7770</v>
      </c>
      <c r="C17" s="6">
        <f>SUMIF(SUPListBEWLGS,Table_ExternalData_1[[#This Row],[SupplierID]],NetAmountBEWLGS)</f>
        <v>27840</v>
      </c>
      <c r="D17" s="6">
        <f>SUMIF(SUPListBEWLGS,Table_ExternalData_1[[#This Row],[SupplierID]],PaidBEWLGS)</f>
        <v>0</v>
      </c>
      <c r="E17" s="6">
        <f>Table_ExternalData_1[[#This Row],[Net Amount]]-Table_ExternalData_1[[#This Row],[Paid]]</f>
        <v>27840</v>
      </c>
      <c r="F17" s="6">
        <f>SUMIFS(NetB3BEWLGS,SUPListBEWLGS,Table_ExternalData_1[[#This Row],[SupplierID]],DLBEWLGS,"&gt;=1",DLBEWLGS,"&lt;=30")</f>
        <v>9280</v>
      </c>
      <c r="G17" s="6">
        <f>SUMIFS(NetB3BEWLGS,SUPListBEWLGS,Table_ExternalData_1[[#This Row],[SupplierID]],DLBEWLGS,"&gt;=31",DLBEWLGS,"&lt;=45")</f>
        <v>0</v>
      </c>
      <c r="H17" s="6">
        <f>SUMIFS(NetB3BEWLGS,SUPListBEWLGS,Table_ExternalData_1[[#This Row],[SupplierID]],DLBEWLGS,"&gt;=46",DLBEWLGS,"&lt;=60")</f>
        <v>9280</v>
      </c>
      <c r="I17" s="6">
        <f>SUMIFS(NetB3BEWLGS,SUPListBEWLGS,Table_ExternalData_1[[#This Row],[SupplierID]],DLBEWLGS,"&gt;=61",DLBEWLGS,"&lt;=90")</f>
        <v>9280</v>
      </c>
      <c r="J17" s="6">
        <f>SUMIFS(NetB3BEWLGS,SUPListBEWLGS,Table_ExternalData_1[[#This Row],[SupplierID]],DLBEWLGS,"&gt;=91",DLBEWLGS,"&lt;=120")</f>
        <v>0</v>
      </c>
      <c r="K17" s="6">
        <f>SUMIFS(NetB3BEWLGS,SUPListBEWLGS,Table_ExternalData_1[[#This Row],[SupplierID]],DLBEWLGS,"&gt;120")</f>
        <v>0</v>
      </c>
    </row>
    <row r="18" spans="1:11">
      <c r="A18" s="4" t="s">
        <v>6155</v>
      </c>
      <c r="B18" s="4" t="s">
        <v>6156</v>
      </c>
      <c r="C18" s="6">
        <f>SUMIF(SUPListBEWLGS,Table_ExternalData_1[[#This Row],[SupplierID]],NetAmountBEWLGS)</f>
        <v>1260990</v>
      </c>
      <c r="D18" s="6">
        <f>SUMIF(SUPListBEWLGS,Table_ExternalData_1[[#This Row],[SupplierID]],PaidBEWLGS)</f>
        <v>0</v>
      </c>
      <c r="E18" s="6">
        <f>Table_ExternalData_1[[#This Row],[Net Amount]]-Table_ExternalData_1[[#This Row],[Paid]]</f>
        <v>1260990</v>
      </c>
      <c r="F18" s="6">
        <f>SUMIFS(NetB3BEWLGS,SUPListBEWLGS,Table_ExternalData_1[[#This Row],[SupplierID]],DLBEWLGS,"&gt;=1",DLBEWLGS,"&lt;=30")</f>
        <v>119410</v>
      </c>
      <c r="G18" s="6">
        <f>SUMIFS(NetB3BEWLGS,SUPListBEWLGS,Table_ExternalData_1[[#This Row],[SupplierID]],DLBEWLGS,"&gt;=31",DLBEWLGS,"&lt;=45")</f>
        <v>343501</v>
      </c>
      <c r="H18" s="6">
        <f>SUMIFS(NetB3BEWLGS,SUPListBEWLGS,Table_ExternalData_1[[#This Row],[SupplierID]],DLBEWLGS,"&gt;=46",DLBEWLGS,"&lt;=60")</f>
        <v>0</v>
      </c>
      <c r="I18" s="6">
        <f>SUMIFS(NetB3BEWLGS,SUPListBEWLGS,Table_ExternalData_1[[#This Row],[SupplierID]],DLBEWLGS,"&gt;=61",DLBEWLGS,"&lt;=90")</f>
        <v>456400</v>
      </c>
      <c r="J18" s="6">
        <f>SUMIFS(NetB3BEWLGS,SUPListBEWLGS,Table_ExternalData_1[[#This Row],[SupplierID]],DLBEWLGS,"&gt;=91",DLBEWLGS,"&lt;=120")</f>
        <v>214810</v>
      </c>
      <c r="K18" s="6">
        <f>SUMIFS(NetB3BEWLGS,SUPListBEWLGS,Table_ExternalData_1[[#This Row],[SupplierID]],DLBEWLGS,"&gt;120")</f>
        <v>214685</v>
      </c>
    </row>
    <row r="19" spans="1:11">
      <c r="A19" s="4" t="s">
        <v>7056</v>
      </c>
      <c r="B19" s="4" t="s">
        <v>7059</v>
      </c>
      <c r="C19" s="6">
        <f>SUMIF(SUPListBEWLGS,Table_ExternalData_1[[#This Row],[SupplierID]],NetAmountBEWLGS)</f>
        <v>25500</v>
      </c>
      <c r="D19" s="6">
        <f>SUMIF(SUPListBEWLGS,Table_ExternalData_1[[#This Row],[SupplierID]],PaidBEWLGS)</f>
        <v>0</v>
      </c>
      <c r="E19" s="6">
        <f>Table_ExternalData_1[[#This Row],[Net Amount]]-Table_ExternalData_1[[#This Row],[Paid]]</f>
        <v>25500</v>
      </c>
      <c r="F19" s="6">
        <f>SUMIFS(NetB3BEWLGS,SUPListBEWLGS,Table_ExternalData_1[[#This Row],[SupplierID]],DLBEWLGS,"&gt;=1",DLBEWLGS,"&lt;=30")</f>
        <v>0</v>
      </c>
      <c r="G19" s="6">
        <f>SUMIFS(NetB3BEWLGS,SUPListBEWLGS,Table_ExternalData_1[[#This Row],[SupplierID]],DLBEWLGS,"&gt;=31",DLBEWLGS,"&lt;=45")</f>
        <v>0</v>
      </c>
      <c r="H19" s="6">
        <f>SUMIFS(NetB3BEWLGS,SUPListBEWLGS,Table_ExternalData_1[[#This Row],[SupplierID]],DLBEWLGS,"&gt;=46",DLBEWLGS,"&lt;=60")</f>
        <v>0</v>
      </c>
      <c r="I19" s="6">
        <f>SUMIFS(NetB3BEWLGS,SUPListBEWLGS,Table_ExternalData_1[[#This Row],[SupplierID]],DLBEWLGS,"&gt;=61",DLBEWLGS,"&lt;=90")</f>
        <v>25500</v>
      </c>
      <c r="J19" s="6">
        <f>SUMIFS(NetB3BEWLGS,SUPListBEWLGS,Table_ExternalData_1[[#This Row],[SupplierID]],DLBEWLGS,"&gt;=91",DLBEWLGS,"&lt;=120")</f>
        <v>0</v>
      </c>
      <c r="K19" s="6">
        <f>SUMIFS(NetB3BEWLGS,SUPListBEWLGS,Table_ExternalData_1[[#This Row],[SupplierID]],DLBEWLGS,"&gt;120")</f>
        <v>0</v>
      </c>
    </row>
    <row r="20" spans="1:11">
      <c r="A20" s="4" t="s">
        <v>8266</v>
      </c>
      <c r="B20" s="4" t="s">
        <v>8268</v>
      </c>
      <c r="C20" s="6">
        <f>SUMIF(SUPListBEWLGS,Table_ExternalData_1[[#This Row],[SupplierID]],NetAmountBEWLGS)</f>
        <v>96280</v>
      </c>
      <c r="D20" s="6">
        <f>SUMIF(SUPListBEWLGS,Table_ExternalData_1[[#This Row],[SupplierID]],PaidBEWLGS)</f>
        <v>0</v>
      </c>
      <c r="E20" s="6">
        <f>Table_ExternalData_1[[#This Row],[Net Amount]]-Table_ExternalData_1[[#This Row],[Paid]]</f>
        <v>96280</v>
      </c>
      <c r="F20" s="6">
        <f>SUMIFS(NetB3BEWLGS,SUPListBEWLGS,Table_ExternalData_1[[#This Row],[SupplierID]],DLBEWLGS,"&gt;=1",DLBEWLGS,"&lt;=30")</f>
        <v>96280</v>
      </c>
      <c r="G20" s="6">
        <f>SUMIFS(NetB3BEWLGS,SUPListBEWLGS,Table_ExternalData_1[[#This Row],[SupplierID]],DLBEWLGS,"&gt;=31",DLBEWLGS,"&lt;=45")</f>
        <v>0</v>
      </c>
      <c r="H20" s="6">
        <f>SUMIFS(NetB3BEWLGS,SUPListBEWLGS,Table_ExternalData_1[[#This Row],[SupplierID]],DLBEWLGS,"&gt;=46",DLBEWLGS,"&lt;=60")</f>
        <v>0</v>
      </c>
      <c r="I20" s="6">
        <f>SUMIFS(NetB3BEWLGS,SUPListBEWLGS,Table_ExternalData_1[[#This Row],[SupplierID]],DLBEWLGS,"&gt;=61",DLBEWLGS,"&lt;=90")</f>
        <v>0</v>
      </c>
      <c r="J20" s="6">
        <f>SUMIFS(NetB3BEWLGS,SUPListBEWLGS,Table_ExternalData_1[[#This Row],[SupplierID]],DLBEWLGS,"&gt;=91",DLBEWLGS,"&lt;=120")</f>
        <v>0</v>
      </c>
      <c r="K20" s="6">
        <f>SUMIFS(NetB3BEWLGS,SUPListBEWLGS,Table_ExternalData_1[[#This Row],[SupplierID]],DLBEWLGS,"&gt;120")</f>
        <v>0</v>
      </c>
    </row>
    <row r="21" spans="1:11">
      <c r="A21" s="4" t="s">
        <v>7647</v>
      </c>
      <c r="B21" s="4" t="s">
        <v>7649</v>
      </c>
      <c r="C21" s="6">
        <f>SUMIF(SUPListBEWLGS,Table_ExternalData_1[[#This Row],[SupplierID]],NetAmountBEWLGS)</f>
        <v>389625</v>
      </c>
      <c r="D21" s="6">
        <f>SUMIF(SUPListBEWLGS,Table_ExternalData_1[[#This Row],[SupplierID]],PaidBEWLGS)</f>
        <v>0</v>
      </c>
      <c r="E21" s="6">
        <f>Table_ExternalData_1[[#This Row],[Net Amount]]-Table_ExternalData_1[[#This Row],[Paid]]</f>
        <v>389625</v>
      </c>
      <c r="F21" s="6">
        <f>SUMIFS(NetB3BEWLGS,SUPListBEWLGS,Table_ExternalData_1[[#This Row],[SupplierID]],DLBEWLGS,"&gt;=1",DLBEWLGS,"&lt;=30")</f>
        <v>0</v>
      </c>
      <c r="G21" s="6">
        <f>SUMIFS(NetB3BEWLGS,SUPListBEWLGS,Table_ExternalData_1[[#This Row],[SupplierID]],DLBEWLGS,"&gt;=31",DLBEWLGS,"&lt;=45")</f>
        <v>0</v>
      </c>
      <c r="H21" s="6">
        <f>SUMIFS(NetB3BEWLGS,SUPListBEWLGS,Table_ExternalData_1[[#This Row],[SupplierID]],DLBEWLGS,"&gt;=46",DLBEWLGS,"&lt;=60")</f>
        <v>56220</v>
      </c>
      <c r="I21" s="6">
        <f>SUMIFS(NetB3BEWLGS,SUPListBEWLGS,Table_ExternalData_1[[#This Row],[SupplierID]],DLBEWLGS,"&gt;=61",DLBEWLGS,"&lt;=90")</f>
        <v>27608</v>
      </c>
      <c r="J21" s="6">
        <f>SUMIFS(NetB3BEWLGS,SUPListBEWLGS,Table_ExternalData_1[[#This Row],[SupplierID]],DLBEWLGS,"&gt;=91",DLBEWLGS,"&lt;=120")</f>
        <v>220569</v>
      </c>
      <c r="K21" s="6">
        <f>SUMIFS(NetB3BEWLGS,SUPListBEWLGS,Table_ExternalData_1[[#This Row],[SupplierID]],DLBEWLGS,"&gt;120")</f>
        <v>85228</v>
      </c>
    </row>
    <row r="22" spans="1:11">
      <c r="A22" s="4" t="s">
        <v>7823</v>
      </c>
      <c r="B22" s="4" t="s">
        <v>7824</v>
      </c>
      <c r="C22" s="6">
        <f>SUMIF(SUPListBEWLGS,Table_ExternalData_1[[#This Row],[SupplierID]],NetAmountBEWLGS)</f>
        <v>19140</v>
      </c>
      <c r="D22" s="6">
        <f>SUMIF(SUPListBEWLGS,Table_ExternalData_1[[#This Row],[SupplierID]],PaidBEWLGS)</f>
        <v>0</v>
      </c>
      <c r="E22" s="6">
        <f>Table_ExternalData_1[[#This Row],[Net Amount]]-Table_ExternalData_1[[#This Row],[Paid]]</f>
        <v>19140</v>
      </c>
      <c r="F22" s="6">
        <f>SUMIFS(NetB3BEWLGS,SUPListBEWLGS,Table_ExternalData_1[[#This Row],[SupplierID]],DLBEWLGS,"&gt;=1",DLBEWLGS,"&lt;=30")</f>
        <v>0</v>
      </c>
      <c r="G22" s="6">
        <f>SUMIFS(NetB3BEWLGS,SUPListBEWLGS,Table_ExternalData_1[[#This Row],[SupplierID]],DLBEWLGS,"&gt;=31",DLBEWLGS,"&lt;=45")</f>
        <v>0</v>
      </c>
      <c r="H22" s="6">
        <f>SUMIFS(NetB3BEWLGS,SUPListBEWLGS,Table_ExternalData_1[[#This Row],[SupplierID]],DLBEWLGS,"&gt;=46",DLBEWLGS,"&lt;=60")</f>
        <v>0</v>
      </c>
      <c r="I22" s="6">
        <f>SUMIFS(NetB3BEWLGS,SUPListBEWLGS,Table_ExternalData_1[[#This Row],[SupplierID]],DLBEWLGS,"&gt;=61",DLBEWLGS,"&lt;=90")</f>
        <v>19140</v>
      </c>
      <c r="J22" s="6">
        <f>SUMIFS(NetB3BEWLGS,SUPListBEWLGS,Table_ExternalData_1[[#This Row],[SupplierID]],DLBEWLGS,"&gt;=91",DLBEWLGS,"&lt;=120")</f>
        <v>0</v>
      </c>
      <c r="K22" s="6">
        <f>SUMIFS(NetB3BEWLGS,SUPListBEWLGS,Table_ExternalData_1[[#This Row],[SupplierID]],DLBEWLGS,"&gt;120")</f>
        <v>0</v>
      </c>
    </row>
    <row r="23" spans="1:11">
      <c r="A23" s="4" t="s">
        <v>6610</v>
      </c>
      <c r="B23" s="4" t="s">
        <v>6612</v>
      </c>
      <c r="C23" s="6">
        <f>SUMIF(SUPListBEWLGS,Table_ExternalData_1[[#This Row],[SupplierID]],NetAmountBEWLGS)</f>
        <v>490033</v>
      </c>
      <c r="D23" s="6">
        <f>SUMIF(SUPListBEWLGS,Table_ExternalData_1[[#This Row],[SupplierID]],PaidBEWLGS)</f>
        <v>0</v>
      </c>
      <c r="E23" s="6">
        <f>Table_ExternalData_1[[#This Row],[Net Amount]]-Table_ExternalData_1[[#This Row],[Paid]]</f>
        <v>490033</v>
      </c>
      <c r="F23" s="6">
        <f>SUMIFS(NetB3BEWLGS,SUPListBEWLGS,Table_ExternalData_1[[#This Row],[SupplierID]],DLBEWLGS,"&gt;=1",DLBEWLGS,"&lt;=30")</f>
        <v>72250</v>
      </c>
      <c r="G23" s="6">
        <f>SUMIFS(NetB3BEWLGS,SUPListBEWLGS,Table_ExternalData_1[[#This Row],[SupplierID]],DLBEWLGS,"&gt;=31",DLBEWLGS,"&lt;=45")</f>
        <v>0</v>
      </c>
      <c r="H23" s="6">
        <f>SUMIFS(NetB3BEWLGS,SUPListBEWLGS,Table_ExternalData_1[[#This Row],[SupplierID]],DLBEWLGS,"&gt;=46",DLBEWLGS,"&lt;=60")</f>
        <v>0</v>
      </c>
      <c r="I23" s="6">
        <f>SUMIFS(NetB3BEWLGS,SUPListBEWLGS,Table_ExternalData_1[[#This Row],[SupplierID]],DLBEWLGS,"&gt;=61",DLBEWLGS,"&lt;=90")</f>
        <v>79629</v>
      </c>
      <c r="J23" s="6">
        <f>SUMIFS(NetB3BEWLGS,SUPListBEWLGS,Table_ExternalData_1[[#This Row],[SupplierID]],DLBEWLGS,"&gt;=91",DLBEWLGS,"&lt;=120")</f>
        <v>0</v>
      </c>
      <c r="K23" s="6">
        <f>SUMIFS(NetB3BEWLGS,SUPListBEWLGS,Table_ExternalData_1[[#This Row],[SupplierID]],DLBEWLGS,"&gt;120")</f>
        <v>338154</v>
      </c>
    </row>
    <row r="24" spans="1:11">
      <c r="A24" s="4" t="s">
        <v>6723</v>
      </c>
      <c r="B24" s="4" t="s">
        <v>6726</v>
      </c>
      <c r="C24" s="6">
        <f>SUMIF(SUPListBEWLGS,Table_ExternalData_1[[#This Row],[SupplierID]],NetAmountBEWLGS)</f>
        <v>4952596</v>
      </c>
      <c r="D24" s="6">
        <f>SUMIF(SUPListBEWLGS,Table_ExternalData_1[[#This Row],[SupplierID]],PaidBEWLGS)</f>
        <v>0</v>
      </c>
      <c r="E24" s="6">
        <f>Table_ExternalData_1[[#This Row],[Net Amount]]-Table_ExternalData_1[[#This Row],[Paid]]</f>
        <v>4952596</v>
      </c>
      <c r="F24" s="6">
        <f>SUMIFS(NetB3BEWLGS,SUPListBEWLGS,Table_ExternalData_1[[#This Row],[SupplierID]],DLBEWLGS,"&gt;=1",DLBEWLGS,"&lt;=30")</f>
        <v>0</v>
      </c>
      <c r="G24" s="6">
        <f>SUMIFS(NetB3BEWLGS,SUPListBEWLGS,Table_ExternalData_1[[#This Row],[SupplierID]],DLBEWLGS,"&gt;=31",DLBEWLGS,"&lt;=45")</f>
        <v>1482179</v>
      </c>
      <c r="H24" s="6">
        <f>SUMIFS(NetB3BEWLGS,SUPListBEWLGS,Table_ExternalData_1[[#This Row],[SupplierID]],DLBEWLGS,"&gt;=46",DLBEWLGS,"&lt;=60")</f>
        <v>0</v>
      </c>
      <c r="I24" s="6">
        <f>SUMIFS(NetB3BEWLGS,SUPListBEWLGS,Table_ExternalData_1[[#This Row],[SupplierID]],DLBEWLGS,"&gt;=61",DLBEWLGS,"&lt;=90")</f>
        <v>2105657</v>
      </c>
      <c r="J24" s="6">
        <f>SUMIFS(NetB3BEWLGS,SUPListBEWLGS,Table_ExternalData_1[[#This Row],[SupplierID]],DLBEWLGS,"&gt;=91",DLBEWLGS,"&lt;=120")</f>
        <v>1364760</v>
      </c>
      <c r="K24" s="6">
        <f>SUMIFS(NetB3BEWLGS,SUPListBEWLGS,Table_ExternalData_1[[#This Row],[SupplierID]],DLBEWLGS,"&gt;120")</f>
        <v>0</v>
      </c>
    </row>
    <row r="25" spans="1:11">
      <c r="A25" s="4" t="s">
        <v>6373</v>
      </c>
      <c r="B25" s="4" t="s">
        <v>6375</v>
      </c>
      <c r="C25" s="6">
        <f>SUMIF(SUPListBEWLGS,Table_ExternalData_1[[#This Row],[SupplierID]],NetAmountBEWLGS)</f>
        <v>406450</v>
      </c>
      <c r="D25" s="6">
        <f>SUMIF(SUPListBEWLGS,Table_ExternalData_1[[#This Row],[SupplierID]],PaidBEWLGS)</f>
        <v>0</v>
      </c>
      <c r="E25" s="6">
        <f>Table_ExternalData_1[[#This Row],[Net Amount]]-Table_ExternalData_1[[#This Row],[Paid]]</f>
        <v>406450</v>
      </c>
      <c r="F25" s="6">
        <f>SUMIFS(NetB3BEWLGS,SUPListBEWLGS,Table_ExternalData_1[[#This Row],[SupplierID]],DLBEWLGS,"&gt;=1",DLBEWLGS,"&lt;=30")</f>
        <v>0</v>
      </c>
      <c r="G25" s="6">
        <f>SUMIFS(NetB3BEWLGS,SUPListBEWLGS,Table_ExternalData_1[[#This Row],[SupplierID]],DLBEWLGS,"&gt;=31",DLBEWLGS,"&lt;=45")</f>
        <v>0</v>
      </c>
      <c r="H25" s="6">
        <f>SUMIFS(NetB3BEWLGS,SUPListBEWLGS,Table_ExternalData_1[[#This Row],[SupplierID]],DLBEWLGS,"&gt;=46",DLBEWLGS,"&lt;=60")</f>
        <v>0</v>
      </c>
      <c r="I25" s="6">
        <f>SUMIFS(NetB3BEWLGS,SUPListBEWLGS,Table_ExternalData_1[[#This Row],[SupplierID]],DLBEWLGS,"&gt;=61",DLBEWLGS,"&lt;=90")</f>
        <v>12450</v>
      </c>
      <c r="J25" s="6">
        <f>SUMIFS(NetB3BEWLGS,SUPListBEWLGS,Table_ExternalData_1[[#This Row],[SupplierID]],DLBEWLGS,"&gt;=91",DLBEWLGS,"&lt;=120")</f>
        <v>0</v>
      </c>
      <c r="K25" s="6">
        <f>SUMIFS(NetB3BEWLGS,SUPListBEWLGS,Table_ExternalData_1[[#This Row],[SupplierID]],DLBEWLGS,"&gt;120")</f>
        <v>394000</v>
      </c>
    </row>
    <row r="26" spans="1:11">
      <c r="A26" s="4" t="s">
        <v>7702</v>
      </c>
      <c r="B26" s="4" t="s">
        <v>7703</v>
      </c>
      <c r="C26" s="6">
        <f>SUMIF(SUPListBEWLGS,Table_ExternalData_1[[#This Row],[SupplierID]],NetAmountBEWLGS)</f>
        <v>800</v>
      </c>
      <c r="D26" s="6">
        <f>SUMIF(SUPListBEWLGS,Table_ExternalData_1[[#This Row],[SupplierID]],PaidBEWLGS)</f>
        <v>0</v>
      </c>
      <c r="E26" s="6">
        <f>Table_ExternalData_1[[#This Row],[Net Amount]]-Table_ExternalData_1[[#This Row],[Paid]]</f>
        <v>800</v>
      </c>
      <c r="F26" s="6">
        <f>SUMIFS(NetB3BEWLGS,SUPListBEWLGS,Table_ExternalData_1[[#This Row],[SupplierID]],DLBEWLGS,"&gt;=1",DLBEWLGS,"&lt;=30")</f>
        <v>0</v>
      </c>
      <c r="G26" s="6">
        <f>SUMIFS(NetB3BEWLGS,SUPListBEWLGS,Table_ExternalData_1[[#This Row],[SupplierID]],DLBEWLGS,"&gt;=31",DLBEWLGS,"&lt;=45")</f>
        <v>0</v>
      </c>
      <c r="H26" s="6">
        <f>SUMIFS(NetB3BEWLGS,SUPListBEWLGS,Table_ExternalData_1[[#This Row],[SupplierID]],DLBEWLGS,"&gt;=46",DLBEWLGS,"&lt;=60")</f>
        <v>0</v>
      </c>
      <c r="I26" s="6">
        <f>SUMIFS(NetB3BEWLGS,SUPListBEWLGS,Table_ExternalData_1[[#This Row],[SupplierID]],DLBEWLGS,"&gt;=61",DLBEWLGS,"&lt;=90")</f>
        <v>0</v>
      </c>
      <c r="J26" s="6">
        <f>SUMIFS(NetB3BEWLGS,SUPListBEWLGS,Table_ExternalData_1[[#This Row],[SupplierID]],DLBEWLGS,"&gt;=91",DLBEWLGS,"&lt;=120")</f>
        <v>800</v>
      </c>
      <c r="K26" s="6">
        <f>SUMIFS(NetB3BEWLGS,SUPListBEWLGS,Table_ExternalData_1[[#This Row],[SupplierID]],DLBEWLGS,"&gt;120")</f>
        <v>0</v>
      </c>
    </row>
    <row r="27" spans="1:11">
      <c r="A27" s="4" t="s">
        <v>6815</v>
      </c>
      <c r="B27" s="4" t="s">
        <v>6818</v>
      </c>
      <c r="C27" s="6">
        <f>SUMIF(SUPListBEWLGS,Table_ExternalData_1[[#This Row],[SupplierID]],NetAmountBEWLGS)</f>
        <v>77863</v>
      </c>
      <c r="D27" s="6">
        <f>SUMIF(SUPListBEWLGS,Table_ExternalData_1[[#This Row],[SupplierID]],PaidBEWLGS)</f>
        <v>0</v>
      </c>
      <c r="E27" s="6">
        <f>Table_ExternalData_1[[#This Row],[Net Amount]]-Table_ExternalData_1[[#This Row],[Paid]]</f>
        <v>77863</v>
      </c>
      <c r="F27" s="6">
        <f>SUMIFS(NetB3BEWLGS,SUPListBEWLGS,Table_ExternalData_1[[#This Row],[SupplierID]],DLBEWLGS,"&gt;=1",DLBEWLGS,"&lt;=30")</f>
        <v>37919</v>
      </c>
      <c r="G27" s="6">
        <f>SUMIFS(NetB3BEWLGS,SUPListBEWLGS,Table_ExternalData_1[[#This Row],[SupplierID]],DLBEWLGS,"&gt;=31",DLBEWLGS,"&lt;=45")</f>
        <v>0</v>
      </c>
      <c r="H27" s="6">
        <f>SUMIFS(NetB3BEWLGS,SUPListBEWLGS,Table_ExternalData_1[[#This Row],[SupplierID]],DLBEWLGS,"&gt;=46",DLBEWLGS,"&lt;=60")</f>
        <v>39944</v>
      </c>
      <c r="I27" s="6">
        <f>SUMIFS(NetB3BEWLGS,SUPListBEWLGS,Table_ExternalData_1[[#This Row],[SupplierID]],DLBEWLGS,"&gt;=61",DLBEWLGS,"&lt;=90")</f>
        <v>0</v>
      </c>
      <c r="J27" s="6">
        <f>SUMIFS(NetB3BEWLGS,SUPListBEWLGS,Table_ExternalData_1[[#This Row],[SupplierID]],DLBEWLGS,"&gt;=91",DLBEWLGS,"&lt;=120")</f>
        <v>0</v>
      </c>
      <c r="K27" s="6">
        <f>SUMIFS(NetB3BEWLGS,SUPListBEWLGS,Table_ExternalData_1[[#This Row],[SupplierID]],DLBEWLGS,"&gt;120")</f>
        <v>0</v>
      </c>
    </row>
    <row r="28" spans="1:11">
      <c r="A28" s="4" t="s">
        <v>6268</v>
      </c>
      <c r="B28" s="4" t="s">
        <v>6270</v>
      </c>
      <c r="C28" s="6">
        <f>SUMIF(SUPListBEWLGS,Table_ExternalData_1[[#This Row],[SupplierID]],NetAmountBEWLGS)</f>
        <v>2243729</v>
      </c>
      <c r="D28" s="6">
        <f>SUMIF(SUPListBEWLGS,Table_ExternalData_1[[#This Row],[SupplierID]],PaidBEWLGS)</f>
        <v>0</v>
      </c>
      <c r="E28" s="6">
        <f>Table_ExternalData_1[[#This Row],[Net Amount]]-Table_ExternalData_1[[#This Row],[Paid]]</f>
        <v>2243729</v>
      </c>
      <c r="F28" s="6">
        <f>SUMIFS(NetB3BEWLGS,SUPListBEWLGS,Table_ExternalData_1[[#This Row],[SupplierID]],DLBEWLGS,"&gt;=1",DLBEWLGS,"&lt;=30")</f>
        <v>1707</v>
      </c>
      <c r="G28" s="6">
        <f>SUMIFS(NetB3BEWLGS,SUPListBEWLGS,Table_ExternalData_1[[#This Row],[SupplierID]],DLBEWLGS,"&gt;=31",DLBEWLGS,"&lt;=45")</f>
        <v>57680</v>
      </c>
      <c r="H28" s="6">
        <f>SUMIFS(NetB3BEWLGS,SUPListBEWLGS,Table_ExternalData_1[[#This Row],[SupplierID]],DLBEWLGS,"&gt;=46",DLBEWLGS,"&lt;=60")</f>
        <v>14797</v>
      </c>
      <c r="I28" s="6">
        <f>SUMIFS(NetB3BEWLGS,SUPListBEWLGS,Table_ExternalData_1[[#This Row],[SupplierID]],DLBEWLGS,"&gt;=61",DLBEWLGS,"&lt;=90")</f>
        <v>57480</v>
      </c>
      <c r="J28" s="6">
        <f>SUMIFS(NetB3BEWLGS,SUPListBEWLGS,Table_ExternalData_1[[#This Row],[SupplierID]],DLBEWLGS,"&gt;=91",DLBEWLGS,"&lt;=120")</f>
        <v>39178</v>
      </c>
      <c r="K28" s="6">
        <f>SUMIFS(NetB3BEWLGS,SUPListBEWLGS,Table_ExternalData_1[[#This Row],[SupplierID]],DLBEWLGS,"&gt;120")</f>
        <v>2072887</v>
      </c>
    </row>
    <row r="29" spans="1:11">
      <c r="A29" s="4" t="s">
        <v>6939</v>
      </c>
      <c r="B29" s="4" t="s">
        <v>6942</v>
      </c>
      <c r="C29" s="6">
        <f>SUMIF(SUPListBEWLGS,Table_ExternalData_1[[#This Row],[SupplierID]],NetAmountBEWLGS)</f>
        <v>47250</v>
      </c>
      <c r="D29" s="6">
        <f>SUMIF(SUPListBEWLGS,Table_ExternalData_1[[#This Row],[SupplierID]],PaidBEWLGS)</f>
        <v>0</v>
      </c>
      <c r="E29" s="6">
        <f>Table_ExternalData_1[[#This Row],[Net Amount]]-Table_ExternalData_1[[#This Row],[Paid]]</f>
        <v>47250</v>
      </c>
      <c r="F29" s="6">
        <f>SUMIFS(NetB3BEWLGS,SUPListBEWLGS,Table_ExternalData_1[[#This Row],[SupplierID]],DLBEWLGS,"&gt;=1",DLBEWLGS,"&lt;=30")</f>
        <v>0</v>
      </c>
      <c r="G29" s="6">
        <f>SUMIFS(NetB3BEWLGS,SUPListBEWLGS,Table_ExternalData_1[[#This Row],[SupplierID]],DLBEWLGS,"&gt;=31",DLBEWLGS,"&lt;=45")</f>
        <v>0</v>
      </c>
      <c r="H29" s="6">
        <f>SUMIFS(NetB3BEWLGS,SUPListBEWLGS,Table_ExternalData_1[[#This Row],[SupplierID]],DLBEWLGS,"&gt;=46",DLBEWLGS,"&lt;=60")</f>
        <v>47250</v>
      </c>
      <c r="I29" s="6">
        <f>SUMIFS(NetB3BEWLGS,SUPListBEWLGS,Table_ExternalData_1[[#This Row],[SupplierID]],DLBEWLGS,"&gt;=61",DLBEWLGS,"&lt;=90")</f>
        <v>0</v>
      </c>
      <c r="J29" s="6">
        <f>SUMIFS(NetB3BEWLGS,SUPListBEWLGS,Table_ExternalData_1[[#This Row],[SupplierID]],DLBEWLGS,"&gt;=91",DLBEWLGS,"&lt;=120")</f>
        <v>0</v>
      </c>
      <c r="K29" s="6">
        <f>SUMIFS(NetB3BEWLGS,SUPListBEWLGS,Table_ExternalData_1[[#This Row],[SupplierID]],DLBEWLGS,"&gt;120")</f>
        <v>0</v>
      </c>
    </row>
    <row r="30" spans="1:11">
      <c r="A30" s="4" t="s">
        <v>6232</v>
      </c>
      <c r="B30" s="4" t="s">
        <v>5480</v>
      </c>
      <c r="C30" s="6">
        <f>SUMIF(SUPListBEWLGS,Table_ExternalData_1[[#This Row],[SupplierID]],NetAmountBEWLGS)</f>
        <v>67593</v>
      </c>
      <c r="D30" s="6">
        <f>SUMIF(SUPListBEWLGS,Table_ExternalData_1[[#This Row],[SupplierID]],PaidBEWLGS)</f>
        <v>0</v>
      </c>
      <c r="E30" s="6">
        <f>Table_ExternalData_1[[#This Row],[Net Amount]]-Table_ExternalData_1[[#This Row],[Paid]]</f>
        <v>67593</v>
      </c>
      <c r="F30" s="6">
        <f>SUMIFS(NetB3BEWLGS,SUPListBEWLGS,Table_ExternalData_1[[#This Row],[SupplierID]],DLBEWLGS,"&gt;=1",DLBEWLGS,"&lt;=30")</f>
        <v>69504</v>
      </c>
      <c r="G30" s="6">
        <f>SUMIFS(NetB3BEWLGS,SUPListBEWLGS,Table_ExternalData_1[[#This Row],[SupplierID]],DLBEWLGS,"&gt;=31",DLBEWLGS,"&lt;=45")</f>
        <v>0</v>
      </c>
      <c r="H30" s="6">
        <f>SUMIFS(NetB3BEWLGS,SUPListBEWLGS,Table_ExternalData_1[[#This Row],[SupplierID]],DLBEWLGS,"&gt;=46",DLBEWLGS,"&lt;=60")</f>
        <v>0</v>
      </c>
      <c r="I30" s="6">
        <f>SUMIFS(NetB3BEWLGS,SUPListBEWLGS,Table_ExternalData_1[[#This Row],[SupplierID]],DLBEWLGS,"&gt;=61",DLBEWLGS,"&lt;=90")</f>
        <v>0</v>
      </c>
      <c r="J30" s="6">
        <f>SUMIFS(NetB3BEWLGS,SUPListBEWLGS,Table_ExternalData_1[[#This Row],[SupplierID]],DLBEWLGS,"&gt;=91",DLBEWLGS,"&lt;=120")</f>
        <v>0</v>
      </c>
      <c r="K30" s="6">
        <f>SUMIFS(NetB3BEWLGS,SUPListBEWLGS,Table_ExternalData_1[[#This Row],[SupplierID]],DLBEWLGS,"&gt;120")</f>
        <v>0</v>
      </c>
    </row>
    <row r="31" spans="1:11">
      <c r="A31" s="4" t="s">
        <v>8255</v>
      </c>
      <c r="B31" s="4" t="s">
        <v>5476</v>
      </c>
      <c r="C31" s="6">
        <f>SUMIF(SUPListBEWLGS,Table_ExternalData_1[[#This Row],[SupplierID]],NetAmountBEWLGS)</f>
        <v>55158</v>
      </c>
      <c r="D31" s="6">
        <f>SUMIF(SUPListBEWLGS,Table_ExternalData_1[[#This Row],[SupplierID]],PaidBEWLGS)</f>
        <v>0</v>
      </c>
      <c r="E31" s="6">
        <f>Table_ExternalData_1[[#This Row],[Net Amount]]-Table_ExternalData_1[[#This Row],[Paid]]</f>
        <v>55158</v>
      </c>
      <c r="F31" s="6">
        <f>SUMIFS(NetB3BEWLGS,SUPListBEWLGS,Table_ExternalData_1[[#This Row],[SupplierID]],DLBEWLGS,"&gt;=1",DLBEWLGS,"&lt;=30")</f>
        <v>0</v>
      </c>
      <c r="G31" s="6">
        <f>SUMIFS(NetB3BEWLGS,SUPListBEWLGS,Table_ExternalData_1[[#This Row],[SupplierID]],DLBEWLGS,"&gt;=31",DLBEWLGS,"&lt;=45")</f>
        <v>55158</v>
      </c>
      <c r="H31" s="6">
        <f>SUMIFS(NetB3BEWLGS,SUPListBEWLGS,Table_ExternalData_1[[#This Row],[SupplierID]],DLBEWLGS,"&gt;=46",DLBEWLGS,"&lt;=60")</f>
        <v>0</v>
      </c>
      <c r="I31" s="6">
        <f>SUMIFS(NetB3BEWLGS,SUPListBEWLGS,Table_ExternalData_1[[#This Row],[SupplierID]],DLBEWLGS,"&gt;=61",DLBEWLGS,"&lt;=90")</f>
        <v>0</v>
      </c>
      <c r="J31" s="6">
        <f>SUMIFS(NetB3BEWLGS,SUPListBEWLGS,Table_ExternalData_1[[#This Row],[SupplierID]],DLBEWLGS,"&gt;=91",DLBEWLGS,"&lt;=120")</f>
        <v>0</v>
      </c>
      <c r="K31" s="6">
        <f>SUMIFS(NetB3BEWLGS,SUPListBEWLGS,Table_ExternalData_1[[#This Row],[SupplierID]],DLBEWLGS,"&gt;120")</f>
        <v>0</v>
      </c>
    </row>
    <row r="32" spans="1:11">
      <c r="A32" s="4" t="s">
        <v>8503</v>
      </c>
      <c r="B32" s="4" t="s">
        <v>8505</v>
      </c>
      <c r="C32" s="6">
        <f>SUMIF(SUPListBEWLGS,Table_ExternalData_1[[#This Row],[SupplierID]],NetAmountBEWLGS)</f>
        <v>2320</v>
      </c>
      <c r="D32" s="6">
        <f>SUMIF(SUPListBEWLGS,Table_ExternalData_1[[#This Row],[SupplierID]],PaidBEWLGS)</f>
        <v>0</v>
      </c>
      <c r="E32" s="6">
        <f>Table_ExternalData_1[[#This Row],[Net Amount]]-Table_ExternalData_1[[#This Row],[Paid]]</f>
        <v>2320</v>
      </c>
      <c r="F32" s="6">
        <f>SUMIFS(NetB3BEWLGS,SUPListBEWLGS,Table_ExternalData_1[[#This Row],[SupplierID]],DLBEWLGS,"&gt;=1",DLBEWLGS,"&lt;=30")</f>
        <v>0</v>
      </c>
      <c r="G32" s="6">
        <f>SUMIFS(NetB3BEWLGS,SUPListBEWLGS,Table_ExternalData_1[[#This Row],[SupplierID]],DLBEWLGS,"&gt;=31",DLBEWLGS,"&lt;=45")</f>
        <v>0</v>
      </c>
      <c r="H32" s="6">
        <f>SUMIFS(NetB3BEWLGS,SUPListBEWLGS,Table_ExternalData_1[[#This Row],[SupplierID]],DLBEWLGS,"&gt;=46",DLBEWLGS,"&lt;=60")</f>
        <v>0</v>
      </c>
      <c r="I32" s="6">
        <f>SUMIFS(NetB3BEWLGS,SUPListBEWLGS,Table_ExternalData_1[[#This Row],[SupplierID]],DLBEWLGS,"&gt;=61",DLBEWLGS,"&lt;=90")</f>
        <v>0</v>
      </c>
      <c r="J32" s="6">
        <f>SUMIFS(NetB3BEWLGS,SUPListBEWLGS,Table_ExternalData_1[[#This Row],[SupplierID]],DLBEWLGS,"&gt;=91",DLBEWLGS,"&lt;=120")</f>
        <v>2320</v>
      </c>
      <c r="K32" s="6">
        <f>SUMIFS(NetB3BEWLGS,SUPListBEWLGS,Table_ExternalData_1[[#This Row],[SupplierID]],DLBEWLGS,"&gt;120")</f>
        <v>0</v>
      </c>
    </row>
    <row r="33" spans="1:11">
      <c r="A33" s="4" t="s">
        <v>6214</v>
      </c>
      <c r="B33" s="4" t="s">
        <v>6216</v>
      </c>
      <c r="C33" s="6">
        <f>SUMIF(SUPListBEWLGS,Table_ExternalData_1[[#This Row],[SupplierID]],NetAmountBEWLGS)</f>
        <v>673808</v>
      </c>
      <c r="D33" s="6">
        <f>SUMIF(SUPListBEWLGS,Table_ExternalData_1[[#This Row],[SupplierID]],PaidBEWLGS)</f>
        <v>0</v>
      </c>
      <c r="E33" s="6">
        <f>Table_ExternalData_1[[#This Row],[Net Amount]]-Table_ExternalData_1[[#This Row],[Paid]]</f>
        <v>673808</v>
      </c>
      <c r="F33" s="6">
        <f>SUMIFS(NetB3BEWLGS,SUPListBEWLGS,Table_ExternalData_1[[#This Row],[SupplierID]],DLBEWLGS,"&gt;=1",DLBEWLGS,"&lt;=30")</f>
        <v>706011</v>
      </c>
      <c r="G33" s="6">
        <f>SUMIFS(NetB3BEWLGS,SUPListBEWLGS,Table_ExternalData_1[[#This Row],[SupplierID]],DLBEWLGS,"&gt;=31",DLBEWLGS,"&lt;=45")</f>
        <v>0</v>
      </c>
      <c r="H33" s="6">
        <f>SUMIFS(NetB3BEWLGS,SUPListBEWLGS,Table_ExternalData_1[[#This Row],[SupplierID]],DLBEWLGS,"&gt;=46",DLBEWLGS,"&lt;=60")</f>
        <v>0</v>
      </c>
      <c r="I33" s="6">
        <f>SUMIFS(NetB3BEWLGS,SUPListBEWLGS,Table_ExternalData_1[[#This Row],[SupplierID]],DLBEWLGS,"&gt;=61",DLBEWLGS,"&lt;=90")</f>
        <v>0</v>
      </c>
      <c r="J33" s="6">
        <f>SUMIFS(NetB3BEWLGS,SUPListBEWLGS,Table_ExternalData_1[[#This Row],[SupplierID]],DLBEWLGS,"&gt;=91",DLBEWLGS,"&lt;=120")</f>
        <v>0</v>
      </c>
      <c r="K33" s="6">
        <f>SUMIFS(NetB3BEWLGS,SUPListBEWLGS,Table_ExternalData_1[[#This Row],[SupplierID]],DLBEWLGS,"&gt;120")</f>
        <v>0</v>
      </c>
    </row>
    <row r="34" spans="1:11">
      <c r="A34" s="4" t="s">
        <v>6124</v>
      </c>
      <c r="B34" s="4" t="s">
        <v>6125</v>
      </c>
      <c r="C34" s="6">
        <f>SUMIF(SUPListBEWLGS,Table_ExternalData_1[[#This Row],[SupplierID]],NetAmountBEWLGS)</f>
        <v>-22365</v>
      </c>
      <c r="D34" s="6">
        <f>SUMIF(SUPListBEWLGS,Table_ExternalData_1[[#This Row],[SupplierID]],PaidBEWLGS)</f>
        <v>0</v>
      </c>
      <c r="E34" s="6">
        <f>Table_ExternalData_1[[#This Row],[Net Amount]]-Table_ExternalData_1[[#This Row],[Paid]]</f>
        <v>-22365</v>
      </c>
      <c r="F34" s="6">
        <f>SUMIFS(NetB3BEWLGS,SUPListBEWLGS,Table_ExternalData_1[[#This Row],[SupplierID]],DLBEWLGS,"&gt;=1",DLBEWLGS,"&lt;=30")</f>
        <v>0</v>
      </c>
      <c r="G34" s="6">
        <f>SUMIFS(NetB3BEWLGS,SUPListBEWLGS,Table_ExternalData_1[[#This Row],[SupplierID]],DLBEWLGS,"&gt;=31",DLBEWLGS,"&lt;=45")</f>
        <v>0</v>
      </c>
      <c r="H34" s="6">
        <f>SUMIFS(NetB3BEWLGS,SUPListBEWLGS,Table_ExternalData_1[[#This Row],[SupplierID]],DLBEWLGS,"&gt;=46",DLBEWLGS,"&lt;=60")</f>
        <v>0</v>
      </c>
      <c r="I34" s="6">
        <f>SUMIFS(NetB3BEWLGS,SUPListBEWLGS,Table_ExternalData_1[[#This Row],[SupplierID]],DLBEWLGS,"&gt;=61",DLBEWLGS,"&lt;=90")</f>
        <v>0</v>
      </c>
      <c r="J34" s="6">
        <f>SUMIFS(NetB3BEWLGS,SUPListBEWLGS,Table_ExternalData_1[[#This Row],[SupplierID]],DLBEWLGS,"&gt;=91",DLBEWLGS,"&lt;=120")</f>
        <v>0</v>
      </c>
      <c r="K34" s="6">
        <f>SUMIFS(NetB3BEWLGS,SUPListBEWLGS,Table_ExternalData_1[[#This Row],[SupplierID]],DLBEWLGS,"&gt;120")</f>
        <v>0</v>
      </c>
    </row>
    <row r="35" spans="1:11">
      <c r="A35" s="4" t="s">
        <v>6328</v>
      </c>
      <c r="B35" s="4" t="s">
        <v>6330</v>
      </c>
      <c r="C35" s="6">
        <f>SUMIF(SUPListBEWLGS,Table_ExternalData_1[[#This Row],[SupplierID]],NetAmountBEWLGS)</f>
        <v>13528922</v>
      </c>
      <c r="D35" s="6">
        <f>SUMIF(SUPListBEWLGS,Table_ExternalData_1[[#This Row],[SupplierID]],PaidBEWLGS)</f>
        <v>4300795</v>
      </c>
      <c r="E35" s="6">
        <f>Table_ExternalData_1[[#This Row],[Net Amount]]-Table_ExternalData_1[[#This Row],[Paid]]</f>
        <v>9228127</v>
      </c>
      <c r="F35" s="6">
        <f>SUMIFS(NetB3BEWLGS,SUPListBEWLGS,Table_ExternalData_1[[#This Row],[SupplierID]],DLBEWLGS,"&gt;=1",DLBEWLGS,"&lt;=30")</f>
        <v>0</v>
      </c>
      <c r="G35" s="6">
        <f>SUMIFS(NetB3BEWLGS,SUPListBEWLGS,Table_ExternalData_1[[#This Row],[SupplierID]],DLBEWLGS,"&gt;=31",DLBEWLGS,"&lt;=45")</f>
        <v>0</v>
      </c>
      <c r="H35" s="6">
        <f>SUMIFS(NetB3BEWLGS,SUPListBEWLGS,Table_ExternalData_1[[#This Row],[SupplierID]],DLBEWLGS,"&gt;=46",DLBEWLGS,"&lt;=60")</f>
        <v>2429180</v>
      </c>
      <c r="I35" s="6">
        <f>SUMIFS(NetB3BEWLGS,SUPListBEWLGS,Table_ExternalData_1[[#This Row],[SupplierID]],DLBEWLGS,"&gt;=61",DLBEWLGS,"&lt;=90")</f>
        <v>1812253</v>
      </c>
      <c r="J35" s="6">
        <f>SUMIFS(NetB3BEWLGS,SUPListBEWLGS,Table_ExternalData_1[[#This Row],[SupplierID]],DLBEWLGS,"&gt;=91",DLBEWLGS,"&lt;=120")</f>
        <v>1634326</v>
      </c>
      <c r="K35" s="6">
        <f>SUMIFS(NetB3BEWLGS,SUPListBEWLGS,Table_ExternalData_1[[#This Row],[SupplierID]],DLBEWLGS,"&gt;120")</f>
        <v>3352368</v>
      </c>
    </row>
    <row r="36" spans="1:11">
      <c r="A36" s="4" t="s">
        <v>7545</v>
      </c>
      <c r="B36" s="4" t="s">
        <v>7547</v>
      </c>
      <c r="C36" s="6">
        <f>SUMIF(SUPListBEWLGS,Table_ExternalData_1[[#This Row],[SupplierID]],NetAmountBEWLGS)</f>
        <v>267090</v>
      </c>
      <c r="D36" s="6">
        <f>SUMIF(SUPListBEWLGS,Table_ExternalData_1[[#This Row],[SupplierID]],PaidBEWLGS)</f>
        <v>0</v>
      </c>
      <c r="E36" s="6">
        <f>Table_ExternalData_1[[#This Row],[Net Amount]]-Table_ExternalData_1[[#This Row],[Paid]]</f>
        <v>267090</v>
      </c>
      <c r="F36" s="6">
        <f>SUMIFS(NetB3BEWLGS,SUPListBEWLGS,Table_ExternalData_1[[#This Row],[SupplierID]],DLBEWLGS,"&gt;=1",DLBEWLGS,"&lt;=30")</f>
        <v>52200</v>
      </c>
      <c r="G36" s="6">
        <f>SUMIFS(NetB3BEWLGS,SUPListBEWLGS,Table_ExternalData_1[[#This Row],[SupplierID]],DLBEWLGS,"&gt;=31",DLBEWLGS,"&lt;=45")</f>
        <v>0</v>
      </c>
      <c r="H36" s="6">
        <f>SUMIFS(NetB3BEWLGS,SUPListBEWLGS,Table_ExternalData_1[[#This Row],[SupplierID]],DLBEWLGS,"&gt;=46",DLBEWLGS,"&lt;=60")</f>
        <v>0</v>
      </c>
      <c r="I36" s="6">
        <f>SUMIFS(NetB3BEWLGS,SUPListBEWLGS,Table_ExternalData_1[[#This Row],[SupplierID]],DLBEWLGS,"&gt;=61",DLBEWLGS,"&lt;=90")</f>
        <v>172289</v>
      </c>
      <c r="J36" s="6">
        <f>SUMIFS(NetB3BEWLGS,SUPListBEWLGS,Table_ExternalData_1[[#This Row],[SupplierID]],DLBEWLGS,"&gt;=91",DLBEWLGS,"&lt;=120")</f>
        <v>2001</v>
      </c>
      <c r="K36" s="6">
        <f>SUMIFS(NetB3BEWLGS,SUPListBEWLGS,Table_ExternalData_1[[#This Row],[SupplierID]],DLBEWLGS,"&gt;120")</f>
        <v>40600</v>
      </c>
    </row>
    <row r="37" spans="1:11">
      <c r="A37" s="4" t="s">
        <v>7601</v>
      </c>
      <c r="B37" s="4" t="s">
        <v>7604</v>
      </c>
      <c r="C37" s="6">
        <f>SUMIF(SUPListBEWLGS,Table_ExternalData_1[[#This Row],[SupplierID]],NetAmountBEWLGS)</f>
        <v>17410</v>
      </c>
      <c r="D37" s="6">
        <f>SUMIF(SUPListBEWLGS,Table_ExternalData_1[[#This Row],[SupplierID]],PaidBEWLGS)</f>
        <v>0</v>
      </c>
      <c r="E37" s="6">
        <f>Table_ExternalData_1[[#This Row],[Net Amount]]-Table_ExternalData_1[[#This Row],[Paid]]</f>
        <v>17410</v>
      </c>
      <c r="F37" s="6">
        <f>SUMIFS(NetB3BEWLGS,SUPListBEWLGS,Table_ExternalData_1[[#This Row],[SupplierID]],DLBEWLGS,"&gt;=1",DLBEWLGS,"&lt;=30")</f>
        <v>15910</v>
      </c>
      <c r="G37" s="6">
        <f>SUMIFS(NetB3BEWLGS,SUPListBEWLGS,Table_ExternalData_1[[#This Row],[SupplierID]],DLBEWLGS,"&gt;=31",DLBEWLGS,"&lt;=45")</f>
        <v>0</v>
      </c>
      <c r="H37" s="6">
        <f>SUMIFS(NetB3BEWLGS,SUPListBEWLGS,Table_ExternalData_1[[#This Row],[SupplierID]],DLBEWLGS,"&gt;=46",DLBEWLGS,"&lt;=60")</f>
        <v>0</v>
      </c>
      <c r="I37" s="6">
        <f>SUMIFS(NetB3BEWLGS,SUPListBEWLGS,Table_ExternalData_1[[#This Row],[SupplierID]],DLBEWLGS,"&gt;=61",DLBEWLGS,"&lt;=90")</f>
        <v>0</v>
      </c>
      <c r="J37" s="6">
        <f>SUMIFS(NetB3BEWLGS,SUPListBEWLGS,Table_ExternalData_1[[#This Row],[SupplierID]],DLBEWLGS,"&gt;=91",DLBEWLGS,"&lt;=120")</f>
        <v>1500</v>
      </c>
      <c r="K37" s="6">
        <f>SUMIFS(NetB3BEWLGS,SUPListBEWLGS,Table_ExternalData_1[[#This Row],[SupplierID]],DLBEWLGS,"&gt;120")</f>
        <v>0</v>
      </c>
    </row>
    <row r="38" spans="1:11">
      <c r="A38" s="4" t="s">
        <v>8168</v>
      </c>
      <c r="B38" s="4" t="s">
        <v>8169</v>
      </c>
      <c r="C38" s="6">
        <f>SUMIF(SUPListBEWLGS,Table_ExternalData_1[[#This Row],[SupplierID]],NetAmountBEWLGS)</f>
        <v>54150</v>
      </c>
      <c r="D38" s="6">
        <f>SUMIF(SUPListBEWLGS,Table_ExternalData_1[[#This Row],[SupplierID]],PaidBEWLGS)</f>
        <v>0</v>
      </c>
      <c r="E38" s="6">
        <f>Table_ExternalData_1[[#This Row],[Net Amount]]-Table_ExternalData_1[[#This Row],[Paid]]</f>
        <v>54150</v>
      </c>
      <c r="F38" s="6">
        <f>SUMIFS(NetB3BEWLGS,SUPListBEWLGS,Table_ExternalData_1[[#This Row],[SupplierID]],DLBEWLGS,"&gt;=1",DLBEWLGS,"&lt;=30")</f>
        <v>0</v>
      </c>
      <c r="G38" s="6">
        <f>SUMIFS(NetB3BEWLGS,SUPListBEWLGS,Table_ExternalData_1[[#This Row],[SupplierID]],DLBEWLGS,"&gt;=31",DLBEWLGS,"&lt;=45")</f>
        <v>54150</v>
      </c>
      <c r="H38" s="6">
        <f>SUMIFS(NetB3BEWLGS,SUPListBEWLGS,Table_ExternalData_1[[#This Row],[SupplierID]],DLBEWLGS,"&gt;=46",DLBEWLGS,"&lt;=60")</f>
        <v>0</v>
      </c>
      <c r="I38" s="6">
        <f>SUMIFS(NetB3BEWLGS,SUPListBEWLGS,Table_ExternalData_1[[#This Row],[SupplierID]],DLBEWLGS,"&gt;=61",DLBEWLGS,"&lt;=90")</f>
        <v>0</v>
      </c>
      <c r="J38" s="6">
        <f>SUMIFS(NetB3BEWLGS,SUPListBEWLGS,Table_ExternalData_1[[#This Row],[SupplierID]],DLBEWLGS,"&gt;=91",DLBEWLGS,"&lt;=120")</f>
        <v>0</v>
      </c>
      <c r="K38" s="6">
        <f>SUMIFS(NetB3BEWLGS,SUPListBEWLGS,Table_ExternalData_1[[#This Row],[SupplierID]],DLBEWLGS,"&gt;120")</f>
        <v>0</v>
      </c>
    </row>
    <row r="39" spans="1:11">
      <c r="A39" s="4" t="s">
        <v>6654</v>
      </c>
      <c r="B39" s="4" t="s">
        <v>6656</v>
      </c>
      <c r="C39" s="6">
        <f>SUMIF(SUPListBEWLGS,Table_ExternalData_1[[#This Row],[SupplierID]],NetAmountBEWLGS)</f>
        <v>943718</v>
      </c>
      <c r="D39" s="6">
        <f>SUMIF(SUPListBEWLGS,Table_ExternalData_1[[#This Row],[SupplierID]],PaidBEWLGS)</f>
        <v>0</v>
      </c>
      <c r="E39" s="6">
        <f>Table_ExternalData_1[[#This Row],[Net Amount]]-Table_ExternalData_1[[#This Row],[Paid]]</f>
        <v>943718</v>
      </c>
      <c r="F39" s="6">
        <f>SUMIFS(NetB3BEWLGS,SUPListBEWLGS,Table_ExternalData_1[[#This Row],[SupplierID]],DLBEWLGS,"&gt;=1",DLBEWLGS,"&lt;=30")</f>
        <v>132617</v>
      </c>
      <c r="G39" s="6">
        <f>SUMIFS(NetB3BEWLGS,SUPListBEWLGS,Table_ExternalData_1[[#This Row],[SupplierID]],DLBEWLGS,"&gt;=31",DLBEWLGS,"&lt;=45")</f>
        <v>10092</v>
      </c>
      <c r="H39" s="6">
        <f>SUMIFS(NetB3BEWLGS,SUPListBEWLGS,Table_ExternalData_1[[#This Row],[SupplierID]],DLBEWLGS,"&gt;=46",DLBEWLGS,"&lt;=60")</f>
        <v>0</v>
      </c>
      <c r="I39" s="6">
        <f>SUMIFS(NetB3BEWLGS,SUPListBEWLGS,Table_ExternalData_1[[#This Row],[SupplierID]],DLBEWLGS,"&gt;=61",DLBEWLGS,"&lt;=90")</f>
        <v>102660</v>
      </c>
      <c r="J39" s="6">
        <f>SUMIFS(NetB3BEWLGS,SUPListBEWLGS,Table_ExternalData_1[[#This Row],[SupplierID]],DLBEWLGS,"&gt;=91",DLBEWLGS,"&lt;=120")</f>
        <v>121829</v>
      </c>
      <c r="K39" s="6">
        <f>SUMIFS(NetB3BEWLGS,SUPListBEWLGS,Table_ExternalData_1[[#This Row],[SupplierID]],DLBEWLGS,"&gt;120")</f>
        <v>576520</v>
      </c>
    </row>
    <row r="40" spans="1:11">
      <c r="A40" s="4" t="s">
        <v>7264</v>
      </c>
      <c r="B40" s="4" t="s">
        <v>7266</v>
      </c>
      <c r="C40" s="6">
        <f>SUMIF(SUPListBEWLGS,Table_ExternalData_1[[#This Row],[SupplierID]],NetAmountBEWLGS)</f>
        <v>2035037</v>
      </c>
      <c r="D40" s="6">
        <f>SUMIF(SUPListBEWLGS,Table_ExternalData_1[[#This Row],[SupplierID]],PaidBEWLGS)</f>
        <v>262874</v>
      </c>
      <c r="E40" s="6">
        <f>Table_ExternalData_1[[#This Row],[Net Amount]]-Table_ExternalData_1[[#This Row],[Paid]]</f>
        <v>1772163</v>
      </c>
      <c r="F40" s="6">
        <f>SUMIFS(NetB3BEWLGS,SUPListBEWLGS,Table_ExternalData_1[[#This Row],[SupplierID]],DLBEWLGS,"&gt;=1",DLBEWLGS,"&lt;=30")</f>
        <v>0</v>
      </c>
      <c r="G40" s="6">
        <f>SUMIFS(NetB3BEWLGS,SUPListBEWLGS,Table_ExternalData_1[[#This Row],[SupplierID]],DLBEWLGS,"&gt;=31",DLBEWLGS,"&lt;=45")</f>
        <v>0</v>
      </c>
      <c r="H40" s="6">
        <f>SUMIFS(NetB3BEWLGS,SUPListBEWLGS,Table_ExternalData_1[[#This Row],[SupplierID]],DLBEWLGS,"&gt;=46",DLBEWLGS,"&lt;=60")</f>
        <v>762404</v>
      </c>
      <c r="I40" s="6">
        <f>SUMIFS(NetB3BEWLGS,SUPListBEWLGS,Table_ExternalData_1[[#This Row],[SupplierID]],DLBEWLGS,"&gt;=61",DLBEWLGS,"&lt;=90")</f>
        <v>0</v>
      </c>
      <c r="J40" s="6">
        <f>SUMIFS(NetB3BEWLGS,SUPListBEWLGS,Table_ExternalData_1[[#This Row],[SupplierID]],DLBEWLGS,"&gt;=91",DLBEWLGS,"&lt;=120")</f>
        <v>0</v>
      </c>
      <c r="K40" s="6">
        <f>SUMIFS(NetB3BEWLGS,SUPListBEWLGS,Table_ExternalData_1[[#This Row],[SupplierID]],DLBEWLGS,"&gt;120")</f>
        <v>1009759</v>
      </c>
    </row>
    <row r="41" spans="1:11">
      <c r="A41" s="4" t="s">
        <v>7074</v>
      </c>
      <c r="B41" s="4" t="s">
        <v>7076</v>
      </c>
      <c r="C41" s="6">
        <f>SUMIF(SUPListBEWLGS,Table_ExternalData_1[[#This Row],[SupplierID]],NetAmountBEWLGS)</f>
        <v>79200</v>
      </c>
      <c r="D41" s="6">
        <f>SUMIF(SUPListBEWLGS,Table_ExternalData_1[[#This Row],[SupplierID]],PaidBEWLGS)</f>
        <v>0</v>
      </c>
      <c r="E41" s="6">
        <f>Table_ExternalData_1[[#This Row],[Net Amount]]-Table_ExternalData_1[[#This Row],[Paid]]</f>
        <v>79200</v>
      </c>
      <c r="F41" s="6">
        <f>SUMIFS(NetB3BEWLGS,SUPListBEWLGS,Table_ExternalData_1[[#This Row],[SupplierID]],DLBEWLGS,"&gt;=1",DLBEWLGS,"&lt;=30")</f>
        <v>27100</v>
      </c>
      <c r="G41" s="6">
        <f>SUMIFS(NetB3BEWLGS,SUPListBEWLGS,Table_ExternalData_1[[#This Row],[SupplierID]],DLBEWLGS,"&gt;=31",DLBEWLGS,"&lt;=45")</f>
        <v>52100</v>
      </c>
      <c r="H41" s="6">
        <f>SUMIFS(NetB3BEWLGS,SUPListBEWLGS,Table_ExternalData_1[[#This Row],[SupplierID]],DLBEWLGS,"&gt;=46",DLBEWLGS,"&lt;=60")</f>
        <v>0</v>
      </c>
      <c r="I41" s="6">
        <f>SUMIFS(NetB3BEWLGS,SUPListBEWLGS,Table_ExternalData_1[[#This Row],[SupplierID]],DLBEWLGS,"&gt;=61",DLBEWLGS,"&lt;=90")</f>
        <v>0</v>
      </c>
      <c r="J41" s="6">
        <f>SUMIFS(NetB3BEWLGS,SUPListBEWLGS,Table_ExternalData_1[[#This Row],[SupplierID]],DLBEWLGS,"&gt;=91",DLBEWLGS,"&lt;=120")</f>
        <v>0</v>
      </c>
      <c r="K41" s="6">
        <f>SUMIFS(NetB3BEWLGS,SUPListBEWLGS,Table_ExternalData_1[[#This Row],[SupplierID]],DLBEWLGS,"&gt;120")</f>
        <v>0</v>
      </c>
    </row>
    <row r="42" spans="1:11">
      <c r="A42" s="4" t="s">
        <v>7786</v>
      </c>
      <c r="B42" s="4" t="s">
        <v>7788</v>
      </c>
      <c r="C42" s="6">
        <f>SUMIF(SUPListBEWLGS,Table_ExternalData_1[[#This Row],[SupplierID]],NetAmountBEWLGS)</f>
        <v>17998</v>
      </c>
      <c r="D42" s="6">
        <f>SUMIF(SUPListBEWLGS,Table_ExternalData_1[[#This Row],[SupplierID]],PaidBEWLGS)</f>
        <v>0</v>
      </c>
      <c r="E42" s="6">
        <f>Table_ExternalData_1[[#This Row],[Net Amount]]-Table_ExternalData_1[[#This Row],[Paid]]</f>
        <v>17998</v>
      </c>
      <c r="F42" s="6">
        <f>SUMIFS(NetB3BEWLGS,SUPListBEWLGS,Table_ExternalData_1[[#This Row],[SupplierID]],DLBEWLGS,"&gt;=1",DLBEWLGS,"&lt;=30")</f>
        <v>0</v>
      </c>
      <c r="G42" s="6">
        <f>SUMIFS(NetB3BEWLGS,SUPListBEWLGS,Table_ExternalData_1[[#This Row],[SupplierID]],DLBEWLGS,"&gt;=31",DLBEWLGS,"&lt;=45")</f>
        <v>0</v>
      </c>
      <c r="H42" s="6">
        <f>SUMIFS(NetB3BEWLGS,SUPListBEWLGS,Table_ExternalData_1[[#This Row],[SupplierID]],DLBEWLGS,"&gt;=46",DLBEWLGS,"&lt;=60")</f>
        <v>0</v>
      </c>
      <c r="I42" s="6">
        <f>SUMIFS(NetB3BEWLGS,SUPListBEWLGS,Table_ExternalData_1[[#This Row],[SupplierID]],DLBEWLGS,"&gt;=61",DLBEWLGS,"&lt;=90")</f>
        <v>17998</v>
      </c>
      <c r="J42" s="6">
        <f>SUMIFS(NetB3BEWLGS,SUPListBEWLGS,Table_ExternalData_1[[#This Row],[SupplierID]],DLBEWLGS,"&gt;=91",DLBEWLGS,"&lt;=120")</f>
        <v>0</v>
      </c>
      <c r="K42" s="6">
        <f>SUMIFS(NetB3BEWLGS,SUPListBEWLGS,Table_ExternalData_1[[#This Row],[SupplierID]],DLBEWLGS,"&gt;120")</f>
        <v>0</v>
      </c>
    </row>
    <row r="43" spans="1:11">
      <c r="A43" s="4" t="s">
        <v>6296</v>
      </c>
      <c r="B43" s="4" t="s">
        <v>6297</v>
      </c>
      <c r="C43" s="6">
        <f>SUMIF(SUPListBEWLGS,Table_ExternalData_1[[#This Row],[SupplierID]],NetAmountBEWLGS)</f>
        <v>251226</v>
      </c>
      <c r="D43" s="6">
        <f>SUMIF(SUPListBEWLGS,Table_ExternalData_1[[#This Row],[SupplierID]],PaidBEWLGS)</f>
        <v>0</v>
      </c>
      <c r="E43" s="6">
        <f>Table_ExternalData_1[[#This Row],[Net Amount]]-Table_ExternalData_1[[#This Row],[Paid]]</f>
        <v>251226</v>
      </c>
      <c r="F43" s="6">
        <f>SUMIFS(NetB3BEWLGS,SUPListBEWLGS,Table_ExternalData_1[[#This Row],[SupplierID]],DLBEWLGS,"&gt;=1",DLBEWLGS,"&lt;=30")</f>
        <v>37578</v>
      </c>
      <c r="G43" s="6">
        <f>SUMIFS(NetB3BEWLGS,SUPListBEWLGS,Table_ExternalData_1[[#This Row],[SupplierID]],DLBEWLGS,"&gt;=31",DLBEWLGS,"&lt;=45")</f>
        <v>0</v>
      </c>
      <c r="H43" s="6">
        <f>SUMIFS(NetB3BEWLGS,SUPListBEWLGS,Table_ExternalData_1[[#This Row],[SupplierID]],DLBEWLGS,"&gt;=46",DLBEWLGS,"&lt;=60")</f>
        <v>18702</v>
      </c>
      <c r="I43" s="6">
        <f>SUMIFS(NetB3BEWLGS,SUPListBEWLGS,Table_ExternalData_1[[#This Row],[SupplierID]],DLBEWLGS,"&gt;=61",DLBEWLGS,"&lt;=90")</f>
        <v>48602</v>
      </c>
      <c r="J43" s="6">
        <f>SUMIFS(NetB3BEWLGS,SUPListBEWLGS,Table_ExternalData_1[[#This Row],[SupplierID]],DLBEWLGS,"&gt;=91",DLBEWLGS,"&lt;=120")</f>
        <v>11225</v>
      </c>
      <c r="K43" s="6">
        <f>SUMIFS(NetB3BEWLGS,SUPListBEWLGS,Table_ExternalData_1[[#This Row],[SupplierID]],DLBEWLGS,"&gt;120")</f>
        <v>135119</v>
      </c>
    </row>
    <row r="44" spans="1:11">
      <c r="A44" s="4" t="s">
        <v>7010</v>
      </c>
      <c r="B44" s="4" t="s">
        <v>7012</v>
      </c>
      <c r="C44" s="6">
        <f>SUMIF(SUPListBEWLGS,Table_ExternalData_1[[#This Row],[SupplierID]],NetAmountBEWLGS)</f>
        <v>3763</v>
      </c>
      <c r="D44" s="6">
        <f>SUMIF(SUPListBEWLGS,Table_ExternalData_1[[#This Row],[SupplierID]],PaidBEWLGS)</f>
        <v>0</v>
      </c>
      <c r="E44" s="6">
        <f>Table_ExternalData_1[[#This Row],[Net Amount]]-Table_ExternalData_1[[#This Row],[Paid]]</f>
        <v>3763</v>
      </c>
      <c r="F44" s="6">
        <f>SUMIFS(NetB3BEWLGS,SUPListBEWLGS,Table_ExternalData_1[[#This Row],[SupplierID]],DLBEWLGS,"&gt;=1",DLBEWLGS,"&lt;=30")</f>
        <v>0</v>
      </c>
      <c r="G44" s="6">
        <f>SUMIFS(NetB3BEWLGS,SUPListBEWLGS,Table_ExternalData_1[[#This Row],[SupplierID]],DLBEWLGS,"&gt;=31",DLBEWLGS,"&lt;=45")</f>
        <v>1322</v>
      </c>
      <c r="H44" s="6">
        <f>SUMIFS(NetB3BEWLGS,SUPListBEWLGS,Table_ExternalData_1[[#This Row],[SupplierID]],DLBEWLGS,"&gt;=46",DLBEWLGS,"&lt;=60")</f>
        <v>452</v>
      </c>
      <c r="I44" s="6">
        <f>SUMIFS(NetB3BEWLGS,SUPListBEWLGS,Table_ExternalData_1[[#This Row],[SupplierID]],DLBEWLGS,"&gt;=61",DLBEWLGS,"&lt;=90")</f>
        <v>696</v>
      </c>
      <c r="J44" s="6">
        <f>SUMIFS(NetB3BEWLGS,SUPListBEWLGS,Table_ExternalData_1[[#This Row],[SupplierID]],DLBEWLGS,"&gt;=91",DLBEWLGS,"&lt;=120")</f>
        <v>1293</v>
      </c>
      <c r="K44" s="6">
        <f>SUMIFS(NetB3BEWLGS,SUPListBEWLGS,Table_ExternalData_1[[#This Row],[SupplierID]],DLBEWLGS,"&gt;120")</f>
        <v>0</v>
      </c>
    </row>
    <row r="45" spans="1:11">
      <c r="A45" s="4" t="s">
        <v>8071</v>
      </c>
      <c r="B45" s="4" t="s">
        <v>8073</v>
      </c>
      <c r="C45" s="6">
        <f>SUMIF(SUPListBEWLGS,Table_ExternalData_1[[#This Row],[SupplierID]],NetAmountBEWLGS)</f>
        <v>68345</v>
      </c>
      <c r="D45" s="6">
        <f>SUMIF(SUPListBEWLGS,Table_ExternalData_1[[#This Row],[SupplierID]],PaidBEWLGS)</f>
        <v>0</v>
      </c>
      <c r="E45" s="6">
        <f>Table_ExternalData_1[[#This Row],[Net Amount]]-Table_ExternalData_1[[#This Row],[Paid]]</f>
        <v>68345</v>
      </c>
      <c r="F45" s="6">
        <f>SUMIFS(NetB3BEWLGS,SUPListBEWLGS,Table_ExternalData_1[[#This Row],[SupplierID]],DLBEWLGS,"&gt;=1",DLBEWLGS,"&lt;=30")</f>
        <v>38765</v>
      </c>
      <c r="G45" s="6">
        <f>SUMIFS(NetB3BEWLGS,SUPListBEWLGS,Table_ExternalData_1[[#This Row],[SupplierID]],DLBEWLGS,"&gt;=31",DLBEWLGS,"&lt;=45")</f>
        <v>0</v>
      </c>
      <c r="H45" s="6">
        <f>SUMIFS(NetB3BEWLGS,SUPListBEWLGS,Table_ExternalData_1[[#This Row],[SupplierID]],DLBEWLGS,"&gt;=46",DLBEWLGS,"&lt;=60")</f>
        <v>29580</v>
      </c>
      <c r="I45" s="6">
        <f>SUMIFS(NetB3BEWLGS,SUPListBEWLGS,Table_ExternalData_1[[#This Row],[SupplierID]],DLBEWLGS,"&gt;=61",DLBEWLGS,"&lt;=90")</f>
        <v>0</v>
      </c>
      <c r="J45" s="6">
        <f>SUMIFS(NetB3BEWLGS,SUPListBEWLGS,Table_ExternalData_1[[#This Row],[SupplierID]],DLBEWLGS,"&gt;=91",DLBEWLGS,"&lt;=120")</f>
        <v>0</v>
      </c>
      <c r="K45" s="6">
        <f>SUMIFS(NetB3BEWLGS,SUPListBEWLGS,Table_ExternalData_1[[#This Row],[SupplierID]],DLBEWLGS,"&gt;120")</f>
        <v>0</v>
      </c>
    </row>
    <row r="46" spans="1:11">
      <c r="A46" s="4" t="s">
        <v>8100</v>
      </c>
      <c r="B46" s="4" t="s">
        <v>8102</v>
      </c>
      <c r="C46" s="6">
        <f>SUMIF(SUPListBEWLGS,Table_ExternalData_1[[#This Row],[SupplierID]],NetAmountBEWLGS)</f>
        <v>9165</v>
      </c>
      <c r="D46" s="6">
        <f>SUMIF(SUPListBEWLGS,Table_ExternalData_1[[#This Row],[SupplierID]],PaidBEWLGS)</f>
        <v>0</v>
      </c>
      <c r="E46" s="6">
        <f>Table_ExternalData_1[[#This Row],[Net Amount]]-Table_ExternalData_1[[#This Row],[Paid]]</f>
        <v>9165</v>
      </c>
      <c r="F46" s="6">
        <f>SUMIFS(NetB3BEWLGS,SUPListBEWLGS,Table_ExternalData_1[[#This Row],[SupplierID]],DLBEWLGS,"&gt;=1",DLBEWLGS,"&lt;=30")</f>
        <v>0</v>
      </c>
      <c r="G46" s="6">
        <f>SUMIFS(NetB3BEWLGS,SUPListBEWLGS,Table_ExternalData_1[[#This Row],[SupplierID]],DLBEWLGS,"&gt;=31",DLBEWLGS,"&lt;=45")</f>
        <v>9165</v>
      </c>
      <c r="H46" s="6">
        <f>SUMIFS(NetB3BEWLGS,SUPListBEWLGS,Table_ExternalData_1[[#This Row],[SupplierID]],DLBEWLGS,"&gt;=46",DLBEWLGS,"&lt;=60")</f>
        <v>0</v>
      </c>
      <c r="I46" s="6">
        <f>SUMIFS(NetB3BEWLGS,SUPListBEWLGS,Table_ExternalData_1[[#This Row],[SupplierID]],DLBEWLGS,"&gt;=61",DLBEWLGS,"&lt;=90")</f>
        <v>0</v>
      </c>
      <c r="J46" s="6">
        <f>SUMIFS(NetB3BEWLGS,SUPListBEWLGS,Table_ExternalData_1[[#This Row],[SupplierID]],DLBEWLGS,"&gt;=91",DLBEWLGS,"&lt;=120")</f>
        <v>0</v>
      </c>
      <c r="K46" s="6">
        <f>SUMIFS(NetB3BEWLGS,SUPListBEWLGS,Table_ExternalData_1[[#This Row],[SupplierID]],DLBEWLGS,"&gt;120")</f>
        <v>0</v>
      </c>
    </row>
    <row r="47" spans="1:11">
      <c r="A47" s="4" t="s">
        <v>6425</v>
      </c>
      <c r="B47" s="4" t="s">
        <v>5478</v>
      </c>
      <c r="C47" s="6">
        <f>SUMIF(SUPListBEWLGS,Table_ExternalData_1[[#This Row],[SupplierID]],NetAmountBEWLGS)</f>
        <v>428063</v>
      </c>
      <c r="D47" s="6">
        <f>SUMIF(SUPListBEWLGS,Table_ExternalData_1[[#This Row],[SupplierID]],PaidBEWLGS)</f>
        <v>0</v>
      </c>
      <c r="E47" s="6">
        <f>Table_ExternalData_1[[#This Row],[Net Amount]]-Table_ExternalData_1[[#This Row],[Paid]]</f>
        <v>428063</v>
      </c>
      <c r="F47" s="6">
        <f>SUMIFS(NetB3BEWLGS,SUPListBEWLGS,Table_ExternalData_1[[#This Row],[SupplierID]],DLBEWLGS,"&gt;=1",DLBEWLGS,"&lt;=30")</f>
        <v>26216</v>
      </c>
      <c r="G47" s="6">
        <f>SUMIFS(NetB3BEWLGS,SUPListBEWLGS,Table_ExternalData_1[[#This Row],[SupplierID]],DLBEWLGS,"&gt;=31",DLBEWLGS,"&lt;=45")</f>
        <v>0</v>
      </c>
      <c r="H47" s="6">
        <f>SUMIFS(NetB3BEWLGS,SUPListBEWLGS,Table_ExternalData_1[[#This Row],[SupplierID]],DLBEWLGS,"&gt;=46",DLBEWLGS,"&lt;=60")</f>
        <v>0</v>
      </c>
      <c r="I47" s="6">
        <f>SUMIFS(NetB3BEWLGS,SUPListBEWLGS,Table_ExternalData_1[[#This Row],[SupplierID]],DLBEWLGS,"&gt;=61",DLBEWLGS,"&lt;=90")</f>
        <v>50924</v>
      </c>
      <c r="J47" s="6">
        <f>SUMIFS(NetB3BEWLGS,SUPListBEWLGS,Table_ExternalData_1[[#This Row],[SupplierID]],DLBEWLGS,"&gt;=91",DLBEWLGS,"&lt;=120")</f>
        <v>40263</v>
      </c>
      <c r="K47" s="6">
        <f>SUMIFS(NetB3BEWLGS,SUPListBEWLGS,Table_ExternalData_1[[#This Row],[SupplierID]],DLBEWLGS,"&gt;120")</f>
        <v>310660</v>
      </c>
    </row>
    <row r="48" spans="1:11">
      <c r="A48" s="4" t="s">
        <v>7212</v>
      </c>
      <c r="B48" s="4" t="s">
        <v>7214</v>
      </c>
      <c r="C48" s="6">
        <f>SUMIF(SUPListBEWLGS,Table_ExternalData_1[[#This Row],[SupplierID]],NetAmountBEWLGS)</f>
        <v>229554</v>
      </c>
      <c r="D48" s="6">
        <f>SUMIF(SUPListBEWLGS,Table_ExternalData_1[[#This Row],[SupplierID]],PaidBEWLGS)</f>
        <v>0</v>
      </c>
      <c r="E48" s="6">
        <f>Table_ExternalData_1[[#This Row],[Net Amount]]-Table_ExternalData_1[[#This Row],[Paid]]</f>
        <v>229554</v>
      </c>
      <c r="F48" s="6">
        <f>SUMIFS(NetB3BEWLGS,SUPListBEWLGS,Table_ExternalData_1[[#This Row],[SupplierID]],DLBEWLGS,"&gt;=1",DLBEWLGS,"&lt;=30")</f>
        <v>33954</v>
      </c>
      <c r="G48" s="6">
        <f>SUMIFS(NetB3BEWLGS,SUPListBEWLGS,Table_ExternalData_1[[#This Row],[SupplierID]],DLBEWLGS,"&gt;=31",DLBEWLGS,"&lt;=45")</f>
        <v>0</v>
      </c>
      <c r="H48" s="6">
        <f>SUMIFS(NetB3BEWLGS,SUPListBEWLGS,Table_ExternalData_1[[#This Row],[SupplierID]],DLBEWLGS,"&gt;=46",DLBEWLGS,"&lt;=60")</f>
        <v>0</v>
      </c>
      <c r="I48" s="6">
        <f>SUMIFS(NetB3BEWLGS,SUPListBEWLGS,Table_ExternalData_1[[#This Row],[SupplierID]],DLBEWLGS,"&gt;=61",DLBEWLGS,"&lt;=90")</f>
        <v>0</v>
      </c>
      <c r="J48" s="6">
        <f>SUMIFS(NetB3BEWLGS,SUPListBEWLGS,Table_ExternalData_1[[#This Row],[SupplierID]],DLBEWLGS,"&gt;=91",DLBEWLGS,"&lt;=120")</f>
        <v>54594</v>
      </c>
      <c r="K48" s="6">
        <f>SUMIFS(NetB3BEWLGS,SUPListBEWLGS,Table_ExternalData_1[[#This Row],[SupplierID]],DLBEWLGS,"&gt;120")</f>
        <v>141006</v>
      </c>
    </row>
    <row r="49" spans="1:11">
      <c r="A49" s="4" t="s">
        <v>8232</v>
      </c>
      <c r="B49" s="4" t="s">
        <v>8233</v>
      </c>
      <c r="C49" s="6">
        <f>SUMIF(SUPListBEWLGS,Table_ExternalData_1[[#This Row],[SupplierID]],NetAmountBEWLGS)</f>
        <v>2310</v>
      </c>
      <c r="D49" s="6">
        <f>SUMIF(SUPListBEWLGS,Table_ExternalData_1[[#This Row],[SupplierID]],PaidBEWLGS)</f>
        <v>0</v>
      </c>
      <c r="E49" s="6">
        <f>Table_ExternalData_1[[#This Row],[Net Amount]]-Table_ExternalData_1[[#This Row],[Paid]]</f>
        <v>2310</v>
      </c>
      <c r="F49" s="6">
        <f>SUMIFS(NetB3BEWLGS,SUPListBEWLGS,Table_ExternalData_1[[#This Row],[SupplierID]],DLBEWLGS,"&gt;=1",DLBEWLGS,"&lt;=30")</f>
        <v>2310</v>
      </c>
      <c r="G49" s="6">
        <f>SUMIFS(NetB3BEWLGS,SUPListBEWLGS,Table_ExternalData_1[[#This Row],[SupplierID]],DLBEWLGS,"&gt;=31",DLBEWLGS,"&lt;=45")</f>
        <v>0</v>
      </c>
      <c r="H49" s="6">
        <f>SUMIFS(NetB3BEWLGS,SUPListBEWLGS,Table_ExternalData_1[[#This Row],[SupplierID]],DLBEWLGS,"&gt;=46",DLBEWLGS,"&lt;=60")</f>
        <v>0</v>
      </c>
      <c r="I49" s="6">
        <f>SUMIFS(NetB3BEWLGS,SUPListBEWLGS,Table_ExternalData_1[[#This Row],[SupplierID]],DLBEWLGS,"&gt;=61",DLBEWLGS,"&lt;=90")</f>
        <v>0</v>
      </c>
      <c r="J49" s="6">
        <f>SUMIFS(NetB3BEWLGS,SUPListBEWLGS,Table_ExternalData_1[[#This Row],[SupplierID]],DLBEWLGS,"&gt;=91",DLBEWLGS,"&lt;=120")</f>
        <v>0</v>
      </c>
      <c r="K49" s="6">
        <f>SUMIFS(NetB3BEWLGS,SUPListBEWLGS,Table_ExternalData_1[[#This Row],[SupplierID]],DLBEWLGS,"&gt;120")</f>
        <v>0</v>
      </c>
    </row>
    <row r="50" spans="1:11">
      <c r="A50" s="4" t="s">
        <v>7556</v>
      </c>
      <c r="B50" s="4" t="s">
        <v>7559</v>
      </c>
      <c r="C50" s="6">
        <f>SUMIF(SUPListBEWLGS,Table_ExternalData_1[[#This Row],[SupplierID]],NetAmountBEWLGS)</f>
        <v>151137</v>
      </c>
      <c r="D50" s="6">
        <f>SUMIF(SUPListBEWLGS,Table_ExternalData_1[[#This Row],[SupplierID]],PaidBEWLGS)</f>
        <v>0</v>
      </c>
      <c r="E50" s="6">
        <f>Table_ExternalData_1[[#This Row],[Net Amount]]-Table_ExternalData_1[[#This Row],[Paid]]</f>
        <v>151137</v>
      </c>
      <c r="F50" s="6">
        <f>SUMIFS(NetB3BEWLGS,SUPListBEWLGS,Table_ExternalData_1[[#This Row],[SupplierID]],DLBEWLGS,"&gt;=1",DLBEWLGS,"&lt;=30")</f>
        <v>40577</v>
      </c>
      <c r="G50" s="6">
        <f>SUMIFS(NetB3BEWLGS,SUPListBEWLGS,Table_ExternalData_1[[#This Row],[SupplierID]],DLBEWLGS,"&gt;=31",DLBEWLGS,"&lt;=45")</f>
        <v>0</v>
      </c>
      <c r="H50" s="6">
        <f>SUMIFS(NetB3BEWLGS,SUPListBEWLGS,Table_ExternalData_1[[#This Row],[SupplierID]],DLBEWLGS,"&gt;=46",DLBEWLGS,"&lt;=60")</f>
        <v>0</v>
      </c>
      <c r="I50" s="6">
        <f>SUMIFS(NetB3BEWLGS,SUPListBEWLGS,Table_ExternalData_1[[#This Row],[SupplierID]],DLBEWLGS,"&gt;=61",DLBEWLGS,"&lt;=90")</f>
        <v>0</v>
      </c>
      <c r="J50" s="6">
        <f>SUMIFS(NetB3BEWLGS,SUPListBEWLGS,Table_ExternalData_1[[#This Row],[SupplierID]],DLBEWLGS,"&gt;=91",DLBEWLGS,"&lt;=120")</f>
        <v>60030</v>
      </c>
      <c r="K50" s="6">
        <f>SUMIFS(NetB3BEWLGS,SUPListBEWLGS,Table_ExternalData_1[[#This Row],[SupplierID]],DLBEWLGS,"&gt;120")</f>
        <v>50530</v>
      </c>
    </row>
    <row r="51" spans="1:11">
      <c r="A51" s="4" t="s">
        <v>7709</v>
      </c>
      <c r="B51" s="4" t="s">
        <v>7712</v>
      </c>
      <c r="C51" s="6">
        <f>SUMIF(SUPListBEWLGS,Table_ExternalData_1[[#This Row],[SupplierID]],NetAmountBEWLGS)</f>
        <v>539062</v>
      </c>
      <c r="D51" s="6">
        <f>SUMIF(SUPListBEWLGS,Table_ExternalData_1[[#This Row],[SupplierID]],PaidBEWLGS)</f>
        <v>0</v>
      </c>
      <c r="E51" s="6">
        <f>Table_ExternalData_1[[#This Row],[Net Amount]]-Table_ExternalData_1[[#This Row],[Paid]]</f>
        <v>539062</v>
      </c>
      <c r="F51" s="6">
        <f>SUMIFS(NetB3BEWLGS,SUPListBEWLGS,Table_ExternalData_1[[#This Row],[SupplierID]],DLBEWLGS,"&gt;=1",DLBEWLGS,"&lt;=30")</f>
        <v>92500</v>
      </c>
      <c r="G51" s="6">
        <f>SUMIFS(NetB3BEWLGS,SUPListBEWLGS,Table_ExternalData_1[[#This Row],[SupplierID]],DLBEWLGS,"&gt;=31",DLBEWLGS,"&lt;=45")</f>
        <v>0</v>
      </c>
      <c r="H51" s="6">
        <f>SUMIFS(NetB3BEWLGS,SUPListBEWLGS,Table_ExternalData_1[[#This Row],[SupplierID]],DLBEWLGS,"&gt;=46",DLBEWLGS,"&lt;=60")</f>
        <v>120000</v>
      </c>
      <c r="I51" s="6">
        <f>SUMIFS(NetB3BEWLGS,SUPListBEWLGS,Table_ExternalData_1[[#This Row],[SupplierID]],DLBEWLGS,"&gt;=61",DLBEWLGS,"&lt;=90")</f>
        <v>149337</v>
      </c>
      <c r="J51" s="6">
        <f>SUMIFS(NetB3BEWLGS,SUPListBEWLGS,Table_ExternalData_1[[#This Row],[SupplierID]],DLBEWLGS,"&gt;=91",DLBEWLGS,"&lt;=120")</f>
        <v>177225</v>
      </c>
      <c r="K51" s="6">
        <f>SUMIFS(NetB3BEWLGS,SUPListBEWLGS,Table_ExternalData_1[[#This Row],[SupplierID]],DLBEWLGS,"&gt;120")</f>
        <v>0</v>
      </c>
    </row>
    <row r="52" spans="1:11">
      <c r="A52" s="4" t="s">
        <v>7612</v>
      </c>
      <c r="B52" s="4" t="s">
        <v>7615</v>
      </c>
      <c r="C52" s="6">
        <f>SUMIF(SUPListBEWLGS,Table_ExternalData_1[[#This Row],[SupplierID]],NetAmountBEWLGS)</f>
        <v>108460</v>
      </c>
      <c r="D52" s="6">
        <f>SUMIF(SUPListBEWLGS,Table_ExternalData_1[[#This Row],[SupplierID]],PaidBEWLGS)</f>
        <v>0</v>
      </c>
      <c r="E52" s="6">
        <f>Table_ExternalData_1[[#This Row],[Net Amount]]-Table_ExternalData_1[[#This Row],[Paid]]</f>
        <v>108460</v>
      </c>
      <c r="F52" s="6">
        <f>SUMIFS(NetB3BEWLGS,SUPListBEWLGS,Table_ExternalData_1[[#This Row],[SupplierID]],DLBEWLGS,"&gt;=1",DLBEWLGS,"&lt;=30")</f>
        <v>64380</v>
      </c>
      <c r="G52" s="6">
        <f>SUMIFS(NetB3BEWLGS,SUPListBEWLGS,Table_ExternalData_1[[#This Row],[SupplierID]],DLBEWLGS,"&gt;=31",DLBEWLGS,"&lt;=45")</f>
        <v>0</v>
      </c>
      <c r="H52" s="6">
        <f>SUMIFS(NetB3BEWLGS,SUPListBEWLGS,Table_ExternalData_1[[#This Row],[SupplierID]],DLBEWLGS,"&gt;=46",DLBEWLGS,"&lt;=60")</f>
        <v>0</v>
      </c>
      <c r="I52" s="6">
        <f>SUMIFS(NetB3BEWLGS,SUPListBEWLGS,Table_ExternalData_1[[#This Row],[SupplierID]],DLBEWLGS,"&gt;=61",DLBEWLGS,"&lt;=90")</f>
        <v>0</v>
      </c>
      <c r="J52" s="6">
        <f>SUMIFS(NetB3BEWLGS,SUPListBEWLGS,Table_ExternalData_1[[#This Row],[SupplierID]],DLBEWLGS,"&gt;=91",DLBEWLGS,"&lt;=120")</f>
        <v>44080</v>
      </c>
      <c r="K52" s="6">
        <f>SUMIFS(NetB3BEWLGS,SUPListBEWLGS,Table_ExternalData_1[[#This Row],[SupplierID]],DLBEWLGS,"&gt;120")</f>
        <v>0</v>
      </c>
    </row>
    <row r="53" spans="1:11">
      <c r="A53" s="4" t="s">
        <v>8228</v>
      </c>
      <c r="B53" s="4" t="s">
        <v>8230</v>
      </c>
      <c r="C53" s="6">
        <f>SUMIF(SUPListBEWLGS,Table_ExternalData_1[[#This Row],[SupplierID]],NetAmountBEWLGS)</f>
        <v>47040</v>
      </c>
      <c r="D53" s="6">
        <f>SUMIF(SUPListBEWLGS,Table_ExternalData_1[[#This Row],[SupplierID]],PaidBEWLGS)</f>
        <v>0</v>
      </c>
      <c r="E53" s="6">
        <f>Table_ExternalData_1[[#This Row],[Net Amount]]-Table_ExternalData_1[[#This Row],[Paid]]</f>
        <v>47040</v>
      </c>
      <c r="F53" s="6">
        <f>SUMIFS(NetB3BEWLGS,SUPListBEWLGS,Table_ExternalData_1[[#This Row],[SupplierID]],DLBEWLGS,"&gt;=1",DLBEWLGS,"&lt;=30")</f>
        <v>47040</v>
      </c>
      <c r="G53" s="6">
        <f>SUMIFS(NetB3BEWLGS,SUPListBEWLGS,Table_ExternalData_1[[#This Row],[SupplierID]],DLBEWLGS,"&gt;=31",DLBEWLGS,"&lt;=45")</f>
        <v>0</v>
      </c>
      <c r="H53" s="6">
        <f>SUMIFS(NetB3BEWLGS,SUPListBEWLGS,Table_ExternalData_1[[#This Row],[SupplierID]],DLBEWLGS,"&gt;=46",DLBEWLGS,"&lt;=60")</f>
        <v>0</v>
      </c>
      <c r="I53" s="6">
        <f>SUMIFS(NetB3BEWLGS,SUPListBEWLGS,Table_ExternalData_1[[#This Row],[SupplierID]],DLBEWLGS,"&gt;=61",DLBEWLGS,"&lt;=90")</f>
        <v>0</v>
      </c>
      <c r="J53" s="6">
        <f>SUMIFS(NetB3BEWLGS,SUPListBEWLGS,Table_ExternalData_1[[#This Row],[SupplierID]],DLBEWLGS,"&gt;=91",DLBEWLGS,"&lt;=120")</f>
        <v>0</v>
      </c>
      <c r="K53" s="6">
        <f>SUMIFS(NetB3BEWLGS,SUPListBEWLGS,Table_ExternalData_1[[#This Row],[SupplierID]],DLBEWLGS,"&gt;120")</f>
        <v>0</v>
      </c>
    </row>
    <row r="54" spans="1:11">
      <c r="A54" s="4" t="s">
        <v>6248</v>
      </c>
      <c r="B54" s="4" t="s">
        <v>6250</v>
      </c>
      <c r="C54" s="6">
        <f>SUMIF(SUPListBEWLGS,Table_ExternalData_1[[#This Row],[SupplierID]],NetAmountBEWLGS)</f>
        <v>506812</v>
      </c>
      <c r="D54" s="6">
        <f>SUMIF(SUPListBEWLGS,Table_ExternalData_1[[#This Row],[SupplierID]],PaidBEWLGS)</f>
        <v>0</v>
      </c>
      <c r="E54" s="6">
        <f>Table_ExternalData_1[[#This Row],[Net Amount]]-Table_ExternalData_1[[#This Row],[Paid]]</f>
        <v>506812</v>
      </c>
      <c r="F54" s="6">
        <f>SUMIFS(NetB3BEWLGS,SUPListBEWLGS,Table_ExternalData_1[[#This Row],[SupplierID]],DLBEWLGS,"&gt;=1",DLBEWLGS,"&lt;=30")</f>
        <v>528585</v>
      </c>
      <c r="G54" s="6">
        <f>SUMIFS(NetB3BEWLGS,SUPListBEWLGS,Table_ExternalData_1[[#This Row],[SupplierID]],DLBEWLGS,"&gt;=31",DLBEWLGS,"&lt;=45")</f>
        <v>0</v>
      </c>
      <c r="H54" s="6">
        <f>SUMIFS(NetB3BEWLGS,SUPListBEWLGS,Table_ExternalData_1[[#This Row],[SupplierID]],DLBEWLGS,"&gt;=46",DLBEWLGS,"&lt;=60")</f>
        <v>0</v>
      </c>
      <c r="I54" s="6">
        <f>SUMIFS(NetB3BEWLGS,SUPListBEWLGS,Table_ExternalData_1[[#This Row],[SupplierID]],DLBEWLGS,"&gt;=61",DLBEWLGS,"&lt;=90")</f>
        <v>0</v>
      </c>
      <c r="J54" s="6">
        <f>SUMIFS(NetB3BEWLGS,SUPListBEWLGS,Table_ExternalData_1[[#This Row],[SupplierID]],DLBEWLGS,"&gt;=91",DLBEWLGS,"&lt;=120")</f>
        <v>0</v>
      </c>
      <c r="K54" s="6">
        <f>SUMIFS(NetB3BEWLGS,SUPListBEWLGS,Table_ExternalData_1[[#This Row],[SupplierID]],DLBEWLGS,"&gt;120")</f>
        <v>0</v>
      </c>
    </row>
    <row r="55" spans="1:11">
      <c r="A55" s="4" t="s">
        <v>6141</v>
      </c>
      <c r="B55" s="4" t="s">
        <v>6142</v>
      </c>
      <c r="C55" s="6">
        <f>SUMIF(SUPListBEWLGS,Table_ExternalData_1[[#This Row],[SupplierID]],NetAmountBEWLGS)</f>
        <v>-15744</v>
      </c>
      <c r="D55" s="6">
        <f>SUMIF(SUPListBEWLGS,Table_ExternalData_1[[#This Row],[SupplierID]],PaidBEWLGS)</f>
        <v>0</v>
      </c>
      <c r="E55" s="6">
        <f>Table_ExternalData_1[[#This Row],[Net Amount]]-Table_ExternalData_1[[#This Row],[Paid]]</f>
        <v>-15744</v>
      </c>
      <c r="F55" s="6">
        <f>SUMIFS(NetB3BEWLGS,SUPListBEWLGS,Table_ExternalData_1[[#This Row],[SupplierID]],DLBEWLGS,"&gt;=1",DLBEWLGS,"&lt;=30")</f>
        <v>0</v>
      </c>
      <c r="G55" s="6">
        <f>SUMIFS(NetB3BEWLGS,SUPListBEWLGS,Table_ExternalData_1[[#This Row],[SupplierID]],DLBEWLGS,"&gt;=31",DLBEWLGS,"&lt;=45")</f>
        <v>0</v>
      </c>
      <c r="H55" s="6">
        <f>SUMIFS(NetB3BEWLGS,SUPListBEWLGS,Table_ExternalData_1[[#This Row],[SupplierID]],DLBEWLGS,"&gt;=46",DLBEWLGS,"&lt;=60")</f>
        <v>0</v>
      </c>
      <c r="I55" s="6">
        <f>SUMIFS(NetB3BEWLGS,SUPListBEWLGS,Table_ExternalData_1[[#This Row],[SupplierID]],DLBEWLGS,"&gt;=61",DLBEWLGS,"&lt;=90")</f>
        <v>0</v>
      </c>
      <c r="J55" s="6">
        <f>SUMIFS(NetB3BEWLGS,SUPListBEWLGS,Table_ExternalData_1[[#This Row],[SupplierID]],DLBEWLGS,"&gt;=91",DLBEWLGS,"&lt;=120")</f>
        <v>0</v>
      </c>
      <c r="K55" s="6">
        <f>SUMIFS(NetB3BEWLGS,SUPListBEWLGS,Table_ExternalData_1[[#This Row],[SupplierID]],DLBEWLGS,"&gt;120")</f>
        <v>0</v>
      </c>
    </row>
    <row r="56" spans="1:11">
      <c r="A56" s="4" t="s">
        <v>6178</v>
      </c>
      <c r="B56" s="4" t="s">
        <v>6180</v>
      </c>
      <c r="C56" s="6">
        <f>SUMIF(SUPListBEWLGS,Table_ExternalData_1[[#This Row],[SupplierID]],NetAmountBEWLGS)</f>
        <v>73438</v>
      </c>
      <c r="D56" s="6">
        <f>SUMIF(SUPListBEWLGS,Table_ExternalData_1[[#This Row],[SupplierID]],PaidBEWLGS)</f>
        <v>0</v>
      </c>
      <c r="E56" s="6">
        <f>Table_ExternalData_1[[#This Row],[Net Amount]]-Table_ExternalData_1[[#This Row],[Paid]]</f>
        <v>73438</v>
      </c>
      <c r="F56" s="6">
        <f>SUMIFS(NetB3BEWLGS,SUPListBEWLGS,Table_ExternalData_1[[#This Row],[SupplierID]],DLBEWLGS,"&gt;=1",DLBEWLGS,"&lt;=30")</f>
        <v>0</v>
      </c>
      <c r="G56" s="6">
        <f>SUMIFS(NetB3BEWLGS,SUPListBEWLGS,Table_ExternalData_1[[#This Row],[SupplierID]],DLBEWLGS,"&gt;=31",DLBEWLGS,"&lt;=45")</f>
        <v>111943</v>
      </c>
      <c r="H56" s="6">
        <f>SUMIFS(NetB3BEWLGS,SUPListBEWLGS,Table_ExternalData_1[[#This Row],[SupplierID]],DLBEWLGS,"&gt;=46",DLBEWLGS,"&lt;=60")</f>
        <v>0</v>
      </c>
      <c r="I56" s="6">
        <f>SUMIFS(NetB3BEWLGS,SUPListBEWLGS,Table_ExternalData_1[[#This Row],[SupplierID]],DLBEWLGS,"&gt;=61",DLBEWLGS,"&lt;=90")</f>
        <v>0</v>
      </c>
      <c r="J56" s="6">
        <f>SUMIFS(NetB3BEWLGS,SUPListBEWLGS,Table_ExternalData_1[[#This Row],[SupplierID]],DLBEWLGS,"&gt;=91",DLBEWLGS,"&lt;=120")</f>
        <v>0</v>
      </c>
      <c r="K56" s="6">
        <f>SUMIFS(NetB3BEWLGS,SUPListBEWLGS,Table_ExternalData_1[[#This Row],[SupplierID]],DLBEWLGS,"&gt;120")</f>
        <v>0</v>
      </c>
    </row>
    <row r="57" spans="1:11">
      <c r="A57" s="4" t="s">
        <v>6486</v>
      </c>
      <c r="B57" s="4" t="s">
        <v>5464</v>
      </c>
      <c r="C57" s="6">
        <f>SUMIF(SUPListBEWLGS,Table_ExternalData_1[[#This Row],[SupplierID]],NetAmountBEWLGS)</f>
        <v>380795</v>
      </c>
      <c r="D57" s="6">
        <f>SUMIF(SUPListBEWLGS,Table_ExternalData_1[[#This Row],[SupplierID]],PaidBEWLGS)</f>
        <v>0</v>
      </c>
      <c r="E57" s="6">
        <f>Table_ExternalData_1[[#This Row],[Net Amount]]-Table_ExternalData_1[[#This Row],[Paid]]</f>
        <v>380795</v>
      </c>
      <c r="F57" s="6">
        <f>SUMIFS(NetB3BEWLGS,SUPListBEWLGS,Table_ExternalData_1[[#This Row],[SupplierID]],DLBEWLGS,"&gt;=1",DLBEWLGS,"&lt;=30")</f>
        <v>83636</v>
      </c>
      <c r="G57" s="6">
        <f>SUMIFS(NetB3BEWLGS,SUPListBEWLGS,Table_ExternalData_1[[#This Row],[SupplierID]],DLBEWLGS,"&gt;=31",DLBEWLGS,"&lt;=45")</f>
        <v>0</v>
      </c>
      <c r="H57" s="6">
        <f>SUMIFS(NetB3BEWLGS,SUPListBEWLGS,Table_ExternalData_1[[#This Row],[SupplierID]],DLBEWLGS,"&gt;=46",DLBEWLGS,"&lt;=60")</f>
        <v>0</v>
      </c>
      <c r="I57" s="6">
        <f>SUMIFS(NetB3BEWLGS,SUPListBEWLGS,Table_ExternalData_1[[#This Row],[SupplierID]],DLBEWLGS,"&gt;=61",DLBEWLGS,"&lt;=90")</f>
        <v>51098</v>
      </c>
      <c r="J57" s="6">
        <f>SUMIFS(NetB3BEWLGS,SUPListBEWLGS,Table_ExternalData_1[[#This Row],[SupplierID]],DLBEWLGS,"&gt;=91",DLBEWLGS,"&lt;=120")</f>
        <v>86849</v>
      </c>
      <c r="K57" s="6">
        <f>SUMIFS(NetB3BEWLGS,SUPListBEWLGS,Table_ExternalData_1[[#This Row],[SupplierID]],DLBEWLGS,"&gt;120")</f>
        <v>159212</v>
      </c>
    </row>
    <row r="58" spans="1:11">
      <c r="A58" s="4" t="s">
        <v>7849</v>
      </c>
      <c r="B58" s="4" t="s">
        <v>7850</v>
      </c>
      <c r="C58" s="6">
        <f>SUMIF(SUPListBEWLGS,Table_ExternalData_1[[#This Row],[SupplierID]],NetAmountBEWLGS)</f>
        <v>4262</v>
      </c>
      <c r="D58" s="6">
        <f>SUMIF(SUPListBEWLGS,Table_ExternalData_1[[#This Row],[SupplierID]],PaidBEWLGS)</f>
        <v>0</v>
      </c>
      <c r="E58" s="6">
        <f>Table_ExternalData_1[[#This Row],[Net Amount]]-Table_ExternalData_1[[#This Row],[Paid]]</f>
        <v>4262</v>
      </c>
      <c r="F58" s="6">
        <f>SUMIFS(NetB3BEWLGS,SUPListBEWLGS,Table_ExternalData_1[[#This Row],[SupplierID]],DLBEWLGS,"&gt;=1",DLBEWLGS,"&lt;=30")</f>
        <v>0</v>
      </c>
      <c r="G58" s="6">
        <f>SUMIFS(NetB3BEWLGS,SUPListBEWLGS,Table_ExternalData_1[[#This Row],[SupplierID]],DLBEWLGS,"&gt;=31",DLBEWLGS,"&lt;=45")</f>
        <v>0</v>
      </c>
      <c r="H58" s="6">
        <f>SUMIFS(NetB3BEWLGS,SUPListBEWLGS,Table_ExternalData_1[[#This Row],[SupplierID]],DLBEWLGS,"&gt;=46",DLBEWLGS,"&lt;=60")</f>
        <v>0</v>
      </c>
      <c r="I58" s="6">
        <f>SUMIFS(NetB3BEWLGS,SUPListBEWLGS,Table_ExternalData_1[[#This Row],[SupplierID]],DLBEWLGS,"&gt;=61",DLBEWLGS,"&lt;=90")</f>
        <v>1478</v>
      </c>
      <c r="J58" s="6">
        <f>SUMIFS(NetB3BEWLGS,SUPListBEWLGS,Table_ExternalData_1[[#This Row],[SupplierID]],DLBEWLGS,"&gt;=91",DLBEWLGS,"&lt;=120")</f>
        <v>2784</v>
      </c>
      <c r="K58" s="6">
        <f>SUMIFS(NetB3BEWLGS,SUPListBEWLGS,Table_ExternalData_1[[#This Row],[SupplierID]],DLBEWLGS,"&gt;120")</f>
        <v>0</v>
      </c>
    </row>
    <row r="59" spans="1:11">
      <c r="A59" s="4" t="s">
        <v>6278</v>
      </c>
      <c r="B59" s="4" t="s">
        <v>6280</v>
      </c>
      <c r="C59" s="6">
        <f>SUMIF(SUPListBEWLGS,Table_ExternalData_1[[#This Row],[SupplierID]],NetAmountBEWLGS)</f>
        <v>213310</v>
      </c>
      <c r="D59" s="6">
        <f>SUMIF(SUPListBEWLGS,Table_ExternalData_1[[#This Row],[SupplierID]],PaidBEWLGS)</f>
        <v>0</v>
      </c>
      <c r="E59" s="6">
        <f>Table_ExternalData_1[[#This Row],[Net Amount]]-Table_ExternalData_1[[#This Row],[Paid]]</f>
        <v>213310</v>
      </c>
      <c r="F59" s="6">
        <f>SUMIFS(NetB3BEWLGS,SUPListBEWLGS,Table_ExternalData_1[[#This Row],[SupplierID]],DLBEWLGS,"&gt;=1",DLBEWLGS,"&lt;=30")</f>
        <v>14700</v>
      </c>
      <c r="G59" s="6">
        <f>SUMIFS(NetB3BEWLGS,SUPListBEWLGS,Table_ExternalData_1[[#This Row],[SupplierID]],DLBEWLGS,"&gt;=31",DLBEWLGS,"&lt;=45")</f>
        <v>15360</v>
      </c>
      <c r="H59" s="6">
        <f>SUMIFS(NetB3BEWLGS,SUPListBEWLGS,Table_ExternalData_1[[#This Row],[SupplierID]],DLBEWLGS,"&gt;=46",DLBEWLGS,"&lt;=60")</f>
        <v>0</v>
      </c>
      <c r="I59" s="6">
        <f>SUMIFS(NetB3BEWLGS,SUPListBEWLGS,Table_ExternalData_1[[#This Row],[SupplierID]],DLBEWLGS,"&gt;=61",DLBEWLGS,"&lt;=90")</f>
        <v>14610</v>
      </c>
      <c r="J59" s="6">
        <f>SUMIFS(NetB3BEWLGS,SUPListBEWLGS,Table_ExternalData_1[[#This Row],[SupplierID]],DLBEWLGS,"&gt;=91",DLBEWLGS,"&lt;=120")</f>
        <v>18220</v>
      </c>
      <c r="K59" s="6">
        <f>SUMIFS(NetB3BEWLGS,SUPListBEWLGS,Table_ExternalData_1[[#This Row],[SupplierID]],DLBEWLGS,"&gt;120")</f>
        <v>150420</v>
      </c>
    </row>
    <row r="60" spans="1:11">
      <c r="A60" s="4" t="s">
        <v>6400</v>
      </c>
      <c r="B60" s="4" t="s">
        <v>6403</v>
      </c>
      <c r="C60" s="6">
        <f>SUMIF(SUPListBEWLGS,Table_ExternalData_1[[#This Row],[SupplierID]],NetAmountBEWLGS)</f>
        <v>205532</v>
      </c>
      <c r="D60" s="6">
        <f>SUMIF(SUPListBEWLGS,Table_ExternalData_1[[#This Row],[SupplierID]],PaidBEWLGS)</f>
        <v>0</v>
      </c>
      <c r="E60" s="6">
        <f>Table_ExternalData_1[[#This Row],[Net Amount]]-Table_ExternalData_1[[#This Row],[Paid]]</f>
        <v>205532</v>
      </c>
      <c r="F60" s="6">
        <f>SUMIFS(NetB3BEWLGS,SUPListBEWLGS,Table_ExternalData_1[[#This Row],[SupplierID]],DLBEWLGS,"&gt;=1",DLBEWLGS,"&lt;=30")</f>
        <v>0</v>
      </c>
      <c r="G60" s="6">
        <f>SUMIFS(NetB3BEWLGS,SUPListBEWLGS,Table_ExternalData_1[[#This Row],[SupplierID]],DLBEWLGS,"&gt;=31",DLBEWLGS,"&lt;=45")</f>
        <v>0</v>
      </c>
      <c r="H60" s="6">
        <f>SUMIFS(NetB3BEWLGS,SUPListBEWLGS,Table_ExternalData_1[[#This Row],[SupplierID]],DLBEWLGS,"&gt;=46",DLBEWLGS,"&lt;=60")</f>
        <v>37120</v>
      </c>
      <c r="I60" s="6">
        <f>SUMIFS(NetB3BEWLGS,SUPListBEWLGS,Table_ExternalData_1[[#This Row],[SupplierID]],DLBEWLGS,"&gt;=61",DLBEWLGS,"&lt;=90")</f>
        <v>0</v>
      </c>
      <c r="J60" s="6">
        <f>SUMIFS(NetB3BEWLGS,SUPListBEWLGS,Table_ExternalData_1[[#This Row],[SupplierID]],DLBEWLGS,"&gt;=91",DLBEWLGS,"&lt;=120")</f>
        <v>0</v>
      </c>
      <c r="K60" s="6">
        <f>SUMIFS(NetB3BEWLGS,SUPListBEWLGS,Table_ExternalData_1[[#This Row],[SupplierID]],DLBEWLGS,"&gt;120")</f>
        <v>168412</v>
      </c>
    </row>
    <row r="61" spans="1:11">
      <c r="A61" s="4" t="s">
        <v>6347</v>
      </c>
      <c r="B61" s="4" t="s">
        <v>6349</v>
      </c>
      <c r="C61" s="6">
        <f>SUMIF(SUPListBEWLGS,Table_ExternalData_1[[#This Row],[SupplierID]],NetAmountBEWLGS)</f>
        <v>2511524</v>
      </c>
      <c r="D61" s="6">
        <f>SUMIF(SUPListBEWLGS,Table_ExternalData_1[[#This Row],[SupplierID]],PaidBEWLGS)</f>
        <v>0</v>
      </c>
      <c r="E61" s="6">
        <f>Table_ExternalData_1[[#This Row],[Net Amount]]-Table_ExternalData_1[[#This Row],[Paid]]</f>
        <v>2511524</v>
      </c>
      <c r="F61" s="6">
        <f>SUMIFS(NetB3BEWLGS,SUPListBEWLGS,Table_ExternalData_1[[#This Row],[SupplierID]],DLBEWLGS,"&gt;=1",DLBEWLGS,"&lt;=30")</f>
        <v>0</v>
      </c>
      <c r="G61" s="6">
        <f>SUMIFS(NetB3BEWLGS,SUPListBEWLGS,Table_ExternalData_1[[#This Row],[SupplierID]],DLBEWLGS,"&gt;=31",DLBEWLGS,"&lt;=45")</f>
        <v>0</v>
      </c>
      <c r="H61" s="6">
        <f>SUMIFS(NetB3BEWLGS,SUPListBEWLGS,Table_ExternalData_1[[#This Row],[SupplierID]],DLBEWLGS,"&gt;=46",DLBEWLGS,"&lt;=60")</f>
        <v>0</v>
      </c>
      <c r="I61" s="6">
        <f>SUMIFS(NetB3BEWLGS,SUPListBEWLGS,Table_ExternalData_1[[#This Row],[SupplierID]],DLBEWLGS,"&gt;=61",DLBEWLGS,"&lt;=90")</f>
        <v>0</v>
      </c>
      <c r="J61" s="6">
        <f>SUMIFS(NetB3BEWLGS,SUPListBEWLGS,Table_ExternalData_1[[#This Row],[SupplierID]],DLBEWLGS,"&gt;=91",DLBEWLGS,"&lt;=120")</f>
        <v>0</v>
      </c>
      <c r="K61" s="6">
        <f>SUMIFS(NetB3BEWLGS,SUPListBEWLGS,Table_ExternalData_1[[#This Row],[SupplierID]],DLBEWLGS,"&gt;120")</f>
        <v>2511524</v>
      </c>
    </row>
    <row r="62" spans="1:11">
      <c r="A62" s="4" t="s">
        <v>7915</v>
      </c>
      <c r="B62" s="4" t="s">
        <v>7917</v>
      </c>
      <c r="C62" s="6">
        <f>SUMIF(SUPListBEWLGS,Table_ExternalData_1[[#This Row],[SupplierID]],NetAmountBEWLGS)</f>
        <v>509086</v>
      </c>
      <c r="D62" s="6">
        <f>SUMIF(SUPListBEWLGS,Table_ExternalData_1[[#This Row],[SupplierID]],PaidBEWLGS)</f>
        <v>0</v>
      </c>
      <c r="E62" s="6">
        <f>Table_ExternalData_1[[#This Row],[Net Amount]]-Table_ExternalData_1[[#This Row],[Paid]]</f>
        <v>509086</v>
      </c>
      <c r="F62" s="6">
        <f>SUMIFS(NetB3BEWLGS,SUPListBEWLGS,Table_ExternalData_1[[#This Row],[SupplierID]],DLBEWLGS,"&gt;=1",DLBEWLGS,"&lt;=30")</f>
        <v>85991</v>
      </c>
      <c r="G62" s="6">
        <f>SUMIFS(NetB3BEWLGS,SUPListBEWLGS,Table_ExternalData_1[[#This Row],[SupplierID]],DLBEWLGS,"&gt;=31",DLBEWLGS,"&lt;=45")</f>
        <v>0</v>
      </c>
      <c r="H62" s="6">
        <f>SUMIFS(NetB3BEWLGS,SUPListBEWLGS,Table_ExternalData_1[[#This Row],[SupplierID]],DLBEWLGS,"&gt;=46",DLBEWLGS,"&lt;=60")</f>
        <v>0</v>
      </c>
      <c r="I62" s="6">
        <f>SUMIFS(NetB3BEWLGS,SUPListBEWLGS,Table_ExternalData_1[[#This Row],[SupplierID]],DLBEWLGS,"&gt;=61",DLBEWLGS,"&lt;=90")</f>
        <v>423095</v>
      </c>
      <c r="J62" s="6">
        <f>SUMIFS(NetB3BEWLGS,SUPListBEWLGS,Table_ExternalData_1[[#This Row],[SupplierID]],DLBEWLGS,"&gt;=91",DLBEWLGS,"&lt;=120")</f>
        <v>0</v>
      </c>
      <c r="K62" s="6">
        <f>SUMIFS(NetB3BEWLGS,SUPListBEWLGS,Table_ExternalData_1[[#This Row],[SupplierID]],DLBEWLGS,"&gt;120")</f>
        <v>0</v>
      </c>
    </row>
    <row r="63" spans="1:11">
      <c r="A63" s="4" t="s">
        <v>7308</v>
      </c>
      <c r="B63" s="4" t="s">
        <v>5490</v>
      </c>
      <c r="C63" s="6">
        <f>SUMIF(SUPListBEWLGS,Table_ExternalData_1[[#This Row],[SupplierID]],NetAmountBEWLGS)</f>
        <v>271487</v>
      </c>
      <c r="D63" s="6">
        <f>SUMIF(SUPListBEWLGS,Table_ExternalData_1[[#This Row],[SupplierID]],PaidBEWLGS)</f>
        <v>0</v>
      </c>
      <c r="E63" s="6">
        <f>Table_ExternalData_1[[#This Row],[Net Amount]]-Table_ExternalData_1[[#This Row],[Paid]]</f>
        <v>271487</v>
      </c>
      <c r="F63" s="6">
        <f>SUMIFS(NetB3BEWLGS,SUPListBEWLGS,Table_ExternalData_1[[#This Row],[SupplierID]],DLBEWLGS,"&gt;=1",DLBEWLGS,"&lt;=30")</f>
        <v>0</v>
      </c>
      <c r="G63" s="6">
        <f>SUMIFS(NetB3BEWLGS,SUPListBEWLGS,Table_ExternalData_1[[#This Row],[SupplierID]],DLBEWLGS,"&gt;=31",DLBEWLGS,"&lt;=45")</f>
        <v>46447</v>
      </c>
      <c r="H63" s="6">
        <f>SUMIFS(NetB3BEWLGS,SUPListBEWLGS,Table_ExternalData_1[[#This Row],[SupplierID]],DLBEWLGS,"&gt;=46",DLBEWLGS,"&lt;=60")</f>
        <v>0</v>
      </c>
      <c r="I63" s="6">
        <f>SUMIFS(NetB3BEWLGS,SUPListBEWLGS,Table_ExternalData_1[[#This Row],[SupplierID]],DLBEWLGS,"&gt;=61",DLBEWLGS,"&lt;=90")</f>
        <v>69600</v>
      </c>
      <c r="J63" s="6">
        <f>SUMIFS(NetB3BEWLGS,SUPListBEWLGS,Table_ExternalData_1[[#This Row],[SupplierID]],DLBEWLGS,"&gt;=91",DLBEWLGS,"&lt;=120")</f>
        <v>55100</v>
      </c>
      <c r="K63" s="6">
        <f>SUMIFS(NetB3BEWLGS,SUPListBEWLGS,Table_ExternalData_1[[#This Row],[SupplierID]],DLBEWLGS,"&gt;120")</f>
        <v>100340</v>
      </c>
    </row>
    <row r="64" spans="1:11">
      <c r="A64" s="4" t="s">
        <v>8023</v>
      </c>
      <c r="B64" s="4" t="s">
        <v>8025</v>
      </c>
      <c r="C64" s="6">
        <f>SUMIF(SUPListBEWLGS,Table_ExternalData_1[[#This Row],[SupplierID]],NetAmountBEWLGS)</f>
        <v>676322</v>
      </c>
      <c r="D64" s="6">
        <f>SUMIF(SUPListBEWLGS,Table_ExternalData_1[[#This Row],[SupplierID]],PaidBEWLGS)</f>
        <v>0</v>
      </c>
      <c r="E64" s="6">
        <f>Table_ExternalData_1[[#This Row],[Net Amount]]-Table_ExternalData_1[[#This Row],[Paid]]</f>
        <v>676322</v>
      </c>
      <c r="F64" s="6">
        <f>SUMIFS(NetB3BEWLGS,SUPListBEWLGS,Table_ExternalData_1[[#This Row],[SupplierID]],DLBEWLGS,"&gt;=1",DLBEWLGS,"&lt;=30")</f>
        <v>258199</v>
      </c>
      <c r="G64" s="6">
        <f>SUMIFS(NetB3BEWLGS,SUPListBEWLGS,Table_ExternalData_1[[#This Row],[SupplierID]],DLBEWLGS,"&gt;=31",DLBEWLGS,"&lt;=45")</f>
        <v>0</v>
      </c>
      <c r="H64" s="6">
        <f>SUMIFS(NetB3BEWLGS,SUPListBEWLGS,Table_ExternalData_1[[#This Row],[SupplierID]],DLBEWLGS,"&gt;=46",DLBEWLGS,"&lt;=60")</f>
        <v>162551</v>
      </c>
      <c r="I64" s="6">
        <f>SUMIFS(NetB3BEWLGS,SUPListBEWLGS,Table_ExternalData_1[[#This Row],[SupplierID]],DLBEWLGS,"&gt;=61",DLBEWLGS,"&lt;=90")</f>
        <v>255572</v>
      </c>
      <c r="J64" s="6">
        <f>SUMIFS(NetB3BEWLGS,SUPListBEWLGS,Table_ExternalData_1[[#This Row],[SupplierID]],DLBEWLGS,"&gt;=91",DLBEWLGS,"&lt;=120")</f>
        <v>0</v>
      </c>
      <c r="K64" s="6">
        <f>SUMIFS(NetB3BEWLGS,SUPListBEWLGS,Table_ExternalData_1[[#This Row],[SupplierID]],DLBEWLGS,"&gt;120")</f>
        <v>0</v>
      </c>
    </row>
    <row r="65" spans="1:11">
      <c r="A65" s="4" t="s">
        <v>7375</v>
      </c>
      <c r="B65" s="4" t="s">
        <v>7377</v>
      </c>
      <c r="C65" s="6">
        <f>SUMIF(SUPListBEWLGS,Table_ExternalData_1[[#This Row],[SupplierID]],NetAmountBEWLGS)</f>
        <v>2180189</v>
      </c>
      <c r="D65" s="6">
        <f>SUMIF(SUPListBEWLGS,Table_ExternalData_1[[#This Row],[SupplierID]],PaidBEWLGS)</f>
        <v>0</v>
      </c>
      <c r="E65" s="6">
        <f>Table_ExternalData_1[[#This Row],[Net Amount]]-Table_ExternalData_1[[#This Row],[Paid]]</f>
        <v>2180189</v>
      </c>
      <c r="F65" s="6">
        <f>SUMIFS(NetB3BEWLGS,SUPListBEWLGS,Table_ExternalData_1[[#This Row],[SupplierID]],DLBEWLGS,"&gt;=1",DLBEWLGS,"&lt;=30")</f>
        <v>199014</v>
      </c>
      <c r="G65" s="6">
        <f>SUMIFS(NetB3BEWLGS,SUPListBEWLGS,Table_ExternalData_1[[#This Row],[SupplierID]],DLBEWLGS,"&gt;=31",DLBEWLGS,"&lt;=45")</f>
        <v>0</v>
      </c>
      <c r="H65" s="6">
        <f>SUMIFS(NetB3BEWLGS,SUPListBEWLGS,Table_ExternalData_1[[#This Row],[SupplierID]],DLBEWLGS,"&gt;=46",DLBEWLGS,"&lt;=60")</f>
        <v>288262</v>
      </c>
      <c r="I65" s="6">
        <f>SUMIFS(NetB3BEWLGS,SUPListBEWLGS,Table_ExternalData_1[[#This Row],[SupplierID]],DLBEWLGS,"&gt;=61",DLBEWLGS,"&lt;=90")</f>
        <v>1059322</v>
      </c>
      <c r="J65" s="6">
        <f>SUMIFS(NetB3BEWLGS,SUPListBEWLGS,Table_ExternalData_1[[#This Row],[SupplierID]],DLBEWLGS,"&gt;=91",DLBEWLGS,"&lt;=120")</f>
        <v>47043</v>
      </c>
      <c r="K65" s="6">
        <f>SUMIFS(NetB3BEWLGS,SUPListBEWLGS,Table_ExternalData_1[[#This Row],[SupplierID]],DLBEWLGS,"&gt;120")</f>
        <v>586548</v>
      </c>
    </row>
    <row r="66" spans="1:11">
      <c r="A66" s="4" t="s">
        <v>6703</v>
      </c>
      <c r="B66" s="4" t="s">
        <v>6705</v>
      </c>
      <c r="C66" s="6">
        <f>SUMIF(SUPListBEWLGS,Table_ExternalData_1[[#This Row],[SupplierID]],NetAmountBEWLGS)</f>
        <v>30558981</v>
      </c>
      <c r="D66" s="6">
        <f>SUMIF(SUPListBEWLGS,Table_ExternalData_1[[#This Row],[SupplierID]],PaidBEWLGS)</f>
        <v>3025306</v>
      </c>
      <c r="E66" s="6">
        <f>Table_ExternalData_1[[#This Row],[Net Amount]]-Table_ExternalData_1[[#This Row],[Paid]]</f>
        <v>27533675</v>
      </c>
      <c r="F66" s="6">
        <f>SUMIFS(NetB3BEWLGS,SUPListBEWLGS,Table_ExternalData_1[[#This Row],[SupplierID]],DLBEWLGS,"&gt;=1",DLBEWLGS,"&lt;=30")</f>
        <v>0</v>
      </c>
      <c r="G66" s="6">
        <f>SUMIFS(NetB3BEWLGS,SUPListBEWLGS,Table_ExternalData_1[[#This Row],[SupplierID]],DLBEWLGS,"&gt;=31",DLBEWLGS,"&lt;=45")</f>
        <v>0</v>
      </c>
      <c r="H66" s="6">
        <f>SUMIFS(NetB3BEWLGS,SUPListBEWLGS,Table_ExternalData_1[[#This Row],[SupplierID]],DLBEWLGS,"&gt;=46",DLBEWLGS,"&lt;=60")</f>
        <v>9578172</v>
      </c>
      <c r="I66" s="6">
        <f>SUMIFS(NetB3BEWLGS,SUPListBEWLGS,Table_ExternalData_1[[#This Row],[SupplierID]],DLBEWLGS,"&gt;=61",DLBEWLGS,"&lt;=90")</f>
        <v>0</v>
      </c>
      <c r="J66" s="6">
        <f>SUMIFS(NetB3BEWLGS,SUPListBEWLGS,Table_ExternalData_1[[#This Row],[SupplierID]],DLBEWLGS,"&gt;=91",DLBEWLGS,"&lt;=120")</f>
        <v>4142798</v>
      </c>
      <c r="K66" s="6">
        <f>SUMIFS(NetB3BEWLGS,SUPListBEWLGS,Table_ExternalData_1[[#This Row],[SupplierID]],DLBEWLGS,"&gt;120")</f>
        <v>13812705</v>
      </c>
    </row>
    <row r="67" spans="1:11">
      <c r="A67" s="4" t="s">
        <v>8457</v>
      </c>
      <c r="B67" s="4" t="s">
        <v>8459</v>
      </c>
      <c r="C67" s="6">
        <f>SUMIF(SUPListBEWLGS,Table_ExternalData_1[[#This Row],[SupplierID]],NetAmountBEWLGS)</f>
        <v>250000</v>
      </c>
      <c r="D67" s="6">
        <f>SUMIF(SUPListBEWLGS,Table_ExternalData_1[[#This Row],[SupplierID]],PaidBEWLGS)</f>
        <v>0</v>
      </c>
      <c r="E67" s="6">
        <f>Table_ExternalData_1[[#This Row],[Net Amount]]-Table_ExternalData_1[[#This Row],[Paid]]</f>
        <v>250000</v>
      </c>
      <c r="F67" s="6">
        <f>SUMIFS(NetB3BEWLGS,SUPListBEWLGS,Table_ExternalData_1[[#This Row],[SupplierID]],DLBEWLGS,"&gt;=1",DLBEWLGS,"&lt;=30")</f>
        <v>0</v>
      </c>
      <c r="G67" s="6">
        <f>SUMIFS(NetB3BEWLGS,SUPListBEWLGS,Table_ExternalData_1[[#This Row],[SupplierID]],DLBEWLGS,"&gt;=31",DLBEWLGS,"&lt;=45")</f>
        <v>0</v>
      </c>
      <c r="H67" s="6">
        <f>SUMIFS(NetB3BEWLGS,SUPListBEWLGS,Table_ExternalData_1[[#This Row],[SupplierID]],DLBEWLGS,"&gt;=46",DLBEWLGS,"&lt;=60")</f>
        <v>0</v>
      </c>
      <c r="I67" s="6">
        <f>SUMIFS(NetB3BEWLGS,SUPListBEWLGS,Table_ExternalData_1[[#This Row],[SupplierID]],DLBEWLGS,"&gt;=61",DLBEWLGS,"&lt;=90")</f>
        <v>250000</v>
      </c>
      <c r="J67" s="6">
        <f>SUMIFS(NetB3BEWLGS,SUPListBEWLGS,Table_ExternalData_1[[#This Row],[SupplierID]],DLBEWLGS,"&gt;=91",DLBEWLGS,"&lt;=120")</f>
        <v>0</v>
      </c>
      <c r="K67" s="6">
        <f>SUMIFS(NetB3BEWLGS,SUPListBEWLGS,Table_ExternalData_1[[#This Row],[SupplierID]],DLBEWLGS,"&gt;120")</f>
        <v>0</v>
      </c>
    </row>
    <row r="68" spans="1:11">
      <c r="A68" s="4" t="s">
        <v>6164</v>
      </c>
      <c r="B68" s="4" t="s">
        <v>6166</v>
      </c>
      <c r="C68" s="6">
        <f>SUMIF(SUPListBEWLGS,Table_ExternalData_1[[#This Row],[SupplierID]],NetAmountBEWLGS)</f>
        <v>56145</v>
      </c>
      <c r="D68" s="6">
        <f>SUMIF(SUPListBEWLGS,Table_ExternalData_1[[#This Row],[SupplierID]],PaidBEWLGS)</f>
        <v>0</v>
      </c>
      <c r="E68" s="6">
        <f>Table_ExternalData_1[[#This Row],[Net Amount]]-Table_ExternalData_1[[#This Row],[Paid]]</f>
        <v>56145</v>
      </c>
      <c r="F68" s="6">
        <f>SUMIFS(NetB3BEWLGS,SUPListBEWLGS,Table_ExternalData_1[[#This Row],[SupplierID]],DLBEWLGS,"&gt;=1",DLBEWLGS,"&lt;=30")</f>
        <v>0</v>
      </c>
      <c r="G68" s="6">
        <f>SUMIFS(NetB3BEWLGS,SUPListBEWLGS,Table_ExternalData_1[[#This Row],[SupplierID]],DLBEWLGS,"&gt;=31",DLBEWLGS,"&lt;=45")</f>
        <v>109418</v>
      </c>
      <c r="H68" s="6">
        <f>SUMIFS(NetB3BEWLGS,SUPListBEWLGS,Table_ExternalData_1[[#This Row],[SupplierID]],DLBEWLGS,"&gt;=46",DLBEWLGS,"&lt;=60")</f>
        <v>0</v>
      </c>
      <c r="I68" s="6">
        <f>SUMIFS(NetB3BEWLGS,SUPListBEWLGS,Table_ExternalData_1[[#This Row],[SupplierID]],DLBEWLGS,"&gt;=61",DLBEWLGS,"&lt;=90")</f>
        <v>0</v>
      </c>
      <c r="J68" s="6">
        <f>SUMIFS(NetB3BEWLGS,SUPListBEWLGS,Table_ExternalData_1[[#This Row],[SupplierID]],DLBEWLGS,"&gt;=91",DLBEWLGS,"&lt;=120")</f>
        <v>0</v>
      </c>
      <c r="K68" s="6">
        <f>SUMIFS(NetB3BEWLGS,SUPListBEWLGS,Table_ExternalData_1[[#This Row],[SupplierID]],DLBEWLGS,"&gt;120")</f>
        <v>0</v>
      </c>
    </row>
    <row r="69" spans="1:11">
      <c r="A69" s="4" t="s">
        <v>6290</v>
      </c>
      <c r="B69" s="4" t="s">
        <v>6291</v>
      </c>
      <c r="C69" s="6">
        <f>SUMIF(SUPListBEWLGS,Table_ExternalData_1[[#This Row],[SupplierID]],NetAmountBEWLGS)</f>
        <v>1377800</v>
      </c>
      <c r="D69" s="6">
        <f>SUMIF(SUPListBEWLGS,Table_ExternalData_1[[#This Row],[SupplierID]],PaidBEWLGS)</f>
        <v>0</v>
      </c>
      <c r="E69" s="6">
        <f>Table_ExternalData_1[[#This Row],[Net Amount]]-Table_ExternalData_1[[#This Row],[Paid]]</f>
        <v>1377800</v>
      </c>
      <c r="F69" s="6">
        <f>SUMIFS(NetB3BEWLGS,SUPListBEWLGS,Table_ExternalData_1[[#This Row],[SupplierID]],DLBEWLGS,"&gt;=1",DLBEWLGS,"&lt;=30")</f>
        <v>136300</v>
      </c>
      <c r="G69" s="6">
        <f>SUMIFS(NetB3BEWLGS,SUPListBEWLGS,Table_ExternalData_1[[#This Row],[SupplierID]],DLBEWLGS,"&gt;=31",DLBEWLGS,"&lt;=45")</f>
        <v>91000</v>
      </c>
      <c r="H69" s="6">
        <f>SUMIFS(NetB3BEWLGS,SUPListBEWLGS,Table_ExternalData_1[[#This Row],[SupplierID]],DLBEWLGS,"&gt;=46",DLBEWLGS,"&lt;=60")</f>
        <v>0</v>
      </c>
      <c r="I69" s="6">
        <f>SUMIFS(NetB3BEWLGS,SUPListBEWLGS,Table_ExternalData_1[[#This Row],[SupplierID]],DLBEWLGS,"&gt;=61",DLBEWLGS,"&lt;=90")</f>
        <v>81700</v>
      </c>
      <c r="J69" s="6">
        <f>SUMIFS(NetB3BEWLGS,SUPListBEWLGS,Table_ExternalData_1[[#This Row],[SupplierID]],DLBEWLGS,"&gt;=91",DLBEWLGS,"&lt;=120")</f>
        <v>133600</v>
      </c>
      <c r="K69" s="6">
        <f>SUMIFS(NetB3BEWLGS,SUPListBEWLGS,Table_ExternalData_1[[#This Row],[SupplierID]],DLBEWLGS,"&gt;120")</f>
        <v>935200</v>
      </c>
    </row>
    <row r="70" spans="1:11">
      <c r="A70" s="4" t="s">
        <v>6335</v>
      </c>
      <c r="B70" s="4" t="s">
        <v>6337</v>
      </c>
      <c r="C70" s="6">
        <f>SUMIF(SUPListBEWLGS,Table_ExternalData_1[[#This Row],[SupplierID]],NetAmountBEWLGS)</f>
        <v>9389597.9199999999</v>
      </c>
      <c r="D70" s="6">
        <f>SUMIF(SUPListBEWLGS,Table_ExternalData_1[[#This Row],[SupplierID]],PaidBEWLGS)</f>
        <v>0</v>
      </c>
      <c r="E70" s="6">
        <f>Table_ExternalData_1[[#This Row],[Net Amount]]-Table_ExternalData_1[[#This Row],[Paid]]</f>
        <v>9389597.9199999999</v>
      </c>
      <c r="F70" s="6">
        <f>SUMIFS(NetB3BEWLGS,SUPListBEWLGS,Table_ExternalData_1[[#This Row],[SupplierID]],DLBEWLGS,"&gt;=1",DLBEWLGS,"&lt;=30")</f>
        <v>0</v>
      </c>
      <c r="G70" s="6">
        <f>SUMIFS(NetB3BEWLGS,SUPListBEWLGS,Table_ExternalData_1[[#This Row],[SupplierID]],DLBEWLGS,"&gt;=31",DLBEWLGS,"&lt;=45")</f>
        <v>484104</v>
      </c>
      <c r="H70" s="6">
        <f>SUMIFS(NetB3BEWLGS,SUPListBEWLGS,Table_ExternalData_1[[#This Row],[SupplierID]],DLBEWLGS,"&gt;=46",DLBEWLGS,"&lt;=60")</f>
        <v>484104</v>
      </c>
      <c r="I70" s="6">
        <f>SUMIFS(NetB3BEWLGS,SUPListBEWLGS,Table_ExternalData_1[[#This Row],[SupplierID]],DLBEWLGS,"&gt;=61",DLBEWLGS,"&lt;=90")</f>
        <v>1270861</v>
      </c>
      <c r="J70" s="6">
        <f>SUMIFS(NetB3BEWLGS,SUPListBEWLGS,Table_ExternalData_1[[#This Row],[SupplierID]],DLBEWLGS,"&gt;=91",DLBEWLGS,"&lt;=120")</f>
        <v>968208</v>
      </c>
      <c r="K70" s="6">
        <f>SUMIFS(NetB3BEWLGS,SUPListBEWLGS,Table_ExternalData_1[[#This Row],[SupplierID]],DLBEWLGS,"&gt;120")</f>
        <v>6182320.9199999999</v>
      </c>
    </row>
    <row r="71" spans="1:11">
      <c r="A71" s="4" t="s">
        <v>6821</v>
      </c>
      <c r="B71" s="4" t="s">
        <v>6824</v>
      </c>
      <c r="C71" s="6">
        <f>SUMIF(SUPListBEWLGS,Table_ExternalData_1[[#This Row],[SupplierID]],NetAmountBEWLGS)</f>
        <v>30755</v>
      </c>
      <c r="D71" s="6">
        <f>SUMIF(SUPListBEWLGS,Table_ExternalData_1[[#This Row],[SupplierID]],PaidBEWLGS)</f>
        <v>0</v>
      </c>
      <c r="E71" s="6">
        <f>Table_ExternalData_1[[#This Row],[Net Amount]]-Table_ExternalData_1[[#This Row],[Paid]]</f>
        <v>30755</v>
      </c>
      <c r="F71" s="6">
        <f>SUMIFS(NetB3BEWLGS,SUPListBEWLGS,Table_ExternalData_1[[#This Row],[SupplierID]],DLBEWLGS,"&gt;=1",DLBEWLGS,"&lt;=30")</f>
        <v>19855</v>
      </c>
      <c r="G71" s="6">
        <f>SUMIFS(NetB3BEWLGS,SUPListBEWLGS,Table_ExternalData_1[[#This Row],[SupplierID]],DLBEWLGS,"&gt;=31",DLBEWLGS,"&lt;=45")</f>
        <v>10900</v>
      </c>
      <c r="H71" s="6">
        <f>SUMIFS(NetB3BEWLGS,SUPListBEWLGS,Table_ExternalData_1[[#This Row],[SupplierID]],DLBEWLGS,"&gt;=46",DLBEWLGS,"&lt;=60")</f>
        <v>0</v>
      </c>
      <c r="I71" s="6">
        <f>SUMIFS(NetB3BEWLGS,SUPListBEWLGS,Table_ExternalData_1[[#This Row],[SupplierID]],DLBEWLGS,"&gt;=61",DLBEWLGS,"&lt;=90")</f>
        <v>0</v>
      </c>
      <c r="J71" s="6">
        <f>SUMIFS(NetB3BEWLGS,SUPListBEWLGS,Table_ExternalData_1[[#This Row],[SupplierID]],DLBEWLGS,"&gt;=91",DLBEWLGS,"&lt;=120")</f>
        <v>0</v>
      </c>
      <c r="K71" s="6">
        <f>SUMIFS(NetB3BEWLGS,SUPListBEWLGS,Table_ExternalData_1[[#This Row],[SupplierID]],DLBEWLGS,"&gt;120")</f>
        <v>0</v>
      </c>
    </row>
    <row r="72" spans="1:11">
      <c r="A72" s="4" t="s">
        <v>7664</v>
      </c>
      <c r="B72" s="4" t="s">
        <v>7666</v>
      </c>
      <c r="C72" s="6">
        <f>SUMIF(SUPListBEWLGS,Table_ExternalData_1[[#This Row],[SupplierID]],NetAmountBEWLGS)</f>
        <v>81446</v>
      </c>
      <c r="D72" s="6">
        <f>SUMIF(SUPListBEWLGS,Table_ExternalData_1[[#This Row],[SupplierID]],PaidBEWLGS)</f>
        <v>0</v>
      </c>
      <c r="E72" s="6">
        <f>Table_ExternalData_1[[#This Row],[Net Amount]]-Table_ExternalData_1[[#This Row],[Paid]]</f>
        <v>81446</v>
      </c>
      <c r="F72" s="6">
        <f>SUMIFS(NetB3BEWLGS,SUPListBEWLGS,Table_ExternalData_1[[#This Row],[SupplierID]],DLBEWLGS,"&gt;=1",DLBEWLGS,"&lt;=30")</f>
        <v>0</v>
      </c>
      <c r="G72" s="6">
        <f>SUMIFS(NetB3BEWLGS,SUPListBEWLGS,Table_ExternalData_1[[#This Row],[SupplierID]],DLBEWLGS,"&gt;=31",DLBEWLGS,"&lt;=45")</f>
        <v>0</v>
      </c>
      <c r="H72" s="6">
        <f>SUMIFS(NetB3BEWLGS,SUPListBEWLGS,Table_ExternalData_1[[#This Row],[SupplierID]],DLBEWLGS,"&gt;=46",DLBEWLGS,"&lt;=60")</f>
        <v>0</v>
      </c>
      <c r="I72" s="6">
        <f>SUMIFS(NetB3BEWLGS,SUPListBEWLGS,Table_ExternalData_1[[#This Row],[SupplierID]],DLBEWLGS,"&gt;=61",DLBEWLGS,"&lt;=90")</f>
        <v>0</v>
      </c>
      <c r="J72" s="6">
        <f>SUMIFS(NetB3BEWLGS,SUPListBEWLGS,Table_ExternalData_1[[#This Row],[SupplierID]],DLBEWLGS,"&gt;=91",DLBEWLGS,"&lt;=120")</f>
        <v>81446</v>
      </c>
      <c r="K72" s="6">
        <f>SUMIFS(NetB3BEWLGS,SUPListBEWLGS,Table_ExternalData_1[[#This Row],[SupplierID]],DLBEWLGS,"&gt;120")</f>
        <v>0</v>
      </c>
    </row>
    <row r="73" spans="1:11">
      <c r="A73" s="4" t="s">
        <v>8059</v>
      </c>
      <c r="B73" s="4" t="s">
        <v>8061</v>
      </c>
      <c r="C73" s="6">
        <f>SUMIF(SUPListBEWLGS,Table_ExternalData_1[[#This Row],[SupplierID]],NetAmountBEWLGS)</f>
        <v>7157</v>
      </c>
      <c r="D73" s="6">
        <f>SUMIF(SUPListBEWLGS,Table_ExternalData_1[[#This Row],[SupplierID]],PaidBEWLGS)</f>
        <v>0</v>
      </c>
      <c r="E73" s="6">
        <f>Table_ExternalData_1[[#This Row],[Net Amount]]-Table_ExternalData_1[[#This Row],[Paid]]</f>
        <v>7157</v>
      </c>
      <c r="F73" s="6">
        <f>SUMIFS(NetB3BEWLGS,SUPListBEWLGS,Table_ExternalData_1[[#This Row],[SupplierID]],DLBEWLGS,"&gt;=1",DLBEWLGS,"&lt;=30")</f>
        <v>0</v>
      </c>
      <c r="G73" s="6">
        <f>SUMIFS(NetB3BEWLGS,SUPListBEWLGS,Table_ExternalData_1[[#This Row],[SupplierID]],DLBEWLGS,"&gt;=31",DLBEWLGS,"&lt;=45")</f>
        <v>0</v>
      </c>
      <c r="H73" s="6">
        <f>SUMIFS(NetB3BEWLGS,SUPListBEWLGS,Table_ExternalData_1[[#This Row],[SupplierID]],DLBEWLGS,"&gt;=46",DLBEWLGS,"&lt;=60")</f>
        <v>7157</v>
      </c>
      <c r="I73" s="6">
        <f>SUMIFS(NetB3BEWLGS,SUPListBEWLGS,Table_ExternalData_1[[#This Row],[SupplierID]],DLBEWLGS,"&gt;=61",DLBEWLGS,"&lt;=90")</f>
        <v>0</v>
      </c>
      <c r="J73" s="6">
        <f>SUMIFS(NetB3BEWLGS,SUPListBEWLGS,Table_ExternalData_1[[#This Row],[SupplierID]],DLBEWLGS,"&gt;=91",DLBEWLGS,"&lt;=120")</f>
        <v>0</v>
      </c>
      <c r="K73" s="6">
        <f>SUMIFS(NetB3BEWLGS,SUPListBEWLGS,Table_ExternalData_1[[#This Row],[SupplierID]],DLBEWLGS,"&gt;120")</f>
        <v>0</v>
      </c>
    </row>
    <row r="74" spans="1:11">
      <c r="A74" s="4" t="s">
        <v>8390</v>
      </c>
      <c r="B74" s="4" t="s">
        <v>8392</v>
      </c>
      <c r="C74" s="6">
        <f>SUMIF(SUPListBEWLGS,Table_ExternalData_1[[#This Row],[SupplierID]],NetAmountBEWLGS)</f>
        <v>6600</v>
      </c>
      <c r="D74" s="6">
        <f>SUMIF(SUPListBEWLGS,Table_ExternalData_1[[#This Row],[SupplierID]],PaidBEWLGS)</f>
        <v>0</v>
      </c>
      <c r="E74" s="6">
        <f>Table_ExternalData_1[[#This Row],[Net Amount]]-Table_ExternalData_1[[#This Row],[Paid]]</f>
        <v>6600</v>
      </c>
      <c r="F74" s="6">
        <f>SUMIFS(NetB3BEWLGS,SUPListBEWLGS,Table_ExternalData_1[[#This Row],[SupplierID]],DLBEWLGS,"&gt;=1",DLBEWLGS,"&lt;=30")</f>
        <v>6600</v>
      </c>
      <c r="G74" s="6">
        <f>SUMIFS(NetB3BEWLGS,SUPListBEWLGS,Table_ExternalData_1[[#This Row],[SupplierID]],DLBEWLGS,"&gt;=31",DLBEWLGS,"&lt;=45")</f>
        <v>0</v>
      </c>
      <c r="H74" s="6">
        <f>SUMIFS(NetB3BEWLGS,SUPListBEWLGS,Table_ExternalData_1[[#This Row],[SupplierID]],DLBEWLGS,"&gt;=46",DLBEWLGS,"&lt;=60")</f>
        <v>0</v>
      </c>
      <c r="I74" s="6">
        <f>SUMIFS(NetB3BEWLGS,SUPListBEWLGS,Table_ExternalData_1[[#This Row],[SupplierID]],DLBEWLGS,"&gt;=61",DLBEWLGS,"&lt;=90")</f>
        <v>0</v>
      </c>
      <c r="J74" s="6">
        <f>SUMIFS(NetB3BEWLGS,SUPListBEWLGS,Table_ExternalData_1[[#This Row],[SupplierID]],DLBEWLGS,"&gt;=91",DLBEWLGS,"&lt;=120")</f>
        <v>0</v>
      </c>
      <c r="K74" s="6">
        <f>SUMIFS(NetB3BEWLGS,SUPListBEWLGS,Table_ExternalData_1[[#This Row],[SupplierID]],DLBEWLGS,"&gt;120")</f>
        <v>0</v>
      </c>
    </row>
    <row r="75" spans="1:11">
      <c r="A75" s="4" t="s">
        <v>8013</v>
      </c>
      <c r="B75" s="4" t="s">
        <v>5500</v>
      </c>
      <c r="C75" s="6">
        <f>SUMIF(SUPListBEWLGS,Table_ExternalData_1[[#This Row],[SupplierID]],NetAmountBEWLGS)</f>
        <v>37642</v>
      </c>
      <c r="D75" s="6">
        <f>SUMIF(SUPListBEWLGS,Table_ExternalData_1[[#This Row],[SupplierID]],PaidBEWLGS)</f>
        <v>0</v>
      </c>
      <c r="E75" s="6">
        <f>Table_ExternalData_1[[#This Row],[Net Amount]]-Table_ExternalData_1[[#This Row],[Paid]]</f>
        <v>37642</v>
      </c>
      <c r="F75" s="6">
        <f>SUMIFS(NetB3BEWLGS,SUPListBEWLGS,Table_ExternalData_1[[#This Row],[SupplierID]],DLBEWLGS,"&gt;=1",DLBEWLGS,"&lt;=30")</f>
        <v>17110</v>
      </c>
      <c r="G75" s="6">
        <f>SUMIFS(NetB3BEWLGS,SUPListBEWLGS,Table_ExternalData_1[[#This Row],[SupplierID]],DLBEWLGS,"&gt;=31",DLBEWLGS,"&lt;=45")</f>
        <v>0</v>
      </c>
      <c r="H75" s="6">
        <f>SUMIFS(NetB3BEWLGS,SUPListBEWLGS,Table_ExternalData_1[[#This Row],[SupplierID]],DLBEWLGS,"&gt;=46",DLBEWLGS,"&lt;=60")</f>
        <v>20532</v>
      </c>
      <c r="I75" s="6">
        <f>SUMIFS(NetB3BEWLGS,SUPListBEWLGS,Table_ExternalData_1[[#This Row],[SupplierID]],DLBEWLGS,"&gt;=61",DLBEWLGS,"&lt;=90")</f>
        <v>0</v>
      </c>
      <c r="J75" s="6">
        <f>SUMIFS(NetB3BEWLGS,SUPListBEWLGS,Table_ExternalData_1[[#This Row],[SupplierID]],DLBEWLGS,"&gt;=91",DLBEWLGS,"&lt;=120")</f>
        <v>0</v>
      </c>
      <c r="K75" s="6">
        <f>SUMIFS(NetB3BEWLGS,SUPListBEWLGS,Table_ExternalData_1[[#This Row],[SupplierID]],DLBEWLGS,"&gt;120")</f>
        <v>0</v>
      </c>
    </row>
    <row r="76" spans="1:11">
      <c r="A76" s="4" t="s">
        <v>6577</v>
      </c>
      <c r="B76" s="4" t="s">
        <v>6579</v>
      </c>
      <c r="C76" s="6">
        <f>SUMIF(SUPListBEWLGS,Table_ExternalData_1[[#This Row],[SupplierID]],NetAmountBEWLGS)</f>
        <v>882186</v>
      </c>
      <c r="D76" s="6">
        <f>SUMIF(SUPListBEWLGS,Table_ExternalData_1[[#This Row],[SupplierID]],PaidBEWLGS)</f>
        <v>0</v>
      </c>
      <c r="E76" s="6">
        <f>Table_ExternalData_1[[#This Row],[Net Amount]]-Table_ExternalData_1[[#This Row],[Paid]]</f>
        <v>882186</v>
      </c>
      <c r="F76" s="6">
        <f>SUMIFS(NetB3BEWLGS,SUPListBEWLGS,Table_ExternalData_1[[#This Row],[SupplierID]],DLBEWLGS,"&gt;=1",DLBEWLGS,"&lt;=30")</f>
        <v>0</v>
      </c>
      <c r="G76" s="6">
        <f>SUMIFS(NetB3BEWLGS,SUPListBEWLGS,Table_ExternalData_1[[#This Row],[SupplierID]],DLBEWLGS,"&gt;=31",DLBEWLGS,"&lt;=45")</f>
        <v>0</v>
      </c>
      <c r="H76" s="6">
        <f>SUMIFS(NetB3BEWLGS,SUPListBEWLGS,Table_ExternalData_1[[#This Row],[SupplierID]],DLBEWLGS,"&gt;=46",DLBEWLGS,"&lt;=60")</f>
        <v>0</v>
      </c>
      <c r="I76" s="6">
        <f>SUMIFS(NetB3BEWLGS,SUPListBEWLGS,Table_ExternalData_1[[#This Row],[SupplierID]],DLBEWLGS,"&gt;=61",DLBEWLGS,"&lt;=90")</f>
        <v>0</v>
      </c>
      <c r="J76" s="6">
        <f>SUMIFS(NetB3BEWLGS,SUPListBEWLGS,Table_ExternalData_1[[#This Row],[SupplierID]],DLBEWLGS,"&gt;=91",DLBEWLGS,"&lt;=120")</f>
        <v>28327</v>
      </c>
      <c r="K76" s="6">
        <f>SUMIFS(NetB3BEWLGS,SUPListBEWLGS,Table_ExternalData_1[[#This Row],[SupplierID]],DLBEWLGS,"&gt;120")</f>
        <v>853859</v>
      </c>
    </row>
    <row r="77" spans="1:11">
      <c r="A77" s="4" t="s">
        <v>6474</v>
      </c>
      <c r="B77" s="4" t="s">
        <v>6475</v>
      </c>
      <c r="C77" s="6">
        <f>SUMIF(SUPListBEWLGS,Table_ExternalData_1[[#This Row],[SupplierID]],NetAmountBEWLGS)</f>
        <v>4027239</v>
      </c>
      <c r="D77" s="6">
        <f>SUMIF(SUPListBEWLGS,Table_ExternalData_1[[#This Row],[SupplierID]],PaidBEWLGS)</f>
        <v>770280</v>
      </c>
      <c r="E77" s="6">
        <f>Table_ExternalData_1[[#This Row],[Net Amount]]-Table_ExternalData_1[[#This Row],[Paid]]</f>
        <v>3256959</v>
      </c>
      <c r="F77" s="6">
        <f>SUMIFS(NetB3BEWLGS,SUPListBEWLGS,Table_ExternalData_1[[#This Row],[SupplierID]],DLBEWLGS,"&gt;=1",DLBEWLGS,"&lt;=30")</f>
        <v>933425</v>
      </c>
      <c r="G77" s="6">
        <f>SUMIFS(NetB3BEWLGS,SUPListBEWLGS,Table_ExternalData_1[[#This Row],[SupplierID]],DLBEWLGS,"&gt;=31",DLBEWLGS,"&lt;=45")</f>
        <v>0</v>
      </c>
      <c r="H77" s="6">
        <f>SUMIFS(NetB3BEWLGS,SUPListBEWLGS,Table_ExternalData_1[[#This Row],[SupplierID]],DLBEWLGS,"&gt;=46",DLBEWLGS,"&lt;=60")</f>
        <v>319516</v>
      </c>
      <c r="I77" s="6">
        <f>SUMIFS(NetB3BEWLGS,SUPListBEWLGS,Table_ExternalData_1[[#This Row],[SupplierID]],DLBEWLGS,"&gt;=61",DLBEWLGS,"&lt;=90")</f>
        <v>327441</v>
      </c>
      <c r="J77" s="6">
        <f>SUMIFS(NetB3BEWLGS,SUPListBEWLGS,Table_ExternalData_1[[#This Row],[SupplierID]],DLBEWLGS,"&gt;=91",DLBEWLGS,"&lt;=120")</f>
        <v>624625</v>
      </c>
      <c r="K77" s="6">
        <f>SUMIFS(NetB3BEWLGS,SUPListBEWLGS,Table_ExternalData_1[[#This Row],[SupplierID]],DLBEWLGS,"&gt;120")</f>
        <v>1051952</v>
      </c>
    </row>
    <row r="78" spans="1:11">
      <c r="A78" s="4" t="s">
        <v>7722</v>
      </c>
      <c r="B78" s="4" t="s">
        <v>7724</v>
      </c>
      <c r="C78" s="6">
        <f>SUMIF(SUPListBEWLGS,Table_ExternalData_1[[#This Row],[SupplierID]],NetAmountBEWLGS)</f>
        <v>136732</v>
      </c>
      <c r="D78" s="6">
        <f>SUMIF(SUPListBEWLGS,Table_ExternalData_1[[#This Row],[SupplierID]],PaidBEWLGS)</f>
        <v>0</v>
      </c>
      <c r="E78" s="6">
        <f>Table_ExternalData_1[[#This Row],[Net Amount]]-Table_ExternalData_1[[#This Row],[Paid]]</f>
        <v>136732</v>
      </c>
      <c r="F78" s="6">
        <f>SUMIFS(NetB3BEWLGS,SUPListBEWLGS,Table_ExternalData_1[[#This Row],[SupplierID]],DLBEWLGS,"&gt;=1",DLBEWLGS,"&lt;=30")</f>
        <v>51121</v>
      </c>
      <c r="G78" s="6">
        <f>SUMIFS(NetB3BEWLGS,SUPListBEWLGS,Table_ExternalData_1[[#This Row],[SupplierID]],DLBEWLGS,"&gt;=31",DLBEWLGS,"&lt;=45")</f>
        <v>0</v>
      </c>
      <c r="H78" s="6">
        <f>SUMIFS(NetB3BEWLGS,SUPListBEWLGS,Table_ExternalData_1[[#This Row],[SupplierID]],DLBEWLGS,"&gt;=46",DLBEWLGS,"&lt;=60")</f>
        <v>64922</v>
      </c>
      <c r="I78" s="6">
        <f>SUMIFS(NetB3BEWLGS,SUPListBEWLGS,Table_ExternalData_1[[#This Row],[SupplierID]],DLBEWLGS,"&gt;=61",DLBEWLGS,"&lt;=90")</f>
        <v>12337</v>
      </c>
      <c r="J78" s="6">
        <f>SUMIFS(NetB3BEWLGS,SUPListBEWLGS,Table_ExternalData_1[[#This Row],[SupplierID]],DLBEWLGS,"&gt;=91",DLBEWLGS,"&lt;=120")</f>
        <v>8352</v>
      </c>
      <c r="K78" s="6">
        <f>SUMIFS(NetB3BEWLGS,SUPListBEWLGS,Table_ExternalData_1[[#This Row],[SupplierID]],DLBEWLGS,"&gt;120")</f>
        <v>0</v>
      </c>
    </row>
    <row r="79" spans="1:11">
      <c r="A79" s="4" t="s">
        <v>8171</v>
      </c>
      <c r="B79" s="4" t="s">
        <v>8173</v>
      </c>
      <c r="C79" s="6">
        <f>SUMIF(SUPListBEWLGS,Table_ExternalData_1[[#This Row],[SupplierID]],NetAmountBEWLGS)</f>
        <v>328860</v>
      </c>
      <c r="D79" s="6">
        <f>SUMIF(SUPListBEWLGS,Table_ExternalData_1[[#This Row],[SupplierID]],PaidBEWLGS)</f>
        <v>0</v>
      </c>
      <c r="E79" s="6">
        <f>Table_ExternalData_1[[#This Row],[Net Amount]]-Table_ExternalData_1[[#This Row],[Paid]]</f>
        <v>328860</v>
      </c>
      <c r="F79" s="6">
        <f>SUMIFS(NetB3BEWLGS,SUPListBEWLGS,Table_ExternalData_1[[#This Row],[SupplierID]],DLBEWLGS,"&gt;=1",DLBEWLGS,"&lt;=30")</f>
        <v>0</v>
      </c>
      <c r="G79" s="6">
        <f>SUMIFS(NetB3BEWLGS,SUPListBEWLGS,Table_ExternalData_1[[#This Row],[SupplierID]],DLBEWLGS,"&gt;=31",DLBEWLGS,"&lt;=45")</f>
        <v>0</v>
      </c>
      <c r="H79" s="6">
        <f>SUMIFS(NetB3BEWLGS,SUPListBEWLGS,Table_ExternalData_1[[#This Row],[SupplierID]],DLBEWLGS,"&gt;=46",DLBEWLGS,"&lt;=60")</f>
        <v>328860</v>
      </c>
      <c r="I79" s="6">
        <f>SUMIFS(NetB3BEWLGS,SUPListBEWLGS,Table_ExternalData_1[[#This Row],[SupplierID]],DLBEWLGS,"&gt;=61",DLBEWLGS,"&lt;=90")</f>
        <v>0</v>
      </c>
      <c r="J79" s="6">
        <f>SUMIFS(NetB3BEWLGS,SUPListBEWLGS,Table_ExternalData_1[[#This Row],[SupplierID]],DLBEWLGS,"&gt;=91",DLBEWLGS,"&lt;=120")</f>
        <v>0</v>
      </c>
      <c r="K79" s="6">
        <f>SUMIFS(NetB3BEWLGS,SUPListBEWLGS,Table_ExternalData_1[[#This Row],[SupplierID]],DLBEWLGS,"&gt;120")</f>
        <v>0</v>
      </c>
    </row>
    <row r="80" spans="1:11">
      <c r="A80" s="4" t="s">
        <v>6223</v>
      </c>
      <c r="B80" s="4" t="s">
        <v>6225</v>
      </c>
      <c r="C80" s="6">
        <f>SUMIF(SUPListBEWLGS,Table_ExternalData_1[[#This Row],[SupplierID]],NetAmountBEWLGS)</f>
        <v>403057</v>
      </c>
      <c r="D80" s="6">
        <f>SUMIF(SUPListBEWLGS,Table_ExternalData_1[[#This Row],[SupplierID]],PaidBEWLGS)</f>
        <v>0</v>
      </c>
      <c r="E80" s="6">
        <f>Table_ExternalData_1[[#This Row],[Net Amount]]-Table_ExternalData_1[[#This Row],[Paid]]</f>
        <v>403057</v>
      </c>
      <c r="F80" s="6">
        <f>SUMIFS(NetB3BEWLGS,SUPListBEWLGS,Table_ExternalData_1[[#This Row],[SupplierID]],DLBEWLGS,"&gt;=1",DLBEWLGS,"&lt;=30")</f>
        <v>425266</v>
      </c>
      <c r="G80" s="6">
        <f>SUMIFS(NetB3BEWLGS,SUPListBEWLGS,Table_ExternalData_1[[#This Row],[SupplierID]],DLBEWLGS,"&gt;=31",DLBEWLGS,"&lt;=45")</f>
        <v>0</v>
      </c>
      <c r="H80" s="6">
        <f>SUMIFS(NetB3BEWLGS,SUPListBEWLGS,Table_ExternalData_1[[#This Row],[SupplierID]],DLBEWLGS,"&gt;=46",DLBEWLGS,"&lt;=60")</f>
        <v>0</v>
      </c>
      <c r="I80" s="6">
        <f>SUMIFS(NetB3BEWLGS,SUPListBEWLGS,Table_ExternalData_1[[#This Row],[SupplierID]],DLBEWLGS,"&gt;=61",DLBEWLGS,"&lt;=90")</f>
        <v>0</v>
      </c>
      <c r="J80" s="6">
        <f>SUMIFS(NetB3BEWLGS,SUPListBEWLGS,Table_ExternalData_1[[#This Row],[SupplierID]],DLBEWLGS,"&gt;=91",DLBEWLGS,"&lt;=120")</f>
        <v>0</v>
      </c>
      <c r="K80" s="6">
        <f>SUMIFS(NetB3BEWLGS,SUPListBEWLGS,Table_ExternalData_1[[#This Row],[SupplierID]],DLBEWLGS,"&gt;120")</f>
        <v>0</v>
      </c>
    </row>
    <row r="81" spans="1:11">
      <c r="A81" s="4" t="s">
        <v>6129</v>
      </c>
      <c r="B81" s="4" t="s">
        <v>6130</v>
      </c>
      <c r="C81" s="6">
        <f>SUMIF(SUPListBEWLGS,Table_ExternalData_1[[#This Row],[SupplierID]],NetAmountBEWLGS)</f>
        <v>-17048</v>
      </c>
      <c r="D81" s="6">
        <f>SUMIF(SUPListBEWLGS,Table_ExternalData_1[[#This Row],[SupplierID]],PaidBEWLGS)</f>
        <v>0</v>
      </c>
      <c r="E81" s="6">
        <f>Table_ExternalData_1[[#This Row],[Net Amount]]-Table_ExternalData_1[[#This Row],[Paid]]</f>
        <v>-17048</v>
      </c>
      <c r="F81" s="6">
        <f>SUMIFS(NetB3BEWLGS,SUPListBEWLGS,Table_ExternalData_1[[#This Row],[SupplierID]],DLBEWLGS,"&gt;=1",DLBEWLGS,"&lt;=30")</f>
        <v>0</v>
      </c>
      <c r="G81" s="6">
        <f>SUMIFS(NetB3BEWLGS,SUPListBEWLGS,Table_ExternalData_1[[#This Row],[SupplierID]],DLBEWLGS,"&gt;=31",DLBEWLGS,"&lt;=45")</f>
        <v>0</v>
      </c>
      <c r="H81" s="6">
        <f>SUMIFS(NetB3BEWLGS,SUPListBEWLGS,Table_ExternalData_1[[#This Row],[SupplierID]],DLBEWLGS,"&gt;=46",DLBEWLGS,"&lt;=60")</f>
        <v>0</v>
      </c>
      <c r="I81" s="6">
        <f>SUMIFS(NetB3BEWLGS,SUPListBEWLGS,Table_ExternalData_1[[#This Row],[SupplierID]],DLBEWLGS,"&gt;=61",DLBEWLGS,"&lt;=90")</f>
        <v>0</v>
      </c>
      <c r="J81" s="6">
        <f>SUMIFS(NetB3BEWLGS,SUPListBEWLGS,Table_ExternalData_1[[#This Row],[SupplierID]],DLBEWLGS,"&gt;=91",DLBEWLGS,"&lt;=120")</f>
        <v>0</v>
      </c>
      <c r="K81" s="6">
        <f>SUMIFS(NetB3BEWLGS,SUPListBEWLGS,Table_ExternalData_1[[#This Row],[SupplierID]],DLBEWLGS,"&gt;120")</f>
        <v>0</v>
      </c>
    </row>
    <row r="82" spans="1:11">
      <c r="A82" s="4" t="s">
        <v>7093</v>
      </c>
      <c r="B82" s="4" t="s">
        <v>7095</v>
      </c>
      <c r="C82" s="6">
        <f>SUMIF(SUPListBEWLGS,Table_ExternalData_1[[#This Row],[SupplierID]],NetAmountBEWLGS)</f>
        <v>12000</v>
      </c>
      <c r="D82" s="6">
        <f>SUMIF(SUPListBEWLGS,Table_ExternalData_1[[#This Row],[SupplierID]],PaidBEWLGS)</f>
        <v>0</v>
      </c>
      <c r="E82" s="6">
        <f>Table_ExternalData_1[[#This Row],[Net Amount]]-Table_ExternalData_1[[#This Row],[Paid]]</f>
        <v>12000</v>
      </c>
      <c r="F82" s="6">
        <f>SUMIFS(NetB3BEWLGS,SUPListBEWLGS,Table_ExternalData_1[[#This Row],[SupplierID]],DLBEWLGS,"&gt;=1",DLBEWLGS,"&lt;=30")</f>
        <v>12000</v>
      </c>
      <c r="G82" s="6">
        <f>SUMIFS(NetB3BEWLGS,SUPListBEWLGS,Table_ExternalData_1[[#This Row],[SupplierID]],DLBEWLGS,"&gt;=31",DLBEWLGS,"&lt;=45")</f>
        <v>0</v>
      </c>
      <c r="H82" s="6">
        <f>SUMIFS(NetB3BEWLGS,SUPListBEWLGS,Table_ExternalData_1[[#This Row],[SupplierID]],DLBEWLGS,"&gt;=46",DLBEWLGS,"&lt;=60")</f>
        <v>0</v>
      </c>
      <c r="I82" s="6">
        <f>SUMIFS(NetB3BEWLGS,SUPListBEWLGS,Table_ExternalData_1[[#This Row],[SupplierID]],DLBEWLGS,"&gt;=61",DLBEWLGS,"&lt;=90")</f>
        <v>0</v>
      </c>
      <c r="J82" s="6">
        <f>SUMIFS(NetB3BEWLGS,SUPListBEWLGS,Table_ExternalData_1[[#This Row],[SupplierID]],DLBEWLGS,"&gt;=91",DLBEWLGS,"&lt;=120")</f>
        <v>0</v>
      </c>
      <c r="K82" s="6">
        <f>SUMIFS(NetB3BEWLGS,SUPListBEWLGS,Table_ExternalData_1[[#This Row],[SupplierID]],DLBEWLGS,"&gt;120")</f>
        <v>0</v>
      </c>
    </row>
    <row r="83" spans="1:11">
      <c r="A83" s="4" t="s">
        <v>6629</v>
      </c>
      <c r="B83" s="4" t="s">
        <v>6631</v>
      </c>
      <c r="C83" s="6">
        <f>SUMIF(SUPListBEWLGS,Table_ExternalData_1[[#This Row],[SupplierID]],NetAmountBEWLGS)</f>
        <v>276510</v>
      </c>
      <c r="D83" s="6">
        <f>SUMIF(SUPListBEWLGS,Table_ExternalData_1[[#This Row],[SupplierID]],PaidBEWLGS)</f>
        <v>0</v>
      </c>
      <c r="E83" s="6">
        <f>Table_ExternalData_1[[#This Row],[Net Amount]]-Table_ExternalData_1[[#This Row],[Paid]]</f>
        <v>276510</v>
      </c>
      <c r="F83" s="6">
        <f>SUMIFS(NetB3BEWLGS,SUPListBEWLGS,Table_ExternalData_1[[#This Row],[SupplierID]],DLBEWLGS,"&gt;=1",DLBEWLGS,"&lt;=30")</f>
        <v>0</v>
      </c>
      <c r="G83" s="6">
        <f>SUMIFS(NetB3BEWLGS,SUPListBEWLGS,Table_ExternalData_1[[#This Row],[SupplierID]],DLBEWLGS,"&gt;=31",DLBEWLGS,"&lt;=45")</f>
        <v>46400</v>
      </c>
      <c r="H83" s="6">
        <f>SUMIFS(NetB3BEWLGS,SUPListBEWLGS,Table_ExternalData_1[[#This Row],[SupplierID]],DLBEWLGS,"&gt;=46",DLBEWLGS,"&lt;=60")</f>
        <v>0</v>
      </c>
      <c r="I83" s="6">
        <f>SUMIFS(NetB3BEWLGS,SUPListBEWLGS,Table_ExternalData_1[[#This Row],[SupplierID]],DLBEWLGS,"&gt;=61",DLBEWLGS,"&lt;=90")</f>
        <v>0</v>
      </c>
      <c r="J83" s="6">
        <f>SUMIFS(NetB3BEWLGS,SUPListBEWLGS,Table_ExternalData_1[[#This Row],[SupplierID]],DLBEWLGS,"&gt;=91",DLBEWLGS,"&lt;=120")</f>
        <v>0</v>
      </c>
      <c r="K83" s="6">
        <f>SUMIFS(NetB3BEWLGS,SUPListBEWLGS,Table_ExternalData_1[[#This Row],[SupplierID]],DLBEWLGS,"&gt;120")</f>
        <v>230110</v>
      </c>
    </row>
    <row r="84" spans="1:11">
      <c r="A84" s="4" t="s">
        <v>6369</v>
      </c>
      <c r="B84" s="4" t="s">
        <v>5508</v>
      </c>
      <c r="C84" s="6">
        <f>SUMIF(SUPListBEWLGS,Table_ExternalData_1[[#This Row],[SupplierID]],NetAmountBEWLGS)</f>
        <v>8372716</v>
      </c>
      <c r="D84" s="6">
        <f>SUMIF(SUPListBEWLGS,Table_ExternalData_1[[#This Row],[SupplierID]],PaidBEWLGS)</f>
        <v>0</v>
      </c>
      <c r="E84" s="6">
        <f>Table_ExternalData_1[[#This Row],[Net Amount]]-Table_ExternalData_1[[#This Row],[Paid]]</f>
        <v>8372716</v>
      </c>
      <c r="F84" s="6">
        <f>SUMIFS(NetB3BEWLGS,SUPListBEWLGS,Table_ExternalData_1[[#This Row],[SupplierID]],DLBEWLGS,"&gt;=1",DLBEWLGS,"&lt;=30")</f>
        <v>1104364</v>
      </c>
      <c r="G84" s="6">
        <f>SUMIFS(NetB3BEWLGS,SUPListBEWLGS,Table_ExternalData_1[[#This Row],[SupplierID]],DLBEWLGS,"&gt;=31",DLBEWLGS,"&lt;=45")</f>
        <v>1104364</v>
      </c>
      <c r="H84" s="6">
        <f>SUMIFS(NetB3BEWLGS,SUPListBEWLGS,Table_ExternalData_1[[#This Row],[SupplierID]],DLBEWLGS,"&gt;=46",DLBEWLGS,"&lt;=60")</f>
        <v>0</v>
      </c>
      <c r="I84" s="6">
        <f>SUMIFS(NetB3BEWLGS,SUPListBEWLGS,Table_ExternalData_1[[#This Row],[SupplierID]],DLBEWLGS,"&gt;=61",DLBEWLGS,"&lt;=90")</f>
        <v>0</v>
      </c>
      <c r="J84" s="6">
        <f>SUMIFS(NetB3BEWLGS,SUPListBEWLGS,Table_ExternalData_1[[#This Row],[SupplierID]],DLBEWLGS,"&gt;=91",DLBEWLGS,"&lt;=120")</f>
        <v>0</v>
      </c>
      <c r="K84" s="6">
        <f>SUMIFS(NetB3BEWLGS,SUPListBEWLGS,Table_ExternalData_1[[#This Row],[SupplierID]],DLBEWLGS,"&gt;120")</f>
        <v>6163988</v>
      </c>
    </row>
    <row r="85" spans="1:11">
      <c r="A85" s="4" t="s">
        <v>6183</v>
      </c>
      <c r="B85" s="4" t="s">
        <v>6185</v>
      </c>
      <c r="C85" s="6">
        <f>SUMIF(SUPListBEWLGS,Table_ExternalData_1[[#This Row],[SupplierID]],NetAmountBEWLGS)</f>
        <v>649803</v>
      </c>
      <c r="D85" s="6">
        <f>SUMIF(SUPListBEWLGS,Table_ExternalData_1[[#This Row],[SupplierID]],PaidBEWLGS)</f>
        <v>0</v>
      </c>
      <c r="E85" s="6">
        <f>Table_ExternalData_1[[#This Row],[Net Amount]]-Table_ExternalData_1[[#This Row],[Paid]]</f>
        <v>649803</v>
      </c>
      <c r="F85" s="6">
        <f>SUMIFS(NetB3BEWLGS,SUPListBEWLGS,Table_ExternalData_1[[#This Row],[SupplierID]],DLBEWLGS,"&gt;=1",DLBEWLGS,"&lt;=30")</f>
        <v>687549</v>
      </c>
      <c r="G85" s="6">
        <f>SUMIFS(NetB3BEWLGS,SUPListBEWLGS,Table_ExternalData_1[[#This Row],[SupplierID]],DLBEWLGS,"&gt;=31",DLBEWLGS,"&lt;=45")</f>
        <v>0</v>
      </c>
      <c r="H85" s="6">
        <f>SUMIFS(NetB3BEWLGS,SUPListBEWLGS,Table_ExternalData_1[[#This Row],[SupplierID]],DLBEWLGS,"&gt;=46",DLBEWLGS,"&lt;=60")</f>
        <v>0</v>
      </c>
      <c r="I85" s="6">
        <f>SUMIFS(NetB3BEWLGS,SUPListBEWLGS,Table_ExternalData_1[[#This Row],[SupplierID]],DLBEWLGS,"&gt;=61",DLBEWLGS,"&lt;=90")</f>
        <v>0</v>
      </c>
      <c r="J85" s="6">
        <f>SUMIFS(NetB3BEWLGS,SUPListBEWLGS,Table_ExternalData_1[[#This Row],[SupplierID]],DLBEWLGS,"&gt;=91",DLBEWLGS,"&lt;=120")</f>
        <v>0</v>
      </c>
      <c r="K85" s="6">
        <f>SUMIFS(NetB3BEWLGS,SUPListBEWLGS,Table_ExternalData_1[[#This Row],[SupplierID]],DLBEWLGS,"&gt;120")</f>
        <v>0</v>
      </c>
    </row>
    <row r="86" spans="1:11">
      <c r="A86" s="4" t="s">
        <v>6412</v>
      </c>
      <c r="B86" s="4" t="s">
        <v>6414</v>
      </c>
      <c r="C86" s="6">
        <f>SUMIF(SUPListBEWLGS,Table_ExternalData_1[[#This Row],[SupplierID]],NetAmountBEWLGS)</f>
        <v>17701812</v>
      </c>
      <c r="D86" s="6">
        <f>SUMIF(SUPListBEWLGS,Table_ExternalData_1[[#This Row],[SupplierID]],PaidBEWLGS)</f>
        <v>1350000</v>
      </c>
      <c r="E86" s="6">
        <f>Table_ExternalData_1[[#This Row],[Net Amount]]-Table_ExternalData_1[[#This Row],[Paid]]</f>
        <v>16351812</v>
      </c>
      <c r="F86" s="6">
        <f>SUMIFS(NetB3BEWLGS,SUPListBEWLGS,Table_ExternalData_1[[#This Row],[SupplierID]],DLBEWLGS,"&gt;=1",DLBEWLGS,"&lt;=30")</f>
        <v>1302616</v>
      </c>
      <c r="G86" s="6">
        <f>SUMIFS(NetB3BEWLGS,SUPListBEWLGS,Table_ExternalData_1[[#This Row],[SupplierID]],DLBEWLGS,"&gt;=31",DLBEWLGS,"&lt;=45")</f>
        <v>2340868</v>
      </c>
      <c r="H86" s="6">
        <f>SUMIFS(NetB3BEWLGS,SUPListBEWLGS,Table_ExternalData_1[[#This Row],[SupplierID]],DLBEWLGS,"&gt;=46",DLBEWLGS,"&lt;=60")</f>
        <v>2280513</v>
      </c>
      <c r="I86" s="6">
        <f>SUMIFS(NetB3BEWLGS,SUPListBEWLGS,Table_ExternalData_1[[#This Row],[SupplierID]],DLBEWLGS,"&gt;=61",DLBEWLGS,"&lt;=90")</f>
        <v>2696014</v>
      </c>
      <c r="J86" s="6">
        <f>SUMIFS(NetB3BEWLGS,SUPListBEWLGS,Table_ExternalData_1[[#This Row],[SupplierID]],DLBEWLGS,"&gt;=91",DLBEWLGS,"&lt;=120")</f>
        <v>2307200</v>
      </c>
      <c r="K86" s="6">
        <f>SUMIFS(NetB3BEWLGS,SUPListBEWLGS,Table_ExternalData_1[[#This Row],[SupplierID]],DLBEWLGS,"&gt;120")</f>
        <v>5424601</v>
      </c>
    </row>
    <row r="87" spans="1:11">
      <c r="A87" s="4" t="s">
        <v>7866</v>
      </c>
      <c r="B87" s="4" t="s">
        <v>7867</v>
      </c>
      <c r="C87" s="6">
        <f>SUMIF(SUPListBEWLGS,Table_ExternalData_1[[#This Row],[SupplierID]],NetAmountBEWLGS)</f>
        <v>5800</v>
      </c>
      <c r="D87" s="6">
        <f>SUMIF(SUPListBEWLGS,Table_ExternalData_1[[#This Row],[SupplierID]],PaidBEWLGS)</f>
        <v>0</v>
      </c>
      <c r="E87" s="6">
        <f>Table_ExternalData_1[[#This Row],[Net Amount]]-Table_ExternalData_1[[#This Row],[Paid]]</f>
        <v>5800</v>
      </c>
      <c r="F87" s="6">
        <f>SUMIFS(NetB3BEWLGS,SUPListBEWLGS,Table_ExternalData_1[[#This Row],[SupplierID]],DLBEWLGS,"&gt;=1",DLBEWLGS,"&lt;=30")</f>
        <v>0</v>
      </c>
      <c r="G87" s="6">
        <f>SUMIFS(NetB3BEWLGS,SUPListBEWLGS,Table_ExternalData_1[[#This Row],[SupplierID]],DLBEWLGS,"&gt;=31",DLBEWLGS,"&lt;=45")</f>
        <v>0</v>
      </c>
      <c r="H87" s="6">
        <f>SUMIFS(NetB3BEWLGS,SUPListBEWLGS,Table_ExternalData_1[[#This Row],[SupplierID]],DLBEWLGS,"&gt;=46",DLBEWLGS,"&lt;=60")</f>
        <v>0</v>
      </c>
      <c r="I87" s="6">
        <f>SUMIFS(NetB3BEWLGS,SUPListBEWLGS,Table_ExternalData_1[[#This Row],[SupplierID]],DLBEWLGS,"&gt;=61",DLBEWLGS,"&lt;=90")</f>
        <v>5800</v>
      </c>
      <c r="J87" s="6">
        <f>SUMIFS(NetB3BEWLGS,SUPListBEWLGS,Table_ExternalData_1[[#This Row],[SupplierID]],DLBEWLGS,"&gt;=91",DLBEWLGS,"&lt;=120")</f>
        <v>0</v>
      </c>
      <c r="K87" s="6">
        <f>SUMIFS(NetB3BEWLGS,SUPListBEWLGS,Table_ExternalData_1[[#This Row],[SupplierID]],DLBEWLGS,"&gt;120")</f>
        <v>0</v>
      </c>
    </row>
    <row r="88" spans="1:11">
      <c r="A88" s="4" t="s">
        <v>7412</v>
      </c>
      <c r="B88" s="4" t="s">
        <v>5540</v>
      </c>
      <c r="C88" s="6">
        <f>SUMIF(SUPListBEWLGS,Table_ExternalData_1[[#This Row],[SupplierID]],NetAmountBEWLGS)</f>
        <v>206150</v>
      </c>
      <c r="D88" s="6">
        <f>SUMIF(SUPListBEWLGS,Table_ExternalData_1[[#This Row],[SupplierID]],PaidBEWLGS)</f>
        <v>0</v>
      </c>
      <c r="E88" s="6">
        <f>Table_ExternalData_1[[#This Row],[Net Amount]]-Table_ExternalData_1[[#This Row],[Paid]]</f>
        <v>206150</v>
      </c>
      <c r="F88" s="6">
        <f>SUMIFS(NetB3BEWLGS,SUPListBEWLGS,Table_ExternalData_1[[#This Row],[SupplierID]],DLBEWLGS,"&gt;=1",DLBEWLGS,"&lt;=30")</f>
        <v>0</v>
      </c>
      <c r="G88" s="6">
        <f>SUMIFS(NetB3BEWLGS,SUPListBEWLGS,Table_ExternalData_1[[#This Row],[SupplierID]],DLBEWLGS,"&gt;=31",DLBEWLGS,"&lt;=45")</f>
        <v>60000</v>
      </c>
      <c r="H88" s="6">
        <f>SUMIFS(NetB3BEWLGS,SUPListBEWLGS,Table_ExternalData_1[[#This Row],[SupplierID]],DLBEWLGS,"&gt;=46",DLBEWLGS,"&lt;=60")</f>
        <v>23000</v>
      </c>
      <c r="I88" s="6">
        <f>SUMIFS(NetB3BEWLGS,SUPListBEWLGS,Table_ExternalData_1[[#This Row],[SupplierID]],DLBEWLGS,"&gt;=61",DLBEWLGS,"&lt;=90")</f>
        <v>28860</v>
      </c>
      <c r="J88" s="6">
        <f>SUMIFS(NetB3BEWLGS,SUPListBEWLGS,Table_ExternalData_1[[#This Row],[SupplierID]],DLBEWLGS,"&gt;=91",DLBEWLGS,"&lt;=120")</f>
        <v>46430</v>
      </c>
      <c r="K88" s="6">
        <f>SUMIFS(NetB3BEWLGS,SUPListBEWLGS,Table_ExternalData_1[[#This Row],[SupplierID]],DLBEWLGS,"&gt;120")</f>
        <v>47860</v>
      </c>
    </row>
    <row r="89" spans="1:11">
      <c r="A89" s="4" t="s">
        <v>8464</v>
      </c>
      <c r="B89" s="4" t="s">
        <v>8466</v>
      </c>
      <c r="C89" s="6">
        <f>SUMIF(SUPListBEWLGS,Table_ExternalData_1[[#This Row],[SupplierID]],NetAmountBEWLGS)</f>
        <v>7800</v>
      </c>
      <c r="D89" s="6">
        <f>SUMIF(SUPListBEWLGS,Table_ExternalData_1[[#This Row],[SupplierID]],PaidBEWLGS)</f>
        <v>0</v>
      </c>
      <c r="E89" s="6">
        <f>Table_ExternalData_1[[#This Row],[Net Amount]]-Table_ExternalData_1[[#This Row],[Paid]]</f>
        <v>7800</v>
      </c>
      <c r="F89" s="6">
        <f>SUMIFS(NetB3BEWLGS,SUPListBEWLGS,Table_ExternalData_1[[#This Row],[SupplierID]],DLBEWLGS,"&gt;=1",DLBEWLGS,"&lt;=30")</f>
        <v>7800</v>
      </c>
      <c r="G89" s="6">
        <f>SUMIFS(NetB3BEWLGS,SUPListBEWLGS,Table_ExternalData_1[[#This Row],[SupplierID]],DLBEWLGS,"&gt;=31",DLBEWLGS,"&lt;=45")</f>
        <v>0</v>
      </c>
      <c r="H89" s="6">
        <f>SUMIFS(NetB3BEWLGS,SUPListBEWLGS,Table_ExternalData_1[[#This Row],[SupplierID]],DLBEWLGS,"&gt;=46",DLBEWLGS,"&lt;=60")</f>
        <v>0</v>
      </c>
      <c r="I89" s="6">
        <f>SUMIFS(NetB3BEWLGS,SUPListBEWLGS,Table_ExternalData_1[[#This Row],[SupplierID]],DLBEWLGS,"&gt;=61",DLBEWLGS,"&lt;=90")</f>
        <v>0</v>
      </c>
      <c r="J89" s="6">
        <f>SUMIFS(NetB3BEWLGS,SUPListBEWLGS,Table_ExternalData_1[[#This Row],[SupplierID]],DLBEWLGS,"&gt;=91",DLBEWLGS,"&lt;=120")</f>
        <v>0</v>
      </c>
      <c r="K89" s="6">
        <f>SUMIFS(NetB3BEWLGS,SUPListBEWLGS,Table_ExternalData_1[[#This Row],[SupplierID]],DLBEWLGS,"&gt;120")</f>
        <v>0</v>
      </c>
    </row>
    <row r="90" spans="1:11">
      <c r="A90" s="4" t="s">
        <v>7062</v>
      </c>
      <c r="B90" s="4" t="s">
        <v>7064</v>
      </c>
      <c r="C90" s="6">
        <f>SUMIF(SUPListBEWLGS,Table_ExternalData_1[[#This Row],[SupplierID]],NetAmountBEWLGS)</f>
        <v>667135</v>
      </c>
      <c r="D90" s="6">
        <f>SUMIF(SUPListBEWLGS,Table_ExternalData_1[[#This Row],[SupplierID]],PaidBEWLGS)</f>
        <v>0</v>
      </c>
      <c r="E90" s="6">
        <f>Table_ExternalData_1[[#This Row],[Net Amount]]-Table_ExternalData_1[[#This Row],[Paid]]</f>
        <v>667135</v>
      </c>
      <c r="F90" s="6">
        <f>SUMIFS(NetB3BEWLGS,SUPListBEWLGS,Table_ExternalData_1[[#This Row],[SupplierID]],DLBEWLGS,"&gt;=1",DLBEWLGS,"&lt;=30")</f>
        <v>0</v>
      </c>
      <c r="G90" s="6">
        <f>SUMIFS(NetB3BEWLGS,SUPListBEWLGS,Table_ExternalData_1[[#This Row],[SupplierID]],DLBEWLGS,"&gt;=31",DLBEWLGS,"&lt;=45")</f>
        <v>667135</v>
      </c>
      <c r="H90" s="6">
        <f>SUMIFS(NetB3BEWLGS,SUPListBEWLGS,Table_ExternalData_1[[#This Row],[SupplierID]],DLBEWLGS,"&gt;=46",DLBEWLGS,"&lt;=60")</f>
        <v>0</v>
      </c>
      <c r="I90" s="6">
        <f>SUMIFS(NetB3BEWLGS,SUPListBEWLGS,Table_ExternalData_1[[#This Row],[SupplierID]],DLBEWLGS,"&gt;=61",DLBEWLGS,"&lt;=90")</f>
        <v>0</v>
      </c>
      <c r="J90" s="6">
        <f>SUMIFS(NetB3BEWLGS,SUPListBEWLGS,Table_ExternalData_1[[#This Row],[SupplierID]],DLBEWLGS,"&gt;=91",DLBEWLGS,"&lt;=120")</f>
        <v>0</v>
      </c>
      <c r="K90" s="6">
        <f>SUMIFS(NetB3BEWLGS,SUPListBEWLGS,Table_ExternalData_1[[#This Row],[SupplierID]],DLBEWLGS,"&gt;120")</f>
        <v>0</v>
      </c>
    </row>
    <row r="91" spans="1:11">
      <c r="A91" s="4" t="s">
        <v>7718</v>
      </c>
      <c r="B91" s="4" t="s">
        <v>7720</v>
      </c>
      <c r="C91" s="6">
        <f>SUMIF(SUPListBEWLGS,Table_ExternalData_1[[#This Row],[SupplierID]],NetAmountBEWLGS)</f>
        <v>12760</v>
      </c>
      <c r="D91" s="6">
        <f>SUMIF(SUPListBEWLGS,Table_ExternalData_1[[#This Row],[SupplierID]],PaidBEWLGS)</f>
        <v>0</v>
      </c>
      <c r="E91" s="6">
        <f>Table_ExternalData_1[[#This Row],[Net Amount]]-Table_ExternalData_1[[#This Row],[Paid]]</f>
        <v>12760</v>
      </c>
      <c r="F91" s="6">
        <f>SUMIFS(NetB3BEWLGS,SUPListBEWLGS,Table_ExternalData_1[[#This Row],[SupplierID]],DLBEWLGS,"&gt;=1",DLBEWLGS,"&lt;=30")</f>
        <v>0</v>
      </c>
      <c r="G91" s="6">
        <f>SUMIFS(NetB3BEWLGS,SUPListBEWLGS,Table_ExternalData_1[[#This Row],[SupplierID]],DLBEWLGS,"&gt;=31",DLBEWLGS,"&lt;=45")</f>
        <v>0</v>
      </c>
      <c r="H91" s="6">
        <f>SUMIFS(NetB3BEWLGS,SUPListBEWLGS,Table_ExternalData_1[[#This Row],[SupplierID]],DLBEWLGS,"&gt;=46",DLBEWLGS,"&lt;=60")</f>
        <v>0</v>
      </c>
      <c r="I91" s="6">
        <f>SUMIFS(NetB3BEWLGS,SUPListBEWLGS,Table_ExternalData_1[[#This Row],[SupplierID]],DLBEWLGS,"&gt;=61",DLBEWLGS,"&lt;=90")</f>
        <v>0</v>
      </c>
      <c r="J91" s="6">
        <f>SUMIFS(NetB3BEWLGS,SUPListBEWLGS,Table_ExternalData_1[[#This Row],[SupplierID]],DLBEWLGS,"&gt;=91",DLBEWLGS,"&lt;=120")</f>
        <v>0</v>
      </c>
      <c r="K91" s="6">
        <f>SUMIFS(NetB3BEWLGS,SUPListBEWLGS,Table_ExternalData_1[[#This Row],[SupplierID]],DLBEWLGS,"&gt;120")</f>
        <v>12760</v>
      </c>
    </row>
    <row r="92" spans="1:11">
      <c r="A92" s="4" t="s">
        <v>7932</v>
      </c>
      <c r="B92" s="4" t="s">
        <v>7934</v>
      </c>
      <c r="C92" s="6">
        <f>SUMIF(SUPListBEWLGS,Table_ExternalData_1[[#This Row],[SupplierID]],NetAmountBEWLGS)</f>
        <v>2167024</v>
      </c>
      <c r="D92" s="6">
        <f>SUMIF(SUPListBEWLGS,Table_ExternalData_1[[#This Row],[SupplierID]],PaidBEWLGS)</f>
        <v>0</v>
      </c>
      <c r="E92" s="6">
        <f>Table_ExternalData_1[[#This Row],[Net Amount]]-Table_ExternalData_1[[#This Row],[Paid]]</f>
        <v>2167024</v>
      </c>
      <c r="F92" s="6">
        <f>SUMIFS(NetB3BEWLGS,SUPListBEWLGS,Table_ExternalData_1[[#This Row],[SupplierID]],DLBEWLGS,"&gt;=1",DLBEWLGS,"&lt;=30")</f>
        <v>365922</v>
      </c>
      <c r="G92" s="6">
        <f>SUMIFS(NetB3BEWLGS,SUPListBEWLGS,Table_ExternalData_1[[#This Row],[SupplierID]],DLBEWLGS,"&gt;=31",DLBEWLGS,"&lt;=45")</f>
        <v>869446</v>
      </c>
      <c r="H92" s="6">
        <f>SUMIFS(NetB3BEWLGS,SUPListBEWLGS,Table_ExternalData_1[[#This Row],[SupplierID]],DLBEWLGS,"&gt;=46",DLBEWLGS,"&lt;=60")</f>
        <v>0</v>
      </c>
      <c r="I92" s="6">
        <f>SUMIFS(NetB3BEWLGS,SUPListBEWLGS,Table_ExternalData_1[[#This Row],[SupplierID]],DLBEWLGS,"&gt;=61",DLBEWLGS,"&lt;=90")</f>
        <v>931656</v>
      </c>
      <c r="J92" s="6">
        <f>SUMIFS(NetB3BEWLGS,SUPListBEWLGS,Table_ExternalData_1[[#This Row],[SupplierID]],DLBEWLGS,"&gt;=91",DLBEWLGS,"&lt;=120")</f>
        <v>0</v>
      </c>
      <c r="K92" s="6">
        <f>SUMIFS(NetB3BEWLGS,SUPListBEWLGS,Table_ExternalData_1[[#This Row],[SupplierID]],DLBEWLGS,"&gt;120")</f>
        <v>0</v>
      </c>
    </row>
    <row r="93" spans="1:11">
      <c r="A93" s="4" t="s">
        <v>221</v>
      </c>
      <c r="B93" s="4" t="s">
        <v>5512</v>
      </c>
      <c r="C93" s="6">
        <f>SUMIF(SUPListBEWLGS,Table_ExternalData_1[[#This Row],[SupplierID]],NetAmountBEWLGS)</f>
        <v>135872</v>
      </c>
      <c r="D93" s="6">
        <f>SUMIF(SUPListBEWLGS,Table_ExternalData_1[[#This Row],[SupplierID]],PaidBEWLGS)</f>
        <v>0</v>
      </c>
      <c r="E93" s="6">
        <f>Table_ExternalData_1[[#This Row],[Net Amount]]-Table_ExternalData_1[[#This Row],[Paid]]</f>
        <v>135872</v>
      </c>
      <c r="F93" s="6">
        <f>SUMIFS(NetB3BEWLGS,SUPListBEWLGS,Table_ExternalData_1[[#This Row],[SupplierID]],DLBEWLGS,"&gt;=1",DLBEWLGS,"&lt;=30")</f>
        <v>0</v>
      </c>
      <c r="G93" s="6">
        <f>SUMIFS(NetB3BEWLGS,SUPListBEWLGS,Table_ExternalData_1[[#This Row],[SupplierID]],DLBEWLGS,"&gt;=31",DLBEWLGS,"&lt;=45")</f>
        <v>0</v>
      </c>
      <c r="H93" s="6">
        <f>SUMIFS(NetB3BEWLGS,SUPListBEWLGS,Table_ExternalData_1[[#This Row],[SupplierID]],DLBEWLGS,"&gt;=46",DLBEWLGS,"&lt;=60")</f>
        <v>0</v>
      </c>
      <c r="I93" s="6">
        <f>SUMIFS(NetB3BEWLGS,SUPListBEWLGS,Table_ExternalData_1[[#This Row],[SupplierID]],DLBEWLGS,"&gt;=61",DLBEWLGS,"&lt;=90")</f>
        <v>19456</v>
      </c>
      <c r="J93" s="6">
        <f>SUMIFS(NetB3BEWLGS,SUPListBEWLGS,Table_ExternalData_1[[#This Row],[SupplierID]],DLBEWLGS,"&gt;=91",DLBEWLGS,"&lt;=120")</f>
        <v>80055</v>
      </c>
      <c r="K93" s="6">
        <f>SUMIFS(NetB3BEWLGS,SUPListBEWLGS,Table_ExternalData_1[[#This Row],[SupplierID]],DLBEWLGS,"&gt;120")</f>
        <v>175888</v>
      </c>
    </row>
    <row r="94" spans="1:11">
      <c r="A94" s="4" t="s">
        <v>7270</v>
      </c>
      <c r="B94" s="4" t="s">
        <v>7271</v>
      </c>
      <c r="C94" s="6">
        <f>SUMIF(SUPListBEWLGS,Table_ExternalData_1[[#This Row],[SupplierID]],NetAmountBEWLGS)</f>
        <v>43.5</v>
      </c>
      <c r="D94" s="6">
        <f>SUMIF(SUPListBEWLGS,Table_ExternalData_1[[#This Row],[SupplierID]],PaidBEWLGS)</f>
        <v>0</v>
      </c>
      <c r="E94" s="6">
        <f>Table_ExternalData_1[[#This Row],[Net Amount]]-Table_ExternalData_1[[#This Row],[Paid]]</f>
        <v>43.5</v>
      </c>
      <c r="F94" s="6">
        <f>SUMIFS(NetB3BEWLGS,SUPListBEWLGS,Table_ExternalData_1[[#This Row],[SupplierID]],DLBEWLGS,"&gt;=1",DLBEWLGS,"&lt;=30")</f>
        <v>0</v>
      </c>
      <c r="G94" s="6">
        <f>SUMIFS(NetB3BEWLGS,SUPListBEWLGS,Table_ExternalData_1[[#This Row],[SupplierID]],DLBEWLGS,"&gt;=31",DLBEWLGS,"&lt;=45")</f>
        <v>0</v>
      </c>
      <c r="H94" s="6">
        <f>SUMIFS(NetB3BEWLGS,SUPListBEWLGS,Table_ExternalData_1[[#This Row],[SupplierID]],DLBEWLGS,"&gt;=46",DLBEWLGS,"&lt;=60")</f>
        <v>0</v>
      </c>
      <c r="I94" s="6">
        <f>SUMIFS(NetB3BEWLGS,SUPListBEWLGS,Table_ExternalData_1[[#This Row],[SupplierID]],DLBEWLGS,"&gt;=61",DLBEWLGS,"&lt;=90")</f>
        <v>0</v>
      </c>
      <c r="J94" s="6">
        <f>SUMIFS(NetB3BEWLGS,SUPListBEWLGS,Table_ExternalData_1[[#This Row],[SupplierID]],DLBEWLGS,"&gt;=91",DLBEWLGS,"&lt;=120")</f>
        <v>0</v>
      </c>
      <c r="K94" s="6">
        <f>SUMIFS(NetB3BEWLGS,SUPListBEWLGS,Table_ExternalData_1[[#This Row],[SupplierID]],DLBEWLGS,"&gt;120")</f>
        <v>43.5</v>
      </c>
    </row>
    <row r="95" spans="1:11">
      <c r="A95" s="4" t="s">
        <v>6318</v>
      </c>
      <c r="B95" s="4" t="s">
        <v>6320</v>
      </c>
      <c r="C95" s="6">
        <f>SUMIF(SUPListBEWLGS,Table_ExternalData_1[[#This Row],[SupplierID]],NetAmountBEWLGS)</f>
        <v>7762570</v>
      </c>
      <c r="D95" s="6">
        <f>SUMIF(SUPListBEWLGS,Table_ExternalData_1[[#This Row],[SupplierID]],PaidBEWLGS)</f>
        <v>0</v>
      </c>
      <c r="E95" s="6">
        <f>Table_ExternalData_1[[#This Row],[Net Amount]]-Table_ExternalData_1[[#This Row],[Paid]]</f>
        <v>7762570</v>
      </c>
      <c r="F95" s="6">
        <f>SUMIFS(NetB3BEWLGS,SUPListBEWLGS,Table_ExternalData_1[[#This Row],[SupplierID]],DLBEWLGS,"&gt;=1",DLBEWLGS,"&lt;=30")</f>
        <v>590121</v>
      </c>
      <c r="G95" s="6">
        <f>SUMIFS(NetB3BEWLGS,SUPListBEWLGS,Table_ExternalData_1[[#This Row],[SupplierID]],DLBEWLGS,"&gt;=31",DLBEWLGS,"&lt;=45")</f>
        <v>171601</v>
      </c>
      <c r="H95" s="6">
        <f>SUMIFS(NetB3BEWLGS,SUPListBEWLGS,Table_ExternalData_1[[#This Row],[SupplierID]],DLBEWLGS,"&gt;=46",DLBEWLGS,"&lt;=60")</f>
        <v>735550</v>
      </c>
      <c r="I95" s="6">
        <f>SUMIFS(NetB3BEWLGS,SUPListBEWLGS,Table_ExternalData_1[[#This Row],[SupplierID]],DLBEWLGS,"&gt;=61",DLBEWLGS,"&lt;=90")</f>
        <v>3356663</v>
      </c>
      <c r="J95" s="6">
        <f>SUMIFS(NetB3BEWLGS,SUPListBEWLGS,Table_ExternalData_1[[#This Row],[SupplierID]],DLBEWLGS,"&gt;=91",DLBEWLGS,"&lt;=120")</f>
        <v>300672</v>
      </c>
      <c r="K95" s="6">
        <f>SUMIFS(NetB3BEWLGS,SUPListBEWLGS,Table_ExternalData_1[[#This Row],[SupplierID]],DLBEWLGS,"&gt;120")</f>
        <v>2607963</v>
      </c>
    </row>
    <row r="96" spans="1:11">
      <c r="A96" s="4" t="s">
        <v>8082</v>
      </c>
      <c r="B96" s="4" t="s">
        <v>5488</v>
      </c>
      <c r="C96" s="6">
        <f>SUMIF(SUPListBEWLGS,Table_ExternalData_1[[#This Row],[SupplierID]],NetAmountBEWLGS)</f>
        <v>6960</v>
      </c>
      <c r="D96" s="6">
        <f>SUMIF(SUPListBEWLGS,Table_ExternalData_1[[#This Row],[SupplierID]],PaidBEWLGS)</f>
        <v>0</v>
      </c>
      <c r="E96" s="6">
        <f>Table_ExternalData_1[[#This Row],[Net Amount]]-Table_ExternalData_1[[#This Row],[Paid]]</f>
        <v>6960</v>
      </c>
      <c r="F96" s="6">
        <f>SUMIFS(NetB3BEWLGS,SUPListBEWLGS,Table_ExternalData_1[[#This Row],[SupplierID]],DLBEWLGS,"&gt;=1",DLBEWLGS,"&lt;=30")</f>
        <v>0</v>
      </c>
      <c r="G96" s="6">
        <f>SUMIFS(NetB3BEWLGS,SUPListBEWLGS,Table_ExternalData_1[[#This Row],[SupplierID]],DLBEWLGS,"&gt;=31",DLBEWLGS,"&lt;=45")</f>
        <v>0</v>
      </c>
      <c r="H96" s="6">
        <f>SUMIFS(NetB3BEWLGS,SUPListBEWLGS,Table_ExternalData_1[[#This Row],[SupplierID]],DLBEWLGS,"&gt;=46",DLBEWLGS,"&lt;=60")</f>
        <v>6960</v>
      </c>
      <c r="I96" s="6">
        <f>SUMIFS(NetB3BEWLGS,SUPListBEWLGS,Table_ExternalData_1[[#This Row],[SupplierID]],DLBEWLGS,"&gt;=61",DLBEWLGS,"&lt;=90")</f>
        <v>0</v>
      </c>
      <c r="J96" s="6">
        <f>SUMIFS(NetB3BEWLGS,SUPListBEWLGS,Table_ExternalData_1[[#This Row],[SupplierID]],DLBEWLGS,"&gt;=91",DLBEWLGS,"&lt;=120")</f>
        <v>0</v>
      </c>
      <c r="K96" s="6">
        <f>SUMIFS(NetB3BEWLGS,SUPListBEWLGS,Table_ExternalData_1[[#This Row],[SupplierID]],DLBEWLGS,"&gt;120")</f>
        <v>0</v>
      </c>
    </row>
    <row r="97" spans="1:11">
      <c r="A97" s="4" t="s">
        <v>6687</v>
      </c>
      <c r="B97" s="4" t="s">
        <v>6689</v>
      </c>
      <c r="C97" s="6">
        <f>SUMIF(SUPListBEWLGS,Table_ExternalData_1[[#This Row],[SupplierID]],NetAmountBEWLGS)</f>
        <v>750000</v>
      </c>
      <c r="D97" s="6">
        <f>SUMIF(SUPListBEWLGS,Table_ExternalData_1[[#This Row],[SupplierID]],PaidBEWLGS)</f>
        <v>0</v>
      </c>
      <c r="E97" s="6">
        <f>Table_ExternalData_1[[#This Row],[Net Amount]]-Table_ExternalData_1[[#This Row],[Paid]]</f>
        <v>750000</v>
      </c>
      <c r="F97" s="6">
        <f>SUMIFS(NetB3BEWLGS,SUPListBEWLGS,Table_ExternalData_1[[#This Row],[SupplierID]],DLBEWLGS,"&gt;=1",DLBEWLGS,"&lt;=30")</f>
        <v>0</v>
      </c>
      <c r="G97" s="6">
        <f>SUMIFS(NetB3BEWLGS,SUPListBEWLGS,Table_ExternalData_1[[#This Row],[SupplierID]],DLBEWLGS,"&gt;=31",DLBEWLGS,"&lt;=45")</f>
        <v>0</v>
      </c>
      <c r="H97" s="6">
        <f>SUMIFS(NetB3BEWLGS,SUPListBEWLGS,Table_ExternalData_1[[#This Row],[SupplierID]],DLBEWLGS,"&gt;=46",DLBEWLGS,"&lt;=60")</f>
        <v>0</v>
      </c>
      <c r="I97" s="6">
        <f>SUMIFS(NetB3BEWLGS,SUPListBEWLGS,Table_ExternalData_1[[#This Row],[SupplierID]],DLBEWLGS,"&gt;=61",DLBEWLGS,"&lt;=90")</f>
        <v>0</v>
      </c>
      <c r="J97" s="6">
        <f>SUMIFS(NetB3BEWLGS,SUPListBEWLGS,Table_ExternalData_1[[#This Row],[SupplierID]],DLBEWLGS,"&gt;=91",DLBEWLGS,"&lt;=120")</f>
        <v>0</v>
      </c>
      <c r="K97" s="6">
        <f>SUMIFS(NetB3BEWLGS,SUPListBEWLGS,Table_ExternalData_1[[#This Row],[SupplierID]],DLBEWLGS,"&gt;120")</f>
        <v>750000</v>
      </c>
    </row>
    <row r="98" spans="1:11">
      <c r="A98" s="4" t="s">
        <v>6761</v>
      </c>
      <c r="B98" s="4" t="s">
        <v>6763</v>
      </c>
      <c r="C98" s="6">
        <f>SUMIF(SUPListBEWLGS,Table_ExternalData_1[[#This Row],[SupplierID]],NetAmountBEWLGS)</f>
        <v>40038</v>
      </c>
      <c r="D98" s="6">
        <f>SUMIF(SUPListBEWLGS,Table_ExternalData_1[[#This Row],[SupplierID]],PaidBEWLGS)</f>
        <v>0</v>
      </c>
      <c r="E98" s="6">
        <f>Table_ExternalData_1[[#This Row],[Net Amount]]-Table_ExternalData_1[[#This Row],[Paid]]</f>
        <v>40038</v>
      </c>
      <c r="F98" s="6">
        <f>SUMIFS(NetB3BEWLGS,SUPListBEWLGS,Table_ExternalData_1[[#This Row],[SupplierID]],DLBEWLGS,"&gt;=1",DLBEWLGS,"&lt;=30")</f>
        <v>0</v>
      </c>
      <c r="G98" s="6">
        <f>SUMIFS(NetB3BEWLGS,SUPListBEWLGS,Table_ExternalData_1[[#This Row],[SupplierID]],DLBEWLGS,"&gt;=31",DLBEWLGS,"&lt;=45")</f>
        <v>0</v>
      </c>
      <c r="H98" s="6">
        <f>SUMIFS(NetB3BEWLGS,SUPListBEWLGS,Table_ExternalData_1[[#This Row],[SupplierID]],DLBEWLGS,"&gt;=46",DLBEWLGS,"&lt;=60")</f>
        <v>0</v>
      </c>
      <c r="I98" s="6">
        <f>SUMIFS(NetB3BEWLGS,SUPListBEWLGS,Table_ExternalData_1[[#This Row],[SupplierID]],DLBEWLGS,"&gt;=61",DLBEWLGS,"&lt;=90")</f>
        <v>40038</v>
      </c>
      <c r="J98" s="6">
        <f>SUMIFS(NetB3BEWLGS,SUPListBEWLGS,Table_ExternalData_1[[#This Row],[SupplierID]],DLBEWLGS,"&gt;=91",DLBEWLGS,"&lt;=120")</f>
        <v>0</v>
      </c>
      <c r="K98" s="6">
        <f>SUMIFS(NetB3BEWLGS,SUPListBEWLGS,Table_ExternalData_1[[#This Row],[SupplierID]],DLBEWLGS,"&gt;120")</f>
        <v>0</v>
      </c>
    </row>
    <row r="99" spans="1:11">
      <c r="A99" s="4" t="s">
        <v>233</v>
      </c>
      <c r="B99" s="4" t="s">
        <v>7992</v>
      </c>
      <c r="C99" s="6">
        <f>SUMIF(SUPListBEWLGS,Table_ExternalData_1[[#This Row],[SupplierID]],NetAmountBEWLGS)</f>
        <v>24480</v>
      </c>
      <c r="D99" s="6">
        <f>SUMIF(SUPListBEWLGS,Table_ExternalData_1[[#This Row],[SupplierID]],PaidBEWLGS)</f>
        <v>0</v>
      </c>
      <c r="E99" s="6">
        <f>Table_ExternalData_1[[#This Row],[Net Amount]]-Table_ExternalData_1[[#This Row],[Paid]]</f>
        <v>24480</v>
      </c>
      <c r="F99" s="6">
        <f>SUMIFS(NetB3BEWLGS,SUPListBEWLGS,Table_ExternalData_1[[#This Row],[SupplierID]],DLBEWLGS,"&gt;=1",DLBEWLGS,"&lt;=30")</f>
        <v>0</v>
      </c>
      <c r="G99" s="6">
        <f>SUMIFS(NetB3BEWLGS,SUPListBEWLGS,Table_ExternalData_1[[#This Row],[SupplierID]],DLBEWLGS,"&gt;=31",DLBEWLGS,"&lt;=45")</f>
        <v>0</v>
      </c>
      <c r="H99" s="6">
        <f>SUMIFS(NetB3BEWLGS,SUPListBEWLGS,Table_ExternalData_1[[#This Row],[SupplierID]],DLBEWLGS,"&gt;=46",DLBEWLGS,"&lt;=60")</f>
        <v>0</v>
      </c>
      <c r="I99" s="6">
        <f>SUMIFS(NetB3BEWLGS,SUPListBEWLGS,Table_ExternalData_1[[#This Row],[SupplierID]],DLBEWLGS,"&gt;=61",DLBEWLGS,"&lt;=90")</f>
        <v>24480</v>
      </c>
      <c r="J99" s="6">
        <f>SUMIFS(NetB3BEWLGS,SUPListBEWLGS,Table_ExternalData_1[[#This Row],[SupplierID]],DLBEWLGS,"&gt;=91",DLBEWLGS,"&lt;=120")</f>
        <v>0</v>
      </c>
      <c r="K99" s="6">
        <f>SUMIFS(NetB3BEWLGS,SUPListBEWLGS,Table_ExternalData_1[[#This Row],[SupplierID]],DLBEWLGS,"&gt;120")</f>
        <v>0</v>
      </c>
    </row>
    <row r="100" spans="1:11">
      <c r="A100" s="4" t="s">
        <v>6198</v>
      </c>
      <c r="B100" s="4" t="s">
        <v>6200</v>
      </c>
      <c r="C100" s="6">
        <f>SUMIF(SUPListBEWLGS,Table_ExternalData_1[[#This Row],[SupplierID]],NetAmountBEWLGS)</f>
        <v>1020081</v>
      </c>
      <c r="D100" s="6">
        <f>SUMIF(SUPListBEWLGS,Table_ExternalData_1[[#This Row],[SupplierID]],PaidBEWLGS)</f>
        <v>0</v>
      </c>
      <c r="E100" s="6">
        <f>Table_ExternalData_1[[#This Row],[Net Amount]]-Table_ExternalData_1[[#This Row],[Paid]]</f>
        <v>1020081</v>
      </c>
      <c r="F100" s="6">
        <f>SUMIFS(NetB3BEWLGS,SUPListBEWLGS,Table_ExternalData_1[[#This Row],[SupplierID]],DLBEWLGS,"&gt;=1",DLBEWLGS,"&lt;=30")</f>
        <v>1043013</v>
      </c>
      <c r="G100" s="6">
        <f>SUMIFS(NetB3BEWLGS,SUPListBEWLGS,Table_ExternalData_1[[#This Row],[SupplierID]],DLBEWLGS,"&gt;=31",DLBEWLGS,"&lt;=45")</f>
        <v>0</v>
      </c>
      <c r="H100" s="6">
        <f>SUMIFS(NetB3BEWLGS,SUPListBEWLGS,Table_ExternalData_1[[#This Row],[SupplierID]],DLBEWLGS,"&gt;=46",DLBEWLGS,"&lt;=60")</f>
        <v>0</v>
      </c>
      <c r="I100" s="6">
        <f>SUMIFS(NetB3BEWLGS,SUPListBEWLGS,Table_ExternalData_1[[#This Row],[SupplierID]],DLBEWLGS,"&gt;=61",DLBEWLGS,"&lt;=90")</f>
        <v>0</v>
      </c>
      <c r="J100" s="6">
        <f>SUMIFS(NetB3BEWLGS,SUPListBEWLGS,Table_ExternalData_1[[#This Row],[SupplierID]],DLBEWLGS,"&gt;=91",DLBEWLGS,"&lt;=120")</f>
        <v>0</v>
      </c>
      <c r="K100" s="6">
        <f>SUMIFS(NetB3BEWLGS,SUPListBEWLGS,Table_ExternalData_1[[#This Row],[SupplierID]],DLBEWLGS,"&gt;120")</f>
        <v>0</v>
      </c>
    </row>
    <row r="101" spans="1:11">
      <c r="A101" s="4" t="s">
        <v>238</v>
      </c>
      <c r="B101" s="4" t="s">
        <v>6880</v>
      </c>
      <c r="C101" s="6">
        <f>SUMIF(SUPListBEWLGS,Table_ExternalData_1[[#This Row],[SupplierID]],NetAmountBEWLGS)</f>
        <v>335000</v>
      </c>
      <c r="D101" s="6">
        <f>SUMIF(SUPListBEWLGS,Table_ExternalData_1[[#This Row],[SupplierID]],PaidBEWLGS)</f>
        <v>0</v>
      </c>
      <c r="E101" s="6">
        <f>Table_ExternalData_1[[#This Row],[Net Amount]]-Table_ExternalData_1[[#This Row],[Paid]]</f>
        <v>335000</v>
      </c>
      <c r="F101" s="6">
        <f>SUMIFS(NetB3BEWLGS,SUPListBEWLGS,Table_ExternalData_1[[#This Row],[SupplierID]],DLBEWLGS,"&gt;=1",DLBEWLGS,"&lt;=30")</f>
        <v>0</v>
      </c>
      <c r="G101" s="6">
        <f>SUMIFS(NetB3BEWLGS,SUPListBEWLGS,Table_ExternalData_1[[#This Row],[SupplierID]],DLBEWLGS,"&gt;=31",DLBEWLGS,"&lt;=45")</f>
        <v>0</v>
      </c>
      <c r="H101" s="6">
        <f>SUMIFS(NetB3BEWLGS,SUPListBEWLGS,Table_ExternalData_1[[#This Row],[SupplierID]],DLBEWLGS,"&gt;=46",DLBEWLGS,"&lt;=60")</f>
        <v>335000</v>
      </c>
      <c r="I101" s="6">
        <f>SUMIFS(NetB3BEWLGS,SUPListBEWLGS,Table_ExternalData_1[[#This Row],[SupplierID]],DLBEWLGS,"&gt;=61",DLBEWLGS,"&lt;=90")</f>
        <v>0</v>
      </c>
      <c r="J101" s="6">
        <f>SUMIFS(NetB3BEWLGS,SUPListBEWLGS,Table_ExternalData_1[[#This Row],[SupplierID]],DLBEWLGS,"&gt;=91",DLBEWLGS,"&lt;=120")</f>
        <v>0</v>
      </c>
      <c r="K101" s="6">
        <f>SUMIFS(NetB3BEWLGS,SUPListBEWLGS,Table_ExternalData_1[[#This Row],[SupplierID]],DLBEWLGS,"&gt;120")</f>
        <v>0</v>
      </c>
    </row>
    <row r="102" spans="1:11">
      <c r="A102" s="4" t="s">
        <v>6438</v>
      </c>
      <c r="B102" s="4" t="s">
        <v>6440</v>
      </c>
      <c r="C102" s="6">
        <f>SUMIF(SUPListBEWLGS,Table_ExternalData_1[[#This Row],[SupplierID]],NetAmountBEWLGS)</f>
        <v>335530</v>
      </c>
      <c r="D102" s="6">
        <f>SUMIF(SUPListBEWLGS,Table_ExternalData_1[[#This Row],[SupplierID]],PaidBEWLGS)</f>
        <v>0</v>
      </c>
      <c r="E102" s="6">
        <f>Table_ExternalData_1[[#This Row],[Net Amount]]-Table_ExternalData_1[[#This Row],[Paid]]</f>
        <v>335530</v>
      </c>
      <c r="F102" s="6">
        <f>SUMIFS(NetB3BEWLGS,SUPListBEWLGS,Table_ExternalData_1[[#This Row],[SupplierID]],DLBEWLGS,"&gt;=1",DLBEWLGS,"&lt;=30")</f>
        <v>83520</v>
      </c>
      <c r="G102" s="6">
        <f>SUMIFS(NetB3BEWLGS,SUPListBEWLGS,Table_ExternalData_1[[#This Row],[SupplierID]],DLBEWLGS,"&gt;=31",DLBEWLGS,"&lt;=45")</f>
        <v>0</v>
      </c>
      <c r="H102" s="6">
        <f>SUMIFS(NetB3BEWLGS,SUPListBEWLGS,Table_ExternalData_1[[#This Row],[SupplierID]],DLBEWLGS,"&gt;=46",DLBEWLGS,"&lt;=60")</f>
        <v>0</v>
      </c>
      <c r="I102" s="6">
        <f>SUMIFS(NetB3BEWLGS,SUPListBEWLGS,Table_ExternalData_1[[#This Row],[SupplierID]],DLBEWLGS,"&gt;=61",DLBEWLGS,"&lt;=90")</f>
        <v>130210</v>
      </c>
      <c r="J102" s="6">
        <f>SUMIFS(NetB3BEWLGS,SUPListBEWLGS,Table_ExternalData_1[[#This Row],[SupplierID]],DLBEWLGS,"&gt;=91",DLBEWLGS,"&lt;=120")</f>
        <v>0</v>
      </c>
      <c r="K102" s="6">
        <f>SUMIFS(NetB3BEWLGS,SUPListBEWLGS,Table_ExternalData_1[[#This Row],[SupplierID]],DLBEWLGS,"&gt;120")</f>
        <v>121800</v>
      </c>
    </row>
    <row r="103" spans="1:11">
      <c r="A103" s="4" t="s">
        <v>6625</v>
      </c>
      <c r="B103" s="4" t="s">
        <v>6627</v>
      </c>
      <c r="C103" s="6">
        <f>SUMIF(SUPListBEWLGS,Table_ExternalData_1[[#This Row],[SupplierID]],NetAmountBEWLGS)</f>
        <v>230000</v>
      </c>
      <c r="D103" s="6">
        <f>SUMIF(SUPListBEWLGS,Table_ExternalData_1[[#This Row],[SupplierID]],PaidBEWLGS)</f>
        <v>0</v>
      </c>
      <c r="E103" s="6">
        <f>Table_ExternalData_1[[#This Row],[Net Amount]]-Table_ExternalData_1[[#This Row],[Paid]]</f>
        <v>230000</v>
      </c>
      <c r="F103" s="6">
        <f>SUMIFS(NetB3BEWLGS,SUPListBEWLGS,Table_ExternalData_1[[#This Row],[SupplierID]],DLBEWLGS,"&gt;=1",DLBEWLGS,"&lt;=30")</f>
        <v>0</v>
      </c>
      <c r="G103" s="6">
        <f>SUMIFS(NetB3BEWLGS,SUPListBEWLGS,Table_ExternalData_1[[#This Row],[SupplierID]],DLBEWLGS,"&gt;=31",DLBEWLGS,"&lt;=45")</f>
        <v>0</v>
      </c>
      <c r="H103" s="6">
        <f>SUMIFS(NetB3BEWLGS,SUPListBEWLGS,Table_ExternalData_1[[#This Row],[SupplierID]],DLBEWLGS,"&gt;=46",DLBEWLGS,"&lt;=60")</f>
        <v>0</v>
      </c>
      <c r="I103" s="6">
        <f>SUMIFS(NetB3BEWLGS,SUPListBEWLGS,Table_ExternalData_1[[#This Row],[SupplierID]],DLBEWLGS,"&gt;=61",DLBEWLGS,"&lt;=90")</f>
        <v>0</v>
      </c>
      <c r="J103" s="6">
        <f>SUMIFS(NetB3BEWLGS,SUPListBEWLGS,Table_ExternalData_1[[#This Row],[SupplierID]],DLBEWLGS,"&gt;=91",DLBEWLGS,"&lt;=120")</f>
        <v>0</v>
      </c>
      <c r="K103" s="6">
        <f>SUMIFS(NetB3BEWLGS,SUPListBEWLGS,Table_ExternalData_1[[#This Row],[SupplierID]],DLBEWLGS,"&gt;120")</f>
        <v>230000</v>
      </c>
    </row>
    <row r="104" spans="1:11">
      <c r="A104" s="4" t="s">
        <v>8165</v>
      </c>
      <c r="B104" s="4" t="s">
        <v>8166</v>
      </c>
      <c r="C104" s="6">
        <f>SUMIF(SUPListBEWLGS,Table_ExternalData_1[[#This Row],[SupplierID]],NetAmountBEWLGS)</f>
        <v>400000</v>
      </c>
      <c r="D104" s="6">
        <f>SUMIF(SUPListBEWLGS,Table_ExternalData_1[[#This Row],[SupplierID]],PaidBEWLGS)</f>
        <v>0</v>
      </c>
      <c r="E104" s="6">
        <f>Table_ExternalData_1[[#This Row],[Net Amount]]-Table_ExternalData_1[[#This Row],[Paid]]</f>
        <v>400000</v>
      </c>
      <c r="F104" s="6">
        <f>SUMIFS(NetB3BEWLGS,SUPListBEWLGS,Table_ExternalData_1[[#This Row],[SupplierID]],DLBEWLGS,"&gt;=1",DLBEWLGS,"&lt;=30")</f>
        <v>0</v>
      </c>
      <c r="G104" s="6">
        <f>SUMIFS(NetB3BEWLGS,SUPListBEWLGS,Table_ExternalData_1[[#This Row],[SupplierID]],DLBEWLGS,"&gt;=31",DLBEWLGS,"&lt;=45")</f>
        <v>0</v>
      </c>
      <c r="H104" s="6">
        <f>SUMIFS(NetB3BEWLGS,SUPListBEWLGS,Table_ExternalData_1[[#This Row],[SupplierID]],DLBEWLGS,"&gt;=46",DLBEWLGS,"&lt;=60")</f>
        <v>400000</v>
      </c>
      <c r="I104" s="6">
        <f>SUMIFS(NetB3BEWLGS,SUPListBEWLGS,Table_ExternalData_1[[#This Row],[SupplierID]],DLBEWLGS,"&gt;=61",DLBEWLGS,"&lt;=90")</f>
        <v>0</v>
      </c>
      <c r="J104" s="6">
        <f>SUMIFS(NetB3BEWLGS,SUPListBEWLGS,Table_ExternalData_1[[#This Row],[SupplierID]],DLBEWLGS,"&gt;=91",DLBEWLGS,"&lt;=120")</f>
        <v>0</v>
      </c>
      <c r="K104" s="6">
        <f>SUMIFS(NetB3BEWLGS,SUPListBEWLGS,Table_ExternalData_1[[#This Row],[SupplierID]],DLBEWLGS,"&gt;120")</f>
        <v>0</v>
      </c>
    </row>
    <row r="105" spans="1:11">
      <c r="A105" s="4" t="s">
        <v>7250</v>
      </c>
      <c r="B105" s="4" t="s">
        <v>5526</v>
      </c>
      <c r="C105" s="6">
        <f>SUMIF(SUPListBEWLGS,Table_ExternalData_1[[#This Row],[SupplierID]],NetAmountBEWLGS)</f>
        <v>1097017</v>
      </c>
      <c r="D105" s="6">
        <f>SUMIF(SUPListBEWLGS,Table_ExternalData_1[[#This Row],[SupplierID]],PaidBEWLGS)</f>
        <v>0</v>
      </c>
      <c r="E105" s="6">
        <f>Table_ExternalData_1[[#This Row],[Net Amount]]-Table_ExternalData_1[[#This Row],[Paid]]</f>
        <v>1097017</v>
      </c>
      <c r="F105" s="6">
        <f>SUMIFS(NetB3BEWLGS,SUPListBEWLGS,Table_ExternalData_1[[#This Row],[SupplierID]],DLBEWLGS,"&gt;=1",DLBEWLGS,"&lt;=30")</f>
        <v>0</v>
      </c>
      <c r="G105" s="6">
        <f>SUMIFS(NetB3BEWLGS,SUPListBEWLGS,Table_ExternalData_1[[#This Row],[SupplierID]],DLBEWLGS,"&gt;=31",DLBEWLGS,"&lt;=45")</f>
        <v>40600</v>
      </c>
      <c r="H105" s="6">
        <f>SUMIFS(NetB3BEWLGS,SUPListBEWLGS,Table_ExternalData_1[[#This Row],[SupplierID]],DLBEWLGS,"&gt;=46",DLBEWLGS,"&lt;=60")</f>
        <v>141230</v>
      </c>
      <c r="I105" s="6">
        <f>SUMIFS(NetB3BEWLGS,SUPListBEWLGS,Table_ExternalData_1[[#This Row],[SupplierID]],DLBEWLGS,"&gt;=61",DLBEWLGS,"&lt;=90")</f>
        <v>260362</v>
      </c>
      <c r="J105" s="6">
        <f>SUMIFS(NetB3BEWLGS,SUPListBEWLGS,Table_ExternalData_1[[#This Row],[SupplierID]],DLBEWLGS,"&gt;=91",DLBEWLGS,"&lt;=120")</f>
        <v>381077</v>
      </c>
      <c r="K105" s="6">
        <f>SUMIFS(NetB3BEWLGS,SUPListBEWLGS,Table_ExternalData_1[[#This Row],[SupplierID]],DLBEWLGS,"&gt;120")</f>
        <v>273748</v>
      </c>
    </row>
    <row r="106" spans="1:11">
      <c r="A106" s="4" t="s">
        <v>6307</v>
      </c>
      <c r="B106" s="4" t="s">
        <v>6308</v>
      </c>
      <c r="C106" s="6">
        <f>SUMIF(SUPListBEWLGS,Table_ExternalData_1[[#This Row],[SupplierID]],NetAmountBEWLGS)</f>
        <v>192500</v>
      </c>
      <c r="D106" s="6">
        <f>SUMIF(SUPListBEWLGS,Table_ExternalData_1[[#This Row],[SupplierID]],PaidBEWLGS)</f>
        <v>0</v>
      </c>
      <c r="E106" s="6">
        <f>Table_ExternalData_1[[#This Row],[Net Amount]]-Table_ExternalData_1[[#This Row],[Paid]]</f>
        <v>192500</v>
      </c>
      <c r="F106" s="6">
        <f>SUMIFS(NetB3BEWLGS,SUPListBEWLGS,Table_ExternalData_1[[#This Row],[SupplierID]],DLBEWLGS,"&gt;=1",DLBEWLGS,"&lt;=30")</f>
        <v>12120</v>
      </c>
      <c r="G106" s="6">
        <f>SUMIFS(NetB3BEWLGS,SUPListBEWLGS,Table_ExternalData_1[[#This Row],[SupplierID]],DLBEWLGS,"&gt;=31",DLBEWLGS,"&lt;=45")</f>
        <v>7220</v>
      </c>
      <c r="H106" s="6">
        <f>SUMIFS(NetB3BEWLGS,SUPListBEWLGS,Table_ExternalData_1[[#This Row],[SupplierID]],DLBEWLGS,"&gt;=46",DLBEWLGS,"&lt;=60")</f>
        <v>0</v>
      </c>
      <c r="I106" s="6">
        <f>SUMIFS(NetB3BEWLGS,SUPListBEWLGS,Table_ExternalData_1[[#This Row],[SupplierID]],DLBEWLGS,"&gt;=61",DLBEWLGS,"&lt;=90")</f>
        <v>29240</v>
      </c>
      <c r="J106" s="6">
        <f>SUMIFS(NetB3BEWLGS,SUPListBEWLGS,Table_ExternalData_1[[#This Row],[SupplierID]],DLBEWLGS,"&gt;=91",DLBEWLGS,"&lt;=120")</f>
        <v>7900</v>
      </c>
      <c r="K106" s="6">
        <f>SUMIFS(NetB3BEWLGS,SUPListBEWLGS,Table_ExternalData_1[[#This Row],[SupplierID]],DLBEWLGS,"&gt;120")</f>
        <v>136020</v>
      </c>
    </row>
    <row r="107" spans="1:11">
      <c r="A107" s="4" t="s">
        <v>249</v>
      </c>
      <c r="B107" s="4" t="s">
        <v>6422</v>
      </c>
      <c r="C107" s="6">
        <f>SUMIF(SUPListBEWLGS,Table_ExternalData_1[[#This Row],[SupplierID]],NetAmountBEWLGS)</f>
        <v>465102</v>
      </c>
      <c r="D107" s="6">
        <f>SUMIF(SUPListBEWLGS,Table_ExternalData_1[[#This Row],[SupplierID]],PaidBEWLGS)</f>
        <v>0</v>
      </c>
      <c r="E107" s="6">
        <f>Table_ExternalData_1[[#This Row],[Net Amount]]-Table_ExternalData_1[[#This Row],[Paid]]</f>
        <v>465102</v>
      </c>
      <c r="F107" s="6">
        <f>SUMIFS(NetB3BEWLGS,SUPListBEWLGS,Table_ExternalData_1[[#This Row],[SupplierID]],DLBEWLGS,"&gt;=1",DLBEWLGS,"&lt;=30")</f>
        <v>124601</v>
      </c>
      <c r="G107" s="6">
        <f>SUMIFS(NetB3BEWLGS,SUPListBEWLGS,Table_ExternalData_1[[#This Row],[SupplierID]],DLBEWLGS,"&gt;=31",DLBEWLGS,"&lt;=45")</f>
        <v>42201</v>
      </c>
      <c r="H107" s="6">
        <f>SUMIFS(NetB3BEWLGS,SUPListBEWLGS,Table_ExternalData_1[[#This Row],[SupplierID]],DLBEWLGS,"&gt;=46",DLBEWLGS,"&lt;=60")</f>
        <v>0</v>
      </c>
      <c r="I107" s="6">
        <f>SUMIFS(NetB3BEWLGS,SUPListBEWLGS,Table_ExternalData_1[[#This Row],[SupplierID]],DLBEWLGS,"&gt;=61",DLBEWLGS,"&lt;=90")</f>
        <v>7800</v>
      </c>
      <c r="J107" s="6">
        <f>SUMIFS(NetB3BEWLGS,SUPListBEWLGS,Table_ExternalData_1[[#This Row],[SupplierID]],DLBEWLGS,"&gt;=91",DLBEWLGS,"&lt;=120")</f>
        <v>13000</v>
      </c>
      <c r="K107" s="6">
        <f>SUMIFS(NetB3BEWLGS,SUPListBEWLGS,Table_ExternalData_1[[#This Row],[SupplierID]],DLBEWLGS,"&gt;120")</f>
        <v>277500</v>
      </c>
    </row>
    <row r="108" spans="1:11">
      <c r="A108" s="4" t="s">
        <v>7457</v>
      </c>
      <c r="B108" s="4" t="s">
        <v>7459</v>
      </c>
      <c r="C108" s="6">
        <f>SUMIF(SUPListBEWLGS,Table_ExternalData_1[[#This Row],[SupplierID]],NetAmountBEWLGS)</f>
        <v>140868</v>
      </c>
      <c r="D108" s="6">
        <f>SUMIF(SUPListBEWLGS,Table_ExternalData_1[[#This Row],[SupplierID]],PaidBEWLGS)</f>
        <v>0</v>
      </c>
      <c r="E108" s="6">
        <f>Table_ExternalData_1[[#This Row],[Net Amount]]-Table_ExternalData_1[[#This Row],[Paid]]</f>
        <v>140868</v>
      </c>
      <c r="F108" s="6">
        <f>SUMIFS(NetB3BEWLGS,SUPListBEWLGS,Table_ExternalData_1[[#This Row],[SupplierID]],DLBEWLGS,"&gt;=1",DLBEWLGS,"&lt;=30")</f>
        <v>0</v>
      </c>
      <c r="G108" s="6">
        <f>SUMIFS(NetB3BEWLGS,SUPListBEWLGS,Table_ExternalData_1[[#This Row],[SupplierID]],DLBEWLGS,"&gt;=31",DLBEWLGS,"&lt;=45")</f>
        <v>0</v>
      </c>
      <c r="H108" s="6">
        <f>SUMIFS(NetB3BEWLGS,SUPListBEWLGS,Table_ExternalData_1[[#This Row],[SupplierID]],DLBEWLGS,"&gt;=46",DLBEWLGS,"&lt;=60")</f>
        <v>0</v>
      </c>
      <c r="I108" s="6">
        <f>SUMIFS(NetB3BEWLGS,SUPListBEWLGS,Table_ExternalData_1[[#This Row],[SupplierID]],DLBEWLGS,"&gt;=61",DLBEWLGS,"&lt;=90")</f>
        <v>0</v>
      </c>
      <c r="J108" s="6">
        <f>SUMIFS(NetB3BEWLGS,SUPListBEWLGS,Table_ExternalData_1[[#This Row],[SupplierID]],DLBEWLGS,"&gt;=91",DLBEWLGS,"&lt;=120")</f>
        <v>0</v>
      </c>
      <c r="K108" s="6">
        <f>SUMIFS(NetB3BEWLGS,SUPListBEWLGS,Table_ExternalData_1[[#This Row],[SupplierID]],DLBEWLGS,"&gt;120")</f>
        <v>140868</v>
      </c>
    </row>
    <row r="109" spans="1:11">
      <c r="A109" s="4" t="s">
        <v>6448</v>
      </c>
      <c r="B109" s="4" t="s">
        <v>6451</v>
      </c>
      <c r="C109" s="6">
        <f>SUMIF(SUPListBEWLGS,Table_ExternalData_1[[#This Row],[SupplierID]],NetAmountBEWLGS)</f>
        <v>1245116</v>
      </c>
      <c r="D109" s="6">
        <f>SUMIF(SUPListBEWLGS,Table_ExternalData_1[[#This Row],[SupplierID]],PaidBEWLGS)</f>
        <v>0</v>
      </c>
      <c r="E109" s="6">
        <f>Table_ExternalData_1[[#This Row],[Net Amount]]-Table_ExternalData_1[[#This Row],[Paid]]</f>
        <v>1245116</v>
      </c>
      <c r="F109" s="6">
        <f>SUMIFS(NetB3BEWLGS,SUPListBEWLGS,Table_ExternalData_1[[#This Row],[SupplierID]],DLBEWLGS,"&gt;=1",DLBEWLGS,"&lt;=30")</f>
        <v>93866</v>
      </c>
      <c r="G109" s="6">
        <f>SUMIFS(NetB3BEWLGS,SUPListBEWLGS,Table_ExternalData_1[[#This Row],[SupplierID]],DLBEWLGS,"&gt;=31",DLBEWLGS,"&lt;=45")</f>
        <v>132518</v>
      </c>
      <c r="H109" s="6">
        <f>SUMIFS(NetB3BEWLGS,SUPListBEWLGS,Table_ExternalData_1[[#This Row],[SupplierID]],DLBEWLGS,"&gt;=46",DLBEWLGS,"&lt;=60")</f>
        <v>88346</v>
      </c>
      <c r="I109" s="6">
        <f>SUMIFS(NetB3BEWLGS,SUPListBEWLGS,Table_ExternalData_1[[#This Row],[SupplierID]],DLBEWLGS,"&gt;=61",DLBEWLGS,"&lt;=90")</f>
        <v>88346</v>
      </c>
      <c r="J109" s="6">
        <f>SUMIFS(NetB3BEWLGS,SUPListBEWLGS,Table_ExternalData_1[[#This Row],[SupplierID]],DLBEWLGS,"&gt;=91",DLBEWLGS,"&lt;=120")</f>
        <v>66260</v>
      </c>
      <c r="K109" s="6">
        <f>SUMIFS(NetB3BEWLGS,SUPListBEWLGS,Table_ExternalData_1[[#This Row],[SupplierID]],DLBEWLGS,"&gt;120")</f>
        <v>775780</v>
      </c>
    </row>
    <row r="110" spans="1:11">
      <c r="A110" s="4" t="s">
        <v>6344</v>
      </c>
      <c r="B110" s="4" t="s">
        <v>6345</v>
      </c>
      <c r="C110" s="6">
        <f>SUMIF(SUPListBEWLGS,Table_ExternalData_1[[#This Row],[SupplierID]],NetAmountBEWLGS)</f>
        <v>17748</v>
      </c>
      <c r="D110" s="6">
        <f>SUMIF(SUPListBEWLGS,Table_ExternalData_1[[#This Row],[SupplierID]],PaidBEWLGS)</f>
        <v>0</v>
      </c>
      <c r="E110" s="6">
        <f>Table_ExternalData_1[[#This Row],[Net Amount]]-Table_ExternalData_1[[#This Row],[Paid]]</f>
        <v>17748</v>
      </c>
      <c r="F110" s="6">
        <f>SUMIFS(NetB3BEWLGS,SUPListBEWLGS,Table_ExternalData_1[[#This Row],[SupplierID]],DLBEWLGS,"&gt;=1",DLBEWLGS,"&lt;=30")</f>
        <v>0</v>
      </c>
      <c r="G110" s="6">
        <f>SUMIFS(NetB3BEWLGS,SUPListBEWLGS,Table_ExternalData_1[[#This Row],[SupplierID]],DLBEWLGS,"&gt;=31",DLBEWLGS,"&lt;=45")</f>
        <v>0</v>
      </c>
      <c r="H110" s="6">
        <f>SUMIFS(NetB3BEWLGS,SUPListBEWLGS,Table_ExternalData_1[[#This Row],[SupplierID]],DLBEWLGS,"&gt;=46",DLBEWLGS,"&lt;=60")</f>
        <v>0</v>
      </c>
      <c r="I110" s="6">
        <f>SUMIFS(NetB3BEWLGS,SUPListBEWLGS,Table_ExternalData_1[[#This Row],[SupplierID]],DLBEWLGS,"&gt;=61",DLBEWLGS,"&lt;=90")</f>
        <v>0</v>
      </c>
      <c r="J110" s="6">
        <f>SUMIFS(NetB3BEWLGS,SUPListBEWLGS,Table_ExternalData_1[[#This Row],[SupplierID]],DLBEWLGS,"&gt;=91",DLBEWLGS,"&lt;=120")</f>
        <v>0</v>
      </c>
      <c r="K110" s="6">
        <f>SUMIFS(NetB3BEWLGS,SUPListBEWLGS,Table_ExternalData_1[[#This Row],[SupplierID]],DLBEWLGS,"&gt;120")</f>
        <v>17748</v>
      </c>
    </row>
    <row r="111" spans="1:11">
      <c r="A111" s="4" t="s">
        <v>7826</v>
      </c>
      <c r="B111" s="4" t="s">
        <v>5524</v>
      </c>
      <c r="C111" s="6">
        <f>SUMIF(SUPListBEWLGS,Table_ExternalData_1[[#This Row],[SupplierID]],NetAmountBEWLGS)</f>
        <v>15834</v>
      </c>
      <c r="D111" s="6">
        <f>SUMIF(SUPListBEWLGS,Table_ExternalData_1[[#This Row],[SupplierID]],PaidBEWLGS)</f>
        <v>0</v>
      </c>
      <c r="E111" s="6">
        <f>Table_ExternalData_1[[#This Row],[Net Amount]]-Table_ExternalData_1[[#This Row],[Paid]]</f>
        <v>15834</v>
      </c>
      <c r="F111" s="6">
        <f>SUMIFS(NetB3BEWLGS,SUPListBEWLGS,Table_ExternalData_1[[#This Row],[SupplierID]],DLBEWLGS,"&gt;=1",DLBEWLGS,"&lt;=30")</f>
        <v>0</v>
      </c>
      <c r="G111" s="6">
        <f>SUMIFS(NetB3BEWLGS,SUPListBEWLGS,Table_ExternalData_1[[#This Row],[SupplierID]],DLBEWLGS,"&gt;=31",DLBEWLGS,"&lt;=45")</f>
        <v>0</v>
      </c>
      <c r="H111" s="6">
        <f>SUMIFS(NetB3BEWLGS,SUPListBEWLGS,Table_ExternalData_1[[#This Row],[SupplierID]],DLBEWLGS,"&gt;=46",DLBEWLGS,"&lt;=60")</f>
        <v>0</v>
      </c>
      <c r="I111" s="6">
        <f>SUMIFS(NetB3BEWLGS,SUPListBEWLGS,Table_ExternalData_1[[#This Row],[SupplierID]],DLBEWLGS,"&gt;=61",DLBEWLGS,"&lt;=90")</f>
        <v>15834</v>
      </c>
      <c r="J111" s="6">
        <f>SUMIFS(NetB3BEWLGS,SUPListBEWLGS,Table_ExternalData_1[[#This Row],[SupplierID]],DLBEWLGS,"&gt;=91",DLBEWLGS,"&lt;=120")</f>
        <v>0</v>
      </c>
      <c r="K111" s="6">
        <f>SUMIFS(NetB3BEWLGS,SUPListBEWLGS,Table_ExternalData_1[[#This Row],[SupplierID]],DLBEWLGS,"&gt;120")</f>
        <v>0</v>
      </c>
    </row>
    <row r="112" spans="1:11">
      <c r="A112" s="4" t="s">
        <v>6720</v>
      </c>
      <c r="B112" s="4" t="s">
        <v>6721</v>
      </c>
      <c r="C112" s="6">
        <f>SUMIF(SUPListBEWLGS,Table_ExternalData_1[[#This Row],[SupplierID]],NetAmountBEWLGS)</f>
        <v>28713</v>
      </c>
      <c r="D112" s="6">
        <f>SUMIF(SUPListBEWLGS,Table_ExternalData_1[[#This Row],[SupplierID]],PaidBEWLGS)</f>
        <v>0</v>
      </c>
      <c r="E112" s="6">
        <f>Table_ExternalData_1[[#This Row],[Net Amount]]-Table_ExternalData_1[[#This Row],[Paid]]</f>
        <v>28713</v>
      </c>
      <c r="F112" s="6">
        <f>SUMIFS(NetB3BEWLGS,SUPListBEWLGS,Table_ExternalData_1[[#This Row],[SupplierID]],DLBEWLGS,"&gt;=1",DLBEWLGS,"&lt;=30")</f>
        <v>0</v>
      </c>
      <c r="G112" s="6">
        <f>SUMIFS(NetB3BEWLGS,SUPListBEWLGS,Table_ExternalData_1[[#This Row],[SupplierID]],DLBEWLGS,"&gt;=31",DLBEWLGS,"&lt;=45")</f>
        <v>0</v>
      </c>
      <c r="H112" s="6">
        <f>SUMIFS(NetB3BEWLGS,SUPListBEWLGS,Table_ExternalData_1[[#This Row],[SupplierID]],DLBEWLGS,"&gt;=46",DLBEWLGS,"&lt;=60")</f>
        <v>0</v>
      </c>
      <c r="I112" s="6">
        <f>SUMIFS(NetB3BEWLGS,SUPListBEWLGS,Table_ExternalData_1[[#This Row],[SupplierID]],DLBEWLGS,"&gt;=61",DLBEWLGS,"&lt;=90")</f>
        <v>17434</v>
      </c>
      <c r="J112" s="6">
        <f>SUMIFS(NetB3BEWLGS,SUPListBEWLGS,Table_ExternalData_1[[#This Row],[SupplierID]],DLBEWLGS,"&gt;=91",DLBEWLGS,"&lt;=120")</f>
        <v>11279</v>
      </c>
      <c r="K112" s="6">
        <f>SUMIFS(NetB3BEWLGS,SUPListBEWLGS,Table_ExternalData_1[[#This Row],[SupplierID]],DLBEWLGS,"&gt;120")</f>
        <v>0</v>
      </c>
    </row>
    <row r="113" spans="1:11">
      <c r="A113" s="4" t="s">
        <v>7401</v>
      </c>
      <c r="B113" s="4" t="s">
        <v>5538</v>
      </c>
      <c r="C113" s="6">
        <f>SUMIF(SUPListBEWLGS,Table_ExternalData_1[[#This Row],[SupplierID]],NetAmountBEWLGS)</f>
        <v>492246</v>
      </c>
      <c r="D113" s="6">
        <f>SUMIF(SUPListBEWLGS,Table_ExternalData_1[[#This Row],[SupplierID]],PaidBEWLGS)</f>
        <v>0</v>
      </c>
      <c r="E113" s="6">
        <f>Table_ExternalData_1[[#This Row],[Net Amount]]-Table_ExternalData_1[[#This Row],[Paid]]</f>
        <v>492246</v>
      </c>
      <c r="F113" s="6">
        <f>SUMIFS(NetB3BEWLGS,SUPListBEWLGS,Table_ExternalData_1[[#This Row],[SupplierID]],DLBEWLGS,"&gt;=1",DLBEWLGS,"&lt;=30")</f>
        <v>0</v>
      </c>
      <c r="G113" s="6">
        <f>SUMIFS(NetB3BEWLGS,SUPListBEWLGS,Table_ExternalData_1[[#This Row],[SupplierID]],DLBEWLGS,"&gt;=31",DLBEWLGS,"&lt;=45")</f>
        <v>0</v>
      </c>
      <c r="H113" s="6">
        <f>SUMIFS(NetB3BEWLGS,SUPListBEWLGS,Table_ExternalData_1[[#This Row],[SupplierID]],DLBEWLGS,"&gt;=46",DLBEWLGS,"&lt;=60")</f>
        <v>73718</v>
      </c>
      <c r="I113" s="6">
        <f>SUMIFS(NetB3BEWLGS,SUPListBEWLGS,Table_ExternalData_1[[#This Row],[SupplierID]],DLBEWLGS,"&gt;=61",DLBEWLGS,"&lt;=90")</f>
        <v>0</v>
      </c>
      <c r="J113" s="6">
        <f>SUMIFS(NetB3BEWLGS,SUPListBEWLGS,Table_ExternalData_1[[#This Row],[SupplierID]],DLBEWLGS,"&gt;=91",DLBEWLGS,"&lt;=120")</f>
        <v>73718</v>
      </c>
      <c r="K113" s="6">
        <f>SUMIFS(NetB3BEWLGS,SUPListBEWLGS,Table_ExternalData_1[[#This Row],[SupplierID]],DLBEWLGS,"&gt;120")</f>
        <v>344810</v>
      </c>
    </row>
    <row r="114" spans="1:11">
      <c r="A114" s="4" t="s">
        <v>6134</v>
      </c>
      <c r="B114" s="4" t="s">
        <v>5530</v>
      </c>
      <c r="C114" s="6">
        <f>SUMIF(SUPListBEWLGS,Table_ExternalData_1[[#This Row],[SupplierID]],NetAmountBEWLGS)</f>
        <v>-90372</v>
      </c>
      <c r="D114" s="6">
        <f>SUMIF(SUPListBEWLGS,Table_ExternalData_1[[#This Row],[SupplierID]],PaidBEWLGS)</f>
        <v>0</v>
      </c>
      <c r="E114" s="6">
        <f>Table_ExternalData_1[[#This Row],[Net Amount]]-Table_ExternalData_1[[#This Row],[Paid]]</f>
        <v>-90372</v>
      </c>
      <c r="F114" s="6">
        <f>SUMIFS(NetB3BEWLGS,SUPListBEWLGS,Table_ExternalData_1[[#This Row],[SupplierID]],DLBEWLGS,"&gt;=1",DLBEWLGS,"&lt;=30")</f>
        <v>21800</v>
      </c>
      <c r="G114" s="6">
        <f>SUMIFS(NetB3BEWLGS,SUPListBEWLGS,Table_ExternalData_1[[#This Row],[SupplierID]],DLBEWLGS,"&gt;=31",DLBEWLGS,"&lt;=45")</f>
        <v>75000</v>
      </c>
      <c r="H114" s="6">
        <f>SUMIFS(NetB3BEWLGS,SUPListBEWLGS,Table_ExternalData_1[[#This Row],[SupplierID]],DLBEWLGS,"&gt;=46",DLBEWLGS,"&lt;=60")</f>
        <v>0</v>
      </c>
      <c r="I114" s="6">
        <f>SUMIFS(NetB3BEWLGS,SUPListBEWLGS,Table_ExternalData_1[[#This Row],[SupplierID]],DLBEWLGS,"&gt;=61",DLBEWLGS,"&lt;=90")</f>
        <v>101000</v>
      </c>
      <c r="J114" s="6">
        <f>SUMIFS(NetB3BEWLGS,SUPListBEWLGS,Table_ExternalData_1[[#This Row],[SupplierID]],DLBEWLGS,"&gt;=91",DLBEWLGS,"&lt;=120")</f>
        <v>161700</v>
      </c>
      <c r="K114" s="6">
        <f>SUMIFS(NetB3BEWLGS,SUPListBEWLGS,Table_ExternalData_1[[#This Row],[SupplierID]],DLBEWLGS,"&gt;120")</f>
        <v>176000</v>
      </c>
    </row>
    <row r="115" spans="1:11">
      <c r="A115" s="4" t="s">
        <v>7551</v>
      </c>
      <c r="B115" s="4" t="s">
        <v>7553</v>
      </c>
      <c r="C115" s="6">
        <f>SUMIF(SUPListBEWLGS,Table_ExternalData_1[[#This Row],[SupplierID]],NetAmountBEWLGS)</f>
        <v>154274</v>
      </c>
      <c r="D115" s="6">
        <f>SUMIF(SUPListBEWLGS,Table_ExternalData_1[[#This Row],[SupplierID]],PaidBEWLGS)</f>
        <v>0</v>
      </c>
      <c r="E115" s="6">
        <f>Table_ExternalData_1[[#This Row],[Net Amount]]-Table_ExternalData_1[[#This Row],[Paid]]</f>
        <v>154274</v>
      </c>
      <c r="F115" s="6">
        <f>SUMIFS(NetB3BEWLGS,SUPListBEWLGS,Table_ExternalData_1[[#This Row],[SupplierID]],DLBEWLGS,"&gt;=1",DLBEWLGS,"&lt;=30")</f>
        <v>0</v>
      </c>
      <c r="G115" s="6">
        <f>SUMIFS(NetB3BEWLGS,SUPListBEWLGS,Table_ExternalData_1[[#This Row],[SupplierID]],DLBEWLGS,"&gt;=31",DLBEWLGS,"&lt;=45")</f>
        <v>0</v>
      </c>
      <c r="H115" s="6">
        <f>SUMIFS(NetB3BEWLGS,SUPListBEWLGS,Table_ExternalData_1[[#This Row],[SupplierID]],DLBEWLGS,"&gt;=46",DLBEWLGS,"&lt;=60")</f>
        <v>0</v>
      </c>
      <c r="I115" s="6">
        <f>SUMIFS(NetB3BEWLGS,SUPListBEWLGS,Table_ExternalData_1[[#This Row],[SupplierID]],DLBEWLGS,"&gt;=61",DLBEWLGS,"&lt;=90")</f>
        <v>106088</v>
      </c>
      <c r="J115" s="6">
        <f>SUMIFS(NetB3BEWLGS,SUPListBEWLGS,Table_ExternalData_1[[#This Row],[SupplierID]],DLBEWLGS,"&gt;=91",DLBEWLGS,"&lt;=120")</f>
        <v>0</v>
      </c>
      <c r="K115" s="6">
        <f>SUMIFS(NetB3BEWLGS,SUPListBEWLGS,Table_ExternalData_1[[#This Row],[SupplierID]],DLBEWLGS,"&gt;120")</f>
        <v>48186</v>
      </c>
    </row>
    <row r="116" spans="1:11">
      <c r="A116" s="4" t="s">
        <v>7069</v>
      </c>
      <c r="B116" s="4" t="s">
        <v>7071</v>
      </c>
      <c r="C116" s="6">
        <f>SUMIF(SUPListBEWLGS,Table_ExternalData_1[[#This Row],[SupplierID]],NetAmountBEWLGS)</f>
        <v>106736</v>
      </c>
      <c r="D116" s="6">
        <f>SUMIF(SUPListBEWLGS,Table_ExternalData_1[[#This Row],[SupplierID]],PaidBEWLGS)</f>
        <v>0</v>
      </c>
      <c r="E116" s="6">
        <f>Table_ExternalData_1[[#This Row],[Net Amount]]-Table_ExternalData_1[[#This Row],[Paid]]</f>
        <v>106736</v>
      </c>
      <c r="F116" s="6">
        <f>SUMIFS(NetB3BEWLGS,SUPListBEWLGS,Table_ExternalData_1[[#This Row],[SupplierID]],DLBEWLGS,"&gt;=1",DLBEWLGS,"&lt;=30")</f>
        <v>0</v>
      </c>
      <c r="G116" s="6">
        <f>SUMIFS(NetB3BEWLGS,SUPListBEWLGS,Table_ExternalData_1[[#This Row],[SupplierID]],DLBEWLGS,"&gt;=31",DLBEWLGS,"&lt;=45")</f>
        <v>106736</v>
      </c>
      <c r="H116" s="6">
        <f>SUMIFS(NetB3BEWLGS,SUPListBEWLGS,Table_ExternalData_1[[#This Row],[SupplierID]],DLBEWLGS,"&gt;=46",DLBEWLGS,"&lt;=60")</f>
        <v>0</v>
      </c>
      <c r="I116" s="6">
        <f>SUMIFS(NetB3BEWLGS,SUPListBEWLGS,Table_ExternalData_1[[#This Row],[SupplierID]],DLBEWLGS,"&gt;=61",DLBEWLGS,"&lt;=90")</f>
        <v>0</v>
      </c>
      <c r="J116" s="6">
        <f>SUMIFS(NetB3BEWLGS,SUPListBEWLGS,Table_ExternalData_1[[#This Row],[SupplierID]],DLBEWLGS,"&gt;=91",DLBEWLGS,"&lt;=120")</f>
        <v>0</v>
      </c>
      <c r="K116" s="6">
        <f>SUMIFS(NetB3BEWLGS,SUPListBEWLGS,Table_ExternalData_1[[#This Row],[SupplierID]],DLBEWLGS,"&gt;120")</f>
        <v>0</v>
      </c>
    </row>
    <row r="117" spans="1:11">
      <c r="A117" s="4" t="s">
        <v>5521</v>
      </c>
      <c r="B117" s="4" t="s">
        <v>5532</v>
      </c>
      <c r="C117" s="6">
        <f>SUMIF(SUPListBEWLGS,Table_ExternalData_1[[#This Row],[SupplierID]],NetAmountBEWLGS)</f>
        <v>424843</v>
      </c>
      <c r="D117" s="6">
        <f>SUMIF(SUPListBEWLGS,Table_ExternalData_1[[#This Row],[SupplierID]],PaidBEWLGS)</f>
        <v>0</v>
      </c>
      <c r="E117" s="6">
        <f>Table_ExternalData_1[[#This Row],[Net Amount]]-Table_ExternalData_1[[#This Row],[Paid]]</f>
        <v>424843</v>
      </c>
      <c r="F117" s="6">
        <f>SUMIFS(NetB3BEWLGS,SUPListBEWLGS,Table_ExternalData_1[[#This Row],[SupplierID]],DLBEWLGS,"&gt;=1",DLBEWLGS,"&lt;=30")</f>
        <v>4872</v>
      </c>
      <c r="G117" s="6">
        <f>SUMIFS(NetB3BEWLGS,SUPListBEWLGS,Table_ExternalData_1[[#This Row],[SupplierID]],DLBEWLGS,"&gt;=31",DLBEWLGS,"&lt;=45")</f>
        <v>60900</v>
      </c>
      <c r="H117" s="6">
        <f>SUMIFS(NetB3BEWLGS,SUPListBEWLGS,Table_ExternalData_1[[#This Row],[SupplierID]],DLBEWLGS,"&gt;=46",DLBEWLGS,"&lt;=60")</f>
        <v>0</v>
      </c>
      <c r="I117" s="6">
        <f>SUMIFS(NetB3BEWLGS,SUPListBEWLGS,Table_ExternalData_1[[#This Row],[SupplierID]],DLBEWLGS,"&gt;=61",DLBEWLGS,"&lt;=90")</f>
        <v>0</v>
      </c>
      <c r="J117" s="6">
        <f>SUMIFS(NetB3BEWLGS,SUPListBEWLGS,Table_ExternalData_1[[#This Row],[SupplierID]],DLBEWLGS,"&gt;=91",DLBEWLGS,"&lt;=120")</f>
        <v>119856</v>
      </c>
      <c r="K117" s="6">
        <f>SUMIFS(NetB3BEWLGS,SUPListBEWLGS,Table_ExternalData_1[[#This Row],[SupplierID]],DLBEWLGS,"&gt;120")</f>
        <v>239215</v>
      </c>
    </row>
    <row r="118" spans="1:11">
      <c r="A118" s="4" t="s">
        <v>7304</v>
      </c>
      <c r="B118" s="4" t="s">
        <v>7306</v>
      </c>
      <c r="C118" s="6">
        <f>SUMIF(SUPListBEWLGS,Table_ExternalData_1[[#This Row],[SupplierID]],NetAmountBEWLGS)</f>
        <v>156700</v>
      </c>
      <c r="D118" s="6">
        <f>SUMIF(SUPListBEWLGS,Table_ExternalData_1[[#This Row],[SupplierID]],PaidBEWLGS)</f>
        <v>0</v>
      </c>
      <c r="E118" s="6">
        <f>Table_ExternalData_1[[#This Row],[Net Amount]]-Table_ExternalData_1[[#This Row],[Paid]]</f>
        <v>156700</v>
      </c>
      <c r="F118" s="6">
        <f>SUMIFS(NetB3BEWLGS,SUPListBEWLGS,Table_ExternalData_1[[#This Row],[SupplierID]],DLBEWLGS,"&gt;=1",DLBEWLGS,"&lt;=30")</f>
        <v>115900</v>
      </c>
      <c r="G118" s="6">
        <f>SUMIFS(NetB3BEWLGS,SUPListBEWLGS,Table_ExternalData_1[[#This Row],[SupplierID]],DLBEWLGS,"&gt;=31",DLBEWLGS,"&lt;=45")</f>
        <v>0</v>
      </c>
      <c r="H118" s="6">
        <f>SUMIFS(NetB3BEWLGS,SUPListBEWLGS,Table_ExternalData_1[[#This Row],[SupplierID]],DLBEWLGS,"&gt;=46",DLBEWLGS,"&lt;=60")</f>
        <v>0</v>
      </c>
      <c r="I118" s="6">
        <f>SUMIFS(NetB3BEWLGS,SUPListBEWLGS,Table_ExternalData_1[[#This Row],[SupplierID]],DLBEWLGS,"&gt;=61",DLBEWLGS,"&lt;=90")</f>
        <v>0</v>
      </c>
      <c r="J118" s="6">
        <f>SUMIFS(NetB3BEWLGS,SUPListBEWLGS,Table_ExternalData_1[[#This Row],[SupplierID]],DLBEWLGS,"&gt;=91",DLBEWLGS,"&lt;=120")</f>
        <v>0</v>
      </c>
      <c r="K118" s="6">
        <f>SUMIFS(NetB3BEWLGS,SUPListBEWLGS,Table_ExternalData_1[[#This Row],[SupplierID]],DLBEWLGS,"&gt;120")</f>
        <v>40800</v>
      </c>
    </row>
    <row r="119" spans="1:11">
      <c r="A119" s="4" t="s">
        <v>8159</v>
      </c>
      <c r="B119" s="4" t="s">
        <v>5496</v>
      </c>
      <c r="C119" s="6">
        <f>SUMIF(SUPListBEWLGS,Table_ExternalData_1[[#This Row],[SupplierID]],NetAmountBEWLGS)</f>
        <v>3045</v>
      </c>
      <c r="D119" s="6">
        <f>SUMIF(SUPListBEWLGS,Table_ExternalData_1[[#This Row],[SupplierID]],PaidBEWLGS)</f>
        <v>0</v>
      </c>
      <c r="E119" s="6">
        <f>Table_ExternalData_1[[#This Row],[Net Amount]]-Table_ExternalData_1[[#This Row],[Paid]]</f>
        <v>3045</v>
      </c>
      <c r="F119" s="6">
        <f>SUMIFS(NetB3BEWLGS,SUPListBEWLGS,Table_ExternalData_1[[#This Row],[SupplierID]],DLBEWLGS,"&gt;=1",DLBEWLGS,"&lt;=30")</f>
        <v>0</v>
      </c>
      <c r="G119" s="6">
        <f>SUMIFS(NetB3BEWLGS,SUPListBEWLGS,Table_ExternalData_1[[#This Row],[SupplierID]],DLBEWLGS,"&gt;=31",DLBEWLGS,"&lt;=45")</f>
        <v>0</v>
      </c>
      <c r="H119" s="6">
        <f>SUMIFS(NetB3BEWLGS,SUPListBEWLGS,Table_ExternalData_1[[#This Row],[SupplierID]],DLBEWLGS,"&gt;=46",DLBEWLGS,"&lt;=60")</f>
        <v>3045</v>
      </c>
      <c r="I119" s="6">
        <f>SUMIFS(NetB3BEWLGS,SUPListBEWLGS,Table_ExternalData_1[[#This Row],[SupplierID]],DLBEWLGS,"&gt;=61",DLBEWLGS,"&lt;=90")</f>
        <v>0</v>
      </c>
      <c r="J119" s="6">
        <f>SUMIFS(NetB3BEWLGS,SUPListBEWLGS,Table_ExternalData_1[[#This Row],[SupplierID]],DLBEWLGS,"&gt;=91",DLBEWLGS,"&lt;=120")</f>
        <v>0</v>
      </c>
      <c r="K119" s="6">
        <f>SUMIFS(NetB3BEWLGS,SUPListBEWLGS,Table_ExternalData_1[[#This Row],[SupplierID]],DLBEWLGS,"&gt;120")</f>
        <v>0</v>
      </c>
    </row>
    <row r="120" spans="1:11">
      <c r="A120" s="4" t="s">
        <v>7253</v>
      </c>
      <c r="B120" s="4" t="s">
        <v>7254</v>
      </c>
      <c r="C120" s="6">
        <f>SUMIF(SUPListBEWLGS,Table_ExternalData_1[[#This Row],[SupplierID]],NetAmountBEWLGS)</f>
        <v>227750</v>
      </c>
      <c r="D120" s="6">
        <f>SUMIF(SUPListBEWLGS,Table_ExternalData_1[[#This Row],[SupplierID]],PaidBEWLGS)</f>
        <v>0</v>
      </c>
      <c r="E120" s="6">
        <f>Table_ExternalData_1[[#This Row],[Net Amount]]-Table_ExternalData_1[[#This Row],[Paid]]</f>
        <v>227750</v>
      </c>
      <c r="F120" s="6">
        <f>SUMIFS(NetB3BEWLGS,SUPListBEWLGS,Table_ExternalData_1[[#This Row],[SupplierID]],DLBEWLGS,"&gt;=1",DLBEWLGS,"&lt;=30")</f>
        <v>0</v>
      </c>
      <c r="G120" s="6">
        <f>SUMIFS(NetB3BEWLGS,SUPListBEWLGS,Table_ExternalData_1[[#This Row],[SupplierID]],DLBEWLGS,"&gt;=31",DLBEWLGS,"&lt;=45")</f>
        <v>0</v>
      </c>
      <c r="H120" s="6">
        <f>SUMIFS(NetB3BEWLGS,SUPListBEWLGS,Table_ExternalData_1[[#This Row],[SupplierID]],DLBEWLGS,"&gt;=46",DLBEWLGS,"&lt;=60")</f>
        <v>0</v>
      </c>
      <c r="I120" s="6">
        <f>SUMIFS(NetB3BEWLGS,SUPListBEWLGS,Table_ExternalData_1[[#This Row],[SupplierID]],DLBEWLGS,"&gt;=61",DLBEWLGS,"&lt;=90")</f>
        <v>0</v>
      </c>
      <c r="J120" s="6">
        <f>SUMIFS(NetB3BEWLGS,SUPListBEWLGS,Table_ExternalData_1[[#This Row],[SupplierID]],DLBEWLGS,"&gt;=91",DLBEWLGS,"&lt;=120")</f>
        <v>0</v>
      </c>
      <c r="K120" s="6">
        <f>SUMIFS(NetB3BEWLGS,SUPListBEWLGS,Table_ExternalData_1[[#This Row],[SupplierID]],DLBEWLGS,"&gt;120")</f>
        <v>227750</v>
      </c>
    </row>
    <row r="121" spans="1:11">
      <c r="A121" s="4" t="s">
        <v>8470</v>
      </c>
      <c r="B121" s="4" t="s">
        <v>8473</v>
      </c>
      <c r="C121" s="6">
        <f>SUMIF(SUPListBEWLGS,Table_ExternalData_1[[#This Row],[SupplierID]],NetAmountBEWLGS)</f>
        <v>209300</v>
      </c>
      <c r="D121" s="6">
        <f>SUMIF(SUPListBEWLGS,Table_ExternalData_1[[#This Row],[SupplierID]],PaidBEWLGS)</f>
        <v>0</v>
      </c>
      <c r="E121" s="6">
        <f>Table_ExternalData_1[[#This Row],[Net Amount]]-Table_ExternalData_1[[#This Row],[Paid]]</f>
        <v>209300</v>
      </c>
      <c r="F121" s="6">
        <f>SUMIFS(NetB3BEWLGS,SUPListBEWLGS,Table_ExternalData_1[[#This Row],[SupplierID]],DLBEWLGS,"&gt;=1",DLBEWLGS,"&lt;=30")</f>
        <v>0</v>
      </c>
      <c r="G121" s="6">
        <f>SUMIFS(NetB3BEWLGS,SUPListBEWLGS,Table_ExternalData_1[[#This Row],[SupplierID]],DLBEWLGS,"&gt;=31",DLBEWLGS,"&lt;=45")</f>
        <v>0</v>
      </c>
      <c r="H121" s="6">
        <f>SUMIFS(NetB3BEWLGS,SUPListBEWLGS,Table_ExternalData_1[[#This Row],[SupplierID]],DLBEWLGS,"&gt;=46",DLBEWLGS,"&lt;=60")</f>
        <v>0</v>
      </c>
      <c r="I121" s="6">
        <f>SUMIFS(NetB3BEWLGS,SUPListBEWLGS,Table_ExternalData_1[[#This Row],[SupplierID]],DLBEWLGS,"&gt;=61",DLBEWLGS,"&lt;=90")</f>
        <v>209300</v>
      </c>
      <c r="J121" s="6">
        <f>SUMIFS(NetB3BEWLGS,SUPListBEWLGS,Table_ExternalData_1[[#This Row],[SupplierID]],DLBEWLGS,"&gt;=91",DLBEWLGS,"&lt;=120")</f>
        <v>0</v>
      </c>
      <c r="K121" s="6">
        <f>SUMIFS(NetB3BEWLGS,SUPListBEWLGS,Table_ExternalData_1[[#This Row],[SupplierID]],DLBEWLGS,"&gt;120")</f>
        <v>0</v>
      </c>
    </row>
    <row r="122" spans="1:11">
      <c r="A122" s="4" t="s">
        <v>6193</v>
      </c>
      <c r="B122" s="4" t="s">
        <v>6195</v>
      </c>
      <c r="C122" s="6">
        <f>SUMIF(SUPListBEWLGS,Table_ExternalData_1[[#This Row],[SupplierID]],NetAmountBEWLGS)</f>
        <v>959513</v>
      </c>
      <c r="D122" s="6">
        <f>SUMIF(SUPListBEWLGS,Table_ExternalData_1[[#This Row],[SupplierID]],PaidBEWLGS)</f>
        <v>0</v>
      </c>
      <c r="E122" s="6">
        <f>Table_ExternalData_1[[#This Row],[Net Amount]]-Table_ExternalData_1[[#This Row],[Paid]]</f>
        <v>959513</v>
      </c>
      <c r="F122" s="6">
        <f>SUMIFS(NetB3BEWLGS,SUPListBEWLGS,Table_ExternalData_1[[#This Row],[SupplierID]],DLBEWLGS,"&gt;=1",DLBEWLGS,"&lt;=30")</f>
        <v>988724</v>
      </c>
      <c r="G122" s="6">
        <f>SUMIFS(NetB3BEWLGS,SUPListBEWLGS,Table_ExternalData_1[[#This Row],[SupplierID]],DLBEWLGS,"&gt;=31",DLBEWLGS,"&lt;=45")</f>
        <v>0</v>
      </c>
      <c r="H122" s="6">
        <f>SUMIFS(NetB3BEWLGS,SUPListBEWLGS,Table_ExternalData_1[[#This Row],[SupplierID]],DLBEWLGS,"&gt;=46",DLBEWLGS,"&lt;=60")</f>
        <v>0</v>
      </c>
      <c r="I122" s="6">
        <f>SUMIFS(NetB3BEWLGS,SUPListBEWLGS,Table_ExternalData_1[[#This Row],[SupplierID]],DLBEWLGS,"&gt;=61",DLBEWLGS,"&lt;=90")</f>
        <v>0</v>
      </c>
      <c r="J122" s="6">
        <f>SUMIFS(NetB3BEWLGS,SUPListBEWLGS,Table_ExternalData_1[[#This Row],[SupplierID]],DLBEWLGS,"&gt;=91",DLBEWLGS,"&lt;=120")</f>
        <v>0</v>
      </c>
      <c r="K122" s="6">
        <f>SUMIFS(NetB3BEWLGS,SUPListBEWLGS,Table_ExternalData_1[[#This Row],[SupplierID]],DLBEWLGS,"&gt;120")</f>
        <v>0</v>
      </c>
    </row>
    <row r="123" spans="1:11">
      <c r="A123" s="4" t="s">
        <v>6188</v>
      </c>
      <c r="B123" s="4" t="s">
        <v>6190</v>
      </c>
      <c r="C123" s="6">
        <f>SUMIF(SUPListBEWLGS,Table_ExternalData_1[[#This Row],[SupplierID]],NetAmountBEWLGS)</f>
        <v>353273</v>
      </c>
      <c r="D123" s="6">
        <f>SUMIF(SUPListBEWLGS,Table_ExternalData_1[[#This Row],[SupplierID]],PaidBEWLGS)</f>
        <v>0</v>
      </c>
      <c r="E123" s="6">
        <f>Table_ExternalData_1[[#This Row],[Net Amount]]-Table_ExternalData_1[[#This Row],[Paid]]</f>
        <v>353273</v>
      </c>
      <c r="F123" s="6">
        <f>SUMIFS(NetB3BEWLGS,SUPListBEWLGS,Table_ExternalData_1[[#This Row],[SupplierID]],DLBEWLGS,"&gt;=1",DLBEWLGS,"&lt;=30")</f>
        <v>363920</v>
      </c>
      <c r="G123" s="6">
        <f>SUMIFS(NetB3BEWLGS,SUPListBEWLGS,Table_ExternalData_1[[#This Row],[SupplierID]],DLBEWLGS,"&gt;=31",DLBEWLGS,"&lt;=45")</f>
        <v>0</v>
      </c>
      <c r="H123" s="6">
        <f>SUMIFS(NetB3BEWLGS,SUPListBEWLGS,Table_ExternalData_1[[#This Row],[SupplierID]],DLBEWLGS,"&gt;=46",DLBEWLGS,"&lt;=60")</f>
        <v>0</v>
      </c>
      <c r="I123" s="6">
        <f>SUMIFS(NetB3BEWLGS,SUPListBEWLGS,Table_ExternalData_1[[#This Row],[SupplierID]],DLBEWLGS,"&gt;=61",DLBEWLGS,"&lt;=90")</f>
        <v>0</v>
      </c>
      <c r="J123" s="6">
        <f>SUMIFS(NetB3BEWLGS,SUPListBEWLGS,Table_ExternalData_1[[#This Row],[SupplierID]],DLBEWLGS,"&gt;=91",DLBEWLGS,"&lt;=120")</f>
        <v>0</v>
      </c>
      <c r="K123" s="6">
        <f>SUMIFS(NetB3BEWLGS,SUPListBEWLGS,Table_ExternalData_1[[#This Row],[SupplierID]],DLBEWLGS,"&gt;120")</f>
        <v>0</v>
      </c>
    </row>
    <row r="124" spans="1:11">
      <c r="A124" s="4" t="s">
        <v>6709</v>
      </c>
      <c r="B124" s="4" t="s">
        <v>6711</v>
      </c>
      <c r="C124" s="6">
        <f>SUMIF(SUPListBEWLGS,Table_ExternalData_1[[#This Row],[SupplierID]],NetAmountBEWLGS)</f>
        <v>39000</v>
      </c>
      <c r="D124" s="6">
        <f>SUMIF(SUPListBEWLGS,Table_ExternalData_1[[#This Row],[SupplierID]],PaidBEWLGS)</f>
        <v>0</v>
      </c>
      <c r="E124" s="6">
        <f>Table_ExternalData_1[[#This Row],[Net Amount]]-Table_ExternalData_1[[#This Row],[Paid]]</f>
        <v>39000</v>
      </c>
      <c r="F124" s="6">
        <f>SUMIFS(NetB3BEWLGS,SUPListBEWLGS,Table_ExternalData_1[[#This Row],[SupplierID]],DLBEWLGS,"&gt;=1",DLBEWLGS,"&lt;=30")</f>
        <v>0</v>
      </c>
      <c r="G124" s="6">
        <f>SUMIFS(NetB3BEWLGS,SUPListBEWLGS,Table_ExternalData_1[[#This Row],[SupplierID]],DLBEWLGS,"&gt;=31",DLBEWLGS,"&lt;=45")</f>
        <v>0</v>
      </c>
      <c r="H124" s="6">
        <f>SUMIFS(NetB3BEWLGS,SUPListBEWLGS,Table_ExternalData_1[[#This Row],[SupplierID]],DLBEWLGS,"&gt;=46",DLBEWLGS,"&lt;=60")</f>
        <v>0</v>
      </c>
      <c r="I124" s="6">
        <f>SUMIFS(NetB3BEWLGS,SUPListBEWLGS,Table_ExternalData_1[[#This Row],[SupplierID]],DLBEWLGS,"&gt;=61",DLBEWLGS,"&lt;=90")</f>
        <v>0</v>
      </c>
      <c r="J124" s="6">
        <f>SUMIFS(NetB3BEWLGS,SUPListBEWLGS,Table_ExternalData_1[[#This Row],[SupplierID]],DLBEWLGS,"&gt;=91",DLBEWLGS,"&lt;=120")</f>
        <v>0</v>
      </c>
      <c r="K124" s="6">
        <f>SUMIFS(NetB3BEWLGS,SUPListBEWLGS,Table_ExternalData_1[[#This Row],[SupplierID]],DLBEWLGS,"&gt;120")</f>
        <v>39000</v>
      </c>
    </row>
    <row r="125" spans="1:11">
      <c r="A125" s="4" t="s">
        <v>8512</v>
      </c>
      <c r="B125" s="4" t="s">
        <v>8514</v>
      </c>
      <c r="C125" s="6">
        <f>SUMIF(SUPListBEWLGS,Table_ExternalData_1[[#This Row],[SupplierID]],NetAmountBEWLGS)</f>
        <v>175217</v>
      </c>
      <c r="D125" s="6">
        <f>SUMIF(SUPListBEWLGS,Table_ExternalData_1[[#This Row],[SupplierID]],PaidBEWLGS)</f>
        <v>0</v>
      </c>
      <c r="E125" s="6">
        <f>Table_ExternalData_1[[#This Row],[Net Amount]]-Table_ExternalData_1[[#This Row],[Paid]]</f>
        <v>175217</v>
      </c>
      <c r="F125" s="6">
        <f>SUMIFS(NetB3BEWLGS,SUPListBEWLGS,Table_ExternalData_1[[#This Row],[SupplierID]],DLBEWLGS,"&gt;=1",DLBEWLGS,"&lt;=30")</f>
        <v>0</v>
      </c>
      <c r="G125" s="6">
        <f>SUMIFS(NetB3BEWLGS,SUPListBEWLGS,Table_ExternalData_1[[#This Row],[SupplierID]],DLBEWLGS,"&gt;=31",DLBEWLGS,"&lt;=45")</f>
        <v>0</v>
      </c>
      <c r="H125" s="6">
        <f>SUMIFS(NetB3BEWLGS,SUPListBEWLGS,Table_ExternalData_1[[#This Row],[SupplierID]],DLBEWLGS,"&gt;=46",DLBEWLGS,"&lt;=60")</f>
        <v>0</v>
      </c>
      <c r="I125" s="6">
        <f>SUMIFS(NetB3BEWLGS,SUPListBEWLGS,Table_ExternalData_1[[#This Row],[SupplierID]],DLBEWLGS,"&gt;=61",DLBEWLGS,"&lt;=90")</f>
        <v>175217</v>
      </c>
      <c r="J125" s="6">
        <f>SUMIFS(NetB3BEWLGS,SUPListBEWLGS,Table_ExternalData_1[[#This Row],[SupplierID]],DLBEWLGS,"&gt;=91",DLBEWLGS,"&lt;=120")</f>
        <v>0</v>
      </c>
      <c r="K125" s="6">
        <f>SUMIFS(NetB3BEWLGS,SUPListBEWLGS,Table_ExternalData_1[[#This Row],[SupplierID]],DLBEWLGS,"&gt;120")</f>
        <v>0</v>
      </c>
    </row>
    <row r="126" spans="1:11">
      <c r="A126" s="4" t="s">
        <v>7955</v>
      </c>
      <c r="B126" s="4" t="s">
        <v>7956</v>
      </c>
      <c r="C126" s="6">
        <f>SUMIF(SUPListBEWLGS,Table_ExternalData_1[[#This Row],[SupplierID]],NetAmountBEWLGS)</f>
        <v>95816</v>
      </c>
      <c r="D126" s="6">
        <f>SUMIF(SUPListBEWLGS,Table_ExternalData_1[[#This Row],[SupplierID]],PaidBEWLGS)</f>
        <v>0</v>
      </c>
      <c r="E126" s="6">
        <f>Table_ExternalData_1[[#This Row],[Net Amount]]-Table_ExternalData_1[[#This Row],[Paid]]</f>
        <v>95816</v>
      </c>
      <c r="F126" s="6">
        <f>SUMIFS(NetB3BEWLGS,SUPListBEWLGS,Table_ExternalData_1[[#This Row],[SupplierID]],DLBEWLGS,"&gt;=1",DLBEWLGS,"&lt;=30")</f>
        <v>0</v>
      </c>
      <c r="G126" s="6">
        <f>SUMIFS(NetB3BEWLGS,SUPListBEWLGS,Table_ExternalData_1[[#This Row],[SupplierID]],DLBEWLGS,"&gt;=31",DLBEWLGS,"&lt;=45")</f>
        <v>0</v>
      </c>
      <c r="H126" s="6">
        <f>SUMIFS(NetB3BEWLGS,SUPListBEWLGS,Table_ExternalData_1[[#This Row],[SupplierID]],DLBEWLGS,"&gt;=46",DLBEWLGS,"&lt;=60")</f>
        <v>0</v>
      </c>
      <c r="I126" s="6">
        <f>SUMIFS(NetB3BEWLGS,SUPListBEWLGS,Table_ExternalData_1[[#This Row],[SupplierID]],DLBEWLGS,"&gt;=61",DLBEWLGS,"&lt;=90")</f>
        <v>95816</v>
      </c>
      <c r="J126" s="6">
        <f>SUMIFS(NetB3BEWLGS,SUPListBEWLGS,Table_ExternalData_1[[#This Row],[SupplierID]],DLBEWLGS,"&gt;=91",DLBEWLGS,"&lt;=120")</f>
        <v>0</v>
      </c>
      <c r="K126" s="6">
        <f>SUMIFS(NetB3BEWLGS,SUPListBEWLGS,Table_ExternalData_1[[#This Row],[SupplierID]],DLBEWLGS,"&gt;120")</f>
        <v>0</v>
      </c>
    </row>
    <row r="127" spans="1:11">
      <c r="A127" s="4" t="s">
        <v>7773</v>
      </c>
      <c r="B127" s="4" t="s">
        <v>7776</v>
      </c>
      <c r="C127" s="6">
        <f>SUMIF(SUPListBEWLGS,Table_ExternalData_1[[#This Row],[SupplierID]],NetAmountBEWLGS)</f>
        <v>445787</v>
      </c>
      <c r="D127" s="6">
        <f>SUMIF(SUPListBEWLGS,Table_ExternalData_1[[#This Row],[SupplierID]],PaidBEWLGS)</f>
        <v>0</v>
      </c>
      <c r="E127" s="6">
        <f>Table_ExternalData_1[[#This Row],[Net Amount]]-Table_ExternalData_1[[#This Row],[Paid]]</f>
        <v>445787</v>
      </c>
      <c r="F127" s="6">
        <f>SUMIFS(NetB3BEWLGS,SUPListBEWLGS,Table_ExternalData_1[[#This Row],[SupplierID]],DLBEWLGS,"&gt;=1",DLBEWLGS,"&lt;=30")</f>
        <v>82221</v>
      </c>
      <c r="G127" s="6">
        <f>SUMIFS(NetB3BEWLGS,SUPListBEWLGS,Table_ExternalData_1[[#This Row],[SupplierID]],DLBEWLGS,"&gt;=31",DLBEWLGS,"&lt;=45")</f>
        <v>0</v>
      </c>
      <c r="H127" s="6">
        <f>SUMIFS(NetB3BEWLGS,SUPListBEWLGS,Table_ExternalData_1[[#This Row],[SupplierID]],DLBEWLGS,"&gt;=46",DLBEWLGS,"&lt;=60")</f>
        <v>29965</v>
      </c>
      <c r="I127" s="6">
        <f>SUMIFS(NetB3BEWLGS,SUPListBEWLGS,Table_ExternalData_1[[#This Row],[SupplierID]],DLBEWLGS,"&gt;=61",DLBEWLGS,"&lt;=90")</f>
        <v>280973</v>
      </c>
      <c r="J127" s="6">
        <f>SUMIFS(NetB3BEWLGS,SUPListBEWLGS,Table_ExternalData_1[[#This Row],[SupplierID]],DLBEWLGS,"&gt;=91",DLBEWLGS,"&lt;=120")</f>
        <v>52628</v>
      </c>
      <c r="K127" s="6">
        <f>SUMIFS(NetB3BEWLGS,SUPListBEWLGS,Table_ExternalData_1[[#This Row],[SupplierID]],DLBEWLGS,"&gt;120")</f>
        <v>0</v>
      </c>
    </row>
    <row r="128" spans="1:11">
      <c r="A128" s="4" t="s">
        <v>7633</v>
      </c>
      <c r="B128" s="4" t="s">
        <v>5544</v>
      </c>
      <c r="C128" s="6">
        <f>SUMIF(SUPListBEWLGS,Table_ExternalData_1[[#This Row],[SupplierID]],NetAmountBEWLGS)</f>
        <v>82412</v>
      </c>
      <c r="D128" s="6">
        <f>SUMIF(SUPListBEWLGS,Table_ExternalData_1[[#This Row],[SupplierID]],PaidBEWLGS)</f>
        <v>0</v>
      </c>
      <c r="E128" s="6">
        <f>Table_ExternalData_1[[#This Row],[Net Amount]]-Table_ExternalData_1[[#This Row],[Paid]]</f>
        <v>82412</v>
      </c>
      <c r="F128" s="6">
        <f>SUMIFS(NetB3BEWLGS,SUPListBEWLGS,Table_ExternalData_1[[#This Row],[SupplierID]],DLBEWLGS,"&gt;=1",DLBEWLGS,"&lt;=30")</f>
        <v>14326</v>
      </c>
      <c r="G128" s="6">
        <f>SUMIFS(NetB3BEWLGS,SUPListBEWLGS,Table_ExternalData_1[[#This Row],[SupplierID]],DLBEWLGS,"&gt;=31",DLBEWLGS,"&lt;=45")</f>
        <v>10643</v>
      </c>
      <c r="H128" s="6">
        <f>SUMIFS(NetB3BEWLGS,SUPListBEWLGS,Table_ExternalData_1[[#This Row],[SupplierID]],DLBEWLGS,"&gt;=46",DLBEWLGS,"&lt;=60")</f>
        <v>0</v>
      </c>
      <c r="I128" s="6">
        <f>SUMIFS(NetB3BEWLGS,SUPListBEWLGS,Table_ExternalData_1[[#This Row],[SupplierID]],DLBEWLGS,"&gt;=61",DLBEWLGS,"&lt;=90")</f>
        <v>12760</v>
      </c>
      <c r="J128" s="6">
        <f>SUMIFS(NetB3BEWLGS,SUPListBEWLGS,Table_ExternalData_1[[#This Row],[SupplierID]],DLBEWLGS,"&gt;=91",DLBEWLGS,"&lt;=120")</f>
        <v>44683</v>
      </c>
      <c r="K128" s="6">
        <f>SUMIFS(NetB3BEWLGS,SUPListBEWLGS,Table_ExternalData_1[[#This Row],[SupplierID]],DLBEWLGS,"&gt;120")</f>
        <v>0</v>
      </c>
    </row>
    <row r="129" spans="1:11">
      <c r="A129" s="4" t="s">
        <v>6383</v>
      </c>
      <c r="B129" s="4" t="s">
        <v>6384</v>
      </c>
      <c r="C129" s="6">
        <f>SUMIF(SUPListBEWLGS,Table_ExternalData_1[[#This Row],[SupplierID]],NetAmountBEWLGS)</f>
        <v>1381395</v>
      </c>
      <c r="D129" s="6">
        <f>SUMIF(SUPListBEWLGS,Table_ExternalData_1[[#This Row],[SupplierID]],PaidBEWLGS)</f>
        <v>333835</v>
      </c>
      <c r="E129" s="6">
        <f>Table_ExternalData_1[[#This Row],[Net Amount]]-Table_ExternalData_1[[#This Row],[Paid]]</f>
        <v>1047560</v>
      </c>
      <c r="F129" s="6">
        <f>SUMIFS(NetB3BEWLGS,SUPListBEWLGS,Table_ExternalData_1[[#This Row],[SupplierID]],DLBEWLGS,"&gt;=1",DLBEWLGS,"&lt;=30")</f>
        <v>0</v>
      </c>
      <c r="G129" s="6">
        <f>SUMIFS(NetB3BEWLGS,SUPListBEWLGS,Table_ExternalData_1[[#This Row],[SupplierID]],DLBEWLGS,"&gt;=31",DLBEWLGS,"&lt;=45")</f>
        <v>0</v>
      </c>
      <c r="H129" s="6">
        <f>SUMIFS(NetB3BEWLGS,SUPListBEWLGS,Table_ExternalData_1[[#This Row],[SupplierID]],DLBEWLGS,"&gt;=46",DLBEWLGS,"&lt;=60")</f>
        <v>0</v>
      </c>
      <c r="I129" s="6">
        <f>SUMIFS(NetB3BEWLGS,SUPListBEWLGS,Table_ExternalData_1[[#This Row],[SupplierID]],DLBEWLGS,"&gt;=61",DLBEWLGS,"&lt;=90")</f>
        <v>0</v>
      </c>
      <c r="J129" s="6">
        <f>SUMIFS(NetB3BEWLGS,SUPListBEWLGS,Table_ExternalData_1[[#This Row],[SupplierID]],DLBEWLGS,"&gt;=91",DLBEWLGS,"&lt;=120")</f>
        <v>0</v>
      </c>
      <c r="K129" s="6">
        <f>SUMIFS(NetB3BEWLGS,SUPListBEWLGS,Table_ExternalData_1[[#This Row],[SupplierID]],DLBEWLGS,"&gt;120")</f>
        <v>1047560</v>
      </c>
    </row>
    <row r="130" spans="1:11">
      <c r="A130" s="4" t="s">
        <v>6812</v>
      </c>
      <c r="B130" s="4" t="s">
        <v>6813</v>
      </c>
      <c r="C130" s="6">
        <f>SUMIF(SUPListBEWLGS,Table_ExternalData_1[[#This Row],[SupplierID]],NetAmountBEWLGS)</f>
        <v>3500</v>
      </c>
      <c r="D130" s="6">
        <f>SUMIF(SUPListBEWLGS,Table_ExternalData_1[[#This Row],[SupplierID]],PaidBEWLGS)</f>
        <v>0</v>
      </c>
      <c r="E130" s="6">
        <f>Table_ExternalData_1[[#This Row],[Net Amount]]-Table_ExternalData_1[[#This Row],[Paid]]</f>
        <v>3500</v>
      </c>
      <c r="F130" s="6">
        <f>SUMIFS(NetB3BEWLGS,SUPListBEWLGS,Table_ExternalData_1[[#This Row],[SupplierID]],DLBEWLGS,"&gt;=1",DLBEWLGS,"&lt;=30")</f>
        <v>0</v>
      </c>
      <c r="G130" s="6">
        <f>SUMIFS(NetB3BEWLGS,SUPListBEWLGS,Table_ExternalData_1[[#This Row],[SupplierID]],DLBEWLGS,"&gt;=31",DLBEWLGS,"&lt;=45")</f>
        <v>0</v>
      </c>
      <c r="H130" s="6">
        <f>SUMIFS(NetB3BEWLGS,SUPListBEWLGS,Table_ExternalData_1[[#This Row],[SupplierID]],DLBEWLGS,"&gt;=46",DLBEWLGS,"&lt;=60")</f>
        <v>3500</v>
      </c>
      <c r="I130" s="6">
        <f>SUMIFS(NetB3BEWLGS,SUPListBEWLGS,Table_ExternalData_1[[#This Row],[SupplierID]],DLBEWLGS,"&gt;=61",DLBEWLGS,"&lt;=90")</f>
        <v>0</v>
      </c>
      <c r="J130" s="6">
        <f>SUMIFS(NetB3BEWLGS,SUPListBEWLGS,Table_ExternalData_1[[#This Row],[SupplierID]],DLBEWLGS,"&gt;=91",DLBEWLGS,"&lt;=120")</f>
        <v>0</v>
      </c>
      <c r="K130" s="6">
        <f>SUMIFS(NetB3BEWLGS,SUPListBEWLGS,Table_ExternalData_1[[#This Row],[SupplierID]],DLBEWLGS,"&gt;120")</f>
        <v>0</v>
      </c>
    </row>
    <row r="131" spans="1:11">
      <c r="A131" s="4" t="s">
        <v>7145</v>
      </c>
      <c r="B131" s="4" t="s">
        <v>7147</v>
      </c>
      <c r="C131" s="6">
        <f>SUMIF(SUPListBEWLGS,Table_ExternalData_1[[#This Row],[SupplierID]],NetAmountBEWLGS)</f>
        <v>4050</v>
      </c>
      <c r="D131" s="6">
        <f>SUMIF(SUPListBEWLGS,Table_ExternalData_1[[#This Row],[SupplierID]],PaidBEWLGS)</f>
        <v>0</v>
      </c>
      <c r="E131" s="6">
        <f>Table_ExternalData_1[[#This Row],[Net Amount]]-Table_ExternalData_1[[#This Row],[Paid]]</f>
        <v>4050</v>
      </c>
      <c r="F131" s="6">
        <f>SUMIFS(NetB3BEWLGS,SUPListBEWLGS,Table_ExternalData_1[[#This Row],[SupplierID]],DLBEWLGS,"&gt;=1",DLBEWLGS,"&lt;=30")</f>
        <v>0</v>
      </c>
      <c r="G131" s="6">
        <f>SUMIFS(NetB3BEWLGS,SUPListBEWLGS,Table_ExternalData_1[[#This Row],[SupplierID]],DLBEWLGS,"&gt;=31",DLBEWLGS,"&lt;=45")</f>
        <v>4050</v>
      </c>
      <c r="H131" s="6">
        <f>SUMIFS(NetB3BEWLGS,SUPListBEWLGS,Table_ExternalData_1[[#This Row],[SupplierID]],DLBEWLGS,"&gt;=46",DLBEWLGS,"&lt;=60")</f>
        <v>0</v>
      </c>
      <c r="I131" s="6">
        <f>SUMIFS(NetB3BEWLGS,SUPListBEWLGS,Table_ExternalData_1[[#This Row],[SupplierID]],DLBEWLGS,"&gt;=61",DLBEWLGS,"&lt;=90")</f>
        <v>0</v>
      </c>
      <c r="J131" s="6">
        <f>SUMIFS(NetB3BEWLGS,SUPListBEWLGS,Table_ExternalData_1[[#This Row],[SupplierID]],DLBEWLGS,"&gt;=91",DLBEWLGS,"&lt;=120")</f>
        <v>0</v>
      </c>
      <c r="K131" s="6">
        <f>SUMIFS(NetB3BEWLGS,SUPListBEWLGS,Table_ExternalData_1[[#This Row],[SupplierID]],DLBEWLGS,"&gt;120")</f>
        <v>0</v>
      </c>
    </row>
    <row r="132" spans="1:11">
      <c r="A132" s="4" t="s">
        <v>262</v>
      </c>
      <c r="B132" s="4" t="s">
        <v>6325</v>
      </c>
      <c r="C132" s="6">
        <f>SUMIF(SUPListBEWLGS,Table_ExternalData_1[[#This Row],[SupplierID]],NetAmountBEWLGS)</f>
        <v>282402</v>
      </c>
      <c r="D132" s="6">
        <f>SUMIF(SUPListBEWLGS,Table_ExternalData_1[[#This Row],[SupplierID]],PaidBEWLGS)</f>
        <v>0</v>
      </c>
      <c r="E132" s="6">
        <f>Table_ExternalData_1[[#This Row],[Net Amount]]-Table_ExternalData_1[[#This Row],[Paid]]</f>
        <v>282402</v>
      </c>
      <c r="F132" s="6">
        <f>SUMIFS(NetB3BEWLGS,SUPListBEWLGS,Table_ExternalData_1[[#This Row],[SupplierID]],DLBEWLGS,"&gt;=1",DLBEWLGS,"&lt;=30")</f>
        <v>0</v>
      </c>
      <c r="G132" s="6">
        <f>SUMIFS(NetB3BEWLGS,SUPListBEWLGS,Table_ExternalData_1[[#This Row],[SupplierID]],DLBEWLGS,"&gt;=31",DLBEWLGS,"&lt;=45")</f>
        <v>0</v>
      </c>
      <c r="H132" s="6">
        <f>SUMIFS(NetB3BEWLGS,SUPListBEWLGS,Table_ExternalData_1[[#This Row],[SupplierID]],DLBEWLGS,"&gt;=46",DLBEWLGS,"&lt;=60")</f>
        <v>0</v>
      </c>
      <c r="I132" s="6">
        <f>SUMIFS(NetB3BEWLGS,SUPListBEWLGS,Table_ExternalData_1[[#This Row],[SupplierID]],DLBEWLGS,"&gt;=61",DLBEWLGS,"&lt;=90")</f>
        <v>0</v>
      </c>
      <c r="J132" s="6">
        <f>SUMIFS(NetB3BEWLGS,SUPListBEWLGS,Table_ExternalData_1[[#This Row],[SupplierID]],DLBEWLGS,"&gt;=91",DLBEWLGS,"&lt;=120")</f>
        <v>0</v>
      </c>
      <c r="K132" s="6">
        <f>SUMIFS(NetB3BEWLGS,SUPListBEWLGS,Table_ExternalData_1[[#This Row],[SupplierID]],DLBEWLGS,"&gt;120")</f>
        <v>282402</v>
      </c>
    </row>
    <row r="133" spans="1:11">
      <c r="A133" s="4" t="s">
        <v>6406</v>
      </c>
      <c r="B133" s="4" t="s">
        <v>6407</v>
      </c>
      <c r="C133" s="6">
        <f>SUMIF(SUPListBEWLGS,Table_ExternalData_1[[#This Row],[SupplierID]],NetAmountBEWLGS)</f>
        <v>10431191</v>
      </c>
      <c r="D133" s="6">
        <f>SUMIF(SUPListBEWLGS,Table_ExternalData_1[[#This Row],[SupplierID]],PaidBEWLGS)</f>
        <v>1047995</v>
      </c>
      <c r="E133" s="6">
        <f>Table_ExternalData_1[[#This Row],[Net Amount]]-Table_ExternalData_1[[#This Row],[Paid]]</f>
        <v>9383196</v>
      </c>
      <c r="F133" s="6">
        <f>SUMIFS(NetB3BEWLGS,SUPListBEWLGS,Table_ExternalData_1[[#This Row],[SupplierID]],DLBEWLGS,"&gt;=1",DLBEWLGS,"&lt;=30")</f>
        <v>0</v>
      </c>
      <c r="G133" s="6">
        <f>SUMIFS(NetB3BEWLGS,SUPListBEWLGS,Table_ExternalData_1[[#This Row],[SupplierID]],DLBEWLGS,"&gt;=31",DLBEWLGS,"&lt;=45")</f>
        <v>0</v>
      </c>
      <c r="H133" s="6">
        <f>SUMIFS(NetB3BEWLGS,SUPListBEWLGS,Table_ExternalData_1[[#This Row],[SupplierID]],DLBEWLGS,"&gt;=46",DLBEWLGS,"&lt;=60")</f>
        <v>0</v>
      </c>
      <c r="I133" s="6">
        <f>SUMIFS(NetB3BEWLGS,SUPListBEWLGS,Table_ExternalData_1[[#This Row],[SupplierID]],DLBEWLGS,"&gt;=61",DLBEWLGS,"&lt;=90")</f>
        <v>0</v>
      </c>
      <c r="J133" s="6">
        <f>SUMIFS(NetB3BEWLGS,SUPListBEWLGS,Table_ExternalData_1[[#This Row],[SupplierID]],DLBEWLGS,"&gt;=91",DLBEWLGS,"&lt;=120")</f>
        <v>5270193</v>
      </c>
      <c r="K133" s="6">
        <f>SUMIFS(NetB3BEWLGS,SUPListBEWLGS,Table_ExternalData_1[[#This Row],[SupplierID]],DLBEWLGS,"&gt;120")</f>
        <v>4113003</v>
      </c>
    </row>
    <row r="134" spans="1:11">
      <c r="A134" s="4" t="s">
        <v>6872</v>
      </c>
      <c r="B134" s="4" t="s">
        <v>6874</v>
      </c>
      <c r="C134" s="6">
        <f>SUMIF(SUPListBEWLGS,Table_ExternalData_1[[#This Row],[SupplierID]],NetAmountBEWLGS)</f>
        <v>21300</v>
      </c>
      <c r="D134" s="6">
        <f>SUMIF(SUPListBEWLGS,Table_ExternalData_1[[#This Row],[SupplierID]],PaidBEWLGS)</f>
        <v>0</v>
      </c>
      <c r="E134" s="6">
        <f>Table_ExternalData_1[[#This Row],[Net Amount]]-Table_ExternalData_1[[#This Row],[Paid]]</f>
        <v>21300</v>
      </c>
      <c r="F134" s="6">
        <f>SUMIFS(NetB3BEWLGS,SUPListBEWLGS,Table_ExternalData_1[[#This Row],[SupplierID]],DLBEWLGS,"&gt;=1",DLBEWLGS,"&lt;=30")</f>
        <v>21300</v>
      </c>
      <c r="G134" s="6">
        <f>SUMIFS(NetB3BEWLGS,SUPListBEWLGS,Table_ExternalData_1[[#This Row],[SupplierID]],DLBEWLGS,"&gt;=31",DLBEWLGS,"&lt;=45")</f>
        <v>0</v>
      </c>
      <c r="H134" s="6">
        <f>SUMIFS(NetB3BEWLGS,SUPListBEWLGS,Table_ExternalData_1[[#This Row],[SupplierID]],DLBEWLGS,"&gt;=46",DLBEWLGS,"&lt;=60")</f>
        <v>0</v>
      </c>
      <c r="I134" s="6">
        <f>SUMIFS(NetB3BEWLGS,SUPListBEWLGS,Table_ExternalData_1[[#This Row],[SupplierID]],DLBEWLGS,"&gt;=61",DLBEWLGS,"&lt;=90")</f>
        <v>0</v>
      </c>
      <c r="J134" s="6">
        <f>SUMIFS(NetB3BEWLGS,SUPListBEWLGS,Table_ExternalData_1[[#This Row],[SupplierID]],DLBEWLGS,"&gt;=91",DLBEWLGS,"&lt;=120")</f>
        <v>0</v>
      </c>
      <c r="K134" s="6">
        <f>SUMIFS(NetB3BEWLGS,SUPListBEWLGS,Table_ExternalData_1[[#This Row],[SupplierID]],DLBEWLGS,"&gt;120")</f>
        <v>0</v>
      </c>
    </row>
    <row r="135" spans="1:11">
      <c r="A135" s="4" t="s">
        <v>8301</v>
      </c>
      <c r="B135" s="4" t="s">
        <v>8302</v>
      </c>
      <c r="C135" s="6">
        <f>SUMIF(SUPListBEWLGS,Table_ExternalData_1[[#This Row],[SupplierID]],NetAmountBEWLGS)</f>
        <v>450000</v>
      </c>
      <c r="D135" s="6">
        <f>SUMIF(SUPListBEWLGS,Table_ExternalData_1[[#This Row],[SupplierID]],PaidBEWLGS)</f>
        <v>0</v>
      </c>
      <c r="E135" s="6">
        <f>Table_ExternalData_1[[#This Row],[Net Amount]]-Table_ExternalData_1[[#This Row],[Paid]]</f>
        <v>450000</v>
      </c>
      <c r="F135" s="6">
        <f>SUMIFS(NetB3BEWLGS,SUPListBEWLGS,Table_ExternalData_1[[#This Row],[SupplierID]],DLBEWLGS,"&gt;=1",DLBEWLGS,"&lt;=30")</f>
        <v>450000</v>
      </c>
      <c r="G135" s="6">
        <f>SUMIFS(NetB3BEWLGS,SUPListBEWLGS,Table_ExternalData_1[[#This Row],[SupplierID]],DLBEWLGS,"&gt;=31",DLBEWLGS,"&lt;=45")</f>
        <v>0</v>
      </c>
      <c r="H135" s="6">
        <f>SUMIFS(NetB3BEWLGS,SUPListBEWLGS,Table_ExternalData_1[[#This Row],[SupplierID]],DLBEWLGS,"&gt;=46",DLBEWLGS,"&lt;=60")</f>
        <v>0</v>
      </c>
      <c r="I135" s="6">
        <f>SUMIFS(NetB3BEWLGS,SUPListBEWLGS,Table_ExternalData_1[[#This Row],[SupplierID]],DLBEWLGS,"&gt;=61",DLBEWLGS,"&lt;=90")</f>
        <v>0</v>
      </c>
      <c r="J135" s="6">
        <f>SUMIFS(NetB3BEWLGS,SUPListBEWLGS,Table_ExternalData_1[[#This Row],[SupplierID]],DLBEWLGS,"&gt;=91",DLBEWLGS,"&lt;=120")</f>
        <v>0</v>
      </c>
      <c r="K135" s="6">
        <f>SUMIFS(NetB3BEWLGS,SUPListBEWLGS,Table_ExternalData_1[[#This Row],[SupplierID]],DLBEWLGS,"&gt;120")</f>
        <v>0</v>
      </c>
    </row>
    <row r="136" spans="1:11">
      <c r="A136" s="4" t="s">
        <v>6974</v>
      </c>
      <c r="B136" s="4" t="s">
        <v>6976</v>
      </c>
      <c r="C136" s="6">
        <f>SUMIF(SUPListBEWLGS,Table_ExternalData_1[[#This Row],[SupplierID]],NetAmountBEWLGS)</f>
        <v>26326</v>
      </c>
      <c r="D136" s="6">
        <f>SUMIF(SUPListBEWLGS,Table_ExternalData_1[[#This Row],[SupplierID]],PaidBEWLGS)</f>
        <v>0</v>
      </c>
      <c r="E136" s="6">
        <f>Table_ExternalData_1[[#This Row],[Net Amount]]-Table_ExternalData_1[[#This Row],[Paid]]</f>
        <v>26326</v>
      </c>
      <c r="F136" s="6">
        <f>SUMIFS(NetB3BEWLGS,SUPListBEWLGS,Table_ExternalData_1[[#This Row],[SupplierID]],DLBEWLGS,"&gt;=1",DLBEWLGS,"&lt;=30")</f>
        <v>12759</v>
      </c>
      <c r="G136" s="6">
        <f>SUMIFS(NetB3BEWLGS,SUPListBEWLGS,Table_ExternalData_1[[#This Row],[SupplierID]],DLBEWLGS,"&gt;=31",DLBEWLGS,"&lt;=45")</f>
        <v>5911</v>
      </c>
      <c r="H136" s="6">
        <f>SUMIFS(NetB3BEWLGS,SUPListBEWLGS,Table_ExternalData_1[[#This Row],[SupplierID]],DLBEWLGS,"&gt;=46",DLBEWLGS,"&lt;=60")</f>
        <v>0</v>
      </c>
      <c r="I136" s="6">
        <f>SUMIFS(NetB3BEWLGS,SUPListBEWLGS,Table_ExternalData_1[[#This Row],[SupplierID]],DLBEWLGS,"&gt;=61",DLBEWLGS,"&lt;=90")</f>
        <v>0</v>
      </c>
      <c r="J136" s="6">
        <f>SUMIFS(NetB3BEWLGS,SUPListBEWLGS,Table_ExternalData_1[[#This Row],[SupplierID]],DLBEWLGS,"&gt;=91",DLBEWLGS,"&lt;=120")</f>
        <v>7656</v>
      </c>
      <c r="K136" s="6">
        <f>SUMIFS(NetB3BEWLGS,SUPListBEWLGS,Table_ExternalData_1[[#This Row],[SupplierID]],DLBEWLGS,"&gt;120")</f>
        <v>0</v>
      </c>
    </row>
    <row r="137" spans="1:11">
      <c r="A137" s="4" t="s">
        <v>7003</v>
      </c>
      <c r="B137" s="4" t="s">
        <v>7005</v>
      </c>
      <c r="C137" s="6">
        <f>SUMIF(SUPListBEWLGS,Table_ExternalData_1[[#This Row],[SupplierID]],NetAmountBEWLGS)</f>
        <v>40100</v>
      </c>
      <c r="D137" s="6">
        <f>SUMIF(SUPListBEWLGS,Table_ExternalData_1[[#This Row],[SupplierID]],PaidBEWLGS)</f>
        <v>0</v>
      </c>
      <c r="E137" s="6">
        <f>Table_ExternalData_1[[#This Row],[Net Amount]]-Table_ExternalData_1[[#This Row],[Paid]]</f>
        <v>40100</v>
      </c>
      <c r="F137" s="6">
        <f>SUMIFS(NetB3BEWLGS,SUPListBEWLGS,Table_ExternalData_1[[#This Row],[SupplierID]],DLBEWLGS,"&gt;=1",DLBEWLGS,"&lt;=30")</f>
        <v>0</v>
      </c>
      <c r="G137" s="6">
        <f>SUMIFS(NetB3BEWLGS,SUPListBEWLGS,Table_ExternalData_1[[#This Row],[SupplierID]],DLBEWLGS,"&gt;=31",DLBEWLGS,"&lt;=45")</f>
        <v>40100</v>
      </c>
      <c r="H137" s="6">
        <f>SUMIFS(NetB3BEWLGS,SUPListBEWLGS,Table_ExternalData_1[[#This Row],[SupplierID]],DLBEWLGS,"&gt;=46",DLBEWLGS,"&lt;=60")</f>
        <v>0</v>
      </c>
      <c r="I137" s="6">
        <f>SUMIFS(NetB3BEWLGS,SUPListBEWLGS,Table_ExternalData_1[[#This Row],[SupplierID]],DLBEWLGS,"&gt;=61",DLBEWLGS,"&lt;=90")</f>
        <v>0</v>
      </c>
      <c r="J137" s="6">
        <f>SUMIFS(NetB3BEWLGS,SUPListBEWLGS,Table_ExternalData_1[[#This Row],[SupplierID]],DLBEWLGS,"&gt;=91",DLBEWLGS,"&lt;=120")</f>
        <v>0</v>
      </c>
      <c r="K137" s="6">
        <f>SUMIFS(NetB3BEWLGS,SUPListBEWLGS,Table_ExternalData_1[[#This Row],[SupplierID]],DLBEWLGS,"&gt;120")</f>
        <v>0</v>
      </c>
    </row>
    <row r="138" spans="1:11">
      <c r="A138" s="4" t="s">
        <v>6870</v>
      </c>
      <c r="B138" s="4" t="s">
        <v>5534</v>
      </c>
      <c r="C138" s="6">
        <f>SUMIF(SUPListBEWLGS,Table_ExternalData_1[[#This Row],[SupplierID]],NetAmountBEWLGS)</f>
        <v>12006</v>
      </c>
      <c r="D138" s="6">
        <f>SUMIF(SUPListBEWLGS,Table_ExternalData_1[[#This Row],[SupplierID]],PaidBEWLGS)</f>
        <v>0</v>
      </c>
      <c r="E138" s="6">
        <f>Table_ExternalData_1[[#This Row],[Net Amount]]-Table_ExternalData_1[[#This Row],[Paid]]</f>
        <v>12006</v>
      </c>
      <c r="F138" s="6">
        <f>SUMIFS(NetB3BEWLGS,SUPListBEWLGS,Table_ExternalData_1[[#This Row],[SupplierID]],DLBEWLGS,"&gt;=1",DLBEWLGS,"&lt;=30")</f>
        <v>12006</v>
      </c>
      <c r="G138" s="6">
        <f>SUMIFS(NetB3BEWLGS,SUPListBEWLGS,Table_ExternalData_1[[#This Row],[SupplierID]],DLBEWLGS,"&gt;=31",DLBEWLGS,"&lt;=45")</f>
        <v>0</v>
      </c>
      <c r="H138" s="6">
        <f>SUMIFS(NetB3BEWLGS,SUPListBEWLGS,Table_ExternalData_1[[#This Row],[SupplierID]],DLBEWLGS,"&gt;=46",DLBEWLGS,"&lt;=60")</f>
        <v>0</v>
      </c>
      <c r="I138" s="6">
        <f>SUMIFS(NetB3BEWLGS,SUPListBEWLGS,Table_ExternalData_1[[#This Row],[SupplierID]],DLBEWLGS,"&gt;=61",DLBEWLGS,"&lt;=90")</f>
        <v>0</v>
      </c>
      <c r="J138" s="6">
        <f>SUMIFS(NetB3BEWLGS,SUPListBEWLGS,Table_ExternalData_1[[#This Row],[SupplierID]],DLBEWLGS,"&gt;=91",DLBEWLGS,"&lt;=120")</f>
        <v>0</v>
      </c>
      <c r="K138" s="6">
        <f>SUMIFS(NetB3BEWLGS,SUPListBEWLGS,Table_ExternalData_1[[#This Row],[SupplierID]],DLBEWLGS,"&gt;120")</f>
        <v>0</v>
      </c>
    </row>
    <row r="139" spans="1:11">
      <c r="A139" s="4" t="s">
        <v>6203</v>
      </c>
      <c r="B139" s="4" t="s">
        <v>6205</v>
      </c>
      <c r="C139" s="6">
        <f>SUMIF(SUPListBEWLGS,Table_ExternalData_1[[#This Row],[SupplierID]],NetAmountBEWLGS)</f>
        <v>299772</v>
      </c>
      <c r="D139" s="6">
        <f>SUMIF(SUPListBEWLGS,Table_ExternalData_1[[#This Row],[SupplierID]],PaidBEWLGS)</f>
        <v>0</v>
      </c>
      <c r="E139" s="6">
        <f>Table_ExternalData_1[[#This Row],[Net Amount]]-Table_ExternalData_1[[#This Row],[Paid]]</f>
        <v>299772</v>
      </c>
      <c r="F139" s="6">
        <f>SUMIFS(NetB3BEWLGS,SUPListBEWLGS,Table_ExternalData_1[[#This Row],[SupplierID]],DLBEWLGS,"&gt;=1",DLBEWLGS,"&lt;=30")</f>
        <v>317400</v>
      </c>
      <c r="G139" s="6">
        <f>SUMIFS(NetB3BEWLGS,SUPListBEWLGS,Table_ExternalData_1[[#This Row],[SupplierID]],DLBEWLGS,"&gt;=31",DLBEWLGS,"&lt;=45")</f>
        <v>0</v>
      </c>
      <c r="H139" s="6">
        <f>SUMIFS(NetB3BEWLGS,SUPListBEWLGS,Table_ExternalData_1[[#This Row],[SupplierID]],DLBEWLGS,"&gt;=46",DLBEWLGS,"&lt;=60")</f>
        <v>0</v>
      </c>
      <c r="I139" s="6">
        <f>SUMIFS(NetB3BEWLGS,SUPListBEWLGS,Table_ExternalData_1[[#This Row],[SupplierID]],DLBEWLGS,"&gt;=61",DLBEWLGS,"&lt;=90")</f>
        <v>0</v>
      </c>
      <c r="J139" s="6">
        <f>SUMIFS(NetB3BEWLGS,SUPListBEWLGS,Table_ExternalData_1[[#This Row],[SupplierID]],DLBEWLGS,"&gt;=91",DLBEWLGS,"&lt;=120")</f>
        <v>0</v>
      </c>
      <c r="K139" s="6">
        <f>SUMIFS(NetB3BEWLGS,SUPListBEWLGS,Table_ExternalData_1[[#This Row],[SupplierID]],DLBEWLGS,"&gt;120")</f>
        <v>0</v>
      </c>
    </row>
    <row r="140" spans="1:11">
      <c r="A140" s="4" t="s">
        <v>6536</v>
      </c>
      <c r="B140" s="4" t="s">
        <v>6538</v>
      </c>
      <c r="C140" s="6">
        <f>SUMIF(SUPListBEWLGS,Table_ExternalData_1[[#This Row],[SupplierID]],NetAmountBEWLGS)</f>
        <v>6240506</v>
      </c>
      <c r="D140" s="6">
        <f>SUMIF(SUPListBEWLGS,Table_ExternalData_1[[#This Row],[SupplierID]],PaidBEWLGS)</f>
        <v>2601001</v>
      </c>
      <c r="E140" s="6">
        <f>Table_ExternalData_1[[#This Row],[Net Amount]]-Table_ExternalData_1[[#This Row],[Paid]]</f>
        <v>3639505</v>
      </c>
      <c r="F140" s="6">
        <f>SUMIFS(NetB3BEWLGS,SUPListBEWLGS,Table_ExternalData_1[[#This Row],[SupplierID]],DLBEWLGS,"&gt;=1",DLBEWLGS,"&lt;=30")</f>
        <v>0</v>
      </c>
      <c r="G140" s="6">
        <f>SUMIFS(NetB3BEWLGS,SUPListBEWLGS,Table_ExternalData_1[[#This Row],[SupplierID]],DLBEWLGS,"&gt;=31",DLBEWLGS,"&lt;=45")</f>
        <v>0</v>
      </c>
      <c r="H140" s="6">
        <f>SUMIFS(NetB3BEWLGS,SUPListBEWLGS,Table_ExternalData_1[[#This Row],[SupplierID]],DLBEWLGS,"&gt;=46",DLBEWLGS,"&lt;=60")</f>
        <v>0</v>
      </c>
      <c r="I140" s="6">
        <f>SUMIFS(NetB3BEWLGS,SUPListBEWLGS,Table_ExternalData_1[[#This Row],[SupplierID]],DLBEWLGS,"&gt;=61",DLBEWLGS,"&lt;=90")</f>
        <v>0</v>
      </c>
      <c r="J140" s="6">
        <f>SUMIFS(NetB3BEWLGS,SUPListBEWLGS,Table_ExternalData_1[[#This Row],[SupplierID]],DLBEWLGS,"&gt;=91",DLBEWLGS,"&lt;=120")</f>
        <v>0</v>
      </c>
      <c r="K140" s="6">
        <f>SUMIFS(NetB3BEWLGS,SUPListBEWLGS,Table_ExternalData_1[[#This Row],[SupplierID]],DLBEWLGS,"&gt;120")</f>
        <v>3639505</v>
      </c>
    </row>
    <row r="141" spans="1:11">
      <c r="A141" s="4" t="s">
        <v>263</v>
      </c>
      <c r="B141" s="4" t="s">
        <v>6858</v>
      </c>
      <c r="C141" s="6">
        <f>SUMIF(SUPListBEWLGS,Table_ExternalData_1[[#This Row],[SupplierID]],NetAmountBEWLGS)</f>
        <v>15000</v>
      </c>
      <c r="D141" s="6">
        <f>SUMIF(SUPListBEWLGS,Table_ExternalData_1[[#This Row],[SupplierID]],PaidBEWLGS)</f>
        <v>0</v>
      </c>
      <c r="E141" s="6">
        <f>Table_ExternalData_1[[#This Row],[Net Amount]]-Table_ExternalData_1[[#This Row],[Paid]]</f>
        <v>15000</v>
      </c>
      <c r="F141" s="6">
        <f>SUMIFS(NetB3BEWLGS,SUPListBEWLGS,Table_ExternalData_1[[#This Row],[SupplierID]],DLBEWLGS,"&gt;=1",DLBEWLGS,"&lt;=30")</f>
        <v>15000</v>
      </c>
      <c r="G141" s="6">
        <f>SUMIFS(NetB3BEWLGS,SUPListBEWLGS,Table_ExternalData_1[[#This Row],[SupplierID]],DLBEWLGS,"&gt;=31",DLBEWLGS,"&lt;=45")</f>
        <v>0</v>
      </c>
      <c r="H141" s="6">
        <f>SUMIFS(NetB3BEWLGS,SUPListBEWLGS,Table_ExternalData_1[[#This Row],[SupplierID]],DLBEWLGS,"&gt;=46",DLBEWLGS,"&lt;=60")</f>
        <v>0</v>
      </c>
      <c r="I141" s="6">
        <f>SUMIFS(NetB3BEWLGS,SUPListBEWLGS,Table_ExternalData_1[[#This Row],[SupplierID]],DLBEWLGS,"&gt;=61",DLBEWLGS,"&lt;=90")</f>
        <v>0</v>
      </c>
      <c r="J141" s="6">
        <f>SUMIFS(NetB3BEWLGS,SUPListBEWLGS,Table_ExternalData_1[[#This Row],[SupplierID]],DLBEWLGS,"&gt;=91",DLBEWLGS,"&lt;=120")</f>
        <v>0</v>
      </c>
      <c r="K141" s="6">
        <f>SUMIFS(NetB3BEWLGS,SUPListBEWLGS,Table_ExternalData_1[[#This Row],[SupplierID]],DLBEWLGS,"&gt;120")</f>
        <v>0</v>
      </c>
    </row>
    <row r="142" spans="1:11">
      <c r="A142" s="4" t="s">
        <v>5533</v>
      </c>
      <c r="B142" s="4" t="s">
        <v>7416</v>
      </c>
      <c r="C142" s="6">
        <f>SUMIF(SUPListBEWLGS,Table_ExternalData_1[[#This Row],[SupplierID]],NetAmountBEWLGS)</f>
        <v>115000</v>
      </c>
      <c r="D142" s="6">
        <f>SUMIF(SUPListBEWLGS,Table_ExternalData_1[[#This Row],[SupplierID]],PaidBEWLGS)</f>
        <v>0</v>
      </c>
      <c r="E142" s="6">
        <f>Table_ExternalData_1[[#This Row],[Net Amount]]-Table_ExternalData_1[[#This Row],[Paid]]</f>
        <v>115000</v>
      </c>
      <c r="F142" s="6">
        <f>SUMIFS(NetB3BEWLGS,SUPListBEWLGS,Table_ExternalData_1[[#This Row],[SupplierID]],DLBEWLGS,"&gt;=1",DLBEWLGS,"&lt;=30")</f>
        <v>0</v>
      </c>
      <c r="G142" s="6">
        <f>SUMIFS(NetB3BEWLGS,SUPListBEWLGS,Table_ExternalData_1[[#This Row],[SupplierID]],DLBEWLGS,"&gt;=31",DLBEWLGS,"&lt;=45")</f>
        <v>0</v>
      </c>
      <c r="H142" s="6">
        <f>SUMIFS(NetB3BEWLGS,SUPListBEWLGS,Table_ExternalData_1[[#This Row],[SupplierID]],DLBEWLGS,"&gt;=46",DLBEWLGS,"&lt;=60")</f>
        <v>0</v>
      </c>
      <c r="I142" s="6">
        <f>SUMIFS(NetB3BEWLGS,SUPListBEWLGS,Table_ExternalData_1[[#This Row],[SupplierID]],DLBEWLGS,"&gt;=61",DLBEWLGS,"&lt;=90")</f>
        <v>0</v>
      </c>
      <c r="J142" s="6">
        <f>SUMIFS(NetB3BEWLGS,SUPListBEWLGS,Table_ExternalData_1[[#This Row],[SupplierID]],DLBEWLGS,"&gt;=91",DLBEWLGS,"&lt;=120")</f>
        <v>0</v>
      </c>
      <c r="K142" s="6">
        <f>SUMIFS(NetB3BEWLGS,SUPListBEWLGS,Table_ExternalData_1[[#This Row],[SupplierID]],DLBEWLGS,"&gt;120")</f>
        <v>115000</v>
      </c>
    </row>
    <row r="143" spans="1:11">
      <c r="A143" s="4" t="s">
        <v>264</v>
      </c>
      <c r="B143" s="4" t="s">
        <v>6616</v>
      </c>
      <c r="C143" s="6">
        <f>SUMIF(SUPListBEWLGS,Table_ExternalData_1[[#This Row],[SupplierID]],NetAmountBEWLGS)</f>
        <v>85840</v>
      </c>
      <c r="D143" s="6">
        <f>SUMIF(SUPListBEWLGS,Table_ExternalData_1[[#This Row],[SupplierID]],PaidBEWLGS)</f>
        <v>0</v>
      </c>
      <c r="E143" s="6">
        <f>Table_ExternalData_1[[#This Row],[Net Amount]]-Table_ExternalData_1[[#This Row],[Paid]]</f>
        <v>85840</v>
      </c>
      <c r="F143" s="6">
        <f>SUMIFS(NetB3BEWLGS,SUPListBEWLGS,Table_ExternalData_1[[#This Row],[SupplierID]],DLBEWLGS,"&gt;=1",DLBEWLGS,"&lt;=30")</f>
        <v>0</v>
      </c>
      <c r="G143" s="6">
        <f>SUMIFS(NetB3BEWLGS,SUPListBEWLGS,Table_ExternalData_1[[#This Row],[SupplierID]],DLBEWLGS,"&gt;=31",DLBEWLGS,"&lt;=45")</f>
        <v>0</v>
      </c>
      <c r="H143" s="6">
        <f>SUMIFS(NetB3BEWLGS,SUPListBEWLGS,Table_ExternalData_1[[#This Row],[SupplierID]],DLBEWLGS,"&gt;=46",DLBEWLGS,"&lt;=60")</f>
        <v>0</v>
      </c>
      <c r="I143" s="6">
        <f>SUMIFS(NetB3BEWLGS,SUPListBEWLGS,Table_ExternalData_1[[#This Row],[SupplierID]],DLBEWLGS,"&gt;=61",DLBEWLGS,"&lt;=90")</f>
        <v>0</v>
      </c>
      <c r="J143" s="6">
        <f>SUMIFS(NetB3BEWLGS,SUPListBEWLGS,Table_ExternalData_1[[#This Row],[SupplierID]],DLBEWLGS,"&gt;=91",DLBEWLGS,"&lt;=120")</f>
        <v>0</v>
      </c>
      <c r="K143" s="6">
        <f>SUMIFS(NetB3BEWLGS,SUPListBEWLGS,Table_ExternalData_1[[#This Row],[SupplierID]],DLBEWLGS,"&gt;120")</f>
        <v>85840</v>
      </c>
    </row>
    <row r="144" spans="1:11">
      <c r="A144" s="4" t="s">
        <v>6542</v>
      </c>
      <c r="B144" s="4" t="s">
        <v>6544</v>
      </c>
      <c r="C144" s="6">
        <f>SUMIF(SUPListBEWLGS,Table_ExternalData_1[[#This Row],[SupplierID]],NetAmountBEWLGS)</f>
        <v>2746921</v>
      </c>
      <c r="D144" s="6">
        <f>SUMIF(SUPListBEWLGS,Table_ExternalData_1[[#This Row],[SupplierID]],PaidBEWLGS)</f>
        <v>0</v>
      </c>
      <c r="E144" s="6">
        <f>Table_ExternalData_1[[#This Row],[Net Amount]]-Table_ExternalData_1[[#This Row],[Paid]]</f>
        <v>2746921</v>
      </c>
      <c r="F144" s="6">
        <f>SUMIFS(NetB3BEWLGS,SUPListBEWLGS,Table_ExternalData_1[[#This Row],[SupplierID]],DLBEWLGS,"&gt;=1",DLBEWLGS,"&lt;=30")</f>
        <v>212870</v>
      </c>
      <c r="G144" s="6">
        <f>SUMIFS(NetB3BEWLGS,SUPListBEWLGS,Table_ExternalData_1[[#This Row],[SupplierID]],DLBEWLGS,"&gt;=31",DLBEWLGS,"&lt;=45")</f>
        <v>232790</v>
      </c>
      <c r="H144" s="6">
        <f>SUMIFS(NetB3BEWLGS,SUPListBEWLGS,Table_ExternalData_1[[#This Row],[SupplierID]],DLBEWLGS,"&gt;=46",DLBEWLGS,"&lt;=60")</f>
        <v>308680</v>
      </c>
      <c r="I144" s="6">
        <f>SUMIFS(NetB3BEWLGS,SUPListBEWLGS,Table_ExternalData_1[[#This Row],[SupplierID]],DLBEWLGS,"&gt;=61",DLBEWLGS,"&lt;=90")</f>
        <v>631652</v>
      </c>
      <c r="J144" s="6">
        <f>SUMIFS(NetB3BEWLGS,SUPListBEWLGS,Table_ExternalData_1[[#This Row],[SupplierID]],DLBEWLGS,"&gt;=91",DLBEWLGS,"&lt;=120")</f>
        <v>442666</v>
      </c>
      <c r="K144" s="6">
        <f>SUMIFS(NetB3BEWLGS,SUPListBEWLGS,Table_ExternalData_1[[#This Row],[SupplierID]],DLBEWLGS,"&gt;120")</f>
        <v>918263</v>
      </c>
    </row>
    <row r="145" spans="1:11">
      <c r="A145" s="4" t="s">
        <v>266</v>
      </c>
      <c r="B145" s="4" t="s">
        <v>6946</v>
      </c>
      <c r="C145" s="6">
        <f>SUMIF(SUPListBEWLGS,Table_ExternalData_1[[#This Row],[SupplierID]],NetAmountBEWLGS)</f>
        <v>182540</v>
      </c>
      <c r="D145" s="6">
        <f>SUMIF(SUPListBEWLGS,Table_ExternalData_1[[#This Row],[SupplierID]],PaidBEWLGS)</f>
        <v>0</v>
      </c>
      <c r="E145" s="6">
        <f>Table_ExternalData_1[[#This Row],[Net Amount]]-Table_ExternalData_1[[#This Row],[Paid]]</f>
        <v>182540</v>
      </c>
      <c r="F145" s="6">
        <f>SUMIFS(NetB3BEWLGS,SUPListBEWLGS,Table_ExternalData_1[[#This Row],[SupplierID]],DLBEWLGS,"&gt;=1",DLBEWLGS,"&lt;=30")</f>
        <v>182540</v>
      </c>
      <c r="G145" s="6">
        <f>SUMIFS(NetB3BEWLGS,SUPListBEWLGS,Table_ExternalData_1[[#This Row],[SupplierID]],DLBEWLGS,"&gt;=31",DLBEWLGS,"&lt;=45")</f>
        <v>0</v>
      </c>
      <c r="H145" s="6">
        <f>SUMIFS(NetB3BEWLGS,SUPListBEWLGS,Table_ExternalData_1[[#This Row],[SupplierID]],DLBEWLGS,"&gt;=46",DLBEWLGS,"&lt;=60")</f>
        <v>0</v>
      </c>
      <c r="I145" s="6">
        <f>SUMIFS(NetB3BEWLGS,SUPListBEWLGS,Table_ExternalData_1[[#This Row],[SupplierID]],DLBEWLGS,"&gt;=61",DLBEWLGS,"&lt;=90")</f>
        <v>0</v>
      </c>
      <c r="J145" s="6">
        <f>SUMIFS(NetB3BEWLGS,SUPListBEWLGS,Table_ExternalData_1[[#This Row],[SupplierID]],DLBEWLGS,"&gt;=91",DLBEWLGS,"&lt;=120")</f>
        <v>0</v>
      </c>
      <c r="K145" s="6">
        <f>SUMIFS(NetB3BEWLGS,SUPListBEWLGS,Table_ExternalData_1[[#This Row],[SupplierID]],DLBEWLGS,"&gt;120")</f>
        <v>0</v>
      </c>
    </row>
    <row r="146" spans="1:11">
      <c r="A146" s="4" t="s">
        <v>6861</v>
      </c>
      <c r="B146" s="4" t="s">
        <v>6863</v>
      </c>
      <c r="C146" s="6">
        <f>SUMIF(SUPListBEWLGS,Table_ExternalData_1[[#This Row],[SupplierID]],NetAmountBEWLGS)</f>
        <v>20000</v>
      </c>
      <c r="D146" s="6">
        <f>SUMIF(SUPListBEWLGS,Table_ExternalData_1[[#This Row],[SupplierID]],PaidBEWLGS)</f>
        <v>0</v>
      </c>
      <c r="E146" s="6">
        <f>Table_ExternalData_1[[#This Row],[Net Amount]]-Table_ExternalData_1[[#This Row],[Paid]]</f>
        <v>20000</v>
      </c>
      <c r="F146" s="6">
        <f>SUMIFS(NetB3BEWLGS,SUPListBEWLGS,Table_ExternalData_1[[#This Row],[SupplierID]],DLBEWLGS,"&gt;=1",DLBEWLGS,"&lt;=30")</f>
        <v>0</v>
      </c>
      <c r="G146" s="6">
        <f>SUMIFS(NetB3BEWLGS,SUPListBEWLGS,Table_ExternalData_1[[#This Row],[SupplierID]],DLBEWLGS,"&gt;=31",DLBEWLGS,"&lt;=45")</f>
        <v>20000</v>
      </c>
      <c r="H146" s="6">
        <f>SUMIFS(NetB3BEWLGS,SUPListBEWLGS,Table_ExternalData_1[[#This Row],[SupplierID]],DLBEWLGS,"&gt;=46",DLBEWLGS,"&lt;=60")</f>
        <v>0</v>
      </c>
      <c r="I146" s="6">
        <f>SUMIFS(NetB3BEWLGS,SUPListBEWLGS,Table_ExternalData_1[[#This Row],[SupplierID]],DLBEWLGS,"&gt;=61",DLBEWLGS,"&lt;=90")</f>
        <v>0</v>
      </c>
      <c r="J146" s="6">
        <f>SUMIFS(NetB3BEWLGS,SUPListBEWLGS,Table_ExternalData_1[[#This Row],[SupplierID]],DLBEWLGS,"&gt;=91",DLBEWLGS,"&lt;=120")</f>
        <v>0</v>
      </c>
      <c r="K146" s="6">
        <f>SUMIFS(NetB3BEWLGS,SUPListBEWLGS,Table_ExternalData_1[[#This Row],[SupplierID]],DLBEWLGS,"&gt;120")</f>
        <v>0</v>
      </c>
    </row>
    <row r="147" spans="1:11">
      <c r="A147" s="4" t="s">
        <v>6529</v>
      </c>
      <c r="B147" s="4" t="s">
        <v>6530</v>
      </c>
      <c r="C147" s="6">
        <f>SUMIF(SUPListBEWLGS,Table_ExternalData_1[[#This Row],[SupplierID]],NetAmountBEWLGS)</f>
        <v>221640</v>
      </c>
      <c r="D147" s="6">
        <f>SUMIF(SUPListBEWLGS,Table_ExternalData_1[[#This Row],[SupplierID]],PaidBEWLGS)</f>
        <v>0</v>
      </c>
      <c r="E147" s="6">
        <f>Table_ExternalData_1[[#This Row],[Net Amount]]-Table_ExternalData_1[[#This Row],[Paid]]</f>
        <v>221640</v>
      </c>
      <c r="F147" s="6">
        <f>SUMIFS(NetB3BEWLGS,SUPListBEWLGS,Table_ExternalData_1[[#This Row],[SupplierID]],DLBEWLGS,"&gt;=1",DLBEWLGS,"&lt;=30")</f>
        <v>0</v>
      </c>
      <c r="G147" s="6">
        <f>SUMIFS(NetB3BEWLGS,SUPListBEWLGS,Table_ExternalData_1[[#This Row],[SupplierID]],DLBEWLGS,"&gt;=31",DLBEWLGS,"&lt;=45")</f>
        <v>0</v>
      </c>
      <c r="H147" s="6">
        <f>SUMIFS(NetB3BEWLGS,SUPListBEWLGS,Table_ExternalData_1[[#This Row],[SupplierID]],DLBEWLGS,"&gt;=46",DLBEWLGS,"&lt;=60")</f>
        <v>0</v>
      </c>
      <c r="I147" s="6">
        <f>SUMIFS(NetB3BEWLGS,SUPListBEWLGS,Table_ExternalData_1[[#This Row],[SupplierID]],DLBEWLGS,"&gt;=61",DLBEWLGS,"&lt;=90")</f>
        <v>0</v>
      </c>
      <c r="J147" s="6">
        <f>SUMIFS(NetB3BEWLGS,SUPListBEWLGS,Table_ExternalData_1[[#This Row],[SupplierID]],DLBEWLGS,"&gt;=91",DLBEWLGS,"&lt;=120")</f>
        <v>0</v>
      </c>
      <c r="K147" s="6">
        <f>SUMIFS(NetB3BEWLGS,SUPListBEWLGS,Table_ExternalData_1[[#This Row],[SupplierID]],DLBEWLGS,"&gt;120")</f>
        <v>221640</v>
      </c>
    </row>
    <row r="148" spans="1:11">
      <c r="A148" s="4" t="s">
        <v>8250</v>
      </c>
      <c r="B148" s="4" t="s">
        <v>8252</v>
      </c>
      <c r="C148" s="6">
        <f>SUMIF(SUPListBEWLGS,Table_ExternalData_1[[#This Row],[SupplierID]],NetAmountBEWLGS)</f>
        <v>12800</v>
      </c>
      <c r="D148" s="6">
        <f>SUMIF(SUPListBEWLGS,Table_ExternalData_1[[#This Row],[SupplierID]],PaidBEWLGS)</f>
        <v>0</v>
      </c>
      <c r="E148" s="6">
        <f>Table_ExternalData_1[[#This Row],[Net Amount]]-Table_ExternalData_1[[#This Row],[Paid]]</f>
        <v>12800</v>
      </c>
      <c r="F148" s="6">
        <f>SUMIFS(NetB3BEWLGS,SUPListBEWLGS,Table_ExternalData_1[[#This Row],[SupplierID]],DLBEWLGS,"&gt;=1",DLBEWLGS,"&lt;=30")</f>
        <v>12800</v>
      </c>
      <c r="G148" s="6">
        <f>SUMIFS(NetB3BEWLGS,SUPListBEWLGS,Table_ExternalData_1[[#This Row],[SupplierID]],DLBEWLGS,"&gt;=31",DLBEWLGS,"&lt;=45")</f>
        <v>0</v>
      </c>
      <c r="H148" s="6">
        <f>SUMIFS(NetB3BEWLGS,SUPListBEWLGS,Table_ExternalData_1[[#This Row],[SupplierID]],DLBEWLGS,"&gt;=46",DLBEWLGS,"&lt;=60")</f>
        <v>0</v>
      </c>
      <c r="I148" s="6">
        <f>SUMIFS(NetB3BEWLGS,SUPListBEWLGS,Table_ExternalData_1[[#This Row],[SupplierID]],DLBEWLGS,"&gt;=61",DLBEWLGS,"&lt;=90")</f>
        <v>0</v>
      </c>
      <c r="J148" s="6">
        <f>SUMIFS(NetB3BEWLGS,SUPListBEWLGS,Table_ExternalData_1[[#This Row],[SupplierID]],DLBEWLGS,"&gt;=91",DLBEWLGS,"&lt;=120")</f>
        <v>0</v>
      </c>
      <c r="K148" s="6">
        <f>SUMIFS(NetB3BEWLGS,SUPListBEWLGS,Table_ExternalData_1[[#This Row],[SupplierID]],DLBEWLGS,"&gt;120")</f>
        <v>0</v>
      </c>
    </row>
    <row r="149" spans="1:11">
      <c r="A149" s="4" t="s">
        <v>6495</v>
      </c>
      <c r="B149" s="4" t="s">
        <v>6496</v>
      </c>
      <c r="C149" s="6">
        <f>SUMIF(SUPListBEWLGS,Table_ExternalData_1[[#This Row],[SupplierID]],NetAmountBEWLGS)</f>
        <v>1720883</v>
      </c>
      <c r="D149" s="6">
        <f>SUMIF(SUPListBEWLGS,Table_ExternalData_1[[#This Row],[SupplierID]],PaidBEWLGS)</f>
        <v>0</v>
      </c>
      <c r="E149" s="6">
        <f>Table_ExternalData_1[[#This Row],[Net Amount]]-Table_ExternalData_1[[#This Row],[Paid]]</f>
        <v>1720883</v>
      </c>
      <c r="F149" s="6">
        <f>SUMIFS(NetB3BEWLGS,SUPListBEWLGS,Table_ExternalData_1[[#This Row],[SupplierID]],DLBEWLGS,"&gt;=1",DLBEWLGS,"&lt;=30")</f>
        <v>0</v>
      </c>
      <c r="G149" s="6">
        <f>SUMIFS(NetB3BEWLGS,SUPListBEWLGS,Table_ExternalData_1[[#This Row],[SupplierID]],DLBEWLGS,"&gt;=31",DLBEWLGS,"&lt;=45")</f>
        <v>0</v>
      </c>
      <c r="H149" s="6">
        <f>SUMIFS(NetB3BEWLGS,SUPListBEWLGS,Table_ExternalData_1[[#This Row],[SupplierID]],DLBEWLGS,"&gt;=46",DLBEWLGS,"&lt;=60")</f>
        <v>0</v>
      </c>
      <c r="I149" s="6">
        <f>SUMIFS(NetB3BEWLGS,SUPListBEWLGS,Table_ExternalData_1[[#This Row],[SupplierID]],DLBEWLGS,"&gt;=61",DLBEWLGS,"&lt;=90")</f>
        <v>0</v>
      </c>
      <c r="J149" s="6">
        <f>SUMIFS(NetB3BEWLGS,SUPListBEWLGS,Table_ExternalData_1[[#This Row],[SupplierID]],DLBEWLGS,"&gt;=91",DLBEWLGS,"&lt;=120")</f>
        <v>0</v>
      </c>
      <c r="K149" s="6">
        <f>SUMIFS(NetB3BEWLGS,SUPListBEWLGS,Table_ExternalData_1[[#This Row],[SupplierID]],DLBEWLGS,"&gt;120")</f>
        <v>1720883</v>
      </c>
    </row>
    <row r="150" spans="1:11">
      <c r="A150" s="4" t="s">
        <v>5535</v>
      </c>
      <c r="B150" s="4" t="s">
        <v>6566</v>
      </c>
      <c r="C150" s="6">
        <f>SUMIF(SUPListBEWLGS,Table_ExternalData_1[[#This Row],[SupplierID]],NetAmountBEWLGS)</f>
        <v>1582740</v>
      </c>
      <c r="D150" s="6">
        <f>SUMIF(SUPListBEWLGS,Table_ExternalData_1[[#This Row],[SupplierID]],PaidBEWLGS)</f>
        <v>0</v>
      </c>
      <c r="E150" s="6">
        <f>Table_ExternalData_1[[#This Row],[Net Amount]]-Table_ExternalData_1[[#This Row],[Paid]]</f>
        <v>1582740</v>
      </c>
      <c r="F150" s="6">
        <f>SUMIFS(NetB3BEWLGS,SUPListBEWLGS,Table_ExternalData_1[[#This Row],[SupplierID]],DLBEWLGS,"&gt;=1",DLBEWLGS,"&lt;=30")</f>
        <v>0</v>
      </c>
      <c r="G150" s="6">
        <f>SUMIFS(NetB3BEWLGS,SUPListBEWLGS,Table_ExternalData_1[[#This Row],[SupplierID]],DLBEWLGS,"&gt;=31",DLBEWLGS,"&lt;=45")</f>
        <v>0</v>
      </c>
      <c r="H150" s="6">
        <f>SUMIFS(NetB3BEWLGS,SUPListBEWLGS,Table_ExternalData_1[[#This Row],[SupplierID]],DLBEWLGS,"&gt;=46",DLBEWLGS,"&lt;=60")</f>
        <v>0</v>
      </c>
      <c r="I150" s="6">
        <f>SUMIFS(NetB3BEWLGS,SUPListBEWLGS,Table_ExternalData_1[[#This Row],[SupplierID]],DLBEWLGS,"&gt;=61",DLBEWLGS,"&lt;=90")</f>
        <v>0</v>
      </c>
      <c r="J150" s="6">
        <f>SUMIFS(NetB3BEWLGS,SUPListBEWLGS,Table_ExternalData_1[[#This Row],[SupplierID]],DLBEWLGS,"&gt;=91",DLBEWLGS,"&lt;=120")</f>
        <v>0</v>
      </c>
      <c r="K150" s="6">
        <f>SUMIFS(NetB3BEWLGS,SUPListBEWLGS,Table_ExternalData_1[[#This Row],[SupplierID]],DLBEWLGS,"&gt;120")</f>
        <v>1582740</v>
      </c>
    </row>
    <row r="151" spans="1:11">
      <c r="A151" s="4" t="s">
        <v>8417</v>
      </c>
      <c r="B151" s="4" t="s">
        <v>8418</v>
      </c>
      <c r="C151" s="6">
        <f>SUMIF(SUPListBEWLGS,Table_ExternalData_1[[#This Row],[SupplierID]],NetAmountBEWLGS)</f>
        <v>104000</v>
      </c>
      <c r="D151" s="6">
        <f>SUMIF(SUPListBEWLGS,Table_ExternalData_1[[#This Row],[SupplierID]],PaidBEWLGS)</f>
        <v>0</v>
      </c>
      <c r="E151" s="6">
        <f>Table_ExternalData_1[[#This Row],[Net Amount]]-Table_ExternalData_1[[#This Row],[Paid]]</f>
        <v>104000</v>
      </c>
      <c r="F151" s="6">
        <f>SUMIFS(NetB3BEWLGS,SUPListBEWLGS,Table_ExternalData_1[[#This Row],[SupplierID]],DLBEWLGS,"&gt;=1",DLBEWLGS,"&lt;=30")</f>
        <v>0</v>
      </c>
      <c r="G151" s="6">
        <f>SUMIFS(NetB3BEWLGS,SUPListBEWLGS,Table_ExternalData_1[[#This Row],[SupplierID]],DLBEWLGS,"&gt;=31",DLBEWLGS,"&lt;=45")</f>
        <v>104000</v>
      </c>
      <c r="H151" s="6">
        <f>SUMIFS(NetB3BEWLGS,SUPListBEWLGS,Table_ExternalData_1[[#This Row],[SupplierID]],DLBEWLGS,"&gt;=46",DLBEWLGS,"&lt;=60")</f>
        <v>0</v>
      </c>
      <c r="I151" s="6">
        <f>SUMIFS(NetB3BEWLGS,SUPListBEWLGS,Table_ExternalData_1[[#This Row],[SupplierID]],DLBEWLGS,"&gt;=61",DLBEWLGS,"&lt;=90")</f>
        <v>0</v>
      </c>
      <c r="J151" s="6">
        <f>SUMIFS(NetB3BEWLGS,SUPListBEWLGS,Table_ExternalData_1[[#This Row],[SupplierID]],DLBEWLGS,"&gt;=91",DLBEWLGS,"&lt;=120")</f>
        <v>0</v>
      </c>
      <c r="K151" s="6">
        <f>SUMIFS(NetB3BEWLGS,SUPListBEWLGS,Table_ExternalData_1[[#This Row],[SupplierID]],DLBEWLGS,"&gt;120")</f>
        <v>0</v>
      </c>
    </row>
    <row r="152" spans="1:11">
      <c r="A152" s="4" t="s">
        <v>7748</v>
      </c>
      <c r="B152" s="4" t="s">
        <v>7749</v>
      </c>
      <c r="C152" s="6">
        <f>SUMIF(SUPListBEWLGS,Table_ExternalData_1[[#This Row],[SupplierID]],NetAmountBEWLGS)</f>
        <v>1226091</v>
      </c>
      <c r="D152" s="6">
        <f>SUMIF(SUPListBEWLGS,Table_ExternalData_1[[#This Row],[SupplierID]],PaidBEWLGS)</f>
        <v>0</v>
      </c>
      <c r="E152" s="6">
        <f>Table_ExternalData_1[[#This Row],[Net Amount]]-Table_ExternalData_1[[#This Row],[Paid]]</f>
        <v>1226091</v>
      </c>
      <c r="F152" s="6">
        <f>SUMIFS(NetB3BEWLGS,SUPListBEWLGS,Table_ExternalData_1[[#This Row],[SupplierID]],DLBEWLGS,"&gt;=1",DLBEWLGS,"&lt;=30")</f>
        <v>0</v>
      </c>
      <c r="G152" s="6">
        <f>SUMIFS(NetB3BEWLGS,SUPListBEWLGS,Table_ExternalData_1[[#This Row],[SupplierID]],DLBEWLGS,"&gt;=31",DLBEWLGS,"&lt;=45")</f>
        <v>0</v>
      </c>
      <c r="H152" s="6">
        <f>SUMIFS(NetB3BEWLGS,SUPListBEWLGS,Table_ExternalData_1[[#This Row],[SupplierID]],DLBEWLGS,"&gt;=46",DLBEWLGS,"&lt;=60")</f>
        <v>0</v>
      </c>
      <c r="I152" s="6">
        <f>SUMIFS(NetB3BEWLGS,SUPListBEWLGS,Table_ExternalData_1[[#This Row],[SupplierID]],DLBEWLGS,"&gt;=61",DLBEWLGS,"&lt;=90")</f>
        <v>0</v>
      </c>
      <c r="J152" s="6">
        <f>SUMIFS(NetB3BEWLGS,SUPListBEWLGS,Table_ExternalData_1[[#This Row],[SupplierID]],DLBEWLGS,"&gt;=91",DLBEWLGS,"&lt;=120")</f>
        <v>1226091</v>
      </c>
      <c r="K152" s="6">
        <f>SUMIFS(NetB3BEWLGS,SUPListBEWLGS,Table_ExternalData_1[[#This Row],[SupplierID]],DLBEWLGS,"&gt;120")</f>
        <v>0</v>
      </c>
    </row>
    <row r="153" spans="1:11">
      <c r="A153" s="4" t="s">
        <v>7622</v>
      </c>
      <c r="B153" s="4" t="s">
        <v>7624</v>
      </c>
      <c r="C153" s="6">
        <f>SUMIF(SUPListBEWLGS,Table_ExternalData_1[[#This Row],[SupplierID]],NetAmountBEWLGS)</f>
        <v>3434389</v>
      </c>
      <c r="D153" s="6">
        <f>SUMIF(SUPListBEWLGS,Table_ExternalData_1[[#This Row],[SupplierID]],PaidBEWLGS)</f>
        <v>0</v>
      </c>
      <c r="E153" s="6">
        <f>Table_ExternalData_1[[#This Row],[Net Amount]]-Table_ExternalData_1[[#This Row],[Paid]]</f>
        <v>3434389</v>
      </c>
      <c r="F153" s="6">
        <f>SUMIFS(NetB3BEWLGS,SUPListBEWLGS,Table_ExternalData_1[[#This Row],[SupplierID]],DLBEWLGS,"&gt;=1",DLBEWLGS,"&lt;=30")</f>
        <v>0</v>
      </c>
      <c r="G153" s="6">
        <f>SUMIFS(NetB3BEWLGS,SUPListBEWLGS,Table_ExternalData_1[[#This Row],[SupplierID]],DLBEWLGS,"&gt;=31",DLBEWLGS,"&lt;=45")</f>
        <v>1294490</v>
      </c>
      <c r="H153" s="6">
        <f>SUMIFS(NetB3BEWLGS,SUPListBEWLGS,Table_ExternalData_1[[#This Row],[SupplierID]],DLBEWLGS,"&gt;=46",DLBEWLGS,"&lt;=60")</f>
        <v>0</v>
      </c>
      <c r="I153" s="6">
        <f>SUMIFS(NetB3BEWLGS,SUPListBEWLGS,Table_ExternalData_1[[#This Row],[SupplierID]],DLBEWLGS,"&gt;=61",DLBEWLGS,"&lt;=90")</f>
        <v>523740</v>
      </c>
      <c r="J153" s="6">
        <f>SUMIFS(NetB3BEWLGS,SUPListBEWLGS,Table_ExternalData_1[[#This Row],[SupplierID]],DLBEWLGS,"&gt;=91",DLBEWLGS,"&lt;=120")</f>
        <v>1616159</v>
      </c>
      <c r="K153" s="6">
        <f>SUMIFS(NetB3BEWLGS,SUPListBEWLGS,Table_ExternalData_1[[#This Row],[SupplierID]],DLBEWLGS,"&gt;120")</f>
        <v>0</v>
      </c>
    </row>
    <row r="154" spans="1:11">
      <c r="A154" s="4" t="s">
        <v>7352</v>
      </c>
      <c r="B154" s="4" t="s">
        <v>7355</v>
      </c>
      <c r="C154" s="6">
        <f>SUMIF(SUPListBEWLGS,Table_ExternalData_1[[#This Row],[SupplierID]],NetAmountBEWLGS)</f>
        <v>408140</v>
      </c>
      <c r="D154" s="6">
        <f>SUMIF(SUPListBEWLGS,Table_ExternalData_1[[#This Row],[SupplierID]],PaidBEWLGS)</f>
        <v>0</v>
      </c>
      <c r="E154" s="6">
        <f>Table_ExternalData_1[[#This Row],[Net Amount]]-Table_ExternalData_1[[#This Row],[Paid]]</f>
        <v>408140</v>
      </c>
      <c r="F154" s="6">
        <f>SUMIFS(NetB3BEWLGS,SUPListBEWLGS,Table_ExternalData_1[[#This Row],[SupplierID]],DLBEWLGS,"&gt;=1",DLBEWLGS,"&lt;=30")</f>
        <v>0</v>
      </c>
      <c r="G154" s="6">
        <f>SUMIFS(NetB3BEWLGS,SUPListBEWLGS,Table_ExternalData_1[[#This Row],[SupplierID]],DLBEWLGS,"&gt;=31",DLBEWLGS,"&lt;=45")</f>
        <v>0</v>
      </c>
      <c r="H154" s="6">
        <f>SUMIFS(NetB3BEWLGS,SUPListBEWLGS,Table_ExternalData_1[[#This Row],[SupplierID]],DLBEWLGS,"&gt;=46",DLBEWLGS,"&lt;=60")</f>
        <v>0</v>
      </c>
      <c r="I154" s="6">
        <f>SUMIFS(NetB3BEWLGS,SUPListBEWLGS,Table_ExternalData_1[[#This Row],[SupplierID]],DLBEWLGS,"&gt;=61",DLBEWLGS,"&lt;=90")</f>
        <v>0</v>
      </c>
      <c r="J154" s="6">
        <f>SUMIFS(NetB3BEWLGS,SUPListBEWLGS,Table_ExternalData_1[[#This Row],[SupplierID]],DLBEWLGS,"&gt;=91",DLBEWLGS,"&lt;=120")</f>
        <v>0</v>
      </c>
      <c r="K154" s="6">
        <f>SUMIFS(NetB3BEWLGS,SUPListBEWLGS,Table_ExternalData_1[[#This Row],[SupplierID]],DLBEWLGS,"&gt;120")</f>
        <v>408140</v>
      </c>
    </row>
    <row r="155" spans="1:11">
      <c r="A155" s="4" t="s">
        <v>8240</v>
      </c>
      <c r="B155" s="4" t="s">
        <v>8241</v>
      </c>
      <c r="C155" s="6">
        <f>SUMIF(SUPListBEWLGS,Table_ExternalData_1[[#This Row],[SupplierID]],NetAmountBEWLGS)</f>
        <v>3750</v>
      </c>
      <c r="D155" s="6">
        <f>SUMIF(SUPListBEWLGS,Table_ExternalData_1[[#This Row],[SupplierID]],PaidBEWLGS)</f>
        <v>0</v>
      </c>
      <c r="E155" s="6">
        <f>Table_ExternalData_1[[#This Row],[Net Amount]]-Table_ExternalData_1[[#This Row],[Paid]]</f>
        <v>3750</v>
      </c>
      <c r="F155" s="6">
        <f>SUMIFS(NetB3BEWLGS,SUPListBEWLGS,Table_ExternalData_1[[#This Row],[SupplierID]],DLBEWLGS,"&gt;=1",DLBEWLGS,"&lt;=30")</f>
        <v>0</v>
      </c>
      <c r="G155" s="6">
        <f>SUMIFS(NetB3BEWLGS,SUPListBEWLGS,Table_ExternalData_1[[#This Row],[SupplierID]],DLBEWLGS,"&gt;=31",DLBEWLGS,"&lt;=45")</f>
        <v>3750</v>
      </c>
      <c r="H155" s="6">
        <f>SUMIFS(NetB3BEWLGS,SUPListBEWLGS,Table_ExternalData_1[[#This Row],[SupplierID]],DLBEWLGS,"&gt;=46",DLBEWLGS,"&lt;=60")</f>
        <v>0</v>
      </c>
      <c r="I155" s="6">
        <f>SUMIFS(NetB3BEWLGS,SUPListBEWLGS,Table_ExternalData_1[[#This Row],[SupplierID]],DLBEWLGS,"&gt;=61",DLBEWLGS,"&lt;=90")</f>
        <v>0</v>
      </c>
      <c r="J155" s="6">
        <f>SUMIFS(NetB3BEWLGS,SUPListBEWLGS,Table_ExternalData_1[[#This Row],[SupplierID]],DLBEWLGS,"&gt;=91",DLBEWLGS,"&lt;=120")</f>
        <v>0</v>
      </c>
      <c r="K155" s="6">
        <f>SUMIFS(NetB3BEWLGS,SUPListBEWLGS,Table_ExternalData_1[[#This Row],[SupplierID]],DLBEWLGS,"&gt;120")</f>
        <v>0</v>
      </c>
    </row>
    <row r="156" spans="1:11">
      <c r="A156" s="4" t="s">
        <v>269</v>
      </c>
      <c r="B156" s="4" t="s">
        <v>8297</v>
      </c>
      <c r="C156" s="6">
        <f>SUMIF(SUPListBEWLGS,Table_ExternalData_1[[#This Row],[SupplierID]],NetAmountBEWLGS)</f>
        <v>190000</v>
      </c>
      <c r="D156" s="6">
        <f>SUMIF(SUPListBEWLGS,Table_ExternalData_1[[#This Row],[SupplierID]],PaidBEWLGS)</f>
        <v>0</v>
      </c>
      <c r="E156" s="6">
        <f>Table_ExternalData_1[[#This Row],[Net Amount]]-Table_ExternalData_1[[#This Row],[Paid]]</f>
        <v>190000</v>
      </c>
      <c r="F156" s="6">
        <f>SUMIFS(NetB3BEWLGS,SUPListBEWLGS,Table_ExternalData_1[[#This Row],[SupplierID]],DLBEWLGS,"&gt;=1",DLBEWLGS,"&lt;=30")</f>
        <v>0</v>
      </c>
      <c r="G156" s="6">
        <f>SUMIFS(NetB3BEWLGS,SUPListBEWLGS,Table_ExternalData_1[[#This Row],[SupplierID]],DLBEWLGS,"&gt;=31",DLBEWLGS,"&lt;=45")</f>
        <v>190000</v>
      </c>
      <c r="H156" s="6">
        <f>SUMIFS(NetB3BEWLGS,SUPListBEWLGS,Table_ExternalData_1[[#This Row],[SupplierID]],DLBEWLGS,"&gt;=46",DLBEWLGS,"&lt;=60")</f>
        <v>0</v>
      </c>
      <c r="I156" s="6">
        <f>SUMIFS(NetB3BEWLGS,SUPListBEWLGS,Table_ExternalData_1[[#This Row],[SupplierID]],DLBEWLGS,"&gt;=61",DLBEWLGS,"&lt;=90")</f>
        <v>0</v>
      </c>
      <c r="J156" s="6">
        <f>SUMIFS(NetB3BEWLGS,SUPListBEWLGS,Table_ExternalData_1[[#This Row],[SupplierID]],DLBEWLGS,"&gt;=91",DLBEWLGS,"&lt;=120")</f>
        <v>0</v>
      </c>
      <c r="K156" s="6">
        <f>SUMIFS(NetB3BEWLGS,SUPListBEWLGS,Table_ExternalData_1[[#This Row],[SupplierID]],DLBEWLGS,"&gt;120")</f>
        <v>0</v>
      </c>
    </row>
    <row r="157" spans="1:11">
      <c r="A157" s="4" t="s">
        <v>7829</v>
      </c>
      <c r="B157" s="4" t="s">
        <v>5546</v>
      </c>
      <c r="C157" s="6">
        <f>SUMIF(SUPListBEWLGS,Table_ExternalData_1[[#This Row],[SupplierID]],NetAmountBEWLGS)</f>
        <v>1499725</v>
      </c>
      <c r="D157" s="6">
        <f>SUMIF(SUPListBEWLGS,Table_ExternalData_1[[#This Row],[SupplierID]],PaidBEWLGS)</f>
        <v>0</v>
      </c>
      <c r="E157" s="6">
        <f>Table_ExternalData_1[[#This Row],[Net Amount]]-Table_ExternalData_1[[#This Row],[Paid]]</f>
        <v>1499725</v>
      </c>
      <c r="F157" s="6">
        <f>SUMIFS(NetB3BEWLGS,SUPListBEWLGS,Table_ExternalData_1[[#This Row],[SupplierID]],DLBEWLGS,"&gt;=1",DLBEWLGS,"&lt;=30")</f>
        <v>300928</v>
      </c>
      <c r="G157" s="6">
        <f>SUMIFS(NetB3BEWLGS,SUPListBEWLGS,Table_ExternalData_1[[#This Row],[SupplierID]],DLBEWLGS,"&gt;=31",DLBEWLGS,"&lt;=45")</f>
        <v>243206</v>
      </c>
      <c r="H157" s="6">
        <f>SUMIFS(NetB3BEWLGS,SUPListBEWLGS,Table_ExternalData_1[[#This Row],[SupplierID]],DLBEWLGS,"&gt;=46",DLBEWLGS,"&lt;=60")</f>
        <v>293793</v>
      </c>
      <c r="I157" s="6">
        <f>SUMIFS(NetB3BEWLGS,SUPListBEWLGS,Table_ExternalData_1[[#This Row],[SupplierID]],DLBEWLGS,"&gt;=61",DLBEWLGS,"&lt;=90")</f>
        <v>661798</v>
      </c>
      <c r="J157" s="6">
        <f>SUMIFS(NetB3BEWLGS,SUPListBEWLGS,Table_ExternalData_1[[#This Row],[SupplierID]],DLBEWLGS,"&gt;=91",DLBEWLGS,"&lt;=120")</f>
        <v>0</v>
      </c>
      <c r="K157" s="6">
        <f>SUMIFS(NetB3BEWLGS,SUPListBEWLGS,Table_ExternalData_1[[#This Row],[SupplierID]],DLBEWLGS,"&gt;120")</f>
        <v>0</v>
      </c>
    </row>
    <row r="158" spans="1:11">
      <c r="A158" s="4" t="s">
        <v>8048</v>
      </c>
      <c r="B158" s="4" t="s">
        <v>8050</v>
      </c>
      <c r="C158" s="6">
        <f>SUMIF(SUPListBEWLGS,Table_ExternalData_1[[#This Row],[SupplierID]],NetAmountBEWLGS)</f>
        <v>129422</v>
      </c>
      <c r="D158" s="6">
        <f>SUMIF(SUPListBEWLGS,Table_ExternalData_1[[#This Row],[SupplierID]],PaidBEWLGS)</f>
        <v>0</v>
      </c>
      <c r="E158" s="6">
        <f>Table_ExternalData_1[[#This Row],[Net Amount]]-Table_ExternalData_1[[#This Row],[Paid]]</f>
        <v>129422</v>
      </c>
      <c r="F158" s="6">
        <f>SUMIFS(NetB3BEWLGS,SUPListBEWLGS,Table_ExternalData_1[[#This Row],[SupplierID]],DLBEWLGS,"&gt;=1",DLBEWLGS,"&lt;=30")</f>
        <v>70406</v>
      </c>
      <c r="G158" s="6">
        <f>SUMIFS(NetB3BEWLGS,SUPListBEWLGS,Table_ExternalData_1[[#This Row],[SupplierID]],DLBEWLGS,"&gt;=31",DLBEWLGS,"&lt;=45")</f>
        <v>5820</v>
      </c>
      <c r="H158" s="6">
        <f>SUMIFS(NetB3BEWLGS,SUPListBEWLGS,Table_ExternalData_1[[#This Row],[SupplierID]],DLBEWLGS,"&gt;=46",DLBEWLGS,"&lt;=60")</f>
        <v>53196</v>
      </c>
      <c r="I158" s="6">
        <f>SUMIFS(NetB3BEWLGS,SUPListBEWLGS,Table_ExternalData_1[[#This Row],[SupplierID]],DLBEWLGS,"&gt;=61",DLBEWLGS,"&lt;=90")</f>
        <v>0</v>
      </c>
      <c r="J158" s="6">
        <f>SUMIFS(NetB3BEWLGS,SUPListBEWLGS,Table_ExternalData_1[[#This Row],[SupplierID]],DLBEWLGS,"&gt;=91",DLBEWLGS,"&lt;=120")</f>
        <v>0</v>
      </c>
      <c r="K158" s="6">
        <f>SUMIFS(NetB3BEWLGS,SUPListBEWLGS,Table_ExternalData_1[[#This Row],[SupplierID]],DLBEWLGS,"&gt;120")</f>
        <v>0</v>
      </c>
    </row>
    <row r="159" spans="1:11">
      <c r="A159" s="4" t="s">
        <v>270</v>
      </c>
      <c r="B159" s="4" t="s">
        <v>8163</v>
      </c>
      <c r="C159" s="6">
        <f>SUMIF(SUPListBEWLGS,Table_ExternalData_1[[#This Row],[SupplierID]],NetAmountBEWLGS)</f>
        <v>158548</v>
      </c>
      <c r="D159" s="6">
        <f>SUMIF(SUPListBEWLGS,Table_ExternalData_1[[#This Row],[SupplierID]],PaidBEWLGS)</f>
        <v>0</v>
      </c>
      <c r="E159" s="6">
        <f>Table_ExternalData_1[[#This Row],[Net Amount]]-Table_ExternalData_1[[#This Row],[Paid]]</f>
        <v>158548</v>
      </c>
      <c r="F159" s="6">
        <f>SUMIFS(NetB3BEWLGS,SUPListBEWLGS,Table_ExternalData_1[[#This Row],[SupplierID]],DLBEWLGS,"&gt;=1",DLBEWLGS,"&lt;=30")</f>
        <v>156182</v>
      </c>
      <c r="G159" s="6">
        <f>SUMIFS(NetB3BEWLGS,SUPListBEWLGS,Table_ExternalData_1[[#This Row],[SupplierID]],DLBEWLGS,"&gt;=31",DLBEWLGS,"&lt;=45")</f>
        <v>0</v>
      </c>
      <c r="H159" s="6">
        <f>SUMIFS(NetB3BEWLGS,SUPListBEWLGS,Table_ExternalData_1[[#This Row],[SupplierID]],DLBEWLGS,"&gt;=46",DLBEWLGS,"&lt;=60")</f>
        <v>2366</v>
      </c>
      <c r="I159" s="6">
        <f>SUMIFS(NetB3BEWLGS,SUPListBEWLGS,Table_ExternalData_1[[#This Row],[SupplierID]],DLBEWLGS,"&gt;=61",DLBEWLGS,"&lt;=90")</f>
        <v>0</v>
      </c>
      <c r="J159" s="6">
        <f>SUMIFS(NetB3BEWLGS,SUPListBEWLGS,Table_ExternalData_1[[#This Row],[SupplierID]],DLBEWLGS,"&gt;=91",DLBEWLGS,"&lt;=120")</f>
        <v>0</v>
      </c>
      <c r="K159" s="6">
        <f>SUMIFS(NetB3BEWLGS,SUPListBEWLGS,Table_ExternalData_1[[#This Row],[SupplierID]],DLBEWLGS,"&gt;120")</f>
        <v>0</v>
      </c>
    </row>
    <row r="160" spans="1:11">
      <c r="A160" s="4" t="s">
        <v>8431</v>
      </c>
      <c r="B160" s="4" t="s">
        <v>8432</v>
      </c>
      <c r="C160" s="6">
        <f>SUMIF(SUPListBEWLGS,Table_ExternalData_1[[#This Row],[SupplierID]],NetAmountBEWLGS)</f>
        <v>76686</v>
      </c>
      <c r="D160" s="6">
        <f>SUMIF(SUPListBEWLGS,Table_ExternalData_1[[#This Row],[SupplierID]],PaidBEWLGS)</f>
        <v>0</v>
      </c>
      <c r="E160" s="6">
        <f>Table_ExternalData_1[[#This Row],[Net Amount]]-Table_ExternalData_1[[#This Row],[Paid]]</f>
        <v>76686</v>
      </c>
      <c r="F160" s="6">
        <f>SUMIFS(NetB3BEWLGS,SUPListBEWLGS,Table_ExternalData_1[[#This Row],[SupplierID]],DLBEWLGS,"&gt;=1",DLBEWLGS,"&lt;=30")</f>
        <v>76686</v>
      </c>
      <c r="G160" s="6">
        <f>SUMIFS(NetB3BEWLGS,SUPListBEWLGS,Table_ExternalData_1[[#This Row],[SupplierID]],DLBEWLGS,"&gt;=31",DLBEWLGS,"&lt;=45")</f>
        <v>0</v>
      </c>
      <c r="H160" s="6">
        <f>SUMIFS(NetB3BEWLGS,SUPListBEWLGS,Table_ExternalData_1[[#This Row],[SupplierID]],DLBEWLGS,"&gt;=46",DLBEWLGS,"&lt;=60")</f>
        <v>0</v>
      </c>
      <c r="I160" s="6">
        <f>SUMIFS(NetB3BEWLGS,SUPListBEWLGS,Table_ExternalData_1[[#This Row],[SupplierID]],DLBEWLGS,"&gt;=61",DLBEWLGS,"&lt;=90")</f>
        <v>0</v>
      </c>
      <c r="J160" s="6">
        <f>SUMIFS(NetB3BEWLGS,SUPListBEWLGS,Table_ExternalData_1[[#This Row],[SupplierID]],DLBEWLGS,"&gt;=91",DLBEWLGS,"&lt;=120")</f>
        <v>0</v>
      </c>
      <c r="K160" s="6">
        <f>SUMIFS(NetB3BEWLGS,SUPListBEWLGS,Table_ExternalData_1[[#This Row],[SupplierID]],DLBEWLGS,"&gt;120")</f>
        <v>0</v>
      </c>
    </row>
  </sheetData>
  <mergeCells count="2">
    <mergeCell ref="F1:K1"/>
    <mergeCell ref="B1:E1"/>
  </mergeCells>
  <hyperlinks>
    <hyperlink ref="A1" location="INDEXP" display="Back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AL1239"/>
  <sheetViews>
    <sheetView topLeftCell="D1" workbookViewId="0">
      <selection activeCell="AK1" sqref="AK1"/>
    </sheetView>
  </sheetViews>
  <sheetFormatPr defaultRowHeight="15"/>
  <cols>
    <col min="1" max="1" width="24.140625" hidden="1" customWidth="1"/>
    <col min="2" max="3" width="14.5703125" hidden="1" customWidth="1"/>
    <col min="4" max="4" width="12.5703125" bestFit="1" customWidth="1"/>
    <col min="5" max="5" width="10.140625" hidden="1" customWidth="1"/>
    <col min="6" max="6" width="9.85546875" hidden="1" customWidth="1"/>
    <col min="7" max="7" width="11" hidden="1" customWidth="1"/>
    <col min="8" max="8" width="10.5703125" hidden="1" customWidth="1"/>
    <col min="9" max="9" width="12.140625" hidden="1" customWidth="1"/>
    <col min="10" max="10" width="13.7109375" bestFit="1" customWidth="1"/>
    <col min="11" max="11" width="13.42578125" hidden="1" customWidth="1"/>
    <col min="12" max="12" width="14.5703125" hidden="1" customWidth="1"/>
    <col min="13" max="13" width="21.140625" hidden="1" customWidth="1"/>
    <col min="14" max="14" width="8.7109375" hidden="1" customWidth="1"/>
    <col min="15" max="15" width="8.140625" hidden="1" customWidth="1"/>
    <col min="16" max="16" width="52.5703125" hidden="1" customWidth="1"/>
    <col min="17" max="17" width="8.5703125" hidden="1" customWidth="1"/>
    <col min="18" max="18" width="18.85546875" hidden="1" customWidth="1"/>
    <col min="19" max="19" width="12.140625" hidden="1" customWidth="1"/>
    <col min="20" max="20" width="22.7109375" hidden="1" customWidth="1"/>
    <col min="21" max="21" width="10.28515625" hidden="1" customWidth="1"/>
    <col min="22" max="23" width="11.28515625" hidden="1" customWidth="1"/>
    <col min="24" max="24" width="11.5703125" hidden="1" customWidth="1"/>
    <col min="25" max="25" width="15.7109375" hidden="1" customWidth="1"/>
    <col min="26" max="26" width="10.28515625" hidden="1" customWidth="1"/>
    <col min="27" max="27" width="14.28515625" hidden="1" customWidth="1"/>
    <col min="28" max="28" width="23.140625" hidden="1" customWidth="1"/>
    <col min="29" max="29" width="14.5703125" hidden="1" customWidth="1"/>
    <col min="30" max="30" width="19.85546875" hidden="1" customWidth="1"/>
    <col min="31" max="31" width="27.140625" hidden="1" customWidth="1"/>
    <col min="32" max="32" width="7.140625" bestFit="1" customWidth="1"/>
    <col min="33" max="33" width="8.140625" hidden="1" customWidth="1"/>
    <col min="34" max="34" width="7.42578125" bestFit="1" customWidth="1"/>
    <col min="35" max="35" width="14.85546875" bestFit="1" customWidth="1"/>
  </cols>
  <sheetData>
    <row r="1" spans="1:38" ht="22.5">
      <c r="A1" t="s">
        <v>0</v>
      </c>
      <c r="B1" t="s">
        <v>1</v>
      </c>
      <c r="C1" s="12" t="s">
        <v>10781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  <c r="Q1" t="s">
        <v>16</v>
      </c>
      <c r="R1" t="s">
        <v>17</v>
      </c>
      <c r="S1" t="s">
        <v>18</v>
      </c>
      <c r="T1" t="s">
        <v>19</v>
      </c>
      <c r="U1" t="s">
        <v>20</v>
      </c>
      <c r="V1" t="s">
        <v>21</v>
      </c>
      <c r="W1" t="s">
        <v>22</v>
      </c>
      <c r="X1" t="s">
        <v>23</v>
      </c>
      <c r="Y1" t="s">
        <v>24</v>
      </c>
      <c r="Z1" t="s">
        <v>25</v>
      </c>
      <c r="AA1" t="s">
        <v>26</v>
      </c>
      <c r="AB1" t="s">
        <v>27</v>
      </c>
      <c r="AC1" t="s">
        <v>28</v>
      </c>
      <c r="AD1" t="s">
        <v>29</v>
      </c>
      <c r="AE1" t="s">
        <v>30</v>
      </c>
      <c r="AF1" t="s">
        <v>31</v>
      </c>
      <c r="AG1" t="s">
        <v>32</v>
      </c>
      <c r="AH1" t="s">
        <v>33</v>
      </c>
      <c r="AI1" t="s">
        <v>439</v>
      </c>
      <c r="AK1" s="13" t="s">
        <v>10761</v>
      </c>
      <c r="AL1" t="s">
        <v>10765</v>
      </c>
    </row>
    <row r="2" spans="1:38">
      <c r="A2" t="s">
        <v>8521</v>
      </c>
      <c r="B2" s="1">
        <v>41024</v>
      </c>
      <c r="C2" s="1">
        <v>41069</v>
      </c>
      <c r="D2" t="s">
        <v>8522</v>
      </c>
      <c r="E2">
        <v>-1950</v>
      </c>
      <c r="F2">
        <v>-312</v>
      </c>
      <c r="G2">
        <v>0</v>
      </c>
      <c r="H2">
        <v>0</v>
      </c>
      <c r="I2">
        <v>251</v>
      </c>
      <c r="J2">
        <v>-2262</v>
      </c>
      <c r="L2" s="1">
        <v>41017</v>
      </c>
      <c r="N2" t="s">
        <v>5127</v>
      </c>
      <c r="O2" t="s">
        <v>2458</v>
      </c>
      <c r="P2" t="s">
        <v>5458</v>
      </c>
      <c r="Q2" t="s">
        <v>39</v>
      </c>
      <c r="R2" t="s">
        <v>40</v>
      </c>
      <c r="S2">
        <v>0</v>
      </c>
      <c r="U2" t="s">
        <v>41</v>
      </c>
      <c r="V2" t="s">
        <v>42</v>
      </c>
      <c r="X2" t="s">
        <v>43</v>
      </c>
      <c r="Y2" t="b">
        <v>0</v>
      </c>
      <c r="Z2" t="b">
        <v>0</v>
      </c>
      <c r="AC2" s="1"/>
      <c r="AF2">
        <v>0</v>
      </c>
      <c r="AG2">
        <v>45</v>
      </c>
      <c r="AH2">
        <v>296</v>
      </c>
      <c r="AI2" s="2">
        <f>Table__192.168.3.138BEWLPPMetaData[[#This Row],[NetAmount]]-Table__192.168.3.138BEWLPPMetaData[[#This Row],[Paid]]</f>
        <v>-2262</v>
      </c>
    </row>
    <row r="3" spans="1:38">
      <c r="A3" t="s">
        <v>8523</v>
      </c>
      <c r="B3" s="1">
        <v>40922</v>
      </c>
      <c r="C3" s="1">
        <v>40967</v>
      </c>
      <c r="D3" t="s">
        <v>8524</v>
      </c>
      <c r="E3">
        <v>-399924</v>
      </c>
      <c r="F3">
        <v>-67987</v>
      </c>
      <c r="G3">
        <v>0</v>
      </c>
      <c r="H3">
        <v>0</v>
      </c>
      <c r="I3">
        <v>346</v>
      </c>
      <c r="J3">
        <v>-467911</v>
      </c>
      <c r="L3" s="1">
        <v>40922</v>
      </c>
      <c r="N3" t="s">
        <v>5127</v>
      </c>
      <c r="O3" t="s">
        <v>2458</v>
      </c>
      <c r="P3" t="s">
        <v>8525</v>
      </c>
      <c r="Q3" t="s">
        <v>39</v>
      </c>
      <c r="R3" t="s">
        <v>40</v>
      </c>
      <c r="S3">
        <v>0</v>
      </c>
      <c r="U3" t="s">
        <v>41</v>
      </c>
      <c r="V3" t="s">
        <v>42</v>
      </c>
      <c r="X3" t="s">
        <v>43</v>
      </c>
      <c r="Y3" t="b">
        <v>0</v>
      </c>
      <c r="Z3" t="b">
        <v>0</v>
      </c>
      <c r="AC3" s="1"/>
      <c r="AF3">
        <v>0</v>
      </c>
      <c r="AG3">
        <v>45</v>
      </c>
      <c r="AH3">
        <v>391</v>
      </c>
      <c r="AI3" s="2">
        <f>Table__192.168.3.138BEWLPPMetaData[[#This Row],[NetAmount]]-Table__192.168.3.138BEWLPPMetaData[[#This Row],[Paid]]</f>
        <v>-467911</v>
      </c>
    </row>
    <row r="4" spans="1:38">
      <c r="A4" t="s">
        <v>8526</v>
      </c>
      <c r="B4" s="1">
        <v>41041</v>
      </c>
      <c r="C4" s="1">
        <v>41086</v>
      </c>
      <c r="D4" t="s">
        <v>8527</v>
      </c>
      <c r="E4">
        <v>-49</v>
      </c>
      <c r="F4">
        <v>-8</v>
      </c>
      <c r="G4">
        <v>0</v>
      </c>
      <c r="H4">
        <v>0</v>
      </c>
      <c r="I4">
        <v>227</v>
      </c>
      <c r="J4">
        <v>-57</v>
      </c>
      <c r="L4" s="1">
        <v>41041</v>
      </c>
      <c r="N4" t="s">
        <v>5127</v>
      </c>
      <c r="O4" t="s">
        <v>2458</v>
      </c>
      <c r="P4" t="s">
        <v>8528</v>
      </c>
      <c r="Q4" t="s">
        <v>39</v>
      </c>
      <c r="R4" t="s">
        <v>40</v>
      </c>
      <c r="S4">
        <v>0</v>
      </c>
      <c r="U4" t="s">
        <v>41</v>
      </c>
      <c r="V4" t="s">
        <v>42</v>
      </c>
      <c r="X4" t="s">
        <v>43</v>
      </c>
      <c r="Y4" t="b">
        <v>0</v>
      </c>
      <c r="Z4" t="b">
        <v>0</v>
      </c>
      <c r="AC4" s="1"/>
      <c r="AF4">
        <v>0</v>
      </c>
      <c r="AG4">
        <v>45</v>
      </c>
      <c r="AH4">
        <v>272</v>
      </c>
      <c r="AI4" s="2">
        <f>Table__192.168.3.138BEWLPPMetaData[[#This Row],[NetAmount]]-Table__192.168.3.138BEWLPPMetaData[[#This Row],[Paid]]</f>
        <v>-57</v>
      </c>
    </row>
    <row r="5" spans="1:38">
      <c r="A5" t="s">
        <v>8529</v>
      </c>
      <c r="B5" s="1">
        <v>41090</v>
      </c>
      <c r="C5" s="1">
        <v>41090</v>
      </c>
      <c r="D5" t="s">
        <v>8530</v>
      </c>
      <c r="E5">
        <v>-45472.98</v>
      </c>
      <c r="F5">
        <v>-7275.97</v>
      </c>
      <c r="G5">
        <v>0</v>
      </c>
      <c r="H5">
        <v>0</v>
      </c>
      <c r="I5">
        <v>0</v>
      </c>
      <c r="J5">
        <v>-52749</v>
      </c>
      <c r="L5" s="1"/>
      <c r="N5" t="s">
        <v>5127</v>
      </c>
      <c r="O5" t="s">
        <v>2458</v>
      </c>
      <c r="P5" t="s">
        <v>357</v>
      </c>
      <c r="Q5" t="s">
        <v>39</v>
      </c>
      <c r="R5" t="s">
        <v>40</v>
      </c>
      <c r="S5">
        <v>0</v>
      </c>
      <c r="U5" t="s">
        <v>41</v>
      </c>
      <c r="V5" t="s">
        <v>42</v>
      </c>
      <c r="X5" t="s">
        <v>43</v>
      </c>
      <c r="Y5" t="b">
        <v>0</v>
      </c>
      <c r="Z5" t="b">
        <v>0</v>
      </c>
      <c r="AC5" s="1"/>
      <c r="AF5">
        <v>0</v>
      </c>
      <c r="AG5">
        <v>45</v>
      </c>
      <c r="AI5" s="2">
        <f>Table__192.168.3.138BEWLPPMetaData[[#This Row],[NetAmount]]-Table__192.168.3.138BEWLPPMetaData[[#This Row],[Paid]]</f>
        <v>-52749</v>
      </c>
    </row>
    <row r="6" spans="1:38" hidden="1">
      <c r="A6" t="s">
        <v>8531</v>
      </c>
      <c r="B6" s="1">
        <v>40771</v>
      </c>
      <c r="C6" s="1">
        <v>40816</v>
      </c>
      <c r="D6" t="s">
        <v>8532</v>
      </c>
      <c r="E6">
        <v>-1358</v>
      </c>
      <c r="F6">
        <v>-217</v>
      </c>
      <c r="G6">
        <v>0</v>
      </c>
      <c r="H6">
        <v>0</v>
      </c>
      <c r="I6">
        <v>510</v>
      </c>
      <c r="J6">
        <v>-1575</v>
      </c>
      <c r="L6" s="1">
        <v>40758</v>
      </c>
      <c r="N6" t="s">
        <v>6694</v>
      </c>
      <c r="O6" t="s">
        <v>3507</v>
      </c>
      <c r="P6" t="s">
        <v>364</v>
      </c>
      <c r="Q6" t="s">
        <v>39</v>
      </c>
      <c r="R6" t="s">
        <v>40</v>
      </c>
      <c r="S6">
        <v>0</v>
      </c>
      <c r="U6" t="s">
        <v>41</v>
      </c>
      <c r="V6" t="s">
        <v>42</v>
      </c>
      <c r="X6" t="s">
        <v>43</v>
      </c>
      <c r="Y6" t="b">
        <v>0</v>
      </c>
      <c r="Z6" t="b">
        <v>0</v>
      </c>
      <c r="AC6" s="1"/>
      <c r="AF6">
        <v>0</v>
      </c>
      <c r="AG6">
        <v>45</v>
      </c>
      <c r="AH6">
        <v>555</v>
      </c>
      <c r="AI6" s="2">
        <f>Table__192.168.3.138BEWLPPMetaData[[#This Row],[NetAmount]]-Table__192.168.3.138BEWLPPMetaData[[#This Row],[Paid]]</f>
        <v>-1575</v>
      </c>
    </row>
    <row r="7" spans="1:38" hidden="1">
      <c r="A7" t="s">
        <v>8533</v>
      </c>
      <c r="B7" s="1">
        <v>40792</v>
      </c>
      <c r="C7" s="1">
        <v>40837</v>
      </c>
      <c r="D7" t="s">
        <v>8534</v>
      </c>
      <c r="E7">
        <v>-1050</v>
      </c>
      <c r="F7">
        <v>-168</v>
      </c>
      <c r="G7">
        <v>0</v>
      </c>
      <c r="H7">
        <v>0</v>
      </c>
      <c r="I7">
        <v>476</v>
      </c>
      <c r="J7">
        <v>-1218</v>
      </c>
      <c r="L7" s="1">
        <v>40792</v>
      </c>
      <c r="N7" t="s">
        <v>6694</v>
      </c>
      <c r="O7" t="s">
        <v>3507</v>
      </c>
      <c r="P7" t="s">
        <v>8535</v>
      </c>
      <c r="Q7" t="s">
        <v>39</v>
      </c>
      <c r="R7" t="s">
        <v>40</v>
      </c>
      <c r="S7">
        <v>0</v>
      </c>
      <c r="U7" t="s">
        <v>41</v>
      </c>
      <c r="V7" t="s">
        <v>42</v>
      </c>
      <c r="X7" t="s">
        <v>43</v>
      </c>
      <c r="Y7" t="b">
        <v>0</v>
      </c>
      <c r="Z7" t="b">
        <v>0</v>
      </c>
      <c r="AC7" s="1"/>
      <c r="AF7">
        <v>0</v>
      </c>
      <c r="AG7">
        <v>45</v>
      </c>
      <c r="AH7">
        <v>521</v>
      </c>
      <c r="AI7" s="2">
        <f>Table__192.168.3.138BEWLPPMetaData[[#This Row],[NetAmount]]-Table__192.168.3.138BEWLPPMetaData[[#This Row],[Paid]]</f>
        <v>-1218</v>
      </c>
    </row>
    <row r="8" spans="1:38" hidden="1">
      <c r="A8" t="s">
        <v>8536</v>
      </c>
      <c r="B8" s="1">
        <v>40805</v>
      </c>
      <c r="C8" s="1">
        <v>40850</v>
      </c>
      <c r="D8" t="s">
        <v>8532</v>
      </c>
      <c r="E8">
        <v>-462</v>
      </c>
      <c r="F8">
        <v>-74</v>
      </c>
      <c r="G8">
        <v>0</v>
      </c>
      <c r="H8">
        <v>0</v>
      </c>
      <c r="I8">
        <v>463</v>
      </c>
      <c r="J8">
        <v>-536</v>
      </c>
      <c r="L8" s="1">
        <v>40805</v>
      </c>
      <c r="N8" t="s">
        <v>6694</v>
      </c>
      <c r="O8" t="s">
        <v>3507</v>
      </c>
      <c r="P8" t="s">
        <v>364</v>
      </c>
      <c r="Q8" t="s">
        <v>39</v>
      </c>
      <c r="R8" t="s">
        <v>40</v>
      </c>
      <c r="S8">
        <v>0</v>
      </c>
      <c r="U8" t="s">
        <v>41</v>
      </c>
      <c r="V8" t="s">
        <v>42</v>
      </c>
      <c r="X8" t="s">
        <v>43</v>
      </c>
      <c r="Y8" t="b">
        <v>0</v>
      </c>
      <c r="Z8" t="b">
        <v>0</v>
      </c>
      <c r="AC8" s="1"/>
      <c r="AF8">
        <v>0</v>
      </c>
      <c r="AG8">
        <v>45</v>
      </c>
      <c r="AH8">
        <v>508</v>
      </c>
      <c r="AI8" s="2">
        <f>Table__192.168.3.138BEWLPPMetaData[[#This Row],[NetAmount]]-Table__192.168.3.138BEWLPPMetaData[[#This Row],[Paid]]</f>
        <v>-536</v>
      </c>
    </row>
    <row r="9" spans="1:38" hidden="1">
      <c r="A9" t="s">
        <v>8537</v>
      </c>
      <c r="B9" s="1">
        <v>40820</v>
      </c>
      <c r="C9" s="1">
        <v>40820</v>
      </c>
      <c r="D9" t="s">
        <v>8538</v>
      </c>
      <c r="E9">
        <v>-99</v>
      </c>
      <c r="F9">
        <v>-16</v>
      </c>
      <c r="G9">
        <v>0</v>
      </c>
      <c r="H9">
        <v>0</v>
      </c>
      <c r="I9">
        <v>448</v>
      </c>
      <c r="J9">
        <v>-115</v>
      </c>
      <c r="L9" s="1">
        <v>40820</v>
      </c>
      <c r="N9" t="s">
        <v>6694</v>
      </c>
      <c r="O9" t="s">
        <v>3507</v>
      </c>
      <c r="P9" t="s">
        <v>310</v>
      </c>
      <c r="Q9" t="s">
        <v>39</v>
      </c>
      <c r="R9" t="s">
        <v>40</v>
      </c>
      <c r="S9">
        <v>0</v>
      </c>
      <c r="U9" t="s">
        <v>41</v>
      </c>
      <c r="V9" t="s">
        <v>42</v>
      </c>
      <c r="X9" t="s">
        <v>43</v>
      </c>
      <c r="Y9" t="b">
        <v>0</v>
      </c>
      <c r="Z9" t="b">
        <v>0</v>
      </c>
      <c r="AC9" s="1"/>
      <c r="AF9">
        <v>0</v>
      </c>
      <c r="AG9">
        <v>45</v>
      </c>
      <c r="AH9">
        <v>493</v>
      </c>
      <c r="AI9" s="2">
        <f>Table__192.168.3.138BEWLPPMetaData[[#This Row],[NetAmount]]-Table__192.168.3.138BEWLPPMetaData[[#This Row],[Paid]]</f>
        <v>-115</v>
      </c>
    </row>
    <row r="10" spans="1:38" hidden="1">
      <c r="A10" t="s">
        <v>8539</v>
      </c>
      <c r="B10" s="1">
        <v>40830</v>
      </c>
      <c r="C10" s="1">
        <v>40875</v>
      </c>
      <c r="D10" t="s">
        <v>8532</v>
      </c>
      <c r="E10">
        <v>-2303</v>
      </c>
      <c r="F10">
        <v>-368</v>
      </c>
      <c r="G10">
        <v>0</v>
      </c>
      <c r="H10">
        <v>0</v>
      </c>
      <c r="I10">
        <v>438</v>
      </c>
      <c r="J10">
        <v>-2671</v>
      </c>
      <c r="L10" s="1">
        <v>40830</v>
      </c>
      <c r="N10" t="s">
        <v>6694</v>
      </c>
      <c r="O10" t="s">
        <v>3507</v>
      </c>
      <c r="P10" t="s">
        <v>364</v>
      </c>
      <c r="Q10" t="s">
        <v>39</v>
      </c>
      <c r="R10" t="s">
        <v>40</v>
      </c>
      <c r="S10">
        <v>0</v>
      </c>
      <c r="U10" t="s">
        <v>41</v>
      </c>
      <c r="V10" t="s">
        <v>42</v>
      </c>
      <c r="X10" t="s">
        <v>43</v>
      </c>
      <c r="Y10" t="b">
        <v>0</v>
      </c>
      <c r="Z10" t="b">
        <v>0</v>
      </c>
      <c r="AC10" s="1"/>
      <c r="AF10">
        <v>0</v>
      </c>
      <c r="AG10">
        <v>45</v>
      </c>
      <c r="AH10">
        <v>483</v>
      </c>
      <c r="AI10" s="2">
        <f>Table__192.168.3.138BEWLPPMetaData[[#This Row],[NetAmount]]-Table__192.168.3.138BEWLPPMetaData[[#This Row],[Paid]]</f>
        <v>-2671</v>
      </c>
    </row>
    <row r="11" spans="1:38" hidden="1">
      <c r="A11" t="s">
        <v>8540</v>
      </c>
      <c r="B11" s="1">
        <v>40871</v>
      </c>
      <c r="C11" s="1">
        <v>40871</v>
      </c>
      <c r="D11" t="s">
        <v>8538</v>
      </c>
      <c r="E11">
        <v>-198</v>
      </c>
      <c r="F11">
        <v>-32</v>
      </c>
      <c r="G11">
        <v>0</v>
      </c>
      <c r="H11">
        <v>0</v>
      </c>
      <c r="I11">
        <v>418</v>
      </c>
      <c r="J11">
        <v>-230</v>
      </c>
      <c r="L11" s="1">
        <v>40850</v>
      </c>
      <c r="N11" t="s">
        <v>6694</v>
      </c>
      <c r="O11" t="s">
        <v>3507</v>
      </c>
      <c r="P11" t="s">
        <v>310</v>
      </c>
      <c r="Q11" t="s">
        <v>39</v>
      </c>
      <c r="R11" t="s">
        <v>40</v>
      </c>
      <c r="S11">
        <v>0</v>
      </c>
      <c r="U11" t="s">
        <v>41</v>
      </c>
      <c r="V11" t="s">
        <v>42</v>
      </c>
      <c r="X11" t="s">
        <v>43</v>
      </c>
      <c r="Y11" t="b">
        <v>0</v>
      </c>
      <c r="Z11" t="b">
        <v>0</v>
      </c>
      <c r="AB11" t="s">
        <v>8541</v>
      </c>
      <c r="AC11" s="1">
        <v>40988</v>
      </c>
      <c r="AE11" t="s">
        <v>8542</v>
      </c>
      <c r="AF11">
        <v>0</v>
      </c>
      <c r="AG11">
        <v>45</v>
      </c>
      <c r="AH11">
        <v>463</v>
      </c>
      <c r="AI11" s="2">
        <f>Table__192.168.3.138BEWLPPMetaData[[#This Row],[NetAmount]]-Table__192.168.3.138BEWLPPMetaData[[#This Row],[Paid]]</f>
        <v>-230</v>
      </c>
    </row>
    <row r="12" spans="1:38" hidden="1">
      <c r="A12" t="s">
        <v>8543</v>
      </c>
      <c r="B12" s="1">
        <v>40871</v>
      </c>
      <c r="C12" s="1">
        <v>40871</v>
      </c>
      <c r="D12" t="s">
        <v>8544</v>
      </c>
      <c r="E12">
        <v>-2201</v>
      </c>
      <c r="F12">
        <v>-352</v>
      </c>
      <c r="G12">
        <v>0</v>
      </c>
      <c r="H12">
        <v>0</v>
      </c>
      <c r="I12">
        <v>418</v>
      </c>
      <c r="J12">
        <v>-2553</v>
      </c>
      <c r="L12" s="1">
        <v>40850</v>
      </c>
      <c r="N12" t="s">
        <v>6694</v>
      </c>
      <c r="O12" t="s">
        <v>3507</v>
      </c>
      <c r="P12" t="s">
        <v>8545</v>
      </c>
      <c r="Q12" t="s">
        <v>39</v>
      </c>
      <c r="R12" t="s">
        <v>40</v>
      </c>
      <c r="S12">
        <v>0</v>
      </c>
      <c r="U12" t="s">
        <v>41</v>
      </c>
      <c r="V12" t="s">
        <v>42</v>
      </c>
      <c r="X12" t="s">
        <v>43</v>
      </c>
      <c r="Y12" t="b">
        <v>0</v>
      </c>
      <c r="Z12" t="b">
        <v>0</v>
      </c>
      <c r="AC12" s="1"/>
      <c r="AF12">
        <v>0</v>
      </c>
      <c r="AG12">
        <v>45</v>
      </c>
      <c r="AH12">
        <v>463</v>
      </c>
      <c r="AI12" s="2">
        <f>Table__192.168.3.138BEWLPPMetaData[[#This Row],[NetAmount]]-Table__192.168.3.138BEWLPPMetaData[[#This Row],[Paid]]</f>
        <v>-2553</v>
      </c>
    </row>
    <row r="13" spans="1:38" hidden="1">
      <c r="A13" t="s">
        <v>8546</v>
      </c>
      <c r="B13" s="1">
        <v>40900</v>
      </c>
      <c r="C13" s="1">
        <v>40900</v>
      </c>
      <c r="D13" t="s">
        <v>8547</v>
      </c>
      <c r="E13">
        <v>-106</v>
      </c>
      <c r="F13">
        <v>-17</v>
      </c>
      <c r="G13">
        <v>0</v>
      </c>
      <c r="H13">
        <v>0</v>
      </c>
      <c r="I13">
        <v>368</v>
      </c>
      <c r="J13">
        <v>-123</v>
      </c>
      <c r="L13" s="1">
        <v>40900</v>
      </c>
      <c r="N13" t="s">
        <v>6694</v>
      </c>
      <c r="O13" t="s">
        <v>3507</v>
      </c>
      <c r="P13" t="s">
        <v>8548</v>
      </c>
      <c r="Q13" t="s">
        <v>39</v>
      </c>
      <c r="R13" t="s">
        <v>40</v>
      </c>
      <c r="S13">
        <v>0</v>
      </c>
      <c r="U13" t="s">
        <v>41</v>
      </c>
      <c r="V13" t="s">
        <v>42</v>
      </c>
      <c r="X13" t="s">
        <v>43</v>
      </c>
      <c r="Y13" t="b">
        <v>0</v>
      </c>
      <c r="Z13" t="b">
        <v>0</v>
      </c>
      <c r="AC13" s="1"/>
      <c r="AF13">
        <v>0</v>
      </c>
      <c r="AG13">
        <v>45</v>
      </c>
      <c r="AH13">
        <v>413</v>
      </c>
      <c r="AI13" s="2">
        <f>Table__192.168.3.138BEWLPPMetaData[[#This Row],[NetAmount]]-Table__192.168.3.138BEWLPPMetaData[[#This Row],[Paid]]</f>
        <v>-123</v>
      </c>
    </row>
    <row r="14" spans="1:38" hidden="1">
      <c r="A14" t="s">
        <v>8549</v>
      </c>
      <c r="B14" s="1">
        <v>40933</v>
      </c>
      <c r="C14" s="1">
        <v>40933</v>
      </c>
      <c r="D14" t="s">
        <v>8524</v>
      </c>
      <c r="E14">
        <v>-66</v>
      </c>
      <c r="F14">
        <v>-11</v>
      </c>
      <c r="G14">
        <v>0</v>
      </c>
      <c r="H14">
        <v>0</v>
      </c>
      <c r="I14">
        <v>335</v>
      </c>
      <c r="J14">
        <v>-77</v>
      </c>
      <c r="L14" s="1">
        <v>40933</v>
      </c>
      <c r="N14" t="s">
        <v>6694</v>
      </c>
      <c r="O14" t="s">
        <v>3507</v>
      </c>
      <c r="P14" t="s">
        <v>8525</v>
      </c>
      <c r="Q14" t="s">
        <v>39</v>
      </c>
      <c r="R14" t="s">
        <v>40</v>
      </c>
      <c r="S14">
        <v>0</v>
      </c>
      <c r="U14" t="s">
        <v>41</v>
      </c>
      <c r="V14" t="s">
        <v>42</v>
      </c>
      <c r="X14" t="s">
        <v>43</v>
      </c>
      <c r="Y14" t="b">
        <v>0</v>
      </c>
      <c r="Z14" t="b">
        <v>0</v>
      </c>
      <c r="AC14" s="1"/>
      <c r="AF14">
        <v>0</v>
      </c>
      <c r="AG14">
        <v>45</v>
      </c>
      <c r="AH14">
        <v>380</v>
      </c>
      <c r="AI14" s="2">
        <f>Table__192.168.3.138BEWLPPMetaData[[#This Row],[NetAmount]]-Table__192.168.3.138BEWLPPMetaData[[#This Row],[Paid]]</f>
        <v>-77</v>
      </c>
    </row>
    <row r="15" spans="1:38" hidden="1">
      <c r="A15" t="s">
        <v>8550</v>
      </c>
      <c r="B15" s="1">
        <v>40933</v>
      </c>
      <c r="C15" s="1">
        <v>40933</v>
      </c>
      <c r="D15" t="s">
        <v>8544</v>
      </c>
      <c r="E15">
        <v>-545</v>
      </c>
      <c r="F15">
        <v>-87</v>
      </c>
      <c r="G15">
        <v>0</v>
      </c>
      <c r="H15">
        <v>0</v>
      </c>
      <c r="I15">
        <v>335</v>
      </c>
      <c r="J15">
        <v>-632</v>
      </c>
      <c r="L15" s="1">
        <v>40933</v>
      </c>
      <c r="N15" t="s">
        <v>6694</v>
      </c>
      <c r="O15" t="s">
        <v>3507</v>
      </c>
      <c r="P15" t="s">
        <v>8545</v>
      </c>
      <c r="Q15" t="s">
        <v>39</v>
      </c>
      <c r="R15" t="s">
        <v>40</v>
      </c>
      <c r="S15">
        <v>0</v>
      </c>
      <c r="U15" t="s">
        <v>41</v>
      </c>
      <c r="V15" t="s">
        <v>42</v>
      </c>
      <c r="X15" t="s">
        <v>43</v>
      </c>
      <c r="Y15" t="b">
        <v>0</v>
      </c>
      <c r="Z15" t="b">
        <v>0</v>
      </c>
      <c r="AC15" s="1"/>
      <c r="AF15">
        <v>0</v>
      </c>
      <c r="AG15">
        <v>45</v>
      </c>
      <c r="AH15">
        <v>380</v>
      </c>
      <c r="AI15" s="2">
        <f>Table__192.168.3.138BEWLPPMetaData[[#This Row],[NetAmount]]-Table__192.168.3.138BEWLPPMetaData[[#This Row],[Paid]]</f>
        <v>-632</v>
      </c>
    </row>
    <row r="16" spans="1:38" hidden="1">
      <c r="A16" t="s">
        <v>8551</v>
      </c>
      <c r="B16" s="1">
        <v>40933</v>
      </c>
      <c r="C16" s="1">
        <v>40933</v>
      </c>
      <c r="D16" t="s">
        <v>8547</v>
      </c>
      <c r="E16">
        <v>-34</v>
      </c>
      <c r="F16">
        <v>-5</v>
      </c>
      <c r="G16">
        <v>0</v>
      </c>
      <c r="H16">
        <v>0</v>
      </c>
      <c r="I16">
        <v>335</v>
      </c>
      <c r="J16">
        <v>-39</v>
      </c>
      <c r="L16" s="1">
        <v>40933</v>
      </c>
      <c r="N16" t="s">
        <v>6694</v>
      </c>
      <c r="O16" t="s">
        <v>3507</v>
      </c>
      <c r="P16" t="s">
        <v>8548</v>
      </c>
      <c r="Q16" t="s">
        <v>39</v>
      </c>
      <c r="R16" t="s">
        <v>40</v>
      </c>
      <c r="S16">
        <v>0</v>
      </c>
      <c r="U16" t="s">
        <v>41</v>
      </c>
      <c r="V16" t="s">
        <v>42</v>
      </c>
      <c r="X16" t="s">
        <v>43</v>
      </c>
      <c r="Y16" t="b">
        <v>0</v>
      </c>
      <c r="Z16" t="b">
        <v>0</v>
      </c>
      <c r="AC16" s="1"/>
      <c r="AF16">
        <v>0</v>
      </c>
      <c r="AG16">
        <v>45</v>
      </c>
      <c r="AH16">
        <v>380</v>
      </c>
      <c r="AI16" s="2">
        <f>Table__192.168.3.138BEWLPPMetaData[[#This Row],[NetAmount]]-Table__192.168.3.138BEWLPPMetaData[[#This Row],[Paid]]</f>
        <v>-39</v>
      </c>
    </row>
    <row r="17" spans="1:35" hidden="1">
      <c r="A17" t="s">
        <v>8552</v>
      </c>
      <c r="B17" s="1">
        <v>40954</v>
      </c>
      <c r="C17" s="1">
        <v>40954</v>
      </c>
      <c r="D17" t="s">
        <v>8547</v>
      </c>
      <c r="E17">
        <v>-170</v>
      </c>
      <c r="F17">
        <v>-27</v>
      </c>
      <c r="G17">
        <v>0</v>
      </c>
      <c r="H17">
        <v>0</v>
      </c>
      <c r="I17">
        <v>323</v>
      </c>
      <c r="J17">
        <v>-197</v>
      </c>
      <c r="L17" s="1">
        <v>40945</v>
      </c>
      <c r="N17" t="s">
        <v>6694</v>
      </c>
      <c r="O17" t="s">
        <v>3507</v>
      </c>
      <c r="P17" t="s">
        <v>8548</v>
      </c>
      <c r="Q17" t="s">
        <v>39</v>
      </c>
      <c r="R17" t="s">
        <v>40</v>
      </c>
      <c r="S17">
        <v>0</v>
      </c>
      <c r="U17" t="s">
        <v>41</v>
      </c>
      <c r="V17" t="s">
        <v>42</v>
      </c>
      <c r="X17" t="s">
        <v>43</v>
      </c>
      <c r="Y17" t="b">
        <v>0</v>
      </c>
      <c r="Z17" t="b">
        <v>0</v>
      </c>
      <c r="AC17" s="1"/>
      <c r="AF17">
        <v>0</v>
      </c>
      <c r="AG17">
        <v>45</v>
      </c>
      <c r="AH17">
        <v>368</v>
      </c>
      <c r="AI17" s="2">
        <f>Table__192.168.3.138BEWLPPMetaData[[#This Row],[NetAmount]]-Table__192.168.3.138BEWLPPMetaData[[#This Row],[Paid]]</f>
        <v>-197</v>
      </c>
    </row>
    <row r="18" spans="1:35" hidden="1">
      <c r="A18" t="s">
        <v>8553</v>
      </c>
      <c r="B18" s="1">
        <v>40968</v>
      </c>
      <c r="C18" s="1">
        <v>40968</v>
      </c>
      <c r="D18" t="s">
        <v>8544</v>
      </c>
      <c r="E18">
        <v>-147</v>
      </c>
      <c r="F18">
        <v>-23</v>
      </c>
      <c r="G18">
        <v>0</v>
      </c>
      <c r="H18">
        <v>0</v>
      </c>
      <c r="I18">
        <v>323</v>
      </c>
      <c r="J18">
        <v>-170</v>
      </c>
      <c r="L18" s="1">
        <v>40945</v>
      </c>
      <c r="N18" t="s">
        <v>6694</v>
      </c>
      <c r="O18" t="s">
        <v>3507</v>
      </c>
      <c r="P18" t="s">
        <v>8545</v>
      </c>
      <c r="Q18" t="s">
        <v>39</v>
      </c>
      <c r="R18" t="s">
        <v>40</v>
      </c>
      <c r="S18">
        <v>0</v>
      </c>
      <c r="U18" t="s">
        <v>41</v>
      </c>
      <c r="V18" t="s">
        <v>42</v>
      </c>
      <c r="X18" t="s">
        <v>43</v>
      </c>
      <c r="Y18" t="b">
        <v>0</v>
      </c>
      <c r="Z18" t="b">
        <v>0</v>
      </c>
      <c r="AC18" s="1"/>
      <c r="AF18">
        <v>0</v>
      </c>
      <c r="AG18">
        <v>45</v>
      </c>
      <c r="AH18">
        <v>368</v>
      </c>
      <c r="AI18" s="2">
        <f>Table__192.168.3.138BEWLPPMetaData[[#This Row],[NetAmount]]-Table__192.168.3.138BEWLPPMetaData[[#This Row],[Paid]]</f>
        <v>-170</v>
      </c>
    </row>
    <row r="19" spans="1:35" hidden="1">
      <c r="A19" t="s">
        <v>8554</v>
      </c>
      <c r="B19" s="1">
        <v>40954</v>
      </c>
      <c r="C19" s="1">
        <v>40954</v>
      </c>
      <c r="D19" t="s">
        <v>8547</v>
      </c>
      <c r="E19">
        <v>-479</v>
      </c>
      <c r="F19">
        <v>-77</v>
      </c>
      <c r="G19">
        <v>0</v>
      </c>
      <c r="H19">
        <v>0</v>
      </c>
      <c r="I19">
        <v>323</v>
      </c>
      <c r="J19">
        <v>-556</v>
      </c>
      <c r="L19" s="1">
        <v>40945</v>
      </c>
      <c r="N19" t="s">
        <v>6694</v>
      </c>
      <c r="O19" t="s">
        <v>3507</v>
      </c>
      <c r="P19" t="s">
        <v>8548</v>
      </c>
      <c r="Q19" t="s">
        <v>39</v>
      </c>
      <c r="R19" t="s">
        <v>40</v>
      </c>
      <c r="S19">
        <v>0</v>
      </c>
      <c r="U19" t="s">
        <v>41</v>
      </c>
      <c r="V19" t="s">
        <v>42</v>
      </c>
      <c r="X19" t="s">
        <v>43</v>
      </c>
      <c r="Y19" t="b">
        <v>0</v>
      </c>
      <c r="Z19" t="b">
        <v>0</v>
      </c>
      <c r="AC19" s="1"/>
      <c r="AF19">
        <v>0</v>
      </c>
      <c r="AG19">
        <v>45</v>
      </c>
      <c r="AH19">
        <v>368</v>
      </c>
      <c r="AI19" s="2">
        <f>Table__192.168.3.138BEWLPPMetaData[[#This Row],[NetAmount]]-Table__192.168.3.138BEWLPPMetaData[[#This Row],[Paid]]</f>
        <v>-556</v>
      </c>
    </row>
    <row r="20" spans="1:35" hidden="1">
      <c r="A20" t="s">
        <v>8555</v>
      </c>
      <c r="B20" s="1">
        <v>40954</v>
      </c>
      <c r="C20" s="1">
        <v>40999</v>
      </c>
      <c r="D20" t="s">
        <v>8532</v>
      </c>
      <c r="E20">
        <v>-28</v>
      </c>
      <c r="F20">
        <v>-4</v>
      </c>
      <c r="G20">
        <v>0</v>
      </c>
      <c r="H20">
        <v>0</v>
      </c>
      <c r="I20">
        <v>314</v>
      </c>
      <c r="J20">
        <v>-32</v>
      </c>
      <c r="L20" s="1">
        <v>40954</v>
      </c>
      <c r="N20" t="s">
        <v>6694</v>
      </c>
      <c r="O20" t="s">
        <v>3507</v>
      </c>
      <c r="P20" t="s">
        <v>364</v>
      </c>
      <c r="Q20" t="s">
        <v>39</v>
      </c>
      <c r="R20" t="s">
        <v>40</v>
      </c>
      <c r="S20">
        <v>0</v>
      </c>
      <c r="U20" t="s">
        <v>41</v>
      </c>
      <c r="V20" t="s">
        <v>42</v>
      </c>
      <c r="X20" t="s">
        <v>43</v>
      </c>
      <c r="Y20" t="b">
        <v>0</v>
      </c>
      <c r="Z20" t="b">
        <v>0</v>
      </c>
      <c r="AC20" s="1"/>
      <c r="AF20">
        <v>0</v>
      </c>
      <c r="AG20">
        <v>45</v>
      </c>
      <c r="AH20">
        <v>359</v>
      </c>
      <c r="AI20" s="2">
        <f>Table__192.168.3.138BEWLPPMetaData[[#This Row],[NetAmount]]-Table__192.168.3.138BEWLPPMetaData[[#This Row],[Paid]]</f>
        <v>-32</v>
      </c>
    </row>
    <row r="21" spans="1:35" hidden="1">
      <c r="A21" t="s">
        <v>8556</v>
      </c>
      <c r="B21" s="1">
        <v>40998</v>
      </c>
      <c r="C21" s="1">
        <v>40998</v>
      </c>
      <c r="D21" t="s">
        <v>8544</v>
      </c>
      <c r="E21">
        <v>-2204</v>
      </c>
      <c r="F21">
        <v>-353</v>
      </c>
      <c r="G21">
        <v>0</v>
      </c>
      <c r="H21">
        <v>0</v>
      </c>
      <c r="I21">
        <v>286</v>
      </c>
      <c r="J21">
        <v>-2557</v>
      </c>
      <c r="L21" s="1">
        <v>40982</v>
      </c>
      <c r="N21" t="s">
        <v>6694</v>
      </c>
      <c r="O21" t="s">
        <v>3507</v>
      </c>
      <c r="P21" t="s">
        <v>8545</v>
      </c>
      <c r="Q21" t="s">
        <v>39</v>
      </c>
      <c r="R21" t="s">
        <v>40</v>
      </c>
      <c r="S21">
        <v>0</v>
      </c>
      <c r="U21" t="s">
        <v>41</v>
      </c>
      <c r="V21" t="s">
        <v>42</v>
      </c>
      <c r="X21" t="s">
        <v>43</v>
      </c>
      <c r="Y21" t="b">
        <v>0</v>
      </c>
      <c r="Z21" t="b">
        <v>0</v>
      </c>
      <c r="AC21" s="1"/>
      <c r="AF21">
        <v>0</v>
      </c>
      <c r="AG21">
        <v>45</v>
      </c>
      <c r="AH21">
        <v>331</v>
      </c>
      <c r="AI21" s="2">
        <f>Table__192.168.3.138BEWLPPMetaData[[#This Row],[NetAmount]]-Table__192.168.3.138BEWLPPMetaData[[#This Row],[Paid]]</f>
        <v>-2557</v>
      </c>
    </row>
    <row r="22" spans="1:35" hidden="1">
      <c r="A22" t="s">
        <v>8557</v>
      </c>
      <c r="B22" s="1">
        <v>40998</v>
      </c>
      <c r="C22" s="1">
        <v>41043</v>
      </c>
      <c r="D22" t="s">
        <v>8558</v>
      </c>
      <c r="E22">
        <v>-10890</v>
      </c>
      <c r="F22">
        <v>-1742</v>
      </c>
      <c r="G22">
        <v>0</v>
      </c>
      <c r="H22">
        <v>0</v>
      </c>
      <c r="I22">
        <v>293</v>
      </c>
      <c r="J22">
        <v>-12632</v>
      </c>
      <c r="L22" s="1">
        <v>40975</v>
      </c>
      <c r="N22" t="s">
        <v>6694</v>
      </c>
      <c r="O22" t="s">
        <v>3507</v>
      </c>
      <c r="P22" t="s">
        <v>8559</v>
      </c>
      <c r="Q22" t="s">
        <v>39</v>
      </c>
      <c r="R22" t="s">
        <v>40</v>
      </c>
      <c r="S22">
        <v>0</v>
      </c>
      <c r="U22" t="s">
        <v>41</v>
      </c>
      <c r="V22" t="s">
        <v>42</v>
      </c>
      <c r="X22" t="s">
        <v>43</v>
      </c>
      <c r="Y22" t="b">
        <v>0</v>
      </c>
      <c r="Z22" t="b">
        <v>0</v>
      </c>
      <c r="AC22" s="1"/>
      <c r="AF22">
        <v>0</v>
      </c>
      <c r="AG22">
        <v>45</v>
      </c>
      <c r="AH22">
        <v>338</v>
      </c>
      <c r="AI22" s="2">
        <f>Table__192.168.3.138BEWLPPMetaData[[#This Row],[NetAmount]]-Table__192.168.3.138BEWLPPMetaData[[#This Row],[Paid]]</f>
        <v>-12632</v>
      </c>
    </row>
    <row r="23" spans="1:35" hidden="1">
      <c r="A23" t="s">
        <v>8560</v>
      </c>
      <c r="B23" s="1">
        <v>41023</v>
      </c>
      <c r="C23" s="1">
        <v>41068</v>
      </c>
      <c r="D23" t="s">
        <v>8544</v>
      </c>
      <c r="E23">
        <v>-2011</v>
      </c>
      <c r="F23">
        <v>-322</v>
      </c>
      <c r="G23">
        <v>0</v>
      </c>
      <c r="H23">
        <v>0</v>
      </c>
      <c r="I23">
        <v>245</v>
      </c>
      <c r="J23">
        <v>-2333</v>
      </c>
      <c r="L23" s="1">
        <v>41023</v>
      </c>
      <c r="N23" t="s">
        <v>6694</v>
      </c>
      <c r="O23" t="s">
        <v>3507</v>
      </c>
      <c r="P23" t="s">
        <v>8545</v>
      </c>
      <c r="Q23" t="s">
        <v>39</v>
      </c>
      <c r="R23" t="s">
        <v>40</v>
      </c>
      <c r="S23">
        <v>0</v>
      </c>
      <c r="U23" t="s">
        <v>41</v>
      </c>
      <c r="V23" t="s">
        <v>42</v>
      </c>
      <c r="X23" t="s">
        <v>43</v>
      </c>
      <c r="Y23" t="b">
        <v>0</v>
      </c>
      <c r="Z23" t="b">
        <v>0</v>
      </c>
      <c r="AC23" s="1"/>
      <c r="AF23">
        <v>0</v>
      </c>
      <c r="AG23">
        <v>45</v>
      </c>
      <c r="AH23">
        <v>290</v>
      </c>
      <c r="AI23" s="2">
        <f>Table__192.168.3.138BEWLPPMetaData[[#This Row],[NetAmount]]-Table__192.168.3.138BEWLPPMetaData[[#This Row],[Paid]]</f>
        <v>-2333</v>
      </c>
    </row>
    <row r="24" spans="1:35" hidden="1">
      <c r="A24" t="s">
        <v>8561</v>
      </c>
      <c r="B24" s="1">
        <v>41011</v>
      </c>
      <c r="C24" s="1">
        <v>41056</v>
      </c>
      <c r="D24" t="s">
        <v>8547</v>
      </c>
      <c r="E24">
        <v>-38</v>
      </c>
      <c r="F24">
        <v>-6</v>
      </c>
      <c r="G24">
        <v>0</v>
      </c>
      <c r="H24">
        <v>0</v>
      </c>
      <c r="I24">
        <v>257</v>
      </c>
      <c r="J24">
        <v>-44</v>
      </c>
      <c r="L24" s="1">
        <v>41011</v>
      </c>
      <c r="N24" t="s">
        <v>6694</v>
      </c>
      <c r="O24" t="s">
        <v>3507</v>
      </c>
      <c r="P24" t="s">
        <v>8548</v>
      </c>
      <c r="Q24" t="s">
        <v>39</v>
      </c>
      <c r="R24" t="s">
        <v>40</v>
      </c>
      <c r="S24">
        <v>0</v>
      </c>
      <c r="U24" t="s">
        <v>41</v>
      </c>
      <c r="V24" t="s">
        <v>42</v>
      </c>
      <c r="X24" t="s">
        <v>43</v>
      </c>
      <c r="Y24" t="b">
        <v>0</v>
      </c>
      <c r="Z24" t="b">
        <v>0</v>
      </c>
      <c r="AC24" s="1"/>
      <c r="AF24">
        <v>0</v>
      </c>
      <c r="AG24">
        <v>45</v>
      </c>
      <c r="AH24">
        <v>302</v>
      </c>
      <c r="AI24" s="2">
        <f>Table__192.168.3.138BEWLPPMetaData[[#This Row],[NetAmount]]-Table__192.168.3.138BEWLPPMetaData[[#This Row],[Paid]]</f>
        <v>-44</v>
      </c>
    </row>
    <row r="25" spans="1:35" hidden="1">
      <c r="A25" t="s">
        <v>8562</v>
      </c>
      <c r="B25" s="1">
        <v>41011</v>
      </c>
      <c r="C25" s="1">
        <v>41056</v>
      </c>
      <c r="D25" t="s">
        <v>8563</v>
      </c>
      <c r="E25">
        <v>-1320</v>
      </c>
      <c r="F25">
        <v>-211</v>
      </c>
      <c r="G25">
        <v>0</v>
      </c>
      <c r="H25">
        <v>0</v>
      </c>
      <c r="I25">
        <v>257</v>
      </c>
      <c r="J25">
        <v>-1531</v>
      </c>
      <c r="L25" s="1">
        <v>41011</v>
      </c>
      <c r="N25" t="s">
        <v>6694</v>
      </c>
      <c r="O25" t="s">
        <v>3507</v>
      </c>
      <c r="P25" t="s">
        <v>409</v>
      </c>
      <c r="Q25" t="s">
        <v>39</v>
      </c>
      <c r="R25" t="s">
        <v>40</v>
      </c>
      <c r="S25">
        <v>0</v>
      </c>
      <c r="U25" t="s">
        <v>41</v>
      </c>
      <c r="V25" t="s">
        <v>42</v>
      </c>
      <c r="X25" t="s">
        <v>43</v>
      </c>
      <c r="Y25" t="b">
        <v>0</v>
      </c>
      <c r="Z25" t="b">
        <v>0</v>
      </c>
      <c r="AB25" t="s">
        <v>8564</v>
      </c>
      <c r="AC25" s="1">
        <v>41124</v>
      </c>
      <c r="AE25" t="s">
        <v>8565</v>
      </c>
      <c r="AF25">
        <v>0</v>
      </c>
      <c r="AG25">
        <v>45</v>
      </c>
      <c r="AH25">
        <v>302</v>
      </c>
      <c r="AI25" s="2">
        <f>Table__192.168.3.138BEWLPPMetaData[[#This Row],[NetAmount]]-Table__192.168.3.138BEWLPPMetaData[[#This Row],[Paid]]</f>
        <v>-1531</v>
      </c>
    </row>
    <row r="26" spans="1:35" hidden="1">
      <c r="A26" t="s">
        <v>8566</v>
      </c>
      <c r="B26" s="1">
        <v>41023</v>
      </c>
      <c r="C26" s="1">
        <v>41068</v>
      </c>
      <c r="D26" t="s">
        <v>8527</v>
      </c>
      <c r="E26">
        <v>-418</v>
      </c>
      <c r="F26">
        <v>-67</v>
      </c>
      <c r="G26">
        <v>0</v>
      </c>
      <c r="H26">
        <v>0</v>
      </c>
      <c r="I26">
        <v>257</v>
      </c>
      <c r="J26">
        <v>-485</v>
      </c>
      <c r="L26" s="1">
        <v>41011</v>
      </c>
      <c r="N26" t="s">
        <v>6694</v>
      </c>
      <c r="O26" t="s">
        <v>3507</v>
      </c>
      <c r="P26" t="s">
        <v>8528</v>
      </c>
      <c r="Q26" t="s">
        <v>39</v>
      </c>
      <c r="R26" t="s">
        <v>40</v>
      </c>
      <c r="S26">
        <v>0</v>
      </c>
      <c r="U26" t="s">
        <v>41</v>
      </c>
      <c r="V26" t="s">
        <v>42</v>
      </c>
      <c r="X26" t="s">
        <v>43</v>
      </c>
      <c r="Y26" t="b">
        <v>0</v>
      </c>
      <c r="Z26" t="b">
        <v>0</v>
      </c>
      <c r="AC26" s="1"/>
      <c r="AF26">
        <v>0</v>
      </c>
      <c r="AG26">
        <v>45</v>
      </c>
      <c r="AH26">
        <v>302</v>
      </c>
      <c r="AI26" s="2">
        <f>Table__192.168.3.138BEWLPPMetaData[[#This Row],[NetAmount]]-Table__192.168.3.138BEWLPPMetaData[[#This Row],[Paid]]</f>
        <v>-485</v>
      </c>
    </row>
    <row r="27" spans="1:35" hidden="1">
      <c r="A27" t="s">
        <v>8567</v>
      </c>
      <c r="B27" s="1">
        <v>41050</v>
      </c>
      <c r="C27" s="1">
        <v>41095</v>
      </c>
      <c r="D27" t="s">
        <v>8527</v>
      </c>
      <c r="E27">
        <v>-694</v>
      </c>
      <c r="F27">
        <v>-111</v>
      </c>
      <c r="G27">
        <v>0</v>
      </c>
      <c r="H27">
        <v>0</v>
      </c>
      <c r="I27">
        <v>228</v>
      </c>
      <c r="J27">
        <v>-805</v>
      </c>
      <c r="L27" s="1">
        <v>41040</v>
      </c>
      <c r="N27" t="s">
        <v>6694</v>
      </c>
      <c r="O27" t="s">
        <v>3507</v>
      </c>
      <c r="P27" t="s">
        <v>8528</v>
      </c>
      <c r="Q27" t="s">
        <v>39</v>
      </c>
      <c r="R27" t="s">
        <v>40</v>
      </c>
      <c r="S27">
        <v>0</v>
      </c>
      <c r="U27" t="s">
        <v>41</v>
      </c>
      <c r="V27" t="s">
        <v>42</v>
      </c>
      <c r="X27" t="s">
        <v>43</v>
      </c>
      <c r="Y27" t="b">
        <v>0</v>
      </c>
      <c r="Z27" t="b">
        <v>0</v>
      </c>
      <c r="AC27" s="1"/>
      <c r="AF27">
        <v>0</v>
      </c>
      <c r="AG27">
        <v>45</v>
      </c>
      <c r="AH27">
        <v>273</v>
      </c>
      <c r="AI27" s="2">
        <f>Table__192.168.3.138BEWLPPMetaData[[#This Row],[NetAmount]]-Table__192.168.3.138BEWLPPMetaData[[#This Row],[Paid]]</f>
        <v>-805</v>
      </c>
    </row>
    <row r="28" spans="1:35" hidden="1">
      <c r="A28" t="s">
        <v>8568</v>
      </c>
      <c r="B28" s="1">
        <v>41059</v>
      </c>
      <c r="C28" s="1">
        <v>41104</v>
      </c>
      <c r="D28" t="s">
        <v>8558</v>
      </c>
      <c r="E28">
        <v>-16335</v>
      </c>
      <c r="F28">
        <v>-2614</v>
      </c>
      <c r="G28">
        <v>0</v>
      </c>
      <c r="H28">
        <v>0</v>
      </c>
      <c r="I28">
        <v>231</v>
      </c>
      <c r="J28">
        <v>-18949</v>
      </c>
      <c r="L28" s="1">
        <v>41037</v>
      </c>
      <c r="N28" t="s">
        <v>6694</v>
      </c>
      <c r="O28" t="s">
        <v>3507</v>
      </c>
      <c r="P28" t="s">
        <v>8559</v>
      </c>
      <c r="Q28" t="s">
        <v>39</v>
      </c>
      <c r="R28" t="s">
        <v>40</v>
      </c>
      <c r="S28">
        <v>0</v>
      </c>
      <c r="U28" t="s">
        <v>41</v>
      </c>
      <c r="V28" t="s">
        <v>42</v>
      </c>
      <c r="X28" t="s">
        <v>43</v>
      </c>
      <c r="Y28" t="b">
        <v>0</v>
      </c>
      <c r="Z28" t="b">
        <v>0</v>
      </c>
      <c r="AC28" s="1"/>
      <c r="AF28">
        <v>0</v>
      </c>
      <c r="AG28">
        <v>45</v>
      </c>
      <c r="AH28">
        <v>276</v>
      </c>
      <c r="AI28" s="2">
        <f>Table__192.168.3.138BEWLPPMetaData[[#This Row],[NetAmount]]-Table__192.168.3.138BEWLPPMetaData[[#This Row],[Paid]]</f>
        <v>-18949</v>
      </c>
    </row>
    <row r="29" spans="1:35" hidden="1">
      <c r="A29" t="s">
        <v>8569</v>
      </c>
      <c r="B29" s="1">
        <v>41052</v>
      </c>
      <c r="C29" s="1">
        <v>41097</v>
      </c>
      <c r="D29" t="s">
        <v>8570</v>
      </c>
      <c r="E29">
        <v>-1892</v>
      </c>
      <c r="F29">
        <v>-303</v>
      </c>
      <c r="G29">
        <v>0</v>
      </c>
      <c r="H29">
        <v>0</v>
      </c>
      <c r="I29">
        <v>228</v>
      </c>
      <c r="J29">
        <v>-2195</v>
      </c>
      <c r="L29" s="1">
        <v>41040</v>
      </c>
      <c r="N29" t="s">
        <v>6694</v>
      </c>
      <c r="O29" t="s">
        <v>3507</v>
      </c>
      <c r="P29" t="s">
        <v>8571</v>
      </c>
      <c r="Q29" t="s">
        <v>39</v>
      </c>
      <c r="R29" t="s">
        <v>40</v>
      </c>
      <c r="S29">
        <v>0</v>
      </c>
      <c r="U29" t="s">
        <v>41</v>
      </c>
      <c r="V29" t="s">
        <v>42</v>
      </c>
      <c r="X29" t="s">
        <v>43</v>
      </c>
      <c r="Y29" t="b">
        <v>0</v>
      </c>
      <c r="Z29" t="b">
        <v>0</v>
      </c>
      <c r="AC29" s="1"/>
      <c r="AF29">
        <v>0</v>
      </c>
      <c r="AG29">
        <v>45</v>
      </c>
      <c r="AH29">
        <v>273</v>
      </c>
      <c r="AI29" s="2">
        <f>Table__192.168.3.138BEWLPPMetaData[[#This Row],[NetAmount]]-Table__192.168.3.138BEWLPPMetaData[[#This Row],[Paid]]</f>
        <v>-2195</v>
      </c>
    </row>
    <row r="30" spans="1:35" hidden="1">
      <c r="A30" t="s">
        <v>8572</v>
      </c>
      <c r="B30" s="1">
        <v>41085</v>
      </c>
      <c r="C30" s="1">
        <v>41130</v>
      </c>
      <c r="D30" t="s">
        <v>8538</v>
      </c>
      <c r="E30">
        <v>-96</v>
      </c>
      <c r="F30">
        <v>-15</v>
      </c>
      <c r="G30">
        <v>0</v>
      </c>
      <c r="H30">
        <v>0</v>
      </c>
      <c r="I30">
        <v>204</v>
      </c>
      <c r="J30">
        <v>-111</v>
      </c>
      <c r="L30" s="1">
        <v>41064</v>
      </c>
      <c r="N30" t="s">
        <v>6694</v>
      </c>
      <c r="O30" t="s">
        <v>3507</v>
      </c>
      <c r="P30" t="s">
        <v>310</v>
      </c>
      <c r="Q30" t="s">
        <v>39</v>
      </c>
      <c r="R30" t="s">
        <v>40</v>
      </c>
      <c r="S30">
        <v>0</v>
      </c>
      <c r="U30" t="s">
        <v>41</v>
      </c>
      <c r="V30" t="s">
        <v>42</v>
      </c>
      <c r="X30" t="s">
        <v>43</v>
      </c>
      <c r="Y30" t="b">
        <v>0</v>
      </c>
      <c r="Z30" t="b">
        <v>0</v>
      </c>
      <c r="AC30" s="1"/>
      <c r="AF30">
        <v>0</v>
      </c>
      <c r="AG30">
        <v>45</v>
      </c>
      <c r="AH30">
        <v>249</v>
      </c>
      <c r="AI30" s="2">
        <f>Table__192.168.3.138BEWLPPMetaData[[#This Row],[NetAmount]]-Table__192.168.3.138BEWLPPMetaData[[#This Row],[Paid]]</f>
        <v>-111</v>
      </c>
    </row>
    <row r="31" spans="1:35" hidden="1">
      <c r="A31" t="s">
        <v>8573</v>
      </c>
      <c r="B31" s="1">
        <v>41089</v>
      </c>
      <c r="C31" s="1">
        <v>41134</v>
      </c>
      <c r="D31" t="s">
        <v>8574</v>
      </c>
      <c r="E31">
        <v>-58116</v>
      </c>
      <c r="F31">
        <v>-9299</v>
      </c>
      <c r="G31">
        <v>0</v>
      </c>
      <c r="H31">
        <v>0</v>
      </c>
      <c r="I31">
        <v>179</v>
      </c>
      <c r="J31">
        <v>-67415</v>
      </c>
      <c r="L31" s="1">
        <v>41089</v>
      </c>
      <c r="N31" t="s">
        <v>6694</v>
      </c>
      <c r="O31" t="s">
        <v>3507</v>
      </c>
      <c r="P31" t="s">
        <v>344</v>
      </c>
      <c r="Q31" t="s">
        <v>39</v>
      </c>
      <c r="R31" t="s">
        <v>40</v>
      </c>
      <c r="S31">
        <v>0</v>
      </c>
      <c r="U31" t="s">
        <v>41</v>
      </c>
      <c r="V31" t="s">
        <v>42</v>
      </c>
      <c r="X31" t="s">
        <v>43</v>
      </c>
      <c r="Y31" t="b">
        <v>0</v>
      </c>
      <c r="Z31" t="b">
        <v>0</v>
      </c>
      <c r="AC31" s="1"/>
      <c r="AF31">
        <v>0</v>
      </c>
      <c r="AG31">
        <v>45</v>
      </c>
      <c r="AH31">
        <v>224</v>
      </c>
      <c r="AI31" s="2">
        <f>Table__192.168.3.138BEWLPPMetaData[[#This Row],[NetAmount]]-Table__192.168.3.138BEWLPPMetaData[[#This Row],[Paid]]</f>
        <v>-67415</v>
      </c>
    </row>
    <row r="32" spans="1:35" hidden="1">
      <c r="A32" t="s">
        <v>8575</v>
      </c>
      <c r="B32" s="1">
        <v>41089</v>
      </c>
      <c r="C32" s="1">
        <v>41134</v>
      </c>
      <c r="D32" t="s">
        <v>8527</v>
      </c>
      <c r="E32">
        <v>-413</v>
      </c>
      <c r="F32">
        <v>-66</v>
      </c>
      <c r="G32">
        <v>0</v>
      </c>
      <c r="H32">
        <v>0</v>
      </c>
      <c r="I32">
        <v>204</v>
      </c>
      <c r="J32">
        <v>-479</v>
      </c>
      <c r="L32" s="1">
        <v>41064</v>
      </c>
      <c r="N32" t="s">
        <v>6694</v>
      </c>
      <c r="O32" t="s">
        <v>3507</v>
      </c>
      <c r="P32" t="s">
        <v>8528</v>
      </c>
      <c r="Q32" t="s">
        <v>39</v>
      </c>
      <c r="R32" t="s">
        <v>40</v>
      </c>
      <c r="S32">
        <v>0</v>
      </c>
      <c r="U32" t="s">
        <v>41</v>
      </c>
      <c r="V32" t="s">
        <v>42</v>
      </c>
      <c r="X32" t="s">
        <v>43</v>
      </c>
      <c r="Y32" t="b">
        <v>0</v>
      </c>
      <c r="Z32" t="b">
        <v>0</v>
      </c>
      <c r="AC32" s="1"/>
      <c r="AF32">
        <v>0</v>
      </c>
      <c r="AG32">
        <v>45</v>
      </c>
      <c r="AH32">
        <v>249</v>
      </c>
      <c r="AI32" s="2">
        <f>Table__192.168.3.138BEWLPPMetaData[[#This Row],[NetAmount]]-Table__192.168.3.138BEWLPPMetaData[[#This Row],[Paid]]</f>
        <v>-479</v>
      </c>
    </row>
    <row r="33" spans="1:35" hidden="1">
      <c r="A33" t="s">
        <v>8576</v>
      </c>
      <c r="B33" s="1">
        <v>41064</v>
      </c>
      <c r="C33" s="1">
        <v>41109</v>
      </c>
      <c r="D33" t="s">
        <v>8577</v>
      </c>
      <c r="E33">
        <v>-127</v>
      </c>
      <c r="F33">
        <v>0</v>
      </c>
      <c r="G33">
        <v>0</v>
      </c>
      <c r="H33">
        <v>0</v>
      </c>
      <c r="I33">
        <v>204</v>
      </c>
      <c r="J33">
        <v>-127</v>
      </c>
      <c r="L33" s="1">
        <v>41064</v>
      </c>
      <c r="M33" t="s">
        <v>8578</v>
      </c>
      <c r="N33" t="s">
        <v>6694</v>
      </c>
      <c r="O33" t="s">
        <v>3507</v>
      </c>
      <c r="P33" t="s">
        <v>8579</v>
      </c>
      <c r="Q33" t="s">
        <v>39</v>
      </c>
      <c r="R33" t="s">
        <v>40</v>
      </c>
      <c r="S33">
        <v>0</v>
      </c>
      <c r="U33" t="s">
        <v>41</v>
      </c>
      <c r="V33" t="s">
        <v>42</v>
      </c>
      <c r="W33" t="s">
        <v>8580</v>
      </c>
      <c r="X33" t="s">
        <v>43</v>
      </c>
      <c r="Y33" t="b">
        <v>0</v>
      </c>
      <c r="Z33" t="b">
        <v>0</v>
      </c>
      <c r="AA33" t="b">
        <v>0</v>
      </c>
      <c r="AC33" s="1"/>
      <c r="AF33">
        <v>0</v>
      </c>
      <c r="AG33">
        <v>45</v>
      </c>
      <c r="AH33">
        <v>249</v>
      </c>
      <c r="AI33" s="2">
        <f>Table__192.168.3.138BEWLPPMetaData[[#This Row],[NetAmount]]-Table__192.168.3.138BEWLPPMetaData[[#This Row],[Paid]]</f>
        <v>-127</v>
      </c>
    </row>
    <row r="34" spans="1:35" hidden="1">
      <c r="A34" t="s">
        <v>8581</v>
      </c>
      <c r="B34" s="1">
        <v>41085</v>
      </c>
      <c r="C34" s="1">
        <v>41130</v>
      </c>
      <c r="D34" t="s">
        <v>8582</v>
      </c>
      <c r="E34">
        <v>-632</v>
      </c>
      <c r="F34">
        <v>-101</v>
      </c>
      <c r="G34">
        <v>0</v>
      </c>
      <c r="H34">
        <v>0</v>
      </c>
      <c r="I34">
        <v>188</v>
      </c>
      <c r="J34">
        <v>-733</v>
      </c>
      <c r="L34" s="1">
        <v>41080</v>
      </c>
      <c r="N34" t="s">
        <v>6694</v>
      </c>
      <c r="O34" t="s">
        <v>3507</v>
      </c>
      <c r="P34" t="s">
        <v>8583</v>
      </c>
      <c r="Q34" t="s">
        <v>39</v>
      </c>
      <c r="R34" t="s">
        <v>40</v>
      </c>
      <c r="S34">
        <v>0</v>
      </c>
      <c r="U34" t="s">
        <v>41</v>
      </c>
      <c r="V34" t="s">
        <v>42</v>
      </c>
      <c r="X34" t="s">
        <v>43</v>
      </c>
      <c r="Y34" t="b">
        <v>0</v>
      </c>
      <c r="Z34" t="b">
        <v>0</v>
      </c>
      <c r="AC34" s="1"/>
      <c r="AF34">
        <v>0</v>
      </c>
      <c r="AG34">
        <v>45</v>
      </c>
      <c r="AH34">
        <v>233</v>
      </c>
      <c r="AI34" s="2">
        <f>Table__192.168.3.138BEWLPPMetaData[[#This Row],[NetAmount]]-Table__192.168.3.138BEWLPPMetaData[[#This Row],[Paid]]</f>
        <v>-733</v>
      </c>
    </row>
    <row r="35" spans="1:35" hidden="1">
      <c r="A35" t="s">
        <v>8584</v>
      </c>
      <c r="B35" s="1">
        <v>41089</v>
      </c>
      <c r="C35" s="1">
        <v>41134</v>
      </c>
      <c r="D35" t="s">
        <v>8524</v>
      </c>
      <c r="E35">
        <v>-103</v>
      </c>
      <c r="F35">
        <v>-16</v>
      </c>
      <c r="G35">
        <v>0</v>
      </c>
      <c r="H35">
        <v>0</v>
      </c>
      <c r="I35">
        <v>179</v>
      </c>
      <c r="J35">
        <v>-119</v>
      </c>
      <c r="L35" s="1">
        <v>41089</v>
      </c>
      <c r="N35" t="s">
        <v>6694</v>
      </c>
      <c r="O35" t="s">
        <v>3507</v>
      </c>
      <c r="P35" t="s">
        <v>8525</v>
      </c>
      <c r="Q35" t="s">
        <v>39</v>
      </c>
      <c r="R35" t="s">
        <v>40</v>
      </c>
      <c r="S35">
        <v>0</v>
      </c>
      <c r="U35" t="s">
        <v>41</v>
      </c>
      <c r="V35" t="s">
        <v>42</v>
      </c>
      <c r="X35" t="s">
        <v>43</v>
      </c>
      <c r="Y35" t="b">
        <v>0</v>
      </c>
      <c r="Z35" t="b">
        <v>0</v>
      </c>
      <c r="AC35" s="1"/>
      <c r="AF35">
        <v>0</v>
      </c>
      <c r="AG35">
        <v>45</v>
      </c>
      <c r="AH35">
        <v>224</v>
      </c>
      <c r="AI35" s="2">
        <f>Table__192.168.3.138BEWLPPMetaData[[#This Row],[NetAmount]]-Table__192.168.3.138BEWLPPMetaData[[#This Row],[Paid]]</f>
        <v>-119</v>
      </c>
    </row>
    <row r="36" spans="1:35" hidden="1">
      <c r="A36" t="s">
        <v>8585</v>
      </c>
      <c r="B36" s="1">
        <v>41085</v>
      </c>
      <c r="C36" s="1">
        <v>41130</v>
      </c>
      <c r="D36" t="s">
        <v>8558</v>
      </c>
      <c r="E36">
        <v>-12375</v>
      </c>
      <c r="F36">
        <v>-1980</v>
      </c>
      <c r="G36">
        <v>0</v>
      </c>
      <c r="H36">
        <v>0</v>
      </c>
      <c r="I36">
        <v>187</v>
      </c>
      <c r="J36">
        <v>-14355</v>
      </c>
      <c r="L36" s="1">
        <v>41081</v>
      </c>
      <c r="N36" t="s">
        <v>6694</v>
      </c>
      <c r="O36" t="s">
        <v>3507</v>
      </c>
      <c r="P36" t="s">
        <v>8559</v>
      </c>
      <c r="Q36" t="s">
        <v>39</v>
      </c>
      <c r="R36" t="s">
        <v>40</v>
      </c>
      <c r="S36">
        <v>0</v>
      </c>
      <c r="U36" t="s">
        <v>41</v>
      </c>
      <c r="V36" t="s">
        <v>42</v>
      </c>
      <c r="X36" t="s">
        <v>43</v>
      </c>
      <c r="Y36" t="b">
        <v>0</v>
      </c>
      <c r="Z36" t="b">
        <v>0</v>
      </c>
      <c r="AC36" s="1"/>
      <c r="AF36">
        <v>0</v>
      </c>
      <c r="AG36">
        <v>45</v>
      </c>
      <c r="AH36">
        <v>232</v>
      </c>
      <c r="AI36" s="2">
        <f>Table__192.168.3.138BEWLPPMetaData[[#This Row],[NetAmount]]-Table__192.168.3.138BEWLPPMetaData[[#This Row],[Paid]]</f>
        <v>-14355</v>
      </c>
    </row>
    <row r="37" spans="1:35" hidden="1">
      <c r="A37" t="s">
        <v>8586</v>
      </c>
      <c r="B37" s="1">
        <v>41089</v>
      </c>
      <c r="C37" s="1">
        <v>41134</v>
      </c>
      <c r="D37" t="s">
        <v>8570</v>
      </c>
      <c r="E37">
        <v>-5144</v>
      </c>
      <c r="F37">
        <v>-823</v>
      </c>
      <c r="G37">
        <v>0</v>
      </c>
      <c r="H37">
        <v>0</v>
      </c>
      <c r="I37">
        <v>203</v>
      </c>
      <c r="J37">
        <v>-5967</v>
      </c>
      <c r="L37" s="1">
        <v>41065</v>
      </c>
      <c r="N37" t="s">
        <v>6694</v>
      </c>
      <c r="O37" t="s">
        <v>3507</v>
      </c>
      <c r="P37" t="s">
        <v>8571</v>
      </c>
      <c r="Q37" t="s">
        <v>39</v>
      </c>
      <c r="R37" t="s">
        <v>40</v>
      </c>
      <c r="S37">
        <v>0</v>
      </c>
      <c r="U37" t="s">
        <v>41</v>
      </c>
      <c r="V37" t="s">
        <v>42</v>
      </c>
      <c r="X37" t="s">
        <v>43</v>
      </c>
      <c r="Y37" t="b">
        <v>0</v>
      </c>
      <c r="Z37" t="b">
        <v>0</v>
      </c>
      <c r="AC37" s="1"/>
      <c r="AF37">
        <v>0</v>
      </c>
      <c r="AG37">
        <v>45</v>
      </c>
      <c r="AH37">
        <v>248</v>
      </c>
      <c r="AI37" s="2">
        <f>Table__192.168.3.138BEWLPPMetaData[[#This Row],[NetAmount]]-Table__192.168.3.138BEWLPPMetaData[[#This Row],[Paid]]</f>
        <v>-5967</v>
      </c>
    </row>
    <row r="38" spans="1:35" hidden="1">
      <c r="A38" t="s">
        <v>8587</v>
      </c>
      <c r="B38" s="1">
        <v>41089</v>
      </c>
      <c r="C38" s="1">
        <v>41134</v>
      </c>
      <c r="D38" t="s">
        <v>8588</v>
      </c>
      <c r="E38">
        <v>-3898</v>
      </c>
      <c r="F38">
        <v>-624</v>
      </c>
      <c r="G38">
        <v>0</v>
      </c>
      <c r="H38">
        <v>0</v>
      </c>
      <c r="I38">
        <v>204</v>
      </c>
      <c r="J38">
        <v>-4522</v>
      </c>
      <c r="L38" s="1">
        <v>41064</v>
      </c>
      <c r="N38" t="s">
        <v>6694</v>
      </c>
      <c r="O38" t="s">
        <v>3507</v>
      </c>
      <c r="P38" t="s">
        <v>8589</v>
      </c>
      <c r="Q38" t="s">
        <v>39</v>
      </c>
      <c r="R38" t="s">
        <v>40</v>
      </c>
      <c r="S38">
        <v>0</v>
      </c>
      <c r="U38" t="s">
        <v>41</v>
      </c>
      <c r="V38" t="s">
        <v>42</v>
      </c>
      <c r="X38" t="s">
        <v>43</v>
      </c>
      <c r="Y38" t="b">
        <v>0</v>
      </c>
      <c r="Z38" t="b">
        <v>0</v>
      </c>
      <c r="AC38" s="1"/>
      <c r="AF38">
        <v>0</v>
      </c>
      <c r="AG38">
        <v>45</v>
      </c>
      <c r="AH38">
        <v>249</v>
      </c>
      <c r="AI38" s="2">
        <f>Table__192.168.3.138BEWLPPMetaData[[#This Row],[NetAmount]]-Table__192.168.3.138BEWLPPMetaData[[#This Row],[Paid]]</f>
        <v>-4522</v>
      </c>
    </row>
    <row r="39" spans="1:35" hidden="1">
      <c r="A39" t="s">
        <v>8590</v>
      </c>
      <c r="B39" s="1">
        <v>41089</v>
      </c>
      <c r="C39" s="1">
        <v>41089</v>
      </c>
      <c r="D39" t="s">
        <v>8591</v>
      </c>
      <c r="E39">
        <v>-585</v>
      </c>
      <c r="F39">
        <v>-94</v>
      </c>
      <c r="G39">
        <v>0</v>
      </c>
      <c r="H39">
        <v>0</v>
      </c>
      <c r="I39">
        <v>0</v>
      </c>
      <c r="J39">
        <v>-679</v>
      </c>
      <c r="L39" s="1">
        <v>41075</v>
      </c>
      <c r="N39" t="s">
        <v>6694</v>
      </c>
      <c r="O39" t="s">
        <v>3507</v>
      </c>
      <c r="P39" t="s">
        <v>425</v>
      </c>
      <c r="Q39" t="s">
        <v>39</v>
      </c>
      <c r="R39" t="s">
        <v>40</v>
      </c>
      <c r="S39">
        <v>0</v>
      </c>
      <c r="U39" t="s">
        <v>41</v>
      </c>
      <c r="V39" t="s">
        <v>42</v>
      </c>
      <c r="X39" t="s">
        <v>43</v>
      </c>
      <c r="Y39" t="b">
        <v>0</v>
      </c>
      <c r="Z39" t="b">
        <v>0</v>
      </c>
      <c r="AC39" s="1"/>
      <c r="AF39">
        <v>0</v>
      </c>
      <c r="AH39">
        <v>238</v>
      </c>
      <c r="AI39" s="2">
        <f>Table__192.168.3.138BEWLPPMetaData[[#This Row],[NetAmount]]-Table__192.168.3.138BEWLPPMetaData[[#This Row],[Paid]]</f>
        <v>-679</v>
      </c>
    </row>
    <row r="40" spans="1:35" hidden="1">
      <c r="A40" t="s">
        <v>8592</v>
      </c>
      <c r="B40" s="1">
        <v>41144</v>
      </c>
      <c r="C40" s="1">
        <v>41189</v>
      </c>
      <c r="D40" t="s">
        <v>8530</v>
      </c>
      <c r="E40">
        <v>-33732</v>
      </c>
      <c r="F40">
        <v>-5397</v>
      </c>
      <c r="G40">
        <v>0</v>
      </c>
      <c r="H40">
        <v>0</v>
      </c>
      <c r="I40">
        <v>136</v>
      </c>
      <c r="J40">
        <v>-39129</v>
      </c>
      <c r="K40" t="s">
        <v>8593</v>
      </c>
      <c r="L40" s="1">
        <v>41132</v>
      </c>
      <c r="N40" t="s">
        <v>5127</v>
      </c>
      <c r="O40" t="s">
        <v>2458</v>
      </c>
      <c r="P40" t="s">
        <v>357</v>
      </c>
      <c r="Q40" t="s">
        <v>39</v>
      </c>
      <c r="R40" t="s">
        <v>40</v>
      </c>
      <c r="S40">
        <v>0</v>
      </c>
      <c r="U40" t="s">
        <v>41</v>
      </c>
      <c r="V40" t="s">
        <v>42</v>
      </c>
      <c r="X40" t="s">
        <v>43</v>
      </c>
      <c r="Y40" t="b">
        <v>0</v>
      </c>
      <c r="Z40" t="b">
        <v>0</v>
      </c>
      <c r="AC40" s="1"/>
      <c r="AF40">
        <v>0</v>
      </c>
      <c r="AG40">
        <v>45</v>
      </c>
      <c r="AH40">
        <v>181</v>
      </c>
      <c r="AI40" s="2">
        <f>Table__192.168.3.138BEWLPPMetaData[[#This Row],[NetAmount]]-Table__192.168.3.138BEWLPPMetaData[[#This Row],[Paid]]</f>
        <v>-39129</v>
      </c>
    </row>
    <row r="41" spans="1:35" hidden="1">
      <c r="A41" t="s">
        <v>8594</v>
      </c>
      <c r="B41" s="1">
        <v>41127</v>
      </c>
      <c r="C41" s="1">
        <v>41172</v>
      </c>
      <c r="D41" t="s">
        <v>8527</v>
      </c>
      <c r="E41">
        <v>-70</v>
      </c>
      <c r="F41">
        <v>-11</v>
      </c>
      <c r="G41">
        <v>0</v>
      </c>
      <c r="H41">
        <v>0</v>
      </c>
      <c r="I41">
        <v>141</v>
      </c>
      <c r="J41">
        <v>-81</v>
      </c>
      <c r="L41" s="1">
        <v>41127</v>
      </c>
      <c r="N41" t="s">
        <v>5127</v>
      </c>
      <c r="O41" t="s">
        <v>2458</v>
      </c>
      <c r="P41" t="s">
        <v>8528</v>
      </c>
      <c r="Q41" t="s">
        <v>39</v>
      </c>
      <c r="R41" t="s">
        <v>40</v>
      </c>
      <c r="S41">
        <v>0</v>
      </c>
      <c r="U41" t="s">
        <v>41</v>
      </c>
      <c r="V41" t="s">
        <v>42</v>
      </c>
      <c r="X41" t="s">
        <v>43</v>
      </c>
      <c r="Y41" t="b">
        <v>0</v>
      </c>
      <c r="Z41" t="b">
        <v>0</v>
      </c>
      <c r="AC41" s="1"/>
      <c r="AF41">
        <v>0</v>
      </c>
      <c r="AG41">
        <v>45</v>
      </c>
      <c r="AH41">
        <v>186</v>
      </c>
      <c r="AI41" s="2">
        <f>Table__192.168.3.138BEWLPPMetaData[[#This Row],[NetAmount]]-Table__192.168.3.138BEWLPPMetaData[[#This Row],[Paid]]</f>
        <v>-81</v>
      </c>
    </row>
    <row r="42" spans="1:35" hidden="1">
      <c r="A42" t="s">
        <v>8595</v>
      </c>
      <c r="B42" s="1">
        <v>41207</v>
      </c>
      <c r="C42" s="1">
        <v>41252</v>
      </c>
      <c r="D42" t="s">
        <v>8527</v>
      </c>
      <c r="E42">
        <v>-42</v>
      </c>
      <c r="F42">
        <v>-7</v>
      </c>
      <c r="G42">
        <v>0</v>
      </c>
      <c r="H42">
        <v>0</v>
      </c>
      <c r="I42">
        <v>61</v>
      </c>
      <c r="J42">
        <v>-49</v>
      </c>
      <c r="K42" t="s">
        <v>8596</v>
      </c>
      <c r="L42" s="1">
        <v>41207</v>
      </c>
      <c r="N42" t="s">
        <v>5127</v>
      </c>
      <c r="O42" t="s">
        <v>2458</v>
      </c>
      <c r="P42" t="s">
        <v>8528</v>
      </c>
      <c r="Q42" t="s">
        <v>39</v>
      </c>
      <c r="R42" t="s">
        <v>40</v>
      </c>
      <c r="S42">
        <v>0</v>
      </c>
      <c r="U42" t="s">
        <v>41</v>
      </c>
      <c r="V42" t="s">
        <v>42</v>
      </c>
      <c r="X42" t="s">
        <v>43</v>
      </c>
      <c r="Y42" t="b">
        <v>0</v>
      </c>
      <c r="Z42" t="b">
        <v>0</v>
      </c>
      <c r="AC42" s="1"/>
      <c r="AF42">
        <v>0</v>
      </c>
      <c r="AG42">
        <v>45</v>
      </c>
      <c r="AH42">
        <v>106</v>
      </c>
      <c r="AI42" s="2">
        <f>Table__192.168.3.138BEWLPPMetaData[[#This Row],[NetAmount]]-Table__192.168.3.138BEWLPPMetaData[[#This Row],[Paid]]</f>
        <v>-49</v>
      </c>
    </row>
    <row r="43" spans="1:35" hidden="1">
      <c r="A43" t="s">
        <v>8597</v>
      </c>
      <c r="B43" s="1">
        <v>41207</v>
      </c>
      <c r="C43" s="1">
        <v>41252</v>
      </c>
      <c r="D43" t="s">
        <v>8598</v>
      </c>
      <c r="E43">
        <v>-893</v>
      </c>
      <c r="F43">
        <v>-143</v>
      </c>
      <c r="G43">
        <v>0</v>
      </c>
      <c r="H43">
        <v>0</v>
      </c>
      <c r="I43">
        <v>172</v>
      </c>
      <c r="J43">
        <v>-1036</v>
      </c>
      <c r="K43" t="s">
        <v>8599</v>
      </c>
      <c r="L43" s="1">
        <v>41096</v>
      </c>
      <c r="M43" t="s">
        <v>8600</v>
      </c>
      <c r="N43" t="s">
        <v>5127</v>
      </c>
      <c r="O43" t="s">
        <v>2458</v>
      </c>
      <c r="P43" t="s">
        <v>369</v>
      </c>
      <c r="Q43" t="s">
        <v>39</v>
      </c>
      <c r="R43" t="s">
        <v>40</v>
      </c>
      <c r="S43">
        <v>0</v>
      </c>
      <c r="U43" t="s">
        <v>41</v>
      </c>
      <c r="V43" t="s">
        <v>42</v>
      </c>
      <c r="W43" t="s">
        <v>8601</v>
      </c>
      <c r="X43" t="s">
        <v>43</v>
      </c>
      <c r="Y43" t="b">
        <v>0</v>
      </c>
      <c r="Z43" t="b">
        <v>0</v>
      </c>
      <c r="AA43" t="b">
        <v>0</v>
      </c>
      <c r="AC43" s="1"/>
      <c r="AF43">
        <v>0</v>
      </c>
      <c r="AG43">
        <v>45</v>
      </c>
      <c r="AH43">
        <v>217</v>
      </c>
      <c r="AI43" s="2">
        <f>Table__192.168.3.138BEWLPPMetaData[[#This Row],[NetAmount]]-Table__192.168.3.138BEWLPPMetaData[[#This Row],[Paid]]</f>
        <v>-1036</v>
      </c>
    </row>
    <row r="44" spans="1:35" hidden="1">
      <c r="A44" t="s">
        <v>8602</v>
      </c>
      <c r="B44" s="1">
        <v>41267</v>
      </c>
      <c r="C44" s="1">
        <v>41312</v>
      </c>
      <c r="D44" t="s">
        <v>8603</v>
      </c>
      <c r="E44">
        <v>-39878</v>
      </c>
      <c r="F44">
        <v>-6380</v>
      </c>
      <c r="G44">
        <v>0</v>
      </c>
      <c r="H44">
        <v>0</v>
      </c>
      <c r="I44">
        <v>26</v>
      </c>
      <c r="J44">
        <v>-46258</v>
      </c>
      <c r="K44" t="s">
        <v>8604</v>
      </c>
      <c r="L44" s="1">
        <v>41242</v>
      </c>
      <c r="N44" t="s">
        <v>5127</v>
      </c>
      <c r="O44" t="s">
        <v>2458</v>
      </c>
      <c r="P44" t="s">
        <v>304</v>
      </c>
      <c r="Q44" t="s">
        <v>39</v>
      </c>
      <c r="R44" t="s">
        <v>40</v>
      </c>
      <c r="S44">
        <v>0</v>
      </c>
      <c r="U44" t="s">
        <v>41</v>
      </c>
      <c r="V44" t="s">
        <v>42</v>
      </c>
      <c r="X44" t="s">
        <v>43</v>
      </c>
      <c r="Y44" t="b">
        <v>0</v>
      </c>
      <c r="Z44" t="b">
        <v>0</v>
      </c>
      <c r="AC44" s="1"/>
      <c r="AF44">
        <v>0</v>
      </c>
      <c r="AG44">
        <v>45</v>
      </c>
      <c r="AH44">
        <v>71</v>
      </c>
      <c r="AI44" s="2">
        <f>Table__192.168.3.138BEWLPPMetaData[[#This Row],[NetAmount]]-Table__192.168.3.138BEWLPPMetaData[[#This Row],[Paid]]</f>
        <v>-46258</v>
      </c>
    </row>
    <row r="45" spans="1:35" hidden="1">
      <c r="A45" t="s">
        <v>8605</v>
      </c>
      <c r="B45" s="1">
        <v>41249</v>
      </c>
      <c r="C45" s="1">
        <v>41294</v>
      </c>
      <c r="D45" t="s">
        <v>8598</v>
      </c>
      <c r="E45">
        <v>-475</v>
      </c>
      <c r="F45">
        <v>-76</v>
      </c>
      <c r="G45">
        <v>0</v>
      </c>
      <c r="H45">
        <v>0</v>
      </c>
      <c r="I45">
        <v>73</v>
      </c>
      <c r="J45">
        <v>-551</v>
      </c>
      <c r="K45" t="s">
        <v>3919</v>
      </c>
      <c r="L45" s="1">
        <v>41195</v>
      </c>
      <c r="M45" t="s">
        <v>8606</v>
      </c>
      <c r="N45" t="s">
        <v>5127</v>
      </c>
      <c r="O45" t="s">
        <v>2458</v>
      </c>
      <c r="P45" t="s">
        <v>369</v>
      </c>
      <c r="Q45" t="s">
        <v>39</v>
      </c>
      <c r="R45" t="s">
        <v>40</v>
      </c>
      <c r="S45">
        <v>0</v>
      </c>
      <c r="U45" t="s">
        <v>41</v>
      </c>
      <c r="V45" t="s">
        <v>42</v>
      </c>
      <c r="W45" t="s">
        <v>8607</v>
      </c>
      <c r="X45" t="s">
        <v>43</v>
      </c>
      <c r="Y45" t="b">
        <v>0</v>
      </c>
      <c r="Z45" t="b">
        <v>0</v>
      </c>
      <c r="AA45" t="b">
        <v>0</v>
      </c>
      <c r="AC45" s="1"/>
      <c r="AF45">
        <v>0</v>
      </c>
      <c r="AG45">
        <v>45</v>
      </c>
      <c r="AH45">
        <v>118</v>
      </c>
      <c r="AI45" s="2">
        <f>Table__192.168.3.138BEWLPPMetaData[[#This Row],[NetAmount]]-Table__192.168.3.138BEWLPPMetaData[[#This Row],[Paid]]</f>
        <v>-551</v>
      </c>
    </row>
    <row r="46" spans="1:35" hidden="1">
      <c r="A46" t="s">
        <v>8608</v>
      </c>
      <c r="B46" s="1">
        <v>41249</v>
      </c>
      <c r="C46" s="1">
        <v>41294</v>
      </c>
      <c r="D46" t="s">
        <v>8609</v>
      </c>
      <c r="E46">
        <v>-5400</v>
      </c>
      <c r="F46">
        <v>-864</v>
      </c>
      <c r="G46">
        <v>0</v>
      </c>
      <c r="H46">
        <v>0</v>
      </c>
      <c r="I46">
        <v>55</v>
      </c>
      <c r="J46">
        <v>-6264</v>
      </c>
      <c r="K46" t="s">
        <v>802</v>
      </c>
      <c r="L46" s="1">
        <v>41213</v>
      </c>
      <c r="N46" t="s">
        <v>5127</v>
      </c>
      <c r="O46" t="s">
        <v>2458</v>
      </c>
      <c r="P46" t="s">
        <v>399</v>
      </c>
      <c r="Q46" t="s">
        <v>39</v>
      </c>
      <c r="R46" t="s">
        <v>40</v>
      </c>
      <c r="S46">
        <v>0</v>
      </c>
      <c r="U46" t="s">
        <v>41</v>
      </c>
      <c r="V46" t="s">
        <v>42</v>
      </c>
      <c r="X46" t="s">
        <v>43</v>
      </c>
      <c r="Y46" t="b">
        <v>0</v>
      </c>
      <c r="Z46" t="b">
        <v>0</v>
      </c>
      <c r="AC46" s="1"/>
      <c r="AF46">
        <v>0</v>
      </c>
      <c r="AG46">
        <v>45</v>
      </c>
      <c r="AH46">
        <v>100</v>
      </c>
      <c r="AI46" s="2">
        <f>Table__192.168.3.138BEWLPPMetaData[[#This Row],[NetAmount]]-Table__192.168.3.138BEWLPPMetaData[[#This Row],[Paid]]</f>
        <v>-6264</v>
      </c>
    </row>
    <row r="47" spans="1:35" hidden="1">
      <c r="A47" t="s">
        <v>8610</v>
      </c>
      <c r="B47" s="1">
        <v>41113</v>
      </c>
      <c r="C47" s="1">
        <v>41158</v>
      </c>
      <c r="D47" t="s">
        <v>8611</v>
      </c>
      <c r="E47">
        <v>-1563</v>
      </c>
      <c r="F47">
        <v>-250</v>
      </c>
      <c r="G47">
        <v>0</v>
      </c>
      <c r="H47">
        <v>0</v>
      </c>
      <c r="I47">
        <v>169</v>
      </c>
      <c r="J47">
        <v>-1813</v>
      </c>
      <c r="L47" s="1">
        <v>41099</v>
      </c>
      <c r="N47" t="s">
        <v>6694</v>
      </c>
      <c r="O47" t="s">
        <v>3507</v>
      </c>
      <c r="P47" t="s">
        <v>8612</v>
      </c>
      <c r="Q47" t="s">
        <v>39</v>
      </c>
      <c r="R47" t="s">
        <v>40</v>
      </c>
      <c r="S47">
        <v>0</v>
      </c>
      <c r="U47" t="s">
        <v>41</v>
      </c>
      <c r="V47" t="s">
        <v>42</v>
      </c>
      <c r="X47" t="s">
        <v>43</v>
      </c>
      <c r="Y47" t="b">
        <v>0</v>
      </c>
      <c r="Z47" t="b">
        <v>0</v>
      </c>
      <c r="AC47" s="1"/>
      <c r="AF47">
        <v>0</v>
      </c>
      <c r="AG47">
        <v>45</v>
      </c>
      <c r="AH47">
        <v>214</v>
      </c>
      <c r="AI47" s="2">
        <f>Table__192.168.3.138BEWLPPMetaData[[#This Row],[NetAmount]]-Table__192.168.3.138BEWLPPMetaData[[#This Row],[Paid]]</f>
        <v>-1813</v>
      </c>
    </row>
    <row r="48" spans="1:35" hidden="1">
      <c r="A48" t="s">
        <v>8613</v>
      </c>
      <c r="B48" s="1">
        <v>41120</v>
      </c>
      <c r="C48" s="1">
        <v>41165</v>
      </c>
      <c r="D48" t="s">
        <v>5529</v>
      </c>
      <c r="E48">
        <v>-1061</v>
      </c>
      <c r="F48">
        <v>-170</v>
      </c>
      <c r="G48">
        <v>0</v>
      </c>
      <c r="H48">
        <v>0</v>
      </c>
      <c r="I48">
        <v>-187</v>
      </c>
      <c r="J48">
        <v>-1231</v>
      </c>
      <c r="L48" s="1">
        <v>41455</v>
      </c>
      <c r="N48" t="s">
        <v>6694</v>
      </c>
      <c r="O48" t="s">
        <v>3507</v>
      </c>
      <c r="P48" t="s">
        <v>8614</v>
      </c>
      <c r="Q48" t="s">
        <v>39</v>
      </c>
      <c r="R48" t="s">
        <v>40</v>
      </c>
      <c r="S48">
        <v>0</v>
      </c>
      <c r="U48" t="s">
        <v>41</v>
      </c>
      <c r="V48" t="s">
        <v>42</v>
      </c>
      <c r="X48" t="s">
        <v>43</v>
      </c>
      <c r="Y48" t="b">
        <v>0</v>
      </c>
      <c r="Z48" t="b">
        <v>0</v>
      </c>
      <c r="AC48" s="1"/>
      <c r="AF48">
        <v>0</v>
      </c>
      <c r="AG48">
        <v>45</v>
      </c>
      <c r="AH48">
        <v>-142</v>
      </c>
      <c r="AI48" s="2">
        <f>Table__192.168.3.138BEWLPPMetaData[[#This Row],[NetAmount]]-Table__192.168.3.138BEWLPPMetaData[[#This Row],[Paid]]</f>
        <v>-1231</v>
      </c>
    </row>
    <row r="49" spans="1:35" hidden="1">
      <c r="A49" t="s">
        <v>8615</v>
      </c>
      <c r="B49" s="1">
        <v>41113</v>
      </c>
      <c r="C49" s="1">
        <v>41158</v>
      </c>
      <c r="D49" t="s">
        <v>8616</v>
      </c>
      <c r="E49">
        <v>-12350</v>
      </c>
      <c r="F49">
        <v>-1976</v>
      </c>
      <c r="G49">
        <v>0</v>
      </c>
      <c r="H49">
        <v>0</v>
      </c>
      <c r="I49">
        <v>169</v>
      </c>
      <c r="J49">
        <v>-14326</v>
      </c>
      <c r="L49" s="1">
        <v>41099</v>
      </c>
      <c r="N49" t="s">
        <v>6694</v>
      </c>
      <c r="O49" t="s">
        <v>3507</v>
      </c>
      <c r="P49" t="s">
        <v>375</v>
      </c>
      <c r="Q49" t="s">
        <v>39</v>
      </c>
      <c r="R49" t="s">
        <v>40</v>
      </c>
      <c r="S49">
        <v>0</v>
      </c>
      <c r="U49" t="s">
        <v>41</v>
      </c>
      <c r="V49" t="s">
        <v>42</v>
      </c>
      <c r="X49" t="s">
        <v>43</v>
      </c>
      <c r="Y49" t="b">
        <v>0</v>
      </c>
      <c r="Z49" t="b">
        <v>0</v>
      </c>
      <c r="AB49" t="s">
        <v>8617</v>
      </c>
      <c r="AC49" s="1">
        <v>41190</v>
      </c>
      <c r="AF49">
        <v>0</v>
      </c>
      <c r="AG49">
        <v>45</v>
      </c>
      <c r="AH49">
        <v>214</v>
      </c>
      <c r="AI49" s="2">
        <f>Table__192.168.3.138BEWLPPMetaData[[#This Row],[NetAmount]]-Table__192.168.3.138BEWLPPMetaData[[#This Row],[Paid]]</f>
        <v>-14326</v>
      </c>
    </row>
    <row r="50" spans="1:35" hidden="1">
      <c r="A50" t="s">
        <v>8618</v>
      </c>
      <c r="B50" s="1">
        <v>41113</v>
      </c>
      <c r="C50" s="1">
        <v>41158</v>
      </c>
      <c r="D50" t="s">
        <v>8563</v>
      </c>
      <c r="E50">
        <v>-28710</v>
      </c>
      <c r="F50">
        <v>-4594</v>
      </c>
      <c r="G50">
        <v>0</v>
      </c>
      <c r="H50">
        <v>0</v>
      </c>
      <c r="I50">
        <v>169</v>
      </c>
      <c r="J50">
        <v>-33304</v>
      </c>
      <c r="L50" s="1">
        <v>41099</v>
      </c>
      <c r="N50" t="s">
        <v>6694</v>
      </c>
      <c r="O50" t="s">
        <v>3507</v>
      </c>
      <c r="P50" t="s">
        <v>409</v>
      </c>
      <c r="Q50" t="s">
        <v>39</v>
      </c>
      <c r="R50" t="s">
        <v>40</v>
      </c>
      <c r="S50">
        <v>0</v>
      </c>
      <c r="U50" t="s">
        <v>41</v>
      </c>
      <c r="V50" t="s">
        <v>42</v>
      </c>
      <c r="X50" t="s">
        <v>43</v>
      </c>
      <c r="Y50" t="b">
        <v>0</v>
      </c>
      <c r="Z50" t="b">
        <v>0</v>
      </c>
      <c r="AC50" s="1"/>
      <c r="AF50">
        <v>0</v>
      </c>
      <c r="AG50">
        <v>45</v>
      </c>
      <c r="AH50">
        <v>214</v>
      </c>
      <c r="AI50" s="2">
        <f>Table__192.168.3.138BEWLPPMetaData[[#This Row],[NetAmount]]-Table__192.168.3.138BEWLPPMetaData[[#This Row],[Paid]]</f>
        <v>-33304</v>
      </c>
    </row>
    <row r="51" spans="1:35" hidden="1">
      <c r="A51" t="s">
        <v>8619</v>
      </c>
      <c r="B51" s="1">
        <v>41113</v>
      </c>
      <c r="C51" s="1">
        <v>41158</v>
      </c>
      <c r="D51" t="s">
        <v>8527</v>
      </c>
      <c r="E51">
        <v>-58</v>
      </c>
      <c r="F51">
        <v>-9</v>
      </c>
      <c r="G51">
        <v>0</v>
      </c>
      <c r="H51">
        <v>0</v>
      </c>
      <c r="I51">
        <v>-187</v>
      </c>
      <c r="J51">
        <v>-67</v>
      </c>
      <c r="L51" s="1">
        <v>41455</v>
      </c>
      <c r="N51" t="s">
        <v>6694</v>
      </c>
      <c r="O51" t="s">
        <v>3507</v>
      </c>
      <c r="P51" t="s">
        <v>8528</v>
      </c>
      <c r="Q51" t="s">
        <v>39</v>
      </c>
      <c r="R51" t="s">
        <v>40</v>
      </c>
      <c r="S51">
        <v>0</v>
      </c>
      <c r="U51" t="s">
        <v>41</v>
      </c>
      <c r="V51" t="s">
        <v>42</v>
      </c>
      <c r="X51" t="s">
        <v>43</v>
      </c>
      <c r="Y51" t="b">
        <v>0</v>
      </c>
      <c r="Z51" t="b">
        <v>0</v>
      </c>
      <c r="AC51" s="1"/>
      <c r="AF51">
        <v>0</v>
      </c>
      <c r="AG51">
        <v>45</v>
      </c>
      <c r="AH51">
        <v>-142</v>
      </c>
      <c r="AI51" s="2">
        <f>Table__192.168.3.138BEWLPPMetaData[[#This Row],[NetAmount]]-Table__192.168.3.138BEWLPPMetaData[[#This Row],[Paid]]</f>
        <v>-67</v>
      </c>
    </row>
    <row r="52" spans="1:35" hidden="1">
      <c r="A52" t="s">
        <v>8620</v>
      </c>
      <c r="B52" s="1">
        <v>41120</v>
      </c>
      <c r="C52" s="1">
        <v>41165</v>
      </c>
      <c r="D52" t="s">
        <v>8611</v>
      </c>
      <c r="E52">
        <v>-123</v>
      </c>
      <c r="F52">
        <v>-20</v>
      </c>
      <c r="G52">
        <v>0</v>
      </c>
      <c r="H52">
        <v>0</v>
      </c>
      <c r="I52">
        <v>-187</v>
      </c>
      <c r="J52">
        <v>-143</v>
      </c>
      <c r="L52" s="1">
        <v>41455</v>
      </c>
      <c r="N52" t="s">
        <v>6694</v>
      </c>
      <c r="O52" t="s">
        <v>3507</v>
      </c>
      <c r="P52" t="s">
        <v>8612</v>
      </c>
      <c r="Q52" t="s">
        <v>39</v>
      </c>
      <c r="R52" t="s">
        <v>40</v>
      </c>
      <c r="S52">
        <v>0</v>
      </c>
      <c r="U52" t="s">
        <v>41</v>
      </c>
      <c r="V52" t="s">
        <v>42</v>
      </c>
      <c r="X52" t="s">
        <v>43</v>
      </c>
      <c r="Y52" t="b">
        <v>0</v>
      </c>
      <c r="Z52" t="b">
        <v>0</v>
      </c>
      <c r="AC52" s="1"/>
      <c r="AF52">
        <v>0</v>
      </c>
      <c r="AG52">
        <v>45</v>
      </c>
      <c r="AH52">
        <v>-142</v>
      </c>
      <c r="AI52" s="2">
        <f>Table__192.168.3.138BEWLPPMetaData[[#This Row],[NetAmount]]-Table__192.168.3.138BEWLPPMetaData[[#This Row],[Paid]]</f>
        <v>-143</v>
      </c>
    </row>
    <row r="53" spans="1:35" hidden="1">
      <c r="A53" t="s">
        <v>8621</v>
      </c>
      <c r="B53" s="1">
        <v>41113</v>
      </c>
      <c r="C53" s="1">
        <v>41158</v>
      </c>
      <c r="D53" t="s">
        <v>8577</v>
      </c>
      <c r="E53">
        <v>-82</v>
      </c>
      <c r="F53">
        <v>0</v>
      </c>
      <c r="G53">
        <v>0</v>
      </c>
      <c r="H53">
        <v>0</v>
      </c>
      <c r="I53">
        <v>-187</v>
      </c>
      <c r="J53">
        <v>-82</v>
      </c>
      <c r="L53" s="1">
        <v>41455</v>
      </c>
      <c r="N53" t="s">
        <v>6694</v>
      </c>
      <c r="O53" t="s">
        <v>3507</v>
      </c>
      <c r="P53" t="s">
        <v>8579</v>
      </c>
      <c r="Q53" t="s">
        <v>39</v>
      </c>
      <c r="R53" t="s">
        <v>40</v>
      </c>
      <c r="S53">
        <v>0</v>
      </c>
      <c r="U53" t="s">
        <v>41</v>
      </c>
      <c r="V53" t="s">
        <v>42</v>
      </c>
      <c r="X53" t="s">
        <v>43</v>
      </c>
      <c r="Y53" t="b">
        <v>0</v>
      </c>
      <c r="Z53" t="b">
        <v>0</v>
      </c>
      <c r="AC53" s="1"/>
      <c r="AF53">
        <v>0</v>
      </c>
      <c r="AG53">
        <v>45</v>
      </c>
      <c r="AH53">
        <v>-142</v>
      </c>
      <c r="AI53" s="2">
        <f>Table__192.168.3.138BEWLPPMetaData[[#This Row],[NetAmount]]-Table__192.168.3.138BEWLPPMetaData[[#This Row],[Paid]]</f>
        <v>-82</v>
      </c>
    </row>
    <row r="54" spans="1:35" hidden="1">
      <c r="A54" t="s">
        <v>8622</v>
      </c>
      <c r="B54" s="1">
        <v>41120</v>
      </c>
      <c r="C54" s="1">
        <v>41165</v>
      </c>
      <c r="D54" t="s">
        <v>5509</v>
      </c>
      <c r="E54">
        <v>-6850</v>
      </c>
      <c r="F54">
        <v>-1096</v>
      </c>
      <c r="G54">
        <v>0</v>
      </c>
      <c r="H54">
        <v>0</v>
      </c>
      <c r="I54">
        <v>-187</v>
      </c>
      <c r="J54">
        <v>-7946</v>
      </c>
      <c r="L54" s="1">
        <v>41455</v>
      </c>
      <c r="N54" t="s">
        <v>6694</v>
      </c>
      <c r="O54" t="s">
        <v>3507</v>
      </c>
      <c r="P54" t="s">
        <v>354</v>
      </c>
      <c r="Q54" t="s">
        <v>39</v>
      </c>
      <c r="R54" t="s">
        <v>40</v>
      </c>
      <c r="S54">
        <v>0</v>
      </c>
      <c r="U54" t="s">
        <v>41</v>
      </c>
      <c r="V54" t="s">
        <v>42</v>
      </c>
      <c r="X54" t="s">
        <v>43</v>
      </c>
      <c r="Y54" t="b">
        <v>0</v>
      </c>
      <c r="Z54" t="b">
        <v>0</v>
      </c>
      <c r="AB54" t="s">
        <v>1824</v>
      </c>
      <c r="AC54" s="1">
        <v>41219</v>
      </c>
      <c r="AE54" t="s">
        <v>8623</v>
      </c>
      <c r="AF54">
        <v>0</v>
      </c>
      <c r="AG54">
        <v>45</v>
      </c>
      <c r="AH54">
        <v>-142</v>
      </c>
      <c r="AI54" s="2">
        <f>Table__192.168.3.138BEWLPPMetaData[[#This Row],[NetAmount]]-Table__192.168.3.138BEWLPPMetaData[[#This Row],[Paid]]</f>
        <v>-7946</v>
      </c>
    </row>
    <row r="55" spans="1:35" hidden="1">
      <c r="A55" t="s">
        <v>8624</v>
      </c>
      <c r="B55" s="1">
        <v>41113</v>
      </c>
      <c r="C55" s="1">
        <v>41158</v>
      </c>
      <c r="D55" t="s">
        <v>8570</v>
      </c>
      <c r="E55">
        <v>-5117</v>
      </c>
      <c r="F55">
        <v>-819</v>
      </c>
      <c r="G55">
        <v>0</v>
      </c>
      <c r="H55">
        <v>0</v>
      </c>
      <c r="I55">
        <v>155</v>
      </c>
      <c r="J55">
        <v>-5936</v>
      </c>
      <c r="L55" s="1">
        <v>41113</v>
      </c>
      <c r="N55" t="s">
        <v>6694</v>
      </c>
      <c r="O55" t="s">
        <v>3507</v>
      </c>
      <c r="P55" t="s">
        <v>8571</v>
      </c>
      <c r="Q55" t="s">
        <v>39</v>
      </c>
      <c r="R55" t="s">
        <v>40</v>
      </c>
      <c r="S55">
        <v>0</v>
      </c>
      <c r="U55" t="s">
        <v>41</v>
      </c>
      <c r="V55" t="s">
        <v>42</v>
      </c>
      <c r="X55" t="s">
        <v>43</v>
      </c>
      <c r="Y55" t="b">
        <v>0</v>
      </c>
      <c r="Z55" t="b">
        <v>0</v>
      </c>
      <c r="AC55" s="1"/>
      <c r="AF55">
        <v>0</v>
      </c>
      <c r="AG55">
        <v>45</v>
      </c>
      <c r="AH55">
        <v>200</v>
      </c>
      <c r="AI55" s="2">
        <f>Table__192.168.3.138BEWLPPMetaData[[#This Row],[NetAmount]]-Table__192.168.3.138BEWLPPMetaData[[#This Row],[Paid]]</f>
        <v>-5936</v>
      </c>
    </row>
    <row r="56" spans="1:35" hidden="1">
      <c r="A56" t="s">
        <v>8625</v>
      </c>
      <c r="B56" s="1">
        <v>41113</v>
      </c>
      <c r="C56" s="1">
        <v>41158</v>
      </c>
      <c r="D56" t="s">
        <v>8616</v>
      </c>
      <c r="E56">
        <v>-3740</v>
      </c>
      <c r="F56">
        <v>-598</v>
      </c>
      <c r="G56">
        <v>0</v>
      </c>
      <c r="H56">
        <v>0</v>
      </c>
      <c r="I56">
        <v>-187</v>
      </c>
      <c r="J56">
        <v>-4338</v>
      </c>
      <c r="L56" s="1">
        <v>41455</v>
      </c>
      <c r="N56" t="s">
        <v>6694</v>
      </c>
      <c r="O56" t="s">
        <v>3507</v>
      </c>
      <c r="P56" t="s">
        <v>375</v>
      </c>
      <c r="Q56" t="s">
        <v>39</v>
      </c>
      <c r="R56" t="s">
        <v>40</v>
      </c>
      <c r="S56">
        <v>0</v>
      </c>
      <c r="U56" t="s">
        <v>41</v>
      </c>
      <c r="V56" t="s">
        <v>42</v>
      </c>
      <c r="X56" t="s">
        <v>43</v>
      </c>
      <c r="Y56" t="b">
        <v>0</v>
      </c>
      <c r="Z56" t="b">
        <v>0</v>
      </c>
      <c r="AB56" t="s">
        <v>8617</v>
      </c>
      <c r="AC56" s="1">
        <v>41190</v>
      </c>
      <c r="AF56">
        <v>0</v>
      </c>
      <c r="AG56">
        <v>45</v>
      </c>
      <c r="AH56">
        <v>-142</v>
      </c>
      <c r="AI56" s="2">
        <f>Table__192.168.3.138BEWLPPMetaData[[#This Row],[NetAmount]]-Table__192.168.3.138BEWLPPMetaData[[#This Row],[Paid]]</f>
        <v>-4338</v>
      </c>
    </row>
    <row r="57" spans="1:35" hidden="1">
      <c r="A57" t="s">
        <v>8626</v>
      </c>
      <c r="B57" s="1">
        <v>41149</v>
      </c>
      <c r="C57" s="1">
        <v>41194</v>
      </c>
      <c r="D57" t="s">
        <v>8538</v>
      </c>
      <c r="E57">
        <v>-158</v>
      </c>
      <c r="F57">
        <v>-25</v>
      </c>
      <c r="G57">
        <v>0</v>
      </c>
      <c r="H57">
        <v>0</v>
      </c>
      <c r="I57">
        <v>-187</v>
      </c>
      <c r="J57">
        <v>-183</v>
      </c>
      <c r="L57" s="1">
        <v>41455</v>
      </c>
      <c r="N57" t="s">
        <v>6694</v>
      </c>
      <c r="O57" t="s">
        <v>3507</v>
      </c>
      <c r="P57" t="s">
        <v>310</v>
      </c>
      <c r="Q57" t="s">
        <v>39</v>
      </c>
      <c r="R57" t="s">
        <v>40</v>
      </c>
      <c r="S57">
        <v>0</v>
      </c>
      <c r="U57" t="s">
        <v>41</v>
      </c>
      <c r="V57" t="s">
        <v>42</v>
      </c>
      <c r="X57" t="s">
        <v>43</v>
      </c>
      <c r="Y57" t="b">
        <v>0</v>
      </c>
      <c r="Z57" t="b">
        <v>0</v>
      </c>
      <c r="AC57" s="1"/>
      <c r="AF57">
        <v>0</v>
      </c>
      <c r="AG57">
        <v>45</v>
      </c>
      <c r="AH57">
        <v>-142</v>
      </c>
      <c r="AI57" s="2">
        <f>Table__192.168.3.138BEWLPPMetaData[[#This Row],[NetAmount]]-Table__192.168.3.138BEWLPPMetaData[[#This Row],[Paid]]</f>
        <v>-183</v>
      </c>
    </row>
    <row r="58" spans="1:35" hidden="1">
      <c r="A58" t="s">
        <v>8627</v>
      </c>
      <c r="B58" s="1">
        <v>41149</v>
      </c>
      <c r="C58" s="1">
        <v>41194</v>
      </c>
      <c r="D58" t="s">
        <v>8527</v>
      </c>
      <c r="E58">
        <v>-830</v>
      </c>
      <c r="F58">
        <v>-133</v>
      </c>
      <c r="G58">
        <v>0</v>
      </c>
      <c r="H58">
        <v>0</v>
      </c>
      <c r="I58">
        <v>-187</v>
      </c>
      <c r="J58">
        <v>-963</v>
      </c>
      <c r="L58" s="1">
        <v>41455</v>
      </c>
      <c r="N58" t="s">
        <v>6694</v>
      </c>
      <c r="O58" t="s">
        <v>3507</v>
      </c>
      <c r="P58" t="s">
        <v>8528</v>
      </c>
      <c r="Q58" t="s">
        <v>39</v>
      </c>
      <c r="R58" t="s">
        <v>40</v>
      </c>
      <c r="S58">
        <v>0</v>
      </c>
      <c r="U58" t="s">
        <v>41</v>
      </c>
      <c r="V58" t="s">
        <v>42</v>
      </c>
      <c r="X58" t="s">
        <v>43</v>
      </c>
      <c r="Y58" t="b">
        <v>0</v>
      </c>
      <c r="Z58" t="b">
        <v>0</v>
      </c>
      <c r="AC58" s="1"/>
      <c r="AF58">
        <v>0</v>
      </c>
      <c r="AG58">
        <v>45</v>
      </c>
      <c r="AH58">
        <v>-142</v>
      </c>
      <c r="AI58" s="2">
        <f>Table__192.168.3.138BEWLPPMetaData[[#This Row],[NetAmount]]-Table__192.168.3.138BEWLPPMetaData[[#This Row],[Paid]]</f>
        <v>-963</v>
      </c>
    </row>
    <row r="59" spans="1:35" hidden="1">
      <c r="A59" t="s">
        <v>8628</v>
      </c>
      <c r="B59" s="1">
        <v>41149</v>
      </c>
      <c r="C59" s="1">
        <v>41194</v>
      </c>
      <c r="D59" t="s">
        <v>8611</v>
      </c>
      <c r="E59">
        <v>-4515</v>
      </c>
      <c r="F59">
        <v>-722</v>
      </c>
      <c r="G59">
        <v>0</v>
      </c>
      <c r="H59">
        <v>0</v>
      </c>
      <c r="I59">
        <v>-187</v>
      </c>
      <c r="J59">
        <v>-5237</v>
      </c>
      <c r="L59" s="1">
        <v>41455</v>
      </c>
      <c r="N59" t="s">
        <v>6694</v>
      </c>
      <c r="O59" t="s">
        <v>3507</v>
      </c>
      <c r="P59" t="s">
        <v>8612</v>
      </c>
      <c r="Q59" t="s">
        <v>39</v>
      </c>
      <c r="R59" t="s">
        <v>40</v>
      </c>
      <c r="S59">
        <v>0</v>
      </c>
      <c r="U59" t="s">
        <v>41</v>
      </c>
      <c r="V59" t="s">
        <v>42</v>
      </c>
      <c r="X59" t="s">
        <v>43</v>
      </c>
      <c r="Y59" t="b">
        <v>0</v>
      </c>
      <c r="Z59" t="b">
        <v>0</v>
      </c>
      <c r="AC59" s="1"/>
      <c r="AF59">
        <v>0</v>
      </c>
      <c r="AG59">
        <v>45</v>
      </c>
      <c r="AH59">
        <v>-142</v>
      </c>
      <c r="AI59" s="2">
        <f>Table__192.168.3.138BEWLPPMetaData[[#This Row],[NetAmount]]-Table__192.168.3.138BEWLPPMetaData[[#This Row],[Paid]]</f>
        <v>-5237</v>
      </c>
    </row>
    <row r="60" spans="1:35" hidden="1">
      <c r="A60" t="s">
        <v>8629</v>
      </c>
      <c r="B60" s="1">
        <v>41136</v>
      </c>
      <c r="C60" s="1">
        <v>41181</v>
      </c>
      <c r="D60" t="s">
        <v>8630</v>
      </c>
      <c r="E60">
        <v>-15449</v>
      </c>
      <c r="F60">
        <v>-2472</v>
      </c>
      <c r="G60">
        <v>0</v>
      </c>
      <c r="H60">
        <v>0</v>
      </c>
      <c r="I60">
        <v>-187</v>
      </c>
      <c r="J60">
        <v>-17921</v>
      </c>
      <c r="L60" s="1">
        <v>41455</v>
      </c>
      <c r="N60" t="s">
        <v>6694</v>
      </c>
      <c r="O60" t="s">
        <v>3507</v>
      </c>
      <c r="P60" t="s">
        <v>363</v>
      </c>
      <c r="Q60" t="s">
        <v>39</v>
      </c>
      <c r="R60" t="s">
        <v>40</v>
      </c>
      <c r="S60">
        <v>0</v>
      </c>
      <c r="U60" t="s">
        <v>41</v>
      </c>
      <c r="V60" t="s">
        <v>42</v>
      </c>
      <c r="X60" t="s">
        <v>43</v>
      </c>
      <c r="Y60" t="b">
        <v>0</v>
      </c>
      <c r="Z60" t="b">
        <v>0</v>
      </c>
      <c r="AC60" s="1"/>
      <c r="AF60">
        <v>0</v>
      </c>
      <c r="AG60">
        <v>45</v>
      </c>
      <c r="AH60">
        <v>-142</v>
      </c>
      <c r="AI60" s="2">
        <f>Table__192.168.3.138BEWLPPMetaData[[#This Row],[NetAmount]]-Table__192.168.3.138BEWLPPMetaData[[#This Row],[Paid]]</f>
        <v>-17921</v>
      </c>
    </row>
    <row r="61" spans="1:35" hidden="1">
      <c r="A61" t="s">
        <v>8631</v>
      </c>
      <c r="B61" s="1">
        <v>41123</v>
      </c>
      <c r="C61" s="1">
        <v>41168</v>
      </c>
      <c r="D61" t="s">
        <v>8547</v>
      </c>
      <c r="E61">
        <v>-167</v>
      </c>
      <c r="F61">
        <v>-27</v>
      </c>
      <c r="G61">
        <v>0</v>
      </c>
      <c r="H61">
        <v>0</v>
      </c>
      <c r="I61">
        <v>-187</v>
      </c>
      <c r="J61">
        <v>-194</v>
      </c>
      <c r="L61" s="1">
        <v>41455</v>
      </c>
      <c r="N61" t="s">
        <v>6694</v>
      </c>
      <c r="O61" t="s">
        <v>3507</v>
      </c>
      <c r="P61" t="s">
        <v>8548</v>
      </c>
      <c r="Q61" t="s">
        <v>39</v>
      </c>
      <c r="R61" t="s">
        <v>40</v>
      </c>
      <c r="S61">
        <v>0</v>
      </c>
      <c r="U61" t="s">
        <v>41</v>
      </c>
      <c r="V61" t="s">
        <v>42</v>
      </c>
      <c r="X61" t="s">
        <v>43</v>
      </c>
      <c r="Y61" t="b">
        <v>0</v>
      </c>
      <c r="Z61" t="b">
        <v>0</v>
      </c>
      <c r="AC61" s="1"/>
      <c r="AF61">
        <v>0</v>
      </c>
      <c r="AG61">
        <v>45</v>
      </c>
      <c r="AH61">
        <v>-142</v>
      </c>
      <c r="AI61" s="2">
        <f>Table__192.168.3.138BEWLPPMetaData[[#This Row],[NetAmount]]-Table__192.168.3.138BEWLPPMetaData[[#This Row],[Paid]]</f>
        <v>-194</v>
      </c>
    </row>
    <row r="62" spans="1:35" hidden="1">
      <c r="A62" t="s">
        <v>8632</v>
      </c>
      <c r="B62" s="1">
        <v>41149</v>
      </c>
      <c r="C62" s="1">
        <v>41194</v>
      </c>
      <c r="D62" t="s">
        <v>8570</v>
      </c>
      <c r="E62">
        <v>-2573</v>
      </c>
      <c r="F62">
        <v>-412</v>
      </c>
      <c r="G62">
        <v>0</v>
      </c>
      <c r="H62">
        <v>0</v>
      </c>
      <c r="I62">
        <v>-187</v>
      </c>
      <c r="J62">
        <v>-2985</v>
      </c>
      <c r="L62" s="1">
        <v>41455</v>
      </c>
      <c r="N62" t="s">
        <v>6694</v>
      </c>
      <c r="O62" t="s">
        <v>3507</v>
      </c>
      <c r="P62" t="s">
        <v>8571</v>
      </c>
      <c r="Q62" t="s">
        <v>39</v>
      </c>
      <c r="R62" t="s">
        <v>40</v>
      </c>
      <c r="S62">
        <v>0</v>
      </c>
      <c r="U62" t="s">
        <v>41</v>
      </c>
      <c r="V62" t="s">
        <v>42</v>
      </c>
      <c r="X62" t="s">
        <v>43</v>
      </c>
      <c r="Y62" t="b">
        <v>0</v>
      </c>
      <c r="Z62" t="b">
        <v>0</v>
      </c>
      <c r="AC62" s="1"/>
      <c r="AF62">
        <v>0</v>
      </c>
      <c r="AG62">
        <v>45</v>
      </c>
      <c r="AH62">
        <v>-142</v>
      </c>
      <c r="AI62" s="2">
        <f>Table__192.168.3.138BEWLPPMetaData[[#This Row],[NetAmount]]-Table__192.168.3.138BEWLPPMetaData[[#This Row],[Paid]]</f>
        <v>-2985</v>
      </c>
    </row>
    <row r="63" spans="1:35" hidden="1">
      <c r="A63" t="s">
        <v>8633</v>
      </c>
      <c r="B63" s="1">
        <v>41130</v>
      </c>
      <c r="C63" s="1">
        <v>41175</v>
      </c>
      <c r="D63" t="s">
        <v>8588</v>
      </c>
      <c r="E63">
        <v>-1436</v>
      </c>
      <c r="F63">
        <v>-230</v>
      </c>
      <c r="G63">
        <v>0</v>
      </c>
      <c r="H63">
        <v>0</v>
      </c>
      <c r="I63">
        <v>-187</v>
      </c>
      <c r="J63">
        <v>-1666</v>
      </c>
      <c r="L63" s="1">
        <v>41455</v>
      </c>
      <c r="N63" t="s">
        <v>6694</v>
      </c>
      <c r="O63" t="s">
        <v>3507</v>
      </c>
      <c r="P63" t="s">
        <v>8589</v>
      </c>
      <c r="Q63" t="s">
        <v>39</v>
      </c>
      <c r="R63" t="s">
        <v>40</v>
      </c>
      <c r="S63">
        <v>0</v>
      </c>
      <c r="U63" t="s">
        <v>41</v>
      </c>
      <c r="V63" t="s">
        <v>42</v>
      </c>
      <c r="X63" t="s">
        <v>43</v>
      </c>
      <c r="Y63" t="b">
        <v>0</v>
      </c>
      <c r="Z63" t="b">
        <v>0</v>
      </c>
      <c r="AC63" s="1"/>
      <c r="AF63">
        <v>0</v>
      </c>
      <c r="AG63">
        <v>45</v>
      </c>
      <c r="AH63">
        <v>-142</v>
      </c>
      <c r="AI63" s="2">
        <f>Table__192.168.3.138BEWLPPMetaData[[#This Row],[NetAmount]]-Table__192.168.3.138BEWLPPMetaData[[#This Row],[Paid]]</f>
        <v>-1666</v>
      </c>
    </row>
    <row r="64" spans="1:35" hidden="1">
      <c r="A64" t="s">
        <v>8634</v>
      </c>
      <c r="B64" s="1">
        <v>41130</v>
      </c>
      <c r="C64" s="1">
        <v>41175</v>
      </c>
      <c r="D64" t="s">
        <v>8616</v>
      </c>
      <c r="E64">
        <v>-4760</v>
      </c>
      <c r="F64">
        <v>-762</v>
      </c>
      <c r="G64">
        <v>0</v>
      </c>
      <c r="H64">
        <v>0</v>
      </c>
      <c r="I64">
        <v>-187</v>
      </c>
      <c r="J64">
        <v>-5522</v>
      </c>
      <c r="L64" s="1">
        <v>41455</v>
      </c>
      <c r="N64" t="s">
        <v>6694</v>
      </c>
      <c r="O64" t="s">
        <v>3507</v>
      </c>
      <c r="P64" t="s">
        <v>375</v>
      </c>
      <c r="Q64" t="s">
        <v>39</v>
      </c>
      <c r="R64" t="s">
        <v>40</v>
      </c>
      <c r="S64">
        <v>0</v>
      </c>
      <c r="U64" t="s">
        <v>41</v>
      </c>
      <c r="V64" t="s">
        <v>42</v>
      </c>
      <c r="X64" t="s">
        <v>43</v>
      </c>
      <c r="Y64" t="b">
        <v>0</v>
      </c>
      <c r="Z64" t="b">
        <v>0</v>
      </c>
      <c r="AB64" t="s">
        <v>8617</v>
      </c>
      <c r="AC64" s="1">
        <v>41190</v>
      </c>
      <c r="AF64">
        <v>0</v>
      </c>
      <c r="AG64">
        <v>45</v>
      </c>
      <c r="AH64">
        <v>-142</v>
      </c>
      <c r="AI64" s="2">
        <f>Table__192.168.3.138BEWLPPMetaData[[#This Row],[NetAmount]]-Table__192.168.3.138BEWLPPMetaData[[#This Row],[Paid]]</f>
        <v>-5522</v>
      </c>
    </row>
    <row r="65" spans="1:35" hidden="1">
      <c r="A65" t="s">
        <v>8635</v>
      </c>
      <c r="B65" s="1">
        <v>41130</v>
      </c>
      <c r="C65" s="1">
        <v>41175</v>
      </c>
      <c r="D65" t="s">
        <v>8611</v>
      </c>
      <c r="E65">
        <v>-1436</v>
      </c>
      <c r="F65">
        <v>-230</v>
      </c>
      <c r="G65">
        <v>0</v>
      </c>
      <c r="H65">
        <v>0</v>
      </c>
      <c r="I65">
        <v>-187</v>
      </c>
      <c r="J65">
        <v>-1666</v>
      </c>
      <c r="L65" s="1">
        <v>41455</v>
      </c>
      <c r="N65" t="s">
        <v>6694</v>
      </c>
      <c r="O65" t="s">
        <v>3507</v>
      </c>
      <c r="P65" t="s">
        <v>8612</v>
      </c>
      <c r="Q65" t="s">
        <v>39</v>
      </c>
      <c r="R65" t="s">
        <v>40</v>
      </c>
      <c r="S65">
        <v>0</v>
      </c>
      <c r="U65" t="s">
        <v>41</v>
      </c>
      <c r="V65" t="s">
        <v>42</v>
      </c>
      <c r="X65" t="s">
        <v>43</v>
      </c>
      <c r="Y65" t="b">
        <v>0</v>
      </c>
      <c r="Z65" t="b">
        <v>0</v>
      </c>
      <c r="AC65" s="1"/>
      <c r="AF65">
        <v>0</v>
      </c>
      <c r="AG65">
        <v>45</v>
      </c>
      <c r="AH65">
        <v>-142</v>
      </c>
      <c r="AI65" s="2">
        <f>Table__192.168.3.138BEWLPPMetaData[[#This Row],[NetAmount]]-Table__192.168.3.138BEWLPPMetaData[[#This Row],[Paid]]</f>
        <v>-1666</v>
      </c>
    </row>
    <row r="66" spans="1:35" hidden="1">
      <c r="A66" t="s">
        <v>8636</v>
      </c>
      <c r="B66" s="1">
        <v>41130</v>
      </c>
      <c r="C66" s="1">
        <v>41175</v>
      </c>
      <c r="D66" t="s">
        <v>5529</v>
      </c>
      <c r="E66">
        <v>-495</v>
      </c>
      <c r="F66">
        <v>-79</v>
      </c>
      <c r="G66">
        <v>0</v>
      </c>
      <c r="H66">
        <v>0</v>
      </c>
      <c r="I66">
        <v>-187</v>
      </c>
      <c r="J66">
        <v>-574</v>
      </c>
      <c r="L66" s="1">
        <v>41455</v>
      </c>
      <c r="N66" t="s">
        <v>6694</v>
      </c>
      <c r="O66" t="s">
        <v>3507</v>
      </c>
      <c r="P66" t="s">
        <v>8614</v>
      </c>
      <c r="Q66" t="s">
        <v>39</v>
      </c>
      <c r="R66" t="s">
        <v>40</v>
      </c>
      <c r="S66">
        <v>0</v>
      </c>
      <c r="U66" t="s">
        <v>41</v>
      </c>
      <c r="V66" t="s">
        <v>42</v>
      </c>
      <c r="X66" t="s">
        <v>43</v>
      </c>
      <c r="Y66" t="b">
        <v>0</v>
      </c>
      <c r="Z66" t="b">
        <v>0</v>
      </c>
      <c r="AC66" s="1"/>
      <c r="AF66">
        <v>0</v>
      </c>
      <c r="AG66">
        <v>45</v>
      </c>
      <c r="AH66">
        <v>-142</v>
      </c>
      <c r="AI66" s="2">
        <f>Table__192.168.3.138BEWLPPMetaData[[#This Row],[NetAmount]]-Table__192.168.3.138BEWLPPMetaData[[#This Row],[Paid]]</f>
        <v>-574</v>
      </c>
    </row>
    <row r="67" spans="1:35" hidden="1">
      <c r="A67" t="s">
        <v>8637</v>
      </c>
      <c r="B67" s="1">
        <v>41130</v>
      </c>
      <c r="C67" s="1">
        <v>41175</v>
      </c>
      <c r="D67" t="s">
        <v>8616</v>
      </c>
      <c r="E67">
        <v>-11700</v>
      </c>
      <c r="F67">
        <v>-1872</v>
      </c>
      <c r="G67">
        <v>0</v>
      </c>
      <c r="H67">
        <v>0</v>
      </c>
      <c r="I67">
        <v>-187</v>
      </c>
      <c r="J67">
        <v>-13572</v>
      </c>
      <c r="L67" s="1">
        <v>41455</v>
      </c>
      <c r="N67" t="s">
        <v>6694</v>
      </c>
      <c r="O67" t="s">
        <v>3507</v>
      </c>
      <c r="P67" t="s">
        <v>375</v>
      </c>
      <c r="Q67" t="s">
        <v>39</v>
      </c>
      <c r="R67" t="s">
        <v>40</v>
      </c>
      <c r="S67">
        <v>0</v>
      </c>
      <c r="U67" t="s">
        <v>41</v>
      </c>
      <c r="V67" t="s">
        <v>42</v>
      </c>
      <c r="X67" t="s">
        <v>43</v>
      </c>
      <c r="Y67" t="b">
        <v>0</v>
      </c>
      <c r="Z67" t="b">
        <v>0</v>
      </c>
      <c r="AB67" t="s">
        <v>8617</v>
      </c>
      <c r="AC67" s="1">
        <v>41190</v>
      </c>
      <c r="AF67">
        <v>0</v>
      </c>
      <c r="AG67">
        <v>45</v>
      </c>
      <c r="AH67">
        <v>-142</v>
      </c>
      <c r="AI67" s="2">
        <f>Table__192.168.3.138BEWLPPMetaData[[#This Row],[NetAmount]]-Table__192.168.3.138BEWLPPMetaData[[#This Row],[Paid]]</f>
        <v>-13572</v>
      </c>
    </row>
    <row r="68" spans="1:35" hidden="1">
      <c r="A68" t="s">
        <v>8638</v>
      </c>
      <c r="B68" s="1">
        <v>41149</v>
      </c>
      <c r="C68" s="1">
        <v>41194</v>
      </c>
      <c r="D68" t="s">
        <v>8563</v>
      </c>
      <c r="E68">
        <v>-15510</v>
      </c>
      <c r="F68">
        <v>-2482</v>
      </c>
      <c r="G68">
        <v>0</v>
      </c>
      <c r="H68">
        <v>0</v>
      </c>
      <c r="I68">
        <v>-187</v>
      </c>
      <c r="J68">
        <v>-17992</v>
      </c>
      <c r="L68" s="1">
        <v>41455</v>
      </c>
      <c r="N68" t="s">
        <v>6694</v>
      </c>
      <c r="O68" t="s">
        <v>3507</v>
      </c>
      <c r="P68" t="s">
        <v>409</v>
      </c>
      <c r="Q68" t="s">
        <v>39</v>
      </c>
      <c r="R68" t="s">
        <v>40</v>
      </c>
      <c r="S68">
        <v>0</v>
      </c>
      <c r="U68" t="s">
        <v>41</v>
      </c>
      <c r="V68" t="s">
        <v>42</v>
      </c>
      <c r="X68" t="s">
        <v>43</v>
      </c>
      <c r="Y68" t="b">
        <v>0</v>
      </c>
      <c r="Z68" t="b">
        <v>0</v>
      </c>
      <c r="AC68" s="1"/>
      <c r="AF68">
        <v>0</v>
      </c>
      <c r="AG68">
        <v>45</v>
      </c>
      <c r="AH68">
        <v>-142</v>
      </c>
      <c r="AI68" s="2">
        <f>Table__192.168.3.138BEWLPPMetaData[[#This Row],[NetAmount]]-Table__192.168.3.138BEWLPPMetaData[[#This Row],[Paid]]</f>
        <v>-17992</v>
      </c>
    </row>
    <row r="69" spans="1:35" hidden="1">
      <c r="A69" t="s">
        <v>8639</v>
      </c>
      <c r="B69" s="1">
        <v>41172</v>
      </c>
      <c r="C69" s="1">
        <v>41217</v>
      </c>
      <c r="D69" t="s">
        <v>8640</v>
      </c>
      <c r="E69">
        <v>-200</v>
      </c>
      <c r="F69">
        <v>-32</v>
      </c>
      <c r="G69">
        <v>0</v>
      </c>
      <c r="H69">
        <v>0</v>
      </c>
      <c r="I69">
        <v>-187</v>
      </c>
      <c r="J69">
        <v>-232</v>
      </c>
      <c r="L69" s="1">
        <v>41455</v>
      </c>
      <c r="N69" t="s">
        <v>6694</v>
      </c>
      <c r="O69" t="s">
        <v>3507</v>
      </c>
      <c r="P69" t="s">
        <v>323</v>
      </c>
      <c r="Q69" t="s">
        <v>39</v>
      </c>
      <c r="R69" t="s">
        <v>40</v>
      </c>
      <c r="S69">
        <v>0</v>
      </c>
      <c r="U69" t="s">
        <v>41</v>
      </c>
      <c r="V69" t="s">
        <v>42</v>
      </c>
      <c r="X69" t="s">
        <v>43</v>
      </c>
      <c r="Y69" t="b">
        <v>0</v>
      </c>
      <c r="Z69" t="b">
        <v>0</v>
      </c>
      <c r="AC69" s="1"/>
      <c r="AF69">
        <v>0</v>
      </c>
      <c r="AG69">
        <v>45</v>
      </c>
      <c r="AH69">
        <v>-142</v>
      </c>
      <c r="AI69" s="2">
        <f>Table__192.168.3.138BEWLPPMetaData[[#This Row],[NetAmount]]-Table__192.168.3.138BEWLPPMetaData[[#This Row],[Paid]]</f>
        <v>-232</v>
      </c>
    </row>
    <row r="70" spans="1:35" hidden="1">
      <c r="A70" t="s">
        <v>8641</v>
      </c>
      <c r="B70" s="1">
        <v>41172</v>
      </c>
      <c r="C70" s="1">
        <v>41217</v>
      </c>
      <c r="D70" t="s">
        <v>8538</v>
      </c>
      <c r="E70">
        <v>-1835</v>
      </c>
      <c r="F70">
        <v>-294</v>
      </c>
      <c r="G70">
        <v>0</v>
      </c>
      <c r="H70">
        <v>0</v>
      </c>
      <c r="I70">
        <v>-187</v>
      </c>
      <c r="J70">
        <v>-2129</v>
      </c>
      <c r="L70" s="1">
        <v>41455</v>
      </c>
      <c r="N70" t="s">
        <v>6694</v>
      </c>
      <c r="O70" t="s">
        <v>3507</v>
      </c>
      <c r="P70" t="s">
        <v>310</v>
      </c>
      <c r="Q70" t="s">
        <v>39</v>
      </c>
      <c r="R70" t="s">
        <v>40</v>
      </c>
      <c r="S70">
        <v>0</v>
      </c>
      <c r="U70" t="s">
        <v>41</v>
      </c>
      <c r="V70" t="s">
        <v>42</v>
      </c>
      <c r="X70" t="s">
        <v>43</v>
      </c>
      <c r="Y70" t="b">
        <v>0</v>
      </c>
      <c r="Z70" t="b">
        <v>0</v>
      </c>
      <c r="AC70" s="1"/>
      <c r="AF70">
        <v>0</v>
      </c>
      <c r="AG70">
        <v>45</v>
      </c>
      <c r="AH70">
        <v>-142</v>
      </c>
      <c r="AI70" s="2">
        <f>Table__192.168.3.138BEWLPPMetaData[[#This Row],[NetAmount]]-Table__192.168.3.138BEWLPPMetaData[[#This Row],[Paid]]</f>
        <v>-2129</v>
      </c>
    </row>
    <row r="71" spans="1:35" hidden="1">
      <c r="A71" t="s">
        <v>8642</v>
      </c>
      <c r="B71" s="1">
        <v>41179</v>
      </c>
      <c r="C71" s="1">
        <v>41224</v>
      </c>
      <c r="D71" t="s">
        <v>8574</v>
      </c>
      <c r="E71">
        <v>-339</v>
      </c>
      <c r="F71">
        <v>-54</v>
      </c>
      <c r="G71">
        <v>0</v>
      </c>
      <c r="H71">
        <v>0</v>
      </c>
      <c r="I71">
        <v>-187</v>
      </c>
      <c r="J71">
        <v>-393</v>
      </c>
      <c r="L71" s="1">
        <v>41455</v>
      </c>
      <c r="N71" t="s">
        <v>6694</v>
      </c>
      <c r="O71" t="s">
        <v>3507</v>
      </c>
      <c r="P71" t="s">
        <v>344</v>
      </c>
      <c r="Q71" t="s">
        <v>39</v>
      </c>
      <c r="R71" t="s">
        <v>40</v>
      </c>
      <c r="S71">
        <v>0</v>
      </c>
      <c r="U71" t="s">
        <v>41</v>
      </c>
      <c r="V71" t="s">
        <v>42</v>
      </c>
      <c r="X71" t="s">
        <v>43</v>
      </c>
      <c r="Y71" t="b">
        <v>0</v>
      </c>
      <c r="Z71" t="b">
        <v>0</v>
      </c>
      <c r="AC71" s="1"/>
      <c r="AF71">
        <v>0</v>
      </c>
      <c r="AG71">
        <v>45</v>
      </c>
      <c r="AH71">
        <v>-142</v>
      </c>
      <c r="AI71" s="2">
        <f>Table__192.168.3.138BEWLPPMetaData[[#This Row],[NetAmount]]-Table__192.168.3.138BEWLPPMetaData[[#This Row],[Paid]]</f>
        <v>-393</v>
      </c>
    </row>
    <row r="72" spans="1:35" hidden="1">
      <c r="A72" t="s">
        <v>8643</v>
      </c>
      <c r="B72" s="1">
        <v>41172</v>
      </c>
      <c r="C72" s="1">
        <v>41217</v>
      </c>
      <c r="D72" t="s">
        <v>8527</v>
      </c>
      <c r="E72">
        <v>-250</v>
      </c>
      <c r="F72">
        <v>-40</v>
      </c>
      <c r="G72">
        <v>0</v>
      </c>
      <c r="H72">
        <v>0</v>
      </c>
      <c r="I72">
        <v>-187</v>
      </c>
      <c r="J72">
        <v>-290</v>
      </c>
      <c r="L72" s="1">
        <v>41455</v>
      </c>
      <c r="N72" t="s">
        <v>6694</v>
      </c>
      <c r="O72" t="s">
        <v>3507</v>
      </c>
      <c r="P72" t="s">
        <v>8528</v>
      </c>
      <c r="Q72" t="s">
        <v>39</v>
      </c>
      <c r="R72" t="s">
        <v>40</v>
      </c>
      <c r="S72">
        <v>0</v>
      </c>
      <c r="U72" t="s">
        <v>41</v>
      </c>
      <c r="V72" t="s">
        <v>42</v>
      </c>
      <c r="X72" t="s">
        <v>43</v>
      </c>
      <c r="Y72" t="b">
        <v>0</v>
      </c>
      <c r="Z72" t="b">
        <v>0</v>
      </c>
      <c r="AC72" s="1"/>
      <c r="AF72">
        <v>0</v>
      </c>
      <c r="AG72">
        <v>45</v>
      </c>
      <c r="AH72">
        <v>-142</v>
      </c>
      <c r="AI72" s="2">
        <f>Table__192.168.3.138BEWLPPMetaData[[#This Row],[NetAmount]]-Table__192.168.3.138BEWLPPMetaData[[#This Row],[Paid]]</f>
        <v>-290</v>
      </c>
    </row>
    <row r="73" spans="1:35" hidden="1">
      <c r="A73" t="s">
        <v>8644</v>
      </c>
      <c r="B73" s="1">
        <v>41179</v>
      </c>
      <c r="C73" s="1">
        <v>41224</v>
      </c>
      <c r="D73" t="s">
        <v>8611</v>
      </c>
      <c r="E73">
        <v>-3300</v>
      </c>
      <c r="F73">
        <v>-528</v>
      </c>
      <c r="G73">
        <v>0</v>
      </c>
      <c r="H73">
        <v>0</v>
      </c>
      <c r="I73">
        <v>-187</v>
      </c>
      <c r="J73">
        <v>-3828</v>
      </c>
      <c r="L73" s="1">
        <v>41455</v>
      </c>
      <c r="N73" t="s">
        <v>6694</v>
      </c>
      <c r="O73" t="s">
        <v>3507</v>
      </c>
      <c r="P73" t="s">
        <v>8612</v>
      </c>
      <c r="Q73" t="s">
        <v>39</v>
      </c>
      <c r="R73" t="s">
        <v>40</v>
      </c>
      <c r="S73">
        <v>0</v>
      </c>
      <c r="U73" t="s">
        <v>41</v>
      </c>
      <c r="V73" t="s">
        <v>42</v>
      </c>
      <c r="X73" t="s">
        <v>43</v>
      </c>
      <c r="Y73" t="b">
        <v>0</v>
      </c>
      <c r="Z73" t="b">
        <v>0</v>
      </c>
      <c r="AC73" s="1"/>
      <c r="AF73">
        <v>0</v>
      </c>
      <c r="AG73">
        <v>45</v>
      </c>
      <c r="AH73">
        <v>-142</v>
      </c>
      <c r="AI73" s="2">
        <f>Table__192.168.3.138BEWLPPMetaData[[#This Row],[NetAmount]]-Table__192.168.3.138BEWLPPMetaData[[#This Row],[Paid]]</f>
        <v>-3828</v>
      </c>
    </row>
    <row r="74" spans="1:35" hidden="1">
      <c r="A74" t="s">
        <v>8645</v>
      </c>
      <c r="B74" s="1">
        <v>41172</v>
      </c>
      <c r="C74" s="1">
        <v>41217</v>
      </c>
      <c r="D74" t="s">
        <v>8570</v>
      </c>
      <c r="E74">
        <v>-5365</v>
      </c>
      <c r="F74">
        <v>-858</v>
      </c>
      <c r="G74">
        <v>0</v>
      </c>
      <c r="H74">
        <v>0</v>
      </c>
      <c r="I74">
        <v>-187</v>
      </c>
      <c r="J74">
        <v>-6223</v>
      </c>
      <c r="L74" s="1">
        <v>41455</v>
      </c>
      <c r="N74" t="s">
        <v>6694</v>
      </c>
      <c r="O74" t="s">
        <v>3507</v>
      </c>
      <c r="P74" t="s">
        <v>8571</v>
      </c>
      <c r="Q74" t="s">
        <v>39</v>
      </c>
      <c r="R74" t="s">
        <v>40</v>
      </c>
      <c r="S74">
        <v>0</v>
      </c>
      <c r="U74" t="s">
        <v>41</v>
      </c>
      <c r="V74" t="s">
        <v>42</v>
      </c>
      <c r="X74" t="s">
        <v>43</v>
      </c>
      <c r="Y74" t="b">
        <v>0</v>
      </c>
      <c r="Z74" t="b">
        <v>0</v>
      </c>
      <c r="AC74" s="1"/>
      <c r="AF74">
        <v>0</v>
      </c>
      <c r="AG74">
        <v>45</v>
      </c>
      <c r="AH74">
        <v>-142</v>
      </c>
      <c r="AI74" s="2">
        <f>Table__192.168.3.138BEWLPPMetaData[[#This Row],[NetAmount]]-Table__192.168.3.138BEWLPPMetaData[[#This Row],[Paid]]</f>
        <v>-6223</v>
      </c>
    </row>
    <row r="75" spans="1:35" hidden="1">
      <c r="A75" t="s">
        <v>8646</v>
      </c>
      <c r="B75" s="1">
        <v>41179</v>
      </c>
      <c r="C75" s="1">
        <v>41224</v>
      </c>
      <c r="D75" t="s">
        <v>8616</v>
      </c>
      <c r="E75">
        <v>-5055</v>
      </c>
      <c r="F75">
        <v>-809</v>
      </c>
      <c r="G75">
        <v>0</v>
      </c>
      <c r="H75">
        <v>0</v>
      </c>
      <c r="I75">
        <v>-187</v>
      </c>
      <c r="J75">
        <v>-5864</v>
      </c>
      <c r="L75" s="1">
        <v>41455</v>
      </c>
      <c r="N75" t="s">
        <v>6694</v>
      </c>
      <c r="O75" t="s">
        <v>3507</v>
      </c>
      <c r="P75" t="s">
        <v>375</v>
      </c>
      <c r="Q75" t="s">
        <v>39</v>
      </c>
      <c r="R75" t="s">
        <v>40</v>
      </c>
      <c r="S75">
        <v>0</v>
      </c>
      <c r="U75" t="s">
        <v>41</v>
      </c>
      <c r="V75" t="s">
        <v>42</v>
      </c>
      <c r="X75" t="s">
        <v>43</v>
      </c>
      <c r="Y75" t="b">
        <v>0</v>
      </c>
      <c r="Z75" t="b">
        <v>0</v>
      </c>
      <c r="AC75" s="1"/>
      <c r="AF75">
        <v>0</v>
      </c>
      <c r="AG75">
        <v>45</v>
      </c>
      <c r="AH75">
        <v>-142</v>
      </c>
      <c r="AI75" s="2">
        <f>Table__192.168.3.138BEWLPPMetaData[[#This Row],[NetAmount]]-Table__192.168.3.138BEWLPPMetaData[[#This Row],[Paid]]</f>
        <v>-5864</v>
      </c>
    </row>
    <row r="76" spans="1:35" hidden="1">
      <c r="A76" t="s">
        <v>8647</v>
      </c>
      <c r="B76" s="1">
        <v>41179</v>
      </c>
      <c r="C76" s="1">
        <v>41224</v>
      </c>
      <c r="D76" t="s">
        <v>8563</v>
      </c>
      <c r="E76">
        <v>-12870</v>
      </c>
      <c r="F76">
        <v>-2059</v>
      </c>
      <c r="G76">
        <v>0</v>
      </c>
      <c r="H76">
        <v>0</v>
      </c>
      <c r="I76">
        <v>-187</v>
      </c>
      <c r="J76">
        <v>-14929</v>
      </c>
      <c r="L76" s="1">
        <v>41455</v>
      </c>
      <c r="N76" t="s">
        <v>6694</v>
      </c>
      <c r="O76" t="s">
        <v>3507</v>
      </c>
      <c r="P76" t="s">
        <v>409</v>
      </c>
      <c r="Q76" t="s">
        <v>39</v>
      </c>
      <c r="R76" t="s">
        <v>40</v>
      </c>
      <c r="S76">
        <v>0</v>
      </c>
      <c r="U76" t="s">
        <v>41</v>
      </c>
      <c r="V76" t="s">
        <v>42</v>
      </c>
      <c r="X76" t="s">
        <v>43</v>
      </c>
      <c r="Y76" t="b">
        <v>0</v>
      </c>
      <c r="Z76" t="b">
        <v>0</v>
      </c>
      <c r="AC76" s="1"/>
      <c r="AF76">
        <v>0</v>
      </c>
      <c r="AG76">
        <v>45</v>
      </c>
      <c r="AH76">
        <v>-142</v>
      </c>
      <c r="AI76" s="2">
        <f>Table__192.168.3.138BEWLPPMetaData[[#This Row],[NetAmount]]-Table__192.168.3.138BEWLPPMetaData[[#This Row],[Paid]]</f>
        <v>-14929</v>
      </c>
    </row>
    <row r="77" spans="1:35" hidden="1">
      <c r="A77" t="s">
        <v>8648</v>
      </c>
      <c r="B77" s="1">
        <v>41200</v>
      </c>
      <c r="C77" s="1">
        <v>41245</v>
      </c>
      <c r="D77" t="s">
        <v>8538</v>
      </c>
      <c r="E77">
        <v>-1525</v>
      </c>
      <c r="F77">
        <v>-244</v>
      </c>
      <c r="G77">
        <v>0</v>
      </c>
      <c r="H77">
        <v>0</v>
      </c>
      <c r="I77">
        <v>153</v>
      </c>
      <c r="J77">
        <v>-1769</v>
      </c>
      <c r="K77" t="s">
        <v>8649</v>
      </c>
      <c r="L77" s="1">
        <v>41115</v>
      </c>
      <c r="N77" t="s">
        <v>6694</v>
      </c>
      <c r="O77" t="s">
        <v>3507</v>
      </c>
      <c r="P77" t="s">
        <v>310</v>
      </c>
      <c r="Q77" t="s">
        <v>39</v>
      </c>
      <c r="R77" t="s">
        <v>40</v>
      </c>
      <c r="S77">
        <v>0</v>
      </c>
      <c r="U77" t="s">
        <v>41</v>
      </c>
      <c r="V77" t="s">
        <v>42</v>
      </c>
      <c r="X77" t="s">
        <v>43</v>
      </c>
      <c r="Y77" t="b">
        <v>0</v>
      </c>
      <c r="Z77" t="b">
        <v>0</v>
      </c>
      <c r="AC77" s="1"/>
      <c r="AF77">
        <v>0</v>
      </c>
      <c r="AG77">
        <v>45</v>
      </c>
      <c r="AH77">
        <v>198</v>
      </c>
      <c r="AI77" s="2">
        <f>Table__192.168.3.138BEWLPPMetaData[[#This Row],[NetAmount]]-Table__192.168.3.138BEWLPPMetaData[[#This Row],[Paid]]</f>
        <v>-1769</v>
      </c>
    </row>
    <row r="78" spans="1:35" hidden="1">
      <c r="A78" t="s">
        <v>8650</v>
      </c>
      <c r="B78" s="1">
        <v>41200</v>
      </c>
      <c r="C78" s="1">
        <v>41245</v>
      </c>
      <c r="D78" t="s">
        <v>8611</v>
      </c>
      <c r="E78">
        <v>-2282</v>
      </c>
      <c r="F78">
        <v>-365</v>
      </c>
      <c r="G78">
        <v>0</v>
      </c>
      <c r="H78">
        <v>0</v>
      </c>
      <c r="I78">
        <v>140</v>
      </c>
      <c r="J78">
        <v>-2647</v>
      </c>
      <c r="K78" t="s">
        <v>8651</v>
      </c>
      <c r="L78" s="1">
        <v>41128</v>
      </c>
      <c r="N78" t="s">
        <v>6694</v>
      </c>
      <c r="O78" t="s">
        <v>3507</v>
      </c>
      <c r="P78" t="s">
        <v>8612</v>
      </c>
      <c r="Q78" t="s">
        <v>39</v>
      </c>
      <c r="R78" t="s">
        <v>40</v>
      </c>
      <c r="S78">
        <v>0</v>
      </c>
      <c r="U78" t="s">
        <v>41</v>
      </c>
      <c r="V78" t="s">
        <v>42</v>
      </c>
      <c r="X78" t="s">
        <v>43</v>
      </c>
      <c r="Y78" t="b">
        <v>0</v>
      </c>
      <c r="Z78" t="b">
        <v>0</v>
      </c>
      <c r="AC78" s="1"/>
      <c r="AF78">
        <v>0</v>
      </c>
      <c r="AG78">
        <v>45</v>
      </c>
      <c r="AH78">
        <v>185</v>
      </c>
      <c r="AI78" s="2">
        <f>Table__192.168.3.138BEWLPPMetaData[[#This Row],[NetAmount]]-Table__192.168.3.138BEWLPPMetaData[[#This Row],[Paid]]</f>
        <v>-2647</v>
      </c>
    </row>
    <row r="79" spans="1:35" hidden="1">
      <c r="A79" t="s">
        <v>8652</v>
      </c>
      <c r="B79" s="1">
        <v>41205</v>
      </c>
      <c r="C79" s="1">
        <v>41250</v>
      </c>
      <c r="D79" t="s">
        <v>5509</v>
      </c>
      <c r="E79">
        <v>-32880</v>
      </c>
      <c r="F79">
        <v>-5261</v>
      </c>
      <c r="G79">
        <v>0</v>
      </c>
      <c r="H79">
        <v>0</v>
      </c>
      <c r="I79">
        <v>175</v>
      </c>
      <c r="J79">
        <v>-38141</v>
      </c>
      <c r="K79" t="s">
        <v>8653</v>
      </c>
      <c r="L79" s="1">
        <v>41093</v>
      </c>
      <c r="N79" t="s">
        <v>6694</v>
      </c>
      <c r="O79" t="s">
        <v>3507</v>
      </c>
      <c r="P79" t="s">
        <v>354</v>
      </c>
      <c r="Q79" t="s">
        <v>39</v>
      </c>
      <c r="R79" t="s">
        <v>40</v>
      </c>
      <c r="S79">
        <v>0</v>
      </c>
      <c r="U79" t="s">
        <v>41</v>
      </c>
      <c r="V79" t="s">
        <v>42</v>
      </c>
      <c r="X79" t="s">
        <v>43</v>
      </c>
      <c r="Y79" t="b">
        <v>0</v>
      </c>
      <c r="Z79" t="b">
        <v>0</v>
      </c>
      <c r="AB79" t="s">
        <v>8654</v>
      </c>
      <c r="AC79" s="1">
        <v>41296</v>
      </c>
      <c r="AF79">
        <v>0</v>
      </c>
      <c r="AG79">
        <v>45</v>
      </c>
      <c r="AH79">
        <v>220</v>
      </c>
      <c r="AI79" s="2">
        <f>Table__192.168.3.138BEWLPPMetaData[[#This Row],[NetAmount]]-Table__192.168.3.138BEWLPPMetaData[[#This Row],[Paid]]</f>
        <v>-38141</v>
      </c>
    </row>
    <row r="80" spans="1:35" hidden="1">
      <c r="A80" t="s">
        <v>8655</v>
      </c>
      <c r="B80" s="1">
        <v>41193</v>
      </c>
      <c r="C80" s="1">
        <v>41238</v>
      </c>
      <c r="D80" t="s">
        <v>8524</v>
      </c>
      <c r="E80">
        <v>-57</v>
      </c>
      <c r="F80">
        <v>-9</v>
      </c>
      <c r="G80">
        <v>0</v>
      </c>
      <c r="H80">
        <v>0</v>
      </c>
      <c r="I80">
        <v>169</v>
      </c>
      <c r="J80">
        <v>-66</v>
      </c>
      <c r="K80" t="s">
        <v>139</v>
      </c>
      <c r="L80" s="1">
        <v>41099</v>
      </c>
      <c r="N80" t="s">
        <v>6694</v>
      </c>
      <c r="O80" t="s">
        <v>3507</v>
      </c>
      <c r="P80" t="s">
        <v>8525</v>
      </c>
      <c r="Q80" t="s">
        <v>39</v>
      </c>
      <c r="R80" t="s">
        <v>40</v>
      </c>
      <c r="S80">
        <v>0</v>
      </c>
      <c r="U80" t="s">
        <v>41</v>
      </c>
      <c r="V80" t="s">
        <v>42</v>
      </c>
      <c r="X80" t="s">
        <v>43</v>
      </c>
      <c r="Y80" t="b">
        <v>0</v>
      </c>
      <c r="Z80" t="b">
        <v>0</v>
      </c>
      <c r="AC80" s="1"/>
      <c r="AF80">
        <v>0</v>
      </c>
      <c r="AG80">
        <v>45</v>
      </c>
      <c r="AH80">
        <v>214</v>
      </c>
      <c r="AI80" s="2">
        <f>Table__192.168.3.138BEWLPPMetaData[[#This Row],[NetAmount]]-Table__192.168.3.138BEWLPPMetaData[[#This Row],[Paid]]</f>
        <v>-66</v>
      </c>
    </row>
    <row r="81" spans="1:35" hidden="1">
      <c r="A81" t="s">
        <v>8656</v>
      </c>
      <c r="B81" s="1">
        <v>41200</v>
      </c>
      <c r="C81" s="1">
        <v>41245</v>
      </c>
      <c r="D81" t="s">
        <v>8657</v>
      </c>
      <c r="E81">
        <v>-572</v>
      </c>
      <c r="F81">
        <v>-92</v>
      </c>
      <c r="G81">
        <v>0</v>
      </c>
      <c r="H81">
        <v>0</v>
      </c>
      <c r="I81">
        <v>197</v>
      </c>
      <c r="J81">
        <v>-664</v>
      </c>
      <c r="K81" t="s">
        <v>8658</v>
      </c>
      <c r="L81" s="1">
        <v>41071</v>
      </c>
      <c r="N81" t="s">
        <v>6694</v>
      </c>
      <c r="O81" t="s">
        <v>3507</v>
      </c>
      <c r="P81" t="s">
        <v>8659</v>
      </c>
      <c r="Q81" t="s">
        <v>39</v>
      </c>
      <c r="R81" t="s">
        <v>40</v>
      </c>
      <c r="S81">
        <v>0</v>
      </c>
      <c r="U81" t="s">
        <v>41</v>
      </c>
      <c r="V81" t="s">
        <v>42</v>
      </c>
      <c r="X81" t="s">
        <v>43</v>
      </c>
      <c r="Y81" t="b">
        <v>0</v>
      </c>
      <c r="Z81" t="b">
        <v>0</v>
      </c>
      <c r="AC81" s="1"/>
      <c r="AF81">
        <v>0</v>
      </c>
      <c r="AG81">
        <v>45</v>
      </c>
      <c r="AH81">
        <v>242</v>
      </c>
      <c r="AI81" s="2">
        <f>Table__192.168.3.138BEWLPPMetaData[[#This Row],[NetAmount]]-Table__192.168.3.138BEWLPPMetaData[[#This Row],[Paid]]</f>
        <v>-664</v>
      </c>
    </row>
    <row r="82" spans="1:35" hidden="1">
      <c r="A82" t="s">
        <v>8660</v>
      </c>
      <c r="B82" s="1">
        <v>41191</v>
      </c>
      <c r="C82" s="1">
        <v>41236</v>
      </c>
      <c r="D82" t="s">
        <v>8570</v>
      </c>
      <c r="E82">
        <v>-25280</v>
      </c>
      <c r="F82">
        <v>-4045</v>
      </c>
      <c r="G82">
        <v>0</v>
      </c>
      <c r="H82">
        <v>0</v>
      </c>
      <c r="I82">
        <v>96</v>
      </c>
      <c r="J82">
        <v>-29325</v>
      </c>
      <c r="K82" t="s">
        <v>8661</v>
      </c>
      <c r="L82" s="1">
        <v>41172</v>
      </c>
      <c r="N82" t="s">
        <v>6694</v>
      </c>
      <c r="O82" t="s">
        <v>3507</v>
      </c>
      <c r="P82" t="s">
        <v>8571</v>
      </c>
      <c r="Q82" t="s">
        <v>39</v>
      </c>
      <c r="R82" t="s">
        <v>40</v>
      </c>
      <c r="S82">
        <v>0</v>
      </c>
      <c r="U82" t="s">
        <v>41</v>
      </c>
      <c r="V82" t="s">
        <v>42</v>
      </c>
      <c r="X82" t="s">
        <v>43</v>
      </c>
      <c r="Y82" t="b">
        <v>0</v>
      </c>
      <c r="Z82" t="b">
        <v>0</v>
      </c>
      <c r="AC82" s="1"/>
      <c r="AF82">
        <v>0</v>
      </c>
      <c r="AG82">
        <v>45</v>
      </c>
      <c r="AH82">
        <v>141</v>
      </c>
      <c r="AI82" s="2">
        <f>Table__192.168.3.138BEWLPPMetaData[[#This Row],[NetAmount]]-Table__192.168.3.138BEWLPPMetaData[[#This Row],[Paid]]</f>
        <v>-29325</v>
      </c>
    </row>
    <row r="83" spans="1:35" hidden="1">
      <c r="A83" t="s">
        <v>8662</v>
      </c>
      <c r="B83" s="1">
        <v>41200</v>
      </c>
      <c r="C83" s="1">
        <v>41245</v>
      </c>
      <c r="D83" t="s">
        <v>8616</v>
      </c>
      <c r="E83">
        <v>-4625</v>
      </c>
      <c r="F83">
        <v>-740</v>
      </c>
      <c r="G83">
        <v>0</v>
      </c>
      <c r="H83">
        <v>0</v>
      </c>
      <c r="I83">
        <v>130</v>
      </c>
      <c r="J83">
        <v>-5365</v>
      </c>
      <c r="K83" t="s">
        <v>4157</v>
      </c>
      <c r="L83" s="1">
        <v>41138</v>
      </c>
      <c r="N83" t="s">
        <v>6694</v>
      </c>
      <c r="O83" t="s">
        <v>3507</v>
      </c>
      <c r="P83" t="s">
        <v>375</v>
      </c>
      <c r="Q83" t="s">
        <v>39</v>
      </c>
      <c r="R83" t="s">
        <v>40</v>
      </c>
      <c r="S83">
        <v>0</v>
      </c>
      <c r="U83" t="s">
        <v>41</v>
      </c>
      <c r="V83" t="s">
        <v>42</v>
      </c>
      <c r="X83" t="s">
        <v>43</v>
      </c>
      <c r="Y83" t="b">
        <v>0</v>
      </c>
      <c r="Z83" t="b">
        <v>0</v>
      </c>
      <c r="AC83" s="1"/>
      <c r="AF83">
        <v>0</v>
      </c>
      <c r="AG83">
        <v>45</v>
      </c>
      <c r="AH83">
        <v>175</v>
      </c>
      <c r="AI83" s="2">
        <f>Table__192.168.3.138BEWLPPMetaData[[#This Row],[NetAmount]]-Table__192.168.3.138BEWLPPMetaData[[#This Row],[Paid]]</f>
        <v>-5365</v>
      </c>
    </row>
    <row r="84" spans="1:35" hidden="1">
      <c r="A84" t="s">
        <v>8663</v>
      </c>
      <c r="B84" s="1">
        <v>41200</v>
      </c>
      <c r="C84" s="1">
        <v>41245</v>
      </c>
      <c r="D84" t="s">
        <v>8563</v>
      </c>
      <c r="E84">
        <v>-2310</v>
      </c>
      <c r="F84">
        <v>-370</v>
      </c>
      <c r="G84">
        <v>0</v>
      </c>
      <c r="H84">
        <v>0</v>
      </c>
      <c r="I84">
        <v>88</v>
      </c>
      <c r="J84">
        <v>-2680</v>
      </c>
      <c r="K84" t="s">
        <v>150</v>
      </c>
      <c r="L84" s="1">
        <v>41180</v>
      </c>
      <c r="N84" t="s">
        <v>6694</v>
      </c>
      <c r="O84" t="s">
        <v>3507</v>
      </c>
      <c r="P84" t="s">
        <v>409</v>
      </c>
      <c r="Q84" t="s">
        <v>39</v>
      </c>
      <c r="R84" t="s">
        <v>40</v>
      </c>
      <c r="S84">
        <v>0</v>
      </c>
      <c r="U84" t="s">
        <v>41</v>
      </c>
      <c r="V84" t="s">
        <v>42</v>
      </c>
      <c r="X84" t="s">
        <v>43</v>
      </c>
      <c r="Y84" t="b">
        <v>0</v>
      </c>
      <c r="Z84" t="b">
        <v>0</v>
      </c>
      <c r="AB84" t="s">
        <v>8664</v>
      </c>
      <c r="AC84" s="1">
        <v>41283</v>
      </c>
      <c r="AF84">
        <v>0</v>
      </c>
      <c r="AG84">
        <v>45</v>
      </c>
      <c r="AH84">
        <v>133</v>
      </c>
      <c r="AI84" s="2">
        <f>Table__192.168.3.138BEWLPPMetaData[[#This Row],[NetAmount]]-Table__192.168.3.138BEWLPPMetaData[[#This Row],[Paid]]</f>
        <v>-2680</v>
      </c>
    </row>
    <row r="85" spans="1:35" hidden="1">
      <c r="A85" t="s">
        <v>8665</v>
      </c>
      <c r="B85" s="1">
        <v>41206</v>
      </c>
      <c r="C85" s="1">
        <v>41206</v>
      </c>
      <c r="D85" t="s">
        <v>8666</v>
      </c>
      <c r="E85">
        <v>-8820</v>
      </c>
      <c r="F85">
        <v>-1411</v>
      </c>
      <c r="G85">
        <v>0</v>
      </c>
      <c r="H85">
        <v>0</v>
      </c>
      <c r="I85">
        <v>0</v>
      </c>
      <c r="J85">
        <v>-10231</v>
      </c>
      <c r="K85" t="s">
        <v>8667</v>
      </c>
      <c r="L85" s="1">
        <v>41187</v>
      </c>
      <c r="N85" t="s">
        <v>6694</v>
      </c>
      <c r="O85" t="s">
        <v>3507</v>
      </c>
      <c r="P85" t="s">
        <v>8668</v>
      </c>
      <c r="Q85" t="s">
        <v>39</v>
      </c>
      <c r="R85" t="s">
        <v>40</v>
      </c>
      <c r="S85">
        <v>0</v>
      </c>
      <c r="U85" t="s">
        <v>41</v>
      </c>
      <c r="V85" t="s">
        <v>42</v>
      </c>
      <c r="X85" t="s">
        <v>43</v>
      </c>
      <c r="Y85" t="b">
        <v>0</v>
      </c>
      <c r="Z85" t="b">
        <v>0</v>
      </c>
      <c r="AC85" s="1"/>
      <c r="AF85">
        <v>0</v>
      </c>
      <c r="AH85">
        <v>126</v>
      </c>
      <c r="AI85" s="2">
        <f>Table__192.168.3.138BEWLPPMetaData[[#This Row],[NetAmount]]-Table__192.168.3.138BEWLPPMetaData[[#This Row],[Paid]]</f>
        <v>-10231</v>
      </c>
    </row>
    <row r="86" spans="1:35" hidden="1">
      <c r="A86" t="s">
        <v>8669</v>
      </c>
      <c r="B86" s="1">
        <v>41200</v>
      </c>
      <c r="C86" s="1">
        <v>41245</v>
      </c>
      <c r="D86" t="s">
        <v>8527</v>
      </c>
      <c r="E86">
        <v>-518</v>
      </c>
      <c r="F86">
        <v>-83</v>
      </c>
      <c r="G86">
        <v>0</v>
      </c>
      <c r="H86">
        <v>0</v>
      </c>
      <c r="I86">
        <v>160</v>
      </c>
      <c r="J86">
        <v>-601</v>
      </c>
      <c r="K86" t="s">
        <v>8670</v>
      </c>
      <c r="L86" s="1">
        <v>41108</v>
      </c>
      <c r="N86" t="s">
        <v>6694</v>
      </c>
      <c r="O86" t="s">
        <v>3507</v>
      </c>
      <c r="P86" t="s">
        <v>8528</v>
      </c>
      <c r="Q86" t="s">
        <v>39</v>
      </c>
      <c r="R86" t="s">
        <v>40</v>
      </c>
      <c r="S86">
        <v>0</v>
      </c>
      <c r="U86" t="s">
        <v>41</v>
      </c>
      <c r="V86" t="s">
        <v>42</v>
      </c>
      <c r="X86" t="s">
        <v>43</v>
      </c>
      <c r="Y86" t="b">
        <v>0</v>
      </c>
      <c r="Z86" t="b">
        <v>0</v>
      </c>
      <c r="AC86" s="1"/>
      <c r="AF86">
        <v>0</v>
      </c>
      <c r="AG86">
        <v>45</v>
      </c>
      <c r="AH86">
        <v>205</v>
      </c>
      <c r="AI86" s="2">
        <f>Table__192.168.3.138BEWLPPMetaData[[#This Row],[NetAmount]]-Table__192.168.3.138BEWLPPMetaData[[#This Row],[Paid]]</f>
        <v>-601</v>
      </c>
    </row>
    <row r="87" spans="1:35" hidden="1">
      <c r="A87" t="s">
        <v>8671</v>
      </c>
      <c r="B87" s="1">
        <v>41185</v>
      </c>
      <c r="C87" s="1">
        <v>41185</v>
      </c>
      <c r="D87" t="s">
        <v>8672</v>
      </c>
      <c r="E87">
        <v>-864</v>
      </c>
      <c r="F87">
        <v>0</v>
      </c>
      <c r="G87">
        <v>0</v>
      </c>
      <c r="H87">
        <v>0</v>
      </c>
      <c r="I87">
        <v>0</v>
      </c>
      <c r="J87">
        <v>-864</v>
      </c>
      <c r="L87" s="1">
        <v>41455</v>
      </c>
      <c r="N87" t="s">
        <v>6694</v>
      </c>
      <c r="O87" t="s">
        <v>3507</v>
      </c>
      <c r="P87" t="s">
        <v>417</v>
      </c>
      <c r="Q87" t="s">
        <v>39</v>
      </c>
      <c r="R87" t="s">
        <v>40</v>
      </c>
      <c r="S87">
        <v>0</v>
      </c>
      <c r="U87" t="s">
        <v>41</v>
      </c>
      <c r="V87" t="s">
        <v>42</v>
      </c>
      <c r="X87" t="s">
        <v>43</v>
      </c>
      <c r="Y87" t="b">
        <v>0</v>
      </c>
      <c r="Z87" t="b">
        <v>0</v>
      </c>
      <c r="AC87" s="1"/>
      <c r="AF87">
        <v>0</v>
      </c>
      <c r="AH87">
        <v>-142</v>
      </c>
      <c r="AI87" s="2">
        <f>Table__192.168.3.138BEWLPPMetaData[[#This Row],[NetAmount]]-Table__192.168.3.138BEWLPPMetaData[[#This Row],[Paid]]</f>
        <v>-864</v>
      </c>
    </row>
    <row r="88" spans="1:35" hidden="1">
      <c r="A88" t="s">
        <v>8673</v>
      </c>
      <c r="B88" s="1">
        <v>41227</v>
      </c>
      <c r="C88" s="1">
        <v>41272</v>
      </c>
      <c r="D88" t="s">
        <v>8527</v>
      </c>
      <c r="E88">
        <v>-336</v>
      </c>
      <c r="F88">
        <v>-54</v>
      </c>
      <c r="G88">
        <v>0</v>
      </c>
      <c r="H88">
        <v>0</v>
      </c>
      <c r="I88">
        <v>160</v>
      </c>
      <c r="J88">
        <v>-390</v>
      </c>
      <c r="K88" t="s">
        <v>8670</v>
      </c>
      <c r="L88" s="1">
        <v>41108</v>
      </c>
      <c r="N88" t="s">
        <v>6694</v>
      </c>
      <c r="O88" t="s">
        <v>3507</v>
      </c>
      <c r="P88" t="s">
        <v>8528</v>
      </c>
      <c r="Q88" t="s">
        <v>39</v>
      </c>
      <c r="R88" t="s">
        <v>40</v>
      </c>
      <c r="S88">
        <v>0</v>
      </c>
      <c r="U88" t="s">
        <v>41</v>
      </c>
      <c r="V88" t="s">
        <v>42</v>
      </c>
      <c r="X88" t="s">
        <v>43</v>
      </c>
      <c r="Y88" t="b">
        <v>0</v>
      </c>
      <c r="Z88" t="b">
        <v>0</v>
      </c>
      <c r="AC88" s="1"/>
      <c r="AF88">
        <v>0</v>
      </c>
      <c r="AG88">
        <v>45</v>
      </c>
      <c r="AH88">
        <v>205</v>
      </c>
      <c r="AI88" s="2">
        <f>Table__192.168.3.138BEWLPPMetaData[[#This Row],[NetAmount]]-Table__192.168.3.138BEWLPPMetaData[[#This Row],[Paid]]</f>
        <v>-390</v>
      </c>
    </row>
    <row r="89" spans="1:35" hidden="1">
      <c r="A89" t="s">
        <v>8674</v>
      </c>
      <c r="B89" s="1">
        <v>41227</v>
      </c>
      <c r="C89" s="1">
        <v>41272</v>
      </c>
      <c r="D89" t="s">
        <v>8611</v>
      </c>
      <c r="E89">
        <v>-1511</v>
      </c>
      <c r="F89">
        <v>-242</v>
      </c>
      <c r="G89">
        <v>0</v>
      </c>
      <c r="H89">
        <v>0</v>
      </c>
      <c r="I89">
        <v>81</v>
      </c>
      <c r="J89">
        <v>-1753</v>
      </c>
      <c r="K89" t="s">
        <v>8675</v>
      </c>
      <c r="L89" s="1">
        <v>41187</v>
      </c>
      <c r="N89" t="s">
        <v>6694</v>
      </c>
      <c r="O89" t="s">
        <v>3507</v>
      </c>
      <c r="P89" t="s">
        <v>8612</v>
      </c>
      <c r="Q89" t="s">
        <v>39</v>
      </c>
      <c r="R89" t="s">
        <v>40</v>
      </c>
      <c r="S89">
        <v>0</v>
      </c>
      <c r="U89" t="s">
        <v>41</v>
      </c>
      <c r="V89" t="s">
        <v>42</v>
      </c>
      <c r="X89" t="s">
        <v>43</v>
      </c>
      <c r="Y89" t="b">
        <v>0</v>
      </c>
      <c r="Z89" t="b">
        <v>0</v>
      </c>
      <c r="AC89" s="1"/>
      <c r="AF89">
        <v>0</v>
      </c>
      <c r="AG89">
        <v>45</v>
      </c>
      <c r="AH89">
        <v>126</v>
      </c>
      <c r="AI89" s="2">
        <f>Table__192.168.3.138BEWLPPMetaData[[#This Row],[NetAmount]]-Table__192.168.3.138BEWLPPMetaData[[#This Row],[Paid]]</f>
        <v>-1753</v>
      </c>
    </row>
    <row r="90" spans="1:35" hidden="1">
      <c r="A90" t="s">
        <v>8676</v>
      </c>
      <c r="B90" s="1">
        <v>41227</v>
      </c>
      <c r="C90" s="1">
        <v>41272</v>
      </c>
      <c r="D90" t="s">
        <v>8677</v>
      </c>
      <c r="E90">
        <v>-1027</v>
      </c>
      <c r="F90">
        <v>-164</v>
      </c>
      <c r="G90">
        <v>0</v>
      </c>
      <c r="H90">
        <v>0</v>
      </c>
      <c r="I90">
        <v>89</v>
      </c>
      <c r="J90">
        <v>-1191</v>
      </c>
      <c r="K90" t="s">
        <v>3497</v>
      </c>
      <c r="L90" s="1">
        <v>41179</v>
      </c>
      <c r="M90" t="s">
        <v>8678</v>
      </c>
      <c r="N90" t="s">
        <v>6694</v>
      </c>
      <c r="O90" t="s">
        <v>3507</v>
      </c>
      <c r="P90" t="s">
        <v>8679</v>
      </c>
      <c r="Q90" t="s">
        <v>39</v>
      </c>
      <c r="R90" t="s">
        <v>40</v>
      </c>
      <c r="S90">
        <v>0</v>
      </c>
      <c r="U90" t="s">
        <v>41</v>
      </c>
      <c r="V90" t="s">
        <v>42</v>
      </c>
      <c r="W90" t="s">
        <v>8680</v>
      </c>
      <c r="X90" t="s">
        <v>43</v>
      </c>
      <c r="Y90" t="b">
        <v>0</v>
      </c>
      <c r="Z90" t="b">
        <v>0</v>
      </c>
      <c r="AA90" t="b">
        <v>0</v>
      </c>
      <c r="AC90" s="1"/>
      <c r="AF90">
        <v>0</v>
      </c>
      <c r="AG90">
        <v>45</v>
      </c>
      <c r="AH90">
        <v>134</v>
      </c>
      <c r="AI90" s="2">
        <f>Table__192.168.3.138BEWLPPMetaData[[#This Row],[NetAmount]]-Table__192.168.3.138BEWLPPMetaData[[#This Row],[Paid]]</f>
        <v>-1191</v>
      </c>
    </row>
    <row r="91" spans="1:35" hidden="1">
      <c r="A91" t="s">
        <v>8681</v>
      </c>
      <c r="B91" s="1">
        <v>41228</v>
      </c>
      <c r="C91" s="1">
        <v>41273</v>
      </c>
      <c r="D91" t="s">
        <v>5509</v>
      </c>
      <c r="E91">
        <v>-5705</v>
      </c>
      <c r="F91">
        <v>-913</v>
      </c>
      <c r="G91">
        <v>0</v>
      </c>
      <c r="H91">
        <v>0</v>
      </c>
      <c r="I91">
        <v>45</v>
      </c>
      <c r="J91">
        <v>-6618</v>
      </c>
      <c r="K91" t="s">
        <v>8682</v>
      </c>
      <c r="L91" s="1">
        <v>41223</v>
      </c>
      <c r="N91" t="s">
        <v>6694</v>
      </c>
      <c r="O91" t="s">
        <v>3507</v>
      </c>
      <c r="P91" t="s">
        <v>354</v>
      </c>
      <c r="Q91" t="s">
        <v>39</v>
      </c>
      <c r="R91" t="s">
        <v>40</v>
      </c>
      <c r="S91">
        <v>0</v>
      </c>
      <c r="U91" t="s">
        <v>41</v>
      </c>
      <c r="V91" t="s">
        <v>42</v>
      </c>
      <c r="X91" t="s">
        <v>43</v>
      </c>
      <c r="Y91" t="b">
        <v>0</v>
      </c>
      <c r="Z91" t="b">
        <v>0</v>
      </c>
      <c r="AB91" t="s">
        <v>8654</v>
      </c>
      <c r="AC91" s="1">
        <v>41296</v>
      </c>
      <c r="AF91">
        <v>0</v>
      </c>
      <c r="AG91">
        <v>45</v>
      </c>
      <c r="AH91">
        <v>90</v>
      </c>
      <c r="AI91" s="2">
        <f>Table__192.168.3.138BEWLPPMetaData[[#This Row],[NetAmount]]-Table__192.168.3.138BEWLPPMetaData[[#This Row],[Paid]]</f>
        <v>-6618</v>
      </c>
    </row>
    <row r="92" spans="1:35" hidden="1">
      <c r="A92" t="s">
        <v>8683</v>
      </c>
      <c r="B92" s="1">
        <v>41227</v>
      </c>
      <c r="C92" s="1">
        <v>41272</v>
      </c>
      <c r="D92" t="s">
        <v>5529</v>
      </c>
      <c r="E92">
        <v>-1061</v>
      </c>
      <c r="F92">
        <v>-170</v>
      </c>
      <c r="G92">
        <v>0</v>
      </c>
      <c r="H92">
        <v>0</v>
      </c>
      <c r="I92">
        <v>150</v>
      </c>
      <c r="J92">
        <v>-1231</v>
      </c>
      <c r="K92" t="s">
        <v>8684</v>
      </c>
      <c r="L92" s="1">
        <v>41118</v>
      </c>
      <c r="N92" t="s">
        <v>6694</v>
      </c>
      <c r="O92" t="s">
        <v>3507</v>
      </c>
      <c r="P92" t="s">
        <v>8614</v>
      </c>
      <c r="Q92" t="s">
        <v>39</v>
      </c>
      <c r="R92" t="s">
        <v>40</v>
      </c>
      <c r="S92">
        <v>0</v>
      </c>
      <c r="U92" t="s">
        <v>41</v>
      </c>
      <c r="V92" t="s">
        <v>42</v>
      </c>
      <c r="X92" t="s">
        <v>43</v>
      </c>
      <c r="Y92" t="b">
        <v>0</v>
      </c>
      <c r="Z92" t="b">
        <v>0</v>
      </c>
      <c r="AC92" s="1"/>
      <c r="AF92">
        <v>0</v>
      </c>
      <c r="AG92">
        <v>45</v>
      </c>
      <c r="AH92">
        <v>195</v>
      </c>
      <c r="AI92" s="2">
        <f>Table__192.168.3.138BEWLPPMetaData[[#This Row],[NetAmount]]-Table__192.168.3.138BEWLPPMetaData[[#This Row],[Paid]]</f>
        <v>-1231</v>
      </c>
    </row>
    <row r="93" spans="1:35" hidden="1">
      <c r="A93" t="s">
        <v>8685</v>
      </c>
      <c r="B93" s="1">
        <v>41219</v>
      </c>
      <c r="C93" s="1">
        <v>41264</v>
      </c>
      <c r="D93" t="s">
        <v>8616</v>
      </c>
      <c r="E93">
        <v>-325</v>
      </c>
      <c r="F93">
        <v>-52</v>
      </c>
      <c r="G93">
        <v>0</v>
      </c>
      <c r="H93">
        <v>0</v>
      </c>
      <c r="I93">
        <v>130</v>
      </c>
      <c r="J93">
        <v>-377</v>
      </c>
      <c r="K93" t="s">
        <v>4157</v>
      </c>
      <c r="L93" s="1">
        <v>41138</v>
      </c>
      <c r="N93" t="s">
        <v>6694</v>
      </c>
      <c r="O93" t="s">
        <v>3507</v>
      </c>
      <c r="P93" t="s">
        <v>375</v>
      </c>
      <c r="Q93" t="s">
        <v>39</v>
      </c>
      <c r="R93" t="s">
        <v>40</v>
      </c>
      <c r="S93">
        <v>0</v>
      </c>
      <c r="U93" t="s">
        <v>41</v>
      </c>
      <c r="V93" t="s">
        <v>42</v>
      </c>
      <c r="X93" t="s">
        <v>43</v>
      </c>
      <c r="Y93" t="b">
        <v>0</v>
      </c>
      <c r="Z93" t="b">
        <v>0</v>
      </c>
      <c r="AC93" s="1"/>
      <c r="AF93">
        <v>0</v>
      </c>
      <c r="AG93">
        <v>45</v>
      </c>
      <c r="AH93">
        <v>175</v>
      </c>
      <c r="AI93" s="2">
        <f>Table__192.168.3.138BEWLPPMetaData[[#This Row],[NetAmount]]-Table__192.168.3.138BEWLPPMetaData[[#This Row],[Paid]]</f>
        <v>-377</v>
      </c>
    </row>
    <row r="94" spans="1:35" hidden="1">
      <c r="A94" t="s">
        <v>8686</v>
      </c>
      <c r="B94" s="1">
        <v>41219</v>
      </c>
      <c r="C94" s="1">
        <v>41264</v>
      </c>
      <c r="D94" t="s">
        <v>8563</v>
      </c>
      <c r="E94">
        <v>-3300</v>
      </c>
      <c r="F94">
        <v>-528</v>
      </c>
      <c r="G94">
        <v>0</v>
      </c>
      <c r="H94">
        <v>0</v>
      </c>
      <c r="I94">
        <v>63</v>
      </c>
      <c r="J94">
        <v>-3828</v>
      </c>
      <c r="K94" t="s">
        <v>3031</v>
      </c>
      <c r="L94" s="1">
        <v>41205</v>
      </c>
      <c r="N94" t="s">
        <v>6694</v>
      </c>
      <c r="O94" t="s">
        <v>3507</v>
      </c>
      <c r="P94" t="s">
        <v>409</v>
      </c>
      <c r="Q94" t="s">
        <v>39</v>
      </c>
      <c r="R94" t="s">
        <v>40</v>
      </c>
      <c r="S94">
        <v>0</v>
      </c>
      <c r="U94" t="s">
        <v>41</v>
      </c>
      <c r="V94" t="s">
        <v>42</v>
      </c>
      <c r="X94" t="s">
        <v>43</v>
      </c>
      <c r="Y94" t="b">
        <v>0</v>
      </c>
      <c r="Z94" t="b">
        <v>0</v>
      </c>
      <c r="AB94" t="s">
        <v>8664</v>
      </c>
      <c r="AC94" s="1">
        <v>41283</v>
      </c>
      <c r="AF94">
        <v>0</v>
      </c>
      <c r="AG94">
        <v>45</v>
      </c>
      <c r="AH94">
        <v>108</v>
      </c>
      <c r="AI94" s="2">
        <f>Table__192.168.3.138BEWLPPMetaData[[#This Row],[NetAmount]]-Table__192.168.3.138BEWLPPMetaData[[#This Row],[Paid]]</f>
        <v>-3828</v>
      </c>
    </row>
    <row r="95" spans="1:35" hidden="1">
      <c r="A95" t="s">
        <v>8687</v>
      </c>
      <c r="B95" s="1">
        <v>41227</v>
      </c>
      <c r="C95" s="1">
        <v>41227</v>
      </c>
      <c r="D95" t="s">
        <v>8666</v>
      </c>
      <c r="E95">
        <v>-289</v>
      </c>
      <c r="F95">
        <v>-46</v>
      </c>
      <c r="G95">
        <v>0</v>
      </c>
      <c r="H95">
        <v>0</v>
      </c>
      <c r="I95">
        <v>0</v>
      </c>
      <c r="J95">
        <v>-335</v>
      </c>
      <c r="K95" t="s">
        <v>4389</v>
      </c>
      <c r="L95" s="1">
        <v>41170</v>
      </c>
      <c r="N95" t="s">
        <v>6694</v>
      </c>
      <c r="O95" t="s">
        <v>3507</v>
      </c>
      <c r="P95" t="s">
        <v>8668</v>
      </c>
      <c r="Q95" t="s">
        <v>39</v>
      </c>
      <c r="R95" t="s">
        <v>40</v>
      </c>
      <c r="S95">
        <v>0</v>
      </c>
      <c r="U95" t="s">
        <v>41</v>
      </c>
      <c r="V95" t="s">
        <v>42</v>
      </c>
      <c r="X95" t="s">
        <v>43</v>
      </c>
      <c r="Y95" t="b">
        <v>0</v>
      </c>
      <c r="Z95" t="b">
        <v>0</v>
      </c>
      <c r="AC95" s="1"/>
      <c r="AF95">
        <v>0</v>
      </c>
      <c r="AH95">
        <v>143</v>
      </c>
      <c r="AI95" s="2">
        <f>Table__192.168.3.138BEWLPPMetaData[[#This Row],[NetAmount]]-Table__192.168.3.138BEWLPPMetaData[[#This Row],[Paid]]</f>
        <v>-335</v>
      </c>
    </row>
    <row r="96" spans="1:35" hidden="1">
      <c r="A96" t="s">
        <v>8688</v>
      </c>
      <c r="B96" s="1">
        <v>41250</v>
      </c>
      <c r="C96" s="1">
        <v>41295</v>
      </c>
      <c r="D96" t="s">
        <v>8640</v>
      </c>
      <c r="E96">
        <v>-19</v>
      </c>
      <c r="F96">
        <v>-3</v>
      </c>
      <c r="G96">
        <v>0</v>
      </c>
      <c r="H96">
        <v>0</v>
      </c>
      <c r="I96">
        <v>171</v>
      </c>
      <c r="J96">
        <v>-22</v>
      </c>
      <c r="K96" t="s">
        <v>8689</v>
      </c>
      <c r="L96" s="1">
        <v>41097</v>
      </c>
      <c r="M96" t="s">
        <v>8690</v>
      </c>
      <c r="N96" t="s">
        <v>6694</v>
      </c>
      <c r="O96" t="s">
        <v>3507</v>
      </c>
      <c r="P96" t="s">
        <v>323</v>
      </c>
      <c r="Q96" t="s">
        <v>39</v>
      </c>
      <c r="R96" t="s">
        <v>40</v>
      </c>
      <c r="S96">
        <v>0</v>
      </c>
      <c r="U96" t="s">
        <v>41</v>
      </c>
      <c r="V96" t="s">
        <v>42</v>
      </c>
      <c r="W96" t="s">
        <v>8691</v>
      </c>
      <c r="X96" t="s">
        <v>43</v>
      </c>
      <c r="Y96" t="b">
        <v>0</v>
      </c>
      <c r="Z96" t="b">
        <v>0</v>
      </c>
      <c r="AA96" t="b">
        <v>0</v>
      </c>
      <c r="AC96" s="1"/>
      <c r="AF96">
        <v>0</v>
      </c>
      <c r="AG96">
        <v>45</v>
      </c>
      <c r="AH96">
        <v>216</v>
      </c>
      <c r="AI96" s="2">
        <f>Table__192.168.3.138BEWLPPMetaData[[#This Row],[NetAmount]]-Table__192.168.3.138BEWLPPMetaData[[#This Row],[Paid]]</f>
        <v>-22</v>
      </c>
    </row>
    <row r="97" spans="1:35" hidden="1">
      <c r="A97" t="s">
        <v>8692</v>
      </c>
      <c r="B97" s="1">
        <v>41250</v>
      </c>
      <c r="C97" s="1">
        <v>41295</v>
      </c>
      <c r="D97" t="s">
        <v>8538</v>
      </c>
      <c r="E97">
        <v>-1847</v>
      </c>
      <c r="F97">
        <v>-295</v>
      </c>
      <c r="G97">
        <v>0</v>
      </c>
      <c r="H97">
        <v>0</v>
      </c>
      <c r="I97">
        <v>54</v>
      </c>
      <c r="J97">
        <v>-2142</v>
      </c>
      <c r="K97" t="s">
        <v>7334</v>
      </c>
      <c r="L97" s="1">
        <v>41214</v>
      </c>
      <c r="N97" t="s">
        <v>6694</v>
      </c>
      <c r="O97" t="s">
        <v>3507</v>
      </c>
      <c r="P97" t="s">
        <v>310</v>
      </c>
      <c r="Q97" t="s">
        <v>39</v>
      </c>
      <c r="R97" t="s">
        <v>40</v>
      </c>
      <c r="S97">
        <v>0</v>
      </c>
      <c r="U97" t="s">
        <v>41</v>
      </c>
      <c r="V97" t="s">
        <v>42</v>
      </c>
      <c r="X97" t="s">
        <v>43</v>
      </c>
      <c r="Y97" t="b">
        <v>0</v>
      </c>
      <c r="Z97" t="b">
        <v>0</v>
      </c>
      <c r="AC97" s="1"/>
      <c r="AF97">
        <v>0</v>
      </c>
      <c r="AG97">
        <v>45</v>
      </c>
      <c r="AH97">
        <v>99</v>
      </c>
      <c r="AI97" s="2">
        <f>Table__192.168.3.138BEWLPPMetaData[[#This Row],[NetAmount]]-Table__192.168.3.138BEWLPPMetaData[[#This Row],[Paid]]</f>
        <v>-2142</v>
      </c>
    </row>
    <row r="98" spans="1:35" hidden="1">
      <c r="A98" t="s">
        <v>8693</v>
      </c>
      <c r="B98" s="1">
        <v>41250</v>
      </c>
      <c r="C98" s="1">
        <v>41295</v>
      </c>
      <c r="D98" t="s">
        <v>8527</v>
      </c>
      <c r="E98">
        <v>-317</v>
      </c>
      <c r="F98">
        <v>-51</v>
      </c>
      <c r="G98">
        <v>0</v>
      </c>
      <c r="H98">
        <v>0</v>
      </c>
      <c r="I98">
        <v>104</v>
      </c>
      <c r="J98">
        <v>-368</v>
      </c>
      <c r="K98" t="s">
        <v>8694</v>
      </c>
      <c r="L98" s="1">
        <v>41164</v>
      </c>
      <c r="N98" t="s">
        <v>6694</v>
      </c>
      <c r="O98" t="s">
        <v>3507</v>
      </c>
      <c r="P98" t="s">
        <v>8528</v>
      </c>
      <c r="Q98" t="s">
        <v>39</v>
      </c>
      <c r="R98" t="s">
        <v>40</v>
      </c>
      <c r="S98">
        <v>0</v>
      </c>
      <c r="U98" t="s">
        <v>41</v>
      </c>
      <c r="V98" t="s">
        <v>42</v>
      </c>
      <c r="X98" t="s">
        <v>43</v>
      </c>
      <c r="Y98" t="b">
        <v>0</v>
      </c>
      <c r="Z98" t="b">
        <v>0</v>
      </c>
      <c r="AC98" s="1"/>
      <c r="AF98">
        <v>0</v>
      </c>
      <c r="AG98">
        <v>45</v>
      </c>
      <c r="AH98">
        <v>149</v>
      </c>
      <c r="AI98" s="2">
        <f>Table__192.168.3.138BEWLPPMetaData[[#This Row],[NetAmount]]-Table__192.168.3.138BEWLPPMetaData[[#This Row],[Paid]]</f>
        <v>-368</v>
      </c>
    </row>
    <row r="99" spans="1:35" hidden="1">
      <c r="A99" t="s">
        <v>8695</v>
      </c>
      <c r="B99" s="1">
        <v>41257</v>
      </c>
      <c r="C99" s="1">
        <v>41302</v>
      </c>
      <c r="D99" t="s">
        <v>8611</v>
      </c>
      <c r="E99">
        <v>-3324</v>
      </c>
      <c r="F99">
        <v>-532</v>
      </c>
      <c r="G99">
        <v>0</v>
      </c>
      <c r="H99">
        <v>0</v>
      </c>
      <c r="I99">
        <v>41</v>
      </c>
      <c r="J99">
        <v>-3856</v>
      </c>
      <c r="K99" t="s">
        <v>8696</v>
      </c>
      <c r="L99" s="1">
        <v>41227</v>
      </c>
      <c r="N99" t="s">
        <v>6694</v>
      </c>
      <c r="O99" t="s">
        <v>3507</v>
      </c>
      <c r="P99" t="s">
        <v>8612</v>
      </c>
      <c r="Q99" t="s">
        <v>39</v>
      </c>
      <c r="R99" t="s">
        <v>40</v>
      </c>
      <c r="S99">
        <v>0</v>
      </c>
      <c r="U99" t="s">
        <v>41</v>
      </c>
      <c r="V99" t="s">
        <v>42</v>
      </c>
      <c r="X99" t="s">
        <v>43</v>
      </c>
      <c r="Y99" t="b">
        <v>0</v>
      </c>
      <c r="Z99" t="b">
        <v>0</v>
      </c>
      <c r="AC99" s="1"/>
      <c r="AF99">
        <v>0</v>
      </c>
      <c r="AG99">
        <v>45</v>
      </c>
      <c r="AH99">
        <v>86</v>
      </c>
      <c r="AI99" s="2">
        <f>Table__192.168.3.138BEWLPPMetaData[[#This Row],[NetAmount]]-Table__192.168.3.138BEWLPPMetaData[[#This Row],[Paid]]</f>
        <v>-3856</v>
      </c>
    </row>
    <row r="100" spans="1:35" hidden="1">
      <c r="A100" t="s">
        <v>8697</v>
      </c>
      <c r="B100" s="1">
        <v>41250</v>
      </c>
      <c r="C100" s="1">
        <v>41295</v>
      </c>
      <c r="D100" t="s">
        <v>5509</v>
      </c>
      <c r="E100">
        <v>-2018</v>
      </c>
      <c r="F100">
        <v>-323</v>
      </c>
      <c r="G100">
        <v>0</v>
      </c>
      <c r="H100">
        <v>0</v>
      </c>
      <c r="I100">
        <v>104</v>
      </c>
      <c r="J100">
        <v>-2341</v>
      </c>
      <c r="K100" t="s">
        <v>8698</v>
      </c>
      <c r="L100" s="1">
        <v>41164</v>
      </c>
      <c r="N100" t="s">
        <v>6694</v>
      </c>
      <c r="O100" t="s">
        <v>3507</v>
      </c>
      <c r="P100" t="s">
        <v>354</v>
      </c>
      <c r="Q100" t="s">
        <v>39</v>
      </c>
      <c r="R100" t="s">
        <v>40</v>
      </c>
      <c r="S100">
        <v>0</v>
      </c>
      <c r="U100" t="s">
        <v>41</v>
      </c>
      <c r="V100" t="s">
        <v>42</v>
      </c>
      <c r="X100" t="s">
        <v>43</v>
      </c>
      <c r="Y100" t="b">
        <v>0</v>
      </c>
      <c r="Z100" t="b">
        <v>0</v>
      </c>
      <c r="AC100" s="1"/>
      <c r="AF100">
        <v>0</v>
      </c>
      <c r="AG100">
        <v>45</v>
      </c>
      <c r="AH100">
        <v>149</v>
      </c>
      <c r="AI100" s="2">
        <f>Table__192.168.3.138BEWLPPMetaData[[#This Row],[NetAmount]]-Table__192.168.3.138BEWLPPMetaData[[#This Row],[Paid]]</f>
        <v>-2341</v>
      </c>
    </row>
    <row r="101" spans="1:35" hidden="1">
      <c r="A101" t="s">
        <v>8699</v>
      </c>
      <c r="B101" s="1">
        <v>41250</v>
      </c>
      <c r="C101" s="1">
        <v>41295</v>
      </c>
      <c r="D101" t="s">
        <v>8547</v>
      </c>
      <c r="E101">
        <v>-186</v>
      </c>
      <c r="F101">
        <v>-30</v>
      </c>
      <c r="G101">
        <v>0</v>
      </c>
      <c r="H101">
        <v>0</v>
      </c>
      <c r="I101">
        <v>29</v>
      </c>
      <c r="J101">
        <v>-216</v>
      </c>
      <c r="K101" t="s">
        <v>8700</v>
      </c>
      <c r="L101" s="1">
        <v>41239</v>
      </c>
      <c r="M101" t="s">
        <v>8701</v>
      </c>
      <c r="N101" t="s">
        <v>6694</v>
      </c>
      <c r="O101" t="s">
        <v>3507</v>
      </c>
      <c r="P101" t="s">
        <v>8548</v>
      </c>
      <c r="Q101" t="s">
        <v>39</v>
      </c>
      <c r="R101" t="s">
        <v>40</v>
      </c>
      <c r="S101">
        <v>0</v>
      </c>
      <c r="U101" t="s">
        <v>41</v>
      </c>
      <c r="V101" t="s">
        <v>42</v>
      </c>
      <c r="W101" t="s">
        <v>8702</v>
      </c>
      <c r="X101" t="s">
        <v>43</v>
      </c>
      <c r="Y101" t="b">
        <v>0</v>
      </c>
      <c r="Z101" t="b">
        <v>0</v>
      </c>
      <c r="AA101" t="b">
        <v>0</v>
      </c>
      <c r="AC101" s="1"/>
      <c r="AF101">
        <v>0</v>
      </c>
      <c r="AG101">
        <v>45</v>
      </c>
      <c r="AH101">
        <v>74</v>
      </c>
      <c r="AI101" s="2">
        <f>Table__192.168.3.138BEWLPPMetaData[[#This Row],[NetAmount]]-Table__192.168.3.138BEWLPPMetaData[[#This Row],[Paid]]</f>
        <v>-216</v>
      </c>
    </row>
    <row r="102" spans="1:35" hidden="1">
      <c r="A102" t="s">
        <v>8703</v>
      </c>
      <c r="B102" s="1">
        <v>41250</v>
      </c>
      <c r="C102" s="1">
        <v>41295</v>
      </c>
      <c r="D102" t="s">
        <v>5529</v>
      </c>
      <c r="E102">
        <v>-123</v>
      </c>
      <c r="F102">
        <v>-20</v>
      </c>
      <c r="G102">
        <v>0</v>
      </c>
      <c r="H102">
        <v>0</v>
      </c>
      <c r="I102">
        <v>161</v>
      </c>
      <c r="J102">
        <v>-143</v>
      </c>
      <c r="K102" t="s">
        <v>3521</v>
      </c>
      <c r="L102" s="1">
        <v>41107</v>
      </c>
      <c r="N102" t="s">
        <v>6694</v>
      </c>
      <c r="O102" t="s">
        <v>3507</v>
      </c>
      <c r="P102" t="s">
        <v>8614</v>
      </c>
      <c r="Q102" t="s">
        <v>39</v>
      </c>
      <c r="R102" t="s">
        <v>40</v>
      </c>
      <c r="S102">
        <v>0</v>
      </c>
      <c r="U102" t="s">
        <v>41</v>
      </c>
      <c r="V102" t="s">
        <v>42</v>
      </c>
      <c r="X102" t="s">
        <v>43</v>
      </c>
      <c r="Y102" t="b">
        <v>0</v>
      </c>
      <c r="Z102" t="b">
        <v>0</v>
      </c>
      <c r="AC102" s="1"/>
      <c r="AF102">
        <v>0</v>
      </c>
      <c r="AG102">
        <v>45</v>
      </c>
      <c r="AH102">
        <v>206</v>
      </c>
      <c r="AI102" s="2">
        <f>Table__192.168.3.138BEWLPPMetaData[[#This Row],[NetAmount]]-Table__192.168.3.138BEWLPPMetaData[[#This Row],[Paid]]</f>
        <v>-143</v>
      </c>
    </row>
    <row r="103" spans="1:35" hidden="1">
      <c r="A103" t="s">
        <v>8704</v>
      </c>
      <c r="B103" s="1">
        <v>41257</v>
      </c>
      <c r="C103" s="1">
        <v>41302</v>
      </c>
      <c r="D103" t="s">
        <v>8570</v>
      </c>
      <c r="E103">
        <v>-6520</v>
      </c>
      <c r="F103">
        <v>-1043</v>
      </c>
      <c r="G103">
        <v>0</v>
      </c>
      <c r="H103">
        <v>0</v>
      </c>
      <c r="I103">
        <v>81</v>
      </c>
      <c r="J103">
        <v>-7563</v>
      </c>
      <c r="K103" t="s">
        <v>8705</v>
      </c>
      <c r="L103" s="1">
        <v>41187</v>
      </c>
      <c r="N103" t="s">
        <v>6694</v>
      </c>
      <c r="O103" t="s">
        <v>3507</v>
      </c>
      <c r="P103" t="s">
        <v>8571</v>
      </c>
      <c r="Q103" t="s">
        <v>39</v>
      </c>
      <c r="R103" t="s">
        <v>40</v>
      </c>
      <c r="S103">
        <v>0</v>
      </c>
      <c r="U103" t="s">
        <v>41</v>
      </c>
      <c r="V103" t="s">
        <v>42</v>
      </c>
      <c r="X103" t="s">
        <v>43</v>
      </c>
      <c r="Y103" t="b">
        <v>0</v>
      </c>
      <c r="Z103" t="b">
        <v>0</v>
      </c>
      <c r="AC103" s="1"/>
      <c r="AF103">
        <v>0</v>
      </c>
      <c r="AG103">
        <v>45</v>
      </c>
      <c r="AH103">
        <v>126</v>
      </c>
      <c r="AI103" s="2">
        <f>Table__192.168.3.138BEWLPPMetaData[[#This Row],[NetAmount]]-Table__192.168.3.138BEWLPPMetaData[[#This Row],[Paid]]</f>
        <v>-7563</v>
      </c>
    </row>
    <row r="104" spans="1:35" hidden="1">
      <c r="A104" t="s">
        <v>8706</v>
      </c>
      <c r="B104" s="1">
        <v>41257</v>
      </c>
      <c r="C104" s="1">
        <v>41302</v>
      </c>
      <c r="D104" t="s">
        <v>8588</v>
      </c>
      <c r="E104">
        <v>-2003</v>
      </c>
      <c r="F104">
        <v>-321</v>
      </c>
      <c r="G104">
        <v>0</v>
      </c>
      <c r="H104">
        <v>0</v>
      </c>
      <c r="I104">
        <v>117</v>
      </c>
      <c r="J104">
        <v>-2324</v>
      </c>
      <c r="K104" t="s">
        <v>8707</v>
      </c>
      <c r="L104" s="1">
        <v>41151</v>
      </c>
      <c r="N104" t="s">
        <v>6694</v>
      </c>
      <c r="O104" t="s">
        <v>3507</v>
      </c>
      <c r="P104" t="s">
        <v>8589</v>
      </c>
      <c r="Q104" t="s">
        <v>39</v>
      </c>
      <c r="R104" t="s">
        <v>40</v>
      </c>
      <c r="S104">
        <v>0</v>
      </c>
      <c r="U104" t="s">
        <v>41</v>
      </c>
      <c r="V104" t="s">
        <v>42</v>
      </c>
      <c r="X104" t="s">
        <v>43</v>
      </c>
      <c r="Y104" t="b">
        <v>0</v>
      </c>
      <c r="Z104" t="b">
        <v>0</v>
      </c>
      <c r="AC104" s="1"/>
      <c r="AF104">
        <v>0</v>
      </c>
      <c r="AG104">
        <v>45</v>
      </c>
      <c r="AH104">
        <v>162</v>
      </c>
      <c r="AI104" s="2">
        <f>Table__192.168.3.138BEWLPPMetaData[[#This Row],[NetAmount]]-Table__192.168.3.138BEWLPPMetaData[[#This Row],[Paid]]</f>
        <v>-2324</v>
      </c>
    </row>
    <row r="105" spans="1:35" hidden="1">
      <c r="A105" t="s">
        <v>8708</v>
      </c>
      <c r="B105" s="1">
        <v>41250</v>
      </c>
      <c r="C105" s="1">
        <v>41295</v>
      </c>
      <c r="D105" t="s">
        <v>8616</v>
      </c>
      <c r="E105">
        <v>-175665</v>
      </c>
      <c r="F105">
        <v>-28106</v>
      </c>
      <c r="G105">
        <v>0</v>
      </c>
      <c r="H105">
        <v>0</v>
      </c>
      <c r="I105">
        <v>137</v>
      </c>
      <c r="J105">
        <v>-203771</v>
      </c>
      <c r="K105" t="s">
        <v>8709</v>
      </c>
      <c r="L105" s="1">
        <v>41131</v>
      </c>
      <c r="N105" t="s">
        <v>6694</v>
      </c>
      <c r="O105" t="s">
        <v>3507</v>
      </c>
      <c r="P105" t="s">
        <v>375</v>
      </c>
      <c r="Q105" t="s">
        <v>39</v>
      </c>
      <c r="R105" t="s">
        <v>40</v>
      </c>
      <c r="S105">
        <v>0</v>
      </c>
      <c r="U105" t="s">
        <v>41</v>
      </c>
      <c r="V105" t="s">
        <v>42</v>
      </c>
      <c r="X105" t="s">
        <v>43</v>
      </c>
      <c r="Y105" t="b">
        <v>0</v>
      </c>
      <c r="Z105" t="b">
        <v>0</v>
      </c>
      <c r="AC105" s="1"/>
      <c r="AF105">
        <v>0</v>
      </c>
      <c r="AG105">
        <v>45</v>
      </c>
      <c r="AH105">
        <v>182</v>
      </c>
      <c r="AI105" s="2">
        <f>Table__192.168.3.138BEWLPPMetaData[[#This Row],[NetAmount]]-Table__192.168.3.138BEWLPPMetaData[[#This Row],[Paid]]</f>
        <v>-203771</v>
      </c>
    </row>
    <row r="106" spans="1:35" hidden="1">
      <c r="A106" t="s">
        <v>8710</v>
      </c>
      <c r="B106" s="1">
        <v>41257</v>
      </c>
      <c r="C106" s="1">
        <v>41302</v>
      </c>
      <c r="D106" t="s">
        <v>8563</v>
      </c>
      <c r="E106">
        <v>-3630</v>
      </c>
      <c r="F106">
        <v>-581</v>
      </c>
      <c r="G106">
        <v>0</v>
      </c>
      <c r="H106">
        <v>0</v>
      </c>
      <c r="I106">
        <v>33</v>
      </c>
      <c r="J106">
        <v>-4211</v>
      </c>
      <c r="K106" t="s">
        <v>957</v>
      </c>
      <c r="L106" s="1">
        <v>41235</v>
      </c>
      <c r="N106" t="s">
        <v>6694</v>
      </c>
      <c r="O106" t="s">
        <v>3507</v>
      </c>
      <c r="P106" t="s">
        <v>409</v>
      </c>
      <c r="Q106" t="s">
        <v>39</v>
      </c>
      <c r="R106" t="s">
        <v>40</v>
      </c>
      <c r="S106">
        <v>0</v>
      </c>
      <c r="U106" t="s">
        <v>41</v>
      </c>
      <c r="V106" t="s">
        <v>42</v>
      </c>
      <c r="X106" t="s">
        <v>43</v>
      </c>
      <c r="Y106" t="b">
        <v>0</v>
      </c>
      <c r="Z106" t="b">
        <v>0</v>
      </c>
      <c r="AC106" s="1"/>
      <c r="AF106">
        <v>0</v>
      </c>
      <c r="AG106">
        <v>45</v>
      </c>
      <c r="AH106">
        <v>78</v>
      </c>
      <c r="AI106" s="2">
        <f>Table__192.168.3.138BEWLPPMetaData[[#This Row],[NetAmount]]-Table__192.168.3.138BEWLPPMetaData[[#This Row],[Paid]]</f>
        <v>-4211</v>
      </c>
    </row>
    <row r="107" spans="1:35" hidden="1">
      <c r="A107" t="s">
        <v>8711</v>
      </c>
      <c r="B107" s="1">
        <v>41250</v>
      </c>
      <c r="C107" s="1">
        <v>41250</v>
      </c>
      <c r="D107" t="s">
        <v>8672</v>
      </c>
      <c r="E107">
        <v>-360</v>
      </c>
      <c r="F107">
        <v>0</v>
      </c>
      <c r="G107">
        <v>0</v>
      </c>
      <c r="H107">
        <v>0</v>
      </c>
      <c r="I107">
        <v>0</v>
      </c>
      <c r="J107">
        <v>-360</v>
      </c>
      <c r="K107" t="s">
        <v>8712</v>
      </c>
      <c r="L107" s="1">
        <v>41217</v>
      </c>
      <c r="N107" t="s">
        <v>6694</v>
      </c>
      <c r="O107" t="s">
        <v>3507</v>
      </c>
      <c r="P107" t="s">
        <v>417</v>
      </c>
      <c r="Q107" t="s">
        <v>39</v>
      </c>
      <c r="R107" t="s">
        <v>40</v>
      </c>
      <c r="S107">
        <v>0</v>
      </c>
      <c r="U107" t="s">
        <v>41</v>
      </c>
      <c r="V107" t="s">
        <v>42</v>
      </c>
      <c r="X107" t="s">
        <v>43</v>
      </c>
      <c r="Y107" t="b">
        <v>0</v>
      </c>
      <c r="Z107" t="b">
        <v>0</v>
      </c>
      <c r="AC107" s="1"/>
      <c r="AF107">
        <v>0</v>
      </c>
      <c r="AH107">
        <v>96</v>
      </c>
      <c r="AI107" s="2">
        <f>Table__192.168.3.138BEWLPPMetaData[[#This Row],[NetAmount]]-Table__192.168.3.138BEWLPPMetaData[[#This Row],[Paid]]</f>
        <v>-360</v>
      </c>
    </row>
    <row r="108" spans="1:35" hidden="1">
      <c r="A108" t="s">
        <v>8713</v>
      </c>
      <c r="B108" s="1">
        <v>40999</v>
      </c>
      <c r="C108" s="1">
        <v>40999</v>
      </c>
      <c r="D108" t="s">
        <v>8714</v>
      </c>
      <c r="E108">
        <v>64030</v>
      </c>
      <c r="F108">
        <v>10244.799999999999</v>
      </c>
      <c r="G108">
        <v>0</v>
      </c>
      <c r="H108">
        <v>0</v>
      </c>
      <c r="I108">
        <v>0</v>
      </c>
      <c r="J108">
        <v>74275</v>
      </c>
      <c r="L108" s="1"/>
      <c r="N108" t="s">
        <v>36</v>
      </c>
      <c r="O108" t="s">
        <v>6047</v>
      </c>
      <c r="P108" t="s">
        <v>8715</v>
      </c>
      <c r="Q108" t="s">
        <v>39</v>
      </c>
      <c r="R108" t="s">
        <v>40</v>
      </c>
      <c r="S108">
        <v>0</v>
      </c>
      <c r="U108" t="s">
        <v>41</v>
      </c>
      <c r="V108" t="s">
        <v>42</v>
      </c>
      <c r="X108" t="s">
        <v>74</v>
      </c>
      <c r="Y108" t="b">
        <v>0</v>
      </c>
      <c r="Z108" t="b">
        <v>0</v>
      </c>
      <c r="AC108" s="1"/>
      <c r="AF108">
        <v>0</v>
      </c>
      <c r="AG108">
        <v>45</v>
      </c>
      <c r="AI108" s="2">
        <f>Table__192.168.3.138BEWLPPMetaData[[#This Row],[NetAmount]]-Table__192.168.3.138BEWLPPMetaData[[#This Row],[Paid]]</f>
        <v>74275</v>
      </c>
    </row>
    <row r="109" spans="1:35" hidden="1">
      <c r="A109" t="s">
        <v>8716</v>
      </c>
      <c r="B109" s="1">
        <v>41023</v>
      </c>
      <c r="C109" s="1">
        <v>41068</v>
      </c>
      <c r="D109" t="s">
        <v>8717</v>
      </c>
      <c r="E109">
        <v>112489</v>
      </c>
      <c r="F109">
        <v>17998</v>
      </c>
      <c r="G109">
        <v>0</v>
      </c>
      <c r="H109">
        <v>0</v>
      </c>
      <c r="I109">
        <v>322</v>
      </c>
      <c r="J109">
        <v>130487</v>
      </c>
      <c r="K109" t="s">
        <v>8718</v>
      </c>
      <c r="L109" s="1">
        <v>40946</v>
      </c>
      <c r="N109" t="s">
        <v>36</v>
      </c>
      <c r="O109" t="s">
        <v>6047</v>
      </c>
      <c r="P109" t="s">
        <v>8719</v>
      </c>
      <c r="Q109" t="s">
        <v>39</v>
      </c>
      <c r="R109" t="s">
        <v>40</v>
      </c>
      <c r="S109">
        <v>0</v>
      </c>
      <c r="U109" t="s">
        <v>41</v>
      </c>
      <c r="V109" t="s">
        <v>42</v>
      </c>
      <c r="X109" t="s">
        <v>74</v>
      </c>
      <c r="Y109" t="b">
        <v>0</v>
      </c>
      <c r="Z109" t="b">
        <v>0</v>
      </c>
      <c r="AC109" s="1"/>
      <c r="AF109">
        <v>0</v>
      </c>
      <c r="AG109">
        <v>45</v>
      </c>
      <c r="AH109">
        <v>367</v>
      </c>
      <c r="AI109" s="2">
        <f>Table__192.168.3.138BEWLPPMetaData[[#This Row],[NetAmount]]-Table__192.168.3.138BEWLPPMetaData[[#This Row],[Paid]]</f>
        <v>130487</v>
      </c>
    </row>
    <row r="110" spans="1:35" hidden="1">
      <c r="A110" t="s">
        <v>8720</v>
      </c>
      <c r="B110" s="1">
        <v>41030</v>
      </c>
      <c r="C110" s="1">
        <v>41075</v>
      </c>
      <c r="D110" t="s">
        <v>8721</v>
      </c>
      <c r="E110">
        <v>5425</v>
      </c>
      <c r="F110">
        <v>868</v>
      </c>
      <c r="G110">
        <v>0</v>
      </c>
      <c r="H110">
        <v>0</v>
      </c>
      <c r="I110">
        <v>299</v>
      </c>
      <c r="J110">
        <v>6293</v>
      </c>
      <c r="K110" t="s">
        <v>8722</v>
      </c>
      <c r="L110" s="1">
        <v>40969</v>
      </c>
      <c r="N110" t="s">
        <v>36</v>
      </c>
      <c r="O110" t="s">
        <v>6047</v>
      </c>
      <c r="P110" t="s">
        <v>8723</v>
      </c>
      <c r="Q110" t="s">
        <v>39</v>
      </c>
      <c r="R110" t="s">
        <v>40</v>
      </c>
      <c r="S110">
        <v>0</v>
      </c>
      <c r="U110" t="s">
        <v>41</v>
      </c>
      <c r="V110" t="s">
        <v>42</v>
      </c>
      <c r="X110" t="s">
        <v>74</v>
      </c>
      <c r="Y110" t="b">
        <v>0</v>
      </c>
      <c r="Z110" t="b">
        <v>0</v>
      </c>
      <c r="AC110" s="1"/>
      <c r="AF110">
        <v>0</v>
      </c>
      <c r="AG110">
        <v>45</v>
      </c>
      <c r="AH110">
        <v>344</v>
      </c>
      <c r="AI110" s="2">
        <f>Table__192.168.3.138BEWLPPMetaData[[#This Row],[NetAmount]]-Table__192.168.3.138BEWLPPMetaData[[#This Row],[Paid]]</f>
        <v>6293</v>
      </c>
    </row>
    <row r="111" spans="1:35" hidden="1">
      <c r="A111" t="s">
        <v>8724</v>
      </c>
      <c r="B111" s="1">
        <v>41033</v>
      </c>
      <c r="C111" s="1">
        <v>41078</v>
      </c>
      <c r="D111" t="s">
        <v>8725</v>
      </c>
      <c r="E111">
        <v>5500</v>
      </c>
      <c r="F111">
        <v>0</v>
      </c>
      <c r="G111">
        <v>0</v>
      </c>
      <c r="H111">
        <v>0</v>
      </c>
      <c r="I111">
        <v>235</v>
      </c>
      <c r="J111">
        <v>5500</v>
      </c>
      <c r="K111" t="s">
        <v>8726</v>
      </c>
      <c r="L111" s="1">
        <v>41033</v>
      </c>
      <c r="N111" t="s">
        <v>36</v>
      </c>
      <c r="O111" t="s">
        <v>6047</v>
      </c>
      <c r="P111" t="s">
        <v>8727</v>
      </c>
      <c r="Q111" t="s">
        <v>39</v>
      </c>
      <c r="R111" t="s">
        <v>40</v>
      </c>
      <c r="S111">
        <v>0</v>
      </c>
      <c r="U111" t="s">
        <v>41</v>
      </c>
      <c r="V111" t="s">
        <v>42</v>
      </c>
      <c r="X111" t="s">
        <v>74</v>
      </c>
      <c r="Y111" t="b">
        <v>0</v>
      </c>
      <c r="Z111" t="b">
        <v>0</v>
      </c>
      <c r="AC111" s="1"/>
      <c r="AF111">
        <v>0</v>
      </c>
      <c r="AG111">
        <v>45</v>
      </c>
      <c r="AH111">
        <v>280</v>
      </c>
      <c r="AI111" s="2">
        <f>Table__192.168.3.138BEWLPPMetaData[[#This Row],[NetAmount]]-Table__192.168.3.138BEWLPPMetaData[[#This Row],[Paid]]</f>
        <v>5500</v>
      </c>
    </row>
    <row r="112" spans="1:35" hidden="1">
      <c r="A112" t="s">
        <v>8728</v>
      </c>
      <c r="B112" s="1">
        <v>41041</v>
      </c>
      <c r="C112" s="1">
        <v>41086</v>
      </c>
      <c r="D112" t="s">
        <v>8725</v>
      </c>
      <c r="E112">
        <v>22000</v>
      </c>
      <c r="F112">
        <v>0</v>
      </c>
      <c r="G112">
        <v>0</v>
      </c>
      <c r="H112">
        <v>0</v>
      </c>
      <c r="I112">
        <v>228</v>
      </c>
      <c r="J112">
        <v>22000</v>
      </c>
      <c r="K112" t="s">
        <v>8729</v>
      </c>
      <c r="L112" s="1">
        <v>41040</v>
      </c>
      <c r="N112" t="s">
        <v>36</v>
      </c>
      <c r="O112" t="s">
        <v>6047</v>
      </c>
      <c r="P112" t="s">
        <v>8727</v>
      </c>
      <c r="Q112" t="s">
        <v>39</v>
      </c>
      <c r="R112" t="s">
        <v>40</v>
      </c>
      <c r="S112">
        <v>0</v>
      </c>
      <c r="U112" t="s">
        <v>41</v>
      </c>
      <c r="V112" t="s">
        <v>42</v>
      </c>
      <c r="X112" t="s">
        <v>74</v>
      </c>
      <c r="Y112" t="b">
        <v>0</v>
      </c>
      <c r="Z112" t="b">
        <v>0</v>
      </c>
      <c r="AC112" s="1"/>
      <c r="AF112">
        <v>0</v>
      </c>
      <c r="AG112">
        <v>45</v>
      </c>
      <c r="AH112">
        <v>273</v>
      </c>
      <c r="AI112" s="2">
        <f>Table__192.168.3.138BEWLPPMetaData[[#This Row],[NetAmount]]-Table__192.168.3.138BEWLPPMetaData[[#This Row],[Paid]]</f>
        <v>22000</v>
      </c>
    </row>
    <row r="113" spans="1:35" hidden="1">
      <c r="A113" t="s">
        <v>8730</v>
      </c>
      <c r="B113" s="1">
        <v>41038</v>
      </c>
      <c r="C113" s="1">
        <v>41083</v>
      </c>
      <c r="D113" t="s">
        <v>8725</v>
      </c>
      <c r="E113">
        <v>5500</v>
      </c>
      <c r="F113">
        <v>0</v>
      </c>
      <c r="G113">
        <v>0</v>
      </c>
      <c r="H113">
        <v>0</v>
      </c>
      <c r="I113">
        <v>231</v>
      </c>
      <c r="J113">
        <v>5500</v>
      </c>
      <c r="K113" t="s">
        <v>2062</v>
      </c>
      <c r="L113" s="1">
        <v>41037</v>
      </c>
      <c r="N113" t="s">
        <v>36</v>
      </c>
      <c r="O113" t="s">
        <v>6047</v>
      </c>
      <c r="P113" t="s">
        <v>8727</v>
      </c>
      <c r="Q113" t="s">
        <v>39</v>
      </c>
      <c r="R113" t="s">
        <v>40</v>
      </c>
      <c r="S113">
        <v>0</v>
      </c>
      <c r="U113" t="s">
        <v>41</v>
      </c>
      <c r="V113" t="s">
        <v>42</v>
      </c>
      <c r="X113" t="s">
        <v>74</v>
      </c>
      <c r="Y113" t="b">
        <v>0</v>
      </c>
      <c r="Z113" t="b">
        <v>0</v>
      </c>
      <c r="AC113" s="1"/>
      <c r="AF113">
        <v>0</v>
      </c>
      <c r="AG113">
        <v>45</v>
      </c>
      <c r="AH113">
        <v>276</v>
      </c>
      <c r="AI113" s="2">
        <f>Table__192.168.3.138BEWLPPMetaData[[#This Row],[NetAmount]]-Table__192.168.3.138BEWLPPMetaData[[#This Row],[Paid]]</f>
        <v>5500</v>
      </c>
    </row>
    <row r="114" spans="1:35" hidden="1">
      <c r="A114" t="s">
        <v>8731</v>
      </c>
      <c r="B114" s="1">
        <v>41054</v>
      </c>
      <c r="C114" s="1">
        <v>41099</v>
      </c>
      <c r="D114" t="s">
        <v>8725</v>
      </c>
      <c r="E114">
        <v>22000</v>
      </c>
      <c r="F114">
        <v>0</v>
      </c>
      <c r="G114">
        <v>0</v>
      </c>
      <c r="H114">
        <v>0</v>
      </c>
      <c r="I114">
        <v>214</v>
      </c>
      <c r="J114">
        <v>22000</v>
      </c>
      <c r="K114" t="s">
        <v>8732</v>
      </c>
      <c r="L114" s="1">
        <v>41054</v>
      </c>
      <c r="N114" t="s">
        <v>36</v>
      </c>
      <c r="O114" t="s">
        <v>6047</v>
      </c>
      <c r="P114" t="s">
        <v>8727</v>
      </c>
      <c r="Q114" t="s">
        <v>39</v>
      </c>
      <c r="R114" t="s">
        <v>40</v>
      </c>
      <c r="S114">
        <v>0</v>
      </c>
      <c r="U114" t="s">
        <v>41</v>
      </c>
      <c r="V114" t="s">
        <v>42</v>
      </c>
      <c r="X114" t="s">
        <v>74</v>
      </c>
      <c r="Y114" t="b">
        <v>0</v>
      </c>
      <c r="Z114" t="b">
        <v>0</v>
      </c>
      <c r="AC114" s="1"/>
      <c r="AF114">
        <v>0</v>
      </c>
      <c r="AG114">
        <v>45</v>
      </c>
      <c r="AH114">
        <v>259</v>
      </c>
      <c r="AI114" s="2">
        <f>Table__192.168.3.138BEWLPPMetaData[[#This Row],[NetAmount]]-Table__192.168.3.138BEWLPPMetaData[[#This Row],[Paid]]</f>
        <v>22000</v>
      </c>
    </row>
    <row r="115" spans="1:35" hidden="1">
      <c r="A115" t="s">
        <v>8733</v>
      </c>
      <c r="B115" s="1">
        <v>41060</v>
      </c>
      <c r="C115" s="1">
        <v>41105</v>
      </c>
      <c r="D115" t="s">
        <v>8721</v>
      </c>
      <c r="E115">
        <v>13125</v>
      </c>
      <c r="F115">
        <v>2100</v>
      </c>
      <c r="G115">
        <v>0</v>
      </c>
      <c r="H115">
        <v>0</v>
      </c>
      <c r="I115">
        <v>210</v>
      </c>
      <c r="J115">
        <v>15225</v>
      </c>
      <c r="K115" t="s">
        <v>8734</v>
      </c>
      <c r="L115" s="1">
        <v>41058</v>
      </c>
      <c r="N115" t="s">
        <v>36</v>
      </c>
      <c r="O115" t="s">
        <v>6047</v>
      </c>
      <c r="P115" t="s">
        <v>8723</v>
      </c>
      <c r="Q115" t="s">
        <v>39</v>
      </c>
      <c r="R115" t="s">
        <v>40</v>
      </c>
      <c r="S115">
        <v>0</v>
      </c>
      <c r="U115" t="s">
        <v>41</v>
      </c>
      <c r="V115" t="s">
        <v>42</v>
      </c>
      <c r="X115" t="s">
        <v>74</v>
      </c>
      <c r="Y115" t="b">
        <v>0</v>
      </c>
      <c r="Z115" t="b">
        <v>0</v>
      </c>
      <c r="AC115" s="1"/>
      <c r="AF115">
        <v>0</v>
      </c>
      <c r="AG115">
        <v>45</v>
      </c>
      <c r="AH115">
        <v>255</v>
      </c>
      <c r="AI115" s="2">
        <f>Table__192.168.3.138BEWLPPMetaData[[#This Row],[NetAmount]]-Table__192.168.3.138BEWLPPMetaData[[#This Row],[Paid]]</f>
        <v>15225</v>
      </c>
    </row>
    <row r="116" spans="1:35" hidden="1">
      <c r="A116" t="s">
        <v>8735</v>
      </c>
      <c r="B116" s="1">
        <v>41060</v>
      </c>
      <c r="C116" s="1">
        <v>41105</v>
      </c>
      <c r="D116" t="s">
        <v>8721</v>
      </c>
      <c r="E116">
        <v>12428</v>
      </c>
      <c r="F116">
        <v>1988</v>
      </c>
      <c r="G116">
        <v>0</v>
      </c>
      <c r="H116">
        <v>0</v>
      </c>
      <c r="I116">
        <v>227</v>
      </c>
      <c r="J116">
        <v>14416</v>
      </c>
      <c r="K116" t="s">
        <v>8736</v>
      </c>
      <c r="L116" s="1">
        <v>41041</v>
      </c>
      <c r="N116" t="s">
        <v>36</v>
      </c>
      <c r="O116" t="s">
        <v>6047</v>
      </c>
      <c r="P116" t="s">
        <v>8723</v>
      </c>
      <c r="Q116" t="s">
        <v>39</v>
      </c>
      <c r="R116" t="s">
        <v>40</v>
      </c>
      <c r="S116">
        <v>0</v>
      </c>
      <c r="U116" t="s">
        <v>41</v>
      </c>
      <c r="V116" t="s">
        <v>42</v>
      </c>
      <c r="X116" t="s">
        <v>74</v>
      </c>
      <c r="Y116" t="b">
        <v>0</v>
      </c>
      <c r="Z116" t="b">
        <v>0</v>
      </c>
      <c r="AC116" s="1"/>
      <c r="AF116">
        <v>0</v>
      </c>
      <c r="AG116">
        <v>45</v>
      </c>
      <c r="AH116">
        <v>272</v>
      </c>
      <c r="AI116" s="2">
        <f>Table__192.168.3.138BEWLPPMetaData[[#This Row],[NetAmount]]-Table__192.168.3.138BEWLPPMetaData[[#This Row],[Paid]]</f>
        <v>14416</v>
      </c>
    </row>
    <row r="117" spans="1:35" hidden="1">
      <c r="A117" t="s">
        <v>8737</v>
      </c>
      <c r="B117" s="1">
        <v>41059</v>
      </c>
      <c r="C117" s="1">
        <v>41104</v>
      </c>
      <c r="D117" t="s">
        <v>8721</v>
      </c>
      <c r="E117">
        <v>26820</v>
      </c>
      <c r="F117">
        <v>4291</v>
      </c>
      <c r="G117">
        <v>0</v>
      </c>
      <c r="H117">
        <v>0</v>
      </c>
      <c r="I117">
        <v>213</v>
      </c>
      <c r="J117">
        <v>31111</v>
      </c>
      <c r="K117" t="s">
        <v>8738</v>
      </c>
      <c r="L117" s="1">
        <v>41055</v>
      </c>
      <c r="N117" t="s">
        <v>36</v>
      </c>
      <c r="O117" t="s">
        <v>6047</v>
      </c>
      <c r="P117" t="s">
        <v>8723</v>
      </c>
      <c r="Q117" t="s">
        <v>39</v>
      </c>
      <c r="R117" t="s">
        <v>40</v>
      </c>
      <c r="S117">
        <v>0</v>
      </c>
      <c r="U117" t="s">
        <v>41</v>
      </c>
      <c r="V117" t="s">
        <v>42</v>
      </c>
      <c r="X117" t="s">
        <v>74</v>
      </c>
      <c r="Y117" t="b">
        <v>0</v>
      </c>
      <c r="Z117" t="b">
        <v>0</v>
      </c>
      <c r="AC117" s="1"/>
      <c r="AF117">
        <v>0</v>
      </c>
      <c r="AG117">
        <v>45</v>
      </c>
      <c r="AH117">
        <v>258</v>
      </c>
      <c r="AI117" s="2">
        <f>Table__192.168.3.138BEWLPPMetaData[[#This Row],[NetAmount]]-Table__192.168.3.138BEWLPPMetaData[[#This Row],[Paid]]</f>
        <v>31111</v>
      </c>
    </row>
    <row r="118" spans="1:35" hidden="1">
      <c r="A118" t="s">
        <v>8739</v>
      </c>
      <c r="B118" s="1">
        <v>41060</v>
      </c>
      <c r="C118" s="1">
        <v>41105</v>
      </c>
      <c r="D118" t="s">
        <v>8721</v>
      </c>
      <c r="E118">
        <v>10731</v>
      </c>
      <c r="F118">
        <v>1716</v>
      </c>
      <c r="G118">
        <v>0</v>
      </c>
      <c r="H118">
        <v>0</v>
      </c>
      <c r="I118">
        <v>214</v>
      </c>
      <c r="J118">
        <v>12447</v>
      </c>
      <c r="K118" t="s">
        <v>8740</v>
      </c>
      <c r="L118" s="1">
        <v>41054</v>
      </c>
      <c r="N118" t="s">
        <v>36</v>
      </c>
      <c r="O118" t="s">
        <v>6047</v>
      </c>
      <c r="P118" t="s">
        <v>8723</v>
      </c>
      <c r="Q118" t="s">
        <v>39</v>
      </c>
      <c r="R118" t="s">
        <v>40</v>
      </c>
      <c r="S118">
        <v>0</v>
      </c>
      <c r="U118" t="s">
        <v>41</v>
      </c>
      <c r="V118" t="s">
        <v>42</v>
      </c>
      <c r="X118" t="s">
        <v>74</v>
      </c>
      <c r="Y118" t="b">
        <v>0</v>
      </c>
      <c r="Z118" t="b">
        <v>0</v>
      </c>
      <c r="AC118" s="1"/>
      <c r="AF118">
        <v>0</v>
      </c>
      <c r="AG118">
        <v>45</v>
      </c>
      <c r="AH118">
        <v>259</v>
      </c>
      <c r="AI118" s="2">
        <f>Table__192.168.3.138BEWLPPMetaData[[#This Row],[NetAmount]]-Table__192.168.3.138BEWLPPMetaData[[#This Row],[Paid]]</f>
        <v>12447</v>
      </c>
    </row>
    <row r="119" spans="1:35" hidden="1">
      <c r="A119" t="s">
        <v>8741</v>
      </c>
      <c r="B119" s="1">
        <v>41083</v>
      </c>
      <c r="C119" s="1">
        <v>41128</v>
      </c>
      <c r="D119" t="s">
        <v>8725</v>
      </c>
      <c r="E119">
        <v>11000</v>
      </c>
      <c r="F119">
        <v>0</v>
      </c>
      <c r="G119">
        <v>0</v>
      </c>
      <c r="H119">
        <v>0</v>
      </c>
      <c r="I119">
        <v>185</v>
      </c>
      <c r="J119">
        <v>11000</v>
      </c>
      <c r="K119" t="s">
        <v>8742</v>
      </c>
      <c r="L119" s="1">
        <v>41083</v>
      </c>
      <c r="N119" t="s">
        <v>36</v>
      </c>
      <c r="O119" t="s">
        <v>6047</v>
      </c>
      <c r="P119" t="s">
        <v>8727</v>
      </c>
      <c r="Q119" t="s">
        <v>39</v>
      </c>
      <c r="R119" t="s">
        <v>40</v>
      </c>
      <c r="S119">
        <v>0</v>
      </c>
      <c r="U119" t="s">
        <v>41</v>
      </c>
      <c r="V119" t="s">
        <v>42</v>
      </c>
      <c r="X119" t="s">
        <v>74</v>
      </c>
      <c r="Y119" t="b">
        <v>0</v>
      </c>
      <c r="Z119" t="b">
        <v>0</v>
      </c>
      <c r="AC119" s="1"/>
      <c r="AF119">
        <v>0</v>
      </c>
      <c r="AG119">
        <v>45</v>
      </c>
      <c r="AH119">
        <v>230</v>
      </c>
      <c r="AI119" s="2">
        <f>Table__192.168.3.138BEWLPPMetaData[[#This Row],[NetAmount]]-Table__192.168.3.138BEWLPPMetaData[[#This Row],[Paid]]</f>
        <v>11000</v>
      </c>
    </row>
    <row r="120" spans="1:35" hidden="1">
      <c r="A120" t="s">
        <v>8743</v>
      </c>
      <c r="B120" s="1">
        <v>41065</v>
      </c>
      <c r="C120" s="1">
        <v>41110</v>
      </c>
      <c r="D120" t="s">
        <v>8725</v>
      </c>
      <c r="E120">
        <v>16500</v>
      </c>
      <c r="F120">
        <v>0</v>
      </c>
      <c r="G120">
        <v>0</v>
      </c>
      <c r="H120">
        <v>0</v>
      </c>
      <c r="I120">
        <v>203</v>
      </c>
      <c r="J120">
        <v>16500</v>
      </c>
      <c r="K120" t="s">
        <v>8744</v>
      </c>
      <c r="L120" s="1">
        <v>41065</v>
      </c>
      <c r="N120" t="s">
        <v>36</v>
      </c>
      <c r="O120" t="s">
        <v>6047</v>
      </c>
      <c r="P120" t="s">
        <v>8727</v>
      </c>
      <c r="Q120" t="s">
        <v>39</v>
      </c>
      <c r="R120" t="s">
        <v>40</v>
      </c>
      <c r="S120">
        <v>0</v>
      </c>
      <c r="U120" t="s">
        <v>41</v>
      </c>
      <c r="V120" t="s">
        <v>42</v>
      </c>
      <c r="X120" t="s">
        <v>74</v>
      </c>
      <c r="Y120" t="b">
        <v>0</v>
      </c>
      <c r="Z120" t="b">
        <v>0</v>
      </c>
      <c r="AC120" s="1"/>
      <c r="AF120">
        <v>0</v>
      </c>
      <c r="AG120">
        <v>45</v>
      </c>
      <c r="AH120">
        <v>248</v>
      </c>
      <c r="AI120" s="2">
        <f>Table__192.168.3.138BEWLPPMetaData[[#This Row],[NetAmount]]-Table__192.168.3.138BEWLPPMetaData[[#This Row],[Paid]]</f>
        <v>16500</v>
      </c>
    </row>
    <row r="121" spans="1:35" hidden="1">
      <c r="A121" t="s">
        <v>8745</v>
      </c>
      <c r="B121" s="1">
        <v>41076</v>
      </c>
      <c r="C121" s="1">
        <v>41121</v>
      </c>
      <c r="D121" t="s">
        <v>8530</v>
      </c>
      <c r="E121">
        <v>285</v>
      </c>
      <c r="F121">
        <v>46</v>
      </c>
      <c r="G121">
        <v>0</v>
      </c>
      <c r="H121">
        <v>0</v>
      </c>
      <c r="I121">
        <v>192</v>
      </c>
      <c r="J121">
        <v>331</v>
      </c>
      <c r="K121" t="s">
        <v>8746</v>
      </c>
      <c r="L121" s="1">
        <v>41076</v>
      </c>
      <c r="N121" t="s">
        <v>36</v>
      </c>
      <c r="O121" t="s">
        <v>6047</v>
      </c>
      <c r="P121" t="s">
        <v>357</v>
      </c>
      <c r="Q121" t="s">
        <v>39</v>
      </c>
      <c r="R121" t="s">
        <v>40</v>
      </c>
      <c r="S121">
        <v>0</v>
      </c>
      <c r="U121" t="s">
        <v>41</v>
      </c>
      <c r="V121" t="s">
        <v>42</v>
      </c>
      <c r="X121" t="s">
        <v>74</v>
      </c>
      <c r="Y121" t="b">
        <v>0</v>
      </c>
      <c r="Z121" t="b">
        <v>0</v>
      </c>
      <c r="AC121" s="1"/>
      <c r="AF121">
        <v>0</v>
      </c>
      <c r="AG121">
        <v>45</v>
      </c>
      <c r="AH121">
        <v>237</v>
      </c>
      <c r="AI121" s="2">
        <f>Table__192.168.3.138BEWLPPMetaData[[#This Row],[NetAmount]]-Table__192.168.3.138BEWLPPMetaData[[#This Row],[Paid]]</f>
        <v>331</v>
      </c>
    </row>
    <row r="122" spans="1:35" hidden="1">
      <c r="A122" t="s">
        <v>8747</v>
      </c>
      <c r="B122" s="1">
        <v>41079</v>
      </c>
      <c r="C122" s="1">
        <v>41124</v>
      </c>
      <c r="D122" t="s">
        <v>8725</v>
      </c>
      <c r="E122">
        <v>11000</v>
      </c>
      <c r="F122">
        <v>0</v>
      </c>
      <c r="G122">
        <v>0</v>
      </c>
      <c r="H122">
        <v>0</v>
      </c>
      <c r="I122">
        <v>193</v>
      </c>
      <c r="J122">
        <v>11000</v>
      </c>
      <c r="K122" t="s">
        <v>4037</v>
      </c>
      <c r="L122" s="1">
        <v>41075</v>
      </c>
      <c r="N122" t="s">
        <v>36</v>
      </c>
      <c r="O122" t="s">
        <v>6047</v>
      </c>
      <c r="P122" t="s">
        <v>8727</v>
      </c>
      <c r="Q122" t="s">
        <v>39</v>
      </c>
      <c r="R122" t="s">
        <v>40</v>
      </c>
      <c r="S122">
        <v>0</v>
      </c>
      <c r="U122" t="s">
        <v>41</v>
      </c>
      <c r="V122" t="s">
        <v>42</v>
      </c>
      <c r="X122" t="s">
        <v>74</v>
      </c>
      <c r="Y122" t="b">
        <v>0</v>
      </c>
      <c r="Z122" t="b">
        <v>0</v>
      </c>
      <c r="AC122" s="1"/>
      <c r="AF122">
        <v>0</v>
      </c>
      <c r="AG122">
        <v>45</v>
      </c>
      <c r="AH122">
        <v>238</v>
      </c>
      <c r="AI122" s="2">
        <f>Table__192.168.3.138BEWLPPMetaData[[#This Row],[NetAmount]]-Table__192.168.3.138BEWLPPMetaData[[#This Row],[Paid]]</f>
        <v>11000</v>
      </c>
    </row>
    <row r="123" spans="1:35" hidden="1">
      <c r="A123" t="s">
        <v>8748</v>
      </c>
      <c r="B123" s="1">
        <v>41074</v>
      </c>
      <c r="C123" s="1">
        <v>41119</v>
      </c>
      <c r="D123" t="s">
        <v>8721</v>
      </c>
      <c r="E123">
        <v>14661</v>
      </c>
      <c r="F123">
        <v>2346</v>
      </c>
      <c r="G123">
        <v>0</v>
      </c>
      <c r="H123">
        <v>0</v>
      </c>
      <c r="I123">
        <v>194</v>
      </c>
      <c r="J123">
        <v>17007</v>
      </c>
      <c r="K123" t="s">
        <v>8749</v>
      </c>
      <c r="L123" s="1">
        <v>41074</v>
      </c>
      <c r="N123" t="s">
        <v>36</v>
      </c>
      <c r="O123" t="s">
        <v>6047</v>
      </c>
      <c r="P123" t="s">
        <v>8723</v>
      </c>
      <c r="Q123" t="s">
        <v>39</v>
      </c>
      <c r="R123" t="s">
        <v>40</v>
      </c>
      <c r="S123">
        <v>0</v>
      </c>
      <c r="U123" t="s">
        <v>41</v>
      </c>
      <c r="V123" t="s">
        <v>42</v>
      </c>
      <c r="X123" t="s">
        <v>74</v>
      </c>
      <c r="Y123" t="b">
        <v>0</v>
      </c>
      <c r="Z123" t="b">
        <v>0</v>
      </c>
      <c r="AC123" s="1"/>
      <c r="AF123">
        <v>0</v>
      </c>
      <c r="AG123">
        <v>45</v>
      </c>
      <c r="AH123">
        <v>239</v>
      </c>
      <c r="AI123" s="2">
        <f>Table__192.168.3.138BEWLPPMetaData[[#This Row],[NetAmount]]-Table__192.168.3.138BEWLPPMetaData[[#This Row],[Paid]]</f>
        <v>17007</v>
      </c>
    </row>
    <row r="124" spans="1:35" hidden="1">
      <c r="A124" t="s">
        <v>8750</v>
      </c>
      <c r="B124" s="1">
        <v>41071</v>
      </c>
      <c r="C124" s="1">
        <v>41116</v>
      </c>
      <c r="D124" t="s">
        <v>8721</v>
      </c>
      <c r="E124">
        <v>31420</v>
      </c>
      <c r="F124">
        <v>5027</v>
      </c>
      <c r="G124">
        <v>0</v>
      </c>
      <c r="H124">
        <v>0</v>
      </c>
      <c r="I124">
        <v>197</v>
      </c>
      <c r="J124">
        <v>36447</v>
      </c>
      <c r="K124" t="s">
        <v>8751</v>
      </c>
      <c r="L124" s="1">
        <v>41071</v>
      </c>
      <c r="N124" t="s">
        <v>36</v>
      </c>
      <c r="O124" t="s">
        <v>6047</v>
      </c>
      <c r="P124" t="s">
        <v>8723</v>
      </c>
      <c r="Q124" t="s">
        <v>39</v>
      </c>
      <c r="R124" t="s">
        <v>40</v>
      </c>
      <c r="S124">
        <v>0</v>
      </c>
      <c r="U124" t="s">
        <v>41</v>
      </c>
      <c r="V124" t="s">
        <v>42</v>
      </c>
      <c r="X124" t="s">
        <v>74</v>
      </c>
      <c r="Y124" t="b">
        <v>0</v>
      </c>
      <c r="Z124" t="b">
        <v>0</v>
      </c>
      <c r="AC124" s="1"/>
      <c r="AF124">
        <v>0</v>
      </c>
      <c r="AG124">
        <v>45</v>
      </c>
      <c r="AH124">
        <v>242</v>
      </c>
      <c r="AI124" s="2">
        <f>Table__192.168.3.138BEWLPPMetaData[[#This Row],[NetAmount]]-Table__192.168.3.138BEWLPPMetaData[[#This Row],[Paid]]</f>
        <v>36447</v>
      </c>
    </row>
    <row r="125" spans="1:35" hidden="1">
      <c r="A125" t="s">
        <v>8752</v>
      </c>
      <c r="B125" s="1">
        <v>41066</v>
      </c>
      <c r="C125" s="1">
        <v>41111</v>
      </c>
      <c r="D125" t="s">
        <v>8721</v>
      </c>
      <c r="E125">
        <v>2132</v>
      </c>
      <c r="F125">
        <v>341</v>
      </c>
      <c r="G125">
        <v>0</v>
      </c>
      <c r="H125">
        <v>0</v>
      </c>
      <c r="I125">
        <v>202</v>
      </c>
      <c r="J125">
        <v>2473</v>
      </c>
      <c r="K125" t="s">
        <v>8753</v>
      </c>
      <c r="L125" s="1">
        <v>41066</v>
      </c>
      <c r="N125" t="s">
        <v>36</v>
      </c>
      <c r="O125" t="s">
        <v>6047</v>
      </c>
      <c r="P125" t="s">
        <v>8723</v>
      </c>
      <c r="Q125" t="s">
        <v>39</v>
      </c>
      <c r="R125" t="s">
        <v>40</v>
      </c>
      <c r="S125">
        <v>0</v>
      </c>
      <c r="U125" t="s">
        <v>41</v>
      </c>
      <c r="V125" t="s">
        <v>42</v>
      </c>
      <c r="X125" t="s">
        <v>74</v>
      </c>
      <c r="Y125" t="b">
        <v>0</v>
      </c>
      <c r="Z125" t="b">
        <v>0</v>
      </c>
      <c r="AC125" s="1"/>
      <c r="AF125">
        <v>0</v>
      </c>
      <c r="AG125">
        <v>45</v>
      </c>
      <c r="AH125">
        <v>247</v>
      </c>
      <c r="AI125" s="2">
        <f>Table__192.168.3.138BEWLPPMetaData[[#This Row],[NetAmount]]-Table__192.168.3.138BEWLPPMetaData[[#This Row],[Paid]]</f>
        <v>2473</v>
      </c>
    </row>
    <row r="126" spans="1:35" hidden="1">
      <c r="A126" t="s">
        <v>8754</v>
      </c>
      <c r="B126" s="1">
        <v>41076</v>
      </c>
      <c r="C126" s="1">
        <v>41121</v>
      </c>
      <c r="D126" t="s">
        <v>8721</v>
      </c>
      <c r="E126">
        <v>49311</v>
      </c>
      <c r="F126">
        <v>7890</v>
      </c>
      <c r="G126">
        <v>0</v>
      </c>
      <c r="H126">
        <v>0</v>
      </c>
      <c r="I126">
        <v>192</v>
      </c>
      <c r="J126">
        <v>57201</v>
      </c>
      <c r="K126" t="s">
        <v>8755</v>
      </c>
      <c r="L126" s="1">
        <v>41076</v>
      </c>
      <c r="N126" t="s">
        <v>36</v>
      </c>
      <c r="O126" t="s">
        <v>6047</v>
      </c>
      <c r="P126" t="s">
        <v>8723</v>
      </c>
      <c r="Q126" t="s">
        <v>39</v>
      </c>
      <c r="R126" t="s">
        <v>40</v>
      </c>
      <c r="S126">
        <v>0</v>
      </c>
      <c r="U126" t="s">
        <v>41</v>
      </c>
      <c r="V126" t="s">
        <v>42</v>
      </c>
      <c r="X126" t="s">
        <v>74</v>
      </c>
      <c r="Y126" t="b">
        <v>0</v>
      </c>
      <c r="Z126" t="b">
        <v>0</v>
      </c>
      <c r="AC126" s="1"/>
      <c r="AF126">
        <v>0</v>
      </c>
      <c r="AG126">
        <v>45</v>
      </c>
      <c r="AH126">
        <v>237</v>
      </c>
      <c r="AI126" s="2">
        <f>Table__192.168.3.138BEWLPPMetaData[[#This Row],[NetAmount]]-Table__192.168.3.138BEWLPPMetaData[[#This Row],[Paid]]</f>
        <v>57201</v>
      </c>
    </row>
    <row r="127" spans="1:35" hidden="1">
      <c r="A127" t="s">
        <v>8756</v>
      </c>
      <c r="B127" s="1">
        <v>41079</v>
      </c>
      <c r="C127" s="1">
        <v>41124</v>
      </c>
      <c r="D127" t="s">
        <v>8530</v>
      </c>
      <c r="E127">
        <v>1589</v>
      </c>
      <c r="F127">
        <v>254</v>
      </c>
      <c r="G127">
        <v>0</v>
      </c>
      <c r="H127">
        <v>0</v>
      </c>
      <c r="I127">
        <v>189</v>
      </c>
      <c r="J127">
        <v>1843</v>
      </c>
      <c r="K127" t="s">
        <v>8757</v>
      </c>
      <c r="L127" s="1">
        <v>41079</v>
      </c>
      <c r="N127" t="s">
        <v>36</v>
      </c>
      <c r="O127" t="s">
        <v>6047</v>
      </c>
      <c r="P127" t="s">
        <v>357</v>
      </c>
      <c r="Q127" t="s">
        <v>39</v>
      </c>
      <c r="R127" t="s">
        <v>40</v>
      </c>
      <c r="S127">
        <v>0</v>
      </c>
      <c r="U127" t="s">
        <v>41</v>
      </c>
      <c r="V127" t="s">
        <v>42</v>
      </c>
      <c r="X127" t="s">
        <v>74</v>
      </c>
      <c r="Y127" t="b">
        <v>0</v>
      </c>
      <c r="Z127" t="b">
        <v>0</v>
      </c>
      <c r="AC127" s="1"/>
      <c r="AF127">
        <v>0</v>
      </c>
      <c r="AG127">
        <v>45</v>
      </c>
      <c r="AH127">
        <v>234</v>
      </c>
      <c r="AI127" s="2">
        <f>Table__192.168.3.138BEWLPPMetaData[[#This Row],[NetAmount]]-Table__192.168.3.138BEWLPPMetaData[[#This Row],[Paid]]</f>
        <v>1843</v>
      </c>
    </row>
    <row r="128" spans="1:35" hidden="1">
      <c r="A128" t="s">
        <v>8758</v>
      </c>
      <c r="B128" s="1">
        <v>41079</v>
      </c>
      <c r="C128" s="1">
        <v>41124</v>
      </c>
      <c r="D128" t="s">
        <v>8530</v>
      </c>
      <c r="E128">
        <v>364</v>
      </c>
      <c r="F128">
        <v>58</v>
      </c>
      <c r="G128">
        <v>0</v>
      </c>
      <c r="H128">
        <v>0</v>
      </c>
      <c r="I128">
        <v>189</v>
      </c>
      <c r="J128">
        <v>422</v>
      </c>
      <c r="K128" t="s">
        <v>8759</v>
      </c>
      <c r="L128" s="1">
        <v>41079</v>
      </c>
      <c r="N128" t="s">
        <v>36</v>
      </c>
      <c r="O128" t="s">
        <v>6047</v>
      </c>
      <c r="P128" t="s">
        <v>357</v>
      </c>
      <c r="Q128" t="s">
        <v>39</v>
      </c>
      <c r="R128" t="s">
        <v>40</v>
      </c>
      <c r="S128">
        <v>0</v>
      </c>
      <c r="U128" t="s">
        <v>41</v>
      </c>
      <c r="V128" t="s">
        <v>42</v>
      </c>
      <c r="X128" t="s">
        <v>74</v>
      </c>
      <c r="Y128" t="b">
        <v>0</v>
      </c>
      <c r="Z128" t="b">
        <v>0</v>
      </c>
      <c r="AC128" s="1"/>
      <c r="AF128">
        <v>0</v>
      </c>
      <c r="AG128">
        <v>45</v>
      </c>
      <c r="AH128">
        <v>234</v>
      </c>
      <c r="AI128" s="2">
        <f>Table__192.168.3.138BEWLPPMetaData[[#This Row],[NetAmount]]-Table__192.168.3.138BEWLPPMetaData[[#This Row],[Paid]]</f>
        <v>422</v>
      </c>
    </row>
    <row r="129" spans="1:35" hidden="1">
      <c r="A129" t="s">
        <v>8760</v>
      </c>
      <c r="B129" s="1">
        <v>41080</v>
      </c>
      <c r="C129" s="1">
        <v>41125</v>
      </c>
      <c r="D129" t="s">
        <v>8530</v>
      </c>
      <c r="E129">
        <v>420</v>
      </c>
      <c r="F129">
        <v>67</v>
      </c>
      <c r="G129">
        <v>0</v>
      </c>
      <c r="H129">
        <v>0</v>
      </c>
      <c r="I129">
        <v>188</v>
      </c>
      <c r="J129">
        <v>487</v>
      </c>
      <c r="K129" t="s">
        <v>8761</v>
      </c>
      <c r="L129" s="1">
        <v>41080</v>
      </c>
      <c r="N129" t="s">
        <v>36</v>
      </c>
      <c r="O129" t="s">
        <v>6047</v>
      </c>
      <c r="P129" t="s">
        <v>357</v>
      </c>
      <c r="Q129" t="s">
        <v>39</v>
      </c>
      <c r="R129" t="s">
        <v>40</v>
      </c>
      <c r="S129">
        <v>0</v>
      </c>
      <c r="U129" t="s">
        <v>41</v>
      </c>
      <c r="V129" t="s">
        <v>42</v>
      </c>
      <c r="X129" t="s">
        <v>74</v>
      </c>
      <c r="Y129" t="b">
        <v>0</v>
      </c>
      <c r="Z129" t="b">
        <v>0</v>
      </c>
      <c r="AC129" s="1"/>
      <c r="AF129">
        <v>0</v>
      </c>
      <c r="AG129">
        <v>45</v>
      </c>
      <c r="AH129">
        <v>233</v>
      </c>
      <c r="AI129" s="2">
        <f>Table__192.168.3.138BEWLPPMetaData[[#This Row],[NetAmount]]-Table__192.168.3.138BEWLPPMetaData[[#This Row],[Paid]]</f>
        <v>487</v>
      </c>
    </row>
    <row r="130" spans="1:35" hidden="1">
      <c r="A130" t="s">
        <v>8762</v>
      </c>
      <c r="B130" s="1">
        <v>41083</v>
      </c>
      <c r="C130" s="1">
        <v>41128</v>
      </c>
      <c r="D130" t="s">
        <v>8530</v>
      </c>
      <c r="E130">
        <v>6540</v>
      </c>
      <c r="F130">
        <v>1046</v>
      </c>
      <c r="G130">
        <v>0</v>
      </c>
      <c r="H130">
        <v>0</v>
      </c>
      <c r="I130">
        <v>185</v>
      </c>
      <c r="J130">
        <v>7586</v>
      </c>
      <c r="K130" t="s">
        <v>8763</v>
      </c>
      <c r="L130" s="1">
        <v>41083</v>
      </c>
      <c r="N130" t="s">
        <v>36</v>
      </c>
      <c r="O130" t="s">
        <v>6047</v>
      </c>
      <c r="P130" t="s">
        <v>357</v>
      </c>
      <c r="Q130" t="s">
        <v>39</v>
      </c>
      <c r="R130" t="s">
        <v>40</v>
      </c>
      <c r="S130">
        <v>0</v>
      </c>
      <c r="U130" t="s">
        <v>41</v>
      </c>
      <c r="V130" t="s">
        <v>42</v>
      </c>
      <c r="X130" t="s">
        <v>74</v>
      </c>
      <c r="Y130" t="b">
        <v>0</v>
      </c>
      <c r="Z130" t="b">
        <v>0</v>
      </c>
      <c r="AC130" s="1"/>
      <c r="AF130">
        <v>0</v>
      </c>
      <c r="AG130">
        <v>45</v>
      </c>
      <c r="AH130">
        <v>230</v>
      </c>
      <c r="AI130" s="2">
        <f>Table__192.168.3.138BEWLPPMetaData[[#This Row],[NetAmount]]-Table__192.168.3.138BEWLPPMetaData[[#This Row],[Paid]]</f>
        <v>7586</v>
      </c>
    </row>
    <row r="131" spans="1:35" hidden="1">
      <c r="A131" t="s">
        <v>8764</v>
      </c>
      <c r="B131" s="1">
        <v>41085</v>
      </c>
      <c r="C131" s="1">
        <v>41130</v>
      </c>
      <c r="D131" t="s">
        <v>8530</v>
      </c>
      <c r="E131">
        <v>4470</v>
      </c>
      <c r="F131">
        <v>715</v>
      </c>
      <c r="G131">
        <v>0</v>
      </c>
      <c r="H131">
        <v>0</v>
      </c>
      <c r="I131">
        <v>183</v>
      </c>
      <c r="J131">
        <v>5185</v>
      </c>
      <c r="K131" t="s">
        <v>8765</v>
      </c>
      <c r="L131" s="1">
        <v>41085</v>
      </c>
      <c r="N131" t="s">
        <v>36</v>
      </c>
      <c r="O131" t="s">
        <v>6047</v>
      </c>
      <c r="P131" t="s">
        <v>357</v>
      </c>
      <c r="Q131" t="s">
        <v>39</v>
      </c>
      <c r="R131" t="s">
        <v>40</v>
      </c>
      <c r="S131">
        <v>0</v>
      </c>
      <c r="U131" t="s">
        <v>41</v>
      </c>
      <c r="V131" t="s">
        <v>42</v>
      </c>
      <c r="X131" t="s">
        <v>74</v>
      </c>
      <c r="Y131" t="b">
        <v>0</v>
      </c>
      <c r="Z131" t="b">
        <v>0</v>
      </c>
      <c r="AC131" s="1"/>
      <c r="AF131">
        <v>0</v>
      </c>
      <c r="AG131">
        <v>45</v>
      </c>
      <c r="AH131">
        <v>228</v>
      </c>
      <c r="AI131" s="2">
        <f>Table__192.168.3.138BEWLPPMetaData[[#This Row],[NetAmount]]-Table__192.168.3.138BEWLPPMetaData[[#This Row],[Paid]]</f>
        <v>5185</v>
      </c>
    </row>
    <row r="132" spans="1:35" hidden="1">
      <c r="A132" t="s">
        <v>8766</v>
      </c>
      <c r="B132" s="1">
        <v>41089</v>
      </c>
      <c r="C132" s="1">
        <v>41134</v>
      </c>
      <c r="D132" t="s">
        <v>8530</v>
      </c>
      <c r="E132">
        <v>10727</v>
      </c>
      <c r="F132">
        <v>1716</v>
      </c>
      <c r="G132">
        <v>0</v>
      </c>
      <c r="H132">
        <v>0</v>
      </c>
      <c r="I132">
        <v>179</v>
      </c>
      <c r="J132">
        <v>12443</v>
      </c>
      <c r="K132" t="s">
        <v>1052</v>
      </c>
      <c r="L132" s="1">
        <v>41089</v>
      </c>
      <c r="N132" t="s">
        <v>36</v>
      </c>
      <c r="O132" t="s">
        <v>6047</v>
      </c>
      <c r="P132" t="s">
        <v>357</v>
      </c>
      <c r="Q132" t="s">
        <v>39</v>
      </c>
      <c r="R132" t="s">
        <v>40</v>
      </c>
      <c r="S132">
        <v>0</v>
      </c>
      <c r="U132" t="s">
        <v>41</v>
      </c>
      <c r="V132" t="s">
        <v>42</v>
      </c>
      <c r="X132" t="s">
        <v>74</v>
      </c>
      <c r="Y132" t="b">
        <v>0</v>
      </c>
      <c r="Z132" t="b">
        <v>0</v>
      </c>
      <c r="AC132" s="1"/>
      <c r="AF132">
        <v>0</v>
      </c>
      <c r="AG132">
        <v>45</v>
      </c>
      <c r="AH132">
        <v>224</v>
      </c>
      <c r="AI132" s="2">
        <f>Table__192.168.3.138BEWLPPMetaData[[#This Row],[NetAmount]]-Table__192.168.3.138BEWLPPMetaData[[#This Row],[Paid]]</f>
        <v>12443</v>
      </c>
    </row>
    <row r="133" spans="1:35" hidden="1">
      <c r="A133" t="s">
        <v>8767</v>
      </c>
      <c r="B133" s="1">
        <v>41068</v>
      </c>
      <c r="C133" s="1">
        <v>41113</v>
      </c>
      <c r="D133" t="s">
        <v>8530</v>
      </c>
      <c r="E133">
        <v>110</v>
      </c>
      <c r="F133">
        <v>18</v>
      </c>
      <c r="G133">
        <v>0</v>
      </c>
      <c r="H133">
        <v>0</v>
      </c>
      <c r="I133">
        <v>200</v>
      </c>
      <c r="J133">
        <v>128</v>
      </c>
      <c r="K133" t="s">
        <v>8768</v>
      </c>
      <c r="L133" s="1">
        <v>41068</v>
      </c>
      <c r="N133" t="s">
        <v>36</v>
      </c>
      <c r="O133" t="s">
        <v>6047</v>
      </c>
      <c r="P133" t="s">
        <v>357</v>
      </c>
      <c r="Q133" t="s">
        <v>39</v>
      </c>
      <c r="R133" t="s">
        <v>40</v>
      </c>
      <c r="S133">
        <v>0</v>
      </c>
      <c r="U133" t="s">
        <v>41</v>
      </c>
      <c r="V133" t="s">
        <v>42</v>
      </c>
      <c r="X133" t="s">
        <v>74</v>
      </c>
      <c r="Y133" t="b">
        <v>0</v>
      </c>
      <c r="Z133" t="b">
        <v>0</v>
      </c>
      <c r="AC133" s="1"/>
      <c r="AF133">
        <v>0</v>
      </c>
      <c r="AG133">
        <v>45</v>
      </c>
      <c r="AH133">
        <v>245</v>
      </c>
      <c r="AI133" s="2">
        <f>Table__192.168.3.138BEWLPPMetaData[[#This Row],[NetAmount]]-Table__192.168.3.138BEWLPPMetaData[[#This Row],[Paid]]</f>
        <v>128</v>
      </c>
    </row>
    <row r="134" spans="1:35" hidden="1">
      <c r="A134" t="s">
        <v>8769</v>
      </c>
      <c r="B134" s="1">
        <v>41072</v>
      </c>
      <c r="C134" s="1">
        <v>41117</v>
      </c>
      <c r="D134" t="s">
        <v>8530</v>
      </c>
      <c r="E134">
        <v>70</v>
      </c>
      <c r="F134">
        <v>11</v>
      </c>
      <c r="G134">
        <v>0</v>
      </c>
      <c r="H134">
        <v>0</v>
      </c>
      <c r="I134">
        <v>196</v>
      </c>
      <c r="J134">
        <v>81</v>
      </c>
      <c r="K134" t="s">
        <v>8770</v>
      </c>
      <c r="L134" s="1">
        <v>41072</v>
      </c>
      <c r="N134" t="s">
        <v>36</v>
      </c>
      <c r="O134" t="s">
        <v>6047</v>
      </c>
      <c r="P134" t="s">
        <v>357</v>
      </c>
      <c r="Q134" t="s">
        <v>39</v>
      </c>
      <c r="R134" t="s">
        <v>40</v>
      </c>
      <c r="S134">
        <v>0</v>
      </c>
      <c r="U134" t="s">
        <v>41</v>
      </c>
      <c r="V134" t="s">
        <v>42</v>
      </c>
      <c r="X134" t="s">
        <v>74</v>
      </c>
      <c r="Y134" t="b">
        <v>0</v>
      </c>
      <c r="Z134" t="b">
        <v>0</v>
      </c>
      <c r="AC134" s="1"/>
      <c r="AF134">
        <v>0</v>
      </c>
      <c r="AG134">
        <v>45</v>
      </c>
      <c r="AH134">
        <v>241</v>
      </c>
      <c r="AI134" s="2">
        <f>Table__192.168.3.138BEWLPPMetaData[[#This Row],[NetAmount]]-Table__192.168.3.138BEWLPPMetaData[[#This Row],[Paid]]</f>
        <v>81</v>
      </c>
    </row>
    <row r="135" spans="1:35" hidden="1">
      <c r="A135" t="s">
        <v>8771</v>
      </c>
      <c r="B135" s="1">
        <v>41074</v>
      </c>
      <c r="C135" s="1">
        <v>41119</v>
      </c>
      <c r="D135" t="s">
        <v>8530</v>
      </c>
      <c r="E135">
        <v>2366</v>
      </c>
      <c r="F135">
        <v>379</v>
      </c>
      <c r="G135">
        <v>0</v>
      </c>
      <c r="H135">
        <v>0</v>
      </c>
      <c r="I135">
        <v>194</v>
      </c>
      <c r="J135">
        <v>2745</v>
      </c>
      <c r="L135" s="1">
        <v>41074</v>
      </c>
      <c r="N135" t="s">
        <v>36</v>
      </c>
      <c r="O135" t="s">
        <v>6047</v>
      </c>
      <c r="P135" t="s">
        <v>357</v>
      </c>
      <c r="Q135" t="s">
        <v>39</v>
      </c>
      <c r="R135" t="s">
        <v>40</v>
      </c>
      <c r="S135">
        <v>0</v>
      </c>
      <c r="U135" t="s">
        <v>41</v>
      </c>
      <c r="V135" t="s">
        <v>42</v>
      </c>
      <c r="X135" t="s">
        <v>74</v>
      </c>
      <c r="Y135" t="b">
        <v>0</v>
      </c>
      <c r="Z135" t="b">
        <v>0</v>
      </c>
      <c r="AC135" s="1"/>
      <c r="AF135">
        <v>0</v>
      </c>
      <c r="AG135">
        <v>45</v>
      </c>
      <c r="AH135">
        <v>239</v>
      </c>
      <c r="AI135" s="2">
        <f>Table__192.168.3.138BEWLPPMetaData[[#This Row],[NetAmount]]-Table__192.168.3.138BEWLPPMetaData[[#This Row],[Paid]]</f>
        <v>2745</v>
      </c>
    </row>
    <row r="136" spans="1:35" hidden="1">
      <c r="A136" t="s">
        <v>8772</v>
      </c>
      <c r="B136" s="1">
        <v>41064</v>
      </c>
      <c r="C136" s="1">
        <v>41109</v>
      </c>
      <c r="D136" t="s">
        <v>8721</v>
      </c>
      <c r="E136">
        <v>12400</v>
      </c>
      <c r="F136">
        <v>1984</v>
      </c>
      <c r="G136">
        <v>0</v>
      </c>
      <c r="H136">
        <v>0</v>
      </c>
      <c r="I136">
        <v>204</v>
      </c>
      <c r="J136">
        <v>14384</v>
      </c>
      <c r="K136" t="s">
        <v>8773</v>
      </c>
      <c r="L136" s="1">
        <v>41064</v>
      </c>
      <c r="N136" t="s">
        <v>36</v>
      </c>
      <c r="O136" t="s">
        <v>6047</v>
      </c>
      <c r="P136" t="s">
        <v>8723</v>
      </c>
      <c r="Q136" t="s">
        <v>39</v>
      </c>
      <c r="R136" t="s">
        <v>40</v>
      </c>
      <c r="S136">
        <v>0</v>
      </c>
      <c r="U136" t="s">
        <v>41</v>
      </c>
      <c r="V136" t="s">
        <v>42</v>
      </c>
      <c r="X136" t="s">
        <v>74</v>
      </c>
      <c r="Y136" t="b">
        <v>0</v>
      </c>
      <c r="Z136" t="b">
        <v>0</v>
      </c>
      <c r="AC136" s="1"/>
      <c r="AF136">
        <v>0</v>
      </c>
      <c r="AG136">
        <v>45</v>
      </c>
      <c r="AH136">
        <v>249</v>
      </c>
      <c r="AI136" s="2">
        <f>Table__192.168.3.138BEWLPPMetaData[[#This Row],[NetAmount]]-Table__192.168.3.138BEWLPPMetaData[[#This Row],[Paid]]</f>
        <v>14384</v>
      </c>
    </row>
    <row r="137" spans="1:35" hidden="1">
      <c r="A137" t="s">
        <v>8774</v>
      </c>
      <c r="B137" s="1">
        <v>41081</v>
      </c>
      <c r="C137" s="1">
        <v>41126</v>
      </c>
      <c r="D137" t="s">
        <v>8721</v>
      </c>
      <c r="E137">
        <v>31561</v>
      </c>
      <c r="F137">
        <v>5050</v>
      </c>
      <c r="G137">
        <v>0</v>
      </c>
      <c r="H137">
        <v>0</v>
      </c>
      <c r="I137">
        <v>187</v>
      </c>
      <c r="J137">
        <v>36611</v>
      </c>
      <c r="K137" t="s">
        <v>8775</v>
      </c>
      <c r="L137" s="1">
        <v>41081</v>
      </c>
      <c r="N137" t="s">
        <v>36</v>
      </c>
      <c r="O137" t="s">
        <v>6047</v>
      </c>
      <c r="P137" t="s">
        <v>8723</v>
      </c>
      <c r="Q137" t="s">
        <v>39</v>
      </c>
      <c r="R137" t="s">
        <v>40</v>
      </c>
      <c r="S137">
        <v>0</v>
      </c>
      <c r="U137" t="s">
        <v>41</v>
      </c>
      <c r="V137" t="s">
        <v>42</v>
      </c>
      <c r="X137" t="s">
        <v>74</v>
      </c>
      <c r="Y137" t="b">
        <v>0</v>
      </c>
      <c r="Z137" t="b">
        <v>0</v>
      </c>
      <c r="AC137" s="1"/>
      <c r="AF137">
        <v>0</v>
      </c>
      <c r="AG137">
        <v>45</v>
      </c>
      <c r="AH137">
        <v>232</v>
      </c>
      <c r="AI137" s="2">
        <f>Table__192.168.3.138BEWLPPMetaData[[#This Row],[NetAmount]]-Table__192.168.3.138BEWLPPMetaData[[#This Row],[Paid]]</f>
        <v>36611</v>
      </c>
    </row>
    <row r="138" spans="1:35" hidden="1">
      <c r="A138" t="s">
        <v>8776</v>
      </c>
      <c r="B138" s="1">
        <v>41083</v>
      </c>
      <c r="C138" s="1">
        <v>41128</v>
      </c>
      <c r="D138" t="s">
        <v>8721</v>
      </c>
      <c r="E138">
        <v>15176</v>
      </c>
      <c r="F138">
        <v>2428</v>
      </c>
      <c r="G138">
        <v>0</v>
      </c>
      <c r="H138">
        <v>0</v>
      </c>
      <c r="I138">
        <v>185</v>
      </c>
      <c r="J138">
        <v>17604</v>
      </c>
      <c r="K138" t="s">
        <v>8777</v>
      </c>
      <c r="L138" s="1">
        <v>41083</v>
      </c>
      <c r="N138" t="s">
        <v>36</v>
      </c>
      <c r="O138" t="s">
        <v>6047</v>
      </c>
      <c r="P138" t="s">
        <v>8723</v>
      </c>
      <c r="Q138" t="s">
        <v>39</v>
      </c>
      <c r="R138" t="s">
        <v>40</v>
      </c>
      <c r="S138">
        <v>0</v>
      </c>
      <c r="U138" t="s">
        <v>41</v>
      </c>
      <c r="V138" t="s">
        <v>42</v>
      </c>
      <c r="X138" t="s">
        <v>74</v>
      </c>
      <c r="Y138" t="b">
        <v>0</v>
      </c>
      <c r="Z138" t="b">
        <v>0</v>
      </c>
      <c r="AC138" s="1"/>
      <c r="AF138">
        <v>0</v>
      </c>
      <c r="AG138">
        <v>45</v>
      </c>
      <c r="AH138">
        <v>230</v>
      </c>
      <c r="AI138" s="2">
        <f>Table__192.168.3.138BEWLPPMetaData[[#This Row],[NetAmount]]-Table__192.168.3.138BEWLPPMetaData[[#This Row],[Paid]]</f>
        <v>17604</v>
      </c>
    </row>
    <row r="139" spans="1:35" hidden="1">
      <c r="A139" t="s">
        <v>8778</v>
      </c>
      <c r="B139" s="1">
        <v>41085</v>
      </c>
      <c r="C139" s="1">
        <v>41130</v>
      </c>
      <c r="D139" t="s">
        <v>8721</v>
      </c>
      <c r="E139">
        <v>43870</v>
      </c>
      <c r="F139">
        <v>7019</v>
      </c>
      <c r="G139">
        <v>0</v>
      </c>
      <c r="H139">
        <v>0</v>
      </c>
      <c r="I139">
        <v>183</v>
      </c>
      <c r="J139">
        <v>50889</v>
      </c>
      <c r="K139" t="s">
        <v>8779</v>
      </c>
      <c r="L139" s="1">
        <v>41085</v>
      </c>
      <c r="N139" t="s">
        <v>36</v>
      </c>
      <c r="O139" t="s">
        <v>6047</v>
      </c>
      <c r="P139" t="s">
        <v>8723</v>
      </c>
      <c r="Q139" t="s">
        <v>39</v>
      </c>
      <c r="R139" t="s">
        <v>40</v>
      </c>
      <c r="S139">
        <v>0</v>
      </c>
      <c r="U139" t="s">
        <v>41</v>
      </c>
      <c r="V139" t="s">
        <v>42</v>
      </c>
      <c r="X139" t="s">
        <v>74</v>
      </c>
      <c r="Y139" t="b">
        <v>0</v>
      </c>
      <c r="Z139" t="b">
        <v>0</v>
      </c>
      <c r="AC139" s="1"/>
      <c r="AF139">
        <v>0</v>
      </c>
      <c r="AG139">
        <v>45</v>
      </c>
      <c r="AH139">
        <v>228</v>
      </c>
      <c r="AI139" s="2">
        <f>Table__192.168.3.138BEWLPPMetaData[[#This Row],[NetAmount]]-Table__192.168.3.138BEWLPPMetaData[[#This Row],[Paid]]</f>
        <v>50889</v>
      </c>
    </row>
    <row r="140" spans="1:35" hidden="1">
      <c r="A140" t="s">
        <v>8780</v>
      </c>
      <c r="B140" s="1">
        <v>41089</v>
      </c>
      <c r="C140" s="1">
        <v>41134</v>
      </c>
      <c r="D140" t="s">
        <v>8725</v>
      </c>
      <c r="E140">
        <v>11000</v>
      </c>
      <c r="F140">
        <v>0</v>
      </c>
      <c r="G140">
        <v>0</v>
      </c>
      <c r="H140">
        <v>0</v>
      </c>
      <c r="I140">
        <v>179</v>
      </c>
      <c r="J140">
        <v>11000</v>
      </c>
      <c r="K140" t="s">
        <v>8781</v>
      </c>
      <c r="L140" s="1">
        <v>41089</v>
      </c>
      <c r="N140" t="s">
        <v>36</v>
      </c>
      <c r="O140" t="s">
        <v>6047</v>
      </c>
      <c r="P140" t="s">
        <v>8727</v>
      </c>
      <c r="Q140" t="s">
        <v>39</v>
      </c>
      <c r="R140" t="s">
        <v>40</v>
      </c>
      <c r="S140">
        <v>0</v>
      </c>
      <c r="U140" t="s">
        <v>41</v>
      </c>
      <c r="V140" t="s">
        <v>42</v>
      </c>
      <c r="X140" t="s">
        <v>74</v>
      </c>
      <c r="Y140" t="b">
        <v>0</v>
      </c>
      <c r="Z140" t="b">
        <v>0</v>
      </c>
      <c r="AC140" s="1"/>
      <c r="AF140">
        <v>0</v>
      </c>
      <c r="AG140">
        <v>45</v>
      </c>
      <c r="AH140">
        <v>224</v>
      </c>
      <c r="AI140" s="2">
        <f>Table__192.168.3.138BEWLPPMetaData[[#This Row],[NetAmount]]-Table__192.168.3.138BEWLPPMetaData[[#This Row],[Paid]]</f>
        <v>11000</v>
      </c>
    </row>
    <row r="141" spans="1:35" hidden="1">
      <c r="A141" t="s">
        <v>8782</v>
      </c>
      <c r="B141" s="1">
        <v>40731</v>
      </c>
      <c r="C141" s="1">
        <v>40761</v>
      </c>
      <c r="D141" t="s">
        <v>8530</v>
      </c>
      <c r="E141">
        <v>401947</v>
      </c>
      <c r="F141">
        <v>64312</v>
      </c>
      <c r="G141">
        <v>0</v>
      </c>
      <c r="H141">
        <v>0</v>
      </c>
      <c r="I141">
        <v>537</v>
      </c>
      <c r="J141">
        <v>466259</v>
      </c>
      <c r="K141" t="s">
        <v>8783</v>
      </c>
      <c r="L141" s="1">
        <v>40731</v>
      </c>
      <c r="N141" t="s">
        <v>5127</v>
      </c>
      <c r="O141" t="s">
        <v>2458</v>
      </c>
      <c r="P141" t="s">
        <v>357</v>
      </c>
      <c r="Q141" t="s">
        <v>39</v>
      </c>
      <c r="R141" t="s">
        <v>40</v>
      </c>
      <c r="S141">
        <v>0</v>
      </c>
      <c r="U141" t="s">
        <v>41</v>
      </c>
      <c r="V141" t="s">
        <v>42</v>
      </c>
      <c r="X141" t="s">
        <v>74</v>
      </c>
      <c r="Y141" t="b">
        <v>0</v>
      </c>
      <c r="Z141" t="b">
        <v>0</v>
      </c>
      <c r="AB141" t="s">
        <v>576</v>
      </c>
      <c r="AC141" s="1">
        <v>40941</v>
      </c>
      <c r="AD141" t="s">
        <v>8784</v>
      </c>
      <c r="AE141" t="s">
        <v>8785</v>
      </c>
      <c r="AF141">
        <v>464383</v>
      </c>
      <c r="AG141">
        <v>45</v>
      </c>
      <c r="AH141">
        <v>582</v>
      </c>
      <c r="AI141" s="2">
        <f>Table__192.168.3.138BEWLPPMetaData[[#This Row],[NetAmount]]-Table__192.168.3.138BEWLPPMetaData[[#This Row],[Paid]]</f>
        <v>1876</v>
      </c>
    </row>
    <row r="142" spans="1:35" hidden="1">
      <c r="A142" t="s">
        <v>8786</v>
      </c>
      <c r="B142" s="1">
        <v>40754</v>
      </c>
      <c r="C142" s="1">
        <v>40754</v>
      </c>
      <c r="D142" t="s">
        <v>8538</v>
      </c>
      <c r="E142">
        <v>44220</v>
      </c>
      <c r="F142">
        <v>7075</v>
      </c>
      <c r="G142">
        <v>0</v>
      </c>
      <c r="H142">
        <v>0</v>
      </c>
      <c r="I142">
        <v>515</v>
      </c>
      <c r="J142">
        <v>51295</v>
      </c>
      <c r="K142" t="s">
        <v>8787</v>
      </c>
      <c r="L142" s="1">
        <v>40753</v>
      </c>
      <c r="N142" t="s">
        <v>5127</v>
      </c>
      <c r="O142" t="s">
        <v>2458</v>
      </c>
      <c r="P142" t="s">
        <v>310</v>
      </c>
      <c r="Q142" t="s">
        <v>39</v>
      </c>
      <c r="R142" t="s">
        <v>40</v>
      </c>
      <c r="S142">
        <v>0</v>
      </c>
      <c r="U142" t="s">
        <v>41</v>
      </c>
      <c r="V142" t="s">
        <v>42</v>
      </c>
      <c r="X142" t="s">
        <v>74</v>
      </c>
      <c r="Y142" t="b">
        <v>0</v>
      </c>
      <c r="Z142" t="b">
        <v>0</v>
      </c>
      <c r="AC142" s="1"/>
      <c r="AF142">
        <v>0</v>
      </c>
      <c r="AG142">
        <v>45</v>
      </c>
      <c r="AH142">
        <v>560</v>
      </c>
      <c r="AI142" s="2">
        <f>Table__192.168.3.138BEWLPPMetaData[[#This Row],[NetAmount]]-Table__192.168.3.138BEWLPPMetaData[[#This Row],[Paid]]</f>
        <v>51295</v>
      </c>
    </row>
    <row r="143" spans="1:35" hidden="1">
      <c r="A143" t="s">
        <v>8788</v>
      </c>
      <c r="B143" s="1">
        <v>40754</v>
      </c>
      <c r="C143" s="1">
        <v>40754</v>
      </c>
      <c r="D143" t="s">
        <v>8789</v>
      </c>
      <c r="E143">
        <v>9744</v>
      </c>
      <c r="F143">
        <v>1559</v>
      </c>
      <c r="G143">
        <v>0</v>
      </c>
      <c r="H143">
        <v>0</v>
      </c>
      <c r="I143">
        <v>514</v>
      </c>
      <c r="J143">
        <v>11303</v>
      </c>
      <c r="K143" t="s">
        <v>8790</v>
      </c>
      <c r="L143" s="1">
        <v>40754</v>
      </c>
      <c r="M143" t="s">
        <v>8791</v>
      </c>
      <c r="N143" t="s">
        <v>5127</v>
      </c>
      <c r="O143" t="s">
        <v>2458</v>
      </c>
      <c r="P143" t="s">
        <v>8792</v>
      </c>
      <c r="Q143" t="s">
        <v>39</v>
      </c>
      <c r="R143" t="s">
        <v>40</v>
      </c>
      <c r="S143">
        <v>0</v>
      </c>
      <c r="U143" t="s">
        <v>41</v>
      </c>
      <c r="V143" t="s">
        <v>42</v>
      </c>
      <c r="X143" t="s">
        <v>74</v>
      </c>
      <c r="Y143" t="b">
        <v>0</v>
      </c>
      <c r="Z143" t="b">
        <v>0</v>
      </c>
      <c r="AC143" s="1"/>
      <c r="AF143">
        <v>0</v>
      </c>
      <c r="AG143">
        <v>45</v>
      </c>
      <c r="AH143">
        <v>559</v>
      </c>
      <c r="AI143" s="2">
        <f>Table__192.168.3.138BEWLPPMetaData[[#This Row],[NetAmount]]-Table__192.168.3.138BEWLPPMetaData[[#This Row],[Paid]]</f>
        <v>11303</v>
      </c>
    </row>
    <row r="144" spans="1:35" hidden="1">
      <c r="A144" t="s">
        <v>8793</v>
      </c>
      <c r="B144" s="1">
        <v>40806</v>
      </c>
      <c r="C144" s="1">
        <v>40851</v>
      </c>
      <c r="D144" t="s">
        <v>8794</v>
      </c>
      <c r="E144">
        <v>23400</v>
      </c>
      <c r="F144">
        <v>3744</v>
      </c>
      <c r="G144">
        <v>0</v>
      </c>
      <c r="H144">
        <v>0</v>
      </c>
      <c r="I144">
        <v>462</v>
      </c>
      <c r="J144">
        <v>27144</v>
      </c>
      <c r="K144" t="s">
        <v>3662</v>
      </c>
      <c r="L144" s="1">
        <v>40806</v>
      </c>
      <c r="N144" t="s">
        <v>5127</v>
      </c>
      <c r="O144" t="s">
        <v>2458</v>
      </c>
      <c r="P144" t="s">
        <v>8795</v>
      </c>
      <c r="Q144" t="s">
        <v>39</v>
      </c>
      <c r="R144" t="s">
        <v>40</v>
      </c>
      <c r="S144">
        <v>0</v>
      </c>
      <c r="U144" t="s">
        <v>41</v>
      </c>
      <c r="V144" t="s">
        <v>42</v>
      </c>
      <c r="X144" t="s">
        <v>74</v>
      </c>
      <c r="Y144" t="b">
        <v>0</v>
      </c>
      <c r="Z144" t="b">
        <v>0</v>
      </c>
      <c r="AB144" t="s">
        <v>8796</v>
      </c>
      <c r="AC144" s="1">
        <v>41065</v>
      </c>
      <c r="AD144" t="s">
        <v>8797</v>
      </c>
      <c r="AE144" t="s">
        <v>8798</v>
      </c>
      <c r="AF144">
        <v>14582</v>
      </c>
      <c r="AG144">
        <v>45</v>
      </c>
      <c r="AH144">
        <v>507</v>
      </c>
      <c r="AI144" s="2">
        <f>Table__192.168.3.138BEWLPPMetaData[[#This Row],[NetAmount]]-Table__192.168.3.138BEWLPPMetaData[[#This Row],[Paid]]</f>
        <v>12562</v>
      </c>
    </row>
    <row r="145" spans="1:35" hidden="1">
      <c r="A145" t="s">
        <v>8799</v>
      </c>
      <c r="B145" s="1">
        <v>40834</v>
      </c>
      <c r="C145" s="1">
        <v>40834</v>
      </c>
      <c r="D145" t="s">
        <v>8524</v>
      </c>
      <c r="E145">
        <v>262200</v>
      </c>
      <c r="F145">
        <v>41952</v>
      </c>
      <c r="G145">
        <v>0</v>
      </c>
      <c r="H145">
        <v>0</v>
      </c>
      <c r="I145">
        <v>441</v>
      </c>
      <c r="J145">
        <v>304152</v>
      </c>
      <c r="K145" t="s">
        <v>4414</v>
      </c>
      <c r="L145" s="1">
        <v>40827</v>
      </c>
      <c r="N145" t="s">
        <v>5127</v>
      </c>
      <c r="O145" t="s">
        <v>2458</v>
      </c>
      <c r="P145" t="s">
        <v>8525</v>
      </c>
      <c r="Q145" t="s">
        <v>39</v>
      </c>
      <c r="R145" t="s">
        <v>40</v>
      </c>
      <c r="S145">
        <v>0</v>
      </c>
      <c r="U145" t="s">
        <v>41</v>
      </c>
      <c r="V145" t="s">
        <v>42</v>
      </c>
      <c r="X145" t="s">
        <v>74</v>
      </c>
      <c r="Y145" t="b">
        <v>0</v>
      </c>
      <c r="Z145" t="b">
        <v>0</v>
      </c>
      <c r="AB145" t="s">
        <v>8800</v>
      </c>
      <c r="AC145" s="1">
        <v>40933</v>
      </c>
      <c r="AD145" t="s">
        <v>8801</v>
      </c>
      <c r="AE145" t="s">
        <v>8802</v>
      </c>
      <c r="AF145">
        <v>241698</v>
      </c>
      <c r="AG145">
        <v>45</v>
      </c>
      <c r="AH145">
        <v>486</v>
      </c>
      <c r="AI145" s="2">
        <f>Table__192.168.3.138BEWLPPMetaData[[#This Row],[NetAmount]]-Table__192.168.3.138BEWLPPMetaData[[#This Row],[Paid]]</f>
        <v>62454</v>
      </c>
    </row>
    <row r="146" spans="1:35" hidden="1">
      <c r="A146" t="s">
        <v>8803</v>
      </c>
      <c r="B146" s="1">
        <v>40834</v>
      </c>
      <c r="C146" s="1">
        <v>40879</v>
      </c>
      <c r="D146" t="s">
        <v>8794</v>
      </c>
      <c r="E146">
        <v>361600</v>
      </c>
      <c r="F146">
        <v>57856</v>
      </c>
      <c r="G146">
        <v>0</v>
      </c>
      <c r="H146">
        <v>0</v>
      </c>
      <c r="I146">
        <v>434</v>
      </c>
      <c r="J146">
        <v>419456</v>
      </c>
      <c r="K146" t="s">
        <v>3847</v>
      </c>
      <c r="L146" s="1">
        <v>40834</v>
      </c>
      <c r="N146" t="s">
        <v>5127</v>
      </c>
      <c r="O146" t="s">
        <v>2458</v>
      </c>
      <c r="P146" t="s">
        <v>8795</v>
      </c>
      <c r="Q146" t="s">
        <v>39</v>
      </c>
      <c r="R146" t="s">
        <v>40</v>
      </c>
      <c r="S146">
        <v>0</v>
      </c>
      <c r="U146" t="s">
        <v>41</v>
      </c>
      <c r="V146" t="s">
        <v>42</v>
      </c>
      <c r="X146" t="s">
        <v>74</v>
      </c>
      <c r="Y146" t="b">
        <v>0</v>
      </c>
      <c r="Z146" t="b">
        <v>0</v>
      </c>
      <c r="AB146" t="s">
        <v>1438</v>
      </c>
      <c r="AC146" s="1">
        <v>41190</v>
      </c>
      <c r="AF146">
        <v>0</v>
      </c>
      <c r="AG146">
        <v>45</v>
      </c>
      <c r="AH146">
        <v>479</v>
      </c>
      <c r="AI146" s="2">
        <f>Table__192.168.3.138BEWLPPMetaData[[#This Row],[NetAmount]]-Table__192.168.3.138BEWLPPMetaData[[#This Row],[Paid]]</f>
        <v>419456</v>
      </c>
    </row>
    <row r="147" spans="1:35" hidden="1">
      <c r="A147" t="s">
        <v>8804</v>
      </c>
      <c r="B147" s="1">
        <v>40829</v>
      </c>
      <c r="C147" s="1">
        <v>40874</v>
      </c>
      <c r="D147" t="s">
        <v>8794</v>
      </c>
      <c r="E147">
        <v>279500</v>
      </c>
      <c r="F147">
        <v>44720</v>
      </c>
      <c r="G147">
        <v>0</v>
      </c>
      <c r="H147">
        <v>0</v>
      </c>
      <c r="I147">
        <v>439</v>
      </c>
      <c r="J147">
        <v>324220</v>
      </c>
      <c r="K147" t="s">
        <v>8805</v>
      </c>
      <c r="L147" s="1">
        <v>40829</v>
      </c>
      <c r="N147" t="s">
        <v>5127</v>
      </c>
      <c r="O147" t="s">
        <v>2458</v>
      </c>
      <c r="P147" t="s">
        <v>8795</v>
      </c>
      <c r="Q147" t="s">
        <v>39</v>
      </c>
      <c r="R147" t="s">
        <v>40</v>
      </c>
      <c r="S147">
        <v>0</v>
      </c>
      <c r="U147" t="s">
        <v>41</v>
      </c>
      <c r="V147" t="s">
        <v>42</v>
      </c>
      <c r="X147" t="s">
        <v>74</v>
      </c>
      <c r="Y147" t="b">
        <v>0</v>
      </c>
      <c r="Z147" t="b">
        <v>0</v>
      </c>
      <c r="AB147" t="s">
        <v>1438</v>
      </c>
      <c r="AC147" s="1">
        <v>41190</v>
      </c>
      <c r="AF147">
        <v>0</v>
      </c>
      <c r="AG147">
        <v>45</v>
      </c>
      <c r="AH147">
        <v>484</v>
      </c>
      <c r="AI147" s="2">
        <f>Table__192.168.3.138BEWLPPMetaData[[#This Row],[NetAmount]]-Table__192.168.3.138BEWLPPMetaData[[#This Row],[Paid]]</f>
        <v>324220</v>
      </c>
    </row>
    <row r="148" spans="1:35" hidden="1">
      <c r="A148" t="s">
        <v>8806</v>
      </c>
      <c r="B148" s="1">
        <v>40822</v>
      </c>
      <c r="C148" s="1">
        <v>40867</v>
      </c>
      <c r="D148" t="s">
        <v>8794</v>
      </c>
      <c r="E148">
        <v>30000</v>
      </c>
      <c r="F148">
        <v>4800</v>
      </c>
      <c r="G148">
        <v>0</v>
      </c>
      <c r="H148">
        <v>0</v>
      </c>
      <c r="I148">
        <v>446</v>
      </c>
      <c r="J148">
        <v>34800</v>
      </c>
      <c r="K148" t="s">
        <v>3715</v>
      </c>
      <c r="L148" s="1">
        <v>40822</v>
      </c>
      <c r="N148" t="s">
        <v>5127</v>
      </c>
      <c r="O148" t="s">
        <v>2458</v>
      </c>
      <c r="P148" t="s">
        <v>8795</v>
      </c>
      <c r="Q148" t="s">
        <v>39</v>
      </c>
      <c r="R148" t="s">
        <v>40</v>
      </c>
      <c r="S148">
        <v>0</v>
      </c>
      <c r="U148" t="s">
        <v>41</v>
      </c>
      <c r="V148" t="s">
        <v>42</v>
      </c>
      <c r="X148" t="s">
        <v>74</v>
      </c>
      <c r="Y148" t="b">
        <v>0</v>
      </c>
      <c r="Z148" t="b">
        <v>0</v>
      </c>
      <c r="AB148" t="s">
        <v>1438</v>
      </c>
      <c r="AC148" s="1">
        <v>41190</v>
      </c>
      <c r="AF148">
        <v>0</v>
      </c>
      <c r="AG148">
        <v>45</v>
      </c>
      <c r="AH148">
        <v>491</v>
      </c>
      <c r="AI148" s="2">
        <f>Table__192.168.3.138BEWLPPMetaData[[#This Row],[NetAmount]]-Table__192.168.3.138BEWLPPMetaData[[#This Row],[Paid]]</f>
        <v>34800</v>
      </c>
    </row>
    <row r="149" spans="1:35" hidden="1">
      <c r="A149" t="s">
        <v>8807</v>
      </c>
      <c r="B149" s="1">
        <v>40822</v>
      </c>
      <c r="C149" s="1">
        <v>40867</v>
      </c>
      <c r="D149" t="s">
        <v>8794</v>
      </c>
      <c r="E149">
        <v>106350</v>
      </c>
      <c r="F149">
        <v>17016</v>
      </c>
      <c r="G149">
        <v>0</v>
      </c>
      <c r="H149">
        <v>0</v>
      </c>
      <c r="I149">
        <v>446</v>
      </c>
      <c r="J149">
        <v>123366</v>
      </c>
      <c r="K149" t="s">
        <v>3527</v>
      </c>
      <c r="L149" s="1">
        <v>40822</v>
      </c>
      <c r="N149" t="s">
        <v>5127</v>
      </c>
      <c r="O149" t="s">
        <v>2458</v>
      </c>
      <c r="P149" t="s">
        <v>8795</v>
      </c>
      <c r="Q149" t="s">
        <v>39</v>
      </c>
      <c r="R149" t="s">
        <v>40</v>
      </c>
      <c r="S149">
        <v>0</v>
      </c>
      <c r="U149" t="s">
        <v>41</v>
      </c>
      <c r="V149" t="s">
        <v>42</v>
      </c>
      <c r="X149" t="s">
        <v>74</v>
      </c>
      <c r="Y149" t="b">
        <v>0</v>
      </c>
      <c r="Z149" t="b">
        <v>0</v>
      </c>
      <c r="AB149" t="s">
        <v>1438</v>
      </c>
      <c r="AC149" s="1">
        <v>41190</v>
      </c>
      <c r="AF149">
        <v>0</v>
      </c>
      <c r="AG149">
        <v>45</v>
      </c>
      <c r="AH149">
        <v>491</v>
      </c>
      <c r="AI149" s="2">
        <f>Table__192.168.3.138BEWLPPMetaData[[#This Row],[NetAmount]]-Table__192.168.3.138BEWLPPMetaData[[#This Row],[Paid]]</f>
        <v>123366</v>
      </c>
    </row>
    <row r="150" spans="1:35" hidden="1">
      <c r="A150" t="s">
        <v>8808</v>
      </c>
      <c r="B150" s="1">
        <v>40829</v>
      </c>
      <c r="C150" s="1">
        <v>40874</v>
      </c>
      <c r="D150" t="s">
        <v>8794</v>
      </c>
      <c r="E150">
        <v>146250</v>
      </c>
      <c r="F150">
        <v>23400</v>
      </c>
      <c r="G150">
        <v>0</v>
      </c>
      <c r="H150">
        <v>0</v>
      </c>
      <c r="I150">
        <v>440</v>
      </c>
      <c r="J150">
        <v>169650</v>
      </c>
      <c r="K150" t="s">
        <v>3251</v>
      </c>
      <c r="L150" s="1">
        <v>40828</v>
      </c>
      <c r="N150" t="s">
        <v>5127</v>
      </c>
      <c r="O150" t="s">
        <v>2458</v>
      </c>
      <c r="P150" t="s">
        <v>8795</v>
      </c>
      <c r="Q150" t="s">
        <v>39</v>
      </c>
      <c r="R150" t="s">
        <v>40</v>
      </c>
      <c r="S150">
        <v>0</v>
      </c>
      <c r="U150" t="s">
        <v>41</v>
      </c>
      <c r="V150" t="s">
        <v>42</v>
      </c>
      <c r="X150" t="s">
        <v>74</v>
      </c>
      <c r="Y150" t="b">
        <v>0</v>
      </c>
      <c r="Z150" t="b">
        <v>0</v>
      </c>
      <c r="AB150" t="s">
        <v>1438</v>
      </c>
      <c r="AC150" s="1">
        <v>41190</v>
      </c>
      <c r="AF150">
        <v>0</v>
      </c>
      <c r="AG150">
        <v>45</v>
      </c>
      <c r="AH150">
        <v>485</v>
      </c>
      <c r="AI150" s="2">
        <f>Table__192.168.3.138BEWLPPMetaData[[#This Row],[NetAmount]]-Table__192.168.3.138BEWLPPMetaData[[#This Row],[Paid]]</f>
        <v>169650</v>
      </c>
    </row>
    <row r="151" spans="1:35" hidden="1">
      <c r="A151" t="s">
        <v>8809</v>
      </c>
      <c r="B151" s="1">
        <v>40843</v>
      </c>
      <c r="C151" s="1">
        <v>40888</v>
      </c>
      <c r="D151" t="s">
        <v>8794</v>
      </c>
      <c r="E151">
        <v>28000</v>
      </c>
      <c r="F151">
        <v>4480</v>
      </c>
      <c r="G151">
        <v>0</v>
      </c>
      <c r="H151">
        <v>0</v>
      </c>
      <c r="I151">
        <v>425</v>
      </c>
      <c r="J151">
        <v>32480</v>
      </c>
      <c r="K151" t="s">
        <v>8810</v>
      </c>
      <c r="L151" s="1">
        <v>40843</v>
      </c>
      <c r="N151" t="s">
        <v>5127</v>
      </c>
      <c r="O151" t="s">
        <v>2458</v>
      </c>
      <c r="P151" t="s">
        <v>8795</v>
      </c>
      <c r="Q151" t="s">
        <v>39</v>
      </c>
      <c r="R151" t="s">
        <v>40</v>
      </c>
      <c r="S151">
        <v>0</v>
      </c>
      <c r="U151" t="s">
        <v>41</v>
      </c>
      <c r="V151" t="s">
        <v>42</v>
      </c>
      <c r="X151" t="s">
        <v>74</v>
      </c>
      <c r="Y151" t="b">
        <v>0</v>
      </c>
      <c r="Z151" t="b">
        <v>0</v>
      </c>
      <c r="AB151" t="s">
        <v>1438</v>
      </c>
      <c r="AC151" s="1">
        <v>41190</v>
      </c>
      <c r="AF151">
        <v>0</v>
      </c>
      <c r="AG151">
        <v>45</v>
      </c>
      <c r="AH151">
        <v>470</v>
      </c>
      <c r="AI151" s="2">
        <f>Table__192.168.3.138BEWLPPMetaData[[#This Row],[NetAmount]]-Table__192.168.3.138BEWLPPMetaData[[#This Row],[Paid]]</f>
        <v>32480</v>
      </c>
    </row>
    <row r="152" spans="1:35" hidden="1">
      <c r="A152" t="s">
        <v>8811</v>
      </c>
      <c r="B152" s="1">
        <v>40843</v>
      </c>
      <c r="C152" s="1">
        <v>40888</v>
      </c>
      <c r="D152" t="s">
        <v>8794</v>
      </c>
      <c r="E152">
        <v>69900</v>
      </c>
      <c r="F152">
        <v>11184</v>
      </c>
      <c r="G152">
        <v>0</v>
      </c>
      <c r="H152">
        <v>0</v>
      </c>
      <c r="I152">
        <v>425</v>
      </c>
      <c r="J152">
        <v>81084</v>
      </c>
      <c r="K152" t="s">
        <v>1500</v>
      </c>
      <c r="L152" s="1">
        <v>40843</v>
      </c>
      <c r="N152" t="s">
        <v>5127</v>
      </c>
      <c r="O152" t="s">
        <v>2458</v>
      </c>
      <c r="P152" t="s">
        <v>8795</v>
      </c>
      <c r="Q152" t="s">
        <v>39</v>
      </c>
      <c r="R152" t="s">
        <v>40</v>
      </c>
      <c r="S152">
        <v>0</v>
      </c>
      <c r="U152" t="s">
        <v>41</v>
      </c>
      <c r="V152" t="s">
        <v>42</v>
      </c>
      <c r="X152" t="s">
        <v>74</v>
      </c>
      <c r="Y152" t="b">
        <v>0</v>
      </c>
      <c r="Z152" t="b">
        <v>0</v>
      </c>
      <c r="AB152" t="s">
        <v>1438</v>
      </c>
      <c r="AC152" s="1">
        <v>41190</v>
      </c>
      <c r="AF152">
        <v>0</v>
      </c>
      <c r="AG152">
        <v>45</v>
      </c>
      <c r="AH152">
        <v>470</v>
      </c>
      <c r="AI152" s="2">
        <f>Table__192.168.3.138BEWLPPMetaData[[#This Row],[NetAmount]]-Table__192.168.3.138BEWLPPMetaData[[#This Row],[Paid]]</f>
        <v>81084</v>
      </c>
    </row>
    <row r="153" spans="1:35" hidden="1">
      <c r="A153" t="s">
        <v>8812</v>
      </c>
      <c r="B153" s="1">
        <v>40845</v>
      </c>
      <c r="C153" s="1">
        <v>40890</v>
      </c>
      <c r="D153" t="s">
        <v>8794</v>
      </c>
      <c r="E153">
        <v>70000</v>
      </c>
      <c r="F153">
        <v>11200</v>
      </c>
      <c r="G153">
        <v>0</v>
      </c>
      <c r="H153">
        <v>0</v>
      </c>
      <c r="I153">
        <v>423</v>
      </c>
      <c r="J153">
        <v>81200</v>
      </c>
      <c r="K153" t="s">
        <v>1546</v>
      </c>
      <c r="L153" s="1">
        <v>40845</v>
      </c>
      <c r="N153" t="s">
        <v>5127</v>
      </c>
      <c r="O153" t="s">
        <v>2458</v>
      </c>
      <c r="P153" t="s">
        <v>8795</v>
      </c>
      <c r="Q153" t="s">
        <v>39</v>
      </c>
      <c r="R153" t="s">
        <v>40</v>
      </c>
      <c r="S153">
        <v>0</v>
      </c>
      <c r="U153" t="s">
        <v>41</v>
      </c>
      <c r="V153" t="s">
        <v>42</v>
      </c>
      <c r="X153" t="s">
        <v>74</v>
      </c>
      <c r="Y153" t="b">
        <v>0</v>
      </c>
      <c r="Z153" t="b">
        <v>0</v>
      </c>
      <c r="AB153" t="s">
        <v>1438</v>
      </c>
      <c r="AC153" s="1">
        <v>41190</v>
      </c>
      <c r="AF153">
        <v>0</v>
      </c>
      <c r="AG153">
        <v>45</v>
      </c>
      <c r="AH153">
        <v>468</v>
      </c>
      <c r="AI153" s="2">
        <f>Table__192.168.3.138BEWLPPMetaData[[#This Row],[NetAmount]]-Table__192.168.3.138BEWLPPMetaData[[#This Row],[Paid]]</f>
        <v>81200</v>
      </c>
    </row>
    <row r="154" spans="1:35" hidden="1">
      <c r="A154" t="s">
        <v>8813</v>
      </c>
      <c r="B154" s="1">
        <v>40845</v>
      </c>
      <c r="C154" s="1">
        <v>40890</v>
      </c>
      <c r="D154" t="s">
        <v>8794</v>
      </c>
      <c r="E154">
        <v>90000</v>
      </c>
      <c r="F154">
        <v>14400</v>
      </c>
      <c r="G154">
        <v>0</v>
      </c>
      <c r="H154">
        <v>0</v>
      </c>
      <c r="I154">
        <v>423</v>
      </c>
      <c r="J154">
        <v>104400</v>
      </c>
      <c r="K154" t="s">
        <v>1241</v>
      </c>
      <c r="L154" s="1">
        <v>40845</v>
      </c>
      <c r="N154" t="s">
        <v>5127</v>
      </c>
      <c r="O154" t="s">
        <v>2458</v>
      </c>
      <c r="P154" t="s">
        <v>8795</v>
      </c>
      <c r="Q154" t="s">
        <v>39</v>
      </c>
      <c r="R154" t="s">
        <v>40</v>
      </c>
      <c r="S154">
        <v>0</v>
      </c>
      <c r="U154" t="s">
        <v>41</v>
      </c>
      <c r="V154" t="s">
        <v>42</v>
      </c>
      <c r="X154" t="s">
        <v>74</v>
      </c>
      <c r="Y154" t="b">
        <v>0</v>
      </c>
      <c r="Z154" t="b">
        <v>0</v>
      </c>
      <c r="AB154" t="s">
        <v>1438</v>
      </c>
      <c r="AC154" s="1">
        <v>41190</v>
      </c>
      <c r="AF154">
        <v>0</v>
      </c>
      <c r="AG154">
        <v>45</v>
      </c>
      <c r="AH154">
        <v>468</v>
      </c>
      <c r="AI154" s="2">
        <f>Table__192.168.3.138BEWLPPMetaData[[#This Row],[NetAmount]]-Table__192.168.3.138BEWLPPMetaData[[#This Row],[Paid]]</f>
        <v>104400</v>
      </c>
    </row>
    <row r="155" spans="1:35" hidden="1">
      <c r="A155" t="s">
        <v>8814</v>
      </c>
      <c r="B155" s="1">
        <v>40847</v>
      </c>
      <c r="C155" s="1">
        <v>40892</v>
      </c>
      <c r="D155" t="s">
        <v>8794</v>
      </c>
      <c r="E155">
        <v>52500</v>
      </c>
      <c r="F155">
        <v>8400</v>
      </c>
      <c r="G155">
        <v>0</v>
      </c>
      <c r="H155">
        <v>0</v>
      </c>
      <c r="I155">
        <v>421</v>
      </c>
      <c r="J155">
        <v>60900</v>
      </c>
      <c r="K155" t="s">
        <v>1602</v>
      </c>
      <c r="L155" s="1">
        <v>40847</v>
      </c>
      <c r="N155" t="s">
        <v>5127</v>
      </c>
      <c r="O155" t="s">
        <v>2458</v>
      </c>
      <c r="P155" t="s">
        <v>8795</v>
      </c>
      <c r="Q155" t="s">
        <v>39</v>
      </c>
      <c r="R155" t="s">
        <v>40</v>
      </c>
      <c r="S155">
        <v>0</v>
      </c>
      <c r="U155" t="s">
        <v>41</v>
      </c>
      <c r="V155" t="s">
        <v>42</v>
      </c>
      <c r="X155" t="s">
        <v>74</v>
      </c>
      <c r="Y155" t="b">
        <v>0</v>
      </c>
      <c r="Z155" t="b">
        <v>0</v>
      </c>
      <c r="AB155" t="s">
        <v>1438</v>
      </c>
      <c r="AC155" s="1">
        <v>41190</v>
      </c>
      <c r="AF155">
        <v>0</v>
      </c>
      <c r="AG155">
        <v>45</v>
      </c>
      <c r="AH155">
        <v>466</v>
      </c>
      <c r="AI155" s="2">
        <f>Table__192.168.3.138BEWLPPMetaData[[#This Row],[NetAmount]]-Table__192.168.3.138BEWLPPMetaData[[#This Row],[Paid]]</f>
        <v>60900</v>
      </c>
    </row>
    <row r="156" spans="1:35" hidden="1">
      <c r="A156" t="s">
        <v>8815</v>
      </c>
      <c r="B156" s="1">
        <v>40847</v>
      </c>
      <c r="C156" s="1">
        <v>40892</v>
      </c>
      <c r="D156" t="s">
        <v>8794</v>
      </c>
      <c r="E156">
        <v>210000</v>
      </c>
      <c r="F156">
        <v>33600</v>
      </c>
      <c r="G156">
        <v>0</v>
      </c>
      <c r="H156">
        <v>0</v>
      </c>
      <c r="I156">
        <v>421</v>
      </c>
      <c r="J156">
        <v>243600</v>
      </c>
      <c r="K156" t="s">
        <v>5155</v>
      </c>
      <c r="L156" s="1">
        <v>40847</v>
      </c>
      <c r="N156" t="s">
        <v>5127</v>
      </c>
      <c r="O156" t="s">
        <v>2458</v>
      </c>
      <c r="P156" t="s">
        <v>8795</v>
      </c>
      <c r="Q156" t="s">
        <v>39</v>
      </c>
      <c r="R156" t="s">
        <v>40</v>
      </c>
      <c r="S156">
        <v>0</v>
      </c>
      <c r="U156" t="s">
        <v>41</v>
      </c>
      <c r="V156" t="s">
        <v>42</v>
      </c>
      <c r="X156" t="s">
        <v>74</v>
      </c>
      <c r="Y156" t="b">
        <v>0</v>
      </c>
      <c r="Z156" t="b">
        <v>0</v>
      </c>
      <c r="AB156" t="s">
        <v>1438</v>
      </c>
      <c r="AC156" s="1">
        <v>41190</v>
      </c>
      <c r="AF156">
        <v>0</v>
      </c>
      <c r="AG156">
        <v>45</v>
      </c>
      <c r="AH156">
        <v>466</v>
      </c>
      <c r="AI156" s="2">
        <f>Table__192.168.3.138BEWLPPMetaData[[#This Row],[NetAmount]]-Table__192.168.3.138BEWLPPMetaData[[#This Row],[Paid]]</f>
        <v>243600</v>
      </c>
    </row>
    <row r="157" spans="1:35" hidden="1">
      <c r="A157" t="s">
        <v>8816</v>
      </c>
      <c r="B157" s="1">
        <v>40823</v>
      </c>
      <c r="C157" s="1">
        <v>40868</v>
      </c>
      <c r="D157" t="s">
        <v>8817</v>
      </c>
      <c r="E157">
        <v>2500</v>
      </c>
      <c r="F157">
        <v>0</v>
      </c>
      <c r="G157">
        <v>0</v>
      </c>
      <c r="H157">
        <v>0</v>
      </c>
      <c r="I157">
        <v>445</v>
      </c>
      <c r="J157">
        <v>2500</v>
      </c>
      <c r="K157" t="s">
        <v>3251</v>
      </c>
      <c r="L157" s="1">
        <v>40823</v>
      </c>
      <c r="N157" t="s">
        <v>5127</v>
      </c>
      <c r="O157" t="s">
        <v>2458</v>
      </c>
      <c r="P157" t="s">
        <v>8818</v>
      </c>
      <c r="Q157" t="s">
        <v>39</v>
      </c>
      <c r="R157" t="s">
        <v>40</v>
      </c>
      <c r="S157">
        <v>0</v>
      </c>
      <c r="U157" t="s">
        <v>41</v>
      </c>
      <c r="V157" t="s">
        <v>42</v>
      </c>
      <c r="X157" t="s">
        <v>74</v>
      </c>
      <c r="Y157" t="b">
        <v>0</v>
      </c>
      <c r="Z157" t="b">
        <v>0</v>
      </c>
      <c r="AC157" s="1"/>
      <c r="AF157">
        <v>0</v>
      </c>
      <c r="AG157">
        <v>45</v>
      </c>
      <c r="AH157">
        <v>490</v>
      </c>
      <c r="AI157" s="2">
        <f>Table__192.168.3.138BEWLPPMetaData[[#This Row],[NetAmount]]-Table__192.168.3.138BEWLPPMetaData[[#This Row],[Paid]]</f>
        <v>2500</v>
      </c>
    </row>
    <row r="158" spans="1:35" hidden="1">
      <c r="A158" t="s">
        <v>8819</v>
      </c>
      <c r="B158" s="1">
        <v>40847</v>
      </c>
      <c r="C158" s="1">
        <v>40847</v>
      </c>
      <c r="D158" t="s">
        <v>8820</v>
      </c>
      <c r="E158">
        <v>875</v>
      </c>
      <c r="F158">
        <v>0</v>
      </c>
      <c r="G158">
        <v>0</v>
      </c>
      <c r="H158">
        <v>0</v>
      </c>
      <c r="I158">
        <v>421</v>
      </c>
      <c r="J158">
        <v>875</v>
      </c>
      <c r="K158" t="s">
        <v>8821</v>
      </c>
      <c r="L158" s="1">
        <v>40847</v>
      </c>
      <c r="N158" t="s">
        <v>5127</v>
      </c>
      <c r="O158" t="s">
        <v>2458</v>
      </c>
      <c r="P158" t="s">
        <v>8822</v>
      </c>
      <c r="Q158" t="s">
        <v>39</v>
      </c>
      <c r="R158" t="s">
        <v>40</v>
      </c>
      <c r="S158">
        <v>0</v>
      </c>
      <c r="U158" t="s">
        <v>41</v>
      </c>
      <c r="V158" t="s">
        <v>42</v>
      </c>
      <c r="X158" t="s">
        <v>74</v>
      </c>
      <c r="Y158" t="b">
        <v>0</v>
      </c>
      <c r="Z158" t="b">
        <v>0</v>
      </c>
      <c r="AC158" s="1"/>
      <c r="AF158">
        <v>0</v>
      </c>
      <c r="AG158">
        <v>45</v>
      </c>
      <c r="AH158">
        <v>466</v>
      </c>
      <c r="AI158" s="2">
        <f>Table__192.168.3.138BEWLPPMetaData[[#This Row],[NetAmount]]-Table__192.168.3.138BEWLPPMetaData[[#This Row],[Paid]]</f>
        <v>875</v>
      </c>
    </row>
    <row r="159" spans="1:35" hidden="1">
      <c r="A159" t="s">
        <v>8823</v>
      </c>
      <c r="B159" s="1">
        <v>40865</v>
      </c>
      <c r="C159" s="1">
        <v>40865</v>
      </c>
      <c r="D159" t="s">
        <v>8538</v>
      </c>
      <c r="E159">
        <v>14977</v>
      </c>
      <c r="F159">
        <v>2396</v>
      </c>
      <c r="G159">
        <v>0</v>
      </c>
      <c r="H159">
        <v>0</v>
      </c>
      <c r="I159">
        <v>416</v>
      </c>
      <c r="J159">
        <v>17373</v>
      </c>
      <c r="K159" t="s">
        <v>8824</v>
      </c>
      <c r="L159" s="1">
        <v>40852</v>
      </c>
      <c r="N159" t="s">
        <v>5127</v>
      </c>
      <c r="O159" t="s">
        <v>2458</v>
      </c>
      <c r="P159" t="s">
        <v>310</v>
      </c>
      <c r="Q159" t="s">
        <v>39</v>
      </c>
      <c r="R159" t="s">
        <v>40</v>
      </c>
      <c r="S159">
        <v>0</v>
      </c>
      <c r="U159" t="s">
        <v>41</v>
      </c>
      <c r="V159" t="s">
        <v>42</v>
      </c>
      <c r="X159" t="s">
        <v>74</v>
      </c>
      <c r="Y159" t="b">
        <v>0</v>
      </c>
      <c r="Z159" t="b">
        <v>0</v>
      </c>
      <c r="AC159" s="1"/>
      <c r="AF159">
        <v>0</v>
      </c>
      <c r="AG159">
        <v>45</v>
      </c>
      <c r="AH159">
        <v>461</v>
      </c>
      <c r="AI159" s="2">
        <f>Table__192.168.3.138BEWLPPMetaData[[#This Row],[NetAmount]]-Table__192.168.3.138BEWLPPMetaData[[#This Row],[Paid]]</f>
        <v>17373</v>
      </c>
    </row>
    <row r="160" spans="1:35" hidden="1">
      <c r="A160" t="s">
        <v>8825</v>
      </c>
      <c r="B160" s="1">
        <v>40871</v>
      </c>
      <c r="C160" s="1">
        <v>40901</v>
      </c>
      <c r="D160" t="s">
        <v>8826</v>
      </c>
      <c r="E160">
        <v>80250</v>
      </c>
      <c r="F160">
        <v>12840</v>
      </c>
      <c r="G160">
        <v>0</v>
      </c>
      <c r="H160">
        <v>0</v>
      </c>
      <c r="I160">
        <v>400</v>
      </c>
      <c r="J160">
        <v>93090</v>
      </c>
      <c r="K160" t="s">
        <v>8827</v>
      </c>
      <c r="L160" s="1">
        <v>40868</v>
      </c>
      <c r="N160" t="s">
        <v>5127</v>
      </c>
      <c r="O160" t="s">
        <v>2458</v>
      </c>
      <c r="P160" t="s">
        <v>336</v>
      </c>
      <c r="Q160" t="s">
        <v>39</v>
      </c>
      <c r="R160" t="s">
        <v>40</v>
      </c>
      <c r="S160">
        <v>0</v>
      </c>
      <c r="U160" t="s">
        <v>41</v>
      </c>
      <c r="V160" t="s">
        <v>42</v>
      </c>
      <c r="X160" t="s">
        <v>74</v>
      </c>
      <c r="Y160" t="b">
        <v>0</v>
      </c>
      <c r="Z160" t="b">
        <v>0</v>
      </c>
      <c r="AC160" s="1"/>
      <c r="AF160">
        <v>0</v>
      </c>
      <c r="AG160">
        <v>45</v>
      </c>
      <c r="AH160">
        <v>445</v>
      </c>
      <c r="AI160" s="2">
        <f>Table__192.168.3.138BEWLPPMetaData[[#This Row],[NetAmount]]-Table__192.168.3.138BEWLPPMetaData[[#This Row],[Paid]]</f>
        <v>93090</v>
      </c>
    </row>
    <row r="161" spans="1:35" hidden="1">
      <c r="A161" t="s">
        <v>8828</v>
      </c>
      <c r="B161" s="1">
        <v>40873</v>
      </c>
      <c r="C161" s="1">
        <v>40903</v>
      </c>
      <c r="D161" t="s">
        <v>8826</v>
      </c>
      <c r="E161">
        <v>20300</v>
      </c>
      <c r="F161">
        <v>3248</v>
      </c>
      <c r="G161">
        <v>0</v>
      </c>
      <c r="H161">
        <v>0</v>
      </c>
      <c r="I161">
        <v>397</v>
      </c>
      <c r="J161">
        <v>23548</v>
      </c>
      <c r="K161" t="s">
        <v>8829</v>
      </c>
      <c r="L161" s="1">
        <v>40871</v>
      </c>
      <c r="N161" t="s">
        <v>5127</v>
      </c>
      <c r="O161" t="s">
        <v>2458</v>
      </c>
      <c r="P161" t="s">
        <v>336</v>
      </c>
      <c r="Q161" t="s">
        <v>39</v>
      </c>
      <c r="R161" t="s">
        <v>40</v>
      </c>
      <c r="S161">
        <v>0</v>
      </c>
      <c r="U161" t="s">
        <v>41</v>
      </c>
      <c r="V161" t="s">
        <v>42</v>
      </c>
      <c r="X161" t="s">
        <v>74</v>
      </c>
      <c r="Y161" t="b">
        <v>0</v>
      </c>
      <c r="Z161" t="b">
        <v>0</v>
      </c>
      <c r="AC161" s="1"/>
      <c r="AF161">
        <v>0</v>
      </c>
      <c r="AG161">
        <v>45</v>
      </c>
      <c r="AH161">
        <v>442</v>
      </c>
      <c r="AI161" s="2">
        <f>Table__192.168.3.138BEWLPPMetaData[[#This Row],[NetAmount]]-Table__192.168.3.138BEWLPPMetaData[[#This Row],[Paid]]</f>
        <v>23548</v>
      </c>
    </row>
    <row r="162" spans="1:35" hidden="1">
      <c r="A162" t="s">
        <v>8830</v>
      </c>
      <c r="B162" s="1">
        <v>40873</v>
      </c>
      <c r="C162" s="1">
        <v>40873</v>
      </c>
      <c r="D162" t="s">
        <v>8524</v>
      </c>
      <c r="E162">
        <v>406410</v>
      </c>
      <c r="F162">
        <v>65026</v>
      </c>
      <c r="G162">
        <v>0</v>
      </c>
      <c r="H162">
        <v>0</v>
      </c>
      <c r="I162">
        <v>397</v>
      </c>
      <c r="J162">
        <v>471436</v>
      </c>
      <c r="K162" t="s">
        <v>1875</v>
      </c>
      <c r="L162" s="1">
        <v>40871</v>
      </c>
      <c r="N162" t="s">
        <v>5127</v>
      </c>
      <c r="O162" t="s">
        <v>2458</v>
      </c>
      <c r="P162" t="s">
        <v>8525</v>
      </c>
      <c r="Q162" t="s">
        <v>39</v>
      </c>
      <c r="R162" t="s">
        <v>40</v>
      </c>
      <c r="S162">
        <v>0</v>
      </c>
      <c r="U162" t="s">
        <v>41</v>
      </c>
      <c r="V162" t="s">
        <v>42</v>
      </c>
      <c r="X162" t="s">
        <v>74</v>
      </c>
      <c r="Y162" t="b">
        <v>0</v>
      </c>
      <c r="Z162" t="b">
        <v>0</v>
      </c>
      <c r="AB162" t="s">
        <v>8800</v>
      </c>
      <c r="AC162" s="1">
        <v>40933</v>
      </c>
      <c r="AE162" t="s">
        <v>8802</v>
      </c>
      <c r="AF162">
        <v>0</v>
      </c>
      <c r="AG162">
        <v>45</v>
      </c>
      <c r="AH162">
        <v>442</v>
      </c>
      <c r="AI162" s="2">
        <f>Table__192.168.3.138BEWLPPMetaData[[#This Row],[NetAmount]]-Table__192.168.3.138BEWLPPMetaData[[#This Row],[Paid]]</f>
        <v>471436</v>
      </c>
    </row>
    <row r="163" spans="1:35" hidden="1">
      <c r="A163" t="s">
        <v>8831</v>
      </c>
      <c r="B163" s="1">
        <v>40901</v>
      </c>
      <c r="C163" s="1">
        <v>40901</v>
      </c>
      <c r="D163" t="s">
        <v>8524</v>
      </c>
      <c r="E163">
        <v>69</v>
      </c>
      <c r="F163">
        <v>11</v>
      </c>
      <c r="G163">
        <v>0</v>
      </c>
      <c r="H163">
        <v>0</v>
      </c>
      <c r="I163">
        <v>420</v>
      </c>
      <c r="J163">
        <v>80</v>
      </c>
      <c r="K163" t="s">
        <v>8832</v>
      </c>
      <c r="L163" s="1">
        <v>40848</v>
      </c>
      <c r="N163" t="s">
        <v>5127</v>
      </c>
      <c r="O163" t="s">
        <v>2458</v>
      </c>
      <c r="P163" t="s">
        <v>8525</v>
      </c>
      <c r="Q163" t="s">
        <v>39</v>
      </c>
      <c r="R163" t="s">
        <v>40</v>
      </c>
      <c r="S163">
        <v>0</v>
      </c>
      <c r="U163" t="s">
        <v>41</v>
      </c>
      <c r="V163" t="s">
        <v>42</v>
      </c>
      <c r="X163" t="s">
        <v>74</v>
      </c>
      <c r="Y163" t="b">
        <v>0</v>
      </c>
      <c r="Z163" t="b">
        <v>0</v>
      </c>
      <c r="AC163" s="1"/>
      <c r="AF163">
        <v>0</v>
      </c>
      <c r="AG163">
        <v>45</v>
      </c>
      <c r="AH163">
        <v>465</v>
      </c>
      <c r="AI163" s="2">
        <f>Table__192.168.3.138BEWLPPMetaData[[#This Row],[NetAmount]]-Table__192.168.3.138BEWLPPMetaData[[#This Row],[Paid]]</f>
        <v>80</v>
      </c>
    </row>
    <row r="164" spans="1:35" hidden="1">
      <c r="A164" t="s">
        <v>8833</v>
      </c>
      <c r="B164" s="1">
        <v>40890</v>
      </c>
      <c r="C164" s="1">
        <v>40935</v>
      </c>
      <c r="D164" t="s">
        <v>8794</v>
      </c>
      <c r="E164">
        <v>70400</v>
      </c>
      <c r="F164">
        <v>11264</v>
      </c>
      <c r="G164">
        <v>0</v>
      </c>
      <c r="H164">
        <v>0</v>
      </c>
      <c r="I164">
        <v>378</v>
      </c>
      <c r="J164">
        <v>81664</v>
      </c>
      <c r="K164" t="s">
        <v>8834</v>
      </c>
      <c r="L164" s="1">
        <v>40890</v>
      </c>
      <c r="N164" t="s">
        <v>5127</v>
      </c>
      <c r="O164" t="s">
        <v>2458</v>
      </c>
      <c r="P164" t="s">
        <v>8795</v>
      </c>
      <c r="Q164" t="s">
        <v>39</v>
      </c>
      <c r="R164" t="s">
        <v>40</v>
      </c>
      <c r="S164">
        <v>0</v>
      </c>
      <c r="U164" t="s">
        <v>41</v>
      </c>
      <c r="V164" t="s">
        <v>42</v>
      </c>
      <c r="X164" t="s">
        <v>74</v>
      </c>
      <c r="Y164" t="b">
        <v>0</v>
      </c>
      <c r="Z164" t="b">
        <v>0</v>
      </c>
      <c r="AC164" s="1"/>
      <c r="AF164">
        <v>0</v>
      </c>
      <c r="AG164">
        <v>45</v>
      </c>
      <c r="AH164">
        <v>423</v>
      </c>
      <c r="AI164" s="2">
        <f>Table__192.168.3.138BEWLPPMetaData[[#This Row],[NetAmount]]-Table__192.168.3.138BEWLPPMetaData[[#This Row],[Paid]]</f>
        <v>81664</v>
      </c>
    </row>
    <row r="165" spans="1:35" hidden="1">
      <c r="A165" t="s">
        <v>8835</v>
      </c>
      <c r="B165" s="1">
        <v>40894</v>
      </c>
      <c r="C165" s="1">
        <v>40939</v>
      </c>
      <c r="D165" t="s">
        <v>8794</v>
      </c>
      <c r="E165">
        <v>72000</v>
      </c>
      <c r="F165">
        <v>11520</v>
      </c>
      <c r="G165">
        <v>0</v>
      </c>
      <c r="H165">
        <v>0</v>
      </c>
      <c r="I165">
        <v>374</v>
      </c>
      <c r="J165">
        <v>83520</v>
      </c>
      <c r="K165" t="s">
        <v>8836</v>
      </c>
      <c r="L165" s="1">
        <v>40894</v>
      </c>
      <c r="N165" t="s">
        <v>5127</v>
      </c>
      <c r="O165" t="s">
        <v>2458</v>
      </c>
      <c r="P165" t="s">
        <v>8795</v>
      </c>
      <c r="Q165" t="s">
        <v>39</v>
      </c>
      <c r="R165" t="s">
        <v>40</v>
      </c>
      <c r="S165">
        <v>0</v>
      </c>
      <c r="U165" t="s">
        <v>41</v>
      </c>
      <c r="V165" t="s">
        <v>42</v>
      </c>
      <c r="X165" t="s">
        <v>74</v>
      </c>
      <c r="Y165" t="b">
        <v>0</v>
      </c>
      <c r="Z165" t="b">
        <v>0</v>
      </c>
      <c r="AC165" s="1"/>
      <c r="AF165">
        <v>0</v>
      </c>
      <c r="AG165">
        <v>45</v>
      </c>
      <c r="AH165">
        <v>419</v>
      </c>
      <c r="AI165" s="2">
        <f>Table__192.168.3.138BEWLPPMetaData[[#This Row],[NetAmount]]-Table__192.168.3.138BEWLPPMetaData[[#This Row],[Paid]]</f>
        <v>83520</v>
      </c>
    </row>
    <row r="166" spans="1:35" hidden="1">
      <c r="A166" t="s">
        <v>8837</v>
      </c>
      <c r="B166" s="1">
        <v>40901</v>
      </c>
      <c r="C166" s="1">
        <v>40901</v>
      </c>
      <c r="D166" t="s">
        <v>8524</v>
      </c>
      <c r="E166">
        <v>131100</v>
      </c>
      <c r="F166">
        <v>20976</v>
      </c>
      <c r="G166">
        <v>0</v>
      </c>
      <c r="H166">
        <v>0</v>
      </c>
      <c r="I166">
        <v>370</v>
      </c>
      <c r="J166">
        <v>152076</v>
      </c>
      <c r="K166" t="s">
        <v>8838</v>
      </c>
      <c r="L166" s="1">
        <v>40898</v>
      </c>
      <c r="N166" t="s">
        <v>5127</v>
      </c>
      <c r="O166" t="s">
        <v>2458</v>
      </c>
      <c r="P166" t="s">
        <v>8525</v>
      </c>
      <c r="Q166" t="s">
        <v>39</v>
      </c>
      <c r="R166" t="s">
        <v>40</v>
      </c>
      <c r="S166">
        <v>0</v>
      </c>
      <c r="U166" t="s">
        <v>41</v>
      </c>
      <c r="V166" t="s">
        <v>42</v>
      </c>
      <c r="X166" t="s">
        <v>74</v>
      </c>
      <c r="Y166" t="b">
        <v>0</v>
      </c>
      <c r="Z166" t="b">
        <v>0</v>
      </c>
      <c r="AC166" s="1"/>
      <c r="AF166">
        <v>0</v>
      </c>
      <c r="AG166">
        <v>45</v>
      </c>
      <c r="AH166">
        <v>415</v>
      </c>
      <c r="AI166" s="2">
        <f>Table__192.168.3.138BEWLPPMetaData[[#This Row],[NetAmount]]-Table__192.168.3.138BEWLPPMetaData[[#This Row],[Paid]]</f>
        <v>152076</v>
      </c>
    </row>
    <row r="167" spans="1:35" hidden="1">
      <c r="A167" t="s">
        <v>8839</v>
      </c>
      <c r="B167" s="1">
        <v>40904</v>
      </c>
      <c r="C167" s="1">
        <v>40949</v>
      </c>
      <c r="D167" t="s">
        <v>8794</v>
      </c>
      <c r="E167">
        <v>63250</v>
      </c>
      <c r="F167">
        <v>10120</v>
      </c>
      <c r="G167">
        <v>0</v>
      </c>
      <c r="H167">
        <v>0</v>
      </c>
      <c r="I167">
        <v>364</v>
      </c>
      <c r="J167">
        <v>73370</v>
      </c>
      <c r="K167" t="s">
        <v>8840</v>
      </c>
      <c r="L167" s="1">
        <v>40904</v>
      </c>
      <c r="N167" t="s">
        <v>5127</v>
      </c>
      <c r="O167" t="s">
        <v>2458</v>
      </c>
      <c r="P167" t="s">
        <v>8795</v>
      </c>
      <c r="Q167" t="s">
        <v>39</v>
      </c>
      <c r="R167" t="s">
        <v>40</v>
      </c>
      <c r="S167">
        <v>0</v>
      </c>
      <c r="U167" t="s">
        <v>41</v>
      </c>
      <c r="V167" t="s">
        <v>42</v>
      </c>
      <c r="X167" t="s">
        <v>74</v>
      </c>
      <c r="Y167" t="b">
        <v>0</v>
      </c>
      <c r="Z167" t="b">
        <v>0</v>
      </c>
      <c r="AC167" s="1"/>
      <c r="AF167">
        <v>0</v>
      </c>
      <c r="AG167">
        <v>45</v>
      </c>
      <c r="AH167">
        <v>409</v>
      </c>
      <c r="AI167" s="2">
        <f>Table__192.168.3.138BEWLPPMetaData[[#This Row],[NetAmount]]-Table__192.168.3.138BEWLPPMetaData[[#This Row],[Paid]]</f>
        <v>73370</v>
      </c>
    </row>
    <row r="168" spans="1:35" hidden="1">
      <c r="A168" t="s">
        <v>8841</v>
      </c>
      <c r="B168" s="1">
        <v>40903</v>
      </c>
      <c r="C168" s="1">
        <v>40948</v>
      </c>
      <c r="D168" t="s">
        <v>8794</v>
      </c>
      <c r="E168">
        <v>126500</v>
      </c>
      <c r="F168">
        <v>20240</v>
      </c>
      <c r="G168">
        <v>0</v>
      </c>
      <c r="H168">
        <v>0</v>
      </c>
      <c r="I168">
        <v>365</v>
      </c>
      <c r="J168">
        <v>146740</v>
      </c>
      <c r="K168" t="s">
        <v>8842</v>
      </c>
      <c r="L168" s="1">
        <v>40903</v>
      </c>
      <c r="N168" t="s">
        <v>5127</v>
      </c>
      <c r="O168" t="s">
        <v>2458</v>
      </c>
      <c r="P168" t="s">
        <v>8795</v>
      </c>
      <c r="Q168" t="s">
        <v>39</v>
      </c>
      <c r="R168" t="s">
        <v>40</v>
      </c>
      <c r="S168">
        <v>0</v>
      </c>
      <c r="U168" t="s">
        <v>41</v>
      </c>
      <c r="V168" t="s">
        <v>42</v>
      </c>
      <c r="X168" t="s">
        <v>74</v>
      </c>
      <c r="Y168" t="b">
        <v>0</v>
      </c>
      <c r="Z168" t="b">
        <v>0</v>
      </c>
      <c r="AC168" s="1"/>
      <c r="AF168">
        <v>0</v>
      </c>
      <c r="AG168">
        <v>45</v>
      </c>
      <c r="AH168">
        <v>410</v>
      </c>
      <c r="AI168" s="2">
        <f>Table__192.168.3.138BEWLPPMetaData[[#This Row],[NetAmount]]-Table__192.168.3.138BEWLPPMetaData[[#This Row],[Paid]]</f>
        <v>146740</v>
      </c>
    </row>
    <row r="169" spans="1:35" hidden="1">
      <c r="A169" t="s">
        <v>8843</v>
      </c>
      <c r="B169" s="1">
        <v>40905</v>
      </c>
      <c r="C169" s="1">
        <v>40950</v>
      </c>
      <c r="D169" t="s">
        <v>8794</v>
      </c>
      <c r="E169">
        <v>119850</v>
      </c>
      <c r="F169">
        <v>19176</v>
      </c>
      <c r="G169">
        <v>0</v>
      </c>
      <c r="H169">
        <v>0</v>
      </c>
      <c r="I169">
        <v>362</v>
      </c>
      <c r="J169">
        <v>139026</v>
      </c>
      <c r="K169" t="s">
        <v>8844</v>
      </c>
      <c r="L169" s="1">
        <v>40906</v>
      </c>
      <c r="N169" t="s">
        <v>5127</v>
      </c>
      <c r="O169" t="s">
        <v>2458</v>
      </c>
      <c r="P169" t="s">
        <v>8795</v>
      </c>
      <c r="Q169" t="s">
        <v>39</v>
      </c>
      <c r="R169" t="s">
        <v>40</v>
      </c>
      <c r="S169">
        <v>0</v>
      </c>
      <c r="U169" t="s">
        <v>41</v>
      </c>
      <c r="V169" t="s">
        <v>42</v>
      </c>
      <c r="X169" t="s">
        <v>74</v>
      </c>
      <c r="Y169" t="b">
        <v>0</v>
      </c>
      <c r="Z169" t="b">
        <v>0</v>
      </c>
      <c r="AC169" s="1"/>
      <c r="AF169">
        <v>0</v>
      </c>
      <c r="AG169">
        <v>45</v>
      </c>
      <c r="AH169">
        <v>407</v>
      </c>
      <c r="AI169" s="2">
        <f>Table__192.168.3.138BEWLPPMetaData[[#This Row],[NetAmount]]-Table__192.168.3.138BEWLPPMetaData[[#This Row],[Paid]]</f>
        <v>139026</v>
      </c>
    </row>
    <row r="170" spans="1:35" hidden="1">
      <c r="A170" t="s">
        <v>8845</v>
      </c>
      <c r="B170" s="1">
        <v>40906</v>
      </c>
      <c r="C170" s="1">
        <v>40951</v>
      </c>
      <c r="D170" t="s">
        <v>8794</v>
      </c>
      <c r="E170">
        <v>130000</v>
      </c>
      <c r="F170">
        <v>20800</v>
      </c>
      <c r="G170">
        <v>0</v>
      </c>
      <c r="H170">
        <v>0</v>
      </c>
      <c r="I170">
        <v>362</v>
      </c>
      <c r="J170">
        <v>150800</v>
      </c>
      <c r="K170" t="s">
        <v>8846</v>
      </c>
      <c r="L170" s="1">
        <v>40906</v>
      </c>
      <c r="N170" t="s">
        <v>5127</v>
      </c>
      <c r="O170" t="s">
        <v>2458</v>
      </c>
      <c r="P170" t="s">
        <v>8795</v>
      </c>
      <c r="Q170" t="s">
        <v>39</v>
      </c>
      <c r="R170" t="s">
        <v>40</v>
      </c>
      <c r="S170">
        <v>0</v>
      </c>
      <c r="U170" t="s">
        <v>41</v>
      </c>
      <c r="V170" t="s">
        <v>42</v>
      </c>
      <c r="X170" t="s">
        <v>74</v>
      </c>
      <c r="Y170" t="b">
        <v>0</v>
      </c>
      <c r="Z170" t="b">
        <v>0</v>
      </c>
      <c r="AC170" s="1"/>
      <c r="AF170">
        <v>0</v>
      </c>
      <c r="AG170">
        <v>45</v>
      </c>
      <c r="AH170">
        <v>407</v>
      </c>
      <c r="AI170" s="2">
        <f>Table__192.168.3.138BEWLPPMetaData[[#This Row],[NetAmount]]-Table__192.168.3.138BEWLPPMetaData[[#This Row],[Paid]]</f>
        <v>150800</v>
      </c>
    </row>
    <row r="171" spans="1:35" hidden="1">
      <c r="A171" t="s">
        <v>8847</v>
      </c>
      <c r="B171" s="1">
        <v>40908</v>
      </c>
      <c r="C171" s="1">
        <v>40953</v>
      </c>
      <c r="D171" t="s">
        <v>8794</v>
      </c>
      <c r="E171">
        <v>72000</v>
      </c>
      <c r="F171">
        <v>11520</v>
      </c>
      <c r="G171">
        <v>0</v>
      </c>
      <c r="H171">
        <v>0</v>
      </c>
      <c r="I171">
        <v>361</v>
      </c>
      <c r="J171">
        <v>83520</v>
      </c>
      <c r="K171" t="s">
        <v>8848</v>
      </c>
      <c r="L171" s="1">
        <v>40907</v>
      </c>
      <c r="N171" t="s">
        <v>5127</v>
      </c>
      <c r="O171" t="s">
        <v>2458</v>
      </c>
      <c r="P171" t="s">
        <v>8795</v>
      </c>
      <c r="Q171" t="s">
        <v>39</v>
      </c>
      <c r="R171" t="s">
        <v>40</v>
      </c>
      <c r="S171">
        <v>0</v>
      </c>
      <c r="U171" t="s">
        <v>41</v>
      </c>
      <c r="V171" t="s">
        <v>42</v>
      </c>
      <c r="X171" t="s">
        <v>74</v>
      </c>
      <c r="Y171" t="b">
        <v>0</v>
      </c>
      <c r="Z171" t="b">
        <v>0</v>
      </c>
      <c r="AC171" s="1"/>
      <c r="AF171">
        <v>0</v>
      </c>
      <c r="AG171">
        <v>45</v>
      </c>
      <c r="AH171">
        <v>406</v>
      </c>
      <c r="AI171" s="2">
        <f>Table__192.168.3.138BEWLPPMetaData[[#This Row],[NetAmount]]-Table__192.168.3.138BEWLPPMetaData[[#This Row],[Paid]]</f>
        <v>83520</v>
      </c>
    </row>
    <row r="172" spans="1:35" hidden="1">
      <c r="A172" t="s">
        <v>8849</v>
      </c>
      <c r="B172" s="1">
        <v>40906</v>
      </c>
      <c r="C172" s="1">
        <v>40951</v>
      </c>
      <c r="D172" t="s">
        <v>8794</v>
      </c>
      <c r="E172">
        <v>96000</v>
      </c>
      <c r="F172">
        <v>15360</v>
      </c>
      <c r="G172">
        <v>0</v>
      </c>
      <c r="H172">
        <v>0</v>
      </c>
      <c r="I172">
        <v>362</v>
      </c>
      <c r="J172">
        <v>111360</v>
      </c>
      <c r="K172" t="s">
        <v>8850</v>
      </c>
      <c r="L172" s="1">
        <v>40906</v>
      </c>
      <c r="N172" t="s">
        <v>5127</v>
      </c>
      <c r="O172" t="s">
        <v>2458</v>
      </c>
      <c r="P172" t="s">
        <v>8795</v>
      </c>
      <c r="Q172" t="s">
        <v>39</v>
      </c>
      <c r="R172" t="s">
        <v>40</v>
      </c>
      <c r="S172">
        <v>0</v>
      </c>
      <c r="U172" t="s">
        <v>41</v>
      </c>
      <c r="V172" t="s">
        <v>42</v>
      </c>
      <c r="X172" t="s">
        <v>74</v>
      </c>
      <c r="Y172" t="b">
        <v>0</v>
      </c>
      <c r="Z172" t="b">
        <v>0</v>
      </c>
      <c r="AC172" s="1"/>
      <c r="AF172">
        <v>0</v>
      </c>
      <c r="AG172">
        <v>45</v>
      </c>
      <c r="AH172">
        <v>407</v>
      </c>
      <c r="AI172" s="2">
        <f>Table__192.168.3.138BEWLPPMetaData[[#This Row],[NetAmount]]-Table__192.168.3.138BEWLPPMetaData[[#This Row],[Paid]]</f>
        <v>111360</v>
      </c>
    </row>
    <row r="173" spans="1:35" hidden="1">
      <c r="A173" t="s">
        <v>8851</v>
      </c>
      <c r="B173" s="1">
        <v>40900</v>
      </c>
      <c r="C173" s="1">
        <v>40945</v>
      </c>
      <c r="D173" t="s">
        <v>8794</v>
      </c>
      <c r="E173">
        <v>60000</v>
      </c>
      <c r="F173">
        <v>9600</v>
      </c>
      <c r="G173">
        <v>0</v>
      </c>
      <c r="H173">
        <v>0</v>
      </c>
      <c r="I173">
        <v>368</v>
      </c>
      <c r="J173">
        <v>69600</v>
      </c>
      <c r="K173" t="s">
        <v>8852</v>
      </c>
      <c r="L173" s="1">
        <v>40900</v>
      </c>
      <c r="N173" t="s">
        <v>5127</v>
      </c>
      <c r="O173" t="s">
        <v>2458</v>
      </c>
      <c r="P173" t="s">
        <v>8795</v>
      </c>
      <c r="Q173" t="s">
        <v>39</v>
      </c>
      <c r="R173" t="s">
        <v>40</v>
      </c>
      <c r="S173">
        <v>0</v>
      </c>
      <c r="U173" t="s">
        <v>41</v>
      </c>
      <c r="V173" t="s">
        <v>42</v>
      </c>
      <c r="X173" t="s">
        <v>74</v>
      </c>
      <c r="Y173" t="b">
        <v>0</v>
      </c>
      <c r="Z173" t="b">
        <v>0</v>
      </c>
      <c r="AC173" s="1"/>
      <c r="AF173">
        <v>0</v>
      </c>
      <c r="AG173">
        <v>45</v>
      </c>
      <c r="AH173">
        <v>413</v>
      </c>
      <c r="AI173" s="2">
        <f>Table__192.168.3.138BEWLPPMetaData[[#This Row],[NetAmount]]-Table__192.168.3.138BEWLPPMetaData[[#This Row],[Paid]]</f>
        <v>69600</v>
      </c>
    </row>
    <row r="174" spans="1:35" hidden="1">
      <c r="A174" t="s">
        <v>8853</v>
      </c>
      <c r="B174" s="1">
        <v>40899</v>
      </c>
      <c r="C174" s="1">
        <v>40944</v>
      </c>
      <c r="D174" t="s">
        <v>8794</v>
      </c>
      <c r="E174">
        <v>60000</v>
      </c>
      <c r="F174">
        <v>9600</v>
      </c>
      <c r="G174">
        <v>0</v>
      </c>
      <c r="H174">
        <v>0</v>
      </c>
      <c r="I174">
        <v>369</v>
      </c>
      <c r="J174">
        <v>69600</v>
      </c>
      <c r="K174" t="s">
        <v>8854</v>
      </c>
      <c r="L174" s="1">
        <v>40899</v>
      </c>
      <c r="N174" t="s">
        <v>5127</v>
      </c>
      <c r="O174" t="s">
        <v>2458</v>
      </c>
      <c r="P174" t="s">
        <v>8795</v>
      </c>
      <c r="Q174" t="s">
        <v>39</v>
      </c>
      <c r="R174" t="s">
        <v>40</v>
      </c>
      <c r="S174">
        <v>0</v>
      </c>
      <c r="U174" t="s">
        <v>41</v>
      </c>
      <c r="V174" t="s">
        <v>42</v>
      </c>
      <c r="X174" t="s">
        <v>74</v>
      </c>
      <c r="Y174" t="b">
        <v>0</v>
      </c>
      <c r="Z174" t="b">
        <v>0</v>
      </c>
      <c r="AC174" s="1"/>
      <c r="AF174">
        <v>0</v>
      </c>
      <c r="AG174">
        <v>45</v>
      </c>
      <c r="AH174">
        <v>414</v>
      </c>
      <c r="AI174" s="2">
        <f>Table__192.168.3.138BEWLPPMetaData[[#This Row],[NetAmount]]-Table__192.168.3.138BEWLPPMetaData[[#This Row],[Paid]]</f>
        <v>69600</v>
      </c>
    </row>
    <row r="175" spans="1:35" hidden="1">
      <c r="A175" t="s">
        <v>8855</v>
      </c>
      <c r="B175" s="1">
        <v>40880</v>
      </c>
      <c r="C175" s="1">
        <v>40925</v>
      </c>
      <c r="D175" t="s">
        <v>8794</v>
      </c>
      <c r="E175">
        <v>60000</v>
      </c>
      <c r="F175">
        <v>9600</v>
      </c>
      <c r="G175">
        <v>0</v>
      </c>
      <c r="H175">
        <v>0</v>
      </c>
      <c r="I175">
        <v>365</v>
      </c>
      <c r="J175">
        <v>69600</v>
      </c>
      <c r="K175" t="s">
        <v>8856</v>
      </c>
      <c r="L175" s="1">
        <v>40903</v>
      </c>
      <c r="N175" t="s">
        <v>5127</v>
      </c>
      <c r="O175" t="s">
        <v>2458</v>
      </c>
      <c r="P175" t="s">
        <v>8795</v>
      </c>
      <c r="Q175" t="s">
        <v>39</v>
      </c>
      <c r="R175" t="s">
        <v>40</v>
      </c>
      <c r="S175">
        <v>0</v>
      </c>
      <c r="U175" t="s">
        <v>41</v>
      </c>
      <c r="V175" t="s">
        <v>42</v>
      </c>
      <c r="X175" t="s">
        <v>74</v>
      </c>
      <c r="Y175" t="b">
        <v>0</v>
      </c>
      <c r="Z175" t="b">
        <v>0</v>
      </c>
      <c r="AC175" s="1"/>
      <c r="AF175">
        <v>0</v>
      </c>
      <c r="AG175">
        <v>45</v>
      </c>
      <c r="AH175">
        <v>410</v>
      </c>
      <c r="AI175" s="2">
        <f>Table__192.168.3.138BEWLPPMetaData[[#This Row],[NetAmount]]-Table__192.168.3.138BEWLPPMetaData[[#This Row],[Paid]]</f>
        <v>69600</v>
      </c>
    </row>
    <row r="176" spans="1:35" hidden="1">
      <c r="A176" t="s">
        <v>8857</v>
      </c>
      <c r="B176" s="1">
        <v>40915</v>
      </c>
      <c r="C176" s="1">
        <v>40960</v>
      </c>
      <c r="D176" t="s">
        <v>8721</v>
      </c>
      <c r="E176">
        <v>29900</v>
      </c>
      <c r="F176">
        <v>4784</v>
      </c>
      <c r="G176">
        <v>0</v>
      </c>
      <c r="H176">
        <v>0</v>
      </c>
      <c r="I176">
        <v>356</v>
      </c>
      <c r="J176">
        <v>34684</v>
      </c>
      <c r="K176" t="s">
        <v>2267</v>
      </c>
      <c r="L176" s="1">
        <v>40912</v>
      </c>
      <c r="N176" t="s">
        <v>5127</v>
      </c>
      <c r="O176" t="s">
        <v>2458</v>
      </c>
      <c r="P176" t="s">
        <v>8723</v>
      </c>
      <c r="Q176" t="s">
        <v>39</v>
      </c>
      <c r="R176" t="s">
        <v>40</v>
      </c>
      <c r="S176">
        <v>0</v>
      </c>
      <c r="U176" t="s">
        <v>41</v>
      </c>
      <c r="V176" t="s">
        <v>42</v>
      </c>
      <c r="X176" t="s">
        <v>74</v>
      </c>
      <c r="Y176" t="b">
        <v>0</v>
      </c>
      <c r="Z176" t="b">
        <v>0</v>
      </c>
      <c r="AC176" s="1"/>
      <c r="AF176">
        <v>0</v>
      </c>
      <c r="AG176">
        <v>45</v>
      </c>
      <c r="AH176">
        <v>401</v>
      </c>
      <c r="AI176" s="2">
        <f>Table__192.168.3.138BEWLPPMetaData[[#This Row],[NetAmount]]-Table__192.168.3.138BEWLPPMetaData[[#This Row],[Paid]]</f>
        <v>34684</v>
      </c>
    </row>
    <row r="177" spans="1:35" hidden="1">
      <c r="A177" t="s">
        <v>8858</v>
      </c>
      <c r="B177" s="1">
        <v>40908</v>
      </c>
      <c r="C177" s="1">
        <v>40908</v>
      </c>
      <c r="D177" t="s">
        <v>8524</v>
      </c>
      <c r="E177">
        <v>275</v>
      </c>
      <c r="F177">
        <v>44</v>
      </c>
      <c r="G177">
        <v>0</v>
      </c>
      <c r="H177">
        <v>0</v>
      </c>
      <c r="I177">
        <v>361</v>
      </c>
      <c r="J177">
        <v>319</v>
      </c>
      <c r="K177" t="s">
        <v>1544</v>
      </c>
      <c r="L177" s="1">
        <v>40907</v>
      </c>
      <c r="N177" t="s">
        <v>5127</v>
      </c>
      <c r="O177" t="s">
        <v>2458</v>
      </c>
      <c r="P177" t="s">
        <v>8525</v>
      </c>
      <c r="Q177" t="s">
        <v>39</v>
      </c>
      <c r="R177" t="s">
        <v>40</v>
      </c>
      <c r="S177">
        <v>0</v>
      </c>
      <c r="U177" t="s">
        <v>41</v>
      </c>
      <c r="V177" t="s">
        <v>42</v>
      </c>
      <c r="X177" t="s">
        <v>74</v>
      </c>
      <c r="Y177" t="b">
        <v>0</v>
      </c>
      <c r="Z177" t="b">
        <v>0</v>
      </c>
      <c r="AC177" s="1"/>
      <c r="AF177">
        <v>0</v>
      </c>
      <c r="AG177">
        <v>45</v>
      </c>
      <c r="AH177">
        <v>406</v>
      </c>
      <c r="AI177" s="2">
        <f>Table__192.168.3.138BEWLPPMetaData[[#This Row],[NetAmount]]-Table__192.168.3.138BEWLPPMetaData[[#This Row],[Paid]]</f>
        <v>319</v>
      </c>
    </row>
    <row r="178" spans="1:35" hidden="1">
      <c r="A178" t="s">
        <v>8859</v>
      </c>
      <c r="B178" s="1">
        <v>40914</v>
      </c>
      <c r="C178" s="1">
        <v>40959</v>
      </c>
      <c r="D178" t="s">
        <v>8794</v>
      </c>
      <c r="E178">
        <v>455600</v>
      </c>
      <c r="F178">
        <v>72896</v>
      </c>
      <c r="G178">
        <v>0</v>
      </c>
      <c r="H178">
        <v>0</v>
      </c>
      <c r="I178">
        <v>354</v>
      </c>
      <c r="J178">
        <v>528496</v>
      </c>
      <c r="K178" t="s">
        <v>3049</v>
      </c>
      <c r="L178" s="1">
        <v>40914</v>
      </c>
      <c r="N178" t="s">
        <v>5127</v>
      </c>
      <c r="O178" t="s">
        <v>2458</v>
      </c>
      <c r="P178" t="s">
        <v>8795</v>
      </c>
      <c r="Q178" t="s">
        <v>39</v>
      </c>
      <c r="R178" t="s">
        <v>40</v>
      </c>
      <c r="S178">
        <v>0</v>
      </c>
      <c r="U178" t="s">
        <v>41</v>
      </c>
      <c r="V178" t="s">
        <v>42</v>
      </c>
      <c r="X178" t="s">
        <v>74</v>
      </c>
      <c r="Y178" t="b">
        <v>0</v>
      </c>
      <c r="Z178" t="b">
        <v>0</v>
      </c>
      <c r="AC178" s="1"/>
      <c r="AF178">
        <v>0</v>
      </c>
      <c r="AG178">
        <v>45</v>
      </c>
      <c r="AH178">
        <v>399</v>
      </c>
      <c r="AI178" s="2">
        <f>Table__192.168.3.138BEWLPPMetaData[[#This Row],[NetAmount]]-Table__192.168.3.138BEWLPPMetaData[[#This Row],[Paid]]</f>
        <v>528496</v>
      </c>
    </row>
    <row r="179" spans="1:35" hidden="1">
      <c r="A179" t="s">
        <v>8860</v>
      </c>
      <c r="B179" s="1">
        <v>40919</v>
      </c>
      <c r="C179" s="1">
        <v>40964</v>
      </c>
      <c r="D179" t="s">
        <v>8794</v>
      </c>
      <c r="E179">
        <v>378600</v>
      </c>
      <c r="F179">
        <v>60576</v>
      </c>
      <c r="G179">
        <v>0</v>
      </c>
      <c r="H179">
        <v>0</v>
      </c>
      <c r="I179">
        <v>349</v>
      </c>
      <c r="J179">
        <v>439176</v>
      </c>
      <c r="K179" t="s">
        <v>4012</v>
      </c>
      <c r="L179" s="1">
        <v>40919</v>
      </c>
      <c r="N179" t="s">
        <v>5127</v>
      </c>
      <c r="O179" t="s">
        <v>2458</v>
      </c>
      <c r="P179" t="s">
        <v>8795</v>
      </c>
      <c r="Q179" t="s">
        <v>39</v>
      </c>
      <c r="R179" t="s">
        <v>40</v>
      </c>
      <c r="S179">
        <v>0</v>
      </c>
      <c r="U179" t="s">
        <v>41</v>
      </c>
      <c r="V179" t="s">
        <v>42</v>
      </c>
      <c r="X179" t="s">
        <v>74</v>
      </c>
      <c r="Y179" t="b">
        <v>0</v>
      </c>
      <c r="Z179" t="b">
        <v>0</v>
      </c>
      <c r="AC179" s="1"/>
      <c r="AF179">
        <v>0</v>
      </c>
      <c r="AG179">
        <v>45</v>
      </c>
      <c r="AH179">
        <v>394</v>
      </c>
      <c r="AI179" s="2">
        <f>Table__192.168.3.138BEWLPPMetaData[[#This Row],[NetAmount]]-Table__192.168.3.138BEWLPPMetaData[[#This Row],[Paid]]</f>
        <v>439176</v>
      </c>
    </row>
    <row r="180" spans="1:35" hidden="1">
      <c r="A180" t="s">
        <v>8861</v>
      </c>
      <c r="B180" s="1">
        <v>40925</v>
      </c>
      <c r="C180" s="1">
        <v>40970</v>
      </c>
      <c r="D180" t="s">
        <v>8794</v>
      </c>
      <c r="E180">
        <v>237750</v>
      </c>
      <c r="F180">
        <v>38040</v>
      </c>
      <c r="G180">
        <v>0</v>
      </c>
      <c r="H180">
        <v>0</v>
      </c>
      <c r="I180">
        <v>343</v>
      </c>
      <c r="J180">
        <v>275790</v>
      </c>
      <c r="K180" t="s">
        <v>8862</v>
      </c>
      <c r="L180" s="1">
        <v>40925</v>
      </c>
      <c r="N180" t="s">
        <v>5127</v>
      </c>
      <c r="O180" t="s">
        <v>2458</v>
      </c>
      <c r="P180" t="s">
        <v>8795</v>
      </c>
      <c r="Q180" t="s">
        <v>39</v>
      </c>
      <c r="R180" t="s">
        <v>40</v>
      </c>
      <c r="S180">
        <v>0</v>
      </c>
      <c r="U180" t="s">
        <v>41</v>
      </c>
      <c r="V180" t="s">
        <v>42</v>
      </c>
      <c r="X180" t="s">
        <v>74</v>
      </c>
      <c r="Y180" t="b">
        <v>0</v>
      </c>
      <c r="Z180" t="b">
        <v>0</v>
      </c>
      <c r="AC180" s="1"/>
      <c r="AF180">
        <v>0</v>
      </c>
      <c r="AG180">
        <v>45</v>
      </c>
      <c r="AH180">
        <v>388</v>
      </c>
      <c r="AI180" s="2">
        <f>Table__192.168.3.138BEWLPPMetaData[[#This Row],[NetAmount]]-Table__192.168.3.138BEWLPPMetaData[[#This Row],[Paid]]</f>
        <v>275790</v>
      </c>
    </row>
    <row r="181" spans="1:35" hidden="1">
      <c r="A181" t="s">
        <v>8863</v>
      </c>
      <c r="B181" s="1">
        <v>40921</v>
      </c>
      <c r="C181" s="1">
        <v>40966</v>
      </c>
      <c r="D181" t="s">
        <v>8721</v>
      </c>
      <c r="E181">
        <v>34000</v>
      </c>
      <c r="F181">
        <v>5440</v>
      </c>
      <c r="G181">
        <v>0</v>
      </c>
      <c r="H181">
        <v>0</v>
      </c>
      <c r="I181">
        <v>347</v>
      </c>
      <c r="J181">
        <v>39440</v>
      </c>
      <c r="K181" t="s">
        <v>8864</v>
      </c>
      <c r="L181" s="1">
        <v>40921</v>
      </c>
      <c r="N181" t="s">
        <v>5127</v>
      </c>
      <c r="O181" t="s">
        <v>2458</v>
      </c>
      <c r="P181" t="s">
        <v>8723</v>
      </c>
      <c r="Q181" t="s">
        <v>39</v>
      </c>
      <c r="R181" t="s">
        <v>40</v>
      </c>
      <c r="S181">
        <v>0</v>
      </c>
      <c r="U181" t="s">
        <v>41</v>
      </c>
      <c r="V181" t="s">
        <v>42</v>
      </c>
      <c r="X181" t="s">
        <v>74</v>
      </c>
      <c r="Y181" t="b">
        <v>0</v>
      </c>
      <c r="Z181" t="b">
        <v>0</v>
      </c>
      <c r="AC181" s="1"/>
      <c r="AF181">
        <v>0</v>
      </c>
      <c r="AG181">
        <v>45</v>
      </c>
      <c r="AH181">
        <v>392</v>
      </c>
      <c r="AI181" s="2">
        <f>Table__192.168.3.138BEWLPPMetaData[[#This Row],[NetAmount]]-Table__192.168.3.138BEWLPPMetaData[[#This Row],[Paid]]</f>
        <v>39440</v>
      </c>
    </row>
    <row r="182" spans="1:35" hidden="1">
      <c r="A182" t="s">
        <v>8865</v>
      </c>
      <c r="B182" s="1">
        <v>40932</v>
      </c>
      <c r="C182" s="1">
        <v>40977</v>
      </c>
      <c r="D182" t="s">
        <v>8721</v>
      </c>
      <c r="E182">
        <v>48000</v>
      </c>
      <c r="F182">
        <v>7680</v>
      </c>
      <c r="G182">
        <v>0</v>
      </c>
      <c r="H182">
        <v>0</v>
      </c>
      <c r="I182">
        <v>339</v>
      </c>
      <c r="J182">
        <v>55680</v>
      </c>
      <c r="K182" t="s">
        <v>8866</v>
      </c>
      <c r="L182" s="1">
        <v>40929</v>
      </c>
      <c r="N182" t="s">
        <v>5127</v>
      </c>
      <c r="O182" t="s">
        <v>2458</v>
      </c>
      <c r="P182" t="s">
        <v>8723</v>
      </c>
      <c r="Q182" t="s">
        <v>39</v>
      </c>
      <c r="R182" t="s">
        <v>40</v>
      </c>
      <c r="S182">
        <v>0</v>
      </c>
      <c r="U182" t="s">
        <v>41</v>
      </c>
      <c r="V182" t="s">
        <v>42</v>
      </c>
      <c r="X182" t="s">
        <v>74</v>
      </c>
      <c r="Y182" t="b">
        <v>0</v>
      </c>
      <c r="Z182" t="b">
        <v>0</v>
      </c>
      <c r="AC182" s="1"/>
      <c r="AF182">
        <v>0</v>
      </c>
      <c r="AG182">
        <v>45</v>
      </c>
      <c r="AH182">
        <v>384</v>
      </c>
      <c r="AI182" s="2">
        <f>Table__192.168.3.138BEWLPPMetaData[[#This Row],[NetAmount]]-Table__192.168.3.138BEWLPPMetaData[[#This Row],[Paid]]</f>
        <v>55680</v>
      </c>
    </row>
    <row r="183" spans="1:35" hidden="1">
      <c r="A183" t="s">
        <v>8867</v>
      </c>
      <c r="B183" s="1">
        <v>40939</v>
      </c>
      <c r="C183" s="1">
        <v>40984</v>
      </c>
      <c r="D183" t="s">
        <v>8721</v>
      </c>
      <c r="E183">
        <v>48000</v>
      </c>
      <c r="F183">
        <v>7680</v>
      </c>
      <c r="G183">
        <v>0</v>
      </c>
      <c r="H183">
        <v>0</v>
      </c>
      <c r="I183">
        <v>333</v>
      </c>
      <c r="J183">
        <v>55680</v>
      </c>
      <c r="K183" t="s">
        <v>4471</v>
      </c>
      <c r="L183" s="1">
        <v>40935</v>
      </c>
      <c r="N183" t="s">
        <v>5127</v>
      </c>
      <c r="O183" t="s">
        <v>2458</v>
      </c>
      <c r="P183" t="s">
        <v>8723</v>
      </c>
      <c r="Q183" t="s">
        <v>39</v>
      </c>
      <c r="R183" t="s">
        <v>40</v>
      </c>
      <c r="S183">
        <v>0</v>
      </c>
      <c r="U183" t="s">
        <v>41</v>
      </c>
      <c r="V183" t="s">
        <v>42</v>
      </c>
      <c r="X183" t="s">
        <v>74</v>
      </c>
      <c r="Y183" t="b">
        <v>0</v>
      </c>
      <c r="Z183" t="b">
        <v>0</v>
      </c>
      <c r="AC183" s="1"/>
      <c r="AF183">
        <v>0</v>
      </c>
      <c r="AG183">
        <v>45</v>
      </c>
      <c r="AH183">
        <v>378</v>
      </c>
      <c r="AI183" s="2">
        <f>Table__192.168.3.138BEWLPPMetaData[[#This Row],[NetAmount]]-Table__192.168.3.138BEWLPPMetaData[[#This Row],[Paid]]</f>
        <v>55680</v>
      </c>
    </row>
    <row r="184" spans="1:35" hidden="1">
      <c r="A184" t="s">
        <v>8868</v>
      </c>
      <c r="B184" s="1">
        <v>40939</v>
      </c>
      <c r="C184" s="1">
        <v>40939</v>
      </c>
      <c r="D184" t="s">
        <v>8869</v>
      </c>
      <c r="E184">
        <v>4488</v>
      </c>
      <c r="F184">
        <v>718</v>
      </c>
      <c r="G184">
        <v>0</v>
      </c>
      <c r="H184">
        <v>0</v>
      </c>
      <c r="I184">
        <v>0</v>
      </c>
      <c r="J184">
        <v>5206</v>
      </c>
      <c r="L184" s="1"/>
      <c r="N184" t="s">
        <v>5127</v>
      </c>
      <c r="O184" t="s">
        <v>2458</v>
      </c>
      <c r="P184" t="s">
        <v>8870</v>
      </c>
      <c r="Q184" t="s">
        <v>39</v>
      </c>
      <c r="R184" t="s">
        <v>40</v>
      </c>
      <c r="S184">
        <v>0</v>
      </c>
      <c r="U184" t="s">
        <v>41</v>
      </c>
      <c r="V184" t="s">
        <v>42</v>
      </c>
      <c r="X184" t="s">
        <v>74</v>
      </c>
      <c r="Y184" t="b">
        <v>0</v>
      </c>
      <c r="Z184" t="b">
        <v>0</v>
      </c>
      <c r="AB184" t="s">
        <v>8871</v>
      </c>
      <c r="AC184" s="1">
        <v>41198</v>
      </c>
      <c r="AD184" t="s">
        <v>8872</v>
      </c>
      <c r="AE184" t="s">
        <v>8873</v>
      </c>
      <c r="AF184">
        <v>0</v>
      </c>
      <c r="AG184">
        <v>45</v>
      </c>
      <c r="AI184" s="2">
        <f>Table__192.168.3.138BEWLPPMetaData[[#This Row],[NetAmount]]-Table__192.168.3.138BEWLPPMetaData[[#This Row],[Paid]]</f>
        <v>5206</v>
      </c>
    </row>
    <row r="185" spans="1:35" hidden="1">
      <c r="A185" t="s">
        <v>8874</v>
      </c>
      <c r="B185" s="1">
        <v>40934</v>
      </c>
      <c r="C185" s="1">
        <v>40964</v>
      </c>
      <c r="D185" t="s">
        <v>8826</v>
      </c>
      <c r="E185">
        <v>20025</v>
      </c>
      <c r="F185">
        <v>3204</v>
      </c>
      <c r="G185">
        <v>0</v>
      </c>
      <c r="H185">
        <v>0</v>
      </c>
      <c r="I185">
        <v>334</v>
      </c>
      <c r="J185">
        <v>23229</v>
      </c>
      <c r="K185" t="s">
        <v>8875</v>
      </c>
      <c r="L185" s="1">
        <v>40934</v>
      </c>
      <c r="N185" t="s">
        <v>5127</v>
      </c>
      <c r="O185" t="s">
        <v>2458</v>
      </c>
      <c r="P185" t="s">
        <v>336</v>
      </c>
      <c r="Q185" t="s">
        <v>39</v>
      </c>
      <c r="R185" t="s">
        <v>40</v>
      </c>
      <c r="S185">
        <v>0</v>
      </c>
      <c r="U185" t="s">
        <v>41</v>
      </c>
      <c r="V185" t="s">
        <v>42</v>
      </c>
      <c r="X185" t="s">
        <v>74</v>
      </c>
      <c r="Y185" t="b">
        <v>0</v>
      </c>
      <c r="Z185" t="b">
        <v>0</v>
      </c>
      <c r="AC185" s="1"/>
      <c r="AF185">
        <v>0</v>
      </c>
      <c r="AG185">
        <v>45</v>
      </c>
      <c r="AH185">
        <v>379</v>
      </c>
      <c r="AI185" s="2">
        <f>Table__192.168.3.138BEWLPPMetaData[[#This Row],[NetAmount]]-Table__192.168.3.138BEWLPPMetaData[[#This Row],[Paid]]</f>
        <v>23229</v>
      </c>
    </row>
    <row r="186" spans="1:35" hidden="1">
      <c r="A186" t="s">
        <v>8876</v>
      </c>
      <c r="B186" s="1">
        <v>40935</v>
      </c>
      <c r="C186" s="1">
        <v>40980</v>
      </c>
      <c r="D186" t="s">
        <v>8794</v>
      </c>
      <c r="E186">
        <v>258000</v>
      </c>
      <c r="F186">
        <v>41280</v>
      </c>
      <c r="G186">
        <v>0</v>
      </c>
      <c r="H186">
        <v>0</v>
      </c>
      <c r="I186">
        <v>333</v>
      </c>
      <c r="J186">
        <v>299280</v>
      </c>
      <c r="K186" t="s">
        <v>6526</v>
      </c>
      <c r="L186" s="1">
        <v>40935</v>
      </c>
      <c r="N186" t="s">
        <v>5127</v>
      </c>
      <c r="O186" t="s">
        <v>2458</v>
      </c>
      <c r="P186" t="s">
        <v>8795</v>
      </c>
      <c r="Q186" t="s">
        <v>39</v>
      </c>
      <c r="R186" t="s">
        <v>40</v>
      </c>
      <c r="S186">
        <v>0</v>
      </c>
      <c r="U186" t="s">
        <v>41</v>
      </c>
      <c r="V186" t="s">
        <v>42</v>
      </c>
      <c r="X186" t="s">
        <v>74</v>
      </c>
      <c r="Y186" t="b">
        <v>0</v>
      </c>
      <c r="Z186" t="b">
        <v>0</v>
      </c>
      <c r="AC186" s="1"/>
      <c r="AF186">
        <v>0</v>
      </c>
      <c r="AG186">
        <v>45</v>
      </c>
      <c r="AH186">
        <v>378</v>
      </c>
      <c r="AI186" s="2">
        <f>Table__192.168.3.138BEWLPPMetaData[[#This Row],[NetAmount]]-Table__192.168.3.138BEWLPPMetaData[[#This Row],[Paid]]</f>
        <v>299280</v>
      </c>
    </row>
    <row r="187" spans="1:35" hidden="1">
      <c r="A187" t="s">
        <v>8877</v>
      </c>
      <c r="B187" s="1">
        <v>40935</v>
      </c>
      <c r="C187" s="1">
        <v>40980</v>
      </c>
      <c r="D187" t="s">
        <v>8794</v>
      </c>
      <c r="E187">
        <v>62150</v>
      </c>
      <c r="F187">
        <v>9944</v>
      </c>
      <c r="G187">
        <v>0</v>
      </c>
      <c r="H187">
        <v>0</v>
      </c>
      <c r="I187">
        <v>333</v>
      </c>
      <c r="J187">
        <v>72094</v>
      </c>
      <c r="K187" t="s">
        <v>8878</v>
      </c>
      <c r="L187" s="1">
        <v>40935</v>
      </c>
      <c r="N187" t="s">
        <v>5127</v>
      </c>
      <c r="O187" t="s">
        <v>2458</v>
      </c>
      <c r="P187" t="s">
        <v>8795</v>
      </c>
      <c r="Q187" t="s">
        <v>39</v>
      </c>
      <c r="R187" t="s">
        <v>40</v>
      </c>
      <c r="S187">
        <v>0</v>
      </c>
      <c r="U187" t="s">
        <v>41</v>
      </c>
      <c r="V187" t="s">
        <v>42</v>
      </c>
      <c r="X187" t="s">
        <v>74</v>
      </c>
      <c r="Y187" t="b">
        <v>0</v>
      </c>
      <c r="Z187" t="b">
        <v>0</v>
      </c>
      <c r="AC187" s="1"/>
      <c r="AF187">
        <v>0</v>
      </c>
      <c r="AG187">
        <v>45</v>
      </c>
      <c r="AH187">
        <v>378</v>
      </c>
      <c r="AI187" s="2">
        <f>Table__192.168.3.138BEWLPPMetaData[[#This Row],[NetAmount]]-Table__192.168.3.138BEWLPPMetaData[[#This Row],[Paid]]</f>
        <v>72094</v>
      </c>
    </row>
    <row r="188" spans="1:35" hidden="1">
      <c r="A188" t="s">
        <v>8879</v>
      </c>
      <c r="B188" s="1">
        <v>40930</v>
      </c>
      <c r="C188" s="1">
        <v>40975</v>
      </c>
      <c r="D188" t="s">
        <v>8794</v>
      </c>
      <c r="E188">
        <v>252550</v>
      </c>
      <c r="F188">
        <v>40408</v>
      </c>
      <c r="G188">
        <v>0</v>
      </c>
      <c r="H188">
        <v>0</v>
      </c>
      <c r="I188">
        <v>337</v>
      </c>
      <c r="J188">
        <v>292958</v>
      </c>
      <c r="K188" t="s">
        <v>1214</v>
      </c>
      <c r="L188" s="1">
        <v>40931</v>
      </c>
      <c r="N188" t="s">
        <v>5127</v>
      </c>
      <c r="O188" t="s">
        <v>2458</v>
      </c>
      <c r="P188" t="s">
        <v>8795</v>
      </c>
      <c r="Q188" t="s">
        <v>39</v>
      </c>
      <c r="R188" t="s">
        <v>40</v>
      </c>
      <c r="S188">
        <v>0</v>
      </c>
      <c r="U188" t="s">
        <v>41</v>
      </c>
      <c r="V188" t="s">
        <v>42</v>
      </c>
      <c r="X188" t="s">
        <v>74</v>
      </c>
      <c r="Y188" t="b">
        <v>0</v>
      </c>
      <c r="Z188" t="b">
        <v>0</v>
      </c>
      <c r="AC188" s="1"/>
      <c r="AF188">
        <v>0</v>
      </c>
      <c r="AG188">
        <v>45</v>
      </c>
      <c r="AH188">
        <v>382</v>
      </c>
      <c r="AI188" s="2">
        <f>Table__192.168.3.138BEWLPPMetaData[[#This Row],[NetAmount]]-Table__192.168.3.138BEWLPPMetaData[[#This Row],[Paid]]</f>
        <v>292958</v>
      </c>
    </row>
    <row r="189" spans="1:35" hidden="1">
      <c r="A189" t="s">
        <v>8880</v>
      </c>
      <c r="B189" s="1">
        <v>40947</v>
      </c>
      <c r="C189" s="1">
        <v>40977</v>
      </c>
      <c r="D189" t="s">
        <v>8826</v>
      </c>
      <c r="E189">
        <v>11350</v>
      </c>
      <c r="F189">
        <v>1816</v>
      </c>
      <c r="G189">
        <v>0</v>
      </c>
      <c r="H189">
        <v>0</v>
      </c>
      <c r="I189">
        <v>321</v>
      </c>
      <c r="J189">
        <v>13166</v>
      </c>
      <c r="K189" t="s">
        <v>8881</v>
      </c>
      <c r="L189" s="1">
        <v>40947</v>
      </c>
      <c r="N189" t="s">
        <v>5127</v>
      </c>
      <c r="O189" t="s">
        <v>2458</v>
      </c>
      <c r="P189" t="s">
        <v>336</v>
      </c>
      <c r="Q189" t="s">
        <v>39</v>
      </c>
      <c r="R189" t="s">
        <v>40</v>
      </c>
      <c r="S189">
        <v>0</v>
      </c>
      <c r="U189" t="s">
        <v>41</v>
      </c>
      <c r="V189" t="s">
        <v>42</v>
      </c>
      <c r="X189" t="s">
        <v>74</v>
      </c>
      <c r="Y189" t="b">
        <v>0</v>
      </c>
      <c r="Z189" t="b">
        <v>0</v>
      </c>
      <c r="AC189" s="1"/>
      <c r="AF189">
        <v>0</v>
      </c>
      <c r="AG189">
        <v>45</v>
      </c>
      <c r="AH189">
        <v>366</v>
      </c>
      <c r="AI189" s="2">
        <f>Table__192.168.3.138BEWLPPMetaData[[#This Row],[NetAmount]]-Table__192.168.3.138BEWLPPMetaData[[#This Row],[Paid]]</f>
        <v>13166</v>
      </c>
    </row>
    <row r="190" spans="1:35" hidden="1">
      <c r="A190" t="s">
        <v>8882</v>
      </c>
      <c r="B190" s="1">
        <v>40962</v>
      </c>
      <c r="C190" s="1">
        <v>40992</v>
      </c>
      <c r="D190" t="s">
        <v>8826</v>
      </c>
      <c r="E190">
        <v>15435</v>
      </c>
      <c r="F190">
        <v>2470</v>
      </c>
      <c r="G190">
        <v>0</v>
      </c>
      <c r="H190">
        <v>0</v>
      </c>
      <c r="I190">
        <v>306</v>
      </c>
      <c r="J190">
        <v>17905</v>
      </c>
      <c r="K190" t="s">
        <v>8883</v>
      </c>
      <c r="L190" s="1">
        <v>40962</v>
      </c>
      <c r="N190" t="s">
        <v>5127</v>
      </c>
      <c r="O190" t="s">
        <v>2458</v>
      </c>
      <c r="P190" t="s">
        <v>336</v>
      </c>
      <c r="Q190" t="s">
        <v>39</v>
      </c>
      <c r="R190" t="s">
        <v>40</v>
      </c>
      <c r="S190">
        <v>0</v>
      </c>
      <c r="U190" t="s">
        <v>41</v>
      </c>
      <c r="V190" t="s">
        <v>42</v>
      </c>
      <c r="X190" t="s">
        <v>74</v>
      </c>
      <c r="Y190" t="b">
        <v>0</v>
      </c>
      <c r="Z190" t="b">
        <v>0</v>
      </c>
      <c r="AC190" s="1"/>
      <c r="AF190">
        <v>0</v>
      </c>
      <c r="AG190">
        <v>45</v>
      </c>
      <c r="AH190">
        <v>351</v>
      </c>
      <c r="AI190" s="2">
        <f>Table__192.168.3.138BEWLPPMetaData[[#This Row],[NetAmount]]-Table__192.168.3.138BEWLPPMetaData[[#This Row],[Paid]]</f>
        <v>17905</v>
      </c>
    </row>
    <row r="191" spans="1:35" hidden="1">
      <c r="A191" t="s">
        <v>8884</v>
      </c>
      <c r="B191" s="1">
        <v>40967</v>
      </c>
      <c r="C191" s="1">
        <v>40997</v>
      </c>
      <c r="D191" t="s">
        <v>8826</v>
      </c>
      <c r="E191">
        <v>4350</v>
      </c>
      <c r="F191">
        <v>696</v>
      </c>
      <c r="G191">
        <v>0</v>
      </c>
      <c r="H191">
        <v>0</v>
      </c>
      <c r="I191">
        <v>301</v>
      </c>
      <c r="J191">
        <v>5046</v>
      </c>
      <c r="K191" t="s">
        <v>8885</v>
      </c>
      <c r="L191" s="1">
        <v>40967</v>
      </c>
      <c r="N191" t="s">
        <v>5127</v>
      </c>
      <c r="O191" t="s">
        <v>2458</v>
      </c>
      <c r="P191" t="s">
        <v>336</v>
      </c>
      <c r="Q191" t="s">
        <v>39</v>
      </c>
      <c r="R191" t="s">
        <v>40</v>
      </c>
      <c r="S191">
        <v>0</v>
      </c>
      <c r="U191" t="s">
        <v>41</v>
      </c>
      <c r="V191" t="s">
        <v>42</v>
      </c>
      <c r="X191" t="s">
        <v>74</v>
      </c>
      <c r="Y191" t="b">
        <v>0</v>
      </c>
      <c r="Z191" t="b">
        <v>0</v>
      </c>
      <c r="AC191" s="1"/>
      <c r="AF191">
        <v>0</v>
      </c>
      <c r="AG191">
        <v>45</v>
      </c>
      <c r="AH191">
        <v>346</v>
      </c>
      <c r="AI191" s="2">
        <f>Table__192.168.3.138BEWLPPMetaData[[#This Row],[NetAmount]]-Table__192.168.3.138BEWLPPMetaData[[#This Row],[Paid]]</f>
        <v>5046</v>
      </c>
    </row>
    <row r="192" spans="1:35" hidden="1">
      <c r="A192" t="s">
        <v>8886</v>
      </c>
      <c r="B192" s="1">
        <v>40967</v>
      </c>
      <c r="C192" s="1">
        <v>40997</v>
      </c>
      <c r="D192" t="s">
        <v>8826</v>
      </c>
      <c r="E192">
        <v>18375</v>
      </c>
      <c r="F192">
        <v>2940</v>
      </c>
      <c r="G192">
        <v>0</v>
      </c>
      <c r="H192">
        <v>0</v>
      </c>
      <c r="I192">
        <v>302</v>
      </c>
      <c r="J192">
        <v>21315</v>
      </c>
      <c r="K192" t="s">
        <v>8887</v>
      </c>
      <c r="L192" s="1">
        <v>40966</v>
      </c>
      <c r="N192" t="s">
        <v>5127</v>
      </c>
      <c r="O192" t="s">
        <v>2458</v>
      </c>
      <c r="P192" t="s">
        <v>336</v>
      </c>
      <c r="Q192" t="s">
        <v>39</v>
      </c>
      <c r="R192" t="s">
        <v>40</v>
      </c>
      <c r="S192">
        <v>0</v>
      </c>
      <c r="U192" t="s">
        <v>41</v>
      </c>
      <c r="V192" t="s">
        <v>42</v>
      </c>
      <c r="X192" t="s">
        <v>74</v>
      </c>
      <c r="Y192" t="b">
        <v>0</v>
      </c>
      <c r="Z192" t="b">
        <v>0</v>
      </c>
      <c r="AC192" s="1"/>
      <c r="AF192">
        <v>0</v>
      </c>
      <c r="AG192">
        <v>45</v>
      </c>
      <c r="AH192">
        <v>347</v>
      </c>
      <c r="AI192" s="2">
        <f>Table__192.168.3.138BEWLPPMetaData[[#This Row],[NetAmount]]-Table__192.168.3.138BEWLPPMetaData[[#This Row],[Paid]]</f>
        <v>21315</v>
      </c>
    </row>
    <row r="193" spans="1:35" hidden="1">
      <c r="A193" t="s">
        <v>8888</v>
      </c>
      <c r="B193" s="1">
        <v>40962</v>
      </c>
      <c r="C193" s="1">
        <v>41007</v>
      </c>
      <c r="D193" t="s">
        <v>8721</v>
      </c>
      <c r="E193">
        <v>24000</v>
      </c>
      <c r="F193">
        <v>3840</v>
      </c>
      <c r="G193">
        <v>0</v>
      </c>
      <c r="H193">
        <v>0</v>
      </c>
      <c r="I193">
        <v>311</v>
      </c>
      <c r="J193">
        <v>27840</v>
      </c>
      <c r="K193" t="s">
        <v>2555</v>
      </c>
      <c r="L193" s="1">
        <v>40957</v>
      </c>
      <c r="N193" t="s">
        <v>5127</v>
      </c>
      <c r="O193" t="s">
        <v>2458</v>
      </c>
      <c r="P193" t="s">
        <v>8723</v>
      </c>
      <c r="Q193" t="s">
        <v>39</v>
      </c>
      <c r="R193" t="s">
        <v>40</v>
      </c>
      <c r="S193">
        <v>0</v>
      </c>
      <c r="U193" t="s">
        <v>41</v>
      </c>
      <c r="V193" t="s">
        <v>42</v>
      </c>
      <c r="X193" t="s">
        <v>74</v>
      </c>
      <c r="Y193" t="b">
        <v>0</v>
      </c>
      <c r="Z193" t="b">
        <v>0</v>
      </c>
      <c r="AC193" s="1"/>
      <c r="AF193">
        <v>0</v>
      </c>
      <c r="AG193">
        <v>45</v>
      </c>
      <c r="AH193">
        <v>356</v>
      </c>
      <c r="AI193" s="2">
        <f>Table__192.168.3.138BEWLPPMetaData[[#This Row],[NetAmount]]-Table__192.168.3.138BEWLPPMetaData[[#This Row],[Paid]]</f>
        <v>27840</v>
      </c>
    </row>
    <row r="194" spans="1:35" hidden="1">
      <c r="A194" t="s">
        <v>8889</v>
      </c>
      <c r="B194" s="1">
        <v>40953</v>
      </c>
      <c r="C194" s="1">
        <v>40998</v>
      </c>
      <c r="D194" t="s">
        <v>8721</v>
      </c>
      <c r="E194">
        <v>76600</v>
      </c>
      <c r="F194">
        <v>12256</v>
      </c>
      <c r="G194">
        <v>0</v>
      </c>
      <c r="H194">
        <v>0</v>
      </c>
      <c r="I194">
        <v>316</v>
      </c>
      <c r="J194">
        <v>88856</v>
      </c>
      <c r="K194" t="s">
        <v>8890</v>
      </c>
      <c r="L194" s="1">
        <v>40952</v>
      </c>
      <c r="N194" t="s">
        <v>5127</v>
      </c>
      <c r="O194" t="s">
        <v>2458</v>
      </c>
      <c r="P194" t="s">
        <v>8723</v>
      </c>
      <c r="Q194" t="s">
        <v>39</v>
      </c>
      <c r="R194" t="s">
        <v>40</v>
      </c>
      <c r="S194">
        <v>0</v>
      </c>
      <c r="U194" t="s">
        <v>41</v>
      </c>
      <c r="V194" t="s">
        <v>42</v>
      </c>
      <c r="X194" t="s">
        <v>74</v>
      </c>
      <c r="Y194" t="b">
        <v>0</v>
      </c>
      <c r="Z194" t="b">
        <v>0</v>
      </c>
      <c r="AC194" s="1"/>
      <c r="AF194">
        <v>0</v>
      </c>
      <c r="AG194">
        <v>45</v>
      </c>
      <c r="AH194">
        <v>361</v>
      </c>
      <c r="AI194" s="2">
        <f>Table__192.168.3.138BEWLPPMetaData[[#This Row],[NetAmount]]-Table__192.168.3.138BEWLPPMetaData[[#This Row],[Paid]]</f>
        <v>88856</v>
      </c>
    </row>
    <row r="195" spans="1:35" hidden="1">
      <c r="A195" t="s">
        <v>8891</v>
      </c>
      <c r="B195" s="1">
        <v>40968</v>
      </c>
      <c r="C195" s="1">
        <v>41013</v>
      </c>
      <c r="D195" t="s">
        <v>8721</v>
      </c>
      <c r="E195">
        <v>34150</v>
      </c>
      <c r="F195">
        <v>5464</v>
      </c>
      <c r="G195">
        <v>0</v>
      </c>
      <c r="H195">
        <v>0</v>
      </c>
      <c r="I195">
        <v>301</v>
      </c>
      <c r="J195">
        <v>39614</v>
      </c>
      <c r="K195" t="s">
        <v>8892</v>
      </c>
      <c r="L195" s="1">
        <v>40967</v>
      </c>
      <c r="N195" t="s">
        <v>5127</v>
      </c>
      <c r="O195" t="s">
        <v>2458</v>
      </c>
      <c r="P195" t="s">
        <v>8723</v>
      </c>
      <c r="Q195" t="s">
        <v>39</v>
      </c>
      <c r="R195" t="s">
        <v>40</v>
      </c>
      <c r="S195">
        <v>0</v>
      </c>
      <c r="U195" t="s">
        <v>41</v>
      </c>
      <c r="V195" t="s">
        <v>42</v>
      </c>
      <c r="X195" t="s">
        <v>74</v>
      </c>
      <c r="Y195" t="b">
        <v>0</v>
      </c>
      <c r="Z195" t="b">
        <v>0</v>
      </c>
      <c r="AC195" s="1"/>
      <c r="AF195">
        <v>0</v>
      </c>
      <c r="AG195">
        <v>45</v>
      </c>
      <c r="AH195">
        <v>346</v>
      </c>
      <c r="AI195" s="2">
        <f>Table__192.168.3.138BEWLPPMetaData[[#This Row],[NetAmount]]-Table__192.168.3.138BEWLPPMetaData[[#This Row],[Paid]]</f>
        <v>39614</v>
      </c>
    </row>
    <row r="196" spans="1:35" hidden="1">
      <c r="A196" t="s">
        <v>8893</v>
      </c>
      <c r="B196" s="1">
        <v>40952</v>
      </c>
      <c r="C196" s="1">
        <v>40997</v>
      </c>
      <c r="D196" t="s">
        <v>8794</v>
      </c>
      <c r="E196">
        <v>7800</v>
      </c>
      <c r="F196">
        <v>1248</v>
      </c>
      <c r="G196">
        <v>0</v>
      </c>
      <c r="H196">
        <v>0</v>
      </c>
      <c r="I196">
        <v>316</v>
      </c>
      <c r="J196">
        <v>9048</v>
      </c>
      <c r="K196" t="s">
        <v>3462</v>
      </c>
      <c r="L196" s="1">
        <v>40952</v>
      </c>
      <c r="N196" t="s">
        <v>5127</v>
      </c>
      <c r="O196" t="s">
        <v>2458</v>
      </c>
      <c r="P196" t="s">
        <v>8795</v>
      </c>
      <c r="Q196" t="s">
        <v>39</v>
      </c>
      <c r="R196" t="s">
        <v>40</v>
      </c>
      <c r="S196">
        <v>0</v>
      </c>
      <c r="U196" t="s">
        <v>41</v>
      </c>
      <c r="V196" t="s">
        <v>42</v>
      </c>
      <c r="X196" t="s">
        <v>74</v>
      </c>
      <c r="Y196" t="b">
        <v>0</v>
      </c>
      <c r="Z196" t="b">
        <v>0</v>
      </c>
      <c r="AC196" s="1"/>
      <c r="AF196">
        <v>0</v>
      </c>
      <c r="AG196">
        <v>45</v>
      </c>
      <c r="AH196">
        <v>361</v>
      </c>
      <c r="AI196" s="2">
        <f>Table__192.168.3.138BEWLPPMetaData[[#This Row],[NetAmount]]-Table__192.168.3.138BEWLPPMetaData[[#This Row],[Paid]]</f>
        <v>9048</v>
      </c>
    </row>
    <row r="197" spans="1:35" hidden="1">
      <c r="A197" t="s">
        <v>8894</v>
      </c>
      <c r="B197" s="1">
        <v>40961</v>
      </c>
      <c r="C197" s="1">
        <v>41006</v>
      </c>
      <c r="D197" t="s">
        <v>8794</v>
      </c>
      <c r="E197">
        <v>142650</v>
      </c>
      <c r="F197">
        <v>22824</v>
      </c>
      <c r="G197">
        <v>0</v>
      </c>
      <c r="H197">
        <v>0</v>
      </c>
      <c r="I197">
        <v>307</v>
      </c>
      <c r="J197">
        <v>165474</v>
      </c>
      <c r="K197" t="s">
        <v>995</v>
      </c>
      <c r="L197" s="1">
        <v>40961</v>
      </c>
      <c r="N197" t="s">
        <v>5127</v>
      </c>
      <c r="O197" t="s">
        <v>2458</v>
      </c>
      <c r="P197" t="s">
        <v>8795</v>
      </c>
      <c r="Q197" t="s">
        <v>39</v>
      </c>
      <c r="R197" t="s">
        <v>40</v>
      </c>
      <c r="S197">
        <v>0</v>
      </c>
      <c r="U197" t="s">
        <v>41</v>
      </c>
      <c r="V197" t="s">
        <v>42</v>
      </c>
      <c r="X197" t="s">
        <v>74</v>
      </c>
      <c r="Y197" t="b">
        <v>0</v>
      </c>
      <c r="Z197" t="b">
        <v>0</v>
      </c>
      <c r="AC197" s="1"/>
      <c r="AF197">
        <v>0</v>
      </c>
      <c r="AG197">
        <v>45</v>
      </c>
      <c r="AH197">
        <v>352</v>
      </c>
      <c r="AI197" s="2">
        <f>Table__192.168.3.138BEWLPPMetaData[[#This Row],[NetAmount]]-Table__192.168.3.138BEWLPPMetaData[[#This Row],[Paid]]</f>
        <v>165474</v>
      </c>
    </row>
    <row r="198" spans="1:35" hidden="1">
      <c r="A198" t="s">
        <v>8895</v>
      </c>
      <c r="B198" s="1">
        <v>40959</v>
      </c>
      <c r="C198" s="1">
        <v>41004</v>
      </c>
      <c r="D198" t="s">
        <v>8794</v>
      </c>
      <c r="E198">
        <v>158250</v>
      </c>
      <c r="F198">
        <v>25320</v>
      </c>
      <c r="G198">
        <v>0</v>
      </c>
      <c r="H198">
        <v>0</v>
      </c>
      <c r="I198">
        <v>309</v>
      </c>
      <c r="J198">
        <v>183570</v>
      </c>
      <c r="K198" t="s">
        <v>6041</v>
      </c>
      <c r="L198" s="1">
        <v>40959</v>
      </c>
      <c r="N198" t="s">
        <v>5127</v>
      </c>
      <c r="O198" t="s">
        <v>2458</v>
      </c>
      <c r="P198" t="s">
        <v>8795</v>
      </c>
      <c r="Q198" t="s">
        <v>39</v>
      </c>
      <c r="R198" t="s">
        <v>40</v>
      </c>
      <c r="S198">
        <v>0</v>
      </c>
      <c r="U198" t="s">
        <v>41</v>
      </c>
      <c r="V198" t="s">
        <v>42</v>
      </c>
      <c r="X198" t="s">
        <v>74</v>
      </c>
      <c r="Y198" t="b">
        <v>0</v>
      </c>
      <c r="Z198" t="b">
        <v>0</v>
      </c>
      <c r="AC198" s="1"/>
      <c r="AF198">
        <v>0</v>
      </c>
      <c r="AG198">
        <v>45</v>
      </c>
      <c r="AH198">
        <v>354</v>
      </c>
      <c r="AI198" s="2">
        <f>Table__192.168.3.138BEWLPPMetaData[[#This Row],[NetAmount]]-Table__192.168.3.138BEWLPPMetaData[[#This Row],[Paid]]</f>
        <v>183570</v>
      </c>
    </row>
    <row r="199" spans="1:35" hidden="1">
      <c r="A199" t="s">
        <v>8896</v>
      </c>
      <c r="B199" s="1">
        <v>40964</v>
      </c>
      <c r="C199" s="1">
        <v>41009</v>
      </c>
      <c r="D199" t="s">
        <v>8794</v>
      </c>
      <c r="E199">
        <v>39900</v>
      </c>
      <c r="F199">
        <v>6384</v>
      </c>
      <c r="G199">
        <v>0</v>
      </c>
      <c r="H199">
        <v>0</v>
      </c>
      <c r="I199">
        <v>304</v>
      </c>
      <c r="J199">
        <v>46284</v>
      </c>
      <c r="K199" t="s">
        <v>1049</v>
      </c>
      <c r="L199" s="1">
        <v>40964</v>
      </c>
      <c r="N199" t="s">
        <v>5127</v>
      </c>
      <c r="O199" t="s">
        <v>2458</v>
      </c>
      <c r="P199" t="s">
        <v>8795</v>
      </c>
      <c r="Q199" t="s">
        <v>39</v>
      </c>
      <c r="R199" t="s">
        <v>40</v>
      </c>
      <c r="S199">
        <v>0</v>
      </c>
      <c r="U199" t="s">
        <v>41</v>
      </c>
      <c r="V199" t="s">
        <v>42</v>
      </c>
      <c r="X199" t="s">
        <v>74</v>
      </c>
      <c r="Y199" t="b">
        <v>0</v>
      </c>
      <c r="Z199" t="b">
        <v>0</v>
      </c>
      <c r="AC199" s="1"/>
      <c r="AF199">
        <v>0</v>
      </c>
      <c r="AG199">
        <v>45</v>
      </c>
      <c r="AH199">
        <v>349</v>
      </c>
      <c r="AI199" s="2">
        <f>Table__192.168.3.138BEWLPPMetaData[[#This Row],[NetAmount]]-Table__192.168.3.138BEWLPPMetaData[[#This Row],[Paid]]</f>
        <v>46284</v>
      </c>
    </row>
    <row r="200" spans="1:35" hidden="1">
      <c r="A200" t="s">
        <v>8897</v>
      </c>
      <c r="B200" s="1">
        <v>40965</v>
      </c>
      <c r="C200" s="1">
        <v>41010</v>
      </c>
      <c r="D200" t="s">
        <v>8794</v>
      </c>
      <c r="E200">
        <v>34000</v>
      </c>
      <c r="F200">
        <v>5440</v>
      </c>
      <c r="G200">
        <v>0</v>
      </c>
      <c r="H200">
        <v>0</v>
      </c>
      <c r="I200">
        <v>304</v>
      </c>
      <c r="J200">
        <v>39440</v>
      </c>
      <c r="K200" t="s">
        <v>3156</v>
      </c>
      <c r="L200" s="1">
        <v>40964</v>
      </c>
      <c r="N200" t="s">
        <v>5127</v>
      </c>
      <c r="O200" t="s">
        <v>2458</v>
      </c>
      <c r="P200" t="s">
        <v>8795</v>
      </c>
      <c r="Q200" t="s">
        <v>39</v>
      </c>
      <c r="R200" t="s">
        <v>40</v>
      </c>
      <c r="S200">
        <v>0</v>
      </c>
      <c r="U200" t="s">
        <v>41</v>
      </c>
      <c r="V200" t="s">
        <v>42</v>
      </c>
      <c r="X200" t="s">
        <v>74</v>
      </c>
      <c r="Y200" t="b">
        <v>0</v>
      </c>
      <c r="Z200" t="b">
        <v>0</v>
      </c>
      <c r="AC200" s="1"/>
      <c r="AF200">
        <v>0</v>
      </c>
      <c r="AG200">
        <v>45</v>
      </c>
      <c r="AH200">
        <v>349</v>
      </c>
      <c r="AI200" s="2">
        <f>Table__192.168.3.138BEWLPPMetaData[[#This Row],[NetAmount]]-Table__192.168.3.138BEWLPPMetaData[[#This Row],[Paid]]</f>
        <v>39440</v>
      </c>
    </row>
    <row r="201" spans="1:35" hidden="1">
      <c r="A201" t="s">
        <v>8898</v>
      </c>
      <c r="B201" s="1">
        <v>40968</v>
      </c>
      <c r="C201" s="1">
        <v>41013</v>
      </c>
      <c r="D201" t="s">
        <v>8794</v>
      </c>
      <c r="E201">
        <v>32300</v>
      </c>
      <c r="F201">
        <v>5168</v>
      </c>
      <c r="G201">
        <v>0</v>
      </c>
      <c r="H201">
        <v>0</v>
      </c>
      <c r="I201">
        <v>300</v>
      </c>
      <c r="J201">
        <v>37468</v>
      </c>
      <c r="K201" t="s">
        <v>5103</v>
      </c>
      <c r="L201" s="1">
        <v>40968</v>
      </c>
      <c r="N201" t="s">
        <v>5127</v>
      </c>
      <c r="O201" t="s">
        <v>2458</v>
      </c>
      <c r="P201" t="s">
        <v>8795</v>
      </c>
      <c r="Q201" t="s">
        <v>39</v>
      </c>
      <c r="R201" t="s">
        <v>40</v>
      </c>
      <c r="S201">
        <v>0</v>
      </c>
      <c r="U201" t="s">
        <v>41</v>
      </c>
      <c r="V201" t="s">
        <v>42</v>
      </c>
      <c r="X201" t="s">
        <v>74</v>
      </c>
      <c r="Y201" t="b">
        <v>0</v>
      </c>
      <c r="Z201" t="b">
        <v>0</v>
      </c>
      <c r="AC201" s="1"/>
      <c r="AF201">
        <v>0</v>
      </c>
      <c r="AG201">
        <v>45</v>
      </c>
      <c r="AH201">
        <v>345</v>
      </c>
      <c r="AI201" s="2">
        <f>Table__192.168.3.138BEWLPPMetaData[[#This Row],[NetAmount]]-Table__192.168.3.138BEWLPPMetaData[[#This Row],[Paid]]</f>
        <v>37468</v>
      </c>
    </row>
    <row r="202" spans="1:35" hidden="1">
      <c r="A202" t="s">
        <v>8899</v>
      </c>
      <c r="B202" s="1">
        <v>40968</v>
      </c>
      <c r="C202" s="1">
        <v>41013</v>
      </c>
      <c r="D202" t="s">
        <v>8794</v>
      </c>
      <c r="E202">
        <v>26600</v>
      </c>
      <c r="F202">
        <v>4256</v>
      </c>
      <c r="G202">
        <v>0</v>
      </c>
      <c r="H202">
        <v>0</v>
      </c>
      <c r="I202">
        <v>300</v>
      </c>
      <c r="J202">
        <v>30856</v>
      </c>
      <c r="K202" t="s">
        <v>8900</v>
      </c>
      <c r="L202" s="1">
        <v>40968</v>
      </c>
      <c r="N202" t="s">
        <v>5127</v>
      </c>
      <c r="O202" t="s">
        <v>2458</v>
      </c>
      <c r="P202" t="s">
        <v>8795</v>
      </c>
      <c r="Q202" t="s">
        <v>39</v>
      </c>
      <c r="R202" t="s">
        <v>40</v>
      </c>
      <c r="S202">
        <v>0</v>
      </c>
      <c r="U202" t="s">
        <v>41</v>
      </c>
      <c r="V202" t="s">
        <v>42</v>
      </c>
      <c r="X202" t="s">
        <v>74</v>
      </c>
      <c r="Y202" t="b">
        <v>0</v>
      </c>
      <c r="Z202" t="b">
        <v>0</v>
      </c>
      <c r="AC202" s="1"/>
      <c r="AF202">
        <v>0</v>
      </c>
      <c r="AG202">
        <v>45</v>
      </c>
      <c r="AH202">
        <v>345</v>
      </c>
      <c r="AI202" s="2">
        <f>Table__192.168.3.138BEWLPPMetaData[[#This Row],[NetAmount]]-Table__192.168.3.138BEWLPPMetaData[[#This Row],[Paid]]</f>
        <v>30856</v>
      </c>
    </row>
    <row r="203" spans="1:35" hidden="1">
      <c r="A203" t="s">
        <v>8901</v>
      </c>
      <c r="B203" s="1">
        <v>40947</v>
      </c>
      <c r="C203" s="1">
        <v>40947</v>
      </c>
      <c r="D203" t="s">
        <v>8902</v>
      </c>
      <c r="E203">
        <v>370000</v>
      </c>
      <c r="F203">
        <v>0</v>
      </c>
      <c r="G203">
        <v>0</v>
      </c>
      <c r="H203">
        <v>0</v>
      </c>
      <c r="I203">
        <v>318</v>
      </c>
      <c r="J203">
        <v>370000</v>
      </c>
      <c r="K203" t="s">
        <v>8903</v>
      </c>
      <c r="L203" s="1">
        <v>40950</v>
      </c>
      <c r="N203" t="s">
        <v>5127</v>
      </c>
      <c r="O203" t="s">
        <v>2458</v>
      </c>
      <c r="P203" t="s">
        <v>8904</v>
      </c>
      <c r="Q203" t="s">
        <v>39</v>
      </c>
      <c r="R203" t="s">
        <v>40</v>
      </c>
      <c r="S203">
        <v>0</v>
      </c>
      <c r="U203" t="s">
        <v>41</v>
      </c>
      <c r="V203" t="s">
        <v>42</v>
      </c>
      <c r="X203" t="s">
        <v>74</v>
      </c>
      <c r="Y203" t="b">
        <v>0</v>
      </c>
      <c r="Z203" t="b">
        <v>0</v>
      </c>
      <c r="AC203" s="1"/>
      <c r="AF203">
        <v>0</v>
      </c>
      <c r="AG203">
        <v>45</v>
      </c>
      <c r="AH203">
        <v>363</v>
      </c>
      <c r="AI203" s="2">
        <f>Table__192.168.3.138BEWLPPMetaData[[#This Row],[NetAmount]]-Table__192.168.3.138BEWLPPMetaData[[#This Row],[Paid]]</f>
        <v>370000</v>
      </c>
    </row>
    <row r="204" spans="1:35" hidden="1">
      <c r="A204" t="s">
        <v>8905</v>
      </c>
      <c r="B204" s="1">
        <v>40973</v>
      </c>
      <c r="C204" s="1">
        <v>41003</v>
      </c>
      <c r="D204" t="s">
        <v>8826</v>
      </c>
      <c r="E204">
        <v>7788</v>
      </c>
      <c r="F204">
        <v>1246</v>
      </c>
      <c r="G204">
        <v>0</v>
      </c>
      <c r="H204">
        <v>0</v>
      </c>
      <c r="I204">
        <v>298</v>
      </c>
      <c r="J204">
        <v>9034</v>
      </c>
      <c r="K204" t="s">
        <v>8906</v>
      </c>
      <c r="L204" s="1">
        <v>40970</v>
      </c>
      <c r="N204" t="s">
        <v>5127</v>
      </c>
      <c r="O204" t="s">
        <v>2458</v>
      </c>
      <c r="P204" t="s">
        <v>336</v>
      </c>
      <c r="Q204" t="s">
        <v>39</v>
      </c>
      <c r="R204" t="s">
        <v>40</v>
      </c>
      <c r="S204">
        <v>0</v>
      </c>
      <c r="U204" t="s">
        <v>41</v>
      </c>
      <c r="V204" t="s">
        <v>42</v>
      </c>
      <c r="X204" t="s">
        <v>74</v>
      </c>
      <c r="Y204" t="b">
        <v>0</v>
      </c>
      <c r="Z204" t="b">
        <v>0</v>
      </c>
      <c r="AC204" s="1"/>
      <c r="AF204">
        <v>0</v>
      </c>
      <c r="AG204">
        <v>45</v>
      </c>
      <c r="AH204">
        <v>343</v>
      </c>
      <c r="AI204" s="2">
        <f>Table__192.168.3.138BEWLPPMetaData[[#This Row],[NetAmount]]-Table__192.168.3.138BEWLPPMetaData[[#This Row],[Paid]]</f>
        <v>9034</v>
      </c>
    </row>
    <row r="205" spans="1:35" hidden="1">
      <c r="A205" t="s">
        <v>8907</v>
      </c>
      <c r="B205" s="1">
        <v>40977</v>
      </c>
      <c r="C205" s="1">
        <v>41007</v>
      </c>
      <c r="D205" t="s">
        <v>8826</v>
      </c>
      <c r="E205">
        <v>4350</v>
      </c>
      <c r="F205">
        <v>696</v>
      </c>
      <c r="G205">
        <v>0</v>
      </c>
      <c r="H205">
        <v>0</v>
      </c>
      <c r="I205">
        <v>294</v>
      </c>
      <c r="J205">
        <v>5046</v>
      </c>
      <c r="K205" t="s">
        <v>8908</v>
      </c>
      <c r="L205" s="1">
        <v>40974</v>
      </c>
      <c r="N205" t="s">
        <v>5127</v>
      </c>
      <c r="O205" t="s">
        <v>2458</v>
      </c>
      <c r="P205" t="s">
        <v>336</v>
      </c>
      <c r="Q205" t="s">
        <v>39</v>
      </c>
      <c r="R205" t="s">
        <v>40</v>
      </c>
      <c r="S205">
        <v>0</v>
      </c>
      <c r="U205" t="s">
        <v>41</v>
      </c>
      <c r="V205" t="s">
        <v>42</v>
      </c>
      <c r="X205" t="s">
        <v>74</v>
      </c>
      <c r="Y205" t="b">
        <v>0</v>
      </c>
      <c r="Z205" t="b">
        <v>0</v>
      </c>
      <c r="AC205" s="1"/>
      <c r="AF205">
        <v>0</v>
      </c>
      <c r="AG205">
        <v>45</v>
      </c>
      <c r="AH205">
        <v>339</v>
      </c>
      <c r="AI205" s="2">
        <f>Table__192.168.3.138BEWLPPMetaData[[#This Row],[NetAmount]]-Table__192.168.3.138BEWLPPMetaData[[#This Row],[Paid]]</f>
        <v>5046</v>
      </c>
    </row>
    <row r="206" spans="1:35" hidden="1">
      <c r="A206" t="s">
        <v>8909</v>
      </c>
      <c r="B206" s="1">
        <v>40980</v>
      </c>
      <c r="C206" s="1">
        <v>40980</v>
      </c>
      <c r="D206" t="s">
        <v>8910</v>
      </c>
      <c r="E206">
        <v>124440</v>
      </c>
      <c r="F206">
        <v>19910</v>
      </c>
      <c r="G206">
        <v>0</v>
      </c>
      <c r="H206">
        <v>0</v>
      </c>
      <c r="I206">
        <v>290</v>
      </c>
      <c r="J206">
        <v>144350</v>
      </c>
      <c r="K206" t="s">
        <v>8911</v>
      </c>
      <c r="L206" s="1">
        <v>40978</v>
      </c>
      <c r="N206" t="s">
        <v>5127</v>
      </c>
      <c r="O206" t="s">
        <v>2458</v>
      </c>
      <c r="P206" t="s">
        <v>392</v>
      </c>
      <c r="Q206" t="s">
        <v>39</v>
      </c>
      <c r="R206" t="s">
        <v>40</v>
      </c>
      <c r="S206">
        <v>0</v>
      </c>
      <c r="U206" t="s">
        <v>41</v>
      </c>
      <c r="V206" t="s">
        <v>42</v>
      </c>
      <c r="X206" t="s">
        <v>74</v>
      </c>
      <c r="Y206" t="b">
        <v>0</v>
      </c>
      <c r="Z206" t="b">
        <v>0</v>
      </c>
      <c r="AB206" t="s">
        <v>8912</v>
      </c>
      <c r="AC206" s="1">
        <v>41200</v>
      </c>
      <c r="AF206">
        <v>0</v>
      </c>
      <c r="AG206">
        <v>45</v>
      </c>
      <c r="AH206">
        <v>335</v>
      </c>
      <c r="AI206" s="2">
        <f>Table__192.168.3.138BEWLPPMetaData[[#This Row],[NetAmount]]-Table__192.168.3.138BEWLPPMetaData[[#This Row],[Paid]]</f>
        <v>144350</v>
      </c>
    </row>
    <row r="207" spans="1:35" hidden="1">
      <c r="A207" t="s">
        <v>8913</v>
      </c>
      <c r="B207" s="1">
        <v>40980</v>
      </c>
      <c r="C207" s="1">
        <v>41010</v>
      </c>
      <c r="D207" t="s">
        <v>8826</v>
      </c>
      <c r="E207">
        <v>10500</v>
      </c>
      <c r="F207">
        <v>1680</v>
      </c>
      <c r="G207">
        <v>0</v>
      </c>
      <c r="H207">
        <v>0</v>
      </c>
      <c r="I207">
        <v>288</v>
      </c>
      <c r="J207">
        <v>12180</v>
      </c>
      <c r="K207" t="s">
        <v>8914</v>
      </c>
      <c r="L207" s="1">
        <v>40980</v>
      </c>
      <c r="N207" t="s">
        <v>5127</v>
      </c>
      <c r="O207" t="s">
        <v>2458</v>
      </c>
      <c r="P207" t="s">
        <v>336</v>
      </c>
      <c r="Q207" t="s">
        <v>39</v>
      </c>
      <c r="R207" t="s">
        <v>40</v>
      </c>
      <c r="S207">
        <v>0</v>
      </c>
      <c r="U207" t="s">
        <v>41</v>
      </c>
      <c r="V207" t="s">
        <v>42</v>
      </c>
      <c r="X207" t="s">
        <v>74</v>
      </c>
      <c r="Y207" t="b">
        <v>0</v>
      </c>
      <c r="Z207" t="b">
        <v>0</v>
      </c>
      <c r="AC207" s="1"/>
      <c r="AF207">
        <v>0</v>
      </c>
      <c r="AG207">
        <v>45</v>
      </c>
      <c r="AH207">
        <v>333</v>
      </c>
      <c r="AI207" s="2">
        <f>Table__192.168.3.138BEWLPPMetaData[[#This Row],[NetAmount]]-Table__192.168.3.138BEWLPPMetaData[[#This Row],[Paid]]</f>
        <v>12180</v>
      </c>
    </row>
    <row r="208" spans="1:35" hidden="1">
      <c r="A208" t="s">
        <v>8915</v>
      </c>
      <c r="B208" s="1">
        <v>40980</v>
      </c>
      <c r="C208" s="1">
        <v>41010</v>
      </c>
      <c r="D208" t="s">
        <v>8826</v>
      </c>
      <c r="E208">
        <v>8700</v>
      </c>
      <c r="F208">
        <v>1392</v>
      </c>
      <c r="G208">
        <v>0</v>
      </c>
      <c r="H208">
        <v>0</v>
      </c>
      <c r="I208">
        <v>290</v>
      </c>
      <c r="J208">
        <v>10092</v>
      </c>
      <c r="K208" t="s">
        <v>8916</v>
      </c>
      <c r="L208" s="1">
        <v>40978</v>
      </c>
      <c r="N208" t="s">
        <v>5127</v>
      </c>
      <c r="O208" t="s">
        <v>2458</v>
      </c>
      <c r="P208" t="s">
        <v>336</v>
      </c>
      <c r="Q208" t="s">
        <v>39</v>
      </c>
      <c r="R208" t="s">
        <v>40</v>
      </c>
      <c r="S208">
        <v>0</v>
      </c>
      <c r="U208" t="s">
        <v>41</v>
      </c>
      <c r="V208" t="s">
        <v>42</v>
      </c>
      <c r="X208" t="s">
        <v>74</v>
      </c>
      <c r="Y208" t="b">
        <v>0</v>
      </c>
      <c r="Z208" t="b">
        <v>0</v>
      </c>
      <c r="AC208" s="1"/>
      <c r="AF208">
        <v>0</v>
      </c>
      <c r="AG208">
        <v>45</v>
      </c>
      <c r="AH208">
        <v>335</v>
      </c>
      <c r="AI208" s="2">
        <f>Table__192.168.3.138BEWLPPMetaData[[#This Row],[NetAmount]]-Table__192.168.3.138BEWLPPMetaData[[#This Row],[Paid]]</f>
        <v>10092</v>
      </c>
    </row>
    <row r="209" spans="1:35" hidden="1">
      <c r="A209" t="s">
        <v>8917</v>
      </c>
      <c r="B209" s="1">
        <v>40988</v>
      </c>
      <c r="C209" s="1">
        <v>41018</v>
      </c>
      <c r="D209" t="s">
        <v>8826</v>
      </c>
      <c r="E209">
        <v>52432</v>
      </c>
      <c r="F209">
        <v>8389</v>
      </c>
      <c r="G209">
        <v>0</v>
      </c>
      <c r="H209">
        <v>0</v>
      </c>
      <c r="I209">
        <v>283</v>
      </c>
      <c r="J209">
        <v>60821</v>
      </c>
      <c r="K209" t="s">
        <v>8918</v>
      </c>
      <c r="L209" s="1">
        <v>40985</v>
      </c>
      <c r="N209" t="s">
        <v>5127</v>
      </c>
      <c r="O209" t="s">
        <v>2458</v>
      </c>
      <c r="P209" t="s">
        <v>336</v>
      </c>
      <c r="Q209" t="s">
        <v>39</v>
      </c>
      <c r="R209" t="s">
        <v>40</v>
      </c>
      <c r="S209">
        <v>0</v>
      </c>
      <c r="U209" t="s">
        <v>41</v>
      </c>
      <c r="V209" t="s">
        <v>42</v>
      </c>
      <c r="X209" t="s">
        <v>74</v>
      </c>
      <c r="Y209" t="b">
        <v>0</v>
      </c>
      <c r="Z209" t="b">
        <v>0</v>
      </c>
      <c r="AC209" s="1"/>
      <c r="AF209">
        <v>0</v>
      </c>
      <c r="AG209">
        <v>45</v>
      </c>
      <c r="AH209">
        <v>328</v>
      </c>
      <c r="AI209" s="2">
        <f>Table__192.168.3.138BEWLPPMetaData[[#This Row],[NetAmount]]-Table__192.168.3.138BEWLPPMetaData[[#This Row],[Paid]]</f>
        <v>60821</v>
      </c>
    </row>
    <row r="210" spans="1:35" hidden="1">
      <c r="A210" t="s">
        <v>8919</v>
      </c>
      <c r="B210" s="1">
        <v>40989</v>
      </c>
      <c r="C210" s="1">
        <v>40989</v>
      </c>
      <c r="D210" t="s">
        <v>8910</v>
      </c>
      <c r="E210">
        <v>8415</v>
      </c>
      <c r="F210">
        <v>1346</v>
      </c>
      <c r="G210">
        <v>0</v>
      </c>
      <c r="H210">
        <v>0</v>
      </c>
      <c r="I210">
        <v>262</v>
      </c>
      <c r="J210">
        <v>9761</v>
      </c>
      <c r="K210" t="s">
        <v>1835</v>
      </c>
      <c r="L210" s="1">
        <v>41006</v>
      </c>
      <c r="N210" t="s">
        <v>5127</v>
      </c>
      <c r="O210" t="s">
        <v>2458</v>
      </c>
      <c r="P210" t="s">
        <v>392</v>
      </c>
      <c r="Q210" t="s">
        <v>39</v>
      </c>
      <c r="R210" t="s">
        <v>40</v>
      </c>
      <c r="S210">
        <v>0</v>
      </c>
      <c r="U210" t="s">
        <v>41</v>
      </c>
      <c r="V210" t="s">
        <v>42</v>
      </c>
      <c r="X210" t="s">
        <v>74</v>
      </c>
      <c r="Y210" t="b">
        <v>0</v>
      </c>
      <c r="Z210" t="b">
        <v>0</v>
      </c>
      <c r="AB210" t="s">
        <v>8912</v>
      </c>
      <c r="AC210" s="1">
        <v>41200</v>
      </c>
      <c r="AF210">
        <v>0</v>
      </c>
      <c r="AG210">
        <v>45</v>
      </c>
      <c r="AH210">
        <v>307</v>
      </c>
      <c r="AI210" s="2">
        <f>Table__192.168.3.138BEWLPPMetaData[[#This Row],[NetAmount]]-Table__192.168.3.138BEWLPPMetaData[[#This Row],[Paid]]</f>
        <v>9761</v>
      </c>
    </row>
    <row r="211" spans="1:35" hidden="1">
      <c r="A211" t="s">
        <v>8920</v>
      </c>
      <c r="B211" s="1">
        <v>40989</v>
      </c>
      <c r="C211" s="1">
        <v>40989</v>
      </c>
      <c r="D211" t="s">
        <v>8910</v>
      </c>
      <c r="E211">
        <v>89140</v>
      </c>
      <c r="F211">
        <v>14262</v>
      </c>
      <c r="G211">
        <v>0</v>
      </c>
      <c r="H211">
        <v>0</v>
      </c>
      <c r="I211">
        <v>269</v>
      </c>
      <c r="J211">
        <v>103402</v>
      </c>
      <c r="K211" t="s">
        <v>8921</v>
      </c>
      <c r="L211" s="1">
        <v>40999</v>
      </c>
      <c r="N211" t="s">
        <v>5127</v>
      </c>
      <c r="O211" t="s">
        <v>2458</v>
      </c>
      <c r="P211" t="s">
        <v>392</v>
      </c>
      <c r="Q211" t="s">
        <v>39</v>
      </c>
      <c r="R211" t="s">
        <v>40</v>
      </c>
      <c r="S211">
        <v>0</v>
      </c>
      <c r="U211" t="s">
        <v>41</v>
      </c>
      <c r="V211" t="s">
        <v>42</v>
      </c>
      <c r="X211" t="s">
        <v>74</v>
      </c>
      <c r="Y211" t="b">
        <v>0</v>
      </c>
      <c r="Z211" t="b">
        <v>0</v>
      </c>
      <c r="AB211" t="s">
        <v>8912</v>
      </c>
      <c r="AC211" s="1">
        <v>41200</v>
      </c>
      <c r="AF211">
        <v>0</v>
      </c>
      <c r="AG211">
        <v>45</v>
      </c>
      <c r="AH211">
        <v>314</v>
      </c>
      <c r="AI211" s="2">
        <f>Table__192.168.3.138BEWLPPMetaData[[#This Row],[NetAmount]]-Table__192.168.3.138BEWLPPMetaData[[#This Row],[Paid]]</f>
        <v>103402</v>
      </c>
    </row>
    <row r="212" spans="1:35" hidden="1">
      <c r="A212" t="s">
        <v>8922</v>
      </c>
      <c r="B212" s="1">
        <v>40989</v>
      </c>
      <c r="C212" s="1">
        <v>41019</v>
      </c>
      <c r="D212" t="s">
        <v>8574</v>
      </c>
      <c r="E212">
        <v>15085</v>
      </c>
      <c r="F212">
        <v>2414</v>
      </c>
      <c r="G212">
        <v>0</v>
      </c>
      <c r="H212">
        <v>0</v>
      </c>
      <c r="I212">
        <v>288</v>
      </c>
      <c r="J212">
        <v>17499</v>
      </c>
      <c r="K212" t="s">
        <v>8442</v>
      </c>
      <c r="L212" s="1">
        <v>40980</v>
      </c>
      <c r="N212" t="s">
        <v>5127</v>
      </c>
      <c r="O212" t="s">
        <v>2458</v>
      </c>
      <c r="P212" t="s">
        <v>344</v>
      </c>
      <c r="Q212" t="s">
        <v>39</v>
      </c>
      <c r="R212" t="s">
        <v>40</v>
      </c>
      <c r="S212">
        <v>0</v>
      </c>
      <c r="U212" t="s">
        <v>41</v>
      </c>
      <c r="V212" t="s">
        <v>42</v>
      </c>
      <c r="X212" t="s">
        <v>74</v>
      </c>
      <c r="Y212" t="b">
        <v>0</v>
      </c>
      <c r="Z212" t="b">
        <v>0</v>
      </c>
      <c r="AC212" s="1"/>
      <c r="AF212">
        <v>0</v>
      </c>
      <c r="AG212">
        <v>45</v>
      </c>
      <c r="AH212">
        <v>333</v>
      </c>
      <c r="AI212" s="2">
        <f>Table__192.168.3.138BEWLPPMetaData[[#This Row],[NetAmount]]-Table__192.168.3.138BEWLPPMetaData[[#This Row],[Paid]]</f>
        <v>17499</v>
      </c>
    </row>
    <row r="213" spans="1:35" hidden="1">
      <c r="A213" t="s">
        <v>8923</v>
      </c>
      <c r="B213" s="1">
        <v>40980</v>
      </c>
      <c r="C213" s="1">
        <v>41025</v>
      </c>
      <c r="D213" t="s">
        <v>8721</v>
      </c>
      <c r="E213">
        <v>5000</v>
      </c>
      <c r="F213">
        <v>800</v>
      </c>
      <c r="G213">
        <v>0</v>
      </c>
      <c r="H213">
        <v>0</v>
      </c>
      <c r="I213">
        <v>291</v>
      </c>
      <c r="J213">
        <v>5800</v>
      </c>
      <c r="K213" t="s">
        <v>3905</v>
      </c>
      <c r="L213" s="1">
        <v>40977</v>
      </c>
      <c r="N213" t="s">
        <v>5127</v>
      </c>
      <c r="O213" t="s">
        <v>2458</v>
      </c>
      <c r="P213" t="s">
        <v>8723</v>
      </c>
      <c r="Q213" t="s">
        <v>39</v>
      </c>
      <c r="R213" t="s">
        <v>40</v>
      </c>
      <c r="S213">
        <v>0</v>
      </c>
      <c r="U213" t="s">
        <v>41</v>
      </c>
      <c r="V213" t="s">
        <v>42</v>
      </c>
      <c r="X213" t="s">
        <v>74</v>
      </c>
      <c r="Y213" t="b">
        <v>0</v>
      </c>
      <c r="Z213" t="b">
        <v>0</v>
      </c>
      <c r="AC213" s="1"/>
      <c r="AF213">
        <v>0</v>
      </c>
      <c r="AG213">
        <v>45</v>
      </c>
      <c r="AH213">
        <v>336</v>
      </c>
      <c r="AI213" s="2">
        <f>Table__192.168.3.138BEWLPPMetaData[[#This Row],[NetAmount]]-Table__192.168.3.138BEWLPPMetaData[[#This Row],[Paid]]</f>
        <v>5800</v>
      </c>
    </row>
    <row r="214" spans="1:35" hidden="1">
      <c r="A214" t="s">
        <v>8924</v>
      </c>
      <c r="B214" s="1">
        <v>40992</v>
      </c>
      <c r="C214" s="1">
        <v>41037</v>
      </c>
      <c r="D214" t="s">
        <v>8721</v>
      </c>
      <c r="E214">
        <v>48000</v>
      </c>
      <c r="F214">
        <v>7680</v>
      </c>
      <c r="G214">
        <v>0</v>
      </c>
      <c r="H214">
        <v>0</v>
      </c>
      <c r="I214">
        <v>279</v>
      </c>
      <c r="J214">
        <v>55680</v>
      </c>
      <c r="K214" t="s">
        <v>8925</v>
      </c>
      <c r="L214" s="1">
        <v>40989</v>
      </c>
      <c r="N214" t="s">
        <v>5127</v>
      </c>
      <c r="O214" t="s">
        <v>2458</v>
      </c>
      <c r="P214" t="s">
        <v>8723</v>
      </c>
      <c r="Q214" t="s">
        <v>39</v>
      </c>
      <c r="R214" t="s">
        <v>40</v>
      </c>
      <c r="S214">
        <v>0</v>
      </c>
      <c r="U214" t="s">
        <v>41</v>
      </c>
      <c r="V214" t="s">
        <v>42</v>
      </c>
      <c r="X214" t="s">
        <v>74</v>
      </c>
      <c r="Y214" t="b">
        <v>0</v>
      </c>
      <c r="Z214" t="b">
        <v>0</v>
      </c>
      <c r="AC214" s="1"/>
      <c r="AF214">
        <v>0</v>
      </c>
      <c r="AG214">
        <v>45</v>
      </c>
      <c r="AH214">
        <v>324</v>
      </c>
      <c r="AI214" s="2">
        <f>Table__192.168.3.138BEWLPPMetaData[[#This Row],[NetAmount]]-Table__192.168.3.138BEWLPPMetaData[[#This Row],[Paid]]</f>
        <v>55680</v>
      </c>
    </row>
    <row r="215" spans="1:35" hidden="1">
      <c r="A215" t="s">
        <v>8926</v>
      </c>
      <c r="B215" s="1">
        <v>40980</v>
      </c>
      <c r="C215" s="1">
        <v>41025</v>
      </c>
      <c r="D215" t="s">
        <v>8721</v>
      </c>
      <c r="E215">
        <v>114000</v>
      </c>
      <c r="F215">
        <v>18240</v>
      </c>
      <c r="G215">
        <v>0</v>
      </c>
      <c r="H215">
        <v>0</v>
      </c>
      <c r="I215">
        <v>288</v>
      </c>
      <c r="J215">
        <v>132240</v>
      </c>
      <c r="K215" t="s">
        <v>4865</v>
      </c>
      <c r="L215" s="1">
        <v>40980</v>
      </c>
      <c r="N215" t="s">
        <v>5127</v>
      </c>
      <c r="O215" t="s">
        <v>2458</v>
      </c>
      <c r="P215" t="s">
        <v>8723</v>
      </c>
      <c r="Q215" t="s">
        <v>39</v>
      </c>
      <c r="R215" t="s">
        <v>40</v>
      </c>
      <c r="S215">
        <v>0</v>
      </c>
      <c r="U215" t="s">
        <v>41</v>
      </c>
      <c r="V215" t="s">
        <v>42</v>
      </c>
      <c r="X215" t="s">
        <v>74</v>
      </c>
      <c r="Y215" t="b">
        <v>0</v>
      </c>
      <c r="Z215" t="b">
        <v>0</v>
      </c>
      <c r="AC215" s="1"/>
      <c r="AF215">
        <v>0</v>
      </c>
      <c r="AG215">
        <v>45</v>
      </c>
      <c r="AH215">
        <v>333</v>
      </c>
      <c r="AI215" s="2">
        <f>Table__192.168.3.138BEWLPPMetaData[[#This Row],[NetAmount]]-Table__192.168.3.138BEWLPPMetaData[[#This Row],[Paid]]</f>
        <v>132240</v>
      </c>
    </row>
    <row r="216" spans="1:35" hidden="1">
      <c r="A216" t="s">
        <v>8927</v>
      </c>
      <c r="B216" s="1">
        <v>40983</v>
      </c>
      <c r="C216" s="1">
        <v>41028</v>
      </c>
      <c r="D216" t="s">
        <v>8721</v>
      </c>
      <c r="E216">
        <v>10000</v>
      </c>
      <c r="F216">
        <v>1600</v>
      </c>
      <c r="G216">
        <v>0</v>
      </c>
      <c r="H216">
        <v>0</v>
      </c>
      <c r="I216">
        <v>285</v>
      </c>
      <c r="J216">
        <v>11600</v>
      </c>
      <c r="K216" t="s">
        <v>5083</v>
      </c>
      <c r="L216" s="1">
        <v>40983</v>
      </c>
      <c r="N216" t="s">
        <v>5127</v>
      </c>
      <c r="O216" t="s">
        <v>2458</v>
      </c>
      <c r="P216" t="s">
        <v>8723</v>
      </c>
      <c r="Q216" t="s">
        <v>39</v>
      </c>
      <c r="R216" t="s">
        <v>40</v>
      </c>
      <c r="S216">
        <v>0</v>
      </c>
      <c r="U216" t="s">
        <v>41</v>
      </c>
      <c r="V216" t="s">
        <v>42</v>
      </c>
      <c r="X216" t="s">
        <v>74</v>
      </c>
      <c r="Y216" t="b">
        <v>0</v>
      </c>
      <c r="Z216" t="b">
        <v>0</v>
      </c>
      <c r="AC216" s="1"/>
      <c r="AF216">
        <v>0</v>
      </c>
      <c r="AG216">
        <v>45</v>
      </c>
      <c r="AH216">
        <v>330</v>
      </c>
      <c r="AI216" s="2">
        <f>Table__192.168.3.138BEWLPPMetaData[[#This Row],[NetAmount]]-Table__192.168.3.138BEWLPPMetaData[[#This Row],[Paid]]</f>
        <v>11600</v>
      </c>
    </row>
    <row r="217" spans="1:35" hidden="1">
      <c r="A217" t="s">
        <v>8928</v>
      </c>
      <c r="B217" s="1">
        <v>40977</v>
      </c>
      <c r="C217" s="1">
        <v>41022</v>
      </c>
      <c r="D217" t="s">
        <v>8721</v>
      </c>
      <c r="E217">
        <v>59500</v>
      </c>
      <c r="F217">
        <v>9520</v>
      </c>
      <c r="G217">
        <v>0</v>
      </c>
      <c r="H217">
        <v>0</v>
      </c>
      <c r="I217">
        <v>293</v>
      </c>
      <c r="J217">
        <v>69020</v>
      </c>
      <c r="K217" t="s">
        <v>8929</v>
      </c>
      <c r="L217" s="1">
        <v>40975</v>
      </c>
      <c r="N217" t="s">
        <v>5127</v>
      </c>
      <c r="O217" t="s">
        <v>2458</v>
      </c>
      <c r="P217" t="s">
        <v>8723</v>
      </c>
      <c r="Q217" t="s">
        <v>39</v>
      </c>
      <c r="R217" t="s">
        <v>40</v>
      </c>
      <c r="S217">
        <v>0</v>
      </c>
      <c r="U217" t="s">
        <v>41</v>
      </c>
      <c r="V217" t="s">
        <v>42</v>
      </c>
      <c r="X217" t="s">
        <v>74</v>
      </c>
      <c r="Y217" t="b">
        <v>0</v>
      </c>
      <c r="Z217" t="b">
        <v>0</v>
      </c>
      <c r="AC217" s="1"/>
      <c r="AF217">
        <v>0</v>
      </c>
      <c r="AG217">
        <v>45</v>
      </c>
      <c r="AH217">
        <v>338</v>
      </c>
      <c r="AI217" s="2">
        <f>Table__192.168.3.138BEWLPPMetaData[[#This Row],[NetAmount]]-Table__192.168.3.138BEWLPPMetaData[[#This Row],[Paid]]</f>
        <v>69020</v>
      </c>
    </row>
    <row r="218" spans="1:35" hidden="1">
      <c r="A218" t="s">
        <v>8930</v>
      </c>
      <c r="B218" s="1">
        <v>40998</v>
      </c>
      <c r="C218" s="1">
        <v>41043</v>
      </c>
      <c r="D218" t="s">
        <v>8721</v>
      </c>
      <c r="E218">
        <v>10000</v>
      </c>
      <c r="F218">
        <v>1600</v>
      </c>
      <c r="G218">
        <v>0</v>
      </c>
      <c r="H218">
        <v>0</v>
      </c>
      <c r="I218">
        <v>270</v>
      </c>
      <c r="J218">
        <v>11600</v>
      </c>
      <c r="K218" t="s">
        <v>8931</v>
      </c>
      <c r="L218" s="1">
        <v>40998</v>
      </c>
      <c r="N218" t="s">
        <v>5127</v>
      </c>
      <c r="O218" t="s">
        <v>2458</v>
      </c>
      <c r="P218" t="s">
        <v>8723</v>
      </c>
      <c r="Q218" t="s">
        <v>39</v>
      </c>
      <c r="R218" t="s">
        <v>40</v>
      </c>
      <c r="S218">
        <v>0</v>
      </c>
      <c r="U218" t="s">
        <v>41</v>
      </c>
      <c r="V218" t="s">
        <v>42</v>
      </c>
      <c r="X218" t="s">
        <v>74</v>
      </c>
      <c r="Y218" t="b">
        <v>0</v>
      </c>
      <c r="Z218" t="b">
        <v>0</v>
      </c>
      <c r="AC218" s="1"/>
      <c r="AF218">
        <v>0</v>
      </c>
      <c r="AG218">
        <v>45</v>
      </c>
      <c r="AH218">
        <v>315</v>
      </c>
      <c r="AI218" s="2">
        <f>Table__192.168.3.138BEWLPPMetaData[[#This Row],[NetAmount]]-Table__192.168.3.138BEWLPPMetaData[[#This Row],[Paid]]</f>
        <v>11600</v>
      </c>
    </row>
    <row r="219" spans="1:35" hidden="1">
      <c r="A219" t="s">
        <v>8932</v>
      </c>
      <c r="B219" s="1">
        <v>40973</v>
      </c>
      <c r="C219" s="1">
        <v>41018</v>
      </c>
      <c r="D219" t="s">
        <v>8721</v>
      </c>
      <c r="E219">
        <v>96000</v>
      </c>
      <c r="F219">
        <v>15360</v>
      </c>
      <c r="G219">
        <v>0</v>
      </c>
      <c r="H219">
        <v>0</v>
      </c>
      <c r="I219">
        <v>297</v>
      </c>
      <c r="J219">
        <v>111360</v>
      </c>
      <c r="K219" t="s">
        <v>2931</v>
      </c>
      <c r="L219" s="1">
        <v>40971</v>
      </c>
      <c r="N219" t="s">
        <v>5127</v>
      </c>
      <c r="O219" t="s">
        <v>2458</v>
      </c>
      <c r="P219" t="s">
        <v>8723</v>
      </c>
      <c r="Q219" t="s">
        <v>39</v>
      </c>
      <c r="R219" t="s">
        <v>40</v>
      </c>
      <c r="S219">
        <v>0</v>
      </c>
      <c r="U219" t="s">
        <v>41</v>
      </c>
      <c r="V219" t="s">
        <v>42</v>
      </c>
      <c r="X219" t="s">
        <v>74</v>
      </c>
      <c r="Y219" t="b">
        <v>0</v>
      </c>
      <c r="Z219" t="b">
        <v>0</v>
      </c>
      <c r="AC219" s="1"/>
      <c r="AF219">
        <v>0</v>
      </c>
      <c r="AG219">
        <v>45</v>
      </c>
      <c r="AH219">
        <v>342</v>
      </c>
      <c r="AI219" s="2">
        <f>Table__192.168.3.138BEWLPPMetaData[[#This Row],[NetAmount]]-Table__192.168.3.138BEWLPPMetaData[[#This Row],[Paid]]</f>
        <v>111360</v>
      </c>
    </row>
    <row r="220" spans="1:35" hidden="1">
      <c r="A220" t="s">
        <v>8933</v>
      </c>
      <c r="B220" s="1">
        <v>40998</v>
      </c>
      <c r="C220" s="1">
        <v>41043</v>
      </c>
      <c r="D220" t="s">
        <v>8794</v>
      </c>
      <c r="E220">
        <v>147800</v>
      </c>
      <c r="F220">
        <v>23648</v>
      </c>
      <c r="G220">
        <v>0</v>
      </c>
      <c r="H220">
        <v>0</v>
      </c>
      <c r="I220">
        <v>270</v>
      </c>
      <c r="J220">
        <v>171448</v>
      </c>
      <c r="K220" t="s">
        <v>8934</v>
      </c>
      <c r="L220" s="1">
        <v>40998</v>
      </c>
      <c r="N220" t="s">
        <v>5127</v>
      </c>
      <c r="O220" t="s">
        <v>2458</v>
      </c>
      <c r="P220" t="s">
        <v>8795</v>
      </c>
      <c r="Q220" t="s">
        <v>39</v>
      </c>
      <c r="R220" t="s">
        <v>40</v>
      </c>
      <c r="S220">
        <v>0</v>
      </c>
      <c r="U220" t="s">
        <v>41</v>
      </c>
      <c r="V220" t="s">
        <v>42</v>
      </c>
      <c r="X220" t="s">
        <v>74</v>
      </c>
      <c r="Y220" t="b">
        <v>0</v>
      </c>
      <c r="Z220" t="b">
        <v>0</v>
      </c>
      <c r="AC220" s="1"/>
      <c r="AF220">
        <v>0</v>
      </c>
      <c r="AG220">
        <v>45</v>
      </c>
      <c r="AH220">
        <v>315</v>
      </c>
      <c r="AI220" s="2">
        <f>Table__192.168.3.138BEWLPPMetaData[[#This Row],[NetAmount]]-Table__192.168.3.138BEWLPPMetaData[[#This Row],[Paid]]</f>
        <v>171448</v>
      </c>
    </row>
    <row r="221" spans="1:35" hidden="1">
      <c r="A221" t="s">
        <v>8935</v>
      </c>
      <c r="B221" s="1">
        <v>40998</v>
      </c>
      <c r="C221" s="1">
        <v>41043</v>
      </c>
      <c r="D221" t="s">
        <v>8794</v>
      </c>
      <c r="E221">
        <v>505100</v>
      </c>
      <c r="F221">
        <v>80816</v>
      </c>
      <c r="G221">
        <v>0</v>
      </c>
      <c r="H221">
        <v>0</v>
      </c>
      <c r="I221">
        <v>272</v>
      </c>
      <c r="J221">
        <v>585916</v>
      </c>
      <c r="K221" t="s">
        <v>8936</v>
      </c>
      <c r="L221" s="1">
        <v>40996</v>
      </c>
      <c r="N221" t="s">
        <v>5127</v>
      </c>
      <c r="O221" t="s">
        <v>2458</v>
      </c>
      <c r="P221" t="s">
        <v>8795</v>
      </c>
      <c r="Q221" t="s">
        <v>39</v>
      </c>
      <c r="R221" t="s">
        <v>40</v>
      </c>
      <c r="S221">
        <v>0</v>
      </c>
      <c r="U221" t="s">
        <v>41</v>
      </c>
      <c r="V221" t="s">
        <v>42</v>
      </c>
      <c r="X221" t="s">
        <v>74</v>
      </c>
      <c r="Y221" t="b">
        <v>0</v>
      </c>
      <c r="Z221" t="b">
        <v>0</v>
      </c>
      <c r="AC221" s="1"/>
      <c r="AF221">
        <v>0</v>
      </c>
      <c r="AG221">
        <v>45</v>
      </c>
      <c r="AH221">
        <v>317</v>
      </c>
      <c r="AI221" s="2">
        <f>Table__192.168.3.138BEWLPPMetaData[[#This Row],[NetAmount]]-Table__192.168.3.138BEWLPPMetaData[[#This Row],[Paid]]</f>
        <v>585916</v>
      </c>
    </row>
    <row r="222" spans="1:35" hidden="1">
      <c r="A222" t="s">
        <v>8937</v>
      </c>
      <c r="B222" s="1">
        <v>40976</v>
      </c>
      <c r="C222" s="1">
        <v>41021</v>
      </c>
      <c r="D222" t="s">
        <v>8794</v>
      </c>
      <c r="E222">
        <v>542600</v>
      </c>
      <c r="F222">
        <v>86816</v>
      </c>
      <c r="G222">
        <v>0</v>
      </c>
      <c r="H222">
        <v>0</v>
      </c>
      <c r="I222">
        <v>292</v>
      </c>
      <c r="J222">
        <v>629416</v>
      </c>
      <c r="K222" t="s">
        <v>8938</v>
      </c>
      <c r="L222" s="1">
        <v>40976</v>
      </c>
      <c r="N222" t="s">
        <v>5127</v>
      </c>
      <c r="O222" t="s">
        <v>2458</v>
      </c>
      <c r="P222" t="s">
        <v>8795</v>
      </c>
      <c r="Q222" t="s">
        <v>39</v>
      </c>
      <c r="R222" t="s">
        <v>40</v>
      </c>
      <c r="S222">
        <v>0</v>
      </c>
      <c r="U222" t="s">
        <v>41</v>
      </c>
      <c r="V222" t="s">
        <v>42</v>
      </c>
      <c r="X222" t="s">
        <v>74</v>
      </c>
      <c r="Y222" t="b">
        <v>0</v>
      </c>
      <c r="Z222" t="b">
        <v>0</v>
      </c>
      <c r="AC222" s="1"/>
      <c r="AF222">
        <v>0</v>
      </c>
      <c r="AG222">
        <v>45</v>
      </c>
      <c r="AH222">
        <v>337</v>
      </c>
      <c r="AI222" s="2">
        <f>Table__192.168.3.138BEWLPPMetaData[[#This Row],[NetAmount]]-Table__192.168.3.138BEWLPPMetaData[[#This Row],[Paid]]</f>
        <v>629416</v>
      </c>
    </row>
    <row r="223" spans="1:35" hidden="1">
      <c r="A223" t="s">
        <v>8939</v>
      </c>
      <c r="B223" s="1">
        <v>40994</v>
      </c>
      <c r="C223" s="1">
        <v>41039</v>
      </c>
      <c r="D223" t="s">
        <v>8794</v>
      </c>
      <c r="E223">
        <v>223800</v>
      </c>
      <c r="F223">
        <v>35808</v>
      </c>
      <c r="G223">
        <v>0</v>
      </c>
      <c r="H223">
        <v>0</v>
      </c>
      <c r="I223">
        <v>278</v>
      </c>
      <c r="J223">
        <v>259608</v>
      </c>
      <c r="K223" t="s">
        <v>8940</v>
      </c>
      <c r="L223" s="1">
        <v>40990</v>
      </c>
      <c r="N223" t="s">
        <v>5127</v>
      </c>
      <c r="O223" t="s">
        <v>2458</v>
      </c>
      <c r="P223" t="s">
        <v>8795</v>
      </c>
      <c r="Q223" t="s">
        <v>39</v>
      </c>
      <c r="R223" t="s">
        <v>40</v>
      </c>
      <c r="S223">
        <v>0</v>
      </c>
      <c r="U223" t="s">
        <v>41</v>
      </c>
      <c r="V223" t="s">
        <v>42</v>
      </c>
      <c r="X223" t="s">
        <v>74</v>
      </c>
      <c r="Y223" t="b">
        <v>0</v>
      </c>
      <c r="Z223" t="b">
        <v>0</v>
      </c>
      <c r="AC223" s="1"/>
      <c r="AF223">
        <v>0</v>
      </c>
      <c r="AG223">
        <v>45</v>
      </c>
      <c r="AH223">
        <v>323</v>
      </c>
      <c r="AI223" s="2">
        <f>Table__192.168.3.138BEWLPPMetaData[[#This Row],[NetAmount]]-Table__192.168.3.138BEWLPPMetaData[[#This Row],[Paid]]</f>
        <v>259608</v>
      </c>
    </row>
    <row r="224" spans="1:35" hidden="1">
      <c r="A224" t="s">
        <v>8941</v>
      </c>
      <c r="B224" s="1">
        <v>40999</v>
      </c>
      <c r="C224" s="1">
        <v>40999</v>
      </c>
      <c r="D224" t="s">
        <v>8524</v>
      </c>
      <c r="E224">
        <v>3850</v>
      </c>
      <c r="F224">
        <v>616</v>
      </c>
      <c r="G224">
        <v>0</v>
      </c>
      <c r="H224">
        <v>0</v>
      </c>
      <c r="I224">
        <v>269</v>
      </c>
      <c r="J224">
        <v>4466</v>
      </c>
      <c r="L224" s="1">
        <v>40999</v>
      </c>
      <c r="N224" t="s">
        <v>5127</v>
      </c>
      <c r="O224" t="s">
        <v>2458</v>
      </c>
      <c r="P224" t="s">
        <v>8525</v>
      </c>
      <c r="Q224" t="s">
        <v>39</v>
      </c>
      <c r="R224" t="s">
        <v>40</v>
      </c>
      <c r="S224">
        <v>0</v>
      </c>
      <c r="U224" t="s">
        <v>41</v>
      </c>
      <c r="V224" t="s">
        <v>42</v>
      </c>
      <c r="X224" t="s">
        <v>74</v>
      </c>
      <c r="Y224" t="b">
        <v>0</v>
      </c>
      <c r="Z224" t="b">
        <v>0</v>
      </c>
      <c r="AC224" s="1"/>
      <c r="AF224">
        <v>0</v>
      </c>
      <c r="AG224">
        <v>45</v>
      </c>
      <c r="AH224">
        <v>314</v>
      </c>
      <c r="AI224" s="2">
        <f>Table__192.168.3.138BEWLPPMetaData[[#This Row],[NetAmount]]-Table__192.168.3.138BEWLPPMetaData[[#This Row],[Paid]]</f>
        <v>4466</v>
      </c>
    </row>
    <row r="225" spans="1:35" hidden="1">
      <c r="A225" t="s">
        <v>8942</v>
      </c>
      <c r="B225" s="1">
        <v>41002</v>
      </c>
      <c r="C225" s="1">
        <v>41032</v>
      </c>
      <c r="D225" t="s">
        <v>8530</v>
      </c>
      <c r="E225">
        <v>253051</v>
      </c>
      <c r="F225">
        <v>40488</v>
      </c>
      <c r="G225">
        <v>0</v>
      </c>
      <c r="H225">
        <v>0</v>
      </c>
      <c r="I225">
        <v>266</v>
      </c>
      <c r="J225">
        <v>293539</v>
      </c>
      <c r="K225" t="s">
        <v>8943</v>
      </c>
      <c r="L225" s="1">
        <v>41002</v>
      </c>
      <c r="N225" t="s">
        <v>5127</v>
      </c>
      <c r="O225" t="s">
        <v>2458</v>
      </c>
      <c r="P225" t="s">
        <v>357</v>
      </c>
      <c r="Q225" t="s">
        <v>39</v>
      </c>
      <c r="R225" t="s">
        <v>40</v>
      </c>
      <c r="S225">
        <v>0</v>
      </c>
      <c r="U225" t="s">
        <v>41</v>
      </c>
      <c r="V225" t="s">
        <v>42</v>
      </c>
      <c r="X225" t="s">
        <v>74</v>
      </c>
      <c r="Y225" t="b">
        <v>0</v>
      </c>
      <c r="Z225" t="b">
        <v>0</v>
      </c>
      <c r="AB225" t="s">
        <v>1575</v>
      </c>
      <c r="AC225" s="1">
        <v>41158</v>
      </c>
      <c r="AE225" t="s">
        <v>8944</v>
      </c>
      <c r="AF225">
        <v>0</v>
      </c>
      <c r="AG225">
        <v>45</v>
      </c>
      <c r="AH225">
        <v>311</v>
      </c>
      <c r="AI225" s="2">
        <f>Table__192.168.3.138BEWLPPMetaData[[#This Row],[NetAmount]]-Table__192.168.3.138BEWLPPMetaData[[#This Row],[Paid]]</f>
        <v>293539</v>
      </c>
    </row>
    <row r="226" spans="1:35" hidden="1">
      <c r="A226" t="s">
        <v>8945</v>
      </c>
      <c r="B226" s="1">
        <v>41001</v>
      </c>
      <c r="C226" s="1">
        <v>41031</v>
      </c>
      <c r="D226" t="s">
        <v>8530</v>
      </c>
      <c r="E226">
        <v>31380</v>
      </c>
      <c r="F226">
        <v>5021</v>
      </c>
      <c r="G226">
        <v>0</v>
      </c>
      <c r="H226">
        <v>0</v>
      </c>
      <c r="I226">
        <v>267</v>
      </c>
      <c r="J226">
        <v>36401</v>
      </c>
      <c r="K226" t="s">
        <v>8946</v>
      </c>
      <c r="L226" s="1">
        <v>41001</v>
      </c>
      <c r="N226" t="s">
        <v>5127</v>
      </c>
      <c r="O226" t="s">
        <v>2458</v>
      </c>
      <c r="P226" t="s">
        <v>357</v>
      </c>
      <c r="Q226" t="s">
        <v>39</v>
      </c>
      <c r="R226" t="s">
        <v>40</v>
      </c>
      <c r="S226">
        <v>0</v>
      </c>
      <c r="U226" t="s">
        <v>41</v>
      </c>
      <c r="V226" t="s">
        <v>42</v>
      </c>
      <c r="X226" t="s">
        <v>74</v>
      </c>
      <c r="Y226" t="b">
        <v>0</v>
      </c>
      <c r="Z226" t="b">
        <v>0</v>
      </c>
      <c r="AB226" t="s">
        <v>1575</v>
      </c>
      <c r="AC226" s="1">
        <v>41158</v>
      </c>
      <c r="AE226" t="s">
        <v>8944</v>
      </c>
      <c r="AF226">
        <v>0</v>
      </c>
      <c r="AG226">
        <v>45</v>
      </c>
      <c r="AH226">
        <v>312</v>
      </c>
      <c r="AI226" s="2">
        <f>Table__192.168.3.138BEWLPPMetaData[[#This Row],[NetAmount]]-Table__192.168.3.138BEWLPPMetaData[[#This Row],[Paid]]</f>
        <v>36401</v>
      </c>
    </row>
    <row r="227" spans="1:35" hidden="1">
      <c r="A227" t="s">
        <v>8947</v>
      </c>
      <c r="B227" s="1">
        <v>41009</v>
      </c>
      <c r="C227" s="1">
        <v>41054</v>
      </c>
      <c r="D227" t="s">
        <v>8522</v>
      </c>
      <c r="E227">
        <v>90700</v>
      </c>
      <c r="F227">
        <v>0</v>
      </c>
      <c r="G227">
        <v>0</v>
      </c>
      <c r="H227">
        <v>0</v>
      </c>
      <c r="I227">
        <v>258</v>
      </c>
      <c r="J227">
        <v>90700</v>
      </c>
      <c r="K227" t="s">
        <v>8948</v>
      </c>
      <c r="L227" s="1">
        <v>41010</v>
      </c>
      <c r="N227" t="s">
        <v>5127</v>
      </c>
      <c r="O227" t="s">
        <v>2458</v>
      </c>
      <c r="P227" t="s">
        <v>5458</v>
      </c>
      <c r="Q227" t="s">
        <v>39</v>
      </c>
      <c r="R227" t="s">
        <v>40</v>
      </c>
      <c r="S227">
        <v>0</v>
      </c>
      <c r="U227" t="s">
        <v>41</v>
      </c>
      <c r="V227" t="s">
        <v>42</v>
      </c>
      <c r="X227" t="s">
        <v>74</v>
      </c>
      <c r="Y227" t="b">
        <v>0</v>
      </c>
      <c r="Z227" t="b">
        <v>0</v>
      </c>
      <c r="AC227" s="1"/>
      <c r="AF227">
        <v>0</v>
      </c>
      <c r="AG227">
        <v>45</v>
      </c>
      <c r="AH227">
        <v>303</v>
      </c>
      <c r="AI227" s="2">
        <f>Table__192.168.3.138BEWLPPMetaData[[#This Row],[NetAmount]]-Table__192.168.3.138BEWLPPMetaData[[#This Row],[Paid]]</f>
        <v>90700</v>
      </c>
    </row>
    <row r="228" spans="1:35" hidden="1">
      <c r="A228" t="s">
        <v>8949</v>
      </c>
      <c r="B228" s="1">
        <v>41001</v>
      </c>
      <c r="C228" s="1">
        <v>41046</v>
      </c>
      <c r="D228" t="s">
        <v>8522</v>
      </c>
      <c r="E228">
        <v>19350</v>
      </c>
      <c r="F228">
        <v>0</v>
      </c>
      <c r="G228">
        <v>0</v>
      </c>
      <c r="H228">
        <v>0</v>
      </c>
      <c r="I228">
        <v>262</v>
      </c>
      <c r="J228">
        <v>19350</v>
      </c>
      <c r="K228" t="s">
        <v>4529</v>
      </c>
      <c r="L228" s="1">
        <v>41006</v>
      </c>
      <c r="M228" t="s">
        <v>8950</v>
      </c>
      <c r="N228" t="s">
        <v>5127</v>
      </c>
      <c r="O228" t="s">
        <v>2458</v>
      </c>
      <c r="P228" t="s">
        <v>5458</v>
      </c>
      <c r="Q228" t="s">
        <v>39</v>
      </c>
      <c r="R228" t="s">
        <v>40</v>
      </c>
      <c r="S228">
        <v>0</v>
      </c>
      <c r="U228" t="s">
        <v>41</v>
      </c>
      <c r="V228" t="s">
        <v>42</v>
      </c>
      <c r="W228" t="s">
        <v>8951</v>
      </c>
      <c r="X228" t="s">
        <v>74</v>
      </c>
      <c r="Y228" t="b">
        <v>0</v>
      </c>
      <c r="Z228" t="b">
        <v>0</v>
      </c>
      <c r="AA228" t="b">
        <v>0</v>
      </c>
      <c r="AC228" s="1"/>
      <c r="AF228">
        <v>0</v>
      </c>
      <c r="AG228">
        <v>45</v>
      </c>
      <c r="AH228">
        <v>307</v>
      </c>
      <c r="AI228" s="2">
        <f>Table__192.168.3.138BEWLPPMetaData[[#This Row],[NetAmount]]-Table__192.168.3.138BEWLPPMetaData[[#This Row],[Paid]]</f>
        <v>19350</v>
      </c>
    </row>
    <row r="229" spans="1:35" hidden="1">
      <c r="A229" t="s">
        <v>8952</v>
      </c>
      <c r="B229" s="1">
        <v>41015</v>
      </c>
      <c r="C229" s="1">
        <v>41060</v>
      </c>
      <c r="D229" t="s">
        <v>8538</v>
      </c>
      <c r="E229">
        <v>37780</v>
      </c>
      <c r="F229">
        <v>6045</v>
      </c>
      <c r="G229">
        <v>0</v>
      </c>
      <c r="H229">
        <v>0</v>
      </c>
      <c r="I229">
        <v>255</v>
      </c>
      <c r="J229">
        <v>43825</v>
      </c>
      <c r="K229" t="s">
        <v>8953</v>
      </c>
      <c r="L229" s="1">
        <v>41013</v>
      </c>
      <c r="N229" t="s">
        <v>5127</v>
      </c>
      <c r="O229" t="s">
        <v>2458</v>
      </c>
      <c r="P229" t="s">
        <v>310</v>
      </c>
      <c r="Q229" t="s">
        <v>39</v>
      </c>
      <c r="R229" t="s">
        <v>40</v>
      </c>
      <c r="S229">
        <v>0</v>
      </c>
      <c r="U229" t="s">
        <v>41</v>
      </c>
      <c r="V229" t="s">
        <v>42</v>
      </c>
      <c r="X229" t="s">
        <v>74</v>
      </c>
      <c r="Y229" t="b">
        <v>0</v>
      </c>
      <c r="Z229" t="b">
        <v>0</v>
      </c>
      <c r="AB229" t="s">
        <v>8954</v>
      </c>
      <c r="AC229" s="1">
        <v>41101</v>
      </c>
      <c r="AD229" t="s">
        <v>8955</v>
      </c>
      <c r="AE229" t="s">
        <v>8956</v>
      </c>
      <c r="AF229">
        <v>38604</v>
      </c>
      <c r="AG229">
        <v>45</v>
      </c>
      <c r="AH229">
        <v>300</v>
      </c>
      <c r="AI229" s="2">
        <f>Table__192.168.3.138BEWLPPMetaData[[#This Row],[NetAmount]]-Table__192.168.3.138BEWLPPMetaData[[#This Row],[Paid]]</f>
        <v>5221</v>
      </c>
    </row>
    <row r="230" spans="1:35" hidden="1">
      <c r="A230" t="s">
        <v>8957</v>
      </c>
      <c r="B230" s="1">
        <v>41013</v>
      </c>
      <c r="C230" s="1">
        <v>41058</v>
      </c>
      <c r="D230" t="s">
        <v>8910</v>
      </c>
      <c r="E230">
        <v>5355</v>
      </c>
      <c r="F230">
        <v>857</v>
      </c>
      <c r="G230">
        <v>0</v>
      </c>
      <c r="H230">
        <v>0</v>
      </c>
      <c r="I230">
        <v>256</v>
      </c>
      <c r="J230">
        <v>6212</v>
      </c>
      <c r="K230" t="s">
        <v>2199</v>
      </c>
      <c r="L230" s="1">
        <v>41012</v>
      </c>
      <c r="N230" t="s">
        <v>5127</v>
      </c>
      <c r="O230" t="s">
        <v>2458</v>
      </c>
      <c r="P230" t="s">
        <v>392</v>
      </c>
      <c r="Q230" t="s">
        <v>39</v>
      </c>
      <c r="R230" t="s">
        <v>40</v>
      </c>
      <c r="S230">
        <v>0</v>
      </c>
      <c r="U230" t="s">
        <v>41</v>
      </c>
      <c r="V230" t="s">
        <v>42</v>
      </c>
      <c r="X230" t="s">
        <v>74</v>
      </c>
      <c r="Y230" t="b">
        <v>0</v>
      </c>
      <c r="Z230" t="b">
        <v>0</v>
      </c>
      <c r="AC230" s="1"/>
      <c r="AF230">
        <v>0</v>
      </c>
      <c r="AG230">
        <v>45</v>
      </c>
      <c r="AH230">
        <v>301</v>
      </c>
      <c r="AI230" s="2">
        <f>Table__192.168.3.138BEWLPPMetaData[[#This Row],[NetAmount]]-Table__192.168.3.138BEWLPPMetaData[[#This Row],[Paid]]</f>
        <v>6212</v>
      </c>
    </row>
    <row r="231" spans="1:35" hidden="1">
      <c r="A231" t="s">
        <v>8958</v>
      </c>
      <c r="B231" s="1">
        <v>41008</v>
      </c>
      <c r="C231" s="1">
        <v>41053</v>
      </c>
      <c r="D231" t="s">
        <v>8522</v>
      </c>
      <c r="E231">
        <v>15250</v>
      </c>
      <c r="F231">
        <v>0</v>
      </c>
      <c r="G231">
        <v>0</v>
      </c>
      <c r="H231">
        <v>0</v>
      </c>
      <c r="I231">
        <v>262</v>
      </c>
      <c r="J231">
        <v>15250</v>
      </c>
      <c r="K231" t="s">
        <v>7458</v>
      </c>
      <c r="L231" s="1">
        <v>41006</v>
      </c>
      <c r="M231" t="s">
        <v>8959</v>
      </c>
      <c r="N231" t="s">
        <v>5127</v>
      </c>
      <c r="O231" t="s">
        <v>2458</v>
      </c>
      <c r="P231" t="s">
        <v>5458</v>
      </c>
      <c r="Q231" t="s">
        <v>39</v>
      </c>
      <c r="R231" t="s">
        <v>40</v>
      </c>
      <c r="S231">
        <v>0</v>
      </c>
      <c r="U231" t="s">
        <v>41</v>
      </c>
      <c r="V231" t="s">
        <v>42</v>
      </c>
      <c r="W231" t="s">
        <v>8951</v>
      </c>
      <c r="X231" t="s">
        <v>74</v>
      </c>
      <c r="Y231" t="b">
        <v>0</v>
      </c>
      <c r="Z231" t="b">
        <v>0</v>
      </c>
      <c r="AA231" t="b">
        <v>0</v>
      </c>
      <c r="AC231" s="1"/>
      <c r="AF231">
        <v>0</v>
      </c>
      <c r="AG231">
        <v>45</v>
      </c>
      <c r="AH231">
        <v>307</v>
      </c>
      <c r="AI231" s="2">
        <f>Table__192.168.3.138BEWLPPMetaData[[#This Row],[NetAmount]]-Table__192.168.3.138BEWLPPMetaData[[#This Row],[Paid]]</f>
        <v>15250</v>
      </c>
    </row>
    <row r="232" spans="1:35" hidden="1">
      <c r="A232" t="s">
        <v>8960</v>
      </c>
      <c r="B232" s="1">
        <v>41026</v>
      </c>
      <c r="C232" s="1">
        <v>41071</v>
      </c>
      <c r="D232" t="s">
        <v>8522</v>
      </c>
      <c r="E232">
        <v>43000</v>
      </c>
      <c r="F232">
        <v>0</v>
      </c>
      <c r="G232">
        <v>0</v>
      </c>
      <c r="H232">
        <v>0</v>
      </c>
      <c r="I232">
        <v>281</v>
      </c>
      <c r="J232">
        <v>43000</v>
      </c>
      <c r="K232" t="s">
        <v>8961</v>
      </c>
      <c r="L232" s="1">
        <v>40987</v>
      </c>
      <c r="M232" t="s">
        <v>8962</v>
      </c>
      <c r="N232" t="s">
        <v>5127</v>
      </c>
      <c r="O232" t="s">
        <v>2458</v>
      </c>
      <c r="P232" t="s">
        <v>5458</v>
      </c>
      <c r="Q232" t="s">
        <v>39</v>
      </c>
      <c r="R232" t="s">
        <v>40</v>
      </c>
      <c r="S232">
        <v>0</v>
      </c>
      <c r="U232" t="s">
        <v>41</v>
      </c>
      <c r="V232" t="s">
        <v>42</v>
      </c>
      <c r="W232" t="s">
        <v>8951</v>
      </c>
      <c r="X232" t="s">
        <v>74</v>
      </c>
      <c r="Y232" t="b">
        <v>0</v>
      </c>
      <c r="Z232" t="b">
        <v>0</v>
      </c>
      <c r="AA232" t="b">
        <v>0</v>
      </c>
      <c r="AC232" s="1"/>
      <c r="AF232">
        <v>0</v>
      </c>
      <c r="AG232">
        <v>45</v>
      </c>
      <c r="AH232">
        <v>326</v>
      </c>
      <c r="AI232" s="2">
        <f>Table__192.168.3.138BEWLPPMetaData[[#This Row],[NetAmount]]-Table__192.168.3.138BEWLPPMetaData[[#This Row],[Paid]]</f>
        <v>43000</v>
      </c>
    </row>
    <row r="233" spans="1:35" hidden="1">
      <c r="A233" t="s">
        <v>8963</v>
      </c>
      <c r="B233" s="1">
        <v>41023</v>
      </c>
      <c r="C233" s="1">
        <v>41068</v>
      </c>
      <c r="D233" t="s">
        <v>8522</v>
      </c>
      <c r="E233">
        <v>34600</v>
      </c>
      <c r="F233">
        <v>0</v>
      </c>
      <c r="G233">
        <v>0</v>
      </c>
      <c r="H233">
        <v>0</v>
      </c>
      <c r="I233">
        <v>245</v>
      </c>
      <c r="J233">
        <v>34600</v>
      </c>
      <c r="K233" t="s">
        <v>8964</v>
      </c>
      <c r="L233" s="1">
        <v>41023</v>
      </c>
      <c r="N233" t="s">
        <v>5127</v>
      </c>
      <c r="O233" t="s">
        <v>2458</v>
      </c>
      <c r="P233" t="s">
        <v>5458</v>
      </c>
      <c r="Q233" t="s">
        <v>39</v>
      </c>
      <c r="R233" t="s">
        <v>40</v>
      </c>
      <c r="S233">
        <v>0</v>
      </c>
      <c r="U233" t="s">
        <v>41</v>
      </c>
      <c r="V233" t="s">
        <v>42</v>
      </c>
      <c r="X233" t="s">
        <v>74</v>
      </c>
      <c r="Y233" t="b">
        <v>0</v>
      </c>
      <c r="Z233" t="b">
        <v>0</v>
      </c>
      <c r="AC233" s="1"/>
      <c r="AF233">
        <v>0</v>
      </c>
      <c r="AG233">
        <v>45</v>
      </c>
      <c r="AH233">
        <v>290</v>
      </c>
      <c r="AI233" s="2">
        <f>Table__192.168.3.138BEWLPPMetaData[[#This Row],[NetAmount]]-Table__192.168.3.138BEWLPPMetaData[[#This Row],[Paid]]</f>
        <v>34600</v>
      </c>
    </row>
    <row r="234" spans="1:35" hidden="1">
      <c r="A234" t="s">
        <v>8965</v>
      </c>
      <c r="B234" s="1">
        <v>41014</v>
      </c>
      <c r="C234" s="1">
        <v>41059</v>
      </c>
      <c r="D234" t="s">
        <v>8522</v>
      </c>
      <c r="E234">
        <v>49450</v>
      </c>
      <c r="F234">
        <v>0</v>
      </c>
      <c r="G234">
        <v>0</v>
      </c>
      <c r="H234">
        <v>0</v>
      </c>
      <c r="I234">
        <v>250</v>
      </c>
      <c r="J234">
        <v>49450</v>
      </c>
      <c r="K234" t="s">
        <v>8966</v>
      </c>
      <c r="L234" s="1">
        <v>41018</v>
      </c>
      <c r="N234" t="s">
        <v>5127</v>
      </c>
      <c r="O234" t="s">
        <v>2458</v>
      </c>
      <c r="P234" t="s">
        <v>5458</v>
      </c>
      <c r="Q234" t="s">
        <v>39</v>
      </c>
      <c r="R234" t="s">
        <v>40</v>
      </c>
      <c r="S234">
        <v>0</v>
      </c>
      <c r="U234" t="s">
        <v>41</v>
      </c>
      <c r="V234" t="s">
        <v>42</v>
      </c>
      <c r="X234" t="s">
        <v>74</v>
      </c>
      <c r="Y234" t="b">
        <v>0</v>
      </c>
      <c r="Z234" t="b">
        <v>0</v>
      </c>
      <c r="AC234" s="1"/>
      <c r="AF234">
        <v>0</v>
      </c>
      <c r="AG234">
        <v>45</v>
      </c>
      <c r="AH234">
        <v>295</v>
      </c>
      <c r="AI234" s="2">
        <f>Table__192.168.3.138BEWLPPMetaData[[#This Row],[NetAmount]]-Table__192.168.3.138BEWLPPMetaData[[#This Row],[Paid]]</f>
        <v>49450</v>
      </c>
    </row>
    <row r="235" spans="1:35" hidden="1">
      <c r="A235" t="s">
        <v>8967</v>
      </c>
      <c r="B235" s="1">
        <v>41018</v>
      </c>
      <c r="C235" s="1">
        <v>41063</v>
      </c>
      <c r="D235" t="s">
        <v>8721</v>
      </c>
      <c r="E235">
        <v>48000</v>
      </c>
      <c r="F235">
        <v>7680</v>
      </c>
      <c r="G235">
        <v>0</v>
      </c>
      <c r="H235">
        <v>0</v>
      </c>
      <c r="I235">
        <v>251</v>
      </c>
      <c r="J235">
        <v>55680</v>
      </c>
      <c r="K235" t="s">
        <v>8968</v>
      </c>
      <c r="L235" s="1">
        <v>41017</v>
      </c>
      <c r="N235" t="s">
        <v>5127</v>
      </c>
      <c r="O235" t="s">
        <v>2458</v>
      </c>
      <c r="P235" t="s">
        <v>8723</v>
      </c>
      <c r="Q235" t="s">
        <v>39</v>
      </c>
      <c r="R235" t="s">
        <v>40</v>
      </c>
      <c r="S235">
        <v>0</v>
      </c>
      <c r="U235" t="s">
        <v>41</v>
      </c>
      <c r="V235" t="s">
        <v>42</v>
      </c>
      <c r="X235" t="s">
        <v>74</v>
      </c>
      <c r="Y235" t="b">
        <v>0</v>
      </c>
      <c r="Z235" t="b">
        <v>0</v>
      </c>
      <c r="AC235" s="1"/>
      <c r="AF235">
        <v>0</v>
      </c>
      <c r="AG235">
        <v>45</v>
      </c>
      <c r="AH235">
        <v>296</v>
      </c>
      <c r="AI235" s="2">
        <f>Table__192.168.3.138BEWLPPMetaData[[#This Row],[NetAmount]]-Table__192.168.3.138BEWLPPMetaData[[#This Row],[Paid]]</f>
        <v>55680</v>
      </c>
    </row>
    <row r="236" spans="1:35" hidden="1">
      <c r="A236" t="s">
        <v>8969</v>
      </c>
      <c r="B236" s="1">
        <v>41008</v>
      </c>
      <c r="C236" s="1">
        <v>41053</v>
      </c>
      <c r="D236" t="s">
        <v>8970</v>
      </c>
      <c r="E236">
        <v>134292</v>
      </c>
      <c r="F236">
        <v>21488</v>
      </c>
      <c r="G236">
        <v>0</v>
      </c>
      <c r="H236">
        <v>0</v>
      </c>
      <c r="I236">
        <v>265</v>
      </c>
      <c r="J236">
        <v>155780</v>
      </c>
      <c r="K236" t="s">
        <v>7972</v>
      </c>
      <c r="L236" s="1">
        <v>41003</v>
      </c>
      <c r="N236" t="s">
        <v>5127</v>
      </c>
      <c r="O236" t="s">
        <v>2458</v>
      </c>
      <c r="P236" t="s">
        <v>8971</v>
      </c>
      <c r="Q236" t="s">
        <v>39</v>
      </c>
      <c r="R236" t="s">
        <v>40</v>
      </c>
      <c r="S236">
        <v>0</v>
      </c>
      <c r="U236" t="s">
        <v>41</v>
      </c>
      <c r="V236" t="s">
        <v>42</v>
      </c>
      <c r="X236" t="s">
        <v>74</v>
      </c>
      <c r="Y236" t="b">
        <v>0</v>
      </c>
      <c r="Z236" t="b">
        <v>0</v>
      </c>
      <c r="AC236" s="1"/>
      <c r="AF236">
        <v>0</v>
      </c>
      <c r="AG236">
        <v>45</v>
      </c>
      <c r="AH236">
        <v>310</v>
      </c>
      <c r="AI236" s="2">
        <f>Table__192.168.3.138BEWLPPMetaData[[#This Row],[NetAmount]]-Table__192.168.3.138BEWLPPMetaData[[#This Row],[Paid]]</f>
        <v>155780</v>
      </c>
    </row>
    <row r="237" spans="1:35" hidden="1">
      <c r="A237" t="s">
        <v>8972</v>
      </c>
      <c r="B237" s="1">
        <v>41008</v>
      </c>
      <c r="C237" s="1">
        <v>41053</v>
      </c>
      <c r="D237" t="s">
        <v>8721</v>
      </c>
      <c r="E237">
        <v>72000</v>
      </c>
      <c r="F237">
        <v>11520</v>
      </c>
      <c r="G237">
        <v>0</v>
      </c>
      <c r="H237">
        <v>0</v>
      </c>
      <c r="I237">
        <v>263</v>
      </c>
      <c r="J237">
        <v>83520</v>
      </c>
      <c r="K237" t="s">
        <v>8973</v>
      </c>
      <c r="L237" s="1">
        <v>41005</v>
      </c>
      <c r="N237" t="s">
        <v>5127</v>
      </c>
      <c r="O237" t="s">
        <v>2458</v>
      </c>
      <c r="P237" t="s">
        <v>8723</v>
      </c>
      <c r="Q237" t="s">
        <v>39</v>
      </c>
      <c r="R237" t="s">
        <v>40</v>
      </c>
      <c r="S237">
        <v>0</v>
      </c>
      <c r="U237" t="s">
        <v>41</v>
      </c>
      <c r="V237" t="s">
        <v>42</v>
      </c>
      <c r="X237" t="s">
        <v>74</v>
      </c>
      <c r="Y237" t="b">
        <v>0</v>
      </c>
      <c r="Z237" t="b">
        <v>0</v>
      </c>
      <c r="AC237" s="1"/>
      <c r="AF237">
        <v>0</v>
      </c>
      <c r="AG237">
        <v>45</v>
      </c>
      <c r="AH237">
        <v>308</v>
      </c>
      <c r="AI237" s="2">
        <f>Table__192.168.3.138BEWLPPMetaData[[#This Row],[NetAmount]]-Table__192.168.3.138BEWLPPMetaData[[#This Row],[Paid]]</f>
        <v>83520</v>
      </c>
    </row>
    <row r="238" spans="1:35" hidden="1">
      <c r="A238" t="s">
        <v>8974</v>
      </c>
      <c r="B238" s="1">
        <v>41008</v>
      </c>
      <c r="C238" s="1">
        <v>41053</v>
      </c>
      <c r="D238" t="s">
        <v>8721</v>
      </c>
      <c r="E238">
        <v>30000</v>
      </c>
      <c r="F238">
        <v>4800</v>
      </c>
      <c r="G238">
        <v>0</v>
      </c>
      <c r="H238">
        <v>0</v>
      </c>
      <c r="I238">
        <v>265</v>
      </c>
      <c r="J238">
        <v>34800</v>
      </c>
      <c r="K238" t="s">
        <v>8975</v>
      </c>
      <c r="L238" s="1">
        <v>41003</v>
      </c>
      <c r="N238" t="s">
        <v>5127</v>
      </c>
      <c r="O238" t="s">
        <v>2458</v>
      </c>
      <c r="P238" t="s">
        <v>8723</v>
      </c>
      <c r="Q238" t="s">
        <v>39</v>
      </c>
      <c r="R238" t="s">
        <v>40</v>
      </c>
      <c r="S238">
        <v>0</v>
      </c>
      <c r="U238" t="s">
        <v>41</v>
      </c>
      <c r="V238" t="s">
        <v>42</v>
      </c>
      <c r="X238" t="s">
        <v>74</v>
      </c>
      <c r="Y238" t="b">
        <v>0</v>
      </c>
      <c r="Z238" t="b">
        <v>0</v>
      </c>
      <c r="AC238" s="1"/>
      <c r="AF238">
        <v>0</v>
      </c>
      <c r="AG238">
        <v>45</v>
      </c>
      <c r="AH238">
        <v>310</v>
      </c>
      <c r="AI238" s="2">
        <f>Table__192.168.3.138BEWLPPMetaData[[#This Row],[NetAmount]]-Table__192.168.3.138BEWLPPMetaData[[#This Row],[Paid]]</f>
        <v>34800</v>
      </c>
    </row>
    <row r="239" spans="1:35" hidden="1">
      <c r="A239" t="s">
        <v>8976</v>
      </c>
      <c r="B239" s="1">
        <v>41008</v>
      </c>
      <c r="C239" s="1">
        <v>41053</v>
      </c>
      <c r="D239" t="s">
        <v>8869</v>
      </c>
      <c r="E239">
        <v>28362</v>
      </c>
      <c r="F239">
        <v>4538</v>
      </c>
      <c r="G239">
        <v>0</v>
      </c>
      <c r="H239">
        <v>0</v>
      </c>
      <c r="I239">
        <v>267</v>
      </c>
      <c r="J239">
        <v>32900</v>
      </c>
      <c r="K239" t="s">
        <v>8977</v>
      </c>
      <c r="L239" s="1">
        <v>41001</v>
      </c>
      <c r="N239" t="s">
        <v>5127</v>
      </c>
      <c r="O239" t="s">
        <v>2458</v>
      </c>
      <c r="P239" t="s">
        <v>8870</v>
      </c>
      <c r="Q239" t="s">
        <v>39</v>
      </c>
      <c r="R239" t="s">
        <v>40</v>
      </c>
      <c r="S239">
        <v>0</v>
      </c>
      <c r="U239" t="s">
        <v>41</v>
      </c>
      <c r="V239" t="s">
        <v>42</v>
      </c>
      <c r="X239" t="s">
        <v>74</v>
      </c>
      <c r="Y239" t="b">
        <v>0</v>
      </c>
      <c r="Z239" t="b">
        <v>0</v>
      </c>
      <c r="AC239" s="1"/>
      <c r="AF239">
        <v>0</v>
      </c>
      <c r="AG239">
        <v>45</v>
      </c>
      <c r="AH239">
        <v>312</v>
      </c>
      <c r="AI239" s="2">
        <f>Table__192.168.3.138BEWLPPMetaData[[#This Row],[NetAmount]]-Table__192.168.3.138BEWLPPMetaData[[#This Row],[Paid]]</f>
        <v>32900</v>
      </c>
    </row>
    <row r="240" spans="1:35" hidden="1">
      <c r="A240" t="s">
        <v>8978</v>
      </c>
      <c r="B240" s="1">
        <v>41023</v>
      </c>
      <c r="C240" s="1">
        <v>41068</v>
      </c>
      <c r="D240" t="s">
        <v>8910</v>
      </c>
      <c r="E240">
        <v>36810</v>
      </c>
      <c r="F240">
        <v>5890</v>
      </c>
      <c r="G240">
        <v>0</v>
      </c>
      <c r="H240">
        <v>0</v>
      </c>
      <c r="I240">
        <v>250</v>
      </c>
      <c r="J240">
        <v>42700</v>
      </c>
      <c r="K240" t="s">
        <v>8979</v>
      </c>
      <c r="L240" s="1">
        <v>41018</v>
      </c>
      <c r="N240" t="s">
        <v>5127</v>
      </c>
      <c r="O240" t="s">
        <v>2458</v>
      </c>
      <c r="P240" t="s">
        <v>392</v>
      </c>
      <c r="Q240" t="s">
        <v>39</v>
      </c>
      <c r="R240" t="s">
        <v>40</v>
      </c>
      <c r="S240">
        <v>0</v>
      </c>
      <c r="U240" t="s">
        <v>41</v>
      </c>
      <c r="V240" t="s">
        <v>42</v>
      </c>
      <c r="X240" t="s">
        <v>74</v>
      </c>
      <c r="Y240" t="b">
        <v>0</v>
      </c>
      <c r="Z240" t="b">
        <v>0</v>
      </c>
      <c r="AC240" s="1"/>
      <c r="AF240">
        <v>0</v>
      </c>
      <c r="AG240">
        <v>45</v>
      </c>
      <c r="AH240">
        <v>295</v>
      </c>
      <c r="AI240" s="2">
        <f>Table__192.168.3.138BEWLPPMetaData[[#This Row],[NetAmount]]-Table__192.168.3.138BEWLPPMetaData[[#This Row],[Paid]]</f>
        <v>42700</v>
      </c>
    </row>
    <row r="241" spans="1:35" hidden="1">
      <c r="A241" t="s">
        <v>8980</v>
      </c>
      <c r="B241" s="1">
        <v>41029</v>
      </c>
      <c r="C241" s="1">
        <v>41074</v>
      </c>
      <c r="D241" t="s">
        <v>8582</v>
      </c>
      <c r="E241">
        <v>55550</v>
      </c>
      <c r="F241">
        <v>8888</v>
      </c>
      <c r="G241">
        <v>0</v>
      </c>
      <c r="H241">
        <v>0</v>
      </c>
      <c r="I241">
        <v>253</v>
      </c>
      <c r="J241">
        <v>64438</v>
      </c>
      <c r="L241" s="1">
        <v>41015</v>
      </c>
      <c r="N241" t="s">
        <v>5127</v>
      </c>
      <c r="O241" t="s">
        <v>2458</v>
      </c>
      <c r="P241" t="s">
        <v>8583</v>
      </c>
      <c r="Q241" t="s">
        <v>39</v>
      </c>
      <c r="R241" t="s">
        <v>40</v>
      </c>
      <c r="S241">
        <v>0</v>
      </c>
      <c r="U241" t="s">
        <v>41</v>
      </c>
      <c r="V241" t="s">
        <v>42</v>
      </c>
      <c r="X241" t="s">
        <v>74</v>
      </c>
      <c r="Y241" t="b">
        <v>0</v>
      </c>
      <c r="Z241" t="b">
        <v>0</v>
      </c>
      <c r="AC241" s="1"/>
      <c r="AF241">
        <v>0</v>
      </c>
      <c r="AG241">
        <v>45</v>
      </c>
      <c r="AH241">
        <v>298</v>
      </c>
      <c r="AI241" s="2">
        <f>Table__192.168.3.138BEWLPPMetaData[[#This Row],[NetAmount]]-Table__192.168.3.138BEWLPPMetaData[[#This Row],[Paid]]</f>
        <v>64438</v>
      </c>
    </row>
    <row r="242" spans="1:35" hidden="1">
      <c r="A242" t="s">
        <v>8981</v>
      </c>
      <c r="B242" s="1">
        <v>41026</v>
      </c>
      <c r="C242" s="1">
        <v>41071</v>
      </c>
      <c r="D242" t="s">
        <v>8794</v>
      </c>
      <c r="E242">
        <v>52000</v>
      </c>
      <c r="F242">
        <v>8320</v>
      </c>
      <c r="G242">
        <v>0</v>
      </c>
      <c r="H242">
        <v>0</v>
      </c>
      <c r="I242">
        <v>242</v>
      </c>
      <c r="J242">
        <v>60320</v>
      </c>
      <c r="L242" s="1">
        <v>41026</v>
      </c>
      <c r="N242" t="s">
        <v>5127</v>
      </c>
      <c r="O242" t="s">
        <v>2458</v>
      </c>
      <c r="P242" t="s">
        <v>8795</v>
      </c>
      <c r="Q242" t="s">
        <v>39</v>
      </c>
      <c r="R242" t="s">
        <v>40</v>
      </c>
      <c r="S242">
        <v>0</v>
      </c>
      <c r="U242" t="s">
        <v>41</v>
      </c>
      <c r="V242" t="s">
        <v>42</v>
      </c>
      <c r="X242" t="s">
        <v>74</v>
      </c>
      <c r="Y242" t="b">
        <v>0</v>
      </c>
      <c r="Z242" t="b">
        <v>0</v>
      </c>
      <c r="AC242" s="1"/>
      <c r="AF242">
        <v>0</v>
      </c>
      <c r="AG242">
        <v>45</v>
      </c>
      <c r="AH242">
        <v>287</v>
      </c>
      <c r="AI242" s="2">
        <f>Table__192.168.3.138BEWLPPMetaData[[#This Row],[NetAmount]]-Table__192.168.3.138BEWLPPMetaData[[#This Row],[Paid]]</f>
        <v>60320</v>
      </c>
    </row>
    <row r="243" spans="1:35" hidden="1">
      <c r="A243" t="s">
        <v>8982</v>
      </c>
      <c r="B243" s="1">
        <v>41026</v>
      </c>
      <c r="C243" s="1">
        <v>41071</v>
      </c>
      <c r="D243" t="s">
        <v>8794</v>
      </c>
      <c r="E243">
        <v>124700</v>
      </c>
      <c r="F243">
        <v>19952</v>
      </c>
      <c r="G243">
        <v>0</v>
      </c>
      <c r="H243">
        <v>0</v>
      </c>
      <c r="I243">
        <v>242</v>
      </c>
      <c r="J243">
        <v>144652</v>
      </c>
      <c r="L243" s="1">
        <v>41026</v>
      </c>
      <c r="N243" t="s">
        <v>5127</v>
      </c>
      <c r="O243" t="s">
        <v>2458</v>
      </c>
      <c r="P243" t="s">
        <v>8795</v>
      </c>
      <c r="Q243" t="s">
        <v>39</v>
      </c>
      <c r="R243" t="s">
        <v>40</v>
      </c>
      <c r="S243">
        <v>0</v>
      </c>
      <c r="U243" t="s">
        <v>41</v>
      </c>
      <c r="V243" t="s">
        <v>42</v>
      </c>
      <c r="X243" t="s">
        <v>74</v>
      </c>
      <c r="Y243" t="b">
        <v>0</v>
      </c>
      <c r="Z243" t="b">
        <v>0</v>
      </c>
      <c r="AC243" s="1"/>
      <c r="AF243">
        <v>0</v>
      </c>
      <c r="AG243">
        <v>45</v>
      </c>
      <c r="AH243">
        <v>287</v>
      </c>
      <c r="AI243" s="2">
        <f>Table__192.168.3.138BEWLPPMetaData[[#This Row],[NetAmount]]-Table__192.168.3.138BEWLPPMetaData[[#This Row],[Paid]]</f>
        <v>144652</v>
      </c>
    </row>
    <row r="244" spans="1:35" hidden="1">
      <c r="A244" t="s">
        <v>8983</v>
      </c>
      <c r="B244" s="1">
        <v>41023</v>
      </c>
      <c r="C244" s="1">
        <v>41068</v>
      </c>
      <c r="D244" t="s">
        <v>8794</v>
      </c>
      <c r="E244">
        <v>262600</v>
      </c>
      <c r="F244">
        <v>42016</v>
      </c>
      <c r="G244">
        <v>0</v>
      </c>
      <c r="H244">
        <v>0</v>
      </c>
      <c r="I244">
        <v>242</v>
      </c>
      <c r="J244">
        <v>304616</v>
      </c>
      <c r="L244" s="1">
        <v>41026</v>
      </c>
      <c r="N244" t="s">
        <v>5127</v>
      </c>
      <c r="O244" t="s">
        <v>2458</v>
      </c>
      <c r="P244" t="s">
        <v>8795</v>
      </c>
      <c r="Q244" t="s">
        <v>39</v>
      </c>
      <c r="R244" t="s">
        <v>40</v>
      </c>
      <c r="S244">
        <v>0</v>
      </c>
      <c r="U244" t="s">
        <v>41</v>
      </c>
      <c r="V244" t="s">
        <v>42</v>
      </c>
      <c r="X244" t="s">
        <v>74</v>
      </c>
      <c r="Y244" t="b">
        <v>0</v>
      </c>
      <c r="Z244" t="b">
        <v>0</v>
      </c>
      <c r="AC244" s="1"/>
      <c r="AF244">
        <v>0</v>
      </c>
      <c r="AG244">
        <v>45</v>
      </c>
      <c r="AH244">
        <v>287</v>
      </c>
      <c r="AI244" s="2">
        <f>Table__192.168.3.138BEWLPPMetaData[[#This Row],[NetAmount]]-Table__192.168.3.138BEWLPPMetaData[[#This Row],[Paid]]</f>
        <v>304616</v>
      </c>
    </row>
    <row r="245" spans="1:35" hidden="1">
      <c r="A245" t="s">
        <v>8984</v>
      </c>
      <c r="B245" s="1">
        <v>41026</v>
      </c>
      <c r="C245" s="1">
        <v>41071</v>
      </c>
      <c r="D245" t="s">
        <v>8794</v>
      </c>
      <c r="E245">
        <v>181300</v>
      </c>
      <c r="F245">
        <v>29008</v>
      </c>
      <c r="G245">
        <v>0</v>
      </c>
      <c r="H245">
        <v>0</v>
      </c>
      <c r="I245">
        <v>242</v>
      </c>
      <c r="J245">
        <v>210308</v>
      </c>
      <c r="L245" s="1">
        <v>41026</v>
      </c>
      <c r="N245" t="s">
        <v>5127</v>
      </c>
      <c r="O245" t="s">
        <v>2458</v>
      </c>
      <c r="P245" t="s">
        <v>8795</v>
      </c>
      <c r="Q245" t="s">
        <v>39</v>
      </c>
      <c r="R245" t="s">
        <v>40</v>
      </c>
      <c r="S245">
        <v>0</v>
      </c>
      <c r="U245" t="s">
        <v>41</v>
      </c>
      <c r="V245" t="s">
        <v>42</v>
      </c>
      <c r="X245" t="s">
        <v>74</v>
      </c>
      <c r="Y245" t="b">
        <v>0</v>
      </c>
      <c r="Z245" t="b">
        <v>0</v>
      </c>
      <c r="AC245" s="1"/>
      <c r="AF245">
        <v>0</v>
      </c>
      <c r="AG245">
        <v>45</v>
      </c>
      <c r="AH245">
        <v>287</v>
      </c>
      <c r="AI245" s="2">
        <f>Table__192.168.3.138BEWLPPMetaData[[#This Row],[NetAmount]]-Table__192.168.3.138BEWLPPMetaData[[#This Row],[Paid]]</f>
        <v>210308</v>
      </c>
    </row>
    <row r="246" spans="1:35" hidden="1">
      <c r="A246" t="s">
        <v>8985</v>
      </c>
      <c r="B246" s="1">
        <v>41026</v>
      </c>
      <c r="C246" s="1">
        <v>41071</v>
      </c>
      <c r="D246" t="s">
        <v>8794</v>
      </c>
      <c r="E246">
        <v>70200</v>
      </c>
      <c r="F246">
        <v>11232</v>
      </c>
      <c r="G246">
        <v>0</v>
      </c>
      <c r="H246">
        <v>0</v>
      </c>
      <c r="I246">
        <v>242</v>
      </c>
      <c r="J246">
        <v>81432</v>
      </c>
      <c r="L246" s="1">
        <v>41026</v>
      </c>
      <c r="N246" t="s">
        <v>5127</v>
      </c>
      <c r="O246" t="s">
        <v>2458</v>
      </c>
      <c r="P246" t="s">
        <v>8795</v>
      </c>
      <c r="Q246" t="s">
        <v>39</v>
      </c>
      <c r="R246" t="s">
        <v>40</v>
      </c>
      <c r="S246">
        <v>0</v>
      </c>
      <c r="U246" t="s">
        <v>41</v>
      </c>
      <c r="V246" t="s">
        <v>42</v>
      </c>
      <c r="X246" t="s">
        <v>74</v>
      </c>
      <c r="Y246" t="b">
        <v>0</v>
      </c>
      <c r="Z246" t="b">
        <v>0</v>
      </c>
      <c r="AC246" s="1"/>
      <c r="AF246">
        <v>0</v>
      </c>
      <c r="AG246">
        <v>45</v>
      </c>
      <c r="AH246">
        <v>287</v>
      </c>
      <c r="AI246" s="2">
        <f>Table__192.168.3.138BEWLPPMetaData[[#This Row],[NetAmount]]-Table__192.168.3.138BEWLPPMetaData[[#This Row],[Paid]]</f>
        <v>81432</v>
      </c>
    </row>
    <row r="247" spans="1:35" hidden="1">
      <c r="A247" t="s">
        <v>8986</v>
      </c>
      <c r="B247" s="1">
        <v>41006</v>
      </c>
      <c r="C247" s="1">
        <v>41051</v>
      </c>
      <c r="D247" t="s">
        <v>8794</v>
      </c>
      <c r="E247">
        <v>175400</v>
      </c>
      <c r="F247">
        <v>28064</v>
      </c>
      <c r="G247">
        <v>0</v>
      </c>
      <c r="H247">
        <v>0</v>
      </c>
      <c r="I247">
        <v>258</v>
      </c>
      <c r="J247">
        <v>203464</v>
      </c>
      <c r="L247" s="1">
        <v>41010</v>
      </c>
      <c r="N247" t="s">
        <v>5127</v>
      </c>
      <c r="O247" t="s">
        <v>2458</v>
      </c>
      <c r="P247" t="s">
        <v>8795</v>
      </c>
      <c r="Q247" t="s">
        <v>39</v>
      </c>
      <c r="R247" t="s">
        <v>40</v>
      </c>
      <c r="S247">
        <v>0</v>
      </c>
      <c r="U247" t="s">
        <v>41</v>
      </c>
      <c r="V247" t="s">
        <v>42</v>
      </c>
      <c r="X247" t="s">
        <v>74</v>
      </c>
      <c r="Y247" t="b">
        <v>0</v>
      </c>
      <c r="Z247" t="b">
        <v>0</v>
      </c>
      <c r="AC247" s="1"/>
      <c r="AF247">
        <v>0</v>
      </c>
      <c r="AG247">
        <v>45</v>
      </c>
      <c r="AH247">
        <v>303</v>
      </c>
      <c r="AI247" s="2">
        <f>Table__192.168.3.138BEWLPPMetaData[[#This Row],[NetAmount]]-Table__192.168.3.138BEWLPPMetaData[[#This Row],[Paid]]</f>
        <v>203464</v>
      </c>
    </row>
    <row r="248" spans="1:35" hidden="1">
      <c r="A248" t="s">
        <v>8987</v>
      </c>
      <c r="B248" s="1">
        <v>40999</v>
      </c>
      <c r="C248" s="1">
        <v>41044</v>
      </c>
      <c r="D248" t="s">
        <v>8794</v>
      </c>
      <c r="E248">
        <v>90000</v>
      </c>
      <c r="F248">
        <v>14400</v>
      </c>
      <c r="G248">
        <v>0</v>
      </c>
      <c r="H248">
        <v>0</v>
      </c>
      <c r="I248">
        <v>267</v>
      </c>
      <c r="J248">
        <v>104400</v>
      </c>
      <c r="K248" t="s">
        <v>8988</v>
      </c>
      <c r="L248" s="1">
        <v>41001</v>
      </c>
      <c r="N248" t="s">
        <v>5127</v>
      </c>
      <c r="O248" t="s">
        <v>2458</v>
      </c>
      <c r="P248" t="s">
        <v>8795</v>
      </c>
      <c r="Q248" t="s">
        <v>39</v>
      </c>
      <c r="R248" t="s">
        <v>40</v>
      </c>
      <c r="S248">
        <v>0</v>
      </c>
      <c r="U248" t="s">
        <v>41</v>
      </c>
      <c r="V248" t="s">
        <v>42</v>
      </c>
      <c r="X248" t="s">
        <v>74</v>
      </c>
      <c r="Y248" t="b">
        <v>0</v>
      </c>
      <c r="Z248" t="b">
        <v>0</v>
      </c>
      <c r="AC248" s="1"/>
      <c r="AF248">
        <v>0</v>
      </c>
      <c r="AG248">
        <v>45</v>
      </c>
      <c r="AH248">
        <v>312</v>
      </c>
      <c r="AI248" s="2">
        <f>Table__192.168.3.138BEWLPPMetaData[[#This Row],[NetAmount]]-Table__192.168.3.138BEWLPPMetaData[[#This Row],[Paid]]</f>
        <v>104400</v>
      </c>
    </row>
    <row r="249" spans="1:35" hidden="1">
      <c r="A249" t="s">
        <v>8989</v>
      </c>
      <c r="B249" s="1">
        <v>41029</v>
      </c>
      <c r="C249" s="1">
        <v>41074</v>
      </c>
      <c r="D249" t="s">
        <v>8970</v>
      </c>
      <c r="E249">
        <v>160290</v>
      </c>
      <c r="F249">
        <v>25647</v>
      </c>
      <c r="G249">
        <v>0</v>
      </c>
      <c r="H249">
        <v>0</v>
      </c>
      <c r="I249">
        <v>251</v>
      </c>
      <c r="J249">
        <v>185937</v>
      </c>
      <c r="K249" t="s">
        <v>7907</v>
      </c>
      <c r="L249" s="1">
        <v>41017</v>
      </c>
      <c r="N249" t="s">
        <v>5127</v>
      </c>
      <c r="O249" t="s">
        <v>2458</v>
      </c>
      <c r="P249" t="s">
        <v>8971</v>
      </c>
      <c r="Q249" t="s">
        <v>39</v>
      </c>
      <c r="R249" t="s">
        <v>40</v>
      </c>
      <c r="S249">
        <v>0</v>
      </c>
      <c r="U249" t="s">
        <v>41</v>
      </c>
      <c r="V249" t="s">
        <v>42</v>
      </c>
      <c r="X249" t="s">
        <v>74</v>
      </c>
      <c r="Y249" t="b">
        <v>0</v>
      </c>
      <c r="Z249" t="b">
        <v>0</v>
      </c>
      <c r="AC249" s="1"/>
      <c r="AF249">
        <v>0</v>
      </c>
      <c r="AG249">
        <v>45</v>
      </c>
      <c r="AH249">
        <v>296</v>
      </c>
      <c r="AI249" s="2">
        <f>Table__192.168.3.138BEWLPPMetaData[[#This Row],[NetAmount]]-Table__192.168.3.138BEWLPPMetaData[[#This Row],[Paid]]</f>
        <v>185937</v>
      </c>
    </row>
    <row r="250" spans="1:35" hidden="1">
      <c r="A250" t="s">
        <v>8990</v>
      </c>
      <c r="B250" s="1">
        <v>41038</v>
      </c>
      <c r="C250" s="1">
        <v>41083</v>
      </c>
      <c r="D250" t="s">
        <v>8538</v>
      </c>
      <c r="E250">
        <v>35310</v>
      </c>
      <c r="F250">
        <v>5650</v>
      </c>
      <c r="G250">
        <v>0</v>
      </c>
      <c r="H250">
        <v>0</v>
      </c>
      <c r="I250">
        <v>239</v>
      </c>
      <c r="J250">
        <v>40960</v>
      </c>
      <c r="K250" t="s">
        <v>8991</v>
      </c>
      <c r="L250" s="1">
        <v>41029</v>
      </c>
      <c r="N250" t="s">
        <v>5127</v>
      </c>
      <c r="O250" t="s">
        <v>2458</v>
      </c>
      <c r="P250" t="s">
        <v>310</v>
      </c>
      <c r="Q250" t="s">
        <v>39</v>
      </c>
      <c r="R250" t="s">
        <v>40</v>
      </c>
      <c r="S250">
        <v>0</v>
      </c>
      <c r="U250" t="s">
        <v>41</v>
      </c>
      <c r="V250" t="s">
        <v>42</v>
      </c>
      <c r="X250" t="s">
        <v>74</v>
      </c>
      <c r="Y250" t="b">
        <v>0</v>
      </c>
      <c r="Z250" t="b">
        <v>0</v>
      </c>
      <c r="AB250" t="s">
        <v>8954</v>
      </c>
      <c r="AC250" s="1">
        <v>41101</v>
      </c>
      <c r="AD250" t="s">
        <v>8955</v>
      </c>
      <c r="AE250" t="s">
        <v>8956</v>
      </c>
      <c r="AF250">
        <v>40413</v>
      </c>
      <c r="AG250">
        <v>45</v>
      </c>
      <c r="AH250">
        <v>284</v>
      </c>
      <c r="AI250" s="2">
        <f>Table__192.168.3.138BEWLPPMetaData[[#This Row],[NetAmount]]-Table__192.168.3.138BEWLPPMetaData[[#This Row],[Paid]]</f>
        <v>547</v>
      </c>
    </row>
    <row r="251" spans="1:35" hidden="1">
      <c r="A251" t="s">
        <v>8992</v>
      </c>
      <c r="B251" s="1">
        <v>41047</v>
      </c>
      <c r="C251" s="1">
        <v>41092</v>
      </c>
      <c r="D251" t="s">
        <v>8993</v>
      </c>
      <c r="E251">
        <v>538830</v>
      </c>
      <c r="F251">
        <v>86213</v>
      </c>
      <c r="G251">
        <v>0</v>
      </c>
      <c r="H251">
        <v>0</v>
      </c>
      <c r="I251">
        <v>225</v>
      </c>
      <c r="J251">
        <v>625043</v>
      </c>
      <c r="K251" t="s">
        <v>5600</v>
      </c>
      <c r="L251" s="1">
        <v>41043</v>
      </c>
      <c r="N251" t="s">
        <v>5127</v>
      </c>
      <c r="O251" t="s">
        <v>2458</v>
      </c>
      <c r="P251" t="s">
        <v>365</v>
      </c>
      <c r="Q251" t="s">
        <v>39</v>
      </c>
      <c r="R251" t="s">
        <v>40</v>
      </c>
      <c r="S251">
        <v>0</v>
      </c>
      <c r="U251" t="s">
        <v>41</v>
      </c>
      <c r="V251" t="s">
        <v>42</v>
      </c>
      <c r="X251" t="s">
        <v>74</v>
      </c>
      <c r="Y251" t="b">
        <v>0</v>
      </c>
      <c r="Z251" t="b">
        <v>0</v>
      </c>
      <c r="AB251" t="s">
        <v>8994</v>
      </c>
      <c r="AC251" s="1">
        <v>41218</v>
      </c>
      <c r="AD251" t="s">
        <v>8995</v>
      </c>
      <c r="AE251" t="s">
        <v>8996</v>
      </c>
      <c r="AF251">
        <v>442275</v>
      </c>
      <c r="AG251">
        <v>45</v>
      </c>
      <c r="AH251">
        <v>270</v>
      </c>
      <c r="AI251" s="2">
        <f>Table__192.168.3.138BEWLPPMetaData[[#This Row],[NetAmount]]-Table__192.168.3.138BEWLPPMetaData[[#This Row],[Paid]]</f>
        <v>182768</v>
      </c>
    </row>
    <row r="252" spans="1:35" hidden="1">
      <c r="A252" t="s">
        <v>8997</v>
      </c>
      <c r="B252" s="1">
        <v>41050</v>
      </c>
      <c r="C252" s="1">
        <v>41095</v>
      </c>
      <c r="D252" t="s">
        <v>8522</v>
      </c>
      <c r="E252">
        <v>10750</v>
      </c>
      <c r="F252">
        <v>0</v>
      </c>
      <c r="G252">
        <v>0</v>
      </c>
      <c r="H252">
        <v>0</v>
      </c>
      <c r="I252">
        <v>259</v>
      </c>
      <c r="J252">
        <v>10750</v>
      </c>
      <c r="K252" t="s">
        <v>5796</v>
      </c>
      <c r="L252" s="1">
        <v>41009</v>
      </c>
      <c r="N252" t="s">
        <v>5127</v>
      </c>
      <c r="O252" t="s">
        <v>2458</v>
      </c>
      <c r="P252" t="s">
        <v>5458</v>
      </c>
      <c r="Q252" t="s">
        <v>39</v>
      </c>
      <c r="R252" t="s">
        <v>40</v>
      </c>
      <c r="S252">
        <v>0</v>
      </c>
      <c r="U252" t="s">
        <v>41</v>
      </c>
      <c r="V252" t="s">
        <v>42</v>
      </c>
      <c r="X252" t="s">
        <v>74</v>
      </c>
      <c r="Y252" t="b">
        <v>0</v>
      </c>
      <c r="Z252" t="b">
        <v>0</v>
      </c>
      <c r="AC252" s="1"/>
      <c r="AF252">
        <v>0</v>
      </c>
      <c r="AG252">
        <v>45</v>
      </c>
      <c r="AH252">
        <v>304</v>
      </c>
      <c r="AI252" s="2">
        <f>Table__192.168.3.138BEWLPPMetaData[[#This Row],[NetAmount]]-Table__192.168.3.138BEWLPPMetaData[[#This Row],[Paid]]</f>
        <v>10750</v>
      </c>
    </row>
    <row r="253" spans="1:35" hidden="1">
      <c r="A253" t="s">
        <v>8998</v>
      </c>
      <c r="B253" s="1">
        <v>41047</v>
      </c>
      <c r="C253" s="1">
        <v>41092</v>
      </c>
      <c r="D253" t="s">
        <v>8574</v>
      </c>
      <c r="E253">
        <v>42238</v>
      </c>
      <c r="F253">
        <v>6758</v>
      </c>
      <c r="G253">
        <v>0</v>
      </c>
      <c r="H253">
        <v>0</v>
      </c>
      <c r="I253">
        <v>231</v>
      </c>
      <c r="J253">
        <v>48996</v>
      </c>
      <c r="K253" t="s">
        <v>8999</v>
      </c>
      <c r="L253" s="1">
        <v>41037</v>
      </c>
      <c r="N253" t="s">
        <v>5127</v>
      </c>
      <c r="O253" t="s">
        <v>2458</v>
      </c>
      <c r="P253" t="s">
        <v>344</v>
      </c>
      <c r="Q253" t="s">
        <v>39</v>
      </c>
      <c r="R253" t="s">
        <v>40</v>
      </c>
      <c r="S253">
        <v>0</v>
      </c>
      <c r="U253" t="s">
        <v>41</v>
      </c>
      <c r="V253" t="s">
        <v>42</v>
      </c>
      <c r="X253" t="s">
        <v>74</v>
      </c>
      <c r="Y253" t="b">
        <v>0</v>
      </c>
      <c r="Z253" t="b">
        <v>0</v>
      </c>
      <c r="AC253" s="1"/>
      <c r="AF253">
        <v>0</v>
      </c>
      <c r="AG253">
        <v>45</v>
      </c>
      <c r="AH253">
        <v>276</v>
      </c>
      <c r="AI253" s="2">
        <f>Table__192.168.3.138BEWLPPMetaData[[#This Row],[NetAmount]]-Table__192.168.3.138BEWLPPMetaData[[#This Row],[Paid]]</f>
        <v>48996</v>
      </c>
    </row>
    <row r="254" spans="1:35" hidden="1">
      <c r="A254" t="s">
        <v>9000</v>
      </c>
      <c r="B254" s="1">
        <v>41038</v>
      </c>
      <c r="C254" s="1">
        <v>41083</v>
      </c>
      <c r="D254" t="s">
        <v>8869</v>
      </c>
      <c r="E254">
        <v>83318</v>
      </c>
      <c r="F254">
        <v>13331</v>
      </c>
      <c r="G254">
        <v>0</v>
      </c>
      <c r="H254">
        <v>0</v>
      </c>
      <c r="I254">
        <v>220</v>
      </c>
      <c r="J254">
        <v>96649</v>
      </c>
      <c r="K254" t="s">
        <v>9001</v>
      </c>
      <c r="L254" s="1">
        <v>41048</v>
      </c>
      <c r="N254" t="s">
        <v>5127</v>
      </c>
      <c r="O254" t="s">
        <v>2458</v>
      </c>
      <c r="P254" t="s">
        <v>8870</v>
      </c>
      <c r="Q254" t="s">
        <v>39</v>
      </c>
      <c r="R254" t="s">
        <v>40</v>
      </c>
      <c r="S254">
        <v>0</v>
      </c>
      <c r="U254" t="s">
        <v>41</v>
      </c>
      <c r="V254" t="s">
        <v>42</v>
      </c>
      <c r="X254" t="s">
        <v>74</v>
      </c>
      <c r="Y254" t="b">
        <v>0</v>
      </c>
      <c r="Z254" t="b">
        <v>0</v>
      </c>
      <c r="AC254" s="1"/>
      <c r="AF254">
        <v>0</v>
      </c>
      <c r="AG254">
        <v>45</v>
      </c>
      <c r="AH254">
        <v>265</v>
      </c>
      <c r="AI254" s="2">
        <f>Table__192.168.3.138BEWLPPMetaData[[#This Row],[NetAmount]]-Table__192.168.3.138BEWLPPMetaData[[#This Row],[Paid]]</f>
        <v>96649</v>
      </c>
    </row>
    <row r="255" spans="1:35" hidden="1">
      <c r="A255" t="s">
        <v>9002</v>
      </c>
      <c r="B255" s="1">
        <v>41042</v>
      </c>
      <c r="C255" s="1">
        <v>41087</v>
      </c>
      <c r="D255" t="s">
        <v>9003</v>
      </c>
      <c r="E255">
        <v>6200</v>
      </c>
      <c r="F255">
        <v>0</v>
      </c>
      <c r="G255">
        <v>0</v>
      </c>
      <c r="H255">
        <v>0</v>
      </c>
      <c r="I255">
        <v>226</v>
      </c>
      <c r="J255">
        <v>6200</v>
      </c>
      <c r="K255" t="s">
        <v>5794</v>
      </c>
      <c r="L255" s="1">
        <v>41042</v>
      </c>
      <c r="M255" t="s">
        <v>9004</v>
      </c>
      <c r="N255" t="s">
        <v>5127</v>
      </c>
      <c r="O255" t="s">
        <v>2458</v>
      </c>
      <c r="P255" t="s">
        <v>9005</v>
      </c>
      <c r="Q255" t="s">
        <v>39</v>
      </c>
      <c r="R255" t="s">
        <v>40</v>
      </c>
      <c r="S255">
        <v>0</v>
      </c>
      <c r="U255" t="s">
        <v>41</v>
      </c>
      <c r="V255" t="s">
        <v>42</v>
      </c>
      <c r="W255" t="s">
        <v>9006</v>
      </c>
      <c r="X255" t="s">
        <v>74</v>
      </c>
      <c r="Y255" t="b">
        <v>0</v>
      </c>
      <c r="Z255" t="b">
        <v>0</v>
      </c>
      <c r="AA255" t="b">
        <v>0</v>
      </c>
      <c r="AC255" s="1"/>
      <c r="AF255">
        <v>0</v>
      </c>
      <c r="AG255">
        <v>45</v>
      </c>
      <c r="AH255">
        <v>271</v>
      </c>
      <c r="AI255" s="2">
        <f>Table__192.168.3.138BEWLPPMetaData[[#This Row],[NetAmount]]-Table__192.168.3.138BEWLPPMetaData[[#This Row],[Paid]]</f>
        <v>6200</v>
      </c>
    </row>
    <row r="256" spans="1:35" hidden="1">
      <c r="A256" t="s">
        <v>9007</v>
      </c>
      <c r="B256" s="1">
        <v>41040</v>
      </c>
      <c r="C256" s="1">
        <v>41085</v>
      </c>
      <c r="D256" t="s">
        <v>9003</v>
      </c>
      <c r="E256">
        <v>40020</v>
      </c>
      <c r="F256">
        <v>0</v>
      </c>
      <c r="G256">
        <v>0</v>
      </c>
      <c r="H256">
        <v>0</v>
      </c>
      <c r="I256">
        <v>226</v>
      </c>
      <c r="J256">
        <v>40020</v>
      </c>
      <c r="K256" t="s">
        <v>9008</v>
      </c>
      <c r="L256" s="1">
        <v>41042</v>
      </c>
      <c r="M256" t="s">
        <v>9009</v>
      </c>
      <c r="N256" t="s">
        <v>5127</v>
      </c>
      <c r="O256" t="s">
        <v>2458</v>
      </c>
      <c r="P256" t="s">
        <v>9005</v>
      </c>
      <c r="Q256" t="s">
        <v>39</v>
      </c>
      <c r="R256" t="s">
        <v>40</v>
      </c>
      <c r="S256">
        <v>0</v>
      </c>
      <c r="U256" t="s">
        <v>41</v>
      </c>
      <c r="V256" t="s">
        <v>42</v>
      </c>
      <c r="W256" t="s">
        <v>9006</v>
      </c>
      <c r="X256" t="s">
        <v>74</v>
      </c>
      <c r="Y256" t="b">
        <v>0</v>
      </c>
      <c r="Z256" t="b">
        <v>0</v>
      </c>
      <c r="AA256" t="b">
        <v>0</v>
      </c>
      <c r="AC256" s="1"/>
      <c r="AF256">
        <v>0</v>
      </c>
      <c r="AG256">
        <v>45</v>
      </c>
      <c r="AH256">
        <v>271</v>
      </c>
      <c r="AI256" s="2">
        <f>Table__192.168.3.138BEWLPPMetaData[[#This Row],[NetAmount]]-Table__192.168.3.138BEWLPPMetaData[[#This Row],[Paid]]</f>
        <v>40020</v>
      </c>
    </row>
    <row r="257" spans="1:35" hidden="1">
      <c r="A257" t="s">
        <v>9010</v>
      </c>
      <c r="B257" s="1">
        <v>41040</v>
      </c>
      <c r="C257" s="1">
        <v>41085</v>
      </c>
      <c r="D257" t="s">
        <v>8522</v>
      </c>
      <c r="E257">
        <v>53200</v>
      </c>
      <c r="F257">
        <v>0</v>
      </c>
      <c r="G257">
        <v>0</v>
      </c>
      <c r="H257">
        <v>0</v>
      </c>
      <c r="I257">
        <v>230</v>
      </c>
      <c r="J257">
        <v>53200</v>
      </c>
      <c r="K257" t="s">
        <v>9011</v>
      </c>
      <c r="L257" s="1">
        <v>41038</v>
      </c>
      <c r="N257" t="s">
        <v>5127</v>
      </c>
      <c r="O257" t="s">
        <v>2458</v>
      </c>
      <c r="P257" t="s">
        <v>5458</v>
      </c>
      <c r="Q257" t="s">
        <v>39</v>
      </c>
      <c r="R257" t="s">
        <v>40</v>
      </c>
      <c r="S257">
        <v>0</v>
      </c>
      <c r="U257" t="s">
        <v>41</v>
      </c>
      <c r="V257" t="s">
        <v>42</v>
      </c>
      <c r="X257" t="s">
        <v>74</v>
      </c>
      <c r="Y257" t="b">
        <v>0</v>
      </c>
      <c r="Z257" t="b">
        <v>0</v>
      </c>
      <c r="AC257" s="1"/>
      <c r="AF257">
        <v>0</v>
      </c>
      <c r="AG257">
        <v>45</v>
      </c>
      <c r="AH257">
        <v>275</v>
      </c>
      <c r="AI257" s="2">
        <f>Table__192.168.3.138BEWLPPMetaData[[#This Row],[NetAmount]]-Table__192.168.3.138BEWLPPMetaData[[#This Row],[Paid]]</f>
        <v>53200</v>
      </c>
    </row>
    <row r="258" spans="1:35" hidden="1">
      <c r="A258" t="s">
        <v>9012</v>
      </c>
      <c r="B258" s="1">
        <v>41053</v>
      </c>
      <c r="C258" s="1">
        <v>41098</v>
      </c>
      <c r="D258" t="s">
        <v>8522</v>
      </c>
      <c r="E258">
        <v>60200</v>
      </c>
      <c r="F258">
        <v>0</v>
      </c>
      <c r="G258">
        <v>0</v>
      </c>
      <c r="H258">
        <v>0</v>
      </c>
      <c r="I258">
        <v>218</v>
      </c>
      <c r="J258">
        <v>60200</v>
      </c>
      <c r="K258" t="s">
        <v>9013</v>
      </c>
      <c r="L258" s="1">
        <v>41050</v>
      </c>
      <c r="N258" t="s">
        <v>5127</v>
      </c>
      <c r="O258" t="s">
        <v>2458</v>
      </c>
      <c r="P258" t="s">
        <v>5458</v>
      </c>
      <c r="Q258" t="s">
        <v>39</v>
      </c>
      <c r="R258" t="s">
        <v>40</v>
      </c>
      <c r="S258">
        <v>0</v>
      </c>
      <c r="U258" t="s">
        <v>41</v>
      </c>
      <c r="V258" t="s">
        <v>42</v>
      </c>
      <c r="X258" t="s">
        <v>74</v>
      </c>
      <c r="Y258" t="b">
        <v>0</v>
      </c>
      <c r="Z258" t="b">
        <v>0</v>
      </c>
      <c r="AC258" s="1"/>
      <c r="AF258">
        <v>0</v>
      </c>
      <c r="AG258">
        <v>45</v>
      </c>
      <c r="AH258">
        <v>263</v>
      </c>
      <c r="AI258" s="2">
        <f>Table__192.168.3.138BEWLPPMetaData[[#This Row],[NetAmount]]-Table__192.168.3.138BEWLPPMetaData[[#This Row],[Paid]]</f>
        <v>60200</v>
      </c>
    </row>
    <row r="259" spans="1:35" hidden="1">
      <c r="A259" t="s">
        <v>9014</v>
      </c>
      <c r="B259" s="1">
        <v>41043</v>
      </c>
      <c r="C259" s="1">
        <v>41088</v>
      </c>
      <c r="D259" t="s">
        <v>8970</v>
      </c>
      <c r="E259">
        <v>13084</v>
      </c>
      <c r="F259">
        <v>2094</v>
      </c>
      <c r="G259">
        <v>0</v>
      </c>
      <c r="H259">
        <v>0</v>
      </c>
      <c r="I259">
        <v>228</v>
      </c>
      <c r="J259">
        <v>15178</v>
      </c>
      <c r="K259" t="s">
        <v>7909</v>
      </c>
      <c r="L259" s="1">
        <v>41040</v>
      </c>
      <c r="N259" t="s">
        <v>5127</v>
      </c>
      <c r="O259" t="s">
        <v>2458</v>
      </c>
      <c r="P259" t="s">
        <v>8971</v>
      </c>
      <c r="Q259" t="s">
        <v>39</v>
      </c>
      <c r="R259" t="s">
        <v>40</v>
      </c>
      <c r="S259">
        <v>0</v>
      </c>
      <c r="U259" t="s">
        <v>41</v>
      </c>
      <c r="V259" t="s">
        <v>42</v>
      </c>
      <c r="X259" t="s">
        <v>74</v>
      </c>
      <c r="Y259" t="b">
        <v>0</v>
      </c>
      <c r="Z259" t="b">
        <v>0</v>
      </c>
      <c r="AC259" s="1"/>
      <c r="AF259">
        <v>0</v>
      </c>
      <c r="AG259">
        <v>45</v>
      </c>
      <c r="AH259">
        <v>273</v>
      </c>
      <c r="AI259" s="2">
        <f>Table__192.168.3.138BEWLPPMetaData[[#This Row],[NetAmount]]-Table__192.168.3.138BEWLPPMetaData[[#This Row],[Paid]]</f>
        <v>15178</v>
      </c>
    </row>
    <row r="260" spans="1:35" hidden="1">
      <c r="A260" t="s">
        <v>9015</v>
      </c>
      <c r="B260" s="1">
        <v>41043</v>
      </c>
      <c r="C260" s="1">
        <v>41088</v>
      </c>
      <c r="D260" t="s">
        <v>9016</v>
      </c>
      <c r="E260">
        <v>14211</v>
      </c>
      <c r="F260">
        <v>2274</v>
      </c>
      <c r="G260">
        <v>0</v>
      </c>
      <c r="H260">
        <v>0</v>
      </c>
      <c r="I260">
        <v>228</v>
      </c>
      <c r="J260">
        <v>16485</v>
      </c>
      <c r="K260" t="s">
        <v>7974</v>
      </c>
      <c r="L260" s="1">
        <v>41040</v>
      </c>
      <c r="N260" t="s">
        <v>5127</v>
      </c>
      <c r="O260" t="s">
        <v>2458</v>
      </c>
      <c r="P260" t="s">
        <v>325</v>
      </c>
      <c r="Q260" t="s">
        <v>39</v>
      </c>
      <c r="R260" t="s">
        <v>40</v>
      </c>
      <c r="S260">
        <v>0</v>
      </c>
      <c r="U260" t="s">
        <v>41</v>
      </c>
      <c r="V260" t="s">
        <v>42</v>
      </c>
      <c r="X260" t="s">
        <v>74</v>
      </c>
      <c r="Y260" t="b">
        <v>0</v>
      </c>
      <c r="Z260" t="b">
        <v>0</v>
      </c>
      <c r="AC260" s="1"/>
      <c r="AF260">
        <v>0</v>
      </c>
      <c r="AG260">
        <v>45</v>
      </c>
      <c r="AH260">
        <v>273</v>
      </c>
      <c r="AI260" s="2">
        <f>Table__192.168.3.138BEWLPPMetaData[[#This Row],[NetAmount]]-Table__192.168.3.138BEWLPPMetaData[[#This Row],[Paid]]</f>
        <v>16485</v>
      </c>
    </row>
    <row r="261" spans="1:35" hidden="1">
      <c r="A261" t="s">
        <v>9017</v>
      </c>
      <c r="B261" s="1">
        <v>41040</v>
      </c>
      <c r="C261" s="1">
        <v>41085</v>
      </c>
      <c r="D261" t="s">
        <v>8725</v>
      </c>
      <c r="E261">
        <v>18120</v>
      </c>
      <c r="F261">
        <v>0</v>
      </c>
      <c r="G261">
        <v>0</v>
      </c>
      <c r="H261">
        <v>0</v>
      </c>
      <c r="I261">
        <v>230</v>
      </c>
      <c r="J261">
        <v>18120</v>
      </c>
      <c r="K261" t="s">
        <v>9018</v>
      </c>
      <c r="L261" s="1">
        <v>41038</v>
      </c>
      <c r="M261" t="s">
        <v>9019</v>
      </c>
      <c r="N261" t="s">
        <v>5127</v>
      </c>
      <c r="O261" t="s">
        <v>2458</v>
      </c>
      <c r="P261" t="s">
        <v>8727</v>
      </c>
      <c r="Q261" t="s">
        <v>39</v>
      </c>
      <c r="R261" t="s">
        <v>40</v>
      </c>
      <c r="S261">
        <v>0</v>
      </c>
      <c r="U261" t="s">
        <v>41</v>
      </c>
      <c r="V261" t="s">
        <v>42</v>
      </c>
      <c r="W261" t="s">
        <v>9020</v>
      </c>
      <c r="X261" t="s">
        <v>74</v>
      </c>
      <c r="Y261" t="b">
        <v>0</v>
      </c>
      <c r="Z261" t="b">
        <v>0</v>
      </c>
      <c r="AA261" t="b">
        <v>0</v>
      </c>
      <c r="AC261" s="1"/>
      <c r="AF261">
        <v>0</v>
      </c>
      <c r="AG261">
        <v>45</v>
      </c>
      <c r="AH261">
        <v>275</v>
      </c>
      <c r="AI261" s="2">
        <f>Table__192.168.3.138BEWLPPMetaData[[#This Row],[NetAmount]]-Table__192.168.3.138BEWLPPMetaData[[#This Row],[Paid]]</f>
        <v>18120</v>
      </c>
    </row>
    <row r="262" spans="1:35" hidden="1">
      <c r="A262" t="s">
        <v>9021</v>
      </c>
      <c r="B262" s="1">
        <v>41040</v>
      </c>
      <c r="C262" s="1">
        <v>41085</v>
      </c>
      <c r="D262" t="s">
        <v>8725</v>
      </c>
      <c r="E262">
        <v>20150</v>
      </c>
      <c r="F262">
        <v>0</v>
      </c>
      <c r="G262">
        <v>0</v>
      </c>
      <c r="H262">
        <v>0</v>
      </c>
      <c r="I262">
        <v>228</v>
      </c>
      <c r="J262">
        <v>20150</v>
      </c>
      <c r="K262" t="s">
        <v>9022</v>
      </c>
      <c r="L262" s="1">
        <v>41040</v>
      </c>
      <c r="M262" t="s">
        <v>9023</v>
      </c>
      <c r="N262" t="s">
        <v>5127</v>
      </c>
      <c r="O262" t="s">
        <v>2458</v>
      </c>
      <c r="P262" t="s">
        <v>8727</v>
      </c>
      <c r="Q262" t="s">
        <v>39</v>
      </c>
      <c r="R262" t="s">
        <v>40</v>
      </c>
      <c r="S262">
        <v>0</v>
      </c>
      <c r="U262" t="s">
        <v>41</v>
      </c>
      <c r="V262" t="s">
        <v>42</v>
      </c>
      <c r="W262" t="s">
        <v>9020</v>
      </c>
      <c r="X262" t="s">
        <v>74</v>
      </c>
      <c r="Y262" t="b">
        <v>0</v>
      </c>
      <c r="Z262" t="b">
        <v>0</v>
      </c>
      <c r="AA262" t="b">
        <v>0</v>
      </c>
      <c r="AC262" s="1"/>
      <c r="AF262">
        <v>0</v>
      </c>
      <c r="AG262">
        <v>45</v>
      </c>
      <c r="AH262">
        <v>273</v>
      </c>
      <c r="AI262" s="2">
        <f>Table__192.168.3.138BEWLPPMetaData[[#This Row],[NetAmount]]-Table__192.168.3.138BEWLPPMetaData[[#This Row],[Paid]]</f>
        <v>20150</v>
      </c>
    </row>
    <row r="263" spans="1:35" hidden="1">
      <c r="A263" t="s">
        <v>9024</v>
      </c>
      <c r="B263" s="1">
        <v>41054</v>
      </c>
      <c r="C263" s="1">
        <v>41099</v>
      </c>
      <c r="D263" t="s">
        <v>8993</v>
      </c>
      <c r="E263">
        <v>1043918</v>
      </c>
      <c r="F263">
        <v>167027</v>
      </c>
      <c r="G263">
        <v>0</v>
      </c>
      <c r="H263">
        <v>0</v>
      </c>
      <c r="I263">
        <v>234</v>
      </c>
      <c r="J263">
        <v>1210945</v>
      </c>
      <c r="K263" t="s">
        <v>1267</v>
      </c>
      <c r="L263" s="1">
        <v>41034</v>
      </c>
      <c r="N263" t="s">
        <v>5127</v>
      </c>
      <c r="O263" t="s">
        <v>2458</v>
      </c>
      <c r="P263" t="s">
        <v>365</v>
      </c>
      <c r="Q263" t="s">
        <v>39</v>
      </c>
      <c r="R263" t="s">
        <v>40</v>
      </c>
      <c r="S263">
        <v>0</v>
      </c>
      <c r="U263" t="s">
        <v>41</v>
      </c>
      <c r="V263" t="s">
        <v>42</v>
      </c>
      <c r="X263" t="s">
        <v>74</v>
      </c>
      <c r="Y263" t="b">
        <v>0</v>
      </c>
      <c r="Z263" t="b">
        <v>0</v>
      </c>
      <c r="AB263" t="s">
        <v>784</v>
      </c>
      <c r="AC263" s="1">
        <v>41305</v>
      </c>
      <c r="AF263">
        <v>0</v>
      </c>
      <c r="AG263">
        <v>45</v>
      </c>
      <c r="AH263">
        <v>279</v>
      </c>
      <c r="AI263" s="2">
        <f>Table__192.168.3.138BEWLPPMetaData[[#This Row],[NetAmount]]-Table__192.168.3.138BEWLPPMetaData[[#This Row],[Paid]]</f>
        <v>1210945</v>
      </c>
    </row>
    <row r="264" spans="1:35" hidden="1">
      <c r="A264" t="s">
        <v>9025</v>
      </c>
      <c r="B264" s="1">
        <v>41055</v>
      </c>
      <c r="C264" s="1">
        <v>41100</v>
      </c>
      <c r="D264" t="s">
        <v>8910</v>
      </c>
      <c r="E264">
        <v>28915</v>
      </c>
      <c r="F264">
        <v>4626</v>
      </c>
      <c r="G264">
        <v>0</v>
      </c>
      <c r="H264">
        <v>0</v>
      </c>
      <c r="I264">
        <v>216</v>
      </c>
      <c r="J264">
        <v>33541</v>
      </c>
      <c r="K264" t="s">
        <v>1246</v>
      </c>
      <c r="L264" s="1">
        <v>41052</v>
      </c>
      <c r="N264" t="s">
        <v>5127</v>
      </c>
      <c r="O264" t="s">
        <v>2458</v>
      </c>
      <c r="P264" t="s">
        <v>392</v>
      </c>
      <c r="Q264" t="s">
        <v>39</v>
      </c>
      <c r="R264" t="s">
        <v>40</v>
      </c>
      <c r="S264">
        <v>0</v>
      </c>
      <c r="U264" t="s">
        <v>41</v>
      </c>
      <c r="V264" t="s">
        <v>42</v>
      </c>
      <c r="X264" t="s">
        <v>74</v>
      </c>
      <c r="Y264" t="b">
        <v>0</v>
      </c>
      <c r="Z264" t="b">
        <v>0</v>
      </c>
      <c r="AC264" s="1"/>
      <c r="AF264">
        <v>0</v>
      </c>
      <c r="AG264">
        <v>45</v>
      </c>
      <c r="AH264">
        <v>261</v>
      </c>
      <c r="AI264" s="2">
        <f>Table__192.168.3.138BEWLPPMetaData[[#This Row],[NetAmount]]-Table__192.168.3.138BEWLPPMetaData[[#This Row],[Paid]]</f>
        <v>33541</v>
      </c>
    </row>
    <row r="265" spans="1:35" hidden="1">
      <c r="A265" t="s">
        <v>9026</v>
      </c>
      <c r="B265" s="1">
        <v>41055</v>
      </c>
      <c r="C265" s="1">
        <v>41100</v>
      </c>
      <c r="D265" t="s">
        <v>8910</v>
      </c>
      <c r="E265">
        <v>51125</v>
      </c>
      <c r="F265">
        <v>8180</v>
      </c>
      <c r="G265">
        <v>0</v>
      </c>
      <c r="H265">
        <v>0</v>
      </c>
      <c r="I265">
        <v>216</v>
      </c>
      <c r="J265">
        <v>59305</v>
      </c>
      <c r="K265" t="s">
        <v>4483</v>
      </c>
      <c r="L265" s="1">
        <v>41052</v>
      </c>
      <c r="N265" t="s">
        <v>5127</v>
      </c>
      <c r="O265" t="s">
        <v>2458</v>
      </c>
      <c r="P265" t="s">
        <v>392</v>
      </c>
      <c r="Q265" t="s">
        <v>39</v>
      </c>
      <c r="R265" t="s">
        <v>40</v>
      </c>
      <c r="S265">
        <v>0</v>
      </c>
      <c r="U265" t="s">
        <v>41</v>
      </c>
      <c r="V265" t="s">
        <v>42</v>
      </c>
      <c r="X265" t="s">
        <v>74</v>
      </c>
      <c r="Y265" t="b">
        <v>0</v>
      </c>
      <c r="Z265" t="b">
        <v>0</v>
      </c>
      <c r="AC265" s="1"/>
      <c r="AF265">
        <v>0</v>
      </c>
      <c r="AG265">
        <v>45</v>
      </c>
      <c r="AH265">
        <v>261</v>
      </c>
      <c r="AI265" s="2">
        <f>Table__192.168.3.138BEWLPPMetaData[[#This Row],[NetAmount]]-Table__192.168.3.138BEWLPPMetaData[[#This Row],[Paid]]</f>
        <v>59305</v>
      </c>
    </row>
    <row r="266" spans="1:35" hidden="1">
      <c r="A266" t="s">
        <v>9027</v>
      </c>
      <c r="B266" s="1">
        <v>41058</v>
      </c>
      <c r="C266" s="1">
        <v>41103</v>
      </c>
      <c r="D266" t="s">
        <v>8910</v>
      </c>
      <c r="E266">
        <v>146993</v>
      </c>
      <c r="F266">
        <v>23519</v>
      </c>
      <c r="G266">
        <v>0</v>
      </c>
      <c r="H266">
        <v>0</v>
      </c>
      <c r="I266">
        <v>216</v>
      </c>
      <c r="J266">
        <v>170512</v>
      </c>
      <c r="K266" t="s">
        <v>3273</v>
      </c>
      <c r="L266" s="1">
        <v>41052</v>
      </c>
      <c r="N266" t="s">
        <v>5127</v>
      </c>
      <c r="O266" t="s">
        <v>2458</v>
      </c>
      <c r="P266" t="s">
        <v>392</v>
      </c>
      <c r="Q266" t="s">
        <v>39</v>
      </c>
      <c r="R266" t="s">
        <v>40</v>
      </c>
      <c r="S266">
        <v>0</v>
      </c>
      <c r="U266" t="s">
        <v>41</v>
      </c>
      <c r="V266" t="s">
        <v>42</v>
      </c>
      <c r="X266" t="s">
        <v>74</v>
      </c>
      <c r="Y266" t="b">
        <v>0</v>
      </c>
      <c r="Z266" t="b">
        <v>0</v>
      </c>
      <c r="AC266" s="1"/>
      <c r="AF266">
        <v>0</v>
      </c>
      <c r="AG266">
        <v>45</v>
      </c>
      <c r="AH266">
        <v>261</v>
      </c>
      <c r="AI266" s="2">
        <f>Table__192.168.3.138BEWLPPMetaData[[#This Row],[NetAmount]]-Table__192.168.3.138BEWLPPMetaData[[#This Row],[Paid]]</f>
        <v>170512</v>
      </c>
    </row>
    <row r="267" spans="1:35" hidden="1">
      <c r="A267" t="s">
        <v>9028</v>
      </c>
      <c r="B267" s="1">
        <v>41038</v>
      </c>
      <c r="C267" s="1">
        <v>41083</v>
      </c>
      <c r="D267" t="s">
        <v>8527</v>
      </c>
      <c r="E267">
        <v>31200</v>
      </c>
      <c r="F267">
        <v>4992</v>
      </c>
      <c r="G267">
        <v>0</v>
      </c>
      <c r="H267">
        <v>0</v>
      </c>
      <c r="I267">
        <v>231</v>
      </c>
      <c r="J267">
        <v>36192</v>
      </c>
      <c r="K267" t="s">
        <v>9029</v>
      </c>
      <c r="L267" s="1">
        <v>41037</v>
      </c>
      <c r="N267" t="s">
        <v>5127</v>
      </c>
      <c r="O267" t="s">
        <v>2458</v>
      </c>
      <c r="P267" t="s">
        <v>8528</v>
      </c>
      <c r="Q267" t="s">
        <v>39</v>
      </c>
      <c r="R267" t="s">
        <v>40</v>
      </c>
      <c r="S267">
        <v>0</v>
      </c>
      <c r="U267" t="s">
        <v>41</v>
      </c>
      <c r="V267" t="s">
        <v>42</v>
      </c>
      <c r="X267" t="s">
        <v>74</v>
      </c>
      <c r="Y267" t="b">
        <v>0</v>
      </c>
      <c r="Z267" t="b">
        <v>0</v>
      </c>
      <c r="AC267" s="1"/>
      <c r="AF267">
        <v>0</v>
      </c>
      <c r="AG267">
        <v>45</v>
      </c>
      <c r="AH267">
        <v>276</v>
      </c>
      <c r="AI267" s="2">
        <f>Table__192.168.3.138BEWLPPMetaData[[#This Row],[NetAmount]]-Table__192.168.3.138BEWLPPMetaData[[#This Row],[Paid]]</f>
        <v>36192</v>
      </c>
    </row>
    <row r="268" spans="1:35" hidden="1">
      <c r="A268" t="s">
        <v>9030</v>
      </c>
      <c r="B268" s="1">
        <v>41054</v>
      </c>
      <c r="C268" s="1">
        <v>41099</v>
      </c>
      <c r="D268" t="s">
        <v>8527</v>
      </c>
      <c r="E268">
        <v>17600</v>
      </c>
      <c r="F268">
        <v>2816</v>
      </c>
      <c r="G268">
        <v>0</v>
      </c>
      <c r="H268">
        <v>0</v>
      </c>
      <c r="I268">
        <v>217</v>
      </c>
      <c r="J268">
        <v>20416</v>
      </c>
      <c r="K268" t="s">
        <v>9031</v>
      </c>
      <c r="L268" s="1">
        <v>41051</v>
      </c>
      <c r="N268" t="s">
        <v>5127</v>
      </c>
      <c r="O268" t="s">
        <v>2458</v>
      </c>
      <c r="P268" t="s">
        <v>8528</v>
      </c>
      <c r="Q268" t="s">
        <v>39</v>
      </c>
      <c r="R268" t="s">
        <v>40</v>
      </c>
      <c r="S268">
        <v>0</v>
      </c>
      <c r="U268" t="s">
        <v>41</v>
      </c>
      <c r="V268" t="s">
        <v>42</v>
      </c>
      <c r="X268" t="s">
        <v>74</v>
      </c>
      <c r="Y268" t="b">
        <v>0</v>
      </c>
      <c r="Z268" t="b">
        <v>0</v>
      </c>
      <c r="AC268" s="1"/>
      <c r="AF268">
        <v>0</v>
      </c>
      <c r="AG268">
        <v>45</v>
      </c>
      <c r="AH268">
        <v>262</v>
      </c>
      <c r="AI268" s="2">
        <f>Table__192.168.3.138BEWLPPMetaData[[#This Row],[NetAmount]]-Table__192.168.3.138BEWLPPMetaData[[#This Row],[Paid]]</f>
        <v>20416</v>
      </c>
    </row>
    <row r="269" spans="1:35" hidden="1">
      <c r="A269" t="s">
        <v>9032</v>
      </c>
      <c r="B269" s="1">
        <v>41047</v>
      </c>
      <c r="C269" s="1">
        <v>41092</v>
      </c>
      <c r="D269" t="s">
        <v>8527</v>
      </c>
      <c r="E269">
        <v>17500</v>
      </c>
      <c r="F269">
        <v>2800</v>
      </c>
      <c r="G269">
        <v>0</v>
      </c>
      <c r="H269">
        <v>0</v>
      </c>
      <c r="I269">
        <v>222</v>
      </c>
      <c r="J269">
        <v>20300</v>
      </c>
      <c r="K269" t="s">
        <v>9033</v>
      </c>
      <c r="L269" s="1">
        <v>41046</v>
      </c>
      <c r="N269" t="s">
        <v>5127</v>
      </c>
      <c r="O269" t="s">
        <v>2458</v>
      </c>
      <c r="P269" t="s">
        <v>8528</v>
      </c>
      <c r="Q269" t="s">
        <v>39</v>
      </c>
      <c r="R269" t="s">
        <v>40</v>
      </c>
      <c r="S269">
        <v>0</v>
      </c>
      <c r="U269" t="s">
        <v>41</v>
      </c>
      <c r="V269" t="s">
        <v>42</v>
      </c>
      <c r="X269" t="s">
        <v>74</v>
      </c>
      <c r="Y269" t="b">
        <v>0</v>
      </c>
      <c r="Z269" t="b">
        <v>0</v>
      </c>
      <c r="AC269" s="1"/>
      <c r="AF269">
        <v>0</v>
      </c>
      <c r="AG269">
        <v>45</v>
      </c>
      <c r="AH269">
        <v>267</v>
      </c>
      <c r="AI269" s="2">
        <f>Table__192.168.3.138BEWLPPMetaData[[#This Row],[NetAmount]]-Table__192.168.3.138BEWLPPMetaData[[#This Row],[Paid]]</f>
        <v>20300</v>
      </c>
    </row>
    <row r="270" spans="1:35" hidden="1">
      <c r="A270" t="s">
        <v>9034</v>
      </c>
      <c r="B270" s="1">
        <v>41059</v>
      </c>
      <c r="C270" s="1">
        <v>41104</v>
      </c>
      <c r="D270" t="s">
        <v>8725</v>
      </c>
      <c r="E270">
        <v>6240</v>
      </c>
      <c r="F270">
        <v>0</v>
      </c>
      <c r="G270">
        <v>0</v>
      </c>
      <c r="H270">
        <v>0</v>
      </c>
      <c r="I270">
        <v>215</v>
      </c>
      <c r="J270">
        <v>6240</v>
      </c>
      <c r="K270" t="s">
        <v>9035</v>
      </c>
      <c r="L270" s="1">
        <v>41053</v>
      </c>
      <c r="M270" t="s">
        <v>9036</v>
      </c>
      <c r="N270" t="s">
        <v>5127</v>
      </c>
      <c r="O270" t="s">
        <v>2458</v>
      </c>
      <c r="P270" t="s">
        <v>8727</v>
      </c>
      <c r="Q270" t="s">
        <v>39</v>
      </c>
      <c r="R270" t="s">
        <v>40</v>
      </c>
      <c r="S270">
        <v>0</v>
      </c>
      <c r="U270" t="s">
        <v>41</v>
      </c>
      <c r="V270" t="s">
        <v>42</v>
      </c>
      <c r="W270" t="s">
        <v>9020</v>
      </c>
      <c r="X270" t="s">
        <v>74</v>
      </c>
      <c r="Y270" t="b">
        <v>0</v>
      </c>
      <c r="Z270" t="b">
        <v>0</v>
      </c>
      <c r="AA270" t="b">
        <v>0</v>
      </c>
      <c r="AC270" s="1"/>
      <c r="AF270">
        <v>0</v>
      </c>
      <c r="AG270">
        <v>45</v>
      </c>
      <c r="AH270">
        <v>260</v>
      </c>
      <c r="AI270" s="2">
        <f>Table__192.168.3.138BEWLPPMetaData[[#This Row],[NetAmount]]-Table__192.168.3.138BEWLPPMetaData[[#This Row],[Paid]]</f>
        <v>6240</v>
      </c>
    </row>
    <row r="271" spans="1:35" hidden="1">
      <c r="A271" t="s">
        <v>9037</v>
      </c>
      <c r="B271" s="1">
        <v>41046</v>
      </c>
      <c r="C271" s="1">
        <v>41091</v>
      </c>
      <c r="D271" t="s">
        <v>8794</v>
      </c>
      <c r="E271">
        <v>540300</v>
      </c>
      <c r="F271">
        <v>86448</v>
      </c>
      <c r="G271">
        <v>0</v>
      </c>
      <c r="H271">
        <v>0</v>
      </c>
      <c r="I271">
        <v>229</v>
      </c>
      <c r="J271">
        <v>626748</v>
      </c>
      <c r="K271" t="s">
        <v>9038</v>
      </c>
      <c r="L271" s="1">
        <v>41039</v>
      </c>
      <c r="N271" t="s">
        <v>5127</v>
      </c>
      <c r="O271" t="s">
        <v>2458</v>
      </c>
      <c r="P271" t="s">
        <v>8795</v>
      </c>
      <c r="Q271" t="s">
        <v>39</v>
      </c>
      <c r="R271" t="s">
        <v>40</v>
      </c>
      <c r="S271">
        <v>0</v>
      </c>
      <c r="U271" t="s">
        <v>41</v>
      </c>
      <c r="V271" t="s">
        <v>42</v>
      </c>
      <c r="X271" t="s">
        <v>74</v>
      </c>
      <c r="Y271" t="b">
        <v>0</v>
      </c>
      <c r="Z271" t="b">
        <v>0</v>
      </c>
      <c r="AC271" s="1"/>
      <c r="AF271">
        <v>0</v>
      </c>
      <c r="AG271">
        <v>45</v>
      </c>
      <c r="AH271">
        <v>274</v>
      </c>
      <c r="AI271" s="2">
        <f>Table__192.168.3.138BEWLPPMetaData[[#This Row],[NetAmount]]-Table__192.168.3.138BEWLPPMetaData[[#This Row],[Paid]]</f>
        <v>626748</v>
      </c>
    </row>
    <row r="272" spans="1:35" hidden="1">
      <c r="A272" t="s">
        <v>9039</v>
      </c>
      <c r="B272" s="1">
        <v>41046</v>
      </c>
      <c r="C272" s="1">
        <v>41091</v>
      </c>
      <c r="D272" t="s">
        <v>8794</v>
      </c>
      <c r="E272">
        <v>47500</v>
      </c>
      <c r="F272">
        <v>7600</v>
      </c>
      <c r="G272">
        <v>0</v>
      </c>
      <c r="H272">
        <v>0</v>
      </c>
      <c r="I272">
        <v>225</v>
      </c>
      <c r="J272">
        <v>55100</v>
      </c>
      <c r="K272" t="s">
        <v>9040</v>
      </c>
      <c r="L272" s="1">
        <v>41043</v>
      </c>
      <c r="N272" t="s">
        <v>5127</v>
      </c>
      <c r="O272" t="s">
        <v>2458</v>
      </c>
      <c r="P272" t="s">
        <v>8795</v>
      </c>
      <c r="Q272" t="s">
        <v>39</v>
      </c>
      <c r="R272" t="s">
        <v>40</v>
      </c>
      <c r="S272">
        <v>0</v>
      </c>
      <c r="U272" t="s">
        <v>41</v>
      </c>
      <c r="V272" t="s">
        <v>42</v>
      </c>
      <c r="X272" t="s">
        <v>74</v>
      </c>
      <c r="Y272" t="b">
        <v>0</v>
      </c>
      <c r="Z272" t="b">
        <v>0</v>
      </c>
      <c r="AC272" s="1"/>
      <c r="AF272">
        <v>0</v>
      </c>
      <c r="AG272">
        <v>45</v>
      </c>
      <c r="AH272">
        <v>270</v>
      </c>
      <c r="AI272" s="2">
        <f>Table__192.168.3.138BEWLPPMetaData[[#This Row],[NetAmount]]-Table__192.168.3.138BEWLPPMetaData[[#This Row],[Paid]]</f>
        <v>55100</v>
      </c>
    </row>
    <row r="273" spans="1:35" hidden="1">
      <c r="A273" t="s">
        <v>9041</v>
      </c>
      <c r="B273" s="1">
        <v>41046</v>
      </c>
      <c r="C273" s="1">
        <v>41091</v>
      </c>
      <c r="D273" t="s">
        <v>8794</v>
      </c>
      <c r="E273">
        <v>569500</v>
      </c>
      <c r="F273">
        <v>91120</v>
      </c>
      <c r="G273">
        <v>0</v>
      </c>
      <c r="H273">
        <v>0</v>
      </c>
      <c r="I273">
        <v>224</v>
      </c>
      <c r="J273">
        <v>660620</v>
      </c>
      <c r="K273" t="s">
        <v>9042</v>
      </c>
      <c r="L273" s="1">
        <v>41044</v>
      </c>
      <c r="N273" t="s">
        <v>5127</v>
      </c>
      <c r="O273" t="s">
        <v>2458</v>
      </c>
      <c r="P273" t="s">
        <v>8795</v>
      </c>
      <c r="Q273" t="s">
        <v>39</v>
      </c>
      <c r="R273" t="s">
        <v>40</v>
      </c>
      <c r="S273">
        <v>0</v>
      </c>
      <c r="U273" t="s">
        <v>41</v>
      </c>
      <c r="V273" t="s">
        <v>42</v>
      </c>
      <c r="X273" t="s">
        <v>74</v>
      </c>
      <c r="Y273" t="b">
        <v>0</v>
      </c>
      <c r="Z273" t="b">
        <v>0</v>
      </c>
      <c r="AC273" s="1"/>
      <c r="AF273">
        <v>0</v>
      </c>
      <c r="AG273">
        <v>45</v>
      </c>
      <c r="AH273">
        <v>269</v>
      </c>
      <c r="AI273" s="2">
        <f>Table__192.168.3.138BEWLPPMetaData[[#This Row],[NetAmount]]-Table__192.168.3.138BEWLPPMetaData[[#This Row],[Paid]]</f>
        <v>660620</v>
      </c>
    </row>
    <row r="274" spans="1:35" hidden="1">
      <c r="A274" t="s">
        <v>9043</v>
      </c>
      <c r="B274" s="1">
        <v>41051</v>
      </c>
      <c r="C274" s="1">
        <v>41096</v>
      </c>
      <c r="D274" t="s">
        <v>8794</v>
      </c>
      <c r="E274">
        <v>211500</v>
      </c>
      <c r="F274">
        <v>33840</v>
      </c>
      <c r="G274">
        <v>0</v>
      </c>
      <c r="H274">
        <v>0</v>
      </c>
      <c r="I274">
        <v>220</v>
      </c>
      <c r="J274">
        <v>245340</v>
      </c>
      <c r="K274" t="s">
        <v>9044</v>
      </c>
      <c r="L274" s="1">
        <v>41048</v>
      </c>
      <c r="N274" t="s">
        <v>5127</v>
      </c>
      <c r="O274" t="s">
        <v>2458</v>
      </c>
      <c r="P274" t="s">
        <v>8795</v>
      </c>
      <c r="Q274" t="s">
        <v>39</v>
      </c>
      <c r="R274" t="s">
        <v>40</v>
      </c>
      <c r="S274">
        <v>0</v>
      </c>
      <c r="U274" t="s">
        <v>41</v>
      </c>
      <c r="V274" t="s">
        <v>42</v>
      </c>
      <c r="X274" t="s">
        <v>74</v>
      </c>
      <c r="Y274" t="b">
        <v>0</v>
      </c>
      <c r="Z274" t="b">
        <v>0</v>
      </c>
      <c r="AC274" s="1"/>
      <c r="AF274">
        <v>0</v>
      </c>
      <c r="AG274">
        <v>45</v>
      </c>
      <c r="AH274">
        <v>265</v>
      </c>
      <c r="AI274" s="2">
        <f>Table__192.168.3.138BEWLPPMetaData[[#This Row],[NetAmount]]-Table__192.168.3.138BEWLPPMetaData[[#This Row],[Paid]]</f>
        <v>245340</v>
      </c>
    </row>
    <row r="275" spans="1:35" hidden="1">
      <c r="A275" t="s">
        <v>9045</v>
      </c>
      <c r="B275" s="1">
        <v>41053</v>
      </c>
      <c r="C275" s="1">
        <v>41098</v>
      </c>
      <c r="D275" t="s">
        <v>8794</v>
      </c>
      <c r="E275">
        <v>275000</v>
      </c>
      <c r="F275">
        <v>44000</v>
      </c>
      <c r="G275">
        <v>0</v>
      </c>
      <c r="H275">
        <v>0</v>
      </c>
      <c r="I275">
        <v>217</v>
      </c>
      <c r="J275">
        <v>319000</v>
      </c>
      <c r="K275" t="s">
        <v>9046</v>
      </c>
      <c r="L275" s="1">
        <v>41051</v>
      </c>
      <c r="N275" t="s">
        <v>5127</v>
      </c>
      <c r="O275" t="s">
        <v>2458</v>
      </c>
      <c r="P275" t="s">
        <v>8795</v>
      </c>
      <c r="Q275" t="s">
        <v>39</v>
      </c>
      <c r="R275" t="s">
        <v>40</v>
      </c>
      <c r="S275">
        <v>0</v>
      </c>
      <c r="U275" t="s">
        <v>41</v>
      </c>
      <c r="V275" t="s">
        <v>42</v>
      </c>
      <c r="X275" t="s">
        <v>74</v>
      </c>
      <c r="Y275" t="b">
        <v>0</v>
      </c>
      <c r="Z275" t="b">
        <v>0</v>
      </c>
      <c r="AC275" s="1"/>
      <c r="AF275">
        <v>0</v>
      </c>
      <c r="AG275">
        <v>45</v>
      </c>
      <c r="AH275">
        <v>262</v>
      </c>
      <c r="AI275" s="2">
        <f>Table__192.168.3.138BEWLPPMetaData[[#This Row],[NetAmount]]-Table__192.168.3.138BEWLPPMetaData[[#This Row],[Paid]]</f>
        <v>319000</v>
      </c>
    </row>
    <row r="276" spans="1:35" hidden="1">
      <c r="A276" t="s">
        <v>9047</v>
      </c>
      <c r="B276" s="1">
        <v>41059</v>
      </c>
      <c r="C276" s="1">
        <v>41104</v>
      </c>
      <c r="D276" t="s">
        <v>8794</v>
      </c>
      <c r="E276">
        <v>227800</v>
      </c>
      <c r="F276">
        <v>36448</v>
      </c>
      <c r="G276">
        <v>0</v>
      </c>
      <c r="H276">
        <v>0</v>
      </c>
      <c r="I276">
        <v>211</v>
      </c>
      <c r="J276">
        <v>264248</v>
      </c>
      <c r="K276" t="s">
        <v>9048</v>
      </c>
      <c r="L276" s="1">
        <v>41057</v>
      </c>
      <c r="N276" t="s">
        <v>5127</v>
      </c>
      <c r="O276" t="s">
        <v>2458</v>
      </c>
      <c r="P276" t="s">
        <v>8795</v>
      </c>
      <c r="Q276" t="s">
        <v>39</v>
      </c>
      <c r="R276" t="s">
        <v>40</v>
      </c>
      <c r="S276">
        <v>0</v>
      </c>
      <c r="U276" t="s">
        <v>41</v>
      </c>
      <c r="V276" t="s">
        <v>42</v>
      </c>
      <c r="X276" t="s">
        <v>74</v>
      </c>
      <c r="Y276" t="b">
        <v>0</v>
      </c>
      <c r="Z276" t="b">
        <v>0</v>
      </c>
      <c r="AC276" s="1"/>
      <c r="AF276">
        <v>0</v>
      </c>
      <c r="AG276">
        <v>45</v>
      </c>
      <c r="AH276">
        <v>256</v>
      </c>
      <c r="AI276" s="2">
        <f>Table__192.168.3.138BEWLPPMetaData[[#This Row],[NetAmount]]-Table__192.168.3.138BEWLPPMetaData[[#This Row],[Paid]]</f>
        <v>264248</v>
      </c>
    </row>
    <row r="277" spans="1:35" hidden="1">
      <c r="A277" t="s">
        <v>9049</v>
      </c>
      <c r="B277" s="1">
        <v>41059</v>
      </c>
      <c r="C277" s="1">
        <v>41104</v>
      </c>
      <c r="D277" t="s">
        <v>8794</v>
      </c>
      <c r="E277">
        <v>183000</v>
      </c>
      <c r="F277">
        <v>29280</v>
      </c>
      <c r="G277">
        <v>0</v>
      </c>
      <c r="H277">
        <v>0</v>
      </c>
      <c r="I277">
        <v>210</v>
      </c>
      <c r="J277">
        <v>212280</v>
      </c>
      <c r="K277" t="s">
        <v>9050</v>
      </c>
      <c r="L277" s="1">
        <v>41058</v>
      </c>
      <c r="N277" t="s">
        <v>5127</v>
      </c>
      <c r="O277" t="s">
        <v>2458</v>
      </c>
      <c r="P277" t="s">
        <v>8795</v>
      </c>
      <c r="Q277" t="s">
        <v>39</v>
      </c>
      <c r="R277" t="s">
        <v>40</v>
      </c>
      <c r="S277">
        <v>0</v>
      </c>
      <c r="U277" t="s">
        <v>41</v>
      </c>
      <c r="V277" t="s">
        <v>42</v>
      </c>
      <c r="X277" t="s">
        <v>74</v>
      </c>
      <c r="Y277" t="b">
        <v>0</v>
      </c>
      <c r="Z277" t="b">
        <v>0</v>
      </c>
      <c r="AC277" s="1"/>
      <c r="AF277">
        <v>0</v>
      </c>
      <c r="AG277">
        <v>45</v>
      </c>
      <c r="AH277">
        <v>255</v>
      </c>
      <c r="AI277" s="2">
        <f>Table__192.168.3.138BEWLPPMetaData[[#This Row],[NetAmount]]-Table__192.168.3.138BEWLPPMetaData[[#This Row],[Paid]]</f>
        <v>212280</v>
      </c>
    </row>
    <row r="278" spans="1:35" hidden="1">
      <c r="A278" t="s">
        <v>9051</v>
      </c>
      <c r="B278" s="1">
        <v>41060</v>
      </c>
      <c r="C278" s="1">
        <v>41105</v>
      </c>
      <c r="D278" t="s">
        <v>8794</v>
      </c>
      <c r="E278">
        <v>78000</v>
      </c>
      <c r="F278">
        <v>12480</v>
      </c>
      <c r="G278">
        <v>0</v>
      </c>
      <c r="H278">
        <v>0</v>
      </c>
      <c r="I278">
        <v>208</v>
      </c>
      <c r="J278">
        <v>90480</v>
      </c>
      <c r="K278" t="s">
        <v>9052</v>
      </c>
      <c r="L278" s="1">
        <v>41060</v>
      </c>
      <c r="N278" t="s">
        <v>5127</v>
      </c>
      <c r="O278" t="s">
        <v>2458</v>
      </c>
      <c r="P278" t="s">
        <v>8795</v>
      </c>
      <c r="Q278" t="s">
        <v>39</v>
      </c>
      <c r="R278" t="s">
        <v>40</v>
      </c>
      <c r="S278">
        <v>0</v>
      </c>
      <c r="U278" t="s">
        <v>41</v>
      </c>
      <c r="V278" t="s">
        <v>42</v>
      </c>
      <c r="X278" t="s">
        <v>74</v>
      </c>
      <c r="Y278" t="b">
        <v>0</v>
      </c>
      <c r="Z278" t="b">
        <v>0</v>
      </c>
      <c r="AC278" s="1"/>
      <c r="AF278">
        <v>0</v>
      </c>
      <c r="AG278">
        <v>45</v>
      </c>
      <c r="AH278">
        <v>253</v>
      </c>
      <c r="AI278" s="2">
        <f>Table__192.168.3.138BEWLPPMetaData[[#This Row],[NetAmount]]-Table__192.168.3.138BEWLPPMetaData[[#This Row],[Paid]]</f>
        <v>90480</v>
      </c>
    </row>
    <row r="279" spans="1:35" hidden="1">
      <c r="A279" t="s">
        <v>9053</v>
      </c>
      <c r="B279" s="1">
        <v>41053</v>
      </c>
      <c r="C279" s="1">
        <v>41098</v>
      </c>
      <c r="D279" t="s">
        <v>8577</v>
      </c>
      <c r="E279">
        <v>2994</v>
      </c>
      <c r="F279">
        <v>0</v>
      </c>
      <c r="G279">
        <v>0</v>
      </c>
      <c r="H279">
        <v>0</v>
      </c>
      <c r="I279">
        <v>216</v>
      </c>
      <c r="J279">
        <v>2994</v>
      </c>
      <c r="K279" t="s">
        <v>3156</v>
      </c>
      <c r="L279" s="1">
        <v>41052</v>
      </c>
      <c r="M279" t="s">
        <v>9054</v>
      </c>
      <c r="N279" t="s">
        <v>5127</v>
      </c>
      <c r="O279" t="s">
        <v>2458</v>
      </c>
      <c r="P279" t="s">
        <v>8579</v>
      </c>
      <c r="Q279" t="s">
        <v>39</v>
      </c>
      <c r="R279" t="s">
        <v>40</v>
      </c>
      <c r="S279">
        <v>0</v>
      </c>
      <c r="U279" t="s">
        <v>41</v>
      </c>
      <c r="V279" t="s">
        <v>42</v>
      </c>
      <c r="W279" t="s">
        <v>8580</v>
      </c>
      <c r="X279" t="s">
        <v>74</v>
      </c>
      <c r="Y279" t="b">
        <v>0</v>
      </c>
      <c r="Z279" t="b">
        <v>0</v>
      </c>
      <c r="AA279" t="b">
        <v>0</v>
      </c>
      <c r="AC279" s="1"/>
      <c r="AF279">
        <v>0</v>
      </c>
      <c r="AG279">
        <v>45</v>
      </c>
      <c r="AH279">
        <v>261</v>
      </c>
      <c r="AI279" s="2">
        <f>Table__192.168.3.138BEWLPPMetaData[[#This Row],[NetAmount]]-Table__192.168.3.138BEWLPPMetaData[[#This Row],[Paid]]</f>
        <v>2994</v>
      </c>
    </row>
    <row r="280" spans="1:35" hidden="1">
      <c r="A280" t="s">
        <v>9055</v>
      </c>
      <c r="B280" s="1">
        <v>41060</v>
      </c>
      <c r="C280" s="1">
        <v>41105</v>
      </c>
      <c r="D280" t="s">
        <v>8577</v>
      </c>
      <c r="E280">
        <v>7580</v>
      </c>
      <c r="F280">
        <v>0</v>
      </c>
      <c r="G280">
        <v>0</v>
      </c>
      <c r="H280">
        <v>0</v>
      </c>
      <c r="I280">
        <v>213</v>
      </c>
      <c r="J280">
        <v>7580</v>
      </c>
      <c r="K280" t="s">
        <v>9056</v>
      </c>
      <c r="L280" s="1">
        <v>41055</v>
      </c>
      <c r="M280" t="s">
        <v>9057</v>
      </c>
      <c r="N280" t="s">
        <v>5127</v>
      </c>
      <c r="O280" t="s">
        <v>2458</v>
      </c>
      <c r="P280" t="s">
        <v>8579</v>
      </c>
      <c r="Q280" t="s">
        <v>39</v>
      </c>
      <c r="R280" t="s">
        <v>40</v>
      </c>
      <c r="S280">
        <v>0</v>
      </c>
      <c r="U280" t="s">
        <v>41</v>
      </c>
      <c r="V280" t="s">
        <v>42</v>
      </c>
      <c r="W280" t="s">
        <v>8580</v>
      </c>
      <c r="X280" t="s">
        <v>74</v>
      </c>
      <c r="Y280" t="b">
        <v>0</v>
      </c>
      <c r="Z280" t="b">
        <v>0</v>
      </c>
      <c r="AA280" t="b">
        <v>0</v>
      </c>
      <c r="AC280" s="1"/>
      <c r="AF280">
        <v>0</v>
      </c>
      <c r="AG280">
        <v>45</v>
      </c>
      <c r="AH280">
        <v>258</v>
      </c>
      <c r="AI280" s="2">
        <f>Table__192.168.3.138BEWLPPMetaData[[#This Row],[NetAmount]]-Table__192.168.3.138BEWLPPMetaData[[#This Row],[Paid]]</f>
        <v>7580</v>
      </c>
    </row>
    <row r="281" spans="1:35" hidden="1">
      <c r="A281" t="s">
        <v>9058</v>
      </c>
      <c r="B281" s="1">
        <v>41060</v>
      </c>
      <c r="C281" s="1">
        <v>41105</v>
      </c>
      <c r="D281" t="s">
        <v>8577</v>
      </c>
      <c r="E281">
        <v>2520</v>
      </c>
      <c r="F281">
        <v>0</v>
      </c>
      <c r="G281">
        <v>0</v>
      </c>
      <c r="H281">
        <v>0</v>
      </c>
      <c r="I281">
        <v>210</v>
      </c>
      <c r="J281">
        <v>2520</v>
      </c>
      <c r="K281" t="s">
        <v>3835</v>
      </c>
      <c r="L281" s="1">
        <v>41058</v>
      </c>
      <c r="M281" t="s">
        <v>9059</v>
      </c>
      <c r="N281" t="s">
        <v>5127</v>
      </c>
      <c r="O281" t="s">
        <v>2458</v>
      </c>
      <c r="P281" t="s">
        <v>8579</v>
      </c>
      <c r="Q281" t="s">
        <v>39</v>
      </c>
      <c r="R281" t="s">
        <v>40</v>
      </c>
      <c r="S281">
        <v>0</v>
      </c>
      <c r="U281" t="s">
        <v>41</v>
      </c>
      <c r="V281" t="s">
        <v>42</v>
      </c>
      <c r="W281" t="s">
        <v>8580</v>
      </c>
      <c r="X281" t="s">
        <v>74</v>
      </c>
      <c r="Y281" t="b">
        <v>0</v>
      </c>
      <c r="Z281" t="b">
        <v>0</v>
      </c>
      <c r="AA281" t="b">
        <v>0</v>
      </c>
      <c r="AC281" s="1"/>
      <c r="AF281">
        <v>0</v>
      </c>
      <c r="AG281">
        <v>45</v>
      </c>
      <c r="AH281">
        <v>255</v>
      </c>
      <c r="AI281" s="2">
        <f>Table__192.168.3.138BEWLPPMetaData[[#This Row],[NetAmount]]-Table__192.168.3.138BEWLPPMetaData[[#This Row],[Paid]]</f>
        <v>2520</v>
      </c>
    </row>
    <row r="282" spans="1:35" hidden="1">
      <c r="A282" t="s">
        <v>9060</v>
      </c>
      <c r="B282" s="1">
        <v>41059</v>
      </c>
      <c r="C282" s="1">
        <v>41104</v>
      </c>
      <c r="D282" t="s">
        <v>8577</v>
      </c>
      <c r="E282">
        <v>1440</v>
      </c>
      <c r="F282">
        <v>0</v>
      </c>
      <c r="G282">
        <v>0</v>
      </c>
      <c r="H282">
        <v>0</v>
      </c>
      <c r="I282">
        <v>209</v>
      </c>
      <c r="J282">
        <v>1440</v>
      </c>
      <c r="K282" t="s">
        <v>8900</v>
      </c>
      <c r="L282" s="1">
        <v>41059</v>
      </c>
      <c r="M282" t="s">
        <v>9061</v>
      </c>
      <c r="N282" t="s">
        <v>5127</v>
      </c>
      <c r="O282" t="s">
        <v>2458</v>
      </c>
      <c r="P282" t="s">
        <v>8579</v>
      </c>
      <c r="Q282" t="s">
        <v>39</v>
      </c>
      <c r="R282" t="s">
        <v>40</v>
      </c>
      <c r="S282">
        <v>0</v>
      </c>
      <c r="U282" t="s">
        <v>41</v>
      </c>
      <c r="V282" t="s">
        <v>42</v>
      </c>
      <c r="W282" t="s">
        <v>8580</v>
      </c>
      <c r="X282" t="s">
        <v>74</v>
      </c>
      <c r="Y282" t="b">
        <v>0</v>
      </c>
      <c r="Z282" t="b">
        <v>0</v>
      </c>
      <c r="AA282" t="b">
        <v>0</v>
      </c>
      <c r="AC282" s="1"/>
      <c r="AF282">
        <v>0</v>
      </c>
      <c r="AG282">
        <v>45</v>
      </c>
      <c r="AH282">
        <v>254</v>
      </c>
      <c r="AI282" s="2">
        <f>Table__192.168.3.138BEWLPPMetaData[[#This Row],[NetAmount]]-Table__192.168.3.138BEWLPPMetaData[[#This Row],[Paid]]</f>
        <v>1440</v>
      </c>
    </row>
    <row r="283" spans="1:35" hidden="1">
      <c r="A283" t="s">
        <v>9062</v>
      </c>
      <c r="B283" s="1">
        <v>41038</v>
      </c>
      <c r="C283" s="1">
        <v>41083</v>
      </c>
      <c r="D283" t="s">
        <v>8721</v>
      </c>
      <c r="E283">
        <v>70600</v>
      </c>
      <c r="F283">
        <v>11296</v>
      </c>
      <c r="G283">
        <v>0</v>
      </c>
      <c r="H283">
        <v>0</v>
      </c>
      <c r="I283">
        <v>235</v>
      </c>
      <c r="J283">
        <v>81896</v>
      </c>
      <c r="K283" t="s">
        <v>8309</v>
      </c>
      <c r="L283" s="1">
        <v>41033</v>
      </c>
      <c r="N283" t="s">
        <v>5127</v>
      </c>
      <c r="O283" t="s">
        <v>2458</v>
      </c>
      <c r="P283" t="s">
        <v>8723</v>
      </c>
      <c r="Q283" t="s">
        <v>39</v>
      </c>
      <c r="R283" t="s">
        <v>40</v>
      </c>
      <c r="S283">
        <v>0</v>
      </c>
      <c r="U283" t="s">
        <v>41</v>
      </c>
      <c r="V283" t="s">
        <v>42</v>
      </c>
      <c r="X283" t="s">
        <v>74</v>
      </c>
      <c r="Y283" t="b">
        <v>0</v>
      </c>
      <c r="Z283" t="b">
        <v>0</v>
      </c>
      <c r="AC283" s="1"/>
      <c r="AF283">
        <v>0</v>
      </c>
      <c r="AG283">
        <v>45</v>
      </c>
      <c r="AH283">
        <v>280</v>
      </c>
      <c r="AI283" s="2">
        <f>Table__192.168.3.138BEWLPPMetaData[[#This Row],[NetAmount]]-Table__192.168.3.138BEWLPPMetaData[[#This Row],[Paid]]</f>
        <v>81896</v>
      </c>
    </row>
    <row r="284" spans="1:35" hidden="1">
      <c r="A284" t="s">
        <v>9063</v>
      </c>
      <c r="B284" s="1">
        <v>41059</v>
      </c>
      <c r="C284" s="1">
        <v>41104</v>
      </c>
      <c r="D284" t="s">
        <v>8524</v>
      </c>
      <c r="E284">
        <v>20335</v>
      </c>
      <c r="F284">
        <v>3254</v>
      </c>
      <c r="G284">
        <v>0</v>
      </c>
      <c r="H284">
        <v>0</v>
      </c>
      <c r="I284">
        <v>227</v>
      </c>
      <c r="J284">
        <v>23589</v>
      </c>
      <c r="K284" t="s">
        <v>9064</v>
      </c>
      <c r="L284" s="1">
        <v>41041</v>
      </c>
      <c r="N284" t="s">
        <v>5127</v>
      </c>
      <c r="O284" t="s">
        <v>2458</v>
      </c>
      <c r="P284" t="s">
        <v>8525</v>
      </c>
      <c r="Q284" t="s">
        <v>39</v>
      </c>
      <c r="R284" t="s">
        <v>40</v>
      </c>
      <c r="S284">
        <v>0</v>
      </c>
      <c r="U284" t="s">
        <v>41</v>
      </c>
      <c r="V284" t="s">
        <v>42</v>
      </c>
      <c r="X284" t="s">
        <v>74</v>
      </c>
      <c r="Y284" t="b">
        <v>0</v>
      </c>
      <c r="Z284" t="b">
        <v>0</v>
      </c>
      <c r="AC284" s="1"/>
      <c r="AF284">
        <v>0</v>
      </c>
      <c r="AG284">
        <v>45</v>
      </c>
      <c r="AH284">
        <v>272</v>
      </c>
      <c r="AI284" s="2">
        <f>Table__192.168.3.138BEWLPPMetaData[[#This Row],[NetAmount]]-Table__192.168.3.138BEWLPPMetaData[[#This Row],[Paid]]</f>
        <v>23589</v>
      </c>
    </row>
    <row r="285" spans="1:35" hidden="1">
      <c r="A285" t="s">
        <v>9065</v>
      </c>
      <c r="B285" s="1">
        <v>41038</v>
      </c>
      <c r="C285" s="1">
        <v>41083</v>
      </c>
      <c r="D285" t="s">
        <v>8721</v>
      </c>
      <c r="E285">
        <v>84000</v>
      </c>
      <c r="F285">
        <v>13440</v>
      </c>
      <c r="G285">
        <v>0</v>
      </c>
      <c r="H285">
        <v>0</v>
      </c>
      <c r="I285">
        <v>232</v>
      </c>
      <c r="J285">
        <v>97440</v>
      </c>
      <c r="K285" t="s">
        <v>9066</v>
      </c>
      <c r="L285" s="1">
        <v>41036</v>
      </c>
      <c r="N285" t="s">
        <v>5127</v>
      </c>
      <c r="O285" t="s">
        <v>2458</v>
      </c>
      <c r="P285" t="s">
        <v>8723</v>
      </c>
      <c r="Q285" t="s">
        <v>39</v>
      </c>
      <c r="R285" t="s">
        <v>40</v>
      </c>
      <c r="S285">
        <v>0</v>
      </c>
      <c r="U285" t="s">
        <v>41</v>
      </c>
      <c r="V285" t="s">
        <v>42</v>
      </c>
      <c r="X285" t="s">
        <v>74</v>
      </c>
      <c r="Y285" t="b">
        <v>0</v>
      </c>
      <c r="Z285" t="b">
        <v>0</v>
      </c>
      <c r="AC285" s="1"/>
      <c r="AF285">
        <v>0</v>
      </c>
      <c r="AG285">
        <v>45</v>
      </c>
      <c r="AH285">
        <v>277</v>
      </c>
      <c r="AI285" s="2">
        <f>Table__192.168.3.138BEWLPPMetaData[[#This Row],[NetAmount]]-Table__192.168.3.138BEWLPPMetaData[[#This Row],[Paid]]</f>
        <v>97440</v>
      </c>
    </row>
    <row r="286" spans="1:35" hidden="1">
      <c r="A286" t="s">
        <v>9067</v>
      </c>
      <c r="B286" s="1">
        <v>41060</v>
      </c>
      <c r="C286" s="1">
        <v>41105</v>
      </c>
      <c r="D286" t="s">
        <v>8970</v>
      </c>
      <c r="E286">
        <v>62456</v>
      </c>
      <c r="F286">
        <v>9993</v>
      </c>
      <c r="G286">
        <v>0</v>
      </c>
      <c r="H286">
        <v>0</v>
      </c>
      <c r="I286">
        <v>209</v>
      </c>
      <c r="J286">
        <v>72449</v>
      </c>
      <c r="K286" t="s">
        <v>8039</v>
      </c>
      <c r="L286" s="1">
        <v>41059</v>
      </c>
      <c r="N286" t="s">
        <v>5127</v>
      </c>
      <c r="O286" t="s">
        <v>2458</v>
      </c>
      <c r="P286" t="s">
        <v>8971</v>
      </c>
      <c r="Q286" t="s">
        <v>39</v>
      </c>
      <c r="R286" t="s">
        <v>40</v>
      </c>
      <c r="S286">
        <v>0</v>
      </c>
      <c r="U286" t="s">
        <v>41</v>
      </c>
      <c r="V286" t="s">
        <v>42</v>
      </c>
      <c r="X286" t="s">
        <v>74</v>
      </c>
      <c r="Y286" t="b">
        <v>0</v>
      </c>
      <c r="Z286" t="b">
        <v>0</v>
      </c>
      <c r="AC286" s="1"/>
      <c r="AF286">
        <v>0</v>
      </c>
      <c r="AG286">
        <v>45</v>
      </c>
      <c r="AH286">
        <v>254</v>
      </c>
      <c r="AI286" s="2">
        <f>Table__192.168.3.138BEWLPPMetaData[[#This Row],[NetAmount]]-Table__192.168.3.138BEWLPPMetaData[[#This Row],[Paid]]</f>
        <v>72449</v>
      </c>
    </row>
    <row r="287" spans="1:35" hidden="1">
      <c r="A287" t="s">
        <v>9068</v>
      </c>
      <c r="B287" s="1">
        <v>41060</v>
      </c>
      <c r="C287" s="1">
        <v>41105</v>
      </c>
      <c r="D287" t="s">
        <v>8970</v>
      </c>
      <c r="E287">
        <v>86038</v>
      </c>
      <c r="F287">
        <v>13766</v>
      </c>
      <c r="G287">
        <v>0</v>
      </c>
      <c r="H287">
        <v>0</v>
      </c>
      <c r="I287">
        <v>213</v>
      </c>
      <c r="J287">
        <v>99804</v>
      </c>
      <c r="K287" t="s">
        <v>7911</v>
      </c>
      <c r="L287" s="1">
        <v>41055</v>
      </c>
      <c r="N287" t="s">
        <v>5127</v>
      </c>
      <c r="O287" t="s">
        <v>2458</v>
      </c>
      <c r="P287" t="s">
        <v>8971</v>
      </c>
      <c r="Q287" t="s">
        <v>39</v>
      </c>
      <c r="R287" t="s">
        <v>40</v>
      </c>
      <c r="S287">
        <v>0</v>
      </c>
      <c r="U287" t="s">
        <v>41</v>
      </c>
      <c r="V287" t="s">
        <v>42</v>
      </c>
      <c r="X287" t="s">
        <v>74</v>
      </c>
      <c r="Y287" t="b">
        <v>0</v>
      </c>
      <c r="Z287" t="b">
        <v>0</v>
      </c>
      <c r="AC287" s="1"/>
      <c r="AF287">
        <v>0</v>
      </c>
      <c r="AG287">
        <v>45</v>
      </c>
      <c r="AH287">
        <v>258</v>
      </c>
      <c r="AI287" s="2">
        <f>Table__192.168.3.138BEWLPPMetaData[[#This Row],[NetAmount]]-Table__192.168.3.138BEWLPPMetaData[[#This Row],[Paid]]</f>
        <v>99804</v>
      </c>
    </row>
    <row r="288" spans="1:35" hidden="1">
      <c r="A288" t="s">
        <v>9069</v>
      </c>
      <c r="B288" s="1">
        <v>41060</v>
      </c>
      <c r="C288" s="1">
        <v>41105</v>
      </c>
      <c r="D288" t="s">
        <v>8970</v>
      </c>
      <c r="E288">
        <v>42605</v>
      </c>
      <c r="F288">
        <v>6817</v>
      </c>
      <c r="G288">
        <v>0</v>
      </c>
      <c r="H288">
        <v>0</v>
      </c>
      <c r="I288">
        <v>213</v>
      </c>
      <c r="J288">
        <v>49422</v>
      </c>
      <c r="K288" t="s">
        <v>7979</v>
      </c>
      <c r="L288" s="1">
        <v>41055</v>
      </c>
      <c r="N288" t="s">
        <v>5127</v>
      </c>
      <c r="O288" t="s">
        <v>2458</v>
      </c>
      <c r="P288" t="s">
        <v>8971</v>
      </c>
      <c r="Q288" t="s">
        <v>39</v>
      </c>
      <c r="R288" t="s">
        <v>40</v>
      </c>
      <c r="S288">
        <v>0</v>
      </c>
      <c r="U288" t="s">
        <v>41</v>
      </c>
      <c r="V288" t="s">
        <v>42</v>
      </c>
      <c r="X288" t="s">
        <v>74</v>
      </c>
      <c r="Y288" t="b">
        <v>0</v>
      </c>
      <c r="Z288" t="b">
        <v>0</v>
      </c>
      <c r="AC288" s="1"/>
      <c r="AF288">
        <v>0</v>
      </c>
      <c r="AG288">
        <v>45</v>
      </c>
      <c r="AH288">
        <v>258</v>
      </c>
      <c r="AI288" s="2">
        <f>Table__192.168.3.138BEWLPPMetaData[[#This Row],[NetAmount]]-Table__192.168.3.138BEWLPPMetaData[[#This Row],[Paid]]</f>
        <v>49422</v>
      </c>
    </row>
    <row r="289" spans="1:35" hidden="1">
      <c r="A289" t="s">
        <v>9070</v>
      </c>
      <c r="B289" s="1">
        <v>41060</v>
      </c>
      <c r="C289" s="1">
        <v>41105</v>
      </c>
      <c r="D289" t="s">
        <v>9003</v>
      </c>
      <c r="E289">
        <v>14750</v>
      </c>
      <c r="F289">
        <v>0</v>
      </c>
      <c r="G289">
        <v>0</v>
      </c>
      <c r="H289">
        <v>0</v>
      </c>
      <c r="I289">
        <v>211</v>
      </c>
      <c r="J289">
        <v>14750</v>
      </c>
      <c r="K289" t="s">
        <v>9071</v>
      </c>
      <c r="L289" s="1">
        <v>41057</v>
      </c>
      <c r="M289" t="s">
        <v>9072</v>
      </c>
      <c r="N289" t="s">
        <v>5127</v>
      </c>
      <c r="O289" t="s">
        <v>2458</v>
      </c>
      <c r="P289" t="s">
        <v>9005</v>
      </c>
      <c r="Q289" t="s">
        <v>39</v>
      </c>
      <c r="R289" t="s">
        <v>40</v>
      </c>
      <c r="S289">
        <v>0</v>
      </c>
      <c r="U289" t="s">
        <v>41</v>
      </c>
      <c r="V289" t="s">
        <v>42</v>
      </c>
      <c r="W289" t="s">
        <v>9006</v>
      </c>
      <c r="X289" t="s">
        <v>74</v>
      </c>
      <c r="Y289" t="b">
        <v>0</v>
      </c>
      <c r="Z289" t="b">
        <v>0</v>
      </c>
      <c r="AA289" t="b">
        <v>0</v>
      </c>
      <c r="AC289" s="1"/>
      <c r="AF289">
        <v>0</v>
      </c>
      <c r="AG289">
        <v>45</v>
      </c>
      <c r="AH289">
        <v>256</v>
      </c>
      <c r="AI289" s="2">
        <f>Table__192.168.3.138BEWLPPMetaData[[#This Row],[NetAmount]]-Table__192.168.3.138BEWLPPMetaData[[#This Row],[Paid]]</f>
        <v>14750</v>
      </c>
    </row>
    <row r="290" spans="1:35" hidden="1">
      <c r="A290" t="s">
        <v>9073</v>
      </c>
      <c r="B290" s="1">
        <v>41060</v>
      </c>
      <c r="C290" s="1">
        <v>41105</v>
      </c>
      <c r="D290" t="s">
        <v>8582</v>
      </c>
      <c r="E290">
        <v>45140</v>
      </c>
      <c r="F290">
        <v>7222</v>
      </c>
      <c r="G290">
        <v>0</v>
      </c>
      <c r="H290">
        <v>0</v>
      </c>
      <c r="I290">
        <v>210</v>
      </c>
      <c r="J290">
        <v>52362</v>
      </c>
      <c r="K290" t="s">
        <v>9074</v>
      </c>
      <c r="L290" s="1">
        <v>41058</v>
      </c>
      <c r="N290" t="s">
        <v>5127</v>
      </c>
      <c r="O290" t="s">
        <v>2458</v>
      </c>
      <c r="P290" t="s">
        <v>8583</v>
      </c>
      <c r="Q290" t="s">
        <v>39</v>
      </c>
      <c r="R290" t="s">
        <v>40</v>
      </c>
      <c r="S290">
        <v>0</v>
      </c>
      <c r="U290" t="s">
        <v>41</v>
      </c>
      <c r="V290" t="s">
        <v>42</v>
      </c>
      <c r="X290" t="s">
        <v>74</v>
      </c>
      <c r="Y290" t="b">
        <v>0</v>
      </c>
      <c r="Z290" t="b">
        <v>0</v>
      </c>
      <c r="AC290" s="1"/>
      <c r="AF290">
        <v>0</v>
      </c>
      <c r="AG290">
        <v>45</v>
      </c>
      <c r="AH290">
        <v>255</v>
      </c>
      <c r="AI290" s="2">
        <f>Table__192.168.3.138BEWLPPMetaData[[#This Row],[NetAmount]]-Table__192.168.3.138BEWLPPMetaData[[#This Row],[Paid]]</f>
        <v>52362</v>
      </c>
    </row>
    <row r="291" spans="1:35" hidden="1">
      <c r="A291" t="s">
        <v>9075</v>
      </c>
      <c r="B291" s="1">
        <v>41060</v>
      </c>
      <c r="C291" s="1">
        <v>41105</v>
      </c>
      <c r="D291" t="s">
        <v>8530</v>
      </c>
      <c r="E291">
        <v>445336</v>
      </c>
      <c r="F291">
        <v>71254</v>
      </c>
      <c r="G291">
        <v>0</v>
      </c>
      <c r="H291">
        <v>0</v>
      </c>
      <c r="I291">
        <v>583</v>
      </c>
      <c r="J291">
        <v>516590</v>
      </c>
      <c r="K291" t="s">
        <v>9076</v>
      </c>
      <c r="L291" s="1">
        <v>40685</v>
      </c>
      <c r="N291" t="s">
        <v>5127</v>
      </c>
      <c r="O291" t="s">
        <v>2458</v>
      </c>
      <c r="P291" t="s">
        <v>357</v>
      </c>
      <c r="Q291" t="s">
        <v>39</v>
      </c>
      <c r="R291" t="s">
        <v>40</v>
      </c>
      <c r="S291">
        <v>0</v>
      </c>
      <c r="U291" t="s">
        <v>41</v>
      </c>
      <c r="V291" t="s">
        <v>42</v>
      </c>
      <c r="X291" t="s">
        <v>74</v>
      </c>
      <c r="Y291" t="b">
        <v>0</v>
      </c>
      <c r="Z291" t="b">
        <v>0</v>
      </c>
      <c r="AB291" t="s">
        <v>9077</v>
      </c>
      <c r="AC291" s="1">
        <v>41225</v>
      </c>
      <c r="AD291" t="s">
        <v>9078</v>
      </c>
      <c r="AE291" t="s">
        <v>9079</v>
      </c>
      <c r="AF291">
        <v>252831</v>
      </c>
      <c r="AG291">
        <v>45</v>
      </c>
      <c r="AH291">
        <v>628</v>
      </c>
      <c r="AI291" s="2">
        <f>Table__192.168.3.138BEWLPPMetaData[[#This Row],[NetAmount]]-Table__192.168.3.138BEWLPPMetaData[[#This Row],[Paid]]</f>
        <v>263759</v>
      </c>
    </row>
    <row r="292" spans="1:35" hidden="1">
      <c r="A292" t="s">
        <v>9080</v>
      </c>
      <c r="B292" s="1">
        <v>41059</v>
      </c>
      <c r="C292" s="1">
        <v>41104</v>
      </c>
      <c r="D292" t="s">
        <v>8530</v>
      </c>
      <c r="E292">
        <v>813912</v>
      </c>
      <c r="F292">
        <v>130226</v>
      </c>
      <c r="G292">
        <v>0</v>
      </c>
      <c r="H292">
        <v>0</v>
      </c>
      <c r="I292">
        <v>575</v>
      </c>
      <c r="J292">
        <v>944138</v>
      </c>
      <c r="K292" t="s">
        <v>9081</v>
      </c>
      <c r="L292" s="1">
        <v>40693</v>
      </c>
      <c r="N292" t="s">
        <v>5127</v>
      </c>
      <c r="O292" t="s">
        <v>2458</v>
      </c>
      <c r="P292" t="s">
        <v>357</v>
      </c>
      <c r="Q292" t="s">
        <v>39</v>
      </c>
      <c r="R292" t="s">
        <v>40</v>
      </c>
      <c r="S292">
        <v>0</v>
      </c>
      <c r="U292" t="s">
        <v>41</v>
      </c>
      <c r="V292" t="s">
        <v>42</v>
      </c>
      <c r="X292" t="s">
        <v>74</v>
      </c>
      <c r="Y292" t="b">
        <v>0</v>
      </c>
      <c r="Z292" t="b">
        <v>0</v>
      </c>
      <c r="AB292" t="s">
        <v>2281</v>
      </c>
      <c r="AC292" s="1">
        <v>41305</v>
      </c>
      <c r="AF292">
        <v>0</v>
      </c>
      <c r="AG292">
        <v>45</v>
      </c>
      <c r="AH292">
        <v>620</v>
      </c>
      <c r="AI292" s="2">
        <f>Table__192.168.3.138BEWLPPMetaData[[#This Row],[NetAmount]]-Table__192.168.3.138BEWLPPMetaData[[#This Row],[Paid]]</f>
        <v>944138</v>
      </c>
    </row>
    <row r="293" spans="1:35" hidden="1">
      <c r="A293" t="s">
        <v>9082</v>
      </c>
      <c r="B293" s="1">
        <v>41043</v>
      </c>
      <c r="C293" s="1">
        <v>41088</v>
      </c>
      <c r="D293" t="s">
        <v>8721</v>
      </c>
      <c r="E293">
        <v>44000</v>
      </c>
      <c r="F293">
        <v>7040</v>
      </c>
      <c r="G293">
        <v>0</v>
      </c>
      <c r="H293">
        <v>0</v>
      </c>
      <c r="I293">
        <v>593</v>
      </c>
      <c r="J293">
        <v>51040</v>
      </c>
      <c r="K293" t="s">
        <v>9083</v>
      </c>
      <c r="L293" s="1">
        <v>40675</v>
      </c>
      <c r="N293" t="s">
        <v>5127</v>
      </c>
      <c r="O293" t="s">
        <v>2458</v>
      </c>
      <c r="P293" t="s">
        <v>8723</v>
      </c>
      <c r="Q293" t="s">
        <v>39</v>
      </c>
      <c r="R293" t="s">
        <v>40</v>
      </c>
      <c r="S293">
        <v>0</v>
      </c>
      <c r="U293" t="s">
        <v>41</v>
      </c>
      <c r="V293" t="s">
        <v>42</v>
      </c>
      <c r="X293" t="s">
        <v>74</v>
      </c>
      <c r="Y293" t="b">
        <v>0</v>
      </c>
      <c r="Z293" t="b">
        <v>0</v>
      </c>
      <c r="AC293" s="1"/>
      <c r="AF293">
        <v>0</v>
      </c>
      <c r="AG293">
        <v>45</v>
      </c>
      <c r="AH293">
        <v>638</v>
      </c>
      <c r="AI293" s="2">
        <f>Table__192.168.3.138BEWLPPMetaData[[#This Row],[NetAmount]]-Table__192.168.3.138BEWLPPMetaData[[#This Row],[Paid]]</f>
        <v>51040</v>
      </c>
    </row>
    <row r="294" spans="1:35" hidden="1">
      <c r="A294" t="s">
        <v>9084</v>
      </c>
      <c r="B294" s="1">
        <v>41059</v>
      </c>
      <c r="C294" s="1">
        <v>41104</v>
      </c>
      <c r="D294" t="s">
        <v>8577</v>
      </c>
      <c r="E294">
        <v>4500</v>
      </c>
      <c r="F294">
        <v>0</v>
      </c>
      <c r="G294">
        <v>0</v>
      </c>
      <c r="H294">
        <v>0</v>
      </c>
      <c r="I294">
        <v>209</v>
      </c>
      <c r="J294">
        <v>4500</v>
      </c>
      <c r="K294" t="s">
        <v>5101</v>
      </c>
      <c r="L294" s="1">
        <v>41059</v>
      </c>
      <c r="M294" t="s">
        <v>9085</v>
      </c>
      <c r="N294" t="s">
        <v>5127</v>
      </c>
      <c r="O294" t="s">
        <v>2458</v>
      </c>
      <c r="P294" t="s">
        <v>8579</v>
      </c>
      <c r="Q294" t="s">
        <v>39</v>
      </c>
      <c r="R294" t="s">
        <v>40</v>
      </c>
      <c r="S294">
        <v>0</v>
      </c>
      <c r="U294" t="s">
        <v>41</v>
      </c>
      <c r="V294" t="s">
        <v>42</v>
      </c>
      <c r="W294" t="s">
        <v>8580</v>
      </c>
      <c r="X294" t="s">
        <v>74</v>
      </c>
      <c r="Y294" t="b">
        <v>0</v>
      </c>
      <c r="Z294" t="b">
        <v>0</v>
      </c>
      <c r="AA294" t="b">
        <v>0</v>
      </c>
      <c r="AC294" s="1"/>
      <c r="AF294">
        <v>0</v>
      </c>
      <c r="AG294">
        <v>45</v>
      </c>
      <c r="AH294">
        <v>254</v>
      </c>
      <c r="AI294" s="2">
        <f>Table__192.168.3.138BEWLPPMetaData[[#This Row],[NetAmount]]-Table__192.168.3.138BEWLPPMetaData[[#This Row],[Paid]]</f>
        <v>4500</v>
      </c>
    </row>
    <row r="295" spans="1:35" hidden="1">
      <c r="A295" t="s">
        <v>9086</v>
      </c>
      <c r="B295" s="1">
        <v>41060</v>
      </c>
      <c r="C295" s="1">
        <v>41105</v>
      </c>
      <c r="D295" t="s">
        <v>8577</v>
      </c>
      <c r="E295">
        <v>5704</v>
      </c>
      <c r="F295">
        <v>0</v>
      </c>
      <c r="G295">
        <v>0</v>
      </c>
      <c r="H295">
        <v>0</v>
      </c>
      <c r="I295">
        <v>216</v>
      </c>
      <c r="J295">
        <v>5704</v>
      </c>
      <c r="K295" t="s">
        <v>3464</v>
      </c>
      <c r="L295" s="1">
        <v>41052</v>
      </c>
      <c r="M295" t="s">
        <v>9087</v>
      </c>
      <c r="N295" t="s">
        <v>5127</v>
      </c>
      <c r="O295" t="s">
        <v>2458</v>
      </c>
      <c r="P295" t="s">
        <v>8579</v>
      </c>
      <c r="Q295" t="s">
        <v>39</v>
      </c>
      <c r="R295" t="s">
        <v>40</v>
      </c>
      <c r="S295">
        <v>0</v>
      </c>
      <c r="U295" t="s">
        <v>41</v>
      </c>
      <c r="V295" t="s">
        <v>42</v>
      </c>
      <c r="W295" t="s">
        <v>8580</v>
      </c>
      <c r="X295" t="s">
        <v>74</v>
      </c>
      <c r="Y295" t="b">
        <v>0</v>
      </c>
      <c r="Z295" t="b">
        <v>0</v>
      </c>
      <c r="AA295" t="b">
        <v>0</v>
      </c>
      <c r="AC295" s="1"/>
      <c r="AF295">
        <v>0</v>
      </c>
      <c r="AG295">
        <v>45</v>
      </c>
      <c r="AH295">
        <v>261</v>
      </c>
      <c r="AI295" s="2">
        <f>Table__192.168.3.138BEWLPPMetaData[[#This Row],[NetAmount]]-Table__192.168.3.138BEWLPPMetaData[[#This Row],[Paid]]</f>
        <v>5704</v>
      </c>
    </row>
    <row r="296" spans="1:35" hidden="1">
      <c r="A296" t="s">
        <v>9088</v>
      </c>
      <c r="B296" s="1">
        <v>41060</v>
      </c>
      <c r="C296" s="1">
        <v>41105</v>
      </c>
      <c r="D296" t="s">
        <v>8530</v>
      </c>
      <c r="E296">
        <v>605160</v>
      </c>
      <c r="F296">
        <v>96826</v>
      </c>
      <c r="G296">
        <v>0</v>
      </c>
      <c r="H296">
        <v>0</v>
      </c>
      <c r="I296">
        <v>588</v>
      </c>
      <c r="J296">
        <v>701986</v>
      </c>
      <c r="K296" t="s">
        <v>9089</v>
      </c>
      <c r="L296" s="1">
        <v>40680</v>
      </c>
      <c r="N296" t="s">
        <v>5127</v>
      </c>
      <c r="O296" t="s">
        <v>2458</v>
      </c>
      <c r="P296" t="s">
        <v>357</v>
      </c>
      <c r="Q296" t="s">
        <v>39</v>
      </c>
      <c r="R296" t="s">
        <v>40</v>
      </c>
      <c r="S296">
        <v>0</v>
      </c>
      <c r="U296" t="s">
        <v>41</v>
      </c>
      <c r="V296" t="s">
        <v>42</v>
      </c>
      <c r="X296" t="s">
        <v>74</v>
      </c>
      <c r="Y296" t="b">
        <v>0</v>
      </c>
      <c r="Z296" t="b">
        <v>0</v>
      </c>
      <c r="AB296" t="s">
        <v>2281</v>
      </c>
      <c r="AC296" s="1">
        <v>41305</v>
      </c>
      <c r="AF296">
        <v>0</v>
      </c>
      <c r="AG296">
        <v>45</v>
      </c>
      <c r="AH296">
        <v>633</v>
      </c>
      <c r="AI296" s="2">
        <f>Table__192.168.3.138BEWLPPMetaData[[#This Row],[NetAmount]]-Table__192.168.3.138BEWLPPMetaData[[#This Row],[Paid]]</f>
        <v>701986</v>
      </c>
    </row>
    <row r="297" spans="1:35" hidden="1">
      <c r="A297" t="s">
        <v>9090</v>
      </c>
      <c r="B297" s="1">
        <v>41071</v>
      </c>
      <c r="C297" s="1">
        <v>41116</v>
      </c>
      <c r="D297" t="s">
        <v>8869</v>
      </c>
      <c r="E297">
        <v>98968</v>
      </c>
      <c r="F297">
        <v>15835</v>
      </c>
      <c r="G297">
        <v>0</v>
      </c>
      <c r="H297">
        <v>0</v>
      </c>
      <c r="I297">
        <v>194</v>
      </c>
      <c r="J297">
        <v>114803</v>
      </c>
      <c r="K297" t="s">
        <v>1435</v>
      </c>
      <c r="L297" s="1">
        <v>41074</v>
      </c>
      <c r="N297" t="s">
        <v>5127</v>
      </c>
      <c r="O297" t="s">
        <v>2458</v>
      </c>
      <c r="P297" t="s">
        <v>8870</v>
      </c>
      <c r="Q297" t="s">
        <v>39</v>
      </c>
      <c r="R297" t="s">
        <v>40</v>
      </c>
      <c r="S297">
        <v>0</v>
      </c>
      <c r="U297" t="s">
        <v>41</v>
      </c>
      <c r="V297" t="s">
        <v>42</v>
      </c>
      <c r="X297" t="s">
        <v>74</v>
      </c>
      <c r="Y297" t="b">
        <v>0</v>
      </c>
      <c r="Z297" t="b">
        <v>0</v>
      </c>
      <c r="AC297" s="1"/>
      <c r="AF297">
        <v>0</v>
      </c>
      <c r="AG297">
        <v>45</v>
      </c>
      <c r="AH297">
        <v>239</v>
      </c>
      <c r="AI297" s="2">
        <f>Table__192.168.3.138BEWLPPMetaData[[#This Row],[NetAmount]]-Table__192.168.3.138BEWLPPMetaData[[#This Row],[Paid]]</f>
        <v>114803</v>
      </c>
    </row>
    <row r="298" spans="1:35" hidden="1">
      <c r="A298" t="s">
        <v>9091</v>
      </c>
      <c r="B298" s="1">
        <v>41071</v>
      </c>
      <c r="C298" s="1">
        <v>41116</v>
      </c>
      <c r="D298" t="s">
        <v>8522</v>
      </c>
      <c r="E298">
        <v>82100</v>
      </c>
      <c r="F298">
        <v>0</v>
      </c>
      <c r="G298">
        <v>0</v>
      </c>
      <c r="H298">
        <v>0</v>
      </c>
      <c r="I298">
        <v>199</v>
      </c>
      <c r="J298">
        <v>82100</v>
      </c>
      <c r="K298" t="s">
        <v>9092</v>
      </c>
      <c r="L298" s="1">
        <v>41069</v>
      </c>
      <c r="N298" t="s">
        <v>5127</v>
      </c>
      <c r="O298" t="s">
        <v>2458</v>
      </c>
      <c r="P298" t="s">
        <v>5458</v>
      </c>
      <c r="Q298" t="s">
        <v>39</v>
      </c>
      <c r="R298" t="s">
        <v>40</v>
      </c>
      <c r="S298">
        <v>0</v>
      </c>
      <c r="U298" t="s">
        <v>41</v>
      </c>
      <c r="V298" t="s">
        <v>42</v>
      </c>
      <c r="X298" t="s">
        <v>74</v>
      </c>
      <c r="Y298" t="b">
        <v>0</v>
      </c>
      <c r="Z298" t="b">
        <v>0</v>
      </c>
      <c r="AC298" s="1"/>
      <c r="AF298">
        <v>0</v>
      </c>
      <c r="AG298">
        <v>45</v>
      </c>
      <c r="AH298">
        <v>244</v>
      </c>
      <c r="AI298" s="2">
        <f>Table__192.168.3.138BEWLPPMetaData[[#This Row],[NetAmount]]-Table__192.168.3.138BEWLPPMetaData[[#This Row],[Paid]]</f>
        <v>82100</v>
      </c>
    </row>
    <row r="299" spans="1:35" hidden="1">
      <c r="A299" t="s">
        <v>9093</v>
      </c>
      <c r="B299" s="1">
        <v>41076</v>
      </c>
      <c r="C299" s="1">
        <v>41121</v>
      </c>
      <c r="D299" t="s">
        <v>8910</v>
      </c>
      <c r="E299">
        <v>16008</v>
      </c>
      <c r="F299">
        <v>2561</v>
      </c>
      <c r="G299">
        <v>0</v>
      </c>
      <c r="H299">
        <v>0</v>
      </c>
      <c r="I299">
        <v>193</v>
      </c>
      <c r="J299">
        <v>18569</v>
      </c>
      <c r="K299" t="s">
        <v>4789</v>
      </c>
      <c r="L299" s="1">
        <v>41075</v>
      </c>
      <c r="N299" t="s">
        <v>5127</v>
      </c>
      <c r="O299" t="s">
        <v>2458</v>
      </c>
      <c r="P299" t="s">
        <v>392</v>
      </c>
      <c r="Q299" t="s">
        <v>39</v>
      </c>
      <c r="R299" t="s">
        <v>40</v>
      </c>
      <c r="S299">
        <v>0</v>
      </c>
      <c r="U299" t="s">
        <v>41</v>
      </c>
      <c r="V299" t="s">
        <v>42</v>
      </c>
      <c r="X299" t="s">
        <v>74</v>
      </c>
      <c r="Y299" t="b">
        <v>0</v>
      </c>
      <c r="Z299" t="b">
        <v>0</v>
      </c>
      <c r="AC299" s="1"/>
      <c r="AF299">
        <v>0</v>
      </c>
      <c r="AG299">
        <v>45</v>
      </c>
      <c r="AH299">
        <v>238</v>
      </c>
      <c r="AI299" s="2">
        <f>Table__192.168.3.138BEWLPPMetaData[[#This Row],[NetAmount]]-Table__192.168.3.138BEWLPPMetaData[[#This Row],[Paid]]</f>
        <v>18569</v>
      </c>
    </row>
    <row r="300" spans="1:35" hidden="1">
      <c r="A300" t="s">
        <v>9094</v>
      </c>
      <c r="B300" s="1">
        <v>41080</v>
      </c>
      <c r="C300" s="1">
        <v>41125</v>
      </c>
      <c r="D300" t="s">
        <v>8910</v>
      </c>
      <c r="E300">
        <v>152572</v>
      </c>
      <c r="F300">
        <v>24413</v>
      </c>
      <c r="G300">
        <v>0</v>
      </c>
      <c r="H300">
        <v>0</v>
      </c>
      <c r="I300">
        <v>189</v>
      </c>
      <c r="J300">
        <v>176985</v>
      </c>
      <c r="K300" t="s">
        <v>2331</v>
      </c>
      <c r="L300" s="1">
        <v>41079</v>
      </c>
      <c r="N300" t="s">
        <v>5127</v>
      </c>
      <c r="O300" t="s">
        <v>2458</v>
      </c>
      <c r="P300" t="s">
        <v>392</v>
      </c>
      <c r="Q300" t="s">
        <v>39</v>
      </c>
      <c r="R300" t="s">
        <v>40</v>
      </c>
      <c r="S300">
        <v>0</v>
      </c>
      <c r="U300" t="s">
        <v>41</v>
      </c>
      <c r="V300" t="s">
        <v>42</v>
      </c>
      <c r="X300" t="s">
        <v>74</v>
      </c>
      <c r="Y300" t="b">
        <v>0</v>
      </c>
      <c r="Z300" t="b">
        <v>0</v>
      </c>
      <c r="AC300" s="1"/>
      <c r="AF300">
        <v>0</v>
      </c>
      <c r="AG300">
        <v>45</v>
      </c>
      <c r="AH300">
        <v>234</v>
      </c>
      <c r="AI300" s="2">
        <f>Table__192.168.3.138BEWLPPMetaData[[#This Row],[NetAmount]]-Table__192.168.3.138BEWLPPMetaData[[#This Row],[Paid]]</f>
        <v>176985</v>
      </c>
    </row>
    <row r="301" spans="1:35" hidden="1">
      <c r="A301" t="s">
        <v>9095</v>
      </c>
      <c r="B301" s="1">
        <v>41085</v>
      </c>
      <c r="C301" s="1">
        <v>41130</v>
      </c>
      <c r="D301" t="s">
        <v>8530</v>
      </c>
      <c r="E301">
        <v>75550</v>
      </c>
      <c r="F301">
        <v>12088</v>
      </c>
      <c r="G301">
        <v>0</v>
      </c>
      <c r="H301">
        <v>0</v>
      </c>
      <c r="I301">
        <v>191</v>
      </c>
      <c r="J301">
        <v>87638</v>
      </c>
      <c r="K301" t="s">
        <v>8116</v>
      </c>
      <c r="L301" s="1">
        <v>41077</v>
      </c>
      <c r="N301" t="s">
        <v>5127</v>
      </c>
      <c r="O301" t="s">
        <v>2458</v>
      </c>
      <c r="P301" t="s">
        <v>357</v>
      </c>
      <c r="Q301" t="s">
        <v>39</v>
      </c>
      <c r="R301" t="s">
        <v>40</v>
      </c>
      <c r="S301">
        <v>0</v>
      </c>
      <c r="U301" t="s">
        <v>41</v>
      </c>
      <c r="V301" t="s">
        <v>42</v>
      </c>
      <c r="X301" t="s">
        <v>74</v>
      </c>
      <c r="Y301" t="b">
        <v>0</v>
      </c>
      <c r="Z301" t="b">
        <v>0</v>
      </c>
      <c r="AC301" s="1"/>
      <c r="AF301">
        <v>0</v>
      </c>
      <c r="AG301">
        <v>45</v>
      </c>
      <c r="AH301">
        <v>236</v>
      </c>
      <c r="AI301" s="2">
        <f>Table__192.168.3.138BEWLPPMetaData[[#This Row],[NetAmount]]-Table__192.168.3.138BEWLPPMetaData[[#This Row],[Paid]]</f>
        <v>87638</v>
      </c>
    </row>
    <row r="302" spans="1:35" hidden="1">
      <c r="A302" t="s">
        <v>9096</v>
      </c>
      <c r="B302" s="1">
        <v>41085</v>
      </c>
      <c r="C302" s="1">
        <v>41130</v>
      </c>
      <c r="D302" t="s">
        <v>8530</v>
      </c>
      <c r="E302">
        <v>19165</v>
      </c>
      <c r="F302">
        <v>3066</v>
      </c>
      <c r="G302">
        <v>0</v>
      </c>
      <c r="H302">
        <v>0</v>
      </c>
      <c r="I302">
        <v>223</v>
      </c>
      <c r="J302">
        <v>22231</v>
      </c>
      <c r="K302" t="s">
        <v>9097</v>
      </c>
      <c r="L302" s="1">
        <v>41045</v>
      </c>
      <c r="N302" t="s">
        <v>5127</v>
      </c>
      <c r="O302" t="s">
        <v>2458</v>
      </c>
      <c r="P302" t="s">
        <v>357</v>
      </c>
      <c r="Q302" t="s">
        <v>39</v>
      </c>
      <c r="R302" t="s">
        <v>40</v>
      </c>
      <c r="S302">
        <v>0</v>
      </c>
      <c r="U302" t="s">
        <v>41</v>
      </c>
      <c r="V302" t="s">
        <v>42</v>
      </c>
      <c r="X302" t="s">
        <v>74</v>
      </c>
      <c r="Y302" t="b">
        <v>0</v>
      </c>
      <c r="Z302" t="b">
        <v>0</v>
      </c>
      <c r="AC302" s="1"/>
      <c r="AF302">
        <v>0</v>
      </c>
      <c r="AG302">
        <v>45</v>
      </c>
      <c r="AH302">
        <v>268</v>
      </c>
      <c r="AI302" s="2">
        <f>Table__192.168.3.138BEWLPPMetaData[[#This Row],[NetAmount]]-Table__192.168.3.138BEWLPPMetaData[[#This Row],[Paid]]</f>
        <v>22231</v>
      </c>
    </row>
    <row r="303" spans="1:35" hidden="1">
      <c r="A303" t="s">
        <v>9098</v>
      </c>
      <c r="B303" s="1">
        <v>41072</v>
      </c>
      <c r="C303" s="1">
        <v>41117</v>
      </c>
      <c r="D303" t="s">
        <v>8725</v>
      </c>
      <c r="E303">
        <v>23375</v>
      </c>
      <c r="F303">
        <v>0</v>
      </c>
      <c r="G303">
        <v>0</v>
      </c>
      <c r="H303">
        <v>0</v>
      </c>
      <c r="I303">
        <v>197</v>
      </c>
      <c r="J303">
        <v>23375</v>
      </c>
      <c r="K303" t="s">
        <v>9099</v>
      </c>
      <c r="L303" s="1">
        <v>41071</v>
      </c>
      <c r="M303" t="s">
        <v>9100</v>
      </c>
      <c r="N303" t="s">
        <v>5127</v>
      </c>
      <c r="O303" t="s">
        <v>2458</v>
      </c>
      <c r="P303" t="s">
        <v>8727</v>
      </c>
      <c r="Q303" t="s">
        <v>39</v>
      </c>
      <c r="R303" t="s">
        <v>40</v>
      </c>
      <c r="S303">
        <v>0</v>
      </c>
      <c r="U303" t="s">
        <v>41</v>
      </c>
      <c r="V303" t="s">
        <v>42</v>
      </c>
      <c r="W303" t="s">
        <v>9101</v>
      </c>
      <c r="X303" t="s">
        <v>74</v>
      </c>
      <c r="Y303" t="b">
        <v>0</v>
      </c>
      <c r="Z303" t="b">
        <v>0</v>
      </c>
      <c r="AA303" t="b">
        <v>0</v>
      </c>
      <c r="AC303" s="1"/>
      <c r="AF303">
        <v>0</v>
      </c>
      <c r="AG303">
        <v>45</v>
      </c>
      <c r="AH303">
        <v>242</v>
      </c>
      <c r="AI303" s="2">
        <f>Table__192.168.3.138BEWLPPMetaData[[#This Row],[NetAmount]]-Table__192.168.3.138BEWLPPMetaData[[#This Row],[Paid]]</f>
        <v>23375</v>
      </c>
    </row>
    <row r="304" spans="1:35" hidden="1">
      <c r="A304" t="s">
        <v>9102</v>
      </c>
      <c r="B304" s="1">
        <v>41060</v>
      </c>
      <c r="C304" s="1">
        <v>41105</v>
      </c>
      <c r="D304" t="s">
        <v>8725</v>
      </c>
      <c r="E304">
        <v>5200</v>
      </c>
      <c r="F304">
        <v>0</v>
      </c>
      <c r="G304">
        <v>0</v>
      </c>
      <c r="H304">
        <v>0</v>
      </c>
      <c r="I304">
        <v>210</v>
      </c>
      <c r="J304">
        <v>5200</v>
      </c>
      <c r="K304" t="s">
        <v>9103</v>
      </c>
      <c r="L304" s="1">
        <v>41058</v>
      </c>
      <c r="M304" t="s">
        <v>9104</v>
      </c>
      <c r="N304" t="s">
        <v>5127</v>
      </c>
      <c r="O304" t="s">
        <v>2458</v>
      </c>
      <c r="P304" t="s">
        <v>8727</v>
      </c>
      <c r="Q304" t="s">
        <v>39</v>
      </c>
      <c r="R304" t="s">
        <v>40</v>
      </c>
      <c r="S304">
        <v>0</v>
      </c>
      <c r="U304" t="s">
        <v>41</v>
      </c>
      <c r="V304" t="s">
        <v>42</v>
      </c>
      <c r="W304" t="s">
        <v>9105</v>
      </c>
      <c r="X304" t="s">
        <v>74</v>
      </c>
      <c r="Y304" t="b">
        <v>0</v>
      </c>
      <c r="Z304" t="b">
        <v>0</v>
      </c>
      <c r="AA304" t="b">
        <v>0</v>
      </c>
      <c r="AC304" s="1"/>
      <c r="AF304">
        <v>0</v>
      </c>
      <c r="AG304">
        <v>45</v>
      </c>
      <c r="AH304">
        <v>255</v>
      </c>
      <c r="AI304" s="2">
        <f>Table__192.168.3.138BEWLPPMetaData[[#This Row],[NetAmount]]-Table__192.168.3.138BEWLPPMetaData[[#This Row],[Paid]]</f>
        <v>5200</v>
      </c>
    </row>
    <row r="305" spans="1:35" hidden="1">
      <c r="A305" t="s">
        <v>9106</v>
      </c>
      <c r="B305" s="1">
        <v>41074</v>
      </c>
      <c r="C305" s="1">
        <v>41119</v>
      </c>
      <c r="D305" t="s">
        <v>8993</v>
      </c>
      <c r="E305">
        <v>828418</v>
      </c>
      <c r="F305">
        <v>132547</v>
      </c>
      <c r="G305">
        <v>0</v>
      </c>
      <c r="H305">
        <v>0</v>
      </c>
      <c r="I305">
        <v>200</v>
      </c>
      <c r="J305">
        <v>960965</v>
      </c>
      <c r="K305" t="s">
        <v>103</v>
      </c>
      <c r="L305" s="1">
        <v>41068</v>
      </c>
      <c r="N305" t="s">
        <v>5127</v>
      </c>
      <c r="O305" t="s">
        <v>2458</v>
      </c>
      <c r="P305" t="s">
        <v>365</v>
      </c>
      <c r="Q305" t="s">
        <v>39</v>
      </c>
      <c r="R305" t="s">
        <v>40</v>
      </c>
      <c r="S305">
        <v>0</v>
      </c>
      <c r="U305" t="s">
        <v>41</v>
      </c>
      <c r="V305" t="s">
        <v>42</v>
      </c>
      <c r="X305" t="s">
        <v>74</v>
      </c>
      <c r="Y305" t="b">
        <v>0</v>
      </c>
      <c r="Z305" t="b">
        <v>0</v>
      </c>
      <c r="AC305" s="1"/>
      <c r="AF305">
        <v>0</v>
      </c>
      <c r="AG305">
        <v>45</v>
      </c>
      <c r="AH305">
        <v>245</v>
      </c>
      <c r="AI305" s="2">
        <f>Table__192.168.3.138BEWLPPMetaData[[#This Row],[NetAmount]]-Table__192.168.3.138BEWLPPMetaData[[#This Row],[Paid]]</f>
        <v>960965</v>
      </c>
    </row>
    <row r="306" spans="1:35" hidden="1">
      <c r="A306" t="s">
        <v>9107</v>
      </c>
      <c r="B306" s="1">
        <v>41075</v>
      </c>
      <c r="C306" s="1">
        <v>41120</v>
      </c>
      <c r="D306" t="s">
        <v>8603</v>
      </c>
      <c r="E306">
        <v>5011</v>
      </c>
      <c r="F306">
        <v>802</v>
      </c>
      <c r="G306">
        <v>0</v>
      </c>
      <c r="H306">
        <v>0</v>
      </c>
      <c r="I306">
        <v>194</v>
      </c>
      <c r="J306">
        <v>5813</v>
      </c>
      <c r="K306" t="s">
        <v>9108</v>
      </c>
      <c r="L306" s="1">
        <v>41074</v>
      </c>
      <c r="N306" t="s">
        <v>5127</v>
      </c>
      <c r="O306" t="s">
        <v>2458</v>
      </c>
      <c r="P306" t="s">
        <v>304</v>
      </c>
      <c r="Q306" t="s">
        <v>39</v>
      </c>
      <c r="R306" t="s">
        <v>40</v>
      </c>
      <c r="S306">
        <v>0</v>
      </c>
      <c r="U306" t="s">
        <v>41</v>
      </c>
      <c r="V306" t="s">
        <v>42</v>
      </c>
      <c r="X306" t="s">
        <v>74</v>
      </c>
      <c r="Y306" t="b">
        <v>0</v>
      </c>
      <c r="Z306" t="b">
        <v>0</v>
      </c>
      <c r="AC306" s="1"/>
      <c r="AF306">
        <v>0</v>
      </c>
      <c r="AG306">
        <v>45</v>
      </c>
      <c r="AH306">
        <v>239</v>
      </c>
      <c r="AI306" s="2">
        <f>Table__192.168.3.138BEWLPPMetaData[[#This Row],[NetAmount]]-Table__192.168.3.138BEWLPPMetaData[[#This Row],[Paid]]</f>
        <v>5813</v>
      </c>
    </row>
    <row r="307" spans="1:35" hidden="1">
      <c r="A307" t="s">
        <v>9109</v>
      </c>
      <c r="B307" s="1">
        <v>41087</v>
      </c>
      <c r="C307" s="1">
        <v>41132</v>
      </c>
      <c r="D307" t="s">
        <v>8993</v>
      </c>
      <c r="E307">
        <v>108466</v>
      </c>
      <c r="F307">
        <v>17354</v>
      </c>
      <c r="G307">
        <v>0</v>
      </c>
      <c r="H307">
        <v>0</v>
      </c>
      <c r="I307">
        <v>189</v>
      </c>
      <c r="J307">
        <v>125820</v>
      </c>
      <c r="K307" t="s">
        <v>118</v>
      </c>
      <c r="L307" s="1">
        <v>41079</v>
      </c>
      <c r="N307" t="s">
        <v>5127</v>
      </c>
      <c r="O307" t="s">
        <v>2458</v>
      </c>
      <c r="P307" t="s">
        <v>365</v>
      </c>
      <c r="Q307" t="s">
        <v>39</v>
      </c>
      <c r="R307" t="s">
        <v>40</v>
      </c>
      <c r="S307">
        <v>0</v>
      </c>
      <c r="U307" t="s">
        <v>41</v>
      </c>
      <c r="V307" t="s">
        <v>42</v>
      </c>
      <c r="X307" t="s">
        <v>74</v>
      </c>
      <c r="Y307" t="b">
        <v>0</v>
      </c>
      <c r="Z307" t="b">
        <v>0</v>
      </c>
      <c r="AC307" s="1"/>
      <c r="AF307">
        <v>0</v>
      </c>
      <c r="AG307">
        <v>45</v>
      </c>
      <c r="AH307">
        <v>234</v>
      </c>
      <c r="AI307" s="2">
        <f>Table__192.168.3.138BEWLPPMetaData[[#This Row],[NetAmount]]-Table__192.168.3.138BEWLPPMetaData[[#This Row],[Paid]]</f>
        <v>125820</v>
      </c>
    </row>
    <row r="308" spans="1:35" hidden="1">
      <c r="A308" t="s">
        <v>9110</v>
      </c>
      <c r="B308" s="1">
        <v>41087</v>
      </c>
      <c r="C308" s="1">
        <v>41132</v>
      </c>
      <c r="D308" t="s">
        <v>9003</v>
      </c>
      <c r="E308">
        <v>18000</v>
      </c>
      <c r="F308">
        <v>0</v>
      </c>
      <c r="G308">
        <v>0</v>
      </c>
      <c r="H308">
        <v>0</v>
      </c>
      <c r="I308">
        <v>183</v>
      </c>
      <c r="J308">
        <v>18000</v>
      </c>
      <c r="K308" t="s">
        <v>4220</v>
      </c>
      <c r="L308" s="1">
        <v>41085</v>
      </c>
      <c r="M308" t="s">
        <v>9111</v>
      </c>
      <c r="N308" t="s">
        <v>5127</v>
      </c>
      <c r="O308" t="s">
        <v>2458</v>
      </c>
      <c r="P308" t="s">
        <v>9005</v>
      </c>
      <c r="Q308" t="s">
        <v>39</v>
      </c>
      <c r="R308" t="s">
        <v>40</v>
      </c>
      <c r="S308">
        <v>0</v>
      </c>
      <c r="U308" t="s">
        <v>41</v>
      </c>
      <c r="V308" t="s">
        <v>42</v>
      </c>
      <c r="W308" t="s">
        <v>9006</v>
      </c>
      <c r="X308" t="s">
        <v>74</v>
      </c>
      <c r="Y308" t="b">
        <v>0</v>
      </c>
      <c r="Z308" t="b">
        <v>0</v>
      </c>
      <c r="AA308" t="b">
        <v>0</v>
      </c>
      <c r="AC308" s="1"/>
      <c r="AF308">
        <v>0</v>
      </c>
      <c r="AG308">
        <v>45</v>
      </c>
      <c r="AH308">
        <v>228</v>
      </c>
      <c r="AI308" s="2">
        <f>Table__192.168.3.138BEWLPPMetaData[[#This Row],[NetAmount]]-Table__192.168.3.138BEWLPPMetaData[[#This Row],[Paid]]</f>
        <v>18000</v>
      </c>
    </row>
    <row r="309" spans="1:35" hidden="1">
      <c r="A309" t="s">
        <v>9112</v>
      </c>
      <c r="B309" s="1">
        <v>41080</v>
      </c>
      <c r="C309" s="1">
        <v>41125</v>
      </c>
      <c r="D309" t="s">
        <v>8527</v>
      </c>
      <c r="E309">
        <v>10500</v>
      </c>
      <c r="F309">
        <v>1680</v>
      </c>
      <c r="G309">
        <v>0</v>
      </c>
      <c r="H309">
        <v>0</v>
      </c>
      <c r="I309">
        <v>190</v>
      </c>
      <c r="J309">
        <v>12180</v>
      </c>
      <c r="K309" t="s">
        <v>2243</v>
      </c>
      <c r="L309" s="1">
        <v>41078</v>
      </c>
      <c r="N309" t="s">
        <v>5127</v>
      </c>
      <c r="O309" t="s">
        <v>2458</v>
      </c>
      <c r="P309" t="s">
        <v>8528</v>
      </c>
      <c r="Q309" t="s">
        <v>39</v>
      </c>
      <c r="R309" t="s">
        <v>40</v>
      </c>
      <c r="S309">
        <v>0</v>
      </c>
      <c r="U309" t="s">
        <v>41</v>
      </c>
      <c r="V309" t="s">
        <v>42</v>
      </c>
      <c r="X309" t="s">
        <v>74</v>
      </c>
      <c r="Y309" t="b">
        <v>0</v>
      </c>
      <c r="Z309" t="b">
        <v>0</v>
      </c>
      <c r="AC309" s="1"/>
      <c r="AF309">
        <v>0</v>
      </c>
      <c r="AG309">
        <v>45</v>
      </c>
      <c r="AH309">
        <v>235</v>
      </c>
      <c r="AI309" s="2">
        <f>Table__192.168.3.138BEWLPPMetaData[[#This Row],[NetAmount]]-Table__192.168.3.138BEWLPPMetaData[[#This Row],[Paid]]</f>
        <v>12180</v>
      </c>
    </row>
    <row r="310" spans="1:35" hidden="1">
      <c r="A310" t="s">
        <v>9113</v>
      </c>
      <c r="B310" s="1">
        <v>41071</v>
      </c>
      <c r="C310" s="1">
        <v>41116</v>
      </c>
      <c r="D310" t="s">
        <v>8527</v>
      </c>
      <c r="E310">
        <v>33400</v>
      </c>
      <c r="F310">
        <v>5344</v>
      </c>
      <c r="G310">
        <v>0</v>
      </c>
      <c r="H310">
        <v>0</v>
      </c>
      <c r="I310">
        <v>199</v>
      </c>
      <c r="J310">
        <v>38744</v>
      </c>
      <c r="K310" t="s">
        <v>9114</v>
      </c>
      <c r="L310" s="1">
        <v>41069</v>
      </c>
      <c r="N310" t="s">
        <v>5127</v>
      </c>
      <c r="O310" t="s">
        <v>2458</v>
      </c>
      <c r="P310" t="s">
        <v>8528</v>
      </c>
      <c r="Q310" t="s">
        <v>39</v>
      </c>
      <c r="R310" t="s">
        <v>40</v>
      </c>
      <c r="S310">
        <v>0</v>
      </c>
      <c r="U310" t="s">
        <v>41</v>
      </c>
      <c r="V310" t="s">
        <v>42</v>
      </c>
      <c r="X310" t="s">
        <v>74</v>
      </c>
      <c r="Y310" t="b">
        <v>0</v>
      </c>
      <c r="Z310" t="b">
        <v>0</v>
      </c>
      <c r="AC310" s="1"/>
      <c r="AF310">
        <v>0</v>
      </c>
      <c r="AG310">
        <v>45</v>
      </c>
      <c r="AH310">
        <v>244</v>
      </c>
      <c r="AI310" s="2">
        <f>Table__192.168.3.138BEWLPPMetaData[[#This Row],[NetAmount]]-Table__192.168.3.138BEWLPPMetaData[[#This Row],[Paid]]</f>
        <v>38744</v>
      </c>
    </row>
    <row r="311" spans="1:35" hidden="1">
      <c r="A311" t="s">
        <v>9115</v>
      </c>
      <c r="B311" s="1">
        <v>41067</v>
      </c>
      <c r="C311" s="1">
        <v>41112</v>
      </c>
      <c r="D311" t="s">
        <v>8527</v>
      </c>
      <c r="E311">
        <v>7000</v>
      </c>
      <c r="F311">
        <v>1120</v>
      </c>
      <c r="G311">
        <v>0</v>
      </c>
      <c r="H311">
        <v>0</v>
      </c>
      <c r="I311">
        <v>207</v>
      </c>
      <c r="J311">
        <v>8120</v>
      </c>
      <c r="K311" t="s">
        <v>9116</v>
      </c>
      <c r="L311" s="1">
        <v>41061</v>
      </c>
      <c r="N311" t="s">
        <v>5127</v>
      </c>
      <c r="O311" t="s">
        <v>2458</v>
      </c>
      <c r="P311" t="s">
        <v>8528</v>
      </c>
      <c r="Q311" t="s">
        <v>39</v>
      </c>
      <c r="R311" t="s">
        <v>40</v>
      </c>
      <c r="S311">
        <v>0</v>
      </c>
      <c r="U311" t="s">
        <v>41</v>
      </c>
      <c r="V311" t="s">
        <v>42</v>
      </c>
      <c r="X311" t="s">
        <v>74</v>
      </c>
      <c r="Y311" t="b">
        <v>0</v>
      </c>
      <c r="Z311" t="b">
        <v>0</v>
      </c>
      <c r="AC311" s="1"/>
      <c r="AF311">
        <v>0</v>
      </c>
      <c r="AG311">
        <v>45</v>
      </c>
      <c r="AH311">
        <v>252</v>
      </c>
      <c r="AI311" s="2">
        <f>Table__192.168.3.138BEWLPPMetaData[[#This Row],[NetAmount]]-Table__192.168.3.138BEWLPPMetaData[[#This Row],[Paid]]</f>
        <v>8120</v>
      </c>
    </row>
    <row r="312" spans="1:35" hidden="1">
      <c r="A312" t="s">
        <v>9117</v>
      </c>
      <c r="B312" s="1">
        <v>41065</v>
      </c>
      <c r="C312" s="1">
        <v>41110</v>
      </c>
      <c r="D312" t="s">
        <v>8725</v>
      </c>
      <c r="E312">
        <v>32583</v>
      </c>
      <c r="F312">
        <v>0</v>
      </c>
      <c r="G312">
        <v>0</v>
      </c>
      <c r="H312">
        <v>0</v>
      </c>
      <c r="I312">
        <v>203</v>
      </c>
      <c r="J312">
        <v>32583</v>
      </c>
      <c r="K312" t="s">
        <v>2064</v>
      </c>
      <c r="L312" s="1">
        <v>41065</v>
      </c>
      <c r="M312" t="s">
        <v>9118</v>
      </c>
      <c r="N312" t="s">
        <v>5127</v>
      </c>
      <c r="O312" t="s">
        <v>2458</v>
      </c>
      <c r="P312" t="s">
        <v>8727</v>
      </c>
      <c r="Q312" t="s">
        <v>39</v>
      </c>
      <c r="R312" t="s">
        <v>40</v>
      </c>
      <c r="S312">
        <v>0</v>
      </c>
      <c r="U312" t="s">
        <v>41</v>
      </c>
      <c r="V312" t="s">
        <v>42</v>
      </c>
      <c r="W312" t="s">
        <v>9105</v>
      </c>
      <c r="X312" t="s">
        <v>74</v>
      </c>
      <c r="Y312" t="b">
        <v>0</v>
      </c>
      <c r="Z312" t="b">
        <v>0</v>
      </c>
      <c r="AA312" t="b">
        <v>0</v>
      </c>
      <c r="AC312" s="1"/>
      <c r="AF312">
        <v>0</v>
      </c>
      <c r="AG312">
        <v>45</v>
      </c>
      <c r="AH312">
        <v>248</v>
      </c>
      <c r="AI312" s="2">
        <f>Table__192.168.3.138BEWLPPMetaData[[#This Row],[NetAmount]]-Table__192.168.3.138BEWLPPMetaData[[#This Row],[Paid]]</f>
        <v>32583</v>
      </c>
    </row>
    <row r="313" spans="1:35" hidden="1">
      <c r="A313" t="s">
        <v>9119</v>
      </c>
      <c r="B313" s="1">
        <v>41066</v>
      </c>
      <c r="C313" s="1">
        <v>41111</v>
      </c>
      <c r="D313" t="s">
        <v>8725</v>
      </c>
      <c r="E313">
        <v>9697</v>
      </c>
      <c r="F313">
        <v>0</v>
      </c>
      <c r="G313">
        <v>0</v>
      </c>
      <c r="H313">
        <v>0</v>
      </c>
      <c r="I313">
        <v>207</v>
      </c>
      <c r="J313">
        <v>9697</v>
      </c>
      <c r="K313" t="s">
        <v>1716</v>
      </c>
      <c r="L313" s="1">
        <v>41061</v>
      </c>
      <c r="M313" t="s">
        <v>9120</v>
      </c>
      <c r="N313" t="s">
        <v>5127</v>
      </c>
      <c r="O313" t="s">
        <v>2458</v>
      </c>
      <c r="P313" t="s">
        <v>8727</v>
      </c>
      <c r="Q313" t="s">
        <v>39</v>
      </c>
      <c r="R313" t="s">
        <v>40</v>
      </c>
      <c r="S313">
        <v>0</v>
      </c>
      <c r="U313" t="s">
        <v>41</v>
      </c>
      <c r="V313" t="s">
        <v>42</v>
      </c>
      <c r="W313" t="s">
        <v>9105</v>
      </c>
      <c r="X313" t="s">
        <v>74</v>
      </c>
      <c r="Y313" t="b">
        <v>0</v>
      </c>
      <c r="Z313" t="b">
        <v>0</v>
      </c>
      <c r="AA313" t="b">
        <v>0</v>
      </c>
      <c r="AC313" s="1"/>
      <c r="AF313">
        <v>0</v>
      </c>
      <c r="AG313">
        <v>45</v>
      </c>
      <c r="AH313">
        <v>252</v>
      </c>
      <c r="AI313" s="2">
        <f>Table__192.168.3.138BEWLPPMetaData[[#This Row],[NetAmount]]-Table__192.168.3.138BEWLPPMetaData[[#This Row],[Paid]]</f>
        <v>9697</v>
      </c>
    </row>
    <row r="314" spans="1:35" hidden="1">
      <c r="A314" t="s">
        <v>9121</v>
      </c>
      <c r="B314" s="1">
        <v>41090</v>
      </c>
      <c r="C314" s="1">
        <v>41135</v>
      </c>
      <c r="D314" t="s">
        <v>8725</v>
      </c>
      <c r="E314">
        <v>40080</v>
      </c>
      <c r="F314">
        <v>0</v>
      </c>
      <c r="G314">
        <v>0</v>
      </c>
      <c r="H314">
        <v>0</v>
      </c>
      <c r="I314">
        <v>185</v>
      </c>
      <c r="J314">
        <v>40080</v>
      </c>
      <c r="K314" t="s">
        <v>9122</v>
      </c>
      <c r="L314" s="1">
        <v>41083</v>
      </c>
      <c r="M314" t="s">
        <v>9123</v>
      </c>
      <c r="N314" t="s">
        <v>5127</v>
      </c>
      <c r="O314" t="s">
        <v>2458</v>
      </c>
      <c r="P314" t="s">
        <v>8727</v>
      </c>
      <c r="Q314" t="s">
        <v>39</v>
      </c>
      <c r="R314" t="s">
        <v>40</v>
      </c>
      <c r="S314">
        <v>0</v>
      </c>
      <c r="U314" t="s">
        <v>41</v>
      </c>
      <c r="V314" t="s">
        <v>42</v>
      </c>
      <c r="W314" t="s">
        <v>9101</v>
      </c>
      <c r="X314" t="s">
        <v>74</v>
      </c>
      <c r="Y314" t="b">
        <v>0</v>
      </c>
      <c r="Z314" t="b">
        <v>0</v>
      </c>
      <c r="AA314" t="b">
        <v>0</v>
      </c>
      <c r="AC314" s="1"/>
      <c r="AF314">
        <v>0</v>
      </c>
      <c r="AG314">
        <v>45</v>
      </c>
      <c r="AH314">
        <v>230</v>
      </c>
      <c r="AI314" s="2">
        <f>Table__192.168.3.138BEWLPPMetaData[[#This Row],[NetAmount]]-Table__192.168.3.138BEWLPPMetaData[[#This Row],[Paid]]</f>
        <v>40080</v>
      </c>
    </row>
    <row r="315" spans="1:35" hidden="1">
      <c r="A315" t="s">
        <v>9124</v>
      </c>
      <c r="B315" s="1">
        <v>41085</v>
      </c>
      <c r="C315" s="1">
        <v>41130</v>
      </c>
      <c r="D315" t="s">
        <v>8577</v>
      </c>
      <c r="E315">
        <v>57150</v>
      </c>
      <c r="F315">
        <v>0</v>
      </c>
      <c r="G315">
        <v>0</v>
      </c>
      <c r="H315">
        <v>0</v>
      </c>
      <c r="I315">
        <v>187</v>
      </c>
      <c r="J315">
        <v>57150</v>
      </c>
      <c r="K315" t="s">
        <v>1606</v>
      </c>
      <c r="L315" s="1">
        <v>41081</v>
      </c>
      <c r="N315" t="s">
        <v>5127</v>
      </c>
      <c r="O315" t="s">
        <v>2458</v>
      </c>
      <c r="P315" t="s">
        <v>8579</v>
      </c>
      <c r="Q315" t="s">
        <v>39</v>
      </c>
      <c r="R315" t="s">
        <v>40</v>
      </c>
      <c r="S315">
        <v>0</v>
      </c>
      <c r="U315" t="s">
        <v>41</v>
      </c>
      <c r="V315" t="s">
        <v>42</v>
      </c>
      <c r="X315" t="s">
        <v>74</v>
      </c>
      <c r="Y315" t="b">
        <v>0</v>
      </c>
      <c r="Z315" t="b">
        <v>0</v>
      </c>
      <c r="AC315" s="1"/>
      <c r="AF315">
        <v>0</v>
      </c>
      <c r="AG315">
        <v>45</v>
      </c>
      <c r="AH315">
        <v>232</v>
      </c>
      <c r="AI315" s="2">
        <f>Table__192.168.3.138BEWLPPMetaData[[#This Row],[NetAmount]]-Table__192.168.3.138BEWLPPMetaData[[#This Row],[Paid]]</f>
        <v>57150</v>
      </c>
    </row>
    <row r="316" spans="1:35" hidden="1">
      <c r="A316" t="s">
        <v>9125</v>
      </c>
      <c r="B316" s="1">
        <v>41089</v>
      </c>
      <c r="C316" s="1">
        <v>41134</v>
      </c>
      <c r="D316" t="s">
        <v>8574</v>
      </c>
      <c r="E316">
        <v>60340</v>
      </c>
      <c r="F316">
        <v>9654</v>
      </c>
      <c r="G316">
        <v>0</v>
      </c>
      <c r="H316">
        <v>0</v>
      </c>
      <c r="I316">
        <v>185</v>
      </c>
      <c r="J316">
        <v>69994</v>
      </c>
      <c r="K316" t="s">
        <v>9126</v>
      </c>
      <c r="L316" s="1">
        <v>41083</v>
      </c>
      <c r="N316" t="s">
        <v>5127</v>
      </c>
      <c r="O316" t="s">
        <v>2458</v>
      </c>
      <c r="P316" t="s">
        <v>344</v>
      </c>
      <c r="Q316" t="s">
        <v>39</v>
      </c>
      <c r="R316" t="s">
        <v>40</v>
      </c>
      <c r="S316">
        <v>0</v>
      </c>
      <c r="U316" t="s">
        <v>41</v>
      </c>
      <c r="V316" t="s">
        <v>42</v>
      </c>
      <c r="X316" t="s">
        <v>74</v>
      </c>
      <c r="Y316" t="b">
        <v>0</v>
      </c>
      <c r="Z316" t="b">
        <v>0</v>
      </c>
      <c r="AC316" s="1"/>
      <c r="AF316">
        <v>0</v>
      </c>
      <c r="AG316">
        <v>45</v>
      </c>
      <c r="AH316">
        <v>230</v>
      </c>
      <c r="AI316" s="2">
        <f>Table__192.168.3.138BEWLPPMetaData[[#This Row],[NetAmount]]-Table__192.168.3.138BEWLPPMetaData[[#This Row],[Paid]]</f>
        <v>69994</v>
      </c>
    </row>
    <row r="317" spans="1:35" hidden="1">
      <c r="A317" t="s">
        <v>9127</v>
      </c>
      <c r="B317" s="1">
        <v>41075</v>
      </c>
      <c r="C317" s="1">
        <v>41120</v>
      </c>
      <c r="D317" t="s">
        <v>8721</v>
      </c>
      <c r="E317">
        <v>24000</v>
      </c>
      <c r="F317">
        <v>3840</v>
      </c>
      <c r="G317">
        <v>0</v>
      </c>
      <c r="H317">
        <v>0</v>
      </c>
      <c r="I317">
        <v>194</v>
      </c>
      <c r="J317">
        <v>27840</v>
      </c>
      <c r="K317" t="s">
        <v>9128</v>
      </c>
      <c r="L317" s="1">
        <v>41074</v>
      </c>
      <c r="N317" t="s">
        <v>5127</v>
      </c>
      <c r="O317" t="s">
        <v>2458</v>
      </c>
      <c r="P317" t="s">
        <v>8723</v>
      </c>
      <c r="Q317" t="s">
        <v>39</v>
      </c>
      <c r="R317" t="s">
        <v>40</v>
      </c>
      <c r="S317">
        <v>0</v>
      </c>
      <c r="U317" t="s">
        <v>41</v>
      </c>
      <c r="V317" t="s">
        <v>42</v>
      </c>
      <c r="X317" t="s">
        <v>74</v>
      </c>
      <c r="Y317" t="b">
        <v>0</v>
      </c>
      <c r="Z317" t="b">
        <v>0</v>
      </c>
      <c r="AC317" s="1"/>
      <c r="AF317">
        <v>0</v>
      </c>
      <c r="AG317">
        <v>45</v>
      </c>
      <c r="AH317">
        <v>239</v>
      </c>
      <c r="AI317" s="2">
        <f>Table__192.168.3.138BEWLPPMetaData[[#This Row],[NetAmount]]-Table__192.168.3.138BEWLPPMetaData[[#This Row],[Paid]]</f>
        <v>27840</v>
      </c>
    </row>
    <row r="318" spans="1:35" hidden="1">
      <c r="A318" t="s">
        <v>9129</v>
      </c>
      <c r="B318" s="1">
        <v>41075</v>
      </c>
      <c r="C318" s="1">
        <v>41120</v>
      </c>
      <c r="D318" t="s">
        <v>8577</v>
      </c>
      <c r="E318">
        <v>9200</v>
      </c>
      <c r="F318">
        <v>0</v>
      </c>
      <c r="G318">
        <v>0</v>
      </c>
      <c r="H318">
        <v>0</v>
      </c>
      <c r="I318">
        <v>196</v>
      </c>
      <c r="J318">
        <v>9200</v>
      </c>
      <c r="K318" t="s">
        <v>9130</v>
      </c>
      <c r="L318" s="1">
        <v>41072</v>
      </c>
      <c r="N318" t="s">
        <v>5127</v>
      </c>
      <c r="O318" t="s">
        <v>2458</v>
      </c>
      <c r="P318" t="s">
        <v>8579</v>
      </c>
      <c r="Q318" t="s">
        <v>39</v>
      </c>
      <c r="R318" t="s">
        <v>40</v>
      </c>
      <c r="S318">
        <v>0</v>
      </c>
      <c r="U318" t="s">
        <v>41</v>
      </c>
      <c r="V318" t="s">
        <v>42</v>
      </c>
      <c r="X318" t="s">
        <v>74</v>
      </c>
      <c r="Y318" t="b">
        <v>0</v>
      </c>
      <c r="Z318" t="b">
        <v>0</v>
      </c>
      <c r="AC318" s="1"/>
      <c r="AF318">
        <v>0</v>
      </c>
      <c r="AG318">
        <v>45</v>
      </c>
      <c r="AH318">
        <v>241</v>
      </c>
      <c r="AI318" s="2">
        <f>Table__192.168.3.138BEWLPPMetaData[[#This Row],[NetAmount]]-Table__192.168.3.138BEWLPPMetaData[[#This Row],[Paid]]</f>
        <v>9200</v>
      </c>
    </row>
    <row r="319" spans="1:35" hidden="1">
      <c r="A319" t="s">
        <v>9131</v>
      </c>
      <c r="B319" s="1">
        <v>41071</v>
      </c>
      <c r="C319" s="1">
        <v>41116</v>
      </c>
      <c r="D319" t="s">
        <v>8577</v>
      </c>
      <c r="E319">
        <v>11900</v>
      </c>
      <c r="F319">
        <v>0</v>
      </c>
      <c r="G319">
        <v>0</v>
      </c>
      <c r="H319">
        <v>0</v>
      </c>
      <c r="I319">
        <v>199</v>
      </c>
      <c r="J319">
        <v>11900</v>
      </c>
      <c r="K319" t="s">
        <v>7613</v>
      </c>
      <c r="L319" s="1">
        <v>41069</v>
      </c>
      <c r="N319" t="s">
        <v>5127</v>
      </c>
      <c r="O319" t="s">
        <v>2458</v>
      </c>
      <c r="P319" t="s">
        <v>8579</v>
      </c>
      <c r="Q319" t="s">
        <v>39</v>
      </c>
      <c r="R319" t="s">
        <v>40</v>
      </c>
      <c r="S319">
        <v>0</v>
      </c>
      <c r="U319" t="s">
        <v>41</v>
      </c>
      <c r="V319" t="s">
        <v>42</v>
      </c>
      <c r="X319" t="s">
        <v>74</v>
      </c>
      <c r="Y319" t="b">
        <v>0</v>
      </c>
      <c r="Z319" t="b">
        <v>0</v>
      </c>
      <c r="AC319" s="1"/>
      <c r="AF319">
        <v>0</v>
      </c>
      <c r="AG319">
        <v>45</v>
      </c>
      <c r="AH319">
        <v>244</v>
      </c>
      <c r="AI319" s="2">
        <f>Table__192.168.3.138BEWLPPMetaData[[#This Row],[NetAmount]]-Table__192.168.3.138BEWLPPMetaData[[#This Row],[Paid]]</f>
        <v>11900</v>
      </c>
    </row>
    <row r="320" spans="1:35" hidden="1">
      <c r="A320" t="s">
        <v>9132</v>
      </c>
      <c r="B320" s="1">
        <v>41071</v>
      </c>
      <c r="C320" s="1">
        <v>41116</v>
      </c>
      <c r="D320" t="s">
        <v>8577</v>
      </c>
      <c r="E320">
        <v>13800</v>
      </c>
      <c r="F320">
        <v>0</v>
      </c>
      <c r="G320">
        <v>0</v>
      </c>
      <c r="H320">
        <v>0</v>
      </c>
      <c r="I320">
        <v>201</v>
      </c>
      <c r="J320">
        <v>13800</v>
      </c>
      <c r="K320" t="s">
        <v>1226</v>
      </c>
      <c r="L320" s="1">
        <v>41067</v>
      </c>
      <c r="N320" t="s">
        <v>5127</v>
      </c>
      <c r="O320" t="s">
        <v>2458</v>
      </c>
      <c r="P320" t="s">
        <v>8579</v>
      </c>
      <c r="Q320" t="s">
        <v>39</v>
      </c>
      <c r="R320" t="s">
        <v>40</v>
      </c>
      <c r="S320">
        <v>0</v>
      </c>
      <c r="U320" t="s">
        <v>41</v>
      </c>
      <c r="V320" t="s">
        <v>42</v>
      </c>
      <c r="X320" t="s">
        <v>74</v>
      </c>
      <c r="Y320" t="b">
        <v>0</v>
      </c>
      <c r="Z320" t="b">
        <v>0</v>
      </c>
      <c r="AC320" s="1"/>
      <c r="AF320">
        <v>0</v>
      </c>
      <c r="AG320">
        <v>45</v>
      </c>
      <c r="AH320">
        <v>246</v>
      </c>
      <c r="AI320" s="2">
        <f>Table__192.168.3.138BEWLPPMetaData[[#This Row],[NetAmount]]-Table__192.168.3.138BEWLPPMetaData[[#This Row],[Paid]]</f>
        <v>13800</v>
      </c>
    </row>
    <row r="321" spans="1:35" hidden="1">
      <c r="A321" t="s">
        <v>9133</v>
      </c>
      <c r="B321" s="1">
        <v>41069</v>
      </c>
      <c r="C321" s="1">
        <v>41114</v>
      </c>
      <c r="D321" t="s">
        <v>8577</v>
      </c>
      <c r="E321">
        <v>2400</v>
      </c>
      <c r="F321">
        <v>0</v>
      </c>
      <c r="G321">
        <v>0</v>
      </c>
      <c r="H321">
        <v>0</v>
      </c>
      <c r="I321">
        <v>202</v>
      </c>
      <c r="J321">
        <v>2400</v>
      </c>
      <c r="K321" t="s">
        <v>5816</v>
      </c>
      <c r="L321" s="1">
        <v>41066</v>
      </c>
      <c r="N321" t="s">
        <v>5127</v>
      </c>
      <c r="O321" t="s">
        <v>2458</v>
      </c>
      <c r="P321" t="s">
        <v>8579</v>
      </c>
      <c r="Q321" t="s">
        <v>39</v>
      </c>
      <c r="R321" t="s">
        <v>40</v>
      </c>
      <c r="S321">
        <v>0</v>
      </c>
      <c r="U321" t="s">
        <v>41</v>
      </c>
      <c r="V321" t="s">
        <v>42</v>
      </c>
      <c r="X321" t="s">
        <v>74</v>
      </c>
      <c r="Y321" t="b">
        <v>0</v>
      </c>
      <c r="Z321" t="b">
        <v>0</v>
      </c>
      <c r="AC321" s="1"/>
      <c r="AF321">
        <v>0</v>
      </c>
      <c r="AG321">
        <v>45</v>
      </c>
      <c r="AH321">
        <v>247</v>
      </c>
      <c r="AI321" s="2">
        <f>Table__192.168.3.138BEWLPPMetaData[[#This Row],[NetAmount]]-Table__192.168.3.138BEWLPPMetaData[[#This Row],[Paid]]</f>
        <v>2400</v>
      </c>
    </row>
    <row r="322" spans="1:35" hidden="1">
      <c r="A322" t="s">
        <v>9134</v>
      </c>
      <c r="B322" s="1">
        <v>41080</v>
      </c>
      <c r="C322" s="1">
        <v>41125</v>
      </c>
      <c r="D322" t="s">
        <v>8721</v>
      </c>
      <c r="E322">
        <v>36000</v>
      </c>
      <c r="F322">
        <v>5760</v>
      </c>
      <c r="G322">
        <v>0</v>
      </c>
      <c r="H322">
        <v>0</v>
      </c>
      <c r="I322">
        <v>189</v>
      </c>
      <c r="J322">
        <v>41760</v>
      </c>
      <c r="K322" t="s">
        <v>9135</v>
      </c>
      <c r="L322" s="1">
        <v>41079</v>
      </c>
      <c r="N322" t="s">
        <v>5127</v>
      </c>
      <c r="O322" t="s">
        <v>2458</v>
      </c>
      <c r="P322" t="s">
        <v>8723</v>
      </c>
      <c r="Q322" t="s">
        <v>39</v>
      </c>
      <c r="R322" t="s">
        <v>40</v>
      </c>
      <c r="S322">
        <v>0</v>
      </c>
      <c r="U322" t="s">
        <v>41</v>
      </c>
      <c r="V322" t="s">
        <v>42</v>
      </c>
      <c r="X322" t="s">
        <v>74</v>
      </c>
      <c r="Y322" t="b">
        <v>0</v>
      </c>
      <c r="Z322" t="b">
        <v>0</v>
      </c>
      <c r="AC322" s="1"/>
      <c r="AF322">
        <v>0</v>
      </c>
      <c r="AG322">
        <v>45</v>
      </c>
      <c r="AH322">
        <v>234</v>
      </c>
      <c r="AI322" s="2">
        <f>Table__192.168.3.138BEWLPPMetaData[[#This Row],[NetAmount]]-Table__192.168.3.138BEWLPPMetaData[[#This Row],[Paid]]</f>
        <v>41760</v>
      </c>
    </row>
    <row r="323" spans="1:35" hidden="1">
      <c r="A323" t="s">
        <v>9136</v>
      </c>
      <c r="B323" s="1">
        <v>41079</v>
      </c>
      <c r="C323" s="1">
        <v>41124</v>
      </c>
      <c r="D323" t="s">
        <v>8530</v>
      </c>
      <c r="E323">
        <v>34293</v>
      </c>
      <c r="F323">
        <v>5487</v>
      </c>
      <c r="G323">
        <v>0</v>
      </c>
      <c r="H323">
        <v>0</v>
      </c>
      <c r="I323">
        <v>189</v>
      </c>
      <c r="J323">
        <v>39780</v>
      </c>
      <c r="K323" t="s">
        <v>9137</v>
      </c>
      <c r="L323" s="1">
        <v>41079</v>
      </c>
      <c r="N323" t="s">
        <v>5127</v>
      </c>
      <c r="O323" t="s">
        <v>2458</v>
      </c>
      <c r="P323" t="s">
        <v>357</v>
      </c>
      <c r="Q323" t="s">
        <v>39</v>
      </c>
      <c r="R323" t="s">
        <v>40</v>
      </c>
      <c r="S323">
        <v>0</v>
      </c>
      <c r="U323" t="s">
        <v>41</v>
      </c>
      <c r="V323" t="s">
        <v>42</v>
      </c>
      <c r="X323" t="s">
        <v>74</v>
      </c>
      <c r="Y323" t="b">
        <v>0</v>
      </c>
      <c r="Z323" t="b">
        <v>0</v>
      </c>
      <c r="AC323" s="1"/>
      <c r="AF323">
        <v>0</v>
      </c>
      <c r="AG323">
        <v>45</v>
      </c>
      <c r="AH323">
        <v>234</v>
      </c>
      <c r="AI323" s="2">
        <f>Table__192.168.3.138BEWLPPMetaData[[#This Row],[NetAmount]]-Table__192.168.3.138BEWLPPMetaData[[#This Row],[Paid]]</f>
        <v>39780</v>
      </c>
    </row>
    <row r="324" spans="1:35" hidden="1">
      <c r="A324" t="s">
        <v>9138</v>
      </c>
      <c r="B324" s="1">
        <v>41085</v>
      </c>
      <c r="C324" s="1">
        <v>41130</v>
      </c>
      <c r="D324" t="s">
        <v>8530</v>
      </c>
      <c r="E324">
        <v>180767</v>
      </c>
      <c r="F324">
        <v>28923</v>
      </c>
      <c r="G324">
        <v>0</v>
      </c>
      <c r="H324">
        <v>0</v>
      </c>
      <c r="I324">
        <v>185</v>
      </c>
      <c r="J324">
        <v>209690</v>
      </c>
      <c r="K324" t="s">
        <v>9139</v>
      </c>
      <c r="L324" s="1">
        <v>41083</v>
      </c>
      <c r="N324" t="s">
        <v>5127</v>
      </c>
      <c r="O324" t="s">
        <v>2458</v>
      </c>
      <c r="P324" t="s">
        <v>357</v>
      </c>
      <c r="Q324" t="s">
        <v>39</v>
      </c>
      <c r="R324" t="s">
        <v>40</v>
      </c>
      <c r="S324">
        <v>0</v>
      </c>
      <c r="U324" t="s">
        <v>41</v>
      </c>
      <c r="V324" t="s">
        <v>42</v>
      </c>
      <c r="X324" t="s">
        <v>74</v>
      </c>
      <c r="Y324" t="b">
        <v>0</v>
      </c>
      <c r="Z324" t="b">
        <v>0</v>
      </c>
      <c r="AC324" s="1"/>
      <c r="AF324">
        <v>0</v>
      </c>
      <c r="AG324">
        <v>45</v>
      </c>
      <c r="AH324">
        <v>230</v>
      </c>
      <c r="AI324" s="2">
        <f>Table__192.168.3.138BEWLPPMetaData[[#This Row],[NetAmount]]-Table__192.168.3.138BEWLPPMetaData[[#This Row],[Paid]]</f>
        <v>209690</v>
      </c>
    </row>
    <row r="325" spans="1:35" hidden="1">
      <c r="A325" t="s">
        <v>9140</v>
      </c>
      <c r="B325" s="1">
        <v>41066</v>
      </c>
      <c r="C325" s="1">
        <v>41111</v>
      </c>
      <c r="D325" t="s">
        <v>8530</v>
      </c>
      <c r="E325">
        <v>7200</v>
      </c>
      <c r="F325">
        <v>1152</v>
      </c>
      <c r="G325">
        <v>0</v>
      </c>
      <c r="H325">
        <v>0</v>
      </c>
      <c r="I325">
        <v>202</v>
      </c>
      <c r="J325">
        <v>8352</v>
      </c>
      <c r="K325" t="s">
        <v>9141</v>
      </c>
      <c r="L325" s="1">
        <v>41066</v>
      </c>
      <c r="N325" t="s">
        <v>5127</v>
      </c>
      <c r="O325" t="s">
        <v>2458</v>
      </c>
      <c r="P325" t="s">
        <v>357</v>
      </c>
      <c r="Q325" t="s">
        <v>39</v>
      </c>
      <c r="R325" t="s">
        <v>40</v>
      </c>
      <c r="S325">
        <v>0</v>
      </c>
      <c r="U325" t="s">
        <v>41</v>
      </c>
      <c r="V325" t="s">
        <v>42</v>
      </c>
      <c r="X325" t="s">
        <v>74</v>
      </c>
      <c r="Y325" t="b">
        <v>0</v>
      </c>
      <c r="Z325" t="b">
        <v>0</v>
      </c>
      <c r="AC325" s="1"/>
      <c r="AF325">
        <v>0</v>
      </c>
      <c r="AG325">
        <v>45</v>
      </c>
      <c r="AH325">
        <v>247</v>
      </c>
      <c r="AI325" s="2">
        <f>Table__192.168.3.138BEWLPPMetaData[[#This Row],[NetAmount]]-Table__192.168.3.138BEWLPPMetaData[[#This Row],[Paid]]</f>
        <v>8352</v>
      </c>
    </row>
    <row r="326" spans="1:35" hidden="1">
      <c r="A326" t="s">
        <v>9142</v>
      </c>
      <c r="B326" s="1">
        <v>41069</v>
      </c>
      <c r="C326" s="1">
        <v>41114</v>
      </c>
      <c r="D326" t="s">
        <v>8530</v>
      </c>
      <c r="E326">
        <v>4000</v>
      </c>
      <c r="F326">
        <v>640</v>
      </c>
      <c r="G326">
        <v>0</v>
      </c>
      <c r="H326">
        <v>0</v>
      </c>
      <c r="I326">
        <v>199</v>
      </c>
      <c r="J326">
        <v>4640</v>
      </c>
      <c r="K326" t="s">
        <v>9143</v>
      </c>
      <c r="L326" s="1">
        <v>41069</v>
      </c>
      <c r="N326" t="s">
        <v>5127</v>
      </c>
      <c r="O326" t="s">
        <v>2458</v>
      </c>
      <c r="P326" t="s">
        <v>357</v>
      </c>
      <c r="Q326" t="s">
        <v>39</v>
      </c>
      <c r="R326" t="s">
        <v>40</v>
      </c>
      <c r="S326">
        <v>0</v>
      </c>
      <c r="U326" t="s">
        <v>41</v>
      </c>
      <c r="V326" t="s">
        <v>42</v>
      </c>
      <c r="X326" t="s">
        <v>74</v>
      </c>
      <c r="Y326" t="b">
        <v>0</v>
      </c>
      <c r="Z326" t="b">
        <v>0</v>
      </c>
      <c r="AC326" s="1"/>
      <c r="AF326">
        <v>0</v>
      </c>
      <c r="AG326">
        <v>45</v>
      </c>
      <c r="AH326">
        <v>244</v>
      </c>
      <c r="AI326" s="2">
        <f>Table__192.168.3.138BEWLPPMetaData[[#This Row],[NetAmount]]-Table__192.168.3.138BEWLPPMetaData[[#This Row],[Paid]]</f>
        <v>4640</v>
      </c>
    </row>
    <row r="327" spans="1:35" hidden="1">
      <c r="A327" t="s">
        <v>9144</v>
      </c>
      <c r="B327" s="1">
        <v>41087</v>
      </c>
      <c r="C327" s="1">
        <v>41132</v>
      </c>
      <c r="D327" t="s">
        <v>9145</v>
      </c>
      <c r="E327">
        <v>5500</v>
      </c>
      <c r="F327">
        <v>0</v>
      </c>
      <c r="G327">
        <v>0</v>
      </c>
      <c r="H327">
        <v>0</v>
      </c>
      <c r="I327">
        <v>179</v>
      </c>
      <c r="J327">
        <v>5500</v>
      </c>
      <c r="K327" t="s">
        <v>9146</v>
      </c>
      <c r="L327" s="1">
        <v>41089</v>
      </c>
      <c r="N327" t="s">
        <v>5127</v>
      </c>
      <c r="O327" t="s">
        <v>2458</v>
      </c>
      <c r="P327" t="s">
        <v>362</v>
      </c>
      <c r="Q327" t="s">
        <v>39</v>
      </c>
      <c r="R327" t="s">
        <v>40</v>
      </c>
      <c r="S327">
        <v>0</v>
      </c>
      <c r="U327" t="s">
        <v>41</v>
      </c>
      <c r="V327" t="s">
        <v>42</v>
      </c>
      <c r="X327" t="s">
        <v>74</v>
      </c>
      <c r="Y327" t="b">
        <v>0</v>
      </c>
      <c r="Z327" t="b">
        <v>0</v>
      </c>
      <c r="AC327" s="1"/>
      <c r="AF327">
        <v>0</v>
      </c>
      <c r="AG327">
        <v>45</v>
      </c>
      <c r="AH327">
        <v>224</v>
      </c>
      <c r="AI327" s="2">
        <f>Table__192.168.3.138BEWLPPMetaData[[#This Row],[NetAmount]]-Table__192.168.3.138BEWLPPMetaData[[#This Row],[Paid]]</f>
        <v>5500</v>
      </c>
    </row>
    <row r="328" spans="1:35" hidden="1">
      <c r="A328" t="s">
        <v>9147</v>
      </c>
      <c r="B328" s="1">
        <v>41079</v>
      </c>
      <c r="C328" s="1">
        <v>41124</v>
      </c>
      <c r="D328" t="s">
        <v>8530</v>
      </c>
      <c r="E328">
        <v>97710</v>
      </c>
      <c r="F328">
        <v>15634</v>
      </c>
      <c r="G328">
        <v>0</v>
      </c>
      <c r="H328">
        <v>0</v>
      </c>
      <c r="I328">
        <v>189</v>
      </c>
      <c r="J328">
        <v>113344</v>
      </c>
      <c r="K328" t="s">
        <v>9148</v>
      </c>
      <c r="L328" s="1">
        <v>41079</v>
      </c>
      <c r="N328" t="s">
        <v>5127</v>
      </c>
      <c r="O328" t="s">
        <v>2458</v>
      </c>
      <c r="P328" t="s">
        <v>357</v>
      </c>
      <c r="Q328" t="s">
        <v>39</v>
      </c>
      <c r="R328" t="s">
        <v>40</v>
      </c>
      <c r="S328">
        <v>0</v>
      </c>
      <c r="U328" t="s">
        <v>41</v>
      </c>
      <c r="V328" t="s">
        <v>42</v>
      </c>
      <c r="X328" t="s">
        <v>74</v>
      </c>
      <c r="Y328" t="b">
        <v>0</v>
      </c>
      <c r="Z328" t="b">
        <v>0</v>
      </c>
      <c r="AC328" s="1"/>
      <c r="AF328">
        <v>0</v>
      </c>
      <c r="AG328">
        <v>45</v>
      </c>
      <c r="AH328">
        <v>234</v>
      </c>
      <c r="AI328" s="2">
        <f>Table__192.168.3.138BEWLPPMetaData[[#This Row],[NetAmount]]-Table__192.168.3.138BEWLPPMetaData[[#This Row],[Paid]]</f>
        <v>113344</v>
      </c>
    </row>
    <row r="329" spans="1:35" hidden="1">
      <c r="A329" t="s">
        <v>9149</v>
      </c>
      <c r="B329" s="1">
        <v>41085</v>
      </c>
      <c r="C329" s="1">
        <v>41130</v>
      </c>
      <c r="D329" t="s">
        <v>9150</v>
      </c>
      <c r="E329">
        <v>233820</v>
      </c>
      <c r="F329">
        <v>37411</v>
      </c>
      <c r="G329">
        <v>0</v>
      </c>
      <c r="H329">
        <v>0</v>
      </c>
      <c r="I329">
        <v>183</v>
      </c>
      <c r="J329">
        <v>271231</v>
      </c>
      <c r="K329" t="s">
        <v>5123</v>
      </c>
      <c r="L329" s="1">
        <v>41085</v>
      </c>
      <c r="N329" t="s">
        <v>5127</v>
      </c>
      <c r="O329" t="s">
        <v>2458</v>
      </c>
      <c r="P329" t="s">
        <v>423</v>
      </c>
      <c r="Q329" t="s">
        <v>39</v>
      </c>
      <c r="R329" t="s">
        <v>40</v>
      </c>
      <c r="S329">
        <v>0</v>
      </c>
      <c r="U329" t="s">
        <v>41</v>
      </c>
      <c r="V329" t="s">
        <v>42</v>
      </c>
      <c r="X329" t="s">
        <v>74</v>
      </c>
      <c r="Y329" t="b">
        <v>0</v>
      </c>
      <c r="Z329" t="b">
        <v>0</v>
      </c>
      <c r="AC329" s="1"/>
      <c r="AF329">
        <v>0</v>
      </c>
      <c r="AG329">
        <v>45</v>
      </c>
      <c r="AH329">
        <v>228</v>
      </c>
      <c r="AI329" s="2">
        <f>Table__192.168.3.138BEWLPPMetaData[[#This Row],[NetAmount]]-Table__192.168.3.138BEWLPPMetaData[[#This Row],[Paid]]</f>
        <v>271231</v>
      </c>
    </row>
    <row r="330" spans="1:35" hidden="1">
      <c r="A330" t="s">
        <v>9151</v>
      </c>
      <c r="B330" s="1">
        <v>41068</v>
      </c>
      <c r="C330" s="1">
        <v>41113</v>
      </c>
      <c r="D330" t="s">
        <v>8530</v>
      </c>
      <c r="E330">
        <v>410978</v>
      </c>
      <c r="F330">
        <v>65757</v>
      </c>
      <c r="G330">
        <v>0</v>
      </c>
      <c r="H330">
        <v>0</v>
      </c>
      <c r="I330">
        <v>566</v>
      </c>
      <c r="J330">
        <v>476735</v>
      </c>
      <c r="K330" t="s">
        <v>9152</v>
      </c>
      <c r="L330" s="1">
        <v>40702</v>
      </c>
      <c r="N330" t="s">
        <v>5127</v>
      </c>
      <c r="O330" t="s">
        <v>2458</v>
      </c>
      <c r="P330" t="s">
        <v>357</v>
      </c>
      <c r="Q330" t="s">
        <v>39</v>
      </c>
      <c r="R330" t="s">
        <v>40</v>
      </c>
      <c r="S330">
        <v>0</v>
      </c>
      <c r="U330" t="s">
        <v>41</v>
      </c>
      <c r="V330" t="s">
        <v>42</v>
      </c>
      <c r="X330" t="s">
        <v>74</v>
      </c>
      <c r="Y330" t="b">
        <v>0</v>
      </c>
      <c r="Z330" t="b">
        <v>0</v>
      </c>
      <c r="AC330" s="1"/>
      <c r="AF330">
        <v>0</v>
      </c>
      <c r="AG330">
        <v>45</v>
      </c>
      <c r="AH330">
        <v>611</v>
      </c>
      <c r="AI330" s="2">
        <f>Table__192.168.3.138BEWLPPMetaData[[#This Row],[NetAmount]]-Table__192.168.3.138BEWLPPMetaData[[#This Row],[Paid]]</f>
        <v>476735</v>
      </c>
    </row>
    <row r="331" spans="1:35" hidden="1">
      <c r="A331" t="s">
        <v>9153</v>
      </c>
      <c r="B331" s="1">
        <v>41074</v>
      </c>
      <c r="C331" s="1">
        <v>41119</v>
      </c>
      <c r="D331" t="s">
        <v>8530</v>
      </c>
      <c r="E331">
        <v>148978</v>
      </c>
      <c r="F331">
        <v>23836</v>
      </c>
      <c r="G331">
        <v>0</v>
      </c>
      <c r="H331">
        <v>0</v>
      </c>
      <c r="I331">
        <v>562</v>
      </c>
      <c r="J331">
        <v>172814</v>
      </c>
      <c r="K331" t="s">
        <v>9154</v>
      </c>
      <c r="L331" s="1">
        <v>40706</v>
      </c>
      <c r="N331" t="s">
        <v>5127</v>
      </c>
      <c r="O331" t="s">
        <v>2458</v>
      </c>
      <c r="P331" t="s">
        <v>357</v>
      </c>
      <c r="Q331" t="s">
        <v>39</v>
      </c>
      <c r="R331" t="s">
        <v>40</v>
      </c>
      <c r="S331">
        <v>0</v>
      </c>
      <c r="U331" t="s">
        <v>41</v>
      </c>
      <c r="V331" t="s">
        <v>42</v>
      </c>
      <c r="X331" t="s">
        <v>74</v>
      </c>
      <c r="Y331" t="b">
        <v>0</v>
      </c>
      <c r="Z331" t="b">
        <v>0</v>
      </c>
      <c r="AC331" s="1"/>
      <c r="AF331">
        <v>0</v>
      </c>
      <c r="AG331">
        <v>45</v>
      </c>
      <c r="AH331">
        <v>607</v>
      </c>
      <c r="AI331" s="2">
        <f>Table__192.168.3.138BEWLPPMetaData[[#This Row],[NetAmount]]-Table__192.168.3.138BEWLPPMetaData[[#This Row],[Paid]]</f>
        <v>172814</v>
      </c>
    </row>
    <row r="332" spans="1:35" hidden="1">
      <c r="A332" t="s">
        <v>9155</v>
      </c>
      <c r="B332" s="1">
        <v>41075</v>
      </c>
      <c r="C332" s="1">
        <v>41120</v>
      </c>
      <c r="D332" t="s">
        <v>8530</v>
      </c>
      <c r="E332">
        <v>221006</v>
      </c>
      <c r="F332">
        <v>35362</v>
      </c>
      <c r="G332">
        <v>0</v>
      </c>
      <c r="H332">
        <v>0</v>
      </c>
      <c r="I332">
        <v>560</v>
      </c>
      <c r="J332">
        <v>256368</v>
      </c>
      <c r="K332" t="s">
        <v>9156</v>
      </c>
      <c r="L332" s="1">
        <v>40708</v>
      </c>
      <c r="N332" t="s">
        <v>5127</v>
      </c>
      <c r="O332" t="s">
        <v>2458</v>
      </c>
      <c r="P332" t="s">
        <v>357</v>
      </c>
      <c r="Q332" t="s">
        <v>39</v>
      </c>
      <c r="R332" t="s">
        <v>40</v>
      </c>
      <c r="S332">
        <v>0</v>
      </c>
      <c r="U332" t="s">
        <v>41</v>
      </c>
      <c r="V332" t="s">
        <v>42</v>
      </c>
      <c r="X332" t="s">
        <v>74</v>
      </c>
      <c r="Y332" t="b">
        <v>0</v>
      </c>
      <c r="Z332" t="b">
        <v>0</v>
      </c>
      <c r="AC332" s="1"/>
      <c r="AF332">
        <v>0</v>
      </c>
      <c r="AG332">
        <v>45</v>
      </c>
      <c r="AH332">
        <v>605</v>
      </c>
      <c r="AI332" s="2">
        <f>Table__192.168.3.138BEWLPPMetaData[[#This Row],[NetAmount]]-Table__192.168.3.138BEWLPPMetaData[[#This Row],[Paid]]</f>
        <v>256368</v>
      </c>
    </row>
    <row r="333" spans="1:35" hidden="1">
      <c r="A333" t="s">
        <v>9157</v>
      </c>
      <c r="B333" s="1">
        <v>41076</v>
      </c>
      <c r="C333" s="1">
        <v>41121</v>
      </c>
      <c r="D333" t="s">
        <v>8530</v>
      </c>
      <c r="E333">
        <v>99900</v>
      </c>
      <c r="F333">
        <v>15984</v>
      </c>
      <c r="G333">
        <v>0</v>
      </c>
      <c r="H333">
        <v>0</v>
      </c>
      <c r="I333">
        <v>558</v>
      </c>
      <c r="J333">
        <v>115884</v>
      </c>
      <c r="K333" t="s">
        <v>9158</v>
      </c>
      <c r="L333" s="1">
        <v>40710</v>
      </c>
      <c r="N333" t="s">
        <v>5127</v>
      </c>
      <c r="O333" t="s">
        <v>2458</v>
      </c>
      <c r="P333" t="s">
        <v>357</v>
      </c>
      <c r="Q333" t="s">
        <v>39</v>
      </c>
      <c r="R333" t="s">
        <v>40</v>
      </c>
      <c r="S333">
        <v>0</v>
      </c>
      <c r="U333" t="s">
        <v>41</v>
      </c>
      <c r="V333" t="s">
        <v>42</v>
      </c>
      <c r="X333" t="s">
        <v>74</v>
      </c>
      <c r="Y333" t="b">
        <v>0</v>
      </c>
      <c r="Z333" t="b">
        <v>0</v>
      </c>
      <c r="AC333" s="1"/>
      <c r="AF333">
        <v>0</v>
      </c>
      <c r="AG333">
        <v>45</v>
      </c>
      <c r="AH333">
        <v>603</v>
      </c>
      <c r="AI333" s="2">
        <f>Table__192.168.3.138BEWLPPMetaData[[#This Row],[NetAmount]]-Table__192.168.3.138BEWLPPMetaData[[#This Row],[Paid]]</f>
        <v>115884</v>
      </c>
    </row>
    <row r="334" spans="1:35" hidden="1">
      <c r="A334" t="s">
        <v>9159</v>
      </c>
      <c r="B334" s="1">
        <v>41085</v>
      </c>
      <c r="C334" s="1">
        <v>41130</v>
      </c>
      <c r="D334" t="s">
        <v>8530</v>
      </c>
      <c r="E334">
        <v>842440</v>
      </c>
      <c r="F334">
        <v>134791</v>
      </c>
      <c r="G334">
        <v>0</v>
      </c>
      <c r="H334">
        <v>0</v>
      </c>
      <c r="I334">
        <v>186</v>
      </c>
      <c r="J334">
        <v>977231</v>
      </c>
      <c r="K334" t="s">
        <v>9160</v>
      </c>
      <c r="L334" s="1">
        <v>41082</v>
      </c>
      <c r="N334" t="s">
        <v>5127</v>
      </c>
      <c r="O334" t="s">
        <v>2458</v>
      </c>
      <c r="P334" t="s">
        <v>357</v>
      </c>
      <c r="Q334" t="s">
        <v>39</v>
      </c>
      <c r="R334" t="s">
        <v>40</v>
      </c>
      <c r="S334">
        <v>0</v>
      </c>
      <c r="U334" t="s">
        <v>41</v>
      </c>
      <c r="V334" t="s">
        <v>42</v>
      </c>
      <c r="X334" t="s">
        <v>74</v>
      </c>
      <c r="Y334" t="b">
        <v>0</v>
      </c>
      <c r="Z334" t="b">
        <v>0</v>
      </c>
      <c r="AC334" s="1"/>
      <c r="AF334">
        <v>0</v>
      </c>
      <c r="AG334">
        <v>45</v>
      </c>
      <c r="AH334">
        <v>231</v>
      </c>
      <c r="AI334" s="2">
        <f>Table__192.168.3.138BEWLPPMetaData[[#This Row],[NetAmount]]-Table__192.168.3.138BEWLPPMetaData[[#This Row],[Paid]]</f>
        <v>977231</v>
      </c>
    </row>
    <row r="335" spans="1:35" hidden="1">
      <c r="A335" t="s">
        <v>9161</v>
      </c>
      <c r="B335" s="1">
        <v>41087</v>
      </c>
      <c r="C335" s="1">
        <v>41132</v>
      </c>
      <c r="D335" t="s">
        <v>8530</v>
      </c>
      <c r="E335">
        <v>165934</v>
      </c>
      <c r="F335">
        <v>26549</v>
      </c>
      <c r="G335">
        <v>0</v>
      </c>
      <c r="H335">
        <v>0</v>
      </c>
      <c r="I335">
        <v>183</v>
      </c>
      <c r="J335">
        <v>192483</v>
      </c>
      <c r="K335" t="s">
        <v>9162</v>
      </c>
      <c r="L335" s="1">
        <v>41085</v>
      </c>
      <c r="N335" t="s">
        <v>5127</v>
      </c>
      <c r="O335" t="s">
        <v>2458</v>
      </c>
      <c r="P335" t="s">
        <v>357</v>
      </c>
      <c r="Q335" t="s">
        <v>39</v>
      </c>
      <c r="R335" t="s">
        <v>40</v>
      </c>
      <c r="S335">
        <v>0</v>
      </c>
      <c r="U335" t="s">
        <v>41</v>
      </c>
      <c r="V335" t="s">
        <v>42</v>
      </c>
      <c r="X335" t="s">
        <v>74</v>
      </c>
      <c r="Y335" t="b">
        <v>0</v>
      </c>
      <c r="Z335" t="b">
        <v>0</v>
      </c>
      <c r="AC335" s="1"/>
      <c r="AF335">
        <v>0</v>
      </c>
      <c r="AG335">
        <v>45</v>
      </c>
      <c r="AH335">
        <v>228</v>
      </c>
      <c r="AI335" s="2">
        <f>Table__192.168.3.138BEWLPPMetaData[[#This Row],[NetAmount]]-Table__192.168.3.138BEWLPPMetaData[[#This Row],[Paid]]</f>
        <v>192483</v>
      </c>
    </row>
    <row r="336" spans="1:35" hidden="1">
      <c r="A336" t="s">
        <v>9163</v>
      </c>
      <c r="B336" s="1">
        <v>41088</v>
      </c>
      <c r="C336" s="1">
        <v>41133</v>
      </c>
      <c r="D336" t="s">
        <v>8530</v>
      </c>
      <c r="E336">
        <v>276371</v>
      </c>
      <c r="F336">
        <v>44219</v>
      </c>
      <c r="G336">
        <v>0</v>
      </c>
      <c r="H336">
        <v>0</v>
      </c>
      <c r="I336">
        <v>181</v>
      </c>
      <c r="J336">
        <v>320590</v>
      </c>
      <c r="K336" t="s">
        <v>9164</v>
      </c>
      <c r="L336" s="1">
        <v>41087</v>
      </c>
      <c r="N336" t="s">
        <v>5127</v>
      </c>
      <c r="O336" t="s">
        <v>2458</v>
      </c>
      <c r="P336" t="s">
        <v>357</v>
      </c>
      <c r="Q336" t="s">
        <v>39</v>
      </c>
      <c r="R336" t="s">
        <v>40</v>
      </c>
      <c r="S336">
        <v>0</v>
      </c>
      <c r="U336" t="s">
        <v>41</v>
      </c>
      <c r="V336" t="s">
        <v>42</v>
      </c>
      <c r="X336" t="s">
        <v>74</v>
      </c>
      <c r="Y336" t="b">
        <v>0</v>
      </c>
      <c r="Z336" t="b">
        <v>0</v>
      </c>
      <c r="AC336" s="1"/>
      <c r="AF336">
        <v>0</v>
      </c>
      <c r="AG336">
        <v>45</v>
      </c>
      <c r="AH336">
        <v>226</v>
      </c>
      <c r="AI336" s="2">
        <f>Table__192.168.3.138BEWLPPMetaData[[#This Row],[NetAmount]]-Table__192.168.3.138BEWLPPMetaData[[#This Row],[Paid]]</f>
        <v>320590</v>
      </c>
    </row>
    <row r="337" spans="1:35" hidden="1">
      <c r="A337" t="s">
        <v>9165</v>
      </c>
      <c r="B337" s="1">
        <v>41075</v>
      </c>
      <c r="C337" s="1">
        <v>41120</v>
      </c>
      <c r="D337" t="s">
        <v>8970</v>
      </c>
      <c r="E337">
        <v>61800</v>
      </c>
      <c r="F337">
        <v>9888</v>
      </c>
      <c r="G337">
        <v>0</v>
      </c>
      <c r="H337">
        <v>0</v>
      </c>
      <c r="I337">
        <v>196</v>
      </c>
      <c r="J337">
        <v>71688</v>
      </c>
      <c r="K337" t="s">
        <v>8035</v>
      </c>
      <c r="L337" s="1">
        <v>41072</v>
      </c>
      <c r="N337" t="s">
        <v>5127</v>
      </c>
      <c r="O337" t="s">
        <v>2458</v>
      </c>
      <c r="P337" t="s">
        <v>8971</v>
      </c>
      <c r="Q337" t="s">
        <v>39</v>
      </c>
      <c r="R337" t="s">
        <v>40</v>
      </c>
      <c r="S337">
        <v>0</v>
      </c>
      <c r="U337" t="s">
        <v>41</v>
      </c>
      <c r="V337" t="s">
        <v>42</v>
      </c>
      <c r="X337" t="s">
        <v>74</v>
      </c>
      <c r="Y337" t="b">
        <v>0</v>
      </c>
      <c r="Z337" t="b">
        <v>0</v>
      </c>
      <c r="AC337" s="1"/>
      <c r="AF337">
        <v>0</v>
      </c>
      <c r="AG337">
        <v>45</v>
      </c>
      <c r="AH337">
        <v>241</v>
      </c>
      <c r="AI337" s="2">
        <f>Table__192.168.3.138BEWLPPMetaData[[#This Row],[NetAmount]]-Table__192.168.3.138BEWLPPMetaData[[#This Row],[Paid]]</f>
        <v>71688</v>
      </c>
    </row>
    <row r="338" spans="1:35" hidden="1">
      <c r="A338" t="s">
        <v>9166</v>
      </c>
      <c r="B338" s="1">
        <v>41080</v>
      </c>
      <c r="C338" s="1">
        <v>41125</v>
      </c>
      <c r="D338" t="s">
        <v>8970</v>
      </c>
      <c r="E338">
        <v>3628</v>
      </c>
      <c r="F338">
        <v>580</v>
      </c>
      <c r="G338">
        <v>0</v>
      </c>
      <c r="H338">
        <v>0</v>
      </c>
      <c r="I338">
        <v>190</v>
      </c>
      <c r="J338">
        <v>4208</v>
      </c>
      <c r="K338" t="s">
        <v>8033</v>
      </c>
      <c r="L338" s="1">
        <v>41078</v>
      </c>
      <c r="N338" t="s">
        <v>5127</v>
      </c>
      <c r="O338" t="s">
        <v>2458</v>
      </c>
      <c r="P338" t="s">
        <v>8971</v>
      </c>
      <c r="Q338" t="s">
        <v>39</v>
      </c>
      <c r="R338" t="s">
        <v>40</v>
      </c>
      <c r="S338">
        <v>0</v>
      </c>
      <c r="U338" t="s">
        <v>41</v>
      </c>
      <c r="V338" t="s">
        <v>42</v>
      </c>
      <c r="X338" t="s">
        <v>74</v>
      </c>
      <c r="Y338" t="b">
        <v>0</v>
      </c>
      <c r="Z338" t="b">
        <v>0</v>
      </c>
      <c r="AC338" s="1"/>
      <c r="AF338">
        <v>0</v>
      </c>
      <c r="AG338">
        <v>45</v>
      </c>
      <c r="AH338">
        <v>235</v>
      </c>
      <c r="AI338" s="2">
        <f>Table__192.168.3.138BEWLPPMetaData[[#This Row],[NetAmount]]-Table__192.168.3.138BEWLPPMetaData[[#This Row],[Paid]]</f>
        <v>4208</v>
      </c>
    </row>
    <row r="339" spans="1:35" hidden="1">
      <c r="A339" t="s">
        <v>9167</v>
      </c>
      <c r="B339" s="1">
        <v>41088</v>
      </c>
      <c r="C339" s="1">
        <v>41133</v>
      </c>
      <c r="D339" t="s">
        <v>8970</v>
      </c>
      <c r="E339">
        <v>13018</v>
      </c>
      <c r="F339">
        <v>2083</v>
      </c>
      <c r="G339">
        <v>0</v>
      </c>
      <c r="H339">
        <v>0</v>
      </c>
      <c r="I339">
        <v>183</v>
      </c>
      <c r="J339">
        <v>15101</v>
      </c>
      <c r="K339" t="s">
        <v>9168</v>
      </c>
      <c r="L339" s="1">
        <v>41085</v>
      </c>
      <c r="N339" t="s">
        <v>5127</v>
      </c>
      <c r="O339" t="s">
        <v>2458</v>
      </c>
      <c r="P339" t="s">
        <v>8971</v>
      </c>
      <c r="Q339" t="s">
        <v>39</v>
      </c>
      <c r="R339" t="s">
        <v>40</v>
      </c>
      <c r="S339">
        <v>0</v>
      </c>
      <c r="U339" t="s">
        <v>41</v>
      </c>
      <c r="V339" t="s">
        <v>42</v>
      </c>
      <c r="X339" t="s">
        <v>74</v>
      </c>
      <c r="Y339" t="b">
        <v>0</v>
      </c>
      <c r="Z339" t="b">
        <v>0</v>
      </c>
      <c r="AC339" s="1"/>
      <c r="AF339">
        <v>0</v>
      </c>
      <c r="AG339">
        <v>45</v>
      </c>
      <c r="AH339">
        <v>228</v>
      </c>
      <c r="AI339" s="2">
        <f>Table__192.168.3.138BEWLPPMetaData[[#This Row],[NetAmount]]-Table__192.168.3.138BEWLPPMetaData[[#This Row],[Paid]]</f>
        <v>15101</v>
      </c>
    </row>
    <row r="340" spans="1:35" hidden="1">
      <c r="A340" t="s">
        <v>9169</v>
      </c>
      <c r="B340" s="1">
        <v>41085</v>
      </c>
      <c r="C340" s="1">
        <v>41130</v>
      </c>
      <c r="D340" t="s">
        <v>8721</v>
      </c>
      <c r="E340">
        <v>36000</v>
      </c>
      <c r="F340">
        <v>5760</v>
      </c>
      <c r="G340">
        <v>0</v>
      </c>
      <c r="H340">
        <v>0</v>
      </c>
      <c r="I340">
        <v>187</v>
      </c>
      <c r="J340">
        <v>41760</v>
      </c>
      <c r="K340" t="s">
        <v>9170</v>
      </c>
      <c r="L340" s="1">
        <v>41081</v>
      </c>
      <c r="N340" t="s">
        <v>5127</v>
      </c>
      <c r="O340" t="s">
        <v>2458</v>
      </c>
      <c r="P340" t="s">
        <v>8723</v>
      </c>
      <c r="Q340" t="s">
        <v>39</v>
      </c>
      <c r="R340" t="s">
        <v>40</v>
      </c>
      <c r="S340">
        <v>0</v>
      </c>
      <c r="U340" t="s">
        <v>41</v>
      </c>
      <c r="V340" t="s">
        <v>42</v>
      </c>
      <c r="X340" t="s">
        <v>74</v>
      </c>
      <c r="Y340" t="b">
        <v>0</v>
      </c>
      <c r="Z340" t="b">
        <v>0</v>
      </c>
      <c r="AC340" s="1"/>
      <c r="AF340">
        <v>0</v>
      </c>
      <c r="AG340">
        <v>45</v>
      </c>
      <c r="AH340">
        <v>232</v>
      </c>
      <c r="AI340" s="2">
        <f>Table__192.168.3.138BEWLPPMetaData[[#This Row],[NetAmount]]-Table__192.168.3.138BEWLPPMetaData[[#This Row],[Paid]]</f>
        <v>41760</v>
      </c>
    </row>
    <row r="341" spans="1:35" hidden="1">
      <c r="A341" t="s">
        <v>9171</v>
      </c>
      <c r="B341" s="1">
        <v>41080</v>
      </c>
      <c r="C341" s="1">
        <v>41125</v>
      </c>
      <c r="D341" t="s">
        <v>8721</v>
      </c>
      <c r="E341">
        <v>71000</v>
      </c>
      <c r="F341">
        <v>11360</v>
      </c>
      <c r="G341">
        <v>0</v>
      </c>
      <c r="H341">
        <v>0</v>
      </c>
      <c r="I341">
        <v>192</v>
      </c>
      <c r="J341">
        <v>82360</v>
      </c>
      <c r="K341" t="s">
        <v>9172</v>
      </c>
      <c r="L341" s="1">
        <v>41076</v>
      </c>
      <c r="N341" t="s">
        <v>5127</v>
      </c>
      <c r="O341" t="s">
        <v>2458</v>
      </c>
      <c r="P341" t="s">
        <v>8723</v>
      </c>
      <c r="Q341" t="s">
        <v>39</v>
      </c>
      <c r="R341" t="s">
        <v>40</v>
      </c>
      <c r="S341">
        <v>0</v>
      </c>
      <c r="U341" t="s">
        <v>41</v>
      </c>
      <c r="V341" t="s">
        <v>42</v>
      </c>
      <c r="X341" t="s">
        <v>74</v>
      </c>
      <c r="Y341" t="b">
        <v>0</v>
      </c>
      <c r="Z341" t="b">
        <v>0</v>
      </c>
      <c r="AC341" s="1"/>
      <c r="AF341">
        <v>0</v>
      </c>
      <c r="AG341">
        <v>45</v>
      </c>
      <c r="AH341">
        <v>237</v>
      </c>
      <c r="AI341" s="2">
        <f>Table__192.168.3.138BEWLPPMetaData[[#This Row],[NetAmount]]-Table__192.168.3.138BEWLPPMetaData[[#This Row],[Paid]]</f>
        <v>82360</v>
      </c>
    </row>
    <row r="342" spans="1:35" hidden="1">
      <c r="A342" t="s">
        <v>9173</v>
      </c>
      <c r="B342" s="1">
        <v>41088</v>
      </c>
      <c r="C342" s="1">
        <v>41133</v>
      </c>
      <c r="D342" t="s">
        <v>8577</v>
      </c>
      <c r="E342">
        <v>39825</v>
      </c>
      <c r="F342">
        <v>0</v>
      </c>
      <c r="G342">
        <v>0</v>
      </c>
      <c r="H342">
        <v>0</v>
      </c>
      <c r="I342">
        <v>183</v>
      </c>
      <c r="J342">
        <v>39825</v>
      </c>
      <c r="K342" t="s">
        <v>1661</v>
      </c>
      <c r="L342" s="1">
        <v>41085</v>
      </c>
      <c r="N342" t="s">
        <v>5127</v>
      </c>
      <c r="O342" t="s">
        <v>2458</v>
      </c>
      <c r="P342" t="s">
        <v>8579</v>
      </c>
      <c r="Q342" t="s">
        <v>39</v>
      </c>
      <c r="R342" t="s">
        <v>40</v>
      </c>
      <c r="S342">
        <v>0</v>
      </c>
      <c r="U342" t="s">
        <v>41</v>
      </c>
      <c r="V342" t="s">
        <v>42</v>
      </c>
      <c r="X342" t="s">
        <v>74</v>
      </c>
      <c r="Y342" t="b">
        <v>0</v>
      </c>
      <c r="Z342" t="b">
        <v>0</v>
      </c>
      <c r="AC342" s="1"/>
      <c r="AF342">
        <v>0</v>
      </c>
      <c r="AG342">
        <v>45</v>
      </c>
      <c r="AH342">
        <v>228</v>
      </c>
      <c r="AI342" s="2">
        <f>Table__192.168.3.138BEWLPPMetaData[[#This Row],[NetAmount]]-Table__192.168.3.138BEWLPPMetaData[[#This Row],[Paid]]</f>
        <v>39825</v>
      </c>
    </row>
    <row r="343" spans="1:35" hidden="1">
      <c r="A343" t="s">
        <v>9174</v>
      </c>
      <c r="B343" s="1">
        <v>41088</v>
      </c>
      <c r="C343" s="1">
        <v>41133</v>
      </c>
      <c r="D343" t="s">
        <v>8582</v>
      </c>
      <c r="E343">
        <v>75417</v>
      </c>
      <c r="F343">
        <v>12067</v>
      </c>
      <c r="G343">
        <v>0</v>
      </c>
      <c r="H343">
        <v>0</v>
      </c>
      <c r="I343">
        <v>179</v>
      </c>
      <c r="J343">
        <v>87484</v>
      </c>
      <c r="K343" t="s">
        <v>4405</v>
      </c>
      <c r="L343" s="1">
        <v>41089</v>
      </c>
      <c r="N343" t="s">
        <v>5127</v>
      </c>
      <c r="O343" t="s">
        <v>2458</v>
      </c>
      <c r="P343" t="s">
        <v>8583</v>
      </c>
      <c r="Q343" t="s">
        <v>39</v>
      </c>
      <c r="R343" t="s">
        <v>40</v>
      </c>
      <c r="S343">
        <v>0</v>
      </c>
      <c r="U343" t="s">
        <v>41</v>
      </c>
      <c r="V343" t="s">
        <v>42</v>
      </c>
      <c r="X343" t="s">
        <v>74</v>
      </c>
      <c r="Y343" t="b">
        <v>0</v>
      </c>
      <c r="Z343" t="b">
        <v>0</v>
      </c>
      <c r="AC343" s="1"/>
      <c r="AF343">
        <v>0</v>
      </c>
      <c r="AG343">
        <v>45</v>
      </c>
      <c r="AH343">
        <v>224</v>
      </c>
      <c r="AI343" s="2">
        <f>Table__192.168.3.138BEWLPPMetaData[[#This Row],[NetAmount]]-Table__192.168.3.138BEWLPPMetaData[[#This Row],[Paid]]</f>
        <v>87484</v>
      </c>
    </row>
    <row r="344" spans="1:35" hidden="1">
      <c r="A344" t="s">
        <v>9175</v>
      </c>
      <c r="B344" s="1">
        <v>40754</v>
      </c>
      <c r="C344" s="1">
        <v>40754</v>
      </c>
      <c r="D344" t="s">
        <v>8538</v>
      </c>
      <c r="E344">
        <v>378000</v>
      </c>
      <c r="F344">
        <v>60480</v>
      </c>
      <c r="G344">
        <v>0</v>
      </c>
      <c r="H344">
        <v>0</v>
      </c>
      <c r="I344">
        <v>514</v>
      </c>
      <c r="J344">
        <v>438480</v>
      </c>
      <c r="K344" t="s">
        <v>9176</v>
      </c>
      <c r="L344" s="1">
        <v>40754</v>
      </c>
      <c r="N344" t="s">
        <v>6694</v>
      </c>
      <c r="O344" t="s">
        <v>3507</v>
      </c>
      <c r="P344" t="s">
        <v>310</v>
      </c>
      <c r="Q344" t="s">
        <v>39</v>
      </c>
      <c r="R344" t="s">
        <v>40</v>
      </c>
      <c r="S344">
        <v>0</v>
      </c>
      <c r="U344" t="s">
        <v>41</v>
      </c>
      <c r="V344" t="s">
        <v>42</v>
      </c>
      <c r="X344" t="s">
        <v>74</v>
      </c>
      <c r="Y344" t="b">
        <v>0</v>
      </c>
      <c r="Z344" t="b">
        <v>0</v>
      </c>
      <c r="AC344" s="1"/>
      <c r="AF344">
        <v>0</v>
      </c>
      <c r="AG344">
        <v>45</v>
      </c>
      <c r="AH344">
        <v>559</v>
      </c>
      <c r="AI344" s="2">
        <f>Table__192.168.3.138BEWLPPMetaData[[#This Row],[NetAmount]]-Table__192.168.3.138BEWLPPMetaData[[#This Row],[Paid]]</f>
        <v>438480</v>
      </c>
    </row>
    <row r="345" spans="1:35" hidden="1">
      <c r="A345" t="s">
        <v>9177</v>
      </c>
      <c r="B345" s="1">
        <v>40754</v>
      </c>
      <c r="C345" s="1">
        <v>40784</v>
      </c>
      <c r="D345" t="s">
        <v>8611</v>
      </c>
      <c r="E345">
        <v>171000</v>
      </c>
      <c r="F345">
        <v>27360</v>
      </c>
      <c r="G345">
        <v>0</v>
      </c>
      <c r="H345">
        <v>53534.5</v>
      </c>
      <c r="I345">
        <v>514</v>
      </c>
      <c r="J345">
        <v>198359.5</v>
      </c>
      <c r="K345" t="s">
        <v>9178</v>
      </c>
      <c r="L345" s="1">
        <v>40754</v>
      </c>
      <c r="N345" t="s">
        <v>6694</v>
      </c>
      <c r="O345" t="s">
        <v>3507</v>
      </c>
      <c r="P345" t="s">
        <v>8612</v>
      </c>
      <c r="Q345" t="s">
        <v>39</v>
      </c>
      <c r="R345" t="s">
        <v>40</v>
      </c>
      <c r="S345">
        <v>0</v>
      </c>
      <c r="T345" t="s">
        <v>9179</v>
      </c>
      <c r="U345" t="s">
        <v>41</v>
      </c>
      <c r="V345" t="s">
        <v>42</v>
      </c>
      <c r="X345" t="s">
        <v>74</v>
      </c>
      <c r="Y345" t="b">
        <v>0</v>
      </c>
      <c r="Z345" t="b">
        <v>0</v>
      </c>
      <c r="AB345" t="s">
        <v>9180</v>
      </c>
      <c r="AC345" s="1">
        <v>40841</v>
      </c>
      <c r="AD345" t="s">
        <v>9181</v>
      </c>
      <c r="AE345" t="s">
        <v>9182</v>
      </c>
      <c r="AF345">
        <v>289651</v>
      </c>
      <c r="AG345">
        <v>45</v>
      </c>
      <c r="AH345">
        <v>559</v>
      </c>
      <c r="AI345" s="2">
        <f>Table__192.168.3.138BEWLPPMetaData[[#This Row],[NetAmount]]-Table__192.168.3.138BEWLPPMetaData[[#This Row],[Paid]]</f>
        <v>-91291.5</v>
      </c>
    </row>
    <row r="346" spans="1:35" hidden="1">
      <c r="A346" t="s">
        <v>9183</v>
      </c>
      <c r="B346" s="1">
        <v>40772</v>
      </c>
      <c r="C346" s="1">
        <v>40817</v>
      </c>
      <c r="D346" t="s">
        <v>8532</v>
      </c>
      <c r="E346">
        <v>4900</v>
      </c>
      <c r="F346">
        <v>784</v>
      </c>
      <c r="G346">
        <v>0</v>
      </c>
      <c r="H346">
        <v>0</v>
      </c>
      <c r="I346">
        <v>495</v>
      </c>
      <c r="J346">
        <v>5684</v>
      </c>
      <c r="K346" t="s">
        <v>9184</v>
      </c>
      <c r="L346" s="1">
        <v>40773</v>
      </c>
      <c r="N346" t="s">
        <v>6694</v>
      </c>
      <c r="O346" t="s">
        <v>3507</v>
      </c>
      <c r="P346" t="s">
        <v>364</v>
      </c>
      <c r="Q346" t="s">
        <v>39</v>
      </c>
      <c r="R346" t="s">
        <v>40</v>
      </c>
      <c r="S346">
        <v>0</v>
      </c>
      <c r="U346" t="s">
        <v>41</v>
      </c>
      <c r="V346" t="s">
        <v>42</v>
      </c>
      <c r="X346" t="s">
        <v>74</v>
      </c>
      <c r="Y346" t="b">
        <v>0</v>
      </c>
      <c r="Z346" t="b">
        <v>0</v>
      </c>
      <c r="AC346" s="1"/>
      <c r="AF346">
        <v>0</v>
      </c>
      <c r="AG346">
        <v>45</v>
      </c>
      <c r="AH346">
        <v>540</v>
      </c>
      <c r="AI346" s="2">
        <f>Table__192.168.3.138BEWLPPMetaData[[#This Row],[NetAmount]]-Table__192.168.3.138BEWLPPMetaData[[#This Row],[Paid]]</f>
        <v>5684</v>
      </c>
    </row>
    <row r="347" spans="1:35" hidden="1">
      <c r="A347" t="s">
        <v>9185</v>
      </c>
      <c r="B347" s="1">
        <v>40777</v>
      </c>
      <c r="C347" s="1">
        <v>40822</v>
      </c>
      <c r="D347" t="s">
        <v>8532</v>
      </c>
      <c r="E347">
        <v>17500</v>
      </c>
      <c r="F347">
        <v>2800</v>
      </c>
      <c r="G347">
        <v>0</v>
      </c>
      <c r="H347">
        <v>0</v>
      </c>
      <c r="I347">
        <v>490</v>
      </c>
      <c r="J347">
        <v>20300</v>
      </c>
      <c r="K347" t="s">
        <v>3135</v>
      </c>
      <c r="L347" s="1">
        <v>40778</v>
      </c>
      <c r="N347" t="s">
        <v>6694</v>
      </c>
      <c r="O347" t="s">
        <v>3507</v>
      </c>
      <c r="P347" t="s">
        <v>364</v>
      </c>
      <c r="Q347" t="s">
        <v>39</v>
      </c>
      <c r="R347" t="s">
        <v>40</v>
      </c>
      <c r="S347">
        <v>0</v>
      </c>
      <c r="U347" t="s">
        <v>41</v>
      </c>
      <c r="V347" t="s">
        <v>42</v>
      </c>
      <c r="X347" t="s">
        <v>74</v>
      </c>
      <c r="Y347" t="b">
        <v>0</v>
      </c>
      <c r="Z347" t="b">
        <v>0</v>
      </c>
      <c r="AC347" s="1"/>
      <c r="AF347">
        <v>0</v>
      </c>
      <c r="AG347">
        <v>45</v>
      </c>
      <c r="AH347">
        <v>535</v>
      </c>
      <c r="AI347" s="2">
        <f>Table__192.168.3.138BEWLPPMetaData[[#This Row],[NetAmount]]-Table__192.168.3.138BEWLPPMetaData[[#This Row],[Paid]]</f>
        <v>20300</v>
      </c>
    </row>
    <row r="348" spans="1:35" hidden="1">
      <c r="A348" t="s">
        <v>9186</v>
      </c>
      <c r="B348" s="1">
        <v>40763</v>
      </c>
      <c r="C348" s="1">
        <v>40808</v>
      </c>
      <c r="D348" t="s">
        <v>8532</v>
      </c>
      <c r="E348">
        <v>5250</v>
      </c>
      <c r="F348">
        <v>840</v>
      </c>
      <c r="G348">
        <v>0</v>
      </c>
      <c r="H348">
        <v>0</v>
      </c>
      <c r="I348">
        <v>504</v>
      </c>
      <c r="J348">
        <v>6090</v>
      </c>
      <c r="K348" t="s">
        <v>9187</v>
      </c>
      <c r="L348" s="1">
        <v>40764</v>
      </c>
      <c r="N348" t="s">
        <v>6694</v>
      </c>
      <c r="O348" t="s">
        <v>3507</v>
      </c>
      <c r="P348" t="s">
        <v>364</v>
      </c>
      <c r="Q348" t="s">
        <v>39</v>
      </c>
      <c r="R348" t="s">
        <v>40</v>
      </c>
      <c r="S348">
        <v>0</v>
      </c>
      <c r="U348" t="s">
        <v>41</v>
      </c>
      <c r="V348" t="s">
        <v>42</v>
      </c>
      <c r="X348" t="s">
        <v>74</v>
      </c>
      <c r="Y348" t="b">
        <v>0</v>
      </c>
      <c r="Z348" t="b">
        <v>0</v>
      </c>
      <c r="AC348" s="1"/>
      <c r="AF348">
        <v>0</v>
      </c>
      <c r="AG348">
        <v>45</v>
      </c>
      <c r="AH348">
        <v>549</v>
      </c>
      <c r="AI348" s="2">
        <f>Table__192.168.3.138BEWLPPMetaData[[#This Row],[NetAmount]]-Table__192.168.3.138BEWLPPMetaData[[#This Row],[Paid]]</f>
        <v>6090</v>
      </c>
    </row>
    <row r="349" spans="1:35" hidden="1">
      <c r="A349" t="s">
        <v>9188</v>
      </c>
      <c r="B349" s="1">
        <v>40779</v>
      </c>
      <c r="C349" s="1">
        <v>40824</v>
      </c>
      <c r="D349" t="s">
        <v>8532</v>
      </c>
      <c r="E349">
        <v>10500</v>
      </c>
      <c r="F349">
        <v>1680</v>
      </c>
      <c r="G349">
        <v>0</v>
      </c>
      <c r="H349">
        <v>0</v>
      </c>
      <c r="I349">
        <v>487</v>
      </c>
      <c r="J349">
        <v>12180</v>
      </c>
      <c r="K349" t="s">
        <v>9189</v>
      </c>
      <c r="L349" s="1">
        <v>40781</v>
      </c>
      <c r="N349" t="s">
        <v>6694</v>
      </c>
      <c r="O349" t="s">
        <v>3507</v>
      </c>
      <c r="P349" t="s">
        <v>364</v>
      </c>
      <c r="Q349" t="s">
        <v>39</v>
      </c>
      <c r="R349" t="s">
        <v>40</v>
      </c>
      <c r="S349">
        <v>0</v>
      </c>
      <c r="U349" t="s">
        <v>41</v>
      </c>
      <c r="V349" t="s">
        <v>42</v>
      </c>
      <c r="X349" t="s">
        <v>74</v>
      </c>
      <c r="Y349" t="b">
        <v>0</v>
      </c>
      <c r="Z349" t="b">
        <v>0</v>
      </c>
      <c r="AC349" s="1"/>
      <c r="AF349">
        <v>0</v>
      </c>
      <c r="AG349">
        <v>45</v>
      </c>
      <c r="AH349">
        <v>532</v>
      </c>
      <c r="AI349" s="2">
        <f>Table__192.168.3.138BEWLPPMetaData[[#This Row],[NetAmount]]-Table__192.168.3.138BEWLPPMetaData[[#This Row],[Paid]]</f>
        <v>12180</v>
      </c>
    </row>
    <row r="350" spans="1:35" hidden="1">
      <c r="A350" t="s">
        <v>9190</v>
      </c>
      <c r="B350" s="1">
        <v>40771</v>
      </c>
      <c r="C350" s="1">
        <v>40816</v>
      </c>
      <c r="D350" t="s">
        <v>8532</v>
      </c>
      <c r="E350">
        <v>3500</v>
      </c>
      <c r="F350">
        <v>560</v>
      </c>
      <c r="G350">
        <v>0</v>
      </c>
      <c r="H350">
        <v>0</v>
      </c>
      <c r="I350">
        <v>496</v>
      </c>
      <c r="J350">
        <v>4060</v>
      </c>
      <c r="K350" t="s">
        <v>9191</v>
      </c>
      <c r="L350" s="1">
        <v>40772</v>
      </c>
      <c r="N350" t="s">
        <v>6694</v>
      </c>
      <c r="O350" t="s">
        <v>3507</v>
      </c>
      <c r="P350" t="s">
        <v>364</v>
      </c>
      <c r="Q350" t="s">
        <v>39</v>
      </c>
      <c r="R350" t="s">
        <v>40</v>
      </c>
      <c r="S350">
        <v>0</v>
      </c>
      <c r="U350" t="s">
        <v>41</v>
      </c>
      <c r="V350" t="s">
        <v>42</v>
      </c>
      <c r="X350" t="s">
        <v>74</v>
      </c>
      <c r="Y350" t="b">
        <v>0</v>
      </c>
      <c r="Z350" t="b">
        <v>0</v>
      </c>
      <c r="AC350" s="1"/>
      <c r="AF350">
        <v>0</v>
      </c>
      <c r="AG350">
        <v>45</v>
      </c>
      <c r="AH350">
        <v>541</v>
      </c>
      <c r="AI350" s="2">
        <f>Table__192.168.3.138BEWLPPMetaData[[#This Row],[NetAmount]]-Table__192.168.3.138BEWLPPMetaData[[#This Row],[Paid]]</f>
        <v>4060</v>
      </c>
    </row>
    <row r="351" spans="1:35" hidden="1">
      <c r="A351" t="s">
        <v>9192</v>
      </c>
      <c r="B351" s="1">
        <v>40773</v>
      </c>
      <c r="C351" s="1">
        <v>40818</v>
      </c>
      <c r="D351" t="s">
        <v>8532</v>
      </c>
      <c r="E351">
        <v>10500</v>
      </c>
      <c r="F351">
        <v>1680</v>
      </c>
      <c r="G351">
        <v>0</v>
      </c>
      <c r="H351">
        <v>0</v>
      </c>
      <c r="I351">
        <v>491</v>
      </c>
      <c r="J351">
        <v>12180</v>
      </c>
      <c r="K351" t="s">
        <v>9193</v>
      </c>
      <c r="L351" s="1">
        <v>40777</v>
      </c>
      <c r="N351" t="s">
        <v>6694</v>
      </c>
      <c r="O351" t="s">
        <v>3507</v>
      </c>
      <c r="P351" t="s">
        <v>364</v>
      </c>
      <c r="Q351" t="s">
        <v>39</v>
      </c>
      <c r="R351" t="s">
        <v>40</v>
      </c>
      <c r="S351">
        <v>0</v>
      </c>
      <c r="U351" t="s">
        <v>41</v>
      </c>
      <c r="V351" t="s">
        <v>42</v>
      </c>
      <c r="X351" t="s">
        <v>74</v>
      </c>
      <c r="Y351" t="b">
        <v>0</v>
      </c>
      <c r="Z351" t="b">
        <v>0</v>
      </c>
      <c r="AC351" s="1"/>
      <c r="AF351">
        <v>0</v>
      </c>
      <c r="AG351">
        <v>45</v>
      </c>
      <c r="AH351">
        <v>536</v>
      </c>
      <c r="AI351" s="2">
        <f>Table__192.168.3.138BEWLPPMetaData[[#This Row],[NetAmount]]-Table__192.168.3.138BEWLPPMetaData[[#This Row],[Paid]]</f>
        <v>12180</v>
      </c>
    </row>
    <row r="352" spans="1:35" hidden="1">
      <c r="A352" t="s">
        <v>9194</v>
      </c>
      <c r="B352" s="1">
        <v>40768</v>
      </c>
      <c r="C352" s="1">
        <v>40813</v>
      </c>
      <c r="D352" t="s">
        <v>8532</v>
      </c>
      <c r="E352">
        <v>14000</v>
      </c>
      <c r="F352">
        <v>2240</v>
      </c>
      <c r="G352">
        <v>0</v>
      </c>
      <c r="H352">
        <v>0</v>
      </c>
      <c r="I352">
        <v>497</v>
      </c>
      <c r="J352">
        <v>16240</v>
      </c>
      <c r="K352" t="s">
        <v>9195</v>
      </c>
      <c r="L352" s="1">
        <v>40771</v>
      </c>
      <c r="N352" t="s">
        <v>6694</v>
      </c>
      <c r="O352" t="s">
        <v>3507</v>
      </c>
      <c r="P352" t="s">
        <v>364</v>
      </c>
      <c r="Q352" t="s">
        <v>39</v>
      </c>
      <c r="R352" t="s">
        <v>40</v>
      </c>
      <c r="S352">
        <v>0</v>
      </c>
      <c r="U352" t="s">
        <v>41</v>
      </c>
      <c r="V352" t="s">
        <v>42</v>
      </c>
      <c r="X352" t="s">
        <v>74</v>
      </c>
      <c r="Y352" t="b">
        <v>0</v>
      </c>
      <c r="Z352" t="b">
        <v>0</v>
      </c>
      <c r="AC352" s="1"/>
      <c r="AF352">
        <v>0</v>
      </c>
      <c r="AG352">
        <v>45</v>
      </c>
      <c r="AH352">
        <v>542</v>
      </c>
      <c r="AI352" s="2">
        <f>Table__192.168.3.138BEWLPPMetaData[[#This Row],[NetAmount]]-Table__192.168.3.138BEWLPPMetaData[[#This Row],[Paid]]</f>
        <v>16240</v>
      </c>
    </row>
    <row r="353" spans="1:35" hidden="1">
      <c r="A353" t="s">
        <v>9196</v>
      </c>
      <c r="B353" s="1">
        <v>40763</v>
      </c>
      <c r="C353" s="1">
        <v>40808</v>
      </c>
      <c r="D353" t="s">
        <v>8532</v>
      </c>
      <c r="E353">
        <v>7000</v>
      </c>
      <c r="F353">
        <v>1120</v>
      </c>
      <c r="G353">
        <v>0</v>
      </c>
      <c r="H353">
        <v>0</v>
      </c>
      <c r="I353">
        <v>504</v>
      </c>
      <c r="J353">
        <v>8120</v>
      </c>
      <c r="K353" t="s">
        <v>9197</v>
      </c>
      <c r="L353" s="1">
        <v>40764</v>
      </c>
      <c r="N353" t="s">
        <v>6694</v>
      </c>
      <c r="O353" t="s">
        <v>3507</v>
      </c>
      <c r="P353" t="s">
        <v>364</v>
      </c>
      <c r="Q353" t="s">
        <v>39</v>
      </c>
      <c r="R353" t="s">
        <v>40</v>
      </c>
      <c r="S353">
        <v>0</v>
      </c>
      <c r="U353" t="s">
        <v>41</v>
      </c>
      <c r="V353" t="s">
        <v>42</v>
      </c>
      <c r="X353" t="s">
        <v>74</v>
      </c>
      <c r="Y353" t="b">
        <v>0</v>
      </c>
      <c r="Z353" t="b">
        <v>0</v>
      </c>
      <c r="AC353" s="1"/>
      <c r="AF353">
        <v>0</v>
      </c>
      <c r="AG353">
        <v>45</v>
      </c>
      <c r="AH353">
        <v>549</v>
      </c>
      <c r="AI353" s="2">
        <f>Table__192.168.3.138BEWLPPMetaData[[#This Row],[NetAmount]]-Table__192.168.3.138BEWLPPMetaData[[#This Row],[Paid]]</f>
        <v>8120</v>
      </c>
    </row>
    <row r="354" spans="1:35" hidden="1">
      <c r="A354" t="s">
        <v>9198</v>
      </c>
      <c r="B354" s="1">
        <v>40784</v>
      </c>
      <c r="C354" s="1">
        <v>40829</v>
      </c>
      <c r="D354" t="s">
        <v>8532</v>
      </c>
      <c r="E354">
        <v>10500</v>
      </c>
      <c r="F354">
        <v>1680</v>
      </c>
      <c r="G354">
        <v>0</v>
      </c>
      <c r="H354">
        <v>0</v>
      </c>
      <c r="I354">
        <v>484</v>
      </c>
      <c r="J354">
        <v>12180</v>
      </c>
      <c r="K354" t="s">
        <v>9199</v>
      </c>
      <c r="L354" s="1">
        <v>40784</v>
      </c>
      <c r="N354" t="s">
        <v>6694</v>
      </c>
      <c r="O354" t="s">
        <v>3507</v>
      </c>
      <c r="P354" t="s">
        <v>364</v>
      </c>
      <c r="Q354" t="s">
        <v>39</v>
      </c>
      <c r="R354" t="s">
        <v>40</v>
      </c>
      <c r="S354">
        <v>0</v>
      </c>
      <c r="U354" t="s">
        <v>41</v>
      </c>
      <c r="V354" t="s">
        <v>42</v>
      </c>
      <c r="X354" t="s">
        <v>74</v>
      </c>
      <c r="Y354" t="b">
        <v>0</v>
      </c>
      <c r="Z354" t="b">
        <v>0</v>
      </c>
      <c r="AC354" s="1"/>
      <c r="AF354">
        <v>0</v>
      </c>
      <c r="AG354">
        <v>45</v>
      </c>
      <c r="AH354">
        <v>529</v>
      </c>
      <c r="AI354" s="2">
        <f>Table__192.168.3.138BEWLPPMetaData[[#This Row],[NetAmount]]-Table__192.168.3.138BEWLPPMetaData[[#This Row],[Paid]]</f>
        <v>12180</v>
      </c>
    </row>
    <row r="355" spans="1:35" hidden="1">
      <c r="A355" t="s">
        <v>9200</v>
      </c>
      <c r="B355" s="1">
        <v>40782</v>
      </c>
      <c r="C355" s="1">
        <v>40827</v>
      </c>
      <c r="D355" t="s">
        <v>8532</v>
      </c>
      <c r="E355">
        <v>7000</v>
      </c>
      <c r="F355">
        <v>1120</v>
      </c>
      <c r="G355">
        <v>0</v>
      </c>
      <c r="H355">
        <v>0</v>
      </c>
      <c r="I355">
        <v>487</v>
      </c>
      <c r="J355">
        <v>8120</v>
      </c>
      <c r="K355" t="s">
        <v>9201</v>
      </c>
      <c r="L355" s="1">
        <v>40781</v>
      </c>
      <c r="N355" t="s">
        <v>6694</v>
      </c>
      <c r="O355" t="s">
        <v>3507</v>
      </c>
      <c r="P355" t="s">
        <v>364</v>
      </c>
      <c r="Q355" t="s">
        <v>39</v>
      </c>
      <c r="R355" t="s">
        <v>40</v>
      </c>
      <c r="S355">
        <v>0</v>
      </c>
      <c r="U355" t="s">
        <v>41</v>
      </c>
      <c r="V355" t="s">
        <v>42</v>
      </c>
      <c r="X355" t="s">
        <v>74</v>
      </c>
      <c r="Y355" t="b">
        <v>0</v>
      </c>
      <c r="Z355" t="b">
        <v>0</v>
      </c>
      <c r="AC355" s="1"/>
      <c r="AF355">
        <v>0</v>
      </c>
      <c r="AG355">
        <v>45</v>
      </c>
      <c r="AH355">
        <v>532</v>
      </c>
      <c r="AI355" s="2">
        <f>Table__192.168.3.138BEWLPPMetaData[[#This Row],[NetAmount]]-Table__192.168.3.138BEWLPPMetaData[[#This Row],[Paid]]</f>
        <v>8120</v>
      </c>
    </row>
    <row r="356" spans="1:35" hidden="1">
      <c r="A356" t="s">
        <v>9202</v>
      </c>
      <c r="B356" s="1">
        <v>40806</v>
      </c>
      <c r="C356" s="1">
        <v>40851</v>
      </c>
      <c r="D356" t="s">
        <v>8532</v>
      </c>
      <c r="E356">
        <v>17500</v>
      </c>
      <c r="F356">
        <v>2800</v>
      </c>
      <c r="G356">
        <v>0</v>
      </c>
      <c r="H356">
        <v>0</v>
      </c>
      <c r="I356">
        <v>461</v>
      </c>
      <c r="J356">
        <v>20300</v>
      </c>
      <c r="K356" t="s">
        <v>9203</v>
      </c>
      <c r="L356" s="1">
        <v>40807</v>
      </c>
      <c r="N356" t="s">
        <v>6694</v>
      </c>
      <c r="O356" t="s">
        <v>3507</v>
      </c>
      <c r="P356" t="s">
        <v>364</v>
      </c>
      <c r="Q356" t="s">
        <v>39</v>
      </c>
      <c r="R356" t="s">
        <v>40</v>
      </c>
      <c r="S356">
        <v>0</v>
      </c>
      <c r="U356" t="s">
        <v>41</v>
      </c>
      <c r="V356" t="s">
        <v>42</v>
      </c>
      <c r="X356" t="s">
        <v>74</v>
      </c>
      <c r="Y356" t="b">
        <v>0</v>
      </c>
      <c r="Z356" t="b">
        <v>0</v>
      </c>
      <c r="AC356" s="1"/>
      <c r="AF356">
        <v>0</v>
      </c>
      <c r="AG356">
        <v>45</v>
      </c>
      <c r="AH356">
        <v>506</v>
      </c>
      <c r="AI356" s="2">
        <f>Table__192.168.3.138BEWLPPMetaData[[#This Row],[NetAmount]]-Table__192.168.3.138BEWLPPMetaData[[#This Row],[Paid]]</f>
        <v>20300</v>
      </c>
    </row>
    <row r="357" spans="1:35" hidden="1">
      <c r="A357" t="s">
        <v>9204</v>
      </c>
      <c r="B357" s="1">
        <v>40795</v>
      </c>
      <c r="C357" s="1">
        <v>40840</v>
      </c>
      <c r="D357" t="s">
        <v>8532</v>
      </c>
      <c r="E357">
        <v>7000</v>
      </c>
      <c r="F357">
        <v>1120</v>
      </c>
      <c r="G357">
        <v>0</v>
      </c>
      <c r="H357">
        <v>0</v>
      </c>
      <c r="I357">
        <v>470</v>
      </c>
      <c r="J357">
        <v>8120</v>
      </c>
      <c r="K357" t="s">
        <v>9205</v>
      </c>
      <c r="L357" s="1">
        <v>40798</v>
      </c>
      <c r="N357" t="s">
        <v>6694</v>
      </c>
      <c r="O357" t="s">
        <v>3507</v>
      </c>
      <c r="P357" t="s">
        <v>364</v>
      </c>
      <c r="Q357" t="s">
        <v>39</v>
      </c>
      <c r="R357" t="s">
        <v>40</v>
      </c>
      <c r="S357">
        <v>0</v>
      </c>
      <c r="U357" t="s">
        <v>41</v>
      </c>
      <c r="V357" t="s">
        <v>42</v>
      </c>
      <c r="X357" t="s">
        <v>74</v>
      </c>
      <c r="Y357" t="b">
        <v>0</v>
      </c>
      <c r="Z357" t="b">
        <v>0</v>
      </c>
      <c r="AC357" s="1"/>
      <c r="AF357">
        <v>0</v>
      </c>
      <c r="AG357">
        <v>45</v>
      </c>
      <c r="AH357">
        <v>515</v>
      </c>
      <c r="AI357" s="2">
        <f>Table__192.168.3.138BEWLPPMetaData[[#This Row],[NetAmount]]-Table__192.168.3.138BEWLPPMetaData[[#This Row],[Paid]]</f>
        <v>8120</v>
      </c>
    </row>
    <row r="358" spans="1:35" hidden="1">
      <c r="A358" t="s">
        <v>9206</v>
      </c>
      <c r="B358" s="1">
        <v>40802</v>
      </c>
      <c r="C358" s="1">
        <v>40847</v>
      </c>
      <c r="D358" t="s">
        <v>8532</v>
      </c>
      <c r="E358">
        <v>10500</v>
      </c>
      <c r="F358">
        <v>1680</v>
      </c>
      <c r="G358">
        <v>0</v>
      </c>
      <c r="H358">
        <v>0</v>
      </c>
      <c r="I358">
        <v>466</v>
      </c>
      <c r="J358">
        <v>12180</v>
      </c>
      <c r="K358" t="s">
        <v>9207</v>
      </c>
      <c r="L358" s="1">
        <v>40802</v>
      </c>
      <c r="N358" t="s">
        <v>6694</v>
      </c>
      <c r="O358" t="s">
        <v>3507</v>
      </c>
      <c r="P358" t="s">
        <v>364</v>
      </c>
      <c r="Q358" t="s">
        <v>39</v>
      </c>
      <c r="R358" t="s">
        <v>40</v>
      </c>
      <c r="S358">
        <v>0</v>
      </c>
      <c r="U358" t="s">
        <v>41</v>
      </c>
      <c r="V358" t="s">
        <v>42</v>
      </c>
      <c r="X358" t="s">
        <v>74</v>
      </c>
      <c r="Y358" t="b">
        <v>0</v>
      </c>
      <c r="Z358" t="b">
        <v>0</v>
      </c>
      <c r="AC358" s="1"/>
      <c r="AF358">
        <v>0</v>
      </c>
      <c r="AG358">
        <v>45</v>
      </c>
      <c r="AH358">
        <v>511</v>
      </c>
      <c r="AI358" s="2">
        <f>Table__192.168.3.138BEWLPPMetaData[[#This Row],[NetAmount]]-Table__192.168.3.138BEWLPPMetaData[[#This Row],[Paid]]</f>
        <v>12180</v>
      </c>
    </row>
    <row r="359" spans="1:35" hidden="1">
      <c r="A359" t="s">
        <v>9208</v>
      </c>
      <c r="B359" s="1">
        <v>40812</v>
      </c>
      <c r="C359" s="1">
        <v>40857</v>
      </c>
      <c r="D359" t="s">
        <v>8532</v>
      </c>
      <c r="E359">
        <v>14000</v>
      </c>
      <c r="F359">
        <v>2240</v>
      </c>
      <c r="G359">
        <v>0</v>
      </c>
      <c r="H359">
        <v>0</v>
      </c>
      <c r="I359">
        <v>455</v>
      </c>
      <c r="J359">
        <v>16240</v>
      </c>
      <c r="K359" t="s">
        <v>9209</v>
      </c>
      <c r="L359" s="1">
        <v>40813</v>
      </c>
      <c r="N359" t="s">
        <v>6694</v>
      </c>
      <c r="O359" t="s">
        <v>3507</v>
      </c>
      <c r="P359" t="s">
        <v>364</v>
      </c>
      <c r="Q359" t="s">
        <v>39</v>
      </c>
      <c r="R359" t="s">
        <v>40</v>
      </c>
      <c r="S359">
        <v>0</v>
      </c>
      <c r="U359" t="s">
        <v>41</v>
      </c>
      <c r="V359" t="s">
        <v>42</v>
      </c>
      <c r="X359" t="s">
        <v>74</v>
      </c>
      <c r="Y359" t="b">
        <v>0</v>
      </c>
      <c r="Z359" t="b">
        <v>0</v>
      </c>
      <c r="AC359" s="1"/>
      <c r="AF359">
        <v>0</v>
      </c>
      <c r="AG359">
        <v>45</v>
      </c>
      <c r="AH359">
        <v>500</v>
      </c>
      <c r="AI359" s="2">
        <f>Table__192.168.3.138BEWLPPMetaData[[#This Row],[NetAmount]]-Table__192.168.3.138BEWLPPMetaData[[#This Row],[Paid]]</f>
        <v>16240</v>
      </c>
    </row>
    <row r="360" spans="1:35" hidden="1">
      <c r="A360" t="s">
        <v>9210</v>
      </c>
      <c r="B360" s="1">
        <v>40816</v>
      </c>
      <c r="C360" s="1">
        <v>40861</v>
      </c>
      <c r="D360" t="s">
        <v>8532</v>
      </c>
      <c r="E360">
        <v>8750</v>
      </c>
      <c r="F360">
        <v>1400</v>
      </c>
      <c r="G360">
        <v>0</v>
      </c>
      <c r="H360">
        <v>0</v>
      </c>
      <c r="I360">
        <v>452</v>
      </c>
      <c r="J360">
        <v>10150</v>
      </c>
      <c r="K360" t="s">
        <v>9211</v>
      </c>
      <c r="L360" s="1">
        <v>40816</v>
      </c>
      <c r="N360" t="s">
        <v>6694</v>
      </c>
      <c r="O360" t="s">
        <v>3507</v>
      </c>
      <c r="P360" t="s">
        <v>364</v>
      </c>
      <c r="Q360" t="s">
        <v>39</v>
      </c>
      <c r="R360" t="s">
        <v>40</v>
      </c>
      <c r="S360">
        <v>0</v>
      </c>
      <c r="U360" t="s">
        <v>41</v>
      </c>
      <c r="V360" t="s">
        <v>42</v>
      </c>
      <c r="X360" t="s">
        <v>74</v>
      </c>
      <c r="Y360" t="b">
        <v>0</v>
      </c>
      <c r="Z360" t="b">
        <v>0</v>
      </c>
      <c r="AC360" s="1"/>
      <c r="AF360">
        <v>0</v>
      </c>
      <c r="AG360">
        <v>45</v>
      </c>
      <c r="AH360">
        <v>497</v>
      </c>
      <c r="AI360" s="2">
        <f>Table__192.168.3.138BEWLPPMetaData[[#This Row],[NetAmount]]-Table__192.168.3.138BEWLPPMetaData[[#This Row],[Paid]]</f>
        <v>10150</v>
      </c>
    </row>
    <row r="361" spans="1:35" hidden="1">
      <c r="A361" t="s">
        <v>9212</v>
      </c>
      <c r="B361" s="1">
        <v>40760</v>
      </c>
      <c r="C361" s="1">
        <v>40790</v>
      </c>
      <c r="D361" t="s">
        <v>9213</v>
      </c>
      <c r="E361">
        <v>11544</v>
      </c>
      <c r="F361">
        <v>1847</v>
      </c>
      <c r="G361">
        <v>0</v>
      </c>
      <c r="H361">
        <v>0</v>
      </c>
      <c r="I361">
        <v>508</v>
      </c>
      <c r="J361">
        <v>13391</v>
      </c>
      <c r="L361" s="1">
        <v>40760</v>
      </c>
      <c r="M361" t="s">
        <v>9214</v>
      </c>
      <c r="N361" t="s">
        <v>6694</v>
      </c>
      <c r="O361" t="s">
        <v>3507</v>
      </c>
      <c r="P361" t="s">
        <v>352</v>
      </c>
      <c r="Q361" t="s">
        <v>39</v>
      </c>
      <c r="R361" t="s">
        <v>40</v>
      </c>
      <c r="S361">
        <v>0</v>
      </c>
      <c r="U361" t="s">
        <v>41</v>
      </c>
      <c r="V361" t="s">
        <v>42</v>
      </c>
      <c r="W361" t="s">
        <v>9215</v>
      </c>
      <c r="X361" t="s">
        <v>74</v>
      </c>
      <c r="Y361" t="b">
        <v>0</v>
      </c>
      <c r="Z361" t="b">
        <v>0</v>
      </c>
      <c r="AA361" t="b">
        <v>0</v>
      </c>
      <c r="AC361" s="1"/>
      <c r="AF361">
        <v>0</v>
      </c>
      <c r="AG361">
        <v>45</v>
      </c>
      <c r="AH361">
        <v>553</v>
      </c>
      <c r="AI361" s="2">
        <f>Table__192.168.3.138BEWLPPMetaData[[#This Row],[NetAmount]]-Table__192.168.3.138BEWLPPMetaData[[#This Row],[Paid]]</f>
        <v>13391</v>
      </c>
    </row>
    <row r="362" spans="1:35" hidden="1">
      <c r="A362" t="s">
        <v>9216</v>
      </c>
      <c r="B362" s="1">
        <v>40823</v>
      </c>
      <c r="C362" s="1">
        <v>40853</v>
      </c>
      <c r="D362" t="s">
        <v>9213</v>
      </c>
      <c r="E362">
        <v>9408</v>
      </c>
      <c r="F362">
        <v>1505</v>
      </c>
      <c r="G362">
        <v>0</v>
      </c>
      <c r="H362">
        <v>0</v>
      </c>
      <c r="I362">
        <v>446</v>
      </c>
      <c r="J362">
        <v>10913</v>
      </c>
      <c r="K362" t="s">
        <v>9217</v>
      </c>
      <c r="L362" s="1">
        <v>40822</v>
      </c>
      <c r="N362" t="s">
        <v>6694</v>
      </c>
      <c r="O362" t="s">
        <v>3507</v>
      </c>
      <c r="P362" t="s">
        <v>352</v>
      </c>
      <c r="Q362" t="s">
        <v>39</v>
      </c>
      <c r="R362" t="s">
        <v>40</v>
      </c>
      <c r="S362">
        <v>0</v>
      </c>
      <c r="U362" t="s">
        <v>41</v>
      </c>
      <c r="V362" t="s">
        <v>42</v>
      </c>
      <c r="X362" t="s">
        <v>74</v>
      </c>
      <c r="Y362" t="b">
        <v>0</v>
      </c>
      <c r="Z362" t="b">
        <v>0</v>
      </c>
      <c r="AC362" s="1"/>
      <c r="AF362">
        <v>0</v>
      </c>
      <c r="AG362">
        <v>45</v>
      </c>
      <c r="AH362">
        <v>491</v>
      </c>
      <c r="AI362" s="2">
        <f>Table__192.168.3.138BEWLPPMetaData[[#This Row],[NetAmount]]-Table__192.168.3.138BEWLPPMetaData[[#This Row],[Paid]]</f>
        <v>10913</v>
      </c>
    </row>
    <row r="363" spans="1:35" hidden="1">
      <c r="A363" t="s">
        <v>9218</v>
      </c>
      <c r="B363" s="1">
        <v>40829</v>
      </c>
      <c r="C363" s="1">
        <v>40859</v>
      </c>
      <c r="D363" t="s">
        <v>9213</v>
      </c>
      <c r="E363">
        <v>25062</v>
      </c>
      <c r="F363">
        <v>4010</v>
      </c>
      <c r="G363">
        <v>0</v>
      </c>
      <c r="H363">
        <v>0</v>
      </c>
      <c r="I363">
        <v>440</v>
      </c>
      <c r="J363">
        <v>29072</v>
      </c>
      <c r="K363" t="s">
        <v>9219</v>
      </c>
      <c r="L363" s="1">
        <v>40828</v>
      </c>
      <c r="N363" t="s">
        <v>6694</v>
      </c>
      <c r="O363" t="s">
        <v>3507</v>
      </c>
      <c r="P363" t="s">
        <v>352</v>
      </c>
      <c r="Q363" t="s">
        <v>39</v>
      </c>
      <c r="R363" t="s">
        <v>40</v>
      </c>
      <c r="S363">
        <v>0</v>
      </c>
      <c r="U363" t="s">
        <v>41</v>
      </c>
      <c r="V363" t="s">
        <v>42</v>
      </c>
      <c r="X363" t="s">
        <v>74</v>
      </c>
      <c r="Y363" t="b">
        <v>0</v>
      </c>
      <c r="Z363" t="b">
        <v>0</v>
      </c>
      <c r="AC363" s="1"/>
      <c r="AF363">
        <v>0</v>
      </c>
      <c r="AG363">
        <v>45</v>
      </c>
      <c r="AH363">
        <v>485</v>
      </c>
      <c r="AI363" s="2">
        <f>Table__192.168.3.138BEWLPPMetaData[[#This Row],[NetAmount]]-Table__192.168.3.138BEWLPPMetaData[[#This Row],[Paid]]</f>
        <v>29072</v>
      </c>
    </row>
    <row r="364" spans="1:35" hidden="1">
      <c r="A364" t="s">
        <v>9220</v>
      </c>
      <c r="B364" s="1">
        <v>40829</v>
      </c>
      <c r="C364" s="1">
        <v>40859</v>
      </c>
      <c r="D364" t="s">
        <v>9213</v>
      </c>
      <c r="E364">
        <v>4900</v>
      </c>
      <c r="F364">
        <v>784</v>
      </c>
      <c r="G364">
        <v>0</v>
      </c>
      <c r="H364">
        <v>0</v>
      </c>
      <c r="I364">
        <v>439</v>
      </c>
      <c r="J364">
        <v>5684</v>
      </c>
      <c r="K364" t="s">
        <v>9221</v>
      </c>
      <c r="L364" s="1">
        <v>40829</v>
      </c>
      <c r="N364" t="s">
        <v>6694</v>
      </c>
      <c r="O364" t="s">
        <v>3507</v>
      </c>
      <c r="P364" t="s">
        <v>352</v>
      </c>
      <c r="Q364" t="s">
        <v>39</v>
      </c>
      <c r="R364" t="s">
        <v>40</v>
      </c>
      <c r="S364">
        <v>0</v>
      </c>
      <c r="U364" t="s">
        <v>41</v>
      </c>
      <c r="V364" t="s">
        <v>42</v>
      </c>
      <c r="X364" t="s">
        <v>74</v>
      </c>
      <c r="Y364" t="b">
        <v>0</v>
      </c>
      <c r="Z364" t="b">
        <v>0</v>
      </c>
      <c r="AC364" s="1"/>
      <c r="AF364">
        <v>0</v>
      </c>
      <c r="AG364">
        <v>45</v>
      </c>
      <c r="AH364">
        <v>484</v>
      </c>
      <c r="AI364" s="2">
        <f>Table__192.168.3.138BEWLPPMetaData[[#This Row],[NetAmount]]-Table__192.168.3.138BEWLPPMetaData[[#This Row],[Paid]]</f>
        <v>5684</v>
      </c>
    </row>
    <row r="365" spans="1:35" hidden="1">
      <c r="A365" t="s">
        <v>9222</v>
      </c>
      <c r="B365" s="1">
        <v>40833</v>
      </c>
      <c r="C365" s="1">
        <v>40833</v>
      </c>
      <c r="D365" t="s">
        <v>8538</v>
      </c>
      <c r="E365">
        <v>583200</v>
      </c>
      <c r="F365">
        <v>93312</v>
      </c>
      <c r="G365">
        <v>0</v>
      </c>
      <c r="H365">
        <v>0</v>
      </c>
      <c r="I365">
        <v>435</v>
      </c>
      <c r="J365">
        <v>676512</v>
      </c>
      <c r="K365" t="s">
        <v>9223</v>
      </c>
      <c r="L365" s="1">
        <v>40833</v>
      </c>
      <c r="N365" t="s">
        <v>6694</v>
      </c>
      <c r="O365" t="s">
        <v>3507</v>
      </c>
      <c r="P365" t="s">
        <v>310</v>
      </c>
      <c r="Q365" t="s">
        <v>39</v>
      </c>
      <c r="R365" t="s">
        <v>40</v>
      </c>
      <c r="S365">
        <v>0</v>
      </c>
      <c r="U365" t="s">
        <v>41</v>
      </c>
      <c r="V365" t="s">
        <v>42</v>
      </c>
      <c r="X365" t="s">
        <v>74</v>
      </c>
      <c r="Y365" t="b">
        <v>0</v>
      </c>
      <c r="Z365" t="b">
        <v>0</v>
      </c>
      <c r="AC365" s="1"/>
      <c r="AF365">
        <v>0</v>
      </c>
      <c r="AG365">
        <v>45</v>
      </c>
      <c r="AH365">
        <v>480</v>
      </c>
      <c r="AI365" s="2">
        <f>Table__192.168.3.138BEWLPPMetaData[[#This Row],[NetAmount]]-Table__192.168.3.138BEWLPPMetaData[[#This Row],[Paid]]</f>
        <v>676512</v>
      </c>
    </row>
    <row r="366" spans="1:35" hidden="1">
      <c r="A366" t="s">
        <v>9224</v>
      </c>
      <c r="B366" s="1">
        <v>40828</v>
      </c>
      <c r="C366" s="1">
        <v>40858</v>
      </c>
      <c r="D366" t="s">
        <v>8611</v>
      </c>
      <c r="E366">
        <v>130788</v>
      </c>
      <c r="F366">
        <v>20926</v>
      </c>
      <c r="G366">
        <v>0</v>
      </c>
      <c r="H366">
        <v>151713.5</v>
      </c>
      <c r="I366">
        <v>440</v>
      </c>
      <c r="J366">
        <v>151712.5</v>
      </c>
      <c r="K366" t="s">
        <v>9225</v>
      </c>
      <c r="L366" s="1">
        <v>40828</v>
      </c>
      <c r="N366" t="s">
        <v>6694</v>
      </c>
      <c r="O366" t="s">
        <v>3507</v>
      </c>
      <c r="P366" t="s">
        <v>8612</v>
      </c>
      <c r="Q366" t="s">
        <v>39</v>
      </c>
      <c r="R366" t="s">
        <v>40</v>
      </c>
      <c r="S366">
        <v>0</v>
      </c>
      <c r="T366" t="s">
        <v>9226</v>
      </c>
      <c r="U366" t="s">
        <v>41</v>
      </c>
      <c r="V366" t="s">
        <v>42</v>
      </c>
      <c r="X366" t="s">
        <v>74</v>
      </c>
      <c r="Y366" t="b">
        <v>0</v>
      </c>
      <c r="Z366" t="b">
        <v>0</v>
      </c>
      <c r="AC366" s="1"/>
      <c r="AF366">
        <v>0</v>
      </c>
      <c r="AG366">
        <v>45</v>
      </c>
      <c r="AH366">
        <v>485</v>
      </c>
      <c r="AI366" s="2">
        <f>Table__192.168.3.138BEWLPPMetaData[[#This Row],[NetAmount]]-Table__192.168.3.138BEWLPPMetaData[[#This Row],[Paid]]</f>
        <v>151712.5</v>
      </c>
    </row>
    <row r="367" spans="1:35" hidden="1">
      <c r="A367" t="s">
        <v>9227</v>
      </c>
      <c r="B367" s="1">
        <v>40836</v>
      </c>
      <c r="C367" s="1">
        <v>40866</v>
      </c>
      <c r="D367" t="s">
        <v>8611</v>
      </c>
      <c r="E367">
        <v>181100</v>
      </c>
      <c r="F367">
        <v>28976</v>
      </c>
      <c r="G367">
        <v>0</v>
      </c>
      <c r="H367">
        <v>180528.5</v>
      </c>
      <c r="I367">
        <v>432</v>
      </c>
      <c r="J367">
        <v>210075.5</v>
      </c>
      <c r="K367" t="s">
        <v>9228</v>
      </c>
      <c r="L367" s="1">
        <v>40836</v>
      </c>
      <c r="N367" t="s">
        <v>6694</v>
      </c>
      <c r="O367" t="s">
        <v>3507</v>
      </c>
      <c r="P367" t="s">
        <v>8612</v>
      </c>
      <c r="Q367" t="s">
        <v>39</v>
      </c>
      <c r="R367" t="s">
        <v>40</v>
      </c>
      <c r="S367">
        <v>0</v>
      </c>
      <c r="T367" t="s">
        <v>9226</v>
      </c>
      <c r="U367" t="s">
        <v>41</v>
      </c>
      <c r="V367" t="s">
        <v>42</v>
      </c>
      <c r="X367" t="s">
        <v>74</v>
      </c>
      <c r="Y367" t="b">
        <v>0</v>
      </c>
      <c r="Z367" t="b">
        <v>0</v>
      </c>
      <c r="AB367" t="s">
        <v>1270</v>
      </c>
      <c r="AC367" s="1">
        <v>40928</v>
      </c>
      <c r="AD367" t="s">
        <v>9229</v>
      </c>
      <c r="AE367" t="s">
        <v>9230</v>
      </c>
      <c r="AF367">
        <v>29548</v>
      </c>
      <c r="AG367">
        <v>45</v>
      </c>
      <c r="AH367">
        <v>477</v>
      </c>
      <c r="AI367" s="2">
        <f>Table__192.168.3.138BEWLPPMetaData[[#This Row],[NetAmount]]-Table__192.168.3.138BEWLPPMetaData[[#This Row],[Paid]]</f>
        <v>180527.5</v>
      </c>
    </row>
    <row r="368" spans="1:35" hidden="1">
      <c r="A368" t="s">
        <v>9231</v>
      </c>
      <c r="B368" s="1">
        <v>40847</v>
      </c>
      <c r="C368" s="1">
        <v>40847</v>
      </c>
      <c r="D368" t="s">
        <v>8524</v>
      </c>
      <c r="E368">
        <v>350324</v>
      </c>
      <c r="F368">
        <v>56052</v>
      </c>
      <c r="G368">
        <v>0</v>
      </c>
      <c r="H368">
        <v>0</v>
      </c>
      <c r="I368">
        <v>423</v>
      </c>
      <c r="J368">
        <v>406376</v>
      </c>
      <c r="K368" t="s">
        <v>9232</v>
      </c>
      <c r="L368" s="1">
        <v>40845</v>
      </c>
      <c r="N368" t="s">
        <v>6694</v>
      </c>
      <c r="O368" t="s">
        <v>3507</v>
      </c>
      <c r="P368" t="s">
        <v>8525</v>
      </c>
      <c r="Q368" t="s">
        <v>39</v>
      </c>
      <c r="R368" t="s">
        <v>40</v>
      </c>
      <c r="S368">
        <v>0</v>
      </c>
      <c r="U368" t="s">
        <v>41</v>
      </c>
      <c r="V368" t="s">
        <v>42</v>
      </c>
      <c r="X368" t="s">
        <v>74</v>
      </c>
      <c r="Y368" t="b">
        <v>0</v>
      </c>
      <c r="Z368" t="b">
        <v>0</v>
      </c>
      <c r="AB368" t="s">
        <v>8800</v>
      </c>
      <c r="AC368" s="1">
        <v>40933</v>
      </c>
      <c r="AE368" t="s">
        <v>8802</v>
      </c>
      <c r="AF368">
        <v>0</v>
      </c>
      <c r="AG368">
        <v>45</v>
      </c>
      <c r="AH368">
        <v>468</v>
      </c>
      <c r="AI368" s="2">
        <f>Table__192.168.3.138BEWLPPMetaData[[#This Row],[NetAmount]]-Table__192.168.3.138BEWLPPMetaData[[#This Row],[Paid]]</f>
        <v>406376</v>
      </c>
    </row>
    <row r="369" spans="1:35" hidden="1">
      <c r="A369" t="s">
        <v>9233</v>
      </c>
      <c r="B369" s="1">
        <v>40863</v>
      </c>
      <c r="C369" s="1">
        <v>40863</v>
      </c>
      <c r="D369" t="s">
        <v>8544</v>
      </c>
      <c r="E369">
        <v>2736</v>
      </c>
      <c r="F369">
        <v>438</v>
      </c>
      <c r="G369">
        <v>0</v>
      </c>
      <c r="H369">
        <v>0</v>
      </c>
      <c r="I369">
        <v>405</v>
      </c>
      <c r="J369">
        <v>3174</v>
      </c>
      <c r="K369" t="s">
        <v>9234</v>
      </c>
      <c r="L369" s="1">
        <v>40863</v>
      </c>
      <c r="N369" t="s">
        <v>6694</v>
      </c>
      <c r="O369" t="s">
        <v>3507</v>
      </c>
      <c r="P369" t="s">
        <v>8545</v>
      </c>
      <c r="Q369" t="s">
        <v>39</v>
      </c>
      <c r="R369" t="s">
        <v>40</v>
      </c>
      <c r="S369">
        <v>0</v>
      </c>
      <c r="U369" t="s">
        <v>41</v>
      </c>
      <c r="V369" t="s">
        <v>42</v>
      </c>
      <c r="X369" t="s">
        <v>74</v>
      </c>
      <c r="Y369" t="b">
        <v>0</v>
      </c>
      <c r="Z369" t="b">
        <v>0</v>
      </c>
      <c r="AC369" s="1"/>
      <c r="AF369">
        <v>0</v>
      </c>
      <c r="AG369">
        <v>45</v>
      </c>
      <c r="AH369">
        <v>450</v>
      </c>
      <c r="AI369" s="2">
        <f>Table__192.168.3.138BEWLPPMetaData[[#This Row],[NetAmount]]-Table__192.168.3.138BEWLPPMetaData[[#This Row],[Paid]]</f>
        <v>3174</v>
      </c>
    </row>
    <row r="370" spans="1:35" hidden="1">
      <c r="A370" t="s">
        <v>9235</v>
      </c>
      <c r="B370" s="1">
        <v>40864</v>
      </c>
      <c r="C370" s="1">
        <v>40864</v>
      </c>
      <c r="D370" t="s">
        <v>8544</v>
      </c>
      <c r="E370">
        <v>43778</v>
      </c>
      <c r="F370">
        <v>7004</v>
      </c>
      <c r="G370">
        <v>0</v>
      </c>
      <c r="H370">
        <v>0</v>
      </c>
      <c r="I370">
        <v>404</v>
      </c>
      <c r="J370">
        <v>50782</v>
      </c>
      <c r="K370" t="s">
        <v>9236</v>
      </c>
      <c r="L370" s="1">
        <v>40864</v>
      </c>
      <c r="N370" t="s">
        <v>6694</v>
      </c>
      <c r="O370" t="s">
        <v>3507</v>
      </c>
      <c r="P370" t="s">
        <v>8545</v>
      </c>
      <c r="Q370" t="s">
        <v>39</v>
      </c>
      <c r="R370" t="s">
        <v>40</v>
      </c>
      <c r="S370">
        <v>0</v>
      </c>
      <c r="U370" t="s">
        <v>41</v>
      </c>
      <c r="V370" t="s">
        <v>42</v>
      </c>
      <c r="X370" t="s">
        <v>74</v>
      </c>
      <c r="Y370" t="b">
        <v>0</v>
      </c>
      <c r="Z370" t="b">
        <v>0</v>
      </c>
      <c r="AC370" s="1"/>
      <c r="AF370">
        <v>0</v>
      </c>
      <c r="AG370">
        <v>45</v>
      </c>
      <c r="AH370">
        <v>449</v>
      </c>
      <c r="AI370" s="2">
        <f>Table__192.168.3.138BEWLPPMetaData[[#This Row],[NetAmount]]-Table__192.168.3.138BEWLPPMetaData[[#This Row],[Paid]]</f>
        <v>50782</v>
      </c>
    </row>
    <row r="371" spans="1:35" hidden="1">
      <c r="A371" t="s">
        <v>9237</v>
      </c>
      <c r="B371" s="1">
        <v>40862</v>
      </c>
      <c r="C371" s="1">
        <v>40862</v>
      </c>
      <c r="D371" t="s">
        <v>8544</v>
      </c>
      <c r="E371">
        <v>4800</v>
      </c>
      <c r="F371">
        <v>768</v>
      </c>
      <c r="G371">
        <v>0</v>
      </c>
      <c r="H371">
        <v>0</v>
      </c>
      <c r="I371">
        <v>406</v>
      </c>
      <c r="J371">
        <v>5568</v>
      </c>
      <c r="K371" t="s">
        <v>9238</v>
      </c>
      <c r="L371" s="1">
        <v>40862</v>
      </c>
      <c r="N371" t="s">
        <v>6694</v>
      </c>
      <c r="O371" t="s">
        <v>3507</v>
      </c>
      <c r="P371" t="s">
        <v>8545</v>
      </c>
      <c r="Q371" t="s">
        <v>39</v>
      </c>
      <c r="R371" t="s">
        <v>40</v>
      </c>
      <c r="S371">
        <v>0</v>
      </c>
      <c r="U371" t="s">
        <v>41</v>
      </c>
      <c r="V371" t="s">
        <v>42</v>
      </c>
      <c r="X371" t="s">
        <v>74</v>
      </c>
      <c r="Y371" t="b">
        <v>0</v>
      </c>
      <c r="Z371" t="b">
        <v>0</v>
      </c>
      <c r="AC371" s="1"/>
      <c r="AF371">
        <v>0</v>
      </c>
      <c r="AG371">
        <v>45</v>
      </c>
      <c r="AH371">
        <v>451</v>
      </c>
      <c r="AI371" s="2">
        <f>Table__192.168.3.138BEWLPPMetaData[[#This Row],[NetAmount]]-Table__192.168.3.138BEWLPPMetaData[[#This Row],[Paid]]</f>
        <v>5568</v>
      </c>
    </row>
    <row r="372" spans="1:35" hidden="1">
      <c r="A372" t="s">
        <v>9239</v>
      </c>
      <c r="B372" s="1">
        <v>40851</v>
      </c>
      <c r="C372" s="1">
        <v>40851</v>
      </c>
      <c r="D372" t="s">
        <v>8544</v>
      </c>
      <c r="E372">
        <v>58190</v>
      </c>
      <c r="F372">
        <v>9310</v>
      </c>
      <c r="G372">
        <v>0</v>
      </c>
      <c r="H372">
        <v>0</v>
      </c>
      <c r="I372">
        <v>417</v>
      </c>
      <c r="J372">
        <v>67500</v>
      </c>
      <c r="K372" t="s">
        <v>9240</v>
      </c>
      <c r="L372" s="1">
        <v>40851</v>
      </c>
      <c r="N372" t="s">
        <v>6694</v>
      </c>
      <c r="O372" t="s">
        <v>3507</v>
      </c>
      <c r="P372" t="s">
        <v>8545</v>
      </c>
      <c r="Q372" t="s">
        <v>39</v>
      </c>
      <c r="R372" t="s">
        <v>40</v>
      </c>
      <c r="S372">
        <v>0</v>
      </c>
      <c r="U372" t="s">
        <v>41</v>
      </c>
      <c r="V372" t="s">
        <v>42</v>
      </c>
      <c r="X372" t="s">
        <v>74</v>
      </c>
      <c r="Y372" t="b">
        <v>0</v>
      </c>
      <c r="Z372" t="b">
        <v>0</v>
      </c>
      <c r="AC372" s="1"/>
      <c r="AF372">
        <v>0</v>
      </c>
      <c r="AG372">
        <v>45</v>
      </c>
      <c r="AH372">
        <v>462</v>
      </c>
      <c r="AI372" s="2">
        <f>Table__192.168.3.138BEWLPPMetaData[[#This Row],[NetAmount]]-Table__192.168.3.138BEWLPPMetaData[[#This Row],[Paid]]</f>
        <v>67500</v>
      </c>
    </row>
    <row r="373" spans="1:35" hidden="1">
      <c r="A373" t="s">
        <v>9241</v>
      </c>
      <c r="B373" s="1">
        <v>40859</v>
      </c>
      <c r="C373" s="1">
        <v>40859</v>
      </c>
      <c r="D373" t="s">
        <v>8544</v>
      </c>
      <c r="E373">
        <v>21351</v>
      </c>
      <c r="F373">
        <v>3416</v>
      </c>
      <c r="G373">
        <v>0</v>
      </c>
      <c r="H373">
        <v>0</v>
      </c>
      <c r="I373">
        <v>409</v>
      </c>
      <c r="J373">
        <v>24767</v>
      </c>
      <c r="K373" t="s">
        <v>9242</v>
      </c>
      <c r="L373" s="1">
        <v>40859</v>
      </c>
      <c r="N373" t="s">
        <v>6694</v>
      </c>
      <c r="O373" t="s">
        <v>3507</v>
      </c>
      <c r="P373" t="s">
        <v>8545</v>
      </c>
      <c r="Q373" t="s">
        <v>39</v>
      </c>
      <c r="R373" t="s">
        <v>40</v>
      </c>
      <c r="S373">
        <v>0</v>
      </c>
      <c r="U373" t="s">
        <v>41</v>
      </c>
      <c r="V373" t="s">
        <v>42</v>
      </c>
      <c r="X373" t="s">
        <v>74</v>
      </c>
      <c r="Y373" t="b">
        <v>0</v>
      </c>
      <c r="Z373" t="b">
        <v>0</v>
      </c>
      <c r="AC373" s="1"/>
      <c r="AF373">
        <v>0</v>
      </c>
      <c r="AG373">
        <v>45</v>
      </c>
      <c r="AH373">
        <v>454</v>
      </c>
      <c r="AI373" s="2">
        <f>Table__192.168.3.138BEWLPPMetaData[[#This Row],[NetAmount]]-Table__192.168.3.138BEWLPPMetaData[[#This Row],[Paid]]</f>
        <v>24767</v>
      </c>
    </row>
    <row r="374" spans="1:35" hidden="1">
      <c r="A374" t="s">
        <v>9243</v>
      </c>
      <c r="B374" s="1">
        <v>40863</v>
      </c>
      <c r="C374" s="1">
        <v>40893</v>
      </c>
      <c r="D374" t="s">
        <v>8611</v>
      </c>
      <c r="E374">
        <v>3974</v>
      </c>
      <c r="F374">
        <v>636</v>
      </c>
      <c r="G374">
        <v>0</v>
      </c>
      <c r="H374">
        <v>0</v>
      </c>
      <c r="I374">
        <v>405</v>
      </c>
      <c r="J374">
        <v>4610</v>
      </c>
      <c r="K374" t="s">
        <v>9244</v>
      </c>
      <c r="L374" s="1">
        <v>40863</v>
      </c>
      <c r="N374" t="s">
        <v>6694</v>
      </c>
      <c r="O374" t="s">
        <v>3507</v>
      </c>
      <c r="P374" t="s">
        <v>8612</v>
      </c>
      <c r="Q374" t="s">
        <v>39</v>
      </c>
      <c r="R374" t="s">
        <v>40</v>
      </c>
      <c r="S374">
        <v>0</v>
      </c>
      <c r="U374" t="s">
        <v>41</v>
      </c>
      <c r="V374" t="s">
        <v>42</v>
      </c>
      <c r="X374" t="s">
        <v>74</v>
      </c>
      <c r="Y374" t="b">
        <v>0</v>
      </c>
      <c r="Z374" t="b">
        <v>0</v>
      </c>
      <c r="AB374" t="s">
        <v>1270</v>
      </c>
      <c r="AC374" s="1">
        <v>40928</v>
      </c>
      <c r="AD374" t="s">
        <v>9245</v>
      </c>
      <c r="AE374" t="s">
        <v>9230</v>
      </c>
      <c r="AF374">
        <v>4363</v>
      </c>
      <c r="AG374">
        <v>45</v>
      </c>
      <c r="AH374">
        <v>450</v>
      </c>
      <c r="AI374" s="2">
        <f>Table__192.168.3.138BEWLPPMetaData[[#This Row],[NetAmount]]-Table__192.168.3.138BEWLPPMetaData[[#This Row],[Paid]]</f>
        <v>247</v>
      </c>
    </row>
    <row r="375" spans="1:35" hidden="1">
      <c r="A375" t="s">
        <v>9246</v>
      </c>
      <c r="B375" s="1">
        <v>40870</v>
      </c>
      <c r="C375" s="1">
        <v>40870</v>
      </c>
      <c r="D375" t="s">
        <v>8544</v>
      </c>
      <c r="E375">
        <v>13640</v>
      </c>
      <c r="F375">
        <v>2182</v>
      </c>
      <c r="G375">
        <v>0</v>
      </c>
      <c r="H375">
        <v>0</v>
      </c>
      <c r="I375">
        <v>399</v>
      </c>
      <c r="J375">
        <v>15822</v>
      </c>
      <c r="K375" t="s">
        <v>2992</v>
      </c>
      <c r="L375" s="1">
        <v>40869</v>
      </c>
      <c r="N375" t="s">
        <v>6694</v>
      </c>
      <c r="O375" t="s">
        <v>3507</v>
      </c>
      <c r="P375" t="s">
        <v>8545</v>
      </c>
      <c r="Q375" t="s">
        <v>39</v>
      </c>
      <c r="R375" t="s">
        <v>40</v>
      </c>
      <c r="S375">
        <v>0</v>
      </c>
      <c r="U375" t="s">
        <v>41</v>
      </c>
      <c r="V375" t="s">
        <v>42</v>
      </c>
      <c r="X375" t="s">
        <v>74</v>
      </c>
      <c r="Y375" t="b">
        <v>0</v>
      </c>
      <c r="Z375" t="b">
        <v>0</v>
      </c>
      <c r="AC375" s="1"/>
      <c r="AF375">
        <v>0</v>
      </c>
      <c r="AG375">
        <v>45</v>
      </c>
      <c r="AH375">
        <v>444</v>
      </c>
      <c r="AI375" s="2">
        <f>Table__192.168.3.138BEWLPPMetaData[[#This Row],[NetAmount]]-Table__192.168.3.138BEWLPPMetaData[[#This Row],[Paid]]</f>
        <v>15822</v>
      </c>
    </row>
    <row r="376" spans="1:35" hidden="1">
      <c r="A376" t="s">
        <v>9247</v>
      </c>
      <c r="B376" s="1">
        <v>40873</v>
      </c>
      <c r="C376" s="1">
        <v>40873</v>
      </c>
      <c r="D376" t="s">
        <v>8524</v>
      </c>
      <c r="E376">
        <v>21221</v>
      </c>
      <c r="F376">
        <v>3395</v>
      </c>
      <c r="G376">
        <v>0</v>
      </c>
      <c r="H376">
        <v>0</v>
      </c>
      <c r="I376">
        <v>397</v>
      </c>
      <c r="J376">
        <v>24616</v>
      </c>
      <c r="K376" t="s">
        <v>9248</v>
      </c>
      <c r="L376" s="1">
        <v>40871</v>
      </c>
      <c r="N376" t="s">
        <v>6694</v>
      </c>
      <c r="O376" t="s">
        <v>3507</v>
      </c>
      <c r="P376" t="s">
        <v>8525</v>
      </c>
      <c r="Q376" t="s">
        <v>39</v>
      </c>
      <c r="R376" t="s">
        <v>40</v>
      </c>
      <c r="S376">
        <v>0</v>
      </c>
      <c r="U376" t="s">
        <v>41</v>
      </c>
      <c r="V376" t="s">
        <v>42</v>
      </c>
      <c r="X376" t="s">
        <v>74</v>
      </c>
      <c r="Y376" t="b">
        <v>0</v>
      </c>
      <c r="Z376" t="b">
        <v>0</v>
      </c>
      <c r="AB376" t="s">
        <v>8800</v>
      </c>
      <c r="AC376" s="1">
        <v>40933</v>
      </c>
      <c r="AE376" t="s">
        <v>8802</v>
      </c>
      <c r="AF376">
        <v>0</v>
      </c>
      <c r="AG376">
        <v>45</v>
      </c>
      <c r="AH376">
        <v>442</v>
      </c>
      <c r="AI376" s="2">
        <f>Table__192.168.3.138BEWLPPMetaData[[#This Row],[NetAmount]]-Table__192.168.3.138BEWLPPMetaData[[#This Row],[Paid]]</f>
        <v>24616</v>
      </c>
    </row>
    <row r="377" spans="1:35" hidden="1">
      <c r="A377" t="s">
        <v>9249</v>
      </c>
      <c r="B377" s="1">
        <v>40866</v>
      </c>
      <c r="C377" s="1">
        <v>40866</v>
      </c>
      <c r="D377" t="s">
        <v>8544</v>
      </c>
      <c r="E377">
        <v>20496</v>
      </c>
      <c r="F377">
        <v>3279</v>
      </c>
      <c r="G377">
        <v>0</v>
      </c>
      <c r="H377">
        <v>0</v>
      </c>
      <c r="I377">
        <v>402</v>
      </c>
      <c r="J377">
        <v>23775</v>
      </c>
      <c r="K377" t="s">
        <v>5600</v>
      </c>
      <c r="L377" s="1">
        <v>40866</v>
      </c>
      <c r="N377" t="s">
        <v>6694</v>
      </c>
      <c r="O377" t="s">
        <v>3507</v>
      </c>
      <c r="P377" t="s">
        <v>8545</v>
      </c>
      <c r="Q377" t="s">
        <v>39</v>
      </c>
      <c r="R377" t="s">
        <v>40</v>
      </c>
      <c r="S377">
        <v>0</v>
      </c>
      <c r="U377" t="s">
        <v>41</v>
      </c>
      <c r="V377" t="s">
        <v>42</v>
      </c>
      <c r="X377" t="s">
        <v>74</v>
      </c>
      <c r="Y377" t="b">
        <v>0</v>
      </c>
      <c r="Z377" t="b">
        <v>0</v>
      </c>
      <c r="AC377" s="1"/>
      <c r="AF377">
        <v>0</v>
      </c>
      <c r="AG377">
        <v>45</v>
      </c>
      <c r="AH377">
        <v>447</v>
      </c>
      <c r="AI377" s="2">
        <f>Table__192.168.3.138BEWLPPMetaData[[#This Row],[NetAmount]]-Table__192.168.3.138BEWLPPMetaData[[#This Row],[Paid]]</f>
        <v>23775</v>
      </c>
    </row>
    <row r="378" spans="1:35" hidden="1">
      <c r="A378" t="s">
        <v>9250</v>
      </c>
      <c r="B378" s="1">
        <v>40870</v>
      </c>
      <c r="C378" s="1">
        <v>40870</v>
      </c>
      <c r="D378" t="s">
        <v>8538</v>
      </c>
      <c r="E378">
        <v>360000</v>
      </c>
      <c r="F378">
        <v>57600</v>
      </c>
      <c r="G378">
        <v>0</v>
      </c>
      <c r="H378">
        <v>0</v>
      </c>
      <c r="I378">
        <v>398</v>
      </c>
      <c r="J378">
        <v>417600</v>
      </c>
      <c r="K378" t="s">
        <v>9251</v>
      </c>
      <c r="L378" s="1">
        <v>40870</v>
      </c>
      <c r="N378" t="s">
        <v>6694</v>
      </c>
      <c r="O378" t="s">
        <v>3507</v>
      </c>
      <c r="P378" t="s">
        <v>310</v>
      </c>
      <c r="Q378" t="s">
        <v>39</v>
      </c>
      <c r="R378" t="s">
        <v>40</v>
      </c>
      <c r="S378">
        <v>0</v>
      </c>
      <c r="U378" t="s">
        <v>41</v>
      </c>
      <c r="V378" t="s">
        <v>42</v>
      </c>
      <c r="X378" t="s">
        <v>74</v>
      </c>
      <c r="Y378" t="b">
        <v>0</v>
      </c>
      <c r="Z378" t="b">
        <v>0</v>
      </c>
      <c r="AB378" t="s">
        <v>9252</v>
      </c>
      <c r="AC378" s="1">
        <v>40925</v>
      </c>
      <c r="AD378" t="s">
        <v>9253</v>
      </c>
      <c r="AE378" t="s">
        <v>9254</v>
      </c>
      <c r="AF378">
        <v>344645</v>
      </c>
      <c r="AG378">
        <v>45</v>
      </c>
      <c r="AH378">
        <v>443</v>
      </c>
      <c r="AI378" s="2">
        <f>Table__192.168.3.138BEWLPPMetaData[[#This Row],[NetAmount]]-Table__192.168.3.138BEWLPPMetaData[[#This Row],[Paid]]</f>
        <v>72955</v>
      </c>
    </row>
    <row r="379" spans="1:35" hidden="1">
      <c r="A379" t="s">
        <v>9255</v>
      </c>
      <c r="B379" s="1">
        <v>40872</v>
      </c>
      <c r="C379" s="1">
        <v>40872</v>
      </c>
      <c r="D379" t="s">
        <v>8544</v>
      </c>
      <c r="E379">
        <v>33654</v>
      </c>
      <c r="F379">
        <v>5385</v>
      </c>
      <c r="G379">
        <v>0</v>
      </c>
      <c r="H379">
        <v>0</v>
      </c>
      <c r="I379">
        <v>397</v>
      </c>
      <c r="J379">
        <v>39039</v>
      </c>
      <c r="K379" t="s">
        <v>9256</v>
      </c>
      <c r="L379" s="1">
        <v>40871</v>
      </c>
      <c r="N379" t="s">
        <v>6694</v>
      </c>
      <c r="O379" t="s">
        <v>3507</v>
      </c>
      <c r="P379" t="s">
        <v>8545</v>
      </c>
      <c r="Q379" t="s">
        <v>39</v>
      </c>
      <c r="R379" t="s">
        <v>40</v>
      </c>
      <c r="S379">
        <v>0</v>
      </c>
      <c r="U379" t="s">
        <v>41</v>
      </c>
      <c r="V379" t="s">
        <v>42</v>
      </c>
      <c r="X379" t="s">
        <v>74</v>
      </c>
      <c r="Y379" t="b">
        <v>0</v>
      </c>
      <c r="Z379" t="b">
        <v>0</v>
      </c>
      <c r="AC379" s="1"/>
      <c r="AF379">
        <v>0</v>
      </c>
      <c r="AG379">
        <v>45</v>
      </c>
      <c r="AH379">
        <v>442</v>
      </c>
      <c r="AI379" s="2">
        <f>Table__192.168.3.138BEWLPPMetaData[[#This Row],[NetAmount]]-Table__192.168.3.138BEWLPPMetaData[[#This Row],[Paid]]</f>
        <v>39039</v>
      </c>
    </row>
    <row r="380" spans="1:35" hidden="1">
      <c r="A380" t="s">
        <v>9257</v>
      </c>
      <c r="B380" s="1">
        <v>40876</v>
      </c>
      <c r="C380" s="1">
        <v>40876</v>
      </c>
      <c r="D380" t="s">
        <v>8544</v>
      </c>
      <c r="E380">
        <v>18320</v>
      </c>
      <c r="F380">
        <v>2931</v>
      </c>
      <c r="G380">
        <v>0</v>
      </c>
      <c r="H380">
        <v>0</v>
      </c>
      <c r="I380">
        <v>392</v>
      </c>
      <c r="J380">
        <v>21251</v>
      </c>
      <c r="K380" t="s">
        <v>9258</v>
      </c>
      <c r="L380" s="1">
        <v>40876</v>
      </c>
      <c r="N380" t="s">
        <v>6694</v>
      </c>
      <c r="O380" t="s">
        <v>3507</v>
      </c>
      <c r="P380" t="s">
        <v>8545</v>
      </c>
      <c r="Q380" t="s">
        <v>39</v>
      </c>
      <c r="R380" t="s">
        <v>40</v>
      </c>
      <c r="S380">
        <v>0</v>
      </c>
      <c r="U380" t="s">
        <v>41</v>
      </c>
      <c r="V380" t="s">
        <v>42</v>
      </c>
      <c r="X380" t="s">
        <v>74</v>
      </c>
      <c r="Y380" t="b">
        <v>0</v>
      </c>
      <c r="Z380" t="b">
        <v>0</v>
      </c>
      <c r="AC380" s="1"/>
      <c r="AF380">
        <v>0</v>
      </c>
      <c r="AG380">
        <v>45</v>
      </c>
      <c r="AH380">
        <v>437</v>
      </c>
      <c r="AI380" s="2">
        <f>Table__192.168.3.138BEWLPPMetaData[[#This Row],[NetAmount]]-Table__192.168.3.138BEWLPPMetaData[[#This Row],[Paid]]</f>
        <v>21251</v>
      </c>
    </row>
    <row r="381" spans="1:35" hidden="1">
      <c r="A381" t="s">
        <v>9259</v>
      </c>
      <c r="B381" s="1">
        <v>40877</v>
      </c>
      <c r="C381" s="1">
        <v>40877</v>
      </c>
      <c r="D381" t="s">
        <v>8544</v>
      </c>
      <c r="E381">
        <v>10033</v>
      </c>
      <c r="F381">
        <v>1605</v>
      </c>
      <c r="G381">
        <v>0</v>
      </c>
      <c r="H381">
        <v>0</v>
      </c>
      <c r="I381">
        <v>391</v>
      </c>
      <c r="J381">
        <v>11638</v>
      </c>
      <c r="K381" t="s">
        <v>9260</v>
      </c>
      <c r="L381" s="1">
        <v>40877</v>
      </c>
      <c r="N381" t="s">
        <v>6694</v>
      </c>
      <c r="O381" t="s">
        <v>3507</v>
      </c>
      <c r="P381" t="s">
        <v>8545</v>
      </c>
      <c r="Q381" t="s">
        <v>39</v>
      </c>
      <c r="R381" t="s">
        <v>40</v>
      </c>
      <c r="S381">
        <v>0</v>
      </c>
      <c r="U381" t="s">
        <v>41</v>
      </c>
      <c r="V381" t="s">
        <v>42</v>
      </c>
      <c r="X381" t="s">
        <v>74</v>
      </c>
      <c r="Y381" t="b">
        <v>0</v>
      </c>
      <c r="Z381" t="b">
        <v>0</v>
      </c>
      <c r="AC381" s="1"/>
      <c r="AF381">
        <v>0</v>
      </c>
      <c r="AG381">
        <v>45</v>
      </c>
      <c r="AH381">
        <v>436</v>
      </c>
      <c r="AI381" s="2">
        <f>Table__192.168.3.138BEWLPPMetaData[[#This Row],[NetAmount]]-Table__192.168.3.138BEWLPPMetaData[[#This Row],[Paid]]</f>
        <v>11638</v>
      </c>
    </row>
    <row r="382" spans="1:35" hidden="1">
      <c r="A382" t="s">
        <v>9261</v>
      </c>
      <c r="B382" s="1">
        <v>40875</v>
      </c>
      <c r="C382" s="1">
        <v>40875</v>
      </c>
      <c r="D382" t="s">
        <v>8544</v>
      </c>
      <c r="E382">
        <v>31710</v>
      </c>
      <c r="F382">
        <v>5074</v>
      </c>
      <c r="G382">
        <v>0</v>
      </c>
      <c r="H382">
        <v>0</v>
      </c>
      <c r="I382">
        <v>393</v>
      </c>
      <c r="J382">
        <v>36784</v>
      </c>
      <c r="K382" t="s">
        <v>9262</v>
      </c>
      <c r="L382" s="1">
        <v>40875</v>
      </c>
      <c r="N382" t="s">
        <v>6694</v>
      </c>
      <c r="O382" t="s">
        <v>3507</v>
      </c>
      <c r="P382" t="s">
        <v>8545</v>
      </c>
      <c r="Q382" t="s">
        <v>39</v>
      </c>
      <c r="R382" t="s">
        <v>40</v>
      </c>
      <c r="S382">
        <v>0</v>
      </c>
      <c r="U382" t="s">
        <v>41</v>
      </c>
      <c r="V382" t="s">
        <v>42</v>
      </c>
      <c r="X382" t="s">
        <v>74</v>
      </c>
      <c r="Y382" t="b">
        <v>0</v>
      </c>
      <c r="Z382" t="b">
        <v>0</v>
      </c>
      <c r="AC382" s="1"/>
      <c r="AF382">
        <v>0</v>
      </c>
      <c r="AG382">
        <v>45</v>
      </c>
      <c r="AH382">
        <v>438</v>
      </c>
      <c r="AI382" s="2">
        <f>Table__192.168.3.138BEWLPPMetaData[[#This Row],[NetAmount]]-Table__192.168.3.138BEWLPPMetaData[[#This Row],[Paid]]</f>
        <v>36784</v>
      </c>
    </row>
    <row r="383" spans="1:35" hidden="1">
      <c r="A383" t="s">
        <v>9263</v>
      </c>
      <c r="B383" s="1">
        <v>40866</v>
      </c>
      <c r="C383" s="1">
        <v>40896</v>
      </c>
      <c r="D383" t="s">
        <v>9213</v>
      </c>
      <c r="E383">
        <v>1610</v>
      </c>
      <c r="F383">
        <v>258</v>
      </c>
      <c r="G383">
        <v>0</v>
      </c>
      <c r="H383">
        <v>0</v>
      </c>
      <c r="I383">
        <v>402</v>
      </c>
      <c r="J383">
        <v>1868</v>
      </c>
      <c r="K383" t="s">
        <v>9264</v>
      </c>
      <c r="L383" s="1">
        <v>40866</v>
      </c>
      <c r="N383" t="s">
        <v>6694</v>
      </c>
      <c r="O383" t="s">
        <v>3507</v>
      </c>
      <c r="P383" t="s">
        <v>352</v>
      </c>
      <c r="Q383" t="s">
        <v>39</v>
      </c>
      <c r="R383" t="s">
        <v>40</v>
      </c>
      <c r="S383">
        <v>0</v>
      </c>
      <c r="U383" t="s">
        <v>41</v>
      </c>
      <c r="V383" t="s">
        <v>42</v>
      </c>
      <c r="X383" t="s">
        <v>74</v>
      </c>
      <c r="Y383" t="b">
        <v>0</v>
      </c>
      <c r="Z383" t="b">
        <v>0</v>
      </c>
      <c r="AC383" s="1"/>
      <c r="AF383">
        <v>0</v>
      </c>
      <c r="AG383">
        <v>45</v>
      </c>
      <c r="AH383">
        <v>447</v>
      </c>
      <c r="AI383" s="2">
        <f>Table__192.168.3.138BEWLPPMetaData[[#This Row],[NetAmount]]-Table__192.168.3.138BEWLPPMetaData[[#This Row],[Paid]]</f>
        <v>1868</v>
      </c>
    </row>
    <row r="384" spans="1:35" hidden="1">
      <c r="A384" t="s">
        <v>9265</v>
      </c>
      <c r="B384" s="1">
        <v>40880</v>
      </c>
      <c r="C384" s="1">
        <v>40880</v>
      </c>
      <c r="D384" t="s">
        <v>8544</v>
      </c>
      <c r="E384">
        <v>17080</v>
      </c>
      <c r="F384">
        <v>2733</v>
      </c>
      <c r="G384">
        <v>0</v>
      </c>
      <c r="H384">
        <v>0</v>
      </c>
      <c r="I384">
        <v>388</v>
      </c>
      <c r="J384">
        <v>19813</v>
      </c>
      <c r="K384" t="s">
        <v>99</v>
      </c>
      <c r="L384" s="1">
        <v>40880</v>
      </c>
      <c r="N384" t="s">
        <v>6694</v>
      </c>
      <c r="O384" t="s">
        <v>3507</v>
      </c>
      <c r="P384" t="s">
        <v>8545</v>
      </c>
      <c r="Q384" t="s">
        <v>39</v>
      </c>
      <c r="R384" t="s">
        <v>40</v>
      </c>
      <c r="S384">
        <v>0</v>
      </c>
      <c r="U384" t="s">
        <v>41</v>
      </c>
      <c r="V384" t="s">
        <v>42</v>
      </c>
      <c r="X384" t="s">
        <v>74</v>
      </c>
      <c r="Y384" t="b">
        <v>0</v>
      </c>
      <c r="Z384" t="b">
        <v>0</v>
      </c>
      <c r="AC384" s="1"/>
      <c r="AF384">
        <v>0</v>
      </c>
      <c r="AG384">
        <v>45</v>
      </c>
      <c r="AH384">
        <v>433</v>
      </c>
      <c r="AI384" s="2">
        <f>Table__192.168.3.138BEWLPPMetaData[[#This Row],[NetAmount]]-Table__192.168.3.138BEWLPPMetaData[[#This Row],[Paid]]</f>
        <v>19813</v>
      </c>
    </row>
    <row r="385" spans="1:35" hidden="1">
      <c r="A385" t="s">
        <v>9266</v>
      </c>
      <c r="B385" s="1">
        <v>40884</v>
      </c>
      <c r="C385" s="1">
        <v>40884</v>
      </c>
      <c r="D385" t="s">
        <v>8544</v>
      </c>
      <c r="E385">
        <v>31908</v>
      </c>
      <c r="F385">
        <v>5105</v>
      </c>
      <c r="G385">
        <v>0</v>
      </c>
      <c r="H385">
        <v>0</v>
      </c>
      <c r="I385">
        <v>384</v>
      </c>
      <c r="J385">
        <v>37013</v>
      </c>
      <c r="K385" t="s">
        <v>101</v>
      </c>
      <c r="L385" s="1">
        <v>40884</v>
      </c>
      <c r="N385" t="s">
        <v>6694</v>
      </c>
      <c r="O385" t="s">
        <v>3507</v>
      </c>
      <c r="P385" t="s">
        <v>8545</v>
      </c>
      <c r="Q385" t="s">
        <v>39</v>
      </c>
      <c r="R385" t="s">
        <v>40</v>
      </c>
      <c r="S385">
        <v>0</v>
      </c>
      <c r="U385" t="s">
        <v>41</v>
      </c>
      <c r="V385" t="s">
        <v>42</v>
      </c>
      <c r="X385" t="s">
        <v>74</v>
      </c>
      <c r="Y385" t="b">
        <v>0</v>
      </c>
      <c r="Z385" t="b">
        <v>0</v>
      </c>
      <c r="AC385" s="1"/>
      <c r="AF385">
        <v>0</v>
      </c>
      <c r="AG385">
        <v>45</v>
      </c>
      <c r="AH385">
        <v>429</v>
      </c>
      <c r="AI385" s="2">
        <f>Table__192.168.3.138BEWLPPMetaData[[#This Row],[NetAmount]]-Table__192.168.3.138BEWLPPMetaData[[#This Row],[Paid]]</f>
        <v>37013</v>
      </c>
    </row>
    <row r="386" spans="1:35" hidden="1">
      <c r="A386" t="s">
        <v>9267</v>
      </c>
      <c r="B386" s="1">
        <v>40887</v>
      </c>
      <c r="C386" s="1">
        <v>40887</v>
      </c>
      <c r="D386" t="s">
        <v>8544</v>
      </c>
      <c r="E386">
        <v>42844</v>
      </c>
      <c r="F386">
        <v>6855</v>
      </c>
      <c r="G386">
        <v>0</v>
      </c>
      <c r="H386">
        <v>0</v>
      </c>
      <c r="I386">
        <v>381</v>
      </c>
      <c r="J386">
        <v>49699</v>
      </c>
      <c r="K386" t="s">
        <v>110</v>
      </c>
      <c r="L386" s="1">
        <v>40887</v>
      </c>
      <c r="N386" t="s">
        <v>6694</v>
      </c>
      <c r="O386" t="s">
        <v>3507</v>
      </c>
      <c r="P386" t="s">
        <v>8545</v>
      </c>
      <c r="Q386" t="s">
        <v>39</v>
      </c>
      <c r="R386" t="s">
        <v>40</v>
      </c>
      <c r="S386">
        <v>0</v>
      </c>
      <c r="U386" t="s">
        <v>41</v>
      </c>
      <c r="V386" t="s">
        <v>42</v>
      </c>
      <c r="X386" t="s">
        <v>74</v>
      </c>
      <c r="Y386" t="b">
        <v>0</v>
      </c>
      <c r="Z386" t="b">
        <v>0</v>
      </c>
      <c r="AC386" s="1"/>
      <c r="AF386">
        <v>0</v>
      </c>
      <c r="AG386">
        <v>45</v>
      </c>
      <c r="AH386">
        <v>426</v>
      </c>
      <c r="AI386" s="2">
        <f>Table__192.168.3.138BEWLPPMetaData[[#This Row],[NetAmount]]-Table__192.168.3.138BEWLPPMetaData[[#This Row],[Paid]]</f>
        <v>49699</v>
      </c>
    </row>
    <row r="387" spans="1:35" hidden="1">
      <c r="A387" t="s">
        <v>9268</v>
      </c>
      <c r="B387" s="1">
        <v>40890</v>
      </c>
      <c r="C387" s="1">
        <v>40890</v>
      </c>
      <c r="D387" t="s">
        <v>8544</v>
      </c>
      <c r="E387">
        <v>4580</v>
      </c>
      <c r="F387">
        <v>733</v>
      </c>
      <c r="G387">
        <v>0</v>
      </c>
      <c r="H387">
        <v>0</v>
      </c>
      <c r="I387">
        <v>378</v>
      </c>
      <c r="J387">
        <v>5313</v>
      </c>
      <c r="K387" t="s">
        <v>105</v>
      </c>
      <c r="L387" s="1">
        <v>40890</v>
      </c>
      <c r="N387" t="s">
        <v>6694</v>
      </c>
      <c r="O387" t="s">
        <v>3507</v>
      </c>
      <c r="P387" t="s">
        <v>8545</v>
      </c>
      <c r="Q387" t="s">
        <v>39</v>
      </c>
      <c r="R387" t="s">
        <v>40</v>
      </c>
      <c r="S387">
        <v>0</v>
      </c>
      <c r="U387" t="s">
        <v>41</v>
      </c>
      <c r="V387" t="s">
        <v>42</v>
      </c>
      <c r="X387" t="s">
        <v>74</v>
      </c>
      <c r="Y387" t="b">
        <v>0</v>
      </c>
      <c r="Z387" t="b">
        <v>0</v>
      </c>
      <c r="AC387" s="1"/>
      <c r="AF387">
        <v>0</v>
      </c>
      <c r="AG387">
        <v>45</v>
      </c>
      <c r="AH387">
        <v>423</v>
      </c>
      <c r="AI387" s="2">
        <f>Table__192.168.3.138BEWLPPMetaData[[#This Row],[NetAmount]]-Table__192.168.3.138BEWLPPMetaData[[#This Row],[Paid]]</f>
        <v>5313</v>
      </c>
    </row>
    <row r="388" spans="1:35" hidden="1">
      <c r="A388" t="s">
        <v>9269</v>
      </c>
      <c r="B388" s="1">
        <v>40894</v>
      </c>
      <c r="C388" s="1">
        <v>40894</v>
      </c>
      <c r="D388" t="s">
        <v>8544</v>
      </c>
      <c r="E388">
        <v>9060</v>
      </c>
      <c r="F388">
        <v>1450</v>
      </c>
      <c r="G388">
        <v>0</v>
      </c>
      <c r="H388">
        <v>0</v>
      </c>
      <c r="I388">
        <v>374</v>
      </c>
      <c r="J388">
        <v>10510</v>
      </c>
      <c r="K388" t="s">
        <v>9270</v>
      </c>
      <c r="L388" s="1">
        <v>40894</v>
      </c>
      <c r="N388" t="s">
        <v>6694</v>
      </c>
      <c r="O388" t="s">
        <v>3507</v>
      </c>
      <c r="P388" t="s">
        <v>8545</v>
      </c>
      <c r="Q388" t="s">
        <v>39</v>
      </c>
      <c r="R388" t="s">
        <v>40</v>
      </c>
      <c r="S388">
        <v>0</v>
      </c>
      <c r="U388" t="s">
        <v>41</v>
      </c>
      <c r="V388" t="s">
        <v>42</v>
      </c>
      <c r="X388" t="s">
        <v>74</v>
      </c>
      <c r="Y388" t="b">
        <v>0</v>
      </c>
      <c r="Z388" t="b">
        <v>0</v>
      </c>
      <c r="AC388" s="1"/>
      <c r="AF388">
        <v>0</v>
      </c>
      <c r="AG388">
        <v>45</v>
      </c>
      <c r="AH388">
        <v>419</v>
      </c>
      <c r="AI388" s="2">
        <f>Table__192.168.3.138BEWLPPMetaData[[#This Row],[NetAmount]]-Table__192.168.3.138BEWLPPMetaData[[#This Row],[Paid]]</f>
        <v>10510</v>
      </c>
    </row>
    <row r="389" spans="1:35" hidden="1">
      <c r="A389" t="s">
        <v>9271</v>
      </c>
      <c r="B389" s="1">
        <v>40892</v>
      </c>
      <c r="C389" s="1">
        <v>40892</v>
      </c>
      <c r="D389" t="s">
        <v>8544</v>
      </c>
      <c r="E389">
        <v>6240</v>
      </c>
      <c r="F389">
        <v>998</v>
      </c>
      <c r="G389">
        <v>0</v>
      </c>
      <c r="H389">
        <v>0</v>
      </c>
      <c r="I389">
        <v>376</v>
      </c>
      <c r="J389">
        <v>7238</v>
      </c>
      <c r="K389" t="s">
        <v>9272</v>
      </c>
      <c r="L389" s="1">
        <v>40892</v>
      </c>
      <c r="N389" t="s">
        <v>6694</v>
      </c>
      <c r="O389" t="s">
        <v>3507</v>
      </c>
      <c r="P389" t="s">
        <v>8545</v>
      </c>
      <c r="Q389" t="s">
        <v>39</v>
      </c>
      <c r="R389" t="s">
        <v>40</v>
      </c>
      <c r="S389">
        <v>0</v>
      </c>
      <c r="U389" t="s">
        <v>41</v>
      </c>
      <c r="V389" t="s">
        <v>42</v>
      </c>
      <c r="X389" t="s">
        <v>74</v>
      </c>
      <c r="Y389" t="b">
        <v>0</v>
      </c>
      <c r="Z389" t="b">
        <v>0</v>
      </c>
      <c r="AC389" s="1"/>
      <c r="AF389">
        <v>0</v>
      </c>
      <c r="AG389">
        <v>45</v>
      </c>
      <c r="AH389">
        <v>421</v>
      </c>
      <c r="AI389" s="2">
        <f>Table__192.168.3.138BEWLPPMetaData[[#This Row],[NetAmount]]-Table__192.168.3.138BEWLPPMetaData[[#This Row],[Paid]]</f>
        <v>7238</v>
      </c>
    </row>
    <row r="390" spans="1:35" hidden="1">
      <c r="A390" t="s">
        <v>9273</v>
      </c>
      <c r="B390" s="1">
        <v>40900</v>
      </c>
      <c r="C390" s="1">
        <v>40900</v>
      </c>
      <c r="D390" t="s">
        <v>8524</v>
      </c>
      <c r="E390">
        <v>147844</v>
      </c>
      <c r="F390">
        <v>23655</v>
      </c>
      <c r="G390">
        <v>0</v>
      </c>
      <c r="H390">
        <v>0</v>
      </c>
      <c r="I390">
        <v>370</v>
      </c>
      <c r="J390">
        <v>171499</v>
      </c>
      <c r="K390" t="s">
        <v>9274</v>
      </c>
      <c r="L390" s="1">
        <v>40898</v>
      </c>
      <c r="N390" t="s">
        <v>6694</v>
      </c>
      <c r="O390" t="s">
        <v>3507</v>
      </c>
      <c r="P390" t="s">
        <v>8525</v>
      </c>
      <c r="Q390" t="s">
        <v>39</v>
      </c>
      <c r="R390" t="s">
        <v>40</v>
      </c>
      <c r="S390">
        <v>0</v>
      </c>
      <c r="U390" t="s">
        <v>41</v>
      </c>
      <c r="V390" t="s">
        <v>42</v>
      </c>
      <c r="X390" t="s">
        <v>74</v>
      </c>
      <c r="Y390" t="b">
        <v>0</v>
      </c>
      <c r="Z390" t="b">
        <v>0</v>
      </c>
      <c r="AC390" s="1"/>
      <c r="AF390">
        <v>0</v>
      </c>
      <c r="AG390">
        <v>45</v>
      </c>
      <c r="AH390">
        <v>415</v>
      </c>
      <c r="AI390" s="2">
        <f>Table__192.168.3.138BEWLPPMetaData[[#This Row],[NetAmount]]-Table__192.168.3.138BEWLPPMetaData[[#This Row],[Paid]]</f>
        <v>171499</v>
      </c>
    </row>
    <row r="391" spans="1:35" hidden="1">
      <c r="A391" t="s">
        <v>9275</v>
      </c>
      <c r="B391" s="1">
        <v>40894</v>
      </c>
      <c r="C391" s="1">
        <v>40894</v>
      </c>
      <c r="D391" t="s">
        <v>8544</v>
      </c>
      <c r="E391">
        <v>67967</v>
      </c>
      <c r="F391">
        <v>10875</v>
      </c>
      <c r="G391">
        <v>0</v>
      </c>
      <c r="H391">
        <v>0</v>
      </c>
      <c r="I391">
        <v>374</v>
      </c>
      <c r="J391">
        <v>78842</v>
      </c>
      <c r="K391" t="s">
        <v>9276</v>
      </c>
      <c r="L391" s="1">
        <v>40894</v>
      </c>
      <c r="N391" t="s">
        <v>6694</v>
      </c>
      <c r="O391" t="s">
        <v>3507</v>
      </c>
      <c r="P391" t="s">
        <v>8545</v>
      </c>
      <c r="Q391" t="s">
        <v>39</v>
      </c>
      <c r="R391" t="s">
        <v>40</v>
      </c>
      <c r="S391">
        <v>0</v>
      </c>
      <c r="U391" t="s">
        <v>41</v>
      </c>
      <c r="V391" t="s">
        <v>42</v>
      </c>
      <c r="X391" t="s">
        <v>74</v>
      </c>
      <c r="Y391" t="b">
        <v>0</v>
      </c>
      <c r="Z391" t="b">
        <v>0</v>
      </c>
      <c r="AC391" s="1"/>
      <c r="AF391">
        <v>0</v>
      </c>
      <c r="AG391">
        <v>45</v>
      </c>
      <c r="AH391">
        <v>419</v>
      </c>
      <c r="AI391" s="2">
        <f>Table__192.168.3.138BEWLPPMetaData[[#This Row],[NetAmount]]-Table__192.168.3.138BEWLPPMetaData[[#This Row],[Paid]]</f>
        <v>78842</v>
      </c>
    </row>
    <row r="392" spans="1:35" hidden="1">
      <c r="A392" t="s">
        <v>9277</v>
      </c>
      <c r="B392" s="1">
        <v>40905</v>
      </c>
      <c r="C392" s="1">
        <v>40905</v>
      </c>
      <c r="D392" t="s">
        <v>8544</v>
      </c>
      <c r="E392">
        <v>5644</v>
      </c>
      <c r="F392">
        <v>903</v>
      </c>
      <c r="G392">
        <v>0</v>
      </c>
      <c r="H392">
        <v>0</v>
      </c>
      <c r="I392">
        <v>364</v>
      </c>
      <c r="J392">
        <v>6547</v>
      </c>
      <c r="K392" t="s">
        <v>112</v>
      </c>
      <c r="L392" s="1">
        <v>40904</v>
      </c>
      <c r="N392" t="s">
        <v>6694</v>
      </c>
      <c r="O392" t="s">
        <v>3507</v>
      </c>
      <c r="P392" t="s">
        <v>8545</v>
      </c>
      <c r="Q392" t="s">
        <v>39</v>
      </c>
      <c r="R392" t="s">
        <v>40</v>
      </c>
      <c r="S392">
        <v>0</v>
      </c>
      <c r="U392" t="s">
        <v>41</v>
      </c>
      <c r="V392" t="s">
        <v>42</v>
      </c>
      <c r="X392" t="s">
        <v>74</v>
      </c>
      <c r="Y392" t="b">
        <v>0</v>
      </c>
      <c r="Z392" t="b">
        <v>0</v>
      </c>
      <c r="AC392" s="1"/>
      <c r="AF392">
        <v>0</v>
      </c>
      <c r="AG392">
        <v>45</v>
      </c>
      <c r="AH392">
        <v>409</v>
      </c>
      <c r="AI392" s="2">
        <f>Table__192.168.3.138BEWLPPMetaData[[#This Row],[NetAmount]]-Table__192.168.3.138BEWLPPMetaData[[#This Row],[Paid]]</f>
        <v>6547</v>
      </c>
    </row>
    <row r="393" spans="1:35" hidden="1">
      <c r="A393" t="s">
        <v>9278</v>
      </c>
      <c r="B393" s="1">
        <v>40908</v>
      </c>
      <c r="C393" s="1">
        <v>40908</v>
      </c>
      <c r="D393" t="s">
        <v>8544</v>
      </c>
      <c r="E393">
        <v>11350</v>
      </c>
      <c r="F393">
        <v>1816</v>
      </c>
      <c r="G393">
        <v>0</v>
      </c>
      <c r="H393">
        <v>0</v>
      </c>
      <c r="I393">
        <v>362</v>
      </c>
      <c r="J393">
        <v>13166</v>
      </c>
      <c r="K393" t="s">
        <v>9279</v>
      </c>
      <c r="L393" s="1">
        <v>40906</v>
      </c>
      <c r="N393" t="s">
        <v>6694</v>
      </c>
      <c r="O393" t="s">
        <v>3507</v>
      </c>
      <c r="P393" t="s">
        <v>8545</v>
      </c>
      <c r="Q393" t="s">
        <v>39</v>
      </c>
      <c r="R393" t="s">
        <v>40</v>
      </c>
      <c r="S393">
        <v>0</v>
      </c>
      <c r="U393" t="s">
        <v>41</v>
      </c>
      <c r="V393" t="s">
        <v>42</v>
      </c>
      <c r="X393" t="s">
        <v>74</v>
      </c>
      <c r="Y393" t="b">
        <v>0</v>
      </c>
      <c r="Z393" t="b">
        <v>0</v>
      </c>
      <c r="AC393" s="1"/>
      <c r="AF393">
        <v>0</v>
      </c>
      <c r="AG393">
        <v>45</v>
      </c>
      <c r="AH393">
        <v>407</v>
      </c>
      <c r="AI393" s="2">
        <f>Table__192.168.3.138BEWLPPMetaData[[#This Row],[NetAmount]]-Table__192.168.3.138BEWLPPMetaData[[#This Row],[Paid]]</f>
        <v>13166</v>
      </c>
    </row>
    <row r="394" spans="1:35" hidden="1">
      <c r="A394" t="s">
        <v>9280</v>
      </c>
      <c r="B394" s="1">
        <v>40906</v>
      </c>
      <c r="C394" s="1">
        <v>40906</v>
      </c>
      <c r="D394" t="s">
        <v>8544</v>
      </c>
      <c r="E394">
        <v>7090</v>
      </c>
      <c r="F394">
        <v>1134</v>
      </c>
      <c r="G394">
        <v>0</v>
      </c>
      <c r="H394">
        <v>0</v>
      </c>
      <c r="I394">
        <v>362</v>
      </c>
      <c r="J394">
        <v>8224</v>
      </c>
      <c r="K394" t="s">
        <v>114</v>
      </c>
      <c r="L394" s="1">
        <v>40906</v>
      </c>
      <c r="N394" t="s">
        <v>6694</v>
      </c>
      <c r="O394" t="s">
        <v>3507</v>
      </c>
      <c r="P394" t="s">
        <v>8545</v>
      </c>
      <c r="Q394" t="s">
        <v>39</v>
      </c>
      <c r="R394" t="s">
        <v>40</v>
      </c>
      <c r="S394">
        <v>0</v>
      </c>
      <c r="U394" t="s">
        <v>41</v>
      </c>
      <c r="V394" t="s">
        <v>42</v>
      </c>
      <c r="X394" t="s">
        <v>74</v>
      </c>
      <c r="Y394" t="b">
        <v>0</v>
      </c>
      <c r="Z394" t="b">
        <v>0</v>
      </c>
      <c r="AC394" s="1"/>
      <c r="AF394">
        <v>0</v>
      </c>
      <c r="AG394">
        <v>45</v>
      </c>
      <c r="AH394">
        <v>407</v>
      </c>
      <c r="AI394" s="2">
        <f>Table__192.168.3.138BEWLPPMetaData[[#This Row],[NetAmount]]-Table__192.168.3.138BEWLPPMetaData[[#This Row],[Paid]]</f>
        <v>8224</v>
      </c>
    </row>
    <row r="395" spans="1:35" hidden="1">
      <c r="A395" t="s">
        <v>9281</v>
      </c>
      <c r="B395" s="1">
        <v>40913</v>
      </c>
      <c r="C395" s="1">
        <v>40913</v>
      </c>
      <c r="D395" t="s">
        <v>8544</v>
      </c>
      <c r="E395">
        <v>18760</v>
      </c>
      <c r="F395">
        <v>3002</v>
      </c>
      <c r="G395">
        <v>0</v>
      </c>
      <c r="H395">
        <v>0</v>
      </c>
      <c r="I395">
        <v>355</v>
      </c>
      <c r="J395">
        <v>21762</v>
      </c>
      <c r="K395" t="s">
        <v>9282</v>
      </c>
      <c r="L395" s="1">
        <v>40913</v>
      </c>
      <c r="N395" t="s">
        <v>6694</v>
      </c>
      <c r="O395" t="s">
        <v>3507</v>
      </c>
      <c r="P395" t="s">
        <v>8545</v>
      </c>
      <c r="Q395" t="s">
        <v>39</v>
      </c>
      <c r="R395" t="s">
        <v>40</v>
      </c>
      <c r="S395">
        <v>0</v>
      </c>
      <c r="U395" t="s">
        <v>41</v>
      </c>
      <c r="V395" t="s">
        <v>42</v>
      </c>
      <c r="X395" t="s">
        <v>74</v>
      </c>
      <c r="Y395" t="b">
        <v>0</v>
      </c>
      <c r="Z395" t="b">
        <v>0</v>
      </c>
      <c r="AC395" s="1"/>
      <c r="AF395">
        <v>0</v>
      </c>
      <c r="AG395">
        <v>45</v>
      </c>
      <c r="AH395">
        <v>400</v>
      </c>
      <c r="AI395" s="2">
        <f>Table__192.168.3.138BEWLPPMetaData[[#This Row],[NetAmount]]-Table__192.168.3.138BEWLPPMetaData[[#This Row],[Paid]]</f>
        <v>21762</v>
      </c>
    </row>
    <row r="396" spans="1:35" hidden="1">
      <c r="A396" t="s">
        <v>9283</v>
      </c>
      <c r="B396" s="1">
        <v>40911</v>
      </c>
      <c r="C396" s="1">
        <v>40911</v>
      </c>
      <c r="D396" t="s">
        <v>8544</v>
      </c>
      <c r="E396">
        <v>2290</v>
      </c>
      <c r="F396">
        <v>366</v>
      </c>
      <c r="G396">
        <v>0</v>
      </c>
      <c r="H396">
        <v>0</v>
      </c>
      <c r="I396">
        <v>357</v>
      </c>
      <c r="J396">
        <v>2656</v>
      </c>
      <c r="K396" t="s">
        <v>9284</v>
      </c>
      <c r="L396" s="1">
        <v>40911</v>
      </c>
      <c r="N396" t="s">
        <v>6694</v>
      </c>
      <c r="O396" t="s">
        <v>3507</v>
      </c>
      <c r="P396" t="s">
        <v>8545</v>
      </c>
      <c r="Q396" t="s">
        <v>39</v>
      </c>
      <c r="R396" t="s">
        <v>40</v>
      </c>
      <c r="S396">
        <v>0</v>
      </c>
      <c r="U396" t="s">
        <v>41</v>
      </c>
      <c r="V396" t="s">
        <v>42</v>
      </c>
      <c r="X396" t="s">
        <v>74</v>
      </c>
      <c r="Y396" t="b">
        <v>0</v>
      </c>
      <c r="Z396" t="b">
        <v>0</v>
      </c>
      <c r="AC396" s="1"/>
      <c r="AF396">
        <v>0</v>
      </c>
      <c r="AG396">
        <v>45</v>
      </c>
      <c r="AH396">
        <v>402</v>
      </c>
      <c r="AI396" s="2">
        <f>Table__192.168.3.138BEWLPPMetaData[[#This Row],[NetAmount]]-Table__192.168.3.138BEWLPPMetaData[[#This Row],[Paid]]</f>
        <v>2656</v>
      </c>
    </row>
    <row r="397" spans="1:35" hidden="1">
      <c r="A397" t="s">
        <v>9285</v>
      </c>
      <c r="B397" s="1">
        <v>40915</v>
      </c>
      <c r="C397" s="1">
        <v>40915</v>
      </c>
      <c r="D397" t="s">
        <v>8544</v>
      </c>
      <c r="E397">
        <v>13070</v>
      </c>
      <c r="F397">
        <v>2091</v>
      </c>
      <c r="G397">
        <v>0</v>
      </c>
      <c r="H397">
        <v>0</v>
      </c>
      <c r="I397">
        <v>353</v>
      </c>
      <c r="J397">
        <v>15161</v>
      </c>
      <c r="K397" t="s">
        <v>9286</v>
      </c>
      <c r="L397" s="1">
        <v>40915</v>
      </c>
      <c r="N397" t="s">
        <v>6694</v>
      </c>
      <c r="O397" t="s">
        <v>3507</v>
      </c>
      <c r="P397" t="s">
        <v>8545</v>
      </c>
      <c r="Q397" t="s">
        <v>39</v>
      </c>
      <c r="R397" t="s">
        <v>40</v>
      </c>
      <c r="S397">
        <v>0</v>
      </c>
      <c r="U397" t="s">
        <v>41</v>
      </c>
      <c r="V397" t="s">
        <v>42</v>
      </c>
      <c r="X397" t="s">
        <v>74</v>
      </c>
      <c r="Y397" t="b">
        <v>0</v>
      </c>
      <c r="Z397" t="b">
        <v>0</v>
      </c>
      <c r="AC397" s="1"/>
      <c r="AF397">
        <v>0</v>
      </c>
      <c r="AG397">
        <v>45</v>
      </c>
      <c r="AH397">
        <v>398</v>
      </c>
      <c r="AI397" s="2">
        <f>Table__192.168.3.138BEWLPPMetaData[[#This Row],[NetAmount]]-Table__192.168.3.138BEWLPPMetaData[[#This Row],[Paid]]</f>
        <v>15161</v>
      </c>
    </row>
    <row r="398" spans="1:35" hidden="1">
      <c r="A398" t="s">
        <v>9287</v>
      </c>
      <c r="B398" s="1">
        <v>40921</v>
      </c>
      <c r="C398" s="1">
        <v>40921</v>
      </c>
      <c r="D398" t="s">
        <v>8544</v>
      </c>
      <c r="E398">
        <v>13120</v>
      </c>
      <c r="F398">
        <v>2099</v>
      </c>
      <c r="G398">
        <v>0</v>
      </c>
      <c r="H398">
        <v>0</v>
      </c>
      <c r="I398">
        <v>347</v>
      </c>
      <c r="J398">
        <v>15219</v>
      </c>
      <c r="K398" t="s">
        <v>9288</v>
      </c>
      <c r="L398" s="1">
        <v>40921</v>
      </c>
      <c r="N398" t="s">
        <v>6694</v>
      </c>
      <c r="O398" t="s">
        <v>3507</v>
      </c>
      <c r="P398" t="s">
        <v>8545</v>
      </c>
      <c r="Q398" t="s">
        <v>39</v>
      </c>
      <c r="R398" t="s">
        <v>40</v>
      </c>
      <c r="S398">
        <v>0</v>
      </c>
      <c r="U398" t="s">
        <v>41</v>
      </c>
      <c r="V398" t="s">
        <v>42</v>
      </c>
      <c r="X398" t="s">
        <v>74</v>
      </c>
      <c r="Y398" t="b">
        <v>0</v>
      </c>
      <c r="Z398" t="b">
        <v>0</v>
      </c>
      <c r="AC398" s="1"/>
      <c r="AF398">
        <v>0</v>
      </c>
      <c r="AG398">
        <v>45</v>
      </c>
      <c r="AH398">
        <v>392</v>
      </c>
      <c r="AI398" s="2">
        <f>Table__192.168.3.138BEWLPPMetaData[[#This Row],[NetAmount]]-Table__192.168.3.138BEWLPPMetaData[[#This Row],[Paid]]</f>
        <v>15219</v>
      </c>
    </row>
    <row r="399" spans="1:35" hidden="1">
      <c r="A399" t="s">
        <v>9289</v>
      </c>
      <c r="B399" s="1">
        <v>40921</v>
      </c>
      <c r="C399" s="1">
        <v>40921</v>
      </c>
      <c r="D399" t="s">
        <v>8544</v>
      </c>
      <c r="E399">
        <v>4580</v>
      </c>
      <c r="F399">
        <v>733</v>
      </c>
      <c r="G399">
        <v>0</v>
      </c>
      <c r="H399">
        <v>0</v>
      </c>
      <c r="I399">
        <v>342</v>
      </c>
      <c r="J399">
        <v>5313</v>
      </c>
      <c r="K399" t="s">
        <v>9290</v>
      </c>
      <c r="L399" s="1">
        <v>40926</v>
      </c>
      <c r="N399" t="s">
        <v>6694</v>
      </c>
      <c r="O399" t="s">
        <v>3507</v>
      </c>
      <c r="P399" t="s">
        <v>8545</v>
      </c>
      <c r="Q399" t="s">
        <v>39</v>
      </c>
      <c r="R399" t="s">
        <v>40</v>
      </c>
      <c r="S399">
        <v>0</v>
      </c>
      <c r="U399" t="s">
        <v>41</v>
      </c>
      <c r="V399" t="s">
        <v>42</v>
      </c>
      <c r="X399" t="s">
        <v>74</v>
      </c>
      <c r="Y399" t="b">
        <v>0</v>
      </c>
      <c r="Z399" t="b">
        <v>0</v>
      </c>
      <c r="AC399" s="1"/>
      <c r="AF399">
        <v>0</v>
      </c>
      <c r="AG399">
        <v>45</v>
      </c>
      <c r="AH399">
        <v>387</v>
      </c>
      <c r="AI399" s="2">
        <f>Table__192.168.3.138BEWLPPMetaData[[#This Row],[NetAmount]]-Table__192.168.3.138BEWLPPMetaData[[#This Row],[Paid]]</f>
        <v>5313</v>
      </c>
    </row>
    <row r="400" spans="1:35" hidden="1">
      <c r="A400" t="s">
        <v>9291</v>
      </c>
      <c r="B400" s="1">
        <v>40924</v>
      </c>
      <c r="C400" s="1">
        <v>40924</v>
      </c>
      <c r="D400" t="s">
        <v>8544</v>
      </c>
      <c r="E400">
        <v>4530</v>
      </c>
      <c r="F400">
        <v>725</v>
      </c>
      <c r="G400">
        <v>0</v>
      </c>
      <c r="H400">
        <v>0</v>
      </c>
      <c r="I400">
        <v>344</v>
      </c>
      <c r="J400">
        <v>5255</v>
      </c>
      <c r="K400" t="s">
        <v>9292</v>
      </c>
      <c r="L400" s="1">
        <v>40924</v>
      </c>
      <c r="N400" t="s">
        <v>6694</v>
      </c>
      <c r="O400" t="s">
        <v>3507</v>
      </c>
      <c r="P400" t="s">
        <v>8545</v>
      </c>
      <c r="Q400" t="s">
        <v>39</v>
      </c>
      <c r="R400" t="s">
        <v>40</v>
      </c>
      <c r="S400">
        <v>0</v>
      </c>
      <c r="U400" t="s">
        <v>41</v>
      </c>
      <c r="V400" t="s">
        <v>42</v>
      </c>
      <c r="X400" t="s">
        <v>74</v>
      </c>
      <c r="Y400" t="b">
        <v>0</v>
      </c>
      <c r="Z400" t="b">
        <v>0</v>
      </c>
      <c r="AC400" s="1"/>
      <c r="AF400">
        <v>0</v>
      </c>
      <c r="AG400">
        <v>45</v>
      </c>
      <c r="AH400">
        <v>389</v>
      </c>
      <c r="AI400" s="2">
        <f>Table__192.168.3.138BEWLPPMetaData[[#This Row],[NetAmount]]-Table__192.168.3.138BEWLPPMetaData[[#This Row],[Paid]]</f>
        <v>5255</v>
      </c>
    </row>
    <row r="401" spans="1:35" hidden="1">
      <c r="A401" t="s">
        <v>9293</v>
      </c>
      <c r="B401" s="1">
        <v>40929</v>
      </c>
      <c r="C401" s="1">
        <v>40929</v>
      </c>
      <c r="D401" t="s">
        <v>8544</v>
      </c>
      <c r="E401">
        <v>9600</v>
      </c>
      <c r="F401">
        <v>1536</v>
      </c>
      <c r="G401">
        <v>0</v>
      </c>
      <c r="H401">
        <v>0</v>
      </c>
      <c r="I401">
        <v>339</v>
      </c>
      <c r="J401">
        <v>11136</v>
      </c>
      <c r="K401" t="s">
        <v>9294</v>
      </c>
      <c r="L401" s="1">
        <v>40929</v>
      </c>
      <c r="N401" t="s">
        <v>6694</v>
      </c>
      <c r="O401" t="s">
        <v>3507</v>
      </c>
      <c r="P401" t="s">
        <v>8545</v>
      </c>
      <c r="Q401" t="s">
        <v>39</v>
      </c>
      <c r="R401" t="s">
        <v>40</v>
      </c>
      <c r="S401">
        <v>0</v>
      </c>
      <c r="U401" t="s">
        <v>41</v>
      </c>
      <c r="V401" t="s">
        <v>42</v>
      </c>
      <c r="X401" t="s">
        <v>74</v>
      </c>
      <c r="Y401" t="b">
        <v>0</v>
      </c>
      <c r="Z401" t="b">
        <v>0</v>
      </c>
      <c r="AC401" s="1"/>
      <c r="AF401">
        <v>0</v>
      </c>
      <c r="AG401">
        <v>45</v>
      </c>
      <c r="AH401">
        <v>384</v>
      </c>
      <c r="AI401" s="2">
        <f>Table__192.168.3.138BEWLPPMetaData[[#This Row],[NetAmount]]-Table__192.168.3.138BEWLPPMetaData[[#This Row],[Paid]]</f>
        <v>11136</v>
      </c>
    </row>
    <row r="402" spans="1:35" hidden="1">
      <c r="A402" t="s">
        <v>9295</v>
      </c>
      <c r="B402" s="1">
        <v>40937</v>
      </c>
      <c r="C402" s="1">
        <v>40937</v>
      </c>
      <c r="D402" t="s">
        <v>8544</v>
      </c>
      <c r="E402">
        <v>4530</v>
      </c>
      <c r="F402">
        <v>725</v>
      </c>
      <c r="G402">
        <v>0</v>
      </c>
      <c r="H402">
        <v>0</v>
      </c>
      <c r="I402">
        <v>332</v>
      </c>
      <c r="J402">
        <v>5255</v>
      </c>
      <c r="K402" t="s">
        <v>9296</v>
      </c>
      <c r="L402" s="1">
        <v>40936</v>
      </c>
      <c r="N402" t="s">
        <v>6694</v>
      </c>
      <c r="O402" t="s">
        <v>3507</v>
      </c>
      <c r="P402" t="s">
        <v>8545</v>
      </c>
      <c r="Q402" t="s">
        <v>39</v>
      </c>
      <c r="R402" t="s">
        <v>40</v>
      </c>
      <c r="S402">
        <v>0</v>
      </c>
      <c r="U402" t="s">
        <v>41</v>
      </c>
      <c r="V402" t="s">
        <v>42</v>
      </c>
      <c r="X402" t="s">
        <v>74</v>
      </c>
      <c r="Y402" t="b">
        <v>0</v>
      </c>
      <c r="Z402" t="b">
        <v>0</v>
      </c>
      <c r="AC402" s="1"/>
      <c r="AF402">
        <v>0</v>
      </c>
      <c r="AG402">
        <v>45</v>
      </c>
      <c r="AH402">
        <v>377</v>
      </c>
      <c r="AI402" s="2">
        <f>Table__192.168.3.138BEWLPPMetaData[[#This Row],[NetAmount]]-Table__192.168.3.138BEWLPPMetaData[[#This Row],[Paid]]</f>
        <v>5255</v>
      </c>
    </row>
    <row r="403" spans="1:35" hidden="1">
      <c r="A403" t="s">
        <v>9297</v>
      </c>
      <c r="B403" s="1">
        <v>40918</v>
      </c>
      <c r="C403" s="1">
        <v>40918</v>
      </c>
      <c r="D403" t="s">
        <v>8544</v>
      </c>
      <c r="E403">
        <v>11320</v>
      </c>
      <c r="F403">
        <v>1811</v>
      </c>
      <c r="G403">
        <v>0</v>
      </c>
      <c r="H403">
        <v>0</v>
      </c>
      <c r="I403">
        <v>350</v>
      </c>
      <c r="J403">
        <v>13131</v>
      </c>
      <c r="K403" t="s">
        <v>9298</v>
      </c>
      <c r="L403" s="1">
        <v>40918</v>
      </c>
      <c r="N403" t="s">
        <v>6694</v>
      </c>
      <c r="O403" t="s">
        <v>3507</v>
      </c>
      <c r="P403" t="s">
        <v>8545</v>
      </c>
      <c r="Q403" t="s">
        <v>39</v>
      </c>
      <c r="R403" t="s">
        <v>40</v>
      </c>
      <c r="S403">
        <v>0</v>
      </c>
      <c r="U403" t="s">
        <v>41</v>
      </c>
      <c r="V403" t="s">
        <v>42</v>
      </c>
      <c r="X403" t="s">
        <v>74</v>
      </c>
      <c r="Y403" t="b">
        <v>0</v>
      </c>
      <c r="Z403" t="b">
        <v>0</v>
      </c>
      <c r="AC403" s="1"/>
      <c r="AF403">
        <v>0</v>
      </c>
      <c r="AG403">
        <v>45</v>
      </c>
      <c r="AH403">
        <v>395</v>
      </c>
      <c r="AI403" s="2">
        <f>Table__192.168.3.138BEWLPPMetaData[[#This Row],[NetAmount]]-Table__192.168.3.138BEWLPPMetaData[[#This Row],[Paid]]</f>
        <v>13131</v>
      </c>
    </row>
    <row r="404" spans="1:35" hidden="1">
      <c r="A404" t="s">
        <v>9299</v>
      </c>
      <c r="B404" s="1">
        <v>40934</v>
      </c>
      <c r="C404" s="1">
        <v>40934</v>
      </c>
      <c r="D404" t="s">
        <v>8544</v>
      </c>
      <c r="E404">
        <v>1940</v>
      </c>
      <c r="F404">
        <v>310</v>
      </c>
      <c r="G404">
        <v>0</v>
      </c>
      <c r="H404">
        <v>0</v>
      </c>
      <c r="I404">
        <v>334</v>
      </c>
      <c r="J404">
        <v>2250</v>
      </c>
      <c r="K404" t="s">
        <v>9300</v>
      </c>
      <c r="L404" s="1">
        <v>40934</v>
      </c>
      <c r="N404" t="s">
        <v>6694</v>
      </c>
      <c r="O404" t="s">
        <v>3507</v>
      </c>
      <c r="P404" t="s">
        <v>8545</v>
      </c>
      <c r="Q404" t="s">
        <v>39</v>
      </c>
      <c r="R404" t="s">
        <v>40</v>
      </c>
      <c r="S404">
        <v>0</v>
      </c>
      <c r="U404" t="s">
        <v>41</v>
      </c>
      <c r="V404" t="s">
        <v>42</v>
      </c>
      <c r="X404" t="s">
        <v>74</v>
      </c>
      <c r="Y404" t="b">
        <v>0</v>
      </c>
      <c r="Z404" t="b">
        <v>0</v>
      </c>
      <c r="AC404" s="1"/>
      <c r="AF404">
        <v>0</v>
      </c>
      <c r="AG404">
        <v>45</v>
      </c>
      <c r="AH404">
        <v>379</v>
      </c>
      <c r="AI404" s="2">
        <f>Table__192.168.3.138BEWLPPMetaData[[#This Row],[NetAmount]]-Table__192.168.3.138BEWLPPMetaData[[#This Row],[Paid]]</f>
        <v>2250</v>
      </c>
    </row>
    <row r="405" spans="1:35" hidden="1">
      <c r="A405" t="s">
        <v>9301</v>
      </c>
      <c r="B405" s="1">
        <v>40953</v>
      </c>
      <c r="C405" s="1">
        <v>40953</v>
      </c>
      <c r="D405" t="s">
        <v>8544</v>
      </c>
      <c r="E405">
        <v>18120</v>
      </c>
      <c r="F405">
        <v>2899</v>
      </c>
      <c r="G405">
        <v>0</v>
      </c>
      <c r="H405">
        <v>0</v>
      </c>
      <c r="I405">
        <v>315</v>
      </c>
      <c r="J405">
        <v>21019</v>
      </c>
      <c r="K405" t="s">
        <v>9302</v>
      </c>
      <c r="L405" s="1">
        <v>40953</v>
      </c>
      <c r="N405" t="s">
        <v>6694</v>
      </c>
      <c r="O405" t="s">
        <v>3507</v>
      </c>
      <c r="P405" t="s">
        <v>8545</v>
      </c>
      <c r="Q405" t="s">
        <v>39</v>
      </c>
      <c r="R405" t="s">
        <v>40</v>
      </c>
      <c r="S405">
        <v>0</v>
      </c>
      <c r="U405" t="s">
        <v>41</v>
      </c>
      <c r="V405" t="s">
        <v>42</v>
      </c>
      <c r="X405" t="s">
        <v>74</v>
      </c>
      <c r="Y405" t="b">
        <v>0</v>
      </c>
      <c r="Z405" t="b">
        <v>0</v>
      </c>
      <c r="AC405" s="1"/>
      <c r="AF405">
        <v>0</v>
      </c>
      <c r="AG405">
        <v>45</v>
      </c>
      <c r="AH405">
        <v>360</v>
      </c>
      <c r="AI405" s="2">
        <f>Table__192.168.3.138BEWLPPMetaData[[#This Row],[NetAmount]]-Table__192.168.3.138BEWLPPMetaData[[#This Row],[Paid]]</f>
        <v>21019</v>
      </c>
    </row>
    <row r="406" spans="1:35" hidden="1">
      <c r="A406" t="s">
        <v>9303</v>
      </c>
      <c r="B406" s="1">
        <v>40955</v>
      </c>
      <c r="C406" s="1">
        <v>40955</v>
      </c>
      <c r="D406" t="s">
        <v>8544</v>
      </c>
      <c r="E406">
        <v>18220</v>
      </c>
      <c r="F406">
        <v>2915</v>
      </c>
      <c r="G406">
        <v>0</v>
      </c>
      <c r="H406">
        <v>0</v>
      </c>
      <c r="I406">
        <v>313</v>
      </c>
      <c r="J406">
        <v>21135</v>
      </c>
      <c r="K406" t="s">
        <v>9304</v>
      </c>
      <c r="L406" s="1">
        <v>40955</v>
      </c>
      <c r="N406" t="s">
        <v>6694</v>
      </c>
      <c r="O406" t="s">
        <v>3507</v>
      </c>
      <c r="P406" t="s">
        <v>8545</v>
      </c>
      <c r="Q406" t="s">
        <v>39</v>
      </c>
      <c r="R406" t="s">
        <v>40</v>
      </c>
      <c r="S406">
        <v>0</v>
      </c>
      <c r="U406" t="s">
        <v>41</v>
      </c>
      <c r="V406" t="s">
        <v>42</v>
      </c>
      <c r="X406" t="s">
        <v>74</v>
      </c>
      <c r="Y406" t="b">
        <v>0</v>
      </c>
      <c r="Z406" t="b">
        <v>0</v>
      </c>
      <c r="AC406" s="1"/>
      <c r="AF406">
        <v>0</v>
      </c>
      <c r="AG406">
        <v>45</v>
      </c>
      <c r="AH406">
        <v>358</v>
      </c>
      <c r="AI406" s="2">
        <f>Table__192.168.3.138BEWLPPMetaData[[#This Row],[NetAmount]]-Table__192.168.3.138BEWLPPMetaData[[#This Row],[Paid]]</f>
        <v>21135</v>
      </c>
    </row>
    <row r="407" spans="1:35" hidden="1">
      <c r="A407" t="s">
        <v>9305</v>
      </c>
      <c r="B407" s="1">
        <v>40962</v>
      </c>
      <c r="C407" s="1">
        <v>40962</v>
      </c>
      <c r="D407" t="s">
        <v>8544</v>
      </c>
      <c r="E407">
        <v>13740</v>
      </c>
      <c r="F407">
        <v>2198</v>
      </c>
      <c r="G407">
        <v>0</v>
      </c>
      <c r="H407">
        <v>0</v>
      </c>
      <c r="I407">
        <v>307</v>
      </c>
      <c r="J407">
        <v>15938</v>
      </c>
      <c r="K407" t="s">
        <v>9306</v>
      </c>
      <c r="L407" s="1">
        <v>40961</v>
      </c>
      <c r="N407" t="s">
        <v>6694</v>
      </c>
      <c r="O407" t="s">
        <v>3507</v>
      </c>
      <c r="P407" t="s">
        <v>8545</v>
      </c>
      <c r="Q407" t="s">
        <v>39</v>
      </c>
      <c r="R407" t="s">
        <v>40</v>
      </c>
      <c r="S407">
        <v>0</v>
      </c>
      <c r="U407" t="s">
        <v>41</v>
      </c>
      <c r="V407" t="s">
        <v>42</v>
      </c>
      <c r="X407" t="s">
        <v>74</v>
      </c>
      <c r="Y407" t="b">
        <v>0</v>
      </c>
      <c r="Z407" t="b">
        <v>0</v>
      </c>
      <c r="AC407" s="1"/>
      <c r="AF407">
        <v>0</v>
      </c>
      <c r="AG407">
        <v>45</v>
      </c>
      <c r="AH407">
        <v>352</v>
      </c>
      <c r="AI407" s="2">
        <f>Table__192.168.3.138BEWLPPMetaData[[#This Row],[NetAmount]]-Table__192.168.3.138BEWLPPMetaData[[#This Row],[Paid]]</f>
        <v>15938</v>
      </c>
    </row>
    <row r="408" spans="1:35" hidden="1">
      <c r="A408" t="s">
        <v>9307</v>
      </c>
      <c r="B408" s="1">
        <v>40967</v>
      </c>
      <c r="C408" s="1">
        <v>40967</v>
      </c>
      <c r="D408" t="s">
        <v>8544</v>
      </c>
      <c r="E408">
        <v>9160</v>
      </c>
      <c r="F408">
        <v>1466</v>
      </c>
      <c r="G408">
        <v>0</v>
      </c>
      <c r="H408">
        <v>0</v>
      </c>
      <c r="I408">
        <v>301</v>
      </c>
      <c r="J408">
        <v>10626</v>
      </c>
      <c r="K408" t="s">
        <v>9308</v>
      </c>
      <c r="L408" s="1">
        <v>40967</v>
      </c>
      <c r="N408" t="s">
        <v>6694</v>
      </c>
      <c r="O408" t="s">
        <v>3507</v>
      </c>
      <c r="P408" t="s">
        <v>8545</v>
      </c>
      <c r="Q408" t="s">
        <v>39</v>
      </c>
      <c r="R408" t="s">
        <v>40</v>
      </c>
      <c r="S408">
        <v>0</v>
      </c>
      <c r="U408" t="s">
        <v>41</v>
      </c>
      <c r="V408" t="s">
        <v>42</v>
      </c>
      <c r="X408" t="s">
        <v>74</v>
      </c>
      <c r="Y408" t="b">
        <v>0</v>
      </c>
      <c r="Z408" t="b">
        <v>0</v>
      </c>
      <c r="AC408" s="1"/>
      <c r="AF408">
        <v>0</v>
      </c>
      <c r="AG408">
        <v>45</v>
      </c>
      <c r="AH408">
        <v>346</v>
      </c>
      <c r="AI408" s="2">
        <f>Table__192.168.3.138BEWLPPMetaData[[#This Row],[NetAmount]]-Table__192.168.3.138BEWLPPMetaData[[#This Row],[Paid]]</f>
        <v>10626</v>
      </c>
    </row>
    <row r="409" spans="1:35" hidden="1">
      <c r="A409" t="s">
        <v>9309</v>
      </c>
      <c r="B409" s="1">
        <v>40974</v>
      </c>
      <c r="C409" s="1">
        <v>40974</v>
      </c>
      <c r="D409" t="s">
        <v>8544</v>
      </c>
      <c r="E409">
        <v>9060</v>
      </c>
      <c r="F409">
        <v>1450</v>
      </c>
      <c r="G409">
        <v>0</v>
      </c>
      <c r="H409">
        <v>0</v>
      </c>
      <c r="I409">
        <v>294</v>
      </c>
      <c r="J409">
        <v>10510</v>
      </c>
      <c r="K409" t="s">
        <v>9310</v>
      </c>
      <c r="L409" s="1">
        <v>40974</v>
      </c>
      <c r="N409" t="s">
        <v>6694</v>
      </c>
      <c r="O409" t="s">
        <v>3507</v>
      </c>
      <c r="P409" t="s">
        <v>8545</v>
      </c>
      <c r="Q409" t="s">
        <v>39</v>
      </c>
      <c r="R409" t="s">
        <v>40</v>
      </c>
      <c r="S409">
        <v>0</v>
      </c>
      <c r="U409" t="s">
        <v>41</v>
      </c>
      <c r="V409" t="s">
        <v>42</v>
      </c>
      <c r="X409" t="s">
        <v>74</v>
      </c>
      <c r="Y409" t="b">
        <v>0</v>
      </c>
      <c r="Z409" t="b">
        <v>0</v>
      </c>
      <c r="AC409" s="1"/>
      <c r="AF409">
        <v>0</v>
      </c>
      <c r="AG409">
        <v>45</v>
      </c>
      <c r="AH409">
        <v>339</v>
      </c>
      <c r="AI409" s="2">
        <f>Table__192.168.3.138BEWLPPMetaData[[#This Row],[NetAmount]]-Table__192.168.3.138BEWLPPMetaData[[#This Row],[Paid]]</f>
        <v>10510</v>
      </c>
    </row>
    <row r="410" spans="1:35" hidden="1">
      <c r="A410" t="s">
        <v>9311</v>
      </c>
      <c r="B410" s="1">
        <v>40982</v>
      </c>
      <c r="C410" s="1">
        <v>41012</v>
      </c>
      <c r="D410" t="s">
        <v>8574</v>
      </c>
      <c r="E410">
        <v>255020</v>
      </c>
      <c r="F410">
        <v>40803</v>
      </c>
      <c r="G410">
        <v>0</v>
      </c>
      <c r="H410">
        <v>0</v>
      </c>
      <c r="I410">
        <v>290</v>
      </c>
      <c r="J410">
        <v>295823</v>
      </c>
      <c r="K410" t="s">
        <v>9312</v>
      </c>
      <c r="L410" s="1">
        <v>40978</v>
      </c>
      <c r="N410" t="s">
        <v>6694</v>
      </c>
      <c r="O410" t="s">
        <v>3507</v>
      </c>
      <c r="P410" t="s">
        <v>344</v>
      </c>
      <c r="Q410" t="s">
        <v>39</v>
      </c>
      <c r="R410" t="s">
        <v>40</v>
      </c>
      <c r="S410">
        <v>0</v>
      </c>
      <c r="U410" t="s">
        <v>41</v>
      </c>
      <c r="V410" t="s">
        <v>42</v>
      </c>
      <c r="X410" t="s">
        <v>74</v>
      </c>
      <c r="Y410" t="b">
        <v>0</v>
      </c>
      <c r="Z410" t="b">
        <v>0</v>
      </c>
      <c r="AC410" s="1"/>
      <c r="AF410">
        <v>0</v>
      </c>
      <c r="AG410">
        <v>45</v>
      </c>
      <c r="AH410">
        <v>335</v>
      </c>
      <c r="AI410" s="2">
        <f>Table__192.168.3.138BEWLPPMetaData[[#This Row],[NetAmount]]-Table__192.168.3.138BEWLPPMetaData[[#This Row],[Paid]]</f>
        <v>295823</v>
      </c>
    </row>
    <row r="411" spans="1:35" hidden="1">
      <c r="A411" t="s">
        <v>9313</v>
      </c>
      <c r="B411" s="1">
        <v>40980</v>
      </c>
      <c r="C411" s="1">
        <v>40980</v>
      </c>
      <c r="D411" t="s">
        <v>8544</v>
      </c>
      <c r="E411">
        <v>7760</v>
      </c>
      <c r="F411">
        <v>1242</v>
      </c>
      <c r="G411">
        <v>0</v>
      </c>
      <c r="H411">
        <v>0</v>
      </c>
      <c r="I411">
        <v>288</v>
      </c>
      <c r="J411">
        <v>9002</v>
      </c>
      <c r="K411" t="s">
        <v>9314</v>
      </c>
      <c r="L411" s="1">
        <v>40980</v>
      </c>
      <c r="N411" t="s">
        <v>6694</v>
      </c>
      <c r="O411" t="s">
        <v>3507</v>
      </c>
      <c r="P411" t="s">
        <v>8545</v>
      </c>
      <c r="Q411" t="s">
        <v>39</v>
      </c>
      <c r="R411" t="s">
        <v>40</v>
      </c>
      <c r="S411">
        <v>0</v>
      </c>
      <c r="U411" t="s">
        <v>41</v>
      </c>
      <c r="V411" t="s">
        <v>42</v>
      </c>
      <c r="X411" t="s">
        <v>74</v>
      </c>
      <c r="Y411" t="b">
        <v>0</v>
      </c>
      <c r="Z411" t="b">
        <v>0</v>
      </c>
      <c r="AC411" s="1"/>
      <c r="AF411">
        <v>0</v>
      </c>
      <c r="AG411">
        <v>45</v>
      </c>
      <c r="AH411">
        <v>333</v>
      </c>
      <c r="AI411" s="2">
        <f>Table__192.168.3.138BEWLPPMetaData[[#This Row],[NetAmount]]-Table__192.168.3.138BEWLPPMetaData[[#This Row],[Paid]]</f>
        <v>9002</v>
      </c>
    </row>
    <row r="412" spans="1:35" hidden="1">
      <c r="A412" t="s">
        <v>9315</v>
      </c>
      <c r="B412" s="1">
        <v>40994</v>
      </c>
      <c r="C412" s="1">
        <v>40994</v>
      </c>
      <c r="D412" t="s">
        <v>8524</v>
      </c>
      <c r="E412">
        <v>11494</v>
      </c>
      <c r="F412">
        <v>1839</v>
      </c>
      <c r="G412">
        <v>0</v>
      </c>
      <c r="H412">
        <v>0</v>
      </c>
      <c r="I412">
        <v>279</v>
      </c>
      <c r="J412">
        <v>13333</v>
      </c>
      <c r="K412" t="s">
        <v>9316</v>
      </c>
      <c r="L412" s="1">
        <v>40989</v>
      </c>
      <c r="N412" t="s">
        <v>6694</v>
      </c>
      <c r="O412" t="s">
        <v>3507</v>
      </c>
      <c r="P412" t="s">
        <v>8525</v>
      </c>
      <c r="Q412" t="s">
        <v>39</v>
      </c>
      <c r="R412" t="s">
        <v>40</v>
      </c>
      <c r="S412">
        <v>0</v>
      </c>
      <c r="U412" t="s">
        <v>41</v>
      </c>
      <c r="V412" t="s">
        <v>42</v>
      </c>
      <c r="X412" t="s">
        <v>74</v>
      </c>
      <c r="Y412" t="b">
        <v>0</v>
      </c>
      <c r="Z412" t="b">
        <v>0</v>
      </c>
      <c r="AC412" s="1"/>
      <c r="AF412">
        <v>0</v>
      </c>
      <c r="AG412">
        <v>45</v>
      </c>
      <c r="AH412">
        <v>324</v>
      </c>
      <c r="AI412" s="2">
        <f>Table__192.168.3.138BEWLPPMetaData[[#This Row],[NetAmount]]-Table__192.168.3.138BEWLPPMetaData[[#This Row],[Paid]]</f>
        <v>13333</v>
      </c>
    </row>
    <row r="413" spans="1:35" hidden="1">
      <c r="A413" t="s">
        <v>9317</v>
      </c>
      <c r="B413" s="1">
        <v>40994</v>
      </c>
      <c r="C413" s="1">
        <v>40994</v>
      </c>
      <c r="D413" t="s">
        <v>8524</v>
      </c>
      <c r="E413">
        <v>410400</v>
      </c>
      <c r="F413">
        <v>65664</v>
      </c>
      <c r="G413">
        <v>0</v>
      </c>
      <c r="H413">
        <v>0</v>
      </c>
      <c r="I413">
        <v>279</v>
      </c>
      <c r="J413">
        <v>476064</v>
      </c>
      <c r="K413" t="s">
        <v>9318</v>
      </c>
      <c r="L413" s="1">
        <v>40989</v>
      </c>
      <c r="N413" t="s">
        <v>6694</v>
      </c>
      <c r="O413" t="s">
        <v>3507</v>
      </c>
      <c r="P413" t="s">
        <v>8525</v>
      </c>
      <c r="Q413" t="s">
        <v>39</v>
      </c>
      <c r="R413" t="s">
        <v>40</v>
      </c>
      <c r="S413">
        <v>0</v>
      </c>
      <c r="U413" t="s">
        <v>41</v>
      </c>
      <c r="V413" t="s">
        <v>42</v>
      </c>
      <c r="X413" t="s">
        <v>74</v>
      </c>
      <c r="Y413" t="b">
        <v>0</v>
      </c>
      <c r="Z413" t="b">
        <v>0</v>
      </c>
      <c r="AC413" s="1"/>
      <c r="AF413">
        <v>0</v>
      </c>
      <c r="AG413">
        <v>45</v>
      </c>
      <c r="AH413">
        <v>324</v>
      </c>
      <c r="AI413" s="2">
        <f>Table__192.168.3.138BEWLPPMetaData[[#This Row],[NetAmount]]-Table__192.168.3.138BEWLPPMetaData[[#This Row],[Paid]]</f>
        <v>476064</v>
      </c>
    </row>
    <row r="414" spans="1:35" hidden="1">
      <c r="A414" t="s">
        <v>9319</v>
      </c>
      <c r="B414" s="1">
        <v>40987</v>
      </c>
      <c r="C414" s="1">
        <v>40987</v>
      </c>
      <c r="D414" t="s">
        <v>8544</v>
      </c>
      <c r="E414">
        <v>7760</v>
      </c>
      <c r="F414">
        <v>1242</v>
      </c>
      <c r="G414">
        <v>0</v>
      </c>
      <c r="H414">
        <v>0</v>
      </c>
      <c r="I414">
        <v>274</v>
      </c>
      <c r="J414">
        <v>9002</v>
      </c>
      <c r="K414" t="s">
        <v>9320</v>
      </c>
      <c r="L414" s="1">
        <v>40994</v>
      </c>
      <c r="N414" t="s">
        <v>6694</v>
      </c>
      <c r="O414" t="s">
        <v>3507</v>
      </c>
      <c r="P414" t="s">
        <v>8545</v>
      </c>
      <c r="Q414" t="s">
        <v>39</v>
      </c>
      <c r="R414" t="s">
        <v>40</v>
      </c>
      <c r="S414">
        <v>0</v>
      </c>
      <c r="U414" t="s">
        <v>41</v>
      </c>
      <c r="V414" t="s">
        <v>42</v>
      </c>
      <c r="X414" t="s">
        <v>74</v>
      </c>
      <c r="Y414" t="b">
        <v>0</v>
      </c>
      <c r="Z414" t="b">
        <v>0</v>
      </c>
      <c r="AC414" s="1"/>
      <c r="AF414">
        <v>0</v>
      </c>
      <c r="AG414">
        <v>45</v>
      </c>
      <c r="AH414">
        <v>319</v>
      </c>
      <c r="AI414" s="2">
        <f>Table__192.168.3.138BEWLPPMetaData[[#This Row],[NetAmount]]-Table__192.168.3.138BEWLPPMetaData[[#This Row],[Paid]]</f>
        <v>9002</v>
      </c>
    </row>
    <row r="415" spans="1:35" hidden="1">
      <c r="A415" t="s">
        <v>9321</v>
      </c>
      <c r="B415" s="1">
        <v>40989</v>
      </c>
      <c r="C415" s="1">
        <v>40989</v>
      </c>
      <c r="D415" t="s">
        <v>8544</v>
      </c>
      <c r="E415">
        <v>7760</v>
      </c>
      <c r="F415">
        <v>1242</v>
      </c>
      <c r="G415">
        <v>0</v>
      </c>
      <c r="H415">
        <v>0</v>
      </c>
      <c r="I415">
        <v>274</v>
      </c>
      <c r="J415">
        <v>9002</v>
      </c>
      <c r="K415" t="s">
        <v>9322</v>
      </c>
      <c r="L415" s="1">
        <v>40994</v>
      </c>
      <c r="N415" t="s">
        <v>6694</v>
      </c>
      <c r="O415" t="s">
        <v>3507</v>
      </c>
      <c r="P415" t="s">
        <v>8545</v>
      </c>
      <c r="Q415" t="s">
        <v>39</v>
      </c>
      <c r="R415" t="s">
        <v>40</v>
      </c>
      <c r="S415">
        <v>0</v>
      </c>
      <c r="U415" t="s">
        <v>41</v>
      </c>
      <c r="V415" t="s">
        <v>42</v>
      </c>
      <c r="X415" t="s">
        <v>74</v>
      </c>
      <c r="Y415" t="b">
        <v>0</v>
      </c>
      <c r="Z415" t="b">
        <v>0</v>
      </c>
      <c r="AC415" s="1"/>
      <c r="AF415">
        <v>0</v>
      </c>
      <c r="AG415">
        <v>45</v>
      </c>
      <c r="AH415">
        <v>319</v>
      </c>
      <c r="AI415" s="2">
        <f>Table__192.168.3.138BEWLPPMetaData[[#This Row],[NetAmount]]-Table__192.168.3.138BEWLPPMetaData[[#This Row],[Paid]]</f>
        <v>9002</v>
      </c>
    </row>
    <row r="416" spans="1:35" hidden="1">
      <c r="A416" t="s">
        <v>9323</v>
      </c>
      <c r="B416" s="1">
        <v>40998</v>
      </c>
      <c r="C416" s="1">
        <v>40998</v>
      </c>
      <c r="D416" t="s">
        <v>8524</v>
      </c>
      <c r="E416">
        <v>30595</v>
      </c>
      <c r="F416">
        <v>4895</v>
      </c>
      <c r="G416">
        <v>0</v>
      </c>
      <c r="H416">
        <v>0</v>
      </c>
      <c r="I416">
        <v>273</v>
      </c>
      <c r="J416">
        <v>35490</v>
      </c>
      <c r="K416" t="s">
        <v>9324</v>
      </c>
      <c r="L416" s="1">
        <v>40995</v>
      </c>
      <c r="N416" t="s">
        <v>6694</v>
      </c>
      <c r="O416" t="s">
        <v>3507</v>
      </c>
      <c r="P416" t="s">
        <v>8525</v>
      </c>
      <c r="Q416" t="s">
        <v>39</v>
      </c>
      <c r="R416" t="s">
        <v>40</v>
      </c>
      <c r="S416">
        <v>0</v>
      </c>
      <c r="U416" t="s">
        <v>41</v>
      </c>
      <c r="V416" t="s">
        <v>42</v>
      </c>
      <c r="X416" t="s">
        <v>74</v>
      </c>
      <c r="Y416" t="b">
        <v>0</v>
      </c>
      <c r="Z416" t="b">
        <v>0</v>
      </c>
      <c r="AC416" s="1"/>
      <c r="AF416">
        <v>0</v>
      </c>
      <c r="AG416">
        <v>45</v>
      </c>
      <c r="AH416">
        <v>318</v>
      </c>
      <c r="AI416" s="2">
        <f>Table__192.168.3.138BEWLPPMetaData[[#This Row],[NetAmount]]-Table__192.168.3.138BEWLPPMetaData[[#This Row],[Paid]]</f>
        <v>35490</v>
      </c>
    </row>
    <row r="417" spans="1:35" hidden="1">
      <c r="A417" t="s">
        <v>9325</v>
      </c>
      <c r="B417" s="1">
        <v>40994</v>
      </c>
      <c r="C417" s="1">
        <v>40994</v>
      </c>
      <c r="D417" t="s">
        <v>8544</v>
      </c>
      <c r="E417">
        <v>7760</v>
      </c>
      <c r="F417">
        <v>1242</v>
      </c>
      <c r="G417">
        <v>0</v>
      </c>
      <c r="H417">
        <v>0</v>
      </c>
      <c r="I417">
        <v>279</v>
      </c>
      <c r="J417">
        <v>9002</v>
      </c>
      <c r="K417" t="s">
        <v>9326</v>
      </c>
      <c r="L417" s="1">
        <v>40989</v>
      </c>
      <c r="N417" t="s">
        <v>6694</v>
      </c>
      <c r="O417" t="s">
        <v>3507</v>
      </c>
      <c r="P417" t="s">
        <v>8545</v>
      </c>
      <c r="Q417" t="s">
        <v>39</v>
      </c>
      <c r="R417" t="s">
        <v>40</v>
      </c>
      <c r="S417">
        <v>0</v>
      </c>
      <c r="U417" t="s">
        <v>41</v>
      </c>
      <c r="V417" t="s">
        <v>42</v>
      </c>
      <c r="X417" t="s">
        <v>74</v>
      </c>
      <c r="Y417" t="b">
        <v>0</v>
      </c>
      <c r="Z417" t="b">
        <v>0</v>
      </c>
      <c r="AC417" s="1"/>
      <c r="AF417">
        <v>0</v>
      </c>
      <c r="AG417">
        <v>45</v>
      </c>
      <c r="AH417">
        <v>324</v>
      </c>
      <c r="AI417" s="2">
        <f>Table__192.168.3.138BEWLPPMetaData[[#This Row],[NetAmount]]-Table__192.168.3.138BEWLPPMetaData[[#This Row],[Paid]]</f>
        <v>9002</v>
      </c>
    </row>
    <row r="418" spans="1:35" hidden="1">
      <c r="A418" t="s">
        <v>9327</v>
      </c>
      <c r="B418" s="1">
        <v>40996</v>
      </c>
      <c r="C418" s="1">
        <v>41041</v>
      </c>
      <c r="D418" t="s">
        <v>8558</v>
      </c>
      <c r="E418">
        <v>59400</v>
      </c>
      <c r="F418">
        <v>9504</v>
      </c>
      <c r="G418">
        <v>0</v>
      </c>
      <c r="H418">
        <v>0</v>
      </c>
      <c r="I418">
        <v>272</v>
      </c>
      <c r="J418">
        <v>68904</v>
      </c>
      <c r="K418" t="s">
        <v>9328</v>
      </c>
      <c r="L418" s="1">
        <v>40996</v>
      </c>
      <c r="N418" t="s">
        <v>6694</v>
      </c>
      <c r="O418" t="s">
        <v>3507</v>
      </c>
      <c r="P418" t="s">
        <v>8559</v>
      </c>
      <c r="Q418" t="s">
        <v>39</v>
      </c>
      <c r="R418" t="s">
        <v>40</v>
      </c>
      <c r="S418">
        <v>0</v>
      </c>
      <c r="U418" t="s">
        <v>41</v>
      </c>
      <c r="V418" t="s">
        <v>42</v>
      </c>
      <c r="X418" t="s">
        <v>74</v>
      </c>
      <c r="Y418" t="b">
        <v>0</v>
      </c>
      <c r="Z418" t="b">
        <v>0</v>
      </c>
      <c r="AC418" s="1"/>
      <c r="AF418">
        <v>0</v>
      </c>
      <c r="AG418">
        <v>45</v>
      </c>
      <c r="AH418">
        <v>317</v>
      </c>
      <c r="AI418" s="2">
        <f>Table__192.168.3.138BEWLPPMetaData[[#This Row],[NetAmount]]-Table__192.168.3.138BEWLPPMetaData[[#This Row],[Paid]]</f>
        <v>68904</v>
      </c>
    </row>
    <row r="419" spans="1:35" hidden="1">
      <c r="A419" t="s">
        <v>9329</v>
      </c>
      <c r="B419" s="1">
        <v>40978</v>
      </c>
      <c r="C419" s="1">
        <v>40978</v>
      </c>
      <c r="D419" t="s">
        <v>8910</v>
      </c>
      <c r="E419">
        <v>53250</v>
      </c>
      <c r="F419">
        <v>8520</v>
      </c>
      <c r="G419">
        <v>0</v>
      </c>
      <c r="H419">
        <v>0</v>
      </c>
      <c r="I419">
        <v>290</v>
      </c>
      <c r="J419">
        <v>61770</v>
      </c>
      <c r="K419" t="s">
        <v>4037</v>
      </c>
      <c r="L419" s="1">
        <v>40978</v>
      </c>
      <c r="N419" t="s">
        <v>6694</v>
      </c>
      <c r="O419" t="s">
        <v>3507</v>
      </c>
      <c r="P419" t="s">
        <v>392</v>
      </c>
      <c r="Q419" t="s">
        <v>39</v>
      </c>
      <c r="R419" t="s">
        <v>40</v>
      </c>
      <c r="S419">
        <v>0</v>
      </c>
      <c r="U419" t="s">
        <v>41</v>
      </c>
      <c r="V419" t="s">
        <v>42</v>
      </c>
      <c r="X419" t="s">
        <v>74</v>
      </c>
      <c r="Y419" t="b">
        <v>0</v>
      </c>
      <c r="Z419" t="b">
        <v>0</v>
      </c>
      <c r="AB419" t="s">
        <v>8912</v>
      </c>
      <c r="AC419" s="1">
        <v>41200</v>
      </c>
      <c r="AF419">
        <v>0</v>
      </c>
      <c r="AG419">
        <v>45</v>
      </c>
      <c r="AH419">
        <v>335</v>
      </c>
      <c r="AI419" s="2">
        <f>Table__192.168.3.138BEWLPPMetaData[[#This Row],[NetAmount]]-Table__192.168.3.138BEWLPPMetaData[[#This Row],[Paid]]</f>
        <v>61770</v>
      </c>
    </row>
    <row r="420" spans="1:35" hidden="1">
      <c r="A420" t="s">
        <v>9330</v>
      </c>
      <c r="B420" s="1">
        <v>41014</v>
      </c>
      <c r="C420" s="1">
        <v>41059</v>
      </c>
      <c r="D420" t="s">
        <v>8547</v>
      </c>
      <c r="E420">
        <v>63840</v>
      </c>
      <c r="F420">
        <v>10214</v>
      </c>
      <c r="G420">
        <v>0</v>
      </c>
      <c r="H420">
        <v>0</v>
      </c>
      <c r="I420">
        <v>255</v>
      </c>
      <c r="J420">
        <v>74054</v>
      </c>
      <c r="K420" t="s">
        <v>9331</v>
      </c>
      <c r="L420" s="1">
        <v>41013</v>
      </c>
      <c r="N420" t="s">
        <v>6694</v>
      </c>
      <c r="O420" t="s">
        <v>3507</v>
      </c>
      <c r="P420" t="s">
        <v>8548</v>
      </c>
      <c r="Q420" t="s">
        <v>39</v>
      </c>
      <c r="R420" t="s">
        <v>40</v>
      </c>
      <c r="S420">
        <v>0</v>
      </c>
      <c r="U420" t="s">
        <v>41</v>
      </c>
      <c r="V420" t="s">
        <v>42</v>
      </c>
      <c r="X420" t="s">
        <v>74</v>
      </c>
      <c r="Y420" t="b">
        <v>0</v>
      </c>
      <c r="Z420" t="b">
        <v>0</v>
      </c>
      <c r="AC420" s="1"/>
      <c r="AF420">
        <v>0</v>
      </c>
      <c r="AG420">
        <v>45</v>
      </c>
      <c r="AH420">
        <v>300</v>
      </c>
      <c r="AI420" s="2">
        <f>Table__192.168.3.138BEWLPPMetaData[[#This Row],[NetAmount]]-Table__192.168.3.138BEWLPPMetaData[[#This Row],[Paid]]</f>
        <v>74054</v>
      </c>
    </row>
    <row r="421" spans="1:35" hidden="1">
      <c r="A421" t="s">
        <v>9332</v>
      </c>
      <c r="B421" s="1">
        <v>41012</v>
      </c>
      <c r="C421" s="1">
        <v>41057</v>
      </c>
      <c r="D421" t="s">
        <v>8524</v>
      </c>
      <c r="E421">
        <v>692700</v>
      </c>
      <c r="F421">
        <v>110832</v>
      </c>
      <c r="G421">
        <v>0</v>
      </c>
      <c r="H421">
        <v>0</v>
      </c>
      <c r="I421">
        <v>260</v>
      </c>
      <c r="J421">
        <v>803532</v>
      </c>
      <c r="K421" t="s">
        <v>9333</v>
      </c>
      <c r="L421" s="1">
        <v>41008</v>
      </c>
      <c r="N421" t="s">
        <v>6694</v>
      </c>
      <c r="O421" t="s">
        <v>3507</v>
      </c>
      <c r="P421" t="s">
        <v>8525</v>
      </c>
      <c r="Q421" t="s">
        <v>39</v>
      </c>
      <c r="R421" t="s">
        <v>40</v>
      </c>
      <c r="S421">
        <v>0</v>
      </c>
      <c r="U421" t="s">
        <v>41</v>
      </c>
      <c r="V421" t="s">
        <v>42</v>
      </c>
      <c r="X421" t="s">
        <v>74</v>
      </c>
      <c r="Y421" t="b">
        <v>0</v>
      </c>
      <c r="Z421" t="b">
        <v>0</v>
      </c>
      <c r="AC421" s="1"/>
      <c r="AF421">
        <v>0</v>
      </c>
      <c r="AG421">
        <v>45</v>
      </c>
      <c r="AH421">
        <v>305</v>
      </c>
      <c r="AI421" s="2">
        <f>Table__192.168.3.138BEWLPPMetaData[[#This Row],[NetAmount]]-Table__192.168.3.138BEWLPPMetaData[[#This Row],[Paid]]</f>
        <v>803532</v>
      </c>
    </row>
    <row r="422" spans="1:35" hidden="1">
      <c r="A422" t="s">
        <v>9334</v>
      </c>
      <c r="B422" s="1">
        <v>41012</v>
      </c>
      <c r="C422" s="1">
        <v>41057</v>
      </c>
      <c r="D422" t="s">
        <v>8524</v>
      </c>
      <c r="E422">
        <v>53550</v>
      </c>
      <c r="F422">
        <v>8568</v>
      </c>
      <c r="G422">
        <v>0</v>
      </c>
      <c r="H422">
        <v>0</v>
      </c>
      <c r="I422">
        <v>260</v>
      </c>
      <c r="J422">
        <v>62118</v>
      </c>
      <c r="K422" t="s">
        <v>9335</v>
      </c>
      <c r="L422" s="1">
        <v>41008</v>
      </c>
      <c r="N422" t="s">
        <v>6694</v>
      </c>
      <c r="O422" t="s">
        <v>3507</v>
      </c>
      <c r="P422" t="s">
        <v>8525</v>
      </c>
      <c r="Q422" t="s">
        <v>39</v>
      </c>
      <c r="R422" t="s">
        <v>40</v>
      </c>
      <c r="S422">
        <v>0</v>
      </c>
      <c r="U422" t="s">
        <v>41</v>
      </c>
      <c r="V422" t="s">
        <v>42</v>
      </c>
      <c r="X422" t="s">
        <v>74</v>
      </c>
      <c r="Y422" t="b">
        <v>0</v>
      </c>
      <c r="Z422" t="b">
        <v>0</v>
      </c>
      <c r="AC422" s="1"/>
      <c r="AF422">
        <v>0</v>
      </c>
      <c r="AG422">
        <v>45</v>
      </c>
      <c r="AH422">
        <v>305</v>
      </c>
      <c r="AI422" s="2">
        <f>Table__192.168.3.138BEWLPPMetaData[[#This Row],[NetAmount]]-Table__192.168.3.138BEWLPPMetaData[[#This Row],[Paid]]</f>
        <v>62118</v>
      </c>
    </row>
    <row r="423" spans="1:35" hidden="1">
      <c r="A423" t="s">
        <v>9336</v>
      </c>
      <c r="B423" s="1">
        <v>41003</v>
      </c>
      <c r="C423" s="1">
        <v>41048</v>
      </c>
      <c r="D423" t="s">
        <v>8524</v>
      </c>
      <c r="E423">
        <v>273525</v>
      </c>
      <c r="F423">
        <v>43764</v>
      </c>
      <c r="G423">
        <v>0</v>
      </c>
      <c r="H423">
        <v>0</v>
      </c>
      <c r="I423">
        <v>270</v>
      </c>
      <c r="J423">
        <v>317289</v>
      </c>
      <c r="K423" t="s">
        <v>9337</v>
      </c>
      <c r="L423" s="1">
        <v>40998</v>
      </c>
      <c r="N423" t="s">
        <v>6694</v>
      </c>
      <c r="O423" t="s">
        <v>3507</v>
      </c>
      <c r="P423" t="s">
        <v>8525</v>
      </c>
      <c r="Q423" t="s">
        <v>39</v>
      </c>
      <c r="R423" t="s">
        <v>40</v>
      </c>
      <c r="S423">
        <v>0</v>
      </c>
      <c r="U423" t="s">
        <v>41</v>
      </c>
      <c r="V423" t="s">
        <v>42</v>
      </c>
      <c r="X423" t="s">
        <v>74</v>
      </c>
      <c r="Y423" t="b">
        <v>0</v>
      </c>
      <c r="Z423" t="b">
        <v>0</v>
      </c>
      <c r="AC423" s="1"/>
      <c r="AF423">
        <v>0</v>
      </c>
      <c r="AG423">
        <v>45</v>
      </c>
      <c r="AH423">
        <v>315</v>
      </c>
      <c r="AI423" s="2">
        <f>Table__192.168.3.138BEWLPPMetaData[[#This Row],[NetAmount]]-Table__192.168.3.138BEWLPPMetaData[[#This Row],[Paid]]</f>
        <v>317289</v>
      </c>
    </row>
    <row r="424" spans="1:35" hidden="1">
      <c r="A424" t="s">
        <v>9338</v>
      </c>
      <c r="B424" s="1">
        <v>41006</v>
      </c>
      <c r="C424" s="1">
        <v>41051</v>
      </c>
      <c r="D424" t="s">
        <v>8524</v>
      </c>
      <c r="E424">
        <v>30000</v>
      </c>
      <c r="F424">
        <v>4800</v>
      </c>
      <c r="G424">
        <v>0</v>
      </c>
      <c r="H424">
        <v>0</v>
      </c>
      <c r="I424">
        <v>263</v>
      </c>
      <c r="J424">
        <v>34800</v>
      </c>
      <c r="K424" t="s">
        <v>9339</v>
      </c>
      <c r="L424" s="1">
        <v>41005</v>
      </c>
      <c r="N424" t="s">
        <v>6694</v>
      </c>
      <c r="O424" t="s">
        <v>3507</v>
      </c>
      <c r="P424" t="s">
        <v>8525</v>
      </c>
      <c r="Q424" t="s">
        <v>39</v>
      </c>
      <c r="R424" t="s">
        <v>40</v>
      </c>
      <c r="S424">
        <v>0</v>
      </c>
      <c r="U424" t="s">
        <v>41</v>
      </c>
      <c r="V424" t="s">
        <v>42</v>
      </c>
      <c r="X424" t="s">
        <v>74</v>
      </c>
      <c r="Y424" t="b">
        <v>0</v>
      </c>
      <c r="Z424" t="b">
        <v>0</v>
      </c>
      <c r="AC424" s="1"/>
      <c r="AF424">
        <v>0</v>
      </c>
      <c r="AG424">
        <v>45</v>
      </c>
      <c r="AH424">
        <v>308</v>
      </c>
      <c r="AI424" s="2">
        <f>Table__192.168.3.138BEWLPPMetaData[[#This Row],[NetAmount]]-Table__192.168.3.138BEWLPPMetaData[[#This Row],[Paid]]</f>
        <v>34800</v>
      </c>
    </row>
    <row r="425" spans="1:35" hidden="1">
      <c r="A425" t="s">
        <v>9340</v>
      </c>
      <c r="B425" s="1">
        <v>41022</v>
      </c>
      <c r="C425" s="1">
        <v>41067</v>
      </c>
      <c r="D425" t="s">
        <v>8910</v>
      </c>
      <c r="E425">
        <v>105435</v>
      </c>
      <c r="F425">
        <v>16870</v>
      </c>
      <c r="G425">
        <v>0</v>
      </c>
      <c r="H425">
        <v>0</v>
      </c>
      <c r="I425">
        <v>250</v>
      </c>
      <c r="J425">
        <v>122305</v>
      </c>
      <c r="K425" t="s">
        <v>9341</v>
      </c>
      <c r="L425" s="1">
        <v>41018</v>
      </c>
      <c r="N425" t="s">
        <v>6694</v>
      </c>
      <c r="O425" t="s">
        <v>3507</v>
      </c>
      <c r="P425" t="s">
        <v>392</v>
      </c>
      <c r="Q425" t="s">
        <v>39</v>
      </c>
      <c r="R425" t="s">
        <v>40</v>
      </c>
      <c r="S425">
        <v>0</v>
      </c>
      <c r="U425" t="s">
        <v>41</v>
      </c>
      <c r="V425" t="s">
        <v>42</v>
      </c>
      <c r="X425" t="s">
        <v>74</v>
      </c>
      <c r="Y425" t="b">
        <v>0</v>
      </c>
      <c r="Z425" t="b">
        <v>0</v>
      </c>
      <c r="AC425" s="1"/>
      <c r="AF425">
        <v>0</v>
      </c>
      <c r="AG425">
        <v>45</v>
      </c>
      <c r="AH425">
        <v>295</v>
      </c>
      <c r="AI425" s="2">
        <f>Table__192.168.3.138BEWLPPMetaData[[#This Row],[NetAmount]]-Table__192.168.3.138BEWLPPMetaData[[#This Row],[Paid]]</f>
        <v>122305</v>
      </c>
    </row>
    <row r="426" spans="1:35" hidden="1">
      <c r="A426" t="s">
        <v>9342</v>
      </c>
      <c r="B426" s="1">
        <v>41003</v>
      </c>
      <c r="C426" s="1">
        <v>41048</v>
      </c>
      <c r="D426" t="s">
        <v>8611</v>
      </c>
      <c r="E426">
        <v>58650</v>
      </c>
      <c r="F426">
        <v>9384</v>
      </c>
      <c r="G426">
        <v>0</v>
      </c>
      <c r="H426">
        <v>0</v>
      </c>
      <c r="I426">
        <v>265</v>
      </c>
      <c r="J426">
        <v>68034</v>
      </c>
      <c r="K426" t="s">
        <v>9343</v>
      </c>
      <c r="L426" s="1">
        <v>41003</v>
      </c>
      <c r="N426" t="s">
        <v>6694</v>
      </c>
      <c r="O426" t="s">
        <v>3507</v>
      </c>
      <c r="P426" t="s">
        <v>8612</v>
      </c>
      <c r="Q426" t="s">
        <v>39</v>
      </c>
      <c r="R426" t="s">
        <v>40</v>
      </c>
      <c r="S426">
        <v>0</v>
      </c>
      <c r="U426" t="s">
        <v>41</v>
      </c>
      <c r="V426" t="s">
        <v>42</v>
      </c>
      <c r="X426" t="s">
        <v>74</v>
      </c>
      <c r="Y426" t="b">
        <v>0</v>
      </c>
      <c r="Z426" t="b">
        <v>0</v>
      </c>
      <c r="AB426" t="s">
        <v>9344</v>
      </c>
      <c r="AC426" s="1">
        <v>41080</v>
      </c>
      <c r="AD426" t="s">
        <v>9345</v>
      </c>
      <c r="AE426" t="s">
        <v>9346</v>
      </c>
      <c r="AF426">
        <v>66622</v>
      </c>
      <c r="AG426">
        <v>45</v>
      </c>
      <c r="AH426">
        <v>310</v>
      </c>
      <c r="AI426" s="2">
        <f>Table__192.168.3.138BEWLPPMetaData[[#This Row],[NetAmount]]-Table__192.168.3.138BEWLPPMetaData[[#This Row],[Paid]]</f>
        <v>1412</v>
      </c>
    </row>
    <row r="427" spans="1:35" hidden="1">
      <c r="A427" t="s">
        <v>9347</v>
      </c>
      <c r="B427" s="1">
        <v>41023</v>
      </c>
      <c r="C427" s="1">
        <v>41068</v>
      </c>
      <c r="D427" t="s">
        <v>8524</v>
      </c>
      <c r="E427">
        <v>62390</v>
      </c>
      <c r="F427">
        <v>9982</v>
      </c>
      <c r="G427">
        <v>0</v>
      </c>
      <c r="H427">
        <v>0</v>
      </c>
      <c r="I427">
        <v>249</v>
      </c>
      <c r="J427">
        <v>72372</v>
      </c>
      <c r="K427" t="s">
        <v>4906</v>
      </c>
      <c r="L427" s="1">
        <v>41019</v>
      </c>
      <c r="N427" t="s">
        <v>6694</v>
      </c>
      <c r="O427" t="s">
        <v>3507</v>
      </c>
      <c r="P427" t="s">
        <v>8525</v>
      </c>
      <c r="Q427" t="s">
        <v>39</v>
      </c>
      <c r="R427" t="s">
        <v>40</v>
      </c>
      <c r="S427">
        <v>0</v>
      </c>
      <c r="U427" t="s">
        <v>41</v>
      </c>
      <c r="V427" t="s">
        <v>42</v>
      </c>
      <c r="X427" t="s">
        <v>74</v>
      </c>
      <c r="Y427" t="b">
        <v>0</v>
      </c>
      <c r="Z427" t="b">
        <v>0</v>
      </c>
      <c r="AC427" s="1"/>
      <c r="AF427">
        <v>0</v>
      </c>
      <c r="AG427">
        <v>45</v>
      </c>
      <c r="AH427">
        <v>294</v>
      </c>
      <c r="AI427" s="2">
        <f>Table__192.168.3.138BEWLPPMetaData[[#This Row],[NetAmount]]-Table__192.168.3.138BEWLPPMetaData[[#This Row],[Paid]]</f>
        <v>72372</v>
      </c>
    </row>
    <row r="428" spans="1:35" hidden="1">
      <c r="A428" t="s">
        <v>9348</v>
      </c>
      <c r="B428" s="1">
        <v>41023</v>
      </c>
      <c r="C428" s="1">
        <v>41068</v>
      </c>
      <c r="D428" t="s">
        <v>8524</v>
      </c>
      <c r="E428">
        <v>1004659</v>
      </c>
      <c r="F428">
        <v>160746</v>
      </c>
      <c r="G428">
        <v>0</v>
      </c>
      <c r="H428">
        <v>0</v>
      </c>
      <c r="I428">
        <v>249</v>
      </c>
      <c r="J428">
        <v>1165405</v>
      </c>
      <c r="K428" t="s">
        <v>4505</v>
      </c>
      <c r="L428" s="1">
        <v>41019</v>
      </c>
      <c r="N428" t="s">
        <v>6694</v>
      </c>
      <c r="O428" t="s">
        <v>3507</v>
      </c>
      <c r="P428" t="s">
        <v>8525</v>
      </c>
      <c r="Q428" t="s">
        <v>39</v>
      </c>
      <c r="R428" t="s">
        <v>40</v>
      </c>
      <c r="S428">
        <v>0</v>
      </c>
      <c r="U428" t="s">
        <v>41</v>
      </c>
      <c r="V428" t="s">
        <v>42</v>
      </c>
      <c r="X428" t="s">
        <v>74</v>
      </c>
      <c r="Y428" t="b">
        <v>0</v>
      </c>
      <c r="Z428" t="b">
        <v>0</v>
      </c>
      <c r="AC428" s="1"/>
      <c r="AF428">
        <v>0</v>
      </c>
      <c r="AG428">
        <v>45</v>
      </c>
      <c r="AH428">
        <v>294</v>
      </c>
      <c r="AI428" s="2">
        <f>Table__192.168.3.138BEWLPPMetaData[[#This Row],[NetAmount]]-Table__192.168.3.138BEWLPPMetaData[[#This Row],[Paid]]</f>
        <v>1165405</v>
      </c>
    </row>
    <row r="429" spans="1:35" hidden="1">
      <c r="A429" t="s">
        <v>9349</v>
      </c>
      <c r="B429" s="1">
        <v>41031</v>
      </c>
      <c r="C429" s="1">
        <v>41076</v>
      </c>
      <c r="D429" t="s">
        <v>8524</v>
      </c>
      <c r="E429">
        <v>134201</v>
      </c>
      <c r="F429">
        <v>21472</v>
      </c>
      <c r="G429">
        <v>0</v>
      </c>
      <c r="H429">
        <v>0</v>
      </c>
      <c r="I429">
        <v>241</v>
      </c>
      <c r="J429">
        <v>155673</v>
      </c>
      <c r="K429" t="s">
        <v>9350</v>
      </c>
      <c r="L429" s="1">
        <v>41027</v>
      </c>
      <c r="N429" t="s">
        <v>6694</v>
      </c>
      <c r="O429" t="s">
        <v>3507</v>
      </c>
      <c r="P429" t="s">
        <v>8525</v>
      </c>
      <c r="Q429" t="s">
        <v>39</v>
      </c>
      <c r="R429" t="s">
        <v>40</v>
      </c>
      <c r="S429">
        <v>0</v>
      </c>
      <c r="U429" t="s">
        <v>41</v>
      </c>
      <c r="V429" t="s">
        <v>42</v>
      </c>
      <c r="X429" t="s">
        <v>74</v>
      </c>
      <c r="Y429" t="b">
        <v>0</v>
      </c>
      <c r="Z429" t="b">
        <v>0</v>
      </c>
      <c r="AC429" s="1"/>
      <c r="AF429">
        <v>0</v>
      </c>
      <c r="AG429">
        <v>45</v>
      </c>
      <c r="AH429">
        <v>286</v>
      </c>
      <c r="AI429" s="2">
        <f>Table__192.168.3.138BEWLPPMetaData[[#This Row],[NetAmount]]-Table__192.168.3.138BEWLPPMetaData[[#This Row],[Paid]]</f>
        <v>155673</v>
      </c>
    </row>
    <row r="430" spans="1:35" hidden="1">
      <c r="A430" t="s">
        <v>9351</v>
      </c>
      <c r="B430" s="1">
        <v>41047</v>
      </c>
      <c r="C430" s="1">
        <v>41092</v>
      </c>
      <c r="D430" t="s">
        <v>8524</v>
      </c>
      <c r="E430">
        <v>132658</v>
      </c>
      <c r="F430">
        <v>21225</v>
      </c>
      <c r="G430">
        <v>0</v>
      </c>
      <c r="H430">
        <v>0</v>
      </c>
      <c r="I430">
        <v>227</v>
      </c>
      <c r="J430">
        <v>153883</v>
      </c>
      <c r="K430" t="s">
        <v>9352</v>
      </c>
      <c r="L430" s="1">
        <v>41041</v>
      </c>
      <c r="N430" t="s">
        <v>6694</v>
      </c>
      <c r="O430" t="s">
        <v>3507</v>
      </c>
      <c r="P430" t="s">
        <v>8525</v>
      </c>
      <c r="Q430" t="s">
        <v>39</v>
      </c>
      <c r="R430" t="s">
        <v>40</v>
      </c>
      <c r="S430">
        <v>0</v>
      </c>
      <c r="U430" t="s">
        <v>41</v>
      </c>
      <c r="V430" t="s">
        <v>42</v>
      </c>
      <c r="X430" t="s">
        <v>74</v>
      </c>
      <c r="Y430" t="b">
        <v>0</v>
      </c>
      <c r="Z430" t="b">
        <v>0</v>
      </c>
      <c r="AC430" s="1"/>
      <c r="AF430">
        <v>0</v>
      </c>
      <c r="AG430">
        <v>45</v>
      </c>
      <c r="AH430">
        <v>272</v>
      </c>
      <c r="AI430" s="2">
        <f>Table__192.168.3.138BEWLPPMetaData[[#This Row],[NetAmount]]-Table__192.168.3.138BEWLPPMetaData[[#This Row],[Paid]]</f>
        <v>153883</v>
      </c>
    </row>
    <row r="431" spans="1:35" hidden="1">
      <c r="A431" t="s">
        <v>9353</v>
      </c>
      <c r="B431" s="1">
        <v>41047</v>
      </c>
      <c r="C431" s="1">
        <v>41092</v>
      </c>
      <c r="D431" t="s">
        <v>8524</v>
      </c>
      <c r="E431">
        <v>57590</v>
      </c>
      <c r="F431">
        <v>9215</v>
      </c>
      <c r="G431">
        <v>0</v>
      </c>
      <c r="H431">
        <v>0</v>
      </c>
      <c r="I431">
        <v>227</v>
      </c>
      <c r="J431">
        <v>66805</v>
      </c>
      <c r="K431" t="s">
        <v>9354</v>
      </c>
      <c r="L431" s="1">
        <v>41041</v>
      </c>
      <c r="N431" t="s">
        <v>6694</v>
      </c>
      <c r="O431" t="s">
        <v>3507</v>
      </c>
      <c r="P431" t="s">
        <v>8525</v>
      </c>
      <c r="Q431" t="s">
        <v>39</v>
      </c>
      <c r="R431" t="s">
        <v>40</v>
      </c>
      <c r="S431">
        <v>0</v>
      </c>
      <c r="U431" t="s">
        <v>41</v>
      </c>
      <c r="V431" t="s">
        <v>42</v>
      </c>
      <c r="X431" t="s">
        <v>74</v>
      </c>
      <c r="Y431" t="b">
        <v>0</v>
      </c>
      <c r="Z431" t="b">
        <v>0</v>
      </c>
      <c r="AC431" s="1"/>
      <c r="AF431">
        <v>0</v>
      </c>
      <c r="AG431">
        <v>45</v>
      </c>
      <c r="AH431">
        <v>272</v>
      </c>
      <c r="AI431" s="2">
        <f>Table__192.168.3.138BEWLPPMetaData[[#This Row],[NetAmount]]-Table__192.168.3.138BEWLPPMetaData[[#This Row],[Paid]]</f>
        <v>66805</v>
      </c>
    </row>
    <row r="432" spans="1:35" hidden="1">
      <c r="A432" t="s">
        <v>9355</v>
      </c>
      <c r="B432" s="1">
        <v>41047</v>
      </c>
      <c r="C432" s="1">
        <v>41092</v>
      </c>
      <c r="D432" t="s">
        <v>8547</v>
      </c>
      <c r="E432">
        <v>59850</v>
      </c>
      <c r="F432">
        <v>9576</v>
      </c>
      <c r="G432">
        <v>0</v>
      </c>
      <c r="H432">
        <v>0</v>
      </c>
      <c r="I432">
        <v>221</v>
      </c>
      <c r="J432">
        <v>69426</v>
      </c>
      <c r="K432" t="s">
        <v>9356</v>
      </c>
      <c r="L432" s="1">
        <v>41047</v>
      </c>
      <c r="N432" t="s">
        <v>6694</v>
      </c>
      <c r="O432" t="s">
        <v>3507</v>
      </c>
      <c r="P432" t="s">
        <v>8548</v>
      </c>
      <c r="Q432" t="s">
        <v>39</v>
      </c>
      <c r="R432" t="s">
        <v>40</v>
      </c>
      <c r="S432">
        <v>0</v>
      </c>
      <c r="U432" t="s">
        <v>41</v>
      </c>
      <c r="V432" t="s">
        <v>42</v>
      </c>
      <c r="X432" t="s">
        <v>74</v>
      </c>
      <c r="Y432" t="b">
        <v>0</v>
      </c>
      <c r="Z432" t="b">
        <v>0</v>
      </c>
      <c r="AC432" s="1"/>
      <c r="AF432">
        <v>0</v>
      </c>
      <c r="AG432">
        <v>45</v>
      </c>
      <c r="AH432">
        <v>266</v>
      </c>
      <c r="AI432" s="2">
        <f>Table__192.168.3.138BEWLPPMetaData[[#This Row],[NetAmount]]-Table__192.168.3.138BEWLPPMetaData[[#This Row],[Paid]]</f>
        <v>69426</v>
      </c>
    </row>
    <row r="433" spans="1:35" hidden="1">
      <c r="A433" t="s">
        <v>9357</v>
      </c>
      <c r="B433" s="1">
        <v>41031</v>
      </c>
      <c r="C433" s="1">
        <v>41031</v>
      </c>
      <c r="D433" t="s">
        <v>8591</v>
      </c>
      <c r="E433">
        <v>17470</v>
      </c>
      <c r="F433">
        <v>2795</v>
      </c>
      <c r="G433">
        <v>0</v>
      </c>
      <c r="H433">
        <v>0</v>
      </c>
      <c r="I433">
        <v>0</v>
      </c>
      <c r="J433">
        <v>20265</v>
      </c>
      <c r="K433" t="s">
        <v>9358</v>
      </c>
      <c r="L433" s="1">
        <v>41034</v>
      </c>
      <c r="N433" t="s">
        <v>6694</v>
      </c>
      <c r="O433" t="s">
        <v>3507</v>
      </c>
      <c r="P433" t="s">
        <v>425</v>
      </c>
      <c r="Q433" t="s">
        <v>39</v>
      </c>
      <c r="R433" t="s">
        <v>40</v>
      </c>
      <c r="S433">
        <v>0</v>
      </c>
      <c r="U433" t="s">
        <v>41</v>
      </c>
      <c r="V433" t="s">
        <v>42</v>
      </c>
      <c r="X433" t="s">
        <v>74</v>
      </c>
      <c r="Y433" t="b">
        <v>0</v>
      </c>
      <c r="Z433" t="b">
        <v>0</v>
      </c>
      <c r="AC433" s="1"/>
      <c r="AF433">
        <v>0</v>
      </c>
      <c r="AH433">
        <v>279</v>
      </c>
      <c r="AI433" s="2">
        <f>Table__192.168.3.138BEWLPPMetaData[[#This Row],[NetAmount]]-Table__192.168.3.138BEWLPPMetaData[[#This Row],[Paid]]</f>
        <v>20265</v>
      </c>
    </row>
    <row r="434" spans="1:35" hidden="1">
      <c r="A434" t="s">
        <v>9359</v>
      </c>
      <c r="B434" s="1">
        <v>41037</v>
      </c>
      <c r="C434" s="1">
        <v>41037</v>
      </c>
      <c r="D434" t="s">
        <v>8591</v>
      </c>
      <c r="E434">
        <v>36130</v>
      </c>
      <c r="F434">
        <v>5781</v>
      </c>
      <c r="G434">
        <v>0</v>
      </c>
      <c r="H434">
        <v>0</v>
      </c>
      <c r="I434">
        <v>0</v>
      </c>
      <c r="J434">
        <v>41911</v>
      </c>
      <c r="K434" t="s">
        <v>9360</v>
      </c>
      <c r="L434" s="1">
        <v>41034</v>
      </c>
      <c r="N434" t="s">
        <v>6694</v>
      </c>
      <c r="O434" t="s">
        <v>3507</v>
      </c>
      <c r="P434" t="s">
        <v>425</v>
      </c>
      <c r="Q434" t="s">
        <v>39</v>
      </c>
      <c r="R434" t="s">
        <v>40</v>
      </c>
      <c r="S434">
        <v>0</v>
      </c>
      <c r="U434" t="s">
        <v>41</v>
      </c>
      <c r="V434" t="s">
        <v>42</v>
      </c>
      <c r="X434" t="s">
        <v>74</v>
      </c>
      <c r="Y434" t="b">
        <v>0</v>
      </c>
      <c r="Z434" t="b">
        <v>0</v>
      </c>
      <c r="AC434" s="1"/>
      <c r="AF434">
        <v>0</v>
      </c>
      <c r="AH434">
        <v>279</v>
      </c>
      <c r="AI434" s="2">
        <f>Table__192.168.3.138BEWLPPMetaData[[#This Row],[NetAmount]]-Table__192.168.3.138BEWLPPMetaData[[#This Row],[Paid]]</f>
        <v>41911</v>
      </c>
    </row>
    <row r="435" spans="1:35" hidden="1">
      <c r="A435" t="s">
        <v>9361</v>
      </c>
      <c r="B435" s="1">
        <v>41039</v>
      </c>
      <c r="C435" s="1">
        <v>41039</v>
      </c>
      <c r="D435" t="s">
        <v>8591</v>
      </c>
      <c r="E435">
        <v>10360</v>
      </c>
      <c r="F435">
        <v>1658</v>
      </c>
      <c r="G435">
        <v>0</v>
      </c>
      <c r="H435">
        <v>0</v>
      </c>
      <c r="I435">
        <v>0</v>
      </c>
      <c r="J435">
        <v>12018</v>
      </c>
      <c r="K435" t="s">
        <v>9362</v>
      </c>
      <c r="L435" s="1">
        <v>41038</v>
      </c>
      <c r="N435" t="s">
        <v>6694</v>
      </c>
      <c r="O435" t="s">
        <v>3507</v>
      </c>
      <c r="P435" t="s">
        <v>425</v>
      </c>
      <c r="Q435" t="s">
        <v>39</v>
      </c>
      <c r="R435" t="s">
        <v>40</v>
      </c>
      <c r="S435">
        <v>0</v>
      </c>
      <c r="U435" t="s">
        <v>41</v>
      </c>
      <c r="V435" t="s">
        <v>42</v>
      </c>
      <c r="X435" t="s">
        <v>74</v>
      </c>
      <c r="Y435" t="b">
        <v>0</v>
      </c>
      <c r="Z435" t="b">
        <v>0</v>
      </c>
      <c r="AC435" s="1"/>
      <c r="AF435">
        <v>0</v>
      </c>
      <c r="AH435">
        <v>275</v>
      </c>
      <c r="AI435" s="2">
        <f>Table__192.168.3.138BEWLPPMetaData[[#This Row],[NetAmount]]-Table__192.168.3.138BEWLPPMetaData[[#This Row],[Paid]]</f>
        <v>12018</v>
      </c>
    </row>
    <row r="436" spans="1:35" hidden="1">
      <c r="A436" t="s">
        <v>9363</v>
      </c>
      <c r="B436" s="1">
        <v>41047</v>
      </c>
      <c r="C436" s="1">
        <v>41047</v>
      </c>
      <c r="D436" t="s">
        <v>8591</v>
      </c>
      <c r="E436">
        <v>15855</v>
      </c>
      <c r="F436">
        <v>2537</v>
      </c>
      <c r="G436">
        <v>0</v>
      </c>
      <c r="H436">
        <v>0</v>
      </c>
      <c r="I436">
        <v>0</v>
      </c>
      <c r="J436">
        <v>18392</v>
      </c>
      <c r="K436" t="s">
        <v>9364</v>
      </c>
      <c r="L436" s="1">
        <v>41047</v>
      </c>
      <c r="N436" t="s">
        <v>6694</v>
      </c>
      <c r="O436" t="s">
        <v>3507</v>
      </c>
      <c r="P436" t="s">
        <v>425</v>
      </c>
      <c r="Q436" t="s">
        <v>39</v>
      </c>
      <c r="R436" t="s">
        <v>40</v>
      </c>
      <c r="S436">
        <v>0</v>
      </c>
      <c r="U436" t="s">
        <v>41</v>
      </c>
      <c r="V436" t="s">
        <v>42</v>
      </c>
      <c r="X436" t="s">
        <v>74</v>
      </c>
      <c r="Y436" t="b">
        <v>0</v>
      </c>
      <c r="Z436" t="b">
        <v>0</v>
      </c>
      <c r="AC436" s="1"/>
      <c r="AF436">
        <v>0</v>
      </c>
      <c r="AH436">
        <v>266</v>
      </c>
      <c r="AI436" s="2">
        <f>Table__192.168.3.138BEWLPPMetaData[[#This Row],[NetAmount]]-Table__192.168.3.138BEWLPPMetaData[[#This Row],[Paid]]</f>
        <v>18392</v>
      </c>
    </row>
    <row r="437" spans="1:35" hidden="1">
      <c r="A437" t="s">
        <v>9365</v>
      </c>
      <c r="B437" s="1">
        <v>41054</v>
      </c>
      <c r="C437" s="1">
        <v>41054</v>
      </c>
      <c r="D437" t="s">
        <v>8591</v>
      </c>
      <c r="E437">
        <v>9060</v>
      </c>
      <c r="F437">
        <v>1450</v>
      </c>
      <c r="G437">
        <v>0</v>
      </c>
      <c r="H437">
        <v>0</v>
      </c>
      <c r="I437">
        <v>0</v>
      </c>
      <c r="J437">
        <v>10510</v>
      </c>
      <c r="K437" t="s">
        <v>9366</v>
      </c>
      <c r="L437" s="1">
        <v>41055</v>
      </c>
      <c r="N437" t="s">
        <v>6694</v>
      </c>
      <c r="O437" t="s">
        <v>3507</v>
      </c>
      <c r="P437" t="s">
        <v>425</v>
      </c>
      <c r="Q437" t="s">
        <v>39</v>
      </c>
      <c r="R437" t="s">
        <v>40</v>
      </c>
      <c r="S437">
        <v>0</v>
      </c>
      <c r="U437" t="s">
        <v>41</v>
      </c>
      <c r="V437" t="s">
        <v>42</v>
      </c>
      <c r="X437" t="s">
        <v>74</v>
      </c>
      <c r="Y437" t="b">
        <v>0</v>
      </c>
      <c r="Z437" t="b">
        <v>0</v>
      </c>
      <c r="AC437" s="1"/>
      <c r="AF437">
        <v>0</v>
      </c>
      <c r="AH437">
        <v>258</v>
      </c>
      <c r="AI437" s="2">
        <f>Table__192.168.3.138BEWLPPMetaData[[#This Row],[NetAmount]]-Table__192.168.3.138BEWLPPMetaData[[#This Row],[Paid]]</f>
        <v>10510</v>
      </c>
    </row>
    <row r="438" spans="1:35" hidden="1">
      <c r="A438" t="s">
        <v>9367</v>
      </c>
      <c r="B438" s="1">
        <v>41059</v>
      </c>
      <c r="C438" s="1">
        <v>41059</v>
      </c>
      <c r="D438" t="s">
        <v>8591</v>
      </c>
      <c r="E438">
        <v>9060</v>
      </c>
      <c r="F438">
        <v>1450</v>
      </c>
      <c r="G438">
        <v>0</v>
      </c>
      <c r="H438">
        <v>0</v>
      </c>
      <c r="I438">
        <v>0</v>
      </c>
      <c r="J438">
        <v>10510</v>
      </c>
      <c r="K438" t="s">
        <v>9368</v>
      </c>
      <c r="L438" s="1">
        <v>41058</v>
      </c>
      <c r="N438" t="s">
        <v>6694</v>
      </c>
      <c r="O438" t="s">
        <v>3507</v>
      </c>
      <c r="P438" t="s">
        <v>425</v>
      </c>
      <c r="Q438" t="s">
        <v>39</v>
      </c>
      <c r="R438" t="s">
        <v>40</v>
      </c>
      <c r="S438">
        <v>0</v>
      </c>
      <c r="U438" t="s">
        <v>41</v>
      </c>
      <c r="V438" t="s">
        <v>42</v>
      </c>
      <c r="X438" t="s">
        <v>74</v>
      </c>
      <c r="Y438" t="b">
        <v>0</v>
      </c>
      <c r="Z438" t="b">
        <v>0</v>
      </c>
      <c r="AC438" s="1"/>
      <c r="AF438">
        <v>0</v>
      </c>
      <c r="AH438">
        <v>255</v>
      </c>
      <c r="AI438" s="2">
        <f>Table__192.168.3.138BEWLPPMetaData[[#This Row],[NetAmount]]-Table__192.168.3.138BEWLPPMetaData[[#This Row],[Paid]]</f>
        <v>10510</v>
      </c>
    </row>
    <row r="439" spans="1:35" hidden="1">
      <c r="A439" t="s">
        <v>9369</v>
      </c>
      <c r="B439" s="1">
        <v>41047</v>
      </c>
      <c r="C439" s="1">
        <v>41092</v>
      </c>
      <c r="D439" t="s">
        <v>8574</v>
      </c>
      <c r="E439">
        <v>213678</v>
      </c>
      <c r="F439">
        <v>34189</v>
      </c>
      <c r="G439">
        <v>0</v>
      </c>
      <c r="H439">
        <v>0</v>
      </c>
      <c r="I439">
        <v>231</v>
      </c>
      <c r="J439">
        <v>247867</v>
      </c>
      <c r="K439" t="s">
        <v>9370</v>
      </c>
      <c r="L439" s="1">
        <v>41037</v>
      </c>
      <c r="N439" t="s">
        <v>6694</v>
      </c>
      <c r="O439" t="s">
        <v>3507</v>
      </c>
      <c r="P439" t="s">
        <v>344</v>
      </c>
      <c r="Q439" t="s">
        <v>39</v>
      </c>
      <c r="R439" t="s">
        <v>40</v>
      </c>
      <c r="S439">
        <v>0</v>
      </c>
      <c r="U439" t="s">
        <v>41</v>
      </c>
      <c r="V439" t="s">
        <v>42</v>
      </c>
      <c r="X439" t="s">
        <v>74</v>
      </c>
      <c r="Y439" t="b">
        <v>0</v>
      </c>
      <c r="Z439" t="b">
        <v>0</v>
      </c>
      <c r="AC439" s="1"/>
      <c r="AF439">
        <v>0</v>
      </c>
      <c r="AG439">
        <v>45</v>
      </c>
      <c r="AH439">
        <v>276</v>
      </c>
      <c r="AI439" s="2">
        <f>Table__192.168.3.138BEWLPPMetaData[[#This Row],[NetAmount]]-Table__192.168.3.138BEWLPPMetaData[[#This Row],[Paid]]</f>
        <v>247867</v>
      </c>
    </row>
    <row r="440" spans="1:35" hidden="1">
      <c r="A440" t="s">
        <v>9371</v>
      </c>
      <c r="B440" s="1">
        <v>41055</v>
      </c>
      <c r="C440" s="1">
        <v>41100</v>
      </c>
      <c r="D440" t="s">
        <v>8577</v>
      </c>
      <c r="E440">
        <v>25107</v>
      </c>
      <c r="F440">
        <v>0</v>
      </c>
      <c r="G440">
        <v>0</v>
      </c>
      <c r="H440">
        <v>0</v>
      </c>
      <c r="I440">
        <v>213</v>
      </c>
      <c r="J440">
        <v>25107</v>
      </c>
      <c r="K440" t="s">
        <v>9372</v>
      </c>
      <c r="L440" s="1">
        <v>41055</v>
      </c>
      <c r="M440" t="s">
        <v>9373</v>
      </c>
      <c r="N440" t="s">
        <v>6694</v>
      </c>
      <c r="O440" t="s">
        <v>3507</v>
      </c>
      <c r="P440" t="s">
        <v>8579</v>
      </c>
      <c r="Q440" t="s">
        <v>39</v>
      </c>
      <c r="R440" t="s">
        <v>40</v>
      </c>
      <c r="S440">
        <v>0</v>
      </c>
      <c r="U440" t="s">
        <v>41</v>
      </c>
      <c r="V440" t="s">
        <v>42</v>
      </c>
      <c r="W440" t="s">
        <v>8580</v>
      </c>
      <c r="X440" t="s">
        <v>74</v>
      </c>
      <c r="Y440" t="b">
        <v>0</v>
      </c>
      <c r="Z440" t="b">
        <v>0</v>
      </c>
      <c r="AA440" t="b">
        <v>0</v>
      </c>
      <c r="AC440" s="1"/>
      <c r="AF440">
        <v>0</v>
      </c>
      <c r="AG440">
        <v>45</v>
      </c>
      <c r="AH440">
        <v>258</v>
      </c>
      <c r="AI440" s="2">
        <f>Table__192.168.3.138BEWLPPMetaData[[#This Row],[NetAmount]]-Table__192.168.3.138BEWLPPMetaData[[#This Row],[Paid]]</f>
        <v>25107</v>
      </c>
    </row>
    <row r="441" spans="1:35" hidden="1">
      <c r="A441" t="s">
        <v>9374</v>
      </c>
      <c r="B441" s="1">
        <v>41041</v>
      </c>
      <c r="C441" s="1">
        <v>41041</v>
      </c>
      <c r="D441" t="s">
        <v>8591</v>
      </c>
      <c r="E441">
        <v>10360</v>
      </c>
      <c r="F441">
        <v>1658</v>
      </c>
      <c r="G441">
        <v>0</v>
      </c>
      <c r="H441">
        <v>0</v>
      </c>
      <c r="I441">
        <v>0</v>
      </c>
      <c r="J441">
        <v>12018</v>
      </c>
      <c r="K441" t="s">
        <v>9375</v>
      </c>
      <c r="L441" s="1">
        <v>41041</v>
      </c>
      <c r="N441" t="s">
        <v>6694</v>
      </c>
      <c r="O441" t="s">
        <v>3507</v>
      </c>
      <c r="P441" t="s">
        <v>425</v>
      </c>
      <c r="Q441" t="s">
        <v>39</v>
      </c>
      <c r="R441" t="s">
        <v>40</v>
      </c>
      <c r="S441">
        <v>0</v>
      </c>
      <c r="U441" t="s">
        <v>41</v>
      </c>
      <c r="V441" t="s">
        <v>42</v>
      </c>
      <c r="X441" t="s">
        <v>74</v>
      </c>
      <c r="Y441" t="b">
        <v>0</v>
      </c>
      <c r="Z441" t="b">
        <v>0</v>
      </c>
      <c r="AC441" s="1"/>
      <c r="AF441">
        <v>0</v>
      </c>
      <c r="AH441">
        <v>272</v>
      </c>
      <c r="AI441" s="2">
        <f>Table__192.168.3.138BEWLPPMetaData[[#This Row],[NetAmount]]-Table__192.168.3.138BEWLPPMetaData[[#This Row],[Paid]]</f>
        <v>12018</v>
      </c>
    </row>
    <row r="442" spans="1:35" hidden="1">
      <c r="A442" t="s">
        <v>9376</v>
      </c>
      <c r="B442" s="1">
        <v>41045</v>
      </c>
      <c r="C442" s="1">
        <v>41090</v>
      </c>
      <c r="D442" t="s">
        <v>8558</v>
      </c>
      <c r="E442">
        <v>74250</v>
      </c>
      <c r="F442">
        <v>11880</v>
      </c>
      <c r="G442">
        <v>0</v>
      </c>
      <c r="H442">
        <v>0</v>
      </c>
      <c r="I442">
        <v>223</v>
      </c>
      <c r="J442">
        <v>86130</v>
      </c>
      <c r="K442" t="s">
        <v>9377</v>
      </c>
      <c r="L442" s="1">
        <v>41045</v>
      </c>
      <c r="N442" t="s">
        <v>6694</v>
      </c>
      <c r="O442" t="s">
        <v>3507</v>
      </c>
      <c r="P442" t="s">
        <v>8559</v>
      </c>
      <c r="Q442" t="s">
        <v>39</v>
      </c>
      <c r="R442" t="s">
        <v>40</v>
      </c>
      <c r="S442">
        <v>0</v>
      </c>
      <c r="U442" t="s">
        <v>41</v>
      </c>
      <c r="V442" t="s">
        <v>42</v>
      </c>
      <c r="X442" t="s">
        <v>74</v>
      </c>
      <c r="Y442" t="b">
        <v>0</v>
      </c>
      <c r="Z442" t="b">
        <v>0</v>
      </c>
      <c r="AC442" s="1"/>
      <c r="AF442">
        <v>0</v>
      </c>
      <c r="AG442">
        <v>45</v>
      </c>
      <c r="AH442">
        <v>268</v>
      </c>
      <c r="AI442" s="2">
        <f>Table__192.168.3.138BEWLPPMetaData[[#This Row],[NetAmount]]-Table__192.168.3.138BEWLPPMetaData[[#This Row],[Paid]]</f>
        <v>86130</v>
      </c>
    </row>
    <row r="443" spans="1:35" hidden="1">
      <c r="A443" t="s">
        <v>9378</v>
      </c>
      <c r="B443" s="1">
        <v>41051</v>
      </c>
      <c r="C443" s="1">
        <v>41096</v>
      </c>
      <c r="D443" t="s">
        <v>8588</v>
      </c>
      <c r="E443">
        <v>161980</v>
      </c>
      <c r="F443">
        <v>25917</v>
      </c>
      <c r="G443">
        <v>0</v>
      </c>
      <c r="H443">
        <v>0</v>
      </c>
      <c r="I443">
        <v>217</v>
      </c>
      <c r="J443">
        <v>187897</v>
      </c>
      <c r="K443" t="s">
        <v>9379</v>
      </c>
      <c r="L443" s="1">
        <v>41051</v>
      </c>
      <c r="N443" t="s">
        <v>6694</v>
      </c>
      <c r="O443" t="s">
        <v>3507</v>
      </c>
      <c r="P443" t="s">
        <v>8589</v>
      </c>
      <c r="Q443" t="s">
        <v>39</v>
      </c>
      <c r="R443" t="s">
        <v>40</v>
      </c>
      <c r="S443">
        <v>0</v>
      </c>
      <c r="U443" t="s">
        <v>41</v>
      </c>
      <c r="V443" t="s">
        <v>42</v>
      </c>
      <c r="X443" t="s">
        <v>74</v>
      </c>
      <c r="Y443" t="b">
        <v>0</v>
      </c>
      <c r="Z443" t="b">
        <v>0</v>
      </c>
      <c r="AB443" t="s">
        <v>9380</v>
      </c>
      <c r="AC443" s="1">
        <v>41233</v>
      </c>
      <c r="AD443" t="s">
        <v>9381</v>
      </c>
      <c r="AE443" t="s">
        <v>9382</v>
      </c>
      <c r="AF443">
        <v>81285</v>
      </c>
      <c r="AG443">
        <v>45</v>
      </c>
      <c r="AH443">
        <v>262</v>
      </c>
      <c r="AI443" s="2">
        <f>Table__192.168.3.138BEWLPPMetaData[[#This Row],[NetAmount]]-Table__192.168.3.138BEWLPPMetaData[[#This Row],[Paid]]</f>
        <v>106612</v>
      </c>
    </row>
    <row r="444" spans="1:35" hidden="1">
      <c r="A444" t="s">
        <v>9383</v>
      </c>
      <c r="B444" s="1">
        <v>41051</v>
      </c>
      <c r="C444" s="1">
        <v>41096</v>
      </c>
      <c r="D444" t="s">
        <v>8588</v>
      </c>
      <c r="E444">
        <v>90367</v>
      </c>
      <c r="F444">
        <v>14459</v>
      </c>
      <c r="G444">
        <v>0</v>
      </c>
      <c r="H444">
        <v>0</v>
      </c>
      <c r="I444">
        <v>217</v>
      </c>
      <c r="J444">
        <v>104826</v>
      </c>
      <c r="K444" t="s">
        <v>9384</v>
      </c>
      <c r="L444" s="1">
        <v>41051</v>
      </c>
      <c r="N444" t="s">
        <v>6694</v>
      </c>
      <c r="O444" t="s">
        <v>3507</v>
      </c>
      <c r="P444" t="s">
        <v>8589</v>
      </c>
      <c r="Q444" t="s">
        <v>39</v>
      </c>
      <c r="R444" t="s">
        <v>40</v>
      </c>
      <c r="S444">
        <v>0</v>
      </c>
      <c r="U444" t="s">
        <v>41</v>
      </c>
      <c r="V444" t="s">
        <v>42</v>
      </c>
      <c r="X444" t="s">
        <v>74</v>
      </c>
      <c r="Y444" t="b">
        <v>0</v>
      </c>
      <c r="Z444" t="b">
        <v>0</v>
      </c>
      <c r="AB444" t="s">
        <v>9380</v>
      </c>
      <c r="AC444" s="1">
        <v>41233</v>
      </c>
      <c r="AE444" t="s">
        <v>9382</v>
      </c>
      <c r="AF444">
        <v>0</v>
      </c>
      <c r="AG444">
        <v>45</v>
      </c>
      <c r="AH444">
        <v>262</v>
      </c>
      <c r="AI444" s="2">
        <f>Table__192.168.3.138BEWLPPMetaData[[#This Row],[NetAmount]]-Table__192.168.3.138BEWLPPMetaData[[#This Row],[Paid]]</f>
        <v>104826</v>
      </c>
    </row>
    <row r="445" spans="1:35" hidden="1">
      <c r="A445" t="s">
        <v>9385</v>
      </c>
      <c r="B445" s="1">
        <v>41053</v>
      </c>
      <c r="C445" s="1">
        <v>41098</v>
      </c>
      <c r="D445" t="s">
        <v>8588</v>
      </c>
      <c r="E445">
        <v>15492</v>
      </c>
      <c r="F445">
        <v>2479</v>
      </c>
      <c r="G445">
        <v>0</v>
      </c>
      <c r="H445">
        <v>0</v>
      </c>
      <c r="I445">
        <v>215</v>
      </c>
      <c r="J445">
        <v>17971</v>
      </c>
      <c r="K445" t="s">
        <v>9386</v>
      </c>
      <c r="L445" s="1">
        <v>41053</v>
      </c>
      <c r="N445" t="s">
        <v>6694</v>
      </c>
      <c r="O445" t="s">
        <v>3507</v>
      </c>
      <c r="P445" t="s">
        <v>8589</v>
      </c>
      <c r="Q445" t="s">
        <v>39</v>
      </c>
      <c r="R445" t="s">
        <v>40</v>
      </c>
      <c r="S445">
        <v>0</v>
      </c>
      <c r="U445" t="s">
        <v>41</v>
      </c>
      <c r="V445" t="s">
        <v>42</v>
      </c>
      <c r="X445" t="s">
        <v>74</v>
      </c>
      <c r="Y445" t="b">
        <v>0</v>
      </c>
      <c r="Z445" t="b">
        <v>0</v>
      </c>
      <c r="AB445" t="s">
        <v>9380</v>
      </c>
      <c r="AC445" s="1">
        <v>41233</v>
      </c>
      <c r="AE445" t="s">
        <v>9382</v>
      </c>
      <c r="AF445">
        <v>0</v>
      </c>
      <c r="AG445">
        <v>45</v>
      </c>
      <c r="AH445">
        <v>260</v>
      </c>
      <c r="AI445" s="2">
        <f>Table__192.168.3.138BEWLPPMetaData[[#This Row],[NetAmount]]-Table__192.168.3.138BEWLPPMetaData[[#This Row],[Paid]]</f>
        <v>17971</v>
      </c>
    </row>
    <row r="446" spans="1:35" hidden="1">
      <c r="A446" t="s">
        <v>9387</v>
      </c>
      <c r="B446" s="1">
        <v>41058</v>
      </c>
      <c r="C446" s="1">
        <v>41103</v>
      </c>
      <c r="D446" t="s">
        <v>8588</v>
      </c>
      <c r="E446">
        <v>147686</v>
      </c>
      <c r="F446">
        <v>23630</v>
      </c>
      <c r="G446">
        <v>0</v>
      </c>
      <c r="H446">
        <v>0</v>
      </c>
      <c r="I446">
        <v>211</v>
      </c>
      <c r="J446">
        <v>171316</v>
      </c>
      <c r="K446" t="s">
        <v>9388</v>
      </c>
      <c r="L446" s="1">
        <v>41057</v>
      </c>
      <c r="N446" t="s">
        <v>6694</v>
      </c>
      <c r="O446" t="s">
        <v>3507</v>
      </c>
      <c r="P446" t="s">
        <v>8589</v>
      </c>
      <c r="Q446" t="s">
        <v>39</v>
      </c>
      <c r="R446" t="s">
        <v>40</v>
      </c>
      <c r="S446">
        <v>0</v>
      </c>
      <c r="U446" t="s">
        <v>41</v>
      </c>
      <c r="V446" t="s">
        <v>42</v>
      </c>
      <c r="X446" t="s">
        <v>74</v>
      </c>
      <c r="Y446" t="b">
        <v>0</v>
      </c>
      <c r="Z446" t="b">
        <v>0</v>
      </c>
      <c r="AB446" t="s">
        <v>9380</v>
      </c>
      <c r="AC446" s="1">
        <v>41233</v>
      </c>
      <c r="AE446" t="s">
        <v>9382</v>
      </c>
      <c r="AF446">
        <v>0</v>
      </c>
      <c r="AG446">
        <v>45</v>
      </c>
      <c r="AH446">
        <v>256</v>
      </c>
      <c r="AI446" s="2">
        <f>Table__192.168.3.138BEWLPPMetaData[[#This Row],[NetAmount]]-Table__192.168.3.138BEWLPPMetaData[[#This Row],[Paid]]</f>
        <v>171316</v>
      </c>
    </row>
    <row r="447" spans="1:35" hidden="1">
      <c r="A447" t="s">
        <v>9389</v>
      </c>
      <c r="B447" s="1">
        <v>41047</v>
      </c>
      <c r="C447" s="1">
        <v>41092</v>
      </c>
      <c r="D447" t="s">
        <v>9145</v>
      </c>
      <c r="E447">
        <v>17280</v>
      </c>
      <c r="F447">
        <v>0</v>
      </c>
      <c r="G447">
        <v>0</v>
      </c>
      <c r="H447">
        <v>0</v>
      </c>
      <c r="I447">
        <v>210</v>
      </c>
      <c r="J447">
        <v>17280</v>
      </c>
      <c r="K447" t="s">
        <v>9390</v>
      </c>
      <c r="L447" s="1">
        <v>41058</v>
      </c>
      <c r="N447" t="s">
        <v>6694</v>
      </c>
      <c r="O447" t="s">
        <v>3507</v>
      </c>
      <c r="P447" t="s">
        <v>362</v>
      </c>
      <c r="Q447" t="s">
        <v>39</v>
      </c>
      <c r="R447" t="s">
        <v>40</v>
      </c>
      <c r="S447">
        <v>0</v>
      </c>
      <c r="U447" t="s">
        <v>41</v>
      </c>
      <c r="V447" t="s">
        <v>42</v>
      </c>
      <c r="X447" t="s">
        <v>74</v>
      </c>
      <c r="Y447" t="b">
        <v>0</v>
      </c>
      <c r="Z447" t="b">
        <v>0</v>
      </c>
      <c r="AC447" s="1"/>
      <c r="AF447">
        <v>0</v>
      </c>
      <c r="AG447">
        <v>45</v>
      </c>
      <c r="AH447">
        <v>255</v>
      </c>
      <c r="AI447" s="2">
        <f>Table__192.168.3.138BEWLPPMetaData[[#This Row],[NetAmount]]-Table__192.168.3.138BEWLPPMetaData[[#This Row],[Paid]]</f>
        <v>17280</v>
      </c>
    </row>
    <row r="448" spans="1:35" hidden="1">
      <c r="A448" t="s">
        <v>9391</v>
      </c>
      <c r="B448" s="1">
        <v>41052</v>
      </c>
      <c r="C448" s="1">
        <v>41097</v>
      </c>
      <c r="D448" t="s">
        <v>9145</v>
      </c>
      <c r="E448">
        <v>19200</v>
      </c>
      <c r="F448">
        <v>0</v>
      </c>
      <c r="G448">
        <v>0</v>
      </c>
      <c r="H448">
        <v>0</v>
      </c>
      <c r="I448">
        <v>211</v>
      </c>
      <c r="J448">
        <v>19200</v>
      </c>
      <c r="K448" t="s">
        <v>9392</v>
      </c>
      <c r="L448" s="1">
        <v>41057</v>
      </c>
      <c r="N448" t="s">
        <v>6694</v>
      </c>
      <c r="O448" t="s">
        <v>3507</v>
      </c>
      <c r="P448" t="s">
        <v>362</v>
      </c>
      <c r="Q448" t="s">
        <v>39</v>
      </c>
      <c r="R448" t="s">
        <v>40</v>
      </c>
      <c r="S448">
        <v>0</v>
      </c>
      <c r="U448" t="s">
        <v>41</v>
      </c>
      <c r="V448" t="s">
        <v>42</v>
      </c>
      <c r="X448" t="s">
        <v>74</v>
      </c>
      <c r="Y448" t="b">
        <v>0</v>
      </c>
      <c r="Z448" t="b">
        <v>0</v>
      </c>
      <c r="AC448" s="1"/>
      <c r="AF448">
        <v>0</v>
      </c>
      <c r="AG448">
        <v>45</v>
      </c>
      <c r="AH448">
        <v>256</v>
      </c>
      <c r="AI448" s="2">
        <f>Table__192.168.3.138BEWLPPMetaData[[#This Row],[NetAmount]]-Table__192.168.3.138BEWLPPMetaData[[#This Row],[Paid]]</f>
        <v>19200</v>
      </c>
    </row>
    <row r="449" spans="1:35" hidden="1">
      <c r="A449" t="s">
        <v>9393</v>
      </c>
      <c r="B449" s="1">
        <v>41058</v>
      </c>
      <c r="C449" s="1">
        <v>41103</v>
      </c>
      <c r="D449" t="s">
        <v>9145</v>
      </c>
      <c r="E449">
        <v>28800</v>
      </c>
      <c r="F449">
        <v>0</v>
      </c>
      <c r="G449">
        <v>0</v>
      </c>
      <c r="H449">
        <v>0</v>
      </c>
      <c r="I449">
        <v>210</v>
      </c>
      <c r="J449">
        <v>28800</v>
      </c>
      <c r="K449" t="s">
        <v>9394</v>
      </c>
      <c r="L449" s="1">
        <v>41058</v>
      </c>
      <c r="N449" t="s">
        <v>6694</v>
      </c>
      <c r="O449" t="s">
        <v>3507</v>
      </c>
      <c r="P449" t="s">
        <v>362</v>
      </c>
      <c r="Q449" t="s">
        <v>39</v>
      </c>
      <c r="R449" t="s">
        <v>40</v>
      </c>
      <c r="S449">
        <v>0</v>
      </c>
      <c r="U449" t="s">
        <v>41</v>
      </c>
      <c r="V449" t="s">
        <v>42</v>
      </c>
      <c r="X449" t="s">
        <v>74</v>
      </c>
      <c r="Y449" t="b">
        <v>0</v>
      </c>
      <c r="Z449" t="b">
        <v>0</v>
      </c>
      <c r="AC449" s="1"/>
      <c r="AF449">
        <v>0</v>
      </c>
      <c r="AG449">
        <v>45</v>
      </c>
      <c r="AH449">
        <v>255</v>
      </c>
      <c r="AI449" s="2">
        <f>Table__192.168.3.138BEWLPPMetaData[[#This Row],[NetAmount]]-Table__192.168.3.138BEWLPPMetaData[[#This Row],[Paid]]</f>
        <v>28800</v>
      </c>
    </row>
    <row r="450" spans="1:35" hidden="1">
      <c r="A450" t="s">
        <v>9395</v>
      </c>
      <c r="B450" s="1">
        <v>41046</v>
      </c>
      <c r="C450" s="1">
        <v>41091</v>
      </c>
      <c r="D450" t="s">
        <v>8527</v>
      </c>
      <c r="E450">
        <v>126750</v>
      </c>
      <c r="F450">
        <v>20280</v>
      </c>
      <c r="G450">
        <v>0</v>
      </c>
      <c r="H450">
        <v>0</v>
      </c>
      <c r="I450">
        <v>222</v>
      </c>
      <c r="J450">
        <v>147030</v>
      </c>
      <c r="K450" t="s">
        <v>2054</v>
      </c>
      <c r="L450" s="1">
        <v>41046</v>
      </c>
      <c r="N450" t="s">
        <v>6694</v>
      </c>
      <c r="O450" t="s">
        <v>3507</v>
      </c>
      <c r="P450" t="s">
        <v>8528</v>
      </c>
      <c r="Q450" t="s">
        <v>39</v>
      </c>
      <c r="R450" t="s">
        <v>40</v>
      </c>
      <c r="S450">
        <v>0</v>
      </c>
      <c r="U450" t="s">
        <v>41</v>
      </c>
      <c r="V450" t="s">
        <v>42</v>
      </c>
      <c r="X450" t="s">
        <v>74</v>
      </c>
      <c r="Y450" t="b">
        <v>0</v>
      </c>
      <c r="Z450" t="b">
        <v>0</v>
      </c>
      <c r="AC450" s="1"/>
      <c r="AF450">
        <v>0</v>
      </c>
      <c r="AG450">
        <v>45</v>
      </c>
      <c r="AH450">
        <v>267</v>
      </c>
      <c r="AI450" s="2">
        <f>Table__192.168.3.138BEWLPPMetaData[[#This Row],[NetAmount]]-Table__192.168.3.138BEWLPPMetaData[[#This Row],[Paid]]</f>
        <v>147030</v>
      </c>
    </row>
    <row r="451" spans="1:35" hidden="1">
      <c r="A451" t="s">
        <v>9396</v>
      </c>
      <c r="B451" s="1">
        <v>41032</v>
      </c>
      <c r="C451" s="1">
        <v>41077</v>
      </c>
      <c r="D451" t="s">
        <v>8630</v>
      </c>
      <c r="E451">
        <v>29760</v>
      </c>
      <c r="F451">
        <v>4762</v>
      </c>
      <c r="G451">
        <v>0</v>
      </c>
      <c r="H451">
        <v>0</v>
      </c>
      <c r="I451">
        <v>230</v>
      </c>
      <c r="J451">
        <v>34522</v>
      </c>
      <c r="K451" t="s">
        <v>7274</v>
      </c>
      <c r="L451" s="1">
        <v>41038</v>
      </c>
      <c r="M451" t="s">
        <v>9397</v>
      </c>
      <c r="N451" t="s">
        <v>6694</v>
      </c>
      <c r="O451" t="s">
        <v>3507</v>
      </c>
      <c r="P451" t="s">
        <v>363</v>
      </c>
      <c r="Q451" t="s">
        <v>39</v>
      </c>
      <c r="R451" t="s">
        <v>40</v>
      </c>
      <c r="S451">
        <v>0</v>
      </c>
      <c r="U451" t="s">
        <v>41</v>
      </c>
      <c r="V451" t="s">
        <v>42</v>
      </c>
      <c r="W451" t="s">
        <v>9398</v>
      </c>
      <c r="X451" t="s">
        <v>74</v>
      </c>
      <c r="Y451" t="b">
        <v>0</v>
      </c>
      <c r="Z451" t="b">
        <v>0</v>
      </c>
      <c r="AA451" t="b">
        <v>0</v>
      </c>
      <c r="AC451" s="1"/>
      <c r="AF451">
        <v>0</v>
      </c>
      <c r="AG451">
        <v>45</v>
      </c>
      <c r="AH451">
        <v>275</v>
      </c>
      <c r="AI451" s="2">
        <f>Table__192.168.3.138BEWLPPMetaData[[#This Row],[NetAmount]]-Table__192.168.3.138BEWLPPMetaData[[#This Row],[Paid]]</f>
        <v>34522</v>
      </c>
    </row>
    <row r="452" spans="1:35" hidden="1">
      <c r="A452" t="s">
        <v>9399</v>
      </c>
      <c r="B452" s="1">
        <v>41060</v>
      </c>
      <c r="C452" s="1">
        <v>41105</v>
      </c>
      <c r="D452" t="s">
        <v>8524</v>
      </c>
      <c r="E452">
        <v>947333</v>
      </c>
      <c r="F452">
        <v>151573</v>
      </c>
      <c r="G452">
        <v>0</v>
      </c>
      <c r="H452">
        <v>0</v>
      </c>
      <c r="I452">
        <v>211</v>
      </c>
      <c r="J452">
        <v>1098906</v>
      </c>
      <c r="K452" t="s">
        <v>9400</v>
      </c>
      <c r="L452" s="1">
        <v>41057</v>
      </c>
      <c r="N452" t="s">
        <v>6694</v>
      </c>
      <c r="O452" t="s">
        <v>3507</v>
      </c>
      <c r="P452" t="s">
        <v>8525</v>
      </c>
      <c r="Q452" t="s">
        <v>39</v>
      </c>
      <c r="R452" t="s">
        <v>40</v>
      </c>
      <c r="S452">
        <v>0</v>
      </c>
      <c r="U452" t="s">
        <v>41</v>
      </c>
      <c r="V452" t="s">
        <v>42</v>
      </c>
      <c r="X452" t="s">
        <v>74</v>
      </c>
      <c r="Y452" t="b">
        <v>0</v>
      </c>
      <c r="Z452" t="b">
        <v>0</v>
      </c>
      <c r="AC452" s="1"/>
      <c r="AF452">
        <v>0</v>
      </c>
      <c r="AG452">
        <v>45</v>
      </c>
      <c r="AH452">
        <v>256</v>
      </c>
      <c r="AI452" s="2">
        <f>Table__192.168.3.138BEWLPPMetaData[[#This Row],[NetAmount]]-Table__192.168.3.138BEWLPPMetaData[[#This Row],[Paid]]</f>
        <v>1098906</v>
      </c>
    </row>
    <row r="453" spans="1:35" hidden="1">
      <c r="A453" t="s">
        <v>9401</v>
      </c>
      <c r="B453" s="1">
        <v>41053</v>
      </c>
      <c r="C453" s="1">
        <v>41098</v>
      </c>
      <c r="D453" t="s">
        <v>8547</v>
      </c>
      <c r="E453">
        <v>15200</v>
      </c>
      <c r="F453">
        <v>2432</v>
      </c>
      <c r="G453">
        <v>0</v>
      </c>
      <c r="H453">
        <v>0</v>
      </c>
      <c r="I453">
        <v>215</v>
      </c>
      <c r="J453">
        <v>17632</v>
      </c>
      <c r="K453" t="s">
        <v>9402</v>
      </c>
      <c r="L453" s="1">
        <v>41053</v>
      </c>
      <c r="N453" t="s">
        <v>6694</v>
      </c>
      <c r="O453" t="s">
        <v>3507</v>
      </c>
      <c r="P453" t="s">
        <v>8548</v>
      </c>
      <c r="Q453" t="s">
        <v>39</v>
      </c>
      <c r="R453" t="s">
        <v>40</v>
      </c>
      <c r="S453">
        <v>0</v>
      </c>
      <c r="U453" t="s">
        <v>41</v>
      </c>
      <c r="V453" t="s">
        <v>42</v>
      </c>
      <c r="X453" t="s">
        <v>74</v>
      </c>
      <c r="Y453" t="b">
        <v>0</v>
      </c>
      <c r="Z453" t="b">
        <v>0</v>
      </c>
      <c r="AC453" s="1"/>
      <c r="AF453">
        <v>0</v>
      </c>
      <c r="AG453">
        <v>45</v>
      </c>
      <c r="AH453">
        <v>260</v>
      </c>
      <c r="AI453" s="2">
        <f>Table__192.168.3.138BEWLPPMetaData[[#This Row],[NetAmount]]-Table__192.168.3.138BEWLPPMetaData[[#This Row],[Paid]]</f>
        <v>17632</v>
      </c>
    </row>
    <row r="454" spans="1:35" hidden="1">
      <c r="A454" t="s">
        <v>9403</v>
      </c>
      <c r="B454" s="1">
        <v>41059</v>
      </c>
      <c r="C454" s="1">
        <v>41104</v>
      </c>
      <c r="D454" t="s">
        <v>8577</v>
      </c>
      <c r="E454">
        <v>9500</v>
      </c>
      <c r="F454">
        <v>0</v>
      </c>
      <c r="G454">
        <v>0</v>
      </c>
      <c r="H454">
        <v>0</v>
      </c>
      <c r="I454">
        <v>209</v>
      </c>
      <c r="J454">
        <v>9500</v>
      </c>
      <c r="K454" t="s">
        <v>9404</v>
      </c>
      <c r="L454" s="1">
        <v>41059</v>
      </c>
      <c r="M454" t="s">
        <v>9405</v>
      </c>
      <c r="N454" t="s">
        <v>6694</v>
      </c>
      <c r="O454" t="s">
        <v>3507</v>
      </c>
      <c r="P454" t="s">
        <v>8579</v>
      </c>
      <c r="Q454" t="s">
        <v>39</v>
      </c>
      <c r="R454" t="s">
        <v>40</v>
      </c>
      <c r="S454">
        <v>0</v>
      </c>
      <c r="U454" t="s">
        <v>41</v>
      </c>
      <c r="V454" t="s">
        <v>42</v>
      </c>
      <c r="W454" t="s">
        <v>8580</v>
      </c>
      <c r="X454" t="s">
        <v>74</v>
      </c>
      <c r="Y454" t="b">
        <v>0</v>
      </c>
      <c r="Z454" t="b">
        <v>0</v>
      </c>
      <c r="AA454" t="b">
        <v>0</v>
      </c>
      <c r="AC454" s="1"/>
      <c r="AF454">
        <v>0</v>
      </c>
      <c r="AG454">
        <v>45</v>
      </c>
      <c r="AH454">
        <v>254</v>
      </c>
      <c r="AI454" s="2">
        <f>Table__192.168.3.138BEWLPPMetaData[[#This Row],[NetAmount]]-Table__192.168.3.138BEWLPPMetaData[[#This Row],[Paid]]</f>
        <v>9500</v>
      </c>
    </row>
    <row r="455" spans="1:35" hidden="1">
      <c r="A455" t="s">
        <v>9406</v>
      </c>
      <c r="B455" s="1">
        <v>41037</v>
      </c>
      <c r="C455" s="1">
        <v>41082</v>
      </c>
      <c r="D455" t="s">
        <v>8527</v>
      </c>
      <c r="E455">
        <v>203700</v>
      </c>
      <c r="F455">
        <v>32592</v>
      </c>
      <c r="G455">
        <v>0</v>
      </c>
      <c r="H455">
        <v>0</v>
      </c>
      <c r="I455">
        <v>237</v>
      </c>
      <c r="J455">
        <v>236292</v>
      </c>
      <c r="K455" t="s">
        <v>2041</v>
      </c>
      <c r="L455" s="1">
        <v>41031</v>
      </c>
      <c r="N455" t="s">
        <v>6694</v>
      </c>
      <c r="O455" t="s">
        <v>3507</v>
      </c>
      <c r="P455" t="s">
        <v>8528</v>
      </c>
      <c r="Q455" t="s">
        <v>39</v>
      </c>
      <c r="R455" t="s">
        <v>40</v>
      </c>
      <c r="S455">
        <v>0</v>
      </c>
      <c r="U455" t="s">
        <v>41</v>
      </c>
      <c r="V455" t="s">
        <v>42</v>
      </c>
      <c r="X455" t="s">
        <v>74</v>
      </c>
      <c r="Y455" t="b">
        <v>0</v>
      </c>
      <c r="Z455" t="b">
        <v>0</v>
      </c>
      <c r="AC455" s="1"/>
      <c r="AF455">
        <v>0</v>
      </c>
      <c r="AG455">
        <v>45</v>
      </c>
      <c r="AH455">
        <v>282</v>
      </c>
      <c r="AI455" s="2">
        <f>Table__192.168.3.138BEWLPPMetaData[[#This Row],[NetAmount]]-Table__192.168.3.138BEWLPPMetaData[[#This Row],[Paid]]</f>
        <v>236292</v>
      </c>
    </row>
    <row r="456" spans="1:35" hidden="1">
      <c r="A456" t="s">
        <v>9407</v>
      </c>
      <c r="B456" s="1">
        <v>41046</v>
      </c>
      <c r="C456" s="1">
        <v>41091</v>
      </c>
      <c r="D456" t="s">
        <v>8558</v>
      </c>
      <c r="E456">
        <v>49500</v>
      </c>
      <c r="F456">
        <v>7920</v>
      </c>
      <c r="G456">
        <v>0</v>
      </c>
      <c r="H456">
        <v>0</v>
      </c>
      <c r="I456">
        <v>208</v>
      </c>
      <c r="J456">
        <v>57420</v>
      </c>
      <c r="K456" t="s">
        <v>9408</v>
      </c>
      <c r="L456" s="1">
        <v>41060</v>
      </c>
      <c r="N456" t="s">
        <v>6694</v>
      </c>
      <c r="O456" t="s">
        <v>3507</v>
      </c>
      <c r="P456" t="s">
        <v>8559</v>
      </c>
      <c r="Q456" t="s">
        <v>39</v>
      </c>
      <c r="R456" t="s">
        <v>40</v>
      </c>
      <c r="S456">
        <v>0</v>
      </c>
      <c r="U456" t="s">
        <v>41</v>
      </c>
      <c r="V456" t="s">
        <v>42</v>
      </c>
      <c r="X456" t="s">
        <v>74</v>
      </c>
      <c r="Y456" t="b">
        <v>0</v>
      </c>
      <c r="Z456" t="b">
        <v>0</v>
      </c>
      <c r="AC456" s="1"/>
      <c r="AF456">
        <v>0</v>
      </c>
      <c r="AG456">
        <v>45</v>
      </c>
      <c r="AH456">
        <v>253</v>
      </c>
      <c r="AI456" s="2">
        <f>Table__192.168.3.138BEWLPPMetaData[[#This Row],[NetAmount]]-Table__192.168.3.138BEWLPPMetaData[[#This Row],[Paid]]</f>
        <v>57420</v>
      </c>
    </row>
    <row r="457" spans="1:35" hidden="1">
      <c r="A457" t="s">
        <v>9409</v>
      </c>
      <c r="B457" s="1">
        <v>41071</v>
      </c>
      <c r="C457" s="1">
        <v>41116</v>
      </c>
      <c r="D457" t="s">
        <v>5529</v>
      </c>
      <c r="E457">
        <v>820292</v>
      </c>
      <c r="F457">
        <v>131247</v>
      </c>
      <c r="G457">
        <v>0</v>
      </c>
      <c r="H457">
        <v>0</v>
      </c>
      <c r="I457">
        <v>204</v>
      </c>
      <c r="J457">
        <v>951539</v>
      </c>
      <c r="K457" t="s">
        <v>9410</v>
      </c>
      <c r="L457" s="1">
        <v>41064</v>
      </c>
      <c r="N457" t="s">
        <v>6694</v>
      </c>
      <c r="O457" t="s">
        <v>3507</v>
      </c>
      <c r="P457" t="s">
        <v>8614</v>
      </c>
      <c r="Q457" t="s">
        <v>39</v>
      </c>
      <c r="R457" t="s">
        <v>40</v>
      </c>
      <c r="S457">
        <v>0</v>
      </c>
      <c r="U457" t="s">
        <v>41</v>
      </c>
      <c r="V457" t="s">
        <v>42</v>
      </c>
      <c r="X457" t="s">
        <v>74</v>
      </c>
      <c r="Y457" t="b">
        <v>0</v>
      </c>
      <c r="Z457" t="b">
        <v>0</v>
      </c>
      <c r="AB457" t="s">
        <v>9411</v>
      </c>
      <c r="AC457" s="1">
        <v>41305</v>
      </c>
      <c r="AD457" t="s">
        <v>9412</v>
      </c>
      <c r="AE457" t="s">
        <v>9413</v>
      </c>
      <c r="AF457">
        <v>500000</v>
      </c>
      <c r="AG457">
        <v>45</v>
      </c>
      <c r="AH457">
        <v>249</v>
      </c>
      <c r="AI457" s="2">
        <f>Table__192.168.3.138BEWLPPMetaData[[#This Row],[NetAmount]]-Table__192.168.3.138BEWLPPMetaData[[#This Row],[Paid]]</f>
        <v>451539</v>
      </c>
    </row>
    <row r="458" spans="1:35" hidden="1">
      <c r="A458" t="s">
        <v>9414</v>
      </c>
      <c r="B458" s="1">
        <v>41064</v>
      </c>
      <c r="C458" s="1">
        <v>41109</v>
      </c>
      <c r="D458" t="s">
        <v>8524</v>
      </c>
      <c r="E458">
        <v>19699</v>
      </c>
      <c r="F458">
        <v>3152</v>
      </c>
      <c r="G458">
        <v>0</v>
      </c>
      <c r="H458">
        <v>0</v>
      </c>
      <c r="I458">
        <v>209</v>
      </c>
      <c r="J458">
        <v>22851</v>
      </c>
      <c r="K458" t="s">
        <v>9415</v>
      </c>
      <c r="L458" s="1">
        <v>41059</v>
      </c>
      <c r="N458" t="s">
        <v>6694</v>
      </c>
      <c r="O458" t="s">
        <v>3507</v>
      </c>
      <c r="P458" t="s">
        <v>8525</v>
      </c>
      <c r="Q458" t="s">
        <v>39</v>
      </c>
      <c r="R458" t="s">
        <v>40</v>
      </c>
      <c r="S458">
        <v>0</v>
      </c>
      <c r="U458" t="s">
        <v>41</v>
      </c>
      <c r="V458" t="s">
        <v>42</v>
      </c>
      <c r="X458" t="s">
        <v>74</v>
      </c>
      <c r="Y458" t="b">
        <v>0</v>
      </c>
      <c r="Z458" t="b">
        <v>0</v>
      </c>
      <c r="AC458" s="1"/>
      <c r="AF458">
        <v>0</v>
      </c>
      <c r="AG458">
        <v>45</v>
      </c>
      <c r="AH458">
        <v>254</v>
      </c>
      <c r="AI458" s="2">
        <f>Table__192.168.3.138BEWLPPMetaData[[#This Row],[NetAmount]]-Table__192.168.3.138BEWLPPMetaData[[#This Row],[Paid]]</f>
        <v>22851</v>
      </c>
    </row>
    <row r="459" spans="1:35" hidden="1">
      <c r="A459" t="s">
        <v>9416</v>
      </c>
      <c r="B459" s="1">
        <v>41061</v>
      </c>
      <c r="C459" s="1">
        <v>41106</v>
      </c>
      <c r="D459" t="s">
        <v>8558</v>
      </c>
      <c r="E459">
        <v>99000</v>
      </c>
      <c r="F459">
        <v>15840</v>
      </c>
      <c r="G459">
        <v>0</v>
      </c>
      <c r="H459">
        <v>0</v>
      </c>
      <c r="I459">
        <v>207</v>
      </c>
      <c r="J459">
        <v>114840</v>
      </c>
      <c r="K459" t="s">
        <v>9417</v>
      </c>
      <c r="L459" s="1">
        <v>41061</v>
      </c>
      <c r="N459" t="s">
        <v>6694</v>
      </c>
      <c r="O459" t="s">
        <v>3507</v>
      </c>
      <c r="P459" t="s">
        <v>8559</v>
      </c>
      <c r="Q459" t="s">
        <v>39</v>
      </c>
      <c r="R459" t="s">
        <v>40</v>
      </c>
      <c r="S459">
        <v>0</v>
      </c>
      <c r="U459" t="s">
        <v>41</v>
      </c>
      <c r="V459" t="s">
        <v>42</v>
      </c>
      <c r="X459" t="s">
        <v>74</v>
      </c>
      <c r="Y459" t="b">
        <v>0</v>
      </c>
      <c r="Z459" t="b">
        <v>0</v>
      </c>
      <c r="AC459" s="1"/>
      <c r="AF459">
        <v>0</v>
      </c>
      <c r="AG459">
        <v>45</v>
      </c>
      <c r="AH459">
        <v>252</v>
      </c>
      <c r="AI459" s="2">
        <f>Table__192.168.3.138BEWLPPMetaData[[#This Row],[NetAmount]]-Table__192.168.3.138BEWLPPMetaData[[#This Row],[Paid]]</f>
        <v>114840</v>
      </c>
    </row>
    <row r="460" spans="1:35" hidden="1">
      <c r="A460" t="s">
        <v>9418</v>
      </c>
      <c r="B460" s="1">
        <v>41067</v>
      </c>
      <c r="C460" s="1">
        <v>41112</v>
      </c>
      <c r="D460" t="s">
        <v>8534</v>
      </c>
      <c r="E460">
        <v>29000</v>
      </c>
      <c r="F460">
        <v>4640</v>
      </c>
      <c r="G460">
        <v>0</v>
      </c>
      <c r="H460">
        <v>0</v>
      </c>
      <c r="I460">
        <v>201</v>
      </c>
      <c r="J460">
        <v>33640</v>
      </c>
      <c r="K460" t="s">
        <v>9419</v>
      </c>
      <c r="L460" s="1">
        <v>41067</v>
      </c>
      <c r="N460" t="s">
        <v>6694</v>
      </c>
      <c r="O460" t="s">
        <v>3507</v>
      </c>
      <c r="P460" t="s">
        <v>8535</v>
      </c>
      <c r="Q460" t="s">
        <v>39</v>
      </c>
      <c r="R460" t="s">
        <v>40</v>
      </c>
      <c r="S460">
        <v>0</v>
      </c>
      <c r="U460" t="s">
        <v>41</v>
      </c>
      <c r="V460" t="s">
        <v>42</v>
      </c>
      <c r="X460" t="s">
        <v>74</v>
      </c>
      <c r="Y460" t="b">
        <v>0</v>
      </c>
      <c r="Z460" t="b">
        <v>0</v>
      </c>
      <c r="AC460" s="1"/>
      <c r="AF460">
        <v>0</v>
      </c>
      <c r="AG460">
        <v>45</v>
      </c>
      <c r="AH460">
        <v>246</v>
      </c>
      <c r="AI460" s="2">
        <f>Table__192.168.3.138BEWLPPMetaData[[#This Row],[NetAmount]]-Table__192.168.3.138BEWLPPMetaData[[#This Row],[Paid]]</f>
        <v>33640</v>
      </c>
    </row>
    <row r="461" spans="1:35" hidden="1">
      <c r="A461" t="s">
        <v>9420</v>
      </c>
      <c r="B461" s="1">
        <v>41069</v>
      </c>
      <c r="C461" s="1">
        <v>41114</v>
      </c>
      <c r="D461" t="s">
        <v>8534</v>
      </c>
      <c r="E461">
        <v>21750</v>
      </c>
      <c r="F461">
        <v>3480</v>
      </c>
      <c r="G461">
        <v>0</v>
      </c>
      <c r="H461">
        <v>0</v>
      </c>
      <c r="I461">
        <v>199</v>
      </c>
      <c r="J461">
        <v>25230</v>
      </c>
      <c r="K461" t="s">
        <v>9421</v>
      </c>
      <c r="L461" s="1">
        <v>41069</v>
      </c>
      <c r="N461" t="s">
        <v>6694</v>
      </c>
      <c r="O461" t="s">
        <v>3507</v>
      </c>
      <c r="P461" t="s">
        <v>8535</v>
      </c>
      <c r="Q461" t="s">
        <v>39</v>
      </c>
      <c r="R461" t="s">
        <v>40</v>
      </c>
      <c r="S461">
        <v>0</v>
      </c>
      <c r="U461" t="s">
        <v>41</v>
      </c>
      <c r="V461" t="s">
        <v>42</v>
      </c>
      <c r="X461" t="s">
        <v>74</v>
      </c>
      <c r="Y461" t="b">
        <v>0</v>
      </c>
      <c r="Z461" t="b">
        <v>0</v>
      </c>
      <c r="AC461" s="1"/>
      <c r="AF461">
        <v>0</v>
      </c>
      <c r="AG461">
        <v>45</v>
      </c>
      <c r="AH461">
        <v>244</v>
      </c>
      <c r="AI461" s="2">
        <f>Table__192.168.3.138BEWLPPMetaData[[#This Row],[NetAmount]]-Table__192.168.3.138BEWLPPMetaData[[#This Row],[Paid]]</f>
        <v>25230</v>
      </c>
    </row>
    <row r="462" spans="1:35" hidden="1">
      <c r="A462" t="s">
        <v>9422</v>
      </c>
      <c r="B462" s="1">
        <v>41068</v>
      </c>
      <c r="C462" s="1">
        <v>41113</v>
      </c>
      <c r="D462" t="s">
        <v>8534</v>
      </c>
      <c r="E462">
        <v>5225</v>
      </c>
      <c r="F462">
        <v>836</v>
      </c>
      <c r="G462">
        <v>0</v>
      </c>
      <c r="H462">
        <v>0</v>
      </c>
      <c r="I462">
        <v>200</v>
      </c>
      <c r="J462">
        <v>6061</v>
      </c>
      <c r="K462" t="s">
        <v>9423</v>
      </c>
      <c r="L462" s="1">
        <v>41068</v>
      </c>
      <c r="N462" t="s">
        <v>6694</v>
      </c>
      <c r="O462" t="s">
        <v>3507</v>
      </c>
      <c r="P462" t="s">
        <v>8535</v>
      </c>
      <c r="Q462" t="s">
        <v>39</v>
      </c>
      <c r="R462" t="s">
        <v>40</v>
      </c>
      <c r="S462">
        <v>0</v>
      </c>
      <c r="U462" t="s">
        <v>41</v>
      </c>
      <c r="V462" t="s">
        <v>42</v>
      </c>
      <c r="X462" t="s">
        <v>74</v>
      </c>
      <c r="Y462" t="b">
        <v>0</v>
      </c>
      <c r="Z462" t="b">
        <v>0</v>
      </c>
      <c r="AC462" s="1"/>
      <c r="AF462">
        <v>0</v>
      </c>
      <c r="AG462">
        <v>45</v>
      </c>
      <c r="AH462">
        <v>245</v>
      </c>
      <c r="AI462" s="2">
        <f>Table__192.168.3.138BEWLPPMetaData[[#This Row],[NetAmount]]-Table__192.168.3.138BEWLPPMetaData[[#This Row],[Paid]]</f>
        <v>6061</v>
      </c>
    </row>
    <row r="463" spans="1:35" hidden="1">
      <c r="A463" t="s">
        <v>9424</v>
      </c>
      <c r="B463" s="1">
        <v>41073</v>
      </c>
      <c r="C463" s="1">
        <v>41118</v>
      </c>
      <c r="D463" t="s">
        <v>8534</v>
      </c>
      <c r="E463">
        <v>29000</v>
      </c>
      <c r="F463">
        <v>4640</v>
      </c>
      <c r="G463">
        <v>0</v>
      </c>
      <c r="H463">
        <v>0</v>
      </c>
      <c r="I463">
        <v>195</v>
      </c>
      <c r="J463">
        <v>33640</v>
      </c>
      <c r="K463" t="s">
        <v>9425</v>
      </c>
      <c r="L463" s="1">
        <v>41073</v>
      </c>
      <c r="N463" t="s">
        <v>6694</v>
      </c>
      <c r="O463" t="s">
        <v>3507</v>
      </c>
      <c r="P463" t="s">
        <v>8535</v>
      </c>
      <c r="Q463" t="s">
        <v>39</v>
      </c>
      <c r="R463" t="s">
        <v>40</v>
      </c>
      <c r="S463">
        <v>0</v>
      </c>
      <c r="U463" t="s">
        <v>41</v>
      </c>
      <c r="V463" t="s">
        <v>42</v>
      </c>
      <c r="X463" t="s">
        <v>74</v>
      </c>
      <c r="Y463" t="b">
        <v>0</v>
      </c>
      <c r="Z463" t="b">
        <v>0</v>
      </c>
      <c r="AC463" s="1"/>
      <c r="AF463">
        <v>0</v>
      </c>
      <c r="AG463">
        <v>45</v>
      </c>
      <c r="AH463">
        <v>240</v>
      </c>
      <c r="AI463" s="2">
        <f>Table__192.168.3.138BEWLPPMetaData[[#This Row],[NetAmount]]-Table__192.168.3.138BEWLPPMetaData[[#This Row],[Paid]]</f>
        <v>33640</v>
      </c>
    </row>
    <row r="464" spans="1:35" hidden="1">
      <c r="A464" t="s">
        <v>9426</v>
      </c>
      <c r="B464" s="1">
        <v>41078</v>
      </c>
      <c r="C464" s="1">
        <v>41123</v>
      </c>
      <c r="D464" t="s">
        <v>8534</v>
      </c>
      <c r="E464">
        <v>34800</v>
      </c>
      <c r="F464">
        <v>5568</v>
      </c>
      <c r="G464">
        <v>0</v>
      </c>
      <c r="H464">
        <v>0</v>
      </c>
      <c r="I464">
        <v>192</v>
      </c>
      <c r="J464">
        <v>40368</v>
      </c>
      <c r="K464" t="s">
        <v>9427</v>
      </c>
      <c r="L464" s="1">
        <v>41076</v>
      </c>
      <c r="N464" t="s">
        <v>6694</v>
      </c>
      <c r="O464" t="s">
        <v>3507</v>
      </c>
      <c r="P464" t="s">
        <v>8535</v>
      </c>
      <c r="Q464" t="s">
        <v>39</v>
      </c>
      <c r="R464" t="s">
        <v>40</v>
      </c>
      <c r="S464">
        <v>0</v>
      </c>
      <c r="U464" t="s">
        <v>41</v>
      </c>
      <c r="V464" t="s">
        <v>42</v>
      </c>
      <c r="X464" t="s">
        <v>74</v>
      </c>
      <c r="Y464" t="b">
        <v>0</v>
      </c>
      <c r="Z464" t="b">
        <v>0</v>
      </c>
      <c r="AC464" s="1"/>
      <c r="AF464">
        <v>0</v>
      </c>
      <c r="AG464">
        <v>45</v>
      </c>
      <c r="AH464">
        <v>237</v>
      </c>
      <c r="AI464" s="2">
        <f>Table__192.168.3.138BEWLPPMetaData[[#This Row],[NetAmount]]-Table__192.168.3.138BEWLPPMetaData[[#This Row],[Paid]]</f>
        <v>40368</v>
      </c>
    </row>
    <row r="465" spans="1:35" hidden="1">
      <c r="A465" t="s">
        <v>9428</v>
      </c>
      <c r="B465" s="1">
        <v>41078</v>
      </c>
      <c r="C465" s="1">
        <v>41123</v>
      </c>
      <c r="D465" t="s">
        <v>8534</v>
      </c>
      <c r="E465">
        <v>37700</v>
      </c>
      <c r="F465">
        <v>6032</v>
      </c>
      <c r="G465">
        <v>0</v>
      </c>
      <c r="H465">
        <v>0</v>
      </c>
      <c r="I465">
        <v>190</v>
      </c>
      <c r="J465">
        <v>43732</v>
      </c>
      <c r="K465" t="s">
        <v>9429</v>
      </c>
      <c r="L465" s="1">
        <v>41078</v>
      </c>
      <c r="N465" t="s">
        <v>6694</v>
      </c>
      <c r="O465" t="s">
        <v>3507</v>
      </c>
      <c r="P465" t="s">
        <v>8535</v>
      </c>
      <c r="Q465" t="s">
        <v>39</v>
      </c>
      <c r="R465" t="s">
        <v>40</v>
      </c>
      <c r="S465">
        <v>0</v>
      </c>
      <c r="U465" t="s">
        <v>41</v>
      </c>
      <c r="V465" t="s">
        <v>42</v>
      </c>
      <c r="X465" t="s">
        <v>74</v>
      </c>
      <c r="Y465" t="b">
        <v>0</v>
      </c>
      <c r="Z465" t="b">
        <v>0</v>
      </c>
      <c r="AC465" s="1"/>
      <c r="AF465">
        <v>0</v>
      </c>
      <c r="AG465">
        <v>45</v>
      </c>
      <c r="AH465">
        <v>235</v>
      </c>
      <c r="AI465" s="2">
        <f>Table__192.168.3.138BEWLPPMetaData[[#This Row],[NetAmount]]-Table__192.168.3.138BEWLPPMetaData[[#This Row],[Paid]]</f>
        <v>43732</v>
      </c>
    </row>
    <row r="466" spans="1:35" hidden="1">
      <c r="A466" t="s">
        <v>9430</v>
      </c>
      <c r="B466" s="1">
        <v>41081</v>
      </c>
      <c r="C466" s="1">
        <v>41126</v>
      </c>
      <c r="D466" t="s">
        <v>8574</v>
      </c>
      <c r="E466">
        <v>98272</v>
      </c>
      <c r="F466">
        <v>15724</v>
      </c>
      <c r="G466">
        <v>0</v>
      </c>
      <c r="H466">
        <v>0</v>
      </c>
      <c r="I466">
        <v>194</v>
      </c>
      <c r="J466">
        <v>113996</v>
      </c>
      <c r="K466" t="s">
        <v>9431</v>
      </c>
      <c r="L466" s="1">
        <v>41074</v>
      </c>
      <c r="N466" t="s">
        <v>6694</v>
      </c>
      <c r="O466" t="s">
        <v>3507</v>
      </c>
      <c r="P466" t="s">
        <v>344</v>
      </c>
      <c r="Q466" t="s">
        <v>39</v>
      </c>
      <c r="R466" t="s">
        <v>40</v>
      </c>
      <c r="S466">
        <v>0</v>
      </c>
      <c r="U466" t="s">
        <v>41</v>
      </c>
      <c r="V466" t="s">
        <v>42</v>
      </c>
      <c r="X466" t="s">
        <v>74</v>
      </c>
      <c r="Y466" t="b">
        <v>0</v>
      </c>
      <c r="Z466" t="b">
        <v>0</v>
      </c>
      <c r="AC466" s="1"/>
      <c r="AF466">
        <v>0</v>
      </c>
      <c r="AG466">
        <v>45</v>
      </c>
      <c r="AH466">
        <v>239</v>
      </c>
      <c r="AI466" s="2">
        <f>Table__192.168.3.138BEWLPPMetaData[[#This Row],[NetAmount]]-Table__192.168.3.138BEWLPPMetaData[[#This Row],[Paid]]</f>
        <v>113996</v>
      </c>
    </row>
    <row r="467" spans="1:35" hidden="1">
      <c r="A467" t="s">
        <v>9432</v>
      </c>
      <c r="B467" s="1">
        <v>41076</v>
      </c>
      <c r="C467" s="1">
        <v>41121</v>
      </c>
      <c r="D467" t="s">
        <v>8524</v>
      </c>
      <c r="E467">
        <v>757320</v>
      </c>
      <c r="F467">
        <v>121171</v>
      </c>
      <c r="G467">
        <v>0</v>
      </c>
      <c r="H467">
        <v>0</v>
      </c>
      <c r="I467">
        <v>197</v>
      </c>
      <c r="J467">
        <v>878491</v>
      </c>
      <c r="K467" t="s">
        <v>9433</v>
      </c>
      <c r="L467" s="1">
        <v>41071</v>
      </c>
      <c r="N467" t="s">
        <v>6694</v>
      </c>
      <c r="O467" t="s">
        <v>3507</v>
      </c>
      <c r="P467" t="s">
        <v>8525</v>
      </c>
      <c r="Q467" t="s">
        <v>39</v>
      </c>
      <c r="R467" t="s">
        <v>40</v>
      </c>
      <c r="S467">
        <v>0</v>
      </c>
      <c r="U467" t="s">
        <v>41</v>
      </c>
      <c r="V467" t="s">
        <v>42</v>
      </c>
      <c r="X467" t="s">
        <v>74</v>
      </c>
      <c r="Y467" t="b">
        <v>0</v>
      </c>
      <c r="Z467" t="b">
        <v>0</v>
      </c>
      <c r="AC467" s="1"/>
      <c r="AF467">
        <v>0</v>
      </c>
      <c r="AG467">
        <v>45</v>
      </c>
      <c r="AH467">
        <v>242</v>
      </c>
      <c r="AI467" s="2">
        <f>Table__192.168.3.138BEWLPPMetaData[[#This Row],[NetAmount]]-Table__192.168.3.138BEWLPPMetaData[[#This Row],[Paid]]</f>
        <v>878491</v>
      </c>
    </row>
    <row r="468" spans="1:35" hidden="1">
      <c r="A468" t="s">
        <v>9434</v>
      </c>
      <c r="B468" s="1">
        <v>41076</v>
      </c>
      <c r="C468" s="1">
        <v>41121</v>
      </c>
      <c r="D468" t="s">
        <v>8524</v>
      </c>
      <c r="E468">
        <v>10988</v>
      </c>
      <c r="F468">
        <v>1758</v>
      </c>
      <c r="G468">
        <v>0</v>
      </c>
      <c r="H468">
        <v>0</v>
      </c>
      <c r="I468">
        <v>197</v>
      </c>
      <c r="J468">
        <v>12746</v>
      </c>
      <c r="K468" t="s">
        <v>2497</v>
      </c>
      <c r="L468" s="1">
        <v>41071</v>
      </c>
      <c r="N468" t="s">
        <v>6694</v>
      </c>
      <c r="O468" t="s">
        <v>3507</v>
      </c>
      <c r="P468" t="s">
        <v>8525</v>
      </c>
      <c r="Q468" t="s">
        <v>39</v>
      </c>
      <c r="R468" t="s">
        <v>40</v>
      </c>
      <c r="S468">
        <v>0</v>
      </c>
      <c r="U468" t="s">
        <v>41</v>
      </c>
      <c r="V468" t="s">
        <v>42</v>
      </c>
      <c r="X468" t="s">
        <v>74</v>
      </c>
      <c r="Y468" t="b">
        <v>0</v>
      </c>
      <c r="Z468" t="b">
        <v>0</v>
      </c>
      <c r="AC468" s="1"/>
      <c r="AF468">
        <v>0</v>
      </c>
      <c r="AG468">
        <v>45</v>
      </c>
      <c r="AH468">
        <v>242</v>
      </c>
      <c r="AI468" s="2">
        <f>Table__192.168.3.138BEWLPPMetaData[[#This Row],[NetAmount]]-Table__192.168.3.138BEWLPPMetaData[[#This Row],[Paid]]</f>
        <v>12746</v>
      </c>
    </row>
    <row r="469" spans="1:35" hidden="1">
      <c r="A469" t="s">
        <v>9435</v>
      </c>
      <c r="B469" s="1">
        <v>41080</v>
      </c>
      <c r="C469" s="1">
        <v>41080</v>
      </c>
      <c r="D469" t="s">
        <v>8591</v>
      </c>
      <c r="E469">
        <v>9060</v>
      </c>
      <c r="F469">
        <v>1450</v>
      </c>
      <c r="G469">
        <v>0</v>
      </c>
      <c r="H469">
        <v>0</v>
      </c>
      <c r="I469">
        <v>0</v>
      </c>
      <c r="J469">
        <v>10510</v>
      </c>
      <c r="K469" t="s">
        <v>1116</v>
      </c>
      <c r="L469" s="1">
        <v>41080</v>
      </c>
      <c r="N469" t="s">
        <v>6694</v>
      </c>
      <c r="O469" t="s">
        <v>3507</v>
      </c>
      <c r="P469" t="s">
        <v>425</v>
      </c>
      <c r="Q469" t="s">
        <v>39</v>
      </c>
      <c r="R469" t="s">
        <v>40</v>
      </c>
      <c r="S469">
        <v>0</v>
      </c>
      <c r="U469" t="s">
        <v>41</v>
      </c>
      <c r="V469" t="s">
        <v>42</v>
      </c>
      <c r="X469" t="s">
        <v>74</v>
      </c>
      <c r="Y469" t="b">
        <v>0</v>
      </c>
      <c r="Z469" t="b">
        <v>0</v>
      </c>
      <c r="AC469" s="1"/>
      <c r="AF469">
        <v>0</v>
      </c>
      <c r="AH469">
        <v>233</v>
      </c>
      <c r="AI469" s="2">
        <f>Table__192.168.3.138BEWLPPMetaData[[#This Row],[NetAmount]]-Table__192.168.3.138BEWLPPMetaData[[#This Row],[Paid]]</f>
        <v>10510</v>
      </c>
    </row>
    <row r="470" spans="1:35" hidden="1">
      <c r="A470" t="s">
        <v>9436</v>
      </c>
      <c r="B470" s="1">
        <v>41071</v>
      </c>
      <c r="C470" s="1">
        <v>41071</v>
      </c>
      <c r="D470" t="s">
        <v>8591</v>
      </c>
      <c r="E470">
        <v>6870</v>
      </c>
      <c r="F470">
        <v>1099</v>
      </c>
      <c r="G470">
        <v>0</v>
      </c>
      <c r="H470">
        <v>0</v>
      </c>
      <c r="I470">
        <v>0</v>
      </c>
      <c r="J470">
        <v>7969</v>
      </c>
      <c r="K470" t="s">
        <v>9437</v>
      </c>
      <c r="L470" s="1">
        <v>41072</v>
      </c>
      <c r="N470" t="s">
        <v>6694</v>
      </c>
      <c r="O470" t="s">
        <v>3507</v>
      </c>
      <c r="P470" t="s">
        <v>425</v>
      </c>
      <c r="Q470" t="s">
        <v>39</v>
      </c>
      <c r="R470" t="s">
        <v>40</v>
      </c>
      <c r="S470">
        <v>0</v>
      </c>
      <c r="U470" t="s">
        <v>41</v>
      </c>
      <c r="V470" t="s">
        <v>42</v>
      </c>
      <c r="X470" t="s">
        <v>74</v>
      </c>
      <c r="Y470" t="b">
        <v>0</v>
      </c>
      <c r="Z470" t="b">
        <v>0</v>
      </c>
      <c r="AC470" s="1"/>
      <c r="AF470">
        <v>0</v>
      </c>
      <c r="AH470">
        <v>241</v>
      </c>
      <c r="AI470" s="2">
        <f>Table__192.168.3.138BEWLPPMetaData[[#This Row],[NetAmount]]-Table__192.168.3.138BEWLPPMetaData[[#This Row],[Paid]]</f>
        <v>7969</v>
      </c>
    </row>
    <row r="471" spans="1:35" hidden="1">
      <c r="A471" t="s">
        <v>9438</v>
      </c>
      <c r="B471" s="1">
        <v>41076</v>
      </c>
      <c r="C471" s="1">
        <v>41076</v>
      </c>
      <c r="D471" t="s">
        <v>8591</v>
      </c>
      <c r="E471">
        <v>18120</v>
      </c>
      <c r="F471">
        <v>2899</v>
      </c>
      <c r="G471">
        <v>0</v>
      </c>
      <c r="H471">
        <v>0</v>
      </c>
      <c r="I471">
        <v>0</v>
      </c>
      <c r="J471">
        <v>21019</v>
      </c>
      <c r="K471" t="s">
        <v>9439</v>
      </c>
      <c r="L471" s="1">
        <v>41075</v>
      </c>
      <c r="N471" t="s">
        <v>6694</v>
      </c>
      <c r="O471" t="s">
        <v>3507</v>
      </c>
      <c r="P471" t="s">
        <v>425</v>
      </c>
      <c r="Q471" t="s">
        <v>39</v>
      </c>
      <c r="R471" t="s">
        <v>40</v>
      </c>
      <c r="S471">
        <v>0</v>
      </c>
      <c r="U471" t="s">
        <v>41</v>
      </c>
      <c r="V471" t="s">
        <v>42</v>
      </c>
      <c r="X471" t="s">
        <v>74</v>
      </c>
      <c r="Y471" t="b">
        <v>0</v>
      </c>
      <c r="Z471" t="b">
        <v>0</v>
      </c>
      <c r="AC471" s="1"/>
      <c r="AF471">
        <v>0</v>
      </c>
      <c r="AH471">
        <v>238</v>
      </c>
      <c r="AI471" s="2">
        <f>Table__192.168.3.138BEWLPPMetaData[[#This Row],[NetAmount]]-Table__192.168.3.138BEWLPPMetaData[[#This Row],[Paid]]</f>
        <v>21019</v>
      </c>
    </row>
    <row r="472" spans="1:35" hidden="1">
      <c r="A472" t="s">
        <v>9440</v>
      </c>
      <c r="B472" s="1">
        <v>41061</v>
      </c>
      <c r="C472" s="1">
        <v>41106</v>
      </c>
      <c r="D472" t="s">
        <v>8588</v>
      </c>
      <c r="E472">
        <v>23238</v>
      </c>
      <c r="F472">
        <v>3718</v>
      </c>
      <c r="G472">
        <v>0</v>
      </c>
      <c r="H472">
        <v>0</v>
      </c>
      <c r="I472">
        <v>207</v>
      </c>
      <c r="J472">
        <v>26956</v>
      </c>
      <c r="K472" t="s">
        <v>9441</v>
      </c>
      <c r="L472" s="1">
        <v>41061</v>
      </c>
      <c r="N472" t="s">
        <v>6694</v>
      </c>
      <c r="O472" t="s">
        <v>3507</v>
      </c>
      <c r="P472" t="s">
        <v>8589</v>
      </c>
      <c r="Q472" t="s">
        <v>39</v>
      </c>
      <c r="R472" t="s">
        <v>40</v>
      </c>
      <c r="S472">
        <v>0</v>
      </c>
      <c r="U472" t="s">
        <v>41</v>
      </c>
      <c r="V472" t="s">
        <v>42</v>
      </c>
      <c r="X472" t="s">
        <v>74</v>
      </c>
      <c r="Y472" t="b">
        <v>0</v>
      </c>
      <c r="Z472" t="b">
        <v>0</v>
      </c>
      <c r="AC472" s="1"/>
      <c r="AF472">
        <v>0</v>
      </c>
      <c r="AG472">
        <v>45</v>
      </c>
      <c r="AH472">
        <v>252</v>
      </c>
      <c r="AI472" s="2">
        <f>Table__192.168.3.138BEWLPPMetaData[[#This Row],[NetAmount]]-Table__192.168.3.138BEWLPPMetaData[[#This Row],[Paid]]</f>
        <v>26956</v>
      </c>
    </row>
    <row r="473" spans="1:35" hidden="1">
      <c r="A473" t="s">
        <v>9442</v>
      </c>
      <c r="B473" s="1">
        <v>41068</v>
      </c>
      <c r="C473" s="1">
        <v>41113</v>
      </c>
      <c r="D473" t="s">
        <v>8588</v>
      </c>
      <c r="E473">
        <v>54222</v>
      </c>
      <c r="F473">
        <v>8676</v>
      </c>
      <c r="G473">
        <v>0</v>
      </c>
      <c r="H473">
        <v>0</v>
      </c>
      <c r="I473">
        <v>200</v>
      </c>
      <c r="J473">
        <v>62898</v>
      </c>
      <c r="K473" t="s">
        <v>9443</v>
      </c>
      <c r="L473" s="1">
        <v>41068</v>
      </c>
      <c r="N473" t="s">
        <v>6694</v>
      </c>
      <c r="O473" t="s">
        <v>3507</v>
      </c>
      <c r="P473" t="s">
        <v>8589</v>
      </c>
      <c r="Q473" t="s">
        <v>39</v>
      </c>
      <c r="R473" t="s">
        <v>40</v>
      </c>
      <c r="S473">
        <v>0</v>
      </c>
      <c r="U473" t="s">
        <v>41</v>
      </c>
      <c r="V473" t="s">
        <v>42</v>
      </c>
      <c r="X473" t="s">
        <v>74</v>
      </c>
      <c r="Y473" t="b">
        <v>0</v>
      </c>
      <c r="Z473" t="b">
        <v>0</v>
      </c>
      <c r="AC473" s="1"/>
      <c r="AF473">
        <v>0</v>
      </c>
      <c r="AG473">
        <v>45</v>
      </c>
      <c r="AH473">
        <v>245</v>
      </c>
      <c r="AI473" s="2">
        <f>Table__192.168.3.138BEWLPPMetaData[[#This Row],[NetAmount]]-Table__192.168.3.138BEWLPPMetaData[[#This Row],[Paid]]</f>
        <v>62898</v>
      </c>
    </row>
    <row r="474" spans="1:35" hidden="1">
      <c r="A474" t="s">
        <v>9444</v>
      </c>
      <c r="B474" s="1">
        <v>41074</v>
      </c>
      <c r="C474" s="1">
        <v>41119</v>
      </c>
      <c r="D474" t="s">
        <v>8588</v>
      </c>
      <c r="E474">
        <v>67464</v>
      </c>
      <c r="F474">
        <v>10794</v>
      </c>
      <c r="G474">
        <v>0</v>
      </c>
      <c r="H474">
        <v>0</v>
      </c>
      <c r="I474">
        <v>194</v>
      </c>
      <c r="J474">
        <v>78258</v>
      </c>
      <c r="K474" t="s">
        <v>9445</v>
      </c>
      <c r="L474" s="1">
        <v>41074</v>
      </c>
      <c r="N474" t="s">
        <v>6694</v>
      </c>
      <c r="O474" t="s">
        <v>3507</v>
      </c>
      <c r="P474" t="s">
        <v>8589</v>
      </c>
      <c r="Q474" t="s">
        <v>39</v>
      </c>
      <c r="R474" t="s">
        <v>40</v>
      </c>
      <c r="S474">
        <v>0</v>
      </c>
      <c r="U474" t="s">
        <v>41</v>
      </c>
      <c r="V474" t="s">
        <v>42</v>
      </c>
      <c r="X474" t="s">
        <v>74</v>
      </c>
      <c r="Y474" t="b">
        <v>0</v>
      </c>
      <c r="Z474" t="b">
        <v>0</v>
      </c>
      <c r="AC474" s="1"/>
      <c r="AF474">
        <v>0</v>
      </c>
      <c r="AG474">
        <v>45</v>
      </c>
      <c r="AH474">
        <v>239</v>
      </c>
      <c r="AI474" s="2">
        <f>Table__192.168.3.138BEWLPPMetaData[[#This Row],[NetAmount]]-Table__192.168.3.138BEWLPPMetaData[[#This Row],[Paid]]</f>
        <v>78258</v>
      </c>
    </row>
    <row r="475" spans="1:35" hidden="1">
      <c r="A475" t="s">
        <v>9446</v>
      </c>
      <c r="B475" s="1">
        <v>41076</v>
      </c>
      <c r="C475" s="1">
        <v>41121</v>
      </c>
      <c r="D475" t="s">
        <v>8547</v>
      </c>
      <c r="E475">
        <v>12100</v>
      </c>
      <c r="F475">
        <v>1936</v>
      </c>
      <c r="G475">
        <v>0</v>
      </c>
      <c r="H475">
        <v>0</v>
      </c>
      <c r="I475">
        <v>193</v>
      </c>
      <c r="J475">
        <v>14036</v>
      </c>
      <c r="K475" t="s">
        <v>9447</v>
      </c>
      <c r="L475" s="1">
        <v>41075</v>
      </c>
      <c r="N475" t="s">
        <v>6694</v>
      </c>
      <c r="O475" t="s">
        <v>3507</v>
      </c>
      <c r="P475" t="s">
        <v>8548</v>
      </c>
      <c r="Q475" t="s">
        <v>39</v>
      </c>
      <c r="R475" t="s">
        <v>40</v>
      </c>
      <c r="S475">
        <v>0</v>
      </c>
      <c r="U475" t="s">
        <v>41</v>
      </c>
      <c r="V475" t="s">
        <v>42</v>
      </c>
      <c r="X475" t="s">
        <v>74</v>
      </c>
      <c r="Y475" t="b">
        <v>0</v>
      </c>
      <c r="Z475" t="b">
        <v>0</v>
      </c>
      <c r="AC475" s="1"/>
      <c r="AF475">
        <v>0</v>
      </c>
      <c r="AG475">
        <v>45</v>
      </c>
      <c r="AH475">
        <v>238</v>
      </c>
      <c r="AI475" s="2">
        <f>Table__192.168.3.138BEWLPPMetaData[[#This Row],[NetAmount]]-Table__192.168.3.138BEWLPPMetaData[[#This Row],[Paid]]</f>
        <v>14036</v>
      </c>
    </row>
    <row r="476" spans="1:35" hidden="1">
      <c r="A476" t="s">
        <v>9448</v>
      </c>
      <c r="B476" s="1">
        <v>41076</v>
      </c>
      <c r="C476" s="1">
        <v>41121</v>
      </c>
      <c r="D476" t="s">
        <v>8547</v>
      </c>
      <c r="E476">
        <v>14250</v>
      </c>
      <c r="F476">
        <v>2280</v>
      </c>
      <c r="G476">
        <v>0</v>
      </c>
      <c r="H476">
        <v>0</v>
      </c>
      <c r="I476">
        <v>193</v>
      </c>
      <c r="J476">
        <v>16530</v>
      </c>
      <c r="K476" t="s">
        <v>9449</v>
      </c>
      <c r="L476" s="1">
        <v>41075</v>
      </c>
      <c r="N476" t="s">
        <v>6694</v>
      </c>
      <c r="O476" t="s">
        <v>3507</v>
      </c>
      <c r="P476" t="s">
        <v>8548</v>
      </c>
      <c r="Q476" t="s">
        <v>39</v>
      </c>
      <c r="R476" t="s">
        <v>40</v>
      </c>
      <c r="S476">
        <v>0</v>
      </c>
      <c r="U476" t="s">
        <v>41</v>
      </c>
      <c r="V476" t="s">
        <v>42</v>
      </c>
      <c r="X476" t="s">
        <v>74</v>
      </c>
      <c r="Y476" t="b">
        <v>0</v>
      </c>
      <c r="Z476" t="b">
        <v>0</v>
      </c>
      <c r="AC476" s="1"/>
      <c r="AF476">
        <v>0</v>
      </c>
      <c r="AG476">
        <v>45</v>
      </c>
      <c r="AH476">
        <v>238</v>
      </c>
      <c r="AI476" s="2">
        <f>Table__192.168.3.138BEWLPPMetaData[[#This Row],[NetAmount]]-Table__192.168.3.138BEWLPPMetaData[[#This Row],[Paid]]</f>
        <v>16530</v>
      </c>
    </row>
    <row r="477" spans="1:35" hidden="1">
      <c r="A477" t="s">
        <v>9450</v>
      </c>
      <c r="B477" s="1">
        <v>41085</v>
      </c>
      <c r="C477" s="1">
        <v>41130</v>
      </c>
      <c r="D477" t="s">
        <v>8570</v>
      </c>
      <c r="E477">
        <v>168000</v>
      </c>
      <c r="F477">
        <v>26880</v>
      </c>
      <c r="G477">
        <v>0</v>
      </c>
      <c r="H477">
        <v>0</v>
      </c>
      <c r="I477">
        <v>189</v>
      </c>
      <c r="J477">
        <v>194880</v>
      </c>
      <c r="K477" t="s">
        <v>5174</v>
      </c>
      <c r="L477" s="1">
        <v>41079</v>
      </c>
      <c r="N477" t="s">
        <v>6694</v>
      </c>
      <c r="O477" t="s">
        <v>3507</v>
      </c>
      <c r="P477" t="s">
        <v>8571</v>
      </c>
      <c r="Q477" t="s">
        <v>39</v>
      </c>
      <c r="R477" t="s">
        <v>40</v>
      </c>
      <c r="S477">
        <v>0</v>
      </c>
      <c r="U477" t="s">
        <v>41</v>
      </c>
      <c r="V477" t="s">
        <v>42</v>
      </c>
      <c r="X477" t="s">
        <v>74</v>
      </c>
      <c r="Y477" t="b">
        <v>0</v>
      </c>
      <c r="Z477" t="b">
        <v>0</v>
      </c>
      <c r="AC477" s="1"/>
      <c r="AF477">
        <v>0</v>
      </c>
      <c r="AG477">
        <v>45</v>
      </c>
      <c r="AH477">
        <v>234</v>
      </c>
      <c r="AI477" s="2">
        <f>Table__192.168.3.138BEWLPPMetaData[[#This Row],[NetAmount]]-Table__192.168.3.138BEWLPPMetaData[[#This Row],[Paid]]</f>
        <v>194880</v>
      </c>
    </row>
    <row r="478" spans="1:35" hidden="1">
      <c r="A478" t="s">
        <v>9451</v>
      </c>
      <c r="B478" s="1">
        <v>41078</v>
      </c>
      <c r="C478" s="1">
        <v>41123</v>
      </c>
      <c r="D478" t="s">
        <v>8563</v>
      </c>
      <c r="E478">
        <v>495000</v>
      </c>
      <c r="F478">
        <v>79200</v>
      </c>
      <c r="G478">
        <v>0</v>
      </c>
      <c r="H478">
        <v>0</v>
      </c>
      <c r="I478">
        <v>195</v>
      </c>
      <c r="J478">
        <v>574200</v>
      </c>
      <c r="K478" t="s">
        <v>4540</v>
      </c>
      <c r="L478" s="1">
        <v>41073</v>
      </c>
      <c r="N478" t="s">
        <v>6694</v>
      </c>
      <c r="O478" t="s">
        <v>3507</v>
      </c>
      <c r="P478" t="s">
        <v>409</v>
      </c>
      <c r="Q478" t="s">
        <v>39</v>
      </c>
      <c r="R478" t="s">
        <v>40</v>
      </c>
      <c r="S478">
        <v>0</v>
      </c>
      <c r="U478" t="s">
        <v>41</v>
      </c>
      <c r="V478" t="s">
        <v>42</v>
      </c>
      <c r="X478" t="s">
        <v>74</v>
      </c>
      <c r="Y478" t="b">
        <v>0</v>
      </c>
      <c r="Z478" t="b">
        <v>0</v>
      </c>
      <c r="AB478" t="s">
        <v>9452</v>
      </c>
      <c r="AC478" s="1">
        <v>41257</v>
      </c>
      <c r="AD478" t="s">
        <v>9453</v>
      </c>
      <c r="AE478" t="s">
        <v>9454</v>
      </c>
      <c r="AF478">
        <v>378206</v>
      </c>
      <c r="AG478">
        <v>45</v>
      </c>
      <c r="AH478">
        <v>240</v>
      </c>
      <c r="AI478" s="2">
        <f>Table__192.168.3.138BEWLPPMetaData[[#This Row],[NetAmount]]-Table__192.168.3.138BEWLPPMetaData[[#This Row],[Paid]]</f>
        <v>195994</v>
      </c>
    </row>
    <row r="479" spans="1:35" hidden="1">
      <c r="A479" t="s">
        <v>9455</v>
      </c>
      <c r="B479" s="1">
        <v>41074</v>
      </c>
      <c r="C479" s="1">
        <v>41119</v>
      </c>
      <c r="D479" t="s">
        <v>8630</v>
      </c>
      <c r="E479">
        <v>5880</v>
      </c>
      <c r="F479">
        <v>941</v>
      </c>
      <c r="G479">
        <v>0</v>
      </c>
      <c r="H479">
        <v>0</v>
      </c>
      <c r="I479">
        <v>183</v>
      </c>
      <c r="J479">
        <v>6821</v>
      </c>
      <c r="K479" t="s">
        <v>4615</v>
      </c>
      <c r="L479" s="1">
        <v>41085</v>
      </c>
      <c r="M479" t="s">
        <v>9456</v>
      </c>
      <c r="N479" t="s">
        <v>6694</v>
      </c>
      <c r="O479" t="s">
        <v>3507</v>
      </c>
      <c r="P479" t="s">
        <v>363</v>
      </c>
      <c r="Q479" t="s">
        <v>39</v>
      </c>
      <c r="R479" t="s">
        <v>40</v>
      </c>
      <c r="S479">
        <v>0</v>
      </c>
      <c r="U479" t="s">
        <v>41</v>
      </c>
      <c r="V479" t="s">
        <v>42</v>
      </c>
      <c r="W479" t="s">
        <v>9398</v>
      </c>
      <c r="X479" t="s">
        <v>74</v>
      </c>
      <c r="Y479" t="b">
        <v>0</v>
      </c>
      <c r="Z479" t="b">
        <v>0</v>
      </c>
      <c r="AA479" t="b">
        <v>0</v>
      </c>
      <c r="AC479" s="1"/>
      <c r="AF479">
        <v>0</v>
      </c>
      <c r="AG479">
        <v>45</v>
      </c>
      <c r="AH479">
        <v>228</v>
      </c>
      <c r="AI479" s="2">
        <f>Table__192.168.3.138BEWLPPMetaData[[#This Row],[NetAmount]]-Table__192.168.3.138BEWLPPMetaData[[#This Row],[Paid]]</f>
        <v>6821</v>
      </c>
    </row>
    <row r="480" spans="1:35" hidden="1">
      <c r="A480" t="s">
        <v>9457</v>
      </c>
      <c r="B480" s="1">
        <v>41081</v>
      </c>
      <c r="C480" s="1">
        <v>41126</v>
      </c>
      <c r="D480" t="s">
        <v>5469</v>
      </c>
      <c r="E480">
        <v>102000</v>
      </c>
      <c r="F480">
        <v>16320</v>
      </c>
      <c r="G480">
        <v>0</v>
      </c>
      <c r="H480">
        <v>0</v>
      </c>
      <c r="I480">
        <v>187</v>
      </c>
      <c r="J480">
        <v>118320</v>
      </c>
      <c r="K480" t="s">
        <v>891</v>
      </c>
      <c r="L480" s="1">
        <v>41081</v>
      </c>
      <c r="N480" t="s">
        <v>6694</v>
      </c>
      <c r="O480" t="s">
        <v>3507</v>
      </c>
      <c r="P480" t="s">
        <v>368</v>
      </c>
      <c r="Q480" t="s">
        <v>39</v>
      </c>
      <c r="R480" t="s">
        <v>40</v>
      </c>
      <c r="S480">
        <v>0</v>
      </c>
      <c r="U480" t="s">
        <v>41</v>
      </c>
      <c r="V480" t="s">
        <v>42</v>
      </c>
      <c r="X480" t="s">
        <v>74</v>
      </c>
      <c r="Y480" t="b">
        <v>0</v>
      </c>
      <c r="Z480" t="b">
        <v>0</v>
      </c>
      <c r="AC480" s="1"/>
      <c r="AF480">
        <v>0</v>
      </c>
      <c r="AG480">
        <v>45</v>
      </c>
      <c r="AH480">
        <v>232</v>
      </c>
      <c r="AI480" s="2">
        <f>Table__192.168.3.138BEWLPPMetaData[[#This Row],[NetAmount]]-Table__192.168.3.138BEWLPPMetaData[[#This Row],[Paid]]</f>
        <v>118320</v>
      </c>
    </row>
    <row r="481" spans="1:35" hidden="1">
      <c r="A481" t="s">
        <v>9458</v>
      </c>
      <c r="B481" s="1">
        <v>41085</v>
      </c>
      <c r="C481" s="1">
        <v>41130</v>
      </c>
      <c r="D481" t="s">
        <v>5529</v>
      </c>
      <c r="E481">
        <v>100740</v>
      </c>
      <c r="F481">
        <v>16118</v>
      </c>
      <c r="G481">
        <v>0</v>
      </c>
      <c r="H481">
        <v>0</v>
      </c>
      <c r="I481">
        <v>188</v>
      </c>
      <c r="J481">
        <v>116858</v>
      </c>
      <c r="K481" t="s">
        <v>9459</v>
      </c>
      <c r="L481" s="1">
        <v>41080</v>
      </c>
      <c r="N481" t="s">
        <v>6694</v>
      </c>
      <c r="O481" t="s">
        <v>3507</v>
      </c>
      <c r="P481" t="s">
        <v>8614</v>
      </c>
      <c r="Q481" t="s">
        <v>39</v>
      </c>
      <c r="R481" t="s">
        <v>40</v>
      </c>
      <c r="S481">
        <v>0</v>
      </c>
      <c r="U481" t="s">
        <v>41</v>
      </c>
      <c r="V481" t="s">
        <v>42</v>
      </c>
      <c r="X481" t="s">
        <v>74</v>
      </c>
      <c r="Y481" t="b">
        <v>0</v>
      </c>
      <c r="Z481" t="b">
        <v>0</v>
      </c>
      <c r="AB481" t="s">
        <v>9460</v>
      </c>
      <c r="AC481" s="1">
        <v>41253</v>
      </c>
      <c r="AD481" t="s">
        <v>9461</v>
      </c>
      <c r="AE481" t="s">
        <v>9413</v>
      </c>
      <c r="AF481">
        <v>101561</v>
      </c>
      <c r="AG481">
        <v>45</v>
      </c>
      <c r="AH481">
        <v>233</v>
      </c>
      <c r="AI481" s="2">
        <f>Table__192.168.3.138BEWLPPMetaData[[#This Row],[NetAmount]]-Table__192.168.3.138BEWLPPMetaData[[#This Row],[Paid]]</f>
        <v>15297</v>
      </c>
    </row>
    <row r="482" spans="1:35" hidden="1">
      <c r="A482" t="s">
        <v>9462</v>
      </c>
      <c r="B482" s="1">
        <v>41088</v>
      </c>
      <c r="C482" s="1">
        <v>41133</v>
      </c>
      <c r="D482" t="s">
        <v>8577</v>
      </c>
      <c r="E482">
        <v>10742</v>
      </c>
      <c r="F482">
        <v>0</v>
      </c>
      <c r="G482">
        <v>0</v>
      </c>
      <c r="H482">
        <v>0</v>
      </c>
      <c r="I482">
        <v>180</v>
      </c>
      <c r="J482">
        <v>10742</v>
      </c>
      <c r="K482" t="s">
        <v>9463</v>
      </c>
      <c r="L482" s="1">
        <v>41088</v>
      </c>
      <c r="N482" t="s">
        <v>6694</v>
      </c>
      <c r="O482" t="s">
        <v>3507</v>
      </c>
      <c r="P482" t="s">
        <v>8579</v>
      </c>
      <c r="Q482" t="s">
        <v>39</v>
      </c>
      <c r="R482" t="s">
        <v>40</v>
      </c>
      <c r="S482">
        <v>0</v>
      </c>
      <c r="U482" t="s">
        <v>41</v>
      </c>
      <c r="V482" t="s">
        <v>42</v>
      </c>
      <c r="X482" t="s">
        <v>74</v>
      </c>
      <c r="Y482" t="b">
        <v>0</v>
      </c>
      <c r="Z482" t="b">
        <v>0</v>
      </c>
      <c r="AC482" s="1"/>
      <c r="AF482">
        <v>0</v>
      </c>
      <c r="AG482">
        <v>45</v>
      </c>
      <c r="AH482">
        <v>225</v>
      </c>
      <c r="AI482" s="2">
        <f>Table__192.168.3.138BEWLPPMetaData[[#This Row],[NetAmount]]-Table__192.168.3.138BEWLPPMetaData[[#This Row],[Paid]]</f>
        <v>10742</v>
      </c>
    </row>
    <row r="483" spans="1:35" hidden="1">
      <c r="A483" t="s">
        <v>9464</v>
      </c>
      <c r="B483" s="1">
        <v>41089</v>
      </c>
      <c r="C483" s="1">
        <v>41134</v>
      </c>
      <c r="D483" t="s">
        <v>8577</v>
      </c>
      <c r="E483">
        <v>2750</v>
      </c>
      <c r="F483">
        <v>0</v>
      </c>
      <c r="G483">
        <v>0</v>
      </c>
      <c r="H483">
        <v>0</v>
      </c>
      <c r="I483">
        <v>179</v>
      </c>
      <c r="J483">
        <v>2750</v>
      </c>
      <c r="K483" t="s">
        <v>9465</v>
      </c>
      <c r="L483" s="1">
        <v>41089</v>
      </c>
      <c r="N483" t="s">
        <v>6694</v>
      </c>
      <c r="O483" t="s">
        <v>3507</v>
      </c>
      <c r="P483" t="s">
        <v>8579</v>
      </c>
      <c r="Q483" t="s">
        <v>39</v>
      </c>
      <c r="R483" t="s">
        <v>40</v>
      </c>
      <c r="S483">
        <v>0</v>
      </c>
      <c r="U483" t="s">
        <v>41</v>
      </c>
      <c r="V483" t="s">
        <v>42</v>
      </c>
      <c r="X483" t="s">
        <v>74</v>
      </c>
      <c r="Y483" t="b">
        <v>0</v>
      </c>
      <c r="Z483" t="b">
        <v>0</v>
      </c>
      <c r="AC483" s="1"/>
      <c r="AF483">
        <v>0</v>
      </c>
      <c r="AG483">
        <v>45</v>
      </c>
      <c r="AH483">
        <v>224</v>
      </c>
      <c r="AI483" s="2">
        <f>Table__192.168.3.138BEWLPPMetaData[[#This Row],[NetAmount]]-Table__192.168.3.138BEWLPPMetaData[[#This Row],[Paid]]</f>
        <v>2750</v>
      </c>
    </row>
    <row r="484" spans="1:35" hidden="1">
      <c r="A484" t="s">
        <v>9466</v>
      </c>
      <c r="B484" s="1">
        <v>41085</v>
      </c>
      <c r="C484" s="1">
        <v>41130</v>
      </c>
      <c r="D484" t="s">
        <v>8577</v>
      </c>
      <c r="E484">
        <v>4125</v>
      </c>
      <c r="F484">
        <v>0</v>
      </c>
      <c r="G484">
        <v>0</v>
      </c>
      <c r="H484">
        <v>0</v>
      </c>
      <c r="I484">
        <v>183</v>
      </c>
      <c r="J484">
        <v>4125</v>
      </c>
      <c r="K484" t="s">
        <v>5261</v>
      </c>
      <c r="L484" s="1">
        <v>41085</v>
      </c>
      <c r="N484" t="s">
        <v>6694</v>
      </c>
      <c r="O484" t="s">
        <v>3507</v>
      </c>
      <c r="P484" t="s">
        <v>8579</v>
      </c>
      <c r="Q484" t="s">
        <v>39</v>
      </c>
      <c r="R484" t="s">
        <v>40</v>
      </c>
      <c r="S484">
        <v>0</v>
      </c>
      <c r="U484" t="s">
        <v>41</v>
      </c>
      <c r="V484" t="s">
        <v>42</v>
      </c>
      <c r="X484" t="s">
        <v>74</v>
      </c>
      <c r="Y484" t="b">
        <v>0</v>
      </c>
      <c r="Z484" t="b">
        <v>0</v>
      </c>
      <c r="AC484" s="1"/>
      <c r="AF484">
        <v>0</v>
      </c>
      <c r="AG484">
        <v>45</v>
      </c>
      <c r="AH484">
        <v>228</v>
      </c>
      <c r="AI484" s="2">
        <f>Table__192.168.3.138BEWLPPMetaData[[#This Row],[NetAmount]]-Table__192.168.3.138BEWLPPMetaData[[#This Row],[Paid]]</f>
        <v>4125</v>
      </c>
    </row>
    <row r="485" spans="1:35" hidden="1">
      <c r="A485" t="s">
        <v>9467</v>
      </c>
      <c r="B485" s="1">
        <v>41069</v>
      </c>
      <c r="C485" s="1">
        <v>41114</v>
      </c>
      <c r="D485" t="s">
        <v>8577</v>
      </c>
      <c r="E485">
        <v>400</v>
      </c>
      <c r="F485">
        <v>0</v>
      </c>
      <c r="G485">
        <v>0</v>
      </c>
      <c r="H485">
        <v>0</v>
      </c>
      <c r="I485">
        <v>199</v>
      </c>
      <c r="J485">
        <v>400</v>
      </c>
      <c r="K485" t="s">
        <v>4239</v>
      </c>
      <c r="L485" s="1">
        <v>41069</v>
      </c>
      <c r="N485" t="s">
        <v>6694</v>
      </c>
      <c r="O485" t="s">
        <v>3507</v>
      </c>
      <c r="P485" t="s">
        <v>8579</v>
      </c>
      <c r="Q485" t="s">
        <v>39</v>
      </c>
      <c r="R485" t="s">
        <v>40</v>
      </c>
      <c r="S485">
        <v>0</v>
      </c>
      <c r="U485" t="s">
        <v>41</v>
      </c>
      <c r="V485" t="s">
        <v>42</v>
      </c>
      <c r="X485" t="s">
        <v>74</v>
      </c>
      <c r="Y485" t="b">
        <v>0</v>
      </c>
      <c r="Z485" t="b">
        <v>0</v>
      </c>
      <c r="AC485" s="1"/>
      <c r="AF485">
        <v>0</v>
      </c>
      <c r="AG485">
        <v>45</v>
      </c>
      <c r="AH485">
        <v>244</v>
      </c>
      <c r="AI485" s="2">
        <f>Table__192.168.3.138BEWLPPMetaData[[#This Row],[NetAmount]]-Table__192.168.3.138BEWLPPMetaData[[#This Row],[Paid]]</f>
        <v>400</v>
      </c>
    </row>
    <row r="486" spans="1:35" hidden="1">
      <c r="A486" t="s">
        <v>9468</v>
      </c>
      <c r="B486" s="1">
        <v>41067</v>
      </c>
      <c r="C486" s="1">
        <v>41112</v>
      </c>
      <c r="D486" t="s">
        <v>8577</v>
      </c>
      <c r="E486">
        <v>14600</v>
      </c>
      <c r="F486">
        <v>0</v>
      </c>
      <c r="G486">
        <v>0</v>
      </c>
      <c r="H486">
        <v>0</v>
      </c>
      <c r="I486">
        <v>202</v>
      </c>
      <c r="J486">
        <v>14600</v>
      </c>
      <c r="K486" t="s">
        <v>5105</v>
      </c>
      <c r="L486" s="1">
        <v>41066</v>
      </c>
      <c r="N486" t="s">
        <v>6694</v>
      </c>
      <c r="O486" t="s">
        <v>3507</v>
      </c>
      <c r="P486" t="s">
        <v>8579</v>
      </c>
      <c r="Q486" t="s">
        <v>39</v>
      </c>
      <c r="R486" t="s">
        <v>40</v>
      </c>
      <c r="S486">
        <v>0</v>
      </c>
      <c r="U486" t="s">
        <v>41</v>
      </c>
      <c r="V486" t="s">
        <v>42</v>
      </c>
      <c r="X486" t="s">
        <v>74</v>
      </c>
      <c r="Y486" t="b">
        <v>0</v>
      </c>
      <c r="Z486" t="b">
        <v>0</v>
      </c>
      <c r="AC486" s="1"/>
      <c r="AF486">
        <v>0</v>
      </c>
      <c r="AG486">
        <v>45</v>
      </c>
      <c r="AH486">
        <v>247</v>
      </c>
      <c r="AI486" s="2">
        <f>Table__192.168.3.138BEWLPPMetaData[[#This Row],[NetAmount]]-Table__192.168.3.138BEWLPPMetaData[[#This Row],[Paid]]</f>
        <v>14600</v>
      </c>
    </row>
    <row r="487" spans="1:35" hidden="1">
      <c r="A487" t="s">
        <v>9469</v>
      </c>
      <c r="B487" s="1">
        <v>41088</v>
      </c>
      <c r="C487" s="1">
        <v>41133</v>
      </c>
      <c r="D487" t="s">
        <v>8574</v>
      </c>
      <c r="E487">
        <v>58116</v>
      </c>
      <c r="F487">
        <v>9298</v>
      </c>
      <c r="G487">
        <v>0</v>
      </c>
      <c r="H487">
        <v>0</v>
      </c>
      <c r="I487">
        <v>187</v>
      </c>
      <c r="J487">
        <v>67414</v>
      </c>
      <c r="K487" t="s">
        <v>9470</v>
      </c>
      <c r="L487" s="1">
        <v>41081</v>
      </c>
      <c r="N487" t="s">
        <v>6694</v>
      </c>
      <c r="O487" t="s">
        <v>3507</v>
      </c>
      <c r="P487" t="s">
        <v>344</v>
      </c>
      <c r="Q487" t="s">
        <v>39</v>
      </c>
      <c r="R487" t="s">
        <v>40</v>
      </c>
      <c r="S487">
        <v>0</v>
      </c>
      <c r="U487" t="s">
        <v>41</v>
      </c>
      <c r="V487" t="s">
        <v>42</v>
      </c>
      <c r="X487" t="s">
        <v>74</v>
      </c>
      <c r="Y487" t="b">
        <v>0</v>
      </c>
      <c r="Z487" t="b">
        <v>0</v>
      </c>
      <c r="AC487" s="1"/>
      <c r="AF487">
        <v>0</v>
      </c>
      <c r="AG487">
        <v>45</v>
      </c>
      <c r="AH487">
        <v>232</v>
      </c>
      <c r="AI487" s="2">
        <f>Table__192.168.3.138BEWLPPMetaData[[#This Row],[NetAmount]]-Table__192.168.3.138BEWLPPMetaData[[#This Row],[Paid]]</f>
        <v>67414</v>
      </c>
    </row>
    <row r="488" spans="1:35" hidden="1">
      <c r="A488" t="s">
        <v>9471</v>
      </c>
      <c r="B488" s="1">
        <v>41078</v>
      </c>
      <c r="C488" s="1">
        <v>41123</v>
      </c>
      <c r="D488" t="s">
        <v>9145</v>
      </c>
      <c r="E488">
        <v>37576</v>
      </c>
      <c r="F488">
        <v>0</v>
      </c>
      <c r="G488">
        <v>0</v>
      </c>
      <c r="H488">
        <v>0</v>
      </c>
      <c r="I488">
        <v>179</v>
      </c>
      <c r="J488">
        <v>37576</v>
      </c>
      <c r="K488" t="s">
        <v>9472</v>
      </c>
      <c r="L488" s="1">
        <v>41089</v>
      </c>
      <c r="N488" t="s">
        <v>6694</v>
      </c>
      <c r="O488" t="s">
        <v>3507</v>
      </c>
      <c r="P488" t="s">
        <v>362</v>
      </c>
      <c r="Q488" t="s">
        <v>39</v>
      </c>
      <c r="R488" t="s">
        <v>40</v>
      </c>
      <c r="S488">
        <v>0</v>
      </c>
      <c r="U488" t="s">
        <v>41</v>
      </c>
      <c r="V488" t="s">
        <v>42</v>
      </c>
      <c r="X488" t="s">
        <v>74</v>
      </c>
      <c r="Y488" t="b">
        <v>0</v>
      </c>
      <c r="Z488" t="b">
        <v>0</v>
      </c>
      <c r="AC488" s="1"/>
      <c r="AF488">
        <v>0</v>
      </c>
      <c r="AG488">
        <v>45</v>
      </c>
      <c r="AH488">
        <v>224</v>
      </c>
      <c r="AI488" s="2">
        <f>Table__192.168.3.138BEWLPPMetaData[[#This Row],[NetAmount]]-Table__192.168.3.138BEWLPPMetaData[[#This Row],[Paid]]</f>
        <v>37576</v>
      </c>
    </row>
    <row r="489" spans="1:35" hidden="1">
      <c r="A489" t="s">
        <v>9473</v>
      </c>
      <c r="B489" s="1">
        <v>41088</v>
      </c>
      <c r="C489" s="1">
        <v>41133</v>
      </c>
      <c r="D489" t="s">
        <v>9145</v>
      </c>
      <c r="E489">
        <v>22204</v>
      </c>
      <c r="F489">
        <v>0</v>
      </c>
      <c r="G489">
        <v>0</v>
      </c>
      <c r="H489">
        <v>0</v>
      </c>
      <c r="I489">
        <v>179</v>
      </c>
      <c r="J489">
        <v>22204</v>
      </c>
      <c r="K489" t="s">
        <v>9474</v>
      </c>
      <c r="L489" s="1">
        <v>41089</v>
      </c>
      <c r="N489" t="s">
        <v>6694</v>
      </c>
      <c r="O489" t="s">
        <v>3507</v>
      </c>
      <c r="P489" t="s">
        <v>362</v>
      </c>
      <c r="Q489" t="s">
        <v>39</v>
      </c>
      <c r="R489" t="s">
        <v>40</v>
      </c>
      <c r="S489">
        <v>0</v>
      </c>
      <c r="U489" t="s">
        <v>41</v>
      </c>
      <c r="V489" t="s">
        <v>42</v>
      </c>
      <c r="X489" t="s">
        <v>74</v>
      </c>
      <c r="Y489" t="b">
        <v>0</v>
      </c>
      <c r="Z489" t="b">
        <v>0</v>
      </c>
      <c r="AC489" s="1"/>
      <c r="AF489">
        <v>0</v>
      </c>
      <c r="AG489">
        <v>45</v>
      </c>
      <c r="AH489">
        <v>224</v>
      </c>
      <c r="AI489" s="2">
        <f>Table__192.168.3.138BEWLPPMetaData[[#This Row],[NetAmount]]-Table__192.168.3.138BEWLPPMetaData[[#This Row],[Paid]]</f>
        <v>22204</v>
      </c>
    </row>
    <row r="490" spans="1:35" hidden="1">
      <c r="A490" t="s">
        <v>9475</v>
      </c>
      <c r="B490" s="1">
        <v>41082</v>
      </c>
      <c r="C490" s="1">
        <v>41127</v>
      </c>
      <c r="D490" t="s">
        <v>8534</v>
      </c>
      <c r="E490">
        <v>29000</v>
      </c>
      <c r="F490">
        <v>4640</v>
      </c>
      <c r="G490">
        <v>0</v>
      </c>
      <c r="H490">
        <v>0</v>
      </c>
      <c r="I490">
        <v>186</v>
      </c>
      <c r="J490">
        <v>33640</v>
      </c>
      <c r="K490" t="s">
        <v>9476</v>
      </c>
      <c r="L490" s="1">
        <v>41082</v>
      </c>
      <c r="N490" t="s">
        <v>6694</v>
      </c>
      <c r="O490" t="s">
        <v>3507</v>
      </c>
      <c r="P490" t="s">
        <v>8535</v>
      </c>
      <c r="Q490" t="s">
        <v>39</v>
      </c>
      <c r="R490" t="s">
        <v>40</v>
      </c>
      <c r="S490">
        <v>0</v>
      </c>
      <c r="U490" t="s">
        <v>41</v>
      </c>
      <c r="V490" t="s">
        <v>42</v>
      </c>
      <c r="X490" t="s">
        <v>74</v>
      </c>
      <c r="Y490" t="b">
        <v>0</v>
      </c>
      <c r="Z490" t="b">
        <v>0</v>
      </c>
      <c r="AC490" s="1"/>
      <c r="AF490">
        <v>0</v>
      </c>
      <c r="AG490">
        <v>45</v>
      </c>
      <c r="AH490">
        <v>231</v>
      </c>
      <c r="AI490" s="2">
        <f>Table__192.168.3.138BEWLPPMetaData[[#This Row],[NetAmount]]-Table__192.168.3.138BEWLPPMetaData[[#This Row],[Paid]]</f>
        <v>33640</v>
      </c>
    </row>
    <row r="491" spans="1:35" hidden="1">
      <c r="A491" t="s">
        <v>9477</v>
      </c>
      <c r="B491" s="1">
        <v>41082</v>
      </c>
      <c r="C491" s="1">
        <v>41127</v>
      </c>
      <c r="D491" t="s">
        <v>8534</v>
      </c>
      <c r="E491">
        <v>11825</v>
      </c>
      <c r="F491">
        <v>1892</v>
      </c>
      <c r="G491">
        <v>0</v>
      </c>
      <c r="H491">
        <v>0</v>
      </c>
      <c r="I491">
        <v>186</v>
      </c>
      <c r="J491">
        <v>13717</v>
      </c>
      <c r="K491" t="s">
        <v>9478</v>
      </c>
      <c r="L491" s="1">
        <v>41082</v>
      </c>
      <c r="N491" t="s">
        <v>6694</v>
      </c>
      <c r="O491" t="s">
        <v>3507</v>
      </c>
      <c r="P491" t="s">
        <v>8535</v>
      </c>
      <c r="Q491" t="s">
        <v>39</v>
      </c>
      <c r="R491" t="s">
        <v>40</v>
      </c>
      <c r="S491">
        <v>0</v>
      </c>
      <c r="U491" t="s">
        <v>41</v>
      </c>
      <c r="V491" t="s">
        <v>42</v>
      </c>
      <c r="X491" t="s">
        <v>74</v>
      </c>
      <c r="Y491" t="b">
        <v>0</v>
      </c>
      <c r="Z491" t="b">
        <v>0</v>
      </c>
      <c r="AC491" s="1"/>
      <c r="AF491">
        <v>0</v>
      </c>
      <c r="AG491">
        <v>45</v>
      </c>
      <c r="AH491">
        <v>231</v>
      </c>
      <c r="AI491" s="2">
        <f>Table__192.168.3.138BEWLPPMetaData[[#This Row],[NetAmount]]-Table__192.168.3.138BEWLPPMetaData[[#This Row],[Paid]]</f>
        <v>13717</v>
      </c>
    </row>
    <row r="492" spans="1:35" hidden="1">
      <c r="A492" t="s">
        <v>9479</v>
      </c>
      <c r="B492" s="1">
        <v>41078</v>
      </c>
      <c r="C492" s="1">
        <v>41123</v>
      </c>
      <c r="D492" t="s">
        <v>8527</v>
      </c>
      <c r="E492">
        <v>184350</v>
      </c>
      <c r="F492">
        <v>29496</v>
      </c>
      <c r="G492">
        <v>0</v>
      </c>
      <c r="H492">
        <v>0</v>
      </c>
      <c r="I492">
        <v>181</v>
      </c>
      <c r="J492">
        <v>213846</v>
      </c>
      <c r="K492" t="s">
        <v>999</v>
      </c>
      <c r="L492" s="1">
        <v>41087</v>
      </c>
      <c r="N492" t="s">
        <v>6694</v>
      </c>
      <c r="O492" t="s">
        <v>3507</v>
      </c>
      <c r="P492" t="s">
        <v>8528</v>
      </c>
      <c r="Q492" t="s">
        <v>39</v>
      </c>
      <c r="R492" t="s">
        <v>40</v>
      </c>
      <c r="S492">
        <v>0</v>
      </c>
      <c r="U492" t="s">
        <v>41</v>
      </c>
      <c r="V492" t="s">
        <v>42</v>
      </c>
      <c r="X492" t="s">
        <v>74</v>
      </c>
      <c r="Y492" t="b">
        <v>0</v>
      </c>
      <c r="Z492" t="b">
        <v>0</v>
      </c>
      <c r="AC492" s="1"/>
      <c r="AF492">
        <v>0</v>
      </c>
      <c r="AG492">
        <v>45</v>
      </c>
      <c r="AH492">
        <v>226</v>
      </c>
      <c r="AI492" s="2">
        <f>Table__192.168.3.138BEWLPPMetaData[[#This Row],[NetAmount]]-Table__192.168.3.138BEWLPPMetaData[[#This Row],[Paid]]</f>
        <v>213846</v>
      </c>
    </row>
    <row r="493" spans="1:35" hidden="1">
      <c r="A493" t="s">
        <v>9480</v>
      </c>
      <c r="B493" s="1">
        <v>41087</v>
      </c>
      <c r="C493" s="1">
        <v>41132</v>
      </c>
      <c r="D493" t="s">
        <v>8527</v>
      </c>
      <c r="E493">
        <v>184350</v>
      </c>
      <c r="F493">
        <v>29496</v>
      </c>
      <c r="G493">
        <v>0</v>
      </c>
      <c r="H493">
        <v>0</v>
      </c>
      <c r="I493">
        <v>181</v>
      </c>
      <c r="J493">
        <v>213846</v>
      </c>
      <c r="K493" t="s">
        <v>9481</v>
      </c>
      <c r="L493" s="1">
        <v>41087</v>
      </c>
      <c r="N493" t="s">
        <v>6694</v>
      </c>
      <c r="O493" t="s">
        <v>3507</v>
      </c>
      <c r="P493" t="s">
        <v>8528</v>
      </c>
      <c r="Q493" t="s">
        <v>39</v>
      </c>
      <c r="R493" t="s">
        <v>40</v>
      </c>
      <c r="S493">
        <v>0</v>
      </c>
      <c r="U493" t="s">
        <v>41</v>
      </c>
      <c r="V493" t="s">
        <v>42</v>
      </c>
      <c r="X493" t="s">
        <v>74</v>
      </c>
      <c r="Y493" t="b">
        <v>0</v>
      </c>
      <c r="Z493" t="b">
        <v>0</v>
      </c>
      <c r="AC493" s="1"/>
      <c r="AF493">
        <v>0</v>
      </c>
      <c r="AG493">
        <v>45</v>
      </c>
      <c r="AH493">
        <v>226</v>
      </c>
      <c r="AI493" s="2">
        <f>Table__192.168.3.138BEWLPPMetaData[[#This Row],[NetAmount]]-Table__192.168.3.138BEWLPPMetaData[[#This Row],[Paid]]</f>
        <v>213846</v>
      </c>
    </row>
    <row r="494" spans="1:35" hidden="1">
      <c r="A494" t="s">
        <v>9482</v>
      </c>
      <c r="B494" s="1">
        <v>41069</v>
      </c>
      <c r="C494" s="1">
        <v>41114</v>
      </c>
      <c r="D494" t="s">
        <v>8527</v>
      </c>
      <c r="E494">
        <v>126750</v>
      </c>
      <c r="F494">
        <v>20280</v>
      </c>
      <c r="G494">
        <v>0</v>
      </c>
      <c r="H494">
        <v>0</v>
      </c>
      <c r="I494">
        <v>181</v>
      </c>
      <c r="J494">
        <v>147030</v>
      </c>
      <c r="K494" t="s">
        <v>9483</v>
      </c>
      <c r="L494" s="1">
        <v>41087</v>
      </c>
      <c r="N494" t="s">
        <v>6694</v>
      </c>
      <c r="O494" t="s">
        <v>3507</v>
      </c>
      <c r="P494" t="s">
        <v>8528</v>
      </c>
      <c r="Q494" t="s">
        <v>39</v>
      </c>
      <c r="R494" t="s">
        <v>40</v>
      </c>
      <c r="S494">
        <v>0</v>
      </c>
      <c r="U494" t="s">
        <v>41</v>
      </c>
      <c r="V494" t="s">
        <v>42</v>
      </c>
      <c r="X494" t="s">
        <v>74</v>
      </c>
      <c r="Y494" t="b">
        <v>0</v>
      </c>
      <c r="Z494" t="b">
        <v>0</v>
      </c>
      <c r="AC494" s="1"/>
      <c r="AF494">
        <v>0</v>
      </c>
      <c r="AG494">
        <v>45</v>
      </c>
      <c r="AH494">
        <v>226</v>
      </c>
      <c r="AI494" s="2">
        <f>Table__192.168.3.138BEWLPPMetaData[[#This Row],[NetAmount]]-Table__192.168.3.138BEWLPPMetaData[[#This Row],[Paid]]</f>
        <v>147030</v>
      </c>
    </row>
    <row r="495" spans="1:35" hidden="1">
      <c r="A495" t="s">
        <v>9484</v>
      </c>
      <c r="B495" s="1">
        <v>41088</v>
      </c>
      <c r="C495" s="1">
        <v>41133</v>
      </c>
      <c r="D495" t="s">
        <v>5469</v>
      </c>
      <c r="E495">
        <v>102000</v>
      </c>
      <c r="F495">
        <v>16320</v>
      </c>
      <c r="G495">
        <v>0</v>
      </c>
      <c r="H495">
        <v>0</v>
      </c>
      <c r="I495">
        <v>180</v>
      </c>
      <c r="J495">
        <v>118320</v>
      </c>
      <c r="L495" s="1">
        <v>41088</v>
      </c>
      <c r="N495" t="s">
        <v>6694</v>
      </c>
      <c r="O495" t="s">
        <v>3507</v>
      </c>
      <c r="P495" t="s">
        <v>368</v>
      </c>
      <c r="Q495" t="s">
        <v>39</v>
      </c>
      <c r="R495" t="s">
        <v>40</v>
      </c>
      <c r="S495">
        <v>0</v>
      </c>
      <c r="U495" t="s">
        <v>41</v>
      </c>
      <c r="V495" t="s">
        <v>42</v>
      </c>
      <c r="X495" t="s">
        <v>74</v>
      </c>
      <c r="Y495" t="b">
        <v>0</v>
      </c>
      <c r="Z495" t="b">
        <v>0</v>
      </c>
      <c r="AC495" s="1"/>
      <c r="AF495">
        <v>0</v>
      </c>
      <c r="AG495">
        <v>45</v>
      </c>
      <c r="AH495">
        <v>225</v>
      </c>
      <c r="AI495" s="2">
        <f>Table__192.168.3.138BEWLPPMetaData[[#This Row],[NetAmount]]-Table__192.168.3.138BEWLPPMetaData[[#This Row],[Paid]]</f>
        <v>118320</v>
      </c>
    </row>
    <row r="496" spans="1:35" hidden="1">
      <c r="A496" t="s">
        <v>9485</v>
      </c>
      <c r="B496" s="1">
        <v>41088</v>
      </c>
      <c r="C496" s="1">
        <v>41133</v>
      </c>
      <c r="D496" t="s">
        <v>8611</v>
      </c>
      <c r="E496">
        <v>49432</v>
      </c>
      <c r="F496">
        <v>7909</v>
      </c>
      <c r="G496">
        <v>0</v>
      </c>
      <c r="H496">
        <v>0</v>
      </c>
      <c r="I496">
        <v>180</v>
      </c>
      <c r="J496">
        <v>57341</v>
      </c>
      <c r="K496" t="s">
        <v>9486</v>
      </c>
      <c r="L496" s="1">
        <v>41088</v>
      </c>
      <c r="N496" t="s">
        <v>6694</v>
      </c>
      <c r="O496" t="s">
        <v>3507</v>
      </c>
      <c r="P496" t="s">
        <v>8612</v>
      </c>
      <c r="Q496" t="s">
        <v>39</v>
      </c>
      <c r="R496" t="s">
        <v>40</v>
      </c>
      <c r="S496">
        <v>0</v>
      </c>
      <c r="U496" t="s">
        <v>41</v>
      </c>
      <c r="V496" t="s">
        <v>42</v>
      </c>
      <c r="X496" t="s">
        <v>74</v>
      </c>
      <c r="Y496" t="b">
        <v>0</v>
      </c>
      <c r="Z496" t="b">
        <v>0</v>
      </c>
      <c r="AB496" t="s">
        <v>538</v>
      </c>
      <c r="AC496" s="1">
        <v>41163</v>
      </c>
      <c r="AE496" t="s">
        <v>9487</v>
      </c>
      <c r="AF496">
        <v>0</v>
      </c>
      <c r="AG496">
        <v>45</v>
      </c>
      <c r="AH496">
        <v>225</v>
      </c>
      <c r="AI496" s="2">
        <f>Table__192.168.3.138BEWLPPMetaData[[#This Row],[NetAmount]]-Table__192.168.3.138BEWLPPMetaData[[#This Row],[Paid]]</f>
        <v>57341</v>
      </c>
    </row>
    <row r="497" spans="1:35" hidden="1">
      <c r="A497" t="s">
        <v>9488</v>
      </c>
      <c r="B497" s="1">
        <v>41086</v>
      </c>
      <c r="C497" s="1">
        <v>41131</v>
      </c>
      <c r="D497" t="s">
        <v>8588</v>
      </c>
      <c r="E497">
        <v>69714</v>
      </c>
      <c r="F497">
        <v>11154</v>
      </c>
      <c r="G497">
        <v>0</v>
      </c>
      <c r="H497">
        <v>0</v>
      </c>
      <c r="I497">
        <v>182</v>
      </c>
      <c r="J497">
        <v>80868</v>
      </c>
      <c r="K497" t="s">
        <v>9489</v>
      </c>
      <c r="L497" s="1">
        <v>41086</v>
      </c>
      <c r="N497" t="s">
        <v>6694</v>
      </c>
      <c r="O497" t="s">
        <v>3507</v>
      </c>
      <c r="P497" t="s">
        <v>8589</v>
      </c>
      <c r="Q497" t="s">
        <v>39</v>
      </c>
      <c r="R497" t="s">
        <v>40</v>
      </c>
      <c r="S497">
        <v>0</v>
      </c>
      <c r="U497" t="s">
        <v>41</v>
      </c>
      <c r="V497" t="s">
        <v>42</v>
      </c>
      <c r="X497" t="s">
        <v>74</v>
      </c>
      <c r="Y497" t="b">
        <v>0</v>
      </c>
      <c r="Z497" t="b">
        <v>0</v>
      </c>
      <c r="AC497" s="1"/>
      <c r="AF497">
        <v>0</v>
      </c>
      <c r="AG497">
        <v>45</v>
      </c>
      <c r="AH497">
        <v>227</v>
      </c>
      <c r="AI497" s="2">
        <f>Table__192.168.3.138BEWLPPMetaData[[#This Row],[NetAmount]]-Table__192.168.3.138BEWLPPMetaData[[#This Row],[Paid]]</f>
        <v>80868</v>
      </c>
    </row>
    <row r="498" spans="1:35" hidden="1">
      <c r="A498" t="s">
        <v>9490</v>
      </c>
      <c r="B498" s="1">
        <v>41088</v>
      </c>
      <c r="C498" s="1">
        <v>41133</v>
      </c>
      <c r="D498" t="s">
        <v>8588</v>
      </c>
      <c r="E498">
        <v>11044</v>
      </c>
      <c r="F498">
        <v>1767</v>
      </c>
      <c r="G498">
        <v>0</v>
      </c>
      <c r="H498">
        <v>0</v>
      </c>
      <c r="I498">
        <v>180</v>
      </c>
      <c r="J498">
        <v>12811</v>
      </c>
      <c r="K498" t="s">
        <v>9491</v>
      </c>
      <c r="L498" s="1">
        <v>41088</v>
      </c>
      <c r="N498" t="s">
        <v>6694</v>
      </c>
      <c r="O498" t="s">
        <v>3507</v>
      </c>
      <c r="P498" t="s">
        <v>8589</v>
      </c>
      <c r="Q498" t="s">
        <v>39</v>
      </c>
      <c r="R498" t="s">
        <v>40</v>
      </c>
      <c r="S498">
        <v>0</v>
      </c>
      <c r="U498" t="s">
        <v>41</v>
      </c>
      <c r="V498" t="s">
        <v>42</v>
      </c>
      <c r="X498" t="s">
        <v>74</v>
      </c>
      <c r="Y498" t="b">
        <v>0</v>
      </c>
      <c r="Z498" t="b">
        <v>0</v>
      </c>
      <c r="AC498" s="1"/>
      <c r="AF498">
        <v>0</v>
      </c>
      <c r="AG498">
        <v>45</v>
      </c>
      <c r="AH498">
        <v>225</v>
      </c>
      <c r="AI498" s="2">
        <f>Table__192.168.3.138BEWLPPMetaData[[#This Row],[NetAmount]]-Table__192.168.3.138BEWLPPMetaData[[#This Row],[Paid]]</f>
        <v>12811</v>
      </c>
    </row>
    <row r="499" spans="1:35" hidden="1">
      <c r="A499" t="s">
        <v>9492</v>
      </c>
      <c r="B499" s="1">
        <v>41089</v>
      </c>
      <c r="C499" s="1">
        <v>41134</v>
      </c>
      <c r="D499" t="s">
        <v>5529</v>
      </c>
      <c r="E499">
        <v>344400</v>
      </c>
      <c r="F499">
        <v>55104</v>
      </c>
      <c r="G499">
        <v>0</v>
      </c>
      <c r="H499">
        <v>0</v>
      </c>
      <c r="I499">
        <v>183</v>
      </c>
      <c r="J499">
        <v>399504</v>
      </c>
      <c r="K499" t="s">
        <v>9493</v>
      </c>
      <c r="L499" s="1">
        <v>41085</v>
      </c>
      <c r="N499" t="s">
        <v>6694</v>
      </c>
      <c r="O499" t="s">
        <v>3507</v>
      </c>
      <c r="P499" t="s">
        <v>8614</v>
      </c>
      <c r="Q499" t="s">
        <v>39</v>
      </c>
      <c r="R499" t="s">
        <v>40</v>
      </c>
      <c r="S499">
        <v>0</v>
      </c>
      <c r="U499" t="s">
        <v>41</v>
      </c>
      <c r="V499" t="s">
        <v>42</v>
      </c>
      <c r="X499" t="s">
        <v>74</v>
      </c>
      <c r="Y499" t="b">
        <v>0</v>
      </c>
      <c r="Z499" t="b">
        <v>0</v>
      </c>
      <c r="AB499" t="s">
        <v>9411</v>
      </c>
      <c r="AC499" s="1">
        <v>41305</v>
      </c>
      <c r="AE499" t="s">
        <v>9413</v>
      </c>
      <c r="AF499">
        <v>0</v>
      </c>
      <c r="AG499">
        <v>45</v>
      </c>
      <c r="AH499">
        <v>228</v>
      </c>
      <c r="AI499" s="2">
        <f>Table__192.168.3.138BEWLPPMetaData[[#This Row],[NetAmount]]-Table__192.168.3.138BEWLPPMetaData[[#This Row],[Paid]]</f>
        <v>399504</v>
      </c>
    </row>
    <row r="500" spans="1:35" hidden="1">
      <c r="A500" t="s">
        <v>9494</v>
      </c>
      <c r="B500" s="1">
        <v>41090</v>
      </c>
      <c r="C500" s="1">
        <v>41090</v>
      </c>
      <c r="D500" t="s">
        <v>8591</v>
      </c>
      <c r="E500">
        <v>8090</v>
      </c>
      <c r="F500">
        <v>1294</v>
      </c>
      <c r="G500">
        <v>0</v>
      </c>
      <c r="H500">
        <v>0</v>
      </c>
      <c r="I500">
        <v>0</v>
      </c>
      <c r="J500">
        <v>9384</v>
      </c>
      <c r="K500" t="s">
        <v>9495</v>
      </c>
      <c r="L500" s="1">
        <v>41090</v>
      </c>
      <c r="N500" t="s">
        <v>6694</v>
      </c>
      <c r="O500" t="s">
        <v>3507</v>
      </c>
      <c r="P500" t="s">
        <v>425</v>
      </c>
      <c r="Q500" t="s">
        <v>39</v>
      </c>
      <c r="R500" t="s">
        <v>40</v>
      </c>
      <c r="S500">
        <v>0</v>
      </c>
      <c r="U500" t="s">
        <v>41</v>
      </c>
      <c r="V500" t="s">
        <v>42</v>
      </c>
      <c r="X500" t="s">
        <v>74</v>
      </c>
      <c r="Y500" t="b">
        <v>0</v>
      </c>
      <c r="Z500" t="b">
        <v>0</v>
      </c>
      <c r="AC500" s="1"/>
      <c r="AF500">
        <v>0</v>
      </c>
      <c r="AH500">
        <v>223</v>
      </c>
      <c r="AI500" s="2">
        <f>Table__192.168.3.138BEWLPPMetaData[[#This Row],[NetAmount]]-Table__192.168.3.138BEWLPPMetaData[[#This Row],[Paid]]</f>
        <v>9384</v>
      </c>
    </row>
    <row r="501" spans="1:35" hidden="1">
      <c r="A501" t="s">
        <v>9496</v>
      </c>
      <c r="B501" s="1">
        <v>41086</v>
      </c>
      <c r="C501" s="1">
        <v>41131</v>
      </c>
      <c r="D501" t="s">
        <v>8534</v>
      </c>
      <c r="E501">
        <v>24650</v>
      </c>
      <c r="F501">
        <v>3944</v>
      </c>
      <c r="G501">
        <v>0</v>
      </c>
      <c r="H501">
        <v>0</v>
      </c>
      <c r="I501">
        <v>182</v>
      </c>
      <c r="J501">
        <v>28594</v>
      </c>
      <c r="K501" t="s">
        <v>9497</v>
      </c>
      <c r="L501" s="1">
        <v>41086</v>
      </c>
      <c r="N501" t="s">
        <v>6694</v>
      </c>
      <c r="O501" t="s">
        <v>3507</v>
      </c>
      <c r="P501" t="s">
        <v>8535</v>
      </c>
      <c r="Q501" t="s">
        <v>39</v>
      </c>
      <c r="R501" t="s">
        <v>40</v>
      </c>
      <c r="S501">
        <v>0</v>
      </c>
      <c r="U501" t="s">
        <v>41</v>
      </c>
      <c r="V501" t="s">
        <v>42</v>
      </c>
      <c r="X501" t="s">
        <v>74</v>
      </c>
      <c r="Y501" t="b">
        <v>0</v>
      </c>
      <c r="Z501" t="b">
        <v>0</v>
      </c>
      <c r="AC501" s="1"/>
      <c r="AF501">
        <v>0</v>
      </c>
      <c r="AG501">
        <v>45</v>
      </c>
      <c r="AH501">
        <v>227</v>
      </c>
      <c r="AI501" s="2">
        <f>Table__192.168.3.138BEWLPPMetaData[[#This Row],[NetAmount]]-Table__192.168.3.138BEWLPPMetaData[[#This Row],[Paid]]</f>
        <v>28594</v>
      </c>
    </row>
    <row r="502" spans="1:35" hidden="1">
      <c r="A502" t="s">
        <v>9498</v>
      </c>
      <c r="B502" s="1">
        <v>41088</v>
      </c>
      <c r="C502" s="1">
        <v>41133</v>
      </c>
      <c r="D502" t="s">
        <v>8534</v>
      </c>
      <c r="E502">
        <v>21750</v>
      </c>
      <c r="F502">
        <v>3480</v>
      </c>
      <c r="G502">
        <v>0</v>
      </c>
      <c r="H502">
        <v>0</v>
      </c>
      <c r="I502">
        <v>180</v>
      </c>
      <c r="J502">
        <v>25230</v>
      </c>
      <c r="K502" t="s">
        <v>9499</v>
      </c>
      <c r="L502" s="1">
        <v>41088</v>
      </c>
      <c r="N502" t="s">
        <v>6694</v>
      </c>
      <c r="O502" t="s">
        <v>3507</v>
      </c>
      <c r="P502" t="s">
        <v>8535</v>
      </c>
      <c r="Q502" t="s">
        <v>39</v>
      </c>
      <c r="R502" t="s">
        <v>40</v>
      </c>
      <c r="S502">
        <v>0</v>
      </c>
      <c r="U502" t="s">
        <v>41</v>
      </c>
      <c r="V502" t="s">
        <v>42</v>
      </c>
      <c r="X502" t="s">
        <v>74</v>
      </c>
      <c r="Y502" t="b">
        <v>0</v>
      </c>
      <c r="Z502" t="b">
        <v>0</v>
      </c>
      <c r="AC502" s="1"/>
      <c r="AF502">
        <v>0</v>
      </c>
      <c r="AG502">
        <v>45</v>
      </c>
      <c r="AH502">
        <v>225</v>
      </c>
      <c r="AI502" s="2">
        <f>Table__192.168.3.138BEWLPPMetaData[[#This Row],[NetAmount]]-Table__192.168.3.138BEWLPPMetaData[[#This Row],[Paid]]</f>
        <v>25230</v>
      </c>
    </row>
    <row r="503" spans="1:35" hidden="1">
      <c r="A503" t="s">
        <v>9500</v>
      </c>
      <c r="B503" s="1">
        <v>41100</v>
      </c>
      <c r="C503" s="1">
        <v>41145</v>
      </c>
      <c r="D503" t="s">
        <v>8530</v>
      </c>
      <c r="E503">
        <v>5142</v>
      </c>
      <c r="F503">
        <v>823</v>
      </c>
      <c r="G503">
        <v>0</v>
      </c>
      <c r="H503">
        <v>0</v>
      </c>
      <c r="I503">
        <v>168</v>
      </c>
      <c r="J503">
        <v>5965</v>
      </c>
      <c r="K503" t="s">
        <v>9501</v>
      </c>
      <c r="L503" s="1">
        <v>41100</v>
      </c>
      <c r="N503" t="s">
        <v>36</v>
      </c>
      <c r="O503" t="s">
        <v>6047</v>
      </c>
      <c r="P503" t="s">
        <v>357</v>
      </c>
      <c r="Q503" t="s">
        <v>39</v>
      </c>
      <c r="R503" t="s">
        <v>40</v>
      </c>
      <c r="S503">
        <v>0</v>
      </c>
      <c r="U503" t="s">
        <v>41</v>
      </c>
      <c r="V503" t="s">
        <v>42</v>
      </c>
      <c r="X503" t="s">
        <v>74</v>
      </c>
      <c r="Y503" t="b">
        <v>0</v>
      </c>
      <c r="Z503" t="b">
        <v>0</v>
      </c>
      <c r="AC503" s="1"/>
      <c r="AF503">
        <v>0</v>
      </c>
      <c r="AG503">
        <v>45</v>
      </c>
      <c r="AH503">
        <v>213</v>
      </c>
      <c r="AI503" s="2">
        <f>Table__192.168.3.138BEWLPPMetaData[[#This Row],[NetAmount]]-Table__192.168.3.138BEWLPPMetaData[[#This Row],[Paid]]</f>
        <v>5965</v>
      </c>
    </row>
    <row r="504" spans="1:35" hidden="1">
      <c r="A504" t="s">
        <v>9502</v>
      </c>
      <c r="B504" s="1">
        <v>41103</v>
      </c>
      <c r="C504" s="1">
        <v>41148</v>
      </c>
      <c r="D504" t="s">
        <v>8530</v>
      </c>
      <c r="E504">
        <v>832</v>
      </c>
      <c r="F504">
        <v>133</v>
      </c>
      <c r="G504">
        <v>0</v>
      </c>
      <c r="H504">
        <v>0</v>
      </c>
      <c r="I504">
        <v>165</v>
      </c>
      <c r="J504">
        <v>965</v>
      </c>
      <c r="K504" t="s">
        <v>9503</v>
      </c>
      <c r="L504" s="1">
        <v>41103</v>
      </c>
      <c r="N504" t="s">
        <v>36</v>
      </c>
      <c r="O504" t="s">
        <v>6047</v>
      </c>
      <c r="P504" t="s">
        <v>357</v>
      </c>
      <c r="Q504" t="s">
        <v>39</v>
      </c>
      <c r="R504" t="s">
        <v>40</v>
      </c>
      <c r="S504">
        <v>0</v>
      </c>
      <c r="U504" t="s">
        <v>41</v>
      </c>
      <c r="V504" t="s">
        <v>42</v>
      </c>
      <c r="X504" t="s">
        <v>74</v>
      </c>
      <c r="Y504" t="b">
        <v>0</v>
      </c>
      <c r="Z504" t="b">
        <v>0</v>
      </c>
      <c r="AC504" s="1"/>
      <c r="AF504">
        <v>0</v>
      </c>
      <c r="AG504">
        <v>45</v>
      </c>
      <c r="AH504">
        <v>210</v>
      </c>
      <c r="AI504" s="2">
        <f>Table__192.168.3.138BEWLPPMetaData[[#This Row],[NetAmount]]-Table__192.168.3.138BEWLPPMetaData[[#This Row],[Paid]]</f>
        <v>965</v>
      </c>
    </row>
    <row r="505" spans="1:35" hidden="1">
      <c r="A505" t="s">
        <v>9504</v>
      </c>
      <c r="B505" s="1">
        <v>41108</v>
      </c>
      <c r="C505" s="1">
        <v>41153</v>
      </c>
      <c r="D505" t="s">
        <v>8530</v>
      </c>
      <c r="E505">
        <v>4800</v>
      </c>
      <c r="F505">
        <v>768</v>
      </c>
      <c r="G505">
        <v>0</v>
      </c>
      <c r="H505">
        <v>0</v>
      </c>
      <c r="I505">
        <v>160</v>
      </c>
      <c r="J505">
        <v>5568</v>
      </c>
      <c r="K505" t="s">
        <v>9505</v>
      </c>
      <c r="L505" s="1">
        <v>41108</v>
      </c>
      <c r="N505" t="s">
        <v>36</v>
      </c>
      <c r="O505" t="s">
        <v>6047</v>
      </c>
      <c r="P505" t="s">
        <v>357</v>
      </c>
      <c r="Q505" t="s">
        <v>39</v>
      </c>
      <c r="R505" t="s">
        <v>40</v>
      </c>
      <c r="S505">
        <v>0</v>
      </c>
      <c r="U505" t="s">
        <v>41</v>
      </c>
      <c r="V505" t="s">
        <v>42</v>
      </c>
      <c r="X505" t="s">
        <v>74</v>
      </c>
      <c r="Y505" t="b">
        <v>0</v>
      </c>
      <c r="Z505" t="b">
        <v>0</v>
      </c>
      <c r="AC505" s="1"/>
      <c r="AF505">
        <v>0</v>
      </c>
      <c r="AG505">
        <v>45</v>
      </c>
      <c r="AH505">
        <v>205</v>
      </c>
      <c r="AI505" s="2">
        <f>Table__192.168.3.138BEWLPPMetaData[[#This Row],[NetAmount]]-Table__192.168.3.138BEWLPPMetaData[[#This Row],[Paid]]</f>
        <v>5568</v>
      </c>
    </row>
    <row r="506" spans="1:35" hidden="1">
      <c r="A506" t="s">
        <v>9506</v>
      </c>
      <c r="B506" s="1">
        <v>41093</v>
      </c>
      <c r="C506" s="1">
        <v>41138</v>
      </c>
      <c r="D506" t="s">
        <v>8725</v>
      </c>
      <c r="E506">
        <v>11000</v>
      </c>
      <c r="F506">
        <v>0</v>
      </c>
      <c r="G506">
        <v>0</v>
      </c>
      <c r="H506">
        <v>0</v>
      </c>
      <c r="I506">
        <v>175</v>
      </c>
      <c r="J506">
        <v>11000</v>
      </c>
      <c r="K506" t="s">
        <v>8911</v>
      </c>
      <c r="L506" s="1">
        <v>41093</v>
      </c>
      <c r="N506" t="s">
        <v>36</v>
      </c>
      <c r="O506" t="s">
        <v>6047</v>
      </c>
      <c r="P506" t="s">
        <v>8727</v>
      </c>
      <c r="Q506" t="s">
        <v>39</v>
      </c>
      <c r="R506" t="s">
        <v>40</v>
      </c>
      <c r="S506">
        <v>0</v>
      </c>
      <c r="U506" t="s">
        <v>41</v>
      </c>
      <c r="V506" t="s">
        <v>42</v>
      </c>
      <c r="X506" t="s">
        <v>74</v>
      </c>
      <c r="Y506" t="b">
        <v>0</v>
      </c>
      <c r="Z506" t="b">
        <v>0</v>
      </c>
      <c r="AC506" s="1"/>
      <c r="AF506">
        <v>0</v>
      </c>
      <c r="AG506">
        <v>45</v>
      </c>
      <c r="AH506">
        <v>220</v>
      </c>
      <c r="AI506" s="2">
        <f>Table__192.168.3.138BEWLPPMetaData[[#This Row],[NetAmount]]-Table__192.168.3.138BEWLPPMetaData[[#This Row],[Paid]]</f>
        <v>11000</v>
      </c>
    </row>
    <row r="507" spans="1:35" hidden="1">
      <c r="A507" t="s">
        <v>9507</v>
      </c>
      <c r="B507" s="1">
        <v>41118</v>
      </c>
      <c r="C507" s="1">
        <v>41163</v>
      </c>
      <c r="D507" t="s">
        <v>8725</v>
      </c>
      <c r="E507">
        <v>22000</v>
      </c>
      <c r="F507">
        <v>0</v>
      </c>
      <c r="G507">
        <v>0</v>
      </c>
      <c r="H507">
        <v>0</v>
      </c>
      <c r="I507">
        <v>154</v>
      </c>
      <c r="J507">
        <v>22000</v>
      </c>
      <c r="K507" t="s">
        <v>9508</v>
      </c>
      <c r="L507" s="1">
        <v>41114</v>
      </c>
      <c r="N507" t="s">
        <v>36</v>
      </c>
      <c r="O507" t="s">
        <v>6047</v>
      </c>
      <c r="P507" t="s">
        <v>8727</v>
      </c>
      <c r="Q507" t="s">
        <v>39</v>
      </c>
      <c r="R507" t="s">
        <v>40</v>
      </c>
      <c r="S507">
        <v>0</v>
      </c>
      <c r="U507" t="s">
        <v>41</v>
      </c>
      <c r="V507" t="s">
        <v>42</v>
      </c>
      <c r="X507" t="s">
        <v>74</v>
      </c>
      <c r="Y507" t="b">
        <v>0</v>
      </c>
      <c r="Z507" t="b">
        <v>0</v>
      </c>
      <c r="AC507" s="1"/>
      <c r="AF507">
        <v>0</v>
      </c>
      <c r="AG507">
        <v>45</v>
      </c>
      <c r="AH507">
        <v>199</v>
      </c>
      <c r="AI507" s="2">
        <f>Table__192.168.3.138BEWLPPMetaData[[#This Row],[NetAmount]]-Table__192.168.3.138BEWLPPMetaData[[#This Row],[Paid]]</f>
        <v>22000</v>
      </c>
    </row>
    <row r="508" spans="1:35" hidden="1">
      <c r="A508" t="s">
        <v>9509</v>
      </c>
      <c r="B508" s="1">
        <v>41117</v>
      </c>
      <c r="C508" s="1">
        <v>41162</v>
      </c>
      <c r="D508" t="s">
        <v>8530</v>
      </c>
      <c r="E508">
        <v>826</v>
      </c>
      <c r="F508">
        <v>132</v>
      </c>
      <c r="G508">
        <v>0</v>
      </c>
      <c r="H508">
        <v>0</v>
      </c>
      <c r="I508">
        <v>147</v>
      </c>
      <c r="J508">
        <v>958</v>
      </c>
      <c r="K508" t="s">
        <v>9510</v>
      </c>
      <c r="L508" s="1">
        <v>41121</v>
      </c>
      <c r="N508" t="s">
        <v>36</v>
      </c>
      <c r="O508" t="s">
        <v>6047</v>
      </c>
      <c r="P508" t="s">
        <v>357</v>
      </c>
      <c r="Q508" t="s">
        <v>39</v>
      </c>
      <c r="R508" t="s">
        <v>40</v>
      </c>
      <c r="S508">
        <v>0</v>
      </c>
      <c r="U508" t="s">
        <v>41</v>
      </c>
      <c r="V508" t="s">
        <v>42</v>
      </c>
      <c r="X508" t="s">
        <v>74</v>
      </c>
      <c r="Y508" t="b">
        <v>0</v>
      </c>
      <c r="Z508" t="b">
        <v>0</v>
      </c>
      <c r="AC508" s="1"/>
      <c r="AF508">
        <v>0</v>
      </c>
      <c r="AG508">
        <v>45</v>
      </c>
      <c r="AH508">
        <v>192</v>
      </c>
      <c r="AI508" s="2">
        <f>Table__192.168.3.138BEWLPPMetaData[[#This Row],[NetAmount]]-Table__192.168.3.138BEWLPPMetaData[[#This Row],[Paid]]</f>
        <v>958</v>
      </c>
    </row>
    <row r="509" spans="1:35" hidden="1">
      <c r="A509" t="s">
        <v>9511</v>
      </c>
      <c r="B509" s="1">
        <v>41121</v>
      </c>
      <c r="C509" s="1">
        <v>41166</v>
      </c>
      <c r="D509" t="s">
        <v>8530</v>
      </c>
      <c r="E509">
        <v>2716</v>
      </c>
      <c r="F509">
        <v>435</v>
      </c>
      <c r="G509">
        <v>0</v>
      </c>
      <c r="H509">
        <v>0</v>
      </c>
      <c r="I509">
        <v>147</v>
      </c>
      <c r="J509">
        <v>3151</v>
      </c>
      <c r="K509" t="s">
        <v>9512</v>
      </c>
      <c r="L509" s="1">
        <v>41121</v>
      </c>
      <c r="N509" t="s">
        <v>36</v>
      </c>
      <c r="O509" t="s">
        <v>6047</v>
      </c>
      <c r="P509" t="s">
        <v>357</v>
      </c>
      <c r="Q509" t="s">
        <v>39</v>
      </c>
      <c r="R509" t="s">
        <v>40</v>
      </c>
      <c r="S509">
        <v>0</v>
      </c>
      <c r="U509" t="s">
        <v>41</v>
      </c>
      <c r="V509" t="s">
        <v>42</v>
      </c>
      <c r="X509" t="s">
        <v>74</v>
      </c>
      <c r="Y509" t="b">
        <v>0</v>
      </c>
      <c r="Z509" t="b">
        <v>0</v>
      </c>
      <c r="AC509" s="1"/>
      <c r="AF509">
        <v>0</v>
      </c>
      <c r="AG509">
        <v>45</v>
      </c>
      <c r="AH509">
        <v>192</v>
      </c>
      <c r="AI509" s="2">
        <f>Table__192.168.3.138BEWLPPMetaData[[#This Row],[NetAmount]]-Table__192.168.3.138BEWLPPMetaData[[#This Row],[Paid]]</f>
        <v>3151</v>
      </c>
    </row>
    <row r="510" spans="1:35" hidden="1">
      <c r="A510" t="s">
        <v>9513</v>
      </c>
      <c r="B510" s="1">
        <v>41127</v>
      </c>
      <c r="C510" s="1">
        <v>41172</v>
      </c>
      <c r="D510" t="s">
        <v>8530</v>
      </c>
      <c r="E510">
        <v>2198</v>
      </c>
      <c r="F510">
        <v>352</v>
      </c>
      <c r="G510">
        <v>0</v>
      </c>
      <c r="H510">
        <v>0</v>
      </c>
      <c r="I510">
        <v>141</v>
      </c>
      <c r="J510">
        <v>2550</v>
      </c>
      <c r="K510" t="s">
        <v>9514</v>
      </c>
      <c r="L510" s="1">
        <v>41127</v>
      </c>
      <c r="N510" t="s">
        <v>36</v>
      </c>
      <c r="O510" t="s">
        <v>6047</v>
      </c>
      <c r="P510" t="s">
        <v>357</v>
      </c>
      <c r="Q510" t="s">
        <v>39</v>
      </c>
      <c r="R510" t="s">
        <v>40</v>
      </c>
      <c r="S510">
        <v>0</v>
      </c>
      <c r="U510" t="s">
        <v>41</v>
      </c>
      <c r="V510" t="s">
        <v>42</v>
      </c>
      <c r="X510" t="s">
        <v>74</v>
      </c>
      <c r="Y510" t="b">
        <v>0</v>
      </c>
      <c r="Z510" t="b">
        <v>0</v>
      </c>
      <c r="AC510" s="1"/>
      <c r="AF510">
        <v>0</v>
      </c>
      <c r="AG510">
        <v>45</v>
      </c>
      <c r="AH510">
        <v>186</v>
      </c>
      <c r="AI510" s="2">
        <f>Table__192.168.3.138BEWLPPMetaData[[#This Row],[NetAmount]]-Table__192.168.3.138BEWLPPMetaData[[#This Row],[Paid]]</f>
        <v>2550</v>
      </c>
    </row>
    <row r="511" spans="1:35" hidden="1">
      <c r="A511" t="s">
        <v>9515</v>
      </c>
      <c r="B511" s="1">
        <v>41116</v>
      </c>
      <c r="C511" s="1">
        <v>41161</v>
      </c>
      <c r="D511" t="s">
        <v>8721</v>
      </c>
      <c r="E511">
        <v>7890</v>
      </c>
      <c r="F511">
        <v>1262</v>
      </c>
      <c r="G511">
        <v>0</v>
      </c>
      <c r="H511">
        <v>0</v>
      </c>
      <c r="I511">
        <v>152</v>
      </c>
      <c r="J511">
        <v>9152</v>
      </c>
      <c r="K511" t="s">
        <v>3662</v>
      </c>
      <c r="L511" s="1">
        <v>41116</v>
      </c>
      <c r="N511" t="s">
        <v>36</v>
      </c>
      <c r="O511" t="s">
        <v>6047</v>
      </c>
      <c r="P511" t="s">
        <v>8723</v>
      </c>
      <c r="Q511" t="s">
        <v>39</v>
      </c>
      <c r="R511" t="s">
        <v>40</v>
      </c>
      <c r="S511">
        <v>0</v>
      </c>
      <c r="U511" t="s">
        <v>41</v>
      </c>
      <c r="V511" t="s">
        <v>42</v>
      </c>
      <c r="X511" t="s">
        <v>74</v>
      </c>
      <c r="Y511" t="b">
        <v>0</v>
      </c>
      <c r="Z511" t="b">
        <v>0</v>
      </c>
      <c r="AC511" s="1"/>
      <c r="AF511">
        <v>0</v>
      </c>
      <c r="AG511">
        <v>45</v>
      </c>
      <c r="AH511">
        <v>197</v>
      </c>
      <c r="AI511" s="2">
        <f>Table__192.168.3.138BEWLPPMetaData[[#This Row],[NetAmount]]-Table__192.168.3.138BEWLPPMetaData[[#This Row],[Paid]]</f>
        <v>9152</v>
      </c>
    </row>
    <row r="512" spans="1:35" hidden="1">
      <c r="A512" t="s">
        <v>9516</v>
      </c>
      <c r="B512" s="1">
        <v>41148</v>
      </c>
      <c r="C512" s="1">
        <v>41193</v>
      </c>
      <c r="D512" t="s">
        <v>8725</v>
      </c>
      <c r="E512">
        <v>16500</v>
      </c>
      <c r="F512">
        <v>0</v>
      </c>
      <c r="G512">
        <v>0</v>
      </c>
      <c r="H512">
        <v>0</v>
      </c>
      <c r="I512">
        <v>123</v>
      </c>
      <c r="J512">
        <v>16500</v>
      </c>
      <c r="K512" t="s">
        <v>9517</v>
      </c>
      <c r="L512" s="1">
        <v>41145</v>
      </c>
      <c r="N512" t="s">
        <v>36</v>
      </c>
      <c r="O512" t="s">
        <v>6047</v>
      </c>
      <c r="P512" t="s">
        <v>8727</v>
      </c>
      <c r="Q512" t="s">
        <v>39</v>
      </c>
      <c r="R512" t="s">
        <v>40</v>
      </c>
      <c r="S512">
        <v>0</v>
      </c>
      <c r="U512" t="s">
        <v>41</v>
      </c>
      <c r="V512" t="s">
        <v>42</v>
      </c>
      <c r="X512" t="s">
        <v>74</v>
      </c>
      <c r="Y512" t="b">
        <v>0</v>
      </c>
      <c r="Z512" t="b">
        <v>0</v>
      </c>
      <c r="AC512" s="1"/>
      <c r="AF512">
        <v>0</v>
      </c>
      <c r="AG512">
        <v>45</v>
      </c>
      <c r="AH512">
        <v>168</v>
      </c>
      <c r="AI512" s="2">
        <f>Table__192.168.3.138BEWLPPMetaData[[#This Row],[NetAmount]]-Table__192.168.3.138BEWLPPMetaData[[#This Row],[Paid]]</f>
        <v>16500</v>
      </c>
    </row>
    <row r="513" spans="1:35" hidden="1">
      <c r="A513" t="s">
        <v>9518</v>
      </c>
      <c r="B513" s="1">
        <v>41121</v>
      </c>
      <c r="C513" s="1">
        <v>41121</v>
      </c>
      <c r="D513" t="s">
        <v>9519</v>
      </c>
      <c r="E513">
        <v>11720</v>
      </c>
      <c r="F513">
        <v>1875</v>
      </c>
      <c r="G513">
        <v>0</v>
      </c>
      <c r="H513">
        <v>0</v>
      </c>
      <c r="I513">
        <v>0</v>
      </c>
      <c r="J513">
        <v>13595</v>
      </c>
      <c r="K513" t="s">
        <v>9001</v>
      </c>
      <c r="L513" s="1">
        <v>41121</v>
      </c>
      <c r="N513" t="s">
        <v>36</v>
      </c>
      <c r="O513" t="s">
        <v>6047</v>
      </c>
      <c r="P513" t="s">
        <v>433</v>
      </c>
      <c r="Q513" t="s">
        <v>39</v>
      </c>
      <c r="R513" t="s">
        <v>40</v>
      </c>
      <c r="S513">
        <v>0</v>
      </c>
      <c r="U513" t="s">
        <v>41</v>
      </c>
      <c r="V513" t="s">
        <v>42</v>
      </c>
      <c r="X513" t="s">
        <v>74</v>
      </c>
      <c r="Y513" t="b">
        <v>0</v>
      </c>
      <c r="Z513" t="b">
        <v>0</v>
      </c>
      <c r="AC513" s="1"/>
      <c r="AF513">
        <v>0</v>
      </c>
      <c r="AH513">
        <v>192</v>
      </c>
      <c r="AI513" s="2">
        <f>Table__192.168.3.138BEWLPPMetaData[[#This Row],[NetAmount]]-Table__192.168.3.138BEWLPPMetaData[[#This Row],[Paid]]</f>
        <v>13595</v>
      </c>
    </row>
    <row r="514" spans="1:35" hidden="1">
      <c r="A514" t="s">
        <v>9520</v>
      </c>
      <c r="B514" s="1">
        <v>41152</v>
      </c>
      <c r="C514" s="1">
        <v>41152</v>
      </c>
      <c r="D514" t="s">
        <v>9519</v>
      </c>
      <c r="E514">
        <v>15330</v>
      </c>
      <c r="F514">
        <v>2453</v>
      </c>
      <c r="G514">
        <v>0</v>
      </c>
      <c r="H514">
        <v>0</v>
      </c>
      <c r="I514">
        <v>0</v>
      </c>
      <c r="J514">
        <v>17783</v>
      </c>
      <c r="K514" t="s">
        <v>9001</v>
      </c>
      <c r="L514" s="1">
        <v>41152</v>
      </c>
      <c r="N514" t="s">
        <v>36</v>
      </c>
      <c r="O514" t="s">
        <v>6047</v>
      </c>
      <c r="P514" t="s">
        <v>433</v>
      </c>
      <c r="Q514" t="s">
        <v>39</v>
      </c>
      <c r="R514" t="s">
        <v>40</v>
      </c>
      <c r="S514">
        <v>0</v>
      </c>
      <c r="U514" t="s">
        <v>41</v>
      </c>
      <c r="V514" t="s">
        <v>42</v>
      </c>
      <c r="X514" t="s">
        <v>74</v>
      </c>
      <c r="Y514" t="b">
        <v>0</v>
      </c>
      <c r="Z514" t="b">
        <v>0</v>
      </c>
      <c r="AC514" s="1"/>
      <c r="AF514">
        <v>0</v>
      </c>
      <c r="AH514">
        <v>161</v>
      </c>
      <c r="AI514" s="2">
        <f>Table__192.168.3.138BEWLPPMetaData[[#This Row],[NetAmount]]-Table__192.168.3.138BEWLPPMetaData[[#This Row],[Paid]]</f>
        <v>17783</v>
      </c>
    </row>
    <row r="515" spans="1:35" hidden="1">
      <c r="A515" t="s">
        <v>9521</v>
      </c>
      <c r="B515" s="1">
        <v>41163</v>
      </c>
      <c r="C515" s="1">
        <v>41208</v>
      </c>
      <c r="D515" t="s">
        <v>8530</v>
      </c>
      <c r="E515">
        <v>3108</v>
      </c>
      <c r="F515">
        <v>497</v>
      </c>
      <c r="G515">
        <v>0</v>
      </c>
      <c r="H515">
        <v>0</v>
      </c>
      <c r="I515">
        <v>105</v>
      </c>
      <c r="J515">
        <v>3605</v>
      </c>
      <c r="K515" t="s">
        <v>9522</v>
      </c>
      <c r="L515" s="1">
        <v>41163</v>
      </c>
      <c r="N515" t="s">
        <v>36</v>
      </c>
      <c r="O515" t="s">
        <v>6047</v>
      </c>
      <c r="P515" t="s">
        <v>357</v>
      </c>
      <c r="Q515" t="s">
        <v>39</v>
      </c>
      <c r="R515" t="s">
        <v>40</v>
      </c>
      <c r="S515">
        <v>0</v>
      </c>
      <c r="U515" t="s">
        <v>41</v>
      </c>
      <c r="V515" t="s">
        <v>42</v>
      </c>
      <c r="X515" t="s">
        <v>74</v>
      </c>
      <c r="Y515" t="b">
        <v>0</v>
      </c>
      <c r="Z515" t="b">
        <v>0</v>
      </c>
      <c r="AC515" s="1"/>
      <c r="AF515">
        <v>0</v>
      </c>
      <c r="AG515">
        <v>45</v>
      </c>
      <c r="AH515">
        <v>150</v>
      </c>
      <c r="AI515" s="2">
        <f>Table__192.168.3.138BEWLPPMetaData[[#This Row],[NetAmount]]-Table__192.168.3.138BEWLPPMetaData[[#This Row],[Paid]]</f>
        <v>3605</v>
      </c>
    </row>
    <row r="516" spans="1:35" hidden="1">
      <c r="A516" t="s">
        <v>9523</v>
      </c>
      <c r="B516" s="1">
        <v>41167</v>
      </c>
      <c r="C516" s="1">
        <v>41212</v>
      </c>
      <c r="D516" t="s">
        <v>8725</v>
      </c>
      <c r="E516">
        <v>22000</v>
      </c>
      <c r="F516">
        <v>0</v>
      </c>
      <c r="G516">
        <v>0</v>
      </c>
      <c r="H516">
        <v>0</v>
      </c>
      <c r="I516">
        <v>101</v>
      </c>
      <c r="J516">
        <v>22000</v>
      </c>
      <c r="K516" t="s">
        <v>9524</v>
      </c>
      <c r="L516" s="1">
        <v>41167</v>
      </c>
      <c r="N516" t="s">
        <v>36</v>
      </c>
      <c r="O516" t="s">
        <v>6047</v>
      </c>
      <c r="P516" t="s">
        <v>8727</v>
      </c>
      <c r="Q516" t="s">
        <v>39</v>
      </c>
      <c r="R516" t="s">
        <v>40</v>
      </c>
      <c r="S516">
        <v>0</v>
      </c>
      <c r="U516" t="s">
        <v>41</v>
      </c>
      <c r="V516" t="s">
        <v>42</v>
      </c>
      <c r="X516" t="s">
        <v>74</v>
      </c>
      <c r="Y516" t="b">
        <v>0</v>
      </c>
      <c r="Z516" t="b">
        <v>0</v>
      </c>
      <c r="AC516" s="1"/>
      <c r="AF516">
        <v>0</v>
      </c>
      <c r="AG516">
        <v>45</v>
      </c>
      <c r="AH516">
        <v>146</v>
      </c>
      <c r="AI516" s="2">
        <f>Table__192.168.3.138BEWLPPMetaData[[#This Row],[NetAmount]]-Table__192.168.3.138BEWLPPMetaData[[#This Row],[Paid]]</f>
        <v>22000</v>
      </c>
    </row>
    <row r="517" spans="1:35" hidden="1">
      <c r="A517" t="s">
        <v>9525</v>
      </c>
      <c r="B517" s="1">
        <v>41180</v>
      </c>
      <c r="C517" s="1">
        <v>41225</v>
      </c>
      <c r="D517" t="s">
        <v>5509</v>
      </c>
      <c r="E517">
        <v>15600</v>
      </c>
      <c r="F517">
        <v>2496</v>
      </c>
      <c r="G517">
        <v>0</v>
      </c>
      <c r="H517">
        <v>0</v>
      </c>
      <c r="I517">
        <v>89</v>
      </c>
      <c r="J517">
        <v>18096</v>
      </c>
      <c r="K517" t="s">
        <v>9526</v>
      </c>
      <c r="L517" s="1">
        <v>41179</v>
      </c>
      <c r="N517" t="s">
        <v>36</v>
      </c>
      <c r="O517" t="s">
        <v>6047</v>
      </c>
      <c r="P517" t="s">
        <v>354</v>
      </c>
      <c r="Q517" t="s">
        <v>39</v>
      </c>
      <c r="R517" t="s">
        <v>40</v>
      </c>
      <c r="S517">
        <v>0</v>
      </c>
      <c r="U517" t="s">
        <v>41</v>
      </c>
      <c r="V517" t="s">
        <v>42</v>
      </c>
      <c r="X517" t="s">
        <v>74</v>
      </c>
      <c r="Y517" t="b">
        <v>0</v>
      </c>
      <c r="Z517" t="b">
        <v>0</v>
      </c>
      <c r="AB517" t="s">
        <v>8654</v>
      </c>
      <c r="AC517" s="1">
        <v>41296</v>
      </c>
      <c r="AF517">
        <v>0</v>
      </c>
      <c r="AG517">
        <v>45</v>
      </c>
      <c r="AH517">
        <v>134</v>
      </c>
      <c r="AI517" s="2">
        <f>Table__192.168.3.138BEWLPPMetaData[[#This Row],[NetAmount]]-Table__192.168.3.138BEWLPPMetaData[[#This Row],[Paid]]</f>
        <v>18096</v>
      </c>
    </row>
    <row r="518" spans="1:35" hidden="1">
      <c r="A518" t="s">
        <v>9527</v>
      </c>
      <c r="B518" s="1">
        <v>41182</v>
      </c>
      <c r="C518" s="1">
        <v>41227</v>
      </c>
      <c r="D518" t="s">
        <v>5509</v>
      </c>
      <c r="E518">
        <v>44200</v>
      </c>
      <c r="F518">
        <v>7072</v>
      </c>
      <c r="G518">
        <v>0</v>
      </c>
      <c r="H518">
        <v>0</v>
      </c>
      <c r="I518">
        <v>112</v>
      </c>
      <c r="J518">
        <v>51272</v>
      </c>
      <c r="K518" t="s">
        <v>9528</v>
      </c>
      <c r="L518" s="1">
        <v>41156</v>
      </c>
      <c r="N518" t="s">
        <v>36</v>
      </c>
      <c r="O518" t="s">
        <v>6047</v>
      </c>
      <c r="P518" t="s">
        <v>354</v>
      </c>
      <c r="Q518" t="s">
        <v>39</v>
      </c>
      <c r="R518" t="s">
        <v>40</v>
      </c>
      <c r="S518">
        <v>0</v>
      </c>
      <c r="U518" t="s">
        <v>41</v>
      </c>
      <c r="V518" t="s">
        <v>42</v>
      </c>
      <c r="X518" t="s">
        <v>74</v>
      </c>
      <c r="Y518" t="b">
        <v>0</v>
      </c>
      <c r="Z518" t="b">
        <v>0</v>
      </c>
      <c r="AB518" t="s">
        <v>8654</v>
      </c>
      <c r="AC518" s="1">
        <v>41296</v>
      </c>
      <c r="AF518">
        <v>0</v>
      </c>
      <c r="AG518">
        <v>45</v>
      </c>
      <c r="AH518">
        <v>157</v>
      </c>
      <c r="AI518" s="2">
        <f>Table__192.168.3.138BEWLPPMetaData[[#This Row],[NetAmount]]-Table__192.168.3.138BEWLPPMetaData[[#This Row],[Paid]]</f>
        <v>51272</v>
      </c>
    </row>
    <row r="519" spans="1:35" hidden="1">
      <c r="A519" t="s">
        <v>9529</v>
      </c>
      <c r="B519" s="1">
        <v>41213</v>
      </c>
      <c r="C519" s="1">
        <v>41258</v>
      </c>
      <c r="D519" t="s">
        <v>9530</v>
      </c>
      <c r="E519">
        <v>1750</v>
      </c>
      <c r="F519">
        <v>280</v>
      </c>
      <c r="G519">
        <v>0</v>
      </c>
      <c r="H519">
        <v>0</v>
      </c>
      <c r="I519">
        <v>55</v>
      </c>
      <c r="J519">
        <v>2030</v>
      </c>
      <c r="K519" t="s">
        <v>9531</v>
      </c>
      <c r="L519" s="1">
        <v>41213</v>
      </c>
      <c r="N519" t="s">
        <v>36</v>
      </c>
      <c r="O519" t="s">
        <v>6047</v>
      </c>
      <c r="P519" t="s">
        <v>9532</v>
      </c>
      <c r="Q519" t="s">
        <v>39</v>
      </c>
      <c r="R519" t="s">
        <v>40</v>
      </c>
      <c r="S519">
        <v>0</v>
      </c>
      <c r="U519" t="s">
        <v>41</v>
      </c>
      <c r="V519" t="s">
        <v>42</v>
      </c>
      <c r="X519" t="s">
        <v>74</v>
      </c>
      <c r="Y519" t="b">
        <v>0</v>
      </c>
      <c r="Z519" t="b">
        <v>0</v>
      </c>
      <c r="AC519" s="1"/>
      <c r="AF519">
        <v>0</v>
      </c>
      <c r="AG519">
        <v>45</v>
      </c>
      <c r="AH519">
        <v>100</v>
      </c>
      <c r="AI519" s="2">
        <f>Table__192.168.3.138BEWLPPMetaData[[#This Row],[NetAmount]]-Table__192.168.3.138BEWLPPMetaData[[#This Row],[Paid]]</f>
        <v>2030</v>
      </c>
    </row>
    <row r="520" spans="1:35" hidden="1">
      <c r="A520" t="s">
        <v>9533</v>
      </c>
      <c r="B520" s="1">
        <v>41213</v>
      </c>
      <c r="C520" s="1">
        <v>41258</v>
      </c>
      <c r="D520" t="s">
        <v>5509</v>
      </c>
      <c r="E520">
        <v>39000</v>
      </c>
      <c r="F520">
        <v>6240</v>
      </c>
      <c r="G520">
        <v>0</v>
      </c>
      <c r="H520">
        <v>0</v>
      </c>
      <c r="I520">
        <v>55</v>
      </c>
      <c r="J520">
        <v>45240</v>
      </c>
      <c r="K520" t="s">
        <v>9534</v>
      </c>
      <c r="L520" s="1">
        <v>41213</v>
      </c>
      <c r="N520" t="s">
        <v>36</v>
      </c>
      <c r="O520" t="s">
        <v>6047</v>
      </c>
      <c r="P520" t="s">
        <v>354</v>
      </c>
      <c r="Q520" t="s">
        <v>39</v>
      </c>
      <c r="R520" t="s">
        <v>40</v>
      </c>
      <c r="S520">
        <v>0</v>
      </c>
      <c r="U520" t="s">
        <v>41</v>
      </c>
      <c r="V520" t="s">
        <v>42</v>
      </c>
      <c r="X520" t="s">
        <v>74</v>
      </c>
      <c r="Y520" t="b">
        <v>0</v>
      </c>
      <c r="Z520" t="b">
        <v>0</v>
      </c>
      <c r="AB520" t="s">
        <v>8654</v>
      </c>
      <c r="AC520" s="1">
        <v>41296</v>
      </c>
      <c r="AF520">
        <v>0</v>
      </c>
      <c r="AG520">
        <v>45</v>
      </c>
      <c r="AH520">
        <v>100</v>
      </c>
      <c r="AI520" s="2">
        <f>Table__192.168.3.138BEWLPPMetaData[[#This Row],[NetAmount]]-Table__192.168.3.138BEWLPPMetaData[[#This Row],[Paid]]</f>
        <v>45240</v>
      </c>
    </row>
    <row r="521" spans="1:35" hidden="1">
      <c r="A521" t="s">
        <v>9535</v>
      </c>
      <c r="B521" s="1">
        <v>41215</v>
      </c>
      <c r="C521" s="1">
        <v>41260</v>
      </c>
      <c r="D521" t="s">
        <v>5509</v>
      </c>
      <c r="E521">
        <v>26000</v>
      </c>
      <c r="F521">
        <v>4160</v>
      </c>
      <c r="G521">
        <v>0</v>
      </c>
      <c r="H521">
        <v>0</v>
      </c>
      <c r="I521">
        <v>55</v>
      </c>
      <c r="J521">
        <v>30160</v>
      </c>
      <c r="K521" t="s">
        <v>9536</v>
      </c>
      <c r="L521" s="1">
        <v>41213</v>
      </c>
      <c r="N521" t="s">
        <v>36</v>
      </c>
      <c r="O521" t="s">
        <v>6047</v>
      </c>
      <c r="P521" t="s">
        <v>354</v>
      </c>
      <c r="Q521" t="s">
        <v>39</v>
      </c>
      <c r="R521" t="s">
        <v>40</v>
      </c>
      <c r="S521">
        <v>0</v>
      </c>
      <c r="U521" t="s">
        <v>41</v>
      </c>
      <c r="V521" t="s">
        <v>42</v>
      </c>
      <c r="X521" t="s">
        <v>74</v>
      </c>
      <c r="Y521" t="b">
        <v>0</v>
      </c>
      <c r="Z521" t="b">
        <v>0</v>
      </c>
      <c r="AB521" t="s">
        <v>8654</v>
      </c>
      <c r="AC521" s="1">
        <v>41296</v>
      </c>
      <c r="AF521">
        <v>0</v>
      </c>
      <c r="AG521">
        <v>45</v>
      </c>
      <c r="AH521">
        <v>100</v>
      </c>
      <c r="AI521" s="2">
        <f>Table__192.168.3.138BEWLPPMetaData[[#This Row],[NetAmount]]-Table__192.168.3.138BEWLPPMetaData[[#This Row],[Paid]]</f>
        <v>30160</v>
      </c>
    </row>
    <row r="522" spans="1:35" hidden="1">
      <c r="A522" t="s">
        <v>9537</v>
      </c>
      <c r="B522" s="1">
        <v>41218</v>
      </c>
      <c r="C522" s="1">
        <v>41263</v>
      </c>
      <c r="D522" t="s">
        <v>9530</v>
      </c>
      <c r="E522">
        <v>9110</v>
      </c>
      <c r="F522">
        <v>1458</v>
      </c>
      <c r="G522">
        <v>0</v>
      </c>
      <c r="H522">
        <v>0</v>
      </c>
      <c r="I522">
        <v>50</v>
      </c>
      <c r="J522">
        <v>10568</v>
      </c>
      <c r="K522" t="s">
        <v>9538</v>
      </c>
      <c r="L522" s="1">
        <v>41218</v>
      </c>
      <c r="N522" t="s">
        <v>36</v>
      </c>
      <c r="O522" t="s">
        <v>6047</v>
      </c>
      <c r="P522" t="s">
        <v>9532</v>
      </c>
      <c r="Q522" t="s">
        <v>39</v>
      </c>
      <c r="R522" t="s">
        <v>40</v>
      </c>
      <c r="S522">
        <v>0</v>
      </c>
      <c r="U522" t="s">
        <v>41</v>
      </c>
      <c r="V522" t="s">
        <v>42</v>
      </c>
      <c r="X522" t="s">
        <v>74</v>
      </c>
      <c r="Y522" t="b">
        <v>0</v>
      </c>
      <c r="Z522" t="b">
        <v>0</v>
      </c>
      <c r="AC522" s="1"/>
      <c r="AF522">
        <v>0</v>
      </c>
      <c r="AG522">
        <v>45</v>
      </c>
      <c r="AH522">
        <v>95</v>
      </c>
      <c r="AI522" s="2">
        <f>Table__192.168.3.138BEWLPPMetaData[[#This Row],[NetAmount]]-Table__192.168.3.138BEWLPPMetaData[[#This Row],[Paid]]</f>
        <v>10568</v>
      </c>
    </row>
    <row r="523" spans="1:35" hidden="1">
      <c r="A523" t="s">
        <v>9539</v>
      </c>
      <c r="B523" s="1">
        <v>41215</v>
      </c>
      <c r="C523" s="1">
        <v>41260</v>
      </c>
      <c r="D523" t="s">
        <v>9530</v>
      </c>
      <c r="E523">
        <v>540</v>
      </c>
      <c r="F523">
        <v>86</v>
      </c>
      <c r="G523">
        <v>0</v>
      </c>
      <c r="H523">
        <v>0</v>
      </c>
      <c r="I523">
        <v>53</v>
      </c>
      <c r="J523">
        <v>626</v>
      </c>
      <c r="K523" t="s">
        <v>1759</v>
      </c>
      <c r="L523" s="1">
        <v>41215</v>
      </c>
      <c r="N523" t="s">
        <v>36</v>
      </c>
      <c r="O523" t="s">
        <v>6047</v>
      </c>
      <c r="P523" t="s">
        <v>9532</v>
      </c>
      <c r="Q523" t="s">
        <v>39</v>
      </c>
      <c r="R523" t="s">
        <v>40</v>
      </c>
      <c r="S523">
        <v>0</v>
      </c>
      <c r="U523" t="s">
        <v>41</v>
      </c>
      <c r="V523" t="s">
        <v>42</v>
      </c>
      <c r="X523" t="s">
        <v>74</v>
      </c>
      <c r="Y523" t="b">
        <v>0</v>
      </c>
      <c r="Z523" t="b">
        <v>0</v>
      </c>
      <c r="AC523" s="1"/>
      <c r="AF523">
        <v>0</v>
      </c>
      <c r="AG523">
        <v>45</v>
      </c>
      <c r="AH523">
        <v>98</v>
      </c>
      <c r="AI523" s="2">
        <f>Table__192.168.3.138BEWLPPMetaData[[#This Row],[NetAmount]]-Table__192.168.3.138BEWLPPMetaData[[#This Row],[Paid]]</f>
        <v>626</v>
      </c>
    </row>
    <row r="524" spans="1:35" hidden="1">
      <c r="A524" t="s">
        <v>9540</v>
      </c>
      <c r="B524" s="1">
        <v>41220</v>
      </c>
      <c r="C524" s="1">
        <v>41265</v>
      </c>
      <c r="D524" t="s">
        <v>8530</v>
      </c>
      <c r="E524">
        <v>2656</v>
      </c>
      <c r="F524">
        <v>425</v>
      </c>
      <c r="G524">
        <v>0</v>
      </c>
      <c r="H524">
        <v>0</v>
      </c>
      <c r="I524">
        <v>48</v>
      </c>
      <c r="J524">
        <v>3081</v>
      </c>
      <c r="K524" t="s">
        <v>9541</v>
      </c>
      <c r="L524" s="1">
        <v>41220</v>
      </c>
      <c r="N524" t="s">
        <v>36</v>
      </c>
      <c r="O524" t="s">
        <v>6047</v>
      </c>
      <c r="P524" t="s">
        <v>357</v>
      </c>
      <c r="Q524" t="s">
        <v>39</v>
      </c>
      <c r="R524" t="s">
        <v>40</v>
      </c>
      <c r="S524">
        <v>0</v>
      </c>
      <c r="U524" t="s">
        <v>41</v>
      </c>
      <c r="V524" t="s">
        <v>42</v>
      </c>
      <c r="X524" t="s">
        <v>74</v>
      </c>
      <c r="Y524" t="b">
        <v>0</v>
      </c>
      <c r="Z524" t="b">
        <v>0</v>
      </c>
      <c r="AC524" s="1"/>
      <c r="AF524">
        <v>0</v>
      </c>
      <c r="AG524">
        <v>45</v>
      </c>
      <c r="AH524">
        <v>93</v>
      </c>
      <c r="AI524" s="2">
        <f>Table__192.168.3.138BEWLPPMetaData[[#This Row],[NetAmount]]-Table__192.168.3.138BEWLPPMetaData[[#This Row],[Paid]]</f>
        <v>3081</v>
      </c>
    </row>
    <row r="525" spans="1:35" hidden="1">
      <c r="A525" t="s">
        <v>9542</v>
      </c>
      <c r="B525" s="1">
        <v>41214</v>
      </c>
      <c r="C525" s="1">
        <v>41259</v>
      </c>
      <c r="D525" t="s">
        <v>8530</v>
      </c>
      <c r="E525">
        <v>760</v>
      </c>
      <c r="F525">
        <v>122</v>
      </c>
      <c r="G525">
        <v>0</v>
      </c>
      <c r="H525">
        <v>0</v>
      </c>
      <c r="I525">
        <v>54</v>
      </c>
      <c r="J525">
        <v>882</v>
      </c>
      <c r="K525" t="s">
        <v>9543</v>
      </c>
      <c r="L525" s="1">
        <v>41214</v>
      </c>
      <c r="N525" t="s">
        <v>36</v>
      </c>
      <c r="O525" t="s">
        <v>6047</v>
      </c>
      <c r="P525" t="s">
        <v>357</v>
      </c>
      <c r="Q525" t="s">
        <v>39</v>
      </c>
      <c r="R525" t="s">
        <v>40</v>
      </c>
      <c r="S525">
        <v>0</v>
      </c>
      <c r="U525" t="s">
        <v>41</v>
      </c>
      <c r="V525" t="s">
        <v>42</v>
      </c>
      <c r="X525" t="s">
        <v>74</v>
      </c>
      <c r="Y525" t="b">
        <v>0</v>
      </c>
      <c r="Z525" t="b">
        <v>0</v>
      </c>
      <c r="AC525" s="1"/>
      <c r="AF525">
        <v>0</v>
      </c>
      <c r="AG525">
        <v>45</v>
      </c>
      <c r="AH525">
        <v>99</v>
      </c>
      <c r="AI525" s="2">
        <f>Table__192.168.3.138BEWLPPMetaData[[#This Row],[NetAmount]]-Table__192.168.3.138BEWLPPMetaData[[#This Row],[Paid]]</f>
        <v>882</v>
      </c>
    </row>
    <row r="526" spans="1:35" hidden="1">
      <c r="A526" t="s">
        <v>9544</v>
      </c>
      <c r="B526" s="1">
        <v>41240</v>
      </c>
      <c r="C526" s="1">
        <v>41285</v>
      </c>
      <c r="D526" t="s">
        <v>5509</v>
      </c>
      <c r="E526">
        <v>47450</v>
      </c>
      <c r="F526">
        <v>7592</v>
      </c>
      <c r="G526">
        <v>0</v>
      </c>
      <c r="H526">
        <v>0</v>
      </c>
      <c r="I526">
        <v>46</v>
      </c>
      <c r="J526">
        <v>55042</v>
      </c>
      <c r="K526" t="s">
        <v>9545</v>
      </c>
      <c r="L526" s="1">
        <v>41222</v>
      </c>
      <c r="N526" t="s">
        <v>36</v>
      </c>
      <c r="O526" t="s">
        <v>6047</v>
      </c>
      <c r="P526" t="s">
        <v>354</v>
      </c>
      <c r="Q526" t="s">
        <v>39</v>
      </c>
      <c r="R526" t="s">
        <v>40</v>
      </c>
      <c r="S526">
        <v>0</v>
      </c>
      <c r="U526" t="s">
        <v>41</v>
      </c>
      <c r="V526" t="s">
        <v>42</v>
      </c>
      <c r="X526" t="s">
        <v>74</v>
      </c>
      <c r="Y526" t="b">
        <v>0</v>
      </c>
      <c r="Z526" t="b">
        <v>0</v>
      </c>
      <c r="AB526" t="s">
        <v>8654</v>
      </c>
      <c r="AC526" s="1">
        <v>41296</v>
      </c>
      <c r="AF526">
        <v>0</v>
      </c>
      <c r="AG526">
        <v>45</v>
      </c>
      <c r="AH526">
        <v>91</v>
      </c>
      <c r="AI526" s="2">
        <f>Table__192.168.3.138BEWLPPMetaData[[#This Row],[NetAmount]]-Table__192.168.3.138BEWLPPMetaData[[#This Row],[Paid]]</f>
        <v>55042</v>
      </c>
    </row>
    <row r="527" spans="1:35" hidden="1">
      <c r="A527" t="s">
        <v>9546</v>
      </c>
      <c r="B527" s="1">
        <v>41099</v>
      </c>
      <c r="C527" s="1">
        <v>41144</v>
      </c>
      <c r="D527" t="s">
        <v>8725</v>
      </c>
      <c r="E527">
        <v>5500</v>
      </c>
      <c r="F527">
        <v>0</v>
      </c>
      <c r="G527">
        <v>0</v>
      </c>
      <c r="H527">
        <v>0</v>
      </c>
      <c r="I527">
        <v>169</v>
      </c>
      <c r="J527">
        <v>5500</v>
      </c>
      <c r="K527" t="s">
        <v>9547</v>
      </c>
      <c r="L527" s="1">
        <v>41099</v>
      </c>
      <c r="N527" t="s">
        <v>36</v>
      </c>
      <c r="O527" t="s">
        <v>6047</v>
      </c>
      <c r="P527" t="s">
        <v>8727</v>
      </c>
      <c r="Q527" t="s">
        <v>39</v>
      </c>
      <c r="R527" t="s">
        <v>40</v>
      </c>
      <c r="S527">
        <v>0</v>
      </c>
      <c r="U527" t="s">
        <v>41</v>
      </c>
      <c r="V527" t="s">
        <v>42</v>
      </c>
      <c r="X527" t="s">
        <v>74</v>
      </c>
      <c r="Y527" t="b">
        <v>0</v>
      </c>
      <c r="Z527" t="b">
        <v>0</v>
      </c>
      <c r="AC527" s="1"/>
      <c r="AF527">
        <v>0</v>
      </c>
      <c r="AG527">
        <v>45</v>
      </c>
      <c r="AH527">
        <v>214</v>
      </c>
      <c r="AI527" s="2">
        <f>Table__192.168.3.138BEWLPPMetaData[[#This Row],[NetAmount]]-Table__192.168.3.138BEWLPPMetaData[[#This Row],[Paid]]</f>
        <v>5500</v>
      </c>
    </row>
    <row r="528" spans="1:35" hidden="1">
      <c r="A528" t="s">
        <v>9548</v>
      </c>
      <c r="B528" s="1">
        <v>41214</v>
      </c>
      <c r="C528" s="1">
        <v>41259</v>
      </c>
      <c r="D528" t="s">
        <v>8725</v>
      </c>
      <c r="E528">
        <v>5500</v>
      </c>
      <c r="F528">
        <v>0</v>
      </c>
      <c r="G528">
        <v>0</v>
      </c>
      <c r="H528">
        <v>0</v>
      </c>
      <c r="I528">
        <v>54</v>
      </c>
      <c r="J528">
        <v>5500</v>
      </c>
      <c r="K528" t="s">
        <v>1835</v>
      </c>
      <c r="L528" s="1">
        <v>41214</v>
      </c>
      <c r="N528" t="s">
        <v>36</v>
      </c>
      <c r="O528" t="s">
        <v>6047</v>
      </c>
      <c r="P528" t="s">
        <v>8727</v>
      </c>
      <c r="Q528" t="s">
        <v>39</v>
      </c>
      <c r="R528" t="s">
        <v>40</v>
      </c>
      <c r="S528">
        <v>0</v>
      </c>
      <c r="U528" t="s">
        <v>41</v>
      </c>
      <c r="V528" t="s">
        <v>42</v>
      </c>
      <c r="X528" t="s">
        <v>74</v>
      </c>
      <c r="Y528" t="b">
        <v>0</v>
      </c>
      <c r="Z528" t="b">
        <v>0</v>
      </c>
      <c r="AC528" s="1"/>
      <c r="AF528">
        <v>0</v>
      </c>
      <c r="AG528">
        <v>45</v>
      </c>
      <c r="AH528">
        <v>99</v>
      </c>
      <c r="AI528" s="2">
        <f>Table__192.168.3.138BEWLPPMetaData[[#This Row],[NetAmount]]-Table__192.168.3.138BEWLPPMetaData[[#This Row],[Paid]]</f>
        <v>5500</v>
      </c>
    </row>
    <row r="529" spans="1:35" hidden="1">
      <c r="A529" t="s">
        <v>9549</v>
      </c>
      <c r="B529" s="1">
        <v>41230</v>
      </c>
      <c r="C529" s="1">
        <v>41275</v>
      </c>
      <c r="D529" t="s">
        <v>8725</v>
      </c>
      <c r="E529">
        <v>8250</v>
      </c>
      <c r="F529">
        <v>0</v>
      </c>
      <c r="G529">
        <v>0</v>
      </c>
      <c r="H529">
        <v>0</v>
      </c>
      <c r="I529">
        <v>41</v>
      </c>
      <c r="J529">
        <v>8250</v>
      </c>
      <c r="K529" t="s">
        <v>9550</v>
      </c>
      <c r="L529" s="1">
        <v>41227</v>
      </c>
      <c r="N529" t="s">
        <v>36</v>
      </c>
      <c r="O529" t="s">
        <v>6047</v>
      </c>
      <c r="P529" t="s">
        <v>8727</v>
      </c>
      <c r="Q529" t="s">
        <v>39</v>
      </c>
      <c r="R529" t="s">
        <v>40</v>
      </c>
      <c r="S529">
        <v>0</v>
      </c>
      <c r="U529" t="s">
        <v>41</v>
      </c>
      <c r="V529" t="s">
        <v>42</v>
      </c>
      <c r="X529" t="s">
        <v>74</v>
      </c>
      <c r="Y529" t="b">
        <v>0</v>
      </c>
      <c r="Z529" t="b">
        <v>0</v>
      </c>
      <c r="AC529" s="1"/>
      <c r="AF529">
        <v>0</v>
      </c>
      <c r="AG529">
        <v>45</v>
      </c>
      <c r="AH529">
        <v>86</v>
      </c>
      <c r="AI529" s="2">
        <f>Table__192.168.3.138BEWLPPMetaData[[#This Row],[NetAmount]]-Table__192.168.3.138BEWLPPMetaData[[#This Row],[Paid]]</f>
        <v>8250</v>
      </c>
    </row>
    <row r="530" spans="1:35" hidden="1">
      <c r="A530" t="s">
        <v>9551</v>
      </c>
      <c r="B530" s="1">
        <v>41219</v>
      </c>
      <c r="C530" s="1">
        <v>41264</v>
      </c>
      <c r="D530" t="s">
        <v>8725</v>
      </c>
      <c r="E530">
        <v>5500</v>
      </c>
      <c r="F530">
        <v>0</v>
      </c>
      <c r="G530">
        <v>0</v>
      </c>
      <c r="H530">
        <v>0</v>
      </c>
      <c r="I530">
        <v>49</v>
      </c>
      <c r="J530">
        <v>5500</v>
      </c>
      <c r="K530" t="s">
        <v>8921</v>
      </c>
      <c r="L530" s="1">
        <v>41219</v>
      </c>
      <c r="N530" t="s">
        <v>36</v>
      </c>
      <c r="O530" t="s">
        <v>6047</v>
      </c>
      <c r="P530" t="s">
        <v>8727</v>
      </c>
      <c r="Q530" t="s">
        <v>39</v>
      </c>
      <c r="R530" t="s">
        <v>40</v>
      </c>
      <c r="S530">
        <v>0</v>
      </c>
      <c r="U530" t="s">
        <v>41</v>
      </c>
      <c r="V530" t="s">
        <v>42</v>
      </c>
      <c r="X530" t="s">
        <v>74</v>
      </c>
      <c r="Y530" t="b">
        <v>0</v>
      </c>
      <c r="Z530" t="b">
        <v>0</v>
      </c>
      <c r="AC530" s="1"/>
      <c r="AF530">
        <v>0</v>
      </c>
      <c r="AG530">
        <v>45</v>
      </c>
      <c r="AH530">
        <v>94</v>
      </c>
      <c r="AI530" s="2">
        <f>Table__192.168.3.138BEWLPPMetaData[[#This Row],[NetAmount]]-Table__192.168.3.138BEWLPPMetaData[[#This Row],[Paid]]</f>
        <v>5500</v>
      </c>
    </row>
    <row r="531" spans="1:35" hidden="1">
      <c r="A531" t="s">
        <v>9552</v>
      </c>
      <c r="B531" s="1">
        <v>41200</v>
      </c>
      <c r="C531" s="1">
        <v>41245</v>
      </c>
      <c r="D531" t="s">
        <v>8725</v>
      </c>
      <c r="E531">
        <v>11000</v>
      </c>
      <c r="F531">
        <v>0</v>
      </c>
      <c r="G531">
        <v>0</v>
      </c>
      <c r="H531">
        <v>0</v>
      </c>
      <c r="I531">
        <v>68</v>
      </c>
      <c r="J531">
        <v>11000</v>
      </c>
      <c r="K531" t="s">
        <v>9553</v>
      </c>
      <c r="L531" s="1">
        <v>41200</v>
      </c>
      <c r="N531" t="s">
        <v>36</v>
      </c>
      <c r="O531" t="s">
        <v>6047</v>
      </c>
      <c r="P531" t="s">
        <v>8727</v>
      </c>
      <c r="Q531" t="s">
        <v>39</v>
      </c>
      <c r="R531" t="s">
        <v>40</v>
      </c>
      <c r="S531">
        <v>0</v>
      </c>
      <c r="U531" t="s">
        <v>41</v>
      </c>
      <c r="V531" t="s">
        <v>42</v>
      </c>
      <c r="X531" t="s">
        <v>74</v>
      </c>
      <c r="Y531" t="b">
        <v>0</v>
      </c>
      <c r="Z531" t="b">
        <v>0</v>
      </c>
      <c r="AC531" s="1"/>
      <c r="AF531">
        <v>0</v>
      </c>
      <c r="AG531">
        <v>45</v>
      </c>
      <c r="AH531">
        <v>113</v>
      </c>
      <c r="AI531" s="2">
        <f>Table__192.168.3.138BEWLPPMetaData[[#This Row],[NetAmount]]-Table__192.168.3.138BEWLPPMetaData[[#This Row],[Paid]]</f>
        <v>11000</v>
      </c>
    </row>
    <row r="532" spans="1:35" hidden="1">
      <c r="A532" t="s">
        <v>9554</v>
      </c>
      <c r="B532" s="1">
        <v>41223</v>
      </c>
      <c r="C532" s="1">
        <v>41268</v>
      </c>
      <c r="D532" t="s">
        <v>8725</v>
      </c>
      <c r="E532">
        <v>7645</v>
      </c>
      <c r="F532">
        <v>0</v>
      </c>
      <c r="G532">
        <v>0</v>
      </c>
      <c r="H532">
        <v>0</v>
      </c>
      <c r="I532">
        <v>45</v>
      </c>
      <c r="J532">
        <v>7645</v>
      </c>
      <c r="K532" t="s">
        <v>9555</v>
      </c>
      <c r="L532" s="1">
        <v>41223</v>
      </c>
      <c r="N532" t="s">
        <v>36</v>
      </c>
      <c r="O532" t="s">
        <v>6047</v>
      </c>
      <c r="P532" t="s">
        <v>8727</v>
      </c>
      <c r="Q532" t="s">
        <v>39</v>
      </c>
      <c r="R532" t="s">
        <v>40</v>
      </c>
      <c r="S532">
        <v>0</v>
      </c>
      <c r="U532" t="s">
        <v>41</v>
      </c>
      <c r="V532" t="s">
        <v>42</v>
      </c>
      <c r="X532" t="s">
        <v>74</v>
      </c>
      <c r="Y532" t="b">
        <v>0</v>
      </c>
      <c r="Z532" t="b">
        <v>0</v>
      </c>
      <c r="AC532" s="1"/>
      <c r="AF532">
        <v>0</v>
      </c>
      <c r="AG532">
        <v>45</v>
      </c>
      <c r="AH532">
        <v>90</v>
      </c>
      <c r="AI532" s="2">
        <f>Table__192.168.3.138BEWLPPMetaData[[#This Row],[NetAmount]]-Table__192.168.3.138BEWLPPMetaData[[#This Row],[Paid]]</f>
        <v>7645</v>
      </c>
    </row>
    <row r="533" spans="1:35" hidden="1">
      <c r="A533" t="s">
        <v>9556</v>
      </c>
      <c r="B533" s="1">
        <v>41232</v>
      </c>
      <c r="C533" s="1">
        <v>41277</v>
      </c>
      <c r="D533" t="s">
        <v>8530</v>
      </c>
      <c r="E533">
        <v>2250</v>
      </c>
      <c r="F533">
        <v>360</v>
      </c>
      <c r="G533">
        <v>0</v>
      </c>
      <c r="H533">
        <v>0</v>
      </c>
      <c r="I533">
        <v>36</v>
      </c>
      <c r="J533">
        <v>2610</v>
      </c>
      <c r="K533" t="s">
        <v>9557</v>
      </c>
      <c r="L533" s="1">
        <v>41232</v>
      </c>
      <c r="N533" t="s">
        <v>36</v>
      </c>
      <c r="O533" t="s">
        <v>6047</v>
      </c>
      <c r="P533" t="s">
        <v>357</v>
      </c>
      <c r="Q533" t="s">
        <v>39</v>
      </c>
      <c r="R533" t="s">
        <v>40</v>
      </c>
      <c r="S533">
        <v>0</v>
      </c>
      <c r="U533" t="s">
        <v>41</v>
      </c>
      <c r="V533" t="s">
        <v>42</v>
      </c>
      <c r="X533" t="s">
        <v>74</v>
      </c>
      <c r="Y533" t="b">
        <v>0</v>
      </c>
      <c r="Z533" t="b">
        <v>0</v>
      </c>
      <c r="AC533" s="1"/>
      <c r="AF533">
        <v>0</v>
      </c>
      <c r="AG533">
        <v>45</v>
      </c>
      <c r="AH533">
        <v>81</v>
      </c>
      <c r="AI533" s="2">
        <f>Table__192.168.3.138BEWLPPMetaData[[#This Row],[NetAmount]]-Table__192.168.3.138BEWLPPMetaData[[#This Row],[Paid]]</f>
        <v>2610</v>
      </c>
    </row>
    <row r="534" spans="1:35" hidden="1">
      <c r="A534" t="s">
        <v>9558</v>
      </c>
      <c r="B534" s="1">
        <v>41239</v>
      </c>
      <c r="C534" s="1">
        <v>41284</v>
      </c>
      <c r="D534" t="s">
        <v>8530</v>
      </c>
      <c r="E534">
        <v>1295</v>
      </c>
      <c r="F534">
        <v>207</v>
      </c>
      <c r="G534">
        <v>0</v>
      </c>
      <c r="H534">
        <v>0</v>
      </c>
      <c r="I534">
        <v>29</v>
      </c>
      <c r="J534">
        <v>1502</v>
      </c>
      <c r="K534" t="s">
        <v>9559</v>
      </c>
      <c r="L534" s="1">
        <v>41239</v>
      </c>
      <c r="N534" t="s">
        <v>36</v>
      </c>
      <c r="O534" t="s">
        <v>6047</v>
      </c>
      <c r="P534" t="s">
        <v>357</v>
      </c>
      <c r="Q534" t="s">
        <v>39</v>
      </c>
      <c r="R534" t="s">
        <v>40</v>
      </c>
      <c r="S534">
        <v>0</v>
      </c>
      <c r="U534" t="s">
        <v>41</v>
      </c>
      <c r="V534" t="s">
        <v>42</v>
      </c>
      <c r="X534" t="s">
        <v>74</v>
      </c>
      <c r="Y534" t="b">
        <v>0</v>
      </c>
      <c r="Z534" t="b">
        <v>0</v>
      </c>
      <c r="AC534" s="1"/>
      <c r="AF534">
        <v>0</v>
      </c>
      <c r="AG534">
        <v>45</v>
      </c>
      <c r="AH534">
        <v>74</v>
      </c>
      <c r="AI534" s="2">
        <f>Table__192.168.3.138BEWLPPMetaData[[#This Row],[NetAmount]]-Table__192.168.3.138BEWLPPMetaData[[#This Row],[Paid]]</f>
        <v>1502</v>
      </c>
    </row>
    <row r="535" spans="1:35" hidden="1">
      <c r="A535" t="s">
        <v>9560</v>
      </c>
      <c r="B535" s="1">
        <v>41246</v>
      </c>
      <c r="C535" s="1">
        <v>41291</v>
      </c>
      <c r="D535" t="s">
        <v>9530</v>
      </c>
      <c r="E535">
        <v>2728</v>
      </c>
      <c r="F535">
        <v>436</v>
      </c>
      <c r="G535">
        <v>0</v>
      </c>
      <c r="H535">
        <v>0</v>
      </c>
      <c r="I535">
        <v>22</v>
      </c>
      <c r="J535">
        <v>3164</v>
      </c>
      <c r="K535" t="s">
        <v>9561</v>
      </c>
      <c r="L535" s="1">
        <v>41246</v>
      </c>
      <c r="N535" t="s">
        <v>36</v>
      </c>
      <c r="O535" t="s">
        <v>6047</v>
      </c>
      <c r="P535" t="s">
        <v>9532</v>
      </c>
      <c r="Q535" t="s">
        <v>39</v>
      </c>
      <c r="R535" t="s">
        <v>40</v>
      </c>
      <c r="S535">
        <v>0</v>
      </c>
      <c r="U535" t="s">
        <v>41</v>
      </c>
      <c r="V535" t="s">
        <v>42</v>
      </c>
      <c r="X535" t="s">
        <v>74</v>
      </c>
      <c r="Y535" t="b">
        <v>0</v>
      </c>
      <c r="Z535" t="b">
        <v>0</v>
      </c>
      <c r="AC535" s="1"/>
      <c r="AF535">
        <v>0</v>
      </c>
      <c r="AG535">
        <v>45</v>
      </c>
      <c r="AH535">
        <v>67</v>
      </c>
      <c r="AI535" s="2">
        <f>Table__192.168.3.138BEWLPPMetaData[[#This Row],[NetAmount]]-Table__192.168.3.138BEWLPPMetaData[[#This Row],[Paid]]</f>
        <v>3164</v>
      </c>
    </row>
    <row r="536" spans="1:35" hidden="1">
      <c r="A536" t="s">
        <v>9562</v>
      </c>
      <c r="B536" s="1">
        <v>41261</v>
      </c>
      <c r="C536" s="1">
        <v>41306</v>
      </c>
      <c r="D536" t="s">
        <v>5509</v>
      </c>
      <c r="E536">
        <v>27300</v>
      </c>
      <c r="F536">
        <v>4368</v>
      </c>
      <c r="G536">
        <v>0</v>
      </c>
      <c r="H536">
        <v>0</v>
      </c>
      <c r="I536">
        <v>14</v>
      </c>
      <c r="J536">
        <v>31668</v>
      </c>
      <c r="K536" t="s">
        <v>9563</v>
      </c>
      <c r="L536" s="1">
        <v>41254</v>
      </c>
      <c r="N536" t="s">
        <v>36</v>
      </c>
      <c r="O536" t="s">
        <v>6047</v>
      </c>
      <c r="P536" t="s">
        <v>354</v>
      </c>
      <c r="Q536" t="s">
        <v>39</v>
      </c>
      <c r="R536" t="s">
        <v>40</v>
      </c>
      <c r="S536">
        <v>0</v>
      </c>
      <c r="U536" t="s">
        <v>41</v>
      </c>
      <c r="V536" t="s">
        <v>42</v>
      </c>
      <c r="X536" t="s">
        <v>74</v>
      </c>
      <c r="Y536" t="b">
        <v>0</v>
      </c>
      <c r="Z536" t="b">
        <v>0</v>
      </c>
      <c r="AC536" s="1"/>
      <c r="AF536">
        <v>0</v>
      </c>
      <c r="AG536">
        <v>45</v>
      </c>
      <c r="AH536">
        <v>59</v>
      </c>
      <c r="AI536" s="2">
        <f>Table__192.168.3.138BEWLPPMetaData[[#This Row],[NetAmount]]-Table__192.168.3.138BEWLPPMetaData[[#This Row],[Paid]]</f>
        <v>31668</v>
      </c>
    </row>
    <row r="537" spans="1:35" hidden="1">
      <c r="A537" t="s">
        <v>9564</v>
      </c>
      <c r="B537" s="1">
        <v>41274</v>
      </c>
      <c r="C537" s="1">
        <v>41319</v>
      </c>
      <c r="D537" t="s">
        <v>5509</v>
      </c>
      <c r="E537">
        <v>29900</v>
      </c>
      <c r="F537">
        <v>4784</v>
      </c>
      <c r="G537">
        <v>0</v>
      </c>
      <c r="H537">
        <v>0</v>
      </c>
      <c r="I537">
        <v>5</v>
      </c>
      <c r="J537">
        <v>34684</v>
      </c>
      <c r="K537" t="s">
        <v>9565</v>
      </c>
      <c r="L537" s="1">
        <v>41263</v>
      </c>
      <c r="N537" t="s">
        <v>36</v>
      </c>
      <c r="O537" t="s">
        <v>6047</v>
      </c>
      <c r="P537" t="s">
        <v>354</v>
      </c>
      <c r="Q537" t="s">
        <v>39</v>
      </c>
      <c r="R537" t="s">
        <v>40</v>
      </c>
      <c r="S537">
        <v>0</v>
      </c>
      <c r="U537" t="s">
        <v>41</v>
      </c>
      <c r="V537" t="s">
        <v>42</v>
      </c>
      <c r="X537" t="s">
        <v>74</v>
      </c>
      <c r="Y537" t="b">
        <v>0</v>
      </c>
      <c r="Z537" t="b">
        <v>0</v>
      </c>
      <c r="AC537" s="1"/>
      <c r="AF537">
        <v>0</v>
      </c>
      <c r="AG537">
        <v>45</v>
      </c>
      <c r="AH537">
        <v>50</v>
      </c>
      <c r="AI537" s="2">
        <f>Table__192.168.3.138BEWLPPMetaData[[#This Row],[NetAmount]]-Table__192.168.3.138BEWLPPMetaData[[#This Row],[Paid]]</f>
        <v>34684</v>
      </c>
    </row>
    <row r="538" spans="1:35" hidden="1">
      <c r="A538" t="s">
        <v>9566</v>
      </c>
      <c r="B538" s="1">
        <v>41267</v>
      </c>
      <c r="C538" s="1">
        <v>41312</v>
      </c>
      <c r="D538" t="s">
        <v>8530</v>
      </c>
      <c r="E538">
        <v>784</v>
      </c>
      <c r="F538">
        <v>125</v>
      </c>
      <c r="G538">
        <v>0</v>
      </c>
      <c r="H538">
        <v>0</v>
      </c>
      <c r="I538">
        <v>1</v>
      </c>
      <c r="J538">
        <v>909</v>
      </c>
      <c r="K538" t="s">
        <v>9567</v>
      </c>
      <c r="L538" s="1">
        <v>41267</v>
      </c>
      <c r="N538" t="s">
        <v>36</v>
      </c>
      <c r="O538" t="s">
        <v>6047</v>
      </c>
      <c r="P538" t="s">
        <v>357</v>
      </c>
      <c r="Q538" t="s">
        <v>39</v>
      </c>
      <c r="R538" t="s">
        <v>40</v>
      </c>
      <c r="S538">
        <v>0</v>
      </c>
      <c r="U538" t="s">
        <v>41</v>
      </c>
      <c r="V538" t="s">
        <v>42</v>
      </c>
      <c r="X538" t="s">
        <v>74</v>
      </c>
      <c r="Y538" t="b">
        <v>0</v>
      </c>
      <c r="Z538" t="b">
        <v>0</v>
      </c>
      <c r="AC538" s="1"/>
      <c r="AF538">
        <v>0</v>
      </c>
      <c r="AG538">
        <v>45</v>
      </c>
      <c r="AH538">
        <v>46</v>
      </c>
      <c r="AI538" s="2">
        <f>Table__192.168.3.138BEWLPPMetaData[[#This Row],[NetAmount]]-Table__192.168.3.138BEWLPPMetaData[[#This Row],[Paid]]</f>
        <v>909</v>
      </c>
    </row>
    <row r="539" spans="1:35" hidden="1">
      <c r="A539" t="s">
        <v>9568</v>
      </c>
      <c r="B539" s="1">
        <v>41249</v>
      </c>
      <c r="C539" s="1">
        <v>41294</v>
      </c>
      <c r="D539" t="s">
        <v>8725</v>
      </c>
      <c r="E539">
        <v>13750</v>
      </c>
      <c r="F539">
        <v>0</v>
      </c>
      <c r="G539">
        <v>0</v>
      </c>
      <c r="H539">
        <v>0</v>
      </c>
      <c r="I539">
        <v>20</v>
      </c>
      <c r="J539">
        <v>13750</v>
      </c>
      <c r="K539" t="s">
        <v>9569</v>
      </c>
      <c r="L539" s="1">
        <v>41248</v>
      </c>
      <c r="N539" t="s">
        <v>36</v>
      </c>
      <c r="O539" t="s">
        <v>6047</v>
      </c>
      <c r="P539" t="s">
        <v>8727</v>
      </c>
      <c r="Q539" t="s">
        <v>39</v>
      </c>
      <c r="R539" t="s">
        <v>40</v>
      </c>
      <c r="S539">
        <v>0</v>
      </c>
      <c r="U539" t="s">
        <v>41</v>
      </c>
      <c r="V539" t="s">
        <v>42</v>
      </c>
      <c r="X539" t="s">
        <v>74</v>
      </c>
      <c r="Y539" t="b">
        <v>0</v>
      </c>
      <c r="Z539" t="b">
        <v>0</v>
      </c>
      <c r="AC539" s="1"/>
      <c r="AF539">
        <v>0</v>
      </c>
      <c r="AG539">
        <v>45</v>
      </c>
      <c r="AH539">
        <v>65</v>
      </c>
      <c r="AI539" s="2">
        <f>Table__192.168.3.138BEWLPPMetaData[[#This Row],[NetAmount]]-Table__192.168.3.138BEWLPPMetaData[[#This Row],[Paid]]</f>
        <v>13750</v>
      </c>
    </row>
    <row r="540" spans="1:35" hidden="1">
      <c r="A540" t="s">
        <v>9570</v>
      </c>
      <c r="B540" s="1">
        <v>41267</v>
      </c>
      <c r="C540" s="1">
        <v>41312</v>
      </c>
      <c r="D540" t="s">
        <v>8725</v>
      </c>
      <c r="E540">
        <v>5500</v>
      </c>
      <c r="F540">
        <v>0</v>
      </c>
      <c r="G540">
        <v>0</v>
      </c>
      <c r="H540">
        <v>0</v>
      </c>
      <c r="I540">
        <v>1</v>
      </c>
      <c r="J540">
        <v>5500</v>
      </c>
      <c r="K540" t="s">
        <v>9571</v>
      </c>
      <c r="L540" s="1">
        <v>41267</v>
      </c>
      <c r="N540" t="s">
        <v>36</v>
      </c>
      <c r="O540" t="s">
        <v>6047</v>
      </c>
      <c r="P540" t="s">
        <v>8727</v>
      </c>
      <c r="Q540" t="s">
        <v>39</v>
      </c>
      <c r="R540" t="s">
        <v>40</v>
      </c>
      <c r="S540">
        <v>0</v>
      </c>
      <c r="U540" t="s">
        <v>41</v>
      </c>
      <c r="V540" t="s">
        <v>42</v>
      </c>
      <c r="X540" t="s">
        <v>74</v>
      </c>
      <c r="Y540" t="b">
        <v>0</v>
      </c>
      <c r="Z540" t="b">
        <v>0</v>
      </c>
      <c r="AC540" s="1"/>
      <c r="AF540">
        <v>0</v>
      </c>
      <c r="AG540">
        <v>45</v>
      </c>
      <c r="AH540">
        <v>46</v>
      </c>
      <c r="AI540" s="2">
        <f>Table__192.168.3.138BEWLPPMetaData[[#This Row],[NetAmount]]-Table__192.168.3.138BEWLPPMetaData[[#This Row],[Paid]]</f>
        <v>5500</v>
      </c>
    </row>
    <row r="541" spans="1:35" hidden="1">
      <c r="A541" t="s">
        <v>9572</v>
      </c>
      <c r="B541" s="1">
        <v>41273</v>
      </c>
      <c r="C541" s="1">
        <v>41318</v>
      </c>
      <c r="D541" t="s">
        <v>8725</v>
      </c>
      <c r="E541">
        <v>16500</v>
      </c>
      <c r="F541">
        <v>0</v>
      </c>
      <c r="G541">
        <v>0</v>
      </c>
      <c r="H541">
        <v>0</v>
      </c>
      <c r="I541">
        <v>-4</v>
      </c>
      <c r="J541">
        <v>16500</v>
      </c>
      <c r="K541" t="s">
        <v>9573</v>
      </c>
      <c r="L541" s="1">
        <v>41272</v>
      </c>
      <c r="N541" t="s">
        <v>36</v>
      </c>
      <c r="O541" t="s">
        <v>6047</v>
      </c>
      <c r="P541" t="s">
        <v>8727</v>
      </c>
      <c r="Q541" t="s">
        <v>39</v>
      </c>
      <c r="R541" t="s">
        <v>40</v>
      </c>
      <c r="S541">
        <v>0</v>
      </c>
      <c r="U541" t="s">
        <v>41</v>
      </c>
      <c r="V541" t="s">
        <v>42</v>
      </c>
      <c r="X541" t="s">
        <v>74</v>
      </c>
      <c r="Y541" t="b">
        <v>0</v>
      </c>
      <c r="Z541" t="b">
        <v>0</v>
      </c>
      <c r="AC541" s="1"/>
      <c r="AF541">
        <v>0</v>
      </c>
      <c r="AG541">
        <v>45</v>
      </c>
      <c r="AH541">
        <v>41</v>
      </c>
      <c r="AI541" s="2">
        <f>Table__192.168.3.138BEWLPPMetaData[[#This Row],[NetAmount]]-Table__192.168.3.138BEWLPPMetaData[[#This Row],[Paid]]</f>
        <v>16500</v>
      </c>
    </row>
    <row r="542" spans="1:35" hidden="1">
      <c r="A542" t="s">
        <v>9574</v>
      </c>
      <c r="B542" s="1">
        <v>41290</v>
      </c>
      <c r="C542" s="1">
        <v>41335</v>
      </c>
      <c r="D542" t="s">
        <v>8530</v>
      </c>
      <c r="E542">
        <v>627</v>
      </c>
      <c r="F542">
        <v>100</v>
      </c>
      <c r="G542">
        <v>0</v>
      </c>
      <c r="H542">
        <v>0</v>
      </c>
      <c r="I542">
        <v>-22</v>
      </c>
      <c r="J542">
        <v>727</v>
      </c>
      <c r="K542" t="s">
        <v>9575</v>
      </c>
      <c r="L542" s="1">
        <v>41290</v>
      </c>
      <c r="N542" t="s">
        <v>36</v>
      </c>
      <c r="O542" t="s">
        <v>6047</v>
      </c>
      <c r="P542" t="s">
        <v>357</v>
      </c>
      <c r="Q542" t="s">
        <v>5285</v>
      </c>
      <c r="R542" t="s">
        <v>5286</v>
      </c>
      <c r="S542">
        <v>0</v>
      </c>
      <c r="U542" t="s">
        <v>41</v>
      </c>
      <c r="V542" t="s">
        <v>42</v>
      </c>
      <c r="X542" t="s">
        <v>74</v>
      </c>
      <c r="Y542" t="b">
        <v>0</v>
      </c>
      <c r="Z542" t="b">
        <v>0</v>
      </c>
      <c r="AC542" s="1"/>
      <c r="AF542">
        <v>0</v>
      </c>
      <c r="AG542">
        <v>45</v>
      </c>
      <c r="AH542">
        <v>23</v>
      </c>
      <c r="AI542" s="2">
        <f>Table__192.168.3.138BEWLPPMetaData[[#This Row],[NetAmount]]-Table__192.168.3.138BEWLPPMetaData[[#This Row],[Paid]]</f>
        <v>727</v>
      </c>
    </row>
    <row r="543" spans="1:35" hidden="1">
      <c r="A543" t="s">
        <v>9576</v>
      </c>
      <c r="B543" s="1">
        <v>41278</v>
      </c>
      <c r="C543" s="1">
        <v>41323</v>
      </c>
      <c r="D543" t="s">
        <v>8530</v>
      </c>
      <c r="E543">
        <v>879</v>
      </c>
      <c r="F543">
        <v>141</v>
      </c>
      <c r="G543">
        <v>0</v>
      </c>
      <c r="H543">
        <v>0</v>
      </c>
      <c r="I543">
        <v>-10</v>
      </c>
      <c r="J543">
        <v>1020</v>
      </c>
      <c r="K543" t="s">
        <v>9577</v>
      </c>
      <c r="L543" s="1">
        <v>41278</v>
      </c>
      <c r="N543" t="s">
        <v>36</v>
      </c>
      <c r="O543" t="s">
        <v>6047</v>
      </c>
      <c r="P543" t="s">
        <v>357</v>
      </c>
      <c r="Q543" t="s">
        <v>5285</v>
      </c>
      <c r="R543" t="s">
        <v>5286</v>
      </c>
      <c r="S543">
        <v>0</v>
      </c>
      <c r="U543" t="s">
        <v>41</v>
      </c>
      <c r="V543" t="s">
        <v>42</v>
      </c>
      <c r="X543" t="s">
        <v>74</v>
      </c>
      <c r="Y543" t="b">
        <v>0</v>
      </c>
      <c r="Z543" t="b">
        <v>0</v>
      </c>
      <c r="AC543" s="1"/>
      <c r="AF543">
        <v>0</v>
      </c>
      <c r="AG543">
        <v>45</v>
      </c>
      <c r="AH543">
        <v>35</v>
      </c>
      <c r="AI543" s="2">
        <f>Table__192.168.3.138BEWLPPMetaData[[#This Row],[NetAmount]]-Table__192.168.3.138BEWLPPMetaData[[#This Row],[Paid]]</f>
        <v>1020</v>
      </c>
    </row>
    <row r="544" spans="1:35" hidden="1">
      <c r="A544" t="s">
        <v>9578</v>
      </c>
      <c r="B544" s="1">
        <v>41298</v>
      </c>
      <c r="C544" s="1">
        <v>41343</v>
      </c>
      <c r="D544" t="s">
        <v>8530</v>
      </c>
      <c r="E544">
        <v>1268</v>
      </c>
      <c r="F544">
        <v>203</v>
      </c>
      <c r="G544">
        <v>0</v>
      </c>
      <c r="H544">
        <v>0</v>
      </c>
      <c r="I544">
        <v>-30</v>
      </c>
      <c r="J544">
        <v>1471</v>
      </c>
      <c r="K544" t="s">
        <v>9579</v>
      </c>
      <c r="L544" s="1">
        <v>41298</v>
      </c>
      <c r="N544" t="s">
        <v>36</v>
      </c>
      <c r="O544" t="s">
        <v>6047</v>
      </c>
      <c r="P544" t="s">
        <v>357</v>
      </c>
      <c r="Q544" t="s">
        <v>5285</v>
      </c>
      <c r="R544" t="s">
        <v>5286</v>
      </c>
      <c r="S544">
        <v>0</v>
      </c>
      <c r="U544" t="s">
        <v>41</v>
      </c>
      <c r="V544" t="s">
        <v>42</v>
      </c>
      <c r="X544" t="s">
        <v>74</v>
      </c>
      <c r="Y544" t="b">
        <v>0</v>
      </c>
      <c r="Z544" t="b">
        <v>0</v>
      </c>
      <c r="AC544" s="1"/>
      <c r="AF544">
        <v>0</v>
      </c>
      <c r="AG544">
        <v>45</v>
      </c>
      <c r="AH544">
        <v>15</v>
      </c>
      <c r="AI544" s="2">
        <f>Table__192.168.3.138BEWLPPMetaData[[#This Row],[NetAmount]]-Table__192.168.3.138BEWLPPMetaData[[#This Row],[Paid]]</f>
        <v>1471</v>
      </c>
    </row>
    <row r="545" spans="1:35" hidden="1">
      <c r="A545" t="s">
        <v>9580</v>
      </c>
      <c r="B545" s="1">
        <v>41300</v>
      </c>
      <c r="C545" s="1">
        <v>41345</v>
      </c>
      <c r="D545" t="s">
        <v>8530</v>
      </c>
      <c r="E545">
        <v>676</v>
      </c>
      <c r="F545">
        <v>108</v>
      </c>
      <c r="G545">
        <v>0</v>
      </c>
      <c r="H545">
        <v>0</v>
      </c>
      <c r="I545">
        <v>-32</v>
      </c>
      <c r="J545">
        <v>784</v>
      </c>
      <c r="K545" t="s">
        <v>9581</v>
      </c>
      <c r="L545" s="1">
        <v>41300</v>
      </c>
      <c r="N545" t="s">
        <v>36</v>
      </c>
      <c r="O545" t="s">
        <v>6047</v>
      </c>
      <c r="P545" t="s">
        <v>357</v>
      </c>
      <c r="Q545" t="s">
        <v>5285</v>
      </c>
      <c r="R545" t="s">
        <v>5286</v>
      </c>
      <c r="S545">
        <v>0</v>
      </c>
      <c r="U545" t="s">
        <v>41</v>
      </c>
      <c r="V545" t="s">
        <v>42</v>
      </c>
      <c r="X545" t="s">
        <v>74</v>
      </c>
      <c r="Y545" t="b">
        <v>0</v>
      </c>
      <c r="Z545" t="b">
        <v>0</v>
      </c>
      <c r="AC545" s="1"/>
      <c r="AF545">
        <v>0</v>
      </c>
      <c r="AG545">
        <v>45</v>
      </c>
      <c r="AH545">
        <v>13</v>
      </c>
      <c r="AI545" s="2">
        <f>Table__192.168.3.138BEWLPPMetaData[[#This Row],[NetAmount]]-Table__192.168.3.138BEWLPPMetaData[[#This Row],[Paid]]</f>
        <v>784</v>
      </c>
    </row>
    <row r="546" spans="1:35" hidden="1">
      <c r="A546" t="s">
        <v>9582</v>
      </c>
      <c r="B546" s="1">
        <v>41302</v>
      </c>
      <c r="C546" s="1">
        <v>41347</v>
      </c>
      <c r="D546" t="s">
        <v>8530</v>
      </c>
      <c r="E546">
        <v>1234</v>
      </c>
      <c r="F546">
        <v>197</v>
      </c>
      <c r="G546">
        <v>0</v>
      </c>
      <c r="H546">
        <v>0</v>
      </c>
      <c r="I546">
        <v>-34</v>
      </c>
      <c r="J546">
        <v>1431</v>
      </c>
      <c r="K546" t="s">
        <v>9583</v>
      </c>
      <c r="L546" s="1">
        <v>41302</v>
      </c>
      <c r="N546" t="s">
        <v>36</v>
      </c>
      <c r="O546" t="s">
        <v>6047</v>
      </c>
      <c r="P546" t="s">
        <v>357</v>
      </c>
      <c r="Q546" t="s">
        <v>5285</v>
      </c>
      <c r="R546" t="s">
        <v>5286</v>
      </c>
      <c r="S546">
        <v>0</v>
      </c>
      <c r="U546" t="s">
        <v>41</v>
      </c>
      <c r="V546" t="s">
        <v>42</v>
      </c>
      <c r="X546" t="s">
        <v>74</v>
      </c>
      <c r="Y546" t="b">
        <v>0</v>
      </c>
      <c r="Z546" t="b">
        <v>0</v>
      </c>
      <c r="AC546" s="1"/>
      <c r="AF546">
        <v>0</v>
      </c>
      <c r="AG546">
        <v>45</v>
      </c>
      <c r="AH546">
        <v>11</v>
      </c>
      <c r="AI546" s="2">
        <f>Table__192.168.3.138BEWLPPMetaData[[#This Row],[NetAmount]]-Table__192.168.3.138BEWLPPMetaData[[#This Row],[Paid]]</f>
        <v>1431</v>
      </c>
    </row>
    <row r="547" spans="1:35" hidden="1">
      <c r="A547" t="s">
        <v>9584</v>
      </c>
      <c r="B547" s="1">
        <v>41293</v>
      </c>
      <c r="C547" s="1">
        <v>41338</v>
      </c>
      <c r="D547" t="s">
        <v>5509</v>
      </c>
      <c r="E547">
        <v>33150</v>
      </c>
      <c r="F547">
        <v>5304</v>
      </c>
      <c r="G547">
        <v>0</v>
      </c>
      <c r="H547">
        <v>0</v>
      </c>
      <c r="I547">
        <v>-11</v>
      </c>
      <c r="J547">
        <v>38454</v>
      </c>
      <c r="K547" t="s">
        <v>9585</v>
      </c>
      <c r="L547" s="1">
        <v>41279</v>
      </c>
      <c r="N547" t="s">
        <v>36</v>
      </c>
      <c r="O547" t="s">
        <v>6047</v>
      </c>
      <c r="P547" t="s">
        <v>354</v>
      </c>
      <c r="Q547" t="s">
        <v>5285</v>
      </c>
      <c r="R547" t="s">
        <v>5286</v>
      </c>
      <c r="S547">
        <v>0</v>
      </c>
      <c r="U547" t="s">
        <v>41</v>
      </c>
      <c r="V547" t="s">
        <v>42</v>
      </c>
      <c r="X547" t="s">
        <v>74</v>
      </c>
      <c r="Y547" t="b">
        <v>0</v>
      </c>
      <c r="Z547" t="b">
        <v>0</v>
      </c>
      <c r="AC547" s="1"/>
      <c r="AF547">
        <v>0</v>
      </c>
      <c r="AG547">
        <v>45</v>
      </c>
      <c r="AH547">
        <v>34</v>
      </c>
      <c r="AI547" s="2">
        <f>Table__192.168.3.138BEWLPPMetaData[[#This Row],[NetAmount]]-Table__192.168.3.138BEWLPPMetaData[[#This Row],[Paid]]</f>
        <v>38454</v>
      </c>
    </row>
    <row r="548" spans="1:35" hidden="1">
      <c r="A548" t="s">
        <v>9586</v>
      </c>
      <c r="B548" s="1">
        <v>41303</v>
      </c>
      <c r="C548" s="1">
        <v>41348</v>
      </c>
      <c r="D548" t="s">
        <v>5509</v>
      </c>
      <c r="E548">
        <v>40300</v>
      </c>
      <c r="F548">
        <v>6448</v>
      </c>
      <c r="G548">
        <v>0</v>
      </c>
      <c r="H548">
        <v>0</v>
      </c>
      <c r="I548">
        <v>-25</v>
      </c>
      <c r="J548">
        <v>46748</v>
      </c>
      <c r="K548" t="s">
        <v>9587</v>
      </c>
      <c r="L548" s="1">
        <v>41293</v>
      </c>
      <c r="N548" t="s">
        <v>36</v>
      </c>
      <c r="O548" t="s">
        <v>6047</v>
      </c>
      <c r="P548" t="s">
        <v>354</v>
      </c>
      <c r="Q548" t="s">
        <v>5285</v>
      </c>
      <c r="R548" t="s">
        <v>5286</v>
      </c>
      <c r="S548">
        <v>0</v>
      </c>
      <c r="U548" t="s">
        <v>41</v>
      </c>
      <c r="V548" t="s">
        <v>42</v>
      </c>
      <c r="X548" t="s">
        <v>74</v>
      </c>
      <c r="Y548" t="b">
        <v>0</v>
      </c>
      <c r="Z548" t="b">
        <v>0</v>
      </c>
      <c r="AC548" s="1"/>
      <c r="AF548">
        <v>0</v>
      </c>
      <c r="AG548">
        <v>45</v>
      </c>
      <c r="AH548">
        <v>20</v>
      </c>
      <c r="AI548" s="2">
        <f>Table__192.168.3.138BEWLPPMetaData[[#This Row],[NetAmount]]-Table__192.168.3.138BEWLPPMetaData[[#This Row],[Paid]]</f>
        <v>46748</v>
      </c>
    </row>
    <row r="549" spans="1:35" hidden="1">
      <c r="A549" t="s">
        <v>9588</v>
      </c>
      <c r="B549" s="1">
        <v>41284</v>
      </c>
      <c r="C549" s="1">
        <v>41329</v>
      </c>
      <c r="D549" t="s">
        <v>9589</v>
      </c>
      <c r="E549">
        <v>5457</v>
      </c>
      <c r="F549">
        <v>873</v>
      </c>
      <c r="G549">
        <v>0</v>
      </c>
      <c r="H549">
        <v>0</v>
      </c>
      <c r="I549">
        <v>-16</v>
      </c>
      <c r="J549">
        <v>6330</v>
      </c>
      <c r="K549" t="s">
        <v>9590</v>
      </c>
      <c r="L549" s="1">
        <v>41284</v>
      </c>
      <c r="N549" t="s">
        <v>36</v>
      </c>
      <c r="O549" t="s">
        <v>6047</v>
      </c>
      <c r="P549" t="s">
        <v>321</v>
      </c>
      <c r="Q549" t="s">
        <v>5285</v>
      </c>
      <c r="R549" t="s">
        <v>5286</v>
      </c>
      <c r="S549">
        <v>0</v>
      </c>
      <c r="U549" t="s">
        <v>41</v>
      </c>
      <c r="V549" t="s">
        <v>42</v>
      </c>
      <c r="X549" t="s">
        <v>74</v>
      </c>
      <c r="Y549" t="b">
        <v>0</v>
      </c>
      <c r="Z549" t="b">
        <v>0</v>
      </c>
      <c r="AC549" s="1"/>
      <c r="AF549">
        <v>0</v>
      </c>
      <c r="AG549">
        <v>45</v>
      </c>
      <c r="AH549">
        <v>29</v>
      </c>
      <c r="AI549" s="2">
        <f>Table__192.168.3.138BEWLPPMetaData[[#This Row],[NetAmount]]-Table__192.168.3.138BEWLPPMetaData[[#This Row],[Paid]]</f>
        <v>6330</v>
      </c>
    </row>
    <row r="550" spans="1:35" hidden="1">
      <c r="A550" t="s">
        <v>9591</v>
      </c>
      <c r="B550" s="1">
        <v>41293</v>
      </c>
      <c r="C550" s="1">
        <v>41338</v>
      </c>
      <c r="D550" t="s">
        <v>9592</v>
      </c>
      <c r="E550">
        <v>7200</v>
      </c>
      <c r="F550">
        <v>0</v>
      </c>
      <c r="G550">
        <v>0</v>
      </c>
      <c r="H550">
        <v>0</v>
      </c>
      <c r="I550">
        <v>176</v>
      </c>
      <c r="J550">
        <v>7200</v>
      </c>
      <c r="K550" t="s">
        <v>9593</v>
      </c>
      <c r="L550" s="1">
        <v>41092</v>
      </c>
      <c r="N550" t="s">
        <v>1218</v>
      </c>
      <c r="O550" t="s">
        <v>6045</v>
      </c>
      <c r="P550" t="s">
        <v>9594</v>
      </c>
      <c r="Q550" t="s">
        <v>5285</v>
      </c>
      <c r="R550" t="s">
        <v>5286</v>
      </c>
      <c r="S550">
        <v>0</v>
      </c>
      <c r="U550" t="s">
        <v>41</v>
      </c>
      <c r="V550" t="s">
        <v>42</v>
      </c>
      <c r="X550" t="s">
        <v>74</v>
      </c>
      <c r="Y550" t="b">
        <v>0</v>
      </c>
      <c r="Z550" t="b">
        <v>0</v>
      </c>
      <c r="AC550" s="1"/>
      <c r="AF550">
        <v>0</v>
      </c>
      <c r="AG550">
        <v>45</v>
      </c>
      <c r="AH550">
        <v>221</v>
      </c>
      <c r="AI550" s="2">
        <f>Table__192.168.3.138BEWLPPMetaData[[#This Row],[NetAmount]]-Table__192.168.3.138BEWLPPMetaData[[#This Row],[Paid]]</f>
        <v>7200</v>
      </c>
    </row>
    <row r="551" spans="1:35" hidden="1">
      <c r="A551" t="s">
        <v>9595</v>
      </c>
      <c r="B551" s="1">
        <v>41297</v>
      </c>
      <c r="C551" s="1">
        <v>41342</v>
      </c>
      <c r="D551" t="s">
        <v>9592</v>
      </c>
      <c r="E551">
        <v>3200</v>
      </c>
      <c r="F551">
        <v>0</v>
      </c>
      <c r="G551">
        <v>0</v>
      </c>
      <c r="H551">
        <v>0</v>
      </c>
      <c r="I551">
        <v>-28</v>
      </c>
      <c r="J551">
        <v>3200</v>
      </c>
      <c r="K551" t="s">
        <v>5798</v>
      </c>
      <c r="L551" s="1">
        <v>41296</v>
      </c>
      <c r="N551" t="s">
        <v>1218</v>
      </c>
      <c r="O551" t="s">
        <v>6045</v>
      </c>
      <c r="P551" t="s">
        <v>9594</v>
      </c>
      <c r="Q551" t="s">
        <v>5285</v>
      </c>
      <c r="R551" t="s">
        <v>5286</v>
      </c>
      <c r="S551">
        <v>0</v>
      </c>
      <c r="U551" t="s">
        <v>41</v>
      </c>
      <c r="V551" t="s">
        <v>42</v>
      </c>
      <c r="X551" t="s">
        <v>74</v>
      </c>
      <c r="Y551" t="b">
        <v>0</v>
      </c>
      <c r="Z551" t="b">
        <v>0</v>
      </c>
      <c r="AC551" s="1"/>
      <c r="AF551">
        <v>0</v>
      </c>
      <c r="AG551">
        <v>45</v>
      </c>
      <c r="AH551">
        <v>17</v>
      </c>
      <c r="AI551" s="2">
        <f>Table__192.168.3.138BEWLPPMetaData[[#This Row],[NetAmount]]-Table__192.168.3.138BEWLPPMetaData[[#This Row],[Paid]]</f>
        <v>3200</v>
      </c>
    </row>
    <row r="552" spans="1:35" hidden="1">
      <c r="A552" t="s">
        <v>9596</v>
      </c>
      <c r="B552" s="1">
        <v>41297</v>
      </c>
      <c r="C552" s="1">
        <v>41342</v>
      </c>
      <c r="D552" t="s">
        <v>9592</v>
      </c>
      <c r="E552">
        <v>5200</v>
      </c>
      <c r="F552">
        <v>0</v>
      </c>
      <c r="G552">
        <v>0</v>
      </c>
      <c r="H552">
        <v>0</v>
      </c>
      <c r="I552">
        <v>-25</v>
      </c>
      <c r="J552">
        <v>5200</v>
      </c>
      <c r="K552" t="s">
        <v>9597</v>
      </c>
      <c r="L552" s="1">
        <v>41293</v>
      </c>
      <c r="N552" t="s">
        <v>1218</v>
      </c>
      <c r="O552" t="s">
        <v>6045</v>
      </c>
      <c r="P552" t="s">
        <v>9594</v>
      </c>
      <c r="Q552" t="s">
        <v>5285</v>
      </c>
      <c r="R552" t="s">
        <v>5286</v>
      </c>
      <c r="S552">
        <v>0</v>
      </c>
      <c r="U552" t="s">
        <v>41</v>
      </c>
      <c r="V552" t="s">
        <v>42</v>
      </c>
      <c r="X552" t="s">
        <v>74</v>
      </c>
      <c r="Y552" t="b">
        <v>0</v>
      </c>
      <c r="Z552" t="b">
        <v>0</v>
      </c>
      <c r="AC552" s="1"/>
      <c r="AF552">
        <v>0</v>
      </c>
      <c r="AG552">
        <v>45</v>
      </c>
      <c r="AH552">
        <v>20</v>
      </c>
      <c r="AI552" s="2">
        <f>Table__192.168.3.138BEWLPPMetaData[[#This Row],[NetAmount]]-Table__192.168.3.138BEWLPPMetaData[[#This Row],[Paid]]</f>
        <v>5200</v>
      </c>
    </row>
    <row r="553" spans="1:35" hidden="1">
      <c r="A553" t="s">
        <v>9598</v>
      </c>
      <c r="B553" s="1">
        <v>41297</v>
      </c>
      <c r="C553" s="1">
        <v>41342</v>
      </c>
      <c r="D553" t="s">
        <v>9592</v>
      </c>
      <c r="E553">
        <v>4800</v>
      </c>
      <c r="F553">
        <v>0</v>
      </c>
      <c r="G553">
        <v>0</v>
      </c>
      <c r="H553">
        <v>0</v>
      </c>
      <c r="I553">
        <v>-27</v>
      </c>
      <c r="J553">
        <v>4800</v>
      </c>
      <c r="K553" t="s">
        <v>3487</v>
      </c>
      <c r="L553" s="1">
        <v>41295</v>
      </c>
      <c r="N553" t="s">
        <v>1218</v>
      </c>
      <c r="O553" t="s">
        <v>6045</v>
      </c>
      <c r="P553" t="s">
        <v>9594</v>
      </c>
      <c r="Q553" t="s">
        <v>5285</v>
      </c>
      <c r="R553" t="s">
        <v>5286</v>
      </c>
      <c r="S553">
        <v>0</v>
      </c>
      <c r="U553" t="s">
        <v>41</v>
      </c>
      <c r="V553" t="s">
        <v>42</v>
      </c>
      <c r="X553" t="s">
        <v>74</v>
      </c>
      <c r="Y553" t="b">
        <v>0</v>
      </c>
      <c r="Z553" t="b">
        <v>0</v>
      </c>
      <c r="AC553" s="1"/>
      <c r="AF553">
        <v>0</v>
      </c>
      <c r="AG553">
        <v>45</v>
      </c>
      <c r="AH553">
        <v>18</v>
      </c>
      <c r="AI553" s="2">
        <f>Table__192.168.3.138BEWLPPMetaData[[#This Row],[NetAmount]]-Table__192.168.3.138BEWLPPMetaData[[#This Row],[Paid]]</f>
        <v>4800</v>
      </c>
    </row>
    <row r="554" spans="1:35" hidden="1">
      <c r="A554" t="s">
        <v>9599</v>
      </c>
      <c r="B554" s="1">
        <v>41293</v>
      </c>
      <c r="C554" s="1">
        <v>41338</v>
      </c>
      <c r="D554" t="s">
        <v>9592</v>
      </c>
      <c r="E554">
        <v>6400</v>
      </c>
      <c r="F554">
        <v>0</v>
      </c>
      <c r="G554">
        <v>0</v>
      </c>
      <c r="H554">
        <v>0</v>
      </c>
      <c r="I554">
        <v>-18</v>
      </c>
      <c r="J554">
        <v>6400</v>
      </c>
      <c r="K554" t="s">
        <v>3202</v>
      </c>
      <c r="L554" s="1">
        <v>41286</v>
      </c>
      <c r="N554" t="s">
        <v>1218</v>
      </c>
      <c r="O554" t="s">
        <v>6045</v>
      </c>
      <c r="P554" t="s">
        <v>9594</v>
      </c>
      <c r="Q554" t="s">
        <v>5285</v>
      </c>
      <c r="R554" t="s">
        <v>5286</v>
      </c>
      <c r="S554">
        <v>0</v>
      </c>
      <c r="U554" t="s">
        <v>41</v>
      </c>
      <c r="V554" t="s">
        <v>42</v>
      </c>
      <c r="X554" t="s">
        <v>74</v>
      </c>
      <c r="Y554" t="b">
        <v>0</v>
      </c>
      <c r="Z554" t="b">
        <v>0</v>
      </c>
      <c r="AC554" s="1"/>
      <c r="AF554">
        <v>0</v>
      </c>
      <c r="AG554">
        <v>45</v>
      </c>
      <c r="AH554">
        <v>27</v>
      </c>
      <c r="AI554" s="2">
        <f>Table__192.168.3.138BEWLPPMetaData[[#This Row],[NetAmount]]-Table__192.168.3.138BEWLPPMetaData[[#This Row],[Paid]]</f>
        <v>6400</v>
      </c>
    </row>
    <row r="555" spans="1:35" hidden="1">
      <c r="A555" t="s">
        <v>9600</v>
      </c>
      <c r="B555" s="1">
        <v>41275</v>
      </c>
      <c r="C555" s="1">
        <v>41275</v>
      </c>
      <c r="D555" t="s">
        <v>9601</v>
      </c>
      <c r="E555">
        <v>77600</v>
      </c>
      <c r="F555">
        <v>0</v>
      </c>
      <c r="G555">
        <v>0</v>
      </c>
      <c r="H555">
        <v>0</v>
      </c>
      <c r="I555">
        <v>0</v>
      </c>
      <c r="J555">
        <v>76800</v>
      </c>
      <c r="K555" t="s">
        <v>5573</v>
      </c>
      <c r="L555" s="1">
        <v>41272</v>
      </c>
      <c r="M555" t="s">
        <v>9602</v>
      </c>
      <c r="N555" t="s">
        <v>1218</v>
      </c>
      <c r="O555" t="s">
        <v>6045</v>
      </c>
      <c r="P555" t="s">
        <v>9603</v>
      </c>
      <c r="Q555" t="s">
        <v>39</v>
      </c>
      <c r="R555" t="s">
        <v>40</v>
      </c>
      <c r="S555">
        <v>0</v>
      </c>
      <c r="U555" t="s">
        <v>41</v>
      </c>
      <c r="V555" t="s">
        <v>42</v>
      </c>
      <c r="W555" t="s">
        <v>9604</v>
      </c>
      <c r="X555" t="s">
        <v>74</v>
      </c>
      <c r="Y555" t="b">
        <v>0</v>
      </c>
      <c r="Z555" t="b">
        <v>0</v>
      </c>
      <c r="AA555" t="b">
        <v>0</v>
      </c>
      <c r="AC555" s="1"/>
      <c r="AF555">
        <v>0</v>
      </c>
      <c r="AH555">
        <v>41</v>
      </c>
      <c r="AI555" s="2">
        <f>Table__192.168.3.138BEWLPPMetaData[[#This Row],[NetAmount]]-Table__192.168.3.138BEWLPPMetaData[[#This Row],[Paid]]</f>
        <v>76800</v>
      </c>
    </row>
    <row r="556" spans="1:35" hidden="1">
      <c r="A556" t="s">
        <v>9605</v>
      </c>
      <c r="B556" s="1">
        <v>41303</v>
      </c>
      <c r="C556" s="1">
        <v>41348</v>
      </c>
      <c r="D556" t="s">
        <v>9592</v>
      </c>
      <c r="E556">
        <v>4000</v>
      </c>
      <c r="F556">
        <v>0</v>
      </c>
      <c r="G556">
        <v>0</v>
      </c>
      <c r="H556">
        <v>0</v>
      </c>
      <c r="I556">
        <v>-32</v>
      </c>
      <c r="J556">
        <v>4000</v>
      </c>
      <c r="K556" t="s">
        <v>2680</v>
      </c>
      <c r="L556" s="1">
        <v>41300</v>
      </c>
      <c r="N556" t="s">
        <v>1218</v>
      </c>
      <c r="O556" t="s">
        <v>6045</v>
      </c>
      <c r="P556" t="s">
        <v>9594</v>
      </c>
      <c r="Q556" t="s">
        <v>5285</v>
      </c>
      <c r="R556" t="s">
        <v>5286</v>
      </c>
      <c r="S556">
        <v>0</v>
      </c>
      <c r="U556" t="s">
        <v>41</v>
      </c>
      <c r="V556" t="s">
        <v>42</v>
      </c>
      <c r="X556" t="s">
        <v>74</v>
      </c>
      <c r="Y556" t="b">
        <v>0</v>
      </c>
      <c r="Z556" t="b">
        <v>0</v>
      </c>
      <c r="AC556" s="1"/>
      <c r="AF556">
        <v>0</v>
      </c>
      <c r="AG556">
        <v>45</v>
      </c>
      <c r="AH556">
        <v>13</v>
      </c>
      <c r="AI556" s="2">
        <f>Table__192.168.3.138BEWLPPMetaData[[#This Row],[NetAmount]]-Table__192.168.3.138BEWLPPMetaData[[#This Row],[Paid]]</f>
        <v>4000</v>
      </c>
    </row>
    <row r="557" spans="1:35" hidden="1">
      <c r="A557" t="s">
        <v>9606</v>
      </c>
      <c r="B557" s="1">
        <v>41103</v>
      </c>
      <c r="C557" s="1">
        <v>41148</v>
      </c>
      <c r="D557" t="s">
        <v>8603</v>
      </c>
      <c r="E557">
        <v>5040</v>
      </c>
      <c r="F557">
        <v>806</v>
      </c>
      <c r="G557">
        <v>0</v>
      </c>
      <c r="H557">
        <v>0</v>
      </c>
      <c r="I557">
        <v>168</v>
      </c>
      <c r="J557">
        <v>5846</v>
      </c>
      <c r="K557" t="s">
        <v>9607</v>
      </c>
      <c r="L557" s="1">
        <v>41100</v>
      </c>
      <c r="N557" t="s">
        <v>5127</v>
      </c>
      <c r="O557" t="s">
        <v>2458</v>
      </c>
      <c r="P557" t="s">
        <v>304</v>
      </c>
      <c r="Q557" t="s">
        <v>39</v>
      </c>
      <c r="R557" t="s">
        <v>40</v>
      </c>
      <c r="S557">
        <v>0</v>
      </c>
      <c r="U557" t="s">
        <v>41</v>
      </c>
      <c r="V557" t="s">
        <v>42</v>
      </c>
      <c r="X557" t="s">
        <v>74</v>
      </c>
      <c r="Y557" t="b">
        <v>0</v>
      </c>
      <c r="Z557" t="b">
        <v>0</v>
      </c>
      <c r="AC557" s="1"/>
      <c r="AF557">
        <v>0</v>
      </c>
      <c r="AG557">
        <v>45</v>
      </c>
      <c r="AH557">
        <v>213</v>
      </c>
      <c r="AI557" s="2">
        <f>Table__192.168.3.138BEWLPPMetaData[[#This Row],[NetAmount]]-Table__192.168.3.138BEWLPPMetaData[[#This Row],[Paid]]</f>
        <v>5846</v>
      </c>
    </row>
    <row r="558" spans="1:35" hidden="1">
      <c r="A558" t="s">
        <v>9608</v>
      </c>
      <c r="B558" s="1">
        <v>41097</v>
      </c>
      <c r="C558" s="1">
        <v>41142</v>
      </c>
      <c r="D558" t="s">
        <v>8530</v>
      </c>
      <c r="E558">
        <v>175467</v>
      </c>
      <c r="F558">
        <v>28075</v>
      </c>
      <c r="G558">
        <v>0</v>
      </c>
      <c r="H558">
        <v>0</v>
      </c>
      <c r="I558">
        <v>171</v>
      </c>
      <c r="J558">
        <v>203542</v>
      </c>
      <c r="K558" t="s">
        <v>9609</v>
      </c>
      <c r="L558" s="1">
        <v>41097</v>
      </c>
      <c r="N558" t="s">
        <v>5127</v>
      </c>
      <c r="O558" t="s">
        <v>2458</v>
      </c>
      <c r="P558" t="s">
        <v>357</v>
      </c>
      <c r="Q558" t="s">
        <v>39</v>
      </c>
      <c r="R558" t="s">
        <v>40</v>
      </c>
      <c r="S558">
        <v>0</v>
      </c>
      <c r="U558" t="s">
        <v>41</v>
      </c>
      <c r="V558" t="s">
        <v>42</v>
      </c>
      <c r="X558" t="s">
        <v>74</v>
      </c>
      <c r="Y558" t="b">
        <v>0</v>
      </c>
      <c r="Z558" t="b">
        <v>0</v>
      </c>
      <c r="AC558" s="1"/>
      <c r="AF558">
        <v>0</v>
      </c>
      <c r="AG558">
        <v>45</v>
      </c>
      <c r="AH558">
        <v>216</v>
      </c>
      <c r="AI558" s="2">
        <f>Table__192.168.3.138BEWLPPMetaData[[#This Row],[NetAmount]]-Table__192.168.3.138BEWLPPMetaData[[#This Row],[Paid]]</f>
        <v>203542</v>
      </c>
    </row>
    <row r="559" spans="1:35" hidden="1">
      <c r="A559" t="s">
        <v>9610</v>
      </c>
      <c r="B559" s="1">
        <v>41100</v>
      </c>
      <c r="C559" s="1">
        <v>41145</v>
      </c>
      <c r="D559" t="s">
        <v>8530</v>
      </c>
      <c r="E559">
        <v>74200</v>
      </c>
      <c r="F559">
        <v>11872</v>
      </c>
      <c r="G559">
        <v>0</v>
      </c>
      <c r="H559">
        <v>0</v>
      </c>
      <c r="I559">
        <v>168</v>
      </c>
      <c r="J559">
        <v>86072</v>
      </c>
      <c r="K559" t="s">
        <v>9611</v>
      </c>
      <c r="L559" s="1">
        <v>41100</v>
      </c>
      <c r="N559" t="s">
        <v>5127</v>
      </c>
      <c r="O559" t="s">
        <v>2458</v>
      </c>
      <c r="P559" t="s">
        <v>357</v>
      </c>
      <c r="Q559" t="s">
        <v>39</v>
      </c>
      <c r="R559" t="s">
        <v>40</v>
      </c>
      <c r="S559">
        <v>0</v>
      </c>
      <c r="U559" t="s">
        <v>41</v>
      </c>
      <c r="V559" t="s">
        <v>42</v>
      </c>
      <c r="X559" t="s">
        <v>74</v>
      </c>
      <c r="Y559" t="b">
        <v>0</v>
      </c>
      <c r="Z559" t="b">
        <v>0</v>
      </c>
      <c r="AC559" s="1"/>
      <c r="AF559">
        <v>0</v>
      </c>
      <c r="AG559">
        <v>45</v>
      </c>
      <c r="AH559">
        <v>213</v>
      </c>
      <c r="AI559" s="2">
        <f>Table__192.168.3.138BEWLPPMetaData[[#This Row],[NetAmount]]-Table__192.168.3.138BEWLPPMetaData[[#This Row],[Paid]]</f>
        <v>86072</v>
      </c>
    </row>
    <row r="560" spans="1:35" hidden="1">
      <c r="A560" t="s">
        <v>9612</v>
      </c>
      <c r="B560" s="1">
        <v>41096</v>
      </c>
      <c r="C560" s="1">
        <v>41141</v>
      </c>
      <c r="D560" t="s">
        <v>8522</v>
      </c>
      <c r="E560">
        <v>21500</v>
      </c>
      <c r="F560">
        <v>0</v>
      </c>
      <c r="G560">
        <v>0</v>
      </c>
      <c r="H560">
        <v>0</v>
      </c>
      <c r="I560">
        <v>173</v>
      </c>
      <c r="J560">
        <v>21500</v>
      </c>
      <c r="K560" t="s">
        <v>9613</v>
      </c>
      <c r="L560" s="1">
        <v>41095</v>
      </c>
      <c r="N560" t="s">
        <v>5127</v>
      </c>
      <c r="O560" t="s">
        <v>2458</v>
      </c>
      <c r="P560" t="s">
        <v>5458</v>
      </c>
      <c r="Q560" t="s">
        <v>39</v>
      </c>
      <c r="R560" t="s">
        <v>40</v>
      </c>
      <c r="S560">
        <v>0</v>
      </c>
      <c r="U560" t="s">
        <v>41</v>
      </c>
      <c r="V560" t="s">
        <v>42</v>
      </c>
      <c r="X560" t="s">
        <v>74</v>
      </c>
      <c r="Y560" t="b">
        <v>0</v>
      </c>
      <c r="Z560" t="b">
        <v>0</v>
      </c>
      <c r="AC560" s="1"/>
      <c r="AF560">
        <v>0</v>
      </c>
      <c r="AG560">
        <v>45</v>
      </c>
      <c r="AH560">
        <v>218</v>
      </c>
      <c r="AI560" s="2">
        <f>Table__192.168.3.138BEWLPPMetaData[[#This Row],[NetAmount]]-Table__192.168.3.138BEWLPPMetaData[[#This Row],[Paid]]</f>
        <v>21500</v>
      </c>
    </row>
    <row r="561" spans="1:35" hidden="1">
      <c r="A561" t="s">
        <v>9614</v>
      </c>
      <c r="B561" s="1">
        <v>41108</v>
      </c>
      <c r="C561" s="1">
        <v>41153</v>
      </c>
      <c r="D561" t="s">
        <v>8993</v>
      </c>
      <c r="E561">
        <v>151725</v>
      </c>
      <c r="F561">
        <v>24276</v>
      </c>
      <c r="G561">
        <v>0</v>
      </c>
      <c r="H561">
        <v>0</v>
      </c>
      <c r="I561">
        <v>171</v>
      </c>
      <c r="J561">
        <v>176001</v>
      </c>
      <c r="K561" t="s">
        <v>5033</v>
      </c>
      <c r="L561" s="1">
        <v>41097</v>
      </c>
      <c r="N561" t="s">
        <v>5127</v>
      </c>
      <c r="O561" t="s">
        <v>2458</v>
      </c>
      <c r="P561" t="s">
        <v>365</v>
      </c>
      <c r="Q561" t="s">
        <v>39</v>
      </c>
      <c r="R561" t="s">
        <v>40</v>
      </c>
      <c r="S561">
        <v>0</v>
      </c>
      <c r="U561" t="s">
        <v>41</v>
      </c>
      <c r="V561" t="s">
        <v>42</v>
      </c>
      <c r="X561" t="s">
        <v>74</v>
      </c>
      <c r="Y561" t="b">
        <v>0</v>
      </c>
      <c r="Z561" t="b">
        <v>0</v>
      </c>
      <c r="AC561" s="1"/>
      <c r="AF561">
        <v>0</v>
      </c>
      <c r="AG561">
        <v>45</v>
      </c>
      <c r="AH561">
        <v>216</v>
      </c>
      <c r="AI561" s="2">
        <f>Table__192.168.3.138BEWLPPMetaData[[#This Row],[NetAmount]]-Table__192.168.3.138BEWLPPMetaData[[#This Row],[Paid]]</f>
        <v>176001</v>
      </c>
    </row>
    <row r="562" spans="1:35" hidden="1">
      <c r="A562" t="s">
        <v>9615</v>
      </c>
      <c r="B562" s="1">
        <v>41108</v>
      </c>
      <c r="C562" s="1">
        <v>41153</v>
      </c>
      <c r="D562" t="s">
        <v>8993</v>
      </c>
      <c r="E562">
        <v>18040</v>
      </c>
      <c r="F562">
        <v>2886</v>
      </c>
      <c r="G562">
        <v>0</v>
      </c>
      <c r="H562">
        <v>0</v>
      </c>
      <c r="I562">
        <v>165</v>
      </c>
      <c r="J562">
        <v>20926</v>
      </c>
      <c r="K562" t="s">
        <v>5581</v>
      </c>
      <c r="L562" s="1">
        <v>41103</v>
      </c>
      <c r="N562" t="s">
        <v>5127</v>
      </c>
      <c r="O562" t="s">
        <v>2458</v>
      </c>
      <c r="P562" t="s">
        <v>365</v>
      </c>
      <c r="Q562" t="s">
        <v>39</v>
      </c>
      <c r="R562" t="s">
        <v>40</v>
      </c>
      <c r="S562">
        <v>0</v>
      </c>
      <c r="U562" t="s">
        <v>41</v>
      </c>
      <c r="V562" t="s">
        <v>42</v>
      </c>
      <c r="X562" t="s">
        <v>74</v>
      </c>
      <c r="Y562" t="b">
        <v>0</v>
      </c>
      <c r="Z562" t="b">
        <v>0</v>
      </c>
      <c r="AC562" s="1"/>
      <c r="AF562">
        <v>0</v>
      </c>
      <c r="AG562">
        <v>45</v>
      </c>
      <c r="AH562">
        <v>210</v>
      </c>
      <c r="AI562" s="2">
        <f>Table__192.168.3.138BEWLPPMetaData[[#This Row],[NetAmount]]-Table__192.168.3.138BEWLPPMetaData[[#This Row],[Paid]]</f>
        <v>20926</v>
      </c>
    </row>
    <row r="563" spans="1:35" hidden="1">
      <c r="A563" t="s">
        <v>9616</v>
      </c>
      <c r="B563" s="1">
        <v>41103</v>
      </c>
      <c r="C563" s="1">
        <v>41148</v>
      </c>
      <c r="D563" t="s">
        <v>8530</v>
      </c>
      <c r="E563">
        <v>78866</v>
      </c>
      <c r="F563">
        <v>12619</v>
      </c>
      <c r="G563">
        <v>0</v>
      </c>
      <c r="H563">
        <v>0</v>
      </c>
      <c r="I563">
        <v>165</v>
      </c>
      <c r="J563">
        <v>91485</v>
      </c>
      <c r="K563" t="s">
        <v>9617</v>
      </c>
      <c r="L563" s="1">
        <v>41103</v>
      </c>
      <c r="N563" t="s">
        <v>5127</v>
      </c>
      <c r="O563" t="s">
        <v>2458</v>
      </c>
      <c r="P563" t="s">
        <v>357</v>
      </c>
      <c r="Q563" t="s">
        <v>39</v>
      </c>
      <c r="R563" t="s">
        <v>40</v>
      </c>
      <c r="S563">
        <v>0</v>
      </c>
      <c r="U563" t="s">
        <v>41</v>
      </c>
      <c r="V563" t="s">
        <v>42</v>
      </c>
      <c r="X563" t="s">
        <v>74</v>
      </c>
      <c r="Y563" t="b">
        <v>0</v>
      </c>
      <c r="Z563" t="b">
        <v>0</v>
      </c>
      <c r="AC563" s="1"/>
      <c r="AF563">
        <v>0</v>
      </c>
      <c r="AG563">
        <v>45</v>
      </c>
      <c r="AH563">
        <v>210</v>
      </c>
      <c r="AI563" s="2">
        <f>Table__192.168.3.138BEWLPPMetaData[[#This Row],[NetAmount]]-Table__192.168.3.138BEWLPPMetaData[[#This Row],[Paid]]</f>
        <v>91485</v>
      </c>
    </row>
    <row r="564" spans="1:35" hidden="1">
      <c r="A564" t="s">
        <v>9618</v>
      </c>
      <c r="B564" s="1">
        <v>41107</v>
      </c>
      <c r="C564" s="1">
        <v>41152</v>
      </c>
      <c r="D564" t="s">
        <v>8789</v>
      </c>
      <c r="E564">
        <v>49068</v>
      </c>
      <c r="F564">
        <v>7851</v>
      </c>
      <c r="G564">
        <v>0</v>
      </c>
      <c r="H564">
        <v>0</v>
      </c>
      <c r="I564">
        <v>161</v>
      </c>
      <c r="J564">
        <v>56919</v>
      </c>
      <c r="K564" t="s">
        <v>9619</v>
      </c>
      <c r="L564" s="1">
        <v>41107</v>
      </c>
      <c r="M564" t="s">
        <v>9620</v>
      </c>
      <c r="N564" t="s">
        <v>5127</v>
      </c>
      <c r="O564" t="s">
        <v>2458</v>
      </c>
      <c r="P564" t="s">
        <v>8792</v>
      </c>
      <c r="Q564" t="s">
        <v>39</v>
      </c>
      <c r="R564" t="s">
        <v>40</v>
      </c>
      <c r="S564">
        <v>0</v>
      </c>
      <c r="U564" t="s">
        <v>41</v>
      </c>
      <c r="V564" t="s">
        <v>42</v>
      </c>
      <c r="W564" t="s">
        <v>9621</v>
      </c>
      <c r="X564" t="s">
        <v>74</v>
      </c>
      <c r="Y564" t="b">
        <v>0</v>
      </c>
      <c r="Z564" t="b">
        <v>0</v>
      </c>
      <c r="AA564" t="b">
        <v>0</v>
      </c>
      <c r="AC564" s="1"/>
      <c r="AF564">
        <v>0</v>
      </c>
      <c r="AG564">
        <v>45</v>
      </c>
      <c r="AH564">
        <v>206</v>
      </c>
      <c r="AI564" s="2">
        <f>Table__192.168.3.138BEWLPPMetaData[[#This Row],[NetAmount]]-Table__192.168.3.138BEWLPPMetaData[[#This Row],[Paid]]</f>
        <v>56919</v>
      </c>
    </row>
    <row r="565" spans="1:35" hidden="1">
      <c r="A565" t="s">
        <v>9622</v>
      </c>
      <c r="B565" s="1">
        <v>41099</v>
      </c>
      <c r="C565" s="1">
        <v>41144</v>
      </c>
      <c r="D565" t="s">
        <v>8725</v>
      </c>
      <c r="E565">
        <v>39330</v>
      </c>
      <c r="F565">
        <v>0</v>
      </c>
      <c r="G565">
        <v>0</v>
      </c>
      <c r="H565">
        <v>0</v>
      </c>
      <c r="I565">
        <v>169</v>
      </c>
      <c r="J565">
        <v>39330</v>
      </c>
      <c r="K565" t="s">
        <v>9623</v>
      </c>
      <c r="L565" s="1">
        <v>41099</v>
      </c>
      <c r="M565" t="s">
        <v>9624</v>
      </c>
      <c r="N565" t="s">
        <v>5127</v>
      </c>
      <c r="O565" t="s">
        <v>2458</v>
      </c>
      <c r="P565" t="s">
        <v>8727</v>
      </c>
      <c r="Q565" t="s">
        <v>39</v>
      </c>
      <c r="R565" t="s">
        <v>40</v>
      </c>
      <c r="S565">
        <v>0</v>
      </c>
      <c r="U565" t="s">
        <v>41</v>
      </c>
      <c r="V565" t="s">
        <v>42</v>
      </c>
      <c r="W565" t="s">
        <v>9625</v>
      </c>
      <c r="X565" t="s">
        <v>74</v>
      </c>
      <c r="Y565" t="b">
        <v>0</v>
      </c>
      <c r="Z565" t="b">
        <v>0</v>
      </c>
      <c r="AA565" t="b">
        <v>0</v>
      </c>
      <c r="AC565" s="1"/>
      <c r="AF565">
        <v>0</v>
      </c>
      <c r="AG565">
        <v>45</v>
      </c>
      <c r="AH565">
        <v>214</v>
      </c>
      <c r="AI565" s="2">
        <f>Table__192.168.3.138BEWLPPMetaData[[#This Row],[NetAmount]]-Table__192.168.3.138BEWLPPMetaData[[#This Row],[Paid]]</f>
        <v>39330</v>
      </c>
    </row>
    <row r="566" spans="1:35" hidden="1">
      <c r="A566" t="s">
        <v>9626</v>
      </c>
      <c r="B566" s="1">
        <v>41096</v>
      </c>
      <c r="C566" s="1">
        <v>41096</v>
      </c>
      <c r="D566" t="s">
        <v>9627</v>
      </c>
      <c r="E566">
        <v>16000</v>
      </c>
      <c r="F566">
        <v>2560</v>
      </c>
      <c r="G566">
        <v>0</v>
      </c>
      <c r="H566">
        <v>0</v>
      </c>
      <c r="I566">
        <v>0</v>
      </c>
      <c r="J566">
        <v>18560</v>
      </c>
      <c r="K566" t="s">
        <v>9628</v>
      </c>
      <c r="L566" s="1">
        <v>41094</v>
      </c>
      <c r="M566" t="s">
        <v>9629</v>
      </c>
      <c r="N566" t="s">
        <v>5127</v>
      </c>
      <c r="O566" t="s">
        <v>2458</v>
      </c>
      <c r="P566" t="s">
        <v>9630</v>
      </c>
      <c r="Q566" t="s">
        <v>39</v>
      </c>
      <c r="R566" t="s">
        <v>40</v>
      </c>
      <c r="S566">
        <v>0</v>
      </c>
      <c r="U566" t="s">
        <v>41</v>
      </c>
      <c r="V566" t="s">
        <v>42</v>
      </c>
      <c r="W566" t="s">
        <v>9631</v>
      </c>
      <c r="X566" t="s">
        <v>74</v>
      </c>
      <c r="Y566" t="b">
        <v>0</v>
      </c>
      <c r="Z566" t="b">
        <v>0</v>
      </c>
      <c r="AA566" t="b">
        <v>0</v>
      </c>
      <c r="AC566" s="1"/>
      <c r="AF566">
        <v>0</v>
      </c>
      <c r="AH566">
        <v>219</v>
      </c>
      <c r="AI566" s="2">
        <f>Table__192.168.3.138BEWLPPMetaData[[#This Row],[NetAmount]]-Table__192.168.3.138BEWLPPMetaData[[#This Row],[Paid]]</f>
        <v>18560</v>
      </c>
    </row>
    <row r="567" spans="1:35" hidden="1">
      <c r="A567" t="s">
        <v>9632</v>
      </c>
      <c r="B567" s="1">
        <v>41108</v>
      </c>
      <c r="C567" s="1">
        <v>41153</v>
      </c>
      <c r="D567" t="s">
        <v>8530</v>
      </c>
      <c r="E567">
        <v>40557</v>
      </c>
      <c r="F567">
        <v>6489</v>
      </c>
      <c r="G567">
        <v>0</v>
      </c>
      <c r="H567">
        <v>0</v>
      </c>
      <c r="I567">
        <v>160</v>
      </c>
      <c r="J567">
        <v>47046</v>
      </c>
      <c r="K567" t="s">
        <v>9633</v>
      </c>
      <c r="L567" s="1">
        <v>41108</v>
      </c>
      <c r="N567" t="s">
        <v>5127</v>
      </c>
      <c r="O567" t="s">
        <v>2458</v>
      </c>
      <c r="P567" t="s">
        <v>357</v>
      </c>
      <c r="Q567" t="s">
        <v>39</v>
      </c>
      <c r="R567" t="s">
        <v>40</v>
      </c>
      <c r="S567">
        <v>0</v>
      </c>
      <c r="U567" t="s">
        <v>41</v>
      </c>
      <c r="V567" t="s">
        <v>42</v>
      </c>
      <c r="X567" t="s">
        <v>74</v>
      </c>
      <c r="Y567" t="b">
        <v>0</v>
      </c>
      <c r="Z567" t="b">
        <v>0</v>
      </c>
      <c r="AC567" s="1"/>
      <c r="AF567">
        <v>0</v>
      </c>
      <c r="AG567">
        <v>45</v>
      </c>
      <c r="AH567">
        <v>205</v>
      </c>
      <c r="AI567" s="2">
        <f>Table__192.168.3.138BEWLPPMetaData[[#This Row],[NetAmount]]-Table__192.168.3.138BEWLPPMetaData[[#This Row],[Paid]]</f>
        <v>47046</v>
      </c>
    </row>
    <row r="568" spans="1:35" hidden="1">
      <c r="A568" t="s">
        <v>9634</v>
      </c>
      <c r="B568" s="1">
        <v>41096</v>
      </c>
      <c r="C568" s="1">
        <v>41141</v>
      </c>
      <c r="D568" t="s">
        <v>8577</v>
      </c>
      <c r="E568">
        <v>5050</v>
      </c>
      <c r="F568">
        <v>0</v>
      </c>
      <c r="G568">
        <v>0</v>
      </c>
      <c r="H568">
        <v>0</v>
      </c>
      <c r="I568">
        <v>174</v>
      </c>
      <c r="J568">
        <v>5050</v>
      </c>
      <c r="K568" t="s">
        <v>920</v>
      </c>
      <c r="L568" s="1">
        <v>41094</v>
      </c>
      <c r="N568" t="s">
        <v>5127</v>
      </c>
      <c r="O568" t="s">
        <v>2458</v>
      </c>
      <c r="P568" t="s">
        <v>8579</v>
      </c>
      <c r="Q568" t="s">
        <v>39</v>
      </c>
      <c r="R568" t="s">
        <v>40</v>
      </c>
      <c r="S568">
        <v>0</v>
      </c>
      <c r="U568" t="s">
        <v>41</v>
      </c>
      <c r="V568" t="s">
        <v>42</v>
      </c>
      <c r="X568" t="s">
        <v>74</v>
      </c>
      <c r="Y568" t="b">
        <v>0</v>
      </c>
      <c r="Z568" t="b">
        <v>0</v>
      </c>
      <c r="AC568" s="1"/>
      <c r="AF568">
        <v>0</v>
      </c>
      <c r="AG568">
        <v>45</v>
      </c>
      <c r="AH568">
        <v>219</v>
      </c>
      <c r="AI568" s="2">
        <f>Table__192.168.3.138BEWLPPMetaData[[#This Row],[NetAmount]]-Table__192.168.3.138BEWLPPMetaData[[#This Row],[Paid]]</f>
        <v>5050</v>
      </c>
    </row>
    <row r="569" spans="1:35" hidden="1">
      <c r="A569" t="s">
        <v>9635</v>
      </c>
      <c r="B569" s="1">
        <v>41107</v>
      </c>
      <c r="C569" s="1">
        <v>41152</v>
      </c>
      <c r="D569" t="s">
        <v>9150</v>
      </c>
      <c r="E569">
        <v>162100</v>
      </c>
      <c r="F569">
        <v>25936</v>
      </c>
      <c r="G569">
        <v>0</v>
      </c>
      <c r="H569">
        <v>0</v>
      </c>
      <c r="I569">
        <v>159</v>
      </c>
      <c r="J569">
        <v>188036</v>
      </c>
      <c r="K569" t="s">
        <v>1797</v>
      </c>
      <c r="L569" s="1">
        <v>41109</v>
      </c>
      <c r="N569" t="s">
        <v>5127</v>
      </c>
      <c r="O569" t="s">
        <v>2458</v>
      </c>
      <c r="P569" t="s">
        <v>423</v>
      </c>
      <c r="Q569" t="s">
        <v>39</v>
      </c>
      <c r="R569" t="s">
        <v>40</v>
      </c>
      <c r="S569">
        <v>0</v>
      </c>
      <c r="U569" t="s">
        <v>41</v>
      </c>
      <c r="V569" t="s">
        <v>42</v>
      </c>
      <c r="X569" t="s">
        <v>74</v>
      </c>
      <c r="Y569" t="b">
        <v>0</v>
      </c>
      <c r="Z569" t="b">
        <v>0</v>
      </c>
      <c r="AC569" s="1"/>
      <c r="AF569">
        <v>0</v>
      </c>
      <c r="AG569">
        <v>45</v>
      </c>
      <c r="AH569">
        <v>204</v>
      </c>
      <c r="AI569" s="2">
        <f>Table__192.168.3.138BEWLPPMetaData[[#This Row],[NetAmount]]-Table__192.168.3.138BEWLPPMetaData[[#This Row],[Paid]]</f>
        <v>188036</v>
      </c>
    </row>
    <row r="570" spans="1:35" hidden="1">
      <c r="A570" t="s">
        <v>9636</v>
      </c>
      <c r="B570" s="1">
        <v>41096</v>
      </c>
      <c r="C570" s="1">
        <v>41141</v>
      </c>
      <c r="D570" t="s">
        <v>8598</v>
      </c>
      <c r="E570">
        <v>11400</v>
      </c>
      <c r="F570">
        <v>1824</v>
      </c>
      <c r="G570">
        <v>0</v>
      </c>
      <c r="H570">
        <v>0</v>
      </c>
      <c r="I570">
        <v>172</v>
      </c>
      <c r="J570">
        <v>13224</v>
      </c>
      <c r="K570" t="s">
        <v>6033</v>
      </c>
      <c r="L570" s="1">
        <v>41096</v>
      </c>
      <c r="M570" t="s">
        <v>9637</v>
      </c>
      <c r="N570" t="s">
        <v>5127</v>
      </c>
      <c r="O570" t="s">
        <v>2458</v>
      </c>
      <c r="P570" t="s">
        <v>369</v>
      </c>
      <c r="Q570" t="s">
        <v>39</v>
      </c>
      <c r="R570" t="s">
        <v>40</v>
      </c>
      <c r="S570">
        <v>0</v>
      </c>
      <c r="U570" t="s">
        <v>41</v>
      </c>
      <c r="V570" t="s">
        <v>42</v>
      </c>
      <c r="W570" t="s">
        <v>8601</v>
      </c>
      <c r="X570" t="s">
        <v>74</v>
      </c>
      <c r="Y570" t="b">
        <v>0</v>
      </c>
      <c r="Z570" t="b">
        <v>0</v>
      </c>
      <c r="AA570" t="b">
        <v>0</v>
      </c>
      <c r="AC570" s="1"/>
      <c r="AF570">
        <v>0</v>
      </c>
      <c r="AG570">
        <v>45</v>
      </c>
      <c r="AH570">
        <v>217</v>
      </c>
      <c r="AI570" s="2">
        <f>Table__192.168.3.138BEWLPPMetaData[[#This Row],[NetAmount]]-Table__192.168.3.138BEWLPPMetaData[[#This Row],[Paid]]</f>
        <v>13224</v>
      </c>
    </row>
    <row r="571" spans="1:35" hidden="1">
      <c r="A571" t="s">
        <v>9638</v>
      </c>
      <c r="B571" s="1">
        <v>41121</v>
      </c>
      <c r="C571" s="1">
        <v>41166</v>
      </c>
      <c r="D571" t="s">
        <v>8993</v>
      </c>
      <c r="E571">
        <v>12210</v>
      </c>
      <c r="F571">
        <v>1954</v>
      </c>
      <c r="G571">
        <v>0</v>
      </c>
      <c r="H571">
        <v>0</v>
      </c>
      <c r="I571">
        <v>160</v>
      </c>
      <c r="J571">
        <v>14164</v>
      </c>
      <c r="K571" t="s">
        <v>37</v>
      </c>
      <c r="L571" s="1">
        <v>41108</v>
      </c>
      <c r="N571" t="s">
        <v>5127</v>
      </c>
      <c r="O571" t="s">
        <v>2458</v>
      </c>
      <c r="P571" t="s">
        <v>365</v>
      </c>
      <c r="Q571" t="s">
        <v>39</v>
      </c>
      <c r="R571" t="s">
        <v>40</v>
      </c>
      <c r="S571">
        <v>0</v>
      </c>
      <c r="U571" t="s">
        <v>41</v>
      </c>
      <c r="V571" t="s">
        <v>42</v>
      </c>
      <c r="X571" t="s">
        <v>74</v>
      </c>
      <c r="Y571" t="b">
        <v>0</v>
      </c>
      <c r="Z571" t="b">
        <v>0</v>
      </c>
      <c r="AC571" s="1"/>
      <c r="AF571">
        <v>0</v>
      </c>
      <c r="AG571">
        <v>45</v>
      </c>
      <c r="AH571">
        <v>205</v>
      </c>
      <c r="AI571" s="2">
        <f>Table__192.168.3.138BEWLPPMetaData[[#This Row],[NetAmount]]-Table__192.168.3.138BEWLPPMetaData[[#This Row],[Paid]]</f>
        <v>14164</v>
      </c>
    </row>
    <row r="572" spans="1:35" hidden="1">
      <c r="A572" t="s">
        <v>9639</v>
      </c>
      <c r="B572" s="1">
        <v>41121</v>
      </c>
      <c r="C572" s="1">
        <v>41166</v>
      </c>
      <c r="D572" t="s">
        <v>8993</v>
      </c>
      <c r="E572">
        <v>579200</v>
      </c>
      <c r="F572">
        <v>92672</v>
      </c>
      <c r="G572">
        <v>0</v>
      </c>
      <c r="H572">
        <v>0</v>
      </c>
      <c r="I572">
        <v>161</v>
      </c>
      <c r="J572">
        <v>671872</v>
      </c>
      <c r="K572" t="s">
        <v>4525</v>
      </c>
      <c r="L572" s="1">
        <v>41107</v>
      </c>
      <c r="N572" t="s">
        <v>5127</v>
      </c>
      <c r="O572" t="s">
        <v>2458</v>
      </c>
      <c r="P572" t="s">
        <v>365</v>
      </c>
      <c r="Q572" t="s">
        <v>39</v>
      </c>
      <c r="R572" t="s">
        <v>40</v>
      </c>
      <c r="S572">
        <v>0</v>
      </c>
      <c r="U572" t="s">
        <v>41</v>
      </c>
      <c r="V572" t="s">
        <v>42</v>
      </c>
      <c r="X572" t="s">
        <v>74</v>
      </c>
      <c r="Y572" t="b">
        <v>0</v>
      </c>
      <c r="Z572" t="b">
        <v>0</v>
      </c>
      <c r="AC572" s="1"/>
      <c r="AF572">
        <v>0</v>
      </c>
      <c r="AG572">
        <v>45</v>
      </c>
      <c r="AH572">
        <v>206</v>
      </c>
      <c r="AI572" s="2">
        <f>Table__192.168.3.138BEWLPPMetaData[[#This Row],[NetAmount]]-Table__192.168.3.138BEWLPPMetaData[[#This Row],[Paid]]</f>
        <v>671872</v>
      </c>
    </row>
    <row r="573" spans="1:35" hidden="1">
      <c r="A573" t="s">
        <v>9640</v>
      </c>
      <c r="B573" s="1">
        <v>41118</v>
      </c>
      <c r="C573" s="1">
        <v>41163</v>
      </c>
      <c r="D573" t="s">
        <v>8725</v>
      </c>
      <c r="E573">
        <v>18720</v>
      </c>
      <c r="F573">
        <v>0</v>
      </c>
      <c r="G573">
        <v>0</v>
      </c>
      <c r="H573">
        <v>0</v>
      </c>
      <c r="I573">
        <v>154</v>
      </c>
      <c r="J573">
        <v>18720</v>
      </c>
      <c r="K573" t="s">
        <v>2066</v>
      </c>
      <c r="L573" s="1">
        <v>41114</v>
      </c>
      <c r="M573" t="s">
        <v>9641</v>
      </c>
      <c r="N573" t="s">
        <v>5127</v>
      </c>
      <c r="O573" t="s">
        <v>2458</v>
      </c>
      <c r="P573" t="s">
        <v>8727</v>
      </c>
      <c r="Q573" t="s">
        <v>39</v>
      </c>
      <c r="R573" t="s">
        <v>40</v>
      </c>
      <c r="S573">
        <v>0</v>
      </c>
      <c r="U573" t="s">
        <v>41</v>
      </c>
      <c r="V573" t="s">
        <v>42</v>
      </c>
      <c r="W573" t="s">
        <v>9625</v>
      </c>
      <c r="X573" t="s">
        <v>74</v>
      </c>
      <c r="Y573" t="b">
        <v>0</v>
      </c>
      <c r="Z573" t="b">
        <v>0</v>
      </c>
      <c r="AA573" t="b">
        <v>0</v>
      </c>
      <c r="AC573" s="1"/>
      <c r="AF573">
        <v>0</v>
      </c>
      <c r="AG573">
        <v>45</v>
      </c>
      <c r="AH573">
        <v>199</v>
      </c>
      <c r="AI573" s="2">
        <f>Table__192.168.3.138BEWLPPMetaData[[#This Row],[NetAmount]]-Table__192.168.3.138BEWLPPMetaData[[#This Row],[Paid]]</f>
        <v>18720</v>
      </c>
    </row>
    <row r="574" spans="1:35" hidden="1">
      <c r="A574" t="s">
        <v>9642</v>
      </c>
      <c r="B574" s="1">
        <v>41121</v>
      </c>
      <c r="C574" s="1">
        <v>41166</v>
      </c>
      <c r="D574" t="s">
        <v>8530</v>
      </c>
      <c r="E574">
        <v>283165</v>
      </c>
      <c r="F574">
        <v>45307</v>
      </c>
      <c r="G574">
        <v>0</v>
      </c>
      <c r="H574">
        <v>0</v>
      </c>
      <c r="I574">
        <v>147</v>
      </c>
      <c r="J574">
        <v>328472</v>
      </c>
      <c r="K574" t="s">
        <v>9643</v>
      </c>
      <c r="L574" s="1">
        <v>41121</v>
      </c>
      <c r="N574" t="s">
        <v>5127</v>
      </c>
      <c r="O574" t="s">
        <v>2458</v>
      </c>
      <c r="P574" t="s">
        <v>357</v>
      </c>
      <c r="Q574" t="s">
        <v>39</v>
      </c>
      <c r="R574" t="s">
        <v>40</v>
      </c>
      <c r="S574">
        <v>0</v>
      </c>
      <c r="U574" t="s">
        <v>41</v>
      </c>
      <c r="V574" t="s">
        <v>42</v>
      </c>
      <c r="X574" t="s">
        <v>74</v>
      </c>
      <c r="Y574" t="b">
        <v>0</v>
      </c>
      <c r="Z574" t="b">
        <v>0</v>
      </c>
      <c r="AC574" s="1"/>
      <c r="AF574">
        <v>0</v>
      </c>
      <c r="AG574">
        <v>45</v>
      </c>
      <c r="AH574">
        <v>192</v>
      </c>
      <c r="AI574" s="2">
        <f>Table__192.168.3.138BEWLPPMetaData[[#This Row],[NetAmount]]-Table__192.168.3.138BEWLPPMetaData[[#This Row],[Paid]]</f>
        <v>328472</v>
      </c>
    </row>
    <row r="575" spans="1:35" hidden="1">
      <c r="A575" t="s">
        <v>9644</v>
      </c>
      <c r="B575" s="1">
        <v>41118</v>
      </c>
      <c r="C575" s="1">
        <v>41163</v>
      </c>
      <c r="D575" t="s">
        <v>8530</v>
      </c>
      <c r="E575">
        <v>44854</v>
      </c>
      <c r="F575">
        <v>7177</v>
      </c>
      <c r="G575">
        <v>0</v>
      </c>
      <c r="H575">
        <v>0</v>
      </c>
      <c r="I575">
        <v>152</v>
      </c>
      <c r="J575">
        <v>52031</v>
      </c>
      <c r="K575" t="s">
        <v>8060</v>
      </c>
      <c r="L575" s="1">
        <v>41116</v>
      </c>
      <c r="N575" t="s">
        <v>5127</v>
      </c>
      <c r="O575" t="s">
        <v>2458</v>
      </c>
      <c r="P575" t="s">
        <v>357</v>
      </c>
      <c r="Q575" t="s">
        <v>39</v>
      </c>
      <c r="R575" t="s">
        <v>40</v>
      </c>
      <c r="S575">
        <v>0</v>
      </c>
      <c r="U575" t="s">
        <v>41</v>
      </c>
      <c r="V575" t="s">
        <v>42</v>
      </c>
      <c r="X575" t="s">
        <v>74</v>
      </c>
      <c r="Y575" t="b">
        <v>0</v>
      </c>
      <c r="Z575" t="b">
        <v>0</v>
      </c>
      <c r="AC575" s="1"/>
      <c r="AF575">
        <v>0</v>
      </c>
      <c r="AG575">
        <v>45</v>
      </c>
      <c r="AH575">
        <v>197</v>
      </c>
      <c r="AI575" s="2">
        <f>Table__192.168.3.138BEWLPPMetaData[[#This Row],[NetAmount]]-Table__192.168.3.138BEWLPPMetaData[[#This Row],[Paid]]</f>
        <v>52031</v>
      </c>
    </row>
    <row r="576" spans="1:35" hidden="1">
      <c r="A576" t="s">
        <v>9645</v>
      </c>
      <c r="B576" s="1">
        <v>41118</v>
      </c>
      <c r="C576" s="1">
        <v>41163</v>
      </c>
      <c r="D576" t="s">
        <v>8530</v>
      </c>
      <c r="E576">
        <v>5400</v>
      </c>
      <c r="F576">
        <v>864</v>
      </c>
      <c r="G576">
        <v>0</v>
      </c>
      <c r="H576">
        <v>0</v>
      </c>
      <c r="I576">
        <v>153</v>
      </c>
      <c r="J576">
        <v>6264</v>
      </c>
      <c r="K576" t="s">
        <v>9646</v>
      </c>
      <c r="L576" s="1">
        <v>41115</v>
      </c>
      <c r="N576" t="s">
        <v>5127</v>
      </c>
      <c r="O576" t="s">
        <v>2458</v>
      </c>
      <c r="P576" t="s">
        <v>357</v>
      </c>
      <c r="Q576" t="s">
        <v>39</v>
      </c>
      <c r="R576" t="s">
        <v>40</v>
      </c>
      <c r="S576">
        <v>0</v>
      </c>
      <c r="U576" t="s">
        <v>41</v>
      </c>
      <c r="V576" t="s">
        <v>42</v>
      </c>
      <c r="X576" t="s">
        <v>74</v>
      </c>
      <c r="Y576" t="b">
        <v>0</v>
      </c>
      <c r="Z576" t="b">
        <v>0</v>
      </c>
      <c r="AC576" s="1"/>
      <c r="AF576">
        <v>0</v>
      </c>
      <c r="AG576">
        <v>45</v>
      </c>
      <c r="AH576">
        <v>198</v>
      </c>
      <c r="AI576" s="2">
        <f>Table__192.168.3.138BEWLPPMetaData[[#This Row],[NetAmount]]-Table__192.168.3.138BEWLPPMetaData[[#This Row],[Paid]]</f>
        <v>6264</v>
      </c>
    </row>
    <row r="577" spans="1:35" hidden="1">
      <c r="A577" t="s">
        <v>9647</v>
      </c>
      <c r="B577" s="1">
        <v>41114</v>
      </c>
      <c r="C577" s="1">
        <v>41159</v>
      </c>
      <c r="D577" t="s">
        <v>8530</v>
      </c>
      <c r="E577">
        <v>26200</v>
      </c>
      <c r="F577">
        <v>4192</v>
      </c>
      <c r="G577">
        <v>0</v>
      </c>
      <c r="H577">
        <v>0</v>
      </c>
      <c r="I577">
        <v>157</v>
      </c>
      <c r="J577">
        <v>30392</v>
      </c>
      <c r="K577" t="s">
        <v>9648</v>
      </c>
      <c r="L577" s="1">
        <v>41111</v>
      </c>
      <c r="N577" t="s">
        <v>5127</v>
      </c>
      <c r="O577" t="s">
        <v>2458</v>
      </c>
      <c r="P577" t="s">
        <v>357</v>
      </c>
      <c r="Q577" t="s">
        <v>39</v>
      </c>
      <c r="R577" t="s">
        <v>40</v>
      </c>
      <c r="S577">
        <v>0</v>
      </c>
      <c r="U577" t="s">
        <v>41</v>
      </c>
      <c r="V577" t="s">
        <v>42</v>
      </c>
      <c r="X577" t="s">
        <v>74</v>
      </c>
      <c r="Y577" t="b">
        <v>0</v>
      </c>
      <c r="Z577" t="b">
        <v>0</v>
      </c>
      <c r="AC577" s="1"/>
      <c r="AF577">
        <v>0</v>
      </c>
      <c r="AG577">
        <v>45</v>
      </c>
      <c r="AH577">
        <v>202</v>
      </c>
      <c r="AI577" s="2">
        <f>Table__192.168.3.138BEWLPPMetaData[[#This Row],[NetAmount]]-Table__192.168.3.138BEWLPPMetaData[[#This Row],[Paid]]</f>
        <v>30392</v>
      </c>
    </row>
    <row r="578" spans="1:35" hidden="1">
      <c r="A578" t="s">
        <v>9649</v>
      </c>
      <c r="B578" s="1">
        <v>41103</v>
      </c>
      <c r="C578" s="1">
        <v>41148</v>
      </c>
      <c r="D578" t="s">
        <v>8577</v>
      </c>
      <c r="E578">
        <v>6302</v>
      </c>
      <c r="F578">
        <v>0</v>
      </c>
      <c r="G578">
        <v>0</v>
      </c>
      <c r="H578">
        <v>0</v>
      </c>
      <c r="I578">
        <v>169</v>
      </c>
      <c r="J578">
        <v>6302</v>
      </c>
      <c r="K578" t="s">
        <v>1017</v>
      </c>
      <c r="L578" s="1">
        <v>41099</v>
      </c>
      <c r="N578" t="s">
        <v>5127</v>
      </c>
      <c r="O578" t="s">
        <v>2458</v>
      </c>
      <c r="P578" t="s">
        <v>8579</v>
      </c>
      <c r="Q578" t="s">
        <v>39</v>
      </c>
      <c r="R578" t="s">
        <v>40</v>
      </c>
      <c r="S578">
        <v>0</v>
      </c>
      <c r="U578" t="s">
        <v>41</v>
      </c>
      <c r="V578" t="s">
        <v>42</v>
      </c>
      <c r="X578" t="s">
        <v>74</v>
      </c>
      <c r="Y578" t="b">
        <v>0</v>
      </c>
      <c r="Z578" t="b">
        <v>0</v>
      </c>
      <c r="AC578" s="1"/>
      <c r="AF578">
        <v>0</v>
      </c>
      <c r="AG578">
        <v>45</v>
      </c>
      <c r="AH578">
        <v>214</v>
      </c>
      <c r="AI578" s="2">
        <f>Table__192.168.3.138BEWLPPMetaData[[#This Row],[NetAmount]]-Table__192.168.3.138BEWLPPMetaData[[#This Row],[Paid]]</f>
        <v>6302</v>
      </c>
    </row>
    <row r="579" spans="1:35" hidden="1">
      <c r="A579" t="s">
        <v>9650</v>
      </c>
      <c r="B579" s="1">
        <v>41111</v>
      </c>
      <c r="C579" s="1">
        <v>41156</v>
      </c>
      <c r="D579" t="s">
        <v>8970</v>
      </c>
      <c r="E579">
        <v>54232</v>
      </c>
      <c r="F579">
        <v>8677</v>
      </c>
      <c r="G579">
        <v>0</v>
      </c>
      <c r="H579">
        <v>0</v>
      </c>
      <c r="I579">
        <v>157</v>
      </c>
      <c r="J579">
        <v>62909</v>
      </c>
      <c r="K579" t="s">
        <v>8029</v>
      </c>
      <c r="L579" s="1">
        <v>41111</v>
      </c>
      <c r="N579" t="s">
        <v>5127</v>
      </c>
      <c r="O579" t="s">
        <v>2458</v>
      </c>
      <c r="P579" t="s">
        <v>8971</v>
      </c>
      <c r="Q579" t="s">
        <v>39</v>
      </c>
      <c r="R579" t="s">
        <v>40</v>
      </c>
      <c r="S579">
        <v>0</v>
      </c>
      <c r="U579" t="s">
        <v>41</v>
      </c>
      <c r="V579" t="s">
        <v>42</v>
      </c>
      <c r="X579" t="s">
        <v>74</v>
      </c>
      <c r="Y579" t="b">
        <v>0</v>
      </c>
      <c r="Z579" t="b">
        <v>0</v>
      </c>
      <c r="AC579" s="1"/>
      <c r="AF579">
        <v>0</v>
      </c>
      <c r="AG579">
        <v>45</v>
      </c>
      <c r="AH579">
        <v>202</v>
      </c>
      <c r="AI579" s="2">
        <f>Table__192.168.3.138BEWLPPMetaData[[#This Row],[NetAmount]]-Table__192.168.3.138BEWLPPMetaData[[#This Row],[Paid]]</f>
        <v>62909</v>
      </c>
    </row>
    <row r="580" spans="1:35" hidden="1">
      <c r="A580" t="s">
        <v>9651</v>
      </c>
      <c r="B580" s="1">
        <v>41111</v>
      </c>
      <c r="C580" s="1">
        <v>41156</v>
      </c>
      <c r="D580" t="s">
        <v>8630</v>
      </c>
      <c r="E580">
        <v>2925</v>
      </c>
      <c r="F580">
        <v>468</v>
      </c>
      <c r="G580">
        <v>0</v>
      </c>
      <c r="H580">
        <v>0</v>
      </c>
      <c r="I580">
        <v>147</v>
      </c>
      <c r="J580">
        <v>3393</v>
      </c>
      <c r="K580" t="s">
        <v>7235</v>
      </c>
      <c r="L580" s="1">
        <v>41121</v>
      </c>
      <c r="N580" t="s">
        <v>5127</v>
      </c>
      <c r="O580" t="s">
        <v>2458</v>
      </c>
      <c r="P580" t="s">
        <v>363</v>
      </c>
      <c r="Q580" t="s">
        <v>39</v>
      </c>
      <c r="R580" t="s">
        <v>40</v>
      </c>
      <c r="S580">
        <v>0</v>
      </c>
      <c r="U580" t="s">
        <v>41</v>
      </c>
      <c r="V580" t="s">
        <v>42</v>
      </c>
      <c r="X580" t="s">
        <v>74</v>
      </c>
      <c r="Y580" t="b">
        <v>0</v>
      </c>
      <c r="Z580" t="b">
        <v>0</v>
      </c>
      <c r="AC580" s="1"/>
      <c r="AF580">
        <v>0</v>
      </c>
      <c r="AG580">
        <v>45</v>
      </c>
      <c r="AH580">
        <v>192</v>
      </c>
      <c r="AI580" s="2">
        <f>Table__192.168.3.138BEWLPPMetaData[[#This Row],[NetAmount]]-Table__192.168.3.138BEWLPPMetaData[[#This Row],[Paid]]</f>
        <v>3393</v>
      </c>
    </row>
    <row r="581" spans="1:35" hidden="1">
      <c r="A581" t="s">
        <v>9652</v>
      </c>
      <c r="B581" s="1">
        <v>41111</v>
      </c>
      <c r="C581" s="1">
        <v>41156</v>
      </c>
      <c r="D581" t="s">
        <v>8577</v>
      </c>
      <c r="E581">
        <v>18800</v>
      </c>
      <c r="F581">
        <v>0</v>
      </c>
      <c r="G581">
        <v>0</v>
      </c>
      <c r="H581">
        <v>0</v>
      </c>
      <c r="I581">
        <v>177</v>
      </c>
      <c r="J581">
        <v>18800</v>
      </c>
      <c r="K581" t="s">
        <v>4289</v>
      </c>
      <c r="L581" s="1">
        <v>41091</v>
      </c>
      <c r="N581" t="s">
        <v>5127</v>
      </c>
      <c r="O581" t="s">
        <v>2458</v>
      </c>
      <c r="P581" t="s">
        <v>8579</v>
      </c>
      <c r="Q581" t="s">
        <v>39</v>
      </c>
      <c r="R581" t="s">
        <v>40</v>
      </c>
      <c r="S581">
        <v>0</v>
      </c>
      <c r="U581" t="s">
        <v>41</v>
      </c>
      <c r="V581" t="s">
        <v>42</v>
      </c>
      <c r="X581" t="s">
        <v>74</v>
      </c>
      <c r="Y581" t="b">
        <v>0</v>
      </c>
      <c r="Z581" t="b">
        <v>0</v>
      </c>
      <c r="AC581" s="1"/>
      <c r="AF581">
        <v>0</v>
      </c>
      <c r="AG581">
        <v>45</v>
      </c>
      <c r="AH581">
        <v>222</v>
      </c>
      <c r="AI581" s="2">
        <f>Table__192.168.3.138BEWLPPMetaData[[#This Row],[NetAmount]]-Table__192.168.3.138BEWLPPMetaData[[#This Row],[Paid]]</f>
        <v>18800</v>
      </c>
    </row>
    <row r="582" spans="1:35" hidden="1">
      <c r="A582" t="s">
        <v>9653</v>
      </c>
      <c r="B582" s="1">
        <v>41118</v>
      </c>
      <c r="C582" s="1">
        <v>41163</v>
      </c>
      <c r="D582" t="s">
        <v>8577</v>
      </c>
      <c r="E582">
        <v>3760</v>
      </c>
      <c r="F582">
        <v>0</v>
      </c>
      <c r="G582">
        <v>0</v>
      </c>
      <c r="H582">
        <v>0</v>
      </c>
      <c r="I582">
        <v>152</v>
      </c>
      <c r="J582">
        <v>3760</v>
      </c>
      <c r="K582" t="s">
        <v>9654</v>
      </c>
      <c r="L582" s="1">
        <v>41116</v>
      </c>
      <c r="N582" t="s">
        <v>5127</v>
      </c>
      <c r="O582" t="s">
        <v>2458</v>
      </c>
      <c r="P582" t="s">
        <v>8579</v>
      </c>
      <c r="Q582" t="s">
        <v>39</v>
      </c>
      <c r="R582" t="s">
        <v>40</v>
      </c>
      <c r="S582">
        <v>0</v>
      </c>
      <c r="U582" t="s">
        <v>41</v>
      </c>
      <c r="V582" t="s">
        <v>42</v>
      </c>
      <c r="X582" t="s">
        <v>74</v>
      </c>
      <c r="Y582" t="b">
        <v>0</v>
      </c>
      <c r="Z582" t="b">
        <v>0</v>
      </c>
      <c r="AC582" s="1"/>
      <c r="AF582">
        <v>0</v>
      </c>
      <c r="AG582">
        <v>45</v>
      </c>
      <c r="AH582">
        <v>197</v>
      </c>
      <c r="AI582" s="2">
        <f>Table__192.168.3.138BEWLPPMetaData[[#This Row],[NetAmount]]-Table__192.168.3.138BEWLPPMetaData[[#This Row],[Paid]]</f>
        <v>3760</v>
      </c>
    </row>
    <row r="583" spans="1:35" hidden="1">
      <c r="A583" t="s">
        <v>9655</v>
      </c>
      <c r="B583" s="1">
        <v>41111</v>
      </c>
      <c r="C583" s="1">
        <v>41156</v>
      </c>
      <c r="D583" t="s">
        <v>8527</v>
      </c>
      <c r="E583">
        <v>21000</v>
      </c>
      <c r="F583">
        <v>3360</v>
      </c>
      <c r="G583">
        <v>0</v>
      </c>
      <c r="H583">
        <v>0</v>
      </c>
      <c r="I583">
        <v>158</v>
      </c>
      <c r="J583">
        <v>24360</v>
      </c>
      <c r="K583" t="s">
        <v>1246</v>
      </c>
      <c r="L583" s="1">
        <v>41110</v>
      </c>
      <c r="N583" t="s">
        <v>5127</v>
      </c>
      <c r="O583" t="s">
        <v>2458</v>
      </c>
      <c r="P583" t="s">
        <v>8528</v>
      </c>
      <c r="Q583" t="s">
        <v>39</v>
      </c>
      <c r="R583" t="s">
        <v>40</v>
      </c>
      <c r="S583">
        <v>0</v>
      </c>
      <c r="U583" t="s">
        <v>41</v>
      </c>
      <c r="V583" t="s">
        <v>42</v>
      </c>
      <c r="X583" t="s">
        <v>74</v>
      </c>
      <c r="Y583" t="b">
        <v>0</v>
      </c>
      <c r="Z583" t="b">
        <v>0</v>
      </c>
      <c r="AC583" s="1"/>
      <c r="AF583">
        <v>0</v>
      </c>
      <c r="AG583">
        <v>45</v>
      </c>
      <c r="AH583">
        <v>203</v>
      </c>
      <c r="AI583" s="2">
        <f>Table__192.168.3.138BEWLPPMetaData[[#This Row],[NetAmount]]-Table__192.168.3.138BEWLPPMetaData[[#This Row],[Paid]]</f>
        <v>24360</v>
      </c>
    </row>
    <row r="584" spans="1:35" hidden="1">
      <c r="A584" t="s">
        <v>9656</v>
      </c>
      <c r="B584" s="1">
        <v>41103</v>
      </c>
      <c r="C584" s="1">
        <v>41148</v>
      </c>
      <c r="D584" t="s">
        <v>8527</v>
      </c>
      <c r="E584">
        <v>7000</v>
      </c>
      <c r="F584">
        <v>1120</v>
      </c>
      <c r="G584">
        <v>0</v>
      </c>
      <c r="H584">
        <v>0</v>
      </c>
      <c r="I584">
        <v>166</v>
      </c>
      <c r="J584">
        <v>8120</v>
      </c>
      <c r="K584" t="s">
        <v>8292</v>
      </c>
      <c r="L584" s="1">
        <v>41102</v>
      </c>
      <c r="N584" t="s">
        <v>5127</v>
      </c>
      <c r="O584" t="s">
        <v>2458</v>
      </c>
      <c r="P584" t="s">
        <v>8528</v>
      </c>
      <c r="Q584" t="s">
        <v>39</v>
      </c>
      <c r="R584" t="s">
        <v>40</v>
      </c>
      <c r="S584">
        <v>0</v>
      </c>
      <c r="U584" t="s">
        <v>41</v>
      </c>
      <c r="V584" t="s">
        <v>42</v>
      </c>
      <c r="X584" t="s">
        <v>74</v>
      </c>
      <c r="Y584" t="b">
        <v>0</v>
      </c>
      <c r="Z584" t="b">
        <v>0</v>
      </c>
      <c r="AC584" s="1"/>
      <c r="AF584">
        <v>0</v>
      </c>
      <c r="AG584">
        <v>45</v>
      </c>
      <c r="AH584">
        <v>211</v>
      </c>
      <c r="AI584" s="2">
        <f>Table__192.168.3.138BEWLPPMetaData[[#This Row],[NetAmount]]-Table__192.168.3.138BEWLPPMetaData[[#This Row],[Paid]]</f>
        <v>8120</v>
      </c>
    </row>
    <row r="585" spans="1:35" hidden="1">
      <c r="A585" t="s">
        <v>9657</v>
      </c>
      <c r="B585" s="1">
        <v>41096</v>
      </c>
      <c r="C585" s="1">
        <v>41141</v>
      </c>
      <c r="D585" t="s">
        <v>8527</v>
      </c>
      <c r="E585">
        <v>14000</v>
      </c>
      <c r="F585">
        <v>2240</v>
      </c>
      <c r="G585">
        <v>0</v>
      </c>
      <c r="H585">
        <v>0</v>
      </c>
      <c r="I585">
        <v>173</v>
      </c>
      <c r="J585">
        <v>16240</v>
      </c>
      <c r="K585" t="s">
        <v>9658</v>
      </c>
      <c r="L585" s="1">
        <v>41095</v>
      </c>
      <c r="N585" t="s">
        <v>5127</v>
      </c>
      <c r="O585" t="s">
        <v>2458</v>
      </c>
      <c r="P585" t="s">
        <v>8528</v>
      </c>
      <c r="Q585" t="s">
        <v>39</v>
      </c>
      <c r="R585" t="s">
        <v>40</v>
      </c>
      <c r="S585">
        <v>0</v>
      </c>
      <c r="U585" t="s">
        <v>41</v>
      </c>
      <c r="V585" t="s">
        <v>42</v>
      </c>
      <c r="X585" t="s">
        <v>74</v>
      </c>
      <c r="Y585" t="b">
        <v>0</v>
      </c>
      <c r="Z585" t="b">
        <v>0</v>
      </c>
      <c r="AC585" s="1"/>
      <c r="AF585">
        <v>0</v>
      </c>
      <c r="AG585">
        <v>45</v>
      </c>
      <c r="AH585">
        <v>218</v>
      </c>
      <c r="AI585" s="2">
        <f>Table__192.168.3.138BEWLPPMetaData[[#This Row],[NetAmount]]-Table__192.168.3.138BEWLPPMetaData[[#This Row],[Paid]]</f>
        <v>16240</v>
      </c>
    </row>
    <row r="586" spans="1:35" hidden="1">
      <c r="A586" t="s">
        <v>9659</v>
      </c>
      <c r="B586" s="1">
        <v>41121</v>
      </c>
      <c r="C586" s="1">
        <v>41166</v>
      </c>
      <c r="D586" t="s">
        <v>8640</v>
      </c>
      <c r="E586">
        <v>3376</v>
      </c>
      <c r="F586">
        <v>540</v>
      </c>
      <c r="G586">
        <v>0</v>
      </c>
      <c r="H586">
        <v>0</v>
      </c>
      <c r="I586">
        <v>171</v>
      </c>
      <c r="J586">
        <v>3916</v>
      </c>
      <c r="K586" t="s">
        <v>2565</v>
      </c>
      <c r="L586" s="1">
        <v>41097</v>
      </c>
      <c r="M586" t="s">
        <v>9660</v>
      </c>
      <c r="N586" t="s">
        <v>5127</v>
      </c>
      <c r="O586" t="s">
        <v>2458</v>
      </c>
      <c r="P586" t="s">
        <v>323</v>
      </c>
      <c r="Q586" t="s">
        <v>39</v>
      </c>
      <c r="R586" t="s">
        <v>40</v>
      </c>
      <c r="S586">
        <v>0</v>
      </c>
      <c r="U586" t="s">
        <v>41</v>
      </c>
      <c r="V586" t="s">
        <v>42</v>
      </c>
      <c r="W586" t="s">
        <v>8691</v>
      </c>
      <c r="X586" t="s">
        <v>74</v>
      </c>
      <c r="Y586" t="b">
        <v>0</v>
      </c>
      <c r="Z586" t="b">
        <v>0</v>
      </c>
      <c r="AA586" t="b">
        <v>0</v>
      </c>
      <c r="AC586" s="1"/>
      <c r="AF586">
        <v>0</v>
      </c>
      <c r="AG586">
        <v>45</v>
      </c>
      <c r="AH586">
        <v>216</v>
      </c>
      <c r="AI586" s="2">
        <f>Table__192.168.3.138BEWLPPMetaData[[#This Row],[NetAmount]]-Table__192.168.3.138BEWLPPMetaData[[#This Row],[Paid]]</f>
        <v>3916</v>
      </c>
    </row>
    <row r="587" spans="1:35" hidden="1">
      <c r="A587" t="s">
        <v>9661</v>
      </c>
      <c r="B587" s="1">
        <v>41121</v>
      </c>
      <c r="C587" s="1">
        <v>41166</v>
      </c>
      <c r="D587" t="s">
        <v>8640</v>
      </c>
      <c r="E587">
        <v>6752</v>
      </c>
      <c r="F587">
        <v>1080</v>
      </c>
      <c r="G587">
        <v>0</v>
      </c>
      <c r="H587">
        <v>0</v>
      </c>
      <c r="I587">
        <v>176</v>
      </c>
      <c r="J587">
        <v>7832</v>
      </c>
      <c r="K587" t="s">
        <v>9662</v>
      </c>
      <c r="L587" s="1">
        <v>41092</v>
      </c>
      <c r="M587" t="s">
        <v>9663</v>
      </c>
      <c r="N587" t="s">
        <v>5127</v>
      </c>
      <c r="O587" t="s">
        <v>2458</v>
      </c>
      <c r="P587" t="s">
        <v>323</v>
      </c>
      <c r="Q587" t="s">
        <v>39</v>
      </c>
      <c r="R587" t="s">
        <v>40</v>
      </c>
      <c r="S587">
        <v>0</v>
      </c>
      <c r="U587" t="s">
        <v>41</v>
      </c>
      <c r="V587" t="s">
        <v>42</v>
      </c>
      <c r="W587" t="s">
        <v>8691</v>
      </c>
      <c r="X587" t="s">
        <v>74</v>
      </c>
      <c r="Y587" t="b">
        <v>0</v>
      </c>
      <c r="Z587" t="b">
        <v>0</v>
      </c>
      <c r="AA587" t="b">
        <v>0</v>
      </c>
      <c r="AC587" s="1"/>
      <c r="AF587">
        <v>0</v>
      </c>
      <c r="AG587">
        <v>45</v>
      </c>
      <c r="AH587">
        <v>221</v>
      </c>
      <c r="AI587" s="2">
        <f>Table__192.168.3.138BEWLPPMetaData[[#This Row],[NetAmount]]-Table__192.168.3.138BEWLPPMetaData[[#This Row],[Paid]]</f>
        <v>7832</v>
      </c>
    </row>
    <row r="588" spans="1:35" hidden="1">
      <c r="A588" t="s">
        <v>9664</v>
      </c>
      <c r="B588" s="1">
        <v>41103</v>
      </c>
      <c r="C588" s="1">
        <v>41148</v>
      </c>
      <c r="D588" t="s">
        <v>8640</v>
      </c>
      <c r="E588">
        <v>8900</v>
      </c>
      <c r="F588">
        <v>1424</v>
      </c>
      <c r="G588">
        <v>0</v>
      </c>
      <c r="H588">
        <v>0</v>
      </c>
      <c r="I588">
        <v>167</v>
      </c>
      <c r="J588">
        <v>10324</v>
      </c>
      <c r="K588" t="s">
        <v>9665</v>
      </c>
      <c r="L588" s="1">
        <v>41101</v>
      </c>
      <c r="M588" t="s">
        <v>9666</v>
      </c>
      <c r="N588" t="s">
        <v>5127</v>
      </c>
      <c r="O588" t="s">
        <v>2458</v>
      </c>
      <c r="P588" t="s">
        <v>323</v>
      </c>
      <c r="Q588" t="s">
        <v>39</v>
      </c>
      <c r="R588" t="s">
        <v>40</v>
      </c>
      <c r="S588">
        <v>0</v>
      </c>
      <c r="U588" t="s">
        <v>41</v>
      </c>
      <c r="V588" t="s">
        <v>42</v>
      </c>
      <c r="W588" t="s">
        <v>8691</v>
      </c>
      <c r="X588" t="s">
        <v>74</v>
      </c>
      <c r="Y588" t="b">
        <v>0</v>
      </c>
      <c r="Z588" t="b">
        <v>0</v>
      </c>
      <c r="AA588" t="b">
        <v>0</v>
      </c>
      <c r="AC588" s="1"/>
      <c r="AF588">
        <v>0</v>
      </c>
      <c r="AG588">
        <v>45</v>
      </c>
      <c r="AH588">
        <v>212</v>
      </c>
      <c r="AI588" s="2">
        <f>Table__192.168.3.138BEWLPPMetaData[[#This Row],[NetAmount]]-Table__192.168.3.138BEWLPPMetaData[[#This Row],[Paid]]</f>
        <v>10324</v>
      </c>
    </row>
    <row r="589" spans="1:35" hidden="1">
      <c r="A589" t="s">
        <v>9667</v>
      </c>
      <c r="B589" s="1">
        <v>41130</v>
      </c>
      <c r="C589" s="1">
        <v>41175</v>
      </c>
      <c r="D589" t="s">
        <v>8530</v>
      </c>
      <c r="E589">
        <v>3122</v>
      </c>
      <c r="F589">
        <v>500</v>
      </c>
      <c r="G589">
        <v>0</v>
      </c>
      <c r="H589">
        <v>0</v>
      </c>
      <c r="I589">
        <v>174</v>
      </c>
      <c r="J589">
        <v>3622</v>
      </c>
      <c r="K589" t="s">
        <v>9668</v>
      </c>
      <c r="L589" s="1">
        <v>41094</v>
      </c>
      <c r="N589" t="s">
        <v>5127</v>
      </c>
      <c r="O589" t="s">
        <v>2458</v>
      </c>
      <c r="P589" t="s">
        <v>357</v>
      </c>
      <c r="Q589" t="s">
        <v>39</v>
      </c>
      <c r="R589" t="s">
        <v>40</v>
      </c>
      <c r="S589">
        <v>0</v>
      </c>
      <c r="U589" t="s">
        <v>41</v>
      </c>
      <c r="V589" t="s">
        <v>42</v>
      </c>
      <c r="X589" t="s">
        <v>74</v>
      </c>
      <c r="Y589" t="b">
        <v>0</v>
      </c>
      <c r="Z589" t="b">
        <v>0</v>
      </c>
      <c r="AC589" s="1"/>
      <c r="AF589">
        <v>0</v>
      </c>
      <c r="AG589">
        <v>45</v>
      </c>
      <c r="AH589">
        <v>219</v>
      </c>
      <c r="AI589" s="2">
        <f>Table__192.168.3.138BEWLPPMetaData[[#This Row],[NetAmount]]-Table__192.168.3.138BEWLPPMetaData[[#This Row],[Paid]]</f>
        <v>3622</v>
      </c>
    </row>
    <row r="590" spans="1:35" hidden="1">
      <c r="A590" t="s">
        <v>9669</v>
      </c>
      <c r="B590" s="1">
        <v>41132</v>
      </c>
      <c r="C590" s="1">
        <v>41177</v>
      </c>
      <c r="D590" t="s">
        <v>8530</v>
      </c>
      <c r="E590">
        <v>39192</v>
      </c>
      <c r="F590">
        <v>6271</v>
      </c>
      <c r="G590">
        <v>0</v>
      </c>
      <c r="H590">
        <v>0</v>
      </c>
      <c r="I590">
        <v>136</v>
      </c>
      <c r="J590">
        <v>45463</v>
      </c>
      <c r="K590" t="s">
        <v>9670</v>
      </c>
      <c r="L590" s="1">
        <v>41132</v>
      </c>
      <c r="N590" t="s">
        <v>5127</v>
      </c>
      <c r="O590" t="s">
        <v>2458</v>
      </c>
      <c r="P590" t="s">
        <v>357</v>
      </c>
      <c r="Q590" t="s">
        <v>39</v>
      </c>
      <c r="R590" t="s">
        <v>40</v>
      </c>
      <c r="S590">
        <v>0</v>
      </c>
      <c r="U590" t="s">
        <v>41</v>
      </c>
      <c r="V590" t="s">
        <v>42</v>
      </c>
      <c r="X590" t="s">
        <v>74</v>
      </c>
      <c r="Y590" t="b">
        <v>0</v>
      </c>
      <c r="Z590" t="b">
        <v>0</v>
      </c>
      <c r="AC590" s="1"/>
      <c r="AF590">
        <v>0</v>
      </c>
      <c r="AG590">
        <v>45</v>
      </c>
      <c r="AH590">
        <v>181</v>
      </c>
      <c r="AI590" s="2">
        <f>Table__192.168.3.138BEWLPPMetaData[[#This Row],[NetAmount]]-Table__192.168.3.138BEWLPPMetaData[[#This Row],[Paid]]</f>
        <v>45463</v>
      </c>
    </row>
    <row r="591" spans="1:35" hidden="1">
      <c r="A591" t="s">
        <v>9671</v>
      </c>
      <c r="B591" s="1">
        <v>41132</v>
      </c>
      <c r="C591" s="1">
        <v>41177</v>
      </c>
      <c r="D591" t="s">
        <v>8530</v>
      </c>
      <c r="E591">
        <v>50800</v>
      </c>
      <c r="F591">
        <v>8128</v>
      </c>
      <c r="G591">
        <v>0</v>
      </c>
      <c r="H591">
        <v>0</v>
      </c>
      <c r="I591">
        <v>136</v>
      </c>
      <c r="J591">
        <v>58928</v>
      </c>
      <c r="K591" t="s">
        <v>9672</v>
      </c>
      <c r="L591" s="1">
        <v>41132</v>
      </c>
      <c r="N591" t="s">
        <v>5127</v>
      </c>
      <c r="O591" t="s">
        <v>2458</v>
      </c>
      <c r="P591" t="s">
        <v>357</v>
      </c>
      <c r="Q591" t="s">
        <v>39</v>
      </c>
      <c r="R591" t="s">
        <v>40</v>
      </c>
      <c r="S591">
        <v>0</v>
      </c>
      <c r="U591" t="s">
        <v>41</v>
      </c>
      <c r="V591" t="s">
        <v>42</v>
      </c>
      <c r="X591" t="s">
        <v>74</v>
      </c>
      <c r="Y591" t="b">
        <v>0</v>
      </c>
      <c r="Z591" t="b">
        <v>0</v>
      </c>
      <c r="AC591" s="1"/>
      <c r="AF591">
        <v>0</v>
      </c>
      <c r="AG591">
        <v>45</v>
      </c>
      <c r="AH591">
        <v>181</v>
      </c>
      <c r="AI591" s="2">
        <f>Table__192.168.3.138BEWLPPMetaData[[#This Row],[NetAmount]]-Table__192.168.3.138BEWLPPMetaData[[#This Row],[Paid]]</f>
        <v>58928</v>
      </c>
    </row>
    <row r="592" spans="1:35" hidden="1">
      <c r="A592" t="s">
        <v>9673</v>
      </c>
      <c r="B592" s="1">
        <v>41136</v>
      </c>
      <c r="C592" s="1">
        <v>41181</v>
      </c>
      <c r="D592" t="s">
        <v>8530</v>
      </c>
      <c r="E592">
        <v>13060</v>
      </c>
      <c r="F592">
        <v>2090</v>
      </c>
      <c r="G592">
        <v>0</v>
      </c>
      <c r="H592">
        <v>0</v>
      </c>
      <c r="I592">
        <v>132</v>
      </c>
      <c r="J592">
        <v>15150</v>
      </c>
      <c r="K592" t="s">
        <v>9674</v>
      </c>
      <c r="L592" s="1">
        <v>41136</v>
      </c>
      <c r="N592" t="s">
        <v>5127</v>
      </c>
      <c r="O592" t="s">
        <v>2458</v>
      </c>
      <c r="P592" t="s">
        <v>357</v>
      </c>
      <c r="Q592" t="s">
        <v>39</v>
      </c>
      <c r="R592" t="s">
        <v>40</v>
      </c>
      <c r="S592">
        <v>0</v>
      </c>
      <c r="U592" t="s">
        <v>41</v>
      </c>
      <c r="V592" t="s">
        <v>42</v>
      </c>
      <c r="X592" t="s">
        <v>74</v>
      </c>
      <c r="Y592" t="b">
        <v>0</v>
      </c>
      <c r="Z592" t="b">
        <v>0</v>
      </c>
      <c r="AC592" s="1"/>
      <c r="AF592">
        <v>0</v>
      </c>
      <c r="AG592">
        <v>45</v>
      </c>
      <c r="AH592">
        <v>177</v>
      </c>
      <c r="AI592" s="2">
        <f>Table__192.168.3.138BEWLPPMetaData[[#This Row],[NetAmount]]-Table__192.168.3.138BEWLPPMetaData[[#This Row],[Paid]]</f>
        <v>15150</v>
      </c>
    </row>
    <row r="593" spans="1:35" hidden="1">
      <c r="A593" t="s">
        <v>9675</v>
      </c>
      <c r="B593" s="1">
        <v>41129</v>
      </c>
      <c r="C593" s="1">
        <v>41174</v>
      </c>
      <c r="D593" t="s">
        <v>8725</v>
      </c>
      <c r="E593">
        <v>52538</v>
      </c>
      <c r="F593">
        <v>0</v>
      </c>
      <c r="G593">
        <v>0</v>
      </c>
      <c r="H593">
        <v>0</v>
      </c>
      <c r="I593">
        <v>141</v>
      </c>
      <c r="J593">
        <v>52538</v>
      </c>
      <c r="K593" t="s">
        <v>9676</v>
      </c>
      <c r="L593" s="1">
        <v>41127</v>
      </c>
      <c r="N593" t="s">
        <v>5127</v>
      </c>
      <c r="O593" t="s">
        <v>2458</v>
      </c>
      <c r="P593" t="s">
        <v>8727</v>
      </c>
      <c r="Q593" t="s">
        <v>39</v>
      </c>
      <c r="R593" t="s">
        <v>40</v>
      </c>
      <c r="S593">
        <v>0</v>
      </c>
      <c r="U593" t="s">
        <v>41</v>
      </c>
      <c r="V593" t="s">
        <v>42</v>
      </c>
      <c r="X593" t="s">
        <v>74</v>
      </c>
      <c r="Y593" t="b">
        <v>0</v>
      </c>
      <c r="Z593" t="b">
        <v>0</v>
      </c>
      <c r="AC593" s="1"/>
      <c r="AF593">
        <v>0</v>
      </c>
      <c r="AG593">
        <v>45</v>
      </c>
      <c r="AH593">
        <v>186</v>
      </c>
      <c r="AI593" s="2">
        <f>Table__192.168.3.138BEWLPPMetaData[[#This Row],[NetAmount]]-Table__192.168.3.138BEWLPPMetaData[[#This Row],[Paid]]</f>
        <v>52538</v>
      </c>
    </row>
    <row r="594" spans="1:35" hidden="1">
      <c r="A594" t="s">
        <v>9677</v>
      </c>
      <c r="B594" s="1">
        <v>41130</v>
      </c>
      <c r="C594" s="1">
        <v>41175</v>
      </c>
      <c r="D594" t="s">
        <v>8574</v>
      </c>
      <c r="E594">
        <v>30170</v>
      </c>
      <c r="F594">
        <v>4827</v>
      </c>
      <c r="G594">
        <v>0</v>
      </c>
      <c r="H594">
        <v>0</v>
      </c>
      <c r="I594">
        <v>147</v>
      </c>
      <c r="J594">
        <v>34997</v>
      </c>
      <c r="K594" t="s">
        <v>9678</v>
      </c>
      <c r="L594" s="1">
        <v>41121</v>
      </c>
      <c r="N594" t="s">
        <v>5127</v>
      </c>
      <c r="O594" t="s">
        <v>2458</v>
      </c>
      <c r="P594" t="s">
        <v>344</v>
      </c>
      <c r="Q594" t="s">
        <v>39</v>
      </c>
      <c r="R594" t="s">
        <v>40</v>
      </c>
      <c r="S594">
        <v>0</v>
      </c>
      <c r="U594" t="s">
        <v>41</v>
      </c>
      <c r="V594" t="s">
        <v>42</v>
      </c>
      <c r="X594" t="s">
        <v>74</v>
      </c>
      <c r="Y594" t="b">
        <v>0</v>
      </c>
      <c r="Z594" t="b">
        <v>0</v>
      </c>
      <c r="AC594" s="1"/>
      <c r="AF594">
        <v>0</v>
      </c>
      <c r="AG594">
        <v>45</v>
      </c>
      <c r="AH594">
        <v>192</v>
      </c>
      <c r="AI594" s="2">
        <f>Table__192.168.3.138BEWLPPMetaData[[#This Row],[NetAmount]]-Table__192.168.3.138BEWLPPMetaData[[#This Row],[Paid]]</f>
        <v>34997</v>
      </c>
    </row>
    <row r="595" spans="1:35" hidden="1">
      <c r="A595" t="s">
        <v>9679</v>
      </c>
      <c r="B595" s="1">
        <v>41125</v>
      </c>
      <c r="C595" s="1">
        <v>41170</v>
      </c>
      <c r="D595" t="s">
        <v>8640</v>
      </c>
      <c r="E595">
        <v>50664</v>
      </c>
      <c r="F595">
        <v>8106</v>
      </c>
      <c r="G595">
        <v>0</v>
      </c>
      <c r="H595">
        <v>0</v>
      </c>
      <c r="I595">
        <v>139</v>
      </c>
      <c r="J595">
        <v>58770</v>
      </c>
      <c r="K595" t="s">
        <v>846</v>
      </c>
      <c r="L595" s="1">
        <v>41129</v>
      </c>
      <c r="N595" t="s">
        <v>5127</v>
      </c>
      <c r="O595" t="s">
        <v>2458</v>
      </c>
      <c r="P595" t="s">
        <v>323</v>
      </c>
      <c r="Q595" t="s">
        <v>39</v>
      </c>
      <c r="R595" t="s">
        <v>40</v>
      </c>
      <c r="S595">
        <v>0</v>
      </c>
      <c r="U595" t="s">
        <v>41</v>
      </c>
      <c r="V595" t="s">
        <v>42</v>
      </c>
      <c r="X595" t="s">
        <v>74</v>
      </c>
      <c r="Y595" t="b">
        <v>0</v>
      </c>
      <c r="Z595" t="b">
        <v>0</v>
      </c>
      <c r="AC595" s="1"/>
      <c r="AF595">
        <v>0</v>
      </c>
      <c r="AG595">
        <v>45</v>
      </c>
      <c r="AH595">
        <v>184</v>
      </c>
      <c r="AI595" s="2">
        <f>Table__192.168.3.138BEWLPPMetaData[[#This Row],[NetAmount]]-Table__192.168.3.138BEWLPPMetaData[[#This Row],[Paid]]</f>
        <v>58770</v>
      </c>
    </row>
    <row r="596" spans="1:35" hidden="1">
      <c r="A596" t="s">
        <v>9680</v>
      </c>
      <c r="B596" s="1">
        <v>41127</v>
      </c>
      <c r="C596" s="1">
        <v>41172</v>
      </c>
      <c r="D596" t="s">
        <v>8530</v>
      </c>
      <c r="E596">
        <v>14121</v>
      </c>
      <c r="F596">
        <v>2259</v>
      </c>
      <c r="G596">
        <v>0</v>
      </c>
      <c r="H596">
        <v>0</v>
      </c>
      <c r="I596">
        <v>132</v>
      </c>
      <c r="J596">
        <v>16380</v>
      </c>
      <c r="K596" t="s">
        <v>9681</v>
      </c>
      <c r="L596" s="1">
        <v>41136</v>
      </c>
      <c r="N596" t="s">
        <v>5127</v>
      </c>
      <c r="O596" t="s">
        <v>2458</v>
      </c>
      <c r="P596" t="s">
        <v>357</v>
      </c>
      <c r="Q596" t="s">
        <v>39</v>
      </c>
      <c r="R596" t="s">
        <v>40</v>
      </c>
      <c r="S596">
        <v>0</v>
      </c>
      <c r="U596" t="s">
        <v>41</v>
      </c>
      <c r="V596" t="s">
        <v>42</v>
      </c>
      <c r="X596" t="s">
        <v>74</v>
      </c>
      <c r="Y596" t="b">
        <v>0</v>
      </c>
      <c r="Z596" t="b">
        <v>0</v>
      </c>
      <c r="AC596" s="1"/>
      <c r="AF596">
        <v>0</v>
      </c>
      <c r="AG596">
        <v>45</v>
      </c>
      <c r="AH596">
        <v>177</v>
      </c>
      <c r="AI596" s="2">
        <f>Table__192.168.3.138BEWLPPMetaData[[#This Row],[NetAmount]]-Table__192.168.3.138BEWLPPMetaData[[#This Row],[Paid]]</f>
        <v>16380</v>
      </c>
    </row>
    <row r="597" spans="1:35" hidden="1">
      <c r="A597" t="s">
        <v>9682</v>
      </c>
      <c r="B597" s="1">
        <v>41127</v>
      </c>
      <c r="C597" s="1">
        <v>41172</v>
      </c>
      <c r="D597" t="s">
        <v>8530</v>
      </c>
      <c r="E597">
        <v>32000</v>
      </c>
      <c r="F597">
        <v>5120</v>
      </c>
      <c r="G597">
        <v>0</v>
      </c>
      <c r="H597">
        <v>0</v>
      </c>
      <c r="I597">
        <v>141</v>
      </c>
      <c r="J597">
        <v>37120</v>
      </c>
      <c r="K597" t="s">
        <v>9683</v>
      </c>
      <c r="L597" s="1">
        <v>41127</v>
      </c>
      <c r="N597" t="s">
        <v>5127</v>
      </c>
      <c r="O597" t="s">
        <v>2458</v>
      </c>
      <c r="P597" t="s">
        <v>357</v>
      </c>
      <c r="Q597" t="s">
        <v>39</v>
      </c>
      <c r="R597" t="s">
        <v>40</v>
      </c>
      <c r="S597">
        <v>0</v>
      </c>
      <c r="U597" t="s">
        <v>41</v>
      </c>
      <c r="V597" t="s">
        <v>42</v>
      </c>
      <c r="X597" t="s">
        <v>74</v>
      </c>
      <c r="Y597" t="b">
        <v>0</v>
      </c>
      <c r="Z597" t="b">
        <v>0</v>
      </c>
      <c r="AC597" s="1"/>
      <c r="AF597">
        <v>0</v>
      </c>
      <c r="AG597">
        <v>45</v>
      </c>
      <c r="AH597">
        <v>186</v>
      </c>
      <c r="AI597" s="2">
        <f>Table__192.168.3.138BEWLPPMetaData[[#This Row],[NetAmount]]-Table__192.168.3.138BEWLPPMetaData[[#This Row],[Paid]]</f>
        <v>37120</v>
      </c>
    </row>
    <row r="598" spans="1:35" hidden="1">
      <c r="A598" t="s">
        <v>9684</v>
      </c>
      <c r="B598" s="1">
        <v>41139</v>
      </c>
      <c r="C598" s="1">
        <v>41184</v>
      </c>
      <c r="D598" t="s">
        <v>8993</v>
      </c>
      <c r="E598">
        <v>468930</v>
      </c>
      <c r="F598">
        <v>75029</v>
      </c>
      <c r="G598">
        <v>0</v>
      </c>
      <c r="H598">
        <v>0</v>
      </c>
      <c r="I598">
        <v>136</v>
      </c>
      <c r="J598">
        <v>543959</v>
      </c>
      <c r="K598" t="s">
        <v>5265</v>
      </c>
      <c r="L598" s="1">
        <v>41132</v>
      </c>
      <c r="N598" t="s">
        <v>5127</v>
      </c>
      <c r="O598" t="s">
        <v>2458</v>
      </c>
      <c r="P598" t="s">
        <v>365</v>
      </c>
      <c r="Q598" t="s">
        <v>39</v>
      </c>
      <c r="R598" t="s">
        <v>40</v>
      </c>
      <c r="S598">
        <v>0</v>
      </c>
      <c r="U598" t="s">
        <v>41</v>
      </c>
      <c r="V598" t="s">
        <v>42</v>
      </c>
      <c r="X598" t="s">
        <v>74</v>
      </c>
      <c r="Y598" t="b">
        <v>0</v>
      </c>
      <c r="Z598" t="b">
        <v>0</v>
      </c>
      <c r="AC598" s="1"/>
      <c r="AF598">
        <v>0</v>
      </c>
      <c r="AG598">
        <v>45</v>
      </c>
      <c r="AH598">
        <v>181</v>
      </c>
      <c r="AI598" s="2">
        <f>Table__192.168.3.138BEWLPPMetaData[[#This Row],[NetAmount]]-Table__192.168.3.138BEWLPPMetaData[[#This Row],[Paid]]</f>
        <v>543959</v>
      </c>
    </row>
    <row r="599" spans="1:35" hidden="1">
      <c r="A599" t="s">
        <v>9685</v>
      </c>
      <c r="B599" s="1">
        <v>41130</v>
      </c>
      <c r="C599" s="1">
        <v>41175</v>
      </c>
      <c r="D599" t="s">
        <v>8910</v>
      </c>
      <c r="E599">
        <v>47515</v>
      </c>
      <c r="F599">
        <v>7602</v>
      </c>
      <c r="G599">
        <v>0</v>
      </c>
      <c r="H599">
        <v>0</v>
      </c>
      <c r="I599">
        <v>143</v>
      </c>
      <c r="J599">
        <v>55117</v>
      </c>
      <c r="K599" t="s">
        <v>9686</v>
      </c>
      <c r="L599" s="1">
        <v>41125</v>
      </c>
      <c r="N599" t="s">
        <v>5127</v>
      </c>
      <c r="O599" t="s">
        <v>2458</v>
      </c>
      <c r="P599" t="s">
        <v>392</v>
      </c>
      <c r="Q599" t="s">
        <v>39</v>
      </c>
      <c r="R599" t="s">
        <v>40</v>
      </c>
      <c r="S599">
        <v>0</v>
      </c>
      <c r="U599" t="s">
        <v>41</v>
      </c>
      <c r="V599" t="s">
        <v>42</v>
      </c>
      <c r="X599" t="s">
        <v>74</v>
      </c>
      <c r="Y599" t="b">
        <v>0</v>
      </c>
      <c r="Z599" t="b">
        <v>0</v>
      </c>
      <c r="AC599" s="1"/>
      <c r="AF599">
        <v>0</v>
      </c>
      <c r="AG599">
        <v>45</v>
      </c>
      <c r="AH599">
        <v>188</v>
      </c>
      <c r="AI599" s="2">
        <f>Table__192.168.3.138BEWLPPMetaData[[#This Row],[NetAmount]]-Table__192.168.3.138BEWLPPMetaData[[#This Row],[Paid]]</f>
        <v>55117</v>
      </c>
    </row>
    <row r="600" spans="1:35" hidden="1">
      <c r="A600" t="s">
        <v>9687</v>
      </c>
      <c r="B600" s="1">
        <v>41149</v>
      </c>
      <c r="C600" s="1">
        <v>41194</v>
      </c>
      <c r="D600" t="s">
        <v>8910</v>
      </c>
      <c r="E600">
        <v>42806</v>
      </c>
      <c r="F600">
        <v>6849</v>
      </c>
      <c r="G600">
        <v>0</v>
      </c>
      <c r="H600">
        <v>0</v>
      </c>
      <c r="I600">
        <v>130</v>
      </c>
      <c r="J600">
        <v>49655</v>
      </c>
      <c r="K600" t="s">
        <v>9688</v>
      </c>
      <c r="L600" s="1">
        <v>41138</v>
      </c>
      <c r="N600" t="s">
        <v>5127</v>
      </c>
      <c r="O600" t="s">
        <v>2458</v>
      </c>
      <c r="P600" t="s">
        <v>392</v>
      </c>
      <c r="Q600" t="s">
        <v>39</v>
      </c>
      <c r="R600" t="s">
        <v>40</v>
      </c>
      <c r="S600">
        <v>0</v>
      </c>
      <c r="U600" t="s">
        <v>41</v>
      </c>
      <c r="V600" t="s">
        <v>42</v>
      </c>
      <c r="X600" t="s">
        <v>74</v>
      </c>
      <c r="Y600" t="b">
        <v>0</v>
      </c>
      <c r="Z600" t="b">
        <v>0</v>
      </c>
      <c r="AC600" s="1"/>
      <c r="AF600">
        <v>0</v>
      </c>
      <c r="AG600">
        <v>45</v>
      </c>
      <c r="AH600">
        <v>175</v>
      </c>
      <c r="AI600" s="2">
        <f>Table__192.168.3.138BEWLPPMetaData[[#This Row],[NetAmount]]-Table__192.168.3.138BEWLPPMetaData[[#This Row],[Paid]]</f>
        <v>49655</v>
      </c>
    </row>
    <row r="601" spans="1:35" hidden="1">
      <c r="A601" t="s">
        <v>9689</v>
      </c>
      <c r="B601" s="1">
        <v>41132</v>
      </c>
      <c r="C601" s="1">
        <v>41177</v>
      </c>
      <c r="D601" t="s">
        <v>8530</v>
      </c>
      <c r="E601">
        <v>149774</v>
      </c>
      <c r="F601">
        <v>23964</v>
      </c>
      <c r="G601">
        <v>0</v>
      </c>
      <c r="H601">
        <v>0</v>
      </c>
      <c r="I601">
        <v>136</v>
      </c>
      <c r="J601">
        <v>173738</v>
      </c>
      <c r="K601" t="s">
        <v>8593</v>
      </c>
      <c r="L601" s="1">
        <v>41132</v>
      </c>
      <c r="N601" t="s">
        <v>5127</v>
      </c>
      <c r="O601" t="s">
        <v>2458</v>
      </c>
      <c r="P601" t="s">
        <v>357</v>
      </c>
      <c r="Q601" t="s">
        <v>39</v>
      </c>
      <c r="R601" t="s">
        <v>40</v>
      </c>
      <c r="S601">
        <v>0</v>
      </c>
      <c r="U601" t="s">
        <v>41</v>
      </c>
      <c r="V601" t="s">
        <v>42</v>
      </c>
      <c r="X601" t="s">
        <v>74</v>
      </c>
      <c r="Y601" t="b">
        <v>0</v>
      </c>
      <c r="Z601" t="b">
        <v>0</v>
      </c>
      <c r="AC601" s="1"/>
      <c r="AF601">
        <v>0</v>
      </c>
      <c r="AG601">
        <v>45</v>
      </c>
      <c r="AH601">
        <v>181</v>
      </c>
      <c r="AI601" s="2">
        <f>Table__192.168.3.138BEWLPPMetaData[[#This Row],[NetAmount]]-Table__192.168.3.138BEWLPPMetaData[[#This Row],[Paid]]</f>
        <v>173738</v>
      </c>
    </row>
    <row r="602" spans="1:35" hidden="1">
      <c r="A602" t="s">
        <v>9690</v>
      </c>
      <c r="B602" s="1">
        <v>41149</v>
      </c>
      <c r="C602" s="1">
        <v>41194</v>
      </c>
      <c r="D602" t="s">
        <v>8725</v>
      </c>
      <c r="E602">
        <v>18720</v>
      </c>
      <c r="F602">
        <v>0</v>
      </c>
      <c r="G602">
        <v>0</v>
      </c>
      <c r="H602">
        <v>0</v>
      </c>
      <c r="I602">
        <v>123</v>
      </c>
      <c r="J602">
        <v>18720</v>
      </c>
      <c r="K602" t="s">
        <v>9691</v>
      </c>
      <c r="L602" s="1">
        <v>41145</v>
      </c>
      <c r="N602" t="s">
        <v>5127</v>
      </c>
      <c r="O602" t="s">
        <v>2458</v>
      </c>
      <c r="P602" t="s">
        <v>8727</v>
      </c>
      <c r="Q602" t="s">
        <v>39</v>
      </c>
      <c r="R602" t="s">
        <v>40</v>
      </c>
      <c r="S602">
        <v>0</v>
      </c>
      <c r="U602" t="s">
        <v>41</v>
      </c>
      <c r="V602" t="s">
        <v>42</v>
      </c>
      <c r="X602" t="s">
        <v>74</v>
      </c>
      <c r="Y602" t="b">
        <v>0</v>
      </c>
      <c r="Z602" t="b">
        <v>0</v>
      </c>
      <c r="AC602" s="1"/>
      <c r="AF602">
        <v>0</v>
      </c>
      <c r="AG602">
        <v>45</v>
      </c>
      <c r="AH602">
        <v>168</v>
      </c>
      <c r="AI602" s="2">
        <f>Table__192.168.3.138BEWLPPMetaData[[#This Row],[NetAmount]]-Table__192.168.3.138BEWLPPMetaData[[#This Row],[Paid]]</f>
        <v>18720</v>
      </c>
    </row>
    <row r="603" spans="1:35" hidden="1">
      <c r="A603" t="s">
        <v>9692</v>
      </c>
      <c r="B603" s="1">
        <v>41146</v>
      </c>
      <c r="C603" s="1">
        <v>41191</v>
      </c>
      <c r="D603" t="s">
        <v>8530</v>
      </c>
      <c r="E603">
        <v>23595</v>
      </c>
      <c r="F603">
        <v>3775</v>
      </c>
      <c r="G603">
        <v>0</v>
      </c>
      <c r="H603">
        <v>0</v>
      </c>
      <c r="I603">
        <v>131</v>
      </c>
      <c r="J603">
        <v>27370</v>
      </c>
      <c r="K603" t="s">
        <v>9693</v>
      </c>
      <c r="L603" s="1">
        <v>41137</v>
      </c>
      <c r="N603" t="s">
        <v>5127</v>
      </c>
      <c r="O603" t="s">
        <v>2458</v>
      </c>
      <c r="P603" t="s">
        <v>357</v>
      </c>
      <c r="Q603" t="s">
        <v>39</v>
      </c>
      <c r="R603" t="s">
        <v>40</v>
      </c>
      <c r="S603">
        <v>0</v>
      </c>
      <c r="U603" t="s">
        <v>41</v>
      </c>
      <c r="V603" t="s">
        <v>42</v>
      </c>
      <c r="X603" t="s">
        <v>74</v>
      </c>
      <c r="Y603" t="b">
        <v>0</v>
      </c>
      <c r="Z603" t="b">
        <v>0</v>
      </c>
      <c r="AC603" s="1"/>
      <c r="AF603">
        <v>0</v>
      </c>
      <c r="AG603">
        <v>45</v>
      </c>
      <c r="AH603">
        <v>176</v>
      </c>
      <c r="AI603" s="2">
        <f>Table__192.168.3.138BEWLPPMetaData[[#This Row],[NetAmount]]-Table__192.168.3.138BEWLPPMetaData[[#This Row],[Paid]]</f>
        <v>27370</v>
      </c>
    </row>
    <row r="604" spans="1:35" hidden="1">
      <c r="A604" t="s">
        <v>9694</v>
      </c>
      <c r="B604" s="1">
        <v>41118</v>
      </c>
      <c r="C604" s="1">
        <v>41163</v>
      </c>
      <c r="D604" t="s">
        <v>8582</v>
      </c>
      <c r="E604">
        <v>4172</v>
      </c>
      <c r="F604">
        <v>668</v>
      </c>
      <c r="G604">
        <v>0</v>
      </c>
      <c r="H604">
        <v>0</v>
      </c>
      <c r="I604">
        <v>148</v>
      </c>
      <c r="J604">
        <v>4840</v>
      </c>
      <c r="K604" t="s">
        <v>4621</v>
      </c>
      <c r="L604" s="1">
        <v>41120</v>
      </c>
      <c r="N604" t="s">
        <v>5127</v>
      </c>
      <c r="O604" t="s">
        <v>2458</v>
      </c>
      <c r="P604" t="s">
        <v>8583</v>
      </c>
      <c r="Q604" t="s">
        <v>39</v>
      </c>
      <c r="R604" t="s">
        <v>40</v>
      </c>
      <c r="S604">
        <v>0</v>
      </c>
      <c r="U604" t="s">
        <v>41</v>
      </c>
      <c r="V604" t="s">
        <v>42</v>
      </c>
      <c r="X604" t="s">
        <v>74</v>
      </c>
      <c r="Y604" t="b">
        <v>0</v>
      </c>
      <c r="Z604" t="b">
        <v>0</v>
      </c>
      <c r="AC604" s="1"/>
      <c r="AF604">
        <v>0</v>
      </c>
      <c r="AG604">
        <v>45</v>
      </c>
      <c r="AH604">
        <v>193</v>
      </c>
      <c r="AI604" s="2">
        <f>Table__192.168.3.138BEWLPPMetaData[[#This Row],[NetAmount]]-Table__192.168.3.138BEWLPPMetaData[[#This Row],[Paid]]</f>
        <v>4840</v>
      </c>
    </row>
    <row r="605" spans="1:35" hidden="1">
      <c r="A605" t="s">
        <v>9695</v>
      </c>
      <c r="B605" s="1">
        <v>41149</v>
      </c>
      <c r="C605" s="1">
        <v>41194</v>
      </c>
      <c r="D605" t="s">
        <v>8603</v>
      </c>
      <c r="E605">
        <v>7815</v>
      </c>
      <c r="F605">
        <v>1250</v>
      </c>
      <c r="G605">
        <v>0</v>
      </c>
      <c r="H605">
        <v>0</v>
      </c>
      <c r="I605">
        <v>120</v>
      </c>
      <c r="J605">
        <v>9065</v>
      </c>
      <c r="K605" t="s">
        <v>9696</v>
      </c>
      <c r="L605" s="1">
        <v>41148</v>
      </c>
      <c r="N605" t="s">
        <v>5127</v>
      </c>
      <c r="O605" t="s">
        <v>2458</v>
      </c>
      <c r="P605" t="s">
        <v>304</v>
      </c>
      <c r="Q605" t="s">
        <v>39</v>
      </c>
      <c r="R605" t="s">
        <v>40</v>
      </c>
      <c r="S605">
        <v>0</v>
      </c>
      <c r="U605" t="s">
        <v>41</v>
      </c>
      <c r="V605" t="s">
        <v>42</v>
      </c>
      <c r="X605" t="s">
        <v>74</v>
      </c>
      <c r="Y605" t="b">
        <v>0</v>
      </c>
      <c r="Z605" t="b">
        <v>0</v>
      </c>
      <c r="AC605" s="1"/>
      <c r="AF605">
        <v>0</v>
      </c>
      <c r="AG605">
        <v>45</v>
      </c>
      <c r="AH605">
        <v>165</v>
      </c>
      <c r="AI605" s="2">
        <f>Table__192.168.3.138BEWLPPMetaData[[#This Row],[NetAmount]]-Table__192.168.3.138BEWLPPMetaData[[#This Row],[Paid]]</f>
        <v>9065</v>
      </c>
    </row>
    <row r="606" spans="1:35" hidden="1">
      <c r="A606" t="s">
        <v>9697</v>
      </c>
      <c r="B606" s="1">
        <v>41138</v>
      </c>
      <c r="C606" s="1">
        <v>41183</v>
      </c>
      <c r="D606" t="s">
        <v>8522</v>
      </c>
      <c r="E606">
        <v>24800</v>
      </c>
      <c r="F606">
        <v>0</v>
      </c>
      <c r="G606">
        <v>0</v>
      </c>
      <c r="H606">
        <v>0</v>
      </c>
      <c r="I606">
        <v>134</v>
      </c>
      <c r="J606">
        <v>24800</v>
      </c>
      <c r="K606" t="s">
        <v>9698</v>
      </c>
      <c r="L606" s="1">
        <v>41134</v>
      </c>
      <c r="N606" t="s">
        <v>5127</v>
      </c>
      <c r="O606" t="s">
        <v>2458</v>
      </c>
      <c r="P606" t="s">
        <v>5458</v>
      </c>
      <c r="Q606" t="s">
        <v>39</v>
      </c>
      <c r="R606" t="s">
        <v>40</v>
      </c>
      <c r="S606">
        <v>0</v>
      </c>
      <c r="U606" t="s">
        <v>41</v>
      </c>
      <c r="V606" t="s">
        <v>42</v>
      </c>
      <c r="X606" t="s">
        <v>74</v>
      </c>
      <c r="Y606" t="b">
        <v>0</v>
      </c>
      <c r="Z606" t="b">
        <v>0</v>
      </c>
      <c r="AC606" s="1"/>
      <c r="AF606">
        <v>0</v>
      </c>
      <c r="AG606">
        <v>45</v>
      </c>
      <c r="AH606">
        <v>179</v>
      </c>
      <c r="AI606" s="2">
        <f>Table__192.168.3.138BEWLPPMetaData[[#This Row],[NetAmount]]-Table__192.168.3.138BEWLPPMetaData[[#This Row],[Paid]]</f>
        <v>24800</v>
      </c>
    </row>
    <row r="607" spans="1:35" hidden="1">
      <c r="A607" t="s">
        <v>9699</v>
      </c>
      <c r="B607" s="1">
        <v>41132</v>
      </c>
      <c r="C607" s="1">
        <v>41177</v>
      </c>
      <c r="D607" t="s">
        <v>8522</v>
      </c>
      <c r="E607">
        <v>24800</v>
      </c>
      <c r="F607">
        <v>0</v>
      </c>
      <c r="G607">
        <v>0</v>
      </c>
      <c r="H607">
        <v>0</v>
      </c>
      <c r="I607">
        <v>134</v>
      </c>
      <c r="J607">
        <v>24800</v>
      </c>
      <c r="K607" t="s">
        <v>9700</v>
      </c>
      <c r="L607" s="1">
        <v>41134</v>
      </c>
      <c r="N607" t="s">
        <v>5127</v>
      </c>
      <c r="O607" t="s">
        <v>2458</v>
      </c>
      <c r="P607" t="s">
        <v>5458</v>
      </c>
      <c r="Q607" t="s">
        <v>39</v>
      </c>
      <c r="R607" t="s">
        <v>40</v>
      </c>
      <c r="S607">
        <v>0</v>
      </c>
      <c r="U607" t="s">
        <v>41</v>
      </c>
      <c r="V607" t="s">
        <v>42</v>
      </c>
      <c r="X607" t="s">
        <v>74</v>
      </c>
      <c r="Y607" t="b">
        <v>0</v>
      </c>
      <c r="Z607" t="b">
        <v>0</v>
      </c>
      <c r="AC607" s="1"/>
      <c r="AF607">
        <v>0</v>
      </c>
      <c r="AG607">
        <v>45</v>
      </c>
      <c r="AH607">
        <v>179</v>
      </c>
      <c r="AI607" s="2">
        <f>Table__192.168.3.138BEWLPPMetaData[[#This Row],[NetAmount]]-Table__192.168.3.138BEWLPPMetaData[[#This Row],[Paid]]</f>
        <v>24800</v>
      </c>
    </row>
    <row r="608" spans="1:35" hidden="1">
      <c r="A608" t="s">
        <v>9701</v>
      </c>
      <c r="B608" s="1">
        <v>41151</v>
      </c>
      <c r="C608" s="1">
        <v>41196</v>
      </c>
      <c r="D608" t="s">
        <v>8869</v>
      </c>
      <c r="E608">
        <v>11200</v>
      </c>
      <c r="F608">
        <v>1792</v>
      </c>
      <c r="G608">
        <v>0</v>
      </c>
      <c r="H608">
        <v>0</v>
      </c>
      <c r="I608">
        <v>118</v>
      </c>
      <c r="J608">
        <v>12992</v>
      </c>
      <c r="K608" t="s">
        <v>3711</v>
      </c>
      <c r="L608" s="1">
        <v>41150</v>
      </c>
      <c r="N608" t="s">
        <v>5127</v>
      </c>
      <c r="O608" t="s">
        <v>2458</v>
      </c>
      <c r="P608" t="s">
        <v>8870</v>
      </c>
      <c r="Q608" t="s">
        <v>39</v>
      </c>
      <c r="R608" t="s">
        <v>40</v>
      </c>
      <c r="S608">
        <v>0</v>
      </c>
      <c r="U608" t="s">
        <v>41</v>
      </c>
      <c r="V608" t="s">
        <v>42</v>
      </c>
      <c r="X608" t="s">
        <v>74</v>
      </c>
      <c r="Y608" t="b">
        <v>0</v>
      </c>
      <c r="Z608" t="b">
        <v>0</v>
      </c>
      <c r="AC608" s="1"/>
      <c r="AF608">
        <v>0</v>
      </c>
      <c r="AG608">
        <v>45</v>
      </c>
      <c r="AH608">
        <v>163</v>
      </c>
      <c r="AI608" s="2">
        <f>Table__192.168.3.138BEWLPPMetaData[[#This Row],[NetAmount]]-Table__192.168.3.138BEWLPPMetaData[[#This Row],[Paid]]</f>
        <v>12992</v>
      </c>
    </row>
    <row r="609" spans="1:35" hidden="1">
      <c r="A609" t="s">
        <v>9702</v>
      </c>
      <c r="B609" s="1">
        <v>41130</v>
      </c>
      <c r="C609" s="1">
        <v>41175</v>
      </c>
      <c r="D609" t="s">
        <v>8577</v>
      </c>
      <c r="E609">
        <v>13792</v>
      </c>
      <c r="F609">
        <v>0</v>
      </c>
      <c r="G609">
        <v>0</v>
      </c>
      <c r="H609">
        <v>0</v>
      </c>
      <c r="I609">
        <v>138</v>
      </c>
      <c r="J609">
        <v>13792</v>
      </c>
      <c r="K609" t="s">
        <v>2557</v>
      </c>
      <c r="L609" s="1">
        <v>41130</v>
      </c>
      <c r="N609" t="s">
        <v>5127</v>
      </c>
      <c r="O609" t="s">
        <v>2458</v>
      </c>
      <c r="P609" t="s">
        <v>8579</v>
      </c>
      <c r="Q609" t="s">
        <v>39</v>
      </c>
      <c r="R609" t="s">
        <v>40</v>
      </c>
      <c r="S609">
        <v>0</v>
      </c>
      <c r="U609" t="s">
        <v>41</v>
      </c>
      <c r="V609" t="s">
        <v>42</v>
      </c>
      <c r="X609" t="s">
        <v>74</v>
      </c>
      <c r="Y609" t="b">
        <v>0</v>
      </c>
      <c r="Z609" t="b">
        <v>0</v>
      </c>
      <c r="AC609" s="1"/>
      <c r="AF609">
        <v>0</v>
      </c>
      <c r="AG609">
        <v>45</v>
      </c>
      <c r="AH609">
        <v>183</v>
      </c>
      <c r="AI609" s="2">
        <f>Table__192.168.3.138BEWLPPMetaData[[#This Row],[NetAmount]]-Table__192.168.3.138BEWLPPMetaData[[#This Row],[Paid]]</f>
        <v>13792</v>
      </c>
    </row>
    <row r="610" spans="1:35" hidden="1">
      <c r="A610" t="s">
        <v>9703</v>
      </c>
      <c r="B610" s="1">
        <v>41132</v>
      </c>
      <c r="C610" s="1">
        <v>41177</v>
      </c>
      <c r="D610" t="s">
        <v>8577</v>
      </c>
      <c r="E610">
        <v>920</v>
      </c>
      <c r="F610">
        <v>0</v>
      </c>
      <c r="G610">
        <v>0</v>
      </c>
      <c r="H610">
        <v>0</v>
      </c>
      <c r="I610">
        <v>137</v>
      </c>
      <c r="J610">
        <v>920</v>
      </c>
      <c r="K610" t="s">
        <v>2561</v>
      </c>
      <c r="L610" s="1">
        <v>41131</v>
      </c>
      <c r="N610" t="s">
        <v>5127</v>
      </c>
      <c r="O610" t="s">
        <v>2458</v>
      </c>
      <c r="P610" t="s">
        <v>8579</v>
      </c>
      <c r="Q610" t="s">
        <v>39</v>
      </c>
      <c r="R610" t="s">
        <v>40</v>
      </c>
      <c r="S610">
        <v>0</v>
      </c>
      <c r="U610" t="s">
        <v>41</v>
      </c>
      <c r="V610" t="s">
        <v>42</v>
      </c>
      <c r="X610" t="s">
        <v>74</v>
      </c>
      <c r="Y610" t="b">
        <v>0</v>
      </c>
      <c r="Z610" t="b">
        <v>0</v>
      </c>
      <c r="AC610" s="1"/>
      <c r="AF610">
        <v>0</v>
      </c>
      <c r="AG610">
        <v>45</v>
      </c>
      <c r="AH610">
        <v>182</v>
      </c>
      <c r="AI610" s="2">
        <f>Table__192.168.3.138BEWLPPMetaData[[#This Row],[NetAmount]]-Table__192.168.3.138BEWLPPMetaData[[#This Row],[Paid]]</f>
        <v>920</v>
      </c>
    </row>
    <row r="611" spans="1:35" hidden="1">
      <c r="A611" t="s">
        <v>9704</v>
      </c>
      <c r="B611" s="1">
        <v>41149</v>
      </c>
      <c r="C611" s="1">
        <v>41194</v>
      </c>
      <c r="D611" t="s">
        <v>8530</v>
      </c>
      <c r="E611">
        <v>178904</v>
      </c>
      <c r="F611">
        <v>28625</v>
      </c>
      <c r="G611">
        <v>0</v>
      </c>
      <c r="H611">
        <v>0</v>
      </c>
      <c r="I611">
        <v>119</v>
      </c>
      <c r="J611">
        <v>207529</v>
      </c>
      <c r="K611" t="s">
        <v>9705</v>
      </c>
      <c r="L611" s="1">
        <v>41149</v>
      </c>
      <c r="N611" t="s">
        <v>5127</v>
      </c>
      <c r="O611" t="s">
        <v>2458</v>
      </c>
      <c r="P611" t="s">
        <v>357</v>
      </c>
      <c r="Q611" t="s">
        <v>39</v>
      </c>
      <c r="R611" t="s">
        <v>40</v>
      </c>
      <c r="S611">
        <v>0</v>
      </c>
      <c r="U611" t="s">
        <v>41</v>
      </c>
      <c r="V611" t="s">
        <v>42</v>
      </c>
      <c r="X611" t="s">
        <v>74</v>
      </c>
      <c r="Y611" t="b">
        <v>0</v>
      </c>
      <c r="Z611" t="b">
        <v>0</v>
      </c>
      <c r="AC611" s="1"/>
      <c r="AF611">
        <v>0</v>
      </c>
      <c r="AG611">
        <v>45</v>
      </c>
      <c r="AH611">
        <v>164</v>
      </c>
      <c r="AI611" s="2">
        <f>Table__192.168.3.138BEWLPPMetaData[[#This Row],[NetAmount]]-Table__192.168.3.138BEWLPPMetaData[[#This Row],[Paid]]</f>
        <v>207529</v>
      </c>
    </row>
    <row r="612" spans="1:35" hidden="1">
      <c r="A612" t="s">
        <v>9706</v>
      </c>
      <c r="B612" s="1">
        <v>41152</v>
      </c>
      <c r="C612" s="1">
        <v>41197</v>
      </c>
      <c r="D612" t="s">
        <v>8530</v>
      </c>
      <c r="E612">
        <v>43596</v>
      </c>
      <c r="F612">
        <v>6976</v>
      </c>
      <c r="G612">
        <v>0</v>
      </c>
      <c r="H612">
        <v>0</v>
      </c>
      <c r="I612">
        <v>119</v>
      </c>
      <c r="J612">
        <v>50572</v>
      </c>
      <c r="K612" t="s">
        <v>9707</v>
      </c>
      <c r="L612" s="1">
        <v>41149</v>
      </c>
      <c r="N612" t="s">
        <v>5127</v>
      </c>
      <c r="O612" t="s">
        <v>2458</v>
      </c>
      <c r="P612" t="s">
        <v>357</v>
      </c>
      <c r="Q612" t="s">
        <v>39</v>
      </c>
      <c r="R612" t="s">
        <v>40</v>
      </c>
      <c r="S612">
        <v>0</v>
      </c>
      <c r="U612" t="s">
        <v>41</v>
      </c>
      <c r="V612" t="s">
        <v>42</v>
      </c>
      <c r="X612" t="s">
        <v>74</v>
      </c>
      <c r="Y612" t="b">
        <v>0</v>
      </c>
      <c r="Z612" t="b">
        <v>0</v>
      </c>
      <c r="AC612" s="1"/>
      <c r="AF612">
        <v>0</v>
      </c>
      <c r="AG612">
        <v>45</v>
      </c>
      <c r="AH612">
        <v>164</v>
      </c>
      <c r="AI612" s="2">
        <f>Table__192.168.3.138BEWLPPMetaData[[#This Row],[NetAmount]]-Table__192.168.3.138BEWLPPMetaData[[#This Row],[Paid]]</f>
        <v>50572</v>
      </c>
    </row>
    <row r="613" spans="1:35" hidden="1">
      <c r="A613" t="s">
        <v>9708</v>
      </c>
      <c r="B613" s="1">
        <v>41128</v>
      </c>
      <c r="C613" s="1">
        <v>41173</v>
      </c>
      <c r="D613" t="s">
        <v>8826</v>
      </c>
      <c r="E613">
        <v>8750</v>
      </c>
      <c r="F613">
        <v>1400</v>
      </c>
      <c r="G613">
        <v>0</v>
      </c>
      <c r="H613">
        <v>0</v>
      </c>
      <c r="I613">
        <v>141</v>
      </c>
      <c r="J613">
        <v>10150</v>
      </c>
      <c r="K613" t="s">
        <v>9709</v>
      </c>
      <c r="L613" s="1">
        <v>41127</v>
      </c>
      <c r="N613" t="s">
        <v>5127</v>
      </c>
      <c r="O613" t="s">
        <v>2458</v>
      </c>
      <c r="P613" t="s">
        <v>336</v>
      </c>
      <c r="Q613" t="s">
        <v>39</v>
      </c>
      <c r="R613" t="s">
        <v>40</v>
      </c>
      <c r="S613">
        <v>0</v>
      </c>
      <c r="U613" t="s">
        <v>41</v>
      </c>
      <c r="V613" t="s">
        <v>42</v>
      </c>
      <c r="X613" t="s">
        <v>74</v>
      </c>
      <c r="Y613" t="b">
        <v>0</v>
      </c>
      <c r="Z613" t="b">
        <v>0</v>
      </c>
      <c r="AC613" s="1"/>
      <c r="AF613">
        <v>0</v>
      </c>
      <c r="AG613">
        <v>45</v>
      </c>
      <c r="AH613">
        <v>186</v>
      </c>
      <c r="AI613" s="2">
        <f>Table__192.168.3.138BEWLPPMetaData[[#This Row],[NetAmount]]-Table__192.168.3.138BEWLPPMetaData[[#This Row],[Paid]]</f>
        <v>10150</v>
      </c>
    </row>
    <row r="614" spans="1:35" hidden="1">
      <c r="A614" t="s">
        <v>9710</v>
      </c>
      <c r="B614" s="1">
        <v>41132</v>
      </c>
      <c r="C614" s="1">
        <v>41177</v>
      </c>
      <c r="D614" t="s">
        <v>8826</v>
      </c>
      <c r="E614">
        <v>8750</v>
      </c>
      <c r="F614">
        <v>1400</v>
      </c>
      <c r="G614">
        <v>0</v>
      </c>
      <c r="H614">
        <v>0</v>
      </c>
      <c r="I614">
        <v>138</v>
      </c>
      <c r="J614">
        <v>10150</v>
      </c>
      <c r="K614" t="s">
        <v>9711</v>
      </c>
      <c r="L614" s="1">
        <v>41130</v>
      </c>
      <c r="N614" t="s">
        <v>5127</v>
      </c>
      <c r="O614" t="s">
        <v>2458</v>
      </c>
      <c r="P614" t="s">
        <v>336</v>
      </c>
      <c r="Q614" t="s">
        <v>39</v>
      </c>
      <c r="R614" t="s">
        <v>40</v>
      </c>
      <c r="S614">
        <v>0</v>
      </c>
      <c r="U614" t="s">
        <v>41</v>
      </c>
      <c r="V614" t="s">
        <v>42</v>
      </c>
      <c r="X614" t="s">
        <v>74</v>
      </c>
      <c r="Y614" t="b">
        <v>0</v>
      </c>
      <c r="Z614" t="b">
        <v>0</v>
      </c>
      <c r="AC614" s="1"/>
      <c r="AF614">
        <v>0</v>
      </c>
      <c r="AG614">
        <v>45</v>
      </c>
      <c r="AH614">
        <v>183</v>
      </c>
      <c r="AI614" s="2">
        <f>Table__192.168.3.138BEWLPPMetaData[[#This Row],[NetAmount]]-Table__192.168.3.138BEWLPPMetaData[[#This Row],[Paid]]</f>
        <v>10150</v>
      </c>
    </row>
    <row r="615" spans="1:35" hidden="1">
      <c r="A615" t="s">
        <v>9712</v>
      </c>
      <c r="B615" s="1">
        <v>41151</v>
      </c>
      <c r="C615" s="1">
        <v>41196</v>
      </c>
      <c r="D615" t="s">
        <v>9713</v>
      </c>
      <c r="E615">
        <v>19468</v>
      </c>
      <c r="F615">
        <v>0</v>
      </c>
      <c r="G615">
        <v>0</v>
      </c>
      <c r="H615">
        <v>0</v>
      </c>
      <c r="I615">
        <v>119</v>
      </c>
      <c r="J615">
        <v>19468</v>
      </c>
      <c r="K615" t="s">
        <v>9714</v>
      </c>
      <c r="L615" s="1">
        <v>41149</v>
      </c>
      <c r="M615" t="s">
        <v>9715</v>
      </c>
      <c r="N615" t="s">
        <v>5127</v>
      </c>
      <c r="O615" t="s">
        <v>2458</v>
      </c>
      <c r="P615" t="s">
        <v>9716</v>
      </c>
      <c r="Q615" t="s">
        <v>39</v>
      </c>
      <c r="R615" t="s">
        <v>40</v>
      </c>
      <c r="S615">
        <v>0</v>
      </c>
      <c r="U615" t="s">
        <v>41</v>
      </c>
      <c r="V615" t="s">
        <v>42</v>
      </c>
      <c r="W615" t="s">
        <v>9717</v>
      </c>
      <c r="X615" t="s">
        <v>74</v>
      </c>
      <c r="Y615" t="b">
        <v>0</v>
      </c>
      <c r="Z615" t="b">
        <v>0</v>
      </c>
      <c r="AA615" t="b">
        <v>0</v>
      </c>
      <c r="AC615" s="1"/>
      <c r="AF615">
        <v>0</v>
      </c>
      <c r="AG615">
        <v>45</v>
      </c>
      <c r="AH615">
        <v>164</v>
      </c>
      <c r="AI615" s="2">
        <f>Table__192.168.3.138BEWLPPMetaData[[#This Row],[NetAmount]]-Table__192.168.3.138BEWLPPMetaData[[#This Row],[Paid]]</f>
        <v>19468</v>
      </c>
    </row>
    <row r="616" spans="1:35" hidden="1">
      <c r="A616" t="s">
        <v>9718</v>
      </c>
      <c r="B616" s="1">
        <v>41149</v>
      </c>
      <c r="C616" s="1">
        <v>41194</v>
      </c>
      <c r="D616" t="s">
        <v>8970</v>
      </c>
      <c r="E616">
        <v>33305</v>
      </c>
      <c r="F616">
        <v>5329</v>
      </c>
      <c r="G616">
        <v>0</v>
      </c>
      <c r="H616">
        <v>0</v>
      </c>
      <c r="I616">
        <v>123</v>
      </c>
      <c r="J616">
        <v>38634</v>
      </c>
      <c r="K616" t="s">
        <v>9719</v>
      </c>
      <c r="L616" s="1">
        <v>41145</v>
      </c>
      <c r="N616" t="s">
        <v>5127</v>
      </c>
      <c r="O616" t="s">
        <v>2458</v>
      </c>
      <c r="P616" t="s">
        <v>8971</v>
      </c>
      <c r="Q616" t="s">
        <v>39</v>
      </c>
      <c r="R616" t="s">
        <v>40</v>
      </c>
      <c r="S616">
        <v>0</v>
      </c>
      <c r="U616" t="s">
        <v>41</v>
      </c>
      <c r="V616" t="s">
        <v>42</v>
      </c>
      <c r="X616" t="s">
        <v>74</v>
      </c>
      <c r="Y616" t="b">
        <v>0</v>
      </c>
      <c r="Z616" t="b">
        <v>0</v>
      </c>
      <c r="AC616" s="1"/>
      <c r="AF616">
        <v>0</v>
      </c>
      <c r="AG616">
        <v>45</v>
      </c>
      <c r="AH616">
        <v>168</v>
      </c>
      <c r="AI616" s="2">
        <f>Table__192.168.3.138BEWLPPMetaData[[#This Row],[NetAmount]]-Table__192.168.3.138BEWLPPMetaData[[#This Row],[Paid]]</f>
        <v>38634</v>
      </c>
    </row>
    <row r="617" spans="1:35" hidden="1">
      <c r="A617" t="s">
        <v>9720</v>
      </c>
      <c r="B617" s="1">
        <v>41151</v>
      </c>
      <c r="C617" s="1">
        <v>41196</v>
      </c>
      <c r="D617" t="s">
        <v>8970</v>
      </c>
      <c r="E617">
        <v>44994</v>
      </c>
      <c r="F617">
        <v>7200</v>
      </c>
      <c r="G617">
        <v>0</v>
      </c>
      <c r="H617">
        <v>0</v>
      </c>
      <c r="I617">
        <v>119</v>
      </c>
      <c r="J617">
        <v>52194</v>
      </c>
      <c r="K617" t="s">
        <v>3585</v>
      </c>
      <c r="L617" s="1">
        <v>41149</v>
      </c>
      <c r="N617" t="s">
        <v>5127</v>
      </c>
      <c r="O617" t="s">
        <v>2458</v>
      </c>
      <c r="P617" t="s">
        <v>8971</v>
      </c>
      <c r="Q617" t="s">
        <v>39</v>
      </c>
      <c r="R617" t="s">
        <v>40</v>
      </c>
      <c r="S617">
        <v>0</v>
      </c>
      <c r="U617" t="s">
        <v>41</v>
      </c>
      <c r="V617" t="s">
        <v>42</v>
      </c>
      <c r="X617" t="s">
        <v>74</v>
      </c>
      <c r="Y617" t="b">
        <v>0</v>
      </c>
      <c r="Z617" t="b">
        <v>0</v>
      </c>
      <c r="AC617" s="1"/>
      <c r="AF617">
        <v>0</v>
      </c>
      <c r="AG617">
        <v>45</v>
      </c>
      <c r="AH617">
        <v>164</v>
      </c>
      <c r="AI617" s="2">
        <f>Table__192.168.3.138BEWLPPMetaData[[#This Row],[NetAmount]]-Table__192.168.3.138BEWLPPMetaData[[#This Row],[Paid]]</f>
        <v>52194</v>
      </c>
    </row>
    <row r="618" spans="1:35" hidden="1">
      <c r="A618" t="s">
        <v>9721</v>
      </c>
      <c r="B618" s="1">
        <v>41152</v>
      </c>
      <c r="C618" s="1">
        <v>41197</v>
      </c>
      <c r="D618" t="s">
        <v>8530</v>
      </c>
      <c r="E618">
        <v>45201</v>
      </c>
      <c r="F618">
        <v>7233</v>
      </c>
      <c r="G618">
        <v>0</v>
      </c>
      <c r="H618">
        <v>0</v>
      </c>
      <c r="I618">
        <v>116</v>
      </c>
      <c r="J618">
        <v>52434</v>
      </c>
      <c r="K618" t="s">
        <v>9722</v>
      </c>
      <c r="L618" s="1">
        <v>41152</v>
      </c>
      <c r="N618" t="s">
        <v>5127</v>
      </c>
      <c r="O618" t="s">
        <v>2458</v>
      </c>
      <c r="P618" t="s">
        <v>357</v>
      </c>
      <c r="Q618" t="s">
        <v>39</v>
      </c>
      <c r="R618" t="s">
        <v>40</v>
      </c>
      <c r="S618">
        <v>0</v>
      </c>
      <c r="U618" t="s">
        <v>41</v>
      </c>
      <c r="V618" t="s">
        <v>42</v>
      </c>
      <c r="X618" t="s">
        <v>74</v>
      </c>
      <c r="Y618" t="b">
        <v>0</v>
      </c>
      <c r="Z618" t="b">
        <v>0</v>
      </c>
      <c r="AC618" s="1"/>
      <c r="AF618">
        <v>0</v>
      </c>
      <c r="AG618">
        <v>45</v>
      </c>
      <c r="AH618">
        <v>161</v>
      </c>
      <c r="AI618" s="2">
        <f>Table__192.168.3.138BEWLPPMetaData[[#This Row],[NetAmount]]-Table__192.168.3.138BEWLPPMetaData[[#This Row],[Paid]]</f>
        <v>52434</v>
      </c>
    </row>
    <row r="619" spans="1:35" hidden="1">
      <c r="A619" t="s">
        <v>9723</v>
      </c>
      <c r="B619" s="1">
        <v>41149</v>
      </c>
      <c r="C619" s="1">
        <v>41194</v>
      </c>
      <c r="D619" t="s">
        <v>8794</v>
      </c>
      <c r="E619">
        <v>31200</v>
      </c>
      <c r="F619">
        <v>4992</v>
      </c>
      <c r="G619">
        <v>0</v>
      </c>
      <c r="H619">
        <v>0</v>
      </c>
      <c r="I619">
        <v>119</v>
      </c>
      <c r="J619">
        <v>36192</v>
      </c>
      <c r="K619" t="s">
        <v>7493</v>
      </c>
      <c r="L619" s="1">
        <v>41149</v>
      </c>
      <c r="N619" t="s">
        <v>5127</v>
      </c>
      <c r="O619" t="s">
        <v>2458</v>
      </c>
      <c r="P619" t="s">
        <v>8795</v>
      </c>
      <c r="Q619" t="s">
        <v>39</v>
      </c>
      <c r="R619" t="s">
        <v>40</v>
      </c>
      <c r="S619">
        <v>0</v>
      </c>
      <c r="U619" t="s">
        <v>41</v>
      </c>
      <c r="V619" t="s">
        <v>42</v>
      </c>
      <c r="X619" t="s">
        <v>74</v>
      </c>
      <c r="Y619" t="b">
        <v>0</v>
      </c>
      <c r="Z619" t="b">
        <v>0</v>
      </c>
      <c r="AC619" s="1"/>
      <c r="AF619">
        <v>0</v>
      </c>
      <c r="AG619">
        <v>45</v>
      </c>
      <c r="AH619">
        <v>164</v>
      </c>
      <c r="AI619" s="2">
        <f>Table__192.168.3.138BEWLPPMetaData[[#This Row],[NetAmount]]-Table__192.168.3.138BEWLPPMetaData[[#This Row],[Paid]]</f>
        <v>36192</v>
      </c>
    </row>
    <row r="620" spans="1:35" hidden="1">
      <c r="A620" t="s">
        <v>9724</v>
      </c>
      <c r="B620" s="1">
        <v>41148</v>
      </c>
      <c r="C620" s="1">
        <v>41193</v>
      </c>
      <c r="D620" t="s">
        <v>8794</v>
      </c>
      <c r="E620">
        <v>31200</v>
      </c>
      <c r="F620">
        <v>4992</v>
      </c>
      <c r="G620">
        <v>0</v>
      </c>
      <c r="H620">
        <v>0</v>
      </c>
      <c r="I620">
        <v>122</v>
      </c>
      <c r="J620">
        <v>36192</v>
      </c>
      <c r="K620" t="s">
        <v>9725</v>
      </c>
      <c r="L620" s="1">
        <v>41146</v>
      </c>
      <c r="N620" t="s">
        <v>5127</v>
      </c>
      <c r="O620" t="s">
        <v>2458</v>
      </c>
      <c r="P620" t="s">
        <v>8795</v>
      </c>
      <c r="Q620" t="s">
        <v>39</v>
      </c>
      <c r="R620" t="s">
        <v>40</v>
      </c>
      <c r="S620">
        <v>0</v>
      </c>
      <c r="U620" t="s">
        <v>41</v>
      </c>
      <c r="V620" t="s">
        <v>42</v>
      </c>
      <c r="X620" t="s">
        <v>74</v>
      </c>
      <c r="Y620" t="b">
        <v>0</v>
      </c>
      <c r="Z620" t="b">
        <v>0</v>
      </c>
      <c r="AC620" s="1"/>
      <c r="AF620">
        <v>0</v>
      </c>
      <c r="AG620">
        <v>45</v>
      </c>
      <c r="AH620">
        <v>167</v>
      </c>
      <c r="AI620" s="2">
        <f>Table__192.168.3.138BEWLPPMetaData[[#This Row],[NetAmount]]-Table__192.168.3.138BEWLPPMetaData[[#This Row],[Paid]]</f>
        <v>36192</v>
      </c>
    </row>
    <row r="621" spans="1:35" hidden="1">
      <c r="A621" t="s">
        <v>9726</v>
      </c>
      <c r="B621" s="1">
        <v>41152</v>
      </c>
      <c r="C621" s="1">
        <v>41197</v>
      </c>
      <c r="D621" t="s">
        <v>8794</v>
      </c>
      <c r="E621">
        <v>67600</v>
      </c>
      <c r="F621">
        <v>10816</v>
      </c>
      <c r="G621">
        <v>0</v>
      </c>
      <c r="H621">
        <v>0</v>
      </c>
      <c r="I621">
        <v>116</v>
      </c>
      <c r="J621">
        <v>78416</v>
      </c>
      <c r="K621" t="s">
        <v>7502</v>
      </c>
      <c r="L621" s="1">
        <v>41152</v>
      </c>
      <c r="N621" t="s">
        <v>5127</v>
      </c>
      <c r="O621" t="s">
        <v>2458</v>
      </c>
      <c r="P621" t="s">
        <v>8795</v>
      </c>
      <c r="Q621" t="s">
        <v>39</v>
      </c>
      <c r="R621" t="s">
        <v>40</v>
      </c>
      <c r="S621">
        <v>0</v>
      </c>
      <c r="U621" t="s">
        <v>41</v>
      </c>
      <c r="V621" t="s">
        <v>42</v>
      </c>
      <c r="X621" t="s">
        <v>74</v>
      </c>
      <c r="Y621" t="b">
        <v>0</v>
      </c>
      <c r="Z621" t="b">
        <v>0</v>
      </c>
      <c r="AC621" s="1"/>
      <c r="AF621">
        <v>0</v>
      </c>
      <c r="AG621">
        <v>45</v>
      </c>
      <c r="AH621">
        <v>161</v>
      </c>
      <c r="AI621" s="2">
        <f>Table__192.168.3.138BEWLPPMetaData[[#This Row],[NetAmount]]-Table__192.168.3.138BEWLPPMetaData[[#This Row],[Paid]]</f>
        <v>78416</v>
      </c>
    </row>
    <row r="622" spans="1:35" hidden="1">
      <c r="A622" t="s">
        <v>9727</v>
      </c>
      <c r="B622" s="1">
        <v>41149</v>
      </c>
      <c r="C622" s="1">
        <v>41194</v>
      </c>
      <c r="D622" t="s">
        <v>8640</v>
      </c>
      <c r="E622">
        <v>8575</v>
      </c>
      <c r="F622">
        <v>1372</v>
      </c>
      <c r="G622">
        <v>0</v>
      </c>
      <c r="H622">
        <v>0</v>
      </c>
      <c r="I622">
        <v>120</v>
      </c>
      <c r="J622">
        <v>9947</v>
      </c>
      <c r="K622" t="s">
        <v>9728</v>
      </c>
      <c r="L622" s="1">
        <v>41148</v>
      </c>
      <c r="N622" t="s">
        <v>5127</v>
      </c>
      <c r="O622" t="s">
        <v>2458</v>
      </c>
      <c r="P622" t="s">
        <v>323</v>
      </c>
      <c r="Q622" t="s">
        <v>39</v>
      </c>
      <c r="R622" t="s">
        <v>40</v>
      </c>
      <c r="S622">
        <v>0</v>
      </c>
      <c r="U622" t="s">
        <v>41</v>
      </c>
      <c r="V622" t="s">
        <v>42</v>
      </c>
      <c r="X622" t="s">
        <v>74</v>
      </c>
      <c r="Y622" t="b">
        <v>0</v>
      </c>
      <c r="Z622" t="b">
        <v>0</v>
      </c>
      <c r="AC622" s="1"/>
      <c r="AF622">
        <v>0</v>
      </c>
      <c r="AG622">
        <v>45</v>
      </c>
      <c r="AH622">
        <v>165</v>
      </c>
      <c r="AI622" s="2">
        <f>Table__192.168.3.138BEWLPPMetaData[[#This Row],[NetAmount]]-Table__192.168.3.138BEWLPPMetaData[[#This Row],[Paid]]</f>
        <v>9947</v>
      </c>
    </row>
    <row r="623" spans="1:35" hidden="1">
      <c r="A623" t="s">
        <v>9729</v>
      </c>
      <c r="B623" s="1">
        <v>41130</v>
      </c>
      <c r="C623" s="1">
        <v>41175</v>
      </c>
      <c r="D623" t="s">
        <v>8527</v>
      </c>
      <c r="E623">
        <v>17500</v>
      </c>
      <c r="F623">
        <v>2800</v>
      </c>
      <c r="G623">
        <v>0</v>
      </c>
      <c r="H623">
        <v>0</v>
      </c>
      <c r="I623">
        <v>138</v>
      </c>
      <c r="J623">
        <v>20300</v>
      </c>
      <c r="K623" t="s">
        <v>5200</v>
      </c>
      <c r="L623" s="1">
        <v>41130</v>
      </c>
      <c r="N623" t="s">
        <v>5127</v>
      </c>
      <c r="O623" t="s">
        <v>2458</v>
      </c>
      <c r="P623" t="s">
        <v>8528</v>
      </c>
      <c r="Q623" t="s">
        <v>39</v>
      </c>
      <c r="R623" t="s">
        <v>40</v>
      </c>
      <c r="S623">
        <v>0</v>
      </c>
      <c r="U623" t="s">
        <v>41</v>
      </c>
      <c r="V623" t="s">
        <v>42</v>
      </c>
      <c r="X623" t="s">
        <v>74</v>
      </c>
      <c r="Y623" t="b">
        <v>0</v>
      </c>
      <c r="Z623" t="b">
        <v>0</v>
      </c>
      <c r="AC623" s="1"/>
      <c r="AF623">
        <v>0</v>
      </c>
      <c r="AG623">
        <v>45</v>
      </c>
      <c r="AH623">
        <v>183</v>
      </c>
      <c r="AI623" s="2">
        <f>Table__192.168.3.138BEWLPPMetaData[[#This Row],[NetAmount]]-Table__192.168.3.138BEWLPPMetaData[[#This Row],[Paid]]</f>
        <v>20300</v>
      </c>
    </row>
    <row r="624" spans="1:35" hidden="1">
      <c r="A624" t="s">
        <v>9730</v>
      </c>
      <c r="B624" s="1">
        <v>41149</v>
      </c>
      <c r="C624" s="1">
        <v>41194</v>
      </c>
      <c r="D624" t="s">
        <v>8527</v>
      </c>
      <c r="E624">
        <v>12600</v>
      </c>
      <c r="F624">
        <v>2016</v>
      </c>
      <c r="G624">
        <v>0</v>
      </c>
      <c r="H624">
        <v>0</v>
      </c>
      <c r="I624">
        <v>122</v>
      </c>
      <c r="J624">
        <v>14616</v>
      </c>
      <c r="K624" t="s">
        <v>2358</v>
      </c>
      <c r="L624" s="1">
        <v>41146</v>
      </c>
      <c r="N624" t="s">
        <v>5127</v>
      </c>
      <c r="O624" t="s">
        <v>2458</v>
      </c>
      <c r="P624" t="s">
        <v>8528</v>
      </c>
      <c r="Q624" t="s">
        <v>39</v>
      </c>
      <c r="R624" t="s">
        <v>40</v>
      </c>
      <c r="S624">
        <v>0</v>
      </c>
      <c r="U624" t="s">
        <v>41</v>
      </c>
      <c r="V624" t="s">
        <v>42</v>
      </c>
      <c r="X624" t="s">
        <v>74</v>
      </c>
      <c r="Y624" t="b">
        <v>0</v>
      </c>
      <c r="Z624" t="b">
        <v>0</v>
      </c>
      <c r="AC624" s="1"/>
      <c r="AF624">
        <v>0</v>
      </c>
      <c r="AG624">
        <v>45</v>
      </c>
      <c r="AH624">
        <v>167</v>
      </c>
      <c r="AI624" s="2">
        <f>Table__192.168.3.138BEWLPPMetaData[[#This Row],[NetAmount]]-Table__192.168.3.138BEWLPPMetaData[[#This Row],[Paid]]</f>
        <v>14616</v>
      </c>
    </row>
    <row r="625" spans="1:35" hidden="1">
      <c r="A625" t="s">
        <v>9731</v>
      </c>
      <c r="B625" s="1">
        <v>41160</v>
      </c>
      <c r="C625" s="1">
        <v>41205</v>
      </c>
      <c r="D625" t="s">
        <v>8524</v>
      </c>
      <c r="E625">
        <v>5810</v>
      </c>
      <c r="F625">
        <v>929</v>
      </c>
      <c r="G625">
        <v>0</v>
      </c>
      <c r="H625">
        <v>0</v>
      </c>
      <c r="I625">
        <v>167</v>
      </c>
      <c r="J625">
        <v>6739</v>
      </c>
      <c r="K625" t="s">
        <v>9732</v>
      </c>
      <c r="L625" s="1">
        <v>41101</v>
      </c>
      <c r="N625" t="s">
        <v>5127</v>
      </c>
      <c r="O625" t="s">
        <v>2458</v>
      </c>
      <c r="P625" t="s">
        <v>8525</v>
      </c>
      <c r="Q625" t="s">
        <v>39</v>
      </c>
      <c r="R625" t="s">
        <v>40</v>
      </c>
      <c r="S625">
        <v>0</v>
      </c>
      <c r="U625" t="s">
        <v>41</v>
      </c>
      <c r="V625" t="s">
        <v>42</v>
      </c>
      <c r="X625" t="s">
        <v>74</v>
      </c>
      <c r="Y625" t="b">
        <v>0</v>
      </c>
      <c r="Z625" t="b">
        <v>0</v>
      </c>
      <c r="AC625" s="1"/>
      <c r="AF625">
        <v>0</v>
      </c>
      <c r="AG625">
        <v>45</v>
      </c>
      <c r="AH625">
        <v>212</v>
      </c>
      <c r="AI625" s="2">
        <f>Table__192.168.3.138BEWLPPMetaData[[#This Row],[NetAmount]]-Table__192.168.3.138BEWLPPMetaData[[#This Row],[Paid]]</f>
        <v>6739</v>
      </c>
    </row>
    <row r="626" spans="1:35" hidden="1">
      <c r="A626" t="s">
        <v>9733</v>
      </c>
      <c r="B626" s="1">
        <v>41160</v>
      </c>
      <c r="C626" s="1">
        <v>41205</v>
      </c>
      <c r="D626" t="s">
        <v>8524</v>
      </c>
      <c r="E626">
        <v>7669</v>
      </c>
      <c r="F626">
        <v>1227</v>
      </c>
      <c r="G626">
        <v>0</v>
      </c>
      <c r="H626">
        <v>0</v>
      </c>
      <c r="I626">
        <v>143</v>
      </c>
      <c r="J626">
        <v>8896</v>
      </c>
      <c r="K626" t="s">
        <v>9734</v>
      </c>
      <c r="L626" s="1">
        <v>41125</v>
      </c>
      <c r="N626" t="s">
        <v>5127</v>
      </c>
      <c r="O626" t="s">
        <v>2458</v>
      </c>
      <c r="P626" t="s">
        <v>8525</v>
      </c>
      <c r="Q626" t="s">
        <v>39</v>
      </c>
      <c r="R626" t="s">
        <v>40</v>
      </c>
      <c r="S626">
        <v>0</v>
      </c>
      <c r="U626" t="s">
        <v>41</v>
      </c>
      <c r="V626" t="s">
        <v>42</v>
      </c>
      <c r="X626" t="s">
        <v>74</v>
      </c>
      <c r="Y626" t="b">
        <v>0</v>
      </c>
      <c r="Z626" t="b">
        <v>0</v>
      </c>
      <c r="AC626" s="1"/>
      <c r="AF626">
        <v>0</v>
      </c>
      <c r="AG626">
        <v>45</v>
      </c>
      <c r="AH626">
        <v>188</v>
      </c>
      <c r="AI626" s="2">
        <f>Table__192.168.3.138BEWLPPMetaData[[#This Row],[NetAmount]]-Table__192.168.3.138BEWLPPMetaData[[#This Row],[Paid]]</f>
        <v>8896</v>
      </c>
    </row>
    <row r="627" spans="1:35" hidden="1">
      <c r="A627" t="s">
        <v>9735</v>
      </c>
      <c r="B627" s="1">
        <v>41151</v>
      </c>
      <c r="C627" s="1">
        <v>41196</v>
      </c>
      <c r="D627" t="s">
        <v>9150</v>
      </c>
      <c r="E627">
        <v>9480</v>
      </c>
      <c r="F627">
        <v>1517</v>
      </c>
      <c r="G627">
        <v>0</v>
      </c>
      <c r="H627">
        <v>0</v>
      </c>
      <c r="I627">
        <v>116</v>
      </c>
      <c r="J627">
        <v>10997</v>
      </c>
      <c r="K627" t="s">
        <v>2458</v>
      </c>
      <c r="L627" s="1">
        <v>41152</v>
      </c>
      <c r="N627" t="s">
        <v>5127</v>
      </c>
      <c r="O627" t="s">
        <v>2458</v>
      </c>
      <c r="P627" t="s">
        <v>423</v>
      </c>
      <c r="Q627" t="s">
        <v>39</v>
      </c>
      <c r="R627" t="s">
        <v>40</v>
      </c>
      <c r="S627">
        <v>0</v>
      </c>
      <c r="U627" t="s">
        <v>41</v>
      </c>
      <c r="V627" t="s">
        <v>42</v>
      </c>
      <c r="X627" t="s">
        <v>74</v>
      </c>
      <c r="Y627" t="b">
        <v>0</v>
      </c>
      <c r="Z627" t="b">
        <v>0</v>
      </c>
      <c r="AC627" s="1"/>
      <c r="AF627">
        <v>0</v>
      </c>
      <c r="AG627">
        <v>45</v>
      </c>
      <c r="AH627">
        <v>161</v>
      </c>
      <c r="AI627" s="2">
        <f>Table__192.168.3.138BEWLPPMetaData[[#This Row],[NetAmount]]-Table__192.168.3.138BEWLPPMetaData[[#This Row],[Paid]]</f>
        <v>10997</v>
      </c>
    </row>
    <row r="628" spans="1:35" hidden="1">
      <c r="A628" t="s">
        <v>9736</v>
      </c>
      <c r="B628" s="1">
        <v>41156</v>
      </c>
      <c r="C628" s="1">
        <v>41201</v>
      </c>
      <c r="D628" t="s">
        <v>9150</v>
      </c>
      <c r="E628">
        <v>8295</v>
      </c>
      <c r="F628">
        <v>1327</v>
      </c>
      <c r="G628">
        <v>0</v>
      </c>
      <c r="H628">
        <v>0</v>
      </c>
      <c r="I628">
        <v>116</v>
      </c>
      <c r="J628">
        <v>9622</v>
      </c>
      <c r="K628" t="s">
        <v>2458</v>
      </c>
      <c r="L628" s="1">
        <v>41152</v>
      </c>
      <c r="N628" t="s">
        <v>5127</v>
      </c>
      <c r="O628" t="s">
        <v>2458</v>
      </c>
      <c r="P628" t="s">
        <v>423</v>
      </c>
      <c r="Q628" t="s">
        <v>39</v>
      </c>
      <c r="R628" t="s">
        <v>40</v>
      </c>
      <c r="S628">
        <v>0</v>
      </c>
      <c r="U628" t="s">
        <v>41</v>
      </c>
      <c r="V628" t="s">
        <v>42</v>
      </c>
      <c r="X628" t="s">
        <v>74</v>
      </c>
      <c r="Y628" t="b">
        <v>0</v>
      </c>
      <c r="Z628" t="b">
        <v>0</v>
      </c>
      <c r="AC628" s="1"/>
      <c r="AF628">
        <v>0</v>
      </c>
      <c r="AG628">
        <v>45</v>
      </c>
      <c r="AH628">
        <v>161</v>
      </c>
      <c r="AI628" s="2">
        <f>Table__192.168.3.138BEWLPPMetaData[[#This Row],[NetAmount]]-Table__192.168.3.138BEWLPPMetaData[[#This Row],[Paid]]</f>
        <v>9622</v>
      </c>
    </row>
    <row r="629" spans="1:35" hidden="1">
      <c r="A629" t="s">
        <v>9737</v>
      </c>
      <c r="B629" s="1">
        <v>41157</v>
      </c>
      <c r="C629" s="1">
        <v>41202</v>
      </c>
      <c r="D629" t="s">
        <v>8869</v>
      </c>
      <c r="E629">
        <v>18748</v>
      </c>
      <c r="F629">
        <v>3000</v>
      </c>
      <c r="G629">
        <v>0</v>
      </c>
      <c r="H629">
        <v>0</v>
      </c>
      <c r="I629">
        <v>105</v>
      </c>
      <c r="J629">
        <v>21748</v>
      </c>
      <c r="K629" t="s">
        <v>3785</v>
      </c>
      <c r="L629" s="1">
        <v>41163</v>
      </c>
      <c r="N629" t="s">
        <v>5127</v>
      </c>
      <c r="O629" t="s">
        <v>2458</v>
      </c>
      <c r="P629" t="s">
        <v>8870</v>
      </c>
      <c r="Q629" t="s">
        <v>39</v>
      </c>
      <c r="R629" t="s">
        <v>40</v>
      </c>
      <c r="S629">
        <v>0</v>
      </c>
      <c r="U629" t="s">
        <v>41</v>
      </c>
      <c r="V629" t="s">
        <v>42</v>
      </c>
      <c r="X629" t="s">
        <v>74</v>
      </c>
      <c r="Y629" t="b">
        <v>0</v>
      </c>
      <c r="Z629" t="b">
        <v>0</v>
      </c>
      <c r="AC629" s="1"/>
      <c r="AF629">
        <v>0</v>
      </c>
      <c r="AG629">
        <v>45</v>
      </c>
      <c r="AH629">
        <v>150</v>
      </c>
      <c r="AI629" s="2">
        <f>Table__192.168.3.138BEWLPPMetaData[[#This Row],[NetAmount]]-Table__192.168.3.138BEWLPPMetaData[[#This Row],[Paid]]</f>
        <v>21748</v>
      </c>
    </row>
    <row r="630" spans="1:35" hidden="1">
      <c r="A630" t="s">
        <v>9738</v>
      </c>
      <c r="B630" s="1">
        <v>41156</v>
      </c>
      <c r="C630" s="1">
        <v>41201</v>
      </c>
      <c r="D630" t="s">
        <v>8603</v>
      </c>
      <c r="E630">
        <v>73622</v>
      </c>
      <c r="F630">
        <v>11780</v>
      </c>
      <c r="G630">
        <v>0</v>
      </c>
      <c r="H630">
        <v>0</v>
      </c>
      <c r="I630">
        <v>113</v>
      </c>
      <c r="J630">
        <v>85402</v>
      </c>
      <c r="K630" t="s">
        <v>9739</v>
      </c>
      <c r="L630" s="1">
        <v>41155</v>
      </c>
      <c r="N630" t="s">
        <v>5127</v>
      </c>
      <c r="O630" t="s">
        <v>2458</v>
      </c>
      <c r="P630" t="s">
        <v>304</v>
      </c>
      <c r="Q630" t="s">
        <v>39</v>
      </c>
      <c r="R630" t="s">
        <v>40</v>
      </c>
      <c r="S630">
        <v>0</v>
      </c>
      <c r="U630" t="s">
        <v>41</v>
      </c>
      <c r="V630" t="s">
        <v>42</v>
      </c>
      <c r="X630" t="s">
        <v>74</v>
      </c>
      <c r="Y630" t="b">
        <v>0</v>
      </c>
      <c r="Z630" t="b">
        <v>0</v>
      </c>
      <c r="AC630" s="1"/>
      <c r="AF630">
        <v>0</v>
      </c>
      <c r="AG630">
        <v>45</v>
      </c>
      <c r="AH630">
        <v>158</v>
      </c>
      <c r="AI630" s="2">
        <f>Table__192.168.3.138BEWLPPMetaData[[#This Row],[NetAmount]]-Table__192.168.3.138BEWLPPMetaData[[#This Row],[Paid]]</f>
        <v>85402</v>
      </c>
    </row>
    <row r="631" spans="1:35" hidden="1">
      <c r="A631" t="s">
        <v>9740</v>
      </c>
      <c r="B631" s="1">
        <v>41158</v>
      </c>
      <c r="C631" s="1">
        <v>41203</v>
      </c>
      <c r="D631" t="s">
        <v>8530</v>
      </c>
      <c r="E631">
        <v>204831</v>
      </c>
      <c r="F631">
        <v>32774</v>
      </c>
      <c r="G631">
        <v>0</v>
      </c>
      <c r="H631">
        <v>0</v>
      </c>
      <c r="I631">
        <v>110</v>
      </c>
      <c r="J631">
        <v>237605</v>
      </c>
      <c r="K631" t="s">
        <v>9741</v>
      </c>
      <c r="L631" s="1">
        <v>41158</v>
      </c>
      <c r="N631" t="s">
        <v>5127</v>
      </c>
      <c r="O631" t="s">
        <v>2458</v>
      </c>
      <c r="P631" t="s">
        <v>357</v>
      </c>
      <c r="Q631" t="s">
        <v>39</v>
      </c>
      <c r="R631" t="s">
        <v>40</v>
      </c>
      <c r="S631">
        <v>0</v>
      </c>
      <c r="U631" t="s">
        <v>41</v>
      </c>
      <c r="V631" t="s">
        <v>42</v>
      </c>
      <c r="X631" t="s">
        <v>74</v>
      </c>
      <c r="Y631" t="b">
        <v>0</v>
      </c>
      <c r="Z631" t="b">
        <v>0</v>
      </c>
      <c r="AC631" s="1"/>
      <c r="AF631">
        <v>0</v>
      </c>
      <c r="AG631">
        <v>45</v>
      </c>
      <c r="AH631">
        <v>155</v>
      </c>
      <c r="AI631" s="2">
        <f>Table__192.168.3.138BEWLPPMetaData[[#This Row],[NetAmount]]-Table__192.168.3.138BEWLPPMetaData[[#This Row],[Paid]]</f>
        <v>237605</v>
      </c>
    </row>
    <row r="632" spans="1:35" hidden="1">
      <c r="A632" t="s">
        <v>9742</v>
      </c>
      <c r="B632" s="1">
        <v>41167</v>
      </c>
      <c r="C632" s="1">
        <v>41212</v>
      </c>
      <c r="D632" t="s">
        <v>8530</v>
      </c>
      <c r="E632">
        <v>6970</v>
      </c>
      <c r="F632">
        <v>1116</v>
      </c>
      <c r="G632">
        <v>0</v>
      </c>
      <c r="H632">
        <v>0</v>
      </c>
      <c r="I632">
        <v>110</v>
      </c>
      <c r="J632">
        <v>8086</v>
      </c>
      <c r="K632" t="s">
        <v>9743</v>
      </c>
      <c r="L632" s="1">
        <v>41158</v>
      </c>
      <c r="N632" t="s">
        <v>5127</v>
      </c>
      <c r="O632" t="s">
        <v>2458</v>
      </c>
      <c r="P632" t="s">
        <v>357</v>
      </c>
      <c r="Q632" t="s">
        <v>39</v>
      </c>
      <c r="R632" t="s">
        <v>40</v>
      </c>
      <c r="S632">
        <v>0</v>
      </c>
      <c r="U632" t="s">
        <v>41</v>
      </c>
      <c r="V632" t="s">
        <v>42</v>
      </c>
      <c r="X632" t="s">
        <v>74</v>
      </c>
      <c r="Y632" t="b">
        <v>0</v>
      </c>
      <c r="Z632" t="b">
        <v>0</v>
      </c>
      <c r="AC632" s="1"/>
      <c r="AF632">
        <v>0</v>
      </c>
      <c r="AG632">
        <v>45</v>
      </c>
      <c r="AH632">
        <v>155</v>
      </c>
      <c r="AI632" s="2">
        <f>Table__192.168.3.138BEWLPPMetaData[[#This Row],[NetAmount]]-Table__192.168.3.138BEWLPPMetaData[[#This Row],[Paid]]</f>
        <v>8086</v>
      </c>
    </row>
    <row r="633" spans="1:35" hidden="1">
      <c r="A633" t="s">
        <v>9744</v>
      </c>
      <c r="B633" s="1">
        <v>41125</v>
      </c>
      <c r="C633" s="1">
        <v>41125</v>
      </c>
      <c r="D633" t="s">
        <v>9519</v>
      </c>
      <c r="E633">
        <v>106000</v>
      </c>
      <c r="F633">
        <v>16960</v>
      </c>
      <c r="G633">
        <v>0</v>
      </c>
      <c r="H633">
        <v>0</v>
      </c>
      <c r="I633">
        <v>0</v>
      </c>
      <c r="J633">
        <v>122960</v>
      </c>
      <c r="K633" t="s">
        <v>7546</v>
      </c>
      <c r="L633" s="1">
        <v>41122</v>
      </c>
      <c r="N633" t="s">
        <v>5127</v>
      </c>
      <c r="O633" t="s">
        <v>2458</v>
      </c>
      <c r="P633" t="s">
        <v>433</v>
      </c>
      <c r="Q633" t="s">
        <v>39</v>
      </c>
      <c r="R633" t="s">
        <v>40</v>
      </c>
      <c r="S633">
        <v>0</v>
      </c>
      <c r="U633" t="s">
        <v>41</v>
      </c>
      <c r="V633" t="s">
        <v>42</v>
      </c>
      <c r="X633" t="s">
        <v>74</v>
      </c>
      <c r="Y633" t="b">
        <v>0</v>
      </c>
      <c r="Z633" t="b">
        <v>0</v>
      </c>
      <c r="AC633" s="1"/>
      <c r="AF633">
        <v>0</v>
      </c>
      <c r="AH633">
        <v>191</v>
      </c>
      <c r="AI633" s="2">
        <f>Table__192.168.3.138BEWLPPMetaData[[#This Row],[NetAmount]]-Table__192.168.3.138BEWLPPMetaData[[#This Row],[Paid]]</f>
        <v>122960</v>
      </c>
    </row>
    <row r="634" spans="1:35" hidden="1">
      <c r="A634" t="s">
        <v>9745</v>
      </c>
      <c r="B634" s="1">
        <v>41178</v>
      </c>
      <c r="C634" s="1">
        <v>41223</v>
      </c>
      <c r="D634" t="s">
        <v>8970</v>
      </c>
      <c r="E634">
        <v>23788</v>
      </c>
      <c r="F634">
        <v>3806</v>
      </c>
      <c r="G634">
        <v>0</v>
      </c>
      <c r="H634">
        <v>0</v>
      </c>
      <c r="I634">
        <v>91</v>
      </c>
      <c r="J634">
        <v>27594</v>
      </c>
      <c r="K634" t="s">
        <v>8121</v>
      </c>
      <c r="L634" s="1">
        <v>41177</v>
      </c>
      <c r="N634" t="s">
        <v>5127</v>
      </c>
      <c r="O634" t="s">
        <v>2458</v>
      </c>
      <c r="P634" t="s">
        <v>8971</v>
      </c>
      <c r="Q634" t="s">
        <v>39</v>
      </c>
      <c r="R634" t="s">
        <v>40</v>
      </c>
      <c r="S634">
        <v>0</v>
      </c>
      <c r="U634" t="s">
        <v>41</v>
      </c>
      <c r="V634" t="s">
        <v>42</v>
      </c>
      <c r="X634" t="s">
        <v>74</v>
      </c>
      <c r="Y634" t="b">
        <v>0</v>
      </c>
      <c r="Z634" t="b">
        <v>0</v>
      </c>
      <c r="AC634" s="1"/>
      <c r="AF634">
        <v>0</v>
      </c>
      <c r="AG634">
        <v>45</v>
      </c>
      <c r="AH634">
        <v>136</v>
      </c>
      <c r="AI634" s="2">
        <f>Table__192.168.3.138BEWLPPMetaData[[#This Row],[NetAmount]]-Table__192.168.3.138BEWLPPMetaData[[#This Row],[Paid]]</f>
        <v>27594</v>
      </c>
    </row>
    <row r="635" spans="1:35" hidden="1">
      <c r="A635" t="s">
        <v>9746</v>
      </c>
      <c r="B635" s="1">
        <v>41170</v>
      </c>
      <c r="C635" s="1">
        <v>41215</v>
      </c>
      <c r="D635" t="s">
        <v>8970</v>
      </c>
      <c r="E635">
        <v>43307</v>
      </c>
      <c r="F635">
        <v>6929</v>
      </c>
      <c r="G635">
        <v>0</v>
      </c>
      <c r="H635">
        <v>0</v>
      </c>
      <c r="I635">
        <v>99</v>
      </c>
      <c r="J635">
        <v>50236</v>
      </c>
      <c r="K635" t="s">
        <v>8078</v>
      </c>
      <c r="L635" s="1">
        <v>41169</v>
      </c>
      <c r="N635" t="s">
        <v>5127</v>
      </c>
      <c r="O635" t="s">
        <v>2458</v>
      </c>
      <c r="P635" t="s">
        <v>8971</v>
      </c>
      <c r="Q635" t="s">
        <v>39</v>
      </c>
      <c r="R635" t="s">
        <v>40</v>
      </c>
      <c r="S635">
        <v>0</v>
      </c>
      <c r="U635" t="s">
        <v>41</v>
      </c>
      <c r="V635" t="s">
        <v>42</v>
      </c>
      <c r="X635" t="s">
        <v>74</v>
      </c>
      <c r="Y635" t="b">
        <v>0</v>
      </c>
      <c r="Z635" t="b">
        <v>0</v>
      </c>
      <c r="AC635" s="1"/>
      <c r="AF635">
        <v>0</v>
      </c>
      <c r="AG635">
        <v>45</v>
      </c>
      <c r="AH635">
        <v>144</v>
      </c>
      <c r="AI635" s="2">
        <f>Table__192.168.3.138BEWLPPMetaData[[#This Row],[NetAmount]]-Table__192.168.3.138BEWLPPMetaData[[#This Row],[Paid]]</f>
        <v>50236</v>
      </c>
    </row>
    <row r="636" spans="1:35" hidden="1">
      <c r="A636" t="s">
        <v>9747</v>
      </c>
      <c r="B636" s="1">
        <v>41178</v>
      </c>
      <c r="C636" s="1">
        <v>41223</v>
      </c>
      <c r="D636" t="s">
        <v>8603</v>
      </c>
      <c r="E636">
        <v>6048</v>
      </c>
      <c r="F636">
        <v>968</v>
      </c>
      <c r="G636">
        <v>0</v>
      </c>
      <c r="H636">
        <v>0</v>
      </c>
      <c r="I636">
        <v>94</v>
      </c>
      <c r="J636">
        <v>7016</v>
      </c>
      <c r="K636" t="s">
        <v>9748</v>
      </c>
      <c r="L636" s="1">
        <v>41174</v>
      </c>
      <c r="N636" t="s">
        <v>5127</v>
      </c>
      <c r="O636" t="s">
        <v>2458</v>
      </c>
      <c r="P636" t="s">
        <v>304</v>
      </c>
      <c r="Q636" t="s">
        <v>39</v>
      </c>
      <c r="R636" t="s">
        <v>40</v>
      </c>
      <c r="S636">
        <v>0</v>
      </c>
      <c r="U636" t="s">
        <v>41</v>
      </c>
      <c r="V636" t="s">
        <v>42</v>
      </c>
      <c r="X636" t="s">
        <v>74</v>
      </c>
      <c r="Y636" t="b">
        <v>0</v>
      </c>
      <c r="Z636" t="b">
        <v>0</v>
      </c>
      <c r="AC636" s="1"/>
      <c r="AF636">
        <v>0</v>
      </c>
      <c r="AG636">
        <v>45</v>
      </c>
      <c r="AH636">
        <v>139</v>
      </c>
      <c r="AI636" s="2">
        <f>Table__192.168.3.138BEWLPPMetaData[[#This Row],[NetAmount]]-Table__192.168.3.138BEWLPPMetaData[[#This Row],[Paid]]</f>
        <v>7016</v>
      </c>
    </row>
    <row r="637" spans="1:35" hidden="1">
      <c r="A637" t="s">
        <v>9749</v>
      </c>
      <c r="B637" s="1">
        <v>41174</v>
      </c>
      <c r="C637" s="1">
        <v>41219</v>
      </c>
      <c r="D637" t="s">
        <v>8522</v>
      </c>
      <c r="E637">
        <v>9400</v>
      </c>
      <c r="F637">
        <v>0</v>
      </c>
      <c r="G637">
        <v>0</v>
      </c>
      <c r="H637">
        <v>0</v>
      </c>
      <c r="I637">
        <v>89</v>
      </c>
      <c r="J637">
        <v>9400</v>
      </c>
      <c r="K637" t="s">
        <v>7473</v>
      </c>
      <c r="L637" s="1">
        <v>41179</v>
      </c>
      <c r="N637" t="s">
        <v>5127</v>
      </c>
      <c r="O637" t="s">
        <v>2458</v>
      </c>
      <c r="P637" t="s">
        <v>5458</v>
      </c>
      <c r="Q637" t="s">
        <v>39</v>
      </c>
      <c r="R637" t="s">
        <v>40</v>
      </c>
      <c r="S637">
        <v>0</v>
      </c>
      <c r="U637" t="s">
        <v>41</v>
      </c>
      <c r="V637" t="s">
        <v>42</v>
      </c>
      <c r="X637" t="s">
        <v>74</v>
      </c>
      <c r="Y637" t="b">
        <v>0</v>
      </c>
      <c r="Z637" t="b">
        <v>0</v>
      </c>
      <c r="AC637" s="1"/>
      <c r="AF637">
        <v>0</v>
      </c>
      <c r="AG637">
        <v>45</v>
      </c>
      <c r="AH637">
        <v>134</v>
      </c>
      <c r="AI637" s="2">
        <f>Table__192.168.3.138BEWLPPMetaData[[#This Row],[NetAmount]]-Table__192.168.3.138BEWLPPMetaData[[#This Row],[Paid]]</f>
        <v>9400</v>
      </c>
    </row>
    <row r="638" spans="1:35" hidden="1">
      <c r="A638" t="s">
        <v>9750</v>
      </c>
      <c r="B638" s="1">
        <v>41170</v>
      </c>
      <c r="C638" s="1">
        <v>41215</v>
      </c>
      <c r="D638" t="s">
        <v>8640</v>
      </c>
      <c r="E638">
        <v>7000</v>
      </c>
      <c r="F638">
        <v>1120</v>
      </c>
      <c r="G638">
        <v>0</v>
      </c>
      <c r="H638">
        <v>0</v>
      </c>
      <c r="I638">
        <v>101</v>
      </c>
      <c r="J638">
        <v>8120</v>
      </c>
      <c r="K638" t="s">
        <v>9751</v>
      </c>
      <c r="L638" s="1">
        <v>41167</v>
      </c>
      <c r="N638" t="s">
        <v>5127</v>
      </c>
      <c r="O638" t="s">
        <v>2458</v>
      </c>
      <c r="P638" t="s">
        <v>323</v>
      </c>
      <c r="Q638" t="s">
        <v>39</v>
      </c>
      <c r="R638" t="s">
        <v>40</v>
      </c>
      <c r="S638">
        <v>0</v>
      </c>
      <c r="U638" t="s">
        <v>41</v>
      </c>
      <c r="V638" t="s">
        <v>42</v>
      </c>
      <c r="X638" t="s">
        <v>74</v>
      </c>
      <c r="Y638" t="b">
        <v>0</v>
      </c>
      <c r="Z638" t="b">
        <v>0</v>
      </c>
      <c r="AC638" s="1"/>
      <c r="AF638">
        <v>0</v>
      </c>
      <c r="AG638">
        <v>45</v>
      </c>
      <c r="AH638">
        <v>146</v>
      </c>
      <c r="AI638" s="2">
        <f>Table__192.168.3.138BEWLPPMetaData[[#This Row],[NetAmount]]-Table__192.168.3.138BEWLPPMetaData[[#This Row],[Paid]]</f>
        <v>8120</v>
      </c>
    </row>
    <row r="639" spans="1:35" hidden="1">
      <c r="A639" t="s">
        <v>9752</v>
      </c>
      <c r="B639" s="1">
        <v>41158</v>
      </c>
      <c r="C639" s="1">
        <v>41203</v>
      </c>
      <c r="D639" t="s">
        <v>8530</v>
      </c>
      <c r="E639">
        <v>9600</v>
      </c>
      <c r="F639">
        <v>1536</v>
      </c>
      <c r="G639">
        <v>0</v>
      </c>
      <c r="H639">
        <v>0</v>
      </c>
      <c r="I639">
        <v>100</v>
      </c>
      <c r="J639">
        <v>11136</v>
      </c>
      <c r="K639" t="s">
        <v>9753</v>
      </c>
      <c r="L639" s="1">
        <v>41168</v>
      </c>
      <c r="N639" t="s">
        <v>5127</v>
      </c>
      <c r="O639" t="s">
        <v>2458</v>
      </c>
      <c r="P639" t="s">
        <v>357</v>
      </c>
      <c r="Q639" t="s">
        <v>39</v>
      </c>
      <c r="R639" t="s">
        <v>40</v>
      </c>
      <c r="S639">
        <v>0</v>
      </c>
      <c r="U639" t="s">
        <v>41</v>
      </c>
      <c r="V639" t="s">
        <v>42</v>
      </c>
      <c r="X639" t="s">
        <v>74</v>
      </c>
      <c r="Y639" t="b">
        <v>0</v>
      </c>
      <c r="Z639" t="b">
        <v>0</v>
      </c>
      <c r="AC639" s="1"/>
      <c r="AF639">
        <v>0</v>
      </c>
      <c r="AG639">
        <v>45</v>
      </c>
      <c r="AH639">
        <v>145</v>
      </c>
      <c r="AI639" s="2">
        <f>Table__192.168.3.138BEWLPPMetaData[[#This Row],[NetAmount]]-Table__192.168.3.138BEWLPPMetaData[[#This Row],[Paid]]</f>
        <v>11136</v>
      </c>
    </row>
    <row r="640" spans="1:35" hidden="1">
      <c r="A640" t="s">
        <v>9754</v>
      </c>
      <c r="B640" s="1">
        <v>41169</v>
      </c>
      <c r="C640" s="1">
        <v>41214</v>
      </c>
      <c r="D640" t="s">
        <v>8530</v>
      </c>
      <c r="E640">
        <v>59324</v>
      </c>
      <c r="F640">
        <v>9492</v>
      </c>
      <c r="G640">
        <v>0</v>
      </c>
      <c r="H640">
        <v>0</v>
      </c>
      <c r="I640">
        <v>86</v>
      </c>
      <c r="J640">
        <v>68816</v>
      </c>
      <c r="K640" t="s">
        <v>9755</v>
      </c>
      <c r="L640" s="1">
        <v>41182</v>
      </c>
      <c r="N640" t="s">
        <v>5127</v>
      </c>
      <c r="O640" t="s">
        <v>2458</v>
      </c>
      <c r="P640" t="s">
        <v>357</v>
      </c>
      <c r="Q640" t="s">
        <v>39</v>
      </c>
      <c r="R640" t="s">
        <v>40</v>
      </c>
      <c r="S640">
        <v>0</v>
      </c>
      <c r="U640" t="s">
        <v>41</v>
      </c>
      <c r="V640" t="s">
        <v>42</v>
      </c>
      <c r="X640" t="s">
        <v>74</v>
      </c>
      <c r="Y640" t="b">
        <v>0</v>
      </c>
      <c r="Z640" t="b">
        <v>0</v>
      </c>
      <c r="AC640" s="1"/>
      <c r="AF640">
        <v>0</v>
      </c>
      <c r="AG640">
        <v>45</v>
      </c>
      <c r="AH640">
        <v>131</v>
      </c>
      <c r="AI640" s="2">
        <f>Table__192.168.3.138BEWLPPMetaData[[#This Row],[NetAmount]]-Table__192.168.3.138BEWLPPMetaData[[#This Row],[Paid]]</f>
        <v>68816</v>
      </c>
    </row>
    <row r="641" spans="1:35" hidden="1">
      <c r="A641" t="s">
        <v>9756</v>
      </c>
      <c r="B641" s="1">
        <v>41172</v>
      </c>
      <c r="C641" s="1">
        <v>41217</v>
      </c>
      <c r="D641" t="s">
        <v>8530</v>
      </c>
      <c r="E641">
        <v>108906</v>
      </c>
      <c r="F641">
        <v>17425</v>
      </c>
      <c r="G641">
        <v>0</v>
      </c>
      <c r="H641">
        <v>0</v>
      </c>
      <c r="I641">
        <v>96</v>
      </c>
      <c r="J641">
        <v>126331</v>
      </c>
      <c r="K641" t="s">
        <v>3874</v>
      </c>
      <c r="L641" s="1">
        <v>41172</v>
      </c>
      <c r="N641" t="s">
        <v>5127</v>
      </c>
      <c r="O641" t="s">
        <v>2458</v>
      </c>
      <c r="P641" t="s">
        <v>357</v>
      </c>
      <c r="Q641" t="s">
        <v>39</v>
      </c>
      <c r="R641" t="s">
        <v>40</v>
      </c>
      <c r="S641">
        <v>0</v>
      </c>
      <c r="U641" t="s">
        <v>41</v>
      </c>
      <c r="V641" t="s">
        <v>42</v>
      </c>
      <c r="X641" t="s">
        <v>74</v>
      </c>
      <c r="Y641" t="b">
        <v>0</v>
      </c>
      <c r="Z641" t="b">
        <v>0</v>
      </c>
      <c r="AC641" s="1"/>
      <c r="AF641">
        <v>0</v>
      </c>
      <c r="AG641">
        <v>45</v>
      </c>
      <c r="AH641">
        <v>141</v>
      </c>
      <c r="AI641" s="2">
        <f>Table__192.168.3.138BEWLPPMetaData[[#This Row],[NetAmount]]-Table__192.168.3.138BEWLPPMetaData[[#This Row],[Paid]]</f>
        <v>126331</v>
      </c>
    </row>
    <row r="642" spans="1:35" hidden="1">
      <c r="A642" t="s">
        <v>9757</v>
      </c>
      <c r="B642" s="1">
        <v>41181</v>
      </c>
      <c r="C642" s="1">
        <v>41226</v>
      </c>
      <c r="D642" t="s">
        <v>8530</v>
      </c>
      <c r="E642">
        <v>4365</v>
      </c>
      <c r="F642">
        <v>698</v>
      </c>
      <c r="G642">
        <v>0</v>
      </c>
      <c r="H642">
        <v>0</v>
      </c>
      <c r="I642">
        <v>96</v>
      </c>
      <c r="J642">
        <v>5063</v>
      </c>
      <c r="K642" t="s">
        <v>9758</v>
      </c>
      <c r="L642" s="1">
        <v>41172</v>
      </c>
      <c r="N642" t="s">
        <v>5127</v>
      </c>
      <c r="O642" t="s">
        <v>2458</v>
      </c>
      <c r="P642" t="s">
        <v>357</v>
      </c>
      <c r="Q642" t="s">
        <v>39</v>
      </c>
      <c r="R642" t="s">
        <v>40</v>
      </c>
      <c r="S642">
        <v>0</v>
      </c>
      <c r="U642" t="s">
        <v>41</v>
      </c>
      <c r="V642" t="s">
        <v>42</v>
      </c>
      <c r="X642" t="s">
        <v>74</v>
      </c>
      <c r="Y642" t="b">
        <v>0</v>
      </c>
      <c r="Z642" t="b">
        <v>0</v>
      </c>
      <c r="AC642" s="1"/>
      <c r="AF642">
        <v>0</v>
      </c>
      <c r="AG642">
        <v>45</v>
      </c>
      <c r="AH642">
        <v>141</v>
      </c>
      <c r="AI642" s="2">
        <f>Table__192.168.3.138BEWLPPMetaData[[#This Row],[NetAmount]]-Table__192.168.3.138BEWLPPMetaData[[#This Row],[Paid]]</f>
        <v>5063</v>
      </c>
    </row>
    <row r="643" spans="1:35" hidden="1">
      <c r="A643" t="s">
        <v>9759</v>
      </c>
      <c r="B643" s="1">
        <v>41167</v>
      </c>
      <c r="C643" s="1">
        <v>41212</v>
      </c>
      <c r="D643" t="s">
        <v>8530</v>
      </c>
      <c r="E643">
        <v>105246</v>
      </c>
      <c r="F643">
        <v>16840</v>
      </c>
      <c r="G643">
        <v>0</v>
      </c>
      <c r="H643">
        <v>0</v>
      </c>
      <c r="I643">
        <v>98</v>
      </c>
      <c r="J643">
        <v>122086</v>
      </c>
      <c r="K643" t="s">
        <v>9760</v>
      </c>
      <c r="L643" s="1">
        <v>41170</v>
      </c>
      <c r="N643" t="s">
        <v>5127</v>
      </c>
      <c r="O643" t="s">
        <v>2458</v>
      </c>
      <c r="P643" t="s">
        <v>357</v>
      </c>
      <c r="Q643" t="s">
        <v>39</v>
      </c>
      <c r="R643" t="s">
        <v>40</v>
      </c>
      <c r="S643">
        <v>0</v>
      </c>
      <c r="U643" t="s">
        <v>41</v>
      </c>
      <c r="V643" t="s">
        <v>42</v>
      </c>
      <c r="X643" t="s">
        <v>74</v>
      </c>
      <c r="Y643" t="b">
        <v>0</v>
      </c>
      <c r="Z643" t="b">
        <v>0</v>
      </c>
      <c r="AC643" s="1"/>
      <c r="AF643">
        <v>0</v>
      </c>
      <c r="AG643">
        <v>45</v>
      </c>
      <c r="AH643">
        <v>143</v>
      </c>
      <c r="AI643" s="2">
        <f>Table__192.168.3.138BEWLPPMetaData[[#This Row],[NetAmount]]-Table__192.168.3.138BEWLPPMetaData[[#This Row],[Paid]]</f>
        <v>122086</v>
      </c>
    </row>
    <row r="644" spans="1:35" hidden="1">
      <c r="A644" t="s">
        <v>9761</v>
      </c>
      <c r="B644" s="1">
        <v>41164</v>
      </c>
      <c r="C644" s="1">
        <v>41209</v>
      </c>
      <c r="D644" t="s">
        <v>8530</v>
      </c>
      <c r="E644">
        <v>12000</v>
      </c>
      <c r="F644">
        <v>1920</v>
      </c>
      <c r="G644">
        <v>0</v>
      </c>
      <c r="H644">
        <v>0</v>
      </c>
      <c r="I644">
        <v>99</v>
      </c>
      <c r="J644">
        <v>13920</v>
      </c>
      <c r="K644" t="s">
        <v>9762</v>
      </c>
      <c r="L644" s="1">
        <v>41169</v>
      </c>
      <c r="N644" t="s">
        <v>5127</v>
      </c>
      <c r="O644" t="s">
        <v>2458</v>
      </c>
      <c r="P644" t="s">
        <v>357</v>
      </c>
      <c r="Q644" t="s">
        <v>39</v>
      </c>
      <c r="R644" t="s">
        <v>40</v>
      </c>
      <c r="S644">
        <v>0</v>
      </c>
      <c r="U644" t="s">
        <v>41</v>
      </c>
      <c r="V644" t="s">
        <v>42</v>
      </c>
      <c r="X644" t="s">
        <v>74</v>
      </c>
      <c r="Y644" t="b">
        <v>0</v>
      </c>
      <c r="Z644" t="b">
        <v>0</v>
      </c>
      <c r="AC644" s="1"/>
      <c r="AF644">
        <v>0</v>
      </c>
      <c r="AG644">
        <v>45</v>
      </c>
      <c r="AH644">
        <v>144</v>
      </c>
      <c r="AI644" s="2">
        <f>Table__192.168.3.138BEWLPPMetaData[[#This Row],[NetAmount]]-Table__192.168.3.138BEWLPPMetaData[[#This Row],[Paid]]</f>
        <v>13920</v>
      </c>
    </row>
    <row r="645" spans="1:35" hidden="1">
      <c r="A645" t="s">
        <v>9763</v>
      </c>
      <c r="B645" s="1">
        <v>41181</v>
      </c>
      <c r="C645" s="1">
        <v>41226</v>
      </c>
      <c r="D645" t="s">
        <v>8530</v>
      </c>
      <c r="E645">
        <v>20508</v>
      </c>
      <c r="F645">
        <v>3281</v>
      </c>
      <c r="G645">
        <v>0</v>
      </c>
      <c r="H645">
        <v>0</v>
      </c>
      <c r="I645">
        <v>89</v>
      </c>
      <c r="J645">
        <v>23789</v>
      </c>
      <c r="K645" t="s">
        <v>9764</v>
      </c>
      <c r="L645" s="1">
        <v>41179</v>
      </c>
      <c r="N645" t="s">
        <v>5127</v>
      </c>
      <c r="O645" t="s">
        <v>2458</v>
      </c>
      <c r="P645" t="s">
        <v>357</v>
      </c>
      <c r="Q645" t="s">
        <v>39</v>
      </c>
      <c r="R645" t="s">
        <v>40</v>
      </c>
      <c r="S645">
        <v>0</v>
      </c>
      <c r="U645" t="s">
        <v>41</v>
      </c>
      <c r="V645" t="s">
        <v>42</v>
      </c>
      <c r="X645" t="s">
        <v>74</v>
      </c>
      <c r="Y645" t="b">
        <v>0</v>
      </c>
      <c r="Z645" t="b">
        <v>0</v>
      </c>
      <c r="AC645" s="1"/>
      <c r="AF645">
        <v>0</v>
      </c>
      <c r="AG645">
        <v>45</v>
      </c>
      <c r="AH645">
        <v>134</v>
      </c>
      <c r="AI645" s="2">
        <f>Table__192.168.3.138BEWLPPMetaData[[#This Row],[NetAmount]]-Table__192.168.3.138BEWLPPMetaData[[#This Row],[Paid]]</f>
        <v>23789</v>
      </c>
    </row>
    <row r="646" spans="1:35" hidden="1">
      <c r="A646" t="s">
        <v>9765</v>
      </c>
      <c r="B646" s="1">
        <v>41177</v>
      </c>
      <c r="C646" s="1">
        <v>41222</v>
      </c>
      <c r="D646" t="s">
        <v>8530</v>
      </c>
      <c r="E646">
        <v>196822</v>
      </c>
      <c r="F646">
        <v>31492</v>
      </c>
      <c r="G646">
        <v>0</v>
      </c>
      <c r="H646">
        <v>0</v>
      </c>
      <c r="I646">
        <v>91</v>
      </c>
      <c r="J646">
        <v>228314</v>
      </c>
      <c r="K646" t="s">
        <v>9766</v>
      </c>
      <c r="L646" s="1">
        <v>41177</v>
      </c>
      <c r="N646" t="s">
        <v>5127</v>
      </c>
      <c r="O646" t="s">
        <v>2458</v>
      </c>
      <c r="P646" t="s">
        <v>357</v>
      </c>
      <c r="Q646" t="s">
        <v>39</v>
      </c>
      <c r="R646" t="s">
        <v>40</v>
      </c>
      <c r="S646">
        <v>0</v>
      </c>
      <c r="U646" t="s">
        <v>41</v>
      </c>
      <c r="V646" t="s">
        <v>42</v>
      </c>
      <c r="X646" t="s">
        <v>74</v>
      </c>
      <c r="Y646" t="b">
        <v>0</v>
      </c>
      <c r="Z646" t="b">
        <v>0</v>
      </c>
      <c r="AC646" s="1"/>
      <c r="AF646">
        <v>0</v>
      </c>
      <c r="AG646">
        <v>45</v>
      </c>
      <c r="AH646">
        <v>136</v>
      </c>
      <c r="AI646" s="2">
        <f>Table__192.168.3.138BEWLPPMetaData[[#This Row],[NetAmount]]-Table__192.168.3.138BEWLPPMetaData[[#This Row],[Paid]]</f>
        <v>228314</v>
      </c>
    </row>
    <row r="647" spans="1:35" hidden="1">
      <c r="A647" t="s">
        <v>9767</v>
      </c>
      <c r="B647" s="1">
        <v>41155</v>
      </c>
      <c r="C647" s="1">
        <v>41200</v>
      </c>
      <c r="D647" t="s">
        <v>8794</v>
      </c>
      <c r="E647">
        <v>104500</v>
      </c>
      <c r="F647">
        <v>16720</v>
      </c>
      <c r="G647">
        <v>0</v>
      </c>
      <c r="H647">
        <v>0</v>
      </c>
      <c r="I647">
        <v>113</v>
      </c>
      <c r="J647">
        <v>121220</v>
      </c>
      <c r="K647" t="s">
        <v>7695</v>
      </c>
      <c r="L647" s="1">
        <v>41155</v>
      </c>
      <c r="N647" t="s">
        <v>5127</v>
      </c>
      <c r="O647" t="s">
        <v>2458</v>
      </c>
      <c r="P647" t="s">
        <v>8795</v>
      </c>
      <c r="Q647" t="s">
        <v>39</v>
      </c>
      <c r="R647" t="s">
        <v>40</v>
      </c>
      <c r="S647">
        <v>0</v>
      </c>
      <c r="U647" t="s">
        <v>41</v>
      </c>
      <c r="V647" t="s">
        <v>42</v>
      </c>
      <c r="X647" t="s">
        <v>74</v>
      </c>
      <c r="Y647" t="b">
        <v>0</v>
      </c>
      <c r="Z647" t="b">
        <v>0</v>
      </c>
      <c r="AC647" s="1"/>
      <c r="AF647">
        <v>0</v>
      </c>
      <c r="AG647">
        <v>45</v>
      </c>
      <c r="AH647">
        <v>158</v>
      </c>
      <c r="AI647" s="2">
        <f>Table__192.168.3.138BEWLPPMetaData[[#This Row],[NetAmount]]-Table__192.168.3.138BEWLPPMetaData[[#This Row],[Paid]]</f>
        <v>121220</v>
      </c>
    </row>
    <row r="648" spans="1:35" hidden="1">
      <c r="A648" t="s">
        <v>9768</v>
      </c>
      <c r="B648" s="1">
        <v>41155</v>
      </c>
      <c r="C648" s="1">
        <v>41200</v>
      </c>
      <c r="D648" t="s">
        <v>8794</v>
      </c>
      <c r="E648">
        <v>101400</v>
      </c>
      <c r="F648">
        <v>16224</v>
      </c>
      <c r="G648">
        <v>0</v>
      </c>
      <c r="H648">
        <v>0</v>
      </c>
      <c r="I648">
        <v>113</v>
      </c>
      <c r="J648">
        <v>117624</v>
      </c>
      <c r="K648" t="s">
        <v>7691</v>
      </c>
      <c r="L648" s="1">
        <v>41155</v>
      </c>
      <c r="N648" t="s">
        <v>5127</v>
      </c>
      <c r="O648" t="s">
        <v>2458</v>
      </c>
      <c r="P648" t="s">
        <v>8795</v>
      </c>
      <c r="Q648" t="s">
        <v>39</v>
      </c>
      <c r="R648" t="s">
        <v>40</v>
      </c>
      <c r="S648">
        <v>0</v>
      </c>
      <c r="U648" t="s">
        <v>41</v>
      </c>
      <c r="V648" t="s">
        <v>42</v>
      </c>
      <c r="X648" t="s">
        <v>74</v>
      </c>
      <c r="Y648" t="b">
        <v>0</v>
      </c>
      <c r="Z648" t="b">
        <v>0</v>
      </c>
      <c r="AC648" s="1"/>
      <c r="AF648">
        <v>0</v>
      </c>
      <c r="AG648">
        <v>45</v>
      </c>
      <c r="AH648">
        <v>158</v>
      </c>
      <c r="AI648" s="2">
        <f>Table__192.168.3.138BEWLPPMetaData[[#This Row],[NetAmount]]-Table__192.168.3.138BEWLPPMetaData[[#This Row],[Paid]]</f>
        <v>117624</v>
      </c>
    </row>
    <row r="649" spans="1:35" hidden="1">
      <c r="A649" t="s">
        <v>9769</v>
      </c>
      <c r="B649" s="1">
        <v>41167</v>
      </c>
      <c r="C649" s="1">
        <v>41212</v>
      </c>
      <c r="D649" t="s">
        <v>8794</v>
      </c>
      <c r="E649">
        <v>26000</v>
      </c>
      <c r="F649">
        <v>4160</v>
      </c>
      <c r="G649">
        <v>0</v>
      </c>
      <c r="H649">
        <v>0</v>
      </c>
      <c r="I649">
        <v>101</v>
      </c>
      <c r="J649">
        <v>30160</v>
      </c>
      <c r="K649" t="s">
        <v>9001</v>
      </c>
      <c r="L649" s="1">
        <v>41167</v>
      </c>
      <c r="N649" t="s">
        <v>5127</v>
      </c>
      <c r="O649" t="s">
        <v>2458</v>
      </c>
      <c r="P649" t="s">
        <v>8795</v>
      </c>
      <c r="Q649" t="s">
        <v>39</v>
      </c>
      <c r="R649" t="s">
        <v>40</v>
      </c>
      <c r="S649">
        <v>0</v>
      </c>
      <c r="U649" t="s">
        <v>41</v>
      </c>
      <c r="V649" t="s">
        <v>42</v>
      </c>
      <c r="X649" t="s">
        <v>74</v>
      </c>
      <c r="Y649" t="b">
        <v>0</v>
      </c>
      <c r="Z649" t="b">
        <v>0</v>
      </c>
      <c r="AC649" s="1"/>
      <c r="AF649">
        <v>0</v>
      </c>
      <c r="AG649">
        <v>45</v>
      </c>
      <c r="AH649">
        <v>146</v>
      </c>
      <c r="AI649" s="2">
        <f>Table__192.168.3.138BEWLPPMetaData[[#This Row],[NetAmount]]-Table__192.168.3.138BEWLPPMetaData[[#This Row],[Paid]]</f>
        <v>30160</v>
      </c>
    </row>
    <row r="650" spans="1:35" hidden="1">
      <c r="A650" t="s">
        <v>9770</v>
      </c>
      <c r="B650" s="1">
        <v>41181</v>
      </c>
      <c r="C650" s="1">
        <v>41226</v>
      </c>
      <c r="D650" t="s">
        <v>8794</v>
      </c>
      <c r="E650">
        <v>197600</v>
      </c>
      <c r="F650">
        <v>31616</v>
      </c>
      <c r="G650">
        <v>0</v>
      </c>
      <c r="H650">
        <v>0</v>
      </c>
      <c r="I650">
        <v>87</v>
      </c>
      <c r="J650">
        <v>229216</v>
      </c>
      <c r="K650" t="s">
        <v>1135</v>
      </c>
      <c r="L650" s="1">
        <v>41181</v>
      </c>
      <c r="N650" t="s">
        <v>5127</v>
      </c>
      <c r="O650" t="s">
        <v>2458</v>
      </c>
      <c r="P650" t="s">
        <v>8795</v>
      </c>
      <c r="Q650" t="s">
        <v>39</v>
      </c>
      <c r="R650" t="s">
        <v>40</v>
      </c>
      <c r="S650">
        <v>0</v>
      </c>
      <c r="U650" t="s">
        <v>41</v>
      </c>
      <c r="V650" t="s">
        <v>42</v>
      </c>
      <c r="X650" t="s">
        <v>74</v>
      </c>
      <c r="Y650" t="b">
        <v>0</v>
      </c>
      <c r="Z650" t="b">
        <v>0</v>
      </c>
      <c r="AC650" s="1"/>
      <c r="AF650">
        <v>0</v>
      </c>
      <c r="AG650">
        <v>45</v>
      </c>
      <c r="AH650">
        <v>132</v>
      </c>
      <c r="AI650" s="2">
        <f>Table__192.168.3.138BEWLPPMetaData[[#This Row],[NetAmount]]-Table__192.168.3.138BEWLPPMetaData[[#This Row],[Paid]]</f>
        <v>229216</v>
      </c>
    </row>
    <row r="651" spans="1:35" hidden="1">
      <c r="A651" t="s">
        <v>9771</v>
      </c>
      <c r="B651" s="1">
        <v>41181</v>
      </c>
      <c r="C651" s="1">
        <v>41226</v>
      </c>
      <c r="D651" t="s">
        <v>9713</v>
      </c>
      <c r="E651">
        <v>35690</v>
      </c>
      <c r="F651">
        <v>0</v>
      </c>
      <c r="G651">
        <v>0</v>
      </c>
      <c r="H651">
        <v>0</v>
      </c>
      <c r="I651">
        <v>87</v>
      </c>
      <c r="J651">
        <v>35690</v>
      </c>
      <c r="K651" t="s">
        <v>3392</v>
      </c>
      <c r="L651" s="1">
        <v>41181</v>
      </c>
      <c r="M651" t="s">
        <v>9772</v>
      </c>
      <c r="N651" t="s">
        <v>5127</v>
      </c>
      <c r="O651" t="s">
        <v>2458</v>
      </c>
      <c r="P651" t="s">
        <v>9716</v>
      </c>
      <c r="Q651" t="s">
        <v>39</v>
      </c>
      <c r="R651" t="s">
        <v>40</v>
      </c>
      <c r="S651">
        <v>0</v>
      </c>
      <c r="U651" t="s">
        <v>41</v>
      </c>
      <c r="V651" t="s">
        <v>42</v>
      </c>
      <c r="W651" t="s">
        <v>9717</v>
      </c>
      <c r="X651" t="s">
        <v>74</v>
      </c>
      <c r="Y651" t="b">
        <v>0</v>
      </c>
      <c r="Z651" t="b">
        <v>0</v>
      </c>
      <c r="AA651" t="b">
        <v>0</v>
      </c>
      <c r="AC651" s="1"/>
      <c r="AF651">
        <v>0</v>
      </c>
      <c r="AG651">
        <v>45</v>
      </c>
      <c r="AH651">
        <v>132</v>
      </c>
      <c r="AI651" s="2">
        <f>Table__192.168.3.138BEWLPPMetaData[[#This Row],[NetAmount]]-Table__192.168.3.138BEWLPPMetaData[[#This Row],[Paid]]</f>
        <v>35690</v>
      </c>
    </row>
    <row r="652" spans="1:35" hidden="1">
      <c r="A652" t="s">
        <v>9773</v>
      </c>
      <c r="B652" s="1">
        <v>41167</v>
      </c>
      <c r="C652" s="1">
        <v>41212</v>
      </c>
      <c r="D652" t="s">
        <v>8725</v>
      </c>
      <c r="E652">
        <v>61676</v>
      </c>
      <c r="F652">
        <v>0</v>
      </c>
      <c r="G652">
        <v>0</v>
      </c>
      <c r="H652">
        <v>0</v>
      </c>
      <c r="I652">
        <v>101</v>
      </c>
      <c r="J652">
        <v>61676</v>
      </c>
      <c r="K652" t="s">
        <v>9774</v>
      </c>
      <c r="L652" s="1">
        <v>41167</v>
      </c>
      <c r="N652" t="s">
        <v>5127</v>
      </c>
      <c r="O652" t="s">
        <v>2458</v>
      </c>
      <c r="P652" t="s">
        <v>8727</v>
      </c>
      <c r="Q652" t="s">
        <v>39</v>
      </c>
      <c r="R652" t="s">
        <v>40</v>
      </c>
      <c r="S652">
        <v>0</v>
      </c>
      <c r="U652" t="s">
        <v>41</v>
      </c>
      <c r="V652" t="s">
        <v>42</v>
      </c>
      <c r="X652" t="s">
        <v>74</v>
      </c>
      <c r="Y652" t="b">
        <v>0</v>
      </c>
      <c r="Z652" t="b">
        <v>0</v>
      </c>
      <c r="AC652" s="1"/>
      <c r="AF652">
        <v>0</v>
      </c>
      <c r="AG652">
        <v>45</v>
      </c>
      <c r="AH652">
        <v>146</v>
      </c>
      <c r="AI652" s="2">
        <f>Table__192.168.3.138BEWLPPMetaData[[#This Row],[NetAmount]]-Table__192.168.3.138BEWLPPMetaData[[#This Row],[Paid]]</f>
        <v>61676</v>
      </c>
    </row>
    <row r="653" spans="1:35" hidden="1">
      <c r="A653" t="s">
        <v>9775</v>
      </c>
      <c r="B653" s="1">
        <v>41181</v>
      </c>
      <c r="C653" s="1">
        <v>41226</v>
      </c>
      <c r="D653" t="s">
        <v>8530</v>
      </c>
      <c r="E653">
        <v>53394</v>
      </c>
      <c r="F653">
        <v>8543</v>
      </c>
      <c r="G653">
        <v>0</v>
      </c>
      <c r="H653">
        <v>0</v>
      </c>
      <c r="I653">
        <v>87</v>
      </c>
      <c r="J653">
        <v>61937</v>
      </c>
      <c r="K653" t="s">
        <v>9776</v>
      </c>
      <c r="L653" s="1">
        <v>41181</v>
      </c>
      <c r="N653" t="s">
        <v>5127</v>
      </c>
      <c r="O653" t="s">
        <v>2458</v>
      </c>
      <c r="P653" t="s">
        <v>357</v>
      </c>
      <c r="Q653" t="s">
        <v>39</v>
      </c>
      <c r="R653" t="s">
        <v>40</v>
      </c>
      <c r="S653">
        <v>0</v>
      </c>
      <c r="U653" t="s">
        <v>41</v>
      </c>
      <c r="V653" t="s">
        <v>42</v>
      </c>
      <c r="X653" t="s">
        <v>74</v>
      </c>
      <c r="Y653" t="b">
        <v>0</v>
      </c>
      <c r="Z653" t="b">
        <v>0</v>
      </c>
      <c r="AC653" s="1"/>
      <c r="AF653">
        <v>0</v>
      </c>
      <c r="AG653">
        <v>45</v>
      </c>
      <c r="AH653">
        <v>132</v>
      </c>
      <c r="AI653" s="2">
        <f>Table__192.168.3.138BEWLPPMetaData[[#This Row],[NetAmount]]-Table__192.168.3.138BEWLPPMetaData[[#This Row],[Paid]]</f>
        <v>61937</v>
      </c>
    </row>
    <row r="654" spans="1:35" hidden="1">
      <c r="A654" t="s">
        <v>9777</v>
      </c>
      <c r="B654" s="1">
        <v>41172</v>
      </c>
      <c r="C654" s="1">
        <v>41217</v>
      </c>
      <c r="D654" t="s">
        <v>8527</v>
      </c>
      <c r="E654">
        <v>3500</v>
      </c>
      <c r="F654">
        <v>560</v>
      </c>
      <c r="G654">
        <v>0</v>
      </c>
      <c r="H654">
        <v>0</v>
      </c>
      <c r="I654">
        <v>98</v>
      </c>
      <c r="J654">
        <v>4060</v>
      </c>
      <c r="K654" t="s">
        <v>9778</v>
      </c>
      <c r="L654" s="1">
        <v>41170</v>
      </c>
      <c r="N654" t="s">
        <v>5127</v>
      </c>
      <c r="O654" t="s">
        <v>2458</v>
      </c>
      <c r="P654" t="s">
        <v>8528</v>
      </c>
      <c r="Q654" t="s">
        <v>39</v>
      </c>
      <c r="R654" t="s">
        <v>40</v>
      </c>
      <c r="S654">
        <v>0</v>
      </c>
      <c r="U654" t="s">
        <v>41</v>
      </c>
      <c r="V654" t="s">
        <v>42</v>
      </c>
      <c r="X654" t="s">
        <v>74</v>
      </c>
      <c r="Y654" t="b">
        <v>0</v>
      </c>
      <c r="Z654" t="b">
        <v>0</v>
      </c>
      <c r="AC654" s="1"/>
      <c r="AF654">
        <v>0</v>
      </c>
      <c r="AG654">
        <v>45</v>
      </c>
      <c r="AH654">
        <v>143</v>
      </c>
      <c r="AI654" s="2">
        <f>Table__192.168.3.138BEWLPPMetaData[[#This Row],[NetAmount]]-Table__192.168.3.138BEWLPPMetaData[[#This Row],[Paid]]</f>
        <v>4060</v>
      </c>
    </row>
    <row r="655" spans="1:35" hidden="1">
      <c r="A655" t="s">
        <v>9779</v>
      </c>
      <c r="B655" s="1">
        <v>41167</v>
      </c>
      <c r="C655" s="1">
        <v>41212</v>
      </c>
      <c r="D655" t="s">
        <v>8527</v>
      </c>
      <c r="E655">
        <v>6300</v>
      </c>
      <c r="F655">
        <v>1008</v>
      </c>
      <c r="G655">
        <v>0</v>
      </c>
      <c r="H655">
        <v>0</v>
      </c>
      <c r="I655">
        <v>102</v>
      </c>
      <c r="J655">
        <v>7308</v>
      </c>
      <c r="K655" t="s">
        <v>9780</v>
      </c>
      <c r="L655" s="1">
        <v>41166</v>
      </c>
      <c r="N655" t="s">
        <v>5127</v>
      </c>
      <c r="O655" t="s">
        <v>2458</v>
      </c>
      <c r="P655" t="s">
        <v>8528</v>
      </c>
      <c r="Q655" t="s">
        <v>39</v>
      </c>
      <c r="R655" t="s">
        <v>40</v>
      </c>
      <c r="S655">
        <v>0</v>
      </c>
      <c r="U655" t="s">
        <v>41</v>
      </c>
      <c r="V655" t="s">
        <v>42</v>
      </c>
      <c r="X655" t="s">
        <v>74</v>
      </c>
      <c r="Y655" t="b">
        <v>0</v>
      </c>
      <c r="Z655" t="b">
        <v>0</v>
      </c>
      <c r="AC655" s="1"/>
      <c r="AF655">
        <v>0</v>
      </c>
      <c r="AG655">
        <v>45</v>
      </c>
      <c r="AH655">
        <v>147</v>
      </c>
      <c r="AI655" s="2">
        <f>Table__192.168.3.138BEWLPPMetaData[[#This Row],[NetAmount]]-Table__192.168.3.138BEWLPPMetaData[[#This Row],[Paid]]</f>
        <v>7308</v>
      </c>
    </row>
    <row r="656" spans="1:35" hidden="1">
      <c r="A656" t="s">
        <v>9781</v>
      </c>
      <c r="B656" s="1">
        <v>41178</v>
      </c>
      <c r="C656" s="1">
        <v>41223</v>
      </c>
      <c r="D656" t="s">
        <v>8527</v>
      </c>
      <c r="E656">
        <v>6300</v>
      </c>
      <c r="F656">
        <v>1008</v>
      </c>
      <c r="G656">
        <v>0</v>
      </c>
      <c r="H656">
        <v>0</v>
      </c>
      <c r="I656">
        <v>91</v>
      </c>
      <c r="J656">
        <v>7308</v>
      </c>
      <c r="K656" t="s">
        <v>9782</v>
      </c>
      <c r="L656" s="1">
        <v>41177</v>
      </c>
      <c r="N656" t="s">
        <v>5127</v>
      </c>
      <c r="O656" t="s">
        <v>2458</v>
      </c>
      <c r="P656" t="s">
        <v>8528</v>
      </c>
      <c r="Q656" t="s">
        <v>39</v>
      </c>
      <c r="R656" t="s">
        <v>40</v>
      </c>
      <c r="S656">
        <v>0</v>
      </c>
      <c r="U656" t="s">
        <v>41</v>
      </c>
      <c r="V656" t="s">
        <v>42</v>
      </c>
      <c r="X656" t="s">
        <v>74</v>
      </c>
      <c r="Y656" t="b">
        <v>0</v>
      </c>
      <c r="Z656" t="b">
        <v>0</v>
      </c>
      <c r="AC656" s="1"/>
      <c r="AF656">
        <v>0</v>
      </c>
      <c r="AG656">
        <v>45</v>
      </c>
      <c r="AH656">
        <v>136</v>
      </c>
      <c r="AI656" s="2">
        <f>Table__192.168.3.138BEWLPPMetaData[[#This Row],[NetAmount]]-Table__192.168.3.138BEWLPPMetaData[[#This Row],[Paid]]</f>
        <v>7308</v>
      </c>
    </row>
    <row r="657" spans="1:35" hidden="1">
      <c r="A657" t="s">
        <v>9783</v>
      </c>
      <c r="B657" s="1">
        <v>41163</v>
      </c>
      <c r="C657" s="1">
        <v>41208</v>
      </c>
      <c r="D657" t="s">
        <v>8527</v>
      </c>
      <c r="E657">
        <v>6300</v>
      </c>
      <c r="F657">
        <v>1008</v>
      </c>
      <c r="G657">
        <v>0</v>
      </c>
      <c r="H657">
        <v>0</v>
      </c>
      <c r="I657">
        <v>105</v>
      </c>
      <c r="J657">
        <v>7308</v>
      </c>
      <c r="K657" t="s">
        <v>2714</v>
      </c>
      <c r="L657" s="1">
        <v>41163</v>
      </c>
      <c r="N657" t="s">
        <v>5127</v>
      </c>
      <c r="O657" t="s">
        <v>2458</v>
      </c>
      <c r="P657" t="s">
        <v>8528</v>
      </c>
      <c r="Q657" t="s">
        <v>39</v>
      </c>
      <c r="R657" t="s">
        <v>40</v>
      </c>
      <c r="S657">
        <v>0</v>
      </c>
      <c r="U657" t="s">
        <v>41</v>
      </c>
      <c r="V657" t="s">
        <v>42</v>
      </c>
      <c r="X657" t="s">
        <v>74</v>
      </c>
      <c r="Y657" t="b">
        <v>0</v>
      </c>
      <c r="Z657" t="b">
        <v>0</v>
      </c>
      <c r="AC657" s="1"/>
      <c r="AF657">
        <v>0</v>
      </c>
      <c r="AG657">
        <v>45</v>
      </c>
      <c r="AH657">
        <v>150</v>
      </c>
      <c r="AI657" s="2">
        <f>Table__192.168.3.138BEWLPPMetaData[[#This Row],[NetAmount]]-Table__192.168.3.138BEWLPPMetaData[[#This Row],[Paid]]</f>
        <v>7308</v>
      </c>
    </row>
    <row r="658" spans="1:35" hidden="1">
      <c r="A658" t="s">
        <v>9784</v>
      </c>
      <c r="B658" s="1">
        <v>41181</v>
      </c>
      <c r="C658" s="1">
        <v>41181</v>
      </c>
      <c r="D658" t="s">
        <v>9519</v>
      </c>
      <c r="E658">
        <v>24000</v>
      </c>
      <c r="F658">
        <v>3840</v>
      </c>
      <c r="G658">
        <v>0</v>
      </c>
      <c r="H658">
        <v>0</v>
      </c>
      <c r="I658">
        <v>0</v>
      </c>
      <c r="J658">
        <v>27840</v>
      </c>
      <c r="K658" t="s">
        <v>9056</v>
      </c>
      <c r="L658" s="1">
        <v>41179</v>
      </c>
      <c r="N658" t="s">
        <v>5127</v>
      </c>
      <c r="O658" t="s">
        <v>2458</v>
      </c>
      <c r="P658" t="s">
        <v>433</v>
      </c>
      <c r="Q658" t="s">
        <v>39</v>
      </c>
      <c r="R658" t="s">
        <v>40</v>
      </c>
      <c r="S658">
        <v>0</v>
      </c>
      <c r="U658" t="s">
        <v>41</v>
      </c>
      <c r="V658" t="s">
        <v>42</v>
      </c>
      <c r="X658" t="s">
        <v>74</v>
      </c>
      <c r="Y658" t="b">
        <v>0</v>
      </c>
      <c r="Z658" t="b">
        <v>0</v>
      </c>
      <c r="AC658" s="1"/>
      <c r="AF658">
        <v>0</v>
      </c>
      <c r="AH658">
        <v>134</v>
      </c>
      <c r="AI658" s="2">
        <f>Table__192.168.3.138BEWLPPMetaData[[#This Row],[NetAmount]]-Table__192.168.3.138BEWLPPMetaData[[#This Row],[Paid]]</f>
        <v>27840</v>
      </c>
    </row>
    <row r="659" spans="1:35" hidden="1">
      <c r="A659" t="s">
        <v>9785</v>
      </c>
      <c r="B659" s="1">
        <v>41158</v>
      </c>
      <c r="C659" s="1">
        <v>41203</v>
      </c>
      <c r="D659" t="s">
        <v>8527</v>
      </c>
      <c r="E659">
        <v>9800</v>
      </c>
      <c r="F659">
        <v>1568</v>
      </c>
      <c r="G659">
        <v>0</v>
      </c>
      <c r="H659">
        <v>0</v>
      </c>
      <c r="I659">
        <v>110</v>
      </c>
      <c r="J659">
        <v>11368</v>
      </c>
      <c r="K659" t="s">
        <v>1507</v>
      </c>
      <c r="L659" s="1">
        <v>41158</v>
      </c>
      <c r="N659" t="s">
        <v>5127</v>
      </c>
      <c r="O659" t="s">
        <v>2458</v>
      </c>
      <c r="P659" t="s">
        <v>8528</v>
      </c>
      <c r="Q659" t="s">
        <v>39</v>
      </c>
      <c r="R659" t="s">
        <v>40</v>
      </c>
      <c r="S659">
        <v>0</v>
      </c>
      <c r="U659" t="s">
        <v>41</v>
      </c>
      <c r="V659" t="s">
        <v>42</v>
      </c>
      <c r="X659" t="s">
        <v>74</v>
      </c>
      <c r="Y659" t="b">
        <v>0</v>
      </c>
      <c r="Z659" t="b">
        <v>0</v>
      </c>
      <c r="AC659" s="1"/>
      <c r="AF659">
        <v>0</v>
      </c>
      <c r="AG659">
        <v>45</v>
      </c>
      <c r="AH659">
        <v>155</v>
      </c>
      <c r="AI659" s="2">
        <f>Table__192.168.3.138BEWLPPMetaData[[#This Row],[NetAmount]]-Table__192.168.3.138BEWLPPMetaData[[#This Row],[Paid]]</f>
        <v>11368</v>
      </c>
    </row>
    <row r="660" spans="1:35" hidden="1">
      <c r="A660" t="s">
        <v>9786</v>
      </c>
      <c r="B660" s="1">
        <v>41163</v>
      </c>
      <c r="C660" s="1">
        <v>41208</v>
      </c>
      <c r="D660" t="s">
        <v>9150</v>
      </c>
      <c r="E660">
        <v>13430</v>
      </c>
      <c r="F660">
        <v>2149</v>
      </c>
      <c r="G660">
        <v>0</v>
      </c>
      <c r="H660">
        <v>0</v>
      </c>
      <c r="I660">
        <v>90</v>
      </c>
      <c r="J660">
        <v>15579</v>
      </c>
      <c r="K660" t="s">
        <v>3047</v>
      </c>
      <c r="L660" s="1">
        <v>41178</v>
      </c>
      <c r="N660" t="s">
        <v>5127</v>
      </c>
      <c r="O660" t="s">
        <v>2458</v>
      </c>
      <c r="P660" t="s">
        <v>423</v>
      </c>
      <c r="Q660" t="s">
        <v>39</v>
      </c>
      <c r="R660" t="s">
        <v>40</v>
      </c>
      <c r="S660">
        <v>0</v>
      </c>
      <c r="U660" t="s">
        <v>41</v>
      </c>
      <c r="V660" t="s">
        <v>42</v>
      </c>
      <c r="X660" t="s">
        <v>74</v>
      </c>
      <c r="Y660" t="b">
        <v>0</v>
      </c>
      <c r="Z660" t="b">
        <v>0</v>
      </c>
      <c r="AC660" s="1"/>
      <c r="AF660">
        <v>0</v>
      </c>
      <c r="AG660">
        <v>45</v>
      </c>
      <c r="AH660">
        <v>135</v>
      </c>
      <c r="AI660" s="2">
        <f>Table__192.168.3.138BEWLPPMetaData[[#This Row],[NetAmount]]-Table__192.168.3.138BEWLPPMetaData[[#This Row],[Paid]]</f>
        <v>15579</v>
      </c>
    </row>
    <row r="661" spans="1:35" hidden="1">
      <c r="A661" t="s">
        <v>9787</v>
      </c>
      <c r="B661" s="1">
        <v>41191</v>
      </c>
      <c r="C661" s="1">
        <v>41236</v>
      </c>
      <c r="D661" t="s">
        <v>8524</v>
      </c>
      <c r="E661">
        <v>9296</v>
      </c>
      <c r="F661">
        <v>1488</v>
      </c>
      <c r="G661">
        <v>0</v>
      </c>
      <c r="H661">
        <v>0</v>
      </c>
      <c r="I661">
        <v>91</v>
      </c>
      <c r="J661">
        <v>10784</v>
      </c>
      <c r="K661" t="s">
        <v>9146</v>
      </c>
      <c r="L661" s="1">
        <v>41177</v>
      </c>
      <c r="N661" t="s">
        <v>5127</v>
      </c>
      <c r="O661" t="s">
        <v>2458</v>
      </c>
      <c r="P661" t="s">
        <v>8525</v>
      </c>
      <c r="Q661" t="s">
        <v>39</v>
      </c>
      <c r="R661" t="s">
        <v>40</v>
      </c>
      <c r="S661">
        <v>0</v>
      </c>
      <c r="U661" t="s">
        <v>41</v>
      </c>
      <c r="V661" t="s">
        <v>42</v>
      </c>
      <c r="X661" t="s">
        <v>74</v>
      </c>
      <c r="Y661" t="b">
        <v>0</v>
      </c>
      <c r="Z661" t="b">
        <v>0</v>
      </c>
      <c r="AC661" s="1"/>
      <c r="AF661">
        <v>0</v>
      </c>
      <c r="AG661">
        <v>45</v>
      </c>
      <c r="AH661">
        <v>136</v>
      </c>
      <c r="AI661" s="2">
        <f>Table__192.168.3.138BEWLPPMetaData[[#This Row],[NetAmount]]-Table__192.168.3.138BEWLPPMetaData[[#This Row],[Paid]]</f>
        <v>10784</v>
      </c>
    </row>
    <row r="662" spans="1:35" hidden="1">
      <c r="A662" t="s">
        <v>9788</v>
      </c>
      <c r="B662" s="1">
        <v>41190</v>
      </c>
      <c r="C662" s="1">
        <v>41235</v>
      </c>
      <c r="D662" t="s">
        <v>8993</v>
      </c>
      <c r="E662">
        <v>124350</v>
      </c>
      <c r="F662">
        <v>19896</v>
      </c>
      <c r="G662">
        <v>0</v>
      </c>
      <c r="H662">
        <v>0</v>
      </c>
      <c r="I662">
        <v>108</v>
      </c>
      <c r="J662">
        <v>144246</v>
      </c>
      <c r="K662" t="s">
        <v>3433</v>
      </c>
      <c r="L662" s="1">
        <v>41160</v>
      </c>
      <c r="N662" t="s">
        <v>5127</v>
      </c>
      <c r="O662" t="s">
        <v>2458</v>
      </c>
      <c r="P662" t="s">
        <v>365</v>
      </c>
      <c r="Q662" t="s">
        <v>39</v>
      </c>
      <c r="R662" t="s">
        <v>40</v>
      </c>
      <c r="S662">
        <v>0</v>
      </c>
      <c r="U662" t="s">
        <v>41</v>
      </c>
      <c r="V662" t="s">
        <v>42</v>
      </c>
      <c r="X662" t="s">
        <v>74</v>
      </c>
      <c r="Y662" t="b">
        <v>0</v>
      </c>
      <c r="Z662" t="b">
        <v>0</v>
      </c>
      <c r="AC662" s="1"/>
      <c r="AF662">
        <v>0</v>
      </c>
      <c r="AG662">
        <v>45</v>
      </c>
      <c r="AH662">
        <v>153</v>
      </c>
      <c r="AI662" s="2">
        <f>Table__192.168.3.138BEWLPPMetaData[[#This Row],[NetAmount]]-Table__192.168.3.138BEWLPPMetaData[[#This Row],[Paid]]</f>
        <v>144246</v>
      </c>
    </row>
    <row r="663" spans="1:35" hidden="1">
      <c r="A663" t="s">
        <v>9789</v>
      </c>
      <c r="B663" s="1">
        <v>41191</v>
      </c>
      <c r="C663" s="1">
        <v>41236</v>
      </c>
      <c r="D663" t="s">
        <v>8530</v>
      </c>
      <c r="E663">
        <v>6300</v>
      </c>
      <c r="F663">
        <v>1008</v>
      </c>
      <c r="G663">
        <v>0</v>
      </c>
      <c r="H663">
        <v>0</v>
      </c>
      <c r="I663">
        <v>80</v>
      </c>
      <c r="J663">
        <v>7308</v>
      </c>
      <c r="K663" t="s">
        <v>9790</v>
      </c>
      <c r="L663" s="1">
        <v>41188</v>
      </c>
      <c r="N663" t="s">
        <v>5127</v>
      </c>
      <c r="O663" t="s">
        <v>2458</v>
      </c>
      <c r="P663" t="s">
        <v>357</v>
      </c>
      <c r="Q663" t="s">
        <v>39</v>
      </c>
      <c r="R663" t="s">
        <v>40</v>
      </c>
      <c r="S663">
        <v>0</v>
      </c>
      <c r="U663" t="s">
        <v>41</v>
      </c>
      <c r="V663" t="s">
        <v>42</v>
      </c>
      <c r="X663" t="s">
        <v>74</v>
      </c>
      <c r="Y663" t="b">
        <v>0</v>
      </c>
      <c r="Z663" t="b">
        <v>0</v>
      </c>
      <c r="AC663" s="1"/>
      <c r="AF663">
        <v>0</v>
      </c>
      <c r="AG663">
        <v>45</v>
      </c>
      <c r="AH663">
        <v>125</v>
      </c>
      <c r="AI663" s="2">
        <f>Table__192.168.3.138BEWLPPMetaData[[#This Row],[NetAmount]]-Table__192.168.3.138BEWLPPMetaData[[#This Row],[Paid]]</f>
        <v>7308</v>
      </c>
    </row>
    <row r="664" spans="1:35" hidden="1">
      <c r="A664" t="s">
        <v>9791</v>
      </c>
      <c r="B664" s="1">
        <v>41191</v>
      </c>
      <c r="C664" s="1">
        <v>41236</v>
      </c>
      <c r="D664" t="s">
        <v>8530</v>
      </c>
      <c r="E664">
        <v>374499</v>
      </c>
      <c r="F664">
        <v>59919</v>
      </c>
      <c r="G664">
        <v>0</v>
      </c>
      <c r="H664">
        <v>0</v>
      </c>
      <c r="I664">
        <v>82</v>
      </c>
      <c r="J664">
        <v>434418</v>
      </c>
      <c r="K664" t="s">
        <v>9792</v>
      </c>
      <c r="L664" s="1">
        <v>41186</v>
      </c>
      <c r="N664" t="s">
        <v>5127</v>
      </c>
      <c r="O664" t="s">
        <v>2458</v>
      </c>
      <c r="P664" t="s">
        <v>357</v>
      </c>
      <c r="Q664" t="s">
        <v>39</v>
      </c>
      <c r="R664" t="s">
        <v>40</v>
      </c>
      <c r="S664">
        <v>0</v>
      </c>
      <c r="U664" t="s">
        <v>41</v>
      </c>
      <c r="V664" t="s">
        <v>42</v>
      </c>
      <c r="X664" t="s">
        <v>74</v>
      </c>
      <c r="Y664" t="b">
        <v>0</v>
      </c>
      <c r="Z664" t="b">
        <v>0</v>
      </c>
      <c r="AC664" s="1"/>
      <c r="AF664">
        <v>0</v>
      </c>
      <c r="AG664">
        <v>45</v>
      </c>
      <c r="AH664">
        <v>127</v>
      </c>
      <c r="AI664" s="2">
        <f>Table__192.168.3.138BEWLPPMetaData[[#This Row],[NetAmount]]-Table__192.168.3.138BEWLPPMetaData[[#This Row],[Paid]]</f>
        <v>434418</v>
      </c>
    </row>
    <row r="665" spans="1:35" hidden="1">
      <c r="A665" t="s">
        <v>9793</v>
      </c>
      <c r="B665" s="1">
        <v>41191</v>
      </c>
      <c r="C665" s="1">
        <v>41236</v>
      </c>
      <c r="D665" t="s">
        <v>8530</v>
      </c>
      <c r="E665">
        <v>72742</v>
      </c>
      <c r="F665">
        <v>11639</v>
      </c>
      <c r="G665">
        <v>0</v>
      </c>
      <c r="H665">
        <v>0</v>
      </c>
      <c r="I665">
        <v>84</v>
      </c>
      <c r="J665">
        <v>84381</v>
      </c>
      <c r="K665" t="s">
        <v>9794</v>
      </c>
      <c r="L665" s="1">
        <v>41184</v>
      </c>
      <c r="N665" t="s">
        <v>5127</v>
      </c>
      <c r="O665" t="s">
        <v>2458</v>
      </c>
      <c r="P665" t="s">
        <v>357</v>
      </c>
      <c r="Q665" t="s">
        <v>39</v>
      </c>
      <c r="R665" t="s">
        <v>40</v>
      </c>
      <c r="S665">
        <v>0</v>
      </c>
      <c r="U665" t="s">
        <v>41</v>
      </c>
      <c r="V665" t="s">
        <v>42</v>
      </c>
      <c r="X665" t="s">
        <v>74</v>
      </c>
      <c r="Y665" t="b">
        <v>0</v>
      </c>
      <c r="Z665" t="b">
        <v>0</v>
      </c>
      <c r="AC665" s="1"/>
      <c r="AF665">
        <v>0</v>
      </c>
      <c r="AG665">
        <v>45</v>
      </c>
      <c r="AH665">
        <v>129</v>
      </c>
      <c r="AI665" s="2">
        <f>Table__192.168.3.138BEWLPPMetaData[[#This Row],[NetAmount]]-Table__192.168.3.138BEWLPPMetaData[[#This Row],[Paid]]</f>
        <v>84381</v>
      </c>
    </row>
    <row r="666" spans="1:35" hidden="1">
      <c r="A666" t="s">
        <v>9795</v>
      </c>
      <c r="B666" s="1">
        <v>41200</v>
      </c>
      <c r="C666" s="1">
        <v>41245</v>
      </c>
      <c r="D666" t="s">
        <v>8530</v>
      </c>
      <c r="E666">
        <v>168755</v>
      </c>
      <c r="F666">
        <v>27001</v>
      </c>
      <c r="G666">
        <v>0</v>
      </c>
      <c r="H666">
        <v>0</v>
      </c>
      <c r="I666">
        <v>73</v>
      </c>
      <c r="J666">
        <v>195756</v>
      </c>
      <c r="K666" t="s">
        <v>9796</v>
      </c>
      <c r="L666" s="1">
        <v>41195</v>
      </c>
      <c r="N666" t="s">
        <v>5127</v>
      </c>
      <c r="O666" t="s">
        <v>2458</v>
      </c>
      <c r="P666" t="s">
        <v>357</v>
      </c>
      <c r="Q666" t="s">
        <v>39</v>
      </c>
      <c r="R666" t="s">
        <v>40</v>
      </c>
      <c r="S666">
        <v>0</v>
      </c>
      <c r="U666" t="s">
        <v>41</v>
      </c>
      <c r="V666" t="s">
        <v>42</v>
      </c>
      <c r="X666" t="s">
        <v>74</v>
      </c>
      <c r="Y666" t="b">
        <v>0</v>
      </c>
      <c r="Z666" t="b">
        <v>0</v>
      </c>
      <c r="AC666" s="1"/>
      <c r="AF666">
        <v>0</v>
      </c>
      <c r="AG666">
        <v>45</v>
      </c>
      <c r="AH666">
        <v>118</v>
      </c>
      <c r="AI666" s="2">
        <f>Table__192.168.3.138BEWLPPMetaData[[#This Row],[NetAmount]]-Table__192.168.3.138BEWLPPMetaData[[#This Row],[Paid]]</f>
        <v>195756</v>
      </c>
    </row>
    <row r="667" spans="1:35" hidden="1">
      <c r="A667" t="s">
        <v>9797</v>
      </c>
      <c r="B667" s="1">
        <v>41191</v>
      </c>
      <c r="C667" s="1">
        <v>41236</v>
      </c>
      <c r="D667" t="s">
        <v>8530</v>
      </c>
      <c r="E667">
        <v>194482</v>
      </c>
      <c r="F667">
        <v>31117</v>
      </c>
      <c r="G667">
        <v>0</v>
      </c>
      <c r="H667">
        <v>0</v>
      </c>
      <c r="I667">
        <v>80</v>
      </c>
      <c r="J667">
        <v>225599</v>
      </c>
      <c r="K667" t="s">
        <v>7477</v>
      </c>
      <c r="L667" s="1">
        <v>41188</v>
      </c>
      <c r="N667" t="s">
        <v>5127</v>
      </c>
      <c r="O667" t="s">
        <v>2458</v>
      </c>
      <c r="P667" t="s">
        <v>357</v>
      </c>
      <c r="Q667" t="s">
        <v>39</v>
      </c>
      <c r="R667" t="s">
        <v>40</v>
      </c>
      <c r="S667">
        <v>0</v>
      </c>
      <c r="U667" t="s">
        <v>41</v>
      </c>
      <c r="V667" t="s">
        <v>42</v>
      </c>
      <c r="X667" t="s">
        <v>74</v>
      </c>
      <c r="Y667" t="b">
        <v>0</v>
      </c>
      <c r="Z667" t="b">
        <v>0</v>
      </c>
      <c r="AC667" s="1"/>
      <c r="AF667">
        <v>0</v>
      </c>
      <c r="AG667">
        <v>45</v>
      </c>
      <c r="AH667">
        <v>125</v>
      </c>
      <c r="AI667" s="2">
        <f>Table__192.168.3.138BEWLPPMetaData[[#This Row],[NetAmount]]-Table__192.168.3.138BEWLPPMetaData[[#This Row],[Paid]]</f>
        <v>225599</v>
      </c>
    </row>
    <row r="668" spans="1:35" hidden="1">
      <c r="A668" t="s">
        <v>9798</v>
      </c>
      <c r="B668" s="1">
        <v>41191</v>
      </c>
      <c r="C668" s="1">
        <v>41236</v>
      </c>
      <c r="D668" t="s">
        <v>8530</v>
      </c>
      <c r="E668">
        <v>55315</v>
      </c>
      <c r="F668">
        <v>8850</v>
      </c>
      <c r="G668">
        <v>0</v>
      </c>
      <c r="H668">
        <v>0</v>
      </c>
      <c r="I668">
        <v>78</v>
      </c>
      <c r="J668">
        <v>64165</v>
      </c>
      <c r="K668" t="s">
        <v>9799</v>
      </c>
      <c r="L668" s="1">
        <v>41190</v>
      </c>
      <c r="N668" t="s">
        <v>5127</v>
      </c>
      <c r="O668" t="s">
        <v>2458</v>
      </c>
      <c r="P668" t="s">
        <v>357</v>
      </c>
      <c r="Q668" t="s">
        <v>39</v>
      </c>
      <c r="R668" t="s">
        <v>40</v>
      </c>
      <c r="S668">
        <v>0</v>
      </c>
      <c r="U668" t="s">
        <v>41</v>
      </c>
      <c r="V668" t="s">
        <v>42</v>
      </c>
      <c r="X668" t="s">
        <v>74</v>
      </c>
      <c r="Y668" t="b">
        <v>0</v>
      </c>
      <c r="Z668" t="b">
        <v>0</v>
      </c>
      <c r="AC668" s="1"/>
      <c r="AF668">
        <v>0</v>
      </c>
      <c r="AG668">
        <v>45</v>
      </c>
      <c r="AH668">
        <v>123</v>
      </c>
      <c r="AI668" s="2">
        <f>Table__192.168.3.138BEWLPPMetaData[[#This Row],[NetAmount]]-Table__192.168.3.138BEWLPPMetaData[[#This Row],[Paid]]</f>
        <v>64165</v>
      </c>
    </row>
    <row r="669" spans="1:35" hidden="1">
      <c r="A669" t="s">
        <v>9800</v>
      </c>
      <c r="B669" s="1">
        <v>41193</v>
      </c>
      <c r="C669" s="1">
        <v>41238</v>
      </c>
      <c r="D669" t="s">
        <v>8538</v>
      </c>
      <c r="E669">
        <v>4225</v>
      </c>
      <c r="F669">
        <v>676</v>
      </c>
      <c r="G669">
        <v>0</v>
      </c>
      <c r="H669">
        <v>0</v>
      </c>
      <c r="I669">
        <v>84</v>
      </c>
      <c r="J669">
        <v>4901</v>
      </c>
      <c r="K669" t="s">
        <v>5767</v>
      </c>
      <c r="L669" s="1">
        <v>41184</v>
      </c>
      <c r="N669" t="s">
        <v>5127</v>
      </c>
      <c r="O669" t="s">
        <v>2458</v>
      </c>
      <c r="P669" t="s">
        <v>310</v>
      </c>
      <c r="Q669" t="s">
        <v>39</v>
      </c>
      <c r="R669" t="s">
        <v>40</v>
      </c>
      <c r="S669">
        <v>0</v>
      </c>
      <c r="U669" t="s">
        <v>41</v>
      </c>
      <c r="V669" t="s">
        <v>42</v>
      </c>
      <c r="X669" t="s">
        <v>74</v>
      </c>
      <c r="Y669" t="b">
        <v>0</v>
      </c>
      <c r="Z669" t="b">
        <v>0</v>
      </c>
      <c r="AC669" s="1"/>
      <c r="AF669">
        <v>0</v>
      </c>
      <c r="AG669">
        <v>45</v>
      </c>
      <c r="AH669">
        <v>129</v>
      </c>
      <c r="AI669" s="2">
        <f>Table__192.168.3.138BEWLPPMetaData[[#This Row],[NetAmount]]-Table__192.168.3.138BEWLPPMetaData[[#This Row],[Paid]]</f>
        <v>4901</v>
      </c>
    </row>
    <row r="670" spans="1:35" hidden="1">
      <c r="A670" t="s">
        <v>9801</v>
      </c>
      <c r="B670" s="1">
        <v>41200</v>
      </c>
      <c r="C670" s="1">
        <v>41245</v>
      </c>
      <c r="D670" t="s">
        <v>8530</v>
      </c>
      <c r="E670">
        <v>94701</v>
      </c>
      <c r="F670">
        <v>15152</v>
      </c>
      <c r="G670">
        <v>0</v>
      </c>
      <c r="H670">
        <v>0</v>
      </c>
      <c r="I670">
        <v>76</v>
      </c>
      <c r="J670">
        <v>109853</v>
      </c>
      <c r="K670" t="s">
        <v>9802</v>
      </c>
      <c r="L670" s="1">
        <v>41192</v>
      </c>
      <c r="N670" t="s">
        <v>5127</v>
      </c>
      <c r="O670" t="s">
        <v>2458</v>
      </c>
      <c r="P670" t="s">
        <v>357</v>
      </c>
      <c r="Q670" t="s">
        <v>39</v>
      </c>
      <c r="R670" t="s">
        <v>40</v>
      </c>
      <c r="S670">
        <v>0</v>
      </c>
      <c r="U670" t="s">
        <v>41</v>
      </c>
      <c r="V670" t="s">
        <v>42</v>
      </c>
      <c r="X670" t="s">
        <v>74</v>
      </c>
      <c r="Y670" t="b">
        <v>0</v>
      </c>
      <c r="Z670" t="b">
        <v>0</v>
      </c>
      <c r="AC670" s="1"/>
      <c r="AF670">
        <v>0</v>
      </c>
      <c r="AG670">
        <v>45</v>
      </c>
      <c r="AH670">
        <v>121</v>
      </c>
      <c r="AI670" s="2">
        <f>Table__192.168.3.138BEWLPPMetaData[[#This Row],[NetAmount]]-Table__192.168.3.138BEWLPPMetaData[[#This Row],[Paid]]</f>
        <v>109853</v>
      </c>
    </row>
    <row r="671" spans="1:35" hidden="1">
      <c r="A671" t="s">
        <v>9803</v>
      </c>
      <c r="B671" s="1">
        <v>41202</v>
      </c>
      <c r="C671" s="1">
        <v>41247</v>
      </c>
      <c r="D671" t="s">
        <v>8524</v>
      </c>
      <c r="E671">
        <v>22000</v>
      </c>
      <c r="F671">
        <v>3520</v>
      </c>
      <c r="G671">
        <v>0</v>
      </c>
      <c r="H671">
        <v>0</v>
      </c>
      <c r="I671">
        <v>70</v>
      </c>
      <c r="J671">
        <v>25520</v>
      </c>
      <c r="K671" t="s">
        <v>9804</v>
      </c>
      <c r="L671" s="1">
        <v>41198</v>
      </c>
      <c r="N671" t="s">
        <v>5127</v>
      </c>
      <c r="O671" t="s">
        <v>2458</v>
      </c>
      <c r="P671" t="s">
        <v>8525</v>
      </c>
      <c r="Q671" t="s">
        <v>39</v>
      </c>
      <c r="R671" t="s">
        <v>40</v>
      </c>
      <c r="S671">
        <v>0</v>
      </c>
      <c r="U671" t="s">
        <v>41</v>
      </c>
      <c r="V671" t="s">
        <v>42</v>
      </c>
      <c r="X671" t="s">
        <v>74</v>
      </c>
      <c r="Y671" t="b">
        <v>0</v>
      </c>
      <c r="Z671" t="b">
        <v>0</v>
      </c>
      <c r="AC671" s="1"/>
      <c r="AF671">
        <v>0</v>
      </c>
      <c r="AG671">
        <v>45</v>
      </c>
      <c r="AH671">
        <v>115</v>
      </c>
      <c r="AI671" s="2">
        <f>Table__192.168.3.138BEWLPPMetaData[[#This Row],[NetAmount]]-Table__192.168.3.138BEWLPPMetaData[[#This Row],[Paid]]</f>
        <v>25520</v>
      </c>
    </row>
    <row r="672" spans="1:35" hidden="1">
      <c r="A672" t="s">
        <v>9805</v>
      </c>
      <c r="B672" s="1">
        <v>41200</v>
      </c>
      <c r="C672" s="1">
        <v>41245</v>
      </c>
      <c r="D672" t="s">
        <v>8611</v>
      </c>
      <c r="E672">
        <v>12375</v>
      </c>
      <c r="F672">
        <v>1980</v>
      </c>
      <c r="G672">
        <v>0</v>
      </c>
      <c r="H672">
        <v>0</v>
      </c>
      <c r="I672">
        <v>74</v>
      </c>
      <c r="J672">
        <v>14355</v>
      </c>
      <c r="K672" t="s">
        <v>9806</v>
      </c>
      <c r="L672" s="1">
        <v>41194</v>
      </c>
      <c r="N672" t="s">
        <v>5127</v>
      </c>
      <c r="O672" t="s">
        <v>2458</v>
      </c>
      <c r="P672" t="s">
        <v>8612</v>
      </c>
      <c r="Q672" t="s">
        <v>39</v>
      </c>
      <c r="R672" t="s">
        <v>40</v>
      </c>
      <c r="S672">
        <v>0</v>
      </c>
      <c r="U672" t="s">
        <v>41</v>
      </c>
      <c r="V672" t="s">
        <v>42</v>
      </c>
      <c r="X672" t="s">
        <v>74</v>
      </c>
      <c r="Y672" t="b">
        <v>0</v>
      </c>
      <c r="Z672" t="b">
        <v>0</v>
      </c>
      <c r="AC672" s="1"/>
      <c r="AF672">
        <v>0</v>
      </c>
      <c r="AG672">
        <v>45</v>
      </c>
      <c r="AH672">
        <v>119</v>
      </c>
      <c r="AI672" s="2">
        <f>Table__192.168.3.138BEWLPPMetaData[[#This Row],[NetAmount]]-Table__192.168.3.138BEWLPPMetaData[[#This Row],[Paid]]</f>
        <v>14355</v>
      </c>
    </row>
    <row r="673" spans="1:35" hidden="1">
      <c r="A673" t="s">
        <v>9807</v>
      </c>
      <c r="B673" s="1">
        <v>41198</v>
      </c>
      <c r="C673" s="1">
        <v>41243</v>
      </c>
      <c r="D673" t="s">
        <v>8910</v>
      </c>
      <c r="E673">
        <v>20120</v>
      </c>
      <c r="F673">
        <v>3219</v>
      </c>
      <c r="G673">
        <v>0</v>
      </c>
      <c r="H673">
        <v>0</v>
      </c>
      <c r="I673">
        <v>76</v>
      </c>
      <c r="J673">
        <v>23339</v>
      </c>
      <c r="K673" t="s">
        <v>9808</v>
      </c>
      <c r="L673" s="1">
        <v>41192</v>
      </c>
      <c r="N673" t="s">
        <v>5127</v>
      </c>
      <c r="O673" t="s">
        <v>2458</v>
      </c>
      <c r="P673" t="s">
        <v>392</v>
      </c>
      <c r="Q673" t="s">
        <v>39</v>
      </c>
      <c r="R673" t="s">
        <v>40</v>
      </c>
      <c r="S673">
        <v>0</v>
      </c>
      <c r="U673" t="s">
        <v>41</v>
      </c>
      <c r="V673" t="s">
        <v>42</v>
      </c>
      <c r="X673" t="s">
        <v>74</v>
      </c>
      <c r="Y673" t="b">
        <v>0</v>
      </c>
      <c r="Z673" t="b">
        <v>0</v>
      </c>
      <c r="AC673" s="1"/>
      <c r="AF673">
        <v>0</v>
      </c>
      <c r="AG673">
        <v>45</v>
      </c>
      <c r="AH673">
        <v>121</v>
      </c>
      <c r="AI673" s="2">
        <f>Table__192.168.3.138BEWLPPMetaData[[#This Row],[NetAmount]]-Table__192.168.3.138BEWLPPMetaData[[#This Row],[Paid]]</f>
        <v>23339</v>
      </c>
    </row>
    <row r="674" spans="1:35" hidden="1">
      <c r="A674" t="s">
        <v>9809</v>
      </c>
      <c r="B674" s="1">
        <v>41195</v>
      </c>
      <c r="C674" s="1">
        <v>41240</v>
      </c>
      <c r="D674" t="s">
        <v>8524</v>
      </c>
      <c r="E674">
        <v>11000</v>
      </c>
      <c r="F674">
        <v>1760</v>
      </c>
      <c r="G674">
        <v>0</v>
      </c>
      <c r="H674">
        <v>0</v>
      </c>
      <c r="I674">
        <v>73</v>
      </c>
      <c r="J674">
        <v>12760</v>
      </c>
      <c r="K674" t="s">
        <v>4064</v>
      </c>
      <c r="L674" s="1">
        <v>41195</v>
      </c>
      <c r="N674" t="s">
        <v>5127</v>
      </c>
      <c r="O674" t="s">
        <v>2458</v>
      </c>
      <c r="P674" t="s">
        <v>8525</v>
      </c>
      <c r="Q674" t="s">
        <v>39</v>
      </c>
      <c r="R674" t="s">
        <v>40</v>
      </c>
      <c r="S674">
        <v>0</v>
      </c>
      <c r="U674" t="s">
        <v>41</v>
      </c>
      <c r="V674" t="s">
        <v>42</v>
      </c>
      <c r="X674" t="s">
        <v>74</v>
      </c>
      <c r="Y674" t="b">
        <v>0</v>
      </c>
      <c r="Z674" t="b">
        <v>0</v>
      </c>
      <c r="AC674" s="1"/>
      <c r="AF674">
        <v>0</v>
      </c>
      <c r="AG674">
        <v>45</v>
      </c>
      <c r="AH674">
        <v>118</v>
      </c>
      <c r="AI674" s="2">
        <f>Table__192.168.3.138BEWLPPMetaData[[#This Row],[NetAmount]]-Table__192.168.3.138BEWLPPMetaData[[#This Row],[Paid]]</f>
        <v>12760</v>
      </c>
    </row>
    <row r="675" spans="1:35" hidden="1">
      <c r="A675" t="s">
        <v>9810</v>
      </c>
      <c r="B675" s="1">
        <v>41207</v>
      </c>
      <c r="C675" s="1">
        <v>41252</v>
      </c>
      <c r="D675" t="s">
        <v>8603</v>
      </c>
      <c r="E675">
        <v>57200</v>
      </c>
      <c r="F675">
        <v>9152</v>
      </c>
      <c r="G675">
        <v>0</v>
      </c>
      <c r="H675">
        <v>0</v>
      </c>
      <c r="I675">
        <v>62</v>
      </c>
      <c r="J675">
        <v>66352</v>
      </c>
      <c r="K675" t="s">
        <v>9811</v>
      </c>
      <c r="L675" s="1">
        <v>41206</v>
      </c>
      <c r="N675" t="s">
        <v>5127</v>
      </c>
      <c r="O675" t="s">
        <v>2458</v>
      </c>
      <c r="P675" t="s">
        <v>304</v>
      </c>
      <c r="Q675" t="s">
        <v>39</v>
      </c>
      <c r="R675" t="s">
        <v>40</v>
      </c>
      <c r="S675">
        <v>0</v>
      </c>
      <c r="U675" t="s">
        <v>41</v>
      </c>
      <c r="V675" t="s">
        <v>42</v>
      </c>
      <c r="X675" t="s">
        <v>74</v>
      </c>
      <c r="Y675" t="b">
        <v>0</v>
      </c>
      <c r="Z675" t="b">
        <v>0</v>
      </c>
      <c r="AC675" s="1"/>
      <c r="AF675">
        <v>0</v>
      </c>
      <c r="AG675">
        <v>45</v>
      </c>
      <c r="AH675">
        <v>107</v>
      </c>
      <c r="AI675" s="2">
        <f>Table__192.168.3.138BEWLPPMetaData[[#This Row],[NetAmount]]-Table__192.168.3.138BEWLPPMetaData[[#This Row],[Paid]]</f>
        <v>66352</v>
      </c>
    </row>
    <row r="676" spans="1:35" hidden="1">
      <c r="A676" t="s">
        <v>9812</v>
      </c>
      <c r="B676" s="1">
        <v>41202</v>
      </c>
      <c r="C676" s="1">
        <v>41247</v>
      </c>
      <c r="D676" t="s">
        <v>8603</v>
      </c>
      <c r="E676">
        <v>5200</v>
      </c>
      <c r="F676">
        <v>832</v>
      </c>
      <c r="G676">
        <v>0</v>
      </c>
      <c r="H676">
        <v>0</v>
      </c>
      <c r="I676">
        <v>69</v>
      </c>
      <c r="J676">
        <v>6032</v>
      </c>
      <c r="K676" t="s">
        <v>9813</v>
      </c>
      <c r="L676" s="1">
        <v>41199</v>
      </c>
      <c r="N676" t="s">
        <v>5127</v>
      </c>
      <c r="O676" t="s">
        <v>2458</v>
      </c>
      <c r="P676" t="s">
        <v>304</v>
      </c>
      <c r="Q676" t="s">
        <v>39</v>
      </c>
      <c r="R676" t="s">
        <v>40</v>
      </c>
      <c r="S676">
        <v>0</v>
      </c>
      <c r="U676" t="s">
        <v>41</v>
      </c>
      <c r="V676" t="s">
        <v>42</v>
      </c>
      <c r="X676" t="s">
        <v>74</v>
      </c>
      <c r="Y676" t="b">
        <v>0</v>
      </c>
      <c r="Z676" t="b">
        <v>0</v>
      </c>
      <c r="AC676" s="1"/>
      <c r="AF676">
        <v>0</v>
      </c>
      <c r="AG676">
        <v>45</v>
      </c>
      <c r="AH676">
        <v>114</v>
      </c>
      <c r="AI676" s="2">
        <f>Table__192.168.3.138BEWLPPMetaData[[#This Row],[NetAmount]]-Table__192.168.3.138BEWLPPMetaData[[#This Row],[Paid]]</f>
        <v>6032</v>
      </c>
    </row>
    <row r="677" spans="1:35" hidden="1">
      <c r="A677" t="s">
        <v>9814</v>
      </c>
      <c r="B677" s="1">
        <v>41206</v>
      </c>
      <c r="C677" s="1">
        <v>41251</v>
      </c>
      <c r="D677" t="s">
        <v>8530</v>
      </c>
      <c r="E677">
        <v>20000</v>
      </c>
      <c r="F677">
        <v>3200</v>
      </c>
      <c r="G677">
        <v>0</v>
      </c>
      <c r="H677">
        <v>0</v>
      </c>
      <c r="I677">
        <v>62</v>
      </c>
      <c r="J677">
        <v>23200</v>
      </c>
      <c r="K677" t="s">
        <v>9815</v>
      </c>
      <c r="L677" s="1">
        <v>41206</v>
      </c>
      <c r="N677" t="s">
        <v>5127</v>
      </c>
      <c r="O677" t="s">
        <v>2458</v>
      </c>
      <c r="P677" t="s">
        <v>357</v>
      </c>
      <c r="Q677" t="s">
        <v>39</v>
      </c>
      <c r="R677" t="s">
        <v>40</v>
      </c>
      <c r="S677">
        <v>0</v>
      </c>
      <c r="U677" t="s">
        <v>41</v>
      </c>
      <c r="V677" t="s">
        <v>42</v>
      </c>
      <c r="X677" t="s">
        <v>74</v>
      </c>
      <c r="Y677" t="b">
        <v>0</v>
      </c>
      <c r="Z677" t="b">
        <v>0</v>
      </c>
      <c r="AC677" s="1"/>
      <c r="AF677">
        <v>0</v>
      </c>
      <c r="AG677">
        <v>45</v>
      </c>
      <c r="AH677">
        <v>107</v>
      </c>
      <c r="AI677" s="2">
        <f>Table__192.168.3.138BEWLPPMetaData[[#This Row],[NetAmount]]-Table__192.168.3.138BEWLPPMetaData[[#This Row],[Paid]]</f>
        <v>23200</v>
      </c>
    </row>
    <row r="678" spans="1:35" hidden="1">
      <c r="A678" t="s">
        <v>9816</v>
      </c>
      <c r="B678" s="1">
        <v>41206</v>
      </c>
      <c r="C678" s="1">
        <v>41251</v>
      </c>
      <c r="D678" t="s">
        <v>8530</v>
      </c>
      <c r="E678">
        <v>170567</v>
      </c>
      <c r="F678">
        <v>27291</v>
      </c>
      <c r="G678">
        <v>0</v>
      </c>
      <c r="H678">
        <v>0</v>
      </c>
      <c r="I678">
        <v>62</v>
      </c>
      <c r="J678">
        <v>197858</v>
      </c>
      <c r="K678" t="s">
        <v>9817</v>
      </c>
      <c r="L678" s="1">
        <v>41206</v>
      </c>
      <c r="N678" t="s">
        <v>5127</v>
      </c>
      <c r="O678" t="s">
        <v>2458</v>
      </c>
      <c r="P678" t="s">
        <v>357</v>
      </c>
      <c r="Q678" t="s">
        <v>39</v>
      </c>
      <c r="R678" t="s">
        <v>40</v>
      </c>
      <c r="S678">
        <v>0</v>
      </c>
      <c r="U678" t="s">
        <v>41</v>
      </c>
      <c r="V678" t="s">
        <v>42</v>
      </c>
      <c r="X678" t="s">
        <v>74</v>
      </c>
      <c r="Y678" t="b">
        <v>0</v>
      </c>
      <c r="Z678" t="b">
        <v>0</v>
      </c>
      <c r="AC678" s="1"/>
      <c r="AF678">
        <v>0</v>
      </c>
      <c r="AG678">
        <v>45</v>
      </c>
      <c r="AH678">
        <v>107</v>
      </c>
      <c r="AI678" s="2">
        <f>Table__192.168.3.138BEWLPPMetaData[[#This Row],[NetAmount]]-Table__192.168.3.138BEWLPPMetaData[[#This Row],[Paid]]</f>
        <v>197858</v>
      </c>
    </row>
    <row r="679" spans="1:35" hidden="1">
      <c r="A679" t="s">
        <v>9818</v>
      </c>
      <c r="B679" s="1">
        <v>41206</v>
      </c>
      <c r="C679" s="1">
        <v>41251</v>
      </c>
      <c r="D679" t="s">
        <v>8530</v>
      </c>
      <c r="E679">
        <v>122251</v>
      </c>
      <c r="F679">
        <v>19560</v>
      </c>
      <c r="G679">
        <v>0</v>
      </c>
      <c r="H679">
        <v>0</v>
      </c>
      <c r="I679">
        <v>64</v>
      </c>
      <c r="J679">
        <v>141811</v>
      </c>
      <c r="K679" t="s">
        <v>7407</v>
      </c>
      <c r="L679" s="1">
        <v>41204</v>
      </c>
      <c r="N679" t="s">
        <v>5127</v>
      </c>
      <c r="O679" t="s">
        <v>2458</v>
      </c>
      <c r="P679" t="s">
        <v>357</v>
      </c>
      <c r="Q679" t="s">
        <v>39</v>
      </c>
      <c r="R679" t="s">
        <v>40</v>
      </c>
      <c r="S679">
        <v>0</v>
      </c>
      <c r="U679" t="s">
        <v>41</v>
      </c>
      <c r="V679" t="s">
        <v>42</v>
      </c>
      <c r="X679" t="s">
        <v>74</v>
      </c>
      <c r="Y679" t="b">
        <v>0</v>
      </c>
      <c r="Z679" t="b">
        <v>0</v>
      </c>
      <c r="AC679" s="1"/>
      <c r="AF679">
        <v>0</v>
      </c>
      <c r="AG679">
        <v>45</v>
      </c>
      <c r="AH679">
        <v>109</v>
      </c>
      <c r="AI679" s="2">
        <f>Table__192.168.3.138BEWLPPMetaData[[#This Row],[NetAmount]]-Table__192.168.3.138BEWLPPMetaData[[#This Row],[Paid]]</f>
        <v>141811</v>
      </c>
    </row>
    <row r="680" spans="1:35" hidden="1">
      <c r="A680" t="s">
        <v>9819</v>
      </c>
      <c r="B680" s="1">
        <v>41201</v>
      </c>
      <c r="C680" s="1">
        <v>41246</v>
      </c>
      <c r="D680" t="s">
        <v>8530</v>
      </c>
      <c r="E680">
        <v>97798</v>
      </c>
      <c r="F680">
        <v>15648</v>
      </c>
      <c r="G680">
        <v>0</v>
      </c>
      <c r="H680">
        <v>0</v>
      </c>
      <c r="I680">
        <v>67</v>
      </c>
      <c r="J680">
        <v>113446</v>
      </c>
      <c r="K680" t="s">
        <v>9820</v>
      </c>
      <c r="L680" s="1">
        <v>41201</v>
      </c>
      <c r="N680" t="s">
        <v>5127</v>
      </c>
      <c r="O680" t="s">
        <v>2458</v>
      </c>
      <c r="P680" t="s">
        <v>357</v>
      </c>
      <c r="Q680" t="s">
        <v>39</v>
      </c>
      <c r="R680" t="s">
        <v>40</v>
      </c>
      <c r="S680">
        <v>0</v>
      </c>
      <c r="U680" t="s">
        <v>41</v>
      </c>
      <c r="V680" t="s">
        <v>42</v>
      </c>
      <c r="X680" t="s">
        <v>74</v>
      </c>
      <c r="Y680" t="b">
        <v>0</v>
      </c>
      <c r="Z680" t="b">
        <v>0</v>
      </c>
      <c r="AC680" s="1"/>
      <c r="AF680">
        <v>0</v>
      </c>
      <c r="AG680">
        <v>45</v>
      </c>
      <c r="AH680">
        <v>112</v>
      </c>
      <c r="AI680" s="2">
        <f>Table__192.168.3.138BEWLPPMetaData[[#This Row],[NetAmount]]-Table__192.168.3.138BEWLPPMetaData[[#This Row],[Paid]]</f>
        <v>113446</v>
      </c>
    </row>
    <row r="681" spans="1:35" hidden="1">
      <c r="A681" t="s">
        <v>9821</v>
      </c>
      <c r="B681" s="1">
        <v>41200</v>
      </c>
      <c r="C681" s="1">
        <v>41245</v>
      </c>
      <c r="D681" t="s">
        <v>8530</v>
      </c>
      <c r="E681">
        <v>7823</v>
      </c>
      <c r="F681">
        <v>1252</v>
      </c>
      <c r="G681">
        <v>0</v>
      </c>
      <c r="H681">
        <v>0</v>
      </c>
      <c r="I681">
        <v>68</v>
      </c>
      <c r="J681">
        <v>9075</v>
      </c>
      <c r="K681" t="s">
        <v>9822</v>
      </c>
      <c r="L681" s="1">
        <v>41200</v>
      </c>
      <c r="N681" t="s">
        <v>5127</v>
      </c>
      <c r="O681" t="s">
        <v>2458</v>
      </c>
      <c r="P681" t="s">
        <v>357</v>
      </c>
      <c r="Q681" t="s">
        <v>39</v>
      </c>
      <c r="R681" t="s">
        <v>40</v>
      </c>
      <c r="S681">
        <v>0</v>
      </c>
      <c r="U681" t="s">
        <v>41</v>
      </c>
      <c r="V681" t="s">
        <v>42</v>
      </c>
      <c r="X681" t="s">
        <v>74</v>
      </c>
      <c r="Y681" t="b">
        <v>0</v>
      </c>
      <c r="Z681" t="b">
        <v>0</v>
      </c>
      <c r="AC681" s="1"/>
      <c r="AF681">
        <v>0</v>
      </c>
      <c r="AG681">
        <v>45</v>
      </c>
      <c r="AH681">
        <v>113</v>
      </c>
      <c r="AI681" s="2">
        <f>Table__192.168.3.138BEWLPPMetaData[[#This Row],[NetAmount]]-Table__192.168.3.138BEWLPPMetaData[[#This Row],[Paid]]</f>
        <v>9075</v>
      </c>
    </row>
    <row r="682" spans="1:35" hidden="1">
      <c r="A682" t="s">
        <v>9823</v>
      </c>
      <c r="B682" s="1">
        <v>41200</v>
      </c>
      <c r="C682" s="1">
        <v>41245</v>
      </c>
      <c r="D682" t="s">
        <v>8530</v>
      </c>
      <c r="E682">
        <v>83312</v>
      </c>
      <c r="F682">
        <v>13330</v>
      </c>
      <c r="G682">
        <v>0</v>
      </c>
      <c r="H682">
        <v>0</v>
      </c>
      <c r="I682">
        <v>69</v>
      </c>
      <c r="J682">
        <v>96642</v>
      </c>
      <c r="K682" t="s">
        <v>8519</v>
      </c>
      <c r="L682" s="1">
        <v>41199</v>
      </c>
      <c r="N682" t="s">
        <v>5127</v>
      </c>
      <c r="O682" t="s">
        <v>2458</v>
      </c>
      <c r="P682" t="s">
        <v>357</v>
      </c>
      <c r="Q682" t="s">
        <v>39</v>
      </c>
      <c r="R682" t="s">
        <v>40</v>
      </c>
      <c r="S682">
        <v>0</v>
      </c>
      <c r="U682" t="s">
        <v>41</v>
      </c>
      <c r="V682" t="s">
        <v>42</v>
      </c>
      <c r="X682" t="s">
        <v>74</v>
      </c>
      <c r="Y682" t="b">
        <v>0</v>
      </c>
      <c r="Z682" t="b">
        <v>0</v>
      </c>
      <c r="AC682" s="1"/>
      <c r="AF682">
        <v>0</v>
      </c>
      <c r="AG682">
        <v>45</v>
      </c>
      <c r="AH682">
        <v>114</v>
      </c>
      <c r="AI682" s="2">
        <f>Table__192.168.3.138BEWLPPMetaData[[#This Row],[NetAmount]]-Table__192.168.3.138BEWLPPMetaData[[#This Row],[Paid]]</f>
        <v>96642</v>
      </c>
    </row>
    <row r="683" spans="1:35" hidden="1">
      <c r="A683" t="s">
        <v>9824</v>
      </c>
      <c r="B683" s="1">
        <v>41200</v>
      </c>
      <c r="C683" s="1">
        <v>41245</v>
      </c>
      <c r="D683" t="s">
        <v>8530</v>
      </c>
      <c r="E683">
        <v>32812</v>
      </c>
      <c r="F683">
        <v>5250</v>
      </c>
      <c r="G683">
        <v>0</v>
      </c>
      <c r="H683">
        <v>0</v>
      </c>
      <c r="I683">
        <v>71</v>
      </c>
      <c r="J683">
        <v>38062</v>
      </c>
      <c r="K683" t="s">
        <v>9825</v>
      </c>
      <c r="L683" s="1">
        <v>41197</v>
      </c>
      <c r="N683" t="s">
        <v>5127</v>
      </c>
      <c r="O683" t="s">
        <v>2458</v>
      </c>
      <c r="P683" t="s">
        <v>357</v>
      </c>
      <c r="Q683" t="s">
        <v>39</v>
      </c>
      <c r="R683" t="s">
        <v>40</v>
      </c>
      <c r="S683">
        <v>0</v>
      </c>
      <c r="U683" t="s">
        <v>41</v>
      </c>
      <c r="V683" t="s">
        <v>42</v>
      </c>
      <c r="X683" t="s">
        <v>74</v>
      </c>
      <c r="Y683" t="b">
        <v>0</v>
      </c>
      <c r="Z683" t="b">
        <v>0</v>
      </c>
      <c r="AC683" s="1"/>
      <c r="AF683">
        <v>0</v>
      </c>
      <c r="AG683">
        <v>45</v>
      </c>
      <c r="AH683">
        <v>116</v>
      </c>
      <c r="AI683" s="2">
        <f>Table__192.168.3.138BEWLPPMetaData[[#This Row],[NetAmount]]-Table__192.168.3.138BEWLPPMetaData[[#This Row],[Paid]]</f>
        <v>38062</v>
      </c>
    </row>
    <row r="684" spans="1:35" hidden="1">
      <c r="A684" t="s">
        <v>9826</v>
      </c>
      <c r="B684" s="1">
        <v>41200</v>
      </c>
      <c r="C684" s="1">
        <v>41245</v>
      </c>
      <c r="D684" t="s">
        <v>8598</v>
      </c>
      <c r="E684">
        <v>70756</v>
      </c>
      <c r="F684">
        <v>11321</v>
      </c>
      <c r="G684">
        <v>0</v>
      </c>
      <c r="H684">
        <v>0</v>
      </c>
      <c r="I684">
        <v>73</v>
      </c>
      <c r="J684">
        <v>82077</v>
      </c>
      <c r="K684" t="s">
        <v>3919</v>
      </c>
      <c r="L684" s="1">
        <v>41195</v>
      </c>
      <c r="M684" t="s">
        <v>9827</v>
      </c>
      <c r="N684" t="s">
        <v>5127</v>
      </c>
      <c r="O684" t="s">
        <v>2458</v>
      </c>
      <c r="P684" t="s">
        <v>369</v>
      </c>
      <c r="Q684" t="s">
        <v>39</v>
      </c>
      <c r="R684" t="s">
        <v>40</v>
      </c>
      <c r="S684">
        <v>0</v>
      </c>
      <c r="U684" t="s">
        <v>41</v>
      </c>
      <c r="V684" t="s">
        <v>42</v>
      </c>
      <c r="W684" t="s">
        <v>9828</v>
      </c>
      <c r="X684" t="s">
        <v>74</v>
      </c>
      <c r="Y684" t="b">
        <v>0</v>
      </c>
      <c r="Z684" t="b">
        <v>0</v>
      </c>
      <c r="AA684" t="b">
        <v>0</v>
      </c>
      <c r="AC684" s="1"/>
      <c r="AF684">
        <v>0</v>
      </c>
      <c r="AG684">
        <v>45</v>
      </c>
      <c r="AH684">
        <v>118</v>
      </c>
      <c r="AI684" s="2">
        <f>Table__192.168.3.138BEWLPPMetaData[[#This Row],[NetAmount]]-Table__192.168.3.138BEWLPPMetaData[[#This Row],[Paid]]</f>
        <v>82077</v>
      </c>
    </row>
    <row r="685" spans="1:35" hidden="1">
      <c r="A685" t="s">
        <v>9829</v>
      </c>
      <c r="B685" s="1">
        <v>41213</v>
      </c>
      <c r="C685" s="1">
        <v>41258</v>
      </c>
      <c r="D685" t="s">
        <v>5509</v>
      </c>
      <c r="E685">
        <v>3126</v>
      </c>
      <c r="F685">
        <v>500</v>
      </c>
      <c r="G685">
        <v>0</v>
      </c>
      <c r="H685">
        <v>0</v>
      </c>
      <c r="I685">
        <v>71</v>
      </c>
      <c r="J685">
        <v>3626</v>
      </c>
      <c r="K685" t="s">
        <v>9830</v>
      </c>
      <c r="L685" s="1">
        <v>41197</v>
      </c>
      <c r="N685" t="s">
        <v>5127</v>
      </c>
      <c r="O685" t="s">
        <v>2458</v>
      </c>
      <c r="P685" t="s">
        <v>354</v>
      </c>
      <c r="Q685" t="s">
        <v>39</v>
      </c>
      <c r="R685" t="s">
        <v>40</v>
      </c>
      <c r="S685">
        <v>0</v>
      </c>
      <c r="U685" t="s">
        <v>41</v>
      </c>
      <c r="V685" t="s">
        <v>42</v>
      </c>
      <c r="X685" t="s">
        <v>74</v>
      </c>
      <c r="Y685" t="b">
        <v>0</v>
      </c>
      <c r="Z685" t="b">
        <v>0</v>
      </c>
      <c r="AB685" t="s">
        <v>8654</v>
      </c>
      <c r="AC685" s="1">
        <v>41296</v>
      </c>
      <c r="AF685">
        <v>0</v>
      </c>
      <c r="AG685">
        <v>45</v>
      </c>
      <c r="AH685">
        <v>116</v>
      </c>
      <c r="AI685" s="2">
        <f>Table__192.168.3.138BEWLPPMetaData[[#This Row],[NetAmount]]-Table__192.168.3.138BEWLPPMetaData[[#This Row],[Paid]]</f>
        <v>3626</v>
      </c>
    </row>
    <row r="686" spans="1:35" hidden="1">
      <c r="A686" t="s">
        <v>9831</v>
      </c>
      <c r="B686" s="1">
        <v>41194</v>
      </c>
      <c r="C686" s="1">
        <v>41239</v>
      </c>
      <c r="D686" t="s">
        <v>8794</v>
      </c>
      <c r="E686">
        <v>219500</v>
      </c>
      <c r="F686">
        <v>35120</v>
      </c>
      <c r="G686">
        <v>0</v>
      </c>
      <c r="H686">
        <v>0</v>
      </c>
      <c r="I686">
        <v>75</v>
      </c>
      <c r="J686">
        <v>254620</v>
      </c>
      <c r="K686" t="s">
        <v>9832</v>
      </c>
      <c r="L686" s="1">
        <v>41193</v>
      </c>
      <c r="N686" t="s">
        <v>5127</v>
      </c>
      <c r="O686" t="s">
        <v>2458</v>
      </c>
      <c r="P686" t="s">
        <v>8795</v>
      </c>
      <c r="Q686" t="s">
        <v>39</v>
      </c>
      <c r="R686" t="s">
        <v>40</v>
      </c>
      <c r="S686">
        <v>0</v>
      </c>
      <c r="U686" t="s">
        <v>41</v>
      </c>
      <c r="V686" t="s">
        <v>42</v>
      </c>
      <c r="X686" t="s">
        <v>74</v>
      </c>
      <c r="Y686" t="b">
        <v>0</v>
      </c>
      <c r="Z686" t="b">
        <v>0</v>
      </c>
      <c r="AC686" s="1"/>
      <c r="AF686">
        <v>0</v>
      </c>
      <c r="AG686">
        <v>45</v>
      </c>
      <c r="AH686">
        <v>120</v>
      </c>
      <c r="AI686" s="2">
        <f>Table__192.168.3.138BEWLPPMetaData[[#This Row],[NetAmount]]-Table__192.168.3.138BEWLPPMetaData[[#This Row],[Paid]]</f>
        <v>254620</v>
      </c>
    </row>
    <row r="687" spans="1:35" hidden="1">
      <c r="A687" t="s">
        <v>9833</v>
      </c>
      <c r="B687" s="1">
        <v>41202</v>
      </c>
      <c r="C687" s="1">
        <v>41247</v>
      </c>
      <c r="D687" t="s">
        <v>8794</v>
      </c>
      <c r="E687">
        <v>78000</v>
      </c>
      <c r="F687">
        <v>12480</v>
      </c>
      <c r="G687">
        <v>0</v>
      </c>
      <c r="H687">
        <v>0</v>
      </c>
      <c r="I687">
        <v>69</v>
      </c>
      <c r="J687">
        <v>90480</v>
      </c>
      <c r="K687" t="s">
        <v>9834</v>
      </c>
      <c r="L687" s="1">
        <v>41199</v>
      </c>
      <c r="N687" t="s">
        <v>5127</v>
      </c>
      <c r="O687" t="s">
        <v>2458</v>
      </c>
      <c r="P687" t="s">
        <v>8795</v>
      </c>
      <c r="Q687" t="s">
        <v>39</v>
      </c>
      <c r="R687" t="s">
        <v>40</v>
      </c>
      <c r="S687">
        <v>0</v>
      </c>
      <c r="U687" t="s">
        <v>41</v>
      </c>
      <c r="V687" t="s">
        <v>42</v>
      </c>
      <c r="X687" t="s">
        <v>74</v>
      </c>
      <c r="Y687" t="b">
        <v>0</v>
      </c>
      <c r="Z687" t="b">
        <v>0</v>
      </c>
      <c r="AC687" s="1"/>
      <c r="AF687">
        <v>0</v>
      </c>
      <c r="AG687">
        <v>45</v>
      </c>
      <c r="AH687">
        <v>114</v>
      </c>
      <c r="AI687" s="2">
        <f>Table__192.168.3.138BEWLPPMetaData[[#This Row],[NetAmount]]-Table__192.168.3.138BEWLPPMetaData[[#This Row],[Paid]]</f>
        <v>90480</v>
      </c>
    </row>
    <row r="688" spans="1:35" hidden="1">
      <c r="A688" t="s">
        <v>9835</v>
      </c>
      <c r="B688" s="1">
        <v>41201</v>
      </c>
      <c r="C688" s="1">
        <v>41246</v>
      </c>
      <c r="D688" t="s">
        <v>8794</v>
      </c>
      <c r="E688">
        <v>65000</v>
      </c>
      <c r="F688">
        <v>10400</v>
      </c>
      <c r="G688">
        <v>0</v>
      </c>
      <c r="H688">
        <v>0</v>
      </c>
      <c r="I688">
        <v>67</v>
      </c>
      <c r="J688">
        <v>75400</v>
      </c>
      <c r="K688" t="s">
        <v>9836</v>
      </c>
      <c r="L688" s="1">
        <v>41201</v>
      </c>
      <c r="N688" t="s">
        <v>5127</v>
      </c>
      <c r="O688" t="s">
        <v>2458</v>
      </c>
      <c r="P688" t="s">
        <v>8795</v>
      </c>
      <c r="Q688" t="s">
        <v>39</v>
      </c>
      <c r="R688" t="s">
        <v>40</v>
      </c>
      <c r="S688">
        <v>0</v>
      </c>
      <c r="U688" t="s">
        <v>41</v>
      </c>
      <c r="V688" t="s">
        <v>42</v>
      </c>
      <c r="X688" t="s">
        <v>74</v>
      </c>
      <c r="Y688" t="b">
        <v>0</v>
      </c>
      <c r="Z688" t="b">
        <v>0</v>
      </c>
      <c r="AC688" s="1"/>
      <c r="AF688">
        <v>0</v>
      </c>
      <c r="AG688">
        <v>45</v>
      </c>
      <c r="AH688">
        <v>112</v>
      </c>
      <c r="AI688" s="2">
        <f>Table__192.168.3.138BEWLPPMetaData[[#This Row],[NetAmount]]-Table__192.168.3.138BEWLPPMetaData[[#This Row],[Paid]]</f>
        <v>75400</v>
      </c>
    </row>
    <row r="689" spans="1:35" hidden="1">
      <c r="A689" t="s">
        <v>9837</v>
      </c>
      <c r="B689" s="1">
        <v>41213</v>
      </c>
      <c r="C689" s="1">
        <v>41258</v>
      </c>
      <c r="D689" t="s">
        <v>8794</v>
      </c>
      <c r="E689">
        <v>97500</v>
      </c>
      <c r="F689">
        <v>15600</v>
      </c>
      <c r="G689">
        <v>0</v>
      </c>
      <c r="H689">
        <v>0</v>
      </c>
      <c r="I689">
        <v>55</v>
      </c>
      <c r="J689">
        <v>113100</v>
      </c>
      <c r="K689" t="s">
        <v>9838</v>
      </c>
      <c r="L689" s="1">
        <v>41213</v>
      </c>
      <c r="N689" t="s">
        <v>5127</v>
      </c>
      <c r="O689" t="s">
        <v>2458</v>
      </c>
      <c r="P689" t="s">
        <v>8795</v>
      </c>
      <c r="Q689" t="s">
        <v>39</v>
      </c>
      <c r="R689" t="s">
        <v>40</v>
      </c>
      <c r="S689">
        <v>0</v>
      </c>
      <c r="U689" t="s">
        <v>41</v>
      </c>
      <c r="V689" t="s">
        <v>42</v>
      </c>
      <c r="X689" t="s">
        <v>74</v>
      </c>
      <c r="Y689" t="b">
        <v>0</v>
      </c>
      <c r="Z689" t="b">
        <v>0</v>
      </c>
      <c r="AC689" s="1"/>
      <c r="AF689">
        <v>0</v>
      </c>
      <c r="AG689">
        <v>45</v>
      </c>
      <c r="AH689">
        <v>100</v>
      </c>
      <c r="AI689" s="2">
        <f>Table__192.168.3.138BEWLPPMetaData[[#This Row],[NetAmount]]-Table__192.168.3.138BEWLPPMetaData[[#This Row],[Paid]]</f>
        <v>113100</v>
      </c>
    </row>
    <row r="690" spans="1:35" hidden="1">
      <c r="A690" t="s">
        <v>9839</v>
      </c>
      <c r="B690" s="1">
        <v>41213</v>
      </c>
      <c r="C690" s="1">
        <v>41258</v>
      </c>
      <c r="D690" t="s">
        <v>8794</v>
      </c>
      <c r="E690">
        <v>195000</v>
      </c>
      <c r="F690">
        <v>31200</v>
      </c>
      <c r="G690">
        <v>0</v>
      </c>
      <c r="H690">
        <v>0</v>
      </c>
      <c r="I690">
        <v>55</v>
      </c>
      <c r="J690">
        <v>226200</v>
      </c>
      <c r="K690" t="s">
        <v>3732</v>
      </c>
      <c r="L690" s="1">
        <v>41213</v>
      </c>
      <c r="N690" t="s">
        <v>5127</v>
      </c>
      <c r="O690" t="s">
        <v>2458</v>
      </c>
      <c r="P690" t="s">
        <v>8795</v>
      </c>
      <c r="Q690" t="s">
        <v>39</v>
      </c>
      <c r="R690" t="s">
        <v>40</v>
      </c>
      <c r="S690">
        <v>0</v>
      </c>
      <c r="U690" t="s">
        <v>41</v>
      </c>
      <c r="V690" t="s">
        <v>42</v>
      </c>
      <c r="X690" t="s">
        <v>74</v>
      </c>
      <c r="Y690" t="b">
        <v>0</v>
      </c>
      <c r="Z690" t="b">
        <v>0</v>
      </c>
      <c r="AC690" s="1"/>
      <c r="AF690">
        <v>0</v>
      </c>
      <c r="AG690">
        <v>45</v>
      </c>
      <c r="AH690">
        <v>100</v>
      </c>
      <c r="AI690" s="2">
        <f>Table__192.168.3.138BEWLPPMetaData[[#This Row],[NetAmount]]-Table__192.168.3.138BEWLPPMetaData[[#This Row],[Paid]]</f>
        <v>226200</v>
      </c>
    </row>
    <row r="691" spans="1:35" hidden="1">
      <c r="A691" t="s">
        <v>9840</v>
      </c>
      <c r="B691" s="1">
        <v>41213</v>
      </c>
      <c r="C691" s="1">
        <v>41258</v>
      </c>
      <c r="D691" t="s">
        <v>8970</v>
      </c>
      <c r="E691">
        <v>9284</v>
      </c>
      <c r="F691">
        <v>1485</v>
      </c>
      <c r="G691">
        <v>0</v>
      </c>
      <c r="H691">
        <v>0</v>
      </c>
      <c r="I691">
        <v>61</v>
      </c>
      <c r="J691">
        <v>10769</v>
      </c>
      <c r="K691" t="s">
        <v>8125</v>
      </c>
      <c r="L691" s="1">
        <v>41207</v>
      </c>
      <c r="N691" t="s">
        <v>5127</v>
      </c>
      <c r="O691" t="s">
        <v>2458</v>
      </c>
      <c r="P691" t="s">
        <v>8971</v>
      </c>
      <c r="Q691" t="s">
        <v>39</v>
      </c>
      <c r="R691" t="s">
        <v>40</v>
      </c>
      <c r="S691">
        <v>0</v>
      </c>
      <c r="U691" t="s">
        <v>41</v>
      </c>
      <c r="V691" t="s">
        <v>42</v>
      </c>
      <c r="X691" t="s">
        <v>74</v>
      </c>
      <c r="Y691" t="b">
        <v>0</v>
      </c>
      <c r="Z691" t="b">
        <v>0</v>
      </c>
      <c r="AC691" s="1"/>
      <c r="AF691">
        <v>0</v>
      </c>
      <c r="AG691">
        <v>45</v>
      </c>
      <c r="AH691">
        <v>106</v>
      </c>
      <c r="AI691" s="2">
        <f>Table__192.168.3.138BEWLPPMetaData[[#This Row],[NetAmount]]-Table__192.168.3.138BEWLPPMetaData[[#This Row],[Paid]]</f>
        <v>10769</v>
      </c>
    </row>
    <row r="692" spans="1:35" hidden="1">
      <c r="A692" t="s">
        <v>9841</v>
      </c>
      <c r="B692" s="1">
        <v>41202</v>
      </c>
      <c r="C692" s="1">
        <v>41247</v>
      </c>
      <c r="D692" t="s">
        <v>8970</v>
      </c>
      <c r="E692">
        <v>52328</v>
      </c>
      <c r="F692">
        <v>8373</v>
      </c>
      <c r="G692">
        <v>0</v>
      </c>
      <c r="H692">
        <v>0</v>
      </c>
      <c r="I692">
        <v>61</v>
      </c>
      <c r="J692">
        <v>60701</v>
      </c>
      <c r="K692" t="s">
        <v>8123</v>
      </c>
      <c r="L692" s="1">
        <v>41207</v>
      </c>
      <c r="N692" t="s">
        <v>5127</v>
      </c>
      <c r="O692" t="s">
        <v>2458</v>
      </c>
      <c r="P692" t="s">
        <v>8971</v>
      </c>
      <c r="Q692" t="s">
        <v>39</v>
      </c>
      <c r="R692" t="s">
        <v>40</v>
      </c>
      <c r="S692">
        <v>0</v>
      </c>
      <c r="U692" t="s">
        <v>41</v>
      </c>
      <c r="V692" t="s">
        <v>42</v>
      </c>
      <c r="X692" t="s">
        <v>74</v>
      </c>
      <c r="Y692" t="b">
        <v>0</v>
      </c>
      <c r="Z692" t="b">
        <v>0</v>
      </c>
      <c r="AC692" s="1"/>
      <c r="AF692">
        <v>0</v>
      </c>
      <c r="AG692">
        <v>45</v>
      </c>
      <c r="AH692">
        <v>106</v>
      </c>
      <c r="AI692" s="2">
        <f>Table__192.168.3.138BEWLPPMetaData[[#This Row],[NetAmount]]-Table__192.168.3.138BEWLPPMetaData[[#This Row],[Paid]]</f>
        <v>60701</v>
      </c>
    </row>
    <row r="693" spans="1:35" hidden="1">
      <c r="A693" t="s">
        <v>9842</v>
      </c>
      <c r="B693" s="1">
        <v>41213</v>
      </c>
      <c r="C693" s="1">
        <v>41258</v>
      </c>
      <c r="D693" t="s">
        <v>8524</v>
      </c>
      <c r="E693">
        <v>11000</v>
      </c>
      <c r="F693">
        <v>1760</v>
      </c>
      <c r="G693">
        <v>0</v>
      </c>
      <c r="H693">
        <v>0</v>
      </c>
      <c r="I693">
        <v>55</v>
      </c>
      <c r="J693">
        <v>12760</v>
      </c>
      <c r="K693" t="s">
        <v>9843</v>
      </c>
      <c r="L693" s="1">
        <v>41213</v>
      </c>
      <c r="N693" t="s">
        <v>5127</v>
      </c>
      <c r="O693" t="s">
        <v>2458</v>
      </c>
      <c r="P693" t="s">
        <v>8525</v>
      </c>
      <c r="Q693" t="s">
        <v>39</v>
      </c>
      <c r="R693" t="s">
        <v>40</v>
      </c>
      <c r="S693">
        <v>0</v>
      </c>
      <c r="U693" t="s">
        <v>41</v>
      </c>
      <c r="V693" t="s">
        <v>42</v>
      </c>
      <c r="X693" t="s">
        <v>74</v>
      </c>
      <c r="Y693" t="b">
        <v>0</v>
      </c>
      <c r="Z693" t="b">
        <v>0</v>
      </c>
      <c r="AC693" s="1"/>
      <c r="AF693">
        <v>0</v>
      </c>
      <c r="AG693">
        <v>45</v>
      </c>
      <c r="AH693">
        <v>100</v>
      </c>
      <c r="AI693" s="2">
        <f>Table__192.168.3.138BEWLPPMetaData[[#This Row],[NetAmount]]-Table__192.168.3.138BEWLPPMetaData[[#This Row],[Paid]]</f>
        <v>12760</v>
      </c>
    </row>
    <row r="694" spans="1:35" hidden="1">
      <c r="A694" t="s">
        <v>9844</v>
      </c>
      <c r="B694" s="1">
        <v>41213</v>
      </c>
      <c r="C694" s="1">
        <v>41258</v>
      </c>
      <c r="D694" t="s">
        <v>8609</v>
      </c>
      <c r="E694">
        <v>90000</v>
      </c>
      <c r="F694">
        <v>14400</v>
      </c>
      <c r="G694">
        <v>0</v>
      </c>
      <c r="H694">
        <v>0</v>
      </c>
      <c r="I694">
        <v>76</v>
      </c>
      <c r="J694">
        <v>104400</v>
      </c>
      <c r="K694" t="s">
        <v>9845</v>
      </c>
      <c r="L694" s="1">
        <v>41192</v>
      </c>
      <c r="N694" t="s">
        <v>5127</v>
      </c>
      <c r="O694" t="s">
        <v>2458</v>
      </c>
      <c r="P694" t="s">
        <v>399</v>
      </c>
      <c r="Q694" t="s">
        <v>39</v>
      </c>
      <c r="R694" t="s">
        <v>40</v>
      </c>
      <c r="S694">
        <v>0</v>
      </c>
      <c r="U694" t="s">
        <v>41</v>
      </c>
      <c r="V694" t="s">
        <v>42</v>
      </c>
      <c r="X694" t="s">
        <v>74</v>
      </c>
      <c r="Y694" t="b">
        <v>0</v>
      </c>
      <c r="Z694" t="b">
        <v>0</v>
      </c>
      <c r="AC694" s="1"/>
      <c r="AF694">
        <v>0</v>
      </c>
      <c r="AG694">
        <v>45</v>
      </c>
      <c r="AH694">
        <v>121</v>
      </c>
      <c r="AI694" s="2">
        <f>Table__192.168.3.138BEWLPPMetaData[[#This Row],[NetAmount]]-Table__192.168.3.138BEWLPPMetaData[[#This Row],[Paid]]</f>
        <v>104400</v>
      </c>
    </row>
    <row r="695" spans="1:35" hidden="1">
      <c r="A695" t="s">
        <v>9846</v>
      </c>
      <c r="B695" s="1">
        <v>41213</v>
      </c>
      <c r="C695" s="1">
        <v>41258</v>
      </c>
      <c r="D695" t="s">
        <v>8609</v>
      </c>
      <c r="E695">
        <v>150000</v>
      </c>
      <c r="F695">
        <v>24000</v>
      </c>
      <c r="G695">
        <v>0</v>
      </c>
      <c r="H695">
        <v>0</v>
      </c>
      <c r="I695">
        <v>74</v>
      </c>
      <c r="J695">
        <v>174000</v>
      </c>
      <c r="K695" t="s">
        <v>802</v>
      </c>
      <c r="L695" s="1">
        <v>41194</v>
      </c>
      <c r="N695" t="s">
        <v>5127</v>
      </c>
      <c r="O695" t="s">
        <v>2458</v>
      </c>
      <c r="P695" t="s">
        <v>399</v>
      </c>
      <c r="Q695" t="s">
        <v>39</v>
      </c>
      <c r="R695" t="s">
        <v>40</v>
      </c>
      <c r="S695">
        <v>0</v>
      </c>
      <c r="U695" t="s">
        <v>41</v>
      </c>
      <c r="V695" t="s">
        <v>42</v>
      </c>
      <c r="X695" t="s">
        <v>74</v>
      </c>
      <c r="Y695" t="b">
        <v>0</v>
      </c>
      <c r="Z695" t="b">
        <v>0</v>
      </c>
      <c r="AC695" s="1"/>
      <c r="AF695">
        <v>0</v>
      </c>
      <c r="AG695">
        <v>45</v>
      </c>
      <c r="AH695">
        <v>119</v>
      </c>
      <c r="AI695" s="2">
        <f>Table__192.168.3.138BEWLPPMetaData[[#This Row],[NetAmount]]-Table__192.168.3.138BEWLPPMetaData[[#This Row],[Paid]]</f>
        <v>174000</v>
      </c>
    </row>
    <row r="696" spans="1:35" hidden="1">
      <c r="A696" t="s">
        <v>9847</v>
      </c>
      <c r="B696" s="1">
        <v>41191</v>
      </c>
      <c r="C696" s="1">
        <v>41236</v>
      </c>
      <c r="D696" t="s">
        <v>8527</v>
      </c>
      <c r="E696">
        <v>5600</v>
      </c>
      <c r="F696">
        <v>896</v>
      </c>
      <c r="G696">
        <v>0</v>
      </c>
      <c r="H696">
        <v>0</v>
      </c>
      <c r="I696">
        <v>77</v>
      </c>
      <c r="J696">
        <v>6496</v>
      </c>
      <c r="K696" t="s">
        <v>9848</v>
      </c>
      <c r="L696" s="1">
        <v>41191</v>
      </c>
      <c r="N696" t="s">
        <v>5127</v>
      </c>
      <c r="O696" t="s">
        <v>2458</v>
      </c>
      <c r="P696" t="s">
        <v>8528</v>
      </c>
      <c r="Q696" t="s">
        <v>39</v>
      </c>
      <c r="R696" t="s">
        <v>40</v>
      </c>
      <c r="S696">
        <v>0</v>
      </c>
      <c r="U696" t="s">
        <v>41</v>
      </c>
      <c r="V696" t="s">
        <v>42</v>
      </c>
      <c r="X696" t="s">
        <v>74</v>
      </c>
      <c r="Y696" t="b">
        <v>0</v>
      </c>
      <c r="Z696" t="b">
        <v>0</v>
      </c>
      <c r="AC696" s="1"/>
      <c r="AF696">
        <v>0</v>
      </c>
      <c r="AG696">
        <v>45</v>
      </c>
      <c r="AH696">
        <v>122</v>
      </c>
      <c r="AI696" s="2">
        <f>Table__192.168.3.138BEWLPPMetaData[[#This Row],[NetAmount]]-Table__192.168.3.138BEWLPPMetaData[[#This Row],[Paid]]</f>
        <v>6496</v>
      </c>
    </row>
    <row r="697" spans="1:35" hidden="1">
      <c r="A697" t="s">
        <v>9849</v>
      </c>
      <c r="B697" s="1">
        <v>41194</v>
      </c>
      <c r="C697" s="1">
        <v>41239</v>
      </c>
      <c r="D697" t="s">
        <v>8527</v>
      </c>
      <c r="E697">
        <v>7000</v>
      </c>
      <c r="F697">
        <v>1120</v>
      </c>
      <c r="G697">
        <v>0</v>
      </c>
      <c r="H697">
        <v>0</v>
      </c>
      <c r="I697">
        <v>75</v>
      </c>
      <c r="J697">
        <v>8120</v>
      </c>
      <c r="K697" t="s">
        <v>2310</v>
      </c>
      <c r="L697" s="1">
        <v>41193</v>
      </c>
      <c r="N697" t="s">
        <v>5127</v>
      </c>
      <c r="O697" t="s">
        <v>2458</v>
      </c>
      <c r="P697" t="s">
        <v>8528</v>
      </c>
      <c r="Q697" t="s">
        <v>39</v>
      </c>
      <c r="R697" t="s">
        <v>40</v>
      </c>
      <c r="S697">
        <v>0</v>
      </c>
      <c r="U697" t="s">
        <v>41</v>
      </c>
      <c r="V697" t="s">
        <v>42</v>
      </c>
      <c r="X697" t="s">
        <v>74</v>
      </c>
      <c r="Y697" t="b">
        <v>0</v>
      </c>
      <c r="Z697" t="b">
        <v>0</v>
      </c>
      <c r="AC697" s="1"/>
      <c r="AF697">
        <v>0</v>
      </c>
      <c r="AG697">
        <v>45</v>
      </c>
      <c r="AH697">
        <v>120</v>
      </c>
      <c r="AI697" s="2">
        <f>Table__192.168.3.138BEWLPPMetaData[[#This Row],[NetAmount]]-Table__192.168.3.138BEWLPPMetaData[[#This Row],[Paid]]</f>
        <v>8120</v>
      </c>
    </row>
    <row r="698" spans="1:35" hidden="1">
      <c r="A698" t="s">
        <v>9850</v>
      </c>
      <c r="B698" s="1">
        <v>41199</v>
      </c>
      <c r="C698" s="1">
        <v>41244</v>
      </c>
      <c r="D698" t="s">
        <v>8527</v>
      </c>
      <c r="E698">
        <v>7000</v>
      </c>
      <c r="F698">
        <v>1120</v>
      </c>
      <c r="G698">
        <v>0</v>
      </c>
      <c r="H698">
        <v>0</v>
      </c>
      <c r="I698">
        <v>70</v>
      </c>
      <c r="J698">
        <v>8120</v>
      </c>
      <c r="K698" t="s">
        <v>9851</v>
      </c>
      <c r="L698" s="1">
        <v>41198</v>
      </c>
      <c r="N698" t="s">
        <v>5127</v>
      </c>
      <c r="O698" t="s">
        <v>2458</v>
      </c>
      <c r="P698" t="s">
        <v>8528</v>
      </c>
      <c r="Q698" t="s">
        <v>39</v>
      </c>
      <c r="R698" t="s">
        <v>40</v>
      </c>
      <c r="S698">
        <v>0</v>
      </c>
      <c r="U698" t="s">
        <v>41</v>
      </c>
      <c r="V698" t="s">
        <v>42</v>
      </c>
      <c r="X698" t="s">
        <v>74</v>
      </c>
      <c r="Y698" t="b">
        <v>0</v>
      </c>
      <c r="Z698" t="b">
        <v>0</v>
      </c>
      <c r="AC698" s="1"/>
      <c r="AF698">
        <v>0</v>
      </c>
      <c r="AG698">
        <v>45</v>
      </c>
      <c r="AH698">
        <v>115</v>
      </c>
      <c r="AI698" s="2">
        <f>Table__192.168.3.138BEWLPPMetaData[[#This Row],[NetAmount]]-Table__192.168.3.138BEWLPPMetaData[[#This Row],[Paid]]</f>
        <v>8120</v>
      </c>
    </row>
    <row r="699" spans="1:35" hidden="1">
      <c r="A699" t="s">
        <v>9852</v>
      </c>
      <c r="B699" s="1">
        <v>41202</v>
      </c>
      <c r="C699" s="1">
        <v>41247</v>
      </c>
      <c r="D699" t="s">
        <v>8527</v>
      </c>
      <c r="E699">
        <v>13700</v>
      </c>
      <c r="F699">
        <v>2192</v>
      </c>
      <c r="G699">
        <v>0</v>
      </c>
      <c r="H699">
        <v>0</v>
      </c>
      <c r="I699">
        <v>68</v>
      </c>
      <c r="J699">
        <v>15892</v>
      </c>
      <c r="K699" t="s">
        <v>9853</v>
      </c>
      <c r="L699" s="1">
        <v>41200</v>
      </c>
      <c r="N699" t="s">
        <v>5127</v>
      </c>
      <c r="O699" t="s">
        <v>2458</v>
      </c>
      <c r="P699" t="s">
        <v>8528</v>
      </c>
      <c r="Q699" t="s">
        <v>39</v>
      </c>
      <c r="R699" t="s">
        <v>40</v>
      </c>
      <c r="S699">
        <v>0</v>
      </c>
      <c r="U699" t="s">
        <v>41</v>
      </c>
      <c r="V699" t="s">
        <v>42</v>
      </c>
      <c r="X699" t="s">
        <v>74</v>
      </c>
      <c r="Y699" t="b">
        <v>0</v>
      </c>
      <c r="Z699" t="b">
        <v>0</v>
      </c>
      <c r="AC699" s="1"/>
      <c r="AF699">
        <v>0</v>
      </c>
      <c r="AG699">
        <v>45</v>
      </c>
      <c r="AH699">
        <v>113</v>
      </c>
      <c r="AI699" s="2">
        <f>Table__192.168.3.138BEWLPPMetaData[[#This Row],[NetAmount]]-Table__192.168.3.138BEWLPPMetaData[[#This Row],[Paid]]</f>
        <v>15892</v>
      </c>
    </row>
    <row r="700" spans="1:35" hidden="1">
      <c r="A700" t="s">
        <v>9854</v>
      </c>
      <c r="B700" s="1">
        <v>41213</v>
      </c>
      <c r="C700" s="1">
        <v>41258</v>
      </c>
      <c r="D700" t="s">
        <v>8527</v>
      </c>
      <c r="E700">
        <v>7000</v>
      </c>
      <c r="F700">
        <v>1120</v>
      </c>
      <c r="G700">
        <v>0</v>
      </c>
      <c r="H700">
        <v>0</v>
      </c>
      <c r="I700">
        <v>61</v>
      </c>
      <c r="J700">
        <v>8120</v>
      </c>
      <c r="K700" t="s">
        <v>8596</v>
      </c>
      <c r="L700" s="1">
        <v>41207</v>
      </c>
      <c r="N700" t="s">
        <v>5127</v>
      </c>
      <c r="O700" t="s">
        <v>2458</v>
      </c>
      <c r="P700" t="s">
        <v>8528</v>
      </c>
      <c r="Q700" t="s">
        <v>39</v>
      </c>
      <c r="R700" t="s">
        <v>40</v>
      </c>
      <c r="S700">
        <v>0</v>
      </c>
      <c r="U700" t="s">
        <v>41</v>
      </c>
      <c r="V700" t="s">
        <v>42</v>
      </c>
      <c r="X700" t="s">
        <v>74</v>
      </c>
      <c r="Y700" t="b">
        <v>0</v>
      </c>
      <c r="Z700" t="b">
        <v>0</v>
      </c>
      <c r="AC700" s="1"/>
      <c r="AF700">
        <v>0</v>
      </c>
      <c r="AG700">
        <v>45</v>
      </c>
      <c r="AH700">
        <v>106</v>
      </c>
      <c r="AI700" s="2">
        <f>Table__192.168.3.138BEWLPPMetaData[[#This Row],[NetAmount]]-Table__192.168.3.138BEWLPPMetaData[[#This Row],[Paid]]</f>
        <v>8120</v>
      </c>
    </row>
    <row r="701" spans="1:35" hidden="1">
      <c r="A701" t="s">
        <v>9855</v>
      </c>
      <c r="B701" s="1">
        <v>41195</v>
      </c>
      <c r="C701" s="1">
        <v>41240</v>
      </c>
      <c r="D701" t="s">
        <v>8524</v>
      </c>
      <c r="E701">
        <v>1162</v>
      </c>
      <c r="F701">
        <v>186</v>
      </c>
      <c r="G701">
        <v>0</v>
      </c>
      <c r="H701">
        <v>0</v>
      </c>
      <c r="I701">
        <v>55</v>
      </c>
      <c r="J701">
        <v>1348</v>
      </c>
      <c r="K701" t="s">
        <v>9856</v>
      </c>
      <c r="L701" s="1">
        <v>41213</v>
      </c>
      <c r="N701" t="s">
        <v>5127</v>
      </c>
      <c r="O701" t="s">
        <v>2458</v>
      </c>
      <c r="P701" t="s">
        <v>8525</v>
      </c>
      <c r="Q701" t="s">
        <v>39</v>
      </c>
      <c r="R701" t="s">
        <v>40</v>
      </c>
      <c r="S701">
        <v>0</v>
      </c>
      <c r="U701" t="s">
        <v>41</v>
      </c>
      <c r="V701" t="s">
        <v>42</v>
      </c>
      <c r="X701" t="s">
        <v>74</v>
      </c>
      <c r="Y701" t="b">
        <v>0</v>
      </c>
      <c r="Z701" t="b">
        <v>0</v>
      </c>
      <c r="AC701" s="1"/>
      <c r="AF701">
        <v>0</v>
      </c>
      <c r="AG701">
        <v>45</v>
      </c>
      <c r="AH701">
        <v>100</v>
      </c>
      <c r="AI701" s="2">
        <f>Table__192.168.3.138BEWLPPMetaData[[#This Row],[NetAmount]]-Table__192.168.3.138BEWLPPMetaData[[#This Row],[Paid]]</f>
        <v>1348</v>
      </c>
    </row>
    <row r="702" spans="1:35" hidden="1">
      <c r="A702" t="s">
        <v>9857</v>
      </c>
      <c r="B702" s="1">
        <v>41178</v>
      </c>
      <c r="C702" s="1">
        <v>41223</v>
      </c>
      <c r="D702" t="s">
        <v>8910</v>
      </c>
      <c r="E702">
        <v>71864</v>
      </c>
      <c r="F702">
        <v>11497</v>
      </c>
      <c r="G702">
        <v>0</v>
      </c>
      <c r="H702">
        <v>0</v>
      </c>
      <c r="I702">
        <v>91</v>
      </c>
      <c r="J702">
        <v>83361</v>
      </c>
      <c r="K702" t="s">
        <v>9858</v>
      </c>
      <c r="L702" s="1">
        <v>41177</v>
      </c>
      <c r="N702" t="s">
        <v>5127</v>
      </c>
      <c r="O702" t="s">
        <v>2458</v>
      </c>
      <c r="P702" t="s">
        <v>392</v>
      </c>
      <c r="Q702" t="s">
        <v>39</v>
      </c>
      <c r="R702" t="s">
        <v>40</v>
      </c>
      <c r="S702">
        <v>0</v>
      </c>
      <c r="U702" t="s">
        <v>41</v>
      </c>
      <c r="V702" t="s">
        <v>42</v>
      </c>
      <c r="X702" t="s">
        <v>74</v>
      </c>
      <c r="Y702" t="b">
        <v>0</v>
      </c>
      <c r="Z702" t="b">
        <v>0</v>
      </c>
      <c r="AC702" s="1"/>
      <c r="AF702">
        <v>0</v>
      </c>
      <c r="AG702">
        <v>45</v>
      </c>
      <c r="AH702">
        <v>136</v>
      </c>
      <c r="AI702" s="2">
        <f>Table__192.168.3.138BEWLPPMetaData[[#This Row],[NetAmount]]-Table__192.168.3.138BEWLPPMetaData[[#This Row],[Paid]]</f>
        <v>83361</v>
      </c>
    </row>
    <row r="703" spans="1:35" hidden="1">
      <c r="A703" t="s">
        <v>9859</v>
      </c>
      <c r="B703" s="1">
        <v>41191</v>
      </c>
      <c r="C703" s="1">
        <v>41236</v>
      </c>
      <c r="D703" t="s">
        <v>8794</v>
      </c>
      <c r="E703">
        <v>21000</v>
      </c>
      <c r="F703">
        <v>3360</v>
      </c>
      <c r="G703">
        <v>0</v>
      </c>
      <c r="H703">
        <v>0</v>
      </c>
      <c r="I703">
        <v>177</v>
      </c>
      <c r="J703">
        <v>24360</v>
      </c>
      <c r="K703" t="s">
        <v>5863</v>
      </c>
      <c r="L703" s="1">
        <v>41091</v>
      </c>
      <c r="N703" t="s">
        <v>5127</v>
      </c>
      <c r="O703" t="s">
        <v>2458</v>
      </c>
      <c r="P703" t="s">
        <v>8795</v>
      </c>
      <c r="Q703" t="s">
        <v>39</v>
      </c>
      <c r="R703" t="s">
        <v>40</v>
      </c>
      <c r="S703">
        <v>0</v>
      </c>
      <c r="U703" t="s">
        <v>41</v>
      </c>
      <c r="V703" t="s">
        <v>42</v>
      </c>
      <c r="X703" t="s">
        <v>74</v>
      </c>
      <c r="Y703" t="b">
        <v>0</v>
      </c>
      <c r="Z703" t="b">
        <v>0</v>
      </c>
      <c r="AC703" s="1"/>
      <c r="AF703">
        <v>0</v>
      </c>
      <c r="AG703">
        <v>45</v>
      </c>
      <c r="AH703">
        <v>222</v>
      </c>
      <c r="AI703" s="2">
        <f>Table__192.168.3.138BEWLPPMetaData[[#This Row],[NetAmount]]-Table__192.168.3.138BEWLPPMetaData[[#This Row],[Paid]]</f>
        <v>24360</v>
      </c>
    </row>
    <row r="704" spans="1:35" hidden="1">
      <c r="A704" t="s">
        <v>9860</v>
      </c>
      <c r="B704" s="1">
        <v>41190</v>
      </c>
      <c r="C704" s="1">
        <v>41235</v>
      </c>
      <c r="D704" t="s">
        <v>8794</v>
      </c>
      <c r="E704">
        <v>8500</v>
      </c>
      <c r="F704">
        <v>1360</v>
      </c>
      <c r="G704">
        <v>0</v>
      </c>
      <c r="H704">
        <v>0</v>
      </c>
      <c r="I704">
        <v>177</v>
      </c>
      <c r="J704">
        <v>9860</v>
      </c>
      <c r="K704" t="s">
        <v>6052</v>
      </c>
      <c r="L704" s="1">
        <v>41091</v>
      </c>
      <c r="N704" t="s">
        <v>5127</v>
      </c>
      <c r="O704" t="s">
        <v>2458</v>
      </c>
      <c r="P704" t="s">
        <v>8795</v>
      </c>
      <c r="Q704" t="s">
        <v>39</v>
      </c>
      <c r="R704" t="s">
        <v>40</v>
      </c>
      <c r="S704">
        <v>0</v>
      </c>
      <c r="U704" t="s">
        <v>41</v>
      </c>
      <c r="V704" t="s">
        <v>42</v>
      </c>
      <c r="X704" t="s">
        <v>74</v>
      </c>
      <c r="Y704" t="b">
        <v>0</v>
      </c>
      <c r="Z704" t="b">
        <v>0</v>
      </c>
      <c r="AC704" s="1"/>
      <c r="AF704">
        <v>0</v>
      </c>
      <c r="AG704">
        <v>45</v>
      </c>
      <c r="AH704">
        <v>222</v>
      </c>
      <c r="AI704" s="2">
        <f>Table__192.168.3.138BEWLPPMetaData[[#This Row],[NetAmount]]-Table__192.168.3.138BEWLPPMetaData[[#This Row],[Paid]]</f>
        <v>9860</v>
      </c>
    </row>
    <row r="705" spans="1:35" hidden="1">
      <c r="A705" t="s">
        <v>9861</v>
      </c>
      <c r="B705" s="1">
        <v>41198</v>
      </c>
      <c r="C705" s="1">
        <v>41243</v>
      </c>
      <c r="D705" t="s">
        <v>9150</v>
      </c>
      <c r="E705">
        <v>47500</v>
      </c>
      <c r="F705">
        <v>7600</v>
      </c>
      <c r="G705">
        <v>0</v>
      </c>
      <c r="H705">
        <v>0</v>
      </c>
      <c r="I705">
        <v>55</v>
      </c>
      <c r="J705">
        <v>55100</v>
      </c>
      <c r="K705" t="s">
        <v>946</v>
      </c>
      <c r="L705" s="1">
        <v>41213</v>
      </c>
      <c r="N705" t="s">
        <v>5127</v>
      </c>
      <c r="O705" t="s">
        <v>2458</v>
      </c>
      <c r="P705" t="s">
        <v>423</v>
      </c>
      <c r="Q705" t="s">
        <v>39</v>
      </c>
      <c r="R705" t="s">
        <v>40</v>
      </c>
      <c r="S705">
        <v>0</v>
      </c>
      <c r="U705" t="s">
        <v>41</v>
      </c>
      <c r="V705" t="s">
        <v>42</v>
      </c>
      <c r="X705" t="s">
        <v>74</v>
      </c>
      <c r="Y705" t="b">
        <v>0</v>
      </c>
      <c r="Z705" t="b">
        <v>0</v>
      </c>
      <c r="AC705" s="1"/>
      <c r="AF705">
        <v>0</v>
      </c>
      <c r="AG705">
        <v>45</v>
      </c>
      <c r="AH705">
        <v>100</v>
      </c>
      <c r="AI705" s="2">
        <f>Table__192.168.3.138BEWLPPMetaData[[#This Row],[NetAmount]]-Table__192.168.3.138BEWLPPMetaData[[#This Row],[Paid]]</f>
        <v>55100</v>
      </c>
    </row>
    <row r="706" spans="1:35" hidden="1">
      <c r="A706" t="s">
        <v>9862</v>
      </c>
      <c r="B706" s="1">
        <v>41213</v>
      </c>
      <c r="C706" s="1">
        <v>41258</v>
      </c>
      <c r="D706" t="s">
        <v>8577</v>
      </c>
      <c r="E706">
        <v>23198</v>
      </c>
      <c r="F706">
        <v>0</v>
      </c>
      <c r="G706">
        <v>0</v>
      </c>
      <c r="H706">
        <v>0</v>
      </c>
      <c r="I706">
        <v>62</v>
      </c>
      <c r="J706">
        <v>23198</v>
      </c>
      <c r="K706" t="s">
        <v>4368</v>
      </c>
      <c r="L706" s="1">
        <v>41206</v>
      </c>
      <c r="N706" t="s">
        <v>5127</v>
      </c>
      <c r="O706" t="s">
        <v>2458</v>
      </c>
      <c r="P706" t="s">
        <v>8579</v>
      </c>
      <c r="Q706" t="s">
        <v>39</v>
      </c>
      <c r="R706" t="s">
        <v>40</v>
      </c>
      <c r="S706">
        <v>0</v>
      </c>
      <c r="U706" t="s">
        <v>41</v>
      </c>
      <c r="V706" t="s">
        <v>42</v>
      </c>
      <c r="X706" t="s">
        <v>74</v>
      </c>
      <c r="Y706" t="b">
        <v>0</v>
      </c>
      <c r="Z706" t="b">
        <v>0</v>
      </c>
      <c r="AC706" s="1"/>
      <c r="AF706">
        <v>0</v>
      </c>
      <c r="AG706">
        <v>45</v>
      </c>
      <c r="AH706">
        <v>107</v>
      </c>
      <c r="AI706" s="2">
        <f>Table__192.168.3.138BEWLPPMetaData[[#This Row],[NetAmount]]-Table__192.168.3.138BEWLPPMetaData[[#This Row],[Paid]]</f>
        <v>23198</v>
      </c>
    </row>
    <row r="707" spans="1:35" hidden="1">
      <c r="A707" t="s">
        <v>9863</v>
      </c>
      <c r="B707" s="1">
        <v>41206</v>
      </c>
      <c r="C707" s="1">
        <v>41251</v>
      </c>
      <c r="D707" t="s">
        <v>8577</v>
      </c>
      <c r="E707">
        <v>2100</v>
      </c>
      <c r="F707">
        <v>0</v>
      </c>
      <c r="G707">
        <v>0</v>
      </c>
      <c r="H707">
        <v>0</v>
      </c>
      <c r="I707">
        <v>63</v>
      </c>
      <c r="J707">
        <v>2100</v>
      </c>
      <c r="K707" t="s">
        <v>4006</v>
      </c>
      <c r="L707" s="1">
        <v>41205</v>
      </c>
      <c r="N707" t="s">
        <v>5127</v>
      </c>
      <c r="O707" t="s">
        <v>2458</v>
      </c>
      <c r="P707" t="s">
        <v>8579</v>
      </c>
      <c r="Q707" t="s">
        <v>39</v>
      </c>
      <c r="R707" t="s">
        <v>40</v>
      </c>
      <c r="S707">
        <v>0</v>
      </c>
      <c r="U707" t="s">
        <v>41</v>
      </c>
      <c r="V707" t="s">
        <v>42</v>
      </c>
      <c r="X707" t="s">
        <v>74</v>
      </c>
      <c r="Y707" t="b">
        <v>0</v>
      </c>
      <c r="Z707" t="b">
        <v>0</v>
      </c>
      <c r="AC707" s="1"/>
      <c r="AF707">
        <v>0</v>
      </c>
      <c r="AG707">
        <v>45</v>
      </c>
      <c r="AH707">
        <v>108</v>
      </c>
      <c r="AI707" s="2">
        <f>Table__192.168.3.138BEWLPPMetaData[[#This Row],[NetAmount]]-Table__192.168.3.138BEWLPPMetaData[[#This Row],[Paid]]</f>
        <v>2100</v>
      </c>
    </row>
    <row r="708" spans="1:35" hidden="1">
      <c r="A708" t="s">
        <v>9864</v>
      </c>
      <c r="B708" s="1">
        <v>41205</v>
      </c>
      <c r="C708" s="1">
        <v>41250</v>
      </c>
      <c r="D708" t="s">
        <v>8577</v>
      </c>
      <c r="E708">
        <v>9900</v>
      </c>
      <c r="F708">
        <v>0</v>
      </c>
      <c r="G708">
        <v>0</v>
      </c>
      <c r="H708">
        <v>0</v>
      </c>
      <c r="I708">
        <v>63</v>
      </c>
      <c r="J708">
        <v>9900</v>
      </c>
      <c r="K708" t="s">
        <v>4004</v>
      </c>
      <c r="L708" s="1">
        <v>41205</v>
      </c>
      <c r="N708" t="s">
        <v>5127</v>
      </c>
      <c r="O708" t="s">
        <v>2458</v>
      </c>
      <c r="P708" t="s">
        <v>8579</v>
      </c>
      <c r="Q708" t="s">
        <v>39</v>
      </c>
      <c r="R708" t="s">
        <v>40</v>
      </c>
      <c r="S708">
        <v>0</v>
      </c>
      <c r="U708" t="s">
        <v>41</v>
      </c>
      <c r="V708" t="s">
        <v>42</v>
      </c>
      <c r="X708" t="s">
        <v>74</v>
      </c>
      <c r="Y708" t="b">
        <v>0</v>
      </c>
      <c r="Z708" t="b">
        <v>0</v>
      </c>
      <c r="AC708" s="1"/>
      <c r="AF708">
        <v>0</v>
      </c>
      <c r="AG708">
        <v>45</v>
      </c>
      <c r="AH708">
        <v>108</v>
      </c>
      <c r="AI708" s="2">
        <f>Table__192.168.3.138BEWLPPMetaData[[#This Row],[NetAmount]]-Table__192.168.3.138BEWLPPMetaData[[#This Row],[Paid]]</f>
        <v>9900</v>
      </c>
    </row>
    <row r="709" spans="1:35" hidden="1">
      <c r="A709" t="s">
        <v>9865</v>
      </c>
      <c r="B709" s="1">
        <v>41206</v>
      </c>
      <c r="C709" s="1">
        <v>41251</v>
      </c>
      <c r="D709" t="s">
        <v>8577</v>
      </c>
      <c r="E709">
        <v>1500</v>
      </c>
      <c r="F709">
        <v>0</v>
      </c>
      <c r="G709">
        <v>0</v>
      </c>
      <c r="H709">
        <v>0</v>
      </c>
      <c r="I709">
        <v>67</v>
      </c>
      <c r="J709">
        <v>1500</v>
      </c>
      <c r="K709" t="s">
        <v>4605</v>
      </c>
      <c r="L709" s="1">
        <v>41201</v>
      </c>
      <c r="N709" t="s">
        <v>5127</v>
      </c>
      <c r="O709" t="s">
        <v>2458</v>
      </c>
      <c r="P709" t="s">
        <v>8579</v>
      </c>
      <c r="Q709" t="s">
        <v>39</v>
      </c>
      <c r="R709" t="s">
        <v>40</v>
      </c>
      <c r="S709">
        <v>0</v>
      </c>
      <c r="U709" t="s">
        <v>41</v>
      </c>
      <c r="V709" t="s">
        <v>42</v>
      </c>
      <c r="X709" t="s">
        <v>74</v>
      </c>
      <c r="Y709" t="b">
        <v>0</v>
      </c>
      <c r="Z709" t="b">
        <v>0</v>
      </c>
      <c r="AC709" s="1"/>
      <c r="AF709">
        <v>0</v>
      </c>
      <c r="AG709">
        <v>45</v>
      </c>
      <c r="AH709">
        <v>112</v>
      </c>
      <c r="AI709" s="2">
        <f>Table__192.168.3.138BEWLPPMetaData[[#This Row],[NetAmount]]-Table__192.168.3.138BEWLPPMetaData[[#This Row],[Paid]]</f>
        <v>1500</v>
      </c>
    </row>
    <row r="710" spans="1:35" hidden="1">
      <c r="A710" t="s">
        <v>9866</v>
      </c>
      <c r="B710" s="1">
        <v>41202</v>
      </c>
      <c r="C710" s="1">
        <v>41247</v>
      </c>
      <c r="D710" t="s">
        <v>8577</v>
      </c>
      <c r="E710">
        <v>19725</v>
      </c>
      <c r="F710">
        <v>0</v>
      </c>
      <c r="G710">
        <v>0</v>
      </c>
      <c r="H710">
        <v>0</v>
      </c>
      <c r="I710">
        <v>70</v>
      </c>
      <c r="J710">
        <v>19725</v>
      </c>
      <c r="K710" t="s">
        <v>3866</v>
      </c>
      <c r="L710" s="1">
        <v>41198</v>
      </c>
      <c r="N710" t="s">
        <v>5127</v>
      </c>
      <c r="O710" t="s">
        <v>2458</v>
      </c>
      <c r="P710" t="s">
        <v>8579</v>
      </c>
      <c r="Q710" t="s">
        <v>39</v>
      </c>
      <c r="R710" t="s">
        <v>40</v>
      </c>
      <c r="S710">
        <v>0</v>
      </c>
      <c r="U710" t="s">
        <v>41</v>
      </c>
      <c r="V710" t="s">
        <v>42</v>
      </c>
      <c r="X710" t="s">
        <v>74</v>
      </c>
      <c r="Y710" t="b">
        <v>0</v>
      </c>
      <c r="Z710" t="b">
        <v>0</v>
      </c>
      <c r="AC710" s="1"/>
      <c r="AF710">
        <v>0</v>
      </c>
      <c r="AG710">
        <v>45</v>
      </c>
      <c r="AH710">
        <v>115</v>
      </c>
      <c r="AI710" s="2">
        <f>Table__192.168.3.138BEWLPPMetaData[[#This Row],[NetAmount]]-Table__192.168.3.138BEWLPPMetaData[[#This Row],[Paid]]</f>
        <v>19725</v>
      </c>
    </row>
    <row r="711" spans="1:35" hidden="1">
      <c r="A711" t="s">
        <v>9867</v>
      </c>
      <c r="B711" s="1">
        <v>41195</v>
      </c>
      <c r="C711" s="1">
        <v>41240</v>
      </c>
      <c r="D711" t="s">
        <v>8577</v>
      </c>
      <c r="E711">
        <v>495</v>
      </c>
      <c r="F711">
        <v>0</v>
      </c>
      <c r="G711">
        <v>0</v>
      </c>
      <c r="H711">
        <v>0</v>
      </c>
      <c r="I711">
        <v>73</v>
      </c>
      <c r="J711">
        <v>495</v>
      </c>
      <c r="K711" t="s">
        <v>1173</v>
      </c>
      <c r="L711" s="1">
        <v>41195</v>
      </c>
      <c r="N711" t="s">
        <v>5127</v>
      </c>
      <c r="O711" t="s">
        <v>2458</v>
      </c>
      <c r="P711" t="s">
        <v>8579</v>
      </c>
      <c r="Q711" t="s">
        <v>39</v>
      </c>
      <c r="R711" t="s">
        <v>40</v>
      </c>
      <c r="S711">
        <v>0</v>
      </c>
      <c r="U711" t="s">
        <v>41</v>
      </c>
      <c r="V711" t="s">
        <v>42</v>
      </c>
      <c r="X711" t="s">
        <v>74</v>
      </c>
      <c r="Y711" t="b">
        <v>0</v>
      </c>
      <c r="Z711" t="b">
        <v>0</v>
      </c>
      <c r="AC711" s="1"/>
      <c r="AF711">
        <v>0</v>
      </c>
      <c r="AG711">
        <v>45</v>
      </c>
      <c r="AH711">
        <v>118</v>
      </c>
      <c r="AI711" s="2">
        <f>Table__192.168.3.138BEWLPPMetaData[[#This Row],[NetAmount]]-Table__192.168.3.138BEWLPPMetaData[[#This Row],[Paid]]</f>
        <v>495</v>
      </c>
    </row>
    <row r="712" spans="1:35" hidden="1">
      <c r="A712" t="s">
        <v>9868</v>
      </c>
      <c r="B712" s="1">
        <v>41200</v>
      </c>
      <c r="C712" s="1">
        <v>41245</v>
      </c>
      <c r="D712" t="s">
        <v>8577</v>
      </c>
      <c r="E712">
        <v>1140</v>
      </c>
      <c r="F712">
        <v>0</v>
      </c>
      <c r="G712">
        <v>0</v>
      </c>
      <c r="H712">
        <v>0</v>
      </c>
      <c r="I712">
        <v>77</v>
      </c>
      <c r="J712">
        <v>1140</v>
      </c>
      <c r="K712" t="s">
        <v>3829</v>
      </c>
      <c r="L712" s="1">
        <v>41191</v>
      </c>
      <c r="N712" t="s">
        <v>5127</v>
      </c>
      <c r="O712" t="s">
        <v>2458</v>
      </c>
      <c r="P712" t="s">
        <v>8579</v>
      </c>
      <c r="Q712" t="s">
        <v>39</v>
      </c>
      <c r="R712" t="s">
        <v>40</v>
      </c>
      <c r="S712">
        <v>0</v>
      </c>
      <c r="U712" t="s">
        <v>41</v>
      </c>
      <c r="V712" t="s">
        <v>42</v>
      </c>
      <c r="X712" t="s">
        <v>74</v>
      </c>
      <c r="Y712" t="b">
        <v>0</v>
      </c>
      <c r="Z712" t="b">
        <v>0</v>
      </c>
      <c r="AC712" s="1"/>
      <c r="AF712">
        <v>0</v>
      </c>
      <c r="AG712">
        <v>45</v>
      </c>
      <c r="AH712">
        <v>122</v>
      </c>
      <c r="AI712" s="2">
        <f>Table__192.168.3.138BEWLPPMetaData[[#This Row],[NetAmount]]-Table__192.168.3.138BEWLPPMetaData[[#This Row],[Paid]]</f>
        <v>1140</v>
      </c>
    </row>
    <row r="713" spans="1:35" hidden="1">
      <c r="A713" t="s">
        <v>9869</v>
      </c>
      <c r="B713" s="1">
        <v>41174</v>
      </c>
      <c r="C713" s="1">
        <v>41219</v>
      </c>
      <c r="D713" t="s">
        <v>8577</v>
      </c>
      <c r="E713">
        <v>2450</v>
      </c>
      <c r="F713">
        <v>0</v>
      </c>
      <c r="G713">
        <v>0</v>
      </c>
      <c r="H713">
        <v>0</v>
      </c>
      <c r="I713">
        <v>72</v>
      </c>
      <c r="J713">
        <v>2450</v>
      </c>
      <c r="K713" t="s">
        <v>1007</v>
      </c>
      <c r="L713" s="1">
        <v>41196</v>
      </c>
      <c r="N713" t="s">
        <v>5127</v>
      </c>
      <c r="O713" t="s">
        <v>2458</v>
      </c>
      <c r="P713" t="s">
        <v>8579</v>
      </c>
      <c r="Q713" t="s">
        <v>39</v>
      </c>
      <c r="R713" t="s">
        <v>40</v>
      </c>
      <c r="S713">
        <v>0</v>
      </c>
      <c r="U713" t="s">
        <v>41</v>
      </c>
      <c r="V713" t="s">
        <v>42</v>
      </c>
      <c r="X713" t="s">
        <v>74</v>
      </c>
      <c r="Y713" t="b">
        <v>0</v>
      </c>
      <c r="Z713" t="b">
        <v>0</v>
      </c>
      <c r="AC713" s="1"/>
      <c r="AF713">
        <v>0</v>
      </c>
      <c r="AG713">
        <v>45</v>
      </c>
      <c r="AH713">
        <v>117</v>
      </c>
      <c r="AI713" s="2">
        <f>Table__192.168.3.138BEWLPPMetaData[[#This Row],[NetAmount]]-Table__192.168.3.138BEWLPPMetaData[[#This Row],[Paid]]</f>
        <v>2450</v>
      </c>
    </row>
    <row r="714" spans="1:35" hidden="1">
      <c r="A714" t="s">
        <v>9870</v>
      </c>
      <c r="B714" s="1">
        <v>41174</v>
      </c>
      <c r="C714" s="1">
        <v>41219</v>
      </c>
      <c r="D714" t="s">
        <v>8577</v>
      </c>
      <c r="E714">
        <v>2805</v>
      </c>
      <c r="F714">
        <v>0</v>
      </c>
      <c r="G714">
        <v>0</v>
      </c>
      <c r="H714">
        <v>0</v>
      </c>
      <c r="I714">
        <v>74</v>
      </c>
      <c r="J714">
        <v>2805</v>
      </c>
      <c r="K714" t="s">
        <v>2575</v>
      </c>
      <c r="L714" s="1">
        <v>41194</v>
      </c>
      <c r="N714" t="s">
        <v>5127</v>
      </c>
      <c r="O714" t="s">
        <v>2458</v>
      </c>
      <c r="P714" t="s">
        <v>8579</v>
      </c>
      <c r="Q714" t="s">
        <v>39</v>
      </c>
      <c r="R714" t="s">
        <v>40</v>
      </c>
      <c r="S714">
        <v>0</v>
      </c>
      <c r="U714" t="s">
        <v>41</v>
      </c>
      <c r="V714" t="s">
        <v>42</v>
      </c>
      <c r="X714" t="s">
        <v>74</v>
      </c>
      <c r="Y714" t="b">
        <v>0</v>
      </c>
      <c r="Z714" t="b">
        <v>0</v>
      </c>
      <c r="AC714" s="1"/>
      <c r="AF714">
        <v>0</v>
      </c>
      <c r="AG714">
        <v>45</v>
      </c>
      <c r="AH714">
        <v>119</v>
      </c>
      <c r="AI714" s="2">
        <f>Table__192.168.3.138BEWLPPMetaData[[#This Row],[NetAmount]]-Table__192.168.3.138BEWLPPMetaData[[#This Row],[Paid]]</f>
        <v>2805</v>
      </c>
    </row>
    <row r="715" spans="1:35" hidden="1">
      <c r="A715" t="s">
        <v>9871</v>
      </c>
      <c r="B715" s="1">
        <v>41220</v>
      </c>
      <c r="C715" s="1">
        <v>41265</v>
      </c>
      <c r="D715" t="s">
        <v>8577</v>
      </c>
      <c r="E715">
        <v>3380</v>
      </c>
      <c r="F715">
        <v>0</v>
      </c>
      <c r="G715">
        <v>0</v>
      </c>
      <c r="H715">
        <v>0</v>
      </c>
      <c r="I715">
        <v>48</v>
      </c>
      <c r="J715">
        <v>3380</v>
      </c>
      <c r="K715" t="s">
        <v>4084</v>
      </c>
      <c r="L715" s="1">
        <v>41220</v>
      </c>
      <c r="N715" t="s">
        <v>5127</v>
      </c>
      <c r="O715" t="s">
        <v>2458</v>
      </c>
      <c r="P715" t="s">
        <v>8579</v>
      </c>
      <c r="Q715" t="s">
        <v>39</v>
      </c>
      <c r="R715" t="s">
        <v>40</v>
      </c>
      <c r="S715">
        <v>0</v>
      </c>
      <c r="U715" t="s">
        <v>41</v>
      </c>
      <c r="V715" t="s">
        <v>42</v>
      </c>
      <c r="X715" t="s">
        <v>74</v>
      </c>
      <c r="Y715" t="b">
        <v>0</v>
      </c>
      <c r="Z715" t="b">
        <v>0</v>
      </c>
      <c r="AC715" s="1"/>
      <c r="AF715">
        <v>0</v>
      </c>
      <c r="AG715">
        <v>45</v>
      </c>
      <c r="AH715">
        <v>93</v>
      </c>
      <c r="AI715" s="2">
        <f>Table__192.168.3.138BEWLPPMetaData[[#This Row],[NetAmount]]-Table__192.168.3.138BEWLPPMetaData[[#This Row],[Paid]]</f>
        <v>3380</v>
      </c>
    </row>
    <row r="716" spans="1:35" hidden="1">
      <c r="A716" t="s">
        <v>9872</v>
      </c>
      <c r="B716" s="1">
        <v>41218</v>
      </c>
      <c r="C716" s="1">
        <v>41263</v>
      </c>
      <c r="D716" t="s">
        <v>8577</v>
      </c>
      <c r="E716">
        <v>600</v>
      </c>
      <c r="F716">
        <v>0</v>
      </c>
      <c r="G716">
        <v>0</v>
      </c>
      <c r="H716">
        <v>0</v>
      </c>
      <c r="I716">
        <v>50</v>
      </c>
      <c r="J716">
        <v>600</v>
      </c>
      <c r="K716" t="s">
        <v>4059</v>
      </c>
      <c r="L716" s="1">
        <v>41218</v>
      </c>
      <c r="N716" t="s">
        <v>5127</v>
      </c>
      <c r="O716" t="s">
        <v>2458</v>
      </c>
      <c r="P716" t="s">
        <v>8579</v>
      </c>
      <c r="Q716" t="s">
        <v>39</v>
      </c>
      <c r="R716" t="s">
        <v>40</v>
      </c>
      <c r="S716">
        <v>0</v>
      </c>
      <c r="U716" t="s">
        <v>41</v>
      </c>
      <c r="V716" t="s">
        <v>42</v>
      </c>
      <c r="X716" t="s">
        <v>74</v>
      </c>
      <c r="Y716" t="b">
        <v>0</v>
      </c>
      <c r="Z716" t="b">
        <v>0</v>
      </c>
      <c r="AC716" s="1"/>
      <c r="AF716">
        <v>0</v>
      </c>
      <c r="AG716">
        <v>45</v>
      </c>
      <c r="AH716">
        <v>95</v>
      </c>
      <c r="AI716" s="2">
        <f>Table__192.168.3.138BEWLPPMetaData[[#This Row],[NetAmount]]-Table__192.168.3.138BEWLPPMetaData[[#This Row],[Paid]]</f>
        <v>600</v>
      </c>
    </row>
    <row r="717" spans="1:35" hidden="1">
      <c r="A717" t="s">
        <v>9873</v>
      </c>
      <c r="B717" s="1">
        <v>41221</v>
      </c>
      <c r="C717" s="1">
        <v>41266</v>
      </c>
      <c r="D717" t="s">
        <v>8611</v>
      </c>
      <c r="E717">
        <v>7796</v>
      </c>
      <c r="F717">
        <v>1247</v>
      </c>
      <c r="G717">
        <v>0</v>
      </c>
      <c r="H717">
        <v>0</v>
      </c>
      <c r="I717">
        <v>48</v>
      </c>
      <c r="J717">
        <v>9043</v>
      </c>
      <c r="K717" t="s">
        <v>8651</v>
      </c>
      <c r="L717" s="1">
        <v>41220</v>
      </c>
      <c r="N717" t="s">
        <v>5127</v>
      </c>
      <c r="O717" t="s">
        <v>2458</v>
      </c>
      <c r="P717" t="s">
        <v>8612</v>
      </c>
      <c r="Q717" t="s">
        <v>39</v>
      </c>
      <c r="R717" t="s">
        <v>40</v>
      </c>
      <c r="S717">
        <v>0</v>
      </c>
      <c r="U717" t="s">
        <v>41</v>
      </c>
      <c r="V717" t="s">
        <v>42</v>
      </c>
      <c r="X717" t="s">
        <v>74</v>
      </c>
      <c r="Y717" t="b">
        <v>0</v>
      </c>
      <c r="Z717" t="b">
        <v>0</v>
      </c>
      <c r="AC717" s="1"/>
      <c r="AF717">
        <v>0</v>
      </c>
      <c r="AG717">
        <v>45</v>
      </c>
      <c r="AH717">
        <v>93</v>
      </c>
      <c r="AI717" s="2">
        <f>Table__192.168.3.138BEWLPPMetaData[[#This Row],[NetAmount]]-Table__192.168.3.138BEWLPPMetaData[[#This Row],[Paid]]</f>
        <v>9043</v>
      </c>
    </row>
    <row r="718" spans="1:35" hidden="1">
      <c r="A718" t="s">
        <v>9874</v>
      </c>
      <c r="B718" s="1">
        <v>41221</v>
      </c>
      <c r="C718" s="1">
        <v>41266</v>
      </c>
      <c r="D718" t="s">
        <v>8538</v>
      </c>
      <c r="E718">
        <v>216</v>
      </c>
      <c r="F718">
        <v>35</v>
      </c>
      <c r="G718">
        <v>0</v>
      </c>
      <c r="H718">
        <v>0</v>
      </c>
      <c r="I718">
        <v>47</v>
      </c>
      <c r="J718">
        <v>251</v>
      </c>
      <c r="K718" t="s">
        <v>9875</v>
      </c>
      <c r="L718" s="1">
        <v>41221</v>
      </c>
      <c r="N718" t="s">
        <v>5127</v>
      </c>
      <c r="O718" t="s">
        <v>2458</v>
      </c>
      <c r="P718" t="s">
        <v>310</v>
      </c>
      <c r="Q718" t="s">
        <v>39</v>
      </c>
      <c r="R718" t="s">
        <v>40</v>
      </c>
      <c r="S718">
        <v>0</v>
      </c>
      <c r="U718" t="s">
        <v>41</v>
      </c>
      <c r="V718" t="s">
        <v>42</v>
      </c>
      <c r="X718" t="s">
        <v>74</v>
      </c>
      <c r="Y718" t="b">
        <v>0</v>
      </c>
      <c r="Z718" t="b">
        <v>0</v>
      </c>
      <c r="AC718" s="1"/>
      <c r="AF718">
        <v>0</v>
      </c>
      <c r="AG718">
        <v>45</v>
      </c>
      <c r="AH718">
        <v>92</v>
      </c>
      <c r="AI718" s="2">
        <f>Table__192.168.3.138BEWLPPMetaData[[#This Row],[NetAmount]]-Table__192.168.3.138BEWLPPMetaData[[#This Row],[Paid]]</f>
        <v>251</v>
      </c>
    </row>
    <row r="719" spans="1:35" hidden="1">
      <c r="A719" t="s">
        <v>9876</v>
      </c>
      <c r="B719" s="1">
        <v>41230</v>
      </c>
      <c r="C719" s="1">
        <v>41275</v>
      </c>
      <c r="D719" t="s">
        <v>8869</v>
      </c>
      <c r="E719">
        <v>52179</v>
      </c>
      <c r="F719">
        <v>8349</v>
      </c>
      <c r="G719">
        <v>0</v>
      </c>
      <c r="H719">
        <v>0</v>
      </c>
      <c r="I719">
        <v>41</v>
      </c>
      <c r="J719">
        <v>60528</v>
      </c>
      <c r="K719" t="s">
        <v>3253</v>
      </c>
      <c r="L719" s="1">
        <v>41227</v>
      </c>
      <c r="N719" t="s">
        <v>5127</v>
      </c>
      <c r="O719" t="s">
        <v>2458</v>
      </c>
      <c r="P719" t="s">
        <v>8870</v>
      </c>
      <c r="Q719" t="s">
        <v>39</v>
      </c>
      <c r="R719" t="s">
        <v>40</v>
      </c>
      <c r="S719">
        <v>0</v>
      </c>
      <c r="U719" t="s">
        <v>41</v>
      </c>
      <c r="V719" t="s">
        <v>42</v>
      </c>
      <c r="X719" t="s">
        <v>74</v>
      </c>
      <c r="Y719" t="b">
        <v>0</v>
      </c>
      <c r="Z719" t="b">
        <v>0</v>
      </c>
      <c r="AC719" s="1"/>
      <c r="AF719">
        <v>0</v>
      </c>
      <c r="AG719">
        <v>45</v>
      </c>
      <c r="AH719">
        <v>86</v>
      </c>
      <c r="AI719" s="2">
        <f>Table__192.168.3.138BEWLPPMetaData[[#This Row],[NetAmount]]-Table__192.168.3.138BEWLPPMetaData[[#This Row],[Paid]]</f>
        <v>60528</v>
      </c>
    </row>
    <row r="720" spans="1:35" hidden="1">
      <c r="A720" t="s">
        <v>9877</v>
      </c>
      <c r="B720" s="1">
        <v>41223</v>
      </c>
      <c r="C720" s="1">
        <v>41268</v>
      </c>
      <c r="D720" t="s">
        <v>8530</v>
      </c>
      <c r="E720">
        <v>39600</v>
      </c>
      <c r="F720">
        <v>6336</v>
      </c>
      <c r="G720">
        <v>0</v>
      </c>
      <c r="H720">
        <v>0</v>
      </c>
      <c r="I720">
        <v>54</v>
      </c>
      <c r="J720">
        <v>45936</v>
      </c>
      <c r="K720" t="s">
        <v>9878</v>
      </c>
      <c r="L720" s="1">
        <v>41214</v>
      </c>
      <c r="N720" t="s">
        <v>5127</v>
      </c>
      <c r="O720" t="s">
        <v>2458</v>
      </c>
      <c r="P720" t="s">
        <v>357</v>
      </c>
      <c r="Q720" t="s">
        <v>39</v>
      </c>
      <c r="R720" t="s">
        <v>40</v>
      </c>
      <c r="S720">
        <v>0</v>
      </c>
      <c r="U720" t="s">
        <v>41</v>
      </c>
      <c r="V720" t="s">
        <v>42</v>
      </c>
      <c r="X720" t="s">
        <v>74</v>
      </c>
      <c r="Y720" t="b">
        <v>0</v>
      </c>
      <c r="Z720" t="b">
        <v>0</v>
      </c>
      <c r="AC720" s="1"/>
      <c r="AF720">
        <v>0</v>
      </c>
      <c r="AG720">
        <v>45</v>
      </c>
      <c r="AH720">
        <v>99</v>
      </c>
      <c r="AI720" s="2">
        <f>Table__192.168.3.138BEWLPPMetaData[[#This Row],[NetAmount]]-Table__192.168.3.138BEWLPPMetaData[[#This Row],[Paid]]</f>
        <v>45936</v>
      </c>
    </row>
    <row r="721" spans="1:35" hidden="1">
      <c r="A721" t="s">
        <v>9879</v>
      </c>
      <c r="B721" s="1">
        <v>41221</v>
      </c>
      <c r="C721" s="1">
        <v>41266</v>
      </c>
      <c r="D721" t="s">
        <v>9880</v>
      </c>
      <c r="E721">
        <v>84000</v>
      </c>
      <c r="F721">
        <v>13440</v>
      </c>
      <c r="G721">
        <v>0</v>
      </c>
      <c r="H721">
        <v>0</v>
      </c>
      <c r="I721">
        <v>47</v>
      </c>
      <c r="J721">
        <v>97440</v>
      </c>
      <c r="K721" t="s">
        <v>9881</v>
      </c>
      <c r="L721" s="1">
        <v>41221</v>
      </c>
      <c r="N721" t="s">
        <v>5127</v>
      </c>
      <c r="O721" t="s">
        <v>2458</v>
      </c>
      <c r="P721" t="s">
        <v>9882</v>
      </c>
      <c r="Q721" t="s">
        <v>39</v>
      </c>
      <c r="R721" t="s">
        <v>40</v>
      </c>
      <c r="S721">
        <v>0</v>
      </c>
      <c r="U721" t="s">
        <v>41</v>
      </c>
      <c r="V721" t="s">
        <v>42</v>
      </c>
      <c r="X721" t="s">
        <v>74</v>
      </c>
      <c r="Y721" t="b">
        <v>0</v>
      </c>
      <c r="Z721" t="b">
        <v>0</v>
      </c>
      <c r="AC721" s="1"/>
      <c r="AF721">
        <v>0</v>
      </c>
      <c r="AG721">
        <v>45</v>
      </c>
      <c r="AH721">
        <v>92</v>
      </c>
      <c r="AI721" s="2">
        <f>Table__192.168.3.138BEWLPPMetaData[[#This Row],[NetAmount]]-Table__192.168.3.138BEWLPPMetaData[[#This Row],[Paid]]</f>
        <v>97440</v>
      </c>
    </row>
    <row r="722" spans="1:35" hidden="1">
      <c r="A722" t="s">
        <v>9883</v>
      </c>
      <c r="B722" s="1">
        <v>41229</v>
      </c>
      <c r="C722" s="1">
        <v>41274</v>
      </c>
      <c r="D722" t="s">
        <v>8530</v>
      </c>
      <c r="E722">
        <v>164017</v>
      </c>
      <c r="F722">
        <v>26243</v>
      </c>
      <c r="G722">
        <v>0</v>
      </c>
      <c r="H722">
        <v>0</v>
      </c>
      <c r="I722">
        <v>39</v>
      </c>
      <c r="J722">
        <v>190260</v>
      </c>
      <c r="K722" t="s">
        <v>9884</v>
      </c>
      <c r="L722" s="1">
        <v>41229</v>
      </c>
      <c r="N722" t="s">
        <v>5127</v>
      </c>
      <c r="O722" t="s">
        <v>2458</v>
      </c>
      <c r="P722" t="s">
        <v>357</v>
      </c>
      <c r="Q722" t="s">
        <v>39</v>
      </c>
      <c r="R722" t="s">
        <v>40</v>
      </c>
      <c r="S722">
        <v>0</v>
      </c>
      <c r="U722" t="s">
        <v>41</v>
      </c>
      <c r="V722" t="s">
        <v>42</v>
      </c>
      <c r="X722" t="s">
        <v>74</v>
      </c>
      <c r="Y722" t="b">
        <v>0</v>
      </c>
      <c r="Z722" t="b">
        <v>0</v>
      </c>
      <c r="AC722" s="1"/>
      <c r="AF722">
        <v>0</v>
      </c>
      <c r="AG722">
        <v>45</v>
      </c>
      <c r="AH722">
        <v>84</v>
      </c>
      <c r="AI722" s="2">
        <f>Table__192.168.3.138BEWLPPMetaData[[#This Row],[NetAmount]]-Table__192.168.3.138BEWLPPMetaData[[#This Row],[Paid]]</f>
        <v>190260</v>
      </c>
    </row>
    <row r="723" spans="1:35" hidden="1">
      <c r="A723" t="s">
        <v>9885</v>
      </c>
      <c r="B723" s="1">
        <v>41225</v>
      </c>
      <c r="C723" s="1">
        <v>41270</v>
      </c>
      <c r="D723" t="s">
        <v>8530</v>
      </c>
      <c r="E723">
        <v>335757</v>
      </c>
      <c r="F723">
        <v>53721</v>
      </c>
      <c r="G723">
        <v>0</v>
      </c>
      <c r="H723">
        <v>0</v>
      </c>
      <c r="I723">
        <v>43</v>
      </c>
      <c r="J723">
        <v>389478</v>
      </c>
      <c r="K723" t="s">
        <v>9886</v>
      </c>
      <c r="L723" s="1">
        <v>41225</v>
      </c>
      <c r="N723" t="s">
        <v>5127</v>
      </c>
      <c r="O723" t="s">
        <v>2458</v>
      </c>
      <c r="P723" t="s">
        <v>357</v>
      </c>
      <c r="Q723" t="s">
        <v>39</v>
      </c>
      <c r="R723" t="s">
        <v>40</v>
      </c>
      <c r="S723">
        <v>0</v>
      </c>
      <c r="U723" t="s">
        <v>41</v>
      </c>
      <c r="V723" t="s">
        <v>42</v>
      </c>
      <c r="X723" t="s">
        <v>74</v>
      </c>
      <c r="Y723" t="b">
        <v>0</v>
      </c>
      <c r="Z723" t="b">
        <v>0</v>
      </c>
      <c r="AC723" s="1"/>
      <c r="AF723">
        <v>0</v>
      </c>
      <c r="AG723">
        <v>45</v>
      </c>
      <c r="AH723">
        <v>88</v>
      </c>
      <c r="AI723" s="2">
        <f>Table__192.168.3.138BEWLPPMetaData[[#This Row],[NetAmount]]-Table__192.168.3.138BEWLPPMetaData[[#This Row],[Paid]]</f>
        <v>389478</v>
      </c>
    </row>
    <row r="724" spans="1:35" hidden="1">
      <c r="A724" t="s">
        <v>9887</v>
      </c>
      <c r="B724" s="1">
        <v>41220</v>
      </c>
      <c r="C724" s="1">
        <v>41265</v>
      </c>
      <c r="D724" t="s">
        <v>8530</v>
      </c>
      <c r="E724">
        <v>41944</v>
      </c>
      <c r="F724">
        <v>6711</v>
      </c>
      <c r="G724">
        <v>0</v>
      </c>
      <c r="H724">
        <v>0</v>
      </c>
      <c r="I724">
        <v>48</v>
      </c>
      <c r="J724">
        <v>48655</v>
      </c>
      <c r="K724" t="s">
        <v>9888</v>
      </c>
      <c r="L724" s="1">
        <v>41220</v>
      </c>
      <c r="N724" t="s">
        <v>5127</v>
      </c>
      <c r="O724" t="s">
        <v>2458</v>
      </c>
      <c r="P724" t="s">
        <v>357</v>
      </c>
      <c r="Q724" t="s">
        <v>39</v>
      </c>
      <c r="R724" t="s">
        <v>40</v>
      </c>
      <c r="S724">
        <v>0</v>
      </c>
      <c r="U724" t="s">
        <v>41</v>
      </c>
      <c r="V724" t="s">
        <v>42</v>
      </c>
      <c r="X724" t="s">
        <v>74</v>
      </c>
      <c r="Y724" t="b">
        <v>0</v>
      </c>
      <c r="Z724" t="b">
        <v>0</v>
      </c>
      <c r="AC724" s="1"/>
      <c r="AF724">
        <v>0</v>
      </c>
      <c r="AG724">
        <v>45</v>
      </c>
      <c r="AH724">
        <v>93</v>
      </c>
      <c r="AI724" s="2">
        <f>Table__192.168.3.138BEWLPPMetaData[[#This Row],[NetAmount]]-Table__192.168.3.138BEWLPPMetaData[[#This Row],[Paid]]</f>
        <v>48655</v>
      </c>
    </row>
    <row r="725" spans="1:35" hidden="1">
      <c r="A725" t="s">
        <v>9889</v>
      </c>
      <c r="B725" s="1">
        <v>41220</v>
      </c>
      <c r="C725" s="1">
        <v>41265</v>
      </c>
      <c r="D725" t="s">
        <v>8530</v>
      </c>
      <c r="E725">
        <v>365720</v>
      </c>
      <c r="F725">
        <v>58514</v>
      </c>
      <c r="G725">
        <v>0</v>
      </c>
      <c r="H725">
        <v>0</v>
      </c>
      <c r="I725">
        <v>49</v>
      </c>
      <c r="J725">
        <v>424234</v>
      </c>
      <c r="K725" t="s">
        <v>9890</v>
      </c>
      <c r="L725" s="1">
        <v>41219</v>
      </c>
      <c r="N725" t="s">
        <v>5127</v>
      </c>
      <c r="O725" t="s">
        <v>2458</v>
      </c>
      <c r="P725" t="s">
        <v>357</v>
      </c>
      <c r="Q725" t="s">
        <v>39</v>
      </c>
      <c r="R725" t="s">
        <v>40</v>
      </c>
      <c r="S725">
        <v>0</v>
      </c>
      <c r="U725" t="s">
        <v>41</v>
      </c>
      <c r="V725" t="s">
        <v>42</v>
      </c>
      <c r="X725" t="s">
        <v>74</v>
      </c>
      <c r="Y725" t="b">
        <v>0</v>
      </c>
      <c r="Z725" t="b">
        <v>0</v>
      </c>
      <c r="AC725" s="1"/>
      <c r="AF725">
        <v>0</v>
      </c>
      <c r="AG725">
        <v>45</v>
      </c>
      <c r="AH725">
        <v>94</v>
      </c>
      <c r="AI725" s="2">
        <f>Table__192.168.3.138BEWLPPMetaData[[#This Row],[NetAmount]]-Table__192.168.3.138BEWLPPMetaData[[#This Row],[Paid]]</f>
        <v>424234</v>
      </c>
    </row>
    <row r="726" spans="1:35" hidden="1">
      <c r="A726" t="s">
        <v>9891</v>
      </c>
      <c r="B726" s="1">
        <v>41225</v>
      </c>
      <c r="C726" s="1">
        <v>41270</v>
      </c>
      <c r="D726" t="s">
        <v>8598</v>
      </c>
      <c r="E726">
        <v>19000</v>
      </c>
      <c r="F726">
        <v>3040</v>
      </c>
      <c r="G726">
        <v>0</v>
      </c>
      <c r="H726">
        <v>0</v>
      </c>
      <c r="I726">
        <v>43</v>
      </c>
      <c r="J726">
        <v>22040</v>
      </c>
      <c r="K726" t="s">
        <v>9892</v>
      </c>
      <c r="L726" s="1">
        <v>41225</v>
      </c>
      <c r="M726" t="s">
        <v>9893</v>
      </c>
      <c r="N726" t="s">
        <v>5127</v>
      </c>
      <c r="O726" t="s">
        <v>2458</v>
      </c>
      <c r="P726" t="s">
        <v>369</v>
      </c>
      <c r="Q726" t="s">
        <v>39</v>
      </c>
      <c r="R726" t="s">
        <v>40</v>
      </c>
      <c r="S726">
        <v>0</v>
      </c>
      <c r="U726" t="s">
        <v>41</v>
      </c>
      <c r="V726" t="s">
        <v>42</v>
      </c>
      <c r="W726" t="s">
        <v>9894</v>
      </c>
      <c r="X726" t="s">
        <v>74</v>
      </c>
      <c r="Y726" t="b">
        <v>0</v>
      </c>
      <c r="Z726" t="b">
        <v>0</v>
      </c>
      <c r="AA726" t="b">
        <v>0</v>
      </c>
      <c r="AC726" s="1"/>
      <c r="AF726">
        <v>0</v>
      </c>
      <c r="AG726">
        <v>45</v>
      </c>
      <c r="AH726">
        <v>88</v>
      </c>
      <c r="AI726" s="2">
        <f>Table__192.168.3.138BEWLPPMetaData[[#This Row],[NetAmount]]-Table__192.168.3.138BEWLPPMetaData[[#This Row],[Paid]]</f>
        <v>22040</v>
      </c>
    </row>
    <row r="727" spans="1:35" hidden="1">
      <c r="A727" t="s">
        <v>9895</v>
      </c>
      <c r="B727" s="1">
        <v>41235</v>
      </c>
      <c r="C727" s="1">
        <v>41280</v>
      </c>
      <c r="D727" t="s">
        <v>8677</v>
      </c>
      <c r="E727">
        <v>132220</v>
      </c>
      <c r="F727">
        <v>21155</v>
      </c>
      <c r="G727">
        <v>0</v>
      </c>
      <c r="H727">
        <v>0</v>
      </c>
      <c r="I727">
        <v>35</v>
      </c>
      <c r="J727">
        <v>153375</v>
      </c>
      <c r="K727" t="s">
        <v>9896</v>
      </c>
      <c r="L727" s="1">
        <v>41233</v>
      </c>
      <c r="M727" t="s">
        <v>9897</v>
      </c>
      <c r="N727" t="s">
        <v>5127</v>
      </c>
      <c r="O727" t="s">
        <v>2458</v>
      </c>
      <c r="P727" t="s">
        <v>8679</v>
      </c>
      <c r="Q727" t="s">
        <v>39</v>
      </c>
      <c r="R727" t="s">
        <v>40</v>
      </c>
      <c r="S727">
        <v>0</v>
      </c>
      <c r="U727" t="s">
        <v>41</v>
      </c>
      <c r="V727" t="s">
        <v>42</v>
      </c>
      <c r="W727" t="s">
        <v>9898</v>
      </c>
      <c r="X727" t="s">
        <v>74</v>
      </c>
      <c r="Y727" t="b">
        <v>0</v>
      </c>
      <c r="Z727" t="b">
        <v>0</v>
      </c>
      <c r="AA727" t="b">
        <v>0</v>
      </c>
      <c r="AC727" s="1"/>
      <c r="AF727">
        <v>0</v>
      </c>
      <c r="AG727">
        <v>45</v>
      </c>
      <c r="AH727">
        <v>80</v>
      </c>
      <c r="AI727" s="2">
        <f>Table__192.168.3.138BEWLPPMetaData[[#This Row],[NetAmount]]-Table__192.168.3.138BEWLPPMetaData[[#This Row],[Paid]]</f>
        <v>153375</v>
      </c>
    </row>
    <row r="728" spans="1:35" hidden="1">
      <c r="A728" t="s">
        <v>9899</v>
      </c>
      <c r="B728" s="1">
        <v>41243</v>
      </c>
      <c r="C728" s="1">
        <v>41288</v>
      </c>
      <c r="D728" t="s">
        <v>9150</v>
      </c>
      <c r="E728">
        <v>90450</v>
      </c>
      <c r="F728">
        <v>14472</v>
      </c>
      <c r="G728">
        <v>0</v>
      </c>
      <c r="H728">
        <v>0</v>
      </c>
      <c r="I728">
        <v>177</v>
      </c>
      <c r="J728">
        <v>104922</v>
      </c>
      <c r="K728" t="s">
        <v>3081</v>
      </c>
      <c r="L728" s="1">
        <v>41091</v>
      </c>
      <c r="N728" t="s">
        <v>5127</v>
      </c>
      <c r="O728" t="s">
        <v>2458</v>
      </c>
      <c r="P728" t="s">
        <v>423</v>
      </c>
      <c r="Q728" t="s">
        <v>39</v>
      </c>
      <c r="R728" t="s">
        <v>40</v>
      </c>
      <c r="S728">
        <v>0</v>
      </c>
      <c r="U728" t="s">
        <v>41</v>
      </c>
      <c r="V728" t="s">
        <v>42</v>
      </c>
      <c r="X728" t="s">
        <v>74</v>
      </c>
      <c r="Y728" t="b">
        <v>0</v>
      </c>
      <c r="Z728" t="b">
        <v>0</v>
      </c>
      <c r="AC728" s="1"/>
      <c r="AF728">
        <v>0</v>
      </c>
      <c r="AG728">
        <v>45</v>
      </c>
      <c r="AH728">
        <v>222</v>
      </c>
      <c r="AI728" s="2">
        <f>Table__192.168.3.138BEWLPPMetaData[[#This Row],[NetAmount]]-Table__192.168.3.138BEWLPPMetaData[[#This Row],[Paid]]</f>
        <v>104922</v>
      </c>
    </row>
    <row r="729" spans="1:35" hidden="1">
      <c r="A729" t="s">
        <v>9900</v>
      </c>
      <c r="B729" s="1">
        <v>41243</v>
      </c>
      <c r="C729" s="1">
        <v>41288</v>
      </c>
      <c r="D729" t="s">
        <v>5509</v>
      </c>
      <c r="E729">
        <v>27380</v>
      </c>
      <c r="F729">
        <v>4381</v>
      </c>
      <c r="G729">
        <v>0</v>
      </c>
      <c r="H729">
        <v>0</v>
      </c>
      <c r="I729">
        <v>49</v>
      </c>
      <c r="J729">
        <v>31761</v>
      </c>
      <c r="K729" t="s">
        <v>9901</v>
      </c>
      <c r="L729" s="1">
        <v>41219</v>
      </c>
      <c r="N729" t="s">
        <v>5127</v>
      </c>
      <c r="O729" t="s">
        <v>2458</v>
      </c>
      <c r="P729" t="s">
        <v>354</v>
      </c>
      <c r="Q729" t="s">
        <v>39</v>
      </c>
      <c r="R729" t="s">
        <v>40</v>
      </c>
      <c r="S729">
        <v>0</v>
      </c>
      <c r="U729" t="s">
        <v>41</v>
      </c>
      <c r="V729" t="s">
        <v>42</v>
      </c>
      <c r="X729" t="s">
        <v>74</v>
      </c>
      <c r="Y729" t="b">
        <v>0</v>
      </c>
      <c r="Z729" t="b">
        <v>0</v>
      </c>
      <c r="AB729" t="s">
        <v>8654</v>
      </c>
      <c r="AC729" s="1">
        <v>41296</v>
      </c>
      <c r="AF729">
        <v>0</v>
      </c>
      <c r="AG729">
        <v>45</v>
      </c>
      <c r="AH729">
        <v>94</v>
      </c>
      <c r="AI729" s="2">
        <f>Table__192.168.3.138BEWLPPMetaData[[#This Row],[NetAmount]]-Table__192.168.3.138BEWLPPMetaData[[#This Row],[Paid]]</f>
        <v>31761</v>
      </c>
    </row>
    <row r="730" spans="1:35" hidden="1">
      <c r="A730" t="s">
        <v>9902</v>
      </c>
      <c r="B730" s="1">
        <v>41242</v>
      </c>
      <c r="C730" s="1">
        <v>41287</v>
      </c>
      <c r="D730" t="s">
        <v>8538</v>
      </c>
      <c r="E730">
        <v>16900</v>
      </c>
      <c r="F730">
        <v>2704</v>
      </c>
      <c r="G730">
        <v>0</v>
      </c>
      <c r="H730">
        <v>0</v>
      </c>
      <c r="I730">
        <v>38</v>
      </c>
      <c r="J730">
        <v>19604</v>
      </c>
      <c r="K730" t="s">
        <v>9903</v>
      </c>
      <c r="L730" s="1">
        <v>41230</v>
      </c>
      <c r="N730" t="s">
        <v>5127</v>
      </c>
      <c r="O730" t="s">
        <v>2458</v>
      </c>
      <c r="P730" t="s">
        <v>310</v>
      </c>
      <c r="Q730" t="s">
        <v>39</v>
      </c>
      <c r="R730" t="s">
        <v>40</v>
      </c>
      <c r="S730">
        <v>0</v>
      </c>
      <c r="U730" t="s">
        <v>41</v>
      </c>
      <c r="V730" t="s">
        <v>42</v>
      </c>
      <c r="X730" t="s">
        <v>74</v>
      </c>
      <c r="Y730" t="b">
        <v>0</v>
      </c>
      <c r="Z730" t="b">
        <v>0</v>
      </c>
      <c r="AC730" s="1"/>
      <c r="AF730">
        <v>0</v>
      </c>
      <c r="AG730">
        <v>45</v>
      </c>
      <c r="AH730">
        <v>83</v>
      </c>
      <c r="AI730" s="2">
        <f>Table__192.168.3.138BEWLPPMetaData[[#This Row],[NetAmount]]-Table__192.168.3.138BEWLPPMetaData[[#This Row],[Paid]]</f>
        <v>19604</v>
      </c>
    </row>
    <row r="731" spans="1:35" hidden="1">
      <c r="A731" t="s">
        <v>9904</v>
      </c>
      <c r="B731" s="1">
        <v>41236</v>
      </c>
      <c r="C731" s="1">
        <v>41281</v>
      </c>
      <c r="D731" t="s">
        <v>8538</v>
      </c>
      <c r="E731">
        <v>4225</v>
      </c>
      <c r="F731">
        <v>676</v>
      </c>
      <c r="G731">
        <v>0</v>
      </c>
      <c r="H731">
        <v>0</v>
      </c>
      <c r="I731">
        <v>32</v>
      </c>
      <c r="J731">
        <v>4901</v>
      </c>
      <c r="K731" t="s">
        <v>9905</v>
      </c>
      <c r="L731" s="1">
        <v>41236</v>
      </c>
      <c r="N731" t="s">
        <v>5127</v>
      </c>
      <c r="O731" t="s">
        <v>2458</v>
      </c>
      <c r="P731" t="s">
        <v>310</v>
      </c>
      <c r="Q731" t="s">
        <v>39</v>
      </c>
      <c r="R731" t="s">
        <v>40</v>
      </c>
      <c r="S731">
        <v>0</v>
      </c>
      <c r="U731" t="s">
        <v>41</v>
      </c>
      <c r="V731" t="s">
        <v>42</v>
      </c>
      <c r="X731" t="s">
        <v>74</v>
      </c>
      <c r="Y731" t="b">
        <v>0</v>
      </c>
      <c r="Z731" t="b">
        <v>0</v>
      </c>
      <c r="AB731" t="s">
        <v>9906</v>
      </c>
      <c r="AC731" s="1">
        <v>41296</v>
      </c>
      <c r="AF731">
        <v>0</v>
      </c>
      <c r="AG731">
        <v>45</v>
      </c>
      <c r="AH731">
        <v>77</v>
      </c>
      <c r="AI731" s="2">
        <f>Table__192.168.3.138BEWLPPMetaData[[#This Row],[NetAmount]]-Table__192.168.3.138BEWLPPMetaData[[#This Row],[Paid]]</f>
        <v>4901</v>
      </c>
    </row>
    <row r="732" spans="1:35" hidden="1">
      <c r="A732" t="s">
        <v>9907</v>
      </c>
      <c r="B732" s="1">
        <v>41242</v>
      </c>
      <c r="C732" s="1">
        <v>41287</v>
      </c>
      <c r="D732" t="s">
        <v>9908</v>
      </c>
      <c r="E732">
        <v>19512</v>
      </c>
      <c r="F732">
        <v>3122</v>
      </c>
      <c r="G732">
        <v>0</v>
      </c>
      <c r="H732">
        <v>0</v>
      </c>
      <c r="I732">
        <v>27</v>
      </c>
      <c r="J732">
        <v>22634</v>
      </c>
      <c r="K732" t="s">
        <v>7500</v>
      </c>
      <c r="L732" s="1">
        <v>41241</v>
      </c>
      <c r="N732" t="s">
        <v>5127</v>
      </c>
      <c r="O732" t="s">
        <v>2458</v>
      </c>
      <c r="P732" t="s">
        <v>426</v>
      </c>
      <c r="Q732" t="s">
        <v>39</v>
      </c>
      <c r="R732" t="s">
        <v>40</v>
      </c>
      <c r="S732">
        <v>0</v>
      </c>
      <c r="U732" t="s">
        <v>41</v>
      </c>
      <c r="V732" t="s">
        <v>42</v>
      </c>
      <c r="X732" t="s">
        <v>74</v>
      </c>
      <c r="Y732" t="b">
        <v>0</v>
      </c>
      <c r="Z732" t="b">
        <v>0</v>
      </c>
      <c r="AC732" s="1"/>
      <c r="AF732">
        <v>0</v>
      </c>
      <c r="AG732">
        <v>45</v>
      </c>
      <c r="AH732">
        <v>72</v>
      </c>
      <c r="AI732" s="2">
        <f>Table__192.168.3.138BEWLPPMetaData[[#This Row],[NetAmount]]-Table__192.168.3.138BEWLPPMetaData[[#This Row],[Paid]]</f>
        <v>22634</v>
      </c>
    </row>
    <row r="733" spans="1:35" hidden="1">
      <c r="A733" t="s">
        <v>9909</v>
      </c>
      <c r="B733" s="1">
        <v>41229</v>
      </c>
      <c r="C733" s="1">
        <v>41274</v>
      </c>
      <c r="D733" t="s">
        <v>8993</v>
      </c>
      <c r="E733">
        <v>16520</v>
      </c>
      <c r="F733">
        <v>2643</v>
      </c>
      <c r="G733">
        <v>0</v>
      </c>
      <c r="H733">
        <v>0</v>
      </c>
      <c r="I733">
        <v>33</v>
      </c>
      <c r="J733">
        <v>19163</v>
      </c>
      <c r="K733" t="s">
        <v>88</v>
      </c>
      <c r="L733" s="1">
        <v>41235</v>
      </c>
      <c r="N733" t="s">
        <v>5127</v>
      </c>
      <c r="O733" t="s">
        <v>2458</v>
      </c>
      <c r="P733" t="s">
        <v>365</v>
      </c>
      <c r="Q733" t="s">
        <v>39</v>
      </c>
      <c r="R733" t="s">
        <v>40</v>
      </c>
      <c r="S733">
        <v>0</v>
      </c>
      <c r="U733" t="s">
        <v>41</v>
      </c>
      <c r="V733" t="s">
        <v>42</v>
      </c>
      <c r="X733" t="s">
        <v>74</v>
      </c>
      <c r="Y733" t="b">
        <v>0</v>
      </c>
      <c r="Z733" t="b">
        <v>0</v>
      </c>
      <c r="AC733" s="1"/>
      <c r="AF733">
        <v>0</v>
      </c>
      <c r="AG733">
        <v>45</v>
      </c>
      <c r="AH733">
        <v>78</v>
      </c>
      <c r="AI733" s="2">
        <f>Table__192.168.3.138BEWLPPMetaData[[#This Row],[NetAmount]]-Table__192.168.3.138BEWLPPMetaData[[#This Row],[Paid]]</f>
        <v>19163</v>
      </c>
    </row>
    <row r="734" spans="1:35" hidden="1">
      <c r="A734" t="s">
        <v>9910</v>
      </c>
      <c r="B734" s="1">
        <v>41243</v>
      </c>
      <c r="C734" s="1">
        <v>41288</v>
      </c>
      <c r="D734" t="s">
        <v>8611</v>
      </c>
      <c r="E734">
        <v>9603</v>
      </c>
      <c r="F734">
        <v>1536</v>
      </c>
      <c r="G734">
        <v>0</v>
      </c>
      <c r="H734">
        <v>0</v>
      </c>
      <c r="I734">
        <v>26</v>
      </c>
      <c r="J734">
        <v>11139</v>
      </c>
      <c r="K734" t="s">
        <v>9911</v>
      </c>
      <c r="L734" s="1">
        <v>41242</v>
      </c>
      <c r="N734" t="s">
        <v>5127</v>
      </c>
      <c r="O734" t="s">
        <v>2458</v>
      </c>
      <c r="P734" t="s">
        <v>8612</v>
      </c>
      <c r="Q734" t="s">
        <v>39</v>
      </c>
      <c r="R734" t="s">
        <v>40</v>
      </c>
      <c r="S734">
        <v>0</v>
      </c>
      <c r="U734" t="s">
        <v>41</v>
      </c>
      <c r="V734" t="s">
        <v>42</v>
      </c>
      <c r="X734" t="s">
        <v>74</v>
      </c>
      <c r="Y734" t="b">
        <v>0</v>
      </c>
      <c r="Z734" t="b">
        <v>0</v>
      </c>
      <c r="AC734" s="1"/>
      <c r="AF734">
        <v>0</v>
      </c>
      <c r="AG734">
        <v>45</v>
      </c>
      <c r="AH734">
        <v>71</v>
      </c>
      <c r="AI734" s="2">
        <f>Table__192.168.3.138BEWLPPMetaData[[#This Row],[NetAmount]]-Table__192.168.3.138BEWLPPMetaData[[#This Row],[Paid]]</f>
        <v>11139</v>
      </c>
    </row>
    <row r="735" spans="1:35" hidden="1">
      <c r="A735" t="s">
        <v>9912</v>
      </c>
      <c r="B735" s="1">
        <v>41240</v>
      </c>
      <c r="C735" s="1">
        <v>41285</v>
      </c>
      <c r="D735" t="s">
        <v>8789</v>
      </c>
      <c r="E735">
        <v>50115</v>
      </c>
      <c r="F735">
        <v>8018</v>
      </c>
      <c r="G735">
        <v>0</v>
      </c>
      <c r="H735">
        <v>0</v>
      </c>
      <c r="I735">
        <v>36</v>
      </c>
      <c r="J735">
        <v>58133</v>
      </c>
      <c r="K735" t="s">
        <v>9913</v>
      </c>
      <c r="L735" s="1">
        <v>41232</v>
      </c>
      <c r="N735" t="s">
        <v>5127</v>
      </c>
      <c r="O735" t="s">
        <v>2458</v>
      </c>
      <c r="P735" t="s">
        <v>8792</v>
      </c>
      <c r="Q735" t="s">
        <v>39</v>
      </c>
      <c r="R735" t="s">
        <v>40</v>
      </c>
      <c r="S735">
        <v>0</v>
      </c>
      <c r="U735" t="s">
        <v>41</v>
      </c>
      <c r="V735" t="s">
        <v>42</v>
      </c>
      <c r="X735" t="s">
        <v>74</v>
      </c>
      <c r="Y735" t="b">
        <v>0</v>
      </c>
      <c r="Z735" t="b">
        <v>0</v>
      </c>
      <c r="AC735" s="1"/>
      <c r="AF735">
        <v>0</v>
      </c>
      <c r="AG735">
        <v>45</v>
      </c>
      <c r="AH735">
        <v>81</v>
      </c>
      <c r="AI735" s="2">
        <f>Table__192.168.3.138BEWLPPMetaData[[#This Row],[NetAmount]]-Table__192.168.3.138BEWLPPMetaData[[#This Row],[Paid]]</f>
        <v>58133</v>
      </c>
    </row>
    <row r="736" spans="1:35" hidden="1">
      <c r="A736" t="s">
        <v>9914</v>
      </c>
      <c r="B736" s="1">
        <v>41242</v>
      </c>
      <c r="C736" s="1">
        <v>41287</v>
      </c>
      <c r="D736" t="s">
        <v>8530</v>
      </c>
      <c r="E736">
        <v>599</v>
      </c>
      <c r="F736">
        <v>96</v>
      </c>
      <c r="G736">
        <v>0</v>
      </c>
      <c r="H736">
        <v>0</v>
      </c>
      <c r="I736">
        <v>25</v>
      </c>
      <c r="J736">
        <v>695</v>
      </c>
      <c r="K736" t="s">
        <v>9915</v>
      </c>
      <c r="L736" s="1">
        <v>41243</v>
      </c>
      <c r="N736" t="s">
        <v>5127</v>
      </c>
      <c r="O736" t="s">
        <v>2458</v>
      </c>
      <c r="P736" t="s">
        <v>357</v>
      </c>
      <c r="Q736" t="s">
        <v>39</v>
      </c>
      <c r="R736" t="s">
        <v>40</v>
      </c>
      <c r="S736">
        <v>0</v>
      </c>
      <c r="U736" t="s">
        <v>41</v>
      </c>
      <c r="V736" t="s">
        <v>42</v>
      </c>
      <c r="X736" t="s">
        <v>74</v>
      </c>
      <c r="Y736" t="b">
        <v>0</v>
      </c>
      <c r="Z736" t="b">
        <v>0</v>
      </c>
      <c r="AC736" s="1"/>
      <c r="AF736">
        <v>0</v>
      </c>
      <c r="AG736">
        <v>45</v>
      </c>
      <c r="AH736">
        <v>70</v>
      </c>
      <c r="AI736" s="2">
        <f>Table__192.168.3.138BEWLPPMetaData[[#This Row],[NetAmount]]-Table__192.168.3.138BEWLPPMetaData[[#This Row],[Paid]]</f>
        <v>695</v>
      </c>
    </row>
    <row r="737" spans="1:35" hidden="1">
      <c r="A737" t="s">
        <v>9916</v>
      </c>
      <c r="B737" s="1">
        <v>41234</v>
      </c>
      <c r="C737" s="1">
        <v>41279</v>
      </c>
      <c r="D737" t="s">
        <v>8530</v>
      </c>
      <c r="E737">
        <v>216792</v>
      </c>
      <c r="F737">
        <v>34687</v>
      </c>
      <c r="G737">
        <v>0</v>
      </c>
      <c r="H737">
        <v>0</v>
      </c>
      <c r="I737">
        <v>34</v>
      </c>
      <c r="J737">
        <v>251479</v>
      </c>
      <c r="K737" t="s">
        <v>9917</v>
      </c>
      <c r="L737" s="1">
        <v>41234</v>
      </c>
      <c r="N737" t="s">
        <v>5127</v>
      </c>
      <c r="O737" t="s">
        <v>2458</v>
      </c>
      <c r="P737" t="s">
        <v>357</v>
      </c>
      <c r="Q737" t="s">
        <v>39</v>
      </c>
      <c r="R737" t="s">
        <v>40</v>
      </c>
      <c r="S737">
        <v>0</v>
      </c>
      <c r="U737" t="s">
        <v>41</v>
      </c>
      <c r="V737" t="s">
        <v>42</v>
      </c>
      <c r="X737" t="s">
        <v>74</v>
      </c>
      <c r="Y737" t="b">
        <v>0</v>
      </c>
      <c r="Z737" t="b">
        <v>0</v>
      </c>
      <c r="AC737" s="1"/>
      <c r="AF737">
        <v>0</v>
      </c>
      <c r="AG737">
        <v>45</v>
      </c>
      <c r="AH737">
        <v>79</v>
      </c>
      <c r="AI737" s="2">
        <f>Table__192.168.3.138BEWLPPMetaData[[#This Row],[NetAmount]]-Table__192.168.3.138BEWLPPMetaData[[#This Row],[Paid]]</f>
        <v>251479</v>
      </c>
    </row>
    <row r="738" spans="1:35" hidden="1">
      <c r="A738" t="s">
        <v>9918</v>
      </c>
      <c r="B738" s="1">
        <v>41232</v>
      </c>
      <c r="C738" s="1">
        <v>41277</v>
      </c>
      <c r="D738" t="s">
        <v>8530</v>
      </c>
      <c r="E738">
        <v>107610</v>
      </c>
      <c r="F738">
        <v>17218</v>
      </c>
      <c r="G738">
        <v>0</v>
      </c>
      <c r="H738">
        <v>0</v>
      </c>
      <c r="I738">
        <v>36</v>
      </c>
      <c r="J738">
        <v>124828</v>
      </c>
      <c r="K738" t="s">
        <v>9919</v>
      </c>
      <c r="L738" s="1">
        <v>41232</v>
      </c>
      <c r="N738" t="s">
        <v>5127</v>
      </c>
      <c r="O738" t="s">
        <v>2458</v>
      </c>
      <c r="P738" t="s">
        <v>357</v>
      </c>
      <c r="Q738" t="s">
        <v>39</v>
      </c>
      <c r="R738" t="s">
        <v>40</v>
      </c>
      <c r="S738">
        <v>0</v>
      </c>
      <c r="U738" t="s">
        <v>41</v>
      </c>
      <c r="V738" t="s">
        <v>42</v>
      </c>
      <c r="X738" t="s">
        <v>74</v>
      </c>
      <c r="Y738" t="b">
        <v>0</v>
      </c>
      <c r="Z738" t="b">
        <v>0</v>
      </c>
      <c r="AC738" s="1"/>
      <c r="AF738">
        <v>0</v>
      </c>
      <c r="AG738">
        <v>45</v>
      </c>
      <c r="AH738">
        <v>81</v>
      </c>
      <c r="AI738" s="2">
        <f>Table__192.168.3.138BEWLPPMetaData[[#This Row],[NetAmount]]-Table__192.168.3.138BEWLPPMetaData[[#This Row],[Paid]]</f>
        <v>124828</v>
      </c>
    </row>
    <row r="739" spans="1:35" hidden="1">
      <c r="A739" t="s">
        <v>9920</v>
      </c>
      <c r="B739" s="1">
        <v>41240</v>
      </c>
      <c r="C739" s="1">
        <v>41285</v>
      </c>
      <c r="D739" t="s">
        <v>8603</v>
      </c>
      <c r="E739">
        <v>32500</v>
      </c>
      <c r="F739">
        <v>5200</v>
      </c>
      <c r="G739">
        <v>0</v>
      </c>
      <c r="H739">
        <v>0</v>
      </c>
      <c r="I739">
        <v>33</v>
      </c>
      <c r="J739">
        <v>37700</v>
      </c>
      <c r="K739" t="s">
        <v>9921</v>
      </c>
      <c r="L739" s="1">
        <v>41235</v>
      </c>
      <c r="N739" t="s">
        <v>5127</v>
      </c>
      <c r="O739" t="s">
        <v>2458</v>
      </c>
      <c r="P739" t="s">
        <v>304</v>
      </c>
      <c r="Q739" t="s">
        <v>39</v>
      </c>
      <c r="R739" t="s">
        <v>40</v>
      </c>
      <c r="S739">
        <v>0</v>
      </c>
      <c r="U739" t="s">
        <v>41</v>
      </c>
      <c r="V739" t="s">
        <v>42</v>
      </c>
      <c r="X739" t="s">
        <v>74</v>
      </c>
      <c r="Y739" t="b">
        <v>0</v>
      </c>
      <c r="Z739" t="b">
        <v>0</v>
      </c>
      <c r="AC739" s="1"/>
      <c r="AF739">
        <v>0</v>
      </c>
      <c r="AG739">
        <v>45</v>
      </c>
      <c r="AH739">
        <v>78</v>
      </c>
      <c r="AI739" s="2">
        <f>Table__192.168.3.138BEWLPPMetaData[[#This Row],[NetAmount]]-Table__192.168.3.138BEWLPPMetaData[[#This Row],[Paid]]</f>
        <v>37700</v>
      </c>
    </row>
    <row r="740" spans="1:35" hidden="1">
      <c r="A740" t="s">
        <v>9922</v>
      </c>
      <c r="B740" s="1">
        <v>41243</v>
      </c>
      <c r="C740" s="1">
        <v>41288</v>
      </c>
      <c r="D740" t="s">
        <v>8603</v>
      </c>
      <c r="E740">
        <v>13000</v>
      </c>
      <c r="F740">
        <v>2080</v>
      </c>
      <c r="G740">
        <v>0</v>
      </c>
      <c r="H740">
        <v>0</v>
      </c>
      <c r="I740">
        <v>26</v>
      </c>
      <c r="J740">
        <v>15080</v>
      </c>
      <c r="K740" t="s">
        <v>8604</v>
      </c>
      <c r="L740" s="1">
        <v>41242</v>
      </c>
      <c r="N740" t="s">
        <v>5127</v>
      </c>
      <c r="O740" t="s">
        <v>2458</v>
      </c>
      <c r="P740" t="s">
        <v>304</v>
      </c>
      <c r="Q740" t="s">
        <v>39</v>
      </c>
      <c r="R740" t="s">
        <v>40</v>
      </c>
      <c r="S740">
        <v>0</v>
      </c>
      <c r="U740" t="s">
        <v>41</v>
      </c>
      <c r="V740" t="s">
        <v>42</v>
      </c>
      <c r="X740" t="s">
        <v>74</v>
      </c>
      <c r="Y740" t="b">
        <v>0</v>
      </c>
      <c r="Z740" t="b">
        <v>0</v>
      </c>
      <c r="AC740" s="1"/>
      <c r="AF740">
        <v>0</v>
      </c>
      <c r="AG740">
        <v>45</v>
      </c>
      <c r="AH740">
        <v>71</v>
      </c>
      <c r="AI740" s="2">
        <f>Table__192.168.3.138BEWLPPMetaData[[#This Row],[NetAmount]]-Table__192.168.3.138BEWLPPMetaData[[#This Row],[Paid]]</f>
        <v>15080</v>
      </c>
    </row>
    <row r="741" spans="1:35" hidden="1">
      <c r="A741" t="s">
        <v>9923</v>
      </c>
      <c r="B741" s="1">
        <v>41220</v>
      </c>
      <c r="C741" s="1">
        <v>41265</v>
      </c>
      <c r="D741" t="s">
        <v>8794</v>
      </c>
      <c r="E741">
        <v>62200</v>
      </c>
      <c r="F741">
        <v>9952</v>
      </c>
      <c r="G741">
        <v>0</v>
      </c>
      <c r="H741">
        <v>0</v>
      </c>
      <c r="I741">
        <v>48</v>
      </c>
      <c r="J741">
        <v>72152</v>
      </c>
      <c r="K741" t="s">
        <v>1548</v>
      </c>
      <c r="L741" s="1">
        <v>41220</v>
      </c>
      <c r="N741" t="s">
        <v>5127</v>
      </c>
      <c r="O741" t="s">
        <v>2458</v>
      </c>
      <c r="P741" t="s">
        <v>8795</v>
      </c>
      <c r="Q741" t="s">
        <v>39</v>
      </c>
      <c r="R741" t="s">
        <v>40</v>
      </c>
      <c r="S741">
        <v>0</v>
      </c>
      <c r="U741" t="s">
        <v>41</v>
      </c>
      <c r="V741" t="s">
        <v>42</v>
      </c>
      <c r="X741" t="s">
        <v>74</v>
      </c>
      <c r="Y741" t="b">
        <v>0</v>
      </c>
      <c r="Z741" t="b">
        <v>0</v>
      </c>
      <c r="AC741" s="1"/>
      <c r="AF741">
        <v>0</v>
      </c>
      <c r="AG741">
        <v>45</v>
      </c>
      <c r="AH741">
        <v>93</v>
      </c>
      <c r="AI741" s="2">
        <f>Table__192.168.3.138BEWLPPMetaData[[#This Row],[NetAmount]]-Table__192.168.3.138BEWLPPMetaData[[#This Row],[Paid]]</f>
        <v>72152</v>
      </c>
    </row>
    <row r="742" spans="1:35" hidden="1">
      <c r="A742" t="s">
        <v>9924</v>
      </c>
      <c r="B742" s="1">
        <v>41242</v>
      </c>
      <c r="C742" s="1">
        <v>41287</v>
      </c>
      <c r="D742" t="s">
        <v>8794</v>
      </c>
      <c r="E742">
        <v>187150</v>
      </c>
      <c r="F742">
        <v>29944</v>
      </c>
      <c r="G742">
        <v>0</v>
      </c>
      <c r="H742">
        <v>0</v>
      </c>
      <c r="I742">
        <v>27</v>
      </c>
      <c r="J742">
        <v>217094</v>
      </c>
      <c r="K742" t="s">
        <v>9925</v>
      </c>
      <c r="L742" s="1">
        <v>41241</v>
      </c>
      <c r="N742" t="s">
        <v>5127</v>
      </c>
      <c r="O742" t="s">
        <v>2458</v>
      </c>
      <c r="P742" t="s">
        <v>8795</v>
      </c>
      <c r="Q742" t="s">
        <v>39</v>
      </c>
      <c r="R742" t="s">
        <v>40</v>
      </c>
      <c r="S742">
        <v>0</v>
      </c>
      <c r="U742" t="s">
        <v>41</v>
      </c>
      <c r="V742" t="s">
        <v>42</v>
      </c>
      <c r="X742" t="s">
        <v>74</v>
      </c>
      <c r="Y742" t="b">
        <v>0</v>
      </c>
      <c r="Z742" t="b">
        <v>0</v>
      </c>
      <c r="AC742" s="1"/>
      <c r="AF742">
        <v>0</v>
      </c>
      <c r="AG742">
        <v>45</v>
      </c>
      <c r="AH742">
        <v>72</v>
      </c>
      <c r="AI742" s="2">
        <f>Table__192.168.3.138BEWLPPMetaData[[#This Row],[NetAmount]]-Table__192.168.3.138BEWLPPMetaData[[#This Row],[Paid]]</f>
        <v>217094</v>
      </c>
    </row>
    <row r="743" spans="1:35" hidden="1">
      <c r="A743" t="s">
        <v>9926</v>
      </c>
      <c r="B743" s="1">
        <v>41234</v>
      </c>
      <c r="C743" s="1">
        <v>41279</v>
      </c>
      <c r="D743" t="s">
        <v>8794</v>
      </c>
      <c r="E743">
        <v>110500</v>
      </c>
      <c r="F743">
        <v>17680</v>
      </c>
      <c r="G743">
        <v>0</v>
      </c>
      <c r="H743">
        <v>0</v>
      </c>
      <c r="I743">
        <v>34</v>
      </c>
      <c r="J743">
        <v>128180</v>
      </c>
      <c r="K743" t="s">
        <v>4077</v>
      </c>
      <c r="L743" s="1">
        <v>41234</v>
      </c>
      <c r="N743" t="s">
        <v>5127</v>
      </c>
      <c r="O743" t="s">
        <v>2458</v>
      </c>
      <c r="P743" t="s">
        <v>8795</v>
      </c>
      <c r="Q743" t="s">
        <v>39</v>
      </c>
      <c r="R743" t="s">
        <v>40</v>
      </c>
      <c r="S743">
        <v>0</v>
      </c>
      <c r="U743" t="s">
        <v>41</v>
      </c>
      <c r="V743" t="s">
        <v>42</v>
      </c>
      <c r="X743" t="s">
        <v>74</v>
      </c>
      <c r="Y743" t="b">
        <v>0</v>
      </c>
      <c r="Z743" t="b">
        <v>0</v>
      </c>
      <c r="AB743" t="s">
        <v>9927</v>
      </c>
      <c r="AC743" s="1">
        <v>41263</v>
      </c>
      <c r="AF743">
        <v>0</v>
      </c>
      <c r="AG743">
        <v>45</v>
      </c>
      <c r="AH743">
        <v>79</v>
      </c>
      <c r="AI743" s="2">
        <f>Table__192.168.3.138BEWLPPMetaData[[#This Row],[NetAmount]]-Table__192.168.3.138BEWLPPMetaData[[#This Row],[Paid]]</f>
        <v>128180</v>
      </c>
    </row>
    <row r="744" spans="1:35" hidden="1">
      <c r="A744" t="s">
        <v>9928</v>
      </c>
      <c r="B744" s="1">
        <v>41228</v>
      </c>
      <c r="C744" s="1">
        <v>41273</v>
      </c>
      <c r="D744" t="s">
        <v>8794</v>
      </c>
      <c r="E744">
        <v>129300</v>
      </c>
      <c r="F744">
        <v>20688</v>
      </c>
      <c r="G744">
        <v>0</v>
      </c>
      <c r="H744">
        <v>0</v>
      </c>
      <c r="I744">
        <v>40</v>
      </c>
      <c r="J744">
        <v>149988</v>
      </c>
      <c r="K744" t="s">
        <v>4075</v>
      </c>
      <c r="L744" s="1">
        <v>41228</v>
      </c>
      <c r="N744" t="s">
        <v>5127</v>
      </c>
      <c r="O744" t="s">
        <v>2458</v>
      </c>
      <c r="P744" t="s">
        <v>8795</v>
      </c>
      <c r="Q744" t="s">
        <v>39</v>
      </c>
      <c r="R744" t="s">
        <v>40</v>
      </c>
      <c r="S744">
        <v>0</v>
      </c>
      <c r="U744" t="s">
        <v>41</v>
      </c>
      <c r="V744" t="s">
        <v>42</v>
      </c>
      <c r="X744" t="s">
        <v>74</v>
      </c>
      <c r="Y744" t="b">
        <v>0</v>
      </c>
      <c r="Z744" t="b">
        <v>0</v>
      </c>
      <c r="AC744" s="1"/>
      <c r="AF744">
        <v>0</v>
      </c>
      <c r="AG744">
        <v>45</v>
      </c>
      <c r="AH744">
        <v>85</v>
      </c>
      <c r="AI744" s="2">
        <f>Table__192.168.3.138BEWLPPMetaData[[#This Row],[NetAmount]]-Table__192.168.3.138BEWLPPMetaData[[#This Row],[Paid]]</f>
        <v>149988</v>
      </c>
    </row>
    <row r="745" spans="1:35" hidden="1">
      <c r="A745" t="s">
        <v>9929</v>
      </c>
      <c r="B745" s="1">
        <v>41243</v>
      </c>
      <c r="C745" s="1">
        <v>41288</v>
      </c>
      <c r="D745" t="s">
        <v>8611</v>
      </c>
      <c r="E745">
        <v>2946</v>
      </c>
      <c r="F745">
        <v>472</v>
      </c>
      <c r="G745">
        <v>0</v>
      </c>
      <c r="H745">
        <v>0</v>
      </c>
      <c r="I745">
        <v>25</v>
      </c>
      <c r="J745">
        <v>3418</v>
      </c>
      <c r="K745" t="s">
        <v>9930</v>
      </c>
      <c r="L745" s="1">
        <v>41243</v>
      </c>
      <c r="N745" t="s">
        <v>5127</v>
      </c>
      <c r="O745" t="s">
        <v>2458</v>
      </c>
      <c r="P745" t="s">
        <v>8612</v>
      </c>
      <c r="Q745" t="s">
        <v>39</v>
      </c>
      <c r="R745" t="s">
        <v>40</v>
      </c>
      <c r="S745">
        <v>0</v>
      </c>
      <c r="U745" t="s">
        <v>41</v>
      </c>
      <c r="V745" t="s">
        <v>42</v>
      </c>
      <c r="X745" t="s">
        <v>74</v>
      </c>
      <c r="Y745" t="b">
        <v>0</v>
      </c>
      <c r="Z745" t="b">
        <v>0</v>
      </c>
      <c r="AC745" s="1"/>
      <c r="AF745">
        <v>0</v>
      </c>
      <c r="AG745">
        <v>45</v>
      </c>
      <c r="AH745">
        <v>70</v>
      </c>
      <c r="AI745" s="2">
        <f>Table__192.168.3.138BEWLPPMetaData[[#This Row],[NetAmount]]-Table__192.168.3.138BEWLPPMetaData[[#This Row],[Paid]]</f>
        <v>3418</v>
      </c>
    </row>
    <row r="746" spans="1:35" hidden="1">
      <c r="A746" t="s">
        <v>9931</v>
      </c>
      <c r="B746" s="1">
        <v>41221</v>
      </c>
      <c r="C746" s="1">
        <v>41266</v>
      </c>
      <c r="D746" t="s">
        <v>8527</v>
      </c>
      <c r="E746">
        <v>7000</v>
      </c>
      <c r="F746">
        <v>1120</v>
      </c>
      <c r="G746">
        <v>0</v>
      </c>
      <c r="H746">
        <v>0</v>
      </c>
      <c r="I746">
        <v>50</v>
      </c>
      <c r="J746">
        <v>8120</v>
      </c>
      <c r="K746" t="s">
        <v>9932</v>
      </c>
      <c r="L746" s="1">
        <v>41218</v>
      </c>
      <c r="N746" t="s">
        <v>5127</v>
      </c>
      <c r="O746" t="s">
        <v>2458</v>
      </c>
      <c r="P746" t="s">
        <v>8528</v>
      </c>
      <c r="Q746" t="s">
        <v>39</v>
      </c>
      <c r="R746" t="s">
        <v>40</v>
      </c>
      <c r="S746">
        <v>0</v>
      </c>
      <c r="U746" t="s">
        <v>41</v>
      </c>
      <c r="V746" t="s">
        <v>42</v>
      </c>
      <c r="X746" t="s">
        <v>74</v>
      </c>
      <c r="Y746" t="b">
        <v>0</v>
      </c>
      <c r="Z746" t="b">
        <v>0</v>
      </c>
      <c r="AC746" s="1"/>
      <c r="AF746">
        <v>0</v>
      </c>
      <c r="AG746">
        <v>45</v>
      </c>
      <c r="AH746">
        <v>95</v>
      </c>
      <c r="AI746" s="2">
        <f>Table__192.168.3.138BEWLPPMetaData[[#This Row],[NetAmount]]-Table__192.168.3.138BEWLPPMetaData[[#This Row],[Paid]]</f>
        <v>8120</v>
      </c>
    </row>
    <row r="747" spans="1:35" hidden="1">
      <c r="A747" t="s">
        <v>9933</v>
      </c>
      <c r="B747" s="1">
        <v>41229</v>
      </c>
      <c r="C747" s="1">
        <v>41274</v>
      </c>
      <c r="D747" t="s">
        <v>8527</v>
      </c>
      <c r="E747">
        <v>17000</v>
      </c>
      <c r="F747">
        <v>2720</v>
      </c>
      <c r="G747">
        <v>0</v>
      </c>
      <c r="H747">
        <v>0</v>
      </c>
      <c r="I747">
        <v>43</v>
      </c>
      <c r="J747">
        <v>19720</v>
      </c>
      <c r="K747" t="s">
        <v>9934</v>
      </c>
      <c r="L747" s="1">
        <v>41225</v>
      </c>
      <c r="N747" t="s">
        <v>5127</v>
      </c>
      <c r="O747" t="s">
        <v>2458</v>
      </c>
      <c r="P747" t="s">
        <v>8528</v>
      </c>
      <c r="Q747" t="s">
        <v>39</v>
      </c>
      <c r="R747" t="s">
        <v>40</v>
      </c>
      <c r="S747">
        <v>0</v>
      </c>
      <c r="U747" t="s">
        <v>41</v>
      </c>
      <c r="V747" t="s">
        <v>42</v>
      </c>
      <c r="X747" t="s">
        <v>74</v>
      </c>
      <c r="Y747" t="b">
        <v>0</v>
      </c>
      <c r="Z747" t="b">
        <v>0</v>
      </c>
      <c r="AC747" s="1"/>
      <c r="AF747">
        <v>0</v>
      </c>
      <c r="AG747">
        <v>45</v>
      </c>
      <c r="AH747">
        <v>88</v>
      </c>
      <c r="AI747" s="2">
        <f>Table__192.168.3.138BEWLPPMetaData[[#This Row],[NetAmount]]-Table__192.168.3.138BEWLPPMetaData[[#This Row],[Paid]]</f>
        <v>19720</v>
      </c>
    </row>
    <row r="748" spans="1:35" hidden="1">
      <c r="A748" t="s">
        <v>9935</v>
      </c>
      <c r="B748" s="1">
        <v>41240</v>
      </c>
      <c r="C748" s="1">
        <v>41285</v>
      </c>
      <c r="D748" t="s">
        <v>8527</v>
      </c>
      <c r="E748">
        <v>9100</v>
      </c>
      <c r="F748">
        <v>1456</v>
      </c>
      <c r="G748">
        <v>0</v>
      </c>
      <c r="H748">
        <v>0</v>
      </c>
      <c r="I748">
        <v>33</v>
      </c>
      <c r="J748">
        <v>10556</v>
      </c>
      <c r="K748" t="s">
        <v>9936</v>
      </c>
      <c r="L748" s="1">
        <v>41235</v>
      </c>
      <c r="N748" t="s">
        <v>5127</v>
      </c>
      <c r="O748" t="s">
        <v>2458</v>
      </c>
      <c r="P748" t="s">
        <v>8528</v>
      </c>
      <c r="Q748" t="s">
        <v>39</v>
      </c>
      <c r="R748" t="s">
        <v>40</v>
      </c>
      <c r="S748">
        <v>0</v>
      </c>
      <c r="U748" t="s">
        <v>41</v>
      </c>
      <c r="V748" t="s">
        <v>42</v>
      </c>
      <c r="X748" t="s">
        <v>74</v>
      </c>
      <c r="Y748" t="b">
        <v>0</v>
      </c>
      <c r="Z748" t="b">
        <v>0</v>
      </c>
      <c r="AC748" s="1"/>
      <c r="AF748">
        <v>0</v>
      </c>
      <c r="AG748">
        <v>45</v>
      </c>
      <c r="AH748">
        <v>78</v>
      </c>
      <c r="AI748" s="2">
        <f>Table__192.168.3.138BEWLPPMetaData[[#This Row],[NetAmount]]-Table__192.168.3.138BEWLPPMetaData[[#This Row],[Paid]]</f>
        <v>10556</v>
      </c>
    </row>
    <row r="749" spans="1:35" hidden="1">
      <c r="A749" t="s">
        <v>9937</v>
      </c>
      <c r="B749" s="1">
        <v>41243</v>
      </c>
      <c r="C749" s="1">
        <v>41288</v>
      </c>
      <c r="D749" t="s">
        <v>9908</v>
      </c>
      <c r="E749">
        <v>4725</v>
      </c>
      <c r="F749">
        <v>756</v>
      </c>
      <c r="G749">
        <v>0</v>
      </c>
      <c r="H749">
        <v>0</v>
      </c>
      <c r="I749">
        <v>25</v>
      </c>
      <c r="J749">
        <v>5481</v>
      </c>
      <c r="K749" t="s">
        <v>5974</v>
      </c>
      <c r="L749" s="1">
        <v>41243</v>
      </c>
      <c r="N749" t="s">
        <v>5127</v>
      </c>
      <c r="O749" t="s">
        <v>2458</v>
      </c>
      <c r="P749" t="s">
        <v>426</v>
      </c>
      <c r="Q749" t="s">
        <v>39</v>
      </c>
      <c r="R749" t="s">
        <v>40</v>
      </c>
      <c r="S749">
        <v>0</v>
      </c>
      <c r="U749" t="s">
        <v>41</v>
      </c>
      <c r="V749" t="s">
        <v>42</v>
      </c>
      <c r="X749" t="s">
        <v>74</v>
      </c>
      <c r="Y749" t="b">
        <v>0</v>
      </c>
      <c r="Z749" t="b">
        <v>0</v>
      </c>
      <c r="AC749" s="1"/>
      <c r="AF749">
        <v>0</v>
      </c>
      <c r="AG749">
        <v>45</v>
      </c>
      <c r="AH749">
        <v>70</v>
      </c>
      <c r="AI749" s="2">
        <f>Table__192.168.3.138BEWLPPMetaData[[#This Row],[NetAmount]]-Table__192.168.3.138BEWLPPMetaData[[#This Row],[Paid]]</f>
        <v>5481</v>
      </c>
    </row>
    <row r="750" spans="1:35" hidden="1">
      <c r="A750" t="s">
        <v>9938</v>
      </c>
      <c r="B750" s="1">
        <v>41243</v>
      </c>
      <c r="C750" s="1">
        <v>41288</v>
      </c>
      <c r="D750" t="s">
        <v>8538</v>
      </c>
      <c r="E750">
        <v>20280</v>
      </c>
      <c r="F750">
        <v>3245</v>
      </c>
      <c r="G750">
        <v>0</v>
      </c>
      <c r="H750">
        <v>0</v>
      </c>
      <c r="I750">
        <v>25</v>
      </c>
      <c r="J750">
        <v>23525</v>
      </c>
      <c r="K750" t="s">
        <v>6645</v>
      </c>
      <c r="L750" s="1">
        <v>41243</v>
      </c>
      <c r="N750" t="s">
        <v>5127</v>
      </c>
      <c r="O750" t="s">
        <v>2458</v>
      </c>
      <c r="P750" t="s">
        <v>310</v>
      </c>
      <c r="Q750" t="s">
        <v>39</v>
      </c>
      <c r="R750" t="s">
        <v>40</v>
      </c>
      <c r="S750">
        <v>0</v>
      </c>
      <c r="U750" t="s">
        <v>41</v>
      </c>
      <c r="V750" t="s">
        <v>42</v>
      </c>
      <c r="X750" t="s">
        <v>74</v>
      </c>
      <c r="Y750" t="b">
        <v>0</v>
      </c>
      <c r="Z750" t="b">
        <v>0</v>
      </c>
      <c r="AC750" s="1"/>
      <c r="AF750">
        <v>0</v>
      </c>
      <c r="AG750">
        <v>45</v>
      </c>
      <c r="AH750">
        <v>70</v>
      </c>
      <c r="AI750" s="2">
        <f>Table__192.168.3.138BEWLPPMetaData[[#This Row],[NetAmount]]-Table__192.168.3.138BEWLPPMetaData[[#This Row],[Paid]]</f>
        <v>23525</v>
      </c>
    </row>
    <row r="751" spans="1:35" hidden="1">
      <c r="A751" t="s">
        <v>9939</v>
      </c>
      <c r="B751" s="1">
        <v>41234</v>
      </c>
      <c r="C751" s="1">
        <v>41279</v>
      </c>
      <c r="D751" t="s">
        <v>8910</v>
      </c>
      <c r="E751">
        <v>55345</v>
      </c>
      <c r="F751">
        <v>8854</v>
      </c>
      <c r="G751">
        <v>0</v>
      </c>
      <c r="H751">
        <v>0</v>
      </c>
      <c r="I751">
        <v>35</v>
      </c>
      <c r="J751">
        <v>64199</v>
      </c>
      <c r="K751" t="s">
        <v>9940</v>
      </c>
      <c r="L751" s="1">
        <v>41233</v>
      </c>
      <c r="N751" t="s">
        <v>5127</v>
      </c>
      <c r="O751" t="s">
        <v>2458</v>
      </c>
      <c r="P751" t="s">
        <v>392</v>
      </c>
      <c r="Q751" t="s">
        <v>39</v>
      </c>
      <c r="R751" t="s">
        <v>40</v>
      </c>
      <c r="S751">
        <v>0</v>
      </c>
      <c r="U751" t="s">
        <v>41</v>
      </c>
      <c r="V751" t="s">
        <v>42</v>
      </c>
      <c r="X751" t="s">
        <v>74</v>
      </c>
      <c r="Y751" t="b">
        <v>0</v>
      </c>
      <c r="Z751" t="b">
        <v>0</v>
      </c>
      <c r="AC751" s="1"/>
      <c r="AF751">
        <v>0</v>
      </c>
      <c r="AG751">
        <v>45</v>
      </c>
      <c r="AH751">
        <v>80</v>
      </c>
      <c r="AI751" s="2">
        <f>Table__192.168.3.138BEWLPPMetaData[[#This Row],[NetAmount]]-Table__192.168.3.138BEWLPPMetaData[[#This Row],[Paid]]</f>
        <v>64199</v>
      </c>
    </row>
    <row r="752" spans="1:35" hidden="1">
      <c r="A752" t="s">
        <v>9941</v>
      </c>
      <c r="B752" s="1">
        <v>41239</v>
      </c>
      <c r="C752" s="1">
        <v>41284</v>
      </c>
      <c r="D752" t="s">
        <v>8530</v>
      </c>
      <c r="E752">
        <v>118574</v>
      </c>
      <c r="F752">
        <v>18972</v>
      </c>
      <c r="G752">
        <v>0</v>
      </c>
      <c r="H752">
        <v>0</v>
      </c>
      <c r="I752">
        <v>29</v>
      </c>
      <c r="J752">
        <v>137546</v>
      </c>
      <c r="K752" t="s">
        <v>9942</v>
      </c>
      <c r="L752" s="1">
        <v>41239</v>
      </c>
      <c r="N752" t="s">
        <v>5127</v>
      </c>
      <c r="O752" t="s">
        <v>2458</v>
      </c>
      <c r="P752" t="s">
        <v>357</v>
      </c>
      <c r="Q752" t="s">
        <v>39</v>
      </c>
      <c r="R752" t="s">
        <v>40</v>
      </c>
      <c r="S752">
        <v>0</v>
      </c>
      <c r="U752" t="s">
        <v>41</v>
      </c>
      <c r="V752" t="s">
        <v>42</v>
      </c>
      <c r="X752" t="s">
        <v>74</v>
      </c>
      <c r="Y752" t="b">
        <v>0</v>
      </c>
      <c r="Z752" t="b">
        <v>0</v>
      </c>
      <c r="AC752" s="1"/>
      <c r="AF752">
        <v>0</v>
      </c>
      <c r="AG752">
        <v>45</v>
      </c>
      <c r="AH752">
        <v>74</v>
      </c>
      <c r="AI752" s="2">
        <f>Table__192.168.3.138BEWLPPMetaData[[#This Row],[NetAmount]]-Table__192.168.3.138BEWLPPMetaData[[#This Row],[Paid]]</f>
        <v>137546</v>
      </c>
    </row>
    <row r="753" spans="1:35" hidden="1">
      <c r="A753" t="s">
        <v>9943</v>
      </c>
      <c r="B753" s="1">
        <v>41240</v>
      </c>
      <c r="C753" s="1">
        <v>41285</v>
      </c>
      <c r="D753" t="s">
        <v>8530</v>
      </c>
      <c r="E753">
        <v>213219</v>
      </c>
      <c r="F753">
        <v>34115</v>
      </c>
      <c r="G753">
        <v>0</v>
      </c>
      <c r="H753">
        <v>0</v>
      </c>
      <c r="I753">
        <v>28</v>
      </c>
      <c r="J753">
        <v>247334</v>
      </c>
      <c r="K753" t="s">
        <v>9944</v>
      </c>
      <c r="L753" s="1">
        <v>41240</v>
      </c>
      <c r="N753" t="s">
        <v>5127</v>
      </c>
      <c r="O753" t="s">
        <v>2458</v>
      </c>
      <c r="P753" t="s">
        <v>357</v>
      </c>
      <c r="Q753" t="s">
        <v>39</v>
      </c>
      <c r="R753" t="s">
        <v>40</v>
      </c>
      <c r="S753">
        <v>0</v>
      </c>
      <c r="U753" t="s">
        <v>41</v>
      </c>
      <c r="V753" t="s">
        <v>42</v>
      </c>
      <c r="X753" t="s">
        <v>74</v>
      </c>
      <c r="Y753" t="b">
        <v>0</v>
      </c>
      <c r="Z753" t="b">
        <v>0</v>
      </c>
      <c r="AC753" s="1"/>
      <c r="AF753">
        <v>0</v>
      </c>
      <c r="AG753">
        <v>45</v>
      </c>
      <c r="AH753">
        <v>73</v>
      </c>
      <c r="AI753" s="2">
        <f>Table__192.168.3.138BEWLPPMetaData[[#This Row],[NetAmount]]-Table__192.168.3.138BEWLPPMetaData[[#This Row],[Paid]]</f>
        <v>247334</v>
      </c>
    </row>
    <row r="754" spans="1:35" hidden="1">
      <c r="A754" t="s">
        <v>9945</v>
      </c>
      <c r="B754" s="1">
        <v>41243</v>
      </c>
      <c r="C754" s="1">
        <v>41288</v>
      </c>
      <c r="D754" t="s">
        <v>8530</v>
      </c>
      <c r="E754">
        <v>91448</v>
      </c>
      <c r="F754">
        <v>14632</v>
      </c>
      <c r="G754">
        <v>0</v>
      </c>
      <c r="H754">
        <v>0</v>
      </c>
      <c r="I754">
        <v>26</v>
      </c>
      <c r="J754">
        <v>106080</v>
      </c>
      <c r="K754" t="s">
        <v>9946</v>
      </c>
      <c r="L754" s="1">
        <v>41242</v>
      </c>
      <c r="N754" t="s">
        <v>5127</v>
      </c>
      <c r="O754" t="s">
        <v>2458</v>
      </c>
      <c r="P754" t="s">
        <v>357</v>
      </c>
      <c r="Q754" t="s">
        <v>39</v>
      </c>
      <c r="R754" t="s">
        <v>40</v>
      </c>
      <c r="S754">
        <v>0</v>
      </c>
      <c r="U754" t="s">
        <v>41</v>
      </c>
      <c r="V754" t="s">
        <v>42</v>
      </c>
      <c r="X754" t="s">
        <v>74</v>
      </c>
      <c r="Y754" t="b">
        <v>0</v>
      </c>
      <c r="Z754" t="b">
        <v>0</v>
      </c>
      <c r="AC754" s="1"/>
      <c r="AF754">
        <v>0</v>
      </c>
      <c r="AG754">
        <v>45</v>
      </c>
      <c r="AH754">
        <v>71</v>
      </c>
      <c r="AI754" s="2">
        <f>Table__192.168.3.138BEWLPPMetaData[[#This Row],[NetAmount]]-Table__192.168.3.138BEWLPPMetaData[[#This Row],[Paid]]</f>
        <v>106080</v>
      </c>
    </row>
    <row r="755" spans="1:35" hidden="1">
      <c r="A755" t="s">
        <v>9947</v>
      </c>
      <c r="B755" s="1">
        <v>41243</v>
      </c>
      <c r="C755" s="1">
        <v>41288</v>
      </c>
      <c r="D755" t="s">
        <v>8530</v>
      </c>
      <c r="E755">
        <v>60134</v>
      </c>
      <c r="F755">
        <v>9621</v>
      </c>
      <c r="G755">
        <v>0</v>
      </c>
      <c r="H755">
        <v>0</v>
      </c>
      <c r="I755">
        <v>25</v>
      </c>
      <c r="J755">
        <v>69755</v>
      </c>
      <c r="K755" t="s">
        <v>9948</v>
      </c>
      <c r="L755" s="1">
        <v>41243</v>
      </c>
      <c r="N755" t="s">
        <v>5127</v>
      </c>
      <c r="O755" t="s">
        <v>2458</v>
      </c>
      <c r="P755" t="s">
        <v>357</v>
      </c>
      <c r="Q755" t="s">
        <v>39</v>
      </c>
      <c r="R755" t="s">
        <v>40</v>
      </c>
      <c r="S755">
        <v>0</v>
      </c>
      <c r="U755" t="s">
        <v>41</v>
      </c>
      <c r="V755" t="s">
        <v>42</v>
      </c>
      <c r="X755" t="s">
        <v>74</v>
      </c>
      <c r="Y755" t="b">
        <v>0</v>
      </c>
      <c r="Z755" t="b">
        <v>0</v>
      </c>
      <c r="AC755" s="1"/>
      <c r="AF755">
        <v>0</v>
      </c>
      <c r="AG755">
        <v>45</v>
      </c>
      <c r="AH755">
        <v>70</v>
      </c>
      <c r="AI755" s="2">
        <f>Table__192.168.3.138BEWLPPMetaData[[#This Row],[NetAmount]]-Table__192.168.3.138BEWLPPMetaData[[#This Row],[Paid]]</f>
        <v>69755</v>
      </c>
    </row>
    <row r="756" spans="1:35" hidden="1">
      <c r="A756" t="s">
        <v>9949</v>
      </c>
      <c r="B756" s="1">
        <v>41229</v>
      </c>
      <c r="C756" s="1">
        <v>41274</v>
      </c>
      <c r="D756" t="s">
        <v>8577</v>
      </c>
      <c r="E756">
        <v>6920</v>
      </c>
      <c r="F756">
        <v>0</v>
      </c>
      <c r="G756">
        <v>0</v>
      </c>
      <c r="H756">
        <v>0</v>
      </c>
      <c r="I756">
        <v>43</v>
      </c>
      <c r="J756">
        <v>6920</v>
      </c>
      <c r="K756" t="s">
        <v>5204</v>
      </c>
      <c r="L756" s="1">
        <v>41225</v>
      </c>
      <c r="N756" t="s">
        <v>5127</v>
      </c>
      <c r="O756" t="s">
        <v>2458</v>
      </c>
      <c r="P756" t="s">
        <v>8579</v>
      </c>
      <c r="Q756" t="s">
        <v>39</v>
      </c>
      <c r="R756" t="s">
        <v>40</v>
      </c>
      <c r="S756">
        <v>0</v>
      </c>
      <c r="U756" t="s">
        <v>41</v>
      </c>
      <c r="V756" t="s">
        <v>42</v>
      </c>
      <c r="X756" t="s">
        <v>74</v>
      </c>
      <c r="Y756" t="b">
        <v>0</v>
      </c>
      <c r="Z756" t="b">
        <v>0</v>
      </c>
      <c r="AC756" s="1"/>
      <c r="AF756">
        <v>0</v>
      </c>
      <c r="AG756">
        <v>45</v>
      </c>
      <c r="AH756">
        <v>88</v>
      </c>
      <c r="AI756" s="2">
        <f>Table__192.168.3.138BEWLPPMetaData[[#This Row],[NetAmount]]-Table__192.168.3.138BEWLPPMetaData[[#This Row],[Paid]]</f>
        <v>6920</v>
      </c>
    </row>
    <row r="757" spans="1:35" hidden="1">
      <c r="A757" t="s">
        <v>9950</v>
      </c>
      <c r="B757" s="1">
        <v>41234</v>
      </c>
      <c r="C757" s="1">
        <v>41279</v>
      </c>
      <c r="D757" t="s">
        <v>8577</v>
      </c>
      <c r="E757">
        <v>4500</v>
      </c>
      <c r="F757">
        <v>0</v>
      </c>
      <c r="G757">
        <v>0</v>
      </c>
      <c r="H757">
        <v>0</v>
      </c>
      <c r="I757">
        <v>35</v>
      </c>
      <c r="J757">
        <v>4500</v>
      </c>
      <c r="K757" t="s">
        <v>4061</v>
      </c>
      <c r="L757" s="1">
        <v>41233</v>
      </c>
      <c r="N757" t="s">
        <v>5127</v>
      </c>
      <c r="O757" t="s">
        <v>2458</v>
      </c>
      <c r="P757" t="s">
        <v>8579</v>
      </c>
      <c r="Q757" t="s">
        <v>39</v>
      </c>
      <c r="R757" t="s">
        <v>40</v>
      </c>
      <c r="S757">
        <v>0</v>
      </c>
      <c r="U757" t="s">
        <v>41</v>
      </c>
      <c r="V757" t="s">
        <v>42</v>
      </c>
      <c r="X757" t="s">
        <v>74</v>
      </c>
      <c r="Y757" t="b">
        <v>0</v>
      </c>
      <c r="Z757" t="b">
        <v>0</v>
      </c>
      <c r="AC757" s="1"/>
      <c r="AF757">
        <v>0</v>
      </c>
      <c r="AG757">
        <v>45</v>
      </c>
      <c r="AH757">
        <v>80</v>
      </c>
      <c r="AI757" s="2">
        <f>Table__192.168.3.138BEWLPPMetaData[[#This Row],[NetAmount]]-Table__192.168.3.138BEWLPPMetaData[[#This Row],[Paid]]</f>
        <v>4500</v>
      </c>
    </row>
    <row r="758" spans="1:35" hidden="1">
      <c r="A758" t="s">
        <v>9951</v>
      </c>
      <c r="B758" s="1">
        <v>41240</v>
      </c>
      <c r="C758" s="1">
        <v>41285</v>
      </c>
      <c r="D758" t="s">
        <v>8577</v>
      </c>
      <c r="E758">
        <v>8225</v>
      </c>
      <c r="F758">
        <v>0</v>
      </c>
      <c r="G758">
        <v>0</v>
      </c>
      <c r="H758">
        <v>0</v>
      </c>
      <c r="I758">
        <v>29</v>
      </c>
      <c r="J758">
        <v>8225</v>
      </c>
      <c r="K758" t="s">
        <v>4152</v>
      </c>
      <c r="L758" s="1">
        <v>41239</v>
      </c>
      <c r="N758" t="s">
        <v>5127</v>
      </c>
      <c r="O758" t="s">
        <v>2458</v>
      </c>
      <c r="P758" t="s">
        <v>8579</v>
      </c>
      <c r="Q758" t="s">
        <v>39</v>
      </c>
      <c r="R758" t="s">
        <v>40</v>
      </c>
      <c r="S758">
        <v>0</v>
      </c>
      <c r="U758" t="s">
        <v>41</v>
      </c>
      <c r="V758" t="s">
        <v>42</v>
      </c>
      <c r="X758" t="s">
        <v>74</v>
      </c>
      <c r="Y758" t="b">
        <v>0</v>
      </c>
      <c r="Z758" t="b">
        <v>0</v>
      </c>
      <c r="AC758" s="1"/>
      <c r="AF758">
        <v>0</v>
      </c>
      <c r="AG758">
        <v>45</v>
      </c>
      <c r="AH758">
        <v>74</v>
      </c>
      <c r="AI758" s="2">
        <f>Table__192.168.3.138BEWLPPMetaData[[#This Row],[NetAmount]]-Table__192.168.3.138BEWLPPMetaData[[#This Row],[Paid]]</f>
        <v>8225</v>
      </c>
    </row>
    <row r="759" spans="1:35" hidden="1">
      <c r="A759" t="s">
        <v>9952</v>
      </c>
      <c r="B759" s="1">
        <v>41239</v>
      </c>
      <c r="C759" s="1">
        <v>41284</v>
      </c>
      <c r="D759" t="s">
        <v>8577</v>
      </c>
      <c r="E759">
        <v>9000</v>
      </c>
      <c r="F759">
        <v>0</v>
      </c>
      <c r="G759">
        <v>0</v>
      </c>
      <c r="H759">
        <v>0</v>
      </c>
      <c r="I759">
        <v>29</v>
      </c>
      <c r="J759">
        <v>9000</v>
      </c>
      <c r="K759" t="s">
        <v>4108</v>
      </c>
      <c r="L759" s="1">
        <v>41239</v>
      </c>
      <c r="N759" t="s">
        <v>5127</v>
      </c>
      <c r="O759" t="s">
        <v>2458</v>
      </c>
      <c r="P759" t="s">
        <v>8579</v>
      </c>
      <c r="Q759" t="s">
        <v>39</v>
      </c>
      <c r="R759" t="s">
        <v>40</v>
      </c>
      <c r="S759">
        <v>0</v>
      </c>
      <c r="U759" t="s">
        <v>41</v>
      </c>
      <c r="V759" t="s">
        <v>42</v>
      </c>
      <c r="X759" t="s">
        <v>74</v>
      </c>
      <c r="Y759" t="b">
        <v>0</v>
      </c>
      <c r="Z759" t="b">
        <v>0</v>
      </c>
      <c r="AC759" s="1"/>
      <c r="AF759">
        <v>0</v>
      </c>
      <c r="AG759">
        <v>45</v>
      </c>
      <c r="AH759">
        <v>74</v>
      </c>
      <c r="AI759" s="2">
        <f>Table__192.168.3.138BEWLPPMetaData[[#This Row],[NetAmount]]-Table__192.168.3.138BEWLPPMetaData[[#This Row],[Paid]]</f>
        <v>9000</v>
      </c>
    </row>
    <row r="760" spans="1:35" hidden="1">
      <c r="A760" t="s">
        <v>9953</v>
      </c>
      <c r="B760" s="1">
        <v>41243</v>
      </c>
      <c r="C760" s="1">
        <v>41288</v>
      </c>
      <c r="D760" t="s">
        <v>8577</v>
      </c>
      <c r="E760">
        <v>28475</v>
      </c>
      <c r="F760">
        <v>0</v>
      </c>
      <c r="G760">
        <v>0</v>
      </c>
      <c r="H760">
        <v>0</v>
      </c>
      <c r="I760">
        <v>29</v>
      </c>
      <c r="J760">
        <v>28475</v>
      </c>
      <c r="K760" t="s">
        <v>5794</v>
      </c>
      <c r="L760" s="1">
        <v>41239</v>
      </c>
      <c r="N760" t="s">
        <v>5127</v>
      </c>
      <c r="O760" t="s">
        <v>2458</v>
      </c>
      <c r="P760" t="s">
        <v>8579</v>
      </c>
      <c r="Q760" t="s">
        <v>39</v>
      </c>
      <c r="R760" t="s">
        <v>40</v>
      </c>
      <c r="S760">
        <v>0</v>
      </c>
      <c r="U760" t="s">
        <v>41</v>
      </c>
      <c r="V760" t="s">
        <v>42</v>
      </c>
      <c r="X760" t="s">
        <v>74</v>
      </c>
      <c r="Y760" t="b">
        <v>0</v>
      </c>
      <c r="Z760" t="b">
        <v>0</v>
      </c>
      <c r="AC760" s="1"/>
      <c r="AF760">
        <v>0</v>
      </c>
      <c r="AG760">
        <v>45</v>
      </c>
      <c r="AH760">
        <v>74</v>
      </c>
      <c r="AI760" s="2">
        <f>Table__192.168.3.138BEWLPPMetaData[[#This Row],[NetAmount]]-Table__192.168.3.138BEWLPPMetaData[[#This Row],[Paid]]</f>
        <v>28475</v>
      </c>
    </row>
    <row r="761" spans="1:35" hidden="1">
      <c r="A761" t="s">
        <v>9954</v>
      </c>
      <c r="B761" s="1">
        <v>41243</v>
      </c>
      <c r="C761" s="1">
        <v>41288</v>
      </c>
      <c r="D761" t="s">
        <v>8577</v>
      </c>
      <c r="E761">
        <v>230</v>
      </c>
      <c r="F761">
        <v>0</v>
      </c>
      <c r="G761">
        <v>0</v>
      </c>
      <c r="H761">
        <v>0</v>
      </c>
      <c r="I761">
        <v>25</v>
      </c>
      <c r="J761">
        <v>230</v>
      </c>
      <c r="K761" t="s">
        <v>9071</v>
      </c>
      <c r="L761" s="1">
        <v>41243</v>
      </c>
      <c r="N761" t="s">
        <v>5127</v>
      </c>
      <c r="O761" t="s">
        <v>2458</v>
      </c>
      <c r="P761" t="s">
        <v>8579</v>
      </c>
      <c r="Q761" t="s">
        <v>39</v>
      </c>
      <c r="R761" t="s">
        <v>40</v>
      </c>
      <c r="S761">
        <v>0</v>
      </c>
      <c r="U761" t="s">
        <v>41</v>
      </c>
      <c r="V761" t="s">
        <v>42</v>
      </c>
      <c r="X761" t="s">
        <v>74</v>
      </c>
      <c r="Y761" t="b">
        <v>0</v>
      </c>
      <c r="Z761" t="b">
        <v>0</v>
      </c>
      <c r="AC761" s="1"/>
      <c r="AF761">
        <v>0</v>
      </c>
      <c r="AG761">
        <v>45</v>
      </c>
      <c r="AH761">
        <v>70</v>
      </c>
      <c r="AI761" s="2">
        <f>Table__192.168.3.138BEWLPPMetaData[[#This Row],[NetAmount]]-Table__192.168.3.138BEWLPPMetaData[[#This Row],[Paid]]</f>
        <v>230</v>
      </c>
    </row>
    <row r="762" spans="1:35" hidden="1">
      <c r="A762" t="s">
        <v>9955</v>
      </c>
      <c r="B762" s="1">
        <v>41250</v>
      </c>
      <c r="C762" s="1">
        <v>41295</v>
      </c>
      <c r="D762" t="s">
        <v>8603</v>
      </c>
      <c r="E762">
        <v>26000</v>
      </c>
      <c r="F762">
        <v>4160</v>
      </c>
      <c r="G762">
        <v>0</v>
      </c>
      <c r="H762">
        <v>0</v>
      </c>
      <c r="I762">
        <v>19</v>
      </c>
      <c r="J762">
        <v>30160</v>
      </c>
      <c r="K762" t="s">
        <v>9956</v>
      </c>
      <c r="L762" s="1">
        <v>41249</v>
      </c>
      <c r="N762" t="s">
        <v>5127</v>
      </c>
      <c r="O762" t="s">
        <v>2458</v>
      </c>
      <c r="P762" t="s">
        <v>304</v>
      </c>
      <c r="Q762" t="s">
        <v>39</v>
      </c>
      <c r="R762" t="s">
        <v>40</v>
      </c>
      <c r="S762">
        <v>0</v>
      </c>
      <c r="U762" t="s">
        <v>41</v>
      </c>
      <c r="V762" t="s">
        <v>42</v>
      </c>
      <c r="X762" t="s">
        <v>74</v>
      </c>
      <c r="Y762" t="b">
        <v>0</v>
      </c>
      <c r="Z762" t="b">
        <v>0</v>
      </c>
      <c r="AC762" s="1"/>
      <c r="AF762">
        <v>0</v>
      </c>
      <c r="AG762">
        <v>45</v>
      </c>
      <c r="AH762">
        <v>64</v>
      </c>
      <c r="AI762" s="2">
        <f>Table__192.168.3.138BEWLPPMetaData[[#This Row],[NetAmount]]-Table__192.168.3.138BEWLPPMetaData[[#This Row],[Paid]]</f>
        <v>30160</v>
      </c>
    </row>
    <row r="763" spans="1:35" hidden="1">
      <c r="A763" t="s">
        <v>9957</v>
      </c>
      <c r="B763" s="1">
        <v>41246</v>
      </c>
      <c r="C763" s="1">
        <v>41291</v>
      </c>
      <c r="D763" t="s">
        <v>8603</v>
      </c>
      <c r="E763">
        <v>16250</v>
      </c>
      <c r="F763">
        <v>2600</v>
      </c>
      <c r="G763">
        <v>0</v>
      </c>
      <c r="H763">
        <v>0</v>
      </c>
      <c r="I763">
        <v>25</v>
      </c>
      <c r="J763">
        <v>18850</v>
      </c>
      <c r="K763" t="s">
        <v>9958</v>
      </c>
      <c r="L763" s="1">
        <v>41243</v>
      </c>
      <c r="N763" t="s">
        <v>5127</v>
      </c>
      <c r="O763" t="s">
        <v>2458</v>
      </c>
      <c r="P763" t="s">
        <v>304</v>
      </c>
      <c r="Q763" t="s">
        <v>39</v>
      </c>
      <c r="R763" t="s">
        <v>40</v>
      </c>
      <c r="S763">
        <v>0</v>
      </c>
      <c r="U763" t="s">
        <v>41</v>
      </c>
      <c r="V763" t="s">
        <v>42</v>
      </c>
      <c r="X763" t="s">
        <v>74</v>
      </c>
      <c r="Y763" t="b">
        <v>0</v>
      </c>
      <c r="Z763" t="b">
        <v>0</v>
      </c>
      <c r="AC763" s="1"/>
      <c r="AF763">
        <v>0</v>
      </c>
      <c r="AG763">
        <v>45</v>
      </c>
      <c r="AH763">
        <v>70</v>
      </c>
      <c r="AI763" s="2">
        <f>Table__192.168.3.138BEWLPPMetaData[[#This Row],[NetAmount]]-Table__192.168.3.138BEWLPPMetaData[[#This Row],[Paid]]</f>
        <v>18850</v>
      </c>
    </row>
    <row r="764" spans="1:35" hidden="1">
      <c r="A764" t="s">
        <v>9959</v>
      </c>
      <c r="B764" s="1">
        <v>41254</v>
      </c>
      <c r="C764" s="1">
        <v>41299</v>
      </c>
      <c r="D764" t="s">
        <v>9880</v>
      </c>
      <c r="E764">
        <v>46400</v>
      </c>
      <c r="F764">
        <v>7424</v>
      </c>
      <c r="G764">
        <v>0</v>
      </c>
      <c r="H764">
        <v>0</v>
      </c>
      <c r="I764">
        <v>19</v>
      </c>
      <c r="J764">
        <v>53824</v>
      </c>
      <c r="K764" t="s">
        <v>1955</v>
      </c>
      <c r="L764" s="1">
        <v>41249</v>
      </c>
      <c r="N764" t="s">
        <v>5127</v>
      </c>
      <c r="O764" t="s">
        <v>2458</v>
      </c>
      <c r="P764" t="s">
        <v>9882</v>
      </c>
      <c r="Q764" t="s">
        <v>39</v>
      </c>
      <c r="R764" t="s">
        <v>40</v>
      </c>
      <c r="S764">
        <v>0</v>
      </c>
      <c r="U764" t="s">
        <v>41</v>
      </c>
      <c r="V764" t="s">
        <v>42</v>
      </c>
      <c r="X764" t="s">
        <v>74</v>
      </c>
      <c r="Y764" t="b">
        <v>0</v>
      </c>
      <c r="Z764" t="b">
        <v>0</v>
      </c>
      <c r="AC764" s="1"/>
      <c r="AF764">
        <v>0</v>
      </c>
      <c r="AG764">
        <v>45</v>
      </c>
      <c r="AH764">
        <v>64</v>
      </c>
      <c r="AI764" s="2">
        <f>Table__192.168.3.138BEWLPPMetaData[[#This Row],[NetAmount]]-Table__192.168.3.138BEWLPPMetaData[[#This Row],[Paid]]</f>
        <v>53824</v>
      </c>
    </row>
    <row r="765" spans="1:35" hidden="1">
      <c r="A765" t="s">
        <v>9960</v>
      </c>
      <c r="B765" s="1">
        <v>41249</v>
      </c>
      <c r="C765" s="1">
        <v>41294</v>
      </c>
      <c r="D765" t="s">
        <v>8869</v>
      </c>
      <c r="E765">
        <v>53360</v>
      </c>
      <c r="F765">
        <v>8538</v>
      </c>
      <c r="G765">
        <v>0</v>
      </c>
      <c r="H765">
        <v>0</v>
      </c>
      <c r="I765">
        <v>20</v>
      </c>
      <c r="J765">
        <v>61898</v>
      </c>
      <c r="K765" t="s">
        <v>9961</v>
      </c>
      <c r="L765" s="1">
        <v>41248</v>
      </c>
      <c r="N765" t="s">
        <v>5127</v>
      </c>
      <c r="O765" t="s">
        <v>2458</v>
      </c>
      <c r="P765" t="s">
        <v>8870</v>
      </c>
      <c r="Q765" t="s">
        <v>39</v>
      </c>
      <c r="R765" t="s">
        <v>40</v>
      </c>
      <c r="S765">
        <v>0</v>
      </c>
      <c r="U765" t="s">
        <v>41</v>
      </c>
      <c r="V765" t="s">
        <v>42</v>
      </c>
      <c r="X765" t="s">
        <v>74</v>
      </c>
      <c r="Y765" t="b">
        <v>0</v>
      </c>
      <c r="Z765" t="b">
        <v>0</v>
      </c>
      <c r="AC765" s="1"/>
      <c r="AF765">
        <v>0</v>
      </c>
      <c r="AG765">
        <v>45</v>
      </c>
      <c r="AH765">
        <v>65</v>
      </c>
      <c r="AI765" s="2">
        <f>Table__192.168.3.138BEWLPPMetaData[[#This Row],[NetAmount]]-Table__192.168.3.138BEWLPPMetaData[[#This Row],[Paid]]</f>
        <v>61898</v>
      </c>
    </row>
    <row r="766" spans="1:35" hidden="1">
      <c r="A766" t="s">
        <v>9962</v>
      </c>
      <c r="B766" s="1">
        <v>41246</v>
      </c>
      <c r="C766" s="1">
        <v>41291</v>
      </c>
      <c r="D766" t="s">
        <v>8611</v>
      </c>
      <c r="E766">
        <v>736</v>
      </c>
      <c r="F766">
        <v>118</v>
      </c>
      <c r="G766">
        <v>0</v>
      </c>
      <c r="H766">
        <v>0</v>
      </c>
      <c r="I766">
        <v>24</v>
      </c>
      <c r="J766">
        <v>854</v>
      </c>
      <c r="K766" t="s">
        <v>9963</v>
      </c>
      <c r="L766" s="1">
        <v>41244</v>
      </c>
      <c r="N766" t="s">
        <v>5127</v>
      </c>
      <c r="O766" t="s">
        <v>2458</v>
      </c>
      <c r="P766" t="s">
        <v>8612</v>
      </c>
      <c r="Q766" t="s">
        <v>39</v>
      </c>
      <c r="R766" t="s">
        <v>40</v>
      </c>
      <c r="S766">
        <v>0</v>
      </c>
      <c r="U766" t="s">
        <v>41</v>
      </c>
      <c r="V766" t="s">
        <v>42</v>
      </c>
      <c r="X766" t="s">
        <v>74</v>
      </c>
      <c r="Y766" t="b">
        <v>0</v>
      </c>
      <c r="Z766" t="b">
        <v>0</v>
      </c>
      <c r="AC766" s="1"/>
      <c r="AF766">
        <v>0</v>
      </c>
      <c r="AG766">
        <v>45</v>
      </c>
      <c r="AH766">
        <v>69</v>
      </c>
      <c r="AI766" s="2">
        <f>Table__192.168.3.138BEWLPPMetaData[[#This Row],[NetAmount]]-Table__192.168.3.138BEWLPPMetaData[[#This Row],[Paid]]</f>
        <v>854</v>
      </c>
    </row>
    <row r="767" spans="1:35" hidden="1">
      <c r="A767" t="s">
        <v>9964</v>
      </c>
      <c r="B767" s="1">
        <v>41250</v>
      </c>
      <c r="C767" s="1">
        <v>41295</v>
      </c>
      <c r="D767" t="s">
        <v>8611</v>
      </c>
      <c r="E767">
        <v>7135</v>
      </c>
      <c r="F767">
        <v>1142</v>
      </c>
      <c r="G767">
        <v>0</v>
      </c>
      <c r="H767">
        <v>0</v>
      </c>
      <c r="I767">
        <v>20</v>
      </c>
      <c r="J767">
        <v>8277</v>
      </c>
      <c r="K767" t="s">
        <v>9965</v>
      </c>
      <c r="L767" s="1">
        <v>41248</v>
      </c>
      <c r="N767" t="s">
        <v>5127</v>
      </c>
      <c r="O767" t="s">
        <v>2458</v>
      </c>
      <c r="P767" t="s">
        <v>8612</v>
      </c>
      <c r="Q767" t="s">
        <v>39</v>
      </c>
      <c r="R767" t="s">
        <v>40</v>
      </c>
      <c r="S767">
        <v>0</v>
      </c>
      <c r="U767" t="s">
        <v>41</v>
      </c>
      <c r="V767" t="s">
        <v>42</v>
      </c>
      <c r="X767" t="s">
        <v>74</v>
      </c>
      <c r="Y767" t="b">
        <v>0</v>
      </c>
      <c r="Z767" t="b">
        <v>0</v>
      </c>
      <c r="AC767" s="1"/>
      <c r="AF767">
        <v>0</v>
      </c>
      <c r="AG767">
        <v>45</v>
      </c>
      <c r="AH767">
        <v>65</v>
      </c>
      <c r="AI767" s="2">
        <f>Table__192.168.3.138BEWLPPMetaData[[#This Row],[NetAmount]]-Table__192.168.3.138BEWLPPMetaData[[#This Row],[Paid]]</f>
        <v>8277</v>
      </c>
    </row>
    <row r="768" spans="1:35" hidden="1">
      <c r="A768" t="s">
        <v>9966</v>
      </c>
      <c r="B768" s="1">
        <v>41250</v>
      </c>
      <c r="C768" s="1">
        <v>41295</v>
      </c>
      <c r="D768" t="s">
        <v>8970</v>
      </c>
      <c r="E768">
        <v>3330</v>
      </c>
      <c r="F768">
        <v>533</v>
      </c>
      <c r="G768">
        <v>0</v>
      </c>
      <c r="H768">
        <v>0</v>
      </c>
      <c r="I768">
        <v>24</v>
      </c>
      <c r="J768">
        <v>3863</v>
      </c>
      <c r="K768" t="s">
        <v>8139</v>
      </c>
      <c r="L768" s="1">
        <v>41244</v>
      </c>
      <c r="N768" t="s">
        <v>5127</v>
      </c>
      <c r="O768" t="s">
        <v>2458</v>
      </c>
      <c r="P768" t="s">
        <v>8971</v>
      </c>
      <c r="Q768" t="s">
        <v>39</v>
      </c>
      <c r="R768" t="s">
        <v>40</v>
      </c>
      <c r="S768">
        <v>0</v>
      </c>
      <c r="U768" t="s">
        <v>41</v>
      </c>
      <c r="V768" t="s">
        <v>42</v>
      </c>
      <c r="X768" t="s">
        <v>74</v>
      </c>
      <c r="Y768" t="b">
        <v>0</v>
      </c>
      <c r="Z768" t="b">
        <v>0</v>
      </c>
      <c r="AC768" s="1"/>
      <c r="AF768">
        <v>0</v>
      </c>
      <c r="AG768">
        <v>45</v>
      </c>
      <c r="AH768">
        <v>69</v>
      </c>
      <c r="AI768" s="2">
        <f>Table__192.168.3.138BEWLPPMetaData[[#This Row],[NetAmount]]-Table__192.168.3.138BEWLPPMetaData[[#This Row],[Paid]]</f>
        <v>3863</v>
      </c>
    </row>
    <row r="769" spans="1:35" hidden="1">
      <c r="A769" t="s">
        <v>9967</v>
      </c>
      <c r="B769" s="1">
        <v>41243</v>
      </c>
      <c r="C769" s="1">
        <v>41288</v>
      </c>
      <c r="D769" t="s">
        <v>8970</v>
      </c>
      <c r="E769">
        <v>27710</v>
      </c>
      <c r="F769">
        <v>4434</v>
      </c>
      <c r="G769">
        <v>0</v>
      </c>
      <c r="H769">
        <v>0</v>
      </c>
      <c r="I769">
        <v>29</v>
      </c>
      <c r="J769">
        <v>32144</v>
      </c>
      <c r="K769" t="s">
        <v>8141</v>
      </c>
      <c r="L769" s="1">
        <v>41239</v>
      </c>
      <c r="N769" t="s">
        <v>5127</v>
      </c>
      <c r="O769" t="s">
        <v>2458</v>
      </c>
      <c r="P769" t="s">
        <v>8971</v>
      </c>
      <c r="Q769" t="s">
        <v>39</v>
      </c>
      <c r="R769" t="s">
        <v>40</v>
      </c>
      <c r="S769">
        <v>0</v>
      </c>
      <c r="U769" t="s">
        <v>41</v>
      </c>
      <c r="V769" t="s">
        <v>42</v>
      </c>
      <c r="X769" t="s">
        <v>74</v>
      </c>
      <c r="Y769" t="b">
        <v>0</v>
      </c>
      <c r="Z769" t="b">
        <v>0</v>
      </c>
      <c r="AC769" s="1"/>
      <c r="AF769">
        <v>0</v>
      </c>
      <c r="AG769">
        <v>45</v>
      </c>
      <c r="AH769">
        <v>74</v>
      </c>
      <c r="AI769" s="2">
        <f>Table__192.168.3.138BEWLPPMetaData[[#This Row],[NetAmount]]-Table__192.168.3.138BEWLPPMetaData[[#This Row],[Paid]]</f>
        <v>32144</v>
      </c>
    </row>
    <row r="770" spans="1:35" hidden="1">
      <c r="A770" t="s">
        <v>9968</v>
      </c>
      <c r="B770" s="1">
        <v>41246</v>
      </c>
      <c r="C770" s="1">
        <v>41291</v>
      </c>
      <c r="D770" t="s">
        <v>8538</v>
      </c>
      <c r="E770">
        <v>7000</v>
      </c>
      <c r="F770">
        <v>1120</v>
      </c>
      <c r="G770">
        <v>0</v>
      </c>
      <c r="H770">
        <v>0</v>
      </c>
      <c r="I770">
        <v>24</v>
      </c>
      <c r="J770">
        <v>8120</v>
      </c>
      <c r="K770" t="s">
        <v>9969</v>
      </c>
      <c r="L770" s="1">
        <v>41244</v>
      </c>
      <c r="N770" t="s">
        <v>5127</v>
      </c>
      <c r="O770" t="s">
        <v>2458</v>
      </c>
      <c r="P770" t="s">
        <v>310</v>
      </c>
      <c r="Q770" t="s">
        <v>39</v>
      </c>
      <c r="R770" t="s">
        <v>40</v>
      </c>
      <c r="S770">
        <v>0</v>
      </c>
      <c r="U770" t="s">
        <v>41</v>
      </c>
      <c r="V770" t="s">
        <v>42</v>
      </c>
      <c r="X770" t="s">
        <v>74</v>
      </c>
      <c r="Y770" t="b">
        <v>0</v>
      </c>
      <c r="Z770" t="b">
        <v>0</v>
      </c>
      <c r="AC770" s="1"/>
      <c r="AF770">
        <v>0</v>
      </c>
      <c r="AG770">
        <v>45</v>
      </c>
      <c r="AH770">
        <v>69</v>
      </c>
      <c r="AI770" s="2">
        <f>Table__192.168.3.138BEWLPPMetaData[[#This Row],[NetAmount]]-Table__192.168.3.138BEWLPPMetaData[[#This Row],[Paid]]</f>
        <v>8120</v>
      </c>
    </row>
    <row r="771" spans="1:35" hidden="1">
      <c r="A771" t="s">
        <v>9970</v>
      </c>
      <c r="B771" s="1">
        <v>41247</v>
      </c>
      <c r="C771" s="1">
        <v>41292</v>
      </c>
      <c r="D771" t="s">
        <v>9971</v>
      </c>
      <c r="E771">
        <v>21492</v>
      </c>
      <c r="F771">
        <v>3439</v>
      </c>
      <c r="G771">
        <v>0</v>
      </c>
      <c r="H771">
        <v>0</v>
      </c>
      <c r="I771">
        <v>24</v>
      </c>
      <c r="J771">
        <v>24931</v>
      </c>
      <c r="K771" t="s">
        <v>9972</v>
      </c>
      <c r="L771" s="1">
        <v>41244</v>
      </c>
      <c r="N771" t="s">
        <v>5127</v>
      </c>
      <c r="O771" t="s">
        <v>2458</v>
      </c>
      <c r="P771" t="s">
        <v>9973</v>
      </c>
      <c r="Q771" t="s">
        <v>39</v>
      </c>
      <c r="R771" t="s">
        <v>40</v>
      </c>
      <c r="S771">
        <v>0</v>
      </c>
      <c r="U771" t="s">
        <v>41</v>
      </c>
      <c r="V771" t="s">
        <v>42</v>
      </c>
      <c r="X771" t="s">
        <v>74</v>
      </c>
      <c r="Y771" t="b">
        <v>0</v>
      </c>
      <c r="Z771" t="b">
        <v>0</v>
      </c>
      <c r="AC771" s="1"/>
      <c r="AF771">
        <v>0</v>
      </c>
      <c r="AG771">
        <v>45</v>
      </c>
      <c r="AH771">
        <v>69</v>
      </c>
      <c r="AI771" s="2">
        <f>Table__192.168.3.138BEWLPPMetaData[[#This Row],[NetAmount]]-Table__192.168.3.138BEWLPPMetaData[[#This Row],[Paid]]</f>
        <v>24931</v>
      </c>
    </row>
    <row r="772" spans="1:35" hidden="1">
      <c r="A772" t="s">
        <v>9974</v>
      </c>
      <c r="B772" s="1">
        <v>41260</v>
      </c>
      <c r="C772" s="1">
        <v>41305</v>
      </c>
      <c r="D772" t="s">
        <v>8603</v>
      </c>
      <c r="E772">
        <v>19500</v>
      </c>
      <c r="F772">
        <v>3120</v>
      </c>
      <c r="G772">
        <v>0</v>
      </c>
      <c r="H772">
        <v>0</v>
      </c>
      <c r="I772">
        <v>12</v>
      </c>
      <c r="J772">
        <v>22620</v>
      </c>
      <c r="K772" t="s">
        <v>9975</v>
      </c>
      <c r="L772" s="1">
        <v>41256</v>
      </c>
      <c r="N772" t="s">
        <v>5127</v>
      </c>
      <c r="O772" t="s">
        <v>2458</v>
      </c>
      <c r="P772" t="s">
        <v>304</v>
      </c>
      <c r="Q772" t="s">
        <v>39</v>
      </c>
      <c r="R772" t="s">
        <v>40</v>
      </c>
      <c r="S772">
        <v>0</v>
      </c>
      <c r="U772" t="s">
        <v>41</v>
      </c>
      <c r="V772" t="s">
        <v>42</v>
      </c>
      <c r="X772" t="s">
        <v>74</v>
      </c>
      <c r="Y772" t="b">
        <v>0</v>
      </c>
      <c r="Z772" t="b">
        <v>0</v>
      </c>
      <c r="AC772" s="1"/>
      <c r="AF772">
        <v>0</v>
      </c>
      <c r="AG772">
        <v>45</v>
      </c>
      <c r="AH772">
        <v>57</v>
      </c>
      <c r="AI772" s="2">
        <f>Table__192.168.3.138BEWLPPMetaData[[#This Row],[NetAmount]]-Table__192.168.3.138BEWLPPMetaData[[#This Row],[Paid]]</f>
        <v>22620</v>
      </c>
    </row>
    <row r="773" spans="1:35" hidden="1">
      <c r="A773" t="s">
        <v>9976</v>
      </c>
      <c r="B773" s="1">
        <v>41253</v>
      </c>
      <c r="C773" s="1">
        <v>41298</v>
      </c>
      <c r="D773" t="s">
        <v>8530</v>
      </c>
      <c r="E773">
        <v>109000</v>
      </c>
      <c r="F773">
        <v>17440</v>
      </c>
      <c r="G773">
        <v>0</v>
      </c>
      <c r="H773">
        <v>0</v>
      </c>
      <c r="I773">
        <v>18</v>
      </c>
      <c r="J773">
        <v>126440</v>
      </c>
      <c r="K773" t="s">
        <v>9977</v>
      </c>
      <c r="L773" s="1">
        <v>41250</v>
      </c>
      <c r="N773" t="s">
        <v>5127</v>
      </c>
      <c r="O773" t="s">
        <v>2458</v>
      </c>
      <c r="P773" t="s">
        <v>357</v>
      </c>
      <c r="Q773" t="s">
        <v>39</v>
      </c>
      <c r="R773" t="s">
        <v>40</v>
      </c>
      <c r="S773">
        <v>0</v>
      </c>
      <c r="U773" t="s">
        <v>41</v>
      </c>
      <c r="V773" t="s">
        <v>42</v>
      </c>
      <c r="X773" t="s">
        <v>74</v>
      </c>
      <c r="Y773" t="b">
        <v>0</v>
      </c>
      <c r="Z773" t="b">
        <v>0</v>
      </c>
      <c r="AC773" s="1"/>
      <c r="AF773">
        <v>0</v>
      </c>
      <c r="AG773">
        <v>45</v>
      </c>
      <c r="AH773">
        <v>63</v>
      </c>
      <c r="AI773" s="2">
        <f>Table__192.168.3.138BEWLPPMetaData[[#This Row],[NetAmount]]-Table__192.168.3.138BEWLPPMetaData[[#This Row],[Paid]]</f>
        <v>126440</v>
      </c>
    </row>
    <row r="774" spans="1:35" hidden="1">
      <c r="A774" t="s">
        <v>9978</v>
      </c>
      <c r="B774" s="1">
        <v>41249</v>
      </c>
      <c r="C774" s="1">
        <v>41294</v>
      </c>
      <c r="D774" t="s">
        <v>8530</v>
      </c>
      <c r="E774">
        <v>207178</v>
      </c>
      <c r="F774">
        <v>33148</v>
      </c>
      <c r="G774">
        <v>0</v>
      </c>
      <c r="H774">
        <v>0</v>
      </c>
      <c r="I774">
        <v>19</v>
      </c>
      <c r="J774">
        <v>240326</v>
      </c>
      <c r="K774" t="s">
        <v>9979</v>
      </c>
      <c r="L774" s="1">
        <v>41249</v>
      </c>
      <c r="N774" t="s">
        <v>5127</v>
      </c>
      <c r="O774" t="s">
        <v>2458</v>
      </c>
      <c r="P774" t="s">
        <v>357</v>
      </c>
      <c r="Q774" t="s">
        <v>39</v>
      </c>
      <c r="R774" t="s">
        <v>40</v>
      </c>
      <c r="S774">
        <v>0</v>
      </c>
      <c r="U774" t="s">
        <v>41</v>
      </c>
      <c r="V774" t="s">
        <v>42</v>
      </c>
      <c r="X774" t="s">
        <v>74</v>
      </c>
      <c r="Y774" t="b">
        <v>0</v>
      </c>
      <c r="Z774" t="b">
        <v>0</v>
      </c>
      <c r="AC774" s="1"/>
      <c r="AF774">
        <v>0</v>
      </c>
      <c r="AG774">
        <v>45</v>
      </c>
      <c r="AH774">
        <v>64</v>
      </c>
      <c r="AI774" s="2">
        <f>Table__192.168.3.138BEWLPPMetaData[[#This Row],[NetAmount]]-Table__192.168.3.138BEWLPPMetaData[[#This Row],[Paid]]</f>
        <v>240326</v>
      </c>
    </row>
    <row r="775" spans="1:35" hidden="1">
      <c r="A775" t="s">
        <v>9980</v>
      </c>
      <c r="B775" s="1">
        <v>41248</v>
      </c>
      <c r="C775" s="1">
        <v>41293</v>
      </c>
      <c r="D775" t="s">
        <v>8530</v>
      </c>
      <c r="E775">
        <v>87548</v>
      </c>
      <c r="F775">
        <v>14008</v>
      </c>
      <c r="G775">
        <v>0</v>
      </c>
      <c r="H775">
        <v>0</v>
      </c>
      <c r="I775">
        <v>20</v>
      </c>
      <c r="J775">
        <v>101556</v>
      </c>
      <c r="K775" t="s">
        <v>9981</v>
      </c>
      <c r="L775" s="1">
        <v>41248</v>
      </c>
      <c r="N775" t="s">
        <v>5127</v>
      </c>
      <c r="O775" t="s">
        <v>2458</v>
      </c>
      <c r="P775" t="s">
        <v>357</v>
      </c>
      <c r="Q775" t="s">
        <v>39</v>
      </c>
      <c r="R775" t="s">
        <v>40</v>
      </c>
      <c r="S775">
        <v>0</v>
      </c>
      <c r="U775" t="s">
        <v>41</v>
      </c>
      <c r="V775" t="s">
        <v>42</v>
      </c>
      <c r="X775" t="s">
        <v>74</v>
      </c>
      <c r="Y775" t="b">
        <v>0</v>
      </c>
      <c r="Z775" t="b">
        <v>0</v>
      </c>
      <c r="AC775" s="1"/>
      <c r="AF775">
        <v>0</v>
      </c>
      <c r="AG775">
        <v>45</v>
      </c>
      <c r="AH775">
        <v>65</v>
      </c>
      <c r="AI775" s="2">
        <f>Table__192.168.3.138BEWLPPMetaData[[#This Row],[NetAmount]]-Table__192.168.3.138BEWLPPMetaData[[#This Row],[Paid]]</f>
        <v>101556</v>
      </c>
    </row>
    <row r="776" spans="1:35" hidden="1">
      <c r="A776" t="s">
        <v>9982</v>
      </c>
      <c r="B776" s="1">
        <v>41246</v>
      </c>
      <c r="C776" s="1">
        <v>41291</v>
      </c>
      <c r="D776" t="s">
        <v>8530</v>
      </c>
      <c r="E776">
        <v>75914</v>
      </c>
      <c r="F776">
        <v>12146</v>
      </c>
      <c r="G776">
        <v>0</v>
      </c>
      <c r="H776">
        <v>0</v>
      </c>
      <c r="I776">
        <v>22</v>
      </c>
      <c r="J776">
        <v>88060</v>
      </c>
      <c r="K776" t="s">
        <v>9983</v>
      </c>
      <c r="L776" s="1">
        <v>41246</v>
      </c>
      <c r="N776" t="s">
        <v>5127</v>
      </c>
      <c r="O776" t="s">
        <v>2458</v>
      </c>
      <c r="P776" t="s">
        <v>357</v>
      </c>
      <c r="Q776" t="s">
        <v>39</v>
      </c>
      <c r="R776" t="s">
        <v>40</v>
      </c>
      <c r="S776">
        <v>0</v>
      </c>
      <c r="U776" t="s">
        <v>41</v>
      </c>
      <c r="V776" t="s">
        <v>42</v>
      </c>
      <c r="X776" t="s">
        <v>74</v>
      </c>
      <c r="Y776" t="b">
        <v>0</v>
      </c>
      <c r="Z776" t="b">
        <v>0</v>
      </c>
      <c r="AC776" s="1"/>
      <c r="AF776">
        <v>0</v>
      </c>
      <c r="AG776">
        <v>45</v>
      </c>
      <c r="AH776">
        <v>67</v>
      </c>
      <c r="AI776" s="2">
        <f>Table__192.168.3.138BEWLPPMetaData[[#This Row],[NetAmount]]-Table__192.168.3.138BEWLPPMetaData[[#This Row],[Paid]]</f>
        <v>88060</v>
      </c>
    </row>
    <row r="777" spans="1:35" hidden="1">
      <c r="A777" t="s">
        <v>9984</v>
      </c>
      <c r="B777" s="1">
        <v>41246</v>
      </c>
      <c r="C777" s="1">
        <v>41291</v>
      </c>
      <c r="D777" t="s">
        <v>8530</v>
      </c>
      <c r="E777">
        <v>21600</v>
      </c>
      <c r="F777">
        <v>3456</v>
      </c>
      <c r="G777">
        <v>0</v>
      </c>
      <c r="H777">
        <v>0</v>
      </c>
      <c r="I777">
        <v>22</v>
      </c>
      <c r="J777">
        <v>25056</v>
      </c>
      <c r="K777" t="s">
        <v>9985</v>
      </c>
      <c r="L777" s="1">
        <v>41246</v>
      </c>
      <c r="N777" t="s">
        <v>5127</v>
      </c>
      <c r="O777" t="s">
        <v>2458</v>
      </c>
      <c r="P777" t="s">
        <v>357</v>
      </c>
      <c r="Q777" t="s">
        <v>39</v>
      </c>
      <c r="R777" t="s">
        <v>40</v>
      </c>
      <c r="S777">
        <v>0</v>
      </c>
      <c r="U777" t="s">
        <v>41</v>
      </c>
      <c r="V777" t="s">
        <v>42</v>
      </c>
      <c r="X777" t="s">
        <v>74</v>
      </c>
      <c r="Y777" t="b">
        <v>0</v>
      </c>
      <c r="Z777" t="b">
        <v>0</v>
      </c>
      <c r="AC777" s="1"/>
      <c r="AF777">
        <v>0</v>
      </c>
      <c r="AG777">
        <v>45</v>
      </c>
      <c r="AH777">
        <v>67</v>
      </c>
      <c r="AI777" s="2">
        <f>Table__192.168.3.138BEWLPPMetaData[[#This Row],[NetAmount]]-Table__192.168.3.138BEWLPPMetaData[[#This Row],[Paid]]</f>
        <v>25056</v>
      </c>
    </row>
    <row r="778" spans="1:35" hidden="1">
      <c r="A778" t="s">
        <v>9986</v>
      </c>
      <c r="B778" s="1">
        <v>41253</v>
      </c>
      <c r="C778" s="1">
        <v>41298</v>
      </c>
      <c r="D778" t="s">
        <v>8577</v>
      </c>
      <c r="E778">
        <v>15000</v>
      </c>
      <c r="F778">
        <v>0</v>
      </c>
      <c r="G778">
        <v>0</v>
      </c>
      <c r="H778">
        <v>0</v>
      </c>
      <c r="I778">
        <v>20</v>
      </c>
      <c r="J778">
        <v>15000</v>
      </c>
      <c r="K778" t="s">
        <v>9987</v>
      </c>
      <c r="L778" s="1">
        <v>41248</v>
      </c>
      <c r="N778" t="s">
        <v>5127</v>
      </c>
      <c r="O778" t="s">
        <v>2458</v>
      </c>
      <c r="P778" t="s">
        <v>8579</v>
      </c>
      <c r="Q778" t="s">
        <v>39</v>
      </c>
      <c r="R778" t="s">
        <v>40</v>
      </c>
      <c r="S778">
        <v>0</v>
      </c>
      <c r="U778" t="s">
        <v>41</v>
      </c>
      <c r="V778" t="s">
        <v>42</v>
      </c>
      <c r="X778" t="s">
        <v>74</v>
      </c>
      <c r="Y778" t="b">
        <v>0</v>
      </c>
      <c r="Z778" t="b">
        <v>0</v>
      </c>
      <c r="AC778" s="1"/>
      <c r="AF778">
        <v>0</v>
      </c>
      <c r="AG778">
        <v>45</v>
      </c>
      <c r="AH778">
        <v>65</v>
      </c>
      <c r="AI778" s="2">
        <f>Table__192.168.3.138BEWLPPMetaData[[#This Row],[NetAmount]]-Table__192.168.3.138BEWLPPMetaData[[#This Row],[Paid]]</f>
        <v>15000</v>
      </c>
    </row>
    <row r="779" spans="1:35" hidden="1">
      <c r="A779" t="s">
        <v>9988</v>
      </c>
      <c r="B779" s="1">
        <v>41260</v>
      </c>
      <c r="C779" s="1">
        <v>41260</v>
      </c>
      <c r="D779" t="s">
        <v>9519</v>
      </c>
      <c r="E779">
        <v>48000</v>
      </c>
      <c r="F779">
        <v>7680</v>
      </c>
      <c r="G779">
        <v>0</v>
      </c>
      <c r="H779">
        <v>0</v>
      </c>
      <c r="I779">
        <v>0</v>
      </c>
      <c r="J779">
        <v>55680</v>
      </c>
      <c r="K779" t="s">
        <v>7999</v>
      </c>
      <c r="L779" s="1">
        <v>41246</v>
      </c>
      <c r="N779" t="s">
        <v>5127</v>
      </c>
      <c r="O779" t="s">
        <v>2458</v>
      </c>
      <c r="P779" t="s">
        <v>433</v>
      </c>
      <c r="Q779" t="s">
        <v>39</v>
      </c>
      <c r="R779" t="s">
        <v>40</v>
      </c>
      <c r="S779">
        <v>0</v>
      </c>
      <c r="U779" t="s">
        <v>41</v>
      </c>
      <c r="V779" t="s">
        <v>42</v>
      </c>
      <c r="X779" t="s">
        <v>74</v>
      </c>
      <c r="Y779" t="b">
        <v>0</v>
      </c>
      <c r="Z779" t="b">
        <v>0</v>
      </c>
      <c r="AC779" s="1"/>
      <c r="AF779">
        <v>0</v>
      </c>
      <c r="AH779">
        <v>67</v>
      </c>
      <c r="AI779" s="2">
        <f>Table__192.168.3.138BEWLPPMetaData[[#This Row],[NetAmount]]-Table__192.168.3.138BEWLPPMetaData[[#This Row],[Paid]]</f>
        <v>55680</v>
      </c>
    </row>
    <row r="780" spans="1:35" hidden="1">
      <c r="A780" t="s">
        <v>9989</v>
      </c>
      <c r="B780" s="1">
        <v>41261</v>
      </c>
      <c r="C780" s="1">
        <v>41306</v>
      </c>
      <c r="D780" t="s">
        <v>8530</v>
      </c>
      <c r="E780">
        <v>1130</v>
      </c>
      <c r="F780">
        <v>181</v>
      </c>
      <c r="G780">
        <v>0</v>
      </c>
      <c r="H780">
        <v>0</v>
      </c>
      <c r="I780">
        <v>8</v>
      </c>
      <c r="J780">
        <v>1311</v>
      </c>
      <c r="K780" t="s">
        <v>9990</v>
      </c>
      <c r="L780" s="1">
        <v>41260</v>
      </c>
      <c r="N780" t="s">
        <v>5127</v>
      </c>
      <c r="O780" t="s">
        <v>2458</v>
      </c>
      <c r="P780" t="s">
        <v>357</v>
      </c>
      <c r="Q780" t="s">
        <v>39</v>
      </c>
      <c r="R780" t="s">
        <v>40</v>
      </c>
      <c r="S780">
        <v>0</v>
      </c>
      <c r="U780" t="s">
        <v>41</v>
      </c>
      <c r="V780" t="s">
        <v>42</v>
      </c>
      <c r="X780" t="s">
        <v>74</v>
      </c>
      <c r="Y780" t="b">
        <v>0</v>
      </c>
      <c r="Z780" t="b">
        <v>0</v>
      </c>
      <c r="AC780" s="1"/>
      <c r="AF780">
        <v>0</v>
      </c>
      <c r="AG780">
        <v>45</v>
      </c>
      <c r="AH780">
        <v>53</v>
      </c>
      <c r="AI780" s="2">
        <f>Table__192.168.3.138BEWLPPMetaData[[#This Row],[NetAmount]]-Table__192.168.3.138BEWLPPMetaData[[#This Row],[Paid]]</f>
        <v>1311</v>
      </c>
    </row>
    <row r="781" spans="1:35" hidden="1">
      <c r="A781" t="s">
        <v>9991</v>
      </c>
      <c r="B781" s="1">
        <v>41260</v>
      </c>
      <c r="C781" s="1">
        <v>41305</v>
      </c>
      <c r="D781" t="s">
        <v>8530</v>
      </c>
      <c r="E781">
        <v>299445</v>
      </c>
      <c r="F781">
        <v>47911</v>
      </c>
      <c r="G781">
        <v>0</v>
      </c>
      <c r="H781">
        <v>0</v>
      </c>
      <c r="I781">
        <v>8</v>
      </c>
      <c r="J781">
        <v>347356</v>
      </c>
      <c r="K781" t="s">
        <v>9992</v>
      </c>
      <c r="L781" s="1">
        <v>41260</v>
      </c>
      <c r="N781" t="s">
        <v>5127</v>
      </c>
      <c r="O781" t="s">
        <v>2458</v>
      </c>
      <c r="P781" t="s">
        <v>357</v>
      </c>
      <c r="Q781" t="s">
        <v>39</v>
      </c>
      <c r="R781" t="s">
        <v>40</v>
      </c>
      <c r="S781">
        <v>0</v>
      </c>
      <c r="U781" t="s">
        <v>41</v>
      </c>
      <c r="V781" t="s">
        <v>42</v>
      </c>
      <c r="X781" t="s">
        <v>74</v>
      </c>
      <c r="Y781" t="b">
        <v>0</v>
      </c>
      <c r="Z781" t="b">
        <v>0</v>
      </c>
      <c r="AC781" s="1"/>
      <c r="AF781">
        <v>0</v>
      </c>
      <c r="AG781">
        <v>45</v>
      </c>
      <c r="AH781">
        <v>53</v>
      </c>
      <c r="AI781" s="2">
        <f>Table__192.168.3.138BEWLPPMetaData[[#This Row],[NetAmount]]-Table__192.168.3.138BEWLPPMetaData[[#This Row],[Paid]]</f>
        <v>347356</v>
      </c>
    </row>
    <row r="782" spans="1:35" hidden="1">
      <c r="A782" t="s">
        <v>9993</v>
      </c>
      <c r="B782" s="1">
        <v>41260</v>
      </c>
      <c r="C782" s="1">
        <v>41305</v>
      </c>
      <c r="D782" t="s">
        <v>8530</v>
      </c>
      <c r="E782">
        <v>364316</v>
      </c>
      <c r="F782">
        <v>58291</v>
      </c>
      <c r="G782">
        <v>0</v>
      </c>
      <c r="H782">
        <v>0</v>
      </c>
      <c r="I782">
        <v>14</v>
      </c>
      <c r="J782">
        <v>422607</v>
      </c>
      <c r="K782" t="s">
        <v>9994</v>
      </c>
      <c r="L782" s="1">
        <v>41254</v>
      </c>
      <c r="N782" t="s">
        <v>5127</v>
      </c>
      <c r="O782" t="s">
        <v>2458</v>
      </c>
      <c r="P782" t="s">
        <v>357</v>
      </c>
      <c r="Q782" t="s">
        <v>39</v>
      </c>
      <c r="R782" t="s">
        <v>40</v>
      </c>
      <c r="S782">
        <v>0</v>
      </c>
      <c r="U782" t="s">
        <v>41</v>
      </c>
      <c r="V782" t="s">
        <v>42</v>
      </c>
      <c r="X782" t="s">
        <v>74</v>
      </c>
      <c r="Y782" t="b">
        <v>0</v>
      </c>
      <c r="Z782" t="b">
        <v>0</v>
      </c>
      <c r="AC782" s="1"/>
      <c r="AF782">
        <v>0</v>
      </c>
      <c r="AG782">
        <v>45</v>
      </c>
      <c r="AH782">
        <v>59</v>
      </c>
      <c r="AI782" s="2">
        <f>Table__192.168.3.138BEWLPPMetaData[[#This Row],[NetAmount]]-Table__192.168.3.138BEWLPPMetaData[[#This Row],[Paid]]</f>
        <v>422607</v>
      </c>
    </row>
    <row r="783" spans="1:35" hidden="1">
      <c r="A783" t="s">
        <v>9995</v>
      </c>
      <c r="B783" s="1">
        <v>41260</v>
      </c>
      <c r="C783" s="1">
        <v>41305</v>
      </c>
      <c r="D783" t="s">
        <v>8530</v>
      </c>
      <c r="E783">
        <v>11985</v>
      </c>
      <c r="F783">
        <v>1918</v>
      </c>
      <c r="G783">
        <v>0</v>
      </c>
      <c r="H783">
        <v>0</v>
      </c>
      <c r="I783">
        <v>8</v>
      </c>
      <c r="J783">
        <v>13903</v>
      </c>
      <c r="K783" t="s">
        <v>9996</v>
      </c>
      <c r="L783" s="1">
        <v>41260</v>
      </c>
      <c r="N783" t="s">
        <v>5127</v>
      </c>
      <c r="O783" t="s">
        <v>2458</v>
      </c>
      <c r="P783" t="s">
        <v>357</v>
      </c>
      <c r="Q783" t="s">
        <v>39</v>
      </c>
      <c r="R783" t="s">
        <v>40</v>
      </c>
      <c r="S783">
        <v>0</v>
      </c>
      <c r="U783" t="s">
        <v>41</v>
      </c>
      <c r="V783" t="s">
        <v>42</v>
      </c>
      <c r="X783" t="s">
        <v>74</v>
      </c>
      <c r="Y783" t="b">
        <v>0</v>
      </c>
      <c r="Z783" t="b">
        <v>0</v>
      </c>
      <c r="AC783" s="1"/>
      <c r="AF783">
        <v>0</v>
      </c>
      <c r="AG783">
        <v>45</v>
      </c>
      <c r="AH783">
        <v>53</v>
      </c>
      <c r="AI783" s="2">
        <f>Table__192.168.3.138BEWLPPMetaData[[#This Row],[NetAmount]]-Table__192.168.3.138BEWLPPMetaData[[#This Row],[Paid]]</f>
        <v>13903</v>
      </c>
    </row>
    <row r="784" spans="1:35" hidden="1">
      <c r="A784" t="s">
        <v>9997</v>
      </c>
      <c r="B784" s="1">
        <v>41263</v>
      </c>
      <c r="C784" s="1">
        <v>41308</v>
      </c>
      <c r="D784" t="s">
        <v>8577</v>
      </c>
      <c r="E784">
        <v>11750</v>
      </c>
      <c r="F784">
        <v>0</v>
      </c>
      <c r="G784">
        <v>0</v>
      </c>
      <c r="H784">
        <v>0</v>
      </c>
      <c r="I784">
        <v>6</v>
      </c>
      <c r="J784">
        <v>11750</v>
      </c>
      <c r="K784" t="s">
        <v>7594</v>
      </c>
      <c r="L784" s="1">
        <v>41262</v>
      </c>
      <c r="N784" t="s">
        <v>5127</v>
      </c>
      <c r="O784" t="s">
        <v>2458</v>
      </c>
      <c r="P784" t="s">
        <v>8579</v>
      </c>
      <c r="Q784" t="s">
        <v>39</v>
      </c>
      <c r="R784" t="s">
        <v>40</v>
      </c>
      <c r="S784">
        <v>0</v>
      </c>
      <c r="U784" t="s">
        <v>41</v>
      </c>
      <c r="V784" t="s">
        <v>42</v>
      </c>
      <c r="X784" t="s">
        <v>74</v>
      </c>
      <c r="Y784" t="b">
        <v>0</v>
      </c>
      <c r="Z784" t="b">
        <v>0</v>
      </c>
      <c r="AC784" s="1"/>
      <c r="AF784">
        <v>0</v>
      </c>
      <c r="AG784">
        <v>45</v>
      </c>
      <c r="AH784">
        <v>51</v>
      </c>
      <c r="AI784" s="2">
        <f>Table__192.168.3.138BEWLPPMetaData[[#This Row],[NetAmount]]-Table__192.168.3.138BEWLPPMetaData[[#This Row],[Paid]]</f>
        <v>11750</v>
      </c>
    </row>
    <row r="785" spans="1:35" hidden="1">
      <c r="A785" t="s">
        <v>9998</v>
      </c>
      <c r="B785" s="1">
        <v>41260</v>
      </c>
      <c r="C785" s="1">
        <v>41305</v>
      </c>
      <c r="D785" t="s">
        <v>8577</v>
      </c>
      <c r="E785">
        <v>12800</v>
      </c>
      <c r="F785">
        <v>0</v>
      </c>
      <c r="G785">
        <v>0</v>
      </c>
      <c r="H785">
        <v>0</v>
      </c>
      <c r="I785">
        <v>14</v>
      </c>
      <c r="J785">
        <v>12800</v>
      </c>
      <c r="K785" t="s">
        <v>4220</v>
      </c>
      <c r="L785" s="1">
        <v>41254</v>
      </c>
      <c r="N785" t="s">
        <v>5127</v>
      </c>
      <c r="O785" t="s">
        <v>2458</v>
      </c>
      <c r="P785" t="s">
        <v>8579</v>
      </c>
      <c r="Q785" t="s">
        <v>39</v>
      </c>
      <c r="R785" t="s">
        <v>40</v>
      </c>
      <c r="S785">
        <v>0</v>
      </c>
      <c r="U785" t="s">
        <v>41</v>
      </c>
      <c r="V785" t="s">
        <v>42</v>
      </c>
      <c r="X785" t="s">
        <v>74</v>
      </c>
      <c r="Y785" t="b">
        <v>0</v>
      </c>
      <c r="Z785" t="b">
        <v>0</v>
      </c>
      <c r="AC785" s="1"/>
      <c r="AF785">
        <v>0</v>
      </c>
      <c r="AG785">
        <v>45</v>
      </c>
      <c r="AH785">
        <v>59</v>
      </c>
      <c r="AI785" s="2">
        <f>Table__192.168.3.138BEWLPPMetaData[[#This Row],[NetAmount]]-Table__192.168.3.138BEWLPPMetaData[[#This Row],[Paid]]</f>
        <v>12800</v>
      </c>
    </row>
    <row r="786" spans="1:35" hidden="1">
      <c r="A786" t="s">
        <v>9999</v>
      </c>
      <c r="B786" s="1">
        <v>41267</v>
      </c>
      <c r="C786" s="1">
        <v>41312</v>
      </c>
      <c r="D786" t="s">
        <v>8577</v>
      </c>
      <c r="E786">
        <v>3000</v>
      </c>
      <c r="F786">
        <v>0</v>
      </c>
      <c r="G786">
        <v>0</v>
      </c>
      <c r="H786">
        <v>0</v>
      </c>
      <c r="I786">
        <v>1</v>
      </c>
      <c r="J786">
        <v>3000</v>
      </c>
      <c r="K786" t="s">
        <v>4110</v>
      </c>
      <c r="L786" s="1">
        <v>41267</v>
      </c>
      <c r="N786" t="s">
        <v>5127</v>
      </c>
      <c r="O786" t="s">
        <v>2458</v>
      </c>
      <c r="P786" t="s">
        <v>8579</v>
      </c>
      <c r="Q786" t="s">
        <v>39</v>
      </c>
      <c r="R786" t="s">
        <v>40</v>
      </c>
      <c r="S786">
        <v>0</v>
      </c>
      <c r="U786" t="s">
        <v>41</v>
      </c>
      <c r="V786" t="s">
        <v>42</v>
      </c>
      <c r="X786" t="s">
        <v>74</v>
      </c>
      <c r="Y786" t="b">
        <v>0</v>
      </c>
      <c r="Z786" t="b">
        <v>0</v>
      </c>
      <c r="AC786" s="1"/>
      <c r="AF786">
        <v>0</v>
      </c>
      <c r="AG786">
        <v>45</v>
      </c>
      <c r="AH786">
        <v>46</v>
      </c>
      <c r="AI786" s="2">
        <f>Table__192.168.3.138BEWLPPMetaData[[#This Row],[NetAmount]]-Table__192.168.3.138BEWLPPMetaData[[#This Row],[Paid]]</f>
        <v>3000</v>
      </c>
    </row>
    <row r="787" spans="1:35" hidden="1">
      <c r="A787" t="s">
        <v>10000</v>
      </c>
      <c r="B787" s="1">
        <v>41267</v>
      </c>
      <c r="C787" s="1">
        <v>41312</v>
      </c>
      <c r="D787" t="s">
        <v>8577</v>
      </c>
      <c r="E787">
        <v>5300</v>
      </c>
      <c r="F787">
        <v>0</v>
      </c>
      <c r="G787">
        <v>0</v>
      </c>
      <c r="H787">
        <v>0</v>
      </c>
      <c r="I787">
        <v>1</v>
      </c>
      <c r="J787">
        <v>5300</v>
      </c>
      <c r="K787" t="s">
        <v>7599</v>
      </c>
      <c r="L787" s="1">
        <v>41267</v>
      </c>
      <c r="N787" t="s">
        <v>5127</v>
      </c>
      <c r="O787" t="s">
        <v>2458</v>
      </c>
      <c r="P787" t="s">
        <v>8579</v>
      </c>
      <c r="Q787" t="s">
        <v>39</v>
      </c>
      <c r="R787" t="s">
        <v>40</v>
      </c>
      <c r="S787">
        <v>0</v>
      </c>
      <c r="U787" t="s">
        <v>41</v>
      </c>
      <c r="V787" t="s">
        <v>42</v>
      </c>
      <c r="X787" t="s">
        <v>74</v>
      </c>
      <c r="Y787" t="b">
        <v>0</v>
      </c>
      <c r="Z787" t="b">
        <v>0</v>
      </c>
      <c r="AC787" s="1"/>
      <c r="AF787">
        <v>0</v>
      </c>
      <c r="AG787">
        <v>45</v>
      </c>
      <c r="AH787">
        <v>46</v>
      </c>
      <c r="AI787" s="2">
        <f>Table__192.168.3.138BEWLPPMetaData[[#This Row],[NetAmount]]-Table__192.168.3.138BEWLPPMetaData[[#This Row],[Paid]]</f>
        <v>5300</v>
      </c>
    </row>
    <row r="788" spans="1:35" hidden="1">
      <c r="A788" t="s">
        <v>10001</v>
      </c>
      <c r="B788" s="1">
        <v>41261</v>
      </c>
      <c r="C788" s="1">
        <v>41306</v>
      </c>
      <c r="D788" t="s">
        <v>8530</v>
      </c>
      <c r="E788">
        <v>132238</v>
      </c>
      <c r="F788">
        <v>21158</v>
      </c>
      <c r="G788">
        <v>0</v>
      </c>
      <c r="H788">
        <v>0</v>
      </c>
      <c r="I788">
        <v>1</v>
      </c>
      <c r="J788">
        <v>153396</v>
      </c>
      <c r="K788" t="s">
        <v>10002</v>
      </c>
      <c r="L788" s="1">
        <v>41267</v>
      </c>
      <c r="N788" t="s">
        <v>5127</v>
      </c>
      <c r="O788" t="s">
        <v>2458</v>
      </c>
      <c r="P788" t="s">
        <v>357</v>
      </c>
      <c r="Q788" t="s">
        <v>39</v>
      </c>
      <c r="R788" t="s">
        <v>40</v>
      </c>
      <c r="S788">
        <v>0</v>
      </c>
      <c r="U788" t="s">
        <v>41</v>
      </c>
      <c r="V788" t="s">
        <v>42</v>
      </c>
      <c r="X788" t="s">
        <v>74</v>
      </c>
      <c r="Y788" t="b">
        <v>0</v>
      </c>
      <c r="Z788" t="b">
        <v>0</v>
      </c>
      <c r="AC788" s="1"/>
      <c r="AF788">
        <v>0</v>
      </c>
      <c r="AG788">
        <v>45</v>
      </c>
      <c r="AH788">
        <v>46</v>
      </c>
      <c r="AI788" s="2">
        <f>Table__192.168.3.138BEWLPPMetaData[[#This Row],[NetAmount]]-Table__192.168.3.138BEWLPPMetaData[[#This Row],[Paid]]</f>
        <v>153396</v>
      </c>
    </row>
    <row r="789" spans="1:35" hidden="1">
      <c r="A789" t="s">
        <v>10003</v>
      </c>
      <c r="B789" s="1">
        <v>41257</v>
      </c>
      <c r="C789" s="1">
        <v>41302</v>
      </c>
      <c r="D789" t="s">
        <v>8910</v>
      </c>
      <c r="E789">
        <v>231</v>
      </c>
      <c r="F789">
        <v>37</v>
      </c>
      <c r="G789">
        <v>0</v>
      </c>
      <c r="H789">
        <v>0</v>
      </c>
      <c r="I789">
        <v>1</v>
      </c>
      <c r="J789">
        <v>268</v>
      </c>
      <c r="K789" t="s">
        <v>10004</v>
      </c>
      <c r="L789" s="1">
        <v>41267</v>
      </c>
      <c r="N789" t="s">
        <v>5127</v>
      </c>
      <c r="O789" t="s">
        <v>2458</v>
      </c>
      <c r="P789" t="s">
        <v>392</v>
      </c>
      <c r="Q789" t="s">
        <v>39</v>
      </c>
      <c r="R789" t="s">
        <v>40</v>
      </c>
      <c r="S789">
        <v>0</v>
      </c>
      <c r="U789" t="s">
        <v>41</v>
      </c>
      <c r="V789" t="s">
        <v>42</v>
      </c>
      <c r="X789" t="s">
        <v>74</v>
      </c>
      <c r="Y789" t="b">
        <v>0</v>
      </c>
      <c r="Z789" t="b">
        <v>0</v>
      </c>
      <c r="AC789" s="1"/>
      <c r="AF789">
        <v>0</v>
      </c>
      <c r="AG789">
        <v>45</v>
      </c>
      <c r="AH789">
        <v>46</v>
      </c>
      <c r="AI789" s="2">
        <f>Table__192.168.3.138BEWLPPMetaData[[#This Row],[NetAmount]]-Table__192.168.3.138BEWLPPMetaData[[#This Row],[Paid]]</f>
        <v>268</v>
      </c>
    </row>
    <row r="790" spans="1:35" hidden="1">
      <c r="A790" t="s">
        <v>10005</v>
      </c>
      <c r="B790" s="1">
        <v>41248</v>
      </c>
      <c r="C790" s="1">
        <v>41293</v>
      </c>
      <c r="D790" t="s">
        <v>8530</v>
      </c>
      <c r="E790">
        <v>466236</v>
      </c>
      <c r="F790">
        <v>74597</v>
      </c>
      <c r="G790">
        <v>0</v>
      </c>
      <c r="H790">
        <v>0</v>
      </c>
      <c r="I790">
        <v>20</v>
      </c>
      <c r="J790">
        <v>540833</v>
      </c>
      <c r="K790" t="s">
        <v>10006</v>
      </c>
      <c r="L790" s="1">
        <v>41248</v>
      </c>
      <c r="N790" t="s">
        <v>5127</v>
      </c>
      <c r="O790" t="s">
        <v>2458</v>
      </c>
      <c r="P790" t="s">
        <v>357</v>
      </c>
      <c r="Q790" t="s">
        <v>39</v>
      </c>
      <c r="R790" t="s">
        <v>40</v>
      </c>
      <c r="S790">
        <v>0</v>
      </c>
      <c r="U790" t="s">
        <v>41</v>
      </c>
      <c r="V790" t="s">
        <v>42</v>
      </c>
      <c r="X790" t="s">
        <v>74</v>
      </c>
      <c r="Y790" t="b">
        <v>0</v>
      </c>
      <c r="Z790" t="b">
        <v>0</v>
      </c>
      <c r="AC790" s="1"/>
      <c r="AF790">
        <v>0</v>
      </c>
      <c r="AG790">
        <v>45</v>
      </c>
      <c r="AH790">
        <v>65</v>
      </c>
      <c r="AI790" s="2">
        <f>Table__192.168.3.138BEWLPPMetaData[[#This Row],[NetAmount]]-Table__192.168.3.138BEWLPPMetaData[[#This Row],[Paid]]</f>
        <v>540833</v>
      </c>
    </row>
    <row r="791" spans="1:35" hidden="1">
      <c r="A791" t="s">
        <v>10007</v>
      </c>
      <c r="B791" s="1">
        <v>41254</v>
      </c>
      <c r="C791" s="1">
        <v>41299</v>
      </c>
      <c r="D791" t="s">
        <v>8527</v>
      </c>
      <c r="E791">
        <v>23300</v>
      </c>
      <c r="F791">
        <v>3728</v>
      </c>
      <c r="G791">
        <v>0</v>
      </c>
      <c r="H791">
        <v>0</v>
      </c>
      <c r="I791">
        <v>15</v>
      </c>
      <c r="J791">
        <v>27028</v>
      </c>
      <c r="K791" t="s">
        <v>10008</v>
      </c>
      <c r="L791" s="1">
        <v>41253</v>
      </c>
      <c r="N791" t="s">
        <v>5127</v>
      </c>
      <c r="O791" t="s">
        <v>2458</v>
      </c>
      <c r="P791" t="s">
        <v>8528</v>
      </c>
      <c r="Q791" t="s">
        <v>39</v>
      </c>
      <c r="R791" t="s">
        <v>40</v>
      </c>
      <c r="S791">
        <v>0</v>
      </c>
      <c r="U791" t="s">
        <v>41</v>
      </c>
      <c r="V791" t="s">
        <v>42</v>
      </c>
      <c r="X791" t="s">
        <v>74</v>
      </c>
      <c r="Y791" t="b">
        <v>0</v>
      </c>
      <c r="Z791" t="b">
        <v>0</v>
      </c>
      <c r="AC791" s="1"/>
      <c r="AF791">
        <v>0</v>
      </c>
      <c r="AG791">
        <v>45</v>
      </c>
      <c r="AH791">
        <v>60</v>
      </c>
      <c r="AI791" s="2">
        <f>Table__192.168.3.138BEWLPPMetaData[[#This Row],[NetAmount]]-Table__192.168.3.138BEWLPPMetaData[[#This Row],[Paid]]</f>
        <v>27028</v>
      </c>
    </row>
    <row r="792" spans="1:35" hidden="1">
      <c r="A792" t="s">
        <v>10009</v>
      </c>
      <c r="B792" s="1">
        <v>41274</v>
      </c>
      <c r="C792" s="1">
        <v>41319</v>
      </c>
      <c r="D792" t="s">
        <v>8577</v>
      </c>
      <c r="E792">
        <v>6560</v>
      </c>
      <c r="F792">
        <v>0</v>
      </c>
      <c r="G792">
        <v>0</v>
      </c>
      <c r="H792">
        <v>0</v>
      </c>
      <c r="I792">
        <v>1</v>
      </c>
      <c r="J792">
        <v>6560</v>
      </c>
      <c r="K792" t="s">
        <v>10010</v>
      </c>
      <c r="L792" s="1">
        <v>41267</v>
      </c>
      <c r="N792" t="s">
        <v>5127</v>
      </c>
      <c r="O792" t="s">
        <v>2458</v>
      </c>
      <c r="P792" t="s">
        <v>8579</v>
      </c>
      <c r="Q792" t="s">
        <v>39</v>
      </c>
      <c r="R792" t="s">
        <v>40</v>
      </c>
      <c r="S792">
        <v>0</v>
      </c>
      <c r="U792" t="s">
        <v>41</v>
      </c>
      <c r="V792" t="s">
        <v>42</v>
      </c>
      <c r="X792" t="s">
        <v>74</v>
      </c>
      <c r="Y792" t="b">
        <v>0</v>
      </c>
      <c r="Z792" t="b">
        <v>0</v>
      </c>
      <c r="AC792" s="1"/>
      <c r="AF792">
        <v>0</v>
      </c>
      <c r="AG792">
        <v>45</v>
      </c>
      <c r="AH792">
        <v>46</v>
      </c>
      <c r="AI792" s="2">
        <f>Table__192.168.3.138BEWLPPMetaData[[#This Row],[NetAmount]]-Table__192.168.3.138BEWLPPMetaData[[#This Row],[Paid]]</f>
        <v>6560</v>
      </c>
    </row>
    <row r="793" spans="1:35" hidden="1">
      <c r="A793" t="s">
        <v>10011</v>
      </c>
      <c r="B793" s="1">
        <v>41274</v>
      </c>
      <c r="C793" s="1">
        <v>41319</v>
      </c>
      <c r="D793" t="s">
        <v>8910</v>
      </c>
      <c r="E793">
        <v>34667</v>
      </c>
      <c r="F793">
        <v>5547</v>
      </c>
      <c r="G793">
        <v>0</v>
      </c>
      <c r="H793">
        <v>0</v>
      </c>
      <c r="I793">
        <v>1</v>
      </c>
      <c r="J793">
        <v>40214</v>
      </c>
      <c r="K793" t="s">
        <v>4380</v>
      </c>
      <c r="L793" s="1">
        <v>41267</v>
      </c>
      <c r="N793" t="s">
        <v>5127</v>
      </c>
      <c r="O793" t="s">
        <v>2458</v>
      </c>
      <c r="P793" t="s">
        <v>392</v>
      </c>
      <c r="Q793" t="s">
        <v>39</v>
      </c>
      <c r="R793" t="s">
        <v>40</v>
      </c>
      <c r="S793">
        <v>0</v>
      </c>
      <c r="U793" t="s">
        <v>41</v>
      </c>
      <c r="V793" t="s">
        <v>42</v>
      </c>
      <c r="X793" t="s">
        <v>74</v>
      </c>
      <c r="Y793" t="b">
        <v>0</v>
      </c>
      <c r="Z793" t="b">
        <v>0</v>
      </c>
      <c r="AC793" s="1"/>
      <c r="AF793">
        <v>0</v>
      </c>
      <c r="AG793">
        <v>45</v>
      </c>
      <c r="AH793">
        <v>46</v>
      </c>
      <c r="AI793" s="2">
        <f>Table__192.168.3.138BEWLPPMetaData[[#This Row],[NetAmount]]-Table__192.168.3.138BEWLPPMetaData[[#This Row],[Paid]]</f>
        <v>40214</v>
      </c>
    </row>
    <row r="794" spans="1:35" hidden="1">
      <c r="A794" t="s">
        <v>10012</v>
      </c>
      <c r="B794" s="1">
        <v>41264</v>
      </c>
      <c r="C794" s="1">
        <v>41309</v>
      </c>
      <c r="D794" t="s">
        <v>8538</v>
      </c>
      <c r="E794">
        <v>15210</v>
      </c>
      <c r="F794">
        <v>2434</v>
      </c>
      <c r="G794">
        <v>0</v>
      </c>
      <c r="H794">
        <v>0</v>
      </c>
      <c r="I794">
        <v>4</v>
      </c>
      <c r="J794">
        <v>17644</v>
      </c>
      <c r="K794" t="s">
        <v>10013</v>
      </c>
      <c r="L794" s="1">
        <v>41264</v>
      </c>
      <c r="N794" t="s">
        <v>5127</v>
      </c>
      <c r="O794" t="s">
        <v>2458</v>
      </c>
      <c r="P794" t="s">
        <v>310</v>
      </c>
      <c r="Q794" t="s">
        <v>39</v>
      </c>
      <c r="R794" t="s">
        <v>40</v>
      </c>
      <c r="S794">
        <v>0</v>
      </c>
      <c r="U794" t="s">
        <v>41</v>
      </c>
      <c r="V794" t="s">
        <v>42</v>
      </c>
      <c r="X794" t="s">
        <v>74</v>
      </c>
      <c r="Y794" t="b">
        <v>0</v>
      </c>
      <c r="Z794" t="b">
        <v>0</v>
      </c>
      <c r="AC794" s="1"/>
      <c r="AF794">
        <v>0</v>
      </c>
      <c r="AG794">
        <v>45</v>
      </c>
      <c r="AH794">
        <v>49</v>
      </c>
      <c r="AI794" s="2">
        <f>Table__192.168.3.138BEWLPPMetaData[[#This Row],[NetAmount]]-Table__192.168.3.138BEWLPPMetaData[[#This Row],[Paid]]</f>
        <v>17644</v>
      </c>
    </row>
    <row r="795" spans="1:35" hidden="1">
      <c r="A795" t="s">
        <v>10014</v>
      </c>
      <c r="B795" s="1">
        <v>41263</v>
      </c>
      <c r="C795" s="1">
        <v>41308</v>
      </c>
      <c r="D795" t="s">
        <v>8538</v>
      </c>
      <c r="E795">
        <v>14365</v>
      </c>
      <c r="F795">
        <v>2298</v>
      </c>
      <c r="G795">
        <v>0</v>
      </c>
      <c r="H795">
        <v>0</v>
      </c>
      <c r="I795">
        <v>6</v>
      </c>
      <c r="J795">
        <v>16663</v>
      </c>
      <c r="K795" t="s">
        <v>10015</v>
      </c>
      <c r="L795" s="1">
        <v>41262</v>
      </c>
      <c r="N795" t="s">
        <v>5127</v>
      </c>
      <c r="O795" t="s">
        <v>2458</v>
      </c>
      <c r="P795" t="s">
        <v>310</v>
      </c>
      <c r="Q795" t="s">
        <v>39</v>
      </c>
      <c r="R795" t="s">
        <v>40</v>
      </c>
      <c r="S795">
        <v>0</v>
      </c>
      <c r="U795" t="s">
        <v>41</v>
      </c>
      <c r="V795" t="s">
        <v>42</v>
      </c>
      <c r="X795" t="s">
        <v>74</v>
      </c>
      <c r="Y795" t="b">
        <v>0</v>
      </c>
      <c r="Z795" t="b">
        <v>0</v>
      </c>
      <c r="AC795" s="1"/>
      <c r="AF795">
        <v>0</v>
      </c>
      <c r="AG795">
        <v>45</v>
      </c>
      <c r="AH795">
        <v>51</v>
      </c>
      <c r="AI795" s="2">
        <f>Table__192.168.3.138BEWLPPMetaData[[#This Row],[NetAmount]]-Table__192.168.3.138BEWLPPMetaData[[#This Row],[Paid]]</f>
        <v>16663</v>
      </c>
    </row>
    <row r="796" spans="1:35" hidden="1">
      <c r="A796" t="s">
        <v>10016</v>
      </c>
      <c r="B796" s="1">
        <v>41260</v>
      </c>
      <c r="C796" s="1">
        <v>41305</v>
      </c>
      <c r="D796" t="s">
        <v>8538</v>
      </c>
      <c r="E796">
        <v>8450</v>
      </c>
      <c r="F796">
        <v>1352</v>
      </c>
      <c r="G796">
        <v>0</v>
      </c>
      <c r="H796">
        <v>0</v>
      </c>
      <c r="I796">
        <v>12</v>
      </c>
      <c r="J796">
        <v>9802</v>
      </c>
      <c r="K796" t="s">
        <v>10017</v>
      </c>
      <c r="L796" s="1">
        <v>41256</v>
      </c>
      <c r="N796" t="s">
        <v>5127</v>
      </c>
      <c r="O796" t="s">
        <v>2458</v>
      </c>
      <c r="P796" t="s">
        <v>310</v>
      </c>
      <c r="Q796" t="s">
        <v>39</v>
      </c>
      <c r="R796" t="s">
        <v>40</v>
      </c>
      <c r="S796">
        <v>0</v>
      </c>
      <c r="U796" t="s">
        <v>41</v>
      </c>
      <c r="V796" t="s">
        <v>42</v>
      </c>
      <c r="X796" t="s">
        <v>74</v>
      </c>
      <c r="Y796" t="b">
        <v>0</v>
      </c>
      <c r="Z796" t="b">
        <v>0</v>
      </c>
      <c r="AC796" s="1"/>
      <c r="AF796">
        <v>0</v>
      </c>
      <c r="AG796">
        <v>45</v>
      </c>
      <c r="AH796">
        <v>57</v>
      </c>
      <c r="AI796" s="2">
        <f>Table__192.168.3.138BEWLPPMetaData[[#This Row],[NetAmount]]-Table__192.168.3.138BEWLPPMetaData[[#This Row],[Paid]]</f>
        <v>9802</v>
      </c>
    </row>
    <row r="797" spans="1:35" hidden="1">
      <c r="A797" t="s">
        <v>10018</v>
      </c>
      <c r="B797" s="1">
        <v>41274</v>
      </c>
      <c r="C797" s="1">
        <v>41319</v>
      </c>
      <c r="D797" t="s">
        <v>8538</v>
      </c>
      <c r="E797">
        <v>4225</v>
      </c>
      <c r="F797">
        <v>676</v>
      </c>
      <c r="G797">
        <v>0</v>
      </c>
      <c r="H797">
        <v>0</v>
      </c>
      <c r="I797">
        <v>1</v>
      </c>
      <c r="J797">
        <v>4901</v>
      </c>
      <c r="K797" t="s">
        <v>1588</v>
      </c>
      <c r="L797" s="1">
        <v>41267</v>
      </c>
      <c r="N797" t="s">
        <v>5127</v>
      </c>
      <c r="O797" t="s">
        <v>2458</v>
      </c>
      <c r="P797" t="s">
        <v>310</v>
      </c>
      <c r="Q797" t="s">
        <v>39</v>
      </c>
      <c r="R797" t="s">
        <v>40</v>
      </c>
      <c r="S797">
        <v>0</v>
      </c>
      <c r="U797" t="s">
        <v>41</v>
      </c>
      <c r="V797" t="s">
        <v>42</v>
      </c>
      <c r="X797" t="s">
        <v>74</v>
      </c>
      <c r="Y797" t="b">
        <v>0</v>
      </c>
      <c r="Z797" t="b">
        <v>0</v>
      </c>
      <c r="AC797" s="1"/>
      <c r="AF797">
        <v>0</v>
      </c>
      <c r="AG797">
        <v>45</v>
      </c>
      <c r="AH797">
        <v>46</v>
      </c>
      <c r="AI797" s="2">
        <f>Table__192.168.3.138BEWLPPMetaData[[#This Row],[NetAmount]]-Table__192.168.3.138BEWLPPMetaData[[#This Row],[Paid]]</f>
        <v>4901</v>
      </c>
    </row>
    <row r="798" spans="1:35" hidden="1">
      <c r="A798" t="s">
        <v>10019</v>
      </c>
      <c r="B798" s="1">
        <v>41274</v>
      </c>
      <c r="C798" s="1">
        <v>41319</v>
      </c>
      <c r="D798" t="s">
        <v>8577</v>
      </c>
      <c r="E798">
        <v>8400</v>
      </c>
      <c r="F798">
        <v>0</v>
      </c>
      <c r="G798">
        <v>0</v>
      </c>
      <c r="H798">
        <v>0</v>
      </c>
      <c r="I798">
        <v>-6</v>
      </c>
      <c r="J798">
        <v>8400</v>
      </c>
      <c r="K798" t="s">
        <v>5780</v>
      </c>
      <c r="L798" s="1">
        <v>41274</v>
      </c>
      <c r="N798" t="s">
        <v>5127</v>
      </c>
      <c r="O798" t="s">
        <v>2458</v>
      </c>
      <c r="P798" t="s">
        <v>8579</v>
      </c>
      <c r="Q798" t="s">
        <v>39</v>
      </c>
      <c r="R798" t="s">
        <v>40</v>
      </c>
      <c r="S798">
        <v>0</v>
      </c>
      <c r="U798" t="s">
        <v>41</v>
      </c>
      <c r="V798" t="s">
        <v>42</v>
      </c>
      <c r="X798" t="s">
        <v>74</v>
      </c>
      <c r="Y798" t="b">
        <v>0</v>
      </c>
      <c r="Z798" t="b">
        <v>0</v>
      </c>
      <c r="AC798" s="1"/>
      <c r="AF798">
        <v>0</v>
      </c>
      <c r="AG798">
        <v>45</v>
      </c>
      <c r="AH798">
        <v>39</v>
      </c>
      <c r="AI798" s="2">
        <f>Table__192.168.3.138BEWLPPMetaData[[#This Row],[NetAmount]]-Table__192.168.3.138BEWLPPMetaData[[#This Row],[Paid]]</f>
        <v>8400</v>
      </c>
    </row>
    <row r="799" spans="1:35" hidden="1">
      <c r="A799" t="s">
        <v>10020</v>
      </c>
      <c r="B799" s="1">
        <v>41274</v>
      </c>
      <c r="C799" s="1">
        <v>41319</v>
      </c>
      <c r="D799" t="s">
        <v>8603</v>
      </c>
      <c r="E799">
        <v>13000</v>
      </c>
      <c r="F799">
        <v>2080</v>
      </c>
      <c r="G799">
        <v>0</v>
      </c>
      <c r="H799">
        <v>0</v>
      </c>
      <c r="I799">
        <v>-4</v>
      </c>
      <c r="J799">
        <v>15080</v>
      </c>
      <c r="K799" t="s">
        <v>10021</v>
      </c>
      <c r="L799" s="1">
        <v>41272</v>
      </c>
      <c r="N799" t="s">
        <v>5127</v>
      </c>
      <c r="O799" t="s">
        <v>2458</v>
      </c>
      <c r="P799" t="s">
        <v>304</v>
      </c>
      <c r="Q799" t="s">
        <v>39</v>
      </c>
      <c r="R799" t="s">
        <v>40</v>
      </c>
      <c r="S799">
        <v>0</v>
      </c>
      <c r="U799" t="s">
        <v>41</v>
      </c>
      <c r="V799" t="s">
        <v>42</v>
      </c>
      <c r="X799" t="s">
        <v>74</v>
      </c>
      <c r="Y799" t="b">
        <v>0</v>
      </c>
      <c r="Z799" t="b">
        <v>0</v>
      </c>
      <c r="AC799" s="1"/>
      <c r="AF799">
        <v>0</v>
      </c>
      <c r="AG799">
        <v>45</v>
      </c>
      <c r="AH799">
        <v>41</v>
      </c>
      <c r="AI799" s="2">
        <f>Table__192.168.3.138BEWLPPMetaData[[#This Row],[NetAmount]]-Table__192.168.3.138BEWLPPMetaData[[#This Row],[Paid]]</f>
        <v>15080</v>
      </c>
    </row>
    <row r="800" spans="1:35" hidden="1">
      <c r="A800" t="s">
        <v>10022</v>
      </c>
      <c r="B800" s="1">
        <v>41274</v>
      </c>
      <c r="C800" s="1">
        <v>41319</v>
      </c>
      <c r="D800" t="s">
        <v>8603</v>
      </c>
      <c r="E800">
        <v>39000</v>
      </c>
      <c r="F800">
        <v>6240</v>
      </c>
      <c r="G800">
        <v>0</v>
      </c>
      <c r="H800">
        <v>0</v>
      </c>
      <c r="I800">
        <v>-2</v>
      </c>
      <c r="J800">
        <v>45240</v>
      </c>
      <c r="K800" t="s">
        <v>10023</v>
      </c>
      <c r="L800" s="1">
        <v>41270</v>
      </c>
      <c r="N800" t="s">
        <v>5127</v>
      </c>
      <c r="O800" t="s">
        <v>2458</v>
      </c>
      <c r="P800" t="s">
        <v>304</v>
      </c>
      <c r="Q800" t="s">
        <v>39</v>
      </c>
      <c r="R800" t="s">
        <v>40</v>
      </c>
      <c r="S800">
        <v>0</v>
      </c>
      <c r="U800" t="s">
        <v>41</v>
      </c>
      <c r="V800" t="s">
        <v>42</v>
      </c>
      <c r="X800" t="s">
        <v>74</v>
      </c>
      <c r="Y800" t="b">
        <v>0</v>
      </c>
      <c r="Z800" t="b">
        <v>0</v>
      </c>
      <c r="AC800" s="1"/>
      <c r="AF800">
        <v>0</v>
      </c>
      <c r="AG800">
        <v>45</v>
      </c>
      <c r="AH800">
        <v>43</v>
      </c>
      <c r="AI800" s="2">
        <f>Table__192.168.3.138BEWLPPMetaData[[#This Row],[NetAmount]]-Table__192.168.3.138BEWLPPMetaData[[#This Row],[Paid]]</f>
        <v>45240</v>
      </c>
    </row>
    <row r="801" spans="1:35" hidden="1">
      <c r="A801" t="s">
        <v>10024</v>
      </c>
      <c r="B801" s="1">
        <v>41274</v>
      </c>
      <c r="C801" s="1">
        <v>41319</v>
      </c>
      <c r="D801" t="s">
        <v>8611</v>
      </c>
      <c r="E801">
        <v>20625</v>
      </c>
      <c r="F801">
        <v>3300</v>
      </c>
      <c r="G801">
        <v>0</v>
      </c>
      <c r="H801">
        <v>0</v>
      </c>
      <c r="I801">
        <v>-6</v>
      </c>
      <c r="J801">
        <v>23925</v>
      </c>
      <c r="K801" t="s">
        <v>10025</v>
      </c>
      <c r="L801" s="1">
        <v>41274</v>
      </c>
      <c r="N801" t="s">
        <v>5127</v>
      </c>
      <c r="O801" t="s">
        <v>2458</v>
      </c>
      <c r="P801" t="s">
        <v>8612</v>
      </c>
      <c r="Q801" t="s">
        <v>39</v>
      </c>
      <c r="R801" t="s">
        <v>40</v>
      </c>
      <c r="S801">
        <v>0</v>
      </c>
      <c r="U801" t="s">
        <v>41</v>
      </c>
      <c r="V801" t="s">
        <v>42</v>
      </c>
      <c r="X801" t="s">
        <v>74</v>
      </c>
      <c r="Y801" t="b">
        <v>0</v>
      </c>
      <c r="Z801" t="b">
        <v>0</v>
      </c>
      <c r="AC801" s="1"/>
      <c r="AF801">
        <v>0</v>
      </c>
      <c r="AG801">
        <v>45</v>
      </c>
      <c r="AH801">
        <v>39</v>
      </c>
      <c r="AI801" s="2">
        <f>Table__192.168.3.138BEWLPPMetaData[[#This Row],[NetAmount]]-Table__192.168.3.138BEWLPPMetaData[[#This Row],[Paid]]</f>
        <v>23925</v>
      </c>
    </row>
    <row r="802" spans="1:35" hidden="1">
      <c r="A802" t="s">
        <v>10026</v>
      </c>
      <c r="B802" s="1">
        <v>41260</v>
      </c>
      <c r="C802" s="1">
        <v>41305</v>
      </c>
      <c r="D802" t="s">
        <v>5509</v>
      </c>
      <c r="E802">
        <v>71252</v>
      </c>
      <c r="F802">
        <v>11401</v>
      </c>
      <c r="G802">
        <v>0</v>
      </c>
      <c r="H802">
        <v>0</v>
      </c>
      <c r="I802">
        <v>24</v>
      </c>
      <c r="J802">
        <v>82653</v>
      </c>
      <c r="K802" t="s">
        <v>10027</v>
      </c>
      <c r="L802" s="1">
        <v>41244</v>
      </c>
      <c r="N802" t="s">
        <v>5127</v>
      </c>
      <c r="O802" t="s">
        <v>2458</v>
      </c>
      <c r="P802" t="s">
        <v>354</v>
      </c>
      <c r="Q802" t="s">
        <v>39</v>
      </c>
      <c r="R802" t="s">
        <v>40</v>
      </c>
      <c r="S802">
        <v>0</v>
      </c>
      <c r="U802" t="s">
        <v>41</v>
      </c>
      <c r="V802" t="s">
        <v>42</v>
      </c>
      <c r="X802" t="s">
        <v>74</v>
      </c>
      <c r="Y802" t="b">
        <v>0</v>
      </c>
      <c r="Z802" t="b">
        <v>0</v>
      </c>
      <c r="AC802" s="1"/>
      <c r="AF802">
        <v>0</v>
      </c>
      <c r="AG802">
        <v>45</v>
      </c>
      <c r="AH802">
        <v>69</v>
      </c>
      <c r="AI802" s="2">
        <f>Table__192.168.3.138BEWLPPMetaData[[#This Row],[NetAmount]]-Table__192.168.3.138BEWLPPMetaData[[#This Row],[Paid]]</f>
        <v>82653</v>
      </c>
    </row>
    <row r="803" spans="1:35" hidden="1">
      <c r="A803" t="s">
        <v>10028</v>
      </c>
      <c r="B803" s="1">
        <v>41274</v>
      </c>
      <c r="C803" s="1">
        <v>41319</v>
      </c>
      <c r="D803" t="s">
        <v>5509</v>
      </c>
      <c r="E803">
        <v>85750</v>
      </c>
      <c r="F803">
        <v>13720</v>
      </c>
      <c r="G803">
        <v>0</v>
      </c>
      <c r="H803">
        <v>0</v>
      </c>
      <c r="I803">
        <v>8</v>
      </c>
      <c r="J803">
        <v>99470</v>
      </c>
      <c r="K803" t="s">
        <v>10029</v>
      </c>
      <c r="L803" s="1">
        <v>41260</v>
      </c>
      <c r="N803" t="s">
        <v>5127</v>
      </c>
      <c r="O803" t="s">
        <v>2458</v>
      </c>
      <c r="P803" t="s">
        <v>354</v>
      </c>
      <c r="Q803" t="s">
        <v>39</v>
      </c>
      <c r="R803" t="s">
        <v>40</v>
      </c>
      <c r="S803">
        <v>0</v>
      </c>
      <c r="U803" t="s">
        <v>41</v>
      </c>
      <c r="V803" t="s">
        <v>42</v>
      </c>
      <c r="X803" t="s">
        <v>74</v>
      </c>
      <c r="Y803" t="b">
        <v>0</v>
      </c>
      <c r="Z803" t="b">
        <v>0</v>
      </c>
      <c r="AC803" s="1"/>
      <c r="AF803">
        <v>0</v>
      </c>
      <c r="AG803">
        <v>45</v>
      </c>
      <c r="AH803">
        <v>53</v>
      </c>
      <c r="AI803" s="2">
        <f>Table__192.168.3.138BEWLPPMetaData[[#This Row],[NetAmount]]-Table__192.168.3.138BEWLPPMetaData[[#This Row],[Paid]]</f>
        <v>99470</v>
      </c>
    </row>
    <row r="804" spans="1:35" hidden="1">
      <c r="A804" t="s">
        <v>10030</v>
      </c>
      <c r="B804" s="1">
        <v>41254</v>
      </c>
      <c r="C804" s="1">
        <v>41299</v>
      </c>
      <c r="D804" t="s">
        <v>8598</v>
      </c>
      <c r="E804">
        <v>7600</v>
      </c>
      <c r="F804">
        <v>1216</v>
      </c>
      <c r="G804">
        <v>0</v>
      </c>
      <c r="H804">
        <v>0</v>
      </c>
      <c r="I804">
        <v>15</v>
      </c>
      <c r="J804">
        <v>8816</v>
      </c>
      <c r="K804" t="s">
        <v>9074</v>
      </c>
      <c r="L804" s="1">
        <v>41253</v>
      </c>
      <c r="M804" t="s">
        <v>10031</v>
      </c>
      <c r="N804" t="s">
        <v>5127</v>
      </c>
      <c r="O804" t="s">
        <v>2458</v>
      </c>
      <c r="P804" t="s">
        <v>369</v>
      </c>
      <c r="Q804" t="s">
        <v>39</v>
      </c>
      <c r="R804" t="s">
        <v>40</v>
      </c>
      <c r="S804">
        <v>0</v>
      </c>
      <c r="U804" t="s">
        <v>41</v>
      </c>
      <c r="V804" t="s">
        <v>42</v>
      </c>
      <c r="W804" t="s">
        <v>10032</v>
      </c>
      <c r="X804" t="s">
        <v>74</v>
      </c>
      <c r="Y804" t="b">
        <v>0</v>
      </c>
      <c r="Z804" t="b">
        <v>0</v>
      </c>
      <c r="AA804" t="b">
        <v>0</v>
      </c>
      <c r="AC804" s="1"/>
      <c r="AF804">
        <v>0</v>
      </c>
      <c r="AG804">
        <v>45</v>
      </c>
      <c r="AH804">
        <v>60</v>
      </c>
      <c r="AI804" s="2">
        <f>Table__192.168.3.138BEWLPPMetaData[[#This Row],[NetAmount]]-Table__192.168.3.138BEWLPPMetaData[[#This Row],[Paid]]</f>
        <v>8816</v>
      </c>
    </row>
    <row r="805" spans="1:35" hidden="1">
      <c r="A805" t="s">
        <v>10033</v>
      </c>
      <c r="B805" s="1">
        <v>41274</v>
      </c>
      <c r="C805" s="1">
        <v>41319</v>
      </c>
      <c r="D805" t="s">
        <v>8530</v>
      </c>
      <c r="E805">
        <v>152652</v>
      </c>
      <c r="F805">
        <v>24424</v>
      </c>
      <c r="G805">
        <v>0</v>
      </c>
      <c r="H805">
        <v>0</v>
      </c>
      <c r="I805">
        <v>-6</v>
      </c>
      <c r="J805">
        <v>177076</v>
      </c>
      <c r="K805" t="s">
        <v>10034</v>
      </c>
      <c r="L805" s="1">
        <v>41274</v>
      </c>
      <c r="N805" t="s">
        <v>5127</v>
      </c>
      <c r="O805" t="s">
        <v>2458</v>
      </c>
      <c r="P805" t="s">
        <v>357</v>
      </c>
      <c r="Q805" t="s">
        <v>39</v>
      </c>
      <c r="R805" t="s">
        <v>40</v>
      </c>
      <c r="S805">
        <v>0</v>
      </c>
      <c r="U805" t="s">
        <v>41</v>
      </c>
      <c r="V805" t="s">
        <v>42</v>
      </c>
      <c r="X805" t="s">
        <v>74</v>
      </c>
      <c r="Y805" t="b">
        <v>0</v>
      </c>
      <c r="Z805" t="b">
        <v>0</v>
      </c>
      <c r="AC805" s="1"/>
      <c r="AF805">
        <v>0</v>
      </c>
      <c r="AG805">
        <v>45</v>
      </c>
      <c r="AH805">
        <v>39</v>
      </c>
      <c r="AI805" s="2">
        <f>Table__192.168.3.138BEWLPPMetaData[[#This Row],[NetAmount]]-Table__192.168.3.138BEWLPPMetaData[[#This Row],[Paid]]</f>
        <v>177076</v>
      </c>
    </row>
    <row r="806" spans="1:35" hidden="1">
      <c r="A806" t="s">
        <v>10035</v>
      </c>
      <c r="B806" s="1">
        <v>41262</v>
      </c>
      <c r="C806" s="1">
        <v>41307</v>
      </c>
      <c r="D806" t="s">
        <v>8530</v>
      </c>
      <c r="E806">
        <v>42482</v>
      </c>
      <c r="F806">
        <v>6797</v>
      </c>
      <c r="G806">
        <v>0</v>
      </c>
      <c r="H806">
        <v>0</v>
      </c>
      <c r="I806">
        <v>-6</v>
      </c>
      <c r="J806">
        <v>49279</v>
      </c>
      <c r="K806" t="s">
        <v>7571</v>
      </c>
      <c r="L806" s="1">
        <v>41274</v>
      </c>
      <c r="N806" t="s">
        <v>5127</v>
      </c>
      <c r="O806" t="s">
        <v>2458</v>
      </c>
      <c r="P806" t="s">
        <v>357</v>
      </c>
      <c r="Q806" t="s">
        <v>39</v>
      </c>
      <c r="R806" t="s">
        <v>40</v>
      </c>
      <c r="S806">
        <v>0</v>
      </c>
      <c r="U806" t="s">
        <v>41</v>
      </c>
      <c r="V806" t="s">
        <v>42</v>
      </c>
      <c r="X806" t="s">
        <v>74</v>
      </c>
      <c r="Y806" t="b">
        <v>0</v>
      </c>
      <c r="Z806" t="b">
        <v>0</v>
      </c>
      <c r="AC806" s="1"/>
      <c r="AF806">
        <v>0</v>
      </c>
      <c r="AG806">
        <v>45</v>
      </c>
      <c r="AH806">
        <v>39</v>
      </c>
      <c r="AI806" s="2">
        <f>Table__192.168.3.138BEWLPPMetaData[[#This Row],[NetAmount]]-Table__192.168.3.138BEWLPPMetaData[[#This Row],[Paid]]</f>
        <v>49279</v>
      </c>
    </row>
    <row r="807" spans="1:35" hidden="1">
      <c r="A807" t="s">
        <v>10036</v>
      </c>
      <c r="B807" s="1">
        <v>41263</v>
      </c>
      <c r="C807" s="1">
        <v>41308</v>
      </c>
      <c r="D807" t="s">
        <v>8530</v>
      </c>
      <c r="E807">
        <v>130626</v>
      </c>
      <c r="F807">
        <v>20900</v>
      </c>
      <c r="G807">
        <v>0</v>
      </c>
      <c r="H807">
        <v>0</v>
      </c>
      <c r="I807">
        <v>5</v>
      </c>
      <c r="J807">
        <v>151526</v>
      </c>
      <c r="K807" t="s">
        <v>10037</v>
      </c>
      <c r="L807" s="1">
        <v>41263</v>
      </c>
      <c r="N807" t="s">
        <v>5127</v>
      </c>
      <c r="O807" t="s">
        <v>2458</v>
      </c>
      <c r="P807" t="s">
        <v>357</v>
      </c>
      <c r="Q807" t="s">
        <v>39</v>
      </c>
      <c r="R807" t="s">
        <v>40</v>
      </c>
      <c r="S807">
        <v>0</v>
      </c>
      <c r="U807" t="s">
        <v>41</v>
      </c>
      <c r="V807" t="s">
        <v>42</v>
      </c>
      <c r="X807" t="s">
        <v>74</v>
      </c>
      <c r="Y807" t="b">
        <v>0</v>
      </c>
      <c r="Z807" t="b">
        <v>0</v>
      </c>
      <c r="AC807" s="1"/>
      <c r="AF807">
        <v>0</v>
      </c>
      <c r="AG807">
        <v>45</v>
      </c>
      <c r="AH807">
        <v>50</v>
      </c>
      <c r="AI807" s="2">
        <f>Table__192.168.3.138BEWLPPMetaData[[#This Row],[NetAmount]]-Table__192.168.3.138BEWLPPMetaData[[#This Row],[Paid]]</f>
        <v>151526</v>
      </c>
    </row>
    <row r="808" spans="1:35" hidden="1">
      <c r="A808" t="s">
        <v>10038</v>
      </c>
      <c r="B808" s="1">
        <v>41265</v>
      </c>
      <c r="C808" s="1">
        <v>41310</v>
      </c>
      <c r="D808" t="s">
        <v>8530</v>
      </c>
      <c r="E808">
        <v>169335</v>
      </c>
      <c r="F808">
        <v>27094</v>
      </c>
      <c r="G808">
        <v>0</v>
      </c>
      <c r="H808">
        <v>0</v>
      </c>
      <c r="I808">
        <v>3</v>
      </c>
      <c r="J808">
        <v>196429</v>
      </c>
      <c r="K808" t="s">
        <v>10039</v>
      </c>
      <c r="L808" s="1">
        <v>41265</v>
      </c>
      <c r="N808" t="s">
        <v>5127</v>
      </c>
      <c r="O808" t="s">
        <v>2458</v>
      </c>
      <c r="P808" t="s">
        <v>357</v>
      </c>
      <c r="Q808" t="s">
        <v>39</v>
      </c>
      <c r="R808" t="s">
        <v>40</v>
      </c>
      <c r="S808">
        <v>0</v>
      </c>
      <c r="U808" t="s">
        <v>41</v>
      </c>
      <c r="V808" t="s">
        <v>42</v>
      </c>
      <c r="X808" t="s">
        <v>74</v>
      </c>
      <c r="Y808" t="b">
        <v>0</v>
      </c>
      <c r="Z808" t="b">
        <v>0</v>
      </c>
      <c r="AC808" s="1"/>
      <c r="AF808">
        <v>0</v>
      </c>
      <c r="AG808">
        <v>45</v>
      </c>
      <c r="AH808">
        <v>48</v>
      </c>
      <c r="AI808" s="2">
        <f>Table__192.168.3.138BEWLPPMetaData[[#This Row],[NetAmount]]-Table__192.168.3.138BEWLPPMetaData[[#This Row],[Paid]]</f>
        <v>196429</v>
      </c>
    </row>
    <row r="809" spans="1:35" hidden="1">
      <c r="A809" t="s">
        <v>10040</v>
      </c>
      <c r="B809" s="1">
        <v>41267</v>
      </c>
      <c r="C809" s="1">
        <v>41312</v>
      </c>
      <c r="D809" t="s">
        <v>8530</v>
      </c>
      <c r="E809">
        <v>92531</v>
      </c>
      <c r="F809">
        <v>14805</v>
      </c>
      <c r="G809">
        <v>0</v>
      </c>
      <c r="H809">
        <v>0</v>
      </c>
      <c r="I809">
        <v>1</v>
      </c>
      <c r="J809">
        <v>107336</v>
      </c>
      <c r="K809" t="s">
        <v>10041</v>
      </c>
      <c r="L809" s="1">
        <v>41267</v>
      </c>
      <c r="N809" t="s">
        <v>5127</v>
      </c>
      <c r="O809" t="s">
        <v>2458</v>
      </c>
      <c r="P809" t="s">
        <v>357</v>
      </c>
      <c r="Q809" t="s">
        <v>39</v>
      </c>
      <c r="R809" t="s">
        <v>40</v>
      </c>
      <c r="S809">
        <v>0</v>
      </c>
      <c r="U809" t="s">
        <v>41</v>
      </c>
      <c r="V809" t="s">
        <v>42</v>
      </c>
      <c r="X809" t="s">
        <v>74</v>
      </c>
      <c r="Y809" t="b">
        <v>0</v>
      </c>
      <c r="Z809" t="b">
        <v>0</v>
      </c>
      <c r="AC809" s="1"/>
      <c r="AF809">
        <v>0</v>
      </c>
      <c r="AG809">
        <v>45</v>
      </c>
      <c r="AH809">
        <v>46</v>
      </c>
      <c r="AI809" s="2">
        <f>Table__192.168.3.138BEWLPPMetaData[[#This Row],[NetAmount]]-Table__192.168.3.138BEWLPPMetaData[[#This Row],[Paid]]</f>
        <v>107336</v>
      </c>
    </row>
    <row r="810" spans="1:35" hidden="1">
      <c r="A810" t="s">
        <v>10042</v>
      </c>
      <c r="B810" s="1">
        <v>41273</v>
      </c>
      <c r="C810" s="1">
        <v>41318</v>
      </c>
      <c r="D810" t="s">
        <v>8530</v>
      </c>
      <c r="E810">
        <v>24034</v>
      </c>
      <c r="F810">
        <v>3845</v>
      </c>
      <c r="G810">
        <v>0</v>
      </c>
      <c r="H810">
        <v>0</v>
      </c>
      <c r="I810">
        <v>-4</v>
      </c>
      <c r="J810">
        <v>27879</v>
      </c>
      <c r="K810" t="s">
        <v>10043</v>
      </c>
      <c r="L810" s="1">
        <v>41272</v>
      </c>
      <c r="N810" t="s">
        <v>5127</v>
      </c>
      <c r="O810" t="s">
        <v>2458</v>
      </c>
      <c r="P810" t="s">
        <v>357</v>
      </c>
      <c r="Q810" t="s">
        <v>39</v>
      </c>
      <c r="R810" t="s">
        <v>40</v>
      </c>
      <c r="S810">
        <v>0</v>
      </c>
      <c r="U810" t="s">
        <v>41</v>
      </c>
      <c r="V810" t="s">
        <v>42</v>
      </c>
      <c r="X810" t="s">
        <v>74</v>
      </c>
      <c r="Y810" t="b">
        <v>0</v>
      </c>
      <c r="Z810" t="b">
        <v>0</v>
      </c>
      <c r="AC810" s="1"/>
      <c r="AF810">
        <v>0</v>
      </c>
      <c r="AG810">
        <v>45</v>
      </c>
      <c r="AH810">
        <v>41</v>
      </c>
      <c r="AI810" s="2">
        <f>Table__192.168.3.138BEWLPPMetaData[[#This Row],[NetAmount]]-Table__192.168.3.138BEWLPPMetaData[[#This Row],[Paid]]</f>
        <v>27879</v>
      </c>
    </row>
    <row r="811" spans="1:35" hidden="1">
      <c r="A811" t="s">
        <v>10044</v>
      </c>
      <c r="B811" s="1">
        <v>41267</v>
      </c>
      <c r="C811" s="1">
        <v>41312</v>
      </c>
      <c r="D811" t="s">
        <v>8530</v>
      </c>
      <c r="E811">
        <v>124703</v>
      </c>
      <c r="F811">
        <v>19952</v>
      </c>
      <c r="G811">
        <v>0</v>
      </c>
      <c r="H811">
        <v>0</v>
      </c>
      <c r="I811">
        <v>-3</v>
      </c>
      <c r="J811">
        <v>144655</v>
      </c>
      <c r="K811" t="s">
        <v>10045</v>
      </c>
      <c r="L811" s="1">
        <v>41271</v>
      </c>
      <c r="N811" t="s">
        <v>5127</v>
      </c>
      <c r="O811" t="s">
        <v>2458</v>
      </c>
      <c r="P811" t="s">
        <v>357</v>
      </c>
      <c r="Q811" t="s">
        <v>39</v>
      </c>
      <c r="R811" t="s">
        <v>40</v>
      </c>
      <c r="S811">
        <v>0</v>
      </c>
      <c r="U811" t="s">
        <v>41</v>
      </c>
      <c r="V811" t="s">
        <v>42</v>
      </c>
      <c r="X811" t="s">
        <v>74</v>
      </c>
      <c r="Y811" t="b">
        <v>0</v>
      </c>
      <c r="Z811" t="b">
        <v>0</v>
      </c>
      <c r="AC811" s="1"/>
      <c r="AF811">
        <v>0</v>
      </c>
      <c r="AG811">
        <v>45</v>
      </c>
      <c r="AH811">
        <v>42</v>
      </c>
      <c r="AI811" s="2">
        <f>Table__192.168.3.138BEWLPPMetaData[[#This Row],[NetAmount]]-Table__192.168.3.138BEWLPPMetaData[[#This Row],[Paid]]</f>
        <v>144655</v>
      </c>
    </row>
    <row r="812" spans="1:35" hidden="1">
      <c r="A812" t="s">
        <v>10046</v>
      </c>
      <c r="B812" s="1">
        <v>41274</v>
      </c>
      <c r="C812" s="1">
        <v>41319</v>
      </c>
      <c r="D812" t="s">
        <v>8611</v>
      </c>
      <c r="E812">
        <v>9958</v>
      </c>
      <c r="F812">
        <v>1593</v>
      </c>
      <c r="G812">
        <v>0</v>
      </c>
      <c r="H812">
        <v>0</v>
      </c>
      <c r="I812">
        <v>-3</v>
      </c>
      <c r="J812">
        <v>11551</v>
      </c>
      <c r="K812" t="s">
        <v>10047</v>
      </c>
      <c r="L812" s="1">
        <v>41271</v>
      </c>
      <c r="N812" t="s">
        <v>5127</v>
      </c>
      <c r="O812" t="s">
        <v>2458</v>
      </c>
      <c r="P812" t="s">
        <v>8612</v>
      </c>
      <c r="Q812" t="s">
        <v>39</v>
      </c>
      <c r="R812" t="s">
        <v>40</v>
      </c>
      <c r="S812">
        <v>0</v>
      </c>
      <c r="U812" t="s">
        <v>41</v>
      </c>
      <c r="V812" t="s">
        <v>42</v>
      </c>
      <c r="X812" t="s">
        <v>74</v>
      </c>
      <c r="Y812" t="b">
        <v>0</v>
      </c>
      <c r="Z812" t="b">
        <v>0</v>
      </c>
      <c r="AC812" s="1"/>
      <c r="AF812">
        <v>0</v>
      </c>
      <c r="AG812">
        <v>45</v>
      </c>
      <c r="AH812">
        <v>42</v>
      </c>
      <c r="AI812" s="2">
        <f>Table__192.168.3.138BEWLPPMetaData[[#This Row],[NetAmount]]-Table__192.168.3.138BEWLPPMetaData[[#This Row],[Paid]]</f>
        <v>11551</v>
      </c>
    </row>
    <row r="813" spans="1:35" hidden="1">
      <c r="A813" t="s">
        <v>10048</v>
      </c>
      <c r="B813" s="1">
        <v>41260</v>
      </c>
      <c r="C813" s="1">
        <v>41305</v>
      </c>
      <c r="D813" t="s">
        <v>8598</v>
      </c>
      <c r="E813">
        <v>30400</v>
      </c>
      <c r="F813">
        <v>4864</v>
      </c>
      <c r="G813">
        <v>0</v>
      </c>
      <c r="H813">
        <v>0</v>
      </c>
      <c r="I813">
        <v>11</v>
      </c>
      <c r="J813">
        <v>35264</v>
      </c>
      <c r="K813" t="s">
        <v>6685</v>
      </c>
      <c r="L813" s="1">
        <v>41257</v>
      </c>
      <c r="M813" t="s">
        <v>10049</v>
      </c>
      <c r="N813" t="s">
        <v>5127</v>
      </c>
      <c r="O813" t="s">
        <v>2458</v>
      </c>
      <c r="P813" t="s">
        <v>369</v>
      </c>
      <c r="Q813" t="s">
        <v>39</v>
      </c>
      <c r="R813" t="s">
        <v>40</v>
      </c>
      <c r="S813">
        <v>0</v>
      </c>
      <c r="U813" t="s">
        <v>41</v>
      </c>
      <c r="V813" t="s">
        <v>42</v>
      </c>
      <c r="W813" t="s">
        <v>10032</v>
      </c>
      <c r="X813" t="s">
        <v>74</v>
      </c>
      <c r="Y813" t="b">
        <v>0</v>
      </c>
      <c r="Z813" t="b">
        <v>0</v>
      </c>
      <c r="AA813" t="b">
        <v>0</v>
      </c>
      <c r="AC813" s="1"/>
      <c r="AF813">
        <v>0</v>
      </c>
      <c r="AG813">
        <v>45</v>
      </c>
      <c r="AH813">
        <v>56</v>
      </c>
      <c r="AI813" s="2">
        <f>Table__192.168.3.138BEWLPPMetaData[[#This Row],[NetAmount]]-Table__192.168.3.138BEWLPPMetaData[[#This Row],[Paid]]</f>
        <v>35264</v>
      </c>
    </row>
    <row r="814" spans="1:35" hidden="1">
      <c r="A814" t="s">
        <v>10050</v>
      </c>
      <c r="B814" s="1">
        <v>41274</v>
      </c>
      <c r="C814" s="1">
        <v>41319</v>
      </c>
      <c r="D814" t="s">
        <v>9150</v>
      </c>
      <c r="E814">
        <v>210450</v>
      </c>
      <c r="F814">
        <v>33672</v>
      </c>
      <c r="G814">
        <v>0</v>
      </c>
      <c r="H814">
        <v>0</v>
      </c>
      <c r="I814">
        <v>14</v>
      </c>
      <c r="J814">
        <v>244122</v>
      </c>
      <c r="K814" t="s">
        <v>1267</v>
      </c>
      <c r="L814" s="1">
        <v>41254</v>
      </c>
      <c r="N814" t="s">
        <v>5127</v>
      </c>
      <c r="O814" t="s">
        <v>2458</v>
      </c>
      <c r="P814" t="s">
        <v>423</v>
      </c>
      <c r="Q814" t="s">
        <v>39</v>
      </c>
      <c r="R814" t="s">
        <v>40</v>
      </c>
      <c r="S814">
        <v>0</v>
      </c>
      <c r="U814" t="s">
        <v>41</v>
      </c>
      <c r="V814" t="s">
        <v>42</v>
      </c>
      <c r="X814" t="s">
        <v>74</v>
      </c>
      <c r="Y814" t="b">
        <v>0</v>
      </c>
      <c r="Z814" t="b">
        <v>0</v>
      </c>
      <c r="AC814" s="1"/>
      <c r="AF814">
        <v>0</v>
      </c>
      <c r="AG814">
        <v>45</v>
      </c>
      <c r="AH814">
        <v>59</v>
      </c>
      <c r="AI814" s="2">
        <f>Table__192.168.3.138BEWLPPMetaData[[#This Row],[NetAmount]]-Table__192.168.3.138BEWLPPMetaData[[#This Row],[Paid]]</f>
        <v>244122</v>
      </c>
    </row>
    <row r="815" spans="1:35" hidden="1">
      <c r="A815" t="s">
        <v>10051</v>
      </c>
      <c r="B815" s="1">
        <v>41283</v>
      </c>
      <c r="C815" s="1">
        <v>41328</v>
      </c>
      <c r="D815" t="s">
        <v>10052</v>
      </c>
      <c r="E815">
        <v>153000</v>
      </c>
      <c r="F815">
        <v>24480</v>
      </c>
      <c r="G815">
        <v>0</v>
      </c>
      <c r="H815">
        <v>0</v>
      </c>
      <c r="I815">
        <v>-10</v>
      </c>
      <c r="J815">
        <v>177480</v>
      </c>
      <c r="K815" t="s">
        <v>10053</v>
      </c>
      <c r="L815" s="1">
        <v>41278</v>
      </c>
      <c r="N815" t="s">
        <v>5127</v>
      </c>
      <c r="O815" t="s">
        <v>2458</v>
      </c>
      <c r="P815" t="s">
        <v>10054</v>
      </c>
      <c r="Q815" t="s">
        <v>5285</v>
      </c>
      <c r="R815" t="s">
        <v>5286</v>
      </c>
      <c r="S815">
        <v>0</v>
      </c>
      <c r="U815" t="s">
        <v>41</v>
      </c>
      <c r="V815" t="s">
        <v>42</v>
      </c>
      <c r="X815" t="s">
        <v>74</v>
      </c>
      <c r="Y815" t="b">
        <v>0</v>
      </c>
      <c r="Z815" t="b">
        <v>0</v>
      </c>
      <c r="AC815" s="1"/>
      <c r="AF815">
        <v>0</v>
      </c>
      <c r="AG815">
        <v>45</v>
      </c>
      <c r="AH815">
        <v>35</v>
      </c>
      <c r="AI815" s="2">
        <f>Table__192.168.3.138BEWLPPMetaData[[#This Row],[NetAmount]]-Table__192.168.3.138BEWLPPMetaData[[#This Row],[Paid]]</f>
        <v>177480</v>
      </c>
    </row>
    <row r="816" spans="1:35" hidden="1">
      <c r="A816" t="s">
        <v>10055</v>
      </c>
      <c r="B816" s="1">
        <v>41282</v>
      </c>
      <c r="C816" s="1">
        <v>41282</v>
      </c>
      <c r="D816" t="s">
        <v>10056</v>
      </c>
      <c r="E816">
        <v>39925</v>
      </c>
      <c r="F816">
        <v>6388</v>
      </c>
      <c r="G816">
        <v>0</v>
      </c>
      <c r="H816">
        <v>0</v>
      </c>
      <c r="I816">
        <v>0</v>
      </c>
      <c r="J816">
        <v>46313</v>
      </c>
      <c r="K816" t="s">
        <v>8599</v>
      </c>
      <c r="L816" s="1">
        <v>41275</v>
      </c>
      <c r="N816" t="s">
        <v>5127</v>
      </c>
      <c r="O816" t="s">
        <v>2458</v>
      </c>
      <c r="P816" t="s">
        <v>437</v>
      </c>
      <c r="Q816" t="s">
        <v>5285</v>
      </c>
      <c r="R816" t="s">
        <v>5286</v>
      </c>
      <c r="S816">
        <v>0</v>
      </c>
      <c r="U816" t="s">
        <v>41</v>
      </c>
      <c r="V816" t="s">
        <v>42</v>
      </c>
      <c r="X816" t="s">
        <v>74</v>
      </c>
      <c r="Y816" t="b">
        <v>0</v>
      </c>
      <c r="Z816" t="b">
        <v>0</v>
      </c>
      <c r="AC816" s="1"/>
      <c r="AF816">
        <v>0</v>
      </c>
      <c r="AH816">
        <v>38</v>
      </c>
      <c r="AI816" s="2">
        <f>Table__192.168.3.138BEWLPPMetaData[[#This Row],[NetAmount]]-Table__192.168.3.138BEWLPPMetaData[[#This Row],[Paid]]</f>
        <v>46313</v>
      </c>
    </row>
    <row r="817" spans="1:35" hidden="1">
      <c r="A817" t="s">
        <v>10057</v>
      </c>
      <c r="B817" s="1">
        <v>41275</v>
      </c>
      <c r="C817" s="1">
        <v>41320</v>
      </c>
      <c r="D817" t="s">
        <v>9592</v>
      </c>
      <c r="E817">
        <v>13200</v>
      </c>
      <c r="F817">
        <v>0</v>
      </c>
      <c r="G817">
        <v>0</v>
      </c>
      <c r="H817">
        <v>0</v>
      </c>
      <c r="I817">
        <v>-7</v>
      </c>
      <c r="J817">
        <v>13200</v>
      </c>
      <c r="K817" t="s">
        <v>3206</v>
      </c>
      <c r="L817" s="1">
        <v>41275</v>
      </c>
      <c r="N817" t="s">
        <v>5127</v>
      </c>
      <c r="O817" t="s">
        <v>2458</v>
      </c>
      <c r="P817" t="s">
        <v>9594</v>
      </c>
      <c r="Q817" t="s">
        <v>5285</v>
      </c>
      <c r="R817" t="s">
        <v>5286</v>
      </c>
      <c r="S817">
        <v>0</v>
      </c>
      <c r="U817" t="s">
        <v>41</v>
      </c>
      <c r="V817" t="s">
        <v>42</v>
      </c>
      <c r="X817" t="s">
        <v>74</v>
      </c>
      <c r="Y817" t="b">
        <v>0</v>
      </c>
      <c r="Z817" t="b">
        <v>0</v>
      </c>
      <c r="AC817" s="1"/>
      <c r="AF817">
        <v>0</v>
      </c>
      <c r="AG817">
        <v>45</v>
      </c>
      <c r="AH817">
        <v>38</v>
      </c>
      <c r="AI817" s="2">
        <f>Table__192.168.3.138BEWLPPMetaData[[#This Row],[NetAmount]]-Table__192.168.3.138BEWLPPMetaData[[#This Row],[Paid]]</f>
        <v>13200</v>
      </c>
    </row>
    <row r="818" spans="1:35" hidden="1">
      <c r="A818" t="s">
        <v>10058</v>
      </c>
      <c r="B818" s="1">
        <v>41288</v>
      </c>
      <c r="C818" s="1">
        <v>41333</v>
      </c>
      <c r="D818" t="s">
        <v>8910</v>
      </c>
      <c r="E818">
        <v>43955</v>
      </c>
      <c r="F818">
        <v>7032</v>
      </c>
      <c r="G818">
        <v>0</v>
      </c>
      <c r="H818">
        <v>0</v>
      </c>
      <c r="I818">
        <v>-18</v>
      </c>
      <c r="J818">
        <v>50987</v>
      </c>
      <c r="K818" t="s">
        <v>3539</v>
      </c>
      <c r="L818" s="1">
        <v>41286</v>
      </c>
      <c r="N818" t="s">
        <v>5127</v>
      </c>
      <c r="O818" t="s">
        <v>2458</v>
      </c>
      <c r="P818" t="s">
        <v>392</v>
      </c>
      <c r="Q818" t="s">
        <v>5285</v>
      </c>
      <c r="R818" t="s">
        <v>5286</v>
      </c>
      <c r="S818">
        <v>0</v>
      </c>
      <c r="U818" t="s">
        <v>41</v>
      </c>
      <c r="V818" t="s">
        <v>42</v>
      </c>
      <c r="X818" t="s">
        <v>74</v>
      </c>
      <c r="Y818" t="b">
        <v>0</v>
      </c>
      <c r="Z818" t="b">
        <v>0</v>
      </c>
      <c r="AC818" s="1"/>
      <c r="AF818">
        <v>0</v>
      </c>
      <c r="AG818">
        <v>45</v>
      </c>
      <c r="AH818">
        <v>27</v>
      </c>
      <c r="AI818" s="2">
        <f>Table__192.168.3.138BEWLPPMetaData[[#This Row],[NetAmount]]-Table__192.168.3.138BEWLPPMetaData[[#This Row],[Paid]]</f>
        <v>50987</v>
      </c>
    </row>
    <row r="819" spans="1:35" hidden="1">
      <c r="A819" t="s">
        <v>10059</v>
      </c>
      <c r="B819" s="1">
        <v>41290</v>
      </c>
      <c r="C819" s="1">
        <v>41335</v>
      </c>
      <c r="D819" t="s">
        <v>8530</v>
      </c>
      <c r="E819">
        <v>43700</v>
      </c>
      <c r="F819">
        <v>6992</v>
      </c>
      <c r="G819">
        <v>0</v>
      </c>
      <c r="H819">
        <v>0</v>
      </c>
      <c r="I819">
        <v>-22</v>
      </c>
      <c r="J819">
        <v>50692</v>
      </c>
      <c r="K819" t="s">
        <v>10060</v>
      </c>
      <c r="L819" s="1">
        <v>41290</v>
      </c>
      <c r="N819" t="s">
        <v>5127</v>
      </c>
      <c r="O819" t="s">
        <v>2458</v>
      </c>
      <c r="P819" t="s">
        <v>357</v>
      </c>
      <c r="Q819" t="s">
        <v>5285</v>
      </c>
      <c r="R819" t="s">
        <v>5286</v>
      </c>
      <c r="S819">
        <v>0</v>
      </c>
      <c r="U819" t="s">
        <v>41</v>
      </c>
      <c r="V819" t="s">
        <v>42</v>
      </c>
      <c r="X819" t="s">
        <v>74</v>
      </c>
      <c r="Y819" t="b">
        <v>0</v>
      </c>
      <c r="Z819" t="b">
        <v>0</v>
      </c>
      <c r="AC819" s="1"/>
      <c r="AF819">
        <v>0</v>
      </c>
      <c r="AG819">
        <v>45</v>
      </c>
      <c r="AH819">
        <v>23</v>
      </c>
      <c r="AI819" s="2">
        <f>Table__192.168.3.138BEWLPPMetaData[[#This Row],[NetAmount]]-Table__192.168.3.138BEWLPPMetaData[[#This Row],[Paid]]</f>
        <v>50692</v>
      </c>
    </row>
    <row r="820" spans="1:35" hidden="1">
      <c r="A820" t="s">
        <v>10061</v>
      </c>
      <c r="B820" s="1">
        <v>41285</v>
      </c>
      <c r="C820" s="1">
        <v>41330</v>
      </c>
      <c r="D820" t="s">
        <v>8530</v>
      </c>
      <c r="E820">
        <v>154742</v>
      </c>
      <c r="F820">
        <v>24759</v>
      </c>
      <c r="G820">
        <v>0</v>
      </c>
      <c r="H820">
        <v>0</v>
      </c>
      <c r="I820">
        <v>-17</v>
      </c>
      <c r="J820">
        <v>179501</v>
      </c>
      <c r="K820" t="s">
        <v>10062</v>
      </c>
      <c r="L820" s="1">
        <v>41285</v>
      </c>
      <c r="N820" t="s">
        <v>5127</v>
      </c>
      <c r="O820" t="s">
        <v>2458</v>
      </c>
      <c r="P820" t="s">
        <v>357</v>
      </c>
      <c r="Q820" t="s">
        <v>5285</v>
      </c>
      <c r="R820" t="s">
        <v>5286</v>
      </c>
      <c r="S820">
        <v>0</v>
      </c>
      <c r="U820" t="s">
        <v>41</v>
      </c>
      <c r="V820" t="s">
        <v>42</v>
      </c>
      <c r="X820" t="s">
        <v>74</v>
      </c>
      <c r="Y820" t="b">
        <v>0</v>
      </c>
      <c r="Z820" t="b">
        <v>0</v>
      </c>
      <c r="AC820" s="1"/>
      <c r="AF820">
        <v>0</v>
      </c>
      <c r="AG820">
        <v>45</v>
      </c>
      <c r="AH820">
        <v>28</v>
      </c>
      <c r="AI820" s="2">
        <f>Table__192.168.3.138BEWLPPMetaData[[#This Row],[NetAmount]]-Table__192.168.3.138BEWLPPMetaData[[#This Row],[Paid]]</f>
        <v>179501</v>
      </c>
    </row>
    <row r="821" spans="1:35" hidden="1">
      <c r="A821" t="s">
        <v>10063</v>
      </c>
      <c r="B821" s="1">
        <v>41282</v>
      </c>
      <c r="C821" s="1">
        <v>41327</v>
      </c>
      <c r="D821" t="s">
        <v>8530</v>
      </c>
      <c r="E821">
        <v>74800</v>
      </c>
      <c r="F821">
        <v>11968</v>
      </c>
      <c r="G821">
        <v>0</v>
      </c>
      <c r="H821">
        <v>194</v>
      </c>
      <c r="I821">
        <v>-14</v>
      </c>
      <c r="J821">
        <v>86768</v>
      </c>
      <c r="K821" t="s">
        <v>10064</v>
      </c>
      <c r="L821" s="1">
        <v>41282</v>
      </c>
      <c r="N821" t="s">
        <v>5127</v>
      </c>
      <c r="O821" t="s">
        <v>2458</v>
      </c>
      <c r="P821" t="s">
        <v>357</v>
      </c>
      <c r="Q821" t="s">
        <v>5285</v>
      </c>
      <c r="R821" t="s">
        <v>5286</v>
      </c>
      <c r="S821">
        <v>0</v>
      </c>
      <c r="T821" t="s">
        <v>10065</v>
      </c>
      <c r="U821" t="s">
        <v>41</v>
      </c>
      <c r="V821" t="s">
        <v>42</v>
      </c>
      <c r="X821" t="s">
        <v>74</v>
      </c>
      <c r="Y821" t="b">
        <v>0</v>
      </c>
      <c r="Z821" t="b">
        <v>0</v>
      </c>
      <c r="AC821" s="1"/>
      <c r="AF821">
        <v>0</v>
      </c>
      <c r="AG821">
        <v>45</v>
      </c>
      <c r="AH821">
        <v>31</v>
      </c>
      <c r="AI821" s="2">
        <f>Table__192.168.3.138BEWLPPMetaData[[#This Row],[NetAmount]]-Table__192.168.3.138BEWLPPMetaData[[#This Row],[Paid]]</f>
        <v>86768</v>
      </c>
    </row>
    <row r="822" spans="1:35" hidden="1">
      <c r="A822" t="s">
        <v>10066</v>
      </c>
      <c r="B822" s="1">
        <v>41283</v>
      </c>
      <c r="C822" s="1">
        <v>41328</v>
      </c>
      <c r="D822" t="s">
        <v>8530</v>
      </c>
      <c r="E822">
        <v>199185</v>
      </c>
      <c r="F822">
        <v>31869</v>
      </c>
      <c r="G822">
        <v>0</v>
      </c>
      <c r="H822">
        <v>0</v>
      </c>
      <c r="I822">
        <v>-14</v>
      </c>
      <c r="J822">
        <v>231054</v>
      </c>
      <c r="K822" t="s">
        <v>10067</v>
      </c>
      <c r="L822" s="1">
        <v>41282</v>
      </c>
      <c r="N822" t="s">
        <v>5127</v>
      </c>
      <c r="O822" t="s">
        <v>2458</v>
      </c>
      <c r="P822" t="s">
        <v>357</v>
      </c>
      <c r="Q822" t="s">
        <v>5285</v>
      </c>
      <c r="R822" t="s">
        <v>5286</v>
      </c>
      <c r="S822">
        <v>0</v>
      </c>
      <c r="U822" t="s">
        <v>41</v>
      </c>
      <c r="V822" t="s">
        <v>42</v>
      </c>
      <c r="X822" t="s">
        <v>74</v>
      </c>
      <c r="Y822" t="b">
        <v>0</v>
      </c>
      <c r="Z822" t="b">
        <v>0</v>
      </c>
      <c r="AC822" s="1"/>
      <c r="AF822">
        <v>0</v>
      </c>
      <c r="AG822">
        <v>45</v>
      </c>
      <c r="AH822">
        <v>31</v>
      </c>
      <c r="AI822" s="2">
        <f>Table__192.168.3.138BEWLPPMetaData[[#This Row],[NetAmount]]-Table__192.168.3.138BEWLPPMetaData[[#This Row],[Paid]]</f>
        <v>231054</v>
      </c>
    </row>
    <row r="823" spans="1:35" hidden="1">
      <c r="A823" t="s">
        <v>10068</v>
      </c>
      <c r="B823" s="1">
        <v>41281</v>
      </c>
      <c r="C823" s="1">
        <v>41326</v>
      </c>
      <c r="D823" t="s">
        <v>8530</v>
      </c>
      <c r="E823">
        <v>234986</v>
      </c>
      <c r="F823">
        <v>37598</v>
      </c>
      <c r="G823">
        <v>0</v>
      </c>
      <c r="H823">
        <v>0</v>
      </c>
      <c r="I823">
        <v>-10</v>
      </c>
      <c r="J823">
        <v>272584</v>
      </c>
      <c r="K823" t="s">
        <v>10069</v>
      </c>
      <c r="L823" s="1">
        <v>41278</v>
      </c>
      <c r="N823" t="s">
        <v>5127</v>
      </c>
      <c r="O823" t="s">
        <v>2458</v>
      </c>
      <c r="P823" t="s">
        <v>357</v>
      </c>
      <c r="Q823" t="s">
        <v>5285</v>
      </c>
      <c r="R823" t="s">
        <v>5286</v>
      </c>
      <c r="S823">
        <v>0</v>
      </c>
      <c r="U823" t="s">
        <v>41</v>
      </c>
      <c r="V823" t="s">
        <v>42</v>
      </c>
      <c r="X823" t="s">
        <v>74</v>
      </c>
      <c r="Y823" t="b">
        <v>0</v>
      </c>
      <c r="Z823" t="b">
        <v>0</v>
      </c>
      <c r="AC823" s="1"/>
      <c r="AF823">
        <v>0</v>
      </c>
      <c r="AG823">
        <v>45</v>
      </c>
      <c r="AH823">
        <v>35</v>
      </c>
      <c r="AI823" s="2">
        <f>Table__192.168.3.138BEWLPPMetaData[[#This Row],[NetAmount]]-Table__192.168.3.138BEWLPPMetaData[[#This Row],[Paid]]</f>
        <v>272584</v>
      </c>
    </row>
    <row r="824" spans="1:35" hidden="1">
      <c r="A824" t="s">
        <v>10070</v>
      </c>
      <c r="B824" s="1">
        <v>41281</v>
      </c>
      <c r="C824" s="1">
        <v>41326</v>
      </c>
      <c r="D824" t="s">
        <v>8530</v>
      </c>
      <c r="E824">
        <v>138932</v>
      </c>
      <c r="F824">
        <v>22228</v>
      </c>
      <c r="G824">
        <v>0</v>
      </c>
      <c r="H824">
        <v>0</v>
      </c>
      <c r="I824">
        <v>-8</v>
      </c>
      <c r="J824">
        <v>161160</v>
      </c>
      <c r="K824" t="s">
        <v>10071</v>
      </c>
      <c r="L824" s="1">
        <v>41276</v>
      </c>
      <c r="N824" t="s">
        <v>5127</v>
      </c>
      <c r="O824" t="s">
        <v>2458</v>
      </c>
      <c r="P824" t="s">
        <v>357</v>
      </c>
      <c r="Q824" t="s">
        <v>5285</v>
      </c>
      <c r="R824" t="s">
        <v>5286</v>
      </c>
      <c r="S824">
        <v>0</v>
      </c>
      <c r="U824" t="s">
        <v>41</v>
      </c>
      <c r="V824" t="s">
        <v>42</v>
      </c>
      <c r="X824" t="s">
        <v>74</v>
      </c>
      <c r="Y824" t="b">
        <v>0</v>
      </c>
      <c r="Z824" t="b">
        <v>0</v>
      </c>
      <c r="AC824" s="1"/>
      <c r="AF824">
        <v>0</v>
      </c>
      <c r="AG824">
        <v>45</v>
      </c>
      <c r="AH824">
        <v>37</v>
      </c>
      <c r="AI824" s="2">
        <f>Table__192.168.3.138BEWLPPMetaData[[#This Row],[NetAmount]]-Table__192.168.3.138BEWLPPMetaData[[#This Row],[Paid]]</f>
        <v>161160</v>
      </c>
    </row>
    <row r="825" spans="1:35" hidden="1">
      <c r="A825" t="s">
        <v>10072</v>
      </c>
      <c r="B825" s="1">
        <v>41281</v>
      </c>
      <c r="C825" s="1">
        <v>41326</v>
      </c>
      <c r="D825" t="s">
        <v>8530</v>
      </c>
      <c r="E825">
        <v>177108</v>
      </c>
      <c r="F825">
        <v>28337</v>
      </c>
      <c r="G825">
        <v>0</v>
      </c>
      <c r="H825">
        <v>0</v>
      </c>
      <c r="I825">
        <v>-8</v>
      </c>
      <c r="J825">
        <v>205445</v>
      </c>
      <c r="K825" t="s">
        <v>10073</v>
      </c>
      <c r="L825" s="1">
        <v>41276</v>
      </c>
      <c r="N825" t="s">
        <v>5127</v>
      </c>
      <c r="O825" t="s">
        <v>2458</v>
      </c>
      <c r="P825" t="s">
        <v>357</v>
      </c>
      <c r="Q825" t="s">
        <v>5285</v>
      </c>
      <c r="R825" t="s">
        <v>5286</v>
      </c>
      <c r="S825">
        <v>0</v>
      </c>
      <c r="U825" t="s">
        <v>41</v>
      </c>
      <c r="V825" t="s">
        <v>42</v>
      </c>
      <c r="X825" t="s">
        <v>74</v>
      </c>
      <c r="Y825" t="b">
        <v>0</v>
      </c>
      <c r="Z825" t="b">
        <v>0</v>
      </c>
      <c r="AC825" s="1"/>
      <c r="AF825">
        <v>0</v>
      </c>
      <c r="AG825">
        <v>45</v>
      </c>
      <c r="AH825">
        <v>37</v>
      </c>
      <c r="AI825" s="2">
        <f>Table__192.168.3.138BEWLPPMetaData[[#This Row],[NetAmount]]-Table__192.168.3.138BEWLPPMetaData[[#This Row],[Paid]]</f>
        <v>205445</v>
      </c>
    </row>
    <row r="826" spans="1:35" hidden="1">
      <c r="A826" t="s">
        <v>10074</v>
      </c>
      <c r="B826" s="1">
        <v>41206</v>
      </c>
      <c r="C826" s="1">
        <v>41251</v>
      </c>
      <c r="D826" t="s">
        <v>8530</v>
      </c>
      <c r="E826">
        <v>6000</v>
      </c>
      <c r="F826">
        <v>960</v>
      </c>
      <c r="G826">
        <v>0</v>
      </c>
      <c r="H826">
        <v>0</v>
      </c>
      <c r="I826">
        <v>-7</v>
      </c>
      <c r="J826">
        <v>6960</v>
      </c>
      <c r="K826" t="s">
        <v>10075</v>
      </c>
      <c r="L826" s="1">
        <v>41275</v>
      </c>
      <c r="N826" t="s">
        <v>5127</v>
      </c>
      <c r="O826" t="s">
        <v>2458</v>
      </c>
      <c r="P826" t="s">
        <v>357</v>
      </c>
      <c r="Q826" t="s">
        <v>39</v>
      </c>
      <c r="R826" t="s">
        <v>40</v>
      </c>
      <c r="S826">
        <v>0</v>
      </c>
      <c r="U826" t="s">
        <v>41</v>
      </c>
      <c r="V826" t="s">
        <v>42</v>
      </c>
      <c r="X826" t="s">
        <v>74</v>
      </c>
      <c r="Y826" t="b">
        <v>0</v>
      </c>
      <c r="Z826" t="b">
        <v>0</v>
      </c>
      <c r="AC826" s="1"/>
      <c r="AF826">
        <v>0</v>
      </c>
      <c r="AG826">
        <v>45</v>
      </c>
      <c r="AH826">
        <v>38</v>
      </c>
      <c r="AI826" s="2">
        <f>Table__192.168.3.138BEWLPPMetaData[[#This Row],[NetAmount]]-Table__192.168.3.138BEWLPPMetaData[[#This Row],[Paid]]</f>
        <v>6960</v>
      </c>
    </row>
    <row r="827" spans="1:35" hidden="1">
      <c r="A827" t="s">
        <v>10076</v>
      </c>
      <c r="B827" s="1">
        <v>41278</v>
      </c>
      <c r="C827" s="1">
        <v>41323</v>
      </c>
      <c r="D827" t="s">
        <v>8538</v>
      </c>
      <c r="E827">
        <v>8450</v>
      </c>
      <c r="F827">
        <v>1352</v>
      </c>
      <c r="G827">
        <v>0</v>
      </c>
      <c r="H827">
        <v>0</v>
      </c>
      <c r="I827">
        <v>-8</v>
      </c>
      <c r="J827">
        <v>9802</v>
      </c>
      <c r="K827" t="s">
        <v>10077</v>
      </c>
      <c r="L827" s="1">
        <v>41276</v>
      </c>
      <c r="N827" t="s">
        <v>5127</v>
      </c>
      <c r="O827" t="s">
        <v>2458</v>
      </c>
      <c r="P827" t="s">
        <v>310</v>
      </c>
      <c r="Q827" t="s">
        <v>5285</v>
      </c>
      <c r="R827" t="s">
        <v>5286</v>
      </c>
      <c r="S827">
        <v>0</v>
      </c>
      <c r="U827" t="s">
        <v>41</v>
      </c>
      <c r="V827" t="s">
        <v>42</v>
      </c>
      <c r="X827" t="s">
        <v>74</v>
      </c>
      <c r="Y827" t="b">
        <v>0</v>
      </c>
      <c r="Z827" t="b">
        <v>0</v>
      </c>
      <c r="AC827" s="1"/>
      <c r="AF827">
        <v>0</v>
      </c>
      <c r="AG827">
        <v>45</v>
      </c>
      <c r="AH827">
        <v>37</v>
      </c>
      <c r="AI827" s="2">
        <f>Table__192.168.3.138BEWLPPMetaData[[#This Row],[NetAmount]]-Table__192.168.3.138BEWLPPMetaData[[#This Row],[Paid]]</f>
        <v>9802</v>
      </c>
    </row>
    <row r="828" spans="1:35" hidden="1">
      <c r="A828" t="s">
        <v>10078</v>
      </c>
      <c r="B828" s="1">
        <v>41288</v>
      </c>
      <c r="C828" s="1">
        <v>41333</v>
      </c>
      <c r="D828" t="s">
        <v>8603</v>
      </c>
      <c r="E828">
        <v>45500</v>
      </c>
      <c r="F828">
        <v>7280</v>
      </c>
      <c r="G828">
        <v>0</v>
      </c>
      <c r="H828">
        <v>0</v>
      </c>
      <c r="I828">
        <v>-18</v>
      </c>
      <c r="J828">
        <v>52780</v>
      </c>
      <c r="K828" t="s">
        <v>10079</v>
      </c>
      <c r="L828" s="1">
        <v>41286</v>
      </c>
      <c r="N828" t="s">
        <v>5127</v>
      </c>
      <c r="O828" t="s">
        <v>2458</v>
      </c>
      <c r="P828" t="s">
        <v>304</v>
      </c>
      <c r="Q828" t="s">
        <v>5285</v>
      </c>
      <c r="R828" t="s">
        <v>5286</v>
      </c>
      <c r="S828">
        <v>0</v>
      </c>
      <c r="U828" t="s">
        <v>41</v>
      </c>
      <c r="V828" t="s">
        <v>42</v>
      </c>
      <c r="X828" t="s">
        <v>74</v>
      </c>
      <c r="Y828" t="b">
        <v>0</v>
      </c>
      <c r="Z828" t="b">
        <v>0</v>
      </c>
      <c r="AC828" s="1"/>
      <c r="AF828">
        <v>0</v>
      </c>
      <c r="AG828">
        <v>45</v>
      </c>
      <c r="AH828">
        <v>27</v>
      </c>
      <c r="AI828" s="2">
        <f>Table__192.168.3.138BEWLPPMetaData[[#This Row],[NetAmount]]-Table__192.168.3.138BEWLPPMetaData[[#This Row],[Paid]]</f>
        <v>52780</v>
      </c>
    </row>
    <row r="829" spans="1:35" hidden="1">
      <c r="A829" t="s">
        <v>10080</v>
      </c>
      <c r="B829" s="1">
        <v>41293</v>
      </c>
      <c r="C829" s="1">
        <v>41338</v>
      </c>
      <c r="D829" t="s">
        <v>8869</v>
      </c>
      <c r="E829">
        <v>30930</v>
      </c>
      <c r="F829">
        <v>4948</v>
      </c>
      <c r="G829">
        <v>0</v>
      </c>
      <c r="H829">
        <v>0</v>
      </c>
      <c r="I829">
        <v>-23</v>
      </c>
      <c r="J829">
        <v>35878</v>
      </c>
      <c r="K829" t="s">
        <v>10081</v>
      </c>
      <c r="L829" s="1">
        <v>41291</v>
      </c>
      <c r="N829" t="s">
        <v>5127</v>
      </c>
      <c r="O829" t="s">
        <v>2458</v>
      </c>
      <c r="P829" t="s">
        <v>8870</v>
      </c>
      <c r="Q829" t="s">
        <v>5285</v>
      </c>
      <c r="R829" t="s">
        <v>5286</v>
      </c>
      <c r="S829">
        <v>0</v>
      </c>
      <c r="U829" t="s">
        <v>41</v>
      </c>
      <c r="V829" t="s">
        <v>42</v>
      </c>
      <c r="X829" t="s">
        <v>74</v>
      </c>
      <c r="Y829" t="b">
        <v>0</v>
      </c>
      <c r="Z829" t="b">
        <v>0</v>
      </c>
      <c r="AC829" s="1"/>
      <c r="AF829">
        <v>0</v>
      </c>
      <c r="AG829">
        <v>45</v>
      </c>
      <c r="AH829">
        <v>22</v>
      </c>
      <c r="AI829" s="2">
        <f>Table__192.168.3.138BEWLPPMetaData[[#This Row],[NetAmount]]-Table__192.168.3.138BEWLPPMetaData[[#This Row],[Paid]]</f>
        <v>35878</v>
      </c>
    </row>
    <row r="830" spans="1:35" hidden="1">
      <c r="A830" t="s">
        <v>10082</v>
      </c>
      <c r="B830" s="1">
        <v>41279</v>
      </c>
      <c r="C830" s="1">
        <v>41324</v>
      </c>
      <c r="D830" t="s">
        <v>8577</v>
      </c>
      <c r="E830">
        <v>1058</v>
      </c>
      <c r="F830">
        <v>0</v>
      </c>
      <c r="G830">
        <v>0</v>
      </c>
      <c r="H830">
        <v>0</v>
      </c>
      <c r="I830">
        <v>-10</v>
      </c>
      <c r="J830">
        <v>1058</v>
      </c>
      <c r="K830" t="s">
        <v>4540</v>
      </c>
      <c r="L830" s="1">
        <v>41278</v>
      </c>
      <c r="N830" t="s">
        <v>5127</v>
      </c>
      <c r="O830" t="s">
        <v>2458</v>
      </c>
      <c r="P830" t="s">
        <v>8579</v>
      </c>
      <c r="Q830" t="s">
        <v>5285</v>
      </c>
      <c r="R830" t="s">
        <v>5286</v>
      </c>
      <c r="S830">
        <v>0</v>
      </c>
      <c r="U830" t="s">
        <v>41</v>
      </c>
      <c r="V830" t="s">
        <v>42</v>
      </c>
      <c r="X830" t="s">
        <v>74</v>
      </c>
      <c r="Y830" t="b">
        <v>0</v>
      </c>
      <c r="Z830" t="b">
        <v>0</v>
      </c>
      <c r="AC830" s="1"/>
      <c r="AF830">
        <v>0</v>
      </c>
      <c r="AG830">
        <v>45</v>
      </c>
      <c r="AH830">
        <v>35</v>
      </c>
      <c r="AI830" s="2">
        <f>Table__192.168.3.138BEWLPPMetaData[[#This Row],[NetAmount]]-Table__192.168.3.138BEWLPPMetaData[[#This Row],[Paid]]</f>
        <v>1058</v>
      </c>
    </row>
    <row r="831" spans="1:35" hidden="1">
      <c r="A831" t="s">
        <v>10083</v>
      </c>
      <c r="B831" s="1">
        <v>41288</v>
      </c>
      <c r="C831" s="1">
        <v>41333</v>
      </c>
      <c r="D831" t="s">
        <v>8577</v>
      </c>
      <c r="E831">
        <v>9400</v>
      </c>
      <c r="F831">
        <v>0</v>
      </c>
      <c r="G831">
        <v>0</v>
      </c>
      <c r="H831">
        <v>0</v>
      </c>
      <c r="I831">
        <v>-18</v>
      </c>
      <c r="J831">
        <v>9400</v>
      </c>
      <c r="K831" t="s">
        <v>4170</v>
      </c>
      <c r="L831" s="1">
        <v>41286</v>
      </c>
      <c r="N831" t="s">
        <v>5127</v>
      </c>
      <c r="O831" t="s">
        <v>2458</v>
      </c>
      <c r="P831" t="s">
        <v>8579</v>
      </c>
      <c r="Q831" t="s">
        <v>5285</v>
      </c>
      <c r="R831" t="s">
        <v>5286</v>
      </c>
      <c r="S831">
        <v>0</v>
      </c>
      <c r="U831" t="s">
        <v>41</v>
      </c>
      <c r="V831" t="s">
        <v>42</v>
      </c>
      <c r="X831" t="s">
        <v>74</v>
      </c>
      <c r="Y831" t="b">
        <v>0</v>
      </c>
      <c r="Z831" t="b">
        <v>0</v>
      </c>
      <c r="AC831" s="1"/>
      <c r="AF831">
        <v>0</v>
      </c>
      <c r="AG831">
        <v>45</v>
      </c>
      <c r="AH831">
        <v>27</v>
      </c>
      <c r="AI831" s="2">
        <f>Table__192.168.3.138BEWLPPMetaData[[#This Row],[NetAmount]]-Table__192.168.3.138BEWLPPMetaData[[#This Row],[Paid]]</f>
        <v>9400</v>
      </c>
    </row>
    <row r="832" spans="1:35" hidden="1">
      <c r="A832" t="s">
        <v>10084</v>
      </c>
      <c r="B832" s="1">
        <v>41288</v>
      </c>
      <c r="C832" s="1">
        <v>41333</v>
      </c>
      <c r="D832" t="s">
        <v>8577</v>
      </c>
      <c r="E832">
        <v>9075</v>
      </c>
      <c r="F832">
        <v>0</v>
      </c>
      <c r="G832">
        <v>0</v>
      </c>
      <c r="H832">
        <v>0</v>
      </c>
      <c r="I832">
        <v>-17</v>
      </c>
      <c r="J832">
        <v>9075</v>
      </c>
      <c r="K832" t="s">
        <v>4542</v>
      </c>
      <c r="L832" s="1">
        <v>41285</v>
      </c>
      <c r="N832" t="s">
        <v>5127</v>
      </c>
      <c r="O832" t="s">
        <v>2458</v>
      </c>
      <c r="P832" t="s">
        <v>8579</v>
      </c>
      <c r="Q832" t="s">
        <v>5285</v>
      </c>
      <c r="R832" t="s">
        <v>5286</v>
      </c>
      <c r="S832">
        <v>0</v>
      </c>
      <c r="U832" t="s">
        <v>41</v>
      </c>
      <c r="V832" t="s">
        <v>42</v>
      </c>
      <c r="X832" t="s">
        <v>74</v>
      </c>
      <c r="Y832" t="b">
        <v>0</v>
      </c>
      <c r="Z832" t="b">
        <v>0</v>
      </c>
      <c r="AC832" s="1"/>
      <c r="AF832">
        <v>0</v>
      </c>
      <c r="AG832">
        <v>45</v>
      </c>
      <c r="AH832">
        <v>28</v>
      </c>
      <c r="AI832" s="2">
        <f>Table__192.168.3.138BEWLPPMetaData[[#This Row],[NetAmount]]-Table__192.168.3.138BEWLPPMetaData[[#This Row],[Paid]]</f>
        <v>9075</v>
      </c>
    </row>
    <row r="833" spans="1:35" hidden="1">
      <c r="A833" t="s">
        <v>10085</v>
      </c>
      <c r="B833" s="1">
        <v>41290</v>
      </c>
      <c r="C833" s="1">
        <v>41335</v>
      </c>
      <c r="D833" t="s">
        <v>8577</v>
      </c>
      <c r="E833">
        <v>7050</v>
      </c>
      <c r="F833">
        <v>0</v>
      </c>
      <c r="G833">
        <v>0</v>
      </c>
      <c r="H833">
        <v>0</v>
      </c>
      <c r="I833">
        <v>-21</v>
      </c>
      <c r="J833">
        <v>7050</v>
      </c>
      <c r="K833" t="s">
        <v>4546</v>
      </c>
      <c r="L833" s="1">
        <v>41289</v>
      </c>
      <c r="N833" t="s">
        <v>5127</v>
      </c>
      <c r="O833" t="s">
        <v>2458</v>
      </c>
      <c r="P833" t="s">
        <v>8579</v>
      </c>
      <c r="Q833" t="s">
        <v>5285</v>
      </c>
      <c r="R833" t="s">
        <v>5286</v>
      </c>
      <c r="S833">
        <v>0</v>
      </c>
      <c r="U833" t="s">
        <v>41</v>
      </c>
      <c r="V833" t="s">
        <v>42</v>
      </c>
      <c r="X833" t="s">
        <v>74</v>
      </c>
      <c r="Y833" t="b">
        <v>0</v>
      </c>
      <c r="Z833" t="b">
        <v>0</v>
      </c>
      <c r="AC833" s="1"/>
      <c r="AF833">
        <v>0</v>
      </c>
      <c r="AG833">
        <v>45</v>
      </c>
      <c r="AH833">
        <v>24</v>
      </c>
      <c r="AI833" s="2">
        <f>Table__192.168.3.138BEWLPPMetaData[[#This Row],[NetAmount]]-Table__192.168.3.138BEWLPPMetaData[[#This Row],[Paid]]</f>
        <v>7050</v>
      </c>
    </row>
    <row r="834" spans="1:35" hidden="1">
      <c r="A834" t="s">
        <v>10086</v>
      </c>
      <c r="B834" s="1">
        <v>41293</v>
      </c>
      <c r="C834" s="1">
        <v>41338</v>
      </c>
      <c r="D834" t="s">
        <v>8577</v>
      </c>
      <c r="E834">
        <v>22500</v>
      </c>
      <c r="F834">
        <v>0</v>
      </c>
      <c r="G834">
        <v>0</v>
      </c>
      <c r="H834">
        <v>0</v>
      </c>
      <c r="I834">
        <v>-25</v>
      </c>
      <c r="J834">
        <v>22500</v>
      </c>
      <c r="K834" t="s">
        <v>4266</v>
      </c>
      <c r="L834" s="1">
        <v>41293</v>
      </c>
      <c r="N834" t="s">
        <v>5127</v>
      </c>
      <c r="O834" t="s">
        <v>2458</v>
      </c>
      <c r="P834" t="s">
        <v>8579</v>
      </c>
      <c r="Q834" t="s">
        <v>5285</v>
      </c>
      <c r="R834" t="s">
        <v>5286</v>
      </c>
      <c r="S834">
        <v>0</v>
      </c>
      <c r="U834" t="s">
        <v>41</v>
      </c>
      <c r="V834" t="s">
        <v>42</v>
      </c>
      <c r="X834" t="s">
        <v>74</v>
      </c>
      <c r="Y834" t="b">
        <v>0</v>
      </c>
      <c r="Z834" t="b">
        <v>0</v>
      </c>
      <c r="AC834" s="1"/>
      <c r="AF834">
        <v>0</v>
      </c>
      <c r="AG834">
        <v>45</v>
      </c>
      <c r="AH834">
        <v>20</v>
      </c>
      <c r="AI834" s="2">
        <f>Table__192.168.3.138BEWLPPMetaData[[#This Row],[NetAmount]]-Table__192.168.3.138BEWLPPMetaData[[#This Row],[Paid]]</f>
        <v>22500</v>
      </c>
    </row>
    <row r="835" spans="1:35" hidden="1">
      <c r="A835" t="s">
        <v>10087</v>
      </c>
      <c r="B835" s="1">
        <v>41282</v>
      </c>
      <c r="C835" s="1">
        <v>41327</v>
      </c>
      <c r="D835" t="s">
        <v>9880</v>
      </c>
      <c r="E835">
        <v>77900</v>
      </c>
      <c r="F835">
        <v>12464</v>
      </c>
      <c r="G835">
        <v>0</v>
      </c>
      <c r="H835">
        <v>0</v>
      </c>
      <c r="I835">
        <v>-11</v>
      </c>
      <c r="J835">
        <v>90364</v>
      </c>
      <c r="K835" t="s">
        <v>10088</v>
      </c>
      <c r="L835" s="1">
        <v>41279</v>
      </c>
      <c r="N835" t="s">
        <v>5127</v>
      </c>
      <c r="O835" t="s">
        <v>2458</v>
      </c>
      <c r="P835" t="s">
        <v>9882</v>
      </c>
      <c r="Q835" t="s">
        <v>5285</v>
      </c>
      <c r="R835" t="s">
        <v>5286</v>
      </c>
      <c r="S835">
        <v>0</v>
      </c>
      <c r="U835" t="s">
        <v>41</v>
      </c>
      <c r="V835" t="s">
        <v>42</v>
      </c>
      <c r="X835" t="s">
        <v>74</v>
      </c>
      <c r="Y835" t="b">
        <v>0</v>
      </c>
      <c r="Z835" t="b">
        <v>0</v>
      </c>
      <c r="AC835" s="1"/>
      <c r="AF835">
        <v>0</v>
      </c>
      <c r="AG835">
        <v>45</v>
      </c>
      <c r="AH835">
        <v>34</v>
      </c>
      <c r="AI835" s="2">
        <f>Table__192.168.3.138BEWLPPMetaData[[#This Row],[NetAmount]]-Table__192.168.3.138BEWLPPMetaData[[#This Row],[Paid]]</f>
        <v>90364</v>
      </c>
    </row>
    <row r="836" spans="1:35" hidden="1">
      <c r="A836" t="s">
        <v>10089</v>
      </c>
      <c r="B836" s="1">
        <v>41296</v>
      </c>
      <c r="C836" s="1">
        <v>41341</v>
      </c>
      <c r="D836" t="s">
        <v>8577</v>
      </c>
      <c r="E836">
        <v>9525</v>
      </c>
      <c r="F836">
        <v>0</v>
      </c>
      <c r="G836">
        <v>0</v>
      </c>
      <c r="H836">
        <v>0</v>
      </c>
      <c r="I836">
        <v>-23</v>
      </c>
      <c r="J836">
        <v>9525</v>
      </c>
      <c r="K836" t="s">
        <v>1153</v>
      </c>
      <c r="L836" s="1">
        <v>41291</v>
      </c>
      <c r="N836" t="s">
        <v>5127</v>
      </c>
      <c r="O836" t="s">
        <v>2458</v>
      </c>
      <c r="P836" t="s">
        <v>8579</v>
      </c>
      <c r="Q836" t="s">
        <v>5285</v>
      </c>
      <c r="R836" t="s">
        <v>5286</v>
      </c>
      <c r="S836">
        <v>0</v>
      </c>
      <c r="U836" t="s">
        <v>41</v>
      </c>
      <c r="V836" t="s">
        <v>42</v>
      </c>
      <c r="X836" t="s">
        <v>74</v>
      </c>
      <c r="Y836" t="b">
        <v>0</v>
      </c>
      <c r="Z836" t="b">
        <v>0</v>
      </c>
      <c r="AC836" s="1"/>
      <c r="AF836">
        <v>0</v>
      </c>
      <c r="AG836">
        <v>45</v>
      </c>
      <c r="AH836">
        <v>22</v>
      </c>
      <c r="AI836" s="2">
        <f>Table__192.168.3.138BEWLPPMetaData[[#This Row],[NetAmount]]-Table__192.168.3.138BEWLPPMetaData[[#This Row],[Paid]]</f>
        <v>9525</v>
      </c>
    </row>
    <row r="837" spans="1:35" hidden="1">
      <c r="A837" t="s">
        <v>10090</v>
      </c>
      <c r="B837" s="1">
        <v>41281</v>
      </c>
      <c r="C837" s="1">
        <v>41326</v>
      </c>
      <c r="D837" t="s">
        <v>8530</v>
      </c>
      <c r="E837">
        <v>545883</v>
      </c>
      <c r="F837">
        <v>87342</v>
      </c>
      <c r="G837">
        <v>0</v>
      </c>
      <c r="H837">
        <v>0</v>
      </c>
      <c r="I837">
        <v>-8</v>
      </c>
      <c r="J837">
        <v>633225</v>
      </c>
      <c r="K837" t="s">
        <v>10091</v>
      </c>
      <c r="L837" s="1">
        <v>41276</v>
      </c>
      <c r="N837" t="s">
        <v>5127</v>
      </c>
      <c r="O837" t="s">
        <v>2458</v>
      </c>
      <c r="P837" t="s">
        <v>357</v>
      </c>
      <c r="Q837" t="s">
        <v>5285</v>
      </c>
      <c r="R837" t="s">
        <v>5286</v>
      </c>
      <c r="S837">
        <v>0</v>
      </c>
      <c r="U837" t="s">
        <v>41</v>
      </c>
      <c r="V837" t="s">
        <v>42</v>
      </c>
      <c r="X837" t="s">
        <v>74</v>
      </c>
      <c r="Y837" t="b">
        <v>0</v>
      </c>
      <c r="Z837" t="b">
        <v>0</v>
      </c>
      <c r="AC837" s="1"/>
      <c r="AF837">
        <v>0</v>
      </c>
      <c r="AG837">
        <v>45</v>
      </c>
      <c r="AH837">
        <v>37</v>
      </c>
      <c r="AI837" s="2">
        <f>Table__192.168.3.138BEWLPPMetaData[[#This Row],[NetAmount]]-Table__192.168.3.138BEWLPPMetaData[[#This Row],[Paid]]</f>
        <v>633225</v>
      </c>
    </row>
    <row r="838" spans="1:35" hidden="1">
      <c r="A838" t="s">
        <v>10092</v>
      </c>
      <c r="B838" s="1">
        <v>41297</v>
      </c>
      <c r="C838" s="1">
        <v>41342</v>
      </c>
      <c r="D838" t="s">
        <v>10052</v>
      </c>
      <c r="E838">
        <v>535500</v>
      </c>
      <c r="F838">
        <v>85680</v>
      </c>
      <c r="G838">
        <v>0</v>
      </c>
      <c r="H838">
        <v>0</v>
      </c>
      <c r="I838">
        <v>-13</v>
      </c>
      <c r="J838">
        <v>621180</v>
      </c>
      <c r="K838" t="s">
        <v>10093</v>
      </c>
      <c r="L838" s="1">
        <v>41281</v>
      </c>
      <c r="N838" t="s">
        <v>5127</v>
      </c>
      <c r="O838" t="s">
        <v>2458</v>
      </c>
      <c r="P838" t="s">
        <v>10054</v>
      </c>
      <c r="Q838" t="s">
        <v>5285</v>
      </c>
      <c r="R838" t="s">
        <v>5286</v>
      </c>
      <c r="S838">
        <v>0</v>
      </c>
      <c r="U838" t="s">
        <v>41</v>
      </c>
      <c r="V838" t="s">
        <v>42</v>
      </c>
      <c r="X838" t="s">
        <v>74</v>
      </c>
      <c r="Y838" t="b">
        <v>0</v>
      </c>
      <c r="Z838" t="b">
        <v>0</v>
      </c>
      <c r="AC838" s="1"/>
      <c r="AF838">
        <v>0</v>
      </c>
      <c r="AG838">
        <v>45</v>
      </c>
      <c r="AH838">
        <v>32</v>
      </c>
      <c r="AI838" s="2">
        <f>Table__192.168.3.138BEWLPPMetaData[[#This Row],[NetAmount]]-Table__192.168.3.138BEWLPPMetaData[[#This Row],[Paid]]</f>
        <v>621180</v>
      </c>
    </row>
    <row r="839" spans="1:35" hidden="1">
      <c r="A839" t="s">
        <v>10094</v>
      </c>
      <c r="B839" s="1">
        <v>41293</v>
      </c>
      <c r="C839" s="1">
        <v>41338</v>
      </c>
      <c r="D839" t="s">
        <v>8530</v>
      </c>
      <c r="E839">
        <v>294468</v>
      </c>
      <c r="F839">
        <v>47115</v>
      </c>
      <c r="G839">
        <v>0</v>
      </c>
      <c r="H839">
        <v>0</v>
      </c>
      <c r="I839">
        <v>-25</v>
      </c>
      <c r="J839">
        <v>341583</v>
      </c>
      <c r="K839" t="s">
        <v>10095</v>
      </c>
      <c r="L839" s="1">
        <v>41293</v>
      </c>
      <c r="N839" t="s">
        <v>5127</v>
      </c>
      <c r="O839" t="s">
        <v>2458</v>
      </c>
      <c r="P839" t="s">
        <v>357</v>
      </c>
      <c r="Q839" t="s">
        <v>5285</v>
      </c>
      <c r="R839" t="s">
        <v>5286</v>
      </c>
      <c r="S839">
        <v>0</v>
      </c>
      <c r="U839" t="s">
        <v>41</v>
      </c>
      <c r="V839" t="s">
        <v>42</v>
      </c>
      <c r="X839" t="s">
        <v>74</v>
      </c>
      <c r="Y839" t="b">
        <v>0</v>
      </c>
      <c r="Z839" t="b">
        <v>0</v>
      </c>
      <c r="AC839" s="1"/>
      <c r="AF839">
        <v>0</v>
      </c>
      <c r="AG839">
        <v>45</v>
      </c>
      <c r="AH839">
        <v>20</v>
      </c>
      <c r="AI839" s="2">
        <f>Table__192.168.3.138BEWLPPMetaData[[#This Row],[NetAmount]]-Table__192.168.3.138BEWLPPMetaData[[#This Row],[Paid]]</f>
        <v>341583</v>
      </c>
    </row>
    <row r="840" spans="1:35" hidden="1">
      <c r="A840" t="s">
        <v>10096</v>
      </c>
      <c r="B840" s="1">
        <v>41290</v>
      </c>
      <c r="C840" s="1">
        <v>41335</v>
      </c>
      <c r="D840" t="s">
        <v>8538</v>
      </c>
      <c r="E840">
        <v>16900</v>
      </c>
      <c r="F840">
        <v>2704</v>
      </c>
      <c r="G840">
        <v>0</v>
      </c>
      <c r="H840">
        <v>0</v>
      </c>
      <c r="I840">
        <v>-22</v>
      </c>
      <c r="J840">
        <v>19604</v>
      </c>
      <c r="K840" t="s">
        <v>10097</v>
      </c>
      <c r="L840" s="1">
        <v>41290</v>
      </c>
      <c r="N840" t="s">
        <v>5127</v>
      </c>
      <c r="O840" t="s">
        <v>2458</v>
      </c>
      <c r="P840" t="s">
        <v>310</v>
      </c>
      <c r="Q840" t="s">
        <v>5285</v>
      </c>
      <c r="R840" t="s">
        <v>5286</v>
      </c>
      <c r="S840">
        <v>0</v>
      </c>
      <c r="U840" t="s">
        <v>41</v>
      </c>
      <c r="V840" t="s">
        <v>42</v>
      </c>
      <c r="X840" t="s">
        <v>74</v>
      </c>
      <c r="Y840" t="b">
        <v>0</v>
      </c>
      <c r="Z840" t="b">
        <v>0</v>
      </c>
      <c r="AC840" s="1"/>
      <c r="AF840">
        <v>0</v>
      </c>
      <c r="AG840">
        <v>45</v>
      </c>
      <c r="AH840">
        <v>23</v>
      </c>
      <c r="AI840" s="2">
        <f>Table__192.168.3.138BEWLPPMetaData[[#This Row],[NetAmount]]-Table__192.168.3.138BEWLPPMetaData[[#This Row],[Paid]]</f>
        <v>19604</v>
      </c>
    </row>
    <row r="841" spans="1:35" hidden="1">
      <c r="A841" t="s">
        <v>10098</v>
      </c>
      <c r="B841" s="1">
        <v>41296</v>
      </c>
      <c r="C841" s="1">
        <v>41341</v>
      </c>
      <c r="D841" t="s">
        <v>8538</v>
      </c>
      <c r="E841">
        <v>17950</v>
      </c>
      <c r="F841">
        <v>2872</v>
      </c>
      <c r="G841">
        <v>0</v>
      </c>
      <c r="H841">
        <v>0</v>
      </c>
      <c r="I841">
        <v>-23</v>
      </c>
      <c r="J841">
        <v>20822</v>
      </c>
      <c r="K841" t="s">
        <v>10099</v>
      </c>
      <c r="L841" s="1">
        <v>41291</v>
      </c>
      <c r="N841" t="s">
        <v>5127</v>
      </c>
      <c r="O841" t="s">
        <v>2458</v>
      </c>
      <c r="P841" t="s">
        <v>310</v>
      </c>
      <c r="Q841" t="s">
        <v>5285</v>
      </c>
      <c r="R841" t="s">
        <v>5286</v>
      </c>
      <c r="S841">
        <v>0</v>
      </c>
      <c r="U841" t="s">
        <v>41</v>
      </c>
      <c r="V841" t="s">
        <v>42</v>
      </c>
      <c r="X841" t="s">
        <v>74</v>
      </c>
      <c r="Y841" t="b">
        <v>0</v>
      </c>
      <c r="Z841" t="b">
        <v>0</v>
      </c>
      <c r="AC841" s="1"/>
      <c r="AF841">
        <v>0</v>
      </c>
      <c r="AG841">
        <v>45</v>
      </c>
      <c r="AH841">
        <v>22</v>
      </c>
      <c r="AI841" s="2">
        <f>Table__192.168.3.138BEWLPPMetaData[[#This Row],[NetAmount]]-Table__192.168.3.138BEWLPPMetaData[[#This Row],[Paid]]</f>
        <v>20822</v>
      </c>
    </row>
    <row r="842" spans="1:35" hidden="1">
      <c r="A842" t="s">
        <v>10100</v>
      </c>
      <c r="B842" s="1">
        <v>41297</v>
      </c>
      <c r="C842" s="1">
        <v>41342</v>
      </c>
      <c r="D842" t="s">
        <v>8538</v>
      </c>
      <c r="E842">
        <v>23660</v>
      </c>
      <c r="F842">
        <v>3786</v>
      </c>
      <c r="G842">
        <v>0</v>
      </c>
      <c r="H842">
        <v>0</v>
      </c>
      <c r="I842">
        <v>-29</v>
      </c>
      <c r="J842">
        <v>27446</v>
      </c>
      <c r="K842" t="s">
        <v>10101</v>
      </c>
      <c r="L842" s="1">
        <v>41297</v>
      </c>
      <c r="N842" t="s">
        <v>5127</v>
      </c>
      <c r="O842" t="s">
        <v>2458</v>
      </c>
      <c r="P842" t="s">
        <v>310</v>
      </c>
      <c r="Q842" t="s">
        <v>5285</v>
      </c>
      <c r="R842" t="s">
        <v>5286</v>
      </c>
      <c r="S842">
        <v>0</v>
      </c>
      <c r="U842" t="s">
        <v>41</v>
      </c>
      <c r="V842" t="s">
        <v>42</v>
      </c>
      <c r="X842" t="s">
        <v>74</v>
      </c>
      <c r="Y842" t="b">
        <v>0</v>
      </c>
      <c r="Z842" t="b">
        <v>0</v>
      </c>
      <c r="AC842" s="1"/>
      <c r="AF842">
        <v>0</v>
      </c>
      <c r="AG842">
        <v>45</v>
      </c>
      <c r="AH842">
        <v>16</v>
      </c>
      <c r="AI842" s="2">
        <f>Table__192.168.3.138BEWLPPMetaData[[#This Row],[NetAmount]]-Table__192.168.3.138BEWLPPMetaData[[#This Row],[Paid]]</f>
        <v>27446</v>
      </c>
    </row>
    <row r="843" spans="1:35" hidden="1">
      <c r="A843" t="s">
        <v>10102</v>
      </c>
      <c r="B843" s="1">
        <v>41279</v>
      </c>
      <c r="C843" s="1">
        <v>41324</v>
      </c>
      <c r="D843" t="s">
        <v>8527</v>
      </c>
      <c r="E843">
        <v>17000</v>
      </c>
      <c r="F843">
        <v>2720</v>
      </c>
      <c r="G843">
        <v>0</v>
      </c>
      <c r="H843">
        <v>0</v>
      </c>
      <c r="I843">
        <v>-11</v>
      </c>
      <c r="J843">
        <v>19720</v>
      </c>
      <c r="K843" t="s">
        <v>4500</v>
      </c>
      <c r="L843" s="1">
        <v>41279</v>
      </c>
      <c r="N843" t="s">
        <v>5127</v>
      </c>
      <c r="O843" t="s">
        <v>2458</v>
      </c>
      <c r="P843" t="s">
        <v>8528</v>
      </c>
      <c r="Q843" t="s">
        <v>5285</v>
      </c>
      <c r="R843" t="s">
        <v>5286</v>
      </c>
      <c r="S843">
        <v>0</v>
      </c>
      <c r="U843" t="s">
        <v>41</v>
      </c>
      <c r="V843" t="s">
        <v>42</v>
      </c>
      <c r="X843" t="s">
        <v>74</v>
      </c>
      <c r="Y843" t="b">
        <v>0</v>
      </c>
      <c r="Z843" t="b">
        <v>0</v>
      </c>
      <c r="AC843" s="1"/>
      <c r="AF843">
        <v>0</v>
      </c>
      <c r="AG843">
        <v>45</v>
      </c>
      <c r="AH843">
        <v>34</v>
      </c>
      <c r="AI843" s="2">
        <f>Table__192.168.3.138BEWLPPMetaData[[#This Row],[NetAmount]]-Table__192.168.3.138BEWLPPMetaData[[#This Row],[Paid]]</f>
        <v>19720</v>
      </c>
    </row>
    <row r="844" spans="1:35" hidden="1">
      <c r="A844" t="s">
        <v>10103</v>
      </c>
      <c r="B844" s="1">
        <v>41304</v>
      </c>
      <c r="C844" s="1">
        <v>41349</v>
      </c>
      <c r="D844" t="s">
        <v>8538</v>
      </c>
      <c r="E844">
        <v>4225</v>
      </c>
      <c r="F844">
        <v>676</v>
      </c>
      <c r="G844">
        <v>0</v>
      </c>
      <c r="H844">
        <v>0</v>
      </c>
      <c r="I844">
        <v>-34</v>
      </c>
      <c r="J844">
        <v>4901</v>
      </c>
      <c r="K844" t="s">
        <v>8258</v>
      </c>
      <c r="L844" s="1">
        <v>41302</v>
      </c>
      <c r="N844" t="s">
        <v>5127</v>
      </c>
      <c r="O844" t="s">
        <v>2458</v>
      </c>
      <c r="P844" t="s">
        <v>310</v>
      </c>
      <c r="Q844" t="s">
        <v>5285</v>
      </c>
      <c r="R844" t="s">
        <v>5286</v>
      </c>
      <c r="S844">
        <v>0</v>
      </c>
      <c r="U844" t="s">
        <v>41</v>
      </c>
      <c r="V844" t="s">
        <v>42</v>
      </c>
      <c r="X844" t="s">
        <v>74</v>
      </c>
      <c r="Y844" t="b">
        <v>0</v>
      </c>
      <c r="Z844" t="b">
        <v>0</v>
      </c>
      <c r="AC844" s="1"/>
      <c r="AF844">
        <v>0</v>
      </c>
      <c r="AG844">
        <v>45</v>
      </c>
      <c r="AH844">
        <v>11</v>
      </c>
      <c r="AI844" s="2">
        <f>Table__192.168.3.138BEWLPPMetaData[[#This Row],[NetAmount]]-Table__192.168.3.138BEWLPPMetaData[[#This Row],[Paid]]</f>
        <v>4901</v>
      </c>
    </row>
    <row r="845" spans="1:35" hidden="1">
      <c r="A845" t="s">
        <v>10104</v>
      </c>
      <c r="B845" s="1">
        <v>41304</v>
      </c>
      <c r="C845" s="1">
        <v>41349</v>
      </c>
      <c r="D845" t="s">
        <v>8577</v>
      </c>
      <c r="E845">
        <v>15920</v>
      </c>
      <c r="F845">
        <v>0</v>
      </c>
      <c r="G845">
        <v>0</v>
      </c>
      <c r="H845">
        <v>0</v>
      </c>
      <c r="I845">
        <v>-34</v>
      </c>
      <c r="J845">
        <v>15920</v>
      </c>
      <c r="K845" t="s">
        <v>10105</v>
      </c>
      <c r="L845" s="1">
        <v>41302</v>
      </c>
      <c r="N845" t="s">
        <v>5127</v>
      </c>
      <c r="O845" t="s">
        <v>2458</v>
      </c>
      <c r="P845" t="s">
        <v>8579</v>
      </c>
      <c r="Q845" t="s">
        <v>5285</v>
      </c>
      <c r="R845" t="s">
        <v>5286</v>
      </c>
      <c r="S845">
        <v>0</v>
      </c>
      <c r="U845" t="s">
        <v>41</v>
      </c>
      <c r="V845" t="s">
        <v>42</v>
      </c>
      <c r="X845" t="s">
        <v>74</v>
      </c>
      <c r="Y845" t="b">
        <v>0</v>
      </c>
      <c r="Z845" t="b">
        <v>0</v>
      </c>
      <c r="AC845" s="1"/>
      <c r="AF845">
        <v>0</v>
      </c>
      <c r="AG845">
        <v>45</v>
      </c>
      <c r="AH845">
        <v>11</v>
      </c>
      <c r="AI845" s="2">
        <f>Table__192.168.3.138BEWLPPMetaData[[#This Row],[NetAmount]]-Table__192.168.3.138BEWLPPMetaData[[#This Row],[Paid]]</f>
        <v>15920</v>
      </c>
    </row>
    <row r="846" spans="1:35" hidden="1">
      <c r="A846" t="s">
        <v>10106</v>
      </c>
      <c r="B846" s="1">
        <v>41296</v>
      </c>
      <c r="C846" s="1">
        <v>41341</v>
      </c>
      <c r="D846" t="s">
        <v>8577</v>
      </c>
      <c r="E846">
        <v>7580</v>
      </c>
      <c r="F846">
        <v>0</v>
      </c>
      <c r="G846">
        <v>0</v>
      </c>
      <c r="H846">
        <v>0</v>
      </c>
      <c r="I846">
        <v>-27</v>
      </c>
      <c r="J846">
        <v>7580</v>
      </c>
      <c r="K846" t="s">
        <v>4763</v>
      </c>
      <c r="L846" s="1">
        <v>41295</v>
      </c>
      <c r="N846" t="s">
        <v>5127</v>
      </c>
      <c r="O846" t="s">
        <v>2458</v>
      </c>
      <c r="P846" t="s">
        <v>8579</v>
      </c>
      <c r="Q846" t="s">
        <v>5285</v>
      </c>
      <c r="R846" t="s">
        <v>5286</v>
      </c>
      <c r="S846">
        <v>0</v>
      </c>
      <c r="U846" t="s">
        <v>41</v>
      </c>
      <c r="V846" t="s">
        <v>42</v>
      </c>
      <c r="X846" t="s">
        <v>74</v>
      </c>
      <c r="Y846" t="b">
        <v>0</v>
      </c>
      <c r="Z846" t="b">
        <v>0</v>
      </c>
      <c r="AC846" s="1"/>
      <c r="AF846">
        <v>0</v>
      </c>
      <c r="AG846">
        <v>45</v>
      </c>
      <c r="AH846">
        <v>18</v>
      </c>
      <c r="AI846" s="2">
        <f>Table__192.168.3.138BEWLPPMetaData[[#This Row],[NetAmount]]-Table__192.168.3.138BEWLPPMetaData[[#This Row],[Paid]]</f>
        <v>7580</v>
      </c>
    </row>
    <row r="847" spans="1:35" hidden="1">
      <c r="A847" t="s">
        <v>10107</v>
      </c>
      <c r="B847" s="1">
        <v>41305</v>
      </c>
      <c r="C847" s="1">
        <v>41305</v>
      </c>
      <c r="D847" t="s">
        <v>9601</v>
      </c>
      <c r="E847">
        <v>14550</v>
      </c>
      <c r="F847">
        <v>0</v>
      </c>
      <c r="G847">
        <v>0</v>
      </c>
      <c r="H847">
        <v>0</v>
      </c>
      <c r="I847">
        <v>0</v>
      </c>
      <c r="J847">
        <v>14400</v>
      </c>
      <c r="K847" t="s">
        <v>5573</v>
      </c>
      <c r="L847" s="1">
        <v>41272</v>
      </c>
      <c r="M847" t="s">
        <v>10108</v>
      </c>
      <c r="N847" t="s">
        <v>5127</v>
      </c>
      <c r="O847" t="s">
        <v>2458</v>
      </c>
      <c r="P847" t="s">
        <v>9603</v>
      </c>
      <c r="Q847" t="s">
        <v>39</v>
      </c>
      <c r="R847" t="s">
        <v>40</v>
      </c>
      <c r="S847">
        <v>0</v>
      </c>
      <c r="U847" t="s">
        <v>41</v>
      </c>
      <c r="V847" t="s">
        <v>42</v>
      </c>
      <c r="W847" t="s">
        <v>9604</v>
      </c>
      <c r="X847" t="s">
        <v>74</v>
      </c>
      <c r="Y847" t="b">
        <v>0</v>
      </c>
      <c r="Z847" t="b">
        <v>0</v>
      </c>
      <c r="AA847" t="b">
        <v>0</v>
      </c>
      <c r="AC847" s="1"/>
      <c r="AF847">
        <v>0</v>
      </c>
      <c r="AH847">
        <v>41</v>
      </c>
      <c r="AI847" s="2">
        <f>Table__192.168.3.138BEWLPPMetaData[[#This Row],[NetAmount]]-Table__192.168.3.138BEWLPPMetaData[[#This Row],[Paid]]</f>
        <v>14400</v>
      </c>
    </row>
    <row r="848" spans="1:35" hidden="1">
      <c r="A848" t="s">
        <v>10109</v>
      </c>
      <c r="B848" s="1">
        <v>41305</v>
      </c>
      <c r="C848" s="1">
        <v>41305</v>
      </c>
      <c r="D848" t="s">
        <v>10056</v>
      </c>
      <c r="E848">
        <v>49800</v>
      </c>
      <c r="F848">
        <v>7968</v>
      </c>
      <c r="G848">
        <v>0</v>
      </c>
      <c r="H848">
        <v>0</v>
      </c>
      <c r="I848">
        <v>0</v>
      </c>
      <c r="J848">
        <v>57768</v>
      </c>
      <c r="K848" t="s">
        <v>42</v>
      </c>
      <c r="L848" s="1">
        <v>41298</v>
      </c>
      <c r="N848" t="s">
        <v>5127</v>
      </c>
      <c r="O848" t="s">
        <v>2458</v>
      </c>
      <c r="P848" t="s">
        <v>437</v>
      </c>
      <c r="Q848" t="s">
        <v>5285</v>
      </c>
      <c r="R848" t="s">
        <v>5286</v>
      </c>
      <c r="S848">
        <v>0</v>
      </c>
      <c r="U848" t="s">
        <v>41</v>
      </c>
      <c r="V848" t="s">
        <v>42</v>
      </c>
      <c r="X848" t="s">
        <v>74</v>
      </c>
      <c r="Y848" t="b">
        <v>0</v>
      </c>
      <c r="Z848" t="b">
        <v>0</v>
      </c>
      <c r="AC848" s="1"/>
      <c r="AF848">
        <v>0</v>
      </c>
      <c r="AH848">
        <v>15</v>
      </c>
      <c r="AI848" s="2">
        <f>Table__192.168.3.138BEWLPPMetaData[[#This Row],[NetAmount]]-Table__192.168.3.138BEWLPPMetaData[[#This Row],[Paid]]</f>
        <v>57768</v>
      </c>
    </row>
    <row r="849" spans="1:35" hidden="1">
      <c r="A849" t="s">
        <v>10110</v>
      </c>
      <c r="B849" s="1">
        <v>41296</v>
      </c>
      <c r="C849" s="1">
        <v>41296</v>
      </c>
      <c r="D849" t="s">
        <v>10056</v>
      </c>
      <c r="E849">
        <v>54880</v>
      </c>
      <c r="F849">
        <v>8781</v>
      </c>
      <c r="G849">
        <v>0</v>
      </c>
      <c r="H849">
        <v>0</v>
      </c>
      <c r="I849">
        <v>0</v>
      </c>
      <c r="J849">
        <v>63661</v>
      </c>
      <c r="K849" t="s">
        <v>2592</v>
      </c>
      <c r="L849" s="1">
        <v>41285</v>
      </c>
      <c r="N849" t="s">
        <v>5127</v>
      </c>
      <c r="O849" t="s">
        <v>2458</v>
      </c>
      <c r="P849" t="s">
        <v>437</v>
      </c>
      <c r="Q849" t="s">
        <v>5285</v>
      </c>
      <c r="R849" t="s">
        <v>5286</v>
      </c>
      <c r="S849">
        <v>0</v>
      </c>
      <c r="U849" t="s">
        <v>41</v>
      </c>
      <c r="V849" t="s">
        <v>42</v>
      </c>
      <c r="X849" t="s">
        <v>74</v>
      </c>
      <c r="Y849" t="b">
        <v>0</v>
      </c>
      <c r="Z849" t="b">
        <v>0</v>
      </c>
      <c r="AC849" s="1"/>
      <c r="AF849">
        <v>0</v>
      </c>
      <c r="AH849">
        <v>28</v>
      </c>
      <c r="AI849" s="2">
        <f>Table__192.168.3.138BEWLPPMetaData[[#This Row],[NetAmount]]-Table__192.168.3.138BEWLPPMetaData[[#This Row],[Paid]]</f>
        <v>63661</v>
      </c>
    </row>
    <row r="850" spans="1:35" hidden="1">
      <c r="A850" t="s">
        <v>10111</v>
      </c>
      <c r="B850" s="1">
        <v>41291</v>
      </c>
      <c r="C850" s="1">
        <v>41336</v>
      </c>
      <c r="D850" t="s">
        <v>8598</v>
      </c>
      <c r="E850">
        <v>4750</v>
      </c>
      <c r="F850">
        <v>760</v>
      </c>
      <c r="G850">
        <v>0</v>
      </c>
      <c r="H850">
        <v>0</v>
      </c>
      <c r="I850">
        <v>-23</v>
      </c>
      <c r="J850">
        <v>5510</v>
      </c>
      <c r="K850" t="s">
        <v>7623</v>
      </c>
      <c r="L850" s="1">
        <v>41291</v>
      </c>
      <c r="N850" t="s">
        <v>5127</v>
      </c>
      <c r="O850" t="s">
        <v>2458</v>
      </c>
      <c r="P850" t="s">
        <v>369</v>
      </c>
      <c r="Q850" t="s">
        <v>5285</v>
      </c>
      <c r="R850" t="s">
        <v>5286</v>
      </c>
      <c r="S850">
        <v>0</v>
      </c>
      <c r="U850" t="s">
        <v>41</v>
      </c>
      <c r="V850" t="s">
        <v>42</v>
      </c>
      <c r="X850" t="s">
        <v>74</v>
      </c>
      <c r="Y850" t="b">
        <v>0</v>
      </c>
      <c r="Z850" t="b">
        <v>0</v>
      </c>
      <c r="AC850" s="1"/>
      <c r="AF850">
        <v>0</v>
      </c>
      <c r="AG850">
        <v>45</v>
      </c>
      <c r="AH850">
        <v>22</v>
      </c>
      <c r="AI850" s="2">
        <f>Table__192.168.3.138BEWLPPMetaData[[#This Row],[NetAmount]]-Table__192.168.3.138BEWLPPMetaData[[#This Row],[Paid]]</f>
        <v>5510</v>
      </c>
    </row>
    <row r="851" spans="1:35" hidden="1">
      <c r="A851" t="s">
        <v>10112</v>
      </c>
      <c r="B851" s="1">
        <v>41293</v>
      </c>
      <c r="C851" s="1">
        <v>41338</v>
      </c>
      <c r="D851" t="s">
        <v>8598</v>
      </c>
      <c r="E851">
        <v>4750</v>
      </c>
      <c r="F851">
        <v>760</v>
      </c>
      <c r="G851">
        <v>0</v>
      </c>
      <c r="H851">
        <v>0</v>
      </c>
      <c r="I851">
        <v>-23</v>
      </c>
      <c r="J851">
        <v>5510</v>
      </c>
      <c r="K851" t="s">
        <v>7277</v>
      </c>
      <c r="L851" s="1">
        <v>41291</v>
      </c>
      <c r="N851" t="s">
        <v>5127</v>
      </c>
      <c r="O851" t="s">
        <v>2458</v>
      </c>
      <c r="P851" t="s">
        <v>369</v>
      </c>
      <c r="Q851" t="s">
        <v>5285</v>
      </c>
      <c r="R851" t="s">
        <v>5286</v>
      </c>
      <c r="S851">
        <v>0</v>
      </c>
      <c r="U851" t="s">
        <v>41</v>
      </c>
      <c r="V851" t="s">
        <v>42</v>
      </c>
      <c r="X851" t="s">
        <v>74</v>
      </c>
      <c r="Y851" t="b">
        <v>0</v>
      </c>
      <c r="Z851" t="b">
        <v>0</v>
      </c>
      <c r="AC851" s="1"/>
      <c r="AF851">
        <v>0</v>
      </c>
      <c r="AG851">
        <v>45</v>
      </c>
      <c r="AH851">
        <v>22</v>
      </c>
      <c r="AI851" s="2">
        <f>Table__192.168.3.138BEWLPPMetaData[[#This Row],[NetAmount]]-Table__192.168.3.138BEWLPPMetaData[[#This Row],[Paid]]</f>
        <v>5510</v>
      </c>
    </row>
    <row r="852" spans="1:35" hidden="1">
      <c r="A852" t="s">
        <v>10113</v>
      </c>
      <c r="B852" s="1">
        <v>41304</v>
      </c>
      <c r="C852" s="1">
        <v>41349</v>
      </c>
      <c r="D852" t="s">
        <v>8598</v>
      </c>
      <c r="E852">
        <v>9500</v>
      </c>
      <c r="F852">
        <v>1520</v>
      </c>
      <c r="G852">
        <v>0</v>
      </c>
      <c r="H852">
        <v>0</v>
      </c>
      <c r="I852">
        <v>-34</v>
      </c>
      <c r="J852">
        <v>11020</v>
      </c>
      <c r="K852" t="s">
        <v>7235</v>
      </c>
      <c r="L852" s="1">
        <v>41302</v>
      </c>
      <c r="N852" t="s">
        <v>5127</v>
      </c>
      <c r="O852" t="s">
        <v>2458</v>
      </c>
      <c r="P852" t="s">
        <v>369</v>
      </c>
      <c r="Q852" t="s">
        <v>5285</v>
      </c>
      <c r="R852" t="s">
        <v>5286</v>
      </c>
      <c r="S852">
        <v>0</v>
      </c>
      <c r="U852" t="s">
        <v>41</v>
      </c>
      <c r="V852" t="s">
        <v>42</v>
      </c>
      <c r="X852" t="s">
        <v>74</v>
      </c>
      <c r="Y852" t="b">
        <v>0</v>
      </c>
      <c r="Z852" t="b">
        <v>0</v>
      </c>
      <c r="AC852" s="1"/>
      <c r="AF852">
        <v>0</v>
      </c>
      <c r="AG852">
        <v>45</v>
      </c>
      <c r="AH852">
        <v>11</v>
      </c>
      <c r="AI852" s="2">
        <f>Table__192.168.3.138BEWLPPMetaData[[#This Row],[NetAmount]]-Table__192.168.3.138BEWLPPMetaData[[#This Row],[Paid]]</f>
        <v>11020</v>
      </c>
    </row>
    <row r="853" spans="1:35" hidden="1">
      <c r="A853" t="s">
        <v>10114</v>
      </c>
      <c r="B853" s="1">
        <v>41284</v>
      </c>
      <c r="C853" s="1">
        <v>41329</v>
      </c>
      <c r="D853" t="s">
        <v>8598</v>
      </c>
      <c r="E853">
        <v>9500</v>
      </c>
      <c r="F853">
        <v>1520</v>
      </c>
      <c r="G853">
        <v>0</v>
      </c>
      <c r="H853">
        <v>0</v>
      </c>
      <c r="I853">
        <v>-34</v>
      </c>
      <c r="J853">
        <v>11020</v>
      </c>
      <c r="K853" t="s">
        <v>3190</v>
      </c>
      <c r="L853" s="1">
        <v>41302</v>
      </c>
      <c r="N853" t="s">
        <v>5127</v>
      </c>
      <c r="O853" t="s">
        <v>2458</v>
      </c>
      <c r="P853" t="s">
        <v>369</v>
      </c>
      <c r="Q853" t="s">
        <v>5285</v>
      </c>
      <c r="R853" t="s">
        <v>5286</v>
      </c>
      <c r="S853">
        <v>0</v>
      </c>
      <c r="U853" t="s">
        <v>41</v>
      </c>
      <c r="V853" t="s">
        <v>42</v>
      </c>
      <c r="X853" t="s">
        <v>74</v>
      </c>
      <c r="Y853" t="b">
        <v>0</v>
      </c>
      <c r="Z853" t="b">
        <v>0</v>
      </c>
      <c r="AC853" s="1"/>
      <c r="AF853">
        <v>0</v>
      </c>
      <c r="AG853">
        <v>45</v>
      </c>
      <c r="AH853">
        <v>11</v>
      </c>
      <c r="AI853" s="2">
        <f>Table__192.168.3.138BEWLPPMetaData[[#This Row],[NetAmount]]-Table__192.168.3.138BEWLPPMetaData[[#This Row],[Paid]]</f>
        <v>11020</v>
      </c>
    </row>
    <row r="854" spans="1:35" hidden="1">
      <c r="A854" t="s">
        <v>10115</v>
      </c>
      <c r="B854" s="1">
        <v>41296</v>
      </c>
      <c r="C854" s="1">
        <v>41341</v>
      </c>
      <c r="D854" t="s">
        <v>8598</v>
      </c>
      <c r="E854">
        <v>9500</v>
      </c>
      <c r="F854">
        <v>1520</v>
      </c>
      <c r="G854">
        <v>0</v>
      </c>
      <c r="H854">
        <v>0</v>
      </c>
      <c r="I854">
        <v>-28</v>
      </c>
      <c r="J854">
        <v>11020</v>
      </c>
      <c r="K854" t="s">
        <v>4615</v>
      </c>
      <c r="L854" s="1">
        <v>41296</v>
      </c>
      <c r="N854" t="s">
        <v>5127</v>
      </c>
      <c r="O854" t="s">
        <v>2458</v>
      </c>
      <c r="P854" t="s">
        <v>369</v>
      </c>
      <c r="Q854" t="s">
        <v>5285</v>
      </c>
      <c r="R854" t="s">
        <v>5286</v>
      </c>
      <c r="S854">
        <v>0</v>
      </c>
      <c r="U854" t="s">
        <v>41</v>
      </c>
      <c r="V854" t="s">
        <v>42</v>
      </c>
      <c r="X854" t="s">
        <v>74</v>
      </c>
      <c r="Y854" t="b">
        <v>0</v>
      </c>
      <c r="Z854" t="b">
        <v>0</v>
      </c>
      <c r="AC854" s="1"/>
      <c r="AF854">
        <v>0</v>
      </c>
      <c r="AG854">
        <v>45</v>
      </c>
      <c r="AH854">
        <v>17</v>
      </c>
      <c r="AI854" s="2">
        <f>Table__192.168.3.138BEWLPPMetaData[[#This Row],[NetAmount]]-Table__192.168.3.138BEWLPPMetaData[[#This Row],[Paid]]</f>
        <v>11020</v>
      </c>
    </row>
    <row r="855" spans="1:35" hidden="1">
      <c r="A855" t="s">
        <v>10116</v>
      </c>
      <c r="B855" s="1">
        <v>41281</v>
      </c>
      <c r="C855" s="1">
        <v>41326</v>
      </c>
      <c r="D855" t="s">
        <v>8598</v>
      </c>
      <c r="E855">
        <v>5700</v>
      </c>
      <c r="F855">
        <v>912</v>
      </c>
      <c r="G855">
        <v>0</v>
      </c>
      <c r="H855">
        <v>0</v>
      </c>
      <c r="I855">
        <v>-10</v>
      </c>
      <c r="J855">
        <v>6612</v>
      </c>
      <c r="K855" t="s">
        <v>3012</v>
      </c>
      <c r="L855" s="1">
        <v>41278</v>
      </c>
      <c r="N855" t="s">
        <v>5127</v>
      </c>
      <c r="O855" t="s">
        <v>2458</v>
      </c>
      <c r="P855" t="s">
        <v>369</v>
      </c>
      <c r="Q855" t="s">
        <v>5285</v>
      </c>
      <c r="R855" t="s">
        <v>5286</v>
      </c>
      <c r="S855">
        <v>0</v>
      </c>
      <c r="U855" t="s">
        <v>41</v>
      </c>
      <c r="V855" t="s">
        <v>42</v>
      </c>
      <c r="X855" t="s">
        <v>74</v>
      </c>
      <c r="Y855" t="b">
        <v>0</v>
      </c>
      <c r="Z855" t="b">
        <v>0</v>
      </c>
      <c r="AC855" s="1"/>
      <c r="AF855">
        <v>0</v>
      </c>
      <c r="AG855">
        <v>45</v>
      </c>
      <c r="AH855">
        <v>35</v>
      </c>
      <c r="AI855" s="2">
        <f>Table__192.168.3.138BEWLPPMetaData[[#This Row],[NetAmount]]-Table__192.168.3.138BEWLPPMetaData[[#This Row],[Paid]]</f>
        <v>6612</v>
      </c>
    </row>
    <row r="856" spans="1:35" hidden="1">
      <c r="A856" t="s">
        <v>10117</v>
      </c>
      <c r="B856" s="1">
        <v>41296</v>
      </c>
      <c r="C856" s="1">
        <v>41341</v>
      </c>
      <c r="D856" t="s">
        <v>8530</v>
      </c>
      <c r="E856">
        <v>15690</v>
      </c>
      <c r="F856">
        <v>2510</v>
      </c>
      <c r="G856">
        <v>0</v>
      </c>
      <c r="H856">
        <v>0</v>
      </c>
      <c r="I856">
        <v>-28</v>
      </c>
      <c r="J856">
        <v>18200</v>
      </c>
      <c r="K856" t="s">
        <v>10118</v>
      </c>
      <c r="L856" s="1">
        <v>41296</v>
      </c>
      <c r="N856" t="s">
        <v>5127</v>
      </c>
      <c r="O856" t="s">
        <v>2458</v>
      </c>
      <c r="P856" t="s">
        <v>357</v>
      </c>
      <c r="Q856" t="s">
        <v>5285</v>
      </c>
      <c r="R856" t="s">
        <v>5286</v>
      </c>
      <c r="S856">
        <v>0</v>
      </c>
      <c r="U856" t="s">
        <v>41</v>
      </c>
      <c r="V856" t="s">
        <v>42</v>
      </c>
      <c r="X856" t="s">
        <v>74</v>
      </c>
      <c r="Y856" t="b">
        <v>0</v>
      </c>
      <c r="Z856" t="b">
        <v>0</v>
      </c>
      <c r="AC856" s="1"/>
      <c r="AF856">
        <v>0</v>
      </c>
      <c r="AG856">
        <v>45</v>
      </c>
      <c r="AH856">
        <v>17</v>
      </c>
      <c r="AI856" s="2">
        <f>Table__192.168.3.138BEWLPPMetaData[[#This Row],[NetAmount]]-Table__192.168.3.138BEWLPPMetaData[[#This Row],[Paid]]</f>
        <v>18200</v>
      </c>
    </row>
    <row r="857" spans="1:35" hidden="1">
      <c r="A857" t="s">
        <v>10119</v>
      </c>
      <c r="B857" s="1">
        <v>41296</v>
      </c>
      <c r="C857" s="1">
        <v>41341</v>
      </c>
      <c r="D857" t="s">
        <v>8530</v>
      </c>
      <c r="E857">
        <v>73994</v>
      </c>
      <c r="F857">
        <v>11839</v>
      </c>
      <c r="G857">
        <v>0</v>
      </c>
      <c r="H857">
        <v>0</v>
      </c>
      <c r="I857">
        <v>-28</v>
      </c>
      <c r="J857">
        <v>85833</v>
      </c>
      <c r="K857" t="s">
        <v>10120</v>
      </c>
      <c r="L857" s="1">
        <v>41296</v>
      </c>
      <c r="N857" t="s">
        <v>5127</v>
      </c>
      <c r="O857" t="s">
        <v>2458</v>
      </c>
      <c r="P857" t="s">
        <v>357</v>
      </c>
      <c r="Q857" t="s">
        <v>5285</v>
      </c>
      <c r="R857" t="s">
        <v>5286</v>
      </c>
      <c r="S857">
        <v>0</v>
      </c>
      <c r="U857" t="s">
        <v>41</v>
      </c>
      <c r="V857" t="s">
        <v>42</v>
      </c>
      <c r="X857" t="s">
        <v>74</v>
      </c>
      <c r="Y857" t="b">
        <v>0</v>
      </c>
      <c r="Z857" t="b">
        <v>0</v>
      </c>
      <c r="AC857" s="1"/>
      <c r="AF857">
        <v>0</v>
      </c>
      <c r="AG857">
        <v>45</v>
      </c>
      <c r="AH857">
        <v>17</v>
      </c>
      <c r="AI857" s="2">
        <f>Table__192.168.3.138BEWLPPMetaData[[#This Row],[NetAmount]]-Table__192.168.3.138BEWLPPMetaData[[#This Row],[Paid]]</f>
        <v>85833</v>
      </c>
    </row>
    <row r="858" spans="1:35" hidden="1">
      <c r="A858" t="s">
        <v>10121</v>
      </c>
      <c r="B858" s="1">
        <v>41298</v>
      </c>
      <c r="C858" s="1">
        <v>41343</v>
      </c>
      <c r="D858" t="s">
        <v>8530</v>
      </c>
      <c r="E858">
        <v>63800</v>
      </c>
      <c r="F858">
        <v>10208</v>
      </c>
      <c r="G858">
        <v>0</v>
      </c>
      <c r="H858">
        <v>0</v>
      </c>
      <c r="I858">
        <v>-30</v>
      </c>
      <c r="J858">
        <v>74008</v>
      </c>
      <c r="K858" t="s">
        <v>10122</v>
      </c>
      <c r="L858" s="1">
        <v>41298</v>
      </c>
      <c r="N858" t="s">
        <v>5127</v>
      </c>
      <c r="O858" t="s">
        <v>2458</v>
      </c>
      <c r="P858" t="s">
        <v>357</v>
      </c>
      <c r="Q858" t="s">
        <v>5285</v>
      </c>
      <c r="R858" t="s">
        <v>5286</v>
      </c>
      <c r="S858">
        <v>0</v>
      </c>
      <c r="U858" t="s">
        <v>41</v>
      </c>
      <c r="V858" t="s">
        <v>42</v>
      </c>
      <c r="X858" t="s">
        <v>74</v>
      </c>
      <c r="Y858" t="b">
        <v>0</v>
      </c>
      <c r="Z858" t="b">
        <v>0</v>
      </c>
      <c r="AC858" s="1"/>
      <c r="AF858">
        <v>0</v>
      </c>
      <c r="AG858">
        <v>45</v>
      </c>
      <c r="AH858">
        <v>15</v>
      </c>
      <c r="AI858" s="2">
        <f>Table__192.168.3.138BEWLPPMetaData[[#This Row],[NetAmount]]-Table__192.168.3.138BEWLPPMetaData[[#This Row],[Paid]]</f>
        <v>74008</v>
      </c>
    </row>
    <row r="859" spans="1:35" hidden="1">
      <c r="A859" t="s">
        <v>10123</v>
      </c>
      <c r="B859" s="1">
        <v>41300</v>
      </c>
      <c r="C859" s="1">
        <v>41345</v>
      </c>
      <c r="D859" t="s">
        <v>8530</v>
      </c>
      <c r="E859">
        <v>26508</v>
      </c>
      <c r="F859">
        <v>4241</v>
      </c>
      <c r="G859">
        <v>0</v>
      </c>
      <c r="H859">
        <v>0</v>
      </c>
      <c r="I859">
        <v>-32</v>
      </c>
      <c r="J859">
        <v>30749</v>
      </c>
      <c r="K859" t="s">
        <v>10124</v>
      </c>
      <c r="L859" s="1">
        <v>41300</v>
      </c>
      <c r="N859" t="s">
        <v>5127</v>
      </c>
      <c r="O859" t="s">
        <v>2458</v>
      </c>
      <c r="P859" t="s">
        <v>357</v>
      </c>
      <c r="Q859" t="s">
        <v>5285</v>
      </c>
      <c r="R859" t="s">
        <v>5286</v>
      </c>
      <c r="S859">
        <v>0</v>
      </c>
      <c r="U859" t="s">
        <v>41</v>
      </c>
      <c r="V859" t="s">
        <v>42</v>
      </c>
      <c r="X859" t="s">
        <v>74</v>
      </c>
      <c r="Y859" t="b">
        <v>0</v>
      </c>
      <c r="Z859" t="b">
        <v>0</v>
      </c>
      <c r="AC859" s="1"/>
      <c r="AF859">
        <v>0</v>
      </c>
      <c r="AG859">
        <v>45</v>
      </c>
      <c r="AH859">
        <v>13</v>
      </c>
      <c r="AI859" s="2">
        <f>Table__192.168.3.138BEWLPPMetaData[[#This Row],[NetAmount]]-Table__192.168.3.138BEWLPPMetaData[[#This Row],[Paid]]</f>
        <v>30749</v>
      </c>
    </row>
    <row r="860" spans="1:35" hidden="1">
      <c r="A860" t="s">
        <v>10125</v>
      </c>
      <c r="B860" s="1">
        <v>41302</v>
      </c>
      <c r="C860" s="1">
        <v>41347</v>
      </c>
      <c r="D860" t="s">
        <v>8530</v>
      </c>
      <c r="E860">
        <v>253336</v>
      </c>
      <c r="F860">
        <v>40534</v>
      </c>
      <c r="G860">
        <v>0</v>
      </c>
      <c r="H860">
        <v>0</v>
      </c>
      <c r="I860">
        <v>-34</v>
      </c>
      <c r="J860">
        <v>293870</v>
      </c>
      <c r="K860" t="s">
        <v>10126</v>
      </c>
      <c r="L860" s="1">
        <v>41302</v>
      </c>
      <c r="N860" t="s">
        <v>5127</v>
      </c>
      <c r="O860" t="s">
        <v>2458</v>
      </c>
      <c r="P860" t="s">
        <v>357</v>
      </c>
      <c r="Q860" t="s">
        <v>5285</v>
      </c>
      <c r="R860" t="s">
        <v>5286</v>
      </c>
      <c r="S860">
        <v>0</v>
      </c>
      <c r="U860" t="s">
        <v>41</v>
      </c>
      <c r="V860" t="s">
        <v>42</v>
      </c>
      <c r="X860" t="s">
        <v>74</v>
      </c>
      <c r="Y860" t="b">
        <v>0</v>
      </c>
      <c r="Z860" t="b">
        <v>0</v>
      </c>
      <c r="AC860" s="1"/>
      <c r="AF860">
        <v>0</v>
      </c>
      <c r="AG860">
        <v>45</v>
      </c>
      <c r="AH860">
        <v>11</v>
      </c>
      <c r="AI860" s="2">
        <f>Table__192.168.3.138BEWLPPMetaData[[#This Row],[NetAmount]]-Table__192.168.3.138BEWLPPMetaData[[#This Row],[Paid]]</f>
        <v>293870</v>
      </c>
    </row>
    <row r="861" spans="1:35" hidden="1">
      <c r="A861" t="s">
        <v>10127</v>
      </c>
      <c r="B861" s="1">
        <v>41302</v>
      </c>
      <c r="C861" s="1">
        <v>41347</v>
      </c>
      <c r="D861" t="s">
        <v>8530</v>
      </c>
      <c r="E861">
        <v>100142</v>
      </c>
      <c r="F861">
        <v>16022</v>
      </c>
      <c r="G861">
        <v>0</v>
      </c>
      <c r="H861">
        <v>0</v>
      </c>
      <c r="I861">
        <v>-34</v>
      </c>
      <c r="J861">
        <v>116164</v>
      </c>
      <c r="K861" t="s">
        <v>7784</v>
      </c>
      <c r="L861" s="1">
        <v>41302</v>
      </c>
      <c r="N861" t="s">
        <v>5127</v>
      </c>
      <c r="O861" t="s">
        <v>2458</v>
      </c>
      <c r="P861" t="s">
        <v>357</v>
      </c>
      <c r="Q861" t="s">
        <v>5285</v>
      </c>
      <c r="R861" t="s">
        <v>5286</v>
      </c>
      <c r="S861">
        <v>0</v>
      </c>
      <c r="U861" t="s">
        <v>41</v>
      </c>
      <c r="V861" t="s">
        <v>42</v>
      </c>
      <c r="X861" t="s">
        <v>74</v>
      </c>
      <c r="Y861" t="b">
        <v>0</v>
      </c>
      <c r="Z861" t="b">
        <v>0</v>
      </c>
      <c r="AC861" s="1"/>
      <c r="AF861">
        <v>0</v>
      </c>
      <c r="AG861">
        <v>45</v>
      </c>
      <c r="AH861">
        <v>11</v>
      </c>
      <c r="AI861" s="2">
        <f>Table__192.168.3.138BEWLPPMetaData[[#This Row],[NetAmount]]-Table__192.168.3.138BEWLPPMetaData[[#This Row],[Paid]]</f>
        <v>116164</v>
      </c>
    </row>
    <row r="862" spans="1:35" hidden="1">
      <c r="A862" t="s">
        <v>10128</v>
      </c>
      <c r="B862" s="1">
        <v>41302</v>
      </c>
      <c r="C862" s="1">
        <v>41347</v>
      </c>
      <c r="D862" t="s">
        <v>8530</v>
      </c>
      <c r="E862">
        <v>280</v>
      </c>
      <c r="F862">
        <v>45</v>
      </c>
      <c r="G862">
        <v>0</v>
      </c>
      <c r="H862">
        <v>0</v>
      </c>
      <c r="I862">
        <v>-34</v>
      </c>
      <c r="J862">
        <v>325</v>
      </c>
      <c r="K862" t="s">
        <v>10129</v>
      </c>
      <c r="L862" s="1">
        <v>41302</v>
      </c>
      <c r="N862" t="s">
        <v>5127</v>
      </c>
      <c r="O862" t="s">
        <v>2458</v>
      </c>
      <c r="P862" t="s">
        <v>357</v>
      </c>
      <c r="Q862" t="s">
        <v>5285</v>
      </c>
      <c r="R862" t="s">
        <v>5286</v>
      </c>
      <c r="S862">
        <v>0</v>
      </c>
      <c r="U862" t="s">
        <v>41</v>
      </c>
      <c r="V862" t="s">
        <v>42</v>
      </c>
      <c r="X862" t="s">
        <v>74</v>
      </c>
      <c r="Y862" t="b">
        <v>0</v>
      </c>
      <c r="Z862" t="b">
        <v>0</v>
      </c>
      <c r="AC862" s="1"/>
      <c r="AF862">
        <v>0</v>
      </c>
      <c r="AG862">
        <v>45</v>
      </c>
      <c r="AH862">
        <v>11</v>
      </c>
      <c r="AI862" s="2">
        <f>Table__192.168.3.138BEWLPPMetaData[[#This Row],[NetAmount]]-Table__192.168.3.138BEWLPPMetaData[[#This Row],[Paid]]</f>
        <v>325</v>
      </c>
    </row>
    <row r="863" spans="1:35" hidden="1">
      <c r="A863" t="s">
        <v>10130</v>
      </c>
      <c r="B863" s="1">
        <v>41305</v>
      </c>
      <c r="C863" s="1">
        <v>41350</v>
      </c>
      <c r="D863" t="s">
        <v>8530</v>
      </c>
      <c r="E863">
        <v>38776</v>
      </c>
      <c r="F863">
        <v>6204</v>
      </c>
      <c r="G863">
        <v>0</v>
      </c>
      <c r="H863">
        <v>0</v>
      </c>
      <c r="I863">
        <v>-37</v>
      </c>
      <c r="J863">
        <v>44980</v>
      </c>
      <c r="K863" t="s">
        <v>10131</v>
      </c>
      <c r="L863" s="1">
        <v>41305</v>
      </c>
      <c r="N863" t="s">
        <v>5127</v>
      </c>
      <c r="O863" t="s">
        <v>2458</v>
      </c>
      <c r="P863" t="s">
        <v>357</v>
      </c>
      <c r="Q863" t="s">
        <v>5285</v>
      </c>
      <c r="R863" t="s">
        <v>5286</v>
      </c>
      <c r="S863">
        <v>0</v>
      </c>
      <c r="U863" t="s">
        <v>41</v>
      </c>
      <c r="V863" t="s">
        <v>42</v>
      </c>
      <c r="X863" t="s">
        <v>74</v>
      </c>
      <c r="Y863" t="b">
        <v>0</v>
      </c>
      <c r="Z863" t="b">
        <v>0</v>
      </c>
      <c r="AC863" s="1"/>
      <c r="AF863">
        <v>0</v>
      </c>
      <c r="AG863">
        <v>45</v>
      </c>
      <c r="AH863">
        <v>8</v>
      </c>
      <c r="AI863" s="2">
        <f>Table__192.168.3.138BEWLPPMetaData[[#This Row],[NetAmount]]-Table__192.168.3.138BEWLPPMetaData[[#This Row],[Paid]]</f>
        <v>44980</v>
      </c>
    </row>
    <row r="864" spans="1:35" hidden="1">
      <c r="A864" t="s">
        <v>10132</v>
      </c>
      <c r="B864" s="1">
        <v>41305</v>
      </c>
      <c r="C864" s="1">
        <v>41350</v>
      </c>
      <c r="D864" t="s">
        <v>8530</v>
      </c>
      <c r="E864">
        <v>22128</v>
      </c>
      <c r="F864">
        <v>3540</v>
      </c>
      <c r="G864">
        <v>0</v>
      </c>
      <c r="H864">
        <v>0</v>
      </c>
      <c r="I864">
        <v>-37</v>
      </c>
      <c r="J864">
        <v>25668</v>
      </c>
      <c r="K864" t="s">
        <v>10133</v>
      </c>
      <c r="L864" s="1">
        <v>41305</v>
      </c>
      <c r="N864" t="s">
        <v>5127</v>
      </c>
      <c r="O864" t="s">
        <v>2458</v>
      </c>
      <c r="P864" t="s">
        <v>357</v>
      </c>
      <c r="Q864" t="s">
        <v>5285</v>
      </c>
      <c r="R864" t="s">
        <v>5286</v>
      </c>
      <c r="S864">
        <v>0</v>
      </c>
      <c r="U864" t="s">
        <v>41</v>
      </c>
      <c r="V864" t="s">
        <v>42</v>
      </c>
      <c r="X864" t="s">
        <v>74</v>
      </c>
      <c r="Y864" t="b">
        <v>0</v>
      </c>
      <c r="Z864" t="b">
        <v>0</v>
      </c>
      <c r="AC864" s="1"/>
      <c r="AF864">
        <v>0</v>
      </c>
      <c r="AG864">
        <v>45</v>
      </c>
      <c r="AH864">
        <v>8</v>
      </c>
      <c r="AI864" s="2">
        <f>Table__192.168.3.138BEWLPPMetaData[[#This Row],[NetAmount]]-Table__192.168.3.138BEWLPPMetaData[[#This Row],[Paid]]</f>
        <v>25668</v>
      </c>
    </row>
    <row r="865" spans="1:35" hidden="1">
      <c r="A865" t="s">
        <v>10134</v>
      </c>
      <c r="B865" s="1">
        <v>41298</v>
      </c>
      <c r="C865" s="1">
        <v>41343</v>
      </c>
      <c r="D865" t="s">
        <v>8530</v>
      </c>
      <c r="E865">
        <v>47070</v>
      </c>
      <c r="F865">
        <v>7531</v>
      </c>
      <c r="G865">
        <v>0</v>
      </c>
      <c r="H865">
        <v>0</v>
      </c>
      <c r="I865">
        <v>-37</v>
      </c>
      <c r="J865">
        <v>54601</v>
      </c>
      <c r="K865" t="s">
        <v>10135</v>
      </c>
      <c r="L865" s="1">
        <v>41305</v>
      </c>
      <c r="N865" t="s">
        <v>5127</v>
      </c>
      <c r="O865" t="s">
        <v>2458</v>
      </c>
      <c r="P865" t="s">
        <v>357</v>
      </c>
      <c r="Q865" t="s">
        <v>5285</v>
      </c>
      <c r="R865" t="s">
        <v>5286</v>
      </c>
      <c r="S865">
        <v>0</v>
      </c>
      <c r="U865" t="s">
        <v>41</v>
      </c>
      <c r="V865" t="s">
        <v>42</v>
      </c>
      <c r="X865" t="s">
        <v>74</v>
      </c>
      <c r="Y865" t="b">
        <v>0</v>
      </c>
      <c r="Z865" t="b">
        <v>0</v>
      </c>
      <c r="AC865" s="1"/>
      <c r="AF865">
        <v>0</v>
      </c>
      <c r="AG865">
        <v>45</v>
      </c>
      <c r="AH865">
        <v>8</v>
      </c>
      <c r="AI865" s="2">
        <f>Table__192.168.3.138BEWLPPMetaData[[#This Row],[NetAmount]]-Table__192.168.3.138BEWLPPMetaData[[#This Row],[Paid]]</f>
        <v>54601</v>
      </c>
    </row>
    <row r="866" spans="1:35" hidden="1">
      <c r="A866" t="s">
        <v>10136</v>
      </c>
      <c r="B866" s="1">
        <v>41305</v>
      </c>
      <c r="C866" s="1">
        <v>41350</v>
      </c>
      <c r="D866" t="s">
        <v>8530</v>
      </c>
      <c r="E866">
        <v>109714</v>
      </c>
      <c r="F866">
        <v>17554</v>
      </c>
      <c r="G866">
        <v>0</v>
      </c>
      <c r="H866">
        <v>0</v>
      </c>
      <c r="I866">
        <v>-37</v>
      </c>
      <c r="J866">
        <v>127268</v>
      </c>
      <c r="K866" t="s">
        <v>10137</v>
      </c>
      <c r="L866" s="1">
        <v>41305</v>
      </c>
      <c r="N866" t="s">
        <v>5127</v>
      </c>
      <c r="O866" t="s">
        <v>2458</v>
      </c>
      <c r="P866" t="s">
        <v>357</v>
      </c>
      <c r="Q866" t="s">
        <v>5285</v>
      </c>
      <c r="R866" t="s">
        <v>5286</v>
      </c>
      <c r="S866">
        <v>0</v>
      </c>
      <c r="U866" t="s">
        <v>41</v>
      </c>
      <c r="V866" t="s">
        <v>42</v>
      </c>
      <c r="X866" t="s">
        <v>74</v>
      </c>
      <c r="Y866" t="b">
        <v>0</v>
      </c>
      <c r="Z866" t="b">
        <v>0</v>
      </c>
      <c r="AC866" s="1"/>
      <c r="AF866">
        <v>0</v>
      </c>
      <c r="AG866">
        <v>45</v>
      </c>
      <c r="AH866">
        <v>8</v>
      </c>
      <c r="AI866" s="2">
        <f>Table__192.168.3.138BEWLPPMetaData[[#This Row],[NetAmount]]-Table__192.168.3.138BEWLPPMetaData[[#This Row],[Paid]]</f>
        <v>127268</v>
      </c>
    </row>
    <row r="867" spans="1:35" hidden="1">
      <c r="A867" t="s">
        <v>10138</v>
      </c>
      <c r="B867" s="1">
        <v>41305</v>
      </c>
      <c r="C867" s="1">
        <v>41305</v>
      </c>
      <c r="D867" t="s">
        <v>10139</v>
      </c>
      <c r="E867">
        <v>8460</v>
      </c>
      <c r="F867">
        <v>0</v>
      </c>
      <c r="G867">
        <v>0</v>
      </c>
      <c r="H867">
        <v>0</v>
      </c>
      <c r="I867">
        <v>0</v>
      </c>
      <c r="J867">
        <v>8460</v>
      </c>
      <c r="K867" t="s">
        <v>10140</v>
      </c>
      <c r="L867" s="1">
        <v>41305</v>
      </c>
      <c r="N867" t="s">
        <v>5127</v>
      </c>
      <c r="O867" t="s">
        <v>2458</v>
      </c>
      <c r="P867" t="s">
        <v>10141</v>
      </c>
      <c r="Q867" t="s">
        <v>5285</v>
      </c>
      <c r="R867" t="s">
        <v>5286</v>
      </c>
      <c r="S867">
        <v>0</v>
      </c>
      <c r="U867" t="s">
        <v>41</v>
      </c>
      <c r="V867" t="s">
        <v>42</v>
      </c>
      <c r="X867" t="s">
        <v>74</v>
      </c>
      <c r="Y867" t="b">
        <v>0</v>
      </c>
      <c r="Z867" t="b">
        <v>0</v>
      </c>
      <c r="AC867" s="1"/>
      <c r="AF867">
        <v>0</v>
      </c>
      <c r="AH867">
        <v>8</v>
      </c>
      <c r="AI867" s="2">
        <f>Table__192.168.3.138BEWLPPMetaData[[#This Row],[NetAmount]]-Table__192.168.3.138BEWLPPMetaData[[#This Row],[Paid]]</f>
        <v>8460</v>
      </c>
    </row>
    <row r="868" spans="1:35" hidden="1">
      <c r="A868" t="s">
        <v>10142</v>
      </c>
      <c r="B868" s="1">
        <v>41297</v>
      </c>
      <c r="C868" s="1">
        <v>41297</v>
      </c>
      <c r="D868" t="s">
        <v>10139</v>
      </c>
      <c r="E868">
        <v>5170</v>
      </c>
      <c r="F868">
        <v>0</v>
      </c>
      <c r="G868">
        <v>0</v>
      </c>
      <c r="H868">
        <v>0</v>
      </c>
      <c r="I868">
        <v>0</v>
      </c>
      <c r="J868">
        <v>5170</v>
      </c>
      <c r="K868" t="s">
        <v>10143</v>
      </c>
      <c r="L868" s="1">
        <v>41296</v>
      </c>
      <c r="N868" t="s">
        <v>5127</v>
      </c>
      <c r="O868" t="s">
        <v>2458</v>
      </c>
      <c r="P868" t="s">
        <v>10141</v>
      </c>
      <c r="Q868" t="s">
        <v>5285</v>
      </c>
      <c r="R868" t="s">
        <v>5286</v>
      </c>
      <c r="S868">
        <v>0</v>
      </c>
      <c r="U868" t="s">
        <v>41</v>
      </c>
      <c r="V868" t="s">
        <v>42</v>
      </c>
      <c r="X868" t="s">
        <v>74</v>
      </c>
      <c r="Y868" t="b">
        <v>0</v>
      </c>
      <c r="Z868" t="b">
        <v>0</v>
      </c>
      <c r="AC868" s="1"/>
      <c r="AF868">
        <v>0</v>
      </c>
      <c r="AH868">
        <v>17</v>
      </c>
      <c r="AI868" s="2">
        <f>Table__192.168.3.138BEWLPPMetaData[[#This Row],[NetAmount]]-Table__192.168.3.138BEWLPPMetaData[[#This Row],[Paid]]</f>
        <v>5170</v>
      </c>
    </row>
    <row r="869" spans="1:35" hidden="1">
      <c r="A869" t="s">
        <v>10144</v>
      </c>
      <c r="B869" s="1">
        <v>41305</v>
      </c>
      <c r="C869" s="1">
        <v>41350</v>
      </c>
      <c r="D869" t="s">
        <v>8538</v>
      </c>
      <c r="E869">
        <v>1050</v>
      </c>
      <c r="F869">
        <v>168</v>
      </c>
      <c r="G869">
        <v>0</v>
      </c>
      <c r="H869">
        <v>0</v>
      </c>
      <c r="I869">
        <v>-37</v>
      </c>
      <c r="J869">
        <v>1218</v>
      </c>
      <c r="K869" t="s">
        <v>10145</v>
      </c>
      <c r="L869" s="1">
        <v>41305</v>
      </c>
      <c r="N869" t="s">
        <v>5127</v>
      </c>
      <c r="O869" t="s">
        <v>2458</v>
      </c>
      <c r="P869" t="s">
        <v>310</v>
      </c>
      <c r="Q869" t="s">
        <v>5285</v>
      </c>
      <c r="R869" t="s">
        <v>5286</v>
      </c>
      <c r="S869">
        <v>0</v>
      </c>
      <c r="U869" t="s">
        <v>41</v>
      </c>
      <c r="V869" t="s">
        <v>42</v>
      </c>
      <c r="X869" t="s">
        <v>74</v>
      </c>
      <c r="Y869" t="b">
        <v>0</v>
      </c>
      <c r="Z869" t="b">
        <v>0</v>
      </c>
      <c r="AC869" s="1"/>
      <c r="AF869">
        <v>0</v>
      </c>
      <c r="AG869">
        <v>45</v>
      </c>
      <c r="AH869">
        <v>8</v>
      </c>
      <c r="AI869" s="2">
        <f>Table__192.168.3.138BEWLPPMetaData[[#This Row],[NetAmount]]-Table__192.168.3.138BEWLPPMetaData[[#This Row],[Paid]]</f>
        <v>1218</v>
      </c>
    </row>
    <row r="870" spans="1:35" hidden="1">
      <c r="A870" t="s">
        <v>10146</v>
      </c>
      <c r="B870" s="1">
        <v>41305</v>
      </c>
      <c r="C870" s="1">
        <v>41350</v>
      </c>
      <c r="D870" t="s">
        <v>8538</v>
      </c>
      <c r="E870">
        <v>4225</v>
      </c>
      <c r="F870">
        <v>676</v>
      </c>
      <c r="G870">
        <v>0</v>
      </c>
      <c r="H870">
        <v>0</v>
      </c>
      <c r="I870">
        <v>-36</v>
      </c>
      <c r="J870">
        <v>4901</v>
      </c>
      <c r="K870" t="s">
        <v>10147</v>
      </c>
      <c r="L870" s="1">
        <v>41304</v>
      </c>
      <c r="N870" t="s">
        <v>5127</v>
      </c>
      <c r="O870" t="s">
        <v>2458</v>
      </c>
      <c r="P870" t="s">
        <v>310</v>
      </c>
      <c r="Q870" t="s">
        <v>5285</v>
      </c>
      <c r="R870" t="s">
        <v>5286</v>
      </c>
      <c r="S870">
        <v>0</v>
      </c>
      <c r="U870" t="s">
        <v>41</v>
      </c>
      <c r="V870" t="s">
        <v>42</v>
      </c>
      <c r="X870" t="s">
        <v>74</v>
      </c>
      <c r="Y870" t="b">
        <v>0</v>
      </c>
      <c r="Z870" t="b">
        <v>0</v>
      </c>
      <c r="AC870" s="1"/>
      <c r="AF870">
        <v>0</v>
      </c>
      <c r="AG870">
        <v>45</v>
      </c>
      <c r="AH870">
        <v>9</v>
      </c>
      <c r="AI870" s="2">
        <f>Table__192.168.3.138BEWLPPMetaData[[#This Row],[NetAmount]]-Table__192.168.3.138BEWLPPMetaData[[#This Row],[Paid]]</f>
        <v>4901</v>
      </c>
    </row>
    <row r="871" spans="1:35" hidden="1">
      <c r="A871" t="s">
        <v>10148</v>
      </c>
      <c r="B871" s="1">
        <v>41304</v>
      </c>
      <c r="C871" s="1">
        <v>41349</v>
      </c>
      <c r="D871" t="s">
        <v>8603</v>
      </c>
      <c r="E871">
        <v>24700</v>
      </c>
      <c r="F871">
        <v>3952</v>
      </c>
      <c r="G871">
        <v>0</v>
      </c>
      <c r="H871">
        <v>0</v>
      </c>
      <c r="I871">
        <v>-34</v>
      </c>
      <c r="J871">
        <v>28652</v>
      </c>
      <c r="K871" t="s">
        <v>10149</v>
      </c>
      <c r="L871" s="1">
        <v>41302</v>
      </c>
      <c r="N871" t="s">
        <v>5127</v>
      </c>
      <c r="O871" t="s">
        <v>2458</v>
      </c>
      <c r="P871" t="s">
        <v>304</v>
      </c>
      <c r="Q871" t="s">
        <v>5285</v>
      </c>
      <c r="R871" t="s">
        <v>5286</v>
      </c>
      <c r="S871">
        <v>0</v>
      </c>
      <c r="U871" t="s">
        <v>41</v>
      </c>
      <c r="V871" t="s">
        <v>42</v>
      </c>
      <c r="X871" t="s">
        <v>74</v>
      </c>
      <c r="Y871" t="b">
        <v>0</v>
      </c>
      <c r="Z871" t="b">
        <v>0</v>
      </c>
      <c r="AC871" s="1"/>
      <c r="AF871">
        <v>0</v>
      </c>
      <c r="AG871">
        <v>45</v>
      </c>
      <c r="AH871">
        <v>11</v>
      </c>
      <c r="AI871" s="2">
        <f>Table__192.168.3.138BEWLPPMetaData[[#This Row],[NetAmount]]-Table__192.168.3.138BEWLPPMetaData[[#This Row],[Paid]]</f>
        <v>28652</v>
      </c>
    </row>
    <row r="872" spans="1:35" hidden="1">
      <c r="A872" t="s">
        <v>10150</v>
      </c>
      <c r="B872" s="1">
        <v>41243</v>
      </c>
      <c r="C872" s="1">
        <v>41243</v>
      </c>
      <c r="D872" t="s">
        <v>10151</v>
      </c>
      <c r="E872">
        <v>1200</v>
      </c>
      <c r="F872">
        <v>192</v>
      </c>
      <c r="G872">
        <v>0</v>
      </c>
      <c r="H872">
        <v>0</v>
      </c>
      <c r="I872">
        <v>0</v>
      </c>
      <c r="J872">
        <v>1392</v>
      </c>
      <c r="L872" s="1"/>
      <c r="N872" t="s">
        <v>6694</v>
      </c>
      <c r="O872" t="s">
        <v>36</v>
      </c>
      <c r="P872" t="s">
        <v>10152</v>
      </c>
      <c r="Q872" t="s">
        <v>39</v>
      </c>
      <c r="R872" t="s">
        <v>40</v>
      </c>
      <c r="S872">
        <v>0</v>
      </c>
      <c r="U872" t="s">
        <v>41</v>
      </c>
      <c r="V872" t="s">
        <v>42</v>
      </c>
      <c r="X872" t="s">
        <v>74</v>
      </c>
      <c r="Y872" t="b">
        <v>0</v>
      </c>
      <c r="Z872" t="b">
        <v>0</v>
      </c>
      <c r="AC872" s="1"/>
      <c r="AF872">
        <v>0</v>
      </c>
      <c r="AI872" s="2">
        <f>Table__192.168.3.138BEWLPPMetaData[[#This Row],[NetAmount]]-Table__192.168.3.138BEWLPPMetaData[[#This Row],[Paid]]</f>
        <v>1392</v>
      </c>
    </row>
    <row r="873" spans="1:35" hidden="1">
      <c r="A873" t="s">
        <v>10153</v>
      </c>
      <c r="B873" s="1">
        <v>41274</v>
      </c>
      <c r="C873" s="1">
        <v>41274</v>
      </c>
      <c r="D873" t="s">
        <v>8611</v>
      </c>
      <c r="E873">
        <v>2500</v>
      </c>
      <c r="F873">
        <v>400</v>
      </c>
      <c r="G873">
        <v>0</v>
      </c>
      <c r="H873">
        <v>0</v>
      </c>
      <c r="I873">
        <v>0</v>
      </c>
      <c r="J873">
        <v>2900</v>
      </c>
      <c r="L873" s="1"/>
      <c r="N873" t="s">
        <v>6694</v>
      </c>
      <c r="O873" t="s">
        <v>36</v>
      </c>
      <c r="P873" t="s">
        <v>8612</v>
      </c>
      <c r="Q873" t="s">
        <v>39</v>
      </c>
      <c r="R873" t="s">
        <v>40</v>
      </c>
      <c r="S873">
        <v>0</v>
      </c>
      <c r="U873" t="s">
        <v>41</v>
      </c>
      <c r="V873" t="s">
        <v>42</v>
      </c>
      <c r="X873" t="s">
        <v>74</v>
      </c>
      <c r="Y873" t="b">
        <v>0</v>
      </c>
      <c r="Z873" t="b">
        <v>0</v>
      </c>
      <c r="AC873" s="1"/>
      <c r="AF873">
        <v>0</v>
      </c>
      <c r="AG873">
        <v>45</v>
      </c>
      <c r="AI873" s="2">
        <f>Table__192.168.3.138BEWLPPMetaData[[#This Row],[NetAmount]]-Table__192.168.3.138BEWLPPMetaData[[#This Row],[Paid]]</f>
        <v>2900</v>
      </c>
    </row>
    <row r="874" spans="1:35" hidden="1">
      <c r="A874" t="s">
        <v>10154</v>
      </c>
      <c r="B874" s="1">
        <v>41094</v>
      </c>
      <c r="C874" s="1">
        <v>41139</v>
      </c>
      <c r="D874" t="s">
        <v>8570</v>
      </c>
      <c r="E874">
        <v>133840</v>
      </c>
      <c r="F874">
        <v>21414</v>
      </c>
      <c r="G874">
        <v>0</v>
      </c>
      <c r="H874">
        <v>0</v>
      </c>
      <c r="I874">
        <v>178</v>
      </c>
      <c r="J874">
        <v>155254</v>
      </c>
      <c r="K874" t="s">
        <v>4816</v>
      </c>
      <c r="L874" s="1">
        <v>41090</v>
      </c>
      <c r="N874" t="s">
        <v>6694</v>
      </c>
      <c r="O874" t="s">
        <v>3507</v>
      </c>
      <c r="P874" t="s">
        <v>8571</v>
      </c>
      <c r="Q874" t="s">
        <v>39</v>
      </c>
      <c r="R874" t="s">
        <v>40</v>
      </c>
      <c r="S874">
        <v>0</v>
      </c>
      <c r="U874" t="s">
        <v>41</v>
      </c>
      <c r="V874" t="s">
        <v>42</v>
      </c>
      <c r="X874" t="s">
        <v>74</v>
      </c>
      <c r="Y874" t="b">
        <v>0</v>
      </c>
      <c r="Z874" t="b">
        <v>0</v>
      </c>
      <c r="AC874" s="1"/>
      <c r="AF874">
        <v>0</v>
      </c>
      <c r="AG874">
        <v>45</v>
      </c>
      <c r="AH874">
        <v>223</v>
      </c>
      <c r="AI874" s="2">
        <f>Table__192.168.3.138BEWLPPMetaData[[#This Row],[NetAmount]]-Table__192.168.3.138BEWLPPMetaData[[#This Row],[Paid]]</f>
        <v>155254</v>
      </c>
    </row>
    <row r="875" spans="1:35" hidden="1">
      <c r="A875" t="s">
        <v>10155</v>
      </c>
      <c r="B875" s="1">
        <v>41093</v>
      </c>
      <c r="C875" s="1">
        <v>41138</v>
      </c>
      <c r="D875" t="s">
        <v>8570</v>
      </c>
      <c r="E875">
        <v>85680</v>
      </c>
      <c r="F875">
        <v>13709</v>
      </c>
      <c r="G875">
        <v>0</v>
      </c>
      <c r="H875">
        <v>0</v>
      </c>
      <c r="I875">
        <v>180</v>
      </c>
      <c r="J875">
        <v>99389</v>
      </c>
      <c r="K875" t="s">
        <v>4521</v>
      </c>
      <c r="L875" s="1">
        <v>41088</v>
      </c>
      <c r="N875" t="s">
        <v>6694</v>
      </c>
      <c r="O875" t="s">
        <v>3507</v>
      </c>
      <c r="P875" t="s">
        <v>8571</v>
      </c>
      <c r="Q875" t="s">
        <v>39</v>
      </c>
      <c r="R875" t="s">
        <v>40</v>
      </c>
      <c r="S875">
        <v>0</v>
      </c>
      <c r="U875" t="s">
        <v>41</v>
      </c>
      <c r="V875" t="s">
        <v>42</v>
      </c>
      <c r="X875" t="s">
        <v>74</v>
      </c>
      <c r="Y875" t="b">
        <v>0</v>
      </c>
      <c r="Z875" t="b">
        <v>0</v>
      </c>
      <c r="AC875" s="1"/>
      <c r="AF875">
        <v>0</v>
      </c>
      <c r="AG875">
        <v>45</v>
      </c>
      <c r="AH875">
        <v>225</v>
      </c>
      <c r="AI875" s="2">
        <f>Table__192.168.3.138BEWLPPMetaData[[#This Row],[NetAmount]]-Table__192.168.3.138BEWLPPMetaData[[#This Row],[Paid]]</f>
        <v>99389</v>
      </c>
    </row>
    <row r="876" spans="1:35" hidden="1">
      <c r="A876" t="s">
        <v>10156</v>
      </c>
      <c r="B876" s="1">
        <v>41094</v>
      </c>
      <c r="C876" s="1">
        <v>41139</v>
      </c>
      <c r="D876" t="s">
        <v>8524</v>
      </c>
      <c r="E876">
        <v>20996</v>
      </c>
      <c r="F876">
        <v>3360</v>
      </c>
      <c r="G876">
        <v>0</v>
      </c>
      <c r="H876">
        <v>0</v>
      </c>
      <c r="I876">
        <v>178</v>
      </c>
      <c r="J876">
        <v>24356</v>
      </c>
      <c r="K876" t="s">
        <v>10157</v>
      </c>
      <c r="L876" s="1">
        <v>41090</v>
      </c>
      <c r="N876" t="s">
        <v>6694</v>
      </c>
      <c r="O876" t="s">
        <v>3507</v>
      </c>
      <c r="P876" t="s">
        <v>8525</v>
      </c>
      <c r="Q876" t="s">
        <v>39</v>
      </c>
      <c r="R876" t="s">
        <v>40</v>
      </c>
      <c r="S876">
        <v>0</v>
      </c>
      <c r="U876" t="s">
        <v>41</v>
      </c>
      <c r="V876" t="s">
        <v>42</v>
      </c>
      <c r="X876" t="s">
        <v>74</v>
      </c>
      <c r="Y876" t="b">
        <v>0</v>
      </c>
      <c r="Z876" t="b">
        <v>0</v>
      </c>
      <c r="AC876" s="1"/>
      <c r="AF876">
        <v>0</v>
      </c>
      <c r="AG876">
        <v>45</v>
      </c>
      <c r="AH876">
        <v>223</v>
      </c>
      <c r="AI876" s="2">
        <f>Table__192.168.3.138BEWLPPMetaData[[#This Row],[NetAmount]]-Table__192.168.3.138BEWLPPMetaData[[#This Row],[Paid]]</f>
        <v>24356</v>
      </c>
    </row>
    <row r="877" spans="1:35" hidden="1">
      <c r="A877" t="s">
        <v>10158</v>
      </c>
      <c r="B877" s="1">
        <v>41094</v>
      </c>
      <c r="C877" s="1">
        <v>41139</v>
      </c>
      <c r="D877" t="s">
        <v>8616</v>
      </c>
      <c r="E877">
        <v>34000</v>
      </c>
      <c r="F877">
        <v>5440</v>
      </c>
      <c r="G877">
        <v>0</v>
      </c>
      <c r="H877">
        <v>0</v>
      </c>
      <c r="I877">
        <v>179</v>
      </c>
      <c r="J877">
        <v>39440</v>
      </c>
      <c r="K877" t="s">
        <v>10159</v>
      </c>
      <c r="L877" s="1">
        <v>41089</v>
      </c>
      <c r="N877" t="s">
        <v>6694</v>
      </c>
      <c r="O877" t="s">
        <v>3507</v>
      </c>
      <c r="P877" t="s">
        <v>375</v>
      </c>
      <c r="Q877" t="s">
        <v>39</v>
      </c>
      <c r="R877" t="s">
        <v>40</v>
      </c>
      <c r="S877">
        <v>0</v>
      </c>
      <c r="U877" t="s">
        <v>41</v>
      </c>
      <c r="V877" t="s">
        <v>42</v>
      </c>
      <c r="X877" t="s">
        <v>74</v>
      </c>
      <c r="Y877" t="b">
        <v>0</v>
      </c>
      <c r="Z877" t="b">
        <v>0</v>
      </c>
      <c r="AB877" t="s">
        <v>8617</v>
      </c>
      <c r="AC877" s="1">
        <v>41190</v>
      </c>
      <c r="AF877">
        <v>0</v>
      </c>
      <c r="AG877">
        <v>45</v>
      </c>
      <c r="AH877">
        <v>224</v>
      </c>
      <c r="AI877" s="2">
        <f>Table__192.168.3.138BEWLPPMetaData[[#This Row],[NetAmount]]-Table__192.168.3.138BEWLPPMetaData[[#This Row],[Paid]]</f>
        <v>39440</v>
      </c>
    </row>
    <row r="878" spans="1:35" hidden="1">
      <c r="A878" t="s">
        <v>10160</v>
      </c>
      <c r="B878" s="1">
        <v>41092</v>
      </c>
      <c r="C878" s="1">
        <v>41137</v>
      </c>
      <c r="D878" t="s">
        <v>5529</v>
      </c>
      <c r="E878">
        <v>94170</v>
      </c>
      <c r="F878">
        <v>15067</v>
      </c>
      <c r="G878">
        <v>0</v>
      </c>
      <c r="H878">
        <v>0</v>
      </c>
      <c r="I878">
        <v>181</v>
      </c>
      <c r="J878">
        <v>109237</v>
      </c>
      <c r="K878" t="s">
        <v>10161</v>
      </c>
      <c r="L878" s="1">
        <v>41087</v>
      </c>
      <c r="N878" t="s">
        <v>6694</v>
      </c>
      <c r="O878" t="s">
        <v>3507</v>
      </c>
      <c r="P878" t="s">
        <v>8614</v>
      </c>
      <c r="Q878" t="s">
        <v>39</v>
      </c>
      <c r="R878" t="s">
        <v>40</v>
      </c>
      <c r="S878">
        <v>0</v>
      </c>
      <c r="U878" t="s">
        <v>41</v>
      </c>
      <c r="V878" t="s">
        <v>42</v>
      </c>
      <c r="X878" t="s">
        <v>74</v>
      </c>
      <c r="Y878" t="b">
        <v>0</v>
      </c>
      <c r="Z878" t="b">
        <v>0</v>
      </c>
      <c r="AC878" s="1"/>
      <c r="AF878">
        <v>0</v>
      </c>
      <c r="AG878">
        <v>45</v>
      </c>
      <c r="AH878">
        <v>226</v>
      </c>
      <c r="AI878" s="2">
        <f>Table__192.168.3.138BEWLPPMetaData[[#This Row],[NetAmount]]-Table__192.168.3.138BEWLPPMetaData[[#This Row],[Paid]]</f>
        <v>109237</v>
      </c>
    </row>
    <row r="879" spans="1:35" hidden="1">
      <c r="A879" t="s">
        <v>10162</v>
      </c>
      <c r="B879" s="1">
        <v>41105</v>
      </c>
      <c r="C879" s="1">
        <v>41150</v>
      </c>
      <c r="D879" t="s">
        <v>8570</v>
      </c>
      <c r="E879">
        <v>123980</v>
      </c>
      <c r="F879">
        <v>19837</v>
      </c>
      <c r="G879">
        <v>0</v>
      </c>
      <c r="H879">
        <v>0</v>
      </c>
      <c r="I879">
        <v>168</v>
      </c>
      <c r="J879">
        <v>143817</v>
      </c>
      <c r="K879" t="s">
        <v>10163</v>
      </c>
      <c r="L879" s="1">
        <v>41100</v>
      </c>
      <c r="N879" t="s">
        <v>6694</v>
      </c>
      <c r="O879" t="s">
        <v>3507</v>
      </c>
      <c r="P879" t="s">
        <v>8571</v>
      </c>
      <c r="Q879" t="s">
        <v>39</v>
      </c>
      <c r="R879" t="s">
        <v>40</v>
      </c>
      <c r="S879">
        <v>0</v>
      </c>
      <c r="U879" t="s">
        <v>41</v>
      </c>
      <c r="V879" t="s">
        <v>42</v>
      </c>
      <c r="X879" t="s">
        <v>74</v>
      </c>
      <c r="Y879" t="b">
        <v>0</v>
      </c>
      <c r="Z879" t="b">
        <v>0</v>
      </c>
      <c r="AC879" s="1"/>
      <c r="AF879">
        <v>0</v>
      </c>
      <c r="AG879">
        <v>45</v>
      </c>
      <c r="AH879">
        <v>213</v>
      </c>
      <c r="AI879" s="2">
        <f>Table__192.168.3.138BEWLPPMetaData[[#This Row],[NetAmount]]-Table__192.168.3.138BEWLPPMetaData[[#This Row],[Paid]]</f>
        <v>143817</v>
      </c>
    </row>
    <row r="880" spans="1:35" hidden="1">
      <c r="A880" t="s">
        <v>10164</v>
      </c>
      <c r="B880" s="1">
        <v>41103</v>
      </c>
      <c r="C880" s="1">
        <v>41148</v>
      </c>
      <c r="D880" t="s">
        <v>5529</v>
      </c>
      <c r="E880">
        <v>52560</v>
      </c>
      <c r="F880">
        <v>8410</v>
      </c>
      <c r="G880">
        <v>0</v>
      </c>
      <c r="H880">
        <v>0</v>
      </c>
      <c r="I880">
        <v>171</v>
      </c>
      <c r="J880">
        <v>60970</v>
      </c>
      <c r="K880" t="s">
        <v>10165</v>
      </c>
      <c r="L880" s="1">
        <v>41097</v>
      </c>
      <c r="N880" t="s">
        <v>6694</v>
      </c>
      <c r="O880" t="s">
        <v>3507</v>
      </c>
      <c r="P880" t="s">
        <v>8614</v>
      </c>
      <c r="Q880" t="s">
        <v>39</v>
      </c>
      <c r="R880" t="s">
        <v>40</v>
      </c>
      <c r="S880">
        <v>0</v>
      </c>
      <c r="U880" t="s">
        <v>41</v>
      </c>
      <c r="V880" t="s">
        <v>42</v>
      </c>
      <c r="X880" t="s">
        <v>74</v>
      </c>
      <c r="Y880" t="b">
        <v>0</v>
      </c>
      <c r="Z880" t="b">
        <v>0</v>
      </c>
      <c r="AC880" s="1"/>
      <c r="AF880">
        <v>0</v>
      </c>
      <c r="AG880">
        <v>45</v>
      </c>
      <c r="AH880">
        <v>216</v>
      </c>
      <c r="AI880" s="2">
        <f>Table__192.168.3.138BEWLPPMetaData[[#This Row],[NetAmount]]-Table__192.168.3.138BEWLPPMetaData[[#This Row],[Paid]]</f>
        <v>60970</v>
      </c>
    </row>
    <row r="881" spans="1:35" hidden="1">
      <c r="A881" t="s">
        <v>10166</v>
      </c>
      <c r="B881" s="1">
        <v>41100</v>
      </c>
      <c r="C881" s="1">
        <v>41145</v>
      </c>
      <c r="D881" t="s">
        <v>8534</v>
      </c>
      <c r="E881">
        <v>4950</v>
      </c>
      <c r="F881">
        <v>792</v>
      </c>
      <c r="G881">
        <v>0</v>
      </c>
      <c r="H881">
        <v>0</v>
      </c>
      <c r="I881">
        <v>168</v>
      </c>
      <c r="J881">
        <v>5742</v>
      </c>
      <c r="K881" t="s">
        <v>6724</v>
      </c>
      <c r="L881" s="1">
        <v>41100</v>
      </c>
      <c r="N881" t="s">
        <v>6694</v>
      </c>
      <c r="O881" t="s">
        <v>3507</v>
      </c>
      <c r="P881" t="s">
        <v>8535</v>
      </c>
      <c r="Q881" t="s">
        <v>39</v>
      </c>
      <c r="R881" t="s">
        <v>40</v>
      </c>
      <c r="S881">
        <v>0</v>
      </c>
      <c r="U881" t="s">
        <v>41</v>
      </c>
      <c r="V881" t="s">
        <v>42</v>
      </c>
      <c r="X881" t="s">
        <v>74</v>
      </c>
      <c r="Y881" t="b">
        <v>0</v>
      </c>
      <c r="Z881" t="b">
        <v>0</v>
      </c>
      <c r="AC881" s="1"/>
      <c r="AF881">
        <v>0</v>
      </c>
      <c r="AG881">
        <v>45</v>
      </c>
      <c r="AH881">
        <v>213</v>
      </c>
      <c r="AI881" s="2">
        <f>Table__192.168.3.138BEWLPPMetaData[[#This Row],[NetAmount]]-Table__192.168.3.138BEWLPPMetaData[[#This Row],[Paid]]</f>
        <v>5742</v>
      </c>
    </row>
    <row r="882" spans="1:35" hidden="1">
      <c r="A882" t="s">
        <v>10167</v>
      </c>
      <c r="B882" s="1">
        <v>41092</v>
      </c>
      <c r="C882" s="1">
        <v>41137</v>
      </c>
      <c r="D882" t="s">
        <v>8534</v>
      </c>
      <c r="E882">
        <v>18850</v>
      </c>
      <c r="F882">
        <v>3016</v>
      </c>
      <c r="G882">
        <v>0</v>
      </c>
      <c r="H882">
        <v>0</v>
      </c>
      <c r="I882">
        <v>176</v>
      </c>
      <c r="J882">
        <v>21866</v>
      </c>
      <c r="K882" t="s">
        <v>10168</v>
      </c>
      <c r="L882" s="1">
        <v>41092</v>
      </c>
      <c r="N882" t="s">
        <v>6694</v>
      </c>
      <c r="O882" t="s">
        <v>3507</v>
      </c>
      <c r="P882" t="s">
        <v>8535</v>
      </c>
      <c r="Q882" t="s">
        <v>39</v>
      </c>
      <c r="R882" t="s">
        <v>40</v>
      </c>
      <c r="S882">
        <v>0</v>
      </c>
      <c r="U882" t="s">
        <v>41</v>
      </c>
      <c r="V882" t="s">
        <v>42</v>
      </c>
      <c r="X882" t="s">
        <v>74</v>
      </c>
      <c r="Y882" t="b">
        <v>0</v>
      </c>
      <c r="Z882" t="b">
        <v>0</v>
      </c>
      <c r="AC882" s="1"/>
      <c r="AF882">
        <v>0</v>
      </c>
      <c r="AG882">
        <v>45</v>
      </c>
      <c r="AH882">
        <v>221</v>
      </c>
      <c r="AI882" s="2">
        <f>Table__192.168.3.138BEWLPPMetaData[[#This Row],[NetAmount]]-Table__192.168.3.138BEWLPPMetaData[[#This Row],[Paid]]</f>
        <v>21866</v>
      </c>
    </row>
    <row r="883" spans="1:35" hidden="1">
      <c r="A883" t="s">
        <v>10169</v>
      </c>
      <c r="B883" s="1">
        <v>41102</v>
      </c>
      <c r="C883" s="1">
        <v>41147</v>
      </c>
      <c r="D883" t="s">
        <v>8588</v>
      </c>
      <c r="E883">
        <v>86779</v>
      </c>
      <c r="F883">
        <v>13885</v>
      </c>
      <c r="G883">
        <v>0</v>
      </c>
      <c r="H883">
        <v>0</v>
      </c>
      <c r="I883">
        <v>167</v>
      </c>
      <c r="J883">
        <v>100664</v>
      </c>
      <c r="K883" t="s">
        <v>10170</v>
      </c>
      <c r="L883" s="1">
        <v>41101</v>
      </c>
      <c r="N883" t="s">
        <v>6694</v>
      </c>
      <c r="O883" t="s">
        <v>3507</v>
      </c>
      <c r="P883" t="s">
        <v>8589</v>
      </c>
      <c r="Q883" t="s">
        <v>39</v>
      </c>
      <c r="R883" t="s">
        <v>40</v>
      </c>
      <c r="S883">
        <v>0</v>
      </c>
      <c r="U883" t="s">
        <v>41</v>
      </c>
      <c r="V883" t="s">
        <v>42</v>
      </c>
      <c r="X883" t="s">
        <v>74</v>
      </c>
      <c r="Y883" t="b">
        <v>0</v>
      </c>
      <c r="Z883" t="b">
        <v>0</v>
      </c>
      <c r="AC883" s="1"/>
      <c r="AF883">
        <v>0</v>
      </c>
      <c r="AG883">
        <v>45</v>
      </c>
      <c r="AH883">
        <v>212</v>
      </c>
      <c r="AI883" s="2">
        <f>Table__192.168.3.138BEWLPPMetaData[[#This Row],[NetAmount]]-Table__192.168.3.138BEWLPPMetaData[[#This Row],[Paid]]</f>
        <v>100664</v>
      </c>
    </row>
    <row r="884" spans="1:35" hidden="1">
      <c r="A884" t="s">
        <v>10171</v>
      </c>
      <c r="B884" s="1">
        <v>41092</v>
      </c>
      <c r="C884" s="1">
        <v>41137</v>
      </c>
      <c r="D884" t="s">
        <v>8588</v>
      </c>
      <c r="E884">
        <v>5522</v>
      </c>
      <c r="F884">
        <v>884</v>
      </c>
      <c r="G884">
        <v>0</v>
      </c>
      <c r="H884">
        <v>0</v>
      </c>
      <c r="I884">
        <v>176</v>
      </c>
      <c r="J884">
        <v>6406</v>
      </c>
      <c r="K884" t="s">
        <v>10172</v>
      </c>
      <c r="L884" s="1">
        <v>41092</v>
      </c>
      <c r="N884" t="s">
        <v>6694</v>
      </c>
      <c r="O884" t="s">
        <v>3507</v>
      </c>
      <c r="P884" t="s">
        <v>8589</v>
      </c>
      <c r="Q884" t="s">
        <v>39</v>
      </c>
      <c r="R884" t="s">
        <v>40</v>
      </c>
      <c r="S884">
        <v>0</v>
      </c>
      <c r="U884" t="s">
        <v>41</v>
      </c>
      <c r="V884" t="s">
        <v>42</v>
      </c>
      <c r="X884" t="s">
        <v>74</v>
      </c>
      <c r="Y884" t="b">
        <v>0</v>
      </c>
      <c r="Z884" t="b">
        <v>0</v>
      </c>
      <c r="AC884" s="1"/>
      <c r="AF884">
        <v>0</v>
      </c>
      <c r="AG884">
        <v>45</v>
      </c>
      <c r="AH884">
        <v>221</v>
      </c>
      <c r="AI884" s="2">
        <f>Table__192.168.3.138BEWLPPMetaData[[#This Row],[NetAmount]]-Table__192.168.3.138BEWLPPMetaData[[#This Row],[Paid]]</f>
        <v>6406</v>
      </c>
    </row>
    <row r="885" spans="1:35" hidden="1">
      <c r="A885" t="s">
        <v>10173</v>
      </c>
      <c r="B885" s="1">
        <v>41095</v>
      </c>
      <c r="C885" s="1">
        <v>41095</v>
      </c>
      <c r="D885" t="s">
        <v>8591</v>
      </c>
      <c r="E885">
        <v>22700</v>
      </c>
      <c r="F885">
        <v>3632</v>
      </c>
      <c r="G885">
        <v>0</v>
      </c>
      <c r="H885">
        <v>0</v>
      </c>
      <c r="I885">
        <v>0</v>
      </c>
      <c r="J885">
        <v>26332</v>
      </c>
      <c r="K885" t="s">
        <v>10174</v>
      </c>
      <c r="L885" s="1">
        <v>41095</v>
      </c>
      <c r="N885" t="s">
        <v>6694</v>
      </c>
      <c r="O885" t="s">
        <v>3507</v>
      </c>
      <c r="P885" t="s">
        <v>425</v>
      </c>
      <c r="Q885" t="s">
        <v>39</v>
      </c>
      <c r="R885" t="s">
        <v>40</v>
      </c>
      <c r="S885">
        <v>0</v>
      </c>
      <c r="U885" t="s">
        <v>41</v>
      </c>
      <c r="V885" t="s">
        <v>42</v>
      </c>
      <c r="X885" t="s">
        <v>74</v>
      </c>
      <c r="Y885" t="b">
        <v>0</v>
      </c>
      <c r="Z885" t="b">
        <v>0</v>
      </c>
      <c r="AC885" s="1"/>
      <c r="AF885">
        <v>0</v>
      </c>
      <c r="AH885">
        <v>218</v>
      </c>
      <c r="AI885" s="2">
        <f>Table__192.168.3.138BEWLPPMetaData[[#This Row],[NetAmount]]-Table__192.168.3.138BEWLPPMetaData[[#This Row],[Paid]]</f>
        <v>26332</v>
      </c>
    </row>
    <row r="886" spans="1:35" hidden="1">
      <c r="A886" t="s">
        <v>10175</v>
      </c>
      <c r="B886" s="1">
        <v>41100</v>
      </c>
      <c r="C886" s="1">
        <v>41145</v>
      </c>
      <c r="D886" t="s">
        <v>5529</v>
      </c>
      <c r="E886">
        <v>140160</v>
      </c>
      <c r="F886">
        <v>22426</v>
      </c>
      <c r="G886">
        <v>0</v>
      </c>
      <c r="H886">
        <v>0</v>
      </c>
      <c r="I886">
        <v>155</v>
      </c>
      <c r="J886">
        <v>162586</v>
      </c>
      <c r="K886" t="s">
        <v>920</v>
      </c>
      <c r="L886" s="1">
        <v>41113</v>
      </c>
      <c r="N886" t="s">
        <v>6694</v>
      </c>
      <c r="O886" t="s">
        <v>3507</v>
      </c>
      <c r="P886" t="s">
        <v>8614</v>
      </c>
      <c r="Q886" t="s">
        <v>39</v>
      </c>
      <c r="R886" t="s">
        <v>40</v>
      </c>
      <c r="S886">
        <v>0</v>
      </c>
      <c r="U886" t="s">
        <v>41</v>
      </c>
      <c r="V886" t="s">
        <v>42</v>
      </c>
      <c r="X886" t="s">
        <v>74</v>
      </c>
      <c r="Y886" t="b">
        <v>0</v>
      </c>
      <c r="Z886" t="b">
        <v>0</v>
      </c>
      <c r="AC886" s="1"/>
      <c r="AF886">
        <v>0</v>
      </c>
      <c r="AG886">
        <v>45</v>
      </c>
      <c r="AH886">
        <v>200</v>
      </c>
      <c r="AI886" s="2">
        <f>Table__192.168.3.138BEWLPPMetaData[[#This Row],[NetAmount]]-Table__192.168.3.138BEWLPPMetaData[[#This Row],[Paid]]</f>
        <v>162586</v>
      </c>
    </row>
    <row r="887" spans="1:35" hidden="1">
      <c r="A887" t="s">
        <v>10176</v>
      </c>
      <c r="B887" s="1">
        <v>41111</v>
      </c>
      <c r="C887" s="1">
        <v>41156</v>
      </c>
      <c r="D887" t="s">
        <v>5469</v>
      </c>
      <c r="E887">
        <v>68000</v>
      </c>
      <c r="F887">
        <v>10880</v>
      </c>
      <c r="G887">
        <v>0</v>
      </c>
      <c r="H887">
        <v>0</v>
      </c>
      <c r="I887">
        <v>157</v>
      </c>
      <c r="J887">
        <v>78880</v>
      </c>
      <c r="K887" t="s">
        <v>4956</v>
      </c>
      <c r="L887" s="1">
        <v>41111</v>
      </c>
      <c r="N887" t="s">
        <v>6694</v>
      </c>
      <c r="O887" t="s">
        <v>3507</v>
      </c>
      <c r="P887" t="s">
        <v>368</v>
      </c>
      <c r="Q887" t="s">
        <v>39</v>
      </c>
      <c r="R887" t="s">
        <v>40</v>
      </c>
      <c r="S887">
        <v>0</v>
      </c>
      <c r="U887" t="s">
        <v>41</v>
      </c>
      <c r="V887" t="s">
        <v>42</v>
      </c>
      <c r="X887" t="s">
        <v>74</v>
      </c>
      <c r="Y887" t="b">
        <v>0</v>
      </c>
      <c r="Z887" t="b">
        <v>0</v>
      </c>
      <c r="AC887" s="1"/>
      <c r="AF887">
        <v>0</v>
      </c>
      <c r="AG887">
        <v>45</v>
      </c>
      <c r="AH887">
        <v>202</v>
      </c>
      <c r="AI887" s="2">
        <f>Table__192.168.3.138BEWLPPMetaData[[#This Row],[NetAmount]]-Table__192.168.3.138BEWLPPMetaData[[#This Row],[Paid]]</f>
        <v>78880</v>
      </c>
    </row>
    <row r="888" spans="1:35" hidden="1">
      <c r="A888" t="s">
        <v>10177</v>
      </c>
      <c r="B888" s="1">
        <v>41097</v>
      </c>
      <c r="C888" s="1">
        <v>41097</v>
      </c>
      <c r="D888" t="s">
        <v>8666</v>
      </c>
      <c r="E888">
        <v>6125</v>
      </c>
      <c r="F888">
        <v>980</v>
      </c>
      <c r="G888">
        <v>0</v>
      </c>
      <c r="H888">
        <v>0</v>
      </c>
      <c r="I888">
        <v>0</v>
      </c>
      <c r="J888">
        <v>7105</v>
      </c>
      <c r="K888" t="s">
        <v>3031</v>
      </c>
      <c r="L888" s="1">
        <v>41096</v>
      </c>
      <c r="M888" t="s">
        <v>10178</v>
      </c>
      <c r="N888" t="s">
        <v>6694</v>
      </c>
      <c r="O888" t="s">
        <v>3507</v>
      </c>
      <c r="P888" t="s">
        <v>8668</v>
      </c>
      <c r="Q888" t="s">
        <v>39</v>
      </c>
      <c r="R888" t="s">
        <v>40</v>
      </c>
      <c r="S888">
        <v>0</v>
      </c>
      <c r="U888" t="s">
        <v>41</v>
      </c>
      <c r="V888" t="s">
        <v>42</v>
      </c>
      <c r="W888" t="s">
        <v>10179</v>
      </c>
      <c r="X888" t="s">
        <v>74</v>
      </c>
      <c r="Y888" t="b">
        <v>0</v>
      </c>
      <c r="Z888" t="b">
        <v>0</v>
      </c>
      <c r="AA888" t="b">
        <v>0</v>
      </c>
      <c r="AC888" s="1"/>
      <c r="AF888">
        <v>0</v>
      </c>
      <c r="AH888">
        <v>217</v>
      </c>
      <c r="AI888" s="2">
        <f>Table__192.168.3.138BEWLPPMetaData[[#This Row],[NetAmount]]-Table__192.168.3.138BEWLPPMetaData[[#This Row],[Paid]]</f>
        <v>7105</v>
      </c>
    </row>
    <row r="889" spans="1:35" hidden="1">
      <c r="A889" t="s">
        <v>10180</v>
      </c>
      <c r="B889" s="1">
        <v>41095</v>
      </c>
      <c r="C889" s="1">
        <v>41140</v>
      </c>
      <c r="D889" t="s">
        <v>8577</v>
      </c>
      <c r="E889">
        <v>2750</v>
      </c>
      <c r="F889">
        <v>0</v>
      </c>
      <c r="G889">
        <v>0</v>
      </c>
      <c r="H889">
        <v>0</v>
      </c>
      <c r="I889">
        <v>174</v>
      </c>
      <c r="J889">
        <v>2750</v>
      </c>
      <c r="K889" t="s">
        <v>10181</v>
      </c>
      <c r="L889" s="1">
        <v>41094</v>
      </c>
      <c r="N889" t="s">
        <v>6694</v>
      </c>
      <c r="O889" t="s">
        <v>3507</v>
      </c>
      <c r="P889" t="s">
        <v>8579</v>
      </c>
      <c r="Q889" t="s">
        <v>39</v>
      </c>
      <c r="R889" t="s">
        <v>40</v>
      </c>
      <c r="S889">
        <v>0</v>
      </c>
      <c r="U889" t="s">
        <v>41</v>
      </c>
      <c r="V889" t="s">
        <v>42</v>
      </c>
      <c r="X889" t="s">
        <v>74</v>
      </c>
      <c r="Y889" t="b">
        <v>0</v>
      </c>
      <c r="Z889" t="b">
        <v>0</v>
      </c>
      <c r="AC889" s="1"/>
      <c r="AF889">
        <v>0</v>
      </c>
      <c r="AG889">
        <v>45</v>
      </c>
      <c r="AH889">
        <v>219</v>
      </c>
      <c r="AI889" s="2">
        <f>Table__192.168.3.138BEWLPPMetaData[[#This Row],[NetAmount]]-Table__192.168.3.138BEWLPPMetaData[[#This Row],[Paid]]</f>
        <v>2750</v>
      </c>
    </row>
    <row r="890" spans="1:35" hidden="1">
      <c r="A890" t="s">
        <v>10182</v>
      </c>
      <c r="B890" s="1">
        <v>41101</v>
      </c>
      <c r="C890" s="1">
        <v>41146</v>
      </c>
      <c r="D890" t="s">
        <v>5529</v>
      </c>
      <c r="E890">
        <v>417366</v>
      </c>
      <c r="F890">
        <v>66779</v>
      </c>
      <c r="G890">
        <v>0</v>
      </c>
      <c r="H890">
        <v>0</v>
      </c>
      <c r="I890">
        <v>155</v>
      </c>
      <c r="J890">
        <v>484145</v>
      </c>
      <c r="K890" t="s">
        <v>9465</v>
      </c>
      <c r="L890" s="1">
        <v>41113</v>
      </c>
      <c r="N890" t="s">
        <v>6694</v>
      </c>
      <c r="O890" t="s">
        <v>3507</v>
      </c>
      <c r="P890" t="s">
        <v>8614</v>
      </c>
      <c r="Q890" t="s">
        <v>39</v>
      </c>
      <c r="R890" t="s">
        <v>40</v>
      </c>
      <c r="S890">
        <v>0</v>
      </c>
      <c r="U890" t="s">
        <v>41</v>
      </c>
      <c r="V890" t="s">
        <v>42</v>
      </c>
      <c r="X890" t="s">
        <v>74</v>
      </c>
      <c r="Y890" t="b">
        <v>0</v>
      </c>
      <c r="Z890" t="b">
        <v>0</v>
      </c>
      <c r="AC890" s="1"/>
      <c r="AF890">
        <v>0</v>
      </c>
      <c r="AG890">
        <v>45</v>
      </c>
      <c r="AH890">
        <v>200</v>
      </c>
      <c r="AI890" s="2">
        <f>Table__192.168.3.138BEWLPPMetaData[[#This Row],[NetAmount]]-Table__192.168.3.138BEWLPPMetaData[[#This Row],[Paid]]</f>
        <v>484145</v>
      </c>
    </row>
    <row r="891" spans="1:35" hidden="1">
      <c r="A891" t="s">
        <v>10183</v>
      </c>
      <c r="B891" s="1">
        <v>41113</v>
      </c>
      <c r="C891" s="1">
        <v>41158</v>
      </c>
      <c r="D891" t="s">
        <v>5529</v>
      </c>
      <c r="E891">
        <v>87948</v>
      </c>
      <c r="F891">
        <v>14072</v>
      </c>
      <c r="G891">
        <v>0</v>
      </c>
      <c r="H891">
        <v>0</v>
      </c>
      <c r="I891">
        <v>161</v>
      </c>
      <c r="J891">
        <v>102020</v>
      </c>
      <c r="K891" t="s">
        <v>3521</v>
      </c>
      <c r="L891" s="1">
        <v>41107</v>
      </c>
      <c r="N891" t="s">
        <v>6694</v>
      </c>
      <c r="O891" t="s">
        <v>3507</v>
      </c>
      <c r="P891" t="s">
        <v>8614</v>
      </c>
      <c r="Q891" t="s">
        <v>39</v>
      </c>
      <c r="R891" t="s">
        <v>40</v>
      </c>
      <c r="S891">
        <v>0</v>
      </c>
      <c r="U891" t="s">
        <v>41</v>
      </c>
      <c r="V891" t="s">
        <v>42</v>
      </c>
      <c r="X891" t="s">
        <v>74</v>
      </c>
      <c r="Y891" t="b">
        <v>0</v>
      </c>
      <c r="Z891" t="b">
        <v>0</v>
      </c>
      <c r="AC891" s="1"/>
      <c r="AF891">
        <v>0</v>
      </c>
      <c r="AG891">
        <v>45</v>
      </c>
      <c r="AH891">
        <v>206</v>
      </c>
      <c r="AI891" s="2">
        <f>Table__192.168.3.138BEWLPPMetaData[[#This Row],[NetAmount]]-Table__192.168.3.138BEWLPPMetaData[[#This Row],[Paid]]</f>
        <v>102020</v>
      </c>
    </row>
    <row r="892" spans="1:35" hidden="1">
      <c r="A892" t="s">
        <v>10184</v>
      </c>
      <c r="B892" s="1">
        <v>41103</v>
      </c>
      <c r="C892" s="1">
        <v>41148</v>
      </c>
      <c r="D892" t="s">
        <v>5529</v>
      </c>
      <c r="E892">
        <v>141480</v>
      </c>
      <c r="F892">
        <v>22637</v>
      </c>
      <c r="G892">
        <v>0</v>
      </c>
      <c r="H892">
        <v>0</v>
      </c>
      <c r="I892">
        <v>171</v>
      </c>
      <c r="J892">
        <v>164117</v>
      </c>
      <c r="K892" t="s">
        <v>36</v>
      </c>
      <c r="L892" s="1">
        <v>41097</v>
      </c>
      <c r="N892" t="s">
        <v>6694</v>
      </c>
      <c r="O892" t="s">
        <v>3507</v>
      </c>
      <c r="P892" t="s">
        <v>8614</v>
      </c>
      <c r="Q892" t="s">
        <v>39</v>
      </c>
      <c r="R892" t="s">
        <v>40</v>
      </c>
      <c r="S892">
        <v>0</v>
      </c>
      <c r="U892" t="s">
        <v>41</v>
      </c>
      <c r="V892" t="s">
        <v>42</v>
      </c>
      <c r="X892" t="s">
        <v>74</v>
      </c>
      <c r="Y892" t="b">
        <v>0</v>
      </c>
      <c r="Z892" t="b">
        <v>0</v>
      </c>
      <c r="AC892" s="1"/>
      <c r="AF892">
        <v>0</v>
      </c>
      <c r="AG892">
        <v>45</v>
      </c>
      <c r="AH892">
        <v>216</v>
      </c>
      <c r="AI892" s="2">
        <f>Table__192.168.3.138BEWLPPMetaData[[#This Row],[NetAmount]]-Table__192.168.3.138BEWLPPMetaData[[#This Row],[Paid]]</f>
        <v>164117</v>
      </c>
    </row>
    <row r="893" spans="1:35" hidden="1">
      <c r="A893" t="s">
        <v>10185</v>
      </c>
      <c r="B893" s="1">
        <v>41107</v>
      </c>
      <c r="C893" s="1">
        <v>41152</v>
      </c>
      <c r="D893" t="s">
        <v>5529</v>
      </c>
      <c r="E893">
        <v>478720</v>
      </c>
      <c r="F893">
        <v>76595</v>
      </c>
      <c r="G893">
        <v>0</v>
      </c>
      <c r="H893">
        <v>0</v>
      </c>
      <c r="I893">
        <v>164</v>
      </c>
      <c r="J893">
        <v>555315</v>
      </c>
      <c r="K893" t="s">
        <v>3732</v>
      </c>
      <c r="L893" s="1">
        <v>41104</v>
      </c>
      <c r="N893" t="s">
        <v>6694</v>
      </c>
      <c r="O893" t="s">
        <v>3507</v>
      </c>
      <c r="P893" t="s">
        <v>8614</v>
      </c>
      <c r="Q893" t="s">
        <v>39</v>
      </c>
      <c r="R893" t="s">
        <v>40</v>
      </c>
      <c r="S893">
        <v>0</v>
      </c>
      <c r="U893" t="s">
        <v>41</v>
      </c>
      <c r="V893" t="s">
        <v>42</v>
      </c>
      <c r="X893" t="s">
        <v>74</v>
      </c>
      <c r="Y893" t="b">
        <v>0</v>
      </c>
      <c r="Z893" t="b">
        <v>0</v>
      </c>
      <c r="AC893" s="1"/>
      <c r="AF893">
        <v>0</v>
      </c>
      <c r="AG893">
        <v>45</v>
      </c>
      <c r="AH893">
        <v>209</v>
      </c>
      <c r="AI893" s="2">
        <f>Table__192.168.3.138BEWLPPMetaData[[#This Row],[NetAmount]]-Table__192.168.3.138BEWLPPMetaData[[#This Row],[Paid]]</f>
        <v>555315</v>
      </c>
    </row>
    <row r="894" spans="1:35" hidden="1">
      <c r="A894" t="s">
        <v>10186</v>
      </c>
      <c r="B894" s="1">
        <v>41093</v>
      </c>
      <c r="C894" s="1">
        <v>41138</v>
      </c>
      <c r="D894" t="s">
        <v>5529</v>
      </c>
      <c r="E894">
        <v>141480</v>
      </c>
      <c r="F894">
        <v>22637</v>
      </c>
      <c r="G894">
        <v>0</v>
      </c>
      <c r="H894">
        <v>0</v>
      </c>
      <c r="I894">
        <v>150</v>
      </c>
      <c r="J894">
        <v>164117</v>
      </c>
      <c r="K894" t="s">
        <v>8684</v>
      </c>
      <c r="L894" s="1">
        <v>41118</v>
      </c>
      <c r="N894" t="s">
        <v>6694</v>
      </c>
      <c r="O894" t="s">
        <v>3507</v>
      </c>
      <c r="P894" t="s">
        <v>8614</v>
      </c>
      <c r="Q894" t="s">
        <v>39</v>
      </c>
      <c r="R894" t="s">
        <v>40</v>
      </c>
      <c r="S894">
        <v>0</v>
      </c>
      <c r="U894" t="s">
        <v>41</v>
      </c>
      <c r="V894" t="s">
        <v>42</v>
      </c>
      <c r="X894" t="s">
        <v>74</v>
      </c>
      <c r="Y894" t="b">
        <v>0</v>
      </c>
      <c r="Z894" t="b">
        <v>0</v>
      </c>
      <c r="AC894" s="1"/>
      <c r="AF894">
        <v>0</v>
      </c>
      <c r="AG894">
        <v>45</v>
      </c>
      <c r="AH894">
        <v>195</v>
      </c>
      <c r="AI894" s="2">
        <f>Table__192.168.3.138BEWLPPMetaData[[#This Row],[NetAmount]]-Table__192.168.3.138BEWLPPMetaData[[#This Row],[Paid]]</f>
        <v>164117</v>
      </c>
    </row>
    <row r="895" spans="1:35" hidden="1">
      <c r="A895" t="s">
        <v>10187</v>
      </c>
      <c r="B895" s="1">
        <v>41091</v>
      </c>
      <c r="C895" s="1">
        <v>41136</v>
      </c>
      <c r="D895" t="s">
        <v>5529</v>
      </c>
      <c r="E895">
        <v>141480</v>
      </c>
      <c r="F895">
        <v>22637</v>
      </c>
      <c r="G895">
        <v>0</v>
      </c>
      <c r="H895">
        <v>0</v>
      </c>
      <c r="I895">
        <v>181</v>
      </c>
      <c r="J895">
        <v>164117</v>
      </c>
      <c r="K895" t="s">
        <v>10188</v>
      </c>
      <c r="L895" s="1">
        <v>41087</v>
      </c>
      <c r="N895" t="s">
        <v>6694</v>
      </c>
      <c r="O895" t="s">
        <v>3507</v>
      </c>
      <c r="P895" t="s">
        <v>8614</v>
      </c>
      <c r="Q895" t="s">
        <v>39</v>
      </c>
      <c r="R895" t="s">
        <v>40</v>
      </c>
      <c r="S895">
        <v>0</v>
      </c>
      <c r="U895" t="s">
        <v>41</v>
      </c>
      <c r="V895" t="s">
        <v>42</v>
      </c>
      <c r="X895" t="s">
        <v>74</v>
      </c>
      <c r="Y895" t="b">
        <v>0</v>
      </c>
      <c r="Z895" t="b">
        <v>0</v>
      </c>
      <c r="AC895" s="1"/>
      <c r="AF895">
        <v>0</v>
      </c>
      <c r="AG895">
        <v>45</v>
      </c>
      <c r="AH895">
        <v>226</v>
      </c>
      <c r="AI895" s="2">
        <f>Table__192.168.3.138BEWLPPMetaData[[#This Row],[NetAmount]]-Table__192.168.3.138BEWLPPMetaData[[#This Row],[Paid]]</f>
        <v>164117</v>
      </c>
    </row>
    <row r="896" spans="1:35" hidden="1">
      <c r="A896" t="s">
        <v>10189</v>
      </c>
      <c r="B896" s="1">
        <v>41091</v>
      </c>
      <c r="C896" s="1">
        <v>41136</v>
      </c>
      <c r="D896" t="s">
        <v>5529</v>
      </c>
      <c r="E896">
        <v>70740</v>
      </c>
      <c r="F896">
        <v>11318</v>
      </c>
      <c r="G896">
        <v>0</v>
      </c>
      <c r="H896">
        <v>0</v>
      </c>
      <c r="I896">
        <v>182</v>
      </c>
      <c r="J896">
        <v>82058</v>
      </c>
      <c r="K896" t="s">
        <v>10190</v>
      </c>
      <c r="L896" s="1">
        <v>41086</v>
      </c>
      <c r="N896" t="s">
        <v>6694</v>
      </c>
      <c r="O896" t="s">
        <v>3507</v>
      </c>
      <c r="P896" t="s">
        <v>8614</v>
      </c>
      <c r="Q896" t="s">
        <v>39</v>
      </c>
      <c r="R896" t="s">
        <v>40</v>
      </c>
      <c r="S896">
        <v>0</v>
      </c>
      <c r="U896" t="s">
        <v>41</v>
      </c>
      <c r="V896" t="s">
        <v>42</v>
      </c>
      <c r="X896" t="s">
        <v>74</v>
      </c>
      <c r="Y896" t="b">
        <v>0</v>
      </c>
      <c r="Z896" t="b">
        <v>0</v>
      </c>
      <c r="AC896" s="1"/>
      <c r="AF896">
        <v>0</v>
      </c>
      <c r="AG896">
        <v>45</v>
      </c>
      <c r="AH896">
        <v>227</v>
      </c>
      <c r="AI896" s="2">
        <f>Table__192.168.3.138BEWLPPMetaData[[#This Row],[NetAmount]]-Table__192.168.3.138BEWLPPMetaData[[#This Row],[Paid]]</f>
        <v>82058</v>
      </c>
    </row>
    <row r="897" spans="1:35" hidden="1">
      <c r="A897" t="s">
        <v>10191</v>
      </c>
      <c r="B897" s="1">
        <v>41105</v>
      </c>
      <c r="C897" s="1">
        <v>41150</v>
      </c>
      <c r="D897" t="s">
        <v>8524</v>
      </c>
      <c r="E897">
        <v>32011</v>
      </c>
      <c r="F897">
        <v>5122</v>
      </c>
      <c r="G897">
        <v>0</v>
      </c>
      <c r="H897">
        <v>0</v>
      </c>
      <c r="I897">
        <v>169</v>
      </c>
      <c r="J897">
        <v>37133</v>
      </c>
      <c r="K897" t="s">
        <v>148</v>
      </c>
      <c r="L897" s="1">
        <v>41099</v>
      </c>
      <c r="N897" t="s">
        <v>6694</v>
      </c>
      <c r="O897" t="s">
        <v>3507</v>
      </c>
      <c r="P897" t="s">
        <v>8525</v>
      </c>
      <c r="Q897" t="s">
        <v>39</v>
      </c>
      <c r="R897" t="s">
        <v>40</v>
      </c>
      <c r="S897">
        <v>0</v>
      </c>
      <c r="U897" t="s">
        <v>41</v>
      </c>
      <c r="V897" t="s">
        <v>42</v>
      </c>
      <c r="X897" t="s">
        <v>74</v>
      </c>
      <c r="Y897" t="b">
        <v>0</v>
      </c>
      <c r="Z897" t="b">
        <v>0</v>
      </c>
      <c r="AC897" s="1"/>
      <c r="AF897">
        <v>0</v>
      </c>
      <c r="AG897">
        <v>45</v>
      </c>
      <c r="AH897">
        <v>214</v>
      </c>
      <c r="AI897" s="2">
        <f>Table__192.168.3.138BEWLPPMetaData[[#This Row],[NetAmount]]-Table__192.168.3.138BEWLPPMetaData[[#This Row],[Paid]]</f>
        <v>37133</v>
      </c>
    </row>
    <row r="898" spans="1:35" hidden="1">
      <c r="A898" t="s">
        <v>10192</v>
      </c>
      <c r="B898" s="1">
        <v>41105</v>
      </c>
      <c r="C898" s="1">
        <v>41150</v>
      </c>
      <c r="D898" t="s">
        <v>8524</v>
      </c>
      <c r="E898">
        <v>3284</v>
      </c>
      <c r="F898">
        <v>526</v>
      </c>
      <c r="G898">
        <v>0</v>
      </c>
      <c r="H898">
        <v>0</v>
      </c>
      <c r="I898">
        <v>169</v>
      </c>
      <c r="J898">
        <v>3810</v>
      </c>
      <c r="K898" t="s">
        <v>139</v>
      </c>
      <c r="L898" s="1">
        <v>41099</v>
      </c>
      <c r="N898" t="s">
        <v>6694</v>
      </c>
      <c r="O898" t="s">
        <v>3507</v>
      </c>
      <c r="P898" t="s">
        <v>8525</v>
      </c>
      <c r="Q898" t="s">
        <v>39</v>
      </c>
      <c r="R898" t="s">
        <v>40</v>
      </c>
      <c r="S898">
        <v>0</v>
      </c>
      <c r="U898" t="s">
        <v>41</v>
      </c>
      <c r="V898" t="s">
        <v>42</v>
      </c>
      <c r="X898" t="s">
        <v>74</v>
      </c>
      <c r="Y898" t="b">
        <v>0</v>
      </c>
      <c r="Z898" t="b">
        <v>0</v>
      </c>
      <c r="AC898" s="1"/>
      <c r="AF898">
        <v>0</v>
      </c>
      <c r="AG898">
        <v>45</v>
      </c>
      <c r="AH898">
        <v>214</v>
      </c>
      <c r="AI898" s="2">
        <f>Table__192.168.3.138BEWLPPMetaData[[#This Row],[NetAmount]]-Table__192.168.3.138BEWLPPMetaData[[#This Row],[Paid]]</f>
        <v>3810</v>
      </c>
    </row>
    <row r="899" spans="1:35" hidden="1">
      <c r="A899" t="s">
        <v>10193</v>
      </c>
      <c r="B899" s="1">
        <v>41097</v>
      </c>
      <c r="C899" s="1">
        <v>41142</v>
      </c>
      <c r="D899" t="s">
        <v>8524</v>
      </c>
      <c r="E899">
        <v>40637</v>
      </c>
      <c r="F899">
        <v>6502</v>
      </c>
      <c r="G899">
        <v>0</v>
      </c>
      <c r="H899">
        <v>0</v>
      </c>
      <c r="I899">
        <v>152</v>
      </c>
      <c r="J899">
        <v>47139</v>
      </c>
      <c r="K899" t="s">
        <v>2806</v>
      </c>
      <c r="L899" s="1">
        <v>41116</v>
      </c>
      <c r="N899" t="s">
        <v>6694</v>
      </c>
      <c r="O899" t="s">
        <v>3507</v>
      </c>
      <c r="P899" t="s">
        <v>8525</v>
      </c>
      <c r="Q899" t="s">
        <v>39</v>
      </c>
      <c r="R899" t="s">
        <v>40</v>
      </c>
      <c r="S899">
        <v>0</v>
      </c>
      <c r="U899" t="s">
        <v>41</v>
      </c>
      <c r="V899" t="s">
        <v>42</v>
      </c>
      <c r="X899" t="s">
        <v>74</v>
      </c>
      <c r="Y899" t="b">
        <v>0</v>
      </c>
      <c r="Z899" t="b">
        <v>0</v>
      </c>
      <c r="AC899" s="1"/>
      <c r="AF899">
        <v>0</v>
      </c>
      <c r="AG899">
        <v>45</v>
      </c>
      <c r="AH899">
        <v>197</v>
      </c>
      <c r="AI899" s="2">
        <f>Table__192.168.3.138BEWLPPMetaData[[#This Row],[NetAmount]]-Table__192.168.3.138BEWLPPMetaData[[#This Row],[Paid]]</f>
        <v>47139</v>
      </c>
    </row>
    <row r="900" spans="1:35" hidden="1">
      <c r="A900" t="s">
        <v>10194</v>
      </c>
      <c r="B900" s="1">
        <v>41097</v>
      </c>
      <c r="C900" s="1">
        <v>41142</v>
      </c>
      <c r="D900" t="s">
        <v>8524</v>
      </c>
      <c r="E900">
        <v>162869</v>
      </c>
      <c r="F900">
        <v>26059</v>
      </c>
      <c r="G900">
        <v>0</v>
      </c>
      <c r="H900">
        <v>0</v>
      </c>
      <c r="I900">
        <v>182</v>
      </c>
      <c r="J900">
        <v>188928</v>
      </c>
      <c r="K900" t="s">
        <v>2808</v>
      </c>
      <c r="L900" s="1">
        <v>41086</v>
      </c>
      <c r="N900" t="s">
        <v>6694</v>
      </c>
      <c r="O900" t="s">
        <v>3507</v>
      </c>
      <c r="P900" t="s">
        <v>8525</v>
      </c>
      <c r="Q900" t="s">
        <v>39</v>
      </c>
      <c r="R900" t="s">
        <v>40</v>
      </c>
      <c r="S900">
        <v>0</v>
      </c>
      <c r="U900" t="s">
        <v>41</v>
      </c>
      <c r="V900" t="s">
        <v>42</v>
      </c>
      <c r="X900" t="s">
        <v>74</v>
      </c>
      <c r="Y900" t="b">
        <v>0</v>
      </c>
      <c r="Z900" t="b">
        <v>0</v>
      </c>
      <c r="AC900" s="1"/>
      <c r="AF900">
        <v>0</v>
      </c>
      <c r="AG900">
        <v>45</v>
      </c>
      <c r="AH900">
        <v>227</v>
      </c>
      <c r="AI900" s="2">
        <f>Table__192.168.3.138BEWLPPMetaData[[#This Row],[NetAmount]]-Table__192.168.3.138BEWLPPMetaData[[#This Row],[Paid]]</f>
        <v>188928</v>
      </c>
    </row>
    <row r="901" spans="1:35" hidden="1">
      <c r="A901" t="s">
        <v>10195</v>
      </c>
      <c r="B901" s="1">
        <v>41106</v>
      </c>
      <c r="C901" s="1">
        <v>41151</v>
      </c>
      <c r="D901" t="s">
        <v>8574</v>
      </c>
      <c r="E901">
        <v>18426</v>
      </c>
      <c r="F901">
        <v>2948</v>
      </c>
      <c r="G901">
        <v>0</v>
      </c>
      <c r="H901">
        <v>0</v>
      </c>
      <c r="I901">
        <v>198</v>
      </c>
      <c r="J901">
        <v>21374</v>
      </c>
      <c r="K901" t="s">
        <v>10196</v>
      </c>
      <c r="L901" s="1">
        <v>41070</v>
      </c>
      <c r="N901" t="s">
        <v>6694</v>
      </c>
      <c r="O901" t="s">
        <v>3507</v>
      </c>
      <c r="P901" t="s">
        <v>344</v>
      </c>
      <c r="Q901" t="s">
        <v>39</v>
      </c>
      <c r="R901" t="s">
        <v>40</v>
      </c>
      <c r="S901">
        <v>0</v>
      </c>
      <c r="U901" t="s">
        <v>41</v>
      </c>
      <c r="V901" t="s">
        <v>42</v>
      </c>
      <c r="X901" t="s">
        <v>74</v>
      </c>
      <c r="Y901" t="b">
        <v>0</v>
      </c>
      <c r="Z901" t="b">
        <v>0</v>
      </c>
      <c r="AC901" s="1"/>
      <c r="AF901">
        <v>0</v>
      </c>
      <c r="AG901">
        <v>45</v>
      </c>
      <c r="AH901">
        <v>243</v>
      </c>
      <c r="AI901" s="2">
        <f>Table__192.168.3.138BEWLPPMetaData[[#This Row],[NetAmount]]-Table__192.168.3.138BEWLPPMetaData[[#This Row],[Paid]]</f>
        <v>21374</v>
      </c>
    </row>
    <row r="902" spans="1:35" hidden="1">
      <c r="A902" t="s">
        <v>10197</v>
      </c>
      <c r="B902" s="1">
        <v>41108</v>
      </c>
      <c r="C902" s="1">
        <v>41108</v>
      </c>
      <c r="D902" t="s">
        <v>8591</v>
      </c>
      <c r="E902">
        <v>18120</v>
      </c>
      <c r="F902">
        <v>2899</v>
      </c>
      <c r="G902">
        <v>0</v>
      </c>
      <c r="H902">
        <v>0</v>
      </c>
      <c r="I902">
        <v>0</v>
      </c>
      <c r="J902">
        <v>21019</v>
      </c>
      <c r="K902" t="s">
        <v>10198</v>
      </c>
      <c r="L902" s="1">
        <v>41108</v>
      </c>
      <c r="N902" t="s">
        <v>6694</v>
      </c>
      <c r="O902" t="s">
        <v>3507</v>
      </c>
      <c r="P902" t="s">
        <v>425</v>
      </c>
      <c r="Q902" t="s">
        <v>39</v>
      </c>
      <c r="R902" t="s">
        <v>40</v>
      </c>
      <c r="S902">
        <v>0</v>
      </c>
      <c r="U902" t="s">
        <v>41</v>
      </c>
      <c r="V902" t="s">
        <v>42</v>
      </c>
      <c r="X902" t="s">
        <v>74</v>
      </c>
      <c r="Y902" t="b">
        <v>0</v>
      </c>
      <c r="Z902" t="b">
        <v>0</v>
      </c>
      <c r="AC902" s="1"/>
      <c r="AF902">
        <v>0</v>
      </c>
      <c r="AH902">
        <v>205</v>
      </c>
      <c r="AI902" s="2">
        <f>Table__192.168.3.138BEWLPPMetaData[[#This Row],[NetAmount]]-Table__192.168.3.138BEWLPPMetaData[[#This Row],[Paid]]</f>
        <v>21019</v>
      </c>
    </row>
    <row r="903" spans="1:35" hidden="1">
      <c r="A903" t="s">
        <v>10199</v>
      </c>
      <c r="B903" s="1">
        <v>41108</v>
      </c>
      <c r="C903" s="1">
        <v>41153</v>
      </c>
      <c r="D903" t="s">
        <v>8527</v>
      </c>
      <c r="E903">
        <v>125850</v>
      </c>
      <c r="F903">
        <v>20136</v>
      </c>
      <c r="G903">
        <v>0</v>
      </c>
      <c r="H903">
        <v>0</v>
      </c>
      <c r="I903">
        <v>160</v>
      </c>
      <c r="J903">
        <v>145986</v>
      </c>
      <c r="K903" t="s">
        <v>8670</v>
      </c>
      <c r="L903" s="1">
        <v>41108</v>
      </c>
      <c r="N903" t="s">
        <v>6694</v>
      </c>
      <c r="O903" t="s">
        <v>3507</v>
      </c>
      <c r="P903" t="s">
        <v>8528</v>
      </c>
      <c r="Q903" t="s">
        <v>39</v>
      </c>
      <c r="R903" t="s">
        <v>40</v>
      </c>
      <c r="S903">
        <v>0</v>
      </c>
      <c r="U903" t="s">
        <v>41</v>
      </c>
      <c r="V903" t="s">
        <v>42</v>
      </c>
      <c r="X903" t="s">
        <v>74</v>
      </c>
      <c r="Y903" t="b">
        <v>0</v>
      </c>
      <c r="Z903" t="b">
        <v>0</v>
      </c>
      <c r="AC903" s="1"/>
      <c r="AF903">
        <v>0</v>
      </c>
      <c r="AG903">
        <v>45</v>
      </c>
      <c r="AH903">
        <v>205</v>
      </c>
      <c r="AI903" s="2">
        <f>Table__192.168.3.138BEWLPPMetaData[[#This Row],[NetAmount]]-Table__192.168.3.138BEWLPPMetaData[[#This Row],[Paid]]</f>
        <v>145986</v>
      </c>
    </row>
    <row r="904" spans="1:35" hidden="1">
      <c r="A904" t="s">
        <v>10200</v>
      </c>
      <c r="B904" s="1">
        <v>41113</v>
      </c>
      <c r="C904" s="1">
        <v>41158</v>
      </c>
      <c r="D904" t="s">
        <v>8630</v>
      </c>
      <c r="E904">
        <v>23400</v>
      </c>
      <c r="F904">
        <v>3744</v>
      </c>
      <c r="G904">
        <v>0</v>
      </c>
      <c r="H904">
        <v>0</v>
      </c>
      <c r="I904">
        <v>147</v>
      </c>
      <c r="J904">
        <v>27144</v>
      </c>
      <c r="K904" t="s">
        <v>7284</v>
      </c>
      <c r="L904" s="1">
        <v>41121</v>
      </c>
      <c r="N904" t="s">
        <v>6694</v>
      </c>
      <c r="O904" t="s">
        <v>3507</v>
      </c>
      <c r="P904" t="s">
        <v>363</v>
      </c>
      <c r="Q904" t="s">
        <v>39</v>
      </c>
      <c r="R904" t="s">
        <v>40</v>
      </c>
      <c r="S904">
        <v>0</v>
      </c>
      <c r="U904" t="s">
        <v>41</v>
      </c>
      <c r="V904" t="s">
        <v>42</v>
      </c>
      <c r="X904" t="s">
        <v>74</v>
      </c>
      <c r="Y904" t="b">
        <v>0</v>
      </c>
      <c r="Z904" t="b">
        <v>0</v>
      </c>
      <c r="AC904" s="1"/>
      <c r="AF904">
        <v>0</v>
      </c>
      <c r="AG904">
        <v>45</v>
      </c>
      <c r="AH904">
        <v>192</v>
      </c>
      <c r="AI904" s="2">
        <f>Table__192.168.3.138BEWLPPMetaData[[#This Row],[NetAmount]]-Table__192.168.3.138BEWLPPMetaData[[#This Row],[Paid]]</f>
        <v>27144</v>
      </c>
    </row>
    <row r="905" spans="1:35" hidden="1">
      <c r="A905" t="s">
        <v>10201</v>
      </c>
      <c r="B905" s="1">
        <v>41118</v>
      </c>
      <c r="C905" s="1">
        <v>41163</v>
      </c>
      <c r="D905" t="s">
        <v>8577</v>
      </c>
      <c r="E905">
        <v>11494</v>
      </c>
      <c r="F905">
        <v>0</v>
      </c>
      <c r="G905">
        <v>0</v>
      </c>
      <c r="H905">
        <v>0</v>
      </c>
      <c r="I905">
        <v>150</v>
      </c>
      <c r="J905">
        <v>11494</v>
      </c>
      <c r="K905" t="s">
        <v>802</v>
      </c>
      <c r="L905" s="1">
        <v>41118</v>
      </c>
      <c r="N905" t="s">
        <v>6694</v>
      </c>
      <c r="O905" t="s">
        <v>3507</v>
      </c>
      <c r="P905" t="s">
        <v>8579</v>
      </c>
      <c r="Q905" t="s">
        <v>39</v>
      </c>
      <c r="R905" t="s">
        <v>40</v>
      </c>
      <c r="S905">
        <v>0</v>
      </c>
      <c r="U905" t="s">
        <v>41</v>
      </c>
      <c r="V905" t="s">
        <v>42</v>
      </c>
      <c r="X905" t="s">
        <v>74</v>
      </c>
      <c r="Y905" t="b">
        <v>0</v>
      </c>
      <c r="Z905" t="b">
        <v>0</v>
      </c>
      <c r="AC905" s="1"/>
      <c r="AF905">
        <v>0</v>
      </c>
      <c r="AG905">
        <v>45</v>
      </c>
      <c r="AH905">
        <v>195</v>
      </c>
      <c r="AI905" s="2">
        <f>Table__192.168.3.138BEWLPPMetaData[[#This Row],[NetAmount]]-Table__192.168.3.138BEWLPPMetaData[[#This Row],[Paid]]</f>
        <v>11494</v>
      </c>
    </row>
    <row r="906" spans="1:35" hidden="1">
      <c r="A906" t="s">
        <v>10202</v>
      </c>
      <c r="B906" s="1">
        <v>41120</v>
      </c>
      <c r="C906" s="1">
        <v>41165</v>
      </c>
      <c r="D906" t="s">
        <v>8577</v>
      </c>
      <c r="E906">
        <v>10450</v>
      </c>
      <c r="F906">
        <v>0</v>
      </c>
      <c r="G906">
        <v>0</v>
      </c>
      <c r="H906">
        <v>0</v>
      </c>
      <c r="I906">
        <v>148</v>
      </c>
      <c r="J906">
        <v>10450</v>
      </c>
      <c r="K906" t="s">
        <v>10203</v>
      </c>
      <c r="L906" s="1">
        <v>41120</v>
      </c>
      <c r="N906" t="s">
        <v>6694</v>
      </c>
      <c r="O906" t="s">
        <v>3507</v>
      </c>
      <c r="P906" t="s">
        <v>8579</v>
      </c>
      <c r="Q906" t="s">
        <v>39</v>
      </c>
      <c r="R906" t="s">
        <v>40</v>
      </c>
      <c r="S906">
        <v>0</v>
      </c>
      <c r="U906" t="s">
        <v>41</v>
      </c>
      <c r="V906" t="s">
        <v>42</v>
      </c>
      <c r="X906" t="s">
        <v>74</v>
      </c>
      <c r="Y906" t="b">
        <v>0</v>
      </c>
      <c r="Z906" t="b">
        <v>0</v>
      </c>
      <c r="AC906" s="1"/>
      <c r="AF906">
        <v>0</v>
      </c>
      <c r="AG906">
        <v>45</v>
      </c>
      <c r="AH906">
        <v>193</v>
      </c>
      <c r="AI906" s="2">
        <f>Table__192.168.3.138BEWLPPMetaData[[#This Row],[NetAmount]]-Table__192.168.3.138BEWLPPMetaData[[#This Row],[Paid]]</f>
        <v>10450</v>
      </c>
    </row>
    <row r="907" spans="1:35" hidden="1">
      <c r="A907" t="s">
        <v>10204</v>
      </c>
      <c r="B907" s="1">
        <v>41114</v>
      </c>
      <c r="C907" s="1">
        <v>41159</v>
      </c>
      <c r="D907" t="s">
        <v>8577</v>
      </c>
      <c r="E907">
        <v>23300</v>
      </c>
      <c r="F907">
        <v>0</v>
      </c>
      <c r="G907">
        <v>0</v>
      </c>
      <c r="H907">
        <v>0</v>
      </c>
      <c r="I907">
        <v>155</v>
      </c>
      <c r="J907">
        <v>23300</v>
      </c>
      <c r="K907" t="s">
        <v>4579</v>
      </c>
      <c r="L907" s="1">
        <v>41113</v>
      </c>
      <c r="N907" t="s">
        <v>6694</v>
      </c>
      <c r="O907" t="s">
        <v>3507</v>
      </c>
      <c r="P907" t="s">
        <v>8579</v>
      </c>
      <c r="Q907" t="s">
        <v>39</v>
      </c>
      <c r="R907" t="s">
        <v>40</v>
      </c>
      <c r="S907">
        <v>0</v>
      </c>
      <c r="U907" t="s">
        <v>41</v>
      </c>
      <c r="V907" t="s">
        <v>42</v>
      </c>
      <c r="X907" t="s">
        <v>74</v>
      </c>
      <c r="Y907" t="b">
        <v>0</v>
      </c>
      <c r="Z907" t="b">
        <v>0</v>
      </c>
      <c r="AC907" s="1"/>
      <c r="AF907">
        <v>0</v>
      </c>
      <c r="AG907">
        <v>45</v>
      </c>
      <c r="AH907">
        <v>200</v>
      </c>
      <c r="AI907" s="2">
        <f>Table__192.168.3.138BEWLPPMetaData[[#This Row],[NetAmount]]-Table__192.168.3.138BEWLPPMetaData[[#This Row],[Paid]]</f>
        <v>23300</v>
      </c>
    </row>
    <row r="908" spans="1:35" hidden="1">
      <c r="A908" t="s">
        <v>10205</v>
      </c>
      <c r="B908" s="1">
        <v>41109</v>
      </c>
      <c r="C908" s="1">
        <v>41154</v>
      </c>
      <c r="D908" t="s">
        <v>8577</v>
      </c>
      <c r="E908">
        <v>20720</v>
      </c>
      <c r="F908">
        <v>0</v>
      </c>
      <c r="G908">
        <v>0</v>
      </c>
      <c r="H908">
        <v>0</v>
      </c>
      <c r="I908">
        <v>169</v>
      </c>
      <c r="J908">
        <v>20720</v>
      </c>
      <c r="K908" t="s">
        <v>10206</v>
      </c>
      <c r="L908" s="1">
        <v>41099</v>
      </c>
      <c r="N908" t="s">
        <v>6694</v>
      </c>
      <c r="O908" t="s">
        <v>3507</v>
      </c>
      <c r="P908" t="s">
        <v>8579</v>
      </c>
      <c r="Q908" t="s">
        <v>39</v>
      </c>
      <c r="R908" t="s">
        <v>40</v>
      </c>
      <c r="S908">
        <v>0</v>
      </c>
      <c r="U908" t="s">
        <v>41</v>
      </c>
      <c r="V908" t="s">
        <v>42</v>
      </c>
      <c r="X908" t="s">
        <v>74</v>
      </c>
      <c r="Y908" t="b">
        <v>0</v>
      </c>
      <c r="Z908" t="b">
        <v>0</v>
      </c>
      <c r="AC908" s="1"/>
      <c r="AF908">
        <v>0</v>
      </c>
      <c r="AG908">
        <v>45</v>
      </c>
      <c r="AH908">
        <v>214</v>
      </c>
      <c r="AI908" s="2">
        <f>Table__192.168.3.138BEWLPPMetaData[[#This Row],[NetAmount]]-Table__192.168.3.138BEWLPPMetaData[[#This Row],[Paid]]</f>
        <v>20720</v>
      </c>
    </row>
    <row r="909" spans="1:35" hidden="1">
      <c r="A909" t="s">
        <v>10207</v>
      </c>
      <c r="B909" s="1">
        <v>41115</v>
      </c>
      <c r="C909" s="1">
        <v>41115</v>
      </c>
      <c r="D909" t="s">
        <v>8591</v>
      </c>
      <c r="E909">
        <v>11325</v>
      </c>
      <c r="F909">
        <v>1812</v>
      </c>
      <c r="G909">
        <v>0</v>
      </c>
      <c r="H909">
        <v>0</v>
      </c>
      <c r="I909">
        <v>0</v>
      </c>
      <c r="J909">
        <v>13137</v>
      </c>
      <c r="K909" t="s">
        <v>10208</v>
      </c>
      <c r="L909" s="1">
        <v>41115</v>
      </c>
      <c r="N909" t="s">
        <v>6694</v>
      </c>
      <c r="O909" t="s">
        <v>3507</v>
      </c>
      <c r="P909" t="s">
        <v>425</v>
      </c>
      <c r="Q909" t="s">
        <v>39</v>
      </c>
      <c r="R909" t="s">
        <v>40</v>
      </c>
      <c r="S909">
        <v>0</v>
      </c>
      <c r="U909" t="s">
        <v>41</v>
      </c>
      <c r="V909" t="s">
        <v>42</v>
      </c>
      <c r="X909" t="s">
        <v>74</v>
      </c>
      <c r="Y909" t="b">
        <v>0</v>
      </c>
      <c r="Z909" t="b">
        <v>0</v>
      </c>
      <c r="AC909" s="1"/>
      <c r="AF909">
        <v>0</v>
      </c>
      <c r="AH909">
        <v>198</v>
      </c>
      <c r="AI909" s="2">
        <f>Table__192.168.3.138BEWLPPMetaData[[#This Row],[NetAmount]]-Table__192.168.3.138BEWLPPMetaData[[#This Row],[Paid]]</f>
        <v>13137</v>
      </c>
    </row>
    <row r="910" spans="1:35" hidden="1">
      <c r="A910" t="s">
        <v>10209</v>
      </c>
      <c r="B910" s="1">
        <v>41116</v>
      </c>
      <c r="C910" s="1">
        <v>41161</v>
      </c>
      <c r="D910" t="s">
        <v>9145</v>
      </c>
      <c r="E910">
        <v>37900</v>
      </c>
      <c r="F910">
        <v>0</v>
      </c>
      <c r="G910">
        <v>0</v>
      </c>
      <c r="H910">
        <v>0</v>
      </c>
      <c r="I910">
        <v>147</v>
      </c>
      <c r="J910">
        <v>37900</v>
      </c>
      <c r="K910" t="s">
        <v>865</v>
      </c>
      <c r="L910" s="1">
        <v>41121</v>
      </c>
      <c r="N910" t="s">
        <v>6694</v>
      </c>
      <c r="O910" t="s">
        <v>3507</v>
      </c>
      <c r="P910" t="s">
        <v>362</v>
      </c>
      <c r="Q910" t="s">
        <v>39</v>
      </c>
      <c r="R910" t="s">
        <v>40</v>
      </c>
      <c r="S910">
        <v>0</v>
      </c>
      <c r="U910" t="s">
        <v>41</v>
      </c>
      <c r="V910" t="s">
        <v>42</v>
      </c>
      <c r="X910" t="s">
        <v>74</v>
      </c>
      <c r="Y910" t="b">
        <v>0</v>
      </c>
      <c r="Z910" t="b">
        <v>0</v>
      </c>
      <c r="AC910" s="1"/>
      <c r="AF910">
        <v>0</v>
      </c>
      <c r="AG910">
        <v>45</v>
      </c>
      <c r="AH910">
        <v>192</v>
      </c>
      <c r="AI910" s="2">
        <f>Table__192.168.3.138BEWLPPMetaData[[#This Row],[NetAmount]]-Table__192.168.3.138BEWLPPMetaData[[#This Row],[Paid]]</f>
        <v>37900</v>
      </c>
    </row>
    <row r="911" spans="1:35" hidden="1">
      <c r="A911" t="s">
        <v>10210</v>
      </c>
      <c r="B911" s="1">
        <v>41094</v>
      </c>
      <c r="C911" s="1">
        <v>41139</v>
      </c>
      <c r="D911" t="s">
        <v>8598</v>
      </c>
      <c r="E911">
        <v>75132</v>
      </c>
      <c r="F911">
        <v>12021</v>
      </c>
      <c r="G911">
        <v>0</v>
      </c>
      <c r="H911">
        <v>0</v>
      </c>
      <c r="I911">
        <v>174</v>
      </c>
      <c r="J911">
        <v>87153</v>
      </c>
      <c r="K911" t="s">
        <v>4836</v>
      </c>
      <c r="L911" s="1">
        <v>41094</v>
      </c>
      <c r="M911" t="s">
        <v>10211</v>
      </c>
      <c r="N911" t="s">
        <v>6694</v>
      </c>
      <c r="O911" t="s">
        <v>3507</v>
      </c>
      <c r="P911" t="s">
        <v>369</v>
      </c>
      <c r="Q911" t="s">
        <v>39</v>
      </c>
      <c r="R911" t="s">
        <v>40</v>
      </c>
      <c r="S911">
        <v>0</v>
      </c>
      <c r="U911" t="s">
        <v>41</v>
      </c>
      <c r="V911" t="s">
        <v>42</v>
      </c>
      <c r="W911" t="s">
        <v>8601</v>
      </c>
      <c r="X911" t="s">
        <v>74</v>
      </c>
      <c r="Y911" t="b">
        <v>0</v>
      </c>
      <c r="Z911" t="b">
        <v>0</v>
      </c>
      <c r="AA911" t="b">
        <v>0</v>
      </c>
      <c r="AC911" s="1"/>
      <c r="AF911">
        <v>0</v>
      </c>
      <c r="AG911">
        <v>45</v>
      </c>
      <c r="AH911">
        <v>219</v>
      </c>
      <c r="AI911" s="2">
        <f>Table__192.168.3.138BEWLPPMetaData[[#This Row],[NetAmount]]-Table__192.168.3.138BEWLPPMetaData[[#This Row],[Paid]]</f>
        <v>87153</v>
      </c>
    </row>
    <row r="912" spans="1:35" hidden="1">
      <c r="A912" t="s">
        <v>10212</v>
      </c>
      <c r="B912" s="1">
        <v>41099</v>
      </c>
      <c r="C912" s="1">
        <v>41144</v>
      </c>
      <c r="D912" t="s">
        <v>8577</v>
      </c>
      <c r="E912">
        <v>307</v>
      </c>
      <c r="F912">
        <v>0</v>
      </c>
      <c r="G912">
        <v>0</v>
      </c>
      <c r="H912">
        <v>0</v>
      </c>
      <c r="I912">
        <v>169</v>
      </c>
      <c r="J912">
        <v>307</v>
      </c>
      <c r="K912" t="s">
        <v>10213</v>
      </c>
      <c r="L912" s="1">
        <v>41099</v>
      </c>
      <c r="N912" t="s">
        <v>6694</v>
      </c>
      <c r="O912" t="s">
        <v>3507</v>
      </c>
      <c r="P912" t="s">
        <v>8579</v>
      </c>
      <c r="Q912" t="s">
        <v>39</v>
      </c>
      <c r="R912" t="s">
        <v>40</v>
      </c>
      <c r="S912">
        <v>0</v>
      </c>
      <c r="U912" t="s">
        <v>41</v>
      </c>
      <c r="V912" t="s">
        <v>42</v>
      </c>
      <c r="X912" t="s">
        <v>74</v>
      </c>
      <c r="Y912" t="b">
        <v>0</v>
      </c>
      <c r="Z912" t="b">
        <v>0</v>
      </c>
      <c r="AC912" s="1"/>
      <c r="AF912">
        <v>0</v>
      </c>
      <c r="AG912">
        <v>45</v>
      </c>
      <c r="AH912">
        <v>214</v>
      </c>
      <c r="AI912" s="2">
        <f>Table__192.168.3.138BEWLPPMetaData[[#This Row],[NetAmount]]-Table__192.168.3.138BEWLPPMetaData[[#This Row],[Paid]]</f>
        <v>307</v>
      </c>
    </row>
    <row r="913" spans="1:35" hidden="1">
      <c r="A913" t="s">
        <v>10214</v>
      </c>
      <c r="B913" s="1">
        <v>41113</v>
      </c>
      <c r="C913" s="1">
        <v>41158</v>
      </c>
      <c r="D913" t="s">
        <v>8640</v>
      </c>
      <c r="E913">
        <v>18850</v>
      </c>
      <c r="F913">
        <v>3016</v>
      </c>
      <c r="G913">
        <v>0</v>
      </c>
      <c r="H913">
        <v>0</v>
      </c>
      <c r="I913">
        <v>155</v>
      </c>
      <c r="J913">
        <v>21866</v>
      </c>
      <c r="K913" t="s">
        <v>10215</v>
      </c>
      <c r="L913" s="1">
        <v>41113</v>
      </c>
      <c r="M913" t="s">
        <v>10216</v>
      </c>
      <c r="N913" t="s">
        <v>6694</v>
      </c>
      <c r="O913" t="s">
        <v>3507</v>
      </c>
      <c r="P913" t="s">
        <v>323</v>
      </c>
      <c r="Q913" t="s">
        <v>39</v>
      </c>
      <c r="R913" t="s">
        <v>40</v>
      </c>
      <c r="S913">
        <v>0</v>
      </c>
      <c r="U913" t="s">
        <v>41</v>
      </c>
      <c r="V913" t="s">
        <v>42</v>
      </c>
      <c r="W913" t="s">
        <v>8691</v>
      </c>
      <c r="X913" t="s">
        <v>74</v>
      </c>
      <c r="Y913" t="b">
        <v>0</v>
      </c>
      <c r="Z913" t="b">
        <v>0</v>
      </c>
      <c r="AA913" t="b">
        <v>0</v>
      </c>
      <c r="AC913" s="1"/>
      <c r="AF913">
        <v>0</v>
      </c>
      <c r="AG913">
        <v>45</v>
      </c>
      <c r="AH913">
        <v>200</v>
      </c>
      <c r="AI913" s="2">
        <f>Table__192.168.3.138BEWLPPMetaData[[#This Row],[NetAmount]]-Table__192.168.3.138BEWLPPMetaData[[#This Row],[Paid]]</f>
        <v>21866</v>
      </c>
    </row>
    <row r="914" spans="1:35" hidden="1">
      <c r="A914" t="s">
        <v>10217</v>
      </c>
      <c r="B914" s="1">
        <v>41097</v>
      </c>
      <c r="C914" s="1">
        <v>41142</v>
      </c>
      <c r="D914" t="s">
        <v>8640</v>
      </c>
      <c r="E914">
        <v>3770</v>
      </c>
      <c r="F914">
        <v>603</v>
      </c>
      <c r="G914">
        <v>0</v>
      </c>
      <c r="H914">
        <v>0</v>
      </c>
      <c r="I914">
        <v>171</v>
      </c>
      <c r="J914">
        <v>4373</v>
      </c>
      <c r="K914" t="s">
        <v>8689</v>
      </c>
      <c r="L914" s="1">
        <v>41097</v>
      </c>
      <c r="M914" t="s">
        <v>10218</v>
      </c>
      <c r="N914" t="s">
        <v>6694</v>
      </c>
      <c r="O914" t="s">
        <v>3507</v>
      </c>
      <c r="P914" t="s">
        <v>323</v>
      </c>
      <c r="Q914" t="s">
        <v>39</v>
      </c>
      <c r="R914" t="s">
        <v>40</v>
      </c>
      <c r="S914">
        <v>0</v>
      </c>
      <c r="U914" t="s">
        <v>41</v>
      </c>
      <c r="V914" t="s">
        <v>42</v>
      </c>
      <c r="W914" t="s">
        <v>8691</v>
      </c>
      <c r="X914" t="s">
        <v>74</v>
      </c>
      <c r="Y914" t="b">
        <v>0</v>
      </c>
      <c r="Z914" t="b">
        <v>0</v>
      </c>
      <c r="AA914" t="b">
        <v>0</v>
      </c>
      <c r="AC914" s="1"/>
      <c r="AF914">
        <v>0</v>
      </c>
      <c r="AG914">
        <v>45</v>
      </c>
      <c r="AH914">
        <v>216</v>
      </c>
      <c r="AI914" s="2">
        <f>Table__192.168.3.138BEWLPPMetaData[[#This Row],[NetAmount]]-Table__192.168.3.138BEWLPPMetaData[[#This Row],[Paid]]</f>
        <v>4373</v>
      </c>
    </row>
    <row r="915" spans="1:35" hidden="1">
      <c r="A915" t="s">
        <v>10219</v>
      </c>
      <c r="B915" s="1">
        <v>41120</v>
      </c>
      <c r="C915" s="1">
        <v>41165</v>
      </c>
      <c r="D915" t="s">
        <v>8563</v>
      </c>
      <c r="E915">
        <v>330000</v>
      </c>
      <c r="F915">
        <v>52800</v>
      </c>
      <c r="G915">
        <v>0</v>
      </c>
      <c r="H915">
        <v>0</v>
      </c>
      <c r="I915">
        <v>150</v>
      </c>
      <c r="J915">
        <v>382800</v>
      </c>
      <c r="K915" t="s">
        <v>3999</v>
      </c>
      <c r="L915" s="1">
        <v>41118</v>
      </c>
      <c r="N915" t="s">
        <v>6694</v>
      </c>
      <c r="O915" t="s">
        <v>3507</v>
      </c>
      <c r="P915" t="s">
        <v>409</v>
      </c>
      <c r="Q915" t="s">
        <v>39</v>
      </c>
      <c r="R915" t="s">
        <v>40</v>
      </c>
      <c r="S915">
        <v>0</v>
      </c>
      <c r="U915" t="s">
        <v>41</v>
      </c>
      <c r="V915" t="s">
        <v>42</v>
      </c>
      <c r="X915" t="s">
        <v>74</v>
      </c>
      <c r="Y915" t="b">
        <v>0</v>
      </c>
      <c r="Z915" t="b">
        <v>0</v>
      </c>
      <c r="AB915" t="s">
        <v>8664</v>
      </c>
      <c r="AC915" s="1">
        <v>41283</v>
      </c>
      <c r="AF915">
        <v>0</v>
      </c>
      <c r="AG915">
        <v>45</v>
      </c>
      <c r="AH915">
        <v>195</v>
      </c>
      <c r="AI915" s="2">
        <f>Table__192.168.3.138BEWLPPMetaData[[#This Row],[NetAmount]]-Table__192.168.3.138BEWLPPMetaData[[#This Row],[Paid]]</f>
        <v>382800</v>
      </c>
    </row>
    <row r="916" spans="1:35" hidden="1">
      <c r="A916" t="s">
        <v>10220</v>
      </c>
      <c r="B916" s="1">
        <v>41114</v>
      </c>
      <c r="C916" s="1">
        <v>41159</v>
      </c>
      <c r="D916" t="s">
        <v>8563</v>
      </c>
      <c r="E916">
        <v>495000</v>
      </c>
      <c r="F916">
        <v>79200</v>
      </c>
      <c r="G916">
        <v>0</v>
      </c>
      <c r="H916">
        <v>0</v>
      </c>
      <c r="I916">
        <v>158</v>
      </c>
      <c r="J916">
        <v>574200</v>
      </c>
      <c r="K916" t="s">
        <v>3694</v>
      </c>
      <c r="L916" s="1">
        <v>41110</v>
      </c>
      <c r="N916" t="s">
        <v>6694</v>
      </c>
      <c r="O916" t="s">
        <v>3507</v>
      </c>
      <c r="P916" t="s">
        <v>409</v>
      </c>
      <c r="Q916" t="s">
        <v>39</v>
      </c>
      <c r="R916" t="s">
        <v>40</v>
      </c>
      <c r="S916">
        <v>0</v>
      </c>
      <c r="U916" t="s">
        <v>41</v>
      </c>
      <c r="V916" t="s">
        <v>42</v>
      </c>
      <c r="X916" t="s">
        <v>74</v>
      </c>
      <c r="Y916" t="b">
        <v>0</v>
      </c>
      <c r="Z916" t="b">
        <v>0</v>
      </c>
      <c r="AB916" t="s">
        <v>8664</v>
      </c>
      <c r="AC916" s="1">
        <v>41283</v>
      </c>
      <c r="AF916">
        <v>0</v>
      </c>
      <c r="AG916">
        <v>45</v>
      </c>
      <c r="AH916">
        <v>203</v>
      </c>
      <c r="AI916" s="2">
        <f>Table__192.168.3.138BEWLPPMetaData[[#This Row],[NetAmount]]-Table__192.168.3.138BEWLPPMetaData[[#This Row],[Paid]]</f>
        <v>574200</v>
      </c>
    </row>
    <row r="917" spans="1:35" hidden="1">
      <c r="A917" t="s">
        <v>10221</v>
      </c>
      <c r="B917" s="1">
        <v>41121</v>
      </c>
      <c r="C917" s="1">
        <v>41166</v>
      </c>
      <c r="D917" t="s">
        <v>8611</v>
      </c>
      <c r="E917">
        <v>117725</v>
      </c>
      <c r="F917">
        <v>18836</v>
      </c>
      <c r="G917">
        <v>0</v>
      </c>
      <c r="H917">
        <v>0</v>
      </c>
      <c r="I917">
        <v>147</v>
      </c>
      <c r="J917">
        <v>136561</v>
      </c>
      <c r="K917" t="s">
        <v>10222</v>
      </c>
      <c r="L917" s="1">
        <v>41121</v>
      </c>
      <c r="N917" t="s">
        <v>6694</v>
      </c>
      <c r="O917" t="s">
        <v>3507</v>
      </c>
      <c r="P917" t="s">
        <v>8612</v>
      </c>
      <c r="Q917" t="s">
        <v>39</v>
      </c>
      <c r="R917" t="s">
        <v>40</v>
      </c>
      <c r="S917">
        <v>0</v>
      </c>
      <c r="U917" t="s">
        <v>41</v>
      </c>
      <c r="V917" t="s">
        <v>42</v>
      </c>
      <c r="X917" t="s">
        <v>74</v>
      </c>
      <c r="Y917" t="b">
        <v>0</v>
      </c>
      <c r="Z917" t="b">
        <v>0</v>
      </c>
      <c r="AB917" t="s">
        <v>10223</v>
      </c>
      <c r="AC917" s="1">
        <v>41300</v>
      </c>
      <c r="AF917">
        <v>0</v>
      </c>
      <c r="AG917">
        <v>45</v>
      </c>
      <c r="AH917">
        <v>192</v>
      </c>
      <c r="AI917" s="2">
        <f>Table__192.168.3.138BEWLPPMetaData[[#This Row],[NetAmount]]-Table__192.168.3.138BEWLPPMetaData[[#This Row],[Paid]]</f>
        <v>136561</v>
      </c>
    </row>
    <row r="918" spans="1:35" hidden="1">
      <c r="A918" t="s">
        <v>10224</v>
      </c>
      <c r="B918" s="1">
        <v>41117</v>
      </c>
      <c r="C918" s="1">
        <v>41162</v>
      </c>
      <c r="D918" t="s">
        <v>8611</v>
      </c>
      <c r="E918">
        <v>22350</v>
      </c>
      <c r="F918">
        <v>3576</v>
      </c>
      <c r="G918">
        <v>0</v>
      </c>
      <c r="H918">
        <v>0</v>
      </c>
      <c r="I918">
        <v>151</v>
      </c>
      <c r="J918">
        <v>25926</v>
      </c>
      <c r="K918" t="s">
        <v>10225</v>
      </c>
      <c r="L918" s="1">
        <v>41117</v>
      </c>
      <c r="N918" t="s">
        <v>6694</v>
      </c>
      <c r="O918" t="s">
        <v>3507</v>
      </c>
      <c r="P918" t="s">
        <v>8612</v>
      </c>
      <c r="Q918" t="s">
        <v>39</v>
      </c>
      <c r="R918" t="s">
        <v>40</v>
      </c>
      <c r="S918">
        <v>0</v>
      </c>
      <c r="U918" t="s">
        <v>41</v>
      </c>
      <c r="V918" t="s">
        <v>42</v>
      </c>
      <c r="X918" t="s">
        <v>74</v>
      </c>
      <c r="Y918" t="b">
        <v>0</v>
      </c>
      <c r="Z918" t="b">
        <v>0</v>
      </c>
      <c r="AB918" t="s">
        <v>10223</v>
      </c>
      <c r="AC918" s="1">
        <v>41300</v>
      </c>
      <c r="AF918">
        <v>0</v>
      </c>
      <c r="AG918">
        <v>45</v>
      </c>
      <c r="AH918">
        <v>196</v>
      </c>
      <c r="AI918" s="2">
        <f>Table__192.168.3.138BEWLPPMetaData[[#This Row],[NetAmount]]-Table__192.168.3.138BEWLPPMetaData[[#This Row],[Paid]]</f>
        <v>25926</v>
      </c>
    </row>
    <row r="919" spans="1:35" hidden="1">
      <c r="A919" t="s">
        <v>10226</v>
      </c>
      <c r="B919" s="1">
        <v>41118</v>
      </c>
      <c r="C919" s="1">
        <v>41163</v>
      </c>
      <c r="D919" t="s">
        <v>8611</v>
      </c>
      <c r="E919">
        <v>76924</v>
      </c>
      <c r="F919">
        <v>12308</v>
      </c>
      <c r="G919">
        <v>0</v>
      </c>
      <c r="H919">
        <v>0</v>
      </c>
      <c r="I919">
        <v>150</v>
      </c>
      <c r="J919">
        <v>89232</v>
      </c>
      <c r="K919" t="s">
        <v>10227</v>
      </c>
      <c r="L919" s="1">
        <v>41118</v>
      </c>
      <c r="N919" t="s">
        <v>6694</v>
      </c>
      <c r="O919" t="s">
        <v>3507</v>
      </c>
      <c r="P919" t="s">
        <v>8612</v>
      </c>
      <c r="Q919" t="s">
        <v>39</v>
      </c>
      <c r="R919" t="s">
        <v>40</v>
      </c>
      <c r="S919">
        <v>0</v>
      </c>
      <c r="U919" t="s">
        <v>41</v>
      </c>
      <c r="V919" t="s">
        <v>42</v>
      </c>
      <c r="X919" t="s">
        <v>74</v>
      </c>
      <c r="Y919" t="b">
        <v>0</v>
      </c>
      <c r="Z919" t="b">
        <v>0</v>
      </c>
      <c r="AB919" t="s">
        <v>10223</v>
      </c>
      <c r="AC919" s="1">
        <v>41300</v>
      </c>
      <c r="AF919">
        <v>0</v>
      </c>
      <c r="AG919">
        <v>45</v>
      </c>
      <c r="AH919">
        <v>195</v>
      </c>
      <c r="AI919" s="2">
        <f>Table__192.168.3.138BEWLPPMetaData[[#This Row],[NetAmount]]-Table__192.168.3.138BEWLPPMetaData[[#This Row],[Paid]]</f>
        <v>89232</v>
      </c>
    </row>
    <row r="920" spans="1:35" hidden="1">
      <c r="A920" t="s">
        <v>10228</v>
      </c>
      <c r="B920" s="1">
        <v>41120</v>
      </c>
      <c r="C920" s="1">
        <v>41165</v>
      </c>
      <c r="D920" t="s">
        <v>8611</v>
      </c>
      <c r="E920">
        <v>89881</v>
      </c>
      <c r="F920">
        <v>14381</v>
      </c>
      <c r="G920">
        <v>0</v>
      </c>
      <c r="H920">
        <v>0</v>
      </c>
      <c r="I920">
        <v>148</v>
      </c>
      <c r="J920">
        <v>104262</v>
      </c>
      <c r="K920" t="s">
        <v>10229</v>
      </c>
      <c r="L920" s="1">
        <v>41120</v>
      </c>
      <c r="N920" t="s">
        <v>6694</v>
      </c>
      <c r="O920" t="s">
        <v>3507</v>
      </c>
      <c r="P920" t="s">
        <v>8612</v>
      </c>
      <c r="Q920" t="s">
        <v>39</v>
      </c>
      <c r="R920" t="s">
        <v>40</v>
      </c>
      <c r="S920">
        <v>0</v>
      </c>
      <c r="U920" t="s">
        <v>41</v>
      </c>
      <c r="V920" t="s">
        <v>42</v>
      </c>
      <c r="X920" t="s">
        <v>74</v>
      </c>
      <c r="Y920" t="b">
        <v>0</v>
      </c>
      <c r="Z920" t="b">
        <v>0</v>
      </c>
      <c r="AB920" t="s">
        <v>10223</v>
      </c>
      <c r="AC920" s="1">
        <v>41300</v>
      </c>
      <c r="AF920">
        <v>0</v>
      </c>
      <c r="AG920">
        <v>45</v>
      </c>
      <c r="AH920">
        <v>193</v>
      </c>
      <c r="AI920" s="2">
        <f>Table__192.168.3.138BEWLPPMetaData[[#This Row],[NetAmount]]-Table__192.168.3.138BEWLPPMetaData[[#This Row],[Paid]]</f>
        <v>104262</v>
      </c>
    </row>
    <row r="921" spans="1:35" hidden="1">
      <c r="A921" t="s">
        <v>10230</v>
      </c>
      <c r="B921" s="1">
        <v>41113</v>
      </c>
      <c r="C921" s="1">
        <v>41158</v>
      </c>
      <c r="D921" t="s">
        <v>8616</v>
      </c>
      <c r="E921">
        <v>17000</v>
      </c>
      <c r="F921">
        <v>2720</v>
      </c>
      <c r="G921">
        <v>0</v>
      </c>
      <c r="H921">
        <v>0</v>
      </c>
      <c r="I921">
        <v>162</v>
      </c>
      <c r="J921">
        <v>19720</v>
      </c>
      <c r="K921" t="s">
        <v>10231</v>
      </c>
      <c r="L921" s="1">
        <v>41106</v>
      </c>
      <c r="N921" t="s">
        <v>6694</v>
      </c>
      <c r="O921" t="s">
        <v>3507</v>
      </c>
      <c r="P921" t="s">
        <v>375</v>
      </c>
      <c r="Q921" t="s">
        <v>39</v>
      </c>
      <c r="R921" t="s">
        <v>40</v>
      </c>
      <c r="S921">
        <v>0</v>
      </c>
      <c r="U921" t="s">
        <v>41</v>
      </c>
      <c r="V921" t="s">
        <v>42</v>
      </c>
      <c r="X921" t="s">
        <v>74</v>
      </c>
      <c r="Y921" t="b">
        <v>0</v>
      </c>
      <c r="Z921" t="b">
        <v>0</v>
      </c>
      <c r="AB921" t="s">
        <v>8617</v>
      </c>
      <c r="AC921" s="1">
        <v>41190</v>
      </c>
      <c r="AF921">
        <v>0</v>
      </c>
      <c r="AG921">
        <v>45</v>
      </c>
      <c r="AH921">
        <v>207</v>
      </c>
      <c r="AI921" s="2">
        <f>Table__192.168.3.138BEWLPPMetaData[[#This Row],[NetAmount]]-Table__192.168.3.138BEWLPPMetaData[[#This Row],[Paid]]</f>
        <v>19720</v>
      </c>
    </row>
    <row r="922" spans="1:35" hidden="1">
      <c r="A922" t="s">
        <v>10232</v>
      </c>
      <c r="B922" s="1">
        <v>41113</v>
      </c>
      <c r="C922" s="1">
        <v>41158</v>
      </c>
      <c r="D922" t="s">
        <v>8616</v>
      </c>
      <c r="E922">
        <v>44880</v>
      </c>
      <c r="F922">
        <v>7181</v>
      </c>
      <c r="G922">
        <v>0</v>
      </c>
      <c r="H922">
        <v>0</v>
      </c>
      <c r="I922">
        <v>161</v>
      </c>
      <c r="J922">
        <v>52061</v>
      </c>
      <c r="K922" t="s">
        <v>10233</v>
      </c>
      <c r="L922" s="1">
        <v>41107</v>
      </c>
      <c r="N922" t="s">
        <v>6694</v>
      </c>
      <c r="O922" t="s">
        <v>3507</v>
      </c>
      <c r="P922" t="s">
        <v>375</v>
      </c>
      <c r="Q922" t="s">
        <v>39</v>
      </c>
      <c r="R922" t="s">
        <v>40</v>
      </c>
      <c r="S922">
        <v>0</v>
      </c>
      <c r="U922" t="s">
        <v>41</v>
      </c>
      <c r="V922" t="s">
        <v>42</v>
      </c>
      <c r="X922" t="s">
        <v>74</v>
      </c>
      <c r="Y922" t="b">
        <v>0</v>
      </c>
      <c r="Z922" t="b">
        <v>0</v>
      </c>
      <c r="AB922" t="s">
        <v>8617</v>
      </c>
      <c r="AC922" s="1">
        <v>41190</v>
      </c>
      <c r="AF922">
        <v>0</v>
      </c>
      <c r="AG922">
        <v>45</v>
      </c>
      <c r="AH922">
        <v>206</v>
      </c>
      <c r="AI922" s="2">
        <f>Table__192.168.3.138BEWLPPMetaData[[#This Row],[NetAmount]]-Table__192.168.3.138BEWLPPMetaData[[#This Row],[Paid]]</f>
        <v>52061</v>
      </c>
    </row>
    <row r="923" spans="1:35" hidden="1">
      <c r="A923" t="s">
        <v>10234</v>
      </c>
      <c r="B923" s="1">
        <v>41099</v>
      </c>
      <c r="C923" s="1">
        <v>41144</v>
      </c>
      <c r="D923" t="s">
        <v>8616</v>
      </c>
      <c r="E923">
        <v>36720</v>
      </c>
      <c r="F923">
        <v>5875</v>
      </c>
      <c r="G923">
        <v>0</v>
      </c>
      <c r="H923">
        <v>0</v>
      </c>
      <c r="I923">
        <v>173</v>
      </c>
      <c r="J923">
        <v>42595</v>
      </c>
      <c r="K923" t="s">
        <v>10235</v>
      </c>
      <c r="L923" s="1">
        <v>41095</v>
      </c>
      <c r="N923" t="s">
        <v>6694</v>
      </c>
      <c r="O923" t="s">
        <v>3507</v>
      </c>
      <c r="P923" t="s">
        <v>375</v>
      </c>
      <c r="Q923" t="s">
        <v>39</v>
      </c>
      <c r="R923" t="s">
        <v>40</v>
      </c>
      <c r="S923">
        <v>0</v>
      </c>
      <c r="U923" t="s">
        <v>41</v>
      </c>
      <c r="V923" t="s">
        <v>42</v>
      </c>
      <c r="X923" t="s">
        <v>74</v>
      </c>
      <c r="Y923" t="b">
        <v>0</v>
      </c>
      <c r="Z923" t="b">
        <v>0</v>
      </c>
      <c r="AB923" t="s">
        <v>8617</v>
      </c>
      <c r="AC923" s="1">
        <v>41190</v>
      </c>
      <c r="AF923">
        <v>0</v>
      </c>
      <c r="AG923">
        <v>45</v>
      </c>
      <c r="AH923">
        <v>218</v>
      </c>
      <c r="AI923" s="2">
        <f>Table__192.168.3.138BEWLPPMetaData[[#This Row],[NetAmount]]-Table__192.168.3.138BEWLPPMetaData[[#This Row],[Paid]]</f>
        <v>42595</v>
      </c>
    </row>
    <row r="924" spans="1:35" hidden="1">
      <c r="A924" t="s">
        <v>10236</v>
      </c>
      <c r="B924" s="1">
        <v>41099</v>
      </c>
      <c r="C924" s="1">
        <v>41144</v>
      </c>
      <c r="D924" t="s">
        <v>8616</v>
      </c>
      <c r="E924">
        <v>63920</v>
      </c>
      <c r="F924">
        <v>10227</v>
      </c>
      <c r="G924">
        <v>0</v>
      </c>
      <c r="H924">
        <v>0</v>
      </c>
      <c r="I924">
        <v>175</v>
      </c>
      <c r="J924">
        <v>74147</v>
      </c>
      <c r="K924" t="s">
        <v>10237</v>
      </c>
      <c r="L924" s="1">
        <v>41093</v>
      </c>
      <c r="N924" t="s">
        <v>6694</v>
      </c>
      <c r="O924" t="s">
        <v>3507</v>
      </c>
      <c r="P924" t="s">
        <v>375</v>
      </c>
      <c r="Q924" t="s">
        <v>39</v>
      </c>
      <c r="R924" t="s">
        <v>40</v>
      </c>
      <c r="S924">
        <v>0</v>
      </c>
      <c r="U924" t="s">
        <v>41</v>
      </c>
      <c r="V924" t="s">
        <v>42</v>
      </c>
      <c r="X924" t="s">
        <v>74</v>
      </c>
      <c r="Y924" t="b">
        <v>0</v>
      </c>
      <c r="Z924" t="b">
        <v>0</v>
      </c>
      <c r="AB924" t="s">
        <v>8617</v>
      </c>
      <c r="AC924" s="1">
        <v>41190</v>
      </c>
      <c r="AF924">
        <v>0</v>
      </c>
      <c r="AG924">
        <v>45</v>
      </c>
      <c r="AH924">
        <v>220</v>
      </c>
      <c r="AI924" s="2">
        <f>Table__192.168.3.138BEWLPPMetaData[[#This Row],[NetAmount]]-Table__192.168.3.138BEWLPPMetaData[[#This Row],[Paid]]</f>
        <v>74147</v>
      </c>
    </row>
    <row r="925" spans="1:35" hidden="1">
      <c r="A925" t="s">
        <v>10238</v>
      </c>
      <c r="B925" s="1">
        <v>41105</v>
      </c>
      <c r="C925" s="1">
        <v>41150</v>
      </c>
      <c r="D925" t="s">
        <v>8616</v>
      </c>
      <c r="E925">
        <v>25840</v>
      </c>
      <c r="F925">
        <v>4134</v>
      </c>
      <c r="G925">
        <v>0</v>
      </c>
      <c r="H925">
        <v>0</v>
      </c>
      <c r="I925">
        <v>169</v>
      </c>
      <c r="J925">
        <v>29974</v>
      </c>
      <c r="K925" t="s">
        <v>10239</v>
      </c>
      <c r="L925" s="1">
        <v>41099</v>
      </c>
      <c r="N925" t="s">
        <v>6694</v>
      </c>
      <c r="O925" t="s">
        <v>3507</v>
      </c>
      <c r="P925" t="s">
        <v>375</v>
      </c>
      <c r="Q925" t="s">
        <v>39</v>
      </c>
      <c r="R925" t="s">
        <v>40</v>
      </c>
      <c r="S925">
        <v>0</v>
      </c>
      <c r="U925" t="s">
        <v>41</v>
      </c>
      <c r="V925" t="s">
        <v>42</v>
      </c>
      <c r="X925" t="s">
        <v>74</v>
      </c>
      <c r="Y925" t="b">
        <v>0</v>
      </c>
      <c r="Z925" t="b">
        <v>0</v>
      </c>
      <c r="AB925" t="s">
        <v>8617</v>
      </c>
      <c r="AC925" s="1">
        <v>41190</v>
      </c>
      <c r="AF925">
        <v>0</v>
      </c>
      <c r="AG925">
        <v>45</v>
      </c>
      <c r="AH925">
        <v>214</v>
      </c>
      <c r="AI925" s="2">
        <f>Table__192.168.3.138BEWLPPMetaData[[#This Row],[NetAmount]]-Table__192.168.3.138BEWLPPMetaData[[#This Row],[Paid]]</f>
        <v>29974</v>
      </c>
    </row>
    <row r="926" spans="1:35" hidden="1">
      <c r="A926" t="s">
        <v>10240</v>
      </c>
      <c r="B926" s="1">
        <v>41099</v>
      </c>
      <c r="C926" s="1">
        <v>41144</v>
      </c>
      <c r="D926" t="s">
        <v>8616</v>
      </c>
      <c r="E926">
        <v>35360</v>
      </c>
      <c r="F926">
        <v>5658</v>
      </c>
      <c r="G926">
        <v>0</v>
      </c>
      <c r="H926">
        <v>0</v>
      </c>
      <c r="I926">
        <v>172</v>
      </c>
      <c r="J926">
        <v>41018</v>
      </c>
      <c r="K926" t="s">
        <v>10241</v>
      </c>
      <c r="L926" s="1">
        <v>41096</v>
      </c>
      <c r="N926" t="s">
        <v>6694</v>
      </c>
      <c r="O926" t="s">
        <v>3507</v>
      </c>
      <c r="P926" t="s">
        <v>375</v>
      </c>
      <c r="Q926" t="s">
        <v>39</v>
      </c>
      <c r="R926" t="s">
        <v>40</v>
      </c>
      <c r="S926">
        <v>0</v>
      </c>
      <c r="U926" t="s">
        <v>41</v>
      </c>
      <c r="V926" t="s">
        <v>42</v>
      </c>
      <c r="X926" t="s">
        <v>74</v>
      </c>
      <c r="Y926" t="b">
        <v>0</v>
      </c>
      <c r="Z926" t="b">
        <v>0</v>
      </c>
      <c r="AB926" t="s">
        <v>8617</v>
      </c>
      <c r="AC926" s="1">
        <v>41190</v>
      </c>
      <c r="AF926">
        <v>0</v>
      </c>
      <c r="AG926">
        <v>45</v>
      </c>
      <c r="AH926">
        <v>217</v>
      </c>
      <c r="AI926" s="2">
        <f>Table__192.168.3.138BEWLPPMetaData[[#This Row],[NetAmount]]-Table__192.168.3.138BEWLPPMetaData[[#This Row],[Paid]]</f>
        <v>41018</v>
      </c>
    </row>
    <row r="927" spans="1:35" hidden="1">
      <c r="A927" t="s">
        <v>10242</v>
      </c>
      <c r="B927" s="1">
        <v>41093</v>
      </c>
      <c r="C927" s="1">
        <v>41093</v>
      </c>
      <c r="D927" t="s">
        <v>8666</v>
      </c>
      <c r="E927">
        <v>2625</v>
      </c>
      <c r="F927">
        <v>420</v>
      </c>
      <c r="G927">
        <v>0</v>
      </c>
      <c r="H927">
        <v>0</v>
      </c>
      <c r="I927">
        <v>0</v>
      </c>
      <c r="J927">
        <v>3045</v>
      </c>
      <c r="K927" t="s">
        <v>3492</v>
      </c>
      <c r="L927" s="1">
        <v>41093</v>
      </c>
      <c r="M927" t="s">
        <v>10243</v>
      </c>
      <c r="N927" t="s">
        <v>6694</v>
      </c>
      <c r="O927" t="s">
        <v>3507</v>
      </c>
      <c r="P927" t="s">
        <v>8668</v>
      </c>
      <c r="Q927" t="s">
        <v>39</v>
      </c>
      <c r="R927" t="s">
        <v>40</v>
      </c>
      <c r="S927">
        <v>0</v>
      </c>
      <c r="U927" t="s">
        <v>41</v>
      </c>
      <c r="V927" t="s">
        <v>42</v>
      </c>
      <c r="W927" t="s">
        <v>10179</v>
      </c>
      <c r="X927" t="s">
        <v>74</v>
      </c>
      <c r="Y927" t="b">
        <v>0</v>
      </c>
      <c r="Z927" t="b">
        <v>0</v>
      </c>
      <c r="AA927" t="b">
        <v>0</v>
      </c>
      <c r="AC927" s="1"/>
      <c r="AF927">
        <v>0</v>
      </c>
      <c r="AH927">
        <v>220</v>
      </c>
      <c r="AI927" s="2">
        <f>Table__192.168.3.138BEWLPPMetaData[[#This Row],[NetAmount]]-Table__192.168.3.138BEWLPPMetaData[[#This Row],[Paid]]</f>
        <v>3045</v>
      </c>
    </row>
    <row r="928" spans="1:35" hidden="1">
      <c r="A928" t="s">
        <v>10244</v>
      </c>
      <c r="B928" s="1">
        <v>41121</v>
      </c>
      <c r="C928" s="1">
        <v>41166</v>
      </c>
      <c r="D928" t="s">
        <v>8588</v>
      </c>
      <c r="E928">
        <v>105560</v>
      </c>
      <c r="F928">
        <v>16890</v>
      </c>
      <c r="G928">
        <v>0</v>
      </c>
      <c r="H928">
        <v>0</v>
      </c>
      <c r="I928">
        <v>167</v>
      </c>
      <c r="J928">
        <v>122450</v>
      </c>
      <c r="K928" t="s">
        <v>10245</v>
      </c>
      <c r="L928" s="1">
        <v>41101</v>
      </c>
      <c r="N928" t="s">
        <v>6694</v>
      </c>
      <c r="O928" t="s">
        <v>3507</v>
      </c>
      <c r="P928" t="s">
        <v>8589</v>
      </c>
      <c r="Q928" t="s">
        <v>39</v>
      </c>
      <c r="R928" t="s">
        <v>40</v>
      </c>
      <c r="S928">
        <v>0</v>
      </c>
      <c r="U928" t="s">
        <v>41</v>
      </c>
      <c r="V928" t="s">
        <v>42</v>
      </c>
      <c r="X928" t="s">
        <v>74</v>
      </c>
      <c r="Y928" t="b">
        <v>0</v>
      </c>
      <c r="Z928" t="b">
        <v>0</v>
      </c>
      <c r="AC928" s="1"/>
      <c r="AF928">
        <v>0</v>
      </c>
      <c r="AG928">
        <v>45</v>
      </c>
      <c r="AH928">
        <v>212</v>
      </c>
      <c r="AI928" s="2">
        <f>Table__192.168.3.138BEWLPPMetaData[[#This Row],[NetAmount]]-Table__192.168.3.138BEWLPPMetaData[[#This Row],[Paid]]</f>
        <v>122450</v>
      </c>
    </row>
    <row r="929" spans="1:35" hidden="1">
      <c r="A929" t="s">
        <v>10246</v>
      </c>
      <c r="B929" s="1">
        <v>41120</v>
      </c>
      <c r="C929" s="1">
        <v>41120</v>
      </c>
      <c r="D929" t="s">
        <v>8591</v>
      </c>
      <c r="E929">
        <v>10693</v>
      </c>
      <c r="F929">
        <v>1711</v>
      </c>
      <c r="G929">
        <v>0</v>
      </c>
      <c r="H929">
        <v>0</v>
      </c>
      <c r="I929">
        <v>0</v>
      </c>
      <c r="J929">
        <v>12404</v>
      </c>
      <c r="K929" t="s">
        <v>10247</v>
      </c>
      <c r="L929" s="1">
        <v>41120</v>
      </c>
      <c r="N929" t="s">
        <v>6694</v>
      </c>
      <c r="O929" t="s">
        <v>3507</v>
      </c>
      <c r="P929" t="s">
        <v>425</v>
      </c>
      <c r="Q929" t="s">
        <v>39</v>
      </c>
      <c r="R929" t="s">
        <v>40</v>
      </c>
      <c r="S929">
        <v>0</v>
      </c>
      <c r="U929" t="s">
        <v>41</v>
      </c>
      <c r="V929" t="s">
        <v>42</v>
      </c>
      <c r="X929" t="s">
        <v>74</v>
      </c>
      <c r="Y929" t="b">
        <v>0</v>
      </c>
      <c r="Z929" t="b">
        <v>0</v>
      </c>
      <c r="AC929" s="1"/>
      <c r="AF929">
        <v>0</v>
      </c>
      <c r="AH929">
        <v>193</v>
      </c>
      <c r="AI929" s="2">
        <f>Table__192.168.3.138BEWLPPMetaData[[#This Row],[NetAmount]]-Table__192.168.3.138BEWLPPMetaData[[#This Row],[Paid]]</f>
        <v>12404</v>
      </c>
    </row>
    <row r="930" spans="1:35" hidden="1">
      <c r="A930" t="s">
        <v>10248</v>
      </c>
      <c r="B930" s="1">
        <v>41121</v>
      </c>
      <c r="C930" s="1">
        <v>41121</v>
      </c>
      <c r="D930" t="s">
        <v>8591</v>
      </c>
      <c r="E930">
        <v>11325</v>
      </c>
      <c r="F930">
        <v>1812</v>
      </c>
      <c r="G930">
        <v>0</v>
      </c>
      <c r="H930">
        <v>0</v>
      </c>
      <c r="I930">
        <v>0</v>
      </c>
      <c r="J930">
        <v>13137</v>
      </c>
      <c r="K930" t="s">
        <v>10249</v>
      </c>
      <c r="L930" s="1">
        <v>41121</v>
      </c>
      <c r="N930" t="s">
        <v>6694</v>
      </c>
      <c r="O930" t="s">
        <v>3507</v>
      </c>
      <c r="P930" t="s">
        <v>425</v>
      </c>
      <c r="Q930" t="s">
        <v>39</v>
      </c>
      <c r="R930" t="s">
        <v>40</v>
      </c>
      <c r="S930">
        <v>0</v>
      </c>
      <c r="U930" t="s">
        <v>41</v>
      </c>
      <c r="V930" t="s">
        <v>42</v>
      </c>
      <c r="X930" t="s">
        <v>74</v>
      </c>
      <c r="Y930" t="b">
        <v>0</v>
      </c>
      <c r="Z930" t="b">
        <v>0</v>
      </c>
      <c r="AC930" s="1"/>
      <c r="AF930">
        <v>0</v>
      </c>
      <c r="AH930">
        <v>192</v>
      </c>
      <c r="AI930" s="2">
        <f>Table__192.168.3.138BEWLPPMetaData[[#This Row],[NetAmount]]-Table__192.168.3.138BEWLPPMetaData[[#This Row],[Paid]]</f>
        <v>13137</v>
      </c>
    </row>
    <row r="931" spans="1:35" hidden="1">
      <c r="A931" t="s">
        <v>10250</v>
      </c>
      <c r="B931" s="1">
        <v>41102</v>
      </c>
      <c r="C931" s="1">
        <v>41147</v>
      </c>
      <c r="D931" t="s">
        <v>8527</v>
      </c>
      <c r="E931">
        <v>126750</v>
      </c>
      <c r="F931">
        <v>20280</v>
      </c>
      <c r="G931">
        <v>0</v>
      </c>
      <c r="H931">
        <v>0</v>
      </c>
      <c r="I931">
        <v>166</v>
      </c>
      <c r="J931">
        <v>147030</v>
      </c>
      <c r="K931" t="s">
        <v>10251</v>
      </c>
      <c r="L931" s="1">
        <v>41102</v>
      </c>
      <c r="N931" t="s">
        <v>6694</v>
      </c>
      <c r="O931" t="s">
        <v>3507</v>
      </c>
      <c r="P931" t="s">
        <v>8528</v>
      </c>
      <c r="Q931" t="s">
        <v>39</v>
      </c>
      <c r="R931" t="s">
        <v>40</v>
      </c>
      <c r="S931">
        <v>0</v>
      </c>
      <c r="U931" t="s">
        <v>41</v>
      </c>
      <c r="V931" t="s">
        <v>42</v>
      </c>
      <c r="X931" t="s">
        <v>74</v>
      </c>
      <c r="Y931" t="b">
        <v>0</v>
      </c>
      <c r="Z931" t="b">
        <v>0</v>
      </c>
      <c r="AC931" s="1"/>
      <c r="AF931">
        <v>0</v>
      </c>
      <c r="AG931">
        <v>45</v>
      </c>
      <c r="AH931">
        <v>211</v>
      </c>
      <c r="AI931" s="2">
        <f>Table__192.168.3.138BEWLPPMetaData[[#This Row],[NetAmount]]-Table__192.168.3.138BEWLPPMetaData[[#This Row],[Paid]]</f>
        <v>147030</v>
      </c>
    </row>
    <row r="932" spans="1:35" hidden="1">
      <c r="A932" t="s">
        <v>10252</v>
      </c>
      <c r="B932" s="1">
        <v>41115</v>
      </c>
      <c r="C932" s="1">
        <v>41160</v>
      </c>
      <c r="D932" t="s">
        <v>8588</v>
      </c>
      <c r="E932">
        <v>283610</v>
      </c>
      <c r="F932">
        <v>45378</v>
      </c>
      <c r="G932">
        <v>0</v>
      </c>
      <c r="H932">
        <v>0</v>
      </c>
      <c r="I932">
        <v>153</v>
      </c>
      <c r="J932">
        <v>328988</v>
      </c>
      <c r="K932" t="s">
        <v>10253</v>
      </c>
      <c r="L932" s="1">
        <v>41115</v>
      </c>
      <c r="N932" t="s">
        <v>6694</v>
      </c>
      <c r="O932" t="s">
        <v>3507</v>
      </c>
      <c r="P932" t="s">
        <v>8589</v>
      </c>
      <c r="Q932" t="s">
        <v>39</v>
      </c>
      <c r="R932" t="s">
        <v>40</v>
      </c>
      <c r="S932">
        <v>0</v>
      </c>
      <c r="U932" t="s">
        <v>41</v>
      </c>
      <c r="V932" t="s">
        <v>42</v>
      </c>
      <c r="X932" t="s">
        <v>74</v>
      </c>
      <c r="Y932" t="b">
        <v>0</v>
      </c>
      <c r="Z932" t="b">
        <v>0</v>
      </c>
      <c r="AC932" s="1"/>
      <c r="AF932">
        <v>0</v>
      </c>
      <c r="AG932">
        <v>45</v>
      </c>
      <c r="AH932">
        <v>198</v>
      </c>
      <c r="AI932" s="2">
        <f>Table__192.168.3.138BEWLPPMetaData[[#This Row],[NetAmount]]-Table__192.168.3.138BEWLPPMetaData[[#This Row],[Paid]]</f>
        <v>328988</v>
      </c>
    </row>
    <row r="933" spans="1:35" hidden="1">
      <c r="A933" t="s">
        <v>10254</v>
      </c>
      <c r="B933" s="1">
        <v>41137</v>
      </c>
      <c r="C933" s="1">
        <v>41137</v>
      </c>
      <c r="D933" t="s">
        <v>9627</v>
      </c>
      <c r="E933">
        <v>8960</v>
      </c>
      <c r="F933">
        <v>1434</v>
      </c>
      <c r="G933">
        <v>0</v>
      </c>
      <c r="H933">
        <v>0</v>
      </c>
      <c r="I933">
        <v>0</v>
      </c>
      <c r="J933">
        <v>10394</v>
      </c>
      <c r="K933" t="s">
        <v>10255</v>
      </c>
      <c r="L933" s="1">
        <v>41137</v>
      </c>
      <c r="M933" t="s">
        <v>10256</v>
      </c>
      <c r="N933" t="s">
        <v>6694</v>
      </c>
      <c r="O933" t="s">
        <v>3507</v>
      </c>
      <c r="P933" t="s">
        <v>9630</v>
      </c>
      <c r="Q933" t="s">
        <v>39</v>
      </c>
      <c r="R933" t="s">
        <v>40</v>
      </c>
      <c r="S933">
        <v>0</v>
      </c>
      <c r="U933" t="s">
        <v>41</v>
      </c>
      <c r="V933" t="s">
        <v>42</v>
      </c>
      <c r="W933" t="s">
        <v>9631</v>
      </c>
      <c r="X933" t="s">
        <v>74</v>
      </c>
      <c r="Y933" t="b">
        <v>0</v>
      </c>
      <c r="Z933" t="b">
        <v>0</v>
      </c>
      <c r="AA933" t="b">
        <v>0</v>
      </c>
      <c r="AC933" s="1"/>
      <c r="AF933">
        <v>0</v>
      </c>
      <c r="AH933">
        <v>176</v>
      </c>
      <c r="AI933" s="2">
        <f>Table__192.168.3.138BEWLPPMetaData[[#This Row],[NetAmount]]-Table__192.168.3.138BEWLPPMetaData[[#This Row],[Paid]]</f>
        <v>10394</v>
      </c>
    </row>
    <row r="934" spans="1:35" hidden="1">
      <c r="A934" t="s">
        <v>10257</v>
      </c>
      <c r="B934" s="1">
        <v>41150</v>
      </c>
      <c r="C934" s="1">
        <v>41195</v>
      </c>
      <c r="D934" t="s">
        <v>8616</v>
      </c>
      <c r="E934">
        <v>28560</v>
      </c>
      <c r="F934">
        <v>4570</v>
      </c>
      <c r="G934">
        <v>0</v>
      </c>
      <c r="H934">
        <v>0</v>
      </c>
      <c r="I934">
        <v>123</v>
      </c>
      <c r="J934">
        <v>33130</v>
      </c>
      <c r="K934" t="s">
        <v>10258</v>
      </c>
      <c r="L934" s="1">
        <v>41145</v>
      </c>
      <c r="N934" t="s">
        <v>6694</v>
      </c>
      <c r="O934" t="s">
        <v>3507</v>
      </c>
      <c r="P934" t="s">
        <v>375</v>
      </c>
      <c r="Q934" t="s">
        <v>39</v>
      </c>
      <c r="R934" t="s">
        <v>40</v>
      </c>
      <c r="S934">
        <v>0</v>
      </c>
      <c r="U934" t="s">
        <v>41</v>
      </c>
      <c r="V934" t="s">
        <v>42</v>
      </c>
      <c r="X934" t="s">
        <v>74</v>
      </c>
      <c r="Y934" t="b">
        <v>0</v>
      </c>
      <c r="Z934" t="b">
        <v>0</v>
      </c>
      <c r="AB934" t="s">
        <v>8617</v>
      </c>
      <c r="AC934" s="1">
        <v>41190</v>
      </c>
      <c r="AF934">
        <v>0</v>
      </c>
      <c r="AG934">
        <v>45</v>
      </c>
      <c r="AH934">
        <v>168</v>
      </c>
      <c r="AI934" s="2">
        <f>Table__192.168.3.138BEWLPPMetaData[[#This Row],[NetAmount]]-Table__192.168.3.138BEWLPPMetaData[[#This Row],[Paid]]</f>
        <v>33130</v>
      </c>
    </row>
    <row r="935" spans="1:35" hidden="1">
      <c r="A935" t="s">
        <v>10259</v>
      </c>
      <c r="B935" s="1">
        <v>41134</v>
      </c>
      <c r="C935" s="1">
        <v>41179</v>
      </c>
      <c r="D935" t="s">
        <v>8616</v>
      </c>
      <c r="E935">
        <v>51340</v>
      </c>
      <c r="F935">
        <v>8214</v>
      </c>
      <c r="G935">
        <v>0</v>
      </c>
      <c r="H935">
        <v>0</v>
      </c>
      <c r="I935">
        <v>137</v>
      </c>
      <c r="J935">
        <v>59554</v>
      </c>
      <c r="K935" t="s">
        <v>8709</v>
      </c>
      <c r="L935" s="1">
        <v>41131</v>
      </c>
      <c r="N935" t="s">
        <v>6694</v>
      </c>
      <c r="O935" t="s">
        <v>3507</v>
      </c>
      <c r="P935" t="s">
        <v>375</v>
      </c>
      <c r="Q935" t="s">
        <v>39</v>
      </c>
      <c r="R935" t="s">
        <v>40</v>
      </c>
      <c r="S935">
        <v>0</v>
      </c>
      <c r="U935" t="s">
        <v>41</v>
      </c>
      <c r="V935" t="s">
        <v>42</v>
      </c>
      <c r="X935" t="s">
        <v>74</v>
      </c>
      <c r="Y935" t="b">
        <v>0</v>
      </c>
      <c r="Z935" t="b">
        <v>0</v>
      </c>
      <c r="AB935" t="s">
        <v>8617</v>
      </c>
      <c r="AC935" s="1">
        <v>41190</v>
      </c>
      <c r="AF935">
        <v>0</v>
      </c>
      <c r="AG935">
        <v>45</v>
      </c>
      <c r="AH935">
        <v>182</v>
      </c>
      <c r="AI935" s="2">
        <f>Table__192.168.3.138BEWLPPMetaData[[#This Row],[NetAmount]]-Table__192.168.3.138BEWLPPMetaData[[#This Row],[Paid]]</f>
        <v>59554</v>
      </c>
    </row>
    <row r="936" spans="1:35" hidden="1">
      <c r="A936" t="s">
        <v>10260</v>
      </c>
      <c r="B936" s="1">
        <v>41148</v>
      </c>
      <c r="C936" s="1">
        <v>41193</v>
      </c>
      <c r="D936" t="s">
        <v>8616</v>
      </c>
      <c r="E936">
        <v>109200</v>
      </c>
      <c r="F936">
        <v>17472</v>
      </c>
      <c r="G936">
        <v>0</v>
      </c>
      <c r="H936">
        <v>0</v>
      </c>
      <c r="I936">
        <v>130</v>
      </c>
      <c r="J936">
        <v>126672</v>
      </c>
      <c r="K936" t="s">
        <v>1427</v>
      </c>
      <c r="L936" s="1">
        <v>41138</v>
      </c>
      <c r="N936" t="s">
        <v>6694</v>
      </c>
      <c r="O936" t="s">
        <v>3507</v>
      </c>
      <c r="P936" t="s">
        <v>375</v>
      </c>
      <c r="Q936" t="s">
        <v>39</v>
      </c>
      <c r="R936" t="s">
        <v>40</v>
      </c>
      <c r="S936">
        <v>0</v>
      </c>
      <c r="U936" t="s">
        <v>41</v>
      </c>
      <c r="V936" t="s">
        <v>42</v>
      </c>
      <c r="X936" t="s">
        <v>74</v>
      </c>
      <c r="Y936" t="b">
        <v>0</v>
      </c>
      <c r="Z936" t="b">
        <v>0</v>
      </c>
      <c r="AB936" t="s">
        <v>8617</v>
      </c>
      <c r="AC936" s="1">
        <v>41190</v>
      </c>
      <c r="AF936">
        <v>0</v>
      </c>
      <c r="AG936">
        <v>45</v>
      </c>
      <c r="AH936">
        <v>175</v>
      </c>
      <c r="AI936" s="2">
        <f>Table__192.168.3.138BEWLPPMetaData[[#This Row],[NetAmount]]-Table__192.168.3.138BEWLPPMetaData[[#This Row],[Paid]]</f>
        <v>126672</v>
      </c>
    </row>
    <row r="937" spans="1:35" hidden="1">
      <c r="A937" t="s">
        <v>10261</v>
      </c>
      <c r="B937" s="1">
        <v>41148</v>
      </c>
      <c r="C937" s="1">
        <v>41193</v>
      </c>
      <c r="D937" t="s">
        <v>8616</v>
      </c>
      <c r="E937">
        <v>30600</v>
      </c>
      <c r="F937">
        <v>4896</v>
      </c>
      <c r="G937">
        <v>0</v>
      </c>
      <c r="H937">
        <v>0</v>
      </c>
      <c r="I937">
        <v>131</v>
      </c>
      <c r="J937">
        <v>35496</v>
      </c>
      <c r="K937" t="s">
        <v>10262</v>
      </c>
      <c r="L937" s="1">
        <v>41137</v>
      </c>
      <c r="N937" t="s">
        <v>6694</v>
      </c>
      <c r="O937" t="s">
        <v>3507</v>
      </c>
      <c r="P937" t="s">
        <v>375</v>
      </c>
      <c r="Q937" t="s">
        <v>39</v>
      </c>
      <c r="R937" t="s">
        <v>40</v>
      </c>
      <c r="S937">
        <v>0</v>
      </c>
      <c r="U937" t="s">
        <v>41</v>
      </c>
      <c r="V937" t="s">
        <v>42</v>
      </c>
      <c r="X937" t="s">
        <v>74</v>
      </c>
      <c r="Y937" t="b">
        <v>0</v>
      </c>
      <c r="Z937" t="b">
        <v>0</v>
      </c>
      <c r="AB937" t="s">
        <v>8617</v>
      </c>
      <c r="AC937" s="1">
        <v>41190</v>
      </c>
      <c r="AF937">
        <v>0</v>
      </c>
      <c r="AG937">
        <v>45</v>
      </c>
      <c r="AH937">
        <v>176</v>
      </c>
      <c r="AI937" s="2">
        <f>Table__192.168.3.138BEWLPPMetaData[[#This Row],[NetAmount]]-Table__192.168.3.138BEWLPPMetaData[[#This Row],[Paid]]</f>
        <v>35496</v>
      </c>
    </row>
    <row r="938" spans="1:35" hidden="1">
      <c r="A938" t="s">
        <v>10263</v>
      </c>
      <c r="B938" s="1">
        <v>41148</v>
      </c>
      <c r="C938" s="1">
        <v>41193</v>
      </c>
      <c r="D938" t="s">
        <v>8616</v>
      </c>
      <c r="E938">
        <v>97500</v>
      </c>
      <c r="F938">
        <v>15600</v>
      </c>
      <c r="G938">
        <v>0</v>
      </c>
      <c r="H938">
        <v>0</v>
      </c>
      <c r="I938">
        <v>131</v>
      </c>
      <c r="J938">
        <v>113100</v>
      </c>
      <c r="K938" t="s">
        <v>10264</v>
      </c>
      <c r="L938" s="1">
        <v>41137</v>
      </c>
      <c r="N938" t="s">
        <v>6694</v>
      </c>
      <c r="O938" t="s">
        <v>3507</v>
      </c>
      <c r="P938" t="s">
        <v>375</v>
      </c>
      <c r="Q938" t="s">
        <v>39</v>
      </c>
      <c r="R938" t="s">
        <v>40</v>
      </c>
      <c r="S938">
        <v>0</v>
      </c>
      <c r="U938" t="s">
        <v>41</v>
      </c>
      <c r="V938" t="s">
        <v>42</v>
      </c>
      <c r="X938" t="s">
        <v>74</v>
      </c>
      <c r="Y938" t="b">
        <v>0</v>
      </c>
      <c r="Z938" t="b">
        <v>0</v>
      </c>
      <c r="AB938" t="s">
        <v>8617</v>
      </c>
      <c r="AC938" s="1">
        <v>41190</v>
      </c>
      <c r="AF938">
        <v>0</v>
      </c>
      <c r="AG938">
        <v>45</v>
      </c>
      <c r="AH938">
        <v>176</v>
      </c>
      <c r="AI938" s="2">
        <f>Table__192.168.3.138BEWLPPMetaData[[#This Row],[NetAmount]]-Table__192.168.3.138BEWLPPMetaData[[#This Row],[Paid]]</f>
        <v>113100</v>
      </c>
    </row>
    <row r="939" spans="1:35" hidden="1">
      <c r="A939" t="s">
        <v>10265</v>
      </c>
      <c r="B939" s="1">
        <v>41131</v>
      </c>
      <c r="C939" s="1">
        <v>41131</v>
      </c>
      <c r="D939" t="s">
        <v>8591</v>
      </c>
      <c r="E939">
        <v>7760</v>
      </c>
      <c r="F939">
        <v>1242</v>
      </c>
      <c r="G939">
        <v>0</v>
      </c>
      <c r="H939">
        <v>0</v>
      </c>
      <c r="I939">
        <v>0</v>
      </c>
      <c r="J939">
        <v>9002</v>
      </c>
      <c r="K939" t="s">
        <v>10266</v>
      </c>
      <c r="L939" s="1">
        <v>41132</v>
      </c>
      <c r="N939" t="s">
        <v>6694</v>
      </c>
      <c r="O939" t="s">
        <v>3507</v>
      </c>
      <c r="P939" t="s">
        <v>425</v>
      </c>
      <c r="Q939" t="s">
        <v>39</v>
      </c>
      <c r="R939" t="s">
        <v>40</v>
      </c>
      <c r="S939">
        <v>0</v>
      </c>
      <c r="U939" t="s">
        <v>41</v>
      </c>
      <c r="V939" t="s">
        <v>42</v>
      </c>
      <c r="X939" t="s">
        <v>74</v>
      </c>
      <c r="Y939" t="b">
        <v>0</v>
      </c>
      <c r="Z939" t="b">
        <v>0</v>
      </c>
      <c r="AC939" s="1"/>
      <c r="AF939">
        <v>0</v>
      </c>
      <c r="AH939">
        <v>181</v>
      </c>
      <c r="AI939" s="2">
        <f>Table__192.168.3.138BEWLPPMetaData[[#This Row],[NetAmount]]-Table__192.168.3.138BEWLPPMetaData[[#This Row],[Paid]]</f>
        <v>9002</v>
      </c>
    </row>
    <row r="940" spans="1:35" hidden="1">
      <c r="A940" t="s">
        <v>10267</v>
      </c>
      <c r="B940" s="1">
        <v>41095</v>
      </c>
      <c r="C940" s="1">
        <v>41140</v>
      </c>
      <c r="D940" t="s">
        <v>8570</v>
      </c>
      <c r="E940">
        <v>14500</v>
      </c>
      <c r="F940">
        <v>2320</v>
      </c>
      <c r="G940">
        <v>0</v>
      </c>
      <c r="H940">
        <v>0</v>
      </c>
      <c r="I940">
        <v>174</v>
      </c>
      <c r="J940">
        <v>16820</v>
      </c>
      <c r="K940" t="s">
        <v>3898</v>
      </c>
      <c r="L940" s="1">
        <v>41094</v>
      </c>
      <c r="N940" t="s">
        <v>6694</v>
      </c>
      <c r="O940" t="s">
        <v>3507</v>
      </c>
      <c r="P940" t="s">
        <v>8571</v>
      </c>
      <c r="Q940" t="s">
        <v>39</v>
      </c>
      <c r="R940" t="s">
        <v>40</v>
      </c>
      <c r="S940">
        <v>0</v>
      </c>
      <c r="U940" t="s">
        <v>41</v>
      </c>
      <c r="V940" t="s">
        <v>42</v>
      </c>
      <c r="X940" t="s">
        <v>74</v>
      </c>
      <c r="Y940" t="b">
        <v>0</v>
      </c>
      <c r="Z940" t="b">
        <v>0</v>
      </c>
      <c r="AC940" s="1"/>
      <c r="AF940">
        <v>0</v>
      </c>
      <c r="AG940">
        <v>45</v>
      </c>
      <c r="AH940">
        <v>219</v>
      </c>
      <c r="AI940" s="2">
        <f>Table__192.168.3.138BEWLPPMetaData[[#This Row],[NetAmount]]-Table__192.168.3.138BEWLPPMetaData[[#This Row],[Paid]]</f>
        <v>16820</v>
      </c>
    </row>
    <row r="941" spans="1:35" hidden="1">
      <c r="A941" t="s">
        <v>10268</v>
      </c>
      <c r="B941" s="1">
        <v>41121</v>
      </c>
      <c r="C941" s="1">
        <v>41166</v>
      </c>
      <c r="D941" t="s">
        <v>8570</v>
      </c>
      <c r="E941">
        <v>14500</v>
      </c>
      <c r="F941">
        <v>2320</v>
      </c>
      <c r="G941">
        <v>0</v>
      </c>
      <c r="H941">
        <v>0</v>
      </c>
      <c r="I941">
        <v>167</v>
      </c>
      <c r="J941">
        <v>16820</v>
      </c>
      <c r="K941" t="s">
        <v>8112</v>
      </c>
      <c r="L941" s="1">
        <v>41101</v>
      </c>
      <c r="N941" t="s">
        <v>6694</v>
      </c>
      <c r="O941" t="s">
        <v>3507</v>
      </c>
      <c r="P941" t="s">
        <v>8571</v>
      </c>
      <c r="Q941" t="s">
        <v>39</v>
      </c>
      <c r="R941" t="s">
        <v>40</v>
      </c>
      <c r="S941">
        <v>0</v>
      </c>
      <c r="U941" t="s">
        <v>41</v>
      </c>
      <c r="V941" t="s">
        <v>42</v>
      </c>
      <c r="X941" t="s">
        <v>74</v>
      </c>
      <c r="Y941" t="b">
        <v>0</v>
      </c>
      <c r="Z941" t="b">
        <v>0</v>
      </c>
      <c r="AC941" s="1"/>
      <c r="AF941">
        <v>0</v>
      </c>
      <c r="AG941">
        <v>45</v>
      </c>
      <c r="AH941">
        <v>212</v>
      </c>
      <c r="AI941" s="2">
        <f>Table__192.168.3.138BEWLPPMetaData[[#This Row],[NetAmount]]-Table__192.168.3.138BEWLPPMetaData[[#This Row],[Paid]]</f>
        <v>16820</v>
      </c>
    </row>
    <row r="942" spans="1:35" hidden="1">
      <c r="A942" t="s">
        <v>10269</v>
      </c>
      <c r="B942" s="1">
        <v>41113</v>
      </c>
      <c r="C942" s="1">
        <v>41158</v>
      </c>
      <c r="D942" t="s">
        <v>8570</v>
      </c>
      <c r="E942">
        <v>14500</v>
      </c>
      <c r="F942">
        <v>2320</v>
      </c>
      <c r="G942">
        <v>0</v>
      </c>
      <c r="H942">
        <v>0</v>
      </c>
      <c r="I942">
        <v>158</v>
      </c>
      <c r="J942">
        <v>16820</v>
      </c>
      <c r="K942" t="s">
        <v>922</v>
      </c>
      <c r="L942" s="1">
        <v>41110</v>
      </c>
      <c r="N942" t="s">
        <v>6694</v>
      </c>
      <c r="O942" t="s">
        <v>3507</v>
      </c>
      <c r="P942" t="s">
        <v>8571</v>
      </c>
      <c r="Q942" t="s">
        <v>39</v>
      </c>
      <c r="R942" t="s">
        <v>40</v>
      </c>
      <c r="S942">
        <v>0</v>
      </c>
      <c r="U942" t="s">
        <v>41</v>
      </c>
      <c r="V942" t="s">
        <v>42</v>
      </c>
      <c r="X942" t="s">
        <v>74</v>
      </c>
      <c r="Y942" t="b">
        <v>0</v>
      </c>
      <c r="Z942" t="b">
        <v>0</v>
      </c>
      <c r="AC942" s="1"/>
      <c r="AF942">
        <v>0</v>
      </c>
      <c r="AG942">
        <v>45</v>
      </c>
      <c r="AH942">
        <v>203</v>
      </c>
      <c r="AI942" s="2">
        <f>Table__192.168.3.138BEWLPPMetaData[[#This Row],[NetAmount]]-Table__192.168.3.138BEWLPPMetaData[[#This Row],[Paid]]</f>
        <v>16820</v>
      </c>
    </row>
    <row r="943" spans="1:35" hidden="1">
      <c r="A943" t="s">
        <v>10270</v>
      </c>
      <c r="B943" s="1">
        <v>41134</v>
      </c>
      <c r="C943" s="1">
        <v>41179</v>
      </c>
      <c r="D943" t="s">
        <v>8570</v>
      </c>
      <c r="E943">
        <v>200040</v>
      </c>
      <c r="F943">
        <v>32006</v>
      </c>
      <c r="G943">
        <v>0</v>
      </c>
      <c r="H943">
        <v>0</v>
      </c>
      <c r="I943">
        <v>134</v>
      </c>
      <c r="J943">
        <v>232046</v>
      </c>
      <c r="L943" s="1">
        <v>41134</v>
      </c>
      <c r="N943" t="s">
        <v>6694</v>
      </c>
      <c r="O943" t="s">
        <v>3507</v>
      </c>
      <c r="P943" t="s">
        <v>8571</v>
      </c>
      <c r="Q943" t="s">
        <v>39</v>
      </c>
      <c r="R943" t="s">
        <v>40</v>
      </c>
      <c r="S943">
        <v>0</v>
      </c>
      <c r="U943" t="s">
        <v>41</v>
      </c>
      <c r="V943" t="s">
        <v>42</v>
      </c>
      <c r="X943" t="s">
        <v>74</v>
      </c>
      <c r="Y943" t="b">
        <v>0</v>
      </c>
      <c r="Z943" t="b">
        <v>0</v>
      </c>
      <c r="AC943" s="1"/>
      <c r="AF943">
        <v>0</v>
      </c>
      <c r="AG943">
        <v>45</v>
      </c>
      <c r="AH943">
        <v>179</v>
      </c>
      <c r="AI943" s="2">
        <f>Table__192.168.3.138BEWLPPMetaData[[#This Row],[NetAmount]]-Table__192.168.3.138BEWLPPMetaData[[#This Row],[Paid]]</f>
        <v>232046</v>
      </c>
    </row>
    <row r="944" spans="1:35" hidden="1">
      <c r="A944" t="s">
        <v>10271</v>
      </c>
      <c r="B944" s="1">
        <v>41117</v>
      </c>
      <c r="C944" s="1">
        <v>41162</v>
      </c>
      <c r="D944" t="s">
        <v>8570</v>
      </c>
      <c r="E944">
        <v>29000</v>
      </c>
      <c r="F944">
        <v>4640</v>
      </c>
      <c r="G944">
        <v>0</v>
      </c>
      <c r="H944">
        <v>0</v>
      </c>
      <c r="I944">
        <v>127</v>
      </c>
      <c r="J944">
        <v>33640</v>
      </c>
      <c r="K944" t="s">
        <v>3062</v>
      </c>
      <c r="L944" s="1">
        <v>41141</v>
      </c>
      <c r="N944" t="s">
        <v>6694</v>
      </c>
      <c r="O944" t="s">
        <v>3507</v>
      </c>
      <c r="P944" t="s">
        <v>8571</v>
      </c>
      <c r="Q944" t="s">
        <v>39</v>
      </c>
      <c r="R944" t="s">
        <v>40</v>
      </c>
      <c r="S944">
        <v>0</v>
      </c>
      <c r="U944" t="s">
        <v>41</v>
      </c>
      <c r="V944" t="s">
        <v>42</v>
      </c>
      <c r="X944" t="s">
        <v>74</v>
      </c>
      <c r="Y944" t="b">
        <v>0</v>
      </c>
      <c r="Z944" t="b">
        <v>0</v>
      </c>
      <c r="AC944" s="1"/>
      <c r="AF944">
        <v>0</v>
      </c>
      <c r="AG944">
        <v>45</v>
      </c>
      <c r="AH944">
        <v>172</v>
      </c>
      <c r="AI944" s="2">
        <f>Table__192.168.3.138BEWLPPMetaData[[#This Row],[NetAmount]]-Table__192.168.3.138BEWLPPMetaData[[#This Row],[Paid]]</f>
        <v>33640</v>
      </c>
    </row>
    <row r="945" spans="1:35" hidden="1">
      <c r="A945" t="s">
        <v>10272</v>
      </c>
      <c r="B945" s="1">
        <v>41146</v>
      </c>
      <c r="C945" s="1">
        <v>41191</v>
      </c>
      <c r="D945" t="s">
        <v>8574</v>
      </c>
      <c r="E945">
        <v>43587</v>
      </c>
      <c r="F945">
        <v>6974</v>
      </c>
      <c r="G945">
        <v>0</v>
      </c>
      <c r="H945">
        <v>0</v>
      </c>
      <c r="I945">
        <v>132</v>
      </c>
      <c r="J945">
        <v>50561</v>
      </c>
      <c r="K945" t="s">
        <v>10273</v>
      </c>
      <c r="L945" s="1">
        <v>41136</v>
      </c>
      <c r="N945" t="s">
        <v>6694</v>
      </c>
      <c r="O945" t="s">
        <v>3507</v>
      </c>
      <c r="P945" t="s">
        <v>344</v>
      </c>
      <c r="Q945" t="s">
        <v>39</v>
      </c>
      <c r="R945" t="s">
        <v>40</v>
      </c>
      <c r="S945">
        <v>0</v>
      </c>
      <c r="U945" t="s">
        <v>41</v>
      </c>
      <c r="V945" t="s">
        <v>42</v>
      </c>
      <c r="X945" t="s">
        <v>74</v>
      </c>
      <c r="Y945" t="b">
        <v>0</v>
      </c>
      <c r="Z945" t="b">
        <v>0</v>
      </c>
      <c r="AC945" s="1"/>
      <c r="AF945">
        <v>0</v>
      </c>
      <c r="AG945">
        <v>45</v>
      </c>
      <c r="AH945">
        <v>177</v>
      </c>
      <c r="AI945" s="2">
        <f>Table__192.168.3.138BEWLPPMetaData[[#This Row],[NetAmount]]-Table__192.168.3.138BEWLPPMetaData[[#This Row],[Paid]]</f>
        <v>50561</v>
      </c>
    </row>
    <row r="946" spans="1:35" hidden="1">
      <c r="A946" t="s">
        <v>10274</v>
      </c>
      <c r="B946" s="1">
        <v>41150</v>
      </c>
      <c r="C946" s="1">
        <v>41195</v>
      </c>
      <c r="D946" t="s">
        <v>5529</v>
      </c>
      <c r="E946">
        <v>111690</v>
      </c>
      <c r="F946">
        <v>17870</v>
      </c>
      <c r="G946">
        <v>0</v>
      </c>
      <c r="H946">
        <v>0</v>
      </c>
      <c r="I946">
        <v>123</v>
      </c>
      <c r="J946">
        <v>129560</v>
      </c>
      <c r="K946" t="s">
        <v>8964</v>
      </c>
      <c r="L946" s="1">
        <v>41145</v>
      </c>
      <c r="N946" t="s">
        <v>6694</v>
      </c>
      <c r="O946" t="s">
        <v>3507</v>
      </c>
      <c r="P946" t="s">
        <v>8614</v>
      </c>
      <c r="Q946" t="s">
        <v>39</v>
      </c>
      <c r="R946" t="s">
        <v>40</v>
      </c>
      <c r="S946">
        <v>0</v>
      </c>
      <c r="U946" t="s">
        <v>41</v>
      </c>
      <c r="V946" t="s">
        <v>42</v>
      </c>
      <c r="X946" t="s">
        <v>74</v>
      </c>
      <c r="Y946" t="b">
        <v>0</v>
      </c>
      <c r="Z946" t="b">
        <v>0</v>
      </c>
      <c r="AC946" s="1"/>
      <c r="AF946">
        <v>0</v>
      </c>
      <c r="AG946">
        <v>45</v>
      </c>
      <c r="AH946">
        <v>168</v>
      </c>
      <c r="AI946" s="2">
        <f>Table__192.168.3.138BEWLPPMetaData[[#This Row],[NetAmount]]-Table__192.168.3.138BEWLPPMetaData[[#This Row],[Paid]]</f>
        <v>129560</v>
      </c>
    </row>
    <row r="947" spans="1:35" hidden="1">
      <c r="A947" t="s">
        <v>10275</v>
      </c>
      <c r="B947" s="1">
        <v>41150</v>
      </c>
      <c r="C947" s="1">
        <v>41195</v>
      </c>
      <c r="D947" t="s">
        <v>5529</v>
      </c>
      <c r="E947">
        <v>219294</v>
      </c>
      <c r="F947">
        <v>35087</v>
      </c>
      <c r="G947">
        <v>0</v>
      </c>
      <c r="H947">
        <v>0</v>
      </c>
      <c r="I947">
        <v>123</v>
      </c>
      <c r="J947">
        <v>254381</v>
      </c>
      <c r="K947" t="s">
        <v>8966</v>
      </c>
      <c r="L947" s="1">
        <v>41145</v>
      </c>
      <c r="N947" t="s">
        <v>6694</v>
      </c>
      <c r="O947" t="s">
        <v>3507</v>
      </c>
      <c r="P947" t="s">
        <v>8614</v>
      </c>
      <c r="Q947" t="s">
        <v>39</v>
      </c>
      <c r="R947" t="s">
        <v>40</v>
      </c>
      <c r="S947">
        <v>0</v>
      </c>
      <c r="U947" t="s">
        <v>41</v>
      </c>
      <c r="V947" t="s">
        <v>42</v>
      </c>
      <c r="X947" t="s">
        <v>74</v>
      </c>
      <c r="Y947" t="b">
        <v>0</v>
      </c>
      <c r="Z947" t="b">
        <v>0</v>
      </c>
      <c r="AC947" s="1"/>
      <c r="AF947">
        <v>0</v>
      </c>
      <c r="AG947">
        <v>45</v>
      </c>
      <c r="AH947">
        <v>168</v>
      </c>
      <c r="AI947" s="2">
        <f>Table__192.168.3.138BEWLPPMetaData[[#This Row],[NetAmount]]-Table__192.168.3.138BEWLPPMetaData[[#This Row],[Paid]]</f>
        <v>254381</v>
      </c>
    </row>
    <row r="948" spans="1:35" hidden="1">
      <c r="A948" t="s">
        <v>10276</v>
      </c>
      <c r="B948" s="1">
        <v>41150</v>
      </c>
      <c r="C948" s="1">
        <v>41195</v>
      </c>
      <c r="D948" t="s">
        <v>8657</v>
      </c>
      <c r="E948">
        <v>44000</v>
      </c>
      <c r="F948">
        <v>7040</v>
      </c>
      <c r="G948">
        <v>0</v>
      </c>
      <c r="H948">
        <v>0</v>
      </c>
      <c r="I948">
        <v>119</v>
      </c>
      <c r="J948">
        <v>51040</v>
      </c>
      <c r="K948" t="s">
        <v>10277</v>
      </c>
      <c r="L948" s="1">
        <v>41149</v>
      </c>
      <c r="N948" t="s">
        <v>6694</v>
      </c>
      <c r="O948" t="s">
        <v>3507</v>
      </c>
      <c r="P948" t="s">
        <v>8659</v>
      </c>
      <c r="Q948" t="s">
        <v>39</v>
      </c>
      <c r="R948" t="s">
        <v>40</v>
      </c>
      <c r="S948">
        <v>0</v>
      </c>
      <c r="U948" t="s">
        <v>41</v>
      </c>
      <c r="V948" t="s">
        <v>42</v>
      </c>
      <c r="X948" t="s">
        <v>74</v>
      </c>
      <c r="Y948" t="b">
        <v>0</v>
      </c>
      <c r="Z948" t="b">
        <v>0</v>
      </c>
      <c r="AC948" s="1"/>
      <c r="AF948">
        <v>0</v>
      </c>
      <c r="AG948">
        <v>45</v>
      </c>
      <c r="AH948">
        <v>164</v>
      </c>
      <c r="AI948" s="2">
        <f>Table__192.168.3.138BEWLPPMetaData[[#This Row],[NetAmount]]-Table__192.168.3.138BEWLPPMetaData[[#This Row],[Paid]]</f>
        <v>51040</v>
      </c>
    </row>
    <row r="949" spans="1:35" hidden="1">
      <c r="A949" t="s">
        <v>10278</v>
      </c>
      <c r="B949" s="1">
        <v>41127</v>
      </c>
      <c r="C949" s="1">
        <v>41172</v>
      </c>
      <c r="D949" t="s">
        <v>8598</v>
      </c>
      <c r="E949">
        <v>10624</v>
      </c>
      <c r="F949">
        <v>1700</v>
      </c>
      <c r="G949">
        <v>0</v>
      </c>
      <c r="H949">
        <v>0</v>
      </c>
      <c r="I949">
        <v>141</v>
      </c>
      <c r="J949">
        <v>12324</v>
      </c>
      <c r="K949" t="s">
        <v>4525</v>
      </c>
      <c r="L949" s="1">
        <v>41127</v>
      </c>
      <c r="M949" t="s">
        <v>10279</v>
      </c>
      <c r="N949" t="s">
        <v>6694</v>
      </c>
      <c r="O949" t="s">
        <v>3507</v>
      </c>
      <c r="P949" t="s">
        <v>369</v>
      </c>
      <c r="Q949" t="s">
        <v>39</v>
      </c>
      <c r="R949" t="s">
        <v>40</v>
      </c>
      <c r="S949">
        <v>0</v>
      </c>
      <c r="U949" t="s">
        <v>41</v>
      </c>
      <c r="V949" t="s">
        <v>42</v>
      </c>
      <c r="W949" t="s">
        <v>8607</v>
      </c>
      <c r="X949" t="s">
        <v>74</v>
      </c>
      <c r="Y949" t="b">
        <v>0</v>
      </c>
      <c r="Z949" t="b">
        <v>0</v>
      </c>
      <c r="AA949" t="b">
        <v>0</v>
      </c>
      <c r="AC949" s="1"/>
      <c r="AF949">
        <v>0</v>
      </c>
      <c r="AG949">
        <v>45</v>
      </c>
      <c r="AH949">
        <v>186</v>
      </c>
      <c r="AI949" s="2">
        <f>Table__192.168.3.138BEWLPPMetaData[[#This Row],[NetAmount]]-Table__192.168.3.138BEWLPPMetaData[[#This Row],[Paid]]</f>
        <v>12324</v>
      </c>
    </row>
    <row r="950" spans="1:35" hidden="1">
      <c r="A950" t="s">
        <v>10280</v>
      </c>
      <c r="B950" s="1">
        <v>41150</v>
      </c>
      <c r="C950" s="1">
        <v>41195</v>
      </c>
      <c r="D950" t="s">
        <v>8577</v>
      </c>
      <c r="E950">
        <v>17050</v>
      </c>
      <c r="F950">
        <v>0</v>
      </c>
      <c r="G950">
        <v>0</v>
      </c>
      <c r="H950">
        <v>0</v>
      </c>
      <c r="I950">
        <v>118</v>
      </c>
      <c r="J950">
        <v>17050</v>
      </c>
      <c r="K950" t="s">
        <v>4001</v>
      </c>
      <c r="L950" s="1">
        <v>41150</v>
      </c>
      <c r="N950" t="s">
        <v>6694</v>
      </c>
      <c r="O950" t="s">
        <v>3507</v>
      </c>
      <c r="P950" t="s">
        <v>8579</v>
      </c>
      <c r="Q950" t="s">
        <v>39</v>
      </c>
      <c r="R950" t="s">
        <v>40</v>
      </c>
      <c r="S950">
        <v>0</v>
      </c>
      <c r="U950" t="s">
        <v>41</v>
      </c>
      <c r="V950" t="s">
        <v>42</v>
      </c>
      <c r="X950" t="s">
        <v>74</v>
      </c>
      <c r="Y950" t="b">
        <v>0</v>
      </c>
      <c r="Z950" t="b">
        <v>0</v>
      </c>
      <c r="AC950" s="1"/>
      <c r="AF950">
        <v>0</v>
      </c>
      <c r="AG950">
        <v>45</v>
      </c>
      <c r="AH950">
        <v>163</v>
      </c>
      <c r="AI950" s="2">
        <f>Table__192.168.3.138BEWLPPMetaData[[#This Row],[NetAmount]]-Table__192.168.3.138BEWLPPMetaData[[#This Row],[Paid]]</f>
        <v>17050</v>
      </c>
    </row>
    <row r="951" spans="1:35" hidden="1">
      <c r="A951" t="s">
        <v>10281</v>
      </c>
      <c r="B951" s="1">
        <v>41132</v>
      </c>
      <c r="C951" s="1">
        <v>41177</v>
      </c>
      <c r="D951" t="s">
        <v>8577</v>
      </c>
      <c r="E951">
        <v>4320</v>
      </c>
      <c r="F951">
        <v>0</v>
      </c>
      <c r="G951">
        <v>0</v>
      </c>
      <c r="H951">
        <v>0</v>
      </c>
      <c r="I951">
        <v>138</v>
      </c>
      <c r="J951">
        <v>4320</v>
      </c>
      <c r="K951" t="s">
        <v>2559</v>
      </c>
      <c r="L951" s="1">
        <v>41130</v>
      </c>
      <c r="N951" t="s">
        <v>6694</v>
      </c>
      <c r="O951" t="s">
        <v>3507</v>
      </c>
      <c r="P951" t="s">
        <v>8579</v>
      </c>
      <c r="Q951" t="s">
        <v>39</v>
      </c>
      <c r="R951" t="s">
        <v>40</v>
      </c>
      <c r="S951">
        <v>0</v>
      </c>
      <c r="U951" t="s">
        <v>41</v>
      </c>
      <c r="V951" t="s">
        <v>42</v>
      </c>
      <c r="X951" t="s">
        <v>74</v>
      </c>
      <c r="Y951" t="b">
        <v>0</v>
      </c>
      <c r="Z951" t="b">
        <v>0</v>
      </c>
      <c r="AC951" s="1"/>
      <c r="AF951">
        <v>0</v>
      </c>
      <c r="AG951">
        <v>45</v>
      </c>
      <c r="AH951">
        <v>183</v>
      </c>
      <c r="AI951" s="2">
        <f>Table__192.168.3.138BEWLPPMetaData[[#This Row],[NetAmount]]-Table__192.168.3.138BEWLPPMetaData[[#This Row],[Paid]]</f>
        <v>4320</v>
      </c>
    </row>
    <row r="952" spans="1:35" hidden="1">
      <c r="A952" t="s">
        <v>10282</v>
      </c>
      <c r="B952" s="1">
        <v>41137</v>
      </c>
      <c r="C952" s="1">
        <v>41182</v>
      </c>
      <c r="D952" t="s">
        <v>8577</v>
      </c>
      <c r="E952">
        <v>18154</v>
      </c>
      <c r="F952">
        <v>0</v>
      </c>
      <c r="G952">
        <v>0</v>
      </c>
      <c r="H952">
        <v>0</v>
      </c>
      <c r="I952">
        <v>131</v>
      </c>
      <c r="J952">
        <v>18154</v>
      </c>
      <c r="K952" t="s">
        <v>1047</v>
      </c>
      <c r="L952" s="1">
        <v>41137</v>
      </c>
      <c r="N952" t="s">
        <v>6694</v>
      </c>
      <c r="O952" t="s">
        <v>3507</v>
      </c>
      <c r="P952" t="s">
        <v>8579</v>
      </c>
      <c r="Q952" t="s">
        <v>39</v>
      </c>
      <c r="R952" t="s">
        <v>40</v>
      </c>
      <c r="S952">
        <v>0</v>
      </c>
      <c r="U952" t="s">
        <v>41</v>
      </c>
      <c r="V952" t="s">
        <v>42</v>
      </c>
      <c r="X952" t="s">
        <v>74</v>
      </c>
      <c r="Y952" t="b">
        <v>0</v>
      </c>
      <c r="Z952" t="b">
        <v>0</v>
      </c>
      <c r="AC952" s="1"/>
      <c r="AF952">
        <v>0</v>
      </c>
      <c r="AG952">
        <v>45</v>
      </c>
      <c r="AH952">
        <v>176</v>
      </c>
      <c r="AI952" s="2">
        <f>Table__192.168.3.138BEWLPPMetaData[[#This Row],[NetAmount]]-Table__192.168.3.138BEWLPPMetaData[[#This Row],[Paid]]</f>
        <v>18154</v>
      </c>
    </row>
    <row r="953" spans="1:35" hidden="1">
      <c r="A953" t="s">
        <v>10283</v>
      </c>
      <c r="B953" s="1">
        <v>41149</v>
      </c>
      <c r="C953" s="1">
        <v>41194</v>
      </c>
      <c r="D953" t="s">
        <v>8611</v>
      </c>
      <c r="E953">
        <v>29241</v>
      </c>
      <c r="F953">
        <v>4679</v>
      </c>
      <c r="G953">
        <v>0</v>
      </c>
      <c r="H953">
        <v>0</v>
      </c>
      <c r="I953">
        <v>116</v>
      </c>
      <c r="J953">
        <v>33920</v>
      </c>
      <c r="K953" t="s">
        <v>10284</v>
      </c>
      <c r="L953" s="1">
        <v>41152</v>
      </c>
      <c r="N953" t="s">
        <v>6694</v>
      </c>
      <c r="O953" t="s">
        <v>3507</v>
      </c>
      <c r="P953" t="s">
        <v>8612</v>
      </c>
      <c r="Q953" t="s">
        <v>39</v>
      </c>
      <c r="R953" t="s">
        <v>40</v>
      </c>
      <c r="S953">
        <v>0</v>
      </c>
      <c r="U953" t="s">
        <v>41</v>
      </c>
      <c r="V953" t="s">
        <v>42</v>
      </c>
      <c r="X953" t="s">
        <v>74</v>
      </c>
      <c r="Y953" t="b">
        <v>0</v>
      </c>
      <c r="Z953" t="b">
        <v>0</v>
      </c>
      <c r="AC953" s="1"/>
      <c r="AF953">
        <v>0</v>
      </c>
      <c r="AG953">
        <v>45</v>
      </c>
      <c r="AH953">
        <v>161</v>
      </c>
      <c r="AI953" s="2">
        <f>Table__192.168.3.138BEWLPPMetaData[[#This Row],[NetAmount]]-Table__192.168.3.138BEWLPPMetaData[[#This Row],[Paid]]</f>
        <v>33920</v>
      </c>
    </row>
    <row r="954" spans="1:35" hidden="1">
      <c r="A954" t="s">
        <v>10285</v>
      </c>
      <c r="B954" s="1">
        <v>41148</v>
      </c>
      <c r="C954" s="1">
        <v>41148</v>
      </c>
      <c r="D954" t="s">
        <v>8591</v>
      </c>
      <c r="E954">
        <v>9060</v>
      </c>
      <c r="F954">
        <v>1450</v>
      </c>
      <c r="G954">
        <v>0</v>
      </c>
      <c r="H954">
        <v>0</v>
      </c>
      <c r="I954">
        <v>0</v>
      </c>
      <c r="J954">
        <v>10510</v>
      </c>
      <c r="K954" t="s">
        <v>10286</v>
      </c>
      <c r="L954" s="1">
        <v>41149</v>
      </c>
      <c r="N954" t="s">
        <v>6694</v>
      </c>
      <c r="O954" t="s">
        <v>3507</v>
      </c>
      <c r="P954" t="s">
        <v>425</v>
      </c>
      <c r="Q954" t="s">
        <v>39</v>
      </c>
      <c r="R954" t="s">
        <v>40</v>
      </c>
      <c r="S954">
        <v>0</v>
      </c>
      <c r="U954" t="s">
        <v>41</v>
      </c>
      <c r="V954" t="s">
        <v>42</v>
      </c>
      <c r="X954" t="s">
        <v>74</v>
      </c>
      <c r="Y954" t="b">
        <v>0</v>
      </c>
      <c r="Z954" t="b">
        <v>0</v>
      </c>
      <c r="AC954" s="1"/>
      <c r="AF954">
        <v>0</v>
      </c>
      <c r="AH954">
        <v>164</v>
      </c>
      <c r="AI954" s="2">
        <f>Table__192.168.3.138BEWLPPMetaData[[#This Row],[NetAmount]]-Table__192.168.3.138BEWLPPMetaData[[#This Row],[Paid]]</f>
        <v>10510</v>
      </c>
    </row>
    <row r="955" spans="1:35" hidden="1">
      <c r="A955" t="s">
        <v>10287</v>
      </c>
      <c r="B955" s="1">
        <v>41145</v>
      </c>
      <c r="C955" s="1">
        <v>41190</v>
      </c>
      <c r="D955" t="s">
        <v>8611</v>
      </c>
      <c r="E955">
        <v>16092</v>
      </c>
      <c r="F955">
        <v>2575</v>
      </c>
      <c r="G955">
        <v>0</v>
      </c>
      <c r="H955">
        <v>0</v>
      </c>
      <c r="I955">
        <v>123</v>
      </c>
      <c r="J955">
        <v>18667</v>
      </c>
      <c r="K955" t="s">
        <v>10288</v>
      </c>
      <c r="L955" s="1">
        <v>41145</v>
      </c>
      <c r="N955" t="s">
        <v>6694</v>
      </c>
      <c r="O955" t="s">
        <v>3507</v>
      </c>
      <c r="P955" t="s">
        <v>8612</v>
      </c>
      <c r="Q955" t="s">
        <v>39</v>
      </c>
      <c r="R955" t="s">
        <v>40</v>
      </c>
      <c r="S955">
        <v>0</v>
      </c>
      <c r="U955" t="s">
        <v>41</v>
      </c>
      <c r="V955" t="s">
        <v>42</v>
      </c>
      <c r="X955" t="s">
        <v>74</v>
      </c>
      <c r="Y955" t="b">
        <v>0</v>
      </c>
      <c r="Z955" t="b">
        <v>0</v>
      </c>
      <c r="AC955" s="1"/>
      <c r="AF955">
        <v>0</v>
      </c>
      <c r="AG955">
        <v>45</v>
      </c>
      <c r="AH955">
        <v>168</v>
      </c>
      <c r="AI955" s="2">
        <f>Table__192.168.3.138BEWLPPMetaData[[#This Row],[NetAmount]]-Table__192.168.3.138BEWLPPMetaData[[#This Row],[Paid]]</f>
        <v>18667</v>
      </c>
    </row>
    <row r="956" spans="1:35" hidden="1">
      <c r="A956" t="s">
        <v>10289</v>
      </c>
      <c r="B956" s="1">
        <v>41145</v>
      </c>
      <c r="C956" s="1">
        <v>41190</v>
      </c>
      <c r="D956" t="s">
        <v>8611</v>
      </c>
      <c r="E956">
        <v>104194</v>
      </c>
      <c r="F956">
        <v>16671</v>
      </c>
      <c r="G956">
        <v>0</v>
      </c>
      <c r="H956">
        <v>0</v>
      </c>
      <c r="I956">
        <v>129</v>
      </c>
      <c r="J956">
        <v>120865</v>
      </c>
      <c r="K956" t="s">
        <v>10290</v>
      </c>
      <c r="L956" s="1">
        <v>41139</v>
      </c>
      <c r="N956" t="s">
        <v>6694</v>
      </c>
      <c r="O956" t="s">
        <v>3507</v>
      </c>
      <c r="P956" t="s">
        <v>8612</v>
      </c>
      <c r="Q956" t="s">
        <v>39</v>
      </c>
      <c r="R956" t="s">
        <v>40</v>
      </c>
      <c r="S956">
        <v>0</v>
      </c>
      <c r="U956" t="s">
        <v>41</v>
      </c>
      <c r="V956" t="s">
        <v>42</v>
      </c>
      <c r="X956" t="s">
        <v>74</v>
      </c>
      <c r="Y956" t="b">
        <v>0</v>
      </c>
      <c r="Z956" t="b">
        <v>0</v>
      </c>
      <c r="AC956" s="1"/>
      <c r="AF956">
        <v>0</v>
      </c>
      <c r="AG956">
        <v>45</v>
      </c>
      <c r="AH956">
        <v>174</v>
      </c>
      <c r="AI956" s="2">
        <f>Table__192.168.3.138BEWLPPMetaData[[#This Row],[NetAmount]]-Table__192.168.3.138BEWLPPMetaData[[#This Row],[Paid]]</f>
        <v>120865</v>
      </c>
    </row>
    <row r="957" spans="1:35" hidden="1">
      <c r="A957" t="s">
        <v>10291</v>
      </c>
      <c r="B957" s="1">
        <v>41137</v>
      </c>
      <c r="C957" s="1">
        <v>41182</v>
      </c>
      <c r="D957" t="s">
        <v>8611</v>
      </c>
      <c r="E957">
        <v>81000</v>
      </c>
      <c r="F957">
        <v>12960</v>
      </c>
      <c r="G957">
        <v>0</v>
      </c>
      <c r="H957">
        <v>0</v>
      </c>
      <c r="I957">
        <v>131</v>
      </c>
      <c r="J957">
        <v>93960</v>
      </c>
      <c r="K957" t="s">
        <v>10292</v>
      </c>
      <c r="L957" s="1">
        <v>41137</v>
      </c>
      <c r="N957" t="s">
        <v>6694</v>
      </c>
      <c r="O957" t="s">
        <v>3507</v>
      </c>
      <c r="P957" t="s">
        <v>8612</v>
      </c>
      <c r="Q957" t="s">
        <v>39</v>
      </c>
      <c r="R957" t="s">
        <v>40</v>
      </c>
      <c r="S957">
        <v>0</v>
      </c>
      <c r="U957" t="s">
        <v>41</v>
      </c>
      <c r="V957" t="s">
        <v>42</v>
      </c>
      <c r="X957" t="s">
        <v>74</v>
      </c>
      <c r="Y957" t="b">
        <v>0</v>
      </c>
      <c r="Z957" t="b">
        <v>0</v>
      </c>
      <c r="AC957" s="1"/>
      <c r="AF957">
        <v>0</v>
      </c>
      <c r="AG957">
        <v>45</v>
      </c>
      <c r="AH957">
        <v>176</v>
      </c>
      <c r="AI957" s="2">
        <f>Table__192.168.3.138BEWLPPMetaData[[#This Row],[NetAmount]]-Table__192.168.3.138BEWLPPMetaData[[#This Row],[Paid]]</f>
        <v>93960</v>
      </c>
    </row>
    <row r="958" spans="1:35" hidden="1">
      <c r="A958" t="s">
        <v>10293</v>
      </c>
      <c r="B958" s="1">
        <v>41134</v>
      </c>
      <c r="C958" s="1">
        <v>41179</v>
      </c>
      <c r="D958" t="s">
        <v>8611</v>
      </c>
      <c r="E958">
        <v>139509</v>
      </c>
      <c r="F958">
        <v>22321</v>
      </c>
      <c r="G958">
        <v>0</v>
      </c>
      <c r="H958">
        <v>0</v>
      </c>
      <c r="I958">
        <v>134</v>
      </c>
      <c r="J958">
        <v>161830</v>
      </c>
      <c r="K958" t="s">
        <v>10294</v>
      </c>
      <c r="L958" s="1">
        <v>41134</v>
      </c>
      <c r="N958" t="s">
        <v>6694</v>
      </c>
      <c r="O958" t="s">
        <v>3507</v>
      </c>
      <c r="P958" t="s">
        <v>8612</v>
      </c>
      <c r="Q958" t="s">
        <v>39</v>
      </c>
      <c r="R958" t="s">
        <v>40</v>
      </c>
      <c r="S958">
        <v>0</v>
      </c>
      <c r="U958" t="s">
        <v>41</v>
      </c>
      <c r="V958" t="s">
        <v>42</v>
      </c>
      <c r="X958" t="s">
        <v>74</v>
      </c>
      <c r="Y958" t="b">
        <v>0</v>
      </c>
      <c r="Z958" t="b">
        <v>0</v>
      </c>
      <c r="AC958" s="1"/>
      <c r="AF958">
        <v>0</v>
      </c>
      <c r="AG958">
        <v>45</v>
      </c>
      <c r="AH958">
        <v>179</v>
      </c>
      <c r="AI958" s="2">
        <f>Table__192.168.3.138BEWLPPMetaData[[#This Row],[NetAmount]]-Table__192.168.3.138BEWLPPMetaData[[#This Row],[Paid]]</f>
        <v>161830</v>
      </c>
    </row>
    <row r="959" spans="1:35" hidden="1">
      <c r="A959" t="s">
        <v>10295</v>
      </c>
      <c r="B959" s="1">
        <v>41132</v>
      </c>
      <c r="C959" s="1">
        <v>41177</v>
      </c>
      <c r="D959" t="s">
        <v>8611</v>
      </c>
      <c r="E959">
        <v>38065</v>
      </c>
      <c r="F959">
        <v>6090</v>
      </c>
      <c r="G959">
        <v>0</v>
      </c>
      <c r="H959">
        <v>0</v>
      </c>
      <c r="I959">
        <v>134</v>
      </c>
      <c r="J959">
        <v>44155</v>
      </c>
      <c r="K959" t="s">
        <v>10296</v>
      </c>
      <c r="L959" s="1">
        <v>41134</v>
      </c>
      <c r="N959" t="s">
        <v>6694</v>
      </c>
      <c r="O959" t="s">
        <v>3507</v>
      </c>
      <c r="P959" t="s">
        <v>8612</v>
      </c>
      <c r="Q959" t="s">
        <v>39</v>
      </c>
      <c r="R959" t="s">
        <v>40</v>
      </c>
      <c r="S959">
        <v>0</v>
      </c>
      <c r="U959" t="s">
        <v>41</v>
      </c>
      <c r="V959" t="s">
        <v>42</v>
      </c>
      <c r="X959" t="s">
        <v>74</v>
      </c>
      <c r="Y959" t="b">
        <v>0</v>
      </c>
      <c r="Z959" t="b">
        <v>0</v>
      </c>
      <c r="AC959" s="1"/>
      <c r="AF959">
        <v>0</v>
      </c>
      <c r="AG959">
        <v>45</v>
      </c>
      <c r="AH959">
        <v>179</v>
      </c>
      <c r="AI959" s="2">
        <f>Table__192.168.3.138BEWLPPMetaData[[#This Row],[NetAmount]]-Table__192.168.3.138BEWLPPMetaData[[#This Row],[Paid]]</f>
        <v>44155</v>
      </c>
    </row>
    <row r="960" spans="1:35" hidden="1">
      <c r="A960" t="s">
        <v>10297</v>
      </c>
      <c r="B960" s="1">
        <v>41128</v>
      </c>
      <c r="C960" s="1">
        <v>41173</v>
      </c>
      <c r="D960" t="s">
        <v>8611</v>
      </c>
      <c r="E960">
        <v>146059</v>
      </c>
      <c r="F960">
        <v>23369</v>
      </c>
      <c r="G960">
        <v>0</v>
      </c>
      <c r="H960">
        <v>0</v>
      </c>
      <c r="I960">
        <v>140</v>
      </c>
      <c r="J960">
        <v>169428</v>
      </c>
      <c r="K960" t="s">
        <v>10298</v>
      </c>
      <c r="L960" s="1">
        <v>41128</v>
      </c>
      <c r="N960" t="s">
        <v>6694</v>
      </c>
      <c r="O960" t="s">
        <v>3507</v>
      </c>
      <c r="P960" t="s">
        <v>8612</v>
      </c>
      <c r="Q960" t="s">
        <v>39</v>
      </c>
      <c r="R960" t="s">
        <v>40</v>
      </c>
      <c r="S960">
        <v>0</v>
      </c>
      <c r="U960" t="s">
        <v>41</v>
      </c>
      <c r="V960" t="s">
        <v>42</v>
      </c>
      <c r="X960" t="s">
        <v>74</v>
      </c>
      <c r="Y960" t="b">
        <v>0</v>
      </c>
      <c r="Z960" t="b">
        <v>0</v>
      </c>
      <c r="AB960" t="s">
        <v>10223</v>
      </c>
      <c r="AC960" s="1">
        <v>41300</v>
      </c>
      <c r="AF960">
        <v>0</v>
      </c>
      <c r="AG960">
        <v>45</v>
      </c>
      <c r="AH960">
        <v>185</v>
      </c>
      <c r="AI960" s="2">
        <f>Table__192.168.3.138BEWLPPMetaData[[#This Row],[NetAmount]]-Table__192.168.3.138BEWLPPMetaData[[#This Row],[Paid]]</f>
        <v>169428</v>
      </c>
    </row>
    <row r="961" spans="1:35" hidden="1">
      <c r="A961" t="s">
        <v>10299</v>
      </c>
      <c r="B961" s="1">
        <v>41123</v>
      </c>
      <c r="C961" s="1">
        <v>41168</v>
      </c>
      <c r="D961" t="s">
        <v>8611</v>
      </c>
      <c r="E961">
        <v>37250</v>
      </c>
      <c r="F961">
        <v>5960</v>
      </c>
      <c r="G961">
        <v>0</v>
      </c>
      <c r="H961">
        <v>0</v>
      </c>
      <c r="I961">
        <v>143</v>
      </c>
      <c r="J961">
        <v>43210</v>
      </c>
      <c r="K961" t="s">
        <v>10300</v>
      </c>
      <c r="L961" s="1">
        <v>41125</v>
      </c>
      <c r="N961" t="s">
        <v>6694</v>
      </c>
      <c r="O961" t="s">
        <v>3507</v>
      </c>
      <c r="P961" t="s">
        <v>8612</v>
      </c>
      <c r="Q961" t="s">
        <v>39</v>
      </c>
      <c r="R961" t="s">
        <v>40</v>
      </c>
      <c r="S961">
        <v>0</v>
      </c>
      <c r="U961" t="s">
        <v>41</v>
      </c>
      <c r="V961" t="s">
        <v>42</v>
      </c>
      <c r="X961" t="s">
        <v>74</v>
      </c>
      <c r="Y961" t="b">
        <v>0</v>
      </c>
      <c r="Z961" t="b">
        <v>0</v>
      </c>
      <c r="AB961" t="s">
        <v>10223</v>
      </c>
      <c r="AC961" s="1">
        <v>41300</v>
      </c>
      <c r="AF961">
        <v>0</v>
      </c>
      <c r="AG961">
        <v>45</v>
      </c>
      <c r="AH961">
        <v>188</v>
      </c>
      <c r="AI961" s="2">
        <f>Table__192.168.3.138BEWLPPMetaData[[#This Row],[NetAmount]]-Table__192.168.3.138BEWLPPMetaData[[#This Row],[Paid]]</f>
        <v>43210</v>
      </c>
    </row>
    <row r="962" spans="1:35" hidden="1">
      <c r="A962" t="s">
        <v>10301</v>
      </c>
      <c r="B962" s="1">
        <v>41134</v>
      </c>
      <c r="C962" s="1">
        <v>41179</v>
      </c>
      <c r="D962" t="s">
        <v>8588</v>
      </c>
      <c r="E962">
        <v>302259</v>
      </c>
      <c r="F962">
        <v>48361</v>
      </c>
      <c r="G962">
        <v>0</v>
      </c>
      <c r="H962">
        <v>0</v>
      </c>
      <c r="I962">
        <v>134</v>
      </c>
      <c r="J962">
        <v>350620</v>
      </c>
      <c r="K962" t="s">
        <v>10302</v>
      </c>
      <c r="L962" s="1">
        <v>41134</v>
      </c>
      <c r="N962" t="s">
        <v>6694</v>
      </c>
      <c r="O962" t="s">
        <v>3507</v>
      </c>
      <c r="P962" t="s">
        <v>8589</v>
      </c>
      <c r="Q962" t="s">
        <v>39</v>
      </c>
      <c r="R962" t="s">
        <v>40</v>
      </c>
      <c r="S962">
        <v>0</v>
      </c>
      <c r="U962" t="s">
        <v>41</v>
      </c>
      <c r="V962" t="s">
        <v>42</v>
      </c>
      <c r="X962" t="s">
        <v>74</v>
      </c>
      <c r="Y962" t="b">
        <v>0</v>
      </c>
      <c r="Z962" t="b">
        <v>0</v>
      </c>
      <c r="AC962" s="1"/>
      <c r="AF962">
        <v>0</v>
      </c>
      <c r="AG962">
        <v>45</v>
      </c>
      <c r="AH962">
        <v>179</v>
      </c>
      <c r="AI962" s="2">
        <f>Table__192.168.3.138BEWLPPMetaData[[#This Row],[NetAmount]]-Table__192.168.3.138BEWLPPMetaData[[#This Row],[Paid]]</f>
        <v>350620</v>
      </c>
    </row>
    <row r="963" spans="1:35" hidden="1">
      <c r="A963" t="s">
        <v>10303</v>
      </c>
      <c r="B963" s="1">
        <v>41151</v>
      </c>
      <c r="C963" s="1">
        <v>41196</v>
      </c>
      <c r="D963" t="s">
        <v>8588</v>
      </c>
      <c r="E963">
        <v>133770</v>
      </c>
      <c r="F963">
        <v>21403</v>
      </c>
      <c r="G963">
        <v>0</v>
      </c>
      <c r="H963">
        <v>0</v>
      </c>
      <c r="I963">
        <v>117</v>
      </c>
      <c r="J963">
        <v>155173</v>
      </c>
      <c r="K963" t="s">
        <v>8707</v>
      </c>
      <c r="L963" s="1">
        <v>41151</v>
      </c>
      <c r="N963" t="s">
        <v>6694</v>
      </c>
      <c r="O963" t="s">
        <v>3507</v>
      </c>
      <c r="P963" t="s">
        <v>8589</v>
      </c>
      <c r="Q963" t="s">
        <v>39</v>
      </c>
      <c r="R963" t="s">
        <v>40</v>
      </c>
      <c r="S963">
        <v>0</v>
      </c>
      <c r="U963" t="s">
        <v>41</v>
      </c>
      <c r="V963" t="s">
        <v>42</v>
      </c>
      <c r="X963" t="s">
        <v>74</v>
      </c>
      <c r="Y963" t="b">
        <v>0</v>
      </c>
      <c r="Z963" t="b">
        <v>0</v>
      </c>
      <c r="AC963" s="1"/>
      <c r="AF963">
        <v>0</v>
      </c>
      <c r="AG963">
        <v>45</v>
      </c>
      <c r="AH963">
        <v>162</v>
      </c>
      <c r="AI963" s="2">
        <f>Table__192.168.3.138BEWLPPMetaData[[#This Row],[NetAmount]]-Table__192.168.3.138BEWLPPMetaData[[#This Row],[Paid]]</f>
        <v>155173</v>
      </c>
    </row>
    <row r="964" spans="1:35" hidden="1">
      <c r="A964" t="s">
        <v>10304</v>
      </c>
      <c r="B964" s="1">
        <v>41151</v>
      </c>
      <c r="C964" s="1">
        <v>41196</v>
      </c>
      <c r="D964" t="s">
        <v>8588</v>
      </c>
      <c r="E964">
        <v>111720</v>
      </c>
      <c r="F964">
        <v>17875</v>
      </c>
      <c r="G964">
        <v>0</v>
      </c>
      <c r="H964">
        <v>0</v>
      </c>
      <c r="I964">
        <v>117</v>
      </c>
      <c r="J964">
        <v>129595</v>
      </c>
      <c r="K964" t="s">
        <v>10305</v>
      </c>
      <c r="L964" s="1">
        <v>41151</v>
      </c>
      <c r="N964" t="s">
        <v>6694</v>
      </c>
      <c r="O964" t="s">
        <v>3507</v>
      </c>
      <c r="P964" t="s">
        <v>8589</v>
      </c>
      <c r="Q964" t="s">
        <v>39</v>
      </c>
      <c r="R964" t="s">
        <v>40</v>
      </c>
      <c r="S964">
        <v>0</v>
      </c>
      <c r="U964" t="s">
        <v>41</v>
      </c>
      <c r="V964" t="s">
        <v>42</v>
      </c>
      <c r="X964" t="s">
        <v>74</v>
      </c>
      <c r="Y964" t="b">
        <v>0</v>
      </c>
      <c r="Z964" t="b">
        <v>0</v>
      </c>
      <c r="AC964" s="1"/>
      <c r="AF964">
        <v>0</v>
      </c>
      <c r="AG964">
        <v>45</v>
      </c>
      <c r="AH964">
        <v>162</v>
      </c>
      <c r="AI964" s="2">
        <f>Table__192.168.3.138BEWLPPMetaData[[#This Row],[NetAmount]]-Table__192.168.3.138BEWLPPMetaData[[#This Row],[Paid]]</f>
        <v>129595</v>
      </c>
    </row>
    <row r="965" spans="1:35" hidden="1">
      <c r="A965" t="s">
        <v>10306</v>
      </c>
      <c r="B965" s="1">
        <v>41149</v>
      </c>
      <c r="C965" s="1">
        <v>41194</v>
      </c>
      <c r="D965" t="s">
        <v>8588</v>
      </c>
      <c r="E965">
        <v>111720</v>
      </c>
      <c r="F965">
        <v>17875</v>
      </c>
      <c r="G965">
        <v>0</v>
      </c>
      <c r="H965">
        <v>0</v>
      </c>
      <c r="I965">
        <v>119</v>
      </c>
      <c r="J965">
        <v>129595</v>
      </c>
      <c r="K965" t="s">
        <v>10307</v>
      </c>
      <c r="L965" s="1">
        <v>41149</v>
      </c>
      <c r="N965" t="s">
        <v>6694</v>
      </c>
      <c r="O965" t="s">
        <v>3507</v>
      </c>
      <c r="P965" t="s">
        <v>8589</v>
      </c>
      <c r="Q965" t="s">
        <v>39</v>
      </c>
      <c r="R965" t="s">
        <v>40</v>
      </c>
      <c r="S965">
        <v>0</v>
      </c>
      <c r="U965" t="s">
        <v>41</v>
      </c>
      <c r="V965" t="s">
        <v>42</v>
      </c>
      <c r="X965" t="s">
        <v>74</v>
      </c>
      <c r="Y965" t="b">
        <v>0</v>
      </c>
      <c r="Z965" t="b">
        <v>0</v>
      </c>
      <c r="AC965" s="1"/>
      <c r="AF965">
        <v>0</v>
      </c>
      <c r="AG965">
        <v>45</v>
      </c>
      <c r="AH965">
        <v>164</v>
      </c>
      <c r="AI965" s="2">
        <f>Table__192.168.3.138BEWLPPMetaData[[#This Row],[NetAmount]]-Table__192.168.3.138BEWLPPMetaData[[#This Row],[Paid]]</f>
        <v>129595</v>
      </c>
    </row>
    <row r="966" spans="1:35" hidden="1">
      <c r="A966" t="s">
        <v>10308</v>
      </c>
      <c r="B966" s="1">
        <v>41137</v>
      </c>
      <c r="C966" s="1">
        <v>41137</v>
      </c>
      <c r="D966" t="s">
        <v>8666</v>
      </c>
      <c r="E966">
        <v>2625</v>
      </c>
      <c r="F966">
        <v>420</v>
      </c>
      <c r="G966">
        <v>0</v>
      </c>
      <c r="H966">
        <v>0</v>
      </c>
      <c r="I966">
        <v>0</v>
      </c>
      <c r="J966">
        <v>3045</v>
      </c>
      <c r="K966" t="s">
        <v>3258</v>
      </c>
      <c r="L966" s="1">
        <v>41137</v>
      </c>
      <c r="M966" t="s">
        <v>10309</v>
      </c>
      <c r="N966" t="s">
        <v>6694</v>
      </c>
      <c r="O966" t="s">
        <v>3507</v>
      </c>
      <c r="P966" t="s">
        <v>8668</v>
      </c>
      <c r="Q966" t="s">
        <v>39</v>
      </c>
      <c r="R966" t="s">
        <v>40</v>
      </c>
      <c r="S966">
        <v>0</v>
      </c>
      <c r="U966" t="s">
        <v>41</v>
      </c>
      <c r="V966" t="s">
        <v>42</v>
      </c>
      <c r="W966" t="s">
        <v>10179</v>
      </c>
      <c r="X966" t="s">
        <v>74</v>
      </c>
      <c r="Y966" t="b">
        <v>0</v>
      </c>
      <c r="Z966" t="b">
        <v>0</v>
      </c>
      <c r="AA966" t="b">
        <v>0</v>
      </c>
      <c r="AC966" s="1"/>
      <c r="AF966">
        <v>0</v>
      </c>
      <c r="AH966">
        <v>176</v>
      </c>
      <c r="AI966" s="2">
        <f>Table__192.168.3.138BEWLPPMetaData[[#This Row],[NetAmount]]-Table__192.168.3.138BEWLPPMetaData[[#This Row],[Paid]]</f>
        <v>3045</v>
      </c>
    </row>
    <row r="967" spans="1:35" hidden="1">
      <c r="A967" t="s">
        <v>10310</v>
      </c>
      <c r="B967" s="1">
        <v>41149</v>
      </c>
      <c r="C967" s="1">
        <v>41149</v>
      </c>
      <c r="D967" t="s">
        <v>8666</v>
      </c>
      <c r="E967">
        <v>3500</v>
      </c>
      <c r="F967">
        <v>560</v>
      </c>
      <c r="G967">
        <v>0</v>
      </c>
      <c r="H967">
        <v>0</v>
      </c>
      <c r="I967">
        <v>0</v>
      </c>
      <c r="J967">
        <v>4060</v>
      </c>
      <c r="K967" t="s">
        <v>6052</v>
      </c>
      <c r="L967" s="1">
        <v>41149</v>
      </c>
      <c r="M967" t="s">
        <v>10311</v>
      </c>
      <c r="N967" t="s">
        <v>6694</v>
      </c>
      <c r="O967" t="s">
        <v>3507</v>
      </c>
      <c r="P967" t="s">
        <v>8668</v>
      </c>
      <c r="Q967" t="s">
        <v>39</v>
      </c>
      <c r="R967" t="s">
        <v>40</v>
      </c>
      <c r="S967">
        <v>0</v>
      </c>
      <c r="U967" t="s">
        <v>41</v>
      </c>
      <c r="V967" t="s">
        <v>42</v>
      </c>
      <c r="W967" t="s">
        <v>10179</v>
      </c>
      <c r="X967" t="s">
        <v>74</v>
      </c>
      <c r="Y967" t="b">
        <v>0</v>
      </c>
      <c r="Z967" t="b">
        <v>0</v>
      </c>
      <c r="AA967" t="b">
        <v>0</v>
      </c>
      <c r="AC967" s="1"/>
      <c r="AF967">
        <v>0</v>
      </c>
      <c r="AH967">
        <v>164</v>
      </c>
      <c r="AI967" s="2">
        <f>Table__192.168.3.138BEWLPPMetaData[[#This Row],[NetAmount]]-Table__192.168.3.138BEWLPPMetaData[[#This Row],[Paid]]</f>
        <v>4060</v>
      </c>
    </row>
    <row r="968" spans="1:35" hidden="1">
      <c r="A968" t="s">
        <v>10312</v>
      </c>
      <c r="B968" s="1">
        <v>41148</v>
      </c>
      <c r="C968" s="1">
        <v>41148</v>
      </c>
      <c r="D968" t="s">
        <v>9627</v>
      </c>
      <c r="E968">
        <v>280</v>
      </c>
      <c r="F968">
        <v>45</v>
      </c>
      <c r="G968">
        <v>0</v>
      </c>
      <c r="H968">
        <v>0</v>
      </c>
      <c r="I968">
        <v>0</v>
      </c>
      <c r="J968">
        <v>325</v>
      </c>
      <c r="K968" t="s">
        <v>10313</v>
      </c>
      <c r="L968" s="1">
        <v>41148</v>
      </c>
      <c r="M968" t="s">
        <v>10314</v>
      </c>
      <c r="N968" t="s">
        <v>6694</v>
      </c>
      <c r="O968" t="s">
        <v>3507</v>
      </c>
      <c r="P968" t="s">
        <v>9630</v>
      </c>
      <c r="Q968" t="s">
        <v>39</v>
      </c>
      <c r="R968" t="s">
        <v>40</v>
      </c>
      <c r="S968">
        <v>0</v>
      </c>
      <c r="U968" t="s">
        <v>41</v>
      </c>
      <c r="V968" t="s">
        <v>42</v>
      </c>
      <c r="W968" t="s">
        <v>9631</v>
      </c>
      <c r="X968" t="s">
        <v>74</v>
      </c>
      <c r="Y968" t="b">
        <v>0</v>
      </c>
      <c r="Z968" t="b">
        <v>0</v>
      </c>
      <c r="AA968" t="b">
        <v>0</v>
      </c>
      <c r="AC968" s="1"/>
      <c r="AF968">
        <v>0</v>
      </c>
      <c r="AH968">
        <v>165</v>
      </c>
      <c r="AI968" s="2">
        <f>Table__192.168.3.138BEWLPPMetaData[[#This Row],[NetAmount]]-Table__192.168.3.138BEWLPPMetaData[[#This Row],[Paid]]</f>
        <v>325</v>
      </c>
    </row>
    <row r="969" spans="1:35" hidden="1">
      <c r="A969" t="s">
        <v>10315</v>
      </c>
      <c r="B969" s="1">
        <v>41130</v>
      </c>
      <c r="C969" s="1">
        <v>41175</v>
      </c>
      <c r="D969" t="s">
        <v>8527</v>
      </c>
      <c r="E969">
        <v>68250</v>
      </c>
      <c r="F969">
        <v>10920</v>
      </c>
      <c r="G969">
        <v>0</v>
      </c>
      <c r="H969">
        <v>0</v>
      </c>
      <c r="I969">
        <v>138</v>
      </c>
      <c r="J969">
        <v>79170</v>
      </c>
      <c r="K969" t="s">
        <v>3806</v>
      </c>
      <c r="L969" s="1">
        <v>41130</v>
      </c>
      <c r="N969" t="s">
        <v>6694</v>
      </c>
      <c r="O969" t="s">
        <v>3507</v>
      </c>
      <c r="P969" t="s">
        <v>8528</v>
      </c>
      <c r="Q969" t="s">
        <v>39</v>
      </c>
      <c r="R969" t="s">
        <v>40</v>
      </c>
      <c r="S969">
        <v>0</v>
      </c>
      <c r="U969" t="s">
        <v>41</v>
      </c>
      <c r="V969" t="s">
        <v>42</v>
      </c>
      <c r="X969" t="s">
        <v>74</v>
      </c>
      <c r="Y969" t="b">
        <v>0</v>
      </c>
      <c r="Z969" t="b">
        <v>0</v>
      </c>
      <c r="AC969" s="1"/>
      <c r="AF969">
        <v>0</v>
      </c>
      <c r="AG969">
        <v>45</v>
      </c>
      <c r="AH969">
        <v>183</v>
      </c>
      <c r="AI969" s="2">
        <f>Table__192.168.3.138BEWLPPMetaData[[#This Row],[NetAmount]]-Table__192.168.3.138BEWLPPMetaData[[#This Row],[Paid]]</f>
        <v>79170</v>
      </c>
    </row>
    <row r="970" spans="1:35" hidden="1">
      <c r="A970" t="s">
        <v>10316</v>
      </c>
      <c r="B970" s="1">
        <v>41126</v>
      </c>
      <c r="C970" s="1">
        <v>41171</v>
      </c>
      <c r="D970" t="s">
        <v>8524</v>
      </c>
      <c r="E970">
        <v>41393</v>
      </c>
      <c r="F970">
        <v>6623</v>
      </c>
      <c r="G970">
        <v>0</v>
      </c>
      <c r="H970">
        <v>0</v>
      </c>
      <c r="I970">
        <v>148</v>
      </c>
      <c r="J970">
        <v>48016</v>
      </c>
      <c r="K970" t="s">
        <v>4008</v>
      </c>
      <c r="L970" s="1">
        <v>41120</v>
      </c>
      <c r="N970" t="s">
        <v>6694</v>
      </c>
      <c r="O970" t="s">
        <v>3507</v>
      </c>
      <c r="P970" t="s">
        <v>8525</v>
      </c>
      <c r="Q970" t="s">
        <v>39</v>
      </c>
      <c r="R970" t="s">
        <v>40</v>
      </c>
      <c r="S970">
        <v>0</v>
      </c>
      <c r="U970" t="s">
        <v>41</v>
      </c>
      <c r="V970" t="s">
        <v>42</v>
      </c>
      <c r="X970" t="s">
        <v>74</v>
      </c>
      <c r="Y970" t="b">
        <v>0</v>
      </c>
      <c r="Z970" t="b">
        <v>0</v>
      </c>
      <c r="AC970" s="1"/>
      <c r="AF970">
        <v>0</v>
      </c>
      <c r="AG970">
        <v>45</v>
      </c>
      <c r="AH970">
        <v>193</v>
      </c>
      <c r="AI970" s="2">
        <f>Table__192.168.3.138BEWLPPMetaData[[#This Row],[NetAmount]]-Table__192.168.3.138BEWLPPMetaData[[#This Row],[Paid]]</f>
        <v>48016</v>
      </c>
    </row>
    <row r="971" spans="1:35" hidden="1">
      <c r="A971" t="s">
        <v>10317</v>
      </c>
      <c r="B971" s="1">
        <v>41126</v>
      </c>
      <c r="C971" s="1">
        <v>41171</v>
      </c>
      <c r="D971" t="s">
        <v>8524</v>
      </c>
      <c r="E971">
        <v>52037</v>
      </c>
      <c r="F971">
        <v>8326</v>
      </c>
      <c r="G971">
        <v>0</v>
      </c>
      <c r="H971">
        <v>0</v>
      </c>
      <c r="I971">
        <v>148</v>
      </c>
      <c r="J971">
        <v>60363</v>
      </c>
      <c r="K971" t="s">
        <v>4010</v>
      </c>
      <c r="L971" s="1">
        <v>41120</v>
      </c>
      <c r="N971" t="s">
        <v>6694</v>
      </c>
      <c r="O971" t="s">
        <v>3507</v>
      </c>
      <c r="P971" t="s">
        <v>8525</v>
      </c>
      <c r="Q971" t="s">
        <v>39</v>
      </c>
      <c r="R971" t="s">
        <v>40</v>
      </c>
      <c r="S971">
        <v>0</v>
      </c>
      <c r="U971" t="s">
        <v>41</v>
      </c>
      <c r="V971" t="s">
        <v>42</v>
      </c>
      <c r="X971" t="s">
        <v>74</v>
      </c>
      <c r="Y971" t="b">
        <v>0</v>
      </c>
      <c r="Z971" t="b">
        <v>0</v>
      </c>
      <c r="AC971" s="1"/>
      <c r="AF971">
        <v>0</v>
      </c>
      <c r="AG971">
        <v>45</v>
      </c>
      <c r="AH971">
        <v>193</v>
      </c>
      <c r="AI971" s="2">
        <f>Table__192.168.3.138BEWLPPMetaData[[#This Row],[NetAmount]]-Table__192.168.3.138BEWLPPMetaData[[#This Row],[Paid]]</f>
        <v>60363</v>
      </c>
    </row>
    <row r="972" spans="1:35" hidden="1">
      <c r="A972" t="s">
        <v>10318</v>
      </c>
      <c r="B972" s="1">
        <v>41148</v>
      </c>
      <c r="C972" s="1">
        <v>41193</v>
      </c>
      <c r="D972" t="s">
        <v>8570</v>
      </c>
      <c r="E972">
        <v>52820</v>
      </c>
      <c r="F972">
        <v>8451</v>
      </c>
      <c r="G972">
        <v>0</v>
      </c>
      <c r="H972">
        <v>0</v>
      </c>
      <c r="I972">
        <v>130</v>
      </c>
      <c r="J972">
        <v>61271</v>
      </c>
      <c r="K972" t="s">
        <v>5292</v>
      </c>
      <c r="L972" s="1">
        <v>41138</v>
      </c>
      <c r="N972" t="s">
        <v>6694</v>
      </c>
      <c r="O972" t="s">
        <v>3507</v>
      </c>
      <c r="P972" t="s">
        <v>8571</v>
      </c>
      <c r="Q972" t="s">
        <v>39</v>
      </c>
      <c r="R972" t="s">
        <v>40</v>
      </c>
      <c r="S972">
        <v>0</v>
      </c>
      <c r="U972" t="s">
        <v>41</v>
      </c>
      <c r="V972" t="s">
        <v>42</v>
      </c>
      <c r="X972" t="s">
        <v>74</v>
      </c>
      <c r="Y972" t="b">
        <v>0</v>
      </c>
      <c r="Z972" t="b">
        <v>0</v>
      </c>
      <c r="AC972" s="1"/>
      <c r="AF972">
        <v>0</v>
      </c>
      <c r="AG972">
        <v>45</v>
      </c>
      <c r="AH972">
        <v>175</v>
      </c>
      <c r="AI972" s="2">
        <f>Table__192.168.3.138BEWLPPMetaData[[#This Row],[NetAmount]]-Table__192.168.3.138BEWLPPMetaData[[#This Row],[Paid]]</f>
        <v>61271</v>
      </c>
    </row>
    <row r="973" spans="1:35" hidden="1">
      <c r="A973" t="s">
        <v>10319</v>
      </c>
      <c r="B973" s="1">
        <v>41146</v>
      </c>
      <c r="C973" s="1">
        <v>41191</v>
      </c>
      <c r="D973" t="s">
        <v>8563</v>
      </c>
      <c r="E973">
        <v>495000</v>
      </c>
      <c r="F973">
        <v>79200</v>
      </c>
      <c r="G973">
        <v>0</v>
      </c>
      <c r="H973">
        <v>0</v>
      </c>
      <c r="I973">
        <v>122</v>
      </c>
      <c r="J973">
        <v>574200</v>
      </c>
      <c r="K973" t="s">
        <v>5280</v>
      </c>
      <c r="L973" s="1">
        <v>41146</v>
      </c>
      <c r="N973" t="s">
        <v>6694</v>
      </c>
      <c r="O973" t="s">
        <v>3507</v>
      </c>
      <c r="P973" t="s">
        <v>409</v>
      </c>
      <c r="Q973" t="s">
        <v>39</v>
      </c>
      <c r="R973" t="s">
        <v>40</v>
      </c>
      <c r="S973">
        <v>0</v>
      </c>
      <c r="U973" t="s">
        <v>41</v>
      </c>
      <c r="V973" t="s">
        <v>42</v>
      </c>
      <c r="X973" t="s">
        <v>74</v>
      </c>
      <c r="Y973" t="b">
        <v>0</v>
      </c>
      <c r="Z973" t="b">
        <v>0</v>
      </c>
      <c r="AB973" t="s">
        <v>8664</v>
      </c>
      <c r="AC973" s="1">
        <v>41283</v>
      </c>
      <c r="AF973">
        <v>0</v>
      </c>
      <c r="AG973">
        <v>45</v>
      </c>
      <c r="AH973">
        <v>167</v>
      </c>
      <c r="AI973" s="2">
        <f>Table__192.168.3.138BEWLPPMetaData[[#This Row],[NetAmount]]-Table__192.168.3.138BEWLPPMetaData[[#This Row],[Paid]]</f>
        <v>574200</v>
      </c>
    </row>
    <row r="974" spans="1:35" hidden="1">
      <c r="A974" t="s">
        <v>10320</v>
      </c>
      <c r="B974" s="1">
        <v>41125</v>
      </c>
      <c r="C974" s="1">
        <v>41170</v>
      </c>
      <c r="D974" t="s">
        <v>8563</v>
      </c>
      <c r="E974">
        <v>330000</v>
      </c>
      <c r="F974">
        <v>52800</v>
      </c>
      <c r="G974">
        <v>0</v>
      </c>
      <c r="H974">
        <v>0</v>
      </c>
      <c r="I974">
        <v>143</v>
      </c>
      <c r="J974">
        <v>382800</v>
      </c>
      <c r="K974" t="s">
        <v>4516</v>
      </c>
      <c r="L974" s="1">
        <v>41125</v>
      </c>
      <c r="N974" t="s">
        <v>6694</v>
      </c>
      <c r="O974" t="s">
        <v>3507</v>
      </c>
      <c r="P974" t="s">
        <v>409</v>
      </c>
      <c r="Q974" t="s">
        <v>39</v>
      </c>
      <c r="R974" t="s">
        <v>40</v>
      </c>
      <c r="S974">
        <v>0</v>
      </c>
      <c r="U974" t="s">
        <v>41</v>
      </c>
      <c r="V974" t="s">
        <v>42</v>
      </c>
      <c r="X974" t="s">
        <v>74</v>
      </c>
      <c r="Y974" t="b">
        <v>0</v>
      </c>
      <c r="Z974" t="b">
        <v>0</v>
      </c>
      <c r="AB974" t="s">
        <v>8664</v>
      </c>
      <c r="AC974" s="1">
        <v>41283</v>
      </c>
      <c r="AF974">
        <v>0</v>
      </c>
      <c r="AG974">
        <v>45</v>
      </c>
      <c r="AH974">
        <v>188</v>
      </c>
      <c r="AI974" s="2">
        <f>Table__192.168.3.138BEWLPPMetaData[[#This Row],[NetAmount]]-Table__192.168.3.138BEWLPPMetaData[[#This Row],[Paid]]</f>
        <v>382800</v>
      </c>
    </row>
    <row r="975" spans="1:35" hidden="1">
      <c r="A975" t="s">
        <v>10321</v>
      </c>
      <c r="B975" s="1">
        <v>41152</v>
      </c>
      <c r="C975" s="1">
        <v>41197</v>
      </c>
      <c r="D975" t="s">
        <v>8630</v>
      </c>
      <c r="E975">
        <v>27600</v>
      </c>
      <c r="F975">
        <v>4416</v>
      </c>
      <c r="G975">
        <v>0</v>
      </c>
      <c r="H975">
        <v>0</v>
      </c>
      <c r="I975">
        <v>116</v>
      </c>
      <c r="J975">
        <v>32016</v>
      </c>
      <c r="K975" t="s">
        <v>3310</v>
      </c>
      <c r="L975" s="1">
        <v>41152</v>
      </c>
      <c r="N975" t="s">
        <v>6694</v>
      </c>
      <c r="O975" t="s">
        <v>3507</v>
      </c>
      <c r="P975" t="s">
        <v>363</v>
      </c>
      <c r="Q975" t="s">
        <v>39</v>
      </c>
      <c r="R975" t="s">
        <v>40</v>
      </c>
      <c r="S975">
        <v>0</v>
      </c>
      <c r="U975" t="s">
        <v>41</v>
      </c>
      <c r="V975" t="s">
        <v>42</v>
      </c>
      <c r="X975" t="s">
        <v>74</v>
      </c>
      <c r="Y975" t="b">
        <v>0</v>
      </c>
      <c r="Z975" t="b">
        <v>0</v>
      </c>
      <c r="AC975" s="1"/>
      <c r="AF975">
        <v>0</v>
      </c>
      <c r="AG975">
        <v>45</v>
      </c>
      <c r="AH975">
        <v>161</v>
      </c>
      <c r="AI975" s="2">
        <f>Table__192.168.3.138BEWLPPMetaData[[#This Row],[NetAmount]]-Table__192.168.3.138BEWLPPMetaData[[#This Row],[Paid]]</f>
        <v>32016</v>
      </c>
    </row>
    <row r="976" spans="1:35" hidden="1">
      <c r="A976" t="s">
        <v>10322</v>
      </c>
      <c r="B976" s="1">
        <v>41152</v>
      </c>
      <c r="C976" s="1">
        <v>41152</v>
      </c>
      <c r="D976" t="s">
        <v>8666</v>
      </c>
      <c r="E976">
        <v>2625</v>
      </c>
      <c r="F976">
        <v>420</v>
      </c>
      <c r="G976">
        <v>0</v>
      </c>
      <c r="H976">
        <v>0</v>
      </c>
      <c r="I976">
        <v>0</v>
      </c>
      <c r="J976">
        <v>3045</v>
      </c>
      <c r="K976" t="s">
        <v>3847</v>
      </c>
      <c r="L976" s="1">
        <v>41152</v>
      </c>
      <c r="M976" t="s">
        <v>10323</v>
      </c>
      <c r="N976" t="s">
        <v>6694</v>
      </c>
      <c r="O976" t="s">
        <v>3507</v>
      </c>
      <c r="P976" t="s">
        <v>8668</v>
      </c>
      <c r="Q976" t="s">
        <v>39</v>
      </c>
      <c r="R976" t="s">
        <v>40</v>
      </c>
      <c r="S976">
        <v>0</v>
      </c>
      <c r="U976" t="s">
        <v>41</v>
      </c>
      <c r="V976" t="s">
        <v>42</v>
      </c>
      <c r="W976" t="s">
        <v>10179</v>
      </c>
      <c r="X976" t="s">
        <v>74</v>
      </c>
      <c r="Y976" t="b">
        <v>0</v>
      </c>
      <c r="Z976" t="b">
        <v>0</v>
      </c>
      <c r="AA976" t="b">
        <v>0</v>
      </c>
      <c r="AC976" s="1"/>
      <c r="AF976">
        <v>0</v>
      </c>
      <c r="AH976">
        <v>161</v>
      </c>
      <c r="AI976" s="2">
        <f>Table__192.168.3.138BEWLPPMetaData[[#This Row],[NetAmount]]-Table__192.168.3.138BEWLPPMetaData[[#This Row],[Paid]]</f>
        <v>3045</v>
      </c>
    </row>
    <row r="977" spans="1:35" hidden="1">
      <c r="A977" t="s">
        <v>10324</v>
      </c>
      <c r="B977" s="1">
        <v>41163</v>
      </c>
      <c r="C977" s="1">
        <v>41208</v>
      </c>
      <c r="D977" t="s">
        <v>8563</v>
      </c>
      <c r="E977">
        <v>165000</v>
      </c>
      <c r="F977">
        <v>26400</v>
      </c>
      <c r="G977">
        <v>0</v>
      </c>
      <c r="H977">
        <v>0</v>
      </c>
      <c r="I977">
        <v>109</v>
      </c>
      <c r="J977">
        <v>191400</v>
      </c>
      <c r="K977" t="s">
        <v>6611</v>
      </c>
      <c r="L977" s="1">
        <v>41159</v>
      </c>
      <c r="N977" t="s">
        <v>6694</v>
      </c>
      <c r="O977" t="s">
        <v>3507</v>
      </c>
      <c r="P977" t="s">
        <v>409</v>
      </c>
      <c r="Q977" t="s">
        <v>39</v>
      </c>
      <c r="R977" t="s">
        <v>40</v>
      </c>
      <c r="S977">
        <v>0</v>
      </c>
      <c r="U977" t="s">
        <v>41</v>
      </c>
      <c r="V977" t="s">
        <v>42</v>
      </c>
      <c r="X977" t="s">
        <v>74</v>
      </c>
      <c r="Y977" t="b">
        <v>0</v>
      </c>
      <c r="Z977" t="b">
        <v>0</v>
      </c>
      <c r="AB977" t="s">
        <v>8664</v>
      </c>
      <c r="AC977" s="1">
        <v>41283</v>
      </c>
      <c r="AF977">
        <v>0</v>
      </c>
      <c r="AG977">
        <v>45</v>
      </c>
      <c r="AH977">
        <v>154</v>
      </c>
      <c r="AI977" s="2">
        <f>Table__192.168.3.138BEWLPPMetaData[[#This Row],[NetAmount]]-Table__192.168.3.138BEWLPPMetaData[[#This Row],[Paid]]</f>
        <v>191400</v>
      </c>
    </row>
    <row r="978" spans="1:35" hidden="1">
      <c r="A978" t="s">
        <v>10325</v>
      </c>
      <c r="B978" s="1">
        <v>41168</v>
      </c>
      <c r="C978" s="1">
        <v>41213</v>
      </c>
      <c r="D978" t="s">
        <v>8563</v>
      </c>
      <c r="E978">
        <v>495000</v>
      </c>
      <c r="F978">
        <v>79200</v>
      </c>
      <c r="G978">
        <v>0</v>
      </c>
      <c r="H978">
        <v>0</v>
      </c>
      <c r="I978">
        <v>104</v>
      </c>
      <c r="J978">
        <v>574200</v>
      </c>
      <c r="K978" t="s">
        <v>6329</v>
      </c>
      <c r="L978" s="1">
        <v>41164</v>
      </c>
      <c r="N978" t="s">
        <v>6694</v>
      </c>
      <c r="O978" t="s">
        <v>3507</v>
      </c>
      <c r="P978" t="s">
        <v>409</v>
      </c>
      <c r="Q978" t="s">
        <v>39</v>
      </c>
      <c r="R978" t="s">
        <v>40</v>
      </c>
      <c r="S978">
        <v>0</v>
      </c>
      <c r="U978" t="s">
        <v>41</v>
      </c>
      <c r="V978" t="s">
        <v>42</v>
      </c>
      <c r="X978" t="s">
        <v>74</v>
      </c>
      <c r="Y978" t="b">
        <v>0</v>
      </c>
      <c r="Z978" t="b">
        <v>0</v>
      </c>
      <c r="AB978" t="s">
        <v>8664</v>
      </c>
      <c r="AC978" s="1">
        <v>41283</v>
      </c>
      <c r="AF978">
        <v>0</v>
      </c>
      <c r="AG978">
        <v>45</v>
      </c>
      <c r="AH978">
        <v>149</v>
      </c>
      <c r="AI978" s="2">
        <f>Table__192.168.3.138BEWLPPMetaData[[#This Row],[NetAmount]]-Table__192.168.3.138BEWLPPMetaData[[#This Row],[Paid]]</f>
        <v>574200</v>
      </c>
    </row>
    <row r="979" spans="1:35" hidden="1">
      <c r="A979" t="s">
        <v>10326</v>
      </c>
      <c r="B979" s="1">
        <v>41162</v>
      </c>
      <c r="C979" s="1">
        <v>41207</v>
      </c>
      <c r="D979" t="s">
        <v>8534</v>
      </c>
      <c r="E979">
        <v>19575</v>
      </c>
      <c r="F979">
        <v>3132</v>
      </c>
      <c r="G979">
        <v>0</v>
      </c>
      <c r="H979">
        <v>0</v>
      </c>
      <c r="I979">
        <v>106</v>
      </c>
      <c r="J979">
        <v>22707</v>
      </c>
      <c r="K979" t="s">
        <v>10327</v>
      </c>
      <c r="L979" s="1">
        <v>41162</v>
      </c>
      <c r="N979" t="s">
        <v>6694</v>
      </c>
      <c r="O979" t="s">
        <v>3507</v>
      </c>
      <c r="P979" t="s">
        <v>8535</v>
      </c>
      <c r="Q979" t="s">
        <v>39</v>
      </c>
      <c r="R979" t="s">
        <v>40</v>
      </c>
      <c r="S979">
        <v>0</v>
      </c>
      <c r="U979" t="s">
        <v>41</v>
      </c>
      <c r="V979" t="s">
        <v>42</v>
      </c>
      <c r="X979" t="s">
        <v>74</v>
      </c>
      <c r="Y979" t="b">
        <v>0</v>
      </c>
      <c r="Z979" t="b">
        <v>0</v>
      </c>
      <c r="AC979" s="1"/>
      <c r="AF979">
        <v>0</v>
      </c>
      <c r="AG979">
        <v>45</v>
      </c>
      <c r="AH979">
        <v>151</v>
      </c>
      <c r="AI979" s="2">
        <f>Table__192.168.3.138BEWLPPMetaData[[#This Row],[NetAmount]]-Table__192.168.3.138BEWLPPMetaData[[#This Row],[Paid]]</f>
        <v>22707</v>
      </c>
    </row>
    <row r="980" spans="1:35" hidden="1">
      <c r="A980" t="s">
        <v>10328</v>
      </c>
      <c r="B980" s="1">
        <v>41158</v>
      </c>
      <c r="C980" s="1">
        <v>41203</v>
      </c>
      <c r="D980" t="s">
        <v>8524</v>
      </c>
      <c r="E980">
        <v>398909</v>
      </c>
      <c r="F980">
        <v>63825</v>
      </c>
      <c r="G980">
        <v>0</v>
      </c>
      <c r="H980">
        <v>0</v>
      </c>
      <c r="I980">
        <v>116</v>
      </c>
      <c r="J980">
        <v>462734</v>
      </c>
      <c r="K980" t="s">
        <v>10329</v>
      </c>
      <c r="L980" s="1">
        <v>41152</v>
      </c>
      <c r="N980" t="s">
        <v>6694</v>
      </c>
      <c r="O980" t="s">
        <v>3507</v>
      </c>
      <c r="P980" t="s">
        <v>8525</v>
      </c>
      <c r="Q980" t="s">
        <v>39</v>
      </c>
      <c r="R980" t="s">
        <v>40</v>
      </c>
      <c r="S980">
        <v>0</v>
      </c>
      <c r="U980" t="s">
        <v>41</v>
      </c>
      <c r="V980" t="s">
        <v>42</v>
      </c>
      <c r="X980" t="s">
        <v>74</v>
      </c>
      <c r="Y980" t="b">
        <v>0</v>
      </c>
      <c r="Z980" t="b">
        <v>0</v>
      </c>
      <c r="AC980" s="1"/>
      <c r="AF980">
        <v>0</v>
      </c>
      <c r="AG980">
        <v>45</v>
      </c>
      <c r="AH980">
        <v>161</v>
      </c>
      <c r="AI980" s="2">
        <f>Table__192.168.3.138BEWLPPMetaData[[#This Row],[NetAmount]]-Table__192.168.3.138BEWLPPMetaData[[#This Row],[Paid]]</f>
        <v>462734</v>
      </c>
    </row>
    <row r="981" spans="1:35" hidden="1">
      <c r="A981" t="s">
        <v>10330</v>
      </c>
      <c r="B981" s="1">
        <v>41180</v>
      </c>
      <c r="C981" s="1">
        <v>41225</v>
      </c>
      <c r="D981" t="s">
        <v>8677</v>
      </c>
      <c r="E981">
        <v>91300</v>
      </c>
      <c r="F981">
        <v>14608</v>
      </c>
      <c r="G981">
        <v>0</v>
      </c>
      <c r="H981">
        <v>0</v>
      </c>
      <c r="I981">
        <v>89</v>
      </c>
      <c r="J981">
        <v>105908</v>
      </c>
      <c r="K981" t="s">
        <v>3497</v>
      </c>
      <c r="L981" s="1">
        <v>41179</v>
      </c>
      <c r="M981" t="s">
        <v>10331</v>
      </c>
      <c r="N981" t="s">
        <v>6694</v>
      </c>
      <c r="O981" t="s">
        <v>3507</v>
      </c>
      <c r="P981" t="s">
        <v>8679</v>
      </c>
      <c r="Q981" t="s">
        <v>39</v>
      </c>
      <c r="R981" t="s">
        <v>40</v>
      </c>
      <c r="S981">
        <v>0</v>
      </c>
      <c r="U981" t="s">
        <v>41</v>
      </c>
      <c r="V981" t="s">
        <v>42</v>
      </c>
      <c r="W981" t="s">
        <v>8680</v>
      </c>
      <c r="X981" t="s">
        <v>74</v>
      </c>
      <c r="Y981" t="b">
        <v>0</v>
      </c>
      <c r="Z981" t="b">
        <v>0</v>
      </c>
      <c r="AA981" t="b">
        <v>0</v>
      </c>
      <c r="AC981" s="1"/>
      <c r="AF981">
        <v>0</v>
      </c>
      <c r="AG981">
        <v>45</v>
      </c>
      <c r="AH981">
        <v>134</v>
      </c>
      <c r="AI981" s="2">
        <f>Table__192.168.3.138BEWLPPMetaData[[#This Row],[NetAmount]]-Table__192.168.3.138BEWLPPMetaData[[#This Row],[Paid]]</f>
        <v>105908</v>
      </c>
    </row>
    <row r="982" spans="1:35" hidden="1">
      <c r="A982" t="s">
        <v>10332</v>
      </c>
      <c r="B982" s="1">
        <v>41174</v>
      </c>
      <c r="C982" s="1">
        <v>41219</v>
      </c>
      <c r="D982" t="s">
        <v>8570</v>
      </c>
      <c r="E982">
        <v>39500</v>
      </c>
      <c r="F982">
        <v>6320</v>
      </c>
      <c r="G982">
        <v>0</v>
      </c>
      <c r="H982">
        <v>0</v>
      </c>
      <c r="I982">
        <v>94</v>
      </c>
      <c r="J982">
        <v>45820</v>
      </c>
      <c r="K982" t="s">
        <v>10333</v>
      </c>
      <c r="L982" s="1">
        <v>41174</v>
      </c>
      <c r="N982" t="s">
        <v>6694</v>
      </c>
      <c r="O982" t="s">
        <v>3507</v>
      </c>
      <c r="P982" t="s">
        <v>8571</v>
      </c>
      <c r="Q982" t="s">
        <v>39</v>
      </c>
      <c r="R982" t="s">
        <v>40</v>
      </c>
      <c r="S982">
        <v>0</v>
      </c>
      <c r="U982" t="s">
        <v>41</v>
      </c>
      <c r="V982" t="s">
        <v>42</v>
      </c>
      <c r="X982" t="s">
        <v>74</v>
      </c>
      <c r="Y982" t="b">
        <v>0</v>
      </c>
      <c r="Z982" t="b">
        <v>0</v>
      </c>
      <c r="AC982" s="1"/>
      <c r="AF982">
        <v>0</v>
      </c>
      <c r="AG982">
        <v>45</v>
      </c>
      <c r="AH982">
        <v>139</v>
      </c>
      <c r="AI982" s="2">
        <f>Table__192.168.3.138BEWLPPMetaData[[#This Row],[NetAmount]]-Table__192.168.3.138BEWLPPMetaData[[#This Row],[Paid]]</f>
        <v>45820</v>
      </c>
    </row>
    <row r="983" spans="1:35" hidden="1">
      <c r="A983" t="s">
        <v>10334</v>
      </c>
      <c r="B983" s="1">
        <v>41172</v>
      </c>
      <c r="C983" s="1">
        <v>41217</v>
      </c>
      <c r="D983" t="s">
        <v>8570</v>
      </c>
      <c r="E983">
        <v>39500</v>
      </c>
      <c r="F983">
        <v>6320</v>
      </c>
      <c r="G983">
        <v>0</v>
      </c>
      <c r="H983">
        <v>0</v>
      </c>
      <c r="I983">
        <v>96</v>
      </c>
      <c r="J983">
        <v>45820</v>
      </c>
      <c r="K983" t="s">
        <v>8661</v>
      </c>
      <c r="L983" s="1">
        <v>41172</v>
      </c>
      <c r="N983" t="s">
        <v>6694</v>
      </c>
      <c r="O983" t="s">
        <v>3507</v>
      </c>
      <c r="P983" t="s">
        <v>8571</v>
      </c>
      <c r="Q983" t="s">
        <v>39</v>
      </c>
      <c r="R983" t="s">
        <v>40</v>
      </c>
      <c r="S983">
        <v>0</v>
      </c>
      <c r="U983" t="s">
        <v>41</v>
      </c>
      <c r="V983" t="s">
        <v>42</v>
      </c>
      <c r="X983" t="s">
        <v>74</v>
      </c>
      <c r="Y983" t="b">
        <v>0</v>
      </c>
      <c r="Z983" t="b">
        <v>0</v>
      </c>
      <c r="AC983" s="1"/>
      <c r="AF983">
        <v>0</v>
      </c>
      <c r="AG983">
        <v>45</v>
      </c>
      <c r="AH983">
        <v>141</v>
      </c>
      <c r="AI983" s="2">
        <f>Table__192.168.3.138BEWLPPMetaData[[#This Row],[NetAmount]]-Table__192.168.3.138BEWLPPMetaData[[#This Row],[Paid]]</f>
        <v>45820</v>
      </c>
    </row>
    <row r="984" spans="1:35" hidden="1">
      <c r="A984" t="s">
        <v>10335</v>
      </c>
      <c r="B984" s="1">
        <v>41176</v>
      </c>
      <c r="C984" s="1">
        <v>41221</v>
      </c>
      <c r="D984" t="s">
        <v>8570</v>
      </c>
      <c r="E984">
        <v>39500</v>
      </c>
      <c r="F984">
        <v>6320</v>
      </c>
      <c r="G984">
        <v>0</v>
      </c>
      <c r="H984">
        <v>0</v>
      </c>
      <c r="I984">
        <v>97</v>
      </c>
      <c r="J984">
        <v>45820</v>
      </c>
      <c r="K984" t="s">
        <v>10336</v>
      </c>
      <c r="L984" s="1">
        <v>41171</v>
      </c>
      <c r="N984" t="s">
        <v>6694</v>
      </c>
      <c r="O984" t="s">
        <v>3507</v>
      </c>
      <c r="P984" t="s">
        <v>8571</v>
      </c>
      <c r="Q984" t="s">
        <v>39</v>
      </c>
      <c r="R984" t="s">
        <v>40</v>
      </c>
      <c r="S984">
        <v>0</v>
      </c>
      <c r="U984" t="s">
        <v>41</v>
      </c>
      <c r="V984" t="s">
        <v>42</v>
      </c>
      <c r="X984" t="s">
        <v>74</v>
      </c>
      <c r="Y984" t="b">
        <v>0</v>
      </c>
      <c r="Z984" t="b">
        <v>0</v>
      </c>
      <c r="AC984" s="1"/>
      <c r="AF984">
        <v>0</v>
      </c>
      <c r="AG984">
        <v>45</v>
      </c>
      <c r="AH984">
        <v>142</v>
      </c>
      <c r="AI984" s="2">
        <f>Table__192.168.3.138BEWLPPMetaData[[#This Row],[NetAmount]]-Table__192.168.3.138BEWLPPMetaData[[#This Row],[Paid]]</f>
        <v>45820</v>
      </c>
    </row>
    <row r="985" spans="1:35" hidden="1">
      <c r="A985" t="s">
        <v>10337</v>
      </c>
      <c r="B985" s="1">
        <v>41182</v>
      </c>
      <c r="C985" s="1">
        <v>41227</v>
      </c>
      <c r="D985" t="s">
        <v>8524</v>
      </c>
      <c r="E985">
        <v>27000</v>
      </c>
      <c r="F985">
        <v>4320</v>
      </c>
      <c r="G985">
        <v>0</v>
      </c>
      <c r="H985">
        <v>0</v>
      </c>
      <c r="I985">
        <v>91</v>
      </c>
      <c r="J985">
        <v>31320</v>
      </c>
      <c r="K985" t="s">
        <v>10338</v>
      </c>
      <c r="L985" s="1">
        <v>41177</v>
      </c>
      <c r="N985" t="s">
        <v>6694</v>
      </c>
      <c r="O985" t="s">
        <v>3507</v>
      </c>
      <c r="P985" t="s">
        <v>8525</v>
      </c>
      <c r="Q985" t="s">
        <v>39</v>
      </c>
      <c r="R985" t="s">
        <v>40</v>
      </c>
      <c r="S985">
        <v>0</v>
      </c>
      <c r="U985" t="s">
        <v>41</v>
      </c>
      <c r="V985" t="s">
        <v>42</v>
      </c>
      <c r="X985" t="s">
        <v>74</v>
      </c>
      <c r="Y985" t="b">
        <v>0</v>
      </c>
      <c r="Z985" t="b">
        <v>0</v>
      </c>
      <c r="AC985" s="1"/>
      <c r="AF985">
        <v>0</v>
      </c>
      <c r="AG985">
        <v>45</v>
      </c>
      <c r="AH985">
        <v>136</v>
      </c>
      <c r="AI985" s="2">
        <f>Table__192.168.3.138BEWLPPMetaData[[#This Row],[NetAmount]]-Table__192.168.3.138BEWLPPMetaData[[#This Row],[Paid]]</f>
        <v>31320</v>
      </c>
    </row>
    <row r="986" spans="1:35" hidden="1">
      <c r="A986" t="s">
        <v>10339</v>
      </c>
      <c r="B986" s="1">
        <v>41172</v>
      </c>
      <c r="C986" s="1">
        <v>41217</v>
      </c>
      <c r="D986" t="s">
        <v>8534</v>
      </c>
      <c r="E986">
        <v>58000</v>
      </c>
      <c r="F986">
        <v>9280</v>
      </c>
      <c r="G986">
        <v>0</v>
      </c>
      <c r="H986">
        <v>0</v>
      </c>
      <c r="I986">
        <v>96</v>
      </c>
      <c r="J986">
        <v>67280</v>
      </c>
      <c r="K986" t="s">
        <v>1705</v>
      </c>
      <c r="L986" s="1">
        <v>41172</v>
      </c>
      <c r="N986" t="s">
        <v>6694</v>
      </c>
      <c r="O986" t="s">
        <v>3507</v>
      </c>
      <c r="P986" t="s">
        <v>8535</v>
      </c>
      <c r="Q986" t="s">
        <v>39</v>
      </c>
      <c r="R986" t="s">
        <v>40</v>
      </c>
      <c r="S986">
        <v>0</v>
      </c>
      <c r="U986" t="s">
        <v>41</v>
      </c>
      <c r="V986" t="s">
        <v>42</v>
      </c>
      <c r="X986" t="s">
        <v>74</v>
      </c>
      <c r="Y986" t="b">
        <v>0</v>
      </c>
      <c r="Z986" t="b">
        <v>0</v>
      </c>
      <c r="AC986" s="1"/>
      <c r="AF986">
        <v>0</v>
      </c>
      <c r="AG986">
        <v>45</v>
      </c>
      <c r="AH986">
        <v>141</v>
      </c>
      <c r="AI986" s="2">
        <f>Table__192.168.3.138BEWLPPMetaData[[#This Row],[NetAmount]]-Table__192.168.3.138BEWLPPMetaData[[#This Row],[Paid]]</f>
        <v>67280</v>
      </c>
    </row>
    <row r="987" spans="1:35" hidden="1">
      <c r="A987" t="s">
        <v>10340</v>
      </c>
      <c r="B987" s="1">
        <v>41158</v>
      </c>
      <c r="C987" s="1">
        <v>41158</v>
      </c>
      <c r="D987" t="s">
        <v>8666</v>
      </c>
      <c r="E987">
        <v>5250</v>
      </c>
      <c r="F987">
        <v>840</v>
      </c>
      <c r="G987">
        <v>0</v>
      </c>
      <c r="H987">
        <v>0</v>
      </c>
      <c r="I987">
        <v>0</v>
      </c>
      <c r="J987">
        <v>6090</v>
      </c>
      <c r="K987" t="s">
        <v>7179</v>
      </c>
      <c r="L987" s="1">
        <v>41158</v>
      </c>
      <c r="M987" t="s">
        <v>10341</v>
      </c>
      <c r="N987" t="s">
        <v>6694</v>
      </c>
      <c r="O987" t="s">
        <v>3507</v>
      </c>
      <c r="P987" t="s">
        <v>8668</v>
      </c>
      <c r="Q987" t="s">
        <v>39</v>
      </c>
      <c r="R987" t="s">
        <v>40</v>
      </c>
      <c r="S987">
        <v>0</v>
      </c>
      <c r="U987" t="s">
        <v>41</v>
      </c>
      <c r="V987" t="s">
        <v>42</v>
      </c>
      <c r="W987" t="s">
        <v>10179</v>
      </c>
      <c r="X987" t="s">
        <v>74</v>
      </c>
      <c r="Y987" t="b">
        <v>0</v>
      </c>
      <c r="Z987" t="b">
        <v>0</v>
      </c>
      <c r="AA987" t="b">
        <v>0</v>
      </c>
      <c r="AC987" s="1"/>
      <c r="AF987">
        <v>0</v>
      </c>
      <c r="AH987">
        <v>155</v>
      </c>
      <c r="AI987" s="2">
        <f>Table__192.168.3.138BEWLPPMetaData[[#This Row],[NetAmount]]-Table__192.168.3.138BEWLPPMetaData[[#This Row],[Paid]]</f>
        <v>6090</v>
      </c>
    </row>
    <row r="988" spans="1:35" hidden="1">
      <c r="A988" t="s">
        <v>10342</v>
      </c>
      <c r="B988" s="1">
        <v>41166</v>
      </c>
      <c r="C988" s="1">
        <v>41211</v>
      </c>
      <c r="D988" t="s">
        <v>8657</v>
      </c>
      <c r="E988">
        <v>114400</v>
      </c>
      <c r="F988">
        <v>18304</v>
      </c>
      <c r="G988">
        <v>0</v>
      </c>
      <c r="H988">
        <v>0</v>
      </c>
      <c r="I988">
        <v>102</v>
      </c>
      <c r="J988">
        <v>132704</v>
      </c>
      <c r="K988" t="s">
        <v>10343</v>
      </c>
      <c r="L988" s="1">
        <v>41166</v>
      </c>
      <c r="N988" t="s">
        <v>6694</v>
      </c>
      <c r="O988" t="s">
        <v>3507</v>
      </c>
      <c r="P988" t="s">
        <v>8659</v>
      </c>
      <c r="Q988" t="s">
        <v>39</v>
      </c>
      <c r="R988" t="s">
        <v>40</v>
      </c>
      <c r="S988">
        <v>0</v>
      </c>
      <c r="U988" t="s">
        <v>41</v>
      </c>
      <c r="V988" t="s">
        <v>42</v>
      </c>
      <c r="X988" t="s">
        <v>74</v>
      </c>
      <c r="Y988" t="b">
        <v>0</v>
      </c>
      <c r="Z988" t="b">
        <v>0</v>
      </c>
      <c r="AC988" s="1"/>
      <c r="AF988">
        <v>0</v>
      </c>
      <c r="AG988">
        <v>45</v>
      </c>
      <c r="AH988">
        <v>147</v>
      </c>
      <c r="AI988" s="2">
        <f>Table__192.168.3.138BEWLPPMetaData[[#This Row],[NetAmount]]-Table__192.168.3.138BEWLPPMetaData[[#This Row],[Paid]]</f>
        <v>132704</v>
      </c>
    </row>
    <row r="989" spans="1:35" hidden="1">
      <c r="A989" t="s">
        <v>10344</v>
      </c>
      <c r="B989" s="1">
        <v>41182</v>
      </c>
      <c r="C989" s="1">
        <v>41227</v>
      </c>
      <c r="D989" t="s">
        <v>8563</v>
      </c>
      <c r="E989">
        <v>429000</v>
      </c>
      <c r="F989">
        <v>68640</v>
      </c>
      <c r="G989">
        <v>0</v>
      </c>
      <c r="H989">
        <v>0</v>
      </c>
      <c r="I989">
        <v>88</v>
      </c>
      <c r="J989">
        <v>497640</v>
      </c>
      <c r="K989" t="s">
        <v>5974</v>
      </c>
      <c r="L989" s="1">
        <v>41180</v>
      </c>
      <c r="N989" t="s">
        <v>6694</v>
      </c>
      <c r="O989" t="s">
        <v>3507</v>
      </c>
      <c r="P989" t="s">
        <v>409</v>
      </c>
      <c r="Q989" t="s">
        <v>39</v>
      </c>
      <c r="R989" t="s">
        <v>40</v>
      </c>
      <c r="S989">
        <v>0</v>
      </c>
      <c r="U989" t="s">
        <v>41</v>
      </c>
      <c r="V989" t="s">
        <v>42</v>
      </c>
      <c r="X989" t="s">
        <v>74</v>
      </c>
      <c r="Y989" t="b">
        <v>0</v>
      </c>
      <c r="Z989" t="b">
        <v>0</v>
      </c>
      <c r="AB989" t="s">
        <v>8664</v>
      </c>
      <c r="AC989" s="1">
        <v>41283</v>
      </c>
      <c r="AF989">
        <v>0</v>
      </c>
      <c r="AG989">
        <v>45</v>
      </c>
      <c r="AH989">
        <v>133</v>
      </c>
      <c r="AI989" s="2">
        <f>Table__192.168.3.138BEWLPPMetaData[[#This Row],[NetAmount]]-Table__192.168.3.138BEWLPPMetaData[[#This Row],[Paid]]</f>
        <v>497640</v>
      </c>
    </row>
    <row r="990" spans="1:35" hidden="1">
      <c r="A990" t="s">
        <v>10345</v>
      </c>
      <c r="B990" s="1">
        <v>41180</v>
      </c>
      <c r="C990" s="1">
        <v>41225</v>
      </c>
      <c r="D990" t="s">
        <v>5469</v>
      </c>
      <c r="E990">
        <v>13600</v>
      </c>
      <c r="F990">
        <v>2176</v>
      </c>
      <c r="G990">
        <v>0</v>
      </c>
      <c r="H990">
        <v>0</v>
      </c>
      <c r="I990">
        <v>88</v>
      </c>
      <c r="J990">
        <v>15776</v>
      </c>
      <c r="K990" t="s">
        <v>10213</v>
      </c>
      <c r="L990" s="1">
        <v>41180</v>
      </c>
      <c r="N990" t="s">
        <v>6694</v>
      </c>
      <c r="O990" t="s">
        <v>3507</v>
      </c>
      <c r="P990" t="s">
        <v>368</v>
      </c>
      <c r="Q990" t="s">
        <v>39</v>
      </c>
      <c r="R990" t="s">
        <v>40</v>
      </c>
      <c r="S990">
        <v>0</v>
      </c>
      <c r="U990" t="s">
        <v>41</v>
      </c>
      <c r="V990" t="s">
        <v>42</v>
      </c>
      <c r="X990" t="s">
        <v>74</v>
      </c>
      <c r="Y990" t="b">
        <v>0</v>
      </c>
      <c r="Z990" t="b">
        <v>0</v>
      </c>
      <c r="AC990" s="1"/>
      <c r="AF990">
        <v>0</v>
      </c>
      <c r="AG990">
        <v>45</v>
      </c>
      <c r="AH990">
        <v>133</v>
      </c>
      <c r="AI990" s="2">
        <f>Table__192.168.3.138BEWLPPMetaData[[#This Row],[NetAmount]]-Table__192.168.3.138BEWLPPMetaData[[#This Row],[Paid]]</f>
        <v>15776</v>
      </c>
    </row>
    <row r="991" spans="1:35" hidden="1">
      <c r="A991" t="s">
        <v>10346</v>
      </c>
      <c r="B991" s="1">
        <v>41181</v>
      </c>
      <c r="C991" s="1">
        <v>41226</v>
      </c>
      <c r="D991" t="s">
        <v>5469</v>
      </c>
      <c r="E991">
        <v>13600</v>
      </c>
      <c r="F991">
        <v>2176</v>
      </c>
      <c r="G991">
        <v>0</v>
      </c>
      <c r="H991">
        <v>0</v>
      </c>
      <c r="I991">
        <v>87</v>
      </c>
      <c r="J991">
        <v>15776</v>
      </c>
      <c r="K991" t="s">
        <v>10206</v>
      </c>
      <c r="L991" s="1">
        <v>41181</v>
      </c>
      <c r="N991" t="s">
        <v>6694</v>
      </c>
      <c r="O991" t="s">
        <v>3507</v>
      </c>
      <c r="P991" t="s">
        <v>368</v>
      </c>
      <c r="Q991" t="s">
        <v>39</v>
      </c>
      <c r="R991" t="s">
        <v>40</v>
      </c>
      <c r="S991">
        <v>0</v>
      </c>
      <c r="U991" t="s">
        <v>41</v>
      </c>
      <c r="V991" t="s">
        <v>42</v>
      </c>
      <c r="X991" t="s">
        <v>74</v>
      </c>
      <c r="Y991" t="b">
        <v>0</v>
      </c>
      <c r="Z991" t="b">
        <v>0</v>
      </c>
      <c r="AC991" s="1"/>
      <c r="AF991">
        <v>0</v>
      </c>
      <c r="AG991">
        <v>45</v>
      </c>
      <c r="AH991">
        <v>132</v>
      </c>
      <c r="AI991" s="2">
        <f>Table__192.168.3.138BEWLPPMetaData[[#This Row],[NetAmount]]-Table__192.168.3.138BEWLPPMetaData[[#This Row],[Paid]]</f>
        <v>15776</v>
      </c>
    </row>
    <row r="992" spans="1:35" hidden="1">
      <c r="A992" t="s">
        <v>10347</v>
      </c>
      <c r="B992" s="1">
        <v>41164</v>
      </c>
      <c r="C992" s="1">
        <v>41209</v>
      </c>
      <c r="D992" t="s">
        <v>8527</v>
      </c>
      <c r="E992">
        <v>166260</v>
      </c>
      <c r="F992">
        <v>26602</v>
      </c>
      <c r="G992">
        <v>0</v>
      </c>
      <c r="H992">
        <v>0</v>
      </c>
      <c r="I992">
        <v>104</v>
      </c>
      <c r="J992">
        <v>192862</v>
      </c>
      <c r="K992" t="s">
        <v>8694</v>
      </c>
      <c r="L992" s="1">
        <v>41164</v>
      </c>
      <c r="N992" t="s">
        <v>6694</v>
      </c>
      <c r="O992" t="s">
        <v>3507</v>
      </c>
      <c r="P992" t="s">
        <v>8528</v>
      </c>
      <c r="Q992" t="s">
        <v>39</v>
      </c>
      <c r="R992" t="s">
        <v>40</v>
      </c>
      <c r="S992">
        <v>0</v>
      </c>
      <c r="U992" t="s">
        <v>41</v>
      </c>
      <c r="V992" t="s">
        <v>42</v>
      </c>
      <c r="X992" t="s">
        <v>74</v>
      </c>
      <c r="Y992" t="b">
        <v>0</v>
      </c>
      <c r="Z992" t="b">
        <v>0</v>
      </c>
      <c r="AC992" s="1"/>
      <c r="AF992">
        <v>0</v>
      </c>
      <c r="AG992">
        <v>45</v>
      </c>
      <c r="AH992">
        <v>149</v>
      </c>
      <c r="AI992" s="2">
        <f>Table__192.168.3.138BEWLPPMetaData[[#This Row],[NetAmount]]-Table__192.168.3.138BEWLPPMetaData[[#This Row],[Paid]]</f>
        <v>192862</v>
      </c>
    </row>
    <row r="993" spans="1:35" hidden="1">
      <c r="A993" t="s">
        <v>10348</v>
      </c>
      <c r="B993" s="1">
        <v>41172</v>
      </c>
      <c r="C993" s="1">
        <v>41217</v>
      </c>
      <c r="D993" t="s">
        <v>8588</v>
      </c>
      <c r="E993">
        <v>22344</v>
      </c>
      <c r="F993">
        <v>3575</v>
      </c>
      <c r="G993">
        <v>0</v>
      </c>
      <c r="H993">
        <v>0</v>
      </c>
      <c r="I993">
        <v>96</v>
      </c>
      <c r="J993">
        <v>25919</v>
      </c>
      <c r="K993" t="s">
        <v>10349</v>
      </c>
      <c r="L993" s="1">
        <v>41172</v>
      </c>
      <c r="N993" t="s">
        <v>6694</v>
      </c>
      <c r="O993" t="s">
        <v>3507</v>
      </c>
      <c r="P993" t="s">
        <v>8589</v>
      </c>
      <c r="Q993" t="s">
        <v>39</v>
      </c>
      <c r="R993" t="s">
        <v>40</v>
      </c>
      <c r="S993">
        <v>0</v>
      </c>
      <c r="U993" t="s">
        <v>41</v>
      </c>
      <c r="V993" t="s">
        <v>42</v>
      </c>
      <c r="X993" t="s">
        <v>74</v>
      </c>
      <c r="Y993" t="b">
        <v>0</v>
      </c>
      <c r="Z993" t="b">
        <v>0</v>
      </c>
      <c r="AC993" s="1"/>
      <c r="AF993">
        <v>0</v>
      </c>
      <c r="AG993">
        <v>45</v>
      </c>
      <c r="AH993">
        <v>141</v>
      </c>
      <c r="AI993" s="2">
        <f>Table__192.168.3.138BEWLPPMetaData[[#This Row],[NetAmount]]-Table__192.168.3.138BEWLPPMetaData[[#This Row],[Paid]]</f>
        <v>25919</v>
      </c>
    </row>
    <row r="994" spans="1:35" hidden="1">
      <c r="A994" t="s">
        <v>10350</v>
      </c>
      <c r="B994" s="1">
        <v>41164</v>
      </c>
      <c r="C994" s="1">
        <v>41209</v>
      </c>
      <c r="D994" t="s">
        <v>8588</v>
      </c>
      <c r="E994">
        <v>13554</v>
      </c>
      <c r="F994">
        <v>2169</v>
      </c>
      <c r="G994">
        <v>0</v>
      </c>
      <c r="H994">
        <v>0</v>
      </c>
      <c r="I994">
        <v>104</v>
      </c>
      <c r="J994">
        <v>15723</v>
      </c>
      <c r="K994" t="s">
        <v>10351</v>
      </c>
      <c r="L994" s="1">
        <v>41164</v>
      </c>
      <c r="N994" t="s">
        <v>6694</v>
      </c>
      <c r="O994" t="s">
        <v>3507</v>
      </c>
      <c r="P994" t="s">
        <v>8589</v>
      </c>
      <c r="Q994" t="s">
        <v>39</v>
      </c>
      <c r="R994" t="s">
        <v>40</v>
      </c>
      <c r="S994">
        <v>0</v>
      </c>
      <c r="U994" t="s">
        <v>41</v>
      </c>
      <c r="V994" t="s">
        <v>42</v>
      </c>
      <c r="X994" t="s">
        <v>74</v>
      </c>
      <c r="Y994" t="b">
        <v>0</v>
      </c>
      <c r="Z994" t="b">
        <v>0</v>
      </c>
      <c r="AC994" s="1"/>
      <c r="AF994">
        <v>0</v>
      </c>
      <c r="AG994">
        <v>45</v>
      </c>
      <c r="AH994">
        <v>149</v>
      </c>
      <c r="AI994" s="2">
        <f>Table__192.168.3.138BEWLPPMetaData[[#This Row],[NetAmount]]-Table__192.168.3.138BEWLPPMetaData[[#This Row],[Paid]]</f>
        <v>15723</v>
      </c>
    </row>
    <row r="995" spans="1:35" hidden="1">
      <c r="A995" t="s">
        <v>10352</v>
      </c>
      <c r="B995" s="1">
        <v>41158</v>
      </c>
      <c r="C995" s="1">
        <v>41203</v>
      </c>
      <c r="D995" t="s">
        <v>8570</v>
      </c>
      <c r="E995">
        <v>72500</v>
      </c>
      <c r="F995">
        <v>11600</v>
      </c>
      <c r="G995">
        <v>0</v>
      </c>
      <c r="H995">
        <v>0</v>
      </c>
      <c r="I995">
        <v>116</v>
      </c>
      <c r="J995">
        <v>84100</v>
      </c>
      <c r="K995" t="s">
        <v>7930</v>
      </c>
      <c r="L995" s="1">
        <v>41152</v>
      </c>
      <c r="N995" t="s">
        <v>6694</v>
      </c>
      <c r="O995" t="s">
        <v>3507</v>
      </c>
      <c r="P995" t="s">
        <v>8571</v>
      </c>
      <c r="Q995" t="s">
        <v>39</v>
      </c>
      <c r="R995" t="s">
        <v>40</v>
      </c>
      <c r="S995">
        <v>0</v>
      </c>
      <c r="U995" t="s">
        <v>41</v>
      </c>
      <c r="V995" t="s">
        <v>42</v>
      </c>
      <c r="X995" t="s">
        <v>74</v>
      </c>
      <c r="Y995" t="b">
        <v>0</v>
      </c>
      <c r="Z995" t="b">
        <v>0</v>
      </c>
      <c r="AC995" s="1"/>
      <c r="AF995">
        <v>0</v>
      </c>
      <c r="AG995">
        <v>45</v>
      </c>
      <c r="AH995">
        <v>161</v>
      </c>
      <c r="AI995" s="2">
        <f>Table__192.168.3.138BEWLPPMetaData[[#This Row],[NetAmount]]-Table__192.168.3.138BEWLPPMetaData[[#This Row],[Paid]]</f>
        <v>84100</v>
      </c>
    </row>
    <row r="996" spans="1:35" hidden="1">
      <c r="A996" t="s">
        <v>10353</v>
      </c>
      <c r="B996" s="1">
        <v>41182</v>
      </c>
      <c r="C996" s="1">
        <v>41227</v>
      </c>
      <c r="D996" t="s">
        <v>8570</v>
      </c>
      <c r="E996">
        <v>93500</v>
      </c>
      <c r="F996">
        <v>14960</v>
      </c>
      <c r="G996">
        <v>0</v>
      </c>
      <c r="H996">
        <v>0</v>
      </c>
      <c r="I996">
        <v>91</v>
      </c>
      <c r="J996">
        <v>108460</v>
      </c>
      <c r="K996" t="s">
        <v>10354</v>
      </c>
      <c r="L996" s="1">
        <v>41177</v>
      </c>
      <c r="N996" t="s">
        <v>6694</v>
      </c>
      <c r="O996" t="s">
        <v>3507</v>
      </c>
      <c r="P996" t="s">
        <v>8571</v>
      </c>
      <c r="Q996" t="s">
        <v>39</v>
      </c>
      <c r="R996" t="s">
        <v>40</v>
      </c>
      <c r="S996">
        <v>0</v>
      </c>
      <c r="U996" t="s">
        <v>41</v>
      </c>
      <c r="V996" t="s">
        <v>42</v>
      </c>
      <c r="X996" t="s">
        <v>74</v>
      </c>
      <c r="Y996" t="b">
        <v>0</v>
      </c>
      <c r="Z996" t="b">
        <v>0</v>
      </c>
      <c r="AC996" s="1"/>
      <c r="AF996">
        <v>0</v>
      </c>
      <c r="AG996">
        <v>45</v>
      </c>
      <c r="AH996">
        <v>136</v>
      </c>
      <c r="AI996" s="2">
        <f>Table__192.168.3.138BEWLPPMetaData[[#This Row],[NetAmount]]-Table__192.168.3.138BEWLPPMetaData[[#This Row],[Paid]]</f>
        <v>108460</v>
      </c>
    </row>
    <row r="997" spans="1:35" hidden="1">
      <c r="A997" t="s">
        <v>10355</v>
      </c>
      <c r="B997" s="1">
        <v>41181</v>
      </c>
      <c r="C997" s="1">
        <v>41226</v>
      </c>
      <c r="D997" t="s">
        <v>8570</v>
      </c>
      <c r="E997">
        <v>79000</v>
      </c>
      <c r="F997">
        <v>12640</v>
      </c>
      <c r="G997">
        <v>0</v>
      </c>
      <c r="H997">
        <v>0</v>
      </c>
      <c r="I997">
        <v>88</v>
      </c>
      <c r="J997">
        <v>91640</v>
      </c>
      <c r="K997" t="s">
        <v>10356</v>
      </c>
      <c r="L997" s="1">
        <v>41180</v>
      </c>
      <c r="N997" t="s">
        <v>6694</v>
      </c>
      <c r="O997" t="s">
        <v>3507</v>
      </c>
      <c r="P997" t="s">
        <v>8571</v>
      </c>
      <c r="Q997" t="s">
        <v>39</v>
      </c>
      <c r="R997" t="s">
        <v>40</v>
      </c>
      <c r="S997">
        <v>0</v>
      </c>
      <c r="U997" t="s">
        <v>41</v>
      </c>
      <c r="V997" t="s">
        <v>42</v>
      </c>
      <c r="X997" t="s">
        <v>74</v>
      </c>
      <c r="Y997" t="b">
        <v>0</v>
      </c>
      <c r="Z997" t="b">
        <v>0</v>
      </c>
      <c r="AC997" s="1"/>
      <c r="AF997">
        <v>0</v>
      </c>
      <c r="AG997">
        <v>45</v>
      </c>
      <c r="AH997">
        <v>133</v>
      </c>
      <c r="AI997" s="2">
        <f>Table__192.168.3.138BEWLPPMetaData[[#This Row],[NetAmount]]-Table__192.168.3.138BEWLPPMetaData[[#This Row],[Paid]]</f>
        <v>91640</v>
      </c>
    </row>
    <row r="998" spans="1:35" hidden="1">
      <c r="A998" t="s">
        <v>10357</v>
      </c>
      <c r="B998" s="1">
        <v>41181</v>
      </c>
      <c r="C998" s="1">
        <v>41226</v>
      </c>
      <c r="D998" t="s">
        <v>8570</v>
      </c>
      <c r="E998">
        <v>113680</v>
      </c>
      <c r="F998">
        <v>18189</v>
      </c>
      <c r="G998">
        <v>0</v>
      </c>
      <c r="H998">
        <v>0</v>
      </c>
      <c r="I998">
        <v>94</v>
      </c>
      <c r="J998">
        <v>131869</v>
      </c>
      <c r="K998" t="s">
        <v>8001</v>
      </c>
      <c r="L998" s="1">
        <v>41174</v>
      </c>
      <c r="N998" t="s">
        <v>6694</v>
      </c>
      <c r="O998" t="s">
        <v>3507</v>
      </c>
      <c r="P998" t="s">
        <v>8571</v>
      </c>
      <c r="Q998" t="s">
        <v>39</v>
      </c>
      <c r="R998" t="s">
        <v>40</v>
      </c>
      <c r="S998">
        <v>0</v>
      </c>
      <c r="U998" t="s">
        <v>41</v>
      </c>
      <c r="V998" t="s">
        <v>42</v>
      </c>
      <c r="X998" t="s">
        <v>74</v>
      </c>
      <c r="Y998" t="b">
        <v>0</v>
      </c>
      <c r="Z998" t="b">
        <v>0</v>
      </c>
      <c r="AC998" s="1"/>
      <c r="AF998">
        <v>0</v>
      </c>
      <c r="AG998">
        <v>45</v>
      </c>
      <c r="AH998">
        <v>139</v>
      </c>
      <c r="AI998" s="2">
        <f>Table__192.168.3.138BEWLPPMetaData[[#This Row],[NetAmount]]-Table__192.168.3.138BEWLPPMetaData[[#This Row],[Paid]]</f>
        <v>131869</v>
      </c>
    </row>
    <row r="999" spans="1:35" hidden="1">
      <c r="A999" t="s">
        <v>10358</v>
      </c>
      <c r="B999" s="1">
        <v>41182</v>
      </c>
      <c r="C999" s="1">
        <v>41227</v>
      </c>
      <c r="D999" t="s">
        <v>8570</v>
      </c>
      <c r="E999">
        <v>42000</v>
      </c>
      <c r="F999">
        <v>6720</v>
      </c>
      <c r="G999">
        <v>0</v>
      </c>
      <c r="H999">
        <v>0</v>
      </c>
      <c r="I999">
        <v>87</v>
      </c>
      <c r="J999">
        <v>48720</v>
      </c>
      <c r="K999" t="s">
        <v>10359</v>
      </c>
      <c r="L999" s="1">
        <v>41181</v>
      </c>
      <c r="N999" t="s">
        <v>6694</v>
      </c>
      <c r="O999" t="s">
        <v>3507</v>
      </c>
      <c r="P999" t="s">
        <v>8571</v>
      </c>
      <c r="Q999" t="s">
        <v>39</v>
      </c>
      <c r="R999" t="s">
        <v>40</v>
      </c>
      <c r="S999">
        <v>0</v>
      </c>
      <c r="U999" t="s">
        <v>41</v>
      </c>
      <c r="V999" t="s">
        <v>42</v>
      </c>
      <c r="X999" t="s">
        <v>74</v>
      </c>
      <c r="Y999" t="b">
        <v>0</v>
      </c>
      <c r="Z999" t="b">
        <v>0</v>
      </c>
      <c r="AC999" s="1"/>
      <c r="AF999">
        <v>0</v>
      </c>
      <c r="AG999">
        <v>45</v>
      </c>
      <c r="AH999">
        <v>132</v>
      </c>
      <c r="AI999" s="2">
        <f>Table__192.168.3.138BEWLPPMetaData[[#This Row],[NetAmount]]-Table__192.168.3.138BEWLPPMetaData[[#This Row],[Paid]]</f>
        <v>48720</v>
      </c>
    </row>
    <row r="1000" spans="1:35" hidden="1">
      <c r="A1000" t="s">
        <v>10360</v>
      </c>
      <c r="B1000" s="1">
        <v>41178</v>
      </c>
      <c r="C1000" s="1">
        <v>41178</v>
      </c>
      <c r="D1000" t="s">
        <v>8666</v>
      </c>
      <c r="E1000">
        <v>43810</v>
      </c>
      <c r="F1000">
        <v>7010</v>
      </c>
      <c r="G1000">
        <v>0</v>
      </c>
      <c r="H1000">
        <v>0</v>
      </c>
      <c r="I1000">
        <v>0</v>
      </c>
      <c r="J1000">
        <v>50820</v>
      </c>
      <c r="K1000" t="s">
        <v>4389</v>
      </c>
      <c r="L1000" s="1">
        <v>41170</v>
      </c>
      <c r="M1000" t="s">
        <v>10361</v>
      </c>
      <c r="N1000" t="s">
        <v>6694</v>
      </c>
      <c r="O1000" t="s">
        <v>3507</v>
      </c>
      <c r="P1000" t="s">
        <v>8668</v>
      </c>
      <c r="Q1000" t="s">
        <v>39</v>
      </c>
      <c r="R1000" t="s">
        <v>40</v>
      </c>
      <c r="S1000">
        <v>0</v>
      </c>
      <c r="U1000" t="s">
        <v>41</v>
      </c>
      <c r="V1000" t="s">
        <v>42</v>
      </c>
      <c r="W1000" t="s">
        <v>10179</v>
      </c>
      <c r="X1000" t="s">
        <v>74</v>
      </c>
      <c r="Y1000" t="b">
        <v>0</v>
      </c>
      <c r="Z1000" t="b">
        <v>0</v>
      </c>
      <c r="AA1000" t="b">
        <v>0</v>
      </c>
      <c r="AC1000" s="1"/>
      <c r="AF1000">
        <v>0</v>
      </c>
      <c r="AH1000">
        <v>143</v>
      </c>
      <c r="AI1000" s="2">
        <f>Table__192.168.3.138BEWLPPMetaData[[#This Row],[NetAmount]]-Table__192.168.3.138BEWLPPMetaData[[#This Row],[Paid]]</f>
        <v>50820</v>
      </c>
    </row>
    <row r="1001" spans="1:35" hidden="1">
      <c r="A1001" t="s">
        <v>10362</v>
      </c>
      <c r="B1001" s="1">
        <v>41174</v>
      </c>
      <c r="C1001" s="1">
        <v>41219</v>
      </c>
      <c r="D1001" t="s">
        <v>8611</v>
      </c>
      <c r="E1001">
        <v>69480</v>
      </c>
      <c r="F1001">
        <v>11117</v>
      </c>
      <c r="G1001">
        <v>0</v>
      </c>
      <c r="H1001">
        <v>0</v>
      </c>
      <c r="I1001">
        <v>101</v>
      </c>
      <c r="J1001">
        <v>80597</v>
      </c>
      <c r="K1001" t="s">
        <v>10363</v>
      </c>
      <c r="L1001" s="1">
        <v>41167</v>
      </c>
      <c r="N1001" t="s">
        <v>6694</v>
      </c>
      <c r="O1001" t="s">
        <v>3507</v>
      </c>
      <c r="P1001" t="s">
        <v>8612</v>
      </c>
      <c r="Q1001" t="s">
        <v>39</v>
      </c>
      <c r="R1001" t="s">
        <v>40</v>
      </c>
      <c r="S1001">
        <v>0</v>
      </c>
      <c r="U1001" t="s">
        <v>41</v>
      </c>
      <c r="V1001" t="s">
        <v>42</v>
      </c>
      <c r="X1001" t="s">
        <v>74</v>
      </c>
      <c r="Y1001" t="b">
        <v>0</v>
      </c>
      <c r="Z1001" t="b">
        <v>0</v>
      </c>
      <c r="AC1001" s="1"/>
      <c r="AF1001">
        <v>0</v>
      </c>
      <c r="AG1001">
        <v>45</v>
      </c>
      <c r="AH1001">
        <v>146</v>
      </c>
      <c r="AI1001" s="2">
        <f>Table__192.168.3.138BEWLPPMetaData[[#This Row],[NetAmount]]-Table__192.168.3.138BEWLPPMetaData[[#This Row],[Paid]]</f>
        <v>80597</v>
      </c>
    </row>
    <row r="1002" spans="1:35" hidden="1">
      <c r="A1002" t="s">
        <v>10364</v>
      </c>
      <c r="B1002" s="1">
        <v>41153</v>
      </c>
      <c r="C1002" s="1">
        <v>41198</v>
      </c>
      <c r="D1002" t="s">
        <v>8611</v>
      </c>
      <c r="E1002">
        <v>3725</v>
      </c>
      <c r="F1002">
        <v>596</v>
      </c>
      <c r="G1002">
        <v>0</v>
      </c>
      <c r="H1002">
        <v>0</v>
      </c>
      <c r="I1002">
        <v>96</v>
      </c>
      <c r="J1002">
        <v>4321</v>
      </c>
      <c r="K1002" t="s">
        <v>10365</v>
      </c>
      <c r="L1002" s="1">
        <v>41172</v>
      </c>
      <c r="N1002" t="s">
        <v>6694</v>
      </c>
      <c r="O1002" t="s">
        <v>3507</v>
      </c>
      <c r="P1002" t="s">
        <v>8612</v>
      </c>
      <c r="Q1002" t="s">
        <v>39</v>
      </c>
      <c r="R1002" t="s">
        <v>40</v>
      </c>
      <c r="S1002">
        <v>0</v>
      </c>
      <c r="U1002" t="s">
        <v>41</v>
      </c>
      <c r="V1002" t="s">
        <v>42</v>
      </c>
      <c r="X1002" t="s">
        <v>74</v>
      </c>
      <c r="Y1002" t="b">
        <v>0</v>
      </c>
      <c r="Z1002" t="b">
        <v>0</v>
      </c>
      <c r="AC1002" s="1"/>
      <c r="AF1002">
        <v>0</v>
      </c>
      <c r="AG1002">
        <v>45</v>
      </c>
      <c r="AH1002">
        <v>141</v>
      </c>
      <c r="AI1002" s="2">
        <f>Table__192.168.3.138BEWLPPMetaData[[#This Row],[NetAmount]]-Table__192.168.3.138BEWLPPMetaData[[#This Row],[Paid]]</f>
        <v>4321</v>
      </c>
    </row>
    <row r="1003" spans="1:35" hidden="1">
      <c r="A1003" t="s">
        <v>10366</v>
      </c>
      <c r="B1003" s="1">
        <v>41170</v>
      </c>
      <c r="C1003" s="1">
        <v>41215</v>
      </c>
      <c r="D1003" t="s">
        <v>8611</v>
      </c>
      <c r="E1003">
        <v>14900</v>
      </c>
      <c r="F1003">
        <v>2384</v>
      </c>
      <c r="G1003">
        <v>0</v>
      </c>
      <c r="H1003">
        <v>0</v>
      </c>
      <c r="I1003">
        <v>94</v>
      </c>
      <c r="J1003">
        <v>17284</v>
      </c>
      <c r="K1003" t="s">
        <v>10367</v>
      </c>
      <c r="L1003" s="1">
        <v>41174</v>
      </c>
      <c r="N1003" t="s">
        <v>6694</v>
      </c>
      <c r="O1003" t="s">
        <v>3507</v>
      </c>
      <c r="P1003" t="s">
        <v>8612</v>
      </c>
      <c r="Q1003" t="s">
        <v>39</v>
      </c>
      <c r="R1003" t="s">
        <v>40</v>
      </c>
      <c r="S1003">
        <v>0</v>
      </c>
      <c r="U1003" t="s">
        <v>41</v>
      </c>
      <c r="V1003" t="s">
        <v>42</v>
      </c>
      <c r="X1003" t="s">
        <v>74</v>
      </c>
      <c r="Y1003" t="b">
        <v>0</v>
      </c>
      <c r="Z1003" t="b">
        <v>0</v>
      </c>
      <c r="AC1003" s="1"/>
      <c r="AF1003">
        <v>0</v>
      </c>
      <c r="AG1003">
        <v>45</v>
      </c>
      <c r="AH1003">
        <v>139</v>
      </c>
      <c r="AI1003" s="2">
        <f>Table__192.168.3.138BEWLPPMetaData[[#This Row],[NetAmount]]-Table__192.168.3.138BEWLPPMetaData[[#This Row],[Paid]]</f>
        <v>17284</v>
      </c>
    </row>
    <row r="1004" spans="1:35" hidden="1">
      <c r="A1004" t="s">
        <v>10368</v>
      </c>
      <c r="B1004" s="1">
        <v>41199</v>
      </c>
      <c r="C1004" s="1">
        <v>41244</v>
      </c>
      <c r="D1004" t="s">
        <v>8570</v>
      </c>
      <c r="E1004">
        <v>110880</v>
      </c>
      <c r="F1004">
        <v>17741</v>
      </c>
      <c r="G1004">
        <v>0</v>
      </c>
      <c r="H1004">
        <v>0</v>
      </c>
      <c r="I1004">
        <v>75</v>
      </c>
      <c r="J1004">
        <v>128621</v>
      </c>
      <c r="K1004" t="s">
        <v>10369</v>
      </c>
      <c r="L1004" s="1">
        <v>41193</v>
      </c>
      <c r="N1004" t="s">
        <v>6694</v>
      </c>
      <c r="O1004" t="s">
        <v>3507</v>
      </c>
      <c r="P1004" t="s">
        <v>8571</v>
      </c>
      <c r="Q1004" t="s">
        <v>39</v>
      </c>
      <c r="R1004" t="s">
        <v>40</v>
      </c>
      <c r="S1004">
        <v>0</v>
      </c>
      <c r="U1004" t="s">
        <v>41</v>
      </c>
      <c r="V1004" t="s">
        <v>42</v>
      </c>
      <c r="X1004" t="s">
        <v>74</v>
      </c>
      <c r="Y1004" t="b">
        <v>0</v>
      </c>
      <c r="Z1004" t="b">
        <v>0</v>
      </c>
      <c r="AC1004" s="1"/>
      <c r="AF1004">
        <v>0</v>
      </c>
      <c r="AG1004">
        <v>45</v>
      </c>
      <c r="AH1004">
        <v>120</v>
      </c>
      <c r="AI1004" s="2">
        <f>Table__192.168.3.138BEWLPPMetaData[[#This Row],[NetAmount]]-Table__192.168.3.138BEWLPPMetaData[[#This Row],[Paid]]</f>
        <v>128621</v>
      </c>
    </row>
    <row r="1005" spans="1:35" hidden="1">
      <c r="A1005" t="s">
        <v>10370</v>
      </c>
      <c r="B1005" s="1">
        <v>41188</v>
      </c>
      <c r="C1005" s="1">
        <v>41233</v>
      </c>
      <c r="D1005" t="s">
        <v>5529</v>
      </c>
      <c r="E1005">
        <v>212220</v>
      </c>
      <c r="F1005">
        <v>33955</v>
      </c>
      <c r="G1005">
        <v>0</v>
      </c>
      <c r="H1005">
        <v>0</v>
      </c>
      <c r="I1005">
        <v>70</v>
      </c>
      <c r="J1005">
        <v>246175</v>
      </c>
      <c r="K1005" t="s">
        <v>10371</v>
      </c>
      <c r="L1005" s="1">
        <v>41198</v>
      </c>
      <c r="N1005" t="s">
        <v>6694</v>
      </c>
      <c r="O1005" t="s">
        <v>3507</v>
      </c>
      <c r="P1005" t="s">
        <v>8614</v>
      </c>
      <c r="Q1005" t="s">
        <v>39</v>
      </c>
      <c r="R1005" t="s">
        <v>40</v>
      </c>
      <c r="S1005">
        <v>0</v>
      </c>
      <c r="U1005" t="s">
        <v>41</v>
      </c>
      <c r="V1005" t="s">
        <v>42</v>
      </c>
      <c r="X1005" t="s">
        <v>74</v>
      </c>
      <c r="Y1005" t="b">
        <v>0</v>
      </c>
      <c r="Z1005" t="b">
        <v>0</v>
      </c>
      <c r="AC1005" s="1"/>
      <c r="AF1005">
        <v>0</v>
      </c>
      <c r="AG1005">
        <v>45</v>
      </c>
      <c r="AH1005">
        <v>115</v>
      </c>
      <c r="AI1005" s="2">
        <f>Table__192.168.3.138BEWLPPMetaData[[#This Row],[NetAmount]]-Table__192.168.3.138BEWLPPMetaData[[#This Row],[Paid]]</f>
        <v>246175</v>
      </c>
    </row>
    <row r="1006" spans="1:35" hidden="1">
      <c r="A1006" t="s">
        <v>10372</v>
      </c>
      <c r="B1006" s="1">
        <v>41195</v>
      </c>
      <c r="C1006" s="1">
        <v>41240</v>
      </c>
      <c r="D1006" t="s">
        <v>5529</v>
      </c>
      <c r="E1006">
        <v>141480</v>
      </c>
      <c r="F1006">
        <v>22637</v>
      </c>
      <c r="G1006">
        <v>0</v>
      </c>
      <c r="H1006">
        <v>0</v>
      </c>
      <c r="I1006">
        <v>70</v>
      </c>
      <c r="J1006">
        <v>164117</v>
      </c>
      <c r="K1006" t="s">
        <v>10373</v>
      </c>
      <c r="L1006" s="1">
        <v>41198</v>
      </c>
      <c r="N1006" t="s">
        <v>6694</v>
      </c>
      <c r="O1006" t="s">
        <v>3507</v>
      </c>
      <c r="P1006" t="s">
        <v>8614</v>
      </c>
      <c r="Q1006" t="s">
        <v>39</v>
      </c>
      <c r="R1006" t="s">
        <v>40</v>
      </c>
      <c r="S1006">
        <v>0</v>
      </c>
      <c r="U1006" t="s">
        <v>41</v>
      </c>
      <c r="V1006" t="s">
        <v>42</v>
      </c>
      <c r="X1006" t="s">
        <v>74</v>
      </c>
      <c r="Y1006" t="b">
        <v>0</v>
      </c>
      <c r="Z1006" t="b">
        <v>0</v>
      </c>
      <c r="AC1006" s="1"/>
      <c r="AF1006">
        <v>0</v>
      </c>
      <c r="AG1006">
        <v>45</v>
      </c>
      <c r="AH1006">
        <v>115</v>
      </c>
      <c r="AI1006" s="2">
        <f>Table__192.168.3.138BEWLPPMetaData[[#This Row],[NetAmount]]-Table__192.168.3.138BEWLPPMetaData[[#This Row],[Paid]]</f>
        <v>164117</v>
      </c>
    </row>
    <row r="1007" spans="1:35" hidden="1">
      <c r="A1007" t="s">
        <v>10374</v>
      </c>
      <c r="B1007" s="1">
        <v>41191</v>
      </c>
      <c r="C1007" s="1">
        <v>41236</v>
      </c>
      <c r="D1007" t="s">
        <v>5529</v>
      </c>
      <c r="E1007">
        <v>212220</v>
      </c>
      <c r="F1007">
        <v>33955</v>
      </c>
      <c r="G1007">
        <v>0</v>
      </c>
      <c r="H1007">
        <v>0</v>
      </c>
      <c r="I1007">
        <v>70</v>
      </c>
      <c r="J1007">
        <v>246175</v>
      </c>
      <c r="K1007" t="s">
        <v>10375</v>
      </c>
      <c r="L1007" s="1">
        <v>41198</v>
      </c>
      <c r="N1007" t="s">
        <v>6694</v>
      </c>
      <c r="O1007" t="s">
        <v>3507</v>
      </c>
      <c r="P1007" t="s">
        <v>8614</v>
      </c>
      <c r="Q1007" t="s">
        <v>39</v>
      </c>
      <c r="R1007" t="s">
        <v>40</v>
      </c>
      <c r="S1007">
        <v>0</v>
      </c>
      <c r="U1007" t="s">
        <v>41</v>
      </c>
      <c r="V1007" t="s">
        <v>42</v>
      </c>
      <c r="X1007" t="s">
        <v>74</v>
      </c>
      <c r="Y1007" t="b">
        <v>0</v>
      </c>
      <c r="Z1007" t="b">
        <v>0</v>
      </c>
      <c r="AC1007" s="1"/>
      <c r="AF1007">
        <v>0</v>
      </c>
      <c r="AG1007">
        <v>45</v>
      </c>
      <c r="AH1007">
        <v>115</v>
      </c>
      <c r="AI1007" s="2">
        <f>Table__192.168.3.138BEWLPPMetaData[[#This Row],[NetAmount]]-Table__192.168.3.138BEWLPPMetaData[[#This Row],[Paid]]</f>
        <v>246175</v>
      </c>
    </row>
    <row r="1008" spans="1:35" hidden="1">
      <c r="A1008" t="s">
        <v>10376</v>
      </c>
      <c r="B1008" s="1">
        <v>41199</v>
      </c>
      <c r="C1008" s="1">
        <v>41244</v>
      </c>
      <c r="D1008" t="s">
        <v>8611</v>
      </c>
      <c r="E1008">
        <v>50700</v>
      </c>
      <c r="F1008">
        <v>8112</v>
      </c>
      <c r="G1008">
        <v>0</v>
      </c>
      <c r="H1008">
        <v>0</v>
      </c>
      <c r="I1008">
        <v>69</v>
      </c>
      <c r="J1008">
        <v>58812</v>
      </c>
      <c r="K1008" t="s">
        <v>10377</v>
      </c>
      <c r="L1008" s="1">
        <v>41199</v>
      </c>
      <c r="N1008" t="s">
        <v>6694</v>
      </c>
      <c r="O1008" t="s">
        <v>3507</v>
      </c>
      <c r="P1008" t="s">
        <v>8612</v>
      </c>
      <c r="Q1008" t="s">
        <v>39</v>
      </c>
      <c r="R1008" t="s">
        <v>40</v>
      </c>
      <c r="S1008">
        <v>0</v>
      </c>
      <c r="U1008" t="s">
        <v>41</v>
      </c>
      <c r="V1008" t="s">
        <v>42</v>
      </c>
      <c r="X1008" t="s">
        <v>74</v>
      </c>
      <c r="Y1008" t="b">
        <v>0</v>
      </c>
      <c r="Z1008" t="b">
        <v>0</v>
      </c>
      <c r="AC1008" s="1"/>
      <c r="AF1008">
        <v>0</v>
      </c>
      <c r="AG1008">
        <v>45</v>
      </c>
      <c r="AH1008">
        <v>114</v>
      </c>
      <c r="AI1008" s="2">
        <f>Table__192.168.3.138BEWLPPMetaData[[#This Row],[NetAmount]]-Table__192.168.3.138BEWLPPMetaData[[#This Row],[Paid]]</f>
        <v>58812</v>
      </c>
    </row>
    <row r="1009" spans="1:35" hidden="1">
      <c r="A1009" t="s">
        <v>10378</v>
      </c>
      <c r="B1009" s="1">
        <v>41201</v>
      </c>
      <c r="C1009" s="1">
        <v>41246</v>
      </c>
      <c r="D1009" t="s">
        <v>5529</v>
      </c>
      <c r="E1009">
        <v>159080</v>
      </c>
      <c r="F1009">
        <v>25453</v>
      </c>
      <c r="G1009">
        <v>0</v>
      </c>
      <c r="H1009">
        <v>0</v>
      </c>
      <c r="I1009">
        <v>73</v>
      </c>
      <c r="J1009">
        <v>184533</v>
      </c>
      <c r="K1009" t="s">
        <v>10379</v>
      </c>
      <c r="L1009" s="1">
        <v>41195</v>
      </c>
      <c r="N1009" t="s">
        <v>6694</v>
      </c>
      <c r="O1009" t="s">
        <v>3507</v>
      </c>
      <c r="P1009" t="s">
        <v>8614</v>
      </c>
      <c r="Q1009" t="s">
        <v>39</v>
      </c>
      <c r="R1009" t="s">
        <v>40</v>
      </c>
      <c r="S1009">
        <v>0</v>
      </c>
      <c r="U1009" t="s">
        <v>41</v>
      </c>
      <c r="V1009" t="s">
        <v>42</v>
      </c>
      <c r="X1009" t="s">
        <v>74</v>
      </c>
      <c r="Y1009" t="b">
        <v>0</v>
      </c>
      <c r="Z1009" t="b">
        <v>0</v>
      </c>
      <c r="AC1009" s="1"/>
      <c r="AF1009">
        <v>0</v>
      </c>
      <c r="AG1009">
        <v>45</v>
      </c>
      <c r="AH1009">
        <v>118</v>
      </c>
      <c r="AI1009" s="2">
        <f>Table__192.168.3.138BEWLPPMetaData[[#This Row],[NetAmount]]-Table__192.168.3.138BEWLPPMetaData[[#This Row],[Paid]]</f>
        <v>184533</v>
      </c>
    </row>
    <row r="1010" spans="1:35" hidden="1">
      <c r="A1010" t="s">
        <v>10380</v>
      </c>
      <c r="B1010" s="1">
        <v>41201</v>
      </c>
      <c r="C1010" s="1">
        <v>41246</v>
      </c>
      <c r="D1010" t="s">
        <v>5529</v>
      </c>
      <c r="E1010">
        <v>28470</v>
      </c>
      <c r="F1010">
        <v>4555</v>
      </c>
      <c r="G1010">
        <v>0</v>
      </c>
      <c r="H1010">
        <v>0</v>
      </c>
      <c r="I1010">
        <v>73</v>
      </c>
      <c r="J1010">
        <v>33025</v>
      </c>
      <c r="K1010" t="s">
        <v>10381</v>
      </c>
      <c r="L1010" s="1">
        <v>41195</v>
      </c>
      <c r="N1010" t="s">
        <v>6694</v>
      </c>
      <c r="O1010" t="s">
        <v>3507</v>
      </c>
      <c r="P1010" t="s">
        <v>8614</v>
      </c>
      <c r="Q1010" t="s">
        <v>39</v>
      </c>
      <c r="R1010" t="s">
        <v>40</v>
      </c>
      <c r="S1010">
        <v>0</v>
      </c>
      <c r="U1010" t="s">
        <v>41</v>
      </c>
      <c r="V1010" t="s">
        <v>42</v>
      </c>
      <c r="X1010" t="s">
        <v>74</v>
      </c>
      <c r="Y1010" t="b">
        <v>0</v>
      </c>
      <c r="Z1010" t="b">
        <v>0</v>
      </c>
      <c r="AC1010" s="1"/>
      <c r="AF1010">
        <v>0</v>
      </c>
      <c r="AG1010">
        <v>45</v>
      </c>
      <c r="AH1010">
        <v>118</v>
      </c>
      <c r="AI1010" s="2">
        <f>Table__192.168.3.138BEWLPPMetaData[[#This Row],[NetAmount]]-Table__192.168.3.138BEWLPPMetaData[[#This Row],[Paid]]</f>
        <v>33025</v>
      </c>
    </row>
    <row r="1011" spans="1:35" hidden="1">
      <c r="A1011" t="s">
        <v>10382</v>
      </c>
      <c r="B1011" s="1">
        <v>41195</v>
      </c>
      <c r="C1011" s="1">
        <v>41240</v>
      </c>
      <c r="D1011" t="s">
        <v>8611</v>
      </c>
      <c r="E1011">
        <v>24082</v>
      </c>
      <c r="F1011">
        <v>3853</v>
      </c>
      <c r="G1011">
        <v>0</v>
      </c>
      <c r="H1011">
        <v>0</v>
      </c>
      <c r="I1011">
        <v>77</v>
      </c>
      <c r="J1011">
        <v>27935</v>
      </c>
      <c r="K1011" t="s">
        <v>10383</v>
      </c>
      <c r="L1011" s="1">
        <v>41191</v>
      </c>
      <c r="N1011" t="s">
        <v>6694</v>
      </c>
      <c r="O1011" t="s">
        <v>3507</v>
      </c>
      <c r="P1011" t="s">
        <v>8612</v>
      </c>
      <c r="Q1011" t="s">
        <v>39</v>
      </c>
      <c r="R1011" t="s">
        <v>40</v>
      </c>
      <c r="S1011">
        <v>0</v>
      </c>
      <c r="U1011" t="s">
        <v>41</v>
      </c>
      <c r="V1011" t="s">
        <v>42</v>
      </c>
      <c r="X1011" t="s">
        <v>74</v>
      </c>
      <c r="Y1011" t="b">
        <v>0</v>
      </c>
      <c r="Z1011" t="b">
        <v>0</v>
      </c>
      <c r="AC1011" s="1"/>
      <c r="AF1011">
        <v>0</v>
      </c>
      <c r="AG1011">
        <v>45</v>
      </c>
      <c r="AH1011">
        <v>122</v>
      </c>
      <c r="AI1011" s="2">
        <f>Table__192.168.3.138BEWLPPMetaData[[#This Row],[NetAmount]]-Table__192.168.3.138BEWLPPMetaData[[#This Row],[Paid]]</f>
        <v>27935</v>
      </c>
    </row>
    <row r="1012" spans="1:35" hidden="1">
      <c r="A1012" t="s">
        <v>10384</v>
      </c>
      <c r="B1012" s="1">
        <v>41191</v>
      </c>
      <c r="C1012" s="1">
        <v>41236</v>
      </c>
      <c r="D1012" t="s">
        <v>8611</v>
      </c>
      <c r="E1012">
        <v>65599</v>
      </c>
      <c r="F1012">
        <v>10496</v>
      </c>
      <c r="G1012">
        <v>0</v>
      </c>
      <c r="H1012">
        <v>0</v>
      </c>
      <c r="I1012">
        <v>77</v>
      </c>
      <c r="J1012">
        <v>76095</v>
      </c>
      <c r="K1012" t="s">
        <v>10385</v>
      </c>
      <c r="L1012" s="1">
        <v>41191</v>
      </c>
      <c r="N1012" t="s">
        <v>6694</v>
      </c>
      <c r="O1012" t="s">
        <v>3507</v>
      </c>
      <c r="P1012" t="s">
        <v>8612</v>
      </c>
      <c r="Q1012" t="s">
        <v>39</v>
      </c>
      <c r="R1012" t="s">
        <v>40</v>
      </c>
      <c r="S1012">
        <v>0</v>
      </c>
      <c r="U1012" t="s">
        <v>41</v>
      </c>
      <c r="V1012" t="s">
        <v>42</v>
      </c>
      <c r="X1012" t="s">
        <v>74</v>
      </c>
      <c r="Y1012" t="b">
        <v>0</v>
      </c>
      <c r="Z1012" t="b">
        <v>0</v>
      </c>
      <c r="AC1012" s="1"/>
      <c r="AF1012">
        <v>0</v>
      </c>
      <c r="AG1012">
        <v>45</v>
      </c>
      <c r="AH1012">
        <v>122</v>
      </c>
      <c r="AI1012" s="2">
        <f>Table__192.168.3.138BEWLPPMetaData[[#This Row],[NetAmount]]-Table__192.168.3.138BEWLPPMetaData[[#This Row],[Paid]]</f>
        <v>76095</v>
      </c>
    </row>
    <row r="1013" spans="1:35" hidden="1">
      <c r="A1013" t="s">
        <v>10386</v>
      </c>
      <c r="B1013" s="1">
        <v>41199</v>
      </c>
      <c r="C1013" s="1">
        <v>41244</v>
      </c>
      <c r="D1013" t="s">
        <v>8563</v>
      </c>
      <c r="E1013">
        <v>330000</v>
      </c>
      <c r="F1013">
        <v>52800</v>
      </c>
      <c r="G1013">
        <v>0</v>
      </c>
      <c r="H1013">
        <v>0</v>
      </c>
      <c r="I1013">
        <v>74</v>
      </c>
      <c r="J1013">
        <v>382800</v>
      </c>
      <c r="K1013" t="s">
        <v>1112</v>
      </c>
      <c r="L1013" s="1">
        <v>41194</v>
      </c>
      <c r="N1013" t="s">
        <v>6694</v>
      </c>
      <c r="O1013" t="s">
        <v>3507</v>
      </c>
      <c r="P1013" t="s">
        <v>409</v>
      </c>
      <c r="Q1013" t="s">
        <v>39</v>
      </c>
      <c r="R1013" t="s">
        <v>40</v>
      </c>
      <c r="S1013">
        <v>0</v>
      </c>
      <c r="U1013" t="s">
        <v>41</v>
      </c>
      <c r="V1013" t="s">
        <v>42</v>
      </c>
      <c r="X1013" t="s">
        <v>74</v>
      </c>
      <c r="Y1013" t="b">
        <v>0</v>
      </c>
      <c r="Z1013" t="b">
        <v>0</v>
      </c>
      <c r="AB1013" t="s">
        <v>8664</v>
      </c>
      <c r="AC1013" s="1">
        <v>41283</v>
      </c>
      <c r="AF1013">
        <v>0</v>
      </c>
      <c r="AG1013">
        <v>45</v>
      </c>
      <c r="AH1013">
        <v>119</v>
      </c>
      <c r="AI1013" s="2">
        <f>Table__192.168.3.138BEWLPPMetaData[[#This Row],[NetAmount]]-Table__192.168.3.138BEWLPPMetaData[[#This Row],[Paid]]</f>
        <v>382800</v>
      </c>
    </row>
    <row r="1014" spans="1:35" hidden="1">
      <c r="A1014" t="s">
        <v>10387</v>
      </c>
      <c r="B1014" s="1">
        <v>41195</v>
      </c>
      <c r="C1014" s="1">
        <v>41240</v>
      </c>
      <c r="D1014" t="s">
        <v>5509</v>
      </c>
      <c r="E1014">
        <v>25316</v>
      </c>
      <c r="F1014">
        <v>4051</v>
      </c>
      <c r="G1014">
        <v>0</v>
      </c>
      <c r="H1014">
        <v>0</v>
      </c>
      <c r="I1014">
        <v>74</v>
      </c>
      <c r="J1014">
        <v>29367</v>
      </c>
      <c r="K1014" t="s">
        <v>7564</v>
      </c>
      <c r="L1014" s="1">
        <v>41194</v>
      </c>
      <c r="N1014" t="s">
        <v>6694</v>
      </c>
      <c r="O1014" t="s">
        <v>3507</v>
      </c>
      <c r="P1014" t="s">
        <v>354</v>
      </c>
      <c r="Q1014" t="s">
        <v>39</v>
      </c>
      <c r="R1014" t="s">
        <v>40</v>
      </c>
      <c r="S1014">
        <v>0</v>
      </c>
      <c r="U1014" t="s">
        <v>41</v>
      </c>
      <c r="V1014" t="s">
        <v>42</v>
      </c>
      <c r="X1014" t="s">
        <v>74</v>
      </c>
      <c r="Y1014" t="b">
        <v>0</v>
      </c>
      <c r="Z1014" t="b">
        <v>0</v>
      </c>
      <c r="AB1014" t="s">
        <v>8654</v>
      </c>
      <c r="AC1014" s="1">
        <v>41296</v>
      </c>
      <c r="AF1014">
        <v>0</v>
      </c>
      <c r="AG1014">
        <v>45</v>
      </c>
      <c r="AH1014">
        <v>119</v>
      </c>
      <c r="AI1014" s="2">
        <f>Table__192.168.3.138BEWLPPMetaData[[#This Row],[NetAmount]]-Table__192.168.3.138BEWLPPMetaData[[#This Row],[Paid]]</f>
        <v>29367</v>
      </c>
    </row>
    <row r="1015" spans="1:35" hidden="1">
      <c r="A1015" t="s">
        <v>10388</v>
      </c>
      <c r="B1015" s="1">
        <v>41199</v>
      </c>
      <c r="C1015" s="1">
        <v>41244</v>
      </c>
      <c r="D1015" t="s">
        <v>8524</v>
      </c>
      <c r="E1015">
        <v>11400</v>
      </c>
      <c r="F1015">
        <v>1824</v>
      </c>
      <c r="G1015">
        <v>0</v>
      </c>
      <c r="H1015">
        <v>0</v>
      </c>
      <c r="I1015">
        <v>70</v>
      </c>
      <c r="J1015">
        <v>13224</v>
      </c>
      <c r="K1015" t="s">
        <v>10389</v>
      </c>
      <c r="L1015" s="1">
        <v>41198</v>
      </c>
      <c r="N1015" t="s">
        <v>6694</v>
      </c>
      <c r="O1015" t="s">
        <v>3507</v>
      </c>
      <c r="P1015" t="s">
        <v>8525</v>
      </c>
      <c r="Q1015" t="s">
        <v>39</v>
      </c>
      <c r="R1015" t="s">
        <v>40</v>
      </c>
      <c r="S1015">
        <v>0</v>
      </c>
      <c r="U1015" t="s">
        <v>41</v>
      </c>
      <c r="V1015" t="s">
        <v>42</v>
      </c>
      <c r="X1015" t="s">
        <v>74</v>
      </c>
      <c r="Y1015" t="b">
        <v>0</v>
      </c>
      <c r="Z1015" t="b">
        <v>0</v>
      </c>
      <c r="AC1015" s="1"/>
      <c r="AF1015">
        <v>0</v>
      </c>
      <c r="AG1015">
        <v>45</v>
      </c>
      <c r="AH1015">
        <v>115</v>
      </c>
      <c r="AI1015" s="2">
        <f>Table__192.168.3.138BEWLPPMetaData[[#This Row],[NetAmount]]-Table__192.168.3.138BEWLPPMetaData[[#This Row],[Paid]]</f>
        <v>13224</v>
      </c>
    </row>
    <row r="1016" spans="1:35" hidden="1">
      <c r="A1016" t="s">
        <v>10390</v>
      </c>
      <c r="B1016" s="1">
        <v>41188</v>
      </c>
      <c r="C1016" s="1">
        <v>41233</v>
      </c>
      <c r="D1016" t="s">
        <v>8570</v>
      </c>
      <c r="E1016">
        <v>134440</v>
      </c>
      <c r="F1016">
        <v>21510</v>
      </c>
      <c r="G1016">
        <v>0</v>
      </c>
      <c r="H1016">
        <v>0</v>
      </c>
      <c r="I1016">
        <v>87</v>
      </c>
      <c r="J1016">
        <v>155950</v>
      </c>
      <c r="K1016" t="s">
        <v>10391</v>
      </c>
      <c r="L1016" s="1">
        <v>41181</v>
      </c>
      <c r="N1016" t="s">
        <v>6694</v>
      </c>
      <c r="O1016" t="s">
        <v>3507</v>
      </c>
      <c r="P1016" t="s">
        <v>8571</v>
      </c>
      <c r="Q1016" t="s">
        <v>39</v>
      </c>
      <c r="R1016" t="s">
        <v>40</v>
      </c>
      <c r="S1016">
        <v>0</v>
      </c>
      <c r="U1016" t="s">
        <v>41</v>
      </c>
      <c r="V1016" t="s">
        <v>42</v>
      </c>
      <c r="X1016" t="s">
        <v>74</v>
      </c>
      <c r="Y1016" t="b">
        <v>0</v>
      </c>
      <c r="Z1016" t="b">
        <v>0</v>
      </c>
      <c r="AC1016" s="1"/>
      <c r="AF1016">
        <v>0</v>
      </c>
      <c r="AG1016">
        <v>45</v>
      </c>
      <c r="AH1016">
        <v>132</v>
      </c>
      <c r="AI1016" s="2">
        <f>Table__192.168.3.138BEWLPPMetaData[[#This Row],[NetAmount]]-Table__192.168.3.138BEWLPPMetaData[[#This Row],[Paid]]</f>
        <v>155950</v>
      </c>
    </row>
    <row r="1017" spans="1:35" hidden="1">
      <c r="A1017" t="s">
        <v>10392</v>
      </c>
      <c r="B1017" s="1">
        <v>41188</v>
      </c>
      <c r="C1017" s="1">
        <v>41233</v>
      </c>
      <c r="D1017" t="s">
        <v>8611</v>
      </c>
      <c r="E1017">
        <v>42250</v>
      </c>
      <c r="F1017">
        <v>6760</v>
      </c>
      <c r="G1017">
        <v>0</v>
      </c>
      <c r="H1017">
        <v>0</v>
      </c>
      <c r="I1017">
        <v>81</v>
      </c>
      <c r="J1017">
        <v>49010</v>
      </c>
      <c r="K1017" t="s">
        <v>8675</v>
      </c>
      <c r="L1017" s="1">
        <v>41187</v>
      </c>
      <c r="N1017" t="s">
        <v>6694</v>
      </c>
      <c r="O1017" t="s">
        <v>3507</v>
      </c>
      <c r="P1017" t="s">
        <v>8612</v>
      </c>
      <c r="Q1017" t="s">
        <v>39</v>
      </c>
      <c r="R1017" t="s">
        <v>40</v>
      </c>
      <c r="S1017">
        <v>0</v>
      </c>
      <c r="U1017" t="s">
        <v>41</v>
      </c>
      <c r="V1017" t="s">
        <v>42</v>
      </c>
      <c r="X1017" t="s">
        <v>74</v>
      </c>
      <c r="Y1017" t="b">
        <v>0</v>
      </c>
      <c r="Z1017" t="b">
        <v>0</v>
      </c>
      <c r="AC1017" s="1"/>
      <c r="AF1017">
        <v>0</v>
      </c>
      <c r="AG1017">
        <v>45</v>
      </c>
      <c r="AH1017">
        <v>126</v>
      </c>
      <c r="AI1017" s="2">
        <f>Table__192.168.3.138BEWLPPMetaData[[#This Row],[NetAmount]]-Table__192.168.3.138BEWLPPMetaData[[#This Row],[Paid]]</f>
        <v>49010</v>
      </c>
    </row>
    <row r="1018" spans="1:35" hidden="1">
      <c r="A1018" t="s">
        <v>10393</v>
      </c>
      <c r="B1018" s="1">
        <v>41194</v>
      </c>
      <c r="C1018" s="1">
        <v>41239</v>
      </c>
      <c r="D1018" t="s">
        <v>10394</v>
      </c>
      <c r="E1018">
        <v>19320</v>
      </c>
      <c r="F1018">
        <v>3091</v>
      </c>
      <c r="G1018">
        <v>0</v>
      </c>
      <c r="H1018">
        <v>0</v>
      </c>
      <c r="I1018">
        <v>76</v>
      </c>
      <c r="J1018">
        <v>22411</v>
      </c>
      <c r="K1018" t="s">
        <v>10395</v>
      </c>
      <c r="L1018" s="1">
        <v>41192</v>
      </c>
      <c r="N1018" t="s">
        <v>6694</v>
      </c>
      <c r="O1018" t="s">
        <v>3507</v>
      </c>
      <c r="P1018" t="s">
        <v>361</v>
      </c>
      <c r="Q1018" t="s">
        <v>39</v>
      </c>
      <c r="R1018" t="s">
        <v>40</v>
      </c>
      <c r="S1018">
        <v>0</v>
      </c>
      <c r="U1018" t="s">
        <v>41</v>
      </c>
      <c r="V1018" t="s">
        <v>42</v>
      </c>
      <c r="X1018" t="s">
        <v>74</v>
      </c>
      <c r="Y1018" t="b">
        <v>0</v>
      </c>
      <c r="Z1018" t="b">
        <v>0</v>
      </c>
      <c r="AC1018" s="1"/>
      <c r="AF1018">
        <v>0</v>
      </c>
      <c r="AG1018">
        <v>45</v>
      </c>
      <c r="AH1018">
        <v>121</v>
      </c>
      <c r="AI1018" s="2">
        <f>Table__192.168.3.138BEWLPPMetaData[[#This Row],[NetAmount]]-Table__192.168.3.138BEWLPPMetaData[[#This Row],[Paid]]</f>
        <v>22411</v>
      </c>
    </row>
    <row r="1019" spans="1:35" hidden="1">
      <c r="A1019" t="s">
        <v>10396</v>
      </c>
      <c r="B1019" s="1">
        <v>41195</v>
      </c>
      <c r="C1019" s="1">
        <v>41240</v>
      </c>
      <c r="D1019" t="s">
        <v>8570</v>
      </c>
      <c r="E1019">
        <v>107520</v>
      </c>
      <c r="F1019">
        <v>17203</v>
      </c>
      <c r="G1019">
        <v>0</v>
      </c>
      <c r="H1019">
        <v>0</v>
      </c>
      <c r="I1019">
        <v>77</v>
      </c>
      <c r="J1019">
        <v>124723</v>
      </c>
      <c r="K1019" t="s">
        <v>899</v>
      </c>
      <c r="L1019" s="1">
        <v>41191</v>
      </c>
      <c r="N1019" t="s">
        <v>6694</v>
      </c>
      <c r="O1019" t="s">
        <v>3507</v>
      </c>
      <c r="P1019" t="s">
        <v>8571</v>
      </c>
      <c r="Q1019" t="s">
        <v>39</v>
      </c>
      <c r="R1019" t="s">
        <v>40</v>
      </c>
      <c r="S1019">
        <v>0</v>
      </c>
      <c r="U1019" t="s">
        <v>41</v>
      </c>
      <c r="V1019" t="s">
        <v>42</v>
      </c>
      <c r="X1019" t="s">
        <v>74</v>
      </c>
      <c r="Y1019" t="b">
        <v>0</v>
      </c>
      <c r="Z1019" t="b">
        <v>0</v>
      </c>
      <c r="AC1019" s="1"/>
      <c r="AF1019">
        <v>0</v>
      </c>
      <c r="AG1019">
        <v>45</v>
      </c>
      <c r="AH1019">
        <v>122</v>
      </c>
      <c r="AI1019" s="2">
        <f>Table__192.168.3.138BEWLPPMetaData[[#This Row],[NetAmount]]-Table__192.168.3.138BEWLPPMetaData[[#This Row],[Paid]]</f>
        <v>124723</v>
      </c>
    </row>
    <row r="1020" spans="1:35" hidden="1">
      <c r="A1020" t="s">
        <v>10397</v>
      </c>
      <c r="B1020" s="1">
        <v>41190</v>
      </c>
      <c r="C1020" s="1">
        <v>41235</v>
      </c>
      <c r="D1020" t="s">
        <v>8570</v>
      </c>
      <c r="E1020">
        <v>42000</v>
      </c>
      <c r="F1020">
        <v>6720</v>
      </c>
      <c r="G1020">
        <v>0</v>
      </c>
      <c r="H1020">
        <v>0</v>
      </c>
      <c r="I1020">
        <v>81</v>
      </c>
      <c r="J1020">
        <v>48720</v>
      </c>
      <c r="K1020" t="s">
        <v>8705</v>
      </c>
      <c r="L1020" s="1">
        <v>41187</v>
      </c>
      <c r="N1020" t="s">
        <v>6694</v>
      </c>
      <c r="O1020" t="s">
        <v>3507</v>
      </c>
      <c r="P1020" t="s">
        <v>8571</v>
      </c>
      <c r="Q1020" t="s">
        <v>39</v>
      </c>
      <c r="R1020" t="s">
        <v>40</v>
      </c>
      <c r="S1020">
        <v>0</v>
      </c>
      <c r="U1020" t="s">
        <v>41</v>
      </c>
      <c r="V1020" t="s">
        <v>42</v>
      </c>
      <c r="X1020" t="s">
        <v>74</v>
      </c>
      <c r="Y1020" t="b">
        <v>0</v>
      </c>
      <c r="Z1020" t="b">
        <v>0</v>
      </c>
      <c r="AC1020" s="1"/>
      <c r="AF1020">
        <v>0</v>
      </c>
      <c r="AG1020">
        <v>45</v>
      </c>
      <c r="AH1020">
        <v>126</v>
      </c>
      <c r="AI1020" s="2">
        <f>Table__192.168.3.138BEWLPPMetaData[[#This Row],[NetAmount]]-Table__192.168.3.138BEWLPPMetaData[[#This Row],[Paid]]</f>
        <v>48720</v>
      </c>
    </row>
    <row r="1021" spans="1:35" hidden="1">
      <c r="A1021" t="s">
        <v>10398</v>
      </c>
      <c r="B1021" s="1">
        <v>41199</v>
      </c>
      <c r="C1021" s="1">
        <v>41244</v>
      </c>
      <c r="D1021" t="s">
        <v>8570</v>
      </c>
      <c r="E1021">
        <v>70000</v>
      </c>
      <c r="F1021">
        <v>11200</v>
      </c>
      <c r="G1021">
        <v>0</v>
      </c>
      <c r="H1021">
        <v>0</v>
      </c>
      <c r="I1021">
        <v>74</v>
      </c>
      <c r="J1021">
        <v>81200</v>
      </c>
      <c r="K1021" t="s">
        <v>5161</v>
      </c>
      <c r="L1021" s="1">
        <v>41194</v>
      </c>
      <c r="N1021" t="s">
        <v>6694</v>
      </c>
      <c r="O1021" t="s">
        <v>3507</v>
      </c>
      <c r="P1021" t="s">
        <v>8571</v>
      </c>
      <c r="Q1021" t="s">
        <v>39</v>
      </c>
      <c r="R1021" t="s">
        <v>40</v>
      </c>
      <c r="S1021">
        <v>0</v>
      </c>
      <c r="U1021" t="s">
        <v>41</v>
      </c>
      <c r="V1021" t="s">
        <v>42</v>
      </c>
      <c r="X1021" t="s">
        <v>74</v>
      </c>
      <c r="Y1021" t="b">
        <v>0</v>
      </c>
      <c r="Z1021" t="b">
        <v>0</v>
      </c>
      <c r="AC1021" s="1"/>
      <c r="AF1021">
        <v>0</v>
      </c>
      <c r="AG1021">
        <v>45</v>
      </c>
      <c r="AH1021">
        <v>119</v>
      </c>
      <c r="AI1021" s="2">
        <f>Table__192.168.3.138BEWLPPMetaData[[#This Row],[NetAmount]]-Table__192.168.3.138BEWLPPMetaData[[#This Row],[Paid]]</f>
        <v>81200</v>
      </c>
    </row>
    <row r="1022" spans="1:35" hidden="1">
      <c r="A1022" t="s">
        <v>10399</v>
      </c>
      <c r="B1022" s="1">
        <v>41205</v>
      </c>
      <c r="C1022" s="1">
        <v>41250</v>
      </c>
      <c r="D1022" t="s">
        <v>10400</v>
      </c>
      <c r="E1022">
        <v>13600</v>
      </c>
      <c r="F1022">
        <v>0</v>
      </c>
      <c r="G1022">
        <v>0</v>
      </c>
      <c r="H1022">
        <v>0</v>
      </c>
      <c r="I1022">
        <v>70</v>
      </c>
      <c r="J1022">
        <v>13600</v>
      </c>
      <c r="K1022" t="s">
        <v>3083</v>
      </c>
      <c r="L1022" s="1">
        <v>41198</v>
      </c>
      <c r="N1022" t="s">
        <v>6694</v>
      </c>
      <c r="O1022" t="s">
        <v>3507</v>
      </c>
      <c r="P1022" t="s">
        <v>10401</v>
      </c>
      <c r="Q1022" t="s">
        <v>39</v>
      </c>
      <c r="R1022" t="s">
        <v>40</v>
      </c>
      <c r="S1022">
        <v>0</v>
      </c>
      <c r="U1022" t="s">
        <v>41</v>
      </c>
      <c r="V1022" t="s">
        <v>42</v>
      </c>
      <c r="X1022" t="s">
        <v>74</v>
      </c>
      <c r="Y1022" t="b">
        <v>0</v>
      </c>
      <c r="Z1022" t="b">
        <v>0</v>
      </c>
      <c r="AC1022" s="1"/>
      <c r="AF1022">
        <v>0</v>
      </c>
      <c r="AG1022">
        <v>45</v>
      </c>
      <c r="AH1022">
        <v>115</v>
      </c>
      <c r="AI1022" s="2">
        <f>Table__192.168.3.138BEWLPPMetaData[[#This Row],[NetAmount]]-Table__192.168.3.138BEWLPPMetaData[[#This Row],[Paid]]</f>
        <v>13600</v>
      </c>
    </row>
    <row r="1023" spans="1:35" hidden="1">
      <c r="A1023" t="s">
        <v>10402</v>
      </c>
      <c r="B1023" s="1">
        <v>41204</v>
      </c>
      <c r="C1023" s="1">
        <v>41249</v>
      </c>
      <c r="D1023" t="s">
        <v>8611</v>
      </c>
      <c r="E1023">
        <v>41574</v>
      </c>
      <c r="F1023">
        <v>6652</v>
      </c>
      <c r="G1023">
        <v>0</v>
      </c>
      <c r="H1023">
        <v>0</v>
      </c>
      <c r="I1023">
        <v>64</v>
      </c>
      <c r="J1023">
        <v>48226</v>
      </c>
      <c r="K1023" t="s">
        <v>10403</v>
      </c>
      <c r="L1023" s="1">
        <v>41204</v>
      </c>
      <c r="N1023" t="s">
        <v>6694</v>
      </c>
      <c r="O1023" t="s">
        <v>3507</v>
      </c>
      <c r="P1023" t="s">
        <v>8612</v>
      </c>
      <c r="Q1023" t="s">
        <v>39</v>
      </c>
      <c r="R1023" t="s">
        <v>40</v>
      </c>
      <c r="S1023">
        <v>0</v>
      </c>
      <c r="U1023" t="s">
        <v>41</v>
      </c>
      <c r="V1023" t="s">
        <v>42</v>
      </c>
      <c r="X1023" t="s">
        <v>74</v>
      </c>
      <c r="Y1023" t="b">
        <v>0</v>
      </c>
      <c r="Z1023" t="b">
        <v>0</v>
      </c>
      <c r="AC1023" s="1"/>
      <c r="AF1023">
        <v>0</v>
      </c>
      <c r="AG1023">
        <v>45</v>
      </c>
      <c r="AH1023">
        <v>109</v>
      </c>
      <c r="AI1023" s="2">
        <f>Table__192.168.3.138BEWLPPMetaData[[#This Row],[NetAmount]]-Table__192.168.3.138BEWLPPMetaData[[#This Row],[Paid]]</f>
        <v>48226</v>
      </c>
    </row>
    <row r="1024" spans="1:35" hidden="1">
      <c r="A1024" t="s">
        <v>10404</v>
      </c>
      <c r="B1024" s="1">
        <v>41201</v>
      </c>
      <c r="C1024" s="1">
        <v>41246</v>
      </c>
      <c r="D1024" t="s">
        <v>8611</v>
      </c>
      <c r="E1024">
        <v>31788</v>
      </c>
      <c r="F1024">
        <v>5086</v>
      </c>
      <c r="G1024">
        <v>0</v>
      </c>
      <c r="H1024">
        <v>0</v>
      </c>
      <c r="I1024">
        <v>67</v>
      </c>
      <c r="J1024">
        <v>36874</v>
      </c>
      <c r="K1024" t="s">
        <v>10405</v>
      </c>
      <c r="L1024" s="1">
        <v>41201</v>
      </c>
      <c r="N1024" t="s">
        <v>6694</v>
      </c>
      <c r="O1024" t="s">
        <v>3507</v>
      </c>
      <c r="P1024" t="s">
        <v>8612</v>
      </c>
      <c r="Q1024" t="s">
        <v>39</v>
      </c>
      <c r="R1024" t="s">
        <v>40</v>
      </c>
      <c r="S1024">
        <v>0</v>
      </c>
      <c r="U1024" t="s">
        <v>41</v>
      </c>
      <c r="V1024" t="s">
        <v>42</v>
      </c>
      <c r="X1024" t="s">
        <v>74</v>
      </c>
      <c r="Y1024" t="b">
        <v>0</v>
      </c>
      <c r="Z1024" t="b">
        <v>0</v>
      </c>
      <c r="AC1024" s="1"/>
      <c r="AF1024">
        <v>0</v>
      </c>
      <c r="AG1024">
        <v>45</v>
      </c>
      <c r="AH1024">
        <v>112</v>
      </c>
      <c r="AI1024" s="2">
        <f>Table__192.168.3.138BEWLPPMetaData[[#This Row],[NetAmount]]-Table__192.168.3.138BEWLPPMetaData[[#This Row],[Paid]]</f>
        <v>36874</v>
      </c>
    </row>
    <row r="1025" spans="1:35" hidden="1">
      <c r="A1025" t="s">
        <v>10406</v>
      </c>
      <c r="B1025" s="1">
        <v>41201</v>
      </c>
      <c r="C1025" s="1">
        <v>41246</v>
      </c>
      <c r="D1025" t="s">
        <v>8611</v>
      </c>
      <c r="E1025">
        <v>33208</v>
      </c>
      <c r="F1025">
        <v>5313</v>
      </c>
      <c r="G1025">
        <v>0</v>
      </c>
      <c r="H1025">
        <v>0</v>
      </c>
      <c r="I1025">
        <v>67</v>
      </c>
      <c r="J1025">
        <v>38521</v>
      </c>
      <c r="K1025" t="s">
        <v>10407</v>
      </c>
      <c r="L1025" s="1">
        <v>41201</v>
      </c>
      <c r="N1025" t="s">
        <v>6694</v>
      </c>
      <c r="O1025" t="s">
        <v>3507</v>
      </c>
      <c r="P1025" t="s">
        <v>8612</v>
      </c>
      <c r="Q1025" t="s">
        <v>39</v>
      </c>
      <c r="R1025" t="s">
        <v>40</v>
      </c>
      <c r="S1025">
        <v>0</v>
      </c>
      <c r="U1025" t="s">
        <v>41</v>
      </c>
      <c r="V1025" t="s">
        <v>42</v>
      </c>
      <c r="X1025" t="s">
        <v>74</v>
      </c>
      <c r="Y1025" t="b">
        <v>0</v>
      </c>
      <c r="Z1025" t="b">
        <v>0</v>
      </c>
      <c r="AC1025" s="1"/>
      <c r="AF1025">
        <v>0</v>
      </c>
      <c r="AG1025">
        <v>45</v>
      </c>
      <c r="AH1025">
        <v>112</v>
      </c>
      <c r="AI1025" s="2">
        <f>Table__192.168.3.138BEWLPPMetaData[[#This Row],[NetAmount]]-Table__192.168.3.138BEWLPPMetaData[[#This Row],[Paid]]</f>
        <v>38521</v>
      </c>
    </row>
    <row r="1026" spans="1:35" hidden="1">
      <c r="A1026" t="s">
        <v>10408</v>
      </c>
      <c r="B1026" s="1">
        <v>41188</v>
      </c>
      <c r="C1026" s="1">
        <v>41233</v>
      </c>
      <c r="D1026" t="s">
        <v>8598</v>
      </c>
      <c r="E1026">
        <v>56440</v>
      </c>
      <c r="F1026">
        <v>9030</v>
      </c>
      <c r="G1026">
        <v>0</v>
      </c>
      <c r="H1026">
        <v>0</v>
      </c>
      <c r="I1026">
        <v>80</v>
      </c>
      <c r="J1026">
        <v>65470</v>
      </c>
      <c r="K1026" t="s">
        <v>10409</v>
      </c>
      <c r="L1026" s="1">
        <v>41188</v>
      </c>
      <c r="M1026" t="s">
        <v>10410</v>
      </c>
      <c r="N1026" t="s">
        <v>6694</v>
      </c>
      <c r="O1026" t="s">
        <v>3507</v>
      </c>
      <c r="P1026" t="s">
        <v>369</v>
      </c>
      <c r="Q1026" t="s">
        <v>39</v>
      </c>
      <c r="R1026" t="s">
        <v>40</v>
      </c>
      <c r="S1026">
        <v>0</v>
      </c>
      <c r="U1026" t="s">
        <v>41</v>
      </c>
      <c r="V1026" t="s">
        <v>42</v>
      </c>
      <c r="W1026" t="s">
        <v>8607</v>
      </c>
      <c r="X1026" t="s">
        <v>74</v>
      </c>
      <c r="Y1026" t="b">
        <v>0</v>
      </c>
      <c r="Z1026" t="b">
        <v>0</v>
      </c>
      <c r="AA1026" t="b">
        <v>0</v>
      </c>
      <c r="AC1026" s="1"/>
      <c r="AF1026">
        <v>0</v>
      </c>
      <c r="AG1026">
        <v>45</v>
      </c>
      <c r="AH1026">
        <v>125</v>
      </c>
      <c r="AI1026" s="2">
        <f>Table__192.168.3.138BEWLPPMetaData[[#This Row],[NetAmount]]-Table__192.168.3.138BEWLPPMetaData[[#This Row],[Paid]]</f>
        <v>65470</v>
      </c>
    </row>
    <row r="1027" spans="1:35" hidden="1">
      <c r="A1027" t="s">
        <v>10411</v>
      </c>
      <c r="B1027" s="1">
        <v>41205</v>
      </c>
      <c r="C1027" s="1">
        <v>41250</v>
      </c>
      <c r="D1027" t="s">
        <v>8630</v>
      </c>
      <c r="E1027">
        <v>11880</v>
      </c>
      <c r="F1027">
        <v>1901</v>
      </c>
      <c r="G1027">
        <v>0</v>
      </c>
      <c r="H1027">
        <v>0</v>
      </c>
      <c r="I1027">
        <v>63</v>
      </c>
      <c r="J1027">
        <v>13781</v>
      </c>
      <c r="K1027" t="s">
        <v>1322</v>
      </c>
      <c r="L1027" s="1">
        <v>41205</v>
      </c>
      <c r="N1027" t="s">
        <v>6694</v>
      </c>
      <c r="O1027" t="s">
        <v>3507</v>
      </c>
      <c r="P1027" t="s">
        <v>363</v>
      </c>
      <c r="Q1027" t="s">
        <v>39</v>
      </c>
      <c r="R1027" t="s">
        <v>40</v>
      </c>
      <c r="S1027">
        <v>0</v>
      </c>
      <c r="U1027" t="s">
        <v>41</v>
      </c>
      <c r="V1027" t="s">
        <v>42</v>
      </c>
      <c r="X1027" t="s">
        <v>74</v>
      </c>
      <c r="Y1027" t="b">
        <v>0</v>
      </c>
      <c r="Z1027" t="b">
        <v>0</v>
      </c>
      <c r="AC1027" s="1"/>
      <c r="AF1027">
        <v>0</v>
      </c>
      <c r="AG1027">
        <v>45</v>
      </c>
      <c r="AH1027">
        <v>108</v>
      </c>
      <c r="AI1027" s="2">
        <f>Table__192.168.3.138BEWLPPMetaData[[#This Row],[NetAmount]]-Table__192.168.3.138BEWLPPMetaData[[#This Row],[Paid]]</f>
        <v>13781</v>
      </c>
    </row>
    <row r="1028" spans="1:35" hidden="1">
      <c r="A1028" t="s">
        <v>10412</v>
      </c>
      <c r="B1028" s="1">
        <v>41213</v>
      </c>
      <c r="C1028" s="1">
        <v>41258</v>
      </c>
      <c r="D1028" t="s">
        <v>8534</v>
      </c>
      <c r="E1028">
        <v>43500</v>
      </c>
      <c r="F1028">
        <v>6960</v>
      </c>
      <c r="G1028">
        <v>0</v>
      </c>
      <c r="H1028">
        <v>0</v>
      </c>
      <c r="I1028">
        <v>55</v>
      </c>
      <c r="J1028">
        <v>50460</v>
      </c>
      <c r="K1028" t="s">
        <v>10413</v>
      </c>
      <c r="L1028" s="1">
        <v>41213</v>
      </c>
      <c r="N1028" t="s">
        <v>6694</v>
      </c>
      <c r="O1028" t="s">
        <v>3507</v>
      </c>
      <c r="P1028" t="s">
        <v>8535</v>
      </c>
      <c r="Q1028" t="s">
        <v>39</v>
      </c>
      <c r="R1028" t="s">
        <v>40</v>
      </c>
      <c r="S1028">
        <v>0</v>
      </c>
      <c r="U1028" t="s">
        <v>41</v>
      </c>
      <c r="V1028" t="s">
        <v>42</v>
      </c>
      <c r="X1028" t="s">
        <v>74</v>
      </c>
      <c r="Y1028" t="b">
        <v>0</v>
      </c>
      <c r="Z1028" t="b">
        <v>0</v>
      </c>
      <c r="AC1028" s="1"/>
      <c r="AF1028">
        <v>0</v>
      </c>
      <c r="AG1028">
        <v>45</v>
      </c>
      <c r="AH1028">
        <v>100</v>
      </c>
      <c r="AI1028" s="2">
        <f>Table__192.168.3.138BEWLPPMetaData[[#This Row],[NetAmount]]-Table__192.168.3.138BEWLPPMetaData[[#This Row],[Paid]]</f>
        <v>50460</v>
      </c>
    </row>
    <row r="1029" spans="1:35" hidden="1">
      <c r="A1029" t="s">
        <v>10414</v>
      </c>
      <c r="B1029" s="1">
        <v>41191</v>
      </c>
      <c r="C1029" s="1">
        <v>41236</v>
      </c>
      <c r="D1029" t="s">
        <v>8527</v>
      </c>
      <c r="E1029">
        <v>58500</v>
      </c>
      <c r="F1029">
        <v>9360</v>
      </c>
      <c r="G1029">
        <v>0</v>
      </c>
      <c r="H1029">
        <v>0</v>
      </c>
      <c r="I1029">
        <v>77</v>
      </c>
      <c r="J1029">
        <v>67860</v>
      </c>
      <c r="K1029" t="s">
        <v>10415</v>
      </c>
      <c r="L1029" s="1">
        <v>41191</v>
      </c>
      <c r="N1029" t="s">
        <v>6694</v>
      </c>
      <c r="O1029" t="s">
        <v>3507</v>
      </c>
      <c r="P1029" t="s">
        <v>8528</v>
      </c>
      <c r="Q1029" t="s">
        <v>39</v>
      </c>
      <c r="R1029" t="s">
        <v>40</v>
      </c>
      <c r="S1029">
        <v>0</v>
      </c>
      <c r="U1029" t="s">
        <v>41</v>
      </c>
      <c r="V1029" t="s">
        <v>42</v>
      </c>
      <c r="X1029" t="s">
        <v>74</v>
      </c>
      <c r="Y1029" t="b">
        <v>0</v>
      </c>
      <c r="Z1029" t="b">
        <v>0</v>
      </c>
      <c r="AC1029" s="1"/>
      <c r="AF1029">
        <v>0</v>
      </c>
      <c r="AG1029">
        <v>45</v>
      </c>
      <c r="AH1029">
        <v>122</v>
      </c>
      <c r="AI1029" s="2">
        <f>Table__192.168.3.138BEWLPPMetaData[[#This Row],[NetAmount]]-Table__192.168.3.138BEWLPPMetaData[[#This Row],[Paid]]</f>
        <v>67860</v>
      </c>
    </row>
    <row r="1030" spans="1:35" hidden="1">
      <c r="A1030" t="s">
        <v>10416</v>
      </c>
      <c r="B1030" s="1">
        <v>41213</v>
      </c>
      <c r="C1030" s="1">
        <v>41258</v>
      </c>
      <c r="D1030" t="s">
        <v>8524</v>
      </c>
      <c r="E1030">
        <v>7800</v>
      </c>
      <c r="F1030">
        <v>1248</v>
      </c>
      <c r="G1030">
        <v>0</v>
      </c>
      <c r="H1030">
        <v>0</v>
      </c>
      <c r="I1030">
        <v>63</v>
      </c>
      <c r="J1030">
        <v>9048</v>
      </c>
      <c r="K1030" t="s">
        <v>1984</v>
      </c>
      <c r="L1030" s="1">
        <v>41205</v>
      </c>
      <c r="N1030" t="s">
        <v>6694</v>
      </c>
      <c r="O1030" t="s">
        <v>3507</v>
      </c>
      <c r="P1030" t="s">
        <v>8525</v>
      </c>
      <c r="Q1030" t="s">
        <v>39</v>
      </c>
      <c r="R1030" t="s">
        <v>40</v>
      </c>
      <c r="S1030">
        <v>0</v>
      </c>
      <c r="U1030" t="s">
        <v>41</v>
      </c>
      <c r="V1030" t="s">
        <v>42</v>
      </c>
      <c r="X1030" t="s">
        <v>74</v>
      </c>
      <c r="Y1030" t="b">
        <v>0</v>
      </c>
      <c r="Z1030" t="b">
        <v>0</v>
      </c>
      <c r="AC1030" s="1"/>
      <c r="AF1030">
        <v>0</v>
      </c>
      <c r="AG1030">
        <v>45</v>
      </c>
      <c r="AH1030">
        <v>108</v>
      </c>
      <c r="AI1030" s="2">
        <f>Table__192.168.3.138BEWLPPMetaData[[#This Row],[NetAmount]]-Table__192.168.3.138BEWLPPMetaData[[#This Row],[Paid]]</f>
        <v>9048</v>
      </c>
    </row>
    <row r="1031" spans="1:35" hidden="1">
      <c r="A1031" t="s">
        <v>10417</v>
      </c>
      <c r="B1031" s="1">
        <v>41213</v>
      </c>
      <c r="C1031" s="1">
        <v>41258</v>
      </c>
      <c r="D1031" t="s">
        <v>8524</v>
      </c>
      <c r="E1031">
        <v>27086</v>
      </c>
      <c r="F1031">
        <v>4334</v>
      </c>
      <c r="G1031">
        <v>0</v>
      </c>
      <c r="H1031">
        <v>0</v>
      </c>
      <c r="I1031">
        <v>63</v>
      </c>
      <c r="J1031">
        <v>31420</v>
      </c>
      <c r="K1031" t="s">
        <v>10418</v>
      </c>
      <c r="L1031" s="1">
        <v>41205</v>
      </c>
      <c r="N1031" t="s">
        <v>6694</v>
      </c>
      <c r="O1031" t="s">
        <v>3507</v>
      </c>
      <c r="P1031" t="s">
        <v>8525</v>
      </c>
      <c r="Q1031" t="s">
        <v>39</v>
      </c>
      <c r="R1031" t="s">
        <v>40</v>
      </c>
      <c r="S1031">
        <v>0</v>
      </c>
      <c r="U1031" t="s">
        <v>41</v>
      </c>
      <c r="V1031" t="s">
        <v>42</v>
      </c>
      <c r="X1031" t="s">
        <v>74</v>
      </c>
      <c r="Y1031" t="b">
        <v>0</v>
      </c>
      <c r="Z1031" t="b">
        <v>0</v>
      </c>
      <c r="AC1031" s="1"/>
      <c r="AF1031">
        <v>0</v>
      </c>
      <c r="AG1031">
        <v>45</v>
      </c>
      <c r="AH1031">
        <v>108</v>
      </c>
      <c r="AI1031" s="2">
        <f>Table__192.168.3.138BEWLPPMetaData[[#This Row],[NetAmount]]-Table__192.168.3.138BEWLPPMetaData[[#This Row],[Paid]]</f>
        <v>31420</v>
      </c>
    </row>
    <row r="1032" spans="1:35" hidden="1">
      <c r="A1032" t="s">
        <v>10419</v>
      </c>
      <c r="B1032" s="1">
        <v>41213</v>
      </c>
      <c r="C1032" s="1">
        <v>41258</v>
      </c>
      <c r="D1032" t="s">
        <v>8570</v>
      </c>
      <c r="E1032">
        <v>321160</v>
      </c>
      <c r="F1032">
        <v>51386</v>
      </c>
      <c r="G1032">
        <v>0</v>
      </c>
      <c r="H1032">
        <v>0</v>
      </c>
      <c r="I1032">
        <v>66</v>
      </c>
      <c r="J1032">
        <v>372546</v>
      </c>
      <c r="K1032" t="s">
        <v>10420</v>
      </c>
      <c r="L1032" s="1">
        <v>41202</v>
      </c>
      <c r="N1032" t="s">
        <v>6694</v>
      </c>
      <c r="O1032" t="s">
        <v>3507</v>
      </c>
      <c r="P1032" t="s">
        <v>8571</v>
      </c>
      <c r="Q1032" t="s">
        <v>39</v>
      </c>
      <c r="R1032" t="s">
        <v>40</v>
      </c>
      <c r="S1032">
        <v>0</v>
      </c>
      <c r="U1032" t="s">
        <v>41</v>
      </c>
      <c r="V1032" t="s">
        <v>42</v>
      </c>
      <c r="X1032" t="s">
        <v>74</v>
      </c>
      <c r="Y1032" t="b">
        <v>0</v>
      </c>
      <c r="Z1032" t="b">
        <v>0</v>
      </c>
      <c r="AC1032" s="1"/>
      <c r="AF1032">
        <v>0</v>
      </c>
      <c r="AG1032">
        <v>45</v>
      </c>
      <c r="AH1032">
        <v>111</v>
      </c>
      <c r="AI1032" s="2">
        <f>Table__192.168.3.138BEWLPPMetaData[[#This Row],[NetAmount]]-Table__192.168.3.138BEWLPPMetaData[[#This Row],[Paid]]</f>
        <v>372546</v>
      </c>
    </row>
    <row r="1033" spans="1:35" hidden="1">
      <c r="A1033" t="s">
        <v>10421</v>
      </c>
      <c r="B1033" s="1">
        <v>41176</v>
      </c>
      <c r="C1033" s="1">
        <v>41221</v>
      </c>
      <c r="D1033" t="s">
        <v>5469</v>
      </c>
      <c r="E1033">
        <v>34000</v>
      </c>
      <c r="F1033">
        <v>5440</v>
      </c>
      <c r="G1033">
        <v>0</v>
      </c>
      <c r="H1033">
        <v>0</v>
      </c>
      <c r="I1033">
        <v>62</v>
      </c>
      <c r="J1033">
        <v>39440</v>
      </c>
      <c r="K1033" t="s">
        <v>9465</v>
      </c>
      <c r="L1033" s="1">
        <v>41206</v>
      </c>
      <c r="N1033" t="s">
        <v>6694</v>
      </c>
      <c r="O1033" t="s">
        <v>3507</v>
      </c>
      <c r="P1033" t="s">
        <v>368</v>
      </c>
      <c r="Q1033" t="s">
        <v>39</v>
      </c>
      <c r="R1033" t="s">
        <v>40</v>
      </c>
      <c r="S1033">
        <v>0</v>
      </c>
      <c r="U1033" t="s">
        <v>41</v>
      </c>
      <c r="V1033" t="s">
        <v>42</v>
      </c>
      <c r="X1033" t="s">
        <v>74</v>
      </c>
      <c r="Y1033" t="b">
        <v>0</v>
      </c>
      <c r="Z1033" t="b">
        <v>0</v>
      </c>
      <c r="AC1033" s="1"/>
      <c r="AF1033">
        <v>0</v>
      </c>
      <c r="AG1033">
        <v>45</v>
      </c>
      <c r="AH1033">
        <v>107</v>
      </c>
      <c r="AI1033" s="2">
        <f>Table__192.168.3.138BEWLPPMetaData[[#This Row],[NetAmount]]-Table__192.168.3.138BEWLPPMetaData[[#This Row],[Paid]]</f>
        <v>39440</v>
      </c>
    </row>
    <row r="1034" spans="1:35" hidden="1">
      <c r="A1034" t="s">
        <v>10422</v>
      </c>
      <c r="B1034" s="1">
        <v>41213</v>
      </c>
      <c r="C1034" s="1">
        <v>41258</v>
      </c>
      <c r="D1034" t="s">
        <v>8563</v>
      </c>
      <c r="E1034">
        <v>330000</v>
      </c>
      <c r="F1034">
        <v>52800</v>
      </c>
      <c r="G1034">
        <v>0</v>
      </c>
      <c r="H1034">
        <v>0</v>
      </c>
      <c r="I1034">
        <v>63</v>
      </c>
      <c r="J1034">
        <v>382800</v>
      </c>
      <c r="K1034" t="s">
        <v>3031</v>
      </c>
      <c r="L1034" s="1">
        <v>41205</v>
      </c>
      <c r="N1034" t="s">
        <v>6694</v>
      </c>
      <c r="O1034" t="s">
        <v>3507</v>
      </c>
      <c r="P1034" t="s">
        <v>409</v>
      </c>
      <c r="Q1034" t="s">
        <v>39</v>
      </c>
      <c r="R1034" t="s">
        <v>40</v>
      </c>
      <c r="S1034">
        <v>0</v>
      </c>
      <c r="U1034" t="s">
        <v>41</v>
      </c>
      <c r="V1034" t="s">
        <v>42</v>
      </c>
      <c r="X1034" t="s">
        <v>74</v>
      </c>
      <c r="Y1034" t="b">
        <v>0</v>
      </c>
      <c r="Z1034" t="b">
        <v>0</v>
      </c>
      <c r="AB1034" t="s">
        <v>8664</v>
      </c>
      <c r="AC1034" s="1">
        <v>41283</v>
      </c>
      <c r="AF1034">
        <v>0</v>
      </c>
      <c r="AG1034">
        <v>45</v>
      </c>
      <c r="AH1034">
        <v>108</v>
      </c>
      <c r="AI1034" s="2">
        <f>Table__192.168.3.138BEWLPPMetaData[[#This Row],[NetAmount]]-Table__192.168.3.138BEWLPPMetaData[[#This Row],[Paid]]</f>
        <v>382800</v>
      </c>
    </row>
    <row r="1035" spans="1:35" hidden="1">
      <c r="A1035" t="s">
        <v>10423</v>
      </c>
      <c r="B1035" s="1">
        <v>41213</v>
      </c>
      <c r="C1035" s="1">
        <v>41258</v>
      </c>
      <c r="D1035" t="s">
        <v>9908</v>
      </c>
      <c r="E1035">
        <v>38850</v>
      </c>
      <c r="F1035">
        <v>6216</v>
      </c>
      <c r="G1035">
        <v>0</v>
      </c>
      <c r="H1035">
        <v>0</v>
      </c>
      <c r="I1035">
        <v>61</v>
      </c>
      <c r="J1035">
        <v>45066</v>
      </c>
      <c r="K1035" t="s">
        <v>7493</v>
      </c>
      <c r="L1035" s="1">
        <v>41207</v>
      </c>
      <c r="M1035" t="s">
        <v>10424</v>
      </c>
      <c r="N1035" t="s">
        <v>6694</v>
      </c>
      <c r="O1035" t="s">
        <v>3507</v>
      </c>
      <c r="P1035" t="s">
        <v>426</v>
      </c>
      <c r="Q1035" t="s">
        <v>39</v>
      </c>
      <c r="R1035" t="s">
        <v>40</v>
      </c>
      <c r="S1035">
        <v>0</v>
      </c>
      <c r="U1035" t="s">
        <v>41</v>
      </c>
      <c r="V1035" t="s">
        <v>42</v>
      </c>
      <c r="W1035" t="s">
        <v>10425</v>
      </c>
      <c r="X1035" t="s">
        <v>74</v>
      </c>
      <c r="Y1035" t="b">
        <v>0</v>
      </c>
      <c r="Z1035" t="b">
        <v>0</v>
      </c>
      <c r="AA1035" t="b">
        <v>0</v>
      </c>
      <c r="AC1035" s="1"/>
      <c r="AF1035">
        <v>0</v>
      </c>
      <c r="AG1035">
        <v>45</v>
      </c>
      <c r="AH1035">
        <v>106</v>
      </c>
      <c r="AI1035" s="2">
        <f>Table__192.168.3.138BEWLPPMetaData[[#This Row],[NetAmount]]-Table__192.168.3.138BEWLPPMetaData[[#This Row],[Paid]]</f>
        <v>45066</v>
      </c>
    </row>
    <row r="1036" spans="1:35" hidden="1">
      <c r="A1036" t="s">
        <v>10426</v>
      </c>
      <c r="B1036" s="1">
        <v>41192</v>
      </c>
      <c r="C1036" s="1">
        <v>41192</v>
      </c>
      <c r="D1036" t="s">
        <v>9627</v>
      </c>
      <c r="E1036">
        <v>8400</v>
      </c>
      <c r="F1036">
        <v>1344</v>
      </c>
      <c r="G1036">
        <v>0</v>
      </c>
      <c r="H1036">
        <v>0</v>
      </c>
      <c r="I1036">
        <v>0</v>
      </c>
      <c r="J1036">
        <v>9744</v>
      </c>
      <c r="K1036" t="s">
        <v>10427</v>
      </c>
      <c r="L1036" s="1">
        <v>41192</v>
      </c>
      <c r="N1036" t="s">
        <v>6694</v>
      </c>
      <c r="O1036" t="s">
        <v>3507</v>
      </c>
      <c r="P1036" t="s">
        <v>9630</v>
      </c>
      <c r="Q1036" t="s">
        <v>39</v>
      </c>
      <c r="R1036" t="s">
        <v>40</v>
      </c>
      <c r="S1036">
        <v>0</v>
      </c>
      <c r="U1036" t="s">
        <v>41</v>
      </c>
      <c r="V1036" t="s">
        <v>42</v>
      </c>
      <c r="X1036" t="s">
        <v>74</v>
      </c>
      <c r="Y1036" t="b">
        <v>0</v>
      </c>
      <c r="Z1036" t="b">
        <v>0</v>
      </c>
      <c r="AC1036" s="1"/>
      <c r="AF1036">
        <v>0</v>
      </c>
      <c r="AH1036">
        <v>121</v>
      </c>
      <c r="AI1036" s="2">
        <f>Table__192.168.3.138BEWLPPMetaData[[#This Row],[NetAmount]]-Table__192.168.3.138BEWLPPMetaData[[#This Row],[Paid]]</f>
        <v>9744</v>
      </c>
    </row>
    <row r="1037" spans="1:35" hidden="1">
      <c r="A1037" t="s">
        <v>10428</v>
      </c>
      <c r="B1037" s="1">
        <v>41213</v>
      </c>
      <c r="C1037" s="1">
        <v>41258</v>
      </c>
      <c r="D1037" t="s">
        <v>8611</v>
      </c>
      <c r="E1037">
        <v>47489</v>
      </c>
      <c r="F1037">
        <v>7598</v>
      </c>
      <c r="G1037">
        <v>0</v>
      </c>
      <c r="H1037">
        <v>0</v>
      </c>
      <c r="I1037">
        <v>55</v>
      </c>
      <c r="J1037">
        <v>55087</v>
      </c>
      <c r="K1037" t="s">
        <v>10429</v>
      </c>
      <c r="L1037" s="1">
        <v>41213</v>
      </c>
      <c r="N1037" t="s">
        <v>6694</v>
      </c>
      <c r="O1037" t="s">
        <v>3507</v>
      </c>
      <c r="P1037" t="s">
        <v>8612</v>
      </c>
      <c r="Q1037" t="s">
        <v>39</v>
      </c>
      <c r="R1037" t="s">
        <v>40</v>
      </c>
      <c r="S1037">
        <v>0</v>
      </c>
      <c r="U1037" t="s">
        <v>41</v>
      </c>
      <c r="V1037" t="s">
        <v>42</v>
      </c>
      <c r="X1037" t="s">
        <v>74</v>
      </c>
      <c r="Y1037" t="b">
        <v>0</v>
      </c>
      <c r="Z1037" t="b">
        <v>0</v>
      </c>
      <c r="AC1037" s="1"/>
      <c r="AF1037">
        <v>0</v>
      </c>
      <c r="AG1037">
        <v>45</v>
      </c>
      <c r="AH1037">
        <v>100</v>
      </c>
      <c r="AI1037" s="2">
        <f>Table__192.168.3.138BEWLPPMetaData[[#This Row],[NetAmount]]-Table__192.168.3.138BEWLPPMetaData[[#This Row],[Paid]]</f>
        <v>55087</v>
      </c>
    </row>
    <row r="1038" spans="1:35" hidden="1">
      <c r="A1038" t="s">
        <v>10430</v>
      </c>
      <c r="B1038" s="1">
        <v>41202</v>
      </c>
      <c r="C1038" s="1">
        <v>41247</v>
      </c>
      <c r="D1038" t="s">
        <v>5469</v>
      </c>
      <c r="E1038">
        <v>27200</v>
      </c>
      <c r="F1038">
        <v>4352</v>
      </c>
      <c r="G1038">
        <v>0</v>
      </c>
      <c r="H1038">
        <v>0</v>
      </c>
      <c r="I1038">
        <v>66</v>
      </c>
      <c r="J1038">
        <v>31552</v>
      </c>
      <c r="K1038" t="s">
        <v>4001</v>
      </c>
      <c r="L1038" s="1">
        <v>41202</v>
      </c>
      <c r="N1038" t="s">
        <v>6694</v>
      </c>
      <c r="O1038" t="s">
        <v>3507</v>
      </c>
      <c r="P1038" t="s">
        <v>368</v>
      </c>
      <c r="Q1038" t="s">
        <v>39</v>
      </c>
      <c r="R1038" t="s">
        <v>40</v>
      </c>
      <c r="S1038">
        <v>0</v>
      </c>
      <c r="U1038" t="s">
        <v>41</v>
      </c>
      <c r="V1038" t="s">
        <v>42</v>
      </c>
      <c r="X1038" t="s">
        <v>74</v>
      </c>
      <c r="Y1038" t="b">
        <v>0</v>
      </c>
      <c r="Z1038" t="b">
        <v>0</v>
      </c>
      <c r="AC1038" s="1"/>
      <c r="AF1038">
        <v>0</v>
      </c>
      <c r="AG1038">
        <v>45</v>
      </c>
      <c r="AH1038">
        <v>111</v>
      </c>
      <c r="AI1038" s="2">
        <f>Table__192.168.3.138BEWLPPMetaData[[#This Row],[NetAmount]]-Table__192.168.3.138BEWLPPMetaData[[#This Row],[Paid]]</f>
        <v>31552</v>
      </c>
    </row>
    <row r="1039" spans="1:35" hidden="1">
      <c r="A1039" t="s">
        <v>10431</v>
      </c>
      <c r="B1039" s="1">
        <v>41186</v>
      </c>
      <c r="C1039" s="1">
        <v>41231</v>
      </c>
      <c r="D1039" t="s">
        <v>5469</v>
      </c>
      <c r="E1039">
        <v>54400</v>
      </c>
      <c r="F1039">
        <v>8704</v>
      </c>
      <c r="G1039">
        <v>0</v>
      </c>
      <c r="H1039">
        <v>0</v>
      </c>
      <c r="I1039">
        <v>83</v>
      </c>
      <c r="J1039">
        <v>63104</v>
      </c>
      <c r="K1039" t="s">
        <v>9845</v>
      </c>
      <c r="L1039" s="1">
        <v>41185</v>
      </c>
      <c r="N1039" t="s">
        <v>6694</v>
      </c>
      <c r="O1039" t="s">
        <v>3507</v>
      </c>
      <c r="P1039" t="s">
        <v>368</v>
      </c>
      <c r="Q1039" t="s">
        <v>39</v>
      </c>
      <c r="R1039" t="s">
        <v>40</v>
      </c>
      <c r="S1039">
        <v>0</v>
      </c>
      <c r="U1039" t="s">
        <v>41</v>
      </c>
      <c r="V1039" t="s">
        <v>42</v>
      </c>
      <c r="X1039" t="s">
        <v>74</v>
      </c>
      <c r="Y1039" t="b">
        <v>0</v>
      </c>
      <c r="Z1039" t="b">
        <v>0</v>
      </c>
      <c r="AC1039" s="1"/>
      <c r="AF1039">
        <v>0</v>
      </c>
      <c r="AG1039">
        <v>45</v>
      </c>
      <c r="AH1039">
        <v>128</v>
      </c>
      <c r="AI1039" s="2">
        <f>Table__192.168.3.138BEWLPPMetaData[[#This Row],[NetAmount]]-Table__192.168.3.138BEWLPPMetaData[[#This Row],[Paid]]</f>
        <v>63104</v>
      </c>
    </row>
    <row r="1040" spans="1:35" hidden="1">
      <c r="A1040" t="s">
        <v>10432</v>
      </c>
      <c r="B1040" s="1">
        <v>41199</v>
      </c>
      <c r="C1040" s="1">
        <v>41244</v>
      </c>
      <c r="D1040" t="s">
        <v>8524</v>
      </c>
      <c r="E1040">
        <v>172368</v>
      </c>
      <c r="F1040">
        <v>27579</v>
      </c>
      <c r="G1040">
        <v>0</v>
      </c>
      <c r="H1040">
        <v>0</v>
      </c>
      <c r="I1040">
        <v>75</v>
      </c>
      <c r="J1040">
        <v>199947</v>
      </c>
      <c r="K1040" t="s">
        <v>1895</v>
      </c>
      <c r="L1040" s="1">
        <v>41193</v>
      </c>
      <c r="N1040" t="s">
        <v>6694</v>
      </c>
      <c r="O1040" t="s">
        <v>3507</v>
      </c>
      <c r="P1040" t="s">
        <v>8525</v>
      </c>
      <c r="Q1040" t="s">
        <v>39</v>
      </c>
      <c r="R1040" t="s">
        <v>40</v>
      </c>
      <c r="S1040">
        <v>0</v>
      </c>
      <c r="U1040" t="s">
        <v>41</v>
      </c>
      <c r="V1040" t="s">
        <v>42</v>
      </c>
      <c r="X1040" t="s">
        <v>74</v>
      </c>
      <c r="Y1040" t="b">
        <v>0</v>
      </c>
      <c r="Z1040" t="b">
        <v>0</v>
      </c>
      <c r="AC1040" s="1"/>
      <c r="AF1040">
        <v>0</v>
      </c>
      <c r="AG1040">
        <v>45</v>
      </c>
      <c r="AH1040">
        <v>120</v>
      </c>
      <c r="AI1040" s="2">
        <f>Table__192.168.3.138BEWLPPMetaData[[#This Row],[NetAmount]]-Table__192.168.3.138BEWLPPMetaData[[#This Row],[Paid]]</f>
        <v>199947</v>
      </c>
    </row>
    <row r="1041" spans="1:35" hidden="1">
      <c r="A1041" t="s">
        <v>10433</v>
      </c>
      <c r="B1041" s="1">
        <v>41195</v>
      </c>
      <c r="C1041" s="1">
        <v>41240</v>
      </c>
      <c r="D1041" t="s">
        <v>8524</v>
      </c>
      <c r="E1041">
        <v>307800</v>
      </c>
      <c r="F1041">
        <v>49248</v>
      </c>
      <c r="G1041">
        <v>0</v>
      </c>
      <c r="H1041">
        <v>0</v>
      </c>
      <c r="I1041">
        <v>76</v>
      </c>
      <c r="J1041">
        <v>357048</v>
      </c>
      <c r="K1041" t="s">
        <v>10434</v>
      </c>
      <c r="L1041" s="1">
        <v>41192</v>
      </c>
      <c r="N1041" t="s">
        <v>6694</v>
      </c>
      <c r="O1041" t="s">
        <v>3507</v>
      </c>
      <c r="P1041" t="s">
        <v>8525</v>
      </c>
      <c r="Q1041" t="s">
        <v>39</v>
      </c>
      <c r="R1041" t="s">
        <v>40</v>
      </c>
      <c r="S1041">
        <v>0</v>
      </c>
      <c r="U1041" t="s">
        <v>41</v>
      </c>
      <c r="V1041" t="s">
        <v>42</v>
      </c>
      <c r="X1041" t="s">
        <v>74</v>
      </c>
      <c r="Y1041" t="b">
        <v>0</v>
      </c>
      <c r="Z1041" t="b">
        <v>0</v>
      </c>
      <c r="AC1041" s="1"/>
      <c r="AF1041">
        <v>0</v>
      </c>
      <c r="AG1041">
        <v>45</v>
      </c>
      <c r="AH1041">
        <v>121</v>
      </c>
      <c r="AI1041" s="2">
        <f>Table__192.168.3.138BEWLPPMetaData[[#This Row],[NetAmount]]-Table__192.168.3.138BEWLPPMetaData[[#This Row],[Paid]]</f>
        <v>357048</v>
      </c>
    </row>
    <row r="1042" spans="1:35" hidden="1">
      <c r="A1042" t="s">
        <v>10435</v>
      </c>
      <c r="B1042" s="1">
        <v>41190</v>
      </c>
      <c r="C1042" s="1">
        <v>41235</v>
      </c>
      <c r="D1042" t="s">
        <v>8524</v>
      </c>
      <c r="E1042">
        <v>49248</v>
      </c>
      <c r="F1042">
        <v>7880</v>
      </c>
      <c r="G1042">
        <v>0</v>
      </c>
      <c r="H1042">
        <v>0</v>
      </c>
      <c r="I1042">
        <v>80</v>
      </c>
      <c r="J1042">
        <v>57128</v>
      </c>
      <c r="K1042" t="s">
        <v>10436</v>
      </c>
      <c r="L1042" s="1">
        <v>41188</v>
      </c>
      <c r="N1042" t="s">
        <v>6694</v>
      </c>
      <c r="O1042" t="s">
        <v>3507</v>
      </c>
      <c r="P1042" t="s">
        <v>8525</v>
      </c>
      <c r="Q1042" t="s">
        <v>39</v>
      </c>
      <c r="R1042" t="s">
        <v>40</v>
      </c>
      <c r="S1042">
        <v>0</v>
      </c>
      <c r="U1042" t="s">
        <v>41</v>
      </c>
      <c r="V1042" t="s">
        <v>42</v>
      </c>
      <c r="X1042" t="s">
        <v>74</v>
      </c>
      <c r="Y1042" t="b">
        <v>0</v>
      </c>
      <c r="Z1042" t="b">
        <v>0</v>
      </c>
      <c r="AC1042" s="1"/>
      <c r="AF1042">
        <v>0</v>
      </c>
      <c r="AG1042">
        <v>45</v>
      </c>
      <c r="AH1042">
        <v>125</v>
      </c>
      <c r="AI1042" s="2">
        <f>Table__192.168.3.138BEWLPPMetaData[[#This Row],[NetAmount]]-Table__192.168.3.138BEWLPPMetaData[[#This Row],[Paid]]</f>
        <v>57128</v>
      </c>
    </row>
    <row r="1043" spans="1:35" hidden="1">
      <c r="A1043" t="s">
        <v>10437</v>
      </c>
      <c r="B1043" s="1">
        <v>41202</v>
      </c>
      <c r="C1043" s="1">
        <v>41247</v>
      </c>
      <c r="D1043" t="s">
        <v>8524</v>
      </c>
      <c r="E1043">
        <v>246240</v>
      </c>
      <c r="F1043">
        <v>39398</v>
      </c>
      <c r="G1043">
        <v>0</v>
      </c>
      <c r="H1043">
        <v>0</v>
      </c>
      <c r="I1043">
        <v>71</v>
      </c>
      <c r="J1043">
        <v>285638</v>
      </c>
      <c r="K1043" t="s">
        <v>10438</v>
      </c>
      <c r="L1043" s="1">
        <v>41197</v>
      </c>
      <c r="N1043" t="s">
        <v>6694</v>
      </c>
      <c r="O1043" t="s">
        <v>3507</v>
      </c>
      <c r="P1043" t="s">
        <v>8525</v>
      </c>
      <c r="Q1043" t="s">
        <v>39</v>
      </c>
      <c r="R1043" t="s">
        <v>40</v>
      </c>
      <c r="S1043">
        <v>0</v>
      </c>
      <c r="U1043" t="s">
        <v>41</v>
      </c>
      <c r="V1043" t="s">
        <v>42</v>
      </c>
      <c r="X1043" t="s">
        <v>74</v>
      </c>
      <c r="Y1043" t="b">
        <v>0</v>
      </c>
      <c r="Z1043" t="b">
        <v>0</v>
      </c>
      <c r="AC1043" s="1"/>
      <c r="AF1043">
        <v>0</v>
      </c>
      <c r="AG1043">
        <v>45</v>
      </c>
      <c r="AH1043">
        <v>116</v>
      </c>
      <c r="AI1043" s="2">
        <f>Table__192.168.3.138BEWLPPMetaData[[#This Row],[NetAmount]]-Table__192.168.3.138BEWLPPMetaData[[#This Row],[Paid]]</f>
        <v>285638</v>
      </c>
    </row>
    <row r="1044" spans="1:35" hidden="1">
      <c r="A1044" t="s">
        <v>10439</v>
      </c>
      <c r="B1044" s="1">
        <v>41201</v>
      </c>
      <c r="C1044" s="1">
        <v>41246</v>
      </c>
      <c r="D1044" t="s">
        <v>8524</v>
      </c>
      <c r="E1044">
        <v>211766</v>
      </c>
      <c r="F1044">
        <v>33883</v>
      </c>
      <c r="G1044">
        <v>0</v>
      </c>
      <c r="H1044">
        <v>0</v>
      </c>
      <c r="I1044">
        <v>73</v>
      </c>
      <c r="J1044">
        <v>245649</v>
      </c>
      <c r="K1044" t="s">
        <v>10440</v>
      </c>
      <c r="L1044" s="1">
        <v>41195</v>
      </c>
      <c r="N1044" t="s">
        <v>6694</v>
      </c>
      <c r="O1044" t="s">
        <v>3507</v>
      </c>
      <c r="P1044" t="s">
        <v>8525</v>
      </c>
      <c r="Q1044" t="s">
        <v>39</v>
      </c>
      <c r="R1044" t="s">
        <v>40</v>
      </c>
      <c r="S1044">
        <v>0</v>
      </c>
      <c r="U1044" t="s">
        <v>41</v>
      </c>
      <c r="V1044" t="s">
        <v>42</v>
      </c>
      <c r="X1044" t="s">
        <v>74</v>
      </c>
      <c r="Y1044" t="b">
        <v>0</v>
      </c>
      <c r="Z1044" t="b">
        <v>0</v>
      </c>
      <c r="AC1044" s="1"/>
      <c r="AF1044">
        <v>0</v>
      </c>
      <c r="AG1044">
        <v>45</v>
      </c>
      <c r="AH1044">
        <v>118</v>
      </c>
      <c r="AI1044" s="2">
        <f>Table__192.168.3.138BEWLPPMetaData[[#This Row],[NetAmount]]-Table__192.168.3.138BEWLPPMetaData[[#This Row],[Paid]]</f>
        <v>245649</v>
      </c>
    </row>
    <row r="1045" spans="1:35" hidden="1">
      <c r="A1045" t="s">
        <v>10441</v>
      </c>
      <c r="B1045" s="1">
        <v>41200</v>
      </c>
      <c r="C1045" s="1">
        <v>41245</v>
      </c>
      <c r="D1045" t="s">
        <v>8527</v>
      </c>
      <c r="E1045">
        <v>136500</v>
      </c>
      <c r="F1045">
        <v>21840</v>
      </c>
      <c r="G1045">
        <v>0</v>
      </c>
      <c r="H1045">
        <v>0</v>
      </c>
      <c r="I1045">
        <v>68</v>
      </c>
      <c r="J1045">
        <v>158340</v>
      </c>
      <c r="K1045" t="s">
        <v>10442</v>
      </c>
      <c r="L1045" s="1">
        <v>41200</v>
      </c>
      <c r="N1045" t="s">
        <v>6694</v>
      </c>
      <c r="O1045" t="s">
        <v>3507</v>
      </c>
      <c r="P1045" t="s">
        <v>8528</v>
      </c>
      <c r="Q1045" t="s">
        <v>39</v>
      </c>
      <c r="R1045" t="s">
        <v>40</v>
      </c>
      <c r="S1045">
        <v>0</v>
      </c>
      <c r="U1045" t="s">
        <v>41</v>
      </c>
      <c r="V1045" t="s">
        <v>42</v>
      </c>
      <c r="X1045" t="s">
        <v>74</v>
      </c>
      <c r="Y1045" t="b">
        <v>0</v>
      </c>
      <c r="Z1045" t="b">
        <v>0</v>
      </c>
      <c r="AC1045" s="1"/>
      <c r="AF1045">
        <v>0</v>
      </c>
      <c r="AG1045">
        <v>45</v>
      </c>
      <c r="AH1045">
        <v>113</v>
      </c>
      <c r="AI1045" s="2">
        <f>Table__192.168.3.138BEWLPPMetaData[[#This Row],[NetAmount]]-Table__192.168.3.138BEWLPPMetaData[[#This Row],[Paid]]</f>
        <v>158340</v>
      </c>
    </row>
    <row r="1046" spans="1:35" hidden="1">
      <c r="A1046" t="s">
        <v>10443</v>
      </c>
      <c r="B1046" s="1">
        <v>41194</v>
      </c>
      <c r="C1046" s="1">
        <v>41239</v>
      </c>
      <c r="D1046" t="s">
        <v>5509</v>
      </c>
      <c r="E1046">
        <v>74333</v>
      </c>
      <c r="F1046">
        <v>11894</v>
      </c>
      <c r="G1046">
        <v>0</v>
      </c>
      <c r="H1046">
        <v>0</v>
      </c>
      <c r="I1046">
        <v>78</v>
      </c>
      <c r="J1046">
        <v>86227</v>
      </c>
      <c r="K1046" t="s">
        <v>10444</v>
      </c>
      <c r="L1046" s="1">
        <v>41190</v>
      </c>
      <c r="N1046" t="s">
        <v>6694</v>
      </c>
      <c r="O1046" t="s">
        <v>3507</v>
      </c>
      <c r="P1046" t="s">
        <v>354</v>
      </c>
      <c r="Q1046" t="s">
        <v>39</v>
      </c>
      <c r="R1046" t="s">
        <v>40</v>
      </c>
      <c r="S1046">
        <v>0</v>
      </c>
      <c r="U1046" t="s">
        <v>41</v>
      </c>
      <c r="V1046" t="s">
        <v>42</v>
      </c>
      <c r="X1046" t="s">
        <v>74</v>
      </c>
      <c r="Y1046" t="b">
        <v>0</v>
      </c>
      <c r="Z1046" t="b">
        <v>0</v>
      </c>
      <c r="AB1046" t="s">
        <v>8654</v>
      </c>
      <c r="AC1046" s="1">
        <v>41296</v>
      </c>
      <c r="AF1046">
        <v>0</v>
      </c>
      <c r="AG1046">
        <v>45</v>
      </c>
      <c r="AH1046">
        <v>123</v>
      </c>
      <c r="AI1046" s="2">
        <f>Table__192.168.3.138BEWLPPMetaData[[#This Row],[NetAmount]]-Table__192.168.3.138BEWLPPMetaData[[#This Row],[Paid]]</f>
        <v>86227</v>
      </c>
    </row>
    <row r="1047" spans="1:35" hidden="1">
      <c r="A1047" t="s">
        <v>10445</v>
      </c>
      <c r="B1047" s="1">
        <v>41182</v>
      </c>
      <c r="C1047" s="1">
        <v>41227</v>
      </c>
      <c r="D1047" t="s">
        <v>5509</v>
      </c>
      <c r="E1047">
        <v>27222</v>
      </c>
      <c r="F1047">
        <v>4355</v>
      </c>
      <c r="G1047">
        <v>0</v>
      </c>
      <c r="H1047">
        <v>0</v>
      </c>
      <c r="I1047">
        <v>59</v>
      </c>
      <c r="J1047">
        <v>31577</v>
      </c>
      <c r="K1047" t="s">
        <v>10446</v>
      </c>
      <c r="L1047" s="1">
        <v>41209</v>
      </c>
      <c r="N1047" t="s">
        <v>6694</v>
      </c>
      <c r="O1047" t="s">
        <v>3507</v>
      </c>
      <c r="P1047" t="s">
        <v>354</v>
      </c>
      <c r="Q1047" t="s">
        <v>39</v>
      </c>
      <c r="R1047" t="s">
        <v>40</v>
      </c>
      <c r="S1047">
        <v>0</v>
      </c>
      <c r="U1047" t="s">
        <v>41</v>
      </c>
      <c r="V1047" t="s">
        <v>42</v>
      </c>
      <c r="X1047" t="s">
        <v>74</v>
      </c>
      <c r="Y1047" t="b">
        <v>0</v>
      </c>
      <c r="Z1047" t="b">
        <v>0</v>
      </c>
      <c r="AB1047" t="s">
        <v>8654</v>
      </c>
      <c r="AC1047" s="1">
        <v>41296</v>
      </c>
      <c r="AF1047">
        <v>0</v>
      </c>
      <c r="AG1047">
        <v>45</v>
      </c>
      <c r="AH1047">
        <v>104</v>
      </c>
      <c r="AI1047" s="2">
        <f>Table__192.168.3.138BEWLPPMetaData[[#This Row],[NetAmount]]-Table__192.168.3.138BEWLPPMetaData[[#This Row],[Paid]]</f>
        <v>31577</v>
      </c>
    </row>
    <row r="1048" spans="1:35" hidden="1">
      <c r="A1048" t="s">
        <v>10447</v>
      </c>
      <c r="B1048" s="1">
        <v>41204</v>
      </c>
      <c r="C1048" s="1">
        <v>41249</v>
      </c>
      <c r="D1048" t="s">
        <v>5509</v>
      </c>
      <c r="E1048">
        <v>1173</v>
      </c>
      <c r="F1048">
        <v>188</v>
      </c>
      <c r="G1048">
        <v>0</v>
      </c>
      <c r="H1048">
        <v>0</v>
      </c>
      <c r="I1048">
        <v>89</v>
      </c>
      <c r="J1048">
        <v>1361</v>
      </c>
      <c r="K1048" t="s">
        <v>10446</v>
      </c>
      <c r="L1048" s="1">
        <v>41179</v>
      </c>
      <c r="N1048" t="s">
        <v>6694</v>
      </c>
      <c r="O1048" t="s">
        <v>3507</v>
      </c>
      <c r="P1048" t="s">
        <v>354</v>
      </c>
      <c r="Q1048" t="s">
        <v>39</v>
      </c>
      <c r="R1048" t="s">
        <v>40</v>
      </c>
      <c r="S1048">
        <v>0</v>
      </c>
      <c r="U1048" t="s">
        <v>41</v>
      </c>
      <c r="V1048" t="s">
        <v>42</v>
      </c>
      <c r="X1048" t="s">
        <v>74</v>
      </c>
      <c r="Y1048" t="b">
        <v>0</v>
      </c>
      <c r="Z1048" t="b">
        <v>0</v>
      </c>
      <c r="AB1048" t="s">
        <v>8654</v>
      </c>
      <c r="AC1048" s="1">
        <v>41296</v>
      </c>
      <c r="AF1048">
        <v>0</v>
      </c>
      <c r="AG1048">
        <v>45</v>
      </c>
      <c r="AH1048">
        <v>134</v>
      </c>
      <c r="AI1048" s="2">
        <f>Table__192.168.3.138BEWLPPMetaData[[#This Row],[NetAmount]]-Table__192.168.3.138BEWLPPMetaData[[#This Row],[Paid]]</f>
        <v>1361</v>
      </c>
    </row>
    <row r="1049" spans="1:35" hidden="1">
      <c r="A1049" t="s">
        <v>10448</v>
      </c>
      <c r="B1049" s="1">
        <v>41193</v>
      </c>
      <c r="C1049" s="1">
        <v>41238</v>
      </c>
      <c r="D1049" t="s">
        <v>5469</v>
      </c>
      <c r="E1049">
        <v>47600</v>
      </c>
      <c r="F1049">
        <v>7616</v>
      </c>
      <c r="G1049">
        <v>0</v>
      </c>
      <c r="H1049">
        <v>0</v>
      </c>
      <c r="I1049">
        <v>75</v>
      </c>
      <c r="J1049">
        <v>55216</v>
      </c>
      <c r="K1049" t="s">
        <v>1452</v>
      </c>
      <c r="L1049" s="1">
        <v>41193</v>
      </c>
      <c r="N1049" t="s">
        <v>6694</v>
      </c>
      <c r="O1049" t="s">
        <v>3507</v>
      </c>
      <c r="P1049" t="s">
        <v>368</v>
      </c>
      <c r="Q1049" t="s">
        <v>39</v>
      </c>
      <c r="R1049" t="s">
        <v>40</v>
      </c>
      <c r="S1049">
        <v>0</v>
      </c>
      <c r="U1049" t="s">
        <v>41</v>
      </c>
      <c r="V1049" t="s">
        <v>42</v>
      </c>
      <c r="X1049" t="s">
        <v>74</v>
      </c>
      <c r="Y1049" t="b">
        <v>0</v>
      </c>
      <c r="Z1049" t="b">
        <v>0</v>
      </c>
      <c r="AC1049" s="1"/>
      <c r="AF1049">
        <v>0</v>
      </c>
      <c r="AG1049">
        <v>45</v>
      </c>
      <c r="AH1049">
        <v>120</v>
      </c>
      <c r="AI1049" s="2">
        <f>Table__192.168.3.138BEWLPPMetaData[[#This Row],[NetAmount]]-Table__192.168.3.138BEWLPPMetaData[[#This Row],[Paid]]</f>
        <v>55216</v>
      </c>
    </row>
    <row r="1050" spans="1:35" hidden="1">
      <c r="A1050" t="s">
        <v>10449</v>
      </c>
      <c r="B1050" s="1">
        <v>41187</v>
      </c>
      <c r="C1050" s="1">
        <v>41187</v>
      </c>
      <c r="D1050" t="s">
        <v>8666</v>
      </c>
      <c r="E1050">
        <v>5250</v>
      </c>
      <c r="F1050">
        <v>840</v>
      </c>
      <c r="G1050">
        <v>0</v>
      </c>
      <c r="H1050">
        <v>0</v>
      </c>
      <c r="I1050">
        <v>0</v>
      </c>
      <c r="J1050">
        <v>6090</v>
      </c>
      <c r="K1050" t="s">
        <v>911</v>
      </c>
      <c r="L1050" s="1">
        <v>41187</v>
      </c>
      <c r="N1050" t="s">
        <v>6694</v>
      </c>
      <c r="O1050" t="s">
        <v>3507</v>
      </c>
      <c r="P1050" t="s">
        <v>8668</v>
      </c>
      <c r="Q1050" t="s">
        <v>39</v>
      </c>
      <c r="R1050" t="s">
        <v>40</v>
      </c>
      <c r="S1050">
        <v>0</v>
      </c>
      <c r="U1050" t="s">
        <v>41</v>
      </c>
      <c r="V1050" t="s">
        <v>42</v>
      </c>
      <c r="X1050" t="s">
        <v>74</v>
      </c>
      <c r="Y1050" t="b">
        <v>0</v>
      </c>
      <c r="Z1050" t="b">
        <v>0</v>
      </c>
      <c r="AC1050" s="1"/>
      <c r="AF1050">
        <v>0</v>
      </c>
      <c r="AH1050">
        <v>126</v>
      </c>
      <c r="AI1050" s="2">
        <f>Table__192.168.3.138BEWLPPMetaData[[#This Row],[NetAmount]]-Table__192.168.3.138BEWLPPMetaData[[#This Row],[Paid]]</f>
        <v>6090</v>
      </c>
    </row>
    <row r="1051" spans="1:35" hidden="1">
      <c r="A1051" t="s">
        <v>10450</v>
      </c>
      <c r="B1051" s="1">
        <v>41206</v>
      </c>
      <c r="C1051" s="1">
        <v>41206</v>
      </c>
      <c r="D1051" t="s">
        <v>8666</v>
      </c>
      <c r="E1051">
        <v>8750</v>
      </c>
      <c r="F1051">
        <v>1400</v>
      </c>
      <c r="G1051">
        <v>0</v>
      </c>
      <c r="H1051">
        <v>0</v>
      </c>
      <c r="I1051">
        <v>0</v>
      </c>
      <c r="J1051">
        <v>10150</v>
      </c>
      <c r="K1051" t="s">
        <v>5972</v>
      </c>
      <c r="L1051" s="1">
        <v>41206</v>
      </c>
      <c r="N1051" t="s">
        <v>6694</v>
      </c>
      <c r="O1051" t="s">
        <v>3507</v>
      </c>
      <c r="P1051" t="s">
        <v>8668</v>
      </c>
      <c r="Q1051" t="s">
        <v>39</v>
      </c>
      <c r="R1051" t="s">
        <v>40</v>
      </c>
      <c r="S1051">
        <v>0</v>
      </c>
      <c r="U1051" t="s">
        <v>41</v>
      </c>
      <c r="V1051" t="s">
        <v>42</v>
      </c>
      <c r="X1051" t="s">
        <v>74</v>
      </c>
      <c r="Y1051" t="b">
        <v>0</v>
      </c>
      <c r="Z1051" t="b">
        <v>0</v>
      </c>
      <c r="AC1051" s="1"/>
      <c r="AF1051">
        <v>0</v>
      </c>
      <c r="AH1051">
        <v>107</v>
      </c>
      <c r="AI1051" s="2">
        <f>Table__192.168.3.138BEWLPPMetaData[[#This Row],[NetAmount]]-Table__192.168.3.138BEWLPPMetaData[[#This Row],[Paid]]</f>
        <v>10150</v>
      </c>
    </row>
    <row r="1052" spans="1:35" hidden="1">
      <c r="A1052" t="s">
        <v>10451</v>
      </c>
      <c r="B1052" s="1">
        <v>41199</v>
      </c>
      <c r="C1052" s="1">
        <v>41244</v>
      </c>
      <c r="D1052" t="s">
        <v>8577</v>
      </c>
      <c r="E1052">
        <v>1800</v>
      </c>
      <c r="F1052">
        <v>0</v>
      </c>
      <c r="G1052">
        <v>0</v>
      </c>
      <c r="H1052">
        <v>0</v>
      </c>
      <c r="I1052">
        <v>69</v>
      </c>
      <c r="J1052">
        <v>1800</v>
      </c>
      <c r="K1052" t="s">
        <v>4605</v>
      </c>
      <c r="L1052" s="1">
        <v>41199</v>
      </c>
      <c r="N1052" t="s">
        <v>6694</v>
      </c>
      <c r="O1052" t="s">
        <v>3507</v>
      </c>
      <c r="P1052" t="s">
        <v>8579</v>
      </c>
      <c r="Q1052" t="s">
        <v>39</v>
      </c>
      <c r="R1052" t="s">
        <v>40</v>
      </c>
      <c r="S1052">
        <v>0</v>
      </c>
      <c r="U1052" t="s">
        <v>41</v>
      </c>
      <c r="V1052" t="s">
        <v>42</v>
      </c>
      <c r="X1052" t="s">
        <v>74</v>
      </c>
      <c r="Y1052" t="b">
        <v>0</v>
      </c>
      <c r="Z1052" t="b">
        <v>0</v>
      </c>
      <c r="AC1052" s="1"/>
      <c r="AF1052">
        <v>0</v>
      </c>
      <c r="AG1052">
        <v>45</v>
      </c>
      <c r="AH1052">
        <v>114</v>
      </c>
      <c r="AI1052" s="2">
        <f>Table__192.168.3.138BEWLPPMetaData[[#This Row],[NetAmount]]-Table__192.168.3.138BEWLPPMetaData[[#This Row],[Paid]]</f>
        <v>1800</v>
      </c>
    </row>
    <row r="1053" spans="1:35" hidden="1">
      <c r="A1053" t="s">
        <v>10452</v>
      </c>
      <c r="B1053" s="1">
        <v>41170</v>
      </c>
      <c r="C1053" s="1">
        <v>41215</v>
      </c>
      <c r="D1053" t="s">
        <v>8577</v>
      </c>
      <c r="E1053">
        <v>11600</v>
      </c>
      <c r="F1053">
        <v>0</v>
      </c>
      <c r="G1053">
        <v>0</v>
      </c>
      <c r="H1053">
        <v>0</v>
      </c>
      <c r="I1053">
        <v>98</v>
      </c>
      <c r="J1053">
        <v>11600</v>
      </c>
      <c r="K1053" t="s">
        <v>3832</v>
      </c>
      <c r="L1053" s="1">
        <v>41170</v>
      </c>
      <c r="N1053" t="s">
        <v>6694</v>
      </c>
      <c r="O1053" t="s">
        <v>3507</v>
      </c>
      <c r="P1053" t="s">
        <v>8579</v>
      </c>
      <c r="Q1053" t="s">
        <v>39</v>
      </c>
      <c r="R1053" t="s">
        <v>40</v>
      </c>
      <c r="S1053">
        <v>0</v>
      </c>
      <c r="U1053" t="s">
        <v>41</v>
      </c>
      <c r="V1053" t="s">
        <v>42</v>
      </c>
      <c r="X1053" t="s">
        <v>74</v>
      </c>
      <c r="Y1053" t="b">
        <v>0</v>
      </c>
      <c r="Z1053" t="b">
        <v>0</v>
      </c>
      <c r="AC1053" s="1"/>
      <c r="AF1053">
        <v>0</v>
      </c>
      <c r="AG1053">
        <v>45</v>
      </c>
      <c r="AH1053">
        <v>143</v>
      </c>
      <c r="AI1053" s="2">
        <f>Table__192.168.3.138BEWLPPMetaData[[#This Row],[NetAmount]]-Table__192.168.3.138BEWLPPMetaData[[#This Row],[Paid]]</f>
        <v>11600</v>
      </c>
    </row>
    <row r="1054" spans="1:35" hidden="1">
      <c r="A1054" t="s">
        <v>10453</v>
      </c>
      <c r="B1054" s="1">
        <v>41191</v>
      </c>
      <c r="C1054" s="1">
        <v>41191</v>
      </c>
      <c r="D1054" t="s">
        <v>8666</v>
      </c>
      <c r="E1054">
        <v>79800</v>
      </c>
      <c r="F1054">
        <v>12768</v>
      </c>
      <c r="G1054">
        <v>0</v>
      </c>
      <c r="H1054">
        <v>0</v>
      </c>
      <c r="I1054">
        <v>0</v>
      </c>
      <c r="J1054">
        <v>92568</v>
      </c>
      <c r="K1054" t="s">
        <v>10454</v>
      </c>
      <c r="L1054" s="1">
        <v>41207</v>
      </c>
      <c r="N1054" t="s">
        <v>6694</v>
      </c>
      <c r="O1054" t="s">
        <v>3507</v>
      </c>
      <c r="P1054" t="s">
        <v>8668</v>
      </c>
      <c r="Q1054" t="s">
        <v>39</v>
      </c>
      <c r="R1054" t="s">
        <v>40</v>
      </c>
      <c r="S1054">
        <v>0</v>
      </c>
      <c r="U1054" t="s">
        <v>41</v>
      </c>
      <c r="V1054" t="s">
        <v>42</v>
      </c>
      <c r="X1054" t="s">
        <v>74</v>
      </c>
      <c r="Y1054" t="b">
        <v>0</v>
      </c>
      <c r="Z1054" t="b">
        <v>0</v>
      </c>
      <c r="AC1054" s="1"/>
      <c r="AF1054">
        <v>0</v>
      </c>
      <c r="AH1054">
        <v>106</v>
      </c>
      <c r="AI1054" s="2">
        <f>Table__192.168.3.138BEWLPPMetaData[[#This Row],[NetAmount]]-Table__192.168.3.138BEWLPPMetaData[[#This Row],[Paid]]</f>
        <v>92568</v>
      </c>
    </row>
    <row r="1055" spans="1:35" hidden="1">
      <c r="A1055" t="s">
        <v>10455</v>
      </c>
      <c r="B1055" s="1">
        <v>41223</v>
      </c>
      <c r="C1055" s="1">
        <v>41268</v>
      </c>
      <c r="D1055" t="s">
        <v>8538</v>
      </c>
      <c r="E1055">
        <v>1760</v>
      </c>
      <c r="F1055">
        <v>282</v>
      </c>
      <c r="G1055">
        <v>0</v>
      </c>
      <c r="H1055">
        <v>0</v>
      </c>
      <c r="I1055">
        <v>45</v>
      </c>
      <c r="J1055">
        <v>2042</v>
      </c>
      <c r="K1055" t="s">
        <v>10456</v>
      </c>
      <c r="L1055" s="1">
        <v>41223</v>
      </c>
      <c r="N1055" t="s">
        <v>6694</v>
      </c>
      <c r="O1055" t="s">
        <v>3507</v>
      </c>
      <c r="P1055" t="s">
        <v>310</v>
      </c>
      <c r="Q1055" t="s">
        <v>39</v>
      </c>
      <c r="R1055" t="s">
        <v>40</v>
      </c>
      <c r="S1055">
        <v>0</v>
      </c>
      <c r="U1055" t="s">
        <v>41</v>
      </c>
      <c r="V1055" t="s">
        <v>42</v>
      </c>
      <c r="X1055" t="s">
        <v>74</v>
      </c>
      <c r="Y1055" t="b">
        <v>0</v>
      </c>
      <c r="Z1055" t="b">
        <v>0</v>
      </c>
      <c r="AC1055" s="1"/>
      <c r="AF1055">
        <v>0</v>
      </c>
      <c r="AG1055">
        <v>45</v>
      </c>
      <c r="AH1055">
        <v>90</v>
      </c>
      <c r="AI1055" s="2">
        <f>Table__192.168.3.138BEWLPPMetaData[[#This Row],[NetAmount]]-Table__192.168.3.138BEWLPPMetaData[[#This Row],[Paid]]</f>
        <v>2042</v>
      </c>
    </row>
    <row r="1056" spans="1:35" hidden="1">
      <c r="A1056" t="s">
        <v>10457</v>
      </c>
      <c r="B1056" s="1">
        <v>41227</v>
      </c>
      <c r="C1056" s="1">
        <v>41272</v>
      </c>
      <c r="D1056" t="s">
        <v>8538</v>
      </c>
      <c r="E1056">
        <v>289800</v>
      </c>
      <c r="F1056">
        <v>46368</v>
      </c>
      <c r="G1056">
        <v>0</v>
      </c>
      <c r="H1056">
        <v>0</v>
      </c>
      <c r="I1056">
        <v>54</v>
      </c>
      <c r="J1056">
        <v>336168</v>
      </c>
      <c r="K1056" t="s">
        <v>7334</v>
      </c>
      <c r="L1056" s="1">
        <v>41214</v>
      </c>
      <c r="N1056" t="s">
        <v>6694</v>
      </c>
      <c r="O1056" t="s">
        <v>3507</v>
      </c>
      <c r="P1056" t="s">
        <v>310</v>
      </c>
      <c r="Q1056" t="s">
        <v>39</v>
      </c>
      <c r="R1056" t="s">
        <v>40</v>
      </c>
      <c r="S1056">
        <v>0</v>
      </c>
      <c r="U1056" t="s">
        <v>41</v>
      </c>
      <c r="V1056" t="s">
        <v>42</v>
      </c>
      <c r="X1056" t="s">
        <v>74</v>
      </c>
      <c r="Y1056" t="b">
        <v>0</v>
      </c>
      <c r="Z1056" t="b">
        <v>0</v>
      </c>
      <c r="AB1056" t="s">
        <v>9906</v>
      </c>
      <c r="AC1056" s="1">
        <v>41296</v>
      </c>
      <c r="AF1056">
        <v>0</v>
      </c>
      <c r="AG1056">
        <v>45</v>
      </c>
      <c r="AH1056">
        <v>99</v>
      </c>
      <c r="AI1056" s="2">
        <f>Table__192.168.3.138BEWLPPMetaData[[#This Row],[NetAmount]]-Table__192.168.3.138BEWLPPMetaData[[#This Row],[Paid]]</f>
        <v>336168</v>
      </c>
    </row>
    <row r="1057" spans="1:35" hidden="1">
      <c r="A1057" t="s">
        <v>10458</v>
      </c>
      <c r="B1057" s="1">
        <v>41230</v>
      </c>
      <c r="C1057" s="1">
        <v>41275</v>
      </c>
      <c r="D1057" t="s">
        <v>8570</v>
      </c>
      <c r="E1057">
        <v>28000</v>
      </c>
      <c r="F1057">
        <v>4480</v>
      </c>
      <c r="G1057">
        <v>0</v>
      </c>
      <c r="H1057">
        <v>0</v>
      </c>
      <c r="I1057">
        <v>43</v>
      </c>
      <c r="J1057">
        <v>32480</v>
      </c>
      <c r="K1057" t="s">
        <v>8489</v>
      </c>
      <c r="L1057" s="1">
        <v>41225</v>
      </c>
      <c r="N1057" t="s">
        <v>6694</v>
      </c>
      <c r="O1057" t="s">
        <v>3507</v>
      </c>
      <c r="P1057" t="s">
        <v>8571</v>
      </c>
      <c r="Q1057" t="s">
        <v>39</v>
      </c>
      <c r="R1057" t="s">
        <v>40</v>
      </c>
      <c r="S1057">
        <v>0</v>
      </c>
      <c r="U1057" t="s">
        <v>41</v>
      </c>
      <c r="V1057" t="s">
        <v>42</v>
      </c>
      <c r="X1057" t="s">
        <v>74</v>
      </c>
      <c r="Y1057" t="b">
        <v>0</v>
      </c>
      <c r="Z1057" t="b">
        <v>0</v>
      </c>
      <c r="AC1057" s="1"/>
      <c r="AF1057">
        <v>0</v>
      </c>
      <c r="AG1057">
        <v>45</v>
      </c>
      <c r="AH1057">
        <v>88</v>
      </c>
      <c r="AI1057" s="2">
        <f>Table__192.168.3.138BEWLPPMetaData[[#This Row],[NetAmount]]-Table__192.168.3.138BEWLPPMetaData[[#This Row],[Paid]]</f>
        <v>32480</v>
      </c>
    </row>
    <row r="1058" spans="1:35" hidden="1">
      <c r="A1058" t="s">
        <v>10459</v>
      </c>
      <c r="B1058" s="1">
        <v>41230</v>
      </c>
      <c r="C1058" s="1">
        <v>41275</v>
      </c>
      <c r="D1058" t="s">
        <v>8570</v>
      </c>
      <c r="E1058">
        <v>118720</v>
      </c>
      <c r="F1058">
        <v>18995</v>
      </c>
      <c r="G1058">
        <v>0</v>
      </c>
      <c r="H1058">
        <v>0</v>
      </c>
      <c r="I1058">
        <v>42</v>
      </c>
      <c r="J1058">
        <v>137715</v>
      </c>
      <c r="K1058" t="s">
        <v>10460</v>
      </c>
      <c r="L1058" s="1">
        <v>41226</v>
      </c>
      <c r="N1058" t="s">
        <v>6694</v>
      </c>
      <c r="O1058" t="s">
        <v>3507</v>
      </c>
      <c r="P1058" t="s">
        <v>8571</v>
      </c>
      <c r="Q1058" t="s">
        <v>39</v>
      </c>
      <c r="R1058" t="s">
        <v>40</v>
      </c>
      <c r="S1058">
        <v>0</v>
      </c>
      <c r="U1058" t="s">
        <v>41</v>
      </c>
      <c r="V1058" t="s">
        <v>42</v>
      </c>
      <c r="X1058" t="s">
        <v>74</v>
      </c>
      <c r="Y1058" t="b">
        <v>0</v>
      </c>
      <c r="Z1058" t="b">
        <v>0</v>
      </c>
      <c r="AC1058" s="1"/>
      <c r="AF1058">
        <v>0</v>
      </c>
      <c r="AG1058">
        <v>45</v>
      </c>
      <c r="AH1058">
        <v>87</v>
      </c>
      <c r="AI1058" s="2">
        <f>Table__192.168.3.138BEWLPPMetaData[[#This Row],[NetAmount]]-Table__192.168.3.138BEWLPPMetaData[[#This Row],[Paid]]</f>
        <v>137715</v>
      </c>
    </row>
    <row r="1059" spans="1:35" hidden="1">
      <c r="A1059" t="s">
        <v>10461</v>
      </c>
      <c r="B1059" s="1">
        <v>41225</v>
      </c>
      <c r="C1059" s="1">
        <v>41270</v>
      </c>
      <c r="D1059" t="s">
        <v>8570</v>
      </c>
      <c r="E1059">
        <v>14000</v>
      </c>
      <c r="F1059">
        <v>2240</v>
      </c>
      <c r="G1059">
        <v>0</v>
      </c>
      <c r="H1059">
        <v>0</v>
      </c>
      <c r="I1059">
        <v>45</v>
      </c>
      <c r="J1059">
        <v>16240</v>
      </c>
      <c r="K1059" t="s">
        <v>10462</v>
      </c>
      <c r="L1059" s="1">
        <v>41223</v>
      </c>
      <c r="N1059" t="s">
        <v>6694</v>
      </c>
      <c r="O1059" t="s">
        <v>3507</v>
      </c>
      <c r="P1059" t="s">
        <v>8571</v>
      </c>
      <c r="Q1059" t="s">
        <v>39</v>
      </c>
      <c r="R1059" t="s">
        <v>40</v>
      </c>
      <c r="S1059">
        <v>0</v>
      </c>
      <c r="U1059" t="s">
        <v>41</v>
      </c>
      <c r="V1059" t="s">
        <v>42</v>
      </c>
      <c r="X1059" t="s">
        <v>74</v>
      </c>
      <c r="Y1059" t="b">
        <v>0</v>
      </c>
      <c r="Z1059" t="b">
        <v>0</v>
      </c>
      <c r="AC1059" s="1"/>
      <c r="AF1059">
        <v>0</v>
      </c>
      <c r="AG1059">
        <v>45</v>
      </c>
      <c r="AH1059">
        <v>90</v>
      </c>
      <c r="AI1059" s="2">
        <f>Table__192.168.3.138BEWLPPMetaData[[#This Row],[NetAmount]]-Table__192.168.3.138BEWLPPMetaData[[#This Row],[Paid]]</f>
        <v>16240</v>
      </c>
    </row>
    <row r="1060" spans="1:35" hidden="1">
      <c r="A1060" t="s">
        <v>10463</v>
      </c>
      <c r="B1060" s="1">
        <v>41219</v>
      </c>
      <c r="C1060" s="1">
        <v>41264</v>
      </c>
      <c r="D1060" t="s">
        <v>5529</v>
      </c>
      <c r="E1060">
        <v>141480</v>
      </c>
      <c r="F1060">
        <v>22637</v>
      </c>
      <c r="G1060">
        <v>0</v>
      </c>
      <c r="H1060">
        <v>0</v>
      </c>
      <c r="I1060">
        <v>55</v>
      </c>
      <c r="J1060">
        <v>164117</v>
      </c>
      <c r="K1060" t="s">
        <v>10464</v>
      </c>
      <c r="L1060" s="1">
        <v>41213</v>
      </c>
      <c r="N1060" t="s">
        <v>6694</v>
      </c>
      <c r="O1060" t="s">
        <v>3507</v>
      </c>
      <c r="P1060" t="s">
        <v>8614</v>
      </c>
      <c r="Q1060" t="s">
        <v>39</v>
      </c>
      <c r="R1060" t="s">
        <v>40</v>
      </c>
      <c r="S1060">
        <v>0</v>
      </c>
      <c r="U1060" t="s">
        <v>41</v>
      </c>
      <c r="V1060" t="s">
        <v>42</v>
      </c>
      <c r="X1060" t="s">
        <v>74</v>
      </c>
      <c r="Y1060" t="b">
        <v>0</v>
      </c>
      <c r="Z1060" t="b">
        <v>0</v>
      </c>
      <c r="AC1060" s="1"/>
      <c r="AF1060">
        <v>0</v>
      </c>
      <c r="AG1060">
        <v>45</v>
      </c>
      <c r="AH1060">
        <v>100</v>
      </c>
      <c r="AI1060" s="2">
        <f>Table__192.168.3.138BEWLPPMetaData[[#This Row],[NetAmount]]-Table__192.168.3.138BEWLPPMetaData[[#This Row],[Paid]]</f>
        <v>164117</v>
      </c>
    </row>
    <row r="1061" spans="1:35" hidden="1">
      <c r="A1061" t="s">
        <v>10465</v>
      </c>
      <c r="B1061" s="1">
        <v>41219</v>
      </c>
      <c r="C1061" s="1">
        <v>41264</v>
      </c>
      <c r="D1061" t="s">
        <v>8524</v>
      </c>
      <c r="E1061">
        <v>13800</v>
      </c>
      <c r="F1061">
        <v>2208</v>
      </c>
      <c r="G1061">
        <v>0</v>
      </c>
      <c r="H1061">
        <v>0</v>
      </c>
      <c r="I1061">
        <v>56</v>
      </c>
      <c r="J1061">
        <v>16008</v>
      </c>
      <c r="K1061" t="s">
        <v>10466</v>
      </c>
      <c r="L1061" s="1">
        <v>41212</v>
      </c>
      <c r="N1061" t="s">
        <v>6694</v>
      </c>
      <c r="O1061" t="s">
        <v>3507</v>
      </c>
      <c r="P1061" t="s">
        <v>8525</v>
      </c>
      <c r="Q1061" t="s">
        <v>39</v>
      </c>
      <c r="R1061" t="s">
        <v>40</v>
      </c>
      <c r="S1061">
        <v>0</v>
      </c>
      <c r="U1061" t="s">
        <v>41</v>
      </c>
      <c r="V1061" t="s">
        <v>42</v>
      </c>
      <c r="X1061" t="s">
        <v>74</v>
      </c>
      <c r="Y1061" t="b">
        <v>0</v>
      </c>
      <c r="Z1061" t="b">
        <v>0</v>
      </c>
      <c r="AC1061" s="1"/>
      <c r="AF1061">
        <v>0</v>
      </c>
      <c r="AG1061">
        <v>45</v>
      </c>
      <c r="AH1061">
        <v>101</v>
      </c>
      <c r="AI1061" s="2">
        <f>Table__192.168.3.138BEWLPPMetaData[[#This Row],[NetAmount]]-Table__192.168.3.138BEWLPPMetaData[[#This Row],[Paid]]</f>
        <v>16008</v>
      </c>
    </row>
    <row r="1062" spans="1:35" hidden="1">
      <c r="A1062" t="s">
        <v>10467</v>
      </c>
      <c r="B1062" s="1">
        <v>41219</v>
      </c>
      <c r="C1062" s="1">
        <v>41264</v>
      </c>
      <c r="D1062" t="s">
        <v>8524</v>
      </c>
      <c r="E1062">
        <v>11491</v>
      </c>
      <c r="F1062">
        <v>1839</v>
      </c>
      <c r="G1062">
        <v>0</v>
      </c>
      <c r="H1062">
        <v>0</v>
      </c>
      <c r="I1062">
        <v>56</v>
      </c>
      <c r="J1062">
        <v>13330</v>
      </c>
      <c r="K1062" t="s">
        <v>993</v>
      </c>
      <c r="L1062" s="1">
        <v>41212</v>
      </c>
      <c r="N1062" t="s">
        <v>6694</v>
      </c>
      <c r="O1062" t="s">
        <v>3507</v>
      </c>
      <c r="P1062" t="s">
        <v>8525</v>
      </c>
      <c r="Q1062" t="s">
        <v>39</v>
      </c>
      <c r="R1062" t="s">
        <v>40</v>
      </c>
      <c r="S1062">
        <v>0</v>
      </c>
      <c r="U1062" t="s">
        <v>41</v>
      </c>
      <c r="V1062" t="s">
        <v>42</v>
      </c>
      <c r="X1062" t="s">
        <v>74</v>
      </c>
      <c r="Y1062" t="b">
        <v>0</v>
      </c>
      <c r="Z1062" t="b">
        <v>0</v>
      </c>
      <c r="AC1062" s="1"/>
      <c r="AF1062">
        <v>0</v>
      </c>
      <c r="AG1062">
        <v>45</v>
      </c>
      <c r="AH1062">
        <v>101</v>
      </c>
      <c r="AI1062" s="2">
        <f>Table__192.168.3.138BEWLPPMetaData[[#This Row],[NetAmount]]-Table__192.168.3.138BEWLPPMetaData[[#This Row],[Paid]]</f>
        <v>13330</v>
      </c>
    </row>
    <row r="1063" spans="1:35" hidden="1">
      <c r="A1063" t="s">
        <v>10468</v>
      </c>
      <c r="B1063" s="1">
        <v>41220</v>
      </c>
      <c r="C1063" s="1">
        <v>41265</v>
      </c>
      <c r="D1063" t="s">
        <v>5509</v>
      </c>
      <c r="E1063">
        <v>117590</v>
      </c>
      <c r="F1063">
        <v>18815</v>
      </c>
      <c r="G1063">
        <v>0</v>
      </c>
      <c r="H1063">
        <v>0</v>
      </c>
      <c r="I1063">
        <v>53</v>
      </c>
      <c r="J1063">
        <v>136405</v>
      </c>
      <c r="K1063" t="s">
        <v>10469</v>
      </c>
      <c r="L1063" s="1">
        <v>41215</v>
      </c>
      <c r="N1063" t="s">
        <v>6694</v>
      </c>
      <c r="O1063" t="s">
        <v>3507</v>
      </c>
      <c r="P1063" t="s">
        <v>354</v>
      </c>
      <c r="Q1063" t="s">
        <v>39</v>
      </c>
      <c r="R1063" t="s">
        <v>40</v>
      </c>
      <c r="S1063">
        <v>0</v>
      </c>
      <c r="U1063" t="s">
        <v>41</v>
      </c>
      <c r="V1063" t="s">
        <v>42</v>
      </c>
      <c r="X1063" t="s">
        <v>74</v>
      </c>
      <c r="Y1063" t="b">
        <v>0</v>
      </c>
      <c r="Z1063" t="b">
        <v>0</v>
      </c>
      <c r="AB1063" t="s">
        <v>8654</v>
      </c>
      <c r="AC1063" s="1">
        <v>41296</v>
      </c>
      <c r="AF1063">
        <v>0</v>
      </c>
      <c r="AG1063">
        <v>45</v>
      </c>
      <c r="AH1063">
        <v>98</v>
      </c>
      <c r="AI1063" s="2">
        <f>Table__192.168.3.138BEWLPPMetaData[[#This Row],[NetAmount]]-Table__192.168.3.138BEWLPPMetaData[[#This Row],[Paid]]</f>
        <v>136405</v>
      </c>
    </row>
    <row r="1064" spans="1:35" hidden="1">
      <c r="A1064" t="s">
        <v>10470</v>
      </c>
      <c r="B1064" s="1">
        <v>41234</v>
      </c>
      <c r="C1064" s="1">
        <v>41279</v>
      </c>
      <c r="D1064" t="s">
        <v>8570</v>
      </c>
      <c r="E1064">
        <v>78400</v>
      </c>
      <c r="F1064">
        <v>12544</v>
      </c>
      <c r="G1064">
        <v>0</v>
      </c>
      <c r="H1064">
        <v>0</v>
      </c>
      <c r="I1064">
        <v>40</v>
      </c>
      <c r="J1064">
        <v>90944</v>
      </c>
      <c r="K1064" t="s">
        <v>10471</v>
      </c>
      <c r="L1064" s="1">
        <v>41228</v>
      </c>
      <c r="N1064" t="s">
        <v>6694</v>
      </c>
      <c r="O1064" t="s">
        <v>3507</v>
      </c>
      <c r="P1064" t="s">
        <v>8571</v>
      </c>
      <c r="Q1064" t="s">
        <v>39</v>
      </c>
      <c r="R1064" t="s">
        <v>40</v>
      </c>
      <c r="S1064">
        <v>0</v>
      </c>
      <c r="U1064" t="s">
        <v>41</v>
      </c>
      <c r="V1064" t="s">
        <v>42</v>
      </c>
      <c r="X1064" t="s">
        <v>74</v>
      </c>
      <c r="Y1064" t="b">
        <v>0</v>
      </c>
      <c r="Z1064" t="b">
        <v>0</v>
      </c>
      <c r="AC1064" s="1"/>
      <c r="AF1064">
        <v>0</v>
      </c>
      <c r="AG1064">
        <v>45</v>
      </c>
      <c r="AH1064">
        <v>85</v>
      </c>
      <c r="AI1064" s="2">
        <f>Table__192.168.3.138BEWLPPMetaData[[#This Row],[NetAmount]]-Table__192.168.3.138BEWLPPMetaData[[#This Row],[Paid]]</f>
        <v>90944</v>
      </c>
    </row>
    <row r="1065" spans="1:35" hidden="1">
      <c r="A1065" t="s">
        <v>10472</v>
      </c>
      <c r="B1065" s="1">
        <v>41232</v>
      </c>
      <c r="C1065" s="1">
        <v>41277</v>
      </c>
      <c r="D1065" t="s">
        <v>8598</v>
      </c>
      <c r="E1065">
        <v>62416</v>
      </c>
      <c r="F1065">
        <v>9987</v>
      </c>
      <c r="G1065">
        <v>0</v>
      </c>
      <c r="H1065">
        <v>0</v>
      </c>
      <c r="I1065">
        <v>36</v>
      </c>
      <c r="J1065">
        <v>72403</v>
      </c>
      <c r="K1065" t="s">
        <v>3499</v>
      </c>
      <c r="L1065" s="1">
        <v>41232</v>
      </c>
      <c r="M1065" t="s">
        <v>10473</v>
      </c>
      <c r="N1065" t="s">
        <v>6694</v>
      </c>
      <c r="O1065" t="s">
        <v>3507</v>
      </c>
      <c r="P1065" t="s">
        <v>369</v>
      </c>
      <c r="Q1065" t="s">
        <v>39</v>
      </c>
      <c r="R1065" t="s">
        <v>40</v>
      </c>
      <c r="S1065">
        <v>0</v>
      </c>
      <c r="U1065" t="s">
        <v>41</v>
      </c>
      <c r="V1065" t="s">
        <v>42</v>
      </c>
      <c r="W1065" t="s">
        <v>9894</v>
      </c>
      <c r="X1065" t="s">
        <v>74</v>
      </c>
      <c r="Y1065" t="b">
        <v>0</v>
      </c>
      <c r="Z1065" t="b">
        <v>0</v>
      </c>
      <c r="AA1065" t="b">
        <v>0</v>
      </c>
      <c r="AC1065" s="1"/>
      <c r="AF1065">
        <v>0</v>
      </c>
      <c r="AG1065">
        <v>45</v>
      </c>
      <c r="AH1065">
        <v>81</v>
      </c>
      <c r="AI1065" s="2">
        <f>Table__192.168.3.138BEWLPPMetaData[[#This Row],[NetAmount]]-Table__192.168.3.138BEWLPPMetaData[[#This Row],[Paid]]</f>
        <v>72403</v>
      </c>
    </row>
    <row r="1066" spans="1:35" hidden="1">
      <c r="A1066" t="s">
        <v>10474</v>
      </c>
      <c r="B1066" s="1">
        <v>41229</v>
      </c>
      <c r="C1066" s="1">
        <v>41274</v>
      </c>
      <c r="D1066" t="s">
        <v>8611</v>
      </c>
      <c r="E1066">
        <v>21125</v>
      </c>
      <c r="F1066">
        <v>3380</v>
      </c>
      <c r="G1066">
        <v>0</v>
      </c>
      <c r="H1066">
        <v>0</v>
      </c>
      <c r="I1066">
        <v>41</v>
      </c>
      <c r="J1066">
        <v>24505</v>
      </c>
      <c r="K1066" t="s">
        <v>8696</v>
      </c>
      <c r="L1066" s="1">
        <v>41227</v>
      </c>
      <c r="N1066" t="s">
        <v>6694</v>
      </c>
      <c r="O1066" t="s">
        <v>3507</v>
      </c>
      <c r="P1066" t="s">
        <v>8612</v>
      </c>
      <c r="Q1066" t="s">
        <v>39</v>
      </c>
      <c r="R1066" t="s">
        <v>40</v>
      </c>
      <c r="S1066">
        <v>0</v>
      </c>
      <c r="U1066" t="s">
        <v>41</v>
      </c>
      <c r="V1066" t="s">
        <v>42</v>
      </c>
      <c r="X1066" t="s">
        <v>74</v>
      </c>
      <c r="Y1066" t="b">
        <v>0</v>
      </c>
      <c r="Z1066" t="b">
        <v>0</v>
      </c>
      <c r="AC1066" s="1"/>
      <c r="AF1066">
        <v>0</v>
      </c>
      <c r="AG1066">
        <v>45</v>
      </c>
      <c r="AH1066">
        <v>86</v>
      </c>
      <c r="AI1066" s="2">
        <f>Table__192.168.3.138BEWLPPMetaData[[#This Row],[NetAmount]]-Table__192.168.3.138BEWLPPMetaData[[#This Row],[Paid]]</f>
        <v>24505</v>
      </c>
    </row>
    <row r="1067" spans="1:35" hidden="1">
      <c r="A1067" t="s">
        <v>10475</v>
      </c>
      <c r="B1067" s="1">
        <v>41234</v>
      </c>
      <c r="C1067" s="1">
        <v>41279</v>
      </c>
      <c r="D1067" t="s">
        <v>8563</v>
      </c>
      <c r="E1067">
        <v>330000</v>
      </c>
      <c r="F1067">
        <v>52800</v>
      </c>
      <c r="G1067">
        <v>0</v>
      </c>
      <c r="H1067">
        <v>0</v>
      </c>
      <c r="I1067">
        <v>39</v>
      </c>
      <c r="J1067">
        <v>382800</v>
      </c>
      <c r="K1067" t="s">
        <v>3783</v>
      </c>
      <c r="L1067" s="1">
        <v>41229</v>
      </c>
      <c r="N1067" t="s">
        <v>6694</v>
      </c>
      <c r="O1067" t="s">
        <v>3507</v>
      </c>
      <c r="P1067" t="s">
        <v>409</v>
      </c>
      <c r="Q1067" t="s">
        <v>39</v>
      </c>
      <c r="R1067" t="s">
        <v>40</v>
      </c>
      <c r="S1067">
        <v>0</v>
      </c>
      <c r="U1067" t="s">
        <v>41</v>
      </c>
      <c r="V1067" t="s">
        <v>42</v>
      </c>
      <c r="X1067" t="s">
        <v>74</v>
      </c>
      <c r="Y1067" t="b">
        <v>0</v>
      </c>
      <c r="Z1067" t="b">
        <v>0</v>
      </c>
      <c r="AC1067" s="1"/>
      <c r="AF1067">
        <v>0</v>
      </c>
      <c r="AG1067">
        <v>45</v>
      </c>
      <c r="AH1067">
        <v>84</v>
      </c>
      <c r="AI1067" s="2">
        <f>Table__192.168.3.138BEWLPPMetaData[[#This Row],[NetAmount]]-Table__192.168.3.138BEWLPPMetaData[[#This Row],[Paid]]</f>
        <v>382800</v>
      </c>
    </row>
    <row r="1068" spans="1:35" hidden="1">
      <c r="A1068" t="s">
        <v>10476</v>
      </c>
      <c r="B1068" s="1">
        <v>41234</v>
      </c>
      <c r="C1068" s="1">
        <v>41279</v>
      </c>
      <c r="D1068" t="s">
        <v>5509</v>
      </c>
      <c r="E1068">
        <v>169324</v>
      </c>
      <c r="F1068">
        <v>27092</v>
      </c>
      <c r="G1068">
        <v>0</v>
      </c>
      <c r="H1068">
        <v>0</v>
      </c>
      <c r="I1068">
        <v>45</v>
      </c>
      <c r="J1068">
        <v>196416</v>
      </c>
      <c r="K1068" t="s">
        <v>8682</v>
      </c>
      <c r="L1068" s="1">
        <v>41223</v>
      </c>
      <c r="N1068" t="s">
        <v>6694</v>
      </c>
      <c r="O1068" t="s">
        <v>3507</v>
      </c>
      <c r="P1068" t="s">
        <v>354</v>
      </c>
      <c r="Q1068" t="s">
        <v>39</v>
      </c>
      <c r="R1068" t="s">
        <v>40</v>
      </c>
      <c r="S1068">
        <v>0</v>
      </c>
      <c r="U1068" t="s">
        <v>41</v>
      </c>
      <c r="V1068" t="s">
        <v>42</v>
      </c>
      <c r="X1068" t="s">
        <v>74</v>
      </c>
      <c r="Y1068" t="b">
        <v>0</v>
      </c>
      <c r="Z1068" t="b">
        <v>0</v>
      </c>
      <c r="AB1068" t="s">
        <v>8654</v>
      </c>
      <c r="AC1068" s="1">
        <v>41296</v>
      </c>
      <c r="AF1068">
        <v>0</v>
      </c>
      <c r="AG1068">
        <v>45</v>
      </c>
      <c r="AH1068">
        <v>90</v>
      </c>
      <c r="AI1068" s="2">
        <f>Table__192.168.3.138BEWLPPMetaData[[#This Row],[NetAmount]]-Table__192.168.3.138BEWLPPMetaData[[#This Row],[Paid]]</f>
        <v>196416</v>
      </c>
    </row>
    <row r="1069" spans="1:35" hidden="1">
      <c r="A1069" t="s">
        <v>10477</v>
      </c>
      <c r="B1069" s="1">
        <v>41230</v>
      </c>
      <c r="C1069" s="1">
        <v>41275</v>
      </c>
      <c r="D1069" t="s">
        <v>8538</v>
      </c>
      <c r="E1069">
        <v>5280</v>
      </c>
      <c r="F1069">
        <v>845</v>
      </c>
      <c r="G1069">
        <v>0</v>
      </c>
      <c r="H1069">
        <v>0</v>
      </c>
      <c r="I1069">
        <v>38</v>
      </c>
      <c r="J1069">
        <v>6125</v>
      </c>
      <c r="K1069" t="s">
        <v>10478</v>
      </c>
      <c r="L1069" s="1">
        <v>41230</v>
      </c>
      <c r="N1069" t="s">
        <v>6694</v>
      </c>
      <c r="O1069" t="s">
        <v>3507</v>
      </c>
      <c r="P1069" t="s">
        <v>310</v>
      </c>
      <c r="Q1069" t="s">
        <v>39</v>
      </c>
      <c r="R1069" t="s">
        <v>40</v>
      </c>
      <c r="S1069">
        <v>0</v>
      </c>
      <c r="U1069" t="s">
        <v>41</v>
      </c>
      <c r="V1069" t="s">
        <v>42</v>
      </c>
      <c r="X1069" t="s">
        <v>74</v>
      </c>
      <c r="Y1069" t="b">
        <v>0</v>
      </c>
      <c r="Z1069" t="b">
        <v>0</v>
      </c>
      <c r="AC1069" s="1"/>
      <c r="AF1069">
        <v>0</v>
      </c>
      <c r="AG1069">
        <v>45</v>
      </c>
      <c r="AH1069">
        <v>83</v>
      </c>
      <c r="AI1069" s="2">
        <f>Table__192.168.3.138BEWLPPMetaData[[#This Row],[NetAmount]]-Table__192.168.3.138BEWLPPMetaData[[#This Row],[Paid]]</f>
        <v>6125</v>
      </c>
    </row>
    <row r="1070" spans="1:35" hidden="1">
      <c r="A1070" t="s">
        <v>10479</v>
      </c>
      <c r="B1070" s="1">
        <v>41223</v>
      </c>
      <c r="C1070" s="1">
        <v>41268</v>
      </c>
      <c r="D1070" t="s">
        <v>5529</v>
      </c>
      <c r="E1070">
        <v>141480</v>
      </c>
      <c r="F1070">
        <v>22637</v>
      </c>
      <c r="G1070">
        <v>0</v>
      </c>
      <c r="H1070">
        <v>0</v>
      </c>
      <c r="I1070">
        <v>49</v>
      </c>
      <c r="J1070">
        <v>164117</v>
      </c>
      <c r="K1070" t="s">
        <v>10480</v>
      </c>
      <c r="L1070" s="1">
        <v>41219</v>
      </c>
      <c r="N1070" t="s">
        <v>6694</v>
      </c>
      <c r="O1070" t="s">
        <v>3507</v>
      </c>
      <c r="P1070" t="s">
        <v>8614</v>
      </c>
      <c r="Q1070" t="s">
        <v>39</v>
      </c>
      <c r="R1070" t="s">
        <v>40</v>
      </c>
      <c r="S1070">
        <v>0</v>
      </c>
      <c r="U1070" t="s">
        <v>41</v>
      </c>
      <c r="V1070" t="s">
        <v>42</v>
      </c>
      <c r="X1070" t="s">
        <v>74</v>
      </c>
      <c r="Y1070" t="b">
        <v>0</v>
      </c>
      <c r="Z1070" t="b">
        <v>0</v>
      </c>
      <c r="AC1070" s="1"/>
      <c r="AF1070">
        <v>0</v>
      </c>
      <c r="AG1070">
        <v>45</v>
      </c>
      <c r="AH1070">
        <v>94</v>
      </c>
      <c r="AI1070" s="2">
        <f>Table__192.168.3.138BEWLPPMetaData[[#This Row],[NetAmount]]-Table__192.168.3.138BEWLPPMetaData[[#This Row],[Paid]]</f>
        <v>164117</v>
      </c>
    </row>
    <row r="1071" spans="1:35" hidden="1">
      <c r="A1071" t="s">
        <v>10481</v>
      </c>
      <c r="B1071" s="1">
        <v>41223</v>
      </c>
      <c r="C1071" s="1">
        <v>41268</v>
      </c>
      <c r="D1071" t="s">
        <v>10482</v>
      </c>
      <c r="E1071">
        <v>246500</v>
      </c>
      <c r="F1071">
        <v>39440</v>
      </c>
      <c r="G1071">
        <v>0</v>
      </c>
      <c r="H1071">
        <v>0</v>
      </c>
      <c r="I1071">
        <v>45</v>
      </c>
      <c r="J1071">
        <v>285940</v>
      </c>
      <c r="K1071" t="s">
        <v>10483</v>
      </c>
      <c r="L1071" s="1">
        <v>41223</v>
      </c>
      <c r="N1071" t="s">
        <v>6694</v>
      </c>
      <c r="O1071" t="s">
        <v>3507</v>
      </c>
      <c r="P1071" t="s">
        <v>10484</v>
      </c>
      <c r="Q1071" t="s">
        <v>39</v>
      </c>
      <c r="R1071" t="s">
        <v>40</v>
      </c>
      <c r="S1071">
        <v>0</v>
      </c>
      <c r="U1071" t="s">
        <v>41</v>
      </c>
      <c r="V1071" t="s">
        <v>42</v>
      </c>
      <c r="X1071" t="s">
        <v>74</v>
      </c>
      <c r="Y1071" t="b">
        <v>0</v>
      </c>
      <c r="Z1071" t="b">
        <v>0</v>
      </c>
      <c r="AB1071" t="s">
        <v>10485</v>
      </c>
      <c r="AC1071" s="1">
        <v>41307</v>
      </c>
      <c r="AF1071">
        <v>0</v>
      </c>
      <c r="AG1071">
        <v>45</v>
      </c>
      <c r="AH1071">
        <v>90</v>
      </c>
      <c r="AI1071" s="2">
        <f>Table__192.168.3.138BEWLPPMetaData[[#This Row],[NetAmount]]-Table__192.168.3.138BEWLPPMetaData[[#This Row],[Paid]]</f>
        <v>285940</v>
      </c>
    </row>
    <row r="1072" spans="1:35" hidden="1">
      <c r="A1072" t="s">
        <v>10486</v>
      </c>
      <c r="B1072" s="1">
        <v>41235</v>
      </c>
      <c r="C1072" s="1">
        <v>41280</v>
      </c>
      <c r="D1072" t="s">
        <v>8570</v>
      </c>
      <c r="E1072">
        <v>93520</v>
      </c>
      <c r="F1072">
        <v>14963</v>
      </c>
      <c r="G1072">
        <v>0</v>
      </c>
      <c r="H1072">
        <v>0</v>
      </c>
      <c r="I1072">
        <v>39</v>
      </c>
      <c r="J1072">
        <v>108483</v>
      </c>
      <c r="K1072" t="s">
        <v>10487</v>
      </c>
      <c r="L1072" s="1">
        <v>41229</v>
      </c>
      <c r="N1072" t="s">
        <v>6694</v>
      </c>
      <c r="O1072" t="s">
        <v>3507</v>
      </c>
      <c r="P1072" t="s">
        <v>8571</v>
      </c>
      <c r="Q1072" t="s">
        <v>39</v>
      </c>
      <c r="R1072" t="s">
        <v>40</v>
      </c>
      <c r="S1072">
        <v>0</v>
      </c>
      <c r="U1072" t="s">
        <v>41</v>
      </c>
      <c r="V1072" t="s">
        <v>42</v>
      </c>
      <c r="X1072" t="s">
        <v>74</v>
      </c>
      <c r="Y1072" t="b">
        <v>0</v>
      </c>
      <c r="Z1072" t="b">
        <v>0</v>
      </c>
      <c r="AC1072" s="1"/>
      <c r="AF1072">
        <v>0</v>
      </c>
      <c r="AG1072">
        <v>45</v>
      </c>
      <c r="AH1072">
        <v>84</v>
      </c>
      <c r="AI1072" s="2">
        <f>Table__192.168.3.138BEWLPPMetaData[[#This Row],[NetAmount]]-Table__192.168.3.138BEWLPPMetaData[[#This Row],[Paid]]</f>
        <v>108483</v>
      </c>
    </row>
    <row r="1073" spans="1:35" hidden="1">
      <c r="A1073" t="s">
        <v>10488</v>
      </c>
      <c r="B1073" s="1">
        <v>41230</v>
      </c>
      <c r="C1073" s="1">
        <v>41275</v>
      </c>
      <c r="D1073" t="s">
        <v>8563</v>
      </c>
      <c r="E1073">
        <v>165000</v>
      </c>
      <c r="F1073">
        <v>26400</v>
      </c>
      <c r="G1073">
        <v>0</v>
      </c>
      <c r="H1073">
        <v>0</v>
      </c>
      <c r="I1073">
        <v>40</v>
      </c>
      <c r="J1073">
        <v>191400</v>
      </c>
      <c r="K1073" t="s">
        <v>4089</v>
      </c>
      <c r="L1073" s="1">
        <v>41228</v>
      </c>
      <c r="N1073" t="s">
        <v>6694</v>
      </c>
      <c r="O1073" t="s">
        <v>3507</v>
      </c>
      <c r="P1073" t="s">
        <v>409</v>
      </c>
      <c r="Q1073" t="s">
        <v>39</v>
      </c>
      <c r="R1073" t="s">
        <v>40</v>
      </c>
      <c r="S1073">
        <v>0</v>
      </c>
      <c r="U1073" t="s">
        <v>41</v>
      </c>
      <c r="V1073" t="s">
        <v>42</v>
      </c>
      <c r="X1073" t="s">
        <v>74</v>
      </c>
      <c r="Y1073" t="b">
        <v>0</v>
      </c>
      <c r="Z1073" t="b">
        <v>0</v>
      </c>
      <c r="AC1073" s="1"/>
      <c r="AF1073">
        <v>0</v>
      </c>
      <c r="AG1073">
        <v>45</v>
      </c>
      <c r="AH1073">
        <v>85</v>
      </c>
      <c r="AI1073" s="2">
        <f>Table__192.168.3.138BEWLPPMetaData[[#This Row],[NetAmount]]-Table__192.168.3.138BEWLPPMetaData[[#This Row],[Paid]]</f>
        <v>191400</v>
      </c>
    </row>
    <row r="1074" spans="1:35" hidden="1">
      <c r="A1074" t="s">
        <v>10489</v>
      </c>
      <c r="B1074" s="1">
        <v>41199</v>
      </c>
      <c r="C1074" s="1">
        <v>41244</v>
      </c>
      <c r="D1074" t="s">
        <v>8657</v>
      </c>
      <c r="E1074">
        <v>61600</v>
      </c>
      <c r="F1074">
        <v>9856</v>
      </c>
      <c r="G1074">
        <v>0</v>
      </c>
      <c r="H1074">
        <v>0</v>
      </c>
      <c r="I1074">
        <v>69</v>
      </c>
      <c r="J1074">
        <v>71456</v>
      </c>
      <c r="K1074" t="s">
        <v>10490</v>
      </c>
      <c r="L1074" s="1">
        <v>41199</v>
      </c>
      <c r="N1074" t="s">
        <v>6694</v>
      </c>
      <c r="O1074" t="s">
        <v>3507</v>
      </c>
      <c r="P1074" t="s">
        <v>8659</v>
      </c>
      <c r="Q1074" t="s">
        <v>39</v>
      </c>
      <c r="R1074" t="s">
        <v>40</v>
      </c>
      <c r="S1074">
        <v>0</v>
      </c>
      <c r="U1074" t="s">
        <v>41</v>
      </c>
      <c r="V1074" t="s">
        <v>42</v>
      </c>
      <c r="X1074" t="s">
        <v>74</v>
      </c>
      <c r="Y1074" t="b">
        <v>0</v>
      </c>
      <c r="Z1074" t="b">
        <v>0</v>
      </c>
      <c r="AC1074" s="1"/>
      <c r="AF1074">
        <v>0</v>
      </c>
      <c r="AG1074">
        <v>45</v>
      </c>
      <c r="AH1074">
        <v>114</v>
      </c>
      <c r="AI1074" s="2">
        <f>Table__192.168.3.138BEWLPPMetaData[[#This Row],[NetAmount]]-Table__192.168.3.138BEWLPPMetaData[[#This Row],[Paid]]</f>
        <v>71456</v>
      </c>
    </row>
    <row r="1075" spans="1:35" hidden="1">
      <c r="A1075" t="s">
        <v>10491</v>
      </c>
      <c r="B1075" s="1">
        <v>41205</v>
      </c>
      <c r="C1075" s="1">
        <v>41250</v>
      </c>
      <c r="D1075" t="s">
        <v>8657</v>
      </c>
      <c r="E1075">
        <v>35200</v>
      </c>
      <c r="F1075">
        <v>5632</v>
      </c>
      <c r="G1075">
        <v>0</v>
      </c>
      <c r="H1075">
        <v>0</v>
      </c>
      <c r="I1075">
        <v>63</v>
      </c>
      <c r="J1075">
        <v>40832</v>
      </c>
      <c r="K1075" t="s">
        <v>10492</v>
      </c>
      <c r="L1075" s="1">
        <v>41205</v>
      </c>
      <c r="N1075" t="s">
        <v>6694</v>
      </c>
      <c r="O1075" t="s">
        <v>3507</v>
      </c>
      <c r="P1075" t="s">
        <v>8659</v>
      </c>
      <c r="Q1075" t="s">
        <v>39</v>
      </c>
      <c r="R1075" t="s">
        <v>40</v>
      </c>
      <c r="S1075">
        <v>0</v>
      </c>
      <c r="U1075" t="s">
        <v>41</v>
      </c>
      <c r="V1075" t="s">
        <v>42</v>
      </c>
      <c r="X1075" t="s">
        <v>74</v>
      </c>
      <c r="Y1075" t="b">
        <v>0</v>
      </c>
      <c r="Z1075" t="b">
        <v>0</v>
      </c>
      <c r="AC1075" s="1"/>
      <c r="AF1075">
        <v>0</v>
      </c>
      <c r="AG1075">
        <v>45</v>
      </c>
      <c r="AH1075">
        <v>108</v>
      </c>
      <c r="AI1075" s="2">
        <f>Table__192.168.3.138BEWLPPMetaData[[#This Row],[NetAmount]]-Table__192.168.3.138BEWLPPMetaData[[#This Row],[Paid]]</f>
        <v>40832</v>
      </c>
    </row>
    <row r="1076" spans="1:35" hidden="1">
      <c r="A1076" t="s">
        <v>10493</v>
      </c>
      <c r="B1076" s="1">
        <v>41229</v>
      </c>
      <c r="C1076" s="1">
        <v>41274</v>
      </c>
      <c r="D1076" t="s">
        <v>8657</v>
      </c>
      <c r="E1076">
        <v>26400</v>
      </c>
      <c r="F1076">
        <v>4224</v>
      </c>
      <c r="G1076">
        <v>0</v>
      </c>
      <c r="H1076">
        <v>0</v>
      </c>
      <c r="I1076">
        <v>39</v>
      </c>
      <c r="J1076">
        <v>30624</v>
      </c>
      <c r="K1076" t="s">
        <v>10494</v>
      </c>
      <c r="L1076" s="1">
        <v>41229</v>
      </c>
      <c r="N1076" t="s">
        <v>6694</v>
      </c>
      <c r="O1076" t="s">
        <v>3507</v>
      </c>
      <c r="P1076" t="s">
        <v>8659</v>
      </c>
      <c r="Q1076" t="s">
        <v>39</v>
      </c>
      <c r="R1076" t="s">
        <v>40</v>
      </c>
      <c r="S1076">
        <v>0</v>
      </c>
      <c r="U1076" t="s">
        <v>41</v>
      </c>
      <c r="V1076" t="s">
        <v>42</v>
      </c>
      <c r="X1076" t="s">
        <v>74</v>
      </c>
      <c r="Y1076" t="b">
        <v>0</v>
      </c>
      <c r="Z1076" t="b">
        <v>0</v>
      </c>
      <c r="AC1076" s="1"/>
      <c r="AF1076">
        <v>0</v>
      </c>
      <c r="AG1076">
        <v>45</v>
      </c>
      <c r="AH1076">
        <v>84</v>
      </c>
      <c r="AI1076" s="2">
        <f>Table__192.168.3.138BEWLPPMetaData[[#This Row],[NetAmount]]-Table__192.168.3.138BEWLPPMetaData[[#This Row],[Paid]]</f>
        <v>30624</v>
      </c>
    </row>
    <row r="1077" spans="1:35" hidden="1">
      <c r="A1077" t="s">
        <v>10495</v>
      </c>
      <c r="B1077" s="1">
        <v>41114</v>
      </c>
      <c r="C1077" s="1">
        <v>41159</v>
      </c>
      <c r="D1077" t="s">
        <v>8657</v>
      </c>
      <c r="E1077">
        <v>17600</v>
      </c>
      <c r="F1077">
        <v>2816</v>
      </c>
      <c r="G1077">
        <v>0</v>
      </c>
      <c r="H1077">
        <v>0</v>
      </c>
      <c r="I1077">
        <v>102</v>
      </c>
      <c r="J1077">
        <v>20416</v>
      </c>
      <c r="K1077" t="s">
        <v>10496</v>
      </c>
      <c r="L1077" s="1">
        <v>41166</v>
      </c>
      <c r="N1077" t="s">
        <v>6694</v>
      </c>
      <c r="O1077" t="s">
        <v>3507</v>
      </c>
      <c r="P1077" t="s">
        <v>8659</v>
      </c>
      <c r="Q1077" t="s">
        <v>39</v>
      </c>
      <c r="R1077" t="s">
        <v>40</v>
      </c>
      <c r="S1077">
        <v>0</v>
      </c>
      <c r="U1077" t="s">
        <v>41</v>
      </c>
      <c r="V1077" t="s">
        <v>42</v>
      </c>
      <c r="X1077" t="s">
        <v>74</v>
      </c>
      <c r="Y1077" t="b">
        <v>0</v>
      </c>
      <c r="Z1077" t="b">
        <v>0</v>
      </c>
      <c r="AC1077" s="1"/>
      <c r="AF1077">
        <v>0</v>
      </c>
      <c r="AG1077">
        <v>45</v>
      </c>
      <c r="AH1077">
        <v>147</v>
      </c>
      <c r="AI1077" s="2">
        <f>Table__192.168.3.138BEWLPPMetaData[[#This Row],[NetAmount]]-Table__192.168.3.138BEWLPPMetaData[[#This Row],[Paid]]</f>
        <v>20416</v>
      </c>
    </row>
    <row r="1078" spans="1:35" hidden="1">
      <c r="A1078" t="s">
        <v>10497</v>
      </c>
      <c r="B1078" s="1">
        <v>41180</v>
      </c>
      <c r="C1078" s="1">
        <v>41225</v>
      </c>
      <c r="D1078" t="s">
        <v>8657</v>
      </c>
      <c r="E1078">
        <v>88000</v>
      </c>
      <c r="F1078">
        <v>14080</v>
      </c>
      <c r="G1078">
        <v>0</v>
      </c>
      <c r="H1078">
        <v>0</v>
      </c>
      <c r="I1078">
        <v>102</v>
      </c>
      <c r="J1078">
        <v>102080</v>
      </c>
      <c r="K1078" t="s">
        <v>10496</v>
      </c>
      <c r="L1078" s="1">
        <v>41166</v>
      </c>
      <c r="N1078" t="s">
        <v>6694</v>
      </c>
      <c r="O1078" t="s">
        <v>3507</v>
      </c>
      <c r="P1078" t="s">
        <v>8659</v>
      </c>
      <c r="Q1078" t="s">
        <v>39</v>
      </c>
      <c r="R1078" t="s">
        <v>40</v>
      </c>
      <c r="S1078">
        <v>0</v>
      </c>
      <c r="U1078" t="s">
        <v>41</v>
      </c>
      <c r="V1078" t="s">
        <v>42</v>
      </c>
      <c r="X1078" t="s">
        <v>74</v>
      </c>
      <c r="Y1078" t="b">
        <v>0</v>
      </c>
      <c r="Z1078" t="b">
        <v>0</v>
      </c>
      <c r="AC1078" s="1"/>
      <c r="AF1078">
        <v>0</v>
      </c>
      <c r="AG1078">
        <v>45</v>
      </c>
      <c r="AH1078">
        <v>147</v>
      </c>
      <c r="AI1078" s="2">
        <f>Table__192.168.3.138BEWLPPMetaData[[#This Row],[NetAmount]]-Table__192.168.3.138BEWLPPMetaData[[#This Row],[Paid]]</f>
        <v>102080</v>
      </c>
    </row>
    <row r="1079" spans="1:35" hidden="1">
      <c r="A1079" t="s">
        <v>10498</v>
      </c>
      <c r="B1079" s="1">
        <v>41120</v>
      </c>
      <c r="C1079" s="1">
        <v>41165</v>
      </c>
      <c r="D1079" t="s">
        <v>8657</v>
      </c>
      <c r="E1079">
        <v>44000</v>
      </c>
      <c r="F1079">
        <v>7040</v>
      </c>
      <c r="G1079">
        <v>0</v>
      </c>
      <c r="H1079">
        <v>0</v>
      </c>
      <c r="I1079">
        <v>119</v>
      </c>
      <c r="J1079">
        <v>51040</v>
      </c>
      <c r="K1079" t="s">
        <v>10277</v>
      </c>
      <c r="L1079" s="1">
        <v>41149</v>
      </c>
      <c r="N1079" t="s">
        <v>6694</v>
      </c>
      <c r="O1079" t="s">
        <v>3507</v>
      </c>
      <c r="P1079" t="s">
        <v>8659</v>
      </c>
      <c r="Q1079" t="s">
        <v>39</v>
      </c>
      <c r="R1079" t="s">
        <v>40</v>
      </c>
      <c r="S1079">
        <v>0</v>
      </c>
      <c r="U1079" t="s">
        <v>41</v>
      </c>
      <c r="V1079" t="s">
        <v>42</v>
      </c>
      <c r="X1079" t="s">
        <v>74</v>
      </c>
      <c r="Y1079" t="b">
        <v>0</v>
      </c>
      <c r="Z1079" t="b">
        <v>0</v>
      </c>
      <c r="AC1079" s="1"/>
      <c r="AF1079">
        <v>0</v>
      </c>
      <c r="AG1079">
        <v>45</v>
      </c>
      <c r="AH1079">
        <v>164</v>
      </c>
      <c r="AI1079" s="2">
        <f>Table__192.168.3.138BEWLPPMetaData[[#This Row],[NetAmount]]-Table__192.168.3.138BEWLPPMetaData[[#This Row],[Paid]]</f>
        <v>51040</v>
      </c>
    </row>
    <row r="1080" spans="1:35" hidden="1">
      <c r="A1080" t="s">
        <v>10499</v>
      </c>
      <c r="B1080" s="1">
        <v>41108</v>
      </c>
      <c r="C1080" s="1">
        <v>41153</v>
      </c>
      <c r="D1080" t="s">
        <v>8657</v>
      </c>
      <c r="E1080">
        <v>61600</v>
      </c>
      <c r="F1080">
        <v>9856</v>
      </c>
      <c r="G1080">
        <v>0</v>
      </c>
      <c r="H1080">
        <v>0</v>
      </c>
      <c r="I1080">
        <v>93</v>
      </c>
      <c r="J1080">
        <v>71456</v>
      </c>
      <c r="K1080" t="s">
        <v>10500</v>
      </c>
      <c r="L1080" s="1">
        <v>41175</v>
      </c>
      <c r="N1080" t="s">
        <v>6694</v>
      </c>
      <c r="O1080" t="s">
        <v>3507</v>
      </c>
      <c r="P1080" t="s">
        <v>8659</v>
      </c>
      <c r="Q1080" t="s">
        <v>39</v>
      </c>
      <c r="R1080" t="s">
        <v>40</v>
      </c>
      <c r="S1080">
        <v>0</v>
      </c>
      <c r="U1080" t="s">
        <v>41</v>
      </c>
      <c r="V1080" t="s">
        <v>42</v>
      </c>
      <c r="X1080" t="s">
        <v>74</v>
      </c>
      <c r="Y1080" t="b">
        <v>0</v>
      </c>
      <c r="Z1080" t="b">
        <v>0</v>
      </c>
      <c r="AC1080" s="1"/>
      <c r="AF1080">
        <v>0</v>
      </c>
      <c r="AG1080">
        <v>45</v>
      </c>
      <c r="AH1080">
        <v>138</v>
      </c>
      <c r="AI1080" s="2">
        <f>Table__192.168.3.138BEWLPPMetaData[[#This Row],[NetAmount]]-Table__192.168.3.138BEWLPPMetaData[[#This Row],[Paid]]</f>
        <v>71456</v>
      </c>
    </row>
    <row r="1081" spans="1:35" hidden="1">
      <c r="A1081" t="s">
        <v>10501</v>
      </c>
      <c r="B1081" s="1">
        <v>41132</v>
      </c>
      <c r="C1081" s="1">
        <v>41177</v>
      </c>
      <c r="D1081" t="s">
        <v>8657</v>
      </c>
      <c r="E1081">
        <v>35200</v>
      </c>
      <c r="F1081">
        <v>5632</v>
      </c>
      <c r="G1081">
        <v>0</v>
      </c>
      <c r="H1081">
        <v>0</v>
      </c>
      <c r="I1081">
        <v>55</v>
      </c>
      <c r="J1081">
        <v>40832</v>
      </c>
      <c r="K1081" t="s">
        <v>10502</v>
      </c>
      <c r="L1081" s="1">
        <v>41213</v>
      </c>
      <c r="N1081" t="s">
        <v>6694</v>
      </c>
      <c r="O1081" t="s">
        <v>3507</v>
      </c>
      <c r="P1081" t="s">
        <v>8659</v>
      </c>
      <c r="Q1081" t="s">
        <v>39</v>
      </c>
      <c r="R1081" t="s">
        <v>40</v>
      </c>
      <c r="S1081">
        <v>0</v>
      </c>
      <c r="U1081" t="s">
        <v>41</v>
      </c>
      <c r="V1081" t="s">
        <v>42</v>
      </c>
      <c r="X1081" t="s">
        <v>74</v>
      </c>
      <c r="Y1081" t="b">
        <v>0</v>
      </c>
      <c r="Z1081" t="b">
        <v>0</v>
      </c>
      <c r="AC1081" s="1"/>
      <c r="AF1081">
        <v>0</v>
      </c>
      <c r="AG1081">
        <v>45</v>
      </c>
      <c r="AH1081">
        <v>100</v>
      </c>
      <c r="AI1081" s="2">
        <f>Table__192.168.3.138BEWLPPMetaData[[#This Row],[NetAmount]]-Table__192.168.3.138BEWLPPMetaData[[#This Row],[Paid]]</f>
        <v>40832</v>
      </c>
    </row>
    <row r="1082" spans="1:35" hidden="1">
      <c r="A1082" t="s">
        <v>10503</v>
      </c>
      <c r="B1082" s="1">
        <v>41216</v>
      </c>
      <c r="C1082" s="1">
        <v>41261</v>
      </c>
      <c r="D1082" t="s">
        <v>5469</v>
      </c>
      <c r="E1082">
        <v>34000</v>
      </c>
      <c r="F1082">
        <v>5440</v>
      </c>
      <c r="G1082">
        <v>0</v>
      </c>
      <c r="H1082">
        <v>0</v>
      </c>
      <c r="I1082">
        <v>52</v>
      </c>
      <c r="J1082">
        <v>39440</v>
      </c>
      <c r="K1082" t="s">
        <v>4004</v>
      </c>
      <c r="L1082" s="1">
        <v>41216</v>
      </c>
      <c r="N1082" t="s">
        <v>6694</v>
      </c>
      <c r="O1082" t="s">
        <v>3507</v>
      </c>
      <c r="P1082" t="s">
        <v>368</v>
      </c>
      <c r="Q1082" t="s">
        <v>39</v>
      </c>
      <c r="R1082" t="s">
        <v>40</v>
      </c>
      <c r="S1082">
        <v>0</v>
      </c>
      <c r="U1082" t="s">
        <v>41</v>
      </c>
      <c r="V1082" t="s">
        <v>42</v>
      </c>
      <c r="X1082" t="s">
        <v>74</v>
      </c>
      <c r="Y1082" t="b">
        <v>0</v>
      </c>
      <c r="Z1082" t="b">
        <v>0</v>
      </c>
      <c r="AC1082" s="1"/>
      <c r="AF1082">
        <v>0</v>
      </c>
      <c r="AG1082">
        <v>45</v>
      </c>
      <c r="AH1082">
        <v>97</v>
      </c>
      <c r="AI1082" s="2">
        <f>Table__192.168.3.138BEWLPPMetaData[[#This Row],[NetAmount]]-Table__192.168.3.138BEWLPPMetaData[[#This Row],[Paid]]</f>
        <v>39440</v>
      </c>
    </row>
    <row r="1083" spans="1:35" hidden="1">
      <c r="A1083" t="s">
        <v>10504</v>
      </c>
      <c r="B1083" s="1">
        <v>41225</v>
      </c>
      <c r="C1083" s="1">
        <v>41270</v>
      </c>
      <c r="D1083" t="s">
        <v>5469</v>
      </c>
      <c r="E1083">
        <v>34000</v>
      </c>
      <c r="F1083">
        <v>5440</v>
      </c>
      <c r="G1083">
        <v>0</v>
      </c>
      <c r="H1083">
        <v>0</v>
      </c>
      <c r="I1083">
        <v>43</v>
      </c>
      <c r="J1083">
        <v>39440</v>
      </c>
      <c r="K1083" t="s">
        <v>5204</v>
      </c>
      <c r="L1083" s="1">
        <v>41225</v>
      </c>
      <c r="N1083" t="s">
        <v>6694</v>
      </c>
      <c r="O1083" t="s">
        <v>3507</v>
      </c>
      <c r="P1083" t="s">
        <v>368</v>
      </c>
      <c r="Q1083" t="s">
        <v>39</v>
      </c>
      <c r="R1083" t="s">
        <v>40</v>
      </c>
      <c r="S1083">
        <v>0</v>
      </c>
      <c r="U1083" t="s">
        <v>41</v>
      </c>
      <c r="V1083" t="s">
        <v>42</v>
      </c>
      <c r="X1083" t="s">
        <v>74</v>
      </c>
      <c r="Y1083" t="b">
        <v>0</v>
      </c>
      <c r="Z1083" t="b">
        <v>0</v>
      </c>
      <c r="AC1083" s="1"/>
      <c r="AF1083">
        <v>0</v>
      </c>
      <c r="AG1083">
        <v>45</v>
      </c>
      <c r="AH1083">
        <v>88</v>
      </c>
      <c r="AI1083" s="2">
        <f>Table__192.168.3.138BEWLPPMetaData[[#This Row],[NetAmount]]-Table__192.168.3.138BEWLPPMetaData[[#This Row],[Paid]]</f>
        <v>39440</v>
      </c>
    </row>
    <row r="1084" spans="1:35" hidden="1">
      <c r="A1084" t="s">
        <v>10505</v>
      </c>
      <c r="B1084" s="1">
        <v>41230</v>
      </c>
      <c r="C1084" s="1">
        <v>41275</v>
      </c>
      <c r="D1084" t="s">
        <v>5529</v>
      </c>
      <c r="E1084">
        <v>141480</v>
      </c>
      <c r="F1084">
        <v>22637</v>
      </c>
      <c r="G1084">
        <v>0</v>
      </c>
      <c r="H1084">
        <v>0</v>
      </c>
      <c r="I1084">
        <v>25</v>
      </c>
      <c r="J1084">
        <v>164117</v>
      </c>
      <c r="K1084" t="s">
        <v>10506</v>
      </c>
      <c r="L1084" s="1">
        <v>41243</v>
      </c>
      <c r="N1084" t="s">
        <v>6694</v>
      </c>
      <c r="O1084" t="s">
        <v>3507</v>
      </c>
      <c r="P1084" t="s">
        <v>8614</v>
      </c>
      <c r="Q1084" t="s">
        <v>39</v>
      </c>
      <c r="R1084" t="s">
        <v>40</v>
      </c>
      <c r="S1084">
        <v>0</v>
      </c>
      <c r="U1084" t="s">
        <v>41</v>
      </c>
      <c r="V1084" t="s">
        <v>42</v>
      </c>
      <c r="X1084" t="s">
        <v>74</v>
      </c>
      <c r="Y1084" t="b">
        <v>0</v>
      </c>
      <c r="Z1084" t="b">
        <v>0</v>
      </c>
      <c r="AC1084" s="1"/>
      <c r="AF1084">
        <v>0</v>
      </c>
      <c r="AG1084">
        <v>45</v>
      </c>
      <c r="AH1084">
        <v>70</v>
      </c>
      <c r="AI1084" s="2">
        <f>Table__192.168.3.138BEWLPPMetaData[[#This Row],[NetAmount]]-Table__192.168.3.138BEWLPPMetaData[[#This Row],[Paid]]</f>
        <v>164117</v>
      </c>
    </row>
    <row r="1085" spans="1:35" hidden="1">
      <c r="A1085" t="s">
        <v>10507</v>
      </c>
      <c r="B1085" s="1">
        <v>41240</v>
      </c>
      <c r="C1085" s="1">
        <v>41285</v>
      </c>
      <c r="D1085" t="s">
        <v>5529</v>
      </c>
      <c r="E1085">
        <v>141480</v>
      </c>
      <c r="F1085">
        <v>22637</v>
      </c>
      <c r="G1085">
        <v>0</v>
      </c>
      <c r="H1085">
        <v>0</v>
      </c>
      <c r="I1085">
        <v>25</v>
      </c>
      <c r="J1085">
        <v>164117</v>
      </c>
      <c r="K1085" t="s">
        <v>7208</v>
      </c>
      <c r="L1085" s="1">
        <v>41243</v>
      </c>
      <c r="N1085" t="s">
        <v>6694</v>
      </c>
      <c r="O1085" t="s">
        <v>3507</v>
      </c>
      <c r="P1085" t="s">
        <v>8614</v>
      </c>
      <c r="Q1085" t="s">
        <v>39</v>
      </c>
      <c r="R1085" t="s">
        <v>40</v>
      </c>
      <c r="S1085">
        <v>0</v>
      </c>
      <c r="U1085" t="s">
        <v>41</v>
      </c>
      <c r="V1085" t="s">
        <v>42</v>
      </c>
      <c r="X1085" t="s">
        <v>74</v>
      </c>
      <c r="Y1085" t="b">
        <v>0</v>
      </c>
      <c r="Z1085" t="b">
        <v>0</v>
      </c>
      <c r="AC1085" s="1"/>
      <c r="AF1085">
        <v>0</v>
      </c>
      <c r="AG1085">
        <v>45</v>
      </c>
      <c r="AH1085">
        <v>70</v>
      </c>
      <c r="AI1085" s="2">
        <f>Table__192.168.3.138BEWLPPMetaData[[#This Row],[NetAmount]]-Table__192.168.3.138BEWLPPMetaData[[#This Row],[Paid]]</f>
        <v>164117</v>
      </c>
    </row>
    <row r="1086" spans="1:35" hidden="1">
      <c r="A1086" t="s">
        <v>10508</v>
      </c>
      <c r="B1086" s="1">
        <v>41241</v>
      </c>
      <c r="C1086" s="1">
        <v>41286</v>
      </c>
      <c r="D1086" t="s">
        <v>9145</v>
      </c>
      <c r="E1086">
        <v>11040</v>
      </c>
      <c r="F1086">
        <v>0</v>
      </c>
      <c r="G1086">
        <v>0</v>
      </c>
      <c r="H1086">
        <v>0</v>
      </c>
      <c r="I1086">
        <v>27</v>
      </c>
      <c r="J1086">
        <v>11040</v>
      </c>
      <c r="K1086" t="s">
        <v>10509</v>
      </c>
      <c r="L1086" s="1">
        <v>41241</v>
      </c>
      <c r="N1086" t="s">
        <v>6694</v>
      </c>
      <c r="O1086" t="s">
        <v>3507</v>
      </c>
      <c r="P1086" t="s">
        <v>362</v>
      </c>
      <c r="Q1086" t="s">
        <v>39</v>
      </c>
      <c r="R1086" t="s">
        <v>40</v>
      </c>
      <c r="S1086">
        <v>0</v>
      </c>
      <c r="U1086" t="s">
        <v>41</v>
      </c>
      <c r="V1086" t="s">
        <v>42</v>
      </c>
      <c r="X1086" t="s">
        <v>74</v>
      </c>
      <c r="Y1086" t="b">
        <v>0</v>
      </c>
      <c r="Z1086" t="b">
        <v>0</v>
      </c>
      <c r="AC1086" s="1"/>
      <c r="AF1086">
        <v>0</v>
      </c>
      <c r="AG1086">
        <v>45</v>
      </c>
      <c r="AH1086">
        <v>72</v>
      </c>
      <c r="AI1086" s="2">
        <f>Table__192.168.3.138BEWLPPMetaData[[#This Row],[NetAmount]]-Table__192.168.3.138BEWLPPMetaData[[#This Row],[Paid]]</f>
        <v>11040</v>
      </c>
    </row>
    <row r="1087" spans="1:35" hidden="1">
      <c r="A1087" t="s">
        <v>10510</v>
      </c>
      <c r="B1087" s="1">
        <v>41235</v>
      </c>
      <c r="C1087" s="1">
        <v>41280</v>
      </c>
      <c r="D1087" t="s">
        <v>8611</v>
      </c>
      <c r="E1087">
        <v>8046</v>
      </c>
      <c r="F1087">
        <v>1287</v>
      </c>
      <c r="G1087">
        <v>0</v>
      </c>
      <c r="H1087">
        <v>0</v>
      </c>
      <c r="I1087">
        <v>33</v>
      </c>
      <c r="J1087">
        <v>9333</v>
      </c>
      <c r="K1087" t="s">
        <v>10511</v>
      </c>
      <c r="L1087" s="1">
        <v>41235</v>
      </c>
      <c r="N1087" t="s">
        <v>6694</v>
      </c>
      <c r="O1087" t="s">
        <v>3507</v>
      </c>
      <c r="P1087" t="s">
        <v>8612</v>
      </c>
      <c r="Q1087" t="s">
        <v>39</v>
      </c>
      <c r="R1087" t="s">
        <v>40</v>
      </c>
      <c r="S1087">
        <v>0</v>
      </c>
      <c r="U1087" t="s">
        <v>41</v>
      </c>
      <c r="V1087" t="s">
        <v>42</v>
      </c>
      <c r="X1087" t="s">
        <v>74</v>
      </c>
      <c r="Y1087" t="b">
        <v>0</v>
      </c>
      <c r="Z1087" t="b">
        <v>0</v>
      </c>
      <c r="AC1087" s="1"/>
      <c r="AF1087">
        <v>0</v>
      </c>
      <c r="AG1087">
        <v>45</v>
      </c>
      <c r="AH1087">
        <v>78</v>
      </c>
      <c r="AI1087" s="2">
        <f>Table__192.168.3.138BEWLPPMetaData[[#This Row],[NetAmount]]-Table__192.168.3.138BEWLPPMetaData[[#This Row],[Paid]]</f>
        <v>9333</v>
      </c>
    </row>
    <row r="1088" spans="1:35" hidden="1">
      <c r="A1088" t="s">
        <v>10512</v>
      </c>
      <c r="B1088" s="1">
        <v>41239</v>
      </c>
      <c r="C1088" s="1">
        <v>41284</v>
      </c>
      <c r="D1088" t="s">
        <v>8611</v>
      </c>
      <c r="E1088">
        <v>14900</v>
      </c>
      <c r="F1088">
        <v>2384</v>
      </c>
      <c r="G1088">
        <v>0</v>
      </c>
      <c r="H1088">
        <v>0</v>
      </c>
      <c r="I1088">
        <v>32</v>
      </c>
      <c r="J1088">
        <v>17284</v>
      </c>
      <c r="K1088" t="s">
        <v>10513</v>
      </c>
      <c r="L1088" s="1">
        <v>41236</v>
      </c>
      <c r="N1088" t="s">
        <v>6694</v>
      </c>
      <c r="O1088" t="s">
        <v>3507</v>
      </c>
      <c r="P1088" t="s">
        <v>8612</v>
      </c>
      <c r="Q1088" t="s">
        <v>39</v>
      </c>
      <c r="R1088" t="s">
        <v>40</v>
      </c>
      <c r="S1088">
        <v>0</v>
      </c>
      <c r="U1088" t="s">
        <v>41</v>
      </c>
      <c r="V1088" t="s">
        <v>42</v>
      </c>
      <c r="X1088" t="s">
        <v>74</v>
      </c>
      <c r="Y1088" t="b">
        <v>0</v>
      </c>
      <c r="Z1088" t="b">
        <v>0</v>
      </c>
      <c r="AC1088" s="1"/>
      <c r="AF1088">
        <v>0</v>
      </c>
      <c r="AG1088">
        <v>45</v>
      </c>
      <c r="AH1088">
        <v>77</v>
      </c>
      <c r="AI1088" s="2">
        <f>Table__192.168.3.138BEWLPPMetaData[[#This Row],[NetAmount]]-Table__192.168.3.138BEWLPPMetaData[[#This Row],[Paid]]</f>
        <v>17284</v>
      </c>
    </row>
    <row r="1089" spans="1:35" hidden="1">
      <c r="A1089" t="s">
        <v>10514</v>
      </c>
      <c r="B1089" s="1">
        <v>41240</v>
      </c>
      <c r="C1089" s="1">
        <v>41285</v>
      </c>
      <c r="D1089" t="s">
        <v>8611</v>
      </c>
      <c r="E1089">
        <v>39743</v>
      </c>
      <c r="F1089">
        <v>6359</v>
      </c>
      <c r="G1089">
        <v>0</v>
      </c>
      <c r="H1089">
        <v>0</v>
      </c>
      <c r="I1089">
        <v>29</v>
      </c>
      <c r="J1089">
        <v>46102</v>
      </c>
      <c r="K1089" t="s">
        <v>10515</v>
      </c>
      <c r="L1089" s="1">
        <v>41239</v>
      </c>
      <c r="N1089" t="s">
        <v>6694</v>
      </c>
      <c r="O1089" t="s">
        <v>3507</v>
      </c>
      <c r="P1089" t="s">
        <v>8612</v>
      </c>
      <c r="Q1089" t="s">
        <v>39</v>
      </c>
      <c r="R1089" t="s">
        <v>40</v>
      </c>
      <c r="S1089">
        <v>0</v>
      </c>
      <c r="U1089" t="s">
        <v>41</v>
      </c>
      <c r="V1089" t="s">
        <v>42</v>
      </c>
      <c r="X1089" t="s">
        <v>74</v>
      </c>
      <c r="Y1089" t="b">
        <v>0</v>
      </c>
      <c r="Z1089" t="b">
        <v>0</v>
      </c>
      <c r="AC1089" s="1"/>
      <c r="AF1089">
        <v>0</v>
      </c>
      <c r="AG1089">
        <v>45</v>
      </c>
      <c r="AH1089">
        <v>74</v>
      </c>
      <c r="AI1089" s="2">
        <f>Table__192.168.3.138BEWLPPMetaData[[#This Row],[NetAmount]]-Table__192.168.3.138BEWLPPMetaData[[#This Row],[Paid]]</f>
        <v>46102</v>
      </c>
    </row>
    <row r="1090" spans="1:35" hidden="1">
      <c r="A1090" t="s">
        <v>10516</v>
      </c>
      <c r="B1090" s="1">
        <v>41243</v>
      </c>
      <c r="C1090" s="1">
        <v>41288</v>
      </c>
      <c r="D1090" t="s">
        <v>8611</v>
      </c>
      <c r="E1090">
        <v>79750</v>
      </c>
      <c r="F1090">
        <v>12760</v>
      </c>
      <c r="G1090">
        <v>0</v>
      </c>
      <c r="H1090">
        <v>0</v>
      </c>
      <c r="I1090">
        <v>26</v>
      </c>
      <c r="J1090">
        <v>92510</v>
      </c>
      <c r="K1090" t="s">
        <v>10517</v>
      </c>
      <c r="L1090" s="1">
        <v>41242</v>
      </c>
      <c r="N1090" t="s">
        <v>6694</v>
      </c>
      <c r="O1090" t="s">
        <v>3507</v>
      </c>
      <c r="P1090" t="s">
        <v>8612</v>
      </c>
      <c r="Q1090" t="s">
        <v>39</v>
      </c>
      <c r="R1090" t="s">
        <v>40</v>
      </c>
      <c r="S1090">
        <v>0</v>
      </c>
      <c r="U1090" t="s">
        <v>41</v>
      </c>
      <c r="V1090" t="s">
        <v>42</v>
      </c>
      <c r="X1090" t="s">
        <v>74</v>
      </c>
      <c r="Y1090" t="b">
        <v>0</v>
      </c>
      <c r="Z1090" t="b">
        <v>0</v>
      </c>
      <c r="AC1090" s="1"/>
      <c r="AF1090">
        <v>0</v>
      </c>
      <c r="AG1090">
        <v>45</v>
      </c>
      <c r="AH1090">
        <v>71</v>
      </c>
      <c r="AI1090" s="2">
        <f>Table__192.168.3.138BEWLPPMetaData[[#This Row],[NetAmount]]-Table__192.168.3.138BEWLPPMetaData[[#This Row],[Paid]]</f>
        <v>92510</v>
      </c>
    </row>
    <row r="1091" spans="1:35" hidden="1">
      <c r="A1091" t="s">
        <v>10518</v>
      </c>
      <c r="B1091" s="1">
        <v>41242</v>
      </c>
      <c r="C1091" s="1">
        <v>41287</v>
      </c>
      <c r="D1091" t="s">
        <v>8611</v>
      </c>
      <c r="E1091">
        <v>9312</v>
      </c>
      <c r="F1091">
        <v>1490</v>
      </c>
      <c r="G1091">
        <v>0</v>
      </c>
      <c r="H1091">
        <v>0</v>
      </c>
      <c r="I1091">
        <v>27</v>
      </c>
      <c r="J1091">
        <v>10802</v>
      </c>
      <c r="K1091" t="s">
        <v>10519</v>
      </c>
      <c r="L1091" s="1">
        <v>41241</v>
      </c>
      <c r="N1091" t="s">
        <v>6694</v>
      </c>
      <c r="O1091" t="s">
        <v>3507</v>
      </c>
      <c r="P1091" t="s">
        <v>8612</v>
      </c>
      <c r="Q1091" t="s">
        <v>39</v>
      </c>
      <c r="R1091" t="s">
        <v>40</v>
      </c>
      <c r="S1091">
        <v>0</v>
      </c>
      <c r="U1091" t="s">
        <v>41</v>
      </c>
      <c r="V1091" t="s">
        <v>42</v>
      </c>
      <c r="X1091" t="s">
        <v>74</v>
      </c>
      <c r="Y1091" t="b">
        <v>0</v>
      </c>
      <c r="Z1091" t="b">
        <v>0</v>
      </c>
      <c r="AC1091" s="1"/>
      <c r="AF1091">
        <v>0</v>
      </c>
      <c r="AG1091">
        <v>45</v>
      </c>
      <c r="AH1091">
        <v>72</v>
      </c>
      <c r="AI1091" s="2">
        <f>Table__192.168.3.138BEWLPPMetaData[[#This Row],[NetAmount]]-Table__192.168.3.138BEWLPPMetaData[[#This Row],[Paid]]</f>
        <v>10802</v>
      </c>
    </row>
    <row r="1092" spans="1:35" hidden="1">
      <c r="A1092" t="s">
        <v>10520</v>
      </c>
      <c r="B1092" s="1">
        <v>41241</v>
      </c>
      <c r="C1092" s="1">
        <v>41286</v>
      </c>
      <c r="D1092" t="s">
        <v>8611</v>
      </c>
      <c r="E1092">
        <v>31800</v>
      </c>
      <c r="F1092">
        <v>5088</v>
      </c>
      <c r="G1092">
        <v>0</v>
      </c>
      <c r="H1092">
        <v>0</v>
      </c>
      <c r="I1092">
        <v>28</v>
      </c>
      <c r="J1092">
        <v>36888</v>
      </c>
      <c r="K1092" t="s">
        <v>10521</v>
      </c>
      <c r="L1092" s="1">
        <v>41240</v>
      </c>
      <c r="N1092" t="s">
        <v>6694</v>
      </c>
      <c r="O1092" t="s">
        <v>3507</v>
      </c>
      <c r="P1092" t="s">
        <v>8612</v>
      </c>
      <c r="Q1092" t="s">
        <v>39</v>
      </c>
      <c r="R1092" t="s">
        <v>40</v>
      </c>
      <c r="S1092">
        <v>0</v>
      </c>
      <c r="U1092" t="s">
        <v>41</v>
      </c>
      <c r="V1092" t="s">
        <v>42</v>
      </c>
      <c r="X1092" t="s">
        <v>74</v>
      </c>
      <c r="Y1092" t="b">
        <v>0</v>
      </c>
      <c r="Z1092" t="b">
        <v>0</v>
      </c>
      <c r="AC1092" s="1"/>
      <c r="AF1092">
        <v>0</v>
      </c>
      <c r="AG1092">
        <v>45</v>
      </c>
      <c r="AH1092">
        <v>73</v>
      </c>
      <c r="AI1092" s="2">
        <f>Table__192.168.3.138BEWLPPMetaData[[#This Row],[NetAmount]]-Table__192.168.3.138BEWLPPMetaData[[#This Row],[Paid]]</f>
        <v>36888</v>
      </c>
    </row>
    <row r="1093" spans="1:35" hidden="1">
      <c r="A1093" t="s">
        <v>10522</v>
      </c>
      <c r="B1093" s="1">
        <v>41241</v>
      </c>
      <c r="C1093" s="1">
        <v>41286</v>
      </c>
      <c r="D1093" t="s">
        <v>9908</v>
      </c>
      <c r="E1093">
        <v>55440</v>
      </c>
      <c r="F1093">
        <v>8870</v>
      </c>
      <c r="G1093">
        <v>0</v>
      </c>
      <c r="H1093">
        <v>0</v>
      </c>
      <c r="I1093">
        <v>27</v>
      </c>
      <c r="J1093">
        <v>64310</v>
      </c>
      <c r="K1093" t="s">
        <v>10523</v>
      </c>
      <c r="L1093" s="1">
        <v>41241</v>
      </c>
      <c r="N1093" t="s">
        <v>6694</v>
      </c>
      <c r="O1093" t="s">
        <v>3507</v>
      </c>
      <c r="P1093" t="s">
        <v>426</v>
      </c>
      <c r="Q1093" t="s">
        <v>39</v>
      </c>
      <c r="R1093" t="s">
        <v>40</v>
      </c>
      <c r="S1093">
        <v>0</v>
      </c>
      <c r="U1093" t="s">
        <v>41</v>
      </c>
      <c r="V1093" t="s">
        <v>42</v>
      </c>
      <c r="X1093" t="s">
        <v>74</v>
      </c>
      <c r="Y1093" t="b">
        <v>0</v>
      </c>
      <c r="Z1093" t="b">
        <v>0</v>
      </c>
      <c r="AC1093" s="1"/>
      <c r="AF1093">
        <v>0</v>
      </c>
      <c r="AG1093">
        <v>45</v>
      </c>
      <c r="AH1093">
        <v>72</v>
      </c>
      <c r="AI1093" s="2">
        <f>Table__192.168.3.138BEWLPPMetaData[[#This Row],[NetAmount]]-Table__192.168.3.138BEWLPPMetaData[[#This Row],[Paid]]</f>
        <v>64310</v>
      </c>
    </row>
    <row r="1094" spans="1:35" hidden="1">
      <c r="A1094" t="s">
        <v>10524</v>
      </c>
      <c r="B1094" s="1">
        <v>41240</v>
      </c>
      <c r="C1094" s="1">
        <v>41285</v>
      </c>
      <c r="D1094" t="s">
        <v>5509</v>
      </c>
      <c r="E1094">
        <v>222115</v>
      </c>
      <c r="F1094">
        <v>35538</v>
      </c>
      <c r="G1094">
        <v>0</v>
      </c>
      <c r="H1094">
        <v>0</v>
      </c>
      <c r="I1094">
        <v>34</v>
      </c>
      <c r="J1094">
        <v>257653</v>
      </c>
      <c r="K1094" t="s">
        <v>10525</v>
      </c>
      <c r="L1094" s="1">
        <v>41234</v>
      </c>
      <c r="N1094" t="s">
        <v>6694</v>
      </c>
      <c r="O1094" t="s">
        <v>3507</v>
      </c>
      <c r="P1094" t="s">
        <v>354</v>
      </c>
      <c r="Q1094" t="s">
        <v>39</v>
      </c>
      <c r="R1094" t="s">
        <v>40</v>
      </c>
      <c r="S1094">
        <v>0</v>
      </c>
      <c r="U1094" t="s">
        <v>41</v>
      </c>
      <c r="V1094" t="s">
        <v>42</v>
      </c>
      <c r="X1094" t="s">
        <v>74</v>
      </c>
      <c r="Y1094" t="b">
        <v>0</v>
      </c>
      <c r="Z1094" t="b">
        <v>0</v>
      </c>
      <c r="AB1094" t="s">
        <v>8654</v>
      </c>
      <c r="AC1094" s="1">
        <v>41296</v>
      </c>
      <c r="AF1094">
        <v>0</v>
      </c>
      <c r="AG1094">
        <v>45</v>
      </c>
      <c r="AH1094">
        <v>79</v>
      </c>
      <c r="AI1094" s="2">
        <f>Table__192.168.3.138BEWLPPMetaData[[#This Row],[NetAmount]]-Table__192.168.3.138BEWLPPMetaData[[#This Row],[Paid]]</f>
        <v>257653</v>
      </c>
    </row>
    <row r="1095" spans="1:35" hidden="1">
      <c r="A1095" t="s">
        <v>10526</v>
      </c>
      <c r="B1095" s="1">
        <v>41216</v>
      </c>
      <c r="C1095" s="1">
        <v>41261</v>
      </c>
      <c r="D1095" t="s">
        <v>8630</v>
      </c>
      <c r="E1095">
        <v>15720</v>
      </c>
      <c r="F1095">
        <v>2515</v>
      </c>
      <c r="G1095">
        <v>0</v>
      </c>
      <c r="H1095">
        <v>0</v>
      </c>
      <c r="I1095">
        <v>40</v>
      </c>
      <c r="J1095">
        <v>18235</v>
      </c>
      <c r="K1095" t="s">
        <v>1254</v>
      </c>
      <c r="L1095" s="1">
        <v>41228</v>
      </c>
      <c r="N1095" t="s">
        <v>6694</v>
      </c>
      <c r="O1095" t="s">
        <v>3507</v>
      </c>
      <c r="P1095" t="s">
        <v>363</v>
      </c>
      <c r="Q1095" t="s">
        <v>39</v>
      </c>
      <c r="R1095" t="s">
        <v>40</v>
      </c>
      <c r="S1095">
        <v>0</v>
      </c>
      <c r="U1095" t="s">
        <v>41</v>
      </c>
      <c r="V1095" t="s">
        <v>42</v>
      </c>
      <c r="X1095" t="s">
        <v>74</v>
      </c>
      <c r="Y1095" t="b">
        <v>0</v>
      </c>
      <c r="Z1095" t="b">
        <v>0</v>
      </c>
      <c r="AC1095" s="1"/>
      <c r="AF1095">
        <v>0</v>
      </c>
      <c r="AG1095">
        <v>45</v>
      </c>
      <c r="AH1095">
        <v>85</v>
      </c>
      <c r="AI1095" s="2">
        <f>Table__192.168.3.138BEWLPPMetaData[[#This Row],[NetAmount]]-Table__192.168.3.138BEWLPPMetaData[[#This Row],[Paid]]</f>
        <v>18235</v>
      </c>
    </row>
    <row r="1096" spans="1:35" hidden="1">
      <c r="A1096" t="s">
        <v>10527</v>
      </c>
      <c r="B1096" s="1">
        <v>41228</v>
      </c>
      <c r="C1096" s="1">
        <v>41273</v>
      </c>
      <c r="D1096" t="s">
        <v>10400</v>
      </c>
      <c r="E1096">
        <v>8500</v>
      </c>
      <c r="F1096">
        <v>0</v>
      </c>
      <c r="G1096">
        <v>0</v>
      </c>
      <c r="H1096">
        <v>0</v>
      </c>
      <c r="I1096">
        <v>40</v>
      </c>
      <c r="J1096">
        <v>8500</v>
      </c>
      <c r="K1096" t="s">
        <v>10528</v>
      </c>
      <c r="L1096" s="1">
        <v>41228</v>
      </c>
      <c r="N1096" t="s">
        <v>6694</v>
      </c>
      <c r="O1096" t="s">
        <v>3507</v>
      </c>
      <c r="P1096" t="s">
        <v>10401</v>
      </c>
      <c r="Q1096" t="s">
        <v>39</v>
      </c>
      <c r="R1096" t="s">
        <v>40</v>
      </c>
      <c r="S1096">
        <v>0</v>
      </c>
      <c r="U1096" t="s">
        <v>41</v>
      </c>
      <c r="V1096" t="s">
        <v>42</v>
      </c>
      <c r="X1096" t="s">
        <v>74</v>
      </c>
      <c r="Y1096" t="b">
        <v>0</v>
      </c>
      <c r="Z1096" t="b">
        <v>0</v>
      </c>
      <c r="AC1096" s="1"/>
      <c r="AF1096">
        <v>0</v>
      </c>
      <c r="AG1096">
        <v>45</v>
      </c>
      <c r="AH1096">
        <v>85</v>
      </c>
      <c r="AI1096" s="2">
        <f>Table__192.168.3.138BEWLPPMetaData[[#This Row],[NetAmount]]-Table__192.168.3.138BEWLPPMetaData[[#This Row],[Paid]]</f>
        <v>8500</v>
      </c>
    </row>
    <row r="1097" spans="1:35" hidden="1">
      <c r="A1097" t="s">
        <v>10529</v>
      </c>
      <c r="B1097" s="1">
        <v>41241</v>
      </c>
      <c r="C1097" s="1">
        <v>41286</v>
      </c>
      <c r="D1097" t="s">
        <v>10400</v>
      </c>
      <c r="E1097">
        <v>21250</v>
      </c>
      <c r="F1097">
        <v>0</v>
      </c>
      <c r="G1097">
        <v>0</v>
      </c>
      <c r="H1097">
        <v>0</v>
      </c>
      <c r="I1097">
        <v>27</v>
      </c>
      <c r="J1097">
        <v>21250</v>
      </c>
      <c r="K1097" t="s">
        <v>9074</v>
      </c>
      <c r="L1097" s="1">
        <v>41241</v>
      </c>
      <c r="N1097" t="s">
        <v>6694</v>
      </c>
      <c r="O1097" t="s">
        <v>3507</v>
      </c>
      <c r="P1097" t="s">
        <v>10401</v>
      </c>
      <c r="Q1097" t="s">
        <v>39</v>
      </c>
      <c r="R1097" t="s">
        <v>40</v>
      </c>
      <c r="S1097">
        <v>0</v>
      </c>
      <c r="U1097" t="s">
        <v>41</v>
      </c>
      <c r="V1097" t="s">
        <v>42</v>
      </c>
      <c r="X1097" t="s">
        <v>74</v>
      </c>
      <c r="Y1097" t="b">
        <v>0</v>
      </c>
      <c r="Z1097" t="b">
        <v>0</v>
      </c>
      <c r="AC1097" s="1"/>
      <c r="AF1097">
        <v>0</v>
      </c>
      <c r="AG1097">
        <v>45</v>
      </c>
      <c r="AH1097">
        <v>72</v>
      </c>
      <c r="AI1097" s="2">
        <f>Table__192.168.3.138BEWLPPMetaData[[#This Row],[NetAmount]]-Table__192.168.3.138BEWLPPMetaData[[#This Row],[Paid]]</f>
        <v>21250</v>
      </c>
    </row>
    <row r="1098" spans="1:35" hidden="1">
      <c r="A1098" t="s">
        <v>10530</v>
      </c>
      <c r="B1098" s="1">
        <v>41219</v>
      </c>
      <c r="C1098" s="1">
        <v>41264</v>
      </c>
      <c r="D1098" t="s">
        <v>8527</v>
      </c>
      <c r="E1098">
        <v>29250</v>
      </c>
      <c r="F1098">
        <v>4680</v>
      </c>
      <c r="G1098">
        <v>0</v>
      </c>
      <c r="H1098">
        <v>0</v>
      </c>
      <c r="I1098">
        <v>50</v>
      </c>
      <c r="J1098">
        <v>33930</v>
      </c>
      <c r="K1098" t="s">
        <v>10531</v>
      </c>
      <c r="L1098" s="1">
        <v>41218</v>
      </c>
      <c r="N1098" t="s">
        <v>6694</v>
      </c>
      <c r="O1098" t="s">
        <v>3507</v>
      </c>
      <c r="P1098" t="s">
        <v>8528</v>
      </c>
      <c r="Q1098" t="s">
        <v>39</v>
      </c>
      <c r="R1098" t="s">
        <v>40</v>
      </c>
      <c r="S1098">
        <v>0</v>
      </c>
      <c r="U1098" t="s">
        <v>41</v>
      </c>
      <c r="V1098" t="s">
        <v>42</v>
      </c>
      <c r="X1098" t="s">
        <v>74</v>
      </c>
      <c r="Y1098" t="b">
        <v>0</v>
      </c>
      <c r="Z1098" t="b">
        <v>0</v>
      </c>
      <c r="AC1098" s="1"/>
      <c r="AF1098">
        <v>0</v>
      </c>
      <c r="AG1098">
        <v>45</v>
      </c>
      <c r="AH1098">
        <v>95</v>
      </c>
      <c r="AI1098" s="2">
        <f>Table__192.168.3.138BEWLPPMetaData[[#This Row],[NetAmount]]-Table__192.168.3.138BEWLPPMetaData[[#This Row],[Paid]]</f>
        <v>33930</v>
      </c>
    </row>
    <row r="1099" spans="1:35" hidden="1">
      <c r="A1099" t="s">
        <v>10532</v>
      </c>
      <c r="B1099" s="1">
        <v>41225</v>
      </c>
      <c r="C1099" s="1">
        <v>41270</v>
      </c>
      <c r="D1099" t="s">
        <v>8527</v>
      </c>
      <c r="E1099">
        <v>195000</v>
      </c>
      <c r="F1099">
        <v>31200</v>
      </c>
      <c r="G1099">
        <v>0</v>
      </c>
      <c r="H1099">
        <v>0</v>
      </c>
      <c r="I1099">
        <v>43</v>
      </c>
      <c r="J1099">
        <v>226200</v>
      </c>
      <c r="K1099" t="s">
        <v>10533</v>
      </c>
      <c r="L1099" s="1">
        <v>41225</v>
      </c>
      <c r="N1099" t="s">
        <v>6694</v>
      </c>
      <c r="O1099" t="s">
        <v>3507</v>
      </c>
      <c r="P1099" t="s">
        <v>8528</v>
      </c>
      <c r="Q1099" t="s">
        <v>39</v>
      </c>
      <c r="R1099" t="s">
        <v>40</v>
      </c>
      <c r="S1099">
        <v>0</v>
      </c>
      <c r="U1099" t="s">
        <v>41</v>
      </c>
      <c r="V1099" t="s">
        <v>42</v>
      </c>
      <c r="X1099" t="s">
        <v>74</v>
      </c>
      <c r="Y1099" t="b">
        <v>0</v>
      </c>
      <c r="Z1099" t="b">
        <v>0</v>
      </c>
      <c r="AC1099" s="1"/>
      <c r="AF1099">
        <v>0</v>
      </c>
      <c r="AG1099">
        <v>45</v>
      </c>
      <c r="AH1099">
        <v>88</v>
      </c>
      <c r="AI1099" s="2">
        <f>Table__192.168.3.138BEWLPPMetaData[[#This Row],[NetAmount]]-Table__192.168.3.138BEWLPPMetaData[[#This Row],[Paid]]</f>
        <v>226200</v>
      </c>
    </row>
    <row r="1100" spans="1:35" hidden="1">
      <c r="A1100" t="s">
        <v>10534</v>
      </c>
      <c r="B1100" s="1">
        <v>41241</v>
      </c>
      <c r="C1100" s="1">
        <v>41286</v>
      </c>
      <c r="D1100" t="s">
        <v>5469</v>
      </c>
      <c r="E1100">
        <v>34000</v>
      </c>
      <c r="F1100">
        <v>5440</v>
      </c>
      <c r="G1100">
        <v>0</v>
      </c>
      <c r="H1100">
        <v>0</v>
      </c>
      <c r="I1100">
        <v>27</v>
      </c>
      <c r="J1100">
        <v>39440</v>
      </c>
      <c r="K1100" t="s">
        <v>4686</v>
      </c>
      <c r="L1100" s="1">
        <v>41241</v>
      </c>
      <c r="N1100" t="s">
        <v>6694</v>
      </c>
      <c r="O1100" t="s">
        <v>3507</v>
      </c>
      <c r="P1100" t="s">
        <v>368</v>
      </c>
      <c r="Q1100" t="s">
        <v>39</v>
      </c>
      <c r="R1100" t="s">
        <v>40</v>
      </c>
      <c r="S1100">
        <v>0</v>
      </c>
      <c r="U1100" t="s">
        <v>41</v>
      </c>
      <c r="V1100" t="s">
        <v>42</v>
      </c>
      <c r="X1100" t="s">
        <v>74</v>
      </c>
      <c r="Y1100" t="b">
        <v>0</v>
      </c>
      <c r="Z1100" t="b">
        <v>0</v>
      </c>
      <c r="AC1100" s="1"/>
      <c r="AF1100">
        <v>0</v>
      </c>
      <c r="AG1100">
        <v>45</v>
      </c>
      <c r="AH1100">
        <v>72</v>
      </c>
      <c r="AI1100" s="2">
        <f>Table__192.168.3.138BEWLPPMetaData[[#This Row],[NetAmount]]-Table__192.168.3.138BEWLPPMetaData[[#This Row],[Paid]]</f>
        <v>39440</v>
      </c>
    </row>
    <row r="1101" spans="1:35" hidden="1">
      <c r="A1101" t="s">
        <v>10535</v>
      </c>
      <c r="B1101" s="1">
        <v>41230</v>
      </c>
      <c r="C1101" s="1">
        <v>41275</v>
      </c>
      <c r="D1101" t="s">
        <v>5469</v>
      </c>
      <c r="E1101">
        <v>34000</v>
      </c>
      <c r="F1101">
        <v>5440</v>
      </c>
      <c r="G1101">
        <v>0</v>
      </c>
      <c r="H1101">
        <v>0</v>
      </c>
      <c r="I1101">
        <v>38</v>
      </c>
      <c r="J1101">
        <v>39440</v>
      </c>
      <c r="K1101" t="s">
        <v>8238</v>
      </c>
      <c r="L1101" s="1">
        <v>41230</v>
      </c>
      <c r="N1101" t="s">
        <v>6694</v>
      </c>
      <c r="O1101" t="s">
        <v>3507</v>
      </c>
      <c r="P1101" t="s">
        <v>368</v>
      </c>
      <c r="Q1101" t="s">
        <v>39</v>
      </c>
      <c r="R1101" t="s">
        <v>40</v>
      </c>
      <c r="S1101">
        <v>0</v>
      </c>
      <c r="U1101" t="s">
        <v>41</v>
      </c>
      <c r="V1101" t="s">
        <v>42</v>
      </c>
      <c r="X1101" t="s">
        <v>74</v>
      </c>
      <c r="Y1101" t="b">
        <v>0</v>
      </c>
      <c r="Z1101" t="b">
        <v>0</v>
      </c>
      <c r="AC1101" s="1"/>
      <c r="AF1101">
        <v>0</v>
      </c>
      <c r="AG1101">
        <v>45</v>
      </c>
      <c r="AH1101">
        <v>83</v>
      </c>
      <c r="AI1101" s="2">
        <f>Table__192.168.3.138BEWLPPMetaData[[#This Row],[NetAmount]]-Table__192.168.3.138BEWLPPMetaData[[#This Row],[Paid]]</f>
        <v>39440</v>
      </c>
    </row>
    <row r="1102" spans="1:35" hidden="1">
      <c r="A1102" t="s">
        <v>10536</v>
      </c>
      <c r="B1102" s="1">
        <v>41233</v>
      </c>
      <c r="C1102" s="1">
        <v>41233</v>
      </c>
      <c r="D1102" t="s">
        <v>8666</v>
      </c>
      <c r="E1102">
        <v>5250</v>
      </c>
      <c r="F1102">
        <v>840</v>
      </c>
      <c r="G1102">
        <v>0</v>
      </c>
      <c r="H1102">
        <v>0</v>
      </c>
      <c r="I1102">
        <v>0</v>
      </c>
      <c r="J1102">
        <v>6090</v>
      </c>
      <c r="K1102" t="s">
        <v>3458</v>
      </c>
      <c r="L1102" s="1">
        <v>41233</v>
      </c>
      <c r="N1102" t="s">
        <v>6694</v>
      </c>
      <c r="O1102" t="s">
        <v>3507</v>
      </c>
      <c r="P1102" t="s">
        <v>8668</v>
      </c>
      <c r="Q1102" t="s">
        <v>39</v>
      </c>
      <c r="R1102" t="s">
        <v>40</v>
      </c>
      <c r="S1102">
        <v>0</v>
      </c>
      <c r="U1102" t="s">
        <v>41</v>
      </c>
      <c r="V1102" t="s">
        <v>42</v>
      </c>
      <c r="X1102" t="s">
        <v>74</v>
      </c>
      <c r="Y1102" t="b">
        <v>0</v>
      </c>
      <c r="Z1102" t="b">
        <v>0</v>
      </c>
      <c r="AC1102" s="1"/>
      <c r="AF1102">
        <v>0</v>
      </c>
      <c r="AH1102">
        <v>80</v>
      </c>
      <c r="AI1102" s="2">
        <f>Table__192.168.3.138BEWLPPMetaData[[#This Row],[NetAmount]]-Table__192.168.3.138BEWLPPMetaData[[#This Row],[Paid]]</f>
        <v>6090</v>
      </c>
    </row>
    <row r="1103" spans="1:35" hidden="1">
      <c r="A1103" t="s">
        <v>10537</v>
      </c>
      <c r="B1103" s="1">
        <v>41242</v>
      </c>
      <c r="C1103" s="1">
        <v>41287</v>
      </c>
      <c r="D1103" t="s">
        <v>8570</v>
      </c>
      <c r="E1103">
        <v>245280</v>
      </c>
      <c r="F1103">
        <v>39245</v>
      </c>
      <c r="G1103">
        <v>0</v>
      </c>
      <c r="H1103">
        <v>0</v>
      </c>
      <c r="I1103">
        <v>34</v>
      </c>
      <c r="J1103">
        <v>284525</v>
      </c>
      <c r="K1103" t="s">
        <v>10538</v>
      </c>
      <c r="L1103" s="1">
        <v>41234</v>
      </c>
      <c r="N1103" t="s">
        <v>6694</v>
      </c>
      <c r="O1103" t="s">
        <v>3507</v>
      </c>
      <c r="P1103" t="s">
        <v>8571</v>
      </c>
      <c r="Q1103" t="s">
        <v>39</v>
      </c>
      <c r="R1103" t="s">
        <v>40</v>
      </c>
      <c r="S1103">
        <v>0</v>
      </c>
      <c r="U1103" t="s">
        <v>41</v>
      </c>
      <c r="V1103" t="s">
        <v>42</v>
      </c>
      <c r="X1103" t="s">
        <v>74</v>
      </c>
      <c r="Y1103" t="b">
        <v>0</v>
      </c>
      <c r="Z1103" t="b">
        <v>0</v>
      </c>
      <c r="AC1103" s="1"/>
      <c r="AF1103">
        <v>0</v>
      </c>
      <c r="AG1103">
        <v>45</v>
      </c>
      <c r="AH1103">
        <v>79</v>
      </c>
      <c r="AI1103" s="2">
        <f>Table__192.168.3.138BEWLPPMetaData[[#This Row],[NetAmount]]-Table__192.168.3.138BEWLPPMetaData[[#This Row],[Paid]]</f>
        <v>284525</v>
      </c>
    </row>
    <row r="1104" spans="1:35" hidden="1">
      <c r="A1104" t="s">
        <v>10539</v>
      </c>
      <c r="B1104" s="1">
        <v>41243</v>
      </c>
      <c r="C1104" s="1">
        <v>41288</v>
      </c>
      <c r="D1104" t="s">
        <v>8570</v>
      </c>
      <c r="E1104">
        <v>177240</v>
      </c>
      <c r="F1104">
        <v>28358</v>
      </c>
      <c r="G1104">
        <v>0</v>
      </c>
      <c r="H1104">
        <v>0</v>
      </c>
      <c r="I1104">
        <v>28</v>
      </c>
      <c r="J1104">
        <v>205598</v>
      </c>
      <c r="K1104" t="s">
        <v>10540</v>
      </c>
      <c r="L1104" s="1">
        <v>41240</v>
      </c>
      <c r="N1104" t="s">
        <v>6694</v>
      </c>
      <c r="O1104" t="s">
        <v>3507</v>
      </c>
      <c r="P1104" t="s">
        <v>8571</v>
      </c>
      <c r="Q1104" t="s">
        <v>39</v>
      </c>
      <c r="R1104" t="s">
        <v>40</v>
      </c>
      <c r="S1104">
        <v>0</v>
      </c>
      <c r="U1104" t="s">
        <v>41</v>
      </c>
      <c r="V1104" t="s">
        <v>42</v>
      </c>
      <c r="X1104" t="s">
        <v>74</v>
      </c>
      <c r="Y1104" t="b">
        <v>0</v>
      </c>
      <c r="Z1104" t="b">
        <v>0</v>
      </c>
      <c r="AC1104" s="1"/>
      <c r="AF1104">
        <v>0</v>
      </c>
      <c r="AG1104">
        <v>45</v>
      </c>
      <c r="AH1104">
        <v>73</v>
      </c>
      <c r="AI1104" s="2">
        <f>Table__192.168.3.138BEWLPPMetaData[[#This Row],[NetAmount]]-Table__192.168.3.138BEWLPPMetaData[[#This Row],[Paid]]</f>
        <v>205598</v>
      </c>
    </row>
    <row r="1105" spans="1:35" hidden="1">
      <c r="A1105" t="s">
        <v>10541</v>
      </c>
      <c r="B1105" s="1">
        <v>41219</v>
      </c>
      <c r="C1105" s="1">
        <v>41264</v>
      </c>
      <c r="D1105" t="s">
        <v>8570</v>
      </c>
      <c r="E1105">
        <v>39500</v>
      </c>
      <c r="F1105">
        <v>6320</v>
      </c>
      <c r="G1105">
        <v>0</v>
      </c>
      <c r="H1105">
        <v>0</v>
      </c>
      <c r="I1105">
        <v>56</v>
      </c>
      <c r="J1105">
        <v>45820</v>
      </c>
      <c r="K1105" t="s">
        <v>10542</v>
      </c>
      <c r="L1105" s="1">
        <v>41212</v>
      </c>
      <c r="N1105" t="s">
        <v>6694</v>
      </c>
      <c r="O1105" t="s">
        <v>3507</v>
      </c>
      <c r="P1105" t="s">
        <v>8571</v>
      </c>
      <c r="Q1105" t="s">
        <v>39</v>
      </c>
      <c r="R1105" t="s">
        <v>40</v>
      </c>
      <c r="S1105">
        <v>0</v>
      </c>
      <c r="U1105" t="s">
        <v>41</v>
      </c>
      <c r="V1105" t="s">
        <v>42</v>
      </c>
      <c r="X1105" t="s">
        <v>74</v>
      </c>
      <c r="Y1105" t="b">
        <v>0</v>
      </c>
      <c r="Z1105" t="b">
        <v>0</v>
      </c>
      <c r="AC1105" s="1"/>
      <c r="AF1105">
        <v>0</v>
      </c>
      <c r="AG1105">
        <v>45</v>
      </c>
      <c r="AH1105">
        <v>101</v>
      </c>
      <c r="AI1105" s="2">
        <f>Table__192.168.3.138BEWLPPMetaData[[#This Row],[NetAmount]]-Table__192.168.3.138BEWLPPMetaData[[#This Row],[Paid]]</f>
        <v>45820</v>
      </c>
    </row>
    <row r="1106" spans="1:35" hidden="1">
      <c r="A1106" t="s">
        <v>10543</v>
      </c>
      <c r="B1106" s="1">
        <v>41223</v>
      </c>
      <c r="C1106" s="1">
        <v>41268</v>
      </c>
      <c r="D1106" t="s">
        <v>8547</v>
      </c>
      <c r="E1106">
        <v>11400</v>
      </c>
      <c r="F1106">
        <v>1824</v>
      </c>
      <c r="G1106">
        <v>0</v>
      </c>
      <c r="H1106">
        <v>0</v>
      </c>
      <c r="I1106">
        <v>45</v>
      </c>
      <c r="J1106">
        <v>13224</v>
      </c>
      <c r="K1106" t="s">
        <v>10544</v>
      </c>
      <c r="L1106" s="1">
        <v>41223</v>
      </c>
      <c r="M1106" t="s">
        <v>10545</v>
      </c>
      <c r="N1106" t="s">
        <v>6694</v>
      </c>
      <c r="O1106" t="s">
        <v>3507</v>
      </c>
      <c r="P1106" t="s">
        <v>8548</v>
      </c>
      <c r="Q1106" t="s">
        <v>39</v>
      </c>
      <c r="R1106" t="s">
        <v>40</v>
      </c>
      <c r="S1106">
        <v>0</v>
      </c>
      <c r="U1106" t="s">
        <v>41</v>
      </c>
      <c r="V1106" t="s">
        <v>42</v>
      </c>
      <c r="W1106" t="s">
        <v>8702</v>
      </c>
      <c r="X1106" t="s">
        <v>74</v>
      </c>
      <c r="Y1106" t="b">
        <v>0</v>
      </c>
      <c r="Z1106" t="b">
        <v>0</v>
      </c>
      <c r="AA1106" t="b">
        <v>0</v>
      </c>
      <c r="AC1106" s="1"/>
      <c r="AF1106">
        <v>0</v>
      </c>
      <c r="AG1106">
        <v>45</v>
      </c>
      <c r="AH1106">
        <v>90</v>
      </c>
      <c r="AI1106" s="2">
        <f>Table__192.168.3.138BEWLPPMetaData[[#This Row],[NetAmount]]-Table__192.168.3.138BEWLPPMetaData[[#This Row],[Paid]]</f>
        <v>13224</v>
      </c>
    </row>
    <row r="1107" spans="1:35" hidden="1">
      <c r="A1107" t="s">
        <v>10546</v>
      </c>
      <c r="B1107" s="1">
        <v>41239</v>
      </c>
      <c r="C1107" s="1">
        <v>41284</v>
      </c>
      <c r="D1107" t="s">
        <v>8547</v>
      </c>
      <c r="E1107">
        <v>11400</v>
      </c>
      <c r="F1107">
        <v>1824</v>
      </c>
      <c r="G1107">
        <v>0</v>
      </c>
      <c r="H1107">
        <v>0</v>
      </c>
      <c r="I1107">
        <v>29</v>
      </c>
      <c r="J1107">
        <v>13224</v>
      </c>
      <c r="K1107" t="s">
        <v>8700</v>
      </c>
      <c r="L1107" s="1">
        <v>41239</v>
      </c>
      <c r="N1107" t="s">
        <v>6694</v>
      </c>
      <c r="O1107" t="s">
        <v>3507</v>
      </c>
      <c r="P1107" t="s">
        <v>8548</v>
      </c>
      <c r="Q1107" t="s">
        <v>39</v>
      </c>
      <c r="R1107" t="s">
        <v>40</v>
      </c>
      <c r="S1107">
        <v>0</v>
      </c>
      <c r="U1107" t="s">
        <v>41</v>
      </c>
      <c r="V1107" t="s">
        <v>42</v>
      </c>
      <c r="X1107" t="s">
        <v>74</v>
      </c>
      <c r="Y1107" t="b">
        <v>0</v>
      </c>
      <c r="Z1107" t="b">
        <v>0</v>
      </c>
      <c r="AC1107" s="1"/>
      <c r="AF1107">
        <v>0</v>
      </c>
      <c r="AG1107">
        <v>45</v>
      </c>
      <c r="AH1107">
        <v>74</v>
      </c>
      <c r="AI1107" s="2">
        <f>Table__192.168.3.138BEWLPPMetaData[[#This Row],[NetAmount]]-Table__192.168.3.138BEWLPPMetaData[[#This Row],[Paid]]</f>
        <v>13224</v>
      </c>
    </row>
    <row r="1108" spans="1:35" hidden="1">
      <c r="A1108" t="s">
        <v>10547</v>
      </c>
      <c r="B1108" s="1">
        <v>41243</v>
      </c>
      <c r="C1108" s="1">
        <v>41288</v>
      </c>
      <c r="D1108" t="s">
        <v>8563</v>
      </c>
      <c r="E1108">
        <v>165000</v>
      </c>
      <c r="F1108">
        <v>26400</v>
      </c>
      <c r="G1108">
        <v>0</v>
      </c>
      <c r="H1108">
        <v>0</v>
      </c>
      <c r="I1108">
        <v>33</v>
      </c>
      <c r="J1108">
        <v>191400</v>
      </c>
      <c r="K1108" t="s">
        <v>957</v>
      </c>
      <c r="L1108" s="1">
        <v>41235</v>
      </c>
      <c r="N1108" t="s">
        <v>6694</v>
      </c>
      <c r="O1108" t="s">
        <v>3507</v>
      </c>
      <c r="P1108" t="s">
        <v>409</v>
      </c>
      <c r="Q1108" t="s">
        <v>39</v>
      </c>
      <c r="R1108" t="s">
        <v>40</v>
      </c>
      <c r="S1108">
        <v>0</v>
      </c>
      <c r="U1108" t="s">
        <v>41</v>
      </c>
      <c r="V1108" t="s">
        <v>42</v>
      </c>
      <c r="X1108" t="s">
        <v>74</v>
      </c>
      <c r="Y1108" t="b">
        <v>0</v>
      </c>
      <c r="Z1108" t="b">
        <v>0</v>
      </c>
      <c r="AC1108" s="1"/>
      <c r="AF1108">
        <v>0</v>
      </c>
      <c r="AG1108">
        <v>45</v>
      </c>
      <c r="AH1108">
        <v>78</v>
      </c>
      <c r="AI1108" s="2">
        <f>Table__192.168.3.138BEWLPPMetaData[[#This Row],[NetAmount]]-Table__192.168.3.138BEWLPPMetaData[[#This Row],[Paid]]</f>
        <v>191400</v>
      </c>
    </row>
    <row r="1109" spans="1:35" hidden="1">
      <c r="A1109" t="s">
        <v>10548</v>
      </c>
      <c r="B1109" s="1">
        <v>41243</v>
      </c>
      <c r="C1109" s="1">
        <v>41288</v>
      </c>
      <c r="D1109" t="s">
        <v>5529</v>
      </c>
      <c r="E1109">
        <v>141480</v>
      </c>
      <c r="F1109">
        <v>22637</v>
      </c>
      <c r="G1109">
        <v>0</v>
      </c>
      <c r="H1109">
        <v>0</v>
      </c>
      <c r="I1109">
        <v>25</v>
      </c>
      <c r="J1109">
        <v>164117</v>
      </c>
      <c r="K1109" t="s">
        <v>10549</v>
      </c>
      <c r="L1109" s="1">
        <v>41243</v>
      </c>
      <c r="N1109" t="s">
        <v>6694</v>
      </c>
      <c r="O1109" t="s">
        <v>3507</v>
      </c>
      <c r="P1109" t="s">
        <v>8614</v>
      </c>
      <c r="Q1109" t="s">
        <v>39</v>
      </c>
      <c r="R1109" t="s">
        <v>40</v>
      </c>
      <c r="S1109">
        <v>0</v>
      </c>
      <c r="U1109" t="s">
        <v>41</v>
      </c>
      <c r="V1109" t="s">
        <v>42</v>
      </c>
      <c r="X1109" t="s">
        <v>74</v>
      </c>
      <c r="Y1109" t="b">
        <v>0</v>
      </c>
      <c r="Z1109" t="b">
        <v>0</v>
      </c>
      <c r="AC1109" s="1"/>
      <c r="AF1109">
        <v>0</v>
      </c>
      <c r="AG1109">
        <v>45</v>
      </c>
      <c r="AH1109">
        <v>70</v>
      </c>
      <c r="AI1109" s="2">
        <f>Table__192.168.3.138BEWLPPMetaData[[#This Row],[NetAmount]]-Table__192.168.3.138BEWLPPMetaData[[#This Row],[Paid]]</f>
        <v>164117</v>
      </c>
    </row>
    <row r="1110" spans="1:35" hidden="1">
      <c r="A1110" t="s">
        <v>10550</v>
      </c>
      <c r="B1110" s="1">
        <v>41235</v>
      </c>
      <c r="C1110" s="1">
        <v>41280</v>
      </c>
      <c r="D1110" t="s">
        <v>5529</v>
      </c>
      <c r="E1110">
        <v>107530</v>
      </c>
      <c r="F1110">
        <v>17205</v>
      </c>
      <c r="G1110">
        <v>0</v>
      </c>
      <c r="H1110">
        <v>0</v>
      </c>
      <c r="I1110">
        <v>25</v>
      </c>
      <c r="J1110">
        <v>124735</v>
      </c>
      <c r="K1110" t="s">
        <v>10551</v>
      </c>
      <c r="L1110" s="1">
        <v>41243</v>
      </c>
      <c r="N1110" t="s">
        <v>6694</v>
      </c>
      <c r="O1110" t="s">
        <v>3507</v>
      </c>
      <c r="P1110" t="s">
        <v>8614</v>
      </c>
      <c r="Q1110" t="s">
        <v>39</v>
      </c>
      <c r="R1110" t="s">
        <v>40</v>
      </c>
      <c r="S1110">
        <v>0</v>
      </c>
      <c r="U1110" t="s">
        <v>41</v>
      </c>
      <c r="V1110" t="s">
        <v>42</v>
      </c>
      <c r="X1110" t="s">
        <v>74</v>
      </c>
      <c r="Y1110" t="b">
        <v>0</v>
      </c>
      <c r="Z1110" t="b">
        <v>0</v>
      </c>
      <c r="AC1110" s="1"/>
      <c r="AF1110">
        <v>0</v>
      </c>
      <c r="AG1110">
        <v>45</v>
      </c>
      <c r="AH1110">
        <v>70</v>
      </c>
      <c r="AI1110" s="2">
        <f>Table__192.168.3.138BEWLPPMetaData[[#This Row],[NetAmount]]-Table__192.168.3.138BEWLPPMetaData[[#This Row],[Paid]]</f>
        <v>124735</v>
      </c>
    </row>
    <row r="1111" spans="1:35" hidden="1">
      <c r="A1111" t="s">
        <v>10552</v>
      </c>
      <c r="B1111" s="1">
        <v>41230</v>
      </c>
      <c r="C1111" s="1">
        <v>41275</v>
      </c>
      <c r="D1111" t="s">
        <v>5529</v>
      </c>
      <c r="E1111">
        <v>124640</v>
      </c>
      <c r="F1111">
        <v>19942</v>
      </c>
      <c r="G1111">
        <v>0</v>
      </c>
      <c r="H1111">
        <v>0</v>
      </c>
      <c r="I1111">
        <v>25</v>
      </c>
      <c r="J1111">
        <v>144582</v>
      </c>
      <c r="K1111" t="s">
        <v>10553</v>
      </c>
      <c r="L1111" s="1">
        <v>41243</v>
      </c>
      <c r="N1111" t="s">
        <v>6694</v>
      </c>
      <c r="O1111" t="s">
        <v>3507</v>
      </c>
      <c r="P1111" t="s">
        <v>8614</v>
      </c>
      <c r="Q1111" t="s">
        <v>39</v>
      </c>
      <c r="R1111" t="s">
        <v>40</v>
      </c>
      <c r="S1111">
        <v>0</v>
      </c>
      <c r="U1111" t="s">
        <v>41</v>
      </c>
      <c r="V1111" t="s">
        <v>42</v>
      </c>
      <c r="X1111" t="s">
        <v>74</v>
      </c>
      <c r="Y1111" t="b">
        <v>0</v>
      </c>
      <c r="Z1111" t="b">
        <v>0</v>
      </c>
      <c r="AC1111" s="1"/>
      <c r="AF1111">
        <v>0</v>
      </c>
      <c r="AG1111">
        <v>45</v>
      </c>
      <c r="AH1111">
        <v>70</v>
      </c>
      <c r="AI1111" s="2">
        <f>Table__192.168.3.138BEWLPPMetaData[[#This Row],[NetAmount]]-Table__192.168.3.138BEWLPPMetaData[[#This Row],[Paid]]</f>
        <v>144582</v>
      </c>
    </row>
    <row r="1112" spans="1:35" hidden="1">
      <c r="A1112" t="s">
        <v>10554</v>
      </c>
      <c r="B1112" s="1">
        <v>41230</v>
      </c>
      <c r="C1112" s="1">
        <v>41275</v>
      </c>
      <c r="D1112" t="s">
        <v>8570</v>
      </c>
      <c r="E1112">
        <v>174440</v>
      </c>
      <c r="F1112">
        <v>27910</v>
      </c>
      <c r="G1112">
        <v>0</v>
      </c>
      <c r="H1112">
        <v>0</v>
      </c>
      <c r="I1112">
        <v>45</v>
      </c>
      <c r="J1112">
        <v>202350</v>
      </c>
      <c r="K1112" t="s">
        <v>10555</v>
      </c>
      <c r="L1112" s="1">
        <v>41223</v>
      </c>
      <c r="N1112" t="s">
        <v>6694</v>
      </c>
      <c r="O1112" t="s">
        <v>3507</v>
      </c>
      <c r="P1112" t="s">
        <v>8571</v>
      </c>
      <c r="Q1112" t="s">
        <v>39</v>
      </c>
      <c r="R1112" t="s">
        <v>40</v>
      </c>
      <c r="S1112">
        <v>0</v>
      </c>
      <c r="U1112" t="s">
        <v>41</v>
      </c>
      <c r="V1112" t="s">
        <v>42</v>
      </c>
      <c r="X1112" t="s">
        <v>74</v>
      </c>
      <c r="Y1112" t="b">
        <v>0</v>
      </c>
      <c r="Z1112" t="b">
        <v>0</v>
      </c>
      <c r="AC1112" s="1"/>
      <c r="AF1112">
        <v>0</v>
      </c>
      <c r="AG1112">
        <v>45</v>
      </c>
      <c r="AH1112">
        <v>90</v>
      </c>
      <c r="AI1112" s="2">
        <f>Table__192.168.3.138BEWLPPMetaData[[#This Row],[NetAmount]]-Table__192.168.3.138BEWLPPMetaData[[#This Row],[Paid]]</f>
        <v>202350</v>
      </c>
    </row>
    <row r="1113" spans="1:35" hidden="1">
      <c r="A1113" t="s">
        <v>10556</v>
      </c>
      <c r="B1113" s="1">
        <v>41226</v>
      </c>
      <c r="C1113" s="1">
        <v>41271</v>
      </c>
      <c r="D1113" t="s">
        <v>8577</v>
      </c>
      <c r="E1113">
        <v>226</v>
      </c>
      <c r="F1113">
        <v>0</v>
      </c>
      <c r="G1113">
        <v>0</v>
      </c>
      <c r="H1113">
        <v>0</v>
      </c>
      <c r="I1113">
        <v>43</v>
      </c>
      <c r="J1113">
        <v>226</v>
      </c>
      <c r="K1113" t="s">
        <v>10557</v>
      </c>
      <c r="L1113" s="1">
        <v>41225</v>
      </c>
      <c r="N1113" t="s">
        <v>6694</v>
      </c>
      <c r="O1113" t="s">
        <v>3507</v>
      </c>
      <c r="P1113" t="s">
        <v>8579</v>
      </c>
      <c r="Q1113" t="s">
        <v>39</v>
      </c>
      <c r="R1113" t="s">
        <v>40</v>
      </c>
      <c r="S1113">
        <v>0</v>
      </c>
      <c r="U1113" t="s">
        <v>41</v>
      </c>
      <c r="V1113" t="s">
        <v>42</v>
      </c>
      <c r="X1113" t="s">
        <v>74</v>
      </c>
      <c r="Y1113" t="b">
        <v>0</v>
      </c>
      <c r="Z1113" t="b">
        <v>0</v>
      </c>
      <c r="AC1113" s="1"/>
      <c r="AF1113">
        <v>0</v>
      </c>
      <c r="AG1113">
        <v>45</v>
      </c>
      <c r="AH1113">
        <v>88</v>
      </c>
      <c r="AI1113" s="2">
        <f>Table__192.168.3.138BEWLPPMetaData[[#This Row],[NetAmount]]-Table__192.168.3.138BEWLPPMetaData[[#This Row],[Paid]]</f>
        <v>226</v>
      </c>
    </row>
    <row r="1114" spans="1:35" hidden="1">
      <c r="A1114" t="s">
        <v>10558</v>
      </c>
      <c r="B1114" s="1">
        <v>41227</v>
      </c>
      <c r="C1114" s="1">
        <v>41272</v>
      </c>
      <c r="D1114" t="s">
        <v>8577</v>
      </c>
      <c r="E1114">
        <v>5650</v>
      </c>
      <c r="F1114">
        <v>0</v>
      </c>
      <c r="G1114">
        <v>0</v>
      </c>
      <c r="H1114">
        <v>0</v>
      </c>
      <c r="I1114">
        <v>41</v>
      </c>
      <c r="J1114">
        <v>5650</v>
      </c>
      <c r="K1114" t="s">
        <v>4016</v>
      </c>
      <c r="L1114" s="1">
        <v>41227</v>
      </c>
      <c r="N1114" t="s">
        <v>6694</v>
      </c>
      <c r="O1114" t="s">
        <v>3507</v>
      </c>
      <c r="P1114" t="s">
        <v>8579</v>
      </c>
      <c r="Q1114" t="s">
        <v>39</v>
      </c>
      <c r="R1114" t="s">
        <v>40</v>
      </c>
      <c r="S1114">
        <v>0</v>
      </c>
      <c r="U1114" t="s">
        <v>41</v>
      </c>
      <c r="V1114" t="s">
        <v>42</v>
      </c>
      <c r="X1114" t="s">
        <v>74</v>
      </c>
      <c r="Y1114" t="b">
        <v>0</v>
      </c>
      <c r="Z1114" t="b">
        <v>0</v>
      </c>
      <c r="AC1114" s="1"/>
      <c r="AF1114">
        <v>0</v>
      </c>
      <c r="AG1114">
        <v>45</v>
      </c>
      <c r="AH1114">
        <v>86</v>
      </c>
      <c r="AI1114" s="2">
        <f>Table__192.168.3.138BEWLPPMetaData[[#This Row],[NetAmount]]-Table__192.168.3.138BEWLPPMetaData[[#This Row],[Paid]]</f>
        <v>5650</v>
      </c>
    </row>
    <row r="1115" spans="1:35" hidden="1">
      <c r="A1115" t="s">
        <v>10559</v>
      </c>
      <c r="B1115" s="1">
        <v>41232</v>
      </c>
      <c r="C1115" s="1">
        <v>41277</v>
      </c>
      <c r="D1115" t="s">
        <v>8577</v>
      </c>
      <c r="E1115">
        <v>7200</v>
      </c>
      <c r="F1115">
        <v>0</v>
      </c>
      <c r="G1115">
        <v>0</v>
      </c>
      <c r="H1115">
        <v>0</v>
      </c>
      <c r="I1115">
        <v>36</v>
      </c>
      <c r="J1115">
        <v>7200</v>
      </c>
      <c r="K1115" t="s">
        <v>8238</v>
      </c>
      <c r="L1115" s="1">
        <v>41232</v>
      </c>
      <c r="N1115" t="s">
        <v>6694</v>
      </c>
      <c r="O1115" t="s">
        <v>3507</v>
      </c>
      <c r="P1115" t="s">
        <v>8579</v>
      </c>
      <c r="Q1115" t="s">
        <v>39</v>
      </c>
      <c r="R1115" t="s">
        <v>40</v>
      </c>
      <c r="S1115">
        <v>0</v>
      </c>
      <c r="U1115" t="s">
        <v>41</v>
      </c>
      <c r="V1115" t="s">
        <v>42</v>
      </c>
      <c r="X1115" t="s">
        <v>74</v>
      </c>
      <c r="Y1115" t="b">
        <v>0</v>
      </c>
      <c r="Z1115" t="b">
        <v>0</v>
      </c>
      <c r="AC1115" s="1"/>
      <c r="AF1115">
        <v>0</v>
      </c>
      <c r="AG1115">
        <v>45</v>
      </c>
      <c r="AH1115">
        <v>81</v>
      </c>
      <c r="AI1115" s="2">
        <f>Table__192.168.3.138BEWLPPMetaData[[#This Row],[NetAmount]]-Table__192.168.3.138BEWLPPMetaData[[#This Row],[Paid]]</f>
        <v>7200</v>
      </c>
    </row>
    <row r="1116" spans="1:35" hidden="1">
      <c r="A1116" t="s">
        <v>10560</v>
      </c>
      <c r="B1116" s="1">
        <v>41239</v>
      </c>
      <c r="C1116" s="1">
        <v>41284</v>
      </c>
      <c r="D1116" t="s">
        <v>8577</v>
      </c>
      <c r="E1116">
        <v>9780</v>
      </c>
      <c r="F1116">
        <v>0</v>
      </c>
      <c r="G1116">
        <v>0</v>
      </c>
      <c r="H1116">
        <v>0</v>
      </c>
      <c r="I1116">
        <v>29</v>
      </c>
      <c r="J1116">
        <v>9780</v>
      </c>
      <c r="K1116" t="s">
        <v>9008</v>
      </c>
      <c r="L1116" s="1">
        <v>41239</v>
      </c>
      <c r="N1116" t="s">
        <v>6694</v>
      </c>
      <c r="O1116" t="s">
        <v>3507</v>
      </c>
      <c r="P1116" t="s">
        <v>8579</v>
      </c>
      <c r="Q1116" t="s">
        <v>39</v>
      </c>
      <c r="R1116" t="s">
        <v>40</v>
      </c>
      <c r="S1116">
        <v>0</v>
      </c>
      <c r="U1116" t="s">
        <v>41</v>
      </c>
      <c r="V1116" t="s">
        <v>42</v>
      </c>
      <c r="X1116" t="s">
        <v>74</v>
      </c>
      <c r="Y1116" t="b">
        <v>0</v>
      </c>
      <c r="Z1116" t="b">
        <v>0</v>
      </c>
      <c r="AC1116" s="1"/>
      <c r="AF1116">
        <v>0</v>
      </c>
      <c r="AG1116">
        <v>45</v>
      </c>
      <c r="AH1116">
        <v>74</v>
      </c>
      <c r="AI1116" s="2">
        <f>Table__192.168.3.138BEWLPPMetaData[[#This Row],[NetAmount]]-Table__192.168.3.138BEWLPPMetaData[[#This Row],[Paid]]</f>
        <v>9780</v>
      </c>
    </row>
    <row r="1117" spans="1:35" hidden="1">
      <c r="A1117" t="s">
        <v>10561</v>
      </c>
      <c r="B1117" s="1">
        <v>41243</v>
      </c>
      <c r="C1117" s="1">
        <v>41288</v>
      </c>
      <c r="D1117" t="s">
        <v>8577</v>
      </c>
      <c r="E1117">
        <v>1017</v>
      </c>
      <c r="F1117">
        <v>0</v>
      </c>
      <c r="G1117">
        <v>0</v>
      </c>
      <c r="H1117">
        <v>0</v>
      </c>
      <c r="I1117">
        <v>25</v>
      </c>
      <c r="J1117">
        <v>1017</v>
      </c>
      <c r="K1117" t="s">
        <v>4218</v>
      </c>
      <c r="L1117" s="1">
        <v>41243</v>
      </c>
      <c r="N1117" t="s">
        <v>6694</v>
      </c>
      <c r="O1117" t="s">
        <v>3507</v>
      </c>
      <c r="P1117" t="s">
        <v>8579</v>
      </c>
      <c r="Q1117" t="s">
        <v>39</v>
      </c>
      <c r="R1117" t="s">
        <v>40</v>
      </c>
      <c r="S1117">
        <v>0</v>
      </c>
      <c r="U1117" t="s">
        <v>41</v>
      </c>
      <c r="V1117" t="s">
        <v>42</v>
      </c>
      <c r="X1117" t="s">
        <v>74</v>
      </c>
      <c r="Y1117" t="b">
        <v>0</v>
      </c>
      <c r="Z1117" t="b">
        <v>0</v>
      </c>
      <c r="AC1117" s="1"/>
      <c r="AF1117">
        <v>0</v>
      </c>
      <c r="AG1117">
        <v>45</v>
      </c>
      <c r="AH1117">
        <v>70</v>
      </c>
      <c r="AI1117" s="2">
        <f>Table__192.168.3.138BEWLPPMetaData[[#This Row],[NetAmount]]-Table__192.168.3.138BEWLPPMetaData[[#This Row],[Paid]]</f>
        <v>1017</v>
      </c>
    </row>
    <row r="1118" spans="1:35" hidden="1">
      <c r="A1118" t="s">
        <v>10562</v>
      </c>
      <c r="B1118" s="1">
        <v>41226</v>
      </c>
      <c r="C1118" s="1">
        <v>41226</v>
      </c>
      <c r="D1118" t="s">
        <v>10151</v>
      </c>
      <c r="E1118">
        <v>17700</v>
      </c>
      <c r="F1118">
        <v>2832</v>
      </c>
      <c r="G1118">
        <v>0</v>
      </c>
      <c r="H1118">
        <v>0</v>
      </c>
      <c r="I1118">
        <v>0</v>
      </c>
      <c r="J1118">
        <v>20532</v>
      </c>
      <c r="K1118" t="s">
        <v>10563</v>
      </c>
      <c r="L1118" s="1">
        <v>41226</v>
      </c>
      <c r="N1118" t="s">
        <v>6694</v>
      </c>
      <c r="O1118" t="s">
        <v>3507</v>
      </c>
      <c r="P1118" t="s">
        <v>10152</v>
      </c>
      <c r="Q1118" t="s">
        <v>39</v>
      </c>
      <c r="R1118" t="s">
        <v>40</v>
      </c>
      <c r="S1118">
        <v>0</v>
      </c>
      <c r="U1118" t="s">
        <v>41</v>
      </c>
      <c r="V1118" t="s">
        <v>42</v>
      </c>
      <c r="X1118" t="s">
        <v>74</v>
      </c>
      <c r="Y1118" t="b">
        <v>0</v>
      </c>
      <c r="Z1118" t="b">
        <v>0</v>
      </c>
      <c r="AC1118" s="1"/>
      <c r="AF1118">
        <v>0</v>
      </c>
      <c r="AH1118">
        <v>87</v>
      </c>
      <c r="AI1118" s="2">
        <f>Table__192.168.3.138BEWLPPMetaData[[#This Row],[NetAmount]]-Table__192.168.3.138BEWLPPMetaData[[#This Row],[Paid]]</f>
        <v>20532</v>
      </c>
    </row>
    <row r="1119" spans="1:35" hidden="1">
      <c r="A1119" t="s">
        <v>10564</v>
      </c>
      <c r="B1119" s="1">
        <v>41197</v>
      </c>
      <c r="C1119" s="1">
        <v>41197</v>
      </c>
      <c r="D1119" t="s">
        <v>10151</v>
      </c>
      <c r="E1119">
        <v>8850</v>
      </c>
      <c r="F1119">
        <v>1416</v>
      </c>
      <c r="G1119">
        <v>0</v>
      </c>
      <c r="H1119">
        <v>0</v>
      </c>
      <c r="I1119">
        <v>0</v>
      </c>
      <c r="J1119">
        <v>10266</v>
      </c>
      <c r="K1119" t="s">
        <v>10565</v>
      </c>
      <c r="L1119" s="1">
        <v>41207</v>
      </c>
      <c r="N1119" t="s">
        <v>6694</v>
      </c>
      <c r="O1119" t="s">
        <v>3507</v>
      </c>
      <c r="P1119" t="s">
        <v>10152</v>
      </c>
      <c r="Q1119" t="s">
        <v>39</v>
      </c>
      <c r="R1119" t="s">
        <v>40</v>
      </c>
      <c r="S1119">
        <v>0</v>
      </c>
      <c r="U1119" t="s">
        <v>41</v>
      </c>
      <c r="V1119" t="s">
        <v>42</v>
      </c>
      <c r="X1119" t="s">
        <v>74</v>
      </c>
      <c r="Y1119" t="b">
        <v>0</v>
      </c>
      <c r="Z1119" t="b">
        <v>0</v>
      </c>
      <c r="AC1119" s="1"/>
      <c r="AF1119">
        <v>0</v>
      </c>
      <c r="AH1119">
        <v>106</v>
      </c>
      <c r="AI1119" s="2">
        <f>Table__192.168.3.138BEWLPPMetaData[[#This Row],[NetAmount]]-Table__192.168.3.138BEWLPPMetaData[[#This Row],[Paid]]</f>
        <v>10266</v>
      </c>
    </row>
    <row r="1120" spans="1:35" hidden="1">
      <c r="A1120" t="s">
        <v>10566</v>
      </c>
      <c r="B1120" s="1">
        <v>41229</v>
      </c>
      <c r="C1120" s="1">
        <v>41229</v>
      </c>
      <c r="D1120" t="s">
        <v>10151</v>
      </c>
      <c r="E1120">
        <v>17700</v>
      </c>
      <c r="F1120">
        <v>2832</v>
      </c>
      <c r="G1120">
        <v>0</v>
      </c>
      <c r="H1120">
        <v>0</v>
      </c>
      <c r="I1120">
        <v>0</v>
      </c>
      <c r="J1120">
        <v>20532</v>
      </c>
      <c r="K1120" t="s">
        <v>10565</v>
      </c>
      <c r="L1120" s="1">
        <v>41229</v>
      </c>
      <c r="N1120" t="s">
        <v>6694</v>
      </c>
      <c r="O1120" t="s">
        <v>3507</v>
      </c>
      <c r="P1120" t="s">
        <v>10152</v>
      </c>
      <c r="Q1120" t="s">
        <v>39</v>
      </c>
      <c r="R1120" t="s">
        <v>40</v>
      </c>
      <c r="S1120">
        <v>0</v>
      </c>
      <c r="U1120" t="s">
        <v>41</v>
      </c>
      <c r="V1120" t="s">
        <v>42</v>
      </c>
      <c r="X1120" t="s">
        <v>74</v>
      </c>
      <c r="Y1120" t="b">
        <v>0</v>
      </c>
      <c r="Z1120" t="b">
        <v>0</v>
      </c>
      <c r="AC1120" s="1"/>
      <c r="AF1120">
        <v>0</v>
      </c>
      <c r="AH1120">
        <v>84</v>
      </c>
      <c r="AI1120" s="2">
        <f>Table__192.168.3.138BEWLPPMetaData[[#This Row],[NetAmount]]-Table__192.168.3.138BEWLPPMetaData[[#This Row],[Paid]]</f>
        <v>20532</v>
      </c>
    </row>
    <row r="1121" spans="1:35" hidden="1">
      <c r="A1121" t="s">
        <v>10567</v>
      </c>
      <c r="B1121" s="1">
        <v>41243</v>
      </c>
      <c r="C1121" s="1">
        <v>41288</v>
      </c>
      <c r="D1121" t="s">
        <v>5469</v>
      </c>
      <c r="E1121">
        <v>47600</v>
      </c>
      <c r="F1121">
        <v>7616</v>
      </c>
      <c r="G1121">
        <v>0</v>
      </c>
      <c r="H1121">
        <v>0</v>
      </c>
      <c r="I1121">
        <v>25</v>
      </c>
      <c r="J1121">
        <v>55216</v>
      </c>
      <c r="K1121" t="s">
        <v>4112</v>
      </c>
      <c r="L1121" s="1">
        <v>41243</v>
      </c>
      <c r="N1121" t="s">
        <v>6694</v>
      </c>
      <c r="O1121" t="s">
        <v>3507</v>
      </c>
      <c r="P1121" t="s">
        <v>368</v>
      </c>
      <c r="Q1121" t="s">
        <v>39</v>
      </c>
      <c r="R1121" t="s">
        <v>40</v>
      </c>
      <c r="S1121">
        <v>0</v>
      </c>
      <c r="U1121" t="s">
        <v>41</v>
      </c>
      <c r="V1121" t="s">
        <v>42</v>
      </c>
      <c r="X1121" t="s">
        <v>74</v>
      </c>
      <c r="Y1121" t="b">
        <v>0</v>
      </c>
      <c r="Z1121" t="b">
        <v>0</v>
      </c>
      <c r="AC1121" s="1"/>
      <c r="AF1121">
        <v>0</v>
      </c>
      <c r="AG1121">
        <v>45</v>
      </c>
      <c r="AH1121">
        <v>70</v>
      </c>
      <c r="AI1121" s="2">
        <f>Table__192.168.3.138BEWLPPMetaData[[#This Row],[NetAmount]]-Table__192.168.3.138BEWLPPMetaData[[#This Row],[Paid]]</f>
        <v>55216</v>
      </c>
    </row>
    <row r="1122" spans="1:35" hidden="1">
      <c r="A1122" t="s">
        <v>10568</v>
      </c>
      <c r="B1122" s="1">
        <v>41243</v>
      </c>
      <c r="C1122" s="1">
        <v>41288</v>
      </c>
      <c r="D1122" t="s">
        <v>8563</v>
      </c>
      <c r="E1122">
        <v>330000</v>
      </c>
      <c r="F1122">
        <v>52800</v>
      </c>
      <c r="G1122">
        <v>0</v>
      </c>
      <c r="H1122">
        <v>0</v>
      </c>
      <c r="I1122">
        <v>28</v>
      </c>
      <c r="J1122">
        <v>382800</v>
      </c>
      <c r="K1122" t="s">
        <v>9834</v>
      </c>
      <c r="L1122" s="1">
        <v>41240</v>
      </c>
      <c r="N1122" t="s">
        <v>6694</v>
      </c>
      <c r="O1122" t="s">
        <v>3507</v>
      </c>
      <c r="P1122" t="s">
        <v>409</v>
      </c>
      <c r="Q1122" t="s">
        <v>39</v>
      </c>
      <c r="R1122" t="s">
        <v>40</v>
      </c>
      <c r="S1122">
        <v>0</v>
      </c>
      <c r="U1122" t="s">
        <v>41</v>
      </c>
      <c r="V1122" t="s">
        <v>42</v>
      </c>
      <c r="X1122" t="s">
        <v>74</v>
      </c>
      <c r="Y1122" t="b">
        <v>0</v>
      </c>
      <c r="Z1122" t="b">
        <v>0</v>
      </c>
      <c r="AC1122" s="1"/>
      <c r="AF1122">
        <v>0</v>
      </c>
      <c r="AG1122">
        <v>45</v>
      </c>
      <c r="AH1122">
        <v>73</v>
      </c>
      <c r="AI1122" s="2">
        <f>Table__192.168.3.138BEWLPPMetaData[[#This Row],[NetAmount]]-Table__192.168.3.138BEWLPPMetaData[[#This Row],[Paid]]</f>
        <v>382800</v>
      </c>
    </row>
    <row r="1123" spans="1:35" hidden="1">
      <c r="A1123" t="s">
        <v>10569</v>
      </c>
      <c r="B1123" s="1">
        <v>41243</v>
      </c>
      <c r="C1123" s="1">
        <v>41243</v>
      </c>
      <c r="D1123" t="s">
        <v>10570</v>
      </c>
      <c r="E1123">
        <v>33600</v>
      </c>
      <c r="F1123">
        <v>5376</v>
      </c>
      <c r="G1123">
        <v>0</v>
      </c>
      <c r="H1123">
        <v>0</v>
      </c>
      <c r="I1123">
        <v>0</v>
      </c>
      <c r="J1123">
        <v>38976</v>
      </c>
      <c r="K1123" t="s">
        <v>3085</v>
      </c>
      <c r="L1123" s="1">
        <v>41242</v>
      </c>
      <c r="N1123" t="s">
        <v>6694</v>
      </c>
      <c r="O1123" t="s">
        <v>3507</v>
      </c>
      <c r="P1123" t="s">
        <v>435</v>
      </c>
      <c r="Q1123" t="s">
        <v>39</v>
      </c>
      <c r="R1123" t="s">
        <v>40</v>
      </c>
      <c r="S1123">
        <v>0</v>
      </c>
      <c r="U1123" t="s">
        <v>41</v>
      </c>
      <c r="V1123" t="s">
        <v>42</v>
      </c>
      <c r="X1123" t="s">
        <v>74</v>
      </c>
      <c r="Y1123" t="b">
        <v>0</v>
      </c>
      <c r="Z1123" t="b">
        <v>0</v>
      </c>
      <c r="AC1123" s="1"/>
      <c r="AF1123">
        <v>0</v>
      </c>
      <c r="AH1123">
        <v>71</v>
      </c>
      <c r="AI1123" s="2">
        <f>Table__192.168.3.138BEWLPPMetaData[[#This Row],[NetAmount]]-Table__192.168.3.138BEWLPPMetaData[[#This Row],[Paid]]</f>
        <v>38976</v>
      </c>
    </row>
    <row r="1124" spans="1:35" hidden="1">
      <c r="A1124" t="s">
        <v>10571</v>
      </c>
      <c r="B1124" s="1">
        <v>41251</v>
      </c>
      <c r="C1124" s="1">
        <v>41251</v>
      </c>
      <c r="D1124" t="s">
        <v>8672</v>
      </c>
      <c r="E1124">
        <v>19200</v>
      </c>
      <c r="F1124">
        <v>0</v>
      </c>
      <c r="G1124">
        <v>0</v>
      </c>
      <c r="H1124">
        <v>0</v>
      </c>
      <c r="I1124">
        <v>0</v>
      </c>
      <c r="J1124">
        <v>19200</v>
      </c>
      <c r="K1124" t="s">
        <v>3499</v>
      </c>
      <c r="L1124" s="1">
        <v>41255</v>
      </c>
      <c r="N1124" t="s">
        <v>6694</v>
      </c>
      <c r="O1124" t="s">
        <v>3507</v>
      </c>
      <c r="P1124" t="s">
        <v>417</v>
      </c>
      <c r="Q1124" t="s">
        <v>39</v>
      </c>
      <c r="R1124" t="s">
        <v>40</v>
      </c>
      <c r="S1124">
        <v>0</v>
      </c>
      <c r="U1124" t="s">
        <v>41</v>
      </c>
      <c r="V1124" t="s">
        <v>42</v>
      </c>
      <c r="X1124" t="s">
        <v>74</v>
      </c>
      <c r="Y1124" t="b">
        <v>0</v>
      </c>
      <c r="Z1124" t="b">
        <v>0</v>
      </c>
      <c r="AC1124" s="1"/>
      <c r="AF1124">
        <v>0</v>
      </c>
      <c r="AH1124">
        <v>58</v>
      </c>
      <c r="AI1124" s="2">
        <f>Table__192.168.3.138BEWLPPMetaData[[#This Row],[NetAmount]]-Table__192.168.3.138BEWLPPMetaData[[#This Row],[Paid]]</f>
        <v>19200</v>
      </c>
    </row>
    <row r="1125" spans="1:35" hidden="1">
      <c r="A1125" t="s">
        <v>10572</v>
      </c>
      <c r="B1125" s="1">
        <v>41246</v>
      </c>
      <c r="C1125" s="1">
        <v>41291</v>
      </c>
      <c r="D1125" t="s">
        <v>8538</v>
      </c>
      <c r="E1125">
        <v>393840</v>
      </c>
      <c r="F1125">
        <v>63014</v>
      </c>
      <c r="G1125">
        <v>0</v>
      </c>
      <c r="H1125">
        <v>0</v>
      </c>
      <c r="I1125">
        <v>22</v>
      </c>
      <c r="J1125">
        <v>456854</v>
      </c>
      <c r="K1125" t="s">
        <v>10573</v>
      </c>
      <c r="L1125" s="1">
        <v>41246</v>
      </c>
      <c r="N1125" t="s">
        <v>6694</v>
      </c>
      <c r="O1125" t="s">
        <v>3507</v>
      </c>
      <c r="P1125" t="s">
        <v>310</v>
      </c>
      <c r="Q1125" t="s">
        <v>39</v>
      </c>
      <c r="R1125" t="s">
        <v>40</v>
      </c>
      <c r="S1125">
        <v>0</v>
      </c>
      <c r="U1125" t="s">
        <v>41</v>
      </c>
      <c r="V1125" t="s">
        <v>42</v>
      </c>
      <c r="X1125" t="s">
        <v>74</v>
      </c>
      <c r="Y1125" t="b">
        <v>0</v>
      </c>
      <c r="Z1125" t="b">
        <v>0</v>
      </c>
      <c r="AC1125" s="1"/>
      <c r="AF1125">
        <v>0</v>
      </c>
      <c r="AG1125">
        <v>45</v>
      </c>
      <c r="AH1125">
        <v>67</v>
      </c>
      <c r="AI1125" s="2">
        <f>Table__192.168.3.138BEWLPPMetaData[[#This Row],[NetAmount]]-Table__192.168.3.138BEWLPPMetaData[[#This Row],[Paid]]</f>
        <v>456854</v>
      </c>
    </row>
    <row r="1126" spans="1:35" hidden="1">
      <c r="A1126" t="s">
        <v>10574</v>
      </c>
      <c r="B1126" s="1">
        <v>41261</v>
      </c>
      <c r="C1126" s="1">
        <v>41306</v>
      </c>
      <c r="D1126" t="s">
        <v>5529</v>
      </c>
      <c r="E1126">
        <v>141480</v>
      </c>
      <c r="F1126">
        <v>22637</v>
      </c>
      <c r="G1126">
        <v>0</v>
      </c>
      <c r="H1126">
        <v>0</v>
      </c>
      <c r="I1126">
        <v>4</v>
      </c>
      <c r="J1126">
        <v>164117</v>
      </c>
      <c r="K1126" t="s">
        <v>10575</v>
      </c>
      <c r="L1126" s="1">
        <v>41264</v>
      </c>
      <c r="N1126" t="s">
        <v>6694</v>
      </c>
      <c r="O1126" t="s">
        <v>3507</v>
      </c>
      <c r="P1126" t="s">
        <v>8614</v>
      </c>
      <c r="Q1126" t="s">
        <v>39</v>
      </c>
      <c r="R1126" t="s">
        <v>40</v>
      </c>
      <c r="S1126">
        <v>0</v>
      </c>
      <c r="U1126" t="s">
        <v>41</v>
      </c>
      <c r="V1126" t="s">
        <v>42</v>
      </c>
      <c r="X1126" t="s">
        <v>74</v>
      </c>
      <c r="Y1126" t="b">
        <v>0</v>
      </c>
      <c r="Z1126" t="b">
        <v>0</v>
      </c>
      <c r="AC1126" s="1"/>
      <c r="AF1126">
        <v>0</v>
      </c>
      <c r="AG1126">
        <v>45</v>
      </c>
      <c r="AH1126">
        <v>49</v>
      </c>
      <c r="AI1126" s="2">
        <f>Table__192.168.3.138BEWLPPMetaData[[#This Row],[NetAmount]]-Table__192.168.3.138BEWLPPMetaData[[#This Row],[Paid]]</f>
        <v>164117</v>
      </c>
    </row>
    <row r="1127" spans="1:35" hidden="1">
      <c r="A1127" t="s">
        <v>10576</v>
      </c>
      <c r="B1127" s="1">
        <v>41260</v>
      </c>
      <c r="C1127" s="1">
        <v>41305</v>
      </c>
      <c r="D1127" t="s">
        <v>5529</v>
      </c>
      <c r="E1127">
        <v>331720</v>
      </c>
      <c r="F1127">
        <v>53077</v>
      </c>
      <c r="G1127">
        <v>0</v>
      </c>
      <c r="H1127">
        <v>0</v>
      </c>
      <c r="I1127">
        <v>14</v>
      </c>
      <c r="J1127">
        <v>384797</v>
      </c>
      <c r="K1127" t="s">
        <v>10577</v>
      </c>
      <c r="L1127" s="1">
        <v>41254</v>
      </c>
      <c r="N1127" t="s">
        <v>6694</v>
      </c>
      <c r="O1127" t="s">
        <v>3507</v>
      </c>
      <c r="P1127" t="s">
        <v>8614</v>
      </c>
      <c r="Q1127" t="s">
        <v>39</v>
      </c>
      <c r="R1127" t="s">
        <v>40</v>
      </c>
      <c r="S1127">
        <v>0</v>
      </c>
      <c r="U1127" t="s">
        <v>41</v>
      </c>
      <c r="V1127" t="s">
        <v>42</v>
      </c>
      <c r="X1127" t="s">
        <v>74</v>
      </c>
      <c r="Y1127" t="b">
        <v>0</v>
      </c>
      <c r="Z1127" t="b">
        <v>0</v>
      </c>
      <c r="AC1127" s="1"/>
      <c r="AF1127">
        <v>0</v>
      </c>
      <c r="AG1127">
        <v>45</v>
      </c>
      <c r="AH1127">
        <v>59</v>
      </c>
      <c r="AI1127" s="2">
        <f>Table__192.168.3.138BEWLPPMetaData[[#This Row],[NetAmount]]-Table__192.168.3.138BEWLPPMetaData[[#This Row],[Paid]]</f>
        <v>384797</v>
      </c>
    </row>
    <row r="1128" spans="1:35" hidden="1">
      <c r="A1128" t="s">
        <v>10578</v>
      </c>
      <c r="B1128" s="1">
        <v>41262</v>
      </c>
      <c r="C1128" s="1">
        <v>41307</v>
      </c>
      <c r="D1128" t="s">
        <v>10482</v>
      </c>
      <c r="E1128">
        <v>251600</v>
      </c>
      <c r="F1128">
        <v>40256</v>
      </c>
      <c r="G1128">
        <v>0</v>
      </c>
      <c r="H1128">
        <v>0</v>
      </c>
      <c r="I1128">
        <v>6</v>
      </c>
      <c r="J1128">
        <v>291856</v>
      </c>
      <c r="K1128" t="s">
        <v>2775</v>
      </c>
      <c r="L1128" s="1">
        <v>41262</v>
      </c>
      <c r="N1128" t="s">
        <v>6694</v>
      </c>
      <c r="O1128" t="s">
        <v>3507</v>
      </c>
      <c r="P1128" t="s">
        <v>10484</v>
      </c>
      <c r="Q1128" t="s">
        <v>39</v>
      </c>
      <c r="R1128" t="s">
        <v>40</v>
      </c>
      <c r="S1128">
        <v>0</v>
      </c>
      <c r="U1128" t="s">
        <v>41</v>
      </c>
      <c r="V1128" t="s">
        <v>42</v>
      </c>
      <c r="X1128" t="s">
        <v>74</v>
      </c>
      <c r="Y1128" t="b">
        <v>0</v>
      </c>
      <c r="Z1128" t="b">
        <v>0</v>
      </c>
      <c r="AC1128" s="1"/>
      <c r="AF1128">
        <v>0</v>
      </c>
      <c r="AG1128">
        <v>45</v>
      </c>
      <c r="AH1128">
        <v>51</v>
      </c>
      <c r="AI1128" s="2">
        <f>Table__192.168.3.138BEWLPPMetaData[[#This Row],[NetAmount]]-Table__192.168.3.138BEWLPPMetaData[[#This Row],[Paid]]</f>
        <v>291856</v>
      </c>
    </row>
    <row r="1129" spans="1:35" hidden="1">
      <c r="A1129" t="s">
        <v>10579</v>
      </c>
      <c r="B1129" s="1">
        <v>41249</v>
      </c>
      <c r="C1129" s="1">
        <v>41294</v>
      </c>
      <c r="D1129" t="s">
        <v>5469</v>
      </c>
      <c r="E1129">
        <v>85000</v>
      </c>
      <c r="F1129">
        <v>13600</v>
      </c>
      <c r="G1129">
        <v>0</v>
      </c>
      <c r="H1129">
        <v>0</v>
      </c>
      <c r="I1129">
        <v>19</v>
      </c>
      <c r="J1129">
        <v>98600</v>
      </c>
      <c r="K1129" t="s">
        <v>10580</v>
      </c>
      <c r="L1129" s="1">
        <v>41249</v>
      </c>
      <c r="N1129" t="s">
        <v>6694</v>
      </c>
      <c r="O1129" t="s">
        <v>3507</v>
      </c>
      <c r="P1129" t="s">
        <v>368</v>
      </c>
      <c r="Q1129" t="s">
        <v>39</v>
      </c>
      <c r="R1129" t="s">
        <v>40</v>
      </c>
      <c r="S1129">
        <v>0</v>
      </c>
      <c r="U1129" t="s">
        <v>41</v>
      </c>
      <c r="V1129" t="s">
        <v>42</v>
      </c>
      <c r="X1129" t="s">
        <v>74</v>
      </c>
      <c r="Y1129" t="b">
        <v>0</v>
      </c>
      <c r="Z1129" t="b">
        <v>0</v>
      </c>
      <c r="AC1129" s="1"/>
      <c r="AF1129">
        <v>0</v>
      </c>
      <c r="AG1129">
        <v>45</v>
      </c>
      <c r="AH1129">
        <v>64</v>
      </c>
      <c r="AI1129" s="2">
        <f>Table__192.168.3.138BEWLPPMetaData[[#This Row],[NetAmount]]-Table__192.168.3.138BEWLPPMetaData[[#This Row],[Paid]]</f>
        <v>98600</v>
      </c>
    </row>
    <row r="1130" spans="1:35" hidden="1">
      <c r="A1130" t="s">
        <v>10581</v>
      </c>
      <c r="B1130" s="1">
        <v>41249</v>
      </c>
      <c r="C1130" s="1">
        <v>41249</v>
      </c>
      <c r="D1130" t="s">
        <v>10570</v>
      </c>
      <c r="E1130">
        <v>33600</v>
      </c>
      <c r="F1130">
        <v>5376</v>
      </c>
      <c r="G1130">
        <v>0</v>
      </c>
      <c r="H1130">
        <v>0</v>
      </c>
      <c r="I1130">
        <v>0</v>
      </c>
      <c r="J1130">
        <v>38976</v>
      </c>
      <c r="K1130" t="s">
        <v>5600</v>
      </c>
      <c r="L1130" s="1">
        <v>41250</v>
      </c>
      <c r="N1130" t="s">
        <v>6694</v>
      </c>
      <c r="O1130" t="s">
        <v>3507</v>
      </c>
      <c r="P1130" t="s">
        <v>435</v>
      </c>
      <c r="Q1130" t="s">
        <v>39</v>
      </c>
      <c r="R1130" t="s">
        <v>40</v>
      </c>
      <c r="S1130">
        <v>0</v>
      </c>
      <c r="U1130" t="s">
        <v>41</v>
      </c>
      <c r="V1130" t="s">
        <v>42</v>
      </c>
      <c r="X1130" t="s">
        <v>74</v>
      </c>
      <c r="Y1130" t="b">
        <v>0</v>
      </c>
      <c r="Z1130" t="b">
        <v>0</v>
      </c>
      <c r="AC1130" s="1"/>
      <c r="AF1130">
        <v>0</v>
      </c>
      <c r="AH1130">
        <v>63</v>
      </c>
      <c r="AI1130" s="2">
        <f>Table__192.168.3.138BEWLPPMetaData[[#This Row],[NetAmount]]-Table__192.168.3.138BEWLPPMetaData[[#This Row],[Paid]]</f>
        <v>38976</v>
      </c>
    </row>
    <row r="1131" spans="1:35" hidden="1">
      <c r="A1131" t="s">
        <v>10582</v>
      </c>
      <c r="B1131" s="1">
        <v>41261</v>
      </c>
      <c r="C1131" s="1">
        <v>41306</v>
      </c>
      <c r="D1131" t="s">
        <v>8547</v>
      </c>
      <c r="E1131">
        <v>7600</v>
      </c>
      <c r="F1131">
        <v>1216</v>
      </c>
      <c r="G1131">
        <v>0</v>
      </c>
      <c r="H1131">
        <v>0</v>
      </c>
      <c r="I1131">
        <v>7</v>
      </c>
      <c r="J1131">
        <v>8816</v>
      </c>
      <c r="K1131" t="s">
        <v>10583</v>
      </c>
      <c r="L1131" s="1">
        <v>41261</v>
      </c>
      <c r="N1131" t="s">
        <v>6694</v>
      </c>
      <c r="O1131" t="s">
        <v>3507</v>
      </c>
      <c r="P1131" t="s">
        <v>8548</v>
      </c>
      <c r="Q1131" t="s">
        <v>39</v>
      </c>
      <c r="R1131" t="s">
        <v>40</v>
      </c>
      <c r="S1131">
        <v>0</v>
      </c>
      <c r="U1131" t="s">
        <v>41</v>
      </c>
      <c r="V1131" t="s">
        <v>42</v>
      </c>
      <c r="X1131" t="s">
        <v>74</v>
      </c>
      <c r="Y1131" t="b">
        <v>0</v>
      </c>
      <c r="Z1131" t="b">
        <v>0</v>
      </c>
      <c r="AC1131" s="1"/>
      <c r="AF1131">
        <v>0</v>
      </c>
      <c r="AG1131">
        <v>45</v>
      </c>
      <c r="AH1131">
        <v>52</v>
      </c>
      <c r="AI1131" s="2">
        <f>Table__192.168.3.138BEWLPPMetaData[[#This Row],[NetAmount]]-Table__192.168.3.138BEWLPPMetaData[[#This Row],[Paid]]</f>
        <v>8816</v>
      </c>
    </row>
    <row r="1132" spans="1:35" hidden="1">
      <c r="A1132" t="s">
        <v>10584</v>
      </c>
      <c r="B1132" s="1">
        <v>41260</v>
      </c>
      <c r="C1132" s="1">
        <v>41305</v>
      </c>
      <c r="D1132" t="s">
        <v>8563</v>
      </c>
      <c r="E1132">
        <v>330000</v>
      </c>
      <c r="F1132">
        <v>52800</v>
      </c>
      <c r="G1132">
        <v>0</v>
      </c>
      <c r="H1132">
        <v>0</v>
      </c>
      <c r="I1132">
        <v>13</v>
      </c>
      <c r="J1132">
        <v>382800</v>
      </c>
      <c r="K1132" t="s">
        <v>1332</v>
      </c>
      <c r="L1132" s="1">
        <v>41255</v>
      </c>
      <c r="N1132" t="s">
        <v>6694</v>
      </c>
      <c r="O1132" t="s">
        <v>3507</v>
      </c>
      <c r="P1132" t="s">
        <v>409</v>
      </c>
      <c r="Q1132" t="s">
        <v>39</v>
      </c>
      <c r="R1132" t="s">
        <v>40</v>
      </c>
      <c r="S1132">
        <v>0</v>
      </c>
      <c r="U1132" t="s">
        <v>41</v>
      </c>
      <c r="V1132" t="s">
        <v>42</v>
      </c>
      <c r="X1132" t="s">
        <v>74</v>
      </c>
      <c r="Y1132" t="b">
        <v>0</v>
      </c>
      <c r="Z1132" t="b">
        <v>0</v>
      </c>
      <c r="AC1132" s="1"/>
      <c r="AF1132">
        <v>0</v>
      </c>
      <c r="AG1132">
        <v>45</v>
      </c>
      <c r="AH1132">
        <v>58</v>
      </c>
      <c r="AI1132" s="2">
        <f>Table__192.168.3.138BEWLPPMetaData[[#This Row],[NetAmount]]-Table__192.168.3.138BEWLPPMetaData[[#This Row],[Paid]]</f>
        <v>382800</v>
      </c>
    </row>
    <row r="1133" spans="1:35" hidden="1">
      <c r="A1133" t="s">
        <v>10585</v>
      </c>
      <c r="B1133" s="1">
        <v>41260</v>
      </c>
      <c r="C1133" s="1">
        <v>41305</v>
      </c>
      <c r="D1133" t="s">
        <v>8611</v>
      </c>
      <c r="E1133">
        <v>39946</v>
      </c>
      <c r="F1133">
        <v>6391</v>
      </c>
      <c r="G1133">
        <v>0</v>
      </c>
      <c r="H1133">
        <v>0</v>
      </c>
      <c r="I1133">
        <v>8</v>
      </c>
      <c r="J1133">
        <v>46337</v>
      </c>
      <c r="K1133" t="s">
        <v>10586</v>
      </c>
      <c r="L1133" s="1">
        <v>41260</v>
      </c>
      <c r="N1133" t="s">
        <v>6694</v>
      </c>
      <c r="O1133" t="s">
        <v>3507</v>
      </c>
      <c r="P1133" t="s">
        <v>8612</v>
      </c>
      <c r="Q1133" t="s">
        <v>39</v>
      </c>
      <c r="R1133" t="s">
        <v>40</v>
      </c>
      <c r="S1133">
        <v>0</v>
      </c>
      <c r="U1133" t="s">
        <v>41</v>
      </c>
      <c r="V1133" t="s">
        <v>42</v>
      </c>
      <c r="X1133" t="s">
        <v>74</v>
      </c>
      <c r="Y1133" t="b">
        <v>0</v>
      </c>
      <c r="Z1133" t="b">
        <v>0</v>
      </c>
      <c r="AC1133" s="1"/>
      <c r="AF1133">
        <v>0</v>
      </c>
      <c r="AG1133">
        <v>45</v>
      </c>
      <c r="AH1133">
        <v>53</v>
      </c>
      <c r="AI1133" s="2">
        <f>Table__192.168.3.138BEWLPPMetaData[[#This Row],[NetAmount]]-Table__192.168.3.138BEWLPPMetaData[[#This Row],[Paid]]</f>
        <v>46337</v>
      </c>
    </row>
    <row r="1134" spans="1:35" hidden="1">
      <c r="A1134" t="s">
        <v>10587</v>
      </c>
      <c r="B1134" s="1">
        <v>41249</v>
      </c>
      <c r="C1134" s="1">
        <v>41294</v>
      </c>
      <c r="D1134" t="s">
        <v>8611</v>
      </c>
      <c r="E1134">
        <v>9312</v>
      </c>
      <c r="F1134">
        <v>1490</v>
      </c>
      <c r="G1134">
        <v>0</v>
      </c>
      <c r="H1134">
        <v>0</v>
      </c>
      <c r="I1134">
        <v>20</v>
      </c>
      <c r="J1134">
        <v>10802</v>
      </c>
      <c r="K1134" t="s">
        <v>10588</v>
      </c>
      <c r="L1134" s="1">
        <v>41248</v>
      </c>
      <c r="N1134" t="s">
        <v>6694</v>
      </c>
      <c r="O1134" t="s">
        <v>3507</v>
      </c>
      <c r="P1134" t="s">
        <v>8612</v>
      </c>
      <c r="Q1134" t="s">
        <v>39</v>
      </c>
      <c r="R1134" t="s">
        <v>40</v>
      </c>
      <c r="S1134">
        <v>0</v>
      </c>
      <c r="U1134" t="s">
        <v>41</v>
      </c>
      <c r="V1134" t="s">
        <v>42</v>
      </c>
      <c r="X1134" t="s">
        <v>74</v>
      </c>
      <c r="Y1134" t="b">
        <v>0</v>
      </c>
      <c r="Z1134" t="b">
        <v>0</v>
      </c>
      <c r="AC1134" s="1"/>
      <c r="AF1134">
        <v>0</v>
      </c>
      <c r="AG1134">
        <v>45</v>
      </c>
      <c r="AH1134">
        <v>65</v>
      </c>
      <c r="AI1134" s="2">
        <f>Table__192.168.3.138BEWLPPMetaData[[#This Row],[NetAmount]]-Table__192.168.3.138BEWLPPMetaData[[#This Row],[Paid]]</f>
        <v>10802</v>
      </c>
    </row>
    <row r="1135" spans="1:35" hidden="1">
      <c r="A1135" t="s">
        <v>10589</v>
      </c>
      <c r="B1135" s="1">
        <v>41260</v>
      </c>
      <c r="C1135" s="1">
        <v>41305</v>
      </c>
      <c r="D1135" t="s">
        <v>8570</v>
      </c>
      <c r="E1135">
        <v>266000</v>
      </c>
      <c r="F1135">
        <v>42560</v>
      </c>
      <c r="G1135">
        <v>0</v>
      </c>
      <c r="H1135">
        <v>0</v>
      </c>
      <c r="I1135">
        <v>14</v>
      </c>
      <c r="J1135">
        <v>308560</v>
      </c>
      <c r="K1135" t="s">
        <v>10590</v>
      </c>
      <c r="L1135" s="1">
        <v>41254</v>
      </c>
      <c r="N1135" t="s">
        <v>6694</v>
      </c>
      <c r="O1135" t="s">
        <v>3507</v>
      </c>
      <c r="P1135" t="s">
        <v>8571</v>
      </c>
      <c r="Q1135" t="s">
        <v>39</v>
      </c>
      <c r="R1135" t="s">
        <v>40</v>
      </c>
      <c r="S1135">
        <v>0</v>
      </c>
      <c r="U1135" t="s">
        <v>41</v>
      </c>
      <c r="V1135" t="s">
        <v>42</v>
      </c>
      <c r="X1135" t="s">
        <v>74</v>
      </c>
      <c r="Y1135" t="b">
        <v>0</v>
      </c>
      <c r="Z1135" t="b">
        <v>0</v>
      </c>
      <c r="AC1135" s="1"/>
      <c r="AF1135">
        <v>0</v>
      </c>
      <c r="AG1135">
        <v>45</v>
      </c>
      <c r="AH1135">
        <v>59</v>
      </c>
      <c r="AI1135" s="2">
        <f>Table__192.168.3.138BEWLPPMetaData[[#This Row],[NetAmount]]-Table__192.168.3.138BEWLPPMetaData[[#This Row],[Paid]]</f>
        <v>308560</v>
      </c>
    </row>
    <row r="1136" spans="1:35" hidden="1">
      <c r="A1136" t="s">
        <v>10591</v>
      </c>
      <c r="B1136" s="1">
        <v>41253</v>
      </c>
      <c r="C1136" s="1">
        <v>41298</v>
      </c>
      <c r="D1136" t="s">
        <v>8611</v>
      </c>
      <c r="E1136">
        <v>36666</v>
      </c>
      <c r="F1136">
        <v>5867</v>
      </c>
      <c r="G1136">
        <v>0</v>
      </c>
      <c r="H1136">
        <v>0</v>
      </c>
      <c r="I1136">
        <v>17</v>
      </c>
      <c r="J1136">
        <v>42533</v>
      </c>
      <c r="K1136" t="s">
        <v>10592</v>
      </c>
      <c r="L1136" s="1">
        <v>41251</v>
      </c>
      <c r="N1136" t="s">
        <v>6694</v>
      </c>
      <c r="O1136" t="s">
        <v>3507</v>
      </c>
      <c r="P1136" t="s">
        <v>8612</v>
      </c>
      <c r="Q1136" t="s">
        <v>39</v>
      </c>
      <c r="R1136" t="s">
        <v>40</v>
      </c>
      <c r="S1136">
        <v>0</v>
      </c>
      <c r="U1136" t="s">
        <v>41</v>
      </c>
      <c r="V1136" t="s">
        <v>42</v>
      </c>
      <c r="X1136" t="s">
        <v>74</v>
      </c>
      <c r="Y1136" t="b">
        <v>0</v>
      </c>
      <c r="Z1136" t="b">
        <v>0</v>
      </c>
      <c r="AC1136" s="1"/>
      <c r="AF1136">
        <v>0</v>
      </c>
      <c r="AG1136">
        <v>45</v>
      </c>
      <c r="AH1136">
        <v>62</v>
      </c>
      <c r="AI1136" s="2">
        <f>Table__192.168.3.138BEWLPPMetaData[[#This Row],[NetAmount]]-Table__192.168.3.138BEWLPPMetaData[[#This Row],[Paid]]</f>
        <v>42533</v>
      </c>
    </row>
    <row r="1137" spans="1:35" hidden="1">
      <c r="A1137" t="s">
        <v>10593</v>
      </c>
      <c r="B1137" s="1">
        <v>41256</v>
      </c>
      <c r="C1137" s="1">
        <v>41301</v>
      </c>
      <c r="D1137" t="s">
        <v>8611</v>
      </c>
      <c r="E1137">
        <v>39799</v>
      </c>
      <c r="F1137">
        <v>6368</v>
      </c>
      <c r="G1137">
        <v>0</v>
      </c>
      <c r="H1137">
        <v>0</v>
      </c>
      <c r="I1137">
        <v>12</v>
      </c>
      <c r="J1137">
        <v>46167</v>
      </c>
      <c r="K1137" t="s">
        <v>10594</v>
      </c>
      <c r="L1137" s="1">
        <v>41256</v>
      </c>
      <c r="N1137" t="s">
        <v>6694</v>
      </c>
      <c r="O1137" t="s">
        <v>3507</v>
      </c>
      <c r="P1137" t="s">
        <v>8612</v>
      </c>
      <c r="Q1137" t="s">
        <v>39</v>
      </c>
      <c r="R1137" t="s">
        <v>40</v>
      </c>
      <c r="S1137">
        <v>0</v>
      </c>
      <c r="U1137" t="s">
        <v>41</v>
      </c>
      <c r="V1137" t="s">
        <v>42</v>
      </c>
      <c r="X1137" t="s">
        <v>74</v>
      </c>
      <c r="Y1137" t="b">
        <v>0</v>
      </c>
      <c r="Z1137" t="b">
        <v>0</v>
      </c>
      <c r="AC1137" s="1"/>
      <c r="AF1137">
        <v>0</v>
      </c>
      <c r="AG1137">
        <v>45</v>
      </c>
      <c r="AH1137">
        <v>57</v>
      </c>
      <c r="AI1137" s="2">
        <f>Table__192.168.3.138BEWLPPMetaData[[#This Row],[NetAmount]]-Table__192.168.3.138BEWLPPMetaData[[#This Row],[Paid]]</f>
        <v>46167</v>
      </c>
    </row>
    <row r="1138" spans="1:35" hidden="1">
      <c r="A1138" t="s">
        <v>10595</v>
      </c>
      <c r="B1138" s="1">
        <v>41254</v>
      </c>
      <c r="C1138" s="1">
        <v>41299</v>
      </c>
      <c r="D1138" t="s">
        <v>8611</v>
      </c>
      <c r="E1138">
        <v>38271</v>
      </c>
      <c r="F1138">
        <v>6123</v>
      </c>
      <c r="G1138">
        <v>0</v>
      </c>
      <c r="H1138">
        <v>0</v>
      </c>
      <c r="I1138">
        <v>14</v>
      </c>
      <c r="J1138">
        <v>44394</v>
      </c>
      <c r="K1138" t="s">
        <v>10596</v>
      </c>
      <c r="L1138" s="1">
        <v>41254</v>
      </c>
      <c r="N1138" t="s">
        <v>6694</v>
      </c>
      <c r="O1138" t="s">
        <v>3507</v>
      </c>
      <c r="P1138" t="s">
        <v>8612</v>
      </c>
      <c r="Q1138" t="s">
        <v>39</v>
      </c>
      <c r="R1138" t="s">
        <v>40</v>
      </c>
      <c r="S1138">
        <v>0</v>
      </c>
      <c r="U1138" t="s">
        <v>41</v>
      </c>
      <c r="V1138" t="s">
        <v>42</v>
      </c>
      <c r="X1138" t="s">
        <v>74</v>
      </c>
      <c r="Y1138" t="b">
        <v>0</v>
      </c>
      <c r="Z1138" t="b">
        <v>0</v>
      </c>
      <c r="AC1138" s="1"/>
      <c r="AF1138">
        <v>0</v>
      </c>
      <c r="AG1138">
        <v>45</v>
      </c>
      <c r="AH1138">
        <v>59</v>
      </c>
      <c r="AI1138" s="2">
        <f>Table__192.168.3.138BEWLPPMetaData[[#This Row],[NetAmount]]-Table__192.168.3.138BEWLPPMetaData[[#This Row],[Paid]]</f>
        <v>44394</v>
      </c>
    </row>
    <row r="1139" spans="1:35" hidden="1">
      <c r="A1139" t="s">
        <v>10597</v>
      </c>
      <c r="B1139" s="1">
        <v>41251</v>
      </c>
      <c r="C1139" s="1">
        <v>41296</v>
      </c>
      <c r="D1139" t="s">
        <v>9971</v>
      </c>
      <c r="E1139">
        <v>7600</v>
      </c>
      <c r="F1139">
        <v>1216</v>
      </c>
      <c r="G1139">
        <v>0</v>
      </c>
      <c r="H1139">
        <v>0</v>
      </c>
      <c r="I1139">
        <v>19</v>
      </c>
      <c r="J1139">
        <v>8816</v>
      </c>
      <c r="K1139" t="s">
        <v>10598</v>
      </c>
      <c r="L1139" s="1">
        <v>41249</v>
      </c>
      <c r="N1139" t="s">
        <v>6694</v>
      </c>
      <c r="O1139" t="s">
        <v>3507</v>
      </c>
      <c r="P1139" t="s">
        <v>9973</v>
      </c>
      <c r="Q1139" t="s">
        <v>39</v>
      </c>
      <c r="R1139" t="s">
        <v>40</v>
      </c>
      <c r="S1139">
        <v>0</v>
      </c>
      <c r="U1139" t="s">
        <v>41</v>
      </c>
      <c r="V1139" t="s">
        <v>42</v>
      </c>
      <c r="X1139" t="s">
        <v>74</v>
      </c>
      <c r="Y1139" t="b">
        <v>0</v>
      </c>
      <c r="Z1139" t="b">
        <v>0</v>
      </c>
      <c r="AC1139" s="1"/>
      <c r="AF1139">
        <v>0</v>
      </c>
      <c r="AG1139">
        <v>45</v>
      </c>
      <c r="AH1139">
        <v>64</v>
      </c>
      <c r="AI1139" s="2">
        <f>Table__192.168.3.138BEWLPPMetaData[[#This Row],[NetAmount]]-Table__192.168.3.138BEWLPPMetaData[[#This Row],[Paid]]</f>
        <v>8816</v>
      </c>
    </row>
    <row r="1140" spans="1:35" hidden="1">
      <c r="A1140" t="s">
        <v>10599</v>
      </c>
      <c r="B1140" s="1">
        <v>41249</v>
      </c>
      <c r="C1140" s="1">
        <v>41294</v>
      </c>
      <c r="D1140" t="s">
        <v>9971</v>
      </c>
      <c r="E1140">
        <v>3800</v>
      </c>
      <c r="F1140">
        <v>608</v>
      </c>
      <c r="G1140">
        <v>0</v>
      </c>
      <c r="H1140">
        <v>0</v>
      </c>
      <c r="I1140">
        <v>19</v>
      </c>
      <c r="J1140">
        <v>4408</v>
      </c>
      <c r="K1140" t="s">
        <v>10600</v>
      </c>
      <c r="L1140" s="1">
        <v>41249</v>
      </c>
      <c r="N1140" t="s">
        <v>6694</v>
      </c>
      <c r="O1140" t="s">
        <v>3507</v>
      </c>
      <c r="P1140" t="s">
        <v>9973</v>
      </c>
      <c r="Q1140" t="s">
        <v>39</v>
      </c>
      <c r="R1140" t="s">
        <v>40</v>
      </c>
      <c r="S1140">
        <v>0</v>
      </c>
      <c r="U1140" t="s">
        <v>41</v>
      </c>
      <c r="V1140" t="s">
        <v>42</v>
      </c>
      <c r="X1140" t="s">
        <v>74</v>
      </c>
      <c r="Y1140" t="b">
        <v>0</v>
      </c>
      <c r="Z1140" t="b">
        <v>0</v>
      </c>
      <c r="AC1140" s="1"/>
      <c r="AF1140">
        <v>0</v>
      </c>
      <c r="AG1140">
        <v>45</v>
      </c>
      <c r="AH1140">
        <v>64</v>
      </c>
      <c r="AI1140" s="2">
        <f>Table__192.168.3.138BEWLPPMetaData[[#This Row],[NetAmount]]-Table__192.168.3.138BEWLPPMetaData[[#This Row],[Paid]]</f>
        <v>4408</v>
      </c>
    </row>
    <row r="1141" spans="1:35" hidden="1">
      <c r="A1141" t="s">
        <v>10601</v>
      </c>
      <c r="B1141" s="1">
        <v>41271</v>
      </c>
      <c r="C1141" s="1">
        <v>41316</v>
      </c>
      <c r="D1141" t="s">
        <v>10400</v>
      </c>
      <c r="E1141">
        <v>14025</v>
      </c>
      <c r="F1141">
        <v>0</v>
      </c>
      <c r="G1141">
        <v>0</v>
      </c>
      <c r="H1141">
        <v>0</v>
      </c>
      <c r="I1141">
        <v>-4</v>
      </c>
      <c r="J1141">
        <v>14025</v>
      </c>
      <c r="K1141" t="s">
        <v>6685</v>
      </c>
      <c r="L1141" s="1">
        <v>41272</v>
      </c>
      <c r="N1141" t="s">
        <v>6694</v>
      </c>
      <c r="O1141" t="s">
        <v>3507</v>
      </c>
      <c r="P1141" t="s">
        <v>10401</v>
      </c>
      <c r="Q1141" t="s">
        <v>39</v>
      </c>
      <c r="R1141" t="s">
        <v>40</v>
      </c>
      <c r="S1141">
        <v>0</v>
      </c>
      <c r="U1141" t="s">
        <v>41</v>
      </c>
      <c r="V1141" t="s">
        <v>42</v>
      </c>
      <c r="X1141" t="s">
        <v>74</v>
      </c>
      <c r="Y1141" t="b">
        <v>0</v>
      </c>
      <c r="Z1141" t="b">
        <v>0</v>
      </c>
      <c r="AC1141" s="1"/>
      <c r="AF1141">
        <v>0</v>
      </c>
      <c r="AG1141">
        <v>45</v>
      </c>
      <c r="AH1141">
        <v>41</v>
      </c>
      <c r="AI1141" s="2">
        <f>Table__192.168.3.138BEWLPPMetaData[[#This Row],[NetAmount]]-Table__192.168.3.138BEWLPPMetaData[[#This Row],[Paid]]</f>
        <v>14025</v>
      </c>
    </row>
    <row r="1142" spans="1:35" hidden="1">
      <c r="A1142" t="s">
        <v>10602</v>
      </c>
      <c r="B1142" s="1">
        <v>41265</v>
      </c>
      <c r="C1142" s="1">
        <v>41310</v>
      </c>
      <c r="D1142" t="s">
        <v>9145</v>
      </c>
      <c r="E1142">
        <v>21132</v>
      </c>
      <c r="F1142">
        <v>0</v>
      </c>
      <c r="G1142">
        <v>0</v>
      </c>
      <c r="H1142">
        <v>0</v>
      </c>
      <c r="I1142">
        <v>-3</v>
      </c>
      <c r="J1142">
        <v>21132</v>
      </c>
      <c r="K1142" t="s">
        <v>10603</v>
      </c>
      <c r="L1142" s="1">
        <v>41271</v>
      </c>
      <c r="N1142" t="s">
        <v>6694</v>
      </c>
      <c r="O1142" t="s">
        <v>3507</v>
      </c>
      <c r="P1142" t="s">
        <v>362</v>
      </c>
      <c r="Q1142" t="s">
        <v>39</v>
      </c>
      <c r="R1142" t="s">
        <v>40</v>
      </c>
      <c r="S1142">
        <v>0</v>
      </c>
      <c r="U1142" t="s">
        <v>41</v>
      </c>
      <c r="V1142" t="s">
        <v>42</v>
      </c>
      <c r="X1142" t="s">
        <v>74</v>
      </c>
      <c r="Y1142" t="b">
        <v>0</v>
      </c>
      <c r="Z1142" t="b">
        <v>0</v>
      </c>
      <c r="AC1142" s="1"/>
      <c r="AF1142">
        <v>0</v>
      </c>
      <c r="AG1142">
        <v>45</v>
      </c>
      <c r="AH1142">
        <v>42</v>
      </c>
      <c r="AI1142" s="2">
        <f>Table__192.168.3.138BEWLPPMetaData[[#This Row],[NetAmount]]-Table__192.168.3.138BEWLPPMetaData[[#This Row],[Paid]]</f>
        <v>21132</v>
      </c>
    </row>
    <row r="1143" spans="1:35" hidden="1">
      <c r="A1143" t="s">
        <v>10604</v>
      </c>
      <c r="B1143" s="1">
        <v>41271</v>
      </c>
      <c r="C1143" s="1">
        <v>41316</v>
      </c>
      <c r="D1143" t="s">
        <v>9145</v>
      </c>
      <c r="E1143">
        <v>12960</v>
      </c>
      <c r="F1143">
        <v>0</v>
      </c>
      <c r="G1143">
        <v>0</v>
      </c>
      <c r="H1143">
        <v>0</v>
      </c>
      <c r="I1143">
        <v>-3</v>
      </c>
      <c r="J1143">
        <v>12960</v>
      </c>
      <c r="K1143" t="s">
        <v>3934</v>
      </c>
      <c r="L1143" s="1">
        <v>41271</v>
      </c>
      <c r="N1143" t="s">
        <v>6694</v>
      </c>
      <c r="O1143" t="s">
        <v>3507</v>
      </c>
      <c r="P1143" t="s">
        <v>362</v>
      </c>
      <c r="Q1143" t="s">
        <v>39</v>
      </c>
      <c r="R1143" t="s">
        <v>40</v>
      </c>
      <c r="S1143">
        <v>0</v>
      </c>
      <c r="U1143" t="s">
        <v>41</v>
      </c>
      <c r="V1143" t="s">
        <v>42</v>
      </c>
      <c r="X1143" t="s">
        <v>74</v>
      </c>
      <c r="Y1143" t="b">
        <v>0</v>
      </c>
      <c r="Z1143" t="b">
        <v>0</v>
      </c>
      <c r="AC1143" s="1"/>
      <c r="AF1143">
        <v>0</v>
      </c>
      <c r="AG1143">
        <v>45</v>
      </c>
      <c r="AH1143">
        <v>42</v>
      </c>
      <c r="AI1143" s="2">
        <f>Table__192.168.3.138BEWLPPMetaData[[#This Row],[NetAmount]]-Table__192.168.3.138BEWLPPMetaData[[#This Row],[Paid]]</f>
        <v>12960</v>
      </c>
    </row>
    <row r="1144" spans="1:35" hidden="1">
      <c r="A1144" t="s">
        <v>10605</v>
      </c>
      <c r="B1144" s="1">
        <v>41253</v>
      </c>
      <c r="C1144" s="1">
        <v>41298</v>
      </c>
      <c r="D1144" t="s">
        <v>8527</v>
      </c>
      <c r="E1144">
        <v>29250</v>
      </c>
      <c r="F1144">
        <v>4680</v>
      </c>
      <c r="G1144">
        <v>0</v>
      </c>
      <c r="H1144">
        <v>0</v>
      </c>
      <c r="I1144">
        <v>15</v>
      </c>
      <c r="J1144">
        <v>33930</v>
      </c>
      <c r="K1144" t="s">
        <v>2331</v>
      </c>
      <c r="L1144" s="1">
        <v>41253</v>
      </c>
      <c r="N1144" t="s">
        <v>6694</v>
      </c>
      <c r="O1144" t="s">
        <v>3507</v>
      </c>
      <c r="P1144" t="s">
        <v>8528</v>
      </c>
      <c r="Q1144" t="s">
        <v>39</v>
      </c>
      <c r="R1144" t="s">
        <v>40</v>
      </c>
      <c r="S1144">
        <v>0</v>
      </c>
      <c r="U1144" t="s">
        <v>41</v>
      </c>
      <c r="V1144" t="s">
        <v>42</v>
      </c>
      <c r="X1144" t="s">
        <v>74</v>
      </c>
      <c r="Y1144" t="b">
        <v>0</v>
      </c>
      <c r="Z1144" t="b">
        <v>0</v>
      </c>
      <c r="AC1144" s="1"/>
      <c r="AF1144">
        <v>0</v>
      </c>
      <c r="AG1144">
        <v>45</v>
      </c>
      <c r="AH1144">
        <v>60</v>
      </c>
      <c r="AI1144" s="2">
        <f>Table__192.168.3.138BEWLPPMetaData[[#This Row],[NetAmount]]-Table__192.168.3.138BEWLPPMetaData[[#This Row],[Paid]]</f>
        <v>33930</v>
      </c>
    </row>
    <row r="1145" spans="1:35" hidden="1">
      <c r="A1145" t="s">
        <v>10606</v>
      </c>
      <c r="B1145" s="1">
        <v>41260</v>
      </c>
      <c r="C1145" s="1">
        <v>41305</v>
      </c>
      <c r="D1145" t="s">
        <v>8527</v>
      </c>
      <c r="E1145">
        <v>195000</v>
      </c>
      <c r="F1145">
        <v>31200</v>
      </c>
      <c r="G1145">
        <v>0</v>
      </c>
      <c r="H1145">
        <v>0</v>
      </c>
      <c r="I1145">
        <v>8</v>
      </c>
      <c r="J1145">
        <v>226200</v>
      </c>
      <c r="K1145" t="s">
        <v>2439</v>
      </c>
      <c r="L1145" s="1">
        <v>41260</v>
      </c>
      <c r="N1145" t="s">
        <v>6694</v>
      </c>
      <c r="O1145" t="s">
        <v>3507</v>
      </c>
      <c r="P1145" t="s">
        <v>8528</v>
      </c>
      <c r="Q1145" t="s">
        <v>39</v>
      </c>
      <c r="R1145" t="s">
        <v>40</v>
      </c>
      <c r="S1145">
        <v>0</v>
      </c>
      <c r="U1145" t="s">
        <v>41</v>
      </c>
      <c r="V1145" t="s">
        <v>42</v>
      </c>
      <c r="X1145" t="s">
        <v>74</v>
      </c>
      <c r="Y1145" t="b">
        <v>0</v>
      </c>
      <c r="Z1145" t="b">
        <v>0</v>
      </c>
      <c r="AC1145" s="1"/>
      <c r="AF1145">
        <v>0</v>
      </c>
      <c r="AG1145">
        <v>45</v>
      </c>
      <c r="AH1145">
        <v>53</v>
      </c>
      <c r="AI1145" s="2">
        <f>Table__192.168.3.138BEWLPPMetaData[[#This Row],[NetAmount]]-Table__192.168.3.138BEWLPPMetaData[[#This Row],[Paid]]</f>
        <v>226200</v>
      </c>
    </row>
    <row r="1146" spans="1:35" hidden="1">
      <c r="A1146" t="s">
        <v>10607</v>
      </c>
      <c r="B1146" s="1">
        <v>41270</v>
      </c>
      <c r="C1146" s="1">
        <v>41315</v>
      </c>
      <c r="D1146" t="s">
        <v>8577</v>
      </c>
      <c r="E1146">
        <v>9500</v>
      </c>
      <c r="F1146">
        <v>0</v>
      </c>
      <c r="G1146">
        <v>0</v>
      </c>
      <c r="H1146">
        <v>0</v>
      </c>
      <c r="I1146">
        <v>-2</v>
      </c>
      <c r="J1146">
        <v>9500</v>
      </c>
      <c r="K1146" t="s">
        <v>7597</v>
      </c>
      <c r="L1146" s="1">
        <v>41270</v>
      </c>
      <c r="N1146" t="s">
        <v>6694</v>
      </c>
      <c r="O1146" t="s">
        <v>3507</v>
      </c>
      <c r="P1146" t="s">
        <v>8579</v>
      </c>
      <c r="Q1146" t="s">
        <v>39</v>
      </c>
      <c r="R1146" t="s">
        <v>40</v>
      </c>
      <c r="S1146">
        <v>0</v>
      </c>
      <c r="U1146" t="s">
        <v>41</v>
      </c>
      <c r="V1146" t="s">
        <v>42</v>
      </c>
      <c r="X1146" t="s">
        <v>74</v>
      </c>
      <c r="Y1146" t="b">
        <v>0</v>
      </c>
      <c r="Z1146" t="b">
        <v>0</v>
      </c>
      <c r="AC1146" s="1"/>
      <c r="AF1146">
        <v>0</v>
      </c>
      <c r="AG1146">
        <v>45</v>
      </c>
      <c r="AH1146">
        <v>43</v>
      </c>
      <c r="AI1146" s="2">
        <f>Table__192.168.3.138BEWLPPMetaData[[#This Row],[NetAmount]]-Table__192.168.3.138BEWLPPMetaData[[#This Row],[Paid]]</f>
        <v>9500</v>
      </c>
    </row>
    <row r="1147" spans="1:35" hidden="1">
      <c r="A1147" t="s">
        <v>10608</v>
      </c>
      <c r="B1147" s="1">
        <v>41272</v>
      </c>
      <c r="C1147" s="1">
        <v>41317</v>
      </c>
      <c r="D1147" t="s">
        <v>8577</v>
      </c>
      <c r="E1147">
        <v>3600</v>
      </c>
      <c r="F1147">
        <v>0</v>
      </c>
      <c r="G1147">
        <v>0</v>
      </c>
      <c r="H1147">
        <v>0</v>
      </c>
      <c r="I1147">
        <v>-4</v>
      </c>
      <c r="J1147">
        <v>3600</v>
      </c>
      <c r="K1147" t="s">
        <v>4112</v>
      </c>
      <c r="L1147" s="1">
        <v>41272</v>
      </c>
      <c r="N1147" t="s">
        <v>6694</v>
      </c>
      <c r="O1147" t="s">
        <v>3507</v>
      </c>
      <c r="P1147" t="s">
        <v>8579</v>
      </c>
      <c r="Q1147" t="s">
        <v>39</v>
      </c>
      <c r="R1147" t="s">
        <v>40</v>
      </c>
      <c r="S1147">
        <v>0</v>
      </c>
      <c r="U1147" t="s">
        <v>41</v>
      </c>
      <c r="V1147" t="s">
        <v>42</v>
      </c>
      <c r="X1147" t="s">
        <v>74</v>
      </c>
      <c r="Y1147" t="b">
        <v>0</v>
      </c>
      <c r="Z1147" t="b">
        <v>0</v>
      </c>
      <c r="AC1147" s="1"/>
      <c r="AF1147">
        <v>0</v>
      </c>
      <c r="AG1147">
        <v>45</v>
      </c>
      <c r="AH1147">
        <v>41</v>
      </c>
      <c r="AI1147" s="2">
        <f>Table__192.168.3.138BEWLPPMetaData[[#This Row],[NetAmount]]-Table__192.168.3.138BEWLPPMetaData[[#This Row],[Paid]]</f>
        <v>3600</v>
      </c>
    </row>
    <row r="1148" spans="1:35" hidden="1">
      <c r="A1148" t="s">
        <v>10609</v>
      </c>
      <c r="B1148" s="1">
        <v>41271</v>
      </c>
      <c r="C1148" s="1">
        <v>41316</v>
      </c>
      <c r="D1148" t="s">
        <v>9908</v>
      </c>
      <c r="E1148">
        <v>77700</v>
      </c>
      <c r="F1148">
        <v>12432</v>
      </c>
      <c r="G1148">
        <v>0</v>
      </c>
      <c r="H1148">
        <v>0</v>
      </c>
      <c r="I1148">
        <v>-4</v>
      </c>
      <c r="J1148">
        <v>90132</v>
      </c>
      <c r="K1148" t="s">
        <v>7502</v>
      </c>
      <c r="L1148" s="1">
        <v>41272</v>
      </c>
      <c r="N1148" t="s">
        <v>6694</v>
      </c>
      <c r="O1148" t="s">
        <v>3507</v>
      </c>
      <c r="P1148" t="s">
        <v>426</v>
      </c>
      <c r="Q1148" t="s">
        <v>39</v>
      </c>
      <c r="R1148" t="s">
        <v>40</v>
      </c>
      <c r="S1148">
        <v>0</v>
      </c>
      <c r="U1148" t="s">
        <v>41</v>
      </c>
      <c r="V1148" t="s">
        <v>42</v>
      </c>
      <c r="X1148" t="s">
        <v>74</v>
      </c>
      <c r="Y1148" t="b">
        <v>0</v>
      </c>
      <c r="Z1148" t="b">
        <v>0</v>
      </c>
      <c r="AC1148" s="1"/>
      <c r="AF1148">
        <v>0</v>
      </c>
      <c r="AG1148">
        <v>45</v>
      </c>
      <c r="AH1148">
        <v>41</v>
      </c>
      <c r="AI1148" s="2">
        <f>Table__192.168.3.138BEWLPPMetaData[[#This Row],[NetAmount]]-Table__192.168.3.138BEWLPPMetaData[[#This Row],[Paid]]</f>
        <v>90132</v>
      </c>
    </row>
    <row r="1149" spans="1:35" hidden="1">
      <c r="A1149" t="s">
        <v>10610</v>
      </c>
      <c r="B1149" s="1">
        <v>41267</v>
      </c>
      <c r="C1149" s="1">
        <v>41312</v>
      </c>
      <c r="D1149" t="s">
        <v>9971</v>
      </c>
      <c r="E1149">
        <v>7600</v>
      </c>
      <c r="F1149">
        <v>1216</v>
      </c>
      <c r="G1149">
        <v>0</v>
      </c>
      <c r="H1149">
        <v>0</v>
      </c>
      <c r="I1149">
        <v>19</v>
      </c>
      <c r="J1149">
        <v>8816</v>
      </c>
      <c r="K1149" t="s">
        <v>10611</v>
      </c>
      <c r="L1149" s="1">
        <v>41249</v>
      </c>
      <c r="N1149" t="s">
        <v>6694</v>
      </c>
      <c r="O1149" t="s">
        <v>3507</v>
      </c>
      <c r="P1149" t="s">
        <v>9973</v>
      </c>
      <c r="Q1149" t="s">
        <v>39</v>
      </c>
      <c r="R1149" t="s">
        <v>40</v>
      </c>
      <c r="S1149">
        <v>0</v>
      </c>
      <c r="U1149" t="s">
        <v>41</v>
      </c>
      <c r="V1149" t="s">
        <v>42</v>
      </c>
      <c r="X1149" t="s">
        <v>74</v>
      </c>
      <c r="Y1149" t="b">
        <v>0</v>
      </c>
      <c r="Z1149" t="b">
        <v>0</v>
      </c>
      <c r="AC1149" s="1"/>
      <c r="AF1149">
        <v>0</v>
      </c>
      <c r="AG1149">
        <v>45</v>
      </c>
      <c r="AH1149">
        <v>64</v>
      </c>
      <c r="AI1149" s="2">
        <f>Table__192.168.3.138BEWLPPMetaData[[#This Row],[NetAmount]]-Table__192.168.3.138BEWLPPMetaData[[#This Row],[Paid]]</f>
        <v>8816</v>
      </c>
    </row>
    <row r="1150" spans="1:35" hidden="1">
      <c r="A1150" t="s">
        <v>10612</v>
      </c>
      <c r="B1150" s="1">
        <v>41256</v>
      </c>
      <c r="C1150" s="1">
        <v>41301</v>
      </c>
      <c r="D1150" t="s">
        <v>8538</v>
      </c>
      <c r="E1150">
        <v>135000</v>
      </c>
      <c r="F1150">
        <v>21600</v>
      </c>
      <c r="G1150">
        <v>0</v>
      </c>
      <c r="H1150">
        <v>0</v>
      </c>
      <c r="I1150">
        <v>12</v>
      </c>
      <c r="J1150">
        <v>156600</v>
      </c>
      <c r="K1150" t="s">
        <v>10613</v>
      </c>
      <c r="L1150" s="1">
        <v>41256</v>
      </c>
      <c r="N1150" t="s">
        <v>6694</v>
      </c>
      <c r="O1150" t="s">
        <v>3507</v>
      </c>
      <c r="P1150" t="s">
        <v>310</v>
      </c>
      <c r="Q1150" t="s">
        <v>39</v>
      </c>
      <c r="R1150" t="s">
        <v>40</v>
      </c>
      <c r="S1150">
        <v>0</v>
      </c>
      <c r="U1150" t="s">
        <v>41</v>
      </c>
      <c r="V1150" t="s">
        <v>42</v>
      </c>
      <c r="X1150" t="s">
        <v>74</v>
      </c>
      <c r="Y1150" t="b">
        <v>0</v>
      </c>
      <c r="Z1150" t="b">
        <v>0</v>
      </c>
      <c r="AC1150" s="1"/>
      <c r="AF1150">
        <v>0</v>
      </c>
      <c r="AG1150">
        <v>45</v>
      </c>
      <c r="AH1150">
        <v>57</v>
      </c>
      <c r="AI1150" s="2">
        <f>Table__192.168.3.138BEWLPPMetaData[[#This Row],[NetAmount]]-Table__192.168.3.138BEWLPPMetaData[[#This Row],[Paid]]</f>
        <v>156600</v>
      </c>
    </row>
    <row r="1151" spans="1:35" hidden="1">
      <c r="A1151" t="s">
        <v>10614</v>
      </c>
      <c r="B1151" s="1">
        <v>41262</v>
      </c>
      <c r="C1151" s="1">
        <v>41307</v>
      </c>
      <c r="D1151" t="s">
        <v>8538</v>
      </c>
      <c r="E1151">
        <v>179400</v>
      </c>
      <c r="F1151">
        <v>28704</v>
      </c>
      <c r="G1151">
        <v>0</v>
      </c>
      <c r="H1151">
        <v>0</v>
      </c>
      <c r="I1151">
        <v>6</v>
      </c>
      <c r="J1151">
        <v>208104</v>
      </c>
      <c r="K1151" t="s">
        <v>10615</v>
      </c>
      <c r="L1151" s="1">
        <v>41262</v>
      </c>
      <c r="N1151" t="s">
        <v>6694</v>
      </c>
      <c r="O1151" t="s">
        <v>3507</v>
      </c>
      <c r="P1151" t="s">
        <v>310</v>
      </c>
      <c r="Q1151" t="s">
        <v>39</v>
      </c>
      <c r="R1151" t="s">
        <v>40</v>
      </c>
      <c r="S1151">
        <v>0</v>
      </c>
      <c r="U1151" t="s">
        <v>41</v>
      </c>
      <c r="V1151" t="s">
        <v>42</v>
      </c>
      <c r="X1151" t="s">
        <v>74</v>
      </c>
      <c r="Y1151" t="b">
        <v>0</v>
      </c>
      <c r="Z1151" t="b">
        <v>0</v>
      </c>
      <c r="AC1151" s="1"/>
      <c r="AF1151">
        <v>0</v>
      </c>
      <c r="AG1151">
        <v>45</v>
      </c>
      <c r="AH1151">
        <v>51</v>
      </c>
      <c r="AI1151" s="2">
        <f>Table__192.168.3.138BEWLPPMetaData[[#This Row],[NetAmount]]-Table__192.168.3.138BEWLPPMetaData[[#This Row],[Paid]]</f>
        <v>208104</v>
      </c>
    </row>
    <row r="1152" spans="1:35" hidden="1">
      <c r="A1152" t="s">
        <v>10616</v>
      </c>
      <c r="B1152" s="1">
        <v>41264</v>
      </c>
      <c r="C1152" s="1">
        <v>41309</v>
      </c>
      <c r="D1152" t="s">
        <v>8538</v>
      </c>
      <c r="E1152">
        <v>45000</v>
      </c>
      <c r="F1152">
        <v>7200</v>
      </c>
      <c r="G1152">
        <v>0</v>
      </c>
      <c r="H1152">
        <v>0</v>
      </c>
      <c r="I1152">
        <v>4</v>
      </c>
      <c r="J1152">
        <v>52200</v>
      </c>
      <c r="K1152" t="s">
        <v>10617</v>
      </c>
      <c r="L1152" s="1">
        <v>41264</v>
      </c>
      <c r="N1152" t="s">
        <v>6694</v>
      </c>
      <c r="O1152" t="s">
        <v>3507</v>
      </c>
      <c r="P1152" t="s">
        <v>310</v>
      </c>
      <c r="Q1152" t="s">
        <v>39</v>
      </c>
      <c r="R1152" t="s">
        <v>40</v>
      </c>
      <c r="S1152">
        <v>0</v>
      </c>
      <c r="U1152" t="s">
        <v>41</v>
      </c>
      <c r="V1152" t="s">
        <v>42</v>
      </c>
      <c r="X1152" t="s">
        <v>74</v>
      </c>
      <c r="Y1152" t="b">
        <v>0</v>
      </c>
      <c r="Z1152" t="b">
        <v>0</v>
      </c>
      <c r="AC1152" s="1"/>
      <c r="AF1152">
        <v>0</v>
      </c>
      <c r="AG1152">
        <v>45</v>
      </c>
      <c r="AH1152">
        <v>49</v>
      </c>
      <c r="AI1152" s="2">
        <f>Table__192.168.3.138BEWLPPMetaData[[#This Row],[NetAmount]]-Table__192.168.3.138BEWLPPMetaData[[#This Row],[Paid]]</f>
        <v>52200</v>
      </c>
    </row>
    <row r="1153" spans="1:35" hidden="1">
      <c r="A1153" t="s">
        <v>10618</v>
      </c>
      <c r="B1153" s="1">
        <v>41267</v>
      </c>
      <c r="C1153" s="1">
        <v>41312</v>
      </c>
      <c r="D1153" t="s">
        <v>8538</v>
      </c>
      <c r="E1153">
        <v>19800</v>
      </c>
      <c r="F1153">
        <v>3168</v>
      </c>
      <c r="G1153">
        <v>0</v>
      </c>
      <c r="H1153">
        <v>0</v>
      </c>
      <c r="I1153">
        <v>1</v>
      </c>
      <c r="J1153">
        <v>22968</v>
      </c>
      <c r="K1153" t="s">
        <v>10619</v>
      </c>
      <c r="L1153" s="1">
        <v>41267</v>
      </c>
      <c r="N1153" t="s">
        <v>6694</v>
      </c>
      <c r="O1153" t="s">
        <v>3507</v>
      </c>
      <c r="P1153" t="s">
        <v>310</v>
      </c>
      <c r="Q1153" t="s">
        <v>39</v>
      </c>
      <c r="R1153" t="s">
        <v>40</v>
      </c>
      <c r="S1153">
        <v>0</v>
      </c>
      <c r="U1153" t="s">
        <v>41</v>
      </c>
      <c r="V1153" t="s">
        <v>42</v>
      </c>
      <c r="X1153" t="s">
        <v>74</v>
      </c>
      <c r="Y1153" t="b">
        <v>0</v>
      </c>
      <c r="Z1153" t="b">
        <v>0</v>
      </c>
      <c r="AC1153" s="1"/>
      <c r="AF1153">
        <v>0</v>
      </c>
      <c r="AG1153">
        <v>45</v>
      </c>
      <c r="AH1153">
        <v>46</v>
      </c>
      <c r="AI1153" s="2">
        <f>Table__192.168.3.138BEWLPPMetaData[[#This Row],[NetAmount]]-Table__192.168.3.138BEWLPPMetaData[[#This Row],[Paid]]</f>
        <v>22968</v>
      </c>
    </row>
    <row r="1154" spans="1:35" hidden="1">
      <c r="A1154" t="s">
        <v>10620</v>
      </c>
      <c r="B1154" s="1">
        <v>41268</v>
      </c>
      <c r="C1154" s="1">
        <v>41313</v>
      </c>
      <c r="D1154" t="s">
        <v>8538</v>
      </c>
      <c r="E1154">
        <v>45000</v>
      </c>
      <c r="F1154">
        <v>7200</v>
      </c>
      <c r="G1154">
        <v>0</v>
      </c>
      <c r="H1154">
        <v>0</v>
      </c>
      <c r="I1154">
        <v>-2</v>
      </c>
      <c r="J1154">
        <v>52200</v>
      </c>
      <c r="K1154" t="s">
        <v>10621</v>
      </c>
      <c r="L1154" s="1">
        <v>41270</v>
      </c>
      <c r="N1154" t="s">
        <v>6694</v>
      </c>
      <c r="O1154" t="s">
        <v>3507</v>
      </c>
      <c r="P1154" t="s">
        <v>310</v>
      </c>
      <c r="Q1154" t="s">
        <v>39</v>
      </c>
      <c r="R1154" t="s">
        <v>40</v>
      </c>
      <c r="S1154">
        <v>0</v>
      </c>
      <c r="U1154" t="s">
        <v>41</v>
      </c>
      <c r="V1154" t="s">
        <v>42</v>
      </c>
      <c r="X1154" t="s">
        <v>74</v>
      </c>
      <c r="Y1154" t="b">
        <v>0</v>
      </c>
      <c r="Z1154" t="b">
        <v>0</v>
      </c>
      <c r="AC1154" s="1"/>
      <c r="AF1154">
        <v>0</v>
      </c>
      <c r="AG1154">
        <v>45</v>
      </c>
      <c r="AH1154">
        <v>43</v>
      </c>
      <c r="AI1154" s="2">
        <f>Table__192.168.3.138BEWLPPMetaData[[#This Row],[NetAmount]]-Table__192.168.3.138BEWLPPMetaData[[#This Row],[Paid]]</f>
        <v>52200</v>
      </c>
    </row>
    <row r="1155" spans="1:35" hidden="1">
      <c r="A1155" t="s">
        <v>10622</v>
      </c>
      <c r="B1155" s="1">
        <v>41271</v>
      </c>
      <c r="C1155" s="1">
        <v>41316</v>
      </c>
      <c r="D1155" t="s">
        <v>8538</v>
      </c>
      <c r="E1155">
        <v>352760</v>
      </c>
      <c r="F1155">
        <v>56442</v>
      </c>
      <c r="G1155">
        <v>0</v>
      </c>
      <c r="H1155">
        <v>0</v>
      </c>
      <c r="I1155">
        <v>-3</v>
      </c>
      <c r="J1155">
        <v>409202</v>
      </c>
      <c r="K1155" t="s">
        <v>5388</v>
      </c>
      <c r="L1155" s="1">
        <v>41271</v>
      </c>
      <c r="N1155" t="s">
        <v>6694</v>
      </c>
      <c r="O1155" t="s">
        <v>3507</v>
      </c>
      <c r="P1155" t="s">
        <v>310</v>
      </c>
      <c r="Q1155" t="s">
        <v>39</v>
      </c>
      <c r="R1155" t="s">
        <v>40</v>
      </c>
      <c r="S1155">
        <v>0</v>
      </c>
      <c r="U1155" t="s">
        <v>41</v>
      </c>
      <c r="V1155" t="s">
        <v>42</v>
      </c>
      <c r="X1155" t="s">
        <v>74</v>
      </c>
      <c r="Y1155" t="b">
        <v>0</v>
      </c>
      <c r="Z1155" t="b">
        <v>0</v>
      </c>
      <c r="AC1155" s="1"/>
      <c r="AF1155">
        <v>0</v>
      </c>
      <c r="AG1155">
        <v>45</v>
      </c>
      <c r="AH1155">
        <v>42</v>
      </c>
      <c r="AI1155" s="2">
        <f>Table__192.168.3.138BEWLPPMetaData[[#This Row],[NetAmount]]-Table__192.168.3.138BEWLPPMetaData[[#This Row],[Paid]]</f>
        <v>409202</v>
      </c>
    </row>
    <row r="1156" spans="1:35" hidden="1">
      <c r="A1156" t="s">
        <v>10623</v>
      </c>
      <c r="B1156" s="1">
        <v>41255</v>
      </c>
      <c r="C1156" s="1">
        <v>41300</v>
      </c>
      <c r="D1156" t="s">
        <v>8588</v>
      </c>
      <c r="E1156">
        <v>74480</v>
      </c>
      <c r="F1156">
        <v>11917</v>
      </c>
      <c r="G1156">
        <v>0</v>
      </c>
      <c r="H1156">
        <v>0</v>
      </c>
      <c r="I1156">
        <v>13</v>
      </c>
      <c r="J1156">
        <v>86397</v>
      </c>
      <c r="K1156" t="s">
        <v>10624</v>
      </c>
      <c r="L1156" s="1">
        <v>41255</v>
      </c>
      <c r="N1156" t="s">
        <v>6694</v>
      </c>
      <c r="O1156" t="s">
        <v>3507</v>
      </c>
      <c r="P1156" t="s">
        <v>8589</v>
      </c>
      <c r="Q1156" t="s">
        <v>39</v>
      </c>
      <c r="R1156" t="s">
        <v>40</v>
      </c>
      <c r="S1156">
        <v>0</v>
      </c>
      <c r="U1156" t="s">
        <v>41</v>
      </c>
      <c r="V1156" t="s">
        <v>42</v>
      </c>
      <c r="X1156" t="s">
        <v>74</v>
      </c>
      <c r="Y1156" t="b">
        <v>0</v>
      </c>
      <c r="Z1156" t="b">
        <v>0</v>
      </c>
      <c r="AC1156" s="1"/>
      <c r="AF1156">
        <v>0</v>
      </c>
      <c r="AG1156">
        <v>45</v>
      </c>
      <c r="AH1156">
        <v>58</v>
      </c>
      <c r="AI1156" s="2">
        <f>Table__192.168.3.138BEWLPPMetaData[[#This Row],[NetAmount]]-Table__192.168.3.138BEWLPPMetaData[[#This Row],[Paid]]</f>
        <v>86397</v>
      </c>
    </row>
    <row r="1157" spans="1:35" hidden="1">
      <c r="A1157" t="s">
        <v>10625</v>
      </c>
      <c r="B1157" s="1">
        <v>41250</v>
      </c>
      <c r="C1157" s="1">
        <v>41295</v>
      </c>
      <c r="D1157" t="s">
        <v>8588</v>
      </c>
      <c r="E1157">
        <v>148960</v>
      </c>
      <c r="F1157">
        <v>23834</v>
      </c>
      <c r="G1157">
        <v>0</v>
      </c>
      <c r="H1157">
        <v>0</v>
      </c>
      <c r="I1157">
        <v>18</v>
      </c>
      <c r="J1157">
        <v>172794</v>
      </c>
      <c r="K1157" t="s">
        <v>10626</v>
      </c>
      <c r="L1157" s="1">
        <v>41250</v>
      </c>
      <c r="N1157" t="s">
        <v>6694</v>
      </c>
      <c r="O1157" t="s">
        <v>3507</v>
      </c>
      <c r="P1157" t="s">
        <v>8589</v>
      </c>
      <c r="Q1157" t="s">
        <v>39</v>
      </c>
      <c r="R1157" t="s">
        <v>40</v>
      </c>
      <c r="S1157">
        <v>0</v>
      </c>
      <c r="U1157" t="s">
        <v>41</v>
      </c>
      <c r="V1157" t="s">
        <v>42</v>
      </c>
      <c r="X1157" t="s">
        <v>74</v>
      </c>
      <c r="Y1157" t="b">
        <v>0</v>
      </c>
      <c r="Z1157" t="b">
        <v>0</v>
      </c>
      <c r="AC1157" s="1"/>
      <c r="AF1157">
        <v>0</v>
      </c>
      <c r="AG1157">
        <v>45</v>
      </c>
      <c r="AH1157">
        <v>63</v>
      </c>
      <c r="AI1157" s="2">
        <f>Table__192.168.3.138BEWLPPMetaData[[#This Row],[NetAmount]]-Table__192.168.3.138BEWLPPMetaData[[#This Row],[Paid]]</f>
        <v>172794</v>
      </c>
    </row>
    <row r="1158" spans="1:35" hidden="1">
      <c r="A1158" t="s">
        <v>10627</v>
      </c>
      <c r="B1158" s="1">
        <v>41253</v>
      </c>
      <c r="C1158" s="1">
        <v>41298</v>
      </c>
      <c r="D1158" t="s">
        <v>8588</v>
      </c>
      <c r="E1158">
        <v>351361</v>
      </c>
      <c r="F1158">
        <v>56218</v>
      </c>
      <c r="G1158">
        <v>0</v>
      </c>
      <c r="H1158">
        <v>0</v>
      </c>
      <c r="I1158">
        <v>15</v>
      </c>
      <c r="J1158">
        <v>407579</v>
      </c>
      <c r="K1158" t="s">
        <v>10628</v>
      </c>
      <c r="L1158" s="1">
        <v>41253</v>
      </c>
      <c r="N1158" t="s">
        <v>6694</v>
      </c>
      <c r="O1158" t="s">
        <v>3507</v>
      </c>
      <c r="P1158" t="s">
        <v>8589</v>
      </c>
      <c r="Q1158" t="s">
        <v>39</v>
      </c>
      <c r="R1158" t="s">
        <v>40</v>
      </c>
      <c r="S1158">
        <v>0</v>
      </c>
      <c r="U1158" t="s">
        <v>41</v>
      </c>
      <c r="V1158" t="s">
        <v>42</v>
      </c>
      <c r="X1158" t="s">
        <v>74</v>
      </c>
      <c r="Y1158" t="b">
        <v>0</v>
      </c>
      <c r="Z1158" t="b">
        <v>0</v>
      </c>
      <c r="AC1158" s="1"/>
      <c r="AF1158">
        <v>0</v>
      </c>
      <c r="AG1158">
        <v>45</v>
      </c>
      <c r="AH1158">
        <v>60</v>
      </c>
      <c r="AI1158" s="2">
        <f>Table__192.168.3.138BEWLPPMetaData[[#This Row],[NetAmount]]-Table__192.168.3.138BEWLPPMetaData[[#This Row],[Paid]]</f>
        <v>407579</v>
      </c>
    </row>
    <row r="1159" spans="1:35" hidden="1">
      <c r="A1159" t="s">
        <v>10629</v>
      </c>
      <c r="B1159" s="1">
        <v>41265</v>
      </c>
      <c r="C1159" s="1">
        <v>41310</v>
      </c>
      <c r="D1159" t="s">
        <v>8547</v>
      </c>
      <c r="E1159">
        <v>167</v>
      </c>
      <c r="F1159">
        <v>27</v>
      </c>
      <c r="G1159">
        <v>0</v>
      </c>
      <c r="H1159">
        <v>0</v>
      </c>
      <c r="I1159">
        <v>3</v>
      </c>
      <c r="J1159">
        <v>194</v>
      </c>
      <c r="K1159" t="s">
        <v>10630</v>
      </c>
      <c r="L1159" s="1">
        <v>41265</v>
      </c>
      <c r="N1159" t="s">
        <v>6694</v>
      </c>
      <c r="O1159" t="s">
        <v>3507</v>
      </c>
      <c r="P1159" t="s">
        <v>8548</v>
      </c>
      <c r="Q1159" t="s">
        <v>39</v>
      </c>
      <c r="R1159" t="s">
        <v>40</v>
      </c>
      <c r="S1159">
        <v>0</v>
      </c>
      <c r="U1159" t="s">
        <v>41</v>
      </c>
      <c r="V1159" t="s">
        <v>42</v>
      </c>
      <c r="X1159" t="s">
        <v>74</v>
      </c>
      <c r="Y1159" t="b">
        <v>0</v>
      </c>
      <c r="Z1159" t="b">
        <v>0</v>
      </c>
      <c r="AC1159" s="1"/>
      <c r="AF1159">
        <v>0</v>
      </c>
      <c r="AG1159">
        <v>45</v>
      </c>
      <c r="AH1159">
        <v>48</v>
      </c>
      <c r="AI1159" s="2">
        <f>Table__192.168.3.138BEWLPPMetaData[[#This Row],[NetAmount]]-Table__192.168.3.138BEWLPPMetaData[[#This Row],[Paid]]</f>
        <v>194</v>
      </c>
    </row>
    <row r="1160" spans="1:35" hidden="1">
      <c r="A1160" t="s">
        <v>10631</v>
      </c>
      <c r="B1160" s="1">
        <v>41267</v>
      </c>
      <c r="C1160" s="1">
        <v>41312</v>
      </c>
      <c r="D1160" t="s">
        <v>8547</v>
      </c>
      <c r="E1160">
        <v>15200</v>
      </c>
      <c r="F1160">
        <v>2432</v>
      </c>
      <c r="G1160">
        <v>0</v>
      </c>
      <c r="H1160">
        <v>0</v>
      </c>
      <c r="I1160">
        <v>1</v>
      </c>
      <c r="J1160">
        <v>17632</v>
      </c>
      <c r="K1160" t="s">
        <v>10632</v>
      </c>
      <c r="L1160" s="1">
        <v>41267</v>
      </c>
      <c r="M1160" t="s">
        <v>10633</v>
      </c>
      <c r="N1160" t="s">
        <v>6694</v>
      </c>
      <c r="O1160" t="s">
        <v>3507</v>
      </c>
      <c r="P1160" t="s">
        <v>8548</v>
      </c>
      <c r="Q1160" t="s">
        <v>39</v>
      </c>
      <c r="R1160" t="s">
        <v>40</v>
      </c>
      <c r="S1160">
        <v>0</v>
      </c>
      <c r="U1160" t="s">
        <v>41</v>
      </c>
      <c r="V1160" t="s">
        <v>42</v>
      </c>
      <c r="W1160" t="s">
        <v>8702</v>
      </c>
      <c r="X1160" t="s">
        <v>74</v>
      </c>
      <c r="Y1160" t="b">
        <v>0</v>
      </c>
      <c r="Z1160" t="b">
        <v>0</v>
      </c>
      <c r="AA1160" t="b">
        <v>0</v>
      </c>
      <c r="AC1160" s="1"/>
      <c r="AF1160">
        <v>0</v>
      </c>
      <c r="AG1160">
        <v>45</v>
      </c>
      <c r="AH1160">
        <v>46</v>
      </c>
      <c r="AI1160" s="2">
        <f>Table__192.168.3.138BEWLPPMetaData[[#This Row],[NetAmount]]-Table__192.168.3.138BEWLPPMetaData[[#This Row],[Paid]]</f>
        <v>17632</v>
      </c>
    </row>
    <row r="1161" spans="1:35" hidden="1">
      <c r="A1161" t="s">
        <v>10634</v>
      </c>
      <c r="B1161" s="1">
        <v>41274</v>
      </c>
      <c r="C1161" s="1">
        <v>41274</v>
      </c>
      <c r="D1161" t="s">
        <v>8666</v>
      </c>
      <c r="E1161">
        <v>8750</v>
      </c>
      <c r="F1161">
        <v>1400</v>
      </c>
      <c r="G1161">
        <v>0</v>
      </c>
      <c r="H1161">
        <v>0</v>
      </c>
      <c r="I1161">
        <v>0</v>
      </c>
      <c r="J1161">
        <v>10150</v>
      </c>
      <c r="K1161" t="s">
        <v>5056</v>
      </c>
      <c r="L1161" s="1">
        <v>41274</v>
      </c>
      <c r="N1161" t="s">
        <v>6694</v>
      </c>
      <c r="O1161" t="s">
        <v>3507</v>
      </c>
      <c r="P1161" t="s">
        <v>8668</v>
      </c>
      <c r="Q1161" t="s">
        <v>39</v>
      </c>
      <c r="R1161" t="s">
        <v>40</v>
      </c>
      <c r="S1161">
        <v>0</v>
      </c>
      <c r="U1161" t="s">
        <v>41</v>
      </c>
      <c r="V1161" t="s">
        <v>42</v>
      </c>
      <c r="X1161" t="s">
        <v>74</v>
      </c>
      <c r="Y1161" t="b">
        <v>0</v>
      </c>
      <c r="Z1161" t="b">
        <v>0</v>
      </c>
      <c r="AC1161" s="1"/>
      <c r="AF1161">
        <v>0</v>
      </c>
      <c r="AH1161">
        <v>39</v>
      </c>
      <c r="AI1161" s="2">
        <f>Table__192.168.3.138BEWLPPMetaData[[#This Row],[NetAmount]]-Table__192.168.3.138BEWLPPMetaData[[#This Row],[Paid]]</f>
        <v>10150</v>
      </c>
    </row>
    <row r="1162" spans="1:35" hidden="1">
      <c r="A1162" t="s">
        <v>10635</v>
      </c>
      <c r="B1162" s="1">
        <v>41262</v>
      </c>
      <c r="C1162" s="1">
        <v>41262</v>
      </c>
      <c r="D1162" t="s">
        <v>8666</v>
      </c>
      <c r="E1162">
        <v>8750</v>
      </c>
      <c r="F1162">
        <v>1400</v>
      </c>
      <c r="G1162">
        <v>0</v>
      </c>
      <c r="H1162">
        <v>0</v>
      </c>
      <c r="I1162">
        <v>0</v>
      </c>
      <c r="J1162">
        <v>10150</v>
      </c>
      <c r="K1162" t="s">
        <v>3992</v>
      </c>
      <c r="L1162" s="1">
        <v>41262</v>
      </c>
      <c r="N1162" t="s">
        <v>6694</v>
      </c>
      <c r="O1162" t="s">
        <v>3507</v>
      </c>
      <c r="P1162" t="s">
        <v>8668</v>
      </c>
      <c r="Q1162" t="s">
        <v>39</v>
      </c>
      <c r="R1162" t="s">
        <v>40</v>
      </c>
      <c r="S1162">
        <v>0</v>
      </c>
      <c r="U1162" t="s">
        <v>41</v>
      </c>
      <c r="V1162" t="s">
        <v>42</v>
      </c>
      <c r="X1162" t="s">
        <v>74</v>
      </c>
      <c r="Y1162" t="b">
        <v>0</v>
      </c>
      <c r="Z1162" t="b">
        <v>0</v>
      </c>
      <c r="AC1162" s="1"/>
      <c r="AF1162">
        <v>0</v>
      </c>
      <c r="AH1162">
        <v>51</v>
      </c>
      <c r="AI1162" s="2">
        <f>Table__192.168.3.138BEWLPPMetaData[[#This Row],[NetAmount]]-Table__192.168.3.138BEWLPPMetaData[[#This Row],[Paid]]</f>
        <v>10150</v>
      </c>
    </row>
    <row r="1163" spans="1:35" hidden="1">
      <c r="A1163" t="s">
        <v>10636</v>
      </c>
      <c r="B1163" s="1">
        <v>41267</v>
      </c>
      <c r="C1163" s="1">
        <v>41312</v>
      </c>
      <c r="D1163" t="s">
        <v>8563</v>
      </c>
      <c r="E1163">
        <v>330000</v>
      </c>
      <c r="F1163">
        <v>52800</v>
      </c>
      <c r="G1163">
        <v>0</v>
      </c>
      <c r="H1163">
        <v>0</v>
      </c>
      <c r="I1163">
        <v>5</v>
      </c>
      <c r="J1163">
        <v>382800</v>
      </c>
      <c r="K1163" t="s">
        <v>5155</v>
      </c>
      <c r="L1163" s="1">
        <v>41263</v>
      </c>
      <c r="N1163" t="s">
        <v>6694</v>
      </c>
      <c r="O1163" t="s">
        <v>3507</v>
      </c>
      <c r="P1163" t="s">
        <v>409</v>
      </c>
      <c r="Q1163" t="s">
        <v>39</v>
      </c>
      <c r="R1163" t="s">
        <v>40</v>
      </c>
      <c r="S1163">
        <v>0</v>
      </c>
      <c r="U1163" t="s">
        <v>41</v>
      </c>
      <c r="V1163" t="s">
        <v>42</v>
      </c>
      <c r="X1163" t="s">
        <v>74</v>
      </c>
      <c r="Y1163" t="b">
        <v>0</v>
      </c>
      <c r="Z1163" t="b">
        <v>0</v>
      </c>
      <c r="AC1163" s="1"/>
      <c r="AF1163">
        <v>0</v>
      </c>
      <c r="AG1163">
        <v>45</v>
      </c>
      <c r="AH1163">
        <v>50</v>
      </c>
      <c r="AI1163" s="2">
        <f>Table__192.168.3.138BEWLPPMetaData[[#This Row],[NetAmount]]-Table__192.168.3.138BEWLPPMetaData[[#This Row],[Paid]]</f>
        <v>382800</v>
      </c>
    </row>
    <row r="1164" spans="1:35" hidden="1">
      <c r="A1164" t="s">
        <v>10637</v>
      </c>
      <c r="B1164" s="1">
        <v>41262</v>
      </c>
      <c r="C1164" s="1">
        <v>41307</v>
      </c>
      <c r="D1164" t="s">
        <v>8563</v>
      </c>
      <c r="E1164">
        <v>165000</v>
      </c>
      <c r="F1164">
        <v>26400</v>
      </c>
      <c r="G1164">
        <v>0</v>
      </c>
      <c r="H1164">
        <v>0</v>
      </c>
      <c r="I1164">
        <v>8</v>
      </c>
      <c r="J1164">
        <v>191400</v>
      </c>
      <c r="K1164" t="s">
        <v>1546</v>
      </c>
      <c r="L1164" s="1">
        <v>41260</v>
      </c>
      <c r="N1164" t="s">
        <v>6694</v>
      </c>
      <c r="O1164" t="s">
        <v>3507</v>
      </c>
      <c r="P1164" t="s">
        <v>409</v>
      </c>
      <c r="Q1164" t="s">
        <v>39</v>
      </c>
      <c r="R1164" t="s">
        <v>40</v>
      </c>
      <c r="S1164">
        <v>0</v>
      </c>
      <c r="U1164" t="s">
        <v>41</v>
      </c>
      <c r="V1164" t="s">
        <v>42</v>
      </c>
      <c r="X1164" t="s">
        <v>74</v>
      </c>
      <c r="Y1164" t="b">
        <v>0</v>
      </c>
      <c r="Z1164" t="b">
        <v>0</v>
      </c>
      <c r="AC1164" s="1"/>
      <c r="AF1164">
        <v>0</v>
      </c>
      <c r="AG1164">
        <v>45</v>
      </c>
      <c r="AH1164">
        <v>53</v>
      </c>
      <c r="AI1164" s="2">
        <f>Table__192.168.3.138BEWLPPMetaData[[#This Row],[NetAmount]]-Table__192.168.3.138BEWLPPMetaData[[#This Row],[Paid]]</f>
        <v>191400</v>
      </c>
    </row>
    <row r="1165" spans="1:35" hidden="1">
      <c r="A1165" t="s">
        <v>10638</v>
      </c>
      <c r="B1165" s="1">
        <v>41270</v>
      </c>
      <c r="C1165" s="1">
        <v>41315</v>
      </c>
      <c r="D1165" t="s">
        <v>5509</v>
      </c>
      <c r="E1165">
        <v>125515</v>
      </c>
      <c r="F1165">
        <v>20082</v>
      </c>
      <c r="G1165">
        <v>0</v>
      </c>
      <c r="H1165">
        <v>0</v>
      </c>
      <c r="I1165">
        <v>3</v>
      </c>
      <c r="J1165">
        <v>145597</v>
      </c>
      <c r="K1165" t="s">
        <v>10639</v>
      </c>
      <c r="L1165" s="1">
        <v>41265</v>
      </c>
      <c r="N1165" t="s">
        <v>6694</v>
      </c>
      <c r="O1165" t="s">
        <v>3507</v>
      </c>
      <c r="P1165" t="s">
        <v>354</v>
      </c>
      <c r="Q1165" t="s">
        <v>39</v>
      </c>
      <c r="R1165" t="s">
        <v>40</v>
      </c>
      <c r="S1165">
        <v>0</v>
      </c>
      <c r="U1165" t="s">
        <v>41</v>
      </c>
      <c r="V1165" t="s">
        <v>42</v>
      </c>
      <c r="X1165" t="s">
        <v>74</v>
      </c>
      <c r="Y1165" t="b">
        <v>0</v>
      </c>
      <c r="Z1165" t="b">
        <v>0</v>
      </c>
      <c r="AC1165" s="1"/>
      <c r="AF1165">
        <v>0</v>
      </c>
      <c r="AG1165">
        <v>45</v>
      </c>
      <c r="AH1165">
        <v>48</v>
      </c>
      <c r="AI1165" s="2">
        <f>Table__192.168.3.138BEWLPPMetaData[[#This Row],[NetAmount]]-Table__192.168.3.138BEWLPPMetaData[[#This Row],[Paid]]</f>
        <v>145597</v>
      </c>
    </row>
    <row r="1166" spans="1:35" hidden="1">
      <c r="A1166" t="s">
        <v>10640</v>
      </c>
      <c r="B1166" s="1">
        <v>41274</v>
      </c>
      <c r="C1166" s="1">
        <v>41319</v>
      </c>
      <c r="D1166" t="s">
        <v>8547</v>
      </c>
      <c r="E1166">
        <v>3800</v>
      </c>
      <c r="F1166">
        <v>608</v>
      </c>
      <c r="G1166">
        <v>0</v>
      </c>
      <c r="H1166">
        <v>0</v>
      </c>
      <c r="I1166">
        <v>-6</v>
      </c>
      <c r="J1166">
        <v>4408</v>
      </c>
      <c r="K1166" t="s">
        <v>10641</v>
      </c>
      <c r="L1166" s="1">
        <v>41274</v>
      </c>
      <c r="M1166" t="s">
        <v>10642</v>
      </c>
      <c r="N1166" t="s">
        <v>6694</v>
      </c>
      <c r="O1166" t="s">
        <v>3507</v>
      </c>
      <c r="P1166" t="s">
        <v>8548</v>
      </c>
      <c r="Q1166" t="s">
        <v>39</v>
      </c>
      <c r="R1166" t="s">
        <v>40</v>
      </c>
      <c r="S1166">
        <v>0</v>
      </c>
      <c r="U1166" t="s">
        <v>41</v>
      </c>
      <c r="V1166" t="s">
        <v>42</v>
      </c>
      <c r="W1166" t="s">
        <v>8702</v>
      </c>
      <c r="X1166" t="s">
        <v>74</v>
      </c>
      <c r="Y1166" t="b">
        <v>0</v>
      </c>
      <c r="Z1166" t="b">
        <v>0</v>
      </c>
      <c r="AA1166" t="b">
        <v>0</v>
      </c>
      <c r="AC1166" s="1"/>
      <c r="AF1166">
        <v>0</v>
      </c>
      <c r="AG1166">
        <v>45</v>
      </c>
      <c r="AH1166">
        <v>39</v>
      </c>
      <c r="AI1166" s="2">
        <f>Table__192.168.3.138BEWLPPMetaData[[#This Row],[NetAmount]]-Table__192.168.3.138BEWLPPMetaData[[#This Row],[Paid]]</f>
        <v>4408</v>
      </c>
    </row>
    <row r="1167" spans="1:35" hidden="1">
      <c r="A1167" t="s">
        <v>10643</v>
      </c>
      <c r="B1167" s="1">
        <v>41274</v>
      </c>
      <c r="C1167" s="1">
        <v>41319</v>
      </c>
      <c r="D1167" t="s">
        <v>10394</v>
      </c>
      <c r="E1167">
        <v>42560</v>
      </c>
      <c r="F1167">
        <v>6809</v>
      </c>
      <c r="G1167">
        <v>0</v>
      </c>
      <c r="H1167">
        <v>0</v>
      </c>
      <c r="I1167">
        <v>-4</v>
      </c>
      <c r="J1167">
        <v>49369</v>
      </c>
      <c r="K1167" t="s">
        <v>10644</v>
      </c>
      <c r="L1167" s="1">
        <v>41272</v>
      </c>
      <c r="N1167" t="s">
        <v>6694</v>
      </c>
      <c r="O1167" t="s">
        <v>3507</v>
      </c>
      <c r="P1167" t="s">
        <v>361</v>
      </c>
      <c r="Q1167" t="s">
        <v>39</v>
      </c>
      <c r="R1167" t="s">
        <v>40</v>
      </c>
      <c r="S1167">
        <v>0</v>
      </c>
      <c r="U1167" t="s">
        <v>41</v>
      </c>
      <c r="V1167" t="s">
        <v>42</v>
      </c>
      <c r="X1167" t="s">
        <v>74</v>
      </c>
      <c r="Y1167" t="b">
        <v>0</v>
      </c>
      <c r="Z1167" t="b">
        <v>0</v>
      </c>
      <c r="AC1167" s="1"/>
      <c r="AF1167">
        <v>0</v>
      </c>
      <c r="AG1167">
        <v>45</v>
      </c>
      <c r="AH1167">
        <v>41</v>
      </c>
      <c r="AI1167" s="2">
        <f>Table__192.168.3.138BEWLPPMetaData[[#This Row],[NetAmount]]-Table__192.168.3.138BEWLPPMetaData[[#This Row],[Paid]]</f>
        <v>49369</v>
      </c>
    </row>
    <row r="1168" spans="1:35" hidden="1">
      <c r="A1168" t="s">
        <v>10645</v>
      </c>
      <c r="B1168" s="1">
        <v>41251</v>
      </c>
      <c r="C1168" s="1">
        <v>41296</v>
      </c>
      <c r="D1168" t="s">
        <v>10394</v>
      </c>
      <c r="E1168">
        <v>4858</v>
      </c>
      <c r="F1168">
        <v>777</v>
      </c>
      <c r="G1168">
        <v>0</v>
      </c>
      <c r="H1168">
        <v>0</v>
      </c>
      <c r="I1168">
        <v>19</v>
      </c>
      <c r="J1168">
        <v>5635</v>
      </c>
      <c r="K1168" t="s">
        <v>10646</v>
      </c>
      <c r="L1168" s="1">
        <v>41249</v>
      </c>
      <c r="N1168" t="s">
        <v>6694</v>
      </c>
      <c r="O1168" t="s">
        <v>3507</v>
      </c>
      <c r="P1168" t="s">
        <v>361</v>
      </c>
      <c r="Q1168" t="s">
        <v>39</v>
      </c>
      <c r="R1168" t="s">
        <v>40</v>
      </c>
      <c r="S1168">
        <v>0</v>
      </c>
      <c r="U1168" t="s">
        <v>41</v>
      </c>
      <c r="V1168" t="s">
        <v>42</v>
      </c>
      <c r="X1168" t="s">
        <v>74</v>
      </c>
      <c r="Y1168" t="b">
        <v>0</v>
      </c>
      <c r="Z1168" t="b">
        <v>0</v>
      </c>
      <c r="AC1168" s="1"/>
      <c r="AF1168">
        <v>0</v>
      </c>
      <c r="AG1168">
        <v>45</v>
      </c>
      <c r="AH1168">
        <v>64</v>
      </c>
      <c r="AI1168" s="2">
        <f>Table__192.168.3.138BEWLPPMetaData[[#This Row],[NetAmount]]-Table__192.168.3.138BEWLPPMetaData[[#This Row],[Paid]]</f>
        <v>5635</v>
      </c>
    </row>
    <row r="1169" spans="1:35" hidden="1">
      <c r="A1169" t="s">
        <v>10647</v>
      </c>
      <c r="B1169" s="1">
        <v>41274</v>
      </c>
      <c r="C1169" s="1">
        <v>41319</v>
      </c>
      <c r="D1169" t="s">
        <v>5529</v>
      </c>
      <c r="E1169">
        <v>70740</v>
      </c>
      <c r="F1169">
        <v>11318</v>
      </c>
      <c r="G1169">
        <v>0</v>
      </c>
      <c r="H1169">
        <v>0</v>
      </c>
      <c r="I1169">
        <v>3</v>
      </c>
      <c r="J1169">
        <v>82058</v>
      </c>
      <c r="K1169" t="s">
        <v>10648</v>
      </c>
      <c r="L1169" s="1">
        <v>41265</v>
      </c>
      <c r="N1169" t="s">
        <v>6694</v>
      </c>
      <c r="O1169" t="s">
        <v>3507</v>
      </c>
      <c r="P1169" t="s">
        <v>8614</v>
      </c>
      <c r="Q1169" t="s">
        <v>39</v>
      </c>
      <c r="R1169" t="s">
        <v>40</v>
      </c>
      <c r="S1169">
        <v>0</v>
      </c>
      <c r="U1169" t="s">
        <v>41</v>
      </c>
      <c r="V1169" t="s">
        <v>42</v>
      </c>
      <c r="X1169" t="s">
        <v>74</v>
      </c>
      <c r="Y1169" t="b">
        <v>0</v>
      </c>
      <c r="Z1169" t="b">
        <v>0</v>
      </c>
      <c r="AC1169" s="1"/>
      <c r="AF1169">
        <v>0</v>
      </c>
      <c r="AG1169">
        <v>45</v>
      </c>
      <c r="AH1169">
        <v>48</v>
      </c>
      <c r="AI1169" s="2">
        <f>Table__192.168.3.138BEWLPPMetaData[[#This Row],[NetAmount]]-Table__192.168.3.138BEWLPPMetaData[[#This Row],[Paid]]</f>
        <v>82058</v>
      </c>
    </row>
    <row r="1170" spans="1:35" hidden="1">
      <c r="A1170" t="s">
        <v>10649</v>
      </c>
      <c r="B1170" s="1">
        <v>41274</v>
      </c>
      <c r="C1170" s="1">
        <v>41319</v>
      </c>
      <c r="D1170" t="s">
        <v>8570</v>
      </c>
      <c r="E1170">
        <v>112000</v>
      </c>
      <c r="F1170">
        <v>17920</v>
      </c>
      <c r="G1170">
        <v>0</v>
      </c>
      <c r="H1170">
        <v>0</v>
      </c>
      <c r="I1170">
        <v>-1</v>
      </c>
      <c r="J1170">
        <v>129920</v>
      </c>
      <c r="K1170" t="s">
        <v>863</v>
      </c>
      <c r="L1170" s="1">
        <v>41269</v>
      </c>
      <c r="N1170" t="s">
        <v>6694</v>
      </c>
      <c r="O1170" t="s">
        <v>3507</v>
      </c>
      <c r="P1170" t="s">
        <v>8571</v>
      </c>
      <c r="Q1170" t="s">
        <v>39</v>
      </c>
      <c r="R1170" t="s">
        <v>40</v>
      </c>
      <c r="S1170">
        <v>0</v>
      </c>
      <c r="U1170" t="s">
        <v>41</v>
      </c>
      <c r="V1170" t="s">
        <v>42</v>
      </c>
      <c r="X1170" t="s">
        <v>74</v>
      </c>
      <c r="Y1170" t="b">
        <v>0</v>
      </c>
      <c r="Z1170" t="b">
        <v>0</v>
      </c>
      <c r="AC1170" s="1"/>
      <c r="AF1170">
        <v>0</v>
      </c>
      <c r="AG1170">
        <v>45</v>
      </c>
      <c r="AH1170">
        <v>44</v>
      </c>
      <c r="AI1170" s="2">
        <f>Table__192.168.3.138BEWLPPMetaData[[#This Row],[NetAmount]]-Table__192.168.3.138BEWLPPMetaData[[#This Row],[Paid]]</f>
        <v>129920</v>
      </c>
    </row>
    <row r="1171" spans="1:35" hidden="1">
      <c r="A1171" t="s">
        <v>10650</v>
      </c>
      <c r="B1171" s="1">
        <v>41274</v>
      </c>
      <c r="C1171" s="1">
        <v>41319</v>
      </c>
      <c r="D1171" t="s">
        <v>8570</v>
      </c>
      <c r="E1171">
        <v>411600</v>
      </c>
      <c r="F1171">
        <v>65856</v>
      </c>
      <c r="G1171">
        <v>0</v>
      </c>
      <c r="H1171">
        <v>0</v>
      </c>
      <c r="I1171">
        <v>1</v>
      </c>
      <c r="J1171">
        <v>477456</v>
      </c>
      <c r="K1171" t="s">
        <v>10651</v>
      </c>
      <c r="L1171" s="1">
        <v>41267</v>
      </c>
      <c r="N1171" t="s">
        <v>6694</v>
      </c>
      <c r="O1171" t="s">
        <v>3507</v>
      </c>
      <c r="P1171" t="s">
        <v>8571</v>
      </c>
      <c r="Q1171" t="s">
        <v>39</v>
      </c>
      <c r="R1171" t="s">
        <v>40</v>
      </c>
      <c r="S1171">
        <v>0</v>
      </c>
      <c r="U1171" t="s">
        <v>41</v>
      </c>
      <c r="V1171" t="s">
        <v>42</v>
      </c>
      <c r="X1171" t="s">
        <v>74</v>
      </c>
      <c r="Y1171" t="b">
        <v>0</v>
      </c>
      <c r="Z1171" t="b">
        <v>0</v>
      </c>
      <c r="AC1171" s="1"/>
      <c r="AF1171">
        <v>0</v>
      </c>
      <c r="AG1171">
        <v>45</v>
      </c>
      <c r="AH1171">
        <v>46</v>
      </c>
      <c r="AI1171" s="2">
        <f>Table__192.168.3.138BEWLPPMetaData[[#This Row],[NetAmount]]-Table__192.168.3.138BEWLPPMetaData[[#This Row],[Paid]]</f>
        <v>477456</v>
      </c>
    </row>
    <row r="1172" spans="1:35" hidden="1">
      <c r="A1172" t="s">
        <v>10652</v>
      </c>
      <c r="B1172" s="1">
        <v>41265</v>
      </c>
      <c r="C1172" s="1">
        <v>41310</v>
      </c>
      <c r="D1172" t="s">
        <v>8611</v>
      </c>
      <c r="E1172">
        <v>43412</v>
      </c>
      <c r="F1172">
        <v>6946</v>
      </c>
      <c r="G1172">
        <v>0</v>
      </c>
      <c r="H1172">
        <v>0</v>
      </c>
      <c r="I1172">
        <v>3</v>
      </c>
      <c r="J1172">
        <v>50358</v>
      </c>
      <c r="K1172" t="s">
        <v>10653</v>
      </c>
      <c r="L1172" s="1">
        <v>41265</v>
      </c>
      <c r="N1172" t="s">
        <v>6694</v>
      </c>
      <c r="O1172" t="s">
        <v>3507</v>
      </c>
      <c r="P1172" t="s">
        <v>8612</v>
      </c>
      <c r="Q1172" t="s">
        <v>39</v>
      </c>
      <c r="R1172" t="s">
        <v>40</v>
      </c>
      <c r="S1172">
        <v>0</v>
      </c>
      <c r="U1172" t="s">
        <v>41</v>
      </c>
      <c r="V1172" t="s">
        <v>42</v>
      </c>
      <c r="X1172" t="s">
        <v>74</v>
      </c>
      <c r="Y1172" t="b">
        <v>0</v>
      </c>
      <c r="Z1172" t="b">
        <v>0</v>
      </c>
      <c r="AC1172" s="1"/>
      <c r="AF1172">
        <v>0</v>
      </c>
      <c r="AG1172">
        <v>45</v>
      </c>
      <c r="AH1172">
        <v>48</v>
      </c>
      <c r="AI1172" s="2">
        <f>Table__192.168.3.138BEWLPPMetaData[[#This Row],[NetAmount]]-Table__192.168.3.138BEWLPPMetaData[[#This Row],[Paid]]</f>
        <v>50358</v>
      </c>
    </row>
    <row r="1173" spans="1:35" hidden="1">
      <c r="A1173" t="s">
        <v>10654</v>
      </c>
      <c r="B1173" s="1">
        <v>41263</v>
      </c>
      <c r="C1173" s="1">
        <v>41308</v>
      </c>
      <c r="D1173" t="s">
        <v>8611</v>
      </c>
      <c r="E1173">
        <v>60008</v>
      </c>
      <c r="F1173">
        <v>9601</v>
      </c>
      <c r="G1173">
        <v>0</v>
      </c>
      <c r="H1173">
        <v>0</v>
      </c>
      <c r="I1173">
        <v>6</v>
      </c>
      <c r="J1173">
        <v>69609</v>
      </c>
      <c r="K1173" t="s">
        <v>10655</v>
      </c>
      <c r="L1173" s="1">
        <v>41262</v>
      </c>
      <c r="N1173" t="s">
        <v>6694</v>
      </c>
      <c r="O1173" t="s">
        <v>3507</v>
      </c>
      <c r="P1173" t="s">
        <v>8612</v>
      </c>
      <c r="Q1173" t="s">
        <v>39</v>
      </c>
      <c r="R1173" t="s">
        <v>40</v>
      </c>
      <c r="S1173">
        <v>0</v>
      </c>
      <c r="U1173" t="s">
        <v>41</v>
      </c>
      <c r="V1173" t="s">
        <v>42</v>
      </c>
      <c r="X1173" t="s">
        <v>74</v>
      </c>
      <c r="Y1173" t="b">
        <v>0</v>
      </c>
      <c r="Z1173" t="b">
        <v>0</v>
      </c>
      <c r="AC1173" s="1"/>
      <c r="AF1173">
        <v>0</v>
      </c>
      <c r="AG1173">
        <v>45</v>
      </c>
      <c r="AH1173">
        <v>51</v>
      </c>
      <c r="AI1173" s="2">
        <f>Table__192.168.3.138BEWLPPMetaData[[#This Row],[NetAmount]]-Table__192.168.3.138BEWLPPMetaData[[#This Row],[Paid]]</f>
        <v>69609</v>
      </c>
    </row>
    <row r="1174" spans="1:35" hidden="1">
      <c r="A1174" t="s">
        <v>10656</v>
      </c>
      <c r="B1174" s="1">
        <v>41262</v>
      </c>
      <c r="C1174" s="1">
        <v>41307</v>
      </c>
      <c r="D1174" t="s">
        <v>8611</v>
      </c>
      <c r="E1174">
        <v>33082</v>
      </c>
      <c r="F1174">
        <v>5293</v>
      </c>
      <c r="G1174">
        <v>0</v>
      </c>
      <c r="H1174">
        <v>0</v>
      </c>
      <c r="I1174">
        <v>7</v>
      </c>
      <c r="J1174">
        <v>38375</v>
      </c>
      <c r="K1174" t="s">
        <v>10657</v>
      </c>
      <c r="L1174" s="1">
        <v>41261</v>
      </c>
      <c r="N1174" t="s">
        <v>6694</v>
      </c>
      <c r="O1174" t="s">
        <v>3507</v>
      </c>
      <c r="P1174" t="s">
        <v>8612</v>
      </c>
      <c r="Q1174" t="s">
        <v>39</v>
      </c>
      <c r="R1174" t="s">
        <v>40</v>
      </c>
      <c r="S1174">
        <v>0</v>
      </c>
      <c r="U1174" t="s">
        <v>41</v>
      </c>
      <c r="V1174" t="s">
        <v>42</v>
      </c>
      <c r="X1174" t="s">
        <v>74</v>
      </c>
      <c r="Y1174" t="b">
        <v>0</v>
      </c>
      <c r="Z1174" t="b">
        <v>0</v>
      </c>
      <c r="AC1174" s="1"/>
      <c r="AF1174">
        <v>0</v>
      </c>
      <c r="AG1174">
        <v>45</v>
      </c>
      <c r="AH1174">
        <v>52</v>
      </c>
      <c r="AI1174" s="2">
        <f>Table__192.168.3.138BEWLPPMetaData[[#This Row],[NetAmount]]-Table__192.168.3.138BEWLPPMetaData[[#This Row],[Paid]]</f>
        <v>38375</v>
      </c>
    </row>
    <row r="1175" spans="1:35" hidden="1">
      <c r="A1175" t="s">
        <v>10658</v>
      </c>
      <c r="B1175" s="1">
        <v>41274</v>
      </c>
      <c r="C1175" s="1">
        <v>41319</v>
      </c>
      <c r="D1175" t="s">
        <v>8611</v>
      </c>
      <c r="E1175">
        <v>11175</v>
      </c>
      <c r="F1175">
        <v>1788</v>
      </c>
      <c r="G1175">
        <v>0</v>
      </c>
      <c r="H1175">
        <v>0</v>
      </c>
      <c r="I1175">
        <v>-6</v>
      </c>
      <c r="J1175">
        <v>12963</v>
      </c>
      <c r="K1175" t="s">
        <v>10659</v>
      </c>
      <c r="L1175" s="1">
        <v>41274</v>
      </c>
      <c r="N1175" t="s">
        <v>6694</v>
      </c>
      <c r="O1175" t="s">
        <v>3507</v>
      </c>
      <c r="P1175" t="s">
        <v>8612</v>
      </c>
      <c r="Q1175" t="s">
        <v>39</v>
      </c>
      <c r="R1175" t="s">
        <v>40</v>
      </c>
      <c r="S1175">
        <v>0</v>
      </c>
      <c r="U1175" t="s">
        <v>41</v>
      </c>
      <c r="V1175" t="s">
        <v>42</v>
      </c>
      <c r="X1175" t="s">
        <v>74</v>
      </c>
      <c r="Y1175" t="b">
        <v>0</v>
      </c>
      <c r="Z1175" t="b">
        <v>0</v>
      </c>
      <c r="AC1175" s="1"/>
      <c r="AF1175">
        <v>0</v>
      </c>
      <c r="AG1175">
        <v>45</v>
      </c>
      <c r="AH1175">
        <v>39</v>
      </c>
      <c r="AI1175" s="2">
        <f>Table__192.168.3.138BEWLPPMetaData[[#This Row],[NetAmount]]-Table__192.168.3.138BEWLPPMetaData[[#This Row],[Paid]]</f>
        <v>12963</v>
      </c>
    </row>
    <row r="1176" spans="1:35" hidden="1">
      <c r="A1176" t="s">
        <v>10660</v>
      </c>
      <c r="B1176" s="1">
        <v>41274</v>
      </c>
      <c r="C1176" s="1">
        <v>41274</v>
      </c>
      <c r="D1176" t="s">
        <v>8672</v>
      </c>
      <c r="E1176">
        <v>12800</v>
      </c>
      <c r="F1176">
        <v>0</v>
      </c>
      <c r="G1176">
        <v>0</v>
      </c>
      <c r="H1176">
        <v>0</v>
      </c>
      <c r="I1176">
        <v>0</v>
      </c>
      <c r="J1176">
        <v>12800</v>
      </c>
      <c r="K1176" t="s">
        <v>10528</v>
      </c>
      <c r="L1176" s="1">
        <v>41273</v>
      </c>
      <c r="N1176" t="s">
        <v>6694</v>
      </c>
      <c r="O1176" t="s">
        <v>3507</v>
      </c>
      <c r="P1176" t="s">
        <v>417</v>
      </c>
      <c r="Q1176" t="s">
        <v>39</v>
      </c>
      <c r="R1176" t="s">
        <v>40</v>
      </c>
      <c r="S1176">
        <v>0</v>
      </c>
      <c r="U1176" t="s">
        <v>41</v>
      </c>
      <c r="V1176" t="s">
        <v>42</v>
      </c>
      <c r="X1176" t="s">
        <v>74</v>
      </c>
      <c r="Y1176" t="b">
        <v>0</v>
      </c>
      <c r="Z1176" t="b">
        <v>0</v>
      </c>
      <c r="AC1176" s="1"/>
      <c r="AF1176">
        <v>0</v>
      </c>
      <c r="AH1176">
        <v>40</v>
      </c>
      <c r="AI1176" s="2">
        <f>Table__192.168.3.138BEWLPPMetaData[[#This Row],[NetAmount]]-Table__192.168.3.138BEWLPPMetaData[[#This Row],[Paid]]</f>
        <v>12800</v>
      </c>
    </row>
    <row r="1177" spans="1:35" hidden="1">
      <c r="A1177" t="s">
        <v>10661</v>
      </c>
      <c r="B1177" s="1">
        <v>41268</v>
      </c>
      <c r="C1177" s="1">
        <v>41268</v>
      </c>
      <c r="D1177" t="s">
        <v>10570</v>
      </c>
      <c r="E1177">
        <v>58800</v>
      </c>
      <c r="F1177">
        <v>9408</v>
      </c>
      <c r="G1177">
        <v>0</v>
      </c>
      <c r="H1177">
        <v>0</v>
      </c>
      <c r="I1177">
        <v>0</v>
      </c>
      <c r="J1177">
        <v>68208</v>
      </c>
      <c r="K1177" t="s">
        <v>103</v>
      </c>
      <c r="L1177" s="1">
        <v>41274</v>
      </c>
      <c r="N1177" t="s">
        <v>6694</v>
      </c>
      <c r="O1177" t="s">
        <v>3507</v>
      </c>
      <c r="P1177" t="s">
        <v>435</v>
      </c>
      <c r="Q1177" t="s">
        <v>39</v>
      </c>
      <c r="R1177" t="s">
        <v>40</v>
      </c>
      <c r="S1177">
        <v>0</v>
      </c>
      <c r="U1177" t="s">
        <v>41</v>
      </c>
      <c r="V1177" t="s">
        <v>42</v>
      </c>
      <c r="X1177" t="s">
        <v>74</v>
      </c>
      <c r="Y1177" t="b">
        <v>0</v>
      </c>
      <c r="Z1177" t="b">
        <v>0</v>
      </c>
      <c r="AC1177" s="1"/>
      <c r="AF1177">
        <v>0</v>
      </c>
      <c r="AH1177">
        <v>39</v>
      </c>
      <c r="AI1177" s="2">
        <f>Table__192.168.3.138BEWLPPMetaData[[#This Row],[NetAmount]]-Table__192.168.3.138BEWLPPMetaData[[#This Row],[Paid]]</f>
        <v>68208</v>
      </c>
    </row>
    <row r="1178" spans="1:35" hidden="1">
      <c r="A1178" t="s">
        <v>10662</v>
      </c>
      <c r="B1178" s="1">
        <v>41251</v>
      </c>
      <c r="C1178" s="1">
        <v>41296</v>
      </c>
      <c r="D1178" t="s">
        <v>5509</v>
      </c>
      <c r="E1178">
        <v>185825</v>
      </c>
      <c r="F1178">
        <v>29733</v>
      </c>
      <c r="G1178">
        <v>0</v>
      </c>
      <c r="H1178">
        <v>0</v>
      </c>
      <c r="I1178">
        <v>24</v>
      </c>
      <c r="J1178">
        <v>215558</v>
      </c>
      <c r="K1178" t="s">
        <v>7586</v>
      </c>
      <c r="L1178" s="1">
        <v>41244</v>
      </c>
      <c r="N1178" t="s">
        <v>6694</v>
      </c>
      <c r="O1178" t="s">
        <v>3507</v>
      </c>
      <c r="P1178" t="s">
        <v>354</v>
      </c>
      <c r="Q1178" t="s">
        <v>39</v>
      </c>
      <c r="R1178" t="s">
        <v>40</v>
      </c>
      <c r="S1178">
        <v>0</v>
      </c>
      <c r="U1178" t="s">
        <v>41</v>
      </c>
      <c r="V1178" t="s">
        <v>42</v>
      </c>
      <c r="X1178" t="s">
        <v>74</v>
      </c>
      <c r="Y1178" t="b">
        <v>0</v>
      </c>
      <c r="Z1178" t="b">
        <v>0</v>
      </c>
      <c r="AC1178" s="1"/>
      <c r="AF1178">
        <v>0</v>
      </c>
      <c r="AG1178">
        <v>45</v>
      </c>
      <c r="AH1178">
        <v>69</v>
      </c>
      <c r="AI1178" s="2">
        <f>Table__192.168.3.138BEWLPPMetaData[[#This Row],[NetAmount]]-Table__192.168.3.138BEWLPPMetaData[[#This Row],[Paid]]</f>
        <v>215558</v>
      </c>
    </row>
    <row r="1179" spans="1:35" hidden="1">
      <c r="A1179" t="s">
        <v>10663</v>
      </c>
      <c r="B1179" s="1">
        <v>41262</v>
      </c>
      <c r="C1179" s="1">
        <v>41307</v>
      </c>
      <c r="D1179" t="s">
        <v>5509</v>
      </c>
      <c r="E1179">
        <v>170040</v>
      </c>
      <c r="F1179">
        <v>27206</v>
      </c>
      <c r="G1179">
        <v>0</v>
      </c>
      <c r="H1179">
        <v>0</v>
      </c>
      <c r="I1179">
        <v>15</v>
      </c>
      <c r="J1179">
        <v>197246</v>
      </c>
      <c r="K1179" t="s">
        <v>10664</v>
      </c>
      <c r="L1179" s="1">
        <v>41253</v>
      </c>
      <c r="N1179" t="s">
        <v>6694</v>
      </c>
      <c r="O1179" t="s">
        <v>3507</v>
      </c>
      <c r="P1179" t="s">
        <v>354</v>
      </c>
      <c r="Q1179" t="s">
        <v>39</v>
      </c>
      <c r="R1179" t="s">
        <v>40</v>
      </c>
      <c r="S1179">
        <v>0</v>
      </c>
      <c r="U1179" t="s">
        <v>41</v>
      </c>
      <c r="V1179" t="s">
        <v>42</v>
      </c>
      <c r="X1179" t="s">
        <v>74</v>
      </c>
      <c r="Y1179" t="b">
        <v>0</v>
      </c>
      <c r="Z1179" t="b">
        <v>0</v>
      </c>
      <c r="AC1179" s="1"/>
      <c r="AF1179">
        <v>0</v>
      </c>
      <c r="AG1179">
        <v>45</v>
      </c>
      <c r="AH1179">
        <v>60</v>
      </c>
      <c r="AI1179" s="2">
        <f>Table__192.168.3.138BEWLPPMetaData[[#This Row],[NetAmount]]-Table__192.168.3.138BEWLPPMetaData[[#This Row],[Paid]]</f>
        <v>197246</v>
      </c>
    </row>
    <row r="1180" spans="1:35" hidden="1">
      <c r="A1180" t="s">
        <v>10665</v>
      </c>
      <c r="B1180" s="1">
        <v>41262</v>
      </c>
      <c r="C1180" s="1">
        <v>41307</v>
      </c>
      <c r="D1180" t="s">
        <v>10394</v>
      </c>
      <c r="E1180">
        <v>5600</v>
      </c>
      <c r="F1180">
        <v>896</v>
      </c>
      <c r="G1180">
        <v>0</v>
      </c>
      <c r="H1180">
        <v>0</v>
      </c>
      <c r="I1180">
        <v>17</v>
      </c>
      <c r="J1180">
        <v>6496</v>
      </c>
      <c r="K1180" t="s">
        <v>10666</v>
      </c>
      <c r="L1180" s="1">
        <v>41251</v>
      </c>
      <c r="N1180" t="s">
        <v>6694</v>
      </c>
      <c r="O1180" t="s">
        <v>3507</v>
      </c>
      <c r="P1180" t="s">
        <v>361</v>
      </c>
      <c r="Q1180" t="s">
        <v>39</v>
      </c>
      <c r="R1180" t="s">
        <v>40</v>
      </c>
      <c r="S1180">
        <v>0</v>
      </c>
      <c r="U1180" t="s">
        <v>41</v>
      </c>
      <c r="V1180" t="s">
        <v>42</v>
      </c>
      <c r="X1180" t="s">
        <v>74</v>
      </c>
      <c r="Y1180" t="b">
        <v>0</v>
      </c>
      <c r="Z1180" t="b">
        <v>0</v>
      </c>
      <c r="AC1180" s="1"/>
      <c r="AF1180">
        <v>0</v>
      </c>
      <c r="AG1180">
        <v>45</v>
      </c>
      <c r="AH1180">
        <v>62</v>
      </c>
      <c r="AI1180" s="2">
        <f>Table__192.168.3.138BEWLPPMetaData[[#This Row],[NetAmount]]-Table__192.168.3.138BEWLPPMetaData[[#This Row],[Paid]]</f>
        <v>6496</v>
      </c>
    </row>
    <row r="1181" spans="1:35" hidden="1">
      <c r="A1181" t="s">
        <v>10667</v>
      </c>
      <c r="B1181" s="1">
        <v>41274</v>
      </c>
      <c r="C1181" s="1">
        <v>41319</v>
      </c>
      <c r="D1181" t="s">
        <v>10668</v>
      </c>
      <c r="E1181">
        <v>132270</v>
      </c>
      <c r="F1181">
        <v>21163</v>
      </c>
      <c r="G1181">
        <v>0</v>
      </c>
      <c r="H1181">
        <v>0</v>
      </c>
      <c r="I1181">
        <v>-6</v>
      </c>
      <c r="J1181">
        <v>153433</v>
      </c>
      <c r="K1181" t="s">
        <v>10669</v>
      </c>
      <c r="L1181" s="1">
        <v>41274</v>
      </c>
      <c r="N1181" t="s">
        <v>6694</v>
      </c>
      <c r="O1181" t="s">
        <v>3507</v>
      </c>
      <c r="P1181" t="s">
        <v>10670</v>
      </c>
      <c r="Q1181" t="s">
        <v>39</v>
      </c>
      <c r="R1181" t="s">
        <v>40</v>
      </c>
      <c r="S1181">
        <v>0</v>
      </c>
      <c r="U1181" t="s">
        <v>41</v>
      </c>
      <c r="V1181" t="s">
        <v>42</v>
      </c>
      <c r="X1181" t="s">
        <v>74</v>
      </c>
      <c r="Y1181" t="b">
        <v>0</v>
      </c>
      <c r="Z1181" t="b">
        <v>0</v>
      </c>
      <c r="AC1181" s="1"/>
      <c r="AF1181">
        <v>0</v>
      </c>
      <c r="AG1181">
        <v>45</v>
      </c>
      <c r="AH1181">
        <v>39</v>
      </c>
      <c r="AI1181" s="2">
        <f>Table__192.168.3.138BEWLPPMetaData[[#This Row],[NetAmount]]-Table__192.168.3.138BEWLPPMetaData[[#This Row],[Paid]]</f>
        <v>153433</v>
      </c>
    </row>
    <row r="1182" spans="1:35" hidden="1">
      <c r="A1182" t="s">
        <v>10671</v>
      </c>
      <c r="B1182" s="1">
        <v>41274</v>
      </c>
      <c r="C1182" s="1">
        <v>41319</v>
      </c>
      <c r="D1182" t="s">
        <v>8611</v>
      </c>
      <c r="E1182">
        <v>46065</v>
      </c>
      <c r="F1182">
        <v>7370</v>
      </c>
      <c r="G1182">
        <v>0</v>
      </c>
      <c r="H1182">
        <v>0</v>
      </c>
      <c r="I1182">
        <v>-4</v>
      </c>
      <c r="J1182">
        <v>53435</v>
      </c>
      <c r="K1182" t="s">
        <v>9459</v>
      </c>
      <c r="L1182" s="1">
        <v>41272</v>
      </c>
      <c r="N1182" t="s">
        <v>6694</v>
      </c>
      <c r="O1182" t="s">
        <v>3507</v>
      </c>
      <c r="P1182" t="s">
        <v>8612</v>
      </c>
      <c r="Q1182" t="s">
        <v>39</v>
      </c>
      <c r="R1182" t="s">
        <v>40</v>
      </c>
      <c r="S1182">
        <v>0</v>
      </c>
      <c r="U1182" t="s">
        <v>41</v>
      </c>
      <c r="V1182" t="s">
        <v>42</v>
      </c>
      <c r="X1182" t="s">
        <v>74</v>
      </c>
      <c r="Y1182" t="b">
        <v>0</v>
      </c>
      <c r="Z1182" t="b">
        <v>0</v>
      </c>
      <c r="AC1182" s="1"/>
      <c r="AF1182">
        <v>0</v>
      </c>
      <c r="AG1182">
        <v>45</v>
      </c>
      <c r="AH1182">
        <v>41</v>
      </c>
      <c r="AI1182" s="2">
        <f>Table__192.168.3.138BEWLPPMetaData[[#This Row],[NetAmount]]-Table__192.168.3.138BEWLPPMetaData[[#This Row],[Paid]]</f>
        <v>53435</v>
      </c>
    </row>
    <row r="1183" spans="1:35" hidden="1">
      <c r="A1183" t="s">
        <v>10672</v>
      </c>
      <c r="B1183" s="1">
        <v>41274</v>
      </c>
      <c r="C1183" s="1">
        <v>41319</v>
      </c>
      <c r="D1183" t="s">
        <v>8611</v>
      </c>
      <c r="E1183">
        <v>53192</v>
      </c>
      <c r="F1183">
        <v>8511</v>
      </c>
      <c r="G1183">
        <v>0</v>
      </c>
      <c r="H1183">
        <v>0</v>
      </c>
      <c r="I1183">
        <v>-2</v>
      </c>
      <c r="J1183">
        <v>61703</v>
      </c>
      <c r="K1183" t="s">
        <v>10673</v>
      </c>
      <c r="L1183" s="1">
        <v>41270</v>
      </c>
      <c r="N1183" t="s">
        <v>6694</v>
      </c>
      <c r="O1183" t="s">
        <v>3507</v>
      </c>
      <c r="P1183" t="s">
        <v>8612</v>
      </c>
      <c r="Q1183" t="s">
        <v>39</v>
      </c>
      <c r="R1183" t="s">
        <v>40</v>
      </c>
      <c r="S1183">
        <v>0</v>
      </c>
      <c r="U1183" t="s">
        <v>41</v>
      </c>
      <c r="V1183" t="s">
        <v>42</v>
      </c>
      <c r="X1183" t="s">
        <v>74</v>
      </c>
      <c r="Y1183" t="b">
        <v>0</v>
      </c>
      <c r="Z1183" t="b">
        <v>0</v>
      </c>
      <c r="AC1183" s="1"/>
      <c r="AF1183">
        <v>0</v>
      </c>
      <c r="AG1183">
        <v>45</v>
      </c>
      <c r="AH1183">
        <v>43</v>
      </c>
      <c r="AI1183" s="2">
        <f>Table__192.168.3.138BEWLPPMetaData[[#This Row],[NetAmount]]-Table__192.168.3.138BEWLPPMetaData[[#This Row],[Paid]]</f>
        <v>61703</v>
      </c>
    </row>
    <row r="1184" spans="1:35" hidden="1">
      <c r="A1184" t="s">
        <v>10674</v>
      </c>
      <c r="B1184" s="1">
        <v>41225</v>
      </c>
      <c r="C1184" s="1">
        <v>41225</v>
      </c>
      <c r="D1184" t="s">
        <v>10675</v>
      </c>
      <c r="E1184">
        <v>285</v>
      </c>
      <c r="F1184">
        <v>46</v>
      </c>
      <c r="G1184">
        <v>0</v>
      </c>
      <c r="H1184">
        <v>0</v>
      </c>
      <c r="I1184">
        <v>0</v>
      </c>
      <c r="J1184">
        <v>331</v>
      </c>
      <c r="K1184" t="s">
        <v>3600</v>
      </c>
      <c r="L1184" s="1">
        <v>41275</v>
      </c>
      <c r="N1184" t="s">
        <v>6694</v>
      </c>
      <c r="O1184" t="s">
        <v>3507</v>
      </c>
      <c r="P1184" t="s">
        <v>427</v>
      </c>
      <c r="Q1184" t="s">
        <v>39</v>
      </c>
      <c r="R1184" t="s">
        <v>40</v>
      </c>
      <c r="S1184">
        <v>0</v>
      </c>
      <c r="U1184" t="s">
        <v>41</v>
      </c>
      <c r="V1184" t="s">
        <v>42</v>
      </c>
      <c r="X1184" t="s">
        <v>74</v>
      </c>
      <c r="Y1184" t="b">
        <v>0</v>
      </c>
      <c r="Z1184" t="b">
        <v>0</v>
      </c>
      <c r="AC1184" s="1"/>
      <c r="AF1184">
        <v>0</v>
      </c>
      <c r="AH1184">
        <v>38</v>
      </c>
      <c r="AI1184" s="2">
        <f>Table__192.168.3.138BEWLPPMetaData[[#This Row],[NetAmount]]-Table__192.168.3.138BEWLPPMetaData[[#This Row],[Paid]]</f>
        <v>331</v>
      </c>
    </row>
    <row r="1185" spans="1:35" hidden="1">
      <c r="A1185" t="s">
        <v>10676</v>
      </c>
      <c r="B1185" s="1">
        <v>41282</v>
      </c>
      <c r="C1185" s="1">
        <v>41327</v>
      </c>
      <c r="D1185" t="s">
        <v>8570</v>
      </c>
      <c r="E1185">
        <v>22400</v>
      </c>
      <c r="F1185">
        <v>3584</v>
      </c>
      <c r="G1185">
        <v>0</v>
      </c>
      <c r="H1185">
        <v>0</v>
      </c>
      <c r="I1185">
        <v>-6</v>
      </c>
      <c r="J1185">
        <v>25984</v>
      </c>
      <c r="K1185" t="s">
        <v>4414</v>
      </c>
      <c r="L1185" s="1">
        <v>41274</v>
      </c>
      <c r="N1185" t="s">
        <v>6694</v>
      </c>
      <c r="O1185" t="s">
        <v>3507</v>
      </c>
      <c r="P1185" t="s">
        <v>8571</v>
      </c>
      <c r="Q1185" t="s">
        <v>5285</v>
      </c>
      <c r="R1185" t="s">
        <v>5286</v>
      </c>
      <c r="S1185">
        <v>0</v>
      </c>
      <c r="U1185" t="s">
        <v>41</v>
      </c>
      <c r="V1185" t="s">
        <v>42</v>
      </c>
      <c r="X1185" t="s">
        <v>74</v>
      </c>
      <c r="Y1185" t="b">
        <v>0</v>
      </c>
      <c r="Z1185" t="b">
        <v>0</v>
      </c>
      <c r="AC1185" s="1"/>
      <c r="AF1185">
        <v>0</v>
      </c>
      <c r="AG1185">
        <v>45</v>
      </c>
      <c r="AH1185">
        <v>39</v>
      </c>
      <c r="AI1185" s="2">
        <f>Table__192.168.3.138BEWLPPMetaData[[#This Row],[NetAmount]]-Table__192.168.3.138BEWLPPMetaData[[#This Row],[Paid]]</f>
        <v>25984</v>
      </c>
    </row>
    <row r="1186" spans="1:35" hidden="1">
      <c r="A1186" t="s">
        <v>10677</v>
      </c>
      <c r="B1186" s="1">
        <v>41291</v>
      </c>
      <c r="C1186" s="1">
        <v>41336</v>
      </c>
      <c r="D1186" t="s">
        <v>8570</v>
      </c>
      <c r="E1186">
        <v>95200</v>
      </c>
      <c r="F1186">
        <v>15232</v>
      </c>
      <c r="G1186">
        <v>0</v>
      </c>
      <c r="H1186">
        <v>0</v>
      </c>
      <c r="I1186">
        <v>-22</v>
      </c>
      <c r="J1186">
        <v>110432</v>
      </c>
      <c r="K1186" t="s">
        <v>10678</v>
      </c>
      <c r="L1186" s="1">
        <v>41290</v>
      </c>
      <c r="N1186" t="s">
        <v>6694</v>
      </c>
      <c r="O1186" t="s">
        <v>3507</v>
      </c>
      <c r="P1186" t="s">
        <v>8571</v>
      </c>
      <c r="Q1186" t="s">
        <v>5285</v>
      </c>
      <c r="R1186" t="s">
        <v>5286</v>
      </c>
      <c r="S1186">
        <v>0</v>
      </c>
      <c r="U1186" t="s">
        <v>41</v>
      </c>
      <c r="V1186" t="s">
        <v>42</v>
      </c>
      <c r="X1186" t="s">
        <v>74</v>
      </c>
      <c r="Y1186" t="b">
        <v>0</v>
      </c>
      <c r="Z1186" t="b">
        <v>0</v>
      </c>
      <c r="AC1186" s="1"/>
      <c r="AF1186">
        <v>0</v>
      </c>
      <c r="AG1186">
        <v>45</v>
      </c>
      <c r="AH1186">
        <v>23</v>
      </c>
      <c r="AI1186" s="2">
        <f>Table__192.168.3.138BEWLPPMetaData[[#This Row],[NetAmount]]-Table__192.168.3.138BEWLPPMetaData[[#This Row],[Paid]]</f>
        <v>110432</v>
      </c>
    </row>
    <row r="1187" spans="1:35" hidden="1">
      <c r="A1187" t="s">
        <v>10679</v>
      </c>
      <c r="B1187" s="1">
        <v>41276</v>
      </c>
      <c r="C1187" s="1">
        <v>41276</v>
      </c>
      <c r="D1187" t="s">
        <v>10056</v>
      </c>
      <c r="E1187">
        <v>66172</v>
      </c>
      <c r="F1187">
        <v>10587</v>
      </c>
      <c r="G1187">
        <v>0</v>
      </c>
      <c r="H1187">
        <v>0</v>
      </c>
      <c r="I1187">
        <v>0</v>
      </c>
      <c r="J1187">
        <v>76759</v>
      </c>
      <c r="K1187" t="s">
        <v>10165</v>
      </c>
      <c r="L1187" s="1">
        <v>41275</v>
      </c>
      <c r="N1187" t="s">
        <v>6694</v>
      </c>
      <c r="O1187" t="s">
        <v>3507</v>
      </c>
      <c r="P1187" t="s">
        <v>437</v>
      </c>
      <c r="Q1187" t="s">
        <v>5285</v>
      </c>
      <c r="R1187" t="s">
        <v>5286</v>
      </c>
      <c r="S1187">
        <v>0</v>
      </c>
      <c r="U1187" t="s">
        <v>41</v>
      </c>
      <c r="V1187" t="s">
        <v>42</v>
      </c>
      <c r="X1187" t="s">
        <v>74</v>
      </c>
      <c r="Y1187" t="b">
        <v>0</v>
      </c>
      <c r="Z1187" t="b">
        <v>0</v>
      </c>
      <c r="AC1187" s="1"/>
      <c r="AF1187">
        <v>0</v>
      </c>
      <c r="AH1187">
        <v>38</v>
      </c>
      <c r="AI1187" s="2">
        <f>Table__192.168.3.138BEWLPPMetaData[[#This Row],[NetAmount]]-Table__192.168.3.138BEWLPPMetaData[[#This Row],[Paid]]</f>
        <v>76759</v>
      </c>
    </row>
    <row r="1188" spans="1:35" hidden="1">
      <c r="A1188" t="s">
        <v>10680</v>
      </c>
      <c r="B1188" s="1">
        <v>41277</v>
      </c>
      <c r="C1188" s="1">
        <v>41277</v>
      </c>
      <c r="D1188" t="s">
        <v>10056</v>
      </c>
      <c r="E1188">
        <v>39975</v>
      </c>
      <c r="F1188">
        <v>6396</v>
      </c>
      <c r="G1188">
        <v>0</v>
      </c>
      <c r="H1188">
        <v>0</v>
      </c>
      <c r="I1188">
        <v>0</v>
      </c>
      <c r="J1188">
        <v>46371</v>
      </c>
      <c r="K1188" t="s">
        <v>10681</v>
      </c>
      <c r="L1188" s="1">
        <v>41276</v>
      </c>
      <c r="N1188" t="s">
        <v>6694</v>
      </c>
      <c r="O1188" t="s">
        <v>3507</v>
      </c>
      <c r="P1188" t="s">
        <v>437</v>
      </c>
      <c r="Q1188" t="s">
        <v>5285</v>
      </c>
      <c r="R1188" t="s">
        <v>5286</v>
      </c>
      <c r="S1188">
        <v>0</v>
      </c>
      <c r="U1188" t="s">
        <v>41</v>
      </c>
      <c r="V1188" t="s">
        <v>42</v>
      </c>
      <c r="X1188" t="s">
        <v>74</v>
      </c>
      <c r="Y1188" t="b">
        <v>0</v>
      </c>
      <c r="Z1188" t="b">
        <v>0</v>
      </c>
      <c r="AC1188" s="1"/>
      <c r="AF1188">
        <v>0</v>
      </c>
      <c r="AH1188">
        <v>37</v>
      </c>
      <c r="AI1188" s="2">
        <f>Table__192.168.3.138BEWLPPMetaData[[#This Row],[NetAmount]]-Table__192.168.3.138BEWLPPMetaData[[#This Row],[Paid]]</f>
        <v>46371</v>
      </c>
    </row>
    <row r="1189" spans="1:35" hidden="1">
      <c r="A1189" t="s">
        <v>10682</v>
      </c>
      <c r="B1189" s="1">
        <v>41283</v>
      </c>
      <c r="C1189" s="1">
        <v>41283</v>
      </c>
      <c r="D1189" t="s">
        <v>10056</v>
      </c>
      <c r="E1189">
        <v>43668</v>
      </c>
      <c r="F1189">
        <v>6987</v>
      </c>
      <c r="G1189">
        <v>0</v>
      </c>
      <c r="H1189">
        <v>0</v>
      </c>
      <c r="I1189">
        <v>0</v>
      </c>
      <c r="J1189">
        <v>50655</v>
      </c>
      <c r="K1189" t="s">
        <v>6050</v>
      </c>
      <c r="L1189" s="1">
        <v>41281</v>
      </c>
      <c r="N1189" t="s">
        <v>6694</v>
      </c>
      <c r="O1189" t="s">
        <v>3507</v>
      </c>
      <c r="P1189" t="s">
        <v>437</v>
      </c>
      <c r="Q1189" t="s">
        <v>5285</v>
      </c>
      <c r="R1189" t="s">
        <v>5286</v>
      </c>
      <c r="S1189">
        <v>0</v>
      </c>
      <c r="U1189" t="s">
        <v>41</v>
      </c>
      <c r="V1189" t="s">
        <v>42</v>
      </c>
      <c r="X1189" t="s">
        <v>74</v>
      </c>
      <c r="Y1189" t="b">
        <v>0</v>
      </c>
      <c r="Z1189" t="b">
        <v>0</v>
      </c>
      <c r="AC1189" s="1"/>
      <c r="AF1189">
        <v>0</v>
      </c>
      <c r="AH1189">
        <v>32</v>
      </c>
      <c r="AI1189" s="2">
        <f>Table__192.168.3.138BEWLPPMetaData[[#This Row],[NetAmount]]-Table__192.168.3.138BEWLPPMetaData[[#This Row],[Paid]]</f>
        <v>50655</v>
      </c>
    </row>
    <row r="1190" spans="1:35" hidden="1">
      <c r="A1190" t="s">
        <v>10683</v>
      </c>
      <c r="B1190" s="1">
        <v>41283</v>
      </c>
      <c r="C1190" s="1">
        <v>41283</v>
      </c>
      <c r="D1190" t="s">
        <v>10056</v>
      </c>
      <c r="E1190">
        <v>13325</v>
      </c>
      <c r="F1190">
        <v>2132</v>
      </c>
      <c r="G1190">
        <v>0</v>
      </c>
      <c r="H1190">
        <v>0</v>
      </c>
      <c r="I1190">
        <v>0</v>
      </c>
      <c r="J1190">
        <v>15457</v>
      </c>
      <c r="K1190" t="s">
        <v>5581</v>
      </c>
      <c r="L1190" s="1">
        <v>41283</v>
      </c>
      <c r="N1190" t="s">
        <v>6694</v>
      </c>
      <c r="O1190" t="s">
        <v>3507</v>
      </c>
      <c r="P1190" t="s">
        <v>437</v>
      </c>
      <c r="Q1190" t="s">
        <v>5285</v>
      </c>
      <c r="R1190" t="s">
        <v>5286</v>
      </c>
      <c r="S1190">
        <v>0</v>
      </c>
      <c r="U1190" t="s">
        <v>41</v>
      </c>
      <c r="V1190" t="s">
        <v>42</v>
      </c>
      <c r="X1190" t="s">
        <v>74</v>
      </c>
      <c r="Y1190" t="b">
        <v>0</v>
      </c>
      <c r="Z1190" t="b">
        <v>0</v>
      </c>
      <c r="AC1190" s="1"/>
      <c r="AF1190">
        <v>0</v>
      </c>
      <c r="AH1190">
        <v>30</v>
      </c>
      <c r="AI1190" s="2">
        <f>Table__192.168.3.138BEWLPPMetaData[[#This Row],[NetAmount]]-Table__192.168.3.138BEWLPPMetaData[[#This Row],[Paid]]</f>
        <v>15457</v>
      </c>
    </row>
    <row r="1191" spans="1:35" hidden="1">
      <c r="A1191" t="s">
        <v>10684</v>
      </c>
      <c r="B1191" s="1">
        <v>41275</v>
      </c>
      <c r="C1191" s="1">
        <v>41320</v>
      </c>
      <c r="D1191" t="s">
        <v>5469</v>
      </c>
      <c r="E1191">
        <v>141100</v>
      </c>
      <c r="F1191">
        <v>22576</v>
      </c>
      <c r="G1191">
        <v>0</v>
      </c>
      <c r="H1191">
        <v>0</v>
      </c>
      <c r="I1191">
        <v>-7</v>
      </c>
      <c r="J1191">
        <v>163676</v>
      </c>
      <c r="K1191" t="s">
        <v>7213</v>
      </c>
      <c r="L1191" s="1">
        <v>41275</v>
      </c>
      <c r="N1191" t="s">
        <v>6694</v>
      </c>
      <c r="O1191" t="s">
        <v>3507</v>
      </c>
      <c r="P1191" t="s">
        <v>368</v>
      </c>
      <c r="Q1191" t="s">
        <v>5285</v>
      </c>
      <c r="R1191" t="s">
        <v>5286</v>
      </c>
      <c r="S1191">
        <v>0</v>
      </c>
      <c r="U1191" t="s">
        <v>41</v>
      </c>
      <c r="V1191" t="s">
        <v>42</v>
      </c>
      <c r="X1191" t="s">
        <v>74</v>
      </c>
      <c r="Y1191" t="b">
        <v>0</v>
      </c>
      <c r="Z1191" t="b">
        <v>0</v>
      </c>
      <c r="AC1191" s="1"/>
      <c r="AF1191">
        <v>0</v>
      </c>
      <c r="AG1191">
        <v>45</v>
      </c>
      <c r="AH1191">
        <v>38</v>
      </c>
      <c r="AI1191" s="2">
        <f>Table__192.168.3.138BEWLPPMetaData[[#This Row],[NetAmount]]-Table__192.168.3.138BEWLPPMetaData[[#This Row],[Paid]]</f>
        <v>163676</v>
      </c>
    </row>
    <row r="1192" spans="1:35" hidden="1">
      <c r="A1192" t="s">
        <v>10685</v>
      </c>
      <c r="B1192" s="1">
        <v>41289</v>
      </c>
      <c r="C1192" s="1">
        <v>41334</v>
      </c>
      <c r="D1192" t="s">
        <v>10482</v>
      </c>
      <c r="E1192">
        <v>266900</v>
      </c>
      <c r="F1192">
        <v>42704</v>
      </c>
      <c r="G1192">
        <v>0</v>
      </c>
      <c r="H1192">
        <v>0</v>
      </c>
      <c r="I1192">
        <v>-20</v>
      </c>
      <c r="J1192">
        <v>309604</v>
      </c>
      <c r="K1192" t="s">
        <v>8194</v>
      </c>
      <c r="L1192" s="1">
        <v>41288</v>
      </c>
      <c r="N1192" t="s">
        <v>6694</v>
      </c>
      <c r="O1192" t="s">
        <v>3507</v>
      </c>
      <c r="P1192" t="s">
        <v>10484</v>
      </c>
      <c r="Q1192" t="s">
        <v>5285</v>
      </c>
      <c r="R1192" t="s">
        <v>5286</v>
      </c>
      <c r="S1192">
        <v>0</v>
      </c>
      <c r="U1192" t="s">
        <v>41</v>
      </c>
      <c r="V1192" t="s">
        <v>42</v>
      </c>
      <c r="X1192" t="s">
        <v>74</v>
      </c>
      <c r="Y1192" t="b">
        <v>0</v>
      </c>
      <c r="Z1192" t="b">
        <v>0</v>
      </c>
      <c r="AC1192" s="1"/>
      <c r="AF1192">
        <v>0</v>
      </c>
      <c r="AG1192">
        <v>45</v>
      </c>
      <c r="AH1192">
        <v>25</v>
      </c>
      <c r="AI1192" s="2">
        <f>Table__192.168.3.138BEWLPPMetaData[[#This Row],[NetAmount]]-Table__192.168.3.138BEWLPPMetaData[[#This Row],[Paid]]</f>
        <v>309604</v>
      </c>
    </row>
    <row r="1193" spans="1:35" hidden="1">
      <c r="A1193" t="s">
        <v>10686</v>
      </c>
      <c r="B1193" s="1">
        <v>41285</v>
      </c>
      <c r="C1193" s="1">
        <v>41330</v>
      </c>
      <c r="D1193" t="s">
        <v>8577</v>
      </c>
      <c r="E1193">
        <v>5085</v>
      </c>
      <c r="F1193">
        <v>0</v>
      </c>
      <c r="G1193">
        <v>0</v>
      </c>
      <c r="H1193">
        <v>0</v>
      </c>
      <c r="I1193">
        <v>-17</v>
      </c>
      <c r="J1193">
        <v>5085</v>
      </c>
      <c r="K1193" t="s">
        <v>10580</v>
      </c>
      <c r="L1193" s="1">
        <v>41285</v>
      </c>
      <c r="N1193" t="s">
        <v>6694</v>
      </c>
      <c r="O1193" t="s">
        <v>3507</v>
      </c>
      <c r="P1193" t="s">
        <v>8579</v>
      </c>
      <c r="Q1193" t="s">
        <v>5285</v>
      </c>
      <c r="R1193" t="s">
        <v>5286</v>
      </c>
      <c r="S1193">
        <v>0</v>
      </c>
      <c r="U1193" t="s">
        <v>41</v>
      </c>
      <c r="V1193" t="s">
        <v>42</v>
      </c>
      <c r="X1193" t="s">
        <v>74</v>
      </c>
      <c r="Y1193" t="b">
        <v>0</v>
      </c>
      <c r="Z1193" t="b">
        <v>0</v>
      </c>
      <c r="AC1193" s="1"/>
      <c r="AF1193">
        <v>0</v>
      </c>
      <c r="AG1193">
        <v>45</v>
      </c>
      <c r="AH1193">
        <v>28</v>
      </c>
      <c r="AI1193" s="2">
        <f>Table__192.168.3.138BEWLPPMetaData[[#This Row],[NetAmount]]-Table__192.168.3.138BEWLPPMetaData[[#This Row],[Paid]]</f>
        <v>5085</v>
      </c>
    </row>
    <row r="1194" spans="1:35" hidden="1">
      <c r="A1194" t="s">
        <v>10687</v>
      </c>
      <c r="B1194" s="1">
        <v>41281</v>
      </c>
      <c r="C1194" s="1">
        <v>41326</v>
      </c>
      <c r="D1194" t="s">
        <v>8577</v>
      </c>
      <c r="E1194">
        <v>9900</v>
      </c>
      <c r="F1194">
        <v>0</v>
      </c>
      <c r="G1194">
        <v>0</v>
      </c>
      <c r="H1194">
        <v>0</v>
      </c>
      <c r="I1194">
        <v>-13</v>
      </c>
      <c r="J1194">
        <v>9900</v>
      </c>
      <c r="K1194" t="s">
        <v>1260</v>
      </c>
      <c r="L1194" s="1">
        <v>41281</v>
      </c>
      <c r="N1194" t="s">
        <v>6694</v>
      </c>
      <c r="O1194" t="s">
        <v>3507</v>
      </c>
      <c r="P1194" t="s">
        <v>8579</v>
      </c>
      <c r="Q1194" t="s">
        <v>5285</v>
      </c>
      <c r="R1194" t="s">
        <v>5286</v>
      </c>
      <c r="S1194">
        <v>0</v>
      </c>
      <c r="U1194" t="s">
        <v>41</v>
      </c>
      <c r="V1194" t="s">
        <v>42</v>
      </c>
      <c r="X1194" t="s">
        <v>74</v>
      </c>
      <c r="Y1194" t="b">
        <v>0</v>
      </c>
      <c r="Z1194" t="b">
        <v>0</v>
      </c>
      <c r="AC1194" s="1"/>
      <c r="AF1194">
        <v>0</v>
      </c>
      <c r="AG1194">
        <v>45</v>
      </c>
      <c r="AH1194">
        <v>32</v>
      </c>
      <c r="AI1194" s="2">
        <f>Table__192.168.3.138BEWLPPMetaData[[#This Row],[NetAmount]]-Table__192.168.3.138BEWLPPMetaData[[#This Row],[Paid]]</f>
        <v>9900</v>
      </c>
    </row>
    <row r="1195" spans="1:35" hidden="1">
      <c r="A1195" t="s">
        <v>10688</v>
      </c>
      <c r="B1195" s="1">
        <v>41291</v>
      </c>
      <c r="C1195" s="1">
        <v>41336</v>
      </c>
      <c r="D1195" t="s">
        <v>8538</v>
      </c>
      <c r="E1195">
        <v>10560</v>
      </c>
      <c r="F1195">
        <v>1690</v>
      </c>
      <c r="G1195">
        <v>0</v>
      </c>
      <c r="H1195">
        <v>0</v>
      </c>
      <c r="I1195">
        <v>-23</v>
      </c>
      <c r="J1195">
        <v>12250</v>
      </c>
      <c r="K1195" t="s">
        <v>10689</v>
      </c>
      <c r="L1195" s="1">
        <v>41291</v>
      </c>
      <c r="N1195" t="s">
        <v>6694</v>
      </c>
      <c r="O1195" t="s">
        <v>3507</v>
      </c>
      <c r="P1195" t="s">
        <v>310</v>
      </c>
      <c r="Q1195" t="s">
        <v>5285</v>
      </c>
      <c r="R1195" t="s">
        <v>5286</v>
      </c>
      <c r="S1195">
        <v>0</v>
      </c>
      <c r="U1195" t="s">
        <v>41</v>
      </c>
      <c r="V1195" t="s">
        <v>42</v>
      </c>
      <c r="X1195" t="s">
        <v>74</v>
      </c>
      <c r="Y1195" t="b">
        <v>0</v>
      </c>
      <c r="Z1195" t="b">
        <v>0</v>
      </c>
      <c r="AC1195" s="1"/>
      <c r="AF1195">
        <v>0</v>
      </c>
      <c r="AG1195">
        <v>45</v>
      </c>
      <c r="AH1195">
        <v>22</v>
      </c>
      <c r="AI1195" s="2">
        <f>Table__192.168.3.138BEWLPPMetaData[[#This Row],[NetAmount]]-Table__192.168.3.138BEWLPPMetaData[[#This Row],[Paid]]</f>
        <v>12250</v>
      </c>
    </row>
    <row r="1196" spans="1:35" hidden="1">
      <c r="A1196" t="s">
        <v>10690</v>
      </c>
      <c r="B1196" s="1">
        <v>41283</v>
      </c>
      <c r="C1196" s="1">
        <v>41328</v>
      </c>
      <c r="D1196" t="s">
        <v>8538</v>
      </c>
      <c r="E1196">
        <v>360000</v>
      </c>
      <c r="F1196">
        <v>57600</v>
      </c>
      <c r="G1196">
        <v>0</v>
      </c>
      <c r="H1196">
        <v>0</v>
      </c>
      <c r="I1196">
        <v>-15</v>
      </c>
      <c r="J1196">
        <v>417600</v>
      </c>
      <c r="K1196" t="s">
        <v>10691</v>
      </c>
      <c r="L1196" s="1">
        <v>41283</v>
      </c>
      <c r="N1196" t="s">
        <v>6694</v>
      </c>
      <c r="O1196" t="s">
        <v>3507</v>
      </c>
      <c r="P1196" t="s">
        <v>310</v>
      </c>
      <c r="Q1196" t="s">
        <v>5285</v>
      </c>
      <c r="R1196" t="s">
        <v>5286</v>
      </c>
      <c r="S1196">
        <v>0</v>
      </c>
      <c r="U1196" t="s">
        <v>41</v>
      </c>
      <c r="V1196" t="s">
        <v>42</v>
      </c>
      <c r="X1196" t="s">
        <v>74</v>
      </c>
      <c r="Y1196" t="b">
        <v>0</v>
      </c>
      <c r="Z1196" t="b">
        <v>0</v>
      </c>
      <c r="AC1196" s="1"/>
      <c r="AF1196">
        <v>0</v>
      </c>
      <c r="AG1196">
        <v>45</v>
      </c>
      <c r="AH1196">
        <v>30</v>
      </c>
      <c r="AI1196" s="2">
        <f>Table__192.168.3.138BEWLPPMetaData[[#This Row],[NetAmount]]-Table__192.168.3.138BEWLPPMetaData[[#This Row],[Paid]]</f>
        <v>417600</v>
      </c>
    </row>
    <row r="1197" spans="1:35" hidden="1">
      <c r="A1197" t="s">
        <v>10692</v>
      </c>
      <c r="B1197" s="1">
        <v>41281</v>
      </c>
      <c r="C1197" s="1">
        <v>41326</v>
      </c>
      <c r="D1197" t="s">
        <v>8538</v>
      </c>
      <c r="E1197">
        <v>90000</v>
      </c>
      <c r="F1197">
        <v>14400</v>
      </c>
      <c r="G1197">
        <v>0</v>
      </c>
      <c r="H1197">
        <v>0</v>
      </c>
      <c r="I1197">
        <v>-7</v>
      </c>
      <c r="J1197">
        <v>104400</v>
      </c>
      <c r="K1197" t="s">
        <v>10693</v>
      </c>
      <c r="L1197" s="1">
        <v>41275</v>
      </c>
      <c r="N1197" t="s">
        <v>6694</v>
      </c>
      <c r="O1197" t="s">
        <v>3507</v>
      </c>
      <c r="P1197" t="s">
        <v>310</v>
      </c>
      <c r="Q1197" t="s">
        <v>5285</v>
      </c>
      <c r="R1197" t="s">
        <v>5286</v>
      </c>
      <c r="S1197">
        <v>0</v>
      </c>
      <c r="U1197" t="s">
        <v>41</v>
      </c>
      <c r="V1197" t="s">
        <v>42</v>
      </c>
      <c r="X1197" t="s">
        <v>74</v>
      </c>
      <c r="Y1197" t="b">
        <v>0</v>
      </c>
      <c r="Z1197" t="b">
        <v>0</v>
      </c>
      <c r="AC1197" s="1"/>
      <c r="AF1197">
        <v>0</v>
      </c>
      <c r="AG1197">
        <v>45</v>
      </c>
      <c r="AH1197">
        <v>38</v>
      </c>
      <c r="AI1197" s="2">
        <f>Table__192.168.3.138BEWLPPMetaData[[#This Row],[NetAmount]]-Table__192.168.3.138BEWLPPMetaData[[#This Row],[Paid]]</f>
        <v>104400</v>
      </c>
    </row>
    <row r="1198" spans="1:35" hidden="1">
      <c r="A1198" t="s">
        <v>10694</v>
      </c>
      <c r="B1198" s="1">
        <v>41291</v>
      </c>
      <c r="C1198" s="1">
        <v>41336</v>
      </c>
      <c r="D1198" t="s">
        <v>9971</v>
      </c>
      <c r="E1198">
        <v>8645</v>
      </c>
      <c r="F1198">
        <v>1383</v>
      </c>
      <c r="G1198">
        <v>0</v>
      </c>
      <c r="H1198">
        <v>0</v>
      </c>
      <c r="I1198">
        <v>-23</v>
      </c>
      <c r="J1198">
        <v>10028</v>
      </c>
      <c r="K1198" t="s">
        <v>10695</v>
      </c>
      <c r="L1198" s="1">
        <v>41291</v>
      </c>
      <c r="N1198" t="s">
        <v>6694</v>
      </c>
      <c r="O1198" t="s">
        <v>3507</v>
      </c>
      <c r="P1198" t="s">
        <v>9973</v>
      </c>
      <c r="Q1198" t="s">
        <v>5285</v>
      </c>
      <c r="R1198" t="s">
        <v>5286</v>
      </c>
      <c r="S1198">
        <v>0</v>
      </c>
      <c r="U1198" t="s">
        <v>41</v>
      </c>
      <c r="V1198" t="s">
        <v>42</v>
      </c>
      <c r="X1198" t="s">
        <v>74</v>
      </c>
      <c r="Y1198" t="b">
        <v>0</v>
      </c>
      <c r="Z1198" t="b">
        <v>0</v>
      </c>
      <c r="AC1198" s="1"/>
      <c r="AF1198">
        <v>0</v>
      </c>
      <c r="AG1198">
        <v>45</v>
      </c>
      <c r="AH1198">
        <v>22</v>
      </c>
      <c r="AI1198" s="2">
        <f>Table__192.168.3.138BEWLPPMetaData[[#This Row],[NetAmount]]-Table__192.168.3.138BEWLPPMetaData[[#This Row],[Paid]]</f>
        <v>10028</v>
      </c>
    </row>
    <row r="1199" spans="1:35" hidden="1">
      <c r="A1199" t="s">
        <v>10696</v>
      </c>
      <c r="B1199" s="1">
        <v>41282</v>
      </c>
      <c r="C1199" s="1">
        <v>41327</v>
      </c>
      <c r="D1199" t="s">
        <v>8563</v>
      </c>
      <c r="E1199">
        <v>165000</v>
      </c>
      <c r="F1199">
        <v>26400</v>
      </c>
      <c r="G1199">
        <v>0</v>
      </c>
      <c r="H1199">
        <v>0</v>
      </c>
      <c r="I1199">
        <v>-13</v>
      </c>
      <c r="J1199">
        <v>191400</v>
      </c>
      <c r="K1199" t="s">
        <v>861</v>
      </c>
      <c r="L1199" s="1">
        <v>41281</v>
      </c>
      <c r="N1199" t="s">
        <v>6694</v>
      </c>
      <c r="O1199" t="s">
        <v>3507</v>
      </c>
      <c r="P1199" t="s">
        <v>409</v>
      </c>
      <c r="Q1199" t="s">
        <v>5285</v>
      </c>
      <c r="R1199" t="s">
        <v>5286</v>
      </c>
      <c r="S1199">
        <v>0</v>
      </c>
      <c r="U1199" t="s">
        <v>41</v>
      </c>
      <c r="V1199" t="s">
        <v>42</v>
      </c>
      <c r="X1199" t="s">
        <v>74</v>
      </c>
      <c r="Y1199" t="b">
        <v>0</v>
      </c>
      <c r="Z1199" t="b">
        <v>0</v>
      </c>
      <c r="AC1199" s="1"/>
      <c r="AF1199">
        <v>0</v>
      </c>
      <c r="AG1199">
        <v>45</v>
      </c>
      <c r="AH1199">
        <v>32</v>
      </c>
      <c r="AI1199" s="2">
        <f>Table__192.168.3.138BEWLPPMetaData[[#This Row],[NetAmount]]-Table__192.168.3.138BEWLPPMetaData[[#This Row],[Paid]]</f>
        <v>191400</v>
      </c>
    </row>
    <row r="1200" spans="1:35" hidden="1">
      <c r="A1200" t="s">
        <v>10697</v>
      </c>
      <c r="B1200" s="1">
        <v>41282</v>
      </c>
      <c r="C1200" s="1">
        <v>41327</v>
      </c>
      <c r="D1200" t="s">
        <v>8563</v>
      </c>
      <c r="E1200">
        <v>165000</v>
      </c>
      <c r="F1200">
        <v>26400</v>
      </c>
      <c r="G1200">
        <v>0</v>
      </c>
      <c r="H1200">
        <v>0</v>
      </c>
      <c r="I1200">
        <v>-11</v>
      </c>
      <c r="J1200">
        <v>191400</v>
      </c>
      <c r="K1200" t="s">
        <v>7467</v>
      </c>
      <c r="L1200" s="1">
        <v>41279</v>
      </c>
      <c r="N1200" t="s">
        <v>6694</v>
      </c>
      <c r="O1200" t="s">
        <v>3507</v>
      </c>
      <c r="P1200" t="s">
        <v>409</v>
      </c>
      <c r="Q1200" t="s">
        <v>5285</v>
      </c>
      <c r="R1200" t="s">
        <v>5286</v>
      </c>
      <c r="S1200">
        <v>0</v>
      </c>
      <c r="U1200" t="s">
        <v>41</v>
      </c>
      <c r="V1200" t="s">
        <v>42</v>
      </c>
      <c r="X1200" t="s">
        <v>74</v>
      </c>
      <c r="Y1200" t="b">
        <v>0</v>
      </c>
      <c r="Z1200" t="b">
        <v>0</v>
      </c>
      <c r="AC1200" s="1"/>
      <c r="AF1200">
        <v>0</v>
      </c>
      <c r="AG1200">
        <v>45</v>
      </c>
      <c r="AH1200">
        <v>34</v>
      </c>
      <c r="AI1200" s="2">
        <f>Table__192.168.3.138BEWLPPMetaData[[#This Row],[NetAmount]]-Table__192.168.3.138BEWLPPMetaData[[#This Row],[Paid]]</f>
        <v>191400</v>
      </c>
    </row>
    <row r="1201" spans="1:35" hidden="1">
      <c r="A1201" t="s">
        <v>10698</v>
      </c>
      <c r="B1201" s="1">
        <v>41278</v>
      </c>
      <c r="C1201" s="1">
        <v>41323</v>
      </c>
      <c r="D1201" t="s">
        <v>8563</v>
      </c>
      <c r="E1201">
        <v>165000</v>
      </c>
      <c r="F1201">
        <v>26400</v>
      </c>
      <c r="G1201">
        <v>0</v>
      </c>
      <c r="H1201">
        <v>0</v>
      </c>
      <c r="I1201">
        <v>-8</v>
      </c>
      <c r="J1201">
        <v>191400</v>
      </c>
      <c r="K1201" t="s">
        <v>4348</v>
      </c>
      <c r="L1201" s="1">
        <v>41276</v>
      </c>
      <c r="N1201" t="s">
        <v>6694</v>
      </c>
      <c r="O1201" t="s">
        <v>3507</v>
      </c>
      <c r="P1201" t="s">
        <v>409</v>
      </c>
      <c r="Q1201" t="s">
        <v>5285</v>
      </c>
      <c r="R1201" t="s">
        <v>5286</v>
      </c>
      <c r="S1201">
        <v>0</v>
      </c>
      <c r="U1201" t="s">
        <v>41</v>
      </c>
      <c r="V1201" t="s">
        <v>42</v>
      </c>
      <c r="X1201" t="s">
        <v>74</v>
      </c>
      <c r="Y1201" t="b">
        <v>0</v>
      </c>
      <c r="Z1201" t="b">
        <v>0</v>
      </c>
      <c r="AC1201" s="1"/>
      <c r="AF1201">
        <v>0</v>
      </c>
      <c r="AG1201">
        <v>45</v>
      </c>
      <c r="AH1201">
        <v>37</v>
      </c>
      <c r="AI1201" s="2">
        <f>Table__192.168.3.138BEWLPPMetaData[[#This Row],[NetAmount]]-Table__192.168.3.138BEWLPPMetaData[[#This Row],[Paid]]</f>
        <v>191400</v>
      </c>
    </row>
    <row r="1202" spans="1:35" hidden="1">
      <c r="A1202" t="s">
        <v>10699</v>
      </c>
      <c r="B1202" s="1">
        <v>41289</v>
      </c>
      <c r="C1202" s="1">
        <v>41334</v>
      </c>
      <c r="D1202" t="s">
        <v>8577</v>
      </c>
      <c r="E1202">
        <v>12775</v>
      </c>
      <c r="F1202">
        <v>0</v>
      </c>
      <c r="G1202">
        <v>0</v>
      </c>
      <c r="H1202">
        <v>0</v>
      </c>
      <c r="I1202">
        <v>-21</v>
      </c>
      <c r="J1202">
        <v>12775</v>
      </c>
      <c r="K1202" t="s">
        <v>833</v>
      </c>
      <c r="L1202" s="1">
        <v>41289</v>
      </c>
      <c r="N1202" t="s">
        <v>6694</v>
      </c>
      <c r="O1202" t="s">
        <v>3507</v>
      </c>
      <c r="P1202" t="s">
        <v>8579</v>
      </c>
      <c r="Q1202" t="s">
        <v>5285</v>
      </c>
      <c r="R1202" t="s">
        <v>5286</v>
      </c>
      <c r="S1202">
        <v>0</v>
      </c>
      <c r="U1202" t="s">
        <v>41</v>
      </c>
      <c r="V1202" t="s">
        <v>42</v>
      </c>
      <c r="X1202" t="s">
        <v>74</v>
      </c>
      <c r="Y1202" t="b">
        <v>0</v>
      </c>
      <c r="Z1202" t="b">
        <v>0</v>
      </c>
      <c r="AC1202" s="1"/>
      <c r="AF1202">
        <v>0</v>
      </c>
      <c r="AG1202">
        <v>45</v>
      </c>
      <c r="AH1202">
        <v>24</v>
      </c>
      <c r="AI1202" s="2">
        <f>Table__192.168.3.138BEWLPPMetaData[[#This Row],[NetAmount]]-Table__192.168.3.138BEWLPPMetaData[[#This Row],[Paid]]</f>
        <v>12775</v>
      </c>
    </row>
    <row r="1203" spans="1:35" hidden="1">
      <c r="A1203" t="s">
        <v>10700</v>
      </c>
      <c r="B1203" s="1">
        <v>41293</v>
      </c>
      <c r="C1203" s="1">
        <v>41338</v>
      </c>
      <c r="D1203" t="s">
        <v>10400</v>
      </c>
      <c r="E1203">
        <v>15300</v>
      </c>
      <c r="F1203">
        <v>0</v>
      </c>
      <c r="G1203">
        <v>0</v>
      </c>
      <c r="H1203">
        <v>0</v>
      </c>
      <c r="I1203">
        <v>-25</v>
      </c>
      <c r="J1203">
        <v>15300</v>
      </c>
      <c r="K1203" t="s">
        <v>4692</v>
      </c>
      <c r="L1203" s="1">
        <v>41293</v>
      </c>
      <c r="N1203" t="s">
        <v>6694</v>
      </c>
      <c r="O1203" t="s">
        <v>3507</v>
      </c>
      <c r="P1203" t="s">
        <v>10401</v>
      </c>
      <c r="Q1203" t="s">
        <v>5285</v>
      </c>
      <c r="R1203" t="s">
        <v>5286</v>
      </c>
      <c r="S1203">
        <v>0</v>
      </c>
      <c r="U1203" t="s">
        <v>41</v>
      </c>
      <c r="V1203" t="s">
        <v>42</v>
      </c>
      <c r="X1203" t="s">
        <v>74</v>
      </c>
      <c r="Y1203" t="b">
        <v>0</v>
      </c>
      <c r="Z1203" t="b">
        <v>0</v>
      </c>
      <c r="AC1203" s="1"/>
      <c r="AF1203">
        <v>0</v>
      </c>
      <c r="AG1203">
        <v>45</v>
      </c>
      <c r="AH1203">
        <v>20</v>
      </c>
      <c r="AI1203" s="2">
        <f>Table__192.168.3.138BEWLPPMetaData[[#This Row],[NetAmount]]-Table__192.168.3.138BEWLPPMetaData[[#This Row],[Paid]]</f>
        <v>15300</v>
      </c>
    </row>
    <row r="1204" spans="1:35" hidden="1">
      <c r="A1204" t="s">
        <v>10701</v>
      </c>
      <c r="B1204" s="1">
        <v>41295</v>
      </c>
      <c r="C1204" s="1">
        <v>41340</v>
      </c>
      <c r="D1204" t="s">
        <v>8527</v>
      </c>
      <c r="E1204">
        <v>175500</v>
      </c>
      <c r="F1204">
        <v>28080</v>
      </c>
      <c r="G1204">
        <v>0</v>
      </c>
      <c r="H1204">
        <v>0</v>
      </c>
      <c r="I1204">
        <v>-27</v>
      </c>
      <c r="J1204">
        <v>203580</v>
      </c>
      <c r="K1204" t="s">
        <v>2449</v>
      </c>
      <c r="L1204" s="1">
        <v>41295</v>
      </c>
      <c r="N1204" t="s">
        <v>6694</v>
      </c>
      <c r="O1204" t="s">
        <v>3507</v>
      </c>
      <c r="P1204" t="s">
        <v>8528</v>
      </c>
      <c r="Q1204" t="s">
        <v>5285</v>
      </c>
      <c r="R1204" t="s">
        <v>5286</v>
      </c>
      <c r="S1204">
        <v>0</v>
      </c>
      <c r="U1204" t="s">
        <v>41</v>
      </c>
      <c r="V1204" t="s">
        <v>42</v>
      </c>
      <c r="X1204" t="s">
        <v>74</v>
      </c>
      <c r="Y1204" t="b">
        <v>0</v>
      </c>
      <c r="Z1204" t="b">
        <v>0</v>
      </c>
      <c r="AC1204" s="1"/>
      <c r="AF1204">
        <v>0</v>
      </c>
      <c r="AG1204">
        <v>45</v>
      </c>
      <c r="AH1204">
        <v>18</v>
      </c>
      <c r="AI1204" s="2">
        <f>Table__192.168.3.138BEWLPPMetaData[[#This Row],[NetAmount]]-Table__192.168.3.138BEWLPPMetaData[[#This Row],[Paid]]</f>
        <v>203580</v>
      </c>
    </row>
    <row r="1205" spans="1:35" hidden="1">
      <c r="A1205" t="s">
        <v>10702</v>
      </c>
      <c r="B1205" s="1">
        <v>41304</v>
      </c>
      <c r="C1205" s="1">
        <v>41349</v>
      </c>
      <c r="D1205" t="s">
        <v>8577</v>
      </c>
      <c r="E1205">
        <v>7200</v>
      </c>
      <c r="F1205">
        <v>0</v>
      </c>
      <c r="G1205">
        <v>0</v>
      </c>
      <c r="H1205">
        <v>0</v>
      </c>
      <c r="I1205">
        <v>-37</v>
      </c>
      <c r="J1205">
        <v>7200</v>
      </c>
      <c r="K1205" t="s">
        <v>10703</v>
      </c>
      <c r="L1205" s="1">
        <v>41305</v>
      </c>
      <c r="N1205" t="s">
        <v>6694</v>
      </c>
      <c r="O1205" t="s">
        <v>3507</v>
      </c>
      <c r="P1205" t="s">
        <v>8579</v>
      </c>
      <c r="Q1205" t="s">
        <v>5285</v>
      </c>
      <c r="R1205" t="s">
        <v>5286</v>
      </c>
      <c r="S1205">
        <v>0</v>
      </c>
      <c r="U1205" t="s">
        <v>41</v>
      </c>
      <c r="V1205" t="s">
        <v>42</v>
      </c>
      <c r="X1205" t="s">
        <v>74</v>
      </c>
      <c r="Y1205" t="b">
        <v>0</v>
      </c>
      <c r="Z1205" t="b">
        <v>0</v>
      </c>
      <c r="AC1205" s="1"/>
      <c r="AF1205">
        <v>0</v>
      </c>
      <c r="AG1205">
        <v>45</v>
      </c>
      <c r="AH1205">
        <v>8</v>
      </c>
      <c r="AI1205" s="2">
        <f>Table__192.168.3.138BEWLPPMetaData[[#This Row],[NetAmount]]-Table__192.168.3.138BEWLPPMetaData[[#This Row],[Paid]]</f>
        <v>7200</v>
      </c>
    </row>
    <row r="1206" spans="1:35" hidden="1">
      <c r="A1206" t="s">
        <v>10704</v>
      </c>
      <c r="B1206" s="1">
        <v>41302</v>
      </c>
      <c r="C1206" s="1">
        <v>41347</v>
      </c>
      <c r="D1206" t="s">
        <v>8577</v>
      </c>
      <c r="E1206">
        <v>3600</v>
      </c>
      <c r="F1206">
        <v>0</v>
      </c>
      <c r="G1206">
        <v>0</v>
      </c>
      <c r="H1206">
        <v>0</v>
      </c>
      <c r="I1206">
        <v>-34</v>
      </c>
      <c r="J1206">
        <v>3600</v>
      </c>
      <c r="K1206" t="s">
        <v>10705</v>
      </c>
      <c r="L1206" s="1">
        <v>41302</v>
      </c>
      <c r="N1206" t="s">
        <v>6694</v>
      </c>
      <c r="O1206" t="s">
        <v>3507</v>
      </c>
      <c r="P1206" t="s">
        <v>8579</v>
      </c>
      <c r="Q1206" t="s">
        <v>5285</v>
      </c>
      <c r="R1206" t="s">
        <v>5286</v>
      </c>
      <c r="S1206">
        <v>0</v>
      </c>
      <c r="U1206" t="s">
        <v>41</v>
      </c>
      <c r="V1206" t="s">
        <v>42</v>
      </c>
      <c r="X1206" t="s">
        <v>74</v>
      </c>
      <c r="Y1206" t="b">
        <v>0</v>
      </c>
      <c r="Z1206" t="b">
        <v>0</v>
      </c>
      <c r="AC1206" s="1"/>
      <c r="AF1206">
        <v>0</v>
      </c>
      <c r="AG1206">
        <v>45</v>
      </c>
      <c r="AH1206">
        <v>11</v>
      </c>
      <c r="AI1206" s="2">
        <f>Table__192.168.3.138BEWLPPMetaData[[#This Row],[NetAmount]]-Table__192.168.3.138BEWLPPMetaData[[#This Row],[Paid]]</f>
        <v>3600</v>
      </c>
    </row>
    <row r="1207" spans="1:35" hidden="1">
      <c r="A1207" t="s">
        <v>10706</v>
      </c>
      <c r="B1207" s="1">
        <v>41298</v>
      </c>
      <c r="C1207" s="1">
        <v>41343</v>
      </c>
      <c r="D1207" t="s">
        <v>8577</v>
      </c>
      <c r="E1207">
        <v>2400</v>
      </c>
      <c r="F1207">
        <v>0</v>
      </c>
      <c r="G1207">
        <v>0</v>
      </c>
      <c r="H1207">
        <v>0</v>
      </c>
      <c r="I1207">
        <v>-29</v>
      </c>
      <c r="J1207">
        <v>2400</v>
      </c>
      <c r="K1207" t="s">
        <v>4798</v>
      </c>
      <c r="L1207" s="1">
        <v>41297</v>
      </c>
      <c r="N1207" t="s">
        <v>6694</v>
      </c>
      <c r="O1207" t="s">
        <v>3507</v>
      </c>
      <c r="P1207" t="s">
        <v>8579</v>
      </c>
      <c r="Q1207" t="s">
        <v>5285</v>
      </c>
      <c r="R1207" t="s">
        <v>5286</v>
      </c>
      <c r="S1207">
        <v>0</v>
      </c>
      <c r="U1207" t="s">
        <v>41</v>
      </c>
      <c r="V1207" t="s">
        <v>42</v>
      </c>
      <c r="X1207" t="s">
        <v>74</v>
      </c>
      <c r="Y1207" t="b">
        <v>0</v>
      </c>
      <c r="Z1207" t="b">
        <v>0</v>
      </c>
      <c r="AC1207" s="1"/>
      <c r="AF1207">
        <v>0</v>
      </c>
      <c r="AG1207">
        <v>45</v>
      </c>
      <c r="AH1207">
        <v>16</v>
      </c>
      <c r="AI1207" s="2">
        <f>Table__192.168.3.138BEWLPPMetaData[[#This Row],[NetAmount]]-Table__192.168.3.138BEWLPPMetaData[[#This Row],[Paid]]</f>
        <v>2400</v>
      </c>
    </row>
    <row r="1208" spans="1:35" hidden="1">
      <c r="A1208" t="s">
        <v>10707</v>
      </c>
      <c r="B1208" s="1">
        <v>41293</v>
      </c>
      <c r="C1208" s="1">
        <v>41338</v>
      </c>
      <c r="D1208" t="s">
        <v>8577</v>
      </c>
      <c r="E1208">
        <v>2750</v>
      </c>
      <c r="F1208">
        <v>0</v>
      </c>
      <c r="G1208">
        <v>0</v>
      </c>
      <c r="H1208">
        <v>0</v>
      </c>
      <c r="I1208">
        <v>-18</v>
      </c>
      <c r="J1208">
        <v>2750</v>
      </c>
      <c r="K1208" t="s">
        <v>4577</v>
      </c>
      <c r="L1208" s="1">
        <v>41286</v>
      </c>
      <c r="N1208" t="s">
        <v>6694</v>
      </c>
      <c r="O1208" t="s">
        <v>3507</v>
      </c>
      <c r="P1208" t="s">
        <v>8579</v>
      </c>
      <c r="Q1208" t="s">
        <v>5285</v>
      </c>
      <c r="R1208" t="s">
        <v>5286</v>
      </c>
      <c r="S1208">
        <v>0</v>
      </c>
      <c r="U1208" t="s">
        <v>41</v>
      </c>
      <c r="V1208" t="s">
        <v>42</v>
      </c>
      <c r="X1208" t="s">
        <v>74</v>
      </c>
      <c r="Y1208" t="b">
        <v>0</v>
      </c>
      <c r="Z1208" t="b">
        <v>0</v>
      </c>
      <c r="AC1208" s="1"/>
      <c r="AF1208">
        <v>0</v>
      </c>
      <c r="AG1208">
        <v>45</v>
      </c>
      <c r="AH1208">
        <v>27</v>
      </c>
      <c r="AI1208" s="2">
        <f>Table__192.168.3.138BEWLPPMetaData[[#This Row],[NetAmount]]-Table__192.168.3.138BEWLPPMetaData[[#This Row],[Paid]]</f>
        <v>2750</v>
      </c>
    </row>
    <row r="1209" spans="1:35" hidden="1">
      <c r="A1209" t="s">
        <v>10708</v>
      </c>
      <c r="B1209" s="1">
        <v>41298</v>
      </c>
      <c r="C1209" s="1">
        <v>41343</v>
      </c>
      <c r="D1209" t="s">
        <v>8563</v>
      </c>
      <c r="E1209">
        <v>330000</v>
      </c>
      <c r="F1209">
        <v>52800</v>
      </c>
      <c r="G1209">
        <v>0</v>
      </c>
      <c r="H1209">
        <v>0</v>
      </c>
      <c r="I1209">
        <v>-27</v>
      </c>
      <c r="J1209">
        <v>382800</v>
      </c>
      <c r="K1209" t="s">
        <v>2867</v>
      </c>
      <c r="L1209" s="1">
        <v>41295</v>
      </c>
      <c r="N1209" t="s">
        <v>6694</v>
      </c>
      <c r="O1209" t="s">
        <v>3507</v>
      </c>
      <c r="P1209" t="s">
        <v>409</v>
      </c>
      <c r="Q1209" t="s">
        <v>5285</v>
      </c>
      <c r="R1209" t="s">
        <v>5286</v>
      </c>
      <c r="S1209">
        <v>0</v>
      </c>
      <c r="U1209" t="s">
        <v>41</v>
      </c>
      <c r="V1209" t="s">
        <v>42</v>
      </c>
      <c r="X1209" t="s">
        <v>74</v>
      </c>
      <c r="Y1209" t="b">
        <v>0</v>
      </c>
      <c r="Z1209" t="b">
        <v>0</v>
      </c>
      <c r="AC1209" s="1"/>
      <c r="AF1209">
        <v>0</v>
      </c>
      <c r="AG1209">
        <v>45</v>
      </c>
      <c r="AH1209">
        <v>18</v>
      </c>
      <c r="AI1209" s="2">
        <f>Table__192.168.3.138BEWLPPMetaData[[#This Row],[NetAmount]]-Table__192.168.3.138BEWLPPMetaData[[#This Row],[Paid]]</f>
        <v>382800</v>
      </c>
    </row>
    <row r="1210" spans="1:35" hidden="1">
      <c r="A1210" t="s">
        <v>10709</v>
      </c>
      <c r="B1210" s="1">
        <v>41302</v>
      </c>
      <c r="C1210" s="1">
        <v>41347</v>
      </c>
      <c r="D1210" t="s">
        <v>8538</v>
      </c>
      <c r="E1210">
        <v>6600</v>
      </c>
      <c r="F1210">
        <v>1056</v>
      </c>
      <c r="G1210">
        <v>0</v>
      </c>
      <c r="H1210">
        <v>0</v>
      </c>
      <c r="I1210">
        <v>-34</v>
      </c>
      <c r="J1210">
        <v>7656</v>
      </c>
      <c r="K1210" t="s">
        <v>8260</v>
      </c>
      <c r="L1210" s="1">
        <v>41302</v>
      </c>
      <c r="N1210" t="s">
        <v>6694</v>
      </c>
      <c r="O1210" t="s">
        <v>3507</v>
      </c>
      <c r="P1210" t="s">
        <v>310</v>
      </c>
      <c r="Q1210" t="s">
        <v>5285</v>
      </c>
      <c r="R1210" t="s">
        <v>5286</v>
      </c>
      <c r="S1210">
        <v>0</v>
      </c>
      <c r="U1210" t="s">
        <v>41</v>
      </c>
      <c r="V1210" t="s">
        <v>42</v>
      </c>
      <c r="X1210" t="s">
        <v>74</v>
      </c>
      <c r="Y1210" t="b">
        <v>0</v>
      </c>
      <c r="Z1210" t="b">
        <v>0</v>
      </c>
      <c r="AC1210" s="1"/>
      <c r="AF1210">
        <v>0</v>
      </c>
      <c r="AG1210">
        <v>45</v>
      </c>
      <c r="AH1210">
        <v>11</v>
      </c>
      <c r="AI1210" s="2">
        <f>Table__192.168.3.138BEWLPPMetaData[[#This Row],[NetAmount]]-Table__192.168.3.138BEWLPPMetaData[[#This Row],[Paid]]</f>
        <v>7656</v>
      </c>
    </row>
    <row r="1211" spans="1:35" hidden="1">
      <c r="A1211" t="s">
        <v>10710</v>
      </c>
      <c r="B1211" s="1">
        <v>41295</v>
      </c>
      <c r="C1211" s="1">
        <v>41295</v>
      </c>
      <c r="D1211" t="s">
        <v>10056</v>
      </c>
      <c r="E1211">
        <v>159900</v>
      </c>
      <c r="F1211">
        <v>25584</v>
      </c>
      <c r="G1211">
        <v>0</v>
      </c>
      <c r="H1211">
        <v>0</v>
      </c>
      <c r="I1211">
        <v>0</v>
      </c>
      <c r="J1211">
        <v>185484</v>
      </c>
      <c r="K1211" t="s">
        <v>37</v>
      </c>
      <c r="L1211" s="1">
        <v>41285</v>
      </c>
      <c r="N1211" t="s">
        <v>6694</v>
      </c>
      <c r="O1211" t="s">
        <v>3507</v>
      </c>
      <c r="P1211" t="s">
        <v>437</v>
      </c>
      <c r="Q1211" t="s">
        <v>5285</v>
      </c>
      <c r="R1211" t="s">
        <v>5286</v>
      </c>
      <c r="S1211">
        <v>0</v>
      </c>
      <c r="U1211" t="s">
        <v>41</v>
      </c>
      <c r="V1211" t="s">
        <v>42</v>
      </c>
      <c r="X1211" t="s">
        <v>74</v>
      </c>
      <c r="Y1211" t="b">
        <v>0</v>
      </c>
      <c r="Z1211" t="b">
        <v>0</v>
      </c>
      <c r="AC1211" s="1"/>
      <c r="AF1211">
        <v>0</v>
      </c>
      <c r="AH1211">
        <v>28</v>
      </c>
      <c r="AI1211" s="2">
        <f>Table__192.168.3.138BEWLPPMetaData[[#This Row],[NetAmount]]-Table__192.168.3.138BEWLPPMetaData[[#This Row],[Paid]]</f>
        <v>185484</v>
      </c>
    </row>
    <row r="1212" spans="1:35" hidden="1">
      <c r="A1212" t="s">
        <v>10711</v>
      </c>
      <c r="B1212" s="1">
        <v>41295</v>
      </c>
      <c r="C1212" s="1">
        <v>41295</v>
      </c>
      <c r="D1212" t="s">
        <v>10056</v>
      </c>
      <c r="E1212">
        <v>141965</v>
      </c>
      <c r="F1212">
        <v>22715</v>
      </c>
      <c r="G1212">
        <v>0</v>
      </c>
      <c r="H1212">
        <v>0</v>
      </c>
      <c r="I1212">
        <v>0</v>
      </c>
      <c r="J1212">
        <v>164680</v>
      </c>
      <c r="K1212" t="s">
        <v>2595</v>
      </c>
      <c r="L1212" s="1">
        <v>41285</v>
      </c>
      <c r="N1212" t="s">
        <v>6694</v>
      </c>
      <c r="O1212" t="s">
        <v>3507</v>
      </c>
      <c r="P1212" t="s">
        <v>437</v>
      </c>
      <c r="Q1212" t="s">
        <v>5285</v>
      </c>
      <c r="R1212" t="s">
        <v>5286</v>
      </c>
      <c r="S1212">
        <v>0</v>
      </c>
      <c r="U1212" t="s">
        <v>41</v>
      </c>
      <c r="V1212" t="s">
        <v>42</v>
      </c>
      <c r="X1212" t="s">
        <v>74</v>
      </c>
      <c r="Y1212" t="b">
        <v>0</v>
      </c>
      <c r="Z1212" t="b">
        <v>0</v>
      </c>
      <c r="AC1212" s="1"/>
      <c r="AF1212">
        <v>0</v>
      </c>
      <c r="AH1212">
        <v>28</v>
      </c>
      <c r="AI1212" s="2">
        <f>Table__192.168.3.138BEWLPPMetaData[[#This Row],[NetAmount]]-Table__192.168.3.138BEWLPPMetaData[[#This Row],[Paid]]</f>
        <v>164680</v>
      </c>
    </row>
    <row r="1213" spans="1:35" hidden="1">
      <c r="A1213" t="s">
        <v>10712</v>
      </c>
      <c r="B1213" s="1">
        <v>41303</v>
      </c>
      <c r="C1213" s="1">
        <v>41303</v>
      </c>
      <c r="D1213" t="s">
        <v>10056</v>
      </c>
      <c r="E1213">
        <v>79950</v>
      </c>
      <c r="F1213">
        <v>12792</v>
      </c>
      <c r="G1213">
        <v>0</v>
      </c>
      <c r="H1213">
        <v>0</v>
      </c>
      <c r="I1213">
        <v>0</v>
      </c>
      <c r="J1213">
        <v>92742</v>
      </c>
      <c r="K1213" t="s">
        <v>5985</v>
      </c>
      <c r="L1213" s="1">
        <v>41298</v>
      </c>
      <c r="N1213" t="s">
        <v>6694</v>
      </c>
      <c r="O1213" t="s">
        <v>3507</v>
      </c>
      <c r="P1213" t="s">
        <v>437</v>
      </c>
      <c r="Q1213" t="s">
        <v>5285</v>
      </c>
      <c r="R1213" t="s">
        <v>5286</v>
      </c>
      <c r="S1213">
        <v>0</v>
      </c>
      <c r="U1213" t="s">
        <v>41</v>
      </c>
      <c r="V1213" t="s">
        <v>42</v>
      </c>
      <c r="X1213" t="s">
        <v>74</v>
      </c>
      <c r="Y1213" t="b">
        <v>0</v>
      </c>
      <c r="Z1213" t="b">
        <v>0</v>
      </c>
      <c r="AC1213" s="1"/>
      <c r="AF1213">
        <v>0</v>
      </c>
      <c r="AH1213">
        <v>15</v>
      </c>
      <c r="AI1213" s="2">
        <f>Table__192.168.3.138BEWLPPMetaData[[#This Row],[NetAmount]]-Table__192.168.3.138BEWLPPMetaData[[#This Row],[Paid]]</f>
        <v>92742</v>
      </c>
    </row>
    <row r="1214" spans="1:35" hidden="1">
      <c r="A1214" t="s">
        <v>10713</v>
      </c>
      <c r="B1214" s="1">
        <v>41303</v>
      </c>
      <c r="C1214" s="1">
        <v>41303</v>
      </c>
      <c r="D1214" t="s">
        <v>10056</v>
      </c>
      <c r="E1214">
        <v>113747</v>
      </c>
      <c r="F1214">
        <v>18200</v>
      </c>
      <c r="G1214">
        <v>0</v>
      </c>
      <c r="H1214">
        <v>0</v>
      </c>
      <c r="I1214">
        <v>0</v>
      </c>
      <c r="J1214">
        <v>131947</v>
      </c>
      <c r="K1214" t="s">
        <v>7231</v>
      </c>
      <c r="L1214" s="1">
        <v>41297</v>
      </c>
      <c r="N1214" t="s">
        <v>6694</v>
      </c>
      <c r="O1214" t="s">
        <v>3507</v>
      </c>
      <c r="P1214" t="s">
        <v>437</v>
      </c>
      <c r="Q1214" t="s">
        <v>5285</v>
      </c>
      <c r="R1214" t="s">
        <v>5286</v>
      </c>
      <c r="S1214">
        <v>0</v>
      </c>
      <c r="U1214" t="s">
        <v>41</v>
      </c>
      <c r="V1214" t="s">
        <v>42</v>
      </c>
      <c r="X1214" t="s">
        <v>74</v>
      </c>
      <c r="Y1214" t="b">
        <v>0</v>
      </c>
      <c r="Z1214" t="b">
        <v>0</v>
      </c>
      <c r="AC1214" s="1"/>
      <c r="AF1214">
        <v>0</v>
      </c>
      <c r="AH1214">
        <v>16</v>
      </c>
      <c r="AI1214" s="2">
        <f>Table__192.168.3.138BEWLPPMetaData[[#This Row],[NetAmount]]-Table__192.168.3.138BEWLPPMetaData[[#This Row],[Paid]]</f>
        <v>131947</v>
      </c>
    </row>
    <row r="1215" spans="1:35" hidden="1">
      <c r="A1215" t="s">
        <v>10714</v>
      </c>
      <c r="B1215" s="1">
        <v>41303</v>
      </c>
      <c r="C1215" s="1">
        <v>41348</v>
      </c>
      <c r="D1215" t="s">
        <v>10715</v>
      </c>
      <c r="E1215">
        <v>42208</v>
      </c>
      <c r="F1215">
        <v>6753</v>
      </c>
      <c r="G1215">
        <v>0</v>
      </c>
      <c r="H1215">
        <v>0</v>
      </c>
      <c r="I1215">
        <v>-36</v>
      </c>
      <c r="J1215">
        <v>48961</v>
      </c>
      <c r="K1215" t="s">
        <v>5302</v>
      </c>
      <c r="L1215" s="1">
        <v>41304</v>
      </c>
      <c r="N1215" t="s">
        <v>6694</v>
      </c>
      <c r="O1215" t="s">
        <v>3507</v>
      </c>
      <c r="P1215" t="s">
        <v>10716</v>
      </c>
      <c r="Q1215" t="s">
        <v>5285</v>
      </c>
      <c r="R1215" t="s">
        <v>5286</v>
      </c>
      <c r="S1215">
        <v>0</v>
      </c>
      <c r="U1215" t="s">
        <v>41</v>
      </c>
      <c r="V1215" t="s">
        <v>42</v>
      </c>
      <c r="X1215" t="s">
        <v>74</v>
      </c>
      <c r="Y1215" t="b">
        <v>0</v>
      </c>
      <c r="Z1215" t="b">
        <v>0</v>
      </c>
      <c r="AC1215" s="1"/>
      <c r="AF1215">
        <v>0</v>
      </c>
      <c r="AG1215">
        <v>45</v>
      </c>
      <c r="AH1215">
        <v>9</v>
      </c>
      <c r="AI1215" s="2">
        <f>Table__192.168.3.138BEWLPPMetaData[[#This Row],[NetAmount]]-Table__192.168.3.138BEWLPPMetaData[[#This Row],[Paid]]</f>
        <v>48961</v>
      </c>
    </row>
    <row r="1216" spans="1:35" hidden="1">
      <c r="A1216" t="s">
        <v>10717</v>
      </c>
      <c r="B1216" s="1">
        <v>41303</v>
      </c>
      <c r="C1216" s="1">
        <v>41348</v>
      </c>
      <c r="D1216" t="s">
        <v>10715</v>
      </c>
      <c r="E1216">
        <v>14900</v>
      </c>
      <c r="F1216">
        <v>2384</v>
      </c>
      <c r="G1216">
        <v>0</v>
      </c>
      <c r="H1216">
        <v>0</v>
      </c>
      <c r="I1216">
        <v>-35</v>
      </c>
      <c r="J1216">
        <v>17284</v>
      </c>
      <c r="K1216" t="s">
        <v>8143</v>
      </c>
      <c r="L1216" s="1">
        <v>41303</v>
      </c>
      <c r="N1216" t="s">
        <v>6694</v>
      </c>
      <c r="O1216" t="s">
        <v>3507</v>
      </c>
      <c r="P1216" t="s">
        <v>10716</v>
      </c>
      <c r="Q1216" t="s">
        <v>5285</v>
      </c>
      <c r="R1216" t="s">
        <v>5286</v>
      </c>
      <c r="S1216">
        <v>0</v>
      </c>
      <c r="U1216" t="s">
        <v>41</v>
      </c>
      <c r="V1216" t="s">
        <v>42</v>
      </c>
      <c r="X1216" t="s">
        <v>74</v>
      </c>
      <c r="Y1216" t="b">
        <v>0</v>
      </c>
      <c r="Z1216" t="b">
        <v>0</v>
      </c>
      <c r="AC1216" s="1"/>
      <c r="AF1216">
        <v>0</v>
      </c>
      <c r="AG1216">
        <v>45</v>
      </c>
      <c r="AH1216">
        <v>10</v>
      </c>
      <c r="AI1216" s="2">
        <f>Table__192.168.3.138BEWLPPMetaData[[#This Row],[NetAmount]]-Table__192.168.3.138BEWLPPMetaData[[#This Row],[Paid]]</f>
        <v>17284</v>
      </c>
    </row>
    <row r="1217" spans="1:35" hidden="1">
      <c r="A1217" t="s">
        <v>10718</v>
      </c>
      <c r="B1217" s="1">
        <v>41296</v>
      </c>
      <c r="C1217" s="1">
        <v>41341</v>
      </c>
      <c r="D1217" t="s">
        <v>10715</v>
      </c>
      <c r="E1217">
        <v>8159</v>
      </c>
      <c r="F1217">
        <v>1305</v>
      </c>
      <c r="G1217">
        <v>0</v>
      </c>
      <c r="H1217">
        <v>0</v>
      </c>
      <c r="I1217">
        <v>-29</v>
      </c>
      <c r="J1217">
        <v>9464</v>
      </c>
      <c r="K1217" t="s">
        <v>1064</v>
      </c>
      <c r="L1217" s="1">
        <v>41297</v>
      </c>
      <c r="N1217" t="s">
        <v>6694</v>
      </c>
      <c r="O1217" t="s">
        <v>3507</v>
      </c>
      <c r="P1217" t="s">
        <v>10716</v>
      </c>
      <c r="Q1217" t="s">
        <v>5285</v>
      </c>
      <c r="R1217" t="s">
        <v>5286</v>
      </c>
      <c r="S1217">
        <v>0</v>
      </c>
      <c r="U1217" t="s">
        <v>41</v>
      </c>
      <c r="V1217" t="s">
        <v>42</v>
      </c>
      <c r="X1217" t="s">
        <v>74</v>
      </c>
      <c r="Y1217" t="b">
        <v>0</v>
      </c>
      <c r="Z1217" t="b">
        <v>0</v>
      </c>
      <c r="AC1217" s="1"/>
      <c r="AF1217">
        <v>0</v>
      </c>
      <c r="AG1217">
        <v>45</v>
      </c>
      <c r="AH1217">
        <v>16</v>
      </c>
      <c r="AI1217" s="2">
        <f>Table__192.168.3.138BEWLPPMetaData[[#This Row],[NetAmount]]-Table__192.168.3.138BEWLPPMetaData[[#This Row],[Paid]]</f>
        <v>9464</v>
      </c>
    </row>
    <row r="1218" spans="1:35" hidden="1">
      <c r="A1218" t="s">
        <v>10719</v>
      </c>
      <c r="B1218" s="1">
        <v>41296</v>
      </c>
      <c r="C1218" s="1">
        <v>41341</v>
      </c>
      <c r="D1218" t="s">
        <v>10715</v>
      </c>
      <c r="E1218">
        <v>20280</v>
      </c>
      <c r="F1218">
        <v>3245</v>
      </c>
      <c r="G1218">
        <v>0</v>
      </c>
      <c r="H1218">
        <v>0</v>
      </c>
      <c r="I1218">
        <v>-29</v>
      </c>
      <c r="J1218">
        <v>23525</v>
      </c>
      <c r="K1218" t="s">
        <v>8049</v>
      </c>
      <c r="L1218" s="1">
        <v>41297</v>
      </c>
      <c r="N1218" t="s">
        <v>6694</v>
      </c>
      <c r="O1218" t="s">
        <v>3507</v>
      </c>
      <c r="P1218" t="s">
        <v>10716</v>
      </c>
      <c r="Q1218" t="s">
        <v>5285</v>
      </c>
      <c r="R1218" t="s">
        <v>5286</v>
      </c>
      <c r="S1218">
        <v>0</v>
      </c>
      <c r="U1218" t="s">
        <v>41</v>
      </c>
      <c r="V1218" t="s">
        <v>42</v>
      </c>
      <c r="X1218" t="s">
        <v>74</v>
      </c>
      <c r="Y1218" t="b">
        <v>0</v>
      </c>
      <c r="Z1218" t="b">
        <v>0</v>
      </c>
      <c r="AC1218" s="1"/>
      <c r="AF1218">
        <v>0</v>
      </c>
      <c r="AG1218">
        <v>45</v>
      </c>
      <c r="AH1218">
        <v>16</v>
      </c>
      <c r="AI1218" s="2">
        <f>Table__192.168.3.138BEWLPPMetaData[[#This Row],[NetAmount]]-Table__192.168.3.138BEWLPPMetaData[[#This Row],[Paid]]</f>
        <v>23525</v>
      </c>
    </row>
    <row r="1219" spans="1:35" hidden="1">
      <c r="A1219" t="s">
        <v>10720</v>
      </c>
      <c r="B1219" s="1">
        <v>41295</v>
      </c>
      <c r="C1219" s="1">
        <v>41340</v>
      </c>
      <c r="D1219" t="s">
        <v>10715</v>
      </c>
      <c r="E1219">
        <v>20280</v>
      </c>
      <c r="F1219">
        <v>3245</v>
      </c>
      <c r="G1219">
        <v>0</v>
      </c>
      <c r="H1219">
        <v>0</v>
      </c>
      <c r="I1219">
        <v>-28</v>
      </c>
      <c r="J1219">
        <v>23525</v>
      </c>
      <c r="K1219" t="s">
        <v>10721</v>
      </c>
      <c r="L1219" s="1">
        <v>41296</v>
      </c>
      <c r="N1219" t="s">
        <v>6694</v>
      </c>
      <c r="O1219" t="s">
        <v>3507</v>
      </c>
      <c r="P1219" t="s">
        <v>10716</v>
      </c>
      <c r="Q1219" t="s">
        <v>5285</v>
      </c>
      <c r="R1219" t="s">
        <v>5286</v>
      </c>
      <c r="S1219">
        <v>0</v>
      </c>
      <c r="U1219" t="s">
        <v>41</v>
      </c>
      <c r="V1219" t="s">
        <v>42</v>
      </c>
      <c r="X1219" t="s">
        <v>74</v>
      </c>
      <c r="Y1219" t="b">
        <v>0</v>
      </c>
      <c r="Z1219" t="b">
        <v>0</v>
      </c>
      <c r="AC1219" s="1"/>
      <c r="AF1219">
        <v>0</v>
      </c>
      <c r="AG1219">
        <v>45</v>
      </c>
      <c r="AH1219">
        <v>17</v>
      </c>
      <c r="AI1219" s="2">
        <f>Table__192.168.3.138BEWLPPMetaData[[#This Row],[NetAmount]]-Table__192.168.3.138BEWLPPMetaData[[#This Row],[Paid]]</f>
        <v>23525</v>
      </c>
    </row>
    <row r="1220" spans="1:35" hidden="1">
      <c r="A1220" t="s">
        <v>10722</v>
      </c>
      <c r="B1220" s="1">
        <v>41304</v>
      </c>
      <c r="C1220" s="1">
        <v>41304</v>
      </c>
      <c r="D1220" t="s">
        <v>10723</v>
      </c>
      <c r="E1220">
        <v>104000</v>
      </c>
      <c r="F1220">
        <v>0</v>
      </c>
      <c r="G1220">
        <v>0</v>
      </c>
      <c r="H1220">
        <v>0</v>
      </c>
      <c r="I1220">
        <v>0</v>
      </c>
      <c r="J1220">
        <v>104000</v>
      </c>
      <c r="K1220" t="s">
        <v>2376</v>
      </c>
      <c r="L1220" s="1">
        <v>41304</v>
      </c>
      <c r="M1220" t="s">
        <v>10724</v>
      </c>
      <c r="N1220" t="s">
        <v>6694</v>
      </c>
      <c r="O1220" t="s">
        <v>3507</v>
      </c>
      <c r="P1220" t="s">
        <v>10725</v>
      </c>
      <c r="Q1220" t="s">
        <v>39</v>
      </c>
      <c r="R1220" t="s">
        <v>40</v>
      </c>
      <c r="S1220">
        <v>0</v>
      </c>
      <c r="U1220" t="s">
        <v>41</v>
      </c>
      <c r="V1220" t="s">
        <v>42</v>
      </c>
      <c r="W1220" t="s">
        <v>10726</v>
      </c>
      <c r="X1220" t="s">
        <v>74</v>
      </c>
      <c r="Y1220" t="b">
        <v>0</v>
      </c>
      <c r="Z1220" t="b">
        <v>0</v>
      </c>
      <c r="AA1220" t="b">
        <v>0</v>
      </c>
      <c r="AC1220" s="1"/>
      <c r="AF1220">
        <v>0</v>
      </c>
      <c r="AH1220">
        <v>9</v>
      </c>
      <c r="AI1220" s="2">
        <f>Table__192.168.3.138BEWLPPMetaData[[#This Row],[NetAmount]]-Table__192.168.3.138BEWLPPMetaData[[#This Row],[Paid]]</f>
        <v>104000</v>
      </c>
    </row>
    <row r="1221" spans="1:35" hidden="1">
      <c r="A1221" t="s">
        <v>10727</v>
      </c>
      <c r="B1221" s="1">
        <v>41293</v>
      </c>
      <c r="C1221" s="1">
        <v>41338</v>
      </c>
      <c r="D1221" t="s">
        <v>8598</v>
      </c>
      <c r="E1221">
        <v>9960</v>
      </c>
      <c r="F1221">
        <v>1594</v>
      </c>
      <c r="G1221">
        <v>0</v>
      </c>
      <c r="H1221">
        <v>0</v>
      </c>
      <c r="I1221">
        <v>-23</v>
      </c>
      <c r="J1221">
        <v>11554</v>
      </c>
      <c r="K1221" t="s">
        <v>7274</v>
      </c>
      <c r="L1221" s="1">
        <v>41291</v>
      </c>
      <c r="N1221" t="s">
        <v>6694</v>
      </c>
      <c r="O1221" t="s">
        <v>3507</v>
      </c>
      <c r="P1221" t="s">
        <v>369</v>
      </c>
      <c r="Q1221" t="s">
        <v>5285</v>
      </c>
      <c r="R1221" t="s">
        <v>5286</v>
      </c>
      <c r="S1221">
        <v>0</v>
      </c>
      <c r="U1221" t="s">
        <v>41</v>
      </c>
      <c r="V1221" t="s">
        <v>42</v>
      </c>
      <c r="X1221" t="s">
        <v>74</v>
      </c>
      <c r="Y1221" t="b">
        <v>0</v>
      </c>
      <c r="Z1221" t="b">
        <v>0</v>
      </c>
      <c r="AC1221" s="1"/>
      <c r="AF1221">
        <v>0</v>
      </c>
      <c r="AG1221">
        <v>45</v>
      </c>
      <c r="AH1221">
        <v>22</v>
      </c>
      <c r="AI1221" s="2">
        <f>Table__192.168.3.138BEWLPPMetaData[[#This Row],[NetAmount]]-Table__192.168.3.138BEWLPPMetaData[[#This Row],[Paid]]</f>
        <v>11554</v>
      </c>
    </row>
    <row r="1222" spans="1:35" hidden="1">
      <c r="A1222" t="s">
        <v>10728</v>
      </c>
      <c r="B1222" s="1">
        <v>41279</v>
      </c>
      <c r="C1222" s="1">
        <v>41324</v>
      </c>
      <c r="D1222" t="s">
        <v>8598</v>
      </c>
      <c r="E1222">
        <v>7636</v>
      </c>
      <c r="F1222">
        <v>1222</v>
      </c>
      <c r="G1222">
        <v>0</v>
      </c>
      <c r="H1222">
        <v>0</v>
      </c>
      <c r="I1222">
        <v>-10</v>
      </c>
      <c r="J1222">
        <v>8858</v>
      </c>
      <c r="K1222" t="s">
        <v>6682</v>
      </c>
      <c r="L1222" s="1">
        <v>41278</v>
      </c>
      <c r="N1222" t="s">
        <v>6694</v>
      </c>
      <c r="O1222" t="s">
        <v>3507</v>
      </c>
      <c r="P1222" t="s">
        <v>369</v>
      </c>
      <c r="Q1222" t="s">
        <v>5285</v>
      </c>
      <c r="R1222" t="s">
        <v>5286</v>
      </c>
      <c r="S1222">
        <v>0</v>
      </c>
      <c r="U1222" t="s">
        <v>41</v>
      </c>
      <c r="V1222" t="s">
        <v>42</v>
      </c>
      <c r="X1222" t="s">
        <v>74</v>
      </c>
      <c r="Y1222" t="b">
        <v>0</v>
      </c>
      <c r="Z1222" t="b">
        <v>0</v>
      </c>
      <c r="AC1222" s="1"/>
      <c r="AF1222">
        <v>0</v>
      </c>
      <c r="AG1222">
        <v>45</v>
      </c>
      <c r="AH1222">
        <v>35</v>
      </c>
      <c r="AI1222" s="2">
        <f>Table__192.168.3.138BEWLPPMetaData[[#This Row],[NetAmount]]-Table__192.168.3.138BEWLPPMetaData[[#This Row],[Paid]]</f>
        <v>8858</v>
      </c>
    </row>
    <row r="1223" spans="1:35" hidden="1">
      <c r="A1223" t="s">
        <v>10729</v>
      </c>
      <c r="B1223" s="1">
        <v>41302</v>
      </c>
      <c r="C1223" s="1">
        <v>41347</v>
      </c>
      <c r="D1223" t="s">
        <v>8598</v>
      </c>
      <c r="E1223">
        <v>31296</v>
      </c>
      <c r="F1223">
        <v>5008</v>
      </c>
      <c r="G1223">
        <v>0</v>
      </c>
      <c r="H1223">
        <v>0</v>
      </c>
      <c r="I1223">
        <v>-34</v>
      </c>
      <c r="J1223">
        <v>36304</v>
      </c>
      <c r="K1223" t="s">
        <v>7284</v>
      </c>
      <c r="L1223" s="1">
        <v>41302</v>
      </c>
      <c r="N1223" t="s">
        <v>6694</v>
      </c>
      <c r="O1223" t="s">
        <v>3507</v>
      </c>
      <c r="P1223" t="s">
        <v>369</v>
      </c>
      <c r="Q1223" t="s">
        <v>5285</v>
      </c>
      <c r="R1223" t="s">
        <v>5286</v>
      </c>
      <c r="S1223">
        <v>0</v>
      </c>
      <c r="U1223" t="s">
        <v>41</v>
      </c>
      <c r="V1223" t="s">
        <v>42</v>
      </c>
      <c r="X1223" t="s">
        <v>74</v>
      </c>
      <c r="Y1223" t="b">
        <v>0</v>
      </c>
      <c r="Z1223" t="b">
        <v>0</v>
      </c>
      <c r="AC1223" s="1"/>
      <c r="AF1223">
        <v>0</v>
      </c>
      <c r="AG1223">
        <v>45</v>
      </c>
      <c r="AH1223">
        <v>11</v>
      </c>
      <c r="AI1223" s="2">
        <f>Table__192.168.3.138BEWLPPMetaData[[#This Row],[NetAmount]]-Table__192.168.3.138BEWLPPMetaData[[#This Row],[Paid]]</f>
        <v>36304</v>
      </c>
    </row>
    <row r="1224" spans="1:35" hidden="1">
      <c r="A1224" t="s">
        <v>10730</v>
      </c>
      <c r="B1224" s="1">
        <v>41304</v>
      </c>
      <c r="C1224" s="1">
        <v>41349</v>
      </c>
      <c r="D1224" t="s">
        <v>8577</v>
      </c>
      <c r="E1224">
        <v>902</v>
      </c>
      <c r="F1224">
        <v>0</v>
      </c>
      <c r="G1224">
        <v>0</v>
      </c>
      <c r="H1224">
        <v>0</v>
      </c>
      <c r="I1224">
        <v>-36</v>
      </c>
      <c r="J1224">
        <v>902</v>
      </c>
      <c r="K1224" t="s">
        <v>10731</v>
      </c>
      <c r="L1224" s="1">
        <v>41304</v>
      </c>
      <c r="N1224" t="s">
        <v>6694</v>
      </c>
      <c r="O1224" t="s">
        <v>3507</v>
      </c>
      <c r="P1224" t="s">
        <v>8579</v>
      </c>
      <c r="Q1224" t="s">
        <v>5285</v>
      </c>
      <c r="R1224" t="s">
        <v>5286</v>
      </c>
      <c r="S1224">
        <v>0</v>
      </c>
      <c r="U1224" t="s">
        <v>41</v>
      </c>
      <c r="V1224" t="s">
        <v>42</v>
      </c>
      <c r="X1224" t="s">
        <v>74</v>
      </c>
      <c r="Y1224" t="b">
        <v>0</v>
      </c>
      <c r="Z1224" t="b">
        <v>0</v>
      </c>
      <c r="AC1224" s="1"/>
      <c r="AF1224">
        <v>0</v>
      </c>
      <c r="AG1224">
        <v>45</v>
      </c>
      <c r="AH1224">
        <v>9</v>
      </c>
      <c r="AI1224" s="2">
        <f>Table__192.168.3.138BEWLPPMetaData[[#This Row],[NetAmount]]-Table__192.168.3.138BEWLPPMetaData[[#This Row],[Paid]]</f>
        <v>902</v>
      </c>
    </row>
    <row r="1225" spans="1:35" hidden="1">
      <c r="A1225" t="s">
        <v>10732</v>
      </c>
      <c r="B1225" s="1">
        <v>41305</v>
      </c>
      <c r="C1225" s="1">
        <v>41350</v>
      </c>
      <c r="D1225" t="s">
        <v>8577</v>
      </c>
      <c r="E1225">
        <v>3068</v>
      </c>
      <c r="F1225">
        <v>0</v>
      </c>
      <c r="G1225">
        <v>0</v>
      </c>
      <c r="H1225">
        <v>0</v>
      </c>
      <c r="I1225">
        <v>-37</v>
      </c>
      <c r="J1225">
        <v>3068</v>
      </c>
      <c r="K1225" t="s">
        <v>10733</v>
      </c>
      <c r="L1225" s="1">
        <v>41305</v>
      </c>
      <c r="N1225" t="s">
        <v>6694</v>
      </c>
      <c r="O1225" t="s">
        <v>3507</v>
      </c>
      <c r="P1225" t="s">
        <v>8579</v>
      </c>
      <c r="Q1225" t="s">
        <v>5285</v>
      </c>
      <c r="R1225" t="s">
        <v>5286</v>
      </c>
      <c r="S1225">
        <v>0</v>
      </c>
      <c r="U1225" t="s">
        <v>41</v>
      </c>
      <c r="V1225" t="s">
        <v>42</v>
      </c>
      <c r="X1225" t="s">
        <v>74</v>
      </c>
      <c r="Y1225" t="b">
        <v>0</v>
      </c>
      <c r="Z1225" t="b">
        <v>0</v>
      </c>
      <c r="AC1225" s="1"/>
      <c r="AF1225">
        <v>0</v>
      </c>
      <c r="AG1225">
        <v>45</v>
      </c>
      <c r="AH1225">
        <v>8</v>
      </c>
      <c r="AI1225" s="2">
        <f>Table__192.168.3.138BEWLPPMetaData[[#This Row],[NetAmount]]-Table__192.168.3.138BEWLPPMetaData[[#This Row],[Paid]]</f>
        <v>3068</v>
      </c>
    </row>
    <row r="1226" spans="1:35" hidden="1">
      <c r="A1226" t="s">
        <v>10734</v>
      </c>
      <c r="B1226" s="1">
        <v>41297</v>
      </c>
      <c r="C1226" s="1">
        <v>41297</v>
      </c>
      <c r="D1226" t="s">
        <v>10723</v>
      </c>
      <c r="E1226">
        <v>48750</v>
      </c>
      <c r="F1226">
        <v>0</v>
      </c>
      <c r="G1226">
        <v>0</v>
      </c>
      <c r="H1226">
        <v>0</v>
      </c>
      <c r="I1226">
        <v>0</v>
      </c>
      <c r="J1226">
        <v>48750</v>
      </c>
      <c r="K1226" t="s">
        <v>10735</v>
      </c>
      <c r="L1226" s="1">
        <v>41296</v>
      </c>
      <c r="M1226" t="s">
        <v>10736</v>
      </c>
      <c r="N1226" t="s">
        <v>6694</v>
      </c>
      <c r="O1226" t="s">
        <v>3507</v>
      </c>
      <c r="P1226" t="s">
        <v>10725</v>
      </c>
      <c r="Q1226" t="s">
        <v>39</v>
      </c>
      <c r="R1226" t="s">
        <v>40</v>
      </c>
      <c r="S1226">
        <v>0</v>
      </c>
      <c r="U1226" t="s">
        <v>41</v>
      </c>
      <c r="V1226" t="s">
        <v>42</v>
      </c>
      <c r="W1226" t="s">
        <v>10737</v>
      </c>
      <c r="X1226" t="s">
        <v>74</v>
      </c>
      <c r="Y1226" t="b">
        <v>0</v>
      </c>
      <c r="Z1226" t="b">
        <v>0</v>
      </c>
      <c r="AA1226" t="b">
        <v>0</v>
      </c>
      <c r="AC1226" s="1"/>
      <c r="AF1226">
        <v>0</v>
      </c>
      <c r="AH1226">
        <v>17</v>
      </c>
      <c r="AI1226" s="2">
        <f>Table__192.168.3.138BEWLPPMetaData[[#This Row],[NetAmount]]-Table__192.168.3.138BEWLPPMetaData[[#This Row],[Paid]]</f>
        <v>48750</v>
      </c>
    </row>
    <row r="1227" spans="1:35" hidden="1">
      <c r="A1227" t="s">
        <v>10738</v>
      </c>
      <c r="B1227" s="1">
        <v>41297</v>
      </c>
      <c r="C1227" s="1">
        <v>41342</v>
      </c>
      <c r="D1227" t="s">
        <v>8538</v>
      </c>
      <c r="E1227">
        <v>13200</v>
      </c>
      <c r="F1227">
        <v>2112</v>
      </c>
      <c r="G1227">
        <v>0</v>
      </c>
      <c r="H1227">
        <v>0</v>
      </c>
      <c r="I1227">
        <v>-29</v>
      </c>
      <c r="J1227">
        <v>15312</v>
      </c>
      <c r="K1227" t="s">
        <v>10739</v>
      </c>
      <c r="L1227" s="1">
        <v>41297</v>
      </c>
      <c r="N1227" t="s">
        <v>6694</v>
      </c>
      <c r="O1227" t="s">
        <v>3507</v>
      </c>
      <c r="P1227" t="s">
        <v>310</v>
      </c>
      <c r="Q1227" t="s">
        <v>5285</v>
      </c>
      <c r="R1227" t="s">
        <v>5286</v>
      </c>
      <c r="S1227">
        <v>0</v>
      </c>
      <c r="U1227" t="s">
        <v>41</v>
      </c>
      <c r="V1227" t="s">
        <v>42</v>
      </c>
      <c r="X1227" t="s">
        <v>74</v>
      </c>
      <c r="Y1227" t="b">
        <v>0</v>
      </c>
      <c r="Z1227" t="b">
        <v>0</v>
      </c>
      <c r="AC1227" s="1"/>
      <c r="AF1227">
        <v>0</v>
      </c>
      <c r="AG1227">
        <v>45</v>
      </c>
      <c r="AH1227">
        <v>16</v>
      </c>
      <c r="AI1227" s="2">
        <f>Table__192.168.3.138BEWLPPMetaData[[#This Row],[NetAmount]]-Table__192.168.3.138BEWLPPMetaData[[#This Row],[Paid]]</f>
        <v>15312</v>
      </c>
    </row>
    <row r="1228" spans="1:35" hidden="1">
      <c r="A1228" t="s">
        <v>10740</v>
      </c>
      <c r="B1228" s="1">
        <v>41295</v>
      </c>
      <c r="C1228" s="1">
        <v>41340</v>
      </c>
      <c r="D1228" t="s">
        <v>8538</v>
      </c>
      <c r="E1228">
        <v>347760</v>
      </c>
      <c r="F1228">
        <v>55642</v>
      </c>
      <c r="G1228">
        <v>0</v>
      </c>
      <c r="H1228">
        <v>0</v>
      </c>
      <c r="I1228">
        <v>-27</v>
      </c>
      <c r="J1228">
        <v>403402</v>
      </c>
      <c r="K1228" t="s">
        <v>10741</v>
      </c>
      <c r="L1228" s="1">
        <v>41295</v>
      </c>
      <c r="N1228" t="s">
        <v>6694</v>
      </c>
      <c r="O1228" t="s">
        <v>3507</v>
      </c>
      <c r="P1228" t="s">
        <v>310</v>
      </c>
      <c r="Q1228" t="s">
        <v>5285</v>
      </c>
      <c r="R1228" t="s">
        <v>5286</v>
      </c>
      <c r="S1228">
        <v>0</v>
      </c>
      <c r="U1228" t="s">
        <v>41</v>
      </c>
      <c r="V1228" t="s">
        <v>42</v>
      </c>
      <c r="X1228" t="s">
        <v>74</v>
      </c>
      <c r="Y1228" t="b">
        <v>0</v>
      </c>
      <c r="Z1228" t="b">
        <v>0</v>
      </c>
      <c r="AC1228" s="1"/>
      <c r="AF1228">
        <v>0</v>
      </c>
      <c r="AG1228">
        <v>45</v>
      </c>
      <c r="AH1228">
        <v>18</v>
      </c>
      <c r="AI1228" s="2">
        <f>Table__192.168.3.138BEWLPPMetaData[[#This Row],[NetAmount]]-Table__192.168.3.138BEWLPPMetaData[[#This Row],[Paid]]</f>
        <v>403402</v>
      </c>
    </row>
    <row r="1229" spans="1:35" hidden="1">
      <c r="A1229" t="s">
        <v>10742</v>
      </c>
      <c r="B1229" s="1">
        <v>41303</v>
      </c>
      <c r="C1229" s="1">
        <v>41348</v>
      </c>
      <c r="D1229" t="s">
        <v>8570</v>
      </c>
      <c r="E1229">
        <v>84000</v>
      </c>
      <c r="F1229">
        <v>13440</v>
      </c>
      <c r="G1229">
        <v>0</v>
      </c>
      <c r="H1229">
        <v>0</v>
      </c>
      <c r="I1229">
        <v>-30</v>
      </c>
      <c r="J1229">
        <v>97440</v>
      </c>
      <c r="K1229" t="s">
        <v>1771</v>
      </c>
      <c r="L1229" s="1">
        <v>41298</v>
      </c>
      <c r="N1229" t="s">
        <v>6694</v>
      </c>
      <c r="O1229" t="s">
        <v>3507</v>
      </c>
      <c r="P1229" t="s">
        <v>8571</v>
      </c>
      <c r="Q1229" t="s">
        <v>5285</v>
      </c>
      <c r="R1229" t="s">
        <v>5286</v>
      </c>
      <c r="S1229">
        <v>0</v>
      </c>
      <c r="U1229" t="s">
        <v>41</v>
      </c>
      <c r="V1229" t="s">
        <v>42</v>
      </c>
      <c r="X1229" t="s">
        <v>74</v>
      </c>
      <c r="Y1229" t="b">
        <v>0</v>
      </c>
      <c r="Z1229" t="b">
        <v>0</v>
      </c>
      <c r="AC1229" s="1"/>
      <c r="AF1229">
        <v>0</v>
      </c>
      <c r="AG1229">
        <v>45</v>
      </c>
      <c r="AH1229">
        <v>15</v>
      </c>
      <c r="AI1229" s="2">
        <f>Table__192.168.3.138BEWLPPMetaData[[#This Row],[NetAmount]]-Table__192.168.3.138BEWLPPMetaData[[#This Row],[Paid]]</f>
        <v>97440</v>
      </c>
    </row>
    <row r="1230" spans="1:35" hidden="1">
      <c r="A1230" t="s">
        <v>10743</v>
      </c>
      <c r="B1230" s="1">
        <v>41303</v>
      </c>
      <c r="C1230" s="1">
        <v>41348</v>
      </c>
      <c r="D1230" t="s">
        <v>9908</v>
      </c>
      <c r="E1230">
        <v>80089</v>
      </c>
      <c r="F1230">
        <v>12814</v>
      </c>
      <c r="G1230">
        <v>0</v>
      </c>
      <c r="H1230">
        <v>0</v>
      </c>
      <c r="I1230">
        <v>-35</v>
      </c>
      <c r="J1230">
        <v>92903</v>
      </c>
      <c r="K1230" t="s">
        <v>7688</v>
      </c>
      <c r="L1230" s="1">
        <v>41303</v>
      </c>
      <c r="N1230" t="s">
        <v>6694</v>
      </c>
      <c r="O1230" t="s">
        <v>3507</v>
      </c>
      <c r="P1230" t="s">
        <v>426</v>
      </c>
      <c r="Q1230" t="s">
        <v>5285</v>
      </c>
      <c r="R1230" t="s">
        <v>5286</v>
      </c>
      <c r="S1230">
        <v>0</v>
      </c>
      <c r="U1230" t="s">
        <v>41</v>
      </c>
      <c r="V1230" t="s">
        <v>42</v>
      </c>
      <c r="X1230" t="s">
        <v>74</v>
      </c>
      <c r="Y1230" t="b">
        <v>0</v>
      </c>
      <c r="Z1230" t="b">
        <v>0</v>
      </c>
      <c r="AC1230" s="1"/>
      <c r="AF1230">
        <v>0</v>
      </c>
      <c r="AG1230">
        <v>45</v>
      </c>
      <c r="AH1230">
        <v>10</v>
      </c>
      <c r="AI1230" s="2">
        <f>Table__192.168.3.138BEWLPPMetaData[[#This Row],[NetAmount]]-Table__192.168.3.138BEWLPPMetaData[[#This Row],[Paid]]</f>
        <v>92903</v>
      </c>
    </row>
    <row r="1231" spans="1:35" hidden="1">
      <c r="A1231" t="s">
        <v>10744</v>
      </c>
      <c r="B1231" s="1">
        <v>41305</v>
      </c>
      <c r="C1231" s="1">
        <v>41305</v>
      </c>
      <c r="D1231" t="s">
        <v>10675</v>
      </c>
      <c r="E1231">
        <v>38</v>
      </c>
      <c r="F1231">
        <v>6</v>
      </c>
      <c r="G1231">
        <v>0</v>
      </c>
      <c r="H1231">
        <v>0</v>
      </c>
      <c r="I1231">
        <v>0</v>
      </c>
      <c r="J1231">
        <v>44</v>
      </c>
      <c r="K1231" t="s">
        <v>10181</v>
      </c>
      <c r="L1231" s="1">
        <v>41290</v>
      </c>
      <c r="N1231" t="s">
        <v>6694</v>
      </c>
      <c r="O1231" t="s">
        <v>3507</v>
      </c>
      <c r="P1231" t="s">
        <v>427</v>
      </c>
      <c r="Q1231" t="s">
        <v>5285</v>
      </c>
      <c r="R1231" t="s">
        <v>5286</v>
      </c>
      <c r="S1231">
        <v>0</v>
      </c>
      <c r="U1231" t="s">
        <v>41</v>
      </c>
      <c r="V1231" t="s">
        <v>42</v>
      </c>
      <c r="X1231" t="s">
        <v>74</v>
      </c>
      <c r="Y1231" t="b">
        <v>0</v>
      </c>
      <c r="Z1231" t="b">
        <v>0</v>
      </c>
      <c r="AC1231" s="1"/>
      <c r="AF1231">
        <v>0</v>
      </c>
      <c r="AH1231">
        <v>23</v>
      </c>
      <c r="AI1231" s="2">
        <f>Table__192.168.3.138BEWLPPMetaData[[#This Row],[NetAmount]]-Table__192.168.3.138BEWLPPMetaData[[#This Row],[Paid]]</f>
        <v>44</v>
      </c>
    </row>
    <row r="1232" spans="1:35" hidden="1">
      <c r="A1232" t="s">
        <v>10745</v>
      </c>
      <c r="B1232" s="1">
        <v>41305</v>
      </c>
      <c r="C1232" s="1">
        <v>41350</v>
      </c>
      <c r="D1232" t="s">
        <v>10715</v>
      </c>
      <c r="E1232">
        <v>61313</v>
      </c>
      <c r="F1232">
        <v>9810</v>
      </c>
      <c r="G1232">
        <v>0</v>
      </c>
      <c r="H1232">
        <v>0</v>
      </c>
      <c r="I1232">
        <v>-37</v>
      </c>
      <c r="J1232">
        <v>71123</v>
      </c>
      <c r="K1232" t="s">
        <v>8245</v>
      </c>
      <c r="L1232" s="1">
        <v>41305</v>
      </c>
      <c r="N1232" t="s">
        <v>6694</v>
      </c>
      <c r="O1232" t="s">
        <v>3507</v>
      </c>
      <c r="P1232" t="s">
        <v>10716</v>
      </c>
      <c r="Q1232" t="s">
        <v>5285</v>
      </c>
      <c r="R1232" t="s">
        <v>5286</v>
      </c>
      <c r="S1232">
        <v>0</v>
      </c>
      <c r="U1232" t="s">
        <v>41</v>
      </c>
      <c r="V1232" t="s">
        <v>42</v>
      </c>
      <c r="X1232" t="s">
        <v>74</v>
      </c>
      <c r="Y1232" t="b">
        <v>0</v>
      </c>
      <c r="Z1232" t="b">
        <v>0</v>
      </c>
      <c r="AC1232" s="1"/>
      <c r="AF1232">
        <v>0</v>
      </c>
      <c r="AG1232">
        <v>45</v>
      </c>
      <c r="AH1232">
        <v>8</v>
      </c>
      <c r="AI1232" s="2">
        <f>Table__192.168.3.138BEWLPPMetaData[[#This Row],[NetAmount]]-Table__192.168.3.138BEWLPPMetaData[[#This Row],[Paid]]</f>
        <v>71123</v>
      </c>
    </row>
    <row r="1233" spans="1:35" hidden="1">
      <c r="A1233" t="s">
        <v>10746</v>
      </c>
      <c r="B1233" s="1">
        <v>41290</v>
      </c>
      <c r="C1233" s="1">
        <v>41335</v>
      </c>
      <c r="D1233" t="s">
        <v>10715</v>
      </c>
      <c r="E1233">
        <v>32300</v>
      </c>
      <c r="F1233">
        <v>5168</v>
      </c>
      <c r="G1233">
        <v>0</v>
      </c>
      <c r="H1233">
        <v>0</v>
      </c>
      <c r="I1233">
        <v>-23</v>
      </c>
      <c r="J1233">
        <v>37468</v>
      </c>
      <c r="K1233" t="s">
        <v>10747</v>
      </c>
      <c r="L1233" s="1">
        <v>41291</v>
      </c>
      <c r="N1233" t="s">
        <v>6694</v>
      </c>
      <c r="O1233" t="s">
        <v>3507</v>
      </c>
      <c r="P1233" t="s">
        <v>10716</v>
      </c>
      <c r="Q1233" t="s">
        <v>5285</v>
      </c>
      <c r="R1233" t="s">
        <v>5286</v>
      </c>
      <c r="S1233">
        <v>0</v>
      </c>
      <c r="U1233" t="s">
        <v>41</v>
      </c>
      <c r="V1233" t="s">
        <v>42</v>
      </c>
      <c r="X1233" t="s">
        <v>74</v>
      </c>
      <c r="Y1233" t="b">
        <v>0</v>
      </c>
      <c r="Z1233" t="b">
        <v>0</v>
      </c>
      <c r="AC1233" s="1"/>
      <c r="AF1233">
        <v>0</v>
      </c>
      <c r="AG1233">
        <v>45</v>
      </c>
      <c r="AH1233">
        <v>22</v>
      </c>
      <c r="AI1233" s="2">
        <f>Table__192.168.3.138BEWLPPMetaData[[#This Row],[NetAmount]]-Table__192.168.3.138BEWLPPMetaData[[#This Row],[Paid]]</f>
        <v>37468</v>
      </c>
    </row>
    <row r="1234" spans="1:35" hidden="1">
      <c r="A1234" t="s">
        <v>10748</v>
      </c>
      <c r="B1234" s="1">
        <v>41284</v>
      </c>
      <c r="C1234" s="1">
        <v>41329</v>
      </c>
      <c r="D1234" t="s">
        <v>10715</v>
      </c>
      <c r="E1234">
        <v>49618</v>
      </c>
      <c r="F1234">
        <v>7939</v>
      </c>
      <c r="G1234">
        <v>0</v>
      </c>
      <c r="H1234">
        <v>0</v>
      </c>
      <c r="I1234">
        <v>-17</v>
      </c>
      <c r="J1234">
        <v>57557</v>
      </c>
      <c r="K1234" t="s">
        <v>6033</v>
      </c>
      <c r="L1234" s="1">
        <v>41285</v>
      </c>
      <c r="N1234" t="s">
        <v>6694</v>
      </c>
      <c r="O1234" t="s">
        <v>3507</v>
      </c>
      <c r="P1234" t="s">
        <v>10716</v>
      </c>
      <c r="Q1234" t="s">
        <v>5285</v>
      </c>
      <c r="R1234" t="s">
        <v>5286</v>
      </c>
      <c r="S1234">
        <v>0</v>
      </c>
      <c r="U1234" t="s">
        <v>41</v>
      </c>
      <c r="V1234" t="s">
        <v>42</v>
      </c>
      <c r="X1234" t="s">
        <v>74</v>
      </c>
      <c r="Y1234" t="b">
        <v>0</v>
      </c>
      <c r="Z1234" t="b">
        <v>0</v>
      </c>
      <c r="AC1234" s="1"/>
      <c r="AF1234">
        <v>0</v>
      </c>
      <c r="AG1234">
        <v>45</v>
      </c>
      <c r="AH1234">
        <v>28</v>
      </c>
      <c r="AI1234" s="2">
        <f>Table__192.168.3.138BEWLPPMetaData[[#This Row],[NetAmount]]-Table__192.168.3.138BEWLPPMetaData[[#This Row],[Paid]]</f>
        <v>57557</v>
      </c>
    </row>
    <row r="1235" spans="1:35" hidden="1">
      <c r="A1235" t="s">
        <v>10749</v>
      </c>
      <c r="B1235" s="1">
        <v>41268</v>
      </c>
      <c r="C1235" s="1">
        <v>41268</v>
      </c>
      <c r="D1235" t="s">
        <v>10570</v>
      </c>
      <c r="E1235">
        <v>23000</v>
      </c>
      <c r="F1235">
        <v>3680</v>
      </c>
      <c r="G1235">
        <v>0</v>
      </c>
      <c r="H1235">
        <v>0</v>
      </c>
      <c r="I1235">
        <v>0</v>
      </c>
      <c r="J1235">
        <v>26680</v>
      </c>
      <c r="K1235" t="s">
        <v>107</v>
      </c>
      <c r="L1235" s="1">
        <v>41274</v>
      </c>
      <c r="N1235" t="s">
        <v>6694</v>
      </c>
      <c r="O1235" t="s">
        <v>3507</v>
      </c>
      <c r="P1235" t="s">
        <v>435</v>
      </c>
      <c r="Q1235" t="s">
        <v>39</v>
      </c>
      <c r="R1235" t="s">
        <v>40</v>
      </c>
      <c r="S1235">
        <v>0</v>
      </c>
      <c r="U1235" t="s">
        <v>41</v>
      </c>
      <c r="V1235" t="s">
        <v>42</v>
      </c>
      <c r="X1235" t="s">
        <v>74</v>
      </c>
      <c r="Y1235" t="b">
        <v>0</v>
      </c>
      <c r="Z1235" t="b">
        <v>0</v>
      </c>
      <c r="AC1235" s="1"/>
      <c r="AF1235">
        <v>0</v>
      </c>
      <c r="AH1235">
        <v>39</v>
      </c>
      <c r="AI1235" s="2">
        <f>Table__192.168.3.138BEWLPPMetaData[[#This Row],[NetAmount]]-Table__192.168.3.138BEWLPPMetaData[[#This Row],[Paid]]</f>
        <v>26680</v>
      </c>
    </row>
    <row r="1236" spans="1:35">
      <c r="A1236" t="s">
        <v>10750</v>
      </c>
      <c r="B1236" s="1">
        <v>41279</v>
      </c>
      <c r="C1236" s="1">
        <v>41324</v>
      </c>
      <c r="D1236" t="s">
        <v>10715</v>
      </c>
      <c r="E1236">
        <v>49022</v>
      </c>
      <c r="F1236">
        <v>7844</v>
      </c>
      <c r="G1236">
        <v>0</v>
      </c>
      <c r="H1236">
        <v>0</v>
      </c>
      <c r="I1236">
        <v>-15</v>
      </c>
      <c r="J1236">
        <v>56866</v>
      </c>
      <c r="K1236" t="s">
        <v>2633</v>
      </c>
      <c r="L1236" s="1">
        <v>41283</v>
      </c>
      <c r="N1236" t="s">
        <v>6694</v>
      </c>
      <c r="O1236" t="s">
        <v>3507</v>
      </c>
      <c r="P1236" t="s">
        <v>10716</v>
      </c>
      <c r="Q1236" t="s">
        <v>5285</v>
      </c>
      <c r="R1236" t="s">
        <v>5286</v>
      </c>
      <c r="S1236">
        <v>0</v>
      </c>
      <c r="U1236" t="s">
        <v>41</v>
      </c>
      <c r="V1236" t="s">
        <v>42</v>
      </c>
      <c r="X1236" t="s">
        <v>74</v>
      </c>
      <c r="Y1236" t="b">
        <v>0</v>
      </c>
      <c r="Z1236" t="b">
        <v>0</v>
      </c>
      <c r="AC1236" s="1"/>
      <c r="AF1236">
        <v>0</v>
      </c>
      <c r="AG1236">
        <v>45</v>
      </c>
      <c r="AH1236">
        <v>30</v>
      </c>
      <c r="AI1236" s="2">
        <f>Table__192.168.3.138BEWLPPMetaData[[#This Row],[NetAmount]]-Table__192.168.3.138BEWLPPMetaData[[#This Row],[Paid]]</f>
        <v>56866</v>
      </c>
    </row>
    <row r="1237" spans="1:35">
      <c r="A1237" t="s">
        <v>10751</v>
      </c>
      <c r="B1237" s="1">
        <v>41305</v>
      </c>
      <c r="C1237" s="1">
        <v>41350</v>
      </c>
      <c r="D1237" t="s">
        <v>8538</v>
      </c>
      <c r="E1237">
        <v>399000</v>
      </c>
      <c r="F1237">
        <v>63840</v>
      </c>
      <c r="G1237">
        <v>0</v>
      </c>
      <c r="H1237">
        <v>0</v>
      </c>
      <c r="I1237">
        <v>-37</v>
      </c>
      <c r="J1237">
        <v>462840</v>
      </c>
      <c r="K1237" t="s">
        <v>10752</v>
      </c>
      <c r="L1237" s="1">
        <v>41305</v>
      </c>
      <c r="N1237" t="s">
        <v>6694</v>
      </c>
      <c r="O1237" t="s">
        <v>3507</v>
      </c>
      <c r="P1237" t="s">
        <v>310</v>
      </c>
      <c r="Q1237" t="s">
        <v>5285</v>
      </c>
      <c r="R1237" t="s">
        <v>5286</v>
      </c>
      <c r="S1237">
        <v>0</v>
      </c>
      <c r="U1237" t="s">
        <v>41</v>
      </c>
      <c r="V1237" t="s">
        <v>42</v>
      </c>
      <c r="X1237" t="s">
        <v>74</v>
      </c>
      <c r="Y1237" t="b">
        <v>0</v>
      </c>
      <c r="Z1237" t="b">
        <v>0</v>
      </c>
      <c r="AC1237" s="1"/>
      <c r="AF1237">
        <v>0</v>
      </c>
      <c r="AG1237">
        <v>45</v>
      </c>
      <c r="AH1237">
        <v>8</v>
      </c>
      <c r="AI1237" s="2">
        <f>Table__192.168.3.138BEWLPPMetaData[[#This Row],[NetAmount]]-Table__192.168.3.138BEWLPPMetaData[[#This Row],[Paid]]</f>
        <v>462840</v>
      </c>
    </row>
    <row r="1238" spans="1:35">
      <c r="A1238" t="s">
        <v>10753</v>
      </c>
      <c r="B1238" s="1">
        <v>41305</v>
      </c>
      <c r="C1238" s="1">
        <v>41350</v>
      </c>
      <c r="D1238" t="s">
        <v>8538</v>
      </c>
      <c r="E1238">
        <v>51480</v>
      </c>
      <c r="F1238">
        <v>8237</v>
      </c>
      <c r="G1238">
        <v>0</v>
      </c>
      <c r="H1238">
        <v>0</v>
      </c>
      <c r="I1238">
        <v>-37</v>
      </c>
      <c r="J1238">
        <v>59717</v>
      </c>
      <c r="K1238" t="s">
        <v>10754</v>
      </c>
      <c r="L1238" s="1">
        <v>41305</v>
      </c>
      <c r="N1238" t="s">
        <v>6694</v>
      </c>
      <c r="O1238" t="s">
        <v>3507</v>
      </c>
      <c r="P1238" t="s">
        <v>310</v>
      </c>
      <c r="Q1238" t="s">
        <v>5285</v>
      </c>
      <c r="R1238" t="s">
        <v>5286</v>
      </c>
      <c r="S1238">
        <v>0</v>
      </c>
      <c r="U1238" t="s">
        <v>41</v>
      </c>
      <c r="V1238" t="s">
        <v>42</v>
      </c>
      <c r="X1238" t="s">
        <v>74</v>
      </c>
      <c r="Y1238" t="b">
        <v>0</v>
      </c>
      <c r="Z1238" t="b">
        <v>0</v>
      </c>
      <c r="AC1238" s="1"/>
      <c r="AF1238">
        <v>0</v>
      </c>
      <c r="AG1238">
        <v>45</v>
      </c>
      <c r="AH1238">
        <v>8</v>
      </c>
      <c r="AI1238" s="2">
        <f>Table__192.168.3.138BEWLPPMetaData[[#This Row],[NetAmount]]-Table__192.168.3.138BEWLPPMetaData[[#This Row],[Paid]]</f>
        <v>59717</v>
      </c>
    </row>
    <row r="1239" spans="1:35">
      <c r="A1239" t="s">
        <v>10755</v>
      </c>
      <c r="B1239" s="1">
        <v>41300</v>
      </c>
      <c r="C1239" s="1">
        <v>41345</v>
      </c>
      <c r="D1239" t="s">
        <v>10394</v>
      </c>
      <c r="E1239">
        <v>28000</v>
      </c>
      <c r="F1239">
        <v>4480</v>
      </c>
      <c r="G1239">
        <v>0</v>
      </c>
      <c r="H1239">
        <v>0</v>
      </c>
      <c r="I1239">
        <v>-30</v>
      </c>
      <c r="J1239">
        <v>32480</v>
      </c>
      <c r="K1239" t="s">
        <v>10756</v>
      </c>
      <c r="L1239" s="1">
        <v>41298</v>
      </c>
      <c r="N1239" t="s">
        <v>6694</v>
      </c>
      <c r="O1239" t="s">
        <v>3507</v>
      </c>
      <c r="P1239" t="s">
        <v>361</v>
      </c>
      <c r="Q1239" t="s">
        <v>5285</v>
      </c>
      <c r="R1239" t="s">
        <v>5286</v>
      </c>
      <c r="S1239">
        <v>0</v>
      </c>
      <c r="U1239" t="s">
        <v>41</v>
      </c>
      <c r="V1239" t="s">
        <v>42</v>
      </c>
      <c r="X1239" t="s">
        <v>74</v>
      </c>
      <c r="Y1239" t="b">
        <v>0</v>
      </c>
      <c r="Z1239" t="b">
        <v>0</v>
      </c>
      <c r="AC1239" s="1"/>
      <c r="AF1239">
        <v>0</v>
      </c>
      <c r="AG1239">
        <v>45</v>
      </c>
      <c r="AH1239">
        <v>15</v>
      </c>
      <c r="AI1239" s="2">
        <f>Table__192.168.3.138BEWLPPMetaData[[#This Row],[NetAmount]]-Table__192.168.3.138BEWLPPMetaData[[#This Row],[Paid]]</f>
        <v>32480</v>
      </c>
    </row>
  </sheetData>
  <hyperlinks>
    <hyperlink ref="AK1" location="INDEXP" display="Back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9"/>
  <dimension ref="A1:K74"/>
  <sheetViews>
    <sheetView workbookViewId="0"/>
  </sheetViews>
  <sheetFormatPr defaultRowHeight="12"/>
  <cols>
    <col min="1" max="1" width="12.5703125" style="4" bestFit="1" customWidth="1"/>
    <col min="2" max="2" width="52.5703125" style="4" bestFit="1" customWidth="1"/>
    <col min="3" max="3" width="11.85546875" style="4" bestFit="1" customWidth="1"/>
    <col min="4" max="4" width="10.140625" style="4" customWidth="1"/>
    <col min="5" max="5" width="11.85546875" style="4" bestFit="1" customWidth="1"/>
    <col min="6" max="6" width="12.7109375" style="4" bestFit="1" customWidth="1"/>
    <col min="7" max="9" width="13.5703125" style="4" bestFit="1" customWidth="1"/>
    <col min="10" max="10" width="14.42578125" style="4" bestFit="1" customWidth="1"/>
    <col min="11" max="11" width="10.85546875" style="4" customWidth="1"/>
    <col min="12" max="16384" width="9.140625" style="4"/>
  </cols>
  <sheetData>
    <row r="1" spans="1:11" ht="24" thickBot="1">
      <c r="A1" s="13" t="s">
        <v>10761</v>
      </c>
      <c r="B1" s="18" t="s">
        <v>8520</v>
      </c>
      <c r="C1" s="20"/>
      <c r="D1" s="18"/>
      <c r="E1" s="18"/>
      <c r="F1" s="17" t="s">
        <v>6121</v>
      </c>
      <c r="G1" s="17"/>
      <c r="H1" s="17"/>
      <c r="I1" s="17"/>
      <c r="J1" s="17"/>
      <c r="K1" s="17"/>
    </row>
    <row r="2" spans="1:11" ht="12.75" thickTop="1">
      <c r="A2" s="4" t="s">
        <v>3</v>
      </c>
      <c r="B2" s="4" t="s">
        <v>15</v>
      </c>
      <c r="C2" s="3" t="s">
        <v>163</v>
      </c>
      <c r="D2" s="3" t="s">
        <v>31</v>
      </c>
      <c r="E2" s="3" t="s">
        <v>440</v>
      </c>
      <c r="F2" s="3" t="s">
        <v>5328</v>
      </c>
      <c r="G2" s="3" t="s">
        <v>5327</v>
      </c>
      <c r="H2" s="3" t="s">
        <v>5326</v>
      </c>
      <c r="I2" s="3" t="s">
        <v>5330</v>
      </c>
      <c r="J2" s="3" t="s">
        <v>5329</v>
      </c>
      <c r="K2" s="3" t="s">
        <v>164</v>
      </c>
    </row>
    <row r="3" spans="1:11">
      <c r="A3" s="4" t="s">
        <v>8640</v>
      </c>
      <c r="B3" s="4" t="s">
        <v>323</v>
      </c>
      <c r="C3" s="6">
        <f>SUMIF(SupListBEWLPP,Table_AgingReportBEWLPP[[#This Row],[SupplierID]],NetAmountBEWLPP)</f>
        <v>124894</v>
      </c>
      <c r="D3" s="6">
        <f>SUMIF(SupListBEWLPP,Table_AgingReportBEWLPP[[#This Row],[SupplierID]],PaidBEWLPP)</f>
        <v>0</v>
      </c>
      <c r="E3" s="6">
        <f>Table_AgingReportBEWLPP[[#This Row],[Net Amount]]-Table_AgingReportBEWLPP[[#This Row],[Paid]]</f>
        <v>124894</v>
      </c>
      <c r="F3" s="6">
        <f>SUMIFS(NetB3BEWLPP,SupListBEWLPP,Table_AgingReportBEWLPP[[#This Row],[SupplierID]],DLBEWLPP,"&gt;=1",DLBEWLPP,"&lt;=30")</f>
        <v>0</v>
      </c>
      <c r="G3" s="6">
        <f>SUMIFS(NetB3BEWLPP,SupListBEWLPP,Table_AgingReportBEWLPP[[#This Row],[SupplierID]],DLBEWLPP,"&gt;=31",DLBEWLPP,"&lt;=45")</f>
        <v>0</v>
      </c>
      <c r="H3" s="6">
        <f>SUMIFS(NetB3BEWLPP,SupListBEWLPP,Table_AgingReportBEWLPP[[#This Row],[SupplierID]],DLBEWLPP,"&gt;=46",DLBEWLPP,"&lt;=60")</f>
        <v>0</v>
      </c>
      <c r="I3" s="6">
        <f>SUMIFS(NetB3BEWLPP,SupListBEWLPP,Table_AgingReportBEWLPP[[#This Row],[SupplierID]],DLBEWLPP,"&gt;=61",DLBEWLPP,"&lt;=90")</f>
        <v>0</v>
      </c>
      <c r="J3" s="6">
        <f>SUMIFS(NetB3BEWLPP,SupListBEWLPP,Table_AgingReportBEWLPP[[#This Row],[SupplierID]],DLBEWLPP,"&gt;=91",DLBEWLPP,"&lt;=120")</f>
        <v>0</v>
      </c>
      <c r="K3" s="6">
        <f>SUMIFS(NetB3BEWLPP,SupListBEWLPP,Table_AgingReportBEWLPP[[#This Row],[SupplierID]],DLBEWLPP,"&gt;120")</f>
        <v>125126</v>
      </c>
    </row>
    <row r="4" spans="1:11">
      <c r="A4" s="4" t="s">
        <v>8820</v>
      </c>
      <c r="B4" s="4" t="s">
        <v>8822</v>
      </c>
      <c r="C4" s="6">
        <f>SUMIF(SupListBEWLPP,Table_AgingReportBEWLPP[[#This Row],[SupplierID]],NetAmountBEWLPP)</f>
        <v>875</v>
      </c>
      <c r="D4" s="6">
        <f>SUMIF(SupListBEWLPP,Table_AgingReportBEWLPP[[#This Row],[SupplierID]],PaidBEWLPP)</f>
        <v>0</v>
      </c>
      <c r="E4" s="6">
        <f>Table_AgingReportBEWLPP[[#This Row],[Net Amount]]-Table_AgingReportBEWLPP[[#This Row],[Paid]]</f>
        <v>875</v>
      </c>
      <c r="F4" s="6">
        <f>SUMIFS(NetB3BEWLPP,SupListBEWLPP,Table_AgingReportBEWLPP[[#This Row],[SupplierID]],DLBEWLPP,"&gt;=1",DLBEWLPP,"&lt;=30")</f>
        <v>0</v>
      </c>
      <c r="G4" s="6">
        <f>SUMIFS(NetB3BEWLPP,SupListBEWLPP,Table_AgingReportBEWLPP[[#This Row],[SupplierID]],DLBEWLPP,"&gt;=31",DLBEWLPP,"&lt;=45")</f>
        <v>0</v>
      </c>
      <c r="H4" s="6">
        <f>SUMIFS(NetB3BEWLPP,SupListBEWLPP,Table_AgingReportBEWLPP[[#This Row],[SupplierID]],DLBEWLPP,"&gt;=46",DLBEWLPP,"&lt;=60")</f>
        <v>0</v>
      </c>
      <c r="I4" s="6">
        <f>SUMIFS(NetB3BEWLPP,SupListBEWLPP,Table_AgingReportBEWLPP[[#This Row],[SupplierID]],DLBEWLPP,"&gt;=61",DLBEWLPP,"&lt;=90")</f>
        <v>0</v>
      </c>
      <c r="J4" s="6">
        <f>SUMIFS(NetB3BEWLPP,SupListBEWLPP,Table_AgingReportBEWLPP[[#This Row],[SupplierID]],DLBEWLPP,"&gt;=91",DLBEWLPP,"&lt;=120")</f>
        <v>0</v>
      </c>
      <c r="K4" s="6">
        <f>SUMIFS(NetB3BEWLPP,SupListBEWLPP,Table_AgingReportBEWLPP[[#This Row],[SupplierID]],DLBEWLPP,"&gt;120")</f>
        <v>875</v>
      </c>
    </row>
    <row r="5" spans="1:11">
      <c r="A5" s="4" t="s">
        <v>8538</v>
      </c>
      <c r="B5" s="4" t="s">
        <v>310</v>
      </c>
      <c r="C5" s="6">
        <f>SUMIF(SupListBEWLPP,Table_AgingReportBEWLPP[[#This Row],[SupplierID]],NetAmountBEWLPP)</f>
        <v>5064012</v>
      </c>
      <c r="D5" s="6">
        <f>SUMIF(SupListBEWLPP,Table_AgingReportBEWLPP[[#This Row],[SupplierID]],PaidBEWLPP)</f>
        <v>423662</v>
      </c>
      <c r="E5" s="6">
        <f>Table_AgingReportBEWLPP[[#This Row],[Net Amount]]-Table_AgingReportBEWLPP[[#This Row],[Paid]]</f>
        <v>4640350</v>
      </c>
      <c r="F5" s="6">
        <f>SUMIFS(NetB3BEWLPP,SupListBEWLPP,Table_AgingReportBEWLPP[[#This Row],[SupplierID]],DLBEWLPP,"&gt;=1",DLBEWLPP,"&lt;=30")</f>
        <v>1457669</v>
      </c>
      <c r="G5" s="6">
        <f>SUMIFS(NetB3BEWLPP,SupListBEWLPP,Table_AgingReportBEWLPP[[#This Row],[SupplierID]],DLBEWLPP,"&gt;=31",DLBEWLPP,"&lt;=45")</f>
        <v>575604</v>
      </c>
      <c r="H5" s="6">
        <f>SUMIFS(NetB3BEWLPP,SupListBEWLPP,Table_AgingReportBEWLPP[[#This Row],[SupplierID]],DLBEWLPP,"&gt;=46",DLBEWLPP,"&lt;=60")</f>
        <v>488882</v>
      </c>
      <c r="I5" s="6">
        <f>SUMIFS(NetB3BEWLPP,SupListBEWLPP,Table_AgingReportBEWLPP[[#This Row],[SupplierID]],DLBEWLPP,"&gt;=61",DLBEWLPP,"&lt;=90")</f>
        <v>521171</v>
      </c>
      <c r="J5" s="6">
        <f>SUMIFS(NetB3BEWLPP,SupListBEWLPP,Table_AgingReportBEWLPP[[#This Row],[SupplierID]],DLBEWLPP,"&gt;=91",DLBEWLPP,"&lt;=120")</f>
        <v>334277</v>
      </c>
      <c r="K5" s="6">
        <f>SUMIFS(NetB3BEWLPP,SupListBEWLPP,Table_AgingReportBEWLPP[[#This Row],[SupplierID]],DLBEWLPP,"&gt;120")</f>
        <v>1265059</v>
      </c>
    </row>
    <row r="6" spans="1:11">
      <c r="A6" s="4" t="s">
        <v>10394</v>
      </c>
      <c r="B6" s="4" t="s">
        <v>361</v>
      </c>
      <c r="C6" s="6">
        <f>SUMIF(SupListBEWLPP,Table_AgingReportBEWLPP[[#This Row],[SupplierID]],NetAmountBEWLPP)</f>
        <v>116391</v>
      </c>
      <c r="D6" s="6">
        <f>SUMIF(SupListBEWLPP,Table_AgingReportBEWLPP[[#This Row],[SupplierID]],PaidBEWLPP)</f>
        <v>0</v>
      </c>
      <c r="E6" s="6">
        <f>Table_AgingReportBEWLPP[[#This Row],[Net Amount]]-Table_AgingReportBEWLPP[[#This Row],[Paid]]</f>
        <v>116391</v>
      </c>
      <c r="F6" s="6">
        <f>SUMIFS(NetB3BEWLPP,SupListBEWLPP,Table_AgingReportBEWLPP[[#This Row],[SupplierID]],DLBEWLPP,"&gt;=1",DLBEWLPP,"&lt;=30")</f>
        <v>32480</v>
      </c>
      <c r="G6" s="6">
        <f>SUMIFS(NetB3BEWLPP,SupListBEWLPP,Table_AgingReportBEWLPP[[#This Row],[SupplierID]],DLBEWLPP,"&gt;=31",DLBEWLPP,"&lt;=45")</f>
        <v>49369</v>
      </c>
      <c r="H6" s="6">
        <f>SUMIFS(NetB3BEWLPP,SupListBEWLPP,Table_AgingReportBEWLPP[[#This Row],[SupplierID]],DLBEWLPP,"&gt;=46",DLBEWLPP,"&lt;=60")</f>
        <v>0</v>
      </c>
      <c r="I6" s="6">
        <f>SUMIFS(NetB3BEWLPP,SupListBEWLPP,Table_AgingReportBEWLPP[[#This Row],[SupplierID]],DLBEWLPP,"&gt;=61",DLBEWLPP,"&lt;=90")</f>
        <v>12131</v>
      </c>
      <c r="J6" s="6">
        <f>SUMIFS(NetB3BEWLPP,SupListBEWLPP,Table_AgingReportBEWLPP[[#This Row],[SupplierID]],DLBEWLPP,"&gt;=91",DLBEWLPP,"&lt;=120")</f>
        <v>0</v>
      </c>
      <c r="K6" s="6">
        <f>SUMIFS(NetB3BEWLPP,SupListBEWLPP,Table_AgingReportBEWLPP[[#This Row],[SupplierID]],DLBEWLPP,"&gt;120")</f>
        <v>22411</v>
      </c>
    </row>
    <row r="7" spans="1:11">
      <c r="A7" s="4" t="s">
        <v>10482</v>
      </c>
      <c r="B7" s="4" t="s">
        <v>10484</v>
      </c>
      <c r="C7" s="6">
        <f>SUMIF(SupListBEWLPP,Table_AgingReportBEWLPP[[#This Row],[SupplierID]],NetAmountBEWLPP)</f>
        <v>887400</v>
      </c>
      <c r="D7" s="6">
        <f>SUMIF(SupListBEWLPP,Table_AgingReportBEWLPP[[#This Row],[SupplierID]],PaidBEWLPP)</f>
        <v>0</v>
      </c>
      <c r="E7" s="6">
        <f>Table_AgingReportBEWLPP[[#This Row],[Net Amount]]-Table_AgingReportBEWLPP[[#This Row],[Paid]]</f>
        <v>887400</v>
      </c>
      <c r="F7" s="6">
        <f>SUMIFS(NetB3BEWLPP,SupListBEWLPP,Table_AgingReportBEWLPP[[#This Row],[SupplierID]],DLBEWLPP,"&gt;=1",DLBEWLPP,"&lt;=30")</f>
        <v>309604</v>
      </c>
      <c r="G7" s="6">
        <f>SUMIFS(NetB3BEWLPP,SupListBEWLPP,Table_AgingReportBEWLPP[[#This Row],[SupplierID]],DLBEWLPP,"&gt;=31",DLBEWLPP,"&lt;=45")</f>
        <v>0</v>
      </c>
      <c r="H7" s="6">
        <f>SUMIFS(NetB3BEWLPP,SupListBEWLPP,Table_AgingReportBEWLPP[[#This Row],[SupplierID]],DLBEWLPP,"&gt;=46",DLBEWLPP,"&lt;=60")</f>
        <v>291856</v>
      </c>
      <c r="I7" s="6">
        <f>SUMIFS(NetB3BEWLPP,SupListBEWLPP,Table_AgingReportBEWLPP[[#This Row],[SupplierID]],DLBEWLPP,"&gt;=61",DLBEWLPP,"&lt;=90")</f>
        <v>285940</v>
      </c>
      <c r="J7" s="6">
        <f>SUMIFS(NetB3BEWLPP,SupListBEWLPP,Table_AgingReportBEWLPP[[#This Row],[SupplierID]],DLBEWLPP,"&gt;=91",DLBEWLPP,"&lt;=120")</f>
        <v>0</v>
      </c>
      <c r="K7" s="6">
        <f>SUMIFS(NetB3BEWLPP,SupListBEWLPP,Table_AgingReportBEWLPP[[#This Row],[SupplierID]],DLBEWLPP,"&gt;120")</f>
        <v>0</v>
      </c>
    </row>
    <row r="8" spans="1:11">
      <c r="A8" s="4" t="s">
        <v>8574</v>
      </c>
      <c r="B8" s="4" t="s">
        <v>344</v>
      </c>
      <c r="C8" s="6">
        <f>SUMIF(SupListBEWLPP,Table_AgingReportBEWLPP[[#This Row],[SupplierID]],NetAmountBEWLPP)</f>
        <v>900713</v>
      </c>
      <c r="D8" s="6">
        <f>SUMIF(SupListBEWLPP,Table_AgingReportBEWLPP[[#This Row],[SupplierID]],PaidBEWLPP)</f>
        <v>0</v>
      </c>
      <c r="E8" s="6">
        <f>Table_AgingReportBEWLPP[[#This Row],[Net Amount]]-Table_AgingReportBEWLPP[[#This Row],[Paid]]</f>
        <v>900713</v>
      </c>
      <c r="F8" s="6">
        <f>SUMIFS(NetB3BEWLPP,SupListBEWLPP,Table_AgingReportBEWLPP[[#This Row],[SupplierID]],DLBEWLPP,"&gt;=1",DLBEWLPP,"&lt;=30")</f>
        <v>0</v>
      </c>
      <c r="G8" s="6">
        <f>SUMIFS(NetB3BEWLPP,SupListBEWLPP,Table_AgingReportBEWLPP[[#This Row],[SupplierID]],DLBEWLPP,"&gt;=31",DLBEWLPP,"&lt;=45")</f>
        <v>0</v>
      </c>
      <c r="H8" s="6">
        <f>SUMIFS(NetB3BEWLPP,SupListBEWLPP,Table_AgingReportBEWLPP[[#This Row],[SupplierID]],DLBEWLPP,"&gt;=46",DLBEWLPP,"&lt;=60")</f>
        <v>0</v>
      </c>
      <c r="I8" s="6">
        <f>SUMIFS(NetB3BEWLPP,SupListBEWLPP,Table_AgingReportBEWLPP[[#This Row],[SupplierID]],DLBEWLPP,"&gt;=61",DLBEWLPP,"&lt;=90")</f>
        <v>0</v>
      </c>
      <c r="J8" s="6">
        <f>SUMIFS(NetB3BEWLPP,SupListBEWLPP,Table_AgingReportBEWLPP[[#This Row],[SupplierID]],DLBEWLPP,"&gt;=91",DLBEWLPP,"&lt;=120")</f>
        <v>0</v>
      </c>
      <c r="K8" s="6">
        <f>SUMIFS(NetB3BEWLPP,SupListBEWLPP,Table_AgingReportBEWLPP[[#This Row],[SupplierID]],DLBEWLPP,"&gt;120")</f>
        <v>901106</v>
      </c>
    </row>
    <row r="9" spans="1:11">
      <c r="A9" s="4" t="s">
        <v>5469</v>
      </c>
      <c r="B9" s="4" t="s">
        <v>368</v>
      </c>
      <c r="C9" s="6">
        <f>SUMIF(SupListBEWLPP,Table_AgingReportBEWLPP[[#This Row],[SupplierID]],NetAmountBEWLPP)</f>
        <v>1011636</v>
      </c>
      <c r="D9" s="6">
        <f>SUMIF(SupListBEWLPP,Table_AgingReportBEWLPP[[#This Row],[SupplierID]],PaidBEWLPP)</f>
        <v>0</v>
      </c>
      <c r="E9" s="6">
        <f>Table_AgingReportBEWLPP[[#This Row],[Net Amount]]-Table_AgingReportBEWLPP[[#This Row],[Paid]]</f>
        <v>1011636</v>
      </c>
      <c r="F9" s="6">
        <f>SUMIFS(NetB3BEWLPP,SupListBEWLPP,Table_AgingReportBEWLPP[[#This Row],[SupplierID]],DLBEWLPP,"&gt;=1",DLBEWLPP,"&lt;=30")</f>
        <v>0</v>
      </c>
      <c r="G9" s="6">
        <f>SUMIFS(NetB3BEWLPP,SupListBEWLPP,Table_AgingReportBEWLPP[[#This Row],[SupplierID]],DLBEWLPP,"&gt;=31",DLBEWLPP,"&lt;=45")</f>
        <v>163676</v>
      </c>
      <c r="H9" s="6">
        <f>SUMIFS(NetB3BEWLPP,SupListBEWLPP,Table_AgingReportBEWLPP[[#This Row],[SupplierID]],DLBEWLPP,"&gt;=46",DLBEWLPP,"&lt;=60")</f>
        <v>0</v>
      </c>
      <c r="I9" s="6">
        <f>SUMIFS(NetB3BEWLPP,SupListBEWLPP,Table_AgingReportBEWLPP[[#This Row],[SupplierID]],DLBEWLPP,"&gt;=61",DLBEWLPP,"&lt;=90")</f>
        <v>272136</v>
      </c>
      <c r="J9" s="6">
        <f>SUMIFS(NetB3BEWLPP,SupListBEWLPP,Table_AgingReportBEWLPP[[#This Row],[SupplierID]],DLBEWLPP,"&gt;=91",DLBEWLPP,"&lt;=120")</f>
        <v>165648</v>
      </c>
      <c r="K9" s="6">
        <f>SUMIFS(NetB3BEWLPP,SupListBEWLPP,Table_AgingReportBEWLPP[[#This Row],[SupplierID]],DLBEWLPP,"&gt;120")</f>
        <v>410176</v>
      </c>
    </row>
    <row r="10" spans="1:11">
      <c r="A10" s="4" t="s">
        <v>8717</v>
      </c>
      <c r="B10" s="4" t="s">
        <v>8719</v>
      </c>
      <c r="C10" s="6">
        <f>SUMIF(SupListBEWLPP,Table_AgingReportBEWLPP[[#This Row],[SupplierID]],NetAmountBEWLPP)</f>
        <v>130487</v>
      </c>
      <c r="D10" s="6">
        <f>SUMIF(SupListBEWLPP,Table_AgingReportBEWLPP[[#This Row],[SupplierID]],PaidBEWLPP)</f>
        <v>0</v>
      </c>
      <c r="E10" s="6">
        <f>Table_AgingReportBEWLPP[[#This Row],[Net Amount]]-Table_AgingReportBEWLPP[[#This Row],[Paid]]</f>
        <v>130487</v>
      </c>
      <c r="F10" s="6">
        <f>SUMIFS(NetB3BEWLPP,SupListBEWLPP,Table_AgingReportBEWLPP[[#This Row],[SupplierID]],DLBEWLPP,"&gt;=1",DLBEWLPP,"&lt;=30")</f>
        <v>0</v>
      </c>
      <c r="G10" s="6">
        <f>SUMIFS(NetB3BEWLPP,SupListBEWLPP,Table_AgingReportBEWLPP[[#This Row],[SupplierID]],DLBEWLPP,"&gt;=31",DLBEWLPP,"&lt;=45")</f>
        <v>0</v>
      </c>
      <c r="H10" s="6">
        <f>SUMIFS(NetB3BEWLPP,SupListBEWLPP,Table_AgingReportBEWLPP[[#This Row],[SupplierID]],DLBEWLPP,"&gt;=46",DLBEWLPP,"&lt;=60")</f>
        <v>0</v>
      </c>
      <c r="I10" s="6">
        <f>SUMIFS(NetB3BEWLPP,SupListBEWLPP,Table_AgingReportBEWLPP[[#This Row],[SupplierID]],DLBEWLPP,"&gt;=61",DLBEWLPP,"&lt;=90")</f>
        <v>0</v>
      </c>
      <c r="J10" s="6">
        <f>SUMIFS(NetB3BEWLPP,SupListBEWLPP,Table_AgingReportBEWLPP[[#This Row],[SupplierID]],DLBEWLPP,"&gt;=91",DLBEWLPP,"&lt;=120")</f>
        <v>0</v>
      </c>
      <c r="K10" s="6">
        <f>SUMIFS(NetB3BEWLPP,SupListBEWLPP,Table_AgingReportBEWLPP[[#This Row],[SupplierID]],DLBEWLPP,"&gt;120")</f>
        <v>130487</v>
      </c>
    </row>
    <row r="11" spans="1:11">
      <c r="A11" s="4" t="s">
        <v>8527</v>
      </c>
      <c r="B11" s="4" t="s">
        <v>8528</v>
      </c>
      <c r="C11" s="6">
        <f>SUMIF(SupListBEWLPP,Table_AgingReportBEWLPP[[#This Row],[SupplierID]],NetAmountBEWLPP)</f>
        <v>2857329</v>
      </c>
      <c r="D11" s="6">
        <f>SUMIF(SupListBEWLPP,Table_AgingReportBEWLPP[[#This Row],[SupplierID]],PaidBEWLPP)</f>
        <v>0</v>
      </c>
      <c r="E11" s="6">
        <f>Table_AgingReportBEWLPP[[#This Row],[Net Amount]]-Table_AgingReportBEWLPP[[#This Row],[Paid]]</f>
        <v>2857329</v>
      </c>
      <c r="F11" s="6">
        <f>SUMIFS(NetB3BEWLPP,SupListBEWLPP,Table_AgingReportBEWLPP[[#This Row],[SupplierID]],DLBEWLPP,"&gt;=1",DLBEWLPP,"&lt;=30")</f>
        <v>203580</v>
      </c>
      <c r="G11" s="6">
        <f>SUMIFS(NetB3BEWLPP,SupListBEWLPP,Table_AgingReportBEWLPP[[#This Row],[SupplierID]],DLBEWLPP,"&gt;=31",DLBEWLPP,"&lt;=45")</f>
        <v>19720</v>
      </c>
      <c r="H11" s="6">
        <f>SUMIFS(NetB3BEWLPP,SupListBEWLPP,Table_AgingReportBEWLPP[[#This Row],[SupplierID]],DLBEWLPP,"&gt;=46",DLBEWLPP,"&lt;=60")</f>
        <v>287158</v>
      </c>
      <c r="I11" s="6">
        <f>SUMIFS(NetB3BEWLPP,SupListBEWLPP,Table_AgingReportBEWLPP[[#This Row],[SupplierID]],DLBEWLPP,"&gt;=61",DLBEWLPP,"&lt;=90")</f>
        <v>256476</v>
      </c>
      <c r="J11" s="6">
        <f>SUMIFS(NetB3BEWLPP,SupListBEWLPP,Table_AgingReportBEWLPP[[#This Row],[SupplierID]],DLBEWLPP,"&gt;=91",DLBEWLPP,"&lt;=120")</f>
        <v>240593</v>
      </c>
      <c r="K11" s="6">
        <f>SUMIFS(NetB3BEWLPP,SupListBEWLPP,Table_AgingReportBEWLPP[[#This Row],[SupplierID]],DLBEWLPP,"&gt;120")</f>
        <v>1851122</v>
      </c>
    </row>
    <row r="12" spans="1:11">
      <c r="A12" s="4" t="s">
        <v>9003</v>
      </c>
      <c r="B12" s="4" t="s">
        <v>9005</v>
      </c>
      <c r="C12" s="6">
        <f>SUMIF(SupListBEWLPP,Table_AgingReportBEWLPP[[#This Row],[SupplierID]],NetAmountBEWLPP)</f>
        <v>78970</v>
      </c>
      <c r="D12" s="6">
        <f>SUMIF(SupListBEWLPP,Table_AgingReportBEWLPP[[#This Row],[SupplierID]],PaidBEWLPP)</f>
        <v>0</v>
      </c>
      <c r="E12" s="6">
        <f>Table_AgingReportBEWLPP[[#This Row],[Net Amount]]-Table_AgingReportBEWLPP[[#This Row],[Paid]]</f>
        <v>78970</v>
      </c>
      <c r="F12" s="6">
        <f>SUMIFS(NetB3BEWLPP,SupListBEWLPP,Table_AgingReportBEWLPP[[#This Row],[SupplierID]],DLBEWLPP,"&gt;=1",DLBEWLPP,"&lt;=30")</f>
        <v>0</v>
      </c>
      <c r="G12" s="6">
        <f>SUMIFS(NetB3BEWLPP,SupListBEWLPP,Table_AgingReportBEWLPP[[#This Row],[SupplierID]],DLBEWLPP,"&gt;=31",DLBEWLPP,"&lt;=45")</f>
        <v>0</v>
      </c>
      <c r="H12" s="6">
        <f>SUMIFS(NetB3BEWLPP,SupListBEWLPP,Table_AgingReportBEWLPP[[#This Row],[SupplierID]],DLBEWLPP,"&gt;=46",DLBEWLPP,"&lt;=60")</f>
        <v>0</v>
      </c>
      <c r="I12" s="6">
        <f>SUMIFS(NetB3BEWLPP,SupListBEWLPP,Table_AgingReportBEWLPP[[#This Row],[SupplierID]],DLBEWLPP,"&gt;=61",DLBEWLPP,"&lt;=90")</f>
        <v>0</v>
      </c>
      <c r="J12" s="6">
        <f>SUMIFS(NetB3BEWLPP,SupListBEWLPP,Table_AgingReportBEWLPP[[#This Row],[SupplierID]],DLBEWLPP,"&gt;=91",DLBEWLPP,"&lt;=120")</f>
        <v>0</v>
      </c>
      <c r="K12" s="6">
        <f>SUMIFS(NetB3BEWLPP,SupListBEWLPP,Table_AgingReportBEWLPP[[#This Row],[SupplierID]],DLBEWLPP,"&gt;120")</f>
        <v>78970</v>
      </c>
    </row>
    <row r="13" spans="1:11">
      <c r="A13" s="4" t="s">
        <v>8611</v>
      </c>
      <c r="B13" s="4" t="s">
        <v>8612</v>
      </c>
      <c r="C13" s="6">
        <f>SUMIF(SupListBEWLPP,Table_AgingReportBEWLPP[[#This Row],[SupplierID]],NetAmountBEWLPP)</f>
        <v>3003529.5</v>
      </c>
      <c r="D13" s="6">
        <f>SUMIF(SupListBEWLPP,Table_AgingReportBEWLPP[[#This Row],[SupplierID]],PaidBEWLPP)</f>
        <v>390184</v>
      </c>
      <c r="E13" s="6">
        <f>Table_AgingReportBEWLPP[[#This Row],[Net Amount]]-Table_AgingReportBEWLPP[[#This Row],[Paid]]</f>
        <v>2613345.5</v>
      </c>
      <c r="F13" s="6">
        <f>SUMIFS(NetB3BEWLPP,SupListBEWLPP,Table_AgingReportBEWLPP[[#This Row],[SupplierID]],DLBEWLPP,"&gt;=1",DLBEWLPP,"&lt;=30")</f>
        <v>0</v>
      </c>
      <c r="G13" s="6">
        <f>SUMIFS(NetB3BEWLPP,SupListBEWLPP,Table_AgingReportBEWLPP[[#This Row],[SupplierID]],DLBEWLPP,"&gt;=31",DLBEWLPP,"&lt;=45")</f>
        <v>163577</v>
      </c>
      <c r="H13" s="6">
        <f>SUMIFS(NetB3BEWLPP,SupListBEWLPP,Table_AgingReportBEWLPP[[#This Row],[SupplierID]],DLBEWLPP,"&gt;=46",DLBEWLPP,"&lt;=60")</f>
        <v>295240</v>
      </c>
      <c r="I13" s="6">
        <f>SUMIFS(NetB3BEWLPP,SupListBEWLPP,Table_AgingReportBEWLPP[[#This Row],[SupplierID]],DLBEWLPP,"&gt;=61",DLBEWLPP,"&lt;=90")</f>
        <v>310591</v>
      </c>
      <c r="J13" s="6">
        <f>SUMIFS(NetB3BEWLPP,SupListBEWLPP,Table_AgingReportBEWLPP[[#This Row],[SupplierID]],DLBEWLPP,"&gt;=91",DLBEWLPP,"&lt;=120")</f>
        <v>260918</v>
      </c>
      <c r="K13" s="6">
        <f>SUMIFS(NetB3BEWLPP,SupListBEWLPP,Table_AgingReportBEWLPP[[#This Row],[SupplierID]],DLBEWLPP,"&gt;120")</f>
        <v>1590993.5</v>
      </c>
    </row>
    <row r="14" spans="1:11">
      <c r="A14" s="4" t="s">
        <v>8794</v>
      </c>
      <c r="B14" s="4" t="s">
        <v>8795</v>
      </c>
      <c r="C14" s="6">
        <f>SUMIF(SupListBEWLPP,Table_AgingReportBEWLPP[[#This Row],[SupplierID]],NetAmountBEWLPP)</f>
        <v>12440884</v>
      </c>
      <c r="D14" s="6">
        <f>SUMIF(SupListBEWLPP,Table_AgingReportBEWLPP[[#This Row],[SupplierID]],PaidBEWLPP)</f>
        <v>14582</v>
      </c>
      <c r="E14" s="6">
        <f>Table_AgingReportBEWLPP[[#This Row],[Net Amount]]-Table_AgingReportBEWLPP[[#This Row],[Paid]]</f>
        <v>12426302</v>
      </c>
      <c r="F14" s="6">
        <f>SUMIFS(NetB3BEWLPP,SupListBEWLPP,Table_AgingReportBEWLPP[[#This Row],[SupplierID]],DLBEWLPP,"&gt;=1",DLBEWLPP,"&lt;=30")</f>
        <v>0</v>
      </c>
      <c r="G14" s="6">
        <f>SUMIFS(NetB3BEWLPP,SupListBEWLPP,Table_AgingReportBEWLPP[[#This Row],[SupplierID]],DLBEWLPP,"&gt;=31",DLBEWLPP,"&lt;=45")</f>
        <v>0</v>
      </c>
      <c r="H14" s="6">
        <f>SUMIFS(NetB3BEWLPP,SupListBEWLPP,Table_AgingReportBEWLPP[[#This Row],[SupplierID]],DLBEWLPP,"&gt;=46",DLBEWLPP,"&lt;=60")</f>
        <v>0</v>
      </c>
      <c r="I14" s="6">
        <f>SUMIFS(NetB3BEWLPP,SupListBEWLPP,Table_AgingReportBEWLPP[[#This Row],[SupplierID]],DLBEWLPP,"&gt;=61",DLBEWLPP,"&lt;=90")</f>
        <v>495262</v>
      </c>
      <c r="J14" s="6">
        <f>SUMIFS(NetB3BEWLPP,SupListBEWLPP,Table_AgingReportBEWLPP[[#This Row],[SupplierID]],DLBEWLPP,"&gt;=91",DLBEWLPP,"&lt;=120")</f>
        <v>831952</v>
      </c>
      <c r="K14" s="6">
        <f>SUMIFS(NetB3BEWLPP,SupListBEWLPP,Table_AgingReportBEWLPP[[#This Row],[SupplierID]],DLBEWLPP,"&gt;120")</f>
        <v>11099088</v>
      </c>
    </row>
    <row r="15" spans="1:11">
      <c r="A15" s="4" t="s">
        <v>8530</v>
      </c>
      <c r="B15" s="4" t="s">
        <v>357</v>
      </c>
      <c r="C15" s="6">
        <f>SUMIF(SupListBEWLPP,Table_AgingReportBEWLPP[[#This Row],[SupplierID]],NetAmountBEWLPP)</f>
        <v>18107454</v>
      </c>
      <c r="D15" s="6">
        <f>SUMIF(SupListBEWLPP,Table_AgingReportBEWLPP[[#This Row],[SupplierID]],PaidBEWLPP)</f>
        <v>717214</v>
      </c>
      <c r="E15" s="6">
        <f>Table_AgingReportBEWLPP[[#This Row],[Net Amount]]-Table_AgingReportBEWLPP[[#This Row],[Paid]]</f>
        <v>17390240</v>
      </c>
      <c r="F15" s="6">
        <f>SUMIFS(NetB3BEWLPP,SupListBEWLPP,Table_AgingReportBEWLPP[[#This Row],[SupplierID]],DLBEWLPP,"&gt;=1",DLBEWLPP,"&lt;=30")</f>
        <v>1447855</v>
      </c>
      <c r="G15" s="6">
        <f>SUMIFS(NetB3BEWLPP,SupListBEWLPP,Table_AgingReportBEWLPP[[#This Row],[SupplierID]],DLBEWLPP,"&gt;=31",DLBEWLPP,"&lt;=45")</f>
        <v>1997105</v>
      </c>
      <c r="H15" s="6">
        <f>SUMIFS(NetB3BEWLPP,SupListBEWLPP,Table_AgingReportBEWLPP[[#This Row],[SupplierID]],DLBEWLPP,"&gt;=46",DLBEWLPP,"&lt;=60")</f>
        <v>1394773</v>
      </c>
      <c r="I15" s="6">
        <f>SUMIFS(NetB3BEWLPP,SupListBEWLPP,Table_AgingReportBEWLPP[[#This Row],[SupplierID]],DLBEWLPP,"&gt;=61",DLBEWLPP,"&lt;=90")</f>
        <v>2643838</v>
      </c>
      <c r="J15" s="6">
        <f>SUMIFS(NetB3BEWLPP,SupListBEWLPP,Table_AgingReportBEWLPP[[#This Row],[SupplierID]],DLBEWLPP,"&gt;=91",DLBEWLPP,"&lt;=120")</f>
        <v>1338638</v>
      </c>
      <c r="K15" s="6">
        <f>SUMIFS(NetB3BEWLPP,SupListBEWLPP,Table_AgingReportBEWLPP[[#This Row],[SupplierID]],DLBEWLPP,"&gt;120")</f>
        <v>8620780</v>
      </c>
    </row>
    <row r="16" spans="1:11">
      <c r="A16" s="4" t="s">
        <v>9530</v>
      </c>
      <c r="B16" s="4" t="s">
        <v>9532</v>
      </c>
      <c r="C16" s="6">
        <f>SUMIF(SupListBEWLPP,Table_AgingReportBEWLPP[[#This Row],[SupplierID]],NetAmountBEWLPP)</f>
        <v>16388</v>
      </c>
      <c r="D16" s="6">
        <f>SUMIF(SupListBEWLPP,Table_AgingReportBEWLPP[[#This Row],[SupplierID]],PaidBEWLPP)</f>
        <v>0</v>
      </c>
      <c r="E16" s="6">
        <f>Table_AgingReportBEWLPP[[#This Row],[Net Amount]]-Table_AgingReportBEWLPP[[#This Row],[Paid]]</f>
        <v>16388</v>
      </c>
      <c r="F16" s="6">
        <f>SUMIFS(NetB3BEWLPP,SupListBEWLPP,Table_AgingReportBEWLPP[[#This Row],[SupplierID]],DLBEWLPP,"&gt;=1",DLBEWLPP,"&lt;=30")</f>
        <v>0</v>
      </c>
      <c r="G16" s="6">
        <f>SUMIFS(NetB3BEWLPP,SupListBEWLPP,Table_AgingReportBEWLPP[[#This Row],[SupplierID]],DLBEWLPP,"&gt;=31",DLBEWLPP,"&lt;=45")</f>
        <v>0</v>
      </c>
      <c r="H16" s="6">
        <f>SUMIFS(NetB3BEWLPP,SupListBEWLPP,Table_AgingReportBEWLPP[[#This Row],[SupplierID]],DLBEWLPP,"&gt;=46",DLBEWLPP,"&lt;=60")</f>
        <v>0</v>
      </c>
      <c r="I16" s="6">
        <f>SUMIFS(NetB3BEWLPP,SupListBEWLPP,Table_AgingReportBEWLPP[[#This Row],[SupplierID]],DLBEWLPP,"&gt;=61",DLBEWLPP,"&lt;=90")</f>
        <v>3164</v>
      </c>
      <c r="J16" s="6">
        <f>SUMIFS(NetB3BEWLPP,SupListBEWLPP,Table_AgingReportBEWLPP[[#This Row],[SupplierID]],DLBEWLPP,"&gt;=91",DLBEWLPP,"&lt;=120")</f>
        <v>13224</v>
      </c>
      <c r="K16" s="6">
        <f>SUMIFS(NetB3BEWLPP,SupListBEWLPP,Table_AgingReportBEWLPP[[#This Row],[SupplierID]],DLBEWLPP,"&gt;120")</f>
        <v>0</v>
      </c>
    </row>
    <row r="17" spans="1:11">
      <c r="A17" s="4" t="s">
        <v>8826</v>
      </c>
      <c r="B17" s="4" t="s">
        <v>336</v>
      </c>
      <c r="C17" s="6">
        <f>SUMIF(SupListBEWLPP,Table_AgingReportBEWLPP[[#This Row],[SupplierID]],NetAmountBEWLPP)</f>
        <v>314772</v>
      </c>
      <c r="D17" s="6">
        <f>SUMIF(SupListBEWLPP,Table_AgingReportBEWLPP[[#This Row],[SupplierID]],PaidBEWLPP)</f>
        <v>0</v>
      </c>
      <c r="E17" s="6">
        <f>Table_AgingReportBEWLPP[[#This Row],[Net Amount]]-Table_AgingReportBEWLPP[[#This Row],[Paid]]</f>
        <v>314772</v>
      </c>
      <c r="F17" s="6">
        <f>SUMIFS(NetB3BEWLPP,SupListBEWLPP,Table_AgingReportBEWLPP[[#This Row],[SupplierID]],DLBEWLPP,"&gt;=1",DLBEWLPP,"&lt;=30")</f>
        <v>0</v>
      </c>
      <c r="G17" s="6">
        <f>SUMIFS(NetB3BEWLPP,SupListBEWLPP,Table_AgingReportBEWLPP[[#This Row],[SupplierID]],DLBEWLPP,"&gt;=31",DLBEWLPP,"&lt;=45")</f>
        <v>0</v>
      </c>
      <c r="H17" s="6">
        <f>SUMIFS(NetB3BEWLPP,SupListBEWLPP,Table_AgingReportBEWLPP[[#This Row],[SupplierID]],DLBEWLPP,"&gt;=46",DLBEWLPP,"&lt;=60")</f>
        <v>0</v>
      </c>
      <c r="I17" s="6">
        <f>SUMIFS(NetB3BEWLPP,SupListBEWLPP,Table_AgingReportBEWLPP[[#This Row],[SupplierID]],DLBEWLPP,"&gt;=61",DLBEWLPP,"&lt;=90")</f>
        <v>0</v>
      </c>
      <c r="J17" s="6">
        <f>SUMIFS(NetB3BEWLPP,SupListBEWLPP,Table_AgingReportBEWLPP[[#This Row],[SupplierID]],DLBEWLPP,"&gt;=91",DLBEWLPP,"&lt;=120")</f>
        <v>0</v>
      </c>
      <c r="K17" s="6">
        <f>SUMIFS(NetB3BEWLPP,SupListBEWLPP,Table_AgingReportBEWLPP[[#This Row],[SupplierID]],DLBEWLPP,"&gt;120")</f>
        <v>314772</v>
      </c>
    </row>
    <row r="18" spans="1:11">
      <c r="A18" s="4" t="s">
        <v>9880</v>
      </c>
      <c r="B18" s="4" t="s">
        <v>9882</v>
      </c>
      <c r="C18" s="6">
        <f>SUMIF(SupListBEWLPP,Table_AgingReportBEWLPP[[#This Row],[SupplierID]],NetAmountBEWLPP)</f>
        <v>241628</v>
      </c>
      <c r="D18" s="6">
        <f>SUMIF(SupListBEWLPP,Table_AgingReportBEWLPP[[#This Row],[SupplierID]],PaidBEWLPP)</f>
        <v>0</v>
      </c>
      <c r="E18" s="6">
        <f>Table_AgingReportBEWLPP[[#This Row],[Net Amount]]-Table_AgingReportBEWLPP[[#This Row],[Paid]]</f>
        <v>241628</v>
      </c>
      <c r="F18" s="6">
        <f>SUMIFS(NetB3BEWLPP,SupListBEWLPP,Table_AgingReportBEWLPP[[#This Row],[SupplierID]],DLBEWLPP,"&gt;=1",DLBEWLPP,"&lt;=30")</f>
        <v>0</v>
      </c>
      <c r="G18" s="6">
        <f>SUMIFS(NetB3BEWLPP,SupListBEWLPP,Table_AgingReportBEWLPP[[#This Row],[SupplierID]],DLBEWLPP,"&gt;=31",DLBEWLPP,"&lt;=45")</f>
        <v>90364</v>
      </c>
      <c r="H18" s="6">
        <f>SUMIFS(NetB3BEWLPP,SupListBEWLPP,Table_AgingReportBEWLPP[[#This Row],[SupplierID]],DLBEWLPP,"&gt;=46",DLBEWLPP,"&lt;=60")</f>
        <v>0</v>
      </c>
      <c r="I18" s="6">
        <f>SUMIFS(NetB3BEWLPP,SupListBEWLPP,Table_AgingReportBEWLPP[[#This Row],[SupplierID]],DLBEWLPP,"&gt;=61",DLBEWLPP,"&lt;=90")</f>
        <v>53824</v>
      </c>
      <c r="J18" s="6">
        <f>SUMIFS(NetB3BEWLPP,SupListBEWLPP,Table_AgingReportBEWLPP[[#This Row],[SupplierID]],DLBEWLPP,"&gt;=91",DLBEWLPP,"&lt;=120")</f>
        <v>97440</v>
      </c>
      <c r="K18" s="6">
        <f>SUMIFS(NetB3BEWLPP,SupListBEWLPP,Table_AgingReportBEWLPP[[#This Row],[SupplierID]],DLBEWLPP,"&gt;120")</f>
        <v>0</v>
      </c>
    </row>
    <row r="19" spans="1:11">
      <c r="A19" s="4" t="s">
        <v>9713</v>
      </c>
      <c r="B19" s="4" t="s">
        <v>9716</v>
      </c>
      <c r="C19" s="6">
        <f>SUMIF(SupListBEWLPP,Table_AgingReportBEWLPP[[#This Row],[SupplierID]],NetAmountBEWLPP)</f>
        <v>55158</v>
      </c>
      <c r="D19" s="6">
        <f>SUMIF(SupListBEWLPP,Table_AgingReportBEWLPP[[#This Row],[SupplierID]],PaidBEWLPP)</f>
        <v>0</v>
      </c>
      <c r="E19" s="6">
        <f>Table_AgingReportBEWLPP[[#This Row],[Net Amount]]-Table_AgingReportBEWLPP[[#This Row],[Paid]]</f>
        <v>55158</v>
      </c>
      <c r="F19" s="6">
        <f>SUMIFS(NetB3BEWLPP,SupListBEWLPP,Table_AgingReportBEWLPP[[#This Row],[SupplierID]],DLBEWLPP,"&gt;=1",DLBEWLPP,"&lt;=30")</f>
        <v>0</v>
      </c>
      <c r="G19" s="6">
        <f>SUMIFS(NetB3BEWLPP,SupListBEWLPP,Table_AgingReportBEWLPP[[#This Row],[SupplierID]],DLBEWLPP,"&gt;=31",DLBEWLPP,"&lt;=45")</f>
        <v>0</v>
      </c>
      <c r="H19" s="6">
        <f>SUMIFS(NetB3BEWLPP,SupListBEWLPP,Table_AgingReportBEWLPP[[#This Row],[SupplierID]],DLBEWLPP,"&gt;=46",DLBEWLPP,"&lt;=60")</f>
        <v>0</v>
      </c>
      <c r="I19" s="6">
        <f>SUMIFS(NetB3BEWLPP,SupListBEWLPP,Table_AgingReportBEWLPP[[#This Row],[SupplierID]],DLBEWLPP,"&gt;=61",DLBEWLPP,"&lt;=90")</f>
        <v>0</v>
      </c>
      <c r="J19" s="6">
        <f>SUMIFS(NetB3BEWLPP,SupListBEWLPP,Table_AgingReportBEWLPP[[#This Row],[SupplierID]],DLBEWLPP,"&gt;=91",DLBEWLPP,"&lt;=120")</f>
        <v>0</v>
      </c>
      <c r="K19" s="6">
        <f>SUMIFS(NetB3BEWLPP,SupListBEWLPP,Table_AgingReportBEWLPP[[#This Row],[SupplierID]],DLBEWLPP,"&gt;120")</f>
        <v>55158</v>
      </c>
    </row>
    <row r="20" spans="1:11">
      <c r="A20" s="4" t="s">
        <v>9971</v>
      </c>
      <c r="B20" s="4" t="s">
        <v>9973</v>
      </c>
      <c r="C20" s="6">
        <f>SUMIF(SupListBEWLPP,Table_AgingReportBEWLPP[[#This Row],[SupplierID]],NetAmountBEWLPP)</f>
        <v>56999</v>
      </c>
      <c r="D20" s="6">
        <f>SUMIF(SupListBEWLPP,Table_AgingReportBEWLPP[[#This Row],[SupplierID]],PaidBEWLPP)</f>
        <v>0</v>
      </c>
      <c r="E20" s="6">
        <f>Table_AgingReportBEWLPP[[#This Row],[Net Amount]]-Table_AgingReportBEWLPP[[#This Row],[Paid]]</f>
        <v>56999</v>
      </c>
      <c r="F20" s="6">
        <f>SUMIFS(NetB3BEWLPP,SupListBEWLPP,Table_AgingReportBEWLPP[[#This Row],[SupplierID]],DLBEWLPP,"&gt;=1",DLBEWLPP,"&lt;=30")</f>
        <v>10028</v>
      </c>
      <c r="G20" s="6">
        <f>SUMIFS(NetB3BEWLPP,SupListBEWLPP,Table_AgingReportBEWLPP[[#This Row],[SupplierID]],DLBEWLPP,"&gt;=31",DLBEWLPP,"&lt;=45")</f>
        <v>0</v>
      </c>
      <c r="H20" s="6">
        <f>SUMIFS(NetB3BEWLPP,SupListBEWLPP,Table_AgingReportBEWLPP[[#This Row],[SupplierID]],DLBEWLPP,"&gt;=46",DLBEWLPP,"&lt;=60")</f>
        <v>0</v>
      </c>
      <c r="I20" s="6">
        <f>SUMIFS(NetB3BEWLPP,SupListBEWLPP,Table_AgingReportBEWLPP[[#This Row],[SupplierID]],DLBEWLPP,"&gt;=61",DLBEWLPP,"&lt;=90")</f>
        <v>46971</v>
      </c>
      <c r="J20" s="6">
        <f>SUMIFS(NetB3BEWLPP,SupListBEWLPP,Table_AgingReportBEWLPP[[#This Row],[SupplierID]],DLBEWLPP,"&gt;=91",DLBEWLPP,"&lt;=120")</f>
        <v>0</v>
      </c>
      <c r="K20" s="6">
        <f>SUMIFS(NetB3BEWLPP,SupListBEWLPP,Table_AgingReportBEWLPP[[#This Row],[SupplierID]],DLBEWLPP,"&gt;120")</f>
        <v>0</v>
      </c>
    </row>
    <row r="21" spans="1:11">
      <c r="A21" s="4" t="s">
        <v>9016</v>
      </c>
      <c r="B21" s="4" t="s">
        <v>325</v>
      </c>
      <c r="C21" s="6">
        <f>SUMIF(SupListBEWLPP,Table_AgingReportBEWLPP[[#This Row],[SupplierID]],NetAmountBEWLPP)</f>
        <v>16485</v>
      </c>
      <c r="D21" s="6">
        <f>SUMIF(SupListBEWLPP,Table_AgingReportBEWLPP[[#This Row],[SupplierID]],PaidBEWLPP)</f>
        <v>0</v>
      </c>
      <c r="E21" s="6">
        <f>Table_AgingReportBEWLPP[[#This Row],[Net Amount]]-Table_AgingReportBEWLPP[[#This Row],[Paid]]</f>
        <v>16485</v>
      </c>
      <c r="F21" s="6">
        <f>SUMIFS(NetB3BEWLPP,SupListBEWLPP,Table_AgingReportBEWLPP[[#This Row],[SupplierID]],DLBEWLPP,"&gt;=1",DLBEWLPP,"&lt;=30")</f>
        <v>0</v>
      </c>
      <c r="G21" s="6">
        <f>SUMIFS(NetB3BEWLPP,SupListBEWLPP,Table_AgingReportBEWLPP[[#This Row],[SupplierID]],DLBEWLPP,"&gt;=31",DLBEWLPP,"&lt;=45")</f>
        <v>0</v>
      </c>
      <c r="H21" s="6">
        <f>SUMIFS(NetB3BEWLPP,SupListBEWLPP,Table_AgingReportBEWLPP[[#This Row],[SupplierID]],DLBEWLPP,"&gt;=46",DLBEWLPP,"&lt;=60")</f>
        <v>0</v>
      </c>
      <c r="I21" s="6">
        <f>SUMIFS(NetB3BEWLPP,SupListBEWLPP,Table_AgingReportBEWLPP[[#This Row],[SupplierID]],DLBEWLPP,"&gt;=61",DLBEWLPP,"&lt;=90")</f>
        <v>0</v>
      </c>
      <c r="J21" s="6">
        <f>SUMIFS(NetB3BEWLPP,SupListBEWLPP,Table_AgingReportBEWLPP[[#This Row],[SupplierID]],DLBEWLPP,"&gt;=91",DLBEWLPP,"&lt;=120")</f>
        <v>0</v>
      </c>
      <c r="K21" s="6">
        <f>SUMIFS(NetB3BEWLPP,SupListBEWLPP,Table_AgingReportBEWLPP[[#This Row],[SupplierID]],DLBEWLPP,"&gt;120")</f>
        <v>16485</v>
      </c>
    </row>
    <row r="22" spans="1:11">
      <c r="A22" s="4" t="s">
        <v>9213</v>
      </c>
      <c r="B22" s="4" t="s">
        <v>352</v>
      </c>
      <c r="C22" s="6">
        <f>SUMIF(SupListBEWLPP,Table_AgingReportBEWLPP[[#This Row],[SupplierID]],NetAmountBEWLPP)</f>
        <v>60928</v>
      </c>
      <c r="D22" s="6">
        <f>SUMIF(SupListBEWLPP,Table_AgingReportBEWLPP[[#This Row],[SupplierID]],PaidBEWLPP)</f>
        <v>0</v>
      </c>
      <c r="E22" s="6">
        <f>Table_AgingReportBEWLPP[[#This Row],[Net Amount]]-Table_AgingReportBEWLPP[[#This Row],[Paid]]</f>
        <v>60928</v>
      </c>
      <c r="F22" s="6">
        <f>SUMIFS(NetB3BEWLPP,SupListBEWLPP,Table_AgingReportBEWLPP[[#This Row],[SupplierID]],DLBEWLPP,"&gt;=1",DLBEWLPP,"&lt;=30")</f>
        <v>0</v>
      </c>
      <c r="G22" s="6">
        <f>SUMIFS(NetB3BEWLPP,SupListBEWLPP,Table_AgingReportBEWLPP[[#This Row],[SupplierID]],DLBEWLPP,"&gt;=31",DLBEWLPP,"&lt;=45")</f>
        <v>0</v>
      </c>
      <c r="H22" s="6">
        <f>SUMIFS(NetB3BEWLPP,SupListBEWLPP,Table_AgingReportBEWLPP[[#This Row],[SupplierID]],DLBEWLPP,"&gt;=46",DLBEWLPP,"&lt;=60")</f>
        <v>0</v>
      </c>
      <c r="I22" s="6">
        <f>SUMIFS(NetB3BEWLPP,SupListBEWLPP,Table_AgingReportBEWLPP[[#This Row],[SupplierID]],DLBEWLPP,"&gt;=61",DLBEWLPP,"&lt;=90")</f>
        <v>0</v>
      </c>
      <c r="J22" s="6">
        <f>SUMIFS(NetB3BEWLPP,SupListBEWLPP,Table_AgingReportBEWLPP[[#This Row],[SupplierID]],DLBEWLPP,"&gt;=91",DLBEWLPP,"&lt;=120")</f>
        <v>0</v>
      </c>
      <c r="K22" s="6">
        <f>SUMIFS(NetB3BEWLPP,SupListBEWLPP,Table_AgingReportBEWLPP[[#This Row],[SupplierID]],DLBEWLPP,"&gt;120")</f>
        <v>60928</v>
      </c>
    </row>
    <row r="23" spans="1:11">
      <c r="A23" s="4" t="s">
        <v>8603</v>
      </c>
      <c r="B23" s="4" t="s">
        <v>304</v>
      </c>
      <c r="C23" s="6">
        <f>SUMIF(SupListBEWLPP,Table_AgingReportBEWLPP[[#This Row],[SupplierID]],NetAmountBEWLPP)</f>
        <v>405430</v>
      </c>
      <c r="D23" s="6">
        <f>SUMIF(SupListBEWLPP,Table_AgingReportBEWLPP[[#This Row],[SupplierID]],PaidBEWLPP)</f>
        <v>0</v>
      </c>
      <c r="E23" s="6">
        <f>Table_AgingReportBEWLPP[[#This Row],[Net Amount]]-Table_AgingReportBEWLPP[[#This Row],[Paid]]</f>
        <v>405430</v>
      </c>
      <c r="F23" s="6">
        <f>SUMIFS(NetB3BEWLPP,SupListBEWLPP,Table_AgingReportBEWLPP[[#This Row],[SupplierID]],DLBEWLPP,"&gt;=1",DLBEWLPP,"&lt;=30")</f>
        <v>81432</v>
      </c>
      <c r="G23" s="6">
        <f>SUMIFS(NetB3BEWLPP,SupListBEWLPP,Table_AgingReportBEWLPP[[#This Row],[SupplierID]],DLBEWLPP,"&gt;=31",DLBEWLPP,"&lt;=45")</f>
        <v>60320</v>
      </c>
      <c r="H23" s="6">
        <f>SUMIFS(NetB3BEWLPP,SupListBEWLPP,Table_AgingReportBEWLPP[[#This Row],[SupplierID]],DLBEWLPP,"&gt;=46",DLBEWLPP,"&lt;=60")</f>
        <v>22620</v>
      </c>
      <c r="I23" s="6">
        <f>SUMIFS(NetB3BEWLPP,SupListBEWLPP,Table_AgingReportBEWLPP[[#This Row],[SupplierID]],DLBEWLPP,"&gt;=61",DLBEWLPP,"&lt;=90")</f>
        <v>55532</v>
      </c>
      <c r="J23" s="6">
        <f>SUMIFS(NetB3BEWLPP,SupListBEWLPP,Table_AgingReportBEWLPP[[#This Row],[SupplierID]],DLBEWLPP,"&gt;=91",DLBEWLPP,"&lt;=120")</f>
        <v>72384</v>
      </c>
      <c r="K23" s="6">
        <f>SUMIFS(NetB3BEWLPP,SupListBEWLPP,Table_AgingReportBEWLPP[[#This Row],[SupplierID]],DLBEWLPP,"&gt;120")</f>
        <v>113142</v>
      </c>
    </row>
    <row r="24" spans="1:11">
      <c r="A24" s="4" t="s">
        <v>9589</v>
      </c>
      <c r="B24" s="4" t="s">
        <v>321</v>
      </c>
      <c r="C24" s="6">
        <f>SUMIF(SupListBEWLPP,Table_AgingReportBEWLPP[[#This Row],[SupplierID]],NetAmountBEWLPP)</f>
        <v>6330</v>
      </c>
      <c r="D24" s="6">
        <f>SUMIF(SupListBEWLPP,Table_AgingReportBEWLPP[[#This Row],[SupplierID]],PaidBEWLPP)</f>
        <v>0</v>
      </c>
      <c r="E24" s="6">
        <f>Table_AgingReportBEWLPP[[#This Row],[Net Amount]]-Table_AgingReportBEWLPP[[#This Row],[Paid]]</f>
        <v>6330</v>
      </c>
      <c r="F24" s="6">
        <f>SUMIFS(NetB3BEWLPP,SupListBEWLPP,Table_AgingReportBEWLPP[[#This Row],[SupplierID]],DLBEWLPP,"&gt;=1",DLBEWLPP,"&lt;=30")</f>
        <v>6330</v>
      </c>
      <c r="G24" s="6">
        <f>SUMIFS(NetB3BEWLPP,SupListBEWLPP,Table_AgingReportBEWLPP[[#This Row],[SupplierID]],DLBEWLPP,"&gt;=31",DLBEWLPP,"&lt;=45")</f>
        <v>0</v>
      </c>
      <c r="H24" s="6">
        <f>SUMIFS(NetB3BEWLPP,SupListBEWLPP,Table_AgingReportBEWLPP[[#This Row],[SupplierID]],DLBEWLPP,"&gt;=46",DLBEWLPP,"&lt;=60")</f>
        <v>0</v>
      </c>
      <c r="I24" s="6">
        <f>SUMIFS(NetB3BEWLPP,SupListBEWLPP,Table_AgingReportBEWLPP[[#This Row],[SupplierID]],DLBEWLPP,"&gt;=61",DLBEWLPP,"&lt;=90")</f>
        <v>0</v>
      </c>
      <c r="J24" s="6">
        <f>SUMIFS(NetB3BEWLPP,SupListBEWLPP,Table_AgingReportBEWLPP[[#This Row],[SupplierID]],DLBEWLPP,"&gt;=91",DLBEWLPP,"&lt;=120")</f>
        <v>0</v>
      </c>
      <c r="K24" s="6">
        <f>SUMIFS(NetB3BEWLPP,SupListBEWLPP,Table_AgingReportBEWLPP[[#This Row],[SupplierID]],DLBEWLPP,"&gt;120")</f>
        <v>0</v>
      </c>
    </row>
    <row r="25" spans="1:11">
      <c r="A25" s="4" t="s">
        <v>8714</v>
      </c>
      <c r="B25" s="4" t="s">
        <v>8715</v>
      </c>
      <c r="C25" s="6">
        <f>SUMIF(SupListBEWLPP,Table_AgingReportBEWLPP[[#This Row],[SupplierID]],NetAmountBEWLPP)</f>
        <v>74275</v>
      </c>
      <c r="D25" s="6">
        <f>SUMIF(SupListBEWLPP,Table_AgingReportBEWLPP[[#This Row],[SupplierID]],PaidBEWLPP)</f>
        <v>0</v>
      </c>
      <c r="E25" s="6">
        <f>Table_AgingReportBEWLPP[[#This Row],[Net Amount]]-Table_AgingReportBEWLPP[[#This Row],[Paid]]</f>
        <v>74275</v>
      </c>
      <c r="F25" s="6">
        <f>SUMIFS(NetB3BEWLPP,SupListBEWLPP,Table_AgingReportBEWLPP[[#This Row],[SupplierID]],DLBEWLPP,"&gt;=1",DLBEWLPP,"&lt;=30")</f>
        <v>0</v>
      </c>
      <c r="G25" s="6">
        <f>SUMIFS(NetB3BEWLPP,SupListBEWLPP,Table_AgingReportBEWLPP[[#This Row],[SupplierID]],DLBEWLPP,"&gt;=31",DLBEWLPP,"&lt;=45")</f>
        <v>0</v>
      </c>
      <c r="H25" s="6">
        <f>SUMIFS(NetB3BEWLPP,SupListBEWLPP,Table_AgingReportBEWLPP[[#This Row],[SupplierID]],DLBEWLPP,"&gt;=46",DLBEWLPP,"&lt;=60")</f>
        <v>0</v>
      </c>
      <c r="I25" s="6">
        <f>SUMIFS(NetB3BEWLPP,SupListBEWLPP,Table_AgingReportBEWLPP[[#This Row],[SupplierID]],DLBEWLPP,"&gt;=61",DLBEWLPP,"&lt;=90")</f>
        <v>0</v>
      </c>
      <c r="J25" s="6">
        <f>SUMIFS(NetB3BEWLPP,SupListBEWLPP,Table_AgingReportBEWLPP[[#This Row],[SupplierID]],DLBEWLPP,"&gt;=91",DLBEWLPP,"&lt;=120")</f>
        <v>0</v>
      </c>
      <c r="K25" s="6">
        <f>SUMIFS(NetB3BEWLPP,SupListBEWLPP,Table_AgingReportBEWLPP[[#This Row],[SupplierID]],DLBEWLPP,"&gt;120")</f>
        <v>0</v>
      </c>
    </row>
    <row r="26" spans="1:11">
      <c r="A26" s="4" t="s">
        <v>8725</v>
      </c>
      <c r="B26" s="4" t="s">
        <v>8727</v>
      </c>
      <c r="C26" s="6">
        <f>SUMIF(SupListBEWLPP,Table_AgingReportBEWLPP[[#This Row],[SupplierID]],NetAmountBEWLPP)</f>
        <v>601574</v>
      </c>
      <c r="D26" s="6">
        <f>SUMIF(SupListBEWLPP,Table_AgingReportBEWLPP[[#This Row],[SupplierID]],PaidBEWLPP)</f>
        <v>0</v>
      </c>
      <c r="E26" s="6">
        <f>Table_AgingReportBEWLPP[[#This Row],[Net Amount]]-Table_AgingReportBEWLPP[[#This Row],[Paid]]</f>
        <v>601574</v>
      </c>
      <c r="F26" s="6">
        <f>SUMIFS(NetB3BEWLPP,SupListBEWLPP,Table_AgingReportBEWLPP[[#This Row],[SupplierID]],DLBEWLPP,"&gt;=1",DLBEWLPP,"&lt;=30")</f>
        <v>0</v>
      </c>
      <c r="G26" s="6">
        <f>SUMIFS(NetB3BEWLPP,SupListBEWLPP,Table_AgingReportBEWLPP[[#This Row],[SupplierID]],DLBEWLPP,"&gt;=31",DLBEWLPP,"&lt;=45")</f>
        <v>16500</v>
      </c>
      <c r="H26" s="6">
        <f>SUMIFS(NetB3BEWLPP,SupListBEWLPP,Table_AgingReportBEWLPP[[#This Row],[SupplierID]],DLBEWLPP,"&gt;=46",DLBEWLPP,"&lt;=60")</f>
        <v>5500</v>
      </c>
      <c r="I26" s="6">
        <f>SUMIFS(NetB3BEWLPP,SupListBEWLPP,Table_AgingReportBEWLPP[[#This Row],[SupplierID]],DLBEWLPP,"&gt;=61",DLBEWLPP,"&lt;=90")</f>
        <v>29645</v>
      </c>
      <c r="J26" s="6">
        <f>SUMIFS(NetB3BEWLPP,SupListBEWLPP,Table_AgingReportBEWLPP[[#This Row],[SupplierID]],DLBEWLPP,"&gt;=91",DLBEWLPP,"&lt;=120")</f>
        <v>22000</v>
      </c>
      <c r="K26" s="6">
        <f>SUMIFS(NetB3BEWLPP,SupListBEWLPP,Table_AgingReportBEWLPP[[#This Row],[SupplierID]],DLBEWLPP,"&gt;120")</f>
        <v>527929</v>
      </c>
    </row>
    <row r="27" spans="1:11">
      <c r="A27" s="4" t="s">
        <v>8577</v>
      </c>
      <c r="B27" s="4" t="s">
        <v>8579</v>
      </c>
      <c r="C27" s="6">
        <f>SUMIF(SupListBEWLPP,Table_AgingReportBEWLPP[[#This Row],[SupplierID]],NetAmountBEWLPP)</f>
        <v>750811</v>
      </c>
      <c r="D27" s="6">
        <f>SUMIF(SupListBEWLPP,Table_AgingReportBEWLPP[[#This Row],[SupplierID]],PaidBEWLPP)</f>
        <v>0</v>
      </c>
      <c r="E27" s="6">
        <f>Table_AgingReportBEWLPP[[#This Row],[Net Amount]]-Table_AgingReportBEWLPP[[#This Row],[Paid]]</f>
        <v>750811</v>
      </c>
      <c r="F27" s="6">
        <f>SUMIFS(NetB3BEWLPP,SupListBEWLPP,Table_AgingReportBEWLPP[[#This Row],[SupplierID]],DLBEWLPP,"&gt;=1",DLBEWLPP,"&lt;=30")</f>
        <v>118830</v>
      </c>
      <c r="G27" s="6">
        <f>SUMIFS(NetB3BEWLPP,SupListBEWLPP,Table_AgingReportBEWLPP[[#This Row],[SupplierID]],DLBEWLPP,"&gt;=31",DLBEWLPP,"&lt;=45")</f>
        <v>32458</v>
      </c>
      <c r="H27" s="6">
        <f>SUMIFS(NetB3BEWLPP,SupListBEWLPP,Table_AgingReportBEWLPP[[#This Row],[SupplierID]],DLBEWLPP,"&gt;=46",DLBEWLPP,"&lt;=60")</f>
        <v>39410</v>
      </c>
      <c r="I27" s="6">
        <f>SUMIFS(NetB3BEWLPP,SupListBEWLPP,Table_AgingReportBEWLPP[[#This Row],[SupplierID]],DLBEWLPP,"&gt;=61",DLBEWLPP,"&lt;=90")</f>
        <v>96223</v>
      </c>
      <c r="J27" s="6">
        <f>SUMIFS(NetB3BEWLPP,SupListBEWLPP,Table_AgingReportBEWLPP[[#This Row],[SupplierID]],DLBEWLPP,"&gt;=91",DLBEWLPP,"&lt;=120")</f>
        <v>67953</v>
      </c>
      <c r="K27" s="6">
        <f>SUMIFS(NetB3BEWLPP,SupListBEWLPP,Table_AgingReportBEWLPP[[#This Row],[SupplierID]],DLBEWLPP,"&gt;120")</f>
        <v>396019</v>
      </c>
    </row>
    <row r="28" spans="1:11">
      <c r="A28" s="4" t="s">
        <v>8582</v>
      </c>
      <c r="B28" s="4" t="s">
        <v>8583</v>
      </c>
      <c r="C28" s="6">
        <f>SUMIF(SupListBEWLPP,Table_AgingReportBEWLPP[[#This Row],[SupplierID]],NetAmountBEWLPP)</f>
        <v>208391</v>
      </c>
      <c r="D28" s="6">
        <f>SUMIF(SupListBEWLPP,Table_AgingReportBEWLPP[[#This Row],[SupplierID]],PaidBEWLPP)</f>
        <v>0</v>
      </c>
      <c r="E28" s="6">
        <f>Table_AgingReportBEWLPP[[#This Row],[Net Amount]]-Table_AgingReportBEWLPP[[#This Row],[Paid]]</f>
        <v>208391</v>
      </c>
      <c r="F28" s="6">
        <f>SUMIFS(NetB3BEWLPP,SupListBEWLPP,Table_AgingReportBEWLPP[[#This Row],[SupplierID]],DLBEWLPP,"&gt;=1",DLBEWLPP,"&lt;=30")</f>
        <v>0</v>
      </c>
      <c r="G28" s="6">
        <f>SUMIFS(NetB3BEWLPP,SupListBEWLPP,Table_AgingReportBEWLPP[[#This Row],[SupplierID]],DLBEWLPP,"&gt;=31",DLBEWLPP,"&lt;=45")</f>
        <v>0</v>
      </c>
      <c r="H28" s="6">
        <f>SUMIFS(NetB3BEWLPP,SupListBEWLPP,Table_AgingReportBEWLPP[[#This Row],[SupplierID]],DLBEWLPP,"&gt;=46",DLBEWLPP,"&lt;=60")</f>
        <v>0</v>
      </c>
      <c r="I28" s="6">
        <f>SUMIFS(NetB3BEWLPP,SupListBEWLPP,Table_AgingReportBEWLPP[[#This Row],[SupplierID]],DLBEWLPP,"&gt;=61",DLBEWLPP,"&lt;=90")</f>
        <v>0</v>
      </c>
      <c r="J28" s="6">
        <f>SUMIFS(NetB3BEWLPP,SupListBEWLPP,Table_AgingReportBEWLPP[[#This Row],[SupplierID]],DLBEWLPP,"&gt;=91",DLBEWLPP,"&lt;=120")</f>
        <v>0</v>
      </c>
      <c r="K28" s="6">
        <f>SUMIFS(NetB3BEWLPP,SupListBEWLPP,Table_AgingReportBEWLPP[[#This Row],[SupplierID]],DLBEWLPP,"&gt;120")</f>
        <v>208391</v>
      </c>
    </row>
    <row r="29" spans="1:11">
      <c r="A29" s="4" t="s">
        <v>9145</v>
      </c>
      <c r="B29" s="4" t="s">
        <v>362</v>
      </c>
      <c r="C29" s="6">
        <f>SUMIF(SupListBEWLPP,Table_AgingReportBEWLPP[[#This Row],[SupplierID]],NetAmountBEWLPP)</f>
        <v>213592</v>
      </c>
      <c r="D29" s="6">
        <f>SUMIF(SupListBEWLPP,Table_AgingReportBEWLPP[[#This Row],[SupplierID]],PaidBEWLPP)</f>
        <v>0</v>
      </c>
      <c r="E29" s="6">
        <f>Table_AgingReportBEWLPP[[#This Row],[Net Amount]]-Table_AgingReportBEWLPP[[#This Row],[Paid]]</f>
        <v>213592</v>
      </c>
      <c r="F29" s="6">
        <f>SUMIFS(NetB3BEWLPP,SupListBEWLPP,Table_AgingReportBEWLPP[[#This Row],[SupplierID]],DLBEWLPP,"&gt;=1",DLBEWLPP,"&lt;=30")</f>
        <v>0</v>
      </c>
      <c r="G29" s="6">
        <f>SUMIFS(NetB3BEWLPP,SupListBEWLPP,Table_AgingReportBEWLPP[[#This Row],[SupplierID]],DLBEWLPP,"&gt;=31",DLBEWLPP,"&lt;=45")</f>
        <v>34092</v>
      </c>
      <c r="H29" s="6">
        <f>SUMIFS(NetB3BEWLPP,SupListBEWLPP,Table_AgingReportBEWLPP[[#This Row],[SupplierID]],DLBEWLPP,"&gt;=46",DLBEWLPP,"&lt;=60")</f>
        <v>0</v>
      </c>
      <c r="I29" s="6">
        <f>SUMIFS(NetB3BEWLPP,SupListBEWLPP,Table_AgingReportBEWLPP[[#This Row],[SupplierID]],DLBEWLPP,"&gt;=61",DLBEWLPP,"&lt;=90")</f>
        <v>11040</v>
      </c>
      <c r="J29" s="6">
        <f>SUMIFS(NetB3BEWLPP,SupListBEWLPP,Table_AgingReportBEWLPP[[#This Row],[SupplierID]],DLBEWLPP,"&gt;=91",DLBEWLPP,"&lt;=120")</f>
        <v>0</v>
      </c>
      <c r="K29" s="6">
        <f>SUMIFS(NetB3BEWLPP,SupListBEWLPP,Table_AgingReportBEWLPP[[#This Row],[SupplierID]],DLBEWLPP,"&gt;120")</f>
        <v>168460</v>
      </c>
    </row>
    <row r="30" spans="1:11">
      <c r="A30" s="4" t="s">
        <v>8534</v>
      </c>
      <c r="B30" s="4" t="s">
        <v>8535</v>
      </c>
      <c r="C30" s="6">
        <f>SUMIF(SupListBEWLPP,Table_AgingReportBEWLPP[[#This Row],[SupplierID]],NetAmountBEWLPP)</f>
        <v>450689</v>
      </c>
      <c r="D30" s="6">
        <f>SUMIF(SupListBEWLPP,Table_AgingReportBEWLPP[[#This Row],[SupplierID]],PaidBEWLPP)</f>
        <v>0</v>
      </c>
      <c r="E30" s="6">
        <f>Table_AgingReportBEWLPP[[#This Row],[Net Amount]]-Table_AgingReportBEWLPP[[#This Row],[Paid]]</f>
        <v>450689</v>
      </c>
      <c r="F30" s="6">
        <f>SUMIFS(NetB3BEWLPP,SupListBEWLPP,Table_AgingReportBEWLPP[[#This Row],[SupplierID]],DLBEWLPP,"&gt;=1",DLBEWLPP,"&lt;=30")</f>
        <v>0</v>
      </c>
      <c r="G30" s="6">
        <f>SUMIFS(NetB3BEWLPP,SupListBEWLPP,Table_AgingReportBEWLPP[[#This Row],[SupplierID]],DLBEWLPP,"&gt;=31",DLBEWLPP,"&lt;=45")</f>
        <v>0</v>
      </c>
      <c r="H30" s="6">
        <f>SUMIFS(NetB3BEWLPP,SupListBEWLPP,Table_AgingReportBEWLPP[[#This Row],[SupplierID]],DLBEWLPP,"&gt;=46",DLBEWLPP,"&lt;=60")</f>
        <v>0</v>
      </c>
      <c r="I30" s="6">
        <f>SUMIFS(NetB3BEWLPP,SupListBEWLPP,Table_AgingReportBEWLPP[[#This Row],[SupplierID]],DLBEWLPP,"&gt;=61",DLBEWLPP,"&lt;=90")</f>
        <v>0</v>
      </c>
      <c r="J30" s="6">
        <f>SUMIFS(NetB3BEWLPP,SupListBEWLPP,Table_AgingReportBEWLPP[[#This Row],[SupplierID]],DLBEWLPP,"&gt;=91",DLBEWLPP,"&lt;=120")</f>
        <v>50460</v>
      </c>
      <c r="K30" s="6">
        <f>SUMIFS(NetB3BEWLPP,SupListBEWLPP,Table_AgingReportBEWLPP[[#This Row],[SupplierID]],DLBEWLPP,"&gt;120")</f>
        <v>400229</v>
      </c>
    </row>
    <row r="31" spans="1:11">
      <c r="A31" s="4" t="s">
        <v>8522</v>
      </c>
      <c r="B31" s="4" t="s">
        <v>5458</v>
      </c>
      <c r="C31" s="6">
        <f>SUMIF(SupListBEWLPP,Table_AgingReportBEWLPP[[#This Row],[SupplierID]],NetAmountBEWLPP)</f>
        <v>536838</v>
      </c>
      <c r="D31" s="6">
        <f>SUMIF(SupListBEWLPP,Table_AgingReportBEWLPP[[#This Row],[SupplierID]],PaidBEWLPP)</f>
        <v>0</v>
      </c>
      <c r="E31" s="6">
        <f>Table_AgingReportBEWLPP[[#This Row],[Net Amount]]-Table_AgingReportBEWLPP[[#This Row],[Paid]]</f>
        <v>536838</v>
      </c>
      <c r="F31" s="6">
        <f>SUMIFS(NetB3BEWLPP,SupListBEWLPP,Table_AgingReportBEWLPP[[#This Row],[SupplierID]],DLBEWLPP,"&gt;=1",DLBEWLPP,"&lt;=30")</f>
        <v>0</v>
      </c>
      <c r="G31" s="6">
        <f>SUMIFS(NetB3BEWLPP,SupListBEWLPP,Table_AgingReportBEWLPP[[#This Row],[SupplierID]],DLBEWLPP,"&gt;=31",DLBEWLPP,"&lt;=45")</f>
        <v>0</v>
      </c>
      <c r="H31" s="6">
        <f>SUMIFS(NetB3BEWLPP,SupListBEWLPP,Table_AgingReportBEWLPP[[#This Row],[SupplierID]],DLBEWLPP,"&gt;=46",DLBEWLPP,"&lt;=60")</f>
        <v>0</v>
      </c>
      <c r="I31" s="6">
        <f>SUMIFS(NetB3BEWLPP,SupListBEWLPP,Table_AgingReportBEWLPP[[#This Row],[SupplierID]],DLBEWLPP,"&gt;=61",DLBEWLPP,"&lt;=90")</f>
        <v>0</v>
      </c>
      <c r="J31" s="6">
        <f>SUMIFS(NetB3BEWLPP,SupListBEWLPP,Table_AgingReportBEWLPP[[#This Row],[SupplierID]],DLBEWLPP,"&gt;=91",DLBEWLPP,"&lt;=120")</f>
        <v>0</v>
      </c>
      <c r="K31" s="6">
        <f>SUMIFS(NetB3BEWLPP,SupListBEWLPP,Table_AgingReportBEWLPP[[#This Row],[SupplierID]],DLBEWLPP,"&gt;120")</f>
        <v>536838</v>
      </c>
    </row>
    <row r="32" spans="1:11">
      <c r="A32" s="4" t="s">
        <v>8630</v>
      </c>
      <c r="B32" s="4" t="s">
        <v>363</v>
      </c>
      <c r="C32" s="6">
        <f>SUMIF(SupListBEWLPP,Table_AgingReportBEWLPP[[#This Row],[SupplierID]],NetAmountBEWLPP)</f>
        <v>117991</v>
      </c>
      <c r="D32" s="6">
        <f>SUMIF(SupListBEWLPP,Table_AgingReportBEWLPP[[#This Row],[SupplierID]],PaidBEWLPP)</f>
        <v>0</v>
      </c>
      <c r="E32" s="6">
        <f>Table_AgingReportBEWLPP[[#This Row],[Net Amount]]-Table_AgingReportBEWLPP[[#This Row],[Paid]]</f>
        <v>117991</v>
      </c>
      <c r="F32" s="6">
        <f>SUMIFS(NetB3BEWLPP,SupListBEWLPP,Table_AgingReportBEWLPP[[#This Row],[SupplierID]],DLBEWLPP,"&gt;=1",DLBEWLPP,"&lt;=30")</f>
        <v>0</v>
      </c>
      <c r="G32" s="6">
        <f>SUMIFS(NetB3BEWLPP,SupListBEWLPP,Table_AgingReportBEWLPP[[#This Row],[SupplierID]],DLBEWLPP,"&gt;=31",DLBEWLPP,"&lt;=45")</f>
        <v>0</v>
      </c>
      <c r="H32" s="6">
        <f>SUMIFS(NetB3BEWLPP,SupListBEWLPP,Table_AgingReportBEWLPP[[#This Row],[SupplierID]],DLBEWLPP,"&gt;=46",DLBEWLPP,"&lt;=60")</f>
        <v>0</v>
      </c>
      <c r="I32" s="6">
        <f>SUMIFS(NetB3BEWLPP,SupListBEWLPP,Table_AgingReportBEWLPP[[#This Row],[SupplierID]],DLBEWLPP,"&gt;=61",DLBEWLPP,"&lt;=90")</f>
        <v>18235</v>
      </c>
      <c r="J32" s="6">
        <f>SUMIFS(NetB3BEWLPP,SupListBEWLPP,Table_AgingReportBEWLPP[[#This Row],[SupplierID]],DLBEWLPP,"&gt;=91",DLBEWLPP,"&lt;=120")</f>
        <v>13781</v>
      </c>
      <c r="K32" s="6">
        <f>SUMIFS(NetB3BEWLPP,SupListBEWLPP,Table_AgingReportBEWLPP[[#This Row],[SupplierID]],DLBEWLPP,"&gt;120")</f>
        <v>103896</v>
      </c>
    </row>
    <row r="33" spans="1:11">
      <c r="A33" s="4" t="s">
        <v>9592</v>
      </c>
      <c r="B33" s="4" t="s">
        <v>9594</v>
      </c>
      <c r="C33" s="6">
        <f>SUMIF(SupListBEWLPP,Table_AgingReportBEWLPP[[#This Row],[SupplierID]],NetAmountBEWLPP)</f>
        <v>44000</v>
      </c>
      <c r="D33" s="6">
        <f>SUMIF(SupListBEWLPP,Table_AgingReportBEWLPP[[#This Row],[SupplierID]],PaidBEWLPP)</f>
        <v>0</v>
      </c>
      <c r="E33" s="6">
        <f>Table_AgingReportBEWLPP[[#This Row],[Net Amount]]-Table_AgingReportBEWLPP[[#This Row],[Paid]]</f>
        <v>44000</v>
      </c>
      <c r="F33" s="6">
        <f>SUMIFS(NetB3BEWLPP,SupListBEWLPP,Table_AgingReportBEWLPP[[#This Row],[SupplierID]],DLBEWLPP,"&gt;=1",DLBEWLPP,"&lt;=30")</f>
        <v>23600</v>
      </c>
      <c r="G33" s="6">
        <f>SUMIFS(NetB3BEWLPP,SupListBEWLPP,Table_AgingReportBEWLPP[[#This Row],[SupplierID]],DLBEWLPP,"&gt;=31",DLBEWLPP,"&lt;=45")</f>
        <v>13200</v>
      </c>
      <c r="H33" s="6">
        <f>SUMIFS(NetB3BEWLPP,SupListBEWLPP,Table_AgingReportBEWLPP[[#This Row],[SupplierID]],DLBEWLPP,"&gt;=46",DLBEWLPP,"&lt;=60")</f>
        <v>0</v>
      </c>
      <c r="I33" s="6">
        <f>SUMIFS(NetB3BEWLPP,SupListBEWLPP,Table_AgingReportBEWLPP[[#This Row],[SupplierID]],DLBEWLPP,"&gt;=61",DLBEWLPP,"&lt;=90")</f>
        <v>0</v>
      </c>
      <c r="J33" s="6">
        <f>SUMIFS(NetB3BEWLPP,SupListBEWLPP,Table_AgingReportBEWLPP[[#This Row],[SupplierID]],DLBEWLPP,"&gt;=91",DLBEWLPP,"&lt;=120")</f>
        <v>0</v>
      </c>
      <c r="K33" s="6">
        <f>SUMIFS(NetB3BEWLPP,SupListBEWLPP,Table_AgingReportBEWLPP[[#This Row],[SupplierID]],DLBEWLPP,"&gt;120")</f>
        <v>7200</v>
      </c>
    </row>
    <row r="34" spans="1:11">
      <c r="A34" s="4" t="s">
        <v>10668</v>
      </c>
      <c r="B34" s="4" t="s">
        <v>10670</v>
      </c>
      <c r="C34" s="6">
        <f>SUMIF(SupListBEWLPP,Table_AgingReportBEWLPP[[#This Row],[SupplierID]],NetAmountBEWLPP)</f>
        <v>153433</v>
      </c>
      <c r="D34" s="6">
        <f>SUMIF(SupListBEWLPP,Table_AgingReportBEWLPP[[#This Row],[SupplierID]],PaidBEWLPP)</f>
        <v>0</v>
      </c>
      <c r="E34" s="6">
        <f>Table_AgingReportBEWLPP[[#This Row],[Net Amount]]-Table_AgingReportBEWLPP[[#This Row],[Paid]]</f>
        <v>153433</v>
      </c>
      <c r="F34" s="6">
        <f>SUMIFS(NetB3BEWLPP,SupListBEWLPP,Table_AgingReportBEWLPP[[#This Row],[SupplierID]],DLBEWLPP,"&gt;=1",DLBEWLPP,"&lt;=30")</f>
        <v>0</v>
      </c>
      <c r="G34" s="6">
        <f>SUMIFS(NetB3BEWLPP,SupListBEWLPP,Table_AgingReportBEWLPP[[#This Row],[SupplierID]],DLBEWLPP,"&gt;=31",DLBEWLPP,"&lt;=45")</f>
        <v>153433</v>
      </c>
      <c r="H34" s="6">
        <f>SUMIFS(NetB3BEWLPP,SupListBEWLPP,Table_AgingReportBEWLPP[[#This Row],[SupplierID]],DLBEWLPP,"&gt;=46",DLBEWLPP,"&lt;=60")</f>
        <v>0</v>
      </c>
      <c r="I34" s="6">
        <f>SUMIFS(NetB3BEWLPP,SupListBEWLPP,Table_AgingReportBEWLPP[[#This Row],[SupplierID]],DLBEWLPP,"&gt;=61",DLBEWLPP,"&lt;=90")</f>
        <v>0</v>
      </c>
      <c r="J34" s="6">
        <f>SUMIFS(NetB3BEWLPP,SupListBEWLPP,Table_AgingReportBEWLPP[[#This Row],[SupplierID]],DLBEWLPP,"&gt;=91",DLBEWLPP,"&lt;=120")</f>
        <v>0</v>
      </c>
      <c r="K34" s="6">
        <f>SUMIFS(NetB3BEWLPP,SupListBEWLPP,Table_AgingReportBEWLPP[[#This Row],[SupplierID]],DLBEWLPP,"&gt;120")</f>
        <v>0</v>
      </c>
    </row>
    <row r="35" spans="1:11">
      <c r="A35" s="4" t="s">
        <v>8677</v>
      </c>
      <c r="B35" s="4" t="s">
        <v>8679</v>
      </c>
      <c r="C35" s="6">
        <f>SUMIF(SupListBEWLPP,Table_AgingReportBEWLPP[[#This Row],[SupplierID]],NetAmountBEWLPP)</f>
        <v>258092</v>
      </c>
      <c r="D35" s="6">
        <f>SUMIF(SupListBEWLPP,Table_AgingReportBEWLPP[[#This Row],[SupplierID]],PaidBEWLPP)</f>
        <v>0</v>
      </c>
      <c r="E35" s="6">
        <f>Table_AgingReportBEWLPP[[#This Row],[Net Amount]]-Table_AgingReportBEWLPP[[#This Row],[Paid]]</f>
        <v>258092</v>
      </c>
      <c r="F35" s="6">
        <f>SUMIFS(NetB3BEWLPP,SupListBEWLPP,Table_AgingReportBEWLPP[[#This Row],[SupplierID]],DLBEWLPP,"&gt;=1",DLBEWLPP,"&lt;=30")</f>
        <v>0</v>
      </c>
      <c r="G35" s="6">
        <f>SUMIFS(NetB3BEWLPP,SupListBEWLPP,Table_AgingReportBEWLPP[[#This Row],[SupplierID]],DLBEWLPP,"&gt;=31",DLBEWLPP,"&lt;=45")</f>
        <v>0</v>
      </c>
      <c r="H35" s="6">
        <f>SUMIFS(NetB3BEWLPP,SupListBEWLPP,Table_AgingReportBEWLPP[[#This Row],[SupplierID]],DLBEWLPP,"&gt;=46",DLBEWLPP,"&lt;=60")</f>
        <v>0</v>
      </c>
      <c r="I35" s="6">
        <f>SUMIFS(NetB3BEWLPP,SupListBEWLPP,Table_AgingReportBEWLPP[[#This Row],[SupplierID]],DLBEWLPP,"&gt;=61",DLBEWLPP,"&lt;=90")</f>
        <v>153375</v>
      </c>
      <c r="J35" s="6">
        <f>SUMIFS(NetB3BEWLPP,SupListBEWLPP,Table_AgingReportBEWLPP[[#This Row],[SupplierID]],DLBEWLPP,"&gt;=91",DLBEWLPP,"&lt;=120")</f>
        <v>0</v>
      </c>
      <c r="K35" s="6">
        <f>SUMIFS(NetB3BEWLPP,SupListBEWLPP,Table_AgingReportBEWLPP[[#This Row],[SupplierID]],DLBEWLPP,"&gt;120")</f>
        <v>104717</v>
      </c>
    </row>
    <row r="36" spans="1:11">
      <c r="A36" s="4" t="s">
        <v>5509</v>
      </c>
      <c r="B36" s="4" t="s">
        <v>354</v>
      </c>
      <c r="C36" s="6">
        <f>SUMIF(SupListBEWLPP,Table_AgingReportBEWLPP[[#This Row],[SupplierID]],NetAmountBEWLPP)</f>
        <v>1811235</v>
      </c>
      <c r="D36" s="6">
        <f>SUMIF(SupListBEWLPP,Table_AgingReportBEWLPP[[#This Row],[SupplierID]],PaidBEWLPP)</f>
        <v>0</v>
      </c>
      <c r="E36" s="6">
        <f>Table_AgingReportBEWLPP[[#This Row],[Net Amount]]-Table_AgingReportBEWLPP[[#This Row],[Paid]]</f>
        <v>1811235</v>
      </c>
      <c r="F36" s="6">
        <f>SUMIFS(NetB3BEWLPP,SupListBEWLPP,Table_AgingReportBEWLPP[[#This Row],[SupplierID]],DLBEWLPP,"&gt;=1",DLBEWLPP,"&lt;=30")</f>
        <v>46748</v>
      </c>
      <c r="G36" s="6">
        <f>SUMIFS(NetB3BEWLPP,SupListBEWLPP,Table_AgingReportBEWLPP[[#This Row],[SupplierID]],DLBEWLPP,"&gt;=31",DLBEWLPP,"&lt;=45")</f>
        <v>38454</v>
      </c>
      <c r="H36" s="6">
        <f>SUMIFS(NetB3BEWLPP,SupListBEWLPP,Table_AgingReportBEWLPP[[#This Row],[SupplierID]],DLBEWLPP,"&gt;=46",DLBEWLPP,"&lt;=60")</f>
        <v>508665</v>
      </c>
      <c r="I36" s="6">
        <f>SUMIFS(NetB3BEWLPP,SupListBEWLPP,Table_AgingReportBEWLPP[[#This Row],[SupplierID]],DLBEWLPP,"&gt;=61",DLBEWLPP,"&lt;=90")</f>
        <v>745662</v>
      </c>
      <c r="J36" s="6">
        <f>SUMIFS(NetB3BEWLPP,SupListBEWLPP,Table_AgingReportBEWLPP[[#This Row],[SupplierID]],DLBEWLPP,"&gt;=91",DLBEWLPP,"&lt;=120")</f>
        <v>363178</v>
      </c>
      <c r="K36" s="6">
        <f>SUMIFS(NetB3BEWLPP,SupListBEWLPP,Table_AgingReportBEWLPP[[#This Row],[SupplierID]],DLBEWLPP,"&gt;120")</f>
        <v>116474</v>
      </c>
    </row>
    <row r="37" spans="1:11">
      <c r="A37" s="4" t="s">
        <v>8789</v>
      </c>
      <c r="B37" s="4" t="s">
        <v>8792</v>
      </c>
      <c r="C37" s="6">
        <f>SUMIF(SupListBEWLPP,Table_AgingReportBEWLPP[[#This Row],[SupplierID]],NetAmountBEWLPP)</f>
        <v>126355</v>
      </c>
      <c r="D37" s="6">
        <f>SUMIF(SupListBEWLPP,Table_AgingReportBEWLPP[[#This Row],[SupplierID]],PaidBEWLPP)</f>
        <v>0</v>
      </c>
      <c r="E37" s="6">
        <f>Table_AgingReportBEWLPP[[#This Row],[Net Amount]]-Table_AgingReportBEWLPP[[#This Row],[Paid]]</f>
        <v>126355</v>
      </c>
      <c r="F37" s="6">
        <f>SUMIFS(NetB3BEWLPP,SupListBEWLPP,Table_AgingReportBEWLPP[[#This Row],[SupplierID]],DLBEWLPP,"&gt;=1",DLBEWLPP,"&lt;=30")</f>
        <v>0</v>
      </c>
      <c r="G37" s="6">
        <f>SUMIFS(NetB3BEWLPP,SupListBEWLPP,Table_AgingReportBEWLPP[[#This Row],[SupplierID]],DLBEWLPP,"&gt;=31",DLBEWLPP,"&lt;=45")</f>
        <v>0</v>
      </c>
      <c r="H37" s="6">
        <f>SUMIFS(NetB3BEWLPP,SupListBEWLPP,Table_AgingReportBEWLPP[[#This Row],[SupplierID]],DLBEWLPP,"&gt;=46",DLBEWLPP,"&lt;=60")</f>
        <v>0</v>
      </c>
      <c r="I37" s="6">
        <f>SUMIFS(NetB3BEWLPP,SupListBEWLPP,Table_AgingReportBEWLPP[[#This Row],[SupplierID]],DLBEWLPP,"&gt;=61",DLBEWLPP,"&lt;=90")</f>
        <v>58133</v>
      </c>
      <c r="J37" s="6">
        <f>SUMIFS(NetB3BEWLPP,SupListBEWLPP,Table_AgingReportBEWLPP[[#This Row],[SupplierID]],DLBEWLPP,"&gt;=91",DLBEWLPP,"&lt;=120")</f>
        <v>0</v>
      </c>
      <c r="K37" s="6">
        <f>SUMIFS(NetB3BEWLPP,SupListBEWLPP,Table_AgingReportBEWLPP[[#This Row],[SupplierID]],DLBEWLPP,"&gt;120")</f>
        <v>68222</v>
      </c>
    </row>
    <row r="38" spans="1:11">
      <c r="A38" s="4" t="s">
        <v>8544</v>
      </c>
      <c r="B38" s="4" t="s">
        <v>8545</v>
      </c>
      <c r="C38" s="6">
        <f>SUMIF(SupListBEWLPP,Table_AgingReportBEWLPP[[#This Row],[SupplierID]],NetAmountBEWLPP)</f>
        <v>740594</v>
      </c>
      <c r="D38" s="6">
        <f>SUMIF(SupListBEWLPP,Table_AgingReportBEWLPP[[#This Row],[SupplierID]],PaidBEWLPP)</f>
        <v>0</v>
      </c>
      <c r="E38" s="6">
        <f>Table_AgingReportBEWLPP[[#This Row],[Net Amount]]-Table_AgingReportBEWLPP[[#This Row],[Paid]]</f>
        <v>740594</v>
      </c>
      <c r="F38" s="6">
        <f>SUMIFS(NetB3BEWLPP,SupListBEWLPP,Table_AgingReportBEWLPP[[#This Row],[SupplierID]],DLBEWLPP,"&gt;=1",DLBEWLPP,"&lt;=30")</f>
        <v>0</v>
      </c>
      <c r="G38" s="6">
        <f>SUMIFS(NetB3BEWLPP,SupListBEWLPP,Table_AgingReportBEWLPP[[#This Row],[SupplierID]],DLBEWLPP,"&gt;=31",DLBEWLPP,"&lt;=45")</f>
        <v>0</v>
      </c>
      <c r="H38" s="6">
        <f>SUMIFS(NetB3BEWLPP,SupListBEWLPP,Table_AgingReportBEWLPP[[#This Row],[SupplierID]],DLBEWLPP,"&gt;=46",DLBEWLPP,"&lt;=60")</f>
        <v>0</v>
      </c>
      <c r="I38" s="6">
        <f>SUMIFS(NetB3BEWLPP,SupListBEWLPP,Table_AgingReportBEWLPP[[#This Row],[SupplierID]],DLBEWLPP,"&gt;=61",DLBEWLPP,"&lt;=90")</f>
        <v>0</v>
      </c>
      <c r="J38" s="6">
        <f>SUMIFS(NetB3BEWLPP,SupListBEWLPP,Table_AgingReportBEWLPP[[#This Row],[SupplierID]],DLBEWLPP,"&gt;=91",DLBEWLPP,"&lt;=120")</f>
        <v>0</v>
      </c>
      <c r="K38" s="6">
        <f>SUMIFS(NetB3BEWLPP,SupListBEWLPP,Table_AgingReportBEWLPP[[#This Row],[SupplierID]],DLBEWLPP,"&gt;120")</f>
        <v>740594</v>
      </c>
    </row>
    <row r="39" spans="1:11">
      <c r="A39" s="4" t="s">
        <v>8524</v>
      </c>
      <c r="B39" s="4" t="s">
        <v>8525</v>
      </c>
      <c r="C39" s="6">
        <f>SUMIF(SupListBEWLPP,Table_AgingReportBEWLPP[[#This Row],[SupplierID]],NetAmountBEWLPP)</f>
        <v>8671240</v>
      </c>
      <c r="D39" s="6">
        <f>SUMIF(SupListBEWLPP,Table_AgingReportBEWLPP[[#This Row],[SupplierID]],PaidBEWLPP)</f>
        <v>241698</v>
      </c>
      <c r="E39" s="6">
        <f>Table_AgingReportBEWLPP[[#This Row],[Net Amount]]-Table_AgingReportBEWLPP[[#This Row],[Paid]]</f>
        <v>8429542</v>
      </c>
      <c r="F39" s="6">
        <f>SUMIFS(NetB3BEWLPP,SupListBEWLPP,Table_AgingReportBEWLPP[[#This Row],[SupplierID]],DLBEWLPP,"&gt;=1",DLBEWLPP,"&lt;=30")</f>
        <v>0</v>
      </c>
      <c r="G39" s="6">
        <f>SUMIFS(NetB3BEWLPP,SupListBEWLPP,Table_AgingReportBEWLPP[[#This Row],[SupplierID]],DLBEWLPP,"&gt;=31",DLBEWLPP,"&lt;=45")</f>
        <v>0</v>
      </c>
      <c r="H39" s="6">
        <f>SUMIFS(NetB3BEWLPP,SupListBEWLPP,Table_AgingReportBEWLPP[[#This Row],[SupplierID]],DLBEWLPP,"&gt;=46",DLBEWLPP,"&lt;=60")</f>
        <v>0</v>
      </c>
      <c r="I39" s="6">
        <f>SUMIFS(NetB3BEWLPP,SupListBEWLPP,Table_AgingReportBEWLPP[[#This Row],[SupplierID]],DLBEWLPP,"&gt;=61",DLBEWLPP,"&lt;=90")</f>
        <v>0</v>
      </c>
      <c r="J39" s="6">
        <f>SUMIFS(NetB3BEWLPP,SupListBEWLPP,Table_AgingReportBEWLPP[[#This Row],[SupplierID]],DLBEWLPP,"&gt;=91",DLBEWLPP,"&lt;=120")</f>
        <v>866652</v>
      </c>
      <c r="K39" s="6">
        <f>SUMIFS(NetB3BEWLPP,SupListBEWLPP,Table_AgingReportBEWLPP[[#This Row],[SupplierID]],DLBEWLPP,"&gt;120")</f>
        <v>7562890</v>
      </c>
    </row>
    <row r="40" spans="1:11">
      <c r="A40" s="4" t="s">
        <v>8657</v>
      </c>
      <c r="B40" s="4" t="s">
        <v>8659</v>
      </c>
      <c r="C40" s="6">
        <f>SUMIF(SupListBEWLPP,Table_AgingReportBEWLPP[[#This Row],[SupplierID]],NetAmountBEWLPP)</f>
        <v>611816</v>
      </c>
      <c r="D40" s="6">
        <f>SUMIF(SupListBEWLPP,Table_AgingReportBEWLPP[[#This Row],[SupplierID]],PaidBEWLPP)</f>
        <v>0</v>
      </c>
      <c r="E40" s="6">
        <f>Table_AgingReportBEWLPP[[#This Row],[Net Amount]]-Table_AgingReportBEWLPP[[#This Row],[Paid]]</f>
        <v>611816</v>
      </c>
      <c r="F40" s="6">
        <f>SUMIFS(NetB3BEWLPP,SupListBEWLPP,Table_AgingReportBEWLPP[[#This Row],[SupplierID]],DLBEWLPP,"&gt;=1",DLBEWLPP,"&lt;=30")</f>
        <v>0</v>
      </c>
      <c r="G40" s="6">
        <f>SUMIFS(NetB3BEWLPP,SupListBEWLPP,Table_AgingReportBEWLPP[[#This Row],[SupplierID]],DLBEWLPP,"&gt;=31",DLBEWLPP,"&lt;=45")</f>
        <v>0</v>
      </c>
      <c r="H40" s="6">
        <f>SUMIFS(NetB3BEWLPP,SupListBEWLPP,Table_AgingReportBEWLPP[[#This Row],[SupplierID]],DLBEWLPP,"&gt;=46",DLBEWLPP,"&lt;=60")</f>
        <v>0</v>
      </c>
      <c r="I40" s="6">
        <f>SUMIFS(NetB3BEWLPP,SupListBEWLPP,Table_AgingReportBEWLPP[[#This Row],[SupplierID]],DLBEWLPP,"&gt;=61",DLBEWLPP,"&lt;=90")</f>
        <v>30624</v>
      </c>
      <c r="J40" s="6">
        <f>SUMIFS(NetB3BEWLPP,SupListBEWLPP,Table_AgingReportBEWLPP[[#This Row],[SupplierID]],DLBEWLPP,"&gt;=91",DLBEWLPP,"&lt;=120")</f>
        <v>153120</v>
      </c>
      <c r="K40" s="6">
        <f>SUMIFS(NetB3BEWLPP,SupListBEWLPP,Table_AgingReportBEWLPP[[#This Row],[SupplierID]],DLBEWLPP,"&gt;120")</f>
        <v>428072</v>
      </c>
    </row>
    <row r="41" spans="1:11">
      <c r="A41" s="4" t="s">
        <v>8598</v>
      </c>
      <c r="B41" s="4" t="s">
        <v>369</v>
      </c>
      <c r="C41" s="6">
        <f>SUMIF(SupListBEWLPP,Table_AgingReportBEWLPP[[#This Row],[SupplierID]],NetAmountBEWLPP)</f>
        <v>504592</v>
      </c>
      <c r="D41" s="6">
        <f>SUMIF(SupListBEWLPP,Table_AgingReportBEWLPP[[#This Row],[SupplierID]],PaidBEWLPP)</f>
        <v>0</v>
      </c>
      <c r="E41" s="6">
        <f>Table_AgingReportBEWLPP[[#This Row],[Net Amount]]-Table_AgingReportBEWLPP[[#This Row],[Paid]]</f>
        <v>504592</v>
      </c>
      <c r="F41" s="6">
        <f>SUMIFS(NetB3BEWLPP,SupListBEWLPP,Table_AgingReportBEWLPP[[#This Row],[SupplierID]],DLBEWLPP,"&gt;=1",DLBEWLPP,"&lt;=30")</f>
        <v>91938</v>
      </c>
      <c r="G41" s="6">
        <f>SUMIFS(NetB3BEWLPP,SupListBEWLPP,Table_AgingReportBEWLPP[[#This Row],[SupplierID]],DLBEWLPP,"&gt;=31",DLBEWLPP,"&lt;=45")</f>
        <v>15470</v>
      </c>
      <c r="H41" s="6">
        <f>SUMIFS(NetB3BEWLPP,SupListBEWLPP,Table_AgingReportBEWLPP[[#This Row],[SupplierID]],DLBEWLPP,"&gt;=46",DLBEWLPP,"&lt;=60")</f>
        <v>44080</v>
      </c>
      <c r="I41" s="6">
        <f>SUMIFS(NetB3BEWLPP,SupListBEWLPP,Table_AgingReportBEWLPP[[#This Row],[SupplierID]],DLBEWLPP,"&gt;=61",DLBEWLPP,"&lt;=90")</f>
        <v>94443</v>
      </c>
      <c r="J41" s="6">
        <f>SUMIFS(NetB3BEWLPP,SupListBEWLPP,Table_AgingReportBEWLPP[[#This Row],[SupplierID]],DLBEWLPP,"&gt;=91",DLBEWLPP,"&lt;=120")</f>
        <v>81526</v>
      </c>
      <c r="K41" s="6">
        <f>SUMIFS(NetB3BEWLPP,SupListBEWLPP,Table_AgingReportBEWLPP[[#This Row],[SupplierID]],DLBEWLPP,"&gt;120")</f>
        <v>177135</v>
      </c>
    </row>
    <row r="42" spans="1:11">
      <c r="A42" s="4" t="s">
        <v>8547</v>
      </c>
      <c r="B42" s="4" t="s">
        <v>8548</v>
      </c>
      <c r="C42" s="6">
        <f>SUMIF(SupListBEWLPP,Table_AgingReportBEWLPP[[#This Row],[SupplierID]],NetAmountBEWLPP)</f>
        <v>247807</v>
      </c>
      <c r="D42" s="6">
        <f>SUMIF(SupListBEWLPP,Table_AgingReportBEWLPP[[#This Row],[SupplierID]],PaidBEWLPP)</f>
        <v>0</v>
      </c>
      <c r="E42" s="6">
        <f>Table_AgingReportBEWLPP[[#This Row],[Net Amount]]-Table_AgingReportBEWLPP[[#This Row],[Paid]]</f>
        <v>247807</v>
      </c>
      <c r="F42" s="6">
        <f>SUMIFS(NetB3BEWLPP,SupListBEWLPP,Table_AgingReportBEWLPP[[#This Row],[SupplierID]],DLBEWLPP,"&gt;=1",DLBEWLPP,"&lt;=30")</f>
        <v>0</v>
      </c>
      <c r="G42" s="6">
        <f>SUMIFS(NetB3BEWLPP,SupListBEWLPP,Table_AgingReportBEWLPP[[#This Row],[SupplierID]],DLBEWLPP,"&gt;=31",DLBEWLPP,"&lt;=45")</f>
        <v>4408</v>
      </c>
      <c r="H42" s="6">
        <f>SUMIFS(NetB3BEWLPP,SupListBEWLPP,Table_AgingReportBEWLPP[[#This Row],[SupplierID]],DLBEWLPP,"&gt;=46",DLBEWLPP,"&lt;=60")</f>
        <v>26642</v>
      </c>
      <c r="I42" s="6">
        <f>SUMIFS(NetB3BEWLPP,SupListBEWLPP,Table_AgingReportBEWLPP[[#This Row],[SupplierID]],DLBEWLPP,"&gt;=61",DLBEWLPP,"&lt;=90")</f>
        <v>26232</v>
      </c>
      <c r="J42" s="6">
        <f>SUMIFS(NetB3BEWLPP,SupListBEWLPP,Table_AgingReportBEWLPP[[#This Row],[SupplierID]],DLBEWLPP,"&gt;=91",DLBEWLPP,"&lt;=120")</f>
        <v>0</v>
      </c>
      <c r="K42" s="6">
        <f>SUMIFS(NetB3BEWLPP,SupListBEWLPP,Table_AgingReportBEWLPP[[#This Row],[SupplierID]],DLBEWLPP,"&gt;120")</f>
        <v>190719</v>
      </c>
    </row>
    <row r="43" spans="1:11">
      <c r="A43" s="4" t="s">
        <v>8817</v>
      </c>
      <c r="B43" s="4" t="s">
        <v>8818</v>
      </c>
      <c r="C43" s="6">
        <f>SUMIF(SupListBEWLPP,Table_AgingReportBEWLPP[[#This Row],[SupplierID]],NetAmountBEWLPP)</f>
        <v>2500</v>
      </c>
      <c r="D43" s="6">
        <f>SUMIF(SupListBEWLPP,Table_AgingReportBEWLPP[[#This Row],[SupplierID]],PaidBEWLPP)</f>
        <v>0</v>
      </c>
      <c r="E43" s="6">
        <f>Table_AgingReportBEWLPP[[#This Row],[Net Amount]]-Table_AgingReportBEWLPP[[#This Row],[Paid]]</f>
        <v>2500</v>
      </c>
      <c r="F43" s="6">
        <f>SUMIFS(NetB3BEWLPP,SupListBEWLPP,Table_AgingReportBEWLPP[[#This Row],[SupplierID]],DLBEWLPP,"&gt;=1",DLBEWLPP,"&lt;=30")</f>
        <v>0</v>
      </c>
      <c r="G43" s="6">
        <f>SUMIFS(NetB3BEWLPP,SupListBEWLPP,Table_AgingReportBEWLPP[[#This Row],[SupplierID]],DLBEWLPP,"&gt;=31",DLBEWLPP,"&lt;=45")</f>
        <v>0</v>
      </c>
      <c r="H43" s="6">
        <f>SUMIFS(NetB3BEWLPP,SupListBEWLPP,Table_AgingReportBEWLPP[[#This Row],[SupplierID]],DLBEWLPP,"&gt;=46",DLBEWLPP,"&lt;=60")</f>
        <v>0</v>
      </c>
      <c r="I43" s="6">
        <f>SUMIFS(NetB3BEWLPP,SupListBEWLPP,Table_AgingReportBEWLPP[[#This Row],[SupplierID]],DLBEWLPP,"&gt;=61",DLBEWLPP,"&lt;=90")</f>
        <v>0</v>
      </c>
      <c r="J43" s="6">
        <f>SUMIFS(NetB3BEWLPP,SupListBEWLPP,Table_AgingReportBEWLPP[[#This Row],[SupplierID]],DLBEWLPP,"&gt;=91",DLBEWLPP,"&lt;=120")</f>
        <v>0</v>
      </c>
      <c r="K43" s="6">
        <f>SUMIFS(NetB3BEWLPP,SupListBEWLPP,Table_AgingReportBEWLPP[[#This Row],[SupplierID]],DLBEWLPP,"&gt;120")</f>
        <v>2500</v>
      </c>
    </row>
    <row r="44" spans="1:11">
      <c r="A44" s="4" t="s">
        <v>8721</v>
      </c>
      <c r="B44" s="4" t="s">
        <v>8723</v>
      </c>
      <c r="C44" s="6">
        <f>SUMIF(SupListBEWLPP,Table_AgingReportBEWLPP[[#This Row],[SupplierID]],NetAmountBEWLPP)</f>
        <v>1658450</v>
      </c>
      <c r="D44" s="6">
        <f>SUMIF(SupListBEWLPP,Table_AgingReportBEWLPP[[#This Row],[SupplierID]],PaidBEWLPP)</f>
        <v>0</v>
      </c>
      <c r="E44" s="6">
        <f>Table_AgingReportBEWLPP[[#This Row],[Net Amount]]-Table_AgingReportBEWLPP[[#This Row],[Paid]]</f>
        <v>1658450</v>
      </c>
      <c r="F44" s="6">
        <f>SUMIFS(NetB3BEWLPP,SupListBEWLPP,Table_AgingReportBEWLPP[[#This Row],[SupplierID]],DLBEWLPP,"&gt;=1",DLBEWLPP,"&lt;=30")</f>
        <v>0</v>
      </c>
      <c r="G44" s="6">
        <f>SUMIFS(NetB3BEWLPP,SupListBEWLPP,Table_AgingReportBEWLPP[[#This Row],[SupplierID]],DLBEWLPP,"&gt;=31",DLBEWLPP,"&lt;=45")</f>
        <v>0</v>
      </c>
      <c r="H44" s="6">
        <f>SUMIFS(NetB3BEWLPP,SupListBEWLPP,Table_AgingReportBEWLPP[[#This Row],[SupplierID]],DLBEWLPP,"&gt;=46",DLBEWLPP,"&lt;=60")</f>
        <v>0</v>
      </c>
      <c r="I44" s="6">
        <f>SUMIFS(NetB3BEWLPP,SupListBEWLPP,Table_AgingReportBEWLPP[[#This Row],[SupplierID]],DLBEWLPP,"&gt;=61",DLBEWLPP,"&lt;=90")</f>
        <v>0</v>
      </c>
      <c r="J44" s="6">
        <f>SUMIFS(NetB3BEWLPP,SupListBEWLPP,Table_AgingReportBEWLPP[[#This Row],[SupplierID]],DLBEWLPP,"&gt;=91",DLBEWLPP,"&lt;=120")</f>
        <v>0</v>
      </c>
      <c r="K44" s="6">
        <f>SUMIFS(NetB3BEWLPP,SupListBEWLPP,Table_AgingReportBEWLPP[[#This Row],[SupplierID]],DLBEWLPP,"&gt;120")</f>
        <v>1658450</v>
      </c>
    </row>
    <row r="45" spans="1:11">
      <c r="A45" s="4" t="s">
        <v>8910</v>
      </c>
      <c r="B45" s="4" t="s">
        <v>392</v>
      </c>
      <c r="C45" s="6">
        <f>SUMIF(SupListBEWLPP,Table_AgingReportBEWLPP[[#This Row],[SupplierID]],NetAmountBEWLPP)</f>
        <v>1316552</v>
      </c>
      <c r="D45" s="6">
        <f>SUMIF(SupListBEWLPP,Table_AgingReportBEWLPP[[#This Row],[SupplierID]],PaidBEWLPP)</f>
        <v>0</v>
      </c>
      <c r="E45" s="6">
        <f>Table_AgingReportBEWLPP[[#This Row],[Net Amount]]-Table_AgingReportBEWLPP[[#This Row],[Paid]]</f>
        <v>1316552</v>
      </c>
      <c r="F45" s="6">
        <f>SUMIFS(NetB3BEWLPP,SupListBEWLPP,Table_AgingReportBEWLPP[[#This Row],[SupplierID]],DLBEWLPP,"&gt;=1",DLBEWLPP,"&lt;=30")</f>
        <v>50987</v>
      </c>
      <c r="G45" s="6">
        <f>SUMIFS(NetB3BEWLPP,SupListBEWLPP,Table_AgingReportBEWLPP[[#This Row],[SupplierID]],DLBEWLPP,"&gt;=31",DLBEWLPP,"&lt;=45")</f>
        <v>0</v>
      </c>
      <c r="H45" s="6">
        <f>SUMIFS(NetB3BEWLPP,SupListBEWLPP,Table_AgingReportBEWLPP[[#This Row],[SupplierID]],DLBEWLPP,"&gt;=46",DLBEWLPP,"&lt;=60")</f>
        <v>40482</v>
      </c>
      <c r="I45" s="6">
        <f>SUMIFS(NetB3BEWLPP,SupListBEWLPP,Table_AgingReportBEWLPP[[#This Row],[SupplierID]],DLBEWLPP,"&gt;=61",DLBEWLPP,"&lt;=90")</f>
        <v>64199</v>
      </c>
      <c r="J45" s="6">
        <f>SUMIFS(NetB3BEWLPP,SupListBEWLPP,Table_AgingReportBEWLPP[[#This Row],[SupplierID]],DLBEWLPP,"&gt;=91",DLBEWLPP,"&lt;=120")</f>
        <v>0</v>
      </c>
      <c r="K45" s="6">
        <f>SUMIFS(NetB3BEWLPP,SupListBEWLPP,Table_AgingReportBEWLPP[[#This Row],[SupplierID]],DLBEWLPP,"&gt;120")</f>
        <v>1160884</v>
      </c>
    </row>
    <row r="46" spans="1:11">
      <c r="A46" s="4" t="s">
        <v>8609</v>
      </c>
      <c r="B46" s="4" t="s">
        <v>399</v>
      </c>
      <c r="C46" s="6">
        <f>SUMIF(SupListBEWLPP,Table_AgingReportBEWLPP[[#This Row],[SupplierID]],NetAmountBEWLPP)</f>
        <v>272136</v>
      </c>
      <c r="D46" s="6">
        <f>SUMIF(SupListBEWLPP,Table_AgingReportBEWLPP[[#This Row],[SupplierID]],PaidBEWLPP)</f>
        <v>0</v>
      </c>
      <c r="E46" s="6">
        <f>Table_AgingReportBEWLPP[[#This Row],[Net Amount]]-Table_AgingReportBEWLPP[[#This Row],[Paid]]</f>
        <v>272136</v>
      </c>
      <c r="F46" s="6">
        <f>SUMIFS(NetB3BEWLPP,SupListBEWLPP,Table_AgingReportBEWLPP[[#This Row],[SupplierID]],DLBEWLPP,"&gt;=1",DLBEWLPP,"&lt;=30")</f>
        <v>0</v>
      </c>
      <c r="G46" s="6">
        <f>SUMIFS(NetB3BEWLPP,SupListBEWLPP,Table_AgingReportBEWLPP[[#This Row],[SupplierID]],DLBEWLPP,"&gt;=31",DLBEWLPP,"&lt;=45")</f>
        <v>0</v>
      </c>
      <c r="H46" s="6">
        <f>SUMIFS(NetB3BEWLPP,SupListBEWLPP,Table_AgingReportBEWLPP[[#This Row],[SupplierID]],DLBEWLPP,"&gt;=46",DLBEWLPP,"&lt;=60")</f>
        <v>0</v>
      </c>
      <c r="I46" s="6">
        <f>SUMIFS(NetB3BEWLPP,SupListBEWLPP,Table_AgingReportBEWLPP[[#This Row],[SupplierID]],DLBEWLPP,"&gt;=61",DLBEWLPP,"&lt;=90")</f>
        <v>0</v>
      </c>
      <c r="J46" s="6">
        <f>SUMIFS(NetB3BEWLPP,SupListBEWLPP,Table_AgingReportBEWLPP[[#This Row],[SupplierID]],DLBEWLPP,"&gt;=91",DLBEWLPP,"&lt;=120")</f>
        <v>167736</v>
      </c>
      <c r="K46" s="6">
        <f>SUMIFS(NetB3BEWLPP,SupListBEWLPP,Table_AgingReportBEWLPP[[#This Row],[SupplierID]],DLBEWLPP,"&gt;120")</f>
        <v>104400</v>
      </c>
    </row>
    <row r="47" spans="1:11">
      <c r="A47" s="4" t="s">
        <v>8993</v>
      </c>
      <c r="B47" s="4" t="s">
        <v>365</v>
      </c>
      <c r="C47" s="6">
        <f>SUMIF(SupListBEWLPP,Table_AgingReportBEWLPP[[#This Row],[SupplierID]],NetAmountBEWLPP)</f>
        <v>4513104</v>
      </c>
      <c r="D47" s="6">
        <f>SUMIF(SupListBEWLPP,Table_AgingReportBEWLPP[[#This Row],[SupplierID]],PaidBEWLPP)</f>
        <v>442275</v>
      </c>
      <c r="E47" s="6">
        <f>Table_AgingReportBEWLPP[[#This Row],[Net Amount]]-Table_AgingReportBEWLPP[[#This Row],[Paid]]</f>
        <v>4070829</v>
      </c>
      <c r="F47" s="6">
        <f>SUMIFS(NetB3BEWLPP,SupListBEWLPP,Table_AgingReportBEWLPP[[#This Row],[SupplierID]],DLBEWLPP,"&gt;=1",DLBEWLPP,"&lt;=30")</f>
        <v>0</v>
      </c>
      <c r="G47" s="6">
        <f>SUMIFS(NetB3BEWLPP,SupListBEWLPP,Table_AgingReportBEWLPP[[#This Row],[SupplierID]],DLBEWLPP,"&gt;=31",DLBEWLPP,"&lt;=45")</f>
        <v>0</v>
      </c>
      <c r="H47" s="6">
        <f>SUMIFS(NetB3BEWLPP,SupListBEWLPP,Table_AgingReportBEWLPP[[#This Row],[SupplierID]],DLBEWLPP,"&gt;=46",DLBEWLPP,"&lt;=60")</f>
        <v>0</v>
      </c>
      <c r="I47" s="6">
        <f>SUMIFS(NetB3BEWLPP,SupListBEWLPP,Table_AgingReportBEWLPP[[#This Row],[SupplierID]],DLBEWLPP,"&gt;=61",DLBEWLPP,"&lt;=90")</f>
        <v>19163</v>
      </c>
      <c r="J47" s="6">
        <f>SUMIFS(NetB3BEWLPP,SupListBEWLPP,Table_AgingReportBEWLPP[[#This Row],[SupplierID]],DLBEWLPP,"&gt;=91",DLBEWLPP,"&lt;=120")</f>
        <v>0</v>
      </c>
      <c r="K47" s="6">
        <f>SUMIFS(NetB3BEWLPP,SupListBEWLPP,Table_AgingReportBEWLPP[[#This Row],[SupplierID]],DLBEWLPP,"&gt;120")</f>
        <v>4051666</v>
      </c>
    </row>
    <row r="48" spans="1:11">
      <c r="A48" s="4" t="s">
        <v>8869</v>
      </c>
      <c r="B48" s="4" t="s">
        <v>8870</v>
      </c>
      <c r="C48" s="6">
        <f>SUMIF(SupListBEWLPP,Table_AgingReportBEWLPP[[#This Row],[SupplierID]],NetAmountBEWLPP)</f>
        <v>442602</v>
      </c>
      <c r="D48" s="6">
        <f>SUMIF(SupListBEWLPP,Table_AgingReportBEWLPP[[#This Row],[SupplierID]],PaidBEWLPP)</f>
        <v>0</v>
      </c>
      <c r="E48" s="6">
        <f>Table_AgingReportBEWLPP[[#This Row],[Net Amount]]-Table_AgingReportBEWLPP[[#This Row],[Paid]]</f>
        <v>442602</v>
      </c>
      <c r="F48" s="6">
        <f>SUMIFS(NetB3BEWLPP,SupListBEWLPP,Table_AgingReportBEWLPP[[#This Row],[SupplierID]],DLBEWLPP,"&gt;=1",DLBEWLPP,"&lt;=30")</f>
        <v>35878</v>
      </c>
      <c r="G48" s="6">
        <f>SUMIFS(NetB3BEWLPP,SupListBEWLPP,Table_AgingReportBEWLPP[[#This Row],[SupplierID]],DLBEWLPP,"&gt;=31",DLBEWLPP,"&lt;=45")</f>
        <v>0</v>
      </c>
      <c r="H48" s="6">
        <f>SUMIFS(NetB3BEWLPP,SupListBEWLPP,Table_AgingReportBEWLPP[[#This Row],[SupplierID]],DLBEWLPP,"&gt;=46",DLBEWLPP,"&lt;=60")</f>
        <v>0</v>
      </c>
      <c r="I48" s="6">
        <f>SUMIFS(NetB3BEWLPP,SupListBEWLPP,Table_AgingReportBEWLPP[[#This Row],[SupplierID]],DLBEWLPP,"&gt;=61",DLBEWLPP,"&lt;=90")</f>
        <v>122426</v>
      </c>
      <c r="J48" s="6">
        <f>SUMIFS(NetB3BEWLPP,SupListBEWLPP,Table_AgingReportBEWLPP[[#This Row],[SupplierID]],DLBEWLPP,"&gt;=91",DLBEWLPP,"&lt;=120")</f>
        <v>0</v>
      </c>
      <c r="K48" s="6">
        <f>SUMIFS(NetB3BEWLPP,SupListBEWLPP,Table_AgingReportBEWLPP[[#This Row],[SupplierID]],DLBEWLPP,"&gt;120")</f>
        <v>279092</v>
      </c>
    </row>
    <row r="49" spans="1:11">
      <c r="A49" s="4" t="s">
        <v>5529</v>
      </c>
      <c r="B49" s="4" t="s">
        <v>8614</v>
      </c>
      <c r="C49" s="6">
        <f>SUMIF(SupListBEWLPP,Table_AgingReportBEWLPP[[#This Row],[SupplierID]],NetAmountBEWLPP)</f>
        <v>6492244</v>
      </c>
      <c r="D49" s="6">
        <f>SUMIF(SupListBEWLPP,Table_AgingReportBEWLPP[[#This Row],[SupplierID]],PaidBEWLPP)</f>
        <v>601561</v>
      </c>
      <c r="E49" s="6">
        <f>Table_AgingReportBEWLPP[[#This Row],[Net Amount]]-Table_AgingReportBEWLPP[[#This Row],[Paid]]</f>
        <v>5890683</v>
      </c>
      <c r="F49" s="6">
        <f>SUMIFS(NetB3BEWLPP,SupListBEWLPP,Table_AgingReportBEWLPP[[#This Row],[SupplierID]],DLBEWLPP,"&gt;=1",DLBEWLPP,"&lt;=30")</f>
        <v>0</v>
      </c>
      <c r="G49" s="6">
        <f>SUMIFS(NetB3BEWLPP,SupListBEWLPP,Table_AgingReportBEWLPP[[#This Row],[SupplierID]],DLBEWLPP,"&gt;=31",DLBEWLPP,"&lt;=45")</f>
        <v>0</v>
      </c>
      <c r="H49" s="6">
        <f>SUMIFS(NetB3BEWLPP,SupListBEWLPP,Table_AgingReportBEWLPP[[#This Row],[SupplierID]],DLBEWLPP,"&gt;=46",DLBEWLPP,"&lt;=60")</f>
        <v>630972</v>
      </c>
      <c r="I49" s="6">
        <f>SUMIFS(NetB3BEWLPP,SupListBEWLPP,Table_AgingReportBEWLPP[[#This Row],[SupplierID]],DLBEWLPP,"&gt;=61",DLBEWLPP,"&lt;=90")</f>
        <v>761668</v>
      </c>
      <c r="J49" s="6">
        <f>SUMIFS(NetB3BEWLPP,SupListBEWLPP,Table_AgingReportBEWLPP[[#This Row],[SupplierID]],DLBEWLPP,"&gt;=91",DLBEWLPP,"&lt;=120")</f>
        <v>1202259</v>
      </c>
      <c r="K49" s="6">
        <f>SUMIFS(NetB3BEWLPP,SupListBEWLPP,Table_AgingReportBEWLPP[[#This Row],[SupplierID]],DLBEWLPP,"&gt;120")</f>
        <v>3297589</v>
      </c>
    </row>
    <row r="50" spans="1:11">
      <c r="A50" s="4" t="s">
        <v>8558</v>
      </c>
      <c r="B50" s="4" t="s">
        <v>8559</v>
      </c>
      <c r="C50" s="6">
        <f>SUMIF(SupListBEWLPP,Table_AgingReportBEWLPP[[#This Row],[SupplierID]],NetAmountBEWLPP)</f>
        <v>281358</v>
      </c>
      <c r="D50" s="6">
        <f>SUMIF(SupListBEWLPP,Table_AgingReportBEWLPP[[#This Row],[SupplierID]],PaidBEWLPP)</f>
        <v>0</v>
      </c>
      <c r="E50" s="6">
        <f>Table_AgingReportBEWLPP[[#This Row],[Net Amount]]-Table_AgingReportBEWLPP[[#This Row],[Paid]]</f>
        <v>281358</v>
      </c>
      <c r="F50" s="6">
        <f>SUMIFS(NetB3BEWLPP,SupListBEWLPP,Table_AgingReportBEWLPP[[#This Row],[SupplierID]],DLBEWLPP,"&gt;=1",DLBEWLPP,"&lt;=30")</f>
        <v>0</v>
      </c>
      <c r="G50" s="6">
        <f>SUMIFS(NetB3BEWLPP,SupListBEWLPP,Table_AgingReportBEWLPP[[#This Row],[SupplierID]],DLBEWLPP,"&gt;=31",DLBEWLPP,"&lt;=45")</f>
        <v>0</v>
      </c>
      <c r="H50" s="6">
        <f>SUMIFS(NetB3BEWLPP,SupListBEWLPP,Table_AgingReportBEWLPP[[#This Row],[SupplierID]],DLBEWLPP,"&gt;=46",DLBEWLPP,"&lt;=60")</f>
        <v>0</v>
      </c>
      <c r="I50" s="6">
        <f>SUMIFS(NetB3BEWLPP,SupListBEWLPP,Table_AgingReportBEWLPP[[#This Row],[SupplierID]],DLBEWLPP,"&gt;=61",DLBEWLPP,"&lt;=90")</f>
        <v>0</v>
      </c>
      <c r="J50" s="6">
        <f>SUMIFS(NetB3BEWLPP,SupListBEWLPP,Table_AgingReportBEWLPP[[#This Row],[SupplierID]],DLBEWLPP,"&gt;=91",DLBEWLPP,"&lt;=120")</f>
        <v>0</v>
      </c>
      <c r="K50" s="6">
        <f>SUMIFS(NetB3BEWLPP,SupListBEWLPP,Table_AgingReportBEWLPP[[#This Row],[SupplierID]],DLBEWLPP,"&gt;120")</f>
        <v>281358</v>
      </c>
    </row>
    <row r="51" spans="1:11">
      <c r="A51" s="4" t="s">
        <v>8570</v>
      </c>
      <c r="B51" s="4" t="s">
        <v>8571</v>
      </c>
      <c r="C51" s="6">
        <f>SUMIF(SupListBEWLPP,Table_AgingReportBEWLPP[[#This Row],[SupplierID]],NetAmountBEWLPP)</f>
        <v>4698519</v>
      </c>
      <c r="D51" s="6">
        <f>SUMIF(SupListBEWLPP,Table_AgingReportBEWLPP[[#This Row],[SupplierID]],PaidBEWLPP)</f>
        <v>0</v>
      </c>
      <c r="E51" s="6">
        <f>Table_AgingReportBEWLPP[[#This Row],[Net Amount]]-Table_AgingReportBEWLPP[[#This Row],[Paid]]</f>
        <v>4698519</v>
      </c>
      <c r="F51" s="6">
        <f>SUMIFS(NetB3BEWLPP,SupListBEWLPP,Table_AgingReportBEWLPP[[#This Row],[SupplierID]],DLBEWLPP,"&gt;=1",DLBEWLPP,"&lt;=30")</f>
        <v>207872</v>
      </c>
      <c r="G51" s="6">
        <f>SUMIFS(NetB3BEWLPP,SupListBEWLPP,Table_AgingReportBEWLPP[[#This Row],[SupplierID]],DLBEWLPP,"&gt;=31",DLBEWLPP,"&lt;=45")</f>
        <v>155904</v>
      </c>
      <c r="H51" s="6">
        <f>SUMIFS(NetB3BEWLPP,SupListBEWLPP,Table_AgingReportBEWLPP[[#This Row],[SupplierID]],DLBEWLPP,"&gt;=46",DLBEWLPP,"&lt;=60")</f>
        <v>786016</v>
      </c>
      <c r="I51" s="6">
        <f>SUMIFS(NetB3BEWLPP,SupListBEWLPP,Table_AgingReportBEWLPP[[#This Row],[SupplierID]],DLBEWLPP,"&gt;=61",DLBEWLPP,"&lt;=90")</f>
        <v>1078335</v>
      </c>
      <c r="J51" s="6">
        <f>SUMIFS(NetB3BEWLPP,SupListBEWLPP,Table_AgingReportBEWLPP[[#This Row],[SupplierID]],DLBEWLPP,"&gt;=91",DLBEWLPP,"&lt;=120")</f>
        <v>628187</v>
      </c>
      <c r="K51" s="6">
        <f>SUMIFS(NetB3BEWLPP,SupListBEWLPP,Table_AgingReportBEWLPP[[#This Row],[SupplierID]],DLBEWLPP,"&gt;120")</f>
        <v>1851413</v>
      </c>
    </row>
    <row r="52" spans="1:11">
      <c r="A52" s="4" t="s">
        <v>8588</v>
      </c>
      <c r="B52" s="4" t="s">
        <v>8589</v>
      </c>
      <c r="C52" s="6">
        <f>SUMIF(SupListBEWLPP,Table_AgingReportBEWLPP[[#This Row],[SupplierID]],NetAmountBEWLPP)</f>
        <v>2767192</v>
      </c>
      <c r="D52" s="6">
        <f>SUMIF(SupListBEWLPP,Table_AgingReportBEWLPP[[#This Row],[SupplierID]],PaidBEWLPP)</f>
        <v>81285</v>
      </c>
      <c r="E52" s="6">
        <f>Table_AgingReportBEWLPP[[#This Row],[Net Amount]]-Table_AgingReportBEWLPP[[#This Row],[Paid]]</f>
        <v>2685907</v>
      </c>
      <c r="F52" s="6">
        <f>SUMIFS(NetB3BEWLPP,SupListBEWLPP,Table_AgingReportBEWLPP[[#This Row],[SupplierID]],DLBEWLPP,"&gt;=1",DLBEWLPP,"&lt;=30")</f>
        <v>0</v>
      </c>
      <c r="G52" s="6">
        <f>SUMIFS(NetB3BEWLPP,SupListBEWLPP,Table_AgingReportBEWLPP[[#This Row],[SupplierID]],DLBEWLPP,"&gt;=31",DLBEWLPP,"&lt;=45")</f>
        <v>0</v>
      </c>
      <c r="H52" s="6">
        <f>SUMIFS(NetB3BEWLPP,SupListBEWLPP,Table_AgingReportBEWLPP[[#This Row],[SupplierID]],DLBEWLPP,"&gt;=46",DLBEWLPP,"&lt;=60")</f>
        <v>493976</v>
      </c>
      <c r="I52" s="6">
        <f>SUMIFS(NetB3BEWLPP,SupListBEWLPP,Table_AgingReportBEWLPP[[#This Row],[SupplierID]],DLBEWLPP,"&gt;=61",DLBEWLPP,"&lt;=90")</f>
        <v>172794</v>
      </c>
      <c r="J52" s="6">
        <f>SUMIFS(NetB3BEWLPP,SupListBEWLPP,Table_AgingReportBEWLPP[[#This Row],[SupplierID]],DLBEWLPP,"&gt;=91",DLBEWLPP,"&lt;=120")</f>
        <v>0</v>
      </c>
      <c r="K52" s="6">
        <f>SUMIFS(NetB3BEWLPP,SupListBEWLPP,Table_AgingReportBEWLPP[[#This Row],[SupplierID]],DLBEWLPP,"&gt;120")</f>
        <v>2020803</v>
      </c>
    </row>
    <row r="53" spans="1:11">
      <c r="A53" s="4" t="s">
        <v>8532</v>
      </c>
      <c r="B53" s="4" t="s">
        <v>364</v>
      </c>
      <c r="C53" s="6">
        <f>SUMIF(SupListBEWLPP,Table_AgingReportBEWLPP[[#This Row],[SupplierID]],NetAmountBEWLPP)</f>
        <v>167330</v>
      </c>
      <c r="D53" s="6">
        <f>SUMIF(SupListBEWLPP,Table_AgingReportBEWLPP[[#This Row],[SupplierID]],PaidBEWLPP)</f>
        <v>0</v>
      </c>
      <c r="E53" s="6">
        <f>Table_AgingReportBEWLPP[[#This Row],[Net Amount]]-Table_AgingReportBEWLPP[[#This Row],[Paid]]</f>
        <v>167330</v>
      </c>
      <c r="F53" s="6">
        <f>SUMIFS(NetB3BEWLPP,SupListBEWLPP,Table_AgingReportBEWLPP[[#This Row],[SupplierID]],DLBEWLPP,"&gt;=1",DLBEWLPP,"&lt;=30")</f>
        <v>0</v>
      </c>
      <c r="G53" s="6">
        <f>SUMIFS(NetB3BEWLPP,SupListBEWLPP,Table_AgingReportBEWLPP[[#This Row],[SupplierID]],DLBEWLPP,"&gt;=31",DLBEWLPP,"&lt;=45")</f>
        <v>0</v>
      </c>
      <c r="H53" s="6">
        <f>SUMIFS(NetB3BEWLPP,SupListBEWLPP,Table_AgingReportBEWLPP[[#This Row],[SupplierID]],DLBEWLPP,"&gt;=46",DLBEWLPP,"&lt;=60")</f>
        <v>0</v>
      </c>
      <c r="I53" s="6">
        <f>SUMIFS(NetB3BEWLPP,SupListBEWLPP,Table_AgingReportBEWLPP[[#This Row],[SupplierID]],DLBEWLPP,"&gt;=61",DLBEWLPP,"&lt;=90")</f>
        <v>0</v>
      </c>
      <c r="J53" s="6">
        <f>SUMIFS(NetB3BEWLPP,SupListBEWLPP,Table_AgingReportBEWLPP[[#This Row],[SupplierID]],DLBEWLPP,"&gt;=91",DLBEWLPP,"&lt;=120")</f>
        <v>0</v>
      </c>
      <c r="K53" s="6">
        <f>SUMIFS(NetB3BEWLPP,SupListBEWLPP,Table_AgingReportBEWLPP[[#This Row],[SupplierID]],DLBEWLPP,"&gt;120")</f>
        <v>167330</v>
      </c>
    </row>
    <row r="54" spans="1:11">
      <c r="A54" s="4" t="s">
        <v>8970</v>
      </c>
      <c r="B54" s="4" t="s">
        <v>8971</v>
      </c>
      <c r="C54" s="6">
        <f>SUMIF(SupListBEWLPP,Table_AgingReportBEWLPP[[#This Row],[SupplierID]],NetAmountBEWLPP)</f>
        <v>1008611</v>
      </c>
      <c r="D54" s="6">
        <f>SUMIF(SupListBEWLPP,Table_AgingReportBEWLPP[[#This Row],[SupplierID]],PaidBEWLPP)</f>
        <v>0</v>
      </c>
      <c r="E54" s="6">
        <f>Table_AgingReportBEWLPP[[#This Row],[Net Amount]]-Table_AgingReportBEWLPP[[#This Row],[Paid]]</f>
        <v>1008611</v>
      </c>
      <c r="F54" s="6">
        <f>SUMIFS(NetB3BEWLPP,SupListBEWLPP,Table_AgingReportBEWLPP[[#This Row],[SupplierID]],DLBEWLPP,"&gt;=1",DLBEWLPP,"&lt;=30")</f>
        <v>0</v>
      </c>
      <c r="G54" s="6">
        <f>SUMIFS(NetB3BEWLPP,SupListBEWLPP,Table_AgingReportBEWLPP[[#This Row],[SupplierID]],DLBEWLPP,"&gt;=31",DLBEWLPP,"&lt;=45")</f>
        <v>0</v>
      </c>
      <c r="H54" s="6">
        <f>SUMIFS(NetB3BEWLPP,SupListBEWLPP,Table_AgingReportBEWLPP[[#This Row],[SupplierID]],DLBEWLPP,"&gt;=46",DLBEWLPP,"&lt;=60")</f>
        <v>0</v>
      </c>
      <c r="I54" s="6">
        <f>SUMIFS(NetB3BEWLPP,SupListBEWLPP,Table_AgingReportBEWLPP[[#This Row],[SupplierID]],DLBEWLPP,"&gt;=61",DLBEWLPP,"&lt;=90")</f>
        <v>36007</v>
      </c>
      <c r="J54" s="6">
        <f>SUMIFS(NetB3BEWLPP,SupListBEWLPP,Table_AgingReportBEWLPP[[#This Row],[SupplierID]],DLBEWLPP,"&gt;=91",DLBEWLPP,"&lt;=120")</f>
        <v>71470</v>
      </c>
      <c r="K54" s="6">
        <f>SUMIFS(NetB3BEWLPP,SupListBEWLPP,Table_AgingReportBEWLPP[[#This Row],[SupplierID]],DLBEWLPP,"&gt;120")</f>
        <v>901134</v>
      </c>
    </row>
    <row r="55" spans="1:11">
      <c r="A55" s="4" t="s">
        <v>8616</v>
      </c>
      <c r="B55" s="4" t="s">
        <v>375</v>
      </c>
      <c r="C55" s="6">
        <f>SUMIF(SupListBEWLPP,Table_AgingReportBEWLPP[[#This Row],[SupplierID]],NetAmountBEWLPP)</f>
        <v>413772</v>
      </c>
      <c r="D55" s="6">
        <f>SUMIF(SupListBEWLPP,Table_AgingReportBEWLPP[[#This Row],[SupplierID]],PaidBEWLPP)</f>
        <v>0</v>
      </c>
      <c r="E55" s="6">
        <f>Table_AgingReportBEWLPP[[#This Row],[Net Amount]]-Table_AgingReportBEWLPP[[#This Row],[Paid]]</f>
        <v>413772</v>
      </c>
      <c r="F55" s="6">
        <f>SUMIFS(NetB3BEWLPP,SupListBEWLPP,Table_AgingReportBEWLPP[[#This Row],[SupplierID]],DLBEWLPP,"&gt;=1",DLBEWLPP,"&lt;=30")</f>
        <v>0</v>
      </c>
      <c r="G55" s="6">
        <f>SUMIFS(NetB3BEWLPP,SupListBEWLPP,Table_AgingReportBEWLPP[[#This Row],[SupplierID]],DLBEWLPP,"&gt;=31",DLBEWLPP,"&lt;=45")</f>
        <v>0</v>
      </c>
      <c r="H55" s="6">
        <f>SUMIFS(NetB3BEWLPP,SupListBEWLPP,Table_AgingReportBEWLPP[[#This Row],[SupplierID]],DLBEWLPP,"&gt;=46",DLBEWLPP,"&lt;=60")</f>
        <v>0</v>
      </c>
      <c r="I55" s="6">
        <f>SUMIFS(NetB3BEWLPP,SupListBEWLPP,Table_AgingReportBEWLPP[[#This Row],[SupplierID]],DLBEWLPP,"&gt;=61",DLBEWLPP,"&lt;=90")</f>
        <v>0</v>
      </c>
      <c r="J55" s="6">
        <f>SUMIFS(NetB3BEWLPP,SupListBEWLPP,Table_AgingReportBEWLPP[[#This Row],[SupplierID]],DLBEWLPP,"&gt;=91",DLBEWLPP,"&lt;=120")</f>
        <v>0</v>
      </c>
      <c r="K55" s="6">
        <f>SUMIFS(NetB3BEWLPP,SupListBEWLPP,Table_AgingReportBEWLPP[[#This Row],[SupplierID]],DLBEWLPP,"&gt;120")</f>
        <v>443068</v>
      </c>
    </row>
    <row r="56" spans="1:11">
      <c r="A56" s="4" t="s">
        <v>9150</v>
      </c>
      <c r="B56" s="4" t="s">
        <v>423</v>
      </c>
      <c r="C56" s="6">
        <f>SUMIF(SupListBEWLPP,Table_AgingReportBEWLPP[[#This Row],[SupplierID]],NetAmountBEWLPP)</f>
        <v>899609</v>
      </c>
      <c r="D56" s="6">
        <f>SUMIF(SupListBEWLPP,Table_AgingReportBEWLPP[[#This Row],[SupplierID]],PaidBEWLPP)</f>
        <v>0</v>
      </c>
      <c r="E56" s="6">
        <f>Table_AgingReportBEWLPP[[#This Row],[Net Amount]]-Table_AgingReportBEWLPP[[#This Row],[Paid]]</f>
        <v>899609</v>
      </c>
      <c r="F56" s="6">
        <f>SUMIFS(NetB3BEWLPP,SupListBEWLPP,Table_AgingReportBEWLPP[[#This Row],[SupplierID]],DLBEWLPP,"&gt;=1",DLBEWLPP,"&lt;=30")</f>
        <v>0</v>
      </c>
      <c r="G56" s="6">
        <f>SUMIFS(NetB3BEWLPP,SupListBEWLPP,Table_AgingReportBEWLPP[[#This Row],[SupplierID]],DLBEWLPP,"&gt;=31",DLBEWLPP,"&lt;=45")</f>
        <v>0</v>
      </c>
      <c r="H56" s="6">
        <f>SUMIFS(NetB3BEWLPP,SupListBEWLPP,Table_AgingReportBEWLPP[[#This Row],[SupplierID]],DLBEWLPP,"&gt;=46",DLBEWLPP,"&lt;=60")</f>
        <v>244122</v>
      </c>
      <c r="I56" s="6">
        <f>SUMIFS(NetB3BEWLPP,SupListBEWLPP,Table_AgingReportBEWLPP[[#This Row],[SupplierID]],DLBEWLPP,"&gt;=61",DLBEWLPP,"&lt;=90")</f>
        <v>0</v>
      </c>
      <c r="J56" s="6">
        <f>SUMIFS(NetB3BEWLPP,SupListBEWLPP,Table_AgingReportBEWLPP[[#This Row],[SupplierID]],DLBEWLPP,"&gt;=91",DLBEWLPP,"&lt;=120")</f>
        <v>55100</v>
      </c>
      <c r="K56" s="6">
        <f>SUMIFS(NetB3BEWLPP,SupListBEWLPP,Table_AgingReportBEWLPP[[#This Row],[SupplierID]],DLBEWLPP,"&gt;120")</f>
        <v>600387</v>
      </c>
    </row>
    <row r="57" spans="1:11">
      <c r="A57" s="4" t="s">
        <v>10052</v>
      </c>
      <c r="B57" s="4" t="s">
        <v>10054</v>
      </c>
      <c r="C57" s="6">
        <f>SUMIF(SupListBEWLPP,Table_AgingReportBEWLPP[[#This Row],[SupplierID]],NetAmountBEWLPP)</f>
        <v>798660</v>
      </c>
      <c r="D57" s="6">
        <f>SUMIF(SupListBEWLPP,Table_AgingReportBEWLPP[[#This Row],[SupplierID]],PaidBEWLPP)</f>
        <v>0</v>
      </c>
      <c r="E57" s="6">
        <f>Table_AgingReportBEWLPP[[#This Row],[Net Amount]]-Table_AgingReportBEWLPP[[#This Row],[Paid]]</f>
        <v>798660</v>
      </c>
      <c r="F57" s="6">
        <f>SUMIFS(NetB3BEWLPP,SupListBEWLPP,Table_AgingReportBEWLPP[[#This Row],[SupplierID]],DLBEWLPP,"&gt;=1",DLBEWLPP,"&lt;=30")</f>
        <v>0</v>
      </c>
      <c r="G57" s="6">
        <f>SUMIFS(NetB3BEWLPP,SupListBEWLPP,Table_AgingReportBEWLPP[[#This Row],[SupplierID]],DLBEWLPP,"&gt;=31",DLBEWLPP,"&lt;=45")</f>
        <v>798660</v>
      </c>
      <c r="H57" s="6">
        <f>SUMIFS(NetB3BEWLPP,SupListBEWLPP,Table_AgingReportBEWLPP[[#This Row],[SupplierID]],DLBEWLPP,"&gt;=46",DLBEWLPP,"&lt;=60")</f>
        <v>0</v>
      </c>
      <c r="I57" s="6">
        <f>SUMIFS(NetB3BEWLPP,SupListBEWLPP,Table_AgingReportBEWLPP[[#This Row],[SupplierID]],DLBEWLPP,"&gt;=61",DLBEWLPP,"&lt;=90")</f>
        <v>0</v>
      </c>
      <c r="J57" s="6">
        <f>SUMIFS(NetB3BEWLPP,SupListBEWLPP,Table_AgingReportBEWLPP[[#This Row],[SupplierID]],DLBEWLPP,"&gt;=91",DLBEWLPP,"&lt;=120")</f>
        <v>0</v>
      </c>
      <c r="K57" s="6">
        <f>SUMIFS(NetB3BEWLPP,SupListBEWLPP,Table_AgingReportBEWLPP[[#This Row],[SupplierID]],DLBEWLPP,"&gt;120")</f>
        <v>0</v>
      </c>
    </row>
    <row r="58" spans="1:11">
      <c r="A58" s="4" t="s">
        <v>8563</v>
      </c>
      <c r="B58" s="4" t="s">
        <v>409</v>
      </c>
      <c r="C58" s="6">
        <f>SUMIF(SupListBEWLPP,Table_AgingReportBEWLPP[[#This Row],[SupplierID]],NetAmountBEWLPP)</f>
        <v>7500965</v>
      </c>
      <c r="D58" s="6">
        <f>SUMIF(SupListBEWLPP,Table_AgingReportBEWLPP[[#This Row],[SupplierID]],PaidBEWLPP)</f>
        <v>378206</v>
      </c>
      <c r="E58" s="6">
        <f>Table_AgingReportBEWLPP[[#This Row],[Net Amount]]-Table_AgingReportBEWLPP[[#This Row],[Paid]]</f>
        <v>7122759</v>
      </c>
      <c r="F58" s="6">
        <f>SUMIFS(NetB3BEWLPP,SupListBEWLPP,Table_AgingReportBEWLPP[[#This Row],[SupplierID]],DLBEWLPP,"&gt;=1",DLBEWLPP,"&lt;=30")</f>
        <v>382800</v>
      </c>
      <c r="G58" s="6">
        <f>SUMIFS(NetB3BEWLPP,SupListBEWLPP,Table_AgingReportBEWLPP[[#This Row],[SupplierID]],DLBEWLPP,"&gt;=31",DLBEWLPP,"&lt;=45")</f>
        <v>574200</v>
      </c>
      <c r="H58" s="6">
        <f>SUMIFS(NetB3BEWLPP,SupListBEWLPP,Table_AgingReportBEWLPP[[#This Row],[SupplierID]],DLBEWLPP,"&gt;=46",DLBEWLPP,"&lt;=60")</f>
        <v>957000</v>
      </c>
      <c r="I58" s="6">
        <f>SUMIFS(NetB3BEWLPP,SupListBEWLPP,Table_AgingReportBEWLPP[[#This Row],[SupplierID]],DLBEWLPP,"&gt;=61",DLBEWLPP,"&lt;=90")</f>
        <v>1144189</v>
      </c>
      <c r="J58" s="6">
        <f>SUMIFS(NetB3BEWLPP,SupListBEWLPP,Table_AgingReportBEWLPP[[#This Row],[SupplierID]],DLBEWLPP,"&gt;=91",DLBEWLPP,"&lt;=120")</f>
        <v>761772</v>
      </c>
      <c r="K58" s="6">
        <f>SUMIFS(NetB3BEWLPP,SupListBEWLPP,Table_AgingReportBEWLPP[[#This Row],[SupplierID]],DLBEWLPP,"&gt;120")</f>
        <v>3335719</v>
      </c>
    </row>
    <row r="59" spans="1:11">
      <c r="A59" s="4" t="s">
        <v>8902</v>
      </c>
      <c r="B59" s="4" t="s">
        <v>8904</v>
      </c>
      <c r="C59" s="6">
        <f>SUMIF(SupListBEWLPP,Table_AgingReportBEWLPP[[#This Row],[SupplierID]],NetAmountBEWLPP)</f>
        <v>370000</v>
      </c>
      <c r="D59" s="6">
        <f>SUMIF(SupListBEWLPP,Table_AgingReportBEWLPP[[#This Row],[SupplierID]],PaidBEWLPP)</f>
        <v>0</v>
      </c>
      <c r="E59" s="6">
        <f>Table_AgingReportBEWLPP[[#This Row],[Net Amount]]-Table_AgingReportBEWLPP[[#This Row],[Paid]]</f>
        <v>370000</v>
      </c>
      <c r="F59" s="6">
        <f>SUMIFS(NetB3BEWLPP,SupListBEWLPP,Table_AgingReportBEWLPP[[#This Row],[SupplierID]],DLBEWLPP,"&gt;=1",DLBEWLPP,"&lt;=30")</f>
        <v>0</v>
      </c>
      <c r="G59" s="6">
        <f>SUMIFS(NetB3BEWLPP,SupListBEWLPP,Table_AgingReportBEWLPP[[#This Row],[SupplierID]],DLBEWLPP,"&gt;=31",DLBEWLPP,"&lt;=45")</f>
        <v>0</v>
      </c>
      <c r="H59" s="6">
        <f>SUMIFS(NetB3BEWLPP,SupListBEWLPP,Table_AgingReportBEWLPP[[#This Row],[SupplierID]],DLBEWLPP,"&gt;=46",DLBEWLPP,"&lt;=60")</f>
        <v>0</v>
      </c>
      <c r="I59" s="6">
        <f>SUMIFS(NetB3BEWLPP,SupListBEWLPP,Table_AgingReportBEWLPP[[#This Row],[SupplierID]],DLBEWLPP,"&gt;=61",DLBEWLPP,"&lt;=90")</f>
        <v>0</v>
      </c>
      <c r="J59" s="6">
        <f>SUMIFS(NetB3BEWLPP,SupListBEWLPP,Table_AgingReportBEWLPP[[#This Row],[SupplierID]],DLBEWLPP,"&gt;=91",DLBEWLPP,"&lt;=120")</f>
        <v>0</v>
      </c>
      <c r="K59" s="6">
        <f>SUMIFS(NetB3BEWLPP,SupListBEWLPP,Table_AgingReportBEWLPP[[#This Row],[SupplierID]],DLBEWLPP,"&gt;120")</f>
        <v>370000</v>
      </c>
    </row>
    <row r="60" spans="1:11">
      <c r="A60" s="4" t="s">
        <v>10400</v>
      </c>
      <c r="B60" s="4" t="s">
        <v>10401</v>
      </c>
      <c r="C60" s="6">
        <f>SUMIF(SupListBEWLPP,Table_AgingReportBEWLPP[[#This Row],[SupplierID]],NetAmountBEWLPP)</f>
        <v>72675</v>
      </c>
      <c r="D60" s="6">
        <f>SUMIF(SupListBEWLPP,Table_AgingReportBEWLPP[[#This Row],[SupplierID]],PaidBEWLPP)</f>
        <v>0</v>
      </c>
      <c r="E60" s="6">
        <f>Table_AgingReportBEWLPP[[#This Row],[Net Amount]]-Table_AgingReportBEWLPP[[#This Row],[Paid]]</f>
        <v>72675</v>
      </c>
      <c r="F60" s="6">
        <f>SUMIFS(NetB3BEWLPP,SupListBEWLPP,Table_AgingReportBEWLPP[[#This Row],[SupplierID]],DLBEWLPP,"&gt;=1",DLBEWLPP,"&lt;=30")</f>
        <v>15300</v>
      </c>
      <c r="G60" s="6">
        <f>SUMIFS(NetB3BEWLPP,SupListBEWLPP,Table_AgingReportBEWLPP[[#This Row],[SupplierID]],DLBEWLPP,"&gt;=31",DLBEWLPP,"&lt;=45")</f>
        <v>14025</v>
      </c>
      <c r="H60" s="6">
        <f>SUMIFS(NetB3BEWLPP,SupListBEWLPP,Table_AgingReportBEWLPP[[#This Row],[SupplierID]],DLBEWLPP,"&gt;=46",DLBEWLPP,"&lt;=60")</f>
        <v>0</v>
      </c>
      <c r="I60" s="6">
        <f>SUMIFS(NetB3BEWLPP,SupListBEWLPP,Table_AgingReportBEWLPP[[#This Row],[SupplierID]],DLBEWLPP,"&gt;=61",DLBEWLPP,"&lt;=90")</f>
        <v>29750</v>
      </c>
      <c r="J60" s="6">
        <f>SUMIFS(NetB3BEWLPP,SupListBEWLPP,Table_AgingReportBEWLPP[[#This Row],[SupplierID]],DLBEWLPP,"&gt;=91",DLBEWLPP,"&lt;=120")</f>
        <v>13600</v>
      </c>
      <c r="K60" s="6">
        <f>SUMIFS(NetB3BEWLPP,SupListBEWLPP,Table_AgingReportBEWLPP[[#This Row],[SupplierID]],DLBEWLPP,"&gt;120")</f>
        <v>0</v>
      </c>
    </row>
    <row r="61" spans="1:11">
      <c r="A61" s="4" t="s">
        <v>9908</v>
      </c>
      <c r="B61" s="4" t="s">
        <v>426</v>
      </c>
      <c r="C61" s="6">
        <f>SUMIF(SupListBEWLPP,Table_AgingReportBEWLPP[[#This Row],[SupplierID]],NetAmountBEWLPP)</f>
        <v>320526</v>
      </c>
      <c r="D61" s="6">
        <f>SUMIF(SupListBEWLPP,Table_AgingReportBEWLPP[[#This Row],[SupplierID]],PaidBEWLPP)</f>
        <v>0</v>
      </c>
      <c r="E61" s="6">
        <f>Table_AgingReportBEWLPP[[#This Row],[Net Amount]]-Table_AgingReportBEWLPP[[#This Row],[Paid]]</f>
        <v>320526</v>
      </c>
      <c r="F61" s="6">
        <f>SUMIFS(NetB3BEWLPP,SupListBEWLPP,Table_AgingReportBEWLPP[[#This Row],[SupplierID]],DLBEWLPP,"&gt;=1",DLBEWLPP,"&lt;=30")</f>
        <v>92903</v>
      </c>
      <c r="G61" s="6">
        <f>SUMIFS(NetB3BEWLPP,SupListBEWLPP,Table_AgingReportBEWLPP[[#This Row],[SupplierID]],DLBEWLPP,"&gt;=31",DLBEWLPP,"&lt;=45")</f>
        <v>90132</v>
      </c>
      <c r="H61" s="6">
        <f>SUMIFS(NetB3BEWLPP,SupListBEWLPP,Table_AgingReportBEWLPP[[#This Row],[SupplierID]],DLBEWLPP,"&gt;=46",DLBEWLPP,"&lt;=60")</f>
        <v>0</v>
      </c>
      <c r="I61" s="6">
        <f>SUMIFS(NetB3BEWLPP,SupListBEWLPP,Table_AgingReportBEWLPP[[#This Row],[SupplierID]],DLBEWLPP,"&gt;=61",DLBEWLPP,"&lt;=90")</f>
        <v>92425</v>
      </c>
      <c r="J61" s="6">
        <f>SUMIFS(NetB3BEWLPP,SupListBEWLPP,Table_AgingReportBEWLPP[[#This Row],[SupplierID]],DLBEWLPP,"&gt;=91",DLBEWLPP,"&lt;=120")</f>
        <v>45066</v>
      </c>
      <c r="K61" s="6">
        <f>SUMIFS(NetB3BEWLPP,SupListBEWLPP,Table_AgingReportBEWLPP[[#This Row],[SupplierID]],DLBEWLPP,"&gt;120")</f>
        <v>0</v>
      </c>
    </row>
    <row r="62" spans="1:11">
      <c r="A62" s="4" t="s">
        <v>8591</v>
      </c>
      <c r="B62" s="4" t="s">
        <v>425</v>
      </c>
      <c r="C62" s="6">
        <f>SUMIF(SupListBEWLPP,Table_AgingReportBEWLPP[[#This Row],[SupplierID]],NetAmountBEWLPP)</f>
        <v>279368</v>
      </c>
      <c r="D62" s="6">
        <f>SUMIF(SupListBEWLPP,Table_AgingReportBEWLPP[[#This Row],[SupplierID]],PaidBEWLPP)</f>
        <v>0</v>
      </c>
      <c r="E62" s="6">
        <f>Table_AgingReportBEWLPP[[#This Row],[Net Amount]]-Table_AgingReportBEWLPP[[#This Row],[Paid]]</f>
        <v>279368</v>
      </c>
      <c r="F62" s="6">
        <f>SUMIFS(NetB3BEWLPP,SupListBEWLPP,Table_AgingReportBEWLPP[[#This Row],[SupplierID]],DLBEWLPP,"&gt;=1",DLBEWLPP,"&lt;=30")</f>
        <v>0</v>
      </c>
      <c r="G62" s="6">
        <f>SUMIFS(NetB3BEWLPP,SupListBEWLPP,Table_AgingReportBEWLPP[[#This Row],[SupplierID]],DLBEWLPP,"&gt;=31",DLBEWLPP,"&lt;=45")</f>
        <v>0</v>
      </c>
      <c r="H62" s="6">
        <f>SUMIFS(NetB3BEWLPP,SupListBEWLPP,Table_AgingReportBEWLPP[[#This Row],[SupplierID]],DLBEWLPP,"&gt;=46",DLBEWLPP,"&lt;=60")</f>
        <v>0</v>
      </c>
      <c r="I62" s="6">
        <f>SUMIFS(NetB3BEWLPP,SupListBEWLPP,Table_AgingReportBEWLPP[[#This Row],[SupplierID]],DLBEWLPP,"&gt;=61",DLBEWLPP,"&lt;=90")</f>
        <v>0</v>
      </c>
      <c r="J62" s="6">
        <f>SUMIFS(NetB3BEWLPP,SupListBEWLPP,Table_AgingReportBEWLPP[[#This Row],[SupplierID]],DLBEWLPP,"&gt;=91",DLBEWLPP,"&lt;=120")</f>
        <v>0</v>
      </c>
      <c r="K62" s="6">
        <f>SUMIFS(NetB3BEWLPP,SupListBEWLPP,Table_AgingReportBEWLPP[[#This Row],[SupplierID]],DLBEWLPP,"&gt;120")</f>
        <v>279368</v>
      </c>
    </row>
    <row r="63" spans="1:11">
      <c r="A63" s="4" t="s">
        <v>8666</v>
      </c>
      <c r="B63" s="4" t="s">
        <v>8668</v>
      </c>
      <c r="C63" s="6">
        <f>SUMIF(SupListBEWLPP,Table_AgingReportBEWLPP[[#This Row],[SupplierID]],NetAmountBEWLPP)</f>
        <v>201842</v>
      </c>
      <c r="D63" s="6">
        <f>SUMIF(SupListBEWLPP,Table_AgingReportBEWLPP[[#This Row],[SupplierID]],PaidBEWLPP)</f>
        <v>0</v>
      </c>
      <c r="E63" s="6">
        <f>Table_AgingReportBEWLPP[[#This Row],[Net Amount]]-Table_AgingReportBEWLPP[[#This Row],[Paid]]</f>
        <v>201842</v>
      </c>
      <c r="F63" s="6">
        <f>SUMIFS(NetB3BEWLPP,SupListBEWLPP,Table_AgingReportBEWLPP[[#This Row],[SupplierID]],DLBEWLPP,"&gt;=1",DLBEWLPP,"&lt;=30")</f>
        <v>0</v>
      </c>
      <c r="G63" s="6">
        <f>SUMIFS(NetB3BEWLPP,SupListBEWLPP,Table_AgingReportBEWLPP[[#This Row],[SupplierID]],DLBEWLPP,"&gt;=31",DLBEWLPP,"&lt;=45")</f>
        <v>10150</v>
      </c>
      <c r="H63" s="6">
        <f>SUMIFS(NetB3BEWLPP,SupListBEWLPP,Table_AgingReportBEWLPP[[#This Row],[SupplierID]],DLBEWLPP,"&gt;=46",DLBEWLPP,"&lt;=60")</f>
        <v>10150</v>
      </c>
      <c r="I63" s="6">
        <f>SUMIFS(NetB3BEWLPP,SupListBEWLPP,Table_AgingReportBEWLPP[[#This Row],[SupplierID]],DLBEWLPP,"&gt;=61",DLBEWLPP,"&lt;=90")</f>
        <v>6090</v>
      </c>
      <c r="J63" s="6">
        <f>SUMIFS(NetB3BEWLPP,SupListBEWLPP,Table_AgingReportBEWLPP[[#This Row],[SupplierID]],DLBEWLPP,"&gt;=91",DLBEWLPP,"&lt;=120")</f>
        <v>102718</v>
      </c>
      <c r="K63" s="6">
        <f>SUMIFS(NetB3BEWLPP,SupListBEWLPP,Table_AgingReportBEWLPP[[#This Row],[SupplierID]],DLBEWLPP,"&gt;120")</f>
        <v>72734</v>
      </c>
    </row>
    <row r="64" spans="1:11">
      <c r="A64" s="4" t="s">
        <v>8672</v>
      </c>
      <c r="B64" s="4" t="s">
        <v>417</v>
      </c>
      <c r="C64" s="6">
        <f>SUMIF(SupListBEWLPP,Table_AgingReportBEWLPP[[#This Row],[SupplierID]],NetAmountBEWLPP)</f>
        <v>30776</v>
      </c>
      <c r="D64" s="6">
        <f>SUMIF(SupListBEWLPP,Table_AgingReportBEWLPP[[#This Row],[SupplierID]],PaidBEWLPP)</f>
        <v>0</v>
      </c>
      <c r="E64" s="6">
        <f>Table_AgingReportBEWLPP[[#This Row],[Net Amount]]-Table_AgingReportBEWLPP[[#This Row],[Paid]]</f>
        <v>30776</v>
      </c>
      <c r="F64" s="6">
        <f>SUMIFS(NetB3BEWLPP,SupListBEWLPP,Table_AgingReportBEWLPP[[#This Row],[SupplierID]],DLBEWLPP,"&gt;=1",DLBEWLPP,"&lt;=30")</f>
        <v>0</v>
      </c>
      <c r="G64" s="6">
        <f>SUMIFS(NetB3BEWLPP,SupListBEWLPP,Table_AgingReportBEWLPP[[#This Row],[SupplierID]],DLBEWLPP,"&gt;=31",DLBEWLPP,"&lt;=45")</f>
        <v>12800</v>
      </c>
      <c r="H64" s="6">
        <f>SUMIFS(NetB3BEWLPP,SupListBEWLPP,Table_AgingReportBEWLPP[[#This Row],[SupplierID]],DLBEWLPP,"&gt;=46",DLBEWLPP,"&lt;=60")</f>
        <v>19200</v>
      </c>
      <c r="I64" s="6">
        <f>SUMIFS(NetB3BEWLPP,SupListBEWLPP,Table_AgingReportBEWLPP[[#This Row],[SupplierID]],DLBEWLPP,"&gt;=61",DLBEWLPP,"&lt;=90")</f>
        <v>0</v>
      </c>
      <c r="J64" s="6">
        <f>SUMIFS(NetB3BEWLPP,SupListBEWLPP,Table_AgingReportBEWLPP[[#This Row],[SupplierID]],DLBEWLPP,"&gt;=91",DLBEWLPP,"&lt;=120")</f>
        <v>-360</v>
      </c>
      <c r="K64" s="6">
        <f>SUMIFS(NetB3BEWLPP,SupListBEWLPP,Table_AgingReportBEWLPP[[#This Row],[SupplierID]],DLBEWLPP,"&gt;120")</f>
        <v>0</v>
      </c>
    </row>
    <row r="65" spans="1:11">
      <c r="A65" s="4" t="s">
        <v>9627</v>
      </c>
      <c r="B65" s="4" t="s">
        <v>9630</v>
      </c>
      <c r="C65" s="6">
        <f>SUMIF(SupListBEWLPP,Table_AgingReportBEWLPP[[#This Row],[SupplierID]],NetAmountBEWLPP)</f>
        <v>39023</v>
      </c>
      <c r="D65" s="6">
        <f>SUMIF(SupListBEWLPP,Table_AgingReportBEWLPP[[#This Row],[SupplierID]],PaidBEWLPP)</f>
        <v>0</v>
      </c>
      <c r="E65" s="6">
        <f>Table_AgingReportBEWLPP[[#This Row],[Net Amount]]-Table_AgingReportBEWLPP[[#This Row],[Paid]]</f>
        <v>39023</v>
      </c>
      <c r="F65" s="6">
        <f>SUMIFS(NetB3BEWLPP,SupListBEWLPP,Table_AgingReportBEWLPP[[#This Row],[SupplierID]],DLBEWLPP,"&gt;=1",DLBEWLPP,"&lt;=30")</f>
        <v>0</v>
      </c>
      <c r="G65" s="6">
        <f>SUMIFS(NetB3BEWLPP,SupListBEWLPP,Table_AgingReportBEWLPP[[#This Row],[SupplierID]],DLBEWLPP,"&gt;=31",DLBEWLPP,"&lt;=45")</f>
        <v>0</v>
      </c>
      <c r="H65" s="6">
        <f>SUMIFS(NetB3BEWLPP,SupListBEWLPP,Table_AgingReportBEWLPP[[#This Row],[SupplierID]],DLBEWLPP,"&gt;=46",DLBEWLPP,"&lt;=60")</f>
        <v>0</v>
      </c>
      <c r="I65" s="6">
        <f>SUMIFS(NetB3BEWLPP,SupListBEWLPP,Table_AgingReportBEWLPP[[#This Row],[SupplierID]],DLBEWLPP,"&gt;=61",DLBEWLPP,"&lt;=90")</f>
        <v>0</v>
      </c>
      <c r="J65" s="6">
        <f>SUMIFS(NetB3BEWLPP,SupListBEWLPP,Table_AgingReportBEWLPP[[#This Row],[SupplierID]],DLBEWLPP,"&gt;=91",DLBEWLPP,"&lt;=120")</f>
        <v>0</v>
      </c>
      <c r="K65" s="6">
        <f>SUMIFS(NetB3BEWLPP,SupListBEWLPP,Table_AgingReportBEWLPP[[#This Row],[SupplierID]],DLBEWLPP,"&gt;120")</f>
        <v>39023</v>
      </c>
    </row>
    <row r="66" spans="1:11">
      <c r="A66" s="4" t="s">
        <v>9519</v>
      </c>
      <c r="B66" s="4" t="s">
        <v>433</v>
      </c>
      <c r="C66" s="6">
        <f>SUMIF(SupListBEWLPP,Table_AgingReportBEWLPP[[#This Row],[SupplierID]],NetAmountBEWLPP)</f>
        <v>237858</v>
      </c>
      <c r="D66" s="6">
        <f>SUMIF(SupListBEWLPP,Table_AgingReportBEWLPP[[#This Row],[SupplierID]],PaidBEWLPP)</f>
        <v>0</v>
      </c>
      <c r="E66" s="6">
        <f>Table_AgingReportBEWLPP[[#This Row],[Net Amount]]-Table_AgingReportBEWLPP[[#This Row],[Paid]]</f>
        <v>237858</v>
      </c>
      <c r="F66" s="6">
        <f>SUMIFS(NetB3BEWLPP,SupListBEWLPP,Table_AgingReportBEWLPP[[#This Row],[SupplierID]],DLBEWLPP,"&gt;=1",DLBEWLPP,"&lt;=30")</f>
        <v>0</v>
      </c>
      <c r="G66" s="6">
        <f>SUMIFS(NetB3BEWLPP,SupListBEWLPP,Table_AgingReportBEWLPP[[#This Row],[SupplierID]],DLBEWLPP,"&gt;=31",DLBEWLPP,"&lt;=45")</f>
        <v>0</v>
      </c>
      <c r="H66" s="6">
        <f>SUMIFS(NetB3BEWLPP,SupListBEWLPP,Table_AgingReportBEWLPP[[#This Row],[SupplierID]],DLBEWLPP,"&gt;=46",DLBEWLPP,"&lt;=60")</f>
        <v>0</v>
      </c>
      <c r="I66" s="6">
        <f>SUMIFS(NetB3BEWLPP,SupListBEWLPP,Table_AgingReportBEWLPP[[#This Row],[SupplierID]],DLBEWLPP,"&gt;=61",DLBEWLPP,"&lt;=90")</f>
        <v>55680</v>
      </c>
      <c r="J66" s="6">
        <f>SUMIFS(NetB3BEWLPP,SupListBEWLPP,Table_AgingReportBEWLPP[[#This Row],[SupplierID]],DLBEWLPP,"&gt;=91",DLBEWLPP,"&lt;=120")</f>
        <v>0</v>
      </c>
      <c r="K66" s="6">
        <f>SUMIFS(NetB3BEWLPP,SupListBEWLPP,Table_AgingReportBEWLPP[[#This Row],[SupplierID]],DLBEWLPP,"&gt;120")</f>
        <v>182178</v>
      </c>
    </row>
    <row r="67" spans="1:11">
      <c r="A67" s="4" t="s">
        <v>10723</v>
      </c>
      <c r="B67" s="4" t="s">
        <v>10725</v>
      </c>
      <c r="C67" s="6">
        <f>SUMIF(SupListBEWLPP,Table_AgingReportBEWLPP[[#This Row],[SupplierID]],NetAmountBEWLPP)</f>
        <v>152750</v>
      </c>
      <c r="D67" s="6">
        <f>SUMIF(SupListBEWLPP,Table_AgingReportBEWLPP[[#This Row],[SupplierID]],PaidBEWLPP)</f>
        <v>0</v>
      </c>
      <c r="E67" s="6">
        <f>Table_AgingReportBEWLPP[[#This Row],[Net Amount]]-Table_AgingReportBEWLPP[[#This Row],[Paid]]</f>
        <v>152750</v>
      </c>
      <c r="F67" s="6">
        <f>SUMIFS(NetB3BEWLPP,SupListBEWLPP,Table_AgingReportBEWLPP[[#This Row],[SupplierID]],DLBEWLPP,"&gt;=1",DLBEWLPP,"&lt;=30")</f>
        <v>152750</v>
      </c>
      <c r="G67" s="6">
        <f>SUMIFS(NetB3BEWLPP,SupListBEWLPP,Table_AgingReportBEWLPP[[#This Row],[SupplierID]],DLBEWLPP,"&gt;=31",DLBEWLPP,"&lt;=45")</f>
        <v>0</v>
      </c>
      <c r="H67" s="6">
        <f>SUMIFS(NetB3BEWLPP,SupListBEWLPP,Table_AgingReportBEWLPP[[#This Row],[SupplierID]],DLBEWLPP,"&gt;=46",DLBEWLPP,"&lt;=60")</f>
        <v>0</v>
      </c>
      <c r="I67" s="6">
        <f>SUMIFS(NetB3BEWLPP,SupListBEWLPP,Table_AgingReportBEWLPP[[#This Row],[SupplierID]],DLBEWLPP,"&gt;=61",DLBEWLPP,"&lt;=90")</f>
        <v>0</v>
      </c>
      <c r="J67" s="6">
        <f>SUMIFS(NetB3BEWLPP,SupListBEWLPP,Table_AgingReportBEWLPP[[#This Row],[SupplierID]],DLBEWLPP,"&gt;=91",DLBEWLPP,"&lt;=120")</f>
        <v>0</v>
      </c>
      <c r="K67" s="6">
        <f>SUMIFS(NetB3BEWLPP,SupListBEWLPP,Table_AgingReportBEWLPP[[#This Row],[SupplierID]],DLBEWLPP,"&gt;120")</f>
        <v>0</v>
      </c>
    </row>
    <row r="68" spans="1:11">
      <c r="A68" s="4" t="s">
        <v>10675</v>
      </c>
      <c r="B68" s="4" t="s">
        <v>427</v>
      </c>
      <c r="C68" s="6">
        <f>SUMIF(SupListBEWLPP,Table_AgingReportBEWLPP[[#This Row],[SupplierID]],NetAmountBEWLPP)</f>
        <v>375</v>
      </c>
      <c r="D68" s="6">
        <f>SUMIF(SupListBEWLPP,Table_AgingReportBEWLPP[[#This Row],[SupplierID]],PaidBEWLPP)</f>
        <v>0</v>
      </c>
      <c r="E68" s="6">
        <f>Table_AgingReportBEWLPP[[#This Row],[Net Amount]]-Table_AgingReportBEWLPP[[#This Row],[Paid]]</f>
        <v>375</v>
      </c>
      <c r="F68" s="6">
        <f>SUMIFS(NetB3BEWLPP,SupListBEWLPP,Table_AgingReportBEWLPP[[#This Row],[SupplierID]],DLBEWLPP,"&gt;=1",DLBEWLPP,"&lt;=30")</f>
        <v>44</v>
      </c>
      <c r="G68" s="6">
        <f>SUMIFS(NetB3BEWLPP,SupListBEWLPP,Table_AgingReportBEWLPP[[#This Row],[SupplierID]],DLBEWLPP,"&gt;=31",DLBEWLPP,"&lt;=45")</f>
        <v>331</v>
      </c>
      <c r="H68" s="6">
        <f>SUMIFS(NetB3BEWLPP,SupListBEWLPP,Table_AgingReportBEWLPP[[#This Row],[SupplierID]],DLBEWLPP,"&gt;=46",DLBEWLPP,"&lt;=60")</f>
        <v>0</v>
      </c>
      <c r="I68" s="6">
        <f>SUMIFS(NetB3BEWLPP,SupListBEWLPP,Table_AgingReportBEWLPP[[#This Row],[SupplierID]],DLBEWLPP,"&gt;=61",DLBEWLPP,"&lt;=90")</f>
        <v>0</v>
      </c>
      <c r="J68" s="6">
        <f>SUMIFS(NetB3BEWLPP,SupListBEWLPP,Table_AgingReportBEWLPP[[#This Row],[SupplierID]],DLBEWLPP,"&gt;=91",DLBEWLPP,"&lt;=120")</f>
        <v>0</v>
      </c>
      <c r="K68" s="6">
        <f>SUMIFS(NetB3BEWLPP,SupListBEWLPP,Table_AgingReportBEWLPP[[#This Row],[SupplierID]],DLBEWLPP,"&gt;120")</f>
        <v>0</v>
      </c>
    </row>
    <row r="69" spans="1:11">
      <c r="A69" s="4" t="s">
        <v>10570</v>
      </c>
      <c r="B69" s="4" t="s">
        <v>435</v>
      </c>
      <c r="C69" s="6">
        <f>SUMIF(SupListBEWLPP,Table_AgingReportBEWLPP[[#This Row],[SupplierID]],NetAmountBEWLPP)</f>
        <v>172840</v>
      </c>
      <c r="D69" s="6">
        <f>SUMIF(SupListBEWLPP,Table_AgingReportBEWLPP[[#This Row],[SupplierID]],PaidBEWLPP)</f>
        <v>0</v>
      </c>
      <c r="E69" s="6">
        <f>Table_AgingReportBEWLPP[[#This Row],[Net Amount]]-Table_AgingReportBEWLPP[[#This Row],[Paid]]</f>
        <v>172840</v>
      </c>
      <c r="F69" s="6">
        <f>SUMIFS(NetB3BEWLPP,SupListBEWLPP,Table_AgingReportBEWLPP[[#This Row],[SupplierID]],DLBEWLPP,"&gt;=1",DLBEWLPP,"&lt;=30")</f>
        <v>0</v>
      </c>
      <c r="G69" s="6">
        <f>SUMIFS(NetB3BEWLPP,SupListBEWLPP,Table_AgingReportBEWLPP[[#This Row],[SupplierID]],DLBEWLPP,"&gt;=31",DLBEWLPP,"&lt;=45")</f>
        <v>94888</v>
      </c>
      <c r="H69" s="6">
        <f>SUMIFS(NetB3BEWLPP,SupListBEWLPP,Table_AgingReportBEWLPP[[#This Row],[SupplierID]],DLBEWLPP,"&gt;=46",DLBEWLPP,"&lt;=60")</f>
        <v>0</v>
      </c>
      <c r="I69" s="6">
        <f>SUMIFS(NetB3BEWLPP,SupListBEWLPP,Table_AgingReportBEWLPP[[#This Row],[SupplierID]],DLBEWLPP,"&gt;=61",DLBEWLPP,"&lt;=90")</f>
        <v>77952</v>
      </c>
      <c r="J69" s="6">
        <f>SUMIFS(NetB3BEWLPP,SupListBEWLPP,Table_AgingReportBEWLPP[[#This Row],[SupplierID]],DLBEWLPP,"&gt;=91",DLBEWLPP,"&lt;=120")</f>
        <v>0</v>
      </c>
      <c r="K69" s="6">
        <f>SUMIFS(NetB3BEWLPP,SupListBEWLPP,Table_AgingReportBEWLPP[[#This Row],[SupplierID]],DLBEWLPP,"&gt;120")</f>
        <v>0</v>
      </c>
    </row>
    <row r="70" spans="1:11">
      <c r="A70" s="4" t="s">
        <v>10151</v>
      </c>
      <c r="B70" s="4" t="s">
        <v>10152</v>
      </c>
      <c r="C70" s="6">
        <f>SUMIF(SupListBEWLPP,Table_AgingReportBEWLPP[[#This Row],[SupplierID]],NetAmountBEWLPP)</f>
        <v>52722</v>
      </c>
      <c r="D70" s="6">
        <f>SUMIF(SupListBEWLPP,Table_AgingReportBEWLPP[[#This Row],[SupplierID]],PaidBEWLPP)</f>
        <v>0</v>
      </c>
      <c r="E70" s="6">
        <f>Table_AgingReportBEWLPP[[#This Row],[Net Amount]]-Table_AgingReportBEWLPP[[#This Row],[Paid]]</f>
        <v>52722</v>
      </c>
      <c r="F70" s="6">
        <f>SUMIFS(NetB3BEWLPP,SupListBEWLPP,Table_AgingReportBEWLPP[[#This Row],[SupplierID]],DLBEWLPP,"&gt;=1",DLBEWLPP,"&lt;=30")</f>
        <v>0</v>
      </c>
      <c r="G70" s="6">
        <f>SUMIFS(NetB3BEWLPP,SupListBEWLPP,Table_AgingReportBEWLPP[[#This Row],[SupplierID]],DLBEWLPP,"&gt;=31",DLBEWLPP,"&lt;=45")</f>
        <v>0</v>
      </c>
      <c r="H70" s="6">
        <f>SUMIFS(NetB3BEWLPP,SupListBEWLPP,Table_AgingReportBEWLPP[[#This Row],[SupplierID]],DLBEWLPP,"&gt;=46",DLBEWLPP,"&lt;=60")</f>
        <v>0</v>
      </c>
      <c r="I70" s="6">
        <f>SUMIFS(NetB3BEWLPP,SupListBEWLPP,Table_AgingReportBEWLPP[[#This Row],[SupplierID]],DLBEWLPP,"&gt;=61",DLBEWLPP,"&lt;=90")</f>
        <v>41064</v>
      </c>
      <c r="J70" s="6">
        <f>SUMIFS(NetB3BEWLPP,SupListBEWLPP,Table_AgingReportBEWLPP[[#This Row],[SupplierID]],DLBEWLPP,"&gt;=91",DLBEWLPP,"&lt;=120")</f>
        <v>10266</v>
      </c>
      <c r="K70" s="6">
        <f>SUMIFS(NetB3BEWLPP,SupListBEWLPP,Table_AgingReportBEWLPP[[#This Row],[SupplierID]],DLBEWLPP,"&gt;120")</f>
        <v>0</v>
      </c>
    </row>
    <row r="71" spans="1:11">
      <c r="A71" s="4" t="s">
        <v>10056</v>
      </c>
      <c r="B71" s="4" t="s">
        <v>437</v>
      </c>
      <c r="C71" s="6">
        <f>SUMIF(SupListBEWLPP,Table_AgingReportBEWLPP[[#This Row],[SupplierID]],NetAmountBEWLPP)</f>
        <v>931837</v>
      </c>
      <c r="D71" s="6">
        <f>SUMIF(SupListBEWLPP,Table_AgingReportBEWLPP[[#This Row],[SupplierID]],PaidBEWLPP)</f>
        <v>0</v>
      </c>
      <c r="E71" s="6">
        <f>Table_AgingReportBEWLPP[[#This Row],[Net Amount]]-Table_AgingReportBEWLPP[[#This Row],[Paid]]</f>
        <v>931837</v>
      </c>
      <c r="F71" s="6">
        <f>SUMIFS(NetB3BEWLPP,SupListBEWLPP,Table_AgingReportBEWLPP[[#This Row],[SupplierID]],DLBEWLPP,"&gt;=1",DLBEWLPP,"&lt;=30")</f>
        <v>711739</v>
      </c>
      <c r="G71" s="6">
        <f>SUMIFS(NetB3BEWLPP,SupListBEWLPP,Table_AgingReportBEWLPP[[#This Row],[SupplierID]],DLBEWLPP,"&gt;=31",DLBEWLPP,"&lt;=45")</f>
        <v>220098</v>
      </c>
      <c r="H71" s="6">
        <f>SUMIFS(NetB3BEWLPP,SupListBEWLPP,Table_AgingReportBEWLPP[[#This Row],[SupplierID]],DLBEWLPP,"&gt;=46",DLBEWLPP,"&lt;=60")</f>
        <v>0</v>
      </c>
      <c r="I71" s="6">
        <f>SUMIFS(NetB3BEWLPP,SupListBEWLPP,Table_AgingReportBEWLPP[[#This Row],[SupplierID]],DLBEWLPP,"&gt;=61",DLBEWLPP,"&lt;=90")</f>
        <v>0</v>
      </c>
      <c r="J71" s="6">
        <f>SUMIFS(NetB3BEWLPP,SupListBEWLPP,Table_AgingReportBEWLPP[[#This Row],[SupplierID]],DLBEWLPP,"&gt;=91",DLBEWLPP,"&lt;=120")</f>
        <v>0</v>
      </c>
      <c r="K71" s="6">
        <f>SUMIFS(NetB3BEWLPP,SupListBEWLPP,Table_AgingReportBEWLPP[[#This Row],[SupplierID]],DLBEWLPP,"&gt;120")</f>
        <v>0</v>
      </c>
    </row>
    <row r="72" spans="1:11">
      <c r="A72" s="4" t="s">
        <v>9601</v>
      </c>
      <c r="B72" s="4" t="s">
        <v>9603</v>
      </c>
      <c r="C72" s="6">
        <f>SUMIF(SupListBEWLPP,Table_AgingReportBEWLPP[[#This Row],[SupplierID]],NetAmountBEWLPP)</f>
        <v>91200</v>
      </c>
      <c r="D72" s="6">
        <f>SUMIF(SupListBEWLPP,Table_AgingReportBEWLPP[[#This Row],[SupplierID]],PaidBEWLPP)</f>
        <v>0</v>
      </c>
      <c r="E72" s="6">
        <f>Table_AgingReportBEWLPP[[#This Row],[Net Amount]]-Table_AgingReportBEWLPP[[#This Row],[Paid]]</f>
        <v>91200</v>
      </c>
      <c r="F72" s="6">
        <f>SUMIFS(NetB3BEWLPP,SupListBEWLPP,Table_AgingReportBEWLPP[[#This Row],[SupplierID]],DLBEWLPP,"&gt;=1",DLBEWLPP,"&lt;=30")</f>
        <v>0</v>
      </c>
      <c r="G72" s="6">
        <f>SUMIFS(NetB3BEWLPP,SupListBEWLPP,Table_AgingReportBEWLPP[[#This Row],[SupplierID]],DLBEWLPP,"&gt;=31",DLBEWLPP,"&lt;=45")</f>
        <v>91200</v>
      </c>
      <c r="H72" s="6">
        <f>SUMIFS(NetB3BEWLPP,SupListBEWLPP,Table_AgingReportBEWLPP[[#This Row],[SupplierID]],DLBEWLPP,"&gt;=46",DLBEWLPP,"&lt;=60")</f>
        <v>0</v>
      </c>
      <c r="I72" s="6">
        <f>SUMIFS(NetB3BEWLPP,SupListBEWLPP,Table_AgingReportBEWLPP[[#This Row],[SupplierID]],DLBEWLPP,"&gt;=61",DLBEWLPP,"&lt;=90")</f>
        <v>0</v>
      </c>
      <c r="J72" s="6">
        <f>SUMIFS(NetB3BEWLPP,SupListBEWLPP,Table_AgingReportBEWLPP[[#This Row],[SupplierID]],DLBEWLPP,"&gt;=91",DLBEWLPP,"&lt;=120")</f>
        <v>0</v>
      </c>
      <c r="K72" s="6">
        <f>SUMIFS(NetB3BEWLPP,SupListBEWLPP,Table_AgingReportBEWLPP[[#This Row],[SupplierID]],DLBEWLPP,"&gt;120")</f>
        <v>0</v>
      </c>
    </row>
    <row r="73" spans="1:11">
      <c r="A73" s="4" t="s">
        <v>10715</v>
      </c>
      <c r="B73" s="4" t="s">
        <v>10716</v>
      </c>
      <c r="C73" s="6">
        <f>SUMIF(SupListBEWLPP,Table_AgingReportBEWLPP[[#This Row],[SupplierID]],NetAmountBEWLPP)</f>
        <v>345773</v>
      </c>
      <c r="D73" s="6">
        <f>SUMIF(SupListBEWLPP,Table_AgingReportBEWLPP[[#This Row],[SupplierID]],PaidBEWLPP)</f>
        <v>0</v>
      </c>
      <c r="E73" s="6">
        <f>Table_AgingReportBEWLPP[[#This Row],[Net Amount]]-Table_AgingReportBEWLPP[[#This Row],[Paid]]</f>
        <v>345773</v>
      </c>
      <c r="F73" s="6">
        <f>SUMIFS(NetB3BEWLPP,SupListBEWLPP,Table_AgingReportBEWLPP[[#This Row],[SupplierID]],DLBEWLPP,"&gt;=1",DLBEWLPP,"&lt;=30")</f>
        <v>345773</v>
      </c>
      <c r="G73" s="6">
        <f>SUMIFS(NetB3BEWLPP,SupListBEWLPP,Table_AgingReportBEWLPP[[#This Row],[SupplierID]],DLBEWLPP,"&gt;=31",DLBEWLPP,"&lt;=45")</f>
        <v>0</v>
      </c>
      <c r="H73" s="6">
        <f>SUMIFS(NetB3BEWLPP,SupListBEWLPP,Table_AgingReportBEWLPP[[#This Row],[SupplierID]],DLBEWLPP,"&gt;=46",DLBEWLPP,"&lt;=60")</f>
        <v>0</v>
      </c>
      <c r="I73" s="6">
        <f>SUMIFS(NetB3BEWLPP,SupListBEWLPP,Table_AgingReportBEWLPP[[#This Row],[SupplierID]],DLBEWLPP,"&gt;=61",DLBEWLPP,"&lt;=90")</f>
        <v>0</v>
      </c>
      <c r="J73" s="6">
        <f>SUMIFS(NetB3BEWLPP,SupListBEWLPP,Table_AgingReportBEWLPP[[#This Row],[SupplierID]],DLBEWLPP,"&gt;=91",DLBEWLPP,"&lt;=120")</f>
        <v>0</v>
      </c>
      <c r="K73" s="6">
        <f>SUMIFS(NetB3BEWLPP,SupListBEWLPP,Table_AgingReportBEWLPP[[#This Row],[SupplierID]],DLBEWLPP,"&gt;120")</f>
        <v>0</v>
      </c>
    </row>
    <row r="74" spans="1:11">
      <c r="A74" s="4" t="s">
        <v>10139</v>
      </c>
      <c r="B74" s="4" t="s">
        <v>10141</v>
      </c>
      <c r="C74" s="6">
        <f>SUMIF(SupListBEWLPP,Table_AgingReportBEWLPP[[#This Row],[SupplierID]],NetAmountBEWLPP)</f>
        <v>13630</v>
      </c>
      <c r="D74" s="6">
        <f>SUMIF(SupListBEWLPP,Table_AgingReportBEWLPP[[#This Row],[SupplierID]],PaidBEWLPP)</f>
        <v>0</v>
      </c>
      <c r="E74" s="6">
        <f>Table_AgingReportBEWLPP[[#This Row],[Net Amount]]-Table_AgingReportBEWLPP[[#This Row],[Paid]]</f>
        <v>13630</v>
      </c>
      <c r="F74" s="6">
        <f>SUMIFS(NetB3BEWLPP,SupListBEWLPP,Table_AgingReportBEWLPP[[#This Row],[SupplierID]],DLBEWLPP,"&gt;=1",DLBEWLPP,"&lt;=30")</f>
        <v>13630</v>
      </c>
      <c r="G74" s="6">
        <f>SUMIFS(NetB3BEWLPP,SupListBEWLPP,Table_AgingReportBEWLPP[[#This Row],[SupplierID]],DLBEWLPP,"&gt;=31",DLBEWLPP,"&lt;=45")</f>
        <v>0</v>
      </c>
      <c r="H74" s="6">
        <f>SUMIFS(NetB3BEWLPP,SupListBEWLPP,Table_AgingReportBEWLPP[[#This Row],[SupplierID]],DLBEWLPP,"&gt;=46",DLBEWLPP,"&lt;=60")</f>
        <v>0</v>
      </c>
      <c r="I74" s="6">
        <f>SUMIFS(NetB3BEWLPP,SupListBEWLPP,Table_AgingReportBEWLPP[[#This Row],[SupplierID]],DLBEWLPP,"&gt;=61",DLBEWLPP,"&lt;=90")</f>
        <v>0</v>
      </c>
      <c r="J74" s="6">
        <f>SUMIFS(NetB3BEWLPP,SupListBEWLPP,Table_AgingReportBEWLPP[[#This Row],[SupplierID]],DLBEWLPP,"&gt;=91",DLBEWLPP,"&lt;=120")</f>
        <v>0</v>
      </c>
      <c r="K74" s="6">
        <f>SUMIFS(NetB3BEWLPP,SupListBEWLPP,Table_AgingReportBEWLPP[[#This Row],[SupplierID]],DLBEWLPP,"&gt;120")</f>
        <v>0</v>
      </c>
    </row>
  </sheetData>
  <mergeCells count="2">
    <mergeCell ref="F1:K1"/>
    <mergeCell ref="B1:E1"/>
  </mergeCells>
  <hyperlinks>
    <hyperlink ref="A1" location="INDEXP" display="Back"/>
    <hyperlink ref="C1" location="Index" display="Back to Index"/>
  </hyperlinks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39</vt:i4>
      </vt:variant>
    </vt:vector>
  </HeadingPairs>
  <TitlesOfParts>
    <vt:vector size="48" baseType="lpstr">
      <vt:lpstr>AgingMetaDataDYLPP</vt:lpstr>
      <vt:lpstr>AgingMetaDataDYLGS</vt:lpstr>
      <vt:lpstr>Index</vt:lpstr>
      <vt:lpstr>AgingSummaryReport_DYL_PP</vt:lpstr>
      <vt:lpstr>AgingSummaryReport_DYL_GS</vt:lpstr>
      <vt:lpstr>AgingMetaDataBEWLGS</vt:lpstr>
      <vt:lpstr>AgingSummaryReport_BEWL_GS</vt:lpstr>
      <vt:lpstr>AgingMetaDataBEWLPP</vt:lpstr>
      <vt:lpstr>AgingSummaryReport_BEWL_PP</vt:lpstr>
      <vt:lpstr>BEWLGS</vt:lpstr>
      <vt:lpstr>BEWLGSMETAINDEX</vt:lpstr>
      <vt:lpstr>BEWLPP</vt:lpstr>
      <vt:lpstr>DayList</vt:lpstr>
      <vt:lpstr>DL</vt:lpstr>
      <vt:lpstr>DLBEWLGS</vt:lpstr>
      <vt:lpstr>DLBEWLPP</vt:lpstr>
      <vt:lpstr>DLDYLGS</vt:lpstr>
      <vt:lpstr>DYLGS</vt:lpstr>
      <vt:lpstr>DYLGSMETAINDEX</vt:lpstr>
      <vt:lpstr>DYLPP</vt:lpstr>
      <vt:lpstr>DYLPPMETAINDEX</vt:lpstr>
      <vt:lpstr>Index</vt:lpstr>
      <vt:lpstr>INDEXP</vt:lpstr>
      <vt:lpstr>NetAmount</vt:lpstr>
      <vt:lpstr>NetAmountBEWLGS</vt:lpstr>
      <vt:lpstr>NetAmountBEWLPP</vt:lpstr>
      <vt:lpstr>NetAmountDYLGS</vt:lpstr>
      <vt:lpstr>NetB</vt:lpstr>
      <vt:lpstr>NetB3</vt:lpstr>
      <vt:lpstr>NetB3BEWLGS</vt:lpstr>
      <vt:lpstr>NetB3BEWLPP</vt:lpstr>
      <vt:lpstr>NetB3DYLGS</vt:lpstr>
      <vt:lpstr>Paid</vt:lpstr>
      <vt:lpstr>PaidBEWLGS</vt:lpstr>
      <vt:lpstr>PaidBEWLPP</vt:lpstr>
      <vt:lpstr>PaidDYLGS</vt:lpstr>
      <vt:lpstr>Start1</vt:lpstr>
      <vt:lpstr>Start2</vt:lpstr>
      <vt:lpstr>Start4</vt:lpstr>
      <vt:lpstr>Start5</vt:lpstr>
      <vt:lpstr>Start6</vt:lpstr>
      <vt:lpstr>Start7</vt:lpstr>
      <vt:lpstr>Start8</vt:lpstr>
      <vt:lpstr>Start9</vt:lpstr>
      <vt:lpstr>SupList</vt:lpstr>
      <vt:lpstr>SUPListBEWLGS</vt:lpstr>
      <vt:lpstr>SupListBEWLPP</vt:lpstr>
      <vt:lpstr>SUPListDYLGS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MASGHAR/CTL/HO/IT</dc:creator>
  <cp:lastModifiedBy>masghar</cp:lastModifiedBy>
  <dcterms:created xsi:type="dcterms:W3CDTF">2013-02-04T05:55:12Z</dcterms:created>
  <dcterms:modified xsi:type="dcterms:W3CDTF">2013-03-27T11:01:23Z</dcterms:modified>
</cp:coreProperties>
</file>